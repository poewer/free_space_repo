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ewe\OneDrive\Dokumenty\GitHub\free_space_repo\"/>
    </mc:Choice>
  </mc:AlternateContent>
  <xr:revisionPtr revIDLastSave="0" documentId="13_ncr:1_{B621BA79-0505-4D85-A058-2296E0CF0DD9}" xr6:coauthVersionLast="47" xr6:coauthVersionMax="47" xr10:uidLastSave="{00000000-0000-0000-0000-000000000000}"/>
  <bookViews>
    <workbookView xWindow="-120" yWindow="-120" windowWidth="29040" windowHeight="15720" tabRatio="652" firstSheet="5" activeTab="10" xr2:uid="{90CBCFFD-ED6B-443F-BC3F-96305A3E0F94}"/>
  </bookViews>
  <sheets>
    <sheet name="KL_ODL" sheetId="1" r:id="rId1"/>
    <sheet name="KL_RAF" sheetId="2" r:id="rId2"/>
    <sheet name="Same_elementy" sheetId="20" r:id="rId3"/>
    <sheet name="Same_technologie_z_ElemWKodProd" sheetId="22" r:id="rId4"/>
    <sheet name="Produkty_Wszystkie" sheetId="19" r:id="rId5"/>
    <sheet name="Elementy_Wszystkie" sheetId="21" r:id="rId6"/>
    <sheet name="VE" sheetId="24" r:id="rId7"/>
    <sheet name="Technologie_Wszystkie" sheetId="25" r:id="rId8"/>
    <sheet name="Produkty2Elem(Relacja)" sheetId="13" r:id="rId9"/>
    <sheet name="Elementy2Technologie(Relacja)" sheetId="12" r:id="rId10"/>
    <sheet name="Prod2Technol(Relacja)" sheetId="14" r:id="rId11"/>
    <sheet name="OBJAŚNIENIA" sheetId="3" r:id="rId12"/>
  </sheets>
  <definedNames>
    <definedName name="_xlnm._FilterDatabase" localSheetId="9" hidden="1">'Elementy2Technologie(Relacja)'!$A$1:$H$711</definedName>
    <definedName name="_xlnm._FilterDatabase" localSheetId="10" hidden="1">'Prod2Technol(Relacja)'!$A$1:$H$2754</definedName>
    <definedName name="_xlnm._FilterDatabase" localSheetId="8" hidden="1">'Produkty2Elem(Relacja)'!$A$1:$H$330</definedName>
    <definedName name="ExternalData_1" localSheetId="5" hidden="1">Elementy_Wszystkie!$A$1:$D$265</definedName>
    <definedName name="ExternalData_1" localSheetId="2" hidden="1">Same_elementy!$A$1:$C$265</definedName>
    <definedName name="ExternalData_1" localSheetId="3" hidden="1">Same_technologie_z_ElemWKodProd!$A$1:$D$181</definedName>
    <definedName name="ExternalData_1" localSheetId="7" hidden="1">Technologie_Wszystkie!$A$1:$D$694</definedName>
    <definedName name="ExternalData_1" localSheetId="6" hidden="1">VE!$A$1:$D$793</definedName>
    <definedName name="ExternalData_2" localSheetId="4" hidden="1">Produkty_Wszystkie!$A$1:$D$793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4" i="25" l="1"/>
  <c r="E143" i="25"/>
  <c r="E2" i="25"/>
  <c r="E3" i="25"/>
  <c r="E4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44" i="25"/>
  <c r="E45" i="25"/>
  <c r="E46" i="25"/>
  <c r="E47" i="25"/>
  <c r="E48" i="25"/>
  <c r="E49" i="25"/>
  <c r="E50" i="25"/>
  <c r="E51" i="25"/>
  <c r="E53" i="25"/>
  <c r="E54" i="25"/>
  <c r="E55" i="25"/>
  <c r="E56" i="25"/>
  <c r="E57" i="25"/>
  <c r="E58" i="25"/>
  <c r="E59" i="25"/>
  <c r="E60" i="25"/>
  <c r="E61" i="25"/>
  <c r="E62" i="25"/>
  <c r="E63" i="25"/>
  <c r="E64" i="25"/>
  <c r="E65" i="25"/>
  <c r="E66" i="25"/>
  <c r="E67" i="25"/>
  <c r="E68" i="25"/>
  <c r="E69" i="25"/>
  <c r="E70" i="25"/>
  <c r="E71" i="25"/>
  <c r="E72" i="25"/>
  <c r="E74" i="25"/>
  <c r="E76" i="25"/>
  <c r="E77" i="25"/>
  <c r="E78" i="25"/>
  <c r="E79" i="25"/>
  <c r="E80" i="25"/>
  <c r="E81" i="25"/>
  <c r="E82" i="25"/>
  <c r="E83" i="25"/>
  <c r="E84" i="25"/>
  <c r="E85" i="25"/>
  <c r="E86" i="25"/>
  <c r="E87" i="25"/>
  <c r="E88" i="25"/>
  <c r="E89" i="25"/>
  <c r="E90" i="25"/>
  <c r="E91" i="25"/>
  <c r="E92" i="25"/>
  <c r="E93" i="25"/>
  <c r="E94" i="25"/>
  <c r="E95" i="25"/>
  <c r="E96" i="25"/>
  <c r="E97" i="25"/>
  <c r="E98" i="25"/>
  <c r="E99" i="25"/>
  <c r="E100" i="25"/>
  <c r="E101" i="25"/>
  <c r="E103" i="25"/>
  <c r="E104" i="25"/>
  <c r="E105" i="25"/>
  <c r="E106" i="25"/>
  <c r="E107" i="25"/>
  <c r="E108" i="25"/>
  <c r="E110" i="25"/>
  <c r="E111" i="25"/>
  <c r="E112" i="25"/>
  <c r="E113" i="25"/>
  <c r="E114" i="25"/>
  <c r="E115" i="25"/>
  <c r="E116" i="25"/>
  <c r="E117" i="25"/>
  <c r="E118" i="25"/>
  <c r="E119" i="25"/>
  <c r="E120" i="25"/>
  <c r="E121" i="25"/>
  <c r="E122" i="25"/>
  <c r="E123" i="25"/>
  <c r="E124" i="25"/>
  <c r="E125" i="25"/>
  <c r="E126" i="25"/>
  <c r="E127" i="25"/>
  <c r="E128" i="25"/>
  <c r="E129" i="25"/>
  <c r="E130" i="25"/>
  <c r="E131" i="25"/>
  <c r="E135" i="25"/>
  <c r="E136" i="25"/>
  <c r="E137" i="25"/>
  <c r="E138" i="25"/>
  <c r="E139" i="25"/>
  <c r="E140" i="25"/>
  <c r="E141" i="25"/>
  <c r="E144" i="25"/>
  <c r="E145" i="25"/>
  <c r="E146" i="25"/>
  <c r="E147" i="25"/>
  <c r="E148" i="25"/>
  <c r="E149" i="25"/>
  <c r="E150" i="25"/>
  <c r="E151" i="25"/>
  <c r="E152" i="25"/>
  <c r="E153" i="25"/>
  <c r="E154" i="25"/>
  <c r="E155" i="25"/>
  <c r="E156" i="25"/>
  <c r="E157" i="25"/>
  <c r="E158" i="25"/>
  <c r="E159" i="25"/>
  <c r="E160" i="25"/>
  <c r="E161" i="25"/>
  <c r="E162" i="25"/>
  <c r="E163" i="25"/>
  <c r="E164" i="25"/>
  <c r="E165" i="25"/>
  <c r="E166" i="25"/>
  <c r="E167" i="25"/>
  <c r="E168" i="25"/>
  <c r="E169" i="25"/>
  <c r="E170" i="25"/>
  <c r="E171" i="25"/>
  <c r="E172" i="25"/>
  <c r="E173" i="25"/>
  <c r="E174" i="25"/>
  <c r="E175" i="25"/>
  <c r="E176" i="25"/>
  <c r="E177" i="25"/>
  <c r="E178" i="25"/>
  <c r="E179" i="25"/>
  <c r="E180" i="25"/>
  <c r="E181" i="25"/>
  <c r="E182" i="25"/>
  <c r="E183" i="25"/>
  <c r="E184" i="25"/>
  <c r="E185" i="25"/>
  <c r="E186" i="25"/>
  <c r="E187" i="25"/>
  <c r="E188" i="25"/>
  <c r="E189" i="25"/>
  <c r="E190" i="25"/>
  <c r="E191" i="25"/>
  <c r="E192" i="25"/>
  <c r="E193" i="25"/>
  <c r="E194" i="25"/>
  <c r="E195" i="25"/>
  <c r="E196" i="25"/>
  <c r="E197" i="25"/>
  <c r="E198" i="25"/>
  <c r="E199" i="25"/>
  <c r="E200" i="25"/>
  <c r="E201" i="25"/>
  <c r="E202" i="25"/>
  <c r="E203" i="25"/>
  <c r="E204" i="25"/>
  <c r="E205" i="25"/>
  <c r="E206" i="25"/>
  <c r="E207" i="25"/>
  <c r="E208" i="25"/>
  <c r="E209" i="25"/>
  <c r="E211" i="25"/>
  <c r="E212" i="25"/>
  <c r="E213" i="25"/>
  <c r="E214" i="25"/>
  <c r="E215" i="25"/>
  <c r="E216" i="25"/>
  <c r="E217" i="25"/>
  <c r="E218" i="25"/>
  <c r="E219" i="25"/>
  <c r="E220" i="25"/>
  <c r="E221" i="25"/>
  <c r="E222" i="25"/>
  <c r="E223" i="25"/>
  <c r="E224" i="25"/>
  <c r="E225" i="25"/>
  <c r="E226" i="25"/>
  <c r="E227" i="25"/>
  <c r="E228" i="25"/>
  <c r="E229" i="25"/>
  <c r="E230" i="25"/>
  <c r="E231" i="25"/>
  <c r="E232" i="25"/>
  <c r="E233" i="25"/>
  <c r="E234" i="25"/>
  <c r="E235" i="25"/>
  <c r="E236" i="25"/>
  <c r="E237" i="25"/>
  <c r="E238" i="25"/>
  <c r="E239" i="25"/>
  <c r="E240" i="25"/>
  <c r="E241" i="25"/>
  <c r="E242" i="25"/>
  <c r="E243" i="25"/>
  <c r="E244" i="25"/>
  <c r="E245" i="25"/>
  <c r="E246" i="25"/>
  <c r="E247" i="25"/>
  <c r="E248" i="25"/>
  <c r="E249" i="25"/>
  <c r="E250" i="25"/>
  <c r="E251" i="25"/>
  <c r="E252" i="25"/>
  <c r="E253" i="25"/>
  <c r="E254" i="25"/>
  <c r="E255" i="25"/>
  <c r="E256" i="25"/>
  <c r="E257" i="25"/>
  <c r="E258" i="25"/>
  <c r="E259" i="25"/>
  <c r="E260" i="25"/>
  <c r="E261" i="25"/>
  <c r="E262" i="25"/>
  <c r="E263" i="25"/>
  <c r="E264" i="25"/>
  <c r="E265" i="25"/>
  <c r="E266" i="25"/>
  <c r="E267" i="25"/>
  <c r="E268" i="25"/>
  <c r="E269" i="25"/>
  <c r="E270" i="25"/>
  <c r="E271" i="25"/>
  <c r="E272" i="25"/>
  <c r="E274" i="25"/>
  <c r="E275" i="25"/>
  <c r="E276" i="25"/>
  <c r="E277" i="25"/>
  <c r="E279" i="25"/>
  <c r="E280" i="25"/>
  <c r="E281" i="25"/>
  <c r="E282" i="25"/>
  <c r="E284" i="25"/>
  <c r="E285" i="25"/>
  <c r="E287" i="25"/>
  <c r="E288" i="25"/>
  <c r="E289" i="25"/>
  <c r="E290" i="25"/>
  <c r="E291" i="25"/>
  <c r="E292" i="25"/>
  <c r="E293" i="25"/>
  <c r="E294" i="25"/>
  <c r="E295" i="25"/>
  <c r="E296" i="25"/>
  <c r="E297" i="25"/>
  <c r="E298" i="25"/>
  <c r="E299" i="25"/>
  <c r="E300" i="25"/>
  <c r="E301" i="25"/>
  <c r="E302" i="25"/>
  <c r="E303" i="25"/>
  <c r="E304" i="25"/>
  <c r="E305" i="25"/>
  <c r="E306" i="25"/>
  <c r="E307" i="25"/>
  <c r="E308" i="25"/>
  <c r="E309" i="25"/>
  <c r="E310" i="25"/>
  <c r="E311" i="25"/>
  <c r="E312" i="25"/>
  <c r="E313" i="25"/>
  <c r="E314" i="25"/>
  <c r="E315" i="25"/>
  <c r="E316" i="25"/>
  <c r="E317" i="25"/>
  <c r="E318" i="25"/>
  <c r="E319" i="25"/>
  <c r="E320" i="25"/>
  <c r="E322" i="25"/>
  <c r="E323" i="25"/>
  <c r="E324" i="25"/>
  <c r="E325" i="25"/>
  <c r="E326" i="25"/>
  <c r="E327" i="25"/>
  <c r="E328" i="25"/>
  <c r="E329" i="25"/>
  <c r="E330" i="25"/>
  <c r="E331" i="25"/>
  <c r="E332" i="25"/>
  <c r="E333" i="25"/>
  <c r="E334" i="25"/>
  <c r="E335" i="25"/>
  <c r="E337" i="25"/>
  <c r="E338" i="25"/>
  <c r="E339" i="25"/>
  <c r="E340" i="25"/>
  <c r="E342" i="25"/>
  <c r="E343" i="25"/>
  <c r="E344" i="25"/>
  <c r="E345" i="25"/>
  <c r="E346" i="25"/>
  <c r="E347" i="25"/>
  <c r="E348" i="25"/>
  <c r="E349" i="25"/>
  <c r="E350" i="25"/>
  <c r="E351" i="25"/>
  <c r="E352" i="25"/>
  <c r="E353" i="25"/>
  <c r="E354" i="25"/>
  <c r="E355" i="25"/>
  <c r="E356" i="25"/>
  <c r="E357" i="25"/>
  <c r="E358" i="25"/>
  <c r="E359" i="25"/>
  <c r="E360" i="25"/>
  <c r="E361" i="25"/>
  <c r="E362" i="25"/>
  <c r="E363" i="25"/>
  <c r="E364" i="25"/>
  <c r="E365" i="25"/>
  <c r="E367" i="25"/>
  <c r="E368" i="25"/>
  <c r="E369" i="25"/>
  <c r="E370" i="25"/>
  <c r="E371" i="25"/>
  <c r="E372" i="25"/>
  <c r="E373" i="25"/>
  <c r="E374" i="25"/>
  <c r="E375" i="25"/>
  <c r="E376" i="25"/>
  <c r="E377" i="25"/>
  <c r="E378" i="25"/>
  <c r="E379" i="25"/>
  <c r="E380" i="25"/>
  <c r="E381" i="25"/>
  <c r="E382" i="25"/>
  <c r="E383" i="25"/>
  <c r="E384" i="25"/>
  <c r="E385" i="25"/>
  <c r="E386" i="25"/>
  <c r="E387" i="25"/>
  <c r="E388" i="25"/>
  <c r="E389" i="25"/>
  <c r="E390" i="25"/>
  <c r="E391" i="25"/>
  <c r="E392" i="25"/>
  <c r="E393" i="25"/>
  <c r="E394" i="25"/>
  <c r="E395" i="25"/>
  <c r="E396" i="25"/>
  <c r="E397" i="25"/>
  <c r="E398" i="25"/>
  <c r="E399" i="25"/>
  <c r="E400" i="25"/>
  <c r="E401" i="25"/>
  <c r="E402" i="25"/>
  <c r="E403" i="25"/>
  <c r="E404" i="25"/>
  <c r="E405" i="25"/>
  <c r="E406" i="25"/>
  <c r="E407" i="25"/>
  <c r="E408" i="25"/>
  <c r="E409" i="25"/>
  <c r="E410" i="25"/>
  <c r="E411" i="25"/>
  <c r="E412" i="25"/>
  <c r="E413" i="25"/>
  <c r="E414" i="25"/>
  <c r="E415" i="25"/>
  <c r="E416" i="25"/>
  <c r="E417" i="25"/>
  <c r="E418" i="25"/>
  <c r="E419" i="25"/>
  <c r="E420" i="25"/>
  <c r="E421" i="25"/>
  <c r="E422" i="25"/>
  <c r="E423" i="25"/>
  <c r="E424" i="25"/>
  <c r="E425" i="25"/>
  <c r="E426" i="25"/>
  <c r="E427" i="25"/>
  <c r="E428" i="25"/>
  <c r="E429" i="25"/>
  <c r="E430" i="25"/>
  <c r="E432" i="25"/>
  <c r="E433" i="25"/>
  <c r="E434" i="25"/>
  <c r="E435" i="25"/>
  <c r="E436" i="25"/>
  <c r="E437" i="25"/>
  <c r="E438" i="25"/>
  <c r="E439" i="25"/>
  <c r="E440" i="25"/>
  <c r="E441" i="25"/>
  <c r="E442" i="25"/>
  <c r="E443" i="25"/>
  <c r="E444" i="25"/>
  <c r="E445" i="25"/>
  <c r="E446" i="25"/>
  <c r="E447" i="25"/>
  <c r="E448" i="25"/>
  <c r="E449" i="25"/>
  <c r="E450" i="25"/>
  <c r="E451" i="25"/>
  <c r="E452" i="25"/>
  <c r="E453" i="25"/>
  <c r="E454" i="25"/>
  <c r="E455" i="25"/>
  <c r="E456" i="25"/>
  <c r="E457" i="25"/>
  <c r="E458" i="25"/>
  <c r="E459" i="25"/>
  <c r="E460" i="25"/>
  <c r="E461" i="25"/>
  <c r="E462" i="25"/>
  <c r="E463" i="25"/>
  <c r="E464" i="25"/>
  <c r="E465" i="25"/>
  <c r="E466" i="25"/>
  <c r="E467" i="25"/>
  <c r="E468" i="25"/>
  <c r="E469" i="25"/>
  <c r="E470" i="25"/>
  <c r="E471" i="25"/>
  <c r="E472" i="25"/>
  <c r="E473" i="25"/>
  <c r="E474" i="25"/>
  <c r="E475" i="25"/>
  <c r="E476" i="25"/>
  <c r="E477" i="25"/>
  <c r="E478" i="25"/>
  <c r="E479" i="25"/>
  <c r="E480" i="25"/>
  <c r="E481" i="25"/>
  <c r="E482" i="25"/>
  <c r="E483" i="25"/>
  <c r="E484" i="25"/>
  <c r="E485" i="25"/>
  <c r="E486" i="25"/>
  <c r="E487" i="25"/>
  <c r="E488" i="25"/>
  <c r="E489" i="25"/>
  <c r="E490" i="25"/>
  <c r="E491" i="25"/>
  <c r="E492" i="25"/>
  <c r="E493" i="25"/>
  <c r="E494" i="25"/>
  <c r="E495" i="25"/>
  <c r="E496" i="25"/>
  <c r="E497" i="25"/>
  <c r="E498" i="25"/>
  <c r="E499" i="25"/>
  <c r="E500" i="25"/>
  <c r="E501" i="25"/>
  <c r="E502" i="25"/>
  <c r="E503" i="25"/>
  <c r="E504" i="25"/>
  <c r="E505" i="25"/>
  <c r="E506" i="25"/>
  <c r="E507" i="25"/>
  <c r="E508" i="25"/>
  <c r="E509" i="25"/>
  <c r="E510" i="25"/>
  <c r="E511" i="25"/>
  <c r="E512" i="25"/>
  <c r="E513" i="25"/>
  <c r="E514" i="25"/>
  <c r="E515" i="25"/>
  <c r="E516" i="25"/>
  <c r="E517" i="25"/>
  <c r="E518" i="25"/>
  <c r="E519" i="25"/>
  <c r="E520" i="25"/>
  <c r="E521" i="25"/>
  <c r="E522" i="25"/>
  <c r="E523" i="25"/>
  <c r="E524" i="25"/>
  <c r="E525" i="25"/>
  <c r="E526" i="25"/>
  <c r="E527" i="25"/>
  <c r="E528" i="25"/>
  <c r="E529" i="25"/>
  <c r="E530" i="25"/>
  <c r="E531" i="25"/>
  <c r="E532" i="25"/>
  <c r="E533" i="25"/>
  <c r="E534" i="25"/>
  <c r="E535" i="25"/>
  <c r="E536" i="25"/>
  <c r="E537" i="25"/>
  <c r="E538" i="25"/>
  <c r="E539" i="25"/>
  <c r="E540" i="25"/>
  <c r="E541" i="25"/>
  <c r="E542" i="25"/>
  <c r="E543" i="25"/>
  <c r="E544" i="25"/>
  <c r="E545" i="25"/>
  <c r="E546" i="25"/>
  <c r="E547" i="25"/>
  <c r="E548" i="25"/>
  <c r="E549" i="25"/>
  <c r="E550" i="25"/>
  <c r="E551" i="25"/>
  <c r="E552" i="25"/>
  <c r="E553" i="25"/>
  <c r="E554" i="25"/>
  <c r="E555" i="25"/>
  <c r="E556" i="25"/>
  <c r="E557" i="25"/>
  <c r="E558" i="25"/>
  <c r="E559" i="25"/>
  <c r="E560" i="25"/>
  <c r="E561" i="25"/>
  <c r="E562" i="25"/>
  <c r="E563" i="25"/>
  <c r="E564" i="25"/>
  <c r="E565" i="25"/>
  <c r="E566" i="25"/>
  <c r="E567" i="25"/>
  <c r="E568" i="25"/>
  <c r="E569" i="25"/>
  <c r="E570" i="25"/>
  <c r="E571" i="25"/>
  <c r="E572" i="25"/>
  <c r="E573" i="25"/>
  <c r="E574" i="25"/>
  <c r="E575" i="25"/>
  <c r="E576" i="25"/>
  <c r="E577" i="25"/>
  <c r="E578" i="25"/>
  <c r="E579" i="25"/>
  <c r="E580" i="25"/>
  <c r="E581" i="25"/>
  <c r="E582" i="25"/>
  <c r="E583" i="25"/>
  <c r="E584" i="25"/>
  <c r="E585" i="25"/>
  <c r="E586" i="25"/>
  <c r="E587" i="25"/>
  <c r="E588" i="25"/>
  <c r="E589" i="25"/>
  <c r="E590" i="25"/>
  <c r="E591" i="25"/>
  <c r="E592" i="25"/>
  <c r="E593" i="25"/>
  <c r="E594" i="25"/>
  <c r="E595" i="25"/>
  <c r="E596" i="25"/>
  <c r="E597" i="25"/>
  <c r="E598" i="25"/>
  <c r="E599" i="25"/>
  <c r="E600" i="25"/>
  <c r="E601" i="25"/>
  <c r="E602" i="25"/>
  <c r="E603" i="25"/>
  <c r="E604" i="25"/>
  <c r="E605" i="25"/>
  <c r="E606" i="25"/>
  <c r="E607" i="25"/>
  <c r="E608" i="25"/>
  <c r="E609" i="25"/>
  <c r="E610" i="25"/>
  <c r="E611" i="25"/>
  <c r="E612" i="25"/>
  <c r="E613" i="25"/>
  <c r="E614" i="25"/>
  <c r="E615" i="25"/>
  <c r="E616" i="25"/>
  <c r="E617" i="25"/>
  <c r="E618" i="25"/>
  <c r="E619" i="25"/>
  <c r="E620" i="25"/>
  <c r="E621" i="25"/>
  <c r="E622" i="25"/>
  <c r="E623" i="25"/>
  <c r="E624" i="25"/>
  <c r="E625" i="25"/>
  <c r="E626" i="25"/>
  <c r="E627" i="25"/>
  <c r="E628" i="25"/>
  <c r="E629" i="25"/>
  <c r="E630" i="25"/>
  <c r="E631" i="25"/>
  <c r="E632" i="25"/>
  <c r="E633" i="25"/>
  <c r="E634" i="25"/>
  <c r="E635" i="25"/>
  <c r="E636" i="25"/>
  <c r="E637" i="25"/>
  <c r="E638" i="25"/>
  <c r="E639" i="25"/>
  <c r="E640" i="25"/>
  <c r="E641" i="25"/>
  <c r="E642" i="25"/>
  <c r="E643" i="25"/>
  <c r="E644" i="25"/>
  <c r="E645" i="25"/>
  <c r="E646" i="25"/>
  <c r="E647" i="25"/>
  <c r="E648" i="25"/>
  <c r="E649" i="25"/>
  <c r="E650" i="25"/>
  <c r="E651" i="25"/>
  <c r="E652" i="25"/>
  <c r="E653" i="25"/>
  <c r="E654" i="25"/>
  <c r="E655" i="25"/>
  <c r="E656" i="25"/>
  <c r="E657" i="25"/>
  <c r="E658" i="25"/>
  <c r="E659" i="25"/>
  <c r="E660" i="25"/>
  <c r="E661" i="25"/>
  <c r="E662" i="25"/>
  <c r="E663" i="25"/>
  <c r="E664" i="25"/>
  <c r="E665" i="25"/>
  <c r="E666" i="25"/>
  <c r="E667" i="25"/>
  <c r="E668" i="25"/>
  <c r="E669" i="25"/>
  <c r="E670" i="25"/>
  <c r="E671" i="25"/>
  <c r="E672" i="25"/>
  <c r="E673" i="25"/>
  <c r="E674" i="25"/>
  <c r="E676" i="25"/>
  <c r="E677" i="25"/>
  <c r="E678" i="25"/>
  <c r="E679" i="25"/>
  <c r="E680" i="25"/>
  <c r="E681" i="25"/>
  <c r="E682" i="25"/>
  <c r="E683" i="25"/>
  <c r="E684" i="25"/>
  <c r="E685" i="25"/>
  <c r="E686" i="25"/>
  <c r="E687" i="25"/>
  <c r="E688" i="25"/>
  <c r="E689" i="25"/>
  <c r="E690" i="25"/>
  <c r="E692" i="25"/>
  <c r="E693" i="25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J790" i="14"/>
  <c r="J791" i="14"/>
  <c r="J792" i="14"/>
  <c r="J793" i="14"/>
  <c r="J794" i="14"/>
  <c r="J795" i="14"/>
  <c r="J796" i="14"/>
  <c r="J797" i="14"/>
  <c r="J798" i="14"/>
  <c r="J799" i="14"/>
  <c r="J800" i="14"/>
  <c r="J801" i="14"/>
  <c r="J802" i="14"/>
  <c r="J803" i="14"/>
  <c r="J804" i="14"/>
  <c r="J805" i="14"/>
  <c r="J806" i="14"/>
  <c r="J807" i="14"/>
  <c r="J808" i="14"/>
  <c r="J809" i="14"/>
  <c r="J810" i="14"/>
  <c r="J811" i="14"/>
  <c r="J812" i="14"/>
  <c r="J813" i="14"/>
  <c r="J814" i="14"/>
  <c r="J815" i="14"/>
  <c r="J816" i="14"/>
  <c r="J817" i="14"/>
  <c r="J818" i="14"/>
  <c r="J819" i="14"/>
  <c r="J820" i="14"/>
  <c r="J821" i="14"/>
  <c r="J822" i="14"/>
  <c r="J823" i="14"/>
  <c r="J824" i="14"/>
  <c r="J825" i="14"/>
  <c r="J826" i="14"/>
  <c r="J827" i="14"/>
  <c r="J828" i="14"/>
  <c r="J829" i="14"/>
  <c r="J830" i="14"/>
  <c r="J831" i="14"/>
  <c r="J832" i="14"/>
  <c r="J833" i="14"/>
  <c r="J834" i="14"/>
  <c r="J835" i="14"/>
  <c r="J836" i="14"/>
  <c r="J837" i="14"/>
  <c r="J838" i="14"/>
  <c r="J839" i="14"/>
  <c r="J840" i="14"/>
  <c r="J841" i="14"/>
  <c r="J842" i="14"/>
  <c r="J843" i="14"/>
  <c r="J844" i="14"/>
  <c r="J845" i="14"/>
  <c r="J846" i="14"/>
  <c r="J847" i="14"/>
  <c r="J848" i="14"/>
  <c r="J849" i="14"/>
  <c r="J850" i="14"/>
  <c r="J851" i="14"/>
  <c r="J852" i="14"/>
  <c r="J853" i="14"/>
  <c r="J854" i="14"/>
  <c r="J855" i="14"/>
  <c r="J856" i="14"/>
  <c r="J857" i="14"/>
  <c r="J858" i="14"/>
  <c r="J859" i="14"/>
  <c r="J860" i="14"/>
  <c r="J861" i="14"/>
  <c r="J862" i="14"/>
  <c r="J863" i="14"/>
  <c r="J864" i="14"/>
  <c r="J865" i="14"/>
  <c r="J866" i="14"/>
  <c r="J867" i="14"/>
  <c r="J868" i="14"/>
  <c r="J869" i="14"/>
  <c r="J870" i="14"/>
  <c r="J871" i="14"/>
  <c r="J872" i="14"/>
  <c r="J873" i="14"/>
  <c r="J874" i="14"/>
  <c r="J875" i="14"/>
  <c r="J876" i="14"/>
  <c r="J877" i="14"/>
  <c r="J878" i="14"/>
  <c r="J879" i="14"/>
  <c r="J880" i="14"/>
  <c r="J881" i="14"/>
  <c r="J882" i="14"/>
  <c r="J883" i="14"/>
  <c r="J884" i="14"/>
  <c r="J885" i="14"/>
  <c r="J886" i="14"/>
  <c r="J887" i="14"/>
  <c r="J888" i="14"/>
  <c r="J889" i="14"/>
  <c r="J890" i="14"/>
  <c r="J891" i="14"/>
  <c r="J892" i="14"/>
  <c r="J893" i="14"/>
  <c r="J894" i="14"/>
  <c r="J895" i="14"/>
  <c r="J896" i="14"/>
  <c r="J897" i="14"/>
  <c r="J898" i="14"/>
  <c r="J899" i="14"/>
  <c r="J900" i="14"/>
  <c r="J901" i="14"/>
  <c r="J902" i="14"/>
  <c r="J903" i="14"/>
  <c r="J904" i="14"/>
  <c r="J905" i="14"/>
  <c r="J906" i="14"/>
  <c r="J907" i="14"/>
  <c r="J908" i="14"/>
  <c r="J909" i="14"/>
  <c r="J910" i="14"/>
  <c r="J911" i="14"/>
  <c r="J912" i="14"/>
  <c r="J913" i="14"/>
  <c r="J914" i="14"/>
  <c r="J915" i="14"/>
  <c r="J916" i="14"/>
  <c r="J917" i="14"/>
  <c r="J918" i="14"/>
  <c r="J919" i="14"/>
  <c r="J920" i="14"/>
  <c r="J921" i="14"/>
  <c r="J922" i="14"/>
  <c r="J923" i="14"/>
  <c r="J924" i="14"/>
  <c r="J925" i="14"/>
  <c r="J926" i="14"/>
  <c r="J927" i="14"/>
  <c r="J928" i="14"/>
  <c r="J929" i="14"/>
  <c r="J930" i="14"/>
  <c r="J931" i="14"/>
  <c r="J932" i="14"/>
  <c r="J933" i="14"/>
  <c r="J934" i="14"/>
  <c r="J935" i="14"/>
  <c r="J936" i="14"/>
  <c r="J937" i="14"/>
  <c r="J938" i="14"/>
  <c r="J939" i="14"/>
  <c r="J940" i="14"/>
  <c r="J941" i="14"/>
  <c r="J942" i="14"/>
  <c r="J943" i="14"/>
  <c r="J944" i="14"/>
  <c r="J945" i="14"/>
  <c r="J946" i="14"/>
  <c r="J947" i="14"/>
  <c r="J948" i="14"/>
  <c r="J949" i="14"/>
  <c r="J950" i="14"/>
  <c r="J951" i="14"/>
  <c r="J952" i="14"/>
  <c r="J953" i="14"/>
  <c r="J954" i="14"/>
  <c r="J955" i="14"/>
  <c r="J956" i="14"/>
  <c r="J957" i="14"/>
  <c r="J958" i="14"/>
  <c r="J959" i="14"/>
  <c r="J960" i="14"/>
  <c r="J961" i="14"/>
  <c r="J962" i="14"/>
  <c r="J963" i="14"/>
  <c r="J964" i="14"/>
  <c r="J965" i="14"/>
  <c r="J966" i="14"/>
  <c r="J967" i="14"/>
  <c r="J968" i="14"/>
  <c r="J969" i="14"/>
  <c r="J970" i="14"/>
  <c r="J971" i="14"/>
  <c r="J972" i="14"/>
  <c r="J973" i="14"/>
  <c r="J974" i="14"/>
  <c r="J975" i="14"/>
  <c r="J976" i="14"/>
  <c r="J977" i="14"/>
  <c r="J978" i="14"/>
  <c r="J979" i="14"/>
  <c r="J980" i="14"/>
  <c r="J981" i="14"/>
  <c r="J982" i="14"/>
  <c r="J983" i="14"/>
  <c r="J984" i="14"/>
  <c r="J985" i="14"/>
  <c r="J986" i="14"/>
  <c r="J987" i="14"/>
  <c r="J988" i="14"/>
  <c r="J989" i="14"/>
  <c r="J990" i="14"/>
  <c r="J991" i="14"/>
  <c r="J992" i="14"/>
  <c r="J993" i="14"/>
  <c r="J994" i="14"/>
  <c r="J995" i="14"/>
  <c r="J996" i="14"/>
  <c r="J997" i="14"/>
  <c r="J998" i="14"/>
  <c r="J999" i="14"/>
  <c r="J1000" i="14"/>
  <c r="J1001" i="14"/>
  <c r="J1002" i="14"/>
  <c r="J1003" i="14"/>
  <c r="J1004" i="14"/>
  <c r="J1005" i="14"/>
  <c r="J1006" i="14"/>
  <c r="J1007" i="14"/>
  <c r="J1008" i="14"/>
  <c r="J1009" i="14"/>
  <c r="J1010" i="14"/>
  <c r="J1011" i="14"/>
  <c r="J1012" i="14"/>
  <c r="J1013" i="14"/>
  <c r="J1014" i="14"/>
  <c r="J1015" i="14"/>
  <c r="J1016" i="14"/>
  <c r="J1017" i="14"/>
  <c r="J1018" i="14"/>
  <c r="J1019" i="14"/>
  <c r="J1020" i="14"/>
  <c r="J1021" i="14"/>
  <c r="J1022" i="14"/>
  <c r="J1023" i="14"/>
  <c r="J1024" i="14"/>
  <c r="J1025" i="14"/>
  <c r="J1026" i="14"/>
  <c r="J1027" i="14"/>
  <c r="J1028" i="14"/>
  <c r="J1029" i="14"/>
  <c r="J1030" i="14"/>
  <c r="J1031" i="14"/>
  <c r="J1032" i="14"/>
  <c r="J1033" i="14"/>
  <c r="J1034" i="14"/>
  <c r="J1035" i="14"/>
  <c r="J1036" i="14"/>
  <c r="J1037" i="14"/>
  <c r="J1038" i="14"/>
  <c r="J1039" i="14"/>
  <c r="J1040" i="14"/>
  <c r="J1041" i="14"/>
  <c r="J1042" i="14"/>
  <c r="J1043" i="14"/>
  <c r="J1044" i="14"/>
  <c r="J1045" i="14"/>
  <c r="J1046" i="14"/>
  <c r="J1047" i="14"/>
  <c r="J1048" i="14"/>
  <c r="J1049" i="14"/>
  <c r="J1050" i="14"/>
  <c r="J1051" i="14"/>
  <c r="J1052" i="14"/>
  <c r="J1053" i="14"/>
  <c r="J1054" i="14"/>
  <c r="J1055" i="14"/>
  <c r="J1056" i="14"/>
  <c r="J1057" i="14"/>
  <c r="J1058" i="14"/>
  <c r="J1059" i="14"/>
  <c r="J1060" i="14"/>
  <c r="J1061" i="14"/>
  <c r="J1062" i="14"/>
  <c r="J1063" i="14"/>
  <c r="J1064" i="14"/>
  <c r="J1065" i="14"/>
  <c r="J1066" i="14"/>
  <c r="J1067" i="14"/>
  <c r="J1068" i="14"/>
  <c r="J1069" i="14"/>
  <c r="J1070" i="14"/>
  <c r="J1071" i="14"/>
  <c r="J1072" i="14"/>
  <c r="J1073" i="14"/>
  <c r="J1074" i="14"/>
  <c r="J1075" i="14"/>
  <c r="J1076" i="14"/>
  <c r="J1077" i="14"/>
  <c r="J1078" i="14"/>
  <c r="J1079" i="14"/>
  <c r="J1080" i="14"/>
  <c r="J1081" i="14"/>
  <c r="J1082" i="14"/>
  <c r="J1083" i="14"/>
  <c r="J1084" i="14"/>
  <c r="J1085" i="14"/>
  <c r="J1086" i="14"/>
  <c r="J1087" i="14"/>
  <c r="J1088" i="14"/>
  <c r="J1089" i="14"/>
  <c r="J1090" i="14"/>
  <c r="J1091" i="14"/>
  <c r="J1092" i="14"/>
  <c r="J1093" i="14"/>
  <c r="J1094" i="14"/>
  <c r="J1095" i="14"/>
  <c r="J1096" i="14"/>
  <c r="J1097" i="14"/>
  <c r="J1098" i="14"/>
  <c r="J1099" i="14"/>
  <c r="J1100" i="14"/>
  <c r="J1101" i="14"/>
  <c r="J1102" i="14"/>
  <c r="J1103" i="14"/>
  <c r="J1104" i="14"/>
  <c r="J1105" i="14"/>
  <c r="J1106" i="14"/>
  <c r="J1107" i="14"/>
  <c r="J1108" i="14"/>
  <c r="J1109" i="14"/>
  <c r="J1110" i="14"/>
  <c r="J1111" i="14"/>
  <c r="J1112" i="14"/>
  <c r="J1113" i="14"/>
  <c r="J1114" i="14"/>
  <c r="J1115" i="14"/>
  <c r="J1116" i="14"/>
  <c r="J1117" i="14"/>
  <c r="J1118" i="14"/>
  <c r="J1119" i="14"/>
  <c r="J1120" i="14"/>
  <c r="J1121" i="14"/>
  <c r="J1122" i="14"/>
  <c r="J1123" i="14"/>
  <c r="J1124" i="14"/>
  <c r="J1125" i="14"/>
  <c r="J1126" i="14"/>
  <c r="J1127" i="14"/>
  <c r="J1128" i="14"/>
  <c r="J1129" i="14"/>
  <c r="J1130" i="14"/>
  <c r="J1131" i="14"/>
  <c r="J1132" i="14"/>
  <c r="J1133" i="14"/>
  <c r="J1134" i="14"/>
  <c r="J1135" i="14"/>
  <c r="J1136" i="14"/>
  <c r="J1137" i="14"/>
  <c r="J1138" i="14"/>
  <c r="J1139" i="14"/>
  <c r="J1140" i="14"/>
  <c r="J1141" i="14"/>
  <c r="J1142" i="14"/>
  <c r="J1143" i="14"/>
  <c r="J1144" i="14"/>
  <c r="J1145" i="14"/>
  <c r="J1146" i="14"/>
  <c r="J1147" i="14"/>
  <c r="J1148" i="14"/>
  <c r="J1149" i="14"/>
  <c r="J1150" i="14"/>
  <c r="J1151" i="14"/>
  <c r="J1152" i="14"/>
  <c r="J1153" i="14"/>
  <c r="J1154" i="14"/>
  <c r="J1155" i="14"/>
  <c r="J1156" i="14"/>
  <c r="J1157" i="14"/>
  <c r="J1158" i="14"/>
  <c r="J1159" i="14"/>
  <c r="J1160" i="14"/>
  <c r="J1161" i="14"/>
  <c r="J1162" i="14"/>
  <c r="J1163" i="14"/>
  <c r="J1164" i="14"/>
  <c r="J1165" i="14"/>
  <c r="J1166" i="14"/>
  <c r="J1167" i="14"/>
  <c r="J1168" i="14"/>
  <c r="J1169" i="14"/>
  <c r="J1170" i="14"/>
  <c r="J1171" i="14"/>
  <c r="J1172" i="14"/>
  <c r="J1173" i="14"/>
  <c r="J1174" i="14"/>
  <c r="J1175" i="14"/>
  <c r="J1176" i="14"/>
  <c r="J1177" i="14"/>
  <c r="J1178" i="14"/>
  <c r="J1179" i="14"/>
  <c r="J1180" i="14"/>
  <c r="J1181" i="14"/>
  <c r="J1182" i="14"/>
  <c r="J1183" i="14"/>
  <c r="J1184" i="14"/>
  <c r="J1185" i="14"/>
  <c r="J1186" i="14"/>
  <c r="J1187" i="14"/>
  <c r="J1188" i="14"/>
  <c r="J1189" i="14"/>
  <c r="J1190" i="14"/>
  <c r="J1191" i="14"/>
  <c r="J1192" i="14"/>
  <c r="J1193" i="14"/>
  <c r="J1194" i="14"/>
  <c r="J1195" i="14"/>
  <c r="J1196" i="14"/>
  <c r="J1197" i="14"/>
  <c r="J1198" i="14"/>
  <c r="J1199" i="14"/>
  <c r="J1200" i="14"/>
  <c r="J1201" i="14"/>
  <c r="J1202" i="14"/>
  <c r="J1203" i="14"/>
  <c r="J1204" i="14"/>
  <c r="J1205" i="14"/>
  <c r="J1206" i="14"/>
  <c r="J1207" i="14"/>
  <c r="J1208" i="14"/>
  <c r="J1209" i="14"/>
  <c r="J1210" i="14"/>
  <c r="J1211" i="14"/>
  <c r="J1212" i="14"/>
  <c r="J1213" i="14"/>
  <c r="J1214" i="14"/>
  <c r="J1215" i="14"/>
  <c r="J1216" i="14"/>
  <c r="J1217" i="14"/>
  <c r="J1218" i="14"/>
  <c r="J1219" i="14"/>
  <c r="J1220" i="14"/>
  <c r="J1221" i="14"/>
  <c r="J1222" i="14"/>
  <c r="J1223" i="14"/>
  <c r="J1224" i="14"/>
  <c r="J1225" i="14"/>
  <c r="J1226" i="14"/>
  <c r="J1227" i="14"/>
  <c r="J1228" i="14"/>
  <c r="J1229" i="14"/>
  <c r="J1230" i="14"/>
  <c r="J1231" i="14"/>
  <c r="J1232" i="14"/>
  <c r="J1233" i="14"/>
  <c r="J1234" i="14"/>
  <c r="J1235" i="14"/>
  <c r="J1236" i="14"/>
  <c r="J1237" i="14"/>
  <c r="J1238" i="14"/>
  <c r="J1239" i="14"/>
  <c r="J1240" i="14"/>
  <c r="J1241" i="14"/>
  <c r="J1242" i="14"/>
  <c r="J1243" i="14"/>
  <c r="J1244" i="14"/>
  <c r="J1245" i="14"/>
  <c r="J1246" i="14"/>
  <c r="J1247" i="14"/>
  <c r="J1248" i="14"/>
  <c r="J1249" i="14"/>
  <c r="J1250" i="14"/>
  <c r="J1251" i="14"/>
  <c r="J1252" i="14"/>
  <c r="J1253" i="14"/>
  <c r="J1254" i="14"/>
  <c r="J1255" i="14"/>
  <c r="J1256" i="14"/>
  <c r="J1257" i="14"/>
  <c r="J1258" i="14"/>
  <c r="J1259" i="14"/>
  <c r="J1260" i="14"/>
  <c r="J1261" i="14"/>
  <c r="J1262" i="14"/>
  <c r="J1263" i="14"/>
  <c r="J1264" i="14"/>
  <c r="J1265" i="14"/>
  <c r="J1266" i="14"/>
  <c r="J1267" i="14"/>
  <c r="J1268" i="14"/>
  <c r="J1269" i="14"/>
  <c r="J1270" i="14"/>
  <c r="J1271" i="14"/>
  <c r="J1272" i="14"/>
  <c r="J1273" i="14"/>
  <c r="J1274" i="14"/>
  <c r="J1275" i="14"/>
  <c r="J1276" i="14"/>
  <c r="J1277" i="14"/>
  <c r="J1278" i="14"/>
  <c r="J1279" i="14"/>
  <c r="J1280" i="14"/>
  <c r="J1281" i="14"/>
  <c r="J1282" i="14"/>
  <c r="J1283" i="14"/>
  <c r="J1284" i="14"/>
  <c r="J1285" i="14"/>
  <c r="J1286" i="14"/>
  <c r="J1287" i="14"/>
  <c r="J1288" i="14"/>
  <c r="J1289" i="14"/>
  <c r="J1290" i="14"/>
  <c r="J1291" i="14"/>
  <c r="J1292" i="14"/>
  <c r="J1293" i="14"/>
  <c r="J1294" i="14"/>
  <c r="J1295" i="14"/>
  <c r="J1296" i="14"/>
  <c r="J1297" i="14"/>
  <c r="J1298" i="14"/>
  <c r="J1299" i="14"/>
  <c r="J1300" i="14"/>
  <c r="J1301" i="14"/>
  <c r="J1302" i="14"/>
  <c r="J1303" i="14"/>
  <c r="J1304" i="14"/>
  <c r="J1305" i="14"/>
  <c r="J1306" i="14"/>
  <c r="J1307" i="14"/>
  <c r="J1308" i="14"/>
  <c r="J1309" i="14"/>
  <c r="J1310" i="14"/>
  <c r="J1311" i="14"/>
  <c r="J1312" i="14"/>
  <c r="J1313" i="14"/>
  <c r="J1314" i="14"/>
  <c r="J1315" i="14"/>
  <c r="J1316" i="14"/>
  <c r="J1317" i="14"/>
  <c r="J1318" i="14"/>
  <c r="J1319" i="14"/>
  <c r="J1320" i="14"/>
  <c r="J1321" i="14"/>
  <c r="J1322" i="14"/>
  <c r="J1323" i="14"/>
  <c r="J1324" i="14"/>
  <c r="J1325" i="14"/>
  <c r="J1326" i="14"/>
  <c r="J1327" i="14"/>
  <c r="J1328" i="14"/>
  <c r="J1329" i="14"/>
  <c r="J1330" i="14"/>
  <c r="J1331" i="14"/>
  <c r="J1332" i="14"/>
  <c r="J1333" i="14"/>
  <c r="J1334" i="14"/>
  <c r="J1335" i="14"/>
  <c r="J1336" i="14"/>
  <c r="J1337" i="14"/>
  <c r="J1338" i="14"/>
  <c r="J1339" i="14"/>
  <c r="J1340" i="14"/>
  <c r="J1341" i="14"/>
  <c r="J1342" i="14"/>
  <c r="J1343" i="14"/>
  <c r="J1344" i="14"/>
  <c r="J1345" i="14"/>
  <c r="J1346" i="14"/>
  <c r="J1347" i="14"/>
  <c r="J1348" i="14"/>
  <c r="J1349" i="14"/>
  <c r="J1350" i="14"/>
  <c r="J1351" i="14"/>
  <c r="J1352" i="14"/>
  <c r="J1353" i="14"/>
  <c r="J1354" i="14"/>
  <c r="J1355" i="14"/>
  <c r="J1356" i="14"/>
  <c r="J1357" i="14"/>
  <c r="J1358" i="14"/>
  <c r="J1359" i="14"/>
  <c r="J1360" i="14"/>
  <c r="J1361" i="14"/>
  <c r="J1362" i="14"/>
  <c r="J1363" i="14"/>
  <c r="J1364" i="14"/>
  <c r="J1365" i="14"/>
  <c r="J1366" i="14"/>
  <c r="J1367" i="14"/>
  <c r="J1368" i="14"/>
  <c r="J1369" i="14"/>
  <c r="J1370" i="14"/>
  <c r="J1371" i="14"/>
  <c r="J1372" i="14"/>
  <c r="J1373" i="14"/>
  <c r="J1374" i="14"/>
  <c r="J1375" i="14"/>
  <c r="J1376" i="14"/>
  <c r="J1377" i="14"/>
  <c r="J1378" i="14"/>
  <c r="J1379" i="14"/>
  <c r="J1380" i="14"/>
  <c r="J1381" i="14"/>
  <c r="J1382" i="14"/>
  <c r="J1383" i="14"/>
  <c r="J1384" i="14"/>
  <c r="J1385" i="14"/>
  <c r="J1386" i="14"/>
  <c r="J1387" i="14"/>
  <c r="J1388" i="14"/>
  <c r="J1389" i="14"/>
  <c r="J1390" i="14"/>
  <c r="J1391" i="14"/>
  <c r="J1392" i="14"/>
  <c r="J1393" i="14"/>
  <c r="J1394" i="14"/>
  <c r="J1395" i="14"/>
  <c r="J1396" i="14"/>
  <c r="J1397" i="14"/>
  <c r="J1398" i="14"/>
  <c r="J1399" i="14"/>
  <c r="J1400" i="14"/>
  <c r="J1401" i="14"/>
  <c r="J1402" i="14"/>
  <c r="J1403" i="14"/>
  <c r="J1404" i="14"/>
  <c r="J1405" i="14"/>
  <c r="J1406" i="14"/>
  <c r="J1407" i="14"/>
  <c r="J1408" i="14"/>
  <c r="J1409" i="14"/>
  <c r="J1410" i="14"/>
  <c r="J1411" i="14"/>
  <c r="J1412" i="14"/>
  <c r="J1413" i="14"/>
  <c r="J1414" i="14"/>
  <c r="J1415" i="14"/>
  <c r="J1416" i="14"/>
  <c r="J1417" i="14"/>
  <c r="J1418" i="14"/>
  <c r="J1419" i="14"/>
  <c r="J1420" i="14"/>
  <c r="J1421" i="14"/>
  <c r="J1422" i="14"/>
  <c r="J1423" i="14"/>
  <c r="J1424" i="14"/>
  <c r="J1425" i="14"/>
  <c r="J1426" i="14"/>
  <c r="J1427" i="14"/>
  <c r="J1428" i="14"/>
  <c r="J1429" i="14"/>
  <c r="J1430" i="14"/>
  <c r="J1431" i="14"/>
  <c r="J1432" i="14"/>
  <c r="J1433" i="14"/>
  <c r="J1434" i="14"/>
  <c r="J1435" i="14"/>
  <c r="J1436" i="14"/>
  <c r="J1437" i="14"/>
  <c r="J1438" i="14"/>
  <c r="J1439" i="14"/>
  <c r="J1440" i="14"/>
  <c r="J1441" i="14"/>
  <c r="J1442" i="14"/>
  <c r="J1443" i="14"/>
  <c r="J1444" i="14"/>
  <c r="J1445" i="14"/>
  <c r="J1446" i="14"/>
  <c r="J1447" i="14"/>
  <c r="J1448" i="14"/>
  <c r="J1449" i="14"/>
  <c r="J1450" i="14"/>
  <c r="J1451" i="14"/>
  <c r="J1452" i="14"/>
  <c r="J1453" i="14"/>
  <c r="J1454" i="14"/>
  <c r="J1455" i="14"/>
  <c r="J1456" i="14"/>
  <c r="J1457" i="14"/>
  <c r="J1458" i="14"/>
  <c r="J1459" i="14"/>
  <c r="J1460" i="14"/>
  <c r="J1461" i="14"/>
  <c r="J1462" i="14"/>
  <c r="J1463" i="14"/>
  <c r="J1464" i="14"/>
  <c r="J1465" i="14"/>
  <c r="J1466" i="14"/>
  <c r="J1467" i="14"/>
  <c r="J1468" i="14"/>
  <c r="J1469" i="14"/>
  <c r="J1470" i="14"/>
  <c r="J1471" i="14"/>
  <c r="J1472" i="14"/>
  <c r="J1473" i="14"/>
  <c r="J1474" i="14"/>
  <c r="J1475" i="14"/>
  <c r="J1476" i="14"/>
  <c r="J1477" i="14"/>
  <c r="J1478" i="14"/>
  <c r="J1479" i="14"/>
  <c r="J1480" i="14"/>
  <c r="J1481" i="14"/>
  <c r="J1482" i="14"/>
  <c r="J1483" i="14"/>
  <c r="J1484" i="14"/>
  <c r="J1485" i="14"/>
  <c r="J1486" i="14"/>
  <c r="J1487" i="14"/>
  <c r="J1488" i="14"/>
  <c r="J1489" i="14"/>
  <c r="J1490" i="14"/>
  <c r="J1491" i="14"/>
  <c r="J1492" i="14"/>
  <c r="J1493" i="14"/>
  <c r="J1494" i="14"/>
  <c r="J1495" i="14"/>
  <c r="J1496" i="14"/>
  <c r="J1497" i="14"/>
  <c r="J1498" i="14"/>
  <c r="J1499" i="14"/>
  <c r="J1500" i="14"/>
  <c r="J1501" i="14"/>
  <c r="J1502" i="14"/>
  <c r="J1503" i="14"/>
  <c r="J1504" i="14"/>
  <c r="J1505" i="14"/>
  <c r="J1506" i="14"/>
  <c r="J1507" i="14"/>
  <c r="J1508" i="14"/>
  <c r="J1509" i="14"/>
  <c r="J1510" i="14"/>
  <c r="J1511" i="14"/>
  <c r="J1512" i="14"/>
  <c r="J1513" i="14"/>
  <c r="J1514" i="14"/>
  <c r="J1515" i="14"/>
  <c r="J1516" i="14"/>
  <c r="J1517" i="14"/>
  <c r="J1518" i="14"/>
  <c r="J1519" i="14"/>
  <c r="J1520" i="14"/>
  <c r="J1521" i="14"/>
  <c r="J1522" i="14"/>
  <c r="J1523" i="14"/>
  <c r="J1524" i="14"/>
  <c r="J1525" i="14"/>
  <c r="J1526" i="14"/>
  <c r="J1527" i="14"/>
  <c r="J1528" i="14"/>
  <c r="J1529" i="14"/>
  <c r="J1530" i="14"/>
  <c r="J1531" i="14"/>
  <c r="J1532" i="14"/>
  <c r="J1533" i="14"/>
  <c r="J1534" i="14"/>
  <c r="J1535" i="14"/>
  <c r="J1536" i="14"/>
  <c r="J1537" i="14"/>
  <c r="J1538" i="14"/>
  <c r="J1539" i="14"/>
  <c r="J1540" i="14"/>
  <c r="J1541" i="14"/>
  <c r="J1542" i="14"/>
  <c r="J1543" i="14"/>
  <c r="J1544" i="14"/>
  <c r="J1545" i="14"/>
  <c r="J1546" i="14"/>
  <c r="J1547" i="14"/>
  <c r="J1548" i="14"/>
  <c r="J1549" i="14"/>
  <c r="J1550" i="14"/>
  <c r="J1551" i="14"/>
  <c r="J1552" i="14"/>
  <c r="J1553" i="14"/>
  <c r="J1554" i="14"/>
  <c r="J1555" i="14"/>
  <c r="J1556" i="14"/>
  <c r="J1557" i="14"/>
  <c r="J1558" i="14"/>
  <c r="J1559" i="14"/>
  <c r="J1560" i="14"/>
  <c r="J1561" i="14"/>
  <c r="J1562" i="14"/>
  <c r="J1563" i="14"/>
  <c r="J1564" i="14"/>
  <c r="J1565" i="14"/>
  <c r="J1566" i="14"/>
  <c r="J1567" i="14"/>
  <c r="J1568" i="14"/>
  <c r="J1569" i="14"/>
  <c r="J1570" i="14"/>
  <c r="J1571" i="14"/>
  <c r="J1572" i="14"/>
  <c r="J1573" i="14"/>
  <c r="J1574" i="14"/>
  <c r="J1575" i="14"/>
  <c r="J1576" i="14"/>
  <c r="J1577" i="14"/>
  <c r="J1578" i="14"/>
  <c r="J1579" i="14"/>
  <c r="J1580" i="14"/>
  <c r="J1581" i="14"/>
  <c r="J1582" i="14"/>
  <c r="J1583" i="14"/>
  <c r="J1584" i="14"/>
  <c r="J1585" i="14"/>
  <c r="J1586" i="14"/>
  <c r="J1587" i="14"/>
  <c r="J1588" i="14"/>
  <c r="J1589" i="14"/>
  <c r="J1590" i="14"/>
  <c r="J1591" i="14"/>
  <c r="J1592" i="14"/>
  <c r="J1593" i="14"/>
  <c r="J1594" i="14"/>
  <c r="J1595" i="14"/>
  <c r="J1596" i="14"/>
  <c r="J1597" i="14"/>
  <c r="J1598" i="14"/>
  <c r="J1599" i="14"/>
  <c r="J1600" i="14"/>
  <c r="J1601" i="14"/>
  <c r="J1602" i="14"/>
  <c r="J1603" i="14"/>
  <c r="J1604" i="14"/>
  <c r="J1605" i="14"/>
  <c r="J1606" i="14"/>
  <c r="J1607" i="14"/>
  <c r="J1608" i="14"/>
  <c r="J1609" i="14"/>
  <c r="J1610" i="14"/>
  <c r="J1611" i="14"/>
  <c r="J1612" i="14"/>
  <c r="J1613" i="14"/>
  <c r="J1614" i="14"/>
  <c r="J1615" i="14"/>
  <c r="J1616" i="14"/>
  <c r="J1617" i="14"/>
  <c r="J1618" i="14"/>
  <c r="J1619" i="14"/>
  <c r="J1620" i="14"/>
  <c r="J1621" i="14"/>
  <c r="J1622" i="14"/>
  <c r="J1623" i="14"/>
  <c r="J1624" i="14"/>
  <c r="J1625" i="14"/>
  <c r="J1626" i="14"/>
  <c r="J1627" i="14"/>
  <c r="J1628" i="14"/>
  <c r="J1629" i="14"/>
  <c r="J1630" i="14"/>
  <c r="J1631" i="14"/>
  <c r="J1632" i="14"/>
  <c r="J1633" i="14"/>
  <c r="J1634" i="14"/>
  <c r="J1635" i="14"/>
  <c r="J1636" i="14"/>
  <c r="J1637" i="14"/>
  <c r="J1638" i="14"/>
  <c r="J1639" i="14"/>
  <c r="J1640" i="14"/>
  <c r="J1641" i="14"/>
  <c r="J1642" i="14"/>
  <c r="J1643" i="14"/>
  <c r="J1644" i="14"/>
  <c r="J1645" i="14"/>
  <c r="J1646" i="14"/>
  <c r="J1647" i="14"/>
  <c r="J1648" i="14"/>
  <c r="J1649" i="14"/>
  <c r="J1650" i="14"/>
  <c r="J1651" i="14"/>
  <c r="J1652" i="14"/>
  <c r="J1653" i="14"/>
  <c r="J1654" i="14"/>
  <c r="J1655" i="14"/>
  <c r="J1656" i="14"/>
  <c r="J1657" i="14"/>
  <c r="J1658" i="14"/>
  <c r="J1659" i="14"/>
  <c r="J1660" i="14"/>
  <c r="J1661" i="14"/>
  <c r="J1662" i="14"/>
  <c r="J1663" i="14"/>
  <c r="J1664" i="14"/>
  <c r="J1665" i="14"/>
  <c r="J1666" i="14"/>
  <c r="J1667" i="14"/>
  <c r="J1668" i="14"/>
  <c r="J1669" i="14"/>
  <c r="J1670" i="14"/>
  <c r="J1671" i="14"/>
  <c r="J1672" i="14"/>
  <c r="J1673" i="14"/>
  <c r="J1674" i="14"/>
  <c r="J1675" i="14"/>
  <c r="J1676" i="14"/>
  <c r="J1677" i="14"/>
  <c r="J1678" i="14"/>
  <c r="J1679" i="14"/>
  <c r="J1680" i="14"/>
  <c r="J1681" i="14"/>
  <c r="J1682" i="14"/>
  <c r="J1683" i="14"/>
  <c r="J1684" i="14"/>
  <c r="J1685" i="14"/>
  <c r="J1686" i="14"/>
  <c r="J1687" i="14"/>
  <c r="J1688" i="14"/>
  <c r="J1689" i="14"/>
  <c r="J1690" i="14"/>
  <c r="J1691" i="14"/>
  <c r="J1692" i="14"/>
  <c r="J1693" i="14"/>
  <c r="J1694" i="14"/>
  <c r="J1695" i="14"/>
  <c r="J1696" i="14"/>
  <c r="J1697" i="14"/>
  <c r="J1698" i="14"/>
  <c r="J1699" i="14"/>
  <c r="J1700" i="14"/>
  <c r="J1701" i="14"/>
  <c r="J1702" i="14"/>
  <c r="J1703" i="14"/>
  <c r="J1704" i="14"/>
  <c r="J1705" i="14"/>
  <c r="J1706" i="14"/>
  <c r="J1707" i="14"/>
  <c r="J1708" i="14"/>
  <c r="J1709" i="14"/>
  <c r="J1710" i="14"/>
  <c r="J1711" i="14"/>
  <c r="J1712" i="14"/>
  <c r="J1713" i="14"/>
  <c r="J1714" i="14"/>
  <c r="J1715" i="14"/>
  <c r="J1716" i="14"/>
  <c r="J1717" i="14"/>
  <c r="J1718" i="14"/>
  <c r="J1719" i="14"/>
  <c r="J1720" i="14"/>
  <c r="J1721" i="14"/>
  <c r="J1722" i="14"/>
  <c r="J1723" i="14"/>
  <c r="J1724" i="14"/>
  <c r="J1725" i="14"/>
  <c r="J1726" i="14"/>
  <c r="J1727" i="14"/>
  <c r="J1728" i="14"/>
  <c r="J1729" i="14"/>
  <c r="J1730" i="14"/>
  <c r="J1731" i="14"/>
  <c r="J1732" i="14"/>
  <c r="J1733" i="14"/>
  <c r="J1734" i="14"/>
  <c r="J1735" i="14"/>
  <c r="J1736" i="14"/>
  <c r="J1737" i="14"/>
  <c r="J1738" i="14"/>
  <c r="J1739" i="14"/>
  <c r="J1740" i="14"/>
  <c r="J1741" i="14"/>
  <c r="J1742" i="14"/>
  <c r="J1743" i="14"/>
  <c r="J1744" i="14"/>
  <c r="J1745" i="14"/>
  <c r="J1746" i="14"/>
  <c r="J1747" i="14"/>
  <c r="J1748" i="14"/>
  <c r="J1749" i="14"/>
  <c r="J1750" i="14"/>
  <c r="J1751" i="14"/>
  <c r="J1752" i="14"/>
  <c r="J1753" i="14"/>
  <c r="J1754" i="14"/>
  <c r="J1755" i="14"/>
  <c r="J1756" i="14"/>
  <c r="J1757" i="14"/>
  <c r="J1758" i="14"/>
  <c r="J1759" i="14"/>
  <c r="J1760" i="14"/>
  <c r="J1761" i="14"/>
  <c r="J1762" i="14"/>
  <c r="J1763" i="14"/>
  <c r="J1764" i="14"/>
  <c r="J1765" i="14"/>
  <c r="J1766" i="14"/>
  <c r="J1767" i="14"/>
  <c r="J1768" i="14"/>
  <c r="J1769" i="14"/>
  <c r="J1770" i="14"/>
  <c r="J1771" i="14"/>
  <c r="J1772" i="14"/>
  <c r="J1773" i="14"/>
  <c r="J1774" i="14"/>
  <c r="J1775" i="14"/>
  <c r="J1776" i="14"/>
  <c r="J1777" i="14"/>
  <c r="J1778" i="14"/>
  <c r="J1779" i="14"/>
  <c r="J1780" i="14"/>
  <c r="J1781" i="14"/>
  <c r="J1782" i="14"/>
  <c r="J1783" i="14"/>
  <c r="J1784" i="14"/>
  <c r="J1785" i="14"/>
  <c r="J1786" i="14"/>
  <c r="J1787" i="14"/>
  <c r="J1788" i="14"/>
  <c r="J1789" i="14"/>
  <c r="J1790" i="14"/>
  <c r="J1791" i="14"/>
  <c r="J1792" i="14"/>
  <c r="J1793" i="14"/>
  <c r="J1794" i="14"/>
  <c r="J1795" i="14"/>
  <c r="J1796" i="14"/>
  <c r="J1797" i="14"/>
  <c r="J1798" i="14"/>
  <c r="J1799" i="14"/>
  <c r="J1800" i="14"/>
  <c r="J1801" i="14"/>
  <c r="J1802" i="14"/>
  <c r="J1803" i="14"/>
  <c r="J1804" i="14"/>
  <c r="J1805" i="14"/>
  <c r="J1806" i="14"/>
  <c r="J1807" i="14"/>
  <c r="J1808" i="14"/>
  <c r="J1809" i="14"/>
  <c r="J1810" i="14"/>
  <c r="J1811" i="14"/>
  <c r="J1812" i="14"/>
  <c r="J1813" i="14"/>
  <c r="J1814" i="14"/>
  <c r="J1815" i="14"/>
  <c r="J1816" i="14"/>
  <c r="J1817" i="14"/>
  <c r="J1818" i="14"/>
  <c r="J1819" i="14"/>
  <c r="J1820" i="14"/>
  <c r="J1821" i="14"/>
  <c r="J1822" i="14"/>
  <c r="J1823" i="14"/>
  <c r="J1824" i="14"/>
  <c r="J1825" i="14"/>
  <c r="J1826" i="14"/>
  <c r="J1827" i="14"/>
  <c r="J1828" i="14"/>
  <c r="J1829" i="14"/>
  <c r="J1830" i="14"/>
  <c r="J1831" i="14"/>
  <c r="J1832" i="14"/>
  <c r="J1833" i="14"/>
  <c r="J1834" i="14"/>
  <c r="J1835" i="14"/>
  <c r="J1836" i="14"/>
  <c r="J1837" i="14"/>
  <c r="J1838" i="14"/>
  <c r="J1839" i="14"/>
  <c r="J1840" i="14"/>
  <c r="J1841" i="14"/>
  <c r="J1842" i="14"/>
  <c r="J1843" i="14"/>
  <c r="J1844" i="14"/>
  <c r="J1845" i="14"/>
  <c r="J1846" i="14"/>
  <c r="J1847" i="14"/>
  <c r="J1848" i="14"/>
  <c r="J1849" i="14"/>
  <c r="J1850" i="14"/>
  <c r="J1851" i="14"/>
  <c r="J1852" i="14"/>
  <c r="J1853" i="14"/>
  <c r="J1854" i="14"/>
  <c r="J1855" i="14"/>
  <c r="J1856" i="14"/>
  <c r="J1857" i="14"/>
  <c r="J1858" i="14"/>
  <c r="J1859" i="14"/>
  <c r="J1860" i="14"/>
  <c r="J1861" i="14"/>
  <c r="J1862" i="14"/>
  <c r="J1863" i="14"/>
  <c r="J1864" i="14"/>
  <c r="J1865" i="14"/>
  <c r="J1866" i="14"/>
  <c r="J1867" i="14"/>
  <c r="J1868" i="14"/>
  <c r="J1869" i="14"/>
  <c r="J1870" i="14"/>
  <c r="J1871" i="14"/>
  <c r="J1872" i="14"/>
  <c r="J1873" i="14"/>
  <c r="J1874" i="14"/>
  <c r="J1875" i="14"/>
  <c r="J1876" i="14"/>
  <c r="J1877" i="14"/>
  <c r="J1878" i="14"/>
  <c r="J1879" i="14"/>
  <c r="J1880" i="14"/>
  <c r="J1881" i="14"/>
  <c r="J1882" i="14"/>
  <c r="J1883" i="14"/>
  <c r="J1884" i="14"/>
  <c r="J1885" i="14"/>
  <c r="J1886" i="14"/>
  <c r="J1887" i="14"/>
  <c r="J1888" i="14"/>
  <c r="J1889" i="14"/>
  <c r="J1890" i="14"/>
  <c r="J1891" i="14"/>
  <c r="J1892" i="14"/>
  <c r="J1893" i="14"/>
  <c r="J1894" i="14"/>
  <c r="J1895" i="14"/>
  <c r="J1896" i="14"/>
  <c r="J1897" i="14"/>
  <c r="J1898" i="14"/>
  <c r="J1899" i="14"/>
  <c r="J1900" i="14"/>
  <c r="J1901" i="14"/>
  <c r="J1902" i="14"/>
  <c r="J1903" i="14"/>
  <c r="J1904" i="14"/>
  <c r="J1905" i="14"/>
  <c r="J1906" i="14"/>
  <c r="J1907" i="14"/>
  <c r="J1908" i="14"/>
  <c r="J1909" i="14"/>
  <c r="J1910" i="14"/>
  <c r="J1911" i="14"/>
  <c r="J1912" i="14"/>
  <c r="J1913" i="14"/>
  <c r="J1914" i="14"/>
  <c r="J1915" i="14"/>
  <c r="J1916" i="14"/>
  <c r="J1917" i="14"/>
  <c r="J1918" i="14"/>
  <c r="J1919" i="14"/>
  <c r="J1920" i="14"/>
  <c r="J1921" i="14"/>
  <c r="J1922" i="14"/>
  <c r="J1923" i="14"/>
  <c r="J1924" i="14"/>
  <c r="J1925" i="14"/>
  <c r="J1926" i="14"/>
  <c r="J1927" i="14"/>
  <c r="J1928" i="14"/>
  <c r="J1929" i="14"/>
  <c r="J1930" i="14"/>
  <c r="J1931" i="14"/>
  <c r="J1932" i="14"/>
  <c r="J1933" i="14"/>
  <c r="J1934" i="14"/>
  <c r="J1935" i="14"/>
  <c r="J1936" i="14"/>
  <c r="J1937" i="14"/>
  <c r="J1938" i="14"/>
  <c r="J1939" i="14"/>
  <c r="J1940" i="14"/>
  <c r="J1941" i="14"/>
  <c r="J1942" i="14"/>
  <c r="J1943" i="14"/>
  <c r="J1944" i="14"/>
  <c r="J1945" i="14"/>
  <c r="J1946" i="14"/>
  <c r="J1947" i="14"/>
  <c r="J1948" i="14"/>
  <c r="J1949" i="14"/>
  <c r="J1950" i="14"/>
  <c r="J1951" i="14"/>
  <c r="J1952" i="14"/>
  <c r="J1953" i="14"/>
  <c r="J1954" i="14"/>
  <c r="J1955" i="14"/>
  <c r="J1956" i="14"/>
  <c r="J1957" i="14"/>
  <c r="J1958" i="14"/>
  <c r="J1959" i="14"/>
  <c r="J1960" i="14"/>
  <c r="J1961" i="14"/>
  <c r="J1962" i="14"/>
  <c r="J1963" i="14"/>
  <c r="J1964" i="14"/>
  <c r="J1965" i="14"/>
  <c r="J1966" i="14"/>
  <c r="J1967" i="14"/>
  <c r="J1968" i="14"/>
  <c r="J1969" i="14"/>
  <c r="J1970" i="14"/>
  <c r="J1971" i="14"/>
  <c r="J1972" i="14"/>
  <c r="J1973" i="14"/>
  <c r="J1974" i="14"/>
  <c r="J1975" i="14"/>
  <c r="J1976" i="14"/>
  <c r="J1977" i="14"/>
  <c r="J1978" i="14"/>
  <c r="J1979" i="14"/>
  <c r="J1980" i="14"/>
  <c r="J1981" i="14"/>
  <c r="J1982" i="14"/>
  <c r="J1983" i="14"/>
  <c r="J1984" i="14"/>
  <c r="J1985" i="14"/>
  <c r="J1986" i="14"/>
  <c r="J1987" i="14"/>
  <c r="J1988" i="14"/>
  <c r="J1989" i="14"/>
  <c r="J1990" i="14"/>
  <c r="J1991" i="14"/>
  <c r="J1992" i="14"/>
  <c r="J1993" i="14"/>
  <c r="J1994" i="14"/>
  <c r="J1995" i="14"/>
  <c r="J1996" i="14"/>
  <c r="J1997" i="14"/>
  <c r="J1998" i="14"/>
  <c r="J1999" i="14"/>
  <c r="J2000" i="14"/>
  <c r="J2001" i="14"/>
  <c r="J2002" i="14"/>
  <c r="J2003" i="14"/>
  <c r="J2004" i="14"/>
  <c r="J2005" i="14"/>
  <c r="J2006" i="14"/>
  <c r="J2007" i="14"/>
  <c r="J2008" i="14"/>
  <c r="J2009" i="14"/>
  <c r="J2010" i="14"/>
  <c r="J2011" i="14"/>
  <c r="J2012" i="14"/>
  <c r="J2013" i="14"/>
  <c r="J2014" i="14"/>
  <c r="J2015" i="14"/>
  <c r="J2016" i="14"/>
  <c r="J2017" i="14"/>
  <c r="J2018" i="14"/>
  <c r="J2019" i="14"/>
  <c r="J2020" i="14"/>
  <c r="J2021" i="14"/>
  <c r="J2022" i="14"/>
  <c r="J2023" i="14"/>
  <c r="J2024" i="14"/>
  <c r="J2025" i="14"/>
  <c r="J2026" i="14"/>
  <c r="J2027" i="14"/>
  <c r="J2028" i="14"/>
  <c r="J2029" i="14"/>
  <c r="J2030" i="14"/>
  <c r="J2031" i="14"/>
  <c r="J2032" i="14"/>
  <c r="J2033" i="14"/>
  <c r="J2034" i="14"/>
  <c r="J2035" i="14"/>
  <c r="J2036" i="14"/>
  <c r="J2037" i="14"/>
  <c r="J2038" i="14"/>
  <c r="J2039" i="14"/>
  <c r="J2040" i="14"/>
  <c r="J2041" i="14"/>
  <c r="J2042" i="14"/>
  <c r="J2043" i="14"/>
  <c r="J2044" i="14"/>
  <c r="J2045" i="14"/>
  <c r="J2046" i="14"/>
  <c r="J2047" i="14"/>
  <c r="J2048" i="14"/>
  <c r="J2049" i="14"/>
  <c r="J2050" i="14"/>
  <c r="J2051" i="14"/>
  <c r="J2052" i="14"/>
  <c r="J2053" i="14"/>
  <c r="J2054" i="14"/>
  <c r="J2055" i="14"/>
  <c r="J2056" i="14"/>
  <c r="J2057" i="14"/>
  <c r="J2058" i="14"/>
  <c r="J2059" i="14"/>
  <c r="J2060" i="14"/>
  <c r="J2061" i="14"/>
  <c r="J2062" i="14"/>
  <c r="J2063" i="14"/>
  <c r="J2064" i="14"/>
  <c r="J2065" i="14"/>
  <c r="J2066" i="14"/>
  <c r="J2067" i="14"/>
  <c r="J2068" i="14"/>
  <c r="J2069" i="14"/>
  <c r="J2070" i="14"/>
  <c r="J2071" i="14"/>
  <c r="J2072" i="14"/>
  <c r="J2073" i="14"/>
  <c r="J2074" i="14"/>
  <c r="J2075" i="14"/>
  <c r="J2076" i="14"/>
  <c r="J2077" i="14"/>
  <c r="J2078" i="14"/>
  <c r="J2079" i="14"/>
  <c r="J2080" i="14"/>
  <c r="J2081" i="14"/>
  <c r="J2082" i="14"/>
  <c r="J2083" i="14"/>
  <c r="J2084" i="14"/>
  <c r="J2085" i="14"/>
  <c r="J2086" i="14"/>
  <c r="J2087" i="14"/>
  <c r="J2088" i="14"/>
  <c r="J2089" i="14"/>
  <c r="J2090" i="14"/>
  <c r="J2091" i="14"/>
  <c r="J2092" i="14"/>
  <c r="J2093" i="14"/>
  <c r="J2094" i="14"/>
  <c r="J2095" i="14"/>
  <c r="J2096" i="14"/>
  <c r="J2097" i="14"/>
  <c r="J2098" i="14"/>
  <c r="J2099" i="14"/>
  <c r="J2100" i="14"/>
  <c r="J2101" i="14"/>
  <c r="J2102" i="14"/>
  <c r="J2103" i="14"/>
  <c r="J2104" i="14"/>
  <c r="J2105" i="14"/>
  <c r="J2106" i="14"/>
  <c r="J2107" i="14"/>
  <c r="J2108" i="14"/>
  <c r="J2109" i="14"/>
  <c r="J2110" i="14"/>
  <c r="J2111" i="14"/>
  <c r="J2112" i="14"/>
  <c r="J2113" i="14"/>
  <c r="J2114" i="14"/>
  <c r="J2115" i="14"/>
  <c r="J2116" i="14"/>
  <c r="J2117" i="14"/>
  <c r="J2118" i="14"/>
  <c r="J2119" i="14"/>
  <c r="J2120" i="14"/>
  <c r="J2121" i="14"/>
  <c r="J2122" i="14"/>
  <c r="J2123" i="14"/>
  <c r="J2124" i="14"/>
  <c r="J2125" i="14"/>
  <c r="J2126" i="14"/>
  <c r="J2127" i="14"/>
  <c r="J2128" i="14"/>
  <c r="J2129" i="14"/>
  <c r="J2130" i="14"/>
  <c r="J2131" i="14"/>
  <c r="J2132" i="14"/>
  <c r="J2133" i="14"/>
  <c r="J2134" i="14"/>
  <c r="J2135" i="14"/>
  <c r="J2136" i="14"/>
  <c r="J2137" i="14"/>
  <c r="J2138" i="14"/>
  <c r="J2139" i="14"/>
  <c r="J2140" i="14"/>
  <c r="J2141" i="14"/>
  <c r="J2142" i="14"/>
  <c r="J2143" i="14"/>
  <c r="J2144" i="14"/>
  <c r="J2145" i="14"/>
  <c r="J2146" i="14"/>
  <c r="J2147" i="14"/>
  <c r="J2148" i="14"/>
  <c r="J2149" i="14"/>
  <c r="J2150" i="14"/>
  <c r="J2151" i="14"/>
  <c r="J2152" i="14"/>
  <c r="J2153" i="14"/>
  <c r="J2154" i="14"/>
  <c r="J2155" i="14"/>
  <c r="J2156" i="14"/>
  <c r="J2157" i="14"/>
  <c r="J2158" i="14"/>
  <c r="J2159" i="14"/>
  <c r="J2160" i="14"/>
  <c r="J2161" i="14"/>
  <c r="J2162" i="14"/>
  <c r="J2163" i="14"/>
  <c r="J2164" i="14"/>
  <c r="J2165" i="14"/>
  <c r="J2166" i="14"/>
  <c r="J2167" i="14"/>
  <c r="J2168" i="14"/>
  <c r="J2169" i="14"/>
  <c r="J2170" i="14"/>
  <c r="J2171" i="14"/>
  <c r="J2172" i="14"/>
  <c r="J2173" i="14"/>
  <c r="J2174" i="14"/>
  <c r="J2175" i="14"/>
  <c r="J2176" i="14"/>
  <c r="J2177" i="14"/>
  <c r="J2178" i="14"/>
  <c r="J2179" i="14"/>
  <c r="J2180" i="14"/>
  <c r="J2181" i="14"/>
  <c r="J2182" i="14"/>
  <c r="J2183" i="14"/>
  <c r="J2184" i="14"/>
  <c r="J2185" i="14"/>
  <c r="J2186" i="14"/>
  <c r="J2187" i="14"/>
  <c r="J2188" i="14"/>
  <c r="J2189" i="14"/>
  <c r="J2190" i="14"/>
  <c r="J2191" i="14"/>
  <c r="J2192" i="14"/>
  <c r="J2193" i="14"/>
  <c r="J2194" i="14"/>
  <c r="J2195" i="14"/>
  <c r="J2196" i="14"/>
  <c r="J2197" i="14"/>
  <c r="J2198" i="14"/>
  <c r="J2199" i="14"/>
  <c r="J2200" i="14"/>
  <c r="J2201" i="14"/>
  <c r="J2202" i="14"/>
  <c r="J2203" i="14"/>
  <c r="J2204" i="14"/>
  <c r="J2205" i="14"/>
  <c r="J2206" i="14"/>
  <c r="J2207" i="14"/>
  <c r="J2208" i="14"/>
  <c r="J2209" i="14"/>
  <c r="J2210" i="14"/>
  <c r="J2211" i="14"/>
  <c r="J2212" i="14"/>
  <c r="J2213" i="14"/>
  <c r="J2214" i="14"/>
  <c r="J2215" i="14"/>
  <c r="J2216" i="14"/>
  <c r="J2217" i="14"/>
  <c r="J2218" i="14"/>
  <c r="J2219" i="14"/>
  <c r="J2220" i="14"/>
  <c r="J2221" i="14"/>
  <c r="J2222" i="14"/>
  <c r="J2223" i="14"/>
  <c r="J2224" i="14"/>
  <c r="J2225" i="14"/>
  <c r="J2226" i="14"/>
  <c r="J2227" i="14"/>
  <c r="J2228" i="14"/>
  <c r="J2229" i="14"/>
  <c r="J2230" i="14"/>
  <c r="J2231" i="14"/>
  <c r="J2232" i="14"/>
  <c r="J2233" i="14"/>
  <c r="J2234" i="14"/>
  <c r="J2235" i="14"/>
  <c r="J2236" i="14"/>
  <c r="J2237" i="14"/>
  <c r="J2238" i="14"/>
  <c r="J2239" i="14"/>
  <c r="J2240" i="14"/>
  <c r="J2241" i="14"/>
  <c r="J2242" i="14"/>
  <c r="J2243" i="14"/>
  <c r="J2244" i="14"/>
  <c r="J2245" i="14"/>
  <c r="J2246" i="14"/>
  <c r="J2247" i="14"/>
  <c r="J2248" i="14"/>
  <c r="J2249" i="14"/>
  <c r="J2250" i="14"/>
  <c r="J2251" i="14"/>
  <c r="J2252" i="14"/>
  <c r="J2253" i="14"/>
  <c r="J2254" i="14"/>
  <c r="J2255" i="14"/>
  <c r="J2256" i="14"/>
  <c r="J2257" i="14"/>
  <c r="J2258" i="14"/>
  <c r="J2259" i="14"/>
  <c r="J2260" i="14"/>
  <c r="J2261" i="14"/>
  <c r="J2262" i="14"/>
  <c r="J2263" i="14"/>
  <c r="J2264" i="14"/>
  <c r="J2265" i="14"/>
  <c r="J2266" i="14"/>
  <c r="J2267" i="14"/>
  <c r="J2268" i="14"/>
  <c r="J2269" i="14"/>
  <c r="J2270" i="14"/>
  <c r="J2271" i="14"/>
  <c r="J2272" i="14"/>
  <c r="J2273" i="14"/>
  <c r="J2274" i="14"/>
  <c r="J2275" i="14"/>
  <c r="J2276" i="14"/>
  <c r="J2277" i="14"/>
  <c r="J2278" i="14"/>
  <c r="J2279" i="14"/>
  <c r="J2280" i="14"/>
  <c r="J2281" i="14"/>
  <c r="J2282" i="14"/>
  <c r="J2283" i="14"/>
  <c r="J2284" i="14"/>
  <c r="J2285" i="14"/>
  <c r="J2286" i="14"/>
  <c r="J2287" i="14"/>
  <c r="J2288" i="14"/>
  <c r="J2289" i="14"/>
  <c r="J2290" i="14"/>
  <c r="J2291" i="14"/>
  <c r="J2292" i="14"/>
  <c r="J2293" i="14"/>
  <c r="J2294" i="14"/>
  <c r="J2295" i="14"/>
  <c r="J2296" i="14"/>
  <c r="J2297" i="14"/>
  <c r="J2298" i="14"/>
  <c r="J2299" i="14"/>
  <c r="J2300" i="14"/>
  <c r="J2301" i="14"/>
  <c r="J2302" i="14"/>
  <c r="J2303" i="14"/>
  <c r="J2304" i="14"/>
  <c r="J2305" i="14"/>
  <c r="J2306" i="14"/>
  <c r="J2307" i="14"/>
  <c r="J2308" i="14"/>
  <c r="J2309" i="14"/>
  <c r="J2310" i="14"/>
  <c r="J2311" i="14"/>
  <c r="J2312" i="14"/>
  <c r="J2313" i="14"/>
  <c r="J2314" i="14"/>
  <c r="J2315" i="14"/>
  <c r="J2316" i="14"/>
  <c r="J2317" i="14"/>
  <c r="J2318" i="14"/>
  <c r="J2319" i="14"/>
  <c r="J2320" i="14"/>
  <c r="J2321" i="14"/>
  <c r="J2322" i="14"/>
  <c r="J2323" i="14"/>
  <c r="J2324" i="14"/>
  <c r="J2325" i="14"/>
  <c r="J2326" i="14"/>
  <c r="J2327" i="14"/>
  <c r="J2328" i="14"/>
  <c r="J2329" i="14"/>
  <c r="J2330" i="14"/>
  <c r="J2331" i="14"/>
  <c r="J2332" i="14"/>
  <c r="J2333" i="14"/>
  <c r="J2334" i="14"/>
  <c r="J2335" i="14"/>
  <c r="J2336" i="14"/>
  <c r="J2337" i="14"/>
  <c r="J2338" i="14"/>
  <c r="J2339" i="14"/>
  <c r="J2340" i="14"/>
  <c r="J2341" i="14"/>
  <c r="J2342" i="14"/>
  <c r="J2343" i="14"/>
  <c r="J2344" i="14"/>
  <c r="J2345" i="14"/>
  <c r="J2346" i="14"/>
  <c r="J2347" i="14"/>
  <c r="J2348" i="14"/>
  <c r="J2349" i="14"/>
  <c r="J2350" i="14"/>
  <c r="J2351" i="14"/>
  <c r="J2352" i="14"/>
  <c r="J2353" i="14"/>
  <c r="J2354" i="14"/>
  <c r="J2355" i="14"/>
  <c r="J2356" i="14"/>
  <c r="J2357" i="14"/>
  <c r="J2358" i="14"/>
  <c r="J2359" i="14"/>
  <c r="J2360" i="14"/>
  <c r="J2361" i="14"/>
  <c r="J2362" i="14"/>
  <c r="J2363" i="14"/>
  <c r="J2364" i="14"/>
  <c r="J2365" i="14"/>
  <c r="J2366" i="14"/>
  <c r="J2367" i="14"/>
  <c r="J2368" i="14"/>
  <c r="J2369" i="14"/>
  <c r="J2370" i="14"/>
  <c r="J2371" i="14"/>
  <c r="J2372" i="14"/>
  <c r="J2373" i="14"/>
  <c r="J2374" i="14"/>
  <c r="J2375" i="14"/>
  <c r="J2376" i="14"/>
  <c r="J2377" i="14"/>
  <c r="J2378" i="14"/>
  <c r="J2379" i="14"/>
  <c r="J2380" i="14"/>
  <c r="J2381" i="14"/>
  <c r="J2382" i="14"/>
  <c r="J2383" i="14"/>
  <c r="J2384" i="14"/>
  <c r="J2385" i="14"/>
  <c r="J2386" i="14"/>
  <c r="J2387" i="14"/>
  <c r="J2388" i="14"/>
  <c r="J2389" i="14"/>
  <c r="J2390" i="14"/>
  <c r="J2391" i="14"/>
  <c r="J2392" i="14"/>
  <c r="J2393" i="14"/>
  <c r="J2394" i="14"/>
  <c r="J2395" i="14"/>
  <c r="J2396" i="14"/>
  <c r="J2397" i="14"/>
  <c r="J2398" i="14"/>
  <c r="J2399" i="14"/>
  <c r="J2400" i="14"/>
  <c r="J2401" i="14"/>
  <c r="J2402" i="14"/>
  <c r="J2403" i="14"/>
  <c r="J2404" i="14"/>
  <c r="J2405" i="14"/>
  <c r="J2406" i="14"/>
  <c r="J2407" i="14"/>
  <c r="J2408" i="14"/>
  <c r="J2409" i="14"/>
  <c r="J2410" i="14"/>
  <c r="J2411" i="14"/>
  <c r="J2412" i="14"/>
  <c r="J2413" i="14"/>
  <c r="J2414" i="14"/>
  <c r="J2415" i="14"/>
  <c r="J2416" i="14"/>
  <c r="J2417" i="14"/>
  <c r="J2418" i="14"/>
  <c r="J2419" i="14"/>
  <c r="J2420" i="14"/>
  <c r="J2421" i="14"/>
  <c r="J2422" i="14"/>
  <c r="J2423" i="14"/>
  <c r="J2424" i="14"/>
  <c r="J2425" i="14"/>
  <c r="J2426" i="14"/>
  <c r="J2427" i="14"/>
  <c r="J2428" i="14"/>
  <c r="J2429" i="14"/>
  <c r="J2430" i="14"/>
  <c r="J2431" i="14"/>
  <c r="J2432" i="14"/>
  <c r="J2433" i="14"/>
  <c r="J2434" i="14"/>
  <c r="J2435" i="14"/>
  <c r="J2436" i="14"/>
  <c r="J2437" i="14"/>
  <c r="J2438" i="14"/>
  <c r="J2439" i="14"/>
  <c r="J2440" i="14"/>
  <c r="J2441" i="14"/>
  <c r="J2442" i="14"/>
  <c r="J2443" i="14"/>
  <c r="J2444" i="14"/>
  <c r="J2445" i="14"/>
  <c r="J2446" i="14"/>
  <c r="J2447" i="14"/>
  <c r="J2448" i="14"/>
  <c r="J2449" i="14"/>
  <c r="J2450" i="14"/>
  <c r="J2451" i="14"/>
  <c r="J2452" i="14"/>
  <c r="J2453" i="14"/>
  <c r="J2454" i="14"/>
  <c r="J2455" i="14"/>
  <c r="J2456" i="14"/>
  <c r="J2457" i="14"/>
  <c r="J2458" i="14"/>
  <c r="J2459" i="14"/>
  <c r="J2460" i="14"/>
  <c r="J2461" i="14"/>
  <c r="J2462" i="14"/>
  <c r="J2463" i="14"/>
  <c r="J2464" i="14"/>
  <c r="J2465" i="14"/>
  <c r="J2466" i="14"/>
  <c r="J2467" i="14"/>
  <c r="J2468" i="14"/>
  <c r="J2469" i="14"/>
  <c r="J2470" i="14"/>
  <c r="J2471" i="14"/>
  <c r="J2472" i="14"/>
  <c r="J2473" i="14"/>
  <c r="J2474" i="14"/>
  <c r="J2475" i="14"/>
  <c r="J2476" i="14"/>
  <c r="J2477" i="14"/>
  <c r="J2478" i="14"/>
  <c r="J2479" i="14"/>
  <c r="J2480" i="14"/>
  <c r="J2481" i="14"/>
  <c r="J2482" i="14"/>
  <c r="J2483" i="14"/>
  <c r="J2484" i="14"/>
  <c r="J2485" i="14"/>
  <c r="J2486" i="14"/>
  <c r="J2487" i="14"/>
  <c r="J2488" i="14"/>
  <c r="J2489" i="14"/>
  <c r="J2490" i="14"/>
  <c r="J2491" i="14"/>
  <c r="J2492" i="14"/>
  <c r="J2493" i="14"/>
  <c r="J2494" i="14"/>
  <c r="J2495" i="14"/>
  <c r="J2496" i="14"/>
  <c r="J2497" i="14"/>
  <c r="J2498" i="14"/>
  <c r="J2499" i="14"/>
  <c r="J2500" i="14"/>
  <c r="J2501" i="14"/>
  <c r="J2502" i="14"/>
  <c r="J2503" i="14"/>
  <c r="J2504" i="14"/>
  <c r="J2505" i="14"/>
  <c r="J2506" i="14"/>
  <c r="J2507" i="14"/>
  <c r="J2508" i="14"/>
  <c r="J2509" i="14"/>
  <c r="J2510" i="14"/>
  <c r="J2511" i="14"/>
  <c r="J2512" i="14"/>
  <c r="J2513" i="14"/>
  <c r="J2514" i="14"/>
  <c r="J2515" i="14"/>
  <c r="J2516" i="14"/>
  <c r="J2517" i="14"/>
  <c r="J2518" i="14"/>
  <c r="J2519" i="14"/>
  <c r="J2520" i="14"/>
  <c r="J2521" i="14"/>
  <c r="J2522" i="14"/>
  <c r="J2523" i="14"/>
  <c r="J2524" i="14"/>
  <c r="J2525" i="14"/>
  <c r="J2526" i="14"/>
  <c r="J2527" i="14"/>
  <c r="J2528" i="14"/>
  <c r="J2529" i="14"/>
  <c r="J2530" i="14"/>
  <c r="J2531" i="14"/>
  <c r="J2532" i="14"/>
  <c r="J2533" i="14"/>
  <c r="J2534" i="14"/>
  <c r="J2535" i="14"/>
  <c r="J2536" i="14"/>
  <c r="J2537" i="14"/>
  <c r="J2538" i="14"/>
  <c r="J2539" i="14"/>
  <c r="J2540" i="14"/>
  <c r="J2541" i="14"/>
  <c r="J2542" i="14"/>
  <c r="J2543" i="14"/>
  <c r="J2544" i="14"/>
  <c r="J2545" i="14"/>
  <c r="J2546" i="14"/>
  <c r="J2547" i="14"/>
  <c r="J2548" i="14"/>
  <c r="J2549" i="14"/>
  <c r="J2550" i="14"/>
  <c r="J2551" i="14"/>
  <c r="J2552" i="14"/>
  <c r="J2553" i="14"/>
  <c r="J2554" i="14"/>
  <c r="J2555" i="14"/>
  <c r="J2556" i="14"/>
  <c r="J2557" i="14"/>
  <c r="J2558" i="14"/>
  <c r="J2559" i="14"/>
  <c r="J2560" i="14"/>
  <c r="J2561" i="14"/>
  <c r="J2562" i="14"/>
  <c r="J2563" i="14"/>
  <c r="J2564" i="14"/>
  <c r="J2565" i="14"/>
  <c r="J2566" i="14"/>
  <c r="J2567" i="14"/>
  <c r="J2568" i="14"/>
  <c r="J2569" i="14"/>
  <c r="J2570" i="14"/>
  <c r="J2571" i="14"/>
  <c r="J2572" i="14"/>
  <c r="J2573" i="14"/>
  <c r="J2574" i="14"/>
  <c r="J2575" i="14"/>
  <c r="J2576" i="14"/>
  <c r="J2577" i="14"/>
  <c r="J2578" i="14"/>
  <c r="J2579" i="14"/>
  <c r="J2580" i="14"/>
  <c r="J2581" i="14"/>
  <c r="J2582" i="14"/>
  <c r="J2583" i="14"/>
  <c r="J2584" i="14"/>
  <c r="J2585" i="14"/>
  <c r="J2586" i="14"/>
  <c r="J2587" i="14"/>
  <c r="J2588" i="14"/>
  <c r="J2589" i="14"/>
  <c r="J2590" i="14"/>
  <c r="J2591" i="14"/>
  <c r="J2592" i="14"/>
  <c r="J2593" i="14"/>
  <c r="J2594" i="14"/>
  <c r="J2595" i="14"/>
  <c r="J2596" i="14"/>
  <c r="J2597" i="14"/>
  <c r="J2598" i="14"/>
  <c r="J2599" i="14"/>
  <c r="J2600" i="14"/>
  <c r="J2601" i="14"/>
  <c r="J2602" i="14"/>
  <c r="J2603" i="14"/>
  <c r="J2604" i="14"/>
  <c r="J2605" i="14"/>
  <c r="J2606" i="14"/>
  <c r="J2607" i="14"/>
  <c r="J2608" i="14"/>
  <c r="J2609" i="14"/>
  <c r="J2610" i="14"/>
  <c r="J2611" i="14"/>
  <c r="J2612" i="14"/>
  <c r="J2613" i="14"/>
  <c r="J2614" i="14"/>
  <c r="J2615" i="14"/>
  <c r="J2616" i="14"/>
  <c r="J2617" i="14"/>
  <c r="J2618" i="14"/>
  <c r="J2619" i="14"/>
  <c r="J2620" i="14"/>
  <c r="J2621" i="14"/>
  <c r="J2622" i="14"/>
  <c r="J2623" i="14"/>
  <c r="J2624" i="14"/>
  <c r="J2625" i="14"/>
  <c r="J2626" i="14"/>
  <c r="J2627" i="14"/>
  <c r="J2628" i="14"/>
  <c r="J2629" i="14"/>
  <c r="J2630" i="14"/>
  <c r="J2631" i="14"/>
  <c r="J2632" i="14"/>
  <c r="J2633" i="14"/>
  <c r="J2634" i="14"/>
  <c r="J2635" i="14"/>
  <c r="J2636" i="14"/>
  <c r="J2637" i="14"/>
  <c r="J2638" i="14"/>
  <c r="J2639" i="14"/>
  <c r="J2640" i="14"/>
  <c r="J2641" i="14"/>
  <c r="J2642" i="14"/>
  <c r="J2643" i="14"/>
  <c r="J2644" i="14"/>
  <c r="J2645" i="14"/>
  <c r="J2646" i="14"/>
  <c r="J2647" i="14"/>
  <c r="J2648" i="14"/>
  <c r="J2649" i="14"/>
  <c r="J2650" i="14"/>
  <c r="J2651" i="14"/>
  <c r="J2652" i="14"/>
  <c r="J2653" i="14"/>
  <c r="J2654" i="14"/>
  <c r="J2655" i="14"/>
  <c r="J2656" i="14"/>
  <c r="J2657" i="14"/>
  <c r="J2658" i="14"/>
  <c r="J2659" i="14"/>
  <c r="J2660" i="14"/>
  <c r="J2661" i="14"/>
  <c r="J2662" i="14"/>
  <c r="J2663" i="14"/>
  <c r="J2664" i="14"/>
  <c r="J2665" i="14"/>
  <c r="J2666" i="14"/>
  <c r="J2667" i="14"/>
  <c r="J2668" i="14"/>
  <c r="J2669" i="14"/>
  <c r="J2670" i="14"/>
  <c r="J2671" i="14"/>
  <c r="J2672" i="14"/>
  <c r="J2673" i="14"/>
  <c r="J2674" i="14"/>
  <c r="J2675" i="14"/>
  <c r="J2676" i="14"/>
  <c r="J2677" i="14"/>
  <c r="J2678" i="14"/>
  <c r="J2679" i="14"/>
  <c r="J2680" i="14"/>
  <c r="J2681" i="14"/>
  <c r="J2682" i="14"/>
  <c r="J2683" i="14"/>
  <c r="J2684" i="14"/>
  <c r="J2685" i="14"/>
  <c r="J2686" i="14"/>
  <c r="J2687" i="14"/>
  <c r="J2688" i="14"/>
  <c r="J2689" i="14"/>
  <c r="J2690" i="14"/>
  <c r="J2691" i="14"/>
  <c r="J2692" i="14"/>
  <c r="J2693" i="14"/>
  <c r="J2694" i="14"/>
  <c r="J2695" i="14"/>
  <c r="J2696" i="14"/>
  <c r="J2697" i="14"/>
  <c r="J2698" i="14"/>
  <c r="J2699" i="14"/>
  <c r="J2700" i="14"/>
  <c r="J2701" i="14"/>
  <c r="J2702" i="14"/>
  <c r="J2703" i="14"/>
  <c r="J2704" i="14"/>
  <c r="J2705" i="14"/>
  <c r="J2706" i="14"/>
  <c r="J2707" i="14"/>
  <c r="J2708" i="14"/>
  <c r="J2709" i="14"/>
  <c r="J2710" i="14"/>
  <c r="J2711" i="14"/>
  <c r="J2712" i="14"/>
  <c r="J2713" i="14"/>
  <c r="J2714" i="14"/>
  <c r="J2715" i="14"/>
  <c r="J2716" i="14"/>
  <c r="J2717" i="14"/>
  <c r="J2718" i="14"/>
  <c r="J2719" i="14"/>
  <c r="J2720" i="14"/>
  <c r="J2721" i="14"/>
  <c r="J2722" i="14"/>
  <c r="J2723" i="14"/>
  <c r="J2724" i="14"/>
  <c r="J2725" i="14"/>
  <c r="J2726" i="14"/>
  <c r="J2727" i="14"/>
  <c r="J2728" i="14"/>
  <c r="J2729" i="14"/>
  <c r="J2730" i="14"/>
  <c r="J2731" i="14"/>
  <c r="J2732" i="14"/>
  <c r="J2733" i="14"/>
  <c r="J2734" i="14"/>
  <c r="J2735" i="14"/>
  <c r="J2736" i="14"/>
  <c r="J2737" i="14"/>
  <c r="J2738" i="14"/>
  <c r="J2739" i="14"/>
  <c r="J2740" i="14"/>
  <c r="J2741" i="14"/>
  <c r="J2742" i="14"/>
  <c r="J2743" i="14"/>
  <c r="J2744" i="14"/>
  <c r="J2745" i="14"/>
  <c r="J2746" i="14"/>
  <c r="J2747" i="14"/>
  <c r="J2748" i="14"/>
  <c r="J2749" i="14"/>
  <c r="J2750" i="14"/>
  <c r="J2751" i="14"/>
  <c r="J2752" i="14"/>
  <c r="J2753" i="14"/>
  <c r="J2754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I1018" i="14"/>
  <c r="I1019" i="14"/>
  <c r="I1020" i="14"/>
  <c r="I1021" i="14"/>
  <c r="I1022" i="14"/>
  <c r="I1023" i="14"/>
  <c r="I1024" i="14"/>
  <c r="I1025" i="14"/>
  <c r="I1026" i="14"/>
  <c r="I1027" i="14"/>
  <c r="I1028" i="14"/>
  <c r="I1029" i="14"/>
  <c r="I1030" i="14"/>
  <c r="I1031" i="14"/>
  <c r="I1032" i="14"/>
  <c r="I1033" i="14"/>
  <c r="I1034" i="14"/>
  <c r="I1035" i="14"/>
  <c r="I1036" i="14"/>
  <c r="I1037" i="14"/>
  <c r="I1038" i="14"/>
  <c r="I1039" i="14"/>
  <c r="I1040" i="14"/>
  <c r="I1041" i="14"/>
  <c r="I1042" i="14"/>
  <c r="I1043" i="14"/>
  <c r="I1044" i="14"/>
  <c r="I1045" i="14"/>
  <c r="I1046" i="14"/>
  <c r="I1047" i="14"/>
  <c r="I1048" i="14"/>
  <c r="I1049" i="14"/>
  <c r="I1050" i="14"/>
  <c r="I1051" i="14"/>
  <c r="I1052" i="14"/>
  <c r="I1053" i="14"/>
  <c r="I1054" i="14"/>
  <c r="I1055" i="14"/>
  <c r="I1056" i="14"/>
  <c r="I1057" i="14"/>
  <c r="I1058" i="14"/>
  <c r="I1059" i="14"/>
  <c r="I1060" i="14"/>
  <c r="I1061" i="14"/>
  <c r="I1062" i="14"/>
  <c r="I1063" i="14"/>
  <c r="I1064" i="14"/>
  <c r="I1065" i="14"/>
  <c r="I1066" i="14"/>
  <c r="I1067" i="14"/>
  <c r="I1068" i="14"/>
  <c r="I1069" i="14"/>
  <c r="I1070" i="14"/>
  <c r="I1071" i="14"/>
  <c r="I1072" i="14"/>
  <c r="I1073" i="14"/>
  <c r="I1074" i="14"/>
  <c r="I1075" i="14"/>
  <c r="I1076" i="14"/>
  <c r="I1077" i="14"/>
  <c r="I1078" i="14"/>
  <c r="I1079" i="14"/>
  <c r="I1080" i="14"/>
  <c r="I1081" i="14"/>
  <c r="I1082" i="14"/>
  <c r="I1083" i="14"/>
  <c r="I1084" i="14"/>
  <c r="I1085" i="14"/>
  <c r="I1086" i="14"/>
  <c r="I1087" i="14"/>
  <c r="I1088" i="14"/>
  <c r="I1089" i="14"/>
  <c r="I1090" i="14"/>
  <c r="I1091" i="14"/>
  <c r="I1092" i="14"/>
  <c r="I1093" i="14"/>
  <c r="I1094" i="14"/>
  <c r="I1095" i="14"/>
  <c r="I1096" i="14"/>
  <c r="I1097" i="14"/>
  <c r="I1098" i="14"/>
  <c r="I1099" i="14"/>
  <c r="I1100" i="14"/>
  <c r="I1101" i="14"/>
  <c r="I1102" i="14"/>
  <c r="I1103" i="14"/>
  <c r="I1104" i="14"/>
  <c r="I1105" i="14"/>
  <c r="I1106" i="14"/>
  <c r="I1107" i="14"/>
  <c r="I1108" i="14"/>
  <c r="I1109" i="14"/>
  <c r="I1110" i="14"/>
  <c r="I1111" i="14"/>
  <c r="I1112" i="14"/>
  <c r="I1113" i="14"/>
  <c r="I1114" i="14"/>
  <c r="I1115" i="14"/>
  <c r="I1116" i="14"/>
  <c r="I1117" i="14"/>
  <c r="I1118" i="14"/>
  <c r="I1119" i="14"/>
  <c r="I1120" i="14"/>
  <c r="I1121" i="14"/>
  <c r="I1122" i="14"/>
  <c r="I1123" i="14"/>
  <c r="I1124" i="14"/>
  <c r="I1125" i="14"/>
  <c r="I1126" i="14"/>
  <c r="I1127" i="14"/>
  <c r="I1128" i="14"/>
  <c r="I1129" i="14"/>
  <c r="I1130" i="14"/>
  <c r="I1131" i="14"/>
  <c r="I1132" i="14"/>
  <c r="I1133" i="14"/>
  <c r="I1134" i="14"/>
  <c r="I1135" i="14"/>
  <c r="I1136" i="14"/>
  <c r="I1137" i="14"/>
  <c r="I1138" i="14"/>
  <c r="I1139" i="14"/>
  <c r="I1140" i="14"/>
  <c r="I1141" i="14"/>
  <c r="I1142" i="14"/>
  <c r="I1143" i="14"/>
  <c r="I1144" i="14"/>
  <c r="I1145" i="14"/>
  <c r="I1146" i="14"/>
  <c r="I1147" i="14"/>
  <c r="I1148" i="14"/>
  <c r="I1149" i="14"/>
  <c r="I1150" i="14"/>
  <c r="I1151" i="14"/>
  <c r="I1152" i="14"/>
  <c r="I1153" i="14"/>
  <c r="I1154" i="14"/>
  <c r="I1155" i="14"/>
  <c r="I1156" i="14"/>
  <c r="I1157" i="14"/>
  <c r="I1158" i="14"/>
  <c r="I1159" i="14"/>
  <c r="I1160" i="14"/>
  <c r="I1161" i="14"/>
  <c r="I1162" i="14"/>
  <c r="I1163" i="14"/>
  <c r="I1164" i="14"/>
  <c r="I1165" i="14"/>
  <c r="I1166" i="14"/>
  <c r="I1167" i="14"/>
  <c r="I1168" i="14"/>
  <c r="I1169" i="14"/>
  <c r="I1170" i="14"/>
  <c r="I1171" i="14"/>
  <c r="I1172" i="14"/>
  <c r="I1173" i="14"/>
  <c r="I1174" i="14"/>
  <c r="I1175" i="14"/>
  <c r="I1176" i="14"/>
  <c r="I1177" i="14"/>
  <c r="I1178" i="14"/>
  <c r="I1179" i="14"/>
  <c r="I1180" i="14"/>
  <c r="I1181" i="14"/>
  <c r="I1182" i="14"/>
  <c r="I1183" i="14"/>
  <c r="I1184" i="14"/>
  <c r="I1185" i="14"/>
  <c r="I1186" i="14"/>
  <c r="I1187" i="14"/>
  <c r="I1188" i="14"/>
  <c r="I1189" i="14"/>
  <c r="I1190" i="14"/>
  <c r="I1191" i="14"/>
  <c r="I1192" i="14"/>
  <c r="I1193" i="14"/>
  <c r="I1194" i="14"/>
  <c r="I1195" i="14"/>
  <c r="I1196" i="14"/>
  <c r="I1197" i="14"/>
  <c r="I1198" i="14"/>
  <c r="I1199" i="14"/>
  <c r="I1200" i="14"/>
  <c r="I1201" i="14"/>
  <c r="I1202" i="14"/>
  <c r="I1203" i="14"/>
  <c r="I1204" i="14"/>
  <c r="I1205" i="14"/>
  <c r="I1206" i="14"/>
  <c r="I1207" i="14"/>
  <c r="I1208" i="14"/>
  <c r="I1209" i="14"/>
  <c r="I1210" i="14"/>
  <c r="I1211" i="14"/>
  <c r="I1212" i="14"/>
  <c r="I1213" i="14"/>
  <c r="I1214" i="14"/>
  <c r="I1215" i="14"/>
  <c r="I1216" i="14"/>
  <c r="I1217" i="14"/>
  <c r="I1218" i="14"/>
  <c r="I1219" i="14"/>
  <c r="I1220" i="14"/>
  <c r="I1221" i="14"/>
  <c r="I1222" i="14"/>
  <c r="I1223" i="14"/>
  <c r="I1224" i="14"/>
  <c r="I1225" i="14"/>
  <c r="I1226" i="14"/>
  <c r="I1227" i="14"/>
  <c r="I1228" i="14"/>
  <c r="I1229" i="14"/>
  <c r="I1230" i="14"/>
  <c r="I1231" i="14"/>
  <c r="I1232" i="14"/>
  <c r="I1233" i="14"/>
  <c r="I1234" i="14"/>
  <c r="I1235" i="14"/>
  <c r="I1236" i="14"/>
  <c r="I1237" i="14"/>
  <c r="I1238" i="14"/>
  <c r="I1239" i="14"/>
  <c r="I1240" i="14"/>
  <c r="I1241" i="14"/>
  <c r="I1242" i="14"/>
  <c r="I1243" i="14"/>
  <c r="I1244" i="14"/>
  <c r="I1245" i="14"/>
  <c r="I1246" i="14"/>
  <c r="I1247" i="14"/>
  <c r="I1248" i="14"/>
  <c r="I1249" i="14"/>
  <c r="I1250" i="14"/>
  <c r="I1251" i="14"/>
  <c r="I1252" i="14"/>
  <c r="I1253" i="14"/>
  <c r="I1254" i="14"/>
  <c r="I1255" i="14"/>
  <c r="I1256" i="14"/>
  <c r="I1257" i="14"/>
  <c r="I1258" i="14"/>
  <c r="I1259" i="14"/>
  <c r="I1260" i="14"/>
  <c r="I1261" i="14"/>
  <c r="I1262" i="14"/>
  <c r="I1263" i="14"/>
  <c r="I1264" i="14"/>
  <c r="I1265" i="14"/>
  <c r="I1266" i="14"/>
  <c r="I1267" i="14"/>
  <c r="I1268" i="14"/>
  <c r="I1269" i="14"/>
  <c r="I1270" i="14"/>
  <c r="I1271" i="14"/>
  <c r="I1272" i="14"/>
  <c r="I1273" i="14"/>
  <c r="I1274" i="14"/>
  <c r="I1275" i="14"/>
  <c r="I1276" i="14"/>
  <c r="I1277" i="14"/>
  <c r="I1278" i="14"/>
  <c r="I1279" i="14"/>
  <c r="I1280" i="14"/>
  <c r="I1281" i="14"/>
  <c r="I1282" i="14"/>
  <c r="I1283" i="14"/>
  <c r="I1284" i="14"/>
  <c r="I1285" i="14"/>
  <c r="I1286" i="14"/>
  <c r="I1287" i="14"/>
  <c r="I1288" i="14"/>
  <c r="I1289" i="14"/>
  <c r="I1290" i="14"/>
  <c r="I1291" i="14"/>
  <c r="I1292" i="14"/>
  <c r="I1293" i="14"/>
  <c r="I1294" i="14"/>
  <c r="I1295" i="14"/>
  <c r="I1296" i="14"/>
  <c r="I1297" i="14"/>
  <c r="I1298" i="14"/>
  <c r="I1299" i="14"/>
  <c r="I1300" i="14"/>
  <c r="I1301" i="14"/>
  <c r="I1302" i="14"/>
  <c r="I1303" i="14"/>
  <c r="I1304" i="14"/>
  <c r="I1305" i="14"/>
  <c r="I1306" i="14"/>
  <c r="I1307" i="14"/>
  <c r="I1308" i="14"/>
  <c r="I1309" i="14"/>
  <c r="I1310" i="14"/>
  <c r="I1311" i="14"/>
  <c r="I1312" i="14"/>
  <c r="I1313" i="14"/>
  <c r="I1314" i="14"/>
  <c r="I1315" i="14"/>
  <c r="I1316" i="14"/>
  <c r="I1317" i="14"/>
  <c r="I1318" i="14"/>
  <c r="I1319" i="14"/>
  <c r="I1320" i="14"/>
  <c r="I1321" i="14"/>
  <c r="I1322" i="14"/>
  <c r="I1323" i="14"/>
  <c r="I1324" i="14"/>
  <c r="I1325" i="14"/>
  <c r="I1326" i="14"/>
  <c r="I1327" i="14"/>
  <c r="I1328" i="14"/>
  <c r="I1329" i="14"/>
  <c r="I1330" i="14"/>
  <c r="I1331" i="14"/>
  <c r="I1332" i="14"/>
  <c r="I1333" i="14"/>
  <c r="I1334" i="14"/>
  <c r="I1335" i="14"/>
  <c r="I1336" i="14"/>
  <c r="I1337" i="14"/>
  <c r="I1338" i="14"/>
  <c r="I1339" i="14"/>
  <c r="I1340" i="14"/>
  <c r="I1341" i="14"/>
  <c r="I1342" i="14"/>
  <c r="I1343" i="14"/>
  <c r="I1344" i="14"/>
  <c r="I1345" i="14"/>
  <c r="I1346" i="14"/>
  <c r="I1347" i="14"/>
  <c r="I1348" i="14"/>
  <c r="I1349" i="14"/>
  <c r="I1350" i="14"/>
  <c r="I1351" i="14"/>
  <c r="I1352" i="14"/>
  <c r="I1353" i="14"/>
  <c r="I1354" i="14"/>
  <c r="I1355" i="14"/>
  <c r="I1356" i="14"/>
  <c r="I1357" i="14"/>
  <c r="I1358" i="14"/>
  <c r="I1359" i="14"/>
  <c r="I1360" i="14"/>
  <c r="I1361" i="14"/>
  <c r="I1362" i="14"/>
  <c r="I1363" i="14"/>
  <c r="I1364" i="14"/>
  <c r="I1365" i="14"/>
  <c r="I1366" i="14"/>
  <c r="I1367" i="14"/>
  <c r="I1368" i="14"/>
  <c r="I1369" i="14"/>
  <c r="I1370" i="14"/>
  <c r="I1371" i="14"/>
  <c r="I1372" i="14"/>
  <c r="I1373" i="14"/>
  <c r="I1374" i="14"/>
  <c r="I1375" i="14"/>
  <c r="I1376" i="14"/>
  <c r="I1377" i="14"/>
  <c r="I1378" i="14"/>
  <c r="I1379" i="14"/>
  <c r="I1380" i="14"/>
  <c r="I1381" i="14"/>
  <c r="I1382" i="14"/>
  <c r="I1383" i="14"/>
  <c r="I1384" i="14"/>
  <c r="I1385" i="14"/>
  <c r="I1386" i="14"/>
  <c r="I1387" i="14"/>
  <c r="I1388" i="14"/>
  <c r="I1389" i="14"/>
  <c r="I1390" i="14"/>
  <c r="I1391" i="14"/>
  <c r="I1392" i="14"/>
  <c r="I1393" i="14"/>
  <c r="I1394" i="14"/>
  <c r="I1395" i="14"/>
  <c r="I1396" i="14"/>
  <c r="I1397" i="14"/>
  <c r="I1398" i="14"/>
  <c r="I1399" i="14"/>
  <c r="I1400" i="14"/>
  <c r="I1401" i="14"/>
  <c r="I1402" i="14"/>
  <c r="I1403" i="14"/>
  <c r="I1404" i="14"/>
  <c r="I1405" i="14"/>
  <c r="I1406" i="14"/>
  <c r="I1407" i="14"/>
  <c r="I1408" i="14"/>
  <c r="I1409" i="14"/>
  <c r="I1410" i="14"/>
  <c r="I1411" i="14"/>
  <c r="I1412" i="14"/>
  <c r="I1413" i="14"/>
  <c r="I1414" i="14"/>
  <c r="I1415" i="14"/>
  <c r="I1416" i="14"/>
  <c r="I1417" i="14"/>
  <c r="I1418" i="14"/>
  <c r="I1419" i="14"/>
  <c r="I1420" i="14"/>
  <c r="I1421" i="14"/>
  <c r="I1422" i="14"/>
  <c r="I1423" i="14"/>
  <c r="I1424" i="14"/>
  <c r="I1425" i="14"/>
  <c r="I1426" i="14"/>
  <c r="I1427" i="14"/>
  <c r="I1428" i="14"/>
  <c r="I1429" i="14"/>
  <c r="I1430" i="14"/>
  <c r="I1431" i="14"/>
  <c r="I1432" i="14"/>
  <c r="I1433" i="14"/>
  <c r="I1434" i="14"/>
  <c r="I1435" i="14"/>
  <c r="I1436" i="14"/>
  <c r="I1437" i="14"/>
  <c r="I1438" i="14"/>
  <c r="I1439" i="14"/>
  <c r="I1440" i="14"/>
  <c r="I1441" i="14"/>
  <c r="I1442" i="14"/>
  <c r="I1443" i="14"/>
  <c r="I1444" i="14"/>
  <c r="I1445" i="14"/>
  <c r="I1446" i="14"/>
  <c r="I1447" i="14"/>
  <c r="I1448" i="14"/>
  <c r="I1449" i="14"/>
  <c r="I1450" i="14"/>
  <c r="I1451" i="14"/>
  <c r="I1452" i="14"/>
  <c r="I1453" i="14"/>
  <c r="I1454" i="14"/>
  <c r="I1455" i="14"/>
  <c r="I1456" i="14"/>
  <c r="I1457" i="14"/>
  <c r="I1458" i="14"/>
  <c r="I1459" i="14"/>
  <c r="I1460" i="14"/>
  <c r="I1461" i="14"/>
  <c r="I1462" i="14"/>
  <c r="I1463" i="14"/>
  <c r="I1464" i="14"/>
  <c r="I1465" i="14"/>
  <c r="I1466" i="14"/>
  <c r="I1467" i="14"/>
  <c r="I1468" i="14"/>
  <c r="I1469" i="14"/>
  <c r="I1470" i="14"/>
  <c r="I1471" i="14"/>
  <c r="I1472" i="14"/>
  <c r="I1473" i="14"/>
  <c r="I1474" i="14"/>
  <c r="I1475" i="14"/>
  <c r="I1476" i="14"/>
  <c r="I1477" i="14"/>
  <c r="I1478" i="14"/>
  <c r="I1479" i="14"/>
  <c r="I1480" i="14"/>
  <c r="I1481" i="14"/>
  <c r="I1482" i="14"/>
  <c r="I1483" i="14"/>
  <c r="I1484" i="14"/>
  <c r="I1485" i="14"/>
  <c r="I1486" i="14"/>
  <c r="I1487" i="14"/>
  <c r="I1488" i="14"/>
  <c r="I1489" i="14"/>
  <c r="I1490" i="14"/>
  <c r="I1491" i="14"/>
  <c r="I1492" i="14"/>
  <c r="I1493" i="14"/>
  <c r="I1494" i="14"/>
  <c r="I1495" i="14"/>
  <c r="I1496" i="14"/>
  <c r="I1497" i="14"/>
  <c r="I1498" i="14"/>
  <c r="I1499" i="14"/>
  <c r="I1500" i="14"/>
  <c r="I1501" i="14"/>
  <c r="I1502" i="14"/>
  <c r="I1503" i="14"/>
  <c r="I1504" i="14"/>
  <c r="I1505" i="14"/>
  <c r="I1506" i="14"/>
  <c r="I1507" i="14"/>
  <c r="I1508" i="14"/>
  <c r="I1509" i="14"/>
  <c r="I1510" i="14"/>
  <c r="I1511" i="14"/>
  <c r="I1512" i="14"/>
  <c r="I1513" i="14"/>
  <c r="I1514" i="14"/>
  <c r="I1515" i="14"/>
  <c r="I1516" i="14"/>
  <c r="I1517" i="14"/>
  <c r="I1518" i="14"/>
  <c r="I1519" i="14"/>
  <c r="I1520" i="14"/>
  <c r="I1521" i="14"/>
  <c r="I1522" i="14"/>
  <c r="I1523" i="14"/>
  <c r="I1524" i="14"/>
  <c r="I1525" i="14"/>
  <c r="I1526" i="14"/>
  <c r="I1527" i="14"/>
  <c r="I1528" i="14"/>
  <c r="I1529" i="14"/>
  <c r="I1530" i="14"/>
  <c r="I1531" i="14"/>
  <c r="I1532" i="14"/>
  <c r="I1533" i="14"/>
  <c r="I1534" i="14"/>
  <c r="I1535" i="14"/>
  <c r="I1536" i="14"/>
  <c r="I1537" i="14"/>
  <c r="I1538" i="14"/>
  <c r="I1539" i="14"/>
  <c r="I1540" i="14"/>
  <c r="I1541" i="14"/>
  <c r="I1542" i="14"/>
  <c r="I1543" i="14"/>
  <c r="I1544" i="14"/>
  <c r="I1545" i="14"/>
  <c r="I1546" i="14"/>
  <c r="I1547" i="14"/>
  <c r="I1548" i="14"/>
  <c r="I1549" i="14"/>
  <c r="I1550" i="14"/>
  <c r="I1551" i="14"/>
  <c r="I1552" i="14"/>
  <c r="I1553" i="14"/>
  <c r="I1554" i="14"/>
  <c r="I1555" i="14"/>
  <c r="I1556" i="14"/>
  <c r="I1557" i="14"/>
  <c r="I1558" i="14"/>
  <c r="I1559" i="14"/>
  <c r="I1560" i="14"/>
  <c r="I1561" i="14"/>
  <c r="I1562" i="14"/>
  <c r="I1563" i="14"/>
  <c r="I1564" i="14"/>
  <c r="I1565" i="14"/>
  <c r="I1566" i="14"/>
  <c r="I1567" i="14"/>
  <c r="I1568" i="14"/>
  <c r="I1569" i="14"/>
  <c r="I1570" i="14"/>
  <c r="I1571" i="14"/>
  <c r="I1572" i="14"/>
  <c r="I1573" i="14"/>
  <c r="I1574" i="14"/>
  <c r="I1575" i="14"/>
  <c r="I1576" i="14"/>
  <c r="I1577" i="14"/>
  <c r="I1578" i="14"/>
  <c r="I1579" i="14"/>
  <c r="I1580" i="14"/>
  <c r="I1581" i="14"/>
  <c r="I1582" i="14"/>
  <c r="I1583" i="14"/>
  <c r="I1584" i="14"/>
  <c r="I1585" i="14"/>
  <c r="I1586" i="14"/>
  <c r="I1587" i="14"/>
  <c r="I1588" i="14"/>
  <c r="I1589" i="14"/>
  <c r="I1590" i="14"/>
  <c r="I1591" i="14"/>
  <c r="I1592" i="14"/>
  <c r="I1593" i="14"/>
  <c r="I1594" i="14"/>
  <c r="I1595" i="14"/>
  <c r="I1596" i="14"/>
  <c r="I1597" i="14"/>
  <c r="I1598" i="14"/>
  <c r="I1599" i="14"/>
  <c r="I1600" i="14"/>
  <c r="I1601" i="14"/>
  <c r="I1602" i="14"/>
  <c r="I1603" i="14"/>
  <c r="I1604" i="14"/>
  <c r="I1605" i="14"/>
  <c r="I1606" i="14"/>
  <c r="I1607" i="14"/>
  <c r="I1608" i="14"/>
  <c r="I1609" i="14"/>
  <c r="I1610" i="14"/>
  <c r="I1611" i="14"/>
  <c r="I1612" i="14"/>
  <c r="I1613" i="14"/>
  <c r="I1614" i="14"/>
  <c r="I1615" i="14"/>
  <c r="I1616" i="14"/>
  <c r="I1617" i="14"/>
  <c r="I1618" i="14"/>
  <c r="I1619" i="14"/>
  <c r="I1620" i="14"/>
  <c r="I1621" i="14"/>
  <c r="I1622" i="14"/>
  <c r="I1623" i="14"/>
  <c r="I1624" i="14"/>
  <c r="I1625" i="14"/>
  <c r="I1626" i="14"/>
  <c r="I1627" i="14"/>
  <c r="I1628" i="14"/>
  <c r="I1629" i="14"/>
  <c r="I1630" i="14"/>
  <c r="I1631" i="14"/>
  <c r="I1632" i="14"/>
  <c r="I1633" i="14"/>
  <c r="I1634" i="14"/>
  <c r="I1635" i="14"/>
  <c r="I1636" i="14"/>
  <c r="I1637" i="14"/>
  <c r="I1638" i="14"/>
  <c r="I1639" i="14"/>
  <c r="I1640" i="14"/>
  <c r="I1641" i="14"/>
  <c r="I1642" i="14"/>
  <c r="I1643" i="14"/>
  <c r="I1644" i="14"/>
  <c r="I1645" i="14"/>
  <c r="I1646" i="14"/>
  <c r="I1647" i="14"/>
  <c r="I1648" i="14"/>
  <c r="I1649" i="14"/>
  <c r="I1650" i="14"/>
  <c r="I1651" i="14"/>
  <c r="I1652" i="14"/>
  <c r="I1653" i="14"/>
  <c r="I1654" i="14"/>
  <c r="I1655" i="14"/>
  <c r="I1656" i="14"/>
  <c r="I1657" i="14"/>
  <c r="I1658" i="14"/>
  <c r="I1659" i="14"/>
  <c r="I1660" i="14"/>
  <c r="I1661" i="14"/>
  <c r="I1662" i="14"/>
  <c r="I1663" i="14"/>
  <c r="I1664" i="14"/>
  <c r="I1665" i="14"/>
  <c r="I1666" i="14"/>
  <c r="I1667" i="14"/>
  <c r="I1668" i="14"/>
  <c r="I1669" i="14"/>
  <c r="I1670" i="14"/>
  <c r="I1671" i="14"/>
  <c r="I1672" i="14"/>
  <c r="I1673" i="14"/>
  <c r="I1674" i="14"/>
  <c r="I1675" i="14"/>
  <c r="I1676" i="14"/>
  <c r="I1677" i="14"/>
  <c r="I1678" i="14"/>
  <c r="I1679" i="14"/>
  <c r="I1680" i="14"/>
  <c r="I1681" i="14"/>
  <c r="I1682" i="14"/>
  <c r="I1683" i="14"/>
  <c r="I1684" i="14"/>
  <c r="I1685" i="14"/>
  <c r="I1686" i="14"/>
  <c r="I1687" i="14"/>
  <c r="I1688" i="14"/>
  <c r="I1689" i="14"/>
  <c r="I1690" i="14"/>
  <c r="I1691" i="14"/>
  <c r="I1692" i="14"/>
  <c r="I1693" i="14"/>
  <c r="I1694" i="14"/>
  <c r="I1695" i="14"/>
  <c r="I1696" i="14"/>
  <c r="I1697" i="14"/>
  <c r="I1698" i="14"/>
  <c r="I1699" i="14"/>
  <c r="I1700" i="14"/>
  <c r="I1701" i="14"/>
  <c r="I1702" i="14"/>
  <c r="I1703" i="14"/>
  <c r="I1704" i="14"/>
  <c r="I1705" i="14"/>
  <c r="I1706" i="14"/>
  <c r="I1707" i="14"/>
  <c r="I1708" i="14"/>
  <c r="I1709" i="14"/>
  <c r="I1710" i="14"/>
  <c r="I1711" i="14"/>
  <c r="I1712" i="14"/>
  <c r="I1713" i="14"/>
  <c r="I1714" i="14"/>
  <c r="I1715" i="14"/>
  <c r="I1716" i="14"/>
  <c r="I1717" i="14"/>
  <c r="I1718" i="14"/>
  <c r="I1719" i="14"/>
  <c r="I1720" i="14"/>
  <c r="I1721" i="14"/>
  <c r="I1722" i="14"/>
  <c r="I1723" i="14"/>
  <c r="I1724" i="14"/>
  <c r="I1725" i="14"/>
  <c r="I1726" i="14"/>
  <c r="I1727" i="14"/>
  <c r="I1728" i="14"/>
  <c r="I1729" i="14"/>
  <c r="I1730" i="14"/>
  <c r="I1731" i="14"/>
  <c r="I1732" i="14"/>
  <c r="I1733" i="14"/>
  <c r="I1734" i="14"/>
  <c r="I1735" i="14"/>
  <c r="I1736" i="14"/>
  <c r="I1737" i="14"/>
  <c r="I1738" i="14"/>
  <c r="I1739" i="14"/>
  <c r="I1740" i="14"/>
  <c r="I1741" i="14"/>
  <c r="I1742" i="14"/>
  <c r="I1743" i="14"/>
  <c r="I1744" i="14"/>
  <c r="I1745" i="14"/>
  <c r="I1746" i="14"/>
  <c r="I1747" i="14"/>
  <c r="I1748" i="14"/>
  <c r="I1749" i="14"/>
  <c r="I1750" i="14"/>
  <c r="I1751" i="14"/>
  <c r="I1752" i="14"/>
  <c r="I1753" i="14"/>
  <c r="I1754" i="14"/>
  <c r="I1755" i="14"/>
  <c r="I1756" i="14"/>
  <c r="I1757" i="14"/>
  <c r="I1758" i="14"/>
  <c r="I1759" i="14"/>
  <c r="I1760" i="14"/>
  <c r="I1761" i="14"/>
  <c r="I1762" i="14"/>
  <c r="I1763" i="14"/>
  <c r="I1764" i="14"/>
  <c r="I1765" i="14"/>
  <c r="I1766" i="14"/>
  <c r="I1767" i="14"/>
  <c r="I1768" i="14"/>
  <c r="I1769" i="14"/>
  <c r="I1770" i="14"/>
  <c r="I1771" i="14"/>
  <c r="I1772" i="14"/>
  <c r="I1773" i="14"/>
  <c r="I1774" i="14"/>
  <c r="I1775" i="14"/>
  <c r="I1776" i="14"/>
  <c r="I1777" i="14"/>
  <c r="I1778" i="14"/>
  <c r="I1779" i="14"/>
  <c r="I1780" i="14"/>
  <c r="I1781" i="14"/>
  <c r="I1782" i="14"/>
  <c r="I1783" i="14"/>
  <c r="I1784" i="14"/>
  <c r="I1785" i="14"/>
  <c r="I1786" i="14"/>
  <c r="I1787" i="14"/>
  <c r="I1788" i="14"/>
  <c r="I1789" i="14"/>
  <c r="I1790" i="14"/>
  <c r="I1791" i="14"/>
  <c r="I1792" i="14"/>
  <c r="I1793" i="14"/>
  <c r="I1794" i="14"/>
  <c r="I1795" i="14"/>
  <c r="I1796" i="14"/>
  <c r="I1797" i="14"/>
  <c r="I1798" i="14"/>
  <c r="I1799" i="14"/>
  <c r="I1800" i="14"/>
  <c r="I1801" i="14"/>
  <c r="I1802" i="14"/>
  <c r="I1803" i="14"/>
  <c r="I1804" i="14"/>
  <c r="I1805" i="14"/>
  <c r="I1806" i="14"/>
  <c r="I1807" i="14"/>
  <c r="I1808" i="14"/>
  <c r="I1809" i="14"/>
  <c r="I1810" i="14"/>
  <c r="I1811" i="14"/>
  <c r="I1812" i="14"/>
  <c r="I1813" i="14"/>
  <c r="I1814" i="14"/>
  <c r="I1815" i="14"/>
  <c r="I1816" i="14"/>
  <c r="I1817" i="14"/>
  <c r="I1818" i="14"/>
  <c r="I1819" i="14"/>
  <c r="I1820" i="14"/>
  <c r="I1821" i="14"/>
  <c r="I1822" i="14"/>
  <c r="I1823" i="14"/>
  <c r="I1824" i="14"/>
  <c r="I1825" i="14"/>
  <c r="I1826" i="14"/>
  <c r="I1827" i="14"/>
  <c r="I1828" i="14"/>
  <c r="I1829" i="14"/>
  <c r="I1830" i="14"/>
  <c r="I1831" i="14"/>
  <c r="I1832" i="14"/>
  <c r="I1833" i="14"/>
  <c r="I1834" i="14"/>
  <c r="I1835" i="14"/>
  <c r="I1836" i="14"/>
  <c r="I1837" i="14"/>
  <c r="I1838" i="14"/>
  <c r="I1839" i="14"/>
  <c r="I1840" i="14"/>
  <c r="I1841" i="14"/>
  <c r="I1842" i="14"/>
  <c r="I1843" i="14"/>
  <c r="I1844" i="14"/>
  <c r="I1845" i="14"/>
  <c r="I1846" i="14"/>
  <c r="I1847" i="14"/>
  <c r="I1848" i="14"/>
  <c r="I1849" i="14"/>
  <c r="I1850" i="14"/>
  <c r="I1851" i="14"/>
  <c r="I1852" i="14"/>
  <c r="I1853" i="14"/>
  <c r="I1854" i="14"/>
  <c r="I1855" i="14"/>
  <c r="I1856" i="14"/>
  <c r="I1857" i="14"/>
  <c r="I1858" i="14"/>
  <c r="I1859" i="14"/>
  <c r="I1860" i="14"/>
  <c r="I1861" i="14"/>
  <c r="I1862" i="14"/>
  <c r="I1863" i="14"/>
  <c r="I1864" i="14"/>
  <c r="I1865" i="14"/>
  <c r="I1866" i="14"/>
  <c r="I1867" i="14"/>
  <c r="I1868" i="14"/>
  <c r="I1869" i="14"/>
  <c r="I1870" i="14"/>
  <c r="I1871" i="14"/>
  <c r="I1872" i="14"/>
  <c r="I1873" i="14"/>
  <c r="I1874" i="14"/>
  <c r="I1875" i="14"/>
  <c r="I1876" i="14"/>
  <c r="I1877" i="14"/>
  <c r="I1878" i="14"/>
  <c r="I1879" i="14"/>
  <c r="I1880" i="14"/>
  <c r="I1881" i="14"/>
  <c r="I1882" i="14"/>
  <c r="I1883" i="14"/>
  <c r="I1884" i="14"/>
  <c r="I1885" i="14"/>
  <c r="I1886" i="14"/>
  <c r="I1887" i="14"/>
  <c r="I1888" i="14"/>
  <c r="I1889" i="14"/>
  <c r="I1890" i="14"/>
  <c r="I1891" i="14"/>
  <c r="I1892" i="14"/>
  <c r="I1893" i="14"/>
  <c r="I1894" i="14"/>
  <c r="I1895" i="14"/>
  <c r="I1896" i="14"/>
  <c r="I1897" i="14"/>
  <c r="I1898" i="14"/>
  <c r="I1899" i="14"/>
  <c r="I1900" i="14"/>
  <c r="I1901" i="14"/>
  <c r="I1902" i="14"/>
  <c r="I1903" i="14"/>
  <c r="I1904" i="14"/>
  <c r="I1905" i="14"/>
  <c r="I1906" i="14"/>
  <c r="I1907" i="14"/>
  <c r="I1908" i="14"/>
  <c r="I1909" i="14"/>
  <c r="I1910" i="14"/>
  <c r="I1911" i="14"/>
  <c r="I1912" i="14"/>
  <c r="I1913" i="14"/>
  <c r="I1914" i="14"/>
  <c r="I1915" i="14"/>
  <c r="I1916" i="14"/>
  <c r="I1917" i="14"/>
  <c r="I1918" i="14"/>
  <c r="I1919" i="14"/>
  <c r="I1920" i="14"/>
  <c r="I1921" i="14"/>
  <c r="I1922" i="14"/>
  <c r="I1923" i="14"/>
  <c r="I1924" i="14"/>
  <c r="I1925" i="14"/>
  <c r="I1926" i="14"/>
  <c r="I1927" i="14"/>
  <c r="I1928" i="14"/>
  <c r="I1929" i="14"/>
  <c r="I1930" i="14"/>
  <c r="I1931" i="14"/>
  <c r="I1932" i="14"/>
  <c r="I1933" i="14"/>
  <c r="I1934" i="14"/>
  <c r="I1935" i="14"/>
  <c r="I1936" i="14"/>
  <c r="I1937" i="14"/>
  <c r="I1938" i="14"/>
  <c r="I1939" i="14"/>
  <c r="I1940" i="14"/>
  <c r="I1941" i="14"/>
  <c r="I1942" i="14"/>
  <c r="I1943" i="14"/>
  <c r="I1944" i="14"/>
  <c r="I1945" i="14"/>
  <c r="I1946" i="14"/>
  <c r="I1947" i="14"/>
  <c r="I1948" i="14"/>
  <c r="I1949" i="14"/>
  <c r="I1950" i="14"/>
  <c r="I1951" i="14"/>
  <c r="I1952" i="14"/>
  <c r="I1953" i="14"/>
  <c r="I1954" i="14"/>
  <c r="I1955" i="14"/>
  <c r="I1956" i="14"/>
  <c r="I1957" i="14"/>
  <c r="I1958" i="14"/>
  <c r="I1959" i="14"/>
  <c r="I1960" i="14"/>
  <c r="I1961" i="14"/>
  <c r="I1962" i="14"/>
  <c r="I1963" i="14"/>
  <c r="I1964" i="14"/>
  <c r="I1965" i="14"/>
  <c r="I1966" i="14"/>
  <c r="I1967" i="14"/>
  <c r="I1968" i="14"/>
  <c r="I1969" i="14"/>
  <c r="I1970" i="14"/>
  <c r="I1971" i="14"/>
  <c r="I1972" i="14"/>
  <c r="I1973" i="14"/>
  <c r="I1974" i="14"/>
  <c r="I1975" i="14"/>
  <c r="I1976" i="14"/>
  <c r="I1977" i="14"/>
  <c r="I1978" i="14"/>
  <c r="I1979" i="14"/>
  <c r="I1980" i="14"/>
  <c r="I1981" i="14"/>
  <c r="I1982" i="14"/>
  <c r="I1983" i="14"/>
  <c r="I1984" i="14"/>
  <c r="I1985" i="14"/>
  <c r="I1986" i="14"/>
  <c r="I1987" i="14"/>
  <c r="I1988" i="14"/>
  <c r="I1989" i="14"/>
  <c r="I1990" i="14"/>
  <c r="I1991" i="14"/>
  <c r="I1992" i="14"/>
  <c r="I1993" i="14"/>
  <c r="I1994" i="14"/>
  <c r="I1995" i="14"/>
  <c r="I1996" i="14"/>
  <c r="I1997" i="14"/>
  <c r="I1998" i="14"/>
  <c r="I1999" i="14"/>
  <c r="I2000" i="14"/>
  <c r="I2001" i="14"/>
  <c r="I2002" i="14"/>
  <c r="I2003" i="14"/>
  <c r="I2004" i="14"/>
  <c r="I2005" i="14"/>
  <c r="I2006" i="14"/>
  <c r="I2007" i="14"/>
  <c r="I2008" i="14"/>
  <c r="I2009" i="14"/>
  <c r="I2010" i="14"/>
  <c r="I2011" i="14"/>
  <c r="I2012" i="14"/>
  <c r="I2013" i="14"/>
  <c r="I2014" i="14"/>
  <c r="I2015" i="14"/>
  <c r="I2016" i="14"/>
  <c r="I2017" i="14"/>
  <c r="I2018" i="14"/>
  <c r="I2019" i="14"/>
  <c r="I2020" i="14"/>
  <c r="I2021" i="14"/>
  <c r="I2022" i="14"/>
  <c r="I2023" i="14"/>
  <c r="I2024" i="14"/>
  <c r="I2025" i="14"/>
  <c r="I2026" i="14"/>
  <c r="I2027" i="14"/>
  <c r="I2028" i="14"/>
  <c r="I2029" i="14"/>
  <c r="I2030" i="14"/>
  <c r="I2031" i="14"/>
  <c r="I2032" i="14"/>
  <c r="I2033" i="14"/>
  <c r="I2034" i="14"/>
  <c r="I2035" i="14"/>
  <c r="I2036" i="14"/>
  <c r="I2037" i="14"/>
  <c r="I2038" i="14"/>
  <c r="I2039" i="14"/>
  <c r="I2040" i="14"/>
  <c r="I2041" i="14"/>
  <c r="I2042" i="14"/>
  <c r="I2043" i="14"/>
  <c r="I2044" i="14"/>
  <c r="I2045" i="14"/>
  <c r="I2046" i="14"/>
  <c r="I2047" i="14"/>
  <c r="I2048" i="14"/>
  <c r="I2049" i="14"/>
  <c r="I2050" i="14"/>
  <c r="I2051" i="14"/>
  <c r="I2052" i="14"/>
  <c r="I2053" i="14"/>
  <c r="I2054" i="14"/>
  <c r="I2055" i="14"/>
  <c r="I2056" i="14"/>
  <c r="I2057" i="14"/>
  <c r="I2058" i="14"/>
  <c r="I2059" i="14"/>
  <c r="I2060" i="14"/>
  <c r="I2061" i="14"/>
  <c r="I2062" i="14"/>
  <c r="I2063" i="14"/>
  <c r="I2064" i="14"/>
  <c r="I2065" i="14"/>
  <c r="I2066" i="14"/>
  <c r="I2067" i="14"/>
  <c r="I2068" i="14"/>
  <c r="I2069" i="14"/>
  <c r="I2070" i="14"/>
  <c r="I2071" i="14"/>
  <c r="I2072" i="14"/>
  <c r="I2073" i="14"/>
  <c r="I2074" i="14"/>
  <c r="I2075" i="14"/>
  <c r="I2076" i="14"/>
  <c r="I2077" i="14"/>
  <c r="I2078" i="14"/>
  <c r="I2079" i="14"/>
  <c r="I2080" i="14"/>
  <c r="I2081" i="14"/>
  <c r="I2082" i="14"/>
  <c r="I2083" i="14"/>
  <c r="I2084" i="14"/>
  <c r="I2085" i="14"/>
  <c r="I2086" i="14"/>
  <c r="I2087" i="14"/>
  <c r="I2088" i="14"/>
  <c r="I2089" i="14"/>
  <c r="I2090" i="14"/>
  <c r="I2091" i="14"/>
  <c r="I2092" i="14"/>
  <c r="I2093" i="14"/>
  <c r="I2094" i="14"/>
  <c r="I2095" i="14"/>
  <c r="I2096" i="14"/>
  <c r="I2097" i="14"/>
  <c r="I2098" i="14"/>
  <c r="I2099" i="14"/>
  <c r="I2100" i="14"/>
  <c r="I2101" i="14"/>
  <c r="I2102" i="14"/>
  <c r="I2103" i="14"/>
  <c r="I2104" i="14"/>
  <c r="I2105" i="14"/>
  <c r="I2106" i="14"/>
  <c r="I2107" i="14"/>
  <c r="I2108" i="14"/>
  <c r="I2109" i="14"/>
  <c r="I2110" i="14"/>
  <c r="I2111" i="14"/>
  <c r="I2112" i="14"/>
  <c r="I2113" i="14"/>
  <c r="I2114" i="14"/>
  <c r="I2115" i="14"/>
  <c r="I2116" i="14"/>
  <c r="I2117" i="14"/>
  <c r="I2118" i="14"/>
  <c r="I2119" i="14"/>
  <c r="I2120" i="14"/>
  <c r="I2121" i="14"/>
  <c r="I2122" i="14"/>
  <c r="I2123" i="14"/>
  <c r="I2124" i="14"/>
  <c r="I2125" i="14"/>
  <c r="I2126" i="14"/>
  <c r="I2127" i="14"/>
  <c r="I2128" i="14"/>
  <c r="I2129" i="14"/>
  <c r="I2130" i="14"/>
  <c r="I2131" i="14"/>
  <c r="I2132" i="14"/>
  <c r="I2133" i="14"/>
  <c r="I2134" i="14"/>
  <c r="I2135" i="14"/>
  <c r="I2136" i="14"/>
  <c r="I2137" i="14"/>
  <c r="I2138" i="14"/>
  <c r="I2139" i="14"/>
  <c r="I2140" i="14"/>
  <c r="I2141" i="14"/>
  <c r="I2142" i="14"/>
  <c r="I2143" i="14"/>
  <c r="I2144" i="14"/>
  <c r="I2145" i="14"/>
  <c r="I2146" i="14"/>
  <c r="I2147" i="14"/>
  <c r="I2148" i="14"/>
  <c r="I2149" i="14"/>
  <c r="I2150" i="14"/>
  <c r="I2151" i="14"/>
  <c r="I2152" i="14"/>
  <c r="I2153" i="14"/>
  <c r="I2154" i="14"/>
  <c r="I2155" i="14"/>
  <c r="I2156" i="14"/>
  <c r="I2157" i="14"/>
  <c r="I2158" i="14"/>
  <c r="I2159" i="14"/>
  <c r="I2160" i="14"/>
  <c r="I2161" i="14"/>
  <c r="I2162" i="14"/>
  <c r="I2163" i="14"/>
  <c r="I2164" i="14"/>
  <c r="I2165" i="14"/>
  <c r="I2166" i="14"/>
  <c r="I2167" i="14"/>
  <c r="I2168" i="14"/>
  <c r="I2169" i="14"/>
  <c r="I2170" i="14"/>
  <c r="I2171" i="14"/>
  <c r="I2172" i="14"/>
  <c r="I2173" i="14"/>
  <c r="I2174" i="14"/>
  <c r="I2175" i="14"/>
  <c r="I2176" i="14"/>
  <c r="I2177" i="14"/>
  <c r="I2178" i="14"/>
  <c r="I2179" i="14"/>
  <c r="I2180" i="14"/>
  <c r="I2181" i="14"/>
  <c r="I2182" i="14"/>
  <c r="I2183" i="14"/>
  <c r="I2184" i="14"/>
  <c r="I2185" i="14"/>
  <c r="I2186" i="14"/>
  <c r="I2187" i="14"/>
  <c r="I2188" i="14"/>
  <c r="I2189" i="14"/>
  <c r="I2190" i="14"/>
  <c r="I2191" i="14"/>
  <c r="I2192" i="14"/>
  <c r="I2193" i="14"/>
  <c r="I2194" i="14"/>
  <c r="I2195" i="14"/>
  <c r="I2196" i="14"/>
  <c r="I2197" i="14"/>
  <c r="I2198" i="14"/>
  <c r="I2199" i="14"/>
  <c r="I2200" i="14"/>
  <c r="I2201" i="14"/>
  <c r="I2202" i="14"/>
  <c r="I2203" i="14"/>
  <c r="I2204" i="14"/>
  <c r="I2205" i="14"/>
  <c r="I2206" i="14"/>
  <c r="I2207" i="14"/>
  <c r="I2208" i="14"/>
  <c r="I2209" i="14"/>
  <c r="I2210" i="14"/>
  <c r="I2211" i="14"/>
  <c r="I2212" i="14"/>
  <c r="I2213" i="14"/>
  <c r="I2214" i="14"/>
  <c r="I2215" i="14"/>
  <c r="I2216" i="14"/>
  <c r="I2217" i="14"/>
  <c r="I2218" i="14"/>
  <c r="I2219" i="14"/>
  <c r="I2220" i="14"/>
  <c r="I2221" i="14"/>
  <c r="I2222" i="14"/>
  <c r="I2223" i="14"/>
  <c r="I2224" i="14"/>
  <c r="I2225" i="14"/>
  <c r="I2226" i="14"/>
  <c r="I2227" i="14"/>
  <c r="I2228" i="14"/>
  <c r="I2229" i="14"/>
  <c r="I2230" i="14"/>
  <c r="I2231" i="14"/>
  <c r="I2232" i="14"/>
  <c r="I2233" i="14"/>
  <c r="I2234" i="14"/>
  <c r="I2235" i="14"/>
  <c r="I2236" i="14"/>
  <c r="I2237" i="14"/>
  <c r="I2238" i="14"/>
  <c r="I2239" i="14"/>
  <c r="I2240" i="14"/>
  <c r="I2241" i="14"/>
  <c r="I2242" i="14"/>
  <c r="I2243" i="14"/>
  <c r="I2244" i="14"/>
  <c r="I2245" i="14"/>
  <c r="I2246" i="14"/>
  <c r="I2247" i="14"/>
  <c r="I2248" i="14"/>
  <c r="I2249" i="14"/>
  <c r="I2250" i="14"/>
  <c r="I2251" i="14"/>
  <c r="I2252" i="14"/>
  <c r="I2253" i="14"/>
  <c r="I2254" i="14"/>
  <c r="I2255" i="14"/>
  <c r="I2256" i="14"/>
  <c r="I2257" i="14"/>
  <c r="I2258" i="14"/>
  <c r="I2259" i="14"/>
  <c r="I2260" i="14"/>
  <c r="I2261" i="14"/>
  <c r="I2262" i="14"/>
  <c r="I2263" i="14"/>
  <c r="I2264" i="14"/>
  <c r="I2265" i="14"/>
  <c r="I2266" i="14"/>
  <c r="I2267" i="14"/>
  <c r="I2268" i="14"/>
  <c r="I2269" i="14"/>
  <c r="I2270" i="14"/>
  <c r="I2271" i="14"/>
  <c r="I2272" i="14"/>
  <c r="I2273" i="14"/>
  <c r="I2274" i="14"/>
  <c r="I2275" i="14"/>
  <c r="I2276" i="14"/>
  <c r="I2277" i="14"/>
  <c r="I2278" i="14"/>
  <c r="I2279" i="14"/>
  <c r="I2280" i="14"/>
  <c r="I2281" i="14"/>
  <c r="I2282" i="14"/>
  <c r="I2283" i="14"/>
  <c r="I2284" i="14"/>
  <c r="I2285" i="14"/>
  <c r="I2286" i="14"/>
  <c r="I2287" i="14"/>
  <c r="I2288" i="14"/>
  <c r="I2289" i="14"/>
  <c r="I2290" i="14"/>
  <c r="I2291" i="14"/>
  <c r="I2292" i="14"/>
  <c r="I2293" i="14"/>
  <c r="I2294" i="14"/>
  <c r="I2295" i="14"/>
  <c r="I2296" i="14"/>
  <c r="I2297" i="14"/>
  <c r="I2298" i="14"/>
  <c r="I2299" i="14"/>
  <c r="I2300" i="14"/>
  <c r="I2301" i="14"/>
  <c r="I2302" i="14"/>
  <c r="I2303" i="14"/>
  <c r="I2304" i="14"/>
  <c r="I2305" i="14"/>
  <c r="I2306" i="14"/>
  <c r="I2307" i="14"/>
  <c r="I2308" i="14"/>
  <c r="I2309" i="14"/>
  <c r="I2310" i="14"/>
  <c r="I2311" i="14"/>
  <c r="I2312" i="14"/>
  <c r="I2313" i="14"/>
  <c r="I2314" i="14"/>
  <c r="I2315" i="14"/>
  <c r="I2316" i="14"/>
  <c r="I2317" i="14"/>
  <c r="I2318" i="14"/>
  <c r="I2319" i="14"/>
  <c r="I2320" i="14"/>
  <c r="I2321" i="14"/>
  <c r="I2322" i="14"/>
  <c r="I2323" i="14"/>
  <c r="I2324" i="14"/>
  <c r="I2325" i="14"/>
  <c r="I2326" i="14"/>
  <c r="I2327" i="14"/>
  <c r="I2328" i="14"/>
  <c r="I2329" i="14"/>
  <c r="I2330" i="14"/>
  <c r="I2331" i="14"/>
  <c r="I2332" i="14"/>
  <c r="I2333" i="14"/>
  <c r="I2334" i="14"/>
  <c r="I2335" i="14"/>
  <c r="I2336" i="14"/>
  <c r="I2337" i="14"/>
  <c r="I2338" i="14"/>
  <c r="I2339" i="14"/>
  <c r="I2340" i="14"/>
  <c r="I2341" i="14"/>
  <c r="I2342" i="14"/>
  <c r="I2343" i="14"/>
  <c r="I2344" i="14"/>
  <c r="I2345" i="14"/>
  <c r="I2346" i="14"/>
  <c r="I2347" i="14"/>
  <c r="I2348" i="14"/>
  <c r="I2349" i="14"/>
  <c r="I2350" i="14"/>
  <c r="I2351" i="14"/>
  <c r="I2352" i="14"/>
  <c r="I2353" i="14"/>
  <c r="I2354" i="14"/>
  <c r="I2355" i="14"/>
  <c r="I2356" i="14"/>
  <c r="I2357" i="14"/>
  <c r="I2358" i="14"/>
  <c r="I2359" i="14"/>
  <c r="I2360" i="14"/>
  <c r="I2361" i="14"/>
  <c r="I2362" i="14"/>
  <c r="I2363" i="14"/>
  <c r="I2364" i="14"/>
  <c r="I2365" i="14"/>
  <c r="I2366" i="14"/>
  <c r="I2367" i="14"/>
  <c r="I2368" i="14"/>
  <c r="I2369" i="14"/>
  <c r="I2370" i="14"/>
  <c r="I2371" i="14"/>
  <c r="I2372" i="14"/>
  <c r="I2373" i="14"/>
  <c r="I2374" i="14"/>
  <c r="I2375" i="14"/>
  <c r="I2376" i="14"/>
  <c r="I2377" i="14"/>
  <c r="I2378" i="14"/>
  <c r="I2379" i="14"/>
  <c r="I2380" i="14"/>
  <c r="I2381" i="14"/>
  <c r="I2382" i="14"/>
  <c r="I2383" i="14"/>
  <c r="I2384" i="14"/>
  <c r="I2385" i="14"/>
  <c r="I2386" i="14"/>
  <c r="I2387" i="14"/>
  <c r="I2388" i="14"/>
  <c r="I2389" i="14"/>
  <c r="I2390" i="14"/>
  <c r="I2391" i="14"/>
  <c r="I2392" i="14"/>
  <c r="I2393" i="14"/>
  <c r="I2394" i="14"/>
  <c r="I2395" i="14"/>
  <c r="I2396" i="14"/>
  <c r="I2397" i="14"/>
  <c r="I2398" i="14"/>
  <c r="I2399" i="14"/>
  <c r="I2400" i="14"/>
  <c r="I2401" i="14"/>
  <c r="I2402" i="14"/>
  <c r="I2403" i="14"/>
  <c r="I2404" i="14"/>
  <c r="I2405" i="14"/>
  <c r="I2406" i="14"/>
  <c r="I2407" i="14"/>
  <c r="I2408" i="14"/>
  <c r="I2409" i="14"/>
  <c r="I2410" i="14"/>
  <c r="I2411" i="14"/>
  <c r="I2412" i="14"/>
  <c r="I2413" i="14"/>
  <c r="I2414" i="14"/>
  <c r="I2415" i="14"/>
  <c r="I2416" i="14"/>
  <c r="I2417" i="14"/>
  <c r="I2418" i="14"/>
  <c r="I2419" i="14"/>
  <c r="I2420" i="14"/>
  <c r="I2421" i="14"/>
  <c r="I2422" i="14"/>
  <c r="I2423" i="14"/>
  <c r="I2424" i="14"/>
  <c r="I2425" i="14"/>
  <c r="I2426" i="14"/>
  <c r="I2427" i="14"/>
  <c r="I2428" i="14"/>
  <c r="I2429" i="14"/>
  <c r="I2430" i="14"/>
  <c r="I2431" i="14"/>
  <c r="I2432" i="14"/>
  <c r="I2433" i="14"/>
  <c r="I2434" i="14"/>
  <c r="I2435" i="14"/>
  <c r="I2436" i="14"/>
  <c r="I2437" i="14"/>
  <c r="I2438" i="14"/>
  <c r="I2439" i="14"/>
  <c r="I2440" i="14"/>
  <c r="I2441" i="14"/>
  <c r="I2442" i="14"/>
  <c r="I2443" i="14"/>
  <c r="I2444" i="14"/>
  <c r="I2445" i="14"/>
  <c r="I2446" i="14"/>
  <c r="I2447" i="14"/>
  <c r="I2448" i="14"/>
  <c r="I2449" i="14"/>
  <c r="I2450" i="14"/>
  <c r="I2451" i="14"/>
  <c r="I2452" i="14"/>
  <c r="I2453" i="14"/>
  <c r="I2454" i="14"/>
  <c r="I2455" i="14"/>
  <c r="I2456" i="14"/>
  <c r="I2457" i="14"/>
  <c r="I2458" i="14"/>
  <c r="I2459" i="14"/>
  <c r="I2460" i="14"/>
  <c r="I2461" i="14"/>
  <c r="I2462" i="14"/>
  <c r="I2463" i="14"/>
  <c r="I2464" i="14"/>
  <c r="I2465" i="14"/>
  <c r="I2466" i="14"/>
  <c r="I2467" i="14"/>
  <c r="I2468" i="14"/>
  <c r="I2469" i="14"/>
  <c r="I2470" i="14"/>
  <c r="I2471" i="14"/>
  <c r="I2472" i="14"/>
  <c r="I2473" i="14"/>
  <c r="I2474" i="14"/>
  <c r="I2475" i="14"/>
  <c r="I2476" i="14"/>
  <c r="I2477" i="14"/>
  <c r="I2478" i="14"/>
  <c r="I2479" i="14"/>
  <c r="I2480" i="14"/>
  <c r="I2481" i="14"/>
  <c r="I2482" i="14"/>
  <c r="I2483" i="14"/>
  <c r="I2484" i="14"/>
  <c r="I2485" i="14"/>
  <c r="I2486" i="14"/>
  <c r="I2487" i="14"/>
  <c r="I2488" i="14"/>
  <c r="I2489" i="14"/>
  <c r="I2490" i="14"/>
  <c r="I2491" i="14"/>
  <c r="I2492" i="14"/>
  <c r="I2493" i="14"/>
  <c r="I2494" i="14"/>
  <c r="I2495" i="14"/>
  <c r="I2496" i="14"/>
  <c r="I2497" i="14"/>
  <c r="I2498" i="14"/>
  <c r="I2499" i="14"/>
  <c r="I2500" i="14"/>
  <c r="I2501" i="14"/>
  <c r="I2502" i="14"/>
  <c r="I2503" i="14"/>
  <c r="I2504" i="14"/>
  <c r="I2505" i="14"/>
  <c r="I2506" i="14"/>
  <c r="I2507" i="14"/>
  <c r="I2508" i="14"/>
  <c r="I2509" i="14"/>
  <c r="I2510" i="14"/>
  <c r="I2511" i="14"/>
  <c r="I2512" i="14"/>
  <c r="I2513" i="14"/>
  <c r="I2514" i="14"/>
  <c r="I2515" i="14"/>
  <c r="I2516" i="14"/>
  <c r="I2517" i="14"/>
  <c r="I2518" i="14"/>
  <c r="I2519" i="14"/>
  <c r="I2520" i="14"/>
  <c r="I2521" i="14"/>
  <c r="I2522" i="14"/>
  <c r="I2523" i="14"/>
  <c r="I2524" i="14"/>
  <c r="I2525" i="14"/>
  <c r="I2526" i="14"/>
  <c r="I2527" i="14"/>
  <c r="I2528" i="14"/>
  <c r="I2529" i="14"/>
  <c r="I2530" i="14"/>
  <c r="I2531" i="14"/>
  <c r="I2532" i="14"/>
  <c r="I2533" i="14"/>
  <c r="I2534" i="14"/>
  <c r="I2535" i="14"/>
  <c r="I2536" i="14"/>
  <c r="I2537" i="14"/>
  <c r="I2538" i="14"/>
  <c r="I2539" i="14"/>
  <c r="I2540" i="14"/>
  <c r="I2541" i="14"/>
  <c r="I2542" i="14"/>
  <c r="I2543" i="14"/>
  <c r="I2544" i="14"/>
  <c r="I2545" i="14"/>
  <c r="I2546" i="14"/>
  <c r="I2547" i="14"/>
  <c r="I2548" i="14"/>
  <c r="I2549" i="14"/>
  <c r="I2550" i="14"/>
  <c r="I2551" i="14"/>
  <c r="I2552" i="14"/>
  <c r="I2553" i="14"/>
  <c r="I2554" i="14"/>
  <c r="I2555" i="14"/>
  <c r="I2556" i="14"/>
  <c r="I2557" i="14"/>
  <c r="I2558" i="14"/>
  <c r="I2559" i="14"/>
  <c r="I2560" i="14"/>
  <c r="I2561" i="14"/>
  <c r="I2562" i="14"/>
  <c r="I2563" i="14"/>
  <c r="I2564" i="14"/>
  <c r="I2565" i="14"/>
  <c r="I2566" i="14"/>
  <c r="I2567" i="14"/>
  <c r="I2568" i="14"/>
  <c r="I2569" i="14"/>
  <c r="I2570" i="14"/>
  <c r="I2571" i="14"/>
  <c r="I2572" i="14"/>
  <c r="I2573" i="14"/>
  <c r="I2574" i="14"/>
  <c r="I2575" i="14"/>
  <c r="I2576" i="14"/>
  <c r="I2577" i="14"/>
  <c r="I2578" i="14"/>
  <c r="I2579" i="14"/>
  <c r="I2580" i="14"/>
  <c r="I2581" i="14"/>
  <c r="I2582" i="14"/>
  <c r="I2583" i="14"/>
  <c r="I2584" i="14"/>
  <c r="I2585" i="14"/>
  <c r="I2586" i="14"/>
  <c r="I2587" i="14"/>
  <c r="I2588" i="14"/>
  <c r="I2589" i="14"/>
  <c r="I2590" i="14"/>
  <c r="I2591" i="14"/>
  <c r="I2592" i="14"/>
  <c r="I2593" i="14"/>
  <c r="I2594" i="14"/>
  <c r="I2595" i="14"/>
  <c r="I2596" i="14"/>
  <c r="I2597" i="14"/>
  <c r="I2598" i="14"/>
  <c r="I2599" i="14"/>
  <c r="I2600" i="14"/>
  <c r="I2601" i="14"/>
  <c r="I2602" i="14"/>
  <c r="I2603" i="14"/>
  <c r="I2604" i="14"/>
  <c r="I2605" i="14"/>
  <c r="I2606" i="14"/>
  <c r="I2607" i="14"/>
  <c r="I2608" i="14"/>
  <c r="I2609" i="14"/>
  <c r="I2610" i="14"/>
  <c r="I2611" i="14"/>
  <c r="I2612" i="14"/>
  <c r="I2613" i="14"/>
  <c r="I2614" i="14"/>
  <c r="I2615" i="14"/>
  <c r="I2616" i="14"/>
  <c r="I2617" i="14"/>
  <c r="I2618" i="14"/>
  <c r="I2619" i="14"/>
  <c r="I2620" i="14"/>
  <c r="I2621" i="14"/>
  <c r="I2622" i="14"/>
  <c r="I2623" i="14"/>
  <c r="I2624" i="14"/>
  <c r="I2625" i="14"/>
  <c r="I2626" i="14"/>
  <c r="I2627" i="14"/>
  <c r="I2628" i="14"/>
  <c r="I2629" i="14"/>
  <c r="I2630" i="14"/>
  <c r="I2631" i="14"/>
  <c r="I2632" i="14"/>
  <c r="I2633" i="14"/>
  <c r="I2634" i="14"/>
  <c r="I2635" i="14"/>
  <c r="I2636" i="14"/>
  <c r="I2637" i="14"/>
  <c r="I2638" i="14"/>
  <c r="I2639" i="14"/>
  <c r="I2640" i="14"/>
  <c r="I2641" i="14"/>
  <c r="I2642" i="14"/>
  <c r="I2643" i="14"/>
  <c r="I2644" i="14"/>
  <c r="I2645" i="14"/>
  <c r="I2646" i="14"/>
  <c r="I2647" i="14"/>
  <c r="I2648" i="14"/>
  <c r="I2649" i="14"/>
  <c r="I2650" i="14"/>
  <c r="I2651" i="14"/>
  <c r="I2652" i="14"/>
  <c r="I2653" i="14"/>
  <c r="I2654" i="14"/>
  <c r="I2655" i="14"/>
  <c r="I2656" i="14"/>
  <c r="I2657" i="14"/>
  <c r="I2658" i="14"/>
  <c r="I2659" i="14"/>
  <c r="I2660" i="14"/>
  <c r="I2661" i="14"/>
  <c r="I2662" i="14"/>
  <c r="I2663" i="14"/>
  <c r="I2664" i="14"/>
  <c r="I2665" i="14"/>
  <c r="I2666" i="14"/>
  <c r="I2667" i="14"/>
  <c r="I2668" i="14"/>
  <c r="I2669" i="14"/>
  <c r="I2670" i="14"/>
  <c r="I2671" i="14"/>
  <c r="I2672" i="14"/>
  <c r="I2673" i="14"/>
  <c r="I2674" i="14"/>
  <c r="I2675" i="14"/>
  <c r="I2676" i="14"/>
  <c r="I2677" i="14"/>
  <c r="I2678" i="14"/>
  <c r="I2679" i="14"/>
  <c r="I2680" i="14"/>
  <c r="I2681" i="14"/>
  <c r="I2682" i="14"/>
  <c r="I2683" i="14"/>
  <c r="I2684" i="14"/>
  <c r="I2685" i="14"/>
  <c r="I2686" i="14"/>
  <c r="I2687" i="14"/>
  <c r="I2688" i="14"/>
  <c r="I2689" i="14"/>
  <c r="I2690" i="14"/>
  <c r="I2691" i="14"/>
  <c r="I2692" i="14"/>
  <c r="I2693" i="14"/>
  <c r="I2694" i="14"/>
  <c r="I2695" i="14"/>
  <c r="I2696" i="14"/>
  <c r="I2697" i="14"/>
  <c r="I2698" i="14"/>
  <c r="I2699" i="14"/>
  <c r="I2700" i="14"/>
  <c r="I2701" i="14"/>
  <c r="I2702" i="14"/>
  <c r="I2703" i="14"/>
  <c r="I2704" i="14"/>
  <c r="I2705" i="14"/>
  <c r="I2706" i="14"/>
  <c r="I2707" i="14"/>
  <c r="I2708" i="14"/>
  <c r="I2709" i="14"/>
  <c r="I2710" i="14"/>
  <c r="I2711" i="14"/>
  <c r="I2712" i="14"/>
  <c r="I2713" i="14"/>
  <c r="I2714" i="14"/>
  <c r="I2715" i="14"/>
  <c r="I2716" i="14"/>
  <c r="I2717" i="14"/>
  <c r="I2718" i="14"/>
  <c r="I2719" i="14"/>
  <c r="I2720" i="14"/>
  <c r="I2721" i="14"/>
  <c r="I2722" i="14"/>
  <c r="I2723" i="14"/>
  <c r="I2724" i="14"/>
  <c r="I2725" i="14"/>
  <c r="I2726" i="14"/>
  <c r="I2727" i="14"/>
  <c r="I2728" i="14"/>
  <c r="I2729" i="14"/>
  <c r="I2730" i="14"/>
  <c r="I2731" i="14"/>
  <c r="I2732" i="14"/>
  <c r="I2733" i="14"/>
  <c r="I2734" i="14"/>
  <c r="I2735" i="14"/>
  <c r="I2736" i="14"/>
  <c r="I2737" i="14"/>
  <c r="I2738" i="14"/>
  <c r="I2739" i="14"/>
  <c r="I2740" i="14"/>
  <c r="I2741" i="14"/>
  <c r="I2742" i="14"/>
  <c r="I2743" i="14"/>
  <c r="I2744" i="14"/>
  <c r="I2745" i="14"/>
  <c r="I2746" i="14"/>
  <c r="I2747" i="14"/>
  <c r="I2748" i="14"/>
  <c r="I2749" i="14"/>
  <c r="I2750" i="14"/>
  <c r="I2751" i="14"/>
  <c r="I2752" i="14"/>
  <c r="I2753" i="14"/>
  <c r="I2754" i="14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5F46C5-BDD8-4FC6-ACEB-FABDB931ECAA}" keepAlive="1" name="Zapytanie — Elementy_z_idxWspolny_z_Prod2Elem" description="Połączenie z zapytaniem „Elementy_z_idxWspolny_z_Prod2Elem” w skoroszycie." type="5" refreshedVersion="8" background="1" saveData="1">
    <dbPr connection="Provider=Microsoft.Mashup.OleDb.1;Data Source=$Workbook$;Location=Elementy_z_idxWspolny_z_Prod2Elem;Extended Properties=&quot;&quot;" command="SELECT * FROM [Elementy_z_idxWspolny_z_Prod2Elem]"/>
  </connection>
  <connection id="2" xr16:uid="{3A5E51A8-2E61-4972-9F07-2290724727B3}" keepAlive="1" name="Zapytanie — Produkty2elem_i_Produkty2tech" description="Połączenie z zapytaniem „Produkty2elem_i_Produkty2tech” w skoroszycie." type="5" refreshedVersion="8" background="1" saveData="1">
    <dbPr connection="Provider=Microsoft.Mashup.OleDb.1;Data Source=$Workbook$;Location=Produkty2elem_i_Produkty2tech;Extended Properties=&quot;&quot;" command="SELECT * FROM [Produkty2elem_i_Produkty2tech]"/>
  </connection>
  <connection id="3" xr16:uid="{6ED428D9-49F3-43ED-A301-DA0A30E5EDBF}" keepAlive="1" name="Zapytanie — Same_elementy" description="Połączenie z zapytaniem „Same_elementy” w skoroszycie." type="5" refreshedVersion="8" background="1" saveData="1">
    <dbPr connection="Provider=Microsoft.Mashup.OleDb.1;Data Source=$Workbook$;Location=Same_elementy;Extended Properties=&quot;&quot;" command="SELECT * FROM [Same_elementy]"/>
  </connection>
  <connection id="4" xr16:uid="{68302FEE-845F-42F2-BD27-93A9FDB6B41A}" keepAlive="1" name="Zapytanie — Same_produkty" description="Połączenie z zapytaniem „Same_produkty” w skoroszycie." type="5" refreshedVersion="8" background="1" saveData="1">
    <dbPr connection="Provider=Microsoft.Mashup.OleDb.1;Data Source=$Workbook$;Location=Same_produkty;Extended Properties=&quot;&quot;" command="SELECT * FROM [Same_produkty]"/>
  </connection>
  <connection id="5" xr16:uid="{C463052F-DB0B-4B7D-87FA-AC9AC833FE91}" keepAlive="1" name="Zapytanie — Same_produkty2techn" description="Połączenie z zapytaniem „Same_produkty2techn” w skoroszycie." type="5" refreshedVersion="8" background="1" saveData="1">
    <dbPr connection="Provider=Microsoft.Mashup.OleDb.1;Data Source=$Workbook$;Location=Same_produkty2techn;Extended Properties=&quot;&quot;" command="SELECT * FROM [Same_produkty2techn]"/>
  </connection>
  <connection id="6" xr16:uid="{D1B28CCC-AA36-411F-819A-76FEFE42B11C}" keepAlive="1" name="Zapytanie — Same_technologie_z_ElemWKodProd2T" description="Połączenie z zapytaniem „Same_technologie_z_ElemWKodProd2T” w skoroszycie." type="5" refreshedVersion="8" background="1" saveData="1">
    <dbPr connection="Provider=Microsoft.Mashup.OleDb.1;Data Source=$Workbook$;Location=Same_technologie_z_ElemWKodProd2T;Extended Properties=&quot;&quot;" command="SELECT * FROM [Same_technologie_z_ElemWKodProd2T]"/>
  </connection>
  <connection id="7" xr16:uid="{27EF10FE-55CF-49A6-BE9A-BE41EC5318A0}" keepAlive="1" name="Zapytanie — Same_technologie_z_ElemWKodProd2T (2)" description="Połączenie z zapytaniem „Same_technologie_z_ElemWKodProd2T (2)” w skoroszycie." type="5" refreshedVersion="0" background="1">
    <dbPr connection="Provider=Microsoft.Mashup.OleDb.1;Data Source=$Workbook$;Location=&quot;Same_technologie_z_ElemWKodProd2T (2)&quot;;Extended Properties=&quot;&quot;" command="SELECT * FROM [Same_technologie_z_ElemWKodProd2T (2)]"/>
  </connection>
  <connection id="8" xr16:uid="{2F960869-B928-4C7E-88A1-8A4085E2B4C0}" keepAlive="1" name="Zapytanie — Technologie_Wszystkie" description="Połączenie z zapytaniem „Technologie_Wszystkie” w skoroszycie." type="5" refreshedVersion="8" background="1" saveData="1">
    <dbPr connection="Provider=Microsoft.Mashup.OleDb.1;Data Source=$Workbook$;Location=Technologie_Wszystkie;Extended Properties=&quot;&quot;" command="SELECT * FROM [Technologie_Wszystkie]"/>
  </connection>
  <connection id="9" xr16:uid="{D4872990-BC70-46BC-B692-7861FE6C4A83}" keepAlive="1" name="Zapytanie — Technologie_Wszystkie (2)" description="Połączenie z zapytaniem „Technologie_Wszystkie (2)” w skoroszycie." type="5" refreshedVersion="8" background="1" saveData="1">
    <dbPr connection="Provider=Microsoft.Mashup.OleDb.1;Data Source=$Workbook$;Location=&quot;Technologie_Wszystkie (2)&quot;;Extended Properties=&quot;&quot;" command="SELECT * FROM [Technologie_Wszystkie (2)]"/>
  </connection>
  <connection id="10" xr16:uid="{19938B22-D33E-4585-A9F4-513A2BD9F15A}" keepAlive="1" name="Zapytanie — VE" description="Połączenie z zapytaniem „VE” w skoroszycie." type="5" refreshedVersion="8" background="1" saveData="1">
    <dbPr connection="Provider=Microsoft.Mashup.OleDb.1;Data Source=$Workbook$;Location=VE;Extended Properties=&quot;&quot;" command="SELECT * FROM [VE]"/>
  </connection>
</connections>
</file>

<file path=xl/sharedStrings.xml><?xml version="1.0" encoding="utf-8"?>
<sst xmlns="http://schemas.openxmlformats.org/spreadsheetml/2006/main" count="101287" uniqueCount="7212">
  <si>
    <t>404C01</t>
  </si>
  <si>
    <t>CZOP fi10h7/fi11,9 rys.001156 poz.1</t>
  </si>
  <si>
    <t>401P04</t>
  </si>
  <si>
    <t>PRĘT CIĄGN. D-16 45 1.58KG/MB</t>
  </si>
  <si>
    <t>9.59</t>
  </si>
  <si>
    <t>KG</t>
  </si>
  <si>
    <t>0.06256</t>
  </si>
  <si>
    <t>ROB101</t>
  </si>
  <si>
    <t>ROBOCIZNA-ODLEWNIA</t>
  </si>
  <si>
    <t>46.00</t>
  </si>
  <si>
    <t>H</t>
  </si>
  <si>
    <t>0.10434</t>
  </si>
  <si>
    <t>404D01</t>
  </si>
  <si>
    <t>UFO-A-10000-DYSZA w/g rys.019073</t>
  </si>
  <si>
    <t>400R30</t>
  </si>
  <si>
    <t>RURA STAL. D-22X2.5 R-35</t>
  </si>
  <si>
    <t>47.00</t>
  </si>
  <si>
    <t>MB</t>
  </si>
  <si>
    <t>0.02978</t>
  </si>
  <si>
    <t>0.10000</t>
  </si>
  <si>
    <t>404D02</t>
  </si>
  <si>
    <t>UFO-A-10000-RURA STRZAŁOWA w/g rys.029293 poz.2</t>
  </si>
  <si>
    <t>406R03</t>
  </si>
  <si>
    <t>RURA STAL. D-48.3X3,6 R-35</t>
  </si>
  <si>
    <t>69.57</t>
  </si>
  <si>
    <t>0.06000</t>
  </si>
  <si>
    <t>0.58330</t>
  </si>
  <si>
    <t>404D03</t>
  </si>
  <si>
    <t>DYSTANS RYS.015343</t>
  </si>
  <si>
    <t>400P72</t>
  </si>
  <si>
    <t>PRĘT CIĄGN. D-20 ST3S 2.47KG/MB</t>
  </si>
  <si>
    <t>10.60</t>
  </si>
  <si>
    <t>0.07075</t>
  </si>
  <si>
    <t>0.20000</t>
  </si>
  <si>
    <t>404E01</t>
  </si>
  <si>
    <t>ELEMENTY SSAWKI ZACISKOWEJ AN-100;125;150</t>
  </si>
  <si>
    <t>436W07</t>
  </si>
  <si>
    <t>WOREK FOLIOWY 120X170X0.16</t>
  </si>
  <si>
    <t>18.60</t>
  </si>
  <si>
    <t>STO</t>
  </si>
  <si>
    <t>0.01000</t>
  </si>
  <si>
    <t>478C01</t>
  </si>
  <si>
    <t>CZYŚCIWO MIĘKKIE BIAŁE</t>
  </si>
  <si>
    <t>5.80</t>
  </si>
  <si>
    <t>0.00181</t>
  </si>
  <si>
    <t>919S07-200</t>
  </si>
  <si>
    <t>410T26</t>
  </si>
  <si>
    <t>TRZPIEŃ GWINTOWANY RYS.000609 POZ.1</t>
  </si>
  <si>
    <t>11.90</t>
  </si>
  <si>
    <t>szt</t>
  </si>
  <si>
    <t>1.00000</t>
  </si>
  <si>
    <t>INDEKS2</t>
  </si>
  <si>
    <t>919S07-300</t>
  </si>
  <si>
    <t>SWORZEŃ d6x26 RYS.000608 POZ.4</t>
  </si>
  <si>
    <t>3.80</t>
  </si>
  <si>
    <t>INDEKS1</t>
  </si>
  <si>
    <t>919S07-400</t>
  </si>
  <si>
    <t>TULEJKA Z KOŁNIERZEM RYS.000609 POZ.5</t>
  </si>
  <si>
    <t>5.40</t>
  </si>
  <si>
    <t>919S07-500</t>
  </si>
  <si>
    <t>OGRANICZNIK RYS.000609 POZ.7</t>
  </si>
  <si>
    <t>3.85</t>
  </si>
  <si>
    <t>919S07-600</t>
  </si>
  <si>
    <t>SEGMENT DOCISKOWY RYS.000608 POZ.3</t>
  </si>
  <si>
    <t>19.95</t>
  </si>
  <si>
    <t>919S07-700</t>
  </si>
  <si>
    <t>PODKŁADKA ŚLIZG-TEFLON RYS.000609 POZ.4</t>
  </si>
  <si>
    <t>2.55</t>
  </si>
  <si>
    <t>919S07-800</t>
  </si>
  <si>
    <t>NAKRETKA SPEC. M8 RYS.000609 POZ.2</t>
  </si>
  <si>
    <t>5.00</t>
  </si>
  <si>
    <t>0.08369</t>
  </si>
  <si>
    <t>404E02</t>
  </si>
  <si>
    <t>ELEMENTY SSAWKI ZACISKOWEJ AN-200</t>
  </si>
  <si>
    <t>0.00344</t>
  </si>
  <si>
    <t>919S00-200</t>
  </si>
  <si>
    <t>SWORZEŃ d6x27,8 RYS.009149 POZ.4</t>
  </si>
  <si>
    <t>4.05</t>
  </si>
  <si>
    <t>0.08370</t>
  </si>
  <si>
    <t>404E03</t>
  </si>
  <si>
    <t>ELEMENTY ZACISKU ZDR-H1</t>
  </si>
  <si>
    <t>436W18</t>
  </si>
  <si>
    <t>WOREK FOLIOWY 160X250 Z ZAMK.STRUNOWYM</t>
  </si>
  <si>
    <t>15.00</t>
  </si>
  <si>
    <t>919S28-102</t>
  </si>
  <si>
    <t>404S26</t>
  </si>
  <si>
    <t>SWORZEŃ RYS.000737</t>
  </si>
  <si>
    <t>8.90</t>
  </si>
  <si>
    <t>919S28-103</t>
  </si>
  <si>
    <t>404W06</t>
  </si>
  <si>
    <t>WKRĘT SPECJALNY RYS.000738</t>
  </si>
  <si>
    <t>5.20</t>
  </si>
  <si>
    <t>2.00000</t>
  </si>
  <si>
    <t>919S28-104</t>
  </si>
  <si>
    <t>404T65</t>
  </si>
  <si>
    <t>TULEKKA I RYS.000763</t>
  </si>
  <si>
    <t>4.45</t>
  </si>
  <si>
    <t>919S28-105</t>
  </si>
  <si>
    <t>404T66</t>
  </si>
  <si>
    <t>TULEJKA II RYS.000764</t>
  </si>
  <si>
    <t>3.65</t>
  </si>
  <si>
    <t>919S28-106</t>
  </si>
  <si>
    <t>404P91</t>
  </si>
  <si>
    <t>PRĘT UCHWYTU RYS.000742</t>
  </si>
  <si>
    <t>3.50</t>
  </si>
  <si>
    <t>919S28-108</t>
  </si>
  <si>
    <t>404N50</t>
  </si>
  <si>
    <t>NITY SPECJALNE 5x8 i 5x25 w/g rys.004645 poz14,15</t>
  </si>
  <si>
    <t>4.20</t>
  </si>
  <si>
    <t>919S28-109</t>
  </si>
  <si>
    <t>ZD-1 TULEJA ŁOŻYSKOWA</t>
  </si>
  <si>
    <t>17.80</t>
  </si>
  <si>
    <t>0.08478</t>
  </si>
  <si>
    <t>404E04</t>
  </si>
  <si>
    <t>ELEMENTY SSAWY KANAŁOWEJ "L"</t>
  </si>
  <si>
    <t>436W16</t>
  </si>
  <si>
    <t>WOREK FOLIOWY 200X250 Z ZAMK.STRUNOWYM</t>
  </si>
  <si>
    <t>20.00</t>
  </si>
  <si>
    <t>904O25-110</t>
  </si>
  <si>
    <t>ROLKA PODPOROWA fi25x40 w/g rys.001518</t>
  </si>
  <si>
    <t>15.95</t>
  </si>
  <si>
    <t>SZT</t>
  </si>
  <si>
    <t>4.00000</t>
  </si>
  <si>
    <t>904O25-120</t>
  </si>
  <si>
    <t>OŚ ROLKI PODPOROWEJ w/g rys.001519</t>
  </si>
  <si>
    <t>13.85</t>
  </si>
  <si>
    <t>904O25-130</t>
  </si>
  <si>
    <t>ROLKA DOCISKAJĄCA fi25x60 w/g rys.001521</t>
  </si>
  <si>
    <t>15.65</t>
  </si>
  <si>
    <t>904O25-140</t>
  </si>
  <si>
    <t>OŚ ROLKI DOCISKAJĄCEJ w/g rys.001522</t>
  </si>
  <si>
    <t>14.20</t>
  </si>
  <si>
    <t>0.23695</t>
  </si>
  <si>
    <t>404E05</t>
  </si>
  <si>
    <t>ELEMENTY WÓZKA JEZDNEGO "L"</t>
  </si>
  <si>
    <t>904O25-210</t>
  </si>
  <si>
    <t>KORPUS ROLKI  rys.001032 poz.1,3</t>
  </si>
  <si>
    <t>11.60</t>
  </si>
  <si>
    <t>904O25-220</t>
  </si>
  <si>
    <t>KORPUS ROLKI PROWADZĄCEJ rys.001033 poz.1</t>
  </si>
  <si>
    <t>10.75</t>
  </si>
  <si>
    <t>904O25-230</t>
  </si>
  <si>
    <t>CZOP fi12/h7 rys.001034 poz.1</t>
  </si>
  <si>
    <t>904O25-240</t>
  </si>
  <si>
    <t>OŚ ZESPOŁU ROLEK rys.001036</t>
  </si>
  <si>
    <t>11.20</t>
  </si>
  <si>
    <t>904O25-250</t>
  </si>
  <si>
    <t>DETALE SUWAKA ZDERZAKA rys.001039 poz.1,2,4</t>
  </si>
  <si>
    <t>28.45</t>
  </si>
  <si>
    <t>904O25-270</t>
  </si>
  <si>
    <t>ŚRUBA SPECJALNA M8x20</t>
  </si>
  <si>
    <t>2.00</t>
  </si>
  <si>
    <t>0.12391</t>
  </si>
  <si>
    <t>404E06</t>
  </si>
  <si>
    <t>ELEMENTY BALANSERA "LA"</t>
  </si>
  <si>
    <t>68D001165-01-0200</t>
  </si>
  <si>
    <t>OBP-L OBEJMA ROLKI</t>
  </si>
  <si>
    <t>2.45</t>
  </si>
  <si>
    <t>903O23-110</t>
  </si>
  <si>
    <t>BALANSER OBP/P-200 - TULEJKA DYSTANSOWA Z TWORZYWA 16,5X4X6 wg rys. 023335</t>
  </si>
  <si>
    <t>4.15</t>
  </si>
  <si>
    <t>903O23-120</t>
  </si>
  <si>
    <t>BALANSER OBP/P-200 - TULEJKA DYSTANSOWA Z TWORZYWA 31,5X4,5X6 wg rys. 023336</t>
  </si>
  <si>
    <t>904O25-323</t>
  </si>
  <si>
    <t>ZACZEP SPRĘŻYNY GAZOWEJ.001164 poz.1</t>
  </si>
  <si>
    <t>13.70</t>
  </si>
  <si>
    <t>904O25-330</t>
  </si>
  <si>
    <t>CZOP fi8,9/fi9,9x70 rys.003369a</t>
  </si>
  <si>
    <t>8.35</t>
  </si>
  <si>
    <t>904O25-331</t>
  </si>
  <si>
    <t>KRZYWKA rys.003370</t>
  </si>
  <si>
    <t>16.95</t>
  </si>
  <si>
    <t>904O25-340</t>
  </si>
  <si>
    <t>OBEJMA ROLKI rys.001165 poz.1</t>
  </si>
  <si>
    <t>904O25-341</t>
  </si>
  <si>
    <t>CZOP  rys.001165 poz.3</t>
  </si>
  <si>
    <t>3.60</t>
  </si>
  <si>
    <t>904O25-342</t>
  </si>
  <si>
    <t>PIERŚCIEŃ DYSTANSOWY  rys.001165 poz.4</t>
  </si>
  <si>
    <t>2.65</t>
  </si>
  <si>
    <t>904O25-343</t>
  </si>
  <si>
    <t>KORPUS ROLKI typ "a" rys.001166 poz.1</t>
  </si>
  <si>
    <t>13.80</t>
  </si>
  <si>
    <t>904O25-344</t>
  </si>
  <si>
    <t>TULEJKA CENTRUJĄCA fi13 rys.001167 poz.1</t>
  </si>
  <si>
    <t>3.90</t>
  </si>
  <si>
    <t>904O25-345</t>
  </si>
  <si>
    <t>PRZELOTKA LINKI fi4 rys.001169a</t>
  </si>
  <si>
    <t>8.40</t>
  </si>
  <si>
    <t>904O25-350</t>
  </si>
  <si>
    <t>KORPUS ROLKI fi54x15 rys.001170 poz.2</t>
  </si>
  <si>
    <t>12.80</t>
  </si>
  <si>
    <t>904O25-352</t>
  </si>
  <si>
    <t>TARCZA NAPINACZA fi56x14 rys.001171 poz.1</t>
  </si>
  <si>
    <t>20.85</t>
  </si>
  <si>
    <t>904O25-353</t>
  </si>
  <si>
    <t>KORPUS ZACZEPU LINKI  rys.001175 poz.1</t>
  </si>
  <si>
    <t>11.95</t>
  </si>
  <si>
    <t>904O25-355</t>
  </si>
  <si>
    <t>PIERŚCIEŃ OPOROWY LINKI fi3 rys.001177</t>
  </si>
  <si>
    <t>904O25-360</t>
  </si>
  <si>
    <t>KORPUS LINKI fi45/fi34x16 rys.003344</t>
  </si>
  <si>
    <t>12.10</t>
  </si>
  <si>
    <t>904O25-361</t>
  </si>
  <si>
    <t>TULEJA REDUKCYJNA  rys.003345</t>
  </si>
  <si>
    <t>6.35</t>
  </si>
  <si>
    <t>904O25-362</t>
  </si>
  <si>
    <t>PRZELOTKA  fi14,9/fi6/R10 rys.004132</t>
  </si>
  <si>
    <t>12.20</t>
  </si>
  <si>
    <t>904O25-363</t>
  </si>
  <si>
    <t>BALANSER LA - TULEJKA REDUKCYJNA POD SIŁOWNIK wg rys. 030068</t>
  </si>
  <si>
    <t>904O25-370</t>
  </si>
  <si>
    <t>OŚ ZESPOŁU ŚLIMAKA  rys.003364 poz.1</t>
  </si>
  <si>
    <t>36.25</t>
  </si>
  <si>
    <t>904O25-371</t>
  </si>
  <si>
    <t>PIERŚCIEŃ OPOROWY  rys.003364 poz.2</t>
  </si>
  <si>
    <t>7.00</t>
  </si>
  <si>
    <t>904O25-372</t>
  </si>
  <si>
    <t>PIERŚCIEŃ DOCISKOWY  rys.003364 poz.3</t>
  </si>
  <si>
    <t>9.65</t>
  </si>
  <si>
    <t>904O25-600</t>
  </si>
  <si>
    <t>404T70</t>
  </si>
  <si>
    <t>TULEJKA LINKI rys.006596</t>
  </si>
  <si>
    <t>2.90</t>
  </si>
  <si>
    <t>0.13043</t>
  </si>
  <si>
    <t>404E07</t>
  </si>
  <si>
    <t>ELEMENTY PRZEPUSTNICY OBS; OBP</t>
  </si>
  <si>
    <t>0.00172</t>
  </si>
  <si>
    <t>904O01-202</t>
  </si>
  <si>
    <t>404O78</t>
  </si>
  <si>
    <t>OŚ PRZEPUSTNICY A RYS.010890</t>
  </si>
  <si>
    <t>5.25</t>
  </si>
  <si>
    <t>904O01-203</t>
  </si>
  <si>
    <t>404O79</t>
  </si>
  <si>
    <t>OŚ PRZEPUSTNICY B RYS.010890</t>
  </si>
  <si>
    <t>8.45</t>
  </si>
  <si>
    <t>904O01-300</t>
  </si>
  <si>
    <t>PRZEPUST PRZESUWNY rys.010884</t>
  </si>
  <si>
    <t>14.55</t>
  </si>
  <si>
    <t>904O01-310</t>
  </si>
  <si>
    <t>TULEJKA OPOROWA rys.010885</t>
  </si>
  <si>
    <t>7.60</t>
  </si>
  <si>
    <t>910R02-560</t>
  </si>
  <si>
    <t>WKLADKA ŁOŻYSKOWA A;B rys.008572a</t>
  </si>
  <si>
    <t>3.10</t>
  </si>
  <si>
    <t>0.08696</t>
  </si>
  <si>
    <t>404E08</t>
  </si>
  <si>
    <t>ELEMENTY STATYWU SSĄCEGO D150</t>
  </si>
  <si>
    <t>436W14</t>
  </si>
  <si>
    <t>WOREK FOLIOWY WB/Z 60X80 Z ZAMK.STRUNOWYM</t>
  </si>
  <si>
    <t>918S04-100</t>
  </si>
  <si>
    <t>PRĘT d20xL=860 RYS.009639</t>
  </si>
  <si>
    <t>43.68</t>
  </si>
  <si>
    <t>918S04-103</t>
  </si>
  <si>
    <t>CZOP d28x40/M10 RYS.003256 poz1</t>
  </si>
  <si>
    <t>32.50</t>
  </si>
  <si>
    <t>918S04-104</t>
  </si>
  <si>
    <t>TULEJA D36/d28x40 RYS.003526 poz2</t>
  </si>
  <si>
    <t>24.72</t>
  </si>
  <si>
    <t>404E09</t>
  </si>
  <si>
    <t>ELEMENTY OVER/SSAK</t>
  </si>
  <si>
    <t>436W17</t>
  </si>
  <si>
    <t>WOREK FOLIOWY 250X350 Z ZAMK.STRUNOWYM</t>
  </si>
  <si>
    <t>30.00</t>
  </si>
  <si>
    <t>904O80-100</t>
  </si>
  <si>
    <t>404P92</t>
  </si>
  <si>
    <t>PODKŁADKA ŚLIZGOWA rys.008180</t>
  </si>
  <si>
    <t>6.30</t>
  </si>
  <si>
    <t>3.00000</t>
  </si>
  <si>
    <t>904O90-100</t>
  </si>
  <si>
    <t>ELEMENT DOCISKU rys.007861poz.1</t>
  </si>
  <si>
    <t>13.30</t>
  </si>
  <si>
    <t>904O90-110</t>
  </si>
  <si>
    <t>ELEMENT DOCISKU rys.007861poz.2</t>
  </si>
  <si>
    <t>12.90</t>
  </si>
  <si>
    <t>904O90-120</t>
  </si>
  <si>
    <t>ELEMENT DOCISKU rys.007861poz.3</t>
  </si>
  <si>
    <t>7.05</t>
  </si>
  <si>
    <t>904O90-130</t>
  </si>
  <si>
    <t>ELEMENT DOCISKU rys.007861poz.4</t>
  </si>
  <si>
    <t>904O90-140</t>
  </si>
  <si>
    <t>ELEMENT DOCISKU rys.007861poz.5</t>
  </si>
  <si>
    <t>904O90-200</t>
  </si>
  <si>
    <t>ELEMENT ZAPADKI rys.007840poz.1</t>
  </si>
  <si>
    <t>904O90-210</t>
  </si>
  <si>
    <t>ELEMENT ZAPADKI rys.007840poz.2</t>
  </si>
  <si>
    <t>904O90-220</t>
  </si>
  <si>
    <t>ELEMENT ZAPADKI rys.007840poz.3</t>
  </si>
  <si>
    <t>3.20</t>
  </si>
  <si>
    <t>904O90-230</t>
  </si>
  <si>
    <t>ELEMENT ZAPADKI rys.007840poz.4</t>
  </si>
  <si>
    <t>6.65</t>
  </si>
  <si>
    <t>904O90-240</t>
  </si>
  <si>
    <t>PRĘT D=12 rys.007856poz.2</t>
  </si>
  <si>
    <t>904O90-300</t>
  </si>
  <si>
    <t>ELEMENT ZDERZAKA rys.007853poz.1</t>
  </si>
  <si>
    <t>12.65</t>
  </si>
  <si>
    <t>904O90-310</t>
  </si>
  <si>
    <t>ELEMENT ZDERZAKA rys.007853poz.2</t>
  </si>
  <si>
    <t>4.65</t>
  </si>
  <si>
    <t>904O90-320</t>
  </si>
  <si>
    <t>ELEMENT ZDERZAKA rys.007853poz.3</t>
  </si>
  <si>
    <t>4.60</t>
  </si>
  <si>
    <t>904O90-400</t>
  </si>
  <si>
    <t>ELEMENT UCHWYTU III rys.007847</t>
  </si>
  <si>
    <t>0.08695</t>
  </si>
  <si>
    <t>404E10</t>
  </si>
  <si>
    <t>ELEMENTY WÓZEK OBP-AL</t>
  </si>
  <si>
    <t>904O35-100</t>
  </si>
  <si>
    <t>404K48</t>
  </si>
  <si>
    <t>KORPUS ROLKI rys.003355 poz.1</t>
  </si>
  <si>
    <t>13.00</t>
  </si>
  <si>
    <t>8.00000</t>
  </si>
  <si>
    <t>904O35-200</t>
  </si>
  <si>
    <t>404T69</t>
  </si>
  <si>
    <t>TULEJA REDUKCYJNA  rys.003355 poz.4</t>
  </si>
  <si>
    <t>0.01739</t>
  </si>
  <si>
    <t>404E12</t>
  </si>
  <si>
    <t>ELEMENTY SSAWY KANAŁOWEJ D=315</t>
  </si>
  <si>
    <t>6.00000</t>
  </si>
  <si>
    <t>404E13</t>
  </si>
  <si>
    <t>ELEMENTY WÓZKA SSAWY KANAŁOWEJ D=315</t>
  </si>
  <si>
    <t>919S36-421</t>
  </si>
  <si>
    <t>CZOP d17H7/S22 z MIMOŚRODEM w/g rys.021853</t>
  </si>
  <si>
    <t>919S36-441</t>
  </si>
  <si>
    <t>BOLEC III w/g rys.016324</t>
  </si>
  <si>
    <t>919S36-443</t>
  </si>
  <si>
    <t>KOS-C KOSTKA ŁOŻYSKOWA w/g rys. 028774</t>
  </si>
  <si>
    <t>6.20</t>
  </si>
  <si>
    <t>404E14</t>
  </si>
  <si>
    <t>ELEMENTY CIĘGA BOWDENA</t>
  </si>
  <si>
    <t>919S28-401</t>
  </si>
  <si>
    <t>POKRĘTKA REGULACYJNA RYS.004683</t>
  </si>
  <si>
    <t>12.30</t>
  </si>
  <si>
    <t>919S28-402</t>
  </si>
  <si>
    <t>SWORZEŃ d6 WYK.1 RYS.003578</t>
  </si>
  <si>
    <t>2.60</t>
  </si>
  <si>
    <t>919S28-403</t>
  </si>
  <si>
    <t>SWORZEŃ d8 WYK.2 RYS.003578</t>
  </si>
  <si>
    <t>919S28-404</t>
  </si>
  <si>
    <t>SWORZEŃ d8 WYK.3 RYS.003578</t>
  </si>
  <si>
    <t>919S28-405</t>
  </si>
  <si>
    <t>DOCISK -PRĘT RYS 003598 POZ.2</t>
  </si>
  <si>
    <t>3.40</t>
  </si>
  <si>
    <t>0.11956</t>
  </si>
  <si>
    <t>404E15</t>
  </si>
  <si>
    <t>ELEMENTY UFO-1000</t>
  </si>
  <si>
    <t>904U01-305</t>
  </si>
  <si>
    <t>404R57</t>
  </si>
  <si>
    <t>REDUKCJA G1"M10x1 rys.010940 wyk. ze stali</t>
  </si>
  <si>
    <t>14.95</t>
  </si>
  <si>
    <t>904U54-220</t>
  </si>
  <si>
    <t>404R56</t>
  </si>
  <si>
    <t>UFO-2-HN/MN-REDUKCJA G1"x G3/8" w/g rys.023854</t>
  </si>
  <si>
    <t>23.50</t>
  </si>
  <si>
    <t>905U29-520</t>
  </si>
  <si>
    <t>UFO-1000 RURA GWINTOWAN 1" I w/g rys. 029627</t>
  </si>
  <si>
    <t>18.70</t>
  </si>
  <si>
    <t>905U29-530</t>
  </si>
  <si>
    <t>UFO-1000 RURA GWINTOWANA 1" II w/g rys. 029628</t>
  </si>
  <si>
    <t>17.23</t>
  </si>
  <si>
    <t>905U29-540</t>
  </si>
  <si>
    <t>UFO-1000 RURA GWINTOWANA 1" III w/g rys. 029629</t>
  </si>
  <si>
    <t>12.52</t>
  </si>
  <si>
    <t>905U29-550</t>
  </si>
  <si>
    <t>UFO-1000 RURA GWINTOWANA 1" IV w/g rys 029630</t>
  </si>
  <si>
    <t>10.45</t>
  </si>
  <si>
    <t>0.05000</t>
  </si>
  <si>
    <t>404E16</t>
  </si>
  <si>
    <t>ELEMENTY ZOZE</t>
  </si>
  <si>
    <t>904K94-100</t>
  </si>
  <si>
    <t>KOSTKA ODBIORCZA w/g rys.010945</t>
  </si>
  <si>
    <t>94.05</t>
  </si>
  <si>
    <t>904K94-200</t>
  </si>
  <si>
    <t>ŚLIZG ODBIORCZY w/g rys.010946</t>
  </si>
  <si>
    <t>36.80</t>
  </si>
  <si>
    <t>904K94-300</t>
  </si>
  <si>
    <t>ELEMENT SPRĘŻYSTY w/g rys.010952</t>
  </si>
  <si>
    <t>1.15</t>
  </si>
  <si>
    <t>404E17</t>
  </si>
  <si>
    <t>ELEMENTY ALAN</t>
  </si>
  <si>
    <t>904O75-301</t>
  </si>
  <si>
    <t>404O88</t>
  </si>
  <si>
    <t>OŚ PRZEPUSTNICY  RYS.011389</t>
  </si>
  <si>
    <t>10.90</t>
  </si>
  <si>
    <t>904O75-302</t>
  </si>
  <si>
    <t>KOŁEK PROWADZĄACY LINKI RYS.011390</t>
  </si>
  <si>
    <t>904O75-303</t>
  </si>
  <si>
    <t>JARZMO LINKI RYS.011391</t>
  </si>
  <si>
    <t>904O75-401</t>
  </si>
  <si>
    <t>ŚRUBA SPECJALNA RYS.011368</t>
  </si>
  <si>
    <t>11.75</t>
  </si>
  <si>
    <t>904O75-402</t>
  </si>
  <si>
    <t>TULEJKA PROWADZĄCA RYS.011369</t>
  </si>
  <si>
    <t>5.85</t>
  </si>
  <si>
    <t>904O75-403</t>
  </si>
  <si>
    <t>NAKRĘTKA SPECJALNA RYS.011370</t>
  </si>
  <si>
    <t>4.80</t>
  </si>
  <si>
    <t>904O75-404</t>
  </si>
  <si>
    <t>NAKRĘTKA LICZĄCA RYS.011371</t>
  </si>
  <si>
    <t>5.90</t>
  </si>
  <si>
    <t>904O75-405</t>
  </si>
  <si>
    <t>ŚRUBA OPOROWA RYS.011372</t>
  </si>
  <si>
    <t>6.00</t>
  </si>
  <si>
    <t>0.02195</t>
  </si>
  <si>
    <t>404E18</t>
  </si>
  <si>
    <t>ELEMENTY SPLENDID VAC-200/S</t>
  </si>
  <si>
    <t>901O05-010</t>
  </si>
  <si>
    <t>TULEJA II w/g rys.0013399</t>
  </si>
  <si>
    <t>1.25</t>
  </si>
  <si>
    <t>901O05-020</t>
  </si>
  <si>
    <t>TULEJA I w/g rys.0013384</t>
  </si>
  <si>
    <t>901O05-030</t>
  </si>
  <si>
    <t>REDUKCJA PRZYŁĄCZENIOWA RYS.013637</t>
  </si>
  <si>
    <t>21.40</t>
  </si>
  <si>
    <t>901O05-201</t>
  </si>
  <si>
    <t>RURKA I  1/2" w/g rys.013365</t>
  </si>
  <si>
    <t>7.36</t>
  </si>
  <si>
    <t>901O05-202</t>
  </si>
  <si>
    <t>RURKA II  1/2" w/g rys.013366</t>
  </si>
  <si>
    <t>12.34</t>
  </si>
  <si>
    <t>901O05-203</t>
  </si>
  <si>
    <t>PODKŁADKA  013376</t>
  </si>
  <si>
    <t>2.80</t>
  </si>
  <si>
    <t>901O05-210</t>
  </si>
  <si>
    <t>DYSPERGER 4-ro dyszowy w/g rys.013367</t>
  </si>
  <si>
    <t>98.22</t>
  </si>
  <si>
    <t>404E19</t>
  </si>
  <si>
    <t>ELEMENT OPOROWY RYS.005092a STOPERA STK</t>
  </si>
  <si>
    <t>401P32</t>
  </si>
  <si>
    <t>PRĘT KWADR. K-10X10 45 0.78KG/MB</t>
  </si>
  <si>
    <t>0.29878</t>
  </si>
  <si>
    <t>CYN001</t>
  </si>
  <si>
    <t>CYNKOWANIE</t>
  </si>
  <si>
    <t>1.10</t>
  </si>
  <si>
    <t>DM2</t>
  </si>
  <si>
    <t>0.12935</t>
  </si>
  <si>
    <t>404E20</t>
  </si>
  <si>
    <t>ELEMENTY ZACISKU ZZK-1</t>
  </si>
  <si>
    <t>404E21</t>
  </si>
  <si>
    <t>ELEMENTY UKŁADU NAPYLANIA UN-1</t>
  </si>
  <si>
    <t>904U20-200</t>
  </si>
  <si>
    <t>RURA GWINTOWANA POZIOMA w/g rys.026294</t>
  </si>
  <si>
    <t>15.18</t>
  </si>
  <si>
    <t>904U20-300</t>
  </si>
  <si>
    <t>RURA GWINTOWANA PIONOWA w/g rys.026293</t>
  </si>
  <si>
    <t>55.50</t>
  </si>
  <si>
    <t>0.02000</t>
  </si>
  <si>
    <t>404E22</t>
  </si>
  <si>
    <t>ELEMENTY "SPECJALNE" G3/8" w/g rys.003850</t>
  </si>
  <si>
    <t>904U40-601</t>
  </si>
  <si>
    <t>404Z13</t>
  </si>
  <si>
    <t>ZŁĄCZKA SPECJALNA G3/8"/fi12 rys.003850 poz.1</t>
  </si>
  <si>
    <t>16.90</t>
  </si>
  <si>
    <t>904U40-602</t>
  </si>
  <si>
    <t>404N01</t>
  </si>
  <si>
    <t>NAKRĘTKA SPECJALNA G3/8"     rys.003850 poz.2</t>
  </si>
  <si>
    <t>6.10</t>
  </si>
  <si>
    <t>404E23</t>
  </si>
  <si>
    <t>ELEMENTY STOŁU UWT</t>
  </si>
  <si>
    <t>914S00-100</t>
  </si>
  <si>
    <t>CZOP TALERZA OBROTOWEGO rys.001813</t>
  </si>
  <si>
    <t>19.80</t>
  </si>
  <si>
    <t>914S00-200</t>
  </si>
  <si>
    <t>TULEJA STOJAKA rys.002724</t>
  </si>
  <si>
    <t>6.21</t>
  </si>
  <si>
    <t>914S00-300</t>
  </si>
  <si>
    <t>ZAMKNIĘCIE rys.001811</t>
  </si>
  <si>
    <t>6.80</t>
  </si>
  <si>
    <t>404F04</t>
  </si>
  <si>
    <t>PROFIL RAMIENIA "II" L=1420 z płytkami przegubu</t>
  </si>
  <si>
    <t>404P01</t>
  </si>
  <si>
    <t>PROFIL ALUM. 30X30X3 PA38 0.92KG/MB</t>
  </si>
  <si>
    <t>17.26</t>
  </si>
  <si>
    <t>1.31228</t>
  </si>
  <si>
    <t>421N16</t>
  </si>
  <si>
    <t>NIT ZRYW. SF 4.8X14</t>
  </si>
  <si>
    <t>5.10</t>
  </si>
  <si>
    <t>0.08000</t>
  </si>
  <si>
    <t>426N23</t>
  </si>
  <si>
    <t>NAKRĘTKA M6</t>
  </si>
  <si>
    <t>7.84</t>
  </si>
  <si>
    <t>0.00500</t>
  </si>
  <si>
    <t>426P52</t>
  </si>
  <si>
    <t>PODKŁADKA SPRĘŻ. D-6</t>
  </si>
  <si>
    <t>16.80</t>
  </si>
  <si>
    <t>0.00190</t>
  </si>
  <si>
    <t>426Ś50</t>
  </si>
  <si>
    <t>ŚRUBA M6X50 KL.8.8/101</t>
  </si>
  <si>
    <t>13.40</t>
  </si>
  <si>
    <t>0.02180</t>
  </si>
  <si>
    <t>66A009300-02-0200</t>
  </si>
  <si>
    <t>Płytka przegubu fi70 OCYNKOWANA |4,0</t>
  </si>
  <si>
    <t>6.85</t>
  </si>
  <si>
    <t>66A009301-01-0200</t>
  </si>
  <si>
    <t>ERGO-L,D-Płytka przeg.D100 OCYNKOWANA"L"</t>
  </si>
  <si>
    <t>17.45</t>
  </si>
  <si>
    <t>66A009301-02-0200</t>
  </si>
  <si>
    <t>ERGO-L,D-Płytka przeg.D100 OCYNKOWANA"P"</t>
  </si>
  <si>
    <t>66A009303-00-0200</t>
  </si>
  <si>
    <t>ERGO-L,D-2(R)-Wkladka II OCYNKOWANA</t>
  </si>
  <si>
    <t>4.50</t>
  </si>
  <si>
    <t>910R01-210</t>
  </si>
  <si>
    <t>WZMOCNIENIE PROFILA</t>
  </si>
  <si>
    <t>0.69565</t>
  </si>
  <si>
    <t>404F07</t>
  </si>
  <si>
    <t>PROFIL RAMIENIA "I" L=640 z płytkami przegubu  009269 poz3</t>
  </si>
  <si>
    <t>404P03</t>
  </si>
  <si>
    <t>PROFIL ALUM. 30X20X2 PA38 0.50KG/MB</t>
  </si>
  <si>
    <t>15.54</t>
  </si>
  <si>
    <t>0.35328</t>
  </si>
  <si>
    <t>421N14</t>
  </si>
  <si>
    <t>NIT ZRYW. SF 4.8X12</t>
  </si>
  <si>
    <t>5.50</t>
  </si>
  <si>
    <t>434Z14</t>
  </si>
  <si>
    <t>ZAŚLEPKA PE 30X20 CZARNA BACKER</t>
  </si>
  <si>
    <t>0.27</t>
  </si>
  <si>
    <t>66A009300-01-0200</t>
  </si>
  <si>
    <t>Płytka przegubu fi70 OCYNKOWANA |3,0</t>
  </si>
  <si>
    <t>5.55</t>
  </si>
  <si>
    <t>66A009302-00-0200</t>
  </si>
  <si>
    <t>ERGO-L,D-2(R)-Wkładka I OCYNKOWANA</t>
  </si>
  <si>
    <t>3.45</t>
  </si>
  <si>
    <t>0.36956</t>
  </si>
  <si>
    <t>404F08</t>
  </si>
  <si>
    <t>PROFIL RAMIENIA II L=1420 z płytkami przegubu  009270 poz3</t>
  </si>
  <si>
    <t>17.04</t>
  </si>
  <si>
    <t>1.32042</t>
  </si>
  <si>
    <t>0.00140</t>
  </si>
  <si>
    <t>0.02238</t>
  </si>
  <si>
    <t>1.05000</t>
  </si>
  <si>
    <t>404F09</t>
  </si>
  <si>
    <t>PROFIL RAMIENIA II L=840 Z PŁYTKAMI PRZEGUBU</t>
  </si>
  <si>
    <t>0.79268</t>
  </si>
  <si>
    <t>0.00600</t>
  </si>
  <si>
    <t>0.00183</t>
  </si>
  <si>
    <t>66A010091-01-0200</t>
  </si>
  <si>
    <t>ERGO-K-2 Płytka przegubu fi100K L</t>
  </si>
  <si>
    <t>15.70</t>
  </si>
  <si>
    <t>66A010091-02-0200</t>
  </si>
  <si>
    <t>ERGO-K-2 Płytka przegubu fi100K P</t>
  </si>
  <si>
    <t>ROB001</t>
  </si>
  <si>
    <t>ROBOCIZNA</t>
  </si>
  <si>
    <t>0.73152</t>
  </si>
  <si>
    <t>404F10</t>
  </si>
  <si>
    <t>PROFIL RAMIENIA II L=1420 Z PŁYTKAMI PRZEGUBU</t>
  </si>
  <si>
    <t>1.55000</t>
  </si>
  <si>
    <t>0.02232</t>
  </si>
  <si>
    <t>0.00185</t>
  </si>
  <si>
    <t>0.02612</t>
  </si>
  <si>
    <t>0.00345</t>
  </si>
  <si>
    <t>404F26</t>
  </si>
  <si>
    <t>PROFIL "II" L=1300  013849 z podkładkami przegubu.</t>
  </si>
  <si>
    <t>16.40</t>
  </si>
  <si>
    <t>1.20731</t>
  </si>
  <si>
    <t>421N71</t>
  </si>
  <si>
    <t>NIT ZRYW. SF 4X10 VVG DO WIRNIKÓW</t>
  </si>
  <si>
    <t>8.50</t>
  </si>
  <si>
    <t>0.16000</t>
  </si>
  <si>
    <t>0.00727</t>
  </si>
  <si>
    <t>66A013801-00-0200</t>
  </si>
  <si>
    <t>ERGO Flex-Podkładka przegubu II</t>
  </si>
  <si>
    <t>1.55</t>
  </si>
  <si>
    <t>0.23043</t>
  </si>
  <si>
    <t>404F29</t>
  </si>
  <si>
    <t>PROFIL "III" L=1600 013836 z podkładk.przegubu</t>
  </si>
  <si>
    <t>1.82927</t>
  </si>
  <si>
    <t>66A013804-00-0200</t>
  </si>
  <si>
    <t>ERGO Flex-Podkładka przegubu III</t>
  </si>
  <si>
    <t>1.65</t>
  </si>
  <si>
    <t>404F40</t>
  </si>
  <si>
    <t>PROFIL RAMIENIA II L=1800 z płytk. przegubu</t>
  </si>
  <si>
    <t>0.00492</t>
  </si>
  <si>
    <t>0.00072</t>
  </si>
  <si>
    <t>0.02460</t>
  </si>
  <si>
    <t>0.73478</t>
  </si>
  <si>
    <t>404F41</t>
  </si>
  <si>
    <t>ERGO-FLEX-N-2 ZESPÓŁ PROFILU I WG RYS 020063</t>
  </si>
  <si>
    <t>18.42</t>
  </si>
  <si>
    <t>0.95848</t>
  </si>
  <si>
    <t>7.45</t>
  </si>
  <si>
    <t>421Ś29</t>
  </si>
  <si>
    <t>ŚRUBA M8X45 KL.8.8/105</t>
  </si>
  <si>
    <t>0.04040</t>
  </si>
  <si>
    <t>426N27</t>
  </si>
  <si>
    <t>NAKRĘTKA M8 DIN 934</t>
  </si>
  <si>
    <t>0.01026</t>
  </si>
  <si>
    <t>426P36</t>
  </si>
  <si>
    <t>PODKŁADKA PŁASKA D-8</t>
  </si>
  <si>
    <t>14.62</t>
  </si>
  <si>
    <t>0.00860</t>
  </si>
  <si>
    <t>0.01270</t>
  </si>
  <si>
    <t>66A019163-00-0200</t>
  </si>
  <si>
    <t>ERGO-FLEX-N-4 UCHWYT SPRĘŻYNY</t>
  </si>
  <si>
    <t>0.25000</t>
  </si>
  <si>
    <t>404F42</t>
  </si>
  <si>
    <t>ERGO-FLEX-N-2 ZESPÓŁ PROFILA II WG RYS 020064</t>
  </si>
  <si>
    <t>0.21317</t>
  </si>
  <si>
    <t>0.00700</t>
  </si>
  <si>
    <t>66A019157-00-0200</t>
  </si>
  <si>
    <t>ERGO-FLEX-N-4 PRZEGÓB CZOŁOWY</t>
  </si>
  <si>
    <t>0.15000</t>
  </si>
  <si>
    <t>404F43</t>
  </si>
  <si>
    <t>ERGO-FLEX-N-3 ZESPÓŁPROFILA I WG RYS 020055</t>
  </si>
  <si>
    <t>1.62454</t>
  </si>
  <si>
    <t>0.04000</t>
  </si>
  <si>
    <t>6.40</t>
  </si>
  <si>
    <t>0.40000</t>
  </si>
  <si>
    <t>404F44</t>
  </si>
  <si>
    <t>ERGO-FLEX-N-3 ZESPÓŁPROFILU II WG RYS 020056</t>
  </si>
  <si>
    <t>0.45736</t>
  </si>
  <si>
    <t>404F45</t>
  </si>
  <si>
    <t>ERGO-FLEX-N-4 ZESPÓŁ PROFILU I WG RYS 020044</t>
  </si>
  <si>
    <t>2.05476</t>
  </si>
  <si>
    <t>0.04143</t>
  </si>
  <si>
    <t>0.00350</t>
  </si>
  <si>
    <t>0.20256</t>
  </si>
  <si>
    <t>404F46</t>
  </si>
  <si>
    <t>ERGO-FLEX-N-4 ZESPÓŁ PROFILIU II WG RYS 020052</t>
  </si>
  <si>
    <t>0.81007</t>
  </si>
  <si>
    <t>404F47</t>
  </si>
  <si>
    <t>ERGO-FLEX-N-2-4 ZESPÓŁ PROFILU I WG RYS 020082</t>
  </si>
  <si>
    <t>1.31667</t>
  </si>
  <si>
    <t>421Ś12</t>
  </si>
  <si>
    <t>ŚRUBA M6X40 KL.8.8/105</t>
  </si>
  <si>
    <t>0.01836</t>
  </si>
  <si>
    <t>13.60</t>
  </si>
  <si>
    <t>0.00480</t>
  </si>
  <si>
    <t>426P28</t>
  </si>
  <si>
    <t>PODKŁADKA PŁASKA D-6</t>
  </si>
  <si>
    <t>11.67</t>
  </si>
  <si>
    <t>0.00260</t>
  </si>
  <si>
    <t>66A021203-00-0200</t>
  </si>
  <si>
    <t>ERGO-FLEX-N-2R ZACZEP SPRĘŻYNY DŁUGI</t>
  </si>
  <si>
    <t>2.30</t>
  </si>
  <si>
    <t>0.14359</t>
  </si>
  <si>
    <t>404F48</t>
  </si>
  <si>
    <t>ERGO-FLEX-N-2-R ZESPÓŁ PROFILU II WG RYS 020084</t>
  </si>
  <si>
    <t>0.39355</t>
  </si>
  <si>
    <t>0.11212</t>
  </si>
  <si>
    <t>404F49</t>
  </si>
  <si>
    <t>ERGO-FLEX-N-3-R ZESPÓŁ PROFILU I WG RYS 020094</t>
  </si>
  <si>
    <t>1.96029</t>
  </si>
  <si>
    <t>0.00317</t>
  </si>
  <si>
    <t>404F50</t>
  </si>
  <si>
    <t>ERGO-FLEX-N-4-R ZESPÓŁ PROFILI I WG RYS 020116</t>
  </si>
  <si>
    <t>2.41905</t>
  </si>
  <si>
    <t>404G01</t>
  </si>
  <si>
    <t>GŁOWICA NIERDZEWNA-ERGO-S/L w/g rys.027052</t>
  </si>
  <si>
    <t>423N40</t>
  </si>
  <si>
    <t>NAKRĘTKA M6 A-4</t>
  </si>
  <si>
    <t>8.20</t>
  </si>
  <si>
    <t>0.03000</t>
  </si>
  <si>
    <t>423N53</t>
  </si>
  <si>
    <t>NAKRĘTKA M8 A-4</t>
  </si>
  <si>
    <t>0.14</t>
  </si>
  <si>
    <t>423P65</t>
  </si>
  <si>
    <t>PODKŁADKA SPRĘŻ. D-8 A-4</t>
  </si>
  <si>
    <t>5.60</t>
  </si>
  <si>
    <t>423Ś21</t>
  </si>
  <si>
    <t>ŚRUBA M8X30 A-4</t>
  </si>
  <si>
    <t>49.88</t>
  </si>
  <si>
    <t>423W01</t>
  </si>
  <si>
    <t>WKRĘT M5X10 A-2 STOŻK.</t>
  </si>
  <si>
    <t>423W08</t>
  </si>
  <si>
    <t>WKRĘT M6x25 Łeb stożkowy na imbus A-4</t>
  </si>
  <si>
    <t>17.50</t>
  </si>
  <si>
    <t>453S03</t>
  </si>
  <si>
    <t>SMAR ŁT-43</t>
  </si>
  <si>
    <t>18.50</t>
  </si>
  <si>
    <t>66S027037-00-0200</t>
  </si>
  <si>
    <t>ERGO-S/L-PIERŚCIEŃ DOCISKOWY GŁOWICY</t>
  </si>
  <si>
    <t>46.80</t>
  </si>
  <si>
    <t>66S027038-00-0200</t>
  </si>
  <si>
    <t>ERGO-S/L-PIERŚCIEŃ DYSTANSOWY GŁOWICY</t>
  </si>
  <si>
    <t>46.25</t>
  </si>
  <si>
    <t>66S027039-00-0200</t>
  </si>
  <si>
    <t>ERGO-S/L-PIERŚCIEŃ STAŁY GŁOWICY</t>
  </si>
  <si>
    <t>66S027041-00-0200</t>
  </si>
  <si>
    <t>ERGO-S/L-PIERŚCIEŃ OBROTOWY GŁOWICY</t>
  </si>
  <si>
    <t>42.50</t>
  </si>
  <si>
    <t>66S027047-02-0200</t>
  </si>
  <si>
    <t>ERGo-S/L-TULEJA OBROTOWA GŁOWICY</t>
  </si>
  <si>
    <t>44.20</t>
  </si>
  <si>
    <t>MTD004</t>
  </si>
  <si>
    <t>Artykuły/usługi dodatkowe</t>
  </si>
  <si>
    <t>0.01</t>
  </si>
  <si>
    <t>4000.00000</t>
  </si>
  <si>
    <t>ROB01U</t>
  </si>
  <si>
    <t>robocizna - Montaż i prefabrykacja</t>
  </si>
  <si>
    <t>0.45000</t>
  </si>
  <si>
    <t>3.88589</t>
  </si>
  <si>
    <t>1.28152</t>
  </si>
  <si>
    <t>404G03</t>
  </si>
  <si>
    <t>GŁOWICA OBROTOWA "K"-nieuzbrojona w/g rys.018925</t>
  </si>
  <si>
    <t>421N27</t>
  </si>
  <si>
    <t>NIT ZRYW. SF 4X10</t>
  </si>
  <si>
    <t>0.00738</t>
  </si>
  <si>
    <t>11.68</t>
  </si>
  <si>
    <t>0.00339</t>
  </si>
  <si>
    <t>426Ś26</t>
  </si>
  <si>
    <t>ŚRUBA M6x35 ŁEB STOŻ. GN.6-KĄT. KL.8.8/105</t>
  </si>
  <si>
    <t>25.06</t>
  </si>
  <si>
    <t>0.03045</t>
  </si>
  <si>
    <t>453K01</t>
  </si>
  <si>
    <t>KALAMIDKA M6 -SMAROWNICZKA</t>
  </si>
  <si>
    <t>0.61</t>
  </si>
  <si>
    <t>910R70-121</t>
  </si>
  <si>
    <t>KOŁNIERZ DOCISKOWY "M" w/g rys.018924</t>
  </si>
  <si>
    <t>24.50</t>
  </si>
  <si>
    <t>910R70-122</t>
  </si>
  <si>
    <t>TULEJA STAŁA "M" w/g rys.018926</t>
  </si>
  <si>
    <t>25.00</t>
  </si>
  <si>
    <t>910R70-124</t>
  </si>
  <si>
    <t>PIERŚCIEŃ ŚLIZGOWY I-"M" w/g rys.018989</t>
  </si>
  <si>
    <t>910R70-125</t>
  </si>
  <si>
    <t>PIERŚCIEŃ ŚLIZGOWY II-"M" w/g rys.018990</t>
  </si>
  <si>
    <t>910R70-126</t>
  </si>
  <si>
    <t>PIERŚCIEŃ ŚLIZGOWY ZWINIĘTY w/g rys.018925 p.10</t>
  </si>
  <si>
    <t>910R72-121</t>
  </si>
  <si>
    <t>TULEJA OBRO|TOWA "K" w/g rys.018923</t>
  </si>
  <si>
    <t>28.10</t>
  </si>
  <si>
    <t>910R72-130</t>
  </si>
  <si>
    <t>PRZEDŁUŻENIE GNIAZDA "K" w/g rys.020307</t>
  </si>
  <si>
    <t>4.30</t>
  </si>
  <si>
    <t>0.47500</t>
  </si>
  <si>
    <t>404G04</t>
  </si>
  <si>
    <t>GLOWICA OBROTOWA "M"-nieuzbrojona w/g rys.018928</t>
  </si>
  <si>
    <t>0.03032</t>
  </si>
  <si>
    <t>910R70-123</t>
  </si>
  <si>
    <t>TULEJA OBROTOWA "M" w/g rys.018927</t>
  </si>
  <si>
    <t>34.30</t>
  </si>
  <si>
    <t>910R70-130</t>
  </si>
  <si>
    <t>PRZEDŁUŻENIE GNIAZDA"M" w/g rys.020446</t>
  </si>
  <si>
    <t>404G06</t>
  </si>
  <si>
    <t>GLOWICA OBROTOWA "L" w/g rys.019301</t>
  </si>
  <si>
    <t>0.00750</t>
  </si>
  <si>
    <t>0.00304</t>
  </si>
  <si>
    <t>426W40</t>
  </si>
  <si>
    <t>WKRĘT M6X45 KL.8.8ŁEB STOŻ.IMBUS</t>
  </si>
  <si>
    <t>434O03</t>
  </si>
  <si>
    <t>OSŁONKA SILIKONOWA Z KOŁNIE WC 0240X0500</t>
  </si>
  <si>
    <t>169.00</t>
  </si>
  <si>
    <t>OPA</t>
  </si>
  <si>
    <t>0.40</t>
  </si>
  <si>
    <t>910R74-110</t>
  </si>
  <si>
    <t>GŁOWICA OBROTOWA "L"-PIERŚCIEŃ STAŁY "L" w/g rys.018948</t>
  </si>
  <si>
    <t>35.55</t>
  </si>
  <si>
    <t>910R74-111</t>
  </si>
  <si>
    <t>PIERŚCIEŃ ŚLIZGOWY I-"L" w/g rys.018987</t>
  </si>
  <si>
    <t>5.30</t>
  </si>
  <si>
    <t>910R74-112</t>
  </si>
  <si>
    <t>PIERŚCIEŃ ŚLIZGOWY II "L" w/g rys.018988</t>
  </si>
  <si>
    <t>910R74-113</t>
  </si>
  <si>
    <t>WKŁADKA ŚLIZGOWA ZWINIĘTA "L" w/g rys.019038</t>
  </si>
  <si>
    <t>3.75</t>
  </si>
  <si>
    <t>910R74-120</t>
  </si>
  <si>
    <t>GŁOWICA OBROTOWA "L"-PIERŚCIEŃ DOCISKOWY "L" w/g rys.0018949</t>
  </si>
  <si>
    <t>20.75</t>
  </si>
  <si>
    <t>910R74-130</t>
  </si>
  <si>
    <t>GŁOWICA OBROTOWA "L"-TULEJA OBROTOWA "L" w/g rys.018986</t>
  </si>
  <si>
    <t>38.75</t>
  </si>
  <si>
    <t>0.35434</t>
  </si>
  <si>
    <t>404G07</t>
  </si>
  <si>
    <t>GŁOWICA OBROTOWA"D" w/g rys.018975</t>
  </si>
  <si>
    <t>0.00740</t>
  </si>
  <si>
    <t>0.00340</t>
  </si>
  <si>
    <t>WKRĘT M6X45 KL.8.8ŁEB STOŻ.IMBUS DIN 7991</t>
  </si>
  <si>
    <t>910R77-111</t>
  </si>
  <si>
    <t>PIERŚCIEŃ DOCISKOWY "D" GŁOWICY OBROTOWEJ w/g rys.018976</t>
  </si>
  <si>
    <t>27.95</t>
  </si>
  <si>
    <t>910R77-112</t>
  </si>
  <si>
    <t>PIERŚCIEŃ STAŁY "D" GŁOWICY OBROTOWEJ w/g rys.018977</t>
  </si>
  <si>
    <t>50.55</t>
  </si>
  <si>
    <t>910R77-113</t>
  </si>
  <si>
    <t>TULEJA OBROTOWA "D" GŁOWICY OBROTOWEJ "D" w/g rys.018978</t>
  </si>
  <si>
    <t>52.55</t>
  </si>
  <si>
    <t>910R77-114</t>
  </si>
  <si>
    <t>PIERŚCIEŃ ŚLIZGOWY I-"D" w/g rys.018984</t>
  </si>
  <si>
    <t>5.99</t>
  </si>
  <si>
    <t>910R77-115</t>
  </si>
  <si>
    <t>PIERŚCIEŃ ŚLIZGOWY II "D" w/g rys.018985</t>
  </si>
  <si>
    <t>6.74</t>
  </si>
  <si>
    <t>910R77-116</t>
  </si>
  <si>
    <t>WKŁADKA ŚLIZGOWA ZWINIĘTA "D" w/g rys.018975.poz.10</t>
  </si>
  <si>
    <t>14.15</t>
  </si>
  <si>
    <t>0.38043</t>
  </si>
  <si>
    <t>404G09</t>
  </si>
  <si>
    <t>GŁOWICA PEŁNOOBROTOWA "L/Z"-[2;3;4]-Ex</t>
  </si>
  <si>
    <t>WKRĘT M5X10 A-4 STOŻK.</t>
  </si>
  <si>
    <t>0.00862</t>
  </si>
  <si>
    <t>66S012074-00-0200</t>
  </si>
  <si>
    <t>GŁOWICA PEŁNOOBR./Ex-Pierścień dociskowy</t>
  </si>
  <si>
    <t>30.95</t>
  </si>
  <si>
    <t>66S012075-00-0200</t>
  </si>
  <si>
    <t>GŁOWICA PEŁNOOBR./Ex-Pierścień dystansow</t>
  </si>
  <si>
    <t>25.10</t>
  </si>
  <si>
    <t>66S012076-00-0200</t>
  </si>
  <si>
    <t>GŁOWICA PEŁNOOBR./Ex-Pierścień stały-L</t>
  </si>
  <si>
    <t>66S012080-00-0200</t>
  </si>
  <si>
    <t>GŁOWICA PEŁNOOBR./Ex-Pierścień obrotowy</t>
  </si>
  <si>
    <t>66S012081-02-0200</t>
  </si>
  <si>
    <t>GŁOWICA PEŁNOOBR./Ex-Płaszcz tulei-L</t>
  </si>
  <si>
    <t>48.10</t>
  </si>
  <si>
    <t>914R21-820</t>
  </si>
  <si>
    <t>PIERŚCIEŃ ŚLIZGOWY I-"L" w/g rys.012078</t>
  </si>
  <si>
    <t>914R21-830</t>
  </si>
  <si>
    <t>PIERŚCIEŃ ŚLIZGOWY II-"L' w/g rys.012079</t>
  </si>
  <si>
    <t>914R21-840</t>
  </si>
  <si>
    <t>WKŁADKA ŚLIZGOWA ZWINIĘTA "L" w/g rys.012073 p.7</t>
  </si>
  <si>
    <t>robocizna - urządzenia filtracyjne</t>
  </si>
  <si>
    <t>127.50</t>
  </si>
  <si>
    <t>0.23529</t>
  </si>
  <si>
    <t>5.64674</t>
  </si>
  <si>
    <t>404G11</t>
  </si>
  <si>
    <t>GŁOWICA OBROTOWA  rys.013796</t>
  </si>
  <si>
    <t>0.39</t>
  </si>
  <si>
    <t>911R54-821</t>
  </si>
  <si>
    <t>GŁOWICA PEŁNOOBROTOWA "L/Z"-kołn.stały</t>
  </si>
  <si>
    <t>33.56</t>
  </si>
  <si>
    <t>911R54-830</t>
  </si>
  <si>
    <t>GŁOWICA PEŁNOOBROTOWA "L/Z"-kołn.docisk.</t>
  </si>
  <si>
    <t>19.53</t>
  </si>
  <si>
    <t>911R82-510</t>
  </si>
  <si>
    <t>Głowica obrotowa ERGO Flex-Tuleja obrot.</t>
  </si>
  <si>
    <t>32.11</t>
  </si>
  <si>
    <t>752.00000</t>
  </si>
  <si>
    <t>0.35100</t>
  </si>
  <si>
    <t>404G17</t>
  </si>
  <si>
    <t>GŁOWICA PEŁNOOBROTOWA "D/Z"-[2,3,4]/Ex w/g rys.027897</t>
  </si>
  <si>
    <t>66S027901-00-0200</t>
  </si>
  <si>
    <t>ERGO-D/Z/Ex-PIERŚCIEŃ STAŁY-"D" GŁOWICY</t>
  </si>
  <si>
    <t>54.60</t>
  </si>
  <si>
    <t>66S027902-00-0200</t>
  </si>
  <si>
    <t>ERGO-D/Z/Ex-PIERŚCIEŃ DYSTANSOWY-"D" GŁOWICY</t>
  </si>
  <si>
    <t>40.30</t>
  </si>
  <si>
    <t>66S027903-00-0200</t>
  </si>
  <si>
    <t>ERGO-D/Z/Ex-PIERŚCIEŃ DOCISKOWY-"D" GŁOWICY</t>
  </si>
  <si>
    <t>50.70</t>
  </si>
  <si>
    <t>914R21-850</t>
  </si>
  <si>
    <t>LINKA UZIEMNIAJĄCA 8/8-I w/g rys.012447</t>
  </si>
  <si>
    <t>5.91</t>
  </si>
  <si>
    <t>914R23-970</t>
  </si>
  <si>
    <t>LINKA UZIEMNIAJĄCA 6/8-II  RYS.012455</t>
  </si>
  <si>
    <t>5.68</t>
  </si>
  <si>
    <t>914R27-110</t>
  </si>
  <si>
    <t>TULEJA OBROTOWA GŁOWICY- "D" w/g rys.027898</t>
  </si>
  <si>
    <t>176.00</t>
  </si>
  <si>
    <t>914R27-150</t>
  </si>
  <si>
    <t>PIERŚCIEŃ ŚLIZGOWY I-"D" w/g rys.027904</t>
  </si>
  <si>
    <t>6.50</t>
  </si>
  <si>
    <t>914R27-160</t>
  </si>
  <si>
    <t>PIERŚCIEŃ ŚLIZGOWY II-"D" w/g rys.027905</t>
  </si>
  <si>
    <t>7.10</t>
  </si>
  <si>
    <t>914R27-170</t>
  </si>
  <si>
    <t>WKŁADKA ŚLIZGOWA ZWINIĘTA 1x5x725</t>
  </si>
  <si>
    <t>4.10</t>
  </si>
  <si>
    <t>ASS001</t>
  </si>
  <si>
    <t>ARTYKUŁY SPAWALNICZO-SZLIFIESKIE</t>
  </si>
  <si>
    <t>860.00000</t>
  </si>
  <si>
    <t>0.50000</t>
  </si>
  <si>
    <t>2.25000</t>
  </si>
  <si>
    <t>404G18</t>
  </si>
  <si>
    <t>GŁOWICA PELNOOBR. M nierdz RYS009985 [bez wspornika M-R]</t>
  </si>
  <si>
    <t>423P64</t>
  </si>
  <si>
    <t>PODKŁADKA SPRĘŻ. D-6 A-4</t>
  </si>
  <si>
    <t>3.08</t>
  </si>
  <si>
    <t>423Ś38</t>
  </si>
  <si>
    <t>ŚRUBA M6X40 A-4</t>
  </si>
  <si>
    <t>453S01</t>
  </si>
  <si>
    <t>SMAROWNICZKA M6 A-2</t>
  </si>
  <si>
    <t>180.00</t>
  </si>
  <si>
    <t>66S007518-00-0200</t>
  </si>
  <si>
    <t>PIERSCIEŃ DOCISKOWY M-nierdz</t>
  </si>
  <si>
    <t>66S008112-00-0200</t>
  </si>
  <si>
    <t>GNIAZDO ERGO S-K PIERŚC.DYSTANS."K"NIER.</t>
  </si>
  <si>
    <t>12.00</t>
  </si>
  <si>
    <t>66S008224-00-0200</t>
  </si>
  <si>
    <t>TULEJA 101/46x3 - nierdz</t>
  </si>
  <si>
    <t>14.00</t>
  </si>
  <si>
    <t>66S008225-00-0200</t>
  </si>
  <si>
    <t>PIERŚCIEŃ 188/99x5-nierdz</t>
  </si>
  <si>
    <t>66S008226-00-0200</t>
  </si>
  <si>
    <t>PIERŚCIEŃ 166/99x5 - nierdz</t>
  </si>
  <si>
    <t>24.00</t>
  </si>
  <si>
    <t>66S008227-00-0200</t>
  </si>
  <si>
    <t>TULEJA 101/88x3 - nierdz</t>
  </si>
  <si>
    <t>28.00</t>
  </si>
  <si>
    <t>66S008228-00-0200</t>
  </si>
  <si>
    <t>PIERSCIEŃ 138/99x5 - nierdz</t>
  </si>
  <si>
    <t>430.00000</t>
  </si>
  <si>
    <t>1.03529</t>
  </si>
  <si>
    <t>3.18260</t>
  </si>
  <si>
    <t>404G19</t>
  </si>
  <si>
    <t>GŁOWICA PEŁNOOBROTOWA "D"-nierdzewna</t>
  </si>
  <si>
    <t>423N15</t>
  </si>
  <si>
    <t>NAKRĘTKA M6 A-2</t>
  </si>
  <si>
    <t>9.54</t>
  </si>
  <si>
    <t>423P55</t>
  </si>
  <si>
    <t>PODKŁADKA SPRĘŻ. D-6 A-2</t>
  </si>
  <si>
    <t>423Ś22</t>
  </si>
  <si>
    <t>ŚRUBA M6X30 A-2</t>
  </si>
  <si>
    <t>66A007444-00-0200</t>
  </si>
  <si>
    <t>ERGO-S-D GŁOWICA OBR.PIERŚCIEŃ DYST.D</t>
  </si>
  <si>
    <t>119.60</t>
  </si>
  <si>
    <t>66A007445-00-0200</t>
  </si>
  <si>
    <t>ERGO-S-D GŁOWICA OBR.PIERŚCIEŃ DOCISK.D</t>
  </si>
  <si>
    <t>66A008139-01-0200</t>
  </si>
  <si>
    <t>ERGO-S-D GŁOWICA OBR. TULEJA STAŁA "D"</t>
  </si>
  <si>
    <t>55.90</t>
  </si>
  <si>
    <t>66A008139-02-0200</t>
  </si>
  <si>
    <t>ERGO-S-D GŁOWICA OBR.TULEJA STAŁA "D"-PIERŚCIEŃ D=262</t>
  </si>
  <si>
    <t>114.40</t>
  </si>
  <si>
    <t>66A008139-03-0200</t>
  </si>
  <si>
    <t>ERGO-S-D GŁOWICA OBR.TULEJA STAŁA "D"-PIERŚCIEŃ D=270</t>
  </si>
  <si>
    <t>117.00</t>
  </si>
  <si>
    <t>66A008140-01-0200</t>
  </si>
  <si>
    <t>ERGO-S-D GŁOWICA OBR.TULEJA OBR. D</t>
  </si>
  <si>
    <t>89.70</t>
  </si>
  <si>
    <t>66A008140-02-0200</t>
  </si>
  <si>
    <t>ERGO-S-D GŁOWICA OBR.PIERŚCIEŃ D</t>
  </si>
  <si>
    <t>93.60</t>
  </si>
  <si>
    <t>375.00000</t>
  </si>
  <si>
    <t>5.75000</t>
  </si>
  <si>
    <t>404G20</t>
  </si>
  <si>
    <t>GNIAZDO OBROTOWE al RO-2,5-E-L/X  011187</t>
  </si>
  <si>
    <t>420N19</t>
  </si>
  <si>
    <t>NAKRĘTKA M10X1 NISKA</t>
  </si>
  <si>
    <t>21.00</t>
  </si>
  <si>
    <t>0.01945</t>
  </si>
  <si>
    <t>420Ś79</t>
  </si>
  <si>
    <t>ŚRUBA M10X1X20 8.8 DIN 961</t>
  </si>
  <si>
    <t>kg</t>
  </si>
  <si>
    <t>0.08165</t>
  </si>
  <si>
    <t>434Z26</t>
  </si>
  <si>
    <t>ZAŚLEPKA D-22.2 HEYMAN CZARNA-2703</t>
  </si>
  <si>
    <t>0.33</t>
  </si>
  <si>
    <t>453Ł07</t>
  </si>
  <si>
    <t>ŁOŻYSKO 6302 ZZ</t>
  </si>
  <si>
    <t>2.89</t>
  </si>
  <si>
    <t>0.15081</t>
  </si>
  <si>
    <t>911R17-410</t>
  </si>
  <si>
    <t>404T41</t>
  </si>
  <si>
    <t>TULEJA OBROTOWA RYS.011099-2</t>
  </si>
  <si>
    <t>262.70</t>
  </si>
  <si>
    <t>911R17-420</t>
  </si>
  <si>
    <t>404T40</t>
  </si>
  <si>
    <t>TULEJA  STAŁA RYS.011074</t>
  </si>
  <si>
    <t>252.00</t>
  </si>
  <si>
    <t>911R17-430</t>
  </si>
  <si>
    <t>454S75</t>
  </si>
  <si>
    <t>SWORZEŃ RYS.011000</t>
  </si>
  <si>
    <t>29.70</t>
  </si>
  <si>
    <t>911R17-440</t>
  </si>
  <si>
    <t>432P41</t>
  </si>
  <si>
    <t>REZOTEKS 2x9x697 RYS.011187poz.5</t>
  </si>
  <si>
    <t>2.85</t>
  </si>
  <si>
    <t>911R17-450</t>
  </si>
  <si>
    <t>432P42</t>
  </si>
  <si>
    <t>Krążek rezoteksowy  RYS.011393</t>
  </si>
  <si>
    <t>MAL008</t>
  </si>
  <si>
    <t>MALOWANIE GŁOWICY RO-2,5</t>
  </si>
  <si>
    <t>1.53</t>
  </si>
  <si>
    <t>26.30719</t>
  </si>
  <si>
    <t>0.94565</t>
  </si>
  <si>
    <t>404G25</t>
  </si>
  <si>
    <t>GNIAZDO OBROTOWE RO-2,5-E-D elementy obrabiane</t>
  </si>
  <si>
    <t>400P05</t>
  </si>
  <si>
    <t>PROFIL ZAMK.100X50X3 (6.78KG/MB</t>
  </si>
  <si>
    <t>7.80357</t>
  </si>
  <si>
    <t>400R81</t>
  </si>
  <si>
    <t>RURA STAL. D-244.5X20 R-35</t>
  </si>
  <si>
    <t>1699.00</t>
  </si>
  <si>
    <t>0.21998</t>
  </si>
  <si>
    <t>400R90</t>
  </si>
  <si>
    <t>RURA STAL. D-219,1X7,1 R-35</t>
  </si>
  <si>
    <t>799.00</t>
  </si>
  <si>
    <t>453K00</t>
  </si>
  <si>
    <t>KALAMIDKA M8 -SMAROWNICZKA</t>
  </si>
  <si>
    <t>0.52</t>
  </si>
  <si>
    <t>911R13-300</t>
  </si>
  <si>
    <t>SWORZEŃ RYS.004540</t>
  </si>
  <si>
    <t>18.00</t>
  </si>
  <si>
    <t>1810.00000</t>
  </si>
  <si>
    <t>14.00000</t>
  </si>
  <si>
    <t>3.14772</t>
  </si>
  <si>
    <t>404G28</t>
  </si>
  <si>
    <t>ELEMENTY OBROTOWE RO-1,5-E-D ELEMENTY OBRABIANE</t>
  </si>
  <si>
    <t>400P45</t>
  </si>
  <si>
    <t>PROFIL ZAMK.80x40x4 S355J2H (7.05KG/MB)</t>
  </si>
  <si>
    <t>4.40</t>
  </si>
  <si>
    <t>2.46591</t>
  </si>
  <si>
    <t>0.30000</t>
  </si>
  <si>
    <t>0.44317</t>
  </si>
  <si>
    <t>1.36363</t>
  </si>
  <si>
    <t>12.50000</t>
  </si>
  <si>
    <t>404G29</t>
  </si>
  <si>
    <t>ELEMENTY GNIAZDA OBROTOWEGO RO 2,5</t>
  </si>
  <si>
    <t>0.60000</t>
  </si>
  <si>
    <t>15.50000</t>
  </si>
  <si>
    <t>3.14673</t>
  </si>
  <si>
    <t>404K47</t>
  </si>
  <si>
    <t>KAMIEŃ ŚLIZGOWY rys.008187 poz.2</t>
  </si>
  <si>
    <t>420N28</t>
  </si>
  <si>
    <t>NAKRĘTKA M4</t>
  </si>
  <si>
    <t>12.50</t>
  </si>
  <si>
    <t>0.00400</t>
  </si>
  <si>
    <t>425H22</t>
  </si>
  <si>
    <t>HAK OCZKOWY M4X40X6 051.05</t>
  </si>
  <si>
    <t>0.25</t>
  </si>
  <si>
    <t>432W05</t>
  </si>
  <si>
    <t>WAŁEK TEFLON. D-25 1.06KG/MB</t>
  </si>
  <si>
    <t>150.00</t>
  </si>
  <si>
    <t>0.02766</t>
  </si>
  <si>
    <t>0.20326</t>
  </si>
  <si>
    <t>404P20</t>
  </si>
  <si>
    <t>PRĘT AL. D-50 PA6 5.30KG/MB</t>
  </si>
  <si>
    <t>27.00</t>
  </si>
  <si>
    <t>0.12222</t>
  </si>
  <si>
    <t>0.21087</t>
  </si>
  <si>
    <t>404K51</t>
  </si>
  <si>
    <t>KORPUS REDUKTORA 200/200-ALAN  007709</t>
  </si>
  <si>
    <t>404G16</t>
  </si>
  <si>
    <t>GĄSKA ALUMINIOWA AK 11</t>
  </si>
  <si>
    <t>13.90</t>
  </si>
  <si>
    <t>1.58273</t>
  </si>
  <si>
    <t>0.65000</t>
  </si>
  <si>
    <t>1.15000</t>
  </si>
  <si>
    <t>404K52</t>
  </si>
  <si>
    <t>KORPUS RADUKTORA 160/160-ALAN  007696</t>
  </si>
  <si>
    <t>0.76250</t>
  </si>
  <si>
    <t>ROBOCIZNA-ODLEWNIA lub RAF</t>
  </si>
  <si>
    <t>1.62717</t>
  </si>
  <si>
    <t>404K57</t>
  </si>
  <si>
    <t>UFO-A-10000-KOREK SPECJALNY 1,5" w/g rys.019169</t>
  </si>
  <si>
    <t>426K04</t>
  </si>
  <si>
    <t>KOREK OC. 1,5"</t>
  </si>
  <si>
    <t>11.08</t>
  </si>
  <si>
    <t>0.00363</t>
  </si>
  <si>
    <t>404K58</t>
  </si>
  <si>
    <t>KRÓCIEC L=195 w/g rys023996</t>
  </si>
  <si>
    <t>401R20</t>
  </si>
  <si>
    <t>RURA STAL. CZARNA B/SZWU D33,7x3,2</t>
  </si>
  <si>
    <t>29.50</t>
  </si>
  <si>
    <t>0.10435</t>
  </si>
  <si>
    <t>404K59</t>
  </si>
  <si>
    <t>KRÓCIEC L=315 w/g rys.023997</t>
  </si>
  <si>
    <t>401R08</t>
  </si>
  <si>
    <t>RURA STALOWA OC.1"</t>
  </si>
  <si>
    <t>38.10</t>
  </si>
  <si>
    <t>0.32280</t>
  </si>
  <si>
    <t>404K60</t>
  </si>
  <si>
    <t>KOŁNIERZ TULEI w/g rys.031409</t>
  </si>
  <si>
    <t>63A031382-00-0200</t>
  </si>
  <si>
    <t>ALAN-E-XL-250-KOŁNIERZ TULEI</t>
  </si>
  <si>
    <t>120.25</t>
  </si>
  <si>
    <t>404L01</t>
  </si>
  <si>
    <t>ŁOŻYSKO RYS.000736</t>
  </si>
  <si>
    <t>401P20</t>
  </si>
  <si>
    <t>PRĘT KWADR. K-22X22 45 3.80KG/MB</t>
  </si>
  <si>
    <t>CYN002</t>
  </si>
  <si>
    <t>1.70</t>
  </si>
  <si>
    <t>404L02</t>
  </si>
  <si>
    <t>UFO-A-10000-ŁĄCZNIK w/g rys.019074</t>
  </si>
  <si>
    <t>0.17536</t>
  </si>
  <si>
    <t>0.10869</t>
  </si>
  <si>
    <t>404L03</t>
  </si>
  <si>
    <t>ŁĄCZNIK M5  RYS.012462  NIERDZ/Ex</t>
  </si>
  <si>
    <t>402P08</t>
  </si>
  <si>
    <t>PRĘT KWAS. D-8 OH18N9 0.39KG/MB</t>
  </si>
  <si>
    <t>0.01042</t>
  </si>
  <si>
    <t>0.08587</t>
  </si>
  <si>
    <t>404M01</t>
  </si>
  <si>
    <t>MIMOŚRÓD  rys.009635</t>
  </si>
  <si>
    <t>420N43</t>
  </si>
  <si>
    <t>NAKRĘTKA M10</t>
  </si>
  <si>
    <t>6.72</t>
  </si>
  <si>
    <t>0.01970</t>
  </si>
  <si>
    <t>421Ś13</t>
  </si>
  <si>
    <t>ŚRUBA M10X45 KL.8.8/105</t>
  </si>
  <si>
    <t>15.36</t>
  </si>
  <si>
    <t>0.03290</t>
  </si>
  <si>
    <t>453Ł22</t>
  </si>
  <si>
    <t>ŁOŻYSKO 6000 ZZ</t>
  </si>
  <si>
    <t>0.84</t>
  </si>
  <si>
    <t>453P08</t>
  </si>
  <si>
    <t>PIERŚ.OSAD.SEEGERA W-26</t>
  </si>
  <si>
    <t>0.17</t>
  </si>
  <si>
    <t>61S009635-06-0200</t>
  </si>
  <si>
    <t>Podkładka 16x10,5x3</t>
  </si>
  <si>
    <t>0.10</t>
  </si>
  <si>
    <t>900O10-410</t>
  </si>
  <si>
    <t>KORPUS MIMOŚRODU w/g rys.009635 poz.1</t>
  </si>
  <si>
    <t>20.45</t>
  </si>
  <si>
    <t>405P02</t>
  </si>
  <si>
    <t>PRĘT MOS. S-22 MO58 3.58KG/MB</t>
  </si>
  <si>
    <t>0.10227</t>
  </si>
  <si>
    <t>404N02</t>
  </si>
  <si>
    <t>REDUKCJA-NYPEL G1"xG3/8" RYS.010785</t>
  </si>
  <si>
    <t>401P41</t>
  </si>
  <si>
    <t>PRĘT SZEŚĆ. S-36 "45" 8,81kg/mb</t>
  </si>
  <si>
    <t>6.05</t>
  </si>
  <si>
    <t>0.43801</t>
  </si>
  <si>
    <t>404N03</t>
  </si>
  <si>
    <t>NAKRĘTKA Tr36x6 w/g rys.031397</t>
  </si>
  <si>
    <t>426N45</t>
  </si>
  <si>
    <t>NAKRĘTKA TRAPEZOWA Tr36x6 cylindryczna stal.</t>
  </si>
  <si>
    <t>65.04</t>
  </si>
  <si>
    <t>423N07</t>
  </si>
  <si>
    <t>NIT PEŁN. ST 5X25 A2 (wyjątek) DIN 660</t>
  </si>
  <si>
    <t>49.00</t>
  </si>
  <si>
    <t>423N08</t>
  </si>
  <si>
    <t>NIT PEŁN. ST 5X8 A4</t>
  </si>
  <si>
    <t>26.78</t>
  </si>
  <si>
    <t>0.06847</t>
  </si>
  <si>
    <t>404N66</t>
  </si>
  <si>
    <t>NAKRĘTKA NISKA M10x1-8</t>
  </si>
  <si>
    <t>401P25</t>
  </si>
  <si>
    <t>PRĘT SZEŚC. S-17 45 1.96KG/MB</t>
  </si>
  <si>
    <t>0.04500</t>
  </si>
  <si>
    <t>0.05142</t>
  </si>
  <si>
    <t>404O01</t>
  </si>
  <si>
    <t>OŚ OBROTU w/g rys.012993</t>
  </si>
  <si>
    <t>401P14</t>
  </si>
  <si>
    <t>PRĘT CIĄGN. D-25 45 3.85KG/MB</t>
  </si>
  <si>
    <t>0.17950</t>
  </si>
  <si>
    <t>404O02</t>
  </si>
  <si>
    <t>OPRAWA ŁOŻYSKA w/g rys.012994</t>
  </si>
  <si>
    <t>401P24</t>
  </si>
  <si>
    <t>PRĘT WALC. D-55 45 18.6KG/MB</t>
  </si>
  <si>
    <t>0.75000</t>
  </si>
  <si>
    <t>0.43369</t>
  </si>
  <si>
    <t>404O23</t>
  </si>
  <si>
    <t>DŹWIGNIA ZAPADKI -ALAN   007406</t>
  </si>
  <si>
    <t>0.10072</t>
  </si>
  <si>
    <t>404O24</t>
  </si>
  <si>
    <t>OBSADA MOTOREDUKTORA T9/4-ALAN  007347</t>
  </si>
  <si>
    <t>0.83453</t>
  </si>
  <si>
    <t>404O25</t>
  </si>
  <si>
    <t>OBSADA MOTOREDUKTORA T11/8-ALAN   004029</t>
  </si>
  <si>
    <t>0.47841</t>
  </si>
  <si>
    <t>0.12500</t>
  </si>
  <si>
    <t>404O26</t>
  </si>
  <si>
    <t>OBSADA MOTOREDUKTORA T9/4 w/g rys.022461</t>
  </si>
  <si>
    <t>0.57554</t>
  </si>
  <si>
    <t>404O27</t>
  </si>
  <si>
    <t>OBSADA MOTOREDUKTORA T11/8 w/g rys.022465</t>
  </si>
  <si>
    <t>0.53237</t>
  </si>
  <si>
    <t>0.12613</t>
  </si>
  <si>
    <t>404O28</t>
  </si>
  <si>
    <t>OBSADA SILNIKA RUROWEGO ELERO VariEco L RH w/g rys.0270201</t>
  </si>
  <si>
    <t>0.47482</t>
  </si>
  <si>
    <t>404O31</t>
  </si>
  <si>
    <t>SSAWA KANAŁOWA OBP-AL-100-6</t>
  </si>
  <si>
    <t>68D002971-00-0200</t>
  </si>
  <si>
    <t>Płytka ustnika Lewa/Prawa</t>
  </si>
  <si>
    <t>904O21-110</t>
  </si>
  <si>
    <t>KORPUS SSAWY KANAŁOWEJ OBP-AL</t>
  </si>
  <si>
    <t>200.00</t>
  </si>
  <si>
    <t>3.09021</t>
  </si>
  <si>
    <t>404O68</t>
  </si>
  <si>
    <t>OŚ KLAPY SKZ-355</t>
  </si>
  <si>
    <t>401P02</t>
  </si>
  <si>
    <t>PRĘT CIĄGN. D-8 45 0.39KG/MB</t>
  </si>
  <si>
    <t>7.99</t>
  </si>
  <si>
    <t>3.36364</t>
  </si>
  <si>
    <t>0.22820</t>
  </si>
  <si>
    <t>404O69</t>
  </si>
  <si>
    <t>OŚ KLAPY SKZ-800</t>
  </si>
  <si>
    <t>0.33834</t>
  </si>
  <si>
    <t>3.50000</t>
  </si>
  <si>
    <t>404O70</t>
  </si>
  <si>
    <t>OŚ KLAPY SKZ-710</t>
  </si>
  <si>
    <t>0.30240</t>
  </si>
  <si>
    <t>404O71</t>
  </si>
  <si>
    <t>OŚ KLAPY SKZ-400</t>
  </si>
  <si>
    <t>0.18181</t>
  </si>
  <si>
    <t>3.45454</t>
  </si>
  <si>
    <t>0.22727</t>
  </si>
  <si>
    <t>404O72</t>
  </si>
  <si>
    <t>OŚ KLAPY SKZ-500</t>
  </si>
  <si>
    <t>0.19812</t>
  </si>
  <si>
    <t>404O73</t>
  </si>
  <si>
    <t>OŚ KLAPY SKZ-630</t>
  </si>
  <si>
    <t>0.26282</t>
  </si>
  <si>
    <t>0.24205</t>
  </si>
  <si>
    <t>404O74</t>
  </si>
  <si>
    <t>OŚ KLAPY w/g rys.000264</t>
  </si>
  <si>
    <t>401P03</t>
  </si>
  <si>
    <t>PRĘT CIĄGN. D-12 45 0.89KG/MB</t>
  </si>
  <si>
    <t>9.50</t>
  </si>
  <si>
    <t>1.10000</t>
  </si>
  <si>
    <t>0.25909</t>
  </si>
  <si>
    <t>404O75</t>
  </si>
  <si>
    <t>SKZ-11200/F400-OŚ ZDERZAKA w/g rys.000265</t>
  </si>
  <si>
    <t>1.00714</t>
  </si>
  <si>
    <t>0.09428</t>
  </si>
  <si>
    <t>404O76</t>
  </si>
  <si>
    <t>OŚ ZDERZAKA w/g rys.000442</t>
  </si>
  <si>
    <t>0.71428</t>
  </si>
  <si>
    <t>0.08409</t>
  </si>
  <si>
    <t>404O77</t>
  </si>
  <si>
    <t>OŚ PRZEPUSTNICY "L" w/g rys.020279</t>
  </si>
  <si>
    <t>401P30</t>
  </si>
  <si>
    <t>PRĘT CIĄGN. D-10 45 0.62KG/MB</t>
  </si>
  <si>
    <t>0.12090</t>
  </si>
  <si>
    <t>0.21521</t>
  </si>
  <si>
    <t>404P07</t>
  </si>
  <si>
    <t>PRĘT AL. D-10 PA6 0.215KG/MB</t>
  </si>
  <si>
    <t>0.00926</t>
  </si>
  <si>
    <t>0.01111</t>
  </si>
  <si>
    <t>0.17727</t>
  </si>
  <si>
    <t>404O80</t>
  </si>
  <si>
    <t>SSAWA OKRĄGŁA 160 w/g rys.017569</t>
  </si>
  <si>
    <t>435O08</t>
  </si>
  <si>
    <t>OSŁONA GUMOWA BEZ PŁYTKI SSAWY D-150</t>
  </si>
  <si>
    <t>106.40</t>
  </si>
  <si>
    <t>404O84</t>
  </si>
  <si>
    <t>OŚ PRZEPUSTNICY "D" w/g rys.020300</t>
  </si>
  <si>
    <t>404O85</t>
  </si>
  <si>
    <t>OŚ OBROTU EKRANU GÓRNEGO rys.001902</t>
  </si>
  <si>
    <t>422Ś26</t>
  </si>
  <si>
    <t>ŚRUBA IMBUSOWA M10X40KL.8.8/105</t>
  </si>
  <si>
    <t>20.74</t>
  </si>
  <si>
    <t>0.03375</t>
  </si>
  <si>
    <t>0.05435</t>
  </si>
  <si>
    <t>404O86</t>
  </si>
  <si>
    <t>OŚ PRZEPUSTNICY "M" w/g rys.020444</t>
  </si>
  <si>
    <t>0.07856</t>
  </si>
  <si>
    <t>404O87</t>
  </si>
  <si>
    <t>OŚ PRZEPUSTNICY "K" w/g rys.020306</t>
  </si>
  <si>
    <t>0.15227</t>
  </si>
  <si>
    <t>9.80</t>
  </si>
  <si>
    <t>0.12245</t>
  </si>
  <si>
    <t>CYN003</t>
  </si>
  <si>
    <t>CYNKOWANIE GALWANICZNE</t>
  </si>
  <si>
    <t>0.12000</t>
  </si>
  <si>
    <t>404O89</t>
  </si>
  <si>
    <t>SKZ-1250/F400-OŚ KLAPY ZWROTNEJ w/g rys.125-5-08</t>
  </si>
  <si>
    <t>2.67000</t>
  </si>
  <si>
    <t>10.91000</t>
  </si>
  <si>
    <t>0.92087</t>
  </si>
  <si>
    <t>404P34</t>
  </si>
  <si>
    <t>PIERŚCIEŃ TULEI MOTOREDUKTORA w/g rys.031389</t>
  </si>
  <si>
    <t>63A031388-00-0200</t>
  </si>
  <si>
    <t>ALAN-E-XL-250-PIERŚCIEŃ</t>
  </si>
  <si>
    <t>0.17391</t>
  </si>
  <si>
    <t>404P38</t>
  </si>
  <si>
    <t>PIASTA D14 ALUMINIOWA Rys 000679</t>
  </si>
  <si>
    <t>404G05</t>
  </si>
  <si>
    <t>GĄSKA ALUMINIOWA AK 226</t>
  </si>
  <si>
    <t>12000.00</t>
  </si>
  <si>
    <t>T</t>
  </si>
  <si>
    <t>0.00100</t>
  </si>
  <si>
    <t>0.35000</t>
  </si>
  <si>
    <t>404P39</t>
  </si>
  <si>
    <t>PIASTA D19 ALUMINIOWA Rys 000667</t>
  </si>
  <si>
    <t>404P40</t>
  </si>
  <si>
    <t>PIASTA NAPĘDOWA BĘBNA w/g rys.031361</t>
  </si>
  <si>
    <t>404P60</t>
  </si>
  <si>
    <t>PIASTA WIRNIKA D=42 w/g rys.011550 AL.*</t>
  </si>
  <si>
    <t>168.88</t>
  </si>
  <si>
    <t>0.24130</t>
  </si>
  <si>
    <t>404P43</t>
  </si>
  <si>
    <t>PIASTA D=24 ALUMINIOWA Rys 000667</t>
  </si>
  <si>
    <t>0.00106</t>
  </si>
  <si>
    <t>404P44</t>
  </si>
  <si>
    <t>PIASTA D=24 ALUMINIOWA Rys 013201</t>
  </si>
  <si>
    <t>404P45</t>
  </si>
  <si>
    <t>PIASTA WIRNKA D-28 RMH-E/SM/SMK/SMBK-11 AL</t>
  </si>
  <si>
    <t>1.49640</t>
  </si>
  <si>
    <t>0.59130</t>
  </si>
  <si>
    <t>404P49</t>
  </si>
  <si>
    <t>PIASTA WIRNIKA D=28 w/g rys015883 AL</t>
  </si>
  <si>
    <t>0.00120</t>
  </si>
  <si>
    <t>0.39318</t>
  </si>
  <si>
    <t>404P50</t>
  </si>
  <si>
    <t>PIERŚCIEŃ ZĘBATY w/g rys.022459</t>
  </si>
  <si>
    <t>0.26259</t>
  </si>
  <si>
    <t>0.36304</t>
  </si>
  <si>
    <t>404P51</t>
  </si>
  <si>
    <t>PIERŚCIEŃ ZĘBATY-ALAN 007413</t>
  </si>
  <si>
    <t>0.23741</t>
  </si>
  <si>
    <t>404P52</t>
  </si>
  <si>
    <t>PIASTA D19 ALUMINIOWA w/g rys.011885</t>
  </si>
  <si>
    <t>404P53</t>
  </si>
  <si>
    <t>PIASTA D24 ALUMINIOWA w/g rys.011884</t>
  </si>
  <si>
    <t>404P54</t>
  </si>
  <si>
    <t>PIASTA D28 ALUMINIOWA w/g rys.011883</t>
  </si>
  <si>
    <t>0.58695</t>
  </si>
  <si>
    <t>404P55</t>
  </si>
  <si>
    <t>PIASTA D38 ALUMINIOWA w/g rys.011882</t>
  </si>
  <si>
    <t>1.74460</t>
  </si>
  <si>
    <t>1.00543</t>
  </si>
  <si>
    <t>404P56</t>
  </si>
  <si>
    <t>PIERŚCIEŃ D16/d9/M6 003460 STOPERA STK</t>
  </si>
  <si>
    <t>404P18</t>
  </si>
  <si>
    <t>PRĘT AL. D-16 PA6 0.54KG/MB</t>
  </si>
  <si>
    <t>404P57</t>
  </si>
  <si>
    <t>KSZTAŁTKA WLOTOWA  WE-5,5/D w/g rys.010990</t>
  </si>
  <si>
    <t>5.00000</t>
  </si>
  <si>
    <t>1.31521</t>
  </si>
  <si>
    <t>404P58</t>
  </si>
  <si>
    <t>PIASTA WIRNIKA WENTYLATORA WE-5,5/D częć I w/g rys.012769</t>
  </si>
  <si>
    <t>0.83043</t>
  </si>
  <si>
    <t>404P59</t>
  </si>
  <si>
    <t>PIASTA WIRNIKA WENTYLATORA WE-5,5/D częć II w/g rys.012770</t>
  </si>
  <si>
    <t>0.91087</t>
  </si>
  <si>
    <t>PIASTA D42 aluminiowa Rys 011550</t>
  </si>
  <si>
    <t>1.16085</t>
  </si>
  <si>
    <t>404P79</t>
  </si>
  <si>
    <t>PIASTA 14 AL RYS.011886</t>
  </si>
  <si>
    <t>0.00105</t>
  </si>
  <si>
    <t>0.34886</t>
  </si>
  <si>
    <t>0.15113</t>
  </si>
  <si>
    <t>404P80</t>
  </si>
  <si>
    <t>PIASTA 11 AL w/g rys.020455</t>
  </si>
  <si>
    <t>404P81</t>
  </si>
  <si>
    <t>BIG-10000-WIRNIK-PIASTA D=48</t>
  </si>
  <si>
    <t>0.00275</t>
  </si>
  <si>
    <t>1.16931</t>
  </si>
  <si>
    <t>404P82</t>
  </si>
  <si>
    <t>PIASTA D=48 AL w/g rys.016312</t>
  </si>
  <si>
    <t>0.00290</t>
  </si>
  <si>
    <t>1.16086</t>
  </si>
  <si>
    <t>404P83</t>
  </si>
  <si>
    <t>WIRNIK 867/710x258-PIASTA D=48</t>
  </si>
  <si>
    <t>400O22</t>
  </si>
  <si>
    <t>ODLEW ŻELIWNY PIASTY 38;42;48</t>
  </si>
  <si>
    <t>220.00</t>
  </si>
  <si>
    <t>2.15000</t>
  </si>
  <si>
    <t>404P84</t>
  </si>
  <si>
    <t>PIASTA D=38 WIRNIKA PROMIENIOWEGO</t>
  </si>
  <si>
    <t>404P85</t>
  </si>
  <si>
    <t>WIRNIK PROMIENIOWY 524/400x170-PIASTA D=24</t>
  </si>
  <si>
    <t>400O21</t>
  </si>
  <si>
    <t>ODLEW ŻELIWNY PIASTY 19;24;28</t>
  </si>
  <si>
    <t>90.00</t>
  </si>
  <si>
    <t>1.50000</t>
  </si>
  <si>
    <t>404P86</t>
  </si>
  <si>
    <t>WENTYLATOR PROMIENIOWY-PIASTA D=28</t>
  </si>
  <si>
    <t>404P87</t>
  </si>
  <si>
    <t>PIASTA D=19-WIRNIK PROMIENIOWY</t>
  </si>
  <si>
    <t>404P90</t>
  </si>
  <si>
    <t>SKZ-560/F400-PODKŁADKA D27/d12,7x1</t>
  </si>
  <si>
    <t>432P00</t>
  </si>
  <si>
    <t>PŁYTA REZOTEX | 1.0MM</t>
  </si>
  <si>
    <t>65.00</t>
  </si>
  <si>
    <t>0.00225</t>
  </si>
  <si>
    <t>0.07500</t>
  </si>
  <si>
    <t>0.07509</t>
  </si>
  <si>
    <t>0.06304</t>
  </si>
  <si>
    <t>432W20</t>
  </si>
  <si>
    <t>WAŁEK TEFLON. D-30 1.65KG/MB</t>
  </si>
  <si>
    <t>70.50</t>
  </si>
  <si>
    <t>0.02198</t>
  </si>
  <si>
    <t>0.10326</t>
  </si>
  <si>
    <t>404P93</t>
  </si>
  <si>
    <t>PODKŁADKA IZOLACYJNA rys.010949</t>
  </si>
  <si>
    <t>30.00000</t>
  </si>
  <si>
    <t>0.03636</t>
  </si>
  <si>
    <t>404P94</t>
  </si>
  <si>
    <t>TULEJKA IZOLACYJNA rys.010950</t>
  </si>
  <si>
    <t>45.00000</t>
  </si>
  <si>
    <t>0.07727</t>
  </si>
  <si>
    <t>404P95</t>
  </si>
  <si>
    <t>PODKŁADKA ŚLIZGOWA w/g rys.008686</t>
  </si>
  <si>
    <t>432P01</t>
  </si>
  <si>
    <t>PŁYTA REZOTEX 2.0MM 1mx1m</t>
  </si>
  <si>
    <t>97.30</t>
  </si>
  <si>
    <t>0.00051</t>
  </si>
  <si>
    <t>0.02500</t>
  </si>
  <si>
    <t>404P96</t>
  </si>
  <si>
    <t>PIASTA D28 ŻELIWNA Rys 002023</t>
  </si>
  <si>
    <t>63.35</t>
  </si>
  <si>
    <t>0.89130</t>
  </si>
  <si>
    <t>404R16</t>
  </si>
  <si>
    <t>NAKŁADKA "L" w/g rys.009336</t>
  </si>
  <si>
    <t>404R15</t>
  </si>
  <si>
    <t>RURA ALUM. D-12X1.5 PA38 0.13KG/MB</t>
  </si>
  <si>
    <t>0.64067</t>
  </si>
  <si>
    <t>404R46</t>
  </si>
  <si>
    <t>RURA GWINTOWANA R" L=170 w/g rys.023698</t>
  </si>
  <si>
    <t>0.17800</t>
  </si>
  <si>
    <t>0.10543</t>
  </si>
  <si>
    <t>404R47</t>
  </si>
  <si>
    <t>RURA OBUDOWY ZDERZAKA rys.008178 poz.2</t>
  </si>
  <si>
    <t>400R33</t>
  </si>
  <si>
    <t>RURA STAL. D-25X3 R-35</t>
  </si>
  <si>
    <t>0.20357</t>
  </si>
  <si>
    <t>404R51</t>
  </si>
  <si>
    <t>RURA PROSTOKĄTNA 60x40x2  L=420 w/g rys.003342a</t>
  </si>
  <si>
    <t>400P11</t>
  </si>
  <si>
    <t>PROFIL ZAMK.60X40X2 3.01KG/MB</t>
  </si>
  <si>
    <t>4.00</t>
  </si>
  <si>
    <t>1.37500</t>
  </si>
  <si>
    <t>1.14886</t>
  </si>
  <si>
    <t>404R52</t>
  </si>
  <si>
    <t>UFO-A-10000-RURA STRZAŁOWA w/g rys.019072</t>
  </si>
  <si>
    <t>1.00618</t>
  </si>
  <si>
    <t>0.25435</t>
  </si>
  <si>
    <t>404R53</t>
  </si>
  <si>
    <t>RURA STRZAŁOWA UFO-A w/g rys.0029293 poz.3</t>
  </si>
  <si>
    <t>0.41660</t>
  </si>
  <si>
    <t>404R54</t>
  </si>
  <si>
    <t>WYSIĘGNIK SSAWKI ZSGO-2000 - PROWADNICA wg rys. 009098</t>
  </si>
  <si>
    <t>400R19</t>
  </si>
  <si>
    <t>RURA STAL. D-28X1.5 R-35</t>
  </si>
  <si>
    <t>9.00</t>
  </si>
  <si>
    <t>0.27000</t>
  </si>
  <si>
    <t>0.24000</t>
  </si>
  <si>
    <t>0.48585</t>
  </si>
  <si>
    <t>0.36195</t>
  </si>
  <si>
    <t>0.35377</t>
  </si>
  <si>
    <t>1.45454</t>
  </si>
  <si>
    <t>0.20869</t>
  </si>
  <si>
    <t>404R58</t>
  </si>
  <si>
    <t>BIG-1000-RURA OBUSTRONNIE GWINTOWANA R1"w/g rys.018360</t>
  </si>
  <si>
    <t>0.08600</t>
  </si>
  <si>
    <t>0.10217</t>
  </si>
  <si>
    <t>404R59</t>
  </si>
  <si>
    <t>BIG-1000-R-RURA GŁÓWNA OBUSTRONNIE GWINTOWANA R1" w/g rys.023616</t>
  </si>
  <si>
    <t>0.29200</t>
  </si>
  <si>
    <t>404R60</t>
  </si>
  <si>
    <t>RURA I OBUSTRONNIE GWINTOWANA R1" w/g rys.023717</t>
  </si>
  <si>
    <t>0.09000</t>
  </si>
  <si>
    <t>404R61</t>
  </si>
  <si>
    <t>UFO-2-HN/MN-RURA-ŁĄCZNIK rys.012296</t>
  </si>
  <si>
    <t>0.07000</t>
  </si>
  <si>
    <t>404R62</t>
  </si>
  <si>
    <t>STRONG-2000-RURA I w/g rys.013877</t>
  </si>
  <si>
    <t>0.17585</t>
  </si>
  <si>
    <t>404R63</t>
  </si>
  <si>
    <t>RURA OBUSTRONNIE GWINTOWANA G1" w/g rys.024537</t>
  </si>
  <si>
    <t>41.20</t>
  </si>
  <si>
    <t>0.13714</t>
  </si>
  <si>
    <t>0.10757</t>
  </si>
  <si>
    <t>404R64</t>
  </si>
  <si>
    <t>RURA OBUSTRONNIE GWINTOWANA G1" w/g rys.024658</t>
  </si>
  <si>
    <t>0.24150</t>
  </si>
  <si>
    <t>404R65</t>
  </si>
  <si>
    <t>RURA 1 w/g rys.024718</t>
  </si>
  <si>
    <t>401R02</t>
  </si>
  <si>
    <t>RURA STAL. D-1 1/2" OCYNK</t>
  </si>
  <si>
    <t>14.25</t>
  </si>
  <si>
    <t>404R66</t>
  </si>
  <si>
    <t>REDUKCJA w/g rys.024717</t>
  </si>
  <si>
    <t>400P58</t>
  </si>
  <si>
    <t>PRĘT WALC. D-50 ST3S 15.4KG/MB</t>
  </si>
  <si>
    <t>7.90</t>
  </si>
  <si>
    <t>0.15859</t>
  </si>
  <si>
    <t>0.09772</t>
  </si>
  <si>
    <t>404R67</t>
  </si>
  <si>
    <t>RURA UBUSTRONNIE GWINTOWANA R1" w/g rys.023754</t>
  </si>
  <si>
    <t>404S15</t>
  </si>
  <si>
    <t>SZCZĘKA GÓRNA w/g rys.017593</t>
  </si>
  <si>
    <t>0.16546</t>
  </si>
  <si>
    <t>404S16</t>
  </si>
  <si>
    <t>SZCZĘKA DOLNA w/g rys.017594</t>
  </si>
  <si>
    <t>0.15108</t>
  </si>
  <si>
    <t>404S17</t>
  </si>
  <si>
    <t>SZCZĘKA GÓRNA Długa</t>
  </si>
  <si>
    <t>0.22662</t>
  </si>
  <si>
    <t>0.21630</t>
  </si>
  <si>
    <t>404S18</t>
  </si>
  <si>
    <t>SZCZĘKA DOLNA Długa</t>
  </si>
  <si>
    <t>0.19424</t>
  </si>
  <si>
    <t>404S24</t>
  </si>
  <si>
    <t>SWORZEŃ I rys.007817 poz.1</t>
  </si>
  <si>
    <t>0.15769</t>
  </si>
  <si>
    <t>404S25</t>
  </si>
  <si>
    <t>SWORZEŃ II rys.007817 poz.2</t>
  </si>
  <si>
    <t>0.05189</t>
  </si>
  <si>
    <t>0.15757</t>
  </si>
  <si>
    <t>0.14736</t>
  </si>
  <si>
    <t>404S27</t>
  </si>
  <si>
    <t>ŚRUBA SPECJALNA M8x80 w/g rys.004607</t>
  </si>
  <si>
    <t>422Ś15</t>
  </si>
  <si>
    <t>ŚRUBA IMBUSOWA M8X80 KL.8.8 /101</t>
  </si>
  <si>
    <t>19.20</t>
  </si>
  <si>
    <t>0.03645</t>
  </si>
  <si>
    <t>0.05869</t>
  </si>
  <si>
    <t>404S28</t>
  </si>
  <si>
    <t>SWORZEŃ D16 RYS.011043</t>
  </si>
  <si>
    <t>0.34906</t>
  </si>
  <si>
    <t>404S30</t>
  </si>
  <si>
    <t>SWORZEŃ I  rys.009555</t>
  </si>
  <si>
    <t>401P05</t>
  </si>
  <si>
    <t>PRĘT CIĄGN. D-20 45 2.47KG/MB</t>
  </si>
  <si>
    <t>404S31</t>
  </si>
  <si>
    <t>SWORZEŃ II rys.009556</t>
  </si>
  <si>
    <t>0.12264</t>
  </si>
  <si>
    <t>0.07613</t>
  </si>
  <si>
    <t>404S32</t>
  </si>
  <si>
    <t>ŚLIMAK typ"a" fi60 rys.001159</t>
  </si>
  <si>
    <t>404P21</t>
  </si>
  <si>
    <t>PRĘT AL. D-60 PA6 7.63KG/MB</t>
  </si>
  <si>
    <t>0.53148</t>
  </si>
  <si>
    <t>0.26195</t>
  </si>
  <si>
    <t>0.73043</t>
  </si>
  <si>
    <t>404S33</t>
  </si>
  <si>
    <t>ŚLIMAK typ"b" fi65 rys.001160</t>
  </si>
  <si>
    <t>404P25</t>
  </si>
  <si>
    <t>PRĘT AL. D-65 PA6 8.96KG/MB</t>
  </si>
  <si>
    <t>0.72778</t>
  </si>
  <si>
    <t>0.25978</t>
  </si>
  <si>
    <t>404S34</t>
  </si>
  <si>
    <t>ŚLIMAK typ"c" fi70 rys.001161</t>
  </si>
  <si>
    <t>404P26</t>
  </si>
  <si>
    <t>PRĘT AL. D-70 PA6 10.4KG/MB</t>
  </si>
  <si>
    <t>0.93000</t>
  </si>
  <si>
    <t>0.73500</t>
  </si>
  <si>
    <t>0.26090</t>
  </si>
  <si>
    <t>404Ś20</t>
  </si>
  <si>
    <t>ŚRUBA Z ŁB.6KT M10x1-L=20-8.8</t>
  </si>
  <si>
    <t>1.27272</t>
  </si>
  <si>
    <t>0.09545</t>
  </si>
  <si>
    <t>404T01</t>
  </si>
  <si>
    <t>TŁUMIK SPECJALNY w/g rys.025829</t>
  </si>
  <si>
    <t>420W24</t>
  </si>
  <si>
    <t>WKRĘT M4x0,7x16 SAMOGWINTUJĄCY z ŁBEM walcowym wypukłym gniazdo krzyżowe DIN7516A</t>
  </si>
  <si>
    <t>49.23</t>
  </si>
  <si>
    <t>0.00655</t>
  </si>
  <si>
    <t>426K31</t>
  </si>
  <si>
    <t>KOLANO gwintowane WW G3/8w 5010 3/8 PNEUMAT SYSTEM</t>
  </si>
  <si>
    <t>9.17</t>
  </si>
  <si>
    <t>426N06</t>
  </si>
  <si>
    <t>NASADA / ZAŚLEPKA ZEWNĘTRZNA DwxHw=37,8x29,8 (poliamid)</t>
  </si>
  <si>
    <t>0.53</t>
  </si>
  <si>
    <t>426R02</t>
  </si>
  <si>
    <t>REDUKCJA 3/8"Zx1/2"W SZ-RN-03-04 (PNEUMATIG) MOSIĘŻNA</t>
  </si>
  <si>
    <t>16.01</t>
  </si>
  <si>
    <t>426Ś78</t>
  </si>
  <si>
    <t>ŚRUBUNEK prosty R3/8z 2060 3/8 (PNEUMAT) Mosiądz</t>
  </si>
  <si>
    <t>12.82</t>
  </si>
  <si>
    <t>0.28586</t>
  </si>
  <si>
    <t>404T02</t>
  </si>
  <si>
    <t>TULEJKA GWINTOWANA RYS.014408</t>
  </si>
  <si>
    <t>400P52</t>
  </si>
  <si>
    <t>PRĘT CIĄGN. D-12 ST3S 0.89KG/MB</t>
  </si>
  <si>
    <t>0.06666</t>
  </si>
  <si>
    <t>404T03</t>
  </si>
  <si>
    <t>GEPARD-1000-TULEJKA DYSTANSOWA w/g rys.022343</t>
  </si>
  <si>
    <t>0.00370</t>
  </si>
  <si>
    <t>0.02272</t>
  </si>
  <si>
    <t>404T04</t>
  </si>
  <si>
    <t>TULEJA RYS.009638</t>
  </si>
  <si>
    <t>401P00</t>
  </si>
  <si>
    <t>PRĘT CIĄGN. D-30 45 5.55KG/MB</t>
  </si>
  <si>
    <t>0.36428</t>
  </si>
  <si>
    <t>0.41000</t>
  </si>
  <si>
    <t>404T05</t>
  </si>
  <si>
    <t>KORPUS TULEI MOTOREDUKTORA w/g rys031390</t>
  </si>
  <si>
    <t>400P69</t>
  </si>
  <si>
    <t>PRĘT WALC. D-100 ST3S 61.6KG/MB</t>
  </si>
  <si>
    <t>9.24000</t>
  </si>
  <si>
    <t>404T06</t>
  </si>
  <si>
    <t>TULEJA STAŁA D160-ALAN  007960</t>
  </si>
  <si>
    <t>1.91367</t>
  </si>
  <si>
    <t>0.71521</t>
  </si>
  <si>
    <t>404T07</t>
  </si>
  <si>
    <t>TULEJA OBROTOWA D160-ALAN  007959</t>
  </si>
  <si>
    <t>1.77698</t>
  </si>
  <si>
    <t>0.95000</t>
  </si>
  <si>
    <t>404T08</t>
  </si>
  <si>
    <t>TULEJA OBROTOWA D200-ALAN  007704</t>
  </si>
  <si>
    <t>2.07914</t>
  </si>
  <si>
    <t>1.00217</t>
  </si>
  <si>
    <t>404T09</t>
  </si>
  <si>
    <t>TULEJA STAŁA D200-ALAN   007703</t>
  </si>
  <si>
    <t>2.31655</t>
  </si>
  <si>
    <t>0.80870</t>
  </si>
  <si>
    <t>404T10</t>
  </si>
  <si>
    <t>TULEJA STAŁA D150-ALAN</t>
  </si>
  <si>
    <t>1.15108</t>
  </si>
  <si>
    <t>0.70217</t>
  </si>
  <si>
    <t>404T11</t>
  </si>
  <si>
    <t>TULEJA STAŁA D200 w/g rys.022579</t>
  </si>
  <si>
    <t>0.78369</t>
  </si>
  <si>
    <t>404T12</t>
  </si>
  <si>
    <t>TULEJA OBROTOWA D200 w/g rys.022512</t>
  </si>
  <si>
    <t>0.79349</t>
  </si>
  <si>
    <t>404T13</t>
  </si>
  <si>
    <t>Tuleja stała D200-ALAN</t>
  </si>
  <si>
    <t>0.80978</t>
  </si>
  <si>
    <t>404T15</t>
  </si>
  <si>
    <t>TARCZA WLOTOWA 306/160</t>
  </si>
  <si>
    <t>60W016220-00-0200</t>
  </si>
  <si>
    <t>19.50</t>
  </si>
  <si>
    <t>404T16</t>
  </si>
  <si>
    <t>TARCZA WLOTOWA 330/160</t>
  </si>
  <si>
    <t>60W016697-00-0200</t>
  </si>
  <si>
    <t>WIRNIK ALUM.TARCZA WLOTOWA 330/160</t>
  </si>
  <si>
    <t>22.75</t>
  </si>
  <si>
    <t>404T17</t>
  </si>
  <si>
    <t>TARCZA WLOTOWA 385/200</t>
  </si>
  <si>
    <t>60W016735-00-0200</t>
  </si>
  <si>
    <t>WIRNIK ALUM.-TARCZA WLOTOWA 385/200</t>
  </si>
  <si>
    <t>29.25</t>
  </si>
  <si>
    <t>404T18</t>
  </si>
  <si>
    <t>TARCZA WLOTOWA 400/204</t>
  </si>
  <si>
    <t>60W015727-00-0200</t>
  </si>
  <si>
    <t>WP-9-E-TARCZA WLOTOWA 400/200</t>
  </si>
  <si>
    <t>39.00</t>
  </si>
  <si>
    <t>0.21086</t>
  </si>
  <si>
    <t>404T19</t>
  </si>
  <si>
    <t>TARCZA WLOTOWA 400/254</t>
  </si>
  <si>
    <t>60W015710-00-0200</t>
  </si>
  <si>
    <t>WP-10-E-TARCZA WLOTOWA 400/254</t>
  </si>
  <si>
    <t>404T20</t>
  </si>
  <si>
    <t>TARCZA WLOTOWA 418/254</t>
  </si>
  <si>
    <t>60W015715-00-0200</t>
  </si>
  <si>
    <t>WP-11-E-TARCZA WLOTOWA 418/250</t>
  </si>
  <si>
    <t>41.10</t>
  </si>
  <si>
    <t>404T21</t>
  </si>
  <si>
    <t>TARCZA WLOTOWA 470/254</t>
  </si>
  <si>
    <t>60W015772-00-0200</t>
  </si>
  <si>
    <t>WP-13-E-TARCZA WLOTOWA 470/254</t>
  </si>
  <si>
    <t>56.40</t>
  </si>
  <si>
    <t>404T22</t>
  </si>
  <si>
    <t>BIG-1000-TARCZA WLOTOWA 410/125/5L rys.018409</t>
  </si>
  <si>
    <t>60W018409-00-0200</t>
  </si>
  <si>
    <t>WAS 410/125x50/5l-TARCZA WLOTOWA 410/125/5L</t>
  </si>
  <si>
    <t>46.30</t>
  </si>
  <si>
    <t>404T23</t>
  </si>
  <si>
    <t>TARCZA WLOTOWA 347/160</t>
  </si>
  <si>
    <t>60W016703-00-0200</t>
  </si>
  <si>
    <t>WIRNIK ALUM.-TARCZA WLOTOWA 347/160</t>
  </si>
  <si>
    <t>26.00</t>
  </si>
  <si>
    <t>404T24</t>
  </si>
  <si>
    <t>TARCZA WLOTOWA 250/160</t>
  </si>
  <si>
    <t>60W016888-00-0200</t>
  </si>
  <si>
    <t>WIRNIK ALUM.TARCZA WLOTOWA 250/150</t>
  </si>
  <si>
    <t>0.43478</t>
  </si>
  <si>
    <t>404T25</t>
  </si>
  <si>
    <t>TARCZA WLOTOWA 440/250</t>
  </si>
  <si>
    <t>60W016869-00-0200</t>
  </si>
  <si>
    <t>WIRNIK ALUM.-TARCZA WLOTOWA440/250</t>
  </si>
  <si>
    <t>55.25</t>
  </si>
  <si>
    <t>0.21022</t>
  </si>
  <si>
    <t>404T26</t>
  </si>
  <si>
    <t>TARCZA WLOTOWA 400/200/7Ł</t>
  </si>
  <si>
    <t>60W026767-00-0200</t>
  </si>
  <si>
    <t>WAS 400/200x80/D24-"L"-TARCZA WLOTOWA 400/200/7Ł</t>
  </si>
  <si>
    <t>56.55</t>
  </si>
  <si>
    <t>404T27</t>
  </si>
  <si>
    <t>TARCZA WLOTOWA 425/250</t>
  </si>
  <si>
    <t>60W016520-00-0200</t>
  </si>
  <si>
    <t>35.75</t>
  </si>
  <si>
    <t>0.20978</t>
  </si>
  <si>
    <t>404T28</t>
  </si>
  <si>
    <t>TARCZA WLOTOWA 357/160</t>
  </si>
  <si>
    <t>60W016773-00-0200</t>
  </si>
  <si>
    <t>WIRNIK ALUM.TARCZA WLOTOWA 357/160</t>
  </si>
  <si>
    <t>404T29</t>
  </si>
  <si>
    <t>TARCZA WLOTOWA 395/200 rys.016777</t>
  </si>
  <si>
    <t>60W016777-00-0200</t>
  </si>
  <si>
    <t>WIRNIK ALUM.-TARCZA WLOTOWA 395/200</t>
  </si>
  <si>
    <t>404T30</t>
  </si>
  <si>
    <t>TARCZA WLOTOWA 435/250 rys.016694</t>
  </si>
  <si>
    <t>60W016694-00-0200</t>
  </si>
  <si>
    <t>WIRNIK ALUM.-TARCZA WLOTOWA 435/250</t>
  </si>
  <si>
    <t>36.40</t>
  </si>
  <si>
    <t>404T31</t>
  </si>
  <si>
    <t>TARCZA WLOTOWA 390/200 w/g rys. 016812</t>
  </si>
  <si>
    <t>60W016812-00-0200</t>
  </si>
  <si>
    <t>WIRNIK ALUM.TARCZA WLOTOWA 390/200</t>
  </si>
  <si>
    <t>404T32</t>
  </si>
  <si>
    <t>TARCZA WLOTOWA 418/250/8L-LH w/g rys. 017740</t>
  </si>
  <si>
    <t>60B017740-00-0200</t>
  </si>
  <si>
    <t>WAS-I 418/250x120/D28/8L-LH-TARCZA WLOTOWA 418/250/8L-LH</t>
  </si>
  <si>
    <t>404T33</t>
  </si>
  <si>
    <t>TARCZA WLOTOWA 365/200x85-3600/D19</t>
  </si>
  <si>
    <t>60W016719-00-0200</t>
  </si>
  <si>
    <t>WIRNIK ALUM.-TARCZA WLOTOWA 365/200</t>
  </si>
  <si>
    <t>20.80</t>
  </si>
  <si>
    <t>404T35</t>
  </si>
  <si>
    <t>TARCZA WLOTOWA WIRNIKA UFO-1-MN/HN</t>
  </si>
  <si>
    <t>60W012415-00-0200</t>
  </si>
  <si>
    <t>Wirnik UFO-1-MN/HN-Tarcza wlotowa</t>
  </si>
  <si>
    <t>37.50</t>
  </si>
  <si>
    <t>404T36</t>
  </si>
  <si>
    <t>TARCZA WLOTOWA 340/160</t>
  </si>
  <si>
    <t>60W016769-00-0200</t>
  </si>
  <si>
    <t>WIRNIK ALUM.TARCZA WLOTOWA 340/160</t>
  </si>
  <si>
    <t>20.15</t>
  </si>
  <si>
    <t>404T39</t>
  </si>
  <si>
    <t>TULEJA STAŁA MOTOREDUKTORA w/g rys.031392</t>
  </si>
  <si>
    <t>945K07</t>
  </si>
  <si>
    <t>NULL</t>
  </si>
  <si>
    <t>KORPUS TULEI w/g rys.031391</t>
  </si>
  <si>
    <t>9.15108</t>
  </si>
  <si>
    <t>1.30217</t>
  </si>
  <si>
    <t>1.41087</t>
  </si>
  <si>
    <t>9.25180</t>
  </si>
  <si>
    <t>1.39347</t>
  </si>
  <si>
    <t>1.52174</t>
  </si>
  <si>
    <t>404T42</t>
  </si>
  <si>
    <t>TULEJA w/g rys.031410</t>
  </si>
  <si>
    <t>400R14</t>
  </si>
  <si>
    <t>RURA STAL. D-273x20 S325JR</t>
  </si>
  <si>
    <t>2500.00</t>
  </si>
  <si>
    <t>404T43</t>
  </si>
  <si>
    <t>TULEJA OBROTOWA w/g rys.031378</t>
  </si>
  <si>
    <t>945K08</t>
  </si>
  <si>
    <t>KORPUS TULEI OBROTOWEJ w/g rys.031380</t>
  </si>
  <si>
    <t>460.35</t>
  </si>
  <si>
    <t>0.75326</t>
  </si>
  <si>
    <t>404T44</t>
  </si>
  <si>
    <t>TULEJA STAŁA w/g rys.031379</t>
  </si>
  <si>
    <t>945K09</t>
  </si>
  <si>
    <t>KORPUS TULEI STAŁEJ w/g rys.031411</t>
  </si>
  <si>
    <t>596.65</t>
  </si>
  <si>
    <t>0.76847</t>
  </si>
  <si>
    <t>404T45</t>
  </si>
  <si>
    <t>TULEJA WIĘKSZA w/g rys.031412</t>
  </si>
  <si>
    <t>404T46</t>
  </si>
  <si>
    <t>TULEJA MNIEJSZA w/g rys.031413</t>
  </si>
  <si>
    <t>RURA STAL. D-244.5x12,5 S235JR</t>
  </si>
  <si>
    <t>0.07481</t>
  </si>
  <si>
    <t>404T51</t>
  </si>
  <si>
    <t>TULEJA ŁOŻYSKOWA rys.003362</t>
  </si>
  <si>
    <t>400R66</t>
  </si>
  <si>
    <t>RURA STAL. D-42.4X5.6 R-35</t>
  </si>
  <si>
    <t>47.40</t>
  </si>
  <si>
    <t>0.45138</t>
  </si>
  <si>
    <t>0.20454</t>
  </si>
  <si>
    <t>404T52</t>
  </si>
  <si>
    <t>TULEJA OPOROWA rys.001156 poz.2</t>
  </si>
  <si>
    <t>0.15714</t>
  </si>
  <si>
    <t>404T53</t>
  </si>
  <si>
    <t>TULEJKA DYSTANSOWA rys.001156 poz.3</t>
  </si>
  <si>
    <t>0.03571</t>
  </si>
  <si>
    <t>0.05434</t>
  </si>
  <si>
    <t>404T54</t>
  </si>
  <si>
    <t>TULEJA DYSTANSOWA ELEKTROMAGNESU w/g rys.017684</t>
  </si>
  <si>
    <t>434R24</t>
  </si>
  <si>
    <t>RURA PCV D-73x długość 3000 mm kolor BIAŁY</t>
  </si>
  <si>
    <t>157.50</t>
  </si>
  <si>
    <t>0.01587</t>
  </si>
  <si>
    <t>0.08043</t>
  </si>
  <si>
    <t>404T60</t>
  </si>
  <si>
    <t>TULEJA WEWNĘTRZNA w/g rys.024908</t>
  </si>
  <si>
    <t>432W16</t>
  </si>
  <si>
    <t>WAŁEK TARNAM. D-50 2.35KG/MB</t>
  </si>
  <si>
    <t>0.13333</t>
  </si>
  <si>
    <t>0.33369</t>
  </si>
  <si>
    <t>404T61</t>
  </si>
  <si>
    <t>TULEJA ZEWNĘTRZNA w/g rys.024888</t>
  </si>
  <si>
    <t>0.39456</t>
  </si>
  <si>
    <t>404T62</t>
  </si>
  <si>
    <t>TULEJKA D37 RYS.011038</t>
  </si>
  <si>
    <t>400R91</t>
  </si>
  <si>
    <t>RURA STAL D-51X8 R-35 8,49KG/MB</t>
  </si>
  <si>
    <t>0.04333</t>
  </si>
  <si>
    <t>0.15543</t>
  </si>
  <si>
    <t>404T63</t>
  </si>
  <si>
    <t>TULEJA STAŁA D175 ODLEW AK11 RYS.011036</t>
  </si>
  <si>
    <t>3.74820</t>
  </si>
  <si>
    <t>MAL002</t>
  </si>
  <si>
    <t>MALOWANIE GŁOWICY ERGO</t>
  </si>
  <si>
    <t>0.55</t>
  </si>
  <si>
    <t>5.18181</t>
  </si>
  <si>
    <t>0.63478</t>
  </si>
  <si>
    <t>404T64</t>
  </si>
  <si>
    <t>PŁASZCZ TULEI - "L" obrobiony</t>
  </si>
  <si>
    <t>945T02</t>
  </si>
  <si>
    <t>PŁASZCZ TULEI - "L"</t>
  </si>
  <si>
    <t>0.00</t>
  </si>
  <si>
    <t>400R27</t>
  </si>
  <si>
    <t>RURA STAL. D-16x4,0 E235+N</t>
  </si>
  <si>
    <t>23.60</t>
  </si>
  <si>
    <t>0.01500</t>
  </si>
  <si>
    <t>0.06521</t>
  </si>
  <si>
    <t>400R96</t>
  </si>
  <si>
    <t>RURA STAL. D-12X1,8 R-35</t>
  </si>
  <si>
    <t>18.90</t>
  </si>
  <si>
    <t>0.02381</t>
  </si>
  <si>
    <t>0.04565</t>
  </si>
  <si>
    <t>404T67</t>
  </si>
  <si>
    <t>TULEJKA L=16mm w/g rys.017592p20</t>
  </si>
  <si>
    <t>0.01851</t>
  </si>
  <si>
    <t>404T68</t>
  </si>
  <si>
    <t>TULEJKA L=7,5mm w/g rys.017592p21</t>
  </si>
  <si>
    <t>0.01322</t>
  </si>
  <si>
    <t>401P23</t>
  </si>
  <si>
    <t>PRĘT CIĄGN. D-18 45 2.00KG/MB</t>
  </si>
  <si>
    <t>0.04285</t>
  </si>
  <si>
    <t>432W15</t>
  </si>
  <si>
    <t>WAŁEK TARNAM. D-22 0.48KG/MB</t>
  </si>
  <si>
    <t>0.00638</t>
  </si>
  <si>
    <t>0.05326</t>
  </si>
  <si>
    <t>404T71</t>
  </si>
  <si>
    <t>TULEJKA  rys.008358</t>
  </si>
  <si>
    <t>400R59</t>
  </si>
  <si>
    <t>RURA STAL. D-60X2 R-35</t>
  </si>
  <si>
    <t>48.00</t>
  </si>
  <si>
    <t>404W02</t>
  </si>
  <si>
    <t>WIRNIK ALUMINIOWY D336 EGO-2</t>
  </si>
  <si>
    <t>0.00494</t>
  </si>
  <si>
    <t>2.88571</t>
  </si>
  <si>
    <t>404W03</t>
  </si>
  <si>
    <t>WIRNIK ALUMINIOWY D365 EGO-4 D=365/D=24 w/g rys.013566</t>
  </si>
  <si>
    <t>0.00547</t>
  </si>
  <si>
    <t>3.61571</t>
  </si>
  <si>
    <t>404W04</t>
  </si>
  <si>
    <t>WIRNIK AL. ODLEWANY D336 w/g rys.026816</t>
  </si>
  <si>
    <t>0.00490</t>
  </si>
  <si>
    <t>2.88076</t>
  </si>
  <si>
    <t>404W05</t>
  </si>
  <si>
    <t>WIRNIK AL. ODLEWANY D365 w/g rys.026815</t>
  </si>
  <si>
    <t>0.00541</t>
  </si>
  <si>
    <t>3.58076</t>
  </si>
  <si>
    <t>400P75</t>
  </si>
  <si>
    <t>PRĘT SZEŚC. S-10 ST3S 0.68KG/MB</t>
  </si>
  <si>
    <t>0.01786</t>
  </si>
  <si>
    <t>404W95</t>
  </si>
  <si>
    <t>WAŁEK NAPĘDOWY BĘBNA D42H7/|D40H7 w/g rys.031434</t>
  </si>
  <si>
    <t>4.85849</t>
  </si>
  <si>
    <t>0.76087</t>
  </si>
  <si>
    <t>404W96</t>
  </si>
  <si>
    <t>WAŁEK WYŁĄCZNIKÓW D42H7/TR36x6 w/g rys.031438</t>
  </si>
  <si>
    <t>3.86792</t>
  </si>
  <si>
    <t>0.65217</t>
  </si>
  <si>
    <t>404Z02</t>
  </si>
  <si>
    <t>ZABIERAK SPRĘŻYNY-ALAN  007939</t>
  </si>
  <si>
    <t>0.67626</t>
  </si>
  <si>
    <t>0.61304</t>
  </si>
  <si>
    <t>404Z03</t>
  </si>
  <si>
    <t>ZABIERAK SPRĘZYNY-ALAN  010390</t>
  </si>
  <si>
    <t>0.66906</t>
  </si>
  <si>
    <t>1.57173</t>
  </si>
  <si>
    <t>404Z05</t>
  </si>
  <si>
    <t>ZACZEP w/g rys.009386</t>
  </si>
  <si>
    <t>61F008891-00-0200</t>
  </si>
  <si>
    <t>UFO-4-M-1 WSPORNIK</t>
  </si>
  <si>
    <t>0.90</t>
  </si>
  <si>
    <t>0.04347</t>
  </si>
  <si>
    <t>404Z06</t>
  </si>
  <si>
    <t>ZABIERAK SPRĘŻYN SPIRALNYCH w/g rys.022294</t>
  </si>
  <si>
    <t>1.07914</t>
  </si>
  <si>
    <t>0.92174</t>
  </si>
  <si>
    <t>404Z07</t>
  </si>
  <si>
    <t>ZESTAW PCV SSAWY FAJKOWEJ w/g rys.017567;017568</t>
  </si>
  <si>
    <t>434K10</t>
  </si>
  <si>
    <t>KOLANO PCV 90-160 -KANAŁOWE</t>
  </si>
  <si>
    <t>15.52</t>
  </si>
  <si>
    <t>434R06</t>
  </si>
  <si>
    <t>RURA PCV D-160X500/3,2 POMARAŃCZOWA KANAŁOWA</t>
  </si>
  <si>
    <t>15.74</t>
  </si>
  <si>
    <t>0.02182</t>
  </si>
  <si>
    <t>0.42000</t>
  </si>
  <si>
    <t>404Z08</t>
  </si>
  <si>
    <t>ZESTAW ELEKTROMAGNESU w/g rys.017686</t>
  </si>
  <si>
    <t>420W38</t>
  </si>
  <si>
    <t>WKRĘT 3X16 BLACHOWKRĘT</t>
  </si>
  <si>
    <t>21.50</t>
  </si>
  <si>
    <t>TYS</t>
  </si>
  <si>
    <t>0.00200</t>
  </si>
  <si>
    <t>421W24</t>
  </si>
  <si>
    <t>WKRĘT M4X16 STOŻK.</t>
  </si>
  <si>
    <t>30.65</t>
  </si>
  <si>
    <t>425P02</t>
  </si>
  <si>
    <t>PRĘT GWINTOWANY M8X1000</t>
  </si>
  <si>
    <t>2.88</t>
  </si>
  <si>
    <t>0.01062</t>
  </si>
  <si>
    <t>0.00430</t>
  </si>
  <si>
    <t>0.00517</t>
  </si>
  <si>
    <t>904O52-001</t>
  </si>
  <si>
    <t>ELEMENTY ELEKTRYCZNE DO ELEKTROMAGNESU</t>
  </si>
  <si>
    <t>48.55</t>
  </si>
  <si>
    <t>904O52-213</t>
  </si>
  <si>
    <t>904O52-214</t>
  </si>
  <si>
    <t>MOCOWANIE ELEKTROMAGNESU w/g rys.017685</t>
  </si>
  <si>
    <t>35.80</t>
  </si>
  <si>
    <t>904O52-290</t>
  </si>
  <si>
    <t>804o52-290</t>
  </si>
  <si>
    <t>OPRAWA Z ELEKTROMAGNESEM w/g rys.017682</t>
  </si>
  <si>
    <t>169.16</t>
  </si>
  <si>
    <t>0.18043</t>
  </si>
  <si>
    <t>404Z09</t>
  </si>
  <si>
    <t>ZWORA KOMPLETNA w/g rys.009474</t>
  </si>
  <si>
    <t>420N22</t>
  </si>
  <si>
    <t>NAKRĘTKA M5</t>
  </si>
  <si>
    <t>9.60</t>
  </si>
  <si>
    <t>0.00410</t>
  </si>
  <si>
    <t>420N25</t>
  </si>
  <si>
    <t>NAKRĘTKA M5 SAMOHAMOW.</t>
  </si>
  <si>
    <t>22.00</t>
  </si>
  <si>
    <t>0.00160</t>
  </si>
  <si>
    <t>420P53</t>
  </si>
  <si>
    <t>PODKŁADKA PŁASKA D-5</t>
  </si>
  <si>
    <t>10.00</t>
  </si>
  <si>
    <t>0.00133</t>
  </si>
  <si>
    <t>420W94</t>
  </si>
  <si>
    <t>WKRĘT M5X16 STOŻ. DIN 965/KG/</t>
  </si>
  <si>
    <t>16.50</t>
  </si>
  <si>
    <t>0.01300</t>
  </si>
  <si>
    <t>432O02</t>
  </si>
  <si>
    <t>OBUDOWA ZWORY SSAK w/g rys..009477</t>
  </si>
  <si>
    <t>0.00545</t>
  </si>
  <si>
    <t>904O52-241</t>
  </si>
  <si>
    <t>804O52-241</t>
  </si>
  <si>
    <t>ZWORA ELEKTROMAGNESU w/g rys.007032</t>
  </si>
  <si>
    <t>27.30</t>
  </si>
  <si>
    <t>404Z10</t>
  </si>
  <si>
    <t>ZESPÓŁ TARCZY NAWOJOWEJ D=264</t>
  </si>
  <si>
    <t>421N06</t>
  </si>
  <si>
    <t>NIT ZRYW. SF 5X12</t>
  </si>
  <si>
    <t>11.42</t>
  </si>
  <si>
    <t>0.00689</t>
  </si>
  <si>
    <t>68D001163-01-0200</t>
  </si>
  <si>
    <t>OBP/OBS TARCZA NAWOJOWA ZEWNĘTRZNA D=264</t>
  </si>
  <si>
    <t>68D001163-03-0200</t>
  </si>
  <si>
    <t>OBP/OBS TARCZA NAWOJOWA WEWNĘTRZNA D=216</t>
  </si>
  <si>
    <t>68D001163-04-0200</t>
  </si>
  <si>
    <t>OBP/OBS TARCZA NAWOJOWA PRZEKŁADKA D=214</t>
  </si>
  <si>
    <t>4.75</t>
  </si>
  <si>
    <t>0.80435</t>
  </si>
  <si>
    <t>404Z11</t>
  </si>
  <si>
    <t>ZESPÓŁ TARCZY NAWOJOWEJ D=324</t>
  </si>
  <si>
    <t>421N15</t>
  </si>
  <si>
    <t>NIT ZRYW. SF 5X16</t>
  </si>
  <si>
    <t>23.38</t>
  </si>
  <si>
    <t>68D005020-01-0200</t>
  </si>
  <si>
    <t>BALANSER M;OBP/OBS TARCZA ZEWN. D324</t>
  </si>
  <si>
    <t>25.85</t>
  </si>
  <si>
    <t>68D005021-01-0200</t>
  </si>
  <si>
    <t>BALANSER M;OBP/OBS TARCZA WEWN. D266</t>
  </si>
  <si>
    <t>10.70</t>
  </si>
  <si>
    <t>68D005021-05-0200</t>
  </si>
  <si>
    <t>OBP/OBS TARCZE NAWOJ. PRZEKŁADKA D264</t>
  </si>
  <si>
    <t>1.85</t>
  </si>
  <si>
    <t>404Z12</t>
  </si>
  <si>
    <t>ZESPÓŁ TARCZY NAWOJOWEJ D=304</t>
  </si>
  <si>
    <t>68D005020-03-0200</t>
  </si>
  <si>
    <t>OBP/OBS TARCZE NAWOJ.TARCZA ZEWN. D304</t>
  </si>
  <si>
    <t>22.80</t>
  </si>
  <si>
    <t>68D005021-03-0200</t>
  </si>
  <si>
    <t>OBP/OBS TARCZE NAWOJ.TARCZA WEWN.D246</t>
  </si>
  <si>
    <t>14.60</t>
  </si>
  <si>
    <t>68D005021-06-0200</t>
  </si>
  <si>
    <t>OBP/OBS TARCZE NAWOJ. PODKLADKA D244</t>
  </si>
  <si>
    <t>0.15434</t>
  </si>
  <si>
    <t>404Z14</t>
  </si>
  <si>
    <t>ZESPÓŁ TARCZY NAWOJOWEJ D=284</t>
  </si>
  <si>
    <t>0.00635</t>
  </si>
  <si>
    <t>68D003368-01-0200</t>
  </si>
  <si>
    <t>SSAK-06;OBP/OBS TARCZA ZEWNĘTRZNA D284</t>
  </si>
  <si>
    <t>19.75</t>
  </si>
  <si>
    <t>68D003368-02-0200</t>
  </si>
  <si>
    <t>SSAK-06;OBP/OBS TARCZA WEWN.D236</t>
  </si>
  <si>
    <t>68D003368-03-0200</t>
  </si>
  <si>
    <t>OBP/OBS TARCZE NAWOJ. PODKŁADKA D234</t>
  </si>
  <si>
    <t>405W10</t>
  </si>
  <si>
    <t>WENTYLATOR STURDY-160</t>
  </si>
  <si>
    <t>410S09</t>
  </si>
  <si>
    <t>0.75/240/2800 SEMKh 80-2B B5 NAK-M6,IM3011 D=19</t>
  </si>
  <si>
    <t>364.00</t>
  </si>
  <si>
    <t>421Ś11</t>
  </si>
  <si>
    <t>ŚRUBA M10X35 KL.8.8/105</t>
  </si>
  <si>
    <t>0.11600</t>
  </si>
  <si>
    <t>421Ś76</t>
  </si>
  <si>
    <t>ŚRUBA M6X45 KL.8.8/105</t>
  </si>
  <si>
    <t>15.20</t>
  </si>
  <si>
    <t>sto</t>
  </si>
  <si>
    <t>0.04200</t>
  </si>
  <si>
    <t>0.03900</t>
  </si>
  <si>
    <t>426P58</t>
  </si>
  <si>
    <t>PODKŁADKA SPRĘŻ. D-10</t>
  </si>
  <si>
    <t>12.60</t>
  </si>
  <si>
    <t>426Ś07</t>
  </si>
  <si>
    <t>ŚRUBA M6X25 KL.8.8/105</t>
  </si>
  <si>
    <t>0.11339</t>
  </si>
  <si>
    <t>431S02</t>
  </si>
  <si>
    <t>SILIKON BEZBARWNY 310ML</t>
  </si>
  <si>
    <t>0.22865</t>
  </si>
  <si>
    <t>60B001906-01-0200</t>
  </si>
  <si>
    <t>WDN-250,315 WP-9-D ZABEZP.WIR.D19/M6</t>
  </si>
  <si>
    <t>60B001906-02-0200</t>
  </si>
  <si>
    <t>904W10-100</t>
  </si>
  <si>
    <t>STURDY-160-KORPUS-Część wlotowa</t>
  </si>
  <si>
    <t>115.00</t>
  </si>
  <si>
    <t>904W10-200</t>
  </si>
  <si>
    <t>STURDY-160-KORPUS-Część silnikowa</t>
  </si>
  <si>
    <t>127.00</t>
  </si>
  <si>
    <t>904W10-300</t>
  </si>
  <si>
    <t>STURDY-160-WIRNIK</t>
  </si>
  <si>
    <t>114.00</t>
  </si>
  <si>
    <t>MAL001</t>
  </si>
  <si>
    <t>MALOWANIE</t>
  </si>
  <si>
    <t>0.46</t>
  </si>
  <si>
    <t>57.39130</t>
  </si>
  <si>
    <t>2.17391</t>
  </si>
  <si>
    <t>405W11</t>
  </si>
  <si>
    <t>WENTYLATOR STURDY-200</t>
  </si>
  <si>
    <t>409S34</t>
  </si>
  <si>
    <t>1.5/1X230/50/3000/80/B35/IP54 NAKIEŁEK GWINTOWANY (kołnierz. łapa)</t>
  </si>
  <si>
    <t>680.00</t>
  </si>
  <si>
    <t>410S92</t>
  </si>
  <si>
    <t>1.5/230/2740 SEKh 80-2C/G 50Hz-NAK-M6;IM3011</t>
  </si>
  <si>
    <t>384.00</t>
  </si>
  <si>
    <t>0.00000</t>
  </si>
  <si>
    <t>0.00925</t>
  </si>
  <si>
    <t>421Ś72</t>
  </si>
  <si>
    <t>ŚRUBA M12X35 KL.8.8/105</t>
  </si>
  <si>
    <t>10.20</t>
  </si>
  <si>
    <t>426N30</t>
  </si>
  <si>
    <t>NAKRĘTKA M12</t>
  </si>
  <si>
    <t>426P12</t>
  </si>
  <si>
    <t>PODKŁADKA SPRĘŻ. D-12</t>
  </si>
  <si>
    <t>0.01400</t>
  </si>
  <si>
    <t>0.04100</t>
  </si>
  <si>
    <t>0.12025</t>
  </si>
  <si>
    <t>SILIKON BEZBARWNY NEUTRALNY 310ML</t>
  </si>
  <si>
    <t>0.17083</t>
  </si>
  <si>
    <t>904W11-100</t>
  </si>
  <si>
    <t>STURDY-200-KORPUS-Część wlotowa</t>
  </si>
  <si>
    <t>165.00</t>
  </si>
  <si>
    <t>904W11-200</t>
  </si>
  <si>
    <t>STURDY-200-KORPUS-Część silnikowa</t>
  </si>
  <si>
    <t>188.00</t>
  </si>
  <si>
    <t>904W11-300</t>
  </si>
  <si>
    <t>STURDY-200-WIRNIK</t>
  </si>
  <si>
    <t>138.00</t>
  </si>
  <si>
    <t>85.86956</t>
  </si>
  <si>
    <t>2.66304</t>
  </si>
  <si>
    <t>405W12</t>
  </si>
  <si>
    <t>WENTYLATOR STURDY-200 SILNIK 3X400</t>
  </si>
  <si>
    <t>417S53</t>
  </si>
  <si>
    <t>1.5/400/3000 TYPE FCA 80C 2/PHE IE3AC08C2006 STARA WERSJA</t>
  </si>
  <si>
    <t>349.34</t>
  </si>
  <si>
    <t>410P30</t>
  </si>
  <si>
    <t>PIERŚCIEŃ CENTRUJĄCY  rys.003007a</t>
  </si>
  <si>
    <t>66A003007-00a0200</t>
  </si>
  <si>
    <t>ERGO -Pierścień centrujący</t>
  </si>
  <si>
    <t>0.80</t>
  </si>
  <si>
    <t>0.02826</t>
  </si>
  <si>
    <t>410P31</t>
  </si>
  <si>
    <t>ELEMENTY PRZEPUSTNICY L/D</t>
  </si>
  <si>
    <t>910R74-700</t>
  </si>
  <si>
    <t>CZOP "A" i "B" w/g rys.008573 alumin.</t>
  </si>
  <si>
    <t>14.30</t>
  </si>
  <si>
    <t>910R77-411</t>
  </si>
  <si>
    <t>PODKŁADKA PŁASKA POLIAMID D20/D10,2x2</t>
  </si>
  <si>
    <t>2.73</t>
  </si>
  <si>
    <t>0.01666</t>
  </si>
  <si>
    <t>410P32</t>
  </si>
  <si>
    <t>ELEMENTY PRZEPUSTNICY M/K</t>
  </si>
  <si>
    <t>410P33</t>
  </si>
  <si>
    <t>ELEMENTY PRZEPUSTNICY ERGO EX</t>
  </si>
  <si>
    <t>914R23-910</t>
  </si>
  <si>
    <t>453W07</t>
  </si>
  <si>
    <t>WKŁADKA ŁOŻYSKOWA I  RYS.012403  NIERDZ./Ex</t>
  </si>
  <si>
    <t>19.55</t>
  </si>
  <si>
    <t>914R23-920</t>
  </si>
  <si>
    <t>453W08</t>
  </si>
  <si>
    <t>WKŁADKA ŁOŻYSKOWA II RYS.012404  NIERDZ./Ex</t>
  </si>
  <si>
    <t>4.35</t>
  </si>
  <si>
    <t>914R23-930</t>
  </si>
  <si>
    <t>453C10</t>
  </si>
  <si>
    <t>CZOP I  RYS.012405 NIERDZ/Ex</t>
  </si>
  <si>
    <t>17.15</t>
  </si>
  <si>
    <t>914R23-940</t>
  </si>
  <si>
    <t>453C11</t>
  </si>
  <si>
    <t>CZOP II RYS.012406 NIERDZ/Ex</t>
  </si>
  <si>
    <t>12.45</t>
  </si>
  <si>
    <t>410P34</t>
  </si>
  <si>
    <t>PIERŚCIEŃ CENTRUJĄCY w/g rys.003007b</t>
  </si>
  <si>
    <t>0.03043</t>
  </si>
  <si>
    <t>410T10</t>
  </si>
  <si>
    <t>TULEJKA DYSTANSOWA D=70 rys.009483</t>
  </si>
  <si>
    <t>432W07</t>
  </si>
  <si>
    <t>WAŁEK TARNAM. D-70 4.75KG/MB</t>
  </si>
  <si>
    <t>0.10922</t>
  </si>
  <si>
    <t>0.02727</t>
  </si>
  <si>
    <t>410T11</t>
  </si>
  <si>
    <t>TULEJKA DYSTANSOWA D=100 rys.009484</t>
  </si>
  <si>
    <t>432W08</t>
  </si>
  <si>
    <t>WAŁEK TARNAM. D-100 9.75KG/MB</t>
  </si>
  <si>
    <t>0.19503</t>
  </si>
  <si>
    <t>410T12</t>
  </si>
  <si>
    <t>WKŁADKA D=100x10  rys.010127</t>
  </si>
  <si>
    <t>0.12695</t>
  </si>
  <si>
    <t>410T13</t>
  </si>
  <si>
    <t>WKŁADKA D=70x10   rys.006155</t>
  </si>
  <si>
    <t>0.06241</t>
  </si>
  <si>
    <t>410T14</t>
  </si>
  <si>
    <t>WKŁADKA D=100x8  rys.006154</t>
  </si>
  <si>
    <t>0.10780</t>
  </si>
  <si>
    <t>0.15870</t>
  </si>
  <si>
    <t>410T15</t>
  </si>
  <si>
    <t>TULEJKA DYSTANSOWA D12/D8,1x4 w/g rys.004049p1</t>
  </si>
  <si>
    <t>0.03696</t>
  </si>
  <si>
    <t>410T16</t>
  </si>
  <si>
    <t>TULEJKA DYSTANSOWA D12/D8,1x5,5 w/g rys/004049p2</t>
  </si>
  <si>
    <t>0.03695</t>
  </si>
  <si>
    <t>410T17</t>
  </si>
  <si>
    <t>TULEJKA DYSTANSOWA D12/D8,1x7,5 w/g rys/004049p3</t>
  </si>
  <si>
    <t>0.00330</t>
  </si>
  <si>
    <t>410T18</t>
  </si>
  <si>
    <t>TULEJKA DYSTANSOWA D12/D8x11,5 w/g rys.004049p.5</t>
  </si>
  <si>
    <t>410T19</t>
  </si>
  <si>
    <t>TULEJKA DYSTANSOWA D12/D8x12,5 w/g rys.004049p6</t>
  </si>
  <si>
    <t>410T20</t>
  </si>
  <si>
    <t>TULEJKI DYSTANSOWE D12/D8 rys.004049 L=31mm</t>
  </si>
  <si>
    <t>0.01017</t>
  </si>
  <si>
    <t>0.06087</t>
  </si>
  <si>
    <t>410T21</t>
  </si>
  <si>
    <t>TULEJKI DYSTANSOWE D12/d9xL WYKON.1:4  R.012463 NIERDZ/Ex</t>
  </si>
  <si>
    <t>402R18</t>
  </si>
  <si>
    <t>RURA NIER. D-12X1.5 H18N10</t>
  </si>
  <si>
    <t>15.50</t>
  </si>
  <si>
    <t>0.11232</t>
  </si>
  <si>
    <t>0.33000</t>
  </si>
  <si>
    <t>410T22</t>
  </si>
  <si>
    <t>TULEJKA DYSTANSOWA D12/D9x4 w/g rys.016463p1 NIERDZEWNA</t>
  </si>
  <si>
    <t>0.01290</t>
  </si>
  <si>
    <t>410T23</t>
  </si>
  <si>
    <t>TULEJKA DYSTANSOWA D12/D9x5,5 w/g rys.012463p2 NIERDZEWNA</t>
  </si>
  <si>
    <t>0.01600</t>
  </si>
  <si>
    <t>410T24</t>
  </si>
  <si>
    <t>TULEJKA DYSTANSOWA D12/D9x11,5 w/g rys.012463p3 NIERDZEWNA</t>
  </si>
  <si>
    <t>0.01936</t>
  </si>
  <si>
    <t>410T25</t>
  </si>
  <si>
    <t>TULEJKA DYSTANSOWA D12/D9x12,5 w/g rys.012463p4 NIERDZEWNA</t>
  </si>
  <si>
    <t>0.02258</t>
  </si>
  <si>
    <t>0.05102</t>
  </si>
  <si>
    <t>411W01</t>
  </si>
  <si>
    <t>RAMIĘ ODCIĄGOWE ERGO-L;D-[2;3;4]R - WKŁAD ALUMINIOWY wg rys. 009307</t>
  </si>
  <si>
    <t>432P10</t>
  </si>
  <si>
    <t>WKŁADKA CIERNA D=100 rys.003005a</t>
  </si>
  <si>
    <t>PŁYTA REZOTEX | 2.0MM</t>
  </si>
  <si>
    <t>0.04419</t>
  </si>
  <si>
    <t>0.05652</t>
  </si>
  <si>
    <t>432P11</t>
  </si>
  <si>
    <t>WKŁADKA CIERNA D=70 rys.003005a</t>
  </si>
  <si>
    <t>0.02827</t>
  </si>
  <si>
    <t>0.05543</t>
  </si>
  <si>
    <t>432P17</t>
  </si>
  <si>
    <t>WKŁADKA CERNA D20/D8,2x1,0 w/g rys.018936</t>
  </si>
  <si>
    <t>0.00052</t>
  </si>
  <si>
    <t>0.02065</t>
  </si>
  <si>
    <t>432P18</t>
  </si>
  <si>
    <t>PODKŁADKA PRZEGUBU rys009298</t>
  </si>
  <si>
    <t>0.00771</t>
  </si>
  <si>
    <t>0.07065</t>
  </si>
  <si>
    <t>432P37</t>
  </si>
  <si>
    <t>WET-4000-N Pokrywa komory czujników 2 wg rys 024970</t>
  </si>
  <si>
    <t>432P40</t>
  </si>
  <si>
    <t>POLIWĘGLAN PRZEZROCZYSTY (ARKUSZ LITY 6X1100x700)</t>
  </si>
  <si>
    <t>215.25</t>
  </si>
  <si>
    <t>432P38</t>
  </si>
  <si>
    <t>PODKŁADKA PRZEGUBU rys009299</t>
  </si>
  <si>
    <t>0.01011</t>
  </si>
  <si>
    <t>0.07386</t>
  </si>
  <si>
    <t>432P39</t>
  </si>
  <si>
    <t>WET-4000-N Wizjer wg rys.027301</t>
  </si>
  <si>
    <t>0.08300</t>
  </si>
  <si>
    <t>0.02200</t>
  </si>
  <si>
    <t>0.03077</t>
  </si>
  <si>
    <t>432W11</t>
  </si>
  <si>
    <t>WAŁEK TARNAM. D-16 0.26KG/MB</t>
  </si>
  <si>
    <t>0.00496</t>
  </si>
  <si>
    <t>432P43</t>
  </si>
  <si>
    <t>WKŁADKA CIERNA D20/D11x1,0 w/g rys.019657</t>
  </si>
  <si>
    <t>0.00153</t>
  </si>
  <si>
    <t>434R26</t>
  </si>
  <si>
    <t>RURA D175 RYS.011037</t>
  </si>
  <si>
    <t>400R46</t>
  </si>
  <si>
    <t>RURA STAL. D-177.8X10 R-35</t>
  </si>
  <si>
    <t>550.00</t>
  </si>
  <si>
    <t>0.52386</t>
  </si>
  <si>
    <t>434R28</t>
  </si>
  <si>
    <t>RURA D=10</t>
  </si>
  <si>
    <t>401R09</t>
  </si>
  <si>
    <t>RURA STAL. D10X1 GAT.S235</t>
  </si>
  <si>
    <t>mb</t>
  </si>
  <si>
    <t>0.06661</t>
  </si>
  <si>
    <t>0.04130</t>
  </si>
  <si>
    <t>441N07</t>
  </si>
  <si>
    <t>NYPEL 3/4"</t>
  </si>
  <si>
    <t>426N04</t>
  </si>
  <si>
    <t>NYPEL OC. 3/4"</t>
  </si>
  <si>
    <t>2.86</t>
  </si>
  <si>
    <t>443K28</t>
  </si>
  <si>
    <t>KRÓCIEC PRZYŁĄCZENIOWY w/g rys.013420</t>
  </si>
  <si>
    <t>1.47031</t>
  </si>
  <si>
    <t>443K31</t>
  </si>
  <si>
    <t>KRÓCIEC SPUSTOWY WANNY w/g rys.024688</t>
  </si>
  <si>
    <t>0.07518</t>
  </si>
  <si>
    <t>445C01</t>
  </si>
  <si>
    <t>CZOP ROLKI DOLNEJ w/g rys.022011</t>
  </si>
  <si>
    <t>0.04692</t>
  </si>
  <si>
    <t>0.18000</t>
  </si>
  <si>
    <t>445K40</t>
  </si>
  <si>
    <t>UFO-4000-FL - KOREK OC. GZ1,5" wg rys. 029830</t>
  </si>
  <si>
    <t>426K39</t>
  </si>
  <si>
    <t>KOREK 1,5" RECTUS</t>
  </si>
  <si>
    <t>0.05042</t>
  </si>
  <si>
    <t>445P03</t>
  </si>
  <si>
    <t>PROFIL RAMIENIA "II" L=800 Z PŁYTKAMI PRZEGUBU Rys.012831/1</t>
  </si>
  <si>
    <t>0.74160</t>
  </si>
  <si>
    <t>0.02050</t>
  </si>
  <si>
    <t>0.02687</t>
  </si>
  <si>
    <t>1.57826</t>
  </si>
  <si>
    <t>445P04</t>
  </si>
  <si>
    <t>PROFIL RAMIENIA "I" L=400 Z PŁYTKAMI PRZEGUBU Rys.012829/1</t>
  </si>
  <si>
    <t>0.20270</t>
  </si>
  <si>
    <t>0.00577</t>
  </si>
  <si>
    <t>445P06</t>
  </si>
  <si>
    <t>PROFIL RAMIENIA "II" L=1420 z płyt.przeg.012831/2</t>
  </si>
  <si>
    <t>1.33537</t>
  </si>
  <si>
    <t>0.00080</t>
  </si>
  <si>
    <t>0.80000</t>
  </si>
  <si>
    <t>445P07</t>
  </si>
  <si>
    <t>PROFIL RAMIENIA "I" L=640 z płytk. przeg. Rys.012829/2</t>
  </si>
  <si>
    <t>0.38759</t>
  </si>
  <si>
    <t>7.50</t>
  </si>
  <si>
    <t>445P08</t>
  </si>
  <si>
    <t>PROFIL RAMIENIA "II" L=1800 z płyt.przeg.012831/3</t>
  </si>
  <si>
    <t>1.68018</t>
  </si>
  <si>
    <t>0.02388</t>
  </si>
  <si>
    <t>1.70869</t>
  </si>
  <si>
    <t>445P09</t>
  </si>
  <si>
    <t>PROFIL RAMIENIA "I" L=870 z płytk.przeg. 012829/3</t>
  </si>
  <si>
    <t>0.44080</t>
  </si>
  <si>
    <t>445P11</t>
  </si>
  <si>
    <t>PROFIL RAMIENIA II L=1420 Z PŁYTK.PRZEG.w/g rys.012843/3</t>
  </si>
  <si>
    <t>1.31518</t>
  </si>
  <si>
    <t>0.02150</t>
  </si>
  <si>
    <t>0.00690</t>
  </si>
  <si>
    <t>445P12</t>
  </si>
  <si>
    <t>PROFIL RAMIENIA "I" L=640 z PŁYTK.PRZEG.w/g rys.012844/3</t>
  </si>
  <si>
    <t>0.32818</t>
  </si>
  <si>
    <t>0.78260</t>
  </si>
  <si>
    <t>445P19</t>
  </si>
  <si>
    <t>PROFIL RAMIENIA I L=285 wyk.spcjalne USA</t>
  </si>
  <si>
    <t>0.14800</t>
  </si>
  <si>
    <t>445P21</t>
  </si>
  <si>
    <t>PROFIL RAMIANIA I w/g rys.018935 poz.1</t>
  </si>
  <si>
    <t>0.23870</t>
  </si>
  <si>
    <t>425N08</t>
  </si>
  <si>
    <t>NITONAKR. SFM 6X45 (23M06C02)</t>
  </si>
  <si>
    <t>0.02668</t>
  </si>
  <si>
    <t>0.00769</t>
  </si>
  <si>
    <t>66A018940-00-0200</t>
  </si>
  <si>
    <t>ERGO-L/N-3-UCHWYT RURY D175</t>
  </si>
  <si>
    <t>2.15</t>
  </si>
  <si>
    <t>66A018999-01-0200</t>
  </si>
  <si>
    <t>ERGO-L/N-3-PŁYTKA PRZEGUBU D70/PRAWA</t>
  </si>
  <si>
    <t>6.39</t>
  </si>
  <si>
    <t>66A018999-02-0200</t>
  </si>
  <si>
    <t>ERGO-L/N-3-PŁYTKA PRZEGUBU D70/LEWA</t>
  </si>
  <si>
    <t>66A019002-00-0200</t>
  </si>
  <si>
    <t>ERGO-L/N-3-WKŁADKA I</t>
  </si>
  <si>
    <t>2.25</t>
  </si>
  <si>
    <t>0.35909</t>
  </si>
  <si>
    <t>445P22</t>
  </si>
  <si>
    <t>PROFILL RAMIANIA II w/g rys.018954 poz.1</t>
  </si>
  <si>
    <t>0.44500</t>
  </si>
  <si>
    <t>66A018937-00-0200</t>
  </si>
  <si>
    <t>ERGO-L/N-PŁYTKA PRZEGUBU D100</t>
  </si>
  <si>
    <t>11.27</t>
  </si>
  <si>
    <t>0.47187</t>
  </si>
  <si>
    <t>445P23</t>
  </si>
  <si>
    <t>PROFIL RAMIENIA I w/g rys.018953-02</t>
  </si>
  <si>
    <t>0.00385</t>
  </si>
  <si>
    <t>445P24</t>
  </si>
  <si>
    <t>PROFIL RAMIENIA II w/g rys.018954-02</t>
  </si>
  <si>
    <t>0.71290</t>
  </si>
  <si>
    <t>0.01538</t>
  </si>
  <si>
    <t>0.47121</t>
  </si>
  <si>
    <t>445P25</t>
  </si>
  <si>
    <t>PROFIL RAMIENIA I w/g rys.018953 poz.3</t>
  </si>
  <si>
    <t>0.45806</t>
  </si>
  <si>
    <t>0.35937</t>
  </si>
  <si>
    <t>445P26</t>
  </si>
  <si>
    <t>PROFIL RAMIENIA II w/g rys.018957 poz.3</t>
  </si>
  <si>
    <t>0.90322</t>
  </si>
  <si>
    <t>445P27</t>
  </si>
  <si>
    <t>PROFIL RAMIENIA I L=1120</t>
  </si>
  <si>
    <t>0.65483</t>
  </si>
  <si>
    <t>0.01154</t>
  </si>
  <si>
    <t>0.32878</t>
  </si>
  <si>
    <t>445P29</t>
  </si>
  <si>
    <t>PROFIL RAMIENIA II L=2050</t>
  </si>
  <si>
    <t>1.93293</t>
  </si>
  <si>
    <t>0.02176</t>
  </si>
  <si>
    <t>0.96087</t>
  </si>
  <si>
    <t>445P36</t>
  </si>
  <si>
    <t>PROFIL RAMIENIA "II" L=800 z płytkami przegubu wyk.nierdzewne/Ex</t>
  </si>
  <si>
    <t>402P26</t>
  </si>
  <si>
    <t>PROFIL NIER. 30X30X2 OH18N9 L-6 mb</t>
  </si>
  <si>
    <t>21.66</t>
  </si>
  <si>
    <t>0.85873</t>
  </si>
  <si>
    <t>423N20</t>
  </si>
  <si>
    <t>NIT ZRYW. SF 3.2X10 A4</t>
  </si>
  <si>
    <t>11.12</t>
  </si>
  <si>
    <t>423N22</t>
  </si>
  <si>
    <t>NIT ZRYW. SF 4.8X12 A4</t>
  </si>
  <si>
    <t>280.00</t>
  </si>
  <si>
    <t>0.00800</t>
  </si>
  <si>
    <t>8.83</t>
  </si>
  <si>
    <t>423Ś29</t>
  </si>
  <si>
    <t>ŚRUBA M6X50 A-4</t>
  </si>
  <si>
    <t>0.34</t>
  </si>
  <si>
    <t>66S012399-02-0200</t>
  </si>
  <si>
    <t>PŁYTKA PRZEGUBU fi70 NIERDZ./Ex</t>
  </si>
  <si>
    <t>9.75</t>
  </si>
  <si>
    <t>66S012443-01-0200</t>
  </si>
  <si>
    <t>PŁYTKA PRZEGUBU fi100I PRAWA NIER/Ex</t>
  </si>
  <si>
    <t>37.15</t>
  </si>
  <si>
    <t>66S012443-02-0200</t>
  </si>
  <si>
    <t>PŁYTKA PRZEGUBU fi100I LEWA NIER./Ex</t>
  </si>
  <si>
    <t>0.90000</t>
  </si>
  <si>
    <t>445P37</t>
  </si>
  <si>
    <t>PROFIL RAMIENIA "I" L=400 z płytkami przegubu wyk.nierdzewne/Ex</t>
  </si>
  <si>
    <t>402P06</t>
  </si>
  <si>
    <t>PROFIL NIER.30X20X2 OH18N9 MB</t>
  </si>
  <si>
    <t>18.80</t>
  </si>
  <si>
    <t>0.40372</t>
  </si>
  <si>
    <t>423N57</t>
  </si>
  <si>
    <t>NIT ZRYW. SF 4,8x10 A-4 KWASOODPORNY</t>
  </si>
  <si>
    <t>36.98</t>
  </si>
  <si>
    <t>66S012399-01-0200</t>
  </si>
  <si>
    <t>PŁYTKA PRZEGUBU fi70-NIERDZ/Ex</t>
  </si>
  <si>
    <t>66S012496-00-0200</t>
  </si>
  <si>
    <t>TABLICZKA-"Ex II 2G/D" RYS.012496</t>
  </si>
  <si>
    <t>0.60</t>
  </si>
  <si>
    <t>0.55000</t>
  </si>
  <si>
    <t>445P38</t>
  </si>
  <si>
    <t>PROFIL RAMIENIA "II" L=1420 z płytkami przegubu wyk.nierdzewne/Ex</t>
  </si>
  <si>
    <t>445P39</t>
  </si>
  <si>
    <t>PROFIL RAMIENIA "I" L=640 z płytkami przegubu wyk.nierdzewne/Ex</t>
  </si>
  <si>
    <t>PROFIL NIER.30X20X2 OH18N L-6 mb</t>
  </si>
  <si>
    <t>20.30</t>
  </si>
  <si>
    <t>0.66749</t>
  </si>
  <si>
    <t>0.58000</t>
  </si>
  <si>
    <t>445P40</t>
  </si>
  <si>
    <t>PROFIL RAMIENIA "II" L=1800 z płytkami przegubu wyk.nierdzewne/Ex</t>
  </si>
  <si>
    <t>13.63</t>
  </si>
  <si>
    <t>270.00</t>
  </si>
  <si>
    <t>423P54</t>
  </si>
  <si>
    <t>PODKŁADKA PŁASKA D-6 A-4</t>
  </si>
  <si>
    <t>4.86</t>
  </si>
  <si>
    <t>0.45</t>
  </si>
  <si>
    <t>66S012400-00-0200</t>
  </si>
  <si>
    <t>PODKŁADKA DWUOTWOROWA NIERDZ/Ex R.012400</t>
  </si>
  <si>
    <t>902P26-002</t>
  </si>
  <si>
    <t>PROFIL NIER.30x30x2 0H18N9 ERGO-L/Z-4-Ex L=1800mm</t>
  </si>
  <si>
    <t>73.80</t>
  </si>
  <si>
    <t>445P41</t>
  </si>
  <si>
    <t>PROFIL RAMIENIA "I" L=870 z płytkami przegubu wyk.nierdzewne/Ex</t>
  </si>
  <si>
    <t>902P06-002</t>
  </si>
  <si>
    <t>PROFIL NIER.30x20x2 0H18N9 ERGO-L/Z-4-Ex L870mm</t>
  </si>
  <si>
    <t>50.00</t>
  </si>
  <si>
    <t>0.63043</t>
  </si>
  <si>
    <t>445P42</t>
  </si>
  <si>
    <t>PROFIL RAMIENIA "II" L=1800 z płyt.przeg.012831/3 M/K/4</t>
  </si>
  <si>
    <t>1.84039</t>
  </si>
  <si>
    <t>0.02295</t>
  </si>
  <si>
    <t>0.87500</t>
  </si>
  <si>
    <t>445P44</t>
  </si>
  <si>
    <t>PROFIL RAMIENIA II z płytkami przegubu wg rys. 031123</t>
  </si>
  <si>
    <t>23.00</t>
  </si>
  <si>
    <t>445P45</t>
  </si>
  <si>
    <t>PROFIL RAMIENIA I z płytkami przegubu wg rys. 031124p.2</t>
  </si>
  <si>
    <t>0.66755</t>
  </si>
  <si>
    <t>445R01</t>
  </si>
  <si>
    <t>RAMIĘ SSACE ERGO-MINI/K-75/3-1150</t>
  </si>
  <si>
    <t>425P17</t>
  </si>
  <si>
    <t>PRĘT GWINTOWANY M6x1000 A4</t>
  </si>
  <si>
    <t>434K20</t>
  </si>
  <si>
    <t>KOLANKO PCV ERGO-MINI/K-75/3-1150 w/g rys. 014002</t>
  </si>
  <si>
    <t>434R27</t>
  </si>
  <si>
    <t>RURA PCV D-73x2 kolor BIAŁY grubość ścianki 2mm SCH40 2 1/2</t>
  </si>
  <si>
    <t>45.89</t>
  </si>
  <si>
    <t>m</t>
  </si>
  <si>
    <t>450R16</t>
  </si>
  <si>
    <t>RĘKOJEŚĆ C-50 M6</t>
  </si>
  <si>
    <t>66S013990-00-0200</t>
  </si>
  <si>
    <t>ERGO MINI- PODKŁADKA</t>
  </si>
  <si>
    <t>0.05</t>
  </si>
  <si>
    <t>12.00000</t>
  </si>
  <si>
    <t>910R53-100</t>
  </si>
  <si>
    <t>ERGO MINI/K-50/3-950 GŁOWICA OBROTOWA w/g rys. 013996</t>
  </si>
  <si>
    <t>152.90</t>
  </si>
  <si>
    <t>910R59-100</t>
  </si>
  <si>
    <t>SPRĘŻYNA USZTYWNIONA w/g rys. 014009</t>
  </si>
  <si>
    <t>73.50</t>
  </si>
  <si>
    <t>910R59-200</t>
  </si>
  <si>
    <t>RURA Z PRZEPUSTNICĄ w/g rys. 029466</t>
  </si>
  <si>
    <t>75.15</t>
  </si>
  <si>
    <t>910R59-500</t>
  </si>
  <si>
    <t>ERGO-MINI/K-75/3-1150 - PODKŁADKA ŚLIZGOWA w/g rys. 014003</t>
  </si>
  <si>
    <t>KAR202/75/3-1150</t>
  </si>
  <si>
    <t>Karton K-202/75</t>
  </si>
  <si>
    <t>445R04</t>
  </si>
  <si>
    <t>RAMIĘ SSACE ERGO-MINI/K-75/3-1150 - WISZĄCE</t>
  </si>
  <si>
    <t>445R51</t>
  </si>
  <si>
    <t>UFO-4000-FL - RURA DŁUGA R48,3 wg rys. 030027</t>
  </si>
  <si>
    <t>0.90987</t>
  </si>
  <si>
    <t>445R52</t>
  </si>
  <si>
    <t>UFO-4000-FL - RURA KRÓTKA R42,2 wg rys. 030028</t>
  </si>
  <si>
    <t>401R14</t>
  </si>
  <si>
    <t>RURA STAL. D 42.4x3.6 DIN2448</t>
  </si>
  <si>
    <t>0.12065</t>
  </si>
  <si>
    <t>445R53</t>
  </si>
  <si>
    <t>UFO-4000-FL - REDUKACJA1\1/2"-3/8" wg rys. 029831</t>
  </si>
  <si>
    <t>445S01</t>
  </si>
  <si>
    <t>SSAWA SD-75/K</t>
  </si>
  <si>
    <t>KAR200</t>
  </si>
  <si>
    <t>Karton K-200</t>
  </si>
  <si>
    <t>3140.00000</t>
  </si>
  <si>
    <t>0.26087</t>
  </si>
  <si>
    <t>445Ś01</t>
  </si>
  <si>
    <t>WENTYLATOR AL-UFO-20000-N - ŚRUBA M20-PRZYGOTOWANIE w/g rys.028618</t>
  </si>
  <si>
    <t>420Ś77</t>
  </si>
  <si>
    <t>ŚRUBA M20X60 KL8.8/105 OC.</t>
  </si>
  <si>
    <t>3.26</t>
  </si>
  <si>
    <t>445U01</t>
  </si>
  <si>
    <t>UCHWYT ZACISKOWY VK/K</t>
  </si>
  <si>
    <t>423Ś33</t>
  </si>
  <si>
    <t>ŚRUBA M6x16 A-4</t>
  </si>
  <si>
    <t>29.81</t>
  </si>
  <si>
    <t>425N63</t>
  </si>
  <si>
    <t>NITONAKR. ESM 6X60 A2</t>
  </si>
  <si>
    <t>1.33</t>
  </si>
  <si>
    <t>66N010161-00-0200</t>
  </si>
  <si>
    <t>ERGO MINI NEW - PODSTAWKA NIERDZEWNA</t>
  </si>
  <si>
    <t>31.30</t>
  </si>
  <si>
    <t>66N010298-00-0200</t>
  </si>
  <si>
    <t>ERGO MINI NEW - UCHWYT NIERDZEWNY</t>
  </si>
  <si>
    <t>31.80</t>
  </si>
  <si>
    <t>KAR198</t>
  </si>
  <si>
    <t>Karton K-198</t>
  </si>
  <si>
    <t>1350.00000</t>
  </si>
  <si>
    <t>0.91660</t>
  </si>
  <si>
    <t>445W39</t>
  </si>
  <si>
    <t>WAŁEK GWINTOWANY D=50/361</t>
  </si>
  <si>
    <t>5.63207</t>
  </si>
  <si>
    <t>445W40</t>
  </si>
  <si>
    <t>WAŁEK GWINTOWANY D=50/325</t>
  </si>
  <si>
    <t>5.08490</t>
  </si>
  <si>
    <t>445W41</t>
  </si>
  <si>
    <t>WAŁEK GWINTOWANY d=20/245</t>
  </si>
  <si>
    <t>0.61792</t>
  </si>
  <si>
    <t>445W42</t>
  </si>
  <si>
    <t>WAŁEK GWINT.d=24/273</t>
  </si>
  <si>
    <t>400P50</t>
  </si>
  <si>
    <t>PRĘT CIĄGN. D-25 ST3S 3.85KG/MB</t>
  </si>
  <si>
    <t>1.09000</t>
  </si>
  <si>
    <t>445W43</t>
  </si>
  <si>
    <t>WAŁEK GWINTOWANY d=20/218</t>
  </si>
  <si>
    <t>0.55188</t>
  </si>
  <si>
    <t>445W44</t>
  </si>
  <si>
    <t>RAK-1000-R-WAŁEK DYSTANSU w/g rys.18420</t>
  </si>
  <si>
    <t>400P55</t>
  </si>
  <si>
    <t>PRĘT CIĄGN. D-16 ST3S 1.58KG/MB</t>
  </si>
  <si>
    <t>0.22018</t>
  </si>
  <si>
    <t>451Z18</t>
  </si>
  <si>
    <t>UFO-A-5000-KOREK ZAŚLEPIAJĄCY M42x1,5 w/g rys.021520</t>
  </si>
  <si>
    <t>400P68</t>
  </si>
  <si>
    <t>PRĘT WALC. D-48 ST3S 14.2KG/MB</t>
  </si>
  <si>
    <t>453C02</t>
  </si>
  <si>
    <t>CZOP KRÓTKI ZABIERAKA w/g rys.022458</t>
  </si>
  <si>
    <t>401P17</t>
  </si>
  <si>
    <t>PRĘT CIĄGN. D-32 45 6.31KG/MB</t>
  </si>
  <si>
    <t>11.99</t>
  </si>
  <si>
    <t>0.69224</t>
  </si>
  <si>
    <t>0.26304</t>
  </si>
  <si>
    <t>453C03</t>
  </si>
  <si>
    <t>CZOP DŻWIGNI ZAPADKI 007411</t>
  </si>
  <si>
    <t>401P21</t>
  </si>
  <si>
    <t>PRĘT CIĄGN. D-22 45 2.98KG/MB</t>
  </si>
  <si>
    <t>0.14178</t>
  </si>
  <si>
    <t>453C04</t>
  </si>
  <si>
    <t>CZOP NAPINACZA 007915</t>
  </si>
  <si>
    <t>401P16</t>
  </si>
  <si>
    <t>PRĘT SZEŚC. S-14 45 1.33KG/MB</t>
  </si>
  <si>
    <t>0.09174</t>
  </si>
  <si>
    <t>0.11521</t>
  </si>
  <si>
    <t>453C05</t>
  </si>
  <si>
    <t>CZOP KRÓTKI Z TARCZĄ 010384 poz1,2</t>
  </si>
  <si>
    <t>63A010385-00-0200</t>
  </si>
  <si>
    <t>ALAN-U/C8"/8"-47"/56"-2S-TARCZA CZOPOWA</t>
  </si>
  <si>
    <t>23.45</t>
  </si>
  <si>
    <t>7.77272</t>
  </si>
  <si>
    <t>0.26363</t>
  </si>
  <si>
    <t>453C06</t>
  </si>
  <si>
    <t>CZOP DŁUGI Z TARCZĄ 007962 poz1,2</t>
  </si>
  <si>
    <t>63A002550-00-0200</t>
  </si>
  <si>
    <t>ALAN-U/C-6;8;12 TARCZA CZOPOWA</t>
  </si>
  <si>
    <t>23.40</t>
  </si>
  <si>
    <t>7.66667</t>
  </si>
  <si>
    <t>0.32500</t>
  </si>
  <si>
    <t>453C07</t>
  </si>
  <si>
    <t>CZOP KRÓTKI Z TARCZĄ w/g rys.022457</t>
  </si>
  <si>
    <t>17.95</t>
  </si>
  <si>
    <t>500.00000</t>
  </si>
  <si>
    <t>6.59091</t>
  </si>
  <si>
    <t>0.14980</t>
  </si>
  <si>
    <t>453C08</t>
  </si>
  <si>
    <t>CZOP DŁUGI SPRĘŻYN MOCNYCH w/g rys.022292</t>
  </si>
  <si>
    <t>0.94662</t>
  </si>
  <si>
    <t>0.16847</t>
  </si>
  <si>
    <t>453C09</t>
  </si>
  <si>
    <t>CZOP d38 RYS.011039</t>
  </si>
  <si>
    <t>401P13</t>
  </si>
  <si>
    <t>PRĘT CIĄGN. D-40 45 9.87KG/MB</t>
  </si>
  <si>
    <t>402P24</t>
  </si>
  <si>
    <t>PRET KWASOODPORNY D=10 316L 0,62kG/MB</t>
  </si>
  <si>
    <t>37.75</t>
  </si>
  <si>
    <t>0.02777</t>
  </si>
  <si>
    <t>0.02516</t>
  </si>
  <si>
    <t>402P25</t>
  </si>
  <si>
    <t>PRĘT KWASOODPORNY D=20 316L 2,47kG/mb</t>
  </si>
  <si>
    <t>0.05227</t>
  </si>
  <si>
    <t>0.03980</t>
  </si>
  <si>
    <t>453W09</t>
  </si>
  <si>
    <t>WKŁADKA ŁOŻYSKOWA A RYS 008572</t>
  </si>
  <si>
    <t>432W03</t>
  </si>
  <si>
    <t>WAŁEK TARNAM. D-20 0.38KG/MB</t>
  </si>
  <si>
    <t>453W10</t>
  </si>
  <si>
    <t>WKŁADKA ŁOŻYSKOWA B RYS 008572</t>
  </si>
  <si>
    <t>0.09434</t>
  </si>
  <si>
    <t>471Z05</t>
  </si>
  <si>
    <t>ZACZEP SPRĘŻYN SPIRALNYCH  007410</t>
  </si>
  <si>
    <t>401P09</t>
  </si>
  <si>
    <t>PRĘT CIĄGN. D-13 45 1.04KG/MB</t>
  </si>
  <si>
    <t>0.10468</t>
  </si>
  <si>
    <t>471Z06</t>
  </si>
  <si>
    <t>ZACZEP TAŚMY 007914</t>
  </si>
  <si>
    <t>471Z07</t>
  </si>
  <si>
    <t>ZACZEP SPRĘŻYN SPIRALNYCH 009677</t>
  </si>
  <si>
    <t>0.17925</t>
  </si>
  <si>
    <t>0.15641</t>
  </si>
  <si>
    <t>471Z08</t>
  </si>
  <si>
    <t>ZACZEP SPĘŻYNY SPIRALNEJ w/g rys.022279</t>
  </si>
  <si>
    <t>0.08340</t>
  </si>
  <si>
    <t>471Z09</t>
  </si>
  <si>
    <t>ZACZEP SPRĘŻYN SPIRALNYCH w/g rys.022293</t>
  </si>
  <si>
    <t>0.12093</t>
  </si>
  <si>
    <t>0.10652</t>
  </si>
  <si>
    <t>485K49</t>
  </si>
  <si>
    <t>KORPUS SSAWKI LST D175</t>
  </si>
  <si>
    <t>985K49</t>
  </si>
  <si>
    <t>KORPUS SSAWKI LST D-175</t>
  </si>
  <si>
    <t>485K51</t>
  </si>
  <si>
    <t>KORPUS SSAWKI MST D100</t>
  </si>
  <si>
    <t>985K47</t>
  </si>
  <si>
    <t>KORPUS SSAWKI MST D-100</t>
  </si>
  <si>
    <t>486W01</t>
  </si>
  <si>
    <t>OBUDOWA AL-UFO-A-5000-N w/g rys.025709</t>
  </si>
  <si>
    <t>487W70</t>
  </si>
  <si>
    <t>WENTYLATOR AL-UFO-A-5000-N-OBUDOWA w/g rys.011743</t>
  </si>
  <si>
    <t>2100.00</t>
  </si>
  <si>
    <t>MAL006</t>
  </si>
  <si>
    <t>MALOWANIE NATRYSKOWE RAF</t>
  </si>
  <si>
    <t>0.86458</t>
  </si>
  <si>
    <t>2.30681</t>
  </si>
  <si>
    <t>486W02</t>
  </si>
  <si>
    <t>OBUDOWA AL-STORM-2000-H 4,0kW D=180mm</t>
  </si>
  <si>
    <t>486W03</t>
  </si>
  <si>
    <t>OBUDOWA WENTYLATORA AL-UFO-10000-N w/g rys.025821</t>
  </si>
  <si>
    <t>487W71</t>
  </si>
  <si>
    <t>WENTYLATOR AL-UFO-A-10000-N-OBUDOWA w/g rys.025821</t>
  </si>
  <si>
    <t>3550.00</t>
  </si>
  <si>
    <t>1.25000</t>
  </si>
  <si>
    <t>3.70435</t>
  </si>
  <si>
    <t>486W04</t>
  </si>
  <si>
    <t>OBUDOWA-Al-20000/180 w/g rys.025739</t>
  </si>
  <si>
    <t>487W72</t>
  </si>
  <si>
    <t>WENTYLATOR AL-UFO-A-20000-N-OBUDOWA w/g rys.025739</t>
  </si>
  <si>
    <t>3800.00</t>
  </si>
  <si>
    <t>2.68750</t>
  </si>
  <si>
    <t>MBC001</t>
  </si>
  <si>
    <t>MATERIAŁY BEZ CENY</t>
  </si>
  <si>
    <t>50000.00000</t>
  </si>
  <si>
    <t>3.40909</t>
  </si>
  <si>
    <t>486W05</t>
  </si>
  <si>
    <t>OBUDOWA ALUM. WENTYLATORA STORM-5000-H w/g rys.011993</t>
  </si>
  <si>
    <t>2.20625</t>
  </si>
  <si>
    <t>156800.00000</t>
  </si>
  <si>
    <t>3.46136</t>
  </si>
  <si>
    <t>486W06</t>
  </si>
  <si>
    <t>OBUDOWA AL-20000-K180 w/g rys.028615</t>
  </si>
  <si>
    <t>487W69</t>
  </si>
  <si>
    <t>WWENTYLATOR AL-UFO-20000-N- OBUDOWA w/g rys. 028614</t>
  </si>
  <si>
    <t>6950.00</t>
  </si>
  <si>
    <t>2.08333</t>
  </si>
  <si>
    <t>5.08695</t>
  </si>
  <si>
    <t>486W07</t>
  </si>
  <si>
    <t>OBUDOWA AL-UFO-A-5000-N w/g rys.028938</t>
  </si>
  <si>
    <t>WENTYLATOR AL-UFO-A-5000-N-OBUDOWA w/g rys.028898</t>
  </si>
  <si>
    <t>0.83333</t>
  </si>
  <si>
    <t>3.63695</t>
  </si>
  <si>
    <t>487W13</t>
  </si>
  <si>
    <t>WENTYLATOR SMOK 3;4;5,5</t>
  </si>
  <si>
    <t>1.35000</t>
  </si>
  <si>
    <t>421Ś04</t>
  </si>
  <si>
    <t>ŚRUBA M6X35 KL.8.8/105</t>
  </si>
  <si>
    <t>0.03400</t>
  </si>
  <si>
    <t>422Ś37</t>
  </si>
  <si>
    <t>ŚRUBA IMBUSOWA M6X16KL.10.9/ STOŻEK</t>
  </si>
  <si>
    <t>0.01850</t>
  </si>
  <si>
    <t>0.11000</t>
  </si>
  <si>
    <t>453Ł50</t>
  </si>
  <si>
    <t>ŁOŻYSKO 5305 EE SKOŚNE 2-RZĘDOWE SNQ</t>
  </si>
  <si>
    <t>74.80</t>
  </si>
  <si>
    <t>453Ł51</t>
  </si>
  <si>
    <t>ŁOŻYSKO 6305 2RSR KULKOWE 1-RZĘDOWE FAG</t>
  </si>
  <si>
    <t>17.59</t>
  </si>
  <si>
    <t>453P29</t>
  </si>
  <si>
    <t>PIERŚ.OSAD.SEEGER W-62</t>
  </si>
  <si>
    <t>453W01</t>
  </si>
  <si>
    <t>WPUST PRYZMATYCZNY A 6X6X30</t>
  </si>
  <si>
    <t>453W02</t>
  </si>
  <si>
    <t>WPUST PRYZMATYCZNY A 8X7X45</t>
  </si>
  <si>
    <t>61Z010291-01-0200</t>
  </si>
  <si>
    <t>Podkładka 36x8,5x4</t>
  </si>
  <si>
    <t>1.08</t>
  </si>
  <si>
    <t>69Z008493-00-0200</t>
  </si>
  <si>
    <t>SMOK 3,4-POKRYWKA</t>
  </si>
  <si>
    <t>9.99</t>
  </si>
  <si>
    <t>69Z010291-02-0200</t>
  </si>
  <si>
    <t>Zabezpieczenie</t>
  </si>
  <si>
    <t>0.21</t>
  </si>
  <si>
    <t>900O10-110</t>
  </si>
  <si>
    <t>WIRNIK 367/148X24</t>
  </si>
  <si>
    <t>178.33</t>
  </si>
  <si>
    <t>900O10-120</t>
  </si>
  <si>
    <t>KORPUS-WENTYLATOR SMOK 3;4;5,5</t>
  </si>
  <si>
    <t>258.06</t>
  </si>
  <si>
    <t>900O10-130</t>
  </si>
  <si>
    <t>POKRYWA I WENTYLATOR SMOK 3;4;5,5</t>
  </si>
  <si>
    <t>176.50</t>
  </si>
  <si>
    <t>900O10-140</t>
  </si>
  <si>
    <t>POKRYWA II WENTYLATOR SMOK 3;4;5,5</t>
  </si>
  <si>
    <t>115.95</t>
  </si>
  <si>
    <t>900.00000</t>
  </si>
  <si>
    <t>34.00000</t>
  </si>
  <si>
    <t>1.57500</t>
  </si>
  <si>
    <t>487W15</t>
  </si>
  <si>
    <t>OBUDOWA WENTYLATORA UFO-4-MN-1 w/g rys.024653</t>
  </si>
  <si>
    <t>0.03850</t>
  </si>
  <si>
    <t>14.42857</t>
  </si>
  <si>
    <t>2.27428</t>
  </si>
  <si>
    <t>487W16</t>
  </si>
  <si>
    <t>OBUDOWA WENTYLATORA UFO-4-MN-2 w/g rys.024800</t>
  </si>
  <si>
    <t>0.04703</t>
  </si>
  <si>
    <t>3.48484</t>
  </si>
  <si>
    <t>22.87727</t>
  </si>
  <si>
    <t>487W35</t>
  </si>
  <si>
    <t>WENTYLATOR UFO-4-M/Z-1-OBUDOWA w/g rys.011743</t>
  </si>
  <si>
    <t>2.27857</t>
  </si>
  <si>
    <t>14.43714</t>
  </si>
  <si>
    <t>487W36</t>
  </si>
  <si>
    <t>WENTYLATOR UFO-4-M/Z-2-OBUDOWA w/g rys.011993</t>
  </si>
  <si>
    <t>0.04769</t>
  </si>
  <si>
    <t>3.25000</t>
  </si>
  <si>
    <t>23.00714</t>
  </si>
  <si>
    <t>487W37</t>
  </si>
  <si>
    <t>WENTYLATOR UFO-4-M-3/Z-OBUDOWA w/g rys.012389</t>
  </si>
  <si>
    <t>3.40428</t>
  </si>
  <si>
    <t>804O52-211</t>
  </si>
  <si>
    <t>ELEKTROMAGNES w/g rys.007649</t>
  </si>
  <si>
    <t>400P44</t>
  </si>
  <si>
    <t>PRĘT WALC. D-75 ST3S 34.7KG/MB</t>
  </si>
  <si>
    <t>4.55</t>
  </si>
  <si>
    <t>1.04395</t>
  </si>
  <si>
    <t>417C01</t>
  </si>
  <si>
    <t>CEWKA ELEKTROMAGNESU SSAK CE-24V 36/60</t>
  </si>
  <si>
    <t>56.00</t>
  </si>
  <si>
    <t>0.17826</t>
  </si>
  <si>
    <t>0.59341</t>
  </si>
  <si>
    <t>0.42857</t>
  </si>
  <si>
    <t>0.18152</t>
  </si>
  <si>
    <t>0.31413</t>
  </si>
  <si>
    <t>904O52-211</t>
  </si>
  <si>
    <t>106.05</t>
  </si>
  <si>
    <t>904O52-212</t>
  </si>
  <si>
    <t>OPRAWA ELEKTROMAGNESU w/g rys.017683</t>
  </si>
  <si>
    <t>59.00</t>
  </si>
  <si>
    <t>0.08804</t>
  </si>
  <si>
    <t>810R53</t>
  </si>
  <si>
    <t>RAMIĘ SSĄCE ERGO-MINI/K-50/3-950</t>
  </si>
  <si>
    <t>423N39</t>
  </si>
  <si>
    <t>NIT ZRYW. SF 3,2 X 6 A4 KWASOODPORNY</t>
  </si>
  <si>
    <t>16.47</t>
  </si>
  <si>
    <t>423P09</t>
  </si>
  <si>
    <t>PODKŁADKA PŁASKA D-5 A-4 DIN 125</t>
  </si>
  <si>
    <t>2.50</t>
  </si>
  <si>
    <t>423P52</t>
  </si>
  <si>
    <t>PODKŁADKA PŁASKA D-10 A-4</t>
  </si>
  <si>
    <t>0.13000</t>
  </si>
  <si>
    <t>423Ś83</t>
  </si>
  <si>
    <t>ŚRUBA M6X35 A4 DIN 933</t>
  </si>
  <si>
    <t>35.30</t>
  </si>
  <si>
    <t>425P03</t>
  </si>
  <si>
    <t>PRĘT GWINTOWANY M6X1000</t>
  </si>
  <si>
    <t>2.05</t>
  </si>
  <si>
    <t>434R08</t>
  </si>
  <si>
    <t>RURA SANIT. D-16X2.2 PCV</t>
  </si>
  <si>
    <t>455S72</t>
  </si>
  <si>
    <t>SPRĘŻYNA Z 17 ZWOJAMI w/g rys. 014009 nierdzewna</t>
  </si>
  <si>
    <t>67.00</t>
  </si>
  <si>
    <t>KAR202</t>
  </si>
  <si>
    <t>Karton K-202</t>
  </si>
  <si>
    <t>8.75</t>
  </si>
  <si>
    <t>19245.00000</t>
  </si>
  <si>
    <t>20400.00000</t>
  </si>
  <si>
    <t>810S72</t>
  </si>
  <si>
    <t>SSAWA SM-50/K</t>
  </si>
  <si>
    <t>KAR205</t>
  </si>
  <si>
    <t>KARTON K-205</t>
  </si>
  <si>
    <t>0.70</t>
  </si>
  <si>
    <t>1200.00000</t>
  </si>
  <si>
    <t>810S73</t>
  </si>
  <si>
    <t>SSAWA SM-75/K</t>
  </si>
  <si>
    <t>2010.00000</t>
  </si>
  <si>
    <t>810S74</t>
  </si>
  <si>
    <t>SSAWA SD-50/K</t>
  </si>
  <si>
    <t>KAR203</t>
  </si>
  <si>
    <t>Karton K-203</t>
  </si>
  <si>
    <t>840K21</t>
  </si>
  <si>
    <t>SAMOCZYNNA KLAPA ZWROTNA SKZ-315</t>
  </si>
  <si>
    <t>22.72</t>
  </si>
  <si>
    <t>0.00089</t>
  </si>
  <si>
    <t>420W51</t>
  </si>
  <si>
    <t>WKRĘT M5x12-8,8 z łbem walc.z gn.6-kątnym DIN912</t>
  </si>
  <si>
    <t>32.73</t>
  </si>
  <si>
    <t>421N32</t>
  </si>
  <si>
    <t>NIT ZRYW. SF 4X6</t>
  </si>
  <si>
    <t>425N68</t>
  </si>
  <si>
    <t>NITONAKRĘTKA SFM-G 6x30 szczelna z kołnierzem płaskim</t>
  </si>
  <si>
    <t>0.77</t>
  </si>
  <si>
    <t>436F02</t>
  </si>
  <si>
    <t>FOLIA STRETCH RĘCZNA 12023 150 MB</t>
  </si>
  <si>
    <t>0.06400</t>
  </si>
  <si>
    <t>453P09</t>
  </si>
  <si>
    <t>PIERŚ.OSAD.SEEGERA Z-8</t>
  </si>
  <si>
    <t>0.09</t>
  </si>
  <si>
    <t>69Z315701-00-0200</t>
  </si>
  <si>
    <t>SKZ-315-PŁASZCZ KLAPY ZWROTNEJ</t>
  </si>
  <si>
    <t>69Z315702-00-0200</t>
  </si>
  <si>
    <t>SKZ-315-SKRZDŁO KLAPY ZWROTNEJ</t>
  </si>
  <si>
    <t>69Z315703-00-0200</t>
  </si>
  <si>
    <t>SKZ-315-ELEMENT KOŁNIERZA D315</t>
  </si>
  <si>
    <t>15.60</t>
  </si>
  <si>
    <t>69Z400704-00-0200</t>
  </si>
  <si>
    <t>SKZ-400-ELEMENT ZAWIASU</t>
  </si>
  <si>
    <t>940K21-100</t>
  </si>
  <si>
    <t>OŚ KLAPY SKZ-315</t>
  </si>
  <si>
    <t>15.15</t>
  </si>
  <si>
    <t>0.12727</t>
  </si>
  <si>
    <t>0.34714</t>
  </si>
  <si>
    <t>843W19</t>
  </si>
  <si>
    <t>WENTYLATOR WYSOKOCIŚNIENIOWY WW-2-1-1100-3F</t>
  </si>
  <si>
    <t>401S19</t>
  </si>
  <si>
    <t>SIATKA OCYNK. 0.5x390x220 CC 6X11</t>
  </si>
  <si>
    <t>404R07</t>
  </si>
  <si>
    <t>RURA ALUM. D-110X4 PA38 3.55KG/MB</t>
  </si>
  <si>
    <t>1.45000</t>
  </si>
  <si>
    <t>411S52</t>
  </si>
  <si>
    <t>1.1/400/2800 STg 80-2B B14.2 /R.00989</t>
  </si>
  <si>
    <t>349.00</t>
  </si>
  <si>
    <t>420P54</t>
  </si>
  <si>
    <t>PODKŁADKA SPRĘŻ. D-5</t>
  </si>
  <si>
    <t>0.00230</t>
  </si>
  <si>
    <t>421Ś44</t>
  </si>
  <si>
    <t>ŚRUBA M6X20 KL.8.8/105</t>
  </si>
  <si>
    <t>0.03500</t>
  </si>
  <si>
    <t>422Ś01</t>
  </si>
  <si>
    <t>ŚRUBA IMBUSOWA M5X20 KL.8.8/105</t>
  </si>
  <si>
    <t>23.30</t>
  </si>
  <si>
    <t>0.01610</t>
  </si>
  <si>
    <t>422Ś27</t>
  </si>
  <si>
    <t>ŚRUBA IMBUSOWA M5X35 KL.8.8/105</t>
  </si>
  <si>
    <t>46.70</t>
  </si>
  <si>
    <t>422Ś41</t>
  </si>
  <si>
    <t>ŚRUBA IMBUSOWA M6X20 KL.10,9/STOŻEK</t>
  </si>
  <si>
    <t>28.02</t>
  </si>
  <si>
    <t>422Ś43</t>
  </si>
  <si>
    <t>ŚRUBA IMBUSOWA M5X45 KL.8.8/101</t>
  </si>
  <si>
    <t>10.67</t>
  </si>
  <si>
    <t>0.09500</t>
  </si>
  <si>
    <t>0.00680</t>
  </si>
  <si>
    <t>23.52</t>
  </si>
  <si>
    <t>0.00670</t>
  </si>
  <si>
    <t>431S01</t>
  </si>
  <si>
    <t>SILIKON SZARY 310ML</t>
  </si>
  <si>
    <t>18.89</t>
  </si>
  <si>
    <t>437P02</t>
  </si>
  <si>
    <t>PALETA DREWNIANA 800X1200</t>
  </si>
  <si>
    <t>0.05500</t>
  </si>
  <si>
    <t>69Z008738-01-0200</t>
  </si>
  <si>
    <t>WW-2 -PODKŁADKA D-6.5X36X4</t>
  </si>
  <si>
    <t>2.41</t>
  </si>
  <si>
    <t>943W20-100</t>
  </si>
  <si>
    <t>OBUDOWA WENTYLATORA WW-2</t>
  </si>
  <si>
    <t>157.28</t>
  </si>
  <si>
    <t>943W20-200</t>
  </si>
  <si>
    <t>POKRYWA WENTYLATORA WW 2-1-1100</t>
  </si>
  <si>
    <t>122.15</t>
  </si>
  <si>
    <t>943W20-300</t>
  </si>
  <si>
    <t>WIRNIK WENTYLATORA WW 2</t>
  </si>
  <si>
    <t>178.11</t>
  </si>
  <si>
    <t>943W20-400</t>
  </si>
  <si>
    <t>ŁĄCZNIK TŁUMIKÓW WENTYLATORA WW-2</t>
  </si>
  <si>
    <t>74.95</t>
  </si>
  <si>
    <t>943W20-500</t>
  </si>
  <si>
    <t>TULEJA DYSTANSOAWA w/g rys.009831 poz.2</t>
  </si>
  <si>
    <t>6.78</t>
  </si>
  <si>
    <t>943W21-110</t>
  </si>
  <si>
    <t>ELEMENT TŁUMIKA I TŁUMIK WW 2;3</t>
  </si>
  <si>
    <t>39.66</t>
  </si>
  <si>
    <t>943W21-120</t>
  </si>
  <si>
    <t>ELEMENT TŁUMIKA II TŁUMIK WW-2;3</t>
  </si>
  <si>
    <t>44.95</t>
  </si>
  <si>
    <t>875.00000</t>
  </si>
  <si>
    <t>303.00000</t>
  </si>
  <si>
    <t>195.00000</t>
  </si>
  <si>
    <t>2.62000</t>
  </si>
  <si>
    <t>0.52500</t>
  </si>
  <si>
    <t>0.36500</t>
  </si>
  <si>
    <t>843W55</t>
  </si>
  <si>
    <t>WENTYLATOR WYSOKOCIŚNIENIOWY WW2-3-1100</t>
  </si>
  <si>
    <t>2.62121</t>
  </si>
  <si>
    <t>843W65</t>
  </si>
  <si>
    <t>WENTYLATOR BOCZNOKANAŁOWY WW-3000</t>
  </si>
  <si>
    <t>411S39</t>
  </si>
  <si>
    <t>3/400/2800 STg 90-2F B14,2 rys.009890</t>
  </si>
  <si>
    <t>592.00</t>
  </si>
  <si>
    <t>422Ś25</t>
  </si>
  <si>
    <t>ŚRUBA IMBUSOWA M6X60 KL.8.8/101</t>
  </si>
  <si>
    <t>10.21</t>
  </si>
  <si>
    <t>0.23000</t>
  </si>
  <si>
    <t>422Ś28</t>
  </si>
  <si>
    <t>ŚRUBA IMBUSOWA M6X25 KL.8.8/105</t>
  </si>
  <si>
    <t>16.32</t>
  </si>
  <si>
    <t>422Ś39</t>
  </si>
  <si>
    <t>ŚRUBA IMBUSOWA M8x20 KL.10,9/STOŻEK</t>
  </si>
  <si>
    <t>426P56</t>
  </si>
  <si>
    <t>PODKŁADKA SPRĘŻ. D-8</t>
  </si>
  <si>
    <t>16.60</t>
  </si>
  <si>
    <t>0.00640</t>
  </si>
  <si>
    <t>426Ś32</t>
  </si>
  <si>
    <t>ŚRUBA M8X25 KL.8.8/105</t>
  </si>
  <si>
    <t>0.01390</t>
  </si>
  <si>
    <t>0.05600</t>
  </si>
  <si>
    <t>437P07</t>
  </si>
  <si>
    <t>PALETA DREWNIANA 600X800</t>
  </si>
  <si>
    <t>16.00</t>
  </si>
  <si>
    <t>943W21-600</t>
  </si>
  <si>
    <t>TULEJA DYSTANSOWA w/g rys.008738 poz.2</t>
  </si>
  <si>
    <t>5.94</t>
  </si>
  <si>
    <t>943W65-100</t>
  </si>
  <si>
    <t>OBUDOWA WW-3000 w/g rys.008219</t>
  </si>
  <si>
    <t>283.46</t>
  </si>
  <si>
    <t>943W65-200</t>
  </si>
  <si>
    <t>POKRYWA WW-3000 w/g rys.008220</t>
  </si>
  <si>
    <t>243.97</t>
  </si>
  <si>
    <t>943W65-300</t>
  </si>
  <si>
    <t>WIRNIK WW-3000 w/g rys.008217</t>
  </si>
  <si>
    <t>437.95</t>
  </si>
  <si>
    <t>943W65-400</t>
  </si>
  <si>
    <t>ŁĄCZNIK WW-3000 w/g rys.008637</t>
  </si>
  <si>
    <t>58.26</t>
  </si>
  <si>
    <t>943W65-500</t>
  </si>
  <si>
    <t>TŁUMIK WW-3000 w/g rys.008981</t>
  </si>
  <si>
    <t>152.64</t>
  </si>
  <si>
    <t>0.36410</t>
  </si>
  <si>
    <t>2.78974</t>
  </si>
  <si>
    <t>843W66</t>
  </si>
  <si>
    <t>WENTYLATOR BOCZNOKANAŁOWY WW-7500</t>
  </si>
  <si>
    <t>412S39</t>
  </si>
  <si>
    <t>7.5/3X400/2900 SKg 112M-2PET R.010479</t>
  </si>
  <si>
    <t>1482.00</t>
  </si>
  <si>
    <t>0.04001</t>
  </si>
  <si>
    <t>421Ś66</t>
  </si>
  <si>
    <t>ŚRUBA M10X25 KL.8.8/105</t>
  </si>
  <si>
    <t>14.50</t>
  </si>
  <si>
    <t>0.02290</t>
  </si>
  <si>
    <t>422Ś08</t>
  </si>
  <si>
    <t>ŚRUBA IMBUSOWA M8X25 KL.8.8/105</t>
  </si>
  <si>
    <t>422Ś35</t>
  </si>
  <si>
    <t>ŚRUBA IMBUSOWA M8X25KL.10.9/105 STOŻEK</t>
  </si>
  <si>
    <t>20.68</t>
  </si>
  <si>
    <t>0.05250</t>
  </si>
  <si>
    <t>0.14400</t>
  </si>
  <si>
    <t>69Z010614-00-0200</t>
  </si>
  <si>
    <t>WW-4-1-7500 PODKLADKA 60/10,5</t>
  </si>
  <si>
    <t>943W66-100</t>
  </si>
  <si>
    <t>OBUDOWA WW-7500 w/g rys.010594</t>
  </si>
  <si>
    <t>414.36</t>
  </si>
  <si>
    <t>943W66-200</t>
  </si>
  <si>
    <t>POKRYWA WW-7500 w/g rys.010595</t>
  </si>
  <si>
    <t>402.56</t>
  </si>
  <si>
    <t>943W66-300</t>
  </si>
  <si>
    <t>ŁĄCZNIK WW-7500 w/g rys.010596</t>
  </si>
  <si>
    <t>69.44</t>
  </si>
  <si>
    <t>943W66-400</t>
  </si>
  <si>
    <t>WIRNIK WW-7500 w/g rys.010597</t>
  </si>
  <si>
    <t>490.26</t>
  </si>
  <si>
    <t>943W66-500</t>
  </si>
  <si>
    <t>TŁUMIK WW-7500 w/g rys.010598</t>
  </si>
  <si>
    <t>191.92</t>
  </si>
  <si>
    <t>943W66-600</t>
  </si>
  <si>
    <t>TULEJA DYSTANSOWA w/g rys.010613</t>
  </si>
  <si>
    <t>2.98333</t>
  </si>
  <si>
    <t>850W99-126</t>
  </si>
  <si>
    <t>420W88</t>
  </si>
  <si>
    <t>WKRĘT M5X10 WALC. /TYS/ DIN 7985A</t>
  </si>
  <si>
    <t>32.27</t>
  </si>
  <si>
    <t>2.93</t>
  </si>
  <si>
    <t>455S60</t>
  </si>
  <si>
    <t>SPRĘŻ.TAL. D-20X10.2X1.1 A-2</t>
  </si>
  <si>
    <t>66S029446-00-0200</t>
  </si>
  <si>
    <t>PRZEPUSTNICA ERGO-MINI</t>
  </si>
  <si>
    <t>1.90</t>
  </si>
  <si>
    <t>66S029463-00-0200</t>
  </si>
  <si>
    <t>OGRANICZNIK OBROTU WEWNĘTRZNY</t>
  </si>
  <si>
    <t>900E02-600</t>
  </si>
  <si>
    <t>RURA L=500 w/g rys.024907</t>
  </si>
  <si>
    <t>0.50500</t>
  </si>
  <si>
    <t>900E02-610</t>
  </si>
  <si>
    <t>RURA L=400 w/g rys.024905</t>
  </si>
  <si>
    <t>0.40701</t>
  </si>
  <si>
    <t>900E02-620</t>
  </si>
  <si>
    <t>RURA L=80 w/g rys.024906</t>
  </si>
  <si>
    <t>0.08421</t>
  </si>
  <si>
    <t>900E03-331</t>
  </si>
  <si>
    <t>TULEJA WEWNĘTRZNA DOCISKU PRĄDOWEGO w/g rys.026881</t>
  </si>
  <si>
    <t>0.12907</t>
  </si>
  <si>
    <t>900E03-332</t>
  </si>
  <si>
    <t>TULEJA ZEWNĘTRZNA DOCISKU PRĄDOWEGO w/g rys.026880</t>
  </si>
  <si>
    <t>0.14893</t>
  </si>
  <si>
    <t>900K01-110</t>
  </si>
  <si>
    <t>ŚRUBA M20x2,5 w/g rys.021765</t>
  </si>
  <si>
    <t>400P59</t>
  </si>
  <si>
    <t>PRĘT WALC. D-26 ST3S 4.17KG/MB</t>
  </si>
  <si>
    <t>0.23750</t>
  </si>
  <si>
    <t>0.16477</t>
  </si>
  <si>
    <t>900K01-211</t>
  </si>
  <si>
    <t>KM-610-NAKRĘTKA OKRĄGŁA w/g rys021761</t>
  </si>
  <si>
    <t>401P12</t>
  </si>
  <si>
    <t>PRĘT CIĄGN. D-35 "45" 7.53KG/MB</t>
  </si>
  <si>
    <t>0.28000</t>
  </si>
  <si>
    <t>0.16818</t>
  </si>
  <si>
    <t>900K01-221</t>
  </si>
  <si>
    <t>KM-610-PRĘT w/g rys.021762</t>
  </si>
  <si>
    <t>900K01-222</t>
  </si>
  <si>
    <t>KM-610-RURKA w/g rys.021764</t>
  </si>
  <si>
    <t>400R34</t>
  </si>
  <si>
    <t>RURA STAL. D-27X3 R-35</t>
  </si>
  <si>
    <t>0.02307</t>
  </si>
  <si>
    <t>0.08636</t>
  </si>
  <si>
    <t>900K01-223</t>
  </si>
  <si>
    <t>KM-610-PALEC w/g rys.021760</t>
  </si>
  <si>
    <t>401P01</t>
  </si>
  <si>
    <t>PRĘT CIĄGN. D-6 45 0.22KG/MB</t>
  </si>
  <si>
    <t>10.50</t>
  </si>
  <si>
    <t>0.02380</t>
  </si>
  <si>
    <t>900K03-210</t>
  </si>
  <si>
    <t>KMD-610 PANEL ANTYRYKOSZETOWY PEŁNY 610X260X50 Z PODCIĘCIEM</t>
  </si>
  <si>
    <t>435P10</t>
  </si>
  <si>
    <t>PŁYTA Z GRANULATU GUMOWEGO PAK.MOST-600x700</t>
  </si>
  <si>
    <t>73.92</t>
  </si>
  <si>
    <t>0.50054</t>
  </si>
  <si>
    <t>0.47727</t>
  </si>
  <si>
    <t>900K03-211</t>
  </si>
  <si>
    <t>KMD-610 PANEL ANTYRYKOSZETOWY PEŁNY 610X610X50 Z PODCIĘCIEM</t>
  </si>
  <si>
    <t>0.00625</t>
  </si>
  <si>
    <t>0.34090</t>
  </si>
  <si>
    <t>900K03-410</t>
  </si>
  <si>
    <t>KMD-610 ŚRUBA M20X2,5</t>
  </si>
  <si>
    <t>0.46250</t>
  </si>
  <si>
    <t>900K03-510</t>
  </si>
  <si>
    <t>KMD-610 ZACISK FREZOWANY</t>
  </si>
  <si>
    <t>61K021875-00-0200</t>
  </si>
  <si>
    <t>KMD-610 ZACISK</t>
  </si>
  <si>
    <t>8.58</t>
  </si>
  <si>
    <t>0.08438</t>
  </si>
  <si>
    <t>900K03-520</t>
  </si>
  <si>
    <t>KMD-610 KOSTKA FREZOWANIE</t>
  </si>
  <si>
    <t>61K021876-00-0200</t>
  </si>
  <si>
    <t>KMD-610 KOSTKA</t>
  </si>
  <si>
    <t>1.56</t>
  </si>
  <si>
    <t>900K04-221</t>
  </si>
  <si>
    <t>KMR-610 HAK PRAY (FREZOWANY)</t>
  </si>
  <si>
    <t>61K021898-00-0200</t>
  </si>
  <si>
    <t>KMR-610 HAK PRAWY</t>
  </si>
  <si>
    <t>17.90</t>
  </si>
  <si>
    <t>900K04-231</t>
  </si>
  <si>
    <t>KMR-610 HAK LEWY (FREZOWANY)</t>
  </si>
  <si>
    <t>61K021897-00-0200</t>
  </si>
  <si>
    <t>KMR-610 HAK LEWY</t>
  </si>
  <si>
    <t>900K04-240</t>
  </si>
  <si>
    <t>KMR-610 UCHWYT</t>
  </si>
  <si>
    <t>0.05795</t>
  </si>
  <si>
    <t>900M04-201</t>
  </si>
  <si>
    <t>SMD-1 ŚRUBA 3 nr rys 022054</t>
  </si>
  <si>
    <t>0.27830</t>
  </si>
  <si>
    <t>900M04-210</t>
  </si>
  <si>
    <t>SMD-1 PALEC nr rys 022111</t>
  </si>
  <si>
    <t>403P00</t>
  </si>
  <si>
    <t>PRĘT CIĄGN. D-28 18G2A 4.83KG/MB</t>
  </si>
  <si>
    <t>900M04-230</t>
  </si>
  <si>
    <t>SMD-1 TULEJA 1 nr rys 022107</t>
  </si>
  <si>
    <t>403P60</t>
  </si>
  <si>
    <t>PRĘT CIĄGN. D-32 18G2A 6,31kg/mb</t>
  </si>
  <si>
    <t>900M04-240</t>
  </si>
  <si>
    <t>SMD-1 BLACHA ZAWIASU 1 nr rys 022106</t>
  </si>
  <si>
    <t>61S022106-01-0200</t>
  </si>
  <si>
    <t>SMD-1 BLACHA ZAWIASU 1</t>
  </si>
  <si>
    <t>8.36</t>
  </si>
  <si>
    <t>900M04-260</t>
  </si>
  <si>
    <t>SMD-1 TULEJA 2 nr rys 022110</t>
  </si>
  <si>
    <t>900M04-270</t>
  </si>
  <si>
    <t>SMD-1 BLACHA ZAWIASU 2 FREZ. nr rys 022109</t>
  </si>
  <si>
    <t>61S022109-01-0200</t>
  </si>
  <si>
    <t>SMD-1 BLACHA ZAWIASU 2</t>
  </si>
  <si>
    <t>900M04-411</t>
  </si>
  <si>
    <t>SMD-1 ŚRUBA 2 nr rys 022121</t>
  </si>
  <si>
    <t>403P13</t>
  </si>
  <si>
    <t>PRĘT WALC. D-24 18G2 3.55KG/MB</t>
  </si>
  <si>
    <t>0.31950</t>
  </si>
  <si>
    <t>900M04-581</t>
  </si>
  <si>
    <t>SMD-1 ŚRUBA rys nr 022157</t>
  </si>
  <si>
    <t>0.34000</t>
  </si>
  <si>
    <t>900O01-321</t>
  </si>
  <si>
    <t>RURA STRZAŁOWA w/g rys.025161</t>
  </si>
  <si>
    <t>400R38</t>
  </si>
  <si>
    <t>RURA STAL. D-48X4 R-45</t>
  </si>
  <si>
    <t>0.25333</t>
  </si>
  <si>
    <t>0.08333</t>
  </si>
  <si>
    <t>900O01-322</t>
  </si>
  <si>
    <t>DYSZA PROSTA w/g rys.025162</t>
  </si>
  <si>
    <t>0.71000</t>
  </si>
  <si>
    <t>0.21060</t>
  </si>
  <si>
    <t>900O07-201</t>
  </si>
  <si>
    <t>OŚ STRZEPYWACZA RYS.001182</t>
  </si>
  <si>
    <t>1.19643</t>
  </si>
  <si>
    <t>900O07-400</t>
  </si>
  <si>
    <t>OŚ KÓŁKA RYS.000632</t>
  </si>
  <si>
    <t>0.10500</t>
  </si>
  <si>
    <t>900O09-221</t>
  </si>
  <si>
    <t>RURA STRZAŁOWA UFO-A-15000-MoST w/g rys.024004p.17</t>
  </si>
  <si>
    <t>69.67</t>
  </si>
  <si>
    <t>0.57485</t>
  </si>
  <si>
    <t>1.69696</t>
  </si>
  <si>
    <t>POKRYWA I WENTYLATOR-SMOK 3;4;5,</t>
  </si>
  <si>
    <t>1.75000</t>
  </si>
  <si>
    <t>POKRYWA II WENTYLATOR-SMOK 3;4;5,</t>
  </si>
  <si>
    <t>0.00650</t>
  </si>
  <si>
    <t>0.82500</t>
  </si>
  <si>
    <t>900O10-150</t>
  </si>
  <si>
    <t>PIASTA WENTYLATOR-SMOK 3;4;5,</t>
  </si>
  <si>
    <t>0.00061</t>
  </si>
  <si>
    <t>0.32844</t>
  </si>
  <si>
    <t>KORPUS MIMOŚRODU  rys.009635 poz.1</t>
  </si>
  <si>
    <t>404P16</t>
  </si>
  <si>
    <t>PRĘT AL. D-40 PA6 3.39KG/MB</t>
  </si>
  <si>
    <t>0.16111</t>
  </si>
  <si>
    <t>900O10-500</t>
  </si>
  <si>
    <t>OŚ WIRNIKA rys.010458</t>
  </si>
  <si>
    <t>0.09975</t>
  </si>
  <si>
    <t>900O13-141</t>
  </si>
  <si>
    <t>RURKA PRZYŁĄCZENIOWA</t>
  </si>
  <si>
    <t>400R82</t>
  </si>
  <si>
    <t>RURA STAL. D-38X2.9 R-35</t>
  </si>
  <si>
    <t>0.04642</t>
  </si>
  <si>
    <t>0.16667</t>
  </si>
  <si>
    <t>900O13-201</t>
  </si>
  <si>
    <t>ŚRUBA SPECJALNA w/g rys.025227</t>
  </si>
  <si>
    <t>420Ś44</t>
  </si>
  <si>
    <t>ŚRUBA M20x40 KL. 8.8/105</t>
  </si>
  <si>
    <t>0.15035</t>
  </si>
  <si>
    <t>900O13-232</t>
  </si>
  <si>
    <t>RURKA PRZYŁĄCZENIOWA w/g rys.024986</t>
  </si>
  <si>
    <t>400R67</t>
  </si>
  <si>
    <t>RURA STAL. D-38X4 R-35</t>
  </si>
  <si>
    <t>0.16630</t>
  </si>
  <si>
    <t>900O13-236</t>
  </si>
  <si>
    <t>RURA KOMORY 2 w/g rys.025009</t>
  </si>
  <si>
    <t>406R02</t>
  </si>
  <si>
    <t>RURA STAL. D-60.3X4 R-35</t>
  </si>
  <si>
    <t>73.70</t>
  </si>
  <si>
    <t>0.16825</t>
  </si>
  <si>
    <t>0.18695</t>
  </si>
  <si>
    <t>900O13-240</t>
  </si>
  <si>
    <t>RURA ODPŁYWU w/g rys.025018</t>
  </si>
  <si>
    <t>400R98</t>
  </si>
  <si>
    <t>RURA STAL. D-88.9X6.3 R-35</t>
  </si>
  <si>
    <t>149.00</t>
  </si>
  <si>
    <t>0.40604</t>
  </si>
  <si>
    <t>0.26739</t>
  </si>
  <si>
    <t>900O13-252</t>
  </si>
  <si>
    <t>RURA OBUSTRONNIE GWINTOWANA 1' w/g rys.026822</t>
  </si>
  <si>
    <t>0.08800</t>
  </si>
  <si>
    <t>0.10760</t>
  </si>
  <si>
    <t>900O13-253</t>
  </si>
  <si>
    <t>RURKA PRZYŁĄCZENIOWA 1"GZ w/g rys.026821</t>
  </si>
  <si>
    <t>0.04600</t>
  </si>
  <si>
    <t>0.09615</t>
  </si>
  <si>
    <t>900O13-410</t>
  </si>
  <si>
    <t>OŚ w/g rys.025138</t>
  </si>
  <si>
    <t>403P06</t>
  </si>
  <si>
    <t>PRĘT CIĄGN. D-14 18G2A 1.21KG/MB</t>
  </si>
  <si>
    <t>0.12121</t>
  </si>
  <si>
    <t>900O13-421</t>
  </si>
  <si>
    <t>0.06034</t>
  </si>
  <si>
    <t>0.13589</t>
  </si>
  <si>
    <t>900O13-430</t>
  </si>
  <si>
    <t>RURA ZBIORNIKA MAŁEGO w/g rys.025226</t>
  </si>
  <si>
    <t>400R49</t>
  </si>
  <si>
    <t>RURA STAL. D-193.7x4 R-35</t>
  </si>
  <si>
    <t>195.00</t>
  </si>
  <si>
    <t>900O14-440</t>
  </si>
  <si>
    <t>DWUZŁĄCZE ZBIORNIKA w/g rys.027300</t>
  </si>
  <si>
    <t>400R13</t>
  </si>
  <si>
    <t>RURA STAL. D-168.3X5 R-35</t>
  </si>
  <si>
    <t>177.00</t>
  </si>
  <si>
    <t>0.13729</t>
  </si>
  <si>
    <t>62D024980-00-0200</t>
  </si>
  <si>
    <t>WET-5000-N-KOŁNIERZ 2</t>
  </si>
  <si>
    <t>96.20</t>
  </si>
  <si>
    <t>62D027291-00-0200</t>
  </si>
  <si>
    <t>WET-4000-N-DWUZŁĄCZE ZBIORNIKA-B49</t>
  </si>
  <si>
    <t>91.00</t>
  </si>
  <si>
    <t>33.25000</t>
  </si>
  <si>
    <t>0.51848</t>
  </si>
  <si>
    <t>900O14-452</t>
  </si>
  <si>
    <t>KOMORA ZESPOŁU WLEWU WODY w/g rys.0273004</t>
  </si>
  <si>
    <t>425N73</t>
  </si>
  <si>
    <t>NITONAKR.półsześciokątna nierdzewna M8 24H008C01 A2</t>
  </si>
  <si>
    <t>79.00</t>
  </si>
  <si>
    <t>62D025149-00-0200</t>
  </si>
  <si>
    <t>WET-5000-N-BLACHA 18</t>
  </si>
  <si>
    <t>45.35</t>
  </si>
  <si>
    <t>62D027269-00-0200</t>
  </si>
  <si>
    <t>WET-4000-N-KOMORA ZESPOŁU WLEWU WODY-B22</t>
  </si>
  <si>
    <t>57.20</t>
  </si>
  <si>
    <t>62D027275-00-0200</t>
  </si>
  <si>
    <t>WET-4000-N-KOMORA ZESPOŁU WLEWU WODY-B28</t>
  </si>
  <si>
    <t>124.50</t>
  </si>
  <si>
    <t>200.00000</t>
  </si>
  <si>
    <t>0.58913</t>
  </si>
  <si>
    <t>900O14-453</t>
  </si>
  <si>
    <t>ŚCIANA DOLNA ZBIORNIKA w/g rys.025062</t>
  </si>
  <si>
    <t>0.06017</t>
  </si>
  <si>
    <t>62D024961-00-0200</t>
  </si>
  <si>
    <t>WET-5000-N-ŚCIANA DOLNA ZBIORNIKA</t>
  </si>
  <si>
    <t>35.00</t>
  </si>
  <si>
    <t>800.00000</t>
  </si>
  <si>
    <t>0.30870</t>
  </si>
  <si>
    <t>0.21410</t>
  </si>
  <si>
    <t>900O14-511</t>
  </si>
  <si>
    <t>RURA ZBIORNIKA w/g rys.027311</t>
  </si>
  <si>
    <t>400R09</t>
  </si>
  <si>
    <t>RURA STAL. D-273x4 S235JR</t>
  </si>
  <si>
    <t>320.00</t>
  </si>
  <si>
    <t>0.64130</t>
  </si>
  <si>
    <t>900O28-410</t>
  </si>
  <si>
    <t>ZESPÓŁ CZYSZCZENIA FILTRA w/g rys.013106</t>
  </si>
  <si>
    <t>405R12</t>
  </si>
  <si>
    <t>RURA CU D-18x1</t>
  </si>
  <si>
    <t>426Z25</t>
  </si>
  <si>
    <t>ZAWÓR KULOWY 1/2"W/W PRZELOTOWY Z RĄCZKĄ</t>
  </si>
  <si>
    <t>435U39</t>
  </si>
  <si>
    <t>USZCZELKA "O" 18X2,5</t>
  </si>
  <si>
    <t>441W02</t>
  </si>
  <si>
    <t>KOŃC.WĘŻA D=16mm/1/2"Z L=28mm Klucz24</t>
  </si>
  <si>
    <t>8.81</t>
  </si>
  <si>
    <t>443Z29</t>
  </si>
  <si>
    <t>ZŁĄCZKA ZACIS.DO RUR MIEDZ.GWZEW 18/1/2"</t>
  </si>
  <si>
    <t>10.52</t>
  </si>
  <si>
    <t>453Ł53</t>
  </si>
  <si>
    <t>ŁOŻYSKO 6004 ZZ</t>
  </si>
  <si>
    <t>4.16</t>
  </si>
  <si>
    <t>453P06</t>
  </si>
  <si>
    <t>PIERŚ.OSAD.SEEGERA Z-20</t>
  </si>
  <si>
    <t>0.15</t>
  </si>
  <si>
    <t>453P41</t>
  </si>
  <si>
    <t>PIERŚ.OSAD.SEEGERA W-42</t>
  </si>
  <si>
    <t>900O28-411</t>
  </si>
  <si>
    <t>PROWADNICA w/g rys.013002</t>
  </si>
  <si>
    <t>36.00</t>
  </si>
  <si>
    <t>904U92-210</t>
  </si>
  <si>
    <t>RFN-1-Zespół czysz.filtra-Dysza wirująca</t>
  </si>
  <si>
    <t>41.79</t>
  </si>
  <si>
    <t>904U92-220</t>
  </si>
  <si>
    <t>RFN-1-Zespół czysz.filtra-Oprawa łożyska</t>
  </si>
  <si>
    <t>27.90</t>
  </si>
  <si>
    <t>255.00000</t>
  </si>
  <si>
    <t>0.22424</t>
  </si>
  <si>
    <t>PROWADNICA rys.013002</t>
  </si>
  <si>
    <t>0.32282</t>
  </si>
  <si>
    <t>900O29-200</t>
  </si>
  <si>
    <t>ZESPÓŁ POKRYWY w/g rys.013504</t>
  </si>
  <si>
    <t>420N11</t>
  </si>
  <si>
    <t>NAKRĘTKA M5 KOŁPAKOWA</t>
  </si>
  <si>
    <t>75.80</t>
  </si>
  <si>
    <t>0.00175</t>
  </si>
  <si>
    <t>420W18</t>
  </si>
  <si>
    <t>WKRĘT M6X16 PŁ.</t>
  </si>
  <si>
    <t>WKRĘT M5X16 STOŻ. /KG/</t>
  </si>
  <si>
    <t>0.00565</t>
  </si>
  <si>
    <t>435U11</t>
  </si>
  <si>
    <t>USZCZELKA KRONLIST 10X4MM CZARNA 200mb</t>
  </si>
  <si>
    <t>1.49</t>
  </si>
  <si>
    <t>443U13</t>
  </si>
  <si>
    <t>UCHWYT DO ERGA</t>
  </si>
  <si>
    <t>61K013009-00-0200</t>
  </si>
  <si>
    <t>MATRIX-1A-Pokrywa</t>
  </si>
  <si>
    <t>36.48</t>
  </si>
  <si>
    <t>900O29-210</t>
  </si>
  <si>
    <t>ZESPÓŁ CZYSZCZENIA FILTRA MATRIX-1-A</t>
  </si>
  <si>
    <t>414.04</t>
  </si>
  <si>
    <t>25.00000</t>
  </si>
  <si>
    <t>0.20750</t>
  </si>
  <si>
    <t>ZESPÓŁ CZYSZCZENIA FILTRA w/g rys.013500</t>
  </si>
  <si>
    <t>0.32584</t>
  </si>
  <si>
    <t>426K17</t>
  </si>
  <si>
    <t>KOLANO 1/2" GZ-GZ</t>
  </si>
  <si>
    <t>15.93</t>
  </si>
  <si>
    <t>426Z26</t>
  </si>
  <si>
    <t>ZAWÓR ESM85 085002 CEME 1/2" 230V AC</t>
  </si>
  <si>
    <t>171.30</t>
  </si>
  <si>
    <t>441T63</t>
  </si>
  <si>
    <t>TRÓJNIK RÓWNOPRZELOTOWY 18-Cu</t>
  </si>
  <si>
    <t>5.83</t>
  </si>
  <si>
    <t>7.01</t>
  </si>
  <si>
    <t>453Ł59</t>
  </si>
  <si>
    <t>ŁUK JEDNOKIELICHOWY 45 STOPNI 18-Cu</t>
  </si>
  <si>
    <t>5.23</t>
  </si>
  <si>
    <t>900O29-213</t>
  </si>
  <si>
    <t>ZESPÓŁ DYSZ w/g rys.013453</t>
  </si>
  <si>
    <t>28.91</t>
  </si>
  <si>
    <t>900O29-214</t>
  </si>
  <si>
    <t>ZASLEPKA Z DYSZĄ w/g rys.013453 poz.3</t>
  </si>
  <si>
    <t>900O29-215</t>
  </si>
  <si>
    <t>OPRAWA ŁOŻYSKA</t>
  </si>
  <si>
    <t>37.98</t>
  </si>
  <si>
    <t>900O29-216</t>
  </si>
  <si>
    <t>MATRIX 1000-1-A-Oś obrotu</t>
  </si>
  <si>
    <t>15.40</t>
  </si>
  <si>
    <t>250.00000</t>
  </si>
  <si>
    <t>0.60303</t>
  </si>
  <si>
    <t>ZESPÓŁ DYSZ  w/g rys.013453</t>
  </si>
  <si>
    <t>170.00000</t>
  </si>
  <si>
    <t>0.12424</t>
  </si>
  <si>
    <t>ZAŚLEPKA Z  DYSZĄ w/g rys.013456 poz.3</t>
  </si>
  <si>
    <t>404P04</t>
  </si>
  <si>
    <t>PRĘT AL. D-20 PA6 0.85KG/MB</t>
  </si>
  <si>
    <t>OPRAWA ŁOŻYSKA w/g rys.13454</t>
  </si>
  <si>
    <t>400P40</t>
  </si>
  <si>
    <t>PRĘT WALC. D-80 ST3S 39.5KG/MB</t>
  </si>
  <si>
    <t>2.80000</t>
  </si>
  <si>
    <t>0.52121</t>
  </si>
  <si>
    <t>OŚ OBROTU w/g rys.013455</t>
  </si>
  <si>
    <t>900O42-250</t>
  </si>
  <si>
    <t>RAK-1000-R-TULEJA WIRNIKA w/g rys.018150</t>
  </si>
  <si>
    <t>400R18</t>
  </si>
  <si>
    <t>RURA STAL. D-15X2.5 R-35</t>
  </si>
  <si>
    <t>0.08100</t>
  </si>
  <si>
    <t>900O44-500</t>
  </si>
  <si>
    <t>RAK-2000-R-WAŁEK DYSTANSU w/g rys.018609</t>
  </si>
  <si>
    <t>0.24770</t>
  </si>
  <si>
    <t>900O50-102</t>
  </si>
  <si>
    <t>WSPORNIK RYS.010465</t>
  </si>
  <si>
    <t>0.24675</t>
  </si>
  <si>
    <t>900O51-203</t>
  </si>
  <si>
    <t>OŚ WÓZKA RYS.010309</t>
  </si>
  <si>
    <t>0.21698</t>
  </si>
  <si>
    <t>0.21025</t>
  </si>
  <si>
    <t>900O51-301</t>
  </si>
  <si>
    <t>OŚ STRZEPYWACZA RYS.010268</t>
  </si>
  <si>
    <t>401P15</t>
  </si>
  <si>
    <t>PRĘT KWADR. K-12X12 45 1.13KG/MB</t>
  </si>
  <si>
    <t>900O53-203</t>
  </si>
  <si>
    <t>OŚ WÓZKA RYS.010284</t>
  </si>
  <si>
    <t>0.24057</t>
  </si>
  <si>
    <t>0.20769</t>
  </si>
  <si>
    <t>900O56-130</t>
  </si>
  <si>
    <t>MATRIX 1000-W-1-S TULEJKA DYNSTANSOWA OSŁONY WD RYS 19982</t>
  </si>
  <si>
    <t>404R14</t>
  </si>
  <si>
    <t>RURA ALUM. D-10X1 PA38 0.08KG/MB</t>
  </si>
  <si>
    <t>900O71-130</t>
  </si>
  <si>
    <t>POCHŁANIACZA DYMU PD-1-Hak dźwigni</t>
  </si>
  <si>
    <t>0.06667</t>
  </si>
  <si>
    <t>0.20113</t>
  </si>
  <si>
    <t>900O71-220</t>
  </si>
  <si>
    <t>WSPORNIK PORĘCZY w/g rys.013892</t>
  </si>
  <si>
    <t>GĄSKA ALUMINIOWA AK 226 UWAGA ROZŁADUNEK TYLKO BOKIEM</t>
  </si>
  <si>
    <t>0.00017</t>
  </si>
  <si>
    <t>MAL004</t>
  </si>
  <si>
    <t>MALOWANIE specjalne-PYTON</t>
  </si>
  <si>
    <t>0.75</t>
  </si>
  <si>
    <t>0.12045</t>
  </si>
  <si>
    <t>900O71-231</t>
  </si>
  <si>
    <t>ŁAPA I UCHWYTU w/g rys.013894</t>
  </si>
  <si>
    <t>0.00008</t>
  </si>
  <si>
    <t>900O71-232</t>
  </si>
  <si>
    <t>ŁAPA II UCHWYTU w/g rys.013895</t>
  </si>
  <si>
    <t>1.20000</t>
  </si>
  <si>
    <t>900O71-241</t>
  </si>
  <si>
    <t>UCHWYT RURY "A" w/g rys013905</t>
  </si>
  <si>
    <t>0.46667</t>
  </si>
  <si>
    <t>900O71-251</t>
  </si>
  <si>
    <t>UCHWYT RURY "B' w/g rys.013907</t>
  </si>
  <si>
    <t>0.53333</t>
  </si>
  <si>
    <t>0.16931</t>
  </si>
  <si>
    <t>900O71-260</t>
  </si>
  <si>
    <t>PODKŁADKA DYSTANSOWA w/g rys.013908</t>
  </si>
  <si>
    <t>404P23</t>
  </si>
  <si>
    <t>PRĘT AL. D-25 PA6 1.32KG/MB</t>
  </si>
  <si>
    <t>0.10340</t>
  </si>
  <si>
    <t>900O71-270</t>
  </si>
  <si>
    <t>TULEJA I w/g rys.013922</t>
  </si>
  <si>
    <t>0.12272</t>
  </si>
  <si>
    <t>900O71-280</t>
  </si>
  <si>
    <t>TULEJA II w/g rys.013923</t>
  </si>
  <si>
    <t>0.11136</t>
  </si>
  <si>
    <t>900O79-211</t>
  </si>
  <si>
    <t>SMOKE ABS.POCHŁANIACZ-STELAŻNOŚNY-Szpilka</t>
  </si>
  <si>
    <t>0.08760</t>
  </si>
  <si>
    <t>900O80-101</t>
  </si>
  <si>
    <t>ZAŚLEPKA w/g rys.013761</t>
  </si>
  <si>
    <t>900O80-310</t>
  </si>
  <si>
    <t>PIASTA D=19 ŻELIWNA w/g rys.012156</t>
  </si>
  <si>
    <t>400O20</t>
  </si>
  <si>
    <t>ODLEW ŻELIWNY PIASTY 14;19</t>
  </si>
  <si>
    <t>0.58333</t>
  </si>
  <si>
    <t>900O87-310</t>
  </si>
  <si>
    <t>ROBUST-1000 STRZEPYWACZ-Oś Rys.014253</t>
  </si>
  <si>
    <t>0.62083</t>
  </si>
  <si>
    <t>0.25757</t>
  </si>
  <si>
    <t>900O87-400</t>
  </si>
  <si>
    <t>ROBUST-1000 Prowadnica strzepywacza Rys.014255</t>
  </si>
  <si>
    <t>403P17</t>
  </si>
  <si>
    <t>PRĘT POLIAMIDOWY D-65</t>
  </si>
  <si>
    <t>45.00</t>
  </si>
  <si>
    <t>0.25555</t>
  </si>
  <si>
    <t>0.24318</t>
  </si>
  <si>
    <t>900O87-500</t>
  </si>
  <si>
    <t>ROBUST-1000 REDUKCJA RYS.014257</t>
  </si>
  <si>
    <t>900O89-310</t>
  </si>
  <si>
    <t>ROBUST-2000-STRZEPYWACZ-Oś strzepywacza w/g rys.014570</t>
  </si>
  <si>
    <t>0.62916</t>
  </si>
  <si>
    <t>0.25795</t>
  </si>
  <si>
    <t>900O93-161</t>
  </si>
  <si>
    <t>HARD-5000-S-Mimośród</t>
  </si>
  <si>
    <t>403P03</t>
  </si>
  <si>
    <t>PRĘT STAL. D-55 18G2A 18.7KG/MB</t>
  </si>
  <si>
    <t>0.47000</t>
  </si>
  <si>
    <t>900O93-162</t>
  </si>
  <si>
    <t>HARD-5000-S-Sworzeń</t>
  </si>
  <si>
    <t>0.11320</t>
  </si>
  <si>
    <t>900O94-211</t>
  </si>
  <si>
    <t>PRZYŁĄCZE PŁYWAKA w/g rys.027764</t>
  </si>
  <si>
    <t>400R83</t>
  </si>
  <si>
    <t>RURA STAL. D-51X4 R-35</t>
  </si>
  <si>
    <t>41.80</t>
  </si>
  <si>
    <t>0.09928</t>
  </si>
  <si>
    <t>900O94-721</t>
  </si>
  <si>
    <t>OBUDOWA AL WET-4000-ALU/Ex w/g rys.027943</t>
  </si>
  <si>
    <t>OBUDOWA AL-UFO-A-5000-N 5,5kW D=230mm w/g rys.025709</t>
  </si>
  <si>
    <t>143.00</t>
  </si>
  <si>
    <t>1.28205</t>
  </si>
  <si>
    <t>900O95-321</t>
  </si>
  <si>
    <t>OBUDOWA WENTYLATORA AL/Ex w/g rys.027757</t>
  </si>
  <si>
    <t>OBUDOWA AL-UFO-A-10000-N 11,0kW w/g rys.025821</t>
  </si>
  <si>
    <t>3780.40</t>
  </si>
  <si>
    <t>900O96-111</t>
  </si>
  <si>
    <t>PIASTA WIRNIKA WENTYLATORA WE-5,5/D w/g rys.010997</t>
  </si>
  <si>
    <t>17340.00000</t>
  </si>
  <si>
    <t>5.25000</t>
  </si>
  <si>
    <t>900O98-240</t>
  </si>
  <si>
    <t>MOMOŚRÓD w/g rys.026179</t>
  </si>
  <si>
    <t>420Ś02</t>
  </si>
  <si>
    <t>ŚRUBA M10X50 KL.8.8/105</t>
  </si>
  <si>
    <t>8.65</t>
  </si>
  <si>
    <t>0.03545</t>
  </si>
  <si>
    <t>0.03295</t>
  </si>
  <si>
    <t>421W65</t>
  </si>
  <si>
    <t>WKRĘT DOCISKOWY M5x8 Z GNIAZDEM 6-KĄTNYM I CZOPEM WALCOWYM DIN 915</t>
  </si>
  <si>
    <t>421W66</t>
  </si>
  <si>
    <t>WKRĘT DOCISKOWY M5 Z GNIAZDEM 6-KĄTNYM I KOŃCEM WGŁĘBIONYM DIN 916</t>
  </si>
  <si>
    <t>0.02</t>
  </si>
  <si>
    <t>0.01481</t>
  </si>
  <si>
    <t>0.05286</t>
  </si>
  <si>
    <t>900P05-330</t>
  </si>
  <si>
    <t>ŁĄCZNIK 3 w/g rys.021615</t>
  </si>
  <si>
    <t>0.26000</t>
  </si>
  <si>
    <t>0.12954</t>
  </si>
  <si>
    <t>900P05-340</t>
  </si>
  <si>
    <t>ŁACZNIK 2 w/g rys.021616</t>
  </si>
  <si>
    <t>0.30714</t>
  </si>
  <si>
    <t>0.12841</t>
  </si>
  <si>
    <t>900P05-360</t>
  </si>
  <si>
    <t>ŁĄCZNIK 1 w/g rys.021617</t>
  </si>
  <si>
    <t>0.22000</t>
  </si>
  <si>
    <t>900P05-390</t>
  </si>
  <si>
    <t>OŚ w/g rys.022250</t>
  </si>
  <si>
    <t>401P10</t>
  </si>
  <si>
    <t>PRĘT CIĄGN. D-14 45 1.21KG/MB</t>
  </si>
  <si>
    <t>0.12851</t>
  </si>
  <si>
    <t>900P05-411</t>
  </si>
  <si>
    <t>ŚRUBA w/g rys.021936</t>
  </si>
  <si>
    <t>900S03-400</t>
  </si>
  <si>
    <t>WSPORNIK rys.008980</t>
  </si>
  <si>
    <t>900S03-500</t>
  </si>
  <si>
    <t>PRĘT D=6  rys.009042 poz.5</t>
  </si>
  <si>
    <t>1.22255</t>
  </si>
  <si>
    <t>0.02714</t>
  </si>
  <si>
    <t>900S15-800</t>
  </si>
  <si>
    <t>PODKŁADKA REZOTEX 12/5x2</t>
  </si>
  <si>
    <t>0.00123</t>
  </si>
  <si>
    <t>0.02437</t>
  </si>
  <si>
    <t>900S16-130</t>
  </si>
  <si>
    <t>MISTOL MIX-1000 PDKŁADKA TEKSTOLIT =2 FI 12/5,3</t>
  </si>
  <si>
    <t>0.00040</t>
  </si>
  <si>
    <t>900W10-010</t>
  </si>
  <si>
    <t>TRZPIEŃ OBROTNIKA w/g rys.025408</t>
  </si>
  <si>
    <t>0.21000</t>
  </si>
  <si>
    <t>0.14142</t>
  </si>
  <si>
    <t>900W10-020</t>
  </si>
  <si>
    <t>CZUJNIK SZCZELINOWY w/g rys.025410</t>
  </si>
  <si>
    <t>432W02</t>
  </si>
  <si>
    <t>WAŁEK TARNAM. D-18 0.32KG/MB</t>
  </si>
  <si>
    <t>0.01667</t>
  </si>
  <si>
    <t>0.18571</t>
  </si>
  <si>
    <t>900W10-111</t>
  </si>
  <si>
    <t>TULEJKA DYSTANSOWA ROLKI D=15/d10,5x5,5 w/g rys.025401</t>
  </si>
  <si>
    <t>0.00141</t>
  </si>
  <si>
    <t>0.03913</t>
  </si>
  <si>
    <t>900W10-710</t>
  </si>
  <si>
    <t>PODKŁADKA IZOLACYJNA D9,5 x d 6,0x1 w/g rys.025398</t>
  </si>
  <si>
    <t>0.00112</t>
  </si>
  <si>
    <t>900W10-720</t>
  </si>
  <si>
    <t>PODKŁADKA IZOLACYJNA D11,0 x d6,0x1 w/g rys.025399</t>
  </si>
  <si>
    <t>901A01-300</t>
  </si>
  <si>
    <t>WSPORNIK WENTYLATORA w/g rys.006840</t>
  </si>
  <si>
    <t>0.10681</t>
  </si>
  <si>
    <t>901A21-100</t>
  </si>
  <si>
    <t>WW-2-1-1 do CGA-1</t>
  </si>
  <si>
    <t>400R58</t>
  </si>
  <si>
    <t>RURA STAL. D-75X2.5 R-35</t>
  </si>
  <si>
    <t>8.70</t>
  </si>
  <si>
    <t>421N36</t>
  </si>
  <si>
    <t>NIT ZRYW.DSF 4X10 /12414010/ SZCZELNY</t>
  </si>
  <si>
    <t>0.18500</t>
  </si>
  <si>
    <t>0.06100</t>
  </si>
  <si>
    <t>422Ś38</t>
  </si>
  <si>
    <t>ŚRUBA IMBUSOWA M8X16KL.10.9/ STOŻEK</t>
  </si>
  <si>
    <t>16.55</t>
  </si>
  <si>
    <t>0.00300</t>
  </si>
  <si>
    <t>0.04050</t>
  </si>
  <si>
    <t>0.01350</t>
  </si>
  <si>
    <t>0.19600</t>
  </si>
  <si>
    <t>435A16</t>
  </si>
  <si>
    <t>AMORTYZATOR GUM-MET. B 25-15</t>
  </si>
  <si>
    <t>444V03</t>
  </si>
  <si>
    <t>RURA PCV R-2,4</t>
  </si>
  <si>
    <t>444V05</t>
  </si>
  <si>
    <t>KOLANO 45 KL-45</t>
  </si>
  <si>
    <t>444V07</t>
  </si>
  <si>
    <t>KOLANO 90 KRÓTKIE KL-90-K</t>
  </si>
  <si>
    <t>444V11</t>
  </si>
  <si>
    <t>KLEJ DO PCV</t>
  </si>
  <si>
    <t>0.16200</t>
  </si>
  <si>
    <t>901A21-110</t>
  </si>
  <si>
    <t>PRZYŁĄCZE I WG. RYS.009188</t>
  </si>
  <si>
    <t>50.16</t>
  </si>
  <si>
    <t>414.00000</t>
  </si>
  <si>
    <t>1680.00000</t>
  </si>
  <si>
    <t>5220.00000</t>
  </si>
  <si>
    <t>415.00000</t>
  </si>
  <si>
    <t>3.16275</t>
  </si>
  <si>
    <t>0.36750</t>
  </si>
  <si>
    <t>PRZYŁĄCZE I DO WW2-1-1 CGA-2</t>
  </si>
  <si>
    <t>0.22821</t>
  </si>
  <si>
    <t>62C009018-00-0200</t>
  </si>
  <si>
    <t>CGA-1 POCHLANIACZ KOLNIERZ</t>
  </si>
  <si>
    <t>3.47</t>
  </si>
  <si>
    <t>62C009189-00-0200</t>
  </si>
  <si>
    <t>Kołnierz I</t>
  </si>
  <si>
    <t>7.81</t>
  </si>
  <si>
    <t>125.00000</t>
  </si>
  <si>
    <t>901A21-200</t>
  </si>
  <si>
    <t>Gniazdo przyłączeniowe Dn80 w/g rys.008828</t>
  </si>
  <si>
    <t>400R97</t>
  </si>
  <si>
    <t>RURA STAL. D-88.9X5 R-35</t>
  </si>
  <si>
    <t>0.06675</t>
  </si>
  <si>
    <t>62C008828-02-0200</t>
  </si>
  <si>
    <t>CGA-1 POCHŁANIACZ P2 KOŁNIERZ 4X110/100</t>
  </si>
  <si>
    <t>0.19640</t>
  </si>
  <si>
    <t>901A21-210</t>
  </si>
  <si>
    <t>Zaślepka Dn=80 w/g rys.009050</t>
  </si>
  <si>
    <t>720.00000</t>
  </si>
  <si>
    <t>0.22500</t>
  </si>
  <si>
    <t>901A21-300</t>
  </si>
  <si>
    <t>Gniazdo przyłączeniowe Dn32 w/g rys.009037</t>
  </si>
  <si>
    <t>400P54</t>
  </si>
  <si>
    <t>PRĘT WALC. D-60 ST3S 22.2KG/MB</t>
  </si>
  <si>
    <t>901A21-310</t>
  </si>
  <si>
    <t>Zaślepka Dn=32 w/g rys.009051</t>
  </si>
  <si>
    <t>404P30</t>
  </si>
  <si>
    <t>PRĘT AL. D-55 PA6 6.41KG/MB</t>
  </si>
  <si>
    <t>901O02-100</t>
  </si>
  <si>
    <t>ROZPÓRKA w/g rys.002732</t>
  </si>
  <si>
    <t>0.10550</t>
  </si>
  <si>
    <t>901O03-100</t>
  </si>
  <si>
    <t>WW-2-1-1100-SMOK</t>
  </si>
  <si>
    <t>400R04</t>
  </si>
  <si>
    <t>RURA STAL. D-108X4 R-35</t>
  </si>
  <si>
    <t>41.00</t>
  </si>
  <si>
    <t>0.36000</t>
  </si>
  <si>
    <t>401S20</t>
  </si>
  <si>
    <t>SIATKA OCYNK. |0.7X220X390 CC axb6x11</t>
  </si>
  <si>
    <t>409S30</t>
  </si>
  <si>
    <t>1,1/230/50/3000/80/B35/IP54 NAKIEŁEK GWINTOWANY (kołnierz, łapa)</t>
  </si>
  <si>
    <t>449.19</t>
  </si>
  <si>
    <t>411S55</t>
  </si>
  <si>
    <t>1.1/230/2700 SMg80-2C B14.2/0782 R.09890</t>
  </si>
  <si>
    <t>434.00</t>
  </si>
  <si>
    <t>422Ś40</t>
  </si>
  <si>
    <t>ŚRUBA IMBUSOWA M6X16 KL.8.8/105</t>
  </si>
  <si>
    <t>0.00450</t>
  </si>
  <si>
    <t>943W18-110</t>
  </si>
  <si>
    <t>ELEMENT TŁUMIKA I WENTYLATORA WW 3-HPB</t>
  </si>
  <si>
    <t>30.13</t>
  </si>
  <si>
    <t>38896.00000</t>
  </si>
  <si>
    <t>101.00000</t>
  </si>
  <si>
    <t>202.00000</t>
  </si>
  <si>
    <t>196.00000</t>
  </si>
  <si>
    <t>3.62250</t>
  </si>
  <si>
    <t>0.15750</t>
  </si>
  <si>
    <t>901O03-200</t>
  </si>
  <si>
    <t>KROCIEC D=60x70  rys.010637</t>
  </si>
  <si>
    <t>901O03-210</t>
  </si>
  <si>
    <t>KROCIEC D=50x70  rys.010375</t>
  </si>
  <si>
    <t>0.07535</t>
  </si>
  <si>
    <t>0.10454</t>
  </si>
  <si>
    <t>901O03-220</t>
  </si>
  <si>
    <t>PRĘT GWINTOWANY M8x375 rys.010365</t>
  </si>
  <si>
    <t>4.76</t>
  </si>
  <si>
    <t>901O03-230</t>
  </si>
  <si>
    <t>RĄCZKA   rys.010777poz.2</t>
  </si>
  <si>
    <t>400R01</t>
  </si>
  <si>
    <t>RURA STAL. D-18X2 R-35</t>
  </si>
  <si>
    <t>8.29</t>
  </si>
  <si>
    <t>0.19021</t>
  </si>
  <si>
    <t>0.03714</t>
  </si>
  <si>
    <t>901O03-310</t>
  </si>
  <si>
    <t>REDUKCJA rys.010373</t>
  </si>
  <si>
    <t>901O03-320</t>
  </si>
  <si>
    <t>KRÓCIEC 2"x30-REDUKCJA rys.010697</t>
  </si>
  <si>
    <t>901O03-410</t>
  </si>
  <si>
    <t>KRÓCIEC 2"x30-KOŁNIERZ  rys.010698</t>
  </si>
  <si>
    <t>0.00794</t>
  </si>
  <si>
    <t>0.00793</t>
  </si>
  <si>
    <t>404P29</t>
  </si>
  <si>
    <t>PRĘT AL. D-45 PA6 4.29KG/MB</t>
  </si>
  <si>
    <t>0.36667</t>
  </si>
  <si>
    <t>400R56</t>
  </si>
  <si>
    <t>RURA STAL. D-22X1.5 R-35 /6M/</t>
  </si>
  <si>
    <t>17.20</t>
  </si>
  <si>
    <t>0.09333</t>
  </si>
  <si>
    <t>0.24667</t>
  </si>
  <si>
    <t>0.17613</t>
  </si>
  <si>
    <t>432W18</t>
  </si>
  <si>
    <t>WAŁEK TARNAM. D-40 1.50KG/MB</t>
  </si>
  <si>
    <t>0.00709</t>
  </si>
  <si>
    <t>0.06179</t>
  </si>
  <si>
    <t>901O05-212</t>
  </si>
  <si>
    <t>ZAŚLEPKA WYLOTOWA</t>
  </si>
  <si>
    <t>3.06</t>
  </si>
  <si>
    <t>901O05-215</t>
  </si>
  <si>
    <t>SMOK VAC-200-Oprawa łożyska</t>
  </si>
  <si>
    <t>20.90</t>
  </si>
  <si>
    <t>904U92-211</t>
  </si>
  <si>
    <t>RFN-1-Dysza wirująca-Oś obrotu</t>
  </si>
  <si>
    <t>12.40</t>
  </si>
  <si>
    <t>ZAŚLEPKA WYLOTOWA w/g rys.013364</t>
  </si>
  <si>
    <t>0.05681</t>
  </si>
  <si>
    <t>OPRAWA ŁOŻYSKA w/g rys.013363</t>
  </si>
  <si>
    <t>0.80133</t>
  </si>
  <si>
    <t>901O09-200</t>
  </si>
  <si>
    <t>WAŁEK TURBINY w/g rys.026287</t>
  </si>
  <si>
    <t>0.11428</t>
  </si>
  <si>
    <t>0.16363</t>
  </si>
  <si>
    <t>901O11-200</t>
  </si>
  <si>
    <t>TULEJA II  Rys.013902</t>
  </si>
  <si>
    <t>0.02350</t>
  </si>
  <si>
    <t>901Z02-100</t>
  </si>
  <si>
    <t>ZESTAW ODKURZAJACY- PRZEJŚCIÓWKA RYS.014328</t>
  </si>
  <si>
    <t>403P45</t>
  </si>
  <si>
    <t>PRĘT POLIAMIDOWY D-55 (3 kg/mb)</t>
  </si>
  <si>
    <t>0.37500</t>
  </si>
  <si>
    <t>902O00-402</t>
  </si>
  <si>
    <t>SWORZEŃ USTALAJĄCY RYS.009767</t>
  </si>
  <si>
    <t>0.08400</t>
  </si>
  <si>
    <t>902O00-502</t>
  </si>
  <si>
    <t>OŚ STRZEPYWACZA RYS.010329</t>
  </si>
  <si>
    <t>0.26025</t>
  </si>
  <si>
    <t>902O00-800</t>
  </si>
  <si>
    <t>GNIAZDO DOLNE RYS 009872</t>
  </si>
  <si>
    <t>0.17850</t>
  </si>
  <si>
    <t>902O00-801</t>
  </si>
  <si>
    <t>GNIAZDO GÓRNE RYS.009873</t>
  </si>
  <si>
    <t>902O00-804</t>
  </si>
  <si>
    <t>KÓŁKO ALUM. Z OPONKĄ RYS.000043</t>
  </si>
  <si>
    <t>452O01</t>
  </si>
  <si>
    <t>OPONKA D-125/37.5/50</t>
  </si>
  <si>
    <t>3.79</t>
  </si>
  <si>
    <t>0.00250</t>
  </si>
  <si>
    <t>902O00-806</t>
  </si>
  <si>
    <t>ODLEW KPL.KÓŁKA R.000043</t>
  </si>
  <si>
    <t>7.67</t>
  </si>
  <si>
    <t>0.15571</t>
  </si>
  <si>
    <t>902O00-805</t>
  </si>
  <si>
    <t>OŚ NOGI RYS.010309</t>
  </si>
  <si>
    <t>KÓŁKO ALUMINIOWE Z OPONKĄ rys.000043-ODLEW</t>
  </si>
  <si>
    <t>0.00030</t>
  </si>
  <si>
    <t>0.08857</t>
  </si>
  <si>
    <t>902O03-102</t>
  </si>
  <si>
    <t>REDUKCJA G3/8"-D13 RYS.009879</t>
  </si>
  <si>
    <t>0.18833</t>
  </si>
  <si>
    <t>902O07-700</t>
  </si>
  <si>
    <t>TENDER VAC-200 TULEJA  013512</t>
  </si>
  <si>
    <t>902O11-700</t>
  </si>
  <si>
    <t>STORM-1000-PRZYSŁONA-odlew w/g rys.014111</t>
  </si>
  <si>
    <t>0.00069</t>
  </si>
  <si>
    <t>0.73333</t>
  </si>
  <si>
    <t>902O12-310</t>
  </si>
  <si>
    <t>POKRYWA II WENTYLATORA RYS.014061</t>
  </si>
  <si>
    <t>0.01800</t>
  </si>
  <si>
    <t>1.83000</t>
  </si>
  <si>
    <t>0.70000</t>
  </si>
  <si>
    <t>902O12-320</t>
  </si>
  <si>
    <t>STORM-2000-WIRNIK D=365/D=24 w/g ryys.014127</t>
  </si>
  <si>
    <t>0.00900</t>
  </si>
  <si>
    <t>2.75000</t>
  </si>
  <si>
    <t>1.47000</t>
  </si>
  <si>
    <t>902O12-810</t>
  </si>
  <si>
    <t>STORM-2000 PRZYSŁONA RYS.014058</t>
  </si>
  <si>
    <t>0.00060</t>
  </si>
  <si>
    <t>902O19-215</t>
  </si>
  <si>
    <t>STORM-5000-SOFT-H-ZBIORNIK-Tulejka zawiasu</t>
  </si>
  <si>
    <t>0.13207</t>
  </si>
  <si>
    <t>902O19-221</t>
  </si>
  <si>
    <t>STORM-5000-SOFT-H-ZBIORNIK-Klapa spustowa-Pręt D=8</t>
  </si>
  <si>
    <t>0.03030</t>
  </si>
  <si>
    <t>902O19-240</t>
  </si>
  <si>
    <t>STORM-5000-SOFT-H-ZBIORNIK-Sworzeń</t>
  </si>
  <si>
    <t>0.06818</t>
  </si>
  <si>
    <t>902O22-120</t>
  </si>
  <si>
    <t>STORM-5000-H-WENTYLATOR-PODKŁADKA PIASTY 38 w/g rys.022939</t>
  </si>
  <si>
    <t>0.15556</t>
  </si>
  <si>
    <t>902U12-100</t>
  </si>
  <si>
    <t>KRÓCIEC w/g rys.003667</t>
  </si>
  <si>
    <t>400R15</t>
  </si>
  <si>
    <t>RURA STAL. D-48.3X5 R-35</t>
  </si>
  <si>
    <t>902U12-200</t>
  </si>
  <si>
    <t>TRZPIEŃ w/g rys.001003</t>
  </si>
  <si>
    <t>426Ś79</t>
  </si>
  <si>
    <t>ŚRUBA M8X60 KL.8.8/101</t>
  </si>
  <si>
    <t>0.02600</t>
  </si>
  <si>
    <t>902U12-300</t>
  </si>
  <si>
    <t>ŚCIĄG FILTRA w/g rys.002341 poz.8</t>
  </si>
  <si>
    <t>0.50900</t>
  </si>
  <si>
    <t>0.05333</t>
  </si>
  <si>
    <t>902U12-400</t>
  </si>
  <si>
    <t>KRÓCIEC WĘŻA w/g rys.003666</t>
  </si>
  <si>
    <t>400R86</t>
  </si>
  <si>
    <t>RURA STAL. D-51X5 R-35 5.67KG/M</t>
  </si>
  <si>
    <t>0.07575</t>
  </si>
  <si>
    <t>0.15700</t>
  </si>
  <si>
    <t>902U12-500</t>
  </si>
  <si>
    <t>DYSZA WIRUJĄCA w/g rys.000505</t>
  </si>
  <si>
    <t>405P08</t>
  </si>
  <si>
    <t>PRĘT MOS. D-30 MO58 6.15KG/MB</t>
  </si>
  <si>
    <t>405R01</t>
  </si>
  <si>
    <t>RURA MOS. D-10X1 M-63 0.24KG/MB</t>
  </si>
  <si>
    <t>405R02</t>
  </si>
  <si>
    <t>RURA MOS. D-18X1 M-63 0.45KG/MB</t>
  </si>
  <si>
    <t>0.08250</t>
  </si>
  <si>
    <t>902U12-600</t>
  </si>
  <si>
    <t>OPRAWA ŁOŻYSKA w/g rys.000506 poz.1</t>
  </si>
  <si>
    <t>401P34</t>
  </si>
  <si>
    <t>PRĘT WALC. D-32 45 6.31KG/MB</t>
  </si>
  <si>
    <t>0.26250</t>
  </si>
  <si>
    <t>902U12-700</t>
  </si>
  <si>
    <t>PROWADNICA RURKI w/g rys.000593</t>
  </si>
  <si>
    <t>432W09</t>
  </si>
  <si>
    <t>WAŁEK TARNAM. D-25 0.60KG/MB</t>
  </si>
  <si>
    <t>0.02400</t>
  </si>
  <si>
    <t>0.15650</t>
  </si>
  <si>
    <t>902U30-210</t>
  </si>
  <si>
    <t>PRĘT D=7x502 rys.002813 poz.3</t>
  </si>
  <si>
    <t>0.21739</t>
  </si>
  <si>
    <t>0.05275</t>
  </si>
  <si>
    <t>902U32-121</t>
  </si>
  <si>
    <t>UES-N-PRZEPUSTNICA-PRĘT KWADRATOWY 10x10w/g rys.018468</t>
  </si>
  <si>
    <t>0.35975</t>
  </si>
  <si>
    <t>0.12878</t>
  </si>
  <si>
    <t>903O10-111</t>
  </si>
  <si>
    <t>TULEJKA DYSTANSOWA 004376poz 10</t>
  </si>
  <si>
    <t>0.02142</t>
  </si>
  <si>
    <t>903O11-311</t>
  </si>
  <si>
    <t>TULEJKA DYSTANSOWA 004465poz10</t>
  </si>
  <si>
    <t>403P46</t>
  </si>
  <si>
    <t>PRĘT POLIAMIDOWY D30 (0,88kg/mb)</t>
  </si>
  <si>
    <t>0.01250</t>
  </si>
  <si>
    <t>903W03-111</t>
  </si>
  <si>
    <t>WAŁEK GWINTOWANYd=20/195</t>
  </si>
  <si>
    <t>903W06-210</t>
  </si>
  <si>
    <t>WIRNIK PROMIENIOWY-PIASTA D=24</t>
  </si>
  <si>
    <t>34.00</t>
  </si>
  <si>
    <t>903W08-210</t>
  </si>
  <si>
    <t>PIASTA D=19 WIRNIKA PROMIENIOWEGO</t>
  </si>
  <si>
    <t>903W17-210</t>
  </si>
  <si>
    <t>PIASTA D=42 WIRNIKA PROMIENIOWEGO</t>
  </si>
  <si>
    <t>ODLEW ŻELIWNY PIASTY 38;42</t>
  </si>
  <si>
    <t>0.85869</t>
  </si>
  <si>
    <t>903W19-111</t>
  </si>
  <si>
    <t>WAŁEK GWINTOWANY D=50/403</t>
  </si>
  <si>
    <t>6.31051</t>
  </si>
  <si>
    <t>0.19545</t>
  </si>
  <si>
    <t>903W45-210</t>
  </si>
  <si>
    <t>PIASTA D=55 WIRNIKA PROMIENIOWEGO</t>
  </si>
  <si>
    <t>903W63-110</t>
  </si>
  <si>
    <t>WSPORNIK D20/173 w/g rys.000104</t>
  </si>
  <si>
    <t>0.44811</t>
  </si>
  <si>
    <t>2.87878</t>
  </si>
  <si>
    <t>903W65-131</t>
  </si>
  <si>
    <t>WAŁEK GWINTOWANY D20/179 w/g rys.000117</t>
  </si>
  <si>
    <t>0.45283</t>
  </si>
  <si>
    <t>903W70-111</t>
  </si>
  <si>
    <t>WAŁEK GWINT.WSPORNIKA d=20/273 w/g rys.000207</t>
  </si>
  <si>
    <t>0.69184</t>
  </si>
  <si>
    <t>7105.00000</t>
  </si>
  <si>
    <t>0.10714</t>
  </si>
  <si>
    <t>115.00000</t>
  </si>
  <si>
    <t>0.06950</t>
  </si>
  <si>
    <t>0.00993</t>
  </si>
  <si>
    <t>904O11-700</t>
  </si>
  <si>
    <t>CZOP KRÓTKI Z TARCZĄ 007408 poz1,2</t>
  </si>
  <si>
    <t>0.72000</t>
  </si>
  <si>
    <t>6.61111</t>
  </si>
  <si>
    <t>0.00420</t>
  </si>
  <si>
    <t>3.25217</t>
  </si>
  <si>
    <t>39.50</t>
  </si>
  <si>
    <t>0.26086</t>
  </si>
  <si>
    <t>OŚ ROLKI PODPOROWEJ  w/g rys.001519</t>
  </si>
  <si>
    <t>0.11992</t>
  </si>
  <si>
    <t>0.25227</t>
  </si>
  <si>
    <t>0.09240</t>
  </si>
  <si>
    <t>OŚ ROLKI DOCISKAJĄCEJ  w/g rys.001522</t>
  </si>
  <si>
    <t>0.11578</t>
  </si>
  <si>
    <t>401P06</t>
  </si>
  <si>
    <t>PRĘT SZEŚC. S-22 45 3.29KG/MB</t>
  </si>
  <si>
    <t>0.08966</t>
  </si>
  <si>
    <t>401P39</t>
  </si>
  <si>
    <t>PRĘT SZEŚC. S-16 A10X 1.74 KG/MB</t>
  </si>
  <si>
    <t>0.07438</t>
  </si>
  <si>
    <t>401P22</t>
  </si>
  <si>
    <t>PRĘT WALC. D-35 45 7.55KG/MB</t>
  </si>
  <si>
    <t>0.12857</t>
  </si>
  <si>
    <t>0.36086</t>
  </si>
  <si>
    <t>426Ś58</t>
  </si>
  <si>
    <t>ŚRUBA M8X20 KL.8.8/105</t>
  </si>
  <si>
    <t>0.01180</t>
  </si>
  <si>
    <t>0.04021</t>
  </si>
  <si>
    <t>0.10377</t>
  </si>
  <si>
    <t>0.14673</t>
  </si>
  <si>
    <t>401P19</t>
  </si>
  <si>
    <t>PRĘT KWADR. K-14X14 45 1.54KG/MB</t>
  </si>
  <si>
    <t>0.10484</t>
  </si>
  <si>
    <t>0.31630</t>
  </si>
  <si>
    <t>0.05213</t>
  </si>
  <si>
    <t>0.02040</t>
  </si>
  <si>
    <t>405P24</t>
  </si>
  <si>
    <t>PRĘT MOS. D-15 MO58 1.55KG/MB</t>
  </si>
  <si>
    <t>0.05113</t>
  </si>
  <si>
    <t>0.15185</t>
  </si>
  <si>
    <t>404P19</t>
  </si>
  <si>
    <t>PRĘT AL. D-35 PA6 2.59KG/MB</t>
  </si>
  <si>
    <t>0.05556</t>
  </si>
  <si>
    <t>405P15</t>
  </si>
  <si>
    <t>PRĘT MOS. S-14 MO58 1.45KG/MB</t>
  </si>
  <si>
    <t>40.00</t>
  </si>
  <si>
    <t>0.02875</t>
  </si>
  <si>
    <t>0.15760</t>
  </si>
  <si>
    <t>0.08014</t>
  </si>
  <si>
    <t>904O25-351</t>
  </si>
  <si>
    <t>PIERŚCIEŃ DYSTANSOWY  rys.001170 poz.5</t>
  </si>
  <si>
    <t>0.02143</t>
  </si>
  <si>
    <t>0.37735</t>
  </si>
  <si>
    <t>422Ś19</t>
  </si>
  <si>
    <t>ŚRUBA IMBUSOWA M10X70KL 8.8/101</t>
  </si>
  <si>
    <t>15.88</t>
  </si>
  <si>
    <t>0.05270</t>
  </si>
  <si>
    <t>0.32391</t>
  </si>
  <si>
    <t>405P14</t>
  </si>
  <si>
    <t>PRĘT MOS. D-18 MO58 2.21KG/MB</t>
  </si>
  <si>
    <t>0.20760</t>
  </si>
  <si>
    <t>904O25-354</t>
  </si>
  <si>
    <t>ŚRUBA ZACZEPU LINKI rys.001175 poz.2</t>
  </si>
  <si>
    <t>0.00384</t>
  </si>
  <si>
    <t>0.05156</t>
  </si>
  <si>
    <t>0.00355</t>
  </si>
  <si>
    <t>0.07021</t>
  </si>
  <si>
    <t>0.04171</t>
  </si>
  <si>
    <t>405P04</t>
  </si>
  <si>
    <t>PRĘT BRĄZ. D-25 BA1032 4.33KG/MB</t>
  </si>
  <si>
    <t>38.00</t>
  </si>
  <si>
    <t>0.13158</t>
  </si>
  <si>
    <t>0.15652</t>
  </si>
  <si>
    <t>0.05200</t>
  </si>
  <si>
    <t>403P19</t>
  </si>
  <si>
    <t>PRĘT WALC. D-35 40HM 7.55KG/MB</t>
  </si>
  <si>
    <t>904O50-110</t>
  </si>
  <si>
    <t>SPRĘŻYNA I II rys.009366</t>
  </si>
  <si>
    <t>403D04</t>
  </si>
  <si>
    <t>DRUT SPRĘŻ.D-4</t>
  </si>
  <si>
    <t>0.40223</t>
  </si>
  <si>
    <t>0.20909</t>
  </si>
  <si>
    <t>904O50-120</t>
  </si>
  <si>
    <t>STELAŻ OSŁONY rys.003064</t>
  </si>
  <si>
    <t>400P63</t>
  </si>
  <si>
    <t>PRĘT CIĄGN. D-8 ST3S 0.39KG/MB</t>
  </si>
  <si>
    <t>9.39</t>
  </si>
  <si>
    <t>400R61</t>
  </si>
  <si>
    <t>RURA STAL. D-10X2.5 R-35</t>
  </si>
  <si>
    <t>0.78636</t>
  </si>
  <si>
    <t>904O50-130</t>
  </si>
  <si>
    <t>OBUDOWA CEWKI ELEKTROMAGNESU</t>
  </si>
  <si>
    <t>1.05494</t>
  </si>
  <si>
    <t>1000.00000</t>
  </si>
  <si>
    <t>2875.00000</t>
  </si>
  <si>
    <t>0.78974</t>
  </si>
  <si>
    <t>0.18333</t>
  </si>
  <si>
    <t>904O50-140</t>
  </si>
  <si>
    <t>ZWORA ELEKTROMAGNESU</t>
  </si>
  <si>
    <t>0.69230</t>
  </si>
  <si>
    <t>0.18205</t>
  </si>
  <si>
    <t>0.31143</t>
  </si>
  <si>
    <t>904O50-200</t>
  </si>
  <si>
    <t>PŁYTA BALANSERA rys.007033</t>
  </si>
  <si>
    <t>5250.00000</t>
  </si>
  <si>
    <t>2.10000</t>
  </si>
  <si>
    <t>904O50-300</t>
  </si>
  <si>
    <t>OBEJMA ROLKI rys.005027a</t>
  </si>
  <si>
    <t>904O50-310</t>
  </si>
  <si>
    <t>CZOP  rys.005029a</t>
  </si>
  <si>
    <t>904O50-320</t>
  </si>
  <si>
    <t>KORPUS ROLKI rys.005031a</t>
  </si>
  <si>
    <t>0.20217</t>
  </si>
  <si>
    <t>904O50-330</t>
  </si>
  <si>
    <t>PIERŚCIEŃ DYSTANSOWY w/g rys.005032a</t>
  </si>
  <si>
    <t>400R11</t>
  </si>
  <si>
    <t>RURA STAL. D-16X2 R-35</t>
  </si>
  <si>
    <t>0.05325</t>
  </si>
  <si>
    <t>904O50-340</t>
  </si>
  <si>
    <t>ROLKA D=45 rys.007041 poz.1</t>
  </si>
  <si>
    <t>0.20900</t>
  </si>
  <si>
    <t>904O50-341</t>
  </si>
  <si>
    <t>PIERŚCIEŃ DYSTANSOWY w/g rys.007041 poz.2</t>
  </si>
  <si>
    <t>400R94</t>
  </si>
  <si>
    <t>RURA STAL. D-15X3 R-35</t>
  </si>
  <si>
    <t>904O50-342</t>
  </si>
  <si>
    <t>SWORZEŃ  rys.004447 poz.6</t>
  </si>
  <si>
    <t>904O50-343</t>
  </si>
  <si>
    <t>PRZELOTKA LINKI D=5 rys.007217</t>
  </si>
  <si>
    <t>405P17</t>
  </si>
  <si>
    <t>PRĘT BRĄZ. D-15 B101 1.55KG/MB</t>
  </si>
  <si>
    <t>904O50-344</t>
  </si>
  <si>
    <t>CZOP  rys.003081poz.2</t>
  </si>
  <si>
    <t>904O50-350</t>
  </si>
  <si>
    <t>PIASTA SLIMAKA rys.004445</t>
  </si>
  <si>
    <t>0.90150</t>
  </si>
  <si>
    <t>1.54545</t>
  </si>
  <si>
    <t>0.31363</t>
  </si>
  <si>
    <t>904O50-351</t>
  </si>
  <si>
    <t>ŚLIMAK D=64 rys.004444</t>
  </si>
  <si>
    <t>0.78718</t>
  </si>
  <si>
    <t>904O50-352</t>
  </si>
  <si>
    <t>CZOP rys.004442 poz.1</t>
  </si>
  <si>
    <t>403P32</t>
  </si>
  <si>
    <t>PRĘT WALC. D-60 NC6 22,0Kg/MB</t>
  </si>
  <si>
    <t>3.75000</t>
  </si>
  <si>
    <t>904O50-360</t>
  </si>
  <si>
    <t>NAPINACZ LINKI D=5mm rys.005037a</t>
  </si>
  <si>
    <t>0.02830</t>
  </si>
  <si>
    <t>0.39623</t>
  </si>
  <si>
    <t>0.20416</t>
  </si>
  <si>
    <t>0.52692</t>
  </si>
  <si>
    <t>904O50-361</t>
  </si>
  <si>
    <t>TULEJA NAPINACZA rys.007057</t>
  </si>
  <si>
    <t>0.13571</t>
  </si>
  <si>
    <t>0.11025</t>
  </si>
  <si>
    <t>0.31410</t>
  </si>
  <si>
    <t>904O50-362</t>
  </si>
  <si>
    <t>PIERŚCIEŃ NAPINACZA rys.007042 poz.7</t>
  </si>
  <si>
    <t>904O50-370</t>
  </si>
  <si>
    <t>ZACZEP SPRĘŻYNY GAZOWEJ rys.005033a</t>
  </si>
  <si>
    <t>904O50-380</t>
  </si>
  <si>
    <t>TULEJA DYSTANSOWA KRZYWKI rys.007035</t>
  </si>
  <si>
    <t>0.05385</t>
  </si>
  <si>
    <t>432W23</t>
  </si>
  <si>
    <t>WAŁEK POLIAMID CZARNY D=85 7,80KG/MB</t>
  </si>
  <si>
    <t>57.50</t>
  </si>
  <si>
    <t>0.51043</t>
  </si>
  <si>
    <t>0.64456</t>
  </si>
  <si>
    <t>432O04</t>
  </si>
  <si>
    <t>OBUDOWA ELEKTROMAGNESU SSAK w/g rys..009476</t>
  </si>
  <si>
    <t>KPL</t>
  </si>
  <si>
    <t>904O52-250</t>
  </si>
  <si>
    <t>KOLANO 160-90 w/g rys.017567</t>
  </si>
  <si>
    <t>0.21304</t>
  </si>
  <si>
    <t>904O52-260</t>
  </si>
  <si>
    <t>PROSTKA 160-500 w/g rys.017568</t>
  </si>
  <si>
    <t>904O52-721</t>
  </si>
  <si>
    <t>SSAK-07 TULEJA DYSTANSOWA ELEKTROMAGNESU w/g rys.029041</t>
  </si>
  <si>
    <t>RURA PCV D-73,03 x długość 3000 mm kolor BIAŁY grubość ścianki 5,16mm SCH40 2 1/2</t>
  </si>
  <si>
    <t>116.42</t>
  </si>
  <si>
    <t>0.08114</t>
  </si>
  <si>
    <t>904O58-010</t>
  </si>
  <si>
    <t>SSAK-L/G-KORPUS OBUDOWY ELEKTROMAGNESU w/g rys.012483</t>
  </si>
  <si>
    <t>0.30256</t>
  </si>
  <si>
    <t>904O58-111</t>
  </si>
  <si>
    <t>SSAK-L/G-RURA WYSIĘGNIKA w/g rys.009178</t>
  </si>
  <si>
    <t>404P05</t>
  </si>
  <si>
    <t>PROFIL ALUM. 25X25X2 PA38 0,50Kg/mb</t>
  </si>
  <si>
    <t>904O58-112</t>
  </si>
  <si>
    <t>SSAK-L/G-PRZEJŚCIÓWKA UCHWYTU w/g rys.009177</t>
  </si>
  <si>
    <t>404R05</t>
  </si>
  <si>
    <t>RURA ALUM. D-22X1.5 PA38 0,26KG/MB</t>
  </si>
  <si>
    <t>0.05769</t>
  </si>
  <si>
    <t>904O58-113</t>
  </si>
  <si>
    <t>SSAK-L/G-OBUDOWA ELEKTROMAGNESU w/g rys.009171</t>
  </si>
  <si>
    <t>415L25</t>
  </si>
  <si>
    <t>LISTWA ZACISKOWA B4/6</t>
  </si>
  <si>
    <t>8.41</t>
  </si>
  <si>
    <t>420W101</t>
  </si>
  <si>
    <t>WKRĘT M8x25 DIN 7985A z łbem walc. soczewk.z gn.krz.</t>
  </si>
  <si>
    <t>20.29</t>
  </si>
  <si>
    <t>420W93</t>
  </si>
  <si>
    <t>WKRĘT M4X20 WALC. /KG/</t>
  </si>
  <si>
    <t>0.00249</t>
  </si>
  <si>
    <t>425N51</t>
  </si>
  <si>
    <t>NITONAKR.STAL.OC.OTWARTA z KOŁ.PŁASKIM M6x16 23M06C01</t>
  </si>
  <si>
    <t>18.64</t>
  </si>
  <si>
    <t>0.00215</t>
  </si>
  <si>
    <t>427W04</t>
  </si>
  <si>
    <t>WKRĘT M5X8 WALC. DIN 7985</t>
  </si>
  <si>
    <t>3.49</t>
  </si>
  <si>
    <t>0.00952</t>
  </si>
  <si>
    <t>68K023161-00-0200</t>
  </si>
  <si>
    <t>SSAK-L/G-PŁYTKA MONTAŻOWA OBUDOWY ELEKTROMAGNESU</t>
  </si>
  <si>
    <t>26.92</t>
  </si>
  <si>
    <t>0.13205</t>
  </si>
  <si>
    <t>904O70-110</t>
  </si>
  <si>
    <t>ALAN-UE-22-HD-PROWADZENIE SPRĘŻYNY w/g rys.019018</t>
  </si>
  <si>
    <t>904O70-120</t>
  </si>
  <si>
    <t>ALAN-UE-22-HD-SWORZEŃ w/g rys.019088</t>
  </si>
  <si>
    <t>0.06428</t>
  </si>
  <si>
    <t>904O75-210</t>
  </si>
  <si>
    <t>WSPORNIK ŚRUBY w/g rys.011380;011381</t>
  </si>
  <si>
    <t>63A011380-00-0200</t>
  </si>
  <si>
    <t>WSPORNIK ŚRUBY I RYS.011380</t>
  </si>
  <si>
    <t>2.20</t>
  </si>
  <si>
    <t>63A011381-00-0200</t>
  </si>
  <si>
    <t>WSPORNIK ŚRUBY II RYS.011381</t>
  </si>
  <si>
    <t>0.41521</t>
  </si>
  <si>
    <t>0.03128</t>
  </si>
  <si>
    <t>421Ś31</t>
  </si>
  <si>
    <t>ŚRUBA M5X10 KL.8.8/105</t>
  </si>
  <si>
    <t>25.20</t>
  </si>
  <si>
    <t>0.00595</t>
  </si>
  <si>
    <t>0.16087</t>
  </si>
  <si>
    <t>420Ś47</t>
  </si>
  <si>
    <t>ŚRUBA M10X85 KL.8.8/101</t>
  </si>
  <si>
    <t>20.40</t>
  </si>
  <si>
    <t>0.06127</t>
  </si>
  <si>
    <t>0.20435</t>
  </si>
  <si>
    <t>0.07083</t>
  </si>
  <si>
    <t>0.09347</t>
  </si>
  <si>
    <t>904O80-410</t>
  </si>
  <si>
    <t>BEL-SSAK- ZDERZAK NASADKA TRZPIENIA SIŁOWNIKA</t>
  </si>
  <si>
    <t>0.20757</t>
  </si>
  <si>
    <t>0.20283</t>
  </si>
  <si>
    <t>0.09900</t>
  </si>
  <si>
    <t>432W21</t>
  </si>
  <si>
    <t>WAŁEK TARNAM. D-30 0.86KG/MB</t>
  </si>
  <si>
    <t>0.04042</t>
  </si>
  <si>
    <t>0.03649</t>
  </si>
  <si>
    <t>0.03302</t>
  </si>
  <si>
    <t>0.03804</t>
  </si>
  <si>
    <t>0.06132</t>
  </si>
  <si>
    <t>0.03684</t>
  </si>
  <si>
    <t>904O90-500</t>
  </si>
  <si>
    <t>PROFIL 40x40x3 rys.008195</t>
  </si>
  <si>
    <t>400P31</t>
  </si>
  <si>
    <t>PROFIL ZAMK.40X40X3 3.33KG/MB</t>
  </si>
  <si>
    <t>4.39</t>
  </si>
  <si>
    <t>4.39635</t>
  </si>
  <si>
    <t>0.02829</t>
  </si>
  <si>
    <t>904U01-301</t>
  </si>
  <si>
    <t>KRÓCIEC I UFO-1-V rys.010895 poz.1</t>
  </si>
  <si>
    <t>0.31800</t>
  </si>
  <si>
    <t>904U01-302</t>
  </si>
  <si>
    <t>KRÓCIEC II UFO-1-V rys.010895 poz.2</t>
  </si>
  <si>
    <t>0.09600</t>
  </si>
  <si>
    <t>904U01-303</t>
  </si>
  <si>
    <t>KRÓCIEC III UFO-1-V rys.010895 poz.3</t>
  </si>
  <si>
    <t>904U01-304</t>
  </si>
  <si>
    <t>REDUKCJA G1"-G3/8" z przyłączem 2x G1/4" rys.010920 wyk.stal</t>
  </si>
  <si>
    <t>0.33058</t>
  </si>
  <si>
    <t>1.44444</t>
  </si>
  <si>
    <t>0.36363</t>
  </si>
  <si>
    <t>904U01-600</t>
  </si>
  <si>
    <t>ZACZEP w/g rys.007749</t>
  </si>
  <si>
    <t>61C007749-00-0200</t>
  </si>
  <si>
    <t>UFO-1-V ZACZEP</t>
  </si>
  <si>
    <t>0.85</t>
  </si>
  <si>
    <t>0.01847</t>
  </si>
  <si>
    <t>0.04239</t>
  </si>
  <si>
    <t>904U01-700</t>
  </si>
  <si>
    <t>WSPORNIK WENTYLATORA L=88,5 w/g rys.008628/KZ473/12</t>
  </si>
  <si>
    <t>0.23113</t>
  </si>
  <si>
    <t>0.10513</t>
  </si>
  <si>
    <t>904U01-801</t>
  </si>
  <si>
    <t>KRÓCIEC I   w/g rys.007542 poz.1 L=310mm</t>
  </si>
  <si>
    <t>401R01</t>
  </si>
  <si>
    <t>RURA OC. 3/4" ZE SZWEM</t>
  </si>
  <si>
    <t>904U01-802</t>
  </si>
  <si>
    <t>KRÓCIEC II  w/g rys.007542 poz.2 L=138mm</t>
  </si>
  <si>
    <t>904U01-803</t>
  </si>
  <si>
    <t>KRÓCIEC III w/g rys.007542 poz.3 L=250mm</t>
  </si>
  <si>
    <t>904U08-221</t>
  </si>
  <si>
    <t>UFO-5000-RURA Z KRÓĆCEM 1" Z GWINTEM R1" w/g rys.018029</t>
  </si>
  <si>
    <t>0.30500</t>
  </si>
  <si>
    <t>0.12167</t>
  </si>
  <si>
    <t>904U08-222</t>
  </si>
  <si>
    <t>UFO-5000-RURA 1" L=100 w/g rys.018010 poz.6</t>
  </si>
  <si>
    <t>904U08-223</t>
  </si>
  <si>
    <t>UFO-5000-RURA 1" L=383 w/g rys.018010 poz7</t>
  </si>
  <si>
    <t>0.38947</t>
  </si>
  <si>
    <t>904U08-224</t>
  </si>
  <si>
    <t>UFO-5000-RURA 1" L=140 w/g rys.018010 poz8</t>
  </si>
  <si>
    <t>0.14737</t>
  </si>
  <si>
    <t>904U08-225</t>
  </si>
  <si>
    <t>UFO-5000-KRÓCIEC NA WĄŻ 1" I GWINTEM R1" w/g rys.018028</t>
  </si>
  <si>
    <t>0.06500</t>
  </si>
  <si>
    <t>0.12067</t>
  </si>
  <si>
    <t>904U08-226</t>
  </si>
  <si>
    <t>UFO-5000-ZŁĄCZKA SPECJALNA d12-G3/8" w/g rys.018277</t>
  </si>
  <si>
    <t>904U08-227</t>
  </si>
  <si>
    <t>UFO-5000-ROZDZIELACZ 2xG3/8"xG1/4" w/g rys.018312</t>
  </si>
  <si>
    <t>0.52892</t>
  </si>
  <si>
    <t>904U08-272</t>
  </si>
  <si>
    <t>UFO-5000-KRÓCIEC DWUSTRONNY 1" w/g rys.018027</t>
  </si>
  <si>
    <t>0.12166</t>
  </si>
  <si>
    <t>904U09-250</t>
  </si>
  <si>
    <t>ZESPÓŁ POKRĘTŁA WINDY w/g rys.023420</t>
  </si>
  <si>
    <t>425P05</t>
  </si>
  <si>
    <t>PRĘT GWINTOWANY M12X1000</t>
  </si>
  <si>
    <t>425P15</t>
  </si>
  <si>
    <t>PRĘT GWINTOWANY M12x1000 LEWY GWINT</t>
  </si>
  <si>
    <t>13.89</t>
  </si>
  <si>
    <t>61F023419-00-0200</t>
  </si>
  <si>
    <t>UFO-V-15000-ZESPÓŁ POKRĘTŁA WINDY-GWIAZDKA UCHWYTU</t>
  </si>
  <si>
    <t>904U09-251</t>
  </si>
  <si>
    <t>WAŁEK RADEŁKOWANY w/g rys.023418</t>
  </si>
  <si>
    <t>18.13</t>
  </si>
  <si>
    <t>2.42424</t>
  </si>
  <si>
    <t>280.00000</t>
  </si>
  <si>
    <t>0.05151</t>
  </si>
  <si>
    <t>0.09090</t>
  </si>
  <si>
    <t>400P41</t>
  </si>
  <si>
    <t>PRĘT CIĄGN. D-30 ST3S 5.55KG/MB</t>
  </si>
  <si>
    <t>0.33333</t>
  </si>
  <si>
    <t>904U09-310</t>
  </si>
  <si>
    <t>UFO-10000-KRÓCIEC NA WĄŻ 1" i GWINT R1" w/g rys.018028</t>
  </si>
  <si>
    <t>904U09-320</t>
  </si>
  <si>
    <t>UFO-10000-ZŁĄCZKA SPECJALNA d12-G3/8" w/g rys.018277</t>
  </si>
  <si>
    <t>904U09-330</t>
  </si>
  <si>
    <t>UFO-10000-ROZDZIELACZ 2xG3/8"/G1/4" w/g rys.018312</t>
  </si>
  <si>
    <t>904U09-611</t>
  </si>
  <si>
    <t>RURA 2" L=1480 w/g rys.023459 p.1</t>
  </si>
  <si>
    <t>0.25454</t>
  </si>
  <si>
    <t>904U12-610</t>
  </si>
  <si>
    <t>BIG-2000-INSTALACJA PNEUMATYCZNA-Rura gwintowana 1 w/g rys.019475</t>
  </si>
  <si>
    <t>0.10641</t>
  </si>
  <si>
    <t>904U12-620</t>
  </si>
  <si>
    <t>BIG-2000-INSTALACJA PNEUMATYCZNA-Rura gwintowana 2 w/g rys.019476</t>
  </si>
  <si>
    <t>0.07200</t>
  </si>
  <si>
    <t>904U12-630</t>
  </si>
  <si>
    <t>BIG-2000-INSTALACJA PNEUMATYCZNA-Rura gwintowana 3 w/g rys.019477</t>
  </si>
  <si>
    <t>0.20400</t>
  </si>
  <si>
    <t>904U12-640</t>
  </si>
  <si>
    <t>BIG-2000-INSTALACJA PNEUMATYCZNA-Rura gwintowana 4 w/g rys.019478</t>
  </si>
  <si>
    <t>0.25400</t>
  </si>
  <si>
    <t>904U12-810</t>
  </si>
  <si>
    <t>BIG-2000-OŚ KLAPY w/g rys.019466</t>
  </si>
  <si>
    <t>0.04350</t>
  </si>
  <si>
    <t>0.24312</t>
  </si>
  <si>
    <t>904U17-141</t>
  </si>
  <si>
    <t>UFO-A-5000 KOREK ZAŚLEPAJĄCY WG RYS 020130 POZ 14</t>
  </si>
  <si>
    <t>0.20156</t>
  </si>
  <si>
    <t>904U18-140</t>
  </si>
  <si>
    <t>UFO-A-10000-PRĘT DOCISKU w/g rys.019497</t>
  </si>
  <si>
    <t>0.46000</t>
  </si>
  <si>
    <t>0.06923</t>
  </si>
  <si>
    <t>904U19E-600</t>
  </si>
  <si>
    <t>WSPORNIK WENTYLATORA UFO-BASIC w/g rys006840</t>
  </si>
  <si>
    <t>401R11</t>
  </si>
  <si>
    <t>RURA OC.1/2"</t>
  </si>
  <si>
    <t>19.13</t>
  </si>
  <si>
    <t>0.31250</t>
  </si>
  <si>
    <t>0.73717</t>
  </si>
  <si>
    <t>904U40-300</t>
  </si>
  <si>
    <t>PRĘT fi12 w/g rys.004114</t>
  </si>
  <si>
    <t>904U40-400</t>
  </si>
  <si>
    <t>CZOP fi10/fi8 w/g rys.003868</t>
  </si>
  <si>
    <t>904U40-401</t>
  </si>
  <si>
    <t>PROWADNICA PRĘTOWA WKŁADU FILTRACYJNEGO wyk."L" w/g rys.003812</t>
  </si>
  <si>
    <t>904U40-402</t>
  </si>
  <si>
    <t>PROWADNICA PRĘTOWA WKŁADU FILTRACYJNEGO wyk."P" w/g rys.003812</t>
  </si>
  <si>
    <t>904U40-500</t>
  </si>
  <si>
    <t>PRĘT fi16 w/g rys.003556 poz.3</t>
  </si>
  <si>
    <t>0.63207</t>
  </si>
  <si>
    <t>904U40-800</t>
  </si>
  <si>
    <t>KRÓCIEC  I  RYS.010647 POZ.1</t>
  </si>
  <si>
    <t>0.18150</t>
  </si>
  <si>
    <t>0.10700</t>
  </si>
  <si>
    <t>904U40-801</t>
  </si>
  <si>
    <t>KRÓCIEC  II RYS.010647 POZ.2</t>
  </si>
  <si>
    <t>0.20600</t>
  </si>
  <si>
    <t>0.10450</t>
  </si>
  <si>
    <t>904U45-310</t>
  </si>
  <si>
    <t>KRÓCIEC-RURA rys.012293 UFO-1-MN/HN</t>
  </si>
  <si>
    <t>0.15789</t>
  </si>
  <si>
    <t>904U47-310</t>
  </si>
  <si>
    <t>UFO-2-HN/MN-RURA I w/g rys.012292</t>
  </si>
  <si>
    <t>0.12600</t>
  </si>
  <si>
    <t>904U47-320</t>
  </si>
  <si>
    <t>UFO-2-HN/MN-RURA II w/g rys.012293</t>
  </si>
  <si>
    <t>0.15800</t>
  </si>
  <si>
    <t>904U49-310</t>
  </si>
  <si>
    <t>BIG-1000-ELEMENT DYSTANSOWY w/g rys.018100</t>
  </si>
  <si>
    <t>0.21100</t>
  </si>
  <si>
    <t>904U49-410</t>
  </si>
  <si>
    <t>BIG-1000-RURA OBUSTRONNIE GWINTOWANA R1''w/g rys.018365</t>
  </si>
  <si>
    <t>904U49-451</t>
  </si>
  <si>
    <t>BIG-1000-R-RURA OBUSTRONNIE GWINTOWANA R1'' w/g rys.018031</t>
  </si>
  <si>
    <t>0.28800</t>
  </si>
  <si>
    <t>0.10606</t>
  </si>
  <si>
    <t>904U60-100</t>
  </si>
  <si>
    <t>PRĘT OGRANICZAJĄCY fi12 w/g rys.006094</t>
  </si>
  <si>
    <t>904U60-200</t>
  </si>
  <si>
    <t>REDUKCJA G1"-G3/8" z przyłączem 2x G1/4" rys.011681 wyk.stal</t>
  </si>
  <si>
    <t>400P61</t>
  </si>
  <si>
    <t>PRĘT CIĄGN. D-45 ST3S 12.5KG/MB</t>
  </si>
  <si>
    <t>0.37575</t>
  </si>
  <si>
    <t>904U60-310</t>
  </si>
  <si>
    <t>KRÓCIEC I UFO-1 w/g rys.024894</t>
  </si>
  <si>
    <t>0.16800</t>
  </si>
  <si>
    <t>904U60-320</t>
  </si>
  <si>
    <t>KRÓCIEC II UFO-1 w/g rys.024895</t>
  </si>
  <si>
    <t>0.17000</t>
  </si>
  <si>
    <t>904U61-100</t>
  </si>
  <si>
    <t>KRÓCIEC RYS.010668 POZ.1  UFO-1-H-V-A</t>
  </si>
  <si>
    <t>0.07250</t>
  </si>
  <si>
    <t>904U61-200</t>
  </si>
  <si>
    <t>KRÓCIEC  RYS.010668 POZ.2 UFO-1-H-V-A</t>
  </si>
  <si>
    <t>904U61-300</t>
  </si>
  <si>
    <t>ŁĄCZNIK G1"xG3,8" RYS.010674</t>
  </si>
  <si>
    <t>0.44628</t>
  </si>
  <si>
    <t>904U63-400</t>
  </si>
  <si>
    <t>HARD-2000  WSPORNIK EKRANU  RYS.013704</t>
  </si>
  <si>
    <t>0.06250</t>
  </si>
  <si>
    <t>904U64-520</t>
  </si>
  <si>
    <t>KOREK ZAŚLEPIAJĄCY G'1' z uszczeką D=40/d33</t>
  </si>
  <si>
    <t>0.35537</t>
  </si>
  <si>
    <t>85.00000</t>
  </si>
  <si>
    <t>904U65-121</t>
  </si>
  <si>
    <t>SWORZEŃ I  rys.008899</t>
  </si>
  <si>
    <t>0.10256</t>
  </si>
  <si>
    <t>904U65-122</t>
  </si>
  <si>
    <t>SWORZEŃ II rys.008900</t>
  </si>
  <si>
    <t>0.08461</t>
  </si>
  <si>
    <t>904U65-130</t>
  </si>
  <si>
    <t>REDUKCJA  G1"-M10x1 rys.010656</t>
  </si>
  <si>
    <t>405P25</t>
  </si>
  <si>
    <t>PRĘT MOS. D-45 MO58 13.52KG/MB</t>
  </si>
  <si>
    <t>0.47320</t>
  </si>
  <si>
    <t>0.15725</t>
  </si>
  <si>
    <t>904U65-140</t>
  </si>
  <si>
    <t>NYPEL  G1" rys.010655</t>
  </si>
  <si>
    <t>0.61983</t>
  </si>
  <si>
    <t>0.15512</t>
  </si>
  <si>
    <t>904U65-150</t>
  </si>
  <si>
    <t>KRÓCIEC I  UFO-4-M rys.010657 poz.1</t>
  </si>
  <si>
    <t>0.21404</t>
  </si>
  <si>
    <t>0.10593</t>
  </si>
  <si>
    <t>904U65-151</t>
  </si>
  <si>
    <t>KRÓCIEC II UFO-4-M rys.010657 poz.2</t>
  </si>
  <si>
    <t>0.31228</t>
  </si>
  <si>
    <t>904U65-210</t>
  </si>
  <si>
    <t>WSPORNIK I rys.009529</t>
  </si>
  <si>
    <t>1.17143</t>
  </si>
  <si>
    <t>1.59090</t>
  </si>
  <si>
    <t>904U66-210</t>
  </si>
  <si>
    <t>WSPORNIK II rys.00411</t>
  </si>
  <si>
    <t>1.33571</t>
  </si>
  <si>
    <t>1.86363</t>
  </si>
  <si>
    <t>904U66-310</t>
  </si>
  <si>
    <t>PIASTA D38 ŻELIWNA w/g rys.004600</t>
  </si>
  <si>
    <t>5300.00000</t>
  </si>
  <si>
    <t>1.27150</t>
  </si>
  <si>
    <t>904U78-211</t>
  </si>
  <si>
    <t>PIASTA D42-spawana</t>
  </si>
  <si>
    <t>400P77</t>
  </si>
  <si>
    <t>PRĘT WALC. D-85 ST3S 44.5KG/MB</t>
  </si>
  <si>
    <t>3.00</t>
  </si>
  <si>
    <t>5.70000</t>
  </si>
  <si>
    <t>60W009520-02-0200</t>
  </si>
  <si>
    <t>TARCZA PIASTY</t>
  </si>
  <si>
    <t>62.99</t>
  </si>
  <si>
    <t>302.00000</t>
  </si>
  <si>
    <t>0.89300</t>
  </si>
  <si>
    <t>1.31250</t>
  </si>
  <si>
    <t>904U78-212</t>
  </si>
  <si>
    <t>RURA MOSIĘŻNA</t>
  </si>
  <si>
    <t>0.09050</t>
  </si>
  <si>
    <t>904U83-221</t>
  </si>
  <si>
    <t>WIRNIK 560/400x190-3000-PIASTA "42'</t>
  </si>
  <si>
    <t>5550.00000</t>
  </si>
  <si>
    <t>1.32000</t>
  </si>
  <si>
    <t>904U88-202</t>
  </si>
  <si>
    <t>REDUKCJA-G1"- M16x1,5 Rys.016256</t>
  </si>
  <si>
    <t>0.34710</t>
  </si>
  <si>
    <t>904U88-203</t>
  </si>
  <si>
    <t>RURA OBUSTR GWINT R1' L=183mm Rys.016331</t>
  </si>
  <si>
    <t>0.19000</t>
  </si>
  <si>
    <t>904U88-261</t>
  </si>
  <si>
    <t>RURA GWINTOWANA R1" L=130mm Rys.015232</t>
  </si>
  <si>
    <t>0.13533</t>
  </si>
  <si>
    <t>904U88-262</t>
  </si>
  <si>
    <t>KRÓCIEC NA WĄŻ R1" Rys.015644</t>
  </si>
  <si>
    <t>0.10600</t>
  </si>
  <si>
    <t>904U88-810</t>
  </si>
  <si>
    <t>PODAJNIK CELKOWY-KORPUS PODAJNIKA Rys.015646</t>
  </si>
  <si>
    <t>473S04</t>
  </si>
  <si>
    <t>SIATKA ZBROJ.ZGRZE.50X50Xfi3 wym.1000X2400</t>
  </si>
  <si>
    <t>75.00</t>
  </si>
  <si>
    <t>65B015591-00-0200</t>
  </si>
  <si>
    <t>PODAJNIK CELKOWY-KOŁNIERZ BOCZNY</t>
  </si>
  <si>
    <t>65B015594-00-0200</t>
  </si>
  <si>
    <t>BIG-10000 STOŻEK WLOTOWY PODAJNIKA</t>
  </si>
  <si>
    <t>65B016221-00-0200</t>
  </si>
  <si>
    <t>BIG-10000 KOŁNIERZ PRZYŁĄCZENIOWY DOLNY</t>
  </si>
  <si>
    <t>65B016222-00-0200</t>
  </si>
  <si>
    <t>BIG-10000 ELEMENT I KRÓCCA PROSTOKĄTN</t>
  </si>
  <si>
    <t>19.76</t>
  </si>
  <si>
    <t>65B016223-00-0200</t>
  </si>
  <si>
    <t>BIG-10000 ELEMENT II KRÓĆCA PROSTKĄTN</t>
  </si>
  <si>
    <t>11.44</t>
  </si>
  <si>
    <t>65B016313-00-0200</t>
  </si>
  <si>
    <t>BIG-10000 KOŁNIERZ PRZYŁĄCZ GÓRNY</t>
  </si>
  <si>
    <t>29.38</t>
  </si>
  <si>
    <t>904U88-811</t>
  </si>
  <si>
    <t>PODAJNIK CELKOWY-RURA KORPUSU Rys.015645</t>
  </si>
  <si>
    <t>179.10</t>
  </si>
  <si>
    <t>67.80000</t>
  </si>
  <si>
    <t>2.65000</t>
  </si>
  <si>
    <t>0.85000</t>
  </si>
  <si>
    <t>406R07</t>
  </si>
  <si>
    <t>RURA STAL D323,9x8 R35</t>
  </si>
  <si>
    <t>325.00</t>
  </si>
  <si>
    <t>904U88-825</t>
  </si>
  <si>
    <t>PODAJNIK CELKOWY-WIRNIK SPAWANY Rys.015648</t>
  </si>
  <si>
    <t>65B015610-00-0200</t>
  </si>
  <si>
    <t>BIG-10000 TARCZA BOCZNA WIRNIKA</t>
  </si>
  <si>
    <t>65B015611-00-0200</t>
  </si>
  <si>
    <t>BIG-10000 ŁOPATKA WIRNIKA</t>
  </si>
  <si>
    <t>22.10</t>
  </si>
  <si>
    <t>904U88-826</t>
  </si>
  <si>
    <t>PODAJNIK CELKOWY -WAŁEK Rys.015613</t>
  </si>
  <si>
    <t>74.90</t>
  </si>
  <si>
    <t>750.00000</t>
  </si>
  <si>
    <t>5.77143</t>
  </si>
  <si>
    <t>904U88-835</t>
  </si>
  <si>
    <t>PODAJNIK CELKOWY-TRZPIEŃ RAMIENIA Rys.016227</t>
  </si>
  <si>
    <t>904U88-840</t>
  </si>
  <si>
    <t>PODAJNIK CELKOWY-RAMIĘ REAKCYJNE B Rys.016225</t>
  </si>
  <si>
    <t>65B016228-00-0200</t>
  </si>
  <si>
    <t>BIG-10000 RAMIĘ MOTOREDUKTORA</t>
  </si>
  <si>
    <t>15.86</t>
  </si>
  <si>
    <t>904U88-845</t>
  </si>
  <si>
    <t>PODAJNIK CELKOWY-TULEJA RAMIENIA Rys.016229</t>
  </si>
  <si>
    <t>4.02</t>
  </si>
  <si>
    <t>PRĘT CIĄGN D32 18G2A 6,31kg/mb</t>
  </si>
  <si>
    <t>904U88-850</t>
  </si>
  <si>
    <t>PODAJNIK CELKOWY -KOŁEK USTAL POKRYWY Rys.016230</t>
  </si>
  <si>
    <t>420Ś55</t>
  </si>
  <si>
    <t>ŚRUBA M16X40 KL.8.8/105</t>
  </si>
  <si>
    <t>904U88-900</t>
  </si>
  <si>
    <t>BIG-10000-ZAWÓR KLAPOWY</t>
  </si>
  <si>
    <t>400P62</t>
  </si>
  <si>
    <t>PRĘT CIĄGN. D-5 ST3S 0.15KG/MB</t>
  </si>
  <si>
    <t>65B016237-00-0200</t>
  </si>
  <si>
    <t>ZAWÓR KLAPOWY-KLAPA</t>
  </si>
  <si>
    <t>1.24</t>
  </si>
  <si>
    <t>904U88-910</t>
  </si>
  <si>
    <t>ZAWÓR KLAPOWY-TULEJKA ŁOZYSKOWA Rys.016243</t>
  </si>
  <si>
    <t>3.86</t>
  </si>
  <si>
    <t>904U88-920</t>
  </si>
  <si>
    <t>ZAWÓR KLAPOWY -OŚ DOLNA Rys.016241</t>
  </si>
  <si>
    <t>904U88-930</t>
  </si>
  <si>
    <t>ZAWÓR KLAPOWY- OS GÓRNA Rys.016242</t>
  </si>
  <si>
    <t>904U88-940</t>
  </si>
  <si>
    <t>ZAWÓR KLAPOWY-KORPUS SPAWANY Rys.016238</t>
  </si>
  <si>
    <t>135.99</t>
  </si>
  <si>
    <t>405P07</t>
  </si>
  <si>
    <t>PRĘT MOS. D-20 MO58 2.73KG/MB</t>
  </si>
  <si>
    <t>0.04400</t>
  </si>
  <si>
    <t>1.56000</t>
  </si>
  <si>
    <t>3.99000</t>
  </si>
  <si>
    <t>15.00000</t>
  </si>
  <si>
    <t>904U89-221</t>
  </si>
  <si>
    <t>UFO-1-MN/G-WIRNIK-PIASTA w/g rys.016748</t>
  </si>
  <si>
    <t>0.00144</t>
  </si>
  <si>
    <t>904U91-210</t>
  </si>
  <si>
    <t>STRZEPYWACZ w/g rys.011807</t>
  </si>
  <si>
    <t>403D02</t>
  </si>
  <si>
    <t>DRUT SPRĘŻ.D-3</t>
  </si>
  <si>
    <t>0.00995</t>
  </si>
  <si>
    <t>904U91-400</t>
  </si>
  <si>
    <t>PODKŁADKA  ŚLIZGOWA rys011818</t>
  </si>
  <si>
    <t>0.07325</t>
  </si>
  <si>
    <t>904U92-100</t>
  </si>
  <si>
    <t>PROWADNICA rys.013316</t>
  </si>
  <si>
    <t>0.17500</t>
  </si>
  <si>
    <t>904U92-212</t>
  </si>
  <si>
    <t>ZAŚLEPKA Z  DYSZĄ w/g rys.012995 poz.5</t>
  </si>
  <si>
    <t>3.52518</t>
  </si>
  <si>
    <t>1.43478</t>
  </si>
  <si>
    <t>3.74100</t>
  </si>
  <si>
    <t>1.63043</t>
  </si>
  <si>
    <t>3.38129</t>
  </si>
  <si>
    <t>1.45652</t>
  </si>
  <si>
    <t>4.96403</t>
  </si>
  <si>
    <t>2.08695</t>
  </si>
  <si>
    <t>5.82734</t>
  </si>
  <si>
    <t>2.32609</t>
  </si>
  <si>
    <t>4.46043</t>
  </si>
  <si>
    <t>1.65217</t>
  </si>
  <si>
    <t>904W71-110</t>
  </si>
  <si>
    <t>PIASTA D38-spawana Rys.010206</t>
  </si>
  <si>
    <t>4.25000</t>
  </si>
  <si>
    <t>189.00000</t>
  </si>
  <si>
    <t>0.89275</t>
  </si>
  <si>
    <t>1.26000</t>
  </si>
  <si>
    <t>905O16-100</t>
  </si>
  <si>
    <t>ELEMENTY ODSYSACZY BALANSOWYCH</t>
  </si>
  <si>
    <t>905U01-120</t>
  </si>
  <si>
    <t>RFN-660-TULEJA PRZYŁĄCZENIOWA ew/g rys.024560</t>
  </si>
  <si>
    <t>404P22</t>
  </si>
  <si>
    <t>PRĘT AL. D-75 PA6 11.9KG/MB</t>
  </si>
  <si>
    <t>0.88889</t>
  </si>
  <si>
    <t>0.58974</t>
  </si>
  <si>
    <t>905U01-600</t>
  </si>
  <si>
    <t>RFN-660-TULEJA PROWADZĄCA w/g rys.024013</t>
  </si>
  <si>
    <t>0.04015</t>
  </si>
  <si>
    <t>453P45</t>
  </si>
  <si>
    <t>PIERŚCIEŃ Combi K51 18x28x10,4</t>
  </si>
  <si>
    <t>905U01-610</t>
  </si>
  <si>
    <t>RFN-660-TULEJA PROWADZĄCA LANCĘ w/g rys.023960</t>
  </si>
  <si>
    <t>89.23</t>
  </si>
  <si>
    <t>905U01-620</t>
  </si>
  <si>
    <t>RFN-660-KOŁNIERZ II TULEI PROWADZĄCEJ w/g rys.023962</t>
  </si>
  <si>
    <t>13.71</t>
  </si>
  <si>
    <t>905U01-630</t>
  </si>
  <si>
    <t>RFN-660-TULEJA ŚLIZGOWA w/g rys.024402</t>
  </si>
  <si>
    <t>1400.00000</t>
  </si>
  <si>
    <t>1.17000</t>
  </si>
  <si>
    <t>0.18143</t>
  </si>
  <si>
    <t>0.05106</t>
  </si>
  <si>
    <t>905U01-700</t>
  </si>
  <si>
    <t>RFN-660-LANCA OBROTOWA w/g rys.024709</t>
  </si>
  <si>
    <t>401R12</t>
  </si>
  <si>
    <t>RURA OC.3/8"</t>
  </si>
  <si>
    <t>905U01-710</t>
  </si>
  <si>
    <t>RFN-660-DYSZA w/g rys.023955</t>
  </si>
  <si>
    <t>6.26</t>
  </si>
  <si>
    <t>905U01-720</t>
  </si>
  <si>
    <t>RFN-660-ZESPÓŁ RURY w/g rys.024401</t>
  </si>
  <si>
    <t>41.40</t>
  </si>
  <si>
    <t>905U01-730</t>
  </si>
  <si>
    <t>RFN-660-ZAŚLEPKA DYSZY w/g rys.024568</t>
  </si>
  <si>
    <t>835.00000</t>
  </si>
  <si>
    <t>0.24571</t>
  </si>
  <si>
    <t>0.13143</t>
  </si>
  <si>
    <t>402R19</t>
  </si>
  <si>
    <t>RURA NIER.D-20x2 0H18N9</t>
  </si>
  <si>
    <t>14.80</t>
  </si>
  <si>
    <t>0.78378</t>
  </si>
  <si>
    <t>905U01-721</t>
  </si>
  <si>
    <t>RFN-660-TULEJKA MOCUJĄCA w/g rys.024710</t>
  </si>
  <si>
    <t>8.09</t>
  </si>
  <si>
    <t>905U01-722</t>
  </si>
  <si>
    <t>RFN-660-TULEJKA MOCUJACA w/g rys.024398</t>
  </si>
  <si>
    <t>10.01</t>
  </si>
  <si>
    <t>0.25428</t>
  </si>
  <si>
    <t>0.11857</t>
  </si>
  <si>
    <t>PRĘT CIĄGN. D-45 "45" 12.5KG/MB</t>
  </si>
  <si>
    <t>0.57000</t>
  </si>
  <si>
    <t>0.11714</t>
  </si>
  <si>
    <t>905U02-751</t>
  </si>
  <si>
    <t>WAŁEK w/g rys.024505</t>
  </si>
  <si>
    <t>905U02-810</t>
  </si>
  <si>
    <t>OŚKLAPY ZWROTNEJ w/g rys.024433</t>
  </si>
  <si>
    <t>6.75</t>
  </si>
  <si>
    <t>0.15217</t>
  </si>
  <si>
    <t>0.09857</t>
  </si>
  <si>
    <t>905U21-642</t>
  </si>
  <si>
    <t>RURA SPRZAŁOWA - RURA 42,4x3,6 L=60</t>
  </si>
  <si>
    <t>0.06962</t>
  </si>
  <si>
    <t>905U21-643</t>
  </si>
  <si>
    <t>RURA SPRZAŁOWA - RURA 48,3x4 L=900</t>
  </si>
  <si>
    <t>1.00043</t>
  </si>
  <si>
    <t>406R05</t>
  </si>
  <si>
    <t>RURA STAL.D-33,7x3,2 R35</t>
  </si>
  <si>
    <t>0.35021</t>
  </si>
  <si>
    <t>0.19055</t>
  </si>
  <si>
    <t>0.12017</t>
  </si>
  <si>
    <t>905W35-200</t>
  </si>
  <si>
    <t>POKRYWA I WENTYLATORA WT-125P</t>
  </si>
  <si>
    <t>7040.00000</t>
  </si>
  <si>
    <t>1.04848</t>
  </si>
  <si>
    <t>905W35-300</t>
  </si>
  <si>
    <t>POKRYWA II WENTYLATORA WP-125T</t>
  </si>
  <si>
    <t>7920.00000</t>
  </si>
  <si>
    <t>0.54075</t>
  </si>
  <si>
    <t>905W36-200</t>
  </si>
  <si>
    <t>KORPUS WENTYLATORA WT-200P</t>
  </si>
  <si>
    <t>24200.00000</t>
  </si>
  <si>
    <t>1.71150</t>
  </si>
  <si>
    <t>905W36-300</t>
  </si>
  <si>
    <t>POKRYWA I WENTYLATORA WT-200P</t>
  </si>
  <si>
    <t>0.01019</t>
  </si>
  <si>
    <t>1.31143</t>
  </si>
  <si>
    <t>905W36-400</t>
  </si>
  <si>
    <t>POKRYWA II WENTYLATORA WT-200P</t>
  </si>
  <si>
    <t>0.01203</t>
  </si>
  <si>
    <t>0.57714</t>
  </si>
  <si>
    <t>905W36-500</t>
  </si>
  <si>
    <t>PODKŁADKA DYSTANSOWA RYS 010422 WT-200T</t>
  </si>
  <si>
    <t>907W65-110</t>
  </si>
  <si>
    <t>TULEJKI DYSTANSOWE D12/D8 rys.012945 L=31mm</t>
  </si>
  <si>
    <t>0.00678</t>
  </si>
  <si>
    <t>0.03717</t>
  </si>
  <si>
    <t>907W76-100</t>
  </si>
  <si>
    <t>STELAŻ Rys.010180 PODRYW 350</t>
  </si>
  <si>
    <t>400R32</t>
  </si>
  <si>
    <t>RURA STAL. D-25X1.5 R-35</t>
  </si>
  <si>
    <t>29.00</t>
  </si>
  <si>
    <t>2.81333</t>
  </si>
  <si>
    <t>0.09783</t>
  </si>
  <si>
    <t>60W010176-00-0200</t>
  </si>
  <si>
    <t>PWO-350,40,450 -KĄTOWNIK GIĘTY</t>
  </si>
  <si>
    <t>60W010177-00-0200</t>
  </si>
  <si>
    <t>PWO-350,400,450 -PŁYTKA</t>
  </si>
  <si>
    <t>60W010509-00-0200</t>
  </si>
  <si>
    <t>Podstawka regulatora rys 010509</t>
  </si>
  <si>
    <t>3.05</t>
  </si>
  <si>
    <t>907W76-110</t>
  </si>
  <si>
    <t>Oś jezdna -PODRYW-350 Rys.010209</t>
  </si>
  <si>
    <t>37.53</t>
  </si>
  <si>
    <t>190.00000</t>
  </si>
  <si>
    <t>32.12121</t>
  </si>
  <si>
    <t>0.78333</t>
  </si>
  <si>
    <t>OŚ JEZDNA Rys.0010209-PODRYW 350</t>
  </si>
  <si>
    <t>0.30660</t>
  </si>
  <si>
    <t>0.54667</t>
  </si>
  <si>
    <t>50.00000</t>
  </si>
  <si>
    <t>0.07436</t>
  </si>
  <si>
    <t>0.20897</t>
  </si>
  <si>
    <t>907W77-100</t>
  </si>
  <si>
    <t>STELAŻ PODRYW-400 Rys.010186</t>
  </si>
  <si>
    <t>2.94871</t>
  </si>
  <si>
    <t>907W77-110</t>
  </si>
  <si>
    <t>Oś jezdna Rys 010191 PODRYW-400</t>
  </si>
  <si>
    <t>39.67</t>
  </si>
  <si>
    <t>34.54545</t>
  </si>
  <si>
    <t>0.10571</t>
  </si>
  <si>
    <t>0.78714</t>
  </si>
  <si>
    <t>0.04142</t>
  </si>
  <si>
    <t>OŚ JEZDNA PODRYW-400 Rys.010191</t>
  </si>
  <si>
    <t>0.62068</t>
  </si>
  <si>
    <t>0.07758</t>
  </si>
  <si>
    <t>0.07272</t>
  </si>
  <si>
    <t>907W78-100</t>
  </si>
  <si>
    <t>STELAŻ PODRYW-450 Rys.010211</t>
  </si>
  <si>
    <t>3.04667</t>
  </si>
  <si>
    <t>907W78-110</t>
  </si>
  <si>
    <t>Oś jezdna-PODRYW 450 Rys010216</t>
  </si>
  <si>
    <t>43.92</t>
  </si>
  <si>
    <t>36.36363</t>
  </si>
  <si>
    <t>0.83846</t>
  </si>
  <si>
    <t>OŚ JEZDNA PODRYW-450 Rys.010216</t>
  </si>
  <si>
    <t>0.15333</t>
  </si>
  <si>
    <t>0.69333</t>
  </si>
  <si>
    <t>0.02179</t>
  </si>
  <si>
    <t>0.07308</t>
  </si>
  <si>
    <t>908W40-110</t>
  </si>
  <si>
    <t>PIASTA D14 ŻELIWNA RYS.011462</t>
  </si>
  <si>
    <t>0.80757</t>
  </si>
  <si>
    <t>908W42-110</t>
  </si>
  <si>
    <t>PIASTA D19 ŻELIWNA RYS.011463</t>
  </si>
  <si>
    <t>0.88428</t>
  </si>
  <si>
    <t>908W43-110</t>
  </si>
  <si>
    <t>PIASTA D24 ŻELIWNA Rys 001990</t>
  </si>
  <si>
    <t>0.56060</t>
  </si>
  <si>
    <t>908W61-110</t>
  </si>
  <si>
    <t>PIASTA D19 ŻELIWNA RYS.012156</t>
  </si>
  <si>
    <t>0.89500</t>
  </si>
  <si>
    <t>908W68-110</t>
  </si>
  <si>
    <t>PIASTA D24 ŻELIWNA Rys 012144</t>
  </si>
  <si>
    <t>0.89487</t>
  </si>
  <si>
    <t>908W69-110</t>
  </si>
  <si>
    <t>PIASTA D28 ŻELIWNA Rys 012138</t>
  </si>
  <si>
    <t>908W70-110</t>
  </si>
  <si>
    <t>PIASTA D38 ŻELIWNA w/g rys.012131</t>
  </si>
  <si>
    <t>0.84545</t>
  </si>
  <si>
    <t>1.15227</t>
  </si>
  <si>
    <t>909C14-100</t>
  </si>
  <si>
    <t>RURA RYS.</t>
  </si>
  <si>
    <t>RURA STAL D-21,2x3,20 R35</t>
  </si>
  <si>
    <t>0.99200</t>
  </si>
  <si>
    <t>909P40-100</t>
  </si>
  <si>
    <t>WAŁEK NAPĘDOWY PRZEPUSTNICY RYS.004146</t>
  </si>
  <si>
    <t>909P40-101</t>
  </si>
  <si>
    <t>WAŁEK BIERNY PRZEPUSTNICY RYS.004145</t>
  </si>
  <si>
    <t>404G14</t>
  </si>
  <si>
    <t>GĄSKA "ZNAL"</t>
  </si>
  <si>
    <t>16.20</t>
  </si>
  <si>
    <t>0.01543</t>
  </si>
  <si>
    <t>0.05571</t>
  </si>
  <si>
    <t>909P40-102</t>
  </si>
  <si>
    <t>ŁOŻYSKO ŚLIZGOWE B-TARNAMID RYS.004147</t>
  </si>
  <si>
    <t>0.08368</t>
  </si>
  <si>
    <t>910H01-100</t>
  </si>
  <si>
    <t>WKŁADKA CIERNA D40/d10,2x2 SSAWY LS</t>
  </si>
  <si>
    <t>910H01-200</t>
  </si>
  <si>
    <t>KOSTKA D40x12,2 WYK.1 RYS,003031a</t>
  </si>
  <si>
    <t>910H49-210</t>
  </si>
  <si>
    <t>WKŁADKA CIERNA D20/D8,2x2,0 w/g rys.018936</t>
  </si>
  <si>
    <t>0.01195</t>
  </si>
  <si>
    <t>910H49-220</t>
  </si>
  <si>
    <t>WKŁADKA CIERNA D20/D10,2x2 w/g rys.019657</t>
  </si>
  <si>
    <t>140.00000</t>
  </si>
  <si>
    <t>910R01-510</t>
  </si>
  <si>
    <t>CZOP PREZEPUSTNICY "A";"B"</t>
  </si>
  <si>
    <t>910R02-550</t>
  </si>
  <si>
    <t>TULEJKI DYSTANSOWE D12/D8 rys.004049 L=28mm</t>
  </si>
  <si>
    <t>910R16E-210</t>
  </si>
  <si>
    <t>ELEMENT OBROTOWY GNIAZDA -nierdz RYS.011040</t>
  </si>
  <si>
    <t>67B010791-00-0200</t>
  </si>
  <si>
    <t>SCIANA BOCZNA PRAWA-nierdz</t>
  </si>
  <si>
    <t>133.30</t>
  </si>
  <si>
    <t>67B010792-00-0200</t>
  </si>
  <si>
    <t>ŚCIANA BOCZNA LEWA -nierdz</t>
  </si>
  <si>
    <t>67B010793-00-0200</t>
  </si>
  <si>
    <t>ŚCIANA PRZEDNIA-nierdz</t>
  </si>
  <si>
    <t>62.00</t>
  </si>
  <si>
    <t>67B010794-00-0200</t>
  </si>
  <si>
    <t>ŚCIANA DOLNA -nierdz</t>
  </si>
  <si>
    <t>52.00</t>
  </si>
  <si>
    <t>67B010799-00-0200</t>
  </si>
  <si>
    <t>WĘZŁÓWKA -nierdz</t>
  </si>
  <si>
    <t>910R16E-212</t>
  </si>
  <si>
    <t>RURA D175-nierdz RYS.011037</t>
  </si>
  <si>
    <t>68.73</t>
  </si>
  <si>
    <t>911R22-211</t>
  </si>
  <si>
    <t>22.55</t>
  </si>
  <si>
    <t>600.00000</t>
  </si>
  <si>
    <t>67B011037-00-0200</t>
  </si>
  <si>
    <t>RURA D175-Blacha 8x55x530,9 nierdz</t>
  </si>
  <si>
    <t>910R16E-250</t>
  </si>
  <si>
    <t>TULEJA STAŁA nierdz RYS.011036</t>
  </si>
  <si>
    <t>67B011036-01-0200</t>
  </si>
  <si>
    <t>TULEJA -Pierścień 8xd235/d189 nierdz</t>
  </si>
  <si>
    <t>38.40</t>
  </si>
  <si>
    <t>67B011036-02-0200</t>
  </si>
  <si>
    <t>TULEJA -Blacha 8x52x568,6 nierdz</t>
  </si>
  <si>
    <t>48.40</t>
  </si>
  <si>
    <t>300.00000</t>
  </si>
  <si>
    <t>910R16E-500</t>
  </si>
  <si>
    <t>SWORZEŃ D16 nierdz RYS.011043</t>
  </si>
  <si>
    <t>402P02</t>
  </si>
  <si>
    <t>PRĘT KWAS. D-20 OH18N9 2,47KG/MB</t>
  </si>
  <si>
    <t>0.56000</t>
  </si>
  <si>
    <t>0.22051</t>
  </si>
  <si>
    <t>910R45-500</t>
  </si>
  <si>
    <t>ERGO-FLEX-N-2-R TULEJKA DYSTANSOWA D12/D8,1X5,0 WG RYS 020091</t>
  </si>
  <si>
    <t>0.02188</t>
  </si>
  <si>
    <t>910R52E-100</t>
  </si>
  <si>
    <t>ERGO-S/K-2-GŁOWICA PEŁOBR."K"-nierdz.w/g rys.008115</t>
  </si>
  <si>
    <t>423P63</t>
  </si>
  <si>
    <t>ŚRUBA M6X40 A-2</t>
  </si>
  <si>
    <t>45.06</t>
  </si>
  <si>
    <t>66S008104-01-0200</t>
  </si>
  <si>
    <t>GNIAZDO ERGO S-K-TULEJA D123/D46X4NIER</t>
  </si>
  <si>
    <t>22.60</t>
  </si>
  <si>
    <t>66S008105-00-0200</t>
  </si>
  <si>
    <t>GNIAZDO ERGO S-K PIERŚC.D180/D121X5NIER</t>
  </si>
  <si>
    <t>41.60</t>
  </si>
  <si>
    <t>66S008106-00-0200</t>
  </si>
  <si>
    <t>GNIAZDO ERGO S-K PIERŚC.D166/D121/5NIER</t>
  </si>
  <si>
    <t>28.60</t>
  </si>
  <si>
    <t>66S008107-00-0200</t>
  </si>
  <si>
    <t>GNIAZDO ERGO S-K PIERŚC.D138/D121/5NIER.</t>
  </si>
  <si>
    <t>32.60</t>
  </si>
  <si>
    <t>66S008108-00-0200</t>
  </si>
  <si>
    <t>GNIAZDO ERGO S-K TULEJA D123/D88X4NIER</t>
  </si>
  <si>
    <t>29.90</t>
  </si>
  <si>
    <t>66S008110-00-0200</t>
  </si>
  <si>
    <t>GNIAZDO ERGO S-K PIERŚ.DYSTANS. "K" NIER</t>
  </si>
  <si>
    <t>2000.00000</t>
  </si>
  <si>
    <t>4.13043</t>
  </si>
  <si>
    <t>10000.00000</t>
  </si>
  <si>
    <t>0.14285</t>
  </si>
  <si>
    <t>421W81</t>
  </si>
  <si>
    <t>WRĘT Z ŁBEM WALCOWYM SOCZEWKOWYM M5X10 Z GNIAZDEM KRZYŻOWYM H - A2 DIN7985A</t>
  </si>
  <si>
    <t>12.03</t>
  </si>
  <si>
    <t>66S029464-00-020</t>
  </si>
  <si>
    <t>DŹWIGNIA PRZEPUSTNICY</t>
  </si>
  <si>
    <t>0.01100</t>
  </si>
  <si>
    <t>910R69-100</t>
  </si>
  <si>
    <t>TELERGO FLEX-L-1600-SUWAK TELESKOPOWY</t>
  </si>
  <si>
    <t>415K104</t>
  </si>
  <si>
    <t>KOSZULKA TERMOKURCZLIWA D45/D12 czarna</t>
  </si>
  <si>
    <t>425N75</t>
  </si>
  <si>
    <t>NITONAKRĘTKA HEXAGONALNA STAL. OC. Z GWINTEM M6x30 Z KOŁNIERZEM WPUSZCZANYM NISKIM - MFX - 23H06V030</t>
  </si>
  <si>
    <t>0.00246</t>
  </si>
  <si>
    <t>426Ś45</t>
  </si>
  <si>
    <t>ŚRUBA M6X16 KL.8.8/105</t>
  </si>
  <si>
    <t>0.05140</t>
  </si>
  <si>
    <t>431K07</t>
  </si>
  <si>
    <t>KLEJ LOCTITE2400 (niebieski)</t>
  </si>
  <si>
    <t>32.96</t>
  </si>
  <si>
    <t>0.20628</t>
  </si>
  <si>
    <t>453K03</t>
  </si>
  <si>
    <t>KULKA ŁOŻYSKOWA D=5</t>
  </si>
  <si>
    <t>2.77</t>
  </si>
  <si>
    <t>0.00328</t>
  </si>
  <si>
    <t>66A016819-00-0200</t>
  </si>
  <si>
    <t>TELERGO-FLEX-SUWAK TELASKOPOWY-Blokada wysuwu II</t>
  </si>
  <si>
    <t>1.32</t>
  </si>
  <si>
    <t>66A016821-00-0200</t>
  </si>
  <si>
    <t>TELERGO-FLEX-SUWAK TELESKOPOWY-Prowadnica C1</t>
  </si>
  <si>
    <t>28.50</t>
  </si>
  <si>
    <t>66A016826-00-0200</t>
  </si>
  <si>
    <t>TELERGO FLEX-SUWAK TELESKOPOWY Prowadnica C2</t>
  </si>
  <si>
    <t>66A016841-00-0200</t>
  </si>
  <si>
    <t>TELERGO FLEX-SUWAK TELESKOPOWY Kątownik wzmacniający</t>
  </si>
  <si>
    <t>0.44</t>
  </si>
  <si>
    <t>0.47051</t>
  </si>
  <si>
    <t>910R69-200</t>
  </si>
  <si>
    <t>TELERGO FLEX-L-1600-WSPORNIK WEWNĘTRZNY GNIAZDA "L"</t>
  </si>
  <si>
    <t>403P41</t>
  </si>
  <si>
    <t>PROFIL ZAMK. 40X30X3 3,08KG/MB</t>
  </si>
  <si>
    <t>4.99</t>
  </si>
  <si>
    <t>0.59615</t>
  </si>
  <si>
    <t>66A011968-03-0200</t>
  </si>
  <si>
    <t>ERGO L/Z-WSPORNIK L/Z-Zaślepka szabli</t>
  </si>
  <si>
    <t>66A017044-00-0200</t>
  </si>
  <si>
    <t>TELERGO FLEX-WSPORNIK WEWNĘtrzny GNIAZDA L-Wspornik głowicy</t>
  </si>
  <si>
    <t>10.40</t>
  </si>
  <si>
    <t>205.00000</t>
  </si>
  <si>
    <t>4.12500</t>
  </si>
  <si>
    <t>910R70-110</t>
  </si>
  <si>
    <t>OŚ PRZEPUSTNICY Z POKRĘTŁEM</t>
  </si>
  <si>
    <t>66A019037-00-0200</t>
  </si>
  <si>
    <t>ERGO-L/N-POKRĘTŁO</t>
  </si>
  <si>
    <t>1.00</t>
  </si>
  <si>
    <t>910R70-111</t>
  </si>
  <si>
    <t>12.05</t>
  </si>
  <si>
    <t>1.42857</t>
  </si>
  <si>
    <t>0.08125</t>
  </si>
  <si>
    <t>0.64748</t>
  </si>
  <si>
    <t>0.33695</t>
  </si>
  <si>
    <t>0.37410</t>
  </si>
  <si>
    <t>0.43043</t>
  </si>
  <si>
    <t>1.13669</t>
  </si>
  <si>
    <t>0.40220</t>
  </si>
  <si>
    <t>0.01384</t>
  </si>
  <si>
    <t>0.00719</t>
  </si>
  <si>
    <t>0.77697</t>
  </si>
  <si>
    <t>0.37615</t>
  </si>
  <si>
    <t>910R74-010</t>
  </si>
  <si>
    <t>PODKŁADKA CENTRUJĄCA I w/g rys.018944</t>
  </si>
  <si>
    <t>910R74-020</t>
  </si>
  <si>
    <t>PODKŁADKA CENTRUJĄCA II w/g rys.018945</t>
  </si>
  <si>
    <t>0.27500</t>
  </si>
  <si>
    <t>0.02210</t>
  </si>
  <si>
    <t>0.00874</t>
  </si>
  <si>
    <t>0.33093</t>
  </si>
  <si>
    <t>0.35113</t>
  </si>
  <si>
    <t>1.25180</t>
  </si>
  <si>
    <t>0.46413</t>
  </si>
  <si>
    <t>0.30227</t>
  </si>
  <si>
    <t>0.68705</t>
  </si>
  <si>
    <t>0.49456</t>
  </si>
  <si>
    <t>2.07194</t>
  </si>
  <si>
    <t>0.51630</t>
  </si>
  <si>
    <t>0.02922</t>
  </si>
  <si>
    <t>0.03692</t>
  </si>
  <si>
    <t>0.11615</t>
  </si>
  <si>
    <t>0.06195</t>
  </si>
  <si>
    <t>0.01200</t>
  </si>
  <si>
    <t>910R90E-300</t>
  </si>
  <si>
    <t>PROFIL RAMIENIA "I" L=400 nierdz</t>
  </si>
  <si>
    <t>18.71</t>
  </si>
  <si>
    <t>0.44896</t>
  </si>
  <si>
    <t>66S009300-01-0200</t>
  </si>
  <si>
    <t>Płytka przegubu fi 70 NIERDZ.</t>
  </si>
  <si>
    <t>7.70</t>
  </si>
  <si>
    <t>66S009302-00-0200</t>
  </si>
  <si>
    <t>ERGO-S-L-3,-L:D-2,3,4(R)-WKŁADKAI NIERDZ</t>
  </si>
  <si>
    <t>910R91-300</t>
  </si>
  <si>
    <t>GŁOWICA PEŁNOOBROTOWA "M"</t>
  </si>
  <si>
    <t>0.00195</t>
  </si>
  <si>
    <t>423Ś72</t>
  </si>
  <si>
    <t>ŚRUBA M6X35 KL 8.8/101</t>
  </si>
  <si>
    <t>0.05400</t>
  </si>
  <si>
    <t>0.67215</t>
  </si>
  <si>
    <t>1.20800</t>
  </si>
  <si>
    <t>910R91-600</t>
  </si>
  <si>
    <t>CZOP A;B rys.008573</t>
  </si>
  <si>
    <t>402P11</t>
  </si>
  <si>
    <t>PRĘT KWAS. D-10 1H18N9T 0.62KG/MB</t>
  </si>
  <si>
    <t>45.90</t>
  </si>
  <si>
    <t>0.60468</t>
  </si>
  <si>
    <t>910R91-700</t>
  </si>
  <si>
    <t>TULEJKI DYSTANSOWE D12/D8 rys.004049 L=10mm nierdz.</t>
  </si>
  <si>
    <t>0.01812</t>
  </si>
  <si>
    <t>0.08152</t>
  </si>
  <si>
    <t>910R92-510</t>
  </si>
  <si>
    <t>CZOP PREZEPUSTNICY</t>
  </si>
  <si>
    <t>350.00000</t>
  </si>
  <si>
    <t>910R92-800</t>
  </si>
  <si>
    <t>GŁOWICA PEŁNOOBROTOWA "K"</t>
  </si>
  <si>
    <t>910R92E-400</t>
  </si>
  <si>
    <t>PROFIL RAMIENIA "I" L=870</t>
  </si>
  <si>
    <t>0.88188</t>
  </si>
  <si>
    <t>910R93E-500</t>
  </si>
  <si>
    <t>PROFIL RAMIENIA "I" L=400 nierdzewny z płytkami przegubu</t>
  </si>
  <si>
    <t>423N43</t>
  </si>
  <si>
    <t>NIT ZRYW. SF 5X12 A2/A2</t>
  </si>
  <si>
    <t>0.36521</t>
  </si>
  <si>
    <t>910R94E-200</t>
  </si>
  <si>
    <t>PROFIL RAMIENIA "I" nierdzewny z płytkami przegubu</t>
  </si>
  <si>
    <t>0.40416</t>
  </si>
  <si>
    <t>0.36739</t>
  </si>
  <si>
    <t>910R97E-910</t>
  </si>
  <si>
    <t>TULEJKI DYSTANSOWE D12/d9 nierdz Rys.004049</t>
  </si>
  <si>
    <t>0.05454</t>
  </si>
  <si>
    <t>910R97E-920</t>
  </si>
  <si>
    <t>CZOP B nierdz RYS.008573a</t>
  </si>
  <si>
    <t>0.02614</t>
  </si>
  <si>
    <t>910R99E-300</t>
  </si>
  <si>
    <t>PROFIL RAMIENIA "I" nierdzewny z płytkami przegubu - SS/D4</t>
  </si>
  <si>
    <t>0.64583</t>
  </si>
  <si>
    <t>910R99E-400</t>
  </si>
  <si>
    <t>PROFIL RAMIENIA II nierdzewny z płytkami przegubu - SS/D4</t>
  </si>
  <si>
    <t>1.45519</t>
  </si>
  <si>
    <t>ŚRUBA M6X50 A-2</t>
  </si>
  <si>
    <t>66S009300-02-0200</t>
  </si>
  <si>
    <t>ERGO-S-L-Płytka przegubu D=70 NIERDZ.</t>
  </si>
  <si>
    <t>7.80</t>
  </si>
  <si>
    <t>66S009301-01-0200</t>
  </si>
  <si>
    <t>ERGO-S-L-Płytka przegubu D=100 l.NIERDZ.</t>
  </si>
  <si>
    <t>21.25</t>
  </si>
  <si>
    <t>66S009301-02-0200</t>
  </si>
  <si>
    <t>ERGo-S-L-Płytka przegubu D=100 pr.NIERDZ</t>
  </si>
  <si>
    <t>1.05760</t>
  </si>
  <si>
    <t>0.50052</t>
  </si>
  <si>
    <t>1.40909</t>
  </si>
  <si>
    <t>0.25326</t>
  </si>
  <si>
    <t>911R17E-200</t>
  </si>
  <si>
    <t>ROZPORA ODCIĄGÓW RYS.004677</t>
  </si>
  <si>
    <t>0.55189</t>
  </si>
  <si>
    <t>1.52173</t>
  </si>
  <si>
    <t>0.18974</t>
  </si>
  <si>
    <t>911R25-200</t>
  </si>
  <si>
    <t>ROL-TP Rolka Rys.016648</t>
  </si>
  <si>
    <t>453Ł04</t>
  </si>
  <si>
    <t>ŁOŻYSKO 6002 ZZ</t>
  </si>
  <si>
    <t>67M016647-00-0200</t>
  </si>
  <si>
    <t>ROLKA - Kątownik</t>
  </si>
  <si>
    <t>911R50-010</t>
  </si>
  <si>
    <t>PODKŁADKA CIERNA D20/D8,2x1 w/g rys.009990poz.4</t>
  </si>
  <si>
    <t>0.00154</t>
  </si>
  <si>
    <t>0.01087</t>
  </si>
  <si>
    <t>911R54-610</t>
  </si>
  <si>
    <t>PODKŁADKA CIERNA D24/D8,2x1 w/g rys.012832 poz.4</t>
  </si>
  <si>
    <t>0.00103</t>
  </si>
  <si>
    <t>911R54-811</t>
  </si>
  <si>
    <t>GŁOWICA PEŁNOOBROTOWA "L/Z"-tuleja obrotowa</t>
  </si>
  <si>
    <t>0.00132</t>
  </si>
  <si>
    <t>GŁOWICA PEŁNOOBROTOWA "L/Z"-kołnierz stały</t>
  </si>
  <si>
    <t>0.00116</t>
  </si>
  <si>
    <t>0.42687</t>
  </si>
  <si>
    <t>GŁOWICA PEŁNOOBROTOWA "L/Z"-kołnierz dociskowy</t>
  </si>
  <si>
    <t>0.00028</t>
  </si>
  <si>
    <t>0.35156</t>
  </si>
  <si>
    <t>911R57-600</t>
  </si>
  <si>
    <t>GŁOWICA PEŁNOOBROTOWA "D/Z" rys.012560</t>
  </si>
  <si>
    <t>911R57-610</t>
  </si>
  <si>
    <t>GLOWICA PEŁNOOBROTOWA "D/Z"tuleja obrot.</t>
  </si>
  <si>
    <t>48.88</t>
  </si>
  <si>
    <t>911R57-620</t>
  </si>
  <si>
    <t>GŁOWICA PEŁNOOBROTOWA "D/Z"-kołn.stały</t>
  </si>
  <si>
    <t>49.89</t>
  </si>
  <si>
    <t>911R57-630</t>
  </si>
  <si>
    <t>GŁOWICA PEŁNOOBROTOWA "D/Z"-kołn.docisk.</t>
  </si>
  <si>
    <t>28.55</t>
  </si>
  <si>
    <t>605.00000</t>
  </si>
  <si>
    <t>GŁOWICA PEŁNOOBROTOWA "D/Z"-tuleja obrotowa w/g rys.012559</t>
  </si>
  <si>
    <t>0.17571</t>
  </si>
  <si>
    <t>GŁOWICA PEŁNOOBROTOWA "D/Z"-kołnierz stały w/g rys.012558</t>
  </si>
  <si>
    <t>0.38714</t>
  </si>
  <si>
    <t>GŁOWICA PEŁNOOBROTOWA "D/Z"-kołnierz dociskowy w/g rys.11831</t>
  </si>
  <si>
    <t>0.00084</t>
  </si>
  <si>
    <t>0.22571</t>
  </si>
  <si>
    <t>911R82-010</t>
  </si>
  <si>
    <t>ERGO Flex Podkładka tulejowa w/g rys.013819</t>
  </si>
  <si>
    <t>911R82-020</t>
  </si>
  <si>
    <t>ERGO Flex Podkładka ślizgowa "II" rys.013802</t>
  </si>
  <si>
    <t>0.02795</t>
  </si>
  <si>
    <t>0.05550</t>
  </si>
  <si>
    <t>911R82-030</t>
  </si>
  <si>
    <t>ERGO Flex Podkładka ślizgowa "III" rys.013803</t>
  </si>
  <si>
    <t>911R82-040</t>
  </si>
  <si>
    <t>ERGO Flex Podkładka ślizgowa "I" rys.013825</t>
  </si>
  <si>
    <t>GŁOWICA OBROTOWA "ERGO Flex" Tuleja obrotowa</t>
  </si>
  <si>
    <t>0.00128</t>
  </si>
  <si>
    <t>0.36406</t>
  </si>
  <si>
    <t>911R82-810</t>
  </si>
  <si>
    <t>RURA ŚRUBY w/g rys.013792</t>
  </si>
  <si>
    <t>0.13111</t>
  </si>
  <si>
    <t>911R82-820</t>
  </si>
  <si>
    <t>TULEJA PRAWA  rys.013793</t>
  </si>
  <si>
    <t>911R82-830</t>
  </si>
  <si>
    <t>TULEJA LEWA  rys.013794</t>
  </si>
  <si>
    <t>911R83-510</t>
  </si>
  <si>
    <t>RURA ŚRUBY w/g rys.013837</t>
  </si>
  <si>
    <t>0.35556</t>
  </si>
  <si>
    <t>911R83-520</t>
  </si>
  <si>
    <t>TULEJA PRAWA  rys.013839</t>
  </si>
  <si>
    <t>911R83-530</t>
  </si>
  <si>
    <t>TULEJA LEWA  rys.013840</t>
  </si>
  <si>
    <t>911R85-110</t>
  </si>
  <si>
    <t>WKŁAD ALUMINIOWY wspornika-Odlew AL RYS.014547</t>
  </si>
  <si>
    <t>100.00000</t>
  </si>
  <si>
    <t>0.12717</t>
  </si>
  <si>
    <t>911W50-200</t>
  </si>
  <si>
    <t>WIRNIK OSIOWY REWERSYJNY 315/160x19 w/g rys.000326</t>
  </si>
  <si>
    <t>421Ś08</t>
  </si>
  <si>
    <t>ŚRUBA M6X30 KL.8.8/105</t>
  </si>
  <si>
    <t>12.15</t>
  </si>
  <si>
    <t>0.06768</t>
  </si>
  <si>
    <t>0.00325</t>
  </si>
  <si>
    <t>0.00396</t>
  </si>
  <si>
    <t>61R000329-00-0200</t>
  </si>
  <si>
    <t>WOS/R-315-2/4-WIRNIK OSIOWY-PODKŁADKA USTALAJĄCA-5</t>
  </si>
  <si>
    <t>0.54</t>
  </si>
  <si>
    <t>9.00000</t>
  </si>
  <si>
    <t>911W50-210</t>
  </si>
  <si>
    <t>TARCZA NOŚNA WIRNIKA d160/19 w/g rys.000327</t>
  </si>
  <si>
    <t>244.45</t>
  </si>
  <si>
    <t>911W50-220</t>
  </si>
  <si>
    <t>ŁOPATKA WIRNIKA D315 w/g rys.000328</t>
  </si>
  <si>
    <t>27.55</t>
  </si>
  <si>
    <t>0.23514</t>
  </si>
  <si>
    <t>0.21212</t>
  </si>
  <si>
    <t>0.00156</t>
  </si>
  <si>
    <t>2.78857</t>
  </si>
  <si>
    <t>2.11857</t>
  </si>
  <si>
    <t>0.00009</t>
  </si>
  <si>
    <t>0.24242</t>
  </si>
  <si>
    <t>0.33303</t>
  </si>
  <si>
    <t>911W51-200</t>
  </si>
  <si>
    <t>WIRNIK OSIOWY REWERSYJNY 355/200x19 w/g rys.000330</t>
  </si>
  <si>
    <t>0.07520</t>
  </si>
  <si>
    <t>0.00365</t>
  </si>
  <si>
    <t>0.01923</t>
  </si>
  <si>
    <t>10.00000</t>
  </si>
  <si>
    <t>911W51-210</t>
  </si>
  <si>
    <t>TARCZA NOŚNA WIRNIKA d200/19 w/g rys.000331</t>
  </si>
  <si>
    <t>265.48</t>
  </si>
  <si>
    <t>0.21143</t>
  </si>
  <si>
    <t>0.25857</t>
  </si>
  <si>
    <t>3.03000</t>
  </si>
  <si>
    <t>2.15428</t>
  </si>
  <si>
    <t>911W52-200</t>
  </si>
  <si>
    <t>WIRNIK OSIOWY REWERSYJNY 400/220x24 w/g rys.000340</t>
  </si>
  <si>
    <t>911W52-210</t>
  </si>
  <si>
    <t>TARCZA NOŚNA WIRNIKA d220/d24 w/g rys.000341</t>
  </si>
  <si>
    <t>323.06</t>
  </si>
  <si>
    <t>911W52-220</t>
  </si>
  <si>
    <t>ŁOPATKA WIRNIKA D400 w/g rys.000342</t>
  </si>
  <si>
    <t>27.91</t>
  </si>
  <si>
    <t>0.27286</t>
  </si>
  <si>
    <t>0.21142</t>
  </si>
  <si>
    <t>0.00356</t>
  </si>
  <si>
    <t>2.45714</t>
  </si>
  <si>
    <t>3.63714</t>
  </si>
  <si>
    <t>0.00012</t>
  </si>
  <si>
    <t>912W09-200</t>
  </si>
  <si>
    <t>PRZEPUST KABLOWY 001836</t>
  </si>
  <si>
    <t>1.40000</t>
  </si>
  <si>
    <t>0.07350</t>
  </si>
  <si>
    <t>912W09-990</t>
  </si>
  <si>
    <t>PIASTA D24 ŻELIWNA Rys 001855</t>
  </si>
  <si>
    <t>912W11-300</t>
  </si>
  <si>
    <t>PRZEPUST KABLOWY 001823</t>
  </si>
  <si>
    <t>912W13-990</t>
  </si>
  <si>
    <t>PIASTA D19 ŻELIWNA Rys 001879</t>
  </si>
  <si>
    <t>0.88500</t>
  </si>
  <si>
    <t>912W32-400</t>
  </si>
  <si>
    <t>WDNG-500-ŁĄCZNIK</t>
  </si>
  <si>
    <t>913S03-200</t>
  </si>
  <si>
    <t>TULEJA STALOWA w/g rys.006132</t>
  </si>
  <si>
    <t>1.11250</t>
  </si>
  <si>
    <t>913S03-210</t>
  </si>
  <si>
    <t>TULEJA MOSIĘŻNA w/g rys.006133</t>
  </si>
  <si>
    <t>405P31</t>
  </si>
  <si>
    <t>PRĘT MOS. D-50 MO58 KG/MB</t>
  </si>
  <si>
    <t>913S03-220</t>
  </si>
  <si>
    <t>OŚ TALERZA OBROTOWEGO rys.006140 poz.2</t>
  </si>
  <si>
    <t>403P02</t>
  </si>
  <si>
    <t>PRĘT WALC. D-40 40HM 9.86KG/MB</t>
  </si>
  <si>
    <t>913S03-230</t>
  </si>
  <si>
    <t>OŚKA PRZEPUSTNICY rys.009721 poz.2</t>
  </si>
  <si>
    <t>913S03-240</t>
  </si>
  <si>
    <t>NAPĘD PRZEPUSTNICY rys.009722 poz.2</t>
  </si>
  <si>
    <t>0.08095</t>
  </si>
  <si>
    <t>913S08-500</t>
  </si>
  <si>
    <t>PODKŁADKA PROFILOWA I Rys.015617 poz5</t>
  </si>
  <si>
    <t>0.07222</t>
  </si>
  <si>
    <t>913S08-550</t>
  </si>
  <si>
    <t>PODKŁADKA PROFILOWA II Rys.015617 poz.11</t>
  </si>
  <si>
    <t>404P24</t>
  </si>
  <si>
    <t>PRĘT AL. D-30 PA6 1.90KG/MB</t>
  </si>
  <si>
    <t>0.10020</t>
  </si>
  <si>
    <t>0.01490</t>
  </si>
  <si>
    <t>66S027898-01-0200</t>
  </si>
  <si>
    <t>ERGO-D/Z-Ex-PŁASZCZ TULEI OBROTOWEJ "D"</t>
  </si>
  <si>
    <t>61.10</t>
  </si>
  <si>
    <t>66S027900-00-0200</t>
  </si>
  <si>
    <t>ERGO-D/Z/Ex-PIERŚCIEŃ OBROTOWY TULEI "D"</t>
  </si>
  <si>
    <t>32.90</t>
  </si>
  <si>
    <t>1015.00000</t>
  </si>
  <si>
    <t>0.92065</t>
  </si>
  <si>
    <t>0.03392</t>
  </si>
  <si>
    <t>0.06956</t>
  </si>
  <si>
    <t>0.04008</t>
  </si>
  <si>
    <t>0.01235</t>
  </si>
  <si>
    <t>2.55000</t>
  </si>
  <si>
    <t>406R04</t>
  </si>
  <si>
    <t>RURA STAL. D-57X5 R-35</t>
  </si>
  <si>
    <t>0.07526</t>
  </si>
  <si>
    <t>0.13555</t>
  </si>
  <si>
    <t>0.11087</t>
  </si>
  <si>
    <t>915S01-200</t>
  </si>
  <si>
    <t>SEP LEOPARD - Z1 - W1</t>
  </si>
  <si>
    <t>0.07717</t>
  </si>
  <si>
    <t>915S01-400</t>
  </si>
  <si>
    <t>SEP LEOPARD - NYPEL 1/4CAL TOCZONY</t>
  </si>
  <si>
    <t>915S01-720</t>
  </si>
  <si>
    <t>SEP LEOPARD - Z4 - B28</t>
  </si>
  <si>
    <t>61R028114-00-0700</t>
  </si>
  <si>
    <t>84.50</t>
  </si>
  <si>
    <t>0.08974</t>
  </si>
  <si>
    <t>918P01-100</t>
  </si>
  <si>
    <t>TULEJKA GWINT. D20xL22/M8  PSM-125</t>
  </si>
  <si>
    <t>0.03518</t>
  </si>
  <si>
    <t>0.06026</t>
  </si>
  <si>
    <t>918S01-111</t>
  </si>
  <si>
    <t>MISKA MAGNESU D=96</t>
  </si>
  <si>
    <t>69A004629-01-0200</t>
  </si>
  <si>
    <t>MISKA MAGNESU D96</t>
  </si>
  <si>
    <t>2.12264</t>
  </si>
  <si>
    <t>5.45454</t>
  </si>
  <si>
    <t>PRĘT CIĄGN. D-40 "45" 9.87KG/MB</t>
  </si>
  <si>
    <t>918S14-410</t>
  </si>
  <si>
    <t>STATYW S-125-2-Prowadnica pozioma-Tuleja</t>
  </si>
  <si>
    <t>0.02857</t>
  </si>
  <si>
    <t>1.13636</t>
  </si>
  <si>
    <t>919S01-200</t>
  </si>
  <si>
    <t>OŚ KÓŁKA RYS.002862</t>
  </si>
  <si>
    <t>0.04017</t>
  </si>
  <si>
    <t>432W19</t>
  </si>
  <si>
    <t>WAŁEK TEFLON. D-22 0.8KG/MB</t>
  </si>
  <si>
    <t>0.01276</t>
  </si>
  <si>
    <t>0.03586</t>
  </si>
  <si>
    <t>0.03250</t>
  </si>
  <si>
    <t>919S09-300</t>
  </si>
  <si>
    <t>KÓŁKO-OCZKO STAL.D18/d8</t>
  </si>
  <si>
    <t>403D07</t>
  </si>
  <si>
    <t>DRUT STALOWY D-5 St3S</t>
  </si>
  <si>
    <t>0.00714</t>
  </si>
  <si>
    <t>0.07435</t>
  </si>
  <si>
    <t>919S09-400</t>
  </si>
  <si>
    <t>RURA STAL.D18x1,5 L=150 RYS.002316</t>
  </si>
  <si>
    <t>400R95</t>
  </si>
  <si>
    <t>RURA STAL. D-18X1,5 R-35</t>
  </si>
  <si>
    <t>0.15500</t>
  </si>
  <si>
    <t>919S09-500</t>
  </si>
  <si>
    <t>SPRĘŻYNA  RYS.002015</t>
  </si>
  <si>
    <t>0.03370</t>
  </si>
  <si>
    <t>919S13-200</t>
  </si>
  <si>
    <t>OŚ KÓŁKA rys.008323</t>
  </si>
  <si>
    <t>0.06363</t>
  </si>
  <si>
    <t>0.54545</t>
  </si>
  <si>
    <t>919S28-302</t>
  </si>
  <si>
    <t>PRZEWŁOKA RYS.004776</t>
  </si>
  <si>
    <t>0.07424</t>
  </si>
  <si>
    <t>919S28-303</t>
  </si>
  <si>
    <t>ZAWIESZKA WĘŻA RYS.004776</t>
  </si>
  <si>
    <t>0.02222</t>
  </si>
  <si>
    <t>0.02255</t>
  </si>
  <si>
    <t>DOCISK-PRĘT RYS.003598 POZ.2</t>
  </si>
  <si>
    <t>0.02278</t>
  </si>
  <si>
    <t>919S33-010</t>
  </si>
  <si>
    <t>SRGP-100;125-TULEJKA DYSTANSOWA L=12mm</t>
  </si>
  <si>
    <t>PRĘT AL. D-8 PA6 0.14KG/MB</t>
  </si>
  <si>
    <t>0.01852</t>
  </si>
  <si>
    <t>919S33-020</t>
  </si>
  <si>
    <t>SRGP-100;125-TULEJKA DYSTANSOWA L=6mm</t>
  </si>
  <si>
    <t>919S33-110</t>
  </si>
  <si>
    <t>SSAWA SRGP-100;125-CHWYT w/g rys.017226</t>
  </si>
  <si>
    <t>0.05324</t>
  </si>
  <si>
    <t>919S33-210</t>
  </si>
  <si>
    <t>SSAWA SRGP-100-OŚ-Rura 3/8"</t>
  </si>
  <si>
    <t>406R06</t>
  </si>
  <si>
    <t>RURA 3/8"x2,35</t>
  </si>
  <si>
    <t>0.21341</t>
  </si>
  <si>
    <t>0.18478</t>
  </si>
  <si>
    <t>919S33-310</t>
  </si>
  <si>
    <t>SSAWA SRGP-100-SUWAK I</t>
  </si>
  <si>
    <t>69P015690-00-0200</t>
  </si>
  <si>
    <t>3.25</t>
  </si>
  <si>
    <t>0.38587</t>
  </si>
  <si>
    <t>919S33-320</t>
  </si>
  <si>
    <t>SSAWA SRGP-100-SZYNA I</t>
  </si>
  <si>
    <t>69P015851-00-0200</t>
  </si>
  <si>
    <t>SSAWA SRGP-100-SUWAK-Szyna</t>
  </si>
  <si>
    <t>1.30</t>
  </si>
  <si>
    <t>919S33-330</t>
  </si>
  <si>
    <t>SSAWA SRGP-100-SUWAK II</t>
  </si>
  <si>
    <t>69P015691-00-0200</t>
  </si>
  <si>
    <t>SSAWA SRGP-100-SUWAK-Suwak II</t>
  </si>
  <si>
    <t>0.26956</t>
  </si>
  <si>
    <t>919S33-510</t>
  </si>
  <si>
    <t>SSAWA SRGP-100;125-PRĘT DŹWIGNI w/g rys.017225</t>
  </si>
  <si>
    <t>0.06390</t>
  </si>
  <si>
    <t>919S33-600</t>
  </si>
  <si>
    <t>SSAWA SRGP-100,125-KOŚĆ STAŁA w/g yrs.017353</t>
  </si>
  <si>
    <t>69P017353-00-0200</t>
  </si>
  <si>
    <t>SRGP-100;125-KOŚĆ STAŁA</t>
  </si>
  <si>
    <t>0.34239</t>
  </si>
  <si>
    <t>919S35-400</t>
  </si>
  <si>
    <t>PRĘT SZEŚCIOKĄTNY w/g rys.019525</t>
  </si>
  <si>
    <t>0.08484</t>
  </si>
  <si>
    <t>919S35-500</t>
  </si>
  <si>
    <t>WKŁADKA CIERNA D25x1 w/g rys.019523</t>
  </si>
  <si>
    <t>919S35-600</t>
  </si>
  <si>
    <t>WKŁADKA CIERNA D15x1 w/g rys.019524</t>
  </si>
  <si>
    <t>0.08620</t>
  </si>
  <si>
    <t>0.04170</t>
  </si>
  <si>
    <t>919S36-442</t>
  </si>
  <si>
    <t>KOSTKA ŁOŻYSKOWA w/g rys.016325</t>
  </si>
  <si>
    <t>401P37</t>
  </si>
  <si>
    <t>PRĘT KWADR. K-16X16 45 2,01KG/MB</t>
  </si>
  <si>
    <t>0.09166</t>
  </si>
  <si>
    <t>0.10795</t>
  </si>
  <si>
    <t>0.09274</t>
  </si>
  <si>
    <t>0.10978</t>
  </si>
  <si>
    <t>919S37-100</t>
  </si>
  <si>
    <t>SSAWKA SRGP-N - PR1</t>
  </si>
  <si>
    <t>404P33</t>
  </si>
  <si>
    <t>PRĘT AL. D-8 PA6 0.14 KG/MB</t>
  </si>
  <si>
    <t>0.00879</t>
  </si>
  <si>
    <t>919S37-200</t>
  </si>
  <si>
    <t>SSAWKA SRGP-N - W3</t>
  </si>
  <si>
    <t>0.05949</t>
  </si>
  <si>
    <t>919S37-300</t>
  </si>
  <si>
    <t>SSAWKA SRGP-N - W4</t>
  </si>
  <si>
    <t>919S37-400</t>
  </si>
  <si>
    <t>SSAWKA SRGP-N - T2</t>
  </si>
  <si>
    <t>0.01428</t>
  </si>
  <si>
    <t>0.06739</t>
  </si>
  <si>
    <t>919S45-310</t>
  </si>
  <si>
    <t>ZAŚLEPKA w/g rys.009104</t>
  </si>
  <si>
    <t>0.03417</t>
  </si>
  <si>
    <t>919S45-320</t>
  </si>
  <si>
    <t>ZAŚLEPKA II w/g rys.009105</t>
  </si>
  <si>
    <t>0.03924</t>
  </si>
  <si>
    <t>919S67-010</t>
  </si>
  <si>
    <t>SMP-44-400-Pokładka 30/10x1</t>
  </si>
  <si>
    <t>0.00449</t>
  </si>
  <si>
    <t>0.12515</t>
  </si>
  <si>
    <t>3.36363</t>
  </si>
  <si>
    <t>940K29-121</t>
  </si>
  <si>
    <t>SKZ-900/F400-PRĘT OGRANICZNIKA RUCHU w/g rys.900-5-07</t>
  </si>
  <si>
    <t>0.82000</t>
  </si>
  <si>
    <t>940K29-210</t>
  </si>
  <si>
    <t>SKZ-900/F400-OŚ KLAPY w/g rys.900-5-11</t>
  </si>
  <si>
    <t>3.55556</t>
  </si>
  <si>
    <t>0.26285</t>
  </si>
  <si>
    <t>940K29-220</t>
  </si>
  <si>
    <t>SKZ-900/F400-PODKŁADKA D12,7/d12x1</t>
  </si>
  <si>
    <t>940K31-200</t>
  </si>
  <si>
    <t>SKZ450 OŚ KLAPY</t>
  </si>
  <si>
    <t>0.19400</t>
  </si>
  <si>
    <t>1.13000</t>
  </si>
  <si>
    <t>940K32-111</t>
  </si>
  <si>
    <t>SKZ-560/F400-OŚ KLAPY</t>
  </si>
  <si>
    <t>0.51428</t>
  </si>
  <si>
    <t>940K32-210</t>
  </si>
  <si>
    <t>SKZ-560/F400-OŚ KLAPY w/g rys.000271</t>
  </si>
  <si>
    <t>0.50714</t>
  </si>
  <si>
    <t>0.25681</t>
  </si>
  <si>
    <t>940K34-111</t>
  </si>
  <si>
    <t>SKZ-500/F400-OŚ ZDERZAKA</t>
  </si>
  <si>
    <t>0.32142</t>
  </si>
  <si>
    <t>0.09359</t>
  </si>
  <si>
    <t>940K34-210</t>
  </si>
  <si>
    <t>SKZ-500/F400-OŚ KLAPY</t>
  </si>
  <si>
    <t>0.45714</t>
  </si>
  <si>
    <t>0.25897</t>
  </si>
  <si>
    <t>940K35-121</t>
  </si>
  <si>
    <t>OŚ ZDERZAKA</t>
  </si>
  <si>
    <t>940K35-210</t>
  </si>
  <si>
    <t>SKZ-1000/F400-OŚ KLAPY</t>
  </si>
  <si>
    <t>940K36-210</t>
  </si>
  <si>
    <t>OŚ KLAPY SKZ-450/F400</t>
  </si>
  <si>
    <t>0.41428</t>
  </si>
  <si>
    <t>1.72580</t>
  </si>
  <si>
    <t>0.09230</t>
  </si>
  <si>
    <t>940K37-210</t>
  </si>
  <si>
    <t>OŚ KLAPY w/g rys.000441</t>
  </si>
  <si>
    <t>0.72143</t>
  </si>
  <si>
    <t>0.31818</t>
  </si>
  <si>
    <t>940M99-100</t>
  </si>
  <si>
    <t>SWORZEŃ WYŁ.KRAŃC.RYS.008293</t>
  </si>
  <si>
    <t>0.07179</t>
  </si>
  <si>
    <t>943P28-500</t>
  </si>
  <si>
    <t>TPD-500 TULEJKA DYSTANSOWA 012917</t>
  </si>
  <si>
    <t>ELEMENT TŁUMIKA I TŁUMIK WENTYLATORA WW-3-HPB</t>
  </si>
  <si>
    <t>1250.00000</t>
  </si>
  <si>
    <t>0.38325</t>
  </si>
  <si>
    <t>943W18-200</t>
  </si>
  <si>
    <t>KROCIEC D=60x55  rys.010388</t>
  </si>
  <si>
    <t>0.09250</t>
  </si>
  <si>
    <t>0.08453</t>
  </si>
  <si>
    <t>943W18-300</t>
  </si>
  <si>
    <t>TRZPIEŃ  rys.010412</t>
  </si>
  <si>
    <t>943W18-400</t>
  </si>
  <si>
    <t>KROCIEC 2"  rys.09836</t>
  </si>
  <si>
    <t>943W18-500</t>
  </si>
  <si>
    <t>KROCIEC 2 1/2"  rys.09835</t>
  </si>
  <si>
    <t>406R01</t>
  </si>
  <si>
    <t>RURA STAL. D-76.1X6.3 R-35</t>
  </si>
  <si>
    <t>943W18-600</t>
  </si>
  <si>
    <t>PRĘT GWINTOWANY M8x190 rys.009822</t>
  </si>
  <si>
    <t>0.05350</t>
  </si>
  <si>
    <t>OBUDOWA WENTYLATORA WW-2-1-1100</t>
  </si>
  <si>
    <t>943W20-101</t>
  </si>
  <si>
    <t>OBUDOWA WENTYLATORA WW-2-odlew</t>
  </si>
  <si>
    <t>84.80</t>
  </si>
  <si>
    <t>1.57575</t>
  </si>
  <si>
    <t>OBUDOWA WENTYLATORA WW-2-1-1100-odlew</t>
  </si>
  <si>
    <t>POKRYWA WENTYLATORA WW-2-1-1100</t>
  </si>
  <si>
    <t>943W20-201</t>
  </si>
  <si>
    <t>POKRYWA WENTYLATORA WW-2-odlew</t>
  </si>
  <si>
    <t>73.52</t>
  </si>
  <si>
    <t>1.05714</t>
  </si>
  <si>
    <t>POKRYWA WENTYLATORA WW-2-1-1100-odlew</t>
  </si>
  <si>
    <t>0.00306</t>
  </si>
  <si>
    <t>WIRNIK WENTYLATORA WW-2-1-1100</t>
  </si>
  <si>
    <t>943W20-301</t>
  </si>
  <si>
    <t>WIRNIK WENTYLATORA WW-1-odlew</t>
  </si>
  <si>
    <t>2.02857</t>
  </si>
  <si>
    <t>WIRNIK WENTYLATORA WW-2-1-1100-odlew</t>
  </si>
  <si>
    <t>943W20-401</t>
  </si>
  <si>
    <t>ŁĄCZNIK TŁUMIKÓW WENTYLATORA WW-2-odlew</t>
  </si>
  <si>
    <t>39.80</t>
  </si>
  <si>
    <t>0.76420</t>
  </si>
  <si>
    <t>0.53125</t>
  </si>
  <si>
    <t>TULEJA DYSTANSOWA w/g rys.009831 poz.2</t>
  </si>
  <si>
    <t>0.12575</t>
  </si>
  <si>
    <t>943W21-100</t>
  </si>
  <si>
    <t>TŁUMIK WENTYLATORA WW-2;WW-3</t>
  </si>
  <si>
    <t>401S29</t>
  </si>
  <si>
    <t>SIATKA CIĘTO-CIĄ |0.7X220X390 axb-6x11, t1xt-7,5x14</t>
  </si>
  <si>
    <t>435.00000</t>
  </si>
  <si>
    <t>ELEMENT TŁUMIKA I TŁUMIK WENTYLATORA WW-2;WW-3</t>
  </si>
  <si>
    <t>0.00083</t>
  </si>
  <si>
    <t>0.27571</t>
  </si>
  <si>
    <t>0.37000</t>
  </si>
  <si>
    <t>ELEMENT TŁUMIKA II TŁUMIK WENTYLATORA WW-2;WW-3</t>
  </si>
  <si>
    <t>0.00075</t>
  </si>
  <si>
    <t>0.53151</t>
  </si>
  <si>
    <t>943W21-200</t>
  </si>
  <si>
    <t>OBUDOWA WENTYLATORA WW-3-1-3000</t>
  </si>
  <si>
    <t>0.00525</t>
  </si>
  <si>
    <t>943W21-300</t>
  </si>
  <si>
    <t>POKRYWA WENTYLATORA WW-3-1-3000</t>
  </si>
  <si>
    <t>0.00475</t>
  </si>
  <si>
    <t>1.31285</t>
  </si>
  <si>
    <t>943W21-400</t>
  </si>
  <si>
    <t>WIRNIK WENTYLATORA WW-3-1-3000</t>
  </si>
  <si>
    <t>2.63857</t>
  </si>
  <si>
    <t>943W21-500</t>
  </si>
  <si>
    <t>ŁĄCZNIK TŁUMIKÓW WENTYLATORA WW-3-1-3000</t>
  </si>
  <si>
    <t>0.00058</t>
  </si>
  <si>
    <t>0.27545</t>
  </si>
  <si>
    <t>0.09318</t>
  </si>
  <si>
    <t>943W22-100</t>
  </si>
  <si>
    <t>OBUDOWA WENTYLATORA WW-4-1-7500</t>
  </si>
  <si>
    <t>0.00942</t>
  </si>
  <si>
    <t>2.97187</t>
  </si>
  <si>
    <t>943W22-200</t>
  </si>
  <si>
    <t>POKRYWA WENTYLATORA WW-4-1-7500</t>
  </si>
  <si>
    <t>0.00913</t>
  </si>
  <si>
    <t>2.78437</t>
  </si>
  <si>
    <t>943W22-300</t>
  </si>
  <si>
    <t>WIRNIK WENTYLATORA  WW-4-1-7500</t>
  </si>
  <si>
    <t>943W22-400</t>
  </si>
  <si>
    <t>ŁĄCZNIK TŁUMIKÓW WENTYLATORA WW-4-1-7500</t>
  </si>
  <si>
    <t>0.51075</t>
  </si>
  <si>
    <t>943W22-500</t>
  </si>
  <si>
    <t>ELEMENT TŁUMIKA I  TŁUMIK WENTYLATORA WW-4-1-7500</t>
  </si>
  <si>
    <t>0.32750</t>
  </si>
  <si>
    <t>943W22-600</t>
  </si>
  <si>
    <t>ELEMENT TŁUMIKA II TŁUMIK WENTYLATORA WW-4-1-7500</t>
  </si>
  <si>
    <t>0.35468</t>
  </si>
  <si>
    <t>943W22-700</t>
  </si>
  <si>
    <t>TŁUMIK WENTYLATORA WW-4</t>
  </si>
  <si>
    <t>401S25</t>
  </si>
  <si>
    <t>SIATKA CIĘTO-CIĄ |0.8X1250X1250 CC 6X11</t>
  </si>
  <si>
    <t>26.69</t>
  </si>
  <si>
    <t>0.13115</t>
  </si>
  <si>
    <t>404R08</t>
  </si>
  <si>
    <t>RURA ALUM. D-125X6 PA38</t>
  </si>
  <si>
    <t>3.96154</t>
  </si>
  <si>
    <t>0.16160</t>
  </si>
  <si>
    <t>ELEMENT TŁUMIKA I WENTYLATORA WW4-1-7500</t>
  </si>
  <si>
    <t>40.77</t>
  </si>
  <si>
    <t>ELEMENT TŁUMIKA II WENTYLAT. WW-4-1-7500</t>
  </si>
  <si>
    <t>31.68</t>
  </si>
  <si>
    <t>370.00000</t>
  </si>
  <si>
    <t>0.10923</t>
  </si>
  <si>
    <t>0.72500</t>
  </si>
  <si>
    <t>943W33-100</t>
  </si>
  <si>
    <t>POKRYWA MOTOREDUKTORA RYS.015583</t>
  </si>
  <si>
    <t>4.42000</t>
  </si>
  <si>
    <t>675.00000</t>
  </si>
  <si>
    <t>943W33-220</t>
  </si>
  <si>
    <t>STOJAK RYS.015675</t>
  </si>
  <si>
    <t>425N10</t>
  </si>
  <si>
    <t>NITONAKR. SFM 6X30</t>
  </si>
  <si>
    <t>425P07</t>
  </si>
  <si>
    <t>PRĘT GWINTOWANY M8X1000L.GWINT,OC,KL.8.8</t>
  </si>
  <si>
    <t>64G015291-00-0200</t>
  </si>
  <si>
    <t>PŁYTA STOJAKA RYS.015291</t>
  </si>
  <si>
    <t>113.10</t>
  </si>
  <si>
    <t>64G015675-05-0200</t>
  </si>
  <si>
    <t>ZAŚLEPKA PROFILU 3x40x40 Rys.015675 poz5</t>
  </si>
  <si>
    <t>1.04</t>
  </si>
  <si>
    <t>64G015675-13-0200</t>
  </si>
  <si>
    <t>KĄTNIK 5x80xY1 RYS.015675 poz13</t>
  </si>
  <si>
    <t>6.76</t>
  </si>
  <si>
    <t>64G015677-00-0200</t>
  </si>
  <si>
    <t>PŁYTA I RYS.015677-00-0200</t>
  </si>
  <si>
    <t>25.22</t>
  </si>
  <si>
    <t>64G015678-00-0200</t>
  </si>
  <si>
    <t>PŁYTA II RYTS.015678</t>
  </si>
  <si>
    <t>3200.00000</t>
  </si>
  <si>
    <t>237.00000</t>
  </si>
  <si>
    <t>11000.00000</t>
  </si>
  <si>
    <t>1572.00000</t>
  </si>
  <si>
    <t>1448.00000</t>
  </si>
  <si>
    <t>0.67000</t>
  </si>
  <si>
    <t>7.38000</t>
  </si>
  <si>
    <t>943W33-250</t>
  </si>
  <si>
    <t>RURA D219x10/L=144</t>
  </si>
  <si>
    <t>4022.00000</t>
  </si>
  <si>
    <t>943W33-265</t>
  </si>
  <si>
    <t>RURA D219x10/L=1108</t>
  </si>
  <si>
    <t>28290.00000</t>
  </si>
  <si>
    <t>0.20937</t>
  </si>
  <si>
    <t>943W33-270</t>
  </si>
  <si>
    <t>PIERŚCIEŃ GÓRNY ŁOŻYSKA Rys.015269</t>
  </si>
  <si>
    <t>20.72000</t>
  </si>
  <si>
    <t>25000.00000</t>
  </si>
  <si>
    <t>943W33-280</t>
  </si>
  <si>
    <t>PIERŚCIEŃ WEWNĘTRZNY ŁOŻYSKA Rys.015270</t>
  </si>
  <si>
    <t>14.54000</t>
  </si>
  <si>
    <t>20000.00000</t>
  </si>
  <si>
    <t>943W33-290</t>
  </si>
  <si>
    <t>PIERŚCIEŃ DOLNY ŁOŻYSKA Rys.015271</t>
  </si>
  <si>
    <t>19.80000</t>
  </si>
  <si>
    <t>26500.00000</t>
  </si>
  <si>
    <t>24.00000</t>
  </si>
  <si>
    <t>943W33-300</t>
  </si>
  <si>
    <t>ŁOŻYSKO WIEŃCOWE RYS.015275</t>
  </si>
  <si>
    <t>422Ś09</t>
  </si>
  <si>
    <t>ŚRUBA IMBUSOWA M8X40 KL.8.8/105</t>
  </si>
  <si>
    <t>435U44</t>
  </si>
  <si>
    <t>USZCZELKA "O" D-4 sznur</t>
  </si>
  <si>
    <t>0.23</t>
  </si>
  <si>
    <t>453K14</t>
  </si>
  <si>
    <t>KULKA ŁOŻYSKOWA FI 7,144 (9/32")</t>
  </si>
  <si>
    <t>0.08</t>
  </si>
  <si>
    <t>380.00000</t>
  </si>
  <si>
    <t>916.79</t>
  </si>
  <si>
    <t>859.99</t>
  </si>
  <si>
    <t>1390.78</t>
  </si>
  <si>
    <t>943W33-350</t>
  </si>
  <si>
    <t>SPRZĘGŁO BEZPIECZEŃSTWA RYS.015391</t>
  </si>
  <si>
    <t>420N99</t>
  </si>
  <si>
    <t>NAKRĘTKA KORONOWA M8x1 KL.8-oc DIN979</t>
  </si>
  <si>
    <t>0.04300</t>
  </si>
  <si>
    <t>420Z11</t>
  </si>
  <si>
    <t>ZAWLECZKA D-2,0x16 [STO]</t>
  </si>
  <si>
    <t>422Ś32</t>
  </si>
  <si>
    <t>ŚRUBA IMBUSOWA M8X30 KL.8.8/105</t>
  </si>
  <si>
    <t>0.01720</t>
  </si>
  <si>
    <t>432P35</t>
  </si>
  <si>
    <t>PŁYTA TEKSTOLIT X5mm 1,0x2,0m</t>
  </si>
  <si>
    <t>435U45</t>
  </si>
  <si>
    <t>USZCZELKA "O" D-15x2,65</t>
  </si>
  <si>
    <t>435U46</t>
  </si>
  <si>
    <t>USZCZELKA "O" D-21,2x2,65</t>
  </si>
  <si>
    <t>435U47</t>
  </si>
  <si>
    <t>USZCZELKA "o" D-54,5x3,55</t>
  </si>
  <si>
    <t>435U48</t>
  </si>
  <si>
    <t>USZCZELKA "O" D-50x5,3</t>
  </si>
  <si>
    <t>435U49</t>
  </si>
  <si>
    <t>USZCZELKA "O" D-109x3,55</t>
  </si>
  <si>
    <t>453W04</t>
  </si>
  <si>
    <t>WPUST PRYZMATYCZNY A 10x8x110</t>
  </si>
  <si>
    <t>455S53</t>
  </si>
  <si>
    <t>SPRĘŻ.TAL. D-25X12.2X1.5</t>
  </si>
  <si>
    <t>0.30</t>
  </si>
  <si>
    <t>943W33-351</t>
  </si>
  <si>
    <t>ŚRUBA IMBUS.DROBNOZW M8x1x35 Rys.015936</t>
  </si>
  <si>
    <t>8.98000</t>
  </si>
  <si>
    <t>7860.00000</t>
  </si>
  <si>
    <t>400.00000</t>
  </si>
  <si>
    <t>32.50000</t>
  </si>
  <si>
    <t>422Ś55</t>
  </si>
  <si>
    <t>ŚRUBA IMBUSOWA M8x65 -8.8 oc DIN912</t>
  </si>
  <si>
    <t>0.02940</t>
  </si>
  <si>
    <t>943W33-490</t>
  </si>
  <si>
    <t>WIRNIK AL.spaw WYK.LEWY 470/240x114-3000 Rys.009223</t>
  </si>
  <si>
    <t>13.36</t>
  </si>
  <si>
    <t>904W30-990</t>
  </si>
  <si>
    <t>104.35</t>
  </si>
  <si>
    <t>943W33-495</t>
  </si>
  <si>
    <t>WIRNIK AL spaw WYK.LEWY 470/240x114-3000 PÓŁFABRYKAT</t>
  </si>
  <si>
    <t>355.63</t>
  </si>
  <si>
    <t>2990.00000</t>
  </si>
  <si>
    <t>0.34600</t>
  </si>
  <si>
    <t>0.07850</t>
  </si>
  <si>
    <t>0.88330</t>
  </si>
  <si>
    <t>943W33-660</t>
  </si>
  <si>
    <t>OBUDOWA WENTYLATORA SNOW OUT-1 Rys.015474</t>
  </si>
  <si>
    <t>172.50000</t>
  </si>
  <si>
    <t>4.50000</t>
  </si>
  <si>
    <t>943W33-682</t>
  </si>
  <si>
    <t>PIASTA SKŁADANA spawana Rys.015469</t>
  </si>
  <si>
    <t>943W33-683</t>
  </si>
  <si>
    <t>PIASTA ZEWNĘTRZNA Rys.015470</t>
  </si>
  <si>
    <t>140.24</t>
  </si>
  <si>
    <t>943W33-684</t>
  </si>
  <si>
    <t>PIASTA WEWNETRZNA Rys,015468</t>
  </si>
  <si>
    <t>197.30</t>
  </si>
  <si>
    <t>0.35151</t>
  </si>
  <si>
    <t>943W33-685</t>
  </si>
  <si>
    <t>TULEJA PIASTY WEWNĘTRZNEJ Rys.015467</t>
  </si>
  <si>
    <t>53.12</t>
  </si>
  <si>
    <t>943W33-686</t>
  </si>
  <si>
    <t>KOŁNIERZ PIASTY WEWNĘTRZNEJ Rys.015466</t>
  </si>
  <si>
    <t>61.52</t>
  </si>
  <si>
    <t>105.00000</t>
  </si>
  <si>
    <t>0.83636</t>
  </si>
  <si>
    <t>0.15151</t>
  </si>
  <si>
    <t>4.95000</t>
  </si>
  <si>
    <t>0.61666</t>
  </si>
  <si>
    <t>64G015466-00-0200</t>
  </si>
  <si>
    <t>SNOWOUT-R-D-Kołnierz piasty wewnętrznej</t>
  </si>
  <si>
    <t>33.15</t>
  </si>
  <si>
    <t>943W37-211</t>
  </si>
  <si>
    <t>SNOW OUT-1-M-1-PODKŁADKA SPECJALNA w/g rys.017316</t>
  </si>
  <si>
    <t>0.56250</t>
  </si>
  <si>
    <t>943W37-221</t>
  </si>
  <si>
    <t>SNOW OUT-1-M-1-PÓŁOŚ w/g rys.016360</t>
  </si>
  <si>
    <t>2.35000</t>
  </si>
  <si>
    <t>943W37-241</t>
  </si>
  <si>
    <t>SNOW OUT-1-M-1-OŚ KOŁA JEZDNEGO N-150 w/g rys.016351</t>
  </si>
  <si>
    <t>1.59000</t>
  </si>
  <si>
    <t>0.10160</t>
  </si>
  <si>
    <t>943W37-250</t>
  </si>
  <si>
    <t>SNOW OUT-1-M-1-KOŁO DSPK-200K w/g rys.017527</t>
  </si>
  <si>
    <t>452Z24</t>
  </si>
  <si>
    <t>KOŁO DSPK 200K BLICKLE</t>
  </si>
  <si>
    <t>4.86500</t>
  </si>
  <si>
    <t>0.45600</t>
  </si>
  <si>
    <t>943W37-260</t>
  </si>
  <si>
    <t>SNOW OUT-1-M-1-ŁĄCZNIK PÓŁOSI w/g rys.015444</t>
  </si>
  <si>
    <t>4.01000</t>
  </si>
  <si>
    <t>2.80770</t>
  </si>
  <si>
    <t>943W37-270</t>
  </si>
  <si>
    <t>SNOW OUT-1-M-1-OŚ KOŁA JEZDNEGO W-150 w/g rys.016354</t>
  </si>
  <si>
    <t>1.80000</t>
  </si>
  <si>
    <t>0.08833</t>
  </si>
  <si>
    <t>943W39-232</t>
  </si>
  <si>
    <t>SNOW OUT-2-M-OŚ KOŁA JEZDNEGO-150 w/g rys.016195</t>
  </si>
  <si>
    <t>1.49000</t>
  </si>
  <si>
    <t>0.08500</t>
  </si>
  <si>
    <t>943W39-233</t>
  </si>
  <si>
    <t>SNOW OUT-2-M-ŁĄCZNIK PÓŁOSI w/g rys.016196</t>
  </si>
  <si>
    <t>943W39-234</t>
  </si>
  <si>
    <t>SNOW OUT-2-M-KOŁO DSPK 150K w/g rys.016166</t>
  </si>
  <si>
    <t>452Z23</t>
  </si>
  <si>
    <t>KOŁO Z PODWÓJNYM KOŁNIERZEM Z LITEJ STALI DSPK 150K 10004010 BLICKLE</t>
  </si>
  <si>
    <t>0.28933</t>
  </si>
  <si>
    <t>943W39-235</t>
  </si>
  <si>
    <t>SNOW OUT-2-M-PODKŁADKA SPECJALNA w/g rys/016198</t>
  </si>
  <si>
    <t>0.30952</t>
  </si>
  <si>
    <t>943W39-251</t>
  </si>
  <si>
    <t>SNOW OUT-2-M-PÓŁOŚ KRÓTKA w/g rys.015450</t>
  </si>
  <si>
    <t>943W39-252</t>
  </si>
  <si>
    <t>SNOW OUT-2-M-KOŁNIERZ PÓŁOSI w/g rys.016197</t>
  </si>
  <si>
    <t>64G016197-00-0200</t>
  </si>
  <si>
    <t>SNOW OUT-2-M-Kołnierz półosi</t>
  </si>
  <si>
    <t>943W39-261</t>
  </si>
  <si>
    <t>SNOW OUT-2-M-PÓŁOŚ DŁUGA w/g rys.015449</t>
  </si>
  <si>
    <t>19.00000</t>
  </si>
  <si>
    <t>943W39-271</t>
  </si>
  <si>
    <t>SNOW OUT-2-M-OŚ POŁĄCZENIOWA w/g rys.016615</t>
  </si>
  <si>
    <t>0.08233</t>
  </si>
  <si>
    <t>943W39-312</t>
  </si>
  <si>
    <t>SNOW OUT-2-M-TULEJA ŚLIZGOWA w/g rys.016146</t>
  </si>
  <si>
    <t>PRĘT CIĄGN. D-35 45 7.53KG/MB</t>
  </si>
  <si>
    <t>0.12050</t>
  </si>
  <si>
    <t>0.09666</t>
  </si>
  <si>
    <t>943W39-314</t>
  </si>
  <si>
    <t>SNOW OUT-2-M-PRĘT w/g rys.016093</t>
  </si>
  <si>
    <t>2.08000</t>
  </si>
  <si>
    <t>0.35333</t>
  </si>
  <si>
    <t>943W39-323</t>
  </si>
  <si>
    <t>SNOW OUT-2-M-TULEJKA PROWADZĄCA DOLNA w/g rys.016096</t>
  </si>
  <si>
    <t>401P18</t>
  </si>
  <si>
    <t>PRĘT WALC. D-60 45 22.2KG/MB</t>
  </si>
  <si>
    <t>0.31000</t>
  </si>
  <si>
    <t>0.09833</t>
  </si>
  <si>
    <t>943W45-100</t>
  </si>
  <si>
    <t>OBUDOWA WENTYLATORA SNOW OUT-1 MONSTER w/g rys.015474</t>
  </si>
  <si>
    <t>3.83330</t>
  </si>
  <si>
    <t>943W57-100</t>
  </si>
  <si>
    <t>OBUDOWA WENTYLATORA WW-4-3-7500</t>
  </si>
  <si>
    <t>0.00933</t>
  </si>
  <si>
    <t>2.72000</t>
  </si>
  <si>
    <t>1.71714</t>
  </si>
  <si>
    <t>943W57-200</t>
  </si>
  <si>
    <t>POKRYWA WENTYLATORA 4-3-7500</t>
  </si>
  <si>
    <t>2.70000</t>
  </si>
  <si>
    <t>1.71857</t>
  </si>
  <si>
    <t>943W57-300</t>
  </si>
  <si>
    <t>WIRNIK WENTYLATORA WW-4-3-7500</t>
  </si>
  <si>
    <t>2.95000</t>
  </si>
  <si>
    <t>943W57-400</t>
  </si>
  <si>
    <t>ŁĄCZNIK TŁUMIKÓW WENTYLATORA WW-4-3-750</t>
  </si>
  <si>
    <t>0.50857</t>
  </si>
  <si>
    <t>943W57-500</t>
  </si>
  <si>
    <t>TŁUMIK WENTYLATORA WW-4-3-7500</t>
  </si>
  <si>
    <t>943W57-510</t>
  </si>
  <si>
    <t>ELEMENT I TŁUMIKA WENTYLATORA WW-4-3-7500</t>
  </si>
  <si>
    <t>40.78</t>
  </si>
  <si>
    <t>943W57-520</t>
  </si>
  <si>
    <t>ELEMNT II TŁUMIKA WENTYLATORA WW-4-3-7500</t>
  </si>
  <si>
    <t>31.99</t>
  </si>
  <si>
    <t>515.00000</t>
  </si>
  <si>
    <t>0.34428</t>
  </si>
  <si>
    <t>0.32571</t>
  </si>
  <si>
    <t>0.34843</t>
  </si>
  <si>
    <t>487W73</t>
  </si>
  <si>
    <t>OBUDOWA WENTYLATORA WW3</t>
  </si>
  <si>
    <t>1.92307</t>
  </si>
  <si>
    <t>487W74</t>
  </si>
  <si>
    <t>POKRYWA WENTYLATORA WW-3</t>
  </si>
  <si>
    <t>185.00</t>
  </si>
  <si>
    <t>487W75</t>
  </si>
  <si>
    <t>WIRNIK WENTYLATORA WW-3</t>
  </si>
  <si>
    <t>160.00</t>
  </si>
  <si>
    <t>16000.00000</t>
  </si>
  <si>
    <t>2.56410</t>
  </si>
  <si>
    <t>487W76</t>
  </si>
  <si>
    <t>ŁĄCZNIK WENTYLATORA WW-3</t>
  </si>
  <si>
    <t>0.17948</t>
  </si>
  <si>
    <t>0.04762</t>
  </si>
  <si>
    <t>943W65-510</t>
  </si>
  <si>
    <t>ELEMENT TŁUMIKA I w/g rys.008982</t>
  </si>
  <si>
    <t>47.33</t>
  </si>
  <si>
    <t>943W65-520</t>
  </si>
  <si>
    <t>ELEMENT TŁUMIKA II w/g rys.008983</t>
  </si>
  <si>
    <t>58.41</t>
  </si>
  <si>
    <t>0.37949</t>
  </si>
  <si>
    <t>487W77</t>
  </si>
  <si>
    <t>ELEMENT TŁUMIKA I WW-3</t>
  </si>
  <si>
    <t>32.00</t>
  </si>
  <si>
    <t>487W78</t>
  </si>
  <si>
    <t>ELEMENT TŁUMIKA II WW-3</t>
  </si>
  <si>
    <t>0.48718</t>
  </si>
  <si>
    <t>487W80</t>
  </si>
  <si>
    <t>OBUDOWA WENTYLATORA WW-4</t>
  </si>
  <si>
    <t>2.05128</t>
  </si>
  <si>
    <t>487W79</t>
  </si>
  <si>
    <t>POKRYWA WENTYLATORA WW-4</t>
  </si>
  <si>
    <t>1.79487</t>
  </si>
  <si>
    <t>487W82</t>
  </si>
  <si>
    <t>ŁĄCZNIK WENTYLATORA WW-4</t>
  </si>
  <si>
    <t>60.00</t>
  </si>
  <si>
    <t>0.20513</t>
  </si>
  <si>
    <t>487W81</t>
  </si>
  <si>
    <t>WIRNIK WENTYLATORA WW-4</t>
  </si>
  <si>
    <t>390.00</t>
  </si>
  <si>
    <t>2.17948</t>
  </si>
  <si>
    <t>943W66-510</t>
  </si>
  <si>
    <t>ELEMENT I TŁUMIKA w/g rys.010599</t>
  </si>
  <si>
    <t>49.15</t>
  </si>
  <si>
    <t>943W66-520</t>
  </si>
  <si>
    <t>ELEMENT II TŁUMIKA w/g rys.010600</t>
  </si>
  <si>
    <t>46.15</t>
  </si>
  <si>
    <t>520.00000</t>
  </si>
  <si>
    <t>487W83</t>
  </si>
  <si>
    <t>ELEMENT TŁUMIKA I WW-4</t>
  </si>
  <si>
    <t>0.30769</t>
  </si>
  <si>
    <t>487W84</t>
  </si>
  <si>
    <t>ELEMENT TŁUMIKA II WW-4</t>
  </si>
  <si>
    <t>950W99-128</t>
  </si>
  <si>
    <t>PIASTA D28 AL. wg rys.002023</t>
  </si>
  <si>
    <t>0.00150</t>
  </si>
  <si>
    <t>957O21-100</t>
  </si>
  <si>
    <t>OBSADA KRÓĆCA-PYTON</t>
  </si>
  <si>
    <t>876.00000</t>
  </si>
  <si>
    <t>957O21-200</t>
  </si>
  <si>
    <t>KRÓCIEC WLOTOWY RYS.008083 PYTON-1</t>
  </si>
  <si>
    <t>434R19</t>
  </si>
  <si>
    <t>RURA PP D-50X2000</t>
  </si>
  <si>
    <t>5.70</t>
  </si>
  <si>
    <t>957O21-300</t>
  </si>
  <si>
    <t>KRÓCIEC WYLOTOWY RYS.008084 PYTON-1</t>
  </si>
  <si>
    <t>957O21-400</t>
  </si>
  <si>
    <t>SZPILKA M6 RYS.008092 PYTON-1</t>
  </si>
  <si>
    <t>0.08264</t>
  </si>
  <si>
    <t>0.08787</t>
  </si>
  <si>
    <t>kod_produktu</t>
  </si>
  <si>
    <t>nazwa_produktu</t>
  </si>
  <si>
    <t>indeks1</t>
  </si>
  <si>
    <t>indeks2</t>
  </si>
  <si>
    <t>nazwa_indeks</t>
  </si>
  <si>
    <t>cena_jend</t>
  </si>
  <si>
    <t>jm</t>
  </si>
  <si>
    <t>ilosc</t>
  </si>
  <si>
    <t>tkw</t>
  </si>
  <si>
    <t>uwagi</t>
  </si>
  <si>
    <t>KOD_PRODUKTU</t>
  </si>
  <si>
    <t>NAZWA_PRODUKTU</t>
  </si>
  <si>
    <t>NAZWA_INDEKS</t>
  </si>
  <si>
    <t>CENA_JEDN</t>
  </si>
  <si>
    <t>JM</t>
  </si>
  <si>
    <t>ILOSC</t>
  </si>
  <si>
    <t>TKW</t>
  </si>
  <si>
    <t>UWAGI</t>
  </si>
  <si>
    <t>Kolumna</t>
  </si>
  <si>
    <t>Zawiera informacja o kodzie kładowym</t>
  </si>
  <si>
    <t>Zawiera informacje o alternatywnym kodzie składowym</t>
  </si>
  <si>
    <t>Zawiera informacje na który z kodów (z kolumny INDEKS1 czy INDEKS2) jest technologia</t>
  </si>
  <si>
    <t>CENA_JEND</t>
  </si>
  <si>
    <r>
      <t xml:space="preserve">w tym przypadku istnieje technologia na kodzie </t>
    </r>
    <r>
      <rPr>
        <b/>
        <sz val="11"/>
        <color theme="1"/>
        <rFont val="Aptos Narrow"/>
        <family val="2"/>
        <scheme val="minor"/>
      </rPr>
      <t>404S26</t>
    </r>
    <r>
      <rPr>
        <sz val="11"/>
        <color theme="1"/>
        <rFont val="Aptos Narrow"/>
        <family val="2"/>
        <scheme val="minor"/>
      </rPr>
      <t xml:space="preserve"> i pod tym kodem trzeba jej szukać (nie ma jej na kodzie 919S28-102)</t>
    </r>
  </si>
  <si>
    <t>Opis</t>
  </si>
  <si>
    <t>Kolumna1</t>
  </si>
  <si>
    <t>IdxWspolny</t>
  </si>
  <si>
    <t>CzyIdxInKodPrd</t>
  </si>
  <si>
    <t>CzyKodPrdInIdx</t>
  </si>
  <si>
    <t>CzyKOD_PrdSąWArkuszElementy</t>
  </si>
  <si>
    <t>Wartość</t>
  </si>
  <si>
    <t>WartośćProduktuŁączna</t>
  </si>
  <si>
    <t>Nazwa wirtualnego elementu</t>
  </si>
  <si>
    <t>JM2</t>
  </si>
  <si>
    <t>Cena jednostkowa</t>
  </si>
  <si>
    <t>NAZWA_INDEKS2</t>
  </si>
  <si>
    <t>id elementu</t>
  </si>
  <si>
    <t>Wartość Elementu</t>
  </si>
  <si>
    <t>VE-404C01</t>
  </si>
  <si>
    <t>Art. złączny do produktu 404C01</t>
  </si>
  <si>
    <t>VE-404D01</t>
  </si>
  <si>
    <t>Art. złączny do produktu 404D01</t>
  </si>
  <si>
    <t>VE-404D02</t>
  </si>
  <si>
    <t>Art. złączny do produktu 404D02</t>
  </si>
  <si>
    <t>VE-404D03</t>
  </si>
  <si>
    <t>Art. złączny do produktu 404D03</t>
  </si>
  <si>
    <t>VE-404E01</t>
  </si>
  <si>
    <t>Art. złączny do produktu 404E01</t>
  </si>
  <si>
    <t>VE-404E02</t>
  </si>
  <si>
    <t>Art. złączny do produktu 404E02</t>
  </si>
  <si>
    <t>VE-404E03</t>
  </si>
  <si>
    <t>Art. złączny do produktu 404E03</t>
  </si>
  <si>
    <t>VE-404E04</t>
  </si>
  <si>
    <t>Art. złączny do produktu 404E04</t>
  </si>
  <si>
    <t>VE-404E05</t>
  </si>
  <si>
    <t>Art. złączny do produktu 404E05</t>
  </si>
  <si>
    <t>VE-404E06</t>
  </si>
  <si>
    <t>Art. złączny do produktu 404E06</t>
  </si>
  <si>
    <t>VE-404E07</t>
  </si>
  <si>
    <t>Art. złączny do produktu 404E07</t>
  </si>
  <si>
    <t>VE-404E08</t>
  </si>
  <si>
    <t>Art. złączny do produktu 404E08</t>
  </si>
  <si>
    <t>VE-404E09</t>
  </si>
  <si>
    <t>Art. złączny do produktu 404E09</t>
  </si>
  <si>
    <t>VE-404E10</t>
  </si>
  <si>
    <t>Art. złączny do produktu 404E10</t>
  </si>
  <si>
    <t>VE-404E12</t>
  </si>
  <si>
    <t>Art. złączny do produktu 404E12</t>
  </si>
  <si>
    <t>VE-404E13</t>
  </si>
  <si>
    <t>Art. złączny do produktu 404E13</t>
  </si>
  <si>
    <t>VE-404E14</t>
  </si>
  <si>
    <t>Art. złączny do produktu 404E14</t>
  </si>
  <si>
    <t>VE-404E15</t>
  </si>
  <si>
    <t>Art. złączny do produktu 404E15</t>
  </si>
  <si>
    <t>VE-404E16</t>
  </si>
  <si>
    <t>Art. złączny do produktu 404E16</t>
  </si>
  <si>
    <t>VE-404E17</t>
  </si>
  <si>
    <t>Art. złączny do produktu 404E17</t>
  </si>
  <si>
    <t>VE-404E18</t>
  </si>
  <si>
    <t>Art. złączny do produktu 404E18</t>
  </si>
  <si>
    <t>VE-404E19</t>
  </si>
  <si>
    <t>Art. złączny do produktu 404E19</t>
  </si>
  <si>
    <t>VE-404E20</t>
  </si>
  <si>
    <t>Art. złączny do produktu 404E20</t>
  </si>
  <si>
    <t>VE-404E21</t>
  </si>
  <si>
    <t>Art. złączny do produktu 404E21</t>
  </si>
  <si>
    <t>VE-404E22</t>
  </si>
  <si>
    <t>Art. złączny do produktu 404E22</t>
  </si>
  <si>
    <t>VE-404E23</t>
  </si>
  <si>
    <t>Art. złączny do produktu 404E23</t>
  </si>
  <si>
    <t>VE-404F04</t>
  </si>
  <si>
    <t>Art. złączny do produktu 404F04</t>
  </si>
  <si>
    <t>VE-404F07</t>
  </si>
  <si>
    <t>Art. złączny do produktu 404F07</t>
  </si>
  <si>
    <t>VE-404F08</t>
  </si>
  <si>
    <t>Art. złączny do produktu 404F08</t>
  </si>
  <si>
    <t>VE-404F09</t>
  </si>
  <si>
    <t>Art. złączny do produktu 404F09</t>
  </si>
  <si>
    <t>VE-404F10</t>
  </si>
  <si>
    <t>Art. złączny do produktu 404F10</t>
  </si>
  <si>
    <t>VE-404F26</t>
  </si>
  <si>
    <t>Art. złączny do produktu 404F26</t>
  </si>
  <si>
    <t>VE-404F29</t>
  </si>
  <si>
    <t>Art. złączny do produktu 404F29</t>
  </si>
  <si>
    <t>VE-404F40</t>
  </si>
  <si>
    <t>Art. złączny do produktu 404F40</t>
  </si>
  <si>
    <t>VE-404F41</t>
  </si>
  <si>
    <t>Art. złączny do produktu 404F41</t>
  </si>
  <si>
    <t>VE-404F42</t>
  </si>
  <si>
    <t>Art. złączny do produktu 404F42</t>
  </si>
  <si>
    <t>VE-404F43</t>
  </si>
  <si>
    <t>Art. złączny do produktu 404F43</t>
  </si>
  <si>
    <t>VE-404F44</t>
  </si>
  <si>
    <t>Art. złączny do produktu 404F44</t>
  </si>
  <si>
    <t>VE-404F45</t>
  </si>
  <si>
    <t>Art. złączny do produktu 404F45</t>
  </si>
  <si>
    <t>VE-404F46</t>
  </si>
  <si>
    <t>Art. złączny do produktu 404F46</t>
  </si>
  <si>
    <t>VE-404F47</t>
  </si>
  <si>
    <t>Art. złączny do produktu 404F47</t>
  </si>
  <si>
    <t>VE-404F48</t>
  </si>
  <si>
    <t>Art. złączny do produktu 404F48</t>
  </si>
  <si>
    <t>VE-404F49</t>
  </si>
  <si>
    <t>Art. złączny do produktu 404F49</t>
  </si>
  <si>
    <t>VE-404F50</t>
  </si>
  <si>
    <t>Art. złączny do produktu 404F50</t>
  </si>
  <si>
    <t>VE-404G01</t>
  </si>
  <si>
    <t>Art. złączny do produktu 404G01</t>
  </si>
  <si>
    <t>VE-404G03</t>
  </si>
  <si>
    <t>Art. złączny do produktu 404G03</t>
  </si>
  <si>
    <t>VE-404G04</t>
  </si>
  <si>
    <t>Art. złączny do produktu 404G04</t>
  </si>
  <si>
    <t>VE-404G06</t>
  </si>
  <si>
    <t>Art. złączny do produktu 404G06</t>
  </si>
  <si>
    <t>VE-404G07</t>
  </si>
  <si>
    <t>Art. złączny do produktu 404G07</t>
  </si>
  <si>
    <t>VE-404G09</t>
  </si>
  <si>
    <t>Art. złączny do produktu 404G09</t>
  </si>
  <si>
    <t>VE-404G11</t>
  </si>
  <si>
    <t>Art. złączny do produktu 404G11</t>
  </si>
  <si>
    <t>VE-404G17</t>
  </si>
  <si>
    <t>Art. złączny do produktu 404G17</t>
  </si>
  <si>
    <t>VE-404G18</t>
  </si>
  <si>
    <t>Art. złączny do produktu 404G18</t>
  </si>
  <si>
    <t>VE-404G19</t>
  </si>
  <si>
    <t>Art. złączny do produktu 404G19</t>
  </si>
  <si>
    <t>VE-404G20</t>
  </si>
  <si>
    <t>Art. złączny do produktu 404G20</t>
  </si>
  <si>
    <t>VE-404G25</t>
  </si>
  <si>
    <t>Art. złączny do produktu 404G25</t>
  </si>
  <si>
    <t>VE-404G28</t>
  </si>
  <si>
    <t>Art. złączny do produktu 404G28</t>
  </si>
  <si>
    <t>VE-404G29</t>
  </si>
  <si>
    <t>Art. złączny do produktu 404G29</t>
  </si>
  <si>
    <t>VE-404K47</t>
  </si>
  <si>
    <t>Art. złączny do produktu 404K47</t>
  </si>
  <si>
    <t>VE-404K51</t>
  </si>
  <si>
    <t>Art. złączny do produktu 404K51</t>
  </si>
  <si>
    <t>VE-404K52</t>
  </si>
  <si>
    <t>Art. złączny do produktu 404K52</t>
  </si>
  <si>
    <t>VE-404K57</t>
  </si>
  <si>
    <t>Art. złączny do produktu 404K57</t>
  </si>
  <si>
    <t>VE-404K58</t>
  </si>
  <si>
    <t>Art. złączny do produktu 404K58</t>
  </si>
  <si>
    <t>VE-404K59</t>
  </si>
  <si>
    <t>Art. złączny do produktu 404K59</t>
  </si>
  <si>
    <t>VE-404K60</t>
  </si>
  <si>
    <t>Art. złączny do produktu 404K60</t>
  </si>
  <si>
    <t>VE-404L01</t>
  </si>
  <si>
    <t>Art. złączny do produktu 404L01</t>
  </si>
  <si>
    <t>VE-404L02</t>
  </si>
  <si>
    <t>Art. złączny do produktu 404L02</t>
  </si>
  <si>
    <t>VE-404L03</t>
  </si>
  <si>
    <t>Art. złączny do produktu 404L03</t>
  </si>
  <si>
    <t>VE-404M01</t>
  </si>
  <si>
    <t>Art. złączny do produktu 404M01</t>
  </si>
  <si>
    <t>VE-404N02</t>
  </si>
  <si>
    <t>Art. złączny do produktu 404N02</t>
  </si>
  <si>
    <t>VE-404N03</t>
  </si>
  <si>
    <t>Art. złączny do produktu 404N03</t>
  </si>
  <si>
    <t>VE-404N66</t>
  </si>
  <si>
    <t>Art. złączny do produktu 404N66</t>
  </si>
  <si>
    <t>VE-404O23</t>
  </si>
  <si>
    <t>Art. złączny do produktu 404O23</t>
  </si>
  <si>
    <t>VE-404O24</t>
  </si>
  <si>
    <t>Art. złączny do produktu 404O24</t>
  </si>
  <si>
    <t>VE-404O25</t>
  </si>
  <si>
    <t>Art. złączny do produktu 404O25</t>
  </si>
  <si>
    <t>VE-404O26</t>
  </si>
  <si>
    <t>Art. złączny do produktu 404O26</t>
  </si>
  <si>
    <t>VE-404O27</t>
  </si>
  <si>
    <t>Art. złączny do produktu 404O27</t>
  </si>
  <si>
    <t>VE-404O28</t>
  </si>
  <si>
    <t>Art. złączny do produktu 404O28</t>
  </si>
  <si>
    <t>VE-404O31</t>
  </si>
  <si>
    <t>Art. złączny do produktu 404O31</t>
  </si>
  <si>
    <t>VE-404O68</t>
  </si>
  <si>
    <t>Art. złączny do produktu 404O68</t>
  </si>
  <si>
    <t>VE-404O69</t>
  </si>
  <si>
    <t>Art. złączny do produktu 404O69</t>
  </si>
  <si>
    <t>VE-404O70</t>
  </si>
  <si>
    <t>Art. złączny do produktu 404O70</t>
  </si>
  <si>
    <t>VE-404O71</t>
  </si>
  <si>
    <t>Art. złączny do produktu 404O71</t>
  </si>
  <si>
    <t>VE-404O72</t>
  </si>
  <si>
    <t>Art. złączny do produktu 404O72</t>
  </si>
  <si>
    <t>VE-404O73</t>
  </si>
  <si>
    <t>Art. złączny do produktu 404O73</t>
  </si>
  <si>
    <t>VE-404O74</t>
  </si>
  <si>
    <t>Art. złączny do produktu 404O74</t>
  </si>
  <si>
    <t>VE-404O75</t>
  </si>
  <si>
    <t>Art. złączny do produktu 404O75</t>
  </si>
  <si>
    <t>VE-404O76</t>
  </si>
  <si>
    <t>Art. złączny do produktu 404O76</t>
  </si>
  <si>
    <t>VE-404O77</t>
  </si>
  <si>
    <t>Art. złączny do produktu 404O77</t>
  </si>
  <si>
    <t>VE-404O80</t>
  </si>
  <si>
    <t>Art. złączny do produktu 404O80</t>
  </si>
  <si>
    <t>VE-404O84</t>
  </si>
  <si>
    <t>Art. złączny do produktu 404O84</t>
  </si>
  <si>
    <t>VE-404O85</t>
  </si>
  <si>
    <t>Art. złączny do produktu 404O85</t>
  </si>
  <si>
    <t>VE-404O87</t>
  </si>
  <si>
    <t>Art. złączny do produktu 404O87</t>
  </si>
  <si>
    <t>VE-404O89</t>
  </si>
  <si>
    <t>Art. złączny do produktu 404O89</t>
  </si>
  <si>
    <t>VE-404P34</t>
  </si>
  <si>
    <t>Art. złączny do produktu 404P34</t>
  </si>
  <si>
    <t>VE-404P38</t>
  </si>
  <si>
    <t>Art. złączny do produktu 404P38</t>
  </si>
  <si>
    <t>VE-404P39</t>
  </si>
  <si>
    <t>Art. złączny do produktu 404P39</t>
  </si>
  <si>
    <t>VE-404P40</t>
  </si>
  <si>
    <t>Art. złączny do produktu 404P40</t>
  </si>
  <si>
    <t>VE-404P43</t>
  </si>
  <si>
    <t>Art. złączny do produktu 404P43</t>
  </si>
  <si>
    <t>VE-404P44</t>
  </si>
  <si>
    <t>Art. złączny do produktu 404P44</t>
  </si>
  <si>
    <t>VE-404P45</t>
  </si>
  <si>
    <t>Art. złączny do produktu 404P45</t>
  </si>
  <si>
    <t>VE-404P49</t>
  </si>
  <si>
    <t>Art. złączny do produktu 404P49</t>
  </si>
  <si>
    <t>VE-404P50</t>
  </si>
  <si>
    <t>Art. złączny do produktu 404P50</t>
  </si>
  <si>
    <t>VE-404P51</t>
  </si>
  <si>
    <t>Art. złączny do produktu 404P51</t>
  </si>
  <si>
    <t>VE-404P52</t>
  </si>
  <si>
    <t>Art. złączny do produktu 404P52</t>
  </si>
  <si>
    <t>VE-404P53</t>
  </si>
  <si>
    <t>Art. złączny do produktu 404P53</t>
  </si>
  <si>
    <t>VE-404P54</t>
  </si>
  <si>
    <t>Art. złączny do produktu 404P54</t>
  </si>
  <si>
    <t>VE-404P55</t>
  </si>
  <si>
    <t>Art. złączny do produktu 404P55</t>
  </si>
  <si>
    <t>VE-404P56</t>
  </si>
  <si>
    <t>Art. złączny do produktu 404P56</t>
  </si>
  <si>
    <t>VE-404P57</t>
  </si>
  <si>
    <t>Art. złączny do produktu 404P57</t>
  </si>
  <si>
    <t>VE-404P58</t>
  </si>
  <si>
    <t>Art. złączny do produktu 404P58</t>
  </si>
  <si>
    <t>VE-404P59</t>
  </si>
  <si>
    <t>Art. złączny do produktu 404P59</t>
  </si>
  <si>
    <t>VE-404P79</t>
  </si>
  <si>
    <t>Art. złączny do produktu 404P79</t>
  </si>
  <si>
    <t>VE-404P80</t>
  </si>
  <si>
    <t>Art. złączny do produktu 404P80</t>
  </si>
  <si>
    <t>VE-404P81</t>
  </si>
  <si>
    <t>Art. złączny do produktu 404P81</t>
  </si>
  <si>
    <t>VE-404P82</t>
  </si>
  <si>
    <t>Art. złączny do produktu 404P82</t>
  </si>
  <si>
    <t>VE-404P83</t>
  </si>
  <si>
    <t>Art. złączny do produktu 404P83</t>
  </si>
  <si>
    <t>VE-404P84</t>
  </si>
  <si>
    <t>Art. złączny do produktu 404P84</t>
  </si>
  <si>
    <t>VE-404P85</t>
  </si>
  <si>
    <t>Art. złączny do produktu 404P85</t>
  </si>
  <si>
    <t>VE-404P86</t>
  </si>
  <si>
    <t>Art. złączny do produktu 404P86</t>
  </si>
  <si>
    <t>VE-404P87</t>
  </si>
  <si>
    <t>Art. złączny do produktu 404P87</t>
  </si>
  <si>
    <t>VE-404P90</t>
  </si>
  <si>
    <t>Art. złączny do produktu 404P90</t>
  </si>
  <si>
    <t>VE-404P93</t>
  </si>
  <si>
    <t>Art. złączny do produktu 404P93</t>
  </si>
  <si>
    <t>VE-404P94</t>
  </si>
  <si>
    <t>Art. złączny do produktu 404P94</t>
  </si>
  <si>
    <t>VE-404P95</t>
  </si>
  <si>
    <t>Art. złączny do produktu 404P95</t>
  </si>
  <si>
    <t>VE-404R16</t>
  </si>
  <si>
    <t>Art. złączny do produktu 404R16</t>
  </si>
  <si>
    <t>VE-404R46</t>
  </si>
  <si>
    <t>Art. złączny do produktu 404R46</t>
  </si>
  <si>
    <t>VE-404R47</t>
  </si>
  <si>
    <t>Art. złączny do produktu 404R47</t>
  </si>
  <si>
    <t>VE-404R51</t>
  </si>
  <si>
    <t>Art. złączny do produktu 404R51</t>
  </si>
  <si>
    <t>VE-404R52</t>
  </si>
  <si>
    <t>Art. złączny do produktu 404R52</t>
  </si>
  <si>
    <t>VE-404R53</t>
  </si>
  <si>
    <t>Art. złączny do produktu 404R53</t>
  </si>
  <si>
    <t>VE-404R54</t>
  </si>
  <si>
    <t>Art. złączny do produktu 404R54</t>
  </si>
  <si>
    <t>VE-404R58</t>
  </si>
  <si>
    <t>Art. złączny do produktu 404R58</t>
  </si>
  <si>
    <t>VE-404R59</t>
  </si>
  <si>
    <t>Art. złączny do produktu 404R59</t>
  </si>
  <si>
    <t>VE-404R60</t>
  </si>
  <si>
    <t>Art. złączny do produktu 404R60</t>
  </si>
  <si>
    <t>VE-404R61</t>
  </si>
  <si>
    <t>Art. złączny do produktu 404R61</t>
  </si>
  <si>
    <t>VE-404R62</t>
  </si>
  <si>
    <t>Art. złączny do produktu 404R62</t>
  </si>
  <si>
    <t>VE-404R63</t>
  </si>
  <si>
    <t>Art. złączny do produktu 404R63</t>
  </si>
  <si>
    <t>VE-404R64</t>
  </si>
  <si>
    <t>Art. złączny do produktu 404R64</t>
  </si>
  <si>
    <t>VE-404R65</t>
  </si>
  <si>
    <t>Art. złączny do produktu 404R65</t>
  </si>
  <si>
    <t>VE-404R66</t>
  </si>
  <si>
    <t>Art. złączny do produktu 404R66</t>
  </si>
  <si>
    <t>VE-404R67</t>
  </si>
  <si>
    <t>Art. złączny do produktu 404R67</t>
  </si>
  <si>
    <t>VE-404S15</t>
  </si>
  <si>
    <t>Art. złączny do produktu 404S15</t>
  </si>
  <si>
    <t>VE-404S16</t>
  </si>
  <si>
    <t>Art. złączny do produktu 404S16</t>
  </si>
  <si>
    <t>VE-404S17</t>
  </si>
  <si>
    <t>Art. złączny do produktu 404S17</t>
  </si>
  <si>
    <t>VE-404S18</t>
  </si>
  <si>
    <t>Art. złączny do produktu 404S18</t>
  </si>
  <si>
    <t>VE-404S24</t>
  </si>
  <si>
    <t>Art. złączny do produktu 404S24</t>
  </si>
  <si>
    <t>VE-404S25</t>
  </si>
  <si>
    <t>Art. złączny do produktu 404S25</t>
  </si>
  <si>
    <t>VE-404S27</t>
  </si>
  <si>
    <t>Art. złączny do produktu 404S27</t>
  </si>
  <si>
    <t>VE-404S28</t>
  </si>
  <si>
    <t>Art. złączny do produktu 404S28</t>
  </si>
  <si>
    <t>VE-404S30</t>
  </si>
  <si>
    <t>Art. złączny do produktu 404S30</t>
  </si>
  <si>
    <t>VE-404S31</t>
  </si>
  <si>
    <t>Art. złączny do produktu 404S31</t>
  </si>
  <si>
    <t>VE-404S32</t>
  </si>
  <si>
    <t>Art. złączny do produktu 404S32</t>
  </si>
  <si>
    <t>VE-404S33</t>
  </si>
  <si>
    <t>Art. złączny do produktu 404S33</t>
  </si>
  <si>
    <t>VE-404S34</t>
  </si>
  <si>
    <t>Art. złączny do produktu 404S34</t>
  </si>
  <si>
    <t>VE-404Ś20</t>
  </si>
  <si>
    <t>Art. złączny do produktu 404Ś20</t>
  </si>
  <si>
    <t>VE-404T01</t>
  </si>
  <si>
    <t>Art. złączny do produktu 404T01</t>
  </si>
  <si>
    <t>VE-404T02</t>
  </si>
  <si>
    <t>Art. złączny do produktu 404T02</t>
  </si>
  <si>
    <t>VE-404T03</t>
  </si>
  <si>
    <t>Art. złączny do produktu 404T03</t>
  </si>
  <si>
    <t>VE-404T04</t>
  </si>
  <si>
    <t>Art. złączny do produktu 404T04</t>
  </si>
  <si>
    <t>VE-404T05</t>
  </si>
  <si>
    <t>Art. złączny do produktu 404T05</t>
  </si>
  <si>
    <t>VE-404T06</t>
  </si>
  <si>
    <t>Art. złączny do produktu 404T06</t>
  </si>
  <si>
    <t>VE-404T07</t>
  </si>
  <si>
    <t>Art. złączny do produktu 404T07</t>
  </si>
  <si>
    <t>VE-404T08</t>
  </si>
  <si>
    <t>Art. złączny do produktu 404T08</t>
  </si>
  <si>
    <t>VE-404T09</t>
  </si>
  <si>
    <t>Art. złączny do produktu 404T09</t>
  </si>
  <si>
    <t>VE-404T10</t>
  </si>
  <si>
    <t>Art. złączny do produktu 404T10</t>
  </si>
  <si>
    <t>VE-404T11</t>
  </si>
  <si>
    <t>Art. złączny do produktu 404T11</t>
  </si>
  <si>
    <t>VE-404T12</t>
  </si>
  <si>
    <t>Art. złączny do produktu 404T12</t>
  </si>
  <si>
    <t>VE-404T13</t>
  </si>
  <si>
    <t>Art. złączny do produktu 404T13</t>
  </si>
  <si>
    <t>VE-404T15</t>
  </si>
  <si>
    <t>Art. złączny do produktu 404T15</t>
  </si>
  <si>
    <t>VE-404T16</t>
  </si>
  <si>
    <t>Art. złączny do produktu 404T16</t>
  </si>
  <si>
    <t>VE-404T17</t>
  </si>
  <si>
    <t>Art. złączny do produktu 404T17</t>
  </si>
  <si>
    <t>VE-404T18</t>
  </si>
  <si>
    <t>Art. złączny do produktu 404T18</t>
  </si>
  <si>
    <t>VE-404T19</t>
  </si>
  <si>
    <t>Art. złączny do produktu 404T19</t>
  </si>
  <si>
    <t>VE-404T20</t>
  </si>
  <si>
    <t>Art. złączny do produktu 404T20</t>
  </si>
  <si>
    <t>VE-404T21</t>
  </si>
  <si>
    <t>Art. złączny do produktu 404T21</t>
  </si>
  <si>
    <t>VE-404T22</t>
  </si>
  <si>
    <t>Art. złączny do produktu 404T22</t>
  </si>
  <si>
    <t>VE-404T23</t>
  </si>
  <si>
    <t>Art. złączny do produktu 404T23</t>
  </si>
  <si>
    <t>VE-404T24</t>
  </si>
  <si>
    <t>Art. złączny do produktu 404T24</t>
  </si>
  <si>
    <t>VE-404T25</t>
  </si>
  <si>
    <t>Art. złączny do produktu 404T25</t>
  </si>
  <si>
    <t>VE-404T26</t>
  </si>
  <si>
    <t>Art. złączny do produktu 404T26</t>
  </si>
  <si>
    <t>VE-404T27</t>
  </si>
  <si>
    <t>Art. złączny do produktu 404T27</t>
  </si>
  <si>
    <t>VE-404T28</t>
  </si>
  <si>
    <t>Art. złączny do produktu 404T28</t>
  </si>
  <si>
    <t>VE-404T29</t>
  </si>
  <si>
    <t>Art. złączny do produktu 404T29</t>
  </si>
  <si>
    <t>VE-404T30</t>
  </si>
  <si>
    <t>Art. złączny do produktu 404T30</t>
  </si>
  <si>
    <t>VE-404T31</t>
  </si>
  <si>
    <t>Art. złączny do produktu 404T31</t>
  </si>
  <si>
    <t>VE-404T32</t>
  </si>
  <si>
    <t>Art. złączny do produktu 404T32</t>
  </si>
  <si>
    <t>VE-404T33</t>
  </si>
  <si>
    <t>Art. złączny do produktu 404T33</t>
  </si>
  <si>
    <t>VE-404T35</t>
  </si>
  <si>
    <t>Art. złączny do produktu 404T35</t>
  </si>
  <si>
    <t>VE-404T36</t>
  </si>
  <si>
    <t>Art. złączny do produktu 404T36</t>
  </si>
  <si>
    <t>VE-404T39</t>
  </si>
  <si>
    <t>Art. złączny do produktu 404T39</t>
  </si>
  <si>
    <t>VE-404T42</t>
  </si>
  <si>
    <t>Art. złączny do produktu 404T42</t>
  </si>
  <si>
    <t>VE-404T43</t>
  </si>
  <si>
    <t>Art. złączny do produktu 404T43</t>
  </si>
  <si>
    <t>VE-404T44</t>
  </si>
  <si>
    <t>Art. złączny do produktu 404T44</t>
  </si>
  <si>
    <t>VE-404T45</t>
  </si>
  <si>
    <t>Art. złączny do produktu 404T45</t>
  </si>
  <si>
    <t>VE-404T46</t>
  </si>
  <si>
    <t>Art. złączny do produktu 404T46</t>
  </si>
  <si>
    <t>VE-404T51</t>
  </si>
  <si>
    <t>Art. złączny do produktu 404T51</t>
  </si>
  <si>
    <t>VE-404T52</t>
  </si>
  <si>
    <t>Art. złączny do produktu 404T52</t>
  </si>
  <si>
    <t>VE-404T53</t>
  </si>
  <si>
    <t>Art. złączny do produktu 404T53</t>
  </si>
  <si>
    <t>VE-404T60</t>
  </si>
  <si>
    <t>Art. złączny do produktu 404T60</t>
  </si>
  <si>
    <t>VE-404T61</t>
  </si>
  <si>
    <t>Art. złączny do produktu 404T61</t>
  </si>
  <si>
    <t>VE-404T62</t>
  </si>
  <si>
    <t>Art. złączny do produktu 404T62</t>
  </si>
  <si>
    <t>VE-404T63</t>
  </si>
  <si>
    <t>Art. złączny do produktu 404T63</t>
  </si>
  <si>
    <t>VE-404T64</t>
  </si>
  <si>
    <t>Art. złączny do produktu 404T64</t>
  </si>
  <si>
    <t>VE-404T67</t>
  </si>
  <si>
    <t>Art. złączny do produktu 404T67</t>
  </si>
  <si>
    <t>VE-404T68</t>
  </si>
  <si>
    <t>Art. złączny do produktu 404T68</t>
  </si>
  <si>
    <t>VE-404T71</t>
  </si>
  <si>
    <t>Art. złączny do produktu 404T71</t>
  </si>
  <si>
    <t>VE-404W02</t>
  </si>
  <si>
    <t>Art. złączny do produktu 404W02</t>
  </si>
  <si>
    <t>VE-404W03</t>
  </si>
  <si>
    <t>Art. złączny do produktu 404W03</t>
  </si>
  <si>
    <t>VE-404W04</t>
  </si>
  <si>
    <t>Art. złączny do produktu 404W04</t>
  </si>
  <si>
    <t>VE-404W05</t>
  </si>
  <si>
    <t>Art. złączny do produktu 404W05</t>
  </si>
  <si>
    <t>VE-404W95</t>
  </si>
  <si>
    <t>Art. złączny do produktu 404W95</t>
  </si>
  <si>
    <t>VE-404W96</t>
  </si>
  <si>
    <t>Art. złączny do produktu 404W96</t>
  </si>
  <si>
    <t>VE-404Z02</t>
  </si>
  <si>
    <t>Art. złączny do produktu 404Z02</t>
  </si>
  <si>
    <t>VE-404Z03</t>
  </si>
  <si>
    <t>Art. złączny do produktu 404Z03</t>
  </si>
  <si>
    <t>VE-404Z05</t>
  </si>
  <si>
    <t>Art. złączny do produktu 404Z05</t>
  </si>
  <si>
    <t>VE-404Z06</t>
  </si>
  <si>
    <t>Art. złączny do produktu 404Z06</t>
  </si>
  <si>
    <t>VE-404Z07</t>
  </si>
  <si>
    <t>Art. złączny do produktu 404Z07</t>
  </si>
  <si>
    <t>VE-404Z08</t>
  </si>
  <si>
    <t>Art. złączny do produktu 404Z08</t>
  </si>
  <si>
    <t>VE-404Z09</t>
  </si>
  <si>
    <t>Art. złączny do produktu 404Z09</t>
  </si>
  <si>
    <t>VE-404Z10</t>
  </si>
  <si>
    <t>Art. złączny do produktu 404Z10</t>
  </si>
  <si>
    <t>VE-404Z11</t>
  </si>
  <si>
    <t>Art. złączny do produktu 404Z11</t>
  </si>
  <si>
    <t>VE-404Z12</t>
  </si>
  <si>
    <t>Art. złączny do produktu 404Z12</t>
  </si>
  <si>
    <t>VE-404Z14</t>
  </si>
  <si>
    <t>Art. złączny do produktu 404Z14</t>
  </si>
  <si>
    <t>VE-405W10</t>
  </si>
  <si>
    <t>Art. złączny do produktu 405W10</t>
  </si>
  <si>
    <t>VE-405W11</t>
  </si>
  <si>
    <t>Art. złączny do produktu 405W11</t>
  </si>
  <si>
    <t>VE-405W12</t>
  </si>
  <si>
    <t>Art. złączny do produktu 405W12</t>
  </si>
  <si>
    <t>VE-410P30</t>
  </si>
  <si>
    <t>Art. złączny do produktu 410P30</t>
  </si>
  <si>
    <t>VE-410P31</t>
  </si>
  <si>
    <t>Art. złączny do produktu 410P31</t>
  </si>
  <si>
    <t>VE-410P32</t>
  </si>
  <si>
    <t>Art. złączny do produktu 410P32</t>
  </si>
  <si>
    <t>VE-410P33</t>
  </si>
  <si>
    <t>Art. złączny do produktu 410P33</t>
  </si>
  <si>
    <t>VE-410P34</t>
  </si>
  <si>
    <t>Art. złączny do produktu 410P34</t>
  </si>
  <si>
    <t>VE-410T10</t>
  </si>
  <si>
    <t>Art. złączny do produktu 410T10</t>
  </si>
  <si>
    <t>VE-410T11</t>
  </si>
  <si>
    <t>Art. złączny do produktu 410T11</t>
  </si>
  <si>
    <t>VE-410T12</t>
  </si>
  <si>
    <t>Art. złączny do produktu 410T12</t>
  </si>
  <si>
    <t>VE-410T13</t>
  </si>
  <si>
    <t>Art. złączny do produktu 410T13</t>
  </si>
  <si>
    <t>VE-410T14</t>
  </si>
  <si>
    <t>Art. złączny do produktu 410T14</t>
  </si>
  <si>
    <t>VE-410T15</t>
  </si>
  <si>
    <t>Art. złączny do produktu 410T15</t>
  </si>
  <si>
    <t>VE-410T16</t>
  </si>
  <si>
    <t>Art. złączny do produktu 410T16</t>
  </si>
  <si>
    <t>VE-410T17</t>
  </si>
  <si>
    <t>Art. złączny do produktu 410T17</t>
  </si>
  <si>
    <t>VE-410T18</t>
  </si>
  <si>
    <t>Art. złączny do produktu 410T18</t>
  </si>
  <si>
    <t>VE-410T19</t>
  </si>
  <si>
    <t>Art. złączny do produktu 410T19</t>
  </si>
  <si>
    <t>VE-410T20</t>
  </si>
  <si>
    <t>Art. złączny do produktu 410T20</t>
  </si>
  <si>
    <t>VE-410T21</t>
  </si>
  <si>
    <t>Art. złączny do produktu 410T21</t>
  </si>
  <si>
    <t>VE-410T22</t>
  </si>
  <si>
    <t>Art. złączny do produktu 410T22</t>
  </si>
  <si>
    <t>VE-410T23</t>
  </si>
  <si>
    <t>Art. złączny do produktu 410T23</t>
  </si>
  <si>
    <t>VE-410T24</t>
  </si>
  <si>
    <t>Art. złączny do produktu 410T24</t>
  </si>
  <si>
    <t>VE-410T25</t>
  </si>
  <si>
    <t>Art. złączny do produktu 410T25</t>
  </si>
  <si>
    <t>VE-411W01</t>
  </si>
  <si>
    <t>Art. złączny do produktu 411W01</t>
  </si>
  <si>
    <t>VE-432P10</t>
  </si>
  <si>
    <t>Art. złączny do produktu 432P10</t>
  </si>
  <si>
    <t>VE-432P11</t>
  </si>
  <si>
    <t>Art. złączny do produktu 432P11</t>
  </si>
  <si>
    <t>VE-432P17</t>
  </si>
  <si>
    <t>Art. złączny do produktu 432P17</t>
  </si>
  <si>
    <t>VE-432P18</t>
  </si>
  <si>
    <t>Art. złączny do produktu 432P18</t>
  </si>
  <si>
    <t>VE-432P37</t>
  </si>
  <si>
    <t>Art. złączny do produktu 432P37</t>
  </si>
  <si>
    <t>VE-432P38</t>
  </si>
  <si>
    <t>Art. złączny do produktu 432P38</t>
  </si>
  <si>
    <t>VE-432P39</t>
  </si>
  <si>
    <t>Art. złączny do produktu 432P39</t>
  </si>
  <si>
    <t>VE-432P43</t>
  </si>
  <si>
    <t>Art. złączny do produktu 432P43</t>
  </si>
  <si>
    <t>VE-434R26</t>
  </si>
  <si>
    <t>Art. złączny do produktu 434R26</t>
  </si>
  <si>
    <t>VE-434R28</t>
  </si>
  <si>
    <t>Art. złączny do produktu 434R28</t>
  </si>
  <si>
    <t>VE-441N07</t>
  </si>
  <si>
    <t>Art. złączny do produktu 441N07</t>
  </si>
  <si>
    <t>VE-443K28</t>
  </si>
  <si>
    <t>Art. złączny do produktu 443K28</t>
  </si>
  <si>
    <t>VE-443K31</t>
  </si>
  <si>
    <t>Art. złączny do produktu 443K31</t>
  </si>
  <si>
    <t>VE-445C01</t>
  </si>
  <si>
    <t>Art. złączny do produktu 445C01</t>
  </si>
  <si>
    <t>VE-445K40</t>
  </si>
  <si>
    <t>Art. złączny do produktu 445K40</t>
  </si>
  <si>
    <t>VE-445P03</t>
  </si>
  <si>
    <t>Art. złączny do produktu 445P03</t>
  </si>
  <si>
    <t>VE-445P04</t>
  </si>
  <si>
    <t>Art. złączny do produktu 445P04</t>
  </si>
  <si>
    <t>VE-445P06</t>
  </si>
  <si>
    <t>Art. złączny do produktu 445P06</t>
  </si>
  <si>
    <t>VE-445P07</t>
  </si>
  <si>
    <t>Art. złączny do produktu 445P07</t>
  </si>
  <si>
    <t>VE-445P08</t>
  </si>
  <si>
    <t>Art. złączny do produktu 445P08</t>
  </si>
  <si>
    <t>VE-445P09</t>
  </si>
  <si>
    <t>Art. złączny do produktu 445P09</t>
  </si>
  <si>
    <t>VE-445P11</t>
  </si>
  <si>
    <t>Art. złączny do produktu 445P11</t>
  </si>
  <si>
    <t>VE-445P12</t>
  </si>
  <si>
    <t>Art. złączny do produktu 445P12</t>
  </si>
  <si>
    <t>VE-445P19</t>
  </si>
  <si>
    <t>Art. złączny do produktu 445P19</t>
  </si>
  <si>
    <t>VE-445P21</t>
  </si>
  <si>
    <t>Art. złączny do produktu 445P21</t>
  </si>
  <si>
    <t>VE-445P22</t>
  </si>
  <si>
    <t>Art. złączny do produktu 445P22</t>
  </si>
  <si>
    <t>VE-445P23</t>
  </si>
  <si>
    <t>Art. złączny do produktu 445P23</t>
  </si>
  <si>
    <t>VE-445P24</t>
  </si>
  <si>
    <t>Art. złączny do produktu 445P24</t>
  </si>
  <si>
    <t>VE-445P25</t>
  </si>
  <si>
    <t>Art. złączny do produktu 445P25</t>
  </si>
  <si>
    <t>VE-445P26</t>
  </si>
  <si>
    <t>Art. złączny do produktu 445P26</t>
  </si>
  <si>
    <t>VE-445P27</t>
  </si>
  <si>
    <t>Art. złączny do produktu 445P27</t>
  </si>
  <si>
    <t>VE-445P29</t>
  </si>
  <si>
    <t>Art. złączny do produktu 445P29</t>
  </si>
  <si>
    <t>VE-445P36</t>
  </si>
  <si>
    <t>Art. złączny do produktu 445P36</t>
  </si>
  <si>
    <t>VE-445P37</t>
  </si>
  <si>
    <t>Art. złączny do produktu 445P37</t>
  </si>
  <si>
    <t>VE-445P38</t>
  </si>
  <si>
    <t>Art. złączny do produktu 445P38</t>
  </si>
  <si>
    <t>VE-445P39</t>
  </si>
  <si>
    <t>Art. złączny do produktu 445P39</t>
  </si>
  <si>
    <t>VE-445P40</t>
  </si>
  <si>
    <t>Art. złączny do produktu 445P40</t>
  </si>
  <si>
    <t>VE-445P41</t>
  </si>
  <si>
    <t>Art. złączny do produktu 445P41</t>
  </si>
  <si>
    <t>VE-445P42</t>
  </si>
  <si>
    <t>Art. złączny do produktu 445P42</t>
  </si>
  <si>
    <t>VE-445P44</t>
  </si>
  <si>
    <t>Art. złączny do produktu 445P44</t>
  </si>
  <si>
    <t>VE-445P45</t>
  </si>
  <si>
    <t>Art. złączny do produktu 445P45</t>
  </si>
  <si>
    <t>VE-445R01</t>
  </si>
  <si>
    <t>Art. złączny do produktu 445R01</t>
  </si>
  <si>
    <t>VE-445R04</t>
  </si>
  <si>
    <t>Art. złączny do produktu 445R04</t>
  </si>
  <si>
    <t>VE-445R51</t>
  </si>
  <si>
    <t>Art. złączny do produktu 445R51</t>
  </si>
  <si>
    <t>VE-445R52</t>
  </si>
  <si>
    <t>Art. złączny do produktu 445R52</t>
  </si>
  <si>
    <t>VE-445R53</t>
  </si>
  <si>
    <t>Art. złączny do produktu 445R53</t>
  </si>
  <si>
    <t>VE-445S01</t>
  </si>
  <si>
    <t>Art. złączny do produktu 445S01</t>
  </si>
  <si>
    <t>VE-445Ś01</t>
  </si>
  <si>
    <t>Art. złączny do produktu 445Ś01</t>
  </si>
  <si>
    <t>VE-445U01</t>
  </si>
  <si>
    <t>Art. złączny do produktu 445U01</t>
  </si>
  <si>
    <t>VE-445W39</t>
  </si>
  <si>
    <t>Art. złączny do produktu 445W39</t>
  </si>
  <si>
    <t>VE-445W40</t>
  </si>
  <si>
    <t>Art. złączny do produktu 445W40</t>
  </si>
  <si>
    <t>VE-445W41</t>
  </si>
  <si>
    <t>Art. złączny do produktu 445W41</t>
  </si>
  <si>
    <t>VE-445W42</t>
  </si>
  <si>
    <t>Art. złączny do produktu 445W42</t>
  </si>
  <si>
    <t>VE-445W43</t>
  </si>
  <si>
    <t>Art. złączny do produktu 445W43</t>
  </si>
  <si>
    <t>VE-445W44</t>
  </si>
  <si>
    <t>Art. złączny do produktu 445W44</t>
  </si>
  <si>
    <t>VE-451Z18</t>
  </si>
  <si>
    <t>Art. złączny do produktu 451Z18</t>
  </si>
  <si>
    <t>VE-453C03</t>
  </si>
  <si>
    <t>Art. złączny do produktu 453C03</t>
  </si>
  <si>
    <t>VE-453C04</t>
  </si>
  <si>
    <t>Art. złączny do produktu 453C04</t>
  </si>
  <si>
    <t>VE-453C05</t>
  </si>
  <si>
    <t>Art. złączny do produktu 453C05</t>
  </si>
  <si>
    <t>VE-453C06</t>
  </si>
  <si>
    <t>Art. złączny do produktu 453C06</t>
  </si>
  <si>
    <t>VE-453C07</t>
  </si>
  <si>
    <t>Art. złączny do produktu 453C07</t>
  </si>
  <si>
    <t>VE-453C08</t>
  </si>
  <si>
    <t>Art. złączny do produktu 453C08</t>
  </si>
  <si>
    <t>VE-453W09</t>
  </si>
  <si>
    <t>Art. złączny do produktu 453W09</t>
  </si>
  <si>
    <t>VE-453W10</t>
  </si>
  <si>
    <t>Art. złączny do produktu 453W10</t>
  </si>
  <si>
    <t>VE-471Z05</t>
  </si>
  <si>
    <t>Art. złączny do produktu 471Z05</t>
  </si>
  <si>
    <t>VE-471Z06</t>
  </si>
  <si>
    <t>Art. złączny do produktu 471Z06</t>
  </si>
  <si>
    <t>VE-471Z07</t>
  </si>
  <si>
    <t>Art. złączny do produktu 471Z07</t>
  </si>
  <si>
    <t>VE-471Z08</t>
  </si>
  <si>
    <t>Art. złączny do produktu 471Z08</t>
  </si>
  <si>
    <t>VE-471Z09</t>
  </si>
  <si>
    <t>Art. złączny do produktu 471Z09</t>
  </si>
  <si>
    <t>VE-485K49</t>
  </si>
  <si>
    <t>Art. złączny do produktu 485K49</t>
  </si>
  <si>
    <t>VE-485K51</t>
  </si>
  <si>
    <t>Art. złączny do produktu 485K51</t>
  </si>
  <si>
    <t>VE-486W02</t>
  </si>
  <si>
    <t>Art. złączny do produktu 486W02</t>
  </si>
  <si>
    <t>VE-486W04</t>
  </si>
  <si>
    <t>Art. złączny do produktu 486W04</t>
  </si>
  <si>
    <t>VE-486W05</t>
  </si>
  <si>
    <t>Art. złączny do produktu 486W05</t>
  </si>
  <si>
    <t>VE-486W06</t>
  </si>
  <si>
    <t>Art. złączny do produktu 486W06</t>
  </si>
  <si>
    <t>VE-486W07</t>
  </si>
  <si>
    <t>Art. złączny do produktu 486W07</t>
  </si>
  <si>
    <t>VE-487W13</t>
  </si>
  <si>
    <t>Art. złączny do produktu 487W13</t>
  </si>
  <si>
    <t>VE-487W15</t>
  </si>
  <si>
    <t>Art. złączny do produktu 487W15</t>
  </si>
  <si>
    <t>VE-487W16</t>
  </si>
  <si>
    <t>Art. złączny do produktu 487W16</t>
  </si>
  <si>
    <t>VE-487W35</t>
  </si>
  <si>
    <t>Art. złączny do produktu 487W35</t>
  </si>
  <si>
    <t>VE-487W36</t>
  </si>
  <si>
    <t>Art. złączny do produktu 487W36</t>
  </si>
  <si>
    <t>VE-487W37</t>
  </si>
  <si>
    <t>Art. złączny do produktu 487W37</t>
  </si>
  <si>
    <t>VE-810R53</t>
  </si>
  <si>
    <t>Art. złączny do produktu 810R53</t>
  </si>
  <si>
    <t>VE-810S72</t>
  </si>
  <si>
    <t>Art. złączny do produktu 810S72</t>
  </si>
  <si>
    <t>VE-810S73</t>
  </si>
  <si>
    <t>Art. złączny do produktu 810S73</t>
  </si>
  <si>
    <t>VE-810S74</t>
  </si>
  <si>
    <t>Art. złączny do produktu 810S74</t>
  </si>
  <si>
    <t>VE-840K21</t>
  </si>
  <si>
    <t>Art. złączny do produktu 840K21</t>
  </si>
  <si>
    <t>VE-843W19</t>
  </si>
  <si>
    <t>Art. złączny do produktu 843W19</t>
  </si>
  <si>
    <t>VE-843W55</t>
  </si>
  <si>
    <t>Art. złączny do produktu 843W55</t>
  </si>
  <si>
    <t>VE-843W65</t>
  </si>
  <si>
    <t>Art. złączny do produktu 843W65</t>
  </si>
  <si>
    <t>VE-843W66</t>
  </si>
  <si>
    <t>Art. złączny do produktu 843W66</t>
  </si>
  <si>
    <t>VE-850W99-126</t>
  </si>
  <si>
    <t>Art. złączny do produktu 850W99-126</t>
  </si>
  <si>
    <t>VE-900E02-600</t>
  </si>
  <si>
    <t>Art. złączny do produktu 900E02-600</t>
  </si>
  <si>
    <t>VE-900E02-610</t>
  </si>
  <si>
    <t>Art. złączny do produktu 900E02-610</t>
  </si>
  <si>
    <t>VE-900E02-620</t>
  </si>
  <si>
    <t>Art. złączny do produktu 900E02-620</t>
  </si>
  <si>
    <t>VE-900E03-331</t>
  </si>
  <si>
    <t>Art. złączny do produktu 900E03-331</t>
  </si>
  <si>
    <t>VE-900E03-332</t>
  </si>
  <si>
    <t>Art. złączny do produktu 900E03-332</t>
  </si>
  <si>
    <t>VE-900K01-110</t>
  </si>
  <si>
    <t>Art. złączny do produktu 900K01-110</t>
  </si>
  <si>
    <t>VE-900K01-211</t>
  </si>
  <si>
    <t>Art. złączny do produktu 900K01-211</t>
  </si>
  <si>
    <t>VE-900K01-221</t>
  </si>
  <si>
    <t>Art. złączny do produktu 900K01-221</t>
  </si>
  <si>
    <t>VE-900K01-222</t>
  </si>
  <si>
    <t>Art. złączny do produktu 900K01-222</t>
  </si>
  <si>
    <t>VE-900K01-223</t>
  </si>
  <si>
    <t>Art. złączny do produktu 900K01-223</t>
  </si>
  <si>
    <t>VE-900K03-210</t>
  </si>
  <si>
    <t>Art. złączny do produktu 900K03-210</t>
  </si>
  <si>
    <t>VE-900K03-211</t>
  </si>
  <si>
    <t>Art. złączny do produktu 900K03-211</t>
  </si>
  <si>
    <t>VE-900K03-410</t>
  </si>
  <si>
    <t>Art. złączny do produktu 900K03-410</t>
  </si>
  <si>
    <t>VE-900K03-510</t>
  </si>
  <si>
    <t>Art. złączny do produktu 900K03-510</t>
  </si>
  <si>
    <t>VE-900K03-520</t>
  </si>
  <si>
    <t>Art. złączny do produktu 900K03-520</t>
  </si>
  <si>
    <t>VE-900K04-221</t>
  </si>
  <si>
    <t>Art. złączny do produktu 900K04-221</t>
  </si>
  <si>
    <t>VE-900K04-231</t>
  </si>
  <si>
    <t>Art. złączny do produktu 900K04-231</t>
  </si>
  <si>
    <t>VE-900K04-240</t>
  </si>
  <si>
    <t>Art. złączny do produktu 900K04-240</t>
  </si>
  <si>
    <t>VE-900M04-201</t>
  </si>
  <si>
    <t>Art. złączny do produktu 900M04-201</t>
  </si>
  <si>
    <t>VE-900M04-210</t>
  </si>
  <si>
    <t>Art. złączny do produktu 900M04-210</t>
  </si>
  <si>
    <t>VE-900M04-230</t>
  </si>
  <si>
    <t>Art. złączny do produktu 900M04-230</t>
  </si>
  <si>
    <t>VE-900M04-240</t>
  </si>
  <si>
    <t>Art. złączny do produktu 900M04-240</t>
  </si>
  <si>
    <t>VE-900M04-260</t>
  </si>
  <si>
    <t>Art. złączny do produktu 900M04-260</t>
  </si>
  <si>
    <t>VE-900M04-270</t>
  </si>
  <si>
    <t>Art. złączny do produktu 900M04-270</t>
  </si>
  <si>
    <t>VE-900M04-411</t>
  </si>
  <si>
    <t>Art. złączny do produktu 900M04-411</t>
  </si>
  <si>
    <t>VE-900M04-581</t>
  </si>
  <si>
    <t>Art. złączny do produktu 900M04-581</t>
  </si>
  <si>
    <t>VE-900O01-321</t>
  </si>
  <si>
    <t>Art. złączny do produktu 900O01-321</t>
  </si>
  <si>
    <t>VE-900O01-322</t>
  </si>
  <si>
    <t>Art. złączny do produktu 900O01-322</t>
  </si>
  <si>
    <t>VE-900O07-201</t>
  </si>
  <si>
    <t>Art. złączny do produktu 900O07-201</t>
  </si>
  <si>
    <t>VE-900O07-400</t>
  </si>
  <si>
    <t>Art. złączny do produktu 900O07-400</t>
  </si>
  <si>
    <t>VE-900O09-221</t>
  </si>
  <si>
    <t>Art. złączny do produktu 900O09-221</t>
  </si>
  <si>
    <t>VE-900O10-150</t>
  </si>
  <si>
    <t>Art. złączny do produktu 900O10-150</t>
  </si>
  <si>
    <t>VE-900O10-500</t>
  </si>
  <si>
    <t>Art. złączny do produktu 900O10-500</t>
  </si>
  <si>
    <t>VE-900O13-141</t>
  </si>
  <si>
    <t>Art. złączny do produktu 900O13-141</t>
  </si>
  <si>
    <t>VE-900O13-201</t>
  </si>
  <si>
    <t>Art. złączny do produktu 900O13-201</t>
  </si>
  <si>
    <t>VE-900O13-232</t>
  </si>
  <si>
    <t>Art. złączny do produktu 900O13-232</t>
  </si>
  <si>
    <t>VE-900O13-240</t>
  </si>
  <si>
    <t>Art. złączny do produktu 900O13-240</t>
  </si>
  <si>
    <t>VE-900O13-252</t>
  </si>
  <si>
    <t>Art. złączny do produktu 900O13-252</t>
  </si>
  <si>
    <t>VE-900O13-253</t>
  </si>
  <si>
    <t>Art. złączny do produktu 900O13-253</t>
  </si>
  <si>
    <t>VE-900O13-410</t>
  </si>
  <si>
    <t>Art. złączny do produktu 900O13-410</t>
  </si>
  <si>
    <t>VE-900O13-421</t>
  </si>
  <si>
    <t>Art. złączny do produktu 900O13-421</t>
  </si>
  <si>
    <t>VE-900O13-430</t>
  </si>
  <si>
    <t>Art. złączny do produktu 900O13-430</t>
  </si>
  <si>
    <t>VE-900O14-440</t>
  </si>
  <si>
    <t>Art. złączny do produktu 900O14-440</t>
  </si>
  <si>
    <t>VE-900O14-452</t>
  </si>
  <si>
    <t>Art. złączny do produktu 900O14-452</t>
  </si>
  <si>
    <t>VE-900O14-453</t>
  </si>
  <si>
    <t>Art. złączny do produktu 900O14-453</t>
  </si>
  <si>
    <t>VE-900O14-511</t>
  </si>
  <si>
    <t>Art. złączny do produktu 900O14-511</t>
  </si>
  <si>
    <t>VE-900O28-410</t>
  </si>
  <si>
    <t>Art. złączny do produktu 900O28-410</t>
  </si>
  <si>
    <t>VE-900O29-200</t>
  </si>
  <si>
    <t>Art. złączny do produktu 900O29-200</t>
  </si>
  <si>
    <t>VE-900O42-250</t>
  </si>
  <si>
    <t>Art. złączny do produktu 900O42-250</t>
  </si>
  <si>
    <t>VE-900O44-500</t>
  </si>
  <si>
    <t>Art. złączny do produktu 900O44-500</t>
  </si>
  <si>
    <t>VE-900O50-102</t>
  </si>
  <si>
    <t>Art. złączny do produktu 900O50-102</t>
  </si>
  <si>
    <t>VE-900O51-203</t>
  </si>
  <si>
    <t>Art. złączny do produktu 900O51-203</t>
  </si>
  <si>
    <t>VE-900O51-301</t>
  </si>
  <si>
    <t>Art. złączny do produktu 900O51-301</t>
  </si>
  <si>
    <t>VE-900O53-203</t>
  </si>
  <si>
    <t>Art. złączny do produktu 900O53-203</t>
  </si>
  <si>
    <t>VE-900O56-130</t>
  </si>
  <si>
    <t>Art. złączny do produktu 900O56-130</t>
  </si>
  <si>
    <t>VE-900O71-130</t>
  </si>
  <si>
    <t>Art. złączny do produktu 900O71-130</t>
  </si>
  <si>
    <t>VE-900O71-220</t>
  </si>
  <si>
    <t>Art. złączny do produktu 900O71-220</t>
  </si>
  <si>
    <t>VE-900O71-231</t>
  </si>
  <si>
    <t>Art. złączny do produktu 900O71-231</t>
  </si>
  <si>
    <t>VE-900O71-232</t>
  </si>
  <si>
    <t>Art. złączny do produktu 900O71-232</t>
  </si>
  <si>
    <t>VE-900O71-241</t>
  </si>
  <si>
    <t>Art. złączny do produktu 900O71-241</t>
  </si>
  <si>
    <t>VE-900O71-251</t>
  </si>
  <si>
    <t>Art. złączny do produktu 900O71-251</t>
  </si>
  <si>
    <t>VE-900O71-260</t>
  </si>
  <si>
    <t>Art. złączny do produktu 900O71-260</t>
  </si>
  <si>
    <t>VE-900O71-270</t>
  </si>
  <si>
    <t>Art. złączny do produktu 900O71-270</t>
  </si>
  <si>
    <t>VE-900O71-280</t>
  </si>
  <si>
    <t>Art. złączny do produktu 900O71-280</t>
  </si>
  <si>
    <t>VE-900O79-211</t>
  </si>
  <si>
    <t>Art. złączny do produktu 900O79-211</t>
  </si>
  <si>
    <t>VE-900O80-101</t>
  </si>
  <si>
    <t>Art. złączny do produktu 900O80-101</t>
  </si>
  <si>
    <t>VE-900O80-310</t>
  </si>
  <si>
    <t>Art. złączny do produktu 900O80-310</t>
  </si>
  <si>
    <t>VE-900O87-310</t>
  </si>
  <si>
    <t>Art. złączny do produktu 900O87-310</t>
  </si>
  <si>
    <t>VE-900O87-400</t>
  </si>
  <si>
    <t>Art. złączny do produktu 900O87-400</t>
  </si>
  <si>
    <t>VE-900O87-500</t>
  </si>
  <si>
    <t>Art. złączny do produktu 900O87-500</t>
  </si>
  <si>
    <t>VE-900O89-310</t>
  </si>
  <si>
    <t>Art. złączny do produktu 900O89-310</t>
  </si>
  <si>
    <t>VE-900O93-161</t>
  </si>
  <si>
    <t>Art. złączny do produktu 900O93-161</t>
  </si>
  <si>
    <t>VE-900O93-162</t>
  </si>
  <si>
    <t>Art. złączny do produktu 900O93-162</t>
  </si>
  <si>
    <t>VE-900O94-211</t>
  </si>
  <si>
    <t>Art. złączny do produktu 900O94-211</t>
  </si>
  <si>
    <t>VE-900O94-721</t>
  </si>
  <si>
    <t>Art. złączny do produktu 900O94-721</t>
  </si>
  <si>
    <t>VE-900O95-321</t>
  </si>
  <si>
    <t>Art. złączny do produktu 900O95-321</t>
  </si>
  <si>
    <t>VE-900O96-111</t>
  </si>
  <si>
    <t>Art. złączny do produktu 900O96-111</t>
  </si>
  <si>
    <t>VE-900O98-240</t>
  </si>
  <si>
    <t>Art. złączny do produktu 900O98-240</t>
  </si>
  <si>
    <t>VE-900P05-330</t>
  </si>
  <si>
    <t>Art. złączny do produktu 900P05-330</t>
  </si>
  <si>
    <t>VE-900P05-340</t>
  </si>
  <si>
    <t>Art. złączny do produktu 900P05-340</t>
  </si>
  <si>
    <t>VE-900P05-360</t>
  </si>
  <si>
    <t>Art. złączny do produktu 900P05-360</t>
  </si>
  <si>
    <t>VE-900P05-390</t>
  </si>
  <si>
    <t>Art. złączny do produktu 900P05-390</t>
  </si>
  <si>
    <t>VE-900P05-411</t>
  </si>
  <si>
    <t>Art. złączny do produktu 900P05-411</t>
  </si>
  <si>
    <t>VE-900S03-400</t>
  </si>
  <si>
    <t>Art. złączny do produktu 900S03-400</t>
  </si>
  <si>
    <t>VE-900S03-500</t>
  </si>
  <si>
    <t>Art. złączny do produktu 900S03-500</t>
  </si>
  <si>
    <t>VE-900S15-800</t>
  </si>
  <si>
    <t>Art. złączny do produktu 900S15-800</t>
  </si>
  <si>
    <t>VE-900S16-130</t>
  </si>
  <si>
    <t>Art. złączny do produktu 900S16-130</t>
  </si>
  <si>
    <t>VE-900W10-010</t>
  </si>
  <si>
    <t>Art. złączny do produktu 900W10-010</t>
  </si>
  <si>
    <t>VE-900W10-020</t>
  </si>
  <si>
    <t>Art. złączny do produktu 900W10-020</t>
  </si>
  <si>
    <t>VE-900W10-111</t>
  </si>
  <si>
    <t>Art. złączny do produktu 900W10-111</t>
  </si>
  <si>
    <t>VE-900W10-710</t>
  </si>
  <si>
    <t>Art. złączny do produktu 900W10-710</t>
  </si>
  <si>
    <t>VE-900W10-720</t>
  </si>
  <si>
    <t>Art. złączny do produktu 900W10-720</t>
  </si>
  <si>
    <t>VE-901A01-300</t>
  </si>
  <si>
    <t>Art. złączny do produktu 901A01-300</t>
  </si>
  <si>
    <t>VE-901A21-100</t>
  </si>
  <si>
    <t>Art. złączny do produktu 901A21-100</t>
  </si>
  <si>
    <t>VE-901A21-200</t>
  </si>
  <si>
    <t>Art. złączny do produktu 901A21-200</t>
  </si>
  <si>
    <t>VE-901A21-210</t>
  </si>
  <si>
    <t>Art. złączny do produktu 901A21-210</t>
  </si>
  <si>
    <t>VE-901A21-300</t>
  </si>
  <si>
    <t>Art. złączny do produktu 901A21-300</t>
  </si>
  <si>
    <t>VE-901A21-310</t>
  </si>
  <si>
    <t>Art. złączny do produktu 901A21-310</t>
  </si>
  <si>
    <t>VE-901O02-100</t>
  </si>
  <si>
    <t>Art. złączny do produktu 901O02-100</t>
  </si>
  <si>
    <t>VE-901O03-100</t>
  </si>
  <si>
    <t>Art. złączny do produktu 901O03-100</t>
  </si>
  <si>
    <t>VE-901O03-200</t>
  </si>
  <si>
    <t>Art. złączny do produktu 901O03-200</t>
  </si>
  <si>
    <t>VE-901O03-210</t>
  </si>
  <si>
    <t>Art. złączny do produktu 901O03-210</t>
  </si>
  <si>
    <t>VE-901O03-220</t>
  </si>
  <si>
    <t>Art. złączny do produktu 901O03-220</t>
  </si>
  <si>
    <t>VE-901O03-230</t>
  </si>
  <si>
    <t>Art. złączny do produktu 901O03-230</t>
  </si>
  <si>
    <t>VE-901O03-310</t>
  </si>
  <si>
    <t>Art. złączny do produktu 901O03-310</t>
  </si>
  <si>
    <t>VE-901O03-320</t>
  </si>
  <si>
    <t>Art. złączny do produktu 901O03-320</t>
  </si>
  <si>
    <t>VE-901O03-410</t>
  </si>
  <si>
    <t>Art. złączny do produktu 901O03-410</t>
  </si>
  <si>
    <t>VE-901O09-200</t>
  </si>
  <si>
    <t>Art. złączny do produktu 901O09-200</t>
  </si>
  <si>
    <t>VE-901O11-200</t>
  </si>
  <si>
    <t>Art. złączny do produktu 901O11-200</t>
  </si>
  <si>
    <t>VE-901Z02-100</t>
  </si>
  <si>
    <t>Art. złączny do produktu 901Z02-100</t>
  </si>
  <si>
    <t>VE-902O00-402</t>
  </si>
  <si>
    <t>Art. złączny do produktu 902O00-402</t>
  </si>
  <si>
    <t>VE-902O00-502</t>
  </si>
  <si>
    <t>Art. złączny do produktu 902O00-502</t>
  </si>
  <si>
    <t>VE-902O00-800</t>
  </si>
  <si>
    <t>Art. złączny do produktu 902O00-800</t>
  </si>
  <si>
    <t>VE-902O00-801</t>
  </si>
  <si>
    <t>Art. złączny do produktu 902O00-801</t>
  </si>
  <si>
    <t>VE-902O00-804</t>
  </si>
  <si>
    <t>Art. złączny do produktu 902O00-804</t>
  </si>
  <si>
    <t>VE-902O00-805</t>
  </si>
  <si>
    <t>Art. złączny do produktu 902O00-805</t>
  </si>
  <si>
    <t>VE-902O03-102</t>
  </si>
  <si>
    <t>Art. złączny do produktu 902O03-102</t>
  </si>
  <si>
    <t>VE-902O07-700</t>
  </si>
  <si>
    <t>Art. złączny do produktu 902O07-700</t>
  </si>
  <si>
    <t>VE-902O11-700</t>
  </si>
  <si>
    <t>Art. złączny do produktu 902O11-700</t>
  </si>
  <si>
    <t>VE-902O12-310</t>
  </si>
  <si>
    <t>Art. złączny do produktu 902O12-310</t>
  </si>
  <si>
    <t>VE-902O12-320</t>
  </si>
  <si>
    <t>Art. złączny do produktu 902O12-320</t>
  </si>
  <si>
    <t>VE-902O12-810</t>
  </si>
  <si>
    <t>Art. złączny do produktu 902O12-810</t>
  </si>
  <si>
    <t>VE-902O19-215</t>
  </si>
  <si>
    <t>Art. złączny do produktu 902O19-215</t>
  </si>
  <si>
    <t>VE-902O19-221</t>
  </si>
  <si>
    <t>Art. złączny do produktu 902O19-221</t>
  </si>
  <si>
    <t>VE-902O19-240</t>
  </si>
  <si>
    <t>Art. złączny do produktu 902O19-240</t>
  </si>
  <si>
    <t>VE-902O22-120</t>
  </si>
  <si>
    <t>Art. złączny do produktu 902O22-120</t>
  </si>
  <si>
    <t>VE-902U12-100</t>
  </si>
  <si>
    <t>Art. złączny do produktu 902U12-100</t>
  </si>
  <si>
    <t>VE-902U12-200</t>
  </si>
  <si>
    <t>Art. złączny do produktu 902U12-200</t>
  </si>
  <si>
    <t>VE-902U12-300</t>
  </si>
  <si>
    <t>Art. złączny do produktu 902U12-300</t>
  </si>
  <si>
    <t>VE-902U12-400</t>
  </si>
  <si>
    <t>Art. złączny do produktu 902U12-400</t>
  </si>
  <si>
    <t>VE-902U12-500</t>
  </si>
  <si>
    <t>Art. złączny do produktu 902U12-500</t>
  </si>
  <si>
    <t>VE-902U12-600</t>
  </si>
  <si>
    <t>Art. złączny do produktu 902U12-600</t>
  </si>
  <si>
    <t>VE-902U12-700</t>
  </si>
  <si>
    <t>Art. złączny do produktu 902U12-700</t>
  </si>
  <si>
    <t>VE-902U30-210</t>
  </si>
  <si>
    <t>Art. złączny do produktu 902U30-210</t>
  </si>
  <si>
    <t>VE-902U32-121</t>
  </si>
  <si>
    <t>Art. złączny do produktu 902U32-121</t>
  </si>
  <si>
    <t>VE-903O10-111</t>
  </si>
  <si>
    <t>Art. złączny do produktu 903O10-111</t>
  </si>
  <si>
    <t>VE-903O11-311</t>
  </si>
  <si>
    <t>Art. złączny do produktu 903O11-311</t>
  </si>
  <si>
    <t>VE-903W03-111</t>
  </si>
  <si>
    <t>Art. złączny do produktu 903W03-111</t>
  </si>
  <si>
    <t>VE-903W06-210</t>
  </si>
  <si>
    <t>Art. złączny do produktu 903W06-210</t>
  </si>
  <si>
    <t>VE-903W08-210</t>
  </si>
  <si>
    <t>Art. złączny do produktu 903W08-210</t>
  </si>
  <si>
    <t>VE-903W17-210</t>
  </si>
  <si>
    <t>Art. złączny do produktu 903W17-210</t>
  </si>
  <si>
    <t>VE-903W19-111</t>
  </si>
  <si>
    <t>Art. złączny do produktu 903W19-111</t>
  </si>
  <si>
    <t>VE-903W45-210</t>
  </si>
  <si>
    <t>Art. złączny do produktu 903W45-210</t>
  </si>
  <si>
    <t>VE-903W63-110</t>
  </si>
  <si>
    <t>Art. złączny do produktu 903W63-110</t>
  </si>
  <si>
    <t>VE-903W65-131</t>
  </si>
  <si>
    <t>Art. złączny do produktu 903W65-131</t>
  </si>
  <si>
    <t>VE-903W70-111</t>
  </si>
  <si>
    <t>Art. złączny do produktu 903W70-111</t>
  </si>
  <si>
    <t>VE-904O11-700</t>
  </si>
  <si>
    <t>Art. złączny do produktu 904O11-700</t>
  </si>
  <si>
    <t>VE-904O25-351</t>
  </si>
  <si>
    <t>Art. złączny do produktu 904O25-351</t>
  </si>
  <si>
    <t>VE-904O25-354</t>
  </si>
  <si>
    <t>Art. złączny do produktu 904O25-354</t>
  </si>
  <si>
    <t>VE-904O50-110</t>
  </si>
  <si>
    <t>Art. złączny do produktu 904O50-110</t>
  </si>
  <si>
    <t>VE-904O50-120</t>
  </si>
  <si>
    <t>Art. złączny do produktu 904O50-120</t>
  </si>
  <si>
    <t>VE-904O50-130</t>
  </si>
  <si>
    <t>Art. złączny do produktu 904O50-130</t>
  </si>
  <si>
    <t>VE-904O50-140</t>
  </si>
  <si>
    <t>Art. złączny do produktu 904O50-140</t>
  </si>
  <si>
    <t>VE-904O50-200</t>
  </si>
  <si>
    <t>Art. złączny do produktu 904O50-200</t>
  </si>
  <si>
    <t>VE-904O50-300</t>
  </si>
  <si>
    <t>Art. złączny do produktu 904O50-300</t>
  </si>
  <si>
    <t>VE-904O50-310</t>
  </si>
  <si>
    <t>Art. złączny do produktu 904O50-310</t>
  </si>
  <si>
    <t>VE-904O50-320</t>
  </si>
  <si>
    <t>Art. złączny do produktu 904O50-320</t>
  </si>
  <si>
    <t>VE-904O50-330</t>
  </si>
  <si>
    <t>Art. złączny do produktu 904O50-330</t>
  </si>
  <si>
    <t>VE-904O50-340</t>
  </si>
  <si>
    <t>Art. złączny do produktu 904O50-340</t>
  </si>
  <si>
    <t>VE-904O50-341</t>
  </si>
  <si>
    <t>Art. złączny do produktu 904O50-341</t>
  </si>
  <si>
    <t>VE-904O50-342</t>
  </si>
  <si>
    <t>Art. złączny do produktu 904O50-342</t>
  </si>
  <si>
    <t>VE-904O50-343</t>
  </si>
  <si>
    <t>Art. złączny do produktu 904O50-343</t>
  </si>
  <si>
    <t>VE-904O50-344</t>
  </si>
  <si>
    <t>Art. złączny do produktu 904O50-344</t>
  </si>
  <si>
    <t>VE-904O50-350</t>
  </si>
  <si>
    <t>Art. złączny do produktu 904O50-350</t>
  </si>
  <si>
    <t>VE-904O50-351</t>
  </si>
  <si>
    <t>Art. złączny do produktu 904O50-351</t>
  </si>
  <si>
    <t>VE-904O50-352</t>
  </si>
  <si>
    <t>Art. złączny do produktu 904O50-352</t>
  </si>
  <si>
    <t>VE-904O50-360</t>
  </si>
  <si>
    <t>Art. złączny do produktu 904O50-360</t>
  </si>
  <si>
    <t>VE-904O50-361</t>
  </si>
  <si>
    <t>Art. złączny do produktu 904O50-361</t>
  </si>
  <si>
    <t>VE-904O50-362</t>
  </si>
  <si>
    <t>Art. złączny do produktu 904O50-362</t>
  </si>
  <si>
    <t>VE-904O50-370</t>
  </si>
  <si>
    <t>Art. złączny do produktu 904O50-370</t>
  </si>
  <si>
    <t>VE-904O50-380</t>
  </si>
  <si>
    <t>Art. złączny do produktu 904O50-380</t>
  </si>
  <si>
    <t>VE-904O52-250</t>
  </si>
  <si>
    <t>Art. złączny do produktu 904O52-250</t>
  </si>
  <si>
    <t>VE-904O52-260</t>
  </si>
  <si>
    <t>Art. złączny do produktu 904O52-260</t>
  </si>
  <si>
    <t>VE-904O52-721</t>
  </si>
  <si>
    <t>Art. złączny do produktu 904O52-721</t>
  </si>
  <si>
    <t>VE-904O58-111</t>
  </si>
  <si>
    <t>Art. złączny do produktu 904O58-111</t>
  </si>
  <si>
    <t>VE-904O58-112</t>
  </si>
  <si>
    <t>Art. złączny do produktu 904O58-112</t>
  </si>
  <si>
    <t>VE-904O58-113</t>
  </si>
  <si>
    <t>Art. złączny do produktu 904O58-113</t>
  </si>
  <si>
    <t>VE-904O70-110</t>
  </si>
  <si>
    <t>Art. złączny do produktu 904O70-110</t>
  </si>
  <si>
    <t>VE-904O70-120</t>
  </si>
  <si>
    <t>Art. złączny do produktu 904O70-120</t>
  </si>
  <si>
    <t>VE-904O75-210</t>
  </si>
  <si>
    <t>Art. złączny do produktu 904O75-210</t>
  </si>
  <si>
    <t>VE-904O80-410</t>
  </si>
  <si>
    <t>Art. złączny do produktu 904O80-410</t>
  </si>
  <si>
    <t>VE-904O90-500</t>
  </si>
  <si>
    <t>Art. złączny do produktu 904O90-500</t>
  </si>
  <si>
    <t>VE-904U01-301</t>
  </si>
  <si>
    <t>Art. złączny do produktu 904U01-301</t>
  </si>
  <si>
    <t>VE-904U01-302</t>
  </si>
  <si>
    <t>Art. złączny do produktu 904U01-302</t>
  </si>
  <si>
    <t>VE-904U01-303</t>
  </si>
  <si>
    <t>Art. złączny do produktu 904U01-303</t>
  </si>
  <si>
    <t>VE-904U01-304</t>
  </si>
  <si>
    <t>Art. złączny do produktu 904U01-304</t>
  </si>
  <si>
    <t>VE-904U01-600</t>
  </si>
  <si>
    <t>Art. złączny do produktu 904U01-600</t>
  </si>
  <si>
    <t>VE-904U01-700</t>
  </si>
  <si>
    <t>Art. złączny do produktu 904U01-700</t>
  </si>
  <si>
    <t>VE-904U01-801</t>
  </si>
  <si>
    <t>Art. złączny do produktu 904U01-801</t>
  </si>
  <si>
    <t>VE-904U01-802</t>
  </si>
  <si>
    <t>Art. złączny do produktu 904U01-802</t>
  </si>
  <si>
    <t>VE-904U01-803</t>
  </si>
  <si>
    <t>Art. złączny do produktu 904U01-803</t>
  </si>
  <si>
    <t>VE-904U08-221</t>
  </si>
  <si>
    <t>Art. złączny do produktu 904U08-221</t>
  </si>
  <si>
    <t>VE-904U08-222</t>
  </si>
  <si>
    <t>Art. złączny do produktu 904U08-222</t>
  </si>
  <si>
    <t>VE-904U08-223</t>
  </si>
  <si>
    <t>Art. złączny do produktu 904U08-223</t>
  </si>
  <si>
    <t>VE-904U08-224</t>
  </si>
  <si>
    <t>Art. złączny do produktu 904U08-224</t>
  </si>
  <si>
    <t>VE-904U08-225</t>
  </si>
  <si>
    <t>Art. złączny do produktu 904U08-225</t>
  </si>
  <si>
    <t>VE-904U08-226</t>
  </si>
  <si>
    <t>Art. złączny do produktu 904U08-226</t>
  </si>
  <si>
    <t>VE-904U08-227</t>
  </si>
  <si>
    <t>Art. złączny do produktu 904U08-227</t>
  </si>
  <si>
    <t>VE-904U08-272</t>
  </si>
  <si>
    <t>Art. złączny do produktu 904U08-272</t>
  </si>
  <si>
    <t>VE-904U09-250</t>
  </si>
  <si>
    <t>Art. złączny do produktu 904U09-250</t>
  </si>
  <si>
    <t>VE-904U09-310</t>
  </si>
  <si>
    <t>Art. złączny do produktu 904U09-310</t>
  </si>
  <si>
    <t>VE-904U09-320</t>
  </si>
  <si>
    <t>Art. złączny do produktu 904U09-320</t>
  </si>
  <si>
    <t>VE-904U09-330</t>
  </si>
  <si>
    <t>Art. złączny do produktu 904U09-330</t>
  </si>
  <si>
    <t>VE-904U09-611</t>
  </si>
  <si>
    <t>Art. złączny do produktu 904U09-611</t>
  </si>
  <si>
    <t>VE-904U12-610</t>
  </si>
  <si>
    <t>Art. złączny do produktu 904U12-610</t>
  </si>
  <si>
    <t>VE-904U12-620</t>
  </si>
  <si>
    <t>Art. złączny do produktu 904U12-620</t>
  </si>
  <si>
    <t>VE-904U12-630</t>
  </si>
  <si>
    <t>Art. złączny do produktu 904U12-630</t>
  </si>
  <si>
    <t>VE-904U12-640</t>
  </si>
  <si>
    <t>Art. złączny do produktu 904U12-640</t>
  </si>
  <si>
    <t>VE-904U12-810</t>
  </si>
  <si>
    <t>Art. złączny do produktu 904U12-810</t>
  </si>
  <si>
    <t>VE-904U17-141</t>
  </si>
  <si>
    <t>Art. złączny do produktu 904U17-141</t>
  </si>
  <si>
    <t>VE-904U18-140</t>
  </si>
  <si>
    <t>Art. złączny do produktu 904U18-140</t>
  </si>
  <si>
    <t>VE-904U19E-600</t>
  </si>
  <si>
    <t>Art. złączny do produktu 904U19E-600</t>
  </si>
  <si>
    <t>VE-904U40-300</t>
  </si>
  <si>
    <t>Art. złączny do produktu 904U40-300</t>
  </si>
  <si>
    <t>VE-904U40-400</t>
  </si>
  <si>
    <t>Art. złączny do produktu 904U40-400</t>
  </si>
  <si>
    <t>VE-904U40-401</t>
  </si>
  <si>
    <t>Art. złączny do produktu 904U40-401</t>
  </si>
  <si>
    <t>VE-904U40-402</t>
  </si>
  <si>
    <t>Art. złączny do produktu 904U40-402</t>
  </si>
  <si>
    <t>VE-904U40-500</t>
  </si>
  <si>
    <t>Art. złączny do produktu 904U40-500</t>
  </si>
  <si>
    <t>VE-904U40-800</t>
  </si>
  <si>
    <t>Art. złączny do produktu 904U40-800</t>
  </si>
  <si>
    <t>VE-904U40-801</t>
  </si>
  <si>
    <t>Art. złączny do produktu 904U40-801</t>
  </si>
  <si>
    <t>VE-904U45-310</t>
  </si>
  <si>
    <t>Art. złączny do produktu 904U45-310</t>
  </si>
  <si>
    <t>VE-904U47-310</t>
  </si>
  <si>
    <t>Art. złączny do produktu 904U47-310</t>
  </si>
  <si>
    <t>VE-904U47-320</t>
  </si>
  <si>
    <t>Art. złączny do produktu 904U47-320</t>
  </si>
  <si>
    <t>VE-904U49-310</t>
  </si>
  <si>
    <t>Art. złączny do produktu 904U49-310</t>
  </si>
  <si>
    <t>VE-904U49-410</t>
  </si>
  <si>
    <t>Art. złączny do produktu 904U49-410</t>
  </si>
  <si>
    <t>VE-904U49-451</t>
  </si>
  <si>
    <t>Art. złączny do produktu 904U49-451</t>
  </si>
  <si>
    <t>VE-904U60-100</t>
  </si>
  <si>
    <t>Art. złączny do produktu 904U60-100</t>
  </si>
  <si>
    <t>VE-904U60-200</t>
  </si>
  <si>
    <t>Art. złączny do produktu 904U60-200</t>
  </si>
  <si>
    <t>VE-904U60-310</t>
  </si>
  <si>
    <t>Art. złączny do produktu 904U60-310</t>
  </si>
  <si>
    <t>VE-904U60-320</t>
  </si>
  <si>
    <t>Art. złączny do produktu 904U60-320</t>
  </si>
  <si>
    <t>VE-904U61-100</t>
  </si>
  <si>
    <t>Art. złączny do produktu 904U61-100</t>
  </si>
  <si>
    <t>VE-904U61-200</t>
  </si>
  <si>
    <t>Art. złączny do produktu 904U61-200</t>
  </si>
  <si>
    <t>VE-904U61-300</t>
  </si>
  <si>
    <t>Art. złączny do produktu 904U61-300</t>
  </si>
  <si>
    <t>VE-904U63-400</t>
  </si>
  <si>
    <t>Art. złączny do produktu 904U63-400</t>
  </si>
  <si>
    <t>VE-904U64-520</t>
  </si>
  <si>
    <t>Art. złączny do produktu 904U64-520</t>
  </si>
  <si>
    <t>VE-904U65-121</t>
  </si>
  <si>
    <t>Art. złączny do produktu 904U65-121</t>
  </si>
  <si>
    <t>VE-904U65-122</t>
  </si>
  <si>
    <t>Art. złączny do produktu 904U65-122</t>
  </si>
  <si>
    <t>VE-904U65-130</t>
  </si>
  <si>
    <t>Art. złączny do produktu 904U65-130</t>
  </si>
  <si>
    <t>VE-904U65-140</t>
  </si>
  <si>
    <t>Art. złączny do produktu 904U65-140</t>
  </si>
  <si>
    <t>VE-904U65-150</t>
  </si>
  <si>
    <t>Art. złączny do produktu 904U65-150</t>
  </si>
  <si>
    <t>VE-904U65-151</t>
  </si>
  <si>
    <t>Art. złączny do produktu 904U65-151</t>
  </si>
  <si>
    <t>VE-904U65-210</t>
  </si>
  <si>
    <t>Art. złączny do produktu 904U65-210</t>
  </si>
  <si>
    <t>VE-904U66-210</t>
  </si>
  <si>
    <t>Art. złączny do produktu 904U66-210</t>
  </si>
  <si>
    <t>VE-904U66-310</t>
  </si>
  <si>
    <t>Art. złączny do produktu 904U66-310</t>
  </si>
  <si>
    <t>VE-904U78-211</t>
  </si>
  <si>
    <t>Art. złączny do produktu 904U78-211</t>
  </si>
  <si>
    <t>VE-904U78-212</t>
  </si>
  <si>
    <t>Art. złączny do produktu 904U78-212</t>
  </si>
  <si>
    <t>VE-904U83-221</t>
  </si>
  <si>
    <t>Art. złączny do produktu 904U83-221</t>
  </si>
  <si>
    <t>VE-904U88-202</t>
  </si>
  <si>
    <t>Art. złączny do produktu 904U88-202</t>
  </si>
  <si>
    <t>VE-904U88-203</t>
  </si>
  <si>
    <t>Art. złączny do produktu 904U88-203</t>
  </si>
  <si>
    <t>VE-904U88-261</t>
  </si>
  <si>
    <t>Art. złączny do produktu 904U88-261</t>
  </si>
  <si>
    <t>VE-904U88-262</t>
  </si>
  <si>
    <t>Art. złączny do produktu 904U88-262</t>
  </si>
  <si>
    <t>VE-904U88-810</t>
  </si>
  <si>
    <t>Art. złączny do produktu 904U88-810</t>
  </si>
  <si>
    <t>VE-904U88-825</t>
  </si>
  <si>
    <t>Art. złączny do produktu 904U88-825</t>
  </si>
  <si>
    <t>VE-904U88-835</t>
  </si>
  <si>
    <t>Art. złączny do produktu 904U88-835</t>
  </si>
  <si>
    <t>VE-904U88-840</t>
  </si>
  <si>
    <t>Art. złączny do produktu 904U88-840</t>
  </si>
  <si>
    <t>VE-904U88-850</t>
  </si>
  <si>
    <t>Art. złączny do produktu 904U88-850</t>
  </si>
  <si>
    <t>VE-904U88-900</t>
  </si>
  <si>
    <t>Art. złączny do produktu 904U88-900</t>
  </si>
  <si>
    <t>VE-904U89-221</t>
  </si>
  <si>
    <t>Art. złączny do produktu 904U89-221</t>
  </si>
  <si>
    <t>VE-904U91-210</t>
  </si>
  <si>
    <t>Art. złączny do produktu 904U91-210</t>
  </si>
  <si>
    <t>VE-904U91-400</t>
  </si>
  <si>
    <t>Art. złączny do produktu 904U91-400</t>
  </si>
  <si>
    <t>VE-904U92-100</t>
  </si>
  <si>
    <t>Art. złączny do produktu 904U92-100</t>
  </si>
  <si>
    <t>VE-904U92-212</t>
  </si>
  <si>
    <t>Art. złączny do produktu 904U92-212</t>
  </si>
  <si>
    <t>VE-904W71-110</t>
  </si>
  <si>
    <t>Art. złączny do produktu 904W71-110</t>
  </si>
  <si>
    <t>VE-905O16-100</t>
  </si>
  <si>
    <t>Art. złączny do produktu 905O16-100</t>
  </si>
  <si>
    <t>VE-905U01-120</t>
  </si>
  <si>
    <t>Art. złączny do produktu 905U01-120</t>
  </si>
  <si>
    <t>VE-905U01-600</t>
  </si>
  <si>
    <t>Art. złączny do produktu 905U01-600</t>
  </si>
  <si>
    <t>VE-905U01-700</t>
  </si>
  <si>
    <t>Art. złączny do produktu 905U01-700</t>
  </si>
  <si>
    <t>VE-905U02-751</t>
  </si>
  <si>
    <t>Art. złączny do produktu 905U02-751</t>
  </si>
  <si>
    <t>VE-905U02-810</t>
  </si>
  <si>
    <t>Art. złączny do produktu 905U02-810</t>
  </si>
  <si>
    <t>VE-905U21-642</t>
  </si>
  <si>
    <t>Art. złączny do produktu 905U21-642</t>
  </si>
  <si>
    <t>VE-905U21-643</t>
  </si>
  <si>
    <t>Art. złączny do produktu 905U21-643</t>
  </si>
  <si>
    <t>VE-905W35-200</t>
  </si>
  <si>
    <t>Art. złączny do produktu 905W35-200</t>
  </si>
  <si>
    <t>VE-905W35-300</t>
  </si>
  <si>
    <t>Art. złączny do produktu 905W35-300</t>
  </si>
  <si>
    <t>VE-905W36-200</t>
  </si>
  <si>
    <t>Art. złączny do produktu 905W36-200</t>
  </si>
  <si>
    <t>VE-905W36-300</t>
  </si>
  <si>
    <t>Art. złączny do produktu 905W36-300</t>
  </si>
  <si>
    <t>VE-905W36-400</t>
  </si>
  <si>
    <t>Art. złączny do produktu 905W36-400</t>
  </si>
  <si>
    <t>VE-905W36-500</t>
  </si>
  <si>
    <t>Art. złączny do produktu 905W36-500</t>
  </si>
  <si>
    <t>VE-907W65-110</t>
  </si>
  <si>
    <t>Art. złączny do produktu 907W65-110</t>
  </si>
  <si>
    <t>VE-907W76-100</t>
  </si>
  <si>
    <t>Art. złączny do produktu 907W76-100</t>
  </si>
  <si>
    <t>VE-907W77-100</t>
  </si>
  <si>
    <t>Art. złączny do produktu 907W77-100</t>
  </si>
  <si>
    <t>VE-907W78-100</t>
  </si>
  <si>
    <t>Art. złączny do produktu 907W78-100</t>
  </si>
  <si>
    <t>VE-908W40-110</t>
  </si>
  <si>
    <t>Art. złączny do produktu 908W40-110</t>
  </si>
  <si>
    <t>VE-908W42-110</t>
  </si>
  <si>
    <t>Art. złączny do produktu 908W42-110</t>
  </si>
  <si>
    <t>VE-908W43-110</t>
  </si>
  <si>
    <t>Art. złączny do produktu 908W43-110</t>
  </si>
  <si>
    <t>VE-908W61-110</t>
  </si>
  <si>
    <t>Art. złączny do produktu 908W61-110</t>
  </si>
  <si>
    <t>VE-908W68-110</t>
  </si>
  <si>
    <t>Art. złączny do produktu 908W68-110</t>
  </si>
  <si>
    <t>VE-908W69-110</t>
  </si>
  <si>
    <t>Art. złączny do produktu 908W69-110</t>
  </si>
  <si>
    <t>VE-908W70-110</t>
  </si>
  <si>
    <t>Art. złączny do produktu 908W70-110</t>
  </si>
  <si>
    <t>VE-909C14-100</t>
  </si>
  <si>
    <t>Art. złączny do produktu 909C14-100</t>
  </si>
  <si>
    <t>VE-909P40-100</t>
  </si>
  <si>
    <t>Art. złączny do produktu 909P40-100</t>
  </si>
  <si>
    <t>VE-909P40-101</t>
  </si>
  <si>
    <t>Art. złączny do produktu 909P40-101</t>
  </si>
  <si>
    <t>VE-909P40-102</t>
  </si>
  <si>
    <t>Art. złączny do produktu 909P40-102</t>
  </si>
  <si>
    <t>VE-910H01-100</t>
  </si>
  <si>
    <t>Art. złączny do produktu 910H01-100</t>
  </si>
  <si>
    <t>VE-910H01-200</t>
  </si>
  <si>
    <t>Art. złączny do produktu 910H01-200</t>
  </si>
  <si>
    <t>VE-910H49-210</t>
  </si>
  <si>
    <t>Art. złączny do produktu 910H49-210</t>
  </si>
  <si>
    <t>VE-910H49-220</t>
  </si>
  <si>
    <t>Art. złączny do produktu 910H49-220</t>
  </si>
  <si>
    <t>VE-910R01-510</t>
  </si>
  <si>
    <t>Art. złączny do produktu 910R01-510</t>
  </si>
  <si>
    <t>VE-910R02-550</t>
  </si>
  <si>
    <t>Art. złączny do produktu 910R02-550</t>
  </si>
  <si>
    <t>VE-910R16E-210</t>
  </si>
  <si>
    <t>Art. złączny do produktu 910R16E-210</t>
  </si>
  <si>
    <t>VE-910R16E-250</t>
  </si>
  <si>
    <t>Art. złączny do produktu 910R16E-250</t>
  </si>
  <si>
    <t>VE-910R16E-500</t>
  </si>
  <si>
    <t>Art. złączny do produktu 910R16E-500</t>
  </si>
  <si>
    <t>VE-910R45-500</t>
  </si>
  <si>
    <t>Art. złączny do produktu 910R45-500</t>
  </si>
  <si>
    <t>VE-910R52E-100</t>
  </si>
  <si>
    <t>Art. złączny do produktu 910R52E-100</t>
  </si>
  <si>
    <t>VE-910R69-100</t>
  </si>
  <si>
    <t>Art. złączny do produktu 910R69-100</t>
  </si>
  <si>
    <t>VE-910R69-200</t>
  </si>
  <si>
    <t>Art. złączny do produktu 910R69-200</t>
  </si>
  <si>
    <t>VE-910R70-110</t>
  </si>
  <si>
    <t>Art. złączny do produktu 910R70-110</t>
  </si>
  <si>
    <t>VE-910R74-010</t>
  </si>
  <si>
    <t>Art. złączny do produktu 910R74-010</t>
  </si>
  <si>
    <t>VE-910R74-020</t>
  </si>
  <si>
    <t>Art. złączny do produktu 910R74-020</t>
  </si>
  <si>
    <t>VE-910R90E-300</t>
  </si>
  <si>
    <t>Art. złączny do produktu 910R90E-300</t>
  </si>
  <si>
    <t>VE-910R91-300</t>
  </si>
  <si>
    <t>Art. złączny do produktu 910R91-300</t>
  </si>
  <si>
    <t>VE-910R91-600</t>
  </si>
  <si>
    <t>Art. złączny do produktu 910R91-600</t>
  </si>
  <si>
    <t>VE-910R91-700</t>
  </si>
  <si>
    <t>Art. złączny do produktu 910R91-700</t>
  </si>
  <si>
    <t>VE-910R92-510</t>
  </si>
  <si>
    <t>Art. złączny do produktu 910R92-510</t>
  </si>
  <si>
    <t>VE-910R92-800</t>
  </si>
  <si>
    <t>Art. złączny do produktu 910R92-800</t>
  </si>
  <si>
    <t>VE-910R92E-400</t>
  </si>
  <si>
    <t>Art. złączny do produktu 910R92E-400</t>
  </si>
  <si>
    <t>VE-910R93E-500</t>
  </si>
  <si>
    <t>Art. złączny do produktu 910R93E-500</t>
  </si>
  <si>
    <t>VE-910R94E-200</t>
  </si>
  <si>
    <t>Art. złączny do produktu 910R94E-200</t>
  </si>
  <si>
    <t>VE-910R97E-910</t>
  </si>
  <si>
    <t>Art. złączny do produktu 910R97E-910</t>
  </si>
  <si>
    <t>VE-910R97E-920</t>
  </si>
  <si>
    <t>Art. złączny do produktu 910R97E-920</t>
  </si>
  <si>
    <t>VE-910R99E-300</t>
  </si>
  <si>
    <t>Art. złączny do produktu 910R99E-300</t>
  </si>
  <si>
    <t>VE-910R99E-400</t>
  </si>
  <si>
    <t>Art. złączny do produktu 910R99E-400</t>
  </si>
  <si>
    <t>VE-911R17E-200</t>
  </si>
  <si>
    <t>Art. złączny do produktu 911R17E-200</t>
  </si>
  <si>
    <t>VE-911R25-200</t>
  </si>
  <si>
    <t>Art. złączny do produktu 911R25-200</t>
  </si>
  <si>
    <t>VE-911R50-010</t>
  </si>
  <si>
    <t>Art. złączny do produktu 911R50-010</t>
  </si>
  <si>
    <t>VE-911R54-610</t>
  </si>
  <si>
    <t>Art. złączny do produktu 911R54-610</t>
  </si>
  <si>
    <t>VE-911R54-811</t>
  </si>
  <si>
    <t>Art. złączny do produktu 911R54-811</t>
  </si>
  <si>
    <t>VE-911R57-600</t>
  </si>
  <si>
    <t>Art. złączny do produktu 911R57-600</t>
  </si>
  <si>
    <t>VE-911R82-010</t>
  </si>
  <si>
    <t>Art. złączny do produktu 911R82-010</t>
  </si>
  <si>
    <t>VE-911R82-020</t>
  </si>
  <si>
    <t>Art. złączny do produktu 911R82-020</t>
  </si>
  <si>
    <t>VE-911R82-030</t>
  </si>
  <si>
    <t>Art. złączny do produktu 911R82-030</t>
  </si>
  <si>
    <t>VE-911R82-040</t>
  </si>
  <si>
    <t>Art. złączny do produktu 911R82-040</t>
  </si>
  <si>
    <t>VE-911R82-810</t>
  </si>
  <si>
    <t>Art. złączny do produktu 911R82-810</t>
  </si>
  <si>
    <t>VE-911R82-820</t>
  </si>
  <si>
    <t>Art. złączny do produktu 911R82-820</t>
  </si>
  <si>
    <t>VE-911R82-830</t>
  </si>
  <si>
    <t>Art. złączny do produktu 911R82-830</t>
  </si>
  <si>
    <t>VE-911R83-510</t>
  </si>
  <si>
    <t>Art. złączny do produktu 911R83-510</t>
  </si>
  <si>
    <t>VE-911R83-520</t>
  </si>
  <si>
    <t>Art. złączny do produktu 911R83-520</t>
  </si>
  <si>
    <t>VE-911R83-530</t>
  </si>
  <si>
    <t>Art. złączny do produktu 911R83-530</t>
  </si>
  <si>
    <t>VE-911R85-110</t>
  </si>
  <si>
    <t>Art. złączny do produktu 911R85-110</t>
  </si>
  <si>
    <t>VE-911W50-200</t>
  </si>
  <si>
    <t>Art. złączny do produktu 911W50-200</t>
  </si>
  <si>
    <t>VE-911W51-200</t>
  </si>
  <si>
    <t>Art. złączny do produktu 911W51-200</t>
  </si>
  <si>
    <t>VE-911W52-200</t>
  </si>
  <si>
    <t>Art. złączny do produktu 911W52-200</t>
  </si>
  <si>
    <t>VE-912W09-200</t>
  </si>
  <si>
    <t>Art. złączny do produktu 912W09-200</t>
  </si>
  <si>
    <t>VE-912W09-990</t>
  </si>
  <si>
    <t>Art. złączny do produktu 912W09-990</t>
  </si>
  <si>
    <t>VE-912W11-300</t>
  </si>
  <si>
    <t>Art. złączny do produktu 912W11-300</t>
  </si>
  <si>
    <t>VE-912W13-990</t>
  </si>
  <si>
    <t>Art. złączny do produktu 912W13-990</t>
  </si>
  <si>
    <t>VE-912W32-400</t>
  </si>
  <si>
    <t>Art. złączny do produktu 912W32-400</t>
  </si>
  <si>
    <t>VE-913S03-200</t>
  </si>
  <si>
    <t>Art. złączny do produktu 913S03-200</t>
  </si>
  <si>
    <t>VE-913S03-210</t>
  </si>
  <si>
    <t>Art. złączny do produktu 913S03-210</t>
  </si>
  <si>
    <t>VE-913S03-220</t>
  </si>
  <si>
    <t>Art. złączny do produktu 913S03-220</t>
  </si>
  <si>
    <t>VE-913S03-230</t>
  </si>
  <si>
    <t>Art. złączny do produktu 913S03-230</t>
  </si>
  <si>
    <t>VE-913S03-240</t>
  </si>
  <si>
    <t>Art. złączny do produktu 913S03-240</t>
  </si>
  <si>
    <t>VE-913S08-500</t>
  </si>
  <si>
    <t>Art. złączny do produktu 913S08-500</t>
  </si>
  <si>
    <t>VE-913S08-550</t>
  </si>
  <si>
    <t>Art. złączny do produktu 913S08-550</t>
  </si>
  <si>
    <t>VE-915S01-200</t>
  </si>
  <si>
    <t>Art. złączny do produktu 915S01-200</t>
  </si>
  <si>
    <t>VE-915S01-400</t>
  </si>
  <si>
    <t>Art. złączny do produktu 915S01-400</t>
  </si>
  <si>
    <t>VE-915S01-720</t>
  </si>
  <si>
    <t>Art. złączny do produktu 915S01-720</t>
  </si>
  <si>
    <t>VE-918P01-100</t>
  </si>
  <si>
    <t>Art. złączny do produktu 918P01-100</t>
  </si>
  <si>
    <t>VE-918S01-111</t>
  </si>
  <si>
    <t>Art. złączny do produktu 918S01-111</t>
  </si>
  <si>
    <t>VE-918S14-410</t>
  </si>
  <si>
    <t>Art. złączny do produktu 918S14-410</t>
  </si>
  <si>
    <t>VE-919S01-200</t>
  </si>
  <si>
    <t>Art. złączny do produktu 919S01-200</t>
  </si>
  <si>
    <t>VE-919S09-300</t>
  </si>
  <si>
    <t>Art. złączny do produktu 919S09-300</t>
  </si>
  <si>
    <t>VE-919S09-400</t>
  </si>
  <si>
    <t>Art. złączny do produktu 919S09-400</t>
  </si>
  <si>
    <t>VE-919S09-500</t>
  </si>
  <si>
    <t>Art. złączny do produktu 919S09-500</t>
  </si>
  <si>
    <t>VE-919S13-200</t>
  </si>
  <si>
    <t>Art. złączny do produktu 919S13-200</t>
  </si>
  <si>
    <t>VE-919S28-302</t>
  </si>
  <si>
    <t>Art. złączny do produktu 919S28-302</t>
  </si>
  <si>
    <t>VE-919S28-303</t>
  </si>
  <si>
    <t>Art. złączny do produktu 919S28-303</t>
  </si>
  <si>
    <t>VE-919S33-010</t>
  </si>
  <si>
    <t>Art. złączny do produktu 919S33-010</t>
  </si>
  <si>
    <t>VE-919S33-020</t>
  </si>
  <si>
    <t>Art. złączny do produktu 919S33-020</t>
  </si>
  <si>
    <t>VE-919S33-110</t>
  </si>
  <si>
    <t>Art. złączny do produktu 919S33-110</t>
  </si>
  <si>
    <t>VE-919S33-210</t>
  </si>
  <si>
    <t>Art. złączny do produktu 919S33-210</t>
  </si>
  <si>
    <t>VE-919S33-310</t>
  </si>
  <si>
    <t>Art. złączny do produktu 919S33-310</t>
  </si>
  <si>
    <t>VE-919S33-320</t>
  </si>
  <si>
    <t>Art. złączny do produktu 919S33-320</t>
  </si>
  <si>
    <t>VE-919S33-330</t>
  </si>
  <si>
    <t>Art. złączny do produktu 919S33-330</t>
  </si>
  <si>
    <t>VE-919S33-510</t>
  </si>
  <si>
    <t>Art. złączny do produktu 919S33-510</t>
  </si>
  <si>
    <t>VE-919S33-600</t>
  </si>
  <si>
    <t>Art. złączny do produktu 919S33-600</t>
  </si>
  <si>
    <t>VE-919S35-400</t>
  </si>
  <si>
    <t>Art. złączny do produktu 919S35-400</t>
  </si>
  <si>
    <t>VE-919S35-500</t>
  </si>
  <si>
    <t>Art. złączny do produktu 919S35-500</t>
  </si>
  <si>
    <t>VE-919S35-600</t>
  </si>
  <si>
    <t>Art. złączny do produktu 919S35-600</t>
  </si>
  <si>
    <t>VE-919S36-442</t>
  </si>
  <si>
    <t>Art. złączny do produktu 919S36-442</t>
  </si>
  <si>
    <t>VE-919S37-100</t>
  </si>
  <si>
    <t>Art. złączny do produktu 919S37-100</t>
  </si>
  <si>
    <t>VE-919S37-200</t>
  </si>
  <si>
    <t>Art. złączny do produktu 919S37-200</t>
  </si>
  <si>
    <t>VE-919S37-300</t>
  </si>
  <si>
    <t>Art. złączny do produktu 919S37-300</t>
  </si>
  <si>
    <t>VE-919S37-400</t>
  </si>
  <si>
    <t>Art. złączny do produktu 919S37-400</t>
  </si>
  <si>
    <t>VE-919S45-310</t>
  </si>
  <si>
    <t>Art. złączny do produktu 919S45-310</t>
  </si>
  <si>
    <t>VE-919S45-320</t>
  </si>
  <si>
    <t>Art. złączny do produktu 919S45-320</t>
  </si>
  <si>
    <t>VE-919S67-010</t>
  </si>
  <si>
    <t>Art. złączny do produktu 919S67-010</t>
  </si>
  <si>
    <t>VE-940K29-121</t>
  </si>
  <si>
    <t>Art. złączny do produktu 940K29-121</t>
  </si>
  <si>
    <t>VE-940K29-210</t>
  </si>
  <si>
    <t>Art. złączny do produktu 940K29-210</t>
  </si>
  <si>
    <t>VE-940K29-220</t>
  </si>
  <si>
    <t>Art. złączny do produktu 940K29-220</t>
  </si>
  <si>
    <t>VE-940K31-200</t>
  </si>
  <si>
    <t>Art. złączny do produktu 940K31-200</t>
  </si>
  <si>
    <t>VE-940K32-111</t>
  </si>
  <si>
    <t>Art. złączny do produktu 940K32-111</t>
  </si>
  <si>
    <t>VE-940K32-210</t>
  </si>
  <si>
    <t>Art. złączny do produktu 940K32-210</t>
  </si>
  <si>
    <t>VE-940K34-111</t>
  </si>
  <si>
    <t>Art. złączny do produktu 940K34-111</t>
  </si>
  <si>
    <t>VE-940K34-210</t>
  </si>
  <si>
    <t>Art. złączny do produktu 940K34-210</t>
  </si>
  <si>
    <t>VE-940K35-121</t>
  </si>
  <si>
    <t>Art. złączny do produktu 940K35-121</t>
  </si>
  <si>
    <t>VE-940K35-210</t>
  </si>
  <si>
    <t>Art. złączny do produktu 940K35-210</t>
  </si>
  <si>
    <t>VE-940K36-210</t>
  </si>
  <si>
    <t>Art. złączny do produktu 940K36-210</t>
  </si>
  <si>
    <t>VE-940K37-210</t>
  </si>
  <si>
    <t>Art. złączny do produktu 940K37-210</t>
  </si>
  <si>
    <t>VE-940M99-100</t>
  </si>
  <si>
    <t>Art. złączny do produktu 940M99-100</t>
  </si>
  <si>
    <t>VE-943P28-500</t>
  </si>
  <si>
    <t>Art. złączny do produktu 943P28-500</t>
  </si>
  <si>
    <t>VE-943W18-200</t>
  </si>
  <si>
    <t>Art. złączny do produktu 943W18-200</t>
  </si>
  <si>
    <t>VE-943W18-300</t>
  </si>
  <si>
    <t>Art. złączny do produktu 943W18-300</t>
  </si>
  <si>
    <t>VE-943W18-400</t>
  </si>
  <si>
    <t>Art. złączny do produktu 943W18-400</t>
  </si>
  <si>
    <t>VE-943W18-500</t>
  </si>
  <si>
    <t>Art. złączny do produktu 943W18-500</t>
  </si>
  <si>
    <t>VE-943W18-600</t>
  </si>
  <si>
    <t>Art. złączny do produktu 943W18-600</t>
  </si>
  <si>
    <t>VE-943W21-100</t>
  </si>
  <si>
    <t>Art. złączny do produktu 943W21-100</t>
  </si>
  <si>
    <t>VE-943W21-200</t>
  </si>
  <si>
    <t>Art. złączny do produktu 943W21-200</t>
  </si>
  <si>
    <t>VE-943W21-300</t>
  </si>
  <si>
    <t>Art. złączny do produktu 943W21-300</t>
  </si>
  <si>
    <t>VE-943W21-400</t>
  </si>
  <si>
    <t>Art. złączny do produktu 943W21-400</t>
  </si>
  <si>
    <t>VE-943W21-500</t>
  </si>
  <si>
    <t>Art. złączny do produktu 943W21-500</t>
  </si>
  <si>
    <t>VE-943W22-100</t>
  </si>
  <si>
    <t>Art. złączny do produktu 943W22-100</t>
  </si>
  <si>
    <t>VE-943W22-200</t>
  </si>
  <si>
    <t>Art. złączny do produktu 943W22-200</t>
  </si>
  <si>
    <t>VE-943W22-300</t>
  </si>
  <si>
    <t>Art. złączny do produktu 943W22-300</t>
  </si>
  <si>
    <t>VE-943W22-400</t>
  </si>
  <si>
    <t>Art. złączny do produktu 943W22-400</t>
  </si>
  <si>
    <t>VE-943W22-700</t>
  </si>
  <si>
    <t>Art. złączny do produktu 943W22-700</t>
  </si>
  <si>
    <t>VE-943W33-100</t>
  </si>
  <si>
    <t>Art. złączny do produktu 943W33-100</t>
  </si>
  <si>
    <t>VE-943W33-220</t>
  </si>
  <si>
    <t>Art. złączny do produktu 943W33-220</t>
  </si>
  <si>
    <t>VE-943W33-250</t>
  </si>
  <si>
    <t>Art. złączny do produktu 943W33-250</t>
  </si>
  <si>
    <t>VE-943W33-265</t>
  </si>
  <si>
    <t>Art. złączny do produktu 943W33-265</t>
  </si>
  <si>
    <t>VE-943W33-300</t>
  </si>
  <si>
    <t>Art. złączny do produktu 943W33-300</t>
  </si>
  <si>
    <t>VE-943W33-350</t>
  </si>
  <si>
    <t>Art. złączny do produktu 943W33-350</t>
  </si>
  <si>
    <t>VE-943W33-490</t>
  </si>
  <si>
    <t>Art. złączny do produktu 943W33-490</t>
  </si>
  <si>
    <t>VE-943W33-660</t>
  </si>
  <si>
    <t>Art. złączny do produktu 943W33-660</t>
  </si>
  <si>
    <t>VE-943W33-682</t>
  </si>
  <si>
    <t>Art. złączny do produktu 943W33-682</t>
  </si>
  <si>
    <t>VE-943W37-211</t>
  </si>
  <si>
    <t>Art. złączny do produktu 943W37-211</t>
  </si>
  <si>
    <t>VE-943W37-221</t>
  </si>
  <si>
    <t>Art. złączny do produktu 943W37-221</t>
  </si>
  <si>
    <t>VE-943W37-241</t>
  </si>
  <si>
    <t>Art. złączny do produktu 943W37-241</t>
  </si>
  <si>
    <t>VE-943W37-250</t>
  </si>
  <si>
    <t>Art. złączny do produktu 943W37-250</t>
  </si>
  <si>
    <t>VE-943W37-260</t>
  </si>
  <si>
    <t>Art. złączny do produktu 943W37-260</t>
  </si>
  <si>
    <t>VE-943W37-270</t>
  </si>
  <si>
    <t>Art. złączny do produktu 943W37-270</t>
  </si>
  <si>
    <t>VE-943W39-232</t>
  </si>
  <si>
    <t>Art. złączny do produktu 943W39-232</t>
  </si>
  <si>
    <t>VE-943W39-233</t>
  </si>
  <si>
    <t>Art. złączny do produktu 943W39-233</t>
  </si>
  <si>
    <t>VE-943W39-234</t>
  </si>
  <si>
    <t>Art. złączny do produktu 943W39-234</t>
  </si>
  <si>
    <t>VE-943W39-235</t>
  </si>
  <si>
    <t>Art. złączny do produktu 943W39-235</t>
  </si>
  <si>
    <t>VE-943W39-251</t>
  </si>
  <si>
    <t>Art. złączny do produktu 943W39-251</t>
  </si>
  <si>
    <t>VE-943W39-252</t>
  </si>
  <si>
    <t>Art. złączny do produktu 943W39-252</t>
  </si>
  <si>
    <t>VE-943W39-261</t>
  </si>
  <si>
    <t>Art. złączny do produktu 943W39-261</t>
  </si>
  <si>
    <t>VE-943W39-271</t>
  </si>
  <si>
    <t>Art. złączny do produktu 943W39-271</t>
  </si>
  <si>
    <t>VE-943W39-312</t>
  </si>
  <si>
    <t>Art. złączny do produktu 943W39-312</t>
  </si>
  <si>
    <t>VE-943W39-314</t>
  </si>
  <si>
    <t>Art. złączny do produktu 943W39-314</t>
  </si>
  <si>
    <t>VE-943W39-323</t>
  </si>
  <si>
    <t>Art. złączny do produktu 943W39-323</t>
  </si>
  <si>
    <t>VE-943W45-100</t>
  </si>
  <si>
    <t>Art. złączny do produktu 943W45-100</t>
  </si>
  <si>
    <t>VE-943W57-100</t>
  </si>
  <si>
    <t>Art. złączny do produktu 943W57-100</t>
  </si>
  <si>
    <t>VE-943W57-200</t>
  </si>
  <si>
    <t>Art. złączny do produktu 943W57-200</t>
  </si>
  <si>
    <t>VE-943W57-300</t>
  </si>
  <si>
    <t>Art. złączny do produktu 943W57-300</t>
  </si>
  <si>
    <t>VE-943W57-400</t>
  </si>
  <si>
    <t>Art. złączny do produktu 943W57-400</t>
  </si>
  <si>
    <t>VE-943W57-500</t>
  </si>
  <si>
    <t>Art. złączny do produktu 943W57-500</t>
  </si>
  <si>
    <t>VE-950W99-128</t>
  </si>
  <si>
    <t>Art. złączny do produktu 950W99-128</t>
  </si>
  <si>
    <t>VE-957O21-100</t>
  </si>
  <si>
    <t>Art. złączny do produktu 957O21-100</t>
  </si>
  <si>
    <t>VE-957O21-200</t>
  </si>
  <si>
    <t>Art. złączny do produktu 957O21-200</t>
  </si>
  <si>
    <t>VE-957O21-300</t>
  </si>
  <si>
    <t>Art. złączny do produktu 957O21-300</t>
  </si>
  <si>
    <t>VE-957O21-400</t>
  </si>
  <si>
    <t>Art. złączny do produktu 957O21-400</t>
  </si>
  <si>
    <t>szt.</t>
  </si>
  <si>
    <t>PRĘT AL. D-10 PA6 0.215KG/MB PRĘT AL. D-8 PA6 0.14KG/MB</t>
  </si>
  <si>
    <t>PODKŁADKA SPRĘŻ. D-6 A-2 A-4</t>
  </si>
  <si>
    <t>WKRĘT M5X10 A-2 A-4 STOŻK.</t>
  </si>
  <si>
    <t>ŚRUBA M6X50 A-2 A-4</t>
  </si>
  <si>
    <t>ŚRUBA M6X40 A-4 A-2</t>
  </si>
  <si>
    <t>WENTYLATOR AL-UFO-A-5000-N-OBUDOWA w/g rys.028898 w/g rys.011743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</si>
</sst>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_ ;\-0.00\ "/>
  </numFmts>
  <fonts count="7" x14ac:knownFonts="1">
    <font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43" fontId="6" fillId="0" borderId="0" applyFont="0" applyFill="0" applyBorder="0" applyAlignment="0" applyProtection="0"/>
  </cellStyleXfs>
  <cellXfs count="15">
    <xf numFmtId="0" fontId="0" fillId="0" borderId="0" xfId="0"/>
    <xf numFmtId="49" fontId="0" fillId="0" borderId="0" xfId="0" applyNumberFormat="1"/>
    <xf numFmtId="2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1" fillId="2" borderId="0" xfId="1"/>
    <xf numFmtId="0" fontId="0" fillId="4" borderId="0" xfId="0" applyFill="1"/>
    <xf numFmtId="49" fontId="0" fillId="4" borderId="0" xfId="0" applyNumberFormat="1" applyFill="1"/>
    <xf numFmtId="49" fontId="4" fillId="3" borderId="1" xfId="0" applyNumberFormat="1" applyFont="1" applyFill="1" applyBorder="1"/>
    <xf numFmtId="0" fontId="4" fillId="3" borderId="1" xfId="0" applyFont="1" applyFill="1" applyBorder="1"/>
    <xf numFmtId="164" fontId="0" fillId="4" borderId="0" xfId="2" applyNumberFormat="1" applyFont="1" applyFill="1"/>
    <xf numFmtId="164" fontId="0" fillId="0" borderId="0" xfId="2" applyNumberFormat="1" applyFont="1"/>
    <xf numFmtId="0" fontId="1" fillId="2" borderId="0" xfId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3">
    <cellStyle name="Akcent 1" xfId="1" builtinId="29"/>
    <cellStyle name="Dziesiętny" xfId="2" builtinId="3"/>
    <cellStyle name="Normalny" xfId="0" builtinId="0"/>
  </cellStyles>
  <dxfs count="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numFmt numFmtId="30" formatCode="@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numFmt numFmtId="30" formatCode="@"/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38"/>
        <scheme val="minor"/>
      </font>
      <numFmt numFmtId="30" formatCode="@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  <numFmt numFmtId="30" formatCode="@"/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38"/>
        <scheme val="minor"/>
      </font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38"/>
        <scheme val="minor"/>
      </font>
      <numFmt numFmtId="30" formatCode="@"/>
      <fill>
        <patternFill patternType="solid">
          <fgColor theme="4"/>
          <bgColor theme="4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medium">
          <color theme="1"/>
        </top>
        <bottom style="medium">
          <color theme="1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38"/>
        <scheme val="minor"/>
      </font>
      <numFmt numFmtId="30" formatCode="@"/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292A395-E4C0-4028-8485-E8BFE05FFF0E}" autoFormatId="16" applyNumberFormats="0" applyBorderFormats="0" applyFontFormats="0" applyPatternFormats="0" applyAlignmentFormats="0" applyWidthHeightFormats="0">
  <queryTableRefresh nextId="8">
    <queryTableFields count="3">
      <queryTableField id="4" name="idxWspolny" tableColumnId="4"/>
      <queryTableField id="5" name="NAZWA_INDEKS" tableColumnId="5"/>
      <queryTableField id="3" name="Wartość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C412D32F-99B6-4C2C-A112-5C4A17DDFAEF}" autoFormatId="16" applyNumberFormats="0" applyBorderFormats="0" applyFontFormats="0" applyPatternFormats="0" applyAlignmentFormats="0" applyWidthHeightFormats="0">
  <queryTableRefresh nextId="5">
    <queryTableFields count="4">
      <queryTableField id="1" name="IdxWspolny" tableColumnId="1"/>
      <queryTableField id="2" name="NAZWA_INDEKS" tableColumnId="2"/>
      <queryTableField id="3" name="JM" tableColumnId="3"/>
      <queryTableField id="4" name="Cena jednostkow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07881D5-3A75-40F8-8608-93383D36E989}" autoFormatId="16" applyNumberFormats="0" applyBorderFormats="0" applyFontFormats="0" applyPatternFormats="0" applyAlignmentFormats="0" applyWidthHeightFormats="0">
  <queryTableRefresh nextId="7">
    <queryTableFields count="4">
      <queryTableField id="1" name="KOD_PRODUKTU" tableColumnId="1"/>
      <queryTableField id="2" name="NAZWA_PRODUKTU" tableColumnId="2"/>
      <queryTableField id="5" name="JM2" tableColumnId="5"/>
      <queryTableField id="4" name="WartośćProduktuŁączn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96BA2C3-E890-4CB7-9904-FF6927031AC5}" autoFormatId="16" applyNumberFormats="0" applyBorderFormats="0" applyFontFormats="0" applyPatternFormats="0" applyAlignmentFormats="0" applyWidthHeightFormats="0">
  <queryTableRefresh nextId="9">
    <queryTableFields count="4">
      <queryTableField id="1" name="IdxWspolny" tableColumnId="1"/>
      <queryTableField id="7" name="NAZWA_INDEKS2" tableColumnId="6"/>
      <queryTableField id="5" name="JM2" tableColumnId="5"/>
      <queryTableField id="4" name="Wartość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74A7EFF3-DF38-4B43-99AA-85E5A6D32CB7}" autoFormatId="16" applyNumberFormats="0" applyBorderFormats="0" applyFontFormats="0" applyPatternFormats="0" applyAlignmentFormats="0" applyWidthHeightFormats="0">
  <queryTableRefresh nextId="6">
    <queryTableFields count="4">
      <queryTableField id="1" name="id elementu" tableColumnId="1"/>
      <queryTableField id="2" name="Nazwa wirtualnego elementu" tableColumnId="2"/>
      <queryTableField id="4" name="JM" tableColumnId="4"/>
      <queryTableField id="3" name="Wartość Elementu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81A8240-1997-4161-829E-0D08D718527C}" autoFormatId="16" applyNumberFormats="0" applyBorderFormats="0" applyFontFormats="0" applyPatternFormats="0" applyAlignmentFormats="0" applyWidthHeightFormats="0">
  <queryTableRefresh nextId="8" unboundColumnsRight="1">
    <queryTableFields count="5">
      <queryTableField id="1" name="IdxWspolny" tableColumnId="1"/>
      <queryTableField id="2" name="NAZWA_INDEKS" tableColumnId="2"/>
      <queryTableField id="5" name="JM2" tableColumnId="5"/>
      <queryTableField id="4" name="Cena jednostkowa" tableColumnId="4"/>
      <queryTableField id="7" dataBound="0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F23C3D-5621-4635-894A-79A6758FBEED}" name="Tabela1" displayName="Tabela1" ref="A1:J3793" totalsRowShown="0" headerRowDxfId="72">
  <autoFilter ref="A1:J3793" xr:uid="{5BF23C3D-5621-4635-894A-79A6758FBEED}"/>
  <tableColumns count="10">
    <tableColumn id="1" xr3:uid="{5002F9F3-8942-426A-AFEA-E243AAC6B8A9}" name="kod_produktu" dataDxfId="71"/>
    <tableColumn id="2" xr3:uid="{C1CC36B4-E86E-48EC-93BB-7B3338454210}" name="nazwa_produktu"/>
    <tableColumn id="3" xr3:uid="{9F6BDF1C-5E32-4F49-83AD-BE947BC71962}" name="indeks1" dataDxfId="70"/>
    <tableColumn id="4" xr3:uid="{459FDBAE-CA44-415F-91DD-74448785541C}" name="indeks2" dataDxfId="69"/>
    <tableColumn id="5" xr3:uid="{82DB183E-7A60-4B66-8C82-4C68FC89436B}" name="nazwa_indeks"/>
    <tableColumn id="6" xr3:uid="{886A1F85-B21B-4BF3-81DB-7CDE5221EC08}" name="cena_jend" dataDxfId="68"/>
    <tableColumn id="7" xr3:uid="{43F26125-16AD-46A5-97C3-50FAD34E76AF}" name="jm"/>
    <tableColumn id="8" xr3:uid="{A541E7DB-7AB4-4EC3-AC92-9AF6D1C20C6A}" name="ilosc" dataDxfId="67"/>
    <tableColumn id="9" xr3:uid="{F33852D3-1EA9-476E-9548-8FDF271C1A8C}" name="tkw" dataDxfId="66"/>
    <tableColumn id="10" xr3:uid="{6EF6333D-26A9-4EB3-959C-2429627E480D}" name="uwagi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ADAD51-CFA8-41E5-A771-0098BF6A425B}" name="Tabela2" displayName="Tabela2" ref="A1:N3793" totalsRowShown="0" headerRowDxfId="65">
  <autoFilter ref="A1:N3793" xr:uid="{F5ADAD51-CFA8-41E5-A771-0098BF6A425B}">
    <filterColumn colId="10">
      <filters>
        <filter val="TECHN"/>
      </filters>
    </filterColumn>
  </autoFilter>
  <sortState xmlns:xlrd2="http://schemas.microsoft.com/office/spreadsheetml/2017/richdata2" ref="A2:N3793">
    <sortCondition ref="A1:A3793"/>
  </sortState>
  <tableColumns count="14">
    <tableColumn id="1" xr3:uid="{5D3DE056-25D1-40D3-BF32-7DFD233E9DCF}" name="KOD_PRODUKTU" dataDxfId="64"/>
    <tableColumn id="2" xr3:uid="{E4DDFBEC-5151-49A8-B63A-749B813224D2}" name="NAZWA_PRODUKTU"/>
    <tableColumn id="3" xr3:uid="{D864D8EB-D8B3-443A-97C0-15FF9053D673}" name="INDEKS1" dataDxfId="63"/>
    <tableColumn id="4" xr3:uid="{2AF5B987-4C83-446C-AAAD-B653239FE180}" name="INDEKS2" dataDxfId="62"/>
    <tableColumn id="12" xr3:uid="{EEDF9AB7-F76A-4C19-AEC2-43BAF4A513FD}" name="IdxWspolny" dataDxfId="61"/>
    <tableColumn id="5" xr3:uid="{125F6D0B-0AAD-4CD8-9867-9D6872AB5F44}" name="NAZWA_INDEKS"/>
    <tableColumn id="6" xr3:uid="{7C8BD972-C416-4F0D-967B-22CDFF25EB5C}" name="CENA_JEDN"/>
    <tableColumn id="7" xr3:uid="{39251DA1-BF2C-4295-8C5C-EA99B944EA18}" name="JM"/>
    <tableColumn id="8" xr3:uid="{476C1767-470A-4A70-AB44-D9ADE6F0DFF7}" name="ILOSC"/>
    <tableColumn id="9" xr3:uid="{B95E8FC3-1417-4CA8-9774-6DAABA9A994E}" name="TKW"/>
    <tableColumn id="11" xr3:uid="{DF6BA432-C9A4-41A7-A78E-E10C1FF4521B}" name="CzyIdxInKodPrd" dataDxfId="60">
      <calculatedColumnFormula>IF(COUNTIF(#REF!,Tabela2[[#This Row],[IdxWspolny]])&gt;0,"ELEM_lub_PRD","TECHN")</calculatedColumnFormula>
    </tableColumn>
    <tableColumn id="13" xr3:uid="{1D99A200-7A35-4457-BA6D-4F812A2A7ED2}" name="CzyKodPrdInIdx" dataDxfId="59">
      <calculatedColumnFormula>IF(COUNTIF(#REF!,Tabela2[[#This Row],[KOD_PRODUKTU]])&gt;0,"ELEMENT","PRODUKT")</calculatedColumnFormula>
    </tableColumn>
    <tableColumn id="14" xr3:uid="{A2E40290-4DF4-4D42-A636-70B10D6CBD99}" name="CzyKOD_PrdSąWArkuszElementy" dataDxfId="58">
      <calculatedColumnFormula>COUNTIF(#REF!,Tabela2[[#This Row],[KOD_PRODUKTU]])</calculatedColumnFormula>
    </tableColumn>
    <tableColumn id="10" xr3:uid="{377681B1-EF49-4ADD-90D1-3FC5FE8993FB}" name="UWAGI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63440B-C8F9-455F-9B24-646A2B77D093}" name="Same_elementy" displayName="Same_elementy" ref="A1:C265" tableType="queryTable" totalsRowShown="0">
  <autoFilter ref="A1:C265" xr:uid="{6863440B-C8F9-455F-9B24-646A2B77D093}"/>
  <tableColumns count="3">
    <tableColumn id="4" xr3:uid="{24462FA0-EDA1-4216-8AC4-783FF05CCE64}" uniqueName="4" name="IdxWspolny" queryTableFieldId="4" dataDxfId="57"/>
    <tableColumn id="5" xr3:uid="{9071FDF4-CF0A-48DB-ACC9-E25BB9B3ADEC}" uniqueName="5" name="NAZWA_INDEKS" queryTableFieldId="5" dataDxfId="56"/>
    <tableColumn id="3" xr3:uid="{3DA91824-25AD-4C47-9DEE-9748FFDBC33C}" uniqueName="3" name="Wartość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7DACD9-4D4E-4A2D-8278-6E3E58C712A4}" name="Same_technologie_z_ElemWKodProd2T" displayName="Same_technologie_z_ElemWKodProd2T" ref="A1:D181" tableType="queryTable" totalsRowShown="0">
  <autoFilter ref="A1:D181" xr:uid="{2B7DACD9-4D4E-4A2D-8278-6E3E58C712A4}">
    <filterColumn colId="0">
      <filters>
        <filter val="ROB101"/>
      </filters>
    </filterColumn>
  </autoFilter>
  <tableColumns count="4">
    <tableColumn id="1" xr3:uid="{85006806-FFE6-4213-A8CE-3EC22124B5AC}" uniqueName="1" name="IdxWspolny" queryTableFieldId="1" dataDxfId="55"/>
    <tableColumn id="2" xr3:uid="{8A6B7707-0530-4BF4-8A77-7AF14A24C373}" uniqueName="2" name="NAZWA_INDEKS" queryTableFieldId="2" dataDxfId="54"/>
    <tableColumn id="3" xr3:uid="{014D1647-6EA4-4DF0-AE0F-8062E6B3BAC0}" uniqueName="3" name="JM" queryTableFieldId="3" dataDxfId="53"/>
    <tableColumn id="4" xr3:uid="{BA0CB3AC-5289-4DA8-BC46-C7ED5F50112A}" uniqueName="4" name="Cena jednostkowa" queryTableFieldId="4" dataDxfId="5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CAB1A8-E2DD-458E-BD11-5C9A46B0C660}" name="Produkty2elem_i_Produkty2tech" displayName="Produkty2elem_i_Produkty2tech" ref="A1:D793" tableType="queryTable" totalsRowShown="0">
  <autoFilter ref="A1:D793" xr:uid="{43CAB1A8-E2DD-458E-BD11-5C9A46B0C660}"/>
  <tableColumns count="4">
    <tableColumn id="1" xr3:uid="{17A36FBD-13D4-4003-8DD2-3EEF8485C3BA}" uniqueName="1" name="KOD_PRODUKTU" queryTableFieldId="1" dataDxfId="51"/>
    <tableColumn id="2" xr3:uid="{73E89E40-422E-4928-8506-78F25B313989}" uniqueName="2" name="NAZWA_PRODUKTU" queryTableFieldId="2" dataDxfId="50"/>
    <tableColumn id="5" xr3:uid="{46685407-3891-44B5-81E9-B680092DF43D}" uniqueName="5" name="JM2" queryTableFieldId="5" dataDxfId="49"/>
    <tableColumn id="4" xr3:uid="{7B0253A8-E9B6-4104-A2D6-9B6F565D6279}" uniqueName="4" name="WartośćProduktuŁączna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5916F-FB81-4604-AE25-8AE6FDF964CE}" name="Elementy_z_idxWspolny_z_Prod2Elem" displayName="Elementy_z_idxWspolny_z_Prod2Elem" ref="A1:D265" tableType="queryTable" totalsRowShown="0">
  <autoFilter ref="A1:D265" xr:uid="{60A5916F-FB81-4604-AE25-8AE6FDF964CE}"/>
  <tableColumns count="4">
    <tableColumn id="1" xr3:uid="{0BE1E61A-6E37-4FA8-B2FF-DCEBFDC436FD}" uniqueName="1" name="IdxWspolny" queryTableFieldId="1" dataDxfId="48"/>
    <tableColumn id="6" xr3:uid="{A38829CF-FDC2-42A4-99B4-A7036850F47E}" uniqueName="6" name="NAZWA_INDEKS2" queryTableFieldId="7" dataDxfId="47"/>
    <tableColumn id="5" xr3:uid="{DDDB09DE-9D0F-4CF5-8206-E423426CB905}" uniqueName="5" name="JM2" queryTableFieldId="5" dataDxfId="46"/>
    <tableColumn id="4" xr3:uid="{5827E3C3-84B9-44BD-90EC-BEF9A5F9A17B}" uniqueName="4" name="Wartość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775C3B-6207-43C4-83CF-DEE4767B9C71}" name="VE" displayName="VE" ref="A1:D793" tableType="queryTable" totalsRowShown="0">
  <autoFilter ref="A1:D793" xr:uid="{E4775C3B-6207-43C4-83CF-DEE4767B9C71}"/>
  <tableColumns count="4">
    <tableColumn id="1" xr3:uid="{B0370AA7-0FC3-4E11-9319-9958D97C0046}" uniqueName="1" name="id elementu" queryTableFieldId="1" dataDxfId="45"/>
    <tableColumn id="2" xr3:uid="{4368F6C7-A497-434A-904B-76F1A7747B53}" uniqueName="2" name="Nazwa wirtualnego elementu" queryTableFieldId="2" dataDxfId="44"/>
    <tableColumn id="4" xr3:uid="{7ADC59A4-B761-467C-BE33-9D4F7162B430}" uniqueName="4" name="JM" queryTableFieldId="4" dataDxfId="43"/>
    <tableColumn id="3" xr3:uid="{990030A6-9112-47C0-82E4-7359713FF2EC}" uniqueName="3" name="Wartość Elementu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5BA5BBC-65E9-4838-8FA1-7AD4346DFA7B}" name="Technologie_Wszystkie" displayName="Technologie_Wszystkie" ref="A1:E694" tableType="queryTable" totalsRowShown="0">
  <autoFilter ref="A1:E694" xr:uid="{CCE74F4E-64BF-4454-9F15-00F7B2FA2DB2}">
    <filterColumn colId="4">
      <customFilters>
        <customFilter operator="notEqual" val=" "/>
      </customFilters>
    </filterColumn>
  </autoFilter>
  <tableColumns count="5">
    <tableColumn id="1" xr3:uid="{E6C73585-191F-49A3-8E2C-6856F7A9279F}" uniqueName="1" name="IdxWspolny" queryTableFieldId="1" dataDxfId="42"/>
    <tableColumn id="2" xr3:uid="{9A9A8909-D988-4905-9120-43380AB9779D}" uniqueName="2" name="NAZWA_INDEKS" queryTableFieldId="2" dataDxfId="41"/>
    <tableColumn id="5" xr3:uid="{9AC281AA-3FAB-477C-AB75-DC8E272FE181}" uniqueName="5" name="JM2" queryTableFieldId="5" dataDxfId="40"/>
    <tableColumn id="4" xr3:uid="{CC98327B-BF32-4B18-9436-35C6826F167F}" uniqueName="4" name="Cena jednostkowa" queryTableFieldId="4" dataDxfId="39"/>
    <tableColumn id="3" xr3:uid="{60C146F0-97CD-48B3-8B59-876D7FCB8297}" uniqueName="3" name="Kolumna1" queryTableFieldId="7" dataDxfId="38">
      <calculatedColumnFormula>IF(COUNTIF(Technologie_Wszystkie[IdxWspolny],Technologie_Wszystkie[[#This Row],[IdxWspolny]])&gt;1,"DUBEL","OK")</calculatedColumn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F0A4885-03FD-4632-8D35-4F3BACFC7F89}" name="Tabela11" displayName="Tabela11" ref="A1:H330" totalsRowShown="0" headerRowDxfId="37" dataDxfId="35" headerRowBorderDxfId="36" tableBorderDxfId="34">
  <autoFilter ref="A1:H330" xr:uid="{259FAC4F-145A-44BF-975F-344895AABA04}">
    <filterColumn colId="2">
      <filters>
        <filter val="432P42"/>
      </filters>
    </filterColumn>
  </autoFilter>
  <tableColumns count="8">
    <tableColumn id="1" xr3:uid="{630E11BD-B69B-4267-8620-067B176830BF}" name="KOD_PRODUKTU" dataDxfId="33"/>
    <tableColumn id="2" xr3:uid="{8E74A817-3891-4215-83E3-90DB75AD3751}" name="NAZWA_PRODUKTU" dataDxfId="32"/>
    <tableColumn id="3" xr3:uid="{3CD41265-FEB4-4D63-A059-3765D6559120}" name="IdxWspolny" dataDxfId="31"/>
    <tableColumn id="4" xr3:uid="{8F5DEE42-9890-4507-9896-076D8E952841}" name="NAZWA_INDEKS" dataDxfId="30"/>
    <tableColumn id="5" xr3:uid="{6DCE6E2B-3154-40CC-8CF5-5A6E451E0F92}" name="CENA_JEDN" dataDxfId="29"/>
    <tableColumn id="6" xr3:uid="{928C7743-7FF9-485F-A1A2-C0DCD27EA878}" name="JM" dataDxfId="28"/>
    <tableColumn id="7" xr3:uid="{13BF29CB-D361-42E1-9780-C253E84572D1}" name="ILOSC" dataDxfId="27"/>
    <tableColumn id="8" xr3:uid="{FAAA11C3-BC3B-4BDE-B1B8-E2DC6BE2A8AD}" name="TKW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9F8C4C9-6A36-43D3-AEFA-A753596C2870}" name="Tabela9" displayName="Tabela9" ref="A1:H711" totalsRowShown="0" headerRowDxfId="25" dataDxfId="23" headerRowBorderDxfId="24" tableBorderDxfId="22">
  <autoFilter ref="A1:H711" xr:uid="{2C73A81B-3C50-40C4-B43D-B5D6F684F431}"/>
  <tableColumns count="8">
    <tableColumn id="1" xr3:uid="{2B031E86-4999-4056-9ED1-8AF2289E5250}" name="KOD_PRODUKTU" dataDxfId="21"/>
    <tableColumn id="2" xr3:uid="{27F56FA3-C2C9-49C6-9B8D-9D48A6A5CF9E}" name="NAZWA_PRODUKTU" dataDxfId="20"/>
    <tableColumn id="3" xr3:uid="{D7E1ADC2-51DF-4C31-80CA-0049E075FE44}" name="IdxWspolny" dataDxfId="19"/>
    <tableColumn id="4" xr3:uid="{A1C89E0A-B85E-4811-AF14-0FB496FE3082}" name="NAZWA_INDEKS" dataDxfId="18"/>
    <tableColumn id="5" xr3:uid="{EF8BECEA-479E-4C3D-B42D-96D56E097ADB}" name="CENA_JEDN" dataDxfId="17"/>
    <tableColumn id="6" xr3:uid="{611606EF-4EDF-4E4D-A6DD-79212999B030}" name="JM" dataDxfId="16"/>
    <tableColumn id="7" xr3:uid="{04D00552-375E-4BAE-A32A-F12FADC043BE}" name="ILOSC" dataDxfId="15"/>
    <tableColumn id="8" xr3:uid="{1F0FEC23-545D-4FB6-9350-C76362295BD7}" name="TKW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2F9EC7-6688-4729-9705-D0601E7C93F2}" name="Tabela10" displayName="Tabela10" ref="A1:J2754" totalsRowShown="0" headerRowDxfId="13" dataDxfId="11" headerRowBorderDxfId="12" tableBorderDxfId="10">
  <autoFilter ref="A1:J2754" xr:uid="{538C2FFC-FC0B-4206-B7BF-7A718EBC44F2}"/>
  <sortState xmlns:xlrd2="http://schemas.microsoft.com/office/spreadsheetml/2017/richdata2" ref="A2:H2754">
    <sortCondition ref="A1:A2754"/>
  </sortState>
  <tableColumns count="10">
    <tableColumn id="1" xr3:uid="{A65BE4AD-C7AF-4121-9B87-A077058CDC13}" name="KOD_PRODUKTU" dataDxfId="9"/>
    <tableColumn id="2" xr3:uid="{49D0BC6E-CC85-4110-9378-4C55D217E560}" name="NAZWA_PRODUKTU" dataDxfId="8"/>
    <tableColumn id="3" xr3:uid="{8EBC6F07-79E9-44D8-B747-4DE0DB8F71AF}" name="IdxWspolny" dataDxfId="7"/>
    <tableColumn id="4" xr3:uid="{418709DB-CE33-41BC-ACA8-102CA0357769}" name="NAZWA_INDEKS" dataDxfId="6"/>
    <tableColumn id="5" xr3:uid="{E2EF96D2-768C-467B-A9A8-D15A145B29A2}" name="CENA_JEDN" dataDxfId="5"/>
    <tableColumn id="6" xr3:uid="{9C6092B4-2573-434B-A112-A9AA6F1BACAB}" name="JM" dataDxfId="4"/>
    <tableColumn id="7" xr3:uid="{F6EFF746-4DEB-4E36-8174-B44307871D1F}" name="ILOSC" dataDxfId="3"/>
    <tableColumn id="8" xr3:uid="{9A53C95D-01A2-43FE-B838-E9C42A891E90}" name="TKW" dataDxfId="2"/>
    <tableColumn id="9" xr3:uid="{3AE89A30-7766-429C-95FC-69D572A31364}" name="Nazwa wirtualnego elementu" dataDxfId="1">
      <calculatedColumnFormula>_xlfn.CONCAT("Art. złączny do produktu ",Tabela10[[#This Row],[KOD_PRODUKTU]])</calculatedColumnFormula>
    </tableColumn>
    <tableColumn id="10" xr3:uid="{5D0EF573-0F37-49D6-BE26-BC982EE2DF4A}" name="id elementu" dataDxfId="0">
      <calculatedColumnFormula>_xlfn.CONCAT("VE-",Tabela10[[#This Row],[KOD_PRODUKTU]])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21BA-DC68-4BE3-836F-15B572C55229}">
  <dimension ref="A1:J3793"/>
  <sheetViews>
    <sheetView topLeftCell="A3763" zoomScale="130" zoomScaleNormal="130" workbookViewId="0">
      <selection activeCell="A2" sqref="A2:A3793"/>
    </sheetView>
  </sheetViews>
  <sheetFormatPr defaultRowHeight="15" x14ac:dyDescent="0.25"/>
  <cols>
    <col min="1" max="1" width="14.7109375" style="1" bestFit="1" customWidth="1"/>
    <col min="2" max="2" width="46" customWidth="1"/>
    <col min="3" max="3" width="15.140625" style="1" customWidth="1"/>
    <col min="4" max="4" width="13.7109375" style="1" customWidth="1"/>
    <col min="5" max="5" width="61" customWidth="1"/>
    <col min="6" max="6" width="11.7109375" style="2" bestFit="1" customWidth="1"/>
    <col min="7" max="7" width="5.42578125" bestFit="1" customWidth="1"/>
    <col min="8" max="8" width="12.5703125" style="2" bestFit="1" customWidth="1"/>
    <col min="9" max="9" width="8" style="2" bestFit="1" customWidth="1"/>
    <col min="10" max="10" width="8" bestFit="1" customWidth="1"/>
  </cols>
  <sheetData>
    <row r="1" spans="1:10" x14ac:dyDescent="0.25">
      <c r="A1" s="1" t="s">
        <v>5583</v>
      </c>
      <c r="B1" t="s">
        <v>5584</v>
      </c>
      <c r="C1" s="1" t="s">
        <v>5585</v>
      </c>
      <c r="D1" s="1" t="s">
        <v>5586</v>
      </c>
      <c r="E1" s="1" t="s">
        <v>5587</v>
      </c>
      <c r="F1" s="2" t="s">
        <v>5588</v>
      </c>
      <c r="G1" s="1" t="s">
        <v>5589</v>
      </c>
      <c r="H1" s="2" t="s">
        <v>5590</v>
      </c>
      <c r="I1" s="2" t="s">
        <v>5591</v>
      </c>
      <c r="J1" s="1" t="s">
        <v>5592</v>
      </c>
    </row>
    <row r="2" spans="1:10" x14ac:dyDescent="0.25">
      <c r="A2" s="1" t="s">
        <v>0</v>
      </c>
      <c r="B2" t="s">
        <v>1</v>
      </c>
      <c r="C2" s="1" t="s">
        <v>2</v>
      </c>
      <c r="D2" s="1" t="s">
        <v>2</v>
      </c>
      <c r="E2" t="s">
        <v>3</v>
      </c>
      <c r="F2" s="2" t="s">
        <v>4</v>
      </c>
      <c r="G2" t="s">
        <v>5</v>
      </c>
      <c r="H2" s="2" t="s">
        <v>6</v>
      </c>
      <c r="I2" s="2">
        <v>0.6</v>
      </c>
    </row>
    <row r="3" spans="1:10" x14ac:dyDescent="0.25">
      <c r="A3" s="1" t="s">
        <v>0</v>
      </c>
      <c r="B3" t="s">
        <v>1</v>
      </c>
      <c r="C3" s="1" t="s">
        <v>7</v>
      </c>
      <c r="D3" s="1" t="s">
        <v>7</v>
      </c>
      <c r="E3" t="s">
        <v>8</v>
      </c>
      <c r="F3" s="2" t="s">
        <v>9</v>
      </c>
      <c r="G3" t="s">
        <v>10</v>
      </c>
      <c r="H3" s="2" t="s">
        <v>11</v>
      </c>
      <c r="I3" s="2">
        <v>4.8</v>
      </c>
    </row>
    <row r="4" spans="1:10" x14ac:dyDescent="0.25">
      <c r="A4" s="1" t="s">
        <v>12</v>
      </c>
      <c r="B4" t="s">
        <v>13</v>
      </c>
      <c r="C4" s="1" t="s">
        <v>14</v>
      </c>
      <c r="D4" s="1" t="s">
        <v>14</v>
      </c>
      <c r="E4" t="s">
        <v>15</v>
      </c>
      <c r="F4" s="2" t="s">
        <v>16</v>
      </c>
      <c r="G4" t="s">
        <v>17</v>
      </c>
      <c r="H4" s="2" t="s">
        <v>18</v>
      </c>
      <c r="I4" s="2">
        <v>1.4</v>
      </c>
    </row>
    <row r="5" spans="1:10" x14ac:dyDescent="0.25">
      <c r="A5" s="1" t="s">
        <v>12</v>
      </c>
      <c r="B5" t="s">
        <v>13</v>
      </c>
      <c r="C5" s="1" t="s">
        <v>7</v>
      </c>
      <c r="D5" s="1" t="s">
        <v>7</v>
      </c>
      <c r="E5" t="s">
        <v>8</v>
      </c>
      <c r="F5" s="2" t="s">
        <v>9</v>
      </c>
      <c r="G5" t="s">
        <v>10</v>
      </c>
      <c r="H5" s="2" t="s">
        <v>19</v>
      </c>
      <c r="I5" s="2">
        <v>4.5999999999999996</v>
      </c>
    </row>
    <row r="6" spans="1:10" x14ac:dyDescent="0.25">
      <c r="A6" s="1" t="s">
        <v>20</v>
      </c>
      <c r="B6" t="s">
        <v>21</v>
      </c>
      <c r="C6" s="1" t="s">
        <v>22</v>
      </c>
      <c r="D6" s="1" t="s">
        <v>22</v>
      </c>
      <c r="E6" t="s">
        <v>23</v>
      </c>
      <c r="F6" s="2" t="s">
        <v>24</v>
      </c>
      <c r="G6" t="s">
        <v>17</v>
      </c>
      <c r="H6" s="2" t="s">
        <v>25</v>
      </c>
      <c r="I6" s="2">
        <v>4.17</v>
      </c>
    </row>
    <row r="7" spans="1:10" x14ac:dyDescent="0.25">
      <c r="A7" s="1" t="s">
        <v>20</v>
      </c>
      <c r="B7" t="s">
        <v>21</v>
      </c>
      <c r="C7" s="1" t="s">
        <v>7</v>
      </c>
      <c r="D7" s="1" t="s">
        <v>7</v>
      </c>
      <c r="E7" t="s">
        <v>8</v>
      </c>
      <c r="F7" s="2" t="s">
        <v>9</v>
      </c>
      <c r="G7" t="s">
        <v>10</v>
      </c>
      <c r="H7" s="2" t="s">
        <v>26</v>
      </c>
      <c r="I7" s="2">
        <v>26.83</v>
      </c>
    </row>
    <row r="8" spans="1:10" x14ac:dyDescent="0.25">
      <c r="A8" s="1" t="s">
        <v>27</v>
      </c>
      <c r="B8" t="s">
        <v>28</v>
      </c>
      <c r="C8" s="1" t="s">
        <v>29</v>
      </c>
      <c r="D8" s="1" t="s">
        <v>29</v>
      </c>
      <c r="E8" t="s">
        <v>30</v>
      </c>
      <c r="F8" s="2" t="s">
        <v>31</v>
      </c>
      <c r="G8" t="s">
        <v>5</v>
      </c>
      <c r="H8" s="2" t="s">
        <v>32</v>
      </c>
      <c r="I8" s="2">
        <v>0.75</v>
      </c>
    </row>
    <row r="9" spans="1:10" x14ac:dyDescent="0.25">
      <c r="A9" s="1" t="s">
        <v>27</v>
      </c>
      <c r="B9" t="s">
        <v>28</v>
      </c>
      <c r="C9" s="1" t="s">
        <v>7</v>
      </c>
      <c r="D9" s="1" t="s">
        <v>7</v>
      </c>
      <c r="E9" t="s">
        <v>8</v>
      </c>
      <c r="F9" s="2" t="s">
        <v>9</v>
      </c>
      <c r="G9" t="s">
        <v>10</v>
      </c>
      <c r="H9" s="2" t="s">
        <v>33</v>
      </c>
      <c r="I9" s="2">
        <v>9.1999999999999993</v>
      </c>
    </row>
    <row r="10" spans="1:10" x14ac:dyDescent="0.25">
      <c r="A10" s="1" t="s">
        <v>34</v>
      </c>
      <c r="B10" t="s">
        <v>35</v>
      </c>
      <c r="C10" s="1" t="s">
        <v>36</v>
      </c>
      <c r="D10" s="1" t="s">
        <v>36</v>
      </c>
      <c r="E10" t="s">
        <v>37</v>
      </c>
      <c r="F10" s="2" t="s">
        <v>38</v>
      </c>
      <c r="G10" t="s">
        <v>39</v>
      </c>
      <c r="H10" s="2" t="s">
        <v>40</v>
      </c>
      <c r="I10" s="2">
        <v>0.19</v>
      </c>
    </row>
    <row r="11" spans="1:10" x14ac:dyDescent="0.25">
      <c r="A11" s="1" t="s">
        <v>34</v>
      </c>
      <c r="B11" t="s">
        <v>35</v>
      </c>
      <c r="C11" s="1" t="s">
        <v>41</v>
      </c>
      <c r="D11" s="1" t="s">
        <v>41</v>
      </c>
      <c r="E11" t="s">
        <v>42</v>
      </c>
      <c r="F11" s="2" t="s">
        <v>43</v>
      </c>
      <c r="G11" t="s">
        <v>5</v>
      </c>
      <c r="H11" s="2" t="s">
        <v>44</v>
      </c>
      <c r="I11" s="2">
        <v>0.01</v>
      </c>
    </row>
    <row r="12" spans="1:10" x14ac:dyDescent="0.25">
      <c r="A12" s="1" t="s">
        <v>34</v>
      </c>
      <c r="B12" t="s">
        <v>35</v>
      </c>
      <c r="C12" s="1" t="s">
        <v>45</v>
      </c>
      <c r="D12" s="1" t="s">
        <v>46</v>
      </c>
      <c r="E12" t="s">
        <v>47</v>
      </c>
      <c r="F12" s="2" t="s">
        <v>48</v>
      </c>
      <c r="G12" t="s">
        <v>49</v>
      </c>
      <c r="H12" s="2" t="s">
        <v>50</v>
      </c>
      <c r="I12" s="2">
        <v>11.9</v>
      </c>
      <c r="J12" t="s">
        <v>51</v>
      </c>
    </row>
    <row r="13" spans="1:10" x14ac:dyDescent="0.25">
      <c r="A13" s="1" t="s">
        <v>34</v>
      </c>
      <c r="B13" t="s">
        <v>35</v>
      </c>
      <c r="C13" s="1" t="s">
        <v>52</v>
      </c>
      <c r="D13" s="1" t="s">
        <v>52</v>
      </c>
      <c r="E13" t="s">
        <v>53</v>
      </c>
      <c r="F13" s="2" t="s">
        <v>54</v>
      </c>
      <c r="G13" t="s">
        <v>49</v>
      </c>
      <c r="H13" s="2" t="s">
        <v>50</v>
      </c>
      <c r="I13" s="2">
        <v>3.8</v>
      </c>
      <c r="J13" t="s">
        <v>55</v>
      </c>
    </row>
    <row r="14" spans="1:10" x14ac:dyDescent="0.25">
      <c r="A14" s="1" t="s">
        <v>34</v>
      </c>
      <c r="B14" t="s">
        <v>35</v>
      </c>
      <c r="C14" s="1" t="s">
        <v>56</v>
      </c>
      <c r="D14" s="1" t="s">
        <v>56</v>
      </c>
      <c r="E14" t="s">
        <v>57</v>
      </c>
      <c r="F14" s="2" t="s">
        <v>58</v>
      </c>
      <c r="G14" t="s">
        <v>49</v>
      </c>
      <c r="H14" s="2" t="s">
        <v>50</v>
      </c>
      <c r="I14" s="2">
        <v>5.4</v>
      </c>
      <c r="J14" t="s">
        <v>55</v>
      </c>
    </row>
    <row r="15" spans="1:10" x14ac:dyDescent="0.25">
      <c r="A15" s="1" t="s">
        <v>34</v>
      </c>
      <c r="B15" t="s">
        <v>35</v>
      </c>
      <c r="C15" s="1" t="s">
        <v>59</v>
      </c>
      <c r="D15" s="1" t="s">
        <v>59</v>
      </c>
      <c r="E15" t="s">
        <v>60</v>
      </c>
      <c r="F15" s="2" t="s">
        <v>61</v>
      </c>
      <c r="G15" t="s">
        <v>49</v>
      </c>
      <c r="H15" s="2" t="s">
        <v>50</v>
      </c>
      <c r="I15" s="2">
        <v>3.85</v>
      </c>
      <c r="J15" t="s">
        <v>55</v>
      </c>
    </row>
    <row r="16" spans="1:10" x14ac:dyDescent="0.25">
      <c r="A16" s="1" t="s">
        <v>34</v>
      </c>
      <c r="B16" t="s">
        <v>35</v>
      </c>
      <c r="C16" s="1" t="s">
        <v>62</v>
      </c>
      <c r="D16" s="1" t="s">
        <v>62</v>
      </c>
      <c r="E16" t="s">
        <v>63</v>
      </c>
      <c r="F16" s="2" t="s">
        <v>64</v>
      </c>
      <c r="G16" t="s">
        <v>49</v>
      </c>
      <c r="H16" s="2" t="s">
        <v>50</v>
      </c>
      <c r="I16" s="2">
        <v>19.95</v>
      </c>
      <c r="J16" t="s">
        <v>55</v>
      </c>
    </row>
    <row r="17" spans="1:10" x14ac:dyDescent="0.25">
      <c r="A17" s="1" t="s">
        <v>34</v>
      </c>
      <c r="B17" t="s">
        <v>35</v>
      </c>
      <c r="C17" s="1" t="s">
        <v>65</v>
      </c>
      <c r="D17" s="1" t="s">
        <v>65</v>
      </c>
      <c r="E17" t="s">
        <v>66</v>
      </c>
      <c r="F17" s="2" t="s">
        <v>67</v>
      </c>
      <c r="G17" t="s">
        <v>49</v>
      </c>
      <c r="H17" s="2" t="s">
        <v>50</v>
      </c>
      <c r="I17" s="2">
        <v>2.5499999999999998</v>
      </c>
      <c r="J17" t="s">
        <v>55</v>
      </c>
    </row>
    <row r="18" spans="1:10" x14ac:dyDescent="0.25">
      <c r="A18" s="1" t="s">
        <v>34</v>
      </c>
      <c r="B18" t="s">
        <v>35</v>
      </c>
      <c r="C18" s="1" t="s">
        <v>68</v>
      </c>
      <c r="D18" s="1" t="s">
        <v>68</v>
      </c>
      <c r="E18" t="s">
        <v>69</v>
      </c>
      <c r="F18" s="2" t="s">
        <v>70</v>
      </c>
      <c r="G18" t="s">
        <v>49</v>
      </c>
      <c r="H18" s="2" t="s">
        <v>50</v>
      </c>
      <c r="I18" s="2">
        <v>5</v>
      </c>
      <c r="J18" t="s">
        <v>55</v>
      </c>
    </row>
    <row r="19" spans="1:10" x14ac:dyDescent="0.25">
      <c r="A19" s="1" t="s">
        <v>34</v>
      </c>
      <c r="B19" t="s">
        <v>35</v>
      </c>
      <c r="C19" s="1" t="s">
        <v>7</v>
      </c>
      <c r="D19" s="1" t="s">
        <v>7</v>
      </c>
      <c r="E19" t="s">
        <v>8</v>
      </c>
      <c r="F19" s="2" t="s">
        <v>9</v>
      </c>
      <c r="G19" t="s">
        <v>10</v>
      </c>
      <c r="H19" s="2" t="s">
        <v>71</v>
      </c>
      <c r="I19" s="2">
        <v>3.85</v>
      </c>
    </row>
    <row r="20" spans="1:10" x14ac:dyDescent="0.25">
      <c r="A20" s="1" t="s">
        <v>72</v>
      </c>
      <c r="B20" t="s">
        <v>73</v>
      </c>
      <c r="C20" s="1" t="s">
        <v>36</v>
      </c>
      <c r="D20" s="1" t="s">
        <v>36</v>
      </c>
      <c r="E20" t="s">
        <v>37</v>
      </c>
      <c r="F20" s="2" t="s">
        <v>38</v>
      </c>
      <c r="G20" t="s">
        <v>39</v>
      </c>
      <c r="H20" s="2" t="s">
        <v>40</v>
      </c>
      <c r="I20" s="2">
        <v>0.19</v>
      </c>
    </row>
    <row r="21" spans="1:10" x14ac:dyDescent="0.25">
      <c r="A21" s="1" t="s">
        <v>72</v>
      </c>
      <c r="B21" t="s">
        <v>73</v>
      </c>
      <c r="C21" s="1" t="s">
        <v>41</v>
      </c>
      <c r="D21" s="1" t="s">
        <v>41</v>
      </c>
      <c r="E21" t="s">
        <v>42</v>
      </c>
      <c r="F21" s="2" t="s">
        <v>43</v>
      </c>
      <c r="G21" t="s">
        <v>5</v>
      </c>
      <c r="H21" s="2" t="s">
        <v>74</v>
      </c>
      <c r="I21" s="2">
        <v>0.02</v>
      </c>
    </row>
    <row r="22" spans="1:10" x14ac:dyDescent="0.25">
      <c r="A22" s="1" t="s">
        <v>72</v>
      </c>
      <c r="B22" t="s">
        <v>73</v>
      </c>
      <c r="C22" s="1" t="s">
        <v>75</v>
      </c>
      <c r="D22" s="1" t="s">
        <v>75</v>
      </c>
      <c r="E22" t="s">
        <v>76</v>
      </c>
      <c r="F22" s="2" t="s">
        <v>77</v>
      </c>
      <c r="G22" t="s">
        <v>49</v>
      </c>
      <c r="H22" s="2" t="s">
        <v>50</v>
      </c>
      <c r="I22" s="2">
        <v>4.05</v>
      </c>
      <c r="J22" t="s">
        <v>55</v>
      </c>
    </row>
    <row r="23" spans="1:10" x14ac:dyDescent="0.25">
      <c r="A23" s="1" t="s">
        <v>72</v>
      </c>
      <c r="B23" t="s">
        <v>73</v>
      </c>
      <c r="C23" s="1" t="s">
        <v>45</v>
      </c>
      <c r="D23" s="1" t="s">
        <v>46</v>
      </c>
      <c r="E23" t="s">
        <v>47</v>
      </c>
      <c r="F23" s="2" t="s">
        <v>48</v>
      </c>
      <c r="G23" t="s">
        <v>49</v>
      </c>
      <c r="H23" s="2" t="s">
        <v>50</v>
      </c>
      <c r="I23" s="2">
        <v>11.9</v>
      </c>
      <c r="J23" t="s">
        <v>51</v>
      </c>
    </row>
    <row r="24" spans="1:10" x14ac:dyDescent="0.25">
      <c r="A24" s="1" t="s">
        <v>72</v>
      </c>
      <c r="B24" t="s">
        <v>73</v>
      </c>
      <c r="C24" s="1" t="s">
        <v>56</v>
      </c>
      <c r="D24" s="1" t="s">
        <v>56</v>
      </c>
      <c r="E24" t="s">
        <v>57</v>
      </c>
      <c r="F24" s="2" t="s">
        <v>58</v>
      </c>
      <c r="G24" t="s">
        <v>49</v>
      </c>
      <c r="H24" s="2" t="s">
        <v>50</v>
      </c>
      <c r="I24" s="2">
        <v>5.4</v>
      </c>
      <c r="J24" t="s">
        <v>55</v>
      </c>
    </row>
    <row r="25" spans="1:10" x14ac:dyDescent="0.25">
      <c r="A25" s="1" t="s">
        <v>72</v>
      </c>
      <c r="B25" t="s">
        <v>73</v>
      </c>
      <c r="C25" s="1" t="s">
        <v>59</v>
      </c>
      <c r="D25" s="1" t="s">
        <v>59</v>
      </c>
      <c r="E25" t="s">
        <v>60</v>
      </c>
      <c r="F25" s="2" t="s">
        <v>61</v>
      </c>
      <c r="G25" t="s">
        <v>49</v>
      </c>
      <c r="H25" s="2" t="s">
        <v>50</v>
      </c>
      <c r="I25" s="2">
        <v>3.85</v>
      </c>
      <c r="J25" t="s">
        <v>55</v>
      </c>
    </row>
    <row r="26" spans="1:10" x14ac:dyDescent="0.25">
      <c r="A26" s="1" t="s">
        <v>72</v>
      </c>
      <c r="B26" t="s">
        <v>73</v>
      </c>
      <c r="C26" s="1" t="s">
        <v>62</v>
      </c>
      <c r="D26" s="1" t="s">
        <v>62</v>
      </c>
      <c r="E26" t="s">
        <v>63</v>
      </c>
      <c r="F26" s="2" t="s">
        <v>64</v>
      </c>
      <c r="G26" t="s">
        <v>49</v>
      </c>
      <c r="H26" s="2" t="s">
        <v>50</v>
      </c>
      <c r="I26" s="2">
        <v>19.95</v>
      </c>
      <c r="J26" t="s">
        <v>55</v>
      </c>
    </row>
    <row r="27" spans="1:10" x14ac:dyDescent="0.25">
      <c r="A27" s="1" t="s">
        <v>72</v>
      </c>
      <c r="B27" t="s">
        <v>73</v>
      </c>
      <c r="C27" s="1" t="s">
        <v>65</v>
      </c>
      <c r="D27" s="1" t="s">
        <v>65</v>
      </c>
      <c r="E27" t="s">
        <v>66</v>
      </c>
      <c r="F27" s="2" t="s">
        <v>67</v>
      </c>
      <c r="G27" t="s">
        <v>49</v>
      </c>
      <c r="H27" s="2" t="s">
        <v>50</v>
      </c>
      <c r="I27" s="2">
        <v>2.5499999999999998</v>
      </c>
      <c r="J27" t="s">
        <v>55</v>
      </c>
    </row>
    <row r="28" spans="1:10" x14ac:dyDescent="0.25">
      <c r="A28" s="1" t="s">
        <v>72</v>
      </c>
      <c r="B28" t="s">
        <v>73</v>
      </c>
      <c r="C28" s="1" t="s">
        <v>68</v>
      </c>
      <c r="D28" s="1" t="s">
        <v>68</v>
      </c>
      <c r="E28" t="s">
        <v>69</v>
      </c>
      <c r="F28" s="2" t="s">
        <v>70</v>
      </c>
      <c r="G28" t="s">
        <v>49</v>
      </c>
      <c r="H28" s="2" t="s">
        <v>50</v>
      </c>
      <c r="I28" s="2">
        <v>5</v>
      </c>
      <c r="J28" t="s">
        <v>55</v>
      </c>
    </row>
    <row r="29" spans="1:10" x14ac:dyDescent="0.25">
      <c r="A29" s="1" t="s">
        <v>72</v>
      </c>
      <c r="B29" t="s">
        <v>73</v>
      </c>
      <c r="C29" s="1" t="s">
        <v>7</v>
      </c>
      <c r="D29" s="1" t="s">
        <v>7</v>
      </c>
      <c r="E29" t="s">
        <v>8</v>
      </c>
      <c r="F29" s="2" t="s">
        <v>9</v>
      </c>
      <c r="G29" t="s">
        <v>10</v>
      </c>
      <c r="H29" s="2" t="s">
        <v>78</v>
      </c>
      <c r="I29" s="2">
        <v>3.85</v>
      </c>
    </row>
    <row r="30" spans="1:10" x14ac:dyDescent="0.25">
      <c r="A30" s="1" t="s">
        <v>79</v>
      </c>
      <c r="B30" t="s">
        <v>80</v>
      </c>
      <c r="C30" s="1" t="s">
        <v>81</v>
      </c>
      <c r="D30" s="1" t="s">
        <v>81</v>
      </c>
      <c r="E30" t="s">
        <v>82</v>
      </c>
      <c r="F30" s="2" t="s">
        <v>83</v>
      </c>
      <c r="G30" t="s">
        <v>39</v>
      </c>
      <c r="H30" s="2" t="s">
        <v>40</v>
      </c>
      <c r="I30" s="2">
        <v>0.15</v>
      </c>
    </row>
    <row r="31" spans="1:10" x14ac:dyDescent="0.25">
      <c r="A31" s="1" t="s">
        <v>79</v>
      </c>
      <c r="B31" t="s">
        <v>80</v>
      </c>
      <c r="C31" s="1" t="s">
        <v>84</v>
      </c>
      <c r="D31" s="1" t="s">
        <v>85</v>
      </c>
      <c r="E31" t="s">
        <v>86</v>
      </c>
      <c r="F31" s="2" t="s">
        <v>87</v>
      </c>
      <c r="G31" t="s">
        <v>49</v>
      </c>
      <c r="H31" s="2" t="s">
        <v>50</v>
      </c>
      <c r="I31" s="2">
        <v>8.9</v>
      </c>
      <c r="J31" t="s">
        <v>51</v>
      </c>
    </row>
    <row r="32" spans="1:10" x14ac:dyDescent="0.25">
      <c r="A32" s="1" t="s">
        <v>79</v>
      </c>
      <c r="B32" t="s">
        <v>80</v>
      </c>
      <c r="C32" s="1" t="s">
        <v>88</v>
      </c>
      <c r="D32" s="1" t="s">
        <v>89</v>
      </c>
      <c r="E32" t="s">
        <v>90</v>
      </c>
      <c r="F32" s="2" t="s">
        <v>91</v>
      </c>
      <c r="G32" t="s">
        <v>49</v>
      </c>
      <c r="H32" s="2" t="s">
        <v>92</v>
      </c>
      <c r="I32" s="2">
        <v>10.4</v>
      </c>
      <c r="J32" t="s">
        <v>51</v>
      </c>
    </row>
    <row r="33" spans="1:10" x14ac:dyDescent="0.25">
      <c r="A33" s="1" t="s">
        <v>79</v>
      </c>
      <c r="B33" t="s">
        <v>80</v>
      </c>
      <c r="C33" s="1" t="s">
        <v>93</v>
      </c>
      <c r="D33" s="1" t="s">
        <v>94</v>
      </c>
      <c r="E33" t="s">
        <v>95</v>
      </c>
      <c r="F33" s="2" t="s">
        <v>96</v>
      </c>
      <c r="G33" t="s">
        <v>49</v>
      </c>
      <c r="H33" s="2" t="s">
        <v>92</v>
      </c>
      <c r="I33" s="2">
        <v>8.9</v>
      </c>
      <c r="J33" t="s">
        <v>51</v>
      </c>
    </row>
    <row r="34" spans="1:10" x14ac:dyDescent="0.25">
      <c r="A34" s="1" t="s">
        <v>79</v>
      </c>
      <c r="B34" t="s">
        <v>80</v>
      </c>
      <c r="C34" s="1" t="s">
        <v>97</v>
      </c>
      <c r="D34" s="1" t="s">
        <v>98</v>
      </c>
      <c r="E34" t="s">
        <v>99</v>
      </c>
      <c r="F34" s="2" t="s">
        <v>100</v>
      </c>
      <c r="G34" t="s">
        <v>49</v>
      </c>
      <c r="H34" s="2" t="s">
        <v>50</v>
      </c>
      <c r="I34" s="2">
        <v>3.65</v>
      </c>
      <c r="J34" t="s">
        <v>51</v>
      </c>
    </row>
    <row r="35" spans="1:10" x14ac:dyDescent="0.25">
      <c r="A35" s="1" t="s">
        <v>79</v>
      </c>
      <c r="B35" t="s">
        <v>80</v>
      </c>
      <c r="C35" s="1" t="s">
        <v>101</v>
      </c>
      <c r="D35" s="1" t="s">
        <v>102</v>
      </c>
      <c r="E35" t="s">
        <v>103</v>
      </c>
      <c r="F35" s="2" t="s">
        <v>104</v>
      </c>
      <c r="G35" t="s">
        <v>49</v>
      </c>
      <c r="H35" s="2" t="s">
        <v>50</v>
      </c>
      <c r="I35" s="2">
        <v>3.5</v>
      </c>
      <c r="J35" t="s">
        <v>51</v>
      </c>
    </row>
    <row r="36" spans="1:10" x14ac:dyDescent="0.25">
      <c r="A36" s="1" t="s">
        <v>79</v>
      </c>
      <c r="B36" t="s">
        <v>80</v>
      </c>
      <c r="C36" s="1" t="s">
        <v>105</v>
      </c>
      <c r="D36" s="1" t="s">
        <v>106</v>
      </c>
      <c r="E36" t="s">
        <v>107</v>
      </c>
      <c r="F36" s="2" t="s">
        <v>108</v>
      </c>
      <c r="G36" t="s">
        <v>49</v>
      </c>
      <c r="H36" s="2" t="s">
        <v>50</v>
      </c>
      <c r="I36" s="2">
        <v>4.2</v>
      </c>
      <c r="J36" t="s">
        <v>51</v>
      </c>
    </row>
    <row r="37" spans="1:10" x14ac:dyDescent="0.25">
      <c r="A37" s="1" t="s">
        <v>79</v>
      </c>
      <c r="B37" t="s">
        <v>80</v>
      </c>
      <c r="C37" s="1" t="s">
        <v>109</v>
      </c>
      <c r="D37" s="1" t="s">
        <v>109</v>
      </c>
      <c r="E37" t="s">
        <v>110</v>
      </c>
      <c r="F37" s="2" t="s">
        <v>111</v>
      </c>
      <c r="G37" t="s">
        <v>49</v>
      </c>
      <c r="H37" s="2" t="s">
        <v>50</v>
      </c>
      <c r="I37" s="2">
        <v>17.8</v>
      </c>
      <c r="J37" t="s">
        <v>55</v>
      </c>
    </row>
    <row r="38" spans="1:10" x14ac:dyDescent="0.25">
      <c r="A38" s="1" t="s">
        <v>79</v>
      </c>
      <c r="B38" t="s">
        <v>80</v>
      </c>
      <c r="C38" s="1" t="s">
        <v>7</v>
      </c>
      <c r="D38" s="1" t="s">
        <v>7</v>
      </c>
      <c r="E38" t="s">
        <v>8</v>
      </c>
      <c r="F38" s="2" t="s">
        <v>9</v>
      </c>
      <c r="G38" t="s">
        <v>10</v>
      </c>
      <c r="H38" s="2" t="s">
        <v>112</v>
      </c>
      <c r="I38" s="2">
        <v>3.9</v>
      </c>
    </row>
    <row r="39" spans="1:10" x14ac:dyDescent="0.25">
      <c r="A39" s="1" t="s">
        <v>113</v>
      </c>
      <c r="B39" t="s">
        <v>114</v>
      </c>
      <c r="C39" s="1" t="s">
        <v>115</v>
      </c>
      <c r="D39" s="1" t="s">
        <v>115</v>
      </c>
      <c r="E39" t="s">
        <v>116</v>
      </c>
      <c r="F39" s="2" t="s">
        <v>117</v>
      </c>
      <c r="G39" t="s">
        <v>39</v>
      </c>
      <c r="H39" s="2" t="s">
        <v>40</v>
      </c>
      <c r="I39" s="2">
        <v>0.2</v>
      </c>
    </row>
    <row r="40" spans="1:10" x14ac:dyDescent="0.25">
      <c r="A40" s="1" t="s">
        <v>113</v>
      </c>
      <c r="B40" t="s">
        <v>114</v>
      </c>
      <c r="C40" s="1" t="s">
        <v>118</v>
      </c>
      <c r="D40" s="1" t="s">
        <v>118</v>
      </c>
      <c r="E40" t="s">
        <v>119</v>
      </c>
      <c r="F40" s="2" t="s">
        <v>120</v>
      </c>
      <c r="G40" t="s">
        <v>121</v>
      </c>
      <c r="H40" s="2" t="s">
        <v>122</v>
      </c>
      <c r="I40" s="2">
        <v>63.8</v>
      </c>
      <c r="J40" t="s">
        <v>55</v>
      </c>
    </row>
    <row r="41" spans="1:10" x14ac:dyDescent="0.25">
      <c r="A41" s="1" t="s">
        <v>113</v>
      </c>
      <c r="B41" t="s">
        <v>114</v>
      </c>
      <c r="C41" s="1" t="s">
        <v>123</v>
      </c>
      <c r="D41" s="1" t="s">
        <v>123</v>
      </c>
      <c r="E41" t="s">
        <v>124</v>
      </c>
      <c r="F41" s="2" t="s">
        <v>125</v>
      </c>
      <c r="G41" t="s">
        <v>121</v>
      </c>
      <c r="H41" s="2" t="s">
        <v>122</v>
      </c>
      <c r="I41" s="2">
        <v>55.4</v>
      </c>
      <c r="J41" t="s">
        <v>55</v>
      </c>
    </row>
    <row r="42" spans="1:10" x14ac:dyDescent="0.25">
      <c r="A42" s="1" t="s">
        <v>113</v>
      </c>
      <c r="B42" t="s">
        <v>114</v>
      </c>
      <c r="C42" s="1" t="s">
        <v>126</v>
      </c>
      <c r="D42" s="1" t="s">
        <v>126</v>
      </c>
      <c r="E42" t="s">
        <v>127</v>
      </c>
      <c r="F42" s="2" t="s">
        <v>128</v>
      </c>
      <c r="G42" t="s">
        <v>121</v>
      </c>
      <c r="H42" s="2" t="s">
        <v>92</v>
      </c>
      <c r="I42" s="2">
        <v>31.3</v>
      </c>
      <c r="J42" t="s">
        <v>55</v>
      </c>
    </row>
    <row r="43" spans="1:10" x14ac:dyDescent="0.25">
      <c r="A43" s="1" t="s">
        <v>113</v>
      </c>
      <c r="B43" t="s">
        <v>114</v>
      </c>
      <c r="C43" s="1" t="s">
        <v>129</v>
      </c>
      <c r="D43" s="1" t="s">
        <v>129</v>
      </c>
      <c r="E43" t="s">
        <v>130</v>
      </c>
      <c r="F43" s="2" t="s">
        <v>131</v>
      </c>
      <c r="G43" t="s">
        <v>121</v>
      </c>
      <c r="H43" s="2" t="s">
        <v>92</v>
      </c>
      <c r="I43" s="2">
        <v>28.4</v>
      </c>
      <c r="J43" t="s">
        <v>55</v>
      </c>
    </row>
    <row r="44" spans="1:10" x14ac:dyDescent="0.25">
      <c r="A44" s="1" t="s">
        <v>113</v>
      </c>
      <c r="B44" t="s">
        <v>114</v>
      </c>
      <c r="C44" s="1" t="s">
        <v>7</v>
      </c>
      <c r="D44" s="1" t="s">
        <v>7</v>
      </c>
      <c r="E44" t="s">
        <v>8</v>
      </c>
      <c r="F44" s="2" t="s">
        <v>9</v>
      </c>
      <c r="G44" t="s">
        <v>10</v>
      </c>
      <c r="H44" s="2" t="s">
        <v>132</v>
      </c>
      <c r="I44" s="2">
        <v>10.9</v>
      </c>
    </row>
    <row r="45" spans="1:10" x14ac:dyDescent="0.25">
      <c r="A45" s="1" t="s">
        <v>133</v>
      </c>
      <c r="B45" t="s">
        <v>134</v>
      </c>
      <c r="C45" s="1" t="s">
        <v>115</v>
      </c>
      <c r="D45" s="1" t="s">
        <v>115</v>
      </c>
      <c r="E45" t="s">
        <v>116</v>
      </c>
      <c r="F45" s="2" t="s">
        <v>117</v>
      </c>
      <c r="G45" t="s">
        <v>39</v>
      </c>
      <c r="H45" s="2" t="s">
        <v>40</v>
      </c>
      <c r="I45" s="2">
        <v>0.2</v>
      </c>
    </row>
    <row r="46" spans="1:10" x14ac:dyDescent="0.25">
      <c r="A46" s="1" t="s">
        <v>133</v>
      </c>
      <c r="B46" t="s">
        <v>134</v>
      </c>
      <c r="C46" s="1" t="s">
        <v>135</v>
      </c>
      <c r="D46" s="1" t="s">
        <v>135</v>
      </c>
      <c r="E46" t="s">
        <v>136</v>
      </c>
      <c r="F46" s="2" t="s">
        <v>137</v>
      </c>
      <c r="G46" t="s">
        <v>49</v>
      </c>
      <c r="H46" s="2" t="s">
        <v>122</v>
      </c>
      <c r="I46" s="2">
        <v>46.4</v>
      </c>
      <c r="J46" t="s">
        <v>55</v>
      </c>
    </row>
    <row r="47" spans="1:10" x14ac:dyDescent="0.25">
      <c r="A47" s="1" t="s">
        <v>133</v>
      </c>
      <c r="B47" t="s">
        <v>134</v>
      </c>
      <c r="C47" s="1" t="s">
        <v>138</v>
      </c>
      <c r="D47" s="1" t="s">
        <v>138</v>
      </c>
      <c r="E47" t="s">
        <v>139</v>
      </c>
      <c r="F47" s="2" t="s">
        <v>140</v>
      </c>
      <c r="G47" t="s">
        <v>49</v>
      </c>
      <c r="H47" s="2" t="s">
        <v>92</v>
      </c>
      <c r="I47" s="2">
        <v>21.5</v>
      </c>
      <c r="J47" t="s">
        <v>55</v>
      </c>
    </row>
    <row r="48" spans="1:10" x14ac:dyDescent="0.25">
      <c r="A48" s="1" t="s">
        <v>133</v>
      </c>
      <c r="B48" t="s">
        <v>134</v>
      </c>
      <c r="C48" s="1" t="s">
        <v>141</v>
      </c>
      <c r="D48" s="1" t="s">
        <v>141</v>
      </c>
      <c r="E48" t="s">
        <v>142</v>
      </c>
      <c r="F48" s="2" t="s">
        <v>48</v>
      </c>
      <c r="G48" t="s">
        <v>49</v>
      </c>
      <c r="H48" s="2" t="s">
        <v>92</v>
      </c>
      <c r="I48" s="2">
        <v>23.8</v>
      </c>
      <c r="J48" t="s">
        <v>55</v>
      </c>
    </row>
    <row r="49" spans="1:10" x14ac:dyDescent="0.25">
      <c r="A49" s="1" t="s">
        <v>133</v>
      </c>
      <c r="B49" t="s">
        <v>134</v>
      </c>
      <c r="C49" s="1" t="s">
        <v>143</v>
      </c>
      <c r="D49" s="1" t="s">
        <v>143</v>
      </c>
      <c r="E49" t="s">
        <v>144</v>
      </c>
      <c r="F49" s="2" t="s">
        <v>145</v>
      </c>
      <c r="G49" t="s">
        <v>49</v>
      </c>
      <c r="H49" s="2" t="s">
        <v>50</v>
      </c>
      <c r="I49" s="2">
        <v>11.2</v>
      </c>
      <c r="J49" t="s">
        <v>55</v>
      </c>
    </row>
    <row r="50" spans="1:10" x14ac:dyDescent="0.25">
      <c r="A50" s="1" t="s">
        <v>133</v>
      </c>
      <c r="B50" t="s">
        <v>134</v>
      </c>
      <c r="C50" s="1" t="s">
        <v>146</v>
      </c>
      <c r="D50" s="1" t="s">
        <v>146</v>
      </c>
      <c r="E50" t="s">
        <v>147</v>
      </c>
      <c r="F50" s="2" t="s">
        <v>148</v>
      </c>
      <c r="G50" t="s">
        <v>49</v>
      </c>
      <c r="H50" s="2" t="s">
        <v>92</v>
      </c>
      <c r="I50" s="2">
        <v>56.9</v>
      </c>
      <c r="J50" t="s">
        <v>55</v>
      </c>
    </row>
    <row r="51" spans="1:10" x14ac:dyDescent="0.25">
      <c r="A51" s="1" t="s">
        <v>133</v>
      </c>
      <c r="B51" t="s">
        <v>134</v>
      </c>
      <c r="C51" s="1" t="s">
        <v>149</v>
      </c>
      <c r="D51" s="1" t="s">
        <v>149</v>
      </c>
      <c r="E51" t="s">
        <v>150</v>
      </c>
      <c r="F51" s="2" t="s">
        <v>151</v>
      </c>
      <c r="G51" t="s">
        <v>49</v>
      </c>
      <c r="H51" s="2" t="s">
        <v>92</v>
      </c>
      <c r="I51" s="2">
        <v>4</v>
      </c>
      <c r="J51" t="s">
        <v>55</v>
      </c>
    </row>
    <row r="52" spans="1:10" x14ac:dyDescent="0.25">
      <c r="A52" s="1" t="s">
        <v>133</v>
      </c>
      <c r="B52" t="s">
        <v>134</v>
      </c>
      <c r="C52" s="1" t="s">
        <v>7</v>
      </c>
      <c r="D52" s="1" t="s">
        <v>7</v>
      </c>
      <c r="E52" t="s">
        <v>8</v>
      </c>
      <c r="F52" s="2" t="s">
        <v>9</v>
      </c>
      <c r="G52" t="s">
        <v>10</v>
      </c>
      <c r="H52" s="2" t="s">
        <v>152</v>
      </c>
      <c r="I52" s="2">
        <v>5.7</v>
      </c>
    </row>
    <row r="53" spans="1:10" x14ac:dyDescent="0.25">
      <c r="A53" s="1" t="s">
        <v>153</v>
      </c>
      <c r="B53" t="s">
        <v>154</v>
      </c>
      <c r="C53" s="1" t="s">
        <v>81</v>
      </c>
      <c r="D53" s="1" t="s">
        <v>81</v>
      </c>
      <c r="E53" t="s">
        <v>82</v>
      </c>
      <c r="F53" s="2" t="s">
        <v>83</v>
      </c>
      <c r="G53" t="s">
        <v>39</v>
      </c>
      <c r="H53" s="2" t="s">
        <v>40</v>
      </c>
      <c r="I53" s="2">
        <v>0.15</v>
      </c>
    </row>
    <row r="54" spans="1:10" x14ac:dyDescent="0.25">
      <c r="A54" s="1" t="s">
        <v>153</v>
      </c>
      <c r="B54" t="s">
        <v>154</v>
      </c>
      <c r="C54" s="1" t="s">
        <v>155</v>
      </c>
      <c r="D54" s="1" t="s">
        <v>155</v>
      </c>
      <c r="E54" t="s">
        <v>156</v>
      </c>
      <c r="F54" s="2" t="s">
        <v>157</v>
      </c>
      <c r="G54" t="s">
        <v>121</v>
      </c>
      <c r="H54" s="2" t="s">
        <v>50</v>
      </c>
      <c r="I54" s="2">
        <v>2.4500000000000002</v>
      </c>
    </row>
    <row r="55" spans="1:10" x14ac:dyDescent="0.25">
      <c r="A55" s="1" t="s">
        <v>153</v>
      </c>
      <c r="B55" t="s">
        <v>154</v>
      </c>
      <c r="C55" s="1" t="s">
        <v>158</v>
      </c>
      <c r="D55" s="1" t="s">
        <v>158</v>
      </c>
      <c r="E55" t="s">
        <v>159</v>
      </c>
      <c r="F55" s="2" t="s">
        <v>160</v>
      </c>
      <c r="G55" t="s">
        <v>49</v>
      </c>
      <c r="H55" s="2" t="s">
        <v>50</v>
      </c>
      <c r="I55" s="2">
        <v>4.1500000000000004</v>
      </c>
      <c r="J55" t="s">
        <v>55</v>
      </c>
    </row>
    <row r="56" spans="1:10" x14ac:dyDescent="0.25">
      <c r="A56" s="1" t="s">
        <v>153</v>
      </c>
      <c r="B56" t="s">
        <v>154</v>
      </c>
      <c r="C56" s="1" t="s">
        <v>161</v>
      </c>
      <c r="D56" s="1" t="s">
        <v>161</v>
      </c>
      <c r="E56" t="s">
        <v>162</v>
      </c>
      <c r="F56" s="2" t="s">
        <v>160</v>
      </c>
      <c r="G56" t="s">
        <v>49</v>
      </c>
      <c r="H56" s="2" t="s">
        <v>50</v>
      </c>
      <c r="I56" s="2">
        <v>4.1500000000000004</v>
      </c>
      <c r="J56" t="s">
        <v>55</v>
      </c>
    </row>
    <row r="57" spans="1:10" x14ac:dyDescent="0.25">
      <c r="A57" s="1" t="s">
        <v>153</v>
      </c>
      <c r="B57" t="s">
        <v>154</v>
      </c>
      <c r="C57" s="1" t="s">
        <v>163</v>
      </c>
      <c r="D57" s="1" t="s">
        <v>163</v>
      </c>
      <c r="E57" t="s">
        <v>164</v>
      </c>
      <c r="F57" s="2" t="s">
        <v>165</v>
      </c>
      <c r="G57" t="s">
        <v>49</v>
      </c>
      <c r="H57" s="2" t="s">
        <v>50</v>
      </c>
      <c r="I57" s="2">
        <v>13.7</v>
      </c>
      <c r="J57" t="s">
        <v>55</v>
      </c>
    </row>
    <row r="58" spans="1:10" x14ac:dyDescent="0.25">
      <c r="A58" s="1" t="s">
        <v>153</v>
      </c>
      <c r="B58" t="s">
        <v>154</v>
      </c>
      <c r="C58" s="1" t="s">
        <v>166</v>
      </c>
      <c r="D58" s="1" t="s">
        <v>166</v>
      </c>
      <c r="E58" t="s">
        <v>167</v>
      </c>
      <c r="F58" s="2" t="s">
        <v>168</v>
      </c>
      <c r="G58" t="s">
        <v>49</v>
      </c>
      <c r="H58" s="2" t="s">
        <v>50</v>
      </c>
      <c r="I58" s="2">
        <v>8.35</v>
      </c>
      <c r="J58" t="s">
        <v>55</v>
      </c>
    </row>
    <row r="59" spans="1:10" x14ac:dyDescent="0.25">
      <c r="A59" s="1" t="s">
        <v>153</v>
      </c>
      <c r="B59" t="s">
        <v>154</v>
      </c>
      <c r="C59" s="1" t="s">
        <v>169</v>
      </c>
      <c r="D59" s="1" t="s">
        <v>169</v>
      </c>
      <c r="E59" t="s">
        <v>170</v>
      </c>
      <c r="F59" s="2" t="s">
        <v>171</v>
      </c>
      <c r="G59" t="s">
        <v>49</v>
      </c>
      <c r="H59" s="2" t="s">
        <v>50</v>
      </c>
      <c r="I59" s="2">
        <v>16.95</v>
      </c>
      <c r="J59" t="s">
        <v>55</v>
      </c>
    </row>
    <row r="60" spans="1:10" x14ac:dyDescent="0.25">
      <c r="A60" s="1" t="s">
        <v>153</v>
      </c>
      <c r="B60" t="s">
        <v>154</v>
      </c>
      <c r="C60" s="1" t="s">
        <v>172</v>
      </c>
      <c r="D60" s="1" t="s">
        <v>172</v>
      </c>
      <c r="E60" t="s">
        <v>173</v>
      </c>
      <c r="F60" s="2" t="s">
        <v>87</v>
      </c>
      <c r="G60" t="s">
        <v>49</v>
      </c>
      <c r="H60" s="2" t="s">
        <v>50</v>
      </c>
      <c r="I60" s="2">
        <v>8.9</v>
      </c>
      <c r="J60" t="s">
        <v>55</v>
      </c>
    </row>
    <row r="61" spans="1:10" x14ac:dyDescent="0.25">
      <c r="A61" s="1" t="s">
        <v>153</v>
      </c>
      <c r="B61" t="s">
        <v>154</v>
      </c>
      <c r="C61" s="1" t="s">
        <v>174</v>
      </c>
      <c r="D61" s="1" t="s">
        <v>174</v>
      </c>
      <c r="E61" t="s">
        <v>175</v>
      </c>
      <c r="F61" s="2" t="s">
        <v>176</v>
      </c>
      <c r="G61" t="s">
        <v>49</v>
      </c>
      <c r="H61" s="2" t="s">
        <v>50</v>
      </c>
      <c r="I61" s="2">
        <v>3.6</v>
      </c>
      <c r="J61" t="s">
        <v>55</v>
      </c>
    </row>
    <row r="62" spans="1:10" x14ac:dyDescent="0.25">
      <c r="A62" s="1" t="s">
        <v>153</v>
      </c>
      <c r="B62" t="s">
        <v>154</v>
      </c>
      <c r="C62" s="1" t="s">
        <v>177</v>
      </c>
      <c r="D62" s="1" t="s">
        <v>177</v>
      </c>
      <c r="E62" t="s">
        <v>178</v>
      </c>
      <c r="F62" s="2" t="s">
        <v>179</v>
      </c>
      <c r="G62" t="s">
        <v>49</v>
      </c>
      <c r="H62" s="2" t="s">
        <v>92</v>
      </c>
      <c r="I62" s="2">
        <v>5.3</v>
      </c>
      <c r="J62" t="s">
        <v>55</v>
      </c>
    </row>
    <row r="63" spans="1:10" x14ac:dyDescent="0.25">
      <c r="A63" s="1" t="s">
        <v>153</v>
      </c>
      <c r="B63" t="s">
        <v>154</v>
      </c>
      <c r="C63" s="1" t="s">
        <v>180</v>
      </c>
      <c r="D63" s="1" t="s">
        <v>180</v>
      </c>
      <c r="E63" t="s">
        <v>181</v>
      </c>
      <c r="F63" s="2" t="s">
        <v>182</v>
      </c>
      <c r="G63" t="s">
        <v>49</v>
      </c>
      <c r="H63" s="2" t="s">
        <v>50</v>
      </c>
      <c r="I63" s="2">
        <v>13.8</v>
      </c>
      <c r="J63" t="s">
        <v>55</v>
      </c>
    </row>
    <row r="64" spans="1:10" x14ac:dyDescent="0.25">
      <c r="A64" s="1" t="s">
        <v>153</v>
      </c>
      <c r="B64" t="s">
        <v>154</v>
      </c>
      <c r="C64" s="1" t="s">
        <v>183</v>
      </c>
      <c r="D64" s="1" t="s">
        <v>183</v>
      </c>
      <c r="E64" t="s">
        <v>184</v>
      </c>
      <c r="F64" s="2" t="s">
        <v>185</v>
      </c>
      <c r="G64" t="s">
        <v>49</v>
      </c>
      <c r="H64" s="2" t="s">
        <v>50</v>
      </c>
      <c r="I64" s="2">
        <v>3.9</v>
      </c>
      <c r="J64" t="s">
        <v>55</v>
      </c>
    </row>
    <row r="65" spans="1:10" x14ac:dyDescent="0.25">
      <c r="A65" s="1" t="s">
        <v>153</v>
      </c>
      <c r="B65" t="s">
        <v>154</v>
      </c>
      <c r="C65" s="1" t="s">
        <v>186</v>
      </c>
      <c r="D65" s="1" t="s">
        <v>186</v>
      </c>
      <c r="E65" t="s">
        <v>187</v>
      </c>
      <c r="F65" s="2" t="s">
        <v>188</v>
      </c>
      <c r="G65" t="s">
        <v>49</v>
      </c>
      <c r="H65" s="2" t="s">
        <v>92</v>
      </c>
      <c r="I65" s="2">
        <v>16.8</v>
      </c>
      <c r="J65" t="s">
        <v>55</v>
      </c>
    </row>
    <row r="66" spans="1:10" x14ac:dyDescent="0.25">
      <c r="A66" s="1" t="s">
        <v>153</v>
      </c>
      <c r="B66" t="s">
        <v>154</v>
      </c>
      <c r="C66" s="1" t="s">
        <v>189</v>
      </c>
      <c r="D66" s="1" t="s">
        <v>189</v>
      </c>
      <c r="E66" t="s">
        <v>190</v>
      </c>
      <c r="F66" s="2" t="s">
        <v>191</v>
      </c>
      <c r="G66" t="s">
        <v>49</v>
      </c>
      <c r="H66" s="2" t="s">
        <v>50</v>
      </c>
      <c r="I66" s="2">
        <v>12.8</v>
      </c>
      <c r="J66" t="s">
        <v>55</v>
      </c>
    </row>
    <row r="67" spans="1:10" x14ac:dyDescent="0.25">
      <c r="A67" s="1" t="s">
        <v>153</v>
      </c>
      <c r="B67" t="s">
        <v>154</v>
      </c>
      <c r="C67" s="1" t="s">
        <v>192</v>
      </c>
      <c r="D67" s="1" t="s">
        <v>192</v>
      </c>
      <c r="E67" t="s">
        <v>193</v>
      </c>
      <c r="F67" s="2" t="s">
        <v>194</v>
      </c>
      <c r="G67" t="s">
        <v>49</v>
      </c>
      <c r="H67" s="2" t="s">
        <v>50</v>
      </c>
      <c r="I67" s="2">
        <v>20.85</v>
      </c>
      <c r="J67" t="s">
        <v>55</v>
      </c>
    </row>
    <row r="68" spans="1:10" x14ac:dyDescent="0.25">
      <c r="A68" s="1" t="s">
        <v>153</v>
      </c>
      <c r="B68" t="s">
        <v>154</v>
      </c>
      <c r="C68" s="1" t="s">
        <v>195</v>
      </c>
      <c r="D68" s="1" t="s">
        <v>195</v>
      </c>
      <c r="E68" t="s">
        <v>196</v>
      </c>
      <c r="F68" s="2" t="s">
        <v>197</v>
      </c>
      <c r="G68" t="s">
        <v>49</v>
      </c>
      <c r="H68" s="2" t="s">
        <v>50</v>
      </c>
      <c r="I68" s="2">
        <v>11.95</v>
      </c>
      <c r="J68" t="s">
        <v>55</v>
      </c>
    </row>
    <row r="69" spans="1:10" x14ac:dyDescent="0.25">
      <c r="A69" s="1" t="s">
        <v>153</v>
      </c>
      <c r="B69" t="s">
        <v>154</v>
      </c>
      <c r="C69" s="1" t="s">
        <v>198</v>
      </c>
      <c r="D69" s="1" t="s">
        <v>198</v>
      </c>
      <c r="E69" t="s">
        <v>199</v>
      </c>
      <c r="F69" s="2" t="s">
        <v>179</v>
      </c>
      <c r="G69" t="s">
        <v>49</v>
      </c>
      <c r="H69" s="2" t="s">
        <v>50</v>
      </c>
      <c r="I69" s="2">
        <v>2.65</v>
      </c>
      <c r="J69" t="s">
        <v>55</v>
      </c>
    </row>
    <row r="70" spans="1:10" x14ac:dyDescent="0.25">
      <c r="A70" s="1" t="s">
        <v>153</v>
      </c>
      <c r="B70" t="s">
        <v>154</v>
      </c>
      <c r="C70" s="1" t="s">
        <v>200</v>
      </c>
      <c r="D70" s="1" t="s">
        <v>200</v>
      </c>
      <c r="E70" t="s">
        <v>201</v>
      </c>
      <c r="F70" s="2" t="s">
        <v>202</v>
      </c>
      <c r="G70" t="s">
        <v>49</v>
      </c>
      <c r="H70" s="2" t="s">
        <v>50</v>
      </c>
      <c r="I70" s="2">
        <v>12.1</v>
      </c>
      <c r="J70" t="s">
        <v>55</v>
      </c>
    </row>
    <row r="71" spans="1:10" x14ac:dyDescent="0.25">
      <c r="A71" s="1" t="s">
        <v>153</v>
      </c>
      <c r="B71" t="s">
        <v>154</v>
      </c>
      <c r="C71" s="1" t="s">
        <v>203</v>
      </c>
      <c r="D71" s="1" t="s">
        <v>203</v>
      </c>
      <c r="E71" t="s">
        <v>204</v>
      </c>
      <c r="F71" s="2" t="s">
        <v>205</v>
      </c>
      <c r="G71" t="s">
        <v>49</v>
      </c>
      <c r="H71" s="2" t="s">
        <v>50</v>
      </c>
      <c r="I71" s="2">
        <v>6.35</v>
      </c>
      <c r="J71" t="s">
        <v>55</v>
      </c>
    </row>
    <row r="72" spans="1:10" x14ac:dyDescent="0.25">
      <c r="A72" s="1" t="s">
        <v>153</v>
      </c>
      <c r="B72" t="s">
        <v>154</v>
      </c>
      <c r="C72" s="1" t="s">
        <v>206</v>
      </c>
      <c r="D72" s="1" t="s">
        <v>206</v>
      </c>
      <c r="E72" t="s">
        <v>207</v>
      </c>
      <c r="F72" s="2" t="s">
        <v>208</v>
      </c>
      <c r="G72" t="s">
        <v>49</v>
      </c>
      <c r="H72" s="2" t="s">
        <v>50</v>
      </c>
      <c r="I72" s="2">
        <v>12.2</v>
      </c>
      <c r="J72" t="s">
        <v>55</v>
      </c>
    </row>
    <row r="73" spans="1:10" x14ac:dyDescent="0.25">
      <c r="A73" s="1" t="s">
        <v>153</v>
      </c>
      <c r="B73" t="s">
        <v>154</v>
      </c>
      <c r="C73" s="1" t="s">
        <v>209</v>
      </c>
      <c r="D73" s="1" t="s">
        <v>209</v>
      </c>
      <c r="E73" t="s">
        <v>210</v>
      </c>
      <c r="F73" s="2" t="s">
        <v>31</v>
      </c>
      <c r="G73" t="s">
        <v>49</v>
      </c>
      <c r="H73" s="2" t="s">
        <v>50</v>
      </c>
      <c r="I73" s="2">
        <v>10.6</v>
      </c>
      <c r="J73" t="s">
        <v>55</v>
      </c>
    </row>
    <row r="74" spans="1:10" x14ac:dyDescent="0.25">
      <c r="A74" s="1" t="s">
        <v>153</v>
      </c>
      <c r="B74" t="s">
        <v>154</v>
      </c>
      <c r="C74" s="1" t="s">
        <v>211</v>
      </c>
      <c r="D74" s="1" t="s">
        <v>211</v>
      </c>
      <c r="E74" t="s">
        <v>212</v>
      </c>
      <c r="F74" s="2" t="s">
        <v>213</v>
      </c>
      <c r="G74" t="s">
        <v>49</v>
      </c>
      <c r="H74" s="2" t="s">
        <v>50</v>
      </c>
      <c r="I74" s="2">
        <v>36.25</v>
      </c>
      <c r="J74" t="s">
        <v>55</v>
      </c>
    </row>
    <row r="75" spans="1:10" x14ac:dyDescent="0.25">
      <c r="A75" s="1" t="s">
        <v>153</v>
      </c>
      <c r="B75" t="s">
        <v>154</v>
      </c>
      <c r="C75" s="1" t="s">
        <v>214</v>
      </c>
      <c r="D75" s="1" t="s">
        <v>214</v>
      </c>
      <c r="E75" t="s">
        <v>215</v>
      </c>
      <c r="F75" s="2" t="s">
        <v>216</v>
      </c>
      <c r="G75" t="s">
        <v>49</v>
      </c>
      <c r="H75" s="2" t="s">
        <v>50</v>
      </c>
      <c r="I75" s="2">
        <v>7</v>
      </c>
      <c r="J75" t="s">
        <v>55</v>
      </c>
    </row>
    <row r="76" spans="1:10" x14ac:dyDescent="0.25">
      <c r="A76" s="1" t="s">
        <v>153</v>
      </c>
      <c r="B76" t="s">
        <v>154</v>
      </c>
      <c r="C76" s="1" t="s">
        <v>217</v>
      </c>
      <c r="D76" s="1" t="s">
        <v>217</v>
      </c>
      <c r="E76" t="s">
        <v>218</v>
      </c>
      <c r="F76" s="2" t="s">
        <v>219</v>
      </c>
      <c r="G76" t="s">
        <v>49</v>
      </c>
      <c r="H76" s="2" t="s">
        <v>50</v>
      </c>
      <c r="I76" s="2">
        <v>9.65</v>
      </c>
      <c r="J76" t="s">
        <v>55</v>
      </c>
    </row>
    <row r="77" spans="1:10" x14ac:dyDescent="0.25">
      <c r="A77" s="1" t="s">
        <v>153</v>
      </c>
      <c r="B77" t="s">
        <v>154</v>
      </c>
      <c r="C77" s="1" t="s">
        <v>220</v>
      </c>
      <c r="D77" s="1" t="s">
        <v>221</v>
      </c>
      <c r="E77" t="s">
        <v>222</v>
      </c>
      <c r="F77" s="2" t="s">
        <v>223</v>
      </c>
      <c r="G77" t="s">
        <v>49</v>
      </c>
      <c r="H77" s="2" t="s">
        <v>50</v>
      </c>
      <c r="I77" s="2">
        <v>2.9</v>
      </c>
      <c r="J77" t="s">
        <v>51</v>
      </c>
    </row>
    <row r="78" spans="1:10" x14ac:dyDescent="0.25">
      <c r="A78" s="1" t="s">
        <v>153</v>
      </c>
      <c r="B78" t="s">
        <v>154</v>
      </c>
      <c r="C78" s="1" t="s">
        <v>7</v>
      </c>
      <c r="D78" s="1" t="s">
        <v>7</v>
      </c>
      <c r="E78" t="s">
        <v>8</v>
      </c>
      <c r="F78" s="2" t="s">
        <v>9</v>
      </c>
      <c r="G78" t="s">
        <v>10</v>
      </c>
      <c r="H78" s="2" t="s">
        <v>224</v>
      </c>
      <c r="I78" s="2">
        <v>6</v>
      </c>
    </row>
    <row r="79" spans="1:10" x14ac:dyDescent="0.25">
      <c r="A79" s="1" t="s">
        <v>225</v>
      </c>
      <c r="B79" t="s">
        <v>226</v>
      </c>
      <c r="C79" s="1" t="s">
        <v>36</v>
      </c>
      <c r="D79" s="1" t="s">
        <v>36</v>
      </c>
      <c r="E79" t="s">
        <v>37</v>
      </c>
      <c r="F79" s="2" t="s">
        <v>38</v>
      </c>
      <c r="G79" t="s">
        <v>39</v>
      </c>
      <c r="H79" s="2" t="s">
        <v>40</v>
      </c>
      <c r="I79" s="2">
        <v>0.19</v>
      </c>
    </row>
    <row r="80" spans="1:10" x14ac:dyDescent="0.25">
      <c r="A80" s="1" t="s">
        <v>225</v>
      </c>
      <c r="B80" t="s">
        <v>226</v>
      </c>
      <c r="C80" s="1" t="s">
        <v>41</v>
      </c>
      <c r="D80" s="1" t="s">
        <v>41</v>
      </c>
      <c r="E80" t="s">
        <v>42</v>
      </c>
      <c r="F80" s="2" t="s">
        <v>43</v>
      </c>
      <c r="G80" t="s">
        <v>5</v>
      </c>
      <c r="H80" s="2" t="s">
        <v>227</v>
      </c>
      <c r="I80" s="2">
        <v>0.01</v>
      </c>
    </row>
    <row r="81" spans="1:10" x14ac:dyDescent="0.25">
      <c r="A81" s="1" t="s">
        <v>225</v>
      </c>
      <c r="B81" t="s">
        <v>226</v>
      </c>
      <c r="C81" s="1" t="s">
        <v>228</v>
      </c>
      <c r="D81" s="1" t="s">
        <v>229</v>
      </c>
      <c r="E81" t="s">
        <v>230</v>
      </c>
      <c r="F81" s="2" t="s">
        <v>231</v>
      </c>
      <c r="G81" t="s">
        <v>49</v>
      </c>
      <c r="H81" s="2" t="s">
        <v>50</v>
      </c>
      <c r="I81" s="2">
        <v>5.25</v>
      </c>
      <c r="J81" t="s">
        <v>51</v>
      </c>
    </row>
    <row r="82" spans="1:10" x14ac:dyDescent="0.25">
      <c r="A82" s="1" t="s">
        <v>225</v>
      </c>
      <c r="B82" t="s">
        <v>226</v>
      </c>
      <c r="C82" s="1" t="s">
        <v>232</v>
      </c>
      <c r="D82" s="1" t="s">
        <v>233</v>
      </c>
      <c r="E82" t="s">
        <v>234</v>
      </c>
      <c r="F82" s="2" t="s">
        <v>235</v>
      </c>
      <c r="G82" t="s">
        <v>49</v>
      </c>
      <c r="H82" s="2" t="s">
        <v>50</v>
      </c>
      <c r="I82" s="2">
        <v>8.4499999999999993</v>
      </c>
      <c r="J82" t="s">
        <v>51</v>
      </c>
    </row>
    <row r="83" spans="1:10" x14ac:dyDescent="0.25">
      <c r="A83" s="1" t="s">
        <v>225</v>
      </c>
      <c r="B83" t="s">
        <v>226</v>
      </c>
      <c r="C83" s="1" t="s">
        <v>236</v>
      </c>
      <c r="D83" s="1" t="s">
        <v>236</v>
      </c>
      <c r="E83" t="s">
        <v>237</v>
      </c>
      <c r="F83" s="2" t="s">
        <v>238</v>
      </c>
      <c r="G83" t="s">
        <v>49</v>
      </c>
      <c r="H83" s="2" t="s">
        <v>50</v>
      </c>
      <c r="I83" s="2">
        <v>14.55</v>
      </c>
      <c r="J83" t="s">
        <v>55</v>
      </c>
    </row>
    <row r="84" spans="1:10" x14ac:dyDescent="0.25">
      <c r="A84" s="1" t="s">
        <v>225</v>
      </c>
      <c r="B84" t="s">
        <v>226</v>
      </c>
      <c r="C84" s="1" t="s">
        <v>239</v>
      </c>
      <c r="D84" s="1" t="s">
        <v>239</v>
      </c>
      <c r="E84" t="s">
        <v>240</v>
      </c>
      <c r="F84" s="2" t="s">
        <v>241</v>
      </c>
      <c r="G84" t="s">
        <v>49</v>
      </c>
      <c r="H84" s="2" t="s">
        <v>50</v>
      </c>
      <c r="I84" s="2">
        <v>7.6</v>
      </c>
      <c r="J84" t="s">
        <v>55</v>
      </c>
    </row>
    <row r="85" spans="1:10" x14ac:dyDescent="0.25">
      <c r="A85" s="1" t="s">
        <v>225</v>
      </c>
      <c r="B85" t="s">
        <v>226</v>
      </c>
      <c r="C85" s="1" t="s">
        <v>242</v>
      </c>
      <c r="D85" s="1" t="s">
        <v>242</v>
      </c>
      <c r="E85" t="s">
        <v>243</v>
      </c>
      <c r="F85" s="2" t="s">
        <v>244</v>
      </c>
      <c r="G85" t="s">
        <v>49</v>
      </c>
      <c r="H85" s="2" t="s">
        <v>92</v>
      </c>
      <c r="I85" s="2">
        <v>6.2</v>
      </c>
      <c r="J85" t="s">
        <v>55</v>
      </c>
    </row>
    <row r="86" spans="1:10" x14ac:dyDescent="0.25">
      <c r="A86" s="1" t="s">
        <v>225</v>
      </c>
      <c r="B86" t="s">
        <v>226</v>
      </c>
      <c r="C86" s="1" t="s">
        <v>7</v>
      </c>
      <c r="D86" s="1" t="s">
        <v>7</v>
      </c>
      <c r="E86" t="s">
        <v>8</v>
      </c>
      <c r="F86" s="2" t="s">
        <v>9</v>
      </c>
      <c r="G86" t="s">
        <v>10</v>
      </c>
      <c r="H86" s="2" t="s">
        <v>245</v>
      </c>
      <c r="I86" s="2">
        <v>4</v>
      </c>
    </row>
    <row r="87" spans="1:10" x14ac:dyDescent="0.25">
      <c r="A87" s="1" t="s">
        <v>246</v>
      </c>
      <c r="B87" t="s">
        <v>247</v>
      </c>
      <c r="C87" s="1" t="s">
        <v>248</v>
      </c>
      <c r="D87" s="1" t="s">
        <v>248</v>
      </c>
      <c r="E87" t="s">
        <v>249</v>
      </c>
      <c r="F87" s="2" t="s">
        <v>70</v>
      </c>
      <c r="G87" t="s">
        <v>39</v>
      </c>
      <c r="H87" s="2" t="s">
        <v>40</v>
      </c>
      <c r="I87" s="2">
        <v>0.05</v>
      </c>
    </row>
    <row r="88" spans="1:10" x14ac:dyDescent="0.25">
      <c r="A88" s="1" t="s">
        <v>246</v>
      </c>
      <c r="B88" t="s">
        <v>247</v>
      </c>
      <c r="C88" s="1" t="s">
        <v>250</v>
      </c>
      <c r="D88" s="1" t="s">
        <v>250</v>
      </c>
      <c r="E88" t="s">
        <v>251</v>
      </c>
      <c r="F88" s="2" t="s">
        <v>252</v>
      </c>
      <c r="G88" t="s">
        <v>49</v>
      </c>
      <c r="H88" s="2" t="s">
        <v>50</v>
      </c>
      <c r="I88" s="2">
        <v>43.68</v>
      </c>
      <c r="J88" t="s">
        <v>55</v>
      </c>
    </row>
    <row r="89" spans="1:10" x14ac:dyDescent="0.25">
      <c r="A89" s="1" t="s">
        <v>246</v>
      </c>
      <c r="B89" t="s">
        <v>247</v>
      </c>
      <c r="C89" s="1" t="s">
        <v>253</v>
      </c>
      <c r="D89" s="1" t="s">
        <v>253</v>
      </c>
      <c r="E89" t="s">
        <v>254</v>
      </c>
      <c r="F89" s="2" t="s">
        <v>255</v>
      </c>
      <c r="G89" t="s">
        <v>49</v>
      </c>
      <c r="H89" s="2" t="s">
        <v>50</v>
      </c>
      <c r="I89" s="2">
        <v>32.5</v>
      </c>
      <c r="J89" t="s">
        <v>55</v>
      </c>
    </row>
    <row r="90" spans="1:10" x14ac:dyDescent="0.25">
      <c r="A90" s="1" t="s">
        <v>246</v>
      </c>
      <c r="B90" t="s">
        <v>247</v>
      </c>
      <c r="C90" s="1" t="s">
        <v>256</v>
      </c>
      <c r="D90" s="1" t="s">
        <v>256</v>
      </c>
      <c r="E90" t="s">
        <v>257</v>
      </c>
      <c r="F90" s="2" t="s">
        <v>258</v>
      </c>
      <c r="G90" t="s">
        <v>49</v>
      </c>
      <c r="H90" s="2" t="s">
        <v>50</v>
      </c>
      <c r="I90" s="2">
        <v>24.72</v>
      </c>
      <c r="J90" t="s">
        <v>55</v>
      </c>
    </row>
    <row r="91" spans="1:10" x14ac:dyDescent="0.25">
      <c r="A91" s="1" t="s">
        <v>246</v>
      </c>
      <c r="B91" t="s">
        <v>247</v>
      </c>
      <c r="C91" s="1" t="s">
        <v>7</v>
      </c>
      <c r="D91" s="1" t="s">
        <v>7</v>
      </c>
      <c r="E91" t="s">
        <v>8</v>
      </c>
      <c r="F91" s="2" t="s">
        <v>9</v>
      </c>
      <c r="G91" t="s">
        <v>10</v>
      </c>
      <c r="H91" s="2" t="s">
        <v>71</v>
      </c>
      <c r="I91" s="2">
        <v>3.85</v>
      </c>
    </row>
    <row r="92" spans="1:10" x14ac:dyDescent="0.25">
      <c r="A92" s="1" t="s">
        <v>259</v>
      </c>
      <c r="B92" t="s">
        <v>260</v>
      </c>
      <c r="C92" s="1" t="s">
        <v>261</v>
      </c>
      <c r="D92" s="1" t="s">
        <v>261</v>
      </c>
      <c r="E92" t="s">
        <v>262</v>
      </c>
      <c r="F92" s="2" t="s">
        <v>263</v>
      </c>
      <c r="G92" t="s">
        <v>39</v>
      </c>
      <c r="H92" s="2" t="s">
        <v>40</v>
      </c>
      <c r="I92" s="2">
        <v>0.3</v>
      </c>
    </row>
    <row r="93" spans="1:10" x14ac:dyDescent="0.25">
      <c r="A93" s="1" t="s">
        <v>259</v>
      </c>
      <c r="B93" t="s">
        <v>260</v>
      </c>
      <c r="C93" s="1" t="s">
        <v>264</v>
      </c>
      <c r="D93" s="1" t="s">
        <v>265</v>
      </c>
      <c r="E93" t="s">
        <v>266</v>
      </c>
      <c r="F93" s="2" t="s">
        <v>267</v>
      </c>
      <c r="G93" t="s">
        <v>49</v>
      </c>
      <c r="H93" s="2" t="s">
        <v>268</v>
      </c>
      <c r="I93" s="2">
        <v>18.899999999999999</v>
      </c>
      <c r="J93" t="s">
        <v>51</v>
      </c>
    </row>
    <row r="94" spans="1:10" x14ac:dyDescent="0.25">
      <c r="A94" s="1" t="s">
        <v>259</v>
      </c>
      <c r="B94" t="s">
        <v>260</v>
      </c>
      <c r="C94" s="1" t="s">
        <v>269</v>
      </c>
      <c r="D94" s="1" t="s">
        <v>269</v>
      </c>
      <c r="E94" t="s">
        <v>270</v>
      </c>
      <c r="F94" s="2" t="s">
        <v>271</v>
      </c>
      <c r="G94" t="s">
        <v>49</v>
      </c>
      <c r="H94" s="2" t="s">
        <v>50</v>
      </c>
      <c r="I94" s="2">
        <v>13.3</v>
      </c>
      <c r="J94" t="s">
        <v>55</v>
      </c>
    </row>
    <row r="95" spans="1:10" x14ac:dyDescent="0.25">
      <c r="A95" s="1" t="s">
        <v>259</v>
      </c>
      <c r="B95" t="s">
        <v>260</v>
      </c>
      <c r="C95" s="1" t="s">
        <v>272</v>
      </c>
      <c r="D95" s="1" t="s">
        <v>272</v>
      </c>
      <c r="E95" t="s">
        <v>273</v>
      </c>
      <c r="F95" s="2" t="s">
        <v>274</v>
      </c>
      <c r="G95" t="s">
        <v>49</v>
      </c>
      <c r="H95" s="2" t="s">
        <v>92</v>
      </c>
      <c r="I95" s="2">
        <v>25.8</v>
      </c>
      <c r="J95" t="s">
        <v>55</v>
      </c>
    </row>
    <row r="96" spans="1:10" x14ac:dyDescent="0.25">
      <c r="A96" s="1" t="s">
        <v>259</v>
      </c>
      <c r="B96" t="s">
        <v>260</v>
      </c>
      <c r="C96" s="1" t="s">
        <v>275</v>
      </c>
      <c r="D96" s="1" t="s">
        <v>275</v>
      </c>
      <c r="E96" t="s">
        <v>276</v>
      </c>
      <c r="F96" s="2" t="s">
        <v>277</v>
      </c>
      <c r="G96" t="s">
        <v>49</v>
      </c>
      <c r="H96" s="2" t="s">
        <v>50</v>
      </c>
      <c r="I96" s="2">
        <v>7.05</v>
      </c>
      <c r="J96" t="s">
        <v>55</v>
      </c>
    </row>
    <row r="97" spans="1:10" x14ac:dyDescent="0.25">
      <c r="A97" s="1" t="s">
        <v>259</v>
      </c>
      <c r="B97" t="s">
        <v>260</v>
      </c>
      <c r="C97" s="1" t="s">
        <v>278</v>
      </c>
      <c r="D97" s="1" t="s">
        <v>278</v>
      </c>
      <c r="E97" t="s">
        <v>279</v>
      </c>
      <c r="F97" s="2" t="s">
        <v>58</v>
      </c>
      <c r="G97" t="s">
        <v>49</v>
      </c>
      <c r="H97" s="2" t="s">
        <v>92</v>
      </c>
      <c r="I97" s="2">
        <v>10.8</v>
      </c>
      <c r="J97" t="s">
        <v>55</v>
      </c>
    </row>
    <row r="98" spans="1:10" x14ac:dyDescent="0.25">
      <c r="A98" s="1" t="s">
        <v>259</v>
      </c>
      <c r="B98" t="s">
        <v>260</v>
      </c>
      <c r="C98" s="1" t="s">
        <v>280</v>
      </c>
      <c r="D98" s="1" t="s">
        <v>280</v>
      </c>
      <c r="E98" t="s">
        <v>281</v>
      </c>
      <c r="F98" s="2" t="s">
        <v>58</v>
      </c>
      <c r="G98" t="s">
        <v>49</v>
      </c>
      <c r="H98" s="2" t="s">
        <v>92</v>
      </c>
      <c r="I98" s="2">
        <v>10.8</v>
      </c>
      <c r="J98" t="s">
        <v>55</v>
      </c>
    </row>
    <row r="99" spans="1:10" x14ac:dyDescent="0.25">
      <c r="A99" s="1" t="s">
        <v>259</v>
      </c>
      <c r="B99" t="s">
        <v>260</v>
      </c>
      <c r="C99" s="1" t="s">
        <v>282</v>
      </c>
      <c r="D99" s="1" t="s">
        <v>282</v>
      </c>
      <c r="E99" t="s">
        <v>283</v>
      </c>
      <c r="F99" s="2" t="s">
        <v>145</v>
      </c>
      <c r="G99" t="s">
        <v>49</v>
      </c>
      <c r="H99" s="2" t="s">
        <v>50</v>
      </c>
      <c r="I99" s="2">
        <v>11.2</v>
      </c>
      <c r="J99" t="s">
        <v>55</v>
      </c>
    </row>
    <row r="100" spans="1:10" x14ac:dyDescent="0.25">
      <c r="A100" s="1" t="s">
        <v>259</v>
      </c>
      <c r="B100" t="s">
        <v>260</v>
      </c>
      <c r="C100" s="1" t="s">
        <v>284</v>
      </c>
      <c r="D100" s="1" t="s">
        <v>284</v>
      </c>
      <c r="E100" t="s">
        <v>285</v>
      </c>
      <c r="F100" s="2" t="s">
        <v>267</v>
      </c>
      <c r="G100" t="s">
        <v>49</v>
      </c>
      <c r="H100" s="2" t="s">
        <v>50</v>
      </c>
      <c r="I100" s="2">
        <v>6.3</v>
      </c>
      <c r="J100" t="s">
        <v>55</v>
      </c>
    </row>
    <row r="101" spans="1:10" x14ac:dyDescent="0.25">
      <c r="A101" s="1" t="s">
        <v>259</v>
      </c>
      <c r="B101" t="s">
        <v>260</v>
      </c>
      <c r="C101" s="1" t="s">
        <v>286</v>
      </c>
      <c r="D101" s="1" t="s">
        <v>286</v>
      </c>
      <c r="E101" t="s">
        <v>287</v>
      </c>
      <c r="F101" s="2" t="s">
        <v>288</v>
      </c>
      <c r="G101" t="s">
        <v>49</v>
      </c>
      <c r="H101" s="2" t="s">
        <v>50</v>
      </c>
      <c r="I101" s="2">
        <v>3.2</v>
      </c>
      <c r="J101" t="s">
        <v>55</v>
      </c>
    </row>
    <row r="102" spans="1:10" x14ac:dyDescent="0.25">
      <c r="A102" s="1" t="s">
        <v>259</v>
      </c>
      <c r="B102" t="s">
        <v>260</v>
      </c>
      <c r="C102" s="1" t="s">
        <v>289</v>
      </c>
      <c r="D102" s="1" t="s">
        <v>289</v>
      </c>
      <c r="E102" t="s">
        <v>290</v>
      </c>
      <c r="F102" s="2" t="s">
        <v>291</v>
      </c>
      <c r="G102" t="s">
        <v>49</v>
      </c>
      <c r="H102" s="2" t="s">
        <v>50</v>
      </c>
      <c r="I102" s="2">
        <v>6.65</v>
      </c>
      <c r="J102" t="s">
        <v>55</v>
      </c>
    </row>
    <row r="103" spans="1:10" x14ac:dyDescent="0.25">
      <c r="A103" s="1" t="s">
        <v>259</v>
      </c>
      <c r="B103" t="s">
        <v>260</v>
      </c>
      <c r="C103" s="1" t="s">
        <v>292</v>
      </c>
      <c r="D103" s="1" t="s">
        <v>292</v>
      </c>
      <c r="E103" t="s">
        <v>293</v>
      </c>
      <c r="F103" s="2" t="s">
        <v>185</v>
      </c>
      <c r="G103" t="s">
        <v>49</v>
      </c>
      <c r="H103" s="2" t="s">
        <v>92</v>
      </c>
      <c r="I103" s="2">
        <v>7.8</v>
      </c>
      <c r="J103" t="s">
        <v>55</v>
      </c>
    </row>
    <row r="104" spans="1:10" x14ac:dyDescent="0.25">
      <c r="A104" s="1" t="s">
        <v>259</v>
      </c>
      <c r="B104" t="s">
        <v>260</v>
      </c>
      <c r="C104" s="1" t="s">
        <v>294</v>
      </c>
      <c r="D104" s="1" t="s">
        <v>294</v>
      </c>
      <c r="E104" t="s">
        <v>295</v>
      </c>
      <c r="F104" s="2" t="s">
        <v>296</v>
      </c>
      <c r="G104" t="s">
        <v>49</v>
      </c>
      <c r="H104" s="2" t="s">
        <v>50</v>
      </c>
      <c r="I104" s="2">
        <v>12.65</v>
      </c>
      <c r="J104" t="s">
        <v>55</v>
      </c>
    </row>
    <row r="105" spans="1:10" x14ac:dyDescent="0.25">
      <c r="A105" s="1" t="s">
        <v>259</v>
      </c>
      <c r="B105" t="s">
        <v>260</v>
      </c>
      <c r="C105" s="1" t="s">
        <v>297</v>
      </c>
      <c r="D105" s="1" t="s">
        <v>297</v>
      </c>
      <c r="E105" t="s">
        <v>298</v>
      </c>
      <c r="F105" s="2" t="s">
        <v>299</v>
      </c>
      <c r="G105" t="s">
        <v>49</v>
      </c>
      <c r="H105" s="2" t="s">
        <v>50</v>
      </c>
      <c r="I105" s="2">
        <v>4.6500000000000004</v>
      </c>
      <c r="J105" t="s">
        <v>55</v>
      </c>
    </row>
    <row r="106" spans="1:10" x14ac:dyDescent="0.25">
      <c r="A106" s="1" t="s">
        <v>259</v>
      </c>
      <c r="B106" t="s">
        <v>260</v>
      </c>
      <c r="C106" s="1" t="s">
        <v>300</v>
      </c>
      <c r="D106" s="1" t="s">
        <v>300</v>
      </c>
      <c r="E106" t="s">
        <v>301</v>
      </c>
      <c r="F106" s="2" t="s">
        <v>302</v>
      </c>
      <c r="G106" t="s">
        <v>49</v>
      </c>
      <c r="H106" s="2" t="s">
        <v>92</v>
      </c>
      <c r="I106" s="2">
        <v>9.1999999999999993</v>
      </c>
      <c r="J106" t="s">
        <v>55</v>
      </c>
    </row>
    <row r="107" spans="1:10" x14ac:dyDescent="0.25">
      <c r="A107" s="1" t="s">
        <v>259</v>
      </c>
      <c r="B107" t="s">
        <v>260</v>
      </c>
      <c r="C107" s="1" t="s">
        <v>303</v>
      </c>
      <c r="D107" s="1" t="s">
        <v>303</v>
      </c>
      <c r="E107" t="s">
        <v>304</v>
      </c>
      <c r="F107" s="2" t="s">
        <v>216</v>
      </c>
      <c r="G107" t="s">
        <v>49</v>
      </c>
      <c r="H107" s="2" t="s">
        <v>92</v>
      </c>
      <c r="I107" s="2">
        <v>14</v>
      </c>
      <c r="J107" t="s">
        <v>55</v>
      </c>
    </row>
    <row r="108" spans="1:10" x14ac:dyDescent="0.25">
      <c r="A108" s="1" t="s">
        <v>259</v>
      </c>
      <c r="B108" t="s">
        <v>260</v>
      </c>
      <c r="C108" s="1" t="s">
        <v>7</v>
      </c>
      <c r="D108" s="1" t="s">
        <v>7</v>
      </c>
      <c r="E108" t="s">
        <v>8</v>
      </c>
      <c r="F108" s="2" t="s">
        <v>9</v>
      </c>
      <c r="G108" t="s">
        <v>10</v>
      </c>
      <c r="H108" s="2" t="s">
        <v>305</v>
      </c>
      <c r="I108" s="2">
        <v>4</v>
      </c>
    </row>
    <row r="109" spans="1:10" x14ac:dyDescent="0.25">
      <c r="A109" s="1" t="s">
        <v>306</v>
      </c>
      <c r="B109" t="s">
        <v>307</v>
      </c>
      <c r="C109" s="1" t="s">
        <v>248</v>
      </c>
      <c r="D109" s="1" t="s">
        <v>248</v>
      </c>
      <c r="E109" t="s">
        <v>249</v>
      </c>
      <c r="F109" s="2" t="s">
        <v>70</v>
      </c>
      <c r="G109" t="s">
        <v>39</v>
      </c>
      <c r="H109" s="2" t="s">
        <v>40</v>
      </c>
      <c r="I109" s="2">
        <v>0.05</v>
      </c>
    </row>
    <row r="110" spans="1:10" x14ac:dyDescent="0.25">
      <c r="A110" s="1" t="s">
        <v>306</v>
      </c>
      <c r="B110" t="s">
        <v>307</v>
      </c>
      <c r="C110" s="1" t="s">
        <v>308</v>
      </c>
      <c r="D110" s="1" t="s">
        <v>309</v>
      </c>
      <c r="E110" t="s">
        <v>310</v>
      </c>
      <c r="F110" s="2" t="s">
        <v>311</v>
      </c>
      <c r="G110" t="s">
        <v>49</v>
      </c>
      <c r="H110" s="2" t="s">
        <v>312</v>
      </c>
      <c r="I110" s="2">
        <v>104</v>
      </c>
      <c r="J110" t="s">
        <v>51</v>
      </c>
    </row>
    <row r="111" spans="1:10" x14ac:dyDescent="0.25">
      <c r="A111" s="1" t="s">
        <v>306</v>
      </c>
      <c r="B111" t="s">
        <v>307</v>
      </c>
      <c r="C111" s="1" t="s">
        <v>313</v>
      </c>
      <c r="D111" s="1" t="s">
        <v>314</v>
      </c>
      <c r="E111" t="s">
        <v>315</v>
      </c>
      <c r="F111" s="2" t="s">
        <v>205</v>
      </c>
      <c r="G111" t="s">
        <v>49</v>
      </c>
      <c r="H111" s="2" t="s">
        <v>312</v>
      </c>
      <c r="I111" s="2">
        <v>50.8</v>
      </c>
      <c r="J111" t="s">
        <v>51</v>
      </c>
    </row>
    <row r="112" spans="1:10" x14ac:dyDescent="0.25">
      <c r="A112" s="1" t="s">
        <v>306</v>
      </c>
      <c r="B112" t="s">
        <v>307</v>
      </c>
      <c r="C112" s="1" t="s">
        <v>7</v>
      </c>
      <c r="D112" s="1" t="s">
        <v>7</v>
      </c>
      <c r="E112" t="s">
        <v>8</v>
      </c>
      <c r="F112" s="2" t="s">
        <v>9</v>
      </c>
      <c r="G112" t="s">
        <v>10</v>
      </c>
      <c r="H112" s="2" t="s">
        <v>316</v>
      </c>
      <c r="I112" s="2">
        <v>0.8</v>
      </c>
    </row>
    <row r="113" spans="1:10" x14ac:dyDescent="0.25">
      <c r="A113" s="1" t="s">
        <v>317</v>
      </c>
      <c r="B113" t="s">
        <v>318</v>
      </c>
      <c r="C113" s="1" t="s">
        <v>115</v>
      </c>
      <c r="D113" s="1" t="s">
        <v>115</v>
      </c>
      <c r="E113" t="s">
        <v>116</v>
      </c>
      <c r="F113" s="2" t="s">
        <v>117</v>
      </c>
      <c r="G113" t="s">
        <v>39</v>
      </c>
      <c r="H113" s="2" t="s">
        <v>40</v>
      </c>
      <c r="I113" s="2">
        <v>0.2</v>
      </c>
    </row>
    <row r="114" spans="1:10" x14ac:dyDescent="0.25">
      <c r="A114" s="1" t="s">
        <v>317</v>
      </c>
      <c r="B114" t="s">
        <v>318</v>
      </c>
      <c r="C114" s="1" t="s">
        <v>118</v>
      </c>
      <c r="D114" s="1" t="s">
        <v>118</v>
      </c>
      <c r="E114" t="s">
        <v>119</v>
      </c>
      <c r="F114" s="2" t="s">
        <v>120</v>
      </c>
      <c r="G114" t="s">
        <v>121</v>
      </c>
      <c r="H114" s="2" t="s">
        <v>319</v>
      </c>
      <c r="I114" s="2">
        <v>95.7</v>
      </c>
      <c r="J114" t="s">
        <v>55</v>
      </c>
    </row>
    <row r="115" spans="1:10" x14ac:dyDescent="0.25">
      <c r="A115" s="1" t="s">
        <v>317</v>
      </c>
      <c r="B115" t="s">
        <v>318</v>
      </c>
      <c r="C115" s="1" t="s">
        <v>123</v>
      </c>
      <c r="D115" s="1" t="s">
        <v>123</v>
      </c>
      <c r="E115" t="s">
        <v>124</v>
      </c>
      <c r="F115" s="2" t="s">
        <v>125</v>
      </c>
      <c r="G115" t="s">
        <v>121</v>
      </c>
      <c r="H115" s="2" t="s">
        <v>319</v>
      </c>
      <c r="I115" s="2">
        <v>83.1</v>
      </c>
      <c r="J115" t="s">
        <v>55</v>
      </c>
    </row>
    <row r="116" spans="1:10" x14ac:dyDescent="0.25">
      <c r="A116" s="1" t="s">
        <v>317</v>
      </c>
      <c r="B116" t="s">
        <v>318</v>
      </c>
      <c r="C116" s="1" t="s">
        <v>126</v>
      </c>
      <c r="D116" s="1" t="s">
        <v>126</v>
      </c>
      <c r="E116" t="s">
        <v>127</v>
      </c>
      <c r="F116" s="2" t="s">
        <v>128</v>
      </c>
      <c r="G116" t="s">
        <v>121</v>
      </c>
      <c r="H116" s="2" t="s">
        <v>92</v>
      </c>
      <c r="I116" s="2">
        <v>31.3</v>
      </c>
      <c r="J116" t="s">
        <v>55</v>
      </c>
    </row>
    <row r="117" spans="1:10" x14ac:dyDescent="0.25">
      <c r="A117" s="1" t="s">
        <v>317</v>
      </c>
      <c r="B117" t="s">
        <v>318</v>
      </c>
      <c r="C117" s="1" t="s">
        <v>129</v>
      </c>
      <c r="D117" s="1" t="s">
        <v>129</v>
      </c>
      <c r="E117" t="s">
        <v>130</v>
      </c>
      <c r="F117" s="2" t="s">
        <v>131</v>
      </c>
      <c r="G117" t="s">
        <v>121</v>
      </c>
      <c r="H117" s="2" t="s">
        <v>92</v>
      </c>
      <c r="I117" s="2">
        <v>28.4</v>
      </c>
      <c r="J117" t="s">
        <v>55</v>
      </c>
    </row>
    <row r="118" spans="1:10" x14ac:dyDescent="0.25">
      <c r="A118" s="1" t="s">
        <v>317</v>
      </c>
      <c r="B118" t="s">
        <v>318</v>
      </c>
      <c r="C118" s="1" t="s">
        <v>7</v>
      </c>
      <c r="D118" s="1" t="s">
        <v>7</v>
      </c>
      <c r="E118" t="s">
        <v>8</v>
      </c>
      <c r="F118" s="2" t="s">
        <v>9</v>
      </c>
      <c r="G118" t="s">
        <v>10</v>
      </c>
      <c r="H118" s="2" t="s">
        <v>132</v>
      </c>
      <c r="I118" s="2">
        <v>10.9</v>
      </c>
    </row>
    <row r="119" spans="1:10" x14ac:dyDescent="0.25">
      <c r="A119" s="1" t="s">
        <v>320</v>
      </c>
      <c r="B119" t="s">
        <v>321</v>
      </c>
      <c r="C119" s="1" t="s">
        <v>115</v>
      </c>
      <c r="D119" s="1" t="s">
        <v>115</v>
      </c>
      <c r="E119" t="s">
        <v>116</v>
      </c>
      <c r="F119" s="2" t="s">
        <v>117</v>
      </c>
      <c r="G119" t="s">
        <v>39</v>
      </c>
      <c r="H119" s="2" t="s">
        <v>40</v>
      </c>
      <c r="I119" s="2">
        <v>0.2</v>
      </c>
    </row>
    <row r="120" spans="1:10" x14ac:dyDescent="0.25">
      <c r="A120" s="1" t="s">
        <v>320</v>
      </c>
      <c r="B120" t="s">
        <v>321</v>
      </c>
      <c r="C120" s="1" t="s">
        <v>135</v>
      </c>
      <c r="D120" s="1" t="s">
        <v>135</v>
      </c>
      <c r="E120" t="s">
        <v>136</v>
      </c>
      <c r="F120" s="2" t="s">
        <v>137</v>
      </c>
      <c r="G120" t="s">
        <v>49</v>
      </c>
      <c r="H120" s="2" t="s">
        <v>268</v>
      </c>
      <c r="I120" s="2">
        <v>34.799999999999997</v>
      </c>
      <c r="J120" t="s">
        <v>55</v>
      </c>
    </row>
    <row r="121" spans="1:10" x14ac:dyDescent="0.25">
      <c r="A121" s="1" t="s">
        <v>320</v>
      </c>
      <c r="B121" t="s">
        <v>321</v>
      </c>
      <c r="C121" s="1" t="s">
        <v>141</v>
      </c>
      <c r="D121" s="1" t="s">
        <v>141</v>
      </c>
      <c r="E121" t="s">
        <v>142</v>
      </c>
      <c r="F121" s="2" t="s">
        <v>48</v>
      </c>
      <c r="G121" t="s">
        <v>49</v>
      </c>
      <c r="H121" s="2" t="s">
        <v>92</v>
      </c>
      <c r="I121" s="2">
        <v>23.8</v>
      </c>
      <c r="J121" t="s">
        <v>55</v>
      </c>
    </row>
    <row r="122" spans="1:10" x14ac:dyDescent="0.25">
      <c r="A122" s="1" t="s">
        <v>320</v>
      </c>
      <c r="B122" t="s">
        <v>321</v>
      </c>
      <c r="C122" s="1" t="s">
        <v>146</v>
      </c>
      <c r="D122" s="1" t="s">
        <v>146</v>
      </c>
      <c r="E122" t="s">
        <v>147</v>
      </c>
      <c r="F122" s="2" t="s">
        <v>148</v>
      </c>
      <c r="G122" t="s">
        <v>49</v>
      </c>
      <c r="H122" s="2" t="s">
        <v>92</v>
      </c>
      <c r="I122" s="2">
        <v>56.9</v>
      </c>
      <c r="J122" t="s">
        <v>55</v>
      </c>
    </row>
    <row r="123" spans="1:10" x14ac:dyDescent="0.25">
      <c r="A123" s="1" t="s">
        <v>320</v>
      </c>
      <c r="B123" t="s">
        <v>321</v>
      </c>
      <c r="C123" s="1" t="s">
        <v>322</v>
      </c>
      <c r="D123" s="1" t="s">
        <v>322</v>
      </c>
      <c r="E123" t="s">
        <v>323</v>
      </c>
      <c r="F123" s="2" t="s">
        <v>48</v>
      </c>
      <c r="G123" t="s">
        <v>49</v>
      </c>
      <c r="H123" s="2" t="s">
        <v>50</v>
      </c>
      <c r="I123" s="2">
        <v>11.9</v>
      </c>
      <c r="J123" t="s">
        <v>55</v>
      </c>
    </row>
    <row r="124" spans="1:10" x14ac:dyDescent="0.25">
      <c r="A124" s="1" t="s">
        <v>320</v>
      </c>
      <c r="B124" t="s">
        <v>321</v>
      </c>
      <c r="C124" s="1" t="s">
        <v>324</v>
      </c>
      <c r="D124" s="1" t="s">
        <v>324</v>
      </c>
      <c r="E124" t="s">
        <v>325</v>
      </c>
      <c r="F124" s="2" t="s">
        <v>58</v>
      </c>
      <c r="G124" t="s">
        <v>49</v>
      </c>
      <c r="H124" s="2" t="s">
        <v>92</v>
      </c>
      <c r="I124" s="2">
        <v>10.8</v>
      </c>
      <c r="J124" t="s">
        <v>55</v>
      </c>
    </row>
    <row r="125" spans="1:10" x14ac:dyDescent="0.25">
      <c r="A125" s="1" t="s">
        <v>320</v>
      </c>
      <c r="B125" t="s">
        <v>321</v>
      </c>
      <c r="C125" s="1" t="s">
        <v>326</v>
      </c>
      <c r="D125" s="1" t="s">
        <v>326</v>
      </c>
      <c r="E125" t="s">
        <v>327</v>
      </c>
      <c r="F125" s="2" t="s">
        <v>328</v>
      </c>
      <c r="G125" t="s">
        <v>49</v>
      </c>
      <c r="H125" s="2" t="s">
        <v>92</v>
      </c>
      <c r="I125" s="2">
        <v>12.4</v>
      </c>
      <c r="J125" t="s">
        <v>55</v>
      </c>
    </row>
    <row r="126" spans="1:10" x14ac:dyDescent="0.25">
      <c r="A126" s="1" t="s">
        <v>320</v>
      </c>
      <c r="B126" t="s">
        <v>321</v>
      </c>
      <c r="C126" s="1" t="s">
        <v>7</v>
      </c>
      <c r="D126" s="1" t="s">
        <v>7</v>
      </c>
      <c r="E126" t="s">
        <v>8</v>
      </c>
      <c r="F126" s="2" t="s">
        <v>9</v>
      </c>
      <c r="G126" t="s">
        <v>10</v>
      </c>
      <c r="H126" s="2" t="s">
        <v>152</v>
      </c>
      <c r="I126" s="2">
        <v>5.7</v>
      </c>
    </row>
    <row r="127" spans="1:10" x14ac:dyDescent="0.25">
      <c r="A127" s="1" t="s">
        <v>329</v>
      </c>
      <c r="B127" t="s">
        <v>330</v>
      </c>
      <c r="C127" s="1" t="s">
        <v>115</v>
      </c>
      <c r="D127" s="1" t="s">
        <v>115</v>
      </c>
      <c r="E127" t="s">
        <v>116</v>
      </c>
      <c r="F127" s="2" t="s">
        <v>117</v>
      </c>
      <c r="G127" t="s">
        <v>39</v>
      </c>
      <c r="H127" s="2" t="s">
        <v>40</v>
      </c>
      <c r="I127" s="2">
        <v>0.2</v>
      </c>
    </row>
    <row r="128" spans="1:10" x14ac:dyDescent="0.25">
      <c r="A128" s="1" t="s">
        <v>329</v>
      </c>
      <c r="B128" t="s">
        <v>330</v>
      </c>
      <c r="C128" s="1" t="s">
        <v>331</v>
      </c>
      <c r="D128" s="1" t="s">
        <v>331</v>
      </c>
      <c r="E128" t="s">
        <v>332</v>
      </c>
      <c r="F128" s="2" t="s">
        <v>333</v>
      </c>
      <c r="G128" t="s">
        <v>121</v>
      </c>
      <c r="H128" s="2" t="s">
        <v>50</v>
      </c>
      <c r="I128" s="2">
        <v>12.3</v>
      </c>
      <c r="J128" t="s">
        <v>55</v>
      </c>
    </row>
    <row r="129" spans="1:10" x14ac:dyDescent="0.25">
      <c r="A129" s="1" t="s">
        <v>329</v>
      </c>
      <c r="B129" t="s">
        <v>330</v>
      </c>
      <c r="C129" s="1" t="s">
        <v>334</v>
      </c>
      <c r="D129" s="1" t="s">
        <v>334</v>
      </c>
      <c r="E129" t="s">
        <v>335</v>
      </c>
      <c r="F129" s="2" t="s">
        <v>336</v>
      </c>
      <c r="G129" t="s">
        <v>121</v>
      </c>
      <c r="H129" s="2" t="s">
        <v>50</v>
      </c>
      <c r="I129" s="2">
        <v>2.6</v>
      </c>
      <c r="J129" t="s">
        <v>55</v>
      </c>
    </row>
    <row r="130" spans="1:10" x14ac:dyDescent="0.25">
      <c r="A130" s="1" t="s">
        <v>329</v>
      </c>
      <c r="B130" t="s">
        <v>330</v>
      </c>
      <c r="C130" s="1" t="s">
        <v>337</v>
      </c>
      <c r="D130" s="1" t="s">
        <v>337</v>
      </c>
      <c r="E130" t="s">
        <v>338</v>
      </c>
      <c r="F130" s="2" t="s">
        <v>336</v>
      </c>
      <c r="G130" t="s">
        <v>121</v>
      </c>
      <c r="H130" s="2" t="s">
        <v>50</v>
      </c>
      <c r="I130" s="2">
        <v>2.6</v>
      </c>
      <c r="J130" t="s">
        <v>55</v>
      </c>
    </row>
    <row r="131" spans="1:10" x14ac:dyDescent="0.25">
      <c r="A131" s="1" t="s">
        <v>329</v>
      </c>
      <c r="B131" t="s">
        <v>330</v>
      </c>
      <c r="C131" s="1" t="s">
        <v>339</v>
      </c>
      <c r="D131" s="1" t="s">
        <v>339</v>
      </c>
      <c r="E131" t="s">
        <v>340</v>
      </c>
      <c r="F131" s="2" t="s">
        <v>336</v>
      </c>
      <c r="G131" t="s">
        <v>121</v>
      </c>
      <c r="H131" s="2" t="s">
        <v>50</v>
      </c>
      <c r="I131" s="2">
        <v>2.6</v>
      </c>
      <c r="J131" t="s">
        <v>55</v>
      </c>
    </row>
    <row r="132" spans="1:10" x14ac:dyDescent="0.25">
      <c r="A132" s="1" t="s">
        <v>329</v>
      </c>
      <c r="B132" t="s">
        <v>330</v>
      </c>
      <c r="C132" s="1" t="s">
        <v>341</v>
      </c>
      <c r="D132" s="1" t="s">
        <v>341</v>
      </c>
      <c r="E132" t="s">
        <v>342</v>
      </c>
      <c r="F132" s="2" t="s">
        <v>343</v>
      </c>
      <c r="G132" t="s">
        <v>121</v>
      </c>
      <c r="H132" s="2" t="s">
        <v>122</v>
      </c>
      <c r="I132" s="2">
        <v>13.6</v>
      </c>
      <c r="J132" t="s">
        <v>55</v>
      </c>
    </row>
    <row r="133" spans="1:10" x14ac:dyDescent="0.25">
      <c r="A133" s="1" t="s">
        <v>329</v>
      </c>
      <c r="B133" t="s">
        <v>330</v>
      </c>
      <c r="C133" s="1" t="s">
        <v>7</v>
      </c>
      <c r="D133" s="1" t="s">
        <v>7</v>
      </c>
      <c r="E133" t="s">
        <v>8</v>
      </c>
      <c r="F133" s="2" t="s">
        <v>9</v>
      </c>
      <c r="G133" t="s">
        <v>10</v>
      </c>
      <c r="H133" s="2" t="s">
        <v>344</v>
      </c>
      <c r="I133" s="2">
        <v>5.5</v>
      </c>
    </row>
    <row r="134" spans="1:10" x14ac:dyDescent="0.25">
      <c r="A134" s="1" t="s">
        <v>345</v>
      </c>
      <c r="B134" t="s">
        <v>346</v>
      </c>
      <c r="C134" s="1" t="s">
        <v>347</v>
      </c>
      <c r="D134" s="1" t="s">
        <v>348</v>
      </c>
      <c r="E134" t="s">
        <v>349</v>
      </c>
      <c r="F134" s="2" t="s">
        <v>350</v>
      </c>
      <c r="G134" t="s">
        <v>49</v>
      </c>
      <c r="H134" s="2" t="s">
        <v>50</v>
      </c>
      <c r="I134" s="2">
        <v>14.95</v>
      </c>
      <c r="J134" t="s">
        <v>51</v>
      </c>
    </row>
    <row r="135" spans="1:10" x14ac:dyDescent="0.25">
      <c r="A135" s="1" t="s">
        <v>345</v>
      </c>
      <c r="B135" t="s">
        <v>346</v>
      </c>
      <c r="C135" s="1" t="s">
        <v>351</v>
      </c>
      <c r="D135" s="1" t="s">
        <v>352</v>
      </c>
      <c r="E135" t="s">
        <v>353</v>
      </c>
      <c r="F135" s="2" t="s">
        <v>354</v>
      </c>
      <c r="G135" t="s">
        <v>49</v>
      </c>
      <c r="H135" s="2" t="s">
        <v>50</v>
      </c>
      <c r="I135" s="2">
        <v>23.5</v>
      </c>
      <c r="J135" t="s">
        <v>51</v>
      </c>
    </row>
    <row r="136" spans="1:10" x14ac:dyDescent="0.25">
      <c r="A136" s="1" t="s">
        <v>345</v>
      </c>
      <c r="B136" t="s">
        <v>346</v>
      </c>
      <c r="C136" s="1" t="s">
        <v>355</v>
      </c>
      <c r="D136" s="1" t="s">
        <v>355</v>
      </c>
      <c r="E136" t="s">
        <v>356</v>
      </c>
      <c r="F136" s="2" t="s">
        <v>357</v>
      </c>
      <c r="G136" t="s">
        <v>49</v>
      </c>
      <c r="H136" s="2" t="s">
        <v>50</v>
      </c>
      <c r="I136" s="2">
        <v>18.7</v>
      </c>
      <c r="J136" t="s">
        <v>55</v>
      </c>
    </row>
    <row r="137" spans="1:10" x14ac:dyDescent="0.25">
      <c r="A137" s="1" t="s">
        <v>345</v>
      </c>
      <c r="B137" t="s">
        <v>346</v>
      </c>
      <c r="C137" s="1" t="s">
        <v>358</v>
      </c>
      <c r="D137" s="1" t="s">
        <v>358</v>
      </c>
      <c r="E137" t="s">
        <v>359</v>
      </c>
      <c r="F137" s="2" t="s">
        <v>360</v>
      </c>
      <c r="G137" t="s">
        <v>49</v>
      </c>
      <c r="H137" s="2" t="s">
        <v>50</v>
      </c>
      <c r="I137" s="2">
        <v>17.23</v>
      </c>
      <c r="J137" t="s">
        <v>55</v>
      </c>
    </row>
    <row r="138" spans="1:10" x14ac:dyDescent="0.25">
      <c r="A138" s="1" t="s">
        <v>345</v>
      </c>
      <c r="B138" t="s">
        <v>346</v>
      </c>
      <c r="C138" s="1" t="s">
        <v>361</v>
      </c>
      <c r="D138" s="1" t="s">
        <v>361</v>
      </c>
      <c r="E138" t="s">
        <v>362</v>
      </c>
      <c r="F138" s="2" t="s">
        <v>363</v>
      </c>
      <c r="G138" t="s">
        <v>49</v>
      </c>
      <c r="H138" s="2" t="s">
        <v>50</v>
      </c>
      <c r="I138" s="2">
        <v>12.52</v>
      </c>
      <c r="J138" t="s">
        <v>55</v>
      </c>
    </row>
    <row r="139" spans="1:10" x14ac:dyDescent="0.25">
      <c r="A139" s="1" t="s">
        <v>345</v>
      </c>
      <c r="B139" t="s">
        <v>346</v>
      </c>
      <c r="C139" s="1" t="s">
        <v>364</v>
      </c>
      <c r="D139" s="1" t="s">
        <v>364</v>
      </c>
      <c r="E139" t="s">
        <v>365</v>
      </c>
      <c r="F139" s="2" t="s">
        <v>366</v>
      </c>
      <c r="G139" t="s">
        <v>49</v>
      </c>
      <c r="H139" s="2" t="s">
        <v>50</v>
      </c>
      <c r="I139" s="2">
        <v>10.45</v>
      </c>
      <c r="J139" t="s">
        <v>55</v>
      </c>
    </row>
    <row r="140" spans="1:10" x14ac:dyDescent="0.25">
      <c r="A140" s="1" t="s">
        <v>345</v>
      </c>
      <c r="B140" t="s">
        <v>346</v>
      </c>
      <c r="C140" s="1" t="s">
        <v>7</v>
      </c>
      <c r="D140" s="1" t="s">
        <v>7</v>
      </c>
      <c r="E140" t="s">
        <v>8</v>
      </c>
      <c r="F140" s="2" t="s">
        <v>9</v>
      </c>
      <c r="G140" t="s">
        <v>10</v>
      </c>
      <c r="H140" s="2" t="s">
        <v>367</v>
      </c>
      <c r="I140" s="2">
        <v>2.2999999999999998</v>
      </c>
    </row>
    <row r="141" spans="1:10" x14ac:dyDescent="0.25">
      <c r="A141" s="1" t="s">
        <v>368</v>
      </c>
      <c r="B141" t="s">
        <v>369</v>
      </c>
      <c r="C141" s="1" t="s">
        <v>81</v>
      </c>
      <c r="D141" s="1" t="s">
        <v>81</v>
      </c>
      <c r="E141" t="s">
        <v>82</v>
      </c>
      <c r="F141" s="2" t="s">
        <v>83</v>
      </c>
      <c r="G141" t="s">
        <v>39</v>
      </c>
      <c r="H141" s="2" t="s">
        <v>40</v>
      </c>
      <c r="I141" s="2">
        <v>0.15</v>
      </c>
    </row>
    <row r="142" spans="1:10" x14ac:dyDescent="0.25">
      <c r="A142" s="1" t="s">
        <v>368</v>
      </c>
      <c r="B142" t="s">
        <v>369</v>
      </c>
      <c r="C142" s="1" t="s">
        <v>370</v>
      </c>
      <c r="D142" s="1" t="s">
        <v>370</v>
      </c>
      <c r="E142" t="s">
        <v>371</v>
      </c>
      <c r="F142" s="2" t="s">
        <v>372</v>
      </c>
      <c r="G142" t="s">
        <v>121</v>
      </c>
      <c r="H142" s="2" t="s">
        <v>50</v>
      </c>
      <c r="I142" s="2">
        <v>94.05</v>
      </c>
      <c r="J142" t="s">
        <v>55</v>
      </c>
    </row>
    <row r="143" spans="1:10" x14ac:dyDescent="0.25">
      <c r="A143" s="1" t="s">
        <v>368</v>
      </c>
      <c r="B143" t="s">
        <v>369</v>
      </c>
      <c r="C143" s="1" t="s">
        <v>373</v>
      </c>
      <c r="D143" s="1" t="s">
        <v>373</v>
      </c>
      <c r="E143" t="s">
        <v>374</v>
      </c>
      <c r="F143" s="2" t="s">
        <v>375</v>
      </c>
      <c r="G143" t="s">
        <v>121</v>
      </c>
      <c r="H143" s="2" t="s">
        <v>92</v>
      </c>
      <c r="I143" s="2">
        <v>73.599999999999994</v>
      </c>
      <c r="J143" t="s">
        <v>55</v>
      </c>
    </row>
    <row r="144" spans="1:10" x14ac:dyDescent="0.25">
      <c r="A144" s="1" t="s">
        <v>368</v>
      </c>
      <c r="B144" t="s">
        <v>369</v>
      </c>
      <c r="C144" s="1" t="s">
        <v>376</v>
      </c>
      <c r="D144" s="1" t="s">
        <v>376</v>
      </c>
      <c r="E144" t="s">
        <v>377</v>
      </c>
      <c r="F144" s="2" t="s">
        <v>378</v>
      </c>
      <c r="G144" t="s">
        <v>121</v>
      </c>
      <c r="H144" s="2" t="s">
        <v>312</v>
      </c>
      <c r="I144" s="2">
        <v>9.1999999999999993</v>
      </c>
      <c r="J144" t="s">
        <v>55</v>
      </c>
    </row>
    <row r="145" spans="1:10" x14ac:dyDescent="0.25">
      <c r="A145" s="1" t="s">
        <v>368</v>
      </c>
      <c r="B145" t="s">
        <v>369</v>
      </c>
      <c r="C145" s="1" t="s">
        <v>7</v>
      </c>
      <c r="D145" s="1" t="s">
        <v>7</v>
      </c>
      <c r="E145" t="s">
        <v>8</v>
      </c>
      <c r="F145" s="2" t="s">
        <v>9</v>
      </c>
      <c r="G145" t="s">
        <v>10</v>
      </c>
      <c r="H145" s="2" t="s">
        <v>19</v>
      </c>
      <c r="I145" s="2">
        <v>4.5999999999999996</v>
      </c>
    </row>
    <row r="146" spans="1:10" x14ac:dyDescent="0.25">
      <c r="A146" s="1" t="s">
        <v>379</v>
      </c>
      <c r="B146" t="s">
        <v>380</v>
      </c>
      <c r="C146" s="1" t="s">
        <v>36</v>
      </c>
      <c r="D146" s="1" t="s">
        <v>36</v>
      </c>
      <c r="E146" t="s">
        <v>37</v>
      </c>
      <c r="F146" s="2" t="s">
        <v>38</v>
      </c>
      <c r="G146" t="s">
        <v>39</v>
      </c>
      <c r="H146" s="2" t="s">
        <v>40</v>
      </c>
      <c r="I146" s="2">
        <v>0.19</v>
      </c>
    </row>
    <row r="147" spans="1:10" x14ac:dyDescent="0.25">
      <c r="A147" s="1" t="s">
        <v>379</v>
      </c>
      <c r="B147" t="s">
        <v>380</v>
      </c>
      <c r="C147" s="1" t="s">
        <v>381</v>
      </c>
      <c r="D147" s="1" t="s">
        <v>382</v>
      </c>
      <c r="E147" t="s">
        <v>383</v>
      </c>
      <c r="F147" s="2" t="s">
        <v>384</v>
      </c>
      <c r="G147" t="s">
        <v>49</v>
      </c>
      <c r="H147" s="2" t="s">
        <v>50</v>
      </c>
      <c r="I147" s="2">
        <v>10.9</v>
      </c>
      <c r="J147" t="s">
        <v>51</v>
      </c>
    </row>
    <row r="148" spans="1:10" x14ac:dyDescent="0.25">
      <c r="A148" s="1" t="s">
        <v>379</v>
      </c>
      <c r="B148" t="s">
        <v>380</v>
      </c>
      <c r="C148" s="1" t="s">
        <v>385</v>
      </c>
      <c r="D148" s="1" t="s">
        <v>385</v>
      </c>
      <c r="E148" t="s">
        <v>386</v>
      </c>
      <c r="F148" s="2" t="s">
        <v>191</v>
      </c>
      <c r="G148" t="s">
        <v>49</v>
      </c>
      <c r="H148" s="2" t="s">
        <v>50</v>
      </c>
      <c r="I148" s="2">
        <v>12.8</v>
      </c>
      <c r="J148" t="s">
        <v>55</v>
      </c>
    </row>
    <row r="149" spans="1:10" x14ac:dyDescent="0.25">
      <c r="A149" s="1" t="s">
        <v>379</v>
      </c>
      <c r="B149" t="s">
        <v>380</v>
      </c>
      <c r="C149" s="1" t="s">
        <v>387</v>
      </c>
      <c r="D149" s="1" t="s">
        <v>387</v>
      </c>
      <c r="E149" t="s">
        <v>388</v>
      </c>
      <c r="F149" s="2" t="s">
        <v>87</v>
      </c>
      <c r="G149" t="s">
        <v>49</v>
      </c>
      <c r="H149" s="2" t="s">
        <v>50</v>
      </c>
      <c r="I149" s="2">
        <v>8.9</v>
      </c>
      <c r="J149" t="s">
        <v>55</v>
      </c>
    </row>
    <row r="150" spans="1:10" x14ac:dyDescent="0.25">
      <c r="A150" s="1" t="s">
        <v>379</v>
      </c>
      <c r="B150" t="s">
        <v>380</v>
      </c>
      <c r="C150" s="1" t="s">
        <v>389</v>
      </c>
      <c r="D150" s="1" t="s">
        <v>389</v>
      </c>
      <c r="E150" t="s">
        <v>390</v>
      </c>
      <c r="F150" s="2" t="s">
        <v>391</v>
      </c>
      <c r="G150" t="s">
        <v>49</v>
      </c>
      <c r="H150" s="2" t="s">
        <v>50</v>
      </c>
      <c r="I150" s="2">
        <v>11.75</v>
      </c>
      <c r="J150" t="s">
        <v>55</v>
      </c>
    </row>
    <row r="151" spans="1:10" x14ac:dyDescent="0.25">
      <c r="A151" s="1" t="s">
        <v>379</v>
      </c>
      <c r="B151" t="s">
        <v>380</v>
      </c>
      <c r="C151" s="1" t="s">
        <v>392</v>
      </c>
      <c r="D151" s="1" t="s">
        <v>392</v>
      </c>
      <c r="E151" t="s">
        <v>393</v>
      </c>
      <c r="F151" s="2" t="s">
        <v>394</v>
      </c>
      <c r="G151" t="s">
        <v>49</v>
      </c>
      <c r="H151" s="2" t="s">
        <v>50</v>
      </c>
      <c r="I151" s="2">
        <v>5.85</v>
      </c>
      <c r="J151" t="s">
        <v>55</v>
      </c>
    </row>
    <row r="152" spans="1:10" x14ac:dyDescent="0.25">
      <c r="A152" s="1" t="s">
        <v>379</v>
      </c>
      <c r="B152" t="s">
        <v>380</v>
      </c>
      <c r="C152" s="1" t="s">
        <v>395</v>
      </c>
      <c r="D152" s="1" t="s">
        <v>395</v>
      </c>
      <c r="E152" t="s">
        <v>396</v>
      </c>
      <c r="F152" s="2" t="s">
        <v>397</v>
      </c>
      <c r="G152" t="s">
        <v>49</v>
      </c>
      <c r="H152" s="2" t="s">
        <v>50</v>
      </c>
      <c r="I152" s="2">
        <v>4.8</v>
      </c>
      <c r="J152" t="s">
        <v>55</v>
      </c>
    </row>
    <row r="153" spans="1:10" x14ac:dyDescent="0.25">
      <c r="A153" s="1" t="s">
        <v>379</v>
      </c>
      <c r="B153" t="s">
        <v>380</v>
      </c>
      <c r="C153" s="1" t="s">
        <v>398</v>
      </c>
      <c r="D153" s="1" t="s">
        <v>398</v>
      </c>
      <c r="E153" t="s">
        <v>399</v>
      </c>
      <c r="F153" s="2" t="s">
        <v>400</v>
      </c>
      <c r="G153" t="s">
        <v>49</v>
      </c>
      <c r="H153" s="2" t="s">
        <v>50</v>
      </c>
      <c r="I153" s="2">
        <v>5.9</v>
      </c>
      <c r="J153" t="s">
        <v>55</v>
      </c>
    </row>
    <row r="154" spans="1:10" x14ac:dyDescent="0.25">
      <c r="A154" s="1" t="s">
        <v>379</v>
      </c>
      <c r="B154" t="s">
        <v>380</v>
      </c>
      <c r="C154" s="1" t="s">
        <v>401</v>
      </c>
      <c r="D154" s="1" t="s">
        <v>401</v>
      </c>
      <c r="E154" t="s">
        <v>402</v>
      </c>
      <c r="F154" s="2" t="s">
        <v>403</v>
      </c>
      <c r="G154" t="s">
        <v>49</v>
      </c>
      <c r="H154" s="2" t="s">
        <v>50</v>
      </c>
      <c r="I154" s="2">
        <v>6</v>
      </c>
      <c r="J154" t="s">
        <v>55</v>
      </c>
    </row>
    <row r="155" spans="1:10" x14ac:dyDescent="0.25">
      <c r="A155" s="1" t="s">
        <v>379</v>
      </c>
      <c r="B155" t="s">
        <v>380</v>
      </c>
      <c r="C155" s="1" t="s">
        <v>7</v>
      </c>
      <c r="D155" s="1" t="s">
        <v>7</v>
      </c>
      <c r="E155" t="s">
        <v>8</v>
      </c>
      <c r="F155" s="2" t="s">
        <v>9</v>
      </c>
      <c r="G155" t="s">
        <v>10</v>
      </c>
      <c r="H155" s="2" t="s">
        <v>404</v>
      </c>
      <c r="I155" s="2">
        <v>1.01</v>
      </c>
    </row>
    <row r="156" spans="1:10" x14ac:dyDescent="0.25">
      <c r="A156" s="1" t="s">
        <v>405</v>
      </c>
      <c r="B156" t="s">
        <v>406</v>
      </c>
      <c r="C156" s="1" t="s">
        <v>407</v>
      </c>
      <c r="D156" s="1" t="s">
        <v>407</v>
      </c>
      <c r="E156" t="s">
        <v>408</v>
      </c>
      <c r="F156" s="2" t="s">
        <v>409</v>
      </c>
      <c r="G156" t="s">
        <v>49</v>
      </c>
      <c r="H156" s="2" t="s">
        <v>122</v>
      </c>
      <c r="I156" s="2">
        <v>5</v>
      </c>
      <c r="J156" t="s">
        <v>55</v>
      </c>
    </row>
    <row r="157" spans="1:10" x14ac:dyDescent="0.25">
      <c r="A157" s="1" t="s">
        <v>405</v>
      </c>
      <c r="B157" t="s">
        <v>406</v>
      </c>
      <c r="C157" s="1" t="s">
        <v>410</v>
      </c>
      <c r="D157" s="1" t="s">
        <v>410</v>
      </c>
      <c r="E157" t="s">
        <v>411</v>
      </c>
      <c r="F157" s="2" t="s">
        <v>409</v>
      </c>
      <c r="G157" t="s">
        <v>49</v>
      </c>
      <c r="H157" s="2" t="s">
        <v>122</v>
      </c>
      <c r="I157" s="2">
        <v>5</v>
      </c>
      <c r="J157" t="s">
        <v>55</v>
      </c>
    </row>
    <row r="158" spans="1:10" x14ac:dyDescent="0.25">
      <c r="A158" s="1" t="s">
        <v>405</v>
      </c>
      <c r="B158" t="s">
        <v>406</v>
      </c>
      <c r="C158" s="1" t="s">
        <v>412</v>
      </c>
      <c r="D158" s="1" t="s">
        <v>412</v>
      </c>
      <c r="E158" t="s">
        <v>413</v>
      </c>
      <c r="F158" s="2" t="s">
        <v>414</v>
      </c>
      <c r="G158" t="s">
        <v>49</v>
      </c>
      <c r="H158" s="2" t="s">
        <v>50</v>
      </c>
      <c r="I158" s="2">
        <v>21.4</v>
      </c>
      <c r="J158" t="s">
        <v>55</v>
      </c>
    </row>
    <row r="159" spans="1:10" x14ac:dyDescent="0.25">
      <c r="A159" s="1" t="s">
        <v>405</v>
      </c>
      <c r="B159" t="s">
        <v>406</v>
      </c>
      <c r="C159" s="1" t="s">
        <v>415</v>
      </c>
      <c r="D159" s="1" t="s">
        <v>415</v>
      </c>
      <c r="E159" t="s">
        <v>416</v>
      </c>
      <c r="F159" s="2" t="s">
        <v>417</v>
      </c>
      <c r="G159" t="s">
        <v>49</v>
      </c>
      <c r="H159" s="2" t="s">
        <v>50</v>
      </c>
      <c r="I159" s="2">
        <v>7.36</v>
      </c>
      <c r="J159" t="s">
        <v>55</v>
      </c>
    </row>
    <row r="160" spans="1:10" x14ac:dyDescent="0.25">
      <c r="A160" s="1" t="s">
        <v>405</v>
      </c>
      <c r="B160" t="s">
        <v>406</v>
      </c>
      <c r="C160" s="1" t="s">
        <v>418</v>
      </c>
      <c r="D160" s="1" t="s">
        <v>418</v>
      </c>
      <c r="E160" t="s">
        <v>419</v>
      </c>
      <c r="F160" s="2" t="s">
        <v>420</v>
      </c>
      <c r="G160" t="s">
        <v>49</v>
      </c>
      <c r="H160" s="2" t="s">
        <v>50</v>
      </c>
      <c r="I160" s="2">
        <v>12.34</v>
      </c>
      <c r="J160" t="s">
        <v>55</v>
      </c>
    </row>
    <row r="161" spans="1:10" x14ac:dyDescent="0.25">
      <c r="A161" s="1" t="s">
        <v>405</v>
      </c>
      <c r="B161" t="s">
        <v>406</v>
      </c>
      <c r="C161" s="1" t="s">
        <v>421</v>
      </c>
      <c r="D161" s="1" t="s">
        <v>421</v>
      </c>
      <c r="E161" t="s">
        <v>422</v>
      </c>
      <c r="F161" s="2" t="s">
        <v>423</v>
      </c>
      <c r="G161" t="s">
        <v>49</v>
      </c>
      <c r="H161" s="2" t="s">
        <v>50</v>
      </c>
      <c r="I161" s="2">
        <v>2.8</v>
      </c>
      <c r="J161" t="s">
        <v>55</v>
      </c>
    </row>
    <row r="162" spans="1:10" x14ac:dyDescent="0.25">
      <c r="A162" s="1" t="s">
        <v>405</v>
      </c>
      <c r="B162" t="s">
        <v>406</v>
      </c>
      <c r="C162" s="1" t="s">
        <v>424</v>
      </c>
      <c r="D162" s="1" t="s">
        <v>424</v>
      </c>
      <c r="E162" t="s">
        <v>425</v>
      </c>
      <c r="F162" s="2" t="s">
        <v>426</v>
      </c>
      <c r="G162" t="s">
        <v>49</v>
      </c>
      <c r="H162" s="2" t="s">
        <v>50</v>
      </c>
      <c r="I162" s="2">
        <v>98.22</v>
      </c>
      <c r="J162" t="s">
        <v>55</v>
      </c>
    </row>
    <row r="163" spans="1:10" x14ac:dyDescent="0.25">
      <c r="A163" s="1" t="s">
        <v>405</v>
      </c>
      <c r="B163" t="s">
        <v>406</v>
      </c>
      <c r="C163" s="1" t="s">
        <v>7</v>
      </c>
      <c r="D163" s="1" t="s">
        <v>7</v>
      </c>
      <c r="E163" t="s">
        <v>8</v>
      </c>
      <c r="F163" s="2" t="s">
        <v>9</v>
      </c>
      <c r="G163" t="s">
        <v>10</v>
      </c>
      <c r="H163" s="2" t="s">
        <v>19</v>
      </c>
      <c r="I163" s="2">
        <v>4.5999999999999996</v>
      </c>
    </row>
    <row r="164" spans="1:10" x14ac:dyDescent="0.25">
      <c r="A164" s="1" t="s">
        <v>427</v>
      </c>
      <c r="B164" t="s">
        <v>428</v>
      </c>
      <c r="C164" s="1" t="s">
        <v>429</v>
      </c>
      <c r="D164" s="1" t="s">
        <v>429</v>
      </c>
      <c r="E164" t="s">
        <v>430</v>
      </c>
      <c r="F164" s="2" t="s">
        <v>145</v>
      </c>
      <c r="G164" t="s">
        <v>5</v>
      </c>
      <c r="H164" s="2" t="s">
        <v>431</v>
      </c>
      <c r="I164" s="2">
        <v>3.35</v>
      </c>
    </row>
    <row r="165" spans="1:10" x14ac:dyDescent="0.25">
      <c r="A165" s="1" t="s">
        <v>427</v>
      </c>
      <c r="B165" t="s">
        <v>428</v>
      </c>
      <c r="C165" s="1" t="s">
        <v>432</v>
      </c>
      <c r="D165" s="1" t="s">
        <v>432</v>
      </c>
      <c r="E165" t="s">
        <v>433</v>
      </c>
      <c r="F165" s="2" t="s">
        <v>434</v>
      </c>
      <c r="G165" t="s">
        <v>435</v>
      </c>
      <c r="H165" s="2" t="s">
        <v>268</v>
      </c>
      <c r="I165" s="2">
        <v>3.3</v>
      </c>
    </row>
    <row r="166" spans="1:10" x14ac:dyDescent="0.25">
      <c r="A166" s="1" t="s">
        <v>427</v>
      </c>
      <c r="B166" t="s">
        <v>428</v>
      </c>
      <c r="C166" s="1" t="s">
        <v>7</v>
      </c>
      <c r="D166" s="1" t="s">
        <v>7</v>
      </c>
      <c r="E166" t="s">
        <v>8</v>
      </c>
      <c r="F166" s="2" t="s">
        <v>9</v>
      </c>
      <c r="G166" t="s">
        <v>10</v>
      </c>
      <c r="H166" s="2" t="s">
        <v>436</v>
      </c>
      <c r="I166" s="2">
        <v>5.95</v>
      </c>
    </row>
    <row r="167" spans="1:10" x14ac:dyDescent="0.25">
      <c r="A167" s="1" t="s">
        <v>437</v>
      </c>
      <c r="B167" t="s">
        <v>438</v>
      </c>
      <c r="C167" s="1" t="s">
        <v>81</v>
      </c>
      <c r="D167" s="1" t="s">
        <v>81</v>
      </c>
      <c r="E167" t="s">
        <v>82</v>
      </c>
      <c r="F167" s="2" t="s">
        <v>83</v>
      </c>
      <c r="G167" t="s">
        <v>39</v>
      </c>
      <c r="H167" s="2" t="s">
        <v>40</v>
      </c>
      <c r="I167" s="2">
        <v>0.15</v>
      </c>
    </row>
    <row r="168" spans="1:10" x14ac:dyDescent="0.25">
      <c r="A168" s="1" t="s">
        <v>437</v>
      </c>
      <c r="B168" t="s">
        <v>438</v>
      </c>
      <c r="C168" s="1" t="s">
        <v>84</v>
      </c>
      <c r="D168" s="1" t="s">
        <v>85</v>
      </c>
      <c r="E168" t="s">
        <v>86</v>
      </c>
      <c r="F168" s="2" t="s">
        <v>87</v>
      </c>
      <c r="G168" t="s">
        <v>49</v>
      </c>
      <c r="H168" s="2" t="s">
        <v>50</v>
      </c>
      <c r="I168" s="2">
        <v>8.9</v>
      </c>
      <c r="J168" t="s">
        <v>51</v>
      </c>
    </row>
    <row r="169" spans="1:10" x14ac:dyDescent="0.25">
      <c r="A169" s="1" t="s">
        <v>437</v>
      </c>
      <c r="B169" t="s">
        <v>438</v>
      </c>
      <c r="C169" s="1" t="s">
        <v>88</v>
      </c>
      <c r="D169" s="1" t="s">
        <v>89</v>
      </c>
      <c r="E169" t="s">
        <v>90</v>
      </c>
      <c r="F169" s="2" t="s">
        <v>91</v>
      </c>
      <c r="G169" t="s">
        <v>49</v>
      </c>
      <c r="H169" s="2" t="s">
        <v>92</v>
      </c>
      <c r="I169" s="2">
        <v>10.4</v>
      </c>
      <c r="J169" t="s">
        <v>51</v>
      </c>
    </row>
    <row r="170" spans="1:10" x14ac:dyDescent="0.25">
      <c r="A170" s="1" t="s">
        <v>437</v>
      </c>
      <c r="B170" t="s">
        <v>438</v>
      </c>
      <c r="C170" s="1" t="s">
        <v>93</v>
      </c>
      <c r="D170" s="1" t="s">
        <v>94</v>
      </c>
      <c r="E170" t="s">
        <v>95</v>
      </c>
      <c r="F170" s="2" t="s">
        <v>96</v>
      </c>
      <c r="G170" t="s">
        <v>49</v>
      </c>
      <c r="H170" s="2" t="s">
        <v>92</v>
      </c>
      <c r="I170" s="2">
        <v>8.9</v>
      </c>
      <c r="J170" t="s">
        <v>51</v>
      </c>
    </row>
    <row r="171" spans="1:10" x14ac:dyDescent="0.25">
      <c r="A171" s="1" t="s">
        <v>437</v>
      </c>
      <c r="B171" t="s">
        <v>438</v>
      </c>
      <c r="C171" s="1" t="s">
        <v>101</v>
      </c>
      <c r="D171" s="1" t="s">
        <v>102</v>
      </c>
      <c r="E171" t="s">
        <v>103</v>
      </c>
      <c r="F171" s="2" t="s">
        <v>104</v>
      </c>
      <c r="G171" t="s">
        <v>49</v>
      </c>
      <c r="H171" s="2" t="s">
        <v>50</v>
      </c>
      <c r="I171" s="2">
        <v>3.5</v>
      </c>
      <c r="J171" t="s">
        <v>51</v>
      </c>
    </row>
    <row r="172" spans="1:10" x14ac:dyDescent="0.25">
      <c r="A172" s="1" t="s">
        <v>437</v>
      </c>
      <c r="B172" t="s">
        <v>438</v>
      </c>
      <c r="C172" s="1" t="s">
        <v>105</v>
      </c>
      <c r="D172" s="1" t="s">
        <v>106</v>
      </c>
      <c r="E172" t="s">
        <v>107</v>
      </c>
      <c r="F172" s="2" t="s">
        <v>108</v>
      </c>
      <c r="G172" t="s">
        <v>49</v>
      </c>
      <c r="H172" s="2" t="s">
        <v>50</v>
      </c>
      <c r="I172" s="2">
        <v>4.2</v>
      </c>
      <c r="J172" t="s">
        <v>51</v>
      </c>
    </row>
    <row r="173" spans="1:10" x14ac:dyDescent="0.25">
      <c r="A173" s="1" t="s">
        <v>437</v>
      </c>
      <c r="B173" t="s">
        <v>438</v>
      </c>
      <c r="C173" s="1" t="s">
        <v>109</v>
      </c>
      <c r="D173" s="1" t="s">
        <v>109</v>
      </c>
      <c r="E173" t="s">
        <v>110</v>
      </c>
      <c r="F173" s="2" t="s">
        <v>111</v>
      </c>
      <c r="G173" t="s">
        <v>49</v>
      </c>
      <c r="H173" s="2" t="s">
        <v>50</v>
      </c>
      <c r="I173" s="2">
        <v>17.8</v>
      </c>
      <c r="J173" t="s">
        <v>55</v>
      </c>
    </row>
    <row r="174" spans="1:10" x14ac:dyDescent="0.25">
      <c r="A174" s="1" t="s">
        <v>437</v>
      </c>
      <c r="B174" t="s">
        <v>438</v>
      </c>
      <c r="C174" s="1" t="s">
        <v>7</v>
      </c>
      <c r="D174" s="1" t="s">
        <v>7</v>
      </c>
      <c r="E174" t="s">
        <v>8</v>
      </c>
      <c r="F174" s="2" t="s">
        <v>9</v>
      </c>
      <c r="G174" t="s">
        <v>10</v>
      </c>
      <c r="H174" s="2" t="s">
        <v>112</v>
      </c>
      <c r="I174" s="2">
        <v>3.9</v>
      </c>
    </row>
    <row r="175" spans="1:10" x14ac:dyDescent="0.25">
      <c r="A175" s="1" t="s">
        <v>439</v>
      </c>
      <c r="B175" t="s">
        <v>440</v>
      </c>
      <c r="C175" s="1" t="s">
        <v>441</v>
      </c>
      <c r="D175" s="1" t="s">
        <v>441</v>
      </c>
      <c r="E175" t="s">
        <v>442</v>
      </c>
      <c r="F175" s="2" t="s">
        <v>443</v>
      </c>
      <c r="G175" t="s">
        <v>49</v>
      </c>
      <c r="H175" s="2" t="s">
        <v>50</v>
      </c>
      <c r="I175" s="2">
        <v>15.18</v>
      </c>
      <c r="J175" t="s">
        <v>55</v>
      </c>
    </row>
    <row r="176" spans="1:10" x14ac:dyDescent="0.25">
      <c r="A176" s="1" t="s">
        <v>439</v>
      </c>
      <c r="B176" t="s">
        <v>440</v>
      </c>
      <c r="C176" s="1" t="s">
        <v>444</v>
      </c>
      <c r="D176" s="1" t="s">
        <v>444</v>
      </c>
      <c r="E176" t="s">
        <v>445</v>
      </c>
      <c r="F176" s="2" t="s">
        <v>446</v>
      </c>
      <c r="G176" t="s">
        <v>49</v>
      </c>
      <c r="H176" s="2" t="s">
        <v>50</v>
      </c>
      <c r="I176" s="2">
        <v>55.5</v>
      </c>
      <c r="J176" t="s">
        <v>55</v>
      </c>
    </row>
    <row r="177" spans="1:10" x14ac:dyDescent="0.25">
      <c r="A177" s="1" t="s">
        <v>439</v>
      </c>
      <c r="B177" t="s">
        <v>440</v>
      </c>
      <c r="C177" s="1" t="s">
        <v>7</v>
      </c>
      <c r="D177" s="1" t="s">
        <v>7</v>
      </c>
      <c r="E177" t="s">
        <v>8</v>
      </c>
      <c r="F177" s="2" t="s">
        <v>9</v>
      </c>
      <c r="G177" t="s">
        <v>10</v>
      </c>
      <c r="H177" s="2" t="s">
        <v>447</v>
      </c>
      <c r="I177" s="2">
        <v>0.92</v>
      </c>
    </row>
    <row r="178" spans="1:10" x14ac:dyDescent="0.25">
      <c r="A178" s="1" t="s">
        <v>448</v>
      </c>
      <c r="B178" t="s">
        <v>449</v>
      </c>
      <c r="C178" s="1" t="s">
        <v>248</v>
      </c>
      <c r="D178" s="1" t="s">
        <v>248</v>
      </c>
      <c r="E178" t="s">
        <v>249</v>
      </c>
      <c r="F178" s="2" t="s">
        <v>70</v>
      </c>
      <c r="G178" t="s">
        <v>39</v>
      </c>
      <c r="H178" s="2" t="s">
        <v>40</v>
      </c>
      <c r="I178" s="2">
        <v>0.05</v>
      </c>
    </row>
    <row r="179" spans="1:10" x14ac:dyDescent="0.25">
      <c r="A179" s="1" t="s">
        <v>448</v>
      </c>
      <c r="B179" t="s">
        <v>449</v>
      </c>
      <c r="C179" s="1" t="s">
        <v>450</v>
      </c>
      <c r="D179" s="1" t="s">
        <v>451</v>
      </c>
      <c r="E179" t="s">
        <v>452</v>
      </c>
      <c r="F179" s="2" t="s">
        <v>453</v>
      </c>
      <c r="G179" t="s">
        <v>49</v>
      </c>
      <c r="H179" s="2" t="s">
        <v>50</v>
      </c>
      <c r="I179" s="2">
        <v>16.899999999999999</v>
      </c>
      <c r="J179" t="s">
        <v>51</v>
      </c>
    </row>
    <row r="180" spans="1:10" x14ac:dyDescent="0.25">
      <c r="A180" s="1" t="s">
        <v>448</v>
      </c>
      <c r="B180" t="s">
        <v>449</v>
      </c>
      <c r="C180" s="1" t="s">
        <v>454</v>
      </c>
      <c r="D180" s="1" t="s">
        <v>455</v>
      </c>
      <c r="E180" t="s">
        <v>456</v>
      </c>
      <c r="F180" s="2" t="s">
        <v>457</v>
      </c>
      <c r="G180" t="s">
        <v>49</v>
      </c>
      <c r="H180" s="2" t="s">
        <v>50</v>
      </c>
      <c r="I180" s="2">
        <v>6.1</v>
      </c>
      <c r="J180" t="s">
        <v>51</v>
      </c>
    </row>
    <row r="181" spans="1:10" x14ac:dyDescent="0.25">
      <c r="A181" s="1" t="s">
        <v>448</v>
      </c>
      <c r="B181" t="s">
        <v>449</v>
      </c>
      <c r="C181" s="1" t="s">
        <v>7</v>
      </c>
      <c r="D181" s="1" t="s">
        <v>7</v>
      </c>
      <c r="E181" t="s">
        <v>8</v>
      </c>
      <c r="F181" s="2" t="s">
        <v>9</v>
      </c>
      <c r="G181" t="s">
        <v>10</v>
      </c>
      <c r="H181" s="2" t="s">
        <v>367</v>
      </c>
      <c r="I181" s="2">
        <v>2.2999999999999998</v>
      </c>
    </row>
    <row r="182" spans="1:10" x14ac:dyDescent="0.25">
      <c r="A182" s="1" t="s">
        <v>458</v>
      </c>
      <c r="B182" t="s">
        <v>459</v>
      </c>
      <c r="C182" s="1" t="s">
        <v>81</v>
      </c>
      <c r="D182" s="1" t="s">
        <v>81</v>
      </c>
      <c r="E182" t="s">
        <v>82</v>
      </c>
      <c r="F182" s="2" t="s">
        <v>83</v>
      </c>
      <c r="G182" t="s">
        <v>39</v>
      </c>
      <c r="H182" s="2" t="s">
        <v>40</v>
      </c>
      <c r="I182" s="2">
        <v>0.15</v>
      </c>
    </row>
    <row r="183" spans="1:10" x14ac:dyDescent="0.25">
      <c r="A183" s="1" t="s">
        <v>458</v>
      </c>
      <c r="B183" t="s">
        <v>459</v>
      </c>
      <c r="C183" s="1" t="s">
        <v>460</v>
      </c>
      <c r="D183" s="1" t="s">
        <v>460</v>
      </c>
      <c r="E183" t="s">
        <v>461</v>
      </c>
      <c r="F183" s="2" t="s">
        <v>462</v>
      </c>
      <c r="G183" t="s">
        <v>49</v>
      </c>
      <c r="H183" s="2" t="s">
        <v>50</v>
      </c>
      <c r="I183" s="2">
        <v>19.8</v>
      </c>
      <c r="J183" t="s">
        <v>55</v>
      </c>
    </row>
    <row r="184" spans="1:10" x14ac:dyDescent="0.25">
      <c r="A184" s="1" t="s">
        <v>458</v>
      </c>
      <c r="B184" t="s">
        <v>459</v>
      </c>
      <c r="C184" s="1" t="s">
        <v>463</v>
      </c>
      <c r="D184" s="1" t="s">
        <v>463</v>
      </c>
      <c r="E184" t="s">
        <v>464</v>
      </c>
      <c r="F184" s="2" t="s">
        <v>465</v>
      </c>
      <c r="G184" t="s">
        <v>49</v>
      </c>
      <c r="H184" s="2" t="s">
        <v>50</v>
      </c>
      <c r="I184" s="2">
        <v>6.21</v>
      </c>
      <c r="J184" t="s">
        <v>55</v>
      </c>
    </row>
    <row r="185" spans="1:10" x14ac:dyDescent="0.25">
      <c r="A185" s="1" t="s">
        <v>458</v>
      </c>
      <c r="B185" t="s">
        <v>459</v>
      </c>
      <c r="C185" s="1" t="s">
        <v>466</v>
      </c>
      <c r="D185" s="1" t="s">
        <v>466</v>
      </c>
      <c r="E185" t="s">
        <v>467</v>
      </c>
      <c r="F185" s="2" t="s">
        <v>468</v>
      </c>
      <c r="G185" t="s">
        <v>49</v>
      </c>
      <c r="H185" s="2" t="s">
        <v>319</v>
      </c>
      <c r="I185" s="2">
        <v>40.799999999999997</v>
      </c>
      <c r="J185" t="s">
        <v>55</v>
      </c>
    </row>
    <row r="186" spans="1:10" x14ac:dyDescent="0.25">
      <c r="A186" s="1" t="s">
        <v>458</v>
      </c>
      <c r="B186" t="s">
        <v>459</v>
      </c>
      <c r="C186" s="1" t="s">
        <v>7</v>
      </c>
      <c r="D186" s="1" t="s">
        <v>7</v>
      </c>
      <c r="E186" t="s">
        <v>8</v>
      </c>
      <c r="F186" s="2" t="s">
        <v>9</v>
      </c>
      <c r="G186" t="s">
        <v>10</v>
      </c>
      <c r="H186" s="2" t="s">
        <v>19</v>
      </c>
      <c r="I186" s="2">
        <v>4.5999999999999996</v>
      </c>
    </row>
    <row r="187" spans="1:10" x14ac:dyDescent="0.25">
      <c r="A187" s="1" t="s">
        <v>469</v>
      </c>
      <c r="B187" t="s">
        <v>470</v>
      </c>
      <c r="C187" s="1" t="s">
        <v>471</v>
      </c>
      <c r="D187" s="1" t="s">
        <v>471</v>
      </c>
      <c r="E187" t="s">
        <v>472</v>
      </c>
      <c r="F187" s="2" t="s">
        <v>473</v>
      </c>
      <c r="G187" t="s">
        <v>5</v>
      </c>
      <c r="H187" s="2" t="s">
        <v>474</v>
      </c>
      <c r="I187" s="2">
        <v>22.65</v>
      </c>
    </row>
    <row r="188" spans="1:10" x14ac:dyDescent="0.25">
      <c r="A188" s="1" t="s">
        <v>469</v>
      </c>
      <c r="B188" t="s">
        <v>470</v>
      </c>
      <c r="C188" s="1" t="s">
        <v>475</v>
      </c>
      <c r="D188" s="1" t="s">
        <v>475</v>
      </c>
      <c r="E188" t="s">
        <v>476</v>
      </c>
      <c r="F188" s="2" t="s">
        <v>477</v>
      </c>
      <c r="G188" t="s">
        <v>39</v>
      </c>
      <c r="H188" s="2" t="s">
        <v>478</v>
      </c>
      <c r="I188" s="2">
        <v>0.41</v>
      </c>
    </row>
    <row r="189" spans="1:10" x14ac:dyDescent="0.25">
      <c r="A189" s="1" t="s">
        <v>469</v>
      </c>
      <c r="B189" t="s">
        <v>470</v>
      </c>
      <c r="C189" s="1" t="s">
        <v>479</v>
      </c>
      <c r="D189" s="1" t="s">
        <v>479</v>
      </c>
      <c r="E189" t="s">
        <v>480</v>
      </c>
      <c r="F189" s="2" t="s">
        <v>481</v>
      </c>
      <c r="G189" t="s">
        <v>5</v>
      </c>
      <c r="H189" s="2" t="s">
        <v>482</v>
      </c>
      <c r="I189" s="2">
        <v>0.04</v>
      </c>
    </row>
    <row r="190" spans="1:10" x14ac:dyDescent="0.25">
      <c r="A190" s="1" t="s">
        <v>469</v>
      </c>
      <c r="B190" t="s">
        <v>470</v>
      </c>
      <c r="C190" s="1" t="s">
        <v>483</v>
      </c>
      <c r="D190" s="1" t="s">
        <v>483</v>
      </c>
      <c r="E190" t="s">
        <v>484</v>
      </c>
      <c r="F190" s="2" t="s">
        <v>485</v>
      </c>
      <c r="G190" t="s">
        <v>5</v>
      </c>
      <c r="H190" s="2" t="s">
        <v>486</v>
      </c>
      <c r="I190" s="2">
        <v>0.03</v>
      </c>
    </row>
    <row r="191" spans="1:10" x14ac:dyDescent="0.25">
      <c r="A191" s="1" t="s">
        <v>469</v>
      </c>
      <c r="B191" t="s">
        <v>470</v>
      </c>
      <c r="C191" s="1" t="s">
        <v>487</v>
      </c>
      <c r="D191" s="1" t="s">
        <v>487</v>
      </c>
      <c r="E191" t="s">
        <v>488</v>
      </c>
      <c r="F191" s="2" t="s">
        <v>489</v>
      </c>
      <c r="G191" t="s">
        <v>5</v>
      </c>
      <c r="H191" s="2" t="s">
        <v>490</v>
      </c>
      <c r="I191" s="2">
        <v>0.28999999999999998</v>
      </c>
    </row>
    <row r="192" spans="1:10" x14ac:dyDescent="0.25">
      <c r="A192" s="1" t="s">
        <v>469</v>
      </c>
      <c r="B192" t="s">
        <v>470</v>
      </c>
      <c r="C192" s="1" t="s">
        <v>491</v>
      </c>
      <c r="D192" s="1" t="s">
        <v>491</v>
      </c>
      <c r="E192" t="s">
        <v>492</v>
      </c>
      <c r="F192" s="2" t="s">
        <v>493</v>
      </c>
      <c r="G192" t="s">
        <v>121</v>
      </c>
      <c r="H192" s="2" t="s">
        <v>92</v>
      </c>
      <c r="I192" s="2">
        <v>13.7</v>
      </c>
    </row>
    <row r="193" spans="1:10" x14ac:dyDescent="0.25">
      <c r="A193" s="1" t="s">
        <v>469</v>
      </c>
      <c r="B193" t="s">
        <v>470</v>
      </c>
      <c r="C193" s="1" t="s">
        <v>494</v>
      </c>
      <c r="D193" s="1" t="s">
        <v>494</v>
      </c>
      <c r="E193" t="s">
        <v>495</v>
      </c>
      <c r="F193" s="2" t="s">
        <v>496</v>
      </c>
      <c r="G193" t="s">
        <v>121</v>
      </c>
      <c r="H193" s="2" t="s">
        <v>50</v>
      </c>
      <c r="I193" s="2">
        <v>17.45</v>
      </c>
    </row>
    <row r="194" spans="1:10" x14ac:dyDescent="0.25">
      <c r="A194" s="1" t="s">
        <v>469</v>
      </c>
      <c r="B194" t="s">
        <v>470</v>
      </c>
      <c r="C194" s="1" t="s">
        <v>497</v>
      </c>
      <c r="D194" s="1" t="s">
        <v>497</v>
      </c>
      <c r="E194" t="s">
        <v>498</v>
      </c>
      <c r="F194" s="2" t="s">
        <v>496</v>
      </c>
      <c r="G194" t="s">
        <v>121</v>
      </c>
      <c r="H194" s="2" t="s">
        <v>50</v>
      </c>
      <c r="I194" s="2">
        <v>17.45</v>
      </c>
    </row>
    <row r="195" spans="1:10" x14ac:dyDescent="0.25">
      <c r="A195" s="1" t="s">
        <v>469</v>
      </c>
      <c r="B195" t="s">
        <v>470</v>
      </c>
      <c r="C195" s="1" t="s">
        <v>499</v>
      </c>
      <c r="D195" s="1" t="s">
        <v>499</v>
      </c>
      <c r="E195" t="s">
        <v>500</v>
      </c>
      <c r="F195" s="2" t="s">
        <v>501</v>
      </c>
      <c r="G195" t="s">
        <v>121</v>
      </c>
      <c r="H195" s="2" t="s">
        <v>50</v>
      </c>
      <c r="I195" s="2">
        <v>4.5</v>
      </c>
    </row>
    <row r="196" spans="1:10" x14ac:dyDescent="0.25">
      <c r="A196" s="1" t="s">
        <v>469</v>
      </c>
      <c r="B196" t="s">
        <v>470</v>
      </c>
      <c r="C196" s="1" t="s">
        <v>502</v>
      </c>
      <c r="D196" s="1" t="s">
        <v>502</v>
      </c>
      <c r="E196" t="s">
        <v>503</v>
      </c>
      <c r="F196" s="2" t="s">
        <v>31</v>
      </c>
      <c r="G196" t="s">
        <v>121</v>
      </c>
      <c r="H196" s="2" t="s">
        <v>50</v>
      </c>
      <c r="I196" s="2">
        <v>10.6</v>
      </c>
      <c r="J196" t="s">
        <v>55</v>
      </c>
    </row>
    <row r="197" spans="1:10" x14ac:dyDescent="0.25">
      <c r="A197" s="1" t="s">
        <v>469</v>
      </c>
      <c r="B197" t="s">
        <v>470</v>
      </c>
      <c r="C197" s="1" t="s">
        <v>7</v>
      </c>
      <c r="D197" s="1" t="s">
        <v>7</v>
      </c>
      <c r="E197" t="s">
        <v>8</v>
      </c>
      <c r="F197" s="2" t="s">
        <v>9</v>
      </c>
      <c r="G197" t="s">
        <v>10</v>
      </c>
      <c r="H197" s="2" t="s">
        <v>504</v>
      </c>
      <c r="I197" s="2">
        <v>32</v>
      </c>
    </row>
    <row r="198" spans="1:10" x14ac:dyDescent="0.25">
      <c r="A198" s="1" t="s">
        <v>505</v>
      </c>
      <c r="B198" t="s">
        <v>506</v>
      </c>
      <c r="C198" s="1" t="s">
        <v>507</v>
      </c>
      <c r="D198" s="1" t="s">
        <v>507</v>
      </c>
      <c r="E198" t="s">
        <v>508</v>
      </c>
      <c r="F198" s="2" t="s">
        <v>509</v>
      </c>
      <c r="G198" t="s">
        <v>5</v>
      </c>
      <c r="H198" s="2" t="s">
        <v>510</v>
      </c>
      <c r="I198" s="2">
        <v>5.49</v>
      </c>
    </row>
    <row r="199" spans="1:10" x14ac:dyDescent="0.25">
      <c r="A199" s="1" t="s">
        <v>505</v>
      </c>
      <c r="B199" t="s">
        <v>506</v>
      </c>
      <c r="C199" s="1" t="s">
        <v>511</v>
      </c>
      <c r="D199" s="1" t="s">
        <v>511</v>
      </c>
      <c r="E199" t="s">
        <v>512</v>
      </c>
      <c r="F199" s="2" t="s">
        <v>513</v>
      </c>
      <c r="G199" t="s">
        <v>39</v>
      </c>
      <c r="H199" s="2" t="s">
        <v>478</v>
      </c>
      <c r="I199" s="2">
        <v>0.44</v>
      </c>
    </row>
    <row r="200" spans="1:10" x14ac:dyDescent="0.25">
      <c r="A200" s="1" t="s">
        <v>505</v>
      </c>
      <c r="B200" t="s">
        <v>506</v>
      </c>
      <c r="C200" s="1" t="s">
        <v>514</v>
      </c>
      <c r="D200" s="1" t="s">
        <v>514</v>
      </c>
      <c r="E200" t="s">
        <v>515</v>
      </c>
      <c r="F200" s="2" t="s">
        <v>516</v>
      </c>
      <c r="G200" t="s">
        <v>121</v>
      </c>
      <c r="H200" s="2" t="s">
        <v>50</v>
      </c>
      <c r="I200" s="2">
        <v>0.27</v>
      </c>
    </row>
    <row r="201" spans="1:10" x14ac:dyDescent="0.25">
      <c r="A201" s="1" t="s">
        <v>505</v>
      </c>
      <c r="B201" t="s">
        <v>506</v>
      </c>
      <c r="C201" s="1" t="s">
        <v>517</v>
      </c>
      <c r="D201" s="1" t="s">
        <v>517</v>
      </c>
      <c r="E201" t="s">
        <v>518</v>
      </c>
      <c r="F201" s="2" t="s">
        <v>519</v>
      </c>
      <c r="G201" t="s">
        <v>121</v>
      </c>
      <c r="H201" s="2" t="s">
        <v>92</v>
      </c>
      <c r="I201" s="2">
        <v>11.1</v>
      </c>
    </row>
    <row r="202" spans="1:10" x14ac:dyDescent="0.25">
      <c r="A202" s="1" t="s">
        <v>505</v>
      </c>
      <c r="B202" t="s">
        <v>506</v>
      </c>
      <c r="C202" s="1" t="s">
        <v>520</v>
      </c>
      <c r="D202" s="1" t="s">
        <v>520</v>
      </c>
      <c r="E202" t="s">
        <v>521</v>
      </c>
      <c r="F202" s="2" t="s">
        <v>522</v>
      </c>
      <c r="G202" t="s">
        <v>121</v>
      </c>
      <c r="H202" s="2" t="s">
        <v>50</v>
      </c>
      <c r="I202" s="2">
        <v>3.45</v>
      </c>
    </row>
    <row r="203" spans="1:10" x14ac:dyDescent="0.25">
      <c r="A203" s="1" t="s">
        <v>505</v>
      </c>
      <c r="B203" t="s">
        <v>506</v>
      </c>
      <c r="C203" s="1" t="s">
        <v>7</v>
      </c>
      <c r="D203" s="1" t="s">
        <v>7</v>
      </c>
      <c r="E203" t="s">
        <v>8</v>
      </c>
      <c r="F203" s="2" t="s">
        <v>9</v>
      </c>
      <c r="G203" t="s">
        <v>10</v>
      </c>
      <c r="H203" s="2" t="s">
        <v>523</v>
      </c>
      <c r="I203" s="2">
        <v>17</v>
      </c>
    </row>
    <row r="204" spans="1:10" x14ac:dyDescent="0.25">
      <c r="A204" s="1" t="s">
        <v>524</v>
      </c>
      <c r="B204" t="s">
        <v>525</v>
      </c>
      <c r="C204" s="1" t="s">
        <v>471</v>
      </c>
      <c r="D204" s="1" t="s">
        <v>471</v>
      </c>
      <c r="E204" t="s">
        <v>472</v>
      </c>
      <c r="F204" s="2" t="s">
        <v>526</v>
      </c>
      <c r="G204" t="s">
        <v>5</v>
      </c>
      <c r="H204" s="2" t="s">
        <v>527</v>
      </c>
      <c r="I204" s="2">
        <v>22.5</v>
      </c>
    </row>
    <row r="205" spans="1:10" x14ac:dyDescent="0.25">
      <c r="A205" s="1" t="s">
        <v>524</v>
      </c>
      <c r="B205" t="s">
        <v>525</v>
      </c>
      <c r="C205" s="1" t="s">
        <v>511</v>
      </c>
      <c r="D205" s="1" t="s">
        <v>511</v>
      </c>
      <c r="E205" t="s">
        <v>512</v>
      </c>
      <c r="F205" s="2" t="s">
        <v>513</v>
      </c>
      <c r="G205" t="s">
        <v>39</v>
      </c>
      <c r="H205" s="2" t="s">
        <v>478</v>
      </c>
      <c r="I205" s="2">
        <v>0.44</v>
      </c>
    </row>
    <row r="206" spans="1:10" x14ac:dyDescent="0.25">
      <c r="A206" s="1" t="s">
        <v>524</v>
      </c>
      <c r="B206" t="s">
        <v>525</v>
      </c>
      <c r="C206" s="1" t="s">
        <v>479</v>
      </c>
      <c r="D206" s="1" t="s">
        <v>479</v>
      </c>
      <c r="E206" t="s">
        <v>480</v>
      </c>
      <c r="F206" s="2" t="s">
        <v>481</v>
      </c>
      <c r="G206" t="s">
        <v>5</v>
      </c>
      <c r="H206" s="2" t="s">
        <v>482</v>
      </c>
      <c r="I206" s="2">
        <v>0.04</v>
      </c>
    </row>
    <row r="207" spans="1:10" x14ac:dyDescent="0.25">
      <c r="A207" s="1" t="s">
        <v>524</v>
      </c>
      <c r="B207" t="s">
        <v>525</v>
      </c>
      <c r="C207" s="1" t="s">
        <v>483</v>
      </c>
      <c r="D207" s="1" t="s">
        <v>483</v>
      </c>
      <c r="E207" t="s">
        <v>484</v>
      </c>
      <c r="F207" s="2" t="s">
        <v>485</v>
      </c>
      <c r="G207" t="s">
        <v>5</v>
      </c>
      <c r="H207" s="2" t="s">
        <v>528</v>
      </c>
      <c r="I207" s="2">
        <v>0.02</v>
      </c>
    </row>
    <row r="208" spans="1:10" x14ac:dyDescent="0.25">
      <c r="A208" s="1" t="s">
        <v>524</v>
      </c>
      <c r="B208" t="s">
        <v>525</v>
      </c>
      <c r="C208" s="1" t="s">
        <v>487</v>
      </c>
      <c r="D208" s="1" t="s">
        <v>487</v>
      </c>
      <c r="E208" t="s">
        <v>488</v>
      </c>
      <c r="F208" s="2" t="s">
        <v>489</v>
      </c>
      <c r="G208" t="s">
        <v>5</v>
      </c>
      <c r="H208" s="2" t="s">
        <v>529</v>
      </c>
      <c r="I208" s="2">
        <v>0.3</v>
      </c>
    </row>
    <row r="209" spans="1:10" x14ac:dyDescent="0.25">
      <c r="A209" s="1" t="s">
        <v>524</v>
      </c>
      <c r="B209" t="s">
        <v>525</v>
      </c>
      <c r="C209" s="1" t="s">
        <v>491</v>
      </c>
      <c r="D209" s="1" t="s">
        <v>491</v>
      </c>
      <c r="E209" t="s">
        <v>492</v>
      </c>
      <c r="F209" s="2" t="s">
        <v>493</v>
      </c>
      <c r="G209" t="s">
        <v>121</v>
      </c>
      <c r="H209" s="2" t="s">
        <v>92</v>
      </c>
      <c r="I209" s="2">
        <v>13.7</v>
      </c>
    </row>
    <row r="210" spans="1:10" x14ac:dyDescent="0.25">
      <c r="A210" s="1" t="s">
        <v>524</v>
      </c>
      <c r="B210" t="s">
        <v>525</v>
      </c>
      <c r="C210" s="1" t="s">
        <v>494</v>
      </c>
      <c r="D210" s="1" t="s">
        <v>494</v>
      </c>
      <c r="E210" t="s">
        <v>495</v>
      </c>
      <c r="F210" s="2" t="s">
        <v>496</v>
      </c>
      <c r="G210" t="s">
        <v>121</v>
      </c>
      <c r="H210" s="2" t="s">
        <v>50</v>
      </c>
      <c r="I210" s="2">
        <v>17.45</v>
      </c>
    </row>
    <row r="211" spans="1:10" x14ac:dyDescent="0.25">
      <c r="A211" s="1" t="s">
        <v>524</v>
      </c>
      <c r="B211" t="s">
        <v>525</v>
      </c>
      <c r="C211" s="1" t="s">
        <v>497</v>
      </c>
      <c r="D211" s="1" t="s">
        <v>497</v>
      </c>
      <c r="E211" t="s">
        <v>498</v>
      </c>
      <c r="F211" s="2" t="s">
        <v>496</v>
      </c>
      <c r="G211" t="s">
        <v>121</v>
      </c>
      <c r="H211" s="2" t="s">
        <v>50</v>
      </c>
      <c r="I211" s="2">
        <v>17.45</v>
      </c>
    </row>
    <row r="212" spans="1:10" x14ac:dyDescent="0.25">
      <c r="A212" s="1" t="s">
        <v>524</v>
      </c>
      <c r="B212" t="s">
        <v>525</v>
      </c>
      <c r="C212" s="1" t="s">
        <v>499</v>
      </c>
      <c r="D212" s="1" t="s">
        <v>499</v>
      </c>
      <c r="E212" t="s">
        <v>500</v>
      </c>
      <c r="F212" s="2" t="s">
        <v>501</v>
      </c>
      <c r="G212" t="s">
        <v>121</v>
      </c>
      <c r="H212" s="2" t="s">
        <v>50</v>
      </c>
      <c r="I212" s="2">
        <v>4.5</v>
      </c>
    </row>
    <row r="213" spans="1:10" x14ac:dyDescent="0.25">
      <c r="A213" s="1" t="s">
        <v>524</v>
      </c>
      <c r="B213" t="s">
        <v>525</v>
      </c>
      <c r="C213" s="1" t="s">
        <v>502</v>
      </c>
      <c r="D213" s="1" t="s">
        <v>502</v>
      </c>
      <c r="E213" t="s">
        <v>503</v>
      </c>
      <c r="F213" s="2" t="s">
        <v>31</v>
      </c>
      <c r="G213" t="s">
        <v>121</v>
      </c>
      <c r="H213" s="2" t="s">
        <v>50</v>
      </c>
      <c r="I213" s="2">
        <v>10.6</v>
      </c>
      <c r="J213" t="s">
        <v>55</v>
      </c>
    </row>
    <row r="214" spans="1:10" x14ac:dyDescent="0.25">
      <c r="A214" s="1" t="s">
        <v>524</v>
      </c>
      <c r="B214" t="s">
        <v>525</v>
      </c>
      <c r="C214" s="1" t="s">
        <v>7</v>
      </c>
      <c r="D214" s="1" t="s">
        <v>7</v>
      </c>
      <c r="E214" t="s">
        <v>8</v>
      </c>
      <c r="F214" s="2" t="s">
        <v>9</v>
      </c>
      <c r="G214" t="s">
        <v>10</v>
      </c>
      <c r="H214" s="2" t="s">
        <v>530</v>
      </c>
      <c r="I214" s="2">
        <v>48.3</v>
      </c>
    </row>
    <row r="215" spans="1:10" x14ac:dyDescent="0.25">
      <c r="A215" s="1" t="s">
        <v>531</v>
      </c>
      <c r="B215" t="s">
        <v>532</v>
      </c>
      <c r="C215" s="1" t="s">
        <v>471</v>
      </c>
      <c r="D215" s="1" t="s">
        <v>471</v>
      </c>
      <c r="E215" t="s">
        <v>472</v>
      </c>
      <c r="F215" s="2" t="s">
        <v>526</v>
      </c>
      <c r="G215" t="s">
        <v>5</v>
      </c>
      <c r="H215" s="2" t="s">
        <v>533</v>
      </c>
      <c r="I215" s="2">
        <v>13.51</v>
      </c>
    </row>
    <row r="216" spans="1:10" x14ac:dyDescent="0.25">
      <c r="A216" s="1" t="s">
        <v>531</v>
      </c>
      <c r="B216" t="s">
        <v>532</v>
      </c>
      <c r="C216" s="1" t="s">
        <v>475</v>
      </c>
      <c r="D216" s="1" t="s">
        <v>475</v>
      </c>
      <c r="E216" t="s">
        <v>476</v>
      </c>
      <c r="F216" s="2" t="s">
        <v>477</v>
      </c>
      <c r="G216" t="s">
        <v>39</v>
      </c>
      <c r="H216" s="2" t="s">
        <v>478</v>
      </c>
      <c r="I216" s="2">
        <v>0.41</v>
      </c>
    </row>
    <row r="217" spans="1:10" x14ac:dyDescent="0.25">
      <c r="A217" s="1" t="s">
        <v>531</v>
      </c>
      <c r="B217" t="s">
        <v>532</v>
      </c>
      <c r="C217" s="1" t="s">
        <v>479</v>
      </c>
      <c r="D217" s="1" t="s">
        <v>479</v>
      </c>
      <c r="E217" t="s">
        <v>480</v>
      </c>
      <c r="F217" s="2" t="s">
        <v>481</v>
      </c>
      <c r="G217" t="s">
        <v>5</v>
      </c>
      <c r="H217" s="2" t="s">
        <v>534</v>
      </c>
      <c r="I217" s="2">
        <v>0.05</v>
      </c>
    </row>
    <row r="218" spans="1:10" x14ac:dyDescent="0.25">
      <c r="A218" s="1" t="s">
        <v>531</v>
      </c>
      <c r="B218" t="s">
        <v>532</v>
      </c>
      <c r="C218" s="1" t="s">
        <v>483</v>
      </c>
      <c r="D218" s="1" t="s">
        <v>483</v>
      </c>
      <c r="E218" t="s">
        <v>484</v>
      </c>
      <c r="F218" s="2" t="s">
        <v>485</v>
      </c>
      <c r="G218" t="s">
        <v>5</v>
      </c>
      <c r="H218" s="2" t="s">
        <v>535</v>
      </c>
      <c r="I218" s="2">
        <v>0.03</v>
      </c>
    </row>
    <row r="219" spans="1:10" x14ac:dyDescent="0.25">
      <c r="A219" s="1" t="s">
        <v>531</v>
      </c>
      <c r="B219" t="s">
        <v>532</v>
      </c>
      <c r="C219" s="1" t="s">
        <v>487</v>
      </c>
      <c r="D219" s="1" t="s">
        <v>487</v>
      </c>
      <c r="E219" t="s">
        <v>488</v>
      </c>
      <c r="F219" s="2" t="s">
        <v>489</v>
      </c>
      <c r="G219" t="s">
        <v>5</v>
      </c>
      <c r="H219" s="2" t="s">
        <v>490</v>
      </c>
      <c r="I219" s="2">
        <v>0.28999999999999998</v>
      </c>
    </row>
    <row r="220" spans="1:10" x14ac:dyDescent="0.25">
      <c r="A220" s="1" t="s">
        <v>531</v>
      </c>
      <c r="B220" t="s">
        <v>532</v>
      </c>
      <c r="C220" s="1" t="s">
        <v>41</v>
      </c>
      <c r="D220" s="1" t="s">
        <v>41</v>
      </c>
      <c r="E220" t="s">
        <v>42</v>
      </c>
      <c r="F220" s="2" t="s">
        <v>43</v>
      </c>
      <c r="G220" t="s">
        <v>5</v>
      </c>
      <c r="H220" s="2" t="s">
        <v>44</v>
      </c>
      <c r="I220" s="2">
        <v>0.01</v>
      </c>
    </row>
    <row r="221" spans="1:10" x14ac:dyDescent="0.25">
      <c r="A221" s="1" t="s">
        <v>531</v>
      </c>
      <c r="B221" t="s">
        <v>532</v>
      </c>
      <c r="C221" s="1" t="s">
        <v>491</v>
      </c>
      <c r="D221" s="1" t="s">
        <v>491</v>
      </c>
      <c r="E221" t="s">
        <v>492</v>
      </c>
      <c r="F221" s="2" t="s">
        <v>493</v>
      </c>
      <c r="G221" t="s">
        <v>121</v>
      </c>
      <c r="H221" s="2" t="s">
        <v>92</v>
      </c>
      <c r="I221" s="2">
        <v>13.7</v>
      </c>
    </row>
    <row r="222" spans="1:10" x14ac:dyDescent="0.25">
      <c r="A222" s="1" t="s">
        <v>531</v>
      </c>
      <c r="B222" t="s">
        <v>532</v>
      </c>
      <c r="C222" s="1" t="s">
        <v>499</v>
      </c>
      <c r="D222" s="1" t="s">
        <v>499</v>
      </c>
      <c r="E222" t="s">
        <v>500</v>
      </c>
      <c r="F222" s="2" t="s">
        <v>501</v>
      </c>
      <c r="G222" t="s">
        <v>121</v>
      </c>
      <c r="H222" s="2" t="s">
        <v>50</v>
      </c>
      <c r="I222" s="2">
        <v>4.5</v>
      </c>
    </row>
    <row r="223" spans="1:10" x14ac:dyDescent="0.25">
      <c r="A223" s="1" t="s">
        <v>531</v>
      </c>
      <c r="B223" t="s">
        <v>532</v>
      </c>
      <c r="C223" s="1" t="s">
        <v>536</v>
      </c>
      <c r="D223" s="1" t="s">
        <v>536</v>
      </c>
      <c r="E223" t="s">
        <v>537</v>
      </c>
      <c r="F223" s="2" t="s">
        <v>538</v>
      </c>
      <c r="G223" t="s">
        <v>121</v>
      </c>
      <c r="H223" s="2" t="s">
        <v>50</v>
      </c>
      <c r="I223" s="2">
        <v>15.7</v>
      </c>
    </row>
    <row r="224" spans="1:10" x14ac:dyDescent="0.25">
      <c r="A224" s="1" t="s">
        <v>531</v>
      </c>
      <c r="B224" t="s">
        <v>532</v>
      </c>
      <c r="C224" s="1" t="s">
        <v>539</v>
      </c>
      <c r="D224" s="1" t="s">
        <v>539</v>
      </c>
      <c r="E224" t="s">
        <v>540</v>
      </c>
      <c r="F224" s="2" t="s">
        <v>538</v>
      </c>
      <c r="G224" t="s">
        <v>121</v>
      </c>
      <c r="H224" s="2" t="s">
        <v>50</v>
      </c>
      <c r="I224" s="2">
        <v>15.7</v>
      </c>
    </row>
    <row r="225" spans="1:10" x14ac:dyDescent="0.25">
      <c r="A225" s="1" t="s">
        <v>531</v>
      </c>
      <c r="B225" t="s">
        <v>532</v>
      </c>
      <c r="C225" s="1" t="s">
        <v>502</v>
      </c>
      <c r="D225" s="1" t="s">
        <v>502</v>
      </c>
      <c r="E225" t="s">
        <v>503</v>
      </c>
      <c r="F225" s="2" t="s">
        <v>31</v>
      </c>
      <c r="G225" t="s">
        <v>121</v>
      </c>
      <c r="H225" s="2" t="s">
        <v>50</v>
      </c>
      <c r="I225" s="2">
        <v>10.6</v>
      </c>
      <c r="J225" t="s">
        <v>55</v>
      </c>
    </row>
    <row r="226" spans="1:10" x14ac:dyDescent="0.25">
      <c r="A226" s="1" t="s">
        <v>531</v>
      </c>
      <c r="B226" t="s">
        <v>532</v>
      </c>
      <c r="C226" s="1" t="s">
        <v>541</v>
      </c>
      <c r="D226" s="1" t="s">
        <v>541</v>
      </c>
      <c r="E226" t="s">
        <v>542</v>
      </c>
      <c r="F226" s="2" t="s">
        <v>9</v>
      </c>
      <c r="G226" t="s">
        <v>10</v>
      </c>
      <c r="H226" s="2" t="s">
        <v>543</v>
      </c>
      <c r="I226" s="2">
        <v>33.65</v>
      </c>
    </row>
    <row r="227" spans="1:10" x14ac:dyDescent="0.25">
      <c r="A227" s="1" t="s">
        <v>544</v>
      </c>
      <c r="B227" t="s">
        <v>545</v>
      </c>
      <c r="C227" s="1" t="s">
        <v>471</v>
      </c>
      <c r="D227" s="1" t="s">
        <v>471</v>
      </c>
      <c r="E227" t="s">
        <v>472</v>
      </c>
      <c r="F227" s="2" t="s">
        <v>526</v>
      </c>
      <c r="G227" t="s">
        <v>5</v>
      </c>
      <c r="H227" s="2" t="s">
        <v>546</v>
      </c>
      <c r="I227" s="2">
        <v>26.41</v>
      </c>
    </row>
    <row r="228" spans="1:10" x14ac:dyDescent="0.25">
      <c r="A228" s="1" t="s">
        <v>544</v>
      </c>
      <c r="B228" t="s">
        <v>545</v>
      </c>
      <c r="C228" s="1" t="s">
        <v>475</v>
      </c>
      <c r="D228" s="1" t="s">
        <v>475</v>
      </c>
      <c r="E228" t="s">
        <v>476</v>
      </c>
      <c r="F228" s="2" t="s">
        <v>477</v>
      </c>
      <c r="G228" t="s">
        <v>39</v>
      </c>
      <c r="H228" s="2" t="s">
        <v>478</v>
      </c>
      <c r="I228" s="2">
        <v>0.41</v>
      </c>
    </row>
    <row r="229" spans="1:10" x14ac:dyDescent="0.25">
      <c r="A229" s="1" t="s">
        <v>544</v>
      </c>
      <c r="B229" t="s">
        <v>545</v>
      </c>
      <c r="C229" s="1" t="s">
        <v>479</v>
      </c>
      <c r="D229" s="1" t="s">
        <v>479</v>
      </c>
      <c r="E229" t="s">
        <v>480</v>
      </c>
      <c r="F229" s="2" t="s">
        <v>481</v>
      </c>
      <c r="G229" t="s">
        <v>5</v>
      </c>
      <c r="H229" s="2" t="s">
        <v>547</v>
      </c>
      <c r="I229" s="2">
        <v>0.17</v>
      </c>
    </row>
    <row r="230" spans="1:10" x14ac:dyDescent="0.25">
      <c r="A230" s="1" t="s">
        <v>544</v>
      </c>
      <c r="B230" t="s">
        <v>545</v>
      </c>
      <c r="C230" s="1" t="s">
        <v>483</v>
      </c>
      <c r="D230" s="1" t="s">
        <v>483</v>
      </c>
      <c r="E230" t="s">
        <v>484</v>
      </c>
      <c r="F230" s="2" t="s">
        <v>485</v>
      </c>
      <c r="G230" t="s">
        <v>5</v>
      </c>
      <c r="H230" s="2" t="s">
        <v>548</v>
      </c>
      <c r="I230" s="2">
        <v>0.03</v>
      </c>
    </row>
    <row r="231" spans="1:10" x14ac:dyDescent="0.25">
      <c r="A231" s="1" t="s">
        <v>544</v>
      </c>
      <c r="B231" t="s">
        <v>545</v>
      </c>
      <c r="C231" s="1" t="s">
        <v>487</v>
      </c>
      <c r="D231" s="1" t="s">
        <v>487</v>
      </c>
      <c r="E231" t="s">
        <v>488</v>
      </c>
      <c r="F231" s="2" t="s">
        <v>489</v>
      </c>
      <c r="G231" t="s">
        <v>5</v>
      </c>
      <c r="H231" s="2" t="s">
        <v>549</v>
      </c>
      <c r="I231" s="2">
        <v>0.35</v>
      </c>
    </row>
    <row r="232" spans="1:10" x14ac:dyDescent="0.25">
      <c r="A232" s="1" t="s">
        <v>544</v>
      </c>
      <c r="B232" t="s">
        <v>545</v>
      </c>
      <c r="C232" s="1" t="s">
        <v>41</v>
      </c>
      <c r="D232" s="1" t="s">
        <v>41</v>
      </c>
      <c r="E232" t="s">
        <v>42</v>
      </c>
      <c r="F232" s="2" t="s">
        <v>43</v>
      </c>
      <c r="G232" t="s">
        <v>5</v>
      </c>
      <c r="H232" s="2" t="s">
        <v>550</v>
      </c>
      <c r="I232" s="2">
        <v>0.02</v>
      </c>
    </row>
    <row r="233" spans="1:10" x14ac:dyDescent="0.25">
      <c r="A233" s="1" t="s">
        <v>544</v>
      </c>
      <c r="B233" t="s">
        <v>545</v>
      </c>
      <c r="C233" s="1" t="s">
        <v>491</v>
      </c>
      <c r="D233" s="1" t="s">
        <v>491</v>
      </c>
      <c r="E233" t="s">
        <v>492</v>
      </c>
      <c r="F233" s="2" t="s">
        <v>493</v>
      </c>
      <c r="G233" t="s">
        <v>121</v>
      </c>
      <c r="H233" s="2" t="s">
        <v>92</v>
      </c>
      <c r="I233" s="2">
        <v>13.7</v>
      </c>
    </row>
    <row r="234" spans="1:10" x14ac:dyDescent="0.25">
      <c r="A234" s="1" t="s">
        <v>544</v>
      </c>
      <c r="B234" t="s">
        <v>545</v>
      </c>
      <c r="C234" s="1" t="s">
        <v>499</v>
      </c>
      <c r="D234" s="1" t="s">
        <v>499</v>
      </c>
      <c r="E234" t="s">
        <v>500</v>
      </c>
      <c r="F234" s="2" t="s">
        <v>501</v>
      </c>
      <c r="G234" t="s">
        <v>121</v>
      </c>
      <c r="H234" s="2" t="s">
        <v>50</v>
      </c>
      <c r="I234" s="2">
        <v>4.5</v>
      </c>
    </row>
    <row r="235" spans="1:10" x14ac:dyDescent="0.25">
      <c r="A235" s="1" t="s">
        <v>544</v>
      </c>
      <c r="B235" t="s">
        <v>545</v>
      </c>
      <c r="C235" s="1" t="s">
        <v>536</v>
      </c>
      <c r="D235" s="1" t="s">
        <v>536</v>
      </c>
      <c r="E235" t="s">
        <v>537</v>
      </c>
      <c r="F235" s="2" t="s">
        <v>538</v>
      </c>
      <c r="G235" t="s">
        <v>121</v>
      </c>
      <c r="H235" s="2" t="s">
        <v>50</v>
      </c>
      <c r="I235" s="2">
        <v>15.7</v>
      </c>
    </row>
    <row r="236" spans="1:10" x14ac:dyDescent="0.25">
      <c r="A236" s="1" t="s">
        <v>544</v>
      </c>
      <c r="B236" t="s">
        <v>545</v>
      </c>
      <c r="C236" s="1" t="s">
        <v>539</v>
      </c>
      <c r="D236" s="1" t="s">
        <v>539</v>
      </c>
      <c r="E236" t="s">
        <v>540</v>
      </c>
      <c r="F236" s="2" t="s">
        <v>538</v>
      </c>
      <c r="G236" t="s">
        <v>121</v>
      </c>
      <c r="H236" s="2" t="s">
        <v>50</v>
      </c>
      <c r="I236" s="2">
        <v>15.7</v>
      </c>
    </row>
    <row r="237" spans="1:10" x14ac:dyDescent="0.25">
      <c r="A237" s="1" t="s">
        <v>544</v>
      </c>
      <c r="B237" t="s">
        <v>545</v>
      </c>
      <c r="C237" s="1" t="s">
        <v>502</v>
      </c>
      <c r="D237" s="1" t="s">
        <v>502</v>
      </c>
      <c r="E237" t="s">
        <v>503</v>
      </c>
      <c r="F237" s="2" t="s">
        <v>31</v>
      </c>
      <c r="G237" t="s">
        <v>121</v>
      </c>
      <c r="H237" s="2" t="s">
        <v>50</v>
      </c>
      <c r="I237" s="2">
        <v>10.6</v>
      </c>
      <c r="J237" t="s">
        <v>55</v>
      </c>
    </row>
    <row r="238" spans="1:10" x14ac:dyDescent="0.25">
      <c r="A238" s="1" t="s">
        <v>544</v>
      </c>
      <c r="B238" t="s">
        <v>545</v>
      </c>
      <c r="C238" s="1" t="s">
        <v>7</v>
      </c>
      <c r="D238" s="1" t="s">
        <v>7</v>
      </c>
      <c r="E238" t="s">
        <v>8</v>
      </c>
      <c r="F238" s="2" t="s">
        <v>9</v>
      </c>
      <c r="G238" t="s">
        <v>10</v>
      </c>
      <c r="H238" s="2" t="s">
        <v>543</v>
      </c>
      <c r="I238" s="2">
        <v>33.65</v>
      </c>
    </row>
    <row r="239" spans="1:10" x14ac:dyDescent="0.25">
      <c r="A239" s="1" t="s">
        <v>551</v>
      </c>
      <c r="B239" t="s">
        <v>552</v>
      </c>
      <c r="C239" s="1" t="s">
        <v>471</v>
      </c>
      <c r="D239" s="1" t="s">
        <v>471</v>
      </c>
      <c r="E239" t="s">
        <v>472</v>
      </c>
      <c r="F239" s="2" t="s">
        <v>553</v>
      </c>
      <c r="G239" t="s">
        <v>5</v>
      </c>
      <c r="H239" s="2" t="s">
        <v>554</v>
      </c>
      <c r="I239" s="2">
        <v>19.8</v>
      </c>
    </row>
    <row r="240" spans="1:10" x14ac:dyDescent="0.25">
      <c r="A240" s="1" t="s">
        <v>551</v>
      </c>
      <c r="B240" t="s">
        <v>552</v>
      </c>
      <c r="C240" s="1" t="s">
        <v>555</v>
      </c>
      <c r="D240" s="1" t="s">
        <v>555</v>
      </c>
      <c r="E240" t="s">
        <v>556</v>
      </c>
      <c r="F240" s="2" t="s">
        <v>557</v>
      </c>
      <c r="G240" t="s">
        <v>39</v>
      </c>
      <c r="H240" s="2" t="s">
        <v>558</v>
      </c>
      <c r="I240" s="2">
        <v>1.36</v>
      </c>
    </row>
    <row r="241" spans="1:9" x14ac:dyDescent="0.25">
      <c r="A241" s="1" t="s">
        <v>551</v>
      </c>
      <c r="B241" t="s">
        <v>552</v>
      </c>
      <c r="C241" s="1" t="s">
        <v>41</v>
      </c>
      <c r="D241" s="1" t="s">
        <v>41</v>
      </c>
      <c r="E241" t="s">
        <v>42</v>
      </c>
      <c r="F241" s="2" t="s">
        <v>513</v>
      </c>
      <c r="G241" t="s">
        <v>5</v>
      </c>
      <c r="H241" s="2" t="s">
        <v>559</v>
      </c>
      <c r="I241" s="2">
        <v>0.04</v>
      </c>
    </row>
    <row r="242" spans="1:9" x14ac:dyDescent="0.25">
      <c r="A242" s="1" t="s">
        <v>551</v>
      </c>
      <c r="B242" t="s">
        <v>552</v>
      </c>
      <c r="C242" s="1" t="s">
        <v>560</v>
      </c>
      <c r="D242" s="1" t="s">
        <v>560</v>
      </c>
      <c r="E242" t="s">
        <v>561</v>
      </c>
      <c r="F242" s="2" t="s">
        <v>562</v>
      </c>
      <c r="G242" t="s">
        <v>121</v>
      </c>
      <c r="H242" s="2" t="s">
        <v>122</v>
      </c>
      <c r="I242" s="2">
        <v>6.2</v>
      </c>
    </row>
    <row r="243" spans="1:9" x14ac:dyDescent="0.25">
      <c r="A243" s="1" t="s">
        <v>551</v>
      </c>
      <c r="B243" t="s">
        <v>552</v>
      </c>
      <c r="C243" s="1" t="s">
        <v>7</v>
      </c>
      <c r="D243" s="1" t="s">
        <v>7</v>
      </c>
      <c r="E243" t="s">
        <v>8</v>
      </c>
      <c r="F243" s="2" t="s">
        <v>9</v>
      </c>
      <c r="G243" t="s">
        <v>10</v>
      </c>
      <c r="H243" s="2" t="s">
        <v>563</v>
      </c>
      <c r="I243" s="2">
        <v>10.6</v>
      </c>
    </row>
    <row r="244" spans="1:9" x14ac:dyDescent="0.25">
      <c r="A244" s="1" t="s">
        <v>564</v>
      </c>
      <c r="B244" t="s">
        <v>565</v>
      </c>
      <c r="C244" s="1" t="s">
        <v>471</v>
      </c>
      <c r="D244" s="1" t="s">
        <v>471</v>
      </c>
      <c r="E244" t="s">
        <v>472</v>
      </c>
      <c r="F244" s="2" t="s">
        <v>553</v>
      </c>
      <c r="G244" t="s">
        <v>5</v>
      </c>
      <c r="H244" s="2" t="s">
        <v>566</v>
      </c>
      <c r="I244" s="2">
        <v>30</v>
      </c>
    </row>
    <row r="245" spans="1:9" x14ac:dyDescent="0.25">
      <c r="A245" s="1" t="s">
        <v>564</v>
      </c>
      <c r="B245" t="s">
        <v>565</v>
      </c>
      <c r="C245" s="1" t="s">
        <v>555</v>
      </c>
      <c r="D245" s="1" t="s">
        <v>555</v>
      </c>
      <c r="E245" t="s">
        <v>556</v>
      </c>
      <c r="F245" s="2" t="s">
        <v>557</v>
      </c>
      <c r="G245" t="s">
        <v>39</v>
      </c>
      <c r="H245" s="2" t="s">
        <v>558</v>
      </c>
      <c r="I245" s="2">
        <v>1.36</v>
      </c>
    </row>
    <row r="246" spans="1:9" x14ac:dyDescent="0.25">
      <c r="A246" s="1" t="s">
        <v>564</v>
      </c>
      <c r="B246" t="s">
        <v>565</v>
      </c>
      <c r="C246" s="1" t="s">
        <v>41</v>
      </c>
      <c r="D246" s="1" t="s">
        <v>41</v>
      </c>
      <c r="E246" t="s">
        <v>42</v>
      </c>
      <c r="F246" s="2" t="s">
        <v>513</v>
      </c>
      <c r="G246" t="s">
        <v>5</v>
      </c>
      <c r="H246" s="2" t="s">
        <v>559</v>
      </c>
      <c r="I246" s="2">
        <v>0.04</v>
      </c>
    </row>
    <row r="247" spans="1:9" x14ac:dyDescent="0.25">
      <c r="A247" s="1" t="s">
        <v>564</v>
      </c>
      <c r="B247" t="s">
        <v>565</v>
      </c>
      <c r="C247" s="1" t="s">
        <v>560</v>
      </c>
      <c r="D247" s="1" t="s">
        <v>560</v>
      </c>
      <c r="E247" t="s">
        <v>561</v>
      </c>
      <c r="F247" s="2" t="s">
        <v>562</v>
      </c>
      <c r="G247" t="s">
        <v>121</v>
      </c>
      <c r="H247" s="2" t="s">
        <v>268</v>
      </c>
      <c r="I247" s="2">
        <v>4.6500000000000004</v>
      </c>
    </row>
    <row r="248" spans="1:9" x14ac:dyDescent="0.25">
      <c r="A248" s="1" t="s">
        <v>564</v>
      </c>
      <c r="B248" t="s">
        <v>565</v>
      </c>
      <c r="C248" s="1" t="s">
        <v>567</v>
      </c>
      <c r="D248" s="1" t="s">
        <v>567</v>
      </c>
      <c r="E248" t="s">
        <v>568</v>
      </c>
      <c r="F248" s="2" t="s">
        <v>569</v>
      </c>
      <c r="G248" t="s">
        <v>121</v>
      </c>
      <c r="H248" s="2" t="s">
        <v>50</v>
      </c>
      <c r="I248" s="2">
        <v>1.65</v>
      </c>
    </row>
    <row r="249" spans="1:9" x14ac:dyDescent="0.25">
      <c r="A249" s="1" t="s">
        <v>564</v>
      </c>
      <c r="B249" t="s">
        <v>565</v>
      </c>
      <c r="C249" s="1" t="s">
        <v>7</v>
      </c>
      <c r="D249" s="1" t="s">
        <v>7</v>
      </c>
      <c r="E249" t="s">
        <v>8</v>
      </c>
      <c r="F249" s="2" t="s">
        <v>9</v>
      </c>
      <c r="G249" t="s">
        <v>10</v>
      </c>
      <c r="H249" s="2" t="s">
        <v>563</v>
      </c>
      <c r="I249" s="2">
        <v>10.6</v>
      </c>
    </row>
    <row r="250" spans="1:9" x14ac:dyDescent="0.25">
      <c r="A250" s="1" t="s">
        <v>570</v>
      </c>
      <c r="B250" t="s">
        <v>571</v>
      </c>
      <c r="C250" s="1" t="s">
        <v>471</v>
      </c>
      <c r="D250" s="1" t="s">
        <v>471</v>
      </c>
      <c r="E250" t="s">
        <v>472</v>
      </c>
      <c r="F250" s="2" t="s">
        <v>526</v>
      </c>
      <c r="G250" t="s">
        <v>5</v>
      </c>
      <c r="H250" s="2" t="s">
        <v>566</v>
      </c>
      <c r="I250" s="2">
        <v>31.17</v>
      </c>
    </row>
    <row r="251" spans="1:9" x14ac:dyDescent="0.25">
      <c r="A251" s="1" t="s">
        <v>570</v>
      </c>
      <c r="B251" t="s">
        <v>571</v>
      </c>
      <c r="C251" s="1" t="s">
        <v>475</v>
      </c>
      <c r="D251" s="1" t="s">
        <v>475</v>
      </c>
      <c r="E251" t="s">
        <v>476</v>
      </c>
      <c r="F251" s="2" t="s">
        <v>477</v>
      </c>
      <c r="G251" t="s">
        <v>39</v>
      </c>
      <c r="H251" s="2" t="s">
        <v>478</v>
      </c>
      <c r="I251" s="2">
        <v>0.41</v>
      </c>
    </row>
    <row r="252" spans="1:9" x14ac:dyDescent="0.25">
      <c r="A252" s="1" t="s">
        <v>570</v>
      </c>
      <c r="B252" t="s">
        <v>571</v>
      </c>
      <c r="C252" s="1" t="s">
        <v>479</v>
      </c>
      <c r="D252" s="1" t="s">
        <v>479</v>
      </c>
      <c r="E252" t="s">
        <v>480</v>
      </c>
      <c r="F252" s="2" t="s">
        <v>481</v>
      </c>
      <c r="G252" t="s">
        <v>5</v>
      </c>
      <c r="H252" s="2" t="s">
        <v>572</v>
      </c>
      <c r="I252" s="2">
        <v>0.04</v>
      </c>
    </row>
    <row r="253" spans="1:9" x14ac:dyDescent="0.25">
      <c r="A253" s="1" t="s">
        <v>570</v>
      </c>
      <c r="B253" t="s">
        <v>571</v>
      </c>
      <c r="C253" s="1" t="s">
        <v>483</v>
      </c>
      <c r="D253" s="1" t="s">
        <v>483</v>
      </c>
      <c r="E253" t="s">
        <v>484</v>
      </c>
      <c r="F253" s="2" t="s">
        <v>485</v>
      </c>
      <c r="G253" t="s">
        <v>5</v>
      </c>
      <c r="H253" s="2" t="s">
        <v>573</v>
      </c>
      <c r="I253" s="2">
        <v>0.01</v>
      </c>
    </row>
    <row r="254" spans="1:9" x14ac:dyDescent="0.25">
      <c r="A254" s="1" t="s">
        <v>570</v>
      </c>
      <c r="B254" t="s">
        <v>571</v>
      </c>
      <c r="C254" s="1" t="s">
        <v>487</v>
      </c>
      <c r="D254" s="1" t="s">
        <v>487</v>
      </c>
      <c r="E254" t="s">
        <v>488</v>
      </c>
      <c r="F254" s="2" t="s">
        <v>489</v>
      </c>
      <c r="G254" t="s">
        <v>5</v>
      </c>
      <c r="H254" s="2" t="s">
        <v>574</v>
      </c>
      <c r="I254" s="2">
        <v>0.33</v>
      </c>
    </row>
    <row r="255" spans="1:9" x14ac:dyDescent="0.25">
      <c r="A255" s="1" t="s">
        <v>570</v>
      </c>
      <c r="B255" t="s">
        <v>571</v>
      </c>
      <c r="C255" s="1" t="s">
        <v>491</v>
      </c>
      <c r="D255" s="1" t="s">
        <v>491</v>
      </c>
      <c r="E255" t="s">
        <v>492</v>
      </c>
      <c r="F255" s="2" t="s">
        <v>493</v>
      </c>
      <c r="G255" t="s">
        <v>121</v>
      </c>
      <c r="H255" s="2" t="s">
        <v>92</v>
      </c>
      <c r="I255" s="2">
        <v>13.7</v>
      </c>
    </row>
    <row r="256" spans="1:9" x14ac:dyDescent="0.25">
      <c r="A256" s="1" t="s">
        <v>570</v>
      </c>
      <c r="B256" t="s">
        <v>571</v>
      </c>
      <c r="C256" s="1" t="s">
        <v>499</v>
      </c>
      <c r="D256" s="1" t="s">
        <v>499</v>
      </c>
      <c r="E256" t="s">
        <v>500</v>
      </c>
      <c r="F256" s="2" t="s">
        <v>501</v>
      </c>
      <c r="G256" t="s">
        <v>121</v>
      </c>
      <c r="H256" s="2" t="s">
        <v>50</v>
      </c>
      <c r="I256" s="2">
        <v>4.5</v>
      </c>
    </row>
    <row r="257" spans="1:10" x14ac:dyDescent="0.25">
      <c r="A257" s="1" t="s">
        <v>570</v>
      </c>
      <c r="B257" t="s">
        <v>571</v>
      </c>
      <c r="C257" s="1" t="s">
        <v>536</v>
      </c>
      <c r="D257" s="1" t="s">
        <v>536</v>
      </c>
      <c r="E257" t="s">
        <v>537</v>
      </c>
      <c r="F257" s="2" t="s">
        <v>538</v>
      </c>
      <c r="G257" t="s">
        <v>121</v>
      </c>
      <c r="H257" s="2" t="s">
        <v>50</v>
      </c>
      <c r="I257" s="2">
        <v>15.7</v>
      </c>
    </row>
    <row r="258" spans="1:10" x14ac:dyDescent="0.25">
      <c r="A258" s="1" t="s">
        <v>570</v>
      </c>
      <c r="B258" t="s">
        <v>571</v>
      </c>
      <c r="C258" s="1" t="s">
        <v>539</v>
      </c>
      <c r="D258" s="1" t="s">
        <v>539</v>
      </c>
      <c r="E258" t="s">
        <v>540</v>
      </c>
      <c r="F258" s="2" t="s">
        <v>538</v>
      </c>
      <c r="G258" t="s">
        <v>121</v>
      </c>
      <c r="H258" s="2" t="s">
        <v>50</v>
      </c>
      <c r="I258" s="2">
        <v>15.7</v>
      </c>
    </row>
    <row r="259" spans="1:10" x14ac:dyDescent="0.25">
      <c r="A259" s="1" t="s">
        <v>570</v>
      </c>
      <c r="B259" t="s">
        <v>571</v>
      </c>
      <c r="C259" s="1" t="s">
        <v>502</v>
      </c>
      <c r="D259" s="1" t="s">
        <v>502</v>
      </c>
      <c r="E259" t="s">
        <v>503</v>
      </c>
      <c r="F259" s="2" t="s">
        <v>31</v>
      </c>
      <c r="G259" t="s">
        <v>49</v>
      </c>
      <c r="H259" s="2" t="s">
        <v>50</v>
      </c>
      <c r="I259" s="2">
        <v>10.6</v>
      </c>
      <c r="J259" t="s">
        <v>55</v>
      </c>
    </row>
    <row r="260" spans="1:10" x14ac:dyDescent="0.25">
      <c r="A260" s="1" t="s">
        <v>570</v>
      </c>
      <c r="B260" t="s">
        <v>571</v>
      </c>
      <c r="C260" s="1" t="s">
        <v>7</v>
      </c>
      <c r="D260" s="1" t="s">
        <v>7</v>
      </c>
      <c r="E260" t="s">
        <v>8</v>
      </c>
      <c r="F260" s="2" t="s">
        <v>9</v>
      </c>
      <c r="G260" t="s">
        <v>10</v>
      </c>
      <c r="H260" s="2" t="s">
        <v>575</v>
      </c>
      <c r="I260" s="2">
        <v>33.799999999999997</v>
      </c>
    </row>
    <row r="261" spans="1:10" x14ac:dyDescent="0.25">
      <c r="A261" s="1" t="s">
        <v>576</v>
      </c>
      <c r="B261" t="s">
        <v>577</v>
      </c>
      <c r="C261" s="1" t="s">
        <v>471</v>
      </c>
      <c r="D261" s="1" t="s">
        <v>471</v>
      </c>
      <c r="E261" t="s">
        <v>472</v>
      </c>
      <c r="F261" s="2" t="s">
        <v>578</v>
      </c>
      <c r="G261" t="s">
        <v>5</v>
      </c>
      <c r="H261" s="2" t="s">
        <v>579</v>
      </c>
      <c r="I261" s="2">
        <v>17.66</v>
      </c>
    </row>
    <row r="262" spans="1:10" x14ac:dyDescent="0.25">
      <c r="A262" s="1" t="s">
        <v>576</v>
      </c>
      <c r="B262" t="s">
        <v>577</v>
      </c>
      <c r="C262" s="1" t="s">
        <v>511</v>
      </c>
      <c r="D262" s="1" t="s">
        <v>511</v>
      </c>
      <c r="E262" t="s">
        <v>512</v>
      </c>
      <c r="F262" s="2" t="s">
        <v>580</v>
      </c>
      <c r="G262" t="s">
        <v>39</v>
      </c>
      <c r="H262" s="2" t="s">
        <v>558</v>
      </c>
      <c r="I262" s="2">
        <v>1.19</v>
      </c>
    </row>
    <row r="263" spans="1:10" x14ac:dyDescent="0.25">
      <c r="A263" s="1" t="s">
        <v>576</v>
      </c>
      <c r="B263" t="s">
        <v>577</v>
      </c>
      <c r="C263" s="1" t="s">
        <v>581</v>
      </c>
      <c r="D263" s="1" t="s">
        <v>581</v>
      </c>
      <c r="E263" t="s">
        <v>582</v>
      </c>
      <c r="F263" s="2" t="s">
        <v>216</v>
      </c>
      <c r="G263" t="s">
        <v>5</v>
      </c>
      <c r="H263" s="2" t="s">
        <v>583</v>
      </c>
      <c r="I263" s="2">
        <v>0.28000000000000003</v>
      </c>
    </row>
    <row r="264" spans="1:10" x14ac:dyDescent="0.25">
      <c r="A264" s="1" t="s">
        <v>576</v>
      </c>
      <c r="B264" t="s">
        <v>577</v>
      </c>
      <c r="C264" s="1" t="s">
        <v>584</v>
      </c>
      <c r="D264" s="1" t="s">
        <v>584</v>
      </c>
      <c r="E264" t="s">
        <v>585</v>
      </c>
      <c r="F264" s="2" t="s">
        <v>191</v>
      </c>
      <c r="G264" t="s">
        <v>5</v>
      </c>
      <c r="H264" s="2" t="s">
        <v>586</v>
      </c>
      <c r="I264" s="2">
        <v>0.13</v>
      </c>
    </row>
    <row r="265" spans="1:10" x14ac:dyDescent="0.25">
      <c r="A265" s="1" t="s">
        <v>576</v>
      </c>
      <c r="B265" t="s">
        <v>577</v>
      </c>
      <c r="C265" s="1" t="s">
        <v>587</v>
      </c>
      <c r="D265" s="1" t="s">
        <v>587</v>
      </c>
      <c r="E265" t="s">
        <v>588</v>
      </c>
      <c r="F265" s="2" t="s">
        <v>589</v>
      </c>
      <c r="G265" t="s">
        <v>5</v>
      </c>
      <c r="H265" s="2" t="s">
        <v>590</v>
      </c>
      <c r="I265" s="2">
        <v>0.13</v>
      </c>
    </row>
    <row r="266" spans="1:10" x14ac:dyDescent="0.25">
      <c r="A266" s="1" t="s">
        <v>576</v>
      </c>
      <c r="B266" t="s">
        <v>577</v>
      </c>
      <c r="C266" s="1" t="s">
        <v>41</v>
      </c>
      <c r="D266" s="1" t="s">
        <v>41</v>
      </c>
      <c r="E266" t="s">
        <v>42</v>
      </c>
      <c r="F266" s="2" t="s">
        <v>513</v>
      </c>
      <c r="G266" t="s">
        <v>5</v>
      </c>
      <c r="H266" s="2" t="s">
        <v>591</v>
      </c>
      <c r="I266" s="2">
        <v>7.0000000000000007E-2</v>
      </c>
    </row>
    <row r="267" spans="1:10" x14ac:dyDescent="0.25">
      <c r="A267" s="1" t="s">
        <v>576</v>
      </c>
      <c r="B267" t="s">
        <v>577</v>
      </c>
      <c r="C267" s="1" t="s">
        <v>517</v>
      </c>
      <c r="D267" s="1" t="s">
        <v>517</v>
      </c>
      <c r="E267" t="s">
        <v>518</v>
      </c>
      <c r="F267" s="2" t="s">
        <v>519</v>
      </c>
      <c r="G267" t="s">
        <v>121</v>
      </c>
      <c r="H267" s="2" t="s">
        <v>122</v>
      </c>
      <c r="I267" s="2">
        <v>22.2</v>
      </c>
    </row>
    <row r="268" spans="1:10" x14ac:dyDescent="0.25">
      <c r="A268" s="1" t="s">
        <v>576</v>
      </c>
      <c r="B268" t="s">
        <v>577</v>
      </c>
      <c r="C268" s="1" t="s">
        <v>499</v>
      </c>
      <c r="D268" s="1" t="s">
        <v>499</v>
      </c>
      <c r="E268" t="s">
        <v>500</v>
      </c>
      <c r="F268" s="2" t="s">
        <v>501</v>
      </c>
      <c r="G268" t="s">
        <v>121</v>
      </c>
      <c r="H268" s="2" t="s">
        <v>92</v>
      </c>
      <c r="I268" s="2">
        <v>9</v>
      </c>
    </row>
    <row r="269" spans="1:10" x14ac:dyDescent="0.25">
      <c r="A269" s="1" t="s">
        <v>576</v>
      </c>
      <c r="B269" t="s">
        <v>577</v>
      </c>
      <c r="C269" s="1" t="s">
        <v>592</v>
      </c>
      <c r="D269" s="1" t="s">
        <v>592</v>
      </c>
      <c r="E269" t="s">
        <v>593</v>
      </c>
      <c r="F269" s="2" t="s">
        <v>157</v>
      </c>
      <c r="G269" t="s">
        <v>49</v>
      </c>
      <c r="H269" s="2" t="s">
        <v>50</v>
      </c>
      <c r="I269" s="2">
        <v>2.4500000000000002</v>
      </c>
    </row>
    <row r="270" spans="1:10" x14ac:dyDescent="0.25">
      <c r="A270" s="1" t="s">
        <v>576</v>
      </c>
      <c r="B270" t="s">
        <v>577</v>
      </c>
      <c r="C270" s="1" t="s">
        <v>541</v>
      </c>
      <c r="D270" s="1" t="s">
        <v>541</v>
      </c>
      <c r="E270" t="s">
        <v>542</v>
      </c>
      <c r="F270" s="2" t="s">
        <v>9</v>
      </c>
      <c r="G270" t="s">
        <v>10</v>
      </c>
      <c r="H270" s="2" t="s">
        <v>594</v>
      </c>
      <c r="I270" s="2">
        <v>11.5</v>
      </c>
    </row>
    <row r="271" spans="1:10" x14ac:dyDescent="0.25">
      <c r="A271" s="1" t="s">
        <v>595</v>
      </c>
      <c r="B271" t="s">
        <v>596</v>
      </c>
      <c r="C271" s="1" t="s">
        <v>507</v>
      </c>
      <c r="D271" s="1" t="s">
        <v>507</v>
      </c>
      <c r="E271" t="s">
        <v>508</v>
      </c>
      <c r="F271" s="2" t="s">
        <v>578</v>
      </c>
      <c r="G271" t="s">
        <v>5</v>
      </c>
      <c r="H271" s="2" t="s">
        <v>597</v>
      </c>
      <c r="I271" s="2">
        <v>3.93</v>
      </c>
    </row>
    <row r="272" spans="1:10" x14ac:dyDescent="0.25">
      <c r="A272" s="1" t="s">
        <v>595</v>
      </c>
      <c r="B272" t="s">
        <v>596</v>
      </c>
      <c r="C272" s="1" t="s">
        <v>511</v>
      </c>
      <c r="D272" s="1" t="s">
        <v>511</v>
      </c>
      <c r="E272" t="s">
        <v>512</v>
      </c>
      <c r="F272" s="2" t="s">
        <v>580</v>
      </c>
      <c r="G272" t="s">
        <v>39</v>
      </c>
      <c r="H272" s="2" t="s">
        <v>558</v>
      </c>
      <c r="I272" s="2">
        <v>1.19</v>
      </c>
    </row>
    <row r="273" spans="1:9" x14ac:dyDescent="0.25">
      <c r="A273" s="1" t="s">
        <v>595</v>
      </c>
      <c r="B273" t="s">
        <v>596</v>
      </c>
      <c r="C273" s="1" t="s">
        <v>41</v>
      </c>
      <c r="D273" s="1" t="s">
        <v>41</v>
      </c>
      <c r="E273" t="s">
        <v>42</v>
      </c>
      <c r="F273" s="2" t="s">
        <v>513</v>
      </c>
      <c r="G273" t="s">
        <v>5</v>
      </c>
      <c r="H273" s="2" t="s">
        <v>598</v>
      </c>
      <c r="I273" s="2">
        <v>0.04</v>
      </c>
    </row>
    <row r="274" spans="1:9" x14ac:dyDescent="0.25">
      <c r="A274" s="1" t="s">
        <v>595</v>
      </c>
      <c r="B274" t="s">
        <v>596</v>
      </c>
      <c r="C274" s="1" t="s">
        <v>517</v>
      </c>
      <c r="D274" s="1" t="s">
        <v>517</v>
      </c>
      <c r="E274" t="s">
        <v>518</v>
      </c>
      <c r="F274" s="2" t="s">
        <v>519</v>
      </c>
      <c r="G274" t="s">
        <v>121</v>
      </c>
      <c r="H274" s="2" t="s">
        <v>92</v>
      </c>
      <c r="I274" s="2">
        <v>11.1</v>
      </c>
    </row>
    <row r="275" spans="1:9" x14ac:dyDescent="0.25">
      <c r="A275" s="1" t="s">
        <v>595</v>
      </c>
      <c r="B275" t="s">
        <v>596</v>
      </c>
      <c r="C275" s="1" t="s">
        <v>520</v>
      </c>
      <c r="D275" s="1" t="s">
        <v>520</v>
      </c>
      <c r="E275" t="s">
        <v>521</v>
      </c>
      <c r="F275" s="2" t="s">
        <v>522</v>
      </c>
      <c r="G275" t="s">
        <v>121</v>
      </c>
      <c r="H275" s="2" t="s">
        <v>92</v>
      </c>
      <c r="I275" s="2">
        <v>6.9</v>
      </c>
    </row>
    <row r="276" spans="1:9" x14ac:dyDescent="0.25">
      <c r="A276" s="1" t="s">
        <v>595</v>
      </c>
      <c r="B276" t="s">
        <v>596</v>
      </c>
      <c r="C276" s="1" t="s">
        <v>599</v>
      </c>
      <c r="D276" s="1" t="s">
        <v>599</v>
      </c>
      <c r="E276" t="s">
        <v>600</v>
      </c>
      <c r="F276" s="2" t="s">
        <v>157</v>
      </c>
      <c r="G276" t="s">
        <v>49</v>
      </c>
      <c r="H276" s="2" t="s">
        <v>92</v>
      </c>
      <c r="I276" s="2">
        <v>4.9000000000000004</v>
      </c>
    </row>
    <row r="277" spans="1:9" x14ac:dyDescent="0.25">
      <c r="A277" s="1" t="s">
        <v>595</v>
      </c>
      <c r="B277" t="s">
        <v>596</v>
      </c>
      <c r="C277" s="1" t="s">
        <v>541</v>
      </c>
      <c r="D277" s="1" t="s">
        <v>541</v>
      </c>
      <c r="E277" t="s">
        <v>542</v>
      </c>
      <c r="F277" s="2" t="s">
        <v>9</v>
      </c>
      <c r="G277" t="s">
        <v>10</v>
      </c>
      <c r="H277" s="2" t="s">
        <v>601</v>
      </c>
      <c r="I277" s="2">
        <v>6.9</v>
      </c>
    </row>
    <row r="278" spans="1:9" x14ac:dyDescent="0.25">
      <c r="A278" s="1" t="s">
        <v>602</v>
      </c>
      <c r="B278" t="s">
        <v>603</v>
      </c>
      <c r="C278" s="1" t="s">
        <v>471</v>
      </c>
      <c r="D278" s="1" t="s">
        <v>471</v>
      </c>
      <c r="E278" t="s">
        <v>472</v>
      </c>
      <c r="F278" s="2" t="s">
        <v>526</v>
      </c>
      <c r="G278" t="s">
        <v>5</v>
      </c>
      <c r="H278" s="2" t="s">
        <v>604</v>
      </c>
      <c r="I278" s="2">
        <v>27.68</v>
      </c>
    </row>
    <row r="279" spans="1:9" x14ac:dyDescent="0.25">
      <c r="A279" s="1" t="s">
        <v>602</v>
      </c>
      <c r="B279" t="s">
        <v>603</v>
      </c>
      <c r="C279" s="1" t="s">
        <v>511</v>
      </c>
      <c r="D279" s="1" t="s">
        <v>511</v>
      </c>
      <c r="E279" t="s">
        <v>512</v>
      </c>
      <c r="F279" s="2" t="s">
        <v>513</v>
      </c>
      <c r="G279" t="s">
        <v>39</v>
      </c>
      <c r="H279" s="2" t="s">
        <v>558</v>
      </c>
      <c r="I279" s="2">
        <v>0.88</v>
      </c>
    </row>
    <row r="280" spans="1:9" x14ac:dyDescent="0.25">
      <c r="A280" s="1" t="s">
        <v>602</v>
      </c>
      <c r="B280" t="s">
        <v>603</v>
      </c>
      <c r="C280" s="1" t="s">
        <v>581</v>
      </c>
      <c r="D280" s="1" t="s">
        <v>581</v>
      </c>
      <c r="E280" t="s">
        <v>582</v>
      </c>
      <c r="F280" s="2" t="s">
        <v>191</v>
      </c>
      <c r="G280" t="s">
        <v>5</v>
      </c>
      <c r="H280" s="2" t="s">
        <v>605</v>
      </c>
      <c r="I280" s="2">
        <v>0.51</v>
      </c>
    </row>
    <row r="281" spans="1:9" x14ac:dyDescent="0.25">
      <c r="A281" s="1" t="s">
        <v>602</v>
      </c>
      <c r="B281" t="s">
        <v>603</v>
      </c>
      <c r="C281" s="1" t="s">
        <v>584</v>
      </c>
      <c r="D281" s="1" t="s">
        <v>584</v>
      </c>
      <c r="E281" t="s">
        <v>585</v>
      </c>
      <c r="F281" s="2" t="s">
        <v>606</v>
      </c>
      <c r="G281" t="s">
        <v>5</v>
      </c>
      <c r="H281" s="2" t="s">
        <v>586</v>
      </c>
      <c r="I281" s="2">
        <v>7.0000000000000007E-2</v>
      </c>
    </row>
    <row r="282" spans="1:9" x14ac:dyDescent="0.25">
      <c r="A282" s="1" t="s">
        <v>602</v>
      </c>
      <c r="B282" t="s">
        <v>603</v>
      </c>
      <c r="C282" s="1" t="s">
        <v>587</v>
      </c>
      <c r="D282" s="1" t="s">
        <v>587</v>
      </c>
      <c r="E282" t="s">
        <v>588</v>
      </c>
      <c r="F282" s="2" t="s">
        <v>191</v>
      </c>
      <c r="G282" t="s">
        <v>5</v>
      </c>
      <c r="H282" s="2" t="s">
        <v>590</v>
      </c>
      <c r="I282" s="2">
        <v>0.11</v>
      </c>
    </row>
    <row r="283" spans="1:9" x14ac:dyDescent="0.25">
      <c r="A283" s="1" t="s">
        <v>602</v>
      </c>
      <c r="B283" t="s">
        <v>603</v>
      </c>
      <c r="C283" s="1" t="s">
        <v>517</v>
      </c>
      <c r="D283" s="1" t="s">
        <v>517</v>
      </c>
      <c r="E283" t="s">
        <v>518</v>
      </c>
      <c r="F283" s="2" t="s">
        <v>519</v>
      </c>
      <c r="G283" t="s">
        <v>121</v>
      </c>
      <c r="H283" s="2" t="s">
        <v>122</v>
      </c>
      <c r="I283" s="2">
        <v>22.2</v>
      </c>
    </row>
    <row r="284" spans="1:9" x14ac:dyDescent="0.25">
      <c r="A284" s="1" t="s">
        <v>602</v>
      </c>
      <c r="B284" t="s">
        <v>603</v>
      </c>
      <c r="C284" s="1" t="s">
        <v>499</v>
      </c>
      <c r="D284" s="1" t="s">
        <v>499</v>
      </c>
      <c r="E284" t="s">
        <v>500</v>
      </c>
      <c r="F284" s="2" t="s">
        <v>501</v>
      </c>
      <c r="G284" t="s">
        <v>121</v>
      </c>
      <c r="H284" s="2" t="s">
        <v>92</v>
      </c>
      <c r="I284" s="2">
        <v>9</v>
      </c>
    </row>
    <row r="285" spans="1:9" x14ac:dyDescent="0.25">
      <c r="A285" s="1" t="s">
        <v>602</v>
      </c>
      <c r="B285" t="s">
        <v>603</v>
      </c>
      <c r="C285" s="1" t="s">
        <v>592</v>
      </c>
      <c r="D285" s="1" t="s">
        <v>592</v>
      </c>
      <c r="E285" t="s">
        <v>593</v>
      </c>
      <c r="F285" s="2" t="s">
        <v>157</v>
      </c>
      <c r="G285" t="s">
        <v>49</v>
      </c>
      <c r="H285" s="2" t="s">
        <v>50</v>
      </c>
      <c r="I285" s="2">
        <v>2.4500000000000002</v>
      </c>
    </row>
    <row r="286" spans="1:9" x14ac:dyDescent="0.25">
      <c r="A286" s="1" t="s">
        <v>602</v>
      </c>
      <c r="B286" t="s">
        <v>603</v>
      </c>
      <c r="C286" s="1" t="s">
        <v>541</v>
      </c>
      <c r="D286" s="1" t="s">
        <v>541</v>
      </c>
      <c r="E286" t="s">
        <v>542</v>
      </c>
      <c r="F286" s="2" t="s">
        <v>9</v>
      </c>
      <c r="G286" t="s">
        <v>10</v>
      </c>
      <c r="H286" s="2" t="s">
        <v>607</v>
      </c>
      <c r="I286" s="2">
        <v>18.399999999999999</v>
      </c>
    </row>
    <row r="287" spans="1:9" x14ac:dyDescent="0.25">
      <c r="A287" s="1" t="s">
        <v>608</v>
      </c>
      <c r="B287" t="s">
        <v>609</v>
      </c>
      <c r="C287" s="1" t="s">
        <v>507</v>
      </c>
      <c r="D287" s="1" t="s">
        <v>507</v>
      </c>
      <c r="E287" t="s">
        <v>508</v>
      </c>
      <c r="F287" s="2" t="s">
        <v>578</v>
      </c>
      <c r="G287" t="s">
        <v>5</v>
      </c>
      <c r="H287" s="2" t="s">
        <v>610</v>
      </c>
      <c r="I287" s="2">
        <v>8.42</v>
      </c>
    </row>
    <row r="288" spans="1:9" x14ac:dyDescent="0.25">
      <c r="A288" s="1" t="s">
        <v>608</v>
      </c>
      <c r="B288" t="s">
        <v>609</v>
      </c>
      <c r="C288" s="1" t="s">
        <v>511</v>
      </c>
      <c r="D288" s="1" t="s">
        <v>511</v>
      </c>
      <c r="E288" t="s">
        <v>512</v>
      </c>
      <c r="F288" s="2" t="s">
        <v>580</v>
      </c>
      <c r="G288" t="s">
        <v>39</v>
      </c>
      <c r="H288" s="2" t="s">
        <v>558</v>
      </c>
      <c r="I288" s="2">
        <v>1.19</v>
      </c>
    </row>
    <row r="289" spans="1:9" x14ac:dyDescent="0.25">
      <c r="A289" s="1" t="s">
        <v>608</v>
      </c>
      <c r="B289" t="s">
        <v>609</v>
      </c>
      <c r="C289" s="1" t="s">
        <v>41</v>
      </c>
      <c r="D289" s="1" t="s">
        <v>41</v>
      </c>
      <c r="E289" t="s">
        <v>42</v>
      </c>
      <c r="F289" s="2" t="s">
        <v>513</v>
      </c>
      <c r="G289" t="s">
        <v>5</v>
      </c>
      <c r="H289" s="2" t="s">
        <v>598</v>
      </c>
      <c r="I289" s="2">
        <v>0.04</v>
      </c>
    </row>
    <row r="290" spans="1:9" x14ac:dyDescent="0.25">
      <c r="A290" s="1" t="s">
        <v>608</v>
      </c>
      <c r="B290" t="s">
        <v>609</v>
      </c>
      <c r="C290" s="1" t="s">
        <v>517</v>
      </c>
      <c r="D290" s="1" t="s">
        <v>517</v>
      </c>
      <c r="E290" t="s">
        <v>518</v>
      </c>
      <c r="F290" s="2" t="s">
        <v>519</v>
      </c>
      <c r="G290" t="s">
        <v>121</v>
      </c>
      <c r="H290" s="2" t="s">
        <v>92</v>
      </c>
      <c r="I290" s="2">
        <v>11.1</v>
      </c>
    </row>
    <row r="291" spans="1:9" x14ac:dyDescent="0.25">
      <c r="A291" s="1" t="s">
        <v>608</v>
      </c>
      <c r="B291" t="s">
        <v>609</v>
      </c>
      <c r="C291" s="1" t="s">
        <v>520</v>
      </c>
      <c r="D291" s="1" t="s">
        <v>520</v>
      </c>
      <c r="E291" t="s">
        <v>521</v>
      </c>
      <c r="F291" s="2" t="s">
        <v>522</v>
      </c>
      <c r="G291" t="s">
        <v>121</v>
      </c>
      <c r="H291" s="2" t="s">
        <v>92</v>
      </c>
      <c r="I291" s="2">
        <v>6.9</v>
      </c>
    </row>
    <row r="292" spans="1:9" x14ac:dyDescent="0.25">
      <c r="A292" s="1" t="s">
        <v>608</v>
      </c>
      <c r="B292" t="s">
        <v>609</v>
      </c>
      <c r="C292" s="1" t="s">
        <v>599</v>
      </c>
      <c r="D292" s="1" t="s">
        <v>599</v>
      </c>
      <c r="E292" t="s">
        <v>600</v>
      </c>
      <c r="F292" s="2" t="s">
        <v>157</v>
      </c>
      <c r="G292" t="s">
        <v>49</v>
      </c>
      <c r="H292" s="2" t="s">
        <v>92</v>
      </c>
      <c r="I292" s="2">
        <v>4.9000000000000004</v>
      </c>
    </row>
    <row r="293" spans="1:9" x14ac:dyDescent="0.25">
      <c r="A293" s="1" t="s">
        <v>608</v>
      </c>
      <c r="B293" t="s">
        <v>609</v>
      </c>
      <c r="C293" s="1" t="s">
        <v>541</v>
      </c>
      <c r="D293" s="1" t="s">
        <v>541</v>
      </c>
      <c r="E293" t="s">
        <v>542</v>
      </c>
      <c r="F293" s="2" t="s">
        <v>9</v>
      </c>
      <c r="G293" t="s">
        <v>10</v>
      </c>
      <c r="H293" s="2" t="s">
        <v>33</v>
      </c>
      <c r="I293" s="2">
        <v>9.1999999999999993</v>
      </c>
    </row>
    <row r="294" spans="1:9" x14ac:dyDescent="0.25">
      <c r="A294" s="1" t="s">
        <v>611</v>
      </c>
      <c r="B294" t="s">
        <v>612</v>
      </c>
      <c r="C294" s="1" t="s">
        <v>471</v>
      </c>
      <c r="D294" s="1" t="s">
        <v>471</v>
      </c>
      <c r="E294" t="s">
        <v>472</v>
      </c>
      <c r="F294" s="2" t="s">
        <v>578</v>
      </c>
      <c r="G294" t="s">
        <v>5</v>
      </c>
      <c r="H294" s="2" t="s">
        <v>613</v>
      </c>
      <c r="I294" s="2">
        <v>37.85</v>
      </c>
    </row>
    <row r="295" spans="1:9" x14ac:dyDescent="0.25">
      <c r="A295" s="1" t="s">
        <v>611</v>
      </c>
      <c r="B295" t="s">
        <v>612</v>
      </c>
      <c r="C295" s="1" t="s">
        <v>511</v>
      </c>
      <c r="D295" s="1" t="s">
        <v>511</v>
      </c>
      <c r="E295" t="s">
        <v>512</v>
      </c>
      <c r="F295" s="2" t="s">
        <v>580</v>
      </c>
      <c r="G295" t="s">
        <v>39</v>
      </c>
      <c r="H295" s="2" t="s">
        <v>558</v>
      </c>
      <c r="I295" s="2">
        <v>1.19</v>
      </c>
    </row>
    <row r="296" spans="1:9" x14ac:dyDescent="0.25">
      <c r="A296" s="1" t="s">
        <v>611</v>
      </c>
      <c r="B296" t="s">
        <v>612</v>
      </c>
      <c r="C296" s="1" t="s">
        <v>581</v>
      </c>
      <c r="D296" s="1" t="s">
        <v>581</v>
      </c>
      <c r="E296" t="s">
        <v>582</v>
      </c>
      <c r="F296" s="2" t="s">
        <v>216</v>
      </c>
      <c r="G296" t="s">
        <v>5</v>
      </c>
      <c r="H296" s="2" t="s">
        <v>614</v>
      </c>
      <c r="I296" s="2">
        <v>0.28999999999999998</v>
      </c>
    </row>
    <row r="297" spans="1:9" x14ac:dyDescent="0.25">
      <c r="A297" s="1" t="s">
        <v>611</v>
      </c>
      <c r="B297" t="s">
        <v>612</v>
      </c>
      <c r="C297" s="1" t="s">
        <v>584</v>
      </c>
      <c r="D297" s="1" t="s">
        <v>584</v>
      </c>
      <c r="E297" t="s">
        <v>585</v>
      </c>
      <c r="F297" s="2" t="s">
        <v>191</v>
      </c>
      <c r="G297" t="s">
        <v>5</v>
      </c>
      <c r="H297" s="2" t="s">
        <v>586</v>
      </c>
      <c r="I297" s="2">
        <v>0.13</v>
      </c>
    </row>
    <row r="298" spans="1:9" x14ac:dyDescent="0.25">
      <c r="A298" s="1" t="s">
        <v>611</v>
      </c>
      <c r="B298" t="s">
        <v>612</v>
      </c>
      <c r="C298" s="1" t="s">
        <v>587</v>
      </c>
      <c r="D298" s="1" t="s">
        <v>587</v>
      </c>
      <c r="E298" t="s">
        <v>588</v>
      </c>
      <c r="F298" s="2" t="s">
        <v>589</v>
      </c>
      <c r="G298" t="s">
        <v>5</v>
      </c>
      <c r="H298" s="2" t="s">
        <v>590</v>
      </c>
      <c r="I298" s="2">
        <v>0.13</v>
      </c>
    </row>
    <row r="299" spans="1:9" x14ac:dyDescent="0.25">
      <c r="A299" s="1" t="s">
        <v>611</v>
      </c>
      <c r="B299" t="s">
        <v>612</v>
      </c>
      <c r="C299" s="1" t="s">
        <v>41</v>
      </c>
      <c r="D299" s="1" t="s">
        <v>41</v>
      </c>
      <c r="E299" t="s">
        <v>42</v>
      </c>
      <c r="F299" s="2" t="s">
        <v>513</v>
      </c>
      <c r="G299" t="s">
        <v>5</v>
      </c>
      <c r="H299" s="2" t="s">
        <v>615</v>
      </c>
      <c r="I299" s="2">
        <v>0.02</v>
      </c>
    </row>
    <row r="300" spans="1:9" x14ac:dyDescent="0.25">
      <c r="A300" s="1" t="s">
        <v>611</v>
      </c>
      <c r="B300" t="s">
        <v>612</v>
      </c>
      <c r="C300" s="1" t="s">
        <v>517</v>
      </c>
      <c r="D300" s="1" t="s">
        <v>517</v>
      </c>
      <c r="E300" t="s">
        <v>518</v>
      </c>
      <c r="F300" s="2" t="s">
        <v>519</v>
      </c>
      <c r="G300" t="s">
        <v>121</v>
      </c>
      <c r="H300" s="2" t="s">
        <v>122</v>
      </c>
      <c r="I300" s="2">
        <v>22.2</v>
      </c>
    </row>
    <row r="301" spans="1:9" x14ac:dyDescent="0.25">
      <c r="A301" s="1" t="s">
        <v>611</v>
      </c>
      <c r="B301" t="s">
        <v>612</v>
      </c>
      <c r="C301" s="1" t="s">
        <v>499</v>
      </c>
      <c r="D301" s="1" t="s">
        <v>499</v>
      </c>
      <c r="E301" t="s">
        <v>500</v>
      </c>
      <c r="F301" s="2" t="s">
        <v>501</v>
      </c>
      <c r="G301" t="s">
        <v>121</v>
      </c>
      <c r="H301" s="2" t="s">
        <v>92</v>
      </c>
      <c r="I301" s="2">
        <v>9</v>
      </c>
    </row>
    <row r="302" spans="1:9" x14ac:dyDescent="0.25">
      <c r="A302" s="1" t="s">
        <v>611</v>
      </c>
      <c r="B302" t="s">
        <v>612</v>
      </c>
      <c r="C302" s="1" t="s">
        <v>592</v>
      </c>
      <c r="D302" s="1" t="s">
        <v>592</v>
      </c>
      <c r="E302" t="s">
        <v>593</v>
      </c>
      <c r="F302" s="2" t="s">
        <v>157</v>
      </c>
      <c r="G302" t="s">
        <v>49</v>
      </c>
      <c r="H302" s="2" t="s">
        <v>50</v>
      </c>
      <c r="I302" s="2">
        <v>2.4500000000000002</v>
      </c>
    </row>
    <row r="303" spans="1:9" x14ac:dyDescent="0.25">
      <c r="A303" s="1" t="s">
        <v>611</v>
      </c>
      <c r="B303" t="s">
        <v>612</v>
      </c>
      <c r="C303" s="1" t="s">
        <v>541</v>
      </c>
      <c r="D303" s="1" t="s">
        <v>541</v>
      </c>
      <c r="E303" t="s">
        <v>542</v>
      </c>
      <c r="F303" s="2" t="s">
        <v>9</v>
      </c>
      <c r="G303" t="s">
        <v>10</v>
      </c>
      <c r="H303" s="2" t="s">
        <v>616</v>
      </c>
      <c r="I303" s="2">
        <v>9.32</v>
      </c>
    </row>
    <row r="304" spans="1:9" x14ac:dyDescent="0.25">
      <c r="A304" s="1" t="s">
        <v>617</v>
      </c>
      <c r="B304" t="s">
        <v>618</v>
      </c>
      <c r="C304" s="1" t="s">
        <v>507</v>
      </c>
      <c r="D304" s="1" t="s">
        <v>507</v>
      </c>
      <c r="E304" t="s">
        <v>508</v>
      </c>
      <c r="F304" s="2" t="s">
        <v>578</v>
      </c>
      <c r="G304" t="s">
        <v>5</v>
      </c>
      <c r="H304" s="2" t="s">
        <v>619</v>
      </c>
      <c r="I304" s="2">
        <v>14.92</v>
      </c>
    </row>
    <row r="305" spans="1:9" x14ac:dyDescent="0.25">
      <c r="A305" s="1" t="s">
        <v>617</v>
      </c>
      <c r="B305" t="s">
        <v>618</v>
      </c>
      <c r="C305" s="1" t="s">
        <v>511</v>
      </c>
      <c r="D305" s="1" t="s">
        <v>511</v>
      </c>
      <c r="E305" t="s">
        <v>512</v>
      </c>
      <c r="F305" s="2" t="s">
        <v>580</v>
      </c>
      <c r="G305" t="s">
        <v>39</v>
      </c>
      <c r="H305" s="2" t="s">
        <v>558</v>
      </c>
      <c r="I305" s="2">
        <v>1.19</v>
      </c>
    </row>
    <row r="306" spans="1:9" x14ac:dyDescent="0.25">
      <c r="A306" s="1" t="s">
        <v>617</v>
      </c>
      <c r="B306" t="s">
        <v>618</v>
      </c>
      <c r="C306" s="1" t="s">
        <v>41</v>
      </c>
      <c r="D306" s="1" t="s">
        <v>41</v>
      </c>
      <c r="E306" t="s">
        <v>42</v>
      </c>
      <c r="F306" s="2" t="s">
        <v>513</v>
      </c>
      <c r="G306" t="s">
        <v>5</v>
      </c>
      <c r="H306" s="2" t="s">
        <v>598</v>
      </c>
      <c r="I306" s="2">
        <v>0.04</v>
      </c>
    </row>
    <row r="307" spans="1:9" x14ac:dyDescent="0.25">
      <c r="A307" s="1" t="s">
        <v>617</v>
      </c>
      <c r="B307" t="s">
        <v>618</v>
      </c>
      <c r="C307" s="1" t="s">
        <v>517</v>
      </c>
      <c r="D307" s="1" t="s">
        <v>517</v>
      </c>
      <c r="E307" t="s">
        <v>518</v>
      </c>
      <c r="F307" s="2" t="s">
        <v>519</v>
      </c>
      <c r="G307" t="s">
        <v>121</v>
      </c>
      <c r="H307" s="2" t="s">
        <v>92</v>
      </c>
      <c r="I307" s="2">
        <v>11.1</v>
      </c>
    </row>
    <row r="308" spans="1:9" x14ac:dyDescent="0.25">
      <c r="A308" s="1" t="s">
        <v>617</v>
      </c>
      <c r="B308" t="s">
        <v>618</v>
      </c>
      <c r="C308" s="1" t="s">
        <v>520</v>
      </c>
      <c r="D308" s="1" t="s">
        <v>520</v>
      </c>
      <c r="E308" t="s">
        <v>521</v>
      </c>
      <c r="F308" s="2" t="s">
        <v>522</v>
      </c>
      <c r="G308" t="s">
        <v>121</v>
      </c>
      <c r="H308" s="2" t="s">
        <v>92</v>
      </c>
      <c r="I308" s="2">
        <v>6.9</v>
      </c>
    </row>
    <row r="309" spans="1:9" x14ac:dyDescent="0.25">
      <c r="A309" s="1" t="s">
        <v>617</v>
      </c>
      <c r="B309" t="s">
        <v>618</v>
      </c>
      <c r="C309" s="1" t="s">
        <v>599</v>
      </c>
      <c r="D309" s="1" t="s">
        <v>599</v>
      </c>
      <c r="E309" t="s">
        <v>600</v>
      </c>
      <c r="F309" s="2" t="s">
        <v>157</v>
      </c>
      <c r="G309" t="s">
        <v>49</v>
      </c>
      <c r="H309" s="2" t="s">
        <v>92</v>
      </c>
      <c r="I309" s="2">
        <v>4.9000000000000004</v>
      </c>
    </row>
    <row r="310" spans="1:9" x14ac:dyDescent="0.25">
      <c r="A310" s="1" t="s">
        <v>617</v>
      </c>
      <c r="B310" t="s">
        <v>618</v>
      </c>
      <c r="C310" s="1" t="s">
        <v>541</v>
      </c>
      <c r="D310" s="1" t="s">
        <v>541</v>
      </c>
      <c r="E310" t="s">
        <v>542</v>
      </c>
      <c r="F310" s="2" t="s">
        <v>9</v>
      </c>
      <c r="G310" t="s">
        <v>10</v>
      </c>
      <c r="H310" s="2" t="s">
        <v>601</v>
      </c>
      <c r="I310" s="2">
        <v>6.9</v>
      </c>
    </row>
    <row r="311" spans="1:9" x14ac:dyDescent="0.25">
      <c r="A311" s="1" t="s">
        <v>620</v>
      </c>
      <c r="B311" t="s">
        <v>621</v>
      </c>
      <c r="C311" s="1" t="s">
        <v>471</v>
      </c>
      <c r="D311" s="1" t="s">
        <v>471</v>
      </c>
      <c r="E311" t="s">
        <v>472</v>
      </c>
      <c r="F311" s="2" t="s">
        <v>578</v>
      </c>
      <c r="G311" t="s">
        <v>5</v>
      </c>
      <c r="H311" s="2" t="s">
        <v>622</v>
      </c>
      <c r="I311" s="2">
        <v>24.25</v>
      </c>
    </row>
    <row r="312" spans="1:9" x14ac:dyDescent="0.25">
      <c r="A312" s="1" t="s">
        <v>620</v>
      </c>
      <c r="B312" t="s">
        <v>621</v>
      </c>
      <c r="C312" s="1" t="s">
        <v>511</v>
      </c>
      <c r="D312" s="1" t="s">
        <v>511</v>
      </c>
      <c r="E312" t="s">
        <v>512</v>
      </c>
      <c r="F312" s="2" t="s">
        <v>580</v>
      </c>
      <c r="G312" t="s">
        <v>39</v>
      </c>
      <c r="H312" s="2" t="s">
        <v>558</v>
      </c>
      <c r="I312" s="2">
        <v>1.19</v>
      </c>
    </row>
    <row r="313" spans="1:9" x14ac:dyDescent="0.25">
      <c r="A313" s="1" t="s">
        <v>620</v>
      </c>
      <c r="B313" t="s">
        <v>621</v>
      </c>
      <c r="C313" s="1" t="s">
        <v>623</v>
      </c>
      <c r="D313" s="1" t="s">
        <v>623</v>
      </c>
      <c r="E313" t="s">
        <v>624</v>
      </c>
      <c r="F313" s="2" t="s">
        <v>589</v>
      </c>
      <c r="G313" t="s">
        <v>5</v>
      </c>
      <c r="H313" s="2" t="s">
        <v>625</v>
      </c>
      <c r="I313" s="2">
        <v>0.27</v>
      </c>
    </row>
    <row r="314" spans="1:9" x14ac:dyDescent="0.25">
      <c r="A314" s="1" t="s">
        <v>620</v>
      </c>
      <c r="B314" t="s">
        <v>621</v>
      </c>
      <c r="C314" s="1" t="s">
        <v>479</v>
      </c>
      <c r="D314" s="1" t="s">
        <v>479</v>
      </c>
      <c r="E314" t="s">
        <v>480</v>
      </c>
      <c r="F314" s="2" t="s">
        <v>626</v>
      </c>
      <c r="G314" t="s">
        <v>5</v>
      </c>
      <c r="H314" s="2" t="s">
        <v>627</v>
      </c>
      <c r="I314" s="2">
        <v>7.0000000000000007E-2</v>
      </c>
    </row>
    <row r="315" spans="1:9" x14ac:dyDescent="0.25">
      <c r="A315" s="1" t="s">
        <v>620</v>
      </c>
      <c r="B315" t="s">
        <v>621</v>
      </c>
      <c r="C315" s="1" t="s">
        <v>628</v>
      </c>
      <c r="D315" s="1" t="s">
        <v>628</v>
      </c>
      <c r="E315" t="s">
        <v>629</v>
      </c>
      <c r="F315" s="2" t="s">
        <v>630</v>
      </c>
      <c r="G315" t="s">
        <v>5</v>
      </c>
      <c r="H315" s="2" t="s">
        <v>631</v>
      </c>
      <c r="I315" s="2">
        <v>0.03</v>
      </c>
    </row>
    <row r="316" spans="1:9" x14ac:dyDescent="0.25">
      <c r="A316" s="1" t="s">
        <v>620</v>
      </c>
      <c r="B316" t="s">
        <v>621</v>
      </c>
      <c r="C316" s="1" t="s">
        <v>41</v>
      </c>
      <c r="D316" s="1" t="s">
        <v>41</v>
      </c>
      <c r="E316" t="s">
        <v>42</v>
      </c>
      <c r="F316" s="2" t="s">
        <v>513</v>
      </c>
      <c r="G316" t="s">
        <v>5</v>
      </c>
      <c r="H316" s="2" t="s">
        <v>591</v>
      </c>
      <c r="I316" s="2">
        <v>7.0000000000000007E-2</v>
      </c>
    </row>
    <row r="317" spans="1:9" x14ac:dyDescent="0.25">
      <c r="A317" s="1" t="s">
        <v>620</v>
      </c>
      <c r="B317" t="s">
        <v>621</v>
      </c>
      <c r="C317" s="1" t="s">
        <v>517</v>
      </c>
      <c r="D317" s="1" t="s">
        <v>517</v>
      </c>
      <c r="E317" t="s">
        <v>518</v>
      </c>
      <c r="F317" s="2" t="s">
        <v>519</v>
      </c>
      <c r="G317" t="s">
        <v>121</v>
      </c>
      <c r="H317" s="2" t="s">
        <v>122</v>
      </c>
      <c r="I317" s="2">
        <v>22.2</v>
      </c>
    </row>
    <row r="318" spans="1:9" x14ac:dyDescent="0.25">
      <c r="A318" s="1" t="s">
        <v>620</v>
      </c>
      <c r="B318" t="s">
        <v>621</v>
      </c>
      <c r="C318" s="1" t="s">
        <v>499</v>
      </c>
      <c r="D318" s="1" t="s">
        <v>499</v>
      </c>
      <c r="E318" t="s">
        <v>500</v>
      </c>
      <c r="F318" s="2" t="s">
        <v>501</v>
      </c>
      <c r="G318" t="s">
        <v>121</v>
      </c>
      <c r="H318" s="2" t="s">
        <v>92</v>
      </c>
      <c r="I318" s="2">
        <v>9</v>
      </c>
    </row>
    <row r="319" spans="1:9" x14ac:dyDescent="0.25">
      <c r="A319" s="1" t="s">
        <v>620</v>
      </c>
      <c r="B319" t="s">
        <v>621</v>
      </c>
      <c r="C319" s="1" t="s">
        <v>632</v>
      </c>
      <c r="D319" s="1" t="s">
        <v>632</v>
      </c>
      <c r="E319" t="s">
        <v>633</v>
      </c>
      <c r="F319" s="2" t="s">
        <v>634</v>
      </c>
      <c r="G319" t="s">
        <v>49</v>
      </c>
      <c r="H319" s="2" t="s">
        <v>50</v>
      </c>
      <c r="I319" s="2">
        <v>2.2999999999999998</v>
      </c>
    </row>
    <row r="320" spans="1:9" x14ac:dyDescent="0.25">
      <c r="A320" s="1" t="s">
        <v>620</v>
      </c>
      <c r="B320" t="s">
        <v>621</v>
      </c>
      <c r="C320" s="1" t="s">
        <v>541</v>
      </c>
      <c r="D320" s="1" t="s">
        <v>541</v>
      </c>
      <c r="E320" t="s">
        <v>542</v>
      </c>
      <c r="F320" s="2" t="s">
        <v>9</v>
      </c>
      <c r="G320" t="s">
        <v>10</v>
      </c>
      <c r="H320" s="2" t="s">
        <v>635</v>
      </c>
      <c r="I320" s="2">
        <v>6.61</v>
      </c>
    </row>
    <row r="321" spans="1:9" x14ac:dyDescent="0.25">
      <c r="A321" s="1" t="s">
        <v>636</v>
      </c>
      <c r="B321" t="s">
        <v>637</v>
      </c>
      <c r="C321" s="1" t="s">
        <v>507</v>
      </c>
      <c r="D321" s="1" t="s">
        <v>507</v>
      </c>
      <c r="E321" t="s">
        <v>508</v>
      </c>
      <c r="F321" s="2" t="s">
        <v>578</v>
      </c>
      <c r="G321" t="s">
        <v>5</v>
      </c>
      <c r="H321" s="2" t="s">
        <v>638</v>
      </c>
      <c r="I321" s="2">
        <v>7.25</v>
      </c>
    </row>
    <row r="322" spans="1:9" x14ac:dyDescent="0.25">
      <c r="A322" s="1" t="s">
        <v>636</v>
      </c>
      <c r="B322" t="s">
        <v>637</v>
      </c>
      <c r="C322" s="1" t="s">
        <v>511</v>
      </c>
      <c r="D322" s="1" t="s">
        <v>511</v>
      </c>
      <c r="E322" t="s">
        <v>512</v>
      </c>
      <c r="F322" s="2" t="s">
        <v>580</v>
      </c>
      <c r="G322" t="s">
        <v>39</v>
      </c>
      <c r="H322" s="2" t="s">
        <v>558</v>
      </c>
      <c r="I322" s="2">
        <v>1.19</v>
      </c>
    </row>
    <row r="323" spans="1:9" x14ac:dyDescent="0.25">
      <c r="A323" s="1" t="s">
        <v>636</v>
      </c>
      <c r="B323" t="s">
        <v>637</v>
      </c>
      <c r="C323" s="1" t="s">
        <v>517</v>
      </c>
      <c r="D323" s="1" t="s">
        <v>517</v>
      </c>
      <c r="E323" t="s">
        <v>518</v>
      </c>
      <c r="F323" s="2" t="s">
        <v>519</v>
      </c>
      <c r="G323" t="s">
        <v>121</v>
      </c>
      <c r="H323" s="2" t="s">
        <v>92</v>
      </c>
      <c r="I323" s="2">
        <v>11.1</v>
      </c>
    </row>
    <row r="324" spans="1:9" x14ac:dyDescent="0.25">
      <c r="A324" s="1" t="s">
        <v>636</v>
      </c>
      <c r="B324" t="s">
        <v>637</v>
      </c>
      <c r="C324" s="1" t="s">
        <v>520</v>
      </c>
      <c r="D324" s="1" t="s">
        <v>520</v>
      </c>
      <c r="E324" t="s">
        <v>521</v>
      </c>
      <c r="F324" s="2" t="s">
        <v>522</v>
      </c>
      <c r="G324" t="s">
        <v>121</v>
      </c>
      <c r="H324" s="2" t="s">
        <v>92</v>
      </c>
      <c r="I324" s="2">
        <v>6.9</v>
      </c>
    </row>
    <row r="325" spans="1:9" x14ac:dyDescent="0.25">
      <c r="A325" s="1" t="s">
        <v>636</v>
      </c>
      <c r="B325" t="s">
        <v>637</v>
      </c>
      <c r="C325" s="1" t="s">
        <v>599</v>
      </c>
      <c r="D325" s="1" t="s">
        <v>599</v>
      </c>
      <c r="E325" t="s">
        <v>600</v>
      </c>
      <c r="F325" s="2" t="s">
        <v>157</v>
      </c>
      <c r="G325" t="s">
        <v>49</v>
      </c>
      <c r="H325" s="2" t="s">
        <v>92</v>
      </c>
      <c r="I325" s="2">
        <v>4.9000000000000004</v>
      </c>
    </row>
    <row r="326" spans="1:9" x14ac:dyDescent="0.25">
      <c r="A326" s="1" t="s">
        <v>636</v>
      </c>
      <c r="B326" t="s">
        <v>637</v>
      </c>
      <c r="C326" s="1" t="s">
        <v>541</v>
      </c>
      <c r="D326" s="1" t="s">
        <v>541</v>
      </c>
      <c r="E326" t="s">
        <v>542</v>
      </c>
      <c r="F326" s="2" t="s">
        <v>9</v>
      </c>
      <c r="G326" t="s">
        <v>10</v>
      </c>
      <c r="H326" s="2" t="s">
        <v>639</v>
      </c>
      <c r="I326" s="2">
        <v>5.16</v>
      </c>
    </row>
    <row r="327" spans="1:9" x14ac:dyDescent="0.25">
      <c r="A327" s="1" t="s">
        <v>640</v>
      </c>
      <c r="B327" t="s">
        <v>641</v>
      </c>
      <c r="C327" s="1" t="s">
        <v>471</v>
      </c>
      <c r="D327" s="1" t="s">
        <v>471</v>
      </c>
      <c r="E327" t="s">
        <v>472</v>
      </c>
      <c r="F327" s="2" t="s">
        <v>578</v>
      </c>
      <c r="G327" t="s">
        <v>5</v>
      </c>
      <c r="H327" s="2" t="s">
        <v>642</v>
      </c>
      <c r="I327" s="2">
        <v>36.11</v>
      </c>
    </row>
    <row r="328" spans="1:9" x14ac:dyDescent="0.25">
      <c r="A328" s="1" t="s">
        <v>640</v>
      </c>
      <c r="B328" t="s">
        <v>641</v>
      </c>
      <c r="C328" s="1" t="s">
        <v>511</v>
      </c>
      <c r="D328" s="1" t="s">
        <v>511</v>
      </c>
      <c r="E328" t="s">
        <v>512</v>
      </c>
      <c r="F328" s="2" t="s">
        <v>580</v>
      </c>
      <c r="G328" t="s">
        <v>39</v>
      </c>
      <c r="H328" s="2" t="s">
        <v>558</v>
      </c>
      <c r="I328" s="2">
        <v>1.19</v>
      </c>
    </row>
    <row r="329" spans="1:9" x14ac:dyDescent="0.25">
      <c r="A329" s="1" t="s">
        <v>640</v>
      </c>
      <c r="B329" t="s">
        <v>641</v>
      </c>
      <c r="C329" s="1" t="s">
        <v>623</v>
      </c>
      <c r="D329" s="1" t="s">
        <v>623</v>
      </c>
      <c r="E329" t="s">
        <v>624</v>
      </c>
      <c r="F329" s="2" t="s">
        <v>589</v>
      </c>
      <c r="G329" t="s">
        <v>5</v>
      </c>
      <c r="H329" s="2" t="s">
        <v>625</v>
      </c>
      <c r="I329" s="2">
        <v>0.27</v>
      </c>
    </row>
    <row r="330" spans="1:9" x14ac:dyDescent="0.25">
      <c r="A330" s="1" t="s">
        <v>640</v>
      </c>
      <c r="B330" t="s">
        <v>641</v>
      </c>
      <c r="C330" s="1" t="s">
        <v>479</v>
      </c>
      <c r="D330" s="1" t="s">
        <v>479</v>
      </c>
      <c r="E330" t="s">
        <v>480</v>
      </c>
      <c r="F330" s="2" t="s">
        <v>626</v>
      </c>
      <c r="G330" t="s">
        <v>5</v>
      </c>
      <c r="H330" s="2" t="s">
        <v>627</v>
      </c>
      <c r="I330" s="2">
        <v>7.0000000000000007E-2</v>
      </c>
    </row>
    <row r="331" spans="1:9" x14ac:dyDescent="0.25">
      <c r="A331" s="1" t="s">
        <v>640</v>
      </c>
      <c r="B331" t="s">
        <v>641</v>
      </c>
      <c r="C331" s="1" t="s">
        <v>628</v>
      </c>
      <c r="D331" s="1" t="s">
        <v>628</v>
      </c>
      <c r="E331" t="s">
        <v>629</v>
      </c>
      <c r="F331" s="2" t="s">
        <v>630</v>
      </c>
      <c r="G331" t="s">
        <v>5</v>
      </c>
      <c r="H331" s="2" t="s">
        <v>631</v>
      </c>
      <c r="I331" s="2">
        <v>0.03</v>
      </c>
    </row>
    <row r="332" spans="1:9" x14ac:dyDescent="0.25">
      <c r="A332" s="1" t="s">
        <v>640</v>
      </c>
      <c r="B332" t="s">
        <v>641</v>
      </c>
      <c r="C332" s="1" t="s">
        <v>41</v>
      </c>
      <c r="D332" s="1" t="s">
        <v>41</v>
      </c>
      <c r="E332" t="s">
        <v>42</v>
      </c>
      <c r="F332" s="2" t="s">
        <v>513</v>
      </c>
      <c r="G332" t="s">
        <v>5</v>
      </c>
      <c r="H332" s="2" t="s">
        <v>643</v>
      </c>
      <c r="I332" s="2">
        <v>0.02</v>
      </c>
    </row>
    <row r="333" spans="1:9" x14ac:dyDescent="0.25">
      <c r="A333" s="1" t="s">
        <v>640</v>
      </c>
      <c r="B333" t="s">
        <v>641</v>
      </c>
      <c r="C333" s="1" t="s">
        <v>517</v>
      </c>
      <c r="D333" s="1" t="s">
        <v>517</v>
      </c>
      <c r="E333" t="s">
        <v>518</v>
      </c>
      <c r="F333" s="2" t="s">
        <v>519</v>
      </c>
      <c r="G333" t="s">
        <v>121</v>
      </c>
      <c r="H333" s="2" t="s">
        <v>122</v>
      </c>
      <c r="I333" s="2">
        <v>22.2</v>
      </c>
    </row>
    <row r="334" spans="1:9" x14ac:dyDescent="0.25">
      <c r="A334" s="1" t="s">
        <v>640</v>
      </c>
      <c r="B334" t="s">
        <v>641</v>
      </c>
      <c r="C334" s="1" t="s">
        <v>499</v>
      </c>
      <c r="D334" s="1" t="s">
        <v>499</v>
      </c>
      <c r="E334" t="s">
        <v>500</v>
      </c>
      <c r="F334" s="2" t="s">
        <v>501</v>
      </c>
      <c r="G334" t="s">
        <v>121</v>
      </c>
      <c r="H334" s="2" t="s">
        <v>92</v>
      </c>
      <c r="I334" s="2">
        <v>9</v>
      </c>
    </row>
    <row r="335" spans="1:9" x14ac:dyDescent="0.25">
      <c r="A335" s="1" t="s">
        <v>640</v>
      </c>
      <c r="B335" t="s">
        <v>641</v>
      </c>
      <c r="C335" s="1" t="s">
        <v>632</v>
      </c>
      <c r="D335" s="1" t="s">
        <v>632</v>
      </c>
      <c r="E335" t="s">
        <v>633</v>
      </c>
      <c r="F335" s="2" t="s">
        <v>634</v>
      </c>
      <c r="G335" t="s">
        <v>49</v>
      </c>
      <c r="H335" s="2" t="s">
        <v>50</v>
      </c>
      <c r="I335" s="2">
        <v>2.2999999999999998</v>
      </c>
    </row>
    <row r="336" spans="1:9" x14ac:dyDescent="0.25">
      <c r="A336" s="1" t="s">
        <v>640</v>
      </c>
      <c r="B336" t="s">
        <v>641</v>
      </c>
      <c r="C336" s="1" t="s">
        <v>541</v>
      </c>
      <c r="D336" s="1" t="s">
        <v>541</v>
      </c>
      <c r="E336" t="s">
        <v>542</v>
      </c>
      <c r="F336" s="2" t="s">
        <v>9</v>
      </c>
      <c r="G336" t="s">
        <v>10</v>
      </c>
      <c r="H336" s="2" t="s">
        <v>635</v>
      </c>
      <c r="I336" s="2">
        <v>6.61</v>
      </c>
    </row>
    <row r="337" spans="1:9" x14ac:dyDescent="0.25">
      <c r="A337" s="1" t="s">
        <v>644</v>
      </c>
      <c r="B337" t="s">
        <v>645</v>
      </c>
      <c r="C337" s="1" t="s">
        <v>471</v>
      </c>
      <c r="D337" s="1" t="s">
        <v>471</v>
      </c>
      <c r="E337" t="s">
        <v>472</v>
      </c>
      <c r="F337" s="2" t="s">
        <v>578</v>
      </c>
      <c r="G337" t="s">
        <v>5</v>
      </c>
      <c r="H337" s="2" t="s">
        <v>646</v>
      </c>
      <c r="I337" s="2">
        <v>44.56</v>
      </c>
    </row>
    <row r="338" spans="1:9" x14ac:dyDescent="0.25">
      <c r="A338" s="1" t="s">
        <v>644</v>
      </c>
      <c r="B338" t="s">
        <v>645</v>
      </c>
      <c r="C338" s="1" t="s">
        <v>511</v>
      </c>
      <c r="D338" s="1" t="s">
        <v>511</v>
      </c>
      <c r="E338" t="s">
        <v>512</v>
      </c>
      <c r="F338" s="2" t="s">
        <v>580</v>
      </c>
      <c r="G338" t="s">
        <v>39</v>
      </c>
      <c r="H338" s="2" t="s">
        <v>558</v>
      </c>
      <c r="I338" s="2">
        <v>1.19</v>
      </c>
    </row>
    <row r="339" spans="1:9" x14ac:dyDescent="0.25">
      <c r="A339" s="1" t="s">
        <v>644</v>
      </c>
      <c r="B339" t="s">
        <v>645</v>
      </c>
      <c r="C339" s="1" t="s">
        <v>623</v>
      </c>
      <c r="D339" s="1" t="s">
        <v>623</v>
      </c>
      <c r="E339" t="s">
        <v>624</v>
      </c>
      <c r="F339" s="2" t="s">
        <v>589</v>
      </c>
      <c r="G339" t="s">
        <v>5</v>
      </c>
      <c r="H339" s="2" t="s">
        <v>625</v>
      </c>
      <c r="I339" s="2">
        <v>0.27</v>
      </c>
    </row>
    <row r="340" spans="1:9" x14ac:dyDescent="0.25">
      <c r="A340" s="1" t="s">
        <v>644</v>
      </c>
      <c r="B340" t="s">
        <v>645</v>
      </c>
      <c r="C340" s="1" t="s">
        <v>479</v>
      </c>
      <c r="D340" s="1" t="s">
        <v>479</v>
      </c>
      <c r="E340" t="s">
        <v>480</v>
      </c>
      <c r="F340" s="2" t="s">
        <v>626</v>
      </c>
      <c r="G340" t="s">
        <v>5</v>
      </c>
      <c r="H340" s="2" t="s">
        <v>627</v>
      </c>
      <c r="I340" s="2">
        <v>7.0000000000000007E-2</v>
      </c>
    </row>
    <row r="341" spans="1:9" x14ac:dyDescent="0.25">
      <c r="A341" s="1" t="s">
        <v>644</v>
      </c>
      <c r="B341" t="s">
        <v>645</v>
      </c>
      <c r="C341" s="1" t="s">
        <v>628</v>
      </c>
      <c r="D341" s="1" t="s">
        <v>628</v>
      </c>
      <c r="E341" t="s">
        <v>629</v>
      </c>
      <c r="F341" s="2" t="s">
        <v>630</v>
      </c>
      <c r="G341" t="s">
        <v>5</v>
      </c>
      <c r="H341" s="2" t="s">
        <v>631</v>
      </c>
      <c r="I341" s="2">
        <v>0.03</v>
      </c>
    </row>
    <row r="342" spans="1:9" x14ac:dyDescent="0.25">
      <c r="A342" s="1" t="s">
        <v>644</v>
      </c>
      <c r="B342" t="s">
        <v>645</v>
      </c>
      <c r="C342" s="1" t="s">
        <v>41</v>
      </c>
      <c r="D342" s="1" t="s">
        <v>41</v>
      </c>
      <c r="E342" t="s">
        <v>42</v>
      </c>
      <c r="F342" s="2" t="s">
        <v>513</v>
      </c>
      <c r="G342" t="s">
        <v>5</v>
      </c>
      <c r="H342" s="2" t="s">
        <v>591</v>
      </c>
      <c r="I342" s="2">
        <v>7.0000000000000007E-2</v>
      </c>
    </row>
    <row r="343" spans="1:9" x14ac:dyDescent="0.25">
      <c r="A343" s="1" t="s">
        <v>644</v>
      </c>
      <c r="B343" t="s">
        <v>645</v>
      </c>
      <c r="C343" s="1" t="s">
        <v>517</v>
      </c>
      <c r="D343" s="1" t="s">
        <v>517</v>
      </c>
      <c r="E343" t="s">
        <v>518</v>
      </c>
      <c r="F343" s="2" t="s">
        <v>519</v>
      </c>
      <c r="G343" t="s">
        <v>121</v>
      </c>
      <c r="H343" s="2" t="s">
        <v>122</v>
      </c>
      <c r="I343" s="2">
        <v>22.2</v>
      </c>
    </row>
    <row r="344" spans="1:9" x14ac:dyDescent="0.25">
      <c r="A344" s="1" t="s">
        <v>644</v>
      </c>
      <c r="B344" t="s">
        <v>645</v>
      </c>
      <c r="C344" s="1" t="s">
        <v>499</v>
      </c>
      <c r="D344" s="1" t="s">
        <v>499</v>
      </c>
      <c r="E344" t="s">
        <v>500</v>
      </c>
      <c r="F344" s="2" t="s">
        <v>501</v>
      </c>
      <c r="G344" t="s">
        <v>121</v>
      </c>
      <c r="H344" s="2" t="s">
        <v>92</v>
      </c>
      <c r="I344" s="2">
        <v>9</v>
      </c>
    </row>
    <row r="345" spans="1:9" x14ac:dyDescent="0.25">
      <c r="A345" s="1" t="s">
        <v>644</v>
      </c>
      <c r="B345" t="s">
        <v>645</v>
      </c>
      <c r="C345" s="1" t="s">
        <v>632</v>
      </c>
      <c r="D345" s="1" t="s">
        <v>632</v>
      </c>
      <c r="E345" t="s">
        <v>633</v>
      </c>
      <c r="F345" s="2" t="s">
        <v>634</v>
      </c>
      <c r="G345" t="s">
        <v>49</v>
      </c>
      <c r="H345" s="2" t="s">
        <v>50</v>
      </c>
      <c r="I345" s="2">
        <v>2.2999999999999998</v>
      </c>
    </row>
    <row r="346" spans="1:9" x14ac:dyDescent="0.25">
      <c r="A346" s="1" t="s">
        <v>644</v>
      </c>
      <c r="B346" t="s">
        <v>645</v>
      </c>
      <c r="C346" s="1" t="s">
        <v>541</v>
      </c>
      <c r="D346" s="1" t="s">
        <v>541</v>
      </c>
      <c r="E346" t="s">
        <v>542</v>
      </c>
      <c r="F346" s="2" t="s">
        <v>9</v>
      </c>
      <c r="G346" t="s">
        <v>10</v>
      </c>
      <c r="H346" s="2" t="s">
        <v>635</v>
      </c>
      <c r="I346" s="2">
        <v>6.61</v>
      </c>
    </row>
    <row r="347" spans="1:9" x14ac:dyDescent="0.25">
      <c r="A347" s="1" t="s">
        <v>647</v>
      </c>
      <c r="B347" t="s">
        <v>648</v>
      </c>
      <c r="C347" s="1" t="s">
        <v>649</v>
      </c>
      <c r="D347" s="1" t="s">
        <v>649</v>
      </c>
      <c r="E347" t="s">
        <v>650</v>
      </c>
      <c r="F347" s="2" t="s">
        <v>651</v>
      </c>
      <c r="G347" t="s">
        <v>39</v>
      </c>
      <c r="H347" s="2" t="s">
        <v>652</v>
      </c>
      <c r="I347" s="2">
        <v>0.25</v>
      </c>
    </row>
    <row r="348" spans="1:9" x14ac:dyDescent="0.25">
      <c r="A348" s="1" t="s">
        <v>647</v>
      </c>
      <c r="B348" t="s">
        <v>648</v>
      </c>
      <c r="C348" s="1" t="s">
        <v>653</v>
      </c>
      <c r="D348" s="1" t="s">
        <v>653</v>
      </c>
      <c r="E348" t="s">
        <v>654</v>
      </c>
      <c r="F348" s="2" t="s">
        <v>655</v>
      </c>
      <c r="G348" t="s">
        <v>49</v>
      </c>
      <c r="H348" s="2" t="s">
        <v>319</v>
      </c>
      <c r="I348" s="2">
        <v>0.84</v>
      </c>
    </row>
    <row r="349" spans="1:9" x14ac:dyDescent="0.25">
      <c r="A349" s="1" t="s">
        <v>647</v>
      </c>
      <c r="B349" t="s">
        <v>648</v>
      </c>
      <c r="C349" s="1" t="s">
        <v>656</v>
      </c>
      <c r="D349" s="1" t="s">
        <v>656</v>
      </c>
      <c r="E349" t="s">
        <v>657</v>
      </c>
      <c r="F349" s="2" t="s">
        <v>658</v>
      </c>
      <c r="G349" t="s">
        <v>39</v>
      </c>
      <c r="H349" s="2" t="s">
        <v>25</v>
      </c>
      <c r="I349" s="2">
        <v>0.34</v>
      </c>
    </row>
    <row r="350" spans="1:9" x14ac:dyDescent="0.25">
      <c r="A350" s="1" t="s">
        <v>647</v>
      </c>
      <c r="B350" t="s">
        <v>648</v>
      </c>
      <c r="C350" s="1" t="s">
        <v>659</v>
      </c>
      <c r="D350" s="1" t="s">
        <v>659</v>
      </c>
      <c r="E350" t="s">
        <v>660</v>
      </c>
      <c r="F350" s="2" t="s">
        <v>661</v>
      </c>
      <c r="G350" t="s">
        <v>39</v>
      </c>
      <c r="H350" s="2" t="s">
        <v>605</v>
      </c>
      <c r="I350" s="2">
        <v>2</v>
      </c>
    </row>
    <row r="351" spans="1:9" x14ac:dyDescent="0.25">
      <c r="A351" s="1" t="s">
        <v>647</v>
      </c>
      <c r="B351" t="s">
        <v>648</v>
      </c>
      <c r="C351" s="1" t="s">
        <v>662</v>
      </c>
      <c r="D351" s="1" t="s">
        <v>662</v>
      </c>
      <c r="E351" t="s">
        <v>663</v>
      </c>
      <c r="F351" s="2" t="s">
        <v>513</v>
      </c>
      <c r="G351" t="s">
        <v>39</v>
      </c>
      <c r="H351" s="2" t="s">
        <v>40</v>
      </c>
      <c r="I351" s="2">
        <v>0.06</v>
      </c>
    </row>
    <row r="352" spans="1:9" x14ac:dyDescent="0.25">
      <c r="A352" s="1" t="s">
        <v>647</v>
      </c>
      <c r="B352" t="s">
        <v>648</v>
      </c>
      <c r="C352" s="1" t="s">
        <v>664</v>
      </c>
      <c r="D352" s="1" t="s">
        <v>664</v>
      </c>
      <c r="E352" t="s">
        <v>665</v>
      </c>
      <c r="F352" s="2" t="s">
        <v>666</v>
      </c>
      <c r="G352" t="s">
        <v>39</v>
      </c>
      <c r="H352" s="2" t="s">
        <v>652</v>
      </c>
      <c r="I352" s="2">
        <v>0.53</v>
      </c>
    </row>
    <row r="353" spans="1:9" x14ac:dyDescent="0.25">
      <c r="A353" s="1" t="s">
        <v>647</v>
      </c>
      <c r="B353" t="s">
        <v>648</v>
      </c>
      <c r="C353" s="1" t="s">
        <v>667</v>
      </c>
      <c r="D353" s="1" t="s">
        <v>667</v>
      </c>
      <c r="E353" t="s">
        <v>668</v>
      </c>
      <c r="F353" s="2" t="s">
        <v>669</v>
      </c>
      <c r="G353" t="s">
        <v>121</v>
      </c>
      <c r="H353" s="2" t="s">
        <v>482</v>
      </c>
      <c r="I353" s="2">
        <v>0.09</v>
      </c>
    </row>
    <row r="354" spans="1:9" x14ac:dyDescent="0.25">
      <c r="A354" s="1" t="s">
        <v>647</v>
      </c>
      <c r="B354" t="s">
        <v>648</v>
      </c>
      <c r="C354" s="1" t="s">
        <v>41</v>
      </c>
      <c r="D354" s="1" t="s">
        <v>41</v>
      </c>
      <c r="E354" t="s">
        <v>42</v>
      </c>
      <c r="F354" s="2" t="s">
        <v>43</v>
      </c>
      <c r="G354" t="s">
        <v>5</v>
      </c>
      <c r="H354" s="2" t="s">
        <v>44</v>
      </c>
      <c r="I354" s="2">
        <v>0.01</v>
      </c>
    </row>
    <row r="355" spans="1:9" x14ac:dyDescent="0.25">
      <c r="A355" s="1" t="s">
        <v>647</v>
      </c>
      <c r="B355" t="s">
        <v>648</v>
      </c>
      <c r="C355" s="1" t="s">
        <v>670</v>
      </c>
      <c r="D355" s="1" t="s">
        <v>670</v>
      </c>
      <c r="E355" t="s">
        <v>671</v>
      </c>
      <c r="F355" s="2" t="s">
        <v>672</v>
      </c>
      <c r="G355" t="s">
        <v>49</v>
      </c>
      <c r="H355" s="2" t="s">
        <v>50</v>
      </c>
      <c r="I355" s="2">
        <v>46.8</v>
      </c>
    </row>
    <row r="356" spans="1:9" x14ac:dyDescent="0.25">
      <c r="A356" s="1" t="s">
        <v>647</v>
      </c>
      <c r="B356" t="s">
        <v>648</v>
      </c>
      <c r="C356" s="1" t="s">
        <v>673</v>
      </c>
      <c r="D356" s="1" t="s">
        <v>673</v>
      </c>
      <c r="E356" t="s">
        <v>674</v>
      </c>
      <c r="F356" s="2" t="s">
        <v>675</v>
      </c>
      <c r="G356" t="s">
        <v>49</v>
      </c>
      <c r="H356" s="2" t="s">
        <v>50</v>
      </c>
      <c r="I356" s="2">
        <v>46.25</v>
      </c>
    </row>
    <row r="357" spans="1:9" x14ac:dyDescent="0.25">
      <c r="A357" s="1" t="s">
        <v>647</v>
      </c>
      <c r="B357" t="s">
        <v>648</v>
      </c>
      <c r="C357" s="1" t="s">
        <v>676</v>
      </c>
      <c r="D357" s="1" t="s">
        <v>676</v>
      </c>
      <c r="E357" t="s">
        <v>677</v>
      </c>
      <c r="F357" s="2" t="s">
        <v>672</v>
      </c>
      <c r="G357" t="s">
        <v>49</v>
      </c>
      <c r="H357" s="2" t="s">
        <v>50</v>
      </c>
      <c r="I357" s="2">
        <v>46.8</v>
      </c>
    </row>
    <row r="358" spans="1:9" x14ac:dyDescent="0.25">
      <c r="A358" s="1" t="s">
        <v>647</v>
      </c>
      <c r="B358" t="s">
        <v>648</v>
      </c>
      <c r="C358" s="1" t="s">
        <v>678</v>
      </c>
      <c r="D358" s="1" t="s">
        <v>678</v>
      </c>
      <c r="E358" t="s">
        <v>679</v>
      </c>
      <c r="F358" s="2" t="s">
        <v>680</v>
      </c>
      <c r="G358" t="s">
        <v>49</v>
      </c>
      <c r="H358" s="2" t="s">
        <v>50</v>
      </c>
      <c r="I358" s="2">
        <v>42.5</v>
      </c>
    </row>
    <row r="359" spans="1:9" x14ac:dyDescent="0.25">
      <c r="A359" s="1" t="s">
        <v>647</v>
      </c>
      <c r="B359" t="s">
        <v>648</v>
      </c>
      <c r="C359" s="1" t="s">
        <v>681</v>
      </c>
      <c r="D359" s="1" t="s">
        <v>681</v>
      </c>
      <c r="E359" t="s">
        <v>682</v>
      </c>
      <c r="F359" s="2" t="s">
        <v>683</v>
      </c>
      <c r="G359" t="s">
        <v>49</v>
      </c>
      <c r="H359" s="2" t="s">
        <v>50</v>
      </c>
      <c r="I359" s="2">
        <v>44.2</v>
      </c>
    </row>
    <row r="360" spans="1:9" x14ac:dyDescent="0.25">
      <c r="A360" s="1" t="s">
        <v>647</v>
      </c>
      <c r="B360" t="s">
        <v>648</v>
      </c>
      <c r="C360" s="1" t="s">
        <v>684</v>
      </c>
      <c r="D360" s="1" t="s">
        <v>684</v>
      </c>
      <c r="E360" t="s">
        <v>685</v>
      </c>
      <c r="F360" s="2" t="s">
        <v>686</v>
      </c>
      <c r="G360" t="s">
        <v>49</v>
      </c>
      <c r="H360" s="2" t="s">
        <v>687</v>
      </c>
      <c r="I360" s="2">
        <v>40</v>
      </c>
    </row>
    <row r="361" spans="1:9" x14ac:dyDescent="0.25">
      <c r="A361" s="1" t="s">
        <v>647</v>
      </c>
      <c r="B361" t="s">
        <v>648</v>
      </c>
      <c r="C361" s="1" t="s">
        <v>688</v>
      </c>
      <c r="D361" s="1" t="s">
        <v>688</v>
      </c>
      <c r="E361" t="s">
        <v>689</v>
      </c>
      <c r="F361" s="2" t="s">
        <v>9</v>
      </c>
      <c r="G361" t="s">
        <v>10</v>
      </c>
      <c r="H361" s="2" t="s">
        <v>690</v>
      </c>
      <c r="I361" s="2">
        <v>20.7</v>
      </c>
    </row>
    <row r="362" spans="1:9" x14ac:dyDescent="0.25">
      <c r="A362" s="1" t="s">
        <v>647</v>
      </c>
      <c r="B362" t="s">
        <v>648</v>
      </c>
      <c r="C362" s="1" t="s">
        <v>7</v>
      </c>
      <c r="D362" s="1" t="s">
        <v>7</v>
      </c>
      <c r="E362" t="s">
        <v>8</v>
      </c>
      <c r="F362" s="2" t="s">
        <v>9</v>
      </c>
      <c r="G362" t="s">
        <v>10</v>
      </c>
      <c r="H362" s="2" t="s">
        <v>691</v>
      </c>
      <c r="I362" s="2">
        <v>178.75</v>
      </c>
    </row>
    <row r="363" spans="1:9" x14ac:dyDescent="0.25">
      <c r="A363" s="1" t="s">
        <v>647</v>
      </c>
      <c r="B363" t="s">
        <v>648</v>
      </c>
      <c r="C363" s="1" t="s">
        <v>7</v>
      </c>
      <c r="D363" s="1" t="s">
        <v>7</v>
      </c>
      <c r="E363" t="s">
        <v>8</v>
      </c>
      <c r="F363" s="2" t="s">
        <v>9</v>
      </c>
      <c r="G363" t="s">
        <v>10</v>
      </c>
      <c r="H363" s="2" t="s">
        <v>692</v>
      </c>
      <c r="I363" s="2">
        <v>58.95</v>
      </c>
    </row>
    <row r="364" spans="1:9" x14ac:dyDescent="0.25">
      <c r="A364" s="1" t="s">
        <v>693</v>
      </c>
      <c r="B364" t="s">
        <v>694</v>
      </c>
      <c r="C364" s="1" t="s">
        <v>695</v>
      </c>
      <c r="D364" s="1" t="s">
        <v>695</v>
      </c>
      <c r="E364" t="s">
        <v>696</v>
      </c>
      <c r="F364" s="2" t="s">
        <v>501</v>
      </c>
      <c r="G364" t="s">
        <v>39</v>
      </c>
      <c r="H364" s="2" t="s">
        <v>605</v>
      </c>
      <c r="I364" s="2">
        <v>0.18</v>
      </c>
    </row>
    <row r="365" spans="1:9" x14ac:dyDescent="0.25">
      <c r="A365" s="1" t="s">
        <v>693</v>
      </c>
      <c r="B365" t="s">
        <v>694</v>
      </c>
      <c r="C365" s="1" t="s">
        <v>479</v>
      </c>
      <c r="D365" s="1" t="s">
        <v>479</v>
      </c>
      <c r="E365" t="s">
        <v>480</v>
      </c>
      <c r="F365" s="2" t="s">
        <v>481</v>
      </c>
      <c r="G365" t="s">
        <v>5</v>
      </c>
      <c r="H365" s="2" t="s">
        <v>697</v>
      </c>
      <c r="I365" s="2">
        <v>0.06</v>
      </c>
    </row>
    <row r="366" spans="1:9" x14ac:dyDescent="0.25">
      <c r="A366" s="1" t="s">
        <v>693</v>
      </c>
      <c r="B366" t="s">
        <v>694</v>
      </c>
      <c r="C366" s="1" t="s">
        <v>628</v>
      </c>
      <c r="D366" s="1" t="s">
        <v>628</v>
      </c>
      <c r="E366" t="s">
        <v>629</v>
      </c>
      <c r="F366" s="2" t="s">
        <v>698</v>
      </c>
      <c r="G366" t="s">
        <v>5</v>
      </c>
      <c r="H366" s="2" t="s">
        <v>699</v>
      </c>
      <c r="I366" s="2">
        <v>0.04</v>
      </c>
    </row>
    <row r="367" spans="1:9" x14ac:dyDescent="0.25">
      <c r="A367" s="1" t="s">
        <v>693</v>
      </c>
      <c r="B367" t="s">
        <v>694</v>
      </c>
      <c r="C367" s="1" t="s">
        <v>700</v>
      </c>
      <c r="D367" s="1" t="s">
        <v>700</v>
      </c>
      <c r="E367" t="s">
        <v>701</v>
      </c>
      <c r="F367" s="2" t="s">
        <v>702</v>
      </c>
      <c r="G367" t="s">
        <v>5</v>
      </c>
      <c r="H367" s="2" t="s">
        <v>703</v>
      </c>
      <c r="I367" s="2">
        <v>0.76</v>
      </c>
    </row>
    <row r="368" spans="1:9" x14ac:dyDescent="0.25">
      <c r="A368" s="1" t="s">
        <v>693</v>
      </c>
      <c r="B368" t="s">
        <v>694</v>
      </c>
      <c r="C368" s="1" t="s">
        <v>704</v>
      </c>
      <c r="D368" s="1" t="s">
        <v>704</v>
      </c>
      <c r="E368" t="s">
        <v>705</v>
      </c>
      <c r="F368" s="2" t="s">
        <v>706</v>
      </c>
      <c r="G368" t="s">
        <v>121</v>
      </c>
      <c r="H368" s="2" t="s">
        <v>50</v>
      </c>
      <c r="I368" s="2">
        <v>0.61</v>
      </c>
    </row>
    <row r="369" spans="1:10" x14ac:dyDescent="0.25">
      <c r="A369" s="1" t="s">
        <v>693</v>
      </c>
      <c r="B369" t="s">
        <v>694</v>
      </c>
      <c r="C369" s="1" t="s">
        <v>707</v>
      </c>
      <c r="D369" s="1" t="s">
        <v>707</v>
      </c>
      <c r="E369" t="s">
        <v>708</v>
      </c>
      <c r="F369" s="2" t="s">
        <v>709</v>
      </c>
      <c r="G369" t="s">
        <v>49</v>
      </c>
      <c r="H369" s="2" t="s">
        <v>50</v>
      </c>
      <c r="I369" s="2">
        <v>24.5</v>
      </c>
      <c r="J369" t="s">
        <v>55</v>
      </c>
    </row>
    <row r="370" spans="1:10" x14ac:dyDescent="0.25">
      <c r="A370" s="1" t="s">
        <v>693</v>
      </c>
      <c r="B370" t="s">
        <v>694</v>
      </c>
      <c r="C370" s="1" t="s">
        <v>710</v>
      </c>
      <c r="D370" s="1" t="s">
        <v>710</v>
      </c>
      <c r="E370" t="s">
        <v>711</v>
      </c>
      <c r="F370" s="2" t="s">
        <v>712</v>
      </c>
      <c r="G370" t="s">
        <v>49</v>
      </c>
      <c r="H370" s="2" t="s">
        <v>50</v>
      </c>
      <c r="I370" s="2">
        <v>25</v>
      </c>
      <c r="J370" t="s">
        <v>55</v>
      </c>
    </row>
    <row r="371" spans="1:10" x14ac:dyDescent="0.25">
      <c r="A371" s="1" t="s">
        <v>693</v>
      </c>
      <c r="B371" t="s">
        <v>694</v>
      </c>
      <c r="C371" s="1" t="s">
        <v>713</v>
      </c>
      <c r="D371" s="1" t="s">
        <v>713</v>
      </c>
      <c r="E371" t="s">
        <v>714</v>
      </c>
      <c r="F371" s="2" t="s">
        <v>501</v>
      </c>
      <c r="G371" t="s">
        <v>49</v>
      </c>
      <c r="H371" s="2" t="s">
        <v>50</v>
      </c>
      <c r="I371" s="2">
        <v>4.5</v>
      </c>
      <c r="J371" t="s">
        <v>55</v>
      </c>
    </row>
    <row r="372" spans="1:10" x14ac:dyDescent="0.25">
      <c r="A372" s="1" t="s">
        <v>693</v>
      </c>
      <c r="B372" t="s">
        <v>694</v>
      </c>
      <c r="C372" s="1" t="s">
        <v>715</v>
      </c>
      <c r="D372" s="1" t="s">
        <v>715</v>
      </c>
      <c r="E372" t="s">
        <v>716</v>
      </c>
      <c r="F372" s="2" t="s">
        <v>501</v>
      </c>
      <c r="G372" t="s">
        <v>49</v>
      </c>
      <c r="H372" s="2" t="s">
        <v>50</v>
      </c>
      <c r="I372" s="2">
        <v>4.5</v>
      </c>
      <c r="J372" t="s">
        <v>55</v>
      </c>
    </row>
    <row r="373" spans="1:10" x14ac:dyDescent="0.25">
      <c r="A373" s="1" t="s">
        <v>693</v>
      </c>
      <c r="B373" t="s">
        <v>694</v>
      </c>
      <c r="C373" s="1" t="s">
        <v>717</v>
      </c>
      <c r="D373" s="1" t="s">
        <v>717</v>
      </c>
      <c r="E373" t="s">
        <v>718</v>
      </c>
      <c r="F373" s="2" t="s">
        <v>61</v>
      </c>
      <c r="G373" t="s">
        <v>49</v>
      </c>
      <c r="H373" s="2" t="s">
        <v>50</v>
      </c>
      <c r="I373" s="2">
        <v>3.85</v>
      </c>
      <c r="J373" t="s">
        <v>55</v>
      </c>
    </row>
    <row r="374" spans="1:10" x14ac:dyDescent="0.25">
      <c r="A374" s="1" t="s">
        <v>693</v>
      </c>
      <c r="B374" t="s">
        <v>694</v>
      </c>
      <c r="C374" s="1" t="s">
        <v>719</v>
      </c>
      <c r="D374" s="1" t="s">
        <v>719</v>
      </c>
      <c r="E374" t="s">
        <v>720</v>
      </c>
      <c r="F374" s="2" t="s">
        <v>721</v>
      </c>
      <c r="G374" t="s">
        <v>49</v>
      </c>
      <c r="H374" s="2" t="s">
        <v>50</v>
      </c>
      <c r="I374" s="2">
        <v>28.1</v>
      </c>
      <c r="J374" t="s">
        <v>55</v>
      </c>
    </row>
    <row r="375" spans="1:10" x14ac:dyDescent="0.25">
      <c r="A375" s="1" t="s">
        <v>693</v>
      </c>
      <c r="B375" t="s">
        <v>694</v>
      </c>
      <c r="C375" s="1" t="s">
        <v>722</v>
      </c>
      <c r="D375" s="1" t="s">
        <v>722</v>
      </c>
      <c r="E375" t="s">
        <v>723</v>
      </c>
      <c r="F375" s="2" t="s">
        <v>724</v>
      </c>
      <c r="G375" t="s">
        <v>49</v>
      </c>
      <c r="H375" s="2" t="s">
        <v>50</v>
      </c>
      <c r="I375" s="2">
        <v>4.3</v>
      </c>
      <c r="J375" t="s">
        <v>55</v>
      </c>
    </row>
    <row r="376" spans="1:10" x14ac:dyDescent="0.25">
      <c r="A376" s="1" t="s">
        <v>693</v>
      </c>
      <c r="B376" t="s">
        <v>694</v>
      </c>
      <c r="C376" s="1" t="s">
        <v>7</v>
      </c>
      <c r="D376" s="1" t="s">
        <v>7</v>
      </c>
      <c r="E376" t="s">
        <v>8</v>
      </c>
      <c r="F376" s="2" t="s">
        <v>9</v>
      </c>
      <c r="G376" t="s">
        <v>10</v>
      </c>
      <c r="H376" s="2" t="s">
        <v>725</v>
      </c>
      <c r="I376" s="2">
        <v>21.85</v>
      </c>
    </row>
    <row r="377" spans="1:10" x14ac:dyDescent="0.25">
      <c r="A377" s="1" t="s">
        <v>726</v>
      </c>
      <c r="B377" t="s">
        <v>727</v>
      </c>
      <c r="C377" s="1" t="s">
        <v>695</v>
      </c>
      <c r="D377" s="1" t="s">
        <v>695</v>
      </c>
      <c r="E377" t="s">
        <v>696</v>
      </c>
      <c r="F377" s="2" t="s">
        <v>501</v>
      </c>
      <c r="G377" t="s">
        <v>39</v>
      </c>
      <c r="H377" s="2" t="s">
        <v>605</v>
      </c>
      <c r="I377" s="2">
        <v>0.18</v>
      </c>
    </row>
    <row r="378" spans="1:10" x14ac:dyDescent="0.25">
      <c r="A378" s="1" t="s">
        <v>726</v>
      </c>
      <c r="B378" t="s">
        <v>727</v>
      </c>
      <c r="C378" s="1" t="s">
        <v>479</v>
      </c>
      <c r="D378" s="1" t="s">
        <v>479</v>
      </c>
      <c r="E378" t="s">
        <v>480</v>
      </c>
      <c r="F378" s="2" t="s">
        <v>481</v>
      </c>
      <c r="G378" t="s">
        <v>5</v>
      </c>
      <c r="H378" s="2" t="s">
        <v>697</v>
      </c>
      <c r="I378" s="2">
        <v>0.06</v>
      </c>
    </row>
    <row r="379" spans="1:10" x14ac:dyDescent="0.25">
      <c r="A379" s="1" t="s">
        <v>726</v>
      </c>
      <c r="B379" t="s">
        <v>727</v>
      </c>
      <c r="C379" s="1" t="s">
        <v>628</v>
      </c>
      <c r="D379" s="1" t="s">
        <v>628</v>
      </c>
      <c r="E379" t="s">
        <v>629</v>
      </c>
      <c r="F379" s="2" t="s">
        <v>698</v>
      </c>
      <c r="G379" t="s">
        <v>5</v>
      </c>
      <c r="H379" s="2" t="s">
        <v>699</v>
      </c>
      <c r="I379" s="2">
        <v>0.04</v>
      </c>
    </row>
    <row r="380" spans="1:10" x14ac:dyDescent="0.25">
      <c r="A380" s="1" t="s">
        <v>726</v>
      </c>
      <c r="B380" t="s">
        <v>727</v>
      </c>
      <c r="C380" s="1" t="s">
        <v>700</v>
      </c>
      <c r="D380" s="1" t="s">
        <v>700</v>
      </c>
      <c r="E380" t="s">
        <v>701</v>
      </c>
      <c r="F380" s="2" t="s">
        <v>702</v>
      </c>
      <c r="G380" t="s">
        <v>5</v>
      </c>
      <c r="H380" s="2" t="s">
        <v>728</v>
      </c>
      <c r="I380" s="2">
        <v>0.76</v>
      </c>
    </row>
    <row r="381" spans="1:10" x14ac:dyDescent="0.25">
      <c r="A381" s="1" t="s">
        <v>726</v>
      </c>
      <c r="B381" t="s">
        <v>727</v>
      </c>
      <c r="C381" s="1" t="s">
        <v>704</v>
      </c>
      <c r="D381" s="1" t="s">
        <v>704</v>
      </c>
      <c r="E381" t="s">
        <v>705</v>
      </c>
      <c r="F381" s="2" t="s">
        <v>706</v>
      </c>
      <c r="G381" t="s">
        <v>121</v>
      </c>
      <c r="H381" s="2" t="s">
        <v>50</v>
      </c>
      <c r="I381" s="2">
        <v>0.61</v>
      </c>
    </row>
    <row r="382" spans="1:10" x14ac:dyDescent="0.25">
      <c r="A382" s="1" t="s">
        <v>726</v>
      </c>
      <c r="B382" t="s">
        <v>727</v>
      </c>
      <c r="C382" s="1" t="s">
        <v>707</v>
      </c>
      <c r="D382" s="1" t="s">
        <v>707</v>
      </c>
      <c r="E382" t="s">
        <v>708</v>
      </c>
      <c r="F382" s="2" t="s">
        <v>709</v>
      </c>
      <c r="G382" t="s">
        <v>49</v>
      </c>
      <c r="H382" s="2" t="s">
        <v>50</v>
      </c>
      <c r="I382" s="2">
        <v>24.5</v>
      </c>
      <c r="J382" t="s">
        <v>55</v>
      </c>
    </row>
    <row r="383" spans="1:10" x14ac:dyDescent="0.25">
      <c r="A383" s="1" t="s">
        <v>726</v>
      </c>
      <c r="B383" t="s">
        <v>727</v>
      </c>
      <c r="C383" s="1" t="s">
        <v>710</v>
      </c>
      <c r="D383" s="1" t="s">
        <v>710</v>
      </c>
      <c r="E383" t="s">
        <v>711</v>
      </c>
      <c r="F383" s="2" t="s">
        <v>712</v>
      </c>
      <c r="G383" t="s">
        <v>49</v>
      </c>
      <c r="H383" s="2" t="s">
        <v>50</v>
      </c>
      <c r="I383" s="2">
        <v>25</v>
      </c>
      <c r="J383" t="s">
        <v>55</v>
      </c>
    </row>
    <row r="384" spans="1:10" x14ac:dyDescent="0.25">
      <c r="A384" s="1" t="s">
        <v>726</v>
      </c>
      <c r="B384" t="s">
        <v>727</v>
      </c>
      <c r="C384" s="1" t="s">
        <v>729</v>
      </c>
      <c r="D384" s="1" t="s">
        <v>729</v>
      </c>
      <c r="E384" t="s">
        <v>730</v>
      </c>
      <c r="F384" s="2" t="s">
        <v>731</v>
      </c>
      <c r="G384" t="s">
        <v>49</v>
      </c>
      <c r="H384" s="2" t="s">
        <v>50</v>
      </c>
      <c r="I384" s="2">
        <v>34.299999999999997</v>
      </c>
      <c r="J384" t="s">
        <v>55</v>
      </c>
    </row>
    <row r="385" spans="1:10" x14ac:dyDescent="0.25">
      <c r="A385" s="1" t="s">
        <v>726</v>
      </c>
      <c r="B385" t="s">
        <v>727</v>
      </c>
      <c r="C385" s="1" t="s">
        <v>713</v>
      </c>
      <c r="D385" s="1" t="s">
        <v>713</v>
      </c>
      <c r="E385" t="s">
        <v>714</v>
      </c>
      <c r="F385" s="2" t="s">
        <v>501</v>
      </c>
      <c r="G385" t="s">
        <v>49</v>
      </c>
      <c r="H385" s="2" t="s">
        <v>50</v>
      </c>
      <c r="I385" s="2">
        <v>4.5</v>
      </c>
      <c r="J385" t="s">
        <v>55</v>
      </c>
    </row>
    <row r="386" spans="1:10" x14ac:dyDescent="0.25">
      <c r="A386" s="1" t="s">
        <v>726</v>
      </c>
      <c r="B386" t="s">
        <v>727</v>
      </c>
      <c r="C386" s="1" t="s">
        <v>715</v>
      </c>
      <c r="D386" s="1" t="s">
        <v>715</v>
      </c>
      <c r="E386" t="s">
        <v>716</v>
      </c>
      <c r="F386" s="2" t="s">
        <v>501</v>
      </c>
      <c r="G386" t="s">
        <v>49</v>
      </c>
      <c r="H386" s="2" t="s">
        <v>50</v>
      </c>
      <c r="I386" s="2">
        <v>4.5</v>
      </c>
      <c r="J386" t="s">
        <v>55</v>
      </c>
    </row>
    <row r="387" spans="1:10" x14ac:dyDescent="0.25">
      <c r="A387" s="1" t="s">
        <v>726</v>
      </c>
      <c r="B387" t="s">
        <v>727</v>
      </c>
      <c r="C387" s="1" t="s">
        <v>717</v>
      </c>
      <c r="D387" s="1" t="s">
        <v>717</v>
      </c>
      <c r="E387" t="s">
        <v>718</v>
      </c>
      <c r="F387" s="2" t="s">
        <v>61</v>
      </c>
      <c r="G387" t="s">
        <v>49</v>
      </c>
      <c r="H387" s="2" t="s">
        <v>50</v>
      </c>
      <c r="I387" s="2">
        <v>3.85</v>
      </c>
      <c r="J387" t="s">
        <v>55</v>
      </c>
    </row>
    <row r="388" spans="1:10" x14ac:dyDescent="0.25">
      <c r="A388" s="1" t="s">
        <v>726</v>
      </c>
      <c r="B388" t="s">
        <v>727</v>
      </c>
      <c r="C388" s="1" t="s">
        <v>732</v>
      </c>
      <c r="D388" s="1" t="s">
        <v>732</v>
      </c>
      <c r="E388" t="s">
        <v>733</v>
      </c>
      <c r="F388" s="2" t="s">
        <v>108</v>
      </c>
      <c r="G388" t="s">
        <v>49</v>
      </c>
      <c r="H388" s="2" t="s">
        <v>50</v>
      </c>
      <c r="I388" s="2">
        <v>4.2</v>
      </c>
      <c r="J388" t="s">
        <v>55</v>
      </c>
    </row>
    <row r="389" spans="1:10" x14ac:dyDescent="0.25">
      <c r="A389" s="1" t="s">
        <v>726</v>
      </c>
      <c r="B389" t="s">
        <v>727</v>
      </c>
      <c r="C389" s="1" t="s">
        <v>7</v>
      </c>
      <c r="D389" s="1" t="s">
        <v>7</v>
      </c>
      <c r="E389" t="s">
        <v>8</v>
      </c>
      <c r="F389" s="2" t="s">
        <v>9</v>
      </c>
      <c r="G389" t="s">
        <v>10</v>
      </c>
      <c r="H389" s="2" t="s">
        <v>725</v>
      </c>
      <c r="I389" s="2">
        <v>21.85</v>
      </c>
    </row>
    <row r="390" spans="1:10" x14ac:dyDescent="0.25">
      <c r="A390" s="1" t="s">
        <v>734</v>
      </c>
      <c r="B390" t="s">
        <v>735</v>
      </c>
      <c r="C390" s="1" t="s">
        <v>479</v>
      </c>
      <c r="D390" s="1" t="s">
        <v>479</v>
      </c>
      <c r="E390" t="s">
        <v>480</v>
      </c>
      <c r="F390" s="2" t="s">
        <v>651</v>
      </c>
      <c r="G390" t="s">
        <v>5</v>
      </c>
      <c r="H390" s="2" t="s">
        <v>736</v>
      </c>
      <c r="I390" s="2">
        <v>0.06</v>
      </c>
    </row>
    <row r="391" spans="1:10" x14ac:dyDescent="0.25">
      <c r="A391" s="1" t="s">
        <v>734</v>
      </c>
      <c r="B391" t="s">
        <v>735</v>
      </c>
      <c r="C391" s="1" t="s">
        <v>628</v>
      </c>
      <c r="D391" s="1" t="s">
        <v>628</v>
      </c>
      <c r="E391" t="s">
        <v>629</v>
      </c>
      <c r="F391" s="2" t="s">
        <v>698</v>
      </c>
      <c r="G391" t="s">
        <v>5</v>
      </c>
      <c r="H391" s="2" t="s">
        <v>737</v>
      </c>
      <c r="I391" s="2">
        <v>0.04</v>
      </c>
    </row>
    <row r="392" spans="1:10" x14ac:dyDescent="0.25">
      <c r="A392" s="1" t="s">
        <v>734</v>
      </c>
      <c r="B392" t="s">
        <v>735</v>
      </c>
      <c r="C392" s="1" t="s">
        <v>738</v>
      </c>
      <c r="D392" s="1" t="s">
        <v>738</v>
      </c>
      <c r="E392" t="s">
        <v>739</v>
      </c>
      <c r="F392" s="2" t="s">
        <v>516</v>
      </c>
      <c r="G392" t="s">
        <v>121</v>
      </c>
      <c r="H392" s="2" t="s">
        <v>268</v>
      </c>
      <c r="I392" s="2">
        <v>0.81</v>
      </c>
    </row>
    <row r="393" spans="1:10" x14ac:dyDescent="0.25">
      <c r="A393" s="1" t="s">
        <v>734</v>
      </c>
      <c r="B393" t="s">
        <v>735</v>
      </c>
      <c r="C393" s="1" t="s">
        <v>740</v>
      </c>
      <c r="D393" s="1" t="s">
        <v>740</v>
      </c>
      <c r="E393" t="s">
        <v>741</v>
      </c>
      <c r="F393" s="2" t="s">
        <v>742</v>
      </c>
      <c r="G393" t="s">
        <v>743</v>
      </c>
      <c r="H393" s="2" t="s">
        <v>40</v>
      </c>
      <c r="I393" s="2">
        <v>1.69</v>
      </c>
    </row>
    <row r="394" spans="1:10" x14ac:dyDescent="0.25">
      <c r="A394" s="1" t="s">
        <v>734</v>
      </c>
      <c r="B394" t="s">
        <v>735</v>
      </c>
      <c r="C394" s="1" t="s">
        <v>704</v>
      </c>
      <c r="D394" s="1" t="s">
        <v>704</v>
      </c>
      <c r="E394" t="s">
        <v>705</v>
      </c>
      <c r="F394" s="2" t="s">
        <v>744</v>
      </c>
      <c r="G394" t="s">
        <v>121</v>
      </c>
      <c r="H394" s="2" t="s">
        <v>50</v>
      </c>
      <c r="I394" s="2">
        <v>0.4</v>
      </c>
    </row>
    <row r="395" spans="1:10" x14ac:dyDescent="0.25">
      <c r="A395" s="1" t="s">
        <v>734</v>
      </c>
      <c r="B395" t="s">
        <v>735</v>
      </c>
      <c r="C395" s="1" t="s">
        <v>745</v>
      </c>
      <c r="D395" s="1" t="s">
        <v>745</v>
      </c>
      <c r="E395" t="s">
        <v>746</v>
      </c>
      <c r="F395" s="2" t="s">
        <v>747</v>
      </c>
      <c r="G395" t="s">
        <v>49</v>
      </c>
      <c r="H395" s="2" t="s">
        <v>50</v>
      </c>
      <c r="I395" s="2">
        <v>35.549999999999997</v>
      </c>
      <c r="J395" t="s">
        <v>55</v>
      </c>
    </row>
    <row r="396" spans="1:10" x14ac:dyDescent="0.25">
      <c r="A396" s="1" t="s">
        <v>734</v>
      </c>
      <c r="B396" t="s">
        <v>735</v>
      </c>
      <c r="C396" s="1" t="s">
        <v>748</v>
      </c>
      <c r="D396" s="1" t="s">
        <v>748</v>
      </c>
      <c r="E396" t="s">
        <v>749</v>
      </c>
      <c r="F396" s="2" t="s">
        <v>750</v>
      </c>
      <c r="G396" t="s">
        <v>49</v>
      </c>
      <c r="H396" s="2" t="s">
        <v>50</v>
      </c>
      <c r="I396" s="2">
        <v>5.3</v>
      </c>
      <c r="J396" t="s">
        <v>55</v>
      </c>
    </row>
    <row r="397" spans="1:10" x14ac:dyDescent="0.25">
      <c r="A397" s="1" t="s">
        <v>734</v>
      </c>
      <c r="B397" t="s">
        <v>735</v>
      </c>
      <c r="C397" s="1" t="s">
        <v>751</v>
      </c>
      <c r="D397" s="1" t="s">
        <v>751</v>
      </c>
      <c r="E397" t="s">
        <v>752</v>
      </c>
      <c r="F397" s="2" t="s">
        <v>750</v>
      </c>
      <c r="G397" t="s">
        <v>49</v>
      </c>
      <c r="H397" s="2" t="s">
        <v>50</v>
      </c>
      <c r="I397" s="2">
        <v>5.3</v>
      </c>
      <c r="J397" t="s">
        <v>55</v>
      </c>
    </row>
    <row r="398" spans="1:10" x14ac:dyDescent="0.25">
      <c r="A398" s="1" t="s">
        <v>734</v>
      </c>
      <c r="B398" t="s">
        <v>735</v>
      </c>
      <c r="C398" s="1" t="s">
        <v>753</v>
      </c>
      <c r="D398" s="1" t="s">
        <v>753</v>
      </c>
      <c r="E398" t="s">
        <v>754</v>
      </c>
      <c r="F398" s="2" t="s">
        <v>755</v>
      </c>
      <c r="G398" t="s">
        <v>49</v>
      </c>
      <c r="H398" s="2" t="s">
        <v>50</v>
      </c>
      <c r="I398" s="2">
        <v>3.75</v>
      </c>
      <c r="J398" t="s">
        <v>55</v>
      </c>
    </row>
    <row r="399" spans="1:10" x14ac:dyDescent="0.25">
      <c r="A399" s="1" t="s">
        <v>734</v>
      </c>
      <c r="B399" t="s">
        <v>735</v>
      </c>
      <c r="C399" s="1" t="s">
        <v>756</v>
      </c>
      <c r="D399" s="1" t="s">
        <v>756</v>
      </c>
      <c r="E399" t="s">
        <v>757</v>
      </c>
      <c r="F399" s="2" t="s">
        <v>758</v>
      </c>
      <c r="G399" t="s">
        <v>49</v>
      </c>
      <c r="H399" s="2" t="s">
        <v>50</v>
      </c>
      <c r="I399" s="2">
        <v>20.75</v>
      </c>
      <c r="J399" t="s">
        <v>55</v>
      </c>
    </row>
    <row r="400" spans="1:10" x14ac:dyDescent="0.25">
      <c r="A400" s="1" t="s">
        <v>734</v>
      </c>
      <c r="B400" t="s">
        <v>735</v>
      </c>
      <c r="C400" s="1" t="s">
        <v>759</v>
      </c>
      <c r="D400" s="1" t="s">
        <v>759</v>
      </c>
      <c r="E400" t="s">
        <v>760</v>
      </c>
      <c r="F400" s="2" t="s">
        <v>761</v>
      </c>
      <c r="G400" t="s">
        <v>49</v>
      </c>
      <c r="H400" s="2" t="s">
        <v>50</v>
      </c>
      <c r="I400" s="2">
        <v>38.75</v>
      </c>
      <c r="J400" t="s">
        <v>55</v>
      </c>
    </row>
    <row r="401" spans="1:10" x14ac:dyDescent="0.25">
      <c r="A401" s="1" t="s">
        <v>734</v>
      </c>
      <c r="B401" t="s">
        <v>735</v>
      </c>
      <c r="C401" s="1" t="s">
        <v>7</v>
      </c>
      <c r="D401" s="1" t="s">
        <v>7</v>
      </c>
      <c r="E401" t="s">
        <v>8</v>
      </c>
      <c r="F401" s="2" t="s">
        <v>9</v>
      </c>
      <c r="G401" t="s">
        <v>10</v>
      </c>
      <c r="H401" s="2" t="s">
        <v>762</v>
      </c>
      <c r="I401" s="2">
        <v>16.3</v>
      </c>
    </row>
    <row r="402" spans="1:10" x14ac:dyDescent="0.25">
      <c r="A402" s="1" t="s">
        <v>763</v>
      </c>
      <c r="B402" t="s">
        <v>764</v>
      </c>
      <c r="C402" s="1" t="s">
        <v>479</v>
      </c>
      <c r="D402" s="1" t="s">
        <v>479</v>
      </c>
      <c r="E402" t="s">
        <v>480</v>
      </c>
      <c r="F402" s="2" t="s">
        <v>651</v>
      </c>
      <c r="G402" t="s">
        <v>5</v>
      </c>
      <c r="H402" s="2" t="s">
        <v>765</v>
      </c>
      <c r="I402" s="2">
        <v>0.06</v>
      </c>
    </row>
    <row r="403" spans="1:10" x14ac:dyDescent="0.25">
      <c r="A403" s="1" t="s">
        <v>763</v>
      </c>
      <c r="B403" t="s">
        <v>764</v>
      </c>
      <c r="C403" s="1" t="s">
        <v>628</v>
      </c>
      <c r="D403" s="1" t="s">
        <v>628</v>
      </c>
      <c r="E403" t="s">
        <v>629</v>
      </c>
      <c r="F403" s="2" t="s">
        <v>698</v>
      </c>
      <c r="G403" t="s">
        <v>5</v>
      </c>
      <c r="H403" s="2" t="s">
        <v>766</v>
      </c>
      <c r="I403" s="2">
        <v>0.04</v>
      </c>
    </row>
    <row r="404" spans="1:10" x14ac:dyDescent="0.25">
      <c r="A404" s="1" t="s">
        <v>763</v>
      </c>
      <c r="B404" t="s">
        <v>764</v>
      </c>
      <c r="C404" s="1" t="s">
        <v>738</v>
      </c>
      <c r="D404" s="1" t="s">
        <v>738</v>
      </c>
      <c r="E404" t="s">
        <v>767</v>
      </c>
      <c r="F404" s="2" t="s">
        <v>516</v>
      </c>
      <c r="G404" t="s">
        <v>121</v>
      </c>
      <c r="H404" s="2" t="s">
        <v>268</v>
      </c>
      <c r="I404" s="2">
        <v>0.81</v>
      </c>
    </row>
    <row r="405" spans="1:10" x14ac:dyDescent="0.25">
      <c r="A405" s="1" t="s">
        <v>763</v>
      </c>
      <c r="B405" t="s">
        <v>764</v>
      </c>
      <c r="C405" s="1" t="s">
        <v>704</v>
      </c>
      <c r="D405" s="1" t="s">
        <v>704</v>
      </c>
      <c r="E405" t="s">
        <v>705</v>
      </c>
      <c r="F405" s="2" t="s">
        <v>744</v>
      </c>
      <c r="G405" t="s">
        <v>121</v>
      </c>
      <c r="H405" s="2" t="s">
        <v>92</v>
      </c>
      <c r="I405" s="2">
        <v>0.8</v>
      </c>
    </row>
    <row r="406" spans="1:10" x14ac:dyDescent="0.25">
      <c r="A406" s="1" t="s">
        <v>763</v>
      </c>
      <c r="B406" t="s">
        <v>764</v>
      </c>
      <c r="C406" s="1" t="s">
        <v>41</v>
      </c>
      <c r="D406" s="1" t="s">
        <v>41</v>
      </c>
      <c r="E406" t="s">
        <v>42</v>
      </c>
      <c r="F406" s="2" t="s">
        <v>43</v>
      </c>
      <c r="G406" t="s">
        <v>5</v>
      </c>
      <c r="H406" s="2" t="s">
        <v>559</v>
      </c>
      <c r="I406" s="2">
        <v>0.04</v>
      </c>
    </row>
    <row r="407" spans="1:10" x14ac:dyDescent="0.25">
      <c r="A407" s="1" t="s">
        <v>763</v>
      </c>
      <c r="B407" t="s">
        <v>764</v>
      </c>
      <c r="C407" s="1" t="s">
        <v>768</v>
      </c>
      <c r="D407" s="1" t="s">
        <v>768</v>
      </c>
      <c r="E407" t="s">
        <v>769</v>
      </c>
      <c r="F407" s="2" t="s">
        <v>770</v>
      </c>
      <c r="G407" t="s">
        <v>49</v>
      </c>
      <c r="H407" s="2" t="s">
        <v>50</v>
      </c>
      <c r="I407" s="2">
        <v>27.95</v>
      </c>
      <c r="J407" t="s">
        <v>55</v>
      </c>
    </row>
    <row r="408" spans="1:10" x14ac:dyDescent="0.25">
      <c r="A408" s="1" t="s">
        <v>763</v>
      </c>
      <c r="B408" t="s">
        <v>764</v>
      </c>
      <c r="C408" s="1" t="s">
        <v>771</v>
      </c>
      <c r="D408" s="1" t="s">
        <v>771</v>
      </c>
      <c r="E408" t="s">
        <v>772</v>
      </c>
      <c r="F408" s="2" t="s">
        <v>773</v>
      </c>
      <c r="G408" t="s">
        <v>49</v>
      </c>
      <c r="H408" s="2" t="s">
        <v>50</v>
      </c>
      <c r="I408" s="2">
        <v>50.55</v>
      </c>
      <c r="J408" t="s">
        <v>55</v>
      </c>
    </row>
    <row r="409" spans="1:10" x14ac:dyDescent="0.25">
      <c r="A409" s="1" t="s">
        <v>763</v>
      </c>
      <c r="B409" t="s">
        <v>764</v>
      </c>
      <c r="C409" s="1" t="s">
        <v>774</v>
      </c>
      <c r="D409" s="1" t="s">
        <v>774</v>
      </c>
      <c r="E409" t="s">
        <v>775</v>
      </c>
      <c r="F409" s="2" t="s">
        <v>776</v>
      </c>
      <c r="G409" t="s">
        <v>49</v>
      </c>
      <c r="H409" s="2" t="s">
        <v>50</v>
      </c>
      <c r="I409" s="2">
        <v>52.55</v>
      </c>
      <c r="J409" t="s">
        <v>55</v>
      </c>
    </row>
    <row r="410" spans="1:10" x14ac:dyDescent="0.25">
      <c r="A410" s="1" t="s">
        <v>763</v>
      </c>
      <c r="B410" t="s">
        <v>764</v>
      </c>
      <c r="C410" s="1" t="s">
        <v>777</v>
      </c>
      <c r="D410" s="1" t="s">
        <v>777</v>
      </c>
      <c r="E410" t="s">
        <v>778</v>
      </c>
      <c r="F410" s="2" t="s">
        <v>779</v>
      </c>
      <c r="G410" t="s">
        <v>49</v>
      </c>
      <c r="H410" s="2" t="s">
        <v>50</v>
      </c>
      <c r="I410" s="2">
        <v>5.99</v>
      </c>
      <c r="J410" t="s">
        <v>55</v>
      </c>
    </row>
    <row r="411" spans="1:10" x14ac:dyDescent="0.25">
      <c r="A411" s="1" t="s">
        <v>763</v>
      </c>
      <c r="B411" t="s">
        <v>764</v>
      </c>
      <c r="C411" s="1" t="s">
        <v>780</v>
      </c>
      <c r="D411" s="1" t="s">
        <v>780</v>
      </c>
      <c r="E411" t="s">
        <v>781</v>
      </c>
      <c r="F411" s="2" t="s">
        <v>782</v>
      </c>
      <c r="G411" t="s">
        <v>49</v>
      </c>
      <c r="H411" s="2" t="s">
        <v>50</v>
      </c>
      <c r="I411" s="2">
        <v>6.74</v>
      </c>
      <c r="J411" t="s">
        <v>55</v>
      </c>
    </row>
    <row r="412" spans="1:10" x14ac:dyDescent="0.25">
      <c r="A412" s="1" t="s">
        <v>763</v>
      </c>
      <c r="B412" t="s">
        <v>764</v>
      </c>
      <c r="C412" s="1" t="s">
        <v>783</v>
      </c>
      <c r="D412" s="1" t="s">
        <v>783</v>
      </c>
      <c r="E412" t="s">
        <v>784</v>
      </c>
      <c r="F412" s="2" t="s">
        <v>785</v>
      </c>
      <c r="G412" t="s">
        <v>49</v>
      </c>
      <c r="H412" s="2" t="s">
        <v>50</v>
      </c>
      <c r="I412" s="2">
        <v>14.15</v>
      </c>
      <c r="J412" t="s">
        <v>55</v>
      </c>
    </row>
    <row r="413" spans="1:10" x14ac:dyDescent="0.25">
      <c r="A413" s="1" t="s">
        <v>763</v>
      </c>
      <c r="B413" t="s">
        <v>764</v>
      </c>
      <c r="C413" s="1" t="s">
        <v>7</v>
      </c>
      <c r="D413" s="1" t="s">
        <v>7</v>
      </c>
      <c r="E413" t="s">
        <v>8</v>
      </c>
      <c r="F413" s="2" t="s">
        <v>9</v>
      </c>
      <c r="G413" t="s">
        <v>10</v>
      </c>
      <c r="H413" s="2" t="s">
        <v>786</v>
      </c>
      <c r="I413" s="2">
        <v>17.5</v>
      </c>
    </row>
    <row r="414" spans="1:10" x14ac:dyDescent="0.25">
      <c r="A414" s="1" t="s">
        <v>787</v>
      </c>
      <c r="B414" t="s">
        <v>788</v>
      </c>
      <c r="C414" s="1" t="s">
        <v>649</v>
      </c>
      <c r="D414" s="1" t="s">
        <v>649</v>
      </c>
      <c r="E414" t="s">
        <v>650</v>
      </c>
      <c r="F414" s="2" t="s">
        <v>651</v>
      </c>
      <c r="G414" t="s">
        <v>39</v>
      </c>
      <c r="H414" s="2" t="s">
        <v>652</v>
      </c>
      <c r="I414" s="2">
        <v>0.25</v>
      </c>
    </row>
    <row r="415" spans="1:10" x14ac:dyDescent="0.25">
      <c r="A415" s="1" t="s">
        <v>787</v>
      </c>
      <c r="B415" t="s">
        <v>788</v>
      </c>
      <c r="C415" s="1" t="s">
        <v>653</v>
      </c>
      <c r="D415" s="1" t="s">
        <v>653</v>
      </c>
      <c r="E415" t="s">
        <v>654</v>
      </c>
      <c r="F415" s="2" t="s">
        <v>655</v>
      </c>
      <c r="G415" t="s">
        <v>49</v>
      </c>
      <c r="H415" s="2" t="s">
        <v>319</v>
      </c>
      <c r="I415" s="2">
        <v>0.84</v>
      </c>
    </row>
    <row r="416" spans="1:10" x14ac:dyDescent="0.25">
      <c r="A416" s="1" t="s">
        <v>787</v>
      </c>
      <c r="B416" t="s">
        <v>788</v>
      </c>
      <c r="C416" s="1" t="s">
        <v>656</v>
      </c>
      <c r="D416" s="1" t="s">
        <v>656</v>
      </c>
      <c r="E416" t="s">
        <v>657</v>
      </c>
      <c r="F416" s="2" t="s">
        <v>658</v>
      </c>
      <c r="G416" t="s">
        <v>39</v>
      </c>
      <c r="H416" s="2" t="s">
        <v>25</v>
      </c>
      <c r="I416" s="2">
        <v>0.34</v>
      </c>
    </row>
    <row r="417" spans="1:10" x14ac:dyDescent="0.25">
      <c r="A417" s="1" t="s">
        <v>787</v>
      </c>
      <c r="B417" t="s">
        <v>788</v>
      </c>
      <c r="C417" s="1" t="s">
        <v>659</v>
      </c>
      <c r="D417" s="1" t="s">
        <v>659</v>
      </c>
      <c r="E417" t="s">
        <v>660</v>
      </c>
      <c r="F417" s="2" t="s">
        <v>661</v>
      </c>
      <c r="G417" t="s">
        <v>39</v>
      </c>
      <c r="H417" s="2" t="s">
        <v>605</v>
      </c>
      <c r="I417" s="2">
        <v>2</v>
      </c>
    </row>
    <row r="418" spans="1:10" x14ac:dyDescent="0.25">
      <c r="A418" s="1" t="s">
        <v>787</v>
      </c>
      <c r="B418" t="s">
        <v>788</v>
      </c>
      <c r="C418" s="1" t="s">
        <v>662</v>
      </c>
      <c r="D418" s="1" t="s">
        <v>662</v>
      </c>
      <c r="E418" t="s">
        <v>789</v>
      </c>
      <c r="F418" s="2" t="s">
        <v>513</v>
      </c>
      <c r="G418" t="s">
        <v>39</v>
      </c>
      <c r="H418" s="2" t="s">
        <v>40</v>
      </c>
      <c r="I418" s="2">
        <v>0.06</v>
      </c>
    </row>
    <row r="419" spans="1:10" x14ac:dyDescent="0.25">
      <c r="A419" s="1" t="s">
        <v>787</v>
      </c>
      <c r="B419" t="s">
        <v>788</v>
      </c>
      <c r="C419" s="1" t="s">
        <v>664</v>
      </c>
      <c r="D419" s="1" t="s">
        <v>664</v>
      </c>
      <c r="E419" t="s">
        <v>665</v>
      </c>
      <c r="F419" s="2" t="s">
        <v>666</v>
      </c>
      <c r="G419" t="s">
        <v>39</v>
      </c>
      <c r="H419" s="2" t="s">
        <v>652</v>
      </c>
      <c r="I419" s="2">
        <v>0.53</v>
      </c>
    </row>
    <row r="420" spans="1:10" x14ac:dyDescent="0.25">
      <c r="A420" s="1" t="s">
        <v>787</v>
      </c>
      <c r="B420" t="s">
        <v>788</v>
      </c>
      <c r="C420" s="1" t="s">
        <v>41</v>
      </c>
      <c r="D420" s="1" t="s">
        <v>41</v>
      </c>
      <c r="E420" t="s">
        <v>42</v>
      </c>
      <c r="F420" s="2" t="s">
        <v>43</v>
      </c>
      <c r="G420" t="s">
        <v>5</v>
      </c>
      <c r="H420" s="2" t="s">
        <v>790</v>
      </c>
      <c r="I420" s="2">
        <v>0.05</v>
      </c>
    </row>
    <row r="421" spans="1:10" x14ac:dyDescent="0.25">
      <c r="A421" s="1" t="s">
        <v>787</v>
      </c>
      <c r="B421" t="s">
        <v>788</v>
      </c>
      <c r="C421" s="1" t="s">
        <v>791</v>
      </c>
      <c r="D421" s="1" t="s">
        <v>791</v>
      </c>
      <c r="E421" t="s">
        <v>792</v>
      </c>
      <c r="F421" s="2" t="s">
        <v>793</v>
      </c>
      <c r="G421" t="s">
        <v>121</v>
      </c>
      <c r="H421" s="2" t="s">
        <v>50</v>
      </c>
      <c r="I421" s="2">
        <v>30.95</v>
      </c>
    </row>
    <row r="422" spans="1:10" x14ac:dyDescent="0.25">
      <c r="A422" s="1" t="s">
        <v>787</v>
      </c>
      <c r="B422" t="s">
        <v>788</v>
      </c>
      <c r="C422" s="1" t="s">
        <v>794</v>
      </c>
      <c r="D422" s="1" t="s">
        <v>794</v>
      </c>
      <c r="E422" t="s">
        <v>795</v>
      </c>
      <c r="F422" s="2" t="s">
        <v>796</v>
      </c>
      <c r="G422" t="s">
        <v>121</v>
      </c>
      <c r="H422" s="2" t="s">
        <v>50</v>
      </c>
      <c r="I422" s="2">
        <v>25.1</v>
      </c>
    </row>
    <row r="423" spans="1:10" x14ac:dyDescent="0.25">
      <c r="A423" s="1" t="s">
        <v>787</v>
      </c>
      <c r="B423" t="s">
        <v>788</v>
      </c>
      <c r="C423" s="1" t="s">
        <v>797</v>
      </c>
      <c r="D423" s="1" t="s">
        <v>797</v>
      </c>
      <c r="E423" t="s">
        <v>798</v>
      </c>
      <c r="F423" s="2" t="s">
        <v>793</v>
      </c>
      <c r="G423" t="s">
        <v>121</v>
      </c>
      <c r="H423" s="2" t="s">
        <v>50</v>
      </c>
      <c r="I423" s="2">
        <v>30.95</v>
      </c>
    </row>
    <row r="424" spans="1:10" x14ac:dyDescent="0.25">
      <c r="A424" s="1" t="s">
        <v>787</v>
      </c>
      <c r="B424" t="s">
        <v>788</v>
      </c>
      <c r="C424" s="1" t="s">
        <v>799</v>
      </c>
      <c r="D424" s="1" t="s">
        <v>799</v>
      </c>
      <c r="E424" t="s">
        <v>800</v>
      </c>
      <c r="F424" s="2" t="s">
        <v>255</v>
      </c>
      <c r="G424" t="s">
        <v>121</v>
      </c>
      <c r="H424" s="2" t="s">
        <v>50</v>
      </c>
      <c r="I424" s="2">
        <v>32.5</v>
      </c>
    </row>
    <row r="425" spans="1:10" x14ac:dyDescent="0.25">
      <c r="A425" s="1" t="s">
        <v>787</v>
      </c>
      <c r="B425" t="s">
        <v>788</v>
      </c>
      <c r="C425" s="1" t="s">
        <v>801</v>
      </c>
      <c r="D425" s="1" t="s">
        <v>801</v>
      </c>
      <c r="E425" t="s">
        <v>802</v>
      </c>
      <c r="F425" s="2" t="s">
        <v>803</v>
      </c>
      <c r="G425" t="s">
        <v>121</v>
      </c>
      <c r="H425" s="2" t="s">
        <v>50</v>
      </c>
      <c r="I425" s="2">
        <v>48.1</v>
      </c>
    </row>
    <row r="426" spans="1:10" x14ac:dyDescent="0.25">
      <c r="A426" s="1" t="s">
        <v>787</v>
      </c>
      <c r="B426" t="s">
        <v>788</v>
      </c>
      <c r="C426" s="1" t="s">
        <v>804</v>
      </c>
      <c r="D426" s="1" t="s">
        <v>804</v>
      </c>
      <c r="E426" t="s">
        <v>805</v>
      </c>
      <c r="F426" s="2" t="s">
        <v>274</v>
      </c>
      <c r="G426" t="s">
        <v>49</v>
      </c>
      <c r="H426" s="2" t="s">
        <v>50</v>
      </c>
      <c r="I426" s="2">
        <v>12.9</v>
      </c>
      <c r="J426" t="s">
        <v>55</v>
      </c>
    </row>
    <row r="427" spans="1:10" x14ac:dyDescent="0.25">
      <c r="A427" s="1" t="s">
        <v>787</v>
      </c>
      <c r="B427" t="s">
        <v>788</v>
      </c>
      <c r="C427" s="1" t="s">
        <v>806</v>
      </c>
      <c r="D427" s="1" t="s">
        <v>806</v>
      </c>
      <c r="E427" t="s">
        <v>807</v>
      </c>
      <c r="F427" s="2" t="s">
        <v>274</v>
      </c>
      <c r="G427" t="s">
        <v>49</v>
      </c>
      <c r="H427" s="2" t="s">
        <v>50</v>
      </c>
      <c r="I427" s="2">
        <v>12.9</v>
      </c>
      <c r="J427" t="s">
        <v>55</v>
      </c>
    </row>
    <row r="428" spans="1:10" x14ac:dyDescent="0.25">
      <c r="A428" s="1" t="s">
        <v>787</v>
      </c>
      <c r="B428" t="s">
        <v>788</v>
      </c>
      <c r="C428" s="1" t="s">
        <v>808</v>
      </c>
      <c r="D428" s="1" t="s">
        <v>808</v>
      </c>
      <c r="E428" t="s">
        <v>809</v>
      </c>
      <c r="F428" s="2" t="s">
        <v>96</v>
      </c>
      <c r="G428" t="s">
        <v>49</v>
      </c>
      <c r="H428" s="2" t="s">
        <v>50</v>
      </c>
      <c r="I428" s="2">
        <v>4.45</v>
      </c>
      <c r="J428" t="s">
        <v>55</v>
      </c>
    </row>
    <row r="429" spans="1:10" x14ac:dyDescent="0.25">
      <c r="A429" s="1" t="s">
        <v>787</v>
      </c>
      <c r="B429" t="s">
        <v>788</v>
      </c>
      <c r="C429" s="1" t="s">
        <v>688</v>
      </c>
      <c r="D429" s="1" t="s">
        <v>688</v>
      </c>
      <c r="E429" t="s">
        <v>810</v>
      </c>
      <c r="F429" s="2" t="s">
        <v>811</v>
      </c>
      <c r="G429" t="s">
        <v>10</v>
      </c>
      <c r="H429" s="2" t="s">
        <v>812</v>
      </c>
      <c r="I429" s="2">
        <v>30</v>
      </c>
    </row>
    <row r="430" spans="1:10" x14ac:dyDescent="0.25">
      <c r="A430" s="1" t="s">
        <v>787</v>
      </c>
      <c r="B430" t="s">
        <v>788</v>
      </c>
      <c r="C430" s="1" t="s">
        <v>7</v>
      </c>
      <c r="D430" s="1" t="s">
        <v>7</v>
      </c>
      <c r="E430" t="s">
        <v>8</v>
      </c>
      <c r="F430" s="2" t="s">
        <v>9</v>
      </c>
      <c r="G430" t="s">
        <v>10</v>
      </c>
      <c r="H430" s="2" t="s">
        <v>813</v>
      </c>
      <c r="I430" s="2">
        <v>259.75</v>
      </c>
    </row>
    <row r="431" spans="1:10" x14ac:dyDescent="0.25">
      <c r="A431" s="1" t="s">
        <v>814</v>
      </c>
      <c r="B431" t="s">
        <v>815</v>
      </c>
      <c r="C431" s="1" t="s">
        <v>479</v>
      </c>
      <c r="D431" s="1" t="s">
        <v>479</v>
      </c>
      <c r="E431" t="s">
        <v>480</v>
      </c>
      <c r="F431" s="2" t="s">
        <v>626</v>
      </c>
      <c r="G431" t="s">
        <v>5</v>
      </c>
      <c r="H431" s="2" t="s">
        <v>736</v>
      </c>
      <c r="I431" s="2">
        <v>0.1</v>
      </c>
    </row>
    <row r="432" spans="1:10" x14ac:dyDescent="0.25">
      <c r="A432" s="1" t="s">
        <v>814</v>
      </c>
      <c r="B432" t="s">
        <v>815</v>
      </c>
      <c r="C432" s="1" t="s">
        <v>628</v>
      </c>
      <c r="D432" s="1" t="s">
        <v>628</v>
      </c>
      <c r="E432" t="s">
        <v>629</v>
      </c>
      <c r="F432" s="2" t="s">
        <v>630</v>
      </c>
      <c r="G432" t="s">
        <v>5</v>
      </c>
      <c r="H432" s="2" t="s">
        <v>737</v>
      </c>
      <c r="I432" s="2">
        <v>0.04</v>
      </c>
    </row>
    <row r="433" spans="1:10" x14ac:dyDescent="0.25">
      <c r="A433" s="1" t="s">
        <v>814</v>
      </c>
      <c r="B433" t="s">
        <v>815</v>
      </c>
      <c r="C433" s="1" t="s">
        <v>738</v>
      </c>
      <c r="D433" s="1" t="s">
        <v>738</v>
      </c>
      <c r="E433" t="s">
        <v>739</v>
      </c>
      <c r="F433" s="2" t="s">
        <v>816</v>
      </c>
      <c r="G433" t="s">
        <v>121</v>
      </c>
      <c r="H433" s="2" t="s">
        <v>268</v>
      </c>
      <c r="I433" s="2">
        <v>1.17</v>
      </c>
    </row>
    <row r="434" spans="1:10" x14ac:dyDescent="0.25">
      <c r="A434" s="1" t="s">
        <v>814</v>
      </c>
      <c r="B434" t="s">
        <v>815</v>
      </c>
      <c r="C434" s="1" t="s">
        <v>704</v>
      </c>
      <c r="D434" s="1" t="s">
        <v>704</v>
      </c>
      <c r="E434" t="s">
        <v>705</v>
      </c>
      <c r="F434" s="2" t="s">
        <v>744</v>
      </c>
      <c r="G434" t="s">
        <v>121</v>
      </c>
      <c r="H434" s="2" t="s">
        <v>50</v>
      </c>
      <c r="I434" s="2">
        <v>0.4</v>
      </c>
    </row>
    <row r="435" spans="1:10" x14ac:dyDescent="0.25">
      <c r="A435" s="1" t="s">
        <v>814</v>
      </c>
      <c r="B435" t="s">
        <v>815</v>
      </c>
      <c r="C435" s="1" t="s">
        <v>817</v>
      </c>
      <c r="D435" s="1" t="s">
        <v>817</v>
      </c>
      <c r="E435" t="s">
        <v>818</v>
      </c>
      <c r="F435" s="2" t="s">
        <v>819</v>
      </c>
      <c r="G435" t="s">
        <v>121</v>
      </c>
      <c r="H435" s="2" t="s">
        <v>50</v>
      </c>
      <c r="I435" s="2">
        <v>33.56</v>
      </c>
      <c r="J435" t="s">
        <v>55</v>
      </c>
    </row>
    <row r="436" spans="1:10" x14ac:dyDescent="0.25">
      <c r="A436" s="1" t="s">
        <v>814</v>
      </c>
      <c r="B436" t="s">
        <v>815</v>
      </c>
      <c r="C436" s="1" t="s">
        <v>820</v>
      </c>
      <c r="D436" s="1" t="s">
        <v>820</v>
      </c>
      <c r="E436" t="s">
        <v>821</v>
      </c>
      <c r="F436" s="2" t="s">
        <v>822</v>
      </c>
      <c r="G436" t="s">
        <v>121</v>
      </c>
      <c r="H436" s="2" t="s">
        <v>50</v>
      </c>
      <c r="I436" s="2">
        <v>19.53</v>
      </c>
      <c r="J436" t="s">
        <v>55</v>
      </c>
    </row>
    <row r="437" spans="1:10" x14ac:dyDescent="0.25">
      <c r="A437" s="1" t="s">
        <v>814</v>
      </c>
      <c r="B437" t="s">
        <v>815</v>
      </c>
      <c r="C437" s="1" t="s">
        <v>823</v>
      </c>
      <c r="D437" s="1" t="s">
        <v>823</v>
      </c>
      <c r="E437" t="s">
        <v>824</v>
      </c>
      <c r="F437" s="2" t="s">
        <v>825</v>
      </c>
      <c r="G437" t="s">
        <v>121</v>
      </c>
      <c r="H437" s="2" t="s">
        <v>50</v>
      </c>
      <c r="I437" s="2">
        <v>32.11</v>
      </c>
      <c r="J437" t="s">
        <v>55</v>
      </c>
    </row>
    <row r="438" spans="1:10" x14ac:dyDescent="0.25">
      <c r="A438" s="1" t="s">
        <v>814</v>
      </c>
      <c r="B438" t="s">
        <v>815</v>
      </c>
      <c r="C438" s="1" t="s">
        <v>684</v>
      </c>
      <c r="D438" s="1" t="s">
        <v>684</v>
      </c>
      <c r="E438" t="s">
        <v>685</v>
      </c>
      <c r="F438" s="2" t="s">
        <v>686</v>
      </c>
      <c r="G438" t="s">
        <v>49</v>
      </c>
      <c r="H438" s="2" t="s">
        <v>826</v>
      </c>
      <c r="I438" s="2">
        <v>7.52</v>
      </c>
    </row>
    <row r="439" spans="1:10" x14ac:dyDescent="0.25">
      <c r="A439" s="1" t="s">
        <v>814</v>
      </c>
      <c r="B439" t="s">
        <v>815</v>
      </c>
      <c r="C439" s="1" t="s">
        <v>7</v>
      </c>
      <c r="D439" s="1" t="s">
        <v>7</v>
      </c>
      <c r="E439" t="s">
        <v>8</v>
      </c>
      <c r="F439" s="2" t="s">
        <v>9</v>
      </c>
      <c r="G439" t="s">
        <v>10</v>
      </c>
      <c r="H439" s="2" t="s">
        <v>827</v>
      </c>
      <c r="I439" s="2">
        <v>16.149999999999999</v>
      </c>
    </row>
    <row r="440" spans="1:10" x14ac:dyDescent="0.25">
      <c r="A440" s="1" t="s">
        <v>828</v>
      </c>
      <c r="B440" t="s">
        <v>829</v>
      </c>
      <c r="C440" s="1" t="s">
        <v>649</v>
      </c>
      <c r="D440" s="1" t="s">
        <v>649</v>
      </c>
      <c r="E440" t="s">
        <v>650</v>
      </c>
      <c r="F440" s="2" t="s">
        <v>651</v>
      </c>
      <c r="G440" t="s">
        <v>39</v>
      </c>
      <c r="H440" s="2" t="s">
        <v>652</v>
      </c>
      <c r="I440" s="2">
        <v>0.25</v>
      </c>
    </row>
    <row r="441" spans="1:10" x14ac:dyDescent="0.25">
      <c r="A441" s="1" t="s">
        <v>828</v>
      </c>
      <c r="B441" t="s">
        <v>829</v>
      </c>
      <c r="C441" s="1" t="s">
        <v>653</v>
      </c>
      <c r="D441" s="1" t="s">
        <v>653</v>
      </c>
      <c r="E441" t="s">
        <v>654</v>
      </c>
      <c r="F441" s="2" t="s">
        <v>655</v>
      </c>
      <c r="G441" t="s">
        <v>49</v>
      </c>
      <c r="H441" s="2" t="s">
        <v>319</v>
      </c>
      <c r="I441" s="2">
        <v>0.84</v>
      </c>
    </row>
    <row r="442" spans="1:10" x14ac:dyDescent="0.25">
      <c r="A442" s="1" t="s">
        <v>828</v>
      </c>
      <c r="B442" t="s">
        <v>829</v>
      </c>
      <c r="C442" s="1" t="s">
        <v>656</v>
      </c>
      <c r="D442" s="1" t="s">
        <v>656</v>
      </c>
      <c r="E442" t="s">
        <v>657</v>
      </c>
      <c r="F442" s="2" t="s">
        <v>658</v>
      </c>
      <c r="G442" t="s">
        <v>39</v>
      </c>
      <c r="H442" s="2" t="s">
        <v>25</v>
      </c>
      <c r="I442" s="2">
        <v>0.34</v>
      </c>
    </row>
    <row r="443" spans="1:10" x14ac:dyDescent="0.25">
      <c r="A443" s="1" t="s">
        <v>828</v>
      </c>
      <c r="B443" t="s">
        <v>829</v>
      </c>
      <c r="C443" s="1" t="s">
        <v>659</v>
      </c>
      <c r="D443" s="1" t="s">
        <v>659</v>
      </c>
      <c r="E443" t="s">
        <v>660</v>
      </c>
      <c r="F443" s="2" t="s">
        <v>661</v>
      </c>
      <c r="G443" t="s">
        <v>39</v>
      </c>
      <c r="H443" s="2" t="s">
        <v>605</v>
      </c>
      <c r="I443" s="2">
        <v>2</v>
      </c>
    </row>
    <row r="444" spans="1:10" x14ac:dyDescent="0.25">
      <c r="A444" s="1" t="s">
        <v>828</v>
      </c>
      <c r="B444" t="s">
        <v>829</v>
      </c>
      <c r="C444" s="1" t="s">
        <v>664</v>
      </c>
      <c r="D444" s="1" t="s">
        <v>664</v>
      </c>
      <c r="E444" t="s">
        <v>665</v>
      </c>
      <c r="F444" s="2" t="s">
        <v>666</v>
      </c>
      <c r="G444" t="s">
        <v>39</v>
      </c>
      <c r="H444" s="2" t="s">
        <v>652</v>
      </c>
      <c r="I444" s="2">
        <v>0.53</v>
      </c>
    </row>
    <row r="445" spans="1:10" x14ac:dyDescent="0.25">
      <c r="A445" s="1" t="s">
        <v>828</v>
      </c>
      <c r="B445" t="s">
        <v>829</v>
      </c>
      <c r="C445" s="1" t="s">
        <v>41</v>
      </c>
      <c r="D445" s="1" t="s">
        <v>41</v>
      </c>
      <c r="E445" t="s">
        <v>42</v>
      </c>
      <c r="F445" s="2" t="s">
        <v>43</v>
      </c>
      <c r="G445" t="s">
        <v>5</v>
      </c>
      <c r="H445" s="2" t="s">
        <v>227</v>
      </c>
      <c r="I445" s="2">
        <v>0.01</v>
      </c>
    </row>
    <row r="446" spans="1:10" x14ac:dyDescent="0.25">
      <c r="A446" s="1" t="s">
        <v>828</v>
      </c>
      <c r="B446" t="s">
        <v>829</v>
      </c>
      <c r="C446" s="1" t="s">
        <v>830</v>
      </c>
      <c r="D446" s="1" t="s">
        <v>830</v>
      </c>
      <c r="E446" t="s">
        <v>831</v>
      </c>
      <c r="F446" s="2" t="s">
        <v>832</v>
      </c>
      <c r="G446" t="s">
        <v>49</v>
      </c>
      <c r="H446" s="2" t="s">
        <v>50</v>
      </c>
      <c r="I446" s="2">
        <v>54.6</v>
      </c>
    </row>
    <row r="447" spans="1:10" x14ac:dyDescent="0.25">
      <c r="A447" s="1" t="s">
        <v>828</v>
      </c>
      <c r="B447" t="s">
        <v>829</v>
      </c>
      <c r="C447" s="1" t="s">
        <v>833</v>
      </c>
      <c r="D447" s="1" t="s">
        <v>833</v>
      </c>
      <c r="E447" t="s">
        <v>834</v>
      </c>
      <c r="F447" s="2" t="s">
        <v>835</v>
      </c>
      <c r="G447" t="s">
        <v>49</v>
      </c>
      <c r="H447" s="2" t="s">
        <v>50</v>
      </c>
      <c r="I447" s="2">
        <v>40.299999999999997</v>
      </c>
    </row>
    <row r="448" spans="1:10" x14ac:dyDescent="0.25">
      <c r="A448" s="1" t="s">
        <v>828</v>
      </c>
      <c r="B448" t="s">
        <v>829</v>
      </c>
      <c r="C448" s="1" t="s">
        <v>836</v>
      </c>
      <c r="D448" s="1" t="s">
        <v>836</v>
      </c>
      <c r="E448" t="s">
        <v>837</v>
      </c>
      <c r="F448" s="2" t="s">
        <v>838</v>
      </c>
      <c r="G448" t="s">
        <v>49</v>
      </c>
      <c r="H448" s="2" t="s">
        <v>50</v>
      </c>
      <c r="I448" s="2">
        <v>50.7</v>
      </c>
    </row>
    <row r="449" spans="1:10" x14ac:dyDescent="0.25">
      <c r="A449" s="1" t="s">
        <v>828</v>
      </c>
      <c r="B449" t="s">
        <v>829</v>
      </c>
      <c r="C449" s="1" t="s">
        <v>839</v>
      </c>
      <c r="D449" s="1" t="s">
        <v>839</v>
      </c>
      <c r="E449" t="s">
        <v>840</v>
      </c>
      <c r="F449" s="2" t="s">
        <v>841</v>
      </c>
      <c r="G449" t="s">
        <v>49</v>
      </c>
      <c r="H449" s="2" t="s">
        <v>50</v>
      </c>
      <c r="I449" s="2">
        <v>5.91</v>
      </c>
      <c r="J449" t="s">
        <v>55</v>
      </c>
    </row>
    <row r="450" spans="1:10" x14ac:dyDescent="0.25">
      <c r="A450" s="1" t="s">
        <v>828</v>
      </c>
      <c r="B450" t="s">
        <v>829</v>
      </c>
      <c r="C450" s="1" t="s">
        <v>842</v>
      </c>
      <c r="D450" s="1" t="s">
        <v>842</v>
      </c>
      <c r="E450" t="s">
        <v>843</v>
      </c>
      <c r="F450" s="2" t="s">
        <v>844</v>
      </c>
      <c r="G450" t="s">
        <v>49</v>
      </c>
      <c r="H450" s="2" t="s">
        <v>92</v>
      </c>
      <c r="I450" s="2">
        <v>11.36</v>
      </c>
      <c r="J450" t="s">
        <v>55</v>
      </c>
    </row>
    <row r="451" spans="1:10" x14ac:dyDescent="0.25">
      <c r="A451" s="1" t="s">
        <v>828</v>
      </c>
      <c r="B451" t="s">
        <v>829</v>
      </c>
      <c r="C451" s="1" t="s">
        <v>845</v>
      </c>
      <c r="D451" s="1" t="s">
        <v>845</v>
      </c>
      <c r="E451" t="s">
        <v>846</v>
      </c>
      <c r="F451" s="2" t="s">
        <v>847</v>
      </c>
      <c r="G451" t="s">
        <v>49</v>
      </c>
      <c r="H451" s="2" t="s">
        <v>50</v>
      </c>
      <c r="I451" s="2">
        <v>176</v>
      </c>
      <c r="J451" t="s">
        <v>55</v>
      </c>
    </row>
    <row r="452" spans="1:10" x14ac:dyDescent="0.25">
      <c r="A452" s="1" t="s">
        <v>828</v>
      </c>
      <c r="B452" t="s">
        <v>829</v>
      </c>
      <c r="C452" s="1" t="s">
        <v>848</v>
      </c>
      <c r="D452" s="1" t="s">
        <v>848</v>
      </c>
      <c r="E452" t="s">
        <v>849</v>
      </c>
      <c r="F452" s="2" t="s">
        <v>850</v>
      </c>
      <c r="G452" t="s">
        <v>49</v>
      </c>
      <c r="H452" s="2" t="s">
        <v>50</v>
      </c>
      <c r="I452" s="2">
        <v>6.5</v>
      </c>
      <c r="J452" t="s">
        <v>55</v>
      </c>
    </row>
    <row r="453" spans="1:10" x14ac:dyDescent="0.25">
      <c r="A453" s="1" t="s">
        <v>828</v>
      </c>
      <c r="B453" t="s">
        <v>829</v>
      </c>
      <c r="C453" s="1" t="s">
        <v>851</v>
      </c>
      <c r="D453" s="1" t="s">
        <v>851</v>
      </c>
      <c r="E453" t="s">
        <v>852</v>
      </c>
      <c r="F453" s="2" t="s">
        <v>853</v>
      </c>
      <c r="G453" t="s">
        <v>49</v>
      </c>
      <c r="H453" s="2" t="s">
        <v>50</v>
      </c>
      <c r="I453" s="2">
        <v>7.1</v>
      </c>
      <c r="J453" t="s">
        <v>55</v>
      </c>
    </row>
    <row r="454" spans="1:10" x14ac:dyDescent="0.25">
      <c r="A454" s="1" t="s">
        <v>828</v>
      </c>
      <c r="B454" t="s">
        <v>829</v>
      </c>
      <c r="C454" s="1" t="s">
        <v>854</v>
      </c>
      <c r="D454" s="1" t="s">
        <v>854</v>
      </c>
      <c r="E454" t="s">
        <v>855</v>
      </c>
      <c r="F454" s="2" t="s">
        <v>856</v>
      </c>
      <c r="G454" t="s">
        <v>49</v>
      </c>
      <c r="H454" s="2" t="s">
        <v>50</v>
      </c>
      <c r="I454" s="2">
        <v>4.0999999999999996</v>
      </c>
      <c r="J454" t="s">
        <v>55</v>
      </c>
    </row>
    <row r="455" spans="1:10" x14ac:dyDescent="0.25">
      <c r="A455" s="1" t="s">
        <v>828</v>
      </c>
      <c r="B455" t="s">
        <v>829</v>
      </c>
      <c r="C455" s="1" t="s">
        <v>857</v>
      </c>
      <c r="D455" s="1" t="s">
        <v>857</v>
      </c>
      <c r="E455" t="s">
        <v>858</v>
      </c>
      <c r="F455" s="2" t="s">
        <v>686</v>
      </c>
      <c r="G455" t="s">
        <v>49</v>
      </c>
      <c r="H455" s="2" t="s">
        <v>859</v>
      </c>
      <c r="I455" s="2">
        <v>8.6</v>
      </c>
    </row>
    <row r="456" spans="1:10" x14ac:dyDescent="0.25">
      <c r="A456" s="1" t="s">
        <v>828</v>
      </c>
      <c r="B456" t="s">
        <v>829</v>
      </c>
      <c r="C456" s="1" t="s">
        <v>7</v>
      </c>
      <c r="D456" s="1" t="s">
        <v>7</v>
      </c>
      <c r="E456" t="s">
        <v>8</v>
      </c>
      <c r="F456" s="2" t="s">
        <v>9</v>
      </c>
      <c r="G456" t="s">
        <v>10</v>
      </c>
      <c r="H456" s="2" t="s">
        <v>860</v>
      </c>
      <c r="I456" s="2">
        <v>23</v>
      </c>
    </row>
    <row r="457" spans="1:10" x14ac:dyDescent="0.25">
      <c r="A457" s="1" t="s">
        <v>828</v>
      </c>
      <c r="B457" t="s">
        <v>829</v>
      </c>
      <c r="C457" s="1" t="s">
        <v>7</v>
      </c>
      <c r="D457" s="1" t="s">
        <v>7</v>
      </c>
      <c r="E457" t="s">
        <v>8</v>
      </c>
      <c r="F457" s="2" t="s">
        <v>9</v>
      </c>
      <c r="G457" t="s">
        <v>10</v>
      </c>
      <c r="H457" s="2" t="s">
        <v>861</v>
      </c>
      <c r="I457" s="2">
        <v>103.5</v>
      </c>
    </row>
    <row r="458" spans="1:10" x14ac:dyDescent="0.25">
      <c r="A458" s="1" t="s">
        <v>862</v>
      </c>
      <c r="B458" t="s">
        <v>863</v>
      </c>
      <c r="C458" s="1" t="s">
        <v>649</v>
      </c>
      <c r="D458" s="1" t="s">
        <v>649</v>
      </c>
      <c r="E458" t="s">
        <v>650</v>
      </c>
      <c r="F458" s="2" t="s">
        <v>651</v>
      </c>
      <c r="G458" t="s">
        <v>39</v>
      </c>
      <c r="H458" s="2" t="s">
        <v>25</v>
      </c>
      <c r="I458" s="2">
        <v>0.49</v>
      </c>
    </row>
    <row r="459" spans="1:10" x14ac:dyDescent="0.25">
      <c r="A459" s="1" t="s">
        <v>862</v>
      </c>
      <c r="B459" t="s">
        <v>863</v>
      </c>
      <c r="C459" s="1" t="s">
        <v>864</v>
      </c>
      <c r="D459" s="1" t="s">
        <v>864</v>
      </c>
      <c r="E459" t="s">
        <v>865</v>
      </c>
      <c r="F459" s="2" t="s">
        <v>866</v>
      </c>
      <c r="G459" t="s">
        <v>39</v>
      </c>
      <c r="H459" s="2" t="s">
        <v>25</v>
      </c>
      <c r="I459" s="2">
        <v>0.18</v>
      </c>
    </row>
    <row r="460" spans="1:10" x14ac:dyDescent="0.25">
      <c r="A460" s="1" t="s">
        <v>862</v>
      </c>
      <c r="B460" t="s">
        <v>863</v>
      </c>
      <c r="C460" s="1" t="s">
        <v>867</v>
      </c>
      <c r="D460" s="1" t="s">
        <v>867</v>
      </c>
      <c r="E460" t="s">
        <v>868</v>
      </c>
      <c r="F460" s="2" t="s">
        <v>255</v>
      </c>
      <c r="G460" t="s">
        <v>39</v>
      </c>
      <c r="H460" s="2" t="s">
        <v>25</v>
      </c>
      <c r="I460" s="2">
        <v>1.95</v>
      </c>
    </row>
    <row r="461" spans="1:10" x14ac:dyDescent="0.25">
      <c r="A461" s="1" t="s">
        <v>862</v>
      </c>
      <c r="B461" t="s">
        <v>863</v>
      </c>
      <c r="C461" s="1" t="s">
        <v>869</v>
      </c>
      <c r="D461" s="1" t="s">
        <v>869</v>
      </c>
      <c r="E461" t="s">
        <v>870</v>
      </c>
      <c r="F461" s="2" t="s">
        <v>871</v>
      </c>
      <c r="G461" t="s">
        <v>39</v>
      </c>
      <c r="H461" s="2" t="s">
        <v>40</v>
      </c>
      <c r="I461" s="2">
        <v>1.8</v>
      </c>
    </row>
    <row r="462" spans="1:10" x14ac:dyDescent="0.25">
      <c r="A462" s="1" t="s">
        <v>862</v>
      </c>
      <c r="B462" t="s">
        <v>863</v>
      </c>
      <c r="C462" s="1" t="s">
        <v>41</v>
      </c>
      <c r="D462" s="1" t="s">
        <v>41</v>
      </c>
      <c r="E462" t="s">
        <v>42</v>
      </c>
      <c r="F462" s="2" t="s">
        <v>43</v>
      </c>
      <c r="G462" t="s">
        <v>5</v>
      </c>
      <c r="H462" s="2" t="s">
        <v>550</v>
      </c>
      <c r="I462" s="2">
        <v>0.02</v>
      </c>
    </row>
    <row r="463" spans="1:10" x14ac:dyDescent="0.25">
      <c r="A463" s="1" t="s">
        <v>862</v>
      </c>
      <c r="B463" t="s">
        <v>863</v>
      </c>
      <c r="C463" s="1" t="s">
        <v>872</v>
      </c>
      <c r="D463" s="1" t="s">
        <v>872</v>
      </c>
      <c r="E463" t="s">
        <v>873</v>
      </c>
      <c r="F463" s="2" t="s">
        <v>117</v>
      </c>
      <c r="G463" t="s">
        <v>49</v>
      </c>
      <c r="H463" s="2" t="s">
        <v>50</v>
      </c>
      <c r="I463" s="2">
        <v>20</v>
      </c>
    </row>
    <row r="464" spans="1:10" x14ac:dyDescent="0.25">
      <c r="A464" s="1" t="s">
        <v>862</v>
      </c>
      <c r="B464" t="s">
        <v>863</v>
      </c>
      <c r="C464" s="1" t="s">
        <v>874</v>
      </c>
      <c r="D464" s="1" t="s">
        <v>874</v>
      </c>
      <c r="E464" t="s">
        <v>875</v>
      </c>
      <c r="F464" s="2" t="s">
        <v>876</v>
      </c>
      <c r="G464" t="s">
        <v>121</v>
      </c>
      <c r="H464" s="2" t="s">
        <v>50</v>
      </c>
      <c r="I464" s="2">
        <v>12</v>
      </c>
    </row>
    <row r="465" spans="1:10" x14ac:dyDescent="0.25">
      <c r="A465" s="1" t="s">
        <v>862</v>
      </c>
      <c r="B465" t="s">
        <v>863</v>
      </c>
      <c r="C465" s="1" t="s">
        <v>877</v>
      </c>
      <c r="D465" s="1" t="s">
        <v>877</v>
      </c>
      <c r="E465" t="s">
        <v>878</v>
      </c>
      <c r="F465" s="2" t="s">
        <v>879</v>
      </c>
      <c r="G465" t="s">
        <v>49</v>
      </c>
      <c r="H465" s="2" t="s">
        <v>50</v>
      </c>
      <c r="I465" s="2">
        <v>14</v>
      </c>
    </row>
    <row r="466" spans="1:10" x14ac:dyDescent="0.25">
      <c r="A466" s="1" t="s">
        <v>862</v>
      </c>
      <c r="B466" t="s">
        <v>863</v>
      </c>
      <c r="C466" s="1" t="s">
        <v>880</v>
      </c>
      <c r="D466" s="1" t="s">
        <v>880</v>
      </c>
      <c r="E466" t="s">
        <v>881</v>
      </c>
      <c r="F466" s="2" t="s">
        <v>263</v>
      </c>
      <c r="G466" t="s">
        <v>49</v>
      </c>
      <c r="H466" s="2" t="s">
        <v>50</v>
      </c>
      <c r="I466" s="2">
        <v>30</v>
      </c>
    </row>
    <row r="467" spans="1:10" x14ac:dyDescent="0.25">
      <c r="A467" s="1" t="s">
        <v>862</v>
      </c>
      <c r="B467" t="s">
        <v>863</v>
      </c>
      <c r="C467" s="1" t="s">
        <v>882</v>
      </c>
      <c r="D467" s="1" t="s">
        <v>882</v>
      </c>
      <c r="E467" t="s">
        <v>883</v>
      </c>
      <c r="F467" s="2" t="s">
        <v>884</v>
      </c>
      <c r="G467" t="s">
        <v>49</v>
      </c>
      <c r="H467" s="2" t="s">
        <v>50</v>
      </c>
      <c r="I467" s="2">
        <v>24</v>
      </c>
    </row>
    <row r="468" spans="1:10" x14ac:dyDescent="0.25">
      <c r="A468" s="1" t="s">
        <v>862</v>
      </c>
      <c r="B468" t="s">
        <v>863</v>
      </c>
      <c r="C468" s="1" t="s">
        <v>885</v>
      </c>
      <c r="D468" s="1" t="s">
        <v>885</v>
      </c>
      <c r="E468" t="s">
        <v>886</v>
      </c>
      <c r="F468" s="2" t="s">
        <v>887</v>
      </c>
      <c r="G468" t="s">
        <v>49</v>
      </c>
      <c r="H468" s="2" t="s">
        <v>50</v>
      </c>
      <c r="I468" s="2">
        <v>28</v>
      </c>
    </row>
    <row r="469" spans="1:10" x14ac:dyDescent="0.25">
      <c r="A469" s="1" t="s">
        <v>862</v>
      </c>
      <c r="B469" t="s">
        <v>863</v>
      </c>
      <c r="C469" s="1" t="s">
        <v>888</v>
      </c>
      <c r="D469" s="1" t="s">
        <v>888</v>
      </c>
      <c r="E469" t="s">
        <v>889</v>
      </c>
      <c r="F469" s="2" t="s">
        <v>879</v>
      </c>
      <c r="G469" t="s">
        <v>49</v>
      </c>
      <c r="H469" s="2" t="s">
        <v>50</v>
      </c>
      <c r="I469" s="2">
        <v>14</v>
      </c>
    </row>
    <row r="470" spans="1:10" x14ac:dyDescent="0.25">
      <c r="A470" s="1" t="s">
        <v>862</v>
      </c>
      <c r="B470" t="s">
        <v>863</v>
      </c>
      <c r="C470" s="1" t="s">
        <v>713</v>
      </c>
      <c r="D470" s="1" t="s">
        <v>713</v>
      </c>
      <c r="E470" t="s">
        <v>714</v>
      </c>
      <c r="F470" s="2" t="s">
        <v>501</v>
      </c>
      <c r="G470" t="s">
        <v>49</v>
      </c>
      <c r="H470" s="2" t="s">
        <v>50</v>
      </c>
      <c r="I470" s="2">
        <v>4.5</v>
      </c>
      <c r="J470" t="s">
        <v>55</v>
      </c>
    </row>
    <row r="471" spans="1:10" x14ac:dyDescent="0.25">
      <c r="A471" s="1" t="s">
        <v>862</v>
      </c>
      <c r="B471" t="s">
        <v>863</v>
      </c>
      <c r="C471" s="1" t="s">
        <v>715</v>
      </c>
      <c r="D471" s="1" t="s">
        <v>715</v>
      </c>
      <c r="E471" t="s">
        <v>716</v>
      </c>
      <c r="F471" s="2" t="s">
        <v>501</v>
      </c>
      <c r="G471" t="s">
        <v>49</v>
      </c>
      <c r="H471" s="2" t="s">
        <v>50</v>
      </c>
      <c r="I471" s="2">
        <v>4.5</v>
      </c>
      <c r="J471" t="s">
        <v>55</v>
      </c>
    </row>
    <row r="472" spans="1:10" x14ac:dyDescent="0.25">
      <c r="A472" s="1" t="s">
        <v>862</v>
      </c>
      <c r="B472" t="s">
        <v>863</v>
      </c>
      <c r="C472" s="1" t="s">
        <v>717</v>
      </c>
      <c r="D472" s="1" t="s">
        <v>717</v>
      </c>
      <c r="E472" t="s">
        <v>718</v>
      </c>
      <c r="F472" s="2" t="s">
        <v>61</v>
      </c>
      <c r="G472" t="s">
        <v>49</v>
      </c>
      <c r="H472" s="2" t="s">
        <v>50</v>
      </c>
      <c r="I472" s="2">
        <v>3.85</v>
      </c>
      <c r="J472" t="s">
        <v>55</v>
      </c>
    </row>
    <row r="473" spans="1:10" x14ac:dyDescent="0.25">
      <c r="A473" s="1" t="s">
        <v>862</v>
      </c>
      <c r="B473" t="s">
        <v>863</v>
      </c>
      <c r="C473" s="1" t="s">
        <v>857</v>
      </c>
      <c r="D473" s="1" t="s">
        <v>857</v>
      </c>
      <c r="E473" t="s">
        <v>858</v>
      </c>
      <c r="F473" s="2" t="s">
        <v>686</v>
      </c>
      <c r="G473" t="s">
        <v>49</v>
      </c>
      <c r="H473" s="2" t="s">
        <v>890</v>
      </c>
      <c r="I473" s="2">
        <v>4.3</v>
      </c>
    </row>
    <row r="474" spans="1:10" x14ac:dyDescent="0.25">
      <c r="A474" s="1" t="s">
        <v>862</v>
      </c>
      <c r="B474" t="s">
        <v>863</v>
      </c>
      <c r="C474" s="1" t="s">
        <v>688</v>
      </c>
      <c r="D474" s="1" t="s">
        <v>688</v>
      </c>
      <c r="E474" t="s">
        <v>810</v>
      </c>
      <c r="F474" s="2" t="s">
        <v>811</v>
      </c>
      <c r="G474" t="s">
        <v>10</v>
      </c>
      <c r="H474" s="2" t="s">
        <v>891</v>
      </c>
      <c r="I474" s="2">
        <v>132</v>
      </c>
    </row>
    <row r="475" spans="1:10" x14ac:dyDescent="0.25">
      <c r="A475" s="1" t="s">
        <v>862</v>
      </c>
      <c r="B475" t="s">
        <v>863</v>
      </c>
      <c r="C475" s="1" t="s">
        <v>7</v>
      </c>
      <c r="D475" s="1" t="s">
        <v>7</v>
      </c>
      <c r="E475" t="s">
        <v>8</v>
      </c>
      <c r="F475" s="2" t="s">
        <v>9</v>
      </c>
      <c r="G475" t="s">
        <v>10</v>
      </c>
      <c r="H475" s="2" t="s">
        <v>860</v>
      </c>
      <c r="I475" s="2">
        <v>23</v>
      </c>
    </row>
    <row r="476" spans="1:10" x14ac:dyDescent="0.25">
      <c r="A476" s="1" t="s">
        <v>862</v>
      </c>
      <c r="B476" t="s">
        <v>863</v>
      </c>
      <c r="C476" s="1" t="s">
        <v>7</v>
      </c>
      <c r="D476" s="1" t="s">
        <v>7</v>
      </c>
      <c r="E476" t="s">
        <v>8</v>
      </c>
      <c r="F476" s="2" t="s">
        <v>9</v>
      </c>
      <c r="G476" t="s">
        <v>10</v>
      </c>
      <c r="H476" s="2" t="s">
        <v>892</v>
      </c>
      <c r="I476" s="2">
        <v>146.4</v>
      </c>
    </row>
    <row r="477" spans="1:10" x14ac:dyDescent="0.25">
      <c r="A477" s="1" t="s">
        <v>893</v>
      </c>
      <c r="B477" t="s">
        <v>894</v>
      </c>
      <c r="C477" s="1" t="s">
        <v>895</v>
      </c>
      <c r="D477" s="1" t="s">
        <v>895</v>
      </c>
      <c r="E477" t="s">
        <v>896</v>
      </c>
      <c r="F477" s="2" t="s">
        <v>897</v>
      </c>
      <c r="G477" t="s">
        <v>39</v>
      </c>
      <c r="H477" s="2" t="s">
        <v>25</v>
      </c>
      <c r="I477" s="2">
        <v>0.56999999999999995</v>
      </c>
    </row>
    <row r="478" spans="1:10" x14ac:dyDescent="0.25">
      <c r="A478" s="1" t="s">
        <v>893</v>
      </c>
      <c r="B478" t="s">
        <v>894</v>
      </c>
      <c r="C478" s="1" t="s">
        <v>898</v>
      </c>
      <c r="D478" s="1" t="s">
        <v>898</v>
      </c>
      <c r="E478" t="s">
        <v>899</v>
      </c>
      <c r="F478" s="2" t="s">
        <v>866</v>
      </c>
      <c r="G478" t="s">
        <v>39</v>
      </c>
      <c r="H478" s="2" t="s">
        <v>25</v>
      </c>
      <c r="I478" s="2">
        <v>0.18</v>
      </c>
    </row>
    <row r="479" spans="1:10" x14ac:dyDescent="0.25">
      <c r="A479" s="1" t="s">
        <v>893</v>
      </c>
      <c r="B479" t="s">
        <v>894</v>
      </c>
      <c r="C479" s="1" t="s">
        <v>900</v>
      </c>
      <c r="D479" s="1" t="s">
        <v>900</v>
      </c>
      <c r="E479" t="s">
        <v>901</v>
      </c>
      <c r="F479" s="2" t="s">
        <v>712</v>
      </c>
      <c r="G479" t="s">
        <v>39</v>
      </c>
      <c r="H479" s="2" t="s">
        <v>25</v>
      </c>
      <c r="I479" s="2">
        <v>1.5</v>
      </c>
    </row>
    <row r="480" spans="1:10" x14ac:dyDescent="0.25">
      <c r="A480" s="1" t="s">
        <v>893</v>
      </c>
      <c r="B480" t="s">
        <v>894</v>
      </c>
      <c r="C480" s="1" t="s">
        <v>869</v>
      </c>
      <c r="D480" s="1" t="s">
        <v>869</v>
      </c>
      <c r="E480" t="s">
        <v>870</v>
      </c>
      <c r="F480" s="2" t="s">
        <v>871</v>
      </c>
      <c r="G480" t="s">
        <v>39</v>
      </c>
      <c r="H480" s="2" t="s">
        <v>40</v>
      </c>
      <c r="I480" s="2">
        <v>1.8</v>
      </c>
    </row>
    <row r="481" spans="1:10" x14ac:dyDescent="0.25">
      <c r="A481" s="1" t="s">
        <v>893</v>
      </c>
      <c r="B481" t="s">
        <v>894</v>
      </c>
      <c r="C481" s="1" t="s">
        <v>41</v>
      </c>
      <c r="D481" s="1" t="s">
        <v>41</v>
      </c>
      <c r="E481" t="s">
        <v>42</v>
      </c>
      <c r="F481" s="2" t="s">
        <v>513</v>
      </c>
      <c r="G481" t="s">
        <v>5</v>
      </c>
      <c r="H481" s="2" t="s">
        <v>559</v>
      </c>
      <c r="I481" s="2">
        <v>0.04</v>
      </c>
    </row>
    <row r="482" spans="1:10" x14ac:dyDescent="0.25">
      <c r="A482" s="1" t="s">
        <v>893</v>
      </c>
      <c r="B482" t="s">
        <v>894</v>
      </c>
      <c r="C482" s="1" t="s">
        <v>902</v>
      </c>
      <c r="D482" s="1" t="s">
        <v>902</v>
      </c>
      <c r="E482" t="s">
        <v>903</v>
      </c>
      <c r="F482" s="2" t="s">
        <v>904</v>
      </c>
      <c r="G482" t="s">
        <v>121</v>
      </c>
      <c r="H482" s="2" t="s">
        <v>50</v>
      </c>
      <c r="I482" s="2">
        <v>119.6</v>
      </c>
    </row>
    <row r="483" spans="1:10" x14ac:dyDescent="0.25">
      <c r="A483" s="1" t="s">
        <v>893</v>
      </c>
      <c r="B483" t="s">
        <v>894</v>
      </c>
      <c r="C483" s="1" t="s">
        <v>905</v>
      </c>
      <c r="D483" s="1" t="s">
        <v>905</v>
      </c>
      <c r="E483" t="s">
        <v>906</v>
      </c>
      <c r="F483" s="2" t="s">
        <v>904</v>
      </c>
      <c r="G483" t="s">
        <v>121</v>
      </c>
      <c r="H483" s="2" t="s">
        <v>50</v>
      </c>
      <c r="I483" s="2">
        <v>119.6</v>
      </c>
    </row>
    <row r="484" spans="1:10" x14ac:dyDescent="0.25">
      <c r="A484" s="1" t="s">
        <v>893</v>
      </c>
      <c r="B484" t="s">
        <v>894</v>
      </c>
      <c r="C484" s="1" t="s">
        <v>907</v>
      </c>
      <c r="D484" s="1" t="s">
        <v>907</v>
      </c>
      <c r="E484" t="s">
        <v>908</v>
      </c>
      <c r="F484" s="2" t="s">
        <v>909</v>
      </c>
      <c r="G484" t="s">
        <v>121</v>
      </c>
      <c r="H484" s="2" t="s">
        <v>50</v>
      </c>
      <c r="I484" s="2">
        <v>55.9</v>
      </c>
    </row>
    <row r="485" spans="1:10" x14ac:dyDescent="0.25">
      <c r="A485" s="1" t="s">
        <v>893</v>
      </c>
      <c r="B485" t="s">
        <v>894</v>
      </c>
      <c r="C485" s="1" t="s">
        <v>910</v>
      </c>
      <c r="D485" s="1" t="s">
        <v>910</v>
      </c>
      <c r="E485" t="s">
        <v>911</v>
      </c>
      <c r="F485" s="2" t="s">
        <v>912</v>
      </c>
      <c r="G485" t="s">
        <v>121</v>
      </c>
      <c r="H485" s="2" t="s">
        <v>50</v>
      </c>
      <c r="I485" s="2">
        <v>114.4</v>
      </c>
    </row>
    <row r="486" spans="1:10" x14ac:dyDescent="0.25">
      <c r="A486" s="1" t="s">
        <v>893</v>
      </c>
      <c r="B486" t="s">
        <v>894</v>
      </c>
      <c r="C486" s="1" t="s">
        <v>913</v>
      </c>
      <c r="D486" s="1" t="s">
        <v>913</v>
      </c>
      <c r="E486" t="s">
        <v>914</v>
      </c>
      <c r="F486" s="2" t="s">
        <v>915</v>
      </c>
      <c r="G486" t="s">
        <v>121</v>
      </c>
      <c r="H486" s="2" t="s">
        <v>50</v>
      </c>
      <c r="I486" s="2">
        <v>117</v>
      </c>
    </row>
    <row r="487" spans="1:10" x14ac:dyDescent="0.25">
      <c r="A487" s="1" t="s">
        <v>893</v>
      </c>
      <c r="B487" t="s">
        <v>894</v>
      </c>
      <c r="C487" s="1" t="s">
        <v>916</v>
      </c>
      <c r="D487" s="1" t="s">
        <v>916</v>
      </c>
      <c r="E487" t="s">
        <v>917</v>
      </c>
      <c r="F487" s="2" t="s">
        <v>918</v>
      </c>
      <c r="G487" t="s">
        <v>121</v>
      </c>
      <c r="H487" s="2" t="s">
        <v>50</v>
      </c>
      <c r="I487" s="2">
        <v>89.7</v>
      </c>
    </row>
    <row r="488" spans="1:10" x14ac:dyDescent="0.25">
      <c r="A488" s="1" t="s">
        <v>893</v>
      </c>
      <c r="B488" t="s">
        <v>894</v>
      </c>
      <c r="C488" s="1" t="s">
        <v>919</v>
      </c>
      <c r="D488" s="1" t="s">
        <v>919</v>
      </c>
      <c r="E488" t="s">
        <v>920</v>
      </c>
      <c r="F488" s="2" t="s">
        <v>921</v>
      </c>
      <c r="G488" t="s">
        <v>121</v>
      </c>
      <c r="H488" s="2" t="s">
        <v>50</v>
      </c>
      <c r="I488" s="2">
        <v>93.6</v>
      </c>
    </row>
    <row r="489" spans="1:10" x14ac:dyDescent="0.25">
      <c r="A489" s="1" t="s">
        <v>893</v>
      </c>
      <c r="B489" t="s">
        <v>894</v>
      </c>
      <c r="C489" s="1" t="s">
        <v>684</v>
      </c>
      <c r="D489" s="1" t="s">
        <v>684</v>
      </c>
      <c r="E489" t="s">
        <v>685</v>
      </c>
      <c r="F489" s="2" t="s">
        <v>686</v>
      </c>
      <c r="G489" t="s">
        <v>49</v>
      </c>
      <c r="H489" s="2" t="s">
        <v>922</v>
      </c>
      <c r="I489" s="2">
        <v>3.75</v>
      </c>
    </row>
    <row r="490" spans="1:10" x14ac:dyDescent="0.25">
      <c r="A490" s="1" t="s">
        <v>893</v>
      </c>
      <c r="B490" t="s">
        <v>894</v>
      </c>
      <c r="C490" s="1" t="s">
        <v>7</v>
      </c>
      <c r="D490" s="1" t="s">
        <v>7</v>
      </c>
      <c r="E490" t="s">
        <v>8</v>
      </c>
      <c r="F490" s="2" t="s">
        <v>9</v>
      </c>
      <c r="G490" t="s">
        <v>10</v>
      </c>
      <c r="H490" s="2" t="s">
        <v>923</v>
      </c>
      <c r="I490" s="2">
        <v>264.5</v>
      </c>
    </row>
    <row r="491" spans="1:10" x14ac:dyDescent="0.25">
      <c r="A491" s="1" t="s">
        <v>924</v>
      </c>
      <c r="B491" t="s">
        <v>925</v>
      </c>
      <c r="C491" s="1" t="s">
        <v>926</v>
      </c>
      <c r="D491" s="1" t="s">
        <v>926</v>
      </c>
      <c r="E491" t="s">
        <v>927</v>
      </c>
      <c r="F491" s="2" t="s">
        <v>928</v>
      </c>
      <c r="G491" t="s">
        <v>5</v>
      </c>
      <c r="H491" s="2" t="s">
        <v>929</v>
      </c>
      <c r="I491" s="2">
        <v>0.41</v>
      </c>
    </row>
    <row r="492" spans="1:10" x14ac:dyDescent="0.25">
      <c r="A492" s="1" t="s">
        <v>924</v>
      </c>
      <c r="B492" t="s">
        <v>925</v>
      </c>
      <c r="C492" s="1" t="s">
        <v>930</v>
      </c>
      <c r="D492" s="1" t="s">
        <v>930</v>
      </c>
      <c r="E492" t="s">
        <v>931</v>
      </c>
      <c r="F492" s="2" t="s">
        <v>414</v>
      </c>
      <c r="G492" t="s">
        <v>932</v>
      </c>
      <c r="H492" s="2" t="s">
        <v>933</v>
      </c>
      <c r="I492" s="2">
        <v>1.75</v>
      </c>
    </row>
    <row r="493" spans="1:10" x14ac:dyDescent="0.25">
      <c r="A493" s="1" t="s">
        <v>924</v>
      </c>
      <c r="B493" t="s">
        <v>925</v>
      </c>
      <c r="C493" s="1" t="s">
        <v>934</v>
      </c>
      <c r="D493" s="1" t="s">
        <v>934</v>
      </c>
      <c r="E493" t="s">
        <v>935</v>
      </c>
      <c r="F493" s="2" t="s">
        <v>936</v>
      </c>
      <c r="G493" t="s">
        <v>121</v>
      </c>
      <c r="H493" s="2" t="s">
        <v>92</v>
      </c>
      <c r="I493" s="2">
        <v>0.66</v>
      </c>
    </row>
    <row r="494" spans="1:10" x14ac:dyDescent="0.25">
      <c r="A494" s="1" t="s">
        <v>924</v>
      </c>
      <c r="B494" t="s">
        <v>925</v>
      </c>
      <c r="C494" s="1" t="s">
        <v>937</v>
      </c>
      <c r="D494" s="1" t="s">
        <v>937</v>
      </c>
      <c r="E494" t="s">
        <v>938</v>
      </c>
      <c r="F494" s="2" t="s">
        <v>939</v>
      </c>
      <c r="G494" t="s">
        <v>121</v>
      </c>
      <c r="H494" s="2" t="s">
        <v>319</v>
      </c>
      <c r="I494" s="2">
        <v>17.34</v>
      </c>
    </row>
    <row r="495" spans="1:10" x14ac:dyDescent="0.25">
      <c r="A495" s="1" t="s">
        <v>924</v>
      </c>
      <c r="B495" t="s">
        <v>925</v>
      </c>
      <c r="C495" s="1" t="s">
        <v>667</v>
      </c>
      <c r="D495" s="1" t="s">
        <v>667</v>
      </c>
      <c r="E495" t="s">
        <v>668</v>
      </c>
      <c r="F495" s="2" t="s">
        <v>669</v>
      </c>
      <c r="G495" t="s">
        <v>121</v>
      </c>
      <c r="H495" s="2" t="s">
        <v>940</v>
      </c>
      <c r="I495" s="2">
        <v>2.79</v>
      </c>
    </row>
    <row r="496" spans="1:10" x14ac:dyDescent="0.25">
      <c r="A496" s="1" t="s">
        <v>924</v>
      </c>
      <c r="B496" t="s">
        <v>925</v>
      </c>
      <c r="C496" s="1" t="s">
        <v>941</v>
      </c>
      <c r="D496" s="1" t="s">
        <v>942</v>
      </c>
      <c r="E496" t="s">
        <v>943</v>
      </c>
      <c r="F496" s="2" t="s">
        <v>944</v>
      </c>
      <c r="G496" t="s">
        <v>49</v>
      </c>
      <c r="H496" s="2" t="s">
        <v>50</v>
      </c>
      <c r="I496" s="2">
        <v>262.7</v>
      </c>
      <c r="J496" t="s">
        <v>51</v>
      </c>
    </row>
    <row r="497" spans="1:10" x14ac:dyDescent="0.25">
      <c r="A497" s="1" t="s">
        <v>924</v>
      </c>
      <c r="B497" t="s">
        <v>925</v>
      </c>
      <c r="C497" s="1" t="s">
        <v>945</v>
      </c>
      <c r="D497" s="1" t="s">
        <v>946</v>
      </c>
      <c r="E497" t="s">
        <v>947</v>
      </c>
      <c r="F497" s="2" t="s">
        <v>948</v>
      </c>
      <c r="G497" t="s">
        <v>49</v>
      </c>
      <c r="H497" s="2" t="s">
        <v>50</v>
      </c>
      <c r="I497" s="2">
        <v>252</v>
      </c>
      <c r="J497" t="s">
        <v>51</v>
      </c>
    </row>
    <row r="498" spans="1:10" x14ac:dyDescent="0.25">
      <c r="A498" s="1" t="s">
        <v>924</v>
      </c>
      <c r="B498" t="s">
        <v>925</v>
      </c>
      <c r="C498" s="1" t="s">
        <v>949</v>
      </c>
      <c r="D498" s="1" t="s">
        <v>950</v>
      </c>
      <c r="E498" t="s">
        <v>951</v>
      </c>
      <c r="F498" s="2" t="s">
        <v>952</v>
      </c>
      <c r="G498" t="s">
        <v>49</v>
      </c>
      <c r="H498" s="2" t="s">
        <v>319</v>
      </c>
      <c r="I498" s="2">
        <v>178.2</v>
      </c>
      <c r="J498" t="s">
        <v>51</v>
      </c>
    </row>
    <row r="499" spans="1:10" x14ac:dyDescent="0.25">
      <c r="A499" s="1" t="s">
        <v>924</v>
      </c>
      <c r="B499" t="s">
        <v>925</v>
      </c>
      <c r="C499" s="1" t="s">
        <v>953</v>
      </c>
      <c r="D499" s="1" t="s">
        <v>954</v>
      </c>
      <c r="E499" t="s">
        <v>955</v>
      </c>
      <c r="F499" s="2" t="s">
        <v>956</v>
      </c>
      <c r="G499" t="s">
        <v>49</v>
      </c>
      <c r="H499" s="2" t="s">
        <v>92</v>
      </c>
      <c r="I499" s="2">
        <v>5.7</v>
      </c>
      <c r="J499" t="s">
        <v>51</v>
      </c>
    </row>
    <row r="500" spans="1:10" x14ac:dyDescent="0.25">
      <c r="A500" s="1" t="s">
        <v>924</v>
      </c>
      <c r="B500" t="s">
        <v>925</v>
      </c>
      <c r="C500" s="1" t="s">
        <v>957</v>
      </c>
      <c r="D500" s="1" t="s">
        <v>958</v>
      </c>
      <c r="E500" t="s">
        <v>959</v>
      </c>
      <c r="F500" s="2" t="s">
        <v>61</v>
      </c>
      <c r="G500" t="s">
        <v>49</v>
      </c>
      <c r="H500" s="2" t="s">
        <v>122</v>
      </c>
      <c r="I500" s="2">
        <v>15.4</v>
      </c>
      <c r="J500" t="s">
        <v>51</v>
      </c>
    </row>
    <row r="501" spans="1:10" x14ac:dyDescent="0.25">
      <c r="A501" s="1" t="s">
        <v>924</v>
      </c>
      <c r="B501" t="s">
        <v>925</v>
      </c>
      <c r="C501" s="1" t="s">
        <v>960</v>
      </c>
      <c r="D501" s="1" t="s">
        <v>960</v>
      </c>
      <c r="E501" t="s">
        <v>961</v>
      </c>
      <c r="F501" s="2" t="s">
        <v>962</v>
      </c>
      <c r="G501" t="s">
        <v>435</v>
      </c>
      <c r="H501" s="2" t="s">
        <v>963</v>
      </c>
      <c r="I501" s="2">
        <v>40.25</v>
      </c>
    </row>
    <row r="502" spans="1:10" x14ac:dyDescent="0.25">
      <c r="A502" s="1" t="s">
        <v>924</v>
      </c>
      <c r="B502" t="s">
        <v>925</v>
      </c>
      <c r="C502" s="1" t="s">
        <v>7</v>
      </c>
      <c r="D502" s="1" t="s">
        <v>7</v>
      </c>
      <c r="E502" t="s">
        <v>8</v>
      </c>
      <c r="F502" s="2" t="s">
        <v>9</v>
      </c>
      <c r="G502" t="s">
        <v>10</v>
      </c>
      <c r="H502" s="2" t="s">
        <v>964</v>
      </c>
      <c r="I502" s="2">
        <v>43.5</v>
      </c>
    </row>
    <row r="503" spans="1:10" x14ac:dyDescent="0.25">
      <c r="A503" s="1" t="s">
        <v>965</v>
      </c>
      <c r="B503" t="s">
        <v>966</v>
      </c>
      <c r="C503" s="1" t="s">
        <v>967</v>
      </c>
      <c r="D503" s="1" t="s">
        <v>967</v>
      </c>
      <c r="E503" t="s">
        <v>968</v>
      </c>
      <c r="F503" s="2" t="s">
        <v>658</v>
      </c>
      <c r="G503" t="s">
        <v>5</v>
      </c>
      <c r="H503" s="2" t="s">
        <v>969</v>
      </c>
      <c r="I503" s="2">
        <v>43.7</v>
      </c>
    </row>
    <row r="504" spans="1:10" x14ac:dyDescent="0.25">
      <c r="A504" s="1" t="s">
        <v>965</v>
      </c>
      <c r="B504" t="s">
        <v>966</v>
      </c>
      <c r="C504" s="1" t="s">
        <v>970</v>
      </c>
      <c r="D504" s="1" t="s">
        <v>970</v>
      </c>
      <c r="E504" t="s">
        <v>971</v>
      </c>
      <c r="F504" s="2" t="s">
        <v>972</v>
      </c>
      <c r="G504" t="s">
        <v>17</v>
      </c>
      <c r="H504" s="2" t="s">
        <v>973</v>
      </c>
      <c r="I504" s="2">
        <v>373.75</v>
      </c>
    </row>
    <row r="505" spans="1:10" x14ac:dyDescent="0.25">
      <c r="A505" s="1" t="s">
        <v>965</v>
      </c>
      <c r="B505" t="s">
        <v>966</v>
      </c>
      <c r="C505" s="1" t="s">
        <v>974</v>
      </c>
      <c r="D505" s="1" t="s">
        <v>974</v>
      </c>
      <c r="E505" t="s">
        <v>975</v>
      </c>
      <c r="F505" s="2" t="s">
        <v>976</v>
      </c>
      <c r="G505" t="s">
        <v>17</v>
      </c>
      <c r="H505" s="2" t="s">
        <v>607</v>
      </c>
      <c r="I505" s="2">
        <v>319.60000000000002</v>
      </c>
    </row>
    <row r="506" spans="1:10" x14ac:dyDescent="0.25">
      <c r="A506" s="1" t="s">
        <v>965</v>
      </c>
      <c r="B506" t="s">
        <v>966</v>
      </c>
      <c r="C506" s="1" t="s">
        <v>977</v>
      </c>
      <c r="D506" s="1" t="s">
        <v>977</v>
      </c>
      <c r="E506" t="s">
        <v>978</v>
      </c>
      <c r="F506" s="2" t="s">
        <v>979</v>
      </c>
      <c r="G506" t="s">
        <v>121</v>
      </c>
      <c r="H506" s="2" t="s">
        <v>92</v>
      </c>
      <c r="I506" s="2">
        <v>1.04</v>
      </c>
    </row>
    <row r="507" spans="1:10" x14ac:dyDescent="0.25">
      <c r="A507" s="1" t="s">
        <v>965</v>
      </c>
      <c r="B507" t="s">
        <v>966</v>
      </c>
      <c r="C507" s="1" t="s">
        <v>41</v>
      </c>
      <c r="D507" s="1" t="s">
        <v>41</v>
      </c>
      <c r="E507" t="s">
        <v>42</v>
      </c>
      <c r="F507" s="2" t="s">
        <v>43</v>
      </c>
      <c r="G507" t="s">
        <v>5</v>
      </c>
      <c r="H507" s="2" t="s">
        <v>550</v>
      </c>
      <c r="I507" s="2">
        <v>0.02</v>
      </c>
    </row>
    <row r="508" spans="1:10" x14ac:dyDescent="0.25">
      <c r="A508" s="1" t="s">
        <v>965</v>
      </c>
      <c r="B508" t="s">
        <v>966</v>
      </c>
      <c r="C508" s="1" t="s">
        <v>980</v>
      </c>
      <c r="D508" s="1" t="s">
        <v>980</v>
      </c>
      <c r="E508" t="s">
        <v>981</v>
      </c>
      <c r="F508" s="2" t="s">
        <v>982</v>
      </c>
      <c r="G508" t="s">
        <v>49</v>
      </c>
      <c r="H508" s="2" t="s">
        <v>50</v>
      </c>
      <c r="I508" s="2">
        <v>18</v>
      </c>
      <c r="J508" t="s">
        <v>55</v>
      </c>
    </row>
    <row r="509" spans="1:10" x14ac:dyDescent="0.25">
      <c r="A509" s="1" t="s">
        <v>965</v>
      </c>
      <c r="B509" t="s">
        <v>966</v>
      </c>
      <c r="C509" s="1" t="s">
        <v>684</v>
      </c>
      <c r="D509" s="1" t="s">
        <v>684</v>
      </c>
      <c r="E509" t="s">
        <v>685</v>
      </c>
      <c r="F509" s="2" t="s">
        <v>686</v>
      </c>
      <c r="G509" t="s">
        <v>49</v>
      </c>
      <c r="H509" s="2" t="s">
        <v>983</v>
      </c>
      <c r="I509" s="2">
        <v>18.100000000000001</v>
      </c>
    </row>
    <row r="510" spans="1:10" x14ac:dyDescent="0.25">
      <c r="A510" s="1" t="s">
        <v>965</v>
      </c>
      <c r="B510" t="s">
        <v>966</v>
      </c>
      <c r="C510" s="1" t="s">
        <v>541</v>
      </c>
      <c r="D510" s="1" t="s">
        <v>541</v>
      </c>
      <c r="E510" t="s">
        <v>542</v>
      </c>
      <c r="F510" s="2" t="s">
        <v>9</v>
      </c>
      <c r="G510" t="s">
        <v>10</v>
      </c>
      <c r="H510" s="2" t="s">
        <v>984</v>
      </c>
      <c r="I510" s="2">
        <v>644</v>
      </c>
    </row>
    <row r="511" spans="1:10" x14ac:dyDescent="0.25">
      <c r="A511" s="1" t="s">
        <v>965</v>
      </c>
      <c r="B511" t="s">
        <v>966</v>
      </c>
      <c r="C511" s="1" t="s">
        <v>541</v>
      </c>
      <c r="D511" s="1" t="s">
        <v>541</v>
      </c>
      <c r="E511" t="s">
        <v>542</v>
      </c>
      <c r="F511" s="2" t="s">
        <v>9</v>
      </c>
      <c r="G511" t="s">
        <v>10</v>
      </c>
      <c r="H511" s="2" t="s">
        <v>985</v>
      </c>
      <c r="I511" s="2">
        <v>144.80000000000001</v>
      </c>
    </row>
    <row r="512" spans="1:10" x14ac:dyDescent="0.25">
      <c r="A512" s="1" t="s">
        <v>986</v>
      </c>
      <c r="B512" t="s">
        <v>987</v>
      </c>
      <c r="C512" s="1" t="s">
        <v>988</v>
      </c>
      <c r="D512" s="1" t="s">
        <v>988</v>
      </c>
      <c r="E512" t="s">
        <v>989</v>
      </c>
      <c r="F512" s="2" t="s">
        <v>990</v>
      </c>
      <c r="G512" t="s">
        <v>5</v>
      </c>
      <c r="H512" s="2" t="s">
        <v>991</v>
      </c>
      <c r="I512" s="2">
        <v>10.85</v>
      </c>
    </row>
    <row r="513" spans="1:10" x14ac:dyDescent="0.25">
      <c r="A513" s="1" t="s">
        <v>986</v>
      </c>
      <c r="B513" t="s">
        <v>987</v>
      </c>
      <c r="C513" s="1" t="s">
        <v>970</v>
      </c>
      <c r="D513" s="1" t="s">
        <v>970</v>
      </c>
      <c r="E513" t="s">
        <v>971</v>
      </c>
      <c r="F513" s="2" t="s">
        <v>972</v>
      </c>
      <c r="G513" t="s">
        <v>17</v>
      </c>
      <c r="H513" s="2" t="s">
        <v>992</v>
      </c>
      <c r="I513" s="2">
        <v>509.7</v>
      </c>
    </row>
    <row r="514" spans="1:10" x14ac:dyDescent="0.25">
      <c r="A514" s="1" t="s">
        <v>986</v>
      </c>
      <c r="B514" t="s">
        <v>987</v>
      </c>
      <c r="C514" s="1" t="s">
        <v>974</v>
      </c>
      <c r="D514" s="1" t="s">
        <v>974</v>
      </c>
      <c r="E514" t="s">
        <v>975</v>
      </c>
      <c r="F514" s="2" t="s">
        <v>976</v>
      </c>
      <c r="G514" t="s">
        <v>17</v>
      </c>
      <c r="H514" s="2" t="s">
        <v>607</v>
      </c>
      <c r="I514" s="2">
        <v>319.60000000000002</v>
      </c>
    </row>
    <row r="515" spans="1:10" x14ac:dyDescent="0.25">
      <c r="A515" s="1" t="s">
        <v>986</v>
      </c>
      <c r="B515" t="s">
        <v>987</v>
      </c>
      <c r="C515" s="1" t="s">
        <v>2</v>
      </c>
      <c r="D515" s="1" t="s">
        <v>2</v>
      </c>
      <c r="E515" t="s">
        <v>3</v>
      </c>
      <c r="F515" s="2" t="s">
        <v>4</v>
      </c>
      <c r="G515" t="s">
        <v>5</v>
      </c>
      <c r="H515" s="2" t="s">
        <v>993</v>
      </c>
      <c r="I515" s="2">
        <v>4.25</v>
      </c>
    </row>
    <row r="516" spans="1:10" x14ac:dyDescent="0.25">
      <c r="A516" s="1" t="s">
        <v>986</v>
      </c>
      <c r="B516" t="s">
        <v>987</v>
      </c>
      <c r="C516" s="1" t="s">
        <v>977</v>
      </c>
      <c r="D516" s="1" t="s">
        <v>977</v>
      </c>
      <c r="E516" t="s">
        <v>978</v>
      </c>
      <c r="F516" s="2" t="s">
        <v>979</v>
      </c>
      <c r="G516" t="s">
        <v>121</v>
      </c>
      <c r="H516" s="2" t="s">
        <v>92</v>
      </c>
      <c r="I516" s="2">
        <v>1.04</v>
      </c>
    </row>
    <row r="517" spans="1:10" x14ac:dyDescent="0.25">
      <c r="A517" s="1" t="s">
        <v>986</v>
      </c>
      <c r="B517" t="s">
        <v>987</v>
      </c>
      <c r="C517" s="1" t="s">
        <v>41</v>
      </c>
      <c r="D517" s="1" t="s">
        <v>41</v>
      </c>
      <c r="E517" t="s">
        <v>42</v>
      </c>
      <c r="F517" s="2" t="s">
        <v>43</v>
      </c>
      <c r="G517" t="s">
        <v>5</v>
      </c>
      <c r="H517" s="2" t="s">
        <v>227</v>
      </c>
      <c r="I517" s="2">
        <v>0.01</v>
      </c>
    </row>
    <row r="518" spans="1:10" x14ac:dyDescent="0.25">
      <c r="A518" s="1" t="s">
        <v>986</v>
      </c>
      <c r="B518" t="s">
        <v>987</v>
      </c>
      <c r="C518" s="1" t="s">
        <v>432</v>
      </c>
      <c r="D518" s="1" t="s">
        <v>432</v>
      </c>
      <c r="E518" t="s">
        <v>433</v>
      </c>
      <c r="F518" s="2" t="s">
        <v>434</v>
      </c>
      <c r="G518" t="s">
        <v>435</v>
      </c>
      <c r="H518" s="2" t="s">
        <v>994</v>
      </c>
      <c r="I518" s="2">
        <v>1.5</v>
      </c>
    </row>
    <row r="519" spans="1:10" x14ac:dyDescent="0.25">
      <c r="A519" s="1" t="s">
        <v>986</v>
      </c>
      <c r="B519" t="s">
        <v>987</v>
      </c>
      <c r="C519" s="1" t="s">
        <v>7</v>
      </c>
      <c r="D519" s="1" t="s">
        <v>7</v>
      </c>
      <c r="E519" t="s">
        <v>8</v>
      </c>
      <c r="F519" s="2" t="s">
        <v>9</v>
      </c>
      <c r="G519" t="s">
        <v>10</v>
      </c>
      <c r="H519" s="2" t="s">
        <v>985</v>
      </c>
      <c r="I519" s="2">
        <v>144.80000000000001</v>
      </c>
    </row>
    <row r="520" spans="1:10" x14ac:dyDescent="0.25">
      <c r="A520" s="1" t="s">
        <v>986</v>
      </c>
      <c r="B520" t="s">
        <v>987</v>
      </c>
      <c r="C520" s="1" t="s">
        <v>7</v>
      </c>
      <c r="D520" s="1" t="s">
        <v>7</v>
      </c>
      <c r="E520" t="s">
        <v>8</v>
      </c>
      <c r="F520" s="2" t="s">
        <v>9</v>
      </c>
      <c r="G520" t="s">
        <v>10</v>
      </c>
      <c r="H520" s="2" t="s">
        <v>995</v>
      </c>
      <c r="I520" s="2">
        <v>575</v>
      </c>
    </row>
    <row r="521" spans="1:10" x14ac:dyDescent="0.25">
      <c r="A521" s="1" t="s">
        <v>996</v>
      </c>
      <c r="B521" t="s">
        <v>997</v>
      </c>
      <c r="C521" s="1" t="s">
        <v>970</v>
      </c>
      <c r="D521" s="1" t="s">
        <v>970</v>
      </c>
      <c r="E521" t="s">
        <v>971</v>
      </c>
      <c r="F521" s="2" t="s">
        <v>972</v>
      </c>
      <c r="G521" t="s">
        <v>17</v>
      </c>
      <c r="H521" s="2" t="s">
        <v>973</v>
      </c>
      <c r="I521" s="2">
        <v>373.75</v>
      </c>
    </row>
    <row r="522" spans="1:10" x14ac:dyDescent="0.25">
      <c r="A522" s="1" t="s">
        <v>996</v>
      </c>
      <c r="B522" t="s">
        <v>997</v>
      </c>
      <c r="C522" s="1" t="s">
        <v>974</v>
      </c>
      <c r="D522" s="1" t="s">
        <v>974</v>
      </c>
      <c r="E522" t="s">
        <v>975</v>
      </c>
      <c r="F522" s="2" t="s">
        <v>976</v>
      </c>
      <c r="G522" t="s">
        <v>17</v>
      </c>
      <c r="H522" s="2" t="s">
        <v>998</v>
      </c>
      <c r="I522" s="2">
        <v>479.4</v>
      </c>
    </row>
    <row r="523" spans="1:10" x14ac:dyDescent="0.25">
      <c r="A523" s="1" t="s">
        <v>996</v>
      </c>
      <c r="B523" t="s">
        <v>997</v>
      </c>
      <c r="C523" s="1" t="s">
        <v>977</v>
      </c>
      <c r="D523" s="1" t="s">
        <v>977</v>
      </c>
      <c r="E523" t="s">
        <v>978</v>
      </c>
      <c r="F523" s="2" t="s">
        <v>979</v>
      </c>
      <c r="G523" t="s">
        <v>121</v>
      </c>
      <c r="H523" s="2" t="s">
        <v>92</v>
      </c>
      <c r="I523" s="2">
        <v>1.04</v>
      </c>
    </row>
    <row r="524" spans="1:10" x14ac:dyDescent="0.25">
      <c r="A524" s="1" t="s">
        <v>996</v>
      </c>
      <c r="B524" t="s">
        <v>997</v>
      </c>
      <c r="C524" s="1" t="s">
        <v>980</v>
      </c>
      <c r="D524" s="1" t="s">
        <v>980</v>
      </c>
      <c r="E524" t="s">
        <v>981</v>
      </c>
      <c r="F524" s="2" t="s">
        <v>982</v>
      </c>
      <c r="G524" t="s">
        <v>49</v>
      </c>
      <c r="H524" s="2" t="s">
        <v>50</v>
      </c>
      <c r="I524" s="2">
        <v>18</v>
      </c>
      <c r="J524" t="s">
        <v>55</v>
      </c>
    </row>
    <row r="525" spans="1:10" x14ac:dyDescent="0.25">
      <c r="A525" s="1" t="s">
        <v>996</v>
      </c>
      <c r="B525" t="s">
        <v>997</v>
      </c>
      <c r="C525" s="1" t="s">
        <v>7</v>
      </c>
      <c r="D525" s="1" t="s">
        <v>7</v>
      </c>
      <c r="E525" t="s">
        <v>8</v>
      </c>
      <c r="F525" s="2" t="s">
        <v>9</v>
      </c>
      <c r="G525" t="s">
        <v>10</v>
      </c>
      <c r="H525" s="2" t="s">
        <v>999</v>
      </c>
      <c r="I525" s="2">
        <v>713</v>
      </c>
    </row>
    <row r="526" spans="1:10" x14ac:dyDescent="0.25">
      <c r="A526" s="1" t="s">
        <v>996</v>
      </c>
      <c r="B526" t="s">
        <v>997</v>
      </c>
      <c r="C526" s="1" t="s">
        <v>7</v>
      </c>
      <c r="D526" s="1" t="s">
        <v>7</v>
      </c>
      <c r="E526" t="s">
        <v>8</v>
      </c>
      <c r="F526" s="2" t="s">
        <v>9</v>
      </c>
      <c r="G526" t="s">
        <v>10</v>
      </c>
      <c r="H526" s="2" t="s">
        <v>1000</v>
      </c>
      <c r="I526" s="2">
        <v>144.75</v>
      </c>
    </row>
    <row r="527" spans="1:10" x14ac:dyDescent="0.25">
      <c r="A527" s="1" t="s">
        <v>1001</v>
      </c>
      <c r="B527" t="s">
        <v>1002</v>
      </c>
      <c r="C527" s="1" t="s">
        <v>1003</v>
      </c>
      <c r="D527" s="1" t="s">
        <v>1003</v>
      </c>
      <c r="E527" t="s">
        <v>1004</v>
      </c>
      <c r="F527" s="2" t="s">
        <v>1005</v>
      </c>
      <c r="G527" t="s">
        <v>5</v>
      </c>
      <c r="H527" s="2" t="s">
        <v>1006</v>
      </c>
      <c r="I527" s="2">
        <v>0.05</v>
      </c>
    </row>
    <row r="528" spans="1:10" x14ac:dyDescent="0.25">
      <c r="A528" s="1" t="s">
        <v>1001</v>
      </c>
      <c r="B528" t="s">
        <v>1002</v>
      </c>
      <c r="C528" s="1" t="s">
        <v>1007</v>
      </c>
      <c r="D528" s="1" t="s">
        <v>1007</v>
      </c>
      <c r="E528" t="s">
        <v>1008</v>
      </c>
      <c r="F528" s="2" t="s">
        <v>1009</v>
      </c>
      <c r="G528" t="s">
        <v>121</v>
      </c>
      <c r="H528" s="2" t="s">
        <v>50</v>
      </c>
      <c r="I528" s="2">
        <v>0.25</v>
      </c>
    </row>
    <row r="529" spans="1:9" x14ac:dyDescent="0.25">
      <c r="A529" s="1" t="s">
        <v>1001</v>
      </c>
      <c r="B529" t="s">
        <v>1002</v>
      </c>
      <c r="C529" s="1" t="s">
        <v>1010</v>
      </c>
      <c r="D529" s="1" t="s">
        <v>1010</v>
      </c>
      <c r="E529" t="s">
        <v>1011</v>
      </c>
      <c r="F529" s="2" t="s">
        <v>1012</v>
      </c>
      <c r="G529" t="s">
        <v>5</v>
      </c>
      <c r="H529" s="2" t="s">
        <v>1013</v>
      </c>
      <c r="I529" s="2">
        <v>4.1500000000000004</v>
      </c>
    </row>
    <row r="530" spans="1:9" x14ac:dyDescent="0.25">
      <c r="A530" s="1" t="s">
        <v>1001</v>
      </c>
      <c r="B530" t="s">
        <v>1002</v>
      </c>
      <c r="C530" s="1" t="s">
        <v>7</v>
      </c>
      <c r="D530" s="1" t="s">
        <v>7</v>
      </c>
      <c r="E530" t="s">
        <v>8</v>
      </c>
      <c r="F530" s="2" t="s">
        <v>9</v>
      </c>
      <c r="G530" t="s">
        <v>10</v>
      </c>
      <c r="H530" s="2" t="s">
        <v>1014</v>
      </c>
      <c r="I530" s="2">
        <v>9.35</v>
      </c>
    </row>
    <row r="531" spans="1:9" x14ac:dyDescent="0.25">
      <c r="A531" s="1" t="s">
        <v>309</v>
      </c>
      <c r="B531" t="s">
        <v>310</v>
      </c>
      <c r="C531" s="1" t="s">
        <v>1015</v>
      </c>
      <c r="D531" s="1" t="s">
        <v>1015</v>
      </c>
      <c r="E531" t="s">
        <v>1016</v>
      </c>
      <c r="F531" s="2" t="s">
        <v>1017</v>
      </c>
      <c r="G531" t="s">
        <v>5</v>
      </c>
      <c r="H531" s="2" t="s">
        <v>1018</v>
      </c>
      <c r="I531" s="2">
        <v>3.3</v>
      </c>
    </row>
    <row r="532" spans="1:9" x14ac:dyDescent="0.25">
      <c r="A532" s="1" t="s">
        <v>309</v>
      </c>
      <c r="B532" t="s">
        <v>310</v>
      </c>
      <c r="C532" s="1" t="s">
        <v>7</v>
      </c>
      <c r="D532" s="1" t="s">
        <v>7</v>
      </c>
      <c r="E532" t="s">
        <v>8</v>
      </c>
      <c r="F532" s="2" t="s">
        <v>9</v>
      </c>
      <c r="G532" t="s">
        <v>10</v>
      </c>
      <c r="H532" s="2" t="s">
        <v>1019</v>
      </c>
      <c r="I532" s="2">
        <v>9.6999999999999993</v>
      </c>
    </row>
    <row r="533" spans="1:9" x14ac:dyDescent="0.25">
      <c r="A533" s="1" t="s">
        <v>1020</v>
      </c>
      <c r="B533" t="s">
        <v>1021</v>
      </c>
      <c r="C533" s="1" t="s">
        <v>1022</v>
      </c>
      <c r="D533" s="1" t="s">
        <v>1022</v>
      </c>
      <c r="E533" t="s">
        <v>1023</v>
      </c>
      <c r="F533" s="2" t="s">
        <v>1024</v>
      </c>
      <c r="G533" t="s">
        <v>932</v>
      </c>
      <c r="H533" s="2" t="s">
        <v>1025</v>
      </c>
      <c r="I533" s="2">
        <v>22</v>
      </c>
    </row>
    <row r="534" spans="1:9" x14ac:dyDescent="0.25">
      <c r="A534" s="1" t="s">
        <v>1020</v>
      </c>
      <c r="B534" t="s">
        <v>1021</v>
      </c>
      <c r="C534" s="1" t="s">
        <v>7</v>
      </c>
      <c r="D534" s="1" t="s">
        <v>7</v>
      </c>
      <c r="E534" t="s">
        <v>8</v>
      </c>
      <c r="F534" s="2" t="s">
        <v>9</v>
      </c>
      <c r="G534" t="s">
        <v>10</v>
      </c>
      <c r="H534" s="2" t="s">
        <v>1026</v>
      </c>
      <c r="I534" s="2">
        <v>29.9</v>
      </c>
    </row>
    <row r="535" spans="1:9" x14ac:dyDescent="0.25">
      <c r="A535" s="1" t="s">
        <v>1020</v>
      </c>
      <c r="B535" t="s">
        <v>1021</v>
      </c>
      <c r="C535" s="1" t="s">
        <v>7</v>
      </c>
      <c r="D535" s="1" t="s">
        <v>7</v>
      </c>
      <c r="E535" t="s">
        <v>8</v>
      </c>
      <c r="F535" s="2" t="s">
        <v>9</v>
      </c>
      <c r="G535" t="s">
        <v>10</v>
      </c>
      <c r="H535" s="2" t="s">
        <v>1027</v>
      </c>
      <c r="I535" s="2">
        <v>52.9</v>
      </c>
    </row>
    <row r="536" spans="1:9" x14ac:dyDescent="0.25">
      <c r="A536" s="1" t="s">
        <v>1028</v>
      </c>
      <c r="B536" t="s">
        <v>1029</v>
      </c>
      <c r="C536" s="1" t="s">
        <v>1022</v>
      </c>
      <c r="D536" s="1" t="s">
        <v>1022</v>
      </c>
      <c r="E536" t="s">
        <v>1023</v>
      </c>
      <c r="F536" s="2" t="s">
        <v>1024</v>
      </c>
      <c r="G536" t="s">
        <v>932</v>
      </c>
      <c r="H536" s="2" t="s">
        <v>1030</v>
      </c>
      <c r="I536" s="2">
        <v>10.6</v>
      </c>
    </row>
    <row r="537" spans="1:9" x14ac:dyDescent="0.25">
      <c r="A537" s="1" t="s">
        <v>1028</v>
      </c>
      <c r="B537" t="s">
        <v>1029</v>
      </c>
      <c r="C537" s="1" t="s">
        <v>7</v>
      </c>
      <c r="D537" s="1" t="s">
        <v>7</v>
      </c>
      <c r="E537" t="s">
        <v>1031</v>
      </c>
      <c r="F537" s="2" t="s">
        <v>9</v>
      </c>
      <c r="G537" t="s">
        <v>10</v>
      </c>
      <c r="H537" s="2" t="s">
        <v>1032</v>
      </c>
      <c r="I537" s="2">
        <v>74.849999999999994</v>
      </c>
    </row>
    <row r="538" spans="1:9" x14ac:dyDescent="0.25">
      <c r="A538" s="1" t="s">
        <v>1033</v>
      </c>
      <c r="B538" t="s">
        <v>1034</v>
      </c>
      <c r="C538" s="1" t="s">
        <v>1035</v>
      </c>
      <c r="D538" s="1" t="s">
        <v>1035</v>
      </c>
      <c r="E538" t="s">
        <v>1036</v>
      </c>
      <c r="F538" s="2" t="s">
        <v>1037</v>
      </c>
      <c r="G538" t="s">
        <v>121</v>
      </c>
      <c r="H538" s="2" t="s">
        <v>50</v>
      </c>
      <c r="I538" s="2">
        <v>11.08</v>
      </c>
    </row>
    <row r="539" spans="1:9" x14ac:dyDescent="0.25">
      <c r="A539" s="1" t="s">
        <v>1033</v>
      </c>
      <c r="B539" t="s">
        <v>1034</v>
      </c>
      <c r="C539" s="1" t="s">
        <v>41</v>
      </c>
      <c r="D539" s="1" t="s">
        <v>41</v>
      </c>
      <c r="E539" t="s">
        <v>42</v>
      </c>
      <c r="F539" s="2" t="s">
        <v>43</v>
      </c>
      <c r="G539" t="s">
        <v>5</v>
      </c>
      <c r="H539" s="2" t="s">
        <v>1038</v>
      </c>
      <c r="I539" s="2">
        <v>0.02</v>
      </c>
    </row>
    <row r="540" spans="1:9" x14ac:dyDescent="0.25">
      <c r="A540" s="1" t="s">
        <v>1033</v>
      </c>
      <c r="B540" t="s">
        <v>1034</v>
      </c>
      <c r="C540" s="1" t="s">
        <v>7</v>
      </c>
      <c r="D540" s="1" t="s">
        <v>7</v>
      </c>
      <c r="E540" t="s">
        <v>8</v>
      </c>
      <c r="F540" s="2" t="s">
        <v>9</v>
      </c>
      <c r="G540" t="s">
        <v>10</v>
      </c>
      <c r="H540" s="2" t="s">
        <v>19</v>
      </c>
      <c r="I540" s="2">
        <v>4.5999999999999996</v>
      </c>
    </row>
    <row r="541" spans="1:9" x14ac:dyDescent="0.25">
      <c r="A541" s="1" t="s">
        <v>1039</v>
      </c>
      <c r="B541" t="s">
        <v>1040</v>
      </c>
      <c r="C541" s="1" t="s">
        <v>1041</v>
      </c>
      <c r="D541" s="1" t="s">
        <v>1041</v>
      </c>
      <c r="E541" t="s">
        <v>1042</v>
      </c>
      <c r="F541" s="2" t="s">
        <v>1043</v>
      </c>
      <c r="G541" t="s">
        <v>17</v>
      </c>
      <c r="H541" s="2" t="s">
        <v>33</v>
      </c>
      <c r="I541" s="2">
        <v>5.9</v>
      </c>
    </row>
    <row r="542" spans="1:9" x14ac:dyDescent="0.25">
      <c r="A542" s="1" t="s">
        <v>1039</v>
      </c>
      <c r="B542" t="s">
        <v>1040</v>
      </c>
      <c r="C542" s="1" t="s">
        <v>7</v>
      </c>
      <c r="D542" s="1" t="s">
        <v>7</v>
      </c>
      <c r="E542" t="s">
        <v>8</v>
      </c>
      <c r="F542" s="2" t="s">
        <v>9</v>
      </c>
      <c r="G542" t="s">
        <v>10</v>
      </c>
      <c r="H542" s="2" t="s">
        <v>1044</v>
      </c>
      <c r="I542" s="2">
        <v>4.8</v>
      </c>
    </row>
    <row r="543" spans="1:9" x14ac:dyDescent="0.25">
      <c r="A543" s="1" t="s">
        <v>1045</v>
      </c>
      <c r="B543" t="s">
        <v>1046</v>
      </c>
      <c r="C543" s="1" t="s">
        <v>1047</v>
      </c>
      <c r="D543" s="1" t="s">
        <v>1047</v>
      </c>
      <c r="E543" t="s">
        <v>1048</v>
      </c>
      <c r="F543" s="2" t="s">
        <v>1049</v>
      </c>
      <c r="G543" t="s">
        <v>17</v>
      </c>
      <c r="H543" s="2" t="s">
        <v>1050</v>
      </c>
      <c r="I543" s="2">
        <v>12.3</v>
      </c>
    </row>
    <row r="544" spans="1:9" x14ac:dyDescent="0.25">
      <c r="A544" s="1" t="s">
        <v>1045</v>
      </c>
      <c r="B544" t="s">
        <v>1046</v>
      </c>
      <c r="C544" s="1" t="s">
        <v>7</v>
      </c>
      <c r="D544" s="1" t="s">
        <v>7</v>
      </c>
      <c r="E544" t="s">
        <v>8</v>
      </c>
      <c r="F544" s="2" t="s">
        <v>9</v>
      </c>
      <c r="G544" t="s">
        <v>10</v>
      </c>
      <c r="H544" s="2" t="s">
        <v>1044</v>
      </c>
      <c r="I544" s="2">
        <v>4.8</v>
      </c>
    </row>
    <row r="545" spans="1:10" x14ac:dyDescent="0.25">
      <c r="A545" s="1" t="s">
        <v>1051</v>
      </c>
      <c r="B545" t="s">
        <v>1052</v>
      </c>
      <c r="C545" s="1" t="s">
        <v>1053</v>
      </c>
      <c r="D545" s="1" t="s">
        <v>1053</v>
      </c>
      <c r="E545" t="s">
        <v>1054</v>
      </c>
      <c r="F545" s="2" t="s">
        <v>1055</v>
      </c>
      <c r="G545" t="s">
        <v>49</v>
      </c>
      <c r="H545" s="2" t="s">
        <v>50</v>
      </c>
      <c r="I545" s="2">
        <v>120.25</v>
      </c>
    </row>
    <row r="546" spans="1:10" x14ac:dyDescent="0.25">
      <c r="A546" s="1" t="s">
        <v>1051</v>
      </c>
      <c r="B546" t="s">
        <v>1052</v>
      </c>
      <c r="C546" s="1" t="s">
        <v>7</v>
      </c>
      <c r="D546" s="1" t="s">
        <v>7</v>
      </c>
      <c r="E546" t="s">
        <v>8</v>
      </c>
      <c r="F546" s="2" t="s">
        <v>9</v>
      </c>
      <c r="G546" t="s">
        <v>10</v>
      </c>
      <c r="H546" s="2" t="s">
        <v>19</v>
      </c>
      <c r="I546" s="2">
        <v>4.5999999999999996</v>
      </c>
    </row>
    <row r="547" spans="1:10" x14ac:dyDescent="0.25">
      <c r="A547" s="1" t="s">
        <v>1056</v>
      </c>
      <c r="B547" t="s">
        <v>1057</v>
      </c>
      <c r="C547" s="1" t="s">
        <v>1058</v>
      </c>
      <c r="D547" s="1" t="s">
        <v>1058</v>
      </c>
      <c r="E547" t="s">
        <v>1059</v>
      </c>
      <c r="F547" s="2" t="s">
        <v>216</v>
      </c>
      <c r="G547" t="s">
        <v>5</v>
      </c>
      <c r="H547" s="2" t="s">
        <v>594</v>
      </c>
      <c r="I547" s="2">
        <v>1.75</v>
      </c>
    </row>
    <row r="548" spans="1:10" x14ac:dyDescent="0.25">
      <c r="A548" s="1" t="s">
        <v>1056</v>
      </c>
      <c r="B548" t="s">
        <v>1057</v>
      </c>
      <c r="C548" s="1" t="s">
        <v>1060</v>
      </c>
      <c r="D548" s="1" t="s">
        <v>1060</v>
      </c>
      <c r="E548" t="s">
        <v>433</v>
      </c>
      <c r="F548" s="2" t="s">
        <v>1061</v>
      </c>
      <c r="G548" t="s">
        <v>121</v>
      </c>
      <c r="H548" s="2" t="s">
        <v>50</v>
      </c>
      <c r="I548" s="2">
        <v>1.7</v>
      </c>
    </row>
    <row r="549" spans="1:10" x14ac:dyDescent="0.25">
      <c r="A549" s="1" t="s">
        <v>1056</v>
      </c>
      <c r="B549" t="s">
        <v>1057</v>
      </c>
      <c r="C549" s="1" t="s">
        <v>7</v>
      </c>
      <c r="D549" s="1" t="s">
        <v>7</v>
      </c>
      <c r="E549" t="s">
        <v>8</v>
      </c>
      <c r="F549" s="2" t="s">
        <v>9</v>
      </c>
      <c r="G549" t="s">
        <v>10</v>
      </c>
      <c r="H549" s="2" t="s">
        <v>33</v>
      </c>
      <c r="I549" s="2">
        <v>9.1999999999999993</v>
      </c>
    </row>
    <row r="550" spans="1:10" x14ac:dyDescent="0.25">
      <c r="A550" s="1" t="s">
        <v>1062</v>
      </c>
      <c r="B550" t="s">
        <v>1063</v>
      </c>
      <c r="C550" s="1" t="s">
        <v>22</v>
      </c>
      <c r="D550" s="1" t="s">
        <v>22</v>
      </c>
      <c r="E550" t="s">
        <v>23</v>
      </c>
      <c r="F550" s="2" t="s">
        <v>24</v>
      </c>
      <c r="G550" t="s">
        <v>17</v>
      </c>
      <c r="H550" s="2" t="s">
        <v>1064</v>
      </c>
      <c r="I550" s="2">
        <v>12.2</v>
      </c>
    </row>
    <row r="551" spans="1:10" x14ac:dyDescent="0.25">
      <c r="A551" s="1" t="s">
        <v>1062</v>
      </c>
      <c r="B551" t="s">
        <v>1063</v>
      </c>
      <c r="C551" s="1" t="s">
        <v>7</v>
      </c>
      <c r="D551" s="1" t="s">
        <v>7</v>
      </c>
      <c r="E551" t="s">
        <v>8</v>
      </c>
      <c r="F551" s="2" t="s">
        <v>9</v>
      </c>
      <c r="G551" t="s">
        <v>10</v>
      </c>
      <c r="H551" s="2" t="s">
        <v>1065</v>
      </c>
      <c r="I551" s="2">
        <v>5</v>
      </c>
    </row>
    <row r="552" spans="1:10" x14ac:dyDescent="0.25">
      <c r="A552" s="1" t="s">
        <v>1066</v>
      </c>
      <c r="B552" t="s">
        <v>1067</v>
      </c>
      <c r="C552" s="1" t="s">
        <v>1068</v>
      </c>
      <c r="D552" s="1" t="s">
        <v>1068</v>
      </c>
      <c r="E552" t="s">
        <v>1069</v>
      </c>
      <c r="F552" s="2" t="s">
        <v>884</v>
      </c>
      <c r="G552" t="s">
        <v>5</v>
      </c>
      <c r="H552" s="2" t="s">
        <v>1070</v>
      </c>
      <c r="I552" s="2">
        <v>0.25</v>
      </c>
    </row>
    <row r="553" spans="1:10" x14ac:dyDescent="0.25">
      <c r="A553" s="1" t="s">
        <v>1066</v>
      </c>
      <c r="B553" t="s">
        <v>1067</v>
      </c>
      <c r="C553" s="1" t="s">
        <v>7</v>
      </c>
      <c r="D553" s="1" t="s">
        <v>7</v>
      </c>
      <c r="E553" t="s">
        <v>8</v>
      </c>
      <c r="F553" s="2" t="s">
        <v>9</v>
      </c>
      <c r="G553" t="s">
        <v>10</v>
      </c>
      <c r="H553" s="2" t="s">
        <v>1071</v>
      </c>
      <c r="I553" s="2">
        <v>3.95</v>
      </c>
    </row>
    <row r="554" spans="1:10" x14ac:dyDescent="0.25">
      <c r="A554" s="1" t="s">
        <v>1072</v>
      </c>
      <c r="B554" t="s">
        <v>1073</v>
      </c>
      <c r="C554" s="1" t="s">
        <v>1074</v>
      </c>
      <c r="D554" s="1" t="s">
        <v>1074</v>
      </c>
      <c r="E554" t="s">
        <v>1075</v>
      </c>
      <c r="F554" s="2" t="s">
        <v>1076</v>
      </c>
      <c r="G554" t="s">
        <v>5</v>
      </c>
      <c r="H554" s="2" t="s">
        <v>1077</v>
      </c>
      <c r="I554" s="2">
        <v>0.13</v>
      </c>
    </row>
    <row r="555" spans="1:10" x14ac:dyDescent="0.25">
      <c r="A555" s="1" t="s">
        <v>1072</v>
      </c>
      <c r="B555" t="s">
        <v>1073</v>
      </c>
      <c r="C555" s="1" t="s">
        <v>1078</v>
      </c>
      <c r="D555" s="1" t="s">
        <v>1078</v>
      </c>
      <c r="E555" t="s">
        <v>1079</v>
      </c>
      <c r="F555" s="2" t="s">
        <v>1080</v>
      </c>
      <c r="G555" t="s">
        <v>5</v>
      </c>
      <c r="H555" s="2" t="s">
        <v>1081</v>
      </c>
      <c r="I555" s="2">
        <v>0.51</v>
      </c>
    </row>
    <row r="556" spans="1:10" x14ac:dyDescent="0.25">
      <c r="A556" s="1" t="s">
        <v>1072</v>
      </c>
      <c r="B556" t="s">
        <v>1073</v>
      </c>
      <c r="C556" s="1" t="s">
        <v>1082</v>
      </c>
      <c r="D556" s="1" t="s">
        <v>1082</v>
      </c>
      <c r="E556" t="s">
        <v>1083</v>
      </c>
      <c r="F556" s="2" t="s">
        <v>1084</v>
      </c>
      <c r="G556" t="s">
        <v>121</v>
      </c>
      <c r="H556" s="2" t="s">
        <v>50</v>
      </c>
      <c r="I556" s="2">
        <v>0.84</v>
      </c>
    </row>
    <row r="557" spans="1:10" x14ac:dyDescent="0.25">
      <c r="A557" s="1" t="s">
        <v>1072</v>
      </c>
      <c r="B557" t="s">
        <v>1073</v>
      </c>
      <c r="C557" s="1" t="s">
        <v>1085</v>
      </c>
      <c r="D557" s="1" t="s">
        <v>1085</v>
      </c>
      <c r="E557" t="s">
        <v>1086</v>
      </c>
      <c r="F557" s="2" t="s">
        <v>1087</v>
      </c>
      <c r="G557" t="s">
        <v>121</v>
      </c>
      <c r="H557" s="2" t="s">
        <v>50</v>
      </c>
      <c r="I557" s="2">
        <v>0.17</v>
      </c>
    </row>
    <row r="558" spans="1:10" x14ac:dyDescent="0.25">
      <c r="A558" s="1" t="s">
        <v>1072</v>
      </c>
      <c r="B558" t="s">
        <v>1073</v>
      </c>
      <c r="C558" s="1" t="s">
        <v>1088</v>
      </c>
      <c r="D558" s="1" t="s">
        <v>1088</v>
      </c>
      <c r="E558" t="s">
        <v>1089</v>
      </c>
      <c r="F558" s="2" t="s">
        <v>1090</v>
      </c>
      <c r="G558" t="s">
        <v>121</v>
      </c>
      <c r="H558" s="2" t="s">
        <v>92</v>
      </c>
      <c r="I558" s="2">
        <v>0.2</v>
      </c>
    </row>
    <row r="559" spans="1:10" x14ac:dyDescent="0.25">
      <c r="A559" s="1" t="s">
        <v>1072</v>
      </c>
      <c r="B559" t="s">
        <v>1073</v>
      </c>
      <c r="C559" s="1" t="s">
        <v>1091</v>
      </c>
      <c r="D559" s="1" t="s">
        <v>1091</v>
      </c>
      <c r="E559" t="s">
        <v>1092</v>
      </c>
      <c r="F559" s="2" t="s">
        <v>1093</v>
      </c>
      <c r="G559" t="s">
        <v>121</v>
      </c>
      <c r="H559" s="2" t="s">
        <v>50</v>
      </c>
      <c r="I559" s="2">
        <v>20.45</v>
      </c>
      <c r="J559" t="s">
        <v>55</v>
      </c>
    </row>
    <row r="560" spans="1:10" x14ac:dyDescent="0.25">
      <c r="A560" s="1" t="s">
        <v>1072</v>
      </c>
      <c r="B560" t="s">
        <v>1073</v>
      </c>
      <c r="C560" s="1" t="s">
        <v>7</v>
      </c>
      <c r="D560" s="1" t="s">
        <v>7</v>
      </c>
      <c r="E560" t="s">
        <v>8</v>
      </c>
      <c r="F560" s="2" t="s">
        <v>9</v>
      </c>
      <c r="G560" t="s">
        <v>10</v>
      </c>
      <c r="H560" s="2" t="s">
        <v>601</v>
      </c>
      <c r="I560" s="2">
        <v>6.9</v>
      </c>
    </row>
    <row r="561" spans="1:9" x14ac:dyDescent="0.25">
      <c r="A561" s="1" t="s">
        <v>455</v>
      </c>
      <c r="B561" t="s">
        <v>456</v>
      </c>
      <c r="C561" s="1" t="s">
        <v>1094</v>
      </c>
      <c r="D561" s="1" t="s">
        <v>1094</v>
      </c>
      <c r="E561" t="s">
        <v>1095</v>
      </c>
      <c r="F561" s="2" t="s">
        <v>887</v>
      </c>
      <c r="G561" t="s">
        <v>5</v>
      </c>
      <c r="H561" s="2" t="s">
        <v>367</v>
      </c>
      <c r="I561" s="2">
        <v>1.4</v>
      </c>
    </row>
    <row r="562" spans="1:9" x14ac:dyDescent="0.25">
      <c r="A562" s="1" t="s">
        <v>455</v>
      </c>
      <c r="B562" t="s">
        <v>456</v>
      </c>
      <c r="C562" s="1" t="s">
        <v>7</v>
      </c>
      <c r="D562" s="1" t="s">
        <v>7</v>
      </c>
      <c r="E562" t="s">
        <v>8</v>
      </c>
      <c r="F562" s="2" t="s">
        <v>9</v>
      </c>
      <c r="G562" t="s">
        <v>10</v>
      </c>
      <c r="H562" s="2" t="s">
        <v>1096</v>
      </c>
      <c r="I562" s="2">
        <v>4.7</v>
      </c>
    </row>
    <row r="563" spans="1:9" x14ac:dyDescent="0.25">
      <c r="A563" s="1" t="s">
        <v>1097</v>
      </c>
      <c r="B563" t="s">
        <v>1098</v>
      </c>
      <c r="C563" s="1" t="s">
        <v>1099</v>
      </c>
      <c r="D563" s="1" t="s">
        <v>1099</v>
      </c>
      <c r="E563" t="s">
        <v>1100</v>
      </c>
      <c r="F563" s="2" t="s">
        <v>1101</v>
      </c>
      <c r="G563" t="s">
        <v>49</v>
      </c>
      <c r="H563" s="2" t="s">
        <v>1102</v>
      </c>
      <c r="I563" s="2">
        <v>2.65</v>
      </c>
    </row>
    <row r="564" spans="1:9" x14ac:dyDescent="0.25">
      <c r="A564" s="1" t="s">
        <v>1097</v>
      </c>
      <c r="B564" t="s">
        <v>1098</v>
      </c>
      <c r="C564" s="1" t="s">
        <v>432</v>
      </c>
      <c r="D564" s="1" t="s">
        <v>432</v>
      </c>
      <c r="E564" t="s">
        <v>433</v>
      </c>
      <c r="F564" s="2" t="s">
        <v>434</v>
      </c>
      <c r="G564" t="s">
        <v>435</v>
      </c>
      <c r="H564" s="2" t="s">
        <v>50</v>
      </c>
      <c r="I564" s="2">
        <v>1.1000000000000001</v>
      </c>
    </row>
    <row r="565" spans="1:9" x14ac:dyDescent="0.25">
      <c r="A565" s="1" t="s">
        <v>1097</v>
      </c>
      <c r="B565" t="s">
        <v>1098</v>
      </c>
      <c r="C565" s="1" t="s">
        <v>7</v>
      </c>
      <c r="D565" s="1" t="s">
        <v>7</v>
      </c>
      <c r="E565" t="s">
        <v>8</v>
      </c>
      <c r="F565" s="2" t="s">
        <v>9</v>
      </c>
      <c r="G565" t="s">
        <v>10</v>
      </c>
      <c r="H565" s="2" t="s">
        <v>594</v>
      </c>
      <c r="I565" s="2">
        <v>11.5</v>
      </c>
    </row>
    <row r="566" spans="1:9" x14ac:dyDescent="0.25">
      <c r="A566" s="1" t="s">
        <v>1103</v>
      </c>
      <c r="B566" t="s">
        <v>1104</v>
      </c>
      <c r="C566" s="1" t="s">
        <v>1105</v>
      </c>
      <c r="D566" s="1" t="s">
        <v>1105</v>
      </c>
      <c r="E566" t="s">
        <v>1106</v>
      </c>
      <c r="F566" s="2" t="s">
        <v>1107</v>
      </c>
      <c r="G566" t="s">
        <v>49</v>
      </c>
      <c r="H566" s="2" t="s">
        <v>50</v>
      </c>
      <c r="I566" s="2">
        <v>65.040000000000006</v>
      </c>
    </row>
    <row r="567" spans="1:9" x14ac:dyDescent="0.25">
      <c r="A567" s="1" t="s">
        <v>1103</v>
      </c>
      <c r="B567" t="s">
        <v>1104</v>
      </c>
      <c r="C567" s="1" t="s">
        <v>41</v>
      </c>
      <c r="D567" s="1" t="s">
        <v>41</v>
      </c>
      <c r="E567" t="s">
        <v>42</v>
      </c>
      <c r="F567" s="2" t="s">
        <v>43</v>
      </c>
      <c r="G567" t="s">
        <v>5</v>
      </c>
      <c r="H567" s="2" t="s">
        <v>227</v>
      </c>
      <c r="I567" s="2">
        <v>0.01</v>
      </c>
    </row>
    <row r="568" spans="1:9" x14ac:dyDescent="0.25">
      <c r="A568" s="1" t="s">
        <v>1103</v>
      </c>
      <c r="B568" t="s">
        <v>1104</v>
      </c>
      <c r="C568" s="1" t="s">
        <v>7</v>
      </c>
      <c r="D568" s="1" t="s">
        <v>7</v>
      </c>
      <c r="E568" t="s">
        <v>8</v>
      </c>
      <c r="F568" s="2" t="s">
        <v>9</v>
      </c>
      <c r="G568" t="s">
        <v>10</v>
      </c>
      <c r="H568" s="2" t="s">
        <v>245</v>
      </c>
      <c r="I568" s="2">
        <v>4</v>
      </c>
    </row>
    <row r="569" spans="1:9" x14ac:dyDescent="0.25">
      <c r="A569" s="1" t="s">
        <v>106</v>
      </c>
      <c r="B569" t="s">
        <v>107</v>
      </c>
      <c r="C569" s="1" t="s">
        <v>1108</v>
      </c>
      <c r="D569" s="1" t="s">
        <v>1108</v>
      </c>
      <c r="E569" t="s">
        <v>1109</v>
      </c>
      <c r="F569" s="2" t="s">
        <v>1110</v>
      </c>
      <c r="G569" t="s">
        <v>39</v>
      </c>
      <c r="H569" s="2" t="s">
        <v>40</v>
      </c>
      <c r="I569" s="2">
        <v>0.49</v>
      </c>
    </row>
    <row r="570" spans="1:9" x14ac:dyDescent="0.25">
      <c r="A570" s="1" t="s">
        <v>106</v>
      </c>
      <c r="B570" t="s">
        <v>107</v>
      </c>
      <c r="C570" s="1" t="s">
        <v>1111</v>
      </c>
      <c r="D570" s="1" t="s">
        <v>1111</v>
      </c>
      <c r="E570" t="s">
        <v>1112</v>
      </c>
      <c r="F570" s="2" t="s">
        <v>1113</v>
      </c>
      <c r="G570" t="s">
        <v>39</v>
      </c>
      <c r="H570" s="2" t="s">
        <v>447</v>
      </c>
      <c r="I570" s="2">
        <v>0.54</v>
      </c>
    </row>
    <row r="571" spans="1:9" x14ac:dyDescent="0.25">
      <c r="A571" s="1" t="s">
        <v>106</v>
      </c>
      <c r="B571" t="s">
        <v>107</v>
      </c>
      <c r="C571" s="1" t="s">
        <v>41</v>
      </c>
      <c r="D571" s="1" t="s">
        <v>41</v>
      </c>
      <c r="E571" t="s">
        <v>42</v>
      </c>
      <c r="F571" s="2" t="s">
        <v>513</v>
      </c>
      <c r="G571" t="s">
        <v>5</v>
      </c>
      <c r="H571" s="2" t="s">
        <v>1038</v>
      </c>
      <c r="I571" s="2">
        <v>0.02</v>
      </c>
    </row>
    <row r="572" spans="1:9" x14ac:dyDescent="0.25">
      <c r="A572" s="1" t="s">
        <v>106</v>
      </c>
      <c r="B572" t="s">
        <v>107</v>
      </c>
      <c r="C572" s="1" t="s">
        <v>7</v>
      </c>
      <c r="D572" s="1" t="s">
        <v>7</v>
      </c>
      <c r="E572" t="s">
        <v>8</v>
      </c>
      <c r="F572" s="2" t="s">
        <v>9</v>
      </c>
      <c r="G572" t="s">
        <v>10</v>
      </c>
      <c r="H572" s="2" t="s">
        <v>1114</v>
      </c>
      <c r="I572" s="2">
        <v>3.15</v>
      </c>
    </row>
    <row r="573" spans="1:9" x14ac:dyDescent="0.25">
      <c r="A573" s="1" t="s">
        <v>1115</v>
      </c>
      <c r="B573" t="s">
        <v>1116</v>
      </c>
      <c r="C573" s="1" t="s">
        <v>1117</v>
      </c>
      <c r="D573" s="1" t="s">
        <v>1117</v>
      </c>
      <c r="E573" t="s">
        <v>1118</v>
      </c>
      <c r="F573" s="2" t="s">
        <v>876</v>
      </c>
      <c r="G573" t="s">
        <v>5</v>
      </c>
      <c r="H573" s="2" t="s">
        <v>1119</v>
      </c>
      <c r="I573" s="2">
        <v>0.54</v>
      </c>
    </row>
    <row r="574" spans="1:9" x14ac:dyDescent="0.25">
      <c r="A574" s="1" t="s">
        <v>1115</v>
      </c>
      <c r="B574" t="s">
        <v>1116</v>
      </c>
      <c r="C574" s="1" t="s">
        <v>432</v>
      </c>
      <c r="D574" s="1" t="s">
        <v>432</v>
      </c>
      <c r="E574" t="s">
        <v>433</v>
      </c>
      <c r="F574" s="2" t="s">
        <v>434</v>
      </c>
      <c r="G574" t="s">
        <v>435</v>
      </c>
      <c r="H574" s="2" t="s">
        <v>50</v>
      </c>
      <c r="I574" s="2">
        <v>1.1000000000000001</v>
      </c>
    </row>
    <row r="575" spans="1:9" x14ac:dyDescent="0.25">
      <c r="A575" s="1" t="s">
        <v>1115</v>
      </c>
      <c r="B575" t="s">
        <v>1116</v>
      </c>
      <c r="C575" s="1" t="s">
        <v>7</v>
      </c>
      <c r="D575" s="1" t="s">
        <v>7</v>
      </c>
      <c r="E575" t="s">
        <v>8</v>
      </c>
      <c r="F575" s="2" t="s">
        <v>9</v>
      </c>
      <c r="G575" t="s">
        <v>10</v>
      </c>
      <c r="H575" s="2" t="s">
        <v>1120</v>
      </c>
      <c r="I575" s="2">
        <v>2.37</v>
      </c>
    </row>
    <row r="576" spans="1:9" x14ac:dyDescent="0.25">
      <c r="A576" s="1" t="s">
        <v>1121</v>
      </c>
      <c r="B576" t="s">
        <v>1122</v>
      </c>
      <c r="C576" s="1" t="s">
        <v>1123</v>
      </c>
      <c r="D576" s="1" t="s">
        <v>1123</v>
      </c>
      <c r="E576" t="s">
        <v>1124</v>
      </c>
      <c r="F576" s="2" t="s">
        <v>70</v>
      </c>
      <c r="G576" t="s">
        <v>5</v>
      </c>
      <c r="H576" s="2" t="s">
        <v>1125</v>
      </c>
      <c r="I576" s="2">
        <v>0.9</v>
      </c>
    </row>
    <row r="577" spans="1:9" x14ac:dyDescent="0.25">
      <c r="A577" s="1" t="s">
        <v>1121</v>
      </c>
      <c r="B577" t="s">
        <v>1122</v>
      </c>
      <c r="C577" s="1" t="s">
        <v>7</v>
      </c>
      <c r="D577" s="1" t="s">
        <v>7</v>
      </c>
      <c r="E577" t="s">
        <v>8</v>
      </c>
      <c r="F577" s="2" t="s">
        <v>9</v>
      </c>
      <c r="G577" t="s">
        <v>10</v>
      </c>
      <c r="H577" s="2" t="s">
        <v>594</v>
      </c>
      <c r="I577" s="2">
        <v>11.5</v>
      </c>
    </row>
    <row r="578" spans="1:9" x14ac:dyDescent="0.25">
      <c r="A578" s="1" t="s">
        <v>1126</v>
      </c>
      <c r="B578" t="s">
        <v>1127</v>
      </c>
      <c r="C578" s="1" t="s">
        <v>1128</v>
      </c>
      <c r="D578" s="1" t="s">
        <v>1128</v>
      </c>
      <c r="E578" t="s">
        <v>1129</v>
      </c>
      <c r="F578" s="2" t="s">
        <v>31</v>
      </c>
      <c r="G578" t="s">
        <v>5</v>
      </c>
      <c r="H578" s="2" t="s">
        <v>1130</v>
      </c>
      <c r="I578" s="2">
        <v>7.95</v>
      </c>
    </row>
    <row r="579" spans="1:9" x14ac:dyDescent="0.25">
      <c r="A579" s="1" t="s">
        <v>1126</v>
      </c>
      <c r="B579" t="s">
        <v>1127</v>
      </c>
      <c r="C579" s="1" t="s">
        <v>7</v>
      </c>
      <c r="D579" s="1" t="s">
        <v>7</v>
      </c>
      <c r="E579" t="s">
        <v>8</v>
      </c>
      <c r="F579" s="2" t="s">
        <v>9</v>
      </c>
      <c r="G579" t="s">
        <v>10</v>
      </c>
      <c r="H579" s="2" t="s">
        <v>1131</v>
      </c>
      <c r="I579" s="2">
        <v>19.95</v>
      </c>
    </row>
    <row r="580" spans="1:9" x14ac:dyDescent="0.25">
      <c r="A580" s="1" t="s">
        <v>1132</v>
      </c>
      <c r="B580" t="s">
        <v>1133</v>
      </c>
      <c r="C580" s="1" t="s">
        <v>1022</v>
      </c>
      <c r="D580" s="1" t="s">
        <v>1022</v>
      </c>
      <c r="E580" t="s">
        <v>1023</v>
      </c>
      <c r="F580" s="2" t="s">
        <v>1024</v>
      </c>
      <c r="G580" t="s">
        <v>932</v>
      </c>
      <c r="H580" s="2" t="s">
        <v>1134</v>
      </c>
      <c r="I580" s="2">
        <v>1.4</v>
      </c>
    </row>
    <row r="581" spans="1:9" x14ac:dyDescent="0.25">
      <c r="A581" s="1" t="s">
        <v>1132</v>
      </c>
      <c r="B581" t="s">
        <v>1133</v>
      </c>
      <c r="C581" s="1" t="s">
        <v>7</v>
      </c>
      <c r="D581" s="1" t="s">
        <v>7</v>
      </c>
      <c r="E581" t="s">
        <v>8</v>
      </c>
      <c r="F581" s="2" t="s">
        <v>9</v>
      </c>
      <c r="G581" t="s">
        <v>10</v>
      </c>
      <c r="H581" s="2" t="s">
        <v>860</v>
      </c>
      <c r="I581" s="2">
        <v>23</v>
      </c>
    </row>
    <row r="582" spans="1:9" x14ac:dyDescent="0.25">
      <c r="A582" s="1" t="s">
        <v>1135</v>
      </c>
      <c r="B582" t="s">
        <v>1136</v>
      </c>
      <c r="C582" s="1" t="s">
        <v>1022</v>
      </c>
      <c r="D582" s="1" t="s">
        <v>1022</v>
      </c>
      <c r="E582" t="s">
        <v>1023</v>
      </c>
      <c r="F582" s="2" t="s">
        <v>1024</v>
      </c>
      <c r="G582" t="s">
        <v>932</v>
      </c>
      <c r="H582" s="2" t="s">
        <v>1137</v>
      </c>
      <c r="I582" s="2">
        <v>11.6</v>
      </c>
    </row>
    <row r="583" spans="1:9" x14ac:dyDescent="0.25">
      <c r="A583" s="1" t="s">
        <v>1135</v>
      </c>
      <c r="B583" t="s">
        <v>1136</v>
      </c>
      <c r="C583" s="1" t="s">
        <v>7</v>
      </c>
      <c r="D583" s="1" t="s">
        <v>7</v>
      </c>
      <c r="E583" t="s">
        <v>8</v>
      </c>
      <c r="F583" s="2" t="s">
        <v>9</v>
      </c>
      <c r="G583" t="s">
        <v>10</v>
      </c>
      <c r="H583" s="2" t="s">
        <v>152</v>
      </c>
      <c r="I583" s="2">
        <v>5.7</v>
      </c>
    </row>
    <row r="584" spans="1:9" x14ac:dyDescent="0.25">
      <c r="A584" s="1" t="s">
        <v>1135</v>
      </c>
      <c r="B584" t="s">
        <v>1136</v>
      </c>
      <c r="C584" s="1" t="s">
        <v>7</v>
      </c>
      <c r="D584" s="1" t="s">
        <v>7</v>
      </c>
      <c r="E584" t="s">
        <v>8</v>
      </c>
      <c r="F584" s="2" t="s">
        <v>9</v>
      </c>
      <c r="G584" t="s">
        <v>10</v>
      </c>
      <c r="H584" s="2" t="s">
        <v>992</v>
      </c>
      <c r="I584" s="2">
        <v>13.8</v>
      </c>
    </row>
    <row r="585" spans="1:9" x14ac:dyDescent="0.25">
      <c r="A585" s="1" t="s">
        <v>1138</v>
      </c>
      <c r="B585" t="s">
        <v>1139</v>
      </c>
      <c r="C585" s="1" t="s">
        <v>1022</v>
      </c>
      <c r="D585" s="1" t="s">
        <v>1022</v>
      </c>
      <c r="E585" t="s">
        <v>1023</v>
      </c>
      <c r="F585" s="2" t="s">
        <v>1024</v>
      </c>
      <c r="G585" t="s">
        <v>932</v>
      </c>
      <c r="H585" s="2" t="s">
        <v>1140</v>
      </c>
      <c r="I585" s="2">
        <v>6.65</v>
      </c>
    </row>
    <row r="586" spans="1:9" x14ac:dyDescent="0.25">
      <c r="A586" s="1" t="s">
        <v>1138</v>
      </c>
      <c r="B586" t="s">
        <v>1139</v>
      </c>
      <c r="C586" s="1" t="s">
        <v>7</v>
      </c>
      <c r="D586" s="1" t="s">
        <v>7</v>
      </c>
      <c r="E586" t="s">
        <v>8</v>
      </c>
      <c r="F586" s="2" t="s">
        <v>9</v>
      </c>
      <c r="G586" t="s">
        <v>10</v>
      </c>
      <c r="H586" s="2" t="s">
        <v>1141</v>
      </c>
      <c r="I586" s="2">
        <v>5.75</v>
      </c>
    </row>
    <row r="587" spans="1:9" x14ac:dyDescent="0.25">
      <c r="A587" s="1" t="s">
        <v>1138</v>
      </c>
      <c r="B587" t="s">
        <v>1139</v>
      </c>
      <c r="C587" s="1" t="s">
        <v>7</v>
      </c>
      <c r="D587" s="1" t="s">
        <v>7</v>
      </c>
      <c r="E587" t="s">
        <v>8</v>
      </c>
      <c r="F587" s="2" t="s">
        <v>9</v>
      </c>
      <c r="G587" t="s">
        <v>10</v>
      </c>
      <c r="H587" s="2" t="s">
        <v>992</v>
      </c>
      <c r="I587" s="2">
        <v>13.8</v>
      </c>
    </row>
    <row r="588" spans="1:9" x14ac:dyDescent="0.25">
      <c r="A588" s="1" t="s">
        <v>1142</v>
      </c>
      <c r="B588" t="s">
        <v>1143</v>
      </c>
      <c r="C588" s="1" t="s">
        <v>1022</v>
      </c>
      <c r="D588" s="1" t="s">
        <v>1022</v>
      </c>
      <c r="E588" t="s">
        <v>1023</v>
      </c>
      <c r="F588" s="2" t="s">
        <v>1024</v>
      </c>
      <c r="G588" t="s">
        <v>932</v>
      </c>
      <c r="H588" s="2" t="s">
        <v>1144</v>
      </c>
      <c r="I588" s="2">
        <v>8</v>
      </c>
    </row>
    <row r="589" spans="1:9" x14ac:dyDescent="0.25">
      <c r="A589" s="1" t="s">
        <v>1142</v>
      </c>
      <c r="B589" t="s">
        <v>1143</v>
      </c>
      <c r="C589" s="1" t="s">
        <v>7</v>
      </c>
      <c r="D589" s="1" t="s">
        <v>7</v>
      </c>
      <c r="E589" t="s">
        <v>8</v>
      </c>
      <c r="F589" s="2" t="s">
        <v>9</v>
      </c>
      <c r="G589" t="s">
        <v>10</v>
      </c>
      <c r="H589" s="2" t="s">
        <v>1141</v>
      </c>
      <c r="I589" s="2">
        <v>5.75</v>
      </c>
    </row>
    <row r="590" spans="1:9" x14ac:dyDescent="0.25">
      <c r="A590" s="1" t="s">
        <v>1142</v>
      </c>
      <c r="B590" t="s">
        <v>1143</v>
      </c>
      <c r="C590" s="1" t="s">
        <v>7</v>
      </c>
      <c r="D590" s="1" t="s">
        <v>7</v>
      </c>
      <c r="E590" t="s">
        <v>8</v>
      </c>
      <c r="F590" s="2" t="s">
        <v>9</v>
      </c>
      <c r="G590" t="s">
        <v>10</v>
      </c>
      <c r="H590" s="2" t="s">
        <v>992</v>
      </c>
      <c r="I590" s="2">
        <v>13.8</v>
      </c>
    </row>
    <row r="591" spans="1:9" x14ac:dyDescent="0.25">
      <c r="A591" s="1" t="s">
        <v>1145</v>
      </c>
      <c r="B591" t="s">
        <v>1146</v>
      </c>
      <c r="C591" s="1" t="s">
        <v>1022</v>
      </c>
      <c r="D591" s="1" t="s">
        <v>1022</v>
      </c>
      <c r="E591" t="s">
        <v>1023</v>
      </c>
      <c r="F591" s="2" t="s">
        <v>1024</v>
      </c>
      <c r="G591" t="s">
        <v>932</v>
      </c>
      <c r="H591" s="2" t="s">
        <v>1147</v>
      </c>
      <c r="I591" s="2">
        <v>7.4</v>
      </c>
    </row>
    <row r="592" spans="1:9" x14ac:dyDescent="0.25">
      <c r="A592" s="1" t="s">
        <v>1145</v>
      </c>
      <c r="B592" t="s">
        <v>1146</v>
      </c>
      <c r="C592" s="1" t="s">
        <v>7</v>
      </c>
      <c r="D592" s="1" t="s">
        <v>7</v>
      </c>
      <c r="E592" t="s">
        <v>8</v>
      </c>
      <c r="F592" s="2" t="s">
        <v>9</v>
      </c>
      <c r="G592" t="s">
        <v>10</v>
      </c>
      <c r="H592" s="2" t="s">
        <v>992</v>
      </c>
      <c r="I592" s="2">
        <v>13.8</v>
      </c>
    </row>
    <row r="593" spans="1:10" x14ac:dyDescent="0.25">
      <c r="A593" s="1" t="s">
        <v>1145</v>
      </c>
      <c r="B593" t="s">
        <v>1146</v>
      </c>
      <c r="C593" s="1" t="s">
        <v>7</v>
      </c>
      <c r="D593" s="1" t="s">
        <v>7</v>
      </c>
      <c r="E593" t="s">
        <v>8</v>
      </c>
      <c r="F593" s="2" t="s">
        <v>9</v>
      </c>
      <c r="G593" t="s">
        <v>10</v>
      </c>
      <c r="H593" s="2" t="s">
        <v>1148</v>
      </c>
      <c r="I593" s="2">
        <v>5.8</v>
      </c>
    </row>
    <row r="594" spans="1:10" x14ac:dyDescent="0.25">
      <c r="A594" s="1" t="s">
        <v>1149</v>
      </c>
      <c r="B594" t="s">
        <v>1150</v>
      </c>
      <c r="C594" s="1" t="s">
        <v>1022</v>
      </c>
      <c r="D594" s="1" t="s">
        <v>1022</v>
      </c>
      <c r="E594" t="s">
        <v>1023</v>
      </c>
      <c r="F594" s="2" t="s">
        <v>1024</v>
      </c>
      <c r="G594" t="s">
        <v>932</v>
      </c>
      <c r="H594" s="2" t="s">
        <v>1151</v>
      </c>
      <c r="I594" s="2">
        <v>6.6</v>
      </c>
    </row>
    <row r="595" spans="1:10" x14ac:dyDescent="0.25">
      <c r="A595" s="1" t="s">
        <v>1149</v>
      </c>
      <c r="B595" t="s">
        <v>1150</v>
      </c>
      <c r="C595" s="1" t="s">
        <v>7</v>
      </c>
      <c r="D595" s="1" t="s">
        <v>7</v>
      </c>
      <c r="E595" t="s">
        <v>8</v>
      </c>
      <c r="F595" s="2" t="s">
        <v>9</v>
      </c>
      <c r="G595" t="s">
        <v>10</v>
      </c>
      <c r="H595" s="2" t="s">
        <v>1141</v>
      </c>
      <c r="I595" s="2">
        <v>5.75</v>
      </c>
    </row>
    <row r="596" spans="1:10" x14ac:dyDescent="0.25">
      <c r="A596" s="1" t="s">
        <v>1149</v>
      </c>
      <c r="B596" t="s">
        <v>1150</v>
      </c>
      <c r="C596" s="1" t="s">
        <v>7</v>
      </c>
      <c r="D596" s="1" t="s">
        <v>7</v>
      </c>
      <c r="E596" t="s">
        <v>8</v>
      </c>
      <c r="F596" s="2" t="s">
        <v>9</v>
      </c>
      <c r="G596" t="s">
        <v>10</v>
      </c>
      <c r="H596" s="2" t="s">
        <v>992</v>
      </c>
      <c r="I596" s="2">
        <v>13.8</v>
      </c>
    </row>
    <row r="597" spans="1:10" x14ac:dyDescent="0.25">
      <c r="A597" s="1" t="s">
        <v>1152</v>
      </c>
      <c r="B597" t="s">
        <v>1153</v>
      </c>
      <c r="C597" s="1" t="s">
        <v>695</v>
      </c>
      <c r="D597" s="1" t="s">
        <v>695</v>
      </c>
      <c r="E597" t="s">
        <v>696</v>
      </c>
      <c r="F597" s="2" t="s">
        <v>501</v>
      </c>
      <c r="G597" t="s">
        <v>39</v>
      </c>
      <c r="H597" s="2" t="s">
        <v>19</v>
      </c>
      <c r="I597" s="2">
        <v>0.45</v>
      </c>
    </row>
    <row r="598" spans="1:10" x14ac:dyDescent="0.25">
      <c r="A598" s="1" t="s">
        <v>1152</v>
      </c>
      <c r="B598" t="s">
        <v>1153</v>
      </c>
      <c r="C598" s="1" t="s">
        <v>1154</v>
      </c>
      <c r="D598" s="1" t="s">
        <v>1154</v>
      </c>
      <c r="E598" t="s">
        <v>1155</v>
      </c>
      <c r="F598" s="2" t="s">
        <v>165</v>
      </c>
      <c r="G598" t="s">
        <v>121</v>
      </c>
      <c r="H598" s="2" t="s">
        <v>92</v>
      </c>
      <c r="I598" s="2">
        <v>27.4</v>
      </c>
    </row>
    <row r="599" spans="1:10" x14ac:dyDescent="0.25">
      <c r="A599" s="1" t="s">
        <v>1152</v>
      </c>
      <c r="B599" t="s">
        <v>1153</v>
      </c>
      <c r="C599" s="1" t="s">
        <v>1156</v>
      </c>
      <c r="D599" s="1" t="s">
        <v>1156</v>
      </c>
      <c r="E599" t="s">
        <v>1157</v>
      </c>
      <c r="F599" s="2" t="s">
        <v>1158</v>
      </c>
      <c r="G599" t="s">
        <v>121</v>
      </c>
      <c r="H599" s="2" t="s">
        <v>50</v>
      </c>
      <c r="I599" s="2">
        <v>200</v>
      </c>
      <c r="J599" t="s">
        <v>55</v>
      </c>
    </row>
    <row r="600" spans="1:10" x14ac:dyDescent="0.25">
      <c r="A600" s="1" t="s">
        <v>1152</v>
      </c>
      <c r="B600" t="s">
        <v>1153</v>
      </c>
      <c r="C600" s="1" t="s">
        <v>7</v>
      </c>
      <c r="D600" s="1" t="s">
        <v>7</v>
      </c>
      <c r="E600" t="s">
        <v>8</v>
      </c>
      <c r="F600" s="2" t="s">
        <v>9</v>
      </c>
      <c r="G600" t="s">
        <v>10</v>
      </c>
      <c r="H600" s="2" t="s">
        <v>1159</v>
      </c>
      <c r="I600" s="2">
        <v>142.15</v>
      </c>
    </row>
    <row r="601" spans="1:10" x14ac:dyDescent="0.25">
      <c r="A601" s="1" t="s">
        <v>1160</v>
      </c>
      <c r="B601" t="s">
        <v>1161</v>
      </c>
      <c r="C601" s="1" t="s">
        <v>1162</v>
      </c>
      <c r="D601" s="1" t="s">
        <v>1162</v>
      </c>
      <c r="E601" t="s">
        <v>1163</v>
      </c>
      <c r="F601" s="2" t="s">
        <v>1164</v>
      </c>
      <c r="G601" t="s">
        <v>5</v>
      </c>
      <c r="H601" s="2" t="s">
        <v>601</v>
      </c>
      <c r="I601" s="2">
        <v>1.2</v>
      </c>
    </row>
    <row r="602" spans="1:10" x14ac:dyDescent="0.25">
      <c r="A602" s="1" t="s">
        <v>1160</v>
      </c>
      <c r="B602" t="s">
        <v>1161</v>
      </c>
      <c r="C602" s="1" t="s">
        <v>432</v>
      </c>
      <c r="D602" s="1" t="s">
        <v>432</v>
      </c>
      <c r="E602" t="s">
        <v>433</v>
      </c>
      <c r="F602" s="2" t="s">
        <v>434</v>
      </c>
      <c r="G602" t="s">
        <v>435</v>
      </c>
      <c r="H602" s="2" t="s">
        <v>1165</v>
      </c>
      <c r="I602" s="2">
        <v>3.7</v>
      </c>
    </row>
    <row r="603" spans="1:10" x14ac:dyDescent="0.25">
      <c r="A603" s="1" t="s">
        <v>1160</v>
      </c>
      <c r="B603" t="s">
        <v>1161</v>
      </c>
      <c r="C603" s="1" t="s">
        <v>541</v>
      </c>
      <c r="D603" s="1" t="s">
        <v>541</v>
      </c>
      <c r="E603" t="s">
        <v>542</v>
      </c>
      <c r="F603" s="2" t="s">
        <v>9</v>
      </c>
      <c r="G603" t="s">
        <v>10</v>
      </c>
      <c r="H603" s="2" t="s">
        <v>1166</v>
      </c>
      <c r="I603" s="2">
        <v>10.5</v>
      </c>
    </row>
    <row r="604" spans="1:10" x14ac:dyDescent="0.25">
      <c r="A604" s="1" t="s">
        <v>1167</v>
      </c>
      <c r="B604" t="s">
        <v>1168</v>
      </c>
      <c r="C604" s="1" t="s">
        <v>1162</v>
      </c>
      <c r="D604" s="1" t="s">
        <v>1162</v>
      </c>
      <c r="E604" t="s">
        <v>1163</v>
      </c>
      <c r="F604" s="2" t="s">
        <v>291</v>
      </c>
      <c r="G604" t="s">
        <v>5</v>
      </c>
      <c r="H604" s="2" t="s">
        <v>1169</v>
      </c>
      <c r="I604" s="2">
        <v>2.25</v>
      </c>
    </row>
    <row r="605" spans="1:10" x14ac:dyDescent="0.25">
      <c r="A605" s="1" t="s">
        <v>1167</v>
      </c>
      <c r="B605" t="s">
        <v>1168</v>
      </c>
      <c r="C605" s="1" t="s">
        <v>432</v>
      </c>
      <c r="D605" s="1" t="s">
        <v>432</v>
      </c>
      <c r="E605" t="s">
        <v>433</v>
      </c>
      <c r="F605" s="2" t="s">
        <v>434</v>
      </c>
      <c r="G605" t="s">
        <v>435</v>
      </c>
      <c r="H605" s="2" t="s">
        <v>1170</v>
      </c>
      <c r="I605" s="2">
        <v>3.85</v>
      </c>
    </row>
    <row r="606" spans="1:10" x14ac:dyDescent="0.25">
      <c r="A606" s="1" t="s">
        <v>1167</v>
      </c>
      <c r="B606" t="s">
        <v>1168</v>
      </c>
      <c r="C606" s="1" t="s">
        <v>541</v>
      </c>
      <c r="D606" s="1" t="s">
        <v>541</v>
      </c>
      <c r="E606" t="s">
        <v>542</v>
      </c>
      <c r="F606" s="2" t="s">
        <v>9</v>
      </c>
      <c r="G606" t="s">
        <v>10</v>
      </c>
      <c r="H606" s="2" t="s">
        <v>594</v>
      </c>
      <c r="I606" s="2">
        <v>11.5</v>
      </c>
    </row>
    <row r="607" spans="1:10" x14ac:dyDescent="0.25">
      <c r="A607" s="1" t="s">
        <v>1171</v>
      </c>
      <c r="B607" t="s">
        <v>1172</v>
      </c>
      <c r="C607" s="1" t="s">
        <v>1162</v>
      </c>
      <c r="D607" s="1" t="s">
        <v>1162</v>
      </c>
      <c r="E607" t="s">
        <v>1163</v>
      </c>
      <c r="F607" s="2" t="s">
        <v>4</v>
      </c>
      <c r="G607" t="s">
        <v>5</v>
      </c>
      <c r="H607" s="2" t="s">
        <v>1173</v>
      </c>
      <c r="I607" s="2">
        <v>2.9</v>
      </c>
    </row>
    <row r="608" spans="1:10" x14ac:dyDescent="0.25">
      <c r="A608" s="1" t="s">
        <v>1171</v>
      </c>
      <c r="B608" t="s">
        <v>1172</v>
      </c>
      <c r="C608" s="1" t="s">
        <v>432</v>
      </c>
      <c r="D608" s="1" t="s">
        <v>432</v>
      </c>
      <c r="E608" t="s">
        <v>433</v>
      </c>
      <c r="F608" s="2" t="s">
        <v>434</v>
      </c>
      <c r="G608" t="s">
        <v>435</v>
      </c>
      <c r="H608" s="2" t="s">
        <v>1170</v>
      </c>
      <c r="I608" s="2">
        <v>3.85</v>
      </c>
    </row>
    <row r="609" spans="1:9" x14ac:dyDescent="0.25">
      <c r="A609" s="1" t="s">
        <v>1171</v>
      </c>
      <c r="B609" t="s">
        <v>1172</v>
      </c>
      <c r="C609" s="1" t="s">
        <v>541</v>
      </c>
      <c r="D609" s="1" t="s">
        <v>541</v>
      </c>
      <c r="E609" t="s">
        <v>542</v>
      </c>
      <c r="F609" s="2" t="s">
        <v>9</v>
      </c>
      <c r="G609" t="s">
        <v>10</v>
      </c>
      <c r="H609" s="2" t="s">
        <v>594</v>
      </c>
      <c r="I609" s="2">
        <v>11.5</v>
      </c>
    </row>
    <row r="610" spans="1:9" x14ac:dyDescent="0.25">
      <c r="A610" s="1" t="s">
        <v>1174</v>
      </c>
      <c r="B610" t="s">
        <v>1175</v>
      </c>
      <c r="C610" s="1" t="s">
        <v>1162</v>
      </c>
      <c r="D610" s="1" t="s">
        <v>1162</v>
      </c>
      <c r="E610" t="s">
        <v>1163</v>
      </c>
      <c r="F610" s="2" t="s">
        <v>4</v>
      </c>
      <c r="G610" t="s">
        <v>5</v>
      </c>
      <c r="H610" s="2" t="s">
        <v>1176</v>
      </c>
      <c r="I610" s="2">
        <v>1.74</v>
      </c>
    </row>
    <row r="611" spans="1:9" x14ac:dyDescent="0.25">
      <c r="A611" s="1" t="s">
        <v>1174</v>
      </c>
      <c r="B611" t="s">
        <v>1175</v>
      </c>
      <c r="C611" s="1" t="s">
        <v>432</v>
      </c>
      <c r="D611" s="1" t="s">
        <v>432</v>
      </c>
      <c r="E611" t="s">
        <v>433</v>
      </c>
      <c r="F611" s="2" t="s">
        <v>434</v>
      </c>
      <c r="G611" t="s">
        <v>435</v>
      </c>
      <c r="H611" s="2" t="s">
        <v>1177</v>
      </c>
      <c r="I611" s="2">
        <v>3.8</v>
      </c>
    </row>
    <row r="612" spans="1:9" x14ac:dyDescent="0.25">
      <c r="A612" s="1" t="s">
        <v>1174</v>
      </c>
      <c r="B612" t="s">
        <v>1175</v>
      </c>
      <c r="C612" s="1" t="s">
        <v>541</v>
      </c>
      <c r="D612" s="1" t="s">
        <v>541</v>
      </c>
      <c r="E612" t="s">
        <v>542</v>
      </c>
      <c r="F612" s="2" t="s">
        <v>9</v>
      </c>
      <c r="G612" t="s">
        <v>10</v>
      </c>
      <c r="H612" s="2" t="s">
        <v>1178</v>
      </c>
      <c r="I612" s="2">
        <v>10.45</v>
      </c>
    </row>
    <row r="613" spans="1:9" x14ac:dyDescent="0.25">
      <c r="A613" s="1" t="s">
        <v>1179</v>
      </c>
      <c r="B613" t="s">
        <v>1180</v>
      </c>
      <c r="C613" s="1" t="s">
        <v>1162</v>
      </c>
      <c r="D613" s="1" t="s">
        <v>1162</v>
      </c>
      <c r="E613" t="s">
        <v>1163</v>
      </c>
      <c r="F613" s="2" t="s">
        <v>4</v>
      </c>
      <c r="G613" t="s">
        <v>5</v>
      </c>
      <c r="H613" s="2" t="s">
        <v>1181</v>
      </c>
      <c r="I613" s="2">
        <v>1.9</v>
      </c>
    </row>
    <row r="614" spans="1:9" x14ac:dyDescent="0.25">
      <c r="A614" s="1" t="s">
        <v>1179</v>
      </c>
      <c r="B614" t="s">
        <v>1180</v>
      </c>
      <c r="C614" s="1" t="s">
        <v>432</v>
      </c>
      <c r="D614" s="1" t="s">
        <v>432</v>
      </c>
      <c r="E614" t="s">
        <v>433</v>
      </c>
      <c r="F614" s="2" t="s">
        <v>434</v>
      </c>
      <c r="G614" t="s">
        <v>435</v>
      </c>
      <c r="H614" s="2" t="s">
        <v>1177</v>
      </c>
      <c r="I614" s="2">
        <v>3.8</v>
      </c>
    </row>
    <row r="615" spans="1:9" x14ac:dyDescent="0.25">
      <c r="A615" s="1" t="s">
        <v>1179</v>
      </c>
      <c r="B615" t="s">
        <v>1180</v>
      </c>
      <c r="C615" s="1" t="s">
        <v>541</v>
      </c>
      <c r="D615" s="1" t="s">
        <v>541</v>
      </c>
      <c r="E615" t="s">
        <v>542</v>
      </c>
      <c r="F615" s="2" t="s">
        <v>9</v>
      </c>
      <c r="G615" t="s">
        <v>10</v>
      </c>
      <c r="H615" s="2" t="s">
        <v>1178</v>
      </c>
      <c r="I615" s="2">
        <v>10.45</v>
      </c>
    </row>
    <row r="616" spans="1:9" x14ac:dyDescent="0.25">
      <c r="A616" s="1" t="s">
        <v>1182</v>
      </c>
      <c r="B616" t="s">
        <v>1183</v>
      </c>
      <c r="C616" s="1" t="s">
        <v>1162</v>
      </c>
      <c r="D616" s="1" t="s">
        <v>1162</v>
      </c>
      <c r="E616" t="s">
        <v>1163</v>
      </c>
      <c r="F616" s="2" t="s">
        <v>1164</v>
      </c>
      <c r="G616" t="s">
        <v>5</v>
      </c>
      <c r="H616" s="2" t="s">
        <v>1184</v>
      </c>
      <c r="I616" s="2">
        <v>2.1</v>
      </c>
    </row>
    <row r="617" spans="1:9" x14ac:dyDescent="0.25">
      <c r="A617" s="1" t="s">
        <v>1182</v>
      </c>
      <c r="B617" t="s">
        <v>1183</v>
      </c>
      <c r="C617" s="1" t="s">
        <v>432</v>
      </c>
      <c r="D617" s="1" t="s">
        <v>432</v>
      </c>
      <c r="E617" t="s">
        <v>433</v>
      </c>
      <c r="F617" s="2" t="s">
        <v>434</v>
      </c>
      <c r="G617" t="s">
        <v>435</v>
      </c>
      <c r="H617" s="2" t="s">
        <v>1165</v>
      </c>
      <c r="I617" s="2">
        <v>3.7</v>
      </c>
    </row>
    <row r="618" spans="1:9" x14ac:dyDescent="0.25">
      <c r="A618" s="1" t="s">
        <v>1182</v>
      </c>
      <c r="B618" t="s">
        <v>1183</v>
      </c>
      <c r="C618" s="1" t="s">
        <v>541</v>
      </c>
      <c r="D618" s="1" t="s">
        <v>541</v>
      </c>
      <c r="E618" t="s">
        <v>542</v>
      </c>
      <c r="F618" s="2" t="s">
        <v>9</v>
      </c>
      <c r="G618" t="s">
        <v>10</v>
      </c>
      <c r="H618" s="2" t="s">
        <v>1185</v>
      </c>
      <c r="I618" s="2">
        <v>11.13</v>
      </c>
    </row>
    <row r="619" spans="1:9" x14ac:dyDescent="0.25">
      <c r="A619" s="1" t="s">
        <v>1186</v>
      </c>
      <c r="B619" t="s">
        <v>1187</v>
      </c>
      <c r="C619" s="1" t="s">
        <v>1188</v>
      </c>
      <c r="D619" s="1" t="s">
        <v>1188</v>
      </c>
      <c r="E619" t="s">
        <v>1189</v>
      </c>
      <c r="F619" s="2" t="s">
        <v>1190</v>
      </c>
      <c r="G619" t="s">
        <v>5</v>
      </c>
      <c r="H619" s="2" t="s">
        <v>1191</v>
      </c>
      <c r="I619" s="2">
        <v>10.45</v>
      </c>
    </row>
    <row r="620" spans="1:9" x14ac:dyDescent="0.25">
      <c r="A620" s="1" t="s">
        <v>1186</v>
      </c>
      <c r="B620" t="s">
        <v>1187</v>
      </c>
      <c r="C620" s="1" t="s">
        <v>7</v>
      </c>
      <c r="D620" s="1" t="s">
        <v>7</v>
      </c>
      <c r="E620" t="s">
        <v>8</v>
      </c>
      <c r="F620" s="2" t="s">
        <v>9</v>
      </c>
      <c r="G620" t="s">
        <v>10</v>
      </c>
      <c r="H620" s="2" t="s">
        <v>1192</v>
      </c>
      <c r="I620" s="2">
        <v>11.92</v>
      </c>
    </row>
    <row r="621" spans="1:9" x14ac:dyDescent="0.25">
      <c r="A621" s="1" t="s">
        <v>1193</v>
      </c>
      <c r="B621" t="s">
        <v>1194</v>
      </c>
      <c r="C621" s="1" t="s">
        <v>1188</v>
      </c>
      <c r="D621" s="1" t="s">
        <v>1188</v>
      </c>
      <c r="E621" t="s">
        <v>1189</v>
      </c>
      <c r="F621" s="2" t="s">
        <v>1190</v>
      </c>
      <c r="G621" t="s">
        <v>5</v>
      </c>
      <c r="H621" s="2" t="s">
        <v>1195</v>
      </c>
      <c r="I621" s="2">
        <v>9.57</v>
      </c>
    </row>
    <row r="622" spans="1:9" x14ac:dyDescent="0.25">
      <c r="A622" s="1" t="s">
        <v>1193</v>
      </c>
      <c r="B622" t="s">
        <v>1194</v>
      </c>
      <c r="C622" s="1" t="s">
        <v>432</v>
      </c>
      <c r="D622" s="1" t="s">
        <v>432</v>
      </c>
      <c r="E622" t="s">
        <v>433</v>
      </c>
      <c r="F622" s="2" t="s">
        <v>434</v>
      </c>
      <c r="G622" t="s">
        <v>435</v>
      </c>
      <c r="H622" s="2" t="s">
        <v>92</v>
      </c>
      <c r="I622" s="2">
        <v>2.2000000000000002</v>
      </c>
    </row>
    <row r="623" spans="1:9" x14ac:dyDescent="0.25">
      <c r="A623" s="1" t="s">
        <v>1193</v>
      </c>
      <c r="B623" t="s">
        <v>1194</v>
      </c>
      <c r="C623" s="1" t="s">
        <v>7</v>
      </c>
      <c r="D623" s="1" t="s">
        <v>7</v>
      </c>
      <c r="E623" t="s">
        <v>8</v>
      </c>
      <c r="F623" s="2" t="s">
        <v>9</v>
      </c>
      <c r="G623" t="s">
        <v>10</v>
      </c>
      <c r="H623" s="2" t="s">
        <v>1196</v>
      </c>
      <c r="I623" s="2">
        <v>4.34</v>
      </c>
    </row>
    <row r="624" spans="1:9" x14ac:dyDescent="0.25">
      <c r="A624" s="1" t="s">
        <v>1197</v>
      </c>
      <c r="B624" t="s">
        <v>1198</v>
      </c>
      <c r="C624" s="1" t="s">
        <v>1188</v>
      </c>
      <c r="D624" s="1" t="s">
        <v>1188</v>
      </c>
      <c r="E624" t="s">
        <v>1189</v>
      </c>
      <c r="F624" s="2" t="s">
        <v>1190</v>
      </c>
      <c r="G624" t="s">
        <v>5</v>
      </c>
      <c r="H624" s="2" t="s">
        <v>1199</v>
      </c>
      <c r="I624" s="2">
        <v>6.79</v>
      </c>
    </row>
    <row r="625" spans="1:9" x14ac:dyDescent="0.25">
      <c r="A625" s="1" t="s">
        <v>1197</v>
      </c>
      <c r="B625" t="s">
        <v>1198</v>
      </c>
      <c r="C625" s="1" t="s">
        <v>7</v>
      </c>
      <c r="D625" s="1" t="s">
        <v>7</v>
      </c>
      <c r="E625" t="s">
        <v>8</v>
      </c>
      <c r="F625" s="2" t="s">
        <v>9</v>
      </c>
      <c r="G625" t="s">
        <v>10</v>
      </c>
      <c r="H625" s="2" t="s">
        <v>1200</v>
      </c>
      <c r="I625" s="2">
        <v>3.87</v>
      </c>
    </row>
    <row r="626" spans="1:9" x14ac:dyDescent="0.25">
      <c r="A626" s="1" t="s">
        <v>1201</v>
      </c>
      <c r="B626" t="s">
        <v>1202</v>
      </c>
      <c r="C626" s="1" t="s">
        <v>1203</v>
      </c>
      <c r="D626" s="1" t="s">
        <v>1203</v>
      </c>
      <c r="E626" t="s">
        <v>1204</v>
      </c>
      <c r="F626" s="2" t="s">
        <v>216</v>
      </c>
      <c r="G626" t="s">
        <v>5</v>
      </c>
      <c r="H626" s="2" t="s">
        <v>1205</v>
      </c>
      <c r="I626" s="2">
        <v>0.85</v>
      </c>
    </row>
    <row r="627" spans="1:9" x14ac:dyDescent="0.25">
      <c r="A627" s="1" t="s">
        <v>1201</v>
      </c>
      <c r="B627" t="s">
        <v>1202</v>
      </c>
      <c r="C627" s="1" t="s">
        <v>7</v>
      </c>
      <c r="D627" s="1" t="s">
        <v>7</v>
      </c>
      <c r="E627" t="s">
        <v>8</v>
      </c>
      <c r="F627" s="2" t="s">
        <v>9</v>
      </c>
      <c r="G627" t="s">
        <v>10</v>
      </c>
      <c r="H627" s="2" t="s">
        <v>1206</v>
      </c>
      <c r="I627" s="2">
        <v>9.9</v>
      </c>
    </row>
    <row r="628" spans="1:9" x14ac:dyDescent="0.25">
      <c r="A628" s="1" t="s">
        <v>229</v>
      </c>
      <c r="B628" t="s">
        <v>230</v>
      </c>
      <c r="C628" s="1" t="s">
        <v>1207</v>
      </c>
      <c r="D628" s="1" t="s">
        <v>1207</v>
      </c>
      <c r="E628" t="s">
        <v>1208</v>
      </c>
      <c r="F628" s="2" t="s">
        <v>1017</v>
      </c>
      <c r="G628" t="s">
        <v>5</v>
      </c>
      <c r="H628" s="2" t="s">
        <v>1209</v>
      </c>
      <c r="I628" s="2">
        <v>0.25</v>
      </c>
    </row>
    <row r="629" spans="1:9" x14ac:dyDescent="0.25">
      <c r="A629" s="1" t="s">
        <v>229</v>
      </c>
      <c r="B629" t="s">
        <v>230</v>
      </c>
      <c r="C629" s="1" t="s">
        <v>7</v>
      </c>
      <c r="D629" s="1" t="s">
        <v>7</v>
      </c>
      <c r="E629" t="s">
        <v>8</v>
      </c>
      <c r="F629" s="2" t="s">
        <v>9</v>
      </c>
      <c r="G629" t="s">
        <v>10</v>
      </c>
      <c r="H629" s="2" t="s">
        <v>1065</v>
      </c>
      <c r="I629" s="2">
        <v>5</v>
      </c>
    </row>
    <row r="630" spans="1:9" x14ac:dyDescent="0.25">
      <c r="A630" s="1" t="s">
        <v>233</v>
      </c>
      <c r="B630" t="s">
        <v>234</v>
      </c>
      <c r="C630" s="1" t="s">
        <v>1207</v>
      </c>
      <c r="D630" s="1" t="s">
        <v>1207</v>
      </c>
      <c r="E630" t="s">
        <v>1208</v>
      </c>
      <c r="F630" s="2" t="s">
        <v>1017</v>
      </c>
      <c r="G630" t="s">
        <v>5</v>
      </c>
      <c r="H630" s="2" t="s">
        <v>1210</v>
      </c>
      <c r="I630" s="2">
        <v>0.3</v>
      </c>
    </row>
    <row r="631" spans="1:9" x14ac:dyDescent="0.25">
      <c r="A631" s="1" t="s">
        <v>233</v>
      </c>
      <c r="B631" t="s">
        <v>234</v>
      </c>
      <c r="C631" s="1" t="s">
        <v>7</v>
      </c>
      <c r="D631" s="1" t="s">
        <v>7</v>
      </c>
      <c r="E631" t="s">
        <v>8</v>
      </c>
      <c r="F631" s="2" t="s">
        <v>9</v>
      </c>
      <c r="G631" t="s">
        <v>10</v>
      </c>
      <c r="H631" s="2" t="s">
        <v>1211</v>
      </c>
      <c r="I631" s="2">
        <v>8.15</v>
      </c>
    </row>
    <row r="632" spans="1:9" x14ac:dyDescent="0.25">
      <c r="A632" s="1" t="s">
        <v>1212</v>
      </c>
      <c r="B632" t="s">
        <v>1213</v>
      </c>
      <c r="C632" s="1" t="s">
        <v>1214</v>
      </c>
      <c r="D632" s="1" t="s">
        <v>1214</v>
      </c>
      <c r="E632" t="s">
        <v>1215</v>
      </c>
      <c r="F632" s="2" t="s">
        <v>1216</v>
      </c>
      <c r="G632" t="s">
        <v>121</v>
      </c>
      <c r="H632" s="2" t="s">
        <v>50</v>
      </c>
      <c r="I632" s="2">
        <v>106.4</v>
      </c>
    </row>
    <row r="633" spans="1:9" x14ac:dyDescent="0.25">
      <c r="A633" s="1" t="s">
        <v>1212</v>
      </c>
      <c r="B633" t="s">
        <v>1213</v>
      </c>
      <c r="C633" s="1" t="s">
        <v>7</v>
      </c>
      <c r="D633" s="1" t="s">
        <v>7</v>
      </c>
      <c r="E633" t="s">
        <v>8</v>
      </c>
      <c r="F633" s="2" t="s">
        <v>9</v>
      </c>
      <c r="G633" t="s">
        <v>10</v>
      </c>
      <c r="H633" s="2" t="s">
        <v>992</v>
      </c>
      <c r="I633" s="2">
        <v>13.8</v>
      </c>
    </row>
    <row r="634" spans="1:9" x14ac:dyDescent="0.25">
      <c r="A634" s="1" t="s">
        <v>1217</v>
      </c>
      <c r="B634" t="s">
        <v>1218</v>
      </c>
      <c r="C634" s="1" t="s">
        <v>1203</v>
      </c>
      <c r="D634" s="1" t="s">
        <v>1203</v>
      </c>
      <c r="E634" t="s">
        <v>1204</v>
      </c>
      <c r="F634" s="2" t="s">
        <v>216</v>
      </c>
      <c r="G634" t="s">
        <v>5</v>
      </c>
      <c r="H634" s="2" t="s">
        <v>601</v>
      </c>
      <c r="I634" s="2">
        <v>1.05</v>
      </c>
    </row>
    <row r="635" spans="1:9" x14ac:dyDescent="0.25">
      <c r="A635" s="1" t="s">
        <v>1217</v>
      </c>
      <c r="B635" t="s">
        <v>1218</v>
      </c>
      <c r="C635" s="1" t="s">
        <v>7</v>
      </c>
      <c r="D635" s="1" t="s">
        <v>7</v>
      </c>
      <c r="E635" t="s">
        <v>8</v>
      </c>
      <c r="F635" s="2" t="s">
        <v>9</v>
      </c>
      <c r="G635" t="s">
        <v>10</v>
      </c>
      <c r="H635" s="2" t="s">
        <v>1206</v>
      </c>
      <c r="I635" s="2">
        <v>9.9</v>
      </c>
    </row>
    <row r="636" spans="1:9" x14ac:dyDescent="0.25">
      <c r="A636" s="1" t="s">
        <v>1219</v>
      </c>
      <c r="B636" t="s">
        <v>1220</v>
      </c>
      <c r="C636" s="1" t="s">
        <v>1221</v>
      </c>
      <c r="D636" s="1" t="s">
        <v>1221</v>
      </c>
      <c r="E636" t="s">
        <v>1222</v>
      </c>
      <c r="F636" s="2" t="s">
        <v>1223</v>
      </c>
      <c r="G636" t="s">
        <v>5</v>
      </c>
      <c r="H636" s="2" t="s">
        <v>1224</v>
      </c>
      <c r="I636" s="2">
        <v>0.7</v>
      </c>
    </row>
    <row r="637" spans="1:9" x14ac:dyDescent="0.25">
      <c r="A637" s="1" t="s">
        <v>1219</v>
      </c>
      <c r="B637" t="s">
        <v>1220</v>
      </c>
      <c r="C637" s="1" t="s">
        <v>7</v>
      </c>
      <c r="D637" s="1" t="s">
        <v>7</v>
      </c>
      <c r="E637" t="s">
        <v>8</v>
      </c>
      <c r="F637" s="2" t="s">
        <v>9</v>
      </c>
      <c r="G637" t="s">
        <v>10</v>
      </c>
      <c r="H637" s="2" t="s">
        <v>1225</v>
      </c>
      <c r="I637" s="2">
        <v>2.5</v>
      </c>
    </row>
    <row r="638" spans="1:9" x14ac:dyDescent="0.25">
      <c r="A638" s="1" t="s">
        <v>1226</v>
      </c>
      <c r="B638" t="s">
        <v>1227</v>
      </c>
      <c r="C638" s="1" t="s">
        <v>1203</v>
      </c>
      <c r="D638" s="1" t="s">
        <v>1203</v>
      </c>
      <c r="E638" t="s">
        <v>1204</v>
      </c>
      <c r="F638" s="2" t="s">
        <v>216</v>
      </c>
      <c r="G638" t="s">
        <v>5</v>
      </c>
      <c r="H638" s="2" t="s">
        <v>1228</v>
      </c>
      <c r="I638" s="2">
        <v>0.55000000000000004</v>
      </c>
    </row>
    <row r="639" spans="1:9" x14ac:dyDescent="0.25">
      <c r="A639" s="1" t="s">
        <v>1226</v>
      </c>
      <c r="B639" t="s">
        <v>1227</v>
      </c>
      <c r="C639" s="1" t="s">
        <v>7</v>
      </c>
      <c r="D639" s="1" t="s">
        <v>7</v>
      </c>
      <c r="E639" t="s">
        <v>8</v>
      </c>
      <c r="F639" s="2" t="s">
        <v>9</v>
      </c>
      <c r="G639" t="s">
        <v>10</v>
      </c>
      <c r="H639" s="2" t="s">
        <v>594</v>
      </c>
      <c r="I639" s="2">
        <v>11.5</v>
      </c>
    </row>
    <row r="640" spans="1:9" x14ac:dyDescent="0.25">
      <c r="A640" s="1" t="s">
        <v>1229</v>
      </c>
      <c r="B640" t="s">
        <v>1230</v>
      </c>
      <c r="C640" s="1" t="s">
        <v>1203</v>
      </c>
      <c r="D640" s="1" t="s">
        <v>1203</v>
      </c>
      <c r="E640" t="s">
        <v>1204</v>
      </c>
      <c r="F640" s="2" t="s">
        <v>216</v>
      </c>
      <c r="G640" t="s">
        <v>5</v>
      </c>
      <c r="H640" s="2" t="s">
        <v>19</v>
      </c>
      <c r="I640" s="2">
        <v>0.7</v>
      </c>
    </row>
    <row r="641" spans="1:9" x14ac:dyDescent="0.25">
      <c r="A641" s="1" t="s">
        <v>1229</v>
      </c>
      <c r="B641" t="s">
        <v>1230</v>
      </c>
      <c r="C641" s="1" t="s">
        <v>7</v>
      </c>
      <c r="D641" s="1" t="s">
        <v>7</v>
      </c>
      <c r="E641" t="s">
        <v>8</v>
      </c>
      <c r="F641" s="2" t="s">
        <v>9</v>
      </c>
      <c r="G641" t="s">
        <v>10</v>
      </c>
      <c r="H641" s="2" t="s">
        <v>1231</v>
      </c>
      <c r="I641" s="2">
        <v>7</v>
      </c>
    </row>
    <row r="642" spans="1:9" x14ac:dyDescent="0.25">
      <c r="A642" s="1" t="s">
        <v>382</v>
      </c>
      <c r="B642" t="s">
        <v>383</v>
      </c>
      <c r="C642" s="1" t="s">
        <v>1203</v>
      </c>
      <c r="D642" s="1" t="s">
        <v>1203</v>
      </c>
      <c r="E642" t="s">
        <v>1204</v>
      </c>
      <c r="F642" s="2" t="s">
        <v>1232</v>
      </c>
      <c r="G642" t="s">
        <v>5</v>
      </c>
      <c r="H642" s="2" t="s">
        <v>1233</v>
      </c>
      <c r="I642" s="2">
        <v>1.2</v>
      </c>
    </row>
    <row r="643" spans="1:9" x14ac:dyDescent="0.25">
      <c r="A643" s="1" t="s">
        <v>382</v>
      </c>
      <c r="B643" t="s">
        <v>383</v>
      </c>
      <c r="C643" s="1" t="s">
        <v>1234</v>
      </c>
      <c r="D643" s="1" t="s">
        <v>1234</v>
      </c>
      <c r="E643" t="s">
        <v>1235</v>
      </c>
      <c r="F643" s="2" t="s">
        <v>108</v>
      </c>
      <c r="G643" t="s">
        <v>932</v>
      </c>
      <c r="H643" s="2" t="s">
        <v>1236</v>
      </c>
      <c r="I643" s="2">
        <v>0.5</v>
      </c>
    </row>
    <row r="644" spans="1:9" x14ac:dyDescent="0.25">
      <c r="A644" s="1" t="s">
        <v>382</v>
      </c>
      <c r="B644" t="s">
        <v>383</v>
      </c>
      <c r="C644" s="1" t="s">
        <v>7</v>
      </c>
      <c r="D644" s="1" t="s">
        <v>7</v>
      </c>
      <c r="E644" t="s">
        <v>8</v>
      </c>
      <c r="F644" s="2" t="s">
        <v>9</v>
      </c>
      <c r="G644" t="s">
        <v>10</v>
      </c>
      <c r="H644" s="2" t="s">
        <v>33</v>
      </c>
      <c r="I644" s="2">
        <v>9.1999999999999993</v>
      </c>
    </row>
    <row r="645" spans="1:9" x14ac:dyDescent="0.25">
      <c r="A645" s="1" t="s">
        <v>1237</v>
      </c>
      <c r="B645" t="s">
        <v>1238</v>
      </c>
      <c r="C645" s="1" t="s">
        <v>1188</v>
      </c>
      <c r="D645" s="1" t="s">
        <v>1188</v>
      </c>
      <c r="E645" t="s">
        <v>1189</v>
      </c>
      <c r="F645" s="2" t="s">
        <v>1190</v>
      </c>
      <c r="G645" t="s">
        <v>5</v>
      </c>
      <c r="H645" s="2" t="s">
        <v>1239</v>
      </c>
      <c r="I645" s="2">
        <v>25.37</v>
      </c>
    </row>
    <row r="646" spans="1:9" x14ac:dyDescent="0.25">
      <c r="A646" s="1" t="s">
        <v>1237</v>
      </c>
      <c r="B646" t="s">
        <v>1238</v>
      </c>
      <c r="C646" s="1" t="s">
        <v>432</v>
      </c>
      <c r="D646" s="1" t="s">
        <v>432</v>
      </c>
      <c r="E646" t="s">
        <v>433</v>
      </c>
      <c r="F646" s="2" t="s">
        <v>434</v>
      </c>
      <c r="G646" t="s">
        <v>435</v>
      </c>
      <c r="H646" s="2" t="s">
        <v>1240</v>
      </c>
      <c r="I646" s="2">
        <v>12</v>
      </c>
    </row>
    <row r="647" spans="1:9" x14ac:dyDescent="0.25">
      <c r="A647" s="1" t="s">
        <v>1237</v>
      </c>
      <c r="B647" t="s">
        <v>1238</v>
      </c>
      <c r="C647" s="1" t="s">
        <v>7</v>
      </c>
      <c r="D647" s="1" t="s">
        <v>7</v>
      </c>
      <c r="E647" t="s">
        <v>8</v>
      </c>
      <c r="F647" s="2" t="s">
        <v>9</v>
      </c>
      <c r="G647" t="s">
        <v>10</v>
      </c>
      <c r="H647" s="2" t="s">
        <v>1241</v>
      </c>
      <c r="I647" s="2">
        <v>42.36</v>
      </c>
    </row>
    <row r="648" spans="1:9" x14ac:dyDescent="0.25">
      <c r="A648" s="1" t="s">
        <v>1242</v>
      </c>
      <c r="B648" t="s">
        <v>1243</v>
      </c>
      <c r="C648" s="1" t="s">
        <v>1244</v>
      </c>
      <c r="D648" s="1" t="s">
        <v>1244</v>
      </c>
      <c r="E648" t="s">
        <v>1245</v>
      </c>
      <c r="F648" s="2" t="s">
        <v>117</v>
      </c>
      <c r="G648" t="s">
        <v>49</v>
      </c>
      <c r="H648" s="2" t="s">
        <v>50</v>
      </c>
      <c r="I648" s="2">
        <v>20</v>
      </c>
    </row>
    <row r="649" spans="1:9" x14ac:dyDescent="0.25">
      <c r="A649" s="1" t="s">
        <v>1242</v>
      </c>
      <c r="B649" t="s">
        <v>1243</v>
      </c>
      <c r="C649" s="1" t="s">
        <v>7</v>
      </c>
      <c r="D649" s="1" t="s">
        <v>7</v>
      </c>
      <c r="E649" t="s">
        <v>8</v>
      </c>
      <c r="F649" s="2" t="s">
        <v>9</v>
      </c>
      <c r="G649" t="s">
        <v>10</v>
      </c>
      <c r="H649" s="2" t="s">
        <v>1246</v>
      </c>
      <c r="I649" s="2">
        <v>8</v>
      </c>
    </row>
    <row r="650" spans="1:9" x14ac:dyDescent="0.25">
      <c r="A650" s="1" t="s">
        <v>1247</v>
      </c>
      <c r="B650" t="s">
        <v>1248</v>
      </c>
      <c r="C650" s="1" t="s">
        <v>1249</v>
      </c>
      <c r="D650" s="1" t="s">
        <v>1249</v>
      </c>
      <c r="E650" t="s">
        <v>1250</v>
      </c>
      <c r="F650" s="2" t="s">
        <v>1251</v>
      </c>
      <c r="G650" t="s">
        <v>1252</v>
      </c>
      <c r="H650" s="2" t="s">
        <v>1253</v>
      </c>
      <c r="I650" s="2">
        <v>12</v>
      </c>
    </row>
    <row r="651" spans="1:9" x14ac:dyDescent="0.25">
      <c r="A651" s="1" t="s">
        <v>1247</v>
      </c>
      <c r="B651" t="s">
        <v>1248</v>
      </c>
      <c r="C651" s="1" t="s">
        <v>7</v>
      </c>
      <c r="D651" s="1" t="s">
        <v>7</v>
      </c>
      <c r="E651" t="s">
        <v>8</v>
      </c>
      <c r="F651" s="2" t="s">
        <v>9</v>
      </c>
      <c r="G651" t="s">
        <v>10</v>
      </c>
      <c r="H651" s="2" t="s">
        <v>1254</v>
      </c>
      <c r="I651" s="2">
        <v>16.100000000000001</v>
      </c>
    </row>
    <row r="652" spans="1:9" x14ac:dyDescent="0.25">
      <c r="A652" s="1" t="s">
        <v>1247</v>
      </c>
      <c r="B652" t="s">
        <v>1248</v>
      </c>
      <c r="C652" s="1" t="s">
        <v>7</v>
      </c>
      <c r="D652" s="1" t="s">
        <v>7</v>
      </c>
      <c r="E652" t="s">
        <v>8</v>
      </c>
      <c r="F652" s="2" t="s">
        <v>9</v>
      </c>
      <c r="G652" t="s">
        <v>10</v>
      </c>
      <c r="H652" s="2" t="s">
        <v>601</v>
      </c>
      <c r="I652" s="2">
        <v>6.9</v>
      </c>
    </row>
    <row r="653" spans="1:9" x14ac:dyDescent="0.25">
      <c r="A653" s="1" t="s">
        <v>1255</v>
      </c>
      <c r="B653" t="s">
        <v>1256</v>
      </c>
      <c r="C653" s="1" t="s">
        <v>1249</v>
      </c>
      <c r="D653" s="1" t="s">
        <v>1249</v>
      </c>
      <c r="E653" t="s">
        <v>1250</v>
      </c>
      <c r="F653" s="2" t="s">
        <v>1251</v>
      </c>
      <c r="G653" t="s">
        <v>1252</v>
      </c>
      <c r="H653" s="2" t="s">
        <v>1253</v>
      </c>
      <c r="I653" s="2">
        <v>12</v>
      </c>
    </row>
    <row r="654" spans="1:9" x14ac:dyDescent="0.25">
      <c r="A654" s="1" t="s">
        <v>1255</v>
      </c>
      <c r="B654" t="s">
        <v>1256</v>
      </c>
      <c r="C654" s="1" t="s">
        <v>7</v>
      </c>
      <c r="D654" s="1" t="s">
        <v>7</v>
      </c>
      <c r="E654" t="s">
        <v>8</v>
      </c>
      <c r="F654" s="2" t="s">
        <v>9</v>
      </c>
      <c r="G654" t="s">
        <v>10</v>
      </c>
      <c r="H654" s="2" t="s">
        <v>1254</v>
      </c>
      <c r="I654" s="2">
        <v>16.100000000000001</v>
      </c>
    </row>
    <row r="655" spans="1:9" x14ac:dyDescent="0.25">
      <c r="A655" s="1" t="s">
        <v>1255</v>
      </c>
      <c r="B655" t="s">
        <v>1256</v>
      </c>
      <c r="C655" s="1" t="s">
        <v>7</v>
      </c>
      <c r="D655" s="1" t="s">
        <v>7</v>
      </c>
      <c r="E655" t="s">
        <v>8</v>
      </c>
      <c r="F655" s="2" t="s">
        <v>9</v>
      </c>
      <c r="G655" t="s">
        <v>10</v>
      </c>
      <c r="H655" s="2" t="s">
        <v>601</v>
      </c>
      <c r="I655" s="2">
        <v>6.9</v>
      </c>
    </row>
    <row r="656" spans="1:9" x14ac:dyDescent="0.25">
      <c r="A656" s="1" t="s">
        <v>1257</v>
      </c>
      <c r="B656" t="s">
        <v>1258</v>
      </c>
      <c r="C656" s="1" t="s">
        <v>1259</v>
      </c>
      <c r="D656" s="1" t="s">
        <v>1259</v>
      </c>
      <c r="E656" t="s">
        <v>1260</v>
      </c>
      <c r="F656" s="2" t="s">
        <v>1261</v>
      </c>
      <c r="G656" t="s">
        <v>121</v>
      </c>
      <c r="H656" s="2" t="s">
        <v>50</v>
      </c>
      <c r="I656" s="2">
        <v>168.88</v>
      </c>
    </row>
    <row r="657" spans="1:9" x14ac:dyDescent="0.25">
      <c r="A657" s="1" t="s">
        <v>1257</v>
      </c>
      <c r="B657" t="s">
        <v>1258</v>
      </c>
      <c r="C657" s="1" t="s">
        <v>41</v>
      </c>
      <c r="D657" s="1" t="s">
        <v>41</v>
      </c>
      <c r="E657" t="s">
        <v>42</v>
      </c>
      <c r="F657" s="2" t="s">
        <v>43</v>
      </c>
      <c r="G657" t="s">
        <v>5</v>
      </c>
      <c r="H657" s="2" t="s">
        <v>550</v>
      </c>
      <c r="I657" s="2">
        <v>0.02</v>
      </c>
    </row>
    <row r="658" spans="1:9" x14ac:dyDescent="0.25">
      <c r="A658" s="1" t="s">
        <v>1257</v>
      </c>
      <c r="B658" t="s">
        <v>1258</v>
      </c>
      <c r="C658" s="1" t="s">
        <v>7</v>
      </c>
      <c r="D658" s="1" t="s">
        <v>7</v>
      </c>
      <c r="E658" t="s">
        <v>8</v>
      </c>
      <c r="F658" s="2" t="s">
        <v>9</v>
      </c>
      <c r="G658" t="s">
        <v>10</v>
      </c>
      <c r="H658" s="2" t="s">
        <v>1262</v>
      </c>
      <c r="I658" s="2">
        <v>11.1</v>
      </c>
    </row>
    <row r="659" spans="1:9" x14ac:dyDescent="0.25">
      <c r="A659" s="1" t="s">
        <v>1263</v>
      </c>
      <c r="B659" t="s">
        <v>1264</v>
      </c>
      <c r="C659" s="1" t="s">
        <v>1249</v>
      </c>
      <c r="D659" s="1" t="s">
        <v>1249</v>
      </c>
      <c r="E659" t="s">
        <v>1250</v>
      </c>
      <c r="F659" s="2" t="s">
        <v>1251</v>
      </c>
      <c r="G659" t="s">
        <v>1252</v>
      </c>
      <c r="H659" s="2" t="s">
        <v>1265</v>
      </c>
      <c r="I659" s="2">
        <v>12.72</v>
      </c>
    </row>
    <row r="660" spans="1:9" x14ac:dyDescent="0.25">
      <c r="A660" s="1" t="s">
        <v>1263</v>
      </c>
      <c r="B660" t="s">
        <v>1264</v>
      </c>
      <c r="C660" s="1" t="s">
        <v>7</v>
      </c>
      <c r="D660" s="1" t="s">
        <v>7</v>
      </c>
      <c r="E660" t="s">
        <v>8</v>
      </c>
      <c r="F660" s="2" t="s">
        <v>9</v>
      </c>
      <c r="G660" t="s">
        <v>10</v>
      </c>
      <c r="H660" s="2" t="s">
        <v>1254</v>
      </c>
      <c r="I660" s="2">
        <v>16.100000000000001</v>
      </c>
    </row>
    <row r="661" spans="1:9" x14ac:dyDescent="0.25">
      <c r="A661" s="1" t="s">
        <v>1263</v>
      </c>
      <c r="B661" t="s">
        <v>1264</v>
      </c>
      <c r="C661" s="1" t="s">
        <v>7</v>
      </c>
      <c r="D661" s="1" t="s">
        <v>7</v>
      </c>
      <c r="E661" t="s">
        <v>8</v>
      </c>
      <c r="F661" s="2" t="s">
        <v>9</v>
      </c>
      <c r="G661" t="s">
        <v>10</v>
      </c>
      <c r="H661" s="2" t="s">
        <v>601</v>
      </c>
      <c r="I661" s="2">
        <v>6.9</v>
      </c>
    </row>
    <row r="662" spans="1:9" x14ac:dyDescent="0.25">
      <c r="A662" s="1" t="s">
        <v>1266</v>
      </c>
      <c r="B662" t="s">
        <v>1267</v>
      </c>
      <c r="C662" s="1" t="s">
        <v>1249</v>
      </c>
      <c r="D662" s="1" t="s">
        <v>1249</v>
      </c>
      <c r="E662" t="s">
        <v>1250</v>
      </c>
      <c r="F662" s="2" t="s">
        <v>1251</v>
      </c>
      <c r="G662" t="s">
        <v>1252</v>
      </c>
      <c r="H662" s="2" t="s">
        <v>1253</v>
      </c>
      <c r="I662" s="2">
        <v>12</v>
      </c>
    </row>
    <row r="663" spans="1:9" x14ac:dyDescent="0.25">
      <c r="A663" s="1" t="s">
        <v>1266</v>
      </c>
      <c r="B663" t="s">
        <v>1267</v>
      </c>
      <c r="C663" s="1" t="s">
        <v>7</v>
      </c>
      <c r="D663" s="1" t="s">
        <v>7</v>
      </c>
      <c r="E663" t="s">
        <v>8</v>
      </c>
      <c r="F663" s="2" t="s">
        <v>9</v>
      </c>
      <c r="G663" t="s">
        <v>10</v>
      </c>
      <c r="H663" s="2" t="s">
        <v>1254</v>
      </c>
      <c r="I663" s="2">
        <v>16.100000000000001</v>
      </c>
    </row>
    <row r="664" spans="1:9" x14ac:dyDescent="0.25">
      <c r="A664" s="1" t="s">
        <v>1266</v>
      </c>
      <c r="B664" t="s">
        <v>1267</v>
      </c>
      <c r="C664" s="1" t="s">
        <v>7</v>
      </c>
      <c r="D664" s="1" t="s">
        <v>7</v>
      </c>
      <c r="E664" t="s">
        <v>8</v>
      </c>
      <c r="F664" s="2" t="s">
        <v>9</v>
      </c>
      <c r="G664" t="s">
        <v>10</v>
      </c>
      <c r="H664" s="2" t="s">
        <v>601</v>
      </c>
      <c r="I664" s="2">
        <v>6.9</v>
      </c>
    </row>
    <row r="665" spans="1:9" x14ac:dyDescent="0.25">
      <c r="A665" s="1" t="s">
        <v>1268</v>
      </c>
      <c r="B665" t="s">
        <v>1269</v>
      </c>
      <c r="C665" s="1" t="s">
        <v>1022</v>
      </c>
      <c r="D665" s="1" t="s">
        <v>1022</v>
      </c>
      <c r="E665" t="s">
        <v>1023</v>
      </c>
      <c r="F665" s="2" t="s">
        <v>1024</v>
      </c>
      <c r="G665" t="s">
        <v>932</v>
      </c>
      <c r="H665" s="2" t="s">
        <v>1270</v>
      </c>
      <c r="I665" s="2">
        <v>20.8</v>
      </c>
    </row>
    <row r="666" spans="1:9" x14ac:dyDescent="0.25">
      <c r="A666" s="1" t="s">
        <v>1268</v>
      </c>
      <c r="B666" t="s">
        <v>1269</v>
      </c>
      <c r="C666" s="1" t="s">
        <v>7</v>
      </c>
      <c r="D666" s="1" t="s">
        <v>7</v>
      </c>
      <c r="E666" t="s">
        <v>8</v>
      </c>
      <c r="F666" s="2" t="s">
        <v>9</v>
      </c>
      <c r="G666" t="s">
        <v>10</v>
      </c>
      <c r="H666" s="2" t="s">
        <v>1271</v>
      </c>
      <c r="I666" s="2">
        <v>27.2</v>
      </c>
    </row>
    <row r="667" spans="1:9" x14ac:dyDescent="0.25">
      <c r="A667" s="1" t="s">
        <v>1272</v>
      </c>
      <c r="B667" t="s">
        <v>1273</v>
      </c>
      <c r="C667" s="1" t="s">
        <v>1249</v>
      </c>
      <c r="D667" s="1" t="s">
        <v>1249</v>
      </c>
      <c r="E667" t="s">
        <v>1250</v>
      </c>
      <c r="F667" s="2" t="s">
        <v>1251</v>
      </c>
      <c r="G667" t="s">
        <v>1252</v>
      </c>
      <c r="H667" s="2" t="s">
        <v>1274</v>
      </c>
      <c r="I667" s="2">
        <v>14.4</v>
      </c>
    </row>
    <row r="668" spans="1:9" x14ac:dyDescent="0.25">
      <c r="A668" s="1" t="s">
        <v>1272</v>
      </c>
      <c r="B668" t="s">
        <v>1273</v>
      </c>
      <c r="C668" s="1" t="s">
        <v>7</v>
      </c>
      <c r="D668" s="1" t="s">
        <v>7</v>
      </c>
      <c r="E668" t="s">
        <v>8</v>
      </c>
      <c r="F668" s="2" t="s">
        <v>9</v>
      </c>
      <c r="G668" t="s">
        <v>10</v>
      </c>
      <c r="H668" s="2" t="s">
        <v>1275</v>
      </c>
      <c r="I668" s="2">
        <v>18.09</v>
      </c>
    </row>
    <row r="669" spans="1:9" x14ac:dyDescent="0.25">
      <c r="A669" s="1" t="s">
        <v>1272</v>
      </c>
      <c r="B669" t="s">
        <v>1273</v>
      </c>
      <c r="C669" s="1" t="s">
        <v>7</v>
      </c>
      <c r="D669" s="1" t="s">
        <v>7</v>
      </c>
      <c r="E669" t="s">
        <v>8</v>
      </c>
      <c r="F669" s="2" t="s">
        <v>9</v>
      </c>
      <c r="G669" t="s">
        <v>10</v>
      </c>
      <c r="H669" s="2" t="s">
        <v>33</v>
      </c>
      <c r="I669" s="2">
        <v>9.1999999999999993</v>
      </c>
    </row>
    <row r="670" spans="1:9" x14ac:dyDescent="0.25">
      <c r="A670" s="1" t="s">
        <v>1276</v>
      </c>
      <c r="B670" t="s">
        <v>1277</v>
      </c>
      <c r="C670" s="1" t="s">
        <v>1022</v>
      </c>
      <c r="D670" s="1" t="s">
        <v>1022</v>
      </c>
      <c r="E670" t="s">
        <v>1023</v>
      </c>
      <c r="F670" s="2" t="s">
        <v>1024</v>
      </c>
      <c r="G670" t="s">
        <v>932</v>
      </c>
      <c r="H670" s="2" t="s">
        <v>1278</v>
      </c>
      <c r="I670" s="2">
        <v>3.65</v>
      </c>
    </row>
    <row r="671" spans="1:9" x14ac:dyDescent="0.25">
      <c r="A671" s="1" t="s">
        <v>1276</v>
      </c>
      <c r="B671" t="s">
        <v>1277</v>
      </c>
      <c r="C671" s="1" t="s">
        <v>7</v>
      </c>
      <c r="D671" s="1" t="s">
        <v>7</v>
      </c>
      <c r="E671" t="s">
        <v>1031</v>
      </c>
      <c r="F671" s="2" t="s">
        <v>9</v>
      </c>
      <c r="G671" t="s">
        <v>10</v>
      </c>
      <c r="H671" s="2" t="s">
        <v>1279</v>
      </c>
      <c r="I671" s="2">
        <v>16.7</v>
      </c>
    </row>
    <row r="672" spans="1:9" x14ac:dyDescent="0.25">
      <c r="A672" s="1" t="s">
        <v>1280</v>
      </c>
      <c r="B672" t="s">
        <v>1281</v>
      </c>
      <c r="C672" s="1" t="s">
        <v>1022</v>
      </c>
      <c r="D672" s="1" t="s">
        <v>1022</v>
      </c>
      <c r="E672" t="s">
        <v>1023</v>
      </c>
      <c r="F672" s="2" t="s">
        <v>1024</v>
      </c>
      <c r="G672" t="s">
        <v>932</v>
      </c>
      <c r="H672" s="2" t="s">
        <v>1282</v>
      </c>
      <c r="I672" s="2">
        <v>3.3</v>
      </c>
    </row>
    <row r="673" spans="1:9" x14ac:dyDescent="0.25">
      <c r="A673" s="1" t="s">
        <v>1280</v>
      </c>
      <c r="B673" t="s">
        <v>1281</v>
      </c>
      <c r="C673" s="1" t="s">
        <v>7</v>
      </c>
      <c r="D673" s="1" t="s">
        <v>7</v>
      </c>
      <c r="E673" t="s">
        <v>1031</v>
      </c>
      <c r="F673" s="2" t="s">
        <v>9</v>
      </c>
      <c r="G673" t="s">
        <v>10</v>
      </c>
      <c r="H673" s="2" t="s">
        <v>1279</v>
      </c>
      <c r="I673" s="2">
        <v>16.7</v>
      </c>
    </row>
    <row r="674" spans="1:9" x14ac:dyDescent="0.25">
      <c r="A674" s="1" t="s">
        <v>1283</v>
      </c>
      <c r="B674" t="s">
        <v>1284</v>
      </c>
      <c r="C674" s="1" t="s">
        <v>1249</v>
      </c>
      <c r="D674" s="1" t="s">
        <v>1249</v>
      </c>
      <c r="E674" t="s">
        <v>1250</v>
      </c>
      <c r="F674" s="2" t="s">
        <v>1251</v>
      </c>
      <c r="G674" t="s">
        <v>1252</v>
      </c>
      <c r="H674" s="2" t="s">
        <v>1253</v>
      </c>
      <c r="I674" s="2">
        <v>12</v>
      </c>
    </row>
    <row r="675" spans="1:9" x14ac:dyDescent="0.25">
      <c r="A675" s="1" t="s">
        <v>1283</v>
      </c>
      <c r="B675" t="s">
        <v>1284</v>
      </c>
      <c r="C675" s="1" t="s">
        <v>7</v>
      </c>
      <c r="D675" s="1" t="s">
        <v>7</v>
      </c>
      <c r="E675" t="s">
        <v>8</v>
      </c>
      <c r="F675" s="2" t="s">
        <v>9</v>
      </c>
      <c r="G675" t="s">
        <v>10</v>
      </c>
      <c r="H675" s="2" t="s">
        <v>1254</v>
      </c>
      <c r="I675" s="2">
        <v>16.100000000000001</v>
      </c>
    </row>
    <row r="676" spans="1:9" x14ac:dyDescent="0.25">
      <c r="A676" s="1" t="s">
        <v>1283</v>
      </c>
      <c r="B676" t="s">
        <v>1284</v>
      </c>
      <c r="C676" s="1" t="s">
        <v>7</v>
      </c>
      <c r="D676" s="1" t="s">
        <v>7</v>
      </c>
      <c r="E676" t="s">
        <v>8</v>
      </c>
      <c r="F676" s="2" t="s">
        <v>9</v>
      </c>
      <c r="G676" t="s">
        <v>10</v>
      </c>
      <c r="H676" s="2" t="s">
        <v>601</v>
      </c>
      <c r="I676" s="2">
        <v>6.9</v>
      </c>
    </row>
    <row r="677" spans="1:9" x14ac:dyDescent="0.25">
      <c r="A677" s="1" t="s">
        <v>1285</v>
      </c>
      <c r="B677" t="s">
        <v>1286</v>
      </c>
      <c r="C677" s="1" t="s">
        <v>1249</v>
      </c>
      <c r="D677" s="1" t="s">
        <v>1249</v>
      </c>
      <c r="E677" t="s">
        <v>1250</v>
      </c>
      <c r="F677" s="2" t="s">
        <v>1251</v>
      </c>
      <c r="G677" t="s">
        <v>1252</v>
      </c>
      <c r="H677" s="2" t="s">
        <v>528</v>
      </c>
      <c r="I677" s="2">
        <v>16.8</v>
      </c>
    </row>
    <row r="678" spans="1:9" x14ac:dyDescent="0.25">
      <c r="A678" s="1" t="s">
        <v>1285</v>
      </c>
      <c r="B678" t="s">
        <v>1286</v>
      </c>
      <c r="C678" s="1" t="s">
        <v>7</v>
      </c>
      <c r="D678" s="1" t="s">
        <v>7</v>
      </c>
      <c r="E678" t="s">
        <v>8</v>
      </c>
      <c r="F678" s="2" t="s">
        <v>9</v>
      </c>
      <c r="G678" t="s">
        <v>10</v>
      </c>
      <c r="H678" s="2" t="s">
        <v>607</v>
      </c>
      <c r="I678" s="2">
        <v>18.399999999999999</v>
      </c>
    </row>
    <row r="679" spans="1:9" x14ac:dyDescent="0.25">
      <c r="A679" s="1" t="s">
        <v>1285</v>
      </c>
      <c r="B679" t="s">
        <v>1286</v>
      </c>
      <c r="C679" s="1" t="s">
        <v>7</v>
      </c>
      <c r="D679" s="1" t="s">
        <v>7</v>
      </c>
      <c r="E679" t="s">
        <v>8</v>
      </c>
      <c r="F679" s="2" t="s">
        <v>9</v>
      </c>
      <c r="G679" t="s">
        <v>10</v>
      </c>
      <c r="H679" s="2" t="s">
        <v>33</v>
      </c>
      <c r="I679" s="2">
        <v>9.1999999999999993</v>
      </c>
    </row>
    <row r="680" spans="1:9" x14ac:dyDescent="0.25">
      <c r="A680" s="1" t="s">
        <v>1287</v>
      </c>
      <c r="B680" t="s">
        <v>1288</v>
      </c>
      <c r="C680" s="1" t="s">
        <v>1022</v>
      </c>
      <c r="D680" s="1" t="s">
        <v>1022</v>
      </c>
      <c r="E680" t="s">
        <v>1023</v>
      </c>
      <c r="F680" s="2" t="s">
        <v>1024</v>
      </c>
      <c r="G680" t="s">
        <v>932</v>
      </c>
      <c r="H680" s="2" t="s">
        <v>1270</v>
      </c>
      <c r="I680" s="2">
        <v>20.8</v>
      </c>
    </row>
    <row r="681" spans="1:9" x14ac:dyDescent="0.25">
      <c r="A681" s="1" t="s">
        <v>1287</v>
      </c>
      <c r="B681" t="s">
        <v>1288</v>
      </c>
      <c r="C681" s="1" t="s">
        <v>7</v>
      </c>
      <c r="D681" s="1" t="s">
        <v>7</v>
      </c>
      <c r="E681" t="s">
        <v>8</v>
      </c>
      <c r="F681" s="2" t="s">
        <v>9</v>
      </c>
      <c r="G681" t="s">
        <v>10</v>
      </c>
      <c r="H681" s="2" t="s">
        <v>1289</v>
      </c>
      <c r="I681" s="2">
        <v>27</v>
      </c>
    </row>
    <row r="682" spans="1:9" x14ac:dyDescent="0.25">
      <c r="A682" s="1" t="s">
        <v>1290</v>
      </c>
      <c r="B682" t="s">
        <v>1291</v>
      </c>
      <c r="C682" s="1" t="s">
        <v>1022</v>
      </c>
      <c r="D682" s="1" t="s">
        <v>1022</v>
      </c>
      <c r="E682" t="s">
        <v>1023</v>
      </c>
      <c r="F682" s="2" t="s">
        <v>1024</v>
      </c>
      <c r="G682" t="s">
        <v>932</v>
      </c>
      <c r="H682" s="2" t="s">
        <v>1292</v>
      </c>
      <c r="I682" s="2">
        <v>24.25</v>
      </c>
    </row>
    <row r="683" spans="1:9" x14ac:dyDescent="0.25">
      <c r="A683" s="1" t="s">
        <v>1290</v>
      </c>
      <c r="B683" t="s">
        <v>1291</v>
      </c>
      <c r="C683" s="1" t="s">
        <v>7</v>
      </c>
      <c r="D683" s="1" t="s">
        <v>7</v>
      </c>
      <c r="E683" t="s">
        <v>8</v>
      </c>
      <c r="F683" s="2" t="s">
        <v>9</v>
      </c>
      <c r="G683" t="s">
        <v>10</v>
      </c>
      <c r="H683" s="2" t="s">
        <v>1293</v>
      </c>
      <c r="I683" s="2">
        <v>46.25</v>
      </c>
    </row>
    <row r="684" spans="1:9" x14ac:dyDescent="0.25">
      <c r="A684" s="1" t="s">
        <v>1294</v>
      </c>
      <c r="B684" t="s">
        <v>1295</v>
      </c>
      <c r="C684" s="1" t="s">
        <v>1296</v>
      </c>
      <c r="D684" s="1" t="s">
        <v>1296</v>
      </c>
      <c r="E684" t="s">
        <v>1297</v>
      </c>
      <c r="F684" s="2" t="s">
        <v>1017</v>
      </c>
      <c r="G684" t="s">
        <v>5</v>
      </c>
      <c r="H684" s="2" t="s">
        <v>1209</v>
      </c>
      <c r="I684" s="2">
        <v>0.25</v>
      </c>
    </row>
    <row r="685" spans="1:9" x14ac:dyDescent="0.25">
      <c r="A685" s="1" t="s">
        <v>1294</v>
      </c>
      <c r="B685" t="s">
        <v>1295</v>
      </c>
      <c r="C685" s="1" t="s">
        <v>7</v>
      </c>
      <c r="D685" s="1" t="s">
        <v>7</v>
      </c>
      <c r="E685" t="s">
        <v>8</v>
      </c>
      <c r="F685" s="2" t="s">
        <v>9</v>
      </c>
      <c r="G685" t="s">
        <v>10</v>
      </c>
      <c r="H685" s="2" t="s">
        <v>594</v>
      </c>
      <c r="I685" s="2">
        <v>11.5</v>
      </c>
    </row>
    <row r="686" spans="1:9" x14ac:dyDescent="0.25">
      <c r="A686" s="1" t="s">
        <v>1298</v>
      </c>
      <c r="B686" t="s">
        <v>1299</v>
      </c>
      <c r="C686" s="1" t="s">
        <v>1022</v>
      </c>
      <c r="D686" s="1" t="s">
        <v>1022</v>
      </c>
      <c r="E686" t="s">
        <v>1023</v>
      </c>
      <c r="F686" s="2" t="s">
        <v>1024</v>
      </c>
      <c r="G686" t="s">
        <v>932</v>
      </c>
      <c r="H686" s="2" t="s">
        <v>1300</v>
      </c>
      <c r="I686" s="2">
        <v>69.5</v>
      </c>
    </row>
    <row r="687" spans="1:9" x14ac:dyDescent="0.25">
      <c r="A687" s="1" t="s">
        <v>1298</v>
      </c>
      <c r="B687" t="s">
        <v>1299</v>
      </c>
      <c r="C687" s="1" t="s">
        <v>7</v>
      </c>
      <c r="D687" s="1" t="s">
        <v>7</v>
      </c>
      <c r="E687" t="s">
        <v>8</v>
      </c>
      <c r="F687" s="2" t="s">
        <v>9</v>
      </c>
      <c r="G687" t="s">
        <v>10</v>
      </c>
      <c r="H687" s="2" t="s">
        <v>1301</v>
      </c>
      <c r="I687" s="2">
        <v>60.5</v>
      </c>
    </row>
    <row r="688" spans="1:9" x14ac:dyDescent="0.25">
      <c r="A688" s="1" t="s">
        <v>1302</v>
      </c>
      <c r="B688" t="s">
        <v>1303</v>
      </c>
      <c r="C688" s="1" t="s">
        <v>1022</v>
      </c>
      <c r="D688" s="1" t="s">
        <v>1022</v>
      </c>
      <c r="E688" t="s">
        <v>1023</v>
      </c>
      <c r="F688" s="2" t="s">
        <v>1024</v>
      </c>
      <c r="G688" t="s">
        <v>932</v>
      </c>
      <c r="H688" s="2" t="s">
        <v>122</v>
      </c>
      <c r="I688" s="2">
        <v>55.6</v>
      </c>
    </row>
    <row r="689" spans="1:9" x14ac:dyDescent="0.25">
      <c r="A689" s="1" t="s">
        <v>1302</v>
      </c>
      <c r="B689" t="s">
        <v>1303</v>
      </c>
      <c r="C689" s="1" t="s">
        <v>7</v>
      </c>
      <c r="D689" s="1" t="s">
        <v>7</v>
      </c>
      <c r="E689" t="s">
        <v>8</v>
      </c>
      <c r="F689" s="2" t="s">
        <v>9</v>
      </c>
      <c r="G689" t="s">
        <v>10</v>
      </c>
      <c r="H689" s="2" t="s">
        <v>1304</v>
      </c>
      <c r="I689" s="2">
        <v>38.200000000000003</v>
      </c>
    </row>
    <row r="690" spans="1:9" x14ac:dyDescent="0.25">
      <c r="A690" s="1" t="s">
        <v>1305</v>
      </c>
      <c r="B690" t="s">
        <v>1306</v>
      </c>
      <c r="C690" s="1" t="s">
        <v>1022</v>
      </c>
      <c r="D690" s="1" t="s">
        <v>1022</v>
      </c>
      <c r="E690" t="s">
        <v>1023</v>
      </c>
      <c r="F690" s="2" t="s">
        <v>1024</v>
      </c>
      <c r="G690" t="s">
        <v>932</v>
      </c>
      <c r="H690" s="2" t="s">
        <v>122</v>
      </c>
      <c r="I690" s="2">
        <v>55.6</v>
      </c>
    </row>
    <row r="691" spans="1:9" x14ac:dyDescent="0.25">
      <c r="A691" s="1" t="s">
        <v>1305</v>
      </c>
      <c r="B691" t="s">
        <v>1306</v>
      </c>
      <c r="C691" s="1" t="s">
        <v>7</v>
      </c>
      <c r="D691" s="1" t="s">
        <v>7</v>
      </c>
      <c r="E691" t="s">
        <v>8</v>
      </c>
      <c r="F691" s="2" t="s">
        <v>9</v>
      </c>
      <c r="G691" t="s">
        <v>10</v>
      </c>
      <c r="H691" s="2" t="s">
        <v>1307</v>
      </c>
      <c r="I691" s="2">
        <v>41.9</v>
      </c>
    </row>
    <row r="692" spans="1:9" x14ac:dyDescent="0.25">
      <c r="A692" s="1" t="s">
        <v>1259</v>
      </c>
      <c r="B692" t="s">
        <v>1308</v>
      </c>
      <c r="C692" s="1" t="s">
        <v>1022</v>
      </c>
      <c r="D692" s="1" t="s">
        <v>1022</v>
      </c>
      <c r="E692" t="s">
        <v>1023</v>
      </c>
      <c r="F692" s="2" t="s">
        <v>1024</v>
      </c>
      <c r="G692" t="s">
        <v>932</v>
      </c>
      <c r="H692" s="2" t="s">
        <v>92</v>
      </c>
      <c r="I692" s="2">
        <v>27.8</v>
      </c>
    </row>
    <row r="693" spans="1:9" x14ac:dyDescent="0.25">
      <c r="A693" s="1" t="s">
        <v>1259</v>
      </c>
      <c r="B693" t="s">
        <v>1308</v>
      </c>
      <c r="C693" s="1" t="s">
        <v>7</v>
      </c>
      <c r="D693" s="1" t="s">
        <v>7</v>
      </c>
      <c r="E693" t="s">
        <v>8</v>
      </c>
      <c r="F693" s="2" t="s">
        <v>9</v>
      </c>
      <c r="G693" t="s">
        <v>10</v>
      </c>
      <c r="H693" s="2" t="s">
        <v>1309</v>
      </c>
      <c r="I693" s="2">
        <v>53.4</v>
      </c>
    </row>
    <row r="694" spans="1:9" x14ac:dyDescent="0.25">
      <c r="A694" s="1" t="s">
        <v>1310</v>
      </c>
      <c r="B694" t="s">
        <v>1311</v>
      </c>
      <c r="C694" s="1" t="s">
        <v>1249</v>
      </c>
      <c r="D694" s="1" t="s">
        <v>1249</v>
      </c>
      <c r="E694" t="s">
        <v>1250</v>
      </c>
      <c r="F694" s="2" t="s">
        <v>1251</v>
      </c>
      <c r="G694" t="s">
        <v>1252</v>
      </c>
      <c r="H694" s="2" t="s">
        <v>1312</v>
      </c>
      <c r="I694" s="2">
        <v>12.6</v>
      </c>
    </row>
    <row r="695" spans="1:9" x14ac:dyDescent="0.25">
      <c r="A695" s="1" t="s">
        <v>1310</v>
      </c>
      <c r="B695" t="s">
        <v>1311</v>
      </c>
      <c r="C695" s="1" t="s">
        <v>7</v>
      </c>
      <c r="D695" s="1" t="s">
        <v>7</v>
      </c>
      <c r="E695" t="s">
        <v>8</v>
      </c>
      <c r="F695" s="2" t="s">
        <v>9</v>
      </c>
      <c r="G695" t="s">
        <v>10</v>
      </c>
      <c r="H695" s="2" t="s">
        <v>1313</v>
      </c>
      <c r="I695" s="2">
        <v>16.05</v>
      </c>
    </row>
    <row r="696" spans="1:9" x14ac:dyDescent="0.25">
      <c r="A696" s="1" t="s">
        <v>1310</v>
      </c>
      <c r="B696" t="s">
        <v>1311</v>
      </c>
      <c r="C696" s="1" t="s">
        <v>7</v>
      </c>
      <c r="D696" s="1" t="s">
        <v>7</v>
      </c>
      <c r="E696" t="s">
        <v>8</v>
      </c>
      <c r="F696" s="2" t="s">
        <v>9</v>
      </c>
      <c r="G696" t="s">
        <v>10</v>
      </c>
      <c r="H696" s="2" t="s">
        <v>1314</v>
      </c>
      <c r="I696" s="2">
        <v>6.95</v>
      </c>
    </row>
    <row r="697" spans="1:9" x14ac:dyDescent="0.25">
      <c r="A697" s="1" t="s">
        <v>1315</v>
      </c>
      <c r="B697" t="s">
        <v>1316</v>
      </c>
      <c r="C697" s="1" t="s">
        <v>1249</v>
      </c>
      <c r="D697" s="1" t="s">
        <v>1249</v>
      </c>
      <c r="E697" t="s">
        <v>1250</v>
      </c>
      <c r="F697" s="2" t="s">
        <v>1251</v>
      </c>
      <c r="G697" t="s">
        <v>1252</v>
      </c>
      <c r="H697" s="2" t="s">
        <v>1253</v>
      </c>
      <c r="I697" s="2">
        <v>12</v>
      </c>
    </row>
    <row r="698" spans="1:9" x14ac:dyDescent="0.25">
      <c r="A698" s="1" t="s">
        <v>1315</v>
      </c>
      <c r="B698" t="s">
        <v>1316</v>
      </c>
      <c r="C698" s="1" t="s">
        <v>7</v>
      </c>
      <c r="D698" s="1" t="s">
        <v>7</v>
      </c>
      <c r="E698" t="s">
        <v>8</v>
      </c>
      <c r="F698" s="2" t="s">
        <v>9</v>
      </c>
      <c r="G698" t="s">
        <v>10</v>
      </c>
      <c r="H698" s="2" t="s">
        <v>601</v>
      </c>
      <c r="I698" s="2">
        <v>6.9</v>
      </c>
    </row>
    <row r="699" spans="1:9" x14ac:dyDescent="0.25">
      <c r="A699" s="1" t="s">
        <v>1315</v>
      </c>
      <c r="B699" t="s">
        <v>1316</v>
      </c>
      <c r="C699" s="1" t="s">
        <v>7</v>
      </c>
      <c r="D699" s="1" t="s">
        <v>7</v>
      </c>
      <c r="E699" t="s">
        <v>8</v>
      </c>
      <c r="F699" s="2" t="s">
        <v>9</v>
      </c>
      <c r="G699" t="s">
        <v>10</v>
      </c>
      <c r="H699" s="2" t="s">
        <v>1254</v>
      </c>
      <c r="I699" s="2">
        <v>16.100000000000001</v>
      </c>
    </row>
    <row r="700" spans="1:9" x14ac:dyDescent="0.25">
      <c r="A700" s="1" t="s">
        <v>1317</v>
      </c>
      <c r="B700" t="s">
        <v>1318</v>
      </c>
      <c r="C700" s="1" t="s">
        <v>1249</v>
      </c>
      <c r="D700" s="1" t="s">
        <v>1249</v>
      </c>
      <c r="E700" t="s">
        <v>1250</v>
      </c>
      <c r="F700" s="2" t="s">
        <v>1251</v>
      </c>
      <c r="G700" t="s">
        <v>1252</v>
      </c>
      <c r="H700" s="2" t="s">
        <v>1319</v>
      </c>
      <c r="I700" s="2">
        <v>33</v>
      </c>
    </row>
    <row r="701" spans="1:9" x14ac:dyDescent="0.25">
      <c r="A701" s="1" t="s">
        <v>1317</v>
      </c>
      <c r="B701" t="s">
        <v>1318</v>
      </c>
      <c r="C701" s="1" t="s">
        <v>7</v>
      </c>
      <c r="D701" s="1" t="s">
        <v>7</v>
      </c>
      <c r="E701" t="s">
        <v>8</v>
      </c>
      <c r="F701" s="2" t="s">
        <v>9</v>
      </c>
      <c r="G701" t="s">
        <v>10</v>
      </c>
      <c r="H701" s="2" t="s">
        <v>1320</v>
      </c>
      <c r="I701" s="2">
        <v>53.79</v>
      </c>
    </row>
    <row r="702" spans="1:9" x14ac:dyDescent="0.25">
      <c r="A702" s="1" t="s">
        <v>1321</v>
      </c>
      <c r="B702" t="s">
        <v>1322</v>
      </c>
      <c r="C702" s="1" t="s">
        <v>1249</v>
      </c>
      <c r="D702" s="1" t="s">
        <v>1249</v>
      </c>
      <c r="E702" t="s">
        <v>1250</v>
      </c>
      <c r="F702" s="2" t="s">
        <v>1251</v>
      </c>
      <c r="G702" t="s">
        <v>1252</v>
      </c>
      <c r="H702" s="2" t="s">
        <v>1323</v>
      </c>
      <c r="I702" s="2">
        <v>34.799999999999997</v>
      </c>
    </row>
    <row r="703" spans="1:9" x14ac:dyDescent="0.25">
      <c r="A703" s="1" t="s">
        <v>1321</v>
      </c>
      <c r="B703" t="s">
        <v>1322</v>
      </c>
      <c r="C703" s="1" t="s">
        <v>7</v>
      </c>
      <c r="D703" s="1" t="s">
        <v>7</v>
      </c>
      <c r="E703" t="s">
        <v>1031</v>
      </c>
      <c r="F703" s="2" t="s">
        <v>9</v>
      </c>
      <c r="G703" t="s">
        <v>10</v>
      </c>
      <c r="H703" s="2" t="s">
        <v>1324</v>
      </c>
      <c r="I703" s="2">
        <v>53.4</v>
      </c>
    </row>
    <row r="704" spans="1:9" x14ac:dyDescent="0.25">
      <c r="A704" s="1" t="s">
        <v>1325</v>
      </c>
      <c r="B704" t="s">
        <v>1326</v>
      </c>
      <c r="C704" s="1" t="s">
        <v>1327</v>
      </c>
      <c r="D704" s="1" t="s">
        <v>1327</v>
      </c>
      <c r="E704" t="s">
        <v>1328</v>
      </c>
      <c r="F704" s="2" t="s">
        <v>1329</v>
      </c>
      <c r="G704" t="s">
        <v>49</v>
      </c>
      <c r="H704" s="2" t="s">
        <v>50</v>
      </c>
      <c r="I704" s="2">
        <v>220</v>
      </c>
    </row>
    <row r="705" spans="1:9" x14ac:dyDescent="0.25">
      <c r="A705" s="1" t="s">
        <v>1325</v>
      </c>
      <c r="B705" t="s">
        <v>1326</v>
      </c>
      <c r="C705" s="1" t="s">
        <v>7</v>
      </c>
      <c r="D705" s="1" t="s">
        <v>7</v>
      </c>
      <c r="E705" t="s">
        <v>8</v>
      </c>
      <c r="F705" s="2" t="s">
        <v>9</v>
      </c>
      <c r="G705" t="s">
        <v>10</v>
      </c>
      <c r="H705" s="2" t="s">
        <v>1330</v>
      </c>
      <c r="I705" s="2">
        <v>98.9</v>
      </c>
    </row>
    <row r="706" spans="1:9" x14ac:dyDescent="0.25">
      <c r="A706" s="1" t="s">
        <v>1331</v>
      </c>
      <c r="B706" t="s">
        <v>1332</v>
      </c>
      <c r="C706" s="1" t="s">
        <v>1327</v>
      </c>
      <c r="D706" s="1" t="s">
        <v>1327</v>
      </c>
      <c r="E706" t="s">
        <v>1328</v>
      </c>
      <c r="F706" s="2" t="s">
        <v>1329</v>
      </c>
      <c r="G706" t="s">
        <v>49</v>
      </c>
      <c r="H706" s="2" t="s">
        <v>50</v>
      </c>
      <c r="I706" s="2">
        <v>220</v>
      </c>
    </row>
    <row r="707" spans="1:9" x14ac:dyDescent="0.25">
      <c r="A707" s="1" t="s">
        <v>1331</v>
      </c>
      <c r="B707" t="s">
        <v>1332</v>
      </c>
      <c r="C707" s="1" t="s">
        <v>541</v>
      </c>
      <c r="D707" s="1" t="s">
        <v>541</v>
      </c>
      <c r="E707" t="s">
        <v>542</v>
      </c>
      <c r="F707" s="2" t="s">
        <v>9</v>
      </c>
      <c r="G707" t="s">
        <v>10</v>
      </c>
      <c r="H707" s="2" t="s">
        <v>1330</v>
      </c>
      <c r="I707" s="2">
        <v>98.9</v>
      </c>
    </row>
    <row r="708" spans="1:9" x14ac:dyDescent="0.25">
      <c r="A708" s="1" t="s">
        <v>1333</v>
      </c>
      <c r="B708" t="s">
        <v>1334</v>
      </c>
      <c r="C708" s="1" t="s">
        <v>1335</v>
      </c>
      <c r="D708" s="1" t="s">
        <v>1335</v>
      </c>
      <c r="E708" t="s">
        <v>1336</v>
      </c>
      <c r="F708" s="2" t="s">
        <v>1337</v>
      </c>
      <c r="G708" t="s">
        <v>49</v>
      </c>
      <c r="H708" s="2" t="s">
        <v>50</v>
      </c>
      <c r="I708" s="2">
        <v>90</v>
      </c>
    </row>
    <row r="709" spans="1:9" x14ac:dyDescent="0.25">
      <c r="A709" s="1" t="s">
        <v>1333</v>
      </c>
      <c r="B709" t="s">
        <v>1334</v>
      </c>
      <c r="C709" s="1" t="s">
        <v>541</v>
      </c>
      <c r="D709" s="1" t="s">
        <v>541</v>
      </c>
      <c r="E709" t="s">
        <v>542</v>
      </c>
      <c r="F709" s="2" t="s">
        <v>811</v>
      </c>
      <c r="G709" t="s">
        <v>10</v>
      </c>
      <c r="H709" s="2" t="s">
        <v>1338</v>
      </c>
      <c r="I709" s="2">
        <v>191.25</v>
      </c>
    </row>
    <row r="710" spans="1:9" x14ac:dyDescent="0.25">
      <c r="A710" s="1" t="s">
        <v>1339</v>
      </c>
      <c r="B710" t="s">
        <v>1340</v>
      </c>
      <c r="C710" s="1" t="s">
        <v>1335</v>
      </c>
      <c r="D710" s="1" t="s">
        <v>1335</v>
      </c>
      <c r="E710" t="s">
        <v>1336</v>
      </c>
      <c r="F710" s="2" t="s">
        <v>1337</v>
      </c>
      <c r="G710" t="s">
        <v>49</v>
      </c>
      <c r="H710" s="2" t="s">
        <v>50</v>
      </c>
      <c r="I710" s="2">
        <v>90</v>
      </c>
    </row>
    <row r="711" spans="1:9" x14ac:dyDescent="0.25">
      <c r="A711" s="1" t="s">
        <v>1339</v>
      </c>
      <c r="B711" t="s">
        <v>1340</v>
      </c>
      <c r="C711" s="1" t="s">
        <v>541</v>
      </c>
      <c r="D711" s="1" t="s">
        <v>541</v>
      </c>
      <c r="E711" t="s">
        <v>542</v>
      </c>
      <c r="F711" s="2" t="s">
        <v>9</v>
      </c>
      <c r="G711" t="s">
        <v>10</v>
      </c>
      <c r="H711" s="2" t="s">
        <v>1338</v>
      </c>
      <c r="I711" s="2">
        <v>69</v>
      </c>
    </row>
    <row r="712" spans="1:9" x14ac:dyDescent="0.25">
      <c r="A712" s="1" t="s">
        <v>1341</v>
      </c>
      <c r="B712" t="s">
        <v>1342</v>
      </c>
      <c r="C712" s="1" t="s">
        <v>1335</v>
      </c>
      <c r="D712" s="1" t="s">
        <v>1335</v>
      </c>
      <c r="E712" t="s">
        <v>1336</v>
      </c>
      <c r="F712" s="2" t="s">
        <v>1337</v>
      </c>
      <c r="G712" t="s">
        <v>49</v>
      </c>
      <c r="H712" s="2" t="s">
        <v>50</v>
      </c>
      <c r="I712" s="2">
        <v>90</v>
      </c>
    </row>
    <row r="713" spans="1:9" x14ac:dyDescent="0.25">
      <c r="A713" s="1" t="s">
        <v>1341</v>
      </c>
      <c r="B713" t="s">
        <v>1342</v>
      </c>
      <c r="C713" s="1" t="s">
        <v>541</v>
      </c>
      <c r="D713" s="1" t="s">
        <v>541</v>
      </c>
      <c r="E713" t="s">
        <v>542</v>
      </c>
      <c r="F713" s="2" t="s">
        <v>9</v>
      </c>
      <c r="G713" t="s">
        <v>10</v>
      </c>
      <c r="H713" s="2" t="s">
        <v>1338</v>
      </c>
      <c r="I713" s="2">
        <v>69</v>
      </c>
    </row>
    <row r="714" spans="1:9" x14ac:dyDescent="0.25">
      <c r="A714" s="1" t="s">
        <v>1343</v>
      </c>
      <c r="B714" t="s">
        <v>1344</v>
      </c>
      <c r="C714" s="1" t="s">
        <v>1345</v>
      </c>
      <c r="D714" s="1" t="s">
        <v>1345</v>
      </c>
      <c r="E714" t="s">
        <v>1346</v>
      </c>
      <c r="F714" s="2" t="s">
        <v>1347</v>
      </c>
      <c r="G714" t="s">
        <v>5</v>
      </c>
      <c r="H714" s="2" t="s">
        <v>1348</v>
      </c>
      <c r="I714" s="2">
        <v>0.15</v>
      </c>
    </row>
    <row r="715" spans="1:9" x14ac:dyDescent="0.25">
      <c r="A715" s="1" t="s">
        <v>1343</v>
      </c>
      <c r="B715" t="s">
        <v>1344</v>
      </c>
      <c r="C715" s="1" t="s">
        <v>7</v>
      </c>
      <c r="D715" s="1" t="s">
        <v>7</v>
      </c>
      <c r="E715" t="s">
        <v>8</v>
      </c>
      <c r="F715" s="2" t="s">
        <v>9</v>
      </c>
      <c r="G715" t="s">
        <v>10</v>
      </c>
      <c r="H715" s="2" t="s">
        <v>1349</v>
      </c>
      <c r="I715" s="2">
        <v>3.45</v>
      </c>
    </row>
    <row r="716" spans="1:9" x14ac:dyDescent="0.25">
      <c r="A716" s="1" t="s">
        <v>102</v>
      </c>
      <c r="B716" t="s">
        <v>103</v>
      </c>
      <c r="C716" s="1" t="s">
        <v>1162</v>
      </c>
      <c r="D716" s="1" t="s">
        <v>1162</v>
      </c>
      <c r="E716" t="s">
        <v>1163</v>
      </c>
      <c r="F716" s="2" t="s">
        <v>1164</v>
      </c>
      <c r="G716" t="s">
        <v>5</v>
      </c>
      <c r="H716" s="2" t="s">
        <v>1350</v>
      </c>
      <c r="I716" s="2">
        <v>0.6</v>
      </c>
    </row>
    <row r="717" spans="1:9" x14ac:dyDescent="0.25">
      <c r="A717" s="1" t="s">
        <v>102</v>
      </c>
      <c r="B717" t="s">
        <v>103</v>
      </c>
      <c r="C717" s="1" t="s">
        <v>7</v>
      </c>
      <c r="D717" s="1" t="s">
        <v>7</v>
      </c>
      <c r="E717" t="s">
        <v>8</v>
      </c>
      <c r="F717" s="2" t="s">
        <v>9</v>
      </c>
      <c r="G717" t="s">
        <v>10</v>
      </c>
      <c r="H717" s="2" t="s">
        <v>1351</v>
      </c>
      <c r="I717" s="2">
        <v>2.9</v>
      </c>
    </row>
    <row r="718" spans="1:9" x14ac:dyDescent="0.25">
      <c r="A718" s="1" t="s">
        <v>265</v>
      </c>
      <c r="B718" t="s">
        <v>266</v>
      </c>
      <c r="C718" s="1" t="s">
        <v>1352</v>
      </c>
      <c r="D718" s="1" t="s">
        <v>1352</v>
      </c>
      <c r="E718" t="s">
        <v>1353</v>
      </c>
      <c r="F718" s="2" t="s">
        <v>1354</v>
      </c>
      <c r="G718" t="s">
        <v>5</v>
      </c>
      <c r="H718" s="2" t="s">
        <v>1355</v>
      </c>
      <c r="I718" s="2">
        <v>1.55</v>
      </c>
    </row>
    <row r="719" spans="1:9" x14ac:dyDescent="0.25">
      <c r="A719" s="1" t="s">
        <v>265</v>
      </c>
      <c r="B719" t="s">
        <v>266</v>
      </c>
      <c r="C719" s="1" t="s">
        <v>7</v>
      </c>
      <c r="D719" s="1" t="s">
        <v>7</v>
      </c>
      <c r="E719" t="s">
        <v>8</v>
      </c>
      <c r="F719" s="2" t="s">
        <v>9</v>
      </c>
      <c r="G719" t="s">
        <v>10</v>
      </c>
      <c r="H719" s="2" t="s">
        <v>1356</v>
      </c>
      <c r="I719" s="2">
        <v>4.75</v>
      </c>
    </row>
    <row r="720" spans="1:9" x14ac:dyDescent="0.25">
      <c r="A720" s="1" t="s">
        <v>1357</v>
      </c>
      <c r="B720" t="s">
        <v>1358</v>
      </c>
      <c r="C720" s="1" t="s">
        <v>684</v>
      </c>
      <c r="D720" s="1" t="s">
        <v>684</v>
      </c>
      <c r="E720" t="s">
        <v>685</v>
      </c>
      <c r="F720" s="2" t="s">
        <v>686</v>
      </c>
      <c r="G720" t="s">
        <v>49</v>
      </c>
      <c r="H720" s="2" t="s">
        <v>1359</v>
      </c>
      <c r="I720" s="2">
        <v>0.3</v>
      </c>
    </row>
    <row r="721" spans="1:9" x14ac:dyDescent="0.25">
      <c r="A721" s="1" t="s">
        <v>1357</v>
      </c>
      <c r="B721" t="s">
        <v>1358</v>
      </c>
      <c r="C721" s="1" t="s">
        <v>541</v>
      </c>
      <c r="D721" s="1" t="s">
        <v>541</v>
      </c>
      <c r="E721" t="s">
        <v>542</v>
      </c>
      <c r="F721" s="2" t="s">
        <v>9</v>
      </c>
      <c r="G721" t="s">
        <v>10</v>
      </c>
      <c r="H721" s="2" t="s">
        <v>1360</v>
      </c>
      <c r="I721" s="2">
        <v>1.67</v>
      </c>
    </row>
    <row r="722" spans="1:9" x14ac:dyDescent="0.25">
      <c r="A722" s="1" t="s">
        <v>1361</v>
      </c>
      <c r="B722" t="s">
        <v>1362</v>
      </c>
      <c r="C722" s="1" t="s">
        <v>684</v>
      </c>
      <c r="D722" s="1" t="s">
        <v>684</v>
      </c>
      <c r="E722" t="s">
        <v>685</v>
      </c>
      <c r="F722" s="2" t="s">
        <v>686</v>
      </c>
      <c r="G722" t="s">
        <v>49</v>
      </c>
      <c r="H722" s="2" t="s">
        <v>1363</v>
      </c>
      <c r="I722" s="2">
        <v>0.45</v>
      </c>
    </row>
    <row r="723" spans="1:9" x14ac:dyDescent="0.25">
      <c r="A723" s="1" t="s">
        <v>1361</v>
      </c>
      <c r="B723" t="s">
        <v>1362</v>
      </c>
      <c r="C723" s="1" t="s">
        <v>541</v>
      </c>
      <c r="D723" s="1" t="s">
        <v>541</v>
      </c>
      <c r="E723" t="s">
        <v>542</v>
      </c>
      <c r="F723" s="2" t="s">
        <v>9</v>
      </c>
      <c r="G723" t="s">
        <v>10</v>
      </c>
      <c r="H723" s="2" t="s">
        <v>1364</v>
      </c>
      <c r="I723" s="2">
        <v>3.55</v>
      </c>
    </row>
    <row r="724" spans="1:9" x14ac:dyDescent="0.25">
      <c r="A724" s="1" t="s">
        <v>1365</v>
      </c>
      <c r="B724" t="s">
        <v>1366</v>
      </c>
      <c r="C724" s="1" t="s">
        <v>1367</v>
      </c>
      <c r="D724" s="1" t="s">
        <v>1367</v>
      </c>
      <c r="E724" t="s">
        <v>1368</v>
      </c>
      <c r="F724" s="2" t="s">
        <v>1369</v>
      </c>
      <c r="G724" t="s">
        <v>121</v>
      </c>
      <c r="H724" s="2" t="s">
        <v>1370</v>
      </c>
      <c r="I724" s="2">
        <v>0.05</v>
      </c>
    </row>
    <row r="725" spans="1:9" x14ac:dyDescent="0.25">
      <c r="A725" s="1" t="s">
        <v>1365</v>
      </c>
      <c r="B725" t="s">
        <v>1366</v>
      </c>
      <c r="C725" s="1" t="s">
        <v>7</v>
      </c>
      <c r="D725" s="1" t="s">
        <v>7</v>
      </c>
      <c r="E725" t="s">
        <v>8</v>
      </c>
      <c r="F725" s="2" t="s">
        <v>9</v>
      </c>
      <c r="G725" t="s">
        <v>10</v>
      </c>
      <c r="H725" s="2" t="s">
        <v>1371</v>
      </c>
      <c r="I725" s="2">
        <v>1.1499999999999999</v>
      </c>
    </row>
    <row r="726" spans="1:9" x14ac:dyDescent="0.25">
      <c r="A726" s="1" t="s">
        <v>1372</v>
      </c>
      <c r="B726" t="s">
        <v>1373</v>
      </c>
      <c r="C726" s="1" t="s">
        <v>1335</v>
      </c>
      <c r="D726" s="1" t="s">
        <v>1335</v>
      </c>
      <c r="E726" t="s">
        <v>1336</v>
      </c>
      <c r="F726" s="2" t="s">
        <v>1374</v>
      </c>
      <c r="G726" t="s">
        <v>49</v>
      </c>
      <c r="H726" s="2" t="s">
        <v>50</v>
      </c>
      <c r="I726" s="2">
        <v>63.35</v>
      </c>
    </row>
    <row r="727" spans="1:9" x14ac:dyDescent="0.25">
      <c r="A727" s="1" t="s">
        <v>1372</v>
      </c>
      <c r="B727" t="s">
        <v>1373</v>
      </c>
      <c r="C727" s="1" t="s">
        <v>7</v>
      </c>
      <c r="D727" s="1" t="s">
        <v>7</v>
      </c>
      <c r="E727" t="s">
        <v>8</v>
      </c>
      <c r="F727" s="2" t="s">
        <v>9</v>
      </c>
      <c r="G727" t="s">
        <v>10</v>
      </c>
      <c r="H727" s="2" t="s">
        <v>1375</v>
      </c>
      <c r="I727" s="2">
        <v>41</v>
      </c>
    </row>
    <row r="728" spans="1:9" x14ac:dyDescent="0.25">
      <c r="A728" s="1" t="s">
        <v>1376</v>
      </c>
      <c r="B728" t="s">
        <v>1377</v>
      </c>
      <c r="C728" s="1" t="s">
        <v>1378</v>
      </c>
      <c r="D728" s="1" t="s">
        <v>1378</v>
      </c>
      <c r="E728" t="s">
        <v>1379</v>
      </c>
      <c r="F728" s="2" t="s">
        <v>1043</v>
      </c>
      <c r="G728" t="s">
        <v>5</v>
      </c>
      <c r="H728" s="2" t="s">
        <v>1380</v>
      </c>
      <c r="I728" s="2">
        <v>18.899999999999999</v>
      </c>
    </row>
    <row r="729" spans="1:9" x14ac:dyDescent="0.25">
      <c r="A729" s="1" t="s">
        <v>1376</v>
      </c>
      <c r="B729" t="s">
        <v>1377</v>
      </c>
      <c r="C729" s="1" t="s">
        <v>7</v>
      </c>
      <c r="D729" s="1" t="s">
        <v>7</v>
      </c>
      <c r="E729" t="s">
        <v>8</v>
      </c>
      <c r="F729" s="2" t="s">
        <v>9</v>
      </c>
      <c r="G729" t="s">
        <v>10</v>
      </c>
      <c r="H729" s="2" t="s">
        <v>245</v>
      </c>
      <c r="I729" s="2">
        <v>4</v>
      </c>
    </row>
    <row r="730" spans="1:9" x14ac:dyDescent="0.25">
      <c r="A730" s="1" t="s">
        <v>1381</v>
      </c>
      <c r="B730" t="s">
        <v>1382</v>
      </c>
      <c r="C730" s="1" t="s">
        <v>1041</v>
      </c>
      <c r="D730" s="1" t="s">
        <v>1041</v>
      </c>
      <c r="E730" t="s">
        <v>1042</v>
      </c>
      <c r="F730" s="2" t="s">
        <v>712</v>
      </c>
      <c r="G730" t="s">
        <v>17</v>
      </c>
      <c r="H730" s="2" t="s">
        <v>1383</v>
      </c>
      <c r="I730" s="2">
        <v>4.45</v>
      </c>
    </row>
    <row r="731" spans="1:9" x14ac:dyDescent="0.25">
      <c r="A731" s="1" t="s">
        <v>1381</v>
      </c>
      <c r="B731" t="s">
        <v>1382</v>
      </c>
      <c r="C731" s="1" t="s">
        <v>7</v>
      </c>
      <c r="D731" s="1" t="s">
        <v>7</v>
      </c>
      <c r="E731" t="s">
        <v>8</v>
      </c>
      <c r="F731" s="2" t="s">
        <v>9</v>
      </c>
      <c r="G731" t="s">
        <v>10</v>
      </c>
      <c r="H731" s="2" t="s">
        <v>1384</v>
      </c>
      <c r="I731" s="2">
        <v>4.8499999999999996</v>
      </c>
    </row>
    <row r="732" spans="1:9" x14ac:dyDescent="0.25">
      <c r="A732" s="1" t="s">
        <v>1385</v>
      </c>
      <c r="B732" t="s">
        <v>1386</v>
      </c>
      <c r="C732" s="1" t="s">
        <v>1387</v>
      </c>
      <c r="D732" s="1" t="s">
        <v>1387</v>
      </c>
      <c r="E732" t="s">
        <v>1388</v>
      </c>
      <c r="F732" s="2" t="s">
        <v>879</v>
      </c>
      <c r="G732" t="s">
        <v>17</v>
      </c>
      <c r="H732" s="2" t="s">
        <v>1389</v>
      </c>
      <c r="I732" s="2">
        <v>2.85</v>
      </c>
    </row>
    <row r="733" spans="1:9" x14ac:dyDescent="0.25">
      <c r="A733" s="1" t="s">
        <v>1385</v>
      </c>
      <c r="B733" t="s">
        <v>1386</v>
      </c>
      <c r="C733" s="1" t="s">
        <v>7</v>
      </c>
      <c r="D733" s="1" t="s">
        <v>7</v>
      </c>
      <c r="E733" t="s">
        <v>8</v>
      </c>
      <c r="F733" s="2" t="s">
        <v>9</v>
      </c>
      <c r="G733" t="s">
        <v>10</v>
      </c>
      <c r="H733" s="2" t="s">
        <v>1356</v>
      </c>
      <c r="I733" s="2">
        <v>4.75</v>
      </c>
    </row>
    <row r="734" spans="1:9" x14ac:dyDescent="0.25">
      <c r="A734" s="1" t="s">
        <v>1390</v>
      </c>
      <c r="B734" t="s">
        <v>1391</v>
      </c>
      <c r="C734" s="1" t="s">
        <v>1392</v>
      </c>
      <c r="D734" s="1" t="s">
        <v>1392</v>
      </c>
      <c r="E734" t="s">
        <v>1393</v>
      </c>
      <c r="F734" s="2" t="s">
        <v>1394</v>
      </c>
      <c r="G734" t="s">
        <v>5</v>
      </c>
      <c r="H734" s="2" t="s">
        <v>1395</v>
      </c>
      <c r="I734" s="2">
        <v>5.5</v>
      </c>
    </row>
    <row r="735" spans="1:9" x14ac:dyDescent="0.25">
      <c r="A735" s="1" t="s">
        <v>1390</v>
      </c>
      <c r="B735" t="s">
        <v>1391</v>
      </c>
      <c r="C735" s="1" t="s">
        <v>7</v>
      </c>
      <c r="D735" s="1" t="s">
        <v>7</v>
      </c>
      <c r="E735" t="s">
        <v>1031</v>
      </c>
      <c r="F735" s="2" t="s">
        <v>9</v>
      </c>
      <c r="G735" t="s">
        <v>10</v>
      </c>
      <c r="H735" s="2" t="s">
        <v>1396</v>
      </c>
      <c r="I735" s="2">
        <v>52.85</v>
      </c>
    </row>
    <row r="736" spans="1:9" x14ac:dyDescent="0.25">
      <c r="A736" s="1" t="s">
        <v>1397</v>
      </c>
      <c r="B736" t="s">
        <v>1398</v>
      </c>
      <c r="C736" s="1" t="s">
        <v>22</v>
      </c>
      <c r="D736" s="1" t="s">
        <v>22</v>
      </c>
      <c r="E736" t="s">
        <v>23</v>
      </c>
      <c r="F736" s="2" t="s">
        <v>24</v>
      </c>
      <c r="G736" t="s">
        <v>17</v>
      </c>
      <c r="H736" s="2" t="s">
        <v>1399</v>
      </c>
      <c r="I736" s="2">
        <v>70</v>
      </c>
    </row>
    <row r="737" spans="1:9" x14ac:dyDescent="0.25">
      <c r="A737" s="1" t="s">
        <v>1397</v>
      </c>
      <c r="B737" t="s">
        <v>1398</v>
      </c>
      <c r="C737" s="1" t="s">
        <v>7</v>
      </c>
      <c r="D737" s="1" t="s">
        <v>7</v>
      </c>
      <c r="E737" t="s">
        <v>8</v>
      </c>
      <c r="F737" s="2" t="s">
        <v>9</v>
      </c>
      <c r="G737" t="s">
        <v>10</v>
      </c>
      <c r="H737" s="2" t="s">
        <v>1400</v>
      </c>
      <c r="I737" s="2">
        <v>11.7</v>
      </c>
    </row>
    <row r="738" spans="1:9" x14ac:dyDescent="0.25">
      <c r="A738" s="1" t="s">
        <v>1401</v>
      </c>
      <c r="B738" t="s">
        <v>1402</v>
      </c>
      <c r="C738" s="1" t="s">
        <v>22</v>
      </c>
      <c r="D738" s="1" t="s">
        <v>22</v>
      </c>
      <c r="E738" t="s">
        <v>23</v>
      </c>
      <c r="F738" s="2" t="s">
        <v>24</v>
      </c>
      <c r="G738" t="s">
        <v>17</v>
      </c>
      <c r="H738" s="2" t="s">
        <v>1399</v>
      </c>
      <c r="I738" s="2">
        <v>70</v>
      </c>
    </row>
    <row r="739" spans="1:9" x14ac:dyDescent="0.25">
      <c r="A739" s="1" t="s">
        <v>1401</v>
      </c>
      <c r="B739" t="s">
        <v>1402</v>
      </c>
      <c r="C739" s="1" t="s">
        <v>7</v>
      </c>
      <c r="D739" s="1" t="s">
        <v>7</v>
      </c>
      <c r="E739" t="s">
        <v>8</v>
      </c>
      <c r="F739" s="2" t="s">
        <v>9</v>
      </c>
      <c r="G739" t="s">
        <v>10</v>
      </c>
      <c r="H739" s="2" t="s">
        <v>1403</v>
      </c>
      <c r="I739" s="2">
        <v>19.16</v>
      </c>
    </row>
    <row r="740" spans="1:9" x14ac:dyDescent="0.25">
      <c r="A740" s="1" t="s">
        <v>1404</v>
      </c>
      <c r="B740" t="s">
        <v>1405</v>
      </c>
      <c r="C740" s="1" t="s">
        <v>1406</v>
      </c>
      <c r="D740" s="1" t="s">
        <v>1406</v>
      </c>
      <c r="E740" t="s">
        <v>1407</v>
      </c>
      <c r="F740" s="2" t="s">
        <v>1408</v>
      </c>
      <c r="G740" t="s">
        <v>17</v>
      </c>
      <c r="H740" s="2" t="s">
        <v>1409</v>
      </c>
      <c r="I740" s="2">
        <v>2.4300000000000002</v>
      </c>
    </row>
    <row r="741" spans="1:9" x14ac:dyDescent="0.25">
      <c r="A741" s="1" t="s">
        <v>1404</v>
      </c>
      <c r="B741" t="s">
        <v>1405</v>
      </c>
      <c r="C741" s="1" t="s">
        <v>7</v>
      </c>
      <c r="D741" s="1" t="s">
        <v>7</v>
      </c>
      <c r="E741" t="s">
        <v>8</v>
      </c>
      <c r="F741" s="2" t="s">
        <v>9</v>
      </c>
      <c r="G741" t="s">
        <v>10</v>
      </c>
      <c r="H741" s="2" t="s">
        <v>1410</v>
      </c>
      <c r="I741" s="2">
        <v>11.04</v>
      </c>
    </row>
    <row r="742" spans="1:9" x14ac:dyDescent="0.25">
      <c r="A742" s="1" t="s">
        <v>352</v>
      </c>
      <c r="B742" t="s">
        <v>353</v>
      </c>
      <c r="C742" s="1" t="s">
        <v>1099</v>
      </c>
      <c r="D742" s="1" t="s">
        <v>1099</v>
      </c>
      <c r="E742" t="s">
        <v>1100</v>
      </c>
      <c r="F742" s="2" t="s">
        <v>31</v>
      </c>
      <c r="G742" t="s">
        <v>932</v>
      </c>
      <c r="H742" s="2" t="s">
        <v>1411</v>
      </c>
      <c r="I742" s="2">
        <v>5.15</v>
      </c>
    </row>
    <row r="743" spans="1:9" x14ac:dyDescent="0.25">
      <c r="A743" s="1" t="s">
        <v>352</v>
      </c>
      <c r="B743" t="s">
        <v>353</v>
      </c>
      <c r="C743" s="1" t="s">
        <v>1060</v>
      </c>
      <c r="D743" s="1" t="s">
        <v>1060</v>
      </c>
      <c r="E743" t="s">
        <v>433</v>
      </c>
      <c r="F743" s="2" t="s">
        <v>1061</v>
      </c>
      <c r="G743" t="s">
        <v>121</v>
      </c>
      <c r="H743" s="2" t="s">
        <v>50</v>
      </c>
      <c r="I743" s="2">
        <v>1.7</v>
      </c>
    </row>
    <row r="744" spans="1:9" x14ac:dyDescent="0.25">
      <c r="A744" s="1" t="s">
        <v>352</v>
      </c>
      <c r="B744" t="s">
        <v>353</v>
      </c>
      <c r="C744" s="1" t="s">
        <v>7</v>
      </c>
      <c r="D744" s="1" t="s">
        <v>7</v>
      </c>
      <c r="E744" t="s">
        <v>8</v>
      </c>
      <c r="F744" s="2" t="s">
        <v>9</v>
      </c>
      <c r="G744" t="s">
        <v>10</v>
      </c>
      <c r="H744" s="2" t="s">
        <v>1412</v>
      </c>
      <c r="I744" s="2">
        <v>16.649999999999999</v>
      </c>
    </row>
    <row r="745" spans="1:9" x14ac:dyDescent="0.25">
      <c r="A745" s="1" t="s">
        <v>348</v>
      </c>
      <c r="B745" t="s">
        <v>349</v>
      </c>
      <c r="C745" s="1" t="s">
        <v>1099</v>
      </c>
      <c r="D745" s="1" t="s">
        <v>1099</v>
      </c>
      <c r="E745" t="s">
        <v>1100</v>
      </c>
      <c r="F745" s="2" t="s">
        <v>31</v>
      </c>
      <c r="G745" t="s">
        <v>932</v>
      </c>
      <c r="H745" s="2" t="s">
        <v>1413</v>
      </c>
      <c r="I745" s="2">
        <v>3.75</v>
      </c>
    </row>
    <row r="746" spans="1:9" x14ac:dyDescent="0.25">
      <c r="A746" s="1" t="s">
        <v>348</v>
      </c>
      <c r="B746" t="s">
        <v>349</v>
      </c>
      <c r="C746" s="1" t="s">
        <v>432</v>
      </c>
      <c r="D746" s="1" t="s">
        <v>432</v>
      </c>
      <c r="E746" t="s">
        <v>433</v>
      </c>
      <c r="F746" s="2" t="s">
        <v>434</v>
      </c>
      <c r="G746" t="s">
        <v>435</v>
      </c>
      <c r="H746" s="2" t="s">
        <v>1414</v>
      </c>
      <c r="I746" s="2">
        <v>1.6</v>
      </c>
    </row>
    <row r="747" spans="1:9" x14ac:dyDescent="0.25">
      <c r="A747" s="1" t="s">
        <v>348</v>
      </c>
      <c r="B747" t="s">
        <v>349</v>
      </c>
      <c r="C747" s="1" t="s">
        <v>7</v>
      </c>
      <c r="D747" s="1" t="s">
        <v>7</v>
      </c>
      <c r="E747" t="s">
        <v>8</v>
      </c>
      <c r="F747" s="2" t="s">
        <v>9</v>
      </c>
      <c r="G747" t="s">
        <v>10</v>
      </c>
      <c r="H747" s="2" t="s">
        <v>1415</v>
      </c>
      <c r="I747" s="2">
        <v>9.6</v>
      </c>
    </row>
    <row r="748" spans="1:9" x14ac:dyDescent="0.25">
      <c r="A748" s="1" t="s">
        <v>1416</v>
      </c>
      <c r="B748" t="s">
        <v>1417</v>
      </c>
      <c r="C748" s="1" t="s">
        <v>1041</v>
      </c>
      <c r="D748" s="1" t="s">
        <v>1041</v>
      </c>
      <c r="E748" t="s">
        <v>1042</v>
      </c>
      <c r="F748" s="2" t="s">
        <v>712</v>
      </c>
      <c r="G748" t="s">
        <v>17</v>
      </c>
      <c r="H748" s="2" t="s">
        <v>1418</v>
      </c>
      <c r="I748" s="2">
        <v>2.15</v>
      </c>
    </row>
    <row r="749" spans="1:9" x14ac:dyDescent="0.25">
      <c r="A749" s="1" t="s">
        <v>1416</v>
      </c>
      <c r="B749" t="s">
        <v>1417</v>
      </c>
      <c r="C749" s="1" t="s">
        <v>7</v>
      </c>
      <c r="D749" s="1" t="s">
        <v>7</v>
      </c>
      <c r="E749" t="s">
        <v>8</v>
      </c>
      <c r="F749" s="2" t="s">
        <v>9</v>
      </c>
      <c r="G749" t="s">
        <v>10</v>
      </c>
      <c r="H749" s="2" t="s">
        <v>1419</v>
      </c>
      <c r="I749" s="2">
        <v>4.7</v>
      </c>
    </row>
    <row r="750" spans="1:9" x14ac:dyDescent="0.25">
      <c r="A750" s="1" t="s">
        <v>1420</v>
      </c>
      <c r="B750" t="s">
        <v>1421</v>
      </c>
      <c r="C750" s="1" t="s">
        <v>1041</v>
      </c>
      <c r="D750" s="1" t="s">
        <v>1041</v>
      </c>
      <c r="E750" t="s">
        <v>1042</v>
      </c>
      <c r="F750" s="2" t="s">
        <v>712</v>
      </c>
      <c r="G750" t="s">
        <v>17</v>
      </c>
      <c r="H750" s="2" t="s">
        <v>1422</v>
      </c>
      <c r="I750" s="2">
        <v>7.3</v>
      </c>
    </row>
    <row r="751" spans="1:9" x14ac:dyDescent="0.25">
      <c r="A751" s="1" t="s">
        <v>1420</v>
      </c>
      <c r="B751" t="s">
        <v>1421</v>
      </c>
      <c r="C751" s="1" t="s">
        <v>7</v>
      </c>
      <c r="D751" s="1" t="s">
        <v>7</v>
      </c>
      <c r="E751" t="s">
        <v>8</v>
      </c>
      <c r="F751" s="2" t="s">
        <v>9</v>
      </c>
      <c r="G751" t="s">
        <v>10</v>
      </c>
      <c r="H751" s="2" t="s">
        <v>1419</v>
      </c>
      <c r="I751" s="2">
        <v>4.7</v>
      </c>
    </row>
    <row r="752" spans="1:9" x14ac:dyDescent="0.25">
      <c r="A752" s="1" t="s">
        <v>1423</v>
      </c>
      <c r="B752" t="s">
        <v>1424</v>
      </c>
      <c r="C752" s="1" t="s">
        <v>1041</v>
      </c>
      <c r="D752" s="1" t="s">
        <v>1041</v>
      </c>
      <c r="E752" t="s">
        <v>1042</v>
      </c>
      <c r="F752" s="2" t="s">
        <v>712</v>
      </c>
      <c r="G752" t="s">
        <v>17</v>
      </c>
      <c r="H752" s="2" t="s">
        <v>1425</v>
      </c>
      <c r="I752" s="2">
        <v>2.25</v>
      </c>
    </row>
    <row r="753" spans="1:9" x14ac:dyDescent="0.25">
      <c r="A753" s="1" t="s">
        <v>1423</v>
      </c>
      <c r="B753" t="s">
        <v>1424</v>
      </c>
      <c r="C753" s="1" t="s">
        <v>7</v>
      </c>
      <c r="D753" s="1" t="s">
        <v>7</v>
      </c>
      <c r="E753" t="s">
        <v>8</v>
      </c>
      <c r="F753" s="2" t="s">
        <v>9</v>
      </c>
      <c r="G753" t="s">
        <v>10</v>
      </c>
      <c r="H753" s="2" t="s">
        <v>1044</v>
      </c>
      <c r="I753" s="2">
        <v>4.8</v>
      </c>
    </row>
    <row r="754" spans="1:9" x14ac:dyDescent="0.25">
      <c r="A754" s="1" t="s">
        <v>1426</v>
      </c>
      <c r="B754" t="s">
        <v>1427</v>
      </c>
      <c r="C754" s="1" t="s">
        <v>1041</v>
      </c>
      <c r="D754" s="1" t="s">
        <v>1041</v>
      </c>
      <c r="E754" t="s">
        <v>1042</v>
      </c>
      <c r="F754" s="2" t="s">
        <v>712</v>
      </c>
      <c r="G754" t="s">
        <v>17</v>
      </c>
      <c r="H754" s="2" t="s">
        <v>1428</v>
      </c>
      <c r="I754" s="2">
        <v>1.75</v>
      </c>
    </row>
    <row r="755" spans="1:9" x14ac:dyDescent="0.25">
      <c r="A755" s="1" t="s">
        <v>1426</v>
      </c>
      <c r="B755" t="s">
        <v>1427</v>
      </c>
      <c r="C755" s="1" t="s">
        <v>7</v>
      </c>
      <c r="D755" s="1" t="s">
        <v>7</v>
      </c>
      <c r="E755" t="s">
        <v>8</v>
      </c>
      <c r="F755" s="2" t="s">
        <v>9</v>
      </c>
      <c r="G755" t="s">
        <v>10</v>
      </c>
      <c r="H755" s="2" t="s">
        <v>1356</v>
      </c>
      <c r="I755" s="2">
        <v>4.75</v>
      </c>
    </row>
    <row r="756" spans="1:9" x14ac:dyDescent="0.25">
      <c r="A756" s="1" t="s">
        <v>1429</v>
      </c>
      <c r="B756" t="s">
        <v>1430</v>
      </c>
      <c r="C756" s="1" t="s">
        <v>1047</v>
      </c>
      <c r="D756" s="1" t="s">
        <v>1047</v>
      </c>
      <c r="E756" t="s">
        <v>1048</v>
      </c>
      <c r="F756" s="2" t="s">
        <v>1049</v>
      </c>
      <c r="G756" t="s">
        <v>17</v>
      </c>
      <c r="H756" s="2" t="s">
        <v>1431</v>
      </c>
      <c r="I756" s="2">
        <v>6.7</v>
      </c>
    </row>
    <row r="757" spans="1:9" x14ac:dyDescent="0.25">
      <c r="A757" s="1" t="s">
        <v>1429</v>
      </c>
      <c r="B757" t="s">
        <v>1430</v>
      </c>
      <c r="C757" s="1" t="s">
        <v>7</v>
      </c>
      <c r="D757" s="1" t="s">
        <v>7</v>
      </c>
      <c r="E757" t="s">
        <v>8</v>
      </c>
      <c r="F757" s="2" t="s">
        <v>9</v>
      </c>
      <c r="G757" t="s">
        <v>10</v>
      </c>
      <c r="H757" s="2" t="s">
        <v>1044</v>
      </c>
      <c r="I757" s="2">
        <v>4.8</v>
      </c>
    </row>
    <row r="758" spans="1:9" x14ac:dyDescent="0.25">
      <c r="A758" s="1" t="s">
        <v>1432</v>
      </c>
      <c r="B758" t="s">
        <v>1433</v>
      </c>
      <c r="C758" s="1" t="s">
        <v>1047</v>
      </c>
      <c r="D758" s="1" t="s">
        <v>1047</v>
      </c>
      <c r="E758" t="s">
        <v>1048</v>
      </c>
      <c r="F758" s="2" t="s">
        <v>1434</v>
      </c>
      <c r="G758" t="s">
        <v>17</v>
      </c>
      <c r="H758" s="2" t="s">
        <v>1435</v>
      </c>
      <c r="I758" s="2">
        <v>5.65</v>
      </c>
    </row>
    <row r="759" spans="1:9" x14ac:dyDescent="0.25">
      <c r="A759" s="1" t="s">
        <v>1432</v>
      </c>
      <c r="B759" t="s">
        <v>1433</v>
      </c>
      <c r="C759" s="1" t="s">
        <v>7</v>
      </c>
      <c r="D759" s="1" t="s">
        <v>7</v>
      </c>
      <c r="E759" t="s">
        <v>8</v>
      </c>
      <c r="F759" s="2" t="s">
        <v>9</v>
      </c>
      <c r="G759" t="s">
        <v>10</v>
      </c>
      <c r="H759" s="2" t="s">
        <v>1436</v>
      </c>
      <c r="I759" s="2">
        <v>4.95</v>
      </c>
    </row>
    <row r="760" spans="1:9" x14ac:dyDescent="0.25">
      <c r="A760" s="1" t="s">
        <v>1437</v>
      </c>
      <c r="B760" t="s">
        <v>1438</v>
      </c>
      <c r="C760" s="1" t="s">
        <v>1047</v>
      </c>
      <c r="D760" s="1" t="s">
        <v>1047</v>
      </c>
      <c r="E760" t="s">
        <v>1048</v>
      </c>
      <c r="F760" s="2" t="s">
        <v>1434</v>
      </c>
      <c r="G760" t="s">
        <v>17</v>
      </c>
      <c r="H760" s="2" t="s">
        <v>1439</v>
      </c>
      <c r="I760" s="2">
        <v>9.9499999999999993</v>
      </c>
    </row>
    <row r="761" spans="1:9" x14ac:dyDescent="0.25">
      <c r="A761" s="1" t="s">
        <v>1437</v>
      </c>
      <c r="B761" t="s">
        <v>1438</v>
      </c>
      <c r="C761" s="1" t="s">
        <v>7</v>
      </c>
      <c r="D761" s="1" t="s">
        <v>7</v>
      </c>
      <c r="E761" t="s">
        <v>8</v>
      </c>
      <c r="F761" s="2" t="s">
        <v>9</v>
      </c>
      <c r="G761" t="s">
        <v>10</v>
      </c>
      <c r="H761" s="2" t="s">
        <v>1436</v>
      </c>
      <c r="I761" s="2">
        <v>4.95</v>
      </c>
    </row>
    <row r="762" spans="1:9" x14ac:dyDescent="0.25">
      <c r="A762" s="1" t="s">
        <v>1440</v>
      </c>
      <c r="B762" t="s">
        <v>1441</v>
      </c>
      <c r="C762" s="1" t="s">
        <v>1442</v>
      </c>
      <c r="D762" s="1" t="s">
        <v>1442</v>
      </c>
      <c r="E762" t="s">
        <v>1443</v>
      </c>
      <c r="F762" s="2" t="s">
        <v>1444</v>
      </c>
      <c r="G762" t="s">
        <v>17</v>
      </c>
      <c r="H762" s="2" t="s">
        <v>33</v>
      </c>
      <c r="I762" s="2">
        <v>2.85</v>
      </c>
    </row>
    <row r="763" spans="1:9" x14ac:dyDescent="0.25">
      <c r="A763" s="1" t="s">
        <v>1440</v>
      </c>
      <c r="B763" t="s">
        <v>1441</v>
      </c>
      <c r="C763" s="1" t="s">
        <v>7</v>
      </c>
      <c r="D763" s="1" t="s">
        <v>7</v>
      </c>
      <c r="E763" t="s">
        <v>8</v>
      </c>
      <c r="F763" s="2" t="s">
        <v>9</v>
      </c>
      <c r="G763" t="s">
        <v>10</v>
      </c>
      <c r="H763" s="2" t="s">
        <v>1114</v>
      </c>
      <c r="I763" s="2">
        <v>3.15</v>
      </c>
    </row>
    <row r="764" spans="1:9" x14ac:dyDescent="0.25">
      <c r="A764" s="1" t="s">
        <v>1445</v>
      </c>
      <c r="B764" t="s">
        <v>1446</v>
      </c>
      <c r="C764" s="1" t="s">
        <v>1447</v>
      </c>
      <c r="D764" s="1" t="s">
        <v>1447</v>
      </c>
      <c r="E764" t="s">
        <v>1448</v>
      </c>
      <c r="F764" s="2" t="s">
        <v>1449</v>
      </c>
      <c r="G764" t="s">
        <v>5</v>
      </c>
      <c r="H764" s="2" t="s">
        <v>1450</v>
      </c>
      <c r="I764" s="2">
        <v>1.25</v>
      </c>
    </row>
    <row r="765" spans="1:9" x14ac:dyDescent="0.25">
      <c r="A765" s="1" t="s">
        <v>1445</v>
      </c>
      <c r="B765" t="s">
        <v>1446</v>
      </c>
      <c r="C765" s="1" t="s">
        <v>7</v>
      </c>
      <c r="D765" s="1" t="s">
        <v>7</v>
      </c>
      <c r="E765" t="s">
        <v>8</v>
      </c>
      <c r="F765" s="2" t="s">
        <v>9</v>
      </c>
      <c r="G765" t="s">
        <v>10</v>
      </c>
      <c r="H765" s="2" t="s">
        <v>1451</v>
      </c>
      <c r="I765" s="2">
        <v>4.5</v>
      </c>
    </row>
    <row r="766" spans="1:9" x14ac:dyDescent="0.25">
      <c r="A766" s="1" t="s">
        <v>1452</v>
      </c>
      <c r="B766" t="s">
        <v>1453</v>
      </c>
      <c r="C766" s="1" t="s">
        <v>1041</v>
      </c>
      <c r="D766" s="1" t="s">
        <v>1041</v>
      </c>
      <c r="E766" t="s">
        <v>1042</v>
      </c>
      <c r="F766" s="2" t="s">
        <v>1043</v>
      </c>
      <c r="G766" t="s">
        <v>17</v>
      </c>
      <c r="H766" s="2" t="s">
        <v>1383</v>
      </c>
      <c r="I766" s="2">
        <v>5.25</v>
      </c>
    </row>
    <row r="767" spans="1:9" x14ac:dyDescent="0.25">
      <c r="A767" s="1" t="s">
        <v>1452</v>
      </c>
      <c r="B767" t="s">
        <v>1453</v>
      </c>
      <c r="C767" s="1" t="s">
        <v>7</v>
      </c>
      <c r="D767" s="1" t="s">
        <v>7</v>
      </c>
      <c r="E767" t="s">
        <v>8</v>
      </c>
      <c r="F767" s="2" t="s">
        <v>9</v>
      </c>
      <c r="G767" t="s">
        <v>10</v>
      </c>
      <c r="H767" s="2" t="s">
        <v>594</v>
      </c>
      <c r="I767" s="2">
        <v>11.5</v>
      </c>
    </row>
    <row r="768" spans="1:9" x14ac:dyDescent="0.25">
      <c r="A768" s="1" t="s">
        <v>1454</v>
      </c>
      <c r="B768" t="s">
        <v>1455</v>
      </c>
      <c r="C768" s="1" t="s">
        <v>1022</v>
      </c>
      <c r="D768" s="1" t="s">
        <v>1022</v>
      </c>
      <c r="E768" t="s">
        <v>1023</v>
      </c>
      <c r="F768" s="2" t="s">
        <v>1024</v>
      </c>
      <c r="G768" t="s">
        <v>932</v>
      </c>
      <c r="H768" s="2" t="s">
        <v>1456</v>
      </c>
      <c r="I768" s="2">
        <v>2.2999999999999998</v>
      </c>
    </row>
    <row r="769" spans="1:9" x14ac:dyDescent="0.25">
      <c r="A769" s="1" t="s">
        <v>1454</v>
      </c>
      <c r="B769" t="s">
        <v>1455</v>
      </c>
      <c r="C769" s="1" t="s">
        <v>541</v>
      </c>
      <c r="D769" s="1" t="s">
        <v>541</v>
      </c>
      <c r="E769" t="s">
        <v>542</v>
      </c>
      <c r="F769" s="2" t="s">
        <v>9</v>
      </c>
      <c r="G769" t="s">
        <v>10</v>
      </c>
      <c r="H769" s="2" t="s">
        <v>33</v>
      </c>
      <c r="I769" s="2">
        <v>9.1999999999999993</v>
      </c>
    </row>
    <row r="770" spans="1:9" x14ac:dyDescent="0.25">
      <c r="A770" s="1" t="s">
        <v>1457</v>
      </c>
      <c r="B770" t="s">
        <v>1458</v>
      </c>
      <c r="C770" s="1" t="s">
        <v>1022</v>
      </c>
      <c r="D770" s="1" t="s">
        <v>1022</v>
      </c>
      <c r="E770" t="s">
        <v>1023</v>
      </c>
      <c r="F770" s="2" t="s">
        <v>1024</v>
      </c>
      <c r="G770" t="s">
        <v>932</v>
      </c>
      <c r="H770" s="2" t="s">
        <v>1459</v>
      </c>
      <c r="I770" s="2">
        <v>2.1</v>
      </c>
    </row>
    <row r="771" spans="1:9" x14ac:dyDescent="0.25">
      <c r="A771" s="1" t="s">
        <v>1457</v>
      </c>
      <c r="B771" t="s">
        <v>1458</v>
      </c>
      <c r="C771" s="1" t="s">
        <v>541</v>
      </c>
      <c r="D771" s="1" t="s">
        <v>541</v>
      </c>
      <c r="E771" t="s">
        <v>542</v>
      </c>
      <c r="F771" s="2" t="s">
        <v>9</v>
      </c>
      <c r="G771" t="s">
        <v>10</v>
      </c>
      <c r="H771" s="2" t="s">
        <v>33</v>
      </c>
      <c r="I771" s="2">
        <v>9.1999999999999993</v>
      </c>
    </row>
    <row r="772" spans="1:9" x14ac:dyDescent="0.25">
      <c r="A772" s="1" t="s">
        <v>1460</v>
      </c>
      <c r="B772" t="s">
        <v>1461</v>
      </c>
      <c r="C772" s="1" t="s">
        <v>1022</v>
      </c>
      <c r="D772" s="1" t="s">
        <v>1022</v>
      </c>
      <c r="E772" t="s">
        <v>1023</v>
      </c>
      <c r="F772" s="2" t="s">
        <v>1024</v>
      </c>
      <c r="G772" t="s">
        <v>932</v>
      </c>
      <c r="H772" s="2" t="s">
        <v>1462</v>
      </c>
      <c r="I772" s="2">
        <v>3.15</v>
      </c>
    </row>
    <row r="773" spans="1:9" x14ac:dyDescent="0.25">
      <c r="A773" s="1" t="s">
        <v>1460</v>
      </c>
      <c r="B773" t="s">
        <v>1461</v>
      </c>
      <c r="C773" s="1" t="s">
        <v>541</v>
      </c>
      <c r="D773" s="1" t="s">
        <v>541</v>
      </c>
      <c r="E773" t="s">
        <v>542</v>
      </c>
      <c r="F773" s="2" t="s">
        <v>9</v>
      </c>
      <c r="G773" t="s">
        <v>10</v>
      </c>
      <c r="H773" s="2" t="s">
        <v>1463</v>
      </c>
      <c r="I773" s="2">
        <v>9.9499999999999993</v>
      </c>
    </row>
    <row r="774" spans="1:9" x14ac:dyDescent="0.25">
      <c r="A774" s="1" t="s">
        <v>1464</v>
      </c>
      <c r="B774" t="s">
        <v>1465</v>
      </c>
      <c r="C774" s="1" t="s">
        <v>1022</v>
      </c>
      <c r="D774" s="1" t="s">
        <v>1022</v>
      </c>
      <c r="E774" t="s">
        <v>1023</v>
      </c>
      <c r="F774" s="2" t="s">
        <v>1024</v>
      </c>
      <c r="G774" t="s">
        <v>932</v>
      </c>
      <c r="H774" s="2" t="s">
        <v>1466</v>
      </c>
      <c r="I774" s="2">
        <v>2.7</v>
      </c>
    </row>
    <row r="775" spans="1:9" x14ac:dyDescent="0.25">
      <c r="A775" s="1" t="s">
        <v>1464</v>
      </c>
      <c r="B775" t="s">
        <v>1465</v>
      </c>
      <c r="C775" s="1" t="s">
        <v>541</v>
      </c>
      <c r="D775" s="1" t="s">
        <v>541</v>
      </c>
      <c r="E775" t="s">
        <v>542</v>
      </c>
      <c r="F775" s="2" t="s">
        <v>9</v>
      </c>
      <c r="G775" t="s">
        <v>10</v>
      </c>
      <c r="H775" s="2" t="s">
        <v>1463</v>
      </c>
      <c r="I775" s="2">
        <v>9.9499999999999993</v>
      </c>
    </row>
    <row r="776" spans="1:9" x14ac:dyDescent="0.25">
      <c r="A776" s="1" t="s">
        <v>1467</v>
      </c>
      <c r="B776" t="s">
        <v>1468</v>
      </c>
      <c r="C776" s="1" t="s">
        <v>2</v>
      </c>
      <c r="D776" s="1" t="s">
        <v>2</v>
      </c>
      <c r="E776" t="s">
        <v>3</v>
      </c>
      <c r="F776" s="2" t="s">
        <v>4</v>
      </c>
      <c r="G776" t="s">
        <v>5</v>
      </c>
      <c r="H776" s="2" t="s">
        <v>6</v>
      </c>
      <c r="I776" s="2">
        <v>0.6</v>
      </c>
    </row>
    <row r="777" spans="1:9" x14ac:dyDescent="0.25">
      <c r="A777" s="1" t="s">
        <v>1467</v>
      </c>
      <c r="B777" t="s">
        <v>1468</v>
      </c>
      <c r="C777" s="1" t="s">
        <v>432</v>
      </c>
      <c r="D777" s="1" t="s">
        <v>432</v>
      </c>
      <c r="E777" t="s">
        <v>433</v>
      </c>
      <c r="F777" s="2" t="s">
        <v>434</v>
      </c>
      <c r="G777" t="s">
        <v>435</v>
      </c>
      <c r="H777" s="2" t="s">
        <v>50</v>
      </c>
      <c r="I777" s="2">
        <v>1.1000000000000001</v>
      </c>
    </row>
    <row r="778" spans="1:9" x14ac:dyDescent="0.25">
      <c r="A778" s="1" t="s">
        <v>1467</v>
      </c>
      <c r="B778" t="s">
        <v>1468</v>
      </c>
      <c r="C778" s="1" t="s">
        <v>7</v>
      </c>
      <c r="D778" s="1" t="s">
        <v>7</v>
      </c>
      <c r="E778" t="s">
        <v>8</v>
      </c>
      <c r="F778" s="2" t="s">
        <v>9</v>
      </c>
      <c r="G778" t="s">
        <v>10</v>
      </c>
      <c r="H778" s="2" t="s">
        <v>1469</v>
      </c>
      <c r="I778" s="2">
        <v>7.25</v>
      </c>
    </row>
    <row r="779" spans="1:9" x14ac:dyDescent="0.25">
      <c r="A779" s="1" t="s">
        <v>1470</v>
      </c>
      <c r="B779" t="s">
        <v>1471</v>
      </c>
      <c r="C779" s="1" t="s">
        <v>2</v>
      </c>
      <c r="D779" s="1" t="s">
        <v>2</v>
      </c>
      <c r="E779" t="s">
        <v>3</v>
      </c>
      <c r="F779" s="2" t="s">
        <v>4</v>
      </c>
      <c r="G779" t="s">
        <v>5</v>
      </c>
      <c r="H779" s="2" t="s">
        <v>1472</v>
      </c>
      <c r="I779" s="2">
        <v>0.5</v>
      </c>
    </row>
    <row r="780" spans="1:9" x14ac:dyDescent="0.25">
      <c r="A780" s="1" t="s">
        <v>1470</v>
      </c>
      <c r="B780" t="s">
        <v>1471</v>
      </c>
      <c r="C780" s="1" t="s">
        <v>432</v>
      </c>
      <c r="D780" s="1" t="s">
        <v>432</v>
      </c>
      <c r="E780" t="s">
        <v>433</v>
      </c>
      <c r="F780" s="2" t="s">
        <v>434</v>
      </c>
      <c r="G780" t="s">
        <v>435</v>
      </c>
      <c r="H780" s="2" t="s">
        <v>50</v>
      </c>
      <c r="I780" s="2">
        <v>1.1000000000000001</v>
      </c>
    </row>
    <row r="781" spans="1:9" x14ac:dyDescent="0.25">
      <c r="A781" s="1" t="s">
        <v>1470</v>
      </c>
      <c r="B781" t="s">
        <v>1471</v>
      </c>
      <c r="C781" s="1" t="s">
        <v>7</v>
      </c>
      <c r="D781" s="1" t="s">
        <v>7</v>
      </c>
      <c r="E781" t="s">
        <v>8</v>
      </c>
      <c r="F781" s="2" t="s">
        <v>9</v>
      </c>
      <c r="G781" t="s">
        <v>10</v>
      </c>
      <c r="H781" s="2" t="s">
        <v>1473</v>
      </c>
      <c r="I781" s="2">
        <v>7.25</v>
      </c>
    </row>
    <row r="782" spans="1:9" x14ac:dyDescent="0.25">
      <c r="A782" s="1" t="s">
        <v>85</v>
      </c>
      <c r="B782" t="s">
        <v>86</v>
      </c>
      <c r="C782" s="1" t="s">
        <v>1188</v>
      </c>
      <c r="D782" s="1" t="s">
        <v>1188</v>
      </c>
      <c r="E782" t="s">
        <v>1189</v>
      </c>
      <c r="F782" s="2" t="s">
        <v>1190</v>
      </c>
      <c r="G782" t="s">
        <v>5</v>
      </c>
      <c r="H782" s="2" t="s">
        <v>1474</v>
      </c>
      <c r="I782" s="2">
        <v>1.4</v>
      </c>
    </row>
    <row r="783" spans="1:9" x14ac:dyDescent="0.25">
      <c r="A783" s="1" t="s">
        <v>85</v>
      </c>
      <c r="B783" t="s">
        <v>86</v>
      </c>
      <c r="C783" s="1" t="s">
        <v>1060</v>
      </c>
      <c r="D783" s="1" t="s">
        <v>1060</v>
      </c>
      <c r="E783" t="s">
        <v>433</v>
      </c>
      <c r="F783" s="2" t="s">
        <v>1061</v>
      </c>
      <c r="G783" t="s">
        <v>121</v>
      </c>
      <c r="H783" s="2" t="s">
        <v>50</v>
      </c>
      <c r="I783" s="2">
        <v>1.7</v>
      </c>
    </row>
    <row r="784" spans="1:9" x14ac:dyDescent="0.25">
      <c r="A784" s="1" t="s">
        <v>85</v>
      </c>
      <c r="B784" t="s">
        <v>86</v>
      </c>
      <c r="C784" s="1" t="s">
        <v>7</v>
      </c>
      <c r="D784" s="1" t="s">
        <v>7</v>
      </c>
      <c r="E784" t="s">
        <v>8</v>
      </c>
      <c r="F784" s="2" t="s">
        <v>9</v>
      </c>
      <c r="G784" t="s">
        <v>10</v>
      </c>
      <c r="H784" s="2" t="s">
        <v>1148</v>
      </c>
      <c r="I784" s="2">
        <v>5.8</v>
      </c>
    </row>
    <row r="785" spans="1:9" x14ac:dyDescent="0.25">
      <c r="A785" s="1" t="s">
        <v>1475</v>
      </c>
      <c r="B785" t="s">
        <v>1476</v>
      </c>
      <c r="C785" s="1" t="s">
        <v>1477</v>
      </c>
      <c r="D785" s="1" t="s">
        <v>1477</v>
      </c>
      <c r="E785" t="s">
        <v>1478</v>
      </c>
      <c r="F785" s="2" t="s">
        <v>1479</v>
      </c>
      <c r="G785" t="s">
        <v>5</v>
      </c>
      <c r="H785" s="2" t="s">
        <v>1480</v>
      </c>
      <c r="I785" s="2">
        <v>0.7</v>
      </c>
    </row>
    <row r="786" spans="1:9" x14ac:dyDescent="0.25">
      <c r="A786" s="1" t="s">
        <v>1475</v>
      </c>
      <c r="B786" t="s">
        <v>1476</v>
      </c>
      <c r="C786" s="1" t="s">
        <v>7</v>
      </c>
      <c r="D786" s="1" t="s">
        <v>7</v>
      </c>
      <c r="E786" t="s">
        <v>8</v>
      </c>
      <c r="F786" s="2" t="s">
        <v>9</v>
      </c>
      <c r="G786" t="s">
        <v>10</v>
      </c>
      <c r="H786" s="2" t="s">
        <v>1481</v>
      </c>
      <c r="I786" s="2">
        <v>2.7</v>
      </c>
    </row>
    <row r="787" spans="1:9" x14ac:dyDescent="0.25">
      <c r="A787" s="1" t="s">
        <v>1482</v>
      </c>
      <c r="B787" t="s">
        <v>1483</v>
      </c>
      <c r="C787" s="1" t="s">
        <v>2</v>
      </c>
      <c r="D787" s="1" t="s">
        <v>2</v>
      </c>
      <c r="E787" t="s">
        <v>3</v>
      </c>
      <c r="F787" s="2" t="s">
        <v>4</v>
      </c>
      <c r="G787" t="s">
        <v>5</v>
      </c>
      <c r="H787" s="2" t="s">
        <v>1484</v>
      </c>
      <c r="I787" s="2">
        <v>3.35</v>
      </c>
    </row>
    <row r="788" spans="1:9" x14ac:dyDescent="0.25">
      <c r="A788" s="1" t="s">
        <v>1482</v>
      </c>
      <c r="B788" t="s">
        <v>1483</v>
      </c>
      <c r="C788" s="1" t="s">
        <v>432</v>
      </c>
      <c r="D788" s="1" t="s">
        <v>432</v>
      </c>
      <c r="E788" t="s">
        <v>433</v>
      </c>
      <c r="F788" s="2" t="s">
        <v>434</v>
      </c>
      <c r="G788" t="s">
        <v>435</v>
      </c>
      <c r="H788" s="2" t="s">
        <v>994</v>
      </c>
      <c r="I788" s="2">
        <v>1.5</v>
      </c>
    </row>
    <row r="789" spans="1:9" x14ac:dyDescent="0.25">
      <c r="A789" s="1" t="s">
        <v>1482</v>
      </c>
      <c r="B789" t="s">
        <v>1483</v>
      </c>
      <c r="C789" s="1" t="s">
        <v>7</v>
      </c>
      <c r="D789" s="1" t="s">
        <v>7</v>
      </c>
      <c r="E789" t="s">
        <v>8</v>
      </c>
      <c r="F789" s="2" t="s">
        <v>9</v>
      </c>
      <c r="G789" t="s">
        <v>10</v>
      </c>
      <c r="H789" s="2" t="s">
        <v>1415</v>
      </c>
      <c r="I789" s="2">
        <v>9.6</v>
      </c>
    </row>
    <row r="790" spans="1:9" x14ac:dyDescent="0.25">
      <c r="A790" s="1" t="s">
        <v>1485</v>
      </c>
      <c r="B790" t="s">
        <v>1486</v>
      </c>
      <c r="C790" s="1" t="s">
        <v>1487</v>
      </c>
      <c r="D790" s="1" t="s">
        <v>1487</v>
      </c>
      <c r="E790" t="s">
        <v>1488</v>
      </c>
      <c r="F790" s="2" t="s">
        <v>31</v>
      </c>
      <c r="G790" t="s">
        <v>5</v>
      </c>
      <c r="H790" s="2" t="s">
        <v>594</v>
      </c>
      <c r="I790" s="2">
        <v>2.65</v>
      </c>
    </row>
    <row r="791" spans="1:9" x14ac:dyDescent="0.25">
      <c r="A791" s="1" t="s">
        <v>1485</v>
      </c>
      <c r="B791" t="s">
        <v>1486</v>
      </c>
      <c r="C791" s="1" t="s">
        <v>432</v>
      </c>
      <c r="D791" s="1" t="s">
        <v>432</v>
      </c>
      <c r="E791" t="s">
        <v>433</v>
      </c>
      <c r="F791" s="2" t="s">
        <v>434</v>
      </c>
      <c r="G791" t="s">
        <v>435</v>
      </c>
      <c r="H791" s="2" t="s">
        <v>50</v>
      </c>
      <c r="I791" s="2">
        <v>1.1000000000000001</v>
      </c>
    </row>
    <row r="792" spans="1:9" x14ac:dyDescent="0.25">
      <c r="A792" s="1" t="s">
        <v>1485</v>
      </c>
      <c r="B792" t="s">
        <v>1486</v>
      </c>
      <c r="C792" s="1" t="s">
        <v>7</v>
      </c>
      <c r="D792" s="1" t="s">
        <v>7</v>
      </c>
      <c r="E792" t="s">
        <v>8</v>
      </c>
      <c r="F792" s="2" t="s">
        <v>9</v>
      </c>
      <c r="G792" t="s">
        <v>10</v>
      </c>
      <c r="H792" s="2" t="s">
        <v>1451</v>
      </c>
      <c r="I792" s="2">
        <v>4.5</v>
      </c>
    </row>
    <row r="793" spans="1:9" x14ac:dyDescent="0.25">
      <c r="A793" s="1" t="s">
        <v>1489</v>
      </c>
      <c r="B793" t="s">
        <v>1490</v>
      </c>
      <c r="C793" s="1" t="s">
        <v>1487</v>
      </c>
      <c r="D793" s="1" t="s">
        <v>1487</v>
      </c>
      <c r="E793" t="s">
        <v>1488</v>
      </c>
      <c r="F793" s="2" t="s">
        <v>31</v>
      </c>
      <c r="G793" t="s">
        <v>5</v>
      </c>
      <c r="H793" s="2" t="s">
        <v>1491</v>
      </c>
      <c r="I793" s="2">
        <v>1.3</v>
      </c>
    </row>
    <row r="794" spans="1:9" x14ac:dyDescent="0.25">
      <c r="A794" s="1" t="s">
        <v>1489</v>
      </c>
      <c r="B794" t="s">
        <v>1490</v>
      </c>
      <c r="C794" s="1" t="s">
        <v>432</v>
      </c>
      <c r="D794" s="1" t="s">
        <v>432</v>
      </c>
      <c r="E794" t="s">
        <v>433</v>
      </c>
      <c r="F794" s="2" t="s">
        <v>434</v>
      </c>
      <c r="G794" t="s">
        <v>435</v>
      </c>
      <c r="H794" s="2" t="s">
        <v>50</v>
      </c>
      <c r="I794" s="2">
        <v>1.1000000000000001</v>
      </c>
    </row>
    <row r="795" spans="1:9" x14ac:dyDescent="0.25">
      <c r="A795" s="1" t="s">
        <v>1489</v>
      </c>
      <c r="B795" t="s">
        <v>1490</v>
      </c>
      <c r="C795" s="1" t="s">
        <v>7</v>
      </c>
      <c r="D795" s="1" t="s">
        <v>7</v>
      </c>
      <c r="E795" t="s">
        <v>8</v>
      </c>
      <c r="F795" s="2" t="s">
        <v>9</v>
      </c>
      <c r="G795" t="s">
        <v>10</v>
      </c>
      <c r="H795" s="2" t="s">
        <v>1492</v>
      </c>
      <c r="I795" s="2">
        <v>3.5</v>
      </c>
    </row>
    <row r="796" spans="1:9" x14ac:dyDescent="0.25">
      <c r="A796" s="1" t="s">
        <v>1493</v>
      </c>
      <c r="B796" t="s">
        <v>1494</v>
      </c>
      <c r="C796" s="1" t="s">
        <v>1495</v>
      </c>
      <c r="D796" s="1" t="s">
        <v>1495</v>
      </c>
      <c r="E796" t="s">
        <v>1496</v>
      </c>
      <c r="F796" s="2" t="s">
        <v>1017</v>
      </c>
      <c r="G796" t="s">
        <v>5</v>
      </c>
      <c r="H796" s="2" t="s">
        <v>1497</v>
      </c>
      <c r="I796" s="2">
        <v>14.35</v>
      </c>
    </row>
    <row r="797" spans="1:9" x14ac:dyDescent="0.25">
      <c r="A797" s="1" t="s">
        <v>1493</v>
      </c>
      <c r="B797" t="s">
        <v>1494</v>
      </c>
      <c r="C797" s="1" t="s">
        <v>7</v>
      </c>
      <c r="D797" s="1" t="s">
        <v>7</v>
      </c>
      <c r="E797" t="s">
        <v>8</v>
      </c>
      <c r="F797" s="2" t="s">
        <v>9</v>
      </c>
      <c r="G797" t="s">
        <v>10</v>
      </c>
      <c r="H797" s="2" t="s">
        <v>1498</v>
      </c>
      <c r="I797" s="2">
        <v>12.05</v>
      </c>
    </row>
    <row r="798" spans="1:9" x14ac:dyDescent="0.25">
      <c r="A798" s="1" t="s">
        <v>1493</v>
      </c>
      <c r="B798" t="s">
        <v>1494</v>
      </c>
      <c r="C798" s="1" t="s">
        <v>7</v>
      </c>
      <c r="D798" s="1" t="s">
        <v>7</v>
      </c>
      <c r="E798" t="s">
        <v>8</v>
      </c>
      <c r="F798" s="2" t="s">
        <v>9</v>
      </c>
      <c r="G798" t="s">
        <v>10</v>
      </c>
      <c r="H798" s="2" t="s">
        <v>1499</v>
      </c>
      <c r="I798" s="2">
        <v>33.6</v>
      </c>
    </row>
    <row r="799" spans="1:9" x14ac:dyDescent="0.25">
      <c r="A799" s="1" t="s">
        <v>1500</v>
      </c>
      <c r="B799" t="s">
        <v>1501</v>
      </c>
      <c r="C799" s="1" t="s">
        <v>1502</v>
      </c>
      <c r="D799" s="1" t="s">
        <v>1502</v>
      </c>
      <c r="E799" t="s">
        <v>1503</v>
      </c>
      <c r="F799" s="2" t="s">
        <v>1017</v>
      </c>
      <c r="G799" t="s">
        <v>5</v>
      </c>
      <c r="H799" s="2" t="s">
        <v>1504</v>
      </c>
      <c r="I799" s="2">
        <v>19.649999999999999</v>
      </c>
    </row>
    <row r="800" spans="1:9" x14ac:dyDescent="0.25">
      <c r="A800" s="1" t="s">
        <v>1500</v>
      </c>
      <c r="B800" t="s">
        <v>1501</v>
      </c>
      <c r="C800" s="1" t="s">
        <v>7</v>
      </c>
      <c r="D800" s="1" t="s">
        <v>7</v>
      </c>
      <c r="E800" t="s">
        <v>8</v>
      </c>
      <c r="F800" s="2" t="s">
        <v>9</v>
      </c>
      <c r="G800" t="s">
        <v>10</v>
      </c>
      <c r="H800" s="2" t="s">
        <v>1499</v>
      </c>
      <c r="I800" s="2">
        <v>33.6</v>
      </c>
    </row>
    <row r="801" spans="1:9" x14ac:dyDescent="0.25">
      <c r="A801" s="1" t="s">
        <v>1500</v>
      </c>
      <c r="B801" t="s">
        <v>1501</v>
      </c>
      <c r="C801" s="1" t="s">
        <v>7</v>
      </c>
      <c r="D801" s="1" t="s">
        <v>7</v>
      </c>
      <c r="E801" t="s">
        <v>8</v>
      </c>
      <c r="F801" s="2" t="s">
        <v>9</v>
      </c>
      <c r="G801" t="s">
        <v>10</v>
      </c>
      <c r="H801" s="2" t="s">
        <v>1505</v>
      </c>
      <c r="I801" s="2">
        <v>11.95</v>
      </c>
    </row>
    <row r="802" spans="1:9" x14ac:dyDescent="0.25">
      <c r="A802" s="1" t="s">
        <v>1506</v>
      </c>
      <c r="B802" t="s">
        <v>1507</v>
      </c>
      <c r="C802" s="1" t="s">
        <v>1508</v>
      </c>
      <c r="D802" s="1" t="s">
        <v>1508</v>
      </c>
      <c r="E802" t="s">
        <v>1509</v>
      </c>
      <c r="F802" s="2" t="s">
        <v>1017</v>
      </c>
      <c r="G802" t="s">
        <v>5</v>
      </c>
      <c r="H802" s="2" t="s">
        <v>1510</v>
      </c>
      <c r="I802" s="2">
        <v>25.11</v>
      </c>
    </row>
    <row r="803" spans="1:9" x14ac:dyDescent="0.25">
      <c r="A803" s="1" t="s">
        <v>1506</v>
      </c>
      <c r="B803" t="s">
        <v>1507</v>
      </c>
      <c r="C803" s="1" t="s">
        <v>7</v>
      </c>
      <c r="D803" s="1" t="s">
        <v>7</v>
      </c>
      <c r="E803" t="s">
        <v>8</v>
      </c>
      <c r="F803" s="2" t="s">
        <v>9</v>
      </c>
      <c r="G803" t="s">
        <v>10</v>
      </c>
      <c r="H803" s="2" t="s">
        <v>1511</v>
      </c>
      <c r="I803" s="2">
        <v>33.81</v>
      </c>
    </row>
    <row r="804" spans="1:9" x14ac:dyDescent="0.25">
      <c r="A804" s="1" t="s">
        <v>1506</v>
      </c>
      <c r="B804" t="s">
        <v>1507</v>
      </c>
      <c r="C804" s="1" t="s">
        <v>7</v>
      </c>
      <c r="D804" s="1" t="s">
        <v>7</v>
      </c>
      <c r="E804" t="s">
        <v>8</v>
      </c>
      <c r="F804" s="2" t="s">
        <v>9</v>
      </c>
      <c r="G804" t="s">
        <v>10</v>
      </c>
      <c r="H804" s="2" t="s">
        <v>1512</v>
      </c>
      <c r="I804" s="2">
        <v>12</v>
      </c>
    </row>
    <row r="805" spans="1:9" x14ac:dyDescent="0.25">
      <c r="A805" s="1" t="s">
        <v>1513</v>
      </c>
      <c r="B805" t="s">
        <v>1514</v>
      </c>
      <c r="C805" s="1" t="s">
        <v>1117</v>
      </c>
      <c r="D805" s="1" t="s">
        <v>1117</v>
      </c>
      <c r="E805" t="s">
        <v>1118</v>
      </c>
      <c r="F805" s="2" t="s">
        <v>876</v>
      </c>
      <c r="G805" t="s">
        <v>5</v>
      </c>
      <c r="H805" s="2" t="s">
        <v>1349</v>
      </c>
      <c r="I805" s="2">
        <v>0.9</v>
      </c>
    </row>
    <row r="806" spans="1:9" x14ac:dyDescent="0.25">
      <c r="A806" s="1" t="s">
        <v>1513</v>
      </c>
      <c r="B806" t="s">
        <v>1514</v>
      </c>
      <c r="C806" s="1" t="s">
        <v>432</v>
      </c>
      <c r="D806" s="1" t="s">
        <v>432</v>
      </c>
      <c r="E806" t="s">
        <v>433</v>
      </c>
      <c r="F806" s="2" t="s">
        <v>434</v>
      </c>
      <c r="G806" t="s">
        <v>435</v>
      </c>
      <c r="H806" s="2" t="s">
        <v>1515</v>
      </c>
      <c r="I806" s="2">
        <v>1.4</v>
      </c>
    </row>
    <row r="807" spans="1:9" x14ac:dyDescent="0.25">
      <c r="A807" s="1" t="s">
        <v>1513</v>
      </c>
      <c r="B807" t="s">
        <v>1514</v>
      </c>
      <c r="C807" s="1" t="s">
        <v>7</v>
      </c>
      <c r="D807" s="1" t="s">
        <v>7</v>
      </c>
      <c r="E807" t="s">
        <v>8</v>
      </c>
      <c r="F807" s="2" t="s">
        <v>9</v>
      </c>
      <c r="G807" t="s">
        <v>10</v>
      </c>
      <c r="H807" s="2" t="s">
        <v>1516</v>
      </c>
      <c r="I807" s="2">
        <v>4.3899999999999997</v>
      </c>
    </row>
    <row r="808" spans="1:9" x14ac:dyDescent="0.25">
      <c r="A808" s="1" t="s">
        <v>1517</v>
      </c>
      <c r="B808" t="s">
        <v>1518</v>
      </c>
      <c r="C808" s="1" t="s">
        <v>1519</v>
      </c>
      <c r="D808" s="1" t="s">
        <v>1519</v>
      </c>
      <c r="E808" t="s">
        <v>1520</v>
      </c>
      <c r="F808" s="2" t="s">
        <v>1521</v>
      </c>
      <c r="G808" t="s">
        <v>5</v>
      </c>
      <c r="H808" s="2" t="s">
        <v>1522</v>
      </c>
      <c r="I808" s="2">
        <v>0.32</v>
      </c>
    </row>
    <row r="809" spans="1:9" x14ac:dyDescent="0.25">
      <c r="A809" s="1" t="s">
        <v>1517</v>
      </c>
      <c r="B809" t="s">
        <v>1518</v>
      </c>
      <c r="C809" s="1" t="s">
        <v>1523</v>
      </c>
      <c r="D809" s="1" t="s">
        <v>1523</v>
      </c>
      <c r="E809" t="s">
        <v>1524</v>
      </c>
      <c r="F809" s="2" t="s">
        <v>1525</v>
      </c>
      <c r="G809" t="s">
        <v>49</v>
      </c>
      <c r="H809" s="2" t="s">
        <v>50</v>
      </c>
      <c r="I809" s="2">
        <v>9.17</v>
      </c>
    </row>
    <row r="810" spans="1:9" x14ac:dyDescent="0.25">
      <c r="A810" s="1" t="s">
        <v>1517</v>
      </c>
      <c r="B810" t="s">
        <v>1518</v>
      </c>
      <c r="C810" s="1" t="s">
        <v>1526</v>
      </c>
      <c r="D810" s="1" t="s">
        <v>1526</v>
      </c>
      <c r="E810" t="s">
        <v>1527</v>
      </c>
      <c r="F810" s="2" t="s">
        <v>1528</v>
      </c>
      <c r="G810" t="s">
        <v>121</v>
      </c>
      <c r="H810" s="2" t="s">
        <v>50</v>
      </c>
      <c r="I810" s="2">
        <v>0.53</v>
      </c>
    </row>
    <row r="811" spans="1:9" x14ac:dyDescent="0.25">
      <c r="A811" s="1" t="s">
        <v>1517</v>
      </c>
      <c r="B811" t="s">
        <v>1518</v>
      </c>
      <c r="C811" s="1" t="s">
        <v>1529</v>
      </c>
      <c r="D811" s="1" t="s">
        <v>1529</v>
      </c>
      <c r="E811" t="s">
        <v>1530</v>
      </c>
      <c r="F811" s="2" t="s">
        <v>1531</v>
      </c>
      <c r="G811" t="s">
        <v>121</v>
      </c>
      <c r="H811" s="2" t="s">
        <v>50</v>
      </c>
      <c r="I811" s="2">
        <v>16.010000000000002</v>
      </c>
    </row>
    <row r="812" spans="1:9" x14ac:dyDescent="0.25">
      <c r="A812" s="1" t="s">
        <v>1517</v>
      </c>
      <c r="B812" t="s">
        <v>1518</v>
      </c>
      <c r="C812" s="1" t="s">
        <v>1532</v>
      </c>
      <c r="D812" s="1" t="s">
        <v>1532</v>
      </c>
      <c r="E812" t="s">
        <v>1533</v>
      </c>
      <c r="F812" s="2" t="s">
        <v>1534</v>
      </c>
      <c r="G812" t="s">
        <v>49</v>
      </c>
      <c r="H812" s="2" t="s">
        <v>50</v>
      </c>
      <c r="I812" s="2">
        <v>12.82</v>
      </c>
    </row>
    <row r="813" spans="1:9" x14ac:dyDescent="0.25">
      <c r="A813" s="1" t="s">
        <v>1517</v>
      </c>
      <c r="B813" t="s">
        <v>1518</v>
      </c>
      <c r="C813" s="1" t="s">
        <v>541</v>
      </c>
      <c r="D813" s="1" t="s">
        <v>541</v>
      </c>
      <c r="E813" t="s">
        <v>542</v>
      </c>
      <c r="F813" s="2" t="s">
        <v>9</v>
      </c>
      <c r="G813" t="s">
        <v>10</v>
      </c>
      <c r="H813" s="2" t="s">
        <v>1535</v>
      </c>
      <c r="I813" s="2">
        <v>13.15</v>
      </c>
    </row>
    <row r="814" spans="1:9" x14ac:dyDescent="0.25">
      <c r="A814" s="1" t="s">
        <v>1536</v>
      </c>
      <c r="B814" t="s">
        <v>1537</v>
      </c>
      <c r="C814" s="1" t="s">
        <v>1538</v>
      </c>
      <c r="D814" s="1" t="s">
        <v>1538</v>
      </c>
      <c r="E814" t="s">
        <v>1539</v>
      </c>
      <c r="F814" s="2" t="s">
        <v>501</v>
      </c>
      <c r="G814" t="s">
        <v>5</v>
      </c>
      <c r="H814" s="2" t="s">
        <v>1540</v>
      </c>
      <c r="I814" s="2">
        <v>0.3</v>
      </c>
    </row>
    <row r="815" spans="1:9" x14ac:dyDescent="0.25">
      <c r="A815" s="1" t="s">
        <v>1536</v>
      </c>
      <c r="B815" t="s">
        <v>1537</v>
      </c>
      <c r="C815" s="1" t="s">
        <v>7</v>
      </c>
      <c r="D815" s="1" t="s">
        <v>7</v>
      </c>
      <c r="E815" t="s">
        <v>8</v>
      </c>
      <c r="F815" s="2" t="s">
        <v>9</v>
      </c>
      <c r="G815" t="s">
        <v>10</v>
      </c>
      <c r="H815" s="2" t="s">
        <v>33</v>
      </c>
      <c r="I815" s="2">
        <v>9.1999999999999993</v>
      </c>
    </row>
    <row r="816" spans="1:9" x14ac:dyDescent="0.25">
      <c r="A816" s="1" t="s">
        <v>1541</v>
      </c>
      <c r="B816" t="s">
        <v>1542</v>
      </c>
      <c r="C816" s="1" t="s">
        <v>1207</v>
      </c>
      <c r="D816" s="1" t="s">
        <v>1207</v>
      </c>
      <c r="E816" t="s">
        <v>1208</v>
      </c>
      <c r="F816" s="2" t="s">
        <v>1017</v>
      </c>
      <c r="G816" t="s">
        <v>5</v>
      </c>
      <c r="H816" s="2" t="s">
        <v>1543</v>
      </c>
      <c r="I816" s="2">
        <v>0.1</v>
      </c>
    </row>
    <row r="817" spans="1:9" x14ac:dyDescent="0.25">
      <c r="A817" s="1" t="s">
        <v>1541</v>
      </c>
      <c r="B817" t="s">
        <v>1542</v>
      </c>
      <c r="C817" s="1" t="s">
        <v>7</v>
      </c>
      <c r="D817" s="1" t="s">
        <v>7</v>
      </c>
      <c r="E817" t="s">
        <v>8</v>
      </c>
      <c r="F817" s="2" t="s">
        <v>9</v>
      </c>
      <c r="G817" t="s">
        <v>10</v>
      </c>
      <c r="H817" s="2" t="s">
        <v>1544</v>
      </c>
      <c r="I817" s="2">
        <v>1.05</v>
      </c>
    </row>
    <row r="818" spans="1:9" x14ac:dyDescent="0.25">
      <c r="A818" s="1" t="s">
        <v>1545</v>
      </c>
      <c r="B818" t="s">
        <v>1546</v>
      </c>
      <c r="C818" s="1" t="s">
        <v>1547</v>
      </c>
      <c r="D818" s="1" t="s">
        <v>1547</v>
      </c>
      <c r="E818" t="s">
        <v>1548</v>
      </c>
      <c r="F818" s="2" t="s">
        <v>403</v>
      </c>
      <c r="G818" t="s">
        <v>5</v>
      </c>
      <c r="H818" s="2" t="s">
        <v>1549</v>
      </c>
      <c r="I818" s="2">
        <v>2.19</v>
      </c>
    </row>
    <row r="819" spans="1:9" x14ac:dyDescent="0.25">
      <c r="A819" s="1" t="s">
        <v>1545</v>
      </c>
      <c r="B819" t="s">
        <v>1546</v>
      </c>
      <c r="C819" s="1" t="s">
        <v>7</v>
      </c>
      <c r="D819" s="1" t="s">
        <v>7</v>
      </c>
      <c r="E819" t="s">
        <v>8</v>
      </c>
      <c r="F819" s="2" t="s">
        <v>9</v>
      </c>
      <c r="G819" t="s">
        <v>10</v>
      </c>
      <c r="H819" s="2" t="s">
        <v>1550</v>
      </c>
      <c r="I819" s="2">
        <v>18.86</v>
      </c>
    </row>
    <row r="820" spans="1:9" x14ac:dyDescent="0.25">
      <c r="A820" s="1" t="s">
        <v>1551</v>
      </c>
      <c r="B820" t="s">
        <v>1552</v>
      </c>
      <c r="C820" s="1" t="s">
        <v>1553</v>
      </c>
      <c r="D820" s="1" t="s">
        <v>1553</v>
      </c>
      <c r="E820" t="s">
        <v>1554</v>
      </c>
      <c r="F820" s="2" t="s">
        <v>70</v>
      </c>
      <c r="G820" t="s">
        <v>5</v>
      </c>
      <c r="H820" s="2" t="s">
        <v>1555</v>
      </c>
      <c r="I820" s="2">
        <v>46.2</v>
      </c>
    </row>
    <row r="821" spans="1:9" x14ac:dyDescent="0.25">
      <c r="A821" s="1" t="s">
        <v>1551</v>
      </c>
      <c r="B821" t="s">
        <v>1552</v>
      </c>
      <c r="C821" s="1" t="s">
        <v>7</v>
      </c>
      <c r="D821" s="1" t="s">
        <v>7</v>
      </c>
      <c r="E821" t="s">
        <v>8</v>
      </c>
      <c r="F821" s="2" t="s">
        <v>9</v>
      </c>
      <c r="G821" t="s">
        <v>10</v>
      </c>
      <c r="H821" s="2" t="s">
        <v>860</v>
      </c>
      <c r="I821" s="2">
        <v>23</v>
      </c>
    </row>
    <row r="822" spans="1:9" x14ac:dyDescent="0.25">
      <c r="A822" s="1" t="s">
        <v>1556</v>
      </c>
      <c r="B822" t="s">
        <v>1557</v>
      </c>
      <c r="C822" s="1" t="s">
        <v>1022</v>
      </c>
      <c r="D822" s="1" t="s">
        <v>1022</v>
      </c>
      <c r="E822" t="s">
        <v>1023</v>
      </c>
      <c r="F822" s="2" t="s">
        <v>1024</v>
      </c>
      <c r="G822" t="s">
        <v>932</v>
      </c>
      <c r="H822" s="2" t="s">
        <v>1558</v>
      </c>
      <c r="I822" s="2">
        <v>26.6</v>
      </c>
    </row>
    <row r="823" spans="1:9" x14ac:dyDescent="0.25">
      <c r="A823" s="1" t="s">
        <v>1556</v>
      </c>
      <c r="B823" t="s">
        <v>1557</v>
      </c>
      <c r="C823" s="1" t="s">
        <v>7</v>
      </c>
      <c r="D823" s="1" t="s">
        <v>7</v>
      </c>
      <c r="E823" t="s">
        <v>8</v>
      </c>
      <c r="F823" s="2" t="s">
        <v>9</v>
      </c>
      <c r="G823" t="s">
        <v>10</v>
      </c>
      <c r="H823" s="2" t="s">
        <v>1559</v>
      </c>
      <c r="I823" s="2">
        <v>32.9</v>
      </c>
    </row>
    <row r="824" spans="1:9" x14ac:dyDescent="0.25">
      <c r="A824" s="1" t="s">
        <v>1560</v>
      </c>
      <c r="B824" t="s">
        <v>1561</v>
      </c>
      <c r="C824" s="1" t="s">
        <v>1022</v>
      </c>
      <c r="D824" s="1" t="s">
        <v>1022</v>
      </c>
      <c r="E824" t="s">
        <v>1023</v>
      </c>
      <c r="F824" s="2" t="s">
        <v>1024</v>
      </c>
      <c r="G824" t="s">
        <v>932</v>
      </c>
      <c r="H824" s="2" t="s">
        <v>1562</v>
      </c>
      <c r="I824" s="2">
        <v>24.7</v>
      </c>
    </row>
    <row r="825" spans="1:9" x14ac:dyDescent="0.25">
      <c r="A825" s="1" t="s">
        <v>1560</v>
      </c>
      <c r="B825" t="s">
        <v>1561</v>
      </c>
      <c r="C825" s="1" t="s">
        <v>7</v>
      </c>
      <c r="D825" s="1" t="s">
        <v>7</v>
      </c>
      <c r="E825" t="s">
        <v>8</v>
      </c>
      <c r="F825" s="2" t="s">
        <v>9</v>
      </c>
      <c r="G825" t="s">
        <v>10</v>
      </c>
      <c r="H825" s="2" t="s">
        <v>1563</v>
      </c>
      <c r="I825" s="2">
        <v>43.7</v>
      </c>
    </row>
    <row r="826" spans="1:9" x14ac:dyDescent="0.25">
      <c r="A826" s="1" t="s">
        <v>1564</v>
      </c>
      <c r="B826" t="s">
        <v>1565</v>
      </c>
      <c r="C826" s="1" t="s">
        <v>1022</v>
      </c>
      <c r="D826" s="1" t="s">
        <v>1022</v>
      </c>
      <c r="E826" t="s">
        <v>1023</v>
      </c>
      <c r="F826" s="2" t="s">
        <v>1024</v>
      </c>
      <c r="G826" t="s">
        <v>932</v>
      </c>
      <c r="H826" s="2" t="s">
        <v>1566</v>
      </c>
      <c r="I826" s="2">
        <v>28.9</v>
      </c>
    </row>
    <row r="827" spans="1:9" x14ac:dyDescent="0.25">
      <c r="A827" s="1" t="s">
        <v>1564</v>
      </c>
      <c r="B827" t="s">
        <v>1565</v>
      </c>
      <c r="C827" s="1" t="s">
        <v>7</v>
      </c>
      <c r="D827" s="1" t="s">
        <v>7</v>
      </c>
      <c r="E827" t="s">
        <v>8</v>
      </c>
      <c r="F827" s="2" t="s">
        <v>9</v>
      </c>
      <c r="G827" t="s">
        <v>10</v>
      </c>
      <c r="H827" s="2" t="s">
        <v>1567</v>
      </c>
      <c r="I827" s="2">
        <v>46.1</v>
      </c>
    </row>
    <row r="828" spans="1:9" x14ac:dyDescent="0.25">
      <c r="A828" s="1" t="s">
        <v>1568</v>
      </c>
      <c r="B828" t="s">
        <v>1569</v>
      </c>
      <c r="C828" s="1" t="s">
        <v>1022</v>
      </c>
      <c r="D828" s="1" t="s">
        <v>1022</v>
      </c>
      <c r="E828" t="s">
        <v>1023</v>
      </c>
      <c r="F828" s="2" t="s">
        <v>1024</v>
      </c>
      <c r="G828" t="s">
        <v>932</v>
      </c>
      <c r="H828" s="2" t="s">
        <v>1570</v>
      </c>
      <c r="I828" s="2">
        <v>32.200000000000003</v>
      </c>
    </row>
    <row r="829" spans="1:9" x14ac:dyDescent="0.25">
      <c r="A829" s="1" t="s">
        <v>1568</v>
      </c>
      <c r="B829" t="s">
        <v>1569</v>
      </c>
      <c r="C829" s="1" t="s">
        <v>7</v>
      </c>
      <c r="D829" s="1" t="s">
        <v>7</v>
      </c>
      <c r="E829" t="s">
        <v>8</v>
      </c>
      <c r="F829" s="2" t="s">
        <v>9</v>
      </c>
      <c r="G829" t="s">
        <v>10</v>
      </c>
      <c r="H829" s="2" t="s">
        <v>1571</v>
      </c>
      <c r="I829" s="2">
        <v>37.200000000000003</v>
      </c>
    </row>
    <row r="830" spans="1:9" x14ac:dyDescent="0.25">
      <c r="A830" s="1" t="s">
        <v>1572</v>
      </c>
      <c r="B830" t="s">
        <v>1573</v>
      </c>
      <c r="C830" s="1" t="s">
        <v>1022</v>
      </c>
      <c r="D830" s="1" t="s">
        <v>1022</v>
      </c>
      <c r="E830" t="s">
        <v>1023</v>
      </c>
      <c r="F830" s="2" t="s">
        <v>1024</v>
      </c>
      <c r="G830" t="s">
        <v>932</v>
      </c>
      <c r="H830" s="2" t="s">
        <v>1574</v>
      </c>
      <c r="I830" s="2">
        <v>16</v>
      </c>
    </row>
    <row r="831" spans="1:9" x14ac:dyDescent="0.25">
      <c r="A831" s="1" t="s">
        <v>1572</v>
      </c>
      <c r="B831" t="s">
        <v>1573</v>
      </c>
      <c r="C831" s="1" t="s">
        <v>7</v>
      </c>
      <c r="D831" s="1" t="s">
        <v>7</v>
      </c>
      <c r="E831" t="s">
        <v>8</v>
      </c>
      <c r="F831" s="2" t="s">
        <v>9</v>
      </c>
      <c r="G831" t="s">
        <v>10</v>
      </c>
      <c r="H831" s="2" t="s">
        <v>1575</v>
      </c>
      <c r="I831" s="2">
        <v>32.299999999999997</v>
      </c>
    </row>
    <row r="832" spans="1:9" x14ac:dyDescent="0.25">
      <c r="A832" s="1" t="s">
        <v>1576</v>
      </c>
      <c r="B832" t="s">
        <v>1577</v>
      </c>
      <c r="C832" s="1" t="s">
        <v>1022</v>
      </c>
      <c r="D832" s="1" t="s">
        <v>1022</v>
      </c>
      <c r="E832" t="s">
        <v>1023</v>
      </c>
      <c r="F832" s="2" t="s">
        <v>1024</v>
      </c>
      <c r="G832" t="s">
        <v>932</v>
      </c>
      <c r="H832" s="2" t="s">
        <v>1570</v>
      </c>
      <c r="I832" s="2">
        <v>32.200000000000003</v>
      </c>
    </row>
    <row r="833" spans="1:9" x14ac:dyDescent="0.25">
      <c r="A833" s="1" t="s">
        <v>1576</v>
      </c>
      <c r="B833" t="s">
        <v>1577</v>
      </c>
      <c r="C833" s="1" t="s">
        <v>7</v>
      </c>
      <c r="D833" s="1" t="s">
        <v>7</v>
      </c>
      <c r="E833" t="s">
        <v>8</v>
      </c>
      <c r="F833" s="2" t="s">
        <v>9</v>
      </c>
      <c r="G833" t="s">
        <v>10</v>
      </c>
      <c r="H833" s="2" t="s">
        <v>1578</v>
      </c>
      <c r="I833" s="2">
        <v>36.049999999999997</v>
      </c>
    </row>
    <row r="834" spans="1:9" x14ac:dyDescent="0.25">
      <c r="A834" s="1" t="s">
        <v>1579</v>
      </c>
      <c r="B834" t="s">
        <v>1580</v>
      </c>
      <c r="C834" s="1" t="s">
        <v>1022</v>
      </c>
      <c r="D834" s="1" t="s">
        <v>1022</v>
      </c>
      <c r="E834" t="s">
        <v>1023</v>
      </c>
      <c r="F834" s="2" t="s">
        <v>1024</v>
      </c>
      <c r="G834" t="s">
        <v>932</v>
      </c>
      <c r="H834" s="2" t="s">
        <v>1562</v>
      </c>
      <c r="I834" s="2">
        <v>24.7</v>
      </c>
    </row>
    <row r="835" spans="1:9" x14ac:dyDescent="0.25">
      <c r="A835" s="1" t="s">
        <v>1579</v>
      </c>
      <c r="B835" t="s">
        <v>1580</v>
      </c>
      <c r="C835" s="1" t="s">
        <v>7</v>
      </c>
      <c r="D835" s="1" t="s">
        <v>7</v>
      </c>
      <c r="E835" t="s">
        <v>8</v>
      </c>
      <c r="F835" s="2" t="s">
        <v>9</v>
      </c>
      <c r="G835" t="s">
        <v>10</v>
      </c>
      <c r="H835" s="2" t="s">
        <v>1581</v>
      </c>
      <c r="I835" s="2">
        <v>36.5</v>
      </c>
    </row>
    <row r="836" spans="1:9" x14ac:dyDescent="0.25">
      <c r="A836" s="1" t="s">
        <v>1582</v>
      </c>
      <c r="B836" t="s">
        <v>1583</v>
      </c>
      <c r="C836" s="1" t="s">
        <v>1022</v>
      </c>
      <c r="D836" s="1" t="s">
        <v>1022</v>
      </c>
      <c r="E836" t="s">
        <v>1023</v>
      </c>
      <c r="F836" s="2" t="s">
        <v>1024</v>
      </c>
      <c r="G836" t="s">
        <v>932</v>
      </c>
      <c r="H836" s="2" t="s">
        <v>1570</v>
      </c>
      <c r="I836" s="2">
        <v>32.200000000000003</v>
      </c>
    </row>
    <row r="837" spans="1:9" x14ac:dyDescent="0.25">
      <c r="A837" s="1" t="s">
        <v>1582</v>
      </c>
      <c r="B837" t="s">
        <v>1583</v>
      </c>
      <c r="C837" s="1" t="s">
        <v>7</v>
      </c>
      <c r="D837" s="1" t="s">
        <v>7</v>
      </c>
      <c r="E837" t="s">
        <v>8</v>
      </c>
      <c r="F837" s="2" t="s">
        <v>9</v>
      </c>
      <c r="G837" t="s">
        <v>10</v>
      </c>
      <c r="H837" s="2" t="s">
        <v>1584</v>
      </c>
      <c r="I837" s="2">
        <v>37.25</v>
      </c>
    </row>
    <row r="838" spans="1:9" x14ac:dyDescent="0.25">
      <c r="A838" s="1" t="s">
        <v>1585</v>
      </c>
      <c r="B838" t="s">
        <v>1586</v>
      </c>
      <c r="C838" s="1" t="s">
        <v>1587</v>
      </c>
      <c r="D838" s="1" t="s">
        <v>1587</v>
      </c>
      <c r="E838" t="s">
        <v>1586</v>
      </c>
      <c r="F838" s="2" t="s">
        <v>1588</v>
      </c>
      <c r="G838" t="s">
        <v>49</v>
      </c>
      <c r="H838" s="2" t="s">
        <v>50</v>
      </c>
      <c r="I838" s="2">
        <v>19.5</v>
      </c>
    </row>
    <row r="839" spans="1:9" x14ac:dyDescent="0.25">
      <c r="A839" s="1" t="s">
        <v>1585</v>
      </c>
      <c r="B839" t="s">
        <v>1586</v>
      </c>
      <c r="C839" s="1" t="s">
        <v>7</v>
      </c>
      <c r="D839" s="1" t="s">
        <v>7</v>
      </c>
      <c r="E839" t="s">
        <v>8</v>
      </c>
      <c r="F839" s="2" t="s">
        <v>9</v>
      </c>
      <c r="G839" t="s">
        <v>10</v>
      </c>
      <c r="H839" s="2" t="s">
        <v>33</v>
      </c>
      <c r="I839" s="2">
        <v>9.1999999999999993</v>
      </c>
    </row>
    <row r="840" spans="1:9" x14ac:dyDescent="0.25">
      <c r="A840" s="1" t="s">
        <v>1589</v>
      </c>
      <c r="B840" t="s">
        <v>1590</v>
      </c>
      <c r="C840" s="1" t="s">
        <v>1591</v>
      </c>
      <c r="D840" s="1" t="s">
        <v>1591</v>
      </c>
      <c r="E840" t="s">
        <v>1592</v>
      </c>
      <c r="F840" s="2" t="s">
        <v>1593</v>
      </c>
      <c r="G840" t="s">
        <v>49</v>
      </c>
      <c r="H840" s="2" t="s">
        <v>50</v>
      </c>
      <c r="I840" s="2">
        <v>22.75</v>
      </c>
    </row>
    <row r="841" spans="1:9" x14ac:dyDescent="0.25">
      <c r="A841" s="1" t="s">
        <v>1589</v>
      </c>
      <c r="B841" t="s">
        <v>1590</v>
      </c>
      <c r="C841" s="1" t="s">
        <v>7</v>
      </c>
      <c r="D841" s="1" t="s">
        <v>7</v>
      </c>
      <c r="E841" t="s">
        <v>8</v>
      </c>
      <c r="F841" s="2" t="s">
        <v>9</v>
      </c>
      <c r="G841" t="s">
        <v>10</v>
      </c>
      <c r="H841" s="2" t="s">
        <v>33</v>
      </c>
      <c r="I841" s="2">
        <v>9.1999999999999993</v>
      </c>
    </row>
    <row r="842" spans="1:9" x14ac:dyDescent="0.25">
      <c r="A842" s="1" t="s">
        <v>1594</v>
      </c>
      <c r="B842" t="s">
        <v>1595</v>
      </c>
      <c r="C842" s="1" t="s">
        <v>1596</v>
      </c>
      <c r="D842" s="1" t="s">
        <v>1596</v>
      </c>
      <c r="E842" t="s">
        <v>1597</v>
      </c>
      <c r="F842" s="2" t="s">
        <v>1598</v>
      </c>
      <c r="G842" t="s">
        <v>49</v>
      </c>
      <c r="H842" s="2" t="s">
        <v>50</v>
      </c>
      <c r="I842" s="2">
        <v>29.25</v>
      </c>
    </row>
    <row r="843" spans="1:9" x14ac:dyDescent="0.25">
      <c r="A843" s="1" t="s">
        <v>1594</v>
      </c>
      <c r="B843" t="s">
        <v>1595</v>
      </c>
      <c r="C843" s="1" t="s">
        <v>7</v>
      </c>
      <c r="D843" s="1" t="s">
        <v>7</v>
      </c>
      <c r="E843" t="s">
        <v>8</v>
      </c>
      <c r="F843" s="2" t="s">
        <v>9</v>
      </c>
      <c r="G843" t="s">
        <v>10</v>
      </c>
      <c r="H843" s="2" t="s">
        <v>33</v>
      </c>
      <c r="I843" s="2">
        <v>9.1999999999999993</v>
      </c>
    </row>
    <row r="844" spans="1:9" x14ac:dyDescent="0.25">
      <c r="A844" s="1" t="s">
        <v>1599</v>
      </c>
      <c r="B844" t="s">
        <v>1600</v>
      </c>
      <c r="C844" s="1" t="s">
        <v>1601</v>
      </c>
      <c r="D844" s="1" t="s">
        <v>1601</v>
      </c>
      <c r="E844" t="s">
        <v>1602</v>
      </c>
      <c r="F844" s="2" t="s">
        <v>1603</v>
      </c>
      <c r="G844" t="s">
        <v>49</v>
      </c>
      <c r="H844" s="2" t="s">
        <v>50</v>
      </c>
      <c r="I844" s="2">
        <v>39</v>
      </c>
    </row>
    <row r="845" spans="1:9" x14ac:dyDescent="0.25">
      <c r="A845" s="1" t="s">
        <v>1599</v>
      </c>
      <c r="B845" t="s">
        <v>1600</v>
      </c>
      <c r="C845" s="1" t="s">
        <v>7</v>
      </c>
      <c r="D845" s="1" t="s">
        <v>7</v>
      </c>
      <c r="E845" t="s">
        <v>8</v>
      </c>
      <c r="F845" s="2" t="s">
        <v>9</v>
      </c>
      <c r="G845" t="s">
        <v>10</v>
      </c>
      <c r="H845" s="2" t="s">
        <v>1604</v>
      </c>
      <c r="I845" s="2">
        <v>9.6999999999999993</v>
      </c>
    </row>
    <row r="846" spans="1:9" x14ac:dyDescent="0.25">
      <c r="A846" s="1" t="s">
        <v>1605</v>
      </c>
      <c r="B846" t="s">
        <v>1606</v>
      </c>
      <c r="C846" s="1" t="s">
        <v>1607</v>
      </c>
      <c r="D846" s="1" t="s">
        <v>1607</v>
      </c>
      <c r="E846" t="s">
        <v>1608</v>
      </c>
      <c r="F846" s="2" t="s">
        <v>16</v>
      </c>
      <c r="G846" t="s">
        <v>49</v>
      </c>
      <c r="H846" s="2" t="s">
        <v>50</v>
      </c>
      <c r="I846" s="2">
        <v>47</v>
      </c>
    </row>
    <row r="847" spans="1:9" x14ac:dyDescent="0.25">
      <c r="A847" s="1" t="s">
        <v>1605</v>
      </c>
      <c r="B847" t="s">
        <v>1606</v>
      </c>
      <c r="C847" s="1" t="s">
        <v>541</v>
      </c>
      <c r="D847" s="1" t="s">
        <v>541</v>
      </c>
      <c r="E847" t="s">
        <v>542</v>
      </c>
      <c r="F847" s="2" t="s">
        <v>9</v>
      </c>
      <c r="G847" t="s">
        <v>10</v>
      </c>
      <c r="H847" s="2" t="s">
        <v>33</v>
      </c>
      <c r="I847" s="2">
        <v>9.1999999999999993</v>
      </c>
    </row>
    <row r="848" spans="1:9" x14ac:dyDescent="0.25">
      <c r="A848" s="1" t="s">
        <v>1609</v>
      </c>
      <c r="B848" t="s">
        <v>1610</v>
      </c>
      <c r="C848" s="1" t="s">
        <v>1611</v>
      </c>
      <c r="D848" s="1" t="s">
        <v>1611</v>
      </c>
      <c r="E848" t="s">
        <v>1612</v>
      </c>
      <c r="F848" s="2" t="s">
        <v>1613</v>
      </c>
      <c r="G848" t="s">
        <v>49</v>
      </c>
      <c r="H848" s="2" t="s">
        <v>50</v>
      </c>
      <c r="I848" s="2">
        <v>41.1</v>
      </c>
    </row>
    <row r="849" spans="1:9" x14ac:dyDescent="0.25">
      <c r="A849" s="1" t="s">
        <v>1609</v>
      </c>
      <c r="B849" t="s">
        <v>1610</v>
      </c>
      <c r="C849" s="1" t="s">
        <v>7</v>
      </c>
      <c r="D849" s="1" t="s">
        <v>7</v>
      </c>
      <c r="E849" t="s">
        <v>8</v>
      </c>
      <c r="F849" s="2" t="s">
        <v>9</v>
      </c>
      <c r="G849" t="s">
        <v>10</v>
      </c>
      <c r="H849" s="2" t="s">
        <v>1604</v>
      </c>
      <c r="I849" s="2">
        <v>9.6999999999999993</v>
      </c>
    </row>
    <row r="850" spans="1:9" x14ac:dyDescent="0.25">
      <c r="A850" s="1" t="s">
        <v>1614</v>
      </c>
      <c r="B850" t="s">
        <v>1615</v>
      </c>
      <c r="C850" s="1" t="s">
        <v>1616</v>
      </c>
      <c r="D850" s="1" t="s">
        <v>1616</v>
      </c>
      <c r="E850" t="s">
        <v>1617</v>
      </c>
      <c r="F850" s="2" t="s">
        <v>1618</v>
      </c>
      <c r="G850" t="s">
        <v>49</v>
      </c>
      <c r="H850" s="2" t="s">
        <v>50</v>
      </c>
      <c r="I850" s="2">
        <v>56.4</v>
      </c>
    </row>
    <row r="851" spans="1:9" x14ac:dyDescent="0.25">
      <c r="A851" s="1" t="s">
        <v>1614</v>
      </c>
      <c r="B851" t="s">
        <v>1615</v>
      </c>
      <c r="C851" s="1" t="s">
        <v>7</v>
      </c>
      <c r="D851" s="1" t="s">
        <v>7</v>
      </c>
      <c r="E851" t="s">
        <v>8</v>
      </c>
      <c r="F851" s="2" t="s">
        <v>9</v>
      </c>
      <c r="G851" t="s">
        <v>10</v>
      </c>
      <c r="H851" s="2" t="s">
        <v>1604</v>
      </c>
      <c r="I851" s="2">
        <v>9.6999999999999993</v>
      </c>
    </row>
    <row r="852" spans="1:9" x14ac:dyDescent="0.25">
      <c r="A852" s="1" t="s">
        <v>1619</v>
      </c>
      <c r="B852" t="s">
        <v>1620</v>
      </c>
      <c r="C852" s="1" t="s">
        <v>1621</v>
      </c>
      <c r="D852" s="1" t="s">
        <v>1621</v>
      </c>
      <c r="E852" t="s">
        <v>1622</v>
      </c>
      <c r="F852" s="2" t="s">
        <v>1623</v>
      </c>
      <c r="G852" t="s">
        <v>49</v>
      </c>
      <c r="H852" s="2" t="s">
        <v>50</v>
      </c>
      <c r="I852" s="2">
        <v>46.3</v>
      </c>
    </row>
    <row r="853" spans="1:9" x14ac:dyDescent="0.25">
      <c r="A853" s="1" t="s">
        <v>1619</v>
      </c>
      <c r="B853" t="s">
        <v>1620</v>
      </c>
      <c r="C853" s="1" t="s">
        <v>541</v>
      </c>
      <c r="D853" s="1" t="s">
        <v>541</v>
      </c>
      <c r="E853" t="s">
        <v>542</v>
      </c>
      <c r="F853" s="2" t="s">
        <v>9</v>
      </c>
      <c r="G853" t="s">
        <v>10</v>
      </c>
      <c r="H853" s="2" t="s">
        <v>1019</v>
      </c>
      <c r="I853" s="2">
        <v>9.6999999999999993</v>
      </c>
    </row>
    <row r="854" spans="1:9" x14ac:dyDescent="0.25">
      <c r="A854" s="1" t="s">
        <v>1624</v>
      </c>
      <c r="B854" t="s">
        <v>1625</v>
      </c>
      <c r="C854" s="1" t="s">
        <v>1626</v>
      </c>
      <c r="D854" s="1" t="s">
        <v>1626</v>
      </c>
      <c r="E854" t="s">
        <v>1627</v>
      </c>
      <c r="F854" s="2" t="s">
        <v>1628</v>
      </c>
      <c r="G854" t="s">
        <v>49</v>
      </c>
      <c r="H854" s="2" t="s">
        <v>50</v>
      </c>
      <c r="I854" s="2">
        <v>26</v>
      </c>
    </row>
    <row r="855" spans="1:9" x14ac:dyDescent="0.25">
      <c r="A855" s="1" t="s">
        <v>1624</v>
      </c>
      <c r="B855" t="s">
        <v>1625</v>
      </c>
      <c r="C855" s="1" t="s">
        <v>7</v>
      </c>
      <c r="D855" s="1" t="s">
        <v>7</v>
      </c>
      <c r="E855" t="s">
        <v>8</v>
      </c>
      <c r="F855" s="2" t="s">
        <v>9</v>
      </c>
      <c r="G855" t="s">
        <v>10</v>
      </c>
      <c r="H855" s="2" t="s">
        <v>33</v>
      </c>
      <c r="I855" s="2">
        <v>9.1999999999999993</v>
      </c>
    </row>
    <row r="856" spans="1:9" x14ac:dyDescent="0.25">
      <c r="A856" s="1" t="s">
        <v>1629</v>
      </c>
      <c r="B856" t="s">
        <v>1630</v>
      </c>
      <c r="C856" s="1" t="s">
        <v>1631</v>
      </c>
      <c r="D856" s="1" t="s">
        <v>1631</v>
      </c>
      <c r="E856" t="s">
        <v>1632</v>
      </c>
      <c r="F856" s="2" t="s">
        <v>311</v>
      </c>
      <c r="G856" t="s">
        <v>49</v>
      </c>
      <c r="H856" s="2" t="s">
        <v>50</v>
      </c>
      <c r="I856" s="2">
        <v>13</v>
      </c>
    </row>
    <row r="857" spans="1:9" x14ac:dyDescent="0.25">
      <c r="A857" s="1" t="s">
        <v>1629</v>
      </c>
      <c r="B857" t="s">
        <v>1630</v>
      </c>
      <c r="C857" s="1" t="s">
        <v>7</v>
      </c>
      <c r="D857" s="1" t="s">
        <v>7</v>
      </c>
      <c r="E857" t="s">
        <v>8</v>
      </c>
      <c r="F857" s="2" t="s">
        <v>9</v>
      </c>
      <c r="G857" t="s">
        <v>10</v>
      </c>
      <c r="H857" s="2" t="s">
        <v>1633</v>
      </c>
      <c r="I857" s="2">
        <v>20</v>
      </c>
    </row>
    <row r="858" spans="1:9" x14ac:dyDescent="0.25">
      <c r="A858" s="1" t="s">
        <v>1634</v>
      </c>
      <c r="B858" t="s">
        <v>1635</v>
      </c>
      <c r="C858" s="1" t="s">
        <v>1636</v>
      </c>
      <c r="D858" s="1" t="s">
        <v>1636</v>
      </c>
      <c r="E858" t="s">
        <v>1637</v>
      </c>
      <c r="F858" s="2" t="s">
        <v>1638</v>
      </c>
      <c r="G858" t="s">
        <v>49</v>
      </c>
      <c r="H858" s="2" t="s">
        <v>50</v>
      </c>
      <c r="I858" s="2">
        <v>55.25</v>
      </c>
    </row>
    <row r="859" spans="1:9" x14ac:dyDescent="0.25">
      <c r="A859" s="1" t="s">
        <v>1634</v>
      </c>
      <c r="B859" t="s">
        <v>1635</v>
      </c>
      <c r="C859" s="1" t="s">
        <v>541</v>
      </c>
      <c r="D859" s="1" t="s">
        <v>541</v>
      </c>
      <c r="E859" t="s">
        <v>542</v>
      </c>
      <c r="F859" s="2" t="s">
        <v>9</v>
      </c>
      <c r="G859" t="s">
        <v>10</v>
      </c>
      <c r="H859" s="2" t="s">
        <v>1639</v>
      </c>
      <c r="I859" s="2">
        <v>9.67</v>
      </c>
    </row>
    <row r="860" spans="1:9" x14ac:dyDescent="0.25">
      <c r="A860" s="1" t="s">
        <v>1640</v>
      </c>
      <c r="B860" t="s">
        <v>1641</v>
      </c>
      <c r="C860" s="1" t="s">
        <v>1642</v>
      </c>
      <c r="D860" s="1" t="s">
        <v>1642</v>
      </c>
      <c r="E860" t="s">
        <v>1643</v>
      </c>
      <c r="F860" s="2" t="s">
        <v>1644</v>
      </c>
      <c r="G860" t="s">
        <v>49</v>
      </c>
      <c r="H860" s="2" t="s">
        <v>50</v>
      </c>
      <c r="I860" s="2">
        <v>56.55</v>
      </c>
    </row>
    <row r="861" spans="1:9" x14ac:dyDescent="0.25">
      <c r="A861" s="1" t="s">
        <v>1640</v>
      </c>
      <c r="B861" t="s">
        <v>1641</v>
      </c>
      <c r="C861" s="1" t="s">
        <v>7</v>
      </c>
      <c r="D861" s="1" t="s">
        <v>7</v>
      </c>
      <c r="E861" t="s">
        <v>8</v>
      </c>
      <c r="F861" s="2" t="s">
        <v>9</v>
      </c>
      <c r="G861" t="s">
        <v>10</v>
      </c>
      <c r="H861" s="2" t="s">
        <v>33</v>
      </c>
      <c r="I861" s="2">
        <v>9.1999999999999993</v>
      </c>
    </row>
    <row r="862" spans="1:9" x14ac:dyDescent="0.25">
      <c r="A862" s="1" t="s">
        <v>1645</v>
      </c>
      <c r="B862" t="s">
        <v>1646</v>
      </c>
      <c r="C862" s="1" t="s">
        <v>1647</v>
      </c>
      <c r="D862" s="1" t="s">
        <v>1647</v>
      </c>
      <c r="E862" t="s">
        <v>1646</v>
      </c>
      <c r="F862" s="2" t="s">
        <v>1648</v>
      </c>
      <c r="G862" t="s">
        <v>49</v>
      </c>
      <c r="H862" s="2" t="s">
        <v>50</v>
      </c>
      <c r="I862" s="2">
        <v>35.75</v>
      </c>
    </row>
    <row r="863" spans="1:9" x14ac:dyDescent="0.25">
      <c r="A863" s="1" t="s">
        <v>1645</v>
      </c>
      <c r="B863" t="s">
        <v>1646</v>
      </c>
      <c r="C863" s="1" t="s">
        <v>541</v>
      </c>
      <c r="D863" s="1" t="s">
        <v>541</v>
      </c>
      <c r="E863" t="s">
        <v>542</v>
      </c>
      <c r="F863" s="2" t="s">
        <v>9</v>
      </c>
      <c r="G863" t="s">
        <v>10</v>
      </c>
      <c r="H863" s="2" t="s">
        <v>1649</v>
      </c>
      <c r="I863" s="2">
        <v>9.65</v>
      </c>
    </row>
    <row r="864" spans="1:9" x14ac:dyDescent="0.25">
      <c r="A864" s="1" t="s">
        <v>1650</v>
      </c>
      <c r="B864" t="s">
        <v>1651</v>
      </c>
      <c r="C864" s="1" t="s">
        <v>1652</v>
      </c>
      <c r="D864" s="1" t="s">
        <v>1652</v>
      </c>
      <c r="E864" t="s">
        <v>1653</v>
      </c>
      <c r="F864" s="2" t="s">
        <v>1593</v>
      </c>
      <c r="G864" t="s">
        <v>49</v>
      </c>
      <c r="H864" s="2" t="s">
        <v>50</v>
      </c>
      <c r="I864" s="2">
        <v>22.75</v>
      </c>
    </row>
    <row r="865" spans="1:10" x14ac:dyDescent="0.25">
      <c r="A865" s="1" t="s">
        <v>1650</v>
      </c>
      <c r="B865" t="s">
        <v>1651</v>
      </c>
      <c r="C865" s="1" t="s">
        <v>541</v>
      </c>
      <c r="D865" s="1" t="s">
        <v>541</v>
      </c>
      <c r="E865" t="s">
        <v>542</v>
      </c>
      <c r="F865" s="2" t="s">
        <v>9</v>
      </c>
      <c r="G865" t="s">
        <v>10</v>
      </c>
      <c r="H865" s="2" t="s">
        <v>33</v>
      </c>
      <c r="I865" s="2">
        <v>9.1999999999999993</v>
      </c>
    </row>
    <row r="866" spans="1:10" x14ac:dyDescent="0.25">
      <c r="A866" s="1" t="s">
        <v>1654</v>
      </c>
      <c r="B866" t="s">
        <v>1655</v>
      </c>
      <c r="C866" s="1" t="s">
        <v>1656</v>
      </c>
      <c r="D866" s="1" t="s">
        <v>1656</v>
      </c>
      <c r="E866" t="s">
        <v>1657</v>
      </c>
      <c r="F866" s="2" t="s">
        <v>1628</v>
      </c>
      <c r="G866" t="s">
        <v>49</v>
      </c>
      <c r="H866" s="2" t="s">
        <v>50</v>
      </c>
      <c r="I866" s="2">
        <v>26</v>
      </c>
    </row>
    <row r="867" spans="1:10" x14ac:dyDescent="0.25">
      <c r="A867" s="1" t="s">
        <v>1654</v>
      </c>
      <c r="B867" t="s">
        <v>1655</v>
      </c>
      <c r="C867" s="1" t="s">
        <v>541</v>
      </c>
      <c r="D867" s="1" t="s">
        <v>541</v>
      </c>
      <c r="E867" t="s">
        <v>542</v>
      </c>
      <c r="F867" s="2" t="s">
        <v>9</v>
      </c>
      <c r="G867" t="s">
        <v>10</v>
      </c>
      <c r="H867" s="2" t="s">
        <v>33</v>
      </c>
      <c r="I867" s="2">
        <v>9.1999999999999993</v>
      </c>
    </row>
    <row r="868" spans="1:10" x14ac:dyDescent="0.25">
      <c r="A868" s="1" t="s">
        <v>1658</v>
      </c>
      <c r="B868" t="s">
        <v>1659</v>
      </c>
      <c r="C868" s="1" t="s">
        <v>1660</v>
      </c>
      <c r="D868" s="1" t="s">
        <v>1660</v>
      </c>
      <c r="E868" t="s">
        <v>1661</v>
      </c>
      <c r="F868" s="2" t="s">
        <v>1662</v>
      </c>
      <c r="G868" t="s">
        <v>49</v>
      </c>
      <c r="H868" s="2" t="s">
        <v>50</v>
      </c>
      <c r="I868" s="2">
        <v>36.4</v>
      </c>
    </row>
    <row r="869" spans="1:10" x14ac:dyDescent="0.25">
      <c r="A869" s="1" t="s">
        <v>1658</v>
      </c>
      <c r="B869" t="s">
        <v>1659</v>
      </c>
      <c r="C869" s="1" t="s">
        <v>541</v>
      </c>
      <c r="D869" s="1" t="s">
        <v>541</v>
      </c>
      <c r="E869" t="s">
        <v>542</v>
      </c>
      <c r="F869" s="2" t="s">
        <v>9</v>
      </c>
      <c r="G869" t="s">
        <v>10</v>
      </c>
      <c r="H869" s="2" t="s">
        <v>1649</v>
      </c>
      <c r="I869" s="2">
        <v>9.65</v>
      </c>
    </row>
    <row r="870" spans="1:10" x14ac:dyDescent="0.25">
      <c r="A870" s="1" t="s">
        <v>1663</v>
      </c>
      <c r="B870" t="s">
        <v>1664</v>
      </c>
      <c r="C870" s="1" t="s">
        <v>1665</v>
      </c>
      <c r="D870" s="1" t="s">
        <v>1665</v>
      </c>
      <c r="E870" t="s">
        <v>1666</v>
      </c>
      <c r="F870" s="2" t="s">
        <v>835</v>
      </c>
      <c r="G870" t="s">
        <v>49</v>
      </c>
      <c r="H870" s="2" t="s">
        <v>50</v>
      </c>
      <c r="I870" s="2">
        <v>40.299999999999997</v>
      </c>
    </row>
    <row r="871" spans="1:10" x14ac:dyDescent="0.25">
      <c r="A871" s="1" t="s">
        <v>1663</v>
      </c>
      <c r="B871" t="s">
        <v>1664</v>
      </c>
      <c r="C871" s="1" t="s">
        <v>541</v>
      </c>
      <c r="D871" s="1" t="s">
        <v>541</v>
      </c>
      <c r="E871" t="s">
        <v>542</v>
      </c>
      <c r="F871" s="2" t="s">
        <v>9</v>
      </c>
      <c r="G871" t="s">
        <v>10</v>
      </c>
      <c r="H871" s="2" t="s">
        <v>33</v>
      </c>
      <c r="I871" s="2">
        <v>9.1999999999999993</v>
      </c>
    </row>
    <row r="872" spans="1:10" x14ac:dyDescent="0.25">
      <c r="A872" s="1" t="s">
        <v>1667</v>
      </c>
      <c r="B872" t="s">
        <v>1668</v>
      </c>
      <c r="C872" s="1" t="s">
        <v>1669</v>
      </c>
      <c r="D872" s="1" t="s">
        <v>1669</v>
      </c>
      <c r="E872" t="s">
        <v>1670</v>
      </c>
      <c r="F872" s="2" t="s">
        <v>1613</v>
      </c>
      <c r="G872" t="s">
        <v>49</v>
      </c>
      <c r="H872" s="2" t="s">
        <v>50</v>
      </c>
      <c r="I872" s="2">
        <v>41.1</v>
      </c>
    </row>
    <row r="873" spans="1:10" x14ac:dyDescent="0.25">
      <c r="A873" s="1" t="s">
        <v>1667</v>
      </c>
      <c r="B873" t="s">
        <v>1668</v>
      </c>
      <c r="C873" s="1" t="s">
        <v>7</v>
      </c>
      <c r="D873" s="1" t="s">
        <v>7</v>
      </c>
      <c r="E873" t="s">
        <v>8</v>
      </c>
      <c r="F873" s="2" t="s">
        <v>9</v>
      </c>
      <c r="G873" t="s">
        <v>10</v>
      </c>
      <c r="H873" s="2" t="s">
        <v>1019</v>
      </c>
      <c r="I873" s="2">
        <v>9.6999999999999993</v>
      </c>
    </row>
    <row r="874" spans="1:10" x14ac:dyDescent="0.25">
      <c r="A874" s="1" t="s">
        <v>1671</v>
      </c>
      <c r="B874" t="s">
        <v>1672</v>
      </c>
      <c r="C874" s="1" t="s">
        <v>1673</v>
      </c>
      <c r="D874" s="1" t="s">
        <v>1673</v>
      </c>
      <c r="E874" t="s">
        <v>1674</v>
      </c>
      <c r="F874" s="2" t="s">
        <v>1675</v>
      </c>
      <c r="G874" t="s">
        <v>49</v>
      </c>
      <c r="H874" s="2" t="s">
        <v>50</v>
      </c>
      <c r="I874" s="2">
        <v>20.8</v>
      </c>
    </row>
    <row r="875" spans="1:10" x14ac:dyDescent="0.25">
      <c r="A875" s="1" t="s">
        <v>1671</v>
      </c>
      <c r="B875" t="s">
        <v>1672</v>
      </c>
      <c r="C875" s="1" t="s">
        <v>541</v>
      </c>
      <c r="D875" s="1" t="s">
        <v>541</v>
      </c>
      <c r="E875" t="s">
        <v>542</v>
      </c>
      <c r="F875" s="2" t="s">
        <v>9</v>
      </c>
      <c r="G875" t="s">
        <v>10</v>
      </c>
      <c r="H875" s="2" t="s">
        <v>33</v>
      </c>
      <c r="I875" s="2">
        <v>9.1999999999999993</v>
      </c>
    </row>
    <row r="876" spans="1:10" x14ac:dyDescent="0.25">
      <c r="A876" s="1" t="s">
        <v>1676</v>
      </c>
      <c r="B876" t="s">
        <v>1677</v>
      </c>
      <c r="C876" s="1" t="s">
        <v>1678</v>
      </c>
      <c r="D876" s="1" t="s">
        <v>1678</v>
      </c>
      <c r="E876" t="s">
        <v>1679</v>
      </c>
      <c r="F876" s="2" t="s">
        <v>1680</v>
      </c>
      <c r="G876" t="s">
        <v>121</v>
      </c>
      <c r="H876" s="2" t="s">
        <v>50</v>
      </c>
      <c r="I876" s="2">
        <v>37.5</v>
      </c>
    </row>
    <row r="877" spans="1:10" x14ac:dyDescent="0.25">
      <c r="A877" s="1" t="s">
        <v>1676</v>
      </c>
      <c r="B877" t="s">
        <v>1677</v>
      </c>
      <c r="C877" s="1" t="s">
        <v>7</v>
      </c>
      <c r="D877" s="1" t="s">
        <v>7</v>
      </c>
      <c r="E877" t="s">
        <v>8</v>
      </c>
      <c r="F877" s="2" t="s">
        <v>9</v>
      </c>
      <c r="G877" t="s">
        <v>10</v>
      </c>
      <c r="H877" s="2" t="s">
        <v>33</v>
      </c>
      <c r="I877" s="2">
        <v>9.1999999999999993</v>
      </c>
    </row>
    <row r="878" spans="1:10" x14ac:dyDescent="0.25">
      <c r="A878" s="1" t="s">
        <v>1681</v>
      </c>
      <c r="B878" t="s">
        <v>1682</v>
      </c>
      <c r="C878" s="1" t="s">
        <v>1683</v>
      </c>
      <c r="D878" s="1" t="s">
        <v>1683</v>
      </c>
      <c r="E878" t="s">
        <v>1684</v>
      </c>
      <c r="F878" s="2" t="s">
        <v>1685</v>
      </c>
      <c r="G878" t="s">
        <v>49</v>
      </c>
      <c r="H878" s="2" t="s">
        <v>50</v>
      </c>
      <c r="I878" s="2">
        <v>20.149999999999999</v>
      </c>
    </row>
    <row r="879" spans="1:10" x14ac:dyDescent="0.25">
      <c r="A879" s="1" t="s">
        <v>1681</v>
      </c>
      <c r="B879" t="s">
        <v>1682</v>
      </c>
      <c r="C879" s="1" t="s">
        <v>688</v>
      </c>
      <c r="D879" s="1" t="s">
        <v>688</v>
      </c>
      <c r="E879" t="s">
        <v>689</v>
      </c>
      <c r="F879" s="2" t="s">
        <v>9</v>
      </c>
      <c r="G879" t="s">
        <v>10</v>
      </c>
      <c r="H879" s="2" t="s">
        <v>33</v>
      </c>
      <c r="I879" s="2">
        <v>9.1999999999999993</v>
      </c>
    </row>
    <row r="880" spans="1:10" x14ac:dyDescent="0.25">
      <c r="A880" s="1" t="s">
        <v>1686</v>
      </c>
      <c r="B880" t="s">
        <v>1687</v>
      </c>
      <c r="C880" s="1" t="s">
        <v>1688</v>
      </c>
      <c r="D880" s="1" t="s">
        <v>1689</v>
      </c>
      <c r="E880" t="s">
        <v>1690</v>
      </c>
      <c r="F880" s="2" t="s">
        <v>1216</v>
      </c>
      <c r="G880" t="s">
        <v>49</v>
      </c>
      <c r="H880" s="2" t="s">
        <v>50</v>
      </c>
      <c r="I880" s="2">
        <v>106.4</v>
      </c>
      <c r="J880" t="s">
        <v>55</v>
      </c>
    </row>
    <row r="881" spans="1:10" x14ac:dyDescent="0.25">
      <c r="A881" s="1" t="s">
        <v>1686</v>
      </c>
      <c r="B881" t="s">
        <v>1687</v>
      </c>
      <c r="C881" s="1" t="s">
        <v>7</v>
      </c>
      <c r="D881" s="1" t="s">
        <v>7</v>
      </c>
      <c r="E881" t="s">
        <v>8</v>
      </c>
      <c r="F881" s="2" t="s">
        <v>9</v>
      </c>
      <c r="G881" t="s">
        <v>10</v>
      </c>
      <c r="H881" s="2" t="s">
        <v>1499</v>
      </c>
      <c r="I881" s="2">
        <v>33.6</v>
      </c>
    </row>
    <row r="882" spans="1:10" x14ac:dyDescent="0.25">
      <c r="A882" s="1" t="s">
        <v>946</v>
      </c>
      <c r="B882" t="s">
        <v>947</v>
      </c>
      <c r="C882" s="1" t="s">
        <v>1022</v>
      </c>
      <c r="D882" s="1" t="s">
        <v>1022</v>
      </c>
      <c r="E882" t="s">
        <v>1023</v>
      </c>
      <c r="F882" s="2" t="s">
        <v>1024</v>
      </c>
      <c r="G882" t="s">
        <v>932</v>
      </c>
      <c r="H882" s="2" t="s">
        <v>1691</v>
      </c>
      <c r="I882" s="2">
        <v>127.2</v>
      </c>
    </row>
    <row r="883" spans="1:10" x14ac:dyDescent="0.25">
      <c r="A883" s="1" t="s">
        <v>946</v>
      </c>
      <c r="B883" t="s">
        <v>947</v>
      </c>
      <c r="C883" s="1" t="s">
        <v>7</v>
      </c>
      <c r="D883" s="1" t="s">
        <v>7</v>
      </c>
      <c r="E883" t="s">
        <v>8</v>
      </c>
      <c r="F883" s="2" t="s">
        <v>9</v>
      </c>
      <c r="G883" t="s">
        <v>10</v>
      </c>
      <c r="H883" s="2" t="s">
        <v>1692</v>
      </c>
      <c r="I883" s="2">
        <v>59.9</v>
      </c>
    </row>
    <row r="884" spans="1:10" x14ac:dyDescent="0.25">
      <c r="A884" s="1" t="s">
        <v>946</v>
      </c>
      <c r="B884" t="s">
        <v>947</v>
      </c>
      <c r="C884" s="1" t="s">
        <v>7</v>
      </c>
      <c r="D884" s="1" t="s">
        <v>7</v>
      </c>
      <c r="E884" t="s">
        <v>8</v>
      </c>
      <c r="F884" s="2" t="s">
        <v>9</v>
      </c>
      <c r="G884" t="s">
        <v>10</v>
      </c>
      <c r="H884" s="2" t="s">
        <v>1693</v>
      </c>
      <c r="I884" s="2">
        <v>64.900000000000006</v>
      </c>
    </row>
    <row r="885" spans="1:10" x14ac:dyDescent="0.25">
      <c r="A885" s="1" t="s">
        <v>942</v>
      </c>
      <c r="B885" t="s">
        <v>943</v>
      </c>
      <c r="C885" s="1" t="s">
        <v>1022</v>
      </c>
      <c r="D885" s="1" t="s">
        <v>1022</v>
      </c>
      <c r="E885" t="s">
        <v>1023</v>
      </c>
      <c r="F885" s="2" t="s">
        <v>1024</v>
      </c>
      <c r="G885" t="s">
        <v>932</v>
      </c>
      <c r="H885" s="2" t="s">
        <v>1694</v>
      </c>
      <c r="I885" s="2">
        <v>128.6</v>
      </c>
    </row>
    <row r="886" spans="1:10" x14ac:dyDescent="0.25">
      <c r="A886" s="1" t="s">
        <v>942</v>
      </c>
      <c r="B886" t="s">
        <v>943</v>
      </c>
      <c r="C886" s="1" t="s">
        <v>7</v>
      </c>
      <c r="D886" s="1" t="s">
        <v>7</v>
      </c>
      <c r="E886" t="s">
        <v>8</v>
      </c>
      <c r="F886" s="2" t="s">
        <v>9</v>
      </c>
      <c r="G886" t="s">
        <v>10</v>
      </c>
      <c r="H886" s="2" t="s">
        <v>1695</v>
      </c>
      <c r="I886" s="2">
        <v>64.099999999999994</v>
      </c>
    </row>
    <row r="887" spans="1:10" x14ac:dyDescent="0.25">
      <c r="A887" s="1" t="s">
        <v>942</v>
      </c>
      <c r="B887" t="s">
        <v>943</v>
      </c>
      <c r="C887" s="1" t="s">
        <v>7</v>
      </c>
      <c r="D887" s="1" t="s">
        <v>7</v>
      </c>
      <c r="E887" t="s">
        <v>8</v>
      </c>
      <c r="F887" s="2" t="s">
        <v>9</v>
      </c>
      <c r="G887" t="s">
        <v>10</v>
      </c>
      <c r="H887" s="2" t="s">
        <v>1696</v>
      </c>
      <c r="I887" s="2">
        <v>70</v>
      </c>
    </row>
    <row r="888" spans="1:10" x14ac:dyDescent="0.25">
      <c r="A888" s="1" t="s">
        <v>1697</v>
      </c>
      <c r="B888" t="s">
        <v>1698</v>
      </c>
      <c r="C888" s="1" t="s">
        <v>1699</v>
      </c>
      <c r="D888" s="1" t="s">
        <v>1699</v>
      </c>
      <c r="E888" t="s">
        <v>1700</v>
      </c>
      <c r="F888" s="2" t="s">
        <v>1701</v>
      </c>
      <c r="G888" t="s">
        <v>17</v>
      </c>
      <c r="H888" s="2" t="s">
        <v>1141</v>
      </c>
      <c r="I888" s="2">
        <v>312.5</v>
      </c>
    </row>
    <row r="889" spans="1:10" x14ac:dyDescent="0.25">
      <c r="A889" s="1" t="s">
        <v>1697</v>
      </c>
      <c r="B889" t="s">
        <v>1698</v>
      </c>
      <c r="C889" s="1" t="s">
        <v>7</v>
      </c>
      <c r="D889" s="1" t="s">
        <v>7</v>
      </c>
      <c r="E889" t="s">
        <v>8</v>
      </c>
      <c r="F889" s="2" t="s">
        <v>9</v>
      </c>
      <c r="G889" t="s">
        <v>10</v>
      </c>
      <c r="H889" s="2" t="s">
        <v>594</v>
      </c>
      <c r="I889" s="2">
        <v>11.5</v>
      </c>
    </row>
    <row r="890" spans="1:10" x14ac:dyDescent="0.25">
      <c r="A890" s="1" t="s">
        <v>1702</v>
      </c>
      <c r="B890" t="s">
        <v>1703</v>
      </c>
      <c r="C890" s="1" t="s">
        <v>1704</v>
      </c>
      <c r="D890" s="1" t="s">
        <v>1689</v>
      </c>
      <c r="E890" t="s">
        <v>1705</v>
      </c>
      <c r="F890" s="2" t="s">
        <v>1706</v>
      </c>
      <c r="G890" t="s">
        <v>49</v>
      </c>
      <c r="H890" s="2" t="s">
        <v>50</v>
      </c>
      <c r="I890" s="2">
        <v>460.35</v>
      </c>
      <c r="J890" t="s">
        <v>55</v>
      </c>
    </row>
    <row r="891" spans="1:10" x14ac:dyDescent="0.25">
      <c r="A891" s="1" t="s">
        <v>1702</v>
      </c>
      <c r="B891" t="s">
        <v>1703</v>
      </c>
      <c r="C891" s="1" t="s">
        <v>7</v>
      </c>
      <c r="D891" s="1" t="s">
        <v>7</v>
      </c>
      <c r="E891" t="s">
        <v>8</v>
      </c>
      <c r="F891" s="2" t="s">
        <v>9</v>
      </c>
      <c r="G891" t="s">
        <v>10</v>
      </c>
      <c r="H891" s="2" t="s">
        <v>1707</v>
      </c>
      <c r="I891" s="2">
        <v>34.65</v>
      </c>
    </row>
    <row r="892" spans="1:10" x14ac:dyDescent="0.25">
      <c r="A892" s="1" t="s">
        <v>1708</v>
      </c>
      <c r="B892" t="s">
        <v>1709</v>
      </c>
      <c r="C892" s="1" t="s">
        <v>1710</v>
      </c>
      <c r="D892" s="1" t="s">
        <v>1689</v>
      </c>
      <c r="E892" t="s">
        <v>1711</v>
      </c>
      <c r="F892" s="2" t="s">
        <v>1712</v>
      </c>
      <c r="G892" t="s">
        <v>49</v>
      </c>
      <c r="H892" s="2" t="s">
        <v>50</v>
      </c>
      <c r="I892" s="2">
        <v>596.65</v>
      </c>
      <c r="J892" t="s">
        <v>55</v>
      </c>
    </row>
    <row r="893" spans="1:10" x14ac:dyDescent="0.25">
      <c r="A893" s="1" t="s">
        <v>1708</v>
      </c>
      <c r="B893" t="s">
        <v>1709</v>
      </c>
      <c r="C893" s="1" t="s">
        <v>7</v>
      </c>
      <c r="D893" s="1" t="s">
        <v>7</v>
      </c>
      <c r="E893" t="s">
        <v>8</v>
      </c>
      <c r="F893" s="2" t="s">
        <v>9</v>
      </c>
      <c r="G893" t="s">
        <v>10</v>
      </c>
      <c r="H893" s="2" t="s">
        <v>1713</v>
      </c>
      <c r="I893" s="2">
        <v>35.35</v>
      </c>
    </row>
    <row r="894" spans="1:10" x14ac:dyDescent="0.25">
      <c r="A894" s="1" t="s">
        <v>1714</v>
      </c>
      <c r="B894" t="s">
        <v>1715</v>
      </c>
      <c r="C894" s="1" t="s">
        <v>1699</v>
      </c>
      <c r="D894" s="1" t="s">
        <v>1699</v>
      </c>
      <c r="E894" t="s">
        <v>1700</v>
      </c>
      <c r="F894" s="2" t="s">
        <v>1701</v>
      </c>
      <c r="G894" t="s">
        <v>17</v>
      </c>
      <c r="H894" s="2" t="s">
        <v>1141</v>
      </c>
      <c r="I894" s="2">
        <v>312.5</v>
      </c>
    </row>
    <row r="895" spans="1:10" x14ac:dyDescent="0.25">
      <c r="A895" s="1" t="s">
        <v>1714</v>
      </c>
      <c r="B895" t="s">
        <v>1715</v>
      </c>
      <c r="C895" s="1" t="s">
        <v>7</v>
      </c>
      <c r="D895" s="1" t="s">
        <v>7</v>
      </c>
      <c r="E895" t="s">
        <v>8</v>
      </c>
      <c r="F895" s="2" t="s">
        <v>9</v>
      </c>
      <c r="G895" t="s">
        <v>10</v>
      </c>
      <c r="H895" s="2" t="s">
        <v>594</v>
      </c>
      <c r="I895" s="2">
        <v>11.5</v>
      </c>
    </row>
    <row r="896" spans="1:10" x14ac:dyDescent="0.25">
      <c r="A896" s="1" t="s">
        <v>1716</v>
      </c>
      <c r="B896" t="s">
        <v>1717</v>
      </c>
      <c r="C896" s="1" t="s">
        <v>970</v>
      </c>
      <c r="D896" s="1" t="s">
        <v>970</v>
      </c>
      <c r="E896" t="s">
        <v>1718</v>
      </c>
      <c r="F896" s="2" t="s">
        <v>972</v>
      </c>
      <c r="G896" t="s">
        <v>17</v>
      </c>
      <c r="H896" s="2" t="s">
        <v>1719</v>
      </c>
      <c r="I896" s="2">
        <v>127.1</v>
      </c>
    </row>
    <row r="897" spans="1:9" x14ac:dyDescent="0.25">
      <c r="A897" s="1" t="s">
        <v>1716</v>
      </c>
      <c r="B897" t="s">
        <v>1717</v>
      </c>
      <c r="C897" s="1" t="s">
        <v>7</v>
      </c>
      <c r="D897" s="1" t="s">
        <v>7</v>
      </c>
      <c r="E897" t="s">
        <v>8</v>
      </c>
      <c r="F897" s="2" t="s">
        <v>9</v>
      </c>
      <c r="G897" t="s">
        <v>10</v>
      </c>
      <c r="H897" s="2" t="s">
        <v>601</v>
      </c>
      <c r="I897" s="2">
        <v>6.9</v>
      </c>
    </row>
    <row r="898" spans="1:9" x14ac:dyDescent="0.25">
      <c r="A898" s="1" t="s">
        <v>1720</v>
      </c>
      <c r="B898" t="s">
        <v>1721</v>
      </c>
      <c r="C898" s="1" t="s">
        <v>1722</v>
      </c>
      <c r="D898" s="1" t="s">
        <v>1722</v>
      </c>
      <c r="E898" t="s">
        <v>1723</v>
      </c>
      <c r="F898" s="2" t="s">
        <v>1724</v>
      </c>
      <c r="G898" t="s">
        <v>17</v>
      </c>
      <c r="H898" s="2" t="s">
        <v>1725</v>
      </c>
      <c r="I898" s="2">
        <v>21.4</v>
      </c>
    </row>
    <row r="899" spans="1:9" x14ac:dyDescent="0.25">
      <c r="A899" s="1" t="s">
        <v>1720</v>
      </c>
      <c r="B899" t="s">
        <v>1721</v>
      </c>
      <c r="C899" s="1" t="s">
        <v>7</v>
      </c>
      <c r="D899" s="1" t="s">
        <v>7</v>
      </c>
      <c r="E899" t="s">
        <v>1031</v>
      </c>
      <c r="F899" s="2" t="s">
        <v>9</v>
      </c>
      <c r="G899" t="s">
        <v>10</v>
      </c>
      <c r="H899" s="2" t="s">
        <v>1726</v>
      </c>
      <c r="I899" s="2">
        <v>9.41</v>
      </c>
    </row>
    <row r="900" spans="1:9" x14ac:dyDescent="0.25">
      <c r="A900" s="1" t="s">
        <v>1727</v>
      </c>
      <c r="B900" t="s">
        <v>1728</v>
      </c>
      <c r="C900" s="1" t="s">
        <v>1547</v>
      </c>
      <c r="D900" s="1" t="s">
        <v>1547</v>
      </c>
      <c r="E900" t="s">
        <v>1548</v>
      </c>
      <c r="F900" s="2" t="s">
        <v>216</v>
      </c>
      <c r="G900" t="s">
        <v>5</v>
      </c>
      <c r="H900" s="2" t="s">
        <v>1729</v>
      </c>
      <c r="I900" s="2">
        <v>1.1000000000000001</v>
      </c>
    </row>
    <row r="901" spans="1:9" x14ac:dyDescent="0.25">
      <c r="A901" s="1" t="s">
        <v>1727</v>
      </c>
      <c r="B901" t="s">
        <v>1728</v>
      </c>
      <c r="C901" s="1" t="s">
        <v>7</v>
      </c>
      <c r="D901" s="1" t="s">
        <v>7</v>
      </c>
      <c r="E901" t="s">
        <v>8</v>
      </c>
      <c r="F901" s="2" t="s">
        <v>9</v>
      </c>
      <c r="G901" t="s">
        <v>10</v>
      </c>
      <c r="H901" s="2" t="s">
        <v>1604</v>
      </c>
      <c r="I901" s="2">
        <v>9.6999999999999993</v>
      </c>
    </row>
    <row r="902" spans="1:9" x14ac:dyDescent="0.25">
      <c r="A902" s="1" t="s">
        <v>1730</v>
      </c>
      <c r="B902" t="s">
        <v>1731</v>
      </c>
      <c r="C902" s="1" t="s">
        <v>1387</v>
      </c>
      <c r="D902" s="1" t="s">
        <v>1387</v>
      </c>
      <c r="E902" t="s">
        <v>1388</v>
      </c>
      <c r="F902" s="2" t="s">
        <v>879</v>
      </c>
      <c r="G902" t="s">
        <v>17</v>
      </c>
      <c r="H902" s="2" t="s">
        <v>1732</v>
      </c>
      <c r="I902" s="2">
        <v>0.5</v>
      </c>
    </row>
    <row r="903" spans="1:9" x14ac:dyDescent="0.25">
      <c r="A903" s="1" t="s">
        <v>1730</v>
      </c>
      <c r="B903" t="s">
        <v>1731</v>
      </c>
      <c r="C903" s="1" t="s">
        <v>7</v>
      </c>
      <c r="D903" s="1" t="s">
        <v>7</v>
      </c>
      <c r="E903" t="s">
        <v>8</v>
      </c>
      <c r="F903" s="2" t="s">
        <v>9</v>
      </c>
      <c r="G903" t="s">
        <v>10</v>
      </c>
      <c r="H903" s="2" t="s">
        <v>1733</v>
      </c>
      <c r="I903" s="2">
        <v>2.5</v>
      </c>
    </row>
    <row r="904" spans="1:9" x14ac:dyDescent="0.25">
      <c r="A904" s="1" t="s">
        <v>1734</v>
      </c>
      <c r="B904" t="s">
        <v>1735</v>
      </c>
      <c r="C904" s="1" t="s">
        <v>1736</v>
      </c>
      <c r="D904" s="1" t="s">
        <v>1736</v>
      </c>
      <c r="E904" t="s">
        <v>1737</v>
      </c>
      <c r="F904" s="2" t="s">
        <v>1738</v>
      </c>
      <c r="G904" t="s">
        <v>49</v>
      </c>
      <c r="H904" s="2" t="s">
        <v>1739</v>
      </c>
      <c r="I904" s="2">
        <v>2.5</v>
      </c>
    </row>
    <row r="905" spans="1:9" x14ac:dyDescent="0.25">
      <c r="A905" s="1" t="s">
        <v>1734</v>
      </c>
      <c r="B905" t="s">
        <v>1735</v>
      </c>
      <c r="C905" s="1" t="s">
        <v>7</v>
      </c>
      <c r="D905" s="1" t="s">
        <v>7</v>
      </c>
      <c r="E905" t="s">
        <v>8</v>
      </c>
      <c r="F905" s="2" t="s">
        <v>9</v>
      </c>
      <c r="G905" t="s">
        <v>10</v>
      </c>
      <c r="H905" s="2" t="s">
        <v>1740</v>
      </c>
      <c r="I905" s="2">
        <v>3.7</v>
      </c>
    </row>
    <row r="906" spans="1:9" x14ac:dyDescent="0.25">
      <c r="A906" s="1" t="s">
        <v>1741</v>
      </c>
      <c r="B906" t="s">
        <v>1742</v>
      </c>
      <c r="C906" s="1" t="s">
        <v>1743</v>
      </c>
      <c r="D906" s="1" t="s">
        <v>1743</v>
      </c>
      <c r="E906" t="s">
        <v>1744</v>
      </c>
      <c r="F906" s="2" t="s">
        <v>1354</v>
      </c>
      <c r="G906" t="s">
        <v>5</v>
      </c>
      <c r="H906" s="2" t="s">
        <v>1745</v>
      </c>
      <c r="I906" s="2">
        <v>9.4</v>
      </c>
    </row>
    <row r="907" spans="1:9" x14ac:dyDescent="0.25">
      <c r="A907" s="1" t="s">
        <v>1741</v>
      </c>
      <c r="B907" t="s">
        <v>1742</v>
      </c>
      <c r="C907" s="1" t="s">
        <v>541</v>
      </c>
      <c r="D907" s="1" t="s">
        <v>541</v>
      </c>
      <c r="E907" t="s">
        <v>542</v>
      </c>
      <c r="F907" s="2" t="s">
        <v>9</v>
      </c>
      <c r="G907" t="s">
        <v>10</v>
      </c>
      <c r="H907" s="2" t="s">
        <v>1746</v>
      </c>
      <c r="I907" s="2">
        <v>15.35</v>
      </c>
    </row>
    <row r="908" spans="1:9" x14ac:dyDescent="0.25">
      <c r="A908" s="1" t="s">
        <v>1747</v>
      </c>
      <c r="B908" t="s">
        <v>1748</v>
      </c>
      <c r="C908" s="1" t="s">
        <v>1743</v>
      </c>
      <c r="D908" s="1" t="s">
        <v>1743</v>
      </c>
      <c r="E908" t="s">
        <v>1744</v>
      </c>
      <c r="F908" s="2" t="s">
        <v>1354</v>
      </c>
      <c r="G908" t="s">
        <v>5</v>
      </c>
      <c r="H908" s="2" t="s">
        <v>1745</v>
      </c>
      <c r="I908" s="2">
        <v>9.4</v>
      </c>
    </row>
    <row r="909" spans="1:9" x14ac:dyDescent="0.25">
      <c r="A909" s="1" t="s">
        <v>1747</v>
      </c>
      <c r="B909" t="s">
        <v>1748</v>
      </c>
      <c r="C909" s="1" t="s">
        <v>541</v>
      </c>
      <c r="D909" s="1" t="s">
        <v>541</v>
      </c>
      <c r="E909" t="s">
        <v>542</v>
      </c>
      <c r="F909" s="2" t="s">
        <v>9</v>
      </c>
      <c r="G909" t="s">
        <v>10</v>
      </c>
      <c r="H909" s="2" t="s">
        <v>1749</v>
      </c>
      <c r="I909" s="2">
        <v>18.149999999999999</v>
      </c>
    </row>
    <row r="910" spans="1:9" x14ac:dyDescent="0.25">
      <c r="A910" s="1" t="s">
        <v>1750</v>
      </c>
      <c r="B910" t="s">
        <v>1751</v>
      </c>
      <c r="C910" s="1" t="s">
        <v>1752</v>
      </c>
      <c r="D910" s="1" t="s">
        <v>1752</v>
      </c>
      <c r="E910" t="s">
        <v>1753</v>
      </c>
      <c r="F910" s="2" t="s">
        <v>263</v>
      </c>
      <c r="G910" t="s">
        <v>17</v>
      </c>
      <c r="H910" s="2" t="s">
        <v>1754</v>
      </c>
      <c r="I910" s="2">
        <v>1.3</v>
      </c>
    </row>
    <row r="911" spans="1:9" x14ac:dyDescent="0.25">
      <c r="A911" s="1" t="s">
        <v>1750</v>
      </c>
      <c r="B911" t="s">
        <v>1751</v>
      </c>
      <c r="C911" s="1" t="s">
        <v>7</v>
      </c>
      <c r="D911" s="1" t="s">
        <v>7</v>
      </c>
      <c r="E911" t="s">
        <v>8</v>
      </c>
      <c r="F911" s="2" t="s">
        <v>9</v>
      </c>
      <c r="G911" t="s">
        <v>10</v>
      </c>
      <c r="H911" s="2" t="s">
        <v>1755</v>
      </c>
      <c r="I911" s="2">
        <v>7.15</v>
      </c>
    </row>
    <row r="912" spans="1:9" x14ac:dyDescent="0.25">
      <c r="A912" s="1" t="s">
        <v>1756</v>
      </c>
      <c r="B912" t="s">
        <v>1757</v>
      </c>
      <c r="C912" s="1" t="s">
        <v>1022</v>
      </c>
      <c r="D912" s="1" t="s">
        <v>1022</v>
      </c>
      <c r="E912" t="s">
        <v>1023</v>
      </c>
      <c r="F912" s="2" t="s">
        <v>1024</v>
      </c>
      <c r="G912" t="s">
        <v>932</v>
      </c>
      <c r="H912" s="2" t="s">
        <v>1758</v>
      </c>
      <c r="I912" s="2">
        <v>52.1</v>
      </c>
    </row>
    <row r="913" spans="1:10" x14ac:dyDescent="0.25">
      <c r="A913" s="1" t="s">
        <v>1756</v>
      </c>
      <c r="B913" t="s">
        <v>1757</v>
      </c>
      <c r="C913" s="1" t="s">
        <v>1759</v>
      </c>
      <c r="D913" s="1" t="s">
        <v>1759</v>
      </c>
      <c r="E913" t="s">
        <v>1760</v>
      </c>
      <c r="F913" s="2" t="s">
        <v>1761</v>
      </c>
      <c r="G913" t="s">
        <v>435</v>
      </c>
      <c r="H913" s="2" t="s">
        <v>1762</v>
      </c>
      <c r="I913" s="2">
        <v>2.85</v>
      </c>
    </row>
    <row r="914" spans="1:10" x14ac:dyDescent="0.25">
      <c r="A914" s="1" t="s">
        <v>1756</v>
      </c>
      <c r="B914" t="s">
        <v>1757</v>
      </c>
      <c r="C914" s="1" t="s">
        <v>7</v>
      </c>
      <c r="D914" s="1" t="s">
        <v>7</v>
      </c>
      <c r="E914" t="s">
        <v>8</v>
      </c>
      <c r="F914" s="2" t="s">
        <v>9</v>
      </c>
      <c r="G914" t="s">
        <v>10</v>
      </c>
      <c r="H914" s="2" t="s">
        <v>1763</v>
      </c>
      <c r="I914" s="2">
        <v>29.2</v>
      </c>
    </row>
    <row r="915" spans="1:10" x14ac:dyDescent="0.25">
      <c r="A915" s="1" t="s">
        <v>1764</v>
      </c>
      <c r="B915" t="s">
        <v>1765</v>
      </c>
      <c r="C915" s="1" t="s">
        <v>1766</v>
      </c>
      <c r="D915" s="1" t="s">
        <v>1689</v>
      </c>
      <c r="E915" t="s">
        <v>1767</v>
      </c>
      <c r="F915" s="2" t="s">
        <v>1768</v>
      </c>
      <c r="G915" t="s">
        <v>49</v>
      </c>
      <c r="H915" s="2" t="s">
        <v>50</v>
      </c>
      <c r="I915" s="2">
        <v>0</v>
      </c>
      <c r="J915" t="s">
        <v>51</v>
      </c>
    </row>
    <row r="916" spans="1:10" x14ac:dyDescent="0.25">
      <c r="A916" s="1" t="s">
        <v>1764</v>
      </c>
      <c r="B916" t="s">
        <v>1765</v>
      </c>
      <c r="C916" s="1" t="s">
        <v>7</v>
      </c>
      <c r="D916" s="1" t="s">
        <v>7</v>
      </c>
      <c r="E916" t="s">
        <v>8</v>
      </c>
      <c r="F916" s="2" t="s">
        <v>9</v>
      </c>
      <c r="G916" t="s">
        <v>10</v>
      </c>
      <c r="H916" s="2" t="s">
        <v>19</v>
      </c>
      <c r="I916" s="2">
        <v>4.5999999999999996</v>
      </c>
    </row>
    <row r="917" spans="1:10" x14ac:dyDescent="0.25">
      <c r="A917" s="1" t="s">
        <v>94</v>
      </c>
      <c r="B917" t="s">
        <v>95</v>
      </c>
      <c r="C917" s="1" t="s">
        <v>1769</v>
      </c>
      <c r="D917" s="1" t="s">
        <v>1769</v>
      </c>
      <c r="E917" t="s">
        <v>1770</v>
      </c>
      <c r="F917" s="2" t="s">
        <v>1771</v>
      </c>
      <c r="G917" t="s">
        <v>17</v>
      </c>
      <c r="H917" s="2" t="s">
        <v>1772</v>
      </c>
      <c r="I917" s="2">
        <v>0.35</v>
      </c>
    </row>
    <row r="918" spans="1:10" x14ac:dyDescent="0.25">
      <c r="A918" s="1" t="s">
        <v>94</v>
      </c>
      <c r="B918" t="s">
        <v>95</v>
      </c>
      <c r="C918" s="1" t="s">
        <v>432</v>
      </c>
      <c r="D918" s="1" t="s">
        <v>432</v>
      </c>
      <c r="E918" t="s">
        <v>433</v>
      </c>
      <c r="F918" s="2" t="s">
        <v>434</v>
      </c>
      <c r="G918" t="s">
        <v>435</v>
      </c>
      <c r="H918" s="2" t="s">
        <v>50</v>
      </c>
      <c r="I918" s="2">
        <v>1.1000000000000001</v>
      </c>
    </row>
    <row r="919" spans="1:10" x14ac:dyDescent="0.25">
      <c r="A919" s="1" t="s">
        <v>94</v>
      </c>
      <c r="B919" t="s">
        <v>95</v>
      </c>
      <c r="C919" s="1" t="s">
        <v>7</v>
      </c>
      <c r="D919" s="1" t="s">
        <v>7</v>
      </c>
      <c r="E919" t="s">
        <v>8</v>
      </c>
      <c r="F919" s="2" t="s">
        <v>9</v>
      </c>
      <c r="G919" t="s">
        <v>10</v>
      </c>
      <c r="H919" s="2" t="s">
        <v>1773</v>
      </c>
      <c r="I919" s="2">
        <v>3</v>
      </c>
    </row>
    <row r="920" spans="1:10" x14ac:dyDescent="0.25">
      <c r="A920" s="1" t="s">
        <v>98</v>
      </c>
      <c r="B920" t="s">
        <v>99</v>
      </c>
      <c r="C920" s="1" t="s">
        <v>1774</v>
      </c>
      <c r="D920" s="1" t="s">
        <v>1774</v>
      </c>
      <c r="E920" t="s">
        <v>1775</v>
      </c>
      <c r="F920" s="2" t="s">
        <v>1776</v>
      </c>
      <c r="G920" t="s">
        <v>17</v>
      </c>
      <c r="H920" s="2" t="s">
        <v>1777</v>
      </c>
      <c r="I920" s="2">
        <v>0.45</v>
      </c>
    </row>
    <row r="921" spans="1:10" x14ac:dyDescent="0.25">
      <c r="A921" s="1" t="s">
        <v>98</v>
      </c>
      <c r="B921" t="s">
        <v>99</v>
      </c>
      <c r="C921" s="1" t="s">
        <v>432</v>
      </c>
      <c r="D921" s="1" t="s">
        <v>432</v>
      </c>
      <c r="E921" t="s">
        <v>433</v>
      </c>
      <c r="F921" s="2" t="s">
        <v>434</v>
      </c>
      <c r="G921" t="s">
        <v>435</v>
      </c>
      <c r="H921" s="2" t="s">
        <v>50</v>
      </c>
      <c r="I921" s="2">
        <v>1.1000000000000001</v>
      </c>
    </row>
    <row r="922" spans="1:10" x14ac:dyDescent="0.25">
      <c r="A922" s="1" t="s">
        <v>98</v>
      </c>
      <c r="B922" t="s">
        <v>99</v>
      </c>
      <c r="C922" s="1" t="s">
        <v>7</v>
      </c>
      <c r="D922" s="1" t="s">
        <v>7</v>
      </c>
      <c r="E922" t="s">
        <v>8</v>
      </c>
      <c r="F922" s="2" t="s">
        <v>9</v>
      </c>
      <c r="G922" t="s">
        <v>10</v>
      </c>
      <c r="H922" s="2" t="s">
        <v>1778</v>
      </c>
      <c r="I922" s="2">
        <v>2.1</v>
      </c>
    </row>
    <row r="923" spans="1:10" x14ac:dyDescent="0.25">
      <c r="A923" s="1" t="s">
        <v>1779</v>
      </c>
      <c r="B923" t="s">
        <v>1780</v>
      </c>
      <c r="C923" s="1" t="s">
        <v>1774</v>
      </c>
      <c r="D923" s="1" t="s">
        <v>1774</v>
      </c>
      <c r="E923" t="s">
        <v>1775</v>
      </c>
      <c r="F923" s="2" t="s">
        <v>1776</v>
      </c>
      <c r="G923" t="s">
        <v>17</v>
      </c>
      <c r="H923" s="2" t="s">
        <v>1781</v>
      </c>
      <c r="I923" s="2">
        <v>0.35</v>
      </c>
    </row>
    <row r="924" spans="1:10" x14ac:dyDescent="0.25">
      <c r="A924" s="1" t="s">
        <v>1779</v>
      </c>
      <c r="B924" t="s">
        <v>1780</v>
      </c>
      <c r="C924" s="1" t="s">
        <v>432</v>
      </c>
      <c r="D924" s="1" t="s">
        <v>432</v>
      </c>
      <c r="E924" t="s">
        <v>433</v>
      </c>
      <c r="F924" s="2" t="s">
        <v>434</v>
      </c>
      <c r="G924" t="s">
        <v>435</v>
      </c>
      <c r="H924" s="2" t="s">
        <v>50</v>
      </c>
      <c r="I924" s="2">
        <v>1.1000000000000001</v>
      </c>
    </row>
    <row r="925" spans="1:10" x14ac:dyDescent="0.25">
      <c r="A925" s="1" t="s">
        <v>1779</v>
      </c>
      <c r="B925" t="s">
        <v>1780</v>
      </c>
      <c r="C925" s="1" t="s">
        <v>7</v>
      </c>
      <c r="D925" s="1" t="s">
        <v>7</v>
      </c>
      <c r="E925" t="s">
        <v>8</v>
      </c>
      <c r="F925" s="2" t="s">
        <v>9</v>
      </c>
      <c r="G925" t="s">
        <v>10</v>
      </c>
      <c r="H925" s="2" t="s">
        <v>71</v>
      </c>
      <c r="I925" s="2">
        <v>3.85</v>
      </c>
    </row>
    <row r="926" spans="1:10" x14ac:dyDescent="0.25">
      <c r="A926" s="1" t="s">
        <v>1782</v>
      </c>
      <c r="B926" t="s">
        <v>1783</v>
      </c>
      <c r="C926" s="1" t="s">
        <v>1774</v>
      </c>
      <c r="D926" s="1" t="s">
        <v>1774</v>
      </c>
      <c r="E926" t="s">
        <v>1775</v>
      </c>
      <c r="F926" s="2" t="s">
        <v>1776</v>
      </c>
      <c r="G926" t="s">
        <v>17</v>
      </c>
      <c r="H926" s="2" t="s">
        <v>1784</v>
      </c>
      <c r="I926" s="2">
        <v>0.25</v>
      </c>
    </row>
    <row r="927" spans="1:10" x14ac:dyDescent="0.25">
      <c r="A927" s="1" t="s">
        <v>1782</v>
      </c>
      <c r="B927" t="s">
        <v>1783</v>
      </c>
      <c r="C927" s="1" t="s">
        <v>432</v>
      </c>
      <c r="D927" s="1" t="s">
        <v>432</v>
      </c>
      <c r="E927" t="s">
        <v>433</v>
      </c>
      <c r="F927" s="2" t="s">
        <v>434</v>
      </c>
      <c r="G927" t="s">
        <v>435</v>
      </c>
      <c r="H927" s="2" t="s">
        <v>50</v>
      </c>
      <c r="I927" s="2">
        <v>1.1000000000000001</v>
      </c>
    </row>
    <row r="928" spans="1:10" x14ac:dyDescent="0.25">
      <c r="A928" s="1" t="s">
        <v>1782</v>
      </c>
      <c r="B928" t="s">
        <v>1783</v>
      </c>
      <c r="C928" s="1" t="s">
        <v>7</v>
      </c>
      <c r="D928" s="1" t="s">
        <v>7</v>
      </c>
      <c r="E928" t="s">
        <v>8</v>
      </c>
      <c r="F928" s="2" t="s">
        <v>9</v>
      </c>
      <c r="G928" t="s">
        <v>10</v>
      </c>
      <c r="H928" s="2" t="s">
        <v>71</v>
      </c>
      <c r="I928" s="2">
        <v>3.85</v>
      </c>
    </row>
    <row r="929" spans="1:9" x14ac:dyDescent="0.25">
      <c r="A929" s="1" t="s">
        <v>314</v>
      </c>
      <c r="B929" t="s">
        <v>315</v>
      </c>
      <c r="C929" s="1" t="s">
        <v>1785</v>
      </c>
      <c r="D929" s="1" t="s">
        <v>1785</v>
      </c>
      <c r="E929" t="s">
        <v>1786</v>
      </c>
      <c r="F929" s="2" t="s">
        <v>31</v>
      </c>
      <c r="G929" t="s">
        <v>5</v>
      </c>
      <c r="H929" s="2" t="s">
        <v>1787</v>
      </c>
      <c r="I929" s="2">
        <v>0.45</v>
      </c>
    </row>
    <row r="930" spans="1:9" x14ac:dyDescent="0.25">
      <c r="A930" s="1" t="s">
        <v>314</v>
      </c>
      <c r="B930" t="s">
        <v>315</v>
      </c>
      <c r="C930" s="1" t="s">
        <v>432</v>
      </c>
      <c r="D930" s="1" t="s">
        <v>432</v>
      </c>
      <c r="E930" t="s">
        <v>433</v>
      </c>
      <c r="F930" s="2" t="s">
        <v>434</v>
      </c>
      <c r="G930" t="s">
        <v>435</v>
      </c>
      <c r="H930" s="2" t="s">
        <v>50</v>
      </c>
      <c r="I930" s="2">
        <v>1.1000000000000001</v>
      </c>
    </row>
    <row r="931" spans="1:9" x14ac:dyDescent="0.25">
      <c r="A931" s="1" t="s">
        <v>314</v>
      </c>
      <c r="B931" t="s">
        <v>315</v>
      </c>
      <c r="C931" s="1" t="s">
        <v>7</v>
      </c>
      <c r="D931" s="1" t="s">
        <v>7</v>
      </c>
      <c r="E931" t="s">
        <v>8</v>
      </c>
      <c r="F931" s="2" t="s">
        <v>9</v>
      </c>
      <c r="G931" t="s">
        <v>10</v>
      </c>
      <c r="H931" s="2" t="s">
        <v>1044</v>
      </c>
      <c r="I931" s="2">
        <v>4.8</v>
      </c>
    </row>
    <row r="932" spans="1:9" x14ac:dyDescent="0.25">
      <c r="A932" s="1" t="s">
        <v>221</v>
      </c>
      <c r="B932" t="s">
        <v>222</v>
      </c>
      <c r="C932" s="1" t="s">
        <v>1788</v>
      </c>
      <c r="D932" s="1" t="s">
        <v>1788</v>
      </c>
      <c r="E932" t="s">
        <v>1789</v>
      </c>
      <c r="F932" s="2" t="s">
        <v>1354</v>
      </c>
      <c r="G932" t="s">
        <v>5</v>
      </c>
      <c r="H932" s="2" t="s">
        <v>1790</v>
      </c>
      <c r="I932" s="2">
        <v>0.45</v>
      </c>
    </row>
    <row r="933" spans="1:9" x14ac:dyDescent="0.25">
      <c r="A933" s="1" t="s">
        <v>221</v>
      </c>
      <c r="B933" t="s">
        <v>222</v>
      </c>
      <c r="C933" s="1" t="s">
        <v>7</v>
      </c>
      <c r="D933" s="1" t="s">
        <v>7</v>
      </c>
      <c r="E933" t="s">
        <v>8</v>
      </c>
      <c r="F933" s="2" t="s">
        <v>9</v>
      </c>
      <c r="G933" t="s">
        <v>10</v>
      </c>
      <c r="H933" s="2" t="s">
        <v>1791</v>
      </c>
      <c r="I933" s="2">
        <v>2.4500000000000002</v>
      </c>
    </row>
    <row r="934" spans="1:9" x14ac:dyDescent="0.25">
      <c r="A934" s="1" t="s">
        <v>1792</v>
      </c>
      <c r="B934" t="s">
        <v>1793</v>
      </c>
      <c r="C934" s="1" t="s">
        <v>1794</v>
      </c>
      <c r="D934" s="1" t="s">
        <v>1794</v>
      </c>
      <c r="E934" t="s">
        <v>1795</v>
      </c>
      <c r="F934" s="2" t="s">
        <v>1796</v>
      </c>
      <c r="G934" t="s">
        <v>17</v>
      </c>
      <c r="H934" s="2" t="s">
        <v>1428</v>
      </c>
      <c r="I934" s="2">
        <v>3.36</v>
      </c>
    </row>
    <row r="935" spans="1:9" x14ac:dyDescent="0.25">
      <c r="A935" s="1" t="s">
        <v>1792</v>
      </c>
      <c r="B935" t="s">
        <v>1793</v>
      </c>
      <c r="C935" s="1" t="s">
        <v>7</v>
      </c>
      <c r="D935" s="1" t="s">
        <v>7</v>
      </c>
      <c r="E935" t="s">
        <v>8</v>
      </c>
      <c r="F935" s="2" t="s">
        <v>9</v>
      </c>
      <c r="G935" t="s">
        <v>10</v>
      </c>
      <c r="H935" s="2" t="s">
        <v>1236</v>
      </c>
      <c r="I935" s="2">
        <v>5.52</v>
      </c>
    </row>
    <row r="936" spans="1:9" x14ac:dyDescent="0.25">
      <c r="A936" s="1" t="s">
        <v>1797</v>
      </c>
      <c r="B936" t="s">
        <v>1798</v>
      </c>
      <c r="C936" s="1" t="s">
        <v>1249</v>
      </c>
      <c r="D936" s="1" t="s">
        <v>1249</v>
      </c>
      <c r="E936" t="s">
        <v>1250</v>
      </c>
      <c r="F936" s="2" t="s">
        <v>1251</v>
      </c>
      <c r="G936" t="s">
        <v>1252</v>
      </c>
      <c r="H936" s="2" t="s">
        <v>1799</v>
      </c>
      <c r="I936" s="2">
        <v>59.28</v>
      </c>
    </row>
    <row r="937" spans="1:9" x14ac:dyDescent="0.25">
      <c r="A937" s="1" t="s">
        <v>1797</v>
      </c>
      <c r="B937" t="s">
        <v>1798</v>
      </c>
      <c r="C937" s="1" t="s">
        <v>541</v>
      </c>
      <c r="D937" s="1" t="s">
        <v>541</v>
      </c>
      <c r="E937" t="s">
        <v>542</v>
      </c>
      <c r="F937" s="2" t="s">
        <v>9</v>
      </c>
      <c r="G937" t="s">
        <v>10</v>
      </c>
      <c r="H937" s="2" t="s">
        <v>860</v>
      </c>
      <c r="I937" s="2">
        <v>23</v>
      </c>
    </row>
    <row r="938" spans="1:9" x14ac:dyDescent="0.25">
      <c r="A938" s="1" t="s">
        <v>1797</v>
      </c>
      <c r="B938" t="s">
        <v>1798</v>
      </c>
      <c r="C938" s="1" t="s">
        <v>7</v>
      </c>
      <c r="D938" s="1" t="s">
        <v>7</v>
      </c>
      <c r="E938" t="s">
        <v>8</v>
      </c>
      <c r="F938" s="2" t="s">
        <v>9</v>
      </c>
      <c r="G938" t="s">
        <v>10</v>
      </c>
      <c r="H938" s="2" t="s">
        <v>1800</v>
      </c>
      <c r="I938" s="2">
        <v>132.74</v>
      </c>
    </row>
    <row r="939" spans="1:9" x14ac:dyDescent="0.25">
      <c r="A939" s="1" t="s">
        <v>1801</v>
      </c>
      <c r="B939" t="s">
        <v>1802</v>
      </c>
      <c r="C939" s="1" t="s">
        <v>1249</v>
      </c>
      <c r="D939" s="1" t="s">
        <v>1249</v>
      </c>
      <c r="E939" t="s">
        <v>1250</v>
      </c>
      <c r="F939" s="2" t="s">
        <v>1251</v>
      </c>
      <c r="G939" t="s">
        <v>1252</v>
      </c>
      <c r="H939" s="2" t="s">
        <v>1803</v>
      </c>
      <c r="I939" s="2">
        <v>65.64</v>
      </c>
    </row>
    <row r="940" spans="1:9" x14ac:dyDescent="0.25">
      <c r="A940" s="1" t="s">
        <v>1801</v>
      </c>
      <c r="B940" t="s">
        <v>1802</v>
      </c>
      <c r="C940" s="1" t="s">
        <v>541</v>
      </c>
      <c r="D940" s="1" t="s">
        <v>541</v>
      </c>
      <c r="E940" t="s">
        <v>542</v>
      </c>
      <c r="F940" s="2" t="s">
        <v>9</v>
      </c>
      <c r="G940" t="s">
        <v>10</v>
      </c>
      <c r="H940" s="2" t="s">
        <v>860</v>
      </c>
      <c r="I940" s="2">
        <v>23</v>
      </c>
    </row>
    <row r="941" spans="1:9" x14ac:dyDescent="0.25">
      <c r="A941" s="1" t="s">
        <v>1801</v>
      </c>
      <c r="B941" t="s">
        <v>1802</v>
      </c>
      <c r="C941" s="1" t="s">
        <v>7</v>
      </c>
      <c r="D941" s="1" t="s">
        <v>7</v>
      </c>
      <c r="E941" t="s">
        <v>8</v>
      </c>
      <c r="F941" s="2" t="s">
        <v>9</v>
      </c>
      <c r="G941" t="s">
        <v>10</v>
      </c>
      <c r="H941" s="2" t="s">
        <v>1804</v>
      </c>
      <c r="I941" s="2">
        <v>166.32</v>
      </c>
    </row>
    <row r="942" spans="1:9" x14ac:dyDescent="0.25">
      <c r="A942" s="1" t="s">
        <v>1805</v>
      </c>
      <c r="B942" t="s">
        <v>1806</v>
      </c>
      <c r="C942" s="1" t="s">
        <v>1249</v>
      </c>
      <c r="D942" s="1" t="s">
        <v>1249</v>
      </c>
      <c r="E942" t="s">
        <v>1250</v>
      </c>
      <c r="F942" s="2" t="s">
        <v>1251</v>
      </c>
      <c r="G942" t="s">
        <v>1252</v>
      </c>
      <c r="H942" s="2" t="s">
        <v>1807</v>
      </c>
      <c r="I942" s="2">
        <v>58.8</v>
      </c>
    </row>
    <row r="943" spans="1:9" x14ac:dyDescent="0.25">
      <c r="A943" s="1" t="s">
        <v>1805</v>
      </c>
      <c r="B943" t="s">
        <v>1806</v>
      </c>
      <c r="C943" s="1" t="s">
        <v>541</v>
      </c>
      <c r="D943" s="1" t="s">
        <v>541</v>
      </c>
      <c r="E943" t="s">
        <v>542</v>
      </c>
      <c r="F943" s="2" t="s">
        <v>9</v>
      </c>
      <c r="G943" t="s">
        <v>10</v>
      </c>
      <c r="H943" s="2" t="s">
        <v>860</v>
      </c>
      <c r="I943" s="2">
        <v>23</v>
      </c>
    </row>
    <row r="944" spans="1:9" x14ac:dyDescent="0.25">
      <c r="A944" s="1" t="s">
        <v>1805</v>
      </c>
      <c r="B944" t="s">
        <v>1806</v>
      </c>
      <c r="C944" s="1" t="s">
        <v>7</v>
      </c>
      <c r="D944" s="1" t="s">
        <v>7</v>
      </c>
      <c r="E944" t="s">
        <v>8</v>
      </c>
      <c r="F944" s="2" t="s">
        <v>9</v>
      </c>
      <c r="G944" t="s">
        <v>10</v>
      </c>
      <c r="H944" s="2" t="s">
        <v>1808</v>
      </c>
      <c r="I944" s="2">
        <v>132.51</v>
      </c>
    </row>
    <row r="945" spans="1:9" x14ac:dyDescent="0.25">
      <c r="A945" s="1" t="s">
        <v>1809</v>
      </c>
      <c r="B945" t="s">
        <v>1810</v>
      </c>
      <c r="C945" s="1" t="s">
        <v>1249</v>
      </c>
      <c r="D945" s="1" t="s">
        <v>1249</v>
      </c>
      <c r="E945" t="s">
        <v>1250</v>
      </c>
      <c r="F945" s="2" t="s">
        <v>1251</v>
      </c>
      <c r="G945" t="s">
        <v>1252</v>
      </c>
      <c r="H945" s="2" t="s">
        <v>1811</v>
      </c>
      <c r="I945" s="2">
        <v>64.92</v>
      </c>
    </row>
    <row r="946" spans="1:9" x14ac:dyDescent="0.25">
      <c r="A946" s="1" t="s">
        <v>1809</v>
      </c>
      <c r="B946" t="s">
        <v>1810</v>
      </c>
      <c r="C946" s="1" t="s">
        <v>541</v>
      </c>
      <c r="D946" s="1" t="s">
        <v>541</v>
      </c>
      <c r="E946" t="s">
        <v>542</v>
      </c>
      <c r="F946" s="2" t="s">
        <v>9</v>
      </c>
      <c r="G946" t="s">
        <v>10</v>
      </c>
      <c r="H946" s="2" t="s">
        <v>860</v>
      </c>
      <c r="I946" s="2">
        <v>23</v>
      </c>
    </row>
    <row r="947" spans="1:9" x14ac:dyDescent="0.25">
      <c r="A947" s="1" t="s">
        <v>1809</v>
      </c>
      <c r="B947" t="s">
        <v>1810</v>
      </c>
      <c r="C947" s="1" t="s">
        <v>7</v>
      </c>
      <c r="D947" s="1" t="s">
        <v>7</v>
      </c>
      <c r="E947" t="s">
        <v>8</v>
      </c>
      <c r="F947" s="2" t="s">
        <v>9</v>
      </c>
      <c r="G947" t="s">
        <v>10</v>
      </c>
      <c r="H947" s="2" t="s">
        <v>1812</v>
      </c>
      <c r="I947" s="2">
        <v>164.71</v>
      </c>
    </row>
    <row r="948" spans="1:9" x14ac:dyDescent="0.25">
      <c r="A948" s="1" t="s">
        <v>89</v>
      </c>
      <c r="B948" t="s">
        <v>90</v>
      </c>
      <c r="C948" s="1" t="s">
        <v>1813</v>
      </c>
      <c r="D948" s="1" t="s">
        <v>1813</v>
      </c>
      <c r="E948" t="s">
        <v>1814</v>
      </c>
      <c r="F948" s="2" t="s">
        <v>145</v>
      </c>
      <c r="G948" t="s">
        <v>5</v>
      </c>
      <c r="H948" s="2" t="s">
        <v>1815</v>
      </c>
      <c r="I948" s="2">
        <v>0.2</v>
      </c>
    </row>
    <row r="949" spans="1:9" x14ac:dyDescent="0.25">
      <c r="A949" s="1" t="s">
        <v>89</v>
      </c>
      <c r="B949" t="s">
        <v>90</v>
      </c>
      <c r="C949" s="1" t="s">
        <v>432</v>
      </c>
      <c r="D949" s="1" t="s">
        <v>432</v>
      </c>
      <c r="E949" t="s">
        <v>433</v>
      </c>
      <c r="F949" s="2" t="s">
        <v>434</v>
      </c>
      <c r="G949" t="s">
        <v>435</v>
      </c>
      <c r="H949" s="2" t="s">
        <v>50</v>
      </c>
      <c r="I949" s="2">
        <v>1.1000000000000001</v>
      </c>
    </row>
    <row r="950" spans="1:9" x14ac:dyDescent="0.25">
      <c r="A950" s="1" t="s">
        <v>89</v>
      </c>
      <c r="B950" t="s">
        <v>90</v>
      </c>
      <c r="C950" s="1" t="s">
        <v>7</v>
      </c>
      <c r="D950" s="1" t="s">
        <v>7</v>
      </c>
      <c r="E950" t="s">
        <v>8</v>
      </c>
      <c r="F950" s="2" t="s">
        <v>9</v>
      </c>
      <c r="G950" t="s">
        <v>10</v>
      </c>
      <c r="H950" s="2" t="s">
        <v>112</v>
      </c>
      <c r="I950" s="2">
        <v>3.9</v>
      </c>
    </row>
    <row r="951" spans="1:9" x14ac:dyDescent="0.25">
      <c r="A951" s="1" t="s">
        <v>1816</v>
      </c>
      <c r="B951" t="s">
        <v>1817</v>
      </c>
      <c r="C951" s="1" t="s">
        <v>1447</v>
      </c>
      <c r="D951" s="1" t="s">
        <v>1447</v>
      </c>
      <c r="E951" t="s">
        <v>1448</v>
      </c>
      <c r="F951" s="2" t="s">
        <v>31</v>
      </c>
      <c r="G951" t="s">
        <v>5</v>
      </c>
      <c r="H951" s="2" t="s">
        <v>1818</v>
      </c>
      <c r="I951" s="2">
        <v>51.5</v>
      </c>
    </row>
    <row r="952" spans="1:9" x14ac:dyDescent="0.25">
      <c r="A952" s="1" t="s">
        <v>1816</v>
      </c>
      <c r="B952" t="s">
        <v>1817</v>
      </c>
      <c r="C952" s="1" t="s">
        <v>7</v>
      </c>
      <c r="D952" s="1" t="s">
        <v>7</v>
      </c>
      <c r="E952" t="s">
        <v>8</v>
      </c>
      <c r="F952" s="2" t="s">
        <v>9</v>
      </c>
      <c r="G952" t="s">
        <v>10</v>
      </c>
      <c r="H952" s="2" t="s">
        <v>1819</v>
      </c>
      <c r="I952" s="2">
        <v>35</v>
      </c>
    </row>
    <row r="953" spans="1:9" x14ac:dyDescent="0.25">
      <c r="A953" s="1" t="s">
        <v>1820</v>
      </c>
      <c r="B953" t="s">
        <v>1821</v>
      </c>
      <c r="C953" s="1" t="s">
        <v>1447</v>
      </c>
      <c r="D953" s="1" t="s">
        <v>1447</v>
      </c>
      <c r="E953" t="s">
        <v>1448</v>
      </c>
      <c r="F953" s="2" t="s">
        <v>31</v>
      </c>
      <c r="G953" t="s">
        <v>5</v>
      </c>
      <c r="H953" s="2" t="s">
        <v>1822</v>
      </c>
      <c r="I953" s="2">
        <v>41</v>
      </c>
    </row>
    <row r="954" spans="1:9" x14ac:dyDescent="0.25">
      <c r="A954" s="1" t="s">
        <v>1820</v>
      </c>
      <c r="B954" t="s">
        <v>1821</v>
      </c>
      <c r="C954" s="1" t="s">
        <v>7</v>
      </c>
      <c r="D954" s="1" t="s">
        <v>7</v>
      </c>
      <c r="E954" t="s">
        <v>8</v>
      </c>
      <c r="F954" s="2" t="s">
        <v>9</v>
      </c>
      <c r="G954" t="s">
        <v>10</v>
      </c>
      <c r="H954" s="2" t="s">
        <v>1823</v>
      </c>
      <c r="I954" s="2">
        <v>30</v>
      </c>
    </row>
    <row r="955" spans="1:9" x14ac:dyDescent="0.25">
      <c r="A955" s="1" t="s">
        <v>1824</v>
      </c>
      <c r="B955" t="s">
        <v>1825</v>
      </c>
      <c r="C955" s="1" t="s">
        <v>1022</v>
      </c>
      <c r="D955" s="1" t="s">
        <v>1022</v>
      </c>
      <c r="E955" t="s">
        <v>1023</v>
      </c>
      <c r="F955" s="2" t="s">
        <v>1024</v>
      </c>
      <c r="G955" t="s">
        <v>932</v>
      </c>
      <c r="H955" s="2" t="s">
        <v>1826</v>
      </c>
      <c r="I955" s="2">
        <v>9.4</v>
      </c>
    </row>
    <row r="956" spans="1:9" x14ac:dyDescent="0.25">
      <c r="A956" s="1" t="s">
        <v>1824</v>
      </c>
      <c r="B956" t="s">
        <v>1825</v>
      </c>
      <c r="C956" s="1" t="s">
        <v>7</v>
      </c>
      <c r="D956" s="1" t="s">
        <v>7</v>
      </c>
      <c r="E956" t="s">
        <v>1031</v>
      </c>
      <c r="F956" s="2" t="s">
        <v>9</v>
      </c>
      <c r="G956" t="s">
        <v>10</v>
      </c>
      <c r="H956" s="2" t="s">
        <v>1827</v>
      </c>
      <c r="I956" s="2">
        <v>28.2</v>
      </c>
    </row>
    <row r="957" spans="1:9" x14ac:dyDescent="0.25">
      <c r="A957" s="1" t="s">
        <v>1828</v>
      </c>
      <c r="B957" t="s">
        <v>1829</v>
      </c>
      <c r="C957" s="1" t="s">
        <v>1022</v>
      </c>
      <c r="D957" s="1" t="s">
        <v>1022</v>
      </c>
      <c r="E957" t="s">
        <v>1023</v>
      </c>
      <c r="F957" s="2" t="s">
        <v>1024</v>
      </c>
      <c r="G957" t="s">
        <v>932</v>
      </c>
      <c r="H957" s="2" t="s">
        <v>1830</v>
      </c>
      <c r="I957" s="2">
        <v>9.3000000000000007</v>
      </c>
    </row>
    <row r="958" spans="1:9" x14ac:dyDescent="0.25">
      <c r="A958" s="1" t="s">
        <v>1828</v>
      </c>
      <c r="B958" t="s">
        <v>1829</v>
      </c>
      <c r="C958" s="1" t="s">
        <v>7</v>
      </c>
      <c r="D958" s="1" t="s">
        <v>7</v>
      </c>
      <c r="E958" t="s">
        <v>1031</v>
      </c>
      <c r="F958" s="2" t="s">
        <v>9</v>
      </c>
      <c r="G958" t="s">
        <v>10</v>
      </c>
      <c r="H958" s="2" t="s">
        <v>1831</v>
      </c>
      <c r="I958" s="2">
        <v>72.3</v>
      </c>
    </row>
    <row r="959" spans="1:9" x14ac:dyDescent="0.25">
      <c r="A959" s="1" t="s">
        <v>1832</v>
      </c>
      <c r="B959" t="s">
        <v>1833</v>
      </c>
      <c r="C959" s="1" t="s">
        <v>1203</v>
      </c>
      <c r="D959" s="1" t="s">
        <v>1203</v>
      </c>
      <c r="E959" t="s">
        <v>1204</v>
      </c>
      <c r="F959" s="2" t="s">
        <v>216</v>
      </c>
      <c r="G959" t="s">
        <v>5</v>
      </c>
      <c r="H959" s="2" t="s">
        <v>1787</v>
      </c>
      <c r="I959" s="2">
        <v>0.3</v>
      </c>
    </row>
    <row r="960" spans="1:9" x14ac:dyDescent="0.25">
      <c r="A960" s="1" t="s">
        <v>1832</v>
      </c>
      <c r="B960" t="s">
        <v>1833</v>
      </c>
      <c r="C960" s="1" t="s">
        <v>1834</v>
      </c>
      <c r="D960" s="1" t="s">
        <v>1834</v>
      </c>
      <c r="E960" t="s">
        <v>1835</v>
      </c>
      <c r="F960" s="2" t="s">
        <v>1836</v>
      </c>
      <c r="G960" t="s">
        <v>121</v>
      </c>
      <c r="H960" s="2" t="s">
        <v>50</v>
      </c>
      <c r="I960" s="2">
        <v>0.9</v>
      </c>
    </row>
    <row r="961" spans="1:10" x14ac:dyDescent="0.25">
      <c r="A961" s="1" t="s">
        <v>1832</v>
      </c>
      <c r="B961" t="s">
        <v>1833</v>
      </c>
      <c r="C961" s="1" t="s">
        <v>432</v>
      </c>
      <c r="D961" s="1" t="s">
        <v>432</v>
      </c>
      <c r="E961" t="s">
        <v>433</v>
      </c>
      <c r="F961" s="2" t="s">
        <v>434</v>
      </c>
      <c r="G961" t="s">
        <v>435</v>
      </c>
      <c r="H961" s="2" t="s">
        <v>50</v>
      </c>
      <c r="I961" s="2">
        <v>1.1000000000000001</v>
      </c>
    </row>
    <row r="962" spans="1:10" x14ac:dyDescent="0.25">
      <c r="A962" s="1" t="s">
        <v>1832</v>
      </c>
      <c r="B962" t="s">
        <v>1833</v>
      </c>
      <c r="C962" s="1" t="s">
        <v>7</v>
      </c>
      <c r="D962" s="1" t="s">
        <v>7</v>
      </c>
      <c r="E962" t="s">
        <v>8</v>
      </c>
      <c r="F962" s="2" t="s">
        <v>9</v>
      </c>
      <c r="G962" t="s">
        <v>10</v>
      </c>
      <c r="H962" s="2" t="s">
        <v>1371</v>
      </c>
      <c r="I962" s="2">
        <v>1.1499999999999999</v>
      </c>
    </row>
    <row r="963" spans="1:10" x14ac:dyDescent="0.25">
      <c r="A963" s="1" t="s">
        <v>1832</v>
      </c>
      <c r="B963" t="s">
        <v>1833</v>
      </c>
      <c r="C963" s="1" t="s">
        <v>7</v>
      </c>
      <c r="D963" s="1" t="s">
        <v>7</v>
      </c>
      <c r="E963" t="s">
        <v>8</v>
      </c>
      <c r="F963" s="2" t="s">
        <v>9</v>
      </c>
      <c r="G963" t="s">
        <v>10</v>
      </c>
      <c r="H963" s="2" t="s">
        <v>1837</v>
      </c>
      <c r="I963" s="2">
        <v>2</v>
      </c>
    </row>
    <row r="964" spans="1:10" x14ac:dyDescent="0.25">
      <c r="A964" s="1" t="s">
        <v>1838</v>
      </c>
      <c r="B964" t="s">
        <v>1839</v>
      </c>
      <c r="C964" s="1" t="s">
        <v>1022</v>
      </c>
      <c r="D964" s="1" t="s">
        <v>1022</v>
      </c>
      <c r="E964" t="s">
        <v>1023</v>
      </c>
      <c r="F964" s="2" t="s">
        <v>1024</v>
      </c>
      <c r="G964" t="s">
        <v>932</v>
      </c>
      <c r="H964" s="2" t="s">
        <v>1840</v>
      </c>
      <c r="I964" s="2">
        <v>15</v>
      </c>
    </row>
    <row r="965" spans="1:10" x14ac:dyDescent="0.25">
      <c r="A965" s="1" t="s">
        <v>1838</v>
      </c>
      <c r="B965" t="s">
        <v>1839</v>
      </c>
      <c r="C965" s="1" t="s">
        <v>7</v>
      </c>
      <c r="D965" s="1" t="s">
        <v>7</v>
      </c>
      <c r="E965" t="s">
        <v>1031</v>
      </c>
      <c r="F965" s="2" t="s">
        <v>9</v>
      </c>
      <c r="G965" t="s">
        <v>10</v>
      </c>
      <c r="H965" s="2" t="s">
        <v>1841</v>
      </c>
      <c r="I965" s="2">
        <v>42.4</v>
      </c>
    </row>
    <row r="966" spans="1:10" x14ac:dyDescent="0.25">
      <c r="A966" s="1" t="s">
        <v>1842</v>
      </c>
      <c r="B966" t="s">
        <v>1843</v>
      </c>
      <c r="C966" s="1" t="s">
        <v>1844</v>
      </c>
      <c r="D966" s="1" t="s">
        <v>1844</v>
      </c>
      <c r="E966" t="s">
        <v>1845</v>
      </c>
      <c r="F966" s="2" t="s">
        <v>1846</v>
      </c>
      <c r="G966" t="s">
        <v>121</v>
      </c>
      <c r="H966" s="2" t="s">
        <v>50</v>
      </c>
      <c r="I966" s="2">
        <v>15.52</v>
      </c>
    </row>
    <row r="967" spans="1:10" x14ac:dyDescent="0.25">
      <c r="A967" s="1" t="s">
        <v>1842</v>
      </c>
      <c r="B967" t="s">
        <v>1843</v>
      </c>
      <c r="C967" s="1" t="s">
        <v>1847</v>
      </c>
      <c r="D967" s="1" t="s">
        <v>1847</v>
      </c>
      <c r="E967" t="s">
        <v>1848</v>
      </c>
      <c r="F967" s="2" t="s">
        <v>1849</v>
      </c>
      <c r="G967" t="s">
        <v>121</v>
      </c>
      <c r="H967" s="2" t="s">
        <v>50</v>
      </c>
      <c r="I967" s="2">
        <v>15.74</v>
      </c>
    </row>
    <row r="968" spans="1:10" x14ac:dyDescent="0.25">
      <c r="A968" s="1" t="s">
        <v>1842</v>
      </c>
      <c r="B968" t="s">
        <v>1843</v>
      </c>
      <c r="C968" s="1" t="s">
        <v>41</v>
      </c>
      <c r="D968" s="1" t="s">
        <v>41</v>
      </c>
      <c r="E968" t="s">
        <v>42</v>
      </c>
      <c r="F968" s="2" t="s">
        <v>513</v>
      </c>
      <c r="G968" t="s">
        <v>5</v>
      </c>
      <c r="H968" s="2" t="s">
        <v>1850</v>
      </c>
      <c r="I968" s="2">
        <v>0.12</v>
      </c>
    </row>
    <row r="969" spans="1:10" x14ac:dyDescent="0.25">
      <c r="A969" s="1" t="s">
        <v>1842</v>
      </c>
      <c r="B969" t="s">
        <v>1843</v>
      </c>
      <c r="C969" s="1" t="s">
        <v>7</v>
      </c>
      <c r="D969" s="1" t="s">
        <v>7</v>
      </c>
      <c r="E969" t="s">
        <v>8</v>
      </c>
      <c r="F969" s="2" t="s">
        <v>9</v>
      </c>
      <c r="G969" t="s">
        <v>10</v>
      </c>
      <c r="H969" s="2" t="s">
        <v>1851</v>
      </c>
      <c r="I969" s="2">
        <v>19.32</v>
      </c>
    </row>
    <row r="970" spans="1:10" x14ac:dyDescent="0.25">
      <c r="A970" s="1" t="s">
        <v>1852</v>
      </c>
      <c r="B970" t="s">
        <v>1853</v>
      </c>
      <c r="C970" s="1" t="s">
        <v>1854</v>
      </c>
      <c r="D970" s="1" t="s">
        <v>1854</v>
      </c>
      <c r="E970" t="s">
        <v>1855</v>
      </c>
      <c r="F970" s="2" t="s">
        <v>1856</v>
      </c>
      <c r="G970" t="s">
        <v>1857</v>
      </c>
      <c r="H970" s="2" t="s">
        <v>1858</v>
      </c>
      <c r="I970" s="2">
        <v>0.04</v>
      </c>
    </row>
    <row r="971" spans="1:10" x14ac:dyDescent="0.25">
      <c r="A971" s="1" t="s">
        <v>1852</v>
      </c>
      <c r="B971" t="s">
        <v>1853</v>
      </c>
      <c r="C971" s="1" t="s">
        <v>1859</v>
      </c>
      <c r="D971" s="1" t="s">
        <v>1859</v>
      </c>
      <c r="E971" t="s">
        <v>1860</v>
      </c>
      <c r="F971" s="2" t="s">
        <v>1861</v>
      </c>
      <c r="G971" t="s">
        <v>1857</v>
      </c>
      <c r="H971" s="2" t="s">
        <v>1253</v>
      </c>
      <c r="I971" s="2">
        <v>0.03</v>
      </c>
    </row>
    <row r="972" spans="1:10" x14ac:dyDescent="0.25">
      <c r="A972" s="1" t="s">
        <v>1852</v>
      </c>
      <c r="B972" t="s">
        <v>1853</v>
      </c>
      <c r="C972" s="1" t="s">
        <v>1862</v>
      </c>
      <c r="D972" s="1" t="s">
        <v>1862</v>
      </c>
      <c r="E972" t="s">
        <v>1863</v>
      </c>
      <c r="F972" s="2" t="s">
        <v>1864</v>
      </c>
      <c r="G972" t="s">
        <v>121</v>
      </c>
      <c r="H972" s="2" t="s">
        <v>33</v>
      </c>
      <c r="I972" s="2">
        <v>0.57999999999999996</v>
      </c>
    </row>
    <row r="973" spans="1:10" x14ac:dyDescent="0.25">
      <c r="A973" s="1" t="s">
        <v>1852</v>
      </c>
      <c r="B973" t="s">
        <v>1853</v>
      </c>
      <c r="C973" s="1" t="s">
        <v>584</v>
      </c>
      <c r="D973" s="1" t="s">
        <v>584</v>
      </c>
      <c r="E973" t="s">
        <v>585</v>
      </c>
      <c r="F973" s="2" t="s">
        <v>606</v>
      </c>
      <c r="G973" t="s">
        <v>5</v>
      </c>
      <c r="H973" s="2" t="s">
        <v>1865</v>
      </c>
      <c r="I973" s="2">
        <v>7.0000000000000007E-2</v>
      </c>
    </row>
    <row r="974" spans="1:10" x14ac:dyDescent="0.25">
      <c r="A974" s="1" t="s">
        <v>1852</v>
      </c>
      <c r="B974" t="s">
        <v>1853</v>
      </c>
      <c r="C974" s="1" t="s">
        <v>587</v>
      </c>
      <c r="D974" s="1" t="s">
        <v>587</v>
      </c>
      <c r="E974" t="s">
        <v>588</v>
      </c>
      <c r="F974" s="2" t="s">
        <v>191</v>
      </c>
      <c r="G974" t="s">
        <v>5</v>
      </c>
      <c r="H974" s="2" t="s">
        <v>1866</v>
      </c>
      <c r="I974" s="2">
        <v>0.06</v>
      </c>
    </row>
    <row r="975" spans="1:10" x14ac:dyDescent="0.25">
      <c r="A975" s="1" t="s">
        <v>1852</v>
      </c>
      <c r="B975" t="s">
        <v>1853</v>
      </c>
      <c r="C975" s="1" t="s">
        <v>41</v>
      </c>
      <c r="D975" s="1" t="s">
        <v>41</v>
      </c>
      <c r="E975" t="s">
        <v>42</v>
      </c>
      <c r="F975" s="2" t="s">
        <v>43</v>
      </c>
      <c r="G975" t="s">
        <v>5</v>
      </c>
      <c r="H975" s="2" t="s">
        <v>1867</v>
      </c>
      <c r="I975" s="2">
        <v>0.03</v>
      </c>
    </row>
    <row r="976" spans="1:10" x14ac:dyDescent="0.25">
      <c r="A976" s="1" t="s">
        <v>1852</v>
      </c>
      <c r="B976" t="s">
        <v>1853</v>
      </c>
      <c r="C976" s="1" t="s">
        <v>1868</v>
      </c>
      <c r="D976" s="1" t="s">
        <v>1868</v>
      </c>
      <c r="E976" t="s">
        <v>1869</v>
      </c>
      <c r="F976" s="2" t="s">
        <v>1870</v>
      </c>
      <c r="G976" t="s">
        <v>49</v>
      </c>
      <c r="H976" s="2" t="s">
        <v>50</v>
      </c>
      <c r="I976" s="2">
        <v>48.55</v>
      </c>
      <c r="J976" t="s">
        <v>55</v>
      </c>
    </row>
    <row r="977" spans="1:10" x14ac:dyDescent="0.25">
      <c r="A977" s="1" t="s">
        <v>1852</v>
      </c>
      <c r="B977" t="s">
        <v>1853</v>
      </c>
      <c r="C977" s="1" t="s">
        <v>1871</v>
      </c>
      <c r="D977" s="1" t="s">
        <v>1734</v>
      </c>
      <c r="E977" t="s">
        <v>1735</v>
      </c>
      <c r="F977" s="2" t="s">
        <v>328</v>
      </c>
      <c r="G977" t="s">
        <v>49</v>
      </c>
      <c r="H977" s="2" t="s">
        <v>50</v>
      </c>
      <c r="I977" s="2">
        <v>6.2</v>
      </c>
      <c r="J977" t="s">
        <v>51</v>
      </c>
    </row>
    <row r="978" spans="1:10" x14ac:dyDescent="0.25">
      <c r="A978" s="1" t="s">
        <v>1852</v>
      </c>
      <c r="B978" t="s">
        <v>1853</v>
      </c>
      <c r="C978" s="1" t="s">
        <v>1872</v>
      </c>
      <c r="D978" s="1" t="s">
        <v>1872</v>
      </c>
      <c r="E978" t="s">
        <v>1873</v>
      </c>
      <c r="F978" s="2" t="s">
        <v>1874</v>
      </c>
      <c r="G978" t="s">
        <v>49</v>
      </c>
      <c r="H978" s="2" t="s">
        <v>50</v>
      </c>
      <c r="I978" s="2">
        <v>35.799999999999997</v>
      </c>
      <c r="J978" t="s">
        <v>55</v>
      </c>
    </row>
    <row r="979" spans="1:10" x14ac:dyDescent="0.25">
      <c r="A979" s="1" t="s">
        <v>1852</v>
      </c>
      <c r="B979" t="s">
        <v>1853</v>
      </c>
      <c r="C979" s="1" t="s">
        <v>1875</v>
      </c>
      <c r="D979" s="1" t="s">
        <v>1876</v>
      </c>
      <c r="E979" t="s">
        <v>1877</v>
      </c>
      <c r="F979" s="2" t="s">
        <v>1878</v>
      </c>
      <c r="G979" t="s">
        <v>49</v>
      </c>
      <c r="H979" s="2" t="s">
        <v>50</v>
      </c>
      <c r="I979" s="2">
        <v>169.16</v>
      </c>
      <c r="J979" t="s">
        <v>51</v>
      </c>
    </row>
    <row r="980" spans="1:10" x14ac:dyDescent="0.25">
      <c r="A980" s="1" t="s">
        <v>1852</v>
      </c>
      <c r="B980" t="s">
        <v>1853</v>
      </c>
      <c r="C980" s="1" t="s">
        <v>7</v>
      </c>
      <c r="D980" s="1" t="s">
        <v>7</v>
      </c>
      <c r="E980" t="s">
        <v>8</v>
      </c>
      <c r="F980" s="2" t="s">
        <v>9</v>
      </c>
      <c r="G980" t="s">
        <v>10</v>
      </c>
      <c r="H980" s="2" t="s">
        <v>1879</v>
      </c>
      <c r="I980" s="2">
        <v>8.3000000000000007</v>
      </c>
    </row>
    <row r="981" spans="1:10" x14ac:dyDescent="0.25">
      <c r="A981" s="1" t="s">
        <v>1880</v>
      </c>
      <c r="B981" t="s">
        <v>1881</v>
      </c>
      <c r="C981" s="1" t="s">
        <v>1882</v>
      </c>
      <c r="D981" s="1" t="s">
        <v>1882</v>
      </c>
      <c r="E981" t="s">
        <v>1883</v>
      </c>
      <c r="F981" s="2" t="s">
        <v>1884</v>
      </c>
      <c r="G981" t="s">
        <v>5</v>
      </c>
      <c r="H981" s="2" t="s">
        <v>1885</v>
      </c>
      <c r="I981" s="2">
        <v>0.04</v>
      </c>
    </row>
    <row r="982" spans="1:10" x14ac:dyDescent="0.25">
      <c r="A982" s="1" t="s">
        <v>1880</v>
      </c>
      <c r="B982" t="s">
        <v>1881</v>
      </c>
      <c r="C982" s="1" t="s">
        <v>1886</v>
      </c>
      <c r="D982" s="1" t="s">
        <v>1886</v>
      </c>
      <c r="E982" t="s">
        <v>1887</v>
      </c>
      <c r="F982" s="2" t="s">
        <v>1888</v>
      </c>
      <c r="G982" t="s">
        <v>5</v>
      </c>
      <c r="H982" s="2" t="s">
        <v>1889</v>
      </c>
      <c r="I982" s="2">
        <v>0.04</v>
      </c>
    </row>
    <row r="983" spans="1:10" x14ac:dyDescent="0.25">
      <c r="A983" s="1" t="s">
        <v>1880</v>
      </c>
      <c r="B983" t="s">
        <v>1881</v>
      </c>
      <c r="C983" s="1" t="s">
        <v>1890</v>
      </c>
      <c r="D983" s="1" t="s">
        <v>1890</v>
      </c>
      <c r="E983" t="s">
        <v>1891</v>
      </c>
      <c r="F983" s="2" t="s">
        <v>1892</v>
      </c>
      <c r="G983" t="s">
        <v>5</v>
      </c>
      <c r="H983" s="2" t="s">
        <v>1893</v>
      </c>
      <c r="I983" s="2">
        <v>0.01</v>
      </c>
    </row>
    <row r="984" spans="1:10" x14ac:dyDescent="0.25">
      <c r="A984" s="1" t="s">
        <v>1880</v>
      </c>
      <c r="B984" t="s">
        <v>1881</v>
      </c>
      <c r="C984" s="1" t="s">
        <v>1894</v>
      </c>
      <c r="D984" s="1" t="s">
        <v>1894</v>
      </c>
      <c r="E984" t="s">
        <v>1895</v>
      </c>
      <c r="F984" s="2" t="s">
        <v>1896</v>
      </c>
      <c r="G984" t="s">
        <v>5</v>
      </c>
      <c r="H984" s="2" t="s">
        <v>1897</v>
      </c>
      <c r="I984" s="2">
        <v>0.21</v>
      </c>
    </row>
    <row r="985" spans="1:10" x14ac:dyDescent="0.25">
      <c r="A985" s="1" t="s">
        <v>1880</v>
      </c>
      <c r="B985" t="s">
        <v>1881</v>
      </c>
      <c r="C985" s="1" t="s">
        <v>1898</v>
      </c>
      <c r="D985" s="1" t="s">
        <v>1898</v>
      </c>
      <c r="E985" t="s">
        <v>1899</v>
      </c>
      <c r="F985" s="2" t="s">
        <v>669</v>
      </c>
      <c r="G985" t="s">
        <v>121</v>
      </c>
      <c r="H985" s="2" t="s">
        <v>50</v>
      </c>
      <c r="I985" s="2">
        <v>18.5</v>
      </c>
    </row>
    <row r="986" spans="1:10" x14ac:dyDescent="0.25">
      <c r="A986" s="1" t="s">
        <v>1880</v>
      </c>
      <c r="B986" t="s">
        <v>1881</v>
      </c>
      <c r="C986" s="1" t="s">
        <v>41</v>
      </c>
      <c r="D986" s="1" t="s">
        <v>41</v>
      </c>
      <c r="E986" t="s">
        <v>42</v>
      </c>
      <c r="F986" s="2" t="s">
        <v>43</v>
      </c>
      <c r="G986" t="s">
        <v>5</v>
      </c>
      <c r="H986" s="2" t="s">
        <v>1900</v>
      </c>
      <c r="I986" s="2">
        <v>0.03</v>
      </c>
    </row>
    <row r="987" spans="1:10" x14ac:dyDescent="0.25">
      <c r="A987" s="1" t="s">
        <v>1880</v>
      </c>
      <c r="B987" t="s">
        <v>1881</v>
      </c>
      <c r="C987" s="1" t="s">
        <v>1901</v>
      </c>
      <c r="D987" s="1" t="s">
        <v>1902</v>
      </c>
      <c r="E987" t="s">
        <v>1903</v>
      </c>
      <c r="F987" s="2" t="s">
        <v>1904</v>
      </c>
      <c r="G987" t="s">
        <v>49</v>
      </c>
      <c r="H987" s="2" t="s">
        <v>50</v>
      </c>
      <c r="I987" s="2">
        <v>27.3</v>
      </c>
      <c r="J987" t="s">
        <v>51</v>
      </c>
    </row>
    <row r="988" spans="1:10" x14ac:dyDescent="0.25">
      <c r="A988" s="1" t="s">
        <v>1880</v>
      </c>
      <c r="B988" t="s">
        <v>1881</v>
      </c>
      <c r="C988" s="1" t="s">
        <v>7</v>
      </c>
      <c r="D988" s="1" t="s">
        <v>7</v>
      </c>
      <c r="E988" t="s">
        <v>8</v>
      </c>
      <c r="F988" s="2" t="s">
        <v>9</v>
      </c>
      <c r="G988" t="s">
        <v>10</v>
      </c>
      <c r="H988" s="2" t="s">
        <v>19</v>
      </c>
      <c r="I988" s="2">
        <v>4.5999999999999996</v>
      </c>
    </row>
    <row r="989" spans="1:10" x14ac:dyDescent="0.25">
      <c r="A989" s="1" t="s">
        <v>1905</v>
      </c>
      <c r="B989" t="s">
        <v>1906</v>
      </c>
      <c r="C989" s="1" t="s">
        <v>1907</v>
      </c>
      <c r="D989" s="1" t="s">
        <v>1907</v>
      </c>
      <c r="E989" t="s">
        <v>1908</v>
      </c>
      <c r="F989" s="2" t="s">
        <v>1909</v>
      </c>
      <c r="G989" t="s">
        <v>39</v>
      </c>
      <c r="H989" s="2" t="s">
        <v>478</v>
      </c>
      <c r="I989" s="2">
        <v>0.91</v>
      </c>
    </row>
    <row r="990" spans="1:10" x14ac:dyDescent="0.25">
      <c r="A990" s="1" t="s">
        <v>1905</v>
      </c>
      <c r="B990" t="s">
        <v>1906</v>
      </c>
      <c r="C990" s="1" t="s">
        <v>41</v>
      </c>
      <c r="D990" s="1" t="s">
        <v>41</v>
      </c>
      <c r="E990" t="s">
        <v>42</v>
      </c>
      <c r="F990" s="2" t="s">
        <v>43</v>
      </c>
      <c r="G990" t="s">
        <v>5</v>
      </c>
      <c r="H990" s="2" t="s">
        <v>1910</v>
      </c>
      <c r="I990" s="2">
        <v>0.04</v>
      </c>
    </row>
    <row r="991" spans="1:10" x14ac:dyDescent="0.25">
      <c r="A991" s="1" t="s">
        <v>1905</v>
      </c>
      <c r="B991" t="s">
        <v>1906</v>
      </c>
      <c r="C991" s="1" t="s">
        <v>1911</v>
      </c>
      <c r="D991" s="1" t="s">
        <v>1911</v>
      </c>
      <c r="E991" t="s">
        <v>1912</v>
      </c>
      <c r="F991" s="2" t="s">
        <v>1598</v>
      </c>
      <c r="G991" t="s">
        <v>49</v>
      </c>
      <c r="H991" s="2" t="s">
        <v>92</v>
      </c>
      <c r="I991" s="2">
        <v>58.5</v>
      </c>
    </row>
    <row r="992" spans="1:10" x14ac:dyDescent="0.25">
      <c r="A992" s="1" t="s">
        <v>1905</v>
      </c>
      <c r="B992" t="s">
        <v>1906</v>
      </c>
      <c r="C992" s="1" t="s">
        <v>1913</v>
      </c>
      <c r="D992" s="1" t="s">
        <v>1913</v>
      </c>
      <c r="E992" t="s">
        <v>1914</v>
      </c>
      <c r="F992" s="2" t="s">
        <v>1588</v>
      </c>
      <c r="G992" t="s">
        <v>49</v>
      </c>
      <c r="H992" s="2" t="s">
        <v>50</v>
      </c>
      <c r="I992" s="2">
        <v>19.5</v>
      </c>
    </row>
    <row r="993" spans="1:9" x14ac:dyDescent="0.25">
      <c r="A993" s="1" t="s">
        <v>1905</v>
      </c>
      <c r="B993" t="s">
        <v>1906</v>
      </c>
      <c r="C993" s="1" t="s">
        <v>1915</v>
      </c>
      <c r="D993" s="1" t="s">
        <v>1915</v>
      </c>
      <c r="E993" t="s">
        <v>1916</v>
      </c>
      <c r="F993" s="2" t="s">
        <v>1917</v>
      </c>
      <c r="G993" t="s">
        <v>49</v>
      </c>
      <c r="H993" s="2" t="s">
        <v>50</v>
      </c>
      <c r="I993" s="2">
        <v>4.75</v>
      </c>
    </row>
    <row r="994" spans="1:9" x14ac:dyDescent="0.25">
      <c r="A994" s="1" t="s">
        <v>1905</v>
      </c>
      <c r="B994" t="s">
        <v>1906</v>
      </c>
      <c r="C994" s="1" t="s">
        <v>7</v>
      </c>
      <c r="D994" s="1" t="s">
        <v>7</v>
      </c>
      <c r="E994" t="s">
        <v>8</v>
      </c>
      <c r="F994" s="2" t="s">
        <v>9</v>
      </c>
      <c r="G994" t="s">
        <v>10</v>
      </c>
      <c r="H994" s="2" t="s">
        <v>1918</v>
      </c>
      <c r="I994" s="2">
        <v>37</v>
      </c>
    </row>
    <row r="995" spans="1:9" x14ac:dyDescent="0.25">
      <c r="A995" s="1" t="s">
        <v>1919</v>
      </c>
      <c r="B995" t="s">
        <v>1920</v>
      </c>
      <c r="C995" s="1" t="s">
        <v>1921</v>
      </c>
      <c r="D995" s="1" t="s">
        <v>1921</v>
      </c>
      <c r="E995" t="s">
        <v>1922</v>
      </c>
      <c r="F995" s="2" t="s">
        <v>1923</v>
      </c>
      <c r="G995" t="s">
        <v>39</v>
      </c>
      <c r="H995" s="2" t="s">
        <v>478</v>
      </c>
      <c r="I995" s="2">
        <v>1.87</v>
      </c>
    </row>
    <row r="996" spans="1:9" x14ac:dyDescent="0.25">
      <c r="A996" s="1" t="s">
        <v>1919</v>
      </c>
      <c r="B996" t="s">
        <v>1920</v>
      </c>
      <c r="C996" s="1" t="s">
        <v>41</v>
      </c>
      <c r="D996" s="1" t="s">
        <v>41</v>
      </c>
      <c r="E996" t="s">
        <v>42</v>
      </c>
      <c r="F996" s="2" t="s">
        <v>513</v>
      </c>
      <c r="G996" t="s">
        <v>5</v>
      </c>
      <c r="H996" s="2" t="s">
        <v>1900</v>
      </c>
      <c r="I996" s="2">
        <v>0.03</v>
      </c>
    </row>
    <row r="997" spans="1:9" x14ac:dyDescent="0.25">
      <c r="A997" s="1" t="s">
        <v>1919</v>
      </c>
      <c r="B997" t="s">
        <v>1920</v>
      </c>
      <c r="C997" s="1" t="s">
        <v>1924</v>
      </c>
      <c r="D997" s="1" t="s">
        <v>1924</v>
      </c>
      <c r="E997" t="s">
        <v>1925</v>
      </c>
      <c r="F997" s="2" t="s">
        <v>1926</v>
      </c>
      <c r="G997" t="s">
        <v>121</v>
      </c>
      <c r="H997" s="2" t="s">
        <v>92</v>
      </c>
      <c r="I997" s="2">
        <v>51.7</v>
      </c>
    </row>
    <row r="998" spans="1:9" x14ac:dyDescent="0.25">
      <c r="A998" s="1" t="s">
        <v>1919</v>
      </c>
      <c r="B998" t="s">
        <v>1920</v>
      </c>
      <c r="C998" s="1" t="s">
        <v>1927</v>
      </c>
      <c r="D998" s="1" t="s">
        <v>1927</v>
      </c>
      <c r="E998" t="s">
        <v>1928</v>
      </c>
      <c r="F998" s="2" t="s">
        <v>1929</v>
      </c>
      <c r="G998" t="s">
        <v>121</v>
      </c>
      <c r="H998" s="2" t="s">
        <v>50</v>
      </c>
      <c r="I998" s="2">
        <v>10.7</v>
      </c>
    </row>
    <row r="999" spans="1:9" x14ac:dyDescent="0.25">
      <c r="A999" s="1" t="s">
        <v>1919</v>
      </c>
      <c r="B999" t="s">
        <v>1920</v>
      </c>
      <c r="C999" s="1" t="s">
        <v>1930</v>
      </c>
      <c r="D999" s="1" t="s">
        <v>1930</v>
      </c>
      <c r="E999" t="s">
        <v>1931</v>
      </c>
      <c r="F999" s="2" t="s">
        <v>1932</v>
      </c>
      <c r="G999" t="s">
        <v>121</v>
      </c>
      <c r="H999" s="2" t="s">
        <v>50</v>
      </c>
      <c r="I999" s="2">
        <v>1.85</v>
      </c>
    </row>
    <row r="1000" spans="1:9" x14ac:dyDescent="0.25">
      <c r="A1000" s="1" t="s">
        <v>1919</v>
      </c>
      <c r="B1000" t="s">
        <v>1920</v>
      </c>
      <c r="C1000" s="1" t="s">
        <v>7</v>
      </c>
      <c r="D1000" s="1" t="s">
        <v>7</v>
      </c>
      <c r="E1000" t="s">
        <v>8</v>
      </c>
      <c r="F1000" s="2" t="s">
        <v>9</v>
      </c>
      <c r="G1000" t="s">
        <v>10</v>
      </c>
      <c r="H1000" s="2" t="s">
        <v>33</v>
      </c>
      <c r="I1000" s="2">
        <v>9.1999999999999993</v>
      </c>
    </row>
    <row r="1001" spans="1:9" x14ac:dyDescent="0.25">
      <c r="A1001" s="1" t="s">
        <v>1919</v>
      </c>
      <c r="B1001" t="s">
        <v>1920</v>
      </c>
      <c r="C1001" s="1" t="s">
        <v>7</v>
      </c>
      <c r="D1001" s="1" t="s">
        <v>7</v>
      </c>
      <c r="E1001" t="s">
        <v>8</v>
      </c>
      <c r="F1001" s="2" t="s">
        <v>9</v>
      </c>
      <c r="G1001" t="s">
        <v>10</v>
      </c>
      <c r="H1001" s="2" t="s">
        <v>367</v>
      </c>
      <c r="I1001" s="2">
        <v>2.2999999999999998</v>
      </c>
    </row>
    <row r="1002" spans="1:9" x14ac:dyDescent="0.25">
      <c r="A1002" s="1" t="s">
        <v>1933</v>
      </c>
      <c r="B1002" t="s">
        <v>1934</v>
      </c>
      <c r="C1002" s="1" t="s">
        <v>1921</v>
      </c>
      <c r="D1002" s="1" t="s">
        <v>1921</v>
      </c>
      <c r="E1002" t="s">
        <v>1922</v>
      </c>
      <c r="F1002" s="2" t="s">
        <v>1923</v>
      </c>
      <c r="G1002" t="s">
        <v>39</v>
      </c>
      <c r="H1002" s="2" t="s">
        <v>478</v>
      </c>
      <c r="I1002" s="2">
        <v>1.87</v>
      </c>
    </row>
    <row r="1003" spans="1:9" x14ac:dyDescent="0.25">
      <c r="A1003" s="1" t="s">
        <v>1933</v>
      </c>
      <c r="B1003" t="s">
        <v>1934</v>
      </c>
      <c r="C1003" s="1" t="s">
        <v>41</v>
      </c>
      <c r="D1003" s="1" t="s">
        <v>41</v>
      </c>
      <c r="E1003" t="s">
        <v>42</v>
      </c>
      <c r="F1003" s="2" t="s">
        <v>513</v>
      </c>
      <c r="G1003" t="s">
        <v>5</v>
      </c>
      <c r="H1003" s="2" t="s">
        <v>1900</v>
      </c>
      <c r="I1003" s="2">
        <v>0.03</v>
      </c>
    </row>
    <row r="1004" spans="1:9" x14ac:dyDescent="0.25">
      <c r="A1004" s="1" t="s">
        <v>1933</v>
      </c>
      <c r="B1004" t="s">
        <v>1934</v>
      </c>
      <c r="C1004" s="1" t="s">
        <v>1935</v>
      </c>
      <c r="D1004" s="1" t="s">
        <v>1935</v>
      </c>
      <c r="E1004" t="s">
        <v>1936</v>
      </c>
      <c r="F1004" s="2" t="s">
        <v>1937</v>
      </c>
      <c r="G1004" t="s">
        <v>121</v>
      </c>
      <c r="H1004" s="2" t="s">
        <v>92</v>
      </c>
      <c r="I1004" s="2">
        <v>45.6</v>
      </c>
    </row>
    <row r="1005" spans="1:9" x14ac:dyDescent="0.25">
      <c r="A1005" s="1" t="s">
        <v>1933</v>
      </c>
      <c r="B1005" t="s">
        <v>1934</v>
      </c>
      <c r="C1005" s="1" t="s">
        <v>1938</v>
      </c>
      <c r="D1005" s="1" t="s">
        <v>1938</v>
      </c>
      <c r="E1005" t="s">
        <v>1939</v>
      </c>
      <c r="F1005" s="2" t="s">
        <v>1940</v>
      </c>
      <c r="G1005" t="s">
        <v>121</v>
      </c>
      <c r="H1005" s="2" t="s">
        <v>50</v>
      </c>
      <c r="I1005" s="2">
        <v>14.6</v>
      </c>
    </row>
    <row r="1006" spans="1:9" x14ac:dyDescent="0.25">
      <c r="A1006" s="1" t="s">
        <v>1933</v>
      </c>
      <c r="B1006" t="s">
        <v>1934</v>
      </c>
      <c r="C1006" s="1" t="s">
        <v>1941</v>
      </c>
      <c r="D1006" s="1" t="s">
        <v>1941</v>
      </c>
      <c r="E1006" t="s">
        <v>1942</v>
      </c>
      <c r="F1006" s="2" t="s">
        <v>336</v>
      </c>
      <c r="G1006" t="s">
        <v>121</v>
      </c>
      <c r="H1006" s="2" t="s">
        <v>50</v>
      </c>
      <c r="I1006" s="2">
        <v>2.6</v>
      </c>
    </row>
    <row r="1007" spans="1:9" x14ac:dyDescent="0.25">
      <c r="A1007" s="1" t="s">
        <v>1933</v>
      </c>
      <c r="B1007" t="s">
        <v>1934</v>
      </c>
      <c r="C1007" s="1" t="s">
        <v>7</v>
      </c>
      <c r="D1007" s="1" t="s">
        <v>7</v>
      </c>
      <c r="E1007" t="s">
        <v>8</v>
      </c>
      <c r="F1007" s="2" t="s">
        <v>9</v>
      </c>
      <c r="G1007" t="s">
        <v>10</v>
      </c>
      <c r="H1007" s="2" t="s">
        <v>367</v>
      </c>
      <c r="I1007" s="2">
        <v>2.2999999999999998</v>
      </c>
    </row>
    <row r="1008" spans="1:9" x14ac:dyDescent="0.25">
      <c r="A1008" s="1" t="s">
        <v>1933</v>
      </c>
      <c r="B1008" t="s">
        <v>1934</v>
      </c>
      <c r="C1008" s="1" t="s">
        <v>7</v>
      </c>
      <c r="D1008" s="1" t="s">
        <v>7</v>
      </c>
      <c r="E1008" t="s">
        <v>8</v>
      </c>
      <c r="F1008" s="2" t="s">
        <v>9</v>
      </c>
      <c r="G1008" t="s">
        <v>10</v>
      </c>
      <c r="H1008" s="2" t="s">
        <v>33</v>
      </c>
      <c r="I1008" s="2">
        <v>9.1999999999999993</v>
      </c>
    </row>
    <row r="1009" spans="1:9" x14ac:dyDescent="0.25">
      <c r="A1009" s="1" t="s">
        <v>451</v>
      </c>
      <c r="B1009" t="s">
        <v>452</v>
      </c>
      <c r="C1009" s="1" t="s">
        <v>1094</v>
      </c>
      <c r="D1009" s="1" t="s">
        <v>1094</v>
      </c>
      <c r="E1009" t="s">
        <v>1095</v>
      </c>
      <c r="F1009" s="2" t="s">
        <v>887</v>
      </c>
      <c r="G1009" t="s">
        <v>5</v>
      </c>
      <c r="H1009" s="2" t="s">
        <v>1254</v>
      </c>
      <c r="I1009" s="2">
        <v>9.8000000000000007</v>
      </c>
    </row>
    <row r="1010" spans="1:9" x14ac:dyDescent="0.25">
      <c r="A1010" s="1" t="s">
        <v>451</v>
      </c>
      <c r="B1010" t="s">
        <v>452</v>
      </c>
      <c r="C1010" s="1" t="s">
        <v>7</v>
      </c>
      <c r="D1010" s="1" t="s">
        <v>7</v>
      </c>
      <c r="E1010" t="s">
        <v>8</v>
      </c>
      <c r="F1010" s="2" t="s">
        <v>9</v>
      </c>
      <c r="G1010" t="s">
        <v>10</v>
      </c>
      <c r="H1010" s="2" t="s">
        <v>1943</v>
      </c>
      <c r="I1010" s="2">
        <v>7.1</v>
      </c>
    </row>
    <row r="1011" spans="1:9" x14ac:dyDescent="0.25">
      <c r="A1011" s="1" t="s">
        <v>1944</v>
      </c>
      <c r="B1011" t="s">
        <v>1945</v>
      </c>
      <c r="C1011" s="1" t="s">
        <v>1921</v>
      </c>
      <c r="D1011" s="1" t="s">
        <v>1921</v>
      </c>
      <c r="E1011" t="s">
        <v>1922</v>
      </c>
      <c r="F1011" s="2" t="s">
        <v>1923</v>
      </c>
      <c r="G1011" t="s">
        <v>39</v>
      </c>
      <c r="H1011" s="2" t="s">
        <v>478</v>
      </c>
      <c r="I1011" s="2">
        <v>1.87</v>
      </c>
    </row>
    <row r="1012" spans="1:9" x14ac:dyDescent="0.25">
      <c r="A1012" s="1" t="s">
        <v>1944</v>
      </c>
      <c r="B1012" t="s">
        <v>1945</v>
      </c>
      <c r="C1012" s="1" t="s">
        <v>41</v>
      </c>
      <c r="D1012" s="1" t="s">
        <v>41</v>
      </c>
      <c r="E1012" t="s">
        <v>42</v>
      </c>
      <c r="F1012" s="2" t="s">
        <v>43</v>
      </c>
      <c r="G1012" t="s">
        <v>5</v>
      </c>
      <c r="H1012" s="2" t="s">
        <v>1946</v>
      </c>
      <c r="I1012" s="2">
        <v>0.04</v>
      </c>
    </row>
    <row r="1013" spans="1:9" x14ac:dyDescent="0.25">
      <c r="A1013" s="1" t="s">
        <v>1944</v>
      </c>
      <c r="B1013" t="s">
        <v>1945</v>
      </c>
      <c r="C1013" s="1" t="s">
        <v>1947</v>
      </c>
      <c r="D1013" s="1" t="s">
        <v>1947</v>
      </c>
      <c r="E1013" t="s">
        <v>1948</v>
      </c>
      <c r="F1013" s="2" t="s">
        <v>1949</v>
      </c>
      <c r="G1013" t="s">
        <v>121</v>
      </c>
      <c r="H1013" s="2" t="s">
        <v>92</v>
      </c>
      <c r="I1013" s="2">
        <v>39.5</v>
      </c>
    </row>
    <row r="1014" spans="1:9" x14ac:dyDescent="0.25">
      <c r="A1014" s="1" t="s">
        <v>1944</v>
      </c>
      <c r="B1014" t="s">
        <v>1945</v>
      </c>
      <c r="C1014" s="1" t="s">
        <v>1950</v>
      </c>
      <c r="D1014" s="1" t="s">
        <v>1950</v>
      </c>
      <c r="E1014" t="s">
        <v>1951</v>
      </c>
      <c r="F1014" s="2" t="s">
        <v>165</v>
      </c>
      <c r="G1014" t="s">
        <v>121</v>
      </c>
      <c r="H1014" s="2" t="s">
        <v>50</v>
      </c>
      <c r="I1014" s="2">
        <v>13.7</v>
      </c>
    </row>
    <row r="1015" spans="1:9" x14ac:dyDescent="0.25">
      <c r="A1015" s="1" t="s">
        <v>1944</v>
      </c>
      <c r="B1015" t="s">
        <v>1945</v>
      </c>
      <c r="C1015" s="1" t="s">
        <v>1952</v>
      </c>
      <c r="D1015" s="1" t="s">
        <v>1952</v>
      </c>
      <c r="E1015" t="s">
        <v>1953</v>
      </c>
      <c r="F1015" s="2" t="s">
        <v>1884</v>
      </c>
      <c r="G1015" t="s">
        <v>121</v>
      </c>
      <c r="H1015" s="2" t="s">
        <v>50</v>
      </c>
      <c r="I1015" s="2">
        <v>9.6</v>
      </c>
    </row>
    <row r="1016" spans="1:9" x14ac:dyDescent="0.25">
      <c r="A1016" s="1" t="s">
        <v>1944</v>
      </c>
      <c r="B1016" t="s">
        <v>1945</v>
      </c>
      <c r="C1016" s="1" t="s">
        <v>7</v>
      </c>
      <c r="D1016" s="1" t="s">
        <v>7</v>
      </c>
      <c r="E1016" t="s">
        <v>8</v>
      </c>
      <c r="F1016" s="2" t="s">
        <v>9</v>
      </c>
      <c r="G1016" t="s">
        <v>10</v>
      </c>
      <c r="H1016" s="2" t="s">
        <v>33</v>
      </c>
      <c r="I1016" s="2">
        <v>9.1999999999999993</v>
      </c>
    </row>
    <row r="1017" spans="1:9" x14ac:dyDescent="0.25">
      <c r="A1017" s="1" t="s">
        <v>1944</v>
      </c>
      <c r="B1017" t="s">
        <v>1945</v>
      </c>
      <c r="C1017" s="1" t="s">
        <v>7</v>
      </c>
      <c r="D1017" s="1" t="s">
        <v>7</v>
      </c>
      <c r="E1017" t="s">
        <v>8</v>
      </c>
      <c r="F1017" s="2" t="s">
        <v>9</v>
      </c>
      <c r="G1017" t="s">
        <v>10</v>
      </c>
      <c r="H1017" s="2" t="s">
        <v>19</v>
      </c>
      <c r="I1017" s="2">
        <v>4.5999999999999996</v>
      </c>
    </row>
    <row r="1018" spans="1:9" x14ac:dyDescent="0.25">
      <c r="A1018" s="1" t="s">
        <v>1954</v>
      </c>
      <c r="B1018" t="s">
        <v>1955</v>
      </c>
      <c r="C1018" s="1" t="s">
        <v>1956</v>
      </c>
      <c r="D1018" s="1" t="s">
        <v>1956</v>
      </c>
      <c r="E1018" t="s">
        <v>1957</v>
      </c>
      <c r="F1018" s="2" t="s">
        <v>1958</v>
      </c>
      <c r="G1018" t="s">
        <v>121</v>
      </c>
      <c r="H1018" s="2" t="s">
        <v>50</v>
      </c>
      <c r="I1018" s="2">
        <v>364</v>
      </c>
    </row>
    <row r="1019" spans="1:9" x14ac:dyDescent="0.25">
      <c r="A1019" s="1" t="s">
        <v>1954</v>
      </c>
      <c r="B1019" t="s">
        <v>1955</v>
      </c>
      <c r="C1019" s="1" t="s">
        <v>1074</v>
      </c>
      <c r="D1019" s="1" t="s">
        <v>1074</v>
      </c>
      <c r="E1019" t="s">
        <v>1075</v>
      </c>
      <c r="F1019" s="2" t="s">
        <v>1076</v>
      </c>
      <c r="G1019" t="s">
        <v>5</v>
      </c>
      <c r="H1019" s="2" t="s">
        <v>605</v>
      </c>
      <c r="I1019" s="2">
        <v>0.27</v>
      </c>
    </row>
    <row r="1020" spans="1:9" x14ac:dyDescent="0.25">
      <c r="A1020" s="1" t="s">
        <v>1954</v>
      </c>
      <c r="B1020" t="s">
        <v>1955</v>
      </c>
      <c r="C1020" s="1" t="s">
        <v>1959</v>
      </c>
      <c r="D1020" s="1" t="s">
        <v>1959</v>
      </c>
      <c r="E1020" t="s">
        <v>1960</v>
      </c>
      <c r="F1020" s="2" t="s">
        <v>131</v>
      </c>
      <c r="G1020" t="s">
        <v>5</v>
      </c>
      <c r="H1020" s="2" t="s">
        <v>1961</v>
      </c>
      <c r="I1020" s="2">
        <v>1.65</v>
      </c>
    </row>
    <row r="1021" spans="1:9" x14ac:dyDescent="0.25">
      <c r="A1021" s="1" t="s">
        <v>1954</v>
      </c>
      <c r="B1021" t="s">
        <v>1955</v>
      </c>
      <c r="C1021" s="1" t="s">
        <v>1962</v>
      </c>
      <c r="D1021" s="1" t="s">
        <v>1962</v>
      </c>
      <c r="E1021" t="s">
        <v>1963</v>
      </c>
      <c r="F1021" s="2" t="s">
        <v>1964</v>
      </c>
      <c r="G1021" t="s">
        <v>1965</v>
      </c>
      <c r="H1021" s="2" t="s">
        <v>40</v>
      </c>
      <c r="I1021" s="2">
        <v>0.15</v>
      </c>
    </row>
    <row r="1022" spans="1:9" x14ac:dyDescent="0.25">
      <c r="A1022" s="1" t="s">
        <v>1954</v>
      </c>
      <c r="B1022" t="s">
        <v>1955</v>
      </c>
      <c r="C1022" s="1" t="s">
        <v>479</v>
      </c>
      <c r="D1022" s="1" t="s">
        <v>479</v>
      </c>
      <c r="E1022" t="s">
        <v>480</v>
      </c>
      <c r="F1022" s="2" t="s">
        <v>481</v>
      </c>
      <c r="G1022" t="s">
        <v>5</v>
      </c>
      <c r="H1022" s="2" t="s">
        <v>1966</v>
      </c>
      <c r="I1022" s="2">
        <v>0.33</v>
      </c>
    </row>
    <row r="1023" spans="1:9" x14ac:dyDescent="0.25">
      <c r="A1023" s="1" t="s">
        <v>1954</v>
      </c>
      <c r="B1023" t="s">
        <v>1955</v>
      </c>
      <c r="C1023" s="1" t="s">
        <v>628</v>
      </c>
      <c r="D1023" s="1" t="s">
        <v>628</v>
      </c>
      <c r="E1023" t="s">
        <v>629</v>
      </c>
      <c r="F1023" s="2" t="s">
        <v>698</v>
      </c>
      <c r="G1023" t="s">
        <v>5</v>
      </c>
      <c r="H1023" s="2" t="s">
        <v>1967</v>
      </c>
      <c r="I1023" s="2">
        <v>0.46</v>
      </c>
    </row>
    <row r="1024" spans="1:9" x14ac:dyDescent="0.25">
      <c r="A1024" s="1" t="s">
        <v>1954</v>
      </c>
      <c r="B1024" t="s">
        <v>1955</v>
      </c>
      <c r="C1024" s="1" t="s">
        <v>1968</v>
      </c>
      <c r="D1024" s="1" t="s">
        <v>1968</v>
      </c>
      <c r="E1024" t="s">
        <v>1969</v>
      </c>
      <c r="F1024" s="2" t="s">
        <v>1970</v>
      </c>
      <c r="G1024" t="s">
        <v>5</v>
      </c>
      <c r="H1024" s="2" t="s">
        <v>40</v>
      </c>
      <c r="I1024" s="2">
        <v>0.13</v>
      </c>
    </row>
    <row r="1025" spans="1:10" x14ac:dyDescent="0.25">
      <c r="A1025" s="1" t="s">
        <v>1954</v>
      </c>
      <c r="B1025" t="s">
        <v>1955</v>
      </c>
      <c r="C1025" s="1" t="s">
        <v>1971</v>
      </c>
      <c r="D1025" s="1" t="s">
        <v>1971</v>
      </c>
      <c r="E1025" t="s">
        <v>1972</v>
      </c>
      <c r="F1025" s="2" t="s">
        <v>1005</v>
      </c>
      <c r="G1025" t="s">
        <v>5</v>
      </c>
      <c r="H1025" s="2" t="s">
        <v>1973</v>
      </c>
      <c r="I1025" s="2">
        <v>1.42</v>
      </c>
    </row>
    <row r="1026" spans="1:10" x14ac:dyDescent="0.25">
      <c r="A1026" s="1" t="s">
        <v>1954</v>
      </c>
      <c r="B1026" t="s">
        <v>1955</v>
      </c>
      <c r="C1026" s="1" t="s">
        <v>1974</v>
      </c>
      <c r="D1026" s="1" t="s">
        <v>1974</v>
      </c>
      <c r="E1026" t="s">
        <v>1975</v>
      </c>
      <c r="F1026" s="2" t="s">
        <v>1479</v>
      </c>
      <c r="G1026" t="s">
        <v>121</v>
      </c>
      <c r="H1026" s="2" t="s">
        <v>1976</v>
      </c>
      <c r="I1026" s="2">
        <v>4.3899999999999997</v>
      </c>
    </row>
    <row r="1027" spans="1:10" x14ac:dyDescent="0.25">
      <c r="A1027" s="1" t="s">
        <v>1954</v>
      </c>
      <c r="B1027" t="s">
        <v>1955</v>
      </c>
      <c r="C1027" s="1" t="s">
        <v>41</v>
      </c>
      <c r="D1027" s="1" t="s">
        <v>41</v>
      </c>
      <c r="E1027" t="s">
        <v>42</v>
      </c>
      <c r="F1027" s="2" t="s">
        <v>43</v>
      </c>
      <c r="G1027" t="s">
        <v>5</v>
      </c>
      <c r="H1027" s="2" t="s">
        <v>227</v>
      </c>
      <c r="I1027" s="2">
        <v>0.01</v>
      </c>
    </row>
    <row r="1028" spans="1:10" x14ac:dyDescent="0.25">
      <c r="A1028" s="1" t="s">
        <v>1954</v>
      </c>
      <c r="B1028" t="s">
        <v>1955</v>
      </c>
      <c r="C1028" s="1" t="s">
        <v>1977</v>
      </c>
      <c r="D1028" s="1" t="s">
        <v>1977</v>
      </c>
      <c r="E1028" t="s">
        <v>1978</v>
      </c>
      <c r="F1028" s="2" t="s">
        <v>1090</v>
      </c>
      <c r="G1028" t="s">
        <v>121</v>
      </c>
      <c r="H1028" s="2" t="s">
        <v>50</v>
      </c>
      <c r="I1028" s="2">
        <v>0.1</v>
      </c>
    </row>
    <row r="1029" spans="1:10" x14ac:dyDescent="0.25">
      <c r="A1029" s="1" t="s">
        <v>1954</v>
      </c>
      <c r="B1029" t="s">
        <v>1955</v>
      </c>
      <c r="C1029" s="1" t="s">
        <v>1979</v>
      </c>
      <c r="D1029" s="1" t="s">
        <v>1979</v>
      </c>
      <c r="E1029" t="s">
        <v>1978</v>
      </c>
      <c r="F1029" s="2" t="s">
        <v>1090</v>
      </c>
      <c r="G1029" t="s">
        <v>121</v>
      </c>
      <c r="H1029" s="2" t="s">
        <v>50</v>
      </c>
      <c r="I1029" s="2">
        <v>0.1</v>
      </c>
    </row>
    <row r="1030" spans="1:10" x14ac:dyDescent="0.25">
      <c r="A1030" s="1" t="s">
        <v>1954</v>
      </c>
      <c r="B1030" t="s">
        <v>1955</v>
      </c>
      <c r="C1030" s="1" t="s">
        <v>1980</v>
      </c>
      <c r="D1030" s="1" t="s">
        <v>1980</v>
      </c>
      <c r="E1030" t="s">
        <v>1981</v>
      </c>
      <c r="F1030" s="2" t="s">
        <v>1982</v>
      </c>
      <c r="G1030" t="s">
        <v>49</v>
      </c>
      <c r="H1030" s="2" t="s">
        <v>50</v>
      </c>
      <c r="I1030" s="2">
        <v>115</v>
      </c>
      <c r="J1030" t="s">
        <v>55</v>
      </c>
    </row>
    <row r="1031" spans="1:10" x14ac:dyDescent="0.25">
      <c r="A1031" s="1" t="s">
        <v>1954</v>
      </c>
      <c r="B1031" t="s">
        <v>1955</v>
      </c>
      <c r="C1031" s="1" t="s">
        <v>1983</v>
      </c>
      <c r="D1031" s="1" t="s">
        <v>1983</v>
      </c>
      <c r="E1031" t="s">
        <v>1984</v>
      </c>
      <c r="F1031" s="2" t="s">
        <v>1985</v>
      </c>
      <c r="G1031" t="s">
        <v>49</v>
      </c>
      <c r="H1031" s="2" t="s">
        <v>50</v>
      </c>
      <c r="I1031" s="2">
        <v>127</v>
      </c>
      <c r="J1031" t="s">
        <v>55</v>
      </c>
    </row>
    <row r="1032" spans="1:10" x14ac:dyDescent="0.25">
      <c r="A1032" s="1" t="s">
        <v>1954</v>
      </c>
      <c r="B1032" t="s">
        <v>1955</v>
      </c>
      <c r="C1032" s="1" t="s">
        <v>1986</v>
      </c>
      <c r="D1032" s="1" t="s">
        <v>1986</v>
      </c>
      <c r="E1032" t="s">
        <v>1987</v>
      </c>
      <c r="F1032" s="2" t="s">
        <v>1988</v>
      </c>
      <c r="G1032" t="s">
        <v>49</v>
      </c>
      <c r="H1032" s="2" t="s">
        <v>50</v>
      </c>
      <c r="I1032" s="2">
        <v>114</v>
      </c>
      <c r="J1032" t="s">
        <v>55</v>
      </c>
    </row>
    <row r="1033" spans="1:10" x14ac:dyDescent="0.25">
      <c r="A1033" s="1" t="s">
        <v>1954</v>
      </c>
      <c r="B1033" t="s">
        <v>1955</v>
      </c>
      <c r="C1033" s="1" t="s">
        <v>1989</v>
      </c>
      <c r="D1033" s="1" t="s">
        <v>1989</v>
      </c>
      <c r="E1033" t="s">
        <v>1990</v>
      </c>
      <c r="F1033" s="2" t="s">
        <v>1991</v>
      </c>
      <c r="G1033" t="s">
        <v>435</v>
      </c>
      <c r="H1033" s="2" t="s">
        <v>1992</v>
      </c>
      <c r="I1033" s="2">
        <v>26.4</v>
      </c>
    </row>
    <row r="1034" spans="1:10" x14ac:dyDescent="0.25">
      <c r="A1034" s="1" t="s">
        <v>1954</v>
      </c>
      <c r="B1034" t="s">
        <v>1955</v>
      </c>
      <c r="C1034" s="1" t="s">
        <v>7</v>
      </c>
      <c r="D1034" s="1" t="s">
        <v>7</v>
      </c>
      <c r="E1034" t="s">
        <v>8</v>
      </c>
      <c r="F1034" s="2" t="s">
        <v>9</v>
      </c>
      <c r="G1034" t="s">
        <v>10</v>
      </c>
      <c r="H1034" s="2" t="s">
        <v>1993</v>
      </c>
      <c r="I1034" s="2">
        <v>100</v>
      </c>
    </row>
    <row r="1035" spans="1:10" x14ac:dyDescent="0.25">
      <c r="A1035" s="1" t="s">
        <v>1994</v>
      </c>
      <c r="B1035" t="s">
        <v>1995</v>
      </c>
      <c r="C1035" s="1" t="s">
        <v>1996</v>
      </c>
      <c r="D1035" s="1" t="s">
        <v>1996</v>
      </c>
      <c r="E1035" t="s">
        <v>1997</v>
      </c>
      <c r="F1035" s="2" t="s">
        <v>1998</v>
      </c>
      <c r="G1035" t="s">
        <v>49</v>
      </c>
      <c r="H1035" s="2" t="s">
        <v>50</v>
      </c>
      <c r="I1035" s="2">
        <v>680</v>
      </c>
    </row>
    <row r="1036" spans="1:10" x14ac:dyDescent="0.25">
      <c r="A1036" s="1" t="s">
        <v>1994</v>
      </c>
      <c r="B1036" t="s">
        <v>1995</v>
      </c>
      <c r="C1036" s="1" t="s">
        <v>1999</v>
      </c>
      <c r="D1036" s="1" t="s">
        <v>1999</v>
      </c>
      <c r="E1036" t="s">
        <v>2000</v>
      </c>
      <c r="F1036" s="2" t="s">
        <v>2001</v>
      </c>
      <c r="G1036" t="s">
        <v>49</v>
      </c>
      <c r="H1036" s="2" t="s">
        <v>2002</v>
      </c>
      <c r="I1036" s="2">
        <v>0</v>
      </c>
    </row>
    <row r="1037" spans="1:10" x14ac:dyDescent="0.25">
      <c r="A1037" s="1" t="s">
        <v>1994</v>
      </c>
      <c r="B1037" t="s">
        <v>1995</v>
      </c>
      <c r="C1037" s="1" t="s">
        <v>623</v>
      </c>
      <c r="D1037" s="1" t="s">
        <v>623</v>
      </c>
      <c r="E1037" t="s">
        <v>624</v>
      </c>
      <c r="F1037" s="2" t="s">
        <v>589</v>
      </c>
      <c r="G1037" t="s">
        <v>5</v>
      </c>
      <c r="H1037" s="2" t="s">
        <v>2003</v>
      </c>
      <c r="I1037" s="2">
        <v>0.14000000000000001</v>
      </c>
    </row>
    <row r="1038" spans="1:10" x14ac:dyDescent="0.25">
      <c r="A1038" s="1" t="s">
        <v>1994</v>
      </c>
      <c r="B1038" t="s">
        <v>1995</v>
      </c>
      <c r="C1038" s="1" t="s">
        <v>2004</v>
      </c>
      <c r="D1038" s="1" t="s">
        <v>2004</v>
      </c>
      <c r="E1038" t="s">
        <v>2005</v>
      </c>
      <c r="F1038" s="2" t="s">
        <v>2006</v>
      </c>
      <c r="G1038" t="s">
        <v>5</v>
      </c>
      <c r="H1038" s="2" t="s">
        <v>558</v>
      </c>
      <c r="I1038" s="2">
        <v>1.63</v>
      </c>
    </row>
    <row r="1039" spans="1:10" x14ac:dyDescent="0.25">
      <c r="A1039" s="1" t="s">
        <v>1994</v>
      </c>
      <c r="B1039" t="s">
        <v>1995</v>
      </c>
      <c r="C1039" s="1" t="s">
        <v>479</v>
      </c>
      <c r="D1039" s="1" t="s">
        <v>479</v>
      </c>
      <c r="E1039" t="s">
        <v>480</v>
      </c>
      <c r="F1039" s="2" t="s">
        <v>481</v>
      </c>
      <c r="G1039" t="s">
        <v>5</v>
      </c>
      <c r="H1039" s="2" t="s">
        <v>1119</v>
      </c>
      <c r="I1039" s="2">
        <v>0.35</v>
      </c>
    </row>
    <row r="1040" spans="1:10" x14ac:dyDescent="0.25">
      <c r="A1040" s="1" t="s">
        <v>1994</v>
      </c>
      <c r="B1040" t="s">
        <v>1995</v>
      </c>
      <c r="C1040" s="1" t="s">
        <v>2007</v>
      </c>
      <c r="D1040" s="1" t="s">
        <v>2007</v>
      </c>
      <c r="E1040" t="s">
        <v>2008</v>
      </c>
      <c r="F1040" s="2" t="s">
        <v>417</v>
      </c>
      <c r="G1040" t="s">
        <v>5</v>
      </c>
      <c r="H1040" s="2" t="s">
        <v>25</v>
      </c>
      <c r="I1040" s="2">
        <v>0.44</v>
      </c>
    </row>
    <row r="1041" spans="1:10" x14ac:dyDescent="0.25">
      <c r="A1041" s="1" t="s">
        <v>1994</v>
      </c>
      <c r="B1041" t="s">
        <v>1995</v>
      </c>
      <c r="C1041" s="1" t="s">
        <v>2009</v>
      </c>
      <c r="D1041" s="1" t="s">
        <v>2009</v>
      </c>
      <c r="E1041" t="s">
        <v>2010</v>
      </c>
      <c r="F1041" s="2" t="s">
        <v>274</v>
      </c>
      <c r="G1041" t="s">
        <v>5</v>
      </c>
      <c r="H1041" s="2" t="s">
        <v>2011</v>
      </c>
      <c r="I1041" s="2">
        <v>0.18</v>
      </c>
    </row>
    <row r="1042" spans="1:10" x14ac:dyDescent="0.25">
      <c r="A1042" s="1" t="s">
        <v>1994</v>
      </c>
      <c r="B1042" t="s">
        <v>1995</v>
      </c>
      <c r="C1042" s="1" t="s">
        <v>628</v>
      </c>
      <c r="D1042" s="1" t="s">
        <v>628</v>
      </c>
      <c r="E1042" t="s">
        <v>629</v>
      </c>
      <c r="F1042" s="2" t="s">
        <v>698</v>
      </c>
      <c r="G1042" t="s">
        <v>5</v>
      </c>
      <c r="H1042" s="2" t="s">
        <v>2012</v>
      </c>
      <c r="I1042" s="2">
        <v>0.48</v>
      </c>
    </row>
    <row r="1043" spans="1:10" x14ac:dyDescent="0.25">
      <c r="A1043" s="1" t="s">
        <v>1994</v>
      </c>
      <c r="B1043" t="s">
        <v>1995</v>
      </c>
      <c r="C1043" s="1" t="s">
        <v>1971</v>
      </c>
      <c r="D1043" s="1" t="s">
        <v>1971</v>
      </c>
      <c r="E1043" t="s">
        <v>1972</v>
      </c>
      <c r="F1043" s="2" t="s">
        <v>1005</v>
      </c>
      <c r="G1043" t="s">
        <v>5</v>
      </c>
      <c r="H1043" s="2" t="s">
        <v>2013</v>
      </c>
      <c r="I1043" s="2">
        <v>1.5</v>
      </c>
    </row>
    <row r="1044" spans="1:10" x14ac:dyDescent="0.25">
      <c r="A1044" s="1" t="s">
        <v>1994</v>
      </c>
      <c r="B1044" t="s">
        <v>1995</v>
      </c>
      <c r="C1044" s="1" t="s">
        <v>1974</v>
      </c>
      <c r="D1044" s="1" t="s">
        <v>1974</v>
      </c>
      <c r="E1044" t="s">
        <v>2014</v>
      </c>
      <c r="F1044" s="2" t="s">
        <v>1479</v>
      </c>
      <c r="G1044" t="s">
        <v>121</v>
      </c>
      <c r="H1044" s="2" t="s">
        <v>2015</v>
      </c>
      <c r="I1044" s="2">
        <v>3.28</v>
      </c>
    </row>
    <row r="1045" spans="1:10" x14ac:dyDescent="0.25">
      <c r="A1045" s="1" t="s">
        <v>1994</v>
      </c>
      <c r="B1045" t="s">
        <v>1995</v>
      </c>
      <c r="C1045" s="1" t="s">
        <v>41</v>
      </c>
      <c r="D1045" s="1" t="s">
        <v>41</v>
      </c>
      <c r="E1045" t="s">
        <v>42</v>
      </c>
      <c r="F1045" s="2" t="s">
        <v>43</v>
      </c>
      <c r="G1045" t="s">
        <v>5</v>
      </c>
      <c r="H1045" s="2" t="s">
        <v>227</v>
      </c>
      <c r="I1045" s="2">
        <v>0.01</v>
      </c>
    </row>
    <row r="1046" spans="1:10" x14ac:dyDescent="0.25">
      <c r="A1046" s="1" t="s">
        <v>1994</v>
      </c>
      <c r="B1046" t="s">
        <v>1995</v>
      </c>
      <c r="C1046" s="1" t="s">
        <v>1977</v>
      </c>
      <c r="D1046" s="1" t="s">
        <v>1977</v>
      </c>
      <c r="E1046" t="s">
        <v>1978</v>
      </c>
      <c r="F1046" s="2" t="s">
        <v>1090</v>
      </c>
      <c r="G1046" t="s">
        <v>121</v>
      </c>
      <c r="H1046" s="2" t="s">
        <v>50</v>
      </c>
      <c r="I1046" s="2">
        <v>0.1</v>
      </c>
    </row>
    <row r="1047" spans="1:10" x14ac:dyDescent="0.25">
      <c r="A1047" s="1" t="s">
        <v>1994</v>
      </c>
      <c r="B1047" t="s">
        <v>1995</v>
      </c>
      <c r="C1047" s="1" t="s">
        <v>1979</v>
      </c>
      <c r="D1047" s="1" t="s">
        <v>1979</v>
      </c>
      <c r="E1047" t="s">
        <v>1978</v>
      </c>
      <c r="F1047" s="2" t="s">
        <v>1090</v>
      </c>
      <c r="G1047" t="s">
        <v>121</v>
      </c>
      <c r="H1047" s="2" t="s">
        <v>50</v>
      </c>
      <c r="I1047" s="2">
        <v>0.1</v>
      </c>
    </row>
    <row r="1048" spans="1:10" x14ac:dyDescent="0.25">
      <c r="A1048" s="1" t="s">
        <v>1994</v>
      </c>
      <c r="B1048" t="s">
        <v>1995</v>
      </c>
      <c r="C1048" s="1" t="s">
        <v>2016</v>
      </c>
      <c r="D1048" s="1" t="s">
        <v>2016</v>
      </c>
      <c r="E1048" t="s">
        <v>2017</v>
      </c>
      <c r="F1048" s="2" t="s">
        <v>2018</v>
      </c>
      <c r="G1048" t="s">
        <v>49</v>
      </c>
      <c r="H1048" s="2" t="s">
        <v>50</v>
      </c>
      <c r="I1048" s="2">
        <v>165</v>
      </c>
      <c r="J1048" t="s">
        <v>55</v>
      </c>
    </row>
    <row r="1049" spans="1:10" x14ac:dyDescent="0.25">
      <c r="A1049" s="1" t="s">
        <v>1994</v>
      </c>
      <c r="B1049" t="s">
        <v>1995</v>
      </c>
      <c r="C1049" s="1" t="s">
        <v>2019</v>
      </c>
      <c r="D1049" s="1" t="s">
        <v>2019</v>
      </c>
      <c r="E1049" t="s">
        <v>2020</v>
      </c>
      <c r="F1049" s="2" t="s">
        <v>2021</v>
      </c>
      <c r="G1049" t="s">
        <v>49</v>
      </c>
      <c r="H1049" s="2" t="s">
        <v>50</v>
      </c>
      <c r="I1049" s="2">
        <v>188</v>
      </c>
      <c r="J1049" t="s">
        <v>55</v>
      </c>
    </row>
    <row r="1050" spans="1:10" x14ac:dyDescent="0.25">
      <c r="A1050" s="1" t="s">
        <v>1994</v>
      </c>
      <c r="B1050" t="s">
        <v>1995</v>
      </c>
      <c r="C1050" s="1" t="s">
        <v>2022</v>
      </c>
      <c r="D1050" s="1" t="s">
        <v>2022</v>
      </c>
      <c r="E1050" t="s">
        <v>2023</v>
      </c>
      <c r="F1050" s="2" t="s">
        <v>2024</v>
      </c>
      <c r="G1050" t="s">
        <v>49</v>
      </c>
      <c r="H1050" s="2" t="s">
        <v>50</v>
      </c>
      <c r="I1050" s="2">
        <v>138</v>
      </c>
      <c r="J1050" t="s">
        <v>55</v>
      </c>
    </row>
    <row r="1051" spans="1:10" x14ac:dyDescent="0.25">
      <c r="A1051" s="1" t="s">
        <v>1994</v>
      </c>
      <c r="B1051" t="s">
        <v>1995</v>
      </c>
      <c r="C1051" s="1" t="s">
        <v>1989</v>
      </c>
      <c r="D1051" s="1" t="s">
        <v>1989</v>
      </c>
      <c r="E1051" t="s">
        <v>1990</v>
      </c>
      <c r="F1051" s="2" t="s">
        <v>1991</v>
      </c>
      <c r="G1051" t="s">
        <v>435</v>
      </c>
      <c r="H1051" s="2" t="s">
        <v>2025</v>
      </c>
      <c r="I1051" s="2">
        <v>39.5</v>
      </c>
    </row>
    <row r="1052" spans="1:10" x14ac:dyDescent="0.25">
      <c r="A1052" s="1" t="s">
        <v>1994</v>
      </c>
      <c r="B1052" t="s">
        <v>1995</v>
      </c>
      <c r="C1052" s="1" t="s">
        <v>7</v>
      </c>
      <c r="D1052" s="1" t="s">
        <v>7</v>
      </c>
      <c r="E1052" t="s">
        <v>8</v>
      </c>
      <c r="F1052" s="2" t="s">
        <v>9</v>
      </c>
      <c r="G1052" t="s">
        <v>10</v>
      </c>
      <c r="H1052" s="2" t="s">
        <v>2026</v>
      </c>
      <c r="I1052" s="2">
        <v>122.5</v>
      </c>
    </row>
    <row r="1053" spans="1:10" x14ac:dyDescent="0.25">
      <c r="A1053" s="1" t="s">
        <v>2027</v>
      </c>
      <c r="B1053" t="s">
        <v>2028</v>
      </c>
      <c r="C1053" s="1" t="s">
        <v>2029</v>
      </c>
      <c r="D1053" s="1" t="s">
        <v>2029</v>
      </c>
      <c r="E1053" t="s">
        <v>2030</v>
      </c>
      <c r="F1053" s="2" t="s">
        <v>2031</v>
      </c>
      <c r="G1053" t="s">
        <v>49</v>
      </c>
      <c r="H1053" s="2" t="s">
        <v>50</v>
      </c>
      <c r="I1053" s="2">
        <v>349.34</v>
      </c>
    </row>
    <row r="1054" spans="1:10" x14ac:dyDescent="0.25">
      <c r="A1054" s="1" t="s">
        <v>2027</v>
      </c>
      <c r="B1054" t="s">
        <v>2028</v>
      </c>
      <c r="C1054" s="1" t="s">
        <v>623</v>
      </c>
      <c r="D1054" s="1" t="s">
        <v>623</v>
      </c>
      <c r="E1054" t="s">
        <v>624</v>
      </c>
      <c r="F1054" s="2" t="s">
        <v>589</v>
      </c>
      <c r="G1054" t="s">
        <v>5</v>
      </c>
      <c r="H1054" s="2" t="s">
        <v>2003</v>
      </c>
      <c r="I1054" s="2">
        <v>0.14000000000000001</v>
      </c>
    </row>
    <row r="1055" spans="1:10" x14ac:dyDescent="0.25">
      <c r="A1055" s="1" t="s">
        <v>2027</v>
      </c>
      <c r="B1055" t="s">
        <v>2028</v>
      </c>
      <c r="C1055" s="1" t="s">
        <v>2004</v>
      </c>
      <c r="D1055" s="1" t="s">
        <v>2004</v>
      </c>
      <c r="E1055" t="s">
        <v>2005</v>
      </c>
      <c r="F1055" s="2" t="s">
        <v>2006</v>
      </c>
      <c r="G1055" t="s">
        <v>5</v>
      </c>
      <c r="H1055" s="2" t="s">
        <v>558</v>
      </c>
      <c r="I1055" s="2">
        <v>1.63</v>
      </c>
    </row>
    <row r="1056" spans="1:10" x14ac:dyDescent="0.25">
      <c r="A1056" s="1" t="s">
        <v>2027</v>
      </c>
      <c r="B1056" t="s">
        <v>2028</v>
      </c>
      <c r="C1056" s="1" t="s">
        <v>479</v>
      </c>
      <c r="D1056" s="1" t="s">
        <v>479</v>
      </c>
      <c r="E1056" t="s">
        <v>480</v>
      </c>
      <c r="F1056" s="2" t="s">
        <v>481</v>
      </c>
      <c r="G1056" t="s">
        <v>5</v>
      </c>
      <c r="H1056" s="2" t="s">
        <v>1119</v>
      </c>
      <c r="I1056" s="2">
        <v>0.35</v>
      </c>
    </row>
    <row r="1057" spans="1:10" x14ac:dyDescent="0.25">
      <c r="A1057" s="1" t="s">
        <v>2027</v>
      </c>
      <c r="B1057" t="s">
        <v>2028</v>
      </c>
      <c r="C1057" s="1" t="s">
        <v>2007</v>
      </c>
      <c r="D1057" s="1" t="s">
        <v>2007</v>
      </c>
      <c r="E1057" t="s">
        <v>2008</v>
      </c>
      <c r="F1057" s="2" t="s">
        <v>417</v>
      </c>
      <c r="G1057" t="s">
        <v>5</v>
      </c>
      <c r="H1057" s="2" t="s">
        <v>25</v>
      </c>
      <c r="I1057" s="2">
        <v>0.44</v>
      </c>
    </row>
    <row r="1058" spans="1:10" x14ac:dyDescent="0.25">
      <c r="A1058" s="1" t="s">
        <v>2027</v>
      </c>
      <c r="B1058" t="s">
        <v>2028</v>
      </c>
      <c r="C1058" s="1" t="s">
        <v>2009</v>
      </c>
      <c r="D1058" s="1" t="s">
        <v>2009</v>
      </c>
      <c r="E1058" t="s">
        <v>2010</v>
      </c>
      <c r="F1058" s="2" t="s">
        <v>274</v>
      </c>
      <c r="G1058" t="s">
        <v>5</v>
      </c>
      <c r="H1058" s="2" t="s">
        <v>2011</v>
      </c>
      <c r="I1058" s="2">
        <v>0.18</v>
      </c>
    </row>
    <row r="1059" spans="1:10" x14ac:dyDescent="0.25">
      <c r="A1059" s="1" t="s">
        <v>2027</v>
      </c>
      <c r="B1059" t="s">
        <v>2028</v>
      </c>
      <c r="C1059" s="1" t="s">
        <v>628</v>
      </c>
      <c r="D1059" s="1" t="s">
        <v>628</v>
      </c>
      <c r="E1059" t="s">
        <v>629</v>
      </c>
      <c r="F1059" s="2" t="s">
        <v>698</v>
      </c>
      <c r="G1059" t="s">
        <v>5</v>
      </c>
      <c r="H1059" s="2" t="s">
        <v>2012</v>
      </c>
      <c r="I1059" s="2">
        <v>0.48</v>
      </c>
    </row>
    <row r="1060" spans="1:10" x14ac:dyDescent="0.25">
      <c r="A1060" s="1" t="s">
        <v>2027</v>
      </c>
      <c r="B1060" t="s">
        <v>2028</v>
      </c>
      <c r="C1060" s="1" t="s">
        <v>1971</v>
      </c>
      <c r="D1060" s="1" t="s">
        <v>1971</v>
      </c>
      <c r="E1060" t="s">
        <v>1972</v>
      </c>
      <c r="F1060" s="2" t="s">
        <v>1005</v>
      </c>
      <c r="G1060" t="s">
        <v>5</v>
      </c>
      <c r="H1060" s="2" t="s">
        <v>2013</v>
      </c>
      <c r="I1060" s="2">
        <v>1.5</v>
      </c>
    </row>
    <row r="1061" spans="1:10" x14ac:dyDescent="0.25">
      <c r="A1061" s="1" t="s">
        <v>2027</v>
      </c>
      <c r="B1061" t="s">
        <v>2028</v>
      </c>
      <c r="C1061" s="1" t="s">
        <v>1974</v>
      </c>
      <c r="D1061" s="1" t="s">
        <v>1974</v>
      </c>
      <c r="E1061" t="s">
        <v>2014</v>
      </c>
      <c r="F1061" s="2" t="s">
        <v>1479</v>
      </c>
      <c r="G1061" t="s">
        <v>121</v>
      </c>
      <c r="H1061" s="2" t="s">
        <v>2015</v>
      </c>
      <c r="I1061" s="2">
        <v>3.28</v>
      </c>
    </row>
    <row r="1062" spans="1:10" x14ac:dyDescent="0.25">
      <c r="A1062" s="1" t="s">
        <v>2027</v>
      </c>
      <c r="B1062" t="s">
        <v>2028</v>
      </c>
      <c r="C1062" s="1" t="s">
        <v>41</v>
      </c>
      <c r="D1062" s="1" t="s">
        <v>41</v>
      </c>
      <c r="E1062" t="s">
        <v>42</v>
      </c>
      <c r="F1062" s="2" t="s">
        <v>43</v>
      </c>
      <c r="G1062" t="s">
        <v>5</v>
      </c>
      <c r="H1062" s="2" t="s">
        <v>227</v>
      </c>
      <c r="I1062" s="2">
        <v>0.01</v>
      </c>
    </row>
    <row r="1063" spans="1:10" x14ac:dyDescent="0.25">
      <c r="A1063" s="1" t="s">
        <v>2027</v>
      </c>
      <c r="B1063" t="s">
        <v>2028</v>
      </c>
      <c r="C1063" s="1" t="s">
        <v>1977</v>
      </c>
      <c r="D1063" s="1" t="s">
        <v>1977</v>
      </c>
      <c r="E1063" t="s">
        <v>1978</v>
      </c>
      <c r="F1063" s="2" t="s">
        <v>1090</v>
      </c>
      <c r="G1063" t="s">
        <v>121</v>
      </c>
      <c r="H1063" s="2" t="s">
        <v>50</v>
      </c>
      <c r="I1063" s="2">
        <v>0.1</v>
      </c>
    </row>
    <row r="1064" spans="1:10" x14ac:dyDescent="0.25">
      <c r="A1064" s="1" t="s">
        <v>2027</v>
      </c>
      <c r="B1064" t="s">
        <v>2028</v>
      </c>
      <c r="C1064" s="1" t="s">
        <v>1979</v>
      </c>
      <c r="D1064" s="1" t="s">
        <v>1979</v>
      </c>
      <c r="E1064" t="s">
        <v>1978</v>
      </c>
      <c r="F1064" s="2" t="s">
        <v>1090</v>
      </c>
      <c r="G1064" t="s">
        <v>121</v>
      </c>
      <c r="H1064" s="2" t="s">
        <v>50</v>
      </c>
      <c r="I1064" s="2">
        <v>0.1</v>
      </c>
    </row>
    <row r="1065" spans="1:10" x14ac:dyDescent="0.25">
      <c r="A1065" s="1" t="s">
        <v>2027</v>
      </c>
      <c r="B1065" t="s">
        <v>2028</v>
      </c>
      <c r="C1065" s="1" t="s">
        <v>2016</v>
      </c>
      <c r="D1065" s="1" t="s">
        <v>2016</v>
      </c>
      <c r="E1065" t="s">
        <v>2017</v>
      </c>
      <c r="F1065" s="2" t="s">
        <v>2018</v>
      </c>
      <c r="G1065" t="s">
        <v>49</v>
      </c>
      <c r="H1065" s="2" t="s">
        <v>50</v>
      </c>
      <c r="I1065" s="2">
        <v>165</v>
      </c>
      <c r="J1065" t="s">
        <v>55</v>
      </c>
    </row>
    <row r="1066" spans="1:10" x14ac:dyDescent="0.25">
      <c r="A1066" s="1" t="s">
        <v>2027</v>
      </c>
      <c r="B1066" t="s">
        <v>2028</v>
      </c>
      <c r="C1066" s="1" t="s">
        <v>2019</v>
      </c>
      <c r="D1066" s="1" t="s">
        <v>2019</v>
      </c>
      <c r="E1066" t="s">
        <v>2020</v>
      </c>
      <c r="F1066" s="2" t="s">
        <v>2021</v>
      </c>
      <c r="G1066" t="s">
        <v>49</v>
      </c>
      <c r="H1066" s="2" t="s">
        <v>50</v>
      </c>
      <c r="I1066" s="2">
        <v>188</v>
      </c>
      <c r="J1066" t="s">
        <v>55</v>
      </c>
    </row>
    <row r="1067" spans="1:10" x14ac:dyDescent="0.25">
      <c r="A1067" s="1" t="s">
        <v>2027</v>
      </c>
      <c r="B1067" t="s">
        <v>2028</v>
      </c>
      <c r="C1067" s="1" t="s">
        <v>2022</v>
      </c>
      <c r="D1067" s="1" t="s">
        <v>2022</v>
      </c>
      <c r="E1067" t="s">
        <v>2023</v>
      </c>
      <c r="F1067" s="2" t="s">
        <v>2024</v>
      </c>
      <c r="G1067" t="s">
        <v>49</v>
      </c>
      <c r="H1067" s="2" t="s">
        <v>50</v>
      </c>
      <c r="I1067" s="2">
        <v>138</v>
      </c>
      <c r="J1067" t="s">
        <v>55</v>
      </c>
    </row>
    <row r="1068" spans="1:10" x14ac:dyDescent="0.25">
      <c r="A1068" s="1" t="s">
        <v>2027</v>
      </c>
      <c r="B1068" t="s">
        <v>2028</v>
      </c>
      <c r="C1068" s="1" t="s">
        <v>1989</v>
      </c>
      <c r="D1068" s="1" t="s">
        <v>1989</v>
      </c>
      <c r="E1068" t="s">
        <v>1990</v>
      </c>
      <c r="F1068" s="2" t="s">
        <v>1991</v>
      </c>
      <c r="G1068" t="s">
        <v>435</v>
      </c>
      <c r="H1068" s="2" t="s">
        <v>2025</v>
      </c>
      <c r="I1068" s="2">
        <v>39.5</v>
      </c>
    </row>
    <row r="1069" spans="1:10" x14ac:dyDescent="0.25">
      <c r="A1069" s="1" t="s">
        <v>2027</v>
      </c>
      <c r="B1069" t="s">
        <v>2028</v>
      </c>
      <c r="C1069" s="1" t="s">
        <v>7</v>
      </c>
      <c r="D1069" s="1" t="s">
        <v>7</v>
      </c>
      <c r="E1069" t="s">
        <v>8</v>
      </c>
      <c r="F1069" s="2" t="s">
        <v>9</v>
      </c>
      <c r="G1069" t="s">
        <v>10</v>
      </c>
      <c r="H1069" s="2" t="s">
        <v>2026</v>
      </c>
      <c r="I1069" s="2">
        <v>122.5</v>
      </c>
    </row>
    <row r="1070" spans="1:10" x14ac:dyDescent="0.25">
      <c r="A1070" s="1" t="s">
        <v>2032</v>
      </c>
      <c r="B1070" t="s">
        <v>2033</v>
      </c>
      <c r="C1070" s="1" t="s">
        <v>2034</v>
      </c>
      <c r="D1070" s="1" t="s">
        <v>2034</v>
      </c>
      <c r="E1070" t="s">
        <v>2035</v>
      </c>
      <c r="F1070" s="2" t="s">
        <v>2036</v>
      </c>
      <c r="G1070" t="s">
        <v>121</v>
      </c>
      <c r="H1070" s="2" t="s">
        <v>50</v>
      </c>
      <c r="I1070" s="2">
        <v>0.8</v>
      </c>
    </row>
    <row r="1071" spans="1:10" x14ac:dyDescent="0.25">
      <c r="A1071" s="1" t="s">
        <v>2032</v>
      </c>
      <c r="B1071" t="s">
        <v>2033</v>
      </c>
      <c r="C1071" s="1" t="s">
        <v>432</v>
      </c>
      <c r="D1071" s="1" t="s">
        <v>432</v>
      </c>
      <c r="E1071" t="s">
        <v>433</v>
      </c>
      <c r="F1071" s="2" t="s">
        <v>434</v>
      </c>
      <c r="G1071" t="s">
        <v>435</v>
      </c>
      <c r="H1071" s="2" t="s">
        <v>50</v>
      </c>
      <c r="I1071" s="2">
        <v>1.1000000000000001</v>
      </c>
    </row>
    <row r="1072" spans="1:10" x14ac:dyDescent="0.25">
      <c r="A1072" s="1" t="s">
        <v>2032</v>
      </c>
      <c r="B1072" t="s">
        <v>2033</v>
      </c>
      <c r="C1072" s="1" t="s">
        <v>541</v>
      </c>
      <c r="D1072" s="1" t="s">
        <v>541</v>
      </c>
      <c r="E1072" t="s">
        <v>542</v>
      </c>
      <c r="F1072" s="2" t="s">
        <v>9</v>
      </c>
      <c r="G1072" t="s">
        <v>10</v>
      </c>
      <c r="H1072" s="2" t="s">
        <v>2037</v>
      </c>
      <c r="I1072" s="2">
        <v>1.3</v>
      </c>
    </row>
    <row r="1073" spans="1:10" x14ac:dyDescent="0.25">
      <c r="A1073" s="1" t="s">
        <v>2038</v>
      </c>
      <c r="B1073" t="s">
        <v>2039</v>
      </c>
      <c r="C1073" s="1" t="s">
        <v>248</v>
      </c>
      <c r="D1073" s="1" t="s">
        <v>248</v>
      </c>
      <c r="E1073" t="s">
        <v>249</v>
      </c>
      <c r="F1073" s="2" t="s">
        <v>70</v>
      </c>
      <c r="G1073" t="s">
        <v>39</v>
      </c>
      <c r="H1073" s="2" t="s">
        <v>40</v>
      </c>
      <c r="I1073" s="2">
        <v>0.05</v>
      </c>
    </row>
    <row r="1074" spans="1:10" x14ac:dyDescent="0.25">
      <c r="A1074" s="1" t="s">
        <v>2038</v>
      </c>
      <c r="B1074" t="s">
        <v>2039</v>
      </c>
      <c r="C1074" s="1" t="s">
        <v>242</v>
      </c>
      <c r="D1074" s="1" t="s">
        <v>242</v>
      </c>
      <c r="E1074" t="s">
        <v>243</v>
      </c>
      <c r="F1074" s="2" t="s">
        <v>244</v>
      </c>
      <c r="G1074" t="s">
        <v>49</v>
      </c>
      <c r="H1074" s="2" t="s">
        <v>50</v>
      </c>
      <c r="I1074" s="2">
        <v>3.1</v>
      </c>
      <c r="J1074" t="s">
        <v>55</v>
      </c>
    </row>
    <row r="1075" spans="1:10" x14ac:dyDescent="0.25">
      <c r="A1075" s="1" t="s">
        <v>2038</v>
      </c>
      <c r="B1075" t="s">
        <v>2039</v>
      </c>
      <c r="C1075" s="1" t="s">
        <v>2040</v>
      </c>
      <c r="D1075" s="1" t="s">
        <v>2040</v>
      </c>
      <c r="E1075" t="s">
        <v>2041</v>
      </c>
      <c r="F1075" s="2" t="s">
        <v>2042</v>
      </c>
      <c r="G1075" t="s">
        <v>49</v>
      </c>
      <c r="H1075" s="2" t="s">
        <v>50</v>
      </c>
      <c r="I1075" s="2">
        <v>14.3</v>
      </c>
      <c r="J1075" t="s">
        <v>55</v>
      </c>
    </row>
    <row r="1076" spans="1:10" x14ac:dyDescent="0.25">
      <c r="A1076" s="1" t="s">
        <v>2038</v>
      </c>
      <c r="B1076" t="s">
        <v>2039</v>
      </c>
      <c r="C1076" s="1" t="s">
        <v>2043</v>
      </c>
      <c r="D1076" s="1" t="s">
        <v>2043</v>
      </c>
      <c r="E1076" t="s">
        <v>2044</v>
      </c>
      <c r="F1076" s="2" t="s">
        <v>2045</v>
      </c>
      <c r="G1076" t="s">
        <v>49</v>
      </c>
      <c r="H1076" s="2" t="s">
        <v>50</v>
      </c>
      <c r="I1076" s="2">
        <v>2.73</v>
      </c>
      <c r="J1076" t="s">
        <v>55</v>
      </c>
    </row>
    <row r="1077" spans="1:10" x14ac:dyDescent="0.25">
      <c r="A1077" s="1" t="s">
        <v>2038</v>
      </c>
      <c r="B1077" t="s">
        <v>2039</v>
      </c>
      <c r="C1077" s="1" t="s">
        <v>7</v>
      </c>
      <c r="D1077" s="1" t="s">
        <v>7</v>
      </c>
      <c r="E1077" t="s">
        <v>8</v>
      </c>
      <c r="F1077" s="2" t="s">
        <v>9</v>
      </c>
      <c r="G1077" t="s">
        <v>10</v>
      </c>
      <c r="H1077" s="2" t="s">
        <v>2046</v>
      </c>
      <c r="I1077" s="2">
        <v>0.77</v>
      </c>
    </row>
    <row r="1078" spans="1:10" x14ac:dyDescent="0.25">
      <c r="A1078" s="1" t="s">
        <v>2047</v>
      </c>
      <c r="B1078" t="s">
        <v>2048</v>
      </c>
      <c r="C1078" s="1" t="s">
        <v>81</v>
      </c>
      <c r="D1078" s="1" t="s">
        <v>81</v>
      </c>
      <c r="E1078" t="s">
        <v>82</v>
      </c>
      <c r="F1078" s="2" t="s">
        <v>83</v>
      </c>
      <c r="G1078" t="s">
        <v>39</v>
      </c>
      <c r="H1078" s="2" t="s">
        <v>40</v>
      </c>
      <c r="I1078" s="2">
        <v>0.15</v>
      </c>
    </row>
    <row r="1079" spans="1:10" x14ac:dyDescent="0.25">
      <c r="A1079" s="1" t="s">
        <v>2047</v>
      </c>
      <c r="B1079" t="s">
        <v>2048</v>
      </c>
      <c r="C1079" s="1" t="s">
        <v>242</v>
      </c>
      <c r="D1079" s="1" t="s">
        <v>242</v>
      </c>
      <c r="E1079" t="s">
        <v>243</v>
      </c>
      <c r="F1079" s="2" t="s">
        <v>244</v>
      </c>
      <c r="G1079" t="s">
        <v>49</v>
      </c>
      <c r="H1079" s="2" t="s">
        <v>50</v>
      </c>
      <c r="I1079" s="2">
        <v>3.1</v>
      </c>
      <c r="J1079" t="s">
        <v>55</v>
      </c>
    </row>
    <row r="1080" spans="1:10" x14ac:dyDescent="0.25">
      <c r="A1080" s="1" t="s">
        <v>2047</v>
      </c>
      <c r="B1080" t="s">
        <v>2048</v>
      </c>
      <c r="C1080" s="1" t="s">
        <v>2040</v>
      </c>
      <c r="D1080" s="1" t="s">
        <v>2040</v>
      </c>
      <c r="E1080" t="s">
        <v>2041</v>
      </c>
      <c r="F1080" s="2" t="s">
        <v>2042</v>
      </c>
      <c r="G1080" t="s">
        <v>49</v>
      </c>
      <c r="H1080" s="2" t="s">
        <v>50</v>
      </c>
      <c r="I1080" s="2">
        <v>14.3</v>
      </c>
      <c r="J1080" t="s">
        <v>55</v>
      </c>
    </row>
    <row r="1081" spans="1:10" x14ac:dyDescent="0.25">
      <c r="A1081" s="1" t="s">
        <v>2047</v>
      </c>
      <c r="B1081" t="s">
        <v>2048</v>
      </c>
      <c r="C1081" s="1" t="s">
        <v>2043</v>
      </c>
      <c r="D1081" s="1" t="s">
        <v>2043</v>
      </c>
      <c r="E1081" t="s">
        <v>2044</v>
      </c>
      <c r="F1081" s="2" t="s">
        <v>2045</v>
      </c>
      <c r="G1081" t="s">
        <v>49</v>
      </c>
      <c r="H1081" s="2" t="s">
        <v>50</v>
      </c>
      <c r="I1081" s="2">
        <v>2.73</v>
      </c>
      <c r="J1081" t="s">
        <v>55</v>
      </c>
    </row>
    <row r="1082" spans="1:10" x14ac:dyDescent="0.25">
      <c r="A1082" s="1" t="s">
        <v>2047</v>
      </c>
      <c r="B1082" t="s">
        <v>2048</v>
      </c>
      <c r="C1082" s="1" t="s">
        <v>7</v>
      </c>
      <c r="D1082" s="1" t="s">
        <v>7</v>
      </c>
      <c r="E1082" t="s">
        <v>8</v>
      </c>
      <c r="F1082" s="2" t="s">
        <v>9</v>
      </c>
      <c r="G1082" t="s">
        <v>10</v>
      </c>
      <c r="H1082" s="2" t="s">
        <v>2046</v>
      </c>
      <c r="I1082" s="2">
        <v>0.77</v>
      </c>
    </row>
    <row r="1083" spans="1:10" x14ac:dyDescent="0.25">
      <c r="A1083" s="1" t="s">
        <v>2049</v>
      </c>
      <c r="B1083" t="s">
        <v>2050</v>
      </c>
      <c r="C1083" s="1" t="s">
        <v>248</v>
      </c>
      <c r="D1083" s="1" t="s">
        <v>248</v>
      </c>
      <c r="E1083" t="s">
        <v>249</v>
      </c>
      <c r="F1083" s="2" t="s">
        <v>70</v>
      </c>
      <c r="G1083" t="s">
        <v>39</v>
      </c>
      <c r="H1083" s="2" t="s">
        <v>40</v>
      </c>
      <c r="I1083" s="2">
        <v>0.05</v>
      </c>
    </row>
    <row r="1084" spans="1:10" x14ac:dyDescent="0.25">
      <c r="A1084" s="1" t="s">
        <v>2049</v>
      </c>
      <c r="B1084" t="s">
        <v>2050</v>
      </c>
      <c r="C1084" s="1" t="s">
        <v>2051</v>
      </c>
      <c r="D1084" s="1" t="s">
        <v>2052</v>
      </c>
      <c r="E1084" t="s">
        <v>2053</v>
      </c>
      <c r="F1084" s="2" t="s">
        <v>2054</v>
      </c>
      <c r="G1084" t="s">
        <v>49</v>
      </c>
      <c r="H1084" s="2" t="s">
        <v>50</v>
      </c>
      <c r="I1084" s="2">
        <v>19.55</v>
      </c>
      <c r="J1084" t="s">
        <v>51</v>
      </c>
    </row>
    <row r="1085" spans="1:10" x14ac:dyDescent="0.25">
      <c r="A1085" s="1" t="s">
        <v>2049</v>
      </c>
      <c r="B1085" t="s">
        <v>2050</v>
      </c>
      <c r="C1085" s="1" t="s">
        <v>2055</v>
      </c>
      <c r="D1085" s="1" t="s">
        <v>2056</v>
      </c>
      <c r="E1085" t="s">
        <v>2057</v>
      </c>
      <c r="F1085" s="2" t="s">
        <v>2058</v>
      </c>
      <c r="G1085" t="s">
        <v>49</v>
      </c>
      <c r="H1085" s="2" t="s">
        <v>50</v>
      </c>
      <c r="I1085" s="2">
        <v>4.3499999999999996</v>
      </c>
      <c r="J1085" t="s">
        <v>51</v>
      </c>
    </row>
    <row r="1086" spans="1:10" x14ac:dyDescent="0.25">
      <c r="A1086" s="1" t="s">
        <v>2049</v>
      </c>
      <c r="B1086" t="s">
        <v>2050</v>
      </c>
      <c r="C1086" s="1" t="s">
        <v>2059</v>
      </c>
      <c r="D1086" s="1" t="s">
        <v>2060</v>
      </c>
      <c r="E1086" t="s">
        <v>2061</v>
      </c>
      <c r="F1086" s="2" t="s">
        <v>2062</v>
      </c>
      <c r="G1086" t="s">
        <v>49</v>
      </c>
      <c r="H1086" s="2" t="s">
        <v>50</v>
      </c>
      <c r="I1086" s="2">
        <v>17.149999999999999</v>
      </c>
      <c r="J1086" t="s">
        <v>51</v>
      </c>
    </row>
    <row r="1087" spans="1:10" x14ac:dyDescent="0.25">
      <c r="A1087" s="1" t="s">
        <v>2049</v>
      </c>
      <c r="B1087" t="s">
        <v>2050</v>
      </c>
      <c r="C1087" s="1" t="s">
        <v>2063</v>
      </c>
      <c r="D1087" s="1" t="s">
        <v>2064</v>
      </c>
      <c r="E1087" t="s">
        <v>2065</v>
      </c>
      <c r="F1087" s="2" t="s">
        <v>2066</v>
      </c>
      <c r="G1087" t="s">
        <v>49</v>
      </c>
      <c r="H1087" s="2" t="s">
        <v>50</v>
      </c>
      <c r="I1087" s="2">
        <v>12.45</v>
      </c>
      <c r="J1087" t="s">
        <v>51</v>
      </c>
    </row>
    <row r="1088" spans="1:10" x14ac:dyDescent="0.25">
      <c r="A1088" s="1" t="s">
        <v>2049</v>
      </c>
      <c r="B1088" t="s">
        <v>2050</v>
      </c>
      <c r="C1088" s="1" t="s">
        <v>7</v>
      </c>
      <c r="D1088" s="1" t="s">
        <v>7</v>
      </c>
      <c r="E1088" t="s">
        <v>8</v>
      </c>
      <c r="F1088" s="2" t="s">
        <v>9</v>
      </c>
      <c r="G1088" t="s">
        <v>10</v>
      </c>
      <c r="H1088" s="2" t="s">
        <v>316</v>
      </c>
      <c r="I1088" s="2">
        <v>0.8</v>
      </c>
    </row>
    <row r="1089" spans="1:9" x14ac:dyDescent="0.25">
      <c r="A1089" s="1" t="s">
        <v>2067</v>
      </c>
      <c r="B1089" t="s">
        <v>2068</v>
      </c>
      <c r="C1089" s="1" t="s">
        <v>1547</v>
      </c>
      <c r="D1089" s="1" t="s">
        <v>1547</v>
      </c>
      <c r="E1089" t="s">
        <v>1548</v>
      </c>
      <c r="F1089" s="2" t="s">
        <v>403</v>
      </c>
      <c r="G1089" t="s">
        <v>5</v>
      </c>
      <c r="H1089" s="2" t="s">
        <v>367</v>
      </c>
      <c r="I1089" s="2">
        <v>0.3</v>
      </c>
    </row>
    <row r="1090" spans="1:9" x14ac:dyDescent="0.25">
      <c r="A1090" s="1" t="s">
        <v>2067</v>
      </c>
      <c r="B1090" t="s">
        <v>2068</v>
      </c>
      <c r="C1090" s="1" t="s">
        <v>432</v>
      </c>
      <c r="D1090" s="1" t="s">
        <v>432</v>
      </c>
      <c r="E1090" t="s">
        <v>433</v>
      </c>
      <c r="F1090" s="2" t="s">
        <v>434</v>
      </c>
      <c r="G1090" t="s">
        <v>435</v>
      </c>
      <c r="H1090" s="2" t="s">
        <v>50</v>
      </c>
      <c r="I1090" s="2">
        <v>1.1000000000000001</v>
      </c>
    </row>
    <row r="1091" spans="1:9" x14ac:dyDescent="0.25">
      <c r="A1091" s="1" t="s">
        <v>2067</v>
      </c>
      <c r="B1091" t="s">
        <v>2068</v>
      </c>
      <c r="C1091" s="1" t="s">
        <v>7</v>
      </c>
      <c r="D1091" s="1" t="s">
        <v>7</v>
      </c>
      <c r="E1091" t="s">
        <v>8</v>
      </c>
      <c r="F1091" s="2" t="s">
        <v>9</v>
      </c>
      <c r="G1091" t="s">
        <v>10</v>
      </c>
      <c r="H1091" s="2" t="s">
        <v>2069</v>
      </c>
      <c r="I1091" s="2">
        <v>1.4</v>
      </c>
    </row>
    <row r="1092" spans="1:9" x14ac:dyDescent="0.25">
      <c r="A1092" s="1" t="s">
        <v>2070</v>
      </c>
      <c r="B1092" t="s">
        <v>2071</v>
      </c>
      <c r="C1092" s="1" t="s">
        <v>2072</v>
      </c>
      <c r="D1092" s="1" t="s">
        <v>2072</v>
      </c>
      <c r="E1092" t="s">
        <v>2073</v>
      </c>
      <c r="F1092" s="2" t="s">
        <v>1354</v>
      </c>
      <c r="G1092" t="s">
        <v>5</v>
      </c>
      <c r="H1092" s="2" t="s">
        <v>2074</v>
      </c>
      <c r="I1092" s="2">
        <v>7.7</v>
      </c>
    </row>
    <row r="1093" spans="1:9" x14ac:dyDescent="0.25">
      <c r="A1093" s="1" t="s">
        <v>2070</v>
      </c>
      <c r="B1093" t="s">
        <v>2071</v>
      </c>
      <c r="C1093" s="1" t="s">
        <v>7</v>
      </c>
      <c r="D1093" s="1" t="s">
        <v>7</v>
      </c>
      <c r="E1093" t="s">
        <v>8</v>
      </c>
      <c r="F1093" s="2" t="s">
        <v>9</v>
      </c>
      <c r="G1093" t="s">
        <v>10</v>
      </c>
      <c r="H1093" s="2" t="s">
        <v>2075</v>
      </c>
      <c r="I1093" s="2">
        <v>1.25</v>
      </c>
    </row>
    <row r="1094" spans="1:9" x14ac:dyDescent="0.25">
      <c r="A1094" s="1" t="s">
        <v>2076</v>
      </c>
      <c r="B1094" t="s">
        <v>2077</v>
      </c>
      <c r="C1094" s="1" t="s">
        <v>2078</v>
      </c>
      <c r="D1094" s="1" t="s">
        <v>2078</v>
      </c>
      <c r="E1094" t="s">
        <v>2079</v>
      </c>
      <c r="F1094" s="2" t="s">
        <v>1354</v>
      </c>
      <c r="G1094" t="s">
        <v>5</v>
      </c>
      <c r="H1094" s="2" t="s">
        <v>2080</v>
      </c>
      <c r="I1094" s="2">
        <v>13.75</v>
      </c>
    </row>
    <row r="1095" spans="1:9" x14ac:dyDescent="0.25">
      <c r="A1095" s="1" t="s">
        <v>2076</v>
      </c>
      <c r="B1095" t="s">
        <v>2077</v>
      </c>
      <c r="C1095" s="1" t="s">
        <v>7</v>
      </c>
      <c r="D1095" s="1" t="s">
        <v>7</v>
      </c>
      <c r="E1095" t="s">
        <v>8</v>
      </c>
      <c r="F1095" s="2" t="s">
        <v>9</v>
      </c>
      <c r="G1095" t="s">
        <v>10</v>
      </c>
      <c r="H1095" s="2" t="s">
        <v>1791</v>
      </c>
      <c r="I1095" s="2">
        <v>2.4500000000000002</v>
      </c>
    </row>
    <row r="1096" spans="1:9" x14ac:dyDescent="0.25">
      <c r="A1096" s="1" t="s">
        <v>2081</v>
      </c>
      <c r="B1096" t="s">
        <v>2082</v>
      </c>
      <c r="C1096" s="1" t="s">
        <v>2078</v>
      </c>
      <c r="D1096" s="1" t="s">
        <v>2078</v>
      </c>
      <c r="E1096" t="s">
        <v>2079</v>
      </c>
      <c r="F1096" s="2" t="s">
        <v>1354</v>
      </c>
      <c r="G1096" t="s">
        <v>5</v>
      </c>
      <c r="H1096" s="2" t="s">
        <v>2083</v>
      </c>
      <c r="I1096" s="2">
        <v>8.9499999999999993</v>
      </c>
    </row>
    <row r="1097" spans="1:9" x14ac:dyDescent="0.25">
      <c r="A1097" s="1" t="s">
        <v>2081</v>
      </c>
      <c r="B1097" t="s">
        <v>2082</v>
      </c>
      <c r="C1097" s="1" t="s">
        <v>541</v>
      </c>
      <c r="D1097" s="1" t="s">
        <v>541</v>
      </c>
      <c r="E1097" t="s">
        <v>542</v>
      </c>
      <c r="F1097" s="2" t="s">
        <v>9</v>
      </c>
      <c r="G1097" t="s">
        <v>10</v>
      </c>
      <c r="H1097" s="2" t="s">
        <v>1236</v>
      </c>
      <c r="I1097" s="2">
        <v>5.52</v>
      </c>
    </row>
    <row r="1098" spans="1:9" x14ac:dyDescent="0.25">
      <c r="A1098" s="1" t="s">
        <v>2084</v>
      </c>
      <c r="B1098" t="s">
        <v>2085</v>
      </c>
      <c r="C1098" s="1" t="s">
        <v>2072</v>
      </c>
      <c r="D1098" s="1" t="s">
        <v>2072</v>
      </c>
      <c r="E1098" t="s">
        <v>2073</v>
      </c>
      <c r="F1098" s="2" t="s">
        <v>1354</v>
      </c>
      <c r="G1098" t="s">
        <v>5</v>
      </c>
      <c r="H1098" s="2" t="s">
        <v>2086</v>
      </c>
      <c r="I1098" s="2">
        <v>4.4000000000000004</v>
      </c>
    </row>
    <row r="1099" spans="1:9" x14ac:dyDescent="0.25">
      <c r="A1099" s="1" t="s">
        <v>2084</v>
      </c>
      <c r="B1099" t="s">
        <v>2085</v>
      </c>
      <c r="C1099" s="1" t="s">
        <v>541</v>
      </c>
      <c r="D1099" s="1" t="s">
        <v>541</v>
      </c>
      <c r="E1099" t="s">
        <v>542</v>
      </c>
      <c r="F1099" s="2" t="s">
        <v>9</v>
      </c>
      <c r="G1099" t="s">
        <v>10</v>
      </c>
      <c r="H1099" s="2" t="s">
        <v>601</v>
      </c>
      <c r="I1099" s="2">
        <v>6.9</v>
      </c>
    </row>
    <row r="1100" spans="1:9" x14ac:dyDescent="0.25">
      <c r="A1100" s="1" t="s">
        <v>2087</v>
      </c>
      <c r="B1100" t="s">
        <v>2088</v>
      </c>
      <c r="C1100" s="1" t="s">
        <v>2078</v>
      </c>
      <c r="D1100" s="1" t="s">
        <v>2078</v>
      </c>
      <c r="E1100" t="s">
        <v>2079</v>
      </c>
      <c r="F1100" s="2" t="s">
        <v>1354</v>
      </c>
      <c r="G1100" t="s">
        <v>5</v>
      </c>
      <c r="H1100" s="2" t="s">
        <v>2089</v>
      </c>
      <c r="I1100" s="2">
        <v>7.6</v>
      </c>
    </row>
    <row r="1101" spans="1:9" x14ac:dyDescent="0.25">
      <c r="A1101" s="1" t="s">
        <v>2087</v>
      </c>
      <c r="B1101" t="s">
        <v>2088</v>
      </c>
      <c r="C1101" s="1" t="s">
        <v>7</v>
      </c>
      <c r="D1101" s="1" t="s">
        <v>7</v>
      </c>
      <c r="E1101" t="s">
        <v>8</v>
      </c>
      <c r="F1101" s="2" t="s">
        <v>9</v>
      </c>
      <c r="G1101" t="s">
        <v>10</v>
      </c>
      <c r="H1101" s="2" t="s">
        <v>2090</v>
      </c>
      <c r="I1101" s="2">
        <v>7.3</v>
      </c>
    </row>
    <row r="1102" spans="1:9" x14ac:dyDescent="0.25">
      <c r="A1102" s="1" t="s">
        <v>2091</v>
      </c>
      <c r="B1102" t="s">
        <v>2092</v>
      </c>
      <c r="C1102" s="1" t="s">
        <v>1378</v>
      </c>
      <c r="D1102" s="1" t="s">
        <v>1378</v>
      </c>
      <c r="E1102" t="s">
        <v>1379</v>
      </c>
      <c r="F1102" s="2" t="s">
        <v>1043</v>
      </c>
      <c r="G1102" t="s">
        <v>5</v>
      </c>
      <c r="H1102" s="2" t="s">
        <v>699</v>
      </c>
      <c r="I1102" s="2">
        <v>0.1</v>
      </c>
    </row>
    <row r="1103" spans="1:9" x14ac:dyDescent="0.25">
      <c r="A1103" s="1" t="s">
        <v>2091</v>
      </c>
      <c r="B1103" t="s">
        <v>2092</v>
      </c>
      <c r="C1103" s="1" t="s">
        <v>7</v>
      </c>
      <c r="D1103" s="1" t="s">
        <v>7</v>
      </c>
      <c r="E1103" t="s">
        <v>8</v>
      </c>
      <c r="F1103" s="2" t="s">
        <v>9</v>
      </c>
      <c r="G1103" t="s">
        <v>10</v>
      </c>
      <c r="H1103" s="2" t="s">
        <v>2093</v>
      </c>
      <c r="I1103" s="2">
        <v>1.7</v>
      </c>
    </row>
    <row r="1104" spans="1:9" x14ac:dyDescent="0.25">
      <c r="A1104" s="1" t="s">
        <v>2094</v>
      </c>
      <c r="B1104" t="s">
        <v>2095</v>
      </c>
      <c r="C1104" s="1" t="s">
        <v>1378</v>
      </c>
      <c r="D1104" s="1" t="s">
        <v>1378</v>
      </c>
      <c r="E1104" t="s">
        <v>1379</v>
      </c>
      <c r="F1104" s="2" t="s">
        <v>1043</v>
      </c>
      <c r="G1104" t="s">
        <v>5</v>
      </c>
      <c r="H1104" s="2" t="s">
        <v>699</v>
      </c>
      <c r="I1104" s="2">
        <v>0.1</v>
      </c>
    </row>
    <row r="1105" spans="1:9" x14ac:dyDescent="0.25">
      <c r="A1105" s="1" t="s">
        <v>2094</v>
      </c>
      <c r="B1105" t="s">
        <v>2095</v>
      </c>
      <c r="C1105" s="1" t="s">
        <v>7</v>
      </c>
      <c r="D1105" s="1" t="s">
        <v>7</v>
      </c>
      <c r="E1105" t="s">
        <v>8</v>
      </c>
      <c r="F1105" s="2" t="s">
        <v>9</v>
      </c>
      <c r="G1105" t="s">
        <v>10</v>
      </c>
      <c r="H1105" s="2" t="s">
        <v>2096</v>
      </c>
      <c r="I1105" s="2">
        <v>1.7</v>
      </c>
    </row>
    <row r="1106" spans="1:9" x14ac:dyDescent="0.25">
      <c r="A1106" s="1" t="s">
        <v>2097</v>
      </c>
      <c r="B1106" t="s">
        <v>2098</v>
      </c>
      <c r="C1106" s="1" t="s">
        <v>1378</v>
      </c>
      <c r="D1106" s="1" t="s">
        <v>1378</v>
      </c>
      <c r="E1106" t="s">
        <v>1379</v>
      </c>
      <c r="F1106" s="2" t="s">
        <v>1043</v>
      </c>
      <c r="G1106" t="s">
        <v>5</v>
      </c>
      <c r="H1106" s="2" t="s">
        <v>2099</v>
      </c>
      <c r="I1106" s="2">
        <v>0.1</v>
      </c>
    </row>
    <row r="1107" spans="1:9" x14ac:dyDescent="0.25">
      <c r="A1107" s="1" t="s">
        <v>2097</v>
      </c>
      <c r="B1107" t="s">
        <v>2098</v>
      </c>
      <c r="C1107" s="1" t="s">
        <v>541</v>
      </c>
      <c r="D1107" s="1" t="s">
        <v>541</v>
      </c>
      <c r="E1107" t="s">
        <v>542</v>
      </c>
      <c r="F1107" s="2" t="s">
        <v>9</v>
      </c>
      <c r="G1107" t="s">
        <v>10</v>
      </c>
      <c r="H1107" s="2" t="s">
        <v>2096</v>
      </c>
      <c r="I1107" s="2">
        <v>1.7</v>
      </c>
    </row>
    <row r="1108" spans="1:9" x14ac:dyDescent="0.25">
      <c r="A1108" s="1" t="s">
        <v>2100</v>
      </c>
      <c r="B1108" t="s">
        <v>2101</v>
      </c>
      <c r="C1108" s="1" t="s">
        <v>1378</v>
      </c>
      <c r="D1108" s="1" t="s">
        <v>1378</v>
      </c>
      <c r="E1108" t="s">
        <v>1379</v>
      </c>
      <c r="F1108" s="2" t="s">
        <v>1043</v>
      </c>
      <c r="G1108" t="s">
        <v>5</v>
      </c>
      <c r="H1108" s="2" t="s">
        <v>2099</v>
      </c>
      <c r="I1108" s="2">
        <v>0.1</v>
      </c>
    </row>
    <row r="1109" spans="1:9" x14ac:dyDescent="0.25">
      <c r="A1109" s="1" t="s">
        <v>2100</v>
      </c>
      <c r="B1109" t="s">
        <v>2101</v>
      </c>
      <c r="C1109" s="1" t="s">
        <v>541</v>
      </c>
      <c r="D1109" s="1" t="s">
        <v>541</v>
      </c>
      <c r="E1109" t="s">
        <v>542</v>
      </c>
      <c r="F1109" s="2" t="s">
        <v>9</v>
      </c>
      <c r="G1109" t="s">
        <v>10</v>
      </c>
      <c r="H1109" s="2" t="s">
        <v>2096</v>
      </c>
      <c r="I1109" s="2">
        <v>1.7</v>
      </c>
    </row>
    <row r="1110" spans="1:9" x14ac:dyDescent="0.25">
      <c r="A1110" s="1" t="s">
        <v>2102</v>
      </c>
      <c r="B1110" t="s">
        <v>2103</v>
      </c>
      <c r="C1110" s="1" t="s">
        <v>1378</v>
      </c>
      <c r="D1110" s="1" t="s">
        <v>1378</v>
      </c>
      <c r="E1110" t="s">
        <v>1379</v>
      </c>
      <c r="F1110" s="2" t="s">
        <v>1043</v>
      </c>
      <c r="G1110" t="s">
        <v>5</v>
      </c>
      <c r="H1110" s="2" t="s">
        <v>699</v>
      </c>
      <c r="I1110" s="2">
        <v>0.1</v>
      </c>
    </row>
    <row r="1111" spans="1:9" x14ac:dyDescent="0.25">
      <c r="A1111" s="1" t="s">
        <v>2102</v>
      </c>
      <c r="B1111" t="s">
        <v>2103</v>
      </c>
      <c r="C1111" s="1" t="s">
        <v>7</v>
      </c>
      <c r="D1111" s="1" t="s">
        <v>7</v>
      </c>
      <c r="E1111" t="s">
        <v>8</v>
      </c>
      <c r="F1111" s="2" t="s">
        <v>9</v>
      </c>
      <c r="G1111" t="s">
        <v>10</v>
      </c>
      <c r="H1111" s="2" t="s">
        <v>2096</v>
      </c>
      <c r="I1111" s="2">
        <v>1.7</v>
      </c>
    </row>
    <row r="1112" spans="1:9" x14ac:dyDescent="0.25">
      <c r="A1112" s="1" t="s">
        <v>2104</v>
      </c>
      <c r="B1112" t="s">
        <v>2105</v>
      </c>
      <c r="C1112" s="1" t="s">
        <v>1378</v>
      </c>
      <c r="D1112" s="1" t="s">
        <v>1378</v>
      </c>
      <c r="E1112" t="s">
        <v>1379</v>
      </c>
      <c r="F1112" s="2" t="s">
        <v>1043</v>
      </c>
      <c r="G1112" t="s">
        <v>5</v>
      </c>
      <c r="H1112" s="2" t="s">
        <v>2106</v>
      </c>
      <c r="I1112" s="2">
        <v>0.3</v>
      </c>
    </row>
    <row r="1113" spans="1:9" x14ac:dyDescent="0.25">
      <c r="A1113" s="1" t="s">
        <v>2104</v>
      </c>
      <c r="B1113" t="s">
        <v>2105</v>
      </c>
      <c r="C1113" s="1" t="s">
        <v>541</v>
      </c>
      <c r="D1113" s="1" t="s">
        <v>541</v>
      </c>
      <c r="E1113" t="s">
        <v>542</v>
      </c>
      <c r="F1113" s="2" t="s">
        <v>9</v>
      </c>
      <c r="G1113" t="s">
        <v>10</v>
      </c>
      <c r="H1113" s="2" t="s">
        <v>2107</v>
      </c>
      <c r="I1113" s="2">
        <v>2.8</v>
      </c>
    </row>
    <row r="1114" spans="1:9" x14ac:dyDescent="0.25">
      <c r="A1114" s="1" t="s">
        <v>2108</v>
      </c>
      <c r="B1114" t="s">
        <v>2109</v>
      </c>
      <c r="C1114" s="1" t="s">
        <v>2110</v>
      </c>
      <c r="D1114" s="1" t="s">
        <v>2110</v>
      </c>
      <c r="E1114" t="s">
        <v>2111</v>
      </c>
      <c r="F1114" s="2" t="s">
        <v>2112</v>
      </c>
      <c r="G1114" t="s">
        <v>17</v>
      </c>
      <c r="H1114" s="2" t="s">
        <v>2113</v>
      </c>
      <c r="I1114" s="2">
        <v>1.74</v>
      </c>
    </row>
    <row r="1115" spans="1:9" x14ac:dyDescent="0.25">
      <c r="A1115" s="1" t="s">
        <v>2108</v>
      </c>
      <c r="B1115" t="s">
        <v>2109</v>
      </c>
      <c r="C1115" s="1" t="s">
        <v>7</v>
      </c>
      <c r="D1115" s="1" t="s">
        <v>7</v>
      </c>
      <c r="E1115" t="s">
        <v>8</v>
      </c>
      <c r="F1115" s="2" t="s">
        <v>9</v>
      </c>
      <c r="G1115" t="s">
        <v>10</v>
      </c>
      <c r="H1115" s="2" t="s">
        <v>2114</v>
      </c>
      <c r="I1115" s="2">
        <v>15.18</v>
      </c>
    </row>
    <row r="1116" spans="1:9" x14ac:dyDescent="0.25">
      <c r="A1116" s="1" t="s">
        <v>2115</v>
      </c>
      <c r="B1116" t="s">
        <v>2116</v>
      </c>
      <c r="C1116" s="1" t="s">
        <v>2110</v>
      </c>
      <c r="D1116" s="1" t="s">
        <v>2110</v>
      </c>
      <c r="E1116" t="s">
        <v>2111</v>
      </c>
      <c r="F1116" s="2" t="s">
        <v>2112</v>
      </c>
      <c r="G1116" t="s">
        <v>17</v>
      </c>
      <c r="H1116" s="2" t="s">
        <v>2117</v>
      </c>
      <c r="I1116" s="2">
        <v>0.2</v>
      </c>
    </row>
    <row r="1117" spans="1:9" x14ac:dyDescent="0.25">
      <c r="A1117" s="1" t="s">
        <v>2115</v>
      </c>
      <c r="B1117" t="s">
        <v>2116</v>
      </c>
      <c r="C1117" s="1" t="s">
        <v>7</v>
      </c>
      <c r="D1117" s="1" t="s">
        <v>7</v>
      </c>
      <c r="E1117" t="s">
        <v>8</v>
      </c>
      <c r="F1117" s="2" t="s">
        <v>9</v>
      </c>
      <c r="G1117" t="s">
        <v>10</v>
      </c>
      <c r="H1117" s="2" t="s">
        <v>367</v>
      </c>
      <c r="I1117" s="2">
        <v>2.2999999999999998</v>
      </c>
    </row>
    <row r="1118" spans="1:9" x14ac:dyDescent="0.25">
      <c r="A1118" s="1" t="s">
        <v>2118</v>
      </c>
      <c r="B1118" t="s">
        <v>2119</v>
      </c>
      <c r="C1118" s="1" t="s">
        <v>2110</v>
      </c>
      <c r="D1118" s="1" t="s">
        <v>2110</v>
      </c>
      <c r="E1118" t="s">
        <v>2111</v>
      </c>
      <c r="F1118" s="2" t="s">
        <v>2112</v>
      </c>
      <c r="G1118" t="s">
        <v>17</v>
      </c>
      <c r="H1118" s="2" t="s">
        <v>2120</v>
      </c>
      <c r="I1118" s="2">
        <v>0.25</v>
      </c>
    </row>
    <row r="1119" spans="1:9" x14ac:dyDescent="0.25">
      <c r="A1119" s="1" t="s">
        <v>2118</v>
      </c>
      <c r="B1119" t="s">
        <v>2119</v>
      </c>
      <c r="C1119" s="1" t="s">
        <v>7</v>
      </c>
      <c r="D1119" s="1" t="s">
        <v>7</v>
      </c>
      <c r="E1119" t="s">
        <v>8</v>
      </c>
      <c r="F1119" s="2" t="s">
        <v>9</v>
      </c>
      <c r="G1119" t="s">
        <v>10</v>
      </c>
      <c r="H1119" s="2" t="s">
        <v>367</v>
      </c>
      <c r="I1119" s="2">
        <v>2.2999999999999998</v>
      </c>
    </row>
    <row r="1120" spans="1:9" x14ac:dyDescent="0.25">
      <c r="A1120" s="1" t="s">
        <v>2121</v>
      </c>
      <c r="B1120" t="s">
        <v>2122</v>
      </c>
      <c r="C1120" s="1" t="s">
        <v>2110</v>
      </c>
      <c r="D1120" s="1" t="s">
        <v>2110</v>
      </c>
      <c r="E1120" t="s">
        <v>2111</v>
      </c>
      <c r="F1120" s="2" t="s">
        <v>2112</v>
      </c>
      <c r="G1120" t="s">
        <v>17</v>
      </c>
      <c r="H1120" s="2" t="s">
        <v>2123</v>
      </c>
      <c r="I1120" s="2">
        <v>0.3</v>
      </c>
    </row>
    <row r="1121" spans="1:9" x14ac:dyDescent="0.25">
      <c r="A1121" s="1" t="s">
        <v>2121</v>
      </c>
      <c r="B1121" t="s">
        <v>2122</v>
      </c>
      <c r="C1121" s="1" t="s">
        <v>7</v>
      </c>
      <c r="D1121" s="1" t="s">
        <v>7</v>
      </c>
      <c r="E1121" t="s">
        <v>8</v>
      </c>
      <c r="F1121" s="2" t="s">
        <v>9</v>
      </c>
      <c r="G1121" t="s">
        <v>10</v>
      </c>
      <c r="H1121" s="2" t="s">
        <v>367</v>
      </c>
      <c r="I1121" s="2">
        <v>2.2999999999999998</v>
      </c>
    </row>
    <row r="1122" spans="1:9" x14ac:dyDescent="0.25">
      <c r="A1122" s="1" t="s">
        <v>2124</v>
      </c>
      <c r="B1122" t="s">
        <v>2125</v>
      </c>
      <c r="C1122" s="1" t="s">
        <v>2110</v>
      </c>
      <c r="D1122" s="1" t="s">
        <v>2110</v>
      </c>
      <c r="E1122" t="s">
        <v>2111</v>
      </c>
      <c r="F1122" s="2" t="s">
        <v>2112</v>
      </c>
      <c r="G1122" t="s">
        <v>17</v>
      </c>
      <c r="H1122" s="2" t="s">
        <v>2126</v>
      </c>
      <c r="I1122" s="2">
        <v>0.35</v>
      </c>
    </row>
    <row r="1123" spans="1:9" x14ac:dyDescent="0.25">
      <c r="A1123" s="1" t="s">
        <v>2124</v>
      </c>
      <c r="B1123" t="s">
        <v>2125</v>
      </c>
      <c r="C1123" s="1" t="s">
        <v>7</v>
      </c>
      <c r="D1123" s="1" t="s">
        <v>7</v>
      </c>
      <c r="E1123" t="s">
        <v>8</v>
      </c>
      <c r="F1123" s="2" t="s">
        <v>9</v>
      </c>
      <c r="G1123" t="s">
        <v>10</v>
      </c>
      <c r="H1123" s="2" t="s">
        <v>367</v>
      </c>
      <c r="I1123" s="2">
        <v>2.2999999999999998</v>
      </c>
    </row>
    <row r="1124" spans="1:9" x14ac:dyDescent="0.25">
      <c r="A1124" s="1" t="s">
        <v>46</v>
      </c>
      <c r="B1124" t="s">
        <v>47</v>
      </c>
      <c r="C1124" s="1" t="s">
        <v>1203</v>
      </c>
      <c r="D1124" s="1" t="s">
        <v>1203</v>
      </c>
      <c r="E1124" t="s">
        <v>1204</v>
      </c>
      <c r="F1124" s="2" t="s">
        <v>1232</v>
      </c>
      <c r="G1124" t="s">
        <v>5</v>
      </c>
      <c r="H1124" s="2" t="s">
        <v>2127</v>
      </c>
      <c r="I1124" s="2">
        <v>0.5</v>
      </c>
    </row>
    <row r="1125" spans="1:9" x14ac:dyDescent="0.25">
      <c r="A1125" s="1" t="s">
        <v>46</v>
      </c>
      <c r="B1125" t="s">
        <v>47</v>
      </c>
      <c r="C1125" s="1" t="s">
        <v>432</v>
      </c>
      <c r="D1125" s="1" t="s">
        <v>432</v>
      </c>
      <c r="E1125" t="s">
        <v>433</v>
      </c>
      <c r="F1125" s="2" t="s">
        <v>434</v>
      </c>
      <c r="G1125" t="s">
        <v>435</v>
      </c>
      <c r="H1125" s="2" t="s">
        <v>92</v>
      </c>
      <c r="I1125" s="2">
        <v>2.2000000000000002</v>
      </c>
    </row>
    <row r="1126" spans="1:9" x14ac:dyDescent="0.25">
      <c r="A1126" s="1" t="s">
        <v>46</v>
      </c>
      <c r="B1126" t="s">
        <v>47</v>
      </c>
      <c r="C1126" s="1" t="s">
        <v>7</v>
      </c>
      <c r="D1126" s="1" t="s">
        <v>7</v>
      </c>
      <c r="E1126" t="s">
        <v>8</v>
      </c>
      <c r="F1126" s="2" t="s">
        <v>9</v>
      </c>
      <c r="G1126" t="s">
        <v>10</v>
      </c>
      <c r="H1126" s="2" t="s">
        <v>33</v>
      </c>
      <c r="I1126" s="2">
        <v>9.1999999999999993</v>
      </c>
    </row>
    <row r="1127" spans="1:9" x14ac:dyDescent="0.25">
      <c r="A1127" s="1" t="s">
        <v>2128</v>
      </c>
      <c r="B1127" t="s">
        <v>2129</v>
      </c>
      <c r="C1127" s="1" t="s">
        <v>1022</v>
      </c>
      <c r="D1127" s="1" t="s">
        <v>1022</v>
      </c>
      <c r="E1127" t="s">
        <v>1023</v>
      </c>
      <c r="F1127" s="2" t="s">
        <v>1024</v>
      </c>
      <c r="G1127" t="s">
        <v>932</v>
      </c>
      <c r="H1127" s="2" t="s">
        <v>33</v>
      </c>
      <c r="I1127" s="2">
        <v>2.78</v>
      </c>
    </row>
    <row r="1128" spans="1:9" x14ac:dyDescent="0.25">
      <c r="A1128" s="1" t="s">
        <v>2128</v>
      </c>
      <c r="B1128" t="s">
        <v>2129</v>
      </c>
      <c r="C1128" s="1" t="s">
        <v>541</v>
      </c>
      <c r="D1128" s="1" t="s">
        <v>541</v>
      </c>
      <c r="E1128" t="s">
        <v>542</v>
      </c>
      <c r="F1128" s="2" t="s">
        <v>9</v>
      </c>
      <c r="G1128" t="s">
        <v>10</v>
      </c>
      <c r="H1128" s="2" t="s">
        <v>1141</v>
      </c>
      <c r="I1128" s="2">
        <v>5.75</v>
      </c>
    </row>
    <row r="1129" spans="1:9" x14ac:dyDescent="0.25">
      <c r="A1129" s="1" t="s">
        <v>2130</v>
      </c>
      <c r="B1129" t="s">
        <v>2131</v>
      </c>
      <c r="C1129" s="1" t="s">
        <v>1367</v>
      </c>
      <c r="D1129" s="1" t="s">
        <v>1367</v>
      </c>
      <c r="E1129" t="s">
        <v>2132</v>
      </c>
      <c r="F1129" s="2" t="s">
        <v>1369</v>
      </c>
      <c r="G1129" t="s">
        <v>5</v>
      </c>
      <c r="H1129" s="2" t="s">
        <v>2133</v>
      </c>
      <c r="I1129" s="2">
        <v>4.3</v>
      </c>
    </row>
    <row r="1130" spans="1:9" x14ac:dyDescent="0.25">
      <c r="A1130" s="1" t="s">
        <v>2130</v>
      </c>
      <c r="B1130" t="s">
        <v>2131</v>
      </c>
      <c r="C1130" s="1" t="s">
        <v>7</v>
      </c>
      <c r="D1130" s="1" t="s">
        <v>7</v>
      </c>
      <c r="E1130" t="s">
        <v>8</v>
      </c>
      <c r="F1130" s="2" t="s">
        <v>9</v>
      </c>
      <c r="G1130" t="s">
        <v>10</v>
      </c>
      <c r="H1130" s="2" t="s">
        <v>2134</v>
      </c>
      <c r="I1130" s="2">
        <v>2.6</v>
      </c>
    </row>
    <row r="1131" spans="1:9" x14ac:dyDescent="0.25">
      <c r="A1131" s="1" t="s">
        <v>2135</v>
      </c>
      <c r="B1131" t="s">
        <v>2136</v>
      </c>
      <c r="C1131" s="1" t="s">
        <v>1367</v>
      </c>
      <c r="D1131" s="1" t="s">
        <v>1367</v>
      </c>
      <c r="E1131" t="s">
        <v>2132</v>
      </c>
      <c r="F1131" s="2" t="s">
        <v>1369</v>
      </c>
      <c r="G1131" t="s">
        <v>5</v>
      </c>
      <c r="H1131" s="2" t="s">
        <v>2137</v>
      </c>
      <c r="I1131" s="2">
        <v>2.75</v>
      </c>
    </row>
    <row r="1132" spans="1:9" x14ac:dyDescent="0.25">
      <c r="A1132" s="1" t="s">
        <v>2135</v>
      </c>
      <c r="B1132" t="s">
        <v>2136</v>
      </c>
      <c r="C1132" s="1" t="s">
        <v>7</v>
      </c>
      <c r="D1132" s="1" t="s">
        <v>7</v>
      </c>
      <c r="E1132" t="s">
        <v>8</v>
      </c>
      <c r="F1132" s="2" t="s">
        <v>9</v>
      </c>
      <c r="G1132" t="s">
        <v>10</v>
      </c>
      <c r="H1132" s="2" t="s">
        <v>2138</v>
      </c>
      <c r="I1132" s="2">
        <v>2.5499999999999998</v>
      </c>
    </row>
    <row r="1133" spans="1:9" x14ac:dyDescent="0.25">
      <c r="A1133" s="1" t="s">
        <v>2139</v>
      </c>
      <c r="B1133" t="s">
        <v>2140</v>
      </c>
      <c r="C1133" s="1" t="s">
        <v>1345</v>
      </c>
      <c r="D1133" s="1" t="s">
        <v>1345</v>
      </c>
      <c r="E1133" t="s">
        <v>1346</v>
      </c>
      <c r="F1133" s="2" t="s">
        <v>1369</v>
      </c>
      <c r="G1133" t="s">
        <v>5</v>
      </c>
      <c r="H1133" s="2" t="s">
        <v>2141</v>
      </c>
      <c r="I1133" s="2">
        <v>0.05</v>
      </c>
    </row>
    <row r="1134" spans="1:9" x14ac:dyDescent="0.25">
      <c r="A1134" s="1" t="s">
        <v>2139</v>
      </c>
      <c r="B1134" t="s">
        <v>2140</v>
      </c>
      <c r="C1134" s="1" t="s">
        <v>7</v>
      </c>
      <c r="D1134" s="1" t="s">
        <v>7</v>
      </c>
      <c r="E1134" t="s">
        <v>8</v>
      </c>
      <c r="F1134" s="2" t="s">
        <v>9</v>
      </c>
      <c r="G1134" t="s">
        <v>10</v>
      </c>
      <c r="H1134" s="2" t="s">
        <v>2142</v>
      </c>
      <c r="I1134" s="2">
        <v>0.95</v>
      </c>
    </row>
    <row r="1135" spans="1:9" x14ac:dyDescent="0.25">
      <c r="A1135" s="1" t="s">
        <v>2143</v>
      </c>
      <c r="B1135" t="s">
        <v>2144</v>
      </c>
      <c r="C1135" s="1" t="s">
        <v>1345</v>
      </c>
      <c r="D1135" s="1" t="s">
        <v>1345</v>
      </c>
      <c r="E1135" t="s">
        <v>1346</v>
      </c>
      <c r="F1135" s="2" t="s">
        <v>1369</v>
      </c>
      <c r="G1135" t="s">
        <v>5</v>
      </c>
      <c r="H1135" s="2" t="s">
        <v>2145</v>
      </c>
      <c r="I1135" s="2">
        <v>0.75</v>
      </c>
    </row>
    <row r="1136" spans="1:9" x14ac:dyDescent="0.25">
      <c r="A1136" s="1" t="s">
        <v>2143</v>
      </c>
      <c r="B1136" t="s">
        <v>2144</v>
      </c>
      <c r="C1136" s="1" t="s">
        <v>7</v>
      </c>
      <c r="D1136" s="1" t="s">
        <v>7</v>
      </c>
      <c r="E1136" t="s">
        <v>8</v>
      </c>
      <c r="F1136" s="2" t="s">
        <v>9</v>
      </c>
      <c r="G1136" t="s">
        <v>10</v>
      </c>
      <c r="H1136" s="2" t="s">
        <v>2146</v>
      </c>
      <c r="I1136" s="2">
        <v>3.25</v>
      </c>
    </row>
    <row r="1137" spans="1:9" x14ac:dyDescent="0.25">
      <c r="A1137" s="1" t="s">
        <v>2147</v>
      </c>
      <c r="B1137" t="s">
        <v>2148</v>
      </c>
      <c r="C1137" s="1" t="s">
        <v>2149</v>
      </c>
      <c r="D1137" s="1" t="s">
        <v>2149</v>
      </c>
      <c r="E1137" t="s">
        <v>2150</v>
      </c>
      <c r="F1137" s="2" t="s">
        <v>2151</v>
      </c>
      <c r="G1137" t="s">
        <v>49</v>
      </c>
      <c r="H1137" s="2" t="s">
        <v>605</v>
      </c>
      <c r="I1137" s="2">
        <v>8.61</v>
      </c>
    </row>
    <row r="1138" spans="1:9" x14ac:dyDescent="0.25">
      <c r="A1138" s="1" t="s">
        <v>2147</v>
      </c>
      <c r="B1138" t="s">
        <v>2148</v>
      </c>
      <c r="C1138" s="1" t="s">
        <v>541</v>
      </c>
      <c r="D1138" s="1" t="s">
        <v>541</v>
      </c>
      <c r="E1138" t="s">
        <v>542</v>
      </c>
      <c r="F1138" s="2" t="s">
        <v>9</v>
      </c>
      <c r="G1138" t="s">
        <v>10</v>
      </c>
      <c r="H1138" s="2" t="s">
        <v>478</v>
      </c>
      <c r="I1138" s="2">
        <v>3.68</v>
      </c>
    </row>
    <row r="1139" spans="1:9" x14ac:dyDescent="0.25">
      <c r="A1139" s="1" t="s">
        <v>2152</v>
      </c>
      <c r="B1139" t="s">
        <v>2153</v>
      </c>
      <c r="C1139" s="1" t="s">
        <v>1345</v>
      </c>
      <c r="D1139" s="1" t="s">
        <v>1345</v>
      </c>
      <c r="E1139" t="s">
        <v>1346</v>
      </c>
      <c r="F1139" s="2" t="s">
        <v>1347</v>
      </c>
      <c r="G1139" t="s">
        <v>5</v>
      </c>
      <c r="H1139" s="2" t="s">
        <v>2154</v>
      </c>
      <c r="I1139" s="2">
        <v>0.66</v>
      </c>
    </row>
    <row r="1140" spans="1:9" x14ac:dyDescent="0.25">
      <c r="A1140" s="1" t="s">
        <v>2152</v>
      </c>
      <c r="B1140" t="s">
        <v>2153</v>
      </c>
      <c r="C1140" s="1" t="s">
        <v>7</v>
      </c>
      <c r="D1140" s="1" t="s">
        <v>7</v>
      </c>
      <c r="E1140" t="s">
        <v>8</v>
      </c>
      <c r="F1140" s="2" t="s">
        <v>9</v>
      </c>
      <c r="G1140" t="s">
        <v>10</v>
      </c>
      <c r="H1140" s="2" t="s">
        <v>2155</v>
      </c>
      <c r="I1140" s="2">
        <v>3.4</v>
      </c>
    </row>
    <row r="1141" spans="1:9" x14ac:dyDescent="0.25">
      <c r="A1141" s="1" t="s">
        <v>2156</v>
      </c>
      <c r="B1141" t="s">
        <v>2157</v>
      </c>
      <c r="C1141" s="1" t="s">
        <v>2149</v>
      </c>
      <c r="D1141" s="1" t="s">
        <v>2149</v>
      </c>
      <c r="E1141" t="s">
        <v>2150</v>
      </c>
      <c r="F1141" s="2" t="s">
        <v>2151</v>
      </c>
      <c r="G1141" t="s">
        <v>49</v>
      </c>
      <c r="H1141" s="2" t="s">
        <v>605</v>
      </c>
      <c r="I1141" s="2">
        <v>8.61</v>
      </c>
    </row>
    <row r="1142" spans="1:9" x14ac:dyDescent="0.25">
      <c r="A1142" s="1" t="s">
        <v>2156</v>
      </c>
      <c r="B1142" t="s">
        <v>2157</v>
      </c>
      <c r="C1142" s="1" t="s">
        <v>541</v>
      </c>
      <c r="D1142" s="1" t="s">
        <v>541</v>
      </c>
      <c r="E1142" t="s">
        <v>542</v>
      </c>
      <c r="F1142" s="2" t="s">
        <v>9</v>
      </c>
      <c r="G1142" t="s">
        <v>10</v>
      </c>
      <c r="H1142" s="2" t="s">
        <v>2158</v>
      </c>
      <c r="I1142" s="2">
        <v>3.82</v>
      </c>
    </row>
    <row r="1143" spans="1:9" x14ac:dyDescent="0.25">
      <c r="A1143" s="1" t="s">
        <v>954</v>
      </c>
      <c r="B1143" t="s">
        <v>955</v>
      </c>
      <c r="C1143" s="1" t="s">
        <v>1367</v>
      </c>
      <c r="D1143" s="1" t="s">
        <v>1367</v>
      </c>
      <c r="E1143" t="s">
        <v>2132</v>
      </c>
      <c r="F1143" s="2" t="s">
        <v>1347</v>
      </c>
      <c r="G1143" t="s">
        <v>5</v>
      </c>
      <c r="H1143" s="2" t="s">
        <v>2159</v>
      </c>
      <c r="I1143" s="2">
        <v>1.43</v>
      </c>
    </row>
    <row r="1144" spans="1:9" x14ac:dyDescent="0.25">
      <c r="A1144" s="1" t="s">
        <v>954</v>
      </c>
      <c r="B1144" t="s">
        <v>955</v>
      </c>
      <c r="C1144" s="1" t="s">
        <v>7</v>
      </c>
      <c r="D1144" s="1" t="s">
        <v>7</v>
      </c>
      <c r="E1144" t="s">
        <v>8</v>
      </c>
      <c r="F1144" s="2" t="s">
        <v>9</v>
      </c>
      <c r="G1144" t="s">
        <v>10</v>
      </c>
      <c r="H1144" s="2" t="s">
        <v>2160</v>
      </c>
      <c r="I1144" s="2">
        <v>1.42</v>
      </c>
    </row>
    <row r="1145" spans="1:9" x14ac:dyDescent="0.25">
      <c r="A1145" s="1" t="s">
        <v>958</v>
      </c>
      <c r="B1145" t="s">
        <v>959</v>
      </c>
      <c r="C1145" s="1" t="s">
        <v>2161</v>
      </c>
      <c r="D1145" s="1" t="s">
        <v>2161</v>
      </c>
      <c r="E1145" t="s">
        <v>2162</v>
      </c>
      <c r="F1145" s="2" t="s">
        <v>1354</v>
      </c>
      <c r="G1145" t="s">
        <v>5</v>
      </c>
      <c r="H1145" s="2" t="s">
        <v>2163</v>
      </c>
      <c r="I1145" s="2">
        <v>0.35</v>
      </c>
    </row>
    <row r="1146" spans="1:9" x14ac:dyDescent="0.25">
      <c r="A1146" s="1" t="s">
        <v>958</v>
      </c>
      <c r="B1146" t="s">
        <v>959</v>
      </c>
      <c r="C1146" s="1" t="s">
        <v>7</v>
      </c>
      <c r="D1146" s="1" t="s">
        <v>7</v>
      </c>
      <c r="E1146" t="s">
        <v>8</v>
      </c>
      <c r="F1146" s="2" t="s">
        <v>9</v>
      </c>
      <c r="G1146" t="s">
        <v>10</v>
      </c>
      <c r="H1146" s="2" t="s">
        <v>1492</v>
      </c>
      <c r="I1146" s="2">
        <v>3.5</v>
      </c>
    </row>
    <row r="1147" spans="1:9" x14ac:dyDescent="0.25">
      <c r="A1147" s="1" t="s">
        <v>2164</v>
      </c>
      <c r="B1147" t="s">
        <v>2165</v>
      </c>
      <c r="C1147" s="1" t="s">
        <v>1345</v>
      </c>
      <c r="D1147" s="1" t="s">
        <v>1345</v>
      </c>
      <c r="E1147" t="s">
        <v>1346</v>
      </c>
      <c r="F1147" s="2" t="s">
        <v>1369</v>
      </c>
      <c r="G1147" t="s">
        <v>5</v>
      </c>
      <c r="H1147" s="2" t="s">
        <v>2166</v>
      </c>
      <c r="I1147" s="2">
        <v>0.15</v>
      </c>
    </row>
    <row r="1148" spans="1:9" x14ac:dyDescent="0.25">
      <c r="A1148" s="1" t="s">
        <v>2164</v>
      </c>
      <c r="B1148" t="s">
        <v>2165</v>
      </c>
      <c r="C1148" s="1" t="s">
        <v>7</v>
      </c>
      <c r="D1148" s="1" t="s">
        <v>7</v>
      </c>
      <c r="E1148" t="s">
        <v>8</v>
      </c>
      <c r="F1148" s="2" t="s">
        <v>9</v>
      </c>
      <c r="G1148" t="s">
        <v>10</v>
      </c>
      <c r="H1148" s="2" t="s">
        <v>2142</v>
      </c>
      <c r="I1148" s="2">
        <v>0.95</v>
      </c>
    </row>
    <row r="1149" spans="1:9" x14ac:dyDescent="0.25">
      <c r="A1149" s="1" t="s">
        <v>2167</v>
      </c>
      <c r="B1149" t="s">
        <v>2168</v>
      </c>
      <c r="C1149" s="1" t="s">
        <v>2169</v>
      </c>
      <c r="D1149" s="1" t="s">
        <v>2169</v>
      </c>
      <c r="E1149" t="s">
        <v>2170</v>
      </c>
      <c r="F1149" s="2" t="s">
        <v>2171</v>
      </c>
      <c r="G1149" t="s">
        <v>17</v>
      </c>
      <c r="H1149" s="2" t="s">
        <v>25</v>
      </c>
      <c r="I1149" s="2">
        <v>33</v>
      </c>
    </row>
    <row r="1150" spans="1:9" x14ac:dyDescent="0.25">
      <c r="A1150" s="1" t="s">
        <v>2167</v>
      </c>
      <c r="B1150" t="s">
        <v>2168</v>
      </c>
      <c r="C1150" s="1" t="s">
        <v>7</v>
      </c>
      <c r="D1150" s="1" t="s">
        <v>7</v>
      </c>
      <c r="E1150" t="s">
        <v>8</v>
      </c>
      <c r="F1150" s="2" t="s">
        <v>9</v>
      </c>
      <c r="G1150" t="s">
        <v>10</v>
      </c>
      <c r="H1150" s="2" t="s">
        <v>2172</v>
      </c>
      <c r="I1150" s="2">
        <v>24.1</v>
      </c>
    </row>
    <row r="1151" spans="1:9" x14ac:dyDescent="0.25">
      <c r="A1151" s="1" t="s">
        <v>2173</v>
      </c>
      <c r="B1151" t="s">
        <v>2174</v>
      </c>
      <c r="C1151" s="1" t="s">
        <v>2175</v>
      </c>
      <c r="D1151" s="1" t="s">
        <v>2175</v>
      </c>
      <c r="E1151" t="s">
        <v>2176</v>
      </c>
      <c r="F1151" s="2" t="s">
        <v>1408</v>
      </c>
      <c r="G1151" t="s">
        <v>2177</v>
      </c>
      <c r="H1151" s="2" t="s">
        <v>2178</v>
      </c>
      <c r="I1151" s="2">
        <v>0.6</v>
      </c>
    </row>
    <row r="1152" spans="1:9" x14ac:dyDescent="0.25">
      <c r="A1152" s="1" t="s">
        <v>2173</v>
      </c>
      <c r="B1152" t="s">
        <v>2174</v>
      </c>
      <c r="C1152" s="1" t="s">
        <v>7</v>
      </c>
      <c r="D1152" s="1" t="s">
        <v>7</v>
      </c>
      <c r="E1152" t="s">
        <v>8</v>
      </c>
      <c r="F1152" s="2" t="s">
        <v>9</v>
      </c>
      <c r="G1152" t="s">
        <v>10</v>
      </c>
      <c r="H1152" s="2" t="s">
        <v>2179</v>
      </c>
      <c r="I1152" s="2">
        <v>1.9</v>
      </c>
    </row>
    <row r="1153" spans="1:9" x14ac:dyDescent="0.25">
      <c r="A1153" s="1" t="s">
        <v>2180</v>
      </c>
      <c r="B1153" t="s">
        <v>2181</v>
      </c>
      <c r="C1153" s="1" t="s">
        <v>2182</v>
      </c>
      <c r="D1153" s="1" t="s">
        <v>2182</v>
      </c>
      <c r="E1153" t="s">
        <v>2183</v>
      </c>
      <c r="F1153" s="2" t="s">
        <v>2184</v>
      </c>
      <c r="G1153" t="s">
        <v>121</v>
      </c>
      <c r="H1153" s="2" t="s">
        <v>50</v>
      </c>
      <c r="I1153" s="2">
        <v>2.86</v>
      </c>
    </row>
    <row r="1154" spans="1:9" x14ac:dyDescent="0.25">
      <c r="A1154" s="1" t="s">
        <v>2180</v>
      </c>
      <c r="B1154" t="s">
        <v>2181</v>
      </c>
      <c r="C1154" s="1" t="s">
        <v>7</v>
      </c>
      <c r="D1154" s="1" t="s">
        <v>7</v>
      </c>
      <c r="E1154" t="s">
        <v>8</v>
      </c>
      <c r="F1154" s="2" t="s">
        <v>9</v>
      </c>
      <c r="G1154" t="s">
        <v>10</v>
      </c>
      <c r="H1154" s="2" t="s">
        <v>607</v>
      </c>
      <c r="I1154" s="2">
        <v>18.399999999999999</v>
      </c>
    </row>
    <row r="1155" spans="1:9" x14ac:dyDescent="0.25">
      <c r="A1155" s="1" t="s">
        <v>2185</v>
      </c>
      <c r="B1155" t="s">
        <v>2186</v>
      </c>
      <c r="C1155" s="1" t="s">
        <v>1249</v>
      </c>
      <c r="D1155" s="1" t="s">
        <v>1249</v>
      </c>
      <c r="E1155" t="s">
        <v>1250</v>
      </c>
      <c r="F1155" s="2" t="s">
        <v>1251</v>
      </c>
      <c r="G1155" t="s">
        <v>1252</v>
      </c>
      <c r="H1155" s="2" t="s">
        <v>548</v>
      </c>
      <c r="I1155" s="2">
        <v>22.2</v>
      </c>
    </row>
    <row r="1156" spans="1:9" x14ac:dyDescent="0.25">
      <c r="A1156" s="1" t="s">
        <v>2185</v>
      </c>
      <c r="B1156" t="s">
        <v>2186</v>
      </c>
      <c r="C1156" s="1" t="s">
        <v>541</v>
      </c>
      <c r="D1156" s="1" t="s">
        <v>541</v>
      </c>
      <c r="E1156" t="s">
        <v>542</v>
      </c>
      <c r="F1156" s="2" t="s">
        <v>9</v>
      </c>
      <c r="G1156" t="s">
        <v>10</v>
      </c>
      <c r="H1156" s="2" t="s">
        <v>33</v>
      </c>
      <c r="I1156" s="2">
        <v>9.1999999999999993</v>
      </c>
    </row>
    <row r="1157" spans="1:9" x14ac:dyDescent="0.25">
      <c r="A1157" s="1" t="s">
        <v>2185</v>
      </c>
      <c r="B1157" t="s">
        <v>2186</v>
      </c>
      <c r="C1157" s="1" t="s">
        <v>541</v>
      </c>
      <c r="D1157" s="1" t="s">
        <v>541</v>
      </c>
      <c r="E1157" t="s">
        <v>542</v>
      </c>
      <c r="F1157" s="2" t="s">
        <v>9</v>
      </c>
      <c r="G1157" t="s">
        <v>10</v>
      </c>
      <c r="H1157" s="2" t="s">
        <v>2187</v>
      </c>
      <c r="I1157" s="2">
        <v>67.63</v>
      </c>
    </row>
    <row r="1158" spans="1:9" x14ac:dyDescent="0.25">
      <c r="A1158" s="1" t="s">
        <v>2188</v>
      </c>
      <c r="B1158" t="s">
        <v>2189</v>
      </c>
      <c r="C1158" s="1" t="s">
        <v>1047</v>
      </c>
      <c r="D1158" s="1" t="s">
        <v>1047</v>
      </c>
      <c r="E1158" t="s">
        <v>1048</v>
      </c>
      <c r="F1158" s="2" t="s">
        <v>1434</v>
      </c>
      <c r="G1158" t="s">
        <v>17</v>
      </c>
      <c r="H1158" s="2" t="s">
        <v>2190</v>
      </c>
      <c r="I1158" s="2">
        <v>3.1</v>
      </c>
    </row>
    <row r="1159" spans="1:9" x14ac:dyDescent="0.25">
      <c r="A1159" s="1" t="s">
        <v>2188</v>
      </c>
      <c r="B1159" t="s">
        <v>2189</v>
      </c>
      <c r="C1159" s="1" t="s">
        <v>7</v>
      </c>
      <c r="D1159" s="1" t="s">
        <v>7</v>
      </c>
      <c r="E1159" t="s">
        <v>8</v>
      </c>
      <c r="F1159" s="2" t="s">
        <v>9</v>
      </c>
      <c r="G1159" t="s">
        <v>10</v>
      </c>
      <c r="H1159" s="2" t="s">
        <v>860</v>
      </c>
      <c r="I1159" s="2">
        <v>23</v>
      </c>
    </row>
    <row r="1160" spans="1:9" x14ac:dyDescent="0.25">
      <c r="A1160" s="1" t="s">
        <v>2191</v>
      </c>
      <c r="B1160" t="s">
        <v>2192</v>
      </c>
      <c r="C1160" s="1" t="s">
        <v>2</v>
      </c>
      <c r="D1160" s="1" t="s">
        <v>2</v>
      </c>
      <c r="E1160" t="s">
        <v>3</v>
      </c>
      <c r="F1160" s="2" t="s">
        <v>4</v>
      </c>
      <c r="G1160" t="s">
        <v>5</v>
      </c>
      <c r="H1160" s="2" t="s">
        <v>2193</v>
      </c>
      <c r="I1160" s="2">
        <v>0.45</v>
      </c>
    </row>
    <row r="1161" spans="1:9" x14ac:dyDescent="0.25">
      <c r="A1161" s="1" t="s">
        <v>2191</v>
      </c>
      <c r="B1161" t="s">
        <v>2192</v>
      </c>
      <c r="C1161" s="1" t="s">
        <v>541</v>
      </c>
      <c r="D1161" s="1" t="s">
        <v>541</v>
      </c>
      <c r="E1161" t="s">
        <v>542</v>
      </c>
      <c r="F1161" s="2" t="s">
        <v>9</v>
      </c>
      <c r="G1161" t="s">
        <v>10</v>
      </c>
      <c r="H1161" s="2" t="s">
        <v>2194</v>
      </c>
      <c r="I1161" s="2">
        <v>8.2799999999999994</v>
      </c>
    </row>
    <row r="1162" spans="1:9" x14ac:dyDescent="0.25">
      <c r="A1162" s="1" t="s">
        <v>2195</v>
      </c>
      <c r="B1162" t="s">
        <v>2196</v>
      </c>
      <c r="C1162" s="1" t="s">
        <v>2197</v>
      </c>
      <c r="D1162" s="1" t="s">
        <v>2197</v>
      </c>
      <c r="E1162" t="s">
        <v>2198</v>
      </c>
      <c r="F1162" s="2" t="s">
        <v>1768</v>
      </c>
      <c r="G1162" t="s">
        <v>49</v>
      </c>
      <c r="H1162" s="2" t="s">
        <v>50</v>
      </c>
      <c r="I1162" s="2">
        <v>0</v>
      </c>
    </row>
    <row r="1163" spans="1:9" x14ac:dyDescent="0.25">
      <c r="A1163" s="1" t="s">
        <v>2195</v>
      </c>
      <c r="B1163" t="s">
        <v>2196</v>
      </c>
      <c r="C1163" s="1" t="s">
        <v>7</v>
      </c>
      <c r="D1163" s="1" t="s">
        <v>7</v>
      </c>
      <c r="E1163" t="s">
        <v>8</v>
      </c>
      <c r="F1163" s="2" t="s">
        <v>9</v>
      </c>
      <c r="G1163" t="s">
        <v>10</v>
      </c>
      <c r="H1163" s="2" t="s">
        <v>2199</v>
      </c>
      <c r="I1163" s="2">
        <v>2.3199999999999998</v>
      </c>
    </row>
    <row r="1164" spans="1:9" x14ac:dyDescent="0.25">
      <c r="A1164" s="1" t="s">
        <v>2200</v>
      </c>
      <c r="B1164" t="s">
        <v>2201</v>
      </c>
      <c r="C1164" s="1" t="s">
        <v>471</v>
      </c>
      <c r="D1164" s="1" t="s">
        <v>471</v>
      </c>
      <c r="E1164" t="s">
        <v>472</v>
      </c>
      <c r="F1164" s="2" t="s">
        <v>473</v>
      </c>
      <c r="G1164" t="s">
        <v>5</v>
      </c>
      <c r="H1164" s="2" t="s">
        <v>2202</v>
      </c>
      <c r="I1164" s="2">
        <v>12.8</v>
      </c>
    </row>
    <row r="1165" spans="1:9" x14ac:dyDescent="0.25">
      <c r="A1165" s="1" t="s">
        <v>2200</v>
      </c>
      <c r="B1165" t="s">
        <v>2201</v>
      </c>
      <c r="C1165" s="1" t="s">
        <v>475</v>
      </c>
      <c r="D1165" s="1" t="s">
        <v>475</v>
      </c>
      <c r="E1165" t="s">
        <v>476</v>
      </c>
      <c r="F1165" s="2" t="s">
        <v>477</v>
      </c>
      <c r="G1165" t="s">
        <v>39</v>
      </c>
      <c r="H1165" s="2" t="s">
        <v>478</v>
      </c>
      <c r="I1165" s="2">
        <v>0.41</v>
      </c>
    </row>
    <row r="1166" spans="1:9" x14ac:dyDescent="0.25">
      <c r="A1166" s="1" t="s">
        <v>2200</v>
      </c>
      <c r="B1166" t="s">
        <v>2201</v>
      </c>
      <c r="C1166" s="1" t="s">
        <v>479</v>
      </c>
      <c r="D1166" s="1" t="s">
        <v>479</v>
      </c>
      <c r="E1166" t="s">
        <v>480</v>
      </c>
      <c r="F1166" s="2" t="s">
        <v>481</v>
      </c>
      <c r="G1166" t="s">
        <v>5</v>
      </c>
      <c r="H1166" s="2" t="s">
        <v>2203</v>
      </c>
      <c r="I1166" s="2">
        <v>0.16</v>
      </c>
    </row>
    <row r="1167" spans="1:9" x14ac:dyDescent="0.25">
      <c r="A1167" s="1" t="s">
        <v>2200</v>
      </c>
      <c r="B1167" t="s">
        <v>2201</v>
      </c>
      <c r="C1167" s="1" t="s">
        <v>483</v>
      </c>
      <c r="D1167" s="1" t="s">
        <v>483</v>
      </c>
      <c r="E1167" t="s">
        <v>484</v>
      </c>
      <c r="F1167" s="2" t="s">
        <v>485</v>
      </c>
      <c r="G1167" t="s">
        <v>5</v>
      </c>
      <c r="H1167" s="2" t="s">
        <v>573</v>
      </c>
      <c r="I1167" s="2">
        <v>0.01</v>
      </c>
    </row>
    <row r="1168" spans="1:9" x14ac:dyDescent="0.25">
      <c r="A1168" s="1" t="s">
        <v>2200</v>
      </c>
      <c r="B1168" t="s">
        <v>2201</v>
      </c>
      <c r="C1168" s="1" t="s">
        <v>487</v>
      </c>
      <c r="D1168" s="1" t="s">
        <v>487</v>
      </c>
      <c r="E1168" t="s">
        <v>488</v>
      </c>
      <c r="F1168" s="2" t="s">
        <v>489</v>
      </c>
      <c r="G1168" t="s">
        <v>5</v>
      </c>
      <c r="H1168" s="2" t="s">
        <v>2204</v>
      </c>
      <c r="I1168" s="2">
        <v>0.36</v>
      </c>
    </row>
    <row r="1169" spans="1:10" x14ac:dyDescent="0.25">
      <c r="A1169" s="1" t="s">
        <v>2200</v>
      </c>
      <c r="B1169" t="s">
        <v>2201</v>
      </c>
      <c r="C1169" s="1" t="s">
        <v>41</v>
      </c>
      <c r="D1169" s="1" t="s">
        <v>41</v>
      </c>
      <c r="E1169" t="s">
        <v>42</v>
      </c>
      <c r="F1169" s="2" t="s">
        <v>43</v>
      </c>
      <c r="G1169" t="s">
        <v>5</v>
      </c>
      <c r="H1169" s="2" t="s">
        <v>227</v>
      </c>
      <c r="I1169" s="2">
        <v>0.01</v>
      </c>
    </row>
    <row r="1170" spans="1:10" x14ac:dyDescent="0.25">
      <c r="A1170" s="1" t="s">
        <v>2200</v>
      </c>
      <c r="B1170" t="s">
        <v>2201</v>
      </c>
      <c r="C1170" s="1" t="s">
        <v>491</v>
      </c>
      <c r="D1170" s="1" t="s">
        <v>491</v>
      </c>
      <c r="E1170" t="s">
        <v>492</v>
      </c>
      <c r="F1170" s="2" t="s">
        <v>493</v>
      </c>
      <c r="G1170" t="s">
        <v>121</v>
      </c>
      <c r="H1170" s="2" t="s">
        <v>92</v>
      </c>
      <c r="I1170" s="2">
        <v>13.7</v>
      </c>
    </row>
    <row r="1171" spans="1:10" x14ac:dyDescent="0.25">
      <c r="A1171" s="1" t="s">
        <v>2200</v>
      </c>
      <c r="B1171" t="s">
        <v>2201</v>
      </c>
      <c r="C1171" s="1" t="s">
        <v>494</v>
      </c>
      <c r="D1171" s="1" t="s">
        <v>494</v>
      </c>
      <c r="E1171" t="s">
        <v>495</v>
      </c>
      <c r="F1171" s="2" t="s">
        <v>496</v>
      </c>
      <c r="G1171" t="s">
        <v>121</v>
      </c>
      <c r="H1171" s="2" t="s">
        <v>50</v>
      </c>
      <c r="I1171" s="2">
        <v>17.45</v>
      </c>
    </row>
    <row r="1172" spans="1:10" x14ac:dyDescent="0.25">
      <c r="A1172" s="1" t="s">
        <v>2200</v>
      </c>
      <c r="B1172" t="s">
        <v>2201</v>
      </c>
      <c r="C1172" s="1" t="s">
        <v>497</v>
      </c>
      <c r="D1172" s="1" t="s">
        <v>497</v>
      </c>
      <c r="E1172" t="s">
        <v>498</v>
      </c>
      <c r="F1172" s="2" t="s">
        <v>496</v>
      </c>
      <c r="G1172" t="s">
        <v>121</v>
      </c>
      <c r="H1172" s="2" t="s">
        <v>50</v>
      </c>
      <c r="I1172" s="2">
        <v>17.45</v>
      </c>
    </row>
    <row r="1173" spans="1:10" x14ac:dyDescent="0.25">
      <c r="A1173" s="1" t="s">
        <v>2200</v>
      </c>
      <c r="B1173" t="s">
        <v>2201</v>
      </c>
      <c r="C1173" s="1" t="s">
        <v>499</v>
      </c>
      <c r="D1173" s="1" t="s">
        <v>499</v>
      </c>
      <c r="E1173" t="s">
        <v>500</v>
      </c>
      <c r="F1173" s="2" t="s">
        <v>501</v>
      </c>
      <c r="G1173" t="s">
        <v>121</v>
      </c>
      <c r="H1173" s="2" t="s">
        <v>50</v>
      </c>
      <c r="I1173" s="2">
        <v>4.5</v>
      </c>
    </row>
    <row r="1174" spans="1:10" x14ac:dyDescent="0.25">
      <c r="A1174" s="1" t="s">
        <v>2200</v>
      </c>
      <c r="B1174" t="s">
        <v>2201</v>
      </c>
      <c r="C1174" s="1" t="s">
        <v>502</v>
      </c>
      <c r="D1174" s="1" t="s">
        <v>502</v>
      </c>
      <c r="E1174" t="s">
        <v>503</v>
      </c>
      <c r="F1174" s="2" t="s">
        <v>31</v>
      </c>
      <c r="G1174" t="s">
        <v>121</v>
      </c>
      <c r="H1174" s="2" t="s">
        <v>50</v>
      </c>
      <c r="I1174" s="2">
        <v>10.6</v>
      </c>
      <c r="J1174" t="s">
        <v>55</v>
      </c>
    </row>
    <row r="1175" spans="1:10" x14ac:dyDescent="0.25">
      <c r="A1175" s="1" t="s">
        <v>2200</v>
      </c>
      <c r="B1175" t="s">
        <v>2201</v>
      </c>
      <c r="C1175" s="1" t="s">
        <v>7</v>
      </c>
      <c r="D1175" s="1" t="s">
        <v>7</v>
      </c>
      <c r="E1175" t="s">
        <v>8</v>
      </c>
      <c r="F1175" s="2" t="s">
        <v>9</v>
      </c>
      <c r="G1175" t="s">
        <v>10</v>
      </c>
      <c r="H1175" s="2" t="s">
        <v>2205</v>
      </c>
      <c r="I1175" s="2">
        <v>72.599999999999994</v>
      </c>
    </row>
    <row r="1176" spans="1:10" x14ac:dyDescent="0.25">
      <c r="A1176" s="1" t="s">
        <v>2206</v>
      </c>
      <c r="B1176" t="s">
        <v>2207</v>
      </c>
      <c r="C1176" s="1" t="s">
        <v>507</v>
      </c>
      <c r="D1176" s="1" t="s">
        <v>507</v>
      </c>
      <c r="E1176" t="s">
        <v>508</v>
      </c>
      <c r="F1176" s="2" t="s">
        <v>509</v>
      </c>
      <c r="G1176" t="s">
        <v>5</v>
      </c>
      <c r="H1176" s="2" t="s">
        <v>2208</v>
      </c>
      <c r="I1176" s="2">
        <v>3.15</v>
      </c>
    </row>
    <row r="1177" spans="1:10" x14ac:dyDescent="0.25">
      <c r="A1177" s="1" t="s">
        <v>2206</v>
      </c>
      <c r="B1177" t="s">
        <v>2207</v>
      </c>
      <c r="C1177" s="1" t="s">
        <v>511</v>
      </c>
      <c r="D1177" s="1" t="s">
        <v>511</v>
      </c>
      <c r="E1177" t="s">
        <v>512</v>
      </c>
      <c r="F1177" s="2" t="s">
        <v>513</v>
      </c>
      <c r="G1177" t="s">
        <v>39</v>
      </c>
      <c r="H1177" s="2" t="s">
        <v>1425</v>
      </c>
      <c r="I1177" s="2">
        <v>0.5</v>
      </c>
    </row>
    <row r="1178" spans="1:10" x14ac:dyDescent="0.25">
      <c r="A1178" s="1" t="s">
        <v>2206</v>
      </c>
      <c r="B1178" t="s">
        <v>2207</v>
      </c>
      <c r="C1178" s="1" t="s">
        <v>514</v>
      </c>
      <c r="D1178" s="1" t="s">
        <v>514</v>
      </c>
      <c r="E1178" t="s">
        <v>515</v>
      </c>
      <c r="F1178" s="2" t="s">
        <v>516</v>
      </c>
      <c r="G1178" t="s">
        <v>121</v>
      </c>
      <c r="H1178" s="2" t="s">
        <v>50</v>
      </c>
      <c r="I1178" s="2">
        <v>0.27</v>
      </c>
    </row>
    <row r="1179" spans="1:10" x14ac:dyDescent="0.25">
      <c r="A1179" s="1" t="s">
        <v>2206</v>
      </c>
      <c r="B1179" t="s">
        <v>2207</v>
      </c>
      <c r="C1179" s="1" t="s">
        <v>41</v>
      </c>
      <c r="D1179" s="1" t="s">
        <v>41</v>
      </c>
      <c r="E1179" t="s">
        <v>42</v>
      </c>
      <c r="F1179" s="2" t="s">
        <v>43</v>
      </c>
      <c r="G1179" t="s">
        <v>5</v>
      </c>
      <c r="H1179" s="2" t="s">
        <v>2209</v>
      </c>
      <c r="I1179" s="2">
        <v>0.03</v>
      </c>
    </row>
    <row r="1180" spans="1:10" x14ac:dyDescent="0.25">
      <c r="A1180" s="1" t="s">
        <v>2206</v>
      </c>
      <c r="B1180" t="s">
        <v>2207</v>
      </c>
      <c r="C1180" s="1" t="s">
        <v>517</v>
      </c>
      <c r="D1180" s="1" t="s">
        <v>517</v>
      </c>
      <c r="E1180" t="s">
        <v>518</v>
      </c>
      <c r="F1180" s="2" t="s">
        <v>519</v>
      </c>
      <c r="G1180" t="s">
        <v>121</v>
      </c>
      <c r="H1180" s="2" t="s">
        <v>92</v>
      </c>
      <c r="I1180" s="2">
        <v>11.1</v>
      </c>
    </row>
    <row r="1181" spans="1:10" x14ac:dyDescent="0.25">
      <c r="A1181" s="1" t="s">
        <v>2206</v>
      </c>
      <c r="B1181" t="s">
        <v>2207</v>
      </c>
      <c r="C1181" s="1" t="s">
        <v>520</v>
      </c>
      <c r="D1181" s="1" t="s">
        <v>520</v>
      </c>
      <c r="E1181" t="s">
        <v>521</v>
      </c>
      <c r="F1181" s="2" t="s">
        <v>522</v>
      </c>
      <c r="G1181" t="s">
        <v>121</v>
      </c>
      <c r="H1181" s="2" t="s">
        <v>50</v>
      </c>
      <c r="I1181" s="2">
        <v>3.45</v>
      </c>
    </row>
    <row r="1182" spans="1:10" x14ac:dyDescent="0.25">
      <c r="A1182" s="1" t="s">
        <v>2206</v>
      </c>
      <c r="B1182" t="s">
        <v>2207</v>
      </c>
      <c r="C1182" s="1" t="s">
        <v>7</v>
      </c>
      <c r="D1182" s="1" t="s">
        <v>7</v>
      </c>
      <c r="E1182" t="s">
        <v>8</v>
      </c>
      <c r="F1182" s="2" t="s">
        <v>9</v>
      </c>
      <c r="G1182" t="s">
        <v>10</v>
      </c>
      <c r="H1182" s="2" t="s">
        <v>504</v>
      </c>
      <c r="I1182" s="2">
        <v>32</v>
      </c>
    </row>
    <row r="1183" spans="1:10" x14ac:dyDescent="0.25">
      <c r="A1183" s="1" t="s">
        <v>2210</v>
      </c>
      <c r="B1183" t="s">
        <v>2211</v>
      </c>
      <c r="C1183" s="1" t="s">
        <v>471</v>
      </c>
      <c r="D1183" s="1" t="s">
        <v>471</v>
      </c>
      <c r="E1183" t="s">
        <v>472</v>
      </c>
      <c r="F1183" s="2" t="s">
        <v>526</v>
      </c>
      <c r="G1183" t="s">
        <v>5</v>
      </c>
      <c r="H1183" s="2" t="s">
        <v>2212</v>
      </c>
      <c r="I1183" s="2">
        <v>22.75</v>
      </c>
    </row>
    <row r="1184" spans="1:10" x14ac:dyDescent="0.25">
      <c r="A1184" s="1" t="s">
        <v>2210</v>
      </c>
      <c r="B1184" t="s">
        <v>2211</v>
      </c>
      <c r="C1184" s="1" t="s">
        <v>475</v>
      </c>
      <c r="D1184" s="1" t="s">
        <v>475</v>
      </c>
      <c r="E1184" t="s">
        <v>476</v>
      </c>
      <c r="F1184" s="2" t="s">
        <v>477</v>
      </c>
      <c r="G1184" t="s">
        <v>39</v>
      </c>
      <c r="H1184" s="2" t="s">
        <v>478</v>
      </c>
      <c r="I1184" s="2">
        <v>0.41</v>
      </c>
    </row>
    <row r="1185" spans="1:10" x14ac:dyDescent="0.25">
      <c r="A1185" s="1" t="s">
        <v>2210</v>
      </c>
      <c r="B1185" t="s">
        <v>2211</v>
      </c>
      <c r="C1185" s="1" t="s">
        <v>479</v>
      </c>
      <c r="D1185" s="1" t="s">
        <v>479</v>
      </c>
      <c r="E1185" t="s">
        <v>480</v>
      </c>
      <c r="F1185" s="2" t="s">
        <v>481</v>
      </c>
      <c r="G1185" t="s">
        <v>5</v>
      </c>
      <c r="H1185" s="2" t="s">
        <v>482</v>
      </c>
      <c r="I1185" s="2">
        <v>0.04</v>
      </c>
    </row>
    <row r="1186" spans="1:10" x14ac:dyDescent="0.25">
      <c r="A1186" s="1" t="s">
        <v>2210</v>
      </c>
      <c r="B1186" t="s">
        <v>2211</v>
      </c>
      <c r="C1186" s="1" t="s">
        <v>483</v>
      </c>
      <c r="D1186" s="1" t="s">
        <v>483</v>
      </c>
      <c r="E1186" t="s">
        <v>484</v>
      </c>
      <c r="F1186" s="2" t="s">
        <v>485</v>
      </c>
      <c r="G1186" t="s">
        <v>5</v>
      </c>
      <c r="H1186" s="2" t="s">
        <v>2213</v>
      </c>
      <c r="I1186" s="2">
        <v>0.01</v>
      </c>
    </row>
    <row r="1187" spans="1:10" x14ac:dyDescent="0.25">
      <c r="A1187" s="1" t="s">
        <v>2210</v>
      </c>
      <c r="B1187" t="s">
        <v>2211</v>
      </c>
      <c r="C1187" s="1" t="s">
        <v>487</v>
      </c>
      <c r="D1187" s="1" t="s">
        <v>487</v>
      </c>
      <c r="E1187" t="s">
        <v>488</v>
      </c>
      <c r="F1187" s="2" t="s">
        <v>489</v>
      </c>
      <c r="G1187" t="s">
        <v>5</v>
      </c>
      <c r="H1187" s="2" t="s">
        <v>490</v>
      </c>
      <c r="I1187" s="2">
        <v>0.28999999999999998</v>
      </c>
    </row>
    <row r="1188" spans="1:10" x14ac:dyDescent="0.25">
      <c r="A1188" s="1" t="s">
        <v>2210</v>
      </c>
      <c r="B1188" t="s">
        <v>2211</v>
      </c>
      <c r="C1188" s="1" t="s">
        <v>41</v>
      </c>
      <c r="D1188" s="1" t="s">
        <v>41</v>
      </c>
      <c r="E1188" t="s">
        <v>42</v>
      </c>
      <c r="F1188" s="2" t="s">
        <v>43</v>
      </c>
      <c r="G1188" t="s">
        <v>5</v>
      </c>
      <c r="H1188" s="2" t="s">
        <v>559</v>
      </c>
      <c r="I1188" s="2">
        <v>0.04</v>
      </c>
    </row>
    <row r="1189" spans="1:10" x14ac:dyDescent="0.25">
      <c r="A1189" s="1" t="s">
        <v>2210</v>
      </c>
      <c r="B1189" t="s">
        <v>2211</v>
      </c>
      <c r="C1189" s="1" t="s">
        <v>491</v>
      </c>
      <c r="D1189" s="1" t="s">
        <v>491</v>
      </c>
      <c r="E1189" t="s">
        <v>492</v>
      </c>
      <c r="F1189" s="2" t="s">
        <v>493</v>
      </c>
      <c r="G1189" t="s">
        <v>121</v>
      </c>
      <c r="H1189" s="2" t="s">
        <v>92</v>
      </c>
      <c r="I1189" s="2">
        <v>13.7</v>
      </c>
    </row>
    <row r="1190" spans="1:10" x14ac:dyDescent="0.25">
      <c r="A1190" s="1" t="s">
        <v>2210</v>
      </c>
      <c r="B1190" t="s">
        <v>2211</v>
      </c>
      <c r="C1190" s="1" t="s">
        <v>494</v>
      </c>
      <c r="D1190" s="1" t="s">
        <v>494</v>
      </c>
      <c r="E1190" t="s">
        <v>495</v>
      </c>
      <c r="F1190" s="2" t="s">
        <v>496</v>
      </c>
      <c r="G1190" t="s">
        <v>121</v>
      </c>
      <c r="H1190" s="2" t="s">
        <v>50</v>
      </c>
      <c r="I1190" s="2">
        <v>17.45</v>
      </c>
    </row>
    <row r="1191" spans="1:10" x14ac:dyDescent="0.25">
      <c r="A1191" s="1" t="s">
        <v>2210</v>
      </c>
      <c r="B1191" t="s">
        <v>2211</v>
      </c>
      <c r="C1191" s="1" t="s">
        <v>497</v>
      </c>
      <c r="D1191" s="1" t="s">
        <v>497</v>
      </c>
      <c r="E1191" t="s">
        <v>498</v>
      </c>
      <c r="F1191" s="2" t="s">
        <v>496</v>
      </c>
      <c r="G1191" t="s">
        <v>121</v>
      </c>
      <c r="H1191" s="2" t="s">
        <v>50</v>
      </c>
      <c r="I1191" s="2">
        <v>17.45</v>
      </c>
    </row>
    <row r="1192" spans="1:10" x14ac:dyDescent="0.25">
      <c r="A1192" s="1" t="s">
        <v>2210</v>
      </c>
      <c r="B1192" t="s">
        <v>2211</v>
      </c>
      <c r="C1192" s="1" t="s">
        <v>499</v>
      </c>
      <c r="D1192" s="1" t="s">
        <v>499</v>
      </c>
      <c r="E1192" t="s">
        <v>500</v>
      </c>
      <c r="F1192" s="2" t="s">
        <v>501</v>
      </c>
      <c r="G1192" t="s">
        <v>121</v>
      </c>
      <c r="H1192" s="2" t="s">
        <v>50</v>
      </c>
      <c r="I1192" s="2">
        <v>4.5</v>
      </c>
    </row>
    <row r="1193" spans="1:10" x14ac:dyDescent="0.25">
      <c r="A1193" s="1" t="s">
        <v>2210</v>
      </c>
      <c r="B1193" t="s">
        <v>2211</v>
      </c>
      <c r="C1193" s="1" t="s">
        <v>502</v>
      </c>
      <c r="D1193" s="1" t="s">
        <v>502</v>
      </c>
      <c r="E1193" t="s">
        <v>503</v>
      </c>
      <c r="F1193" s="2" t="s">
        <v>31</v>
      </c>
      <c r="G1193" t="s">
        <v>121</v>
      </c>
      <c r="H1193" s="2" t="s">
        <v>50</v>
      </c>
      <c r="I1193" s="2">
        <v>10.6</v>
      </c>
      <c r="J1193" t="s">
        <v>55</v>
      </c>
    </row>
    <row r="1194" spans="1:10" x14ac:dyDescent="0.25">
      <c r="A1194" s="1" t="s">
        <v>2210</v>
      </c>
      <c r="B1194" t="s">
        <v>2211</v>
      </c>
      <c r="C1194" s="1" t="s">
        <v>7</v>
      </c>
      <c r="D1194" s="1" t="s">
        <v>7</v>
      </c>
      <c r="E1194" t="s">
        <v>8</v>
      </c>
      <c r="F1194" s="2" t="s">
        <v>9</v>
      </c>
      <c r="G1194" t="s">
        <v>10</v>
      </c>
      <c r="H1194" s="2" t="s">
        <v>2214</v>
      </c>
      <c r="I1194" s="2">
        <v>36.799999999999997</v>
      </c>
    </row>
    <row r="1195" spans="1:10" x14ac:dyDescent="0.25">
      <c r="A1195" s="1" t="s">
        <v>2215</v>
      </c>
      <c r="B1195" t="s">
        <v>2216</v>
      </c>
      <c r="C1195" s="1" t="s">
        <v>507</v>
      </c>
      <c r="D1195" s="1" t="s">
        <v>507</v>
      </c>
      <c r="E1195" t="s">
        <v>508</v>
      </c>
      <c r="F1195" s="2" t="s">
        <v>578</v>
      </c>
      <c r="G1195" t="s">
        <v>5</v>
      </c>
      <c r="H1195" s="2" t="s">
        <v>2217</v>
      </c>
      <c r="I1195" s="2">
        <v>7.14</v>
      </c>
    </row>
    <row r="1196" spans="1:10" x14ac:dyDescent="0.25">
      <c r="A1196" s="1" t="s">
        <v>2215</v>
      </c>
      <c r="B1196" t="s">
        <v>2216</v>
      </c>
      <c r="C1196" s="1" t="s">
        <v>511</v>
      </c>
      <c r="D1196" s="1" t="s">
        <v>511</v>
      </c>
      <c r="E1196" t="s">
        <v>512</v>
      </c>
      <c r="F1196" s="2" t="s">
        <v>2218</v>
      </c>
      <c r="G1196" t="s">
        <v>39</v>
      </c>
      <c r="H1196" s="2" t="s">
        <v>478</v>
      </c>
      <c r="I1196" s="2">
        <v>0.6</v>
      </c>
    </row>
    <row r="1197" spans="1:10" x14ac:dyDescent="0.25">
      <c r="A1197" s="1" t="s">
        <v>2215</v>
      </c>
      <c r="B1197" t="s">
        <v>2216</v>
      </c>
      <c r="C1197" s="1" t="s">
        <v>514</v>
      </c>
      <c r="D1197" s="1" t="s">
        <v>514</v>
      </c>
      <c r="E1197" t="s">
        <v>515</v>
      </c>
      <c r="F1197" s="2" t="s">
        <v>516</v>
      </c>
      <c r="G1197" t="s">
        <v>121</v>
      </c>
      <c r="H1197" s="2" t="s">
        <v>50</v>
      </c>
      <c r="I1197" s="2">
        <v>0.27</v>
      </c>
    </row>
    <row r="1198" spans="1:10" x14ac:dyDescent="0.25">
      <c r="A1198" s="1" t="s">
        <v>2215</v>
      </c>
      <c r="B1198" t="s">
        <v>2216</v>
      </c>
      <c r="C1198" s="1" t="s">
        <v>41</v>
      </c>
      <c r="D1198" s="1" t="s">
        <v>41</v>
      </c>
      <c r="E1198" t="s">
        <v>42</v>
      </c>
      <c r="F1198" s="2" t="s">
        <v>43</v>
      </c>
      <c r="G1198" t="s">
        <v>5</v>
      </c>
      <c r="H1198" s="2" t="s">
        <v>736</v>
      </c>
      <c r="I1198" s="2">
        <v>0.04</v>
      </c>
    </row>
    <row r="1199" spans="1:10" x14ac:dyDescent="0.25">
      <c r="A1199" s="1" t="s">
        <v>2215</v>
      </c>
      <c r="B1199" t="s">
        <v>2216</v>
      </c>
      <c r="C1199" s="1" t="s">
        <v>517</v>
      </c>
      <c r="D1199" s="1" t="s">
        <v>517</v>
      </c>
      <c r="E1199" t="s">
        <v>518</v>
      </c>
      <c r="F1199" s="2" t="s">
        <v>519</v>
      </c>
      <c r="G1199" t="s">
        <v>121</v>
      </c>
      <c r="H1199" s="2" t="s">
        <v>92</v>
      </c>
      <c r="I1199" s="2">
        <v>11.1</v>
      </c>
    </row>
    <row r="1200" spans="1:10" x14ac:dyDescent="0.25">
      <c r="A1200" s="1" t="s">
        <v>2215</v>
      </c>
      <c r="B1200" t="s">
        <v>2216</v>
      </c>
      <c r="C1200" s="1" t="s">
        <v>520</v>
      </c>
      <c r="D1200" s="1" t="s">
        <v>520</v>
      </c>
      <c r="E1200" t="s">
        <v>521</v>
      </c>
      <c r="F1200" s="2" t="s">
        <v>522</v>
      </c>
      <c r="G1200" t="s">
        <v>121</v>
      </c>
      <c r="H1200" s="2" t="s">
        <v>50</v>
      </c>
      <c r="I1200" s="2">
        <v>3.45</v>
      </c>
    </row>
    <row r="1201" spans="1:10" x14ac:dyDescent="0.25">
      <c r="A1201" s="1" t="s">
        <v>2215</v>
      </c>
      <c r="B1201" t="s">
        <v>2216</v>
      </c>
      <c r="C1201" s="1" t="s">
        <v>7</v>
      </c>
      <c r="D1201" s="1" t="s">
        <v>7</v>
      </c>
      <c r="E1201" t="s">
        <v>8</v>
      </c>
      <c r="F1201" s="2" t="s">
        <v>9</v>
      </c>
      <c r="G1201" t="s">
        <v>10</v>
      </c>
      <c r="H1201" s="2" t="s">
        <v>690</v>
      </c>
      <c r="I1201" s="2">
        <v>20.7</v>
      </c>
    </row>
    <row r="1202" spans="1:10" x14ac:dyDescent="0.25">
      <c r="A1202" s="1" t="s">
        <v>2219</v>
      </c>
      <c r="B1202" t="s">
        <v>2220</v>
      </c>
      <c r="C1202" s="1" t="s">
        <v>471</v>
      </c>
      <c r="D1202" s="1" t="s">
        <v>471</v>
      </c>
      <c r="E1202" t="s">
        <v>472</v>
      </c>
      <c r="F1202" s="2" t="s">
        <v>473</v>
      </c>
      <c r="G1202" t="s">
        <v>5</v>
      </c>
      <c r="H1202" s="2" t="s">
        <v>2221</v>
      </c>
      <c r="I1202" s="2">
        <v>29</v>
      </c>
    </row>
    <row r="1203" spans="1:10" x14ac:dyDescent="0.25">
      <c r="A1203" s="1" t="s">
        <v>2219</v>
      </c>
      <c r="B1203" t="s">
        <v>2220</v>
      </c>
      <c r="C1203" s="1" t="s">
        <v>475</v>
      </c>
      <c r="D1203" s="1" t="s">
        <v>475</v>
      </c>
      <c r="E1203" t="s">
        <v>476</v>
      </c>
      <c r="F1203" s="2" t="s">
        <v>477</v>
      </c>
      <c r="G1203" t="s">
        <v>39</v>
      </c>
      <c r="H1203" s="2" t="s">
        <v>478</v>
      </c>
      <c r="I1203" s="2">
        <v>0.41</v>
      </c>
    </row>
    <row r="1204" spans="1:10" x14ac:dyDescent="0.25">
      <c r="A1204" s="1" t="s">
        <v>2219</v>
      </c>
      <c r="B1204" t="s">
        <v>2220</v>
      </c>
      <c r="C1204" s="1" t="s">
        <v>479</v>
      </c>
      <c r="D1204" s="1" t="s">
        <v>479</v>
      </c>
      <c r="E1204" t="s">
        <v>480</v>
      </c>
      <c r="F1204" s="2" t="s">
        <v>481</v>
      </c>
      <c r="G1204" t="s">
        <v>5</v>
      </c>
      <c r="H1204" s="2" t="s">
        <v>534</v>
      </c>
      <c r="I1204" s="2">
        <v>0.05</v>
      </c>
    </row>
    <row r="1205" spans="1:10" x14ac:dyDescent="0.25">
      <c r="A1205" s="1" t="s">
        <v>2219</v>
      </c>
      <c r="B1205" t="s">
        <v>2220</v>
      </c>
      <c r="C1205" s="1" t="s">
        <v>483</v>
      </c>
      <c r="D1205" s="1" t="s">
        <v>483</v>
      </c>
      <c r="E1205" t="s">
        <v>484</v>
      </c>
      <c r="F1205" s="2" t="s">
        <v>485</v>
      </c>
      <c r="G1205" t="s">
        <v>5</v>
      </c>
      <c r="H1205" s="2" t="s">
        <v>573</v>
      </c>
      <c r="I1205" s="2">
        <v>0.01</v>
      </c>
    </row>
    <row r="1206" spans="1:10" x14ac:dyDescent="0.25">
      <c r="A1206" s="1" t="s">
        <v>2219</v>
      </c>
      <c r="B1206" t="s">
        <v>2220</v>
      </c>
      <c r="C1206" s="1" t="s">
        <v>487</v>
      </c>
      <c r="D1206" s="1" t="s">
        <v>487</v>
      </c>
      <c r="E1206" t="s">
        <v>488</v>
      </c>
      <c r="F1206" s="2" t="s">
        <v>489</v>
      </c>
      <c r="G1206" t="s">
        <v>5</v>
      </c>
      <c r="H1206" s="2" t="s">
        <v>2222</v>
      </c>
      <c r="I1206" s="2">
        <v>0.32</v>
      </c>
    </row>
    <row r="1207" spans="1:10" x14ac:dyDescent="0.25">
      <c r="A1207" s="1" t="s">
        <v>2219</v>
      </c>
      <c r="B1207" t="s">
        <v>2220</v>
      </c>
      <c r="C1207" s="1" t="s">
        <v>41</v>
      </c>
      <c r="D1207" s="1" t="s">
        <v>41</v>
      </c>
      <c r="E1207" t="s">
        <v>42</v>
      </c>
      <c r="F1207" s="2" t="s">
        <v>43</v>
      </c>
      <c r="G1207" t="s">
        <v>5</v>
      </c>
      <c r="H1207" s="2" t="s">
        <v>227</v>
      </c>
      <c r="I1207" s="2">
        <v>0.01</v>
      </c>
    </row>
    <row r="1208" spans="1:10" x14ac:dyDescent="0.25">
      <c r="A1208" s="1" t="s">
        <v>2219</v>
      </c>
      <c r="B1208" t="s">
        <v>2220</v>
      </c>
      <c r="C1208" s="1" t="s">
        <v>491</v>
      </c>
      <c r="D1208" s="1" t="s">
        <v>491</v>
      </c>
      <c r="E1208" t="s">
        <v>492</v>
      </c>
      <c r="F1208" s="2" t="s">
        <v>493</v>
      </c>
      <c r="G1208" t="s">
        <v>121</v>
      </c>
      <c r="H1208" s="2" t="s">
        <v>92</v>
      </c>
      <c r="I1208" s="2">
        <v>13.7</v>
      </c>
    </row>
    <row r="1209" spans="1:10" x14ac:dyDescent="0.25">
      <c r="A1209" s="1" t="s">
        <v>2219</v>
      </c>
      <c r="B1209" t="s">
        <v>2220</v>
      </c>
      <c r="C1209" s="1" t="s">
        <v>494</v>
      </c>
      <c r="D1209" s="1" t="s">
        <v>494</v>
      </c>
      <c r="E1209" t="s">
        <v>495</v>
      </c>
      <c r="F1209" s="2" t="s">
        <v>496</v>
      </c>
      <c r="G1209" t="s">
        <v>121</v>
      </c>
      <c r="H1209" s="2" t="s">
        <v>50</v>
      </c>
      <c r="I1209" s="2">
        <v>17.45</v>
      </c>
    </row>
    <row r="1210" spans="1:10" x14ac:dyDescent="0.25">
      <c r="A1210" s="1" t="s">
        <v>2219</v>
      </c>
      <c r="B1210" t="s">
        <v>2220</v>
      </c>
      <c r="C1210" s="1" t="s">
        <v>497</v>
      </c>
      <c r="D1210" s="1" t="s">
        <v>497</v>
      </c>
      <c r="E1210" t="s">
        <v>498</v>
      </c>
      <c r="F1210" s="2" t="s">
        <v>496</v>
      </c>
      <c r="G1210" t="s">
        <v>121</v>
      </c>
      <c r="H1210" s="2" t="s">
        <v>50</v>
      </c>
      <c r="I1210" s="2">
        <v>17.45</v>
      </c>
    </row>
    <row r="1211" spans="1:10" x14ac:dyDescent="0.25">
      <c r="A1211" s="1" t="s">
        <v>2219</v>
      </c>
      <c r="B1211" t="s">
        <v>2220</v>
      </c>
      <c r="C1211" s="1" t="s">
        <v>499</v>
      </c>
      <c r="D1211" s="1" t="s">
        <v>499</v>
      </c>
      <c r="E1211" t="s">
        <v>500</v>
      </c>
      <c r="F1211" s="2" t="s">
        <v>501</v>
      </c>
      <c r="G1211" t="s">
        <v>121</v>
      </c>
      <c r="H1211" s="2" t="s">
        <v>50</v>
      </c>
      <c r="I1211" s="2">
        <v>4.5</v>
      </c>
    </row>
    <row r="1212" spans="1:10" x14ac:dyDescent="0.25">
      <c r="A1212" s="1" t="s">
        <v>2219</v>
      </c>
      <c r="B1212" t="s">
        <v>2220</v>
      </c>
      <c r="C1212" s="1" t="s">
        <v>502</v>
      </c>
      <c r="D1212" s="1" t="s">
        <v>502</v>
      </c>
      <c r="E1212" t="s">
        <v>503</v>
      </c>
      <c r="F1212" s="2" t="s">
        <v>31</v>
      </c>
      <c r="G1212" t="s">
        <v>121</v>
      </c>
      <c r="H1212" s="2" t="s">
        <v>50</v>
      </c>
      <c r="I1212" s="2">
        <v>10.6</v>
      </c>
      <c r="J1212" t="s">
        <v>55</v>
      </c>
    </row>
    <row r="1213" spans="1:10" x14ac:dyDescent="0.25">
      <c r="A1213" s="1" t="s">
        <v>2219</v>
      </c>
      <c r="B1213" t="s">
        <v>2220</v>
      </c>
      <c r="C1213" s="1" t="s">
        <v>7</v>
      </c>
      <c r="D1213" s="1" t="s">
        <v>7</v>
      </c>
      <c r="E1213" t="s">
        <v>8</v>
      </c>
      <c r="F1213" s="2" t="s">
        <v>9</v>
      </c>
      <c r="G1213" t="s">
        <v>10</v>
      </c>
      <c r="H1213" s="2" t="s">
        <v>2223</v>
      </c>
      <c r="I1213" s="2">
        <v>78.599999999999994</v>
      </c>
    </row>
    <row r="1214" spans="1:10" x14ac:dyDescent="0.25">
      <c r="A1214" s="1" t="s">
        <v>2224</v>
      </c>
      <c r="B1214" t="s">
        <v>2225</v>
      </c>
      <c r="C1214" s="1" t="s">
        <v>507</v>
      </c>
      <c r="D1214" s="1" t="s">
        <v>507</v>
      </c>
      <c r="E1214" t="s">
        <v>508</v>
      </c>
      <c r="F1214" s="2" t="s">
        <v>509</v>
      </c>
      <c r="G1214" t="s">
        <v>5</v>
      </c>
      <c r="H1214" s="2" t="s">
        <v>2226</v>
      </c>
      <c r="I1214" s="2">
        <v>6.85</v>
      </c>
    </row>
    <row r="1215" spans="1:10" x14ac:dyDescent="0.25">
      <c r="A1215" s="1" t="s">
        <v>2224</v>
      </c>
      <c r="B1215" t="s">
        <v>2225</v>
      </c>
      <c r="C1215" s="1" t="s">
        <v>511</v>
      </c>
      <c r="D1215" s="1" t="s">
        <v>511</v>
      </c>
      <c r="E1215" t="s">
        <v>512</v>
      </c>
      <c r="F1215" s="2" t="s">
        <v>513</v>
      </c>
      <c r="G1215" t="s">
        <v>39</v>
      </c>
      <c r="H1215" s="2" t="s">
        <v>1425</v>
      </c>
      <c r="I1215" s="2">
        <v>0.5</v>
      </c>
    </row>
    <row r="1216" spans="1:10" x14ac:dyDescent="0.25">
      <c r="A1216" s="1" t="s">
        <v>2224</v>
      </c>
      <c r="B1216" t="s">
        <v>2225</v>
      </c>
      <c r="C1216" s="1" t="s">
        <v>514</v>
      </c>
      <c r="D1216" s="1" t="s">
        <v>514</v>
      </c>
      <c r="E1216" t="s">
        <v>515</v>
      </c>
      <c r="F1216" s="2" t="s">
        <v>516</v>
      </c>
      <c r="G1216" t="s">
        <v>121</v>
      </c>
      <c r="H1216" s="2" t="s">
        <v>50</v>
      </c>
      <c r="I1216" s="2">
        <v>0.27</v>
      </c>
    </row>
    <row r="1217" spans="1:10" x14ac:dyDescent="0.25">
      <c r="A1217" s="1" t="s">
        <v>2224</v>
      </c>
      <c r="B1217" t="s">
        <v>2225</v>
      </c>
      <c r="C1217" s="1" t="s">
        <v>41</v>
      </c>
      <c r="D1217" s="1" t="s">
        <v>41</v>
      </c>
      <c r="E1217" t="s">
        <v>42</v>
      </c>
      <c r="F1217" s="2" t="s">
        <v>43</v>
      </c>
      <c r="G1217" t="s">
        <v>5</v>
      </c>
      <c r="H1217" s="2" t="s">
        <v>1900</v>
      </c>
      <c r="I1217" s="2">
        <v>0.03</v>
      </c>
    </row>
    <row r="1218" spans="1:10" x14ac:dyDescent="0.25">
      <c r="A1218" s="1" t="s">
        <v>2224</v>
      </c>
      <c r="B1218" t="s">
        <v>2225</v>
      </c>
      <c r="C1218" s="1" t="s">
        <v>517</v>
      </c>
      <c r="D1218" s="1" t="s">
        <v>517</v>
      </c>
      <c r="E1218" t="s">
        <v>518</v>
      </c>
      <c r="F1218" s="2" t="s">
        <v>519</v>
      </c>
      <c r="G1218" t="s">
        <v>121</v>
      </c>
      <c r="H1218" s="2" t="s">
        <v>92</v>
      </c>
      <c r="I1218" s="2">
        <v>11.1</v>
      </c>
    </row>
    <row r="1219" spans="1:10" x14ac:dyDescent="0.25">
      <c r="A1219" s="1" t="s">
        <v>2224</v>
      </c>
      <c r="B1219" t="s">
        <v>2225</v>
      </c>
      <c r="C1219" s="1" t="s">
        <v>520</v>
      </c>
      <c r="D1219" s="1" t="s">
        <v>520</v>
      </c>
      <c r="E1219" t="s">
        <v>521</v>
      </c>
      <c r="F1219" s="2" t="s">
        <v>522</v>
      </c>
      <c r="G1219" t="s">
        <v>121</v>
      </c>
      <c r="H1219" s="2" t="s">
        <v>50</v>
      </c>
      <c r="I1219" s="2">
        <v>3.45</v>
      </c>
    </row>
    <row r="1220" spans="1:10" x14ac:dyDescent="0.25">
      <c r="A1220" s="1" t="s">
        <v>2224</v>
      </c>
      <c r="B1220" t="s">
        <v>2225</v>
      </c>
      <c r="C1220" s="1" t="s">
        <v>7</v>
      </c>
      <c r="D1220" s="1" t="s">
        <v>7</v>
      </c>
      <c r="E1220" t="s">
        <v>8</v>
      </c>
      <c r="F1220" s="2" t="s">
        <v>9</v>
      </c>
      <c r="G1220" t="s">
        <v>10</v>
      </c>
      <c r="H1220" s="2" t="s">
        <v>504</v>
      </c>
      <c r="I1220" s="2">
        <v>32</v>
      </c>
    </row>
    <row r="1221" spans="1:10" x14ac:dyDescent="0.25">
      <c r="A1221" s="1" t="s">
        <v>2227</v>
      </c>
      <c r="B1221" t="s">
        <v>2228</v>
      </c>
      <c r="C1221" s="1" t="s">
        <v>471</v>
      </c>
      <c r="D1221" s="1" t="s">
        <v>471</v>
      </c>
      <c r="E1221" t="s">
        <v>472</v>
      </c>
      <c r="F1221" s="2" t="s">
        <v>473</v>
      </c>
      <c r="G1221" t="s">
        <v>5</v>
      </c>
      <c r="H1221" s="2" t="s">
        <v>2229</v>
      </c>
      <c r="I1221" s="2">
        <v>22.7</v>
      </c>
    </row>
    <row r="1222" spans="1:10" x14ac:dyDescent="0.25">
      <c r="A1222" s="1" t="s">
        <v>2227</v>
      </c>
      <c r="B1222" t="s">
        <v>2228</v>
      </c>
      <c r="C1222" s="1" t="s">
        <v>475</v>
      </c>
      <c r="D1222" s="1" t="s">
        <v>475</v>
      </c>
      <c r="E1222" t="s">
        <v>476</v>
      </c>
      <c r="F1222" s="2" t="s">
        <v>477</v>
      </c>
      <c r="G1222" t="s">
        <v>39</v>
      </c>
      <c r="H1222" s="2" t="s">
        <v>478</v>
      </c>
      <c r="I1222" s="2">
        <v>0.41</v>
      </c>
    </row>
    <row r="1223" spans="1:10" x14ac:dyDescent="0.25">
      <c r="A1223" s="1" t="s">
        <v>2227</v>
      </c>
      <c r="B1223" t="s">
        <v>2228</v>
      </c>
      <c r="C1223" s="1" t="s">
        <v>479</v>
      </c>
      <c r="D1223" s="1" t="s">
        <v>479</v>
      </c>
      <c r="E1223" t="s">
        <v>480</v>
      </c>
      <c r="F1223" s="2" t="s">
        <v>481</v>
      </c>
      <c r="G1223" t="s">
        <v>5</v>
      </c>
      <c r="H1223" s="2" t="s">
        <v>572</v>
      </c>
      <c r="I1223" s="2">
        <v>0.04</v>
      </c>
    </row>
    <row r="1224" spans="1:10" x14ac:dyDescent="0.25">
      <c r="A1224" s="1" t="s">
        <v>2227</v>
      </c>
      <c r="B1224" t="s">
        <v>2228</v>
      </c>
      <c r="C1224" s="1" t="s">
        <v>483</v>
      </c>
      <c r="D1224" s="1" t="s">
        <v>483</v>
      </c>
      <c r="E1224" t="s">
        <v>484</v>
      </c>
      <c r="F1224" s="2" t="s">
        <v>485</v>
      </c>
      <c r="G1224" t="s">
        <v>5</v>
      </c>
      <c r="H1224" s="2" t="s">
        <v>528</v>
      </c>
      <c r="I1224" s="2">
        <v>0.02</v>
      </c>
    </row>
    <row r="1225" spans="1:10" x14ac:dyDescent="0.25">
      <c r="A1225" s="1" t="s">
        <v>2227</v>
      </c>
      <c r="B1225" t="s">
        <v>2228</v>
      </c>
      <c r="C1225" s="1" t="s">
        <v>487</v>
      </c>
      <c r="D1225" s="1" t="s">
        <v>487</v>
      </c>
      <c r="E1225" t="s">
        <v>488</v>
      </c>
      <c r="F1225" s="2" t="s">
        <v>489</v>
      </c>
      <c r="G1225" t="s">
        <v>5</v>
      </c>
      <c r="H1225" s="2" t="s">
        <v>2230</v>
      </c>
      <c r="I1225" s="2">
        <v>0.28999999999999998</v>
      </c>
    </row>
    <row r="1226" spans="1:10" x14ac:dyDescent="0.25">
      <c r="A1226" s="1" t="s">
        <v>2227</v>
      </c>
      <c r="B1226" t="s">
        <v>2228</v>
      </c>
      <c r="C1226" s="1" t="s">
        <v>41</v>
      </c>
      <c r="D1226" s="1" t="s">
        <v>41</v>
      </c>
      <c r="E1226" t="s">
        <v>42</v>
      </c>
      <c r="F1226" s="2" t="s">
        <v>43</v>
      </c>
      <c r="G1226" t="s">
        <v>5</v>
      </c>
      <c r="H1226" s="2" t="s">
        <v>2231</v>
      </c>
      <c r="I1226" s="2">
        <v>0.04</v>
      </c>
    </row>
    <row r="1227" spans="1:10" x14ac:dyDescent="0.25">
      <c r="A1227" s="1" t="s">
        <v>2227</v>
      </c>
      <c r="B1227" t="s">
        <v>2228</v>
      </c>
      <c r="C1227" s="1" t="s">
        <v>491</v>
      </c>
      <c r="D1227" s="1" t="s">
        <v>491</v>
      </c>
      <c r="E1227" t="s">
        <v>492</v>
      </c>
      <c r="F1227" s="2" t="s">
        <v>493</v>
      </c>
      <c r="G1227" t="s">
        <v>121</v>
      </c>
      <c r="H1227" s="2" t="s">
        <v>92</v>
      </c>
      <c r="I1227" s="2">
        <v>13.7</v>
      </c>
    </row>
    <row r="1228" spans="1:10" x14ac:dyDescent="0.25">
      <c r="A1228" s="1" t="s">
        <v>2227</v>
      </c>
      <c r="B1228" t="s">
        <v>2228</v>
      </c>
      <c r="C1228" s="1" t="s">
        <v>494</v>
      </c>
      <c r="D1228" s="1" t="s">
        <v>494</v>
      </c>
      <c r="E1228" t="s">
        <v>495</v>
      </c>
      <c r="F1228" s="2" t="s">
        <v>496</v>
      </c>
      <c r="G1228" t="s">
        <v>121</v>
      </c>
      <c r="H1228" s="2" t="s">
        <v>50</v>
      </c>
      <c r="I1228" s="2">
        <v>17.45</v>
      </c>
    </row>
    <row r="1229" spans="1:10" x14ac:dyDescent="0.25">
      <c r="A1229" s="1" t="s">
        <v>2227</v>
      </c>
      <c r="B1229" t="s">
        <v>2228</v>
      </c>
      <c r="C1229" s="1" t="s">
        <v>497</v>
      </c>
      <c r="D1229" s="1" t="s">
        <v>497</v>
      </c>
      <c r="E1229" t="s">
        <v>498</v>
      </c>
      <c r="F1229" s="2" t="s">
        <v>496</v>
      </c>
      <c r="G1229" t="s">
        <v>121</v>
      </c>
      <c r="H1229" s="2" t="s">
        <v>50</v>
      </c>
      <c r="I1229" s="2">
        <v>17.45</v>
      </c>
    </row>
    <row r="1230" spans="1:10" x14ac:dyDescent="0.25">
      <c r="A1230" s="1" t="s">
        <v>2227</v>
      </c>
      <c r="B1230" t="s">
        <v>2228</v>
      </c>
      <c r="C1230" s="1" t="s">
        <v>499</v>
      </c>
      <c r="D1230" s="1" t="s">
        <v>499</v>
      </c>
      <c r="E1230" t="s">
        <v>500</v>
      </c>
      <c r="F1230" s="2" t="s">
        <v>501</v>
      </c>
      <c r="G1230" t="s">
        <v>121</v>
      </c>
      <c r="H1230" s="2" t="s">
        <v>50</v>
      </c>
      <c r="I1230" s="2">
        <v>4.5</v>
      </c>
    </row>
    <row r="1231" spans="1:10" x14ac:dyDescent="0.25">
      <c r="A1231" s="1" t="s">
        <v>2227</v>
      </c>
      <c r="B1231" t="s">
        <v>2228</v>
      </c>
      <c r="C1231" s="1" t="s">
        <v>502</v>
      </c>
      <c r="D1231" s="1" t="s">
        <v>502</v>
      </c>
      <c r="E1231" t="s">
        <v>503</v>
      </c>
      <c r="F1231" s="2" t="s">
        <v>31</v>
      </c>
      <c r="G1231" t="s">
        <v>121</v>
      </c>
      <c r="H1231" s="2" t="s">
        <v>50</v>
      </c>
      <c r="I1231" s="2">
        <v>10.6</v>
      </c>
      <c r="J1231" t="s">
        <v>55</v>
      </c>
    </row>
    <row r="1232" spans="1:10" x14ac:dyDescent="0.25">
      <c r="A1232" s="1" t="s">
        <v>2227</v>
      </c>
      <c r="B1232" t="s">
        <v>2228</v>
      </c>
      <c r="C1232" s="1" t="s">
        <v>7</v>
      </c>
      <c r="D1232" s="1" t="s">
        <v>7</v>
      </c>
      <c r="E1232" t="s">
        <v>8</v>
      </c>
      <c r="F1232" s="2" t="s">
        <v>9</v>
      </c>
      <c r="G1232" t="s">
        <v>10</v>
      </c>
      <c r="H1232" s="2" t="s">
        <v>2205</v>
      </c>
      <c r="I1232" s="2">
        <v>72.599999999999994</v>
      </c>
    </row>
    <row r="1233" spans="1:9" x14ac:dyDescent="0.25">
      <c r="A1233" s="1" t="s">
        <v>2232</v>
      </c>
      <c r="B1233" t="s">
        <v>2233</v>
      </c>
      <c r="C1233" s="1" t="s">
        <v>507</v>
      </c>
      <c r="D1233" s="1" t="s">
        <v>507</v>
      </c>
      <c r="E1233" t="s">
        <v>508</v>
      </c>
      <c r="F1233" s="2" t="s">
        <v>509</v>
      </c>
      <c r="G1233" t="s">
        <v>5</v>
      </c>
      <c r="H1233" s="2" t="s">
        <v>2234</v>
      </c>
      <c r="I1233" s="2">
        <v>5.0999999999999996</v>
      </c>
    </row>
    <row r="1234" spans="1:9" x14ac:dyDescent="0.25">
      <c r="A1234" s="1" t="s">
        <v>2232</v>
      </c>
      <c r="B1234" t="s">
        <v>2233</v>
      </c>
      <c r="C1234" s="1" t="s">
        <v>511</v>
      </c>
      <c r="D1234" s="1" t="s">
        <v>511</v>
      </c>
      <c r="E1234" t="s">
        <v>512</v>
      </c>
      <c r="F1234" s="2" t="s">
        <v>513</v>
      </c>
      <c r="G1234" t="s">
        <v>39</v>
      </c>
      <c r="H1234" s="2" t="s">
        <v>478</v>
      </c>
      <c r="I1234" s="2">
        <v>0.44</v>
      </c>
    </row>
    <row r="1235" spans="1:9" x14ac:dyDescent="0.25">
      <c r="A1235" s="1" t="s">
        <v>2232</v>
      </c>
      <c r="B1235" t="s">
        <v>2233</v>
      </c>
      <c r="C1235" s="1" t="s">
        <v>514</v>
      </c>
      <c r="D1235" s="1" t="s">
        <v>514</v>
      </c>
      <c r="E1235" t="s">
        <v>515</v>
      </c>
      <c r="F1235" s="2" t="s">
        <v>516</v>
      </c>
      <c r="G1235" t="s">
        <v>121</v>
      </c>
      <c r="H1235" s="2" t="s">
        <v>50</v>
      </c>
      <c r="I1235" s="2">
        <v>0.27</v>
      </c>
    </row>
    <row r="1236" spans="1:9" x14ac:dyDescent="0.25">
      <c r="A1236" s="1" t="s">
        <v>2232</v>
      </c>
      <c r="B1236" t="s">
        <v>2233</v>
      </c>
      <c r="C1236" s="1" t="s">
        <v>41</v>
      </c>
      <c r="D1236" s="1" t="s">
        <v>41</v>
      </c>
      <c r="E1236" t="s">
        <v>42</v>
      </c>
      <c r="F1236" s="2" t="s">
        <v>43</v>
      </c>
      <c r="G1236" t="s">
        <v>5</v>
      </c>
      <c r="H1236" s="2" t="s">
        <v>2231</v>
      </c>
      <c r="I1236" s="2">
        <v>0.04</v>
      </c>
    </row>
    <row r="1237" spans="1:9" x14ac:dyDescent="0.25">
      <c r="A1237" s="1" t="s">
        <v>2232</v>
      </c>
      <c r="B1237" t="s">
        <v>2233</v>
      </c>
      <c r="C1237" s="1" t="s">
        <v>517</v>
      </c>
      <c r="D1237" s="1" t="s">
        <v>517</v>
      </c>
      <c r="E1237" t="s">
        <v>518</v>
      </c>
      <c r="F1237" s="2" t="s">
        <v>519</v>
      </c>
      <c r="G1237" t="s">
        <v>121</v>
      </c>
      <c r="H1237" s="2" t="s">
        <v>92</v>
      </c>
      <c r="I1237" s="2">
        <v>11.1</v>
      </c>
    </row>
    <row r="1238" spans="1:9" x14ac:dyDescent="0.25">
      <c r="A1238" s="1" t="s">
        <v>2232</v>
      </c>
      <c r="B1238" t="s">
        <v>2233</v>
      </c>
      <c r="C1238" s="1" t="s">
        <v>520</v>
      </c>
      <c r="D1238" s="1" t="s">
        <v>520</v>
      </c>
      <c r="E1238" t="s">
        <v>521</v>
      </c>
      <c r="F1238" s="2" t="s">
        <v>522</v>
      </c>
      <c r="G1238" t="s">
        <v>121</v>
      </c>
      <c r="H1238" s="2" t="s">
        <v>50</v>
      </c>
      <c r="I1238" s="2">
        <v>3.45</v>
      </c>
    </row>
    <row r="1239" spans="1:9" x14ac:dyDescent="0.25">
      <c r="A1239" s="1" t="s">
        <v>2232</v>
      </c>
      <c r="B1239" t="s">
        <v>2233</v>
      </c>
      <c r="C1239" s="1" t="s">
        <v>7</v>
      </c>
      <c r="D1239" s="1" t="s">
        <v>7</v>
      </c>
      <c r="E1239" t="s">
        <v>8</v>
      </c>
      <c r="F1239" s="2" t="s">
        <v>9</v>
      </c>
      <c r="G1239" t="s">
        <v>10</v>
      </c>
      <c r="H1239" s="2" t="s">
        <v>2235</v>
      </c>
      <c r="I1239" s="2">
        <v>36</v>
      </c>
    </row>
    <row r="1240" spans="1:9" x14ac:dyDescent="0.25">
      <c r="A1240" s="1" t="s">
        <v>2236</v>
      </c>
      <c r="B1240" t="s">
        <v>2237</v>
      </c>
      <c r="C1240" s="1" t="s">
        <v>507</v>
      </c>
      <c r="D1240" s="1" t="s">
        <v>507</v>
      </c>
      <c r="E1240" t="s">
        <v>508</v>
      </c>
      <c r="F1240" s="2" t="s">
        <v>578</v>
      </c>
      <c r="G1240" t="s">
        <v>5</v>
      </c>
      <c r="H1240" s="2" t="s">
        <v>2238</v>
      </c>
      <c r="I1240" s="2">
        <v>2.73</v>
      </c>
    </row>
    <row r="1241" spans="1:9" x14ac:dyDescent="0.25">
      <c r="A1241" s="1" t="s">
        <v>2236</v>
      </c>
      <c r="B1241" t="s">
        <v>2237</v>
      </c>
      <c r="C1241" s="1" t="s">
        <v>511</v>
      </c>
      <c r="D1241" s="1" t="s">
        <v>511</v>
      </c>
      <c r="E1241" t="s">
        <v>512</v>
      </c>
      <c r="F1241" s="2" t="s">
        <v>580</v>
      </c>
      <c r="G1241" t="s">
        <v>39</v>
      </c>
      <c r="H1241" s="2" t="s">
        <v>478</v>
      </c>
      <c r="I1241" s="2">
        <v>0.6</v>
      </c>
    </row>
    <row r="1242" spans="1:9" x14ac:dyDescent="0.25">
      <c r="A1242" s="1" t="s">
        <v>2236</v>
      </c>
      <c r="B1242" t="s">
        <v>2237</v>
      </c>
      <c r="C1242" s="1" t="s">
        <v>514</v>
      </c>
      <c r="D1242" s="1" t="s">
        <v>514</v>
      </c>
      <c r="E1242" t="s">
        <v>515</v>
      </c>
      <c r="F1242" s="2" t="s">
        <v>516</v>
      </c>
      <c r="G1242" t="s">
        <v>121</v>
      </c>
      <c r="H1242" s="2" t="s">
        <v>50</v>
      </c>
      <c r="I1242" s="2">
        <v>0.27</v>
      </c>
    </row>
    <row r="1243" spans="1:9" x14ac:dyDescent="0.25">
      <c r="A1243" s="1" t="s">
        <v>2236</v>
      </c>
      <c r="B1243" t="s">
        <v>2237</v>
      </c>
      <c r="C1243" s="1" t="s">
        <v>517</v>
      </c>
      <c r="D1243" s="1" t="s">
        <v>517</v>
      </c>
      <c r="E1243" t="s">
        <v>518</v>
      </c>
      <c r="F1243" s="2" t="s">
        <v>519</v>
      </c>
      <c r="G1243" t="s">
        <v>121</v>
      </c>
      <c r="H1243" s="2" t="s">
        <v>92</v>
      </c>
      <c r="I1243" s="2">
        <v>11.1</v>
      </c>
    </row>
    <row r="1244" spans="1:9" x14ac:dyDescent="0.25">
      <c r="A1244" s="1" t="s">
        <v>2236</v>
      </c>
      <c r="B1244" t="s">
        <v>2237</v>
      </c>
      <c r="C1244" s="1" t="s">
        <v>520</v>
      </c>
      <c r="D1244" s="1" t="s">
        <v>520</v>
      </c>
      <c r="E1244" t="s">
        <v>521</v>
      </c>
      <c r="F1244" s="2" t="s">
        <v>522</v>
      </c>
      <c r="G1244" t="s">
        <v>121</v>
      </c>
      <c r="H1244" s="2" t="s">
        <v>50</v>
      </c>
      <c r="I1244" s="2">
        <v>3.45</v>
      </c>
    </row>
    <row r="1245" spans="1:9" x14ac:dyDescent="0.25">
      <c r="A1245" s="1" t="s">
        <v>2236</v>
      </c>
      <c r="B1245" t="s">
        <v>2237</v>
      </c>
      <c r="C1245" s="1" t="s">
        <v>541</v>
      </c>
      <c r="D1245" s="1" t="s">
        <v>541</v>
      </c>
      <c r="E1245" t="s">
        <v>542</v>
      </c>
      <c r="F1245" s="2" t="s">
        <v>9</v>
      </c>
      <c r="G1245" t="s">
        <v>10</v>
      </c>
      <c r="H1245" s="2" t="s">
        <v>607</v>
      </c>
      <c r="I1245" s="2">
        <v>18.399999999999999</v>
      </c>
    </row>
    <row r="1246" spans="1:9" x14ac:dyDescent="0.25">
      <c r="A1246" s="1" t="s">
        <v>2239</v>
      </c>
      <c r="B1246" t="s">
        <v>2240</v>
      </c>
      <c r="C1246" s="1" t="s">
        <v>507</v>
      </c>
      <c r="D1246" s="1" t="s">
        <v>507</v>
      </c>
      <c r="E1246" t="s">
        <v>508</v>
      </c>
      <c r="F1246" s="2" t="s">
        <v>578</v>
      </c>
      <c r="G1246" t="s">
        <v>5</v>
      </c>
      <c r="H1246" s="2" t="s">
        <v>2241</v>
      </c>
      <c r="I1246" s="2">
        <v>4.4000000000000004</v>
      </c>
    </row>
    <row r="1247" spans="1:9" x14ac:dyDescent="0.25">
      <c r="A1247" s="1" t="s">
        <v>2239</v>
      </c>
      <c r="B1247" t="s">
        <v>2240</v>
      </c>
      <c r="C1247" s="1" t="s">
        <v>1907</v>
      </c>
      <c r="D1247" s="1" t="s">
        <v>1907</v>
      </c>
      <c r="E1247" t="s">
        <v>1908</v>
      </c>
      <c r="F1247" s="2" t="s">
        <v>1909</v>
      </c>
      <c r="G1247" t="s">
        <v>39</v>
      </c>
      <c r="H1247" s="2" t="s">
        <v>478</v>
      </c>
      <c r="I1247" s="2">
        <v>0.91</v>
      </c>
    </row>
    <row r="1248" spans="1:9" x14ac:dyDescent="0.25">
      <c r="A1248" s="1" t="s">
        <v>2239</v>
      </c>
      <c r="B1248" t="s">
        <v>2240</v>
      </c>
      <c r="C1248" s="1" t="s">
        <v>2242</v>
      </c>
      <c r="D1248" s="1" t="s">
        <v>2242</v>
      </c>
      <c r="E1248" t="s">
        <v>2243</v>
      </c>
      <c r="F1248" s="2" t="s">
        <v>557</v>
      </c>
      <c r="G1248" t="s">
        <v>39</v>
      </c>
      <c r="H1248" s="2" t="s">
        <v>605</v>
      </c>
      <c r="I1248" s="2">
        <v>0.34</v>
      </c>
    </row>
    <row r="1249" spans="1:9" x14ac:dyDescent="0.25">
      <c r="A1249" s="1" t="s">
        <v>2239</v>
      </c>
      <c r="B1249" t="s">
        <v>2240</v>
      </c>
      <c r="C1249" s="1" t="s">
        <v>1971</v>
      </c>
      <c r="D1249" s="1" t="s">
        <v>1971</v>
      </c>
      <c r="E1249" t="s">
        <v>1972</v>
      </c>
      <c r="F1249" s="2" t="s">
        <v>1964</v>
      </c>
      <c r="G1249" t="s">
        <v>5</v>
      </c>
      <c r="H1249" s="2" t="s">
        <v>2244</v>
      </c>
      <c r="I1249" s="2">
        <v>0.41</v>
      </c>
    </row>
    <row r="1250" spans="1:9" x14ac:dyDescent="0.25">
      <c r="A1250" s="1" t="s">
        <v>2239</v>
      </c>
      <c r="B1250" t="s">
        <v>2240</v>
      </c>
      <c r="C1250" s="1" t="s">
        <v>514</v>
      </c>
      <c r="D1250" s="1" t="s">
        <v>514</v>
      </c>
      <c r="E1250" t="s">
        <v>515</v>
      </c>
      <c r="F1250" s="2" t="s">
        <v>516</v>
      </c>
      <c r="G1250" t="s">
        <v>121</v>
      </c>
      <c r="H1250" s="2" t="s">
        <v>50</v>
      </c>
      <c r="I1250" s="2">
        <v>0.27</v>
      </c>
    </row>
    <row r="1251" spans="1:9" x14ac:dyDescent="0.25">
      <c r="A1251" s="1" t="s">
        <v>2239</v>
      </c>
      <c r="B1251" t="s">
        <v>2240</v>
      </c>
      <c r="C1251" s="1" t="s">
        <v>41</v>
      </c>
      <c r="D1251" s="1" t="s">
        <v>41</v>
      </c>
      <c r="E1251" t="s">
        <v>42</v>
      </c>
      <c r="F1251" s="2" t="s">
        <v>513</v>
      </c>
      <c r="G1251" t="s">
        <v>5</v>
      </c>
      <c r="H1251" s="2" t="s">
        <v>2245</v>
      </c>
      <c r="I1251" s="2">
        <v>0.04</v>
      </c>
    </row>
    <row r="1252" spans="1:9" x14ac:dyDescent="0.25">
      <c r="A1252" s="1" t="s">
        <v>2239</v>
      </c>
      <c r="B1252" t="s">
        <v>2240</v>
      </c>
      <c r="C1252" s="1" t="s">
        <v>2246</v>
      </c>
      <c r="D1252" s="1" t="s">
        <v>2246</v>
      </c>
      <c r="E1252" t="s">
        <v>2247</v>
      </c>
      <c r="F1252" s="2" t="s">
        <v>2248</v>
      </c>
      <c r="G1252" t="s">
        <v>49</v>
      </c>
      <c r="H1252" s="2" t="s">
        <v>92</v>
      </c>
      <c r="I1252" s="2">
        <v>4.3</v>
      </c>
    </row>
    <row r="1253" spans="1:9" x14ac:dyDescent="0.25">
      <c r="A1253" s="1" t="s">
        <v>2239</v>
      </c>
      <c r="B1253" t="s">
        <v>2240</v>
      </c>
      <c r="C1253" s="1" t="s">
        <v>2249</v>
      </c>
      <c r="D1253" s="1" t="s">
        <v>2249</v>
      </c>
      <c r="E1253" t="s">
        <v>2250</v>
      </c>
      <c r="F1253" s="2" t="s">
        <v>2251</v>
      </c>
      <c r="G1253" t="s">
        <v>49</v>
      </c>
      <c r="H1253" s="2" t="s">
        <v>50</v>
      </c>
      <c r="I1253" s="2">
        <v>6.39</v>
      </c>
    </row>
    <row r="1254" spans="1:9" x14ac:dyDescent="0.25">
      <c r="A1254" s="1" t="s">
        <v>2239</v>
      </c>
      <c r="B1254" t="s">
        <v>2240</v>
      </c>
      <c r="C1254" s="1" t="s">
        <v>2252</v>
      </c>
      <c r="D1254" s="1" t="s">
        <v>2252</v>
      </c>
      <c r="E1254" t="s">
        <v>2253</v>
      </c>
      <c r="F1254" s="2" t="s">
        <v>2251</v>
      </c>
      <c r="G1254" t="s">
        <v>49</v>
      </c>
      <c r="H1254" s="2" t="s">
        <v>50</v>
      </c>
      <c r="I1254" s="2">
        <v>6.39</v>
      </c>
    </row>
    <row r="1255" spans="1:9" x14ac:dyDescent="0.25">
      <c r="A1255" s="1" t="s">
        <v>2239</v>
      </c>
      <c r="B1255" t="s">
        <v>2240</v>
      </c>
      <c r="C1255" s="1" t="s">
        <v>2254</v>
      </c>
      <c r="D1255" s="1" t="s">
        <v>2254</v>
      </c>
      <c r="E1255" t="s">
        <v>2255</v>
      </c>
      <c r="F1255" s="2" t="s">
        <v>2256</v>
      </c>
      <c r="G1255" t="s">
        <v>49</v>
      </c>
      <c r="H1255" s="2" t="s">
        <v>50</v>
      </c>
      <c r="I1255" s="2">
        <v>2.25</v>
      </c>
    </row>
    <row r="1256" spans="1:9" x14ac:dyDescent="0.25">
      <c r="A1256" s="1" t="s">
        <v>2239</v>
      </c>
      <c r="B1256" t="s">
        <v>2240</v>
      </c>
      <c r="C1256" s="1" t="s">
        <v>541</v>
      </c>
      <c r="D1256" s="1" t="s">
        <v>541</v>
      </c>
      <c r="E1256" t="s">
        <v>542</v>
      </c>
      <c r="F1256" s="2" t="s">
        <v>9</v>
      </c>
      <c r="G1256" t="s">
        <v>10</v>
      </c>
      <c r="H1256" s="2" t="s">
        <v>2257</v>
      </c>
      <c r="I1256" s="2">
        <v>16.52</v>
      </c>
    </row>
    <row r="1257" spans="1:9" x14ac:dyDescent="0.25">
      <c r="A1257" s="1" t="s">
        <v>2258</v>
      </c>
      <c r="B1257" t="s">
        <v>2259</v>
      </c>
      <c r="C1257" s="1" t="s">
        <v>507</v>
      </c>
      <c r="D1257" s="1" t="s">
        <v>507</v>
      </c>
      <c r="E1257" t="s">
        <v>508</v>
      </c>
      <c r="F1257" s="2" t="s">
        <v>578</v>
      </c>
      <c r="G1257" t="s">
        <v>5</v>
      </c>
      <c r="H1257" s="2" t="s">
        <v>2260</v>
      </c>
      <c r="I1257" s="2">
        <v>8.1999999999999993</v>
      </c>
    </row>
    <row r="1258" spans="1:9" x14ac:dyDescent="0.25">
      <c r="A1258" s="1" t="s">
        <v>2258</v>
      </c>
      <c r="B1258" t="s">
        <v>2259</v>
      </c>
      <c r="C1258" s="1" t="s">
        <v>1907</v>
      </c>
      <c r="D1258" s="1" t="s">
        <v>1907</v>
      </c>
      <c r="E1258" t="s">
        <v>1908</v>
      </c>
      <c r="F1258" s="2" t="s">
        <v>1909</v>
      </c>
      <c r="G1258" t="s">
        <v>39</v>
      </c>
      <c r="H1258" s="2" t="s">
        <v>2194</v>
      </c>
      <c r="I1258" s="2">
        <v>2.06</v>
      </c>
    </row>
    <row r="1259" spans="1:9" x14ac:dyDescent="0.25">
      <c r="A1259" s="1" t="s">
        <v>2258</v>
      </c>
      <c r="B1259" t="s">
        <v>2259</v>
      </c>
      <c r="C1259" s="1" t="s">
        <v>2242</v>
      </c>
      <c r="D1259" s="1" t="s">
        <v>2242</v>
      </c>
      <c r="E1259" t="s">
        <v>2243</v>
      </c>
      <c r="F1259" s="2" t="s">
        <v>557</v>
      </c>
      <c r="G1259" t="s">
        <v>39</v>
      </c>
      <c r="H1259" s="2" t="s">
        <v>605</v>
      </c>
      <c r="I1259" s="2">
        <v>0.34</v>
      </c>
    </row>
    <row r="1260" spans="1:9" x14ac:dyDescent="0.25">
      <c r="A1260" s="1" t="s">
        <v>2258</v>
      </c>
      <c r="B1260" t="s">
        <v>2259</v>
      </c>
      <c r="C1260" s="1" t="s">
        <v>1971</v>
      </c>
      <c r="D1260" s="1" t="s">
        <v>1971</v>
      </c>
      <c r="E1260" t="s">
        <v>1972</v>
      </c>
      <c r="F1260" s="2" t="s">
        <v>1964</v>
      </c>
      <c r="G1260" t="s">
        <v>5</v>
      </c>
      <c r="H1260" s="2" t="s">
        <v>2244</v>
      </c>
      <c r="I1260" s="2">
        <v>0.41</v>
      </c>
    </row>
    <row r="1261" spans="1:9" x14ac:dyDescent="0.25">
      <c r="A1261" s="1" t="s">
        <v>2258</v>
      </c>
      <c r="B1261" t="s">
        <v>2259</v>
      </c>
      <c r="C1261" s="1" t="s">
        <v>2261</v>
      </c>
      <c r="D1261" s="1" t="s">
        <v>2261</v>
      </c>
      <c r="E1261" t="s">
        <v>2262</v>
      </c>
      <c r="F1261" s="2" t="s">
        <v>2263</v>
      </c>
      <c r="G1261" t="s">
        <v>49</v>
      </c>
      <c r="H1261" s="2" t="s">
        <v>92</v>
      </c>
      <c r="I1261" s="2">
        <v>22.54</v>
      </c>
    </row>
    <row r="1262" spans="1:9" x14ac:dyDescent="0.25">
      <c r="A1262" s="1" t="s">
        <v>2258</v>
      </c>
      <c r="B1262" t="s">
        <v>2259</v>
      </c>
      <c r="C1262" s="1" t="s">
        <v>2246</v>
      </c>
      <c r="D1262" s="1" t="s">
        <v>2246</v>
      </c>
      <c r="E1262" t="s">
        <v>2247</v>
      </c>
      <c r="F1262" s="2" t="s">
        <v>2248</v>
      </c>
      <c r="G1262" t="s">
        <v>49</v>
      </c>
      <c r="H1262" s="2" t="s">
        <v>92</v>
      </c>
      <c r="I1262" s="2">
        <v>4.3</v>
      </c>
    </row>
    <row r="1263" spans="1:9" x14ac:dyDescent="0.25">
      <c r="A1263" s="1" t="s">
        <v>2258</v>
      </c>
      <c r="B1263" t="s">
        <v>2259</v>
      </c>
      <c r="C1263" s="1" t="s">
        <v>2249</v>
      </c>
      <c r="D1263" s="1" t="s">
        <v>2249</v>
      </c>
      <c r="E1263" t="s">
        <v>2250</v>
      </c>
      <c r="F1263" s="2" t="s">
        <v>2251</v>
      </c>
      <c r="G1263" t="s">
        <v>49</v>
      </c>
      <c r="H1263" s="2" t="s">
        <v>50</v>
      </c>
      <c r="I1263" s="2">
        <v>6.39</v>
      </c>
    </row>
    <row r="1264" spans="1:9" x14ac:dyDescent="0.25">
      <c r="A1264" s="1" t="s">
        <v>2258</v>
      </c>
      <c r="B1264" t="s">
        <v>2259</v>
      </c>
      <c r="C1264" s="1" t="s">
        <v>2252</v>
      </c>
      <c r="D1264" s="1" t="s">
        <v>2252</v>
      </c>
      <c r="E1264" t="s">
        <v>2253</v>
      </c>
      <c r="F1264" s="2" t="s">
        <v>2251</v>
      </c>
      <c r="G1264" t="s">
        <v>49</v>
      </c>
      <c r="H1264" s="2" t="s">
        <v>50</v>
      </c>
      <c r="I1264" s="2">
        <v>6.39</v>
      </c>
    </row>
    <row r="1265" spans="1:9" x14ac:dyDescent="0.25">
      <c r="A1265" s="1" t="s">
        <v>2258</v>
      </c>
      <c r="B1265" t="s">
        <v>2259</v>
      </c>
      <c r="C1265" s="1" t="s">
        <v>2254</v>
      </c>
      <c r="D1265" s="1" t="s">
        <v>2254</v>
      </c>
      <c r="E1265" t="s">
        <v>2255</v>
      </c>
      <c r="F1265" s="2" t="s">
        <v>2256</v>
      </c>
      <c r="G1265" t="s">
        <v>49</v>
      </c>
      <c r="H1265" s="2" t="s">
        <v>92</v>
      </c>
      <c r="I1265" s="2">
        <v>4.5</v>
      </c>
    </row>
    <row r="1266" spans="1:9" x14ac:dyDescent="0.25">
      <c r="A1266" s="1" t="s">
        <v>2258</v>
      </c>
      <c r="B1266" t="s">
        <v>2259</v>
      </c>
      <c r="C1266" s="1" t="s">
        <v>541</v>
      </c>
      <c r="D1266" s="1" t="s">
        <v>541</v>
      </c>
      <c r="E1266" t="s">
        <v>542</v>
      </c>
      <c r="F1266" s="2" t="s">
        <v>9</v>
      </c>
      <c r="G1266" t="s">
        <v>10</v>
      </c>
      <c r="H1266" s="2" t="s">
        <v>2264</v>
      </c>
      <c r="I1266" s="2">
        <v>21.71</v>
      </c>
    </row>
    <row r="1267" spans="1:9" x14ac:dyDescent="0.25">
      <c r="A1267" s="1" t="s">
        <v>2265</v>
      </c>
      <c r="B1267" t="s">
        <v>2266</v>
      </c>
      <c r="C1267" s="1" t="s">
        <v>507</v>
      </c>
      <c r="D1267" s="1" t="s">
        <v>507</v>
      </c>
      <c r="E1267" t="s">
        <v>508</v>
      </c>
      <c r="F1267" s="2" t="s">
        <v>578</v>
      </c>
      <c r="G1267" t="s">
        <v>5</v>
      </c>
      <c r="H1267" s="2" t="s">
        <v>992</v>
      </c>
      <c r="I1267" s="2">
        <v>5.53</v>
      </c>
    </row>
    <row r="1268" spans="1:9" x14ac:dyDescent="0.25">
      <c r="A1268" s="1" t="s">
        <v>2265</v>
      </c>
      <c r="B1268" t="s">
        <v>2266</v>
      </c>
      <c r="C1268" s="1" t="s">
        <v>1907</v>
      </c>
      <c r="D1268" s="1" t="s">
        <v>1907</v>
      </c>
      <c r="E1268" t="s">
        <v>1908</v>
      </c>
      <c r="F1268" s="2" t="s">
        <v>1909</v>
      </c>
      <c r="G1268" t="s">
        <v>39</v>
      </c>
      <c r="H1268" s="2" t="s">
        <v>478</v>
      </c>
      <c r="I1268" s="2">
        <v>0.91</v>
      </c>
    </row>
    <row r="1269" spans="1:9" x14ac:dyDescent="0.25">
      <c r="A1269" s="1" t="s">
        <v>2265</v>
      </c>
      <c r="B1269" t="s">
        <v>2266</v>
      </c>
      <c r="C1269" s="1" t="s">
        <v>2242</v>
      </c>
      <c r="D1269" s="1" t="s">
        <v>2242</v>
      </c>
      <c r="E1269" t="s">
        <v>2243</v>
      </c>
      <c r="F1269" s="2" t="s">
        <v>557</v>
      </c>
      <c r="G1269" t="s">
        <v>39</v>
      </c>
      <c r="H1269" s="2" t="s">
        <v>605</v>
      </c>
      <c r="I1269" s="2">
        <v>0.34</v>
      </c>
    </row>
    <row r="1270" spans="1:9" x14ac:dyDescent="0.25">
      <c r="A1270" s="1" t="s">
        <v>2265</v>
      </c>
      <c r="B1270" t="s">
        <v>2266</v>
      </c>
      <c r="C1270" s="1" t="s">
        <v>514</v>
      </c>
      <c r="D1270" s="1" t="s">
        <v>514</v>
      </c>
      <c r="E1270" t="s">
        <v>515</v>
      </c>
      <c r="F1270" s="2" t="s">
        <v>516</v>
      </c>
      <c r="G1270" t="s">
        <v>121</v>
      </c>
      <c r="H1270" s="2" t="s">
        <v>50</v>
      </c>
      <c r="I1270" s="2">
        <v>0.27</v>
      </c>
    </row>
    <row r="1271" spans="1:9" x14ac:dyDescent="0.25">
      <c r="A1271" s="1" t="s">
        <v>2265</v>
      </c>
      <c r="B1271" t="s">
        <v>2266</v>
      </c>
      <c r="C1271" s="1" t="s">
        <v>41</v>
      </c>
      <c r="D1271" s="1" t="s">
        <v>41</v>
      </c>
      <c r="E1271" t="s">
        <v>42</v>
      </c>
      <c r="F1271" s="2" t="s">
        <v>513</v>
      </c>
      <c r="G1271" t="s">
        <v>5</v>
      </c>
      <c r="H1271" s="2" t="s">
        <v>2267</v>
      </c>
      <c r="I1271" s="2">
        <v>0.02</v>
      </c>
    </row>
    <row r="1272" spans="1:9" x14ac:dyDescent="0.25">
      <c r="A1272" s="1" t="s">
        <v>2265</v>
      </c>
      <c r="B1272" t="s">
        <v>2266</v>
      </c>
      <c r="C1272" s="1" t="s">
        <v>2246</v>
      </c>
      <c r="D1272" s="1" t="s">
        <v>2246</v>
      </c>
      <c r="E1272" t="s">
        <v>2247</v>
      </c>
      <c r="F1272" s="2" t="s">
        <v>2248</v>
      </c>
      <c r="G1272" t="s">
        <v>49</v>
      </c>
      <c r="H1272" s="2" t="s">
        <v>92</v>
      </c>
      <c r="I1272" s="2">
        <v>4.3</v>
      </c>
    </row>
    <row r="1273" spans="1:9" x14ac:dyDescent="0.25">
      <c r="A1273" s="1" t="s">
        <v>2265</v>
      </c>
      <c r="B1273" t="s">
        <v>2266</v>
      </c>
      <c r="C1273" s="1" t="s">
        <v>2249</v>
      </c>
      <c r="D1273" s="1" t="s">
        <v>2249</v>
      </c>
      <c r="E1273" t="s">
        <v>2250</v>
      </c>
      <c r="F1273" s="2" t="s">
        <v>2251</v>
      </c>
      <c r="G1273" t="s">
        <v>49</v>
      </c>
      <c r="H1273" s="2" t="s">
        <v>50</v>
      </c>
      <c r="I1273" s="2">
        <v>6.39</v>
      </c>
    </row>
    <row r="1274" spans="1:9" x14ac:dyDescent="0.25">
      <c r="A1274" s="1" t="s">
        <v>2265</v>
      </c>
      <c r="B1274" t="s">
        <v>2266</v>
      </c>
      <c r="C1274" s="1" t="s">
        <v>2252</v>
      </c>
      <c r="D1274" s="1" t="s">
        <v>2252</v>
      </c>
      <c r="E1274" t="s">
        <v>2253</v>
      </c>
      <c r="F1274" s="2" t="s">
        <v>2251</v>
      </c>
      <c r="G1274" t="s">
        <v>49</v>
      </c>
      <c r="H1274" s="2" t="s">
        <v>50</v>
      </c>
      <c r="I1274" s="2">
        <v>6.39</v>
      </c>
    </row>
    <row r="1275" spans="1:9" x14ac:dyDescent="0.25">
      <c r="A1275" s="1" t="s">
        <v>2265</v>
      </c>
      <c r="B1275" t="s">
        <v>2266</v>
      </c>
      <c r="C1275" s="1" t="s">
        <v>2254</v>
      </c>
      <c r="D1275" s="1" t="s">
        <v>2254</v>
      </c>
      <c r="E1275" t="s">
        <v>2255</v>
      </c>
      <c r="F1275" s="2" t="s">
        <v>2256</v>
      </c>
      <c r="G1275" t="s">
        <v>49</v>
      </c>
      <c r="H1275" s="2" t="s">
        <v>50</v>
      </c>
      <c r="I1275" s="2">
        <v>2.25</v>
      </c>
    </row>
    <row r="1276" spans="1:9" x14ac:dyDescent="0.25">
      <c r="A1276" s="1" t="s">
        <v>2265</v>
      </c>
      <c r="B1276" t="s">
        <v>2266</v>
      </c>
      <c r="C1276" s="1" t="s">
        <v>541</v>
      </c>
      <c r="D1276" s="1" t="s">
        <v>541</v>
      </c>
      <c r="E1276" t="s">
        <v>542</v>
      </c>
      <c r="F1276" s="2" t="s">
        <v>9</v>
      </c>
      <c r="G1276" t="s">
        <v>10</v>
      </c>
      <c r="H1276" s="2" t="s">
        <v>2257</v>
      </c>
      <c r="I1276" s="2">
        <v>16.52</v>
      </c>
    </row>
    <row r="1277" spans="1:9" x14ac:dyDescent="0.25">
      <c r="A1277" s="1" t="s">
        <v>2268</v>
      </c>
      <c r="B1277" t="s">
        <v>2269</v>
      </c>
      <c r="C1277" s="1" t="s">
        <v>507</v>
      </c>
      <c r="D1277" s="1" t="s">
        <v>507</v>
      </c>
      <c r="E1277" t="s">
        <v>508</v>
      </c>
      <c r="F1277" s="2" t="s">
        <v>578</v>
      </c>
      <c r="G1277" t="s">
        <v>5</v>
      </c>
      <c r="H1277" s="2" t="s">
        <v>2270</v>
      </c>
      <c r="I1277" s="2">
        <v>13.13</v>
      </c>
    </row>
    <row r="1278" spans="1:9" x14ac:dyDescent="0.25">
      <c r="A1278" s="1" t="s">
        <v>2268</v>
      </c>
      <c r="B1278" t="s">
        <v>2269</v>
      </c>
      <c r="C1278" s="1" t="s">
        <v>1907</v>
      </c>
      <c r="D1278" s="1" t="s">
        <v>1907</v>
      </c>
      <c r="E1278" t="s">
        <v>1908</v>
      </c>
      <c r="F1278" s="2" t="s">
        <v>1909</v>
      </c>
      <c r="G1278" t="s">
        <v>39</v>
      </c>
      <c r="H1278" s="2" t="s">
        <v>2194</v>
      </c>
      <c r="I1278" s="2">
        <v>2.06</v>
      </c>
    </row>
    <row r="1279" spans="1:9" x14ac:dyDescent="0.25">
      <c r="A1279" s="1" t="s">
        <v>2268</v>
      </c>
      <c r="B1279" t="s">
        <v>2269</v>
      </c>
      <c r="C1279" s="1" t="s">
        <v>2242</v>
      </c>
      <c r="D1279" s="1" t="s">
        <v>2242</v>
      </c>
      <c r="E1279" t="s">
        <v>2243</v>
      </c>
      <c r="F1279" s="2" t="s">
        <v>557</v>
      </c>
      <c r="G1279" t="s">
        <v>39</v>
      </c>
      <c r="H1279" s="2" t="s">
        <v>605</v>
      </c>
      <c r="I1279" s="2">
        <v>0.34</v>
      </c>
    </row>
    <row r="1280" spans="1:9" x14ac:dyDescent="0.25">
      <c r="A1280" s="1" t="s">
        <v>2268</v>
      </c>
      <c r="B1280" t="s">
        <v>2269</v>
      </c>
      <c r="C1280" s="1" t="s">
        <v>41</v>
      </c>
      <c r="D1280" s="1" t="s">
        <v>41</v>
      </c>
      <c r="E1280" t="s">
        <v>42</v>
      </c>
      <c r="F1280" s="2" t="s">
        <v>513</v>
      </c>
      <c r="G1280" t="s">
        <v>5</v>
      </c>
      <c r="H1280" s="2" t="s">
        <v>2271</v>
      </c>
      <c r="I1280" s="2">
        <v>0.08</v>
      </c>
    </row>
    <row r="1281" spans="1:9" x14ac:dyDescent="0.25">
      <c r="A1281" s="1" t="s">
        <v>2268</v>
      </c>
      <c r="B1281" t="s">
        <v>2269</v>
      </c>
      <c r="C1281" s="1" t="s">
        <v>2261</v>
      </c>
      <c r="D1281" s="1" t="s">
        <v>2261</v>
      </c>
      <c r="E1281" t="s">
        <v>2262</v>
      </c>
      <c r="F1281" s="2" t="s">
        <v>2263</v>
      </c>
      <c r="G1281" t="s">
        <v>49</v>
      </c>
      <c r="H1281" s="2" t="s">
        <v>92</v>
      </c>
      <c r="I1281" s="2">
        <v>22.54</v>
      </c>
    </row>
    <row r="1282" spans="1:9" x14ac:dyDescent="0.25">
      <c r="A1282" s="1" t="s">
        <v>2268</v>
      </c>
      <c r="B1282" t="s">
        <v>2269</v>
      </c>
      <c r="C1282" s="1" t="s">
        <v>2246</v>
      </c>
      <c r="D1282" s="1" t="s">
        <v>2246</v>
      </c>
      <c r="E1282" t="s">
        <v>2247</v>
      </c>
      <c r="F1282" s="2" t="s">
        <v>2248</v>
      </c>
      <c r="G1282" t="s">
        <v>49</v>
      </c>
      <c r="H1282" s="2" t="s">
        <v>92</v>
      </c>
      <c r="I1282" s="2">
        <v>4.3</v>
      </c>
    </row>
    <row r="1283" spans="1:9" x14ac:dyDescent="0.25">
      <c r="A1283" s="1" t="s">
        <v>2268</v>
      </c>
      <c r="B1283" t="s">
        <v>2269</v>
      </c>
      <c r="C1283" s="1" t="s">
        <v>2249</v>
      </c>
      <c r="D1283" s="1" t="s">
        <v>2249</v>
      </c>
      <c r="E1283" t="s">
        <v>2250</v>
      </c>
      <c r="F1283" s="2" t="s">
        <v>2251</v>
      </c>
      <c r="G1283" t="s">
        <v>49</v>
      </c>
      <c r="H1283" s="2" t="s">
        <v>50</v>
      </c>
      <c r="I1283" s="2">
        <v>6.39</v>
      </c>
    </row>
    <row r="1284" spans="1:9" x14ac:dyDescent="0.25">
      <c r="A1284" s="1" t="s">
        <v>2268</v>
      </c>
      <c r="B1284" t="s">
        <v>2269</v>
      </c>
      <c r="C1284" s="1" t="s">
        <v>2252</v>
      </c>
      <c r="D1284" s="1" t="s">
        <v>2252</v>
      </c>
      <c r="E1284" t="s">
        <v>2253</v>
      </c>
      <c r="F1284" s="2" t="s">
        <v>2251</v>
      </c>
      <c r="G1284" t="s">
        <v>49</v>
      </c>
      <c r="H1284" s="2" t="s">
        <v>50</v>
      </c>
      <c r="I1284" s="2">
        <v>6.39</v>
      </c>
    </row>
    <row r="1285" spans="1:9" x14ac:dyDescent="0.25">
      <c r="A1285" s="1" t="s">
        <v>2268</v>
      </c>
      <c r="B1285" t="s">
        <v>2269</v>
      </c>
      <c r="C1285" s="1" t="s">
        <v>2254</v>
      </c>
      <c r="D1285" s="1" t="s">
        <v>2254</v>
      </c>
      <c r="E1285" t="s">
        <v>2255</v>
      </c>
      <c r="F1285" s="2" t="s">
        <v>2256</v>
      </c>
      <c r="G1285" t="s">
        <v>49</v>
      </c>
      <c r="H1285" s="2" t="s">
        <v>92</v>
      </c>
      <c r="I1285" s="2">
        <v>4.5</v>
      </c>
    </row>
    <row r="1286" spans="1:9" x14ac:dyDescent="0.25">
      <c r="A1286" s="1" t="s">
        <v>2268</v>
      </c>
      <c r="B1286" t="s">
        <v>2269</v>
      </c>
      <c r="C1286" s="1" t="s">
        <v>541</v>
      </c>
      <c r="D1286" s="1" t="s">
        <v>541</v>
      </c>
      <c r="E1286" t="s">
        <v>542</v>
      </c>
      <c r="F1286" s="2" t="s">
        <v>9</v>
      </c>
      <c r="G1286" t="s">
        <v>10</v>
      </c>
      <c r="H1286" s="2" t="s">
        <v>2272</v>
      </c>
      <c r="I1286" s="2">
        <v>21.68</v>
      </c>
    </row>
    <row r="1287" spans="1:9" x14ac:dyDescent="0.25">
      <c r="A1287" s="1" t="s">
        <v>2273</v>
      </c>
      <c r="B1287" t="s">
        <v>2274</v>
      </c>
      <c r="C1287" s="1" t="s">
        <v>507</v>
      </c>
      <c r="D1287" s="1" t="s">
        <v>507</v>
      </c>
      <c r="E1287" t="s">
        <v>508</v>
      </c>
      <c r="F1287" s="2" t="s">
        <v>578</v>
      </c>
      <c r="G1287" t="s">
        <v>5</v>
      </c>
      <c r="H1287" s="2" t="s">
        <v>2275</v>
      </c>
      <c r="I1287" s="2">
        <v>8.44</v>
      </c>
    </row>
    <row r="1288" spans="1:9" x14ac:dyDescent="0.25">
      <c r="A1288" s="1" t="s">
        <v>2273</v>
      </c>
      <c r="B1288" t="s">
        <v>2274</v>
      </c>
      <c r="C1288" s="1" t="s">
        <v>1907</v>
      </c>
      <c r="D1288" s="1" t="s">
        <v>1907</v>
      </c>
      <c r="E1288" t="s">
        <v>1908</v>
      </c>
      <c r="F1288" s="2" t="s">
        <v>1909</v>
      </c>
      <c r="G1288" t="s">
        <v>39</v>
      </c>
      <c r="H1288" s="2" t="s">
        <v>478</v>
      </c>
      <c r="I1288" s="2">
        <v>0.91</v>
      </c>
    </row>
    <row r="1289" spans="1:9" x14ac:dyDescent="0.25">
      <c r="A1289" s="1" t="s">
        <v>2273</v>
      </c>
      <c r="B1289" t="s">
        <v>2274</v>
      </c>
      <c r="C1289" s="1" t="s">
        <v>2242</v>
      </c>
      <c r="D1289" s="1" t="s">
        <v>2242</v>
      </c>
      <c r="E1289" t="s">
        <v>2243</v>
      </c>
      <c r="F1289" s="2" t="s">
        <v>557</v>
      </c>
      <c r="G1289" t="s">
        <v>39</v>
      </c>
      <c r="H1289" s="2" t="s">
        <v>605</v>
      </c>
      <c r="I1289" s="2">
        <v>0.34</v>
      </c>
    </row>
    <row r="1290" spans="1:9" x14ac:dyDescent="0.25">
      <c r="A1290" s="1" t="s">
        <v>2273</v>
      </c>
      <c r="B1290" t="s">
        <v>2274</v>
      </c>
      <c r="C1290" s="1" t="s">
        <v>514</v>
      </c>
      <c r="D1290" s="1" t="s">
        <v>514</v>
      </c>
      <c r="E1290" t="s">
        <v>515</v>
      </c>
      <c r="F1290" s="2" t="s">
        <v>516</v>
      </c>
      <c r="G1290" t="s">
        <v>121</v>
      </c>
      <c r="H1290" s="2" t="s">
        <v>50</v>
      </c>
      <c r="I1290" s="2">
        <v>0.27</v>
      </c>
    </row>
    <row r="1291" spans="1:9" x14ac:dyDescent="0.25">
      <c r="A1291" s="1" t="s">
        <v>2273</v>
      </c>
      <c r="B1291" t="s">
        <v>2274</v>
      </c>
      <c r="C1291" s="1" t="s">
        <v>2246</v>
      </c>
      <c r="D1291" s="1" t="s">
        <v>2246</v>
      </c>
      <c r="E1291" t="s">
        <v>2247</v>
      </c>
      <c r="F1291" s="2" t="s">
        <v>2248</v>
      </c>
      <c r="G1291" t="s">
        <v>49</v>
      </c>
      <c r="H1291" s="2" t="s">
        <v>92</v>
      </c>
      <c r="I1291" s="2">
        <v>4.3</v>
      </c>
    </row>
    <row r="1292" spans="1:9" x14ac:dyDescent="0.25">
      <c r="A1292" s="1" t="s">
        <v>2273</v>
      </c>
      <c r="B1292" t="s">
        <v>2274</v>
      </c>
      <c r="C1292" s="1" t="s">
        <v>2249</v>
      </c>
      <c r="D1292" s="1" t="s">
        <v>2249</v>
      </c>
      <c r="E1292" t="s">
        <v>2250</v>
      </c>
      <c r="F1292" s="2" t="s">
        <v>2251</v>
      </c>
      <c r="G1292" t="s">
        <v>49</v>
      </c>
      <c r="H1292" s="2" t="s">
        <v>50</v>
      </c>
      <c r="I1292" s="2">
        <v>6.39</v>
      </c>
    </row>
    <row r="1293" spans="1:9" x14ac:dyDescent="0.25">
      <c r="A1293" s="1" t="s">
        <v>2273</v>
      </c>
      <c r="B1293" t="s">
        <v>2274</v>
      </c>
      <c r="C1293" s="1" t="s">
        <v>2252</v>
      </c>
      <c r="D1293" s="1" t="s">
        <v>2252</v>
      </c>
      <c r="E1293" t="s">
        <v>2253</v>
      </c>
      <c r="F1293" s="2" t="s">
        <v>2251</v>
      </c>
      <c r="G1293" t="s">
        <v>49</v>
      </c>
      <c r="H1293" s="2" t="s">
        <v>50</v>
      </c>
      <c r="I1293" s="2">
        <v>6.39</v>
      </c>
    </row>
    <row r="1294" spans="1:9" x14ac:dyDescent="0.25">
      <c r="A1294" s="1" t="s">
        <v>2273</v>
      </c>
      <c r="B1294" t="s">
        <v>2274</v>
      </c>
      <c r="C1294" s="1" t="s">
        <v>2254</v>
      </c>
      <c r="D1294" s="1" t="s">
        <v>2254</v>
      </c>
      <c r="E1294" t="s">
        <v>2255</v>
      </c>
      <c r="F1294" s="2" t="s">
        <v>2256</v>
      </c>
      <c r="G1294" t="s">
        <v>49</v>
      </c>
      <c r="H1294" s="2" t="s">
        <v>50</v>
      </c>
      <c r="I1294" s="2">
        <v>2.25</v>
      </c>
    </row>
    <row r="1295" spans="1:9" x14ac:dyDescent="0.25">
      <c r="A1295" s="1" t="s">
        <v>2273</v>
      </c>
      <c r="B1295" t="s">
        <v>2274</v>
      </c>
      <c r="C1295" s="1" t="s">
        <v>541</v>
      </c>
      <c r="D1295" s="1" t="s">
        <v>541</v>
      </c>
      <c r="E1295" t="s">
        <v>542</v>
      </c>
      <c r="F1295" s="2" t="s">
        <v>9</v>
      </c>
      <c r="G1295" t="s">
        <v>10</v>
      </c>
      <c r="H1295" s="2" t="s">
        <v>2276</v>
      </c>
      <c r="I1295" s="2">
        <v>16.53</v>
      </c>
    </row>
    <row r="1296" spans="1:9" x14ac:dyDescent="0.25">
      <c r="A1296" s="1" t="s">
        <v>2277</v>
      </c>
      <c r="B1296" t="s">
        <v>2278</v>
      </c>
      <c r="C1296" s="1" t="s">
        <v>507</v>
      </c>
      <c r="D1296" s="1" t="s">
        <v>507</v>
      </c>
      <c r="E1296" t="s">
        <v>508</v>
      </c>
      <c r="F1296" s="2" t="s">
        <v>578</v>
      </c>
      <c r="G1296" t="s">
        <v>5</v>
      </c>
      <c r="H1296" s="2" t="s">
        <v>2279</v>
      </c>
      <c r="I1296" s="2">
        <v>16.64</v>
      </c>
    </row>
    <row r="1297" spans="1:9" x14ac:dyDescent="0.25">
      <c r="A1297" s="1" t="s">
        <v>2277</v>
      </c>
      <c r="B1297" t="s">
        <v>2278</v>
      </c>
      <c r="C1297" s="1" t="s">
        <v>1907</v>
      </c>
      <c r="D1297" s="1" t="s">
        <v>1907</v>
      </c>
      <c r="E1297" t="s">
        <v>1908</v>
      </c>
      <c r="F1297" s="2" t="s">
        <v>1909</v>
      </c>
      <c r="G1297" t="s">
        <v>39</v>
      </c>
      <c r="H1297" s="2" t="s">
        <v>2194</v>
      </c>
      <c r="I1297" s="2">
        <v>2.06</v>
      </c>
    </row>
    <row r="1298" spans="1:9" x14ac:dyDescent="0.25">
      <c r="A1298" s="1" t="s">
        <v>2277</v>
      </c>
      <c r="B1298" t="s">
        <v>2278</v>
      </c>
      <c r="C1298" s="1" t="s">
        <v>2242</v>
      </c>
      <c r="D1298" s="1" t="s">
        <v>2242</v>
      </c>
      <c r="E1298" t="s">
        <v>2243</v>
      </c>
      <c r="F1298" s="2" t="s">
        <v>557</v>
      </c>
      <c r="G1298" t="s">
        <v>39</v>
      </c>
      <c r="H1298" s="2" t="s">
        <v>605</v>
      </c>
      <c r="I1298" s="2">
        <v>0.34</v>
      </c>
    </row>
    <row r="1299" spans="1:9" x14ac:dyDescent="0.25">
      <c r="A1299" s="1" t="s">
        <v>2277</v>
      </c>
      <c r="B1299" t="s">
        <v>2278</v>
      </c>
      <c r="C1299" s="1" t="s">
        <v>2261</v>
      </c>
      <c r="D1299" s="1" t="s">
        <v>2261</v>
      </c>
      <c r="E1299" t="s">
        <v>2262</v>
      </c>
      <c r="F1299" s="2" t="s">
        <v>2263</v>
      </c>
      <c r="G1299" t="s">
        <v>49</v>
      </c>
      <c r="H1299" s="2" t="s">
        <v>92</v>
      </c>
      <c r="I1299" s="2">
        <v>22.54</v>
      </c>
    </row>
    <row r="1300" spans="1:9" x14ac:dyDescent="0.25">
      <c r="A1300" s="1" t="s">
        <v>2277</v>
      </c>
      <c r="B1300" t="s">
        <v>2278</v>
      </c>
      <c r="C1300" s="1" t="s">
        <v>2246</v>
      </c>
      <c r="D1300" s="1" t="s">
        <v>2246</v>
      </c>
      <c r="E1300" t="s">
        <v>2247</v>
      </c>
      <c r="F1300" s="2" t="s">
        <v>2248</v>
      </c>
      <c r="G1300" t="s">
        <v>49</v>
      </c>
      <c r="H1300" s="2" t="s">
        <v>92</v>
      </c>
      <c r="I1300" s="2">
        <v>4.3</v>
      </c>
    </row>
    <row r="1301" spans="1:9" x14ac:dyDescent="0.25">
      <c r="A1301" s="1" t="s">
        <v>2277</v>
      </c>
      <c r="B1301" t="s">
        <v>2278</v>
      </c>
      <c r="C1301" s="1" t="s">
        <v>2249</v>
      </c>
      <c r="D1301" s="1" t="s">
        <v>2249</v>
      </c>
      <c r="E1301" t="s">
        <v>2250</v>
      </c>
      <c r="F1301" s="2" t="s">
        <v>2251</v>
      </c>
      <c r="G1301" t="s">
        <v>49</v>
      </c>
      <c r="H1301" s="2" t="s">
        <v>50</v>
      </c>
      <c r="I1301" s="2">
        <v>6.39</v>
      </c>
    </row>
    <row r="1302" spans="1:9" x14ac:dyDescent="0.25">
      <c r="A1302" s="1" t="s">
        <v>2277</v>
      </c>
      <c r="B1302" t="s">
        <v>2278</v>
      </c>
      <c r="C1302" s="1" t="s">
        <v>2252</v>
      </c>
      <c r="D1302" s="1" t="s">
        <v>2252</v>
      </c>
      <c r="E1302" t="s">
        <v>2253</v>
      </c>
      <c r="F1302" s="2" t="s">
        <v>2251</v>
      </c>
      <c r="G1302" t="s">
        <v>49</v>
      </c>
      <c r="H1302" s="2" t="s">
        <v>50</v>
      </c>
      <c r="I1302" s="2">
        <v>6.39</v>
      </c>
    </row>
    <row r="1303" spans="1:9" x14ac:dyDescent="0.25">
      <c r="A1303" s="1" t="s">
        <v>2277</v>
      </c>
      <c r="B1303" t="s">
        <v>2278</v>
      </c>
      <c r="C1303" s="1" t="s">
        <v>2254</v>
      </c>
      <c r="D1303" s="1" t="s">
        <v>2254</v>
      </c>
      <c r="E1303" t="s">
        <v>2255</v>
      </c>
      <c r="F1303" s="2" t="s">
        <v>2256</v>
      </c>
      <c r="G1303" t="s">
        <v>49</v>
      </c>
      <c r="H1303" s="2" t="s">
        <v>92</v>
      </c>
      <c r="I1303" s="2">
        <v>4.5</v>
      </c>
    </row>
    <row r="1304" spans="1:9" x14ac:dyDescent="0.25">
      <c r="A1304" s="1" t="s">
        <v>2277</v>
      </c>
      <c r="B1304" t="s">
        <v>2278</v>
      </c>
      <c r="C1304" s="1" t="s">
        <v>541</v>
      </c>
      <c r="D1304" s="1" t="s">
        <v>541</v>
      </c>
      <c r="E1304" t="s">
        <v>542</v>
      </c>
      <c r="F1304" s="2" t="s">
        <v>9</v>
      </c>
      <c r="G1304" t="s">
        <v>10</v>
      </c>
      <c r="H1304" s="2" t="s">
        <v>2264</v>
      </c>
      <c r="I1304" s="2">
        <v>21.71</v>
      </c>
    </row>
    <row r="1305" spans="1:9" x14ac:dyDescent="0.25">
      <c r="A1305" s="1" t="s">
        <v>2280</v>
      </c>
      <c r="B1305" t="s">
        <v>2281</v>
      </c>
      <c r="C1305" s="1" t="s">
        <v>507</v>
      </c>
      <c r="D1305" s="1" t="s">
        <v>507</v>
      </c>
      <c r="E1305" t="s">
        <v>508</v>
      </c>
      <c r="F1305" s="2" t="s">
        <v>578</v>
      </c>
      <c r="G1305" t="s">
        <v>5</v>
      </c>
      <c r="H1305" s="2" t="s">
        <v>2282</v>
      </c>
      <c r="I1305" s="2">
        <v>12.06</v>
      </c>
    </row>
    <row r="1306" spans="1:9" x14ac:dyDescent="0.25">
      <c r="A1306" s="1" t="s">
        <v>2280</v>
      </c>
      <c r="B1306" t="s">
        <v>2281</v>
      </c>
      <c r="C1306" s="1" t="s">
        <v>511</v>
      </c>
      <c r="D1306" s="1" t="s">
        <v>511</v>
      </c>
      <c r="E1306" t="s">
        <v>512</v>
      </c>
      <c r="F1306" s="2" t="s">
        <v>580</v>
      </c>
      <c r="G1306" t="s">
        <v>39</v>
      </c>
      <c r="H1306" s="2" t="s">
        <v>478</v>
      </c>
      <c r="I1306" s="2">
        <v>0.6</v>
      </c>
    </row>
    <row r="1307" spans="1:9" x14ac:dyDescent="0.25">
      <c r="A1307" s="1" t="s">
        <v>2280</v>
      </c>
      <c r="B1307" t="s">
        <v>2281</v>
      </c>
      <c r="C1307" s="1" t="s">
        <v>514</v>
      </c>
      <c r="D1307" s="1" t="s">
        <v>514</v>
      </c>
      <c r="E1307" t="s">
        <v>515</v>
      </c>
      <c r="F1307" s="2" t="s">
        <v>516</v>
      </c>
      <c r="G1307" t="s">
        <v>121</v>
      </c>
      <c r="H1307" s="2" t="s">
        <v>50</v>
      </c>
      <c r="I1307" s="2">
        <v>0.27</v>
      </c>
    </row>
    <row r="1308" spans="1:9" x14ac:dyDescent="0.25">
      <c r="A1308" s="1" t="s">
        <v>2280</v>
      </c>
      <c r="B1308" t="s">
        <v>2281</v>
      </c>
      <c r="C1308" s="1" t="s">
        <v>41</v>
      </c>
      <c r="D1308" s="1" t="s">
        <v>41</v>
      </c>
      <c r="E1308" t="s">
        <v>42</v>
      </c>
      <c r="F1308" s="2" t="s">
        <v>513</v>
      </c>
      <c r="G1308" t="s">
        <v>5</v>
      </c>
      <c r="H1308" s="2" t="s">
        <v>2283</v>
      </c>
      <c r="I1308" s="2">
        <v>0.06</v>
      </c>
    </row>
    <row r="1309" spans="1:9" x14ac:dyDescent="0.25">
      <c r="A1309" s="1" t="s">
        <v>2280</v>
      </c>
      <c r="B1309" t="s">
        <v>2281</v>
      </c>
      <c r="C1309" s="1" t="s">
        <v>517</v>
      </c>
      <c r="D1309" s="1" t="s">
        <v>517</v>
      </c>
      <c r="E1309" t="s">
        <v>518</v>
      </c>
      <c r="F1309" s="2" t="s">
        <v>519</v>
      </c>
      <c r="G1309" t="s">
        <v>121</v>
      </c>
      <c r="H1309" s="2" t="s">
        <v>92</v>
      </c>
      <c r="I1309" s="2">
        <v>11.1</v>
      </c>
    </row>
    <row r="1310" spans="1:9" x14ac:dyDescent="0.25">
      <c r="A1310" s="1" t="s">
        <v>2280</v>
      </c>
      <c r="B1310" t="s">
        <v>2281</v>
      </c>
      <c r="C1310" s="1" t="s">
        <v>520</v>
      </c>
      <c r="D1310" s="1" t="s">
        <v>520</v>
      </c>
      <c r="E1310" t="s">
        <v>521</v>
      </c>
      <c r="F1310" s="2" t="s">
        <v>522</v>
      </c>
      <c r="G1310" t="s">
        <v>121</v>
      </c>
      <c r="H1310" s="2" t="s">
        <v>50</v>
      </c>
      <c r="I1310" s="2">
        <v>3.45</v>
      </c>
    </row>
    <row r="1311" spans="1:9" x14ac:dyDescent="0.25">
      <c r="A1311" s="1" t="s">
        <v>2280</v>
      </c>
      <c r="B1311" t="s">
        <v>2281</v>
      </c>
      <c r="C1311" s="1" t="s">
        <v>541</v>
      </c>
      <c r="D1311" s="1" t="s">
        <v>541</v>
      </c>
      <c r="E1311" t="s">
        <v>542</v>
      </c>
      <c r="F1311" s="2" t="s">
        <v>9</v>
      </c>
      <c r="G1311" t="s">
        <v>10</v>
      </c>
      <c r="H1311" s="2" t="s">
        <v>2284</v>
      </c>
      <c r="I1311" s="2">
        <v>15.12</v>
      </c>
    </row>
    <row r="1312" spans="1:9" x14ac:dyDescent="0.25">
      <c r="A1312" s="1" t="s">
        <v>2285</v>
      </c>
      <c r="B1312" t="s">
        <v>2286</v>
      </c>
      <c r="C1312" s="1" t="s">
        <v>471</v>
      </c>
      <c r="D1312" s="1" t="s">
        <v>471</v>
      </c>
      <c r="E1312" t="s">
        <v>472</v>
      </c>
      <c r="F1312" s="2" t="s">
        <v>526</v>
      </c>
      <c r="G1312" t="s">
        <v>5</v>
      </c>
      <c r="H1312" s="2" t="s">
        <v>2287</v>
      </c>
      <c r="I1312" s="2">
        <v>32.94</v>
      </c>
    </row>
    <row r="1313" spans="1:10" x14ac:dyDescent="0.25">
      <c r="A1313" s="1" t="s">
        <v>2285</v>
      </c>
      <c r="B1313" t="s">
        <v>2286</v>
      </c>
      <c r="C1313" s="1" t="s">
        <v>475</v>
      </c>
      <c r="D1313" s="1" t="s">
        <v>475</v>
      </c>
      <c r="E1313" t="s">
        <v>476</v>
      </c>
      <c r="F1313" s="2" t="s">
        <v>477</v>
      </c>
      <c r="G1313" t="s">
        <v>39</v>
      </c>
      <c r="H1313" s="2" t="s">
        <v>478</v>
      </c>
      <c r="I1313" s="2">
        <v>0.41</v>
      </c>
    </row>
    <row r="1314" spans="1:10" x14ac:dyDescent="0.25">
      <c r="A1314" s="1" t="s">
        <v>2285</v>
      </c>
      <c r="B1314" t="s">
        <v>2286</v>
      </c>
      <c r="C1314" s="1" t="s">
        <v>479</v>
      </c>
      <c r="D1314" s="1" t="s">
        <v>479</v>
      </c>
      <c r="E1314" t="s">
        <v>480</v>
      </c>
      <c r="F1314" s="2" t="s">
        <v>481</v>
      </c>
      <c r="G1314" t="s">
        <v>5</v>
      </c>
      <c r="H1314" s="2" t="s">
        <v>534</v>
      </c>
      <c r="I1314" s="2">
        <v>0.05</v>
      </c>
    </row>
    <row r="1315" spans="1:10" x14ac:dyDescent="0.25">
      <c r="A1315" s="1" t="s">
        <v>2285</v>
      </c>
      <c r="B1315" t="s">
        <v>2286</v>
      </c>
      <c r="C1315" s="1" t="s">
        <v>483</v>
      </c>
      <c r="D1315" s="1" t="s">
        <v>483</v>
      </c>
      <c r="E1315" t="s">
        <v>484</v>
      </c>
      <c r="F1315" s="2" t="s">
        <v>485</v>
      </c>
      <c r="G1315" t="s">
        <v>5</v>
      </c>
      <c r="H1315" s="2" t="s">
        <v>573</v>
      </c>
      <c r="I1315" s="2">
        <v>0.01</v>
      </c>
    </row>
    <row r="1316" spans="1:10" x14ac:dyDescent="0.25">
      <c r="A1316" s="1" t="s">
        <v>2285</v>
      </c>
      <c r="B1316" t="s">
        <v>2286</v>
      </c>
      <c r="C1316" s="1" t="s">
        <v>487</v>
      </c>
      <c r="D1316" s="1" t="s">
        <v>487</v>
      </c>
      <c r="E1316" t="s">
        <v>488</v>
      </c>
      <c r="F1316" s="2" t="s">
        <v>489</v>
      </c>
      <c r="G1316" t="s">
        <v>5</v>
      </c>
      <c r="H1316" s="2" t="s">
        <v>2288</v>
      </c>
      <c r="I1316" s="2">
        <v>0.28999999999999998</v>
      </c>
    </row>
    <row r="1317" spans="1:10" x14ac:dyDescent="0.25">
      <c r="A1317" s="1" t="s">
        <v>2285</v>
      </c>
      <c r="B1317" t="s">
        <v>2286</v>
      </c>
      <c r="C1317" s="1" t="s">
        <v>41</v>
      </c>
      <c r="D1317" s="1" t="s">
        <v>41</v>
      </c>
      <c r="E1317" t="s">
        <v>42</v>
      </c>
      <c r="F1317" s="2" t="s">
        <v>43</v>
      </c>
      <c r="G1317" t="s">
        <v>5</v>
      </c>
      <c r="H1317" s="2" t="s">
        <v>1900</v>
      </c>
      <c r="I1317" s="2">
        <v>0.03</v>
      </c>
    </row>
    <row r="1318" spans="1:10" x14ac:dyDescent="0.25">
      <c r="A1318" s="1" t="s">
        <v>2285</v>
      </c>
      <c r="B1318" t="s">
        <v>2286</v>
      </c>
      <c r="C1318" s="1" t="s">
        <v>491</v>
      </c>
      <c r="D1318" s="1" t="s">
        <v>491</v>
      </c>
      <c r="E1318" t="s">
        <v>492</v>
      </c>
      <c r="F1318" s="2" t="s">
        <v>493</v>
      </c>
      <c r="G1318" t="s">
        <v>121</v>
      </c>
      <c r="H1318" s="2" t="s">
        <v>92</v>
      </c>
      <c r="I1318" s="2">
        <v>13.7</v>
      </c>
    </row>
    <row r="1319" spans="1:10" x14ac:dyDescent="0.25">
      <c r="A1319" s="1" t="s">
        <v>2285</v>
      </c>
      <c r="B1319" t="s">
        <v>2286</v>
      </c>
      <c r="C1319" s="1" t="s">
        <v>494</v>
      </c>
      <c r="D1319" s="1" t="s">
        <v>494</v>
      </c>
      <c r="E1319" t="s">
        <v>495</v>
      </c>
      <c r="F1319" s="2" t="s">
        <v>496</v>
      </c>
      <c r="G1319" t="s">
        <v>121</v>
      </c>
      <c r="H1319" s="2" t="s">
        <v>50</v>
      </c>
      <c r="I1319" s="2">
        <v>17.45</v>
      </c>
    </row>
    <row r="1320" spans="1:10" x14ac:dyDescent="0.25">
      <c r="A1320" s="1" t="s">
        <v>2285</v>
      </c>
      <c r="B1320" t="s">
        <v>2286</v>
      </c>
      <c r="C1320" s="1" t="s">
        <v>497</v>
      </c>
      <c r="D1320" s="1" t="s">
        <v>497</v>
      </c>
      <c r="E1320" t="s">
        <v>498</v>
      </c>
      <c r="F1320" s="2" t="s">
        <v>496</v>
      </c>
      <c r="G1320" t="s">
        <v>121</v>
      </c>
      <c r="H1320" s="2" t="s">
        <v>50</v>
      </c>
      <c r="I1320" s="2">
        <v>17.45</v>
      </c>
    </row>
    <row r="1321" spans="1:10" x14ac:dyDescent="0.25">
      <c r="A1321" s="1" t="s">
        <v>2285</v>
      </c>
      <c r="B1321" t="s">
        <v>2286</v>
      </c>
      <c r="C1321" s="1" t="s">
        <v>499</v>
      </c>
      <c r="D1321" s="1" t="s">
        <v>499</v>
      </c>
      <c r="E1321" t="s">
        <v>500</v>
      </c>
      <c r="F1321" s="2" t="s">
        <v>501</v>
      </c>
      <c r="G1321" t="s">
        <v>121</v>
      </c>
      <c r="H1321" s="2" t="s">
        <v>50</v>
      </c>
      <c r="I1321" s="2">
        <v>4.5</v>
      </c>
    </row>
    <row r="1322" spans="1:10" x14ac:dyDescent="0.25">
      <c r="A1322" s="1" t="s">
        <v>2285</v>
      </c>
      <c r="B1322" t="s">
        <v>2286</v>
      </c>
      <c r="C1322" s="1" t="s">
        <v>502</v>
      </c>
      <c r="D1322" s="1" t="s">
        <v>502</v>
      </c>
      <c r="E1322" t="s">
        <v>503</v>
      </c>
      <c r="F1322" s="2" t="s">
        <v>31</v>
      </c>
      <c r="G1322" t="s">
        <v>121</v>
      </c>
      <c r="H1322" s="2" t="s">
        <v>50</v>
      </c>
      <c r="I1322" s="2">
        <v>10.6</v>
      </c>
      <c r="J1322" t="s">
        <v>55</v>
      </c>
    </row>
    <row r="1323" spans="1:10" x14ac:dyDescent="0.25">
      <c r="A1323" s="1" t="s">
        <v>2285</v>
      </c>
      <c r="B1323" t="s">
        <v>2286</v>
      </c>
      <c r="C1323" s="1" t="s">
        <v>7</v>
      </c>
      <c r="D1323" s="1" t="s">
        <v>7</v>
      </c>
      <c r="E1323" t="s">
        <v>8</v>
      </c>
      <c r="F1323" s="2" t="s">
        <v>9</v>
      </c>
      <c r="G1323" t="s">
        <v>10</v>
      </c>
      <c r="H1323" s="2" t="s">
        <v>2289</v>
      </c>
      <c r="I1323" s="2">
        <v>44.2</v>
      </c>
    </row>
    <row r="1324" spans="1:10" x14ac:dyDescent="0.25">
      <c r="A1324" s="1" t="s">
        <v>2290</v>
      </c>
      <c r="B1324" t="s">
        <v>2291</v>
      </c>
      <c r="C1324" s="1" t="s">
        <v>2292</v>
      </c>
      <c r="D1324" s="1" t="s">
        <v>2292</v>
      </c>
      <c r="E1324" t="s">
        <v>2293</v>
      </c>
      <c r="F1324" s="2" t="s">
        <v>2294</v>
      </c>
      <c r="G1324" t="s">
        <v>17</v>
      </c>
      <c r="H1324" s="2" t="s">
        <v>2295</v>
      </c>
      <c r="I1324" s="2">
        <v>18.600000000000001</v>
      </c>
    </row>
    <row r="1325" spans="1:10" x14ac:dyDescent="0.25">
      <c r="A1325" s="1" t="s">
        <v>2290</v>
      </c>
      <c r="B1325" t="s">
        <v>2291</v>
      </c>
      <c r="C1325" s="1" t="s">
        <v>2296</v>
      </c>
      <c r="D1325" s="1" t="s">
        <v>2296</v>
      </c>
      <c r="E1325" t="s">
        <v>2297</v>
      </c>
      <c r="F1325" s="2" t="s">
        <v>2298</v>
      </c>
      <c r="G1325" t="s">
        <v>39</v>
      </c>
      <c r="H1325" s="2" t="s">
        <v>447</v>
      </c>
      <c r="I1325" s="2">
        <v>0.22</v>
      </c>
    </row>
    <row r="1326" spans="1:10" x14ac:dyDescent="0.25">
      <c r="A1326" s="1" t="s">
        <v>2290</v>
      </c>
      <c r="B1326" t="s">
        <v>2291</v>
      </c>
      <c r="C1326" s="1" t="s">
        <v>2299</v>
      </c>
      <c r="D1326" s="1" t="s">
        <v>2299</v>
      </c>
      <c r="E1326" t="s">
        <v>2300</v>
      </c>
      <c r="F1326" s="2" t="s">
        <v>2301</v>
      </c>
      <c r="G1326" t="s">
        <v>1857</v>
      </c>
      <c r="H1326" s="2" t="s">
        <v>2302</v>
      </c>
      <c r="I1326" s="2">
        <v>2.2400000000000002</v>
      </c>
    </row>
    <row r="1327" spans="1:10" x14ac:dyDescent="0.25">
      <c r="A1327" s="1" t="s">
        <v>2290</v>
      </c>
      <c r="B1327" t="s">
        <v>2291</v>
      </c>
      <c r="C1327" s="1" t="s">
        <v>649</v>
      </c>
      <c r="D1327" s="1" t="s">
        <v>649</v>
      </c>
      <c r="E1327" t="s">
        <v>650</v>
      </c>
      <c r="F1327" s="2" t="s">
        <v>2303</v>
      </c>
      <c r="G1327" t="s">
        <v>39</v>
      </c>
      <c r="H1327" s="2" t="s">
        <v>447</v>
      </c>
      <c r="I1327" s="2">
        <v>0.18</v>
      </c>
    </row>
    <row r="1328" spans="1:10" x14ac:dyDescent="0.25">
      <c r="A1328" s="1" t="s">
        <v>2290</v>
      </c>
      <c r="B1328" t="s">
        <v>2291</v>
      </c>
      <c r="C1328" s="1" t="s">
        <v>898</v>
      </c>
      <c r="D1328" s="1" t="s">
        <v>898</v>
      </c>
      <c r="E1328" t="s">
        <v>865</v>
      </c>
      <c r="F1328" s="2" t="s">
        <v>866</v>
      </c>
      <c r="G1328" t="s">
        <v>39</v>
      </c>
      <c r="H1328" s="2" t="s">
        <v>605</v>
      </c>
      <c r="I1328" s="2">
        <v>0.12</v>
      </c>
    </row>
    <row r="1329" spans="1:9" x14ac:dyDescent="0.25">
      <c r="A1329" s="1" t="s">
        <v>2290</v>
      </c>
      <c r="B1329" t="s">
        <v>2291</v>
      </c>
      <c r="C1329" s="1" t="s">
        <v>2304</v>
      </c>
      <c r="D1329" s="1" t="s">
        <v>2304</v>
      </c>
      <c r="E1329" t="s">
        <v>2305</v>
      </c>
      <c r="F1329" s="2" t="s">
        <v>2306</v>
      </c>
      <c r="G1329" t="s">
        <v>121</v>
      </c>
      <c r="H1329" s="2" t="s">
        <v>92</v>
      </c>
      <c r="I1329" s="2">
        <v>0.68</v>
      </c>
    </row>
    <row r="1330" spans="1:9" x14ac:dyDescent="0.25">
      <c r="A1330" s="1" t="s">
        <v>2290</v>
      </c>
      <c r="B1330" t="s">
        <v>2291</v>
      </c>
      <c r="C1330" s="1" t="s">
        <v>41</v>
      </c>
      <c r="D1330" s="1" t="s">
        <v>41</v>
      </c>
      <c r="E1330" t="s">
        <v>42</v>
      </c>
      <c r="F1330" s="2" t="s">
        <v>43</v>
      </c>
      <c r="G1330" t="s">
        <v>5</v>
      </c>
      <c r="H1330" s="2" t="s">
        <v>227</v>
      </c>
      <c r="I1330" s="2">
        <v>0.01</v>
      </c>
    </row>
    <row r="1331" spans="1:9" x14ac:dyDescent="0.25">
      <c r="A1331" s="1" t="s">
        <v>2290</v>
      </c>
      <c r="B1331" t="s">
        <v>2291</v>
      </c>
      <c r="C1331" s="1" t="s">
        <v>2307</v>
      </c>
      <c r="D1331" s="1" t="s">
        <v>2307</v>
      </c>
      <c r="E1331" t="s">
        <v>2308</v>
      </c>
      <c r="F1331" s="2" t="s">
        <v>2309</v>
      </c>
      <c r="G1331" t="s">
        <v>121</v>
      </c>
      <c r="H1331" s="2" t="s">
        <v>92</v>
      </c>
      <c r="I1331" s="2">
        <v>19.5</v>
      </c>
    </row>
    <row r="1332" spans="1:9" x14ac:dyDescent="0.25">
      <c r="A1332" s="1" t="s">
        <v>2290</v>
      </c>
      <c r="B1332" t="s">
        <v>2291</v>
      </c>
      <c r="C1332" s="1" t="s">
        <v>2310</v>
      </c>
      <c r="D1332" s="1" t="s">
        <v>2310</v>
      </c>
      <c r="E1332" t="s">
        <v>2311</v>
      </c>
      <c r="F1332" s="2" t="s">
        <v>2312</v>
      </c>
      <c r="G1332" t="s">
        <v>121</v>
      </c>
      <c r="H1332" s="2" t="s">
        <v>50</v>
      </c>
      <c r="I1332" s="2">
        <v>37.15</v>
      </c>
    </row>
    <row r="1333" spans="1:9" x14ac:dyDescent="0.25">
      <c r="A1333" s="1" t="s">
        <v>2290</v>
      </c>
      <c r="B1333" t="s">
        <v>2291</v>
      </c>
      <c r="C1333" s="1" t="s">
        <v>2313</v>
      </c>
      <c r="D1333" s="1" t="s">
        <v>2313</v>
      </c>
      <c r="E1333" t="s">
        <v>2314</v>
      </c>
      <c r="F1333" s="2" t="s">
        <v>2312</v>
      </c>
      <c r="G1333" t="s">
        <v>121</v>
      </c>
      <c r="H1333" s="2" t="s">
        <v>50</v>
      </c>
      <c r="I1333" s="2">
        <v>37.15</v>
      </c>
    </row>
    <row r="1334" spans="1:9" x14ac:dyDescent="0.25">
      <c r="A1334" s="1" t="s">
        <v>2290</v>
      </c>
      <c r="B1334" t="s">
        <v>2291</v>
      </c>
      <c r="C1334" s="1" t="s">
        <v>7</v>
      </c>
      <c r="D1334" s="1" t="s">
        <v>7</v>
      </c>
      <c r="E1334" t="s">
        <v>8</v>
      </c>
      <c r="F1334" s="2" t="s">
        <v>9</v>
      </c>
      <c r="G1334" t="s">
        <v>10</v>
      </c>
      <c r="H1334" s="2" t="s">
        <v>2315</v>
      </c>
      <c r="I1334" s="2">
        <v>41.4</v>
      </c>
    </row>
    <row r="1335" spans="1:9" x14ac:dyDescent="0.25">
      <c r="A1335" s="1" t="s">
        <v>2316</v>
      </c>
      <c r="B1335" t="s">
        <v>2317</v>
      </c>
      <c r="C1335" s="1" t="s">
        <v>2318</v>
      </c>
      <c r="D1335" s="1" t="s">
        <v>2318</v>
      </c>
      <c r="E1335" t="s">
        <v>2319</v>
      </c>
      <c r="F1335" s="2" t="s">
        <v>2320</v>
      </c>
      <c r="G1335" t="s">
        <v>17</v>
      </c>
      <c r="H1335" s="2" t="s">
        <v>2321</v>
      </c>
      <c r="I1335" s="2">
        <v>7.59</v>
      </c>
    </row>
    <row r="1336" spans="1:9" x14ac:dyDescent="0.25">
      <c r="A1336" s="1" t="s">
        <v>2316</v>
      </c>
      <c r="B1336" t="s">
        <v>2317</v>
      </c>
      <c r="C1336" s="1" t="s">
        <v>2322</v>
      </c>
      <c r="D1336" s="1" t="s">
        <v>2322</v>
      </c>
      <c r="E1336" t="s">
        <v>2323</v>
      </c>
      <c r="F1336" s="2" t="s">
        <v>2324</v>
      </c>
      <c r="G1336" t="s">
        <v>39</v>
      </c>
      <c r="H1336" s="2" t="s">
        <v>478</v>
      </c>
      <c r="I1336" s="2">
        <v>2.96</v>
      </c>
    </row>
    <row r="1337" spans="1:9" x14ac:dyDescent="0.25">
      <c r="A1337" s="1" t="s">
        <v>2316</v>
      </c>
      <c r="B1337" t="s">
        <v>2317</v>
      </c>
      <c r="C1337" s="1" t="s">
        <v>514</v>
      </c>
      <c r="D1337" s="1" t="s">
        <v>514</v>
      </c>
      <c r="E1337" t="s">
        <v>515</v>
      </c>
      <c r="F1337" s="2" t="s">
        <v>516</v>
      </c>
      <c r="G1337" t="s">
        <v>121</v>
      </c>
      <c r="H1337" s="2" t="s">
        <v>92</v>
      </c>
      <c r="I1337" s="2">
        <v>0.54</v>
      </c>
    </row>
    <row r="1338" spans="1:9" x14ac:dyDescent="0.25">
      <c r="A1338" s="1" t="s">
        <v>2316</v>
      </c>
      <c r="B1338" t="s">
        <v>2317</v>
      </c>
      <c r="C1338" s="1" t="s">
        <v>41</v>
      </c>
      <c r="D1338" s="1" t="s">
        <v>41</v>
      </c>
      <c r="E1338" t="s">
        <v>42</v>
      </c>
      <c r="F1338" s="2" t="s">
        <v>43</v>
      </c>
      <c r="G1338" t="s">
        <v>5</v>
      </c>
      <c r="H1338" s="2" t="s">
        <v>227</v>
      </c>
      <c r="I1338" s="2">
        <v>0.01</v>
      </c>
    </row>
    <row r="1339" spans="1:9" x14ac:dyDescent="0.25">
      <c r="A1339" s="1" t="s">
        <v>2316</v>
      </c>
      <c r="B1339" t="s">
        <v>2317</v>
      </c>
      <c r="C1339" s="1" t="s">
        <v>2325</v>
      </c>
      <c r="D1339" s="1" t="s">
        <v>2325</v>
      </c>
      <c r="E1339" t="s">
        <v>2326</v>
      </c>
      <c r="F1339" s="2" t="s">
        <v>580</v>
      </c>
      <c r="G1339" t="s">
        <v>121</v>
      </c>
      <c r="H1339" s="2" t="s">
        <v>92</v>
      </c>
      <c r="I1339" s="2">
        <v>14.9</v>
      </c>
    </row>
    <row r="1340" spans="1:9" x14ac:dyDescent="0.25">
      <c r="A1340" s="1" t="s">
        <v>2316</v>
      </c>
      <c r="B1340" t="s">
        <v>2317</v>
      </c>
      <c r="C1340" s="1" t="s">
        <v>2327</v>
      </c>
      <c r="D1340" s="1" t="s">
        <v>2327</v>
      </c>
      <c r="E1340" t="s">
        <v>2328</v>
      </c>
      <c r="F1340" s="2" t="s">
        <v>2329</v>
      </c>
      <c r="G1340" t="s">
        <v>121</v>
      </c>
      <c r="H1340" s="2" t="s">
        <v>50</v>
      </c>
      <c r="I1340" s="2">
        <v>0.6</v>
      </c>
    </row>
    <row r="1341" spans="1:9" x14ac:dyDescent="0.25">
      <c r="A1341" s="1" t="s">
        <v>2316</v>
      </c>
      <c r="B1341" t="s">
        <v>2317</v>
      </c>
      <c r="C1341" s="1" t="s">
        <v>7</v>
      </c>
      <c r="D1341" s="1" t="s">
        <v>7</v>
      </c>
      <c r="E1341" t="s">
        <v>8</v>
      </c>
      <c r="F1341" s="2" t="s">
        <v>9</v>
      </c>
      <c r="G1341" t="s">
        <v>10</v>
      </c>
      <c r="H1341" s="2" t="s">
        <v>2330</v>
      </c>
      <c r="I1341" s="2">
        <v>25.3</v>
      </c>
    </row>
    <row r="1342" spans="1:9" x14ac:dyDescent="0.25">
      <c r="A1342" s="1" t="s">
        <v>2331</v>
      </c>
      <c r="B1342" t="s">
        <v>2332</v>
      </c>
      <c r="C1342" s="1" t="s">
        <v>2292</v>
      </c>
      <c r="D1342" s="1" t="s">
        <v>2292</v>
      </c>
      <c r="E1342" t="s">
        <v>2293</v>
      </c>
      <c r="F1342" s="2" t="s">
        <v>2294</v>
      </c>
      <c r="G1342" t="s">
        <v>17</v>
      </c>
      <c r="H1342" s="2" t="s">
        <v>1338</v>
      </c>
      <c r="I1342" s="2">
        <v>32.49</v>
      </c>
    </row>
    <row r="1343" spans="1:9" x14ac:dyDescent="0.25">
      <c r="A1343" s="1" t="s">
        <v>2331</v>
      </c>
      <c r="B1343" t="s">
        <v>2332</v>
      </c>
      <c r="C1343" s="1" t="s">
        <v>2296</v>
      </c>
      <c r="D1343" s="1" t="s">
        <v>2296</v>
      </c>
      <c r="E1343" t="s">
        <v>2297</v>
      </c>
      <c r="F1343" s="2" t="s">
        <v>2298</v>
      </c>
      <c r="G1343" t="s">
        <v>39</v>
      </c>
      <c r="H1343" s="2" t="s">
        <v>447</v>
      </c>
      <c r="I1343" s="2">
        <v>0.22</v>
      </c>
    </row>
    <row r="1344" spans="1:9" x14ac:dyDescent="0.25">
      <c r="A1344" s="1" t="s">
        <v>2331</v>
      </c>
      <c r="B1344" t="s">
        <v>2332</v>
      </c>
      <c r="C1344" s="1" t="s">
        <v>2299</v>
      </c>
      <c r="D1344" s="1" t="s">
        <v>2299</v>
      </c>
      <c r="E1344" t="s">
        <v>2300</v>
      </c>
      <c r="F1344" s="2" t="s">
        <v>2301</v>
      </c>
      <c r="G1344" t="s">
        <v>1857</v>
      </c>
      <c r="H1344" s="2" t="s">
        <v>2302</v>
      </c>
      <c r="I1344" s="2">
        <v>2.2400000000000002</v>
      </c>
    </row>
    <row r="1345" spans="1:9" x14ac:dyDescent="0.25">
      <c r="A1345" s="1" t="s">
        <v>2331</v>
      </c>
      <c r="B1345" t="s">
        <v>2332</v>
      </c>
      <c r="C1345" s="1" t="s">
        <v>649</v>
      </c>
      <c r="D1345" s="1" t="s">
        <v>649</v>
      </c>
      <c r="E1345" t="s">
        <v>650</v>
      </c>
      <c r="F1345" s="2" t="s">
        <v>2303</v>
      </c>
      <c r="G1345" t="s">
        <v>39</v>
      </c>
      <c r="H1345" s="2" t="s">
        <v>447</v>
      </c>
      <c r="I1345" s="2">
        <v>0.18</v>
      </c>
    </row>
    <row r="1346" spans="1:9" x14ac:dyDescent="0.25">
      <c r="A1346" s="1" t="s">
        <v>2331</v>
      </c>
      <c r="B1346" t="s">
        <v>2332</v>
      </c>
      <c r="C1346" s="1" t="s">
        <v>864</v>
      </c>
      <c r="D1346" s="1" t="s">
        <v>864</v>
      </c>
      <c r="E1346" t="s">
        <v>865</v>
      </c>
      <c r="F1346" s="2" t="s">
        <v>866</v>
      </c>
      <c r="G1346" t="s">
        <v>39</v>
      </c>
      <c r="H1346" s="2" t="s">
        <v>447</v>
      </c>
      <c r="I1346" s="2">
        <v>0.06</v>
      </c>
    </row>
    <row r="1347" spans="1:9" x14ac:dyDescent="0.25">
      <c r="A1347" s="1" t="s">
        <v>2331</v>
      </c>
      <c r="B1347" t="s">
        <v>2332</v>
      </c>
      <c r="C1347" s="1" t="s">
        <v>2304</v>
      </c>
      <c r="D1347" s="1" t="s">
        <v>2304</v>
      </c>
      <c r="E1347" t="s">
        <v>2305</v>
      </c>
      <c r="F1347" s="2" t="s">
        <v>2306</v>
      </c>
      <c r="G1347" t="s">
        <v>121</v>
      </c>
      <c r="H1347" s="2" t="s">
        <v>92</v>
      </c>
      <c r="I1347" s="2">
        <v>0.68</v>
      </c>
    </row>
    <row r="1348" spans="1:9" x14ac:dyDescent="0.25">
      <c r="A1348" s="1" t="s">
        <v>2331</v>
      </c>
      <c r="B1348" t="s">
        <v>2332</v>
      </c>
      <c r="C1348" s="1" t="s">
        <v>41</v>
      </c>
      <c r="D1348" s="1" t="s">
        <v>41</v>
      </c>
      <c r="E1348" t="s">
        <v>42</v>
      </c>
      <c r="F1348" s="2" t="s">
        <v>43</v>
      </c>
      <c r="G1348" t="s">
        <v>5</v>
      </c>
      <c r="H1348" s="2" t="s">
        <v>1867</v>
      </c>
      <c r="I1348" s="2">
        <v>0.03</v>
      </c>
    </row>
    <row r="1349" spans="1:9" x14ac:dyDescent="0.25">
      <c r="A1349" s="1" t="s">
        <v>2331</v>
      </c>
      <c r="B1349" t="s">
        <v>2332</v>
      </c>
      <c r="C1349" s="1" t="s">
        <v>2307</v>
      </c>
      <c r="D1349" s="1" t="s">
        <v>2307</v>
      </c>
      <c r="E1349" t="s">
        <v>2308</v>
      </c>
      <c r="F1349" s="2" t="s">
        <v>2309</v>
      </c>
      <c r="G1349" t="s">
        <v>121</v>
      </c>
      <c r="H1349" s="2" t="s">
        <v>92</v>
      </c>
      <c r="I1349" s="2">
        <v>19.5</v>
      </c>
    </row>
    <row r="1350" spans="1:9" x14ac:dyDescent="0.25">
      <c r="A1350" s="1" t="s">
        <v>2331</v>
      </c>
      <c r="B1350" t="s">
        <v>2332</v>
      </c>
      <c r="C1350" s="1" t="s">
        <v>2310</v>
      </c>
      <c r="D1350" s="1" t="s">
        <v>2310</v>
      </c>
      <c r="E1350" t="s">
        <v>2311</v>
      </c>
      <c r="F1350" s="2" t="s">
        <v>2312</v>
      </c>
      <c r="G1350" t="s">
        <v>121</v>
      </c>
      <c r="H1350" s="2" t="s">
        <v>50</v>
      </c>
      <c r="I1350" s="2">
        <v>37.15</v>
      </c>
    </row>
    <row r="1351" spans="1:9" x14ac:dyDescent="0.25">
      <c r="A1351" s="1" t="s">
        <v>2331</v>
      </c>
      <c r="B1351" t="s">
        <v>2332</v>
      </c>
      <c r="C1351" s="1" t="s">
        <v>2313</v>
      </c>
      <c r="D1351" s="1" t="s">
        <v>2313</v>
      </c>
      <c r="E1351" t="s">
        <v>2314</v>
      </c>
      <c r="F1351" s="2" t="s">
        <v>2312</v>
      </c>
      <c r="G1351" t="s">
        <v>121</v>
      </c>
      <c r="H1351" s="2" t="s">
        <v>50</v>
      </c>
      <c r="I1351" s="2">
        <v>37.15</v>
      </c>
    </row>
    <row r="1352" spans="1:9" x14ac:dyDescent="0.25">
      <c r="A1352" s="1" t="s">
        <v>2331</v>
      </c>
      <c r="B1352" t="s">
        <v>2332</v>
      </c>
      <c r="C1352" s="1" t="s">
        <v>7</v>
      </c>
      <c r="D1352" s="1" t="s">
        <v>7</v>
      </c>
      <c r="E1352" t="s">
        <v>8</v>
      </c>
      <c r="F1352" s="2" t="s">
        <v>9</v>
      </c>
      <c r="G1352" t="s">
        <v>10</v>
      </c>
      <c r="H1352" s="2" t="s">
        <v>50</v>
      </c>
      <c r="I1352" s="2">
        <v>46</v>
      </c>
    </row>
    <row r="1353" spans="1:9" x14ac:dyDescent="0.25">
      <c r="A1353" s="1" t="s">
        <v>2333</v>
      </c>
      <c r="B1353" t="s">
        <v>2334</v>
      </c>
      <c r="C1353" s="1" t="s">
        <v>2318</v>
      </c>
      <c r="D1353" s="1" t="s">
        <v>2318</v>
      </c>
      <c r="E1353" t="s">
        <v>2335</v>
      </c>
      <c r="F1353" s="2" t="s">
        <v>2336</v>
      </c>
      <c r="G1353" t="s">
        <v>17</v>
      </c>
      <c r="H1353" s="2" t="s">
        <v>2337</v>
      </c>
      <c r="I1353" s="2">
        <v>13.55</v>
      </c>
    </row>
    <row r="1354" spans="1:9" x14ac:dyDescent="0.25">
      <c r="A1354" s="1" t="s">
        <v>2333</v>
      </c>
      <c r="B1354" t="s">
        <v>2334</v>
      </c>
      <c r="C1354" s="1" t="s">
        <v>2322</v>
      </c>
      <c r="D1354" s="1" t="s">
        <v>2322</v>
      </c>
      <c r="E1354" t="s">
        <v>2323</v>
      </c>
      <c r="F1354" s="2" t="s">
        <v>2324</v>
      </c>
      <c r="G1354" t="s">
        <v>39</v>
      </c>
      <c r="H1354" s="2" t="s">
        <v>478</v>
      </c>
      <c r="I1354" s="2">
        <v>2.96</v>
      </c>
    </row>
    <row r="1355" spans="1:9" x14ac:dyDescent="0.25">
      <c r="A1355" s="1" t="s">
        <v>2333</v>
      </c>
      <c r="B1355" t="s">
        <v>2334</v>
      </c>
      <c r="C1355" s="1" t="s">
        <v>514</v>
      </c>
      <c r="D1355" s="1" t="s">
        <v>514</v>
      </c>
      <c r="E1355" t="s">
        <v>515</v>
      </c>
      <c r="F1355" s="2" t="s">
        <v>516</v>
      </c>
      <c r="G1355" t="s">
        <v>121</v>
      </c>
      <c r="H1355" s="2" t="s">
        <v>92</v>
      </c>
      <c r="I1355" s="2">
        <v>0.54</v>
      </c>
    </row>
    <row r="1356" spans="1:9" x14ac:dyDescent="0.25">
      <c r="A1356" s="1" t="s">
        <v>2333</v>
      </c>
      <c r="B1356" t="s">
        <v>2334</v>
      </c>
      <c r="C1356" s="1" t="s">
        <v>41</v>
      </c>
      <c r="D1356" s="1" t="s">
        <v>41</v>
      </c>
      <c r="E1356" t="s">
        <v>42</v>
      </c>
      <c r="F1356" s="2" t="s">
        <v>43</v>
      </c>
      <c r="G1356" t="s">
        <v>5</v>
      </c>
      <c r="H1356" s="2" t="s">
        <v>550</v>
      </c>
      <c r="I1356" s="2">
        <v>0.02</v>
      </c>
    </row>
    <row r="1357" spans="1:9" x14ac:dyDescent="0.25">
      <c r="A1357" s="1" t="s">
        <v>2333</v>
      </c>
      <c r="B1357" t="s">
        <v>2334</v>
      </c>
      <c r="C1357" s="1" t="s">
        <v>2325</v>
      </c>
      <c r="D1357" s="1" t="s">
        <v>2325</v>
      </c>
      <c r="E1357" t="s">
        <v>2326</v>
      </c>
      <c r="F1357" s="2" t="s">
        <v>580</v>
      </c>
      <c r="G1357" t="s">
        <v>121</v>
      </c>
      <c r="H1357" s="2" t="s">
        <v>92</v>
      </c>
      <c r="I1357" s="2">
        <v>14.9</v>
      </c>
    </row>
    <row r="1358" spans="1:9" x14ac:dyDescent="0.25">
      <c r="A1358" s="1" t="s">
        <v>2333</v>
      </c>
      <c r="B1358" t="s">
        <v>2334</v>
      </c>
      <c r="C1358" s="1" t="s">
        <v>2327</v>
      </c>
      <c r="D1358" s="1" t="s">
        <v>2327</v>
      </c>
      <c r="E1358" t="s">
        <v>2328</v>
      </c>
      <c r="F1358" s="2" t="s">
        <v>2329</v>
      </c>
      <c r="G1358" t="s">
        <v>121</v>
      </c>
      <c r="H1358" s="2" t="s">
        <v>50</v>
      </c>
      <c r="I1358" s="2">
        <v>0.6</v>
      </c>
    </row>
    <row r="1359" spans="1:9" x14ac:dyDescent="0.25">
      <c r="A1359" s="1" t="s">
        <v>2333</v>
      </c>
      <c r="B1359" t="s">
        <v>2334</v>
      </c>
      <c r="C1359" s="1" t="s">
        <v>7</v>
      </c>
      <c r="D1359" s="1" t="s">
        <v>7</v>
      </c>
      <c r="E1359" t="s">
        <v>8</v>
      </c>
      <c r="F1359" s="2" t="s">
        <v>9</v>
      </c>
      <c r="G1359" t="s">
        <v>10</v>
      </c>
      <c r="H1359" s="2" t="s">
        <v>2338</v>
      </c>
      <c r="I1359" s="2">
        <v>26.68</v>
      </c>
    </row>
    <row r="1360" spans="1:9" x14ac:dyDescent="0.25">
      <c r="A1360" s="1" t="s">
        <v>2339</v>
      </c>
      <c r="B1360" t="s">
        <v>2340</v>
      </c>
      <c r="C1360" s="1" t="s">
        <v>2296</v>
      </c>
      <c r="D1360" s="1" t="s">
        <v>2296</v>
      </c>
      <c r="E1360" t="s">
        <v>2297</v>
      </c>
      <c r="F1360" s="2" t="s">
        <v>2341</v>
      </c>
      <c r="G1360" t="s">
        <v>39</v>
      </c>
      <c r="H1360" s="2" t="s">
        <v>447</v>
      </c>
      <c r="I1360" s="2">
        <v>0.27</v>
      </c>
    </row>
    <row r="1361" spans="1:10" x14ac:dyDescent="0.25">
      <c r="A1361" s="1" t="s">
        <v>2339</v>
      </c>
      <c r="B1361" t="s">
        <v>2340</v>
      </c>
      <c r="C1361" s="1" t="s">
        <v>2299</v>
      </c>
      <c r="D1361" s="1" t="s">
        <v>2299</v>
      </c>
      <c r="E1361" t="s">
        <v>2300</v>
      </c>
      <c r="F1361" s="2" t="s">
        <v>2342</v>
      </c>
      <c r="G1361" t="s">
        <v>1857</v>
      </c>
      <c r="H1361" s="2" t="s">
        <v>2302</v>
      </c>
      <c r="I1361" s="2">
        <v>2.16</v>
      </c>
    </row>
    <row r="1362" spans="1:10" x14ac:dyDescent="0.25">
      <c r="A1362" s="1" t="s">
        <v>2339</v>
      </c>
      <c r="B1362" t="s">
        <v>2340</v>
      </c>
      <c r="C1362" s="1" t="s">
        <v>649</v>
      </c>
      <c r="D1362" s="1" t="s">
        <v>649</v>
      </c>
      <c r="E1362" t="s">
        <v>650</v>
      </c>
      <c r="F1362" s="2" t="s">
        <v>651</v>
      </c>
      <c r="G1362" t="s">
        <v>39</v>
      </c>
      <c r="H1362" s="2" t="s">
        <v>447</v>
      </c>
      <c r="I1362" s="2">
        <v>0.16</v>
      </c>
    </row>
    <row r="1363" spans="1:10" x14ac:dyDescent="0.25">
      <c r="A1363" s="1" t="s">
        <v>2339</v>
      </c>
      <c r="B1363" t="s">
        <v>2340</v>
      </c>
      <c r="C1363" s="1" t="s">
        <v>2343</v>
      </c>
      <c r="D1363" s="1" t="s">
        <v>2343</v>
      </c>
      <c r="E1363" t="s">
        <v>2344</v>
      </c>
      <c r="F1363" s="2" t="s">
        <v>2345</v>
      </c>
      <c r="G1363" t="s">
        <v>39</v>
      </c>
      <c r="H1363" s="2" t="s">
        <v>447</v>
      </c>
      <c r="I1363" s="2">
        <v>0.1</v>
      </c>
    </row>
    <row r="1364" spans="1:10" x14ac:dyDescent="0.25">
      <c r="A1364" s="1" t="s">
        <v>2339</v>
      </c>
      <c r="B1364" t="s">
        <v>2340</v>
      </c>
      <c r="C1364" s="1" t="s">
        <v>898</v>
      </c>
      <c r="D1364" s="1" t="s">
        <v>898</v>
      </c>
      <c r="E1364" t="s">
        <v>865</v>
      </c>
      <c r="F1364" s="2" t="s">
        <v>866</v>
      </c>
      <c r="G1364" t="s">
        <v>39</v>
      </c>
      <c r="H1364" s="2" t="s">
        <v>447</v>
      </c>
      <c r="I1364" s="2">
        <v>0.06</v>
      </c>
    </row>
    <row r="1365" spans="1:10" x14ac:dyDescent="0.25">
      <c r="A1365" s="1" t="s">
        <v>2339</v>
      </c>
      <c r="B1365" t="s">
        <v>2340</v>
      </c>
      <c r="C1365" s="1" t="s">
        <v>2304</v>
      </c>
      <c r="D1365" s="1" t="s">
        <v>2304</v>
      </c>
      <c r="E1365" t="s">
        <v>2305</v>
      </c>
      <c r="F1365" s="2" t="s">
        <v>2346</v>
      </c>
      <c r="G1365" t="s">
        <v>121</v>
      </c>
      <c r="H1365" s="2" t="s">
        <v>92</v>
      </c>
      <c r="I1365" s="2">
        <v>0.9</v>
      </c>
    </row>
    <row r="1366" spans="1:10" x14ac:dyDescent="0.25">
      <c r="A1366" s="1" t="s">
        <v>2339</v>
      </c>
      <c r="B1366" t="s">
        <v>2340</v>
      </c>
      <c r="C1366" s="1" t="s">
        <v>2307</v>
      </c>
      <c r="D1366" s="1" t="s">
        <v>2307</v>
      </c>
      <c r="E1366" t="s">
        <v>2308</v>
      </c>
      <c r="F1366" s="2" t="s">
        <v>2309</v>
      </c>
      <c r="G1366" t="s">
        <v>121</v>
      </c>
      <c r="H1366" s="2" t="s">
        <v>92</v>
      </c>
      <c r="I1366" s="2">
        <v>19.5</v>
      </c>
    </row>
    <row r="1367" spans="1:10" x14ac:dyDescent="0.25">
      <c r="A1367" s="1" t="s">
        <v>2339</v>
      </c>
      <c r="B1367" t="s">
        <v>2340</v>
      </c>
      <c r="C1367" s="1" t="s">
        <v>2347</v>
      </c>
      <c r="D1367" s="1" t="s">
        <v>2347</v>
      </c>
      <c r="E1367" t="s">
        <v>2348</v>
      </c>
      <c r="F1367" s="2" t="s">
        <v>2329</v>
      </c>
      <c r="G1367" t="s">
        <v>121</v>
      </c>
      <c r="H1367" s="2" t="s">
        <v>319</v>
      </c>
      <c r="I1367" s="2">
        <v>3.6</v>
      </c>
    </row>
    <row r="1368" spans="1:10" x14ac:dyDescent="0.25">
      <c r="A1368" s="1" t="s">
        <v>2339</v>
      </c>
      <c r="B1368" t="s">
        <v>2340</v>
      </c>
      <c r="C1368" s="1" t="s">
        <v>2310</v>
      </c>
      <c r="D1368" s="1" t="s">
        <v>2310</v>
      </c>
      <c r="E1368" t="s">
        <v>2311</v>
      </c>
      <c r="F1368" s="2" t="s">
        <v>2312</v>
      </c>
      <c r="G1368" t="s">
        <v>121</v>
      </c>
      <c r="H1368" s="2" t="s">
        <v>50</v>
      </c>
      <c r="I1368" s="2">
        <v>37.15</v>
      </c>
    </row>
    <row r="1369" spans="1:10" x14ac:dyDescent="0.25">
      <c r="A1369" s="1" t="s">
        <v>2339</v>
      </c>
      <c r="B1369" t="s">
        <v>2340</v>
      </c>
      <c r="C1369" s="1" t="s">
        <v>2313</v>
      </c>
      <c r="D1369" s="1" t="s">
        <v>2313</v>
      </c>
      <c r="E1369" t="s">
        <v>2314</v>
      </c>
      <c r="F1369" s="2" t="s">
        <v>2312</v>
      </c>
      <c r="G1369" t="s">
        <v>121</v>
      </c>
      <c r="H1369" s="2" t="s">
        <v>50</v>
      </c>
      <c r="I1369" s="2">
        <v>37.15</v>
      </c>
    </row>
    <row r="1370" spans="1:10" x14ac:dyDescent="0.25">
      <c r="A1370" s="1" t="s">
        <v>2339</v>
      </c>
      <c r="B1370" t="s">
        <v>2340</v>
      </c>
      <c r="C1370" s="1" t="s">
        <v>2349</v>
      </c>
      <c r="D1370" s="1" t="s">
        <v>2349</v>
      </c>
      <c r="E1370" t="s">
        <v>2350</v>
      </c>
      <c r="F1370" s="2" t="s">
        <v>2351</v>
      </c>
      <c r="G1370" t="s">
        <v>49</v>
      </c>
      <c r="H1370" s="2" t="s">
        <v>50</v>
      </c>
      <c r="I1370" s="2">
        <v>73.8</v>
      </c>
      <c r="J1370" t="s">
        <v>55</v>
      </c>
    </row>
    <row r="1371" spans="1:10" x14ac:dyDescent="0.25">
      <c r="A1371" s="1" t="s">
        <v>2339</v>
      </c>
      <c r="B1371" t="s">
        <v>2340</v>
      </c>
      <c r="C1371" s="1" t="s">
        <v>7</v>
      </c>
      <c r="D1371" s="1" t="s">
        <v>7</v>
      </c>
      <c r="E1371" t="s">
        <v>8</v>
      </c>
      <c r="F1371" s="2" t="s">
        <v>9</v>
      </c>
      <c r="G1371" t="s">
        <v>10</v>
      </c>
      <c r="H1371" s="2" t="s">
        <v>1027</v>
      </c>
      <c r="I1371" s="2">
        <v>52.9</v>
      </c>
    </row>
    <row r="1372" spans="1:10" x14ac:dyDescent="0.25">
      <c r="A1372" s="1" t="s">
        <v>2352</v>
      </c>
      <c r="B1372" t="s">
        <v>2353</v>
      </c>
      <c r="C1372" s="1" t="s">
        <v>2322</v>
      </c>
      <c r="D1372" s="1" t="s">
        <v>2322</v>
      </c>
      <c r="E1372" t="s">
        <v>2323</v>
      </c>
      <c r="F1372" s="2" t="s">
        <v>2324</v>
      </c>
      <c r="G1372" t="s">
        <v>39</v>
      </c>
      <c r="H1372" s="2" t="s">
        <v>478</v>
      </c>
      <c r="I1372" s="2">
        <v>2.96</v>
      </c>
    </row>
    <row r="1373" spans="1:10" x14ac:dyDescent="0.25">
      <c r="A1373" s="1" t="s">
        <v>2352</v>
      </c>
      <c r="B1373" t="s">
        <v>2353</v>
      </c>
      <c r="C1373" s="1" t="s">
        <v>514</v>
      </c>
      <c r="D1373" s="1" t="s">
        <v>514</v>
      </c>
      <c r="E1373" t="s">
        <v>515</v>
      </c>
      <c r="F1373" s="2" t="s">
        <v>516</v>
      </c>
      <c r="G1373" t="s">
        <v>121</v>
      </c>
      <c r="H1373" s="2" t="s">
        <v>92</v>
      </c>
      <c r="I1373" s="2">
        <v>0.54</v>
      </c>
    </row>
    <row r="1374" spans="1:10" x14ac:dyDescent="0.25">
      <c r="A1374" s="1" t="s">
        <v>2352</v>
      </c>
      <c r="B1374" t="s">
        <v>2353</v>
      </c>
      <c r="C1374" s="1" t="s">
        <v>2325</v>
      </c>
      <c r="D1374" s="1" t="s">
        <v>2325</v>
      </c>
      <c r="E1374" t="s">
        <v>2326</v>
      </c>
      <c r="F1374" s="2" t="s">
        <v>580</v>
      </c>
      <c r="G1374" t="s">
        <v>121</v>
      </c>
      <c r="H1374" s="2" t="s">
        <v>92</v>
      </c>
      <c r="I1374" s="2">
        <v>14.9</v>
      </c>
    </row>
    <row r="1375" spans="1:10" x14ac:dyDescent="0.25">
      <c r="A1375" s="1" t="s">
        <v>2352</v>
      </c>
      <c r="B1375" t="s">
        <v>2353</v>
      </c>
      <c r="C1375" s="1" t="s">
        <v>2327</v>
      </c>
      <c r="D1375" s="1" t="s">
        <v>2327</v>
      </c>
      <c r="E1375" t="s">
        <v>2328</v>
      </c>
      <c r="F1375" s="2" t="s">
        <v>2329</v>
      </c>
      <c r="G1375" t="s">
        <v>121</v>
      </c>
      <c r="H1375" s="2" t="s">
        <v>50</v>
      </c>
      <c r="I1375" s="2">
        <v>0.6</v>
      </c>
    </row>
    <row r="1376" spans="1:10" x14ac:dyDescent="0.25">
      <c r="A1376" s="1" t="s">
        <v>2352</v>
      </c>
      <c r="B1376" t="s">
        <v>2353</v>
      </c>
      <c r="C1376" s="1" t="s">
        <v>2354</v>
      </c>
      <c r="D1376" s="1" t="s">
        <v>2354</v>
      </c>
      <c r="E1376" t="s">
        <v>2355</v>
      </c>
      <c r="F1376" s="2" t="s">
        <v>2356</v>
      </c>
      <c r="G1376" t="s">
        <v>49</v>
      </c>
      <c r="H1376" s="2" t="s">
        <v>50</v>
      </c>
      <c r="I1376" s="2">
        <v>50</v>
      </c>
      <c r="J1376" t="s">
        <v>55</v>
      </c>
    </row>
    <row r="1377" spans="1:10" x14ac:dyDescent="0.25">
      <c r="A1377" s="1" t="s">
        <v>2352</v>
      </c>
      <c r="B1377" t="s">
        <v>2353</v>
      </c>
      <c r="C1377" s="1" t="s">
        <v>7</v>
      </c>
      <c r="D1377" s="1" t="s">
        <v>7</v>
      </c>
      <c r="E1377" t="s">
        <v>8</v>
      </c>
      <c r="F1377" s="2" t="s">
        <v>9</v>
      </c>
      <c r="G1377" t="s">
        <v>10</v>
      </c>
      <c r="H1377" s="2" t="s">
        <v>2357</v>
      </c>
      <c r="I1377" s="2">
        <v>29</v>
      </c>
    </row>
    <row r="1378" spans="1:10" x14ac:dyDescent="0.25">
      <c r="A1378" s="1" t="s">
        <v>2358</v>
      </c>
      <c r="B1378" t="s">
        <v>2359</v>
      </c>
      <c r="C1378" s="1" t="s">
        <v>471</v>
      </c>
      <c r="D1378" s="1" t="s">
        <v>471</v>
      </c>
      <c r="E1378" t="s">
        <v>472</v>
      </c>
      <c r="F1378" s="2" t="s">
        <v>526</v>
      </c>
      <c r="G1378" t="s">
        <v>5</v>
      </c>
      <c r="H1378" s="2" t="s">
        <v>2360</v>
      </c>
      <c r="I1378" s="2">
        <v>31.36</v>
      </c>
    </row>
    <row r="1379" spans="1:10" x14ac:dyDescent="0.25">
      <c r="A1379" s="1" t="s">
        <v>2358</v>
      </c>
      <c r="B1379" t="s">
        <v>2359</v>
      </c>
      <c r="C1379" s="1" t="s">
        <v>475</v>
      </c>
      <c r="D1379" s="1" t="s">
        <v>475</v>
      </c>
      <c r="E1379" t="s">
        <v>476</v>
      </c>
      <c r="F1379" s="2" t="s">
        <v>477</v>
      </c>
      <c r="G1379" t="s">
        <v>39</v>
      </c>
      <c r="H1379" s="2" t="s">
        <v>478</v>
      </c>
      <c r="I1379" s="2">
        <v>0.41</v>
      </c>
    </row>
    <row r="1380" spans="1:10" x14ac:dyDescent="0.25">
      <c r="A1380" s="1" t="s">
        <v>2358</v>
      </c>
      <c r="B1380" t="s">
        <v>2359</v>
      </c>
      <c r="C1380" s="1" t="s">
        <v>479</v>
      </c>
      <c r="D1380" s="1" t="s">
        <v>479</v>
      </c>
      <c r="E1380" t="s">
        <v>480</v>
      </c>
      <c r="F1380" s="2" t="s">
        <v>481</v>
      </c>
      <c r="G1380" t="s">
        <v>5</v>
      </c>
      <c r="H1380" s="2" t="s">
        <v>534</v>
      </c>
      <c r="I1380" s="2">
        <v>0.05</v>
      </c>
    </row>
    <row r="1381" spans="1:10" x14ac:dyDescent="0.25">
      <c r="A1381" s="1" t="s">
        <v>2358</v>
      </c>
      <c r="B1381" t="s">
        <v>2359</v>
      </c>
      <c r="C1381" s="1" t="s">
        <v>483</v>
      </c>
      <c r="D1381" s="1" t="s">
        <v>483</v>
      </c>
      <c r="E1381" t="s">
        <v>484</v>
      </c>
      <c r="F1381" s="2" t="s">
        <v>485</v>
      </c>
      <c r="G1381" t="s">
        <v>5</v>
      </c>
      <c r="H1381" s="2" t="s">
        <v>573</v>
      </c>
      <c r="I1381" s="2">
        <v>0.01</v>
      </c>
    </row>
    <row r="1382" spans="1:10" x14ac:dyDescent="0.25">
      <c r="A1382" s="1" t="s">
        <v>2358</v>
      </c>
      <c r="B1382" t="s">
        <v>2359</v>
      </c>
      <c r="C1382" s="1" t="s">
        <v>487</v>
      </c>
      <c r="D1382" s="1" t="s">
        <v>487</v>
      </c>
      <c r="E1382" t="s">
        <v>488</v>
      </c>
      <c r="F1382" s="2" t="s">
        <v>489</v>
      </c>
      <c r="G1382" t="s">
        <v>5</v>
      </c>
      <c r="H1382" s="2" t="s">
        <v>2361</v>
      </c>
      <c r="I1382" s="2">
        <v>0.31</v>
      </c>
    </row>
    <row r="1383" spans="1:10" x14ac:dyDescent="0.25">
      <c r="A1383" s="1" t="s">
        <v>2358</v>
      </c>
      <c r="B1383" t="s">
        <v>2359</v>
      </c>
      <c r="C1383" s="1" t="s">
        <v>41</v>
      </c>
      <c r="D1383" s="1" t="s">
        <v>41</v>
      </c>
      <c r="E1383" t="s">
        <v>42</v>
      </c>
      <c r="F1383" s="2" t="s">
        <v>43</v>
      </c>
      <c r="G1383" t="s">
        <v>5</v>
      </c>
      <c r="H1383" s="2" t="s">
        <v>1900</v>
      </c>
      <c r="I1383" s="2">
        <v>0.03</v>
      </c>
    </row>
    <row r="1384" spans="1:10" x14ac:dyDescent="0.25">
      <c r="A1384" s="1" t="s">
        <v>2358</v>
      </c>
      <c r="B1384" t="s">
        <v>2359</v>
      </c>
      <c r="C1384" s="1" t="s">
        <v>491</v>
      </c>
      <c r="D1384" s="1" t="s">
        <v>491</v>
      </c>
      <c r="E1384" t="s">
        <v>492</v>
      </c>
      <c r="F1384" s="2" t="s">
        <v>493</v>
      </c>
      <c r="G1384" t="s">
        <v>121</v>
      </c>
      <c r="H1384" s="2" t="s">
        <v>92</v>
      </c>
      <c r="I1384" s="2">
        <v>13.7</v>
      </c>
    </row>
    <row r="1385" spans="1:10" x14ac:dyDescent="0.25">
      <c r="A1385" s="1" t="s">
        <v>2358</v>
      </c>
      <c r="B1385" t="s">
        <v>2359</v>
      </c>
      <c r="C1385" s="1" t="s">
        <v>499</v>
      </c>
      <c r="D1385" s="1" t="s">
        <v>499</v>
      </c>
      <c r="E1385" t="s">
        <v>500</v>
      </c>
      <c r="F1385" s="2" t="s">
        <v>501</v>
      </c>
      <c r="G1385" t="s">
        <v>121</v>
      </c>
      <c r="H1385" s="2" t="s">
        <v>50</v>
      </c>
      <c r="I1385" s="2">
        <v>4.5</v>
      </c>
    </row>
    <row r="1386" spans="1:10" x14ac:dyDescent="0.25">
      <c r="A1386" s="1" t="s">
        <v>2358</v>
      </c>
      <c r="B1386" t="s">
        <v>2359</v>
      </c>
      <c r="C1386" s="1" t="s">
        <v>536</v>
      </c>
      <c r="D1386" s="1" t="s">
        <v>536</v>
      </c>
      <c r="E1386" t="s">
        <v>537</v>
      </c>
      <c r="F1386" s="2" t="s">
        <v>538</v>
      </c>
      <c r="G1386" t="s">
        <v>121</v>
      </c>
      <c r="H1386" s="2" t="s">
        <v>50</v>
      </c>
      <c r="I1386" s="2">
        <v>15.7</v>
      </c>
    </row>
    <row r="1387" spans="1:10" x14ac:dyDescent="0.25">
      <c r="A1387" s="1" t="s">
        <v>2358</v>
      </c>
      <c r="B1387" t="s">
        <v>2359</v>
      </c>
      <c r="C1387" s="1" t="s">
        <v>539</v>
      </c>
      <c r="D1387" s="1" t="s">
        <v>539</v>
      </c>
      <c r="E1387" t="s">
        <v>540</v>
      </c>
      <c r="F1387" s="2" t="s">
        <v>538</v>
      </c>
      <c r="G1387" t="s">
        <v>121</v>
      </c>
      <c r="H1387" s="2" t="s">
        <v>50</v>
      </c>
      <c r="I1387" s="2">
        <v>15.7</v>
      </c>
    </row>
    <row r="1388" spans="1:10" x14ac:dyDescent="0.25">
      <c r="A1388" s="1" t="s">
        <v>2358</v>
      </c>
      <c r="B1388" t="s">
        <v>2359</v>
      </c>
      <c r="C1388" s="1" t="s">
        <v>502</v>
      </c>
      <c r="D1388" s="1" t="s">
        <v>502</v>
      </c>
      <c r="E1388" t="s">
        <v>503</v>
      </c>
      <c r="F1388" s="2" t="s">
        <v>31</v>
      </c>
      <c r="G1388" t="s">
        <v>121</v>
      </c>
      <c r="H1388" s="2" t="s">
        <v>50</v>
      </c>
      <c r="I1388" s="2">
        <v>10.6</v>
      </c>
      <c r="J1388" t="s">
        <v>55</v>
      </c>
    </row>
    <row r="1389" spans="1:10" x14ac:dyDescent="0.25">
      <c r="A1389" s="1" t="s">
        <v>2358</v>
      </c>
      <c r="B1389" t="s">
        <v>2359</v>
      </c>
      <c r="C1389" s="1" t="s">
        <v>7</v>
      </c>
      <c r="D1389" s="1" t="s">
        <v>7</v>
      </c>
      <c r="E1389" t="s">
        <v>8</v>
      </c>
      <c r="F1389" s="2" t="s">
        <v>9</v>
      </c>
      <c r="G1389" t="s">
        <v>10</v>
      </c>
      <c r="H1389" s="2" t="s">
        <v>2362</v>
      </c>
      <c r="I1389" s="2">
        <v>40.25</v>
      </c>
    </row>
    <row r="1390" spans="1:10" x14ac:dyDescent="0.25">
      <c r="A1390" s="1" t="s">
        <v>2363</v>
      </c>
      <c r="B1390" t="s">
        <v>2364</v>
      </c>
      <c r="C1390" s="1" t="s">
        <v>2292</v>
      </c>
      <c r="D1390" s="1" t="s">
        <v>2292</v>
      </c>
      <c r="E1390" t="s">
        <v>2293</v>
      </c>
      <c r="F1390" s="2" t="s">
        <v>2365</v>
      </c>
      <c r="G1390" t="s">
        <v>17</v>
      </c>
      <c r="H1390" s="2" t="s">
        <v>1338</v>
      </c>
      <c r="I1390" s="2">
        <v>34.5</v>
      </c>
    </row>
    <row r="1391" spans="1:10" x14ac:dyDescent="0.25">
      <c r="A1391" s="1" t="s">
        <v>2363</v>
      </c>
      <c r="B1391" t="s">
        <v>2364</v>
      </c>
      <c r="C1391" s="1" t="s">
        <v>2296</v>
      </c>
      <c r="D1391" s="1" t="s">
        <v>2296</v>
      </c>
      <c r="E1391" t="s">
        <v>2297</v>
      </c>
      <c r="F1391" s="2" t="s">
        <v>2341</v>
      </c>
      <c r="G1391" t="s">
        <v>39</v>
      </c>
      <c r="H1391" s="2" t="s">
        <v>447</v>
      </c>
      <c r="I1391" s="2">
        <v>0.27</v>
      </c>
    </row>
    <row r="1392" spans="1:10" x14ac:dyDescent="0.25">
      <c r="A1392" s="1" t="s">
        <v>2363</v>
      </c>
      <c r="B1392" t="s">
        <v>2364</v>
      </c>
      <c r="C1392" s="1" t="s">
        <v>2299</v>
      </c>
      <c r="D1392" s="1" t="s">
        <v>2299</v>
      </c>
      <c r="E1392" t="s">
        <v>2300</v>
      </c>
      <c r="F1392" s="2" t="s">
        <v>2342</v>
      </c>
      <c r="G1392" t="s">
        <v>1857</v>
      </c>
      <c r="H1392" s="2" t="s">
        <v>2302</v>
      </c>
      <c r="I1392" s="2">
        <v>2.16</v>
      </c>
    </row>
    <row r="1393" spans="1:9" x14ac:dyDescent="0.25">
      <c r="A1393" s="1" t="s">
        <v>2363</v>
      </c>
      <c r="B1393" t="s">
        <v>2364</v>
      </c>
      <c r="C1393" s="1" t="s">
        <v>649</v>
      </c>
      <c r="D1393" s="1" t="s">
        <v>649</v>
      </c>
      <c r="E1393" t="s">
        <v>650</v>
      </c>
      <c r="F1393" s="2" t="s">
        <v>651</v>
      </c>
      <c r="G1393" t="s">
        <v>39</v>
      </c>
      <c r="H1393" s="2" t="s">
        <v>447</v>
      </c>
      <c r="I1393" s="2">
        <v>0.16</v>
      </c>
    </row>
    <row r="1394" spans="1:9" x14ac:dyDescent="0.25">
      <c r="A1394" s="1" t="s">
        <v>2363</v>
      </c>
      <c r="B1394" t="s">
        <v>2364</v>
      </c>
      <c r="C1394" s="1" t="s">
        <v>864</v>
      </c>
      <c r="D1394" s="1" t="s">
        <v>864</v>
      </c>
      <c r="E1394" t="s">
        <v>865</v>
      </c>
      <c r="F1394" s="2" t="s">
        <v>866</v>
      </c>
      <c r="G1394" t="s">
        <v>39</v>
      </c>
      <c r="H1394" s="2" t="s">
        <v>447</v>
      </c>
      <c r="I1394" s="2">
        <v>0.06</v>
      </c>
    </row>
    <row r="1395" spans="1:9" x14ac:dyDescent="0.25">
      <c r="A1395" s="1" t="s">
        <v>2363</v>
      </c>
      <c r="B1395" t="s">
        <v>2364</v>
      </c>
      <c r="C1395" s="1" t="s">
        <v>2304</v>
      </c>
      <c r="D1395" s="1" t="s">
        <v>2304</v>
      </c>
      <c r="E1395" t="s">
        <v>2305</v>
      </c>
      <c r="F1395" s="2" t="s">
        <v>2306</v>
      </c>
      <c r="G1395" t="s">
        <v>121</v>
      </c>
      <c r="H1395" s="2" t="s">
        <v>92</v>
      </c>
      <c r="I1395" s="2">
        <v>0.68</v>
      </c>
    </row>
    <row r="1396" spans="1:9" x14ac:dyDescent="0.25">
      <c r="A1396" s="1" t="s">
        <v>2363</v>
      </c>
      <c r="B1396" t="s">
        <v>2364</v>
      </c>
      <c r="C1396" s="1" t="s">
        <v>41</v>
      </c>
      <c r="D1396" s="1" t="s">
        <v>41</v>
      </c>
      <c r="E1396" t="s">
        <v>42</v>
      </c>
      <c r="F1396" s="2" t="s">
        <v>43</v>
      </c>
      <c r="G1396" t="s">
        <v>5</v>
      </c>
      <c r="H1396" s="2" t="s">
        <v>1867</v>
      </c>
      <c r="I1396" s="2">
        <v>0.03</v>
      </c>
    </row>
    <row r="1397" spans="1:9" x14ac:dyDescent="0.25">
      <c r="A1397" s="1" t="s">
        <v>2363</v>
      </c>
      <c r="B1397" t="s">
        <v>2364</v>
      </c>
      <c r="C1397" s="1" t="s">
        <v>2307</v>
      </c>
      <c r="D1397" s="1" t="s">
        <v>2307</v>
      </c>
      <c r="E1397" t="s">
        <v>2308</v>
      </c>
      <c r="F1397" s="2" t="s">
        <v>2309</v>
      </c>
      <c r="G1397" t="s">
        <v>121</v>
      </c>
      <c r="H1397" s="2" t="s">
        <v>92</v>
      </c>
      <c r="I1397" s="2">
        <v>19.5</v>
      </c>
    </row>
    <row r="1398" spans="1:9" x14ac:dyDescent="0.25">
      <c r="A1398" s="1" t="s">
        <v>2363</v>
      </c>
      <c r="B1398" t="s">
        <v>2364</v>
      </c>
      <c r="C1398" s="1" t="s">
        <v>2310</v>
      </c>
      <c r="D1398" s="1" t="s">
        <v>2310</v>
      </c>
      <c r="E1398" t="s">
        <v>2311</v>
      </c>
      <c r="F1398" s="2" t="s">
        <v>2312</v>
      </c>
      <c r="G1398" t="s">
        <v>121</v>
      </c>
      <c r="H1398" s="2" t="s">
        <v>50</v>
      </c>
      <c r="I1398" s="2">
        <v>37.15</v>
      </c>
    </row>
    <row r="1399" spans="1:9" x14ac:dyDescent="0.25">
      <c r="A1399" s="1" t="s">
        <v>2363</v>
      </c>
      <c r="B1399" t="s">
        <v>2364</v>
      </c>
      <c r="C1399" s="1" t="s">
        <v>2313</v>
      </c>
      <c r="D1399" s="1" t="s">
        <v>2313</v>
      </c>
      <c r="E1399" t="s">
        <v>2314</v>
      </c>
      <c r="F1399" s="2" t="s">
        <v>2312</v>
      </c>
      <c r="G1399" t="s">
        <v>121</v>
      </c>
      <c r="H1399" s="2" t="s">
        <v>50</v>
      </c>
      <c r="I1399" s="2">
        <v>37.15</v>
      </c>
    </row>
    <row r="1400" spans="1:9" x14ac:dyDescent="0.25">
      <c r="A1400" s="1" t="s">
        <v>2363</v>
      </c>
      <c r="B1400" t="s">
        <v>2364</v>
      </c>
      <c r="C1400" s="1" t="s">
        <v>7</v>
      </c>
      <c r="D1400" s="1" t="s">
        <v>7</v>
      </c>
      <c r="E1400" t="s">
        <v>8</v>
      </c>
      <c r="F1400" s="2" t="s">
        <v>9</v>
      </c>
      <c r="G1400" t="s">
        <v>10</v>
      </c>
      <c r="H1400" s="2" t="s">
        <v>50</v>
      </c>
      <c r="I1400" s="2">
        <v>46</v>
      </c>
    </row>
    <row r="1401" spans="1:9" x14ac:dyDescent="0.25">
      <c r="A1401" s="1" t="s">
        <v>2366</v>
      </c>
      <c r="B1401" t="s">
        <v>2367</v>
      </c>
      <c r="C1401" s="1" t="s">
        <v>2318</v>
      </c>
      <c r="D1401" s="1" t="s">
        <v>2318</v>
      </c>
      <c r="E1401" t="s">
        <v>2319</v>
      </c>
      <c r="F1401" s="2" t="s">
        <v>2336</v>
      </c>
      <c r="G1401" t="s">
        <v>17</v>
      </c>
      <c r="H1401" s="2" t="s">
        <v>2368</v>
      </c>
      <c r="I1401" s="2">
        <v>13.55</v>
      </c>
    </row>
    <row r="1402" spans="1:9" x14ac:dyDescent="0.25">
      <c r="A1402" s="1" t="s">
        <v>2366</v>
      </c>
      <c r="B1402" t="s">
        <v>2367</v>
      </c>
      <c r="C1402" s="1" t="s">
        <v>2322</v>
      </c>
      <c r="D1402" s="1" t="s">
        <v>2322</v>
      </c>
      <c r="E1402" t="s">
        <v>2323</v>
      </c>
      <c r="F1402" s="2" t="s">
        <v>2324</v>
      </c>
      <c r="G1402" t="s">
        <v>39</v>
      </c>
      <c r="H1402" s="2" t="s">
        <v>478</v>
      </c>
      <c r="I1402" s="2">
        <v>2.96</v>
      </c>
    </row>
    <row r="1403" spans="1:9" x14ac:dyDescent="0.25">
      <c r="A1403" s="1" t="s">
        <v>2366</v>
      </c>
      <c r="B1403" t="s">
        <v>2367</v>
      </c>
      <c r="C1403" s="1" t="s">
        <v>514</v>
      </c>
      <c r="D1403" s="1" t="s">
        <v>514</v>
      </c>
      <c r="E1403" t="s">
        <v>515</v>
      </c>
      <c r="F1403" s="2" t="s">
        <v>516</v>
      </c>
      <c r="G1403" t="s">
        <v>121</v>
      </c>
      <c r="H1403" s="2" t="s">
        <v>92</v>
      </c>
      <c r="I1403" s="2">
        <v>0.54</v>
      </c>
    </row>
    <row r="1404" spans="1:9" x14ac:dyDescent="0.25">
      <c r="A1404" s="1" t="s">
        <v>2366</v>
      </c>
      <c r="B1404" t="s">
        <v>2367</v>
      </c>
      <c r="C1404" s="1" t="s">
        <v>41</v>
      </c>
      <c r="D1404" s="1" t="s">
        <v>41</v>
      </c>
      <c r="E1404" t="s">
        <v>42</v>
      </c>
      <c r="F1404" s="2" t="s">
        <v>43</v>
      </c>
      <c r="G1404" t="s">
        <v>5</v>
      </c>
      <c r="H1404" s="2" t="s">
        <v>550</v>
      </c>
      <c r="I1404" s="2">
        <v>0.02</v>
      </c>
    </row>
    <row r="1405" spans="1:9" x14ac:dyDescent="0.25">
      <c r="A1405" s="1" t="s">
        <v>2366</v>
      </c>
      <c r="B1405" t="s">
        <v>2367</v>
      </c>
      <c r="C1405" s="1" t="s">
        <v>2325</v>
      </c>
      <c r="D1405" s="1" t="s">
        <v>2325</v>
      </c>
      <c r="E1405" t="s">
        <v>2326</v>
      </c>
      <c r="F1405" s="2" t="s">
        <v>580</v>
      </c>
      <c r="G1405" t="s">
        <v>121</v>
      </c>
      <c r="H1405" s="2" t="s">
        <v>92</v>
      </c>
      <c r="I1405" s="2">
        <v>14.9</v>
      </c>
    </row>
    <row r="1406" spans="1:9" x14ac:dyDescent="0.25">
      <c r="A1406" s="1" t="s">
        <v>2366</v>
      </c>
      <c r="B1406" t="s">
        <v>2367</v>
      </c>
      <c r="C1406" s="1" t="s">
        <v>2327</v>
      </c>
      <c r="D1406" s="1" t="s">
        <v>2327</v>
      </c>
      <c r="E1406" t="s">
        <v>2328</v>
      </c>
      <c r="F1406" s="2" t="s">
        <v>2329</v>
      </c>
      <c r="G1406" t="s">
        <v>121</v>
      </c>
      <c r="H1406" s="2" t="s">
        <v>50</v>
      </c>
      <c r="I1406" s="2">
        <v>0.6</v>
      </c>
    </row>
    <row r="1407" spans="1:9" x14ac:dyDescent="0.25">
      <c r="A1407" s="1" t="s">
        <v>2366</v>
      </c>
      <c r="B1407" t="s">
        <v>2367</v>
      </c>
      <c r="C1407" s="1" t="s">
        <v>7</v>
      </c>
      <c r="D1407" s="1" t="s">
        <v>7</v>
      </c>
      <c r="E1407" t="s">
        <v>8</v>
      </c>
      <c r="F1407" s="2" t="s">
        <v>9</v>
      </c>
      <c r="G1407" t="s">
        <v>10</v>
      </c>
      <c r="H1407" s="2" t="s">
        <v>2338</v>
      </c>
      <c r="I1407" s="2">
        <v>26.68</v>
      </c>
    </row>
    <row r="1408" spans="1:9" x14ac:dyDescent="0.25">
      <c r="A1408" s="1" t="s">
        <v>2369</v>
      </c>
      <c r="B1408" t="s">
        <v>2370</v>
      </c>
      <c r="C1408" s="1" t="s">
        <v>2296</v>
      </c>
      <c r="D1408" s="1" t="s">
        <v>2296</v>
      </c>
      <c r="E1408" t="s">
        <v>2297</v>
      </c>
      <c r="F1408" s="2" t="s">
        <v>2341</v>
      </c>
      <c r="G1408" t="s">
        <v>39</v>
      </c>
      <c r="H1408" s="2" t="s">
        <v>605</v>
      </c>
      <c r="I1408" s="2">
        <v>0.55000000000000004</v>
      </c>
    </row>
    <row r="1409" spans="1:10" x14ac:dyDescent="0.25">
      <c r="A1409" s="1" t="s">
        <v>2369</v>
      </c>
      <c r="B1409" t="s">
        <v>2370</v>
      </c>
      <c r="C1409" s="1" t="s">
        <v>2371</v>
      </c>
      <c r="D1409" s="1" t="s">
        <v>2371</v>
      </c>
      <c r="E1409" t="s">
        <v>2372</v>
      </c>
      <c r="F1409" s="2" t="s">
        <v>185</v>
      </c>
      <c r="G1409" t="s">
        <v>49</v>
      </c>
      <c r="H1409" s="2" t="s">
        <v>1130</v>
      </c>
      <c r="I1409" s="2">
        <v>2.93</v>
      </c>
    </row>
    <row r="1410" spans="1:10" x14ac:dyDescent="0.25">
      <c r="A1410" s="1" t="s">
        <v>2369</v>
      </c>
      <c r="B1410" t="s">
        <v>2370</v>
      </c>
      <c r="C1410" s="1" t="s">
        <v>2373</v>
      </c>
      <c r="D1410" s="1" t="s">
        <v>2373</v>
      </c>
      <c r="E1410" t="s">
        <v>2374</v>
      </c>
      <c r="F1410" s="2" t="s">
        <v>2112</v>
      </c>
      <c r="G1410" t="s">
        <v>49</v>
      </c>
      <c r="H1410" s="2" t="s">
        <v>319</v>
      </c>
      <c r="I1410" s="2">
        <v>93</v>
      </c>
    </row>
    <row r="1411" spans="1:10" x14ac:dyDescent="0.25">
      <c r="A1411" s="1" t="s">
        <v>2369</v>
      </c>
      <c r="B1411" t="s">
        <v>2370</v>
      </c>
      <c r="C1411" s="1" t="s">
        <v>2375</v>
      </c>
      <c r="D1411" s="1" t="s">
        <v>2375</v>
      </c>
      <c r="E1411" t="s">
        <v>2376</v>
      </c>
      <c r="F1411" s="2" t="s">
        <v>2377</v>
      </c>
      <c r="G1411" t="s">
        <v>2378</v>
      </c>
      <c r="H1411" s="2" t="s">
        <v>50</v>
      </c>
      <c r="I1411" s="2">
        <v>45.89</v>
      </c>
    </row>
    <row r="1412" spans="1:10" x14ac:dyDescent="0.25">
      <c r="A1412" s="1" t="s">
        <v>2369</v>
      </c>
      <c r="B1412" t="s">
        <v>2370</v>
      </c>
      <c r="C1412" s="1" t="s">
        <v>2379</v>
      </c>
      <c r="D1412" s="1" t="s">
        <v>2379</v>
      </c>
      <c r="E1412" t="s">
        <v>2380</v>
      </c>
      <c r="F1412" s="2" t="s">
        <v>580</v>
      </c>
      <c r="G1412" t="s">
        <v>121</v>
      </c>
      <c r="H1412" s="2" t="s">
        <v>319</v>
      </c>
      <c r="I1412" s="2">
        <v>44.7</v>
      </c>
    </row>
    <row r="1413" spans="1:10" x14ac:dyDescent="0.25">
      <c r="A1413" s="1" t="s">
        <v>2369</v>
      </c>
      <c r="B1413" t="s">
        <v>2370</v>
      </c>
      <c r="C1413" s="1" t="s">
        <v>41</v>
      </c>
      <c r="D1413" s="1" t="s">
        <v>41</v>
      </c>
      <c r="E1413" t="s">
        <v>42</v>
      </c>
      <c r="F1413" s="2" t="s">
        <v>43</v>
      </c>
      <c r="G1413" t="s">
        <v>5</v>
      </c>
      <c r="H1413" s="2" t="s">
        <v>1867</v>
      </c>
      <c r="I1413" s="2">
        <v>0.03</v>
      </c>
    </row>
    <row r="1414" spans="1:10" x14ac:dyDescent="0.25">
      <c r="A1414" s="1" t="s">
        <v>2369</v>
      </c>
      <c r="B1414" t="s">
        <v>2370</v>
      </c>
      <c r="C1414" s="1" t="s">
        <v>2381</v>
      </c>
      <c r="D1414" s="1" t="s">
        <v>2381</v>
      </c>
      <c r="E1414" t="s">
        <v>2382</v>
      </c>
      <c r="F1414" s="2" t="s">
        <v>2383</v>
      </c>
      <c r="G1414" t="s">
        <v>49</v>
      </c>
      <c r="H1414" s="2" t="s">
        <v>2384</v>
      </c>
      <c r="I1414" s="2">
        <v>0.6</v>
      </c>
    </row>
    <row r="1415" spans="1:10" x14ac:dyDescent="0.25">
      <c r="A1415" s="1" t="s">
        <v>2369</v>
      </c>
      <c r="B1415" t="s">
        <v>2370</v>
      </c>
      <c r="C1415" s="1" t="s">
        <v>2385</v>
      </c>
      <c r="D1415" s="1" t="s">
        <v>2385</v>
      </c>
      <c r="E1415" t="s">
        <v>2386</v>
      </c>
      <c r="F1415" s="2" t="s">
        <v>2387</v>
      </c>
      <c r="G1415" t="s">
        <v>49</v>
      </c>
      <c r="H1415" s="2" t="s">
        <v>50</v>
      </c>
      <c r="I1415" s="2">
        <v>152.9</v>
      </c>
      <c r="J1415" t="s">
        <v>55</v>
      </c>
    </row>
    <row r="1416" spans="1:10" x14ac:dyDescent="0.25">
      <c r="A1416" s="1" t="s">
        <v>2369</v>
      </c>
      <c r="B1416" t="s">
        <v>2370</v>
      </c>
      <c r="C1416" s="1" t="s">
        <v>2388</v>
      </c>
      <c r="D1416" s="1" t="s">
        <v>2388</v>
      </c>
      <c r="E1416" t="s">
        <v>2389</v>
      </c>
      <c r="F1416" s="2" t="s">
        <v>2390</v>
      </c>
      <c r="G1416" t="s">
        <v>49</v>
      </c>
      <c r="H1416" s="2" t="s">
        <v>50</v>
      </c>
      <c r="I1416" s="2">
        <v>73.5</v>
      </c>
      <c r="J1416" t="s">
        <v>55</v>
      </c>
    </row>
    <row r="1417" spans="1:10" x14ac:dyDescent="0.25">
      <c r="A1417" s="1" t="s">
        <v>2369</v>
      </c>
      <c r="B1417" t="s">
        <v>2370</v>
      </c>
      <c r="C1417" s="1" t="s">
        <v>2391</v>
      </c>
      <c r="D1417" s="1" t="s">
        <v>2391</v>
      </c>
      <c r="E1417" t="s">
        <v>2392</v>
      </c>
      <c r="F1417" s="2" t="s">
        <v>2393</v>
      </c>
      <c r="G1417" t="s">
        <v>49</v>
      </c>
      <c r="H1417" s="2" t="s">
        <v>50</v>
      </c>
      <c r="I1417" s="2">
        <v>75.150000000000006</v>
      </c>
      <c r="J1417" t="s">
        <v>55</v>
      </c>
    </row>
    <row r="1418" spans="1:10" x14ac:dyDescent="0.25">
      <c r="A1418" s="1" t="s">
        <v>2369</v>
      </c>
      <c r="B1418" t="s">
        <v>2370</v>
      </c>
      <c r="C1418" s="1" t="s">
        <v>2394</v>
      </c>
      <c r="D1418" s="1" t="s">
        <v>2394</v>
      </c>
      <c r="E1418" t="s">
        <v>2395</v>
      </c>
      <c r="F1418" s="2" t="s">
        <v>990</v>
      </c>
      <c r="G1418" t="s">
        <v>49</v>
      </c>
      <c r="H1418" s="2" t="s">
        <v>268</v>
      </c>
      <c r="I1418" s="2">
        <v>13.2</v>
      </c>
      <c r="J1418" t="s">
        <v>55</v>
      </c>
    </row>
    <row r="1419" spans="1:10" x14ac:dyDescent="0.25">
      <c r="A1419" s="1" t="s">
        <v>2369</v>
      </c>
      <c r="B1419" t="s">
        <v>2370</v>
      </c>
      <c r="C1419" s="1" t="s">
        <v>2396</v>
      </c>
      <c r="D1419" s="1" t="s">
        <v>2396</v>
      </c>
      <c r="E1419" t="s">
        <v>2397</v>
      </c>
      <c r="F1419" s="2" t="s">
        <v>111</v>
      </c>
      <c r="G1419" t="s">
        <v>49</v>
      </c>
      <c r="H1419" s="2" t="s">
        <v>50</v>
      </c>
      <c r="I1419" s="2">
        <v>17.8</v>
      </c>
    </row>
    <row r="1420" spans="1:10" x14ac:dyDescent="0.25">
      <c r="A1420" s="1" t="s">
        <v>2369</v>
      </c>
      <c r="B1420" t="s">
        <v>2370</v>
      </c>
      <c r="C1420" s="1" t="s">
        <v>7</v>
      </c>
      <c r="D1420" s="1" t="s">
        <v>7</v>
      </c>
      <c r="E1420" t="s">
        <v>8</v>
      </c>
      <c r="F1420" s="2" t="s">
        <v>9</v>
      </c>
      <c r="G1420" t="s">
        <v>10</v>
      </c>
      <c r="H1420" s="2" t="s">
        <v>861</v>
      </c>
      <c r="I1420" s="2">
        <v>103.5</v>
      </c>
    </row>
    <row r="1421" spans="1:10" x14ac:dyDescent="0.25">
      <c r="A1421" s="1" t="s">
        <v>2398</v>
      </c>
      <c r="B1421" t="s">
        <v>2399</v>
      </c>
      <c r="C1421" s="1" t="s">
        <v>2296</v>
      </c>
      <c r="D1421" s="1" t="s">
        <v>2296</v>
      </c>
      <c r="E1421" t="s">
        <v>2297</v>
      </c>
      <c r="F1421" s="2" t="s">
        <v>2341</v>
      </c>
      <c r="G1421" t="s">
        <v>39</v>
      </c>
      <c r="H1421" s="2" t="s">
        <v>605</v>
      </c>
      <c r="I1421" s="2">
        <v>0.55000000000000004</v>
      </c>
    </row>
    <row r="1422" spans="1:10" x14ac:dyDescent="0.25">
      <c r="A1422" s="1" t="s">
        <v>2398</v>
      </c>
      <c r="B1422" t="s">
        <v>2399</v>
      </c>
      <c r="C1422" s="1" t="s">
        <v>2371</v>
      </c>
      <c r="D1422" s="1" t="s">
        <v>2371</v>
      </c>
      <c r="E1422" t="s">
        <v>2372</v>
      </c>
      <c r="F1422" s="2" t="s">
        <v>185</v>
      </c>
      <c r="G1422" t="s">
        <v>49</v>
      </c>
      <c r="H1422" s="2" t="s">
        <v>1130</v>
      </c>
      <c r="I1422" s="2">
        <v>2.93</v>
      </c>
    </row>
    <row r="1423" spans="1:10" x14ac:dyDescent="0.25">
      <c r="A1423" s="1" t="s">
        <v>2398</v>
      </c>
      <c r="B1423" t="s">
        <v>2399</v>
      </c>
      <c r="C1423" s="1" t="s">
        <v>2373</v>
      </c>
      <c r="D1423" s="1" t="s">
        <v>2373</v>
      </c>
      <c r="E1423" t="s">
        <v>2374</v>
      </c>
      <c r="F1423" s="2" t="s">
        <v>2112</v>
      </c>
      <c r="G1423" t="s">
        <v>49</v>
      </c>
      <c r="H1423" s="2" t="s">
        <v>319</v>
      </c>
      <c r="I1423" s="2">
        <v>93</v>
      </c>
    </row>
    <row r="1424" spans="1:10" x14ac:dyDescent="0.25">
      <c r="A1424" s="1" t="s">
        <v>2398</v>
      </c>
      <c r="B1424" t="s">
        <v>2399</v>
      </c>
      <c r="C1424" s="1" t="s">
        <v>2375</v>
      </c>
      <c r="D1424" s="1" t="s">
        <v>2375</v>
      </c>
      <c r="E1424" t="s">
        <v>2376</v>
      </c>
      <c r="F1424" s="2" t="s">
        <v>2377</v>
      </c>
      <c r="G1424" t="s">
        <v>2378</v>
      </c>
      <c r="H1424" s="2" t="s">
        <v>50</v>
      </c>
      <c r="I1424" s="2">
        <v>45.89</v>
      </c>
    </row>
    <row r="1425" spans="1:10" x14ac:dyDescent="0.25">
      <c r="A1425" s="1" t="s">
        <v>2398</v>
      </c>
      <c r="B1425" t="s">
        <v>2399</v>
      </c>
      <c r="C1425" s="1" t="s">
        <v>2379</v>
      </c>
      <c r="D1425" s="1" t="s">
        <v>2379</v>
      </c>
      <c r="E1425" t="s">
        <v>2380</v>
      </c>
      <c r="F1425" s="2" t="s">
        <v>580</v>
      </c>
      <c r="G1425" t="s">
        <v>121</v>
      </c>
      <c r="H1425" s="2" t="s">
        <v>319</v>
      </c>
      <c r="I1425" s="2">
        <v>44.7</v>
      </c>
    </row>
    <row r="1426" spans="1:10" x14ac:dyDescent="0.25">
      <c r="A1426" s="1" t="s">
        <v>2398</v>
      </c>
      <c r="B1426" t="s">
        <v>2399</v>
      </c>
      <c r="C1426" s="1" t="s">
        <v>41</v>
      </c>
      <c r="D1426" s="1" t="s">
        <v>41</v>
      </c>
      <c r="E1426" t="s">
        <v>42</v>
      </c>
      <c r="F1426" s="2" t="s">
        <v>43</v>
      </c>
      <c r="G1426" t="s">
        <v>5</v>
      </c>
      <c r="H1426" s="2" t="s">
        <v>1867</v>
      </c>
      <c r="I1426" s="2">
        <v>0.03</v>
      </c>
    </row>
    <row r="1427" spans="1:10" x14ac:dyDescent="0.25">
      <c r="A1427" s="1" t="s">
        <v>2398</v>
      </c>
      <c r="B1427" t="s">
        <v>2399</v>
      </c>
      <c r="C1427" s="1" t="s">
        <v>2381</v>
      </c>
      <c r="D1427" s="1" t="s">
        <v>2381</v>
      </c>
      <c r="E1427" t="s">
        <v>2382</v>
      </c>
      <c r="F1427" s="2" t="s">
        <v>2383</v>
      </c>
      <c r="G1427" t="s">
        <v>49</v>
      </c>
      <c r="H1427" s="2" t="s">
        <v>2384</v>
      </c>
      <c r="I1427" s="2">
        <v>0.6</v>
      </c>
    </row>
    <row r="1428" spans="1:10" x14ac:dyDescent="0.25">
      <c r="A1428" s="1" t="s">
        <v>2398</v>
      </c>
      <c r="B1428" t="s">
        <v>2399</v>
      </c>
      <c r="C1428" s="1" t="s">
        <v>2385</v>
      </c>
      <c r="D1428" s="1" t="s">
        <v>2385</v>
      </c>
      <c r="E1428" t="s">
        <v>2386</v>
      </c>
      <c r="F1428" s="2" t="s">
        <v>2387</v>
      </c>
      <c r="G1428" t="s">
        <v>49</v>
      </c>
      <c r="H1428" s="2" t="s">
        <v>50</v>
      </c>
      <c r="I1428" s="2">
        <v>152.9</v>
      </c>
      <c r="J1428" t="s">
        <v>55</v>
      </c>
    </row>
    <row r="1429" spans="1:10" x14ac:dyDescent="0.25">
      <c r="A1429" s="1" t="s">
        <v>2398</v>
      </c>
      <c r="B1429" t="s">
        <v>2399</v>
      </c>
      <c r="C1429" s="1" t="s">
        <v>2388</v>
      </c>
      <c r="D1429" s="1" t="s">
        <v>2388</v>
      </c>
      <c r="E1429" t="s">
        <v>2389</v>
      </c>
      <c r="F1429" s="2" t="s">
        <v>2390</v>
      </c>
      <c r="G1429" t="s">
        <v>49</v>
      </c>
      <c r="H1429" s="2" t="s">
        <v>50</v>
      </c>
      <c r="I1429" s="2">
        <v>73.5</v>
      </c>
      <c r="J1429" t="s">
        <v>55</v>
      </c>
    </row>
    <row r="1430" spans="1:10" x14ac:dyDescent="0.25">
      <c r="A1430" s="1" t="s">
        <v>2398</v>
      </c>
      <c r="B1430" t="s">
        <v>2399</v>
      </c>
      <c r="C1430" s="1" t="s">
        <v>2391</v>
      </c>
      <c r="D1430" s="1" t="s">
        <v>2391</v>
      </c>
      <c r="E1430" t="s">
        <v>2392</v>
      </c>
      <c r="F1430" s="2" t="s">
        <v>2393</v>
      </c>
      <c r="G1430" t="s">
        <v>49</v>
      </c>
      <c r="H1430" s="2" t="s">
        <v>50</v>
      </c>
      <c r="I1430" s="2">
        <v>75.150000000000006</v>
      </c>
      <c r="J1430" t="s">
        <v>55</v>
      </c>
    </row>
    <row r="1431" spans="1:10" x14ac:dyDescent="0.25">
      <c r="A1431" s="1" t="s">
        <v>2398</v>
      </c>
      <c r="B1431" t="s">
        <v>2399</v>
      </c>
      <c r="C1431" s="1" t="s">
        <v>2394</v>
      </c>
      <c r="D1431" s="1" t="s">
        <v>2394</v>
      </c>
      <c r="E1431" t="s">
        <v>2395</v>
      </c>
      <c r="F1431" s="2" t="s">
        <v>990</v>
      </c>
      <c r="G1431" t="s">
        <v>49</v>
      </c>
      <c r="H1431" s="2" t="s">
        <v>268</v>
      </c>
      <c r="I1431" s="2">
        <v>13.2</v>
      </c>
      <c r="J1431" t="s">
        <v>55</v>
      </c>
    </row>
    <row r="1432" spans="1:10" x14ac:dyDescent="0.25">
      <c r="A1432" s="1" t="s">
        <v>2398</v>
      </c>
      <c r="B1432" t="s">
        <v>2399</v>
      </c>
      <c r="C1432" s="1" t="s">
        <v>2396</v>
      </c>
      <c r="D1432" s="1" t="s">
        <v>2396</v>
      </c>
      <c r="E1432" t="s">
        <v>2397</v>
      </c>
      <c r="F1432" s="2" t="s">
        <v>111</v>
      </c>
      <c r="G1432" t="s">
        <v>49</v>
      </c>
      <c r="H1432" s="2" t="s">
        <v>50</v>
      </c>
      <c r="I1432" s="2">
        <v>17.8</v>
      </c>
    </row>
    <row r="1433" spans="1:10" x14ac:dyDescent="0.25">
      <c r="A1433" s="1" t="s">
        <v>2398</v>
      </c>
      <c r="B1433" t="s">
        <v>2399</v>
      </c>
      <c r="C1433" s="1" t="s">
        <v>7</v>
      </c>
      <c r="D1433" s="1" t="s">
        <v>7</v>
      </c>
      <c r="E1433" t="s">
        <v>8</v>
      </c>
      <c r="F1433" s="2" t="s">
        <v>9</v>
      </c>
      <c r="G1433" t="s">
        <v>10</v>
      </c>
      <c r="H1433" s="2" t="s">
        <v>861</v>
      </c>
      <c r="I1433" s="2">
        <v>103.5</v>
      </c>
    </row>
    <row r="1434" spans="1:10" x14ac:dyDescent="0.25">
      <c r="A1434" s="1" t="s">
        <v>2400</v>
      </c>
      <c r="B1434" t="s">
        <v>2401</v>
      </c>
      <c r="C1434" s="1" t="s">
        <v>22</v>
      </c>
      <c r="D1434" s="1" t="s">
        <v>22</v>
      </c>
      <c r="E1434" t="s">
        <v>23</v>
      </c>
      <c r="F1434" s="2" t="s">
        <v>24</v>
      </c>
      <c r="G1434" t="s">
        <v>17</v>
      </c>
      <c r="H1434" s="2" t="s">
        <v>2402</v>
      </c>
      <c r="I1434" s="2">
        <v>63.3</v>
      </c>
    </row>
    <row r="1435" spans="1:10" x14ac:dyDescent="0.25">
      <c r="A1435" s="1" t="s">
        <v>2400</v>
      </c>
      <c r="B1435" t="s">
        <v>2401</v>
      </c>
      <c r="C1435" s="1" t="s">
        <v>7</v>
      </c>
      <c r="D1435" s="1" t="s">
        <v>7</v>
      </c>
      <c r="E1435" t="s">
        <v>8</v>
      </c>
      <c r="F1435" s="2" t="s">
        <v>9</v>
      </c>
      <c r="G1435" t="s">
        <v>10</v>
      </c>
      <c r="H1435" s="2" t="s">
        <v>601</v>
      </c>
      <c r="I1435" s="2">
        <v>6.9</v>
      </c>
    </row>
    <row r="1436" spans="1:10" x14ac:dyDescent="0.25">
      <c r="A1436" s="1" t="s">
        <v>2403</v>
      </c>
      <c r="B1436" t="s">
        <v>2404</v>
      </c>
      <c r="C1436" s="1" t="s">
        <v>2405</v>
      </c>
      <c r="D1436" s="1" t="s">
        <v>2405</v>
      </c>
      <c r="E1436" t="s">
        <v>2406</v>
      </c>
      <c r="F1436" s="2" t="s">
        <v>1768</v>
      </c>
      <c r="G1436" t="s">
        <v>17</v>
      </c>
      <c r="H1436" s="2" t="s">
        <v>478</v>
      </c>
      <c r="I1436" s="2">
        <v>0</v>
      </c>
    </row>
    <row r="1437" spans="1:10" x14ac:dyDescent="0.25">
      <c r="A1437" s="1" t="s">
        <v>2403</v>
      </c>
      <c r="B1437" t="s">
        <v>2404</v>
      </c>
      <c r="C1437" s="1" t="s">
        <v>7</v>
      </c>
      <c r="D1437" s="1" t="s">
        <v>7</v>
      </c>
      <c r="E1437" t="s">
        <v>8</v>
      </c>
      <c r="F1437" s="2" t="s">
        <v>9</v>
      </c>
      <c r="G1437" t="s">
        <v>10</v>
      </c>
      <c r="H1437" s="2" t="s">
        <v>2407</v>
      </c>
      <c r="I1437" s="2">
        <v>5.55</v>
      </c>
    </row>
    <row r="1438" spans="1:10" x14ac:dyDescent="0.25">
      <c r="A1438" s="1" t="s">
        <v>2408</v>
      </c>
      <c r="B1438" t="s">
        <v>2409</v>
      </c>
      <c r="C1438" s="1" t="s">
        <v>2197</v>
      </c>
      <c r="D1438" s="1" t="s">
        <v>2197</v>
      </c>
      <c r="E1438" t="s">
        <v>2198</v>
      </c>
      <c r="F1438" s="2" t="s">
        <v>1768</v>
      </c>
      <c r="G1438" t="s">
        <v>49</v>
      </c>
      <c r="H1438" s="2" t="s">
        <v>50</v>
      </c>
      <c r="I1438" s="2">
        <v>0</v>
      </c>
    </row>
    <row r="1439" spans="1:10" x14ac:dyDescent="0.25">
      <c r="A1439" s="1" t="s">
        <v>2408</v>
      </c>
      <c r="B1439" t="s">
        <v>2409</v>
      </c>
      <c r="C1439" s="1" t="s">
        <v>41</v>
      </c>
      <c r="D1439" s="1" t="s">
        <v>41</v>
      </c>
      <c r="E1439" t="s">
        <v>42</v>
      </c>
      <c r="F1439" s="2" t="s">
        <v>43</v>
      </c>
      <c r="G1439" t="s">
        <v>5</v>
      </c>
      <c r="H1439" s="2" t="s">
        <v>550</v>
      </c>
      <c r="I1439" s="2">
        <v>0.02</v>
      </c>
    </row>
    <row r="1440" spans="1:10" x14ac:dyDescent="0.25">
      <c r="A1440" s="1" t="s">
        <v>2408</v>
      </c>
      <c r="B1440" t="s">
        <v>2409</v>
      </c>
      <c r="C1440" s="1" t="s">
        <v>7</v>
      </c>
      <c r="D1440" s="1" t="s">
        <v>7</v>
      </c>
      <c r="E1440" t="s">
        <v>8</v>
      </c>
      <c r="F1440" s="2" t="s">
        <v>9</v>
      </c>
      <c r="G1440" t="s">
        <v>10</v>
      </c>
      <c r="H1440" s="2" t="s">
        <v>33</v>
      </c>
      <c r="I1440" s="2">
        <v>9.1999999999999993</v>
      </c>
    </row>
    <row r="1441" spans="1:9" x14ac:dyDescent="0.25">
      <c r="A1441" s="1" t="s">
        <v>2410</v>
      </c>
      <c r="B1441" t="s">
        <v>2411</v>
      </c>
      <c r="C1441" s="1" t="s">
        <v>2412</v>
      </c>
      <c r="D1441" s="1" t="s">
        <v>2412</v>
      </c>
      <c r="E1441" t="s">
        <v>2413</v>
      </c>
      <c r="F1441" s="2" t="s">
        <v>302</v>
      </c>
      <c r="G1441" t="s">
        <v>121</v>
      </c>
      <c r="H1441" s="2" t="s">
        <v>50</v>
      </c>
      <c r="I1441" s="2">
        <v>4.5999999999999996</v>
      </c>
    </row>
    <row r="1442" spans="1:9" x14ac:dyDescent="0.25">
      <c r="A1442" s="1" t="s">
        <v>2410</v>
      </c>
      <c r="B1442" t="s">
        <v>2411</v>
      </c>
      <c r="C1442" s="1" t="s">
        <v>684</v>
      </c>
      <c r="D1442" s="1" t="s">
        <v>684</v>
      </c>
      <c r="E1442" t="s">
        <v>685</v>
      </c>
      <c r="F1442" s="2" t="s">
        <v>686</v>
      </c>
      <c r="G1442" t="s">
        <v>49</v>
      </c>
      <c r="H1442" s="2" t="s">
        <v>2414</v>
      </c>
      <c r="I1442" s="2">
        <v>31.4</v>
      </c>
    </row>
    <row r="1443" spans="1:9" x14ac:dyDescent="0.25">
      <c r="A1443" s="1" t="s">
        <v>2410</v>
      </c>
      <c r="B1443" t="s">
        <v>2411</v>
      </c>
      <c r="C1443" s="1" t="s">
        <v>7</v>
      </c>
      <c r="D1443" s="1" t="s">
        <v>7</v>
      </c>
      <c r="E1443" t="s">
        <v>8</v>
      </c>
      <c r="F1443" s="2" t="s">
        <v>9</v>
      </c>
      <c r="G1443" t="s">
        <v>10</v>
      </c>
      <c r="H1443" s="2" t="s">
        <v>2415</v>
      </c>
      <c r="I1443" s="2">
        <v>12</v>
      </c>
    </row>
    <row r="1444" spans="1:9" x14ac:dyDescent="0.25">
      <c r="A1444" s="1" t="s">
        <v>2416</v>
      </c>
      <c r="B1444" t="s">
        <v>2417</v>
      </c>
      <c r="C1444" s="1" t="s">
        <v>2418</v>
      </c>
      <c r="D1444" s="1" t="s">
        <v>2418</v>
      </c>
      <c r="E1444" t="s">
        <v>2419</v>
      </c>
      <c r="F1444" s="2" t="s">
        <v>2420</v>
      </c>
      <c r="G1444" t="s">
        <v>49</v>
      </c>
      <c r="H1444" s="2" t="s">
        <v>50</v>
      </c>
      <c r="I1444" s="2">
        <v>3.26</v>
      </c>
    </row>
    <row r="1445" spans="1:9" x14ac:dyDescent="0.25">
      <c r="A1445" s="1" t="s">
        <v>2416</v>
      </c>
      <c r="B1445" t="s">
        <v>2417</v>
      </c>
      <c r="C1445" s="1" t="s">
        <v>41</v>
      </c>
      <c r="D1445" s="1" t="s">
        <v>41</v>
      </c>
      <c r="E1445" t="s">
        <v>42</v>
      </c>
      <c r="F1445" s="2" t="s">
        <v>513</v>
      </c>
      <c r="G1445" t="s">
        <v>5</v>
      </c>
      <c r="H1445" s="2" t="s">
        <v>559</v>
      </c>
      <c r="I1445" s="2">
        <v>0.04</v>
      </c>
    </row>
    <row r="1446" spans="1:9" x14ac:dyDescent="0.25">
      <c r="A1446" s="1" t="s">
        <v>2416</v>
      </c>
      <c r="B1446" t="s">
        <v>2417</v>
      </c>
      <c r="C1446" s="1" t="s">
        <v>7</v>
      </c>
      <c r="D1446" s="1" t="s">
        <v>7</v>
      </c>
      <c r="E1446" t="s">
        <v>8</v>
      </c>
      <c r="F1446" s="2" t="s">
        <v>9</v>
      </c>
      <c r="G1446" t="s">
        <v>10</v>
      </c>
      <c r="H1446" s="2" t="s">
        <v>367</v>
      </c>
      <c r="I1446" s="2">
        <v>2.2999999999999998</v>
      </c>
    </row>
    <row r="1447" spans="1:9" x14ac:dyDescent="0.25">
      <c r="A1447" s="1" t="s">
        <v>2421</v>
      </c>
      <c r="B1447" t="s">
        <v>2422</v>
      </c>
      <c r="C1447" s="1" t="s">
        <v>649</v>
      </c>
      <c r="D1447" s="1" t="s">
        <v>649</v>
      </c>
      <c r="E1447" t="s">
        <v>650</v>
      </c>
      <c r="F1447" s="2" t="s">
        <v>2303</v>
      </c>
      <c r="G1447" t="s">
        <v>39</v>
      </c>
      <c r="H1447" s="2" t="s">
        <v>605</v>
      </c>
      <c r="I1447" s="2">
        <v>0.35</v>
      </c>
    </row>
    <row r="1448" spans="1:9" x14ac:dyDescent="0.25">
      <c r="A1448" s="1" t="s">
        <v>2421</v>
      </c>
      <c r="B1448" t="s">
        <v>2422</v>
      </c>
      <c r="C1448" s="1" t="s">
        <v>2343</v>
      </c>
      <c r="D1448" s="1" t="s">
        <v>2343</v>
      </c>
      <c r="E1448" t="s">
        <v>2344</v>
      </c>
      <c r="F1448" s="2" t="s">
        <v>2345</v>
      </c>
      <c r="G1448" t="s">
        <v>39</v>
      </c>
      <c r="H1448" s="2" t="s">
        <v>605</v>
      </c>
      <c r="I1448" s="2">
        <v>0.19</v>
      </c>
    </row>
    <row r="1449" spans="1:9" x14ac:dyDescent="0.25">
      <c r="A1449" s="1" t="s">
        <v>2421</v>
      </c>
      <c r="B1449" t="s">
        <v>2422</v>
      </c>
      <c r="C1449" s="1" t="s">
        <v>2423</v>
      </c>
      <c r="D1449" s="1" t="s">
        <v>2423</v>
      </c>
      <c r="E1449" t="s">
        <v>2424</v>
      </c>
      <c r="F1449" s="2" t="s">
        <v>2425</v>
      </c>
      <c r="G1449" t="s">
        <v>39</v>
      </c>
      <c r="H1449" s="2" t="s">
        <v>605</v>
      </c>
      <c r="I1449" s="2">
        <v>1.19</v>
      </c>
    </row>
    <row r="1450" spans="1:9" x14ac:dyDescent="0.25">
      <c r="A1450" s="1" t="s">
        <v>2421</v>
      </c>
      <c r="B1450" t="s">
        <v>2422</v>
      </c>
      <c r="C1450" s="1" t="s">
        <v>2426</v>
      </c>
      <c r="D1450" s="1" t="s">
        <v>2426</v>
      </c>
      <c r="E1450" t="s">
        <v>2427</v>
      </c>
      <c r="F1450" s="2" t="s">
        <v>2428</v>
      </c>
      <c r="G1450" t="s">
        <v>121</v>
      </c>
      <c r="H1450" s="2" t="s">
        <v>92</v>
      </c>
      <c r="I1450" s="2">
        <v>2.66</v>
      </c>
    </row>
    <row r="1451" spans="1:9" x14ac:dyDescent="0.25">
      <c r="A1451" s="1" t="s">
        <v>2421</v>
      </c>
      <c r="B1451" t="s">
        <v>2422</v>
      </c>
      <c r="C1451" s="1" t="s">
        <v>2379</v>
      </c>
      <c r="D1451" s="1" t="s">
        <v>2379</v>
      </c>
      <c r="E1451" t="s">
        <v>2380</v>
      </c>
      <c r="F1451" s="2" t="s">
        <v>580</v>
      </c>
      <c r="G1451" t="s">
        <v>121</v>
      </c>
      <c r="H1451" s="2" t="s">
        <v>92</v>
      </c>
      <c r="I1451" s="2">
        <v>14.9</v>
      </c>
    </row>
    <row r="1452" spans="1:9" x14ac:dyDescent="0.25">
      <c r="A1452" s="1" t="s">
        <v>2421</v>
      </c>
      <c r="B1452" t="s">
        <v>2422</v>
      </c>
      <c r="C1452" s="1" t="s">
        <v>2429</v>
      </c>
      <c r="D1452" s="1" t="s">
        <v>2429</v>
      </c>
      <c r="E1452" t="s">
        <v>2430</v>
      </c>
      <c r="F1452" s="2" t="s">
        <v>2431</v>
      </c>
      <c r="G1452" t="s">
        <v>121</v>
      </c>
      <c r="H1452" s="2" t="s">
        <v>50</v>
      </c>
      <c r="I1452" s="2">
        <v>31.3</v>
      </c>
    </row>
    <row r="1453" spans="1:9" x14ac:dyDescent="0.25">
      <c r="A1453" s="1" t="s">
        <v>2421</v>
      </c>
      <c r="B1453" t="s">
        <v>2422</v>
      </c>
      <c r="C1453" s="1" t="s">
        <v>2432</v>
      </c>
      <c r="D1453" s="1" t="s">
        <v>2432</v>
      </c>
      <c r="E1453" t="s">
        <v>2433</v>
      </c>
      <c r="F1453" s="2" t="s">
        <v>2434</v>
      </c>
      <c r="G1453" t="s">
        <v>121</v>
      </c>
      <c r="H1453" s="2" t="s">
        <v>50</v>
      </c>
      <c r="I1453" s="2">
        <v>31.8</v>
      </c>
    </row>
    <row r="1454" spans="1:9" x14ac:dyDescent="0.25">
      <c r="A1454" s="1" t="s">
        <v>2421</v>
      </c>
      <c r="B1454" t="s">
        <v>2422</v>
      </c>
      <c r="C1454" s="1" t="s">
        <v>2435</v>
      </c>
      <c r="D1454" s="1" t="s">
        <v>2435</v>
      </c>
      <c r="E1454" t="s">
        <v>2436</v>
      </c>
      <c r="F1454" s="2" t="s">
        <v>70</v>
      </c>
      <c r="G1454" t="s">
        <v>121</v>
      </c>
      <c r="H1454" s="2" t="s">
        <v>50</v>
      </c>
      <c r="I1454" s="2">
        <v>5</v>
      </c>
    </row>
    <row r="1455" spans="1:9" x14ac:dyDescent="0.25">
      <c r="A1455" s="1" t="s">
        <v>2421</v>
      </c>
      <c r="B1455" t="s">
        <v>2422</v>
      </c>
      <c r="C1455" s="1" t="s">
        <v>684</v>
      </c>
      <c r="D1455" s="1" t="s">
        <v>684</v>
      </c>
      <c r="E1455" t="s">
        <v>685</v>
      </c>
      <c r="F1455" s="2" t="s">
        <v>686</v>
      </c>
      <c r="G1455" t="s">
        <v>49</v>
      </c>
      <c r="H1455" s="2" t="s">
        <v>2437</v>
      </c>
      <c r="I1455" s="2">
        <v>13.5</v>
      </c>
    </row>
    <row r="1456" spans="1:9" x14ac:dyDescent="0.25">
      <c r="A1456" s="1" t="s">
        <v>2421</v>
      </c>
      <c r="B1456" t="s">
        <v>2422</v>
      </c>
      <c r="C1456" s="1" t="s">
        <v>688</v>
      </c>
      <c r="D1456" s="1" t="s">
        <v>688</v>
      </c>
      <c r="E1456" t="s">
        <v>810</v>
      </c>
      <c r="F1456" s="2" t="s">
        <v>9</v>
      </c>
      <c r="G1456" t="s">
        <v>10</v>
      </c>
      <c r="H1456" s="2" t="s">
        <v>224</v>
      </c>
      <c r="I1456" s="2">
        <v>6</v>
      </c>
    </row>
    <row r="1457" spans="1:9" x14ac:dyDescent="0.25">
      <c r="A1457" s="1" t="s">
        <v>2421</v>
      </c>
      <c r="B1457" t="s">
        <v>2422</v>
      </c>
      <c r="C1457" s="1" t="s">
        <v>7</v>
      </c>
      <c r="D1457" s="1" t="s">
        <v>7</v>
      </c>
      <c r="E1457" t="s">
        <v>8</v>
      </c>
      <c r="F1457" s="2" t="s">
        <v>9</v>
      </c>
      <c r="G1457" t="s">
        <v>10</v>
      </c>
      <c r="H1457" s="2" t="s">
        <v>2438</v>
      </c>
      <c r="I1457" s="2">
        <v>42.16</v>
      </c>
    </row>
    <row r="1458" spans="1:9" x14ac:dyDescent="0.25">
      <c r="A1458" s="1" t="s">
        <v>2439</v>
      </c>
      <c r="B1458" t="s">
        <v>2440</v>
      </c>
      <c r="C1458" s="1" t="s">
        <v>1447</v>
      </c>
      <c r="D1458" s="1" t="s">
        <v>1447</v>
      </c>
      <c r="E1458" t="s">
        <v>1448</v>
      </c>
      <c r="F1458" s="2" t="s">
        <v>31</v>
      </c>
      <c r="G1458" t="s">
        <v>5</v>
      </c>
      <c r="H1458" s="2" t="s">
        <v>2441</v>
      </c>
      <c r="I1458" s="2">
        <v>59.7</v>
      </c>
    </row>
    <row r="1459" spans="1:9" x14ac:dyDescent="0.25">
      <c r="A1459" s="1" t="s">
        <v>2439</v>
      </c>
      <c r="B1459" t="s">
        <v>2440</v>
      </c>
      <c r="C1459" s="1" t="s">
        <v>541</v>
      </c>
      <c r="D1459" s="1" t="s">
        <v>541</v>
      </c>
      <c r="E1459" t="s">
        <v>542</v>
      </c>
      <c r="F1459" s="2" t="s">
        <v>9</v>
      </c>
      <c r="G1459" t="s">
        <v>10</v>
      </c>
      <c r="H1459" s="2" t="s">
        <v>1130</v>
      </c>
      <c r="I1459" s="2">
        <v>34.5</v>
      </c>
    </row>
    <row r="1460" spans="1:9" x14ac:dyDescent="0.25">
      <c r="A1460" s="1" t="s">
        <v>2442</v>
      </c>
      <c r="B1460" t="s">
        <v>2443</v>
      </c>
      <c r="C1460" s="1" t="s">
        <v>1447</v>
      </c>
      <c r="D1460" s="1" t="s">
        <v>1447</v>
      </c>
      <c r="E1460" t="s">
        <v>1448</v>
      </c>
      <c r="F1460" s="2" t="s">
        <v>31</v>
      </c>
      <c r="G1460" t="s">
        <v>5</v>
      </c>
      <c r="H1460" s="2" t="s">
        <v>2444</v>
      </c>
      <c r="I1460" s="2">
        <v>53.9</v>
      </c>
    </row>
    <row r="1461" spans="1:9" x14ac:dyDescent="0.25">
      <c r="A1461" s="1" t="s">
        <v>2442</v>
      </c>
      <c r="B1461" t="s">
        <v>2443</v>
      </c>
      <c r="C1461" s="1" t="s">
        <v>541</v>
      </c>
      <c r="D1461" s="1" t="s">
        <v>541</v>
      </c>
      <c r="E1461" t="s">
        <v>542</v>
      </c>
      <c r="F1461" s="2" t="s">
        <v>9</v>
      </c>
      <c r="G1461" t="s">
        <v>10</v>
      </c>
      <c r="H1461" s="2" t="s">
        <v>1254</v>
      </c>
      <c r="I1461" s="2">
        <v>16.100000000000001</v>
      </c>
    </row>
    <row r="1462" spans="1:9" x14ac:dyDescent="0.25">
      <c r="A1462" s="1" t="s">
        <v>2445</v>
      </c>
      <c r="B1462" t="s">
        <v>2446</v>
      </c>
      <c r="C1462" s="1" t="s">
        <v>29</v>
      </c>
      <c r="D1462" s="1" t="s">
        <v>29</v>
      </c>
      <c r="E1462" t="s">
        <v>30</v>
      </c>
      <c r="F1462" s="2" t="s">
        <v>31</v>
      </c>
      <c r="G1462" t="s">
        <v>5</v>
      </c>
      <c r="H1462" s="2" t="s">
        <v>2447</v>
      </c>
      <c r="I1462" s="2">
        <v>6.55</v>
      </c>
    </row>
    <row r="1463" spans="1:9" x14ac:dyDescent="0.25">
      <c r="A1463" s="1" t="s">
        <v>2445</v>
      </c>
      <c r="B1463" t="s">
        <v>2446</v>
      </c>
      <c r="C1463" s="1" t="s">
        <v>541</v>
      </c>
      <c r="D1463" s="1" t="s">
        <v>541</v>
      </c>
      <c r="E1463" t="s">
        <v>542</v>
      </c>
      <c r="F1463" s="2" t="s">
        <v>9</v>
      </c>
      <c r="G1463" t="s">
        <v>10</v>
      </c>
      <c r="H1463" s="2" t="s">
        <v>1254</v>
      </c>
      <c r="I1463" s="2">
        <v>16.100000000000001</v>
      </c>
    </row>
    <row r="1464" spans="1:9" x14ac:dyDescent="0.25">
      <c r="A1464" s="1" t="s">
        <v>2448</v>
      </c>
      <c r="B1464" t="s">
        <v>2449</v>
      </c>
      <c r="C1464" s="1" t="s">
        <v>2450</v>
      </c>
      <c r="D1464" s="1" t="s">
        <v>2450</v>
      </c>
      <c r="E1464" t="s">
        <v>2451</v>
      </c>
      <c r="F1464" s="2" t="s">
        <v>31</v>
      </c>
      <c r="G1464" t="s">
        <v>5</v>
      </c>
      <c r="H1464" s="2" t="s">
        <v>2452</v>
      </c>
      <c r="I1464" s="2">
        <v>11.55</v>
      </c>
    </row>
    <row r="1465" spans="1:9" x14ac:dyDescent="0.25">
      <c r="A1465" s="1" t="s">
        <v>2448</v>
      </c>
      <c r="B1465" t="s">
        <v>2449</v>
      </c>
      <c r="C1465" s="1" t="s">
        <v>541</v>
      </c>
      <c r="D1465" s="1" t="s">
        <v>541</v>
      </c>
      <c r="E1465" t="s">
        <v>542</v>
      </c>
      <c r="F1465" s="2" t="s">
        <v>9</v>
      </c>
      <c r="G1465" t="s">
        <v>10</v>
      </c>
      <c r="H1465" s="2" t="s">
        <v>1254</v>
      </c>
      <c r="I1465" s="2">
        <v>16.100000000000001</v>
      </c>
    </row>
    <row r="1466" spans="1:9" x14ac:dyDescent="0.25">
      <c r="A1466" s="1" t="s">
        <v>2453</v>
      </c>
      <c r="B1466" t="s">
        <v>2454</v>
      </c>
      <c r="C1466" s="1" t="s">
        <v>29</v>
      </c>
      <c r="D1466" s="1" t="s">
        <v>29</v>
      </c>
      <c r="E1466" t="s">
        <v>30</v>
      </c>
      <c r="F1466" s="2" t="s">
        <v>31</v>
      </c>
      <c r="G1466" t="s">
        <v>5</v>
      </c>
      <c r="H1466" s="2" t="s">
        <v>2455</v>
      </c>
      <c r="I1466" s="2">
        <v>5.85</v>
      </c>
    </row>
    <row r="1467" spans="1:9" x14ac:dyDescent="0.25">
      <c r="A1467" s="1" t="s">
        <v>2453</v>
      </c>
      <c r="B1467" t="s">
        <v>2454</v>
      </c>
      <c r="C1467" s="1" t="s">
        <v>7</v>
      </c>
      <c r="D1467" s="1" t="s">
        <v>7</v>
      </c>
      <c r="E1467" t="s">
        <v>8</v>
      </c>
      <c r="F1467" s="2" t="s">
        <v>9</v>
      </c>
      <c r="G1467" t="s">
        <v>10</v>
      </c>
      <c r="H1467" s="2" t="s">
        <v>1254</v>
      </c>
      <c r="I1467" s="2">
        <v>16.100000000000001</v>
      </c>
    </row>
    <row r="1468" spans="1:9" x14ac:dyDescent="0.25">
      <c r="A1468" s="1" t="s">
        <v>2456</v>
      </c>
      <c r="B1468" t="s">
        <v>2457</v>
      </c>
      <c r="C1468" s="1" t="s">
        <v>2458</v>
      </c>
      <c r="D1468" s="1" t="s">
        <v>2458</v>
      </c>
      <c r="E1468" t="s">
        <v>2459</v>
      </c>
      <c r="F1468" s="2" t="s">
        <v>384</v>
      </c>
      <c r="G1468" t="s">
        <v>5</v>
      </c>
      <c r="H1468" s="2" t="s">
        <v>2460</v>
      </c>
      <c r="I1468" s="2">
        <v>2.4</v>
      </c>
    </row>
    <row r="1469" spans="1:9" x14ac:dyDescent="0.25">
      <c r="A1469" s="1" t="s">
        <v>2456</v>
      </c>
      <c r="B1469" t="s">
        <v>2457</v>
      </c>
      <c r="C1469" s="1" t="s">
        <v>7</v>
      </c>
      <c r="D1469" s="1" t="s">
        <v>7</v>
      </c>
      <c r="E1469" t="s">
        <v>8</v>
      </c>
      <c r="F1469" s="2" t="s">
        <v>9</v>
      </c>
      <c r="G1469" t="s">
        <v>10</v>
      </c>
      <c r="H1469" s="2" t="s">
        <v>19</v>
      </c>
      <c r="I1469" s="2">
        <v>4.5999999999999996</v>
      </c>
    </row>
    <row r="1470" spans="1:9" x14ac:dyDescent="0.25">
      <c r="A1470" s="1" t="s">
        <v>2461</v>
      </c>
      <c r="B1470" t="s">
        <v>2462</v>
      </c>
      <c r="C1470" s="1" t="s">
        <v>2463</v>
      </c>
      <c r="D1470" s="1" t="s">
        <v>2463</v>
      </c>
      <c r="E1470" t="s">
        <v>2464</v>
      </c>
      <c r="F1470" s="2" t="s">
        <v>216</v>
      </c>
      <c r="G1470" t="s">
        <v>5</v>
      </c>
      <c r="H1470" s="2" t="s">
        <v>1199</v>
      </c>
      <c r="I1470" s="2">
        <v>5</v>
      </c>
    </row>
    <row r="1471" spans="1:9" x14ac:dyDescent="0.25">
      <c r="A1471" s="1" t="s">
        <v>2461</v>
      </c>
      <c r="B1471" t="s">
        <v>2462</v>
      </c>
      <c r="C1471" s="1" t="s">
        <v>432</v>
      </c>
      <c r="D1471" s="1" t="s">
        <v>432</v>
      </c>
      <c r="E1471" t="s">
        <v>433</v>
      </c>
      <c r="F1471" s="2" t="s">
        <v>434</v>
      </c>
      <c r="G1471" t="s">
        <v>435</v>
      </c>
      <c r="H1471" s="2" t="s">
        <v>50</v>
      </c>
      <c r="I1471" s="2">
        <v>1.1000000000000001</v>
      </c>
    </row>
    <row r="1472" spans="1:9" x14ac:dyDescent="0.25">
      <c r="A1472" s="1" t="s">
        <v>2461</v>
      </c>
      <c r="B1472" t="s">
        <v>2462</v>
      </c>
      <c r="C1472" s="1" t="s">
        <v>541</v>
      </c>
      <c r="D1472" s="1" t="s">
        <v>541</v>
      </c>
      <c r="E1472" t="s">
        <v>542</v>
      </c>
      <c r="F1472" s="2" t="s">
        <v>9</v>
      </c>
      <c r="G1472" t="s">
        <v>10</v>
      </c>
      <c r="H1472" s="2" t="s">
        <v>33</v>
      </c>
      <c r="I1472" s="2">
        <v>9.1999999999999993</v>
      </c>
    </row>
    <row r="1473" spans="1:9" x14ac:dyDescent="0.25">
      <c r="A1473" s="1" t="s">
        <v>2465</v>
      </c>
      <c r="B1473" t="s">
        <v>2466</v>
      </c>
      <c r="C1473" s="1" t="s">
        <v>2467</v>
      </c>
      <c r="D1473" s="1" t="s">
        <v>2467</v>
      </c>
      <c r="E1473" t="s">
        <v>2468</v>
      </c>
      <c r="F1473" s="2" t="s">
        <v>2469</v>
      </c>
      <c r="G1473" t="s">
        <v>5</v>
      </c>
      <c r="H1473" s="2" t="s">
        <v>2470</v>
      </c>
      <c r="I1473" s="2">
        <v>8.3000000000000007</v>
      </c>
    </row>
    <row r="1474" spans="1:9" x14ac:dyDescent="0.25">
      <c r="A1474" s="1" t="s">
        <v>2465</v>
      </c>
      <c r="B1474" t="s">
        <v>2466</v>
      </c>
      <c r="C1474" s="1" t="s">
        <v>7</v>
      </c>
      <c r="D1474" s="1" t="s">
        <v>7</v>
      </c>
      <c r="E1474" t="s">
        <v>8</v>
      </c>
      <c r="F1474" s="2" t="s">
        <v>9</v>
      </c>
      <c r="G1474" t="s">
        <v>10</v>
      </c>
      <c r="H1474" s="2" t="s">
        <v>2471</v>
      </c>
      <c r="I1474" s="2">
        <v>12.1</v>
      </c>
    </row>
    <row r="1475" spans="1:9" x14ac:dyDescent="0.25">
      <c r="A1475" s="1" t="s">
        <v>2472</v>
      </c>
      <c r="B1475" t="s">
        <v>2473</v>
      </c>
      <c r="C1475" s="1" t="s">
        <v>2474</v>
      </c>
      <c r="D1475" s="1" t="s">
        <v>2474</v>
      </c>
      <c r="E1475" t="s">
        <v>2475</v>
      </c>
      <c r="F1475" s="2" t="s">
        <v>2469</v>
      </c>
      <c r="G1475" t="s">
        <v>5</v>
      </c>
      <c r="H1475" s="2" t="s">
        <v>2476</v>
      </c>
      <c r="I1475" s="2">
        <v>1.7</v>
      </c>
    </row>
    <row r="1476" spans="1:9" x14ac:dyDescent="0.25">
      <c r="A1476" s="1" t="s">
        <v>2472</v>
      </c>
      <c r="B1476" t="s">
        <v>2473</v>
      </c>
      <c r="C1476" s="1" t="s">
        <v>432</v>
      </c>
      <c r="D1476" s="1" t="s">
        <v>432</v>
      </c>
      <c r="E1476" t="s">
        <v>433</v>
      </c>
      <c r="F1476" s="2" t="s">
        <v>434</v>
      </c>
      <c r="G1476" t="s">
        <v>435</v>
      </c>
      <c r="H1476" s="2" t="s">
        <v>50</v>
      </c>
      <c r="I1476" s="2">
        <v>1.1000000000000001</v>
      </c>
    </row>
    <row r="1477" spans="1:9" x14ac:dyDescent="0.25">
      <c r="A1477" s="1" t="s">
        <v>2472</v>
      </c>
      <c r="B1477" t="s">
        <v>2473</v>
      </c>
      <c r="C1477" s="1" t="s">
        <v>7</v>
      </c>
      <c r="D1477" s="1" t="s">
        <v>7</v>
      </c>
      <c r="E1477" t="s">
        <v>8</v>
      </c>
      <c r="F1477" s="2" t="s">
        <v>9</v>
      </c>
      <c r="G1477" t="s">
        <v>10</v>
      </c>
      <c r="H1477" s="2" t="s">
        <v>1211</v>
      </c>
      <c r="I1477" s="2">
        <v>8.15</v>
      </c>
    </row>
    <row r="1478" spans="1:9" x14ac:dyDescent="0.25">
      <c r="A1478" s="1" t="s">
        <v>2477</v>
      </c>
      <c r="B1478" t="s">
        <v>2478</v>
      </c>
      <c r="C1478" s="1" t="s">
        <v>2479</v>
      </c>
      <c r="D1478" s="1" t="s">
        <v>2479</v>
      </c>
      <c r="E1478" t="s">
        <v>2480</v>
      </c>
      <c r="F1478" s="2" t="s">
        <v>2469</v>
      </c>
      <c r="G1478" t="s">
        <v>5</v>
      </c>
      <c r="H1478" s="2" t="s">
        <v>2481</v>
      </c>
      <c r="I1478" s="2">
        <v>1.1000000000000001</v>
      </c>
    </row>
    <row r="1479" spans="1:9" x14ac:dyDescent="0.25">
      <c r="A1479" s="1" t="s">
        <v>2477</v>
      </c>
      <c r="B1479" t="s">
        <v>2478</v>
      </c>
      <c r="C1479" s="1" t="s">
        <v>432</v>
      </c>
      <c r="D1479" s="1" t="s">
        <v>432</v>
      </c>
      <c r="E1479" t="s">
        <v>433</v>
      </c>
      <c r="F1479" s="2" t="s">
        <v>434</v>
      </c>
      <c r="G1479" t="s">
        <v>435</v>
      </c>
      <c r="H1479" s="2" t="s">
        <v>50</v>
      </c>
      <c r="I1479" s="2">
        <v>1.1000000000000001</v>
      </c>
    </row>
    <row r="1480" spans="1:9" x14ac:dyDescent="0.25">
      <c r="A1480" s="1" t="s">
        <v>2477</v>
      </c>
      <c r="B1480" t="s">
        <v>2478</v>
      </c>
      <c r="C1480" s="1" t="s">
        <v>7</v>
      </c>
      <c r="D1480" s="1" t="s">
        <v>7</v>
      </c>
      <c r="E1480" t="s">
        <v>8</v>
      </c>
      <c r="F1480" s="2" t="s">
        <v>9</v>
      </c>
      <c r="G1480" t="s">
        <v>10</v>
      </c>
      <c r="H1480" s="2" t="s">
        <v>2482</v>
      </c>
      <c r="I1480" s="2">
        <v>5.3</v>
      </c>
    </row>
    <row r="1481" spans="1:9" x14ac:dyDescent="0.25">
      <c r="A1481" s="1" t="s">
        <v>2483</v>
      </c>
      <c r="B1481" t="s">
        <v>2484</v>
      </c>
      <c r="C1481" s="1" t="s">
        <v>2467</v>
      </c>
      <c r="D1481" s="1" t="s">
        <v>2467</v>
      </c>
      <c r="E1481" t="s">
        <v>2468</v>
      </c>
      <c r="F1481" s="2" t="s">
        <v>2469</v>
      </c>
      <c r="G1481" t="s">
        <v>5</v>
      </c>
      <c r="H1481" s="2" t="s">
        <v>2315</v>
      </c>
      <c r="I1481" s="2">
        <v>10.79</v>
      </c>
    </row>
    <row r="1482" spans="1:9" x14ac:dyDescent="0.25">
      <c r="A1482" s="1" t="s">
        <v>2483</v>
      </c>
      <c r="B1482" t="s">
        <v>2484</v>
      </c>
      <c r="C1482" s="1" t="s">
        <v>2485</v>
      </c>
      <c r="D1482" s="1" t="s">
        <v>2485</v>
      </c>
      <c r="E1482" t="s">
        <v>2486</v>
      </c>
      <c r="F1482" s="2" t="s">
        <v>2487</v>
      </c>
      <c r="G1482" t="s">
        <v>121</v>
      </c>
      <c r="H1482" s="2" t="s">
        <v>50</v>
      </c>
      <c r="I1482" s="2">
        <v>23.45</v>
      </c>
    </row>
    <row r="1483" spans="1:9" x14ac:dyDescent="0.25">
      <c r="A1483" s="1" t="s">
        <v>2483</v>
      </c>
      <c r="B1483" t="s">
        <v>2484</v>
      </c>
      <c r="C1483" s="1" t="s">
        <v>432</v>
      </c>
      <c r="D1483" s="1" t="s">
        <v>432</v>
      </c>
      <c r="E1483" t="s">
        <v>433</v>
      </c>
      <c r="F1483" s="2" t="s">
        <v>434</v>
      </c>
      <c r="G1483" t="s">
        <v>435</v>
      </c>
      <c r="H1483" s="2" t="s">
        <v>2488</v>
      </c>
      <c r="I1483" s="2">
        <v>8.5500000000000007</v>
      </c>
    </row>
    <row r="1484" spans="1:9" x14ac:dyDescent="0.25">
      <c r="A1484" s="1" t="s">
        <v>2483</v>
      </c>
      <c r="B1484" t="s">
        <v>2484</v>
      </c>
      <c r="C1484" s="1" t="s">
        <v>7</v>
      </c>
      <c r="D1484" s="1" t="s">
        <v>7</v>
      </c>
      <c r="E1484" t="s">
        <v>8</v>
      </c>
      <c r="F1484" s="2" t="s">
        <v>9</v>
      </c>
      <c r="G1484" t="s">
        <v>10</v>
      </c>
      <c r="H1484" s="2" t="s">
        <v>2489</v>
      </c>
      <c r="I1484" s="2">
        <v>12.13</v>
      </c>
    </row>
    <row r="1485" spans="1:9" x14ac:dyDescent="0.25">
      <c r="A1485" s="1" t="s">
        <v>2490</v>
      </c>
      <c r="B1485" t="s">
        <v>2491</v>
      </c>
      <c r="C1485" s="1" t="s">
        <v>2467</v>
      </c>
      <c r="D1485" s="1" t="s">
        <v>2467</v>
      </c>
      <c r="E1485" t="s">
        <v>2468</v>
      </c>
      <c r="F1485" s="2" t="s">
        <v>2469</v>
      </c>
      <c r="G1485" t="s">
        <v>5</v>
      </c>
      <c r="H1485" s="2" t="s">
        <v>2315</v>
      </c>
      <c r="I1485" s="2">
        <v>10.79</v>
      </c>
    </row>
    <row r="1486" spans="1:9" x14ac:dyDescent="0.25">
      <c r="A1486" s="1" t="s">
        <v>2490</v>
      </c>
      <c r="B1486" t="s">
        <v>2491</v>
      </c>
      <c r="C1486" s="1" t="s">
        <v>2492</v>
      </c>
      <c r="D1486" s="1" t="s">
        <v>2492</v>
      </c>
      <c r="E1486" t="s">
        <v>2493</v>
      </c>
      <c r="F1486" s="2" t="s">
        <v>2494</v>
      </c>
      <c r="G1486" t="s">
        <v>121</v>
      </c>
      <c r="H1486" s="2" t="s">
        <v>50</v>
      </c>
      <c r="I1486" s="2">
        <v>23.4</v>
      </c>
    </row>
    <row r="1487" spans="1:9" x14ac:dyDescent="0.25">
      <c r="A1487" s="1" t="s">
        <v>2490</v>
      </c>
      <c r="B1487" t="s">
        <v>2491</v>
      </c>
      <c r="C1487" s="1" t="s">
        <v>432</v>
      </c>
      <c r="D1487" s="1" t="s">
        <v>432</v>
      </c>
      <c r="E1487" t="s">
        <v>433</v>
      </c>
      <c r="F1487" s="2" t="s">
        <v>434</v>
      </c>
      <c r="G1487" t="s">
        <v>435</v>
      </c>
      <c r="H1487" s="2" t="s">
        <v>2495</v>
      </c>
      <c r="I1487" s="2">
        <v>8.43</v>
      </c>
    </row>
    <row r="1488" spans="1:9" x14ac:dyDescent="0.25">
      <c r="A1488" s="1" t="s">
        <v>2490</v>
      </c>
      <c r="B1488" t="s">
        <v>2491</v>
      </c>
      <c r="C1488" s="1" t="s">
        <v>7</v>
      </c>
      <c r="D1488" s="1" t="s">
        <v>7</v>
      </c>
      <c r="E1488" t="s">
        <v>8</v>
      </c>
      <c r="F1488" s="2" t="s">
        <v>9</v>
      </c>
      <c r="G1488" t="s">
        <v>10</v>
      </c>
      <c r="H1488" s="2" t="s">
        <v>2496</v>
      </c>
      <c r="I1488" s="2">
        <v>14.95</v>
      </c>
    </row>
    <row r="1489" spans="1:9" x14ac:dyDescent="0.25">
      <c r="A1489" s="1" t="s">
        <v>2497</v>
      </c>
      <c r="B1489" t="s">
        <v>2498</v>
      </c>
      <c r="C1489" s="1" t="s">
        <v>2465</v>
      </c>
      <c r="D1489" s="1" t="s">
        <v>2465</v>
      </c>
      <c r="E1489" t="s">
        <v>2466</v>
      </c>
      <c r="F1489" s="2" t="s">
        <v>2499</v>
      </c>
      <c r="G1489" t="s">
        <v>121</v>
      </c>
      <c r="H1489" s="2" t="s">
        <v>50</v>
      </c>
      <c r="I1489" s="2">
        <v>17.95</v>
      </c>
    </row>
    <row r="1490" spans="1:9" x14ac:dyDescent="0.25">
      <c r="A1490" s="1" t="s">
        <v>2497</v>
      </c>
      <c r="B1490" t="s">
        <v>2498</v>
      </c>
      <c r="C1490" s="1" t="s">
        <v>2492</v>
      </c>
      <c r="D1490" s="1" t="s">
        <v>2492</v>
      </c>
      <c r="E1490" t="s">
        <v>2493</v>
      </c>
      <c r="F1490" s="2" t="s">
        <v>2494</v>
      </c>
      <c r="G1490" t="s">
        <v>121</v>
      </c>
      <c r="H1490" s="2" t="s">
        <v>50</v>
      </c>
      <c r="I1490" s="2">
        <v>23.4</v>
      </c>
    </row>
    <row r="1491" spans="1:9" x14ac:dyDescent="0.25">
      <c r="A1491" s="1" t="s">
        <v>2497</v>
      </c>
      <c r="B1491" t="s">
        <v>2498</v>
      </c>
      <c r="C1491" s="1" t="s">
        <v>857</v>
      </c>
      <c r="D1491" s="1" t="s">
        <v>857</v>
      </c>
      <c r="E1491" t="s">
        <v>858</v>
      </c>
      <c r="F1491" s="2" t="s">
        <v>686</v>
      </c>
      <c r="G1491" t="s">
        <v>49</v>
      </c>
      <c r="H1491" s="2" t="s">
        <v>2500</v>
      </c>
      <c r="I1491" s="2">
        <v>5</v>
      </c>
    </row>
    <row r="1492" spans="1:9" x14ac:dyDescent="0.25">
      <c r="A1492" s="1" t="s">
        <v>2497</v>
      </c>
      <c r="B1492" t="s">
        <v>2498</v>
      </c>
      <c r="C1492" s="1" t="s">
        <v>432</v>
      </c>
      <c r="D1492" s="1" t="s">
        <v>432</v>
      </c>
      <c r="E1492" t="s">
        <v>433</v>
      </c>
      <c r="F1492" s="2" t="s">
        <v>434</v>
      </c>
      <c r="G1492" t="s">
        <v>435</v>
      </c>
      <c r="H1492" s="2" t="s">
        <v>2501</v>
      </c>
      <c r="I1492" s="2">
        <v>7.25</v>
      </c>
    </row>
    <row r="1493" spans="1:9" x14ac:dyDescent="0.25">
      <c r="A1493" s="1" t="s">
        <v>2497</v>
      </c>
      <c r="B1493" t="s">
        <v>2498</v>
      </c>
      <c r="C1493" s="1" t="s">
        <v>688</v>
      </c>
      <c r="D1493" s="1" t="s">
        <v>688</v>
      </c>
      <c r="E1493" t="s">
        <v>810</v>
      </c>
      <c r="F1493" s="2" t="s">
        <v>811</v>
      </c>
      <c r="G1493" t="s">
        <v>10</v>
      </c>
      <c r="H1493" s="2" t="s">
        <v>2502</v>
      </c>
      <c r="I1493" s="2">
        <v>19.100000000000001</v>
      </c>
    </row>
    <row r="1494" spans="1:9" x14ac:dyDescent="0.25">
      <c r="A1494" s="1" t="s">
        <v>2497</v>
      </c>
      <c r="B1494" t="s">
        <v>2498</v>
      </c>
      <c r="C1494" s="1" t="s">
        <v>7</v>
      </c>
      <c r="D1494" s="1" t="s">
        <v>7</v>
      </c>
      <c r="E1494" t="s">
        <v>8</v>
      </c>
      <c r="F1494" s="2" t="s">
        <v>9</v>
      </c>
      <c r="G1494" t="s">
        <v>10</v>
      </c>
      <c r="H1494" s="2" t="s">
        <v>2471</v>
      </c>
      <c r="I1494" s="2">
        <v>12.1</v>
      </c>
    </row>
    <row r="1495" spans="1:9" x14ac:dyDescent="0.25">
      <c r="A1495" s="1" t="s">
        <v>2503</v>
      </c>
      <c r="B1495" t="s">
        <v>2504</v>
      </c>
      <c r="C1495" s="1" t="s">
        <v>2467</v>
      </c>
      <c r="D1495" s="1" t="s">
        <v>2467</v>
      </c>
      <c r="E1495" t="s">
        <v>2468</v>
      </c>
      <c r="F1495" s="2" t="s">
        <v>2469</v>
      </c>
      <c r="G1495" t="s">
        <v>5</v>
      </c>
      <c r="H1495" s="2" t="s">
        <v>2505</v>
      </c>
      <c r="I1495" s="2">
        <v>11.35</v>
      </c>
    </row>
    <row r="1496" spans="1:9" x14ac:dyDescent="0.25">
      <c r="A1496" s="1" t="s">
        <v>2503</v>
      </c>
      <c r="B1496" t="s">
        <v>2504</v>
      </c>
      <c r="C1496" s="1" t="s">
        <v>7</v>
      </c>
      <c r="D1496" s="1" t="s">
        <v>7</v>
      </c>
      <c r="E1496" t="s">
        <v>8</v>
      </c>
      <c r="F1496" s="2" t="s">
        <v>9</v>
      </c>
      <c r="G1496" t="s">
        <v>10</v>
      </c>
      <c r="H1496" s="2" t="s">
        <v>2506</v>
      </c>
      <c r="I1496" s="2">
        <v>7.75</v>
      </c>
    </row>
    <row r="1497" spans="1:9" x14ac:dyDescent="0.25">
      <c r="A1497" s="1" t="s">
        <v>2507</v>
      </c>
      <c r="B1497" t="s">
        <v>2508</v>
      </c>
      <c r="C1497" s="1" t="s">
        <v>2509</v>
      </c>
      <c r="D1497" s="1" t="s">
        <v>2509</v>
      </c>
      <c r="E1497" t="s">
        <v>2510</v>
      </c>
      <c r="F1497" s="2" t="s">
        <v>31</v>
      </c>
      <c r="G1497" t="s">
        <v>5</v>
      </c>
      <c r="H1497" s="2" t="s">
        <v>50</v>
      </c>
      <c r="I1497" s="2">
        <v>10.6</v>
      </c>
    </row>
    <row r="1498" spans="1:9" x14ac:dyDescent="0.25">
      <c r="A1498" s="1" t="s">
        <v>2507</v>
      </c>
      <c r="B1498" t="s">
        <v>2508</v>
      </c>
      <c r="C1498" s="1" t="s">
        <v>7</v>
      </c>
      <c r="D1498" s="1" t="s">
        <v>7</v>
      </c>
      <c r="E1498" t="s">
        <v>8</v>
      </c>
      <c r="F1498" s="2" t="s">
        <v>9</v>
      </c>
      <c r="G1498" t="s">
        <v>10</v>
      </c>
      <c r="H1498" s="2" t="s">
        <v>1505</v>
      </c>
      <c r="I1498" s="2">
        <v>11.95</v>
      </c>
    </row>
    <row r="1499" spans="1:9" x14ac:dyDescent="0.25">
      <c r="A1499" s="1" t="s">
        <v>2060</v>
      </c>
      <c r="B1499" t="s">
        <v>2061</v>
      </c>
      <c r="C1499" s="1" t="s">
        <v>2511</v>
      </c>
      <c r="D1499" s="1" t="s">
        <v>2511</v>
      </c>
      <c r="E1499" t="s">
        <v>2512</v>
      </c>
      <c r="F1499" s="2" t="s">
        <v>2513</v>
      </c>
      <c r="G1499" t="s">
        <v>17</v>
      </c>
      <c r="H1499" s="2" t="s">
        <v>2514</v>
      </c>
      <c r="I1499" s="2">
        <v>1.05</v>
      </c>
    </row>
    <row r="1500" spans="1:9" x14ac:dyDescent="0.25">
      <c r="A1500" s="1" t="s">
        <v>2060</v>
      </c>
      <c r="B1500" t="s">
        <v>2061</v>
      </c>
      <c r="C1500" s="1" t="s">
        <v>7</v>
      </c>
      <c r="D1500" s="1" t="s">
        <v>7</v>
      </c>
      <c r="E1500" t="s">
        <v>8</v>
      </c>
      <c r="F1500" s="2" t="s">
        <v>9</v>
      </c>
      <c r="G1500" t="s">
        <v>10</v>
      </c>
      <c r="H1500" s="2" t="s">
        <v>1254</v>
      </c>
      <c r="I1500" s="2">
        <v>16.100000000000001</v>
      </c>
    </row>
    <row r="1501" spans="1:9" x14ac:dyDescent="0.25">
      <c r="A1501" s="1" t="s">
        <v>2064</v>
      </c>
      <c r="B1501" t="s">
        <v>2065</v>
      </c>
      <c r="C1501" s="1" t="s">
        <v>2511</v>
      </c>
      <c r="D1501" s="1" t="s">
        <v>2511</v>
      </c>
      <c r="E1501" t="s">
        <v>2512</v>
      </c>
      <c r="F1501" s="2" t="s">
        <v>2513</v>
      </c>
      <c r="G1501" t="s">
        <v>17</v>
      </c>
      <c r="H1501" s="2" t="s">
        <v>2515</v>
      </c>
      <c r="I1501" s="2">
        <v>0.95</v>
      </c>
    </row>
    <row r="1502" spans="1:9" x14ac:dyDescent="0.25">
      <c r="A1502" s="1" t="s">
        <v>2064</v>
      </c>
      <c r="B1502" t="s">
        <v>2065</v>
      </c>
      <c r="C1502" s="1" t="s">
        <v>7</v>
      </c>
      <c r="D1502" s="1" t="s">
        <v>7</v>
      </c>
      <c r="E1502" t="s">
        <v>8</v>
      </c>
      <c r="F1502" s="2" t="s">
        <v>9</v>
      </c>
      <c r="G1502" t="s">
        <v>10</v>
      </c>
      <c r="H1502" s="2" t="s">
        <v>594</v>
      </c>
      <c r="I1502" s="2">
        <v>11.5</v>
      </c>
    </row>
    <row r="1503" spans="1:9" x14ac:dyDescent="0.25">
      <c r="A1503" s="1" t="s">
        <v>2052</v>
      </c>
      <c r="B1503" t="s">
        <v>2053</v>
      </c>
      <c r="C1503" s="1" t="s">
        <v>2516</v>
      </c>
      <c r="D1503" s="1" t="s">
        <v>2516</v>
      </c>
      <c r="E1503" t="s">
        <v>2517</v>
      </c>
      <c r="F1503" s="2" t="s">
        <v>1110</v>
      </c>
      <c r="G1503" t="s">
        <v>17</v>
      </c>
      <c r="H1503" s="2" t="s">
        <v>1254</v>
      </c>
      <c r="I1503" s="2">
        <v>17.149999999999999</v>
      </c>
    </row>
    <row r="1504" spans="1:9" x14ac:dyDescent="0.25">
      <c r="A1504" s="1" t="s">
        <v>2052</v>
      </c>
      <c r="B1504" t="s">
        <v>2053</v>
      </c>
      <c r="C1504" s="1" t="s">
        <v>7</v>
      </c>
      <c r="D1504" s="1" t="s">
        <v>7</v>
      </c>
      <c r="E1504" t="s">
        <v>8</v>
      </c>
      <c r="F1504" s="2" t="s">
        <v>9</v>
      </c>
      <c r="G1504" t="s">
        <v>10</v>
      </c>
      <c r="H1504" s="2" t="s">
        <v>2518</v>
      </c>
      <c r="I1504" s="2">
        <v>2.4</v>
      </c>
    </row>
    <row r="1505" spans="1:9" x14ac:dyDescent="0.25">
      <c r="A1505" s="1" t="s">
        <v>2056</v>
      </c>
      <c r="B1505" t="s">
        <v>2057</v>
      </c>
      <c r="C1505" s="1" t="s">
        <v>2516</v>
      </c>
      <c r="D1505" s="1" t="s">
        <v>2516</v>
      </c>
      <c r="E1505" t="s">
        <v>2517</v>
      </c>
      <c r="F1505" s="2" t="s">
        <v>1110</v>
      </c>
      <c r="G1505" t="s">
        <v>17</v>
      </c>
      <c r="H1505" s="2" t="s">
        <v>2519</v>
      </c>
      <c r="I1505" s="2">
        <v>1.95</v>
      </c>
    </row>
    <row r="1506" spans="1:9" x14ac:dyDescent="0.25">
      <c r="A1506" s="1" t="s">
        <v>2056</v>
      </c>
      <c r="B1506" t="s">
        <v>2057</v>
      </c>
      <c r="C1506" s="1" t="s">
        <v>7</v>
      </c>
      <c r="D1506" s="1" t="s">
        <v>7</v>
      </c>
      <c r="E1506" t="s">
        <v>8</v>
      </c>
      <c r="F1506" s="2" t="s">
        <v>9</v>
      </c>
      <c r="G1506" t="s">
        <v>10</v>
      </c>
      <c r="H1506" s="2" t="s">
        <v>2518</v>
      </c>
      <c r="I1506" s="2">
        <v>2.4</v>
      </c>
    </row>
    <row r="1507" spans="1:9" x14ac:dyDescent="0.25">
      <c r="A1507" s="1" t="s">
        <v>2520</v>
      </c>
      <c r="B1507" t="s">
        <v>2521</v>
      </c>
      <c r="C1507" s="1" t="s">
        <v>2522</v>
      </c>
      <c r="D1507" s="1" t="s">
        <v>2522</v>
      </c>
      <c r="E1507" t="s">
        <v>2523</v>
      </c>
      <c r="F1507" s="2" t="s">
        <v>1354</v>
      </c>
      <c r="G1507" t="s">
        <v>5</v>
      </c>
      <c r="H1507" s="2" t="s">
        <v>40</v>
      </c>
      <c r="I1507" s="2">
        <v>0.71</v>
      </c>
    </row>
    <row r="1508" spans="1:9" x14ac:dyDescent="0.25">
      <c r="A1508" s="1" t="s">
        <v>2520</v>
      </c>
      <c r="B1508" t="s">
        <v>2521</v>
      </c>
      <c r="C1508" s="1" t="s">
        <v>7</v>
      </c>
      <c r="D1508" s="1" t="s">
        <v>7</v>
      </c>
      <c r="E1508" t="s">
        <v>8</v>
      </c>
      <c r="F1508" s="2" t="s">
        <v>9</v>
      </c>
      <c r="G1508" t="s">
        <v>10</v>
      </c>
      <c r="H1508" s="2" t="s">
        <v>1791</v>
      </c>
      <c r="I1508" s="2">
        <v>2.4500000000000002</v>
      </c>
    </row>
    <row r="1509" spans="1:9" x14ac:dyDescent="0.25">
      <c r="A1509" s="1" t="s">
        <v>2524</v>
      </c>
      <c r="B1509" t="s">
        <v>2525</v>
      </c>
      <c r="C1509" s="1" t="s">
        <v>2522</v>
      </c>
      <c r="D1509" s="1" t="s">
        <v>2522</v>
      </c>
      <c r="E1509" t="s">
        <v>2523</v>
      </c>
      <c r="F1509" s="2" t="s">
        <v>1354</v>
      </c>
      <c r="G1509" t="s">
        <v>5</v>
      </c>
      <c r="H1509" s="2" t="s">
        <v>40</v>
      </c>
      <c r="I1509" s="2">
        <v>0.71</v>
      </c>
    </row>
    <row r="1510" spans="1:9" x14ac:dyDescent="0.25">
      <c r="A1510" s="1" t="s">
        <v>2524</v>
      </c>
      <c r="B1510" t="s">
        <v>2525</v>
      </c>
      <c r="C1510" s="1" t="s">
        <v>7</v>
      </c>
      <c r="D1510" s="1" t="s">
        <v>7</v>
      </c>
      <c r="E1510" t="s">
        <v>8</v>
      </c>
      <c r="F1510" s="2" t="s">
        <v>9</v>
      </c>
      <c r="G1510" t="s">
        <v>10</v>
      </c>
      <c r="H1510" s="2" t="s">
        <v>1791</v>
      </c>
      <c r="I1510" s="2">
        <v>2.4500000000000002</v>
      </c>
    </row>
    <row r="1511" spans="1:9" x14ac:dyDescent="0.25">
      <c r="A1511" s="1" t="s">
        <v>950</v>
      </c>
      <c r="B1511" t="s">
        <v>951</v>
      </c>
      <c r="C1511" s="1" t="s">
        <v>1785</v>
      </c>
      <c r="D1511" s="1" t="s">
        <v>1785</v>
      </c>
      <c r="E1511" t="s">
        <v>1786</v>
      </c>
      <c r="F1511" s="2" t="s">
        <v>31</v>
      </c>
      <c r="G1511" t="s">
        <v>5</v>
      </c>
      <c r="H1511" s="2" t="s">
        <v>2526</v>
      </c>
      <c r="I1511" s="2">
        <v>1</v>
      </c>
    </row>
    <row r="1512" spans="1:9" x14ac:dyDescent="0.25">
      <c r="A1512" s="1" t="s">
        <v>950</v>
      </c>
      <c r="B1512" t="s">
        <v>951</v>
      </c>
      <c r="C1512" s="1" t="s">
        <v>432</v>
      </c>
      <c r="D1512" s="1" t="s">
        <v>432</v>
      </c>
      <c r="E1512" t="s">
        <v>433</v>
      </c>
      <c r="F1512" s="2" t="s">
        <v>434</v>
      </c>
      <c r="G1512" t="s">
        <v>435</v>
      </c>
      <c r="H1512" s="2" t="s">
        <v>50</v>
      </c>
      <c r="I1512" s="2">
        <v>1.1000000000000001</v>
      </c>
    </row>
    <row r="1513" spans="1:9" x14ac:dyDescent="0.25">
      <c r="A1513" s="1" t="s">
        <v>950</v>
      </c>
      <c r="B1513" t="s">
        <v>951</v>
      </c>
      <c r="C1513" s="1" t="s">
        <v>7</v>
      </c>
      <c r="D1513" s="1" t="s">
        <v>7</v>
      </c>
      <c r="E1513" t="s">
        <v>8</v>
      </c>
      <c r="F1513" s="2" t="s">
        <v>9</v>
      </c>
      <c r="G1513" t="s">
        <v>10</v>
      </c>
      <c r="H1513" s="2" t="s">
        <v>998</v>
      </c>
      <c r="I1513" s="2">
        <v>27.6</v>
      </c>
    </row>
    <row r="1514" spans="1:9" x14ac:dyDescent="0.25">
      <c r="A1514" s="1" t="s">
        <v>2527</v>
      </c>
      <c r="B1514" t="s">
        <v>2528</v>
      </c>
      <c r="C1514" s="1" t="s">
        <v>2529</v>
      </c>
      <c r="D1514" s="1" t="s">
        <v>2529</v>
      </c>
      <c r="E1514" t="s">
        <v>2530</v>
      </c>
      <c r="F1514" s="2" t="s">
        <v>2469</v>
      </c>
      <c r="G1514" t="s">
        <v>5</v>
      </c>
      <c r="H1514" s="2" t="s">
        <v>478</v>
      </c>
      <c r="I1514" s="2">
        <v>0.96</v>
      </c>
    </row>
    <row r="1515" spans="1:9" x14ac:dyDescent="0.25">
      <c r="A1515" s="1" t="s">
        <v>2527</v>
      </c>
      <c r="B1515" t="s">
        <v>2528</v>
      </c>
      <c r="C1515" s="1" t="s">
        <v>432</v>
      </c>
      <c r="D1515" s="1" t="s">
        <v>432</v>
      </c>
      <c r="E1515" t="s">
        <v>433</v>
      </c>
      <c r="F1515" s="2" t="s">
        <v>434</v>
      </c>
      <c r="G1515" t="s">
        <v>435</v>
      </c>
      <c r="H1515" s="2" t="s">
        <v>50</v>
      </c>
      <c r="I1515" s="2">
        <v>1.1000000000000001</v>
      </c>
    </row>
    <row r="1516" spans="1:9" x14ac:dyDescent="0.25">
      <c r="A1516" s="1" t="s">
        <v>2527</v>
      </c>
      <c r="B1516" t="s">
        <v>2528</v>
      </c>
      <c r="C1516" s="1" t="s">
        <v>7</v>
      </c>
      <c r="D1516" s="1" t="s">
        <v>7</v>
      </c>
      <c r="E1516" t="s">
        <v>8</v>
      </c>
      <c r="F1516" s="2" t="s">
        <v>9</v>
      </c>
      <c r="G1516" t="s">
        <v>10</v>
      </c>
      <c r="H1516" s="2" t="s">
        <v>2531</v>
      </c>
      <c r="I1516" s="2">
        <v>4.82</v>
      </c>
    </row>
    <row r="1517" spans="1:9" x14ac:dyDescent="0.25">
      <c r="A1517" s="1" t="s">
        <v>2532</v>
      </c>
      <c r="B1517" t="s">
        <v>2533</v>
      </c>
      <c r="C1517" s="1" t="s">
        <v>2479</v>
      </c>
      <c r="D1517" s="1" t="s">
        <v>2479</v>
      </c>
      <c r="E1517" t="s">
        <v>2480</v>
      </c>
      <c r="F1517" s="2" t="s">
        <v>2469</v>
      </c>
      <c r="G1517" t="s">
        <v>5</v>
      </c>
      <c r="H1517" s="2" t="s">
        <v>2481</v>
      </c>
      <c r="I1517" s="2">
        <v>1.1000000000000001</v>
      </c>
    </row>
    <row r="1518" spans="1:9" x14ac:dyDescent="0.25">
      <c r="A1518" s="1" t="s">
        <v>2532</v>
      </c>
      <c r="B1518" t="s">
        <v>2533</v>
      </c>
      <c r="C1518" s="1" t="s">
        <v>432</v>
      </c>
      <c r="D1518" s="1" t="s">
        <v>432</v>
      </c>
      <c r="E1518" t="s">
        <v>433</v>
      </c>
      <c r="F1518" s="2" t="s">
        <v>434</v>
      </c>
      <c r="G1518" t="s">
        <v>435</v>
      </c>
      <c r="H1518" s="2" t="s">
        <v>50</v>
      </c>
      <c r="I1518" s="2">
        <v>1.1000000000000001</v>
      </c>
    </row>
    <row r="1519" spans="1:9" x14ac:dyDescent="0.25">
      <c r="A1519" s="1" t="s">
        <v>2532</v>
      </c>
      <c r="B1519" t="s">
        <v>2533</v>
      </c>
      <c r="C1519" s="1" t="s">
        <v>7</v>
      </c>
      <c r="D1519" s="1" t="s">
        <v>7</v>
      </c>
      <c r="E1519" t="s">
        <v>8</v>
      </c>
      <c r="F1519" s="2" t="s">
        <v>9</v>
      </c>
      <c r="G1519" t="s">
        <v>10</v>
      </c>
      <c r="H1519" s="2" t="s">
        <v>2482</v>
      </c>
      <c r="I1519" s="2">
        <v>5.3</v>
      </c>
    </row>
    <row r="1520" spans="1:9" x14ac:dyDescent="0.25">
      <c r="A1520" s="1" t="s">
        <v>2534</v>
      </c>
      <c r="B1520" t="s">
        <v>2535</v>
      </c>
      <c r="C1520" s="1" t="s">
        <v>2</v>
      </c>
      <c r="D1520" s="1" t="s">
        <v>2</v>
      </c>
      <c r="E1520" t="s">
        <v>3</v>
      </c>
      <c r="F1520" s="2" t="s">
        <v>4</v>
      </c>
      <c r="G1520" t="s">
        <v>5</v>
      </c>
      <c r="H1520" s="2" t="s">
        <v>2536</v>
      </c>
      <c r="I1520" s="2">
        <v>1.72</v>
      </c>
    </row>
    <row r="1521" spans="1:10" x14ac:dyDescent="0.25">
      <c r="A1521" s="1" t="s">
        <v>2534</v>
      </c>
      <c r="B1521" t="s">
        <v>2535</v>
      </c>
      <c r="C1521" s="1" t="s">
        <v>432</v>
      </c>
      <c r="D1521" s="1" t="s">
        <v>432</v>
      </c>
      <c r="E1521" t="s">
        <v>433</v>
      </c>
      <c r="F1521" s="2" t="s">
        <v>434</v>
      </c>
      <c r="G1521" t="s">
        <v>435</v>
      </c>
      <c r="H1521" s="2" t="s">
        <v>50</v>
      </c>
      <c r="I1521" s="2">
        <v>1.1000000000000001</v>
      </c>
    </row>
    <row r="1522" spans="1:10" x14ac:dyDescent="0.25">
      <c r="A1522" s="1" t="s">
        <v>2534</v>
      </c>
      <c r="B1522" t="s">
        <v>2535</v>
      </c>
      <c r="C1522" s="1" t="s">
        <v>7</v>
      </c>
      <c r="D1522" s="1" t="s">
        <v>7</v>
      </c>
      <c r="E1522" t="s">
        <v>8</v>
      </c>
      <c r="F1522" s="2" t="s">
        <v>9</v>
      </c>
      <c r="G1522" t="s">
        <v>10</v>
      </c>
      <c r="H1522" s="2" t="s">
        <v>2537</v>
      </c>
      <c r="I1522" s="2">
        <v>7.19</v>
      </c>
    </row>
    <row r="1523" spans="1:10" x14ac:dyDescent="0.25">
      <c r="A1523" s="1" t="s">
        <v>2538</v>
      </c>
      <c r="B1523" t="s">
        <v>2539</v>
      </c>
      <c r="C1523" s="1" t="s">
        <v>2529</v>
      </c>
      <c r="D1523" s="1" t="s">
        <v>2529</v>
      </c>
      <c r="E1523" t="s">
        <v>2530</v>
      </c>
      <c r="F1523" s="2" t="s">
        <v>2469</v>
      </c>
      <c r="G1523" t="s">
        <v>5</v>
      </c>
      <c r="H1523" s="2" t="s">
        <v>2540</v>
      </c>
      <c r="I1523" s="2">
        <v>1</v>
      </c>
    </row>
    <row r="1524" spans="1:10" x14ac:dyDescent="0.25">
      <c r="A1524" s="1" t="s">
        <v>2538</v>
      </c>
      <c r="B1524" t="s">
        <v>2539</v>
      </c>
      <c r="C1524" s="1" t="s">
        <v>432</v>
      </c>
      <c r="D1524" s="1" t="s">
        <v>432</v>
      </c>
      <c r="E1524" t="s">
        <v>433</v>
      </c>
      <c r="F1524" s="2" t="s">
        <v>434</v>
      </c>
      <c r="G1524" t="s">
        <v>435</v>
      </c>
      <c r="H1524" s="2" t="s">
        <v>50</v>
      </c>
      <c r="I1524" s="2">
        <v>1.1000000000000001</v>
      </c>
    </row>
    <row r="1525" spans="1:10" x14ac:dyDescent="0.25">
      <c r="A1525" s="1" t="s">
        <v>2538</v>
      </c>
      <c r="B1525" t="s">
        <v>2539</v>
      </c>
      <c r="C1525" s="1" t="s">
        <v>7</v>
      </c>
      <c r="D1525" s="1" t="s">
        <v>7</v>
      </c>
      <c r="E1525" t="s">
        <v>8</v>
      </c>
      <c r="F1525" s="2" t="s">
        <v>9</v>
      </c>
      <c r="G1525" t="s">
        <v>10</v>
      </c>
      <c r="H1525" s="2" t="s">
        <v>11</v>
      </c>
      <c r="I1525" s="2">
        <v>4.8</v>
      </c>
    </row>
    <row r="1526" spans="1:10" x14ac:dyDescent="0.25">
      <c r="A1526" s="1" t="s">
        <v>2541</v>
      </c>
      <c r="B1526" t="s">
        <v>2542</v>
      </c>
      <c r="C1526" s="1" t="s">
        <v>2529</v>
      </c>
      <c r="D1526" s="1" t="s">
        <v>2529</v>
      </c>
      <c r="E1526" t="s">
        <v>2530</v>
      </c>
      <c r="F1526" s="2" t="s">
        <v>2469</v>
      </c>
      <c r="G1526" t="s">
        <v>5</v>
      </c>
      <c r="H1526" s="2" t="s">
        <v>2543</v>
      </c>
      <c r="I1526" s="2">
        <v>1.45</v>
      </c>
    </row>
    <row r="1527" spans="1:10" x14ac:dyDescent="0.25">
      <c r="A1527" s="1" t="s">
        <v>2541</v>
      </c>
      <c r="B1527" t="s">
        <v>2542</v>
      </c>
      <c r="C1527" s="1" t="s">
        <v>432</v>
      </c>
      <c r="D1527" s="1" t="s">
        <v>432</v>
      </c>
      <c r="E1527" t="s">
        <v>433</v>
      </c>
      <c r="F1527" s="2" t="s">
        <v>434</v>
      </c>
      <c r="G1527" t="s">
        <v>435</v>
      </c>
      <c r="H1527" s="2" t="s">
        <v>50</v>
      </c>
      <c r="I1527" s="2">
        <v>1.1000000000000001</v>
      </c>
    </row>
    <row r="1528" spans="1:10" x14ac:dyDescent="0.25">
      <c r="A1528" s="1" t="s">
        <v>2541</v>
      </c>
      <c r="B1528" t="s">
        <v>2542</v>
      </c>
      <c r="C1528" s="1" t="s">
        <v>7</v>
      </c>
      <c r="D1528" s="1" t="s">
        <v>7</v>
      </c>
      <c r="E1528" t="s">
        <v>8</v>
      </c>
      <c r="F1528" s="2" t="s">
        <v>9</v>
      </c>
      <c r="G1528" t="s">
        <v>10</v>
      </c>
      <c r="H1528" s="2" t="s">
        <v>2544</v>
      </c>
      <c r="I1528" s="2">
        <v>4.9000000000000004</v>
      </c>
    </row>
    <row r="1529" spans="1:10" x14ac:dyDescent="0.25">
      <c r="A1529" s="1" t="s">
        <v>2545</v>
      </c>
      <c r="B1529" t="s">
        <v>2546</v>
      </c>
      <c r="C1529" s="1" t="s">
        <v>2547</v>
      </c>
      <c r="D1529" s="1" t="s">
        <v>1689</v>
      </c>
      <c r="E1529" t="s">
        <v>2548</v>
      </c>
      <c r="F1529" s="2" t="s">
        <v>1768</v>
      </c>
      <c r="G1529" t="s">
        <v>49</v>
      </c>
      <c r="H1529" s="2" t="s">
        <v>50</v>
      </c>
      <c r="I1529" s="2">
        <v>0</v>
      </c>
      <c r="J1529" t="s">
        <v>55</v>
      </c>
    </row>
    <row r="1530" spans="1:10" x14ac:dyDescent="0.25">
      <c r="A1530" s="1" t="s">
        <v>2545</v>
      </c>
      <c r="B1530" t="s">
        <v>2546</v>
      </c>
      <c r="C1530" s="1" t="s">
        <v>541</v>
      </c>
      <c r="D1530" s="1" t="s">
        <v>541</v>
      </c>
      <c r="E1530" t="s">
        <v>542</v>
      </c>
      <c r="F1530" s="2" t="s">
        <v>9</v>
      </c>
      <c r="G1530" t="s">
        <v>10</v>
      </c>
      <c r="H1530" s="2" t="s">
        <v>33</v>
      </c>
      <c r="I1530" s="2">
        <v>9.1999999999999993</v>
      </c>
    </row>
    <row r="1531" spans="1:10" x14ac:dyDescent="0.25">
      <c r="A1531" s="1" t="s">
        <v>2549</v>
      </c>
      <c r="B1531" t="s">
        <v>2550</v>
      </c>
      <c r="C1531" s="1" t="s">
        <v>2551</v>
      </c>
      <c r="D1531" s="1" t="s">
        <v>1689</v>
      </c>
      <c r="E1531" t="s">
        <v>2552</v>
      </c>
      <c r="F1531" s="2" t="s">
        <v>1768</v>
      </c>
      <c r="G1531" t="s">
        <v>49</v>
      </c>
      <c r="H1531" s="2" t="s">
        <v>50</v>
      </c>
      <c r="I1531" s="2">
        <v>0</v>
      </c>
      <c r="J1531" t="s">
        <v>55</v>
      </c>
    </row>
    <row r="1532" spans="1:10" x14ac:dyDescent="0.25">
      <c r="A1532" s="1" t="s">
        <v>2549</v>
      </c>
      <c r="B1532" t="s">
        <v>2550</v>
      </c>
      <c r="C1532" s="1" t="s">
        <v>541</v>
      </c>
      <c r="D1532" s="1" t="s">
        <v>541</v>
      </c>
      <c r="E1532" t="s">
        <v>542</v>
      </c>
      <c r="F1532" s="2" t="s">
        <v>9</v>
      </c>
      <c r="G1532" t="s">
        <v>10</v>
      </c>
      <c r="H1532" s="2" t="s">
        <v>33</v>
      </c>
      <c r="I1532" s="2">
        <v>9.1999999999999993</v>
      </c>
    </row>
    <row r="1533" spans="1:10" x14ac:dyDescent="0.25">
      <c r="A1533" s="1" t="s">
        <v>2553</v>
      </c>
      <c r="B1533" t="s">
        <v>2554</v>
      </c>
      <c r="C1533" s="1" t="s">
        <v>2555</v>
      </c>
      <c r="D1533" s="1" t="s">
        <v>2555</v>
      </c>
      <c r="E1533" t="s">
        <v>2556</v>
      </c>
      <c r="F1533" s="2" t="s">
        <v>2557</v>
      </c>
      <c r="G1533" t="s">
        <v>49</v>
      </c>
      <c r="H1533" s="2" t="s">
        <v>50</v>
      </c>
      <c r="I1533" s="2">
        <v>2100</v>
      </c>
    </row>
    <row r="1534" spans="1:10" x14ac:dyDescent="0.25">
      <c r="A1534" s="1" t="s">
        <v>2553</v>
      </c>
      <c r="B1534" t="s">
        <v>2554</v>
      </c>
      <c r="C1534" s="1" t="s">
        <v>2558</v>
      </c>
      <c r="D1534" s="1" t="s">
        <v>2558</v>
      </c>
      <c r="E1534" t="s">
        <v>2559</v>
      </c>
      <c r="F1534" s="2" t="s">
        <v>1796</v>
      </c>
      <c r="G1534" t="s">
        <v>121</v>
      </c>
      <c r="H1534" s="2" t="s">
        <v>2560</v>
      </c>
      <c r="I1534" s="2">
        <v>41.5</v>
      </c>
    </row>
    <row r="1535" spans="1:10" x14ac:dyDescent="0.25">
      <c r="A1535" s="1" t="s">
        <v>2553</v>
      </c>
      <c r="B1535" t="s">
        <v>2554</v>
      </c>
      <c r="C1535" s="1" t="s">
        <v>7</v>
      </c>
      <c r="D1535" s="1" t="s">
        <v>7</v>
      </c>
      <c r="E1535" t="s">
        <v>8</v>
      </c>
      <c r="F1535" s="2" t="s">
        <v>9</v>
      </c>
      <c r="G1535" t="s">
        <v>10</v>
      </c>
      <c r="H1535" s="2" t="s">
        <v>2561</v>
      </c>
      <c r="I1535" s="2">
        <v>106.11</v>
      </c>
    </row>
    <row r="1536" spans="1:10" x14ac:dyDescent="0.25">
      <c r="A1536" s="1" t="s">
        <v>2562</v>
      </c>
      <c r="B1536" t="s">
        <v>2563</v>
      </c>
      <c r="C1536" s="1" t="s">
        <v>2555</v>
      </c>
      <c r="D1536" s="1" t="s">
        <v>2555</v>
      </c>
      <c r="E1536" t="s">
        <v>2556</v>
      </c>
      <c r="F1536" s="2" t="s">
        <v>2557</v>
      </c>
      <c r="G1536" t="s">
        <v>49</v>
      </c>
      <c r="H1536" s="2" t="s">
        <v>50</v>
      </c>
      <c r="I1536" s="2">
        <v>2100</v>
      </c>
    </row>
    <row r="1537" spans="1:9" x14ac:dyDescent="0.25">
      <c r="A1537" s="1" t="s">
        <v>2562</v>
      </c>
      <c r="B1537" t="s">
        <v>2563</v>
      </c>
      <c r="C1537" s="1" t="s">
        <v>2558</v>
      </c>
      <c r="D1537" s="1" t="s">
        <v>2558</v>
      </c>
      <c r="E1537" t="s">
        <v>2559</v>
      </c>
      <c r="F1537" s="2" t="s">
        <v>1796</v>
      </c>
      <c r="G1537" t="s">
        <v>121</v>
      </c>
      <c r="H1537" s="2" t="s">
        <v>2560</v>
      </c>
      <c r="I1537" s="2">
        <v>41.5</v>
      </c>
    </row>
    <row r="1538" spans="1:9" x14ac:dyDescent="0.25">
      <c r="A1538" s="1" t="s">
        <v>2562</v>
      </c>
      <c r="B1538" t="s">
        <v>2563</v>
      </c>
      <c r="C1538" s="1" t="s">
        <v>7</v>
      </c>
      <c r="D1538" s="1" t="s">
        <v>7</v>
      </c>
      <c r="E1538" t="s">
        <v>8</v>
      </c>
      <c r="F1538" s="2" t="s">
        <v>9</v>
      </c>
      <c r="G1538" t="s">
        <v>10</v>
      </c>
      <c r="H1538" s="2" t="s">
        <v>2561</v>
      </c>
      <c r="I1538" s="2">
        <v>106.11</v>
      </c>
    </row>
    <row r="1539" spans="1:9" x14ac:dyDescent="0.25">
      <c r="A1539" s="1" t="s">
        <v>2564</v>
      </c>
      <c r="B1539" t="s">
        <v>2565</v>
      </c>
      <c r="C1539" s="1" t="s">
        <v>2566</v>
      </c>
      <c r="D1539" s="1" t="s">
        <v>2566</v>
      </c>
      <c r="E1539" t="s">
        <v>2567</v>
      </c>
      <c r="F1539" s="2" t="s">
        <v>2568</v>
      </c>
      <c r="G1539" t="s">
        <v>49</v>
      </c>
      <c r="H1539" s="2" t="s">
        <v>50</v>
      </c>
      <c r="I1539" s="2">
        <v>3550</v>
      </c>
    </row>
    <row r="1540" spans="1:9" x14ac:dyDescent="0.25">
      <c r="A1540" s="1" t="s">
        <v>2564</v>
      </c>
      <c r="B1540" t="s">
        <v>2565</v>
      </c>
      <c r="C1540" s="1" t="s">
        <v>2558</v>
      </c>
      <c r="D1540" s="1" t="s">
        <v>2558</v>
      </c>
      <c r="E1540" t="s">
        <v>2559</v>
      </c>
      <c r="F1540" s="2" t="s">
        <v>1796</v>
      </c>
      <c r="G1540" t="s">
        <v>121</v>
      </c>
      <c r="H1540" s="2" t="s">
        <v>2569</v>
      </c>
      <c r="I1540" s="2">
        <v>60</v>
      </c>
    </row>
    <row r="1541" spans="1:9" x14ac:dyDescent="0.25">
      <c r="A1541" s="1" t="s">
        <v>2564</v>
      </c>
      <c r="B1541" t="s">
        <v>2565</v>
      </c>
      <c r="C1541" s="1" t="s">
        <v>7</v>
      </c>
      <c r="D1541" s="1" t="s">
        <v>7</v>
      </c>
      <c r="E1541" t="s">
        <v>8</v>
      </c>
      <c r="F1541" s="2" t="s">
        <v>9</v>
      </c>
      <c r="G1541" t="s">
        <v>10</v>
      </c>
      <c r="H1541" s="2" t="s">
        <v>2570</v>
      </c>
      <c r="I1541" s="2">
        <v>170.4</v>
      </c>
    </row>
    <row r="1542" spans="1:9" x14ac:dyDescent="0.25">
      <c r="A1542" s="1" t="s">
        <v>2571</v>
      </c>
      <c r="B1542" t="s">
        <v>2572</v>
      </c>
      <c r="C1542" s="1" t="s">
        <v>2573</v>
      </c>
      <c r="D1542" s="1" t="s">
        <v>2573</v>
      </c>
      <c r="E1542" t="s">
        <v>2574</v>
      </c>
      <c r="F1542" s="2" t="s">
        <v>2575</v>
      </c>
      <c r="G1542" t="s">
        <v>49</v>
      </c>
      <c r="H1542" s="2" t="s">
        <v>50</v>
      </c>
      <c r="I1542" s="2">
        <v>3800</v>
      </c>
    </row>
    <row r="1543" spans="1:9" x14ac:dyDescent="0.25">
      <c r="A1543" s="1" t="s">
        <v>2571</v>
      </c>
      <c r="B1543" t="s">
        <v>2572</v>
      </c>
      <c r="C1543" s="1" t="s">
        <v>2558</v>
      </c>
      <c r="D1543" s="1" t="s">
        <v>2558</v>
      </c>
      <c r="E1543" t="s">
        <v>2559</v>
      </c>
      <c r="F1543" s="2" t="s">
        <v>1796</v>
      </c>
      <c r="G1543" t="s">
        <v>121</v>
      </c>
      <c r="H1543" s="2" t="s">
        <v>2576</v>
      </c>
      <c r="I1543" s="2">
        <v>129</v>
      </c>
    </row>
    <row r="1544" spans="1:9" x14ac:dyDescent="0.25">
      <c r="A1544" s="1" t="s">
        <v>2571</v>
      </c>
      <c r="B1544" t="s">
        <v>2572</v>
      </c>
      <c r="C1544" s="1" t="s">
        <v>2577</v>
      </c>
      <c r="D1544" s="1" t="s">
        <v>2577</v>
      </c>
      <c r="E1544" t="s">
        <v>2578</v>
      </c>
      <c r="F1544" s="2" t="s">
        <v>686</v>
      </c>
      <c r="G1544" t="s">
        <v>49</v>
      </c>
      <c r="H1544" s="2" t="s">
        <v>2579</v>
      </c>
      <c r="I1544" s="2">
        <v>500</v>
      </c>
    </row>
    <row r="1545" spans="1:9" x14ac:dyDescent="0.25">
      <c r="A1545" s="1" t="s">
        <v>2571</v>
      </c>
      <c r="B1545" t="s">
        <v>2572</v>
      </c>
      <c r="C1545" s="1" t="s">
        <v>7</v>
      </c>
      <c r="D1545" s="1" t="s">
        <v>7</v>
      </c>
      <c r="E1545" t="s">
        <v>8</v>
      </c>
      <c r="F1545" s="2" t="s">
        <v>9</v>
      </c>
      <c r="G1545" t="s">
        <v>10</v>
      </c>
      <c r="H1545" s="2" t="s">
        <v>2580</v>
      </c>
      <c r="I1545" s="2">
        <v>156.82</v>
      </c>
    </row>
    <row r="1546" spans="1:9" x14ac:dyDescent="0.25">
      <c r="A1546" s="1" t="s">
        <v>2581</v>
      </c>
      <c r="B1546" t="s">
        <v>2582</v>
      </c>
      <c r="C1546" s="1" t="s">
        <v>2566</v>
      </c>
      <c r="D1546" s="1" t="s">
        <v>2566</v>
      </c>
      <c r="E1546" t="s">
        <v>2567</v>
      </c>
      <c r="F1546" s="2" t="s">
        <v>2568</v>
      </c>
      <c r="G1546" t="s">
        <v>49</v>
      </c>
      <c r="H1546" s="2" t="s">
        <v>50</v>
      </c>
      <c r="I1546" s="2">
        <v>3550</v>
      </c>
    </row>
    <row r="1547" spans="1:9" x14ac:dyDescent="0.25">
      <c r="A1547" s="1" t="s">
        <v>2581</v>
      </c>
      <c r="B1547" t="s">
        <v>2582</v>
      </c>
      <c r="C1547" s="1" t="s">
        <v>2558</v>
      </c>
      <c r="D1547" s="1" t="s">
        <v>2558</v>
      </c>
      <c r="E1547" t="s">
        <v>2559</v>
      </c>
      <c r="F1547" s="2" t="s">
        <v>1796</v>
      </c>
      <c r="G1547" t="s">
        <v>121</v>
      </c>
      <c r="H1547" s="2" t="s">
        <v>2583</v>
      </c>
      <c r="I1547" s="2">
        <v>105.9</v>
      </c>
    </row>
    <row r="1548" spans="1:9" x14ac:dyDescent="0.25">
      <c r="A1548" s="1" t="s">
        <v>2581</v>
      </c>
      <c r="B1548" t="s">
        <v>2582</v>
      </c>
      <c r="C1548" s="1" t="s">
        <v>2577</v>
      </c>
      <c r="D1548" s="1" t="s">
        <v>2577</v>
      </c>
      <c r="E1548" t="s">
        <v>2578</v>
      </c>
      <c r="F1548" s="2" t="s">
        <v>686</v>
      </c>
      <c r="G1548" t="s">
        <v>49</v>
      </c>
      <c r="H1548" s="2" t="s">
        <v>2584</v>
      </c>
      <c r="I1548" s="2">
        <v>1568</v>
      </c>
    </row>
    <row r="1549" spans="1:9" x14ac:dyDescent="0.25">
      <c r="A1549" s="1" t="s">
        <v>2581</v>
      </c>
      <c r="B1549" t="s">
        <v>2582</v>
      </c>
      <c r="C1549" s="1" t="s">
        <v>7</v>
      </c>
      <c r="D1549" s="1" t="s">
        <v>7</v>
      </c>
      <c r="E1549" t="s">
        <v>8</v>
      </c>
      <c r="F1549" s="2" t="s">
        <v>9</v>
      </c>
      <c r="G1549" t="s">
        <v>10</v>
      </c>
      <c r="H1549" s="2" t="s">
        <v>2585</v>
      </c>
      <c r="I1549" s="2">
        <v>159.22</v>
      </c>
    </row>
    <row r="1550" spans="1:9" x14ac:dyDescent="0.25">
      <c r="A1550" s="1" t="s">
        <v>2586</v>
      </c>
      <c r="B1550" t="s">
        <v>2587</v>
      </c>
      <c r="C1550" s="1" t="s">
        <v>2588</v>
      </c>
      <c r="D1550" s="1" t="s">
        <v>2588</v>
      </c>
      <c r="E1550" t="s">
        <v>2589</v>
      </c>
      <c r="F1550" s="2" t="s">
        <v>2590</v>
      </c>
      <c r="G1550" t="s">
        <v>49</v>
      </c>
      <c r="H1550" s="2" t="s">
        <v>50</v>
      </c>
      <c r="I1550" s="2">
        <v>6950</v>
      </c>
    </row>
    <row r="1551" spans="1:9" x14ac:dyDescent="0.25">
      <c r="A1551" s="1" t="s">
        <v>2586</v>
      </c>
      <c r="B1551" t="s">
        <v>2587</v>
      </c>
      <c r="C1551" s="1" t="s">
        <v>2558</v>
      </c>
      <c r="D1551" s="1" t="s">
        <v>2558</v>
      </c>
      <c r="E1551" t="s">
        <v>2559</v>
      </c>
      <c r="F1551" s="2" t="s">
        <v>1796</v>
      </c>
      <c r="G1551" t="s">
        <v>121</v>
      </c>
      <c r="H1551" s="2" t="s">
        <v>2591</v>
      </c>
      <c r="I1551" s="2">
        <v>100</v>
      </c>
    </row>
    <row r="1552" spans="1:9" x14ac:dyDescent="0.25">
      <c r="A1552" s="1" t="s">
        <v>2586</v>
      </c>
      <c r="B1552" t="s">
        <v>2587</v>
      </c>
      <c r="C1552" s="1" t="s">
        <v>541</v>
      </c>
      <c r="D1552" s="1" t="s">
        <v>541</v>
      </c>
      <c r="E1552" t="s">
        <v>542</v>
      </c>
      <c r="F1552" s="2" t="s">
        <v>9</v>
      </c>
      <c r="G1552" t="s">
        <v>10</v>
      </c>
      <c r="H1552" s="2" t="s">
        <v>2592</v>
      </c>
      <c r="I1552" s="2">
        <v>234</v>
      </c>
    </row>
    <row r="1553" spans="1:9" x14ac:dyDescent="0.25">
      <c r="A1553" s="1" t="s">
        <v>2593</v>
      </c>
      <c r="B1553" t="s">
        <v>2594</v>
      </c>
      <c r="C1553" s="1" t="s">
        <v>2555</v>
      </c>
      <c r="D1553" s="1" t="s">
        <v>2555</v>
      </c>
      <c r="E1553" t="s">
        <v>2595</v>
      </c>
      <c r="F1553" s="2" t="s">
        <v>2557</v>
      </c>
      <c r="G1553" t="s">
        <v>49</v>
      </c>
      <c r="H1553" s="2" t="s">
        <v>50</v>
      </c>
      <c r="I1553" s="2">
        <v>2100</v>
      </c>
    </row>
    <row r="1554" spans="1:9" x14ac:dyDescent="0.25">
      <c r="A1554" s="1" t="s">
        <v>2593</v>
      </c>
      <c r="B1554" t="s">
        <v>2594</v>
      </c>
      <c r="C1554" s="1" t="s">
        <v>2558</v>
      </c>
      <c r="D1554" s="1" t="s">
        <v>2558</v>
      </c>
      <c r="E1554" t="s">
        <v>2559</v>
      </c>
      <c r="F1554" s="2" t="s">
        <v>1796</v>
      </c>
      <c r="G1554" t="s">
        <v>121</v>
      </c>
      <c r="H1554" s="2" t="s">
        <v>2596</v>
      </c>
      <c r="I1554" s="2">
        <v>40</v>
      </c>
    </row>
    <row r="1555" spans="1:9" x14ac:dyDescent="0.25">
      <c r="A1555" s="1" t="s">
        <v>2593</v>
      </c>
      <c r="B1555" t="s">
        <v>2594</v>
      </c>
      <c r="C1555" s="1" t="s">
        <v>541</v>
      </c>
      <c r="D1555" s="1" t="s">
        <v>541</v>
      </c>
      <c r="E1555" t="s">
        <v>542</v>
      </c>
      <c r="F1555" s="2" t="s">
        <v>9</v>
      </c>
      <c r="G1555" t="s">
        <v>10</v>
      </c>
      <c r="H1555" s="2" t="s">
        <v>2597</v>
      </c>
      <c r="I1555" s="2">
        <v>167.3</v>
      </c>
    </row>
    <row r="1556" spans="1:9" x14ac:dyDescent="0.25">
      <c r="A1556" s="1" t="s">
        <v>2598</v>
      </c>
      <c r="B1556" t="s">
        <v>2599</v>
      </c>
      <c r="C1556" s="1" t="s">
        <v>2467</v>
      </c>
      <c r="D1556" s="1" t="s">
        <v>2467</v>
      </c>
      <c r="E1556" t="s">
        <v>2468</v>
      </c>
      <c r="F1556" s="2" t="s">
        <v>2469</v>
      </c>
      <c r="G1556" t="s">
        <v>5</v>
      </c>
      <c r="H1556" s="2" t="s">
        <v>2600</v>
      </c>
      <c r="I1556" s="2">
        <v>16.190000000000001</v>
      </c>
    </row>
    <row r="1557" spans="1:9" x14ac:dyDescent="0.25">
      <c r="A1557" s="1" t="s">
        <v>2598</v>
      </c>
      <c r="B1557" t="s">
        <v>2599</v>
      </c>
      <c r="C1557" s="1" t="s">
        <v>2601</v>
      </c>
      <c r="D1557" s="1" t="s">
        <v>2601</v>
      </c>
      <c r="E1557" t="s">
        <v>2602</v>
      </c>
      <c r="F1557" s="2" t="s">
        <v>651</v>
      </c>
      <c r="G1557" t="s">
        <v>5</v>
      </c>
      <c r="H1557" s="2" t="s">
        <v>2603</v>
      </c>
      <c r="I1557" s="2">
        <v>0.28000000000000003</v>
      </c>
    </row>
    <row r="1558" spans="1:9" x14ac:dyDescent="0.25">
      <c r="A1558" s="1" t="s">
        <v>2598</v>
      </c>
      <c r="B1558" t="s">
        <v>2599</v>
      </c>
      <c r="C1558" s="1" t="s">
        <v>2604</v>
      </c>
      <c r="D1558" s="1" t="s">
        <v>2604</v>
      </c>
      <c r="E1558" t="s">
        <v>2605</v>
      </c>
      <c r="F1558" s="2" t="s">
        <v>1768</v>
      </c>
      <c r="G1558" t="s">
        <v>39</v>
      </c>
      <c r="H1558" s="2" t="s">
        <v>605</v>
      </c>
      <c r="I1558" s="2">
        <v>0</v>
      </c>
    </row>
    <row r="1559" spans="1:9" x14ac:dyDescent="0.25">
      <c r="A1559" s="1" t="s">
        <v>2598</v>
      </c>
      <c r="B1559" t="s">
        <v>2599</v>
      </c>
      <c r="C1559" s="1" t="s">
        <v>628</v>
      </c>
      <c r="D1559" s="1" t="s">
        <v>628</v>
      </c>
      <c r="E1559" t="s">
        <v>629</v>
      </c>
      <c r="F1559" s="2" t="s">
        <v>630</v>
      </c>
      <c r="G1559" t="s">
        <v>5</v>
      </c>
      <c r="H1559" s="2" t="s">
        <v>2606</v>
      </c>
      <c r="I1559" s="2">
        <v>0.22</v>
      </c>
    </row>
    <row r="1560" spans="1:9" x14ac:dyDescent="0.25">
      <c r="A1560" s="1" t="s">
        <v>2598</v>
      </c>
      <c r="B1560" t="s">
        <v>2599</v>
      </c>
      <c r="C1560" s="1" t="s">
        <v>1971</v>
      </c>
      <c r="D1560" s="1" t="s">
        <v>1971</v>
      </c>
      <c r="E1560" t="s">
        <v>1972</v>
      </c>
      <c r="F1560" s="2" t="s">
        <v>1964</v>
      </c>
      <c r="G1560" t="s">
        <v>5</v>
      </c>
      <c r="H1560" s="2" t="s">
        <v>2607</v>
      </c>
      <c r="I1560" s="2">
        <v>1.67</v>
      </c>
    </row>
    <row r="1561" spans="1:9" x14ac:dyDescent="0.25">
      <c r="A1561" s="1" t="s">
        <v>2598</v>
      </c>
      <c r="B1561" t="s">
        <v>2599</v>
      </c>
      <c r="C1561" s="1" t="s">
        <v>1974</v>
      </c>
      <c r="D1561" s="1" t="s">
        <v>1974</v>
      </c>
      <c r="E1561" t="s">
        <v>1975</v>
      </c>
      <c r="F1561" s="2" t="s">
        <v>879</v>
      </c>
      <c r="G1561" t="s">
        <v>121</v>
      </c>
      <c r="H1561" s="2" t="s">
        <v>601</v>
      </c>
      <c r="I1561" s="2">
        <v>2.1</v>
      </c>
    </row>
    <row r="1562" spans="1:9" x14ac:dyDescent="0.25">
      <c r="A1562" s="1" t="s">
        <v>2598</v>
      </c>
      <c r="B1562" t="s">
        <v>2599</v>
      </c>
      <c r="C1562" s="1" t="s">
        <v>2608</v>
      </c>
      <c r="D1562" s="1" t="s">
        <v>2608</v>
      </c>
      <c r="E1562" t="s">
        <v>2609</v>
      </c>
      <c r="F1562" s="2" t="s">
        <v>2610</v>
      </c>
      <c r="G1562" t="s">
        <v>121</v>
      </c>
      <c r="H1562" s="2" t="s">
        <v>50</v>
      </c>
      <c r="I1562" s="2">
        <v>74.8</v>
      </c>
    </row>
    <row r="1563" spans="1:9" x14ac:dyDescent="0.25">
      <c r="A1563" s="1" t="s">
        <v>2598</v>
      </c>
      <c r="B1563" t="s">
        <v>2599</v>
      </c>
      <c r="C1563" s="1" t="s">
        <v>2611</v>
      </c>
      <c r="D1563" s="1" t="s">
        <v>2611</v>
      </c>
      <c r="E1563" t="s">
        <v>2612</v>
      </c>
      <c r="F1563" s="2" t="s">
        <v>2613</v>
      </c>
      <c r="G1563" t="s">
        <v>121</v>
      </c>
      <c r="H1563" s="2" t="s">
        <v>50</v>
      </c>
      <c r="I1563" s="2">
        <v>17.59</v>
      </c>
    </row>
    <row r="1564" spans="1:9" x14ac:dyDescent="0.25">
      <c r="A1564" s="1" t="s">
        <v>2598</v>
      </c>
      <c r="B1564" t="s">
        <v>2599</v>
      </c>
      <c r="C1564" s="1" t="s">
        <v>2614</v>
      </c>
      <c r="D1564" s="1" t="s">
        <v>2614</v>
      </c>
      <c r="E1564" t="s">
        <v>2615</v>
      </c>
      <c r="F1564" s="2" t="s">
        <v>1761</v>
      </c>
      <c r="G1564" t="s">
        <v>121</v>
      </c>
      <c r="H1564" s="2" t="s">
        <v>50</v>
      </c>
      <c r="I1564" s="2">
        <v>0.55000000000000004</v>
      </c>
    </row>
    <row r="1565" spans="1:9" x14ac:dyDescent="0.25">
      <c r="A1565" s="1" t="s">
        <v>2598</v>
      </c>
      <c r="B1565" t="s">
        <v>2599</v>
      </c>
      <c r="C1565" s="1" t="s">
        <v>2616</v>
      </c>
      <c r="D1565" s="1" t="s">
        <v>2616</v>
      </c>
      <c r="E1565" t="s">
        <v>2617</v>
      </c>
      <c r="F1565" s="2" t="s">
        <v>288</v>
      </c>
      <c r="G1565" t="s">
        <v>39</v>
      </c>
      <c r="H1565" s="2" t="s">
        <v>40</v>
      </c>
      <c r="I1565" s="2">
        <v>0.03</v>
      </c>
    </row>
    <row r="1566" spans="1:9" x14ac:dyDescent="0.25">
      <c r="A1566" s="1" t="s">
        <v>2598</v>
      </c>
      <c r="B1566" t="s">
        <v>2599</v>
      </c>
      <c r="C1566" s="1" t="s">
        <v>2618</v>
      </c>
      <c r="D1566" s="1" t="s">
        <v>2618</v>
      </c>
      <c r="E1566" t="s">
        <v>2619</v>
      </c>
      <c r="F1566" s="2" t="s">
        <v>1768</v>
      </c>
      <c r="G1566" t="s">
        <v>39</v>
      </c>
      <c r="H1566" s="2" t="s">
        <v>40</v>
      </c>
      <c r="I1566" s="2">
        <v>0</v>
      </c>
    </row>
    <row r="1567" spans="1:9" x14ac:dyDescent="0.25">
      <c r="A1567" s="1" t="s">
        <v>2598</v>
      </c>
      <c r="B1567" t="s">
        <v>2599</v>
      </c>
      <c r="C1567" s="1" t="s">
        <v>2620</v>
      </c>
      <c r="D1567" s="1" t="s">
        <v>2620</v>
      </c>
      <c r="E1567" t="s">
        <v>2621</v>
      </c>
      <c r="F1567" s="2" t="s">
        <v>2622</v>
      </c>
      <c r="G1567" t="s">
        <v>121</v>
      </c>
      <c r="H1567" s="2" t="s">
        <v>50</v>
      </c>
      <c r="I1567" s="2">
        <v>1.08</v>
      </c>
    </row>
    <row r="1568" spans="1:9" x14ac:dyDescent="0.25">
      <c r="A1568" s="1" t="s">
        <v>2598</v>
      </c>
      <c r="B1568" t="s">
        <v>2599</v>
      </c>
      <c r="C1568" s="1" t="s">
        <v>2623</v>
      </c>
      <c r="D1568" s="1" t="s">
        <v>2623</v>
      </c>
      <c r="E1568" t="s">
        <v>2624</v>
      </c>
      <c r="F1568" s="2" t="s">
        <v>2625</v>
      </c>
      <c r="G1568" t="s">
        <v>121</v>
      </c>
      <c r="H1568" s="2" t="s">
        <v>50</v>
      </c>
      <c r="I1568" s="2">
        <v>9.99</v>
      </c>
    </row>
    <row r="1569" spans="1:10" x14ac:dyDescent="0.25">
      <c r="A1569" s="1" t="s">
        <v>2598</v>
      </c>
      <c r="B1569" t="s">
        <v>2599</v>
      </c>
      <c r="C1569" s="1" t="s">
        <v>2626</v>
      </c>
      <c r="D1569" s="1" t="s">
        <v>2626</v>
      </c>
      <c r="E1569" t="s">
        <v>2627</v>
      </c>
      <c r="F1569" s="2" t="s">
        <v>2628</v>
      </c>
      <c r="G1569" t="s">
        <v>121</v>
      </c>
      <c r="H1569" s="2" t="s">
        <v>50</v>
      </c>
      <c r="I1569" s="2">
        <v>0.21</v>
      </c>
    </row>
    <row r="1570" spans="1:10" x14ac:dyDescent="0.25">
      <c r="A1570" s="1" t="s">
        <v>2598</v>
      </c>
      <c r="B1570" t="s">
        <v>2599</v>
      </c>
      <c r="C1570" s="1" t="s">
        <v>2629</v>
      </c>
      <c r="D1570" s="1" t="s">
        <v>2629</v>
      </c>
      <c r="E1570" t="s">
        <v>2630</v>
      </c>
      <c r="F1570" s="2" t="s">
        <v>2631</v>
      </c>
      <c r="G1570" t="s">
        <v>121</v>
      </c>
      <c r="H1570" s="2" t="s">
        <v>50</v>
      </c>
      <c r="I1570" s="2">
        <v>178.33</v>
      </c>
      <c r="J1570" t="s">
        <v>55</v>
      </c>
    </row>
    <row r="1571" spans="1:10" x14ac:dyDescent="0.25">
      <c r="A1571" s="1" t="s">
        <v>2598</v>
      </c>
      <c r="B1571" t="s">
        <v>2599</v>
      </c>
      <c r="C1571" s="1" t="s">
        <v>2632</v>
      </c>
      <c r="D1571" s="1" t="s">
        <v>2632</v>
      </c>
      <c r="E1571" t="s">
        <v>2633</v>
      </c>
      <c r="F1571" s="2" t="s">
        <v>2634</v>
      </c>
      <c r="G1571" t="s">
        <v>121</v>
      </c>
      <c r="H1571" s="2" t="s">
        <v>50</v>
      </c>
      <c r="I1571" s="2">
        <v>258.06</v>
      </c>
      <c r="J1571" t="s">
        <v>55</v>
      </c>
    </row>
    <row r="1572" spans="1:10" x14ac:dyDescent="0.25">
      <c r="A1572" s="1" t="s">
        <v>2598</v>
      </c>
      <c r="B1572" t="s">
        <v>2599</v>
      </c>
      <c r="C1572" s="1" t="s">
        <v>2635</v>
      </c>
      <c r="D1572" s="1" t="s">
        <v>2635</v>
      </c>
      <c r="E1572" t="s">
        <v>2636</v>
      </c>
      <c r="F1572" s="2" t="s">
        <v>2637</v>
      </c>
      <c r="G1572" t="s">
        <v>121</v>
      </c>
      <c r="H1572" s="2" t="s">
        <v>50</v>
      </c>
      <c r="I1572" s="2">
        <v>176.5</v>
      </c>
      <c r="J1572" t="s">
        <v>55</v>
      </c>
    </row>
    <row r="1573" spans="1:10" x14ac:dyDescent="0.25">
      <c r="A1573" s="1" t="s">
        <v>2598</v>
      </c>
      <c r="B1573" t="s">
        <v>2599</v>
      </c>
      <c r="C1573" s="1" t="s">
        <v>2638</v>
      </c>
      <c r="D1573" s="1" t="s">
        <v>2638</v>
      </c>
      <c r="E1573" t="s">
        <v>2639</v>
      </c>
      <c r="F1573" s="2" t="s">
        <v>2640</v>
      </c>
      <c r="G1573" t="s">
        <v>121</v>
      </c>
      <c r="H1573" s="2" t="s">
        <v>50</v>
      </c>
      <c r="I1573" s="2">
        <v>115.95</v>
      </c>
      <c r="J1573" t="s">
        <v>55</v>
      </c>
    </row>
    <row r="1574" spans="1:10" x14ac:dyDescent="0.25">
      <c r="A1574" s="1" t="s">
        <v>2598</v>
      </c>
      <c r="B1574" t="s">
        <v>2599</v>
      </c>
      <c r="C1574" s="1" t="s">
        <v>684</v>
      </c>
      <c r="D1574" s="1" t="s">
        <v>684</v>
      </c>
      <c r="E1574" t="s">
        <v>685</v>
      </c>
      <c r="F1574" s="2" t="s">
        <v>686</v>
      </c>
      <c r="G1574" t="s">
        <v>49</v>
      </c>
      <c r="H1574" s="2" t="s">
        <v>50</v>
      </c>
      <c r="I1574" s="2">
        <v>0.01</v>
      </c>
    </row>
    <row r="1575" spans="1:10" x14ac:dyDescent="0.25">
      <c r="A1575" s="1" t="s">
        <v>2598</v>
      </c>
      <c r="B1575" t="s">
        <v>2599</v>
      </c>
      <c r="C1575" s="1" t="s">
        <v>684</v>
      </c>
      <c r="D1575" s="1" t="s">
        <v>684</v>
      </c>
      <c r="E1575" t="s">
        <v>685</v>
      </c>
      <c r="F1575" s="2" t="s">
        <v>686</v>
      </c>
      <c r="G1575" t="s">
        <v>49</v>
      </c>
      <c r="H1575" s="2" t="s">
        <v>2641</v>
      </c>
      <c r="I1575" s="2">
        <v>9</v>
      </c>
    </row>
    <row r="1576" spans="1:10" x14ac:dyDescent="0.25">
      <c r="A1576" s="1" t="s">
        <v>2598</v>
      </c>
      <c r="B1576" t="s">
        <v>2599</v>
      </c>
      <c r="C1576" s="1" t="s">
        <v>684</v>
      </c>
      <c r="D1576" s="1" t="s">
        <v>684</v>
      </c>
      <c r="E1576" t="s">
        <v>685</v>
      </c>
      <c r="F1576" s="2" t="s">
        <v>686</v>
      </c>
      <c r="G1576" t="s">
        <v>49</v>
      </c>
      <c r="H1576" s="2" t="s">
        <v>2642</v>
      </c>
      <c r="I1576" s="2">
        <v>0.34</v>
      </c>
    </row>
    <row r="1577" spans="1:10" x14ac:dyDescent="0.25">
      <c r="A1577" s="1" t="s">
        <v>2598</v>
      </c>
      <c r="B1577" t="s">
        <v>2599</v>
      </c>
      <c r="C1577" s="1" t="s">
        <v>541</v>
      </c>
      <c r="D1577" s="1" t="s">
        <v>541</v>
      </c>
      <c r="E1577" t="s">
        <v>542</v>
      </c>
      <c r="F1577" s="2" t="s">
        <v>9</v>
      </c>
      <c r="G1577" t="s">
        <v>10</v>
      </c>
      <c r="H1577" s="2" t="s">
        <v>2643</v>
      </c>
      <c r="I1577" s="2">
        <v>72.45</v>
      </c>
    </row>
    <row r="1578" spans="1:10" x14ac:dyDescent="0.25">
      <c r="A1578" s="1" t="s">
        <v>2598</v>
      </c>
      <c r="B1578" t="s">
        <v>2599</v>
      </c>
      <c r="C1578" s="1" t="s">
        <v>541</v>
      </c>
      <c r="D1578" s="1" t="s">
        <v>541</v>
      </c>
      <c r="E1578" t="s">
        <v>542</v>
      </c>
      <c r="F1578" s="2" t="s">
        <v>9</v>
      </c>
      <c r="G1578" t="s">
        <v>10</v>
      </c>
      <c r="H1578" s="2" t="s">
        <v>1511</v>
      </c>
      <c r="I1578" s="2">
        <v>33.81</v>
      </c>
    </row>
    <row r="1579" spans="1:10" x14ac:dyDescent="0.25">
      <c r="A1579" s="1" t="s">
        <v>2598</v>
      </c>
      <c r="B1579" t="s">
        <v>2599</v>
      </c>
      <c r="C1579" s="1" t="s">
        <v>541</v>
      </c>
      <c r="D1579" s="1" t="s">
        <v>541</v>
      </c>
      <c r="E1579" t="s">
        <v>542</v>
      </c>
      <c r="F1579" s="2" t="s">
        <v>9</v>
      </c>
      <c r="G1579" t="s">
        <v>10</v>
      </c>
      <c r="H1579" s="2" t="s">
        <v>2315</v>
      </c>
      <c r="I1579" s="2">
        <v>41.4</v>
      </c>
    </row>
    <row r="1580" spans="1:10" x14ac:dyDescent="0.25">
      <c r="A1580" s="1" t="s">
        <v>2598</v>
      </c>
      <c r="B1580" t="s">
        <v>2599</v>
      </c>
      <c r="C1580" s="1" t="s">
        <v>541</v>
      </c>
      <c r="D1580" s="1" t="s">
        <v>541</v>
      </c>
      <c r="E1580" t="s">
        <v>542</v>
      </c>
      <c r="F1580" s="2" t="s">
        <v>9</v>
      </c>
      <c r="G1580" t="s">
        <v>10</v>
      </c>
      <c r="H1580" s="2" t="s">
        <v>33</v>
      </c>
      <c r="I1580" s="2">
        <v>9.1999999999999993</v>
      </c>
    </row>
    <row r="1581" spans="1:10" x14ac:dyDescent="0.25">
      <c r="A1581" s="1" t="s">
        <v>2644</v>
      </c>
      <c r="B1581" t="s">
        <v>2645</v>
      </c>
      <c r="C1581" s="1" t="s">
        <v>1249</v>
      </c>
      <c r="D1581" s="1" t="s">
        <v>1249</v>
      </c>
      <c r="E1581" t="s">
        <v>1250</v>
      </c>
      <c r="F1581" s="2" t="s">
        <v>1251</v>
      </c>
      <c r="G1581" t="s">
        <v>1252</v>
      </c>
      <c r="H1581" s="2" t="s">
        <v>2646</v>
      </c>
      <c r="I1581" s="2">
        <v>462</v>
      </c>
    </row>
    <row r="1582" spans="1:10" x14ac:dyDescent="0.25">
      <c r="A1582" s="1" t="s">
        <v>2644</v>
      </c>
      <c r="B1582" t="s">
        <v>2645</v>
      </c>
      <c r="C1582" s="1" t="s">
        <v>541</v>
      </c>
      <c r="D1582" s="1" t="s">
        <v>541</v>
      </c>
      <c r="E1582" t="s">
        <v>542</v>
      </c>
      <c r="F1582" s="2" t="s">
        <v>9</v>
      </c>
      <c r="G1582" t="s">
        <v>10</v>
      </c>
      <c r="H1582" s="2" t="s">
        <v>2647</v>
      </c>
      <c r="I1582" s="2">
        <v>663.71</v>
      </c>
    </row>
    <row r="1583" spans="1:10" x14ac:dyDescent="0.25">
      <c r="A1583" s="1" t="s">
        <v>2644</v>
      </c>
      <c r="B1583" t="s">
        <v>2645</v>
      </c>
      <c r="C1583" s="1" t="s">
        <v>7</v>
      </c>
      <c r="D1583" s="1" t="s">
        <v>7</v>
      </c>
      <c r="E1583" t="s">
        <v>8</v>
      </c>
      <c r="F1583" s="2" t="s">
        <v>9</v>
      </c>
      <c r="G1583" t="s">
        <v>10</v>
      </c>
      <c r="H1583" s="2" t="s">
        <v>2648</v>
      </c>
      <c r="I1583" s="2">
        <v>104.62</v>
      </c>
    </row>
    <row r="1584" spans="1:10" x14ac:dyDescent="0.25">
      <c r="A1584" s="1" t="s">
        <v>2649</v>
      </c>
      <c r="B1584" t="s">
        <v>2650</v>
      </c>
      <c r="C1584" s="1" t="s">
        <v>1249</v>
      </c>
      <c r="D1584" s="1" t="s">
        <v>1249</v>
      </c>
      <c r="E1584" t="s">
        <v>1250</v>
      </c>
      <c r="F1584" s="2" t="s">
        <v>1251</v>
      </c>
      <c r="G1584" t="s">
        <v>1252</v>
      </c>
      <c r="H1584" s="2" t="s">
        <v>2651</v>
      </c>
      <c r="I1584" s="2">
        <v>564.36</v>
      </c>
    </row>
    <row r="1585" spans="1:9" x14ac:dyDescent="0.25">
      <c r="A1585" s="1" t="s">
        <v>2649</v>
      </c>
      <c r="B1585" t="s">
        <v>2650</v>
      </c>
      <c r="C1585" s="1" t="s">
        <v>7</v>
      </c>
      <c r="D1585" s="1" t="s">
        <v>7</v>
      </c>
      <c r="E1585" t="s">
        <v>8</v>
      </c>
      <c r="F1585" s="2" t="s">
        <v>9</v>
      </c>
      <c r="G1585" t="s">
        <v>10</v>
      </c>
      <c r="H1585" s="2" t="s">
        <v>2652</v>
      </c>
      <c r="I1585" s="2">
        <v>160.30000000000001</v>
      </c>
    </row>
    <row r="1586" spans="1:9" x14ac:dyDescent="0.25">
      <c r="A1586" s="1" t="s">
        <v>2649</v>
      </c>
      <c r="B1586" t="s">
        <v>2650</v>
      </c>
      <c r="C1586" s="1" t="s">
        <v>7</v>
      </c>
      <c r="D1586" s="1" t="s">
        <v>7</v>
      </c>
      <c r="E1586" t="s">
        <v>8</v>
      </c>
      <c r="F1586" s="2" t="s">
        <v>9</v>
      </c>
      <c r="G1586" t="s">
        <v>10</v>
      </c>
      <c r="H1586" s="2" t="s">
        <v>2653</v>
      </c>
      <c r="I1586" s="2">
        <v>1052.3499999999999</v>
      </c>
    </row>
    <row r="1587" spans="1:9" x14ac:dyDescent="0.25">
      <c r="A1587" s="1" t="s">
        <v>2654</v>
      </c>
      <c r="B1587" t="s">
        <v>2655</v>
      </c>
      <c r="C1587" s="1" t="s">
        <v>1249</v>
      </c>
      <c r="D1587" s="1" t="s">
        <v>1249</v>
      </c>
      <c r="E1587" t="s">
        <v>1250</v>
      </c>
      <c r="F1587" s="2" t="s">
        <v>1251</v>
      </c>
      <c r="G1587" t="s">
        <v>1252</v>
      </c>
      <c r="H1587" s="2" t="s">
        <v>2646</v>
      </c>
      <c r="I1587" s="2">
        <v>462</v>
      </c>
    </row>
    <row r="1588" spans="1:9" x14ac:dyDescent="0.25">
      <c r="A1588" s="1" t="s">
        <v>2654</v>
      </c>
      <c r="B1588" t="s">
        <v>2655</v>
      </c>
      <c r="C1588" s="1" t="s">
        <v>7</v>
      </c>
      <c r="D1588" s="1" t="s">
        <v>7</v>
      </c>
      <c r="E1588" t="s">
        <v>8</v>
      </c>
      <c r="F1588" s="2" t="s">
        <v>9</v>
      </c>
      <c r="G1588" t="s">
        <v>10</v>
      </c>
      <c r="H1588" s="2" t="s">
        <v>2656</v>
      </c>
      <c r="I1588" s="2">
        <v>104.81</v>
      </c>
    </row>
    <row r="1589" spans="1:9" x14ac:dyDescent="0.25">
      <c r="A1589" s="1" t="s">
        <v>2654</v>
      </c>
      <c r="B1589" t="s">
        <v>2655</v>
      </c>
      <c r="C1589" s="1" t="s">
        <v>7</v>
      </c>
      <c r="D1589" s="1" t="s">
        <v>7</v>
      </c>
      <c r="E1589" t="s">
        <v>8</v>
      </c>
      <c r="F1589" s="2" t="s">
        <v>9</v>
      </c>
      <c r="G1589" t="s">
        <v>10</v>
      </c>
      <c r="H1589" s="2" t="s">
        <v>2657</v>
      </c>
      <c r="I1589" s="2">
        <v>664.11</v>
      </c>
    </row>
    <row r="1590" spans="1:9" x14ac:dyDescent="0.25">
      <c r="A1590" s="1" t="s">
        <v>2658</v>
      </c>
      <c r="B1590" t="s">
        <v>2659</v>
      </c>
      <c r="C1590" s="1" t="s">
        <v>1249</v>
      </c>
      <c r="D1590" s="1" t="s">
        <v>1249</v>
      </c>
      <c r="E1590" t="s">
        <v>1250</v>
      </c>
      <c r="F1590" s="2" t="s">
        <v>1251</v>
      </c>
      <c r="G1590" t="s">
        <v>1252</v>
      </c>
      <c r="H1590" s="2" t="s">
        <v>2660</v>
      </c>
      <c r="I1590" s="2">
        <v>572.28</v>
      </c>
    </row>
    <row r="1591" spans="1:9" x14ac:dyDescent="0.25">
      <c r="A1591" s="1" t="s">
        <v>2658</v>
      </c>
      <c r="B1591" t="s">
        <v>2659</v>
      </c>
      <c r="C1591" s="1" t="s">
        <v>7</v>
      </c>
      <c r="D1591" s="1" t="s">
        <v>7</v>
      </c>
      <c r="E1591" t="s">
        <v>8</v>
      </c>
      <c r="F1591" s="2" t="s">
        <v>9</v>
      </c>
      <c r="G1591" t="s">
        <v>10</v>
      </c>
      <c r="H1591" s="2" t="s">
        <v>2661</v>
      </c>
      <c r="I1591" s="2">
        <v>149.5</v>
      </c>
    </row>
    <row r="1592" spans="1:9" x14ac:dyDescent="0.25">
      <c r="A1592" s="1" t="s">
        <v>2658</v>
      </c>
      <c r="B1592" t="s">
        <v>2659</v>
      </c>
      <c r="C1592" s="1" t="s">
        <v>7</v>
      </c>
      <c r="D1592" s="1" t="s">
        <v>7</v>
      </c>
      <c r="E1592" t="s">
        <v>8</v>
      </c>
      <c r="F1592" s="2" t="s">
        <v>9</v>
      </c>
      <c r="G1592" t="s">
        <v>10</v>
      </c>
      <c r="H1592" s="2" t="s">
        <v>2662</v>
      </c>
      <c r="I1592" s="2">
        <v>1058.33</v>
      </c>
    </row>
    <row r="1593" spans="1:9" x14ac:dyDescent="0.25">
      <c r="A1593" s="1" t="s">
        <v>2663</v>
      </c>
      <c r="B1593" t="s">
        <v>2664</v>
      </c>
      <c r="C1593" s="1" t="s">
        <v>1249</v>
      </c>
      <c r="D1593" s="1" t="s">
        <v>1249</v>
      </c>
      <c r="E1593" t="s">
        <v>1250</v>
      </c>
      <c r="F1593" s="2" t="s">
        <v>1251</v>
      </c>
      <c r="G1593" t="s">
        <v>1252</v>
      </c>
      <c r="H1593" s="2" t="s">
        <v>2660</v>
      </c>
      <c r="I1593" s="2">
        <v>572.28</v>
      </c>
    </row>
    <row r="1594" spans="1:9" x14ac:dyDescent="0.25">
      <c r="A1594" s="1" t="s">
        <v>2663</v>
      </c>
      <c r="B1594" t="s">
        <v>2664</v>
      </c>
      <c r="C1594" s="1" t="s">
        <v>541</v>
      </c>
      <c r="D1594" s="1" t="s">
        <v>541</v>
      </c>
      <c r="E1594" t="s">
        <v>542</v>
      </c>
      <c r="F1594" s="2" t="s">
        <v>9</v>
      </c>
      <c r="G1594" t="s">
        <v>10</v>
      </c>
      <c r="H1594" s="2" t="s">
        <v>2662</v>
      </c>
      <c r="I1594" s="2">
        <v>1058.33</v>
      </c>
    </row>
    <row r="1595" spans="1:9" x14ac:dyDescent="0.25">
      <c r="A1595" s="1" t="s">
        <v>2663</v>
      </c>
      <c r="B1595" t="s">
        <v>2664</v>
      </c>
      <c r="C1595" s="1" t="s">
        <v>541</v>
      </c>
      <c r="D1595" s="1" t="s">
        <v>541</v>
      </c>
      <c r="E1595" t="s">
        <v>542</v>
      </c>
      <c r="F1595" s="2" t="s">
        <v>9</v>
      </c>
      <c r="G1595" t="s">
        <v>10</v>
      </c>
      <c r="H1595" s="2" t="s">
        <v>2665</v>
      </c>
      <c r="I1595" s="2">
        <v>156.6</v>
      </c>
    </row>
    <row r="1596" spans="1:9" x14ac:dyDescent="0.25">
      <c r="A1596" s="1" t="s">
        <v>2666</v>
      </c>
      <c r="B1596" t="s">
        <v>2667</v>
      </c>
      <c r="C1596" s="1" t="s">
        <v>2668</v>
      </c>
      <c r="D1596" s="1" t="s">
        <v>2668</v>
      </c>
      <c r="E1596" t="s">
        <v>2669</v>
      </c>
      <c r="F1596" s="2" t="s">
        <v>2670</v>
      </c>
      <c r="G1596" t="s">
        <v>5</v>
      </c>
      <c r="H1596" s="2" t="s">
        <v>2671</v>
      </c>
      <c r="I1596" s="2">
        <v>4.75</v>
      </c>
    </row>
    <row r="1597" spans="1:9" x14ac:dyDescent="0.25">
      <c r="A1597" s="1" t="s">
        <v>2666</v>
      </c>
      <c r="B1597" t="s">
        <v>2667</v>
      </c>
      <c r="C1597" s="1" t="s">
        <v>2672</v>
      </c>
      <c r="D1597" s="1" t="s">
        <v>2672</v>
      </c>
      <c r="E1597" t="s">
        <v>2673</v>
      </c>
      <c r="F1597" s="2" t="s">
        <v>2674</v>
      </c>
      <c r="G1597" t="s">
        <v>121</v>
      </c>
      <c r="H1597" s="2" t="s">
        <v>50</v>
      </c>
      <c r="I1597" s="2">
        <v>56</v>
      </c>
    </row>
    <row r="1598" spans="1:9" x14ac:dyDescent="0.25">
      <c r="A1598" s="1" t="s">
        <v>2666</v>
      </c>
      <c r="B1598" t="s">
        <v>2667</v>
      </c>
      <c r="C1598" s="1" t="s">
        <v>432</v>
      </c>
      <c r="D1598" s="1" t="s">
        <v>432</v>
      </c>
      <c r="E1598" t="s">
        <v>433</v>
      </c>
      <c r="F1598" s="2" t="s">
        <v>434</v>
      </c>
      <c r="G1598" t="s">
        <v>435</v>
      </c>
      <c r="H1598" s="2" t="s">
        <v>50</v>
      </c>
      <c r="I1598" s="2">
        <v>1.1000000000000001</v>
      </c>
    </row>
    <row r="1599" spans="1:9" x14ac:dyDescent="0.25">
      <c r="A1599" s="1" t="s">
        <v>2666</v>
      </c>
      <c r="B1599" t="s">
        <v>2667</v>
      </c>
      <c r="C1599" s="1" t="s">
        <v>7</v>
      </c>
      <c r="D1599" s="1" t="s">
        <v>7</v>
      </c>
      <c r="E1599" t="s">
        <v>8</v>
      </c>
      <c r="F1599" s="2" t="s">
        <v>9</v>
      </c>
      <c r="G1599" t="s">
        <v>10</v>
      </c>
      <c r="H1599" s="2" t="s">
        <v>2675</v>
      </c>
      <c r="I1599" s="2">
        <v>8.1999999999999993</v>
      </c>
    </row>
    <row r="1600" spans="1:9" x14ac:dyDescent="0.25">
      <c r="A1600" s="1" t="s">
        <v>2666</v>
      </c>
      <c r="B1600" t="s">
        <v>2667</v>
      </c>
      <c r="C1600" s="1" t="s">
        <v>7</v>
      </c>
      <c r="D1600" s="1" t="s">
        <v>7</v>
      </c>
      <c r="E1600" t="s">
        <v>8</v>
      </c>
      <c r="F1600" s="2" t="s">
        <v>9</v>
      </c>
      <c r="G1600" t="s">
        <v>10</v>
      </c>
      <c r="H1600" s="2" t="s">
        <v>2235</v>
      </c>
      <c r="I1600" s="2">
        <v>36</v>
      </c>
    </row>
    <row r="1601" spans="1:10" x14ac:dyDescent="0.25">
      <c r="A1601" s="1" t="s">
        <v>1902</v>
      </c>
      <c r="B1601" t="s">
        <v>1903</v>
      </c>
      <c r="C1601" s="1" t="s">
        <v>2668</v>
      </c>
      <c r="D1601" s="1" t="s">
        <v>2668</v>
      </c>
      <c r="E1601" t="s">
        <v>2669</v>
      </c>
      <c r="F1601" s="2" t="s">
        <v>2670</v>
      </c>
      <c r="G1601" t="s">
        <v>5</v>
      </c>
      <c r="H1601" s="2" t="s">
        <v>2676</v>
      </c>
      <c r="I1601" s="2">
        <v>2.7</v>
      </c>
    </row>
    <row r="1602" spans="1:10" x14ac:dyDescent="0.25">
      <c r="A1602" s="1" t="s">
        <v>1902</v>
      </c>
      <c r="B1602" t="s">
        <v>1903</v>
      </c>
      <c r="C1602" s="1" t="s">
        <v>1234</v>
      </c>
      <c r="D1602" s="1" t="s">
        <v>1234</v>
      </c>
      <c r="E1602" t="s">
        <v>1235</v>
      </c>
      <c r="F1602" s="2" t="s">
        <v>108</v>
      </c>
      <c r="G1602" t="s">
        <v>932</v>
      </c>
      <c r="H1602" s="2" t="s">
        <v>2677</v>
      </c>
      <c r="I1602" s="2">
        <v>1.8</v>
      </c>
    </row>
    <row r="1603" spans="1:10" x14ac:dyDescent="0.25">
      <c r="A1603" s="1" t="s">
        <v>1902</v>
      </c>
      <c r="B1603" t="s">
        <v>1903</v>
      </c>
      <c r="C1603" s="1" t="s">
        <v>7</v>
      </c>
      <c r="D1603" s="1" t="s">
        <v>7</v>
      </c>
      <c r="E1603" t="s">
        <v>8</v>
      </c>
      <c r="F1603" s="2" t="s">
        <v>9</v>
      </c>
      <c r="G1603" t="s">
        <v>10</v>
      </c>
      <c r="H1603" s="2" t="s">
        <v>2678</v>
      </c>
      <c r="I1603" s="2">
        <v>8.35</v>
      </c>
    </row>
    <row r="1604" spans="1:10" x14ac:dyDescent="0.25">
      <c r="A1604" s="1" t="s">
        <v>1902</v>
      </c>
      <c r="B1604" t="s">
        <v>1903</v>
      </c>
      <c r="C1604" s="1" t="s">
        <v>7</v>
      </c>
      <c r="D1604" s="1" t="s">
        <v>7</v>
      </c>
      <c r="E1604" t="s">
        <v>8</v>
      </c>
      <c r="F1604" s="2" t="s">
        <v>9</v>
      </c>
      <c r="G1604" t="s">
        <v>10</v>
      </c>
      <c r="H1604" s="2" t="s">
        <v>2679</v>
      </c>
      <c r="I1604" s="2">
        <v>14.45</v>
      </c>
    </row>
    <row r="1605" spans="1:10" x14ac:dyDescent="0.25">
      <c r="A1605" s="1" t="s">
        <v>1876</v>
      </c>
      <c r="B1605" t="s">
        <v>1877</v>
      </c>
      <c r="C1605" s="1" t="s">
        <v>1854</v>
      </c>
      <c r="D1605" s="1" t="s">
        <v>1854</v>
      </c>
      <c r="E1605" t="s">
        <v>1855</v>
      </c>
      <c r="F1605" s="2" t="s">
        <v>1856</v>
      </c>
      <c r="G1605" t="s">
        <v>1857</v>
      </c>
      <c r="H1605" s="2" t="s">
        <v>1253</v>
      </c>
      <c r="I1605" s="2">
        <v>0.02</v>
      </c>
    </row>
    <row r="1606" spans="1:10" x14ac:dyDescent="0.25">
      <c r="A1606" s="1" t="s">
        <v>1876</v>
      </c>
      <c r="B1606" t="s">
        <v>1877</v>
      </c>
      <c r="C1606" s="1" t="s">
        <v>1859</v>
      </c>
      <c r="D1606" s="1" t="s">
        <v>1859</v>
      </c>
      <c r="E1606" t="s">
        <v>1860</v>
      </c>
      <c r="F1606" s="2" t="s">
        <v>1861</v>
      </c>
      <c r="G1606" t="s">
        <v>1857</v>
      </c>
      <c r="H1606" s="2" t="s">
        <v>1253</v>
      </c>
      <c r="I1606" s="2">
        <v>0.03</v>
      </c>
    </row>
    <row r="1607" spans="1:10" x14ac:dyDescent="0.25">
      <c r="A1607" s="1" t="s">
        <v>1876</v>
      </c>
      <c r="B1607" t="s">
        <v>1877</v>
      </c>
      <c r="C1607" s="1" t="s">
        <v>41</v>
      </c>
      <c r="D1607" s="1" t="s">
        <v>41</v>
      </c>
      <c r="E1607" t="s">
        <v>42</v>
      </c>
      <c r="F1607" s="2" t="s">
        <v>43</v>
      </c>
      <c r="G1607" t="s">
        <v>5</v>
      </c>
      <c r="H1607" s="2" t="s">
        <v>227</v>
      </c>
      <c r="I1607" s="2">
        <v>0.01</v>
      </c>
    </row>
    <row r="1608" spans="1:10" x14ac:dyDescent="0.25">
      <c r="A1608" s="1" t="s">
        <v>1876</v>
      </c>
      <c r="B1608" t="s">
        <v>1877</v>
      </c>
      <c r="C1608" s="1" t="s">
        <v>2680</v>
      </c>
      <c r="D1608" s="1" t="s">
        <v>2666</v>
      </c>
      <c r="E1608" t="s">
        <v>2667</v>
      </c>
      <c r="F1608" s="2" t="s">
        <v>2681</v>
      </c>
      <c r="G1608" t="s">
        <v>49</v>
      </c>
      <c r="H1608" s="2" t="s">
        <v>50</v>
      </c>
      <c r="I1608" s="2">
        <v>106.05</v>
      </c>
      <c r="J1608" t="s">
        <v>51</v>
      </c>
    </row>
    <row r="1609" spans="1:10" x14ac:dyDescent="0.25">
      <c r="A1609" s="1" t="s">
        <v>1876</v>
      </c>
      <c r="B1609" t="s">
        <v>1877</v>
      </c>
      <c r="C1609" s="1" t="s">
        <v>2682</v>
      </c>
      <c r="D1609" s="1" t="s">
        <v>2682</v>
      </c>
      <c r="E1609" t="s">
        <v>2683</v>
      </c>
      <c r="F1609" s="2" t="s">
        <v>2684</v>
      </c>
      <c r="G1609" t="s">
        <v>49</v>
      </c>
      <c r="H1609" s="2" t="s">
        <v>50</v>
      </c>
      <c r="I1609" s="2">
        <v>59</v>
      </c>
      <c r="J1609" t="s">
        <v>55</v>
      </c>
    </row>
    <row r="1610" spans="1:10" x14ac:dyDescent="0.25">
      <c r="A1610" s="1" t="s">
        <v>1876</v>
      </c>
      <c r="B1610" t="s">
        <v>1877</v>
      </c>
      <c r="C1610" s="1" t="s">
        <v>7</v>
      </c>
      <c r="D1610" s="1" t="s">
        <v>7</v>
      </c>
      <c r="E1610" t="s">
        <v>8</v>
      </c>
      <c r="F1610" s="2" t="s">
        <v>9</v>
      </c>
      <c r="G1610" t="s">
        <v>10</v>
      </c>
      <c r="H1610" s="2" t="s">
        <v>2685</v>
      </c>
      <c r="I1610" s="2">
        <v>4.05</v>
      </c>
    </row>
    <row r="1611" spans="1:10" x14ac:dyDescent="0.25">
      <c r="A1611" s="1" t="s">
        <v>2686</v>
      </c>
      <c r="B1611" t="s">
        <v>2687</v>
      </c>
      <c r="C1611" s="1" t="s">
        <v>2296</v>
      </c>
      <c r="D1611" s="1" t="s">
        <v>2296</v>
      </c>
      <c r="E1611" t="s">
        <v>2297</v>
      </c>
      <c r="F1611" s="2" t="s">
        <v>2341</v>
      </c>
      <c r="G1611" t="s">
        <v>39</v>
      </c>
      <c r="H1611" s="2" t="s">
        <v>605</v>
      </c>
      <c r="I1611" s="2">
        <v>0.55000000000000004</v>
      </c>
    </row>
    <row r="1612" spans="1:10" x14ac:dyDescent="0.25">
      <c r="A1612" s="1" t="s">
        <v>2686</v>
      </c>
      <c r="B1612" t="s">
        <v>2687</v>
      </c>
      <c r="C1612" s="1" t="s">
        <v>2688</v>
      </c>
      <c r="D1612" s="1" t="s">
        <v>2688</v>
      </c>
      <c r="E1612" t="s">
        <v>2689</v>
      </c>
      <c r="F1612" s="2" t="s">
        <v>2690</v>
      </c>
      <c r="G1612" t="s">
        <v>39</v>
      </c>
      <c r="H1612" s="2" t="s">
        <v>447</v>
      </c>
      <c r="I1612" s="2">
        <v>0.33</v>
      </c>
    </row>
    <row r="1613" spans="1:10" x14ac:dyDescent="0.25">
      <c r="A1613" s="1" t="s">
        <v>2686</v>
      </c>
      <c r="B1613" t="s">
        <v>2687</v>
      </c>
      <c r="C1613" s="1" t="s">
        <v>649</v>
      </c>
      <c r="D1613" s="1" t="s">
        <v>649</v>
      </c>
      <c r="E1613" t="s">
        <v>650</v>
      </c>
      <c r="F1613" s="2" t="s">
        <v>651</v>
      </c>
      <c r="G1613" t="s">
        <v>39</v>
      </c>
      <c r="H1613" s="2" t="s">
        <v>40</v>
      </c>
      <c r="I1613" s="2">
        <v>0.08</v>
      </c>
    </row>
    <row r="1614" spans="1:10" x14ac:dyDescent="0.25">
      <c r="A1614" s="1" t="s">
        <v>2686</v>
      </c>
      <c r="B1614" t="s">
        <v>2687</v>
      </c>
      <c r="C1614" s="1" t="s">
        <v>2691</v>
      </c>
      <c r="D1614" s="1" t="s">
        <v>2691</v>
      </c>
      <c r="E1614" t="s">
        <v>2692</v>
      </c>
      <c r="F1614" s="2" t="s">
        <v>2693</v>
      </c>
      <c r="G1614" t="s">
        <v>1965</v>
      </c>
      <c r="H1614" s="2" t="s">
        <v>40</v>
      </c>
      <c r="I1614" s="2">
        <v>0.03</v>
      </c>
    </row>
    <row r="1615" spans="1:10" x14ac:dyDescent="0.25">
      <c r="A1615" s="1" t="s">
        <v>2686</v>
      </c>
      <c r="B1615" t="s">
        <v>2687</v>
      </c>
      <c r="C1615" s="1" t="s">
        <v>2694</v>
      </c>
      <c r="D1615" s="1" t="s">
        <v>2694</v>
      </c>
      <c r="E1615" t="s">
        <v>2695</v>
      </c>
      <c r="F1615" s="2" t="s">
        <v>2112</v>
      </c>
      <c r="G1615" t="s">
        <v>39</v>
      </c>
      <c r="H1615" s="2" t="s">
        <v>40</v>
      </c>
      <c r="I1615" s="2">
        <v>0.16</v>
      </c>
    </row>
    <row r="1616" spans="1:10" x14ac:dyDescent="0.25">
      <c r="A1616" s="1" t="s">
        <v>2686</v>
      </c>
      <c r="B1616" t="s">
        <v>2687</v>
      </c>
      <c r="C1616" s="1" t="s">
        <v>2343</v>
      </c>
      <c r="D1616" s="1" t="s">
        <v>2343</v>
      </c>
      <c r="E1616" t="s">
        <v>2344</v>
      </c>
      <c r="F1616" s="2" t="s">
        <v>2345</v>
      </c>
      <c r="G1616" t="s">
        <v>39</v>
      </c>
      <c r="H1616" s="2" t="s">
        <v>2696</v>
      </c>
      <c r="I1616" s="2">
        <v>0.63</v>
      </c>
    </row>
    <row r="1617" spans="1:10" x14ac:dyDescent="0.25">
      <c r="A1617" s="1" t="s">
        <v>2686</v>
      </c>
      <c r="B1617" t="s">
        <v>2687</v>
      </c>
      <c r="C1617" s="1" t="s">
        <v>2697</v>
      </c>
      <c r="D1617" s="1" t="s">
        <v>2697</v>
      </c>
      <c r="E1617" t="s">
        <v>2698</v>
      </c>
      <c r="F1617" s="2" t="s">
        <v>2699</v>
      </c>
      <c r="G1617" t="s">
        <v>39</v>
      </c>
      <c r="H1617" s="2" t="s">
        <v>605</v>
      </c>
      <c r="I1617" s="2">
        <v>1.41</v>
      </c>
    </row>
    <row r="1618" spans="1:10" x14ac:dyDescent="0.25">
      <c r="A1618" s="1" t="s">
        <v>2686</v>
      </c>
      <c r="B1618" t="s">
        <v>2687</v>
      </c>
      <c r="C1618" s="1" t="s">
        <v>2700</v>
      </c>
      <c r="D1618" s="1" t="s">
        <v>2700</v>
      </c>
      <c r="E1618" t="s">
        <v>2701</v>
      </c>
      <c r="F1618" s="2" t="s">
        <v>2702</v>
      </c>
      <c r="G1618" t="s">
        <v>121</v>
      </c>
      <c r="H1618" s="2" t="s">
        <v>1130</v>
      </c>
      <c r="I1618" s="2">
        <v>1.54</v>
      </c>
    </row>
    <row r="1619" spans="1:10" x14ac:dyDescent="0.25">
      <c r="A1619" s="1" t="s">
        <v>2686</v>
      </c>
      <c r="B1619" t="s">
        <v>2687</v>
      </c>
      <c r="C1619" s="1" t="s">
        <v>1345</v>
      </c>
      <c r="D1619" s="1" t="s">
        <v>1345</v>
      </c>
      <c r="E1619" t="s">
        <v>1346</v>
      </c>
      <c r="F1619" s="2" t="s">
        <v>1369</v>
      </c>
      <c r="G1619" t="s">
        <v>5</v>
      </c>
      <c r="H1619" s="2" t="s">
        <v>447</v>
      </c>
      <c r="I1619" s="2">
        <v>1.95</v>
      </c>
    </row>
    <row r="1620" spans="1:10" x14ac:dyDescent="0.25">
      <c r="A1620" s="1" t="s">
        <v>2686</v>
      </c>
      <c r="B1620" t="s">
        <v>2687</v>
      </c>
      <c r="C1620" s="1" t="s">
        <v>2373</v>
      </c>
      <c r="D1620" s="1" t="s">
        <v>2373</v>
      </c>
      <c r="E1620" t="s">
        <v>2374</v>
      </c>
      <c r="F1620" s="2" t="s">
        <v>2112</v>
      </c>
      <c r="G1620" t="s">
        <v>49</v>
      </c>
      <c r="H1620" s="2" t="s">
        <v>319</v>
      </c>
      <c r="I1620" s="2">
        <v>93</v>
      </c>
    </row>
    <row r="1621" spans="1:10" x14ac:dyDescent="0.25">
      <c r="A1621" s="1" t="s">
        <v>2686</v>
      </c>
      <c r="B1621" t="s">
        <v>2687</v>
      </c>
      <c r="C1621" s="1" t="s">
        <v>2703</v>
      </c>
      <c r="D1621" s="1" t="s">
        <v>2703</v>
      </c>
      <c r="E1621" t="s">
        <v>2704</v>
      </c>
      <c r="F1621" s="2" t="s">
        <v>216</v>
      </c>
      <c r="G1621" t="s">
        <v>17</v>
      </c>
      <c r="H1621" s="2" t="s">
        <v>2607</v>
      </c>
      <c r="I1621" s="2">
        <v>0.77</v>
      </c>
    </row>
    <row r="1622" spans="1:10" x14ac:dyDescent="0.25">
      <c r="A1622" s="1" t="s">
        <v>2686</v>
      </c>
      <c r="B1622" t="s">
        <v>2687</v>
      </c>
      <c r="C1622" s="1" t="s">
        <v>2375</v>
      </c>
      <c r="D1622" s="1" t="s">
        <v>2375</v>
      </c>
      <c r="E1622" t="s">
        <v>2376</v>
      </c>
      <c r="F1622" s="2" t="s">
        <v>2377</v>
      </c>
      <c r="G1622" t="s">
        <v>2378</v>
      </c>
      <c r="H1622" s="2" t="s">
        <v>50</v>
      </c>
      <c r="I1622" s="2">
        <v>45.89</v>
      </c>
    </row>
    <row r="1623" spans="1:10" x14ac:dyDescent="0.25">
      <c r="A1623" s="1" t="s">
        <v>2686</v>
      </c>
      <c r="B1623" t="s">
        <v>2687</v>
      </c>
      <c r="C1623" s="1" t="s">
        <v>2379</v>
      </c>
      <c r="D1623" s="1" t="s">
        <v>2379</v>
      </c>
      <c r="E1623" t="s">
        <v>2380</v>
      </c>
      <c r="F1623" s="2" t="s">
        <v>580</v>
      </c>
      <c r="G1623" t="s">
        <v>121</v>
      </c>
      <c r="H1623" s="2" t="s">
        <v>319</v>
      </c>
      <c r="I1623" s="2">
        <v>44.7</v>
      </c>
    </row>
    <row r="1624" spans="1:10" x14ac:dyDescent="0.25">
      <c r="A1624" s="1" t="s">
        <v>2686</v>
      </c>
      <c r="B1624" t="s">
        <v>2687</v>
      </c>
      <c r="C1624" s="1" t="s">
        <v>2705</v>
      </c>
      <c r="D1624" s="1" t="s">
        <v>2705</v>
      </c>
      <c r="E1624" t="s">
        <v>2706</v>
      </c>
      <c r="F1624" s="2" t="s">
        <v>2707</v>
      </c>
      <c r="G1624" t="s">
        <v>49</v>
      </c>
      <c r="H1624" s="2" t="s">
        <v>50</v>
      </c>
      <c r="I1624" s="2">
        <v>67</v>
      </c>
    </row>
    <row r="1625" spans="1:10" x14ac:dyDescent="0.25">
      <c r="A1625" s="1" t="s">
        <v>2686</v>
      </c>
      <c r="B1625" t="s">
        <v>2687</v>
      </c>
      <c r="C1625" s="1" t="s">
        <v>41</v>
      </c>
      <c r="D1625" s="1" t="s">
        <v>41</v>
      </c>
      <c r="E1625" t="s">
        <v>42</v>
      </c>
      <c r="F1625" s="2" t="s">
        <v>43</v>
      </c>
      <c r="G1625" t="s">
        <v>5</v>
      </c>
      <c r="H1625" s="2" t="s">
        <v>44</v>
      </c>
      <c r="I1625" s="2">
        <v>0.01</v>
      </c>
    </row>
    <row r="1626" spans="1:10" x14ac:dyDescent="0.25">
      <c r="A1626" s="1" t="s">
        <v>2686</v>
      </c>
      <c r="B1626" t="s">
        <v>2687</v>
      </c>
      <c r="C1626" s="1" t="s">
        <v>2381</v>
      </c>
      <c r="D1626" s="1" t="s">
        <v>2381</v>
      </c>
      <c r="E1626" t="s">
        <v>2382</v>
      </c>
      <c r="F1626" s="2" t="s">
        <v>2383</v>
      </c>
      <c r="G1626" t="s">
        <v>49</v>
      </c>
      <c r="H1626" s="2" t="s">
        <v>2384</v>
      </c>
      <c r="I1626" s="2">
        <v>0.6</v>
      </c>
    </row>
    <row r="1627" spans="1:10" x14ac:dyDescent="0.25">
      <c r="A1627" s="1" t="s">
        <v>2686</v>
      </c>
      <c r="B1627" t="s">
        <v>2687</v>
      </c>
      <c r="C1627" s="1" t="s">
        <v>2385</v>
      </c>
      <c r="D1627" s="1" t="s">
        <v>2385</v>
      </c>
      <c r="E1627" t="s">
        <v>2386</v>
      </c>
      <c r="F1627" s="2" t="s">
        <v>2387</v>
      </c>
      <c r="G1627" t="s">
        <v>49</v>
      </c>
      <c r="H1627" s="2" t="s">
        <v>50</v>
      </c>
      <c r="I1627" s="2">
        <v>152.9</v>
      </c>
      <c r="J1627" t="s">
        <v>55</v>
      </c>
    </row>
    <row r="1628" spans="1:10" x14ac:dyDescent="0.25">
      <c r="A1628" s="1" t="s">
        <v>2686</v>
      </c>
      <c r="B1628" t="s">
        <v>2687</v>
      </c>
      <c r="C1628" s="1" t="s">
        <v>2391</v>
      </c>
      <c r="D1628" s="1" t="s">
        <v>2391</v>
      </c>
      <c r="E1628" t="s">
        <v>2392</v>
      </c>
      <c r="F1628" s="2" t="s">
        <v>2393</v>
      </c>
      <c r="G1628" t="s">
        <v>49</v>
      </c>
      <c r="H1628" s="2" t="s">
        <v>50</v>
      </c>
      <c r="I1628" s="2">
        <v>75.150000000000006</v>
      </c>
      <c r="J1628" t="s">
        <v>55</v>
      </c>
    </row>
    <row r="1629" spans="1:10" x14ac:dyDescent="0.25">
      <c r="A1629" s="1" t="s">
        <v>2686</v>
      </c>
      <c r="B1629" t="s">
        <v>2687</v>
      </c>
      <c r="C1629" s="1" t="s">
        <v>2708</v>
      </c>
      <c r="D1629" s="1" t="s">
        <v>2708</v>
      </c>
      <c r="E1629" t="s">
        <v>2709</v>
      </c>
      <c r="F1629" s="2" t="s">
        <v>2710</v>
      </c>
      <c r="G1629" t="s">
        <v>121</v>
      </c>
      <c r="H1629" s="2" t="s">
        <v>50</v>
      </c>
      <c r="I1629" s="2">
        <v>8.75</v>
      </c>
    </row>
    <row r="1630" spans="1:10" x14ac:dyDescent="0.25">
      <c r="A1630" s="1" t="s">
        <v>2686</v>
      </c>
      <c r="B1630" t="s">
        <v>2687</v>
      </c>
      <c r="C1630" s="1" t="s">
        <v>684</v>
      </c>
      <c r="D1630" s="1" t="s">
        <v>684</v>
      </c>
      <c r="E1630" t="s">
        <v>685</v>
      </c>
      <c r="F1630" s="2" t="s">
        <v>686</v>
      </c>
      <c r="G1630" t="s">
        <v>49</v>
      </c>
      <c r="H1630" s="2" t="s">
        <v>2711</v>
      </c>
      <c r="I1630" s="2">
        <v>192.45</v>
      </c>
    </row>
    <row r="1631" spans="1:10" x14ac:dyDescent="0.25">
      <c r="A1631" s="1" t="s">
        <v>2686</v>
      </c>
      <c r="B1631" t="s">
        <v>2687</v>
      </c>
      <c r="C1631" s="1" t="s">
        <v>684</v>
      </c>
      <c r="D1631" s="1" t="s">
        <v>684</v>
      </c>
      <c r="E1631" t="s">
        <v>685</v>
      </c>
      <c r="F1631" s="2" t="s">
        <v>686</v>
      </c>
      <c r="G1631" t="s">
        <v>49</v>
      </c>
      <c r="H1631" s="2" t="s">
        <v>2712</v>
      </c>
      <c r="I1631" s="2">
        <v>204</v>
      </c>
    </row>
    <row r="1632" spans="1:10" x14ac:dyDescent="0.25">
      <c r="A1632" s="1" t="s">
        <v>2686</v>
      </c>
      <c r="B1632" t="s">
        <v>2687</v>
      </c>
      <c r="C1632" s="1" t="s">
        <v>541</v>
      </c>
      <c r="D1632" s="1" t="s">
        <v>541</v>
      </c>
      <c r="E1632" t="s">
        <v>542</v>
      </c>
      <c r="F1632" s="2" t="s">
        <v>811</v>
      </c>
      <c r="G1632" t="s">
        <v>10</v>
      </c>
      <c r="H1632" s="2" t="s">
        <v>861</v>
      </c>
      <c r="I1632" s="2">
        <v>286.88</v>
      </c>
    </row>
    <row r="1633" spans="1:9" x14ac:dyDescent="0.25">
      <c r="A1633" s="1" t="s">
        <v>2713</v>
      </c>
      <c r="B1633" t="s">
        <v>2714</v>
      </c>
      <c r="C1633" s="1" t="s">
        <v>2715</v>
      </c>
      <c r="D1633" s="1" t="s">
        <v>2715</v>
      </c>
      <c r="E1633" t="s">
        <v>2716</v>
      </c>
      <c r="F1633" s="2" t="s">
        <v>2717</v>
      </c>
      <c r="G1633" t="s">
        <v>121</v>
      </c>
      <c r="H1633" s="2" t="s">
        <v>50</v>
      </c>
      <c r="I1633" s="2">
        <v>0.7</v>
      </c>
    </row>
    <row r="1634" spans="1:9" x14ac:dyDescent="0.25">
      <c r="A1634" s="1" t="s">
        <v>2713</v>
      </c>
      <c r="B1634" t="s">
        <v>2714</v>
      </c>
      <c r="C1634" s="1" t="s">
        <v>684</v>
      </c>
      <c r="D1634" s="1" t="s">
        <v>684</v>
      </c>
      <c r="E1634" t="s">
        <v>685</v>
      </c>
      <c r="F1634" s="2" t="s">
        <v>686</v>
      </c>
      <c r="G1634" t="s">
        <v>49</v>
      </c>
      <c r="H1634" s="2" t="s">
        <v>2718</v>
      </c>
      <c r="I1634" s="2">
        <v>12</v>
      </c>
    </row>
    <row r="1635" spans="1:9" x14ac:dyDescent="0.25">
      <c r="A1635" s="1" t="s">
        <v>2713</v>
      </c>
      <c r="B1635" t="s">
        <v>2714</v>
      </c>
      <c r="C1635" s="1" t="s">
        <v>541</v>
      </c>
      <c r="D1635" s="1" t="s">
        <v>541</v>
      </c>
      <c r="E1635" t="s">
        <v>542</v>
      </c>
      <c r="F1635" s="2" t="s">
        <v>811</v>
      </c>
      <c r="G1635" t="s">
        <v>10</v>
      </c>
      <c r="H1635" s="2" t="s">
        <v>992</v>
      </c>
      <c r="I1635" s="2">
        <v>38.25</v>
      </c>
    </row>
    <row r="1636" spans="1:9" x14ac:dyDescent="0.25">
      <c r="A1636" s="1" t="s">
        <v>2719</v>
      </c>
      <c r="B1636" t="s">
        <v>2720</v>
      </c>
      <c r="C1636" s="1" t="s">
        <v>2412</v>
      </c>
      <c r="D1636" s="1" t="s">
        <v>2412</v>
      </c>
      <c r="E1636" t="s">
        <v>2413</v>
      </c>
      <c r="F1636" s="2" t="s">
        <v>423</v>
      </c>
      <c r="G1636" t="s">
        <v>121</v>
      </c>
      <c r="H1636" s="2" t="s">
        <v>50</v>
      </c>
      <c r="I1636" s="2">
        <v>2.8</v>
      </c>
    </row>
    <row r="1637" spans="1:9" x14ac:dyDescent="0.25">
      <c r="A1637" s="1" t="s">
        <v>2719</v>
      </c>
      <c r="B1637" t="s">
        <v>2720</v>
      </c>
      <c r="C1637" s="1" t="s">
        <v>684</v>
      </c>
      <c r="D1637" s="1" t="s">
        <v>684</v>
      </c>
      <c r="E1637" t="s">
        <v>685</v>
      </c>
      <c r="F1637" s="2" t="s">
        <v>686</v>
      </c>
      <c r="G1637" t="s">
        <v>49</v>
      </c>
      <c r="H1637" s="2" t="s">
        <v>2721</v>
      </c>
      <c r="I1637" s="2">
        <v>20.100000000000001</v>
      </c>
    </row>
    <row r="1638" spans="1:9" x14ac:dyDescent="0.25">
      <c r="A1638" s="1" t="s">
        <v>2719</v>
      </c>
      <c r="B1638" t="s">
        <v>2720</v>
      </c>
      <c r="C1638" s="1" t="s">
        <v>541</v>
      </c>
      <c r="D1638" s="1" t="s">
        <v>541</v>
      </c>
      <c r="E1638" t="s">
        <v>542</v>
      </c>
      <c r="F1638" s="2" t="s">
        <v>9</v>
      </c>
      <c r="G1638" t="s">
        <v>10</v>
      </c>
      <c r="H1638" s="2" t="s">
        <v>2471</v>
      </c>
      <c r="I1638" s="2">
        <v>12.1</v>
      </c>
    </row>
    <row r="1639" spans="1:9" x14ac:dyDescent="0.25">
      <c r="A1639" s="1" t="s">
        <v>2722</v>
      </c>
      <c r="B1639" t="s">
        <v>2723</v>
      </c>
      <c r="C1639" s="1" t="s">
        <v>2724</v>
      </c>
      <c r="D1639" s="1" t="s">
        <v>2724</v>
      </c>
      <c r="E1639" t="s">
        <v>2725</v>
      </c>
      <c r="F1639" s="2" t="s">
        <v>343</v>
      </c>
      <c r="G1639" t="s">
        <v>121</v>
      </c>
      <c r="H1639" s="2" t="s">
        <v>50</v>
      </c>
      <c r="I1639" s="2">
        <v>3.4</v>
      </c>
    </row>
    <row r="1640" spans="1:9" x14ac:dyDescent="0.25">
      <c r="A1640" s="1" t="s">
        <v>2722</v>
      </c>
      <c r="B1640" t="s">
        <v>2723</v>
      </c>
      <c r="C1640" s="1" t="s">
        <v>684</v>
      </c>
      <c r="D1640" s="1" t="s">
        <v>684</v>
      </c>
      <c r="E1640" t="s">
        <v>685</v>
      </c>
      <c r="F1640" s="2" t="s">
        <v>686</v>
      </c>
      <c r="G1640" t="s">
        <v>49</v>
      </c>
      <c r="H1640" s="2" t="s">
        <v>983</v>
      </c>
      <c r="I1640" s="2">
        <v>18.100000000000001</v>
      </c>
    </row>
    <row r="1641" spans="1:9" x14ac:dyDescent="0.25">
      <c r="A1641" s="1" t="s">
        <v>2722</v>
      </c>
      <c r="B1641" t="s">
        <v>2723</v>
      </c>
      <c r="C1641" s="1" t="s">
        <v>541</v>
      </c>
      <c r="D1641" s="1" t="s">
        <v>541</v>
      </c>
      <c r="E1641" t="s">
        <v>542</v>
      </c>
      <c r="F1641" s="2" t="s">
        <v>811</v>
      </c>
      <c r="G1641" t="s">
        <v>10</v>
      </c>
      <c r="H1641" s="2" t="s">
        <v>992</v>
      </c>
      <c r="I1641" s="2">
        <v>38.25</v>
      </c>
    </row>
    <row r="1642" spans="1:9" x14ac:dyDescent="0.25">
      <c r="A1642" s="1" t="s">
        <v>2726</v>
      </c>
      <c r="B1642" t="s">
        <v>2727</v>
      </c>
      <c r="C1642" s="1" t="s">
        <v>1890</v>
      </c>
      <c r="D1642" s="1" t="s">
        <v>1890</v>
      </c>
      <c r="E1642" t="s">
        <v>1891</v>
      </c>
      <c r="F1642" s="2" t="s">
        <v>2728</v>
      </c>
      <c r="G1642" t="s">
        <v>5</v>
      </c>
      <c r="H1642" s="2" t="s">
        <v>2729</v>
      </c>
      <c r="I1642" s="2">
        <v>0.02</v>
      </c>
    </row>
    <row r="1643" spans="1:9" x14ac:dyDescent="0.25">
      <c r="A1643" s="1" t="s">
        <v>2726</v>
      </c>
      <c r="B1643" t="s">
        <v>2727</v>
      </c>
      <c r="C1643" s="1" t="s">
        <v>2730</v>
      </c>
      <c r="D1643" s="1" t="s">
        <v>2730</v>
      </c>
      <c r="E1643" t="s">
        <v>2731</v>
      </c>
      <c r="F1643" s="2" t="s">
        <v>2732</v>
      </c>
      <c r="G1643" t="s">
        <v>5</v>
      </c>
      <c r="H1643" s="2" t="s">
        <v>598</v>
      </c>
      <c r="I1643" s="2">
        <v>0.23</v>
      </c>
    </row>
    <row r="1644" spans="1:9" x14ac:dyDescent="0.25">
      <c r="A1644" s="1" t="s">
        <v>2726</v>
      </c>
      <c r="B1644" t="s">
        <v>2727</v>
      </c>
      <c r="C1644" s="1" t="s">
        <v>2733</v>
      </c>
      <c r="D1644" s="1" t="s">
        <v>2733</v>
      </c>
      <c r="E1644" t="s">
        <v>2734</v>
      </c>
      <c r="F1644" s="2" t="s">
        <v>990</v>
      </c>
      <c r="G1644" t="s">
        <v>39</v>
      </c>
      <c r="H1644" s="2" t="s">
        <v>605</v>
      </c>
      <c r="I1644" s="2">
        <v>0.18</v>
      </c>
    </row>
    <row r="1645" spans="1:9" x14ac:dyDescent="0.25">
      <c r="A1645" s="1" t="s">
        <v>2726</v>
      </c>
      <c r="B1645" t="s">
        <v>2727</v>
      </c>
      <c r="C1645" s="1" t="s">
        <v>2735</v>
      </c>
      <c r="D1645" s="1" t="s">
        <v>2735</v>
      </c>
      <c r="E1645" t="s">
        <v>2736</v>
      </c>
      <c r="F1645" s="2" t="s">
        <v>2737</v>
      </c>
      <c r="G1645" t="s">
        <v>121</v>
      </c>
      <c r="H1645" s="2" t="s">
        <v>319</v>
      </c>
      <c r="I1645" s="2">
        <v>4.62</v>
      </c>
    </row>
    <row r="1646" spans="1:9" x14ac:dyDescent="0.25">
      <c r="A1646" s="1" t="s">
        <v>2726</v>
      </c>
      <c r="B1646" t="s">
        <v>2727</v>
      </c>
      <c r="C1646" s="1" t="s">
        <v>2738</v>
      </c>
      <c r="D1646" s="1" t="s">
        <v>2738</v>
      </c>
      <c r="E1646" t="s">
        <v>2739</v>
      </c>
      <c r="F1646" s="2" t="s">
        <v>168</v>
      </c>
      <c r="G1646" t="s">
        <v>121</v>
      </c>
      <c r="H1646" s="2" t="s">
        <v>2740</v>
      </c>
      <c r="I1646" s="2">
        <v>0.53</v>
      </c>
    </row>
    <row r="1647" spans="1:9" x14ac:dyDescent="0.25">
      <c r="A1647" s="1" t="s">
        <v>2726</v>
      </c>
      <c r="B1647" t="s">
        <v>2727</v>
      </c>
      <c r="C1647" s="1" t="s">
        <v>2741</v>
      </c>
      <c r="D1647" s="1" t="s">
        <v>2741</v>
      </c>
      <c r="E1647" t="s">
        <v>2742</v>
      </c>
      <c r="F1647" s="2" t="s">
        <v>2743</v>
      </c>
      <c r="G1647" t="s">
        <v>121</v>
      </c>
      <c r="H1647" s="2" t="s">
        <v>122</v>
      </c>
      <c r="I1647" s="2">
        <v>0.36</v>
      </c>
    </row>
    <row r="1648" spans="1:9" x14ac:dyDescent="0.25">
      <c r="A1648" s="1" t="s">
        <v>2726</v>
      </c>
      <c r="B1648" t="s">
        <v>2727</v>
      </c>
      <c r="C1648" s="1" t="s">
        <v>41</v>
      </c>
      <c r="D1648" s="1" t="s">
        <v>41</v>
      </c>
      <c r="E1648" t="s">
        <v>42</v>
      </c>
      <c r="F1648" s="2" t="s">
        <v>513</v>
      </c>
      <c r="G1648" t="s">
        <v>5</v>
      </c>
      <c r="H1648" s="2" t="s">
        <v>1543</v>
      </c>
      <c r="I1648" s="2">
        <v>0.02</v>
      </c>
    </row>
    <row r="1649" spans="1:10" x14ac:dyDescent="0.25">
      <c r="A1649" s="1" t="s">
        <v>2726</v>
      </c>
      <c r="B1649" t="s">
        <v>2727</v>
      </c>
      <c r="C1649" s="1" t="s">
        <v>2744</v>
      </c>
      <c r="D1649" s="1" t="s">
        <v>2744</v>
      </c>
      <c r="E1649" t="s">
        <v>2745</v>
      </c>
      <c r="F1649" s="2" t="s">
        <v>1675</v>
      </c>
      <c r="G1649" t="s">
        <v>49</v>
      </c>
      <c r="H1649" s="2" t="s">
        <v>50</v>
      </c>
      <c r="I1649" s="2">
        <v>20.8</v>
      </c>
    </row>
    <row r="1650" spans="1:10" x14ac:dyDescent="0.25">
      <c r="A1650" s="1" t="s">
        <v>2726</v>
      </c>
      <c r="B1650" t="s">
        <v>2727</v>
      </c>
      <c r="C1650" s="1" t="s">
        <v>2746</v>
      </c>
      <c r="D1650" s="1" t="s">
        <v>2746</v>
      </c>
      <c r="E1650" t="s">
        <v>2747</v>
      </c>
      <c r="F1650" s="2" t="s">
        <v>876</v>
      </c>
      <c r="G1650" t="s">
        <v>49</v>
      </c>
      <c r="H1650" s="2" t="s">
        <v>92</v>
      </c>
      <c r="I1650" s="2">
        <v>24</v>
      </c>
    </row>
    <row r="1651" spans="1:10" x14ac:dyDescent="0.25">
      <c r="A1651" s="1" t="s">
        <v>2726</v>
      </c>
      <c r="B1651" t="s">
        <v>2727</v>
      </c>
      <c r="C1651" s="1" t="s">
        <v>2748</v>
      </c>
      <c r="D1651" s="1" t="s">
        <v>2748</v>
      </c>
      <c r="E1651" t="s">
        <v>2749</v>
      </c>
      <c r="F1651" s="2" t="s">
        <v>2750</v>
      </c>
      <c r="G1651" t="s">
        <v>49</v>
      </c>
      <c r="H1651" s="2" t="s">
        <v>122</v>
      </c>
      <c r="I1651" s="2">
        <v>62.4</v>
      </c>
    </row>
    <row r="1652" spans="1:10" x14ac:dyDescent="0.25">
      <c r="A1652" s="1" t="s">
        <v>2726</v>
      </c>
      <c r="B1652" t="s">
        <v>2727</v>
      </c>
      <c r="C1652" s="1" t="s">
        <v>2751</v>
      </c>
      <c r="D1652" s="1" t="s">
        <v>2751</v>
      </c>
      <c r="E1652" t="s">
        <v>2752</v>
      </c>
      <c r="F1652" s="2" t="s">
        <v>2036</v>
      </c>
      <c r="G1652" t="s">
        <v>49</v>
      </c>
      <c r="H1652" s="2" t="s">
        <v>122</v>
      </c>
      <c r="I1652" s="2">
        <v>3.2</v>
      </c>
    </row>
    <row r="1653" spans="1:10" x14ac:dyDescent="0.25">
      <c r="A1653" s="1" t="s">
        <v>2726</v>
      </c>
      <c r="B1653" t="s">
        <v>2727</v>
      </c>
      <c r="C1653" s="1" t="s">
        <v>2753</v>
      </c>
      <c r="D1653" s="1" t="s">
        <v>2753</v>
      </c>
      <c r="E1653" t="s">
        <v>2754</v>
      </c>
      <c r="F1653" s="2" t="s">
        <v>2755</v>
      </c>
      <c r="G1653" t="s">
        <v>49</v>
      </c>
      <c r="H1653" s="2" t="s">
        <v>50</v>
      </c>
      <c r="I1653" s="2">
        <v>15.15</v>
      </c>
      <c r="J1653" t="s">
        <v>55</v>
      </c>
    </row>
    <row r="1654" spans="1:10" x14ac:dyDescent="0.25">
      <c r="A1654" s="1" t="s">
        <v>2726</v>
      </c>
      <c r="B1654" t="s">
        <v>2727</v>
      </c>
      <c r="C1654" s="1" t="s">
        <v>1989</v>
      </c>
      <c r="D1654" s="1" t="s">
        <v>1989</v>
      </c>
      <c r="E1654" t="s">
        <v>1990</v>
      </c>
      <c r="F1654" s="2" t="s">
        <v>1991</v>
      </c>
      <c r="G1654" t="s">
        <v>435</v>
      </c>
      <c r="H1654" s="2" t="s">
        <v>1359</v>
      </c>
      <c r="I1654" s="2">
        <v>13.8</v>
      </c>
    </row>
    <row r="1655" spans="1:10" x14ac:dyDescent="0.25">
      <c r="A1655" s="1" t="s">
        <v>2726</v>
      </c>
      <c r="B1655" t="s">
        <v>2727</v>
      </c>
      <c r="C1655" s="1" t="s">
        <v>541</v>
      </c>
      <c r="D1655" s="1" t="s">
        <v>541</v>
      </c>
      <c r="E1655" t="s">
        <v>542</v>
      </c>
      <c r="F1655" s="2" t="s">
        <v>9</v>
      </c>
      <c r="G1655" t="s">
        <v>10</v>
      </c>
      <c r="H1655" s="2" t="s">
        <v>2756</v>
      </c>
      <c r="I1655" s="2">
        <v>5.85</v>
      </c>
    </row>
    <row r="1656" spans="1:10" x14ac:dyDescent="0.25">
      <c r="A1656" s="1" t="s">
        <v>2726</v>
      </c>
      <c r="B1656" t="s">
        <v>2727</v>
      </c>
      <c r="C1656" s="1" t="s">
        <v>541</v>
      </c>
      <c r="D1656" s="1" t="s">
        <v>541</v>
      </c>
      <c r="E1656" t="s">
        <v>542</v>
      </c>
      <c r="F1656" s="2" t="s">
        <v>9</v>
      </c>
      <c r="G1656" t="s">
        <v>10</v>
      </c>
      <c r="H1656" s="2" t="s">
        <v>2757</v>
      </c>
      <c r="I1656" s="2">
        <v>15.97</v>
      </c>
    </row>
    <row r="1657" spans="1:10" x14ac:dyDescent="0.25">
      <c r="A1657" s="1" t="s">
        <v>2758</v>
      </c>
      <c r="B1657" t="s">
        <v>2759</v>
      </c>
      <c r="C1657" s="1" t="s">
        <v>2760</v>
      </c>
      <c r="D1657" s="1" t="s">
        <v>2760</v>
      </c>
      <c r="E1657" t="s">
        <v>2761</v>
      </c>
      <c r="F1657" s="2" t="s">
        <v>1768</v>
      </c>
      <c r="G1657" t="s">
        <v>121</v>
      </c>
      <c r="H1657" s="2" t="s">
        <v>50</v>
      </c>
      <c r="I1657" s="2">
        <v>0</v>
      </c>
    </row>
    <row r="1658" spans="1:10" x14ac:dyDescent="0.25">
      <c r="A1658" s="1" t="s">
        <v>2758</v>
      </c>
      <c r="B1658" t="s">
        <v>2759</v>
      </c>
      <c r="C1658" s="1" t="s">
        <v>2762</v>
      </c>
      <c r="D1658" s="1" t="s">
        <v>2762</v>
      </c>
      <c r="E1658" t="s">
        <v>2763</v>
      </c>
      <c r="F1658" s="2" t="s">
        <v>311</v>
      </c>
      <c r="G1658" t="s">
        <v>5</v>
      </c>
      <c r="H1658" s="2" t="s">
        <v>2764</v>
      </c>
      <c r="I1658" s="2">
        <v>18.850000000000001</v>
      </c>
    </row>
    <row r="1659" spans="1:10" x14ac:dyDescent="0.25">
      <c r="A1659" s="1" t="s">
        <v>2758</v>
      </c>
      <c r="B1659" t="s">
        <v>2759</v>
      </c>
      <c r="C1659" s="1" t="s">
        <v>2765</v>
      </c>
      <c r="D1659" s="1" t="s">
        <v>2765</v>
      </c>
      <c r="E1659" t="s">
        <v>2766</v>
      </c>
      <c r="F1659" s="2" t="s">
        <v>2767</v>
      </c>
      <c r="G1659" t="s">
        <v>121</v>
      </c>
      <c r="H1659" s="2" t="s">
        <v>50</v>
      </c>
      <c r="I1659" s="2">
        <v>349</v>
      </c>
    </row>
    <row r="1660" spans="1:10" x14ac:dyDescent="0.25">
      <c r="A1660" s="1" t="s">
        <v>2758</v>
      </c>
      <c r="B1660" t="s">
        <v>2759</v>
      </c>
      <c r="C1660" s="1" t="s">
        <v>2768</v>
      </c>
      <c r="D1660" s="1" t="s">
        <v>2768</v>
      </c>
      <c r="E1660" t="s">
        <v>2769</v>
      </c>
      <c r="F1660" s="2" t="s">
        <v>311</v>
      </c>
      <c r="G1660" t="s">
        <v>5</v>
      </c>
      <c r="H1660" s="2" t="s">
        <v>2770</v>
      </c>
      <c r="I1660" s="2">
        <v>0.03</v>
      </c>
    </row>
    <row r="1661" spans="1:10" x14ac:dyDescent="0.25">
      <c r="A1661" s="1" t="s">
        <v>2758</v>
      </c>
      <c r="B1661" t="s">
        <v>2759</v>
      </c>
      <c r="C1661" s="1" t="s">
        <v>2771</v>
      </c>
      <c r="D1661" s="1" t="s">
        <v>2771</v>
      </c>
      <c r="E1661" t="s">
        <v>2772</v>
      </c>
      <c r="F1661" s="2" t="s">
        <v>1964</v>
      </c>
      <c r="G1661" t="s">
        <v>5</v>
      </c>
      <c r="H1661" s="2" t="s">
        <v>2773</v>
      </c>
      <c r="I1661" s="2">
        <v>0.53</v>
      </c>
    </row>
    <row r="1662" spans="1:10" x14ac:dyDescent="0.25">
      <c r="A1662" s="1" t="s">
        <v>2758</v>
      </c>
      <c r="B1662" t="s">
        <v>2759</v>
      </c>
      <c r="C1662" s="1" t="s">
        <v>2774</v>
      </c>
      <c r="D1662" s="1" t="s">
        <v>2774</v>
      </c>
      <c r="E1662" t="s">
        <v>2775</v>
      </c>
      <c r="F1662" s="2" t="s">
        <v>2776</v>
      </c>
      <c r="G1662" t="s">
        <v>5</v>
      </c>
      <c r="H1662" s="2" t="s">
        <v>2777</v>
      </c>
      <c r="I1662" s="2">
        <v>0.38</v>
      </c>
    </row>
    <row r="1663" spans="1:10" x14ac:dyDescent="0.25">
      <c r="A1663" s="1" t="s">
        <v>2758</v>
      </c>
      <c r="B1663" t="s">
        <v>2759</v>
      </c>
      <c r="C1663" s="1" t="s">
        <v>2778</v>
      </c>
      <c r="D1663" s="1" t="s">
        <v>2778</v>
      </c>
      <c r="E1663" t="s">
        <v>2779</v>
      </c>
      <c r="F1663" s="2" t="s">
        <v>2780</v>
      </c>
      <c r="G1663" t="s">
        <v>1965</v>
      </c>
      <c r="H1663" s="2" t="s">
        <v>605</v>
      </c>
      <c r="I1663" s="2">
        <v>1.87</v>
      </c>
    </row>
    <row r="1664" spans="1:10" x14ac:dyDescent="0.25">
      <c r="A1664" s="1" t="s">
        <v>2758</v>
      </c>
      <c r="B1664" t="s">
        <v>2759</v>
      </c>
      <c r="C1664" s="1" t="s">
        <v>2781</v>
      </c>
      <c r="D1664" s="1" t="s">
        <v>2781</v>
      </c>
      <c r="E1664" t="s">
        <v>2782</v>
      </c>
      <c r="F1664" s="2" t="s">
        <v>2783</v>
      </c>
      <c r="G1664" t="s">
        <v>1965</v>
      </c>
      <c r="H1664" s="2" t="s">
        <v>605</v>
      </c>
      <c r="I1664" s="2">
        <v>1.1200000000000001</v>
      </c>
    </row>
    <row r="1665" spans="1:10" x14ac:dyDescent="0.25">
      <c r="A1665" s="1" t="s">
        <v>2758</v>
      </c>
      <c r="B1665" t="s">
        <v>2759</v>
      </c>
      <c r="C1665" s="1" t="s">
        <v>2784</v>
      </c>
      <c r="D1665" s="1" t="s">
        <v>2784</v>
      </c>
      <c r="E1665" t="s">
        <v>2785</v>
      </c>
      <c r="F1665" s="2" t="s">
        <v>2786</v>
      </c>
      <c r="G1665" t="s">
        <v>5</v>
      </c>
      <c r="H1665" s="2" t="s">
        <v>2787</v>
      </c>
      <c r="I1665" s="2">
        <v>1.01</v>
      </c>
    </row>
    <row r="1666" spans="1:10" x14ac:dyDescent="0.25">
      <c r="A1666" s="1" t="s">
        <v>2758</v>
      </c>
      <c r="B1666" t="s">
        <v>2759</v>
      </c>
      <c r="C1666" s="1" t="s">
        <v>628</v>
      </c>
      <c r="D1666" s="1" t="s">
        <v>628</v>
      </c>
      <c r="E1666" t="s">
        <v>629</v>
      </c>
      <c r="F1666" s="2" t="s">
        <v>630</v>
      </c>
      <c r="G1666" t="s">
        <v>5</v>
      </c>
      <c r="H1666" s="2" t="s">
        <v>2788</v>
      </c>
      <c r="I1666" s="2">
        <v>0.08</v>
      </c>
    </row>
    <row r="1667" spans="1:10" x14ac:dyDescent="0.25">
      <c r="A1667" s="1" t="s">
        <v>2758</v>
      </c>
      <c r="B1667" t="s">
        <v>2759</v>
      </c>
      <c r="C1667" s="1" t="s">
        <v>483</v>
      </c>
      <c r="D1667" s="1" t="s">
        <v>483</v>
      </c>
      <c r="E1667" t="s">
        <v>484</v>
      </c>
      <c r="F1667" s="2" t="s">
        <v>2789</v>
      </c>
      <c r="G1667" t="s">
        <v>5</v>
      </c>
      <c r="H1667" s="2" t="s">
        <v>615</v>
      </c>
      <c r="I1667" s="2">
        <v>0.08</v>
      </c>
    </row>
    <row r="1668" spans="1:10" x14ac:dyDescent="0.25">
      <c r="A1668" s="1" t="s">
        <v>2758</v>
      </c>
      <c r="B1668" t="s">
        <v>2759</v>
      </c>
      <c r="C1668" s="1" t="s">
        <v>1971</v>
      </c>
      <c r="D1668" s="1" t="s">
        <v>1971</v>
      </c>
      <c r="E1668" t="s">
        <v>1972</v>
      </c>
      <c r="F1668" s="2" t="s">
        <v>1964</v>
      </c>
      <c r="G1668" t="s">
        <v>5</v>
      </c>
      <c r="H1668" s="2" t="s">
        <v>2790</v>
      </c>
      <c r="I1668" s="2">
        <v>0.1</v>
      </c>
    </row>
    <row r="1669" spans="1:10" x14ac:dyDescent="0.25">
      <c r="A1669" s="1" t="s">
        <v>2758</v>
      </c>
      <c r="B1669" t="s">
        <v>2759</v>
      </c>
      <c r="C1669" s="1" t="s">
        <v>2791</v>
      </c>
      <c r="D1669" s="1" t="s">
        <v>2791</v>
      </c>
      <c r="E1669" t="s">
        <v>2792</v>
      </c>
      <c r="F1669" s="2" t="s">
        <v>2793</v>
      </c>
      <c r="G1669" t="s">
        <v>121</v>
      </c>
      <c r="H1669" s="2" t="s">
        <v>367</v>
      </c>
      <c r="I1669" s="2">
        <v>0.94</v>
      </c>
    </row>
    <row r="1670" spans="1:10" x14ac:dyDescent="0.25">
      <c r="A1670" s="1" t="s">
        <v>2758</v>
      </c>
      <c r="B1670" t="s">
        <v>2759</v>
      </c>
      <c r="C1670" s="1" t="s">
        <v>2738</v>
      </c>
      <c r="D1670" s="1" t="s">
        <v>2738</v>
      </c>
      <c r="E1670" t="s">
        <v>2739</v>
      </c>
      <c r="F1670" s="2" t="s">
        <v>168</v>
      </c>
      <c r="G1670" t="s">
        <v>121</v>
      </c>
      <c r="H1670" s="2" t="s">
        <v>1371</v>
      </c>
      <c r="I1670" s="2">
        <v>0.21</v>
      </c>
    </row>
    <row r="1671" spans="1:10" x14ac:dyDescent="0.25">
      <c r="A1671" s="1" t="s">
        <v>2758</v>
      </c>
      <c r="B1671" t="s">
        <v>2759</v>
      </c>
      <c r="C1671" s="1" t="s">
        <v>2794</v>
      </c>
      <c r="D1671" s="1" t="s">
        <v>2794</v>
      </c>
      <c r="E1671" t="s">
        <v>2795</v>
      </c>
      <c r="F1671" s="2" t="s">
        <v>712</v>
      </c>
      <c r="G1671" t="s">
        <v>121</v>
      </c>
      <c r="H1671" s="2" t="s">
        <v>594</v>
      </c>
      <c r="I1671" s="2">
        <v>6.25</v>
      </c>
    </row>
    <row r="1672" spans="1:10" x14ac:dyDescent="0.25">
      <c r="A1672" s="1" t="s">
        <v>2758</v>
      </c>
      <c r="B1672" t="s">
        <v>2759</v>
      </c>
      <c r="C1672" s="1" t="s">
        <v>41</v>
      </c>
      <c r="D1672" s="1" t="s">
        <v>41</v>
      </c>
      <c r="E1672" t="s">
        <v>42</v>
      </c>
      <c r="F1672" s="2" t="s">
        <v>513</v>
      </c>
      <c r="G1672" t="s">
        <v>5</v>
      </c>
      <c r="H1672" s="2" t="s">
        <v>2796</v>
      </c>
      <c r="I1672" s="2">
        <v>0.3</v>
      </c>
    </row>
    <row r="1673" spans="1:10" x14ac:dyDescent="0.25">
      <c r="A1673" s="1" t="s">
        <v>2758</v>
      </c>
      <c r="B1673" t="s">
        <v>2759</v>
      </c>
      <c r="C1673" s="1" t="s">
        <v>2797</v>
      </c>
      <c r="D1673" s="1" t="s">
        <v>2797</v>
      </c>
      <c r="E1673" t="s">
        <v>2798</v>
      </c>
      <c r="F1673" s="2" t="s">
        <v>2799</v>
      </c>
      <c r="G1673" t="s">
        <v>121</v>
      </c>
      <c r="H1673" s="2" t="s">
        <v>50</v>
      </c>
      <c r="I1673" s="2">
        <v>2.41</v>
      </c>
    </row>
    <row r="1674" spans="1:10" x14ac:dyDescent="0.25">
      <c r="A1674" s="1" t="s">
        <v>2758</v>
      </c>
      <c r="B1674" t="s">
        <v>2759</v>
      </c>
      <c r="C1674" s="1" t="s">
        <v>2800</v>
      </c>
      <c r="D1674" s="1" t="s">
        <v>2800</v>
      </c>
      <c r="E1674" t="s">
        <v>2801</v>
      </c>
      <c r="F1674" s="2" t="s">
        <v>2802</v>
      </c>
      <c r="G1674" t="s">
        <v>121</v>
      </c>
      <c r="H1674" s="2" t="s">
        <v>50</v>
      </c>
      <c r="I1674" s="2">
        <v>157.28</v>
      </c>
      <c r="J1674" t="s">
        <v>55</v>
      </c>
    </row>
    <row r="1675" spans="1:10" x14ac:dyDescent="0.25">
      <c r="A1675" s="1" t="s">
        <v>2758</v>
      </c>
      <c r="B1675" t="s">
        <v>2759</v>
      </c>
      <c r="C1675" s="1" t="s">
        <v>2803</v>
      </c>
      <c r="D1675" s="1" t="s">
        <v>2803</v>
      </c>
      <c r="E1675" t="s">
        <v>2804</v>
      </c>
      <c r="F1675" s="2" t="s">
        <v>2805</v>
      </c>
      <c r="G1675" t="s">
        <v>121</v>
      </c>
      <c r="H1675" s="2" t="s">
        <v>50</v>
      </c>
      <c r="I1675" s="2">
        <v>122.15</v>
      </c>
      <c r="J1675" t="s">
        <v>55</v>
      </c>
    </row>
    <row r="1676" spans="1:10" x14ac:dyDescent="0.25">
      <c r="A1676" s="1" t="s">
        <v>2758</v>
      </c>
      <c r="B1676" t="s">
        <v>2759</v>
      </c>
      <c r="C1676" s="1" t="s">
        <v>2806</v>
      </c>
      <c r="D1676" s="1" t="s">
        <v>2806</v>
      </c>
      <c r="E1676" t="s">
        <v>2807</v>
      </c>
      <c r="F1676" s="2" t="s">
        <v>2808</v>
      </c>
      <c r="G1676" t="s">
        <v>121</v>
      </c>
      <c r="H1676" s="2" t="s">
        <v>50</v>
      </c>
      <c r="I1676" s="2">
        <v>178.11</v>
      </c>
      <c r="J1676" t="s">
        <v>55</v>
      </c>
    </row>
    <row r="1677" spans="1:10" x14ac:dyDescent="0.25">
      <c r="A1677" s="1" t="s">
        <v>2758</v>
      </c>
      <c r="B1677" t="s">
        <v>2759</v>
      </c>
      <c r="C1677" s="1" t="s">
        <v>2809</v>
      </c>
      <c r="D1677" s="1" t="s">
        <v>2809</v>
      </c>
      <c r="E1677" t="s">
        <v>2810</v>
      </c>
      <c r="F1677" s="2" t="s">
        <v>2811</v>
      </c>
      <c r="G1677" t="s">
        <v>121</v>
      </c>
      <c r="H1677" s="2" t="s">
        <v>50</v>
      </c>
      <c r="I1677" s="2">
        <v>74.95</v>
      </c>
      <c r="J1677" t="s">
        <v>55</v>
      </c>
    </row>
    <row r="1678" spans="1:10" x14ac:dyDescent="0.25">
      <c r="A1678" s="1" t="s">
        <v>2758</v>
      </c>
      <c r="B1678" t="s">
        <v>2759</v>
      </c>
      <c r="C1678" s="1" t="s">
        <v>2812</v>
      </c>
      <c r="D1678" s="1" t="s">
        <v>2812</v>
      </c>
      <c r="E1678" t="s">
        <v>2813</v>
      </c>
      <c r="F1678" s="2" t="s">
        <v>2814</v>
      </c>
      <c r="G1678" t="s">
        <v>121</v>
      </c>
      <c r="H1678" s="2" t="s">
        <v>50</v>
      </c>
      <c r="I1678" s="2">
        <v>6.78</v>
      </c>
      <c r="J1678" t="s">
        <v>55</v>
      </c>
    </row>
    <row r="1679" spans="1:10" x14ac:dyDescent="0.25">
      <c r="A1679" s="1" t="s">
        <v>2758</v>
      </c>
      <c r="B1679" t="s">
        <v>2759</v>
      </c>
      <c r="C1679" s="1" t="s">
        <v>2815</v>
      </c>
      <c r="D1679" s="1" t="s">
        <v>2815</v>
      </c>
      <c r="E1679" t="s">
        <v>2816</v>
      </c>
      <c r="F1679" s="2" t="s">
        <v>2817</v>
      </c>
      <c r="G1679" t="s">
        <v>121</v>
      </c>
      <c r="H1679" s="2" t="s">
        <v>92</v>
      </c>
      <c r="I1679" s="2">
        <v>79.319999999999993</v>
      </c>
      <c r="J1679" t="s">
        <v>55</v>
      </c>
    </row>
    <row r="1680" spans="1:10" x14ac:dyDescent="0.25">
      <c r="A1680" s="1" t="s">
        <v>2758</v>
      </c>
      <c r="B1680" t="s">
        <v>2759</v>
      </c>
      <c r="C1680" s="1" t="s">
        <v>2818</v>
      </c>
      <c r="D1680" s="1" t="s">
        <v>2818</v>
      </c>
      <c r="E1680" t="s">
        <v>2819</v>
      </c>
      <c r="F1680" s="2" t="s">
        <v>2820</v>
      </c>
      <c r="G1680" t="s">
        <v>121</v>
      </c>
      <c r="H1680" s="2" t="s">
        <v>92</v>
      </c>
      <c r="I1680" s="2">
        <v>89.9</v>
      </c>
      <c r="J1680" t="s">
        <v>55</v>
      </c>
    </row>
    <row r="1681" spans="1:9" x14ac:dyDescent="0.25">
      <c r="A1681" s="1" t="s">
        <v>2758</v>
      </c>
      <c r="B1681" t="s">
        <v>2759</v>
      </c>
      <c r="C1681" s="1" t="s">
        <v>684</v>
      </c>
      <c r="D1681" s="1" t="s">
        <v>684</v>
      </c>
      <c r="E1681" t="s">
        <v>685</v>
      </c>
      <c r="F1681" s="2" t="s">
        <v>686</v>
      </c>
      <c r="G1681" t="s">
        <v>49</v>
      </c>
      <c r="H1681" s="2" t="s">
        <v>2821</v>
      </c>
      <c r="I1681" s="2">
        <v>8.75</v>
      </c>
    </row>
    <row r="1682" spans="1:9" x14ac:dyDescent="0.25">
      <c r="A1682" s="1" t="s">
        <v>2758</v>
      </c>
      <c r="B1682" t="s">
        <v>2759</v>
      </c>
      <c r="C1682" s="1" t="s">
        <v>684</v>
      </c>
      <c r="D1682" s="1" t="s">
        <v>684</v>
      </c>
      <c r="E1682" t="s">
        <v>685</v>
      </c>
      <c r="F1682" s="2" t="s">
        <v>686</v>
      </c>
      <c r="G1682" t="s">
        <v>49</v>
      </c>
      <c r="H1682" s="2" t="s">
        <v>2822</v>
      </c>
      <c r="I1682" s="2">
        <v>3.03</v>
      </c>
    </row>
    <row r="1683" spans="1:9" x14ac:dyDescent="0.25">
      <c r="A1683" s="1" t="s">
        <v>2758</v>
      </c>
      <c r="B1683" t="s">
        <v>2759</v>
      </c>
      <c r="C1683" s="1" t="s">
        <v>684</v>
      </c>
      <c r="D1683" s="1" t="s">
        <v>684</v>
      </c>
      <c r="E1683" t="s">
        <v>685</v>
      </c>
      <c r="F1683" s="2" t="s">
        <v>686</v>
      </c>
      <c r="G1683" t="s">
        <v>49</v>
      </c>
      <c r="H1683" s="2" t="s">
        <v>2823</v>
      </c>
      <c r="I1683" s="2">
        <v>1.95</v>
      </c>
    </row>
    <row r="1684" spans="1:9" x14ac:dyDescent="0.25">
      <c r="A1684" s="1" t="s">
        <v>2758</v>
      </c>
      <c r="B1684" t="s">
        <v>2759</v>
      </c>
      <c r="C1684" s="1" t="s">
        <v>541</v>
      </c>
      <c r="D1684" s="1" t="s">
        <v>541</v>
      </c>
      <c r="E1684" t="s">
        <v>542</v>
      </c>
      <c r="F1684" s="2" t="s">
        <v>9</v>
      </c>
      <c r="G1684" t="s">
        <v>10</v>
      </c>
      <c r="H1684" s="2" t="s">
        <v>2824</v>
      </c>
      <c r="I1684" s="2">
        <v>120.52</v>
      </c>
    </row>
    <row r="1685" spans="1:9" x14ac:dyDescent="0.25">
      <c r="A1685" s="1" t="s">
        <v>2758</v>
      </c>
      <c r="B1685" t="s">
        <v>2759</v>
      </c>
      <c r="C1685" s="1" t="s">
        <v>541</v>
      </c>
      <c r="D1685" s="1" t="s">
        <v>541</v>
      </c>
      <c r="E1685" t="s">
        <v>542</v>
      </c>
      <c r="F1685" s="2" t="s">
        <v>9</v>
      </c>
      <c r="G1685" t="s">
        <v>10</v>
      </c>
      <c r="H1685" s="2" t="s">
        <v>2825</v>
      </c>
      <c r="I1685" s="2">
        <v>24.15</v>
      </c>
    </row>
    <row r="1686" spans="1:9" x14ac:dyDescent="0.25">
      <c r="A1686" s="1" t="s">
        <v>2758</v>
      </c>
      <c r="B1686" t="s">
        <v>2759</v>
      </c>
      <c r="C1686" s="1" t="s">
        <v>541</v>
      </c>
      <c r="D1686" s="1" t="s">
        <v>541</v>
      </c>
      <c r="E1686" t="s">
        <v>542</v>
      </c>
      <c r="F1686" s="2" t="s">
        <v>9</v>
      </c>
      <c r="G1686" t="s">
        <v>10</v>
      </c>
      <c r="H1686" s="2" t="s">
        <v>2826</v>
      </c>
      <c r="I1686" s="2">
        <v>16.79</v>
      </c>
    </row>
    <row r="1687" spans="1:9" x14ac:dyDescent="0.25">
      <c r="A1687" s="1" t="s">
        <v>2827</v>
      </c>
      <c r="B1687" t="s">
        <v>2828</v>
      </c>
      <c r="C1687" s="1" t="s">
        <v>2760</v>
      </c>
      <c r="D1687" s="1" t="s">
        <v>2760</v>
      </c>
      <c r="E1687" t="s">
        <v>2761</v>
      </c>
      <c r="F1687" s="2" t="s">
        <v>1768</v>
      </c>
      <c r="G1687" t="s">
        <v>121</v>
      </c>
      <c r="H1687" s="2" t="s">
        <v>50</v>
      </c>
      <c r="I1687" s="2">
        <v>0</v>
      </c>
    </row>
    <row r="1688" spans="1:9" x14ac:dyDescent="0.25">
      <c r="A1688" s="1" t="s">
        <v>2827</v>
      </c>
      <c r="B1688" t="s">
        <v>2828</v>
      </c>
      <c r="C1688" s="1" t="s">
        <v>2762</v>
      </c>
      <c r="D1688" s="1" t="s">
        <v>2762</v>
      </c>
      <c r="E1688" t="s">
        <v>2763</v>
      </c>
      <c r="F1688" s="2" t="s">
        <v>311</v>
      </c>
      <c r="G1688" t="s">
        <v>5</v>
      </c>
      <c r="H1688" s="2" t="s">
        <v>2764</v>
      </c>
      <c r="I1688" s="2">
        <v>18.850000000000001</v>
      </c>
    </row>
    <row r="1689" spans="1:9" x14ac:dyDescent="0.25">
      <c r="A1689" s="1" t="s">
        <v>2827</v>
      </c>
      <c r="B1689" t="s">
        <v>2828</v>
      </c>
      <c r="C1689" s="1" t="s">
        <v>2765</v>
      </c>
      <c r="D1689" s="1" t="s">
        <v>2765</v>
      </c>
      <c r="E1689" t="s">
        <v>2766</v>
      </c>
      <c r="F1689" s="2" t="s">
        <v>2767</v>
      </c>
      <c r="G1689" t="s">
        <v>121</v>
      </c>
      <c r="H1689" s="2" t="s">
        <v>50</v>
      </c>
      <c r="I1689" s="2">
        <v>349</v>
      </c>
    </row>
    <row r="1690" spans="1:9" x14ac:dyDescent="0.25">
      <c r="A1690" s="1" t="s">
        <v>2827</v>
      </c>
      <c r="B1690" t="s">
        <v>2828</v>
      </c>
      <c r="C1690" s="1" t="s">
        <v>2768</v>
      </c>
      <c r="D1690" s="1" t="s">
        <v>2768</v>
      </c>
      <c r="E1690" t="s">
        <v>2769</v>
      </c>
      <c r="F1690" s="2" t="s">
        <v>311</v>
      </c>
      <c r="G1690" t="s">
        <v>5</v>
      </c>
      <c r="H1690" s="2" t="s">
        <v>2770</v>
      </c>
      <c r="I1690" s="2">
        <v>0.03</v>
      </c>
    </row>
    <row r="1691" spans="1:9" x14ac:dyDescent="0.25">
      <c r="A1691" s="1" t="s">
        <v>2827</v>
      </c>
      <c r="B1691" t="s">
        <v>2828</v>
      </c>
      <c r="C1691" s="1" t="s">
        <v>2771</v>
      </c>
      <c r="D1691" s="1" t="s">
        <v>2771</v>
      </c>
      <c r="E1691" t="s">
        <v>2772</v>
      </c>
      <c r="F1691" s="2" t="s">
        <v>1964</v>
      </c>
      <c r="G1691" t="s">
        <v>5</v>
      </c>
      <c r="H1691" s="2" t="s">
        <v>2773</v>
      </c>
      <c r="I1691" s="2">
        <v>0.53</v>
      </c>
    </row>
    <row r="1692" spans="1:9" x14ac:dyDescent="0.25">
      <c r="A1692" s="1" t="s">
        <v>2827</v>
      </c>
      <c r="B1692" t="s">
        <v>2828</v>
      </c>
      <c r="C1692" s="1" t="s">
        <v>2774</v>
      </c>
      <c r="D1692" s="1" t="s">
        <v>2774</v>
      </c>
      <c r="E1692" t="s">
        <v>2775</v>
      </c>
      <c r="F1692" s="2" t="s">
        <v>2776</v>
      </c>
      <c r="G1692" t="s">
        <v>5</v>
      </c>
      <c r="H1692" s="2" t="s">
        <v>2777</v>
      </c>
      <c r="I1692" s="2">
        <v>0.38</v>
      </c>
    </row>
    <row r="1693" spans="1:9" x14ac:dyDescent="0.25">
      <c r="A1693" s="1" t="s">
        <v>2827</v>
      </c>
      <c r="B1693" t="s">
        <v>2828</v>
      </c>
      <c r="C1693" s="1" t="s">
        <v>2778</v>
      </c>
      <c r="D1693" s="1" t="s">
        <v>2778</v>
      </c>
      <c r="E1693" t="s">
        <v>2779</v>
      </c>
      <c r="F1693" s="2" t="s">
        <v>2780</v>
      </c>
      <c r="G1693" t="s">
        <v>1965</v>
      </c>
      <c r="H1693" s="2" t="s">
        <v>605</v>
      </c>
      <c r="I1693" s="2">
        <v>1.87</v>
      </c>
    </row>
    <row r="1694" spans="1:9" x14ac:dyDescent="0.25">
      <c r="A1694" s="1" t="s">
        <v>2827</v>
      </c>
      <c r="B1694" t="s">
        <v>2828</v>
      </c>
      <c r="C1694" s="1" t="s">
        <v>2781</v>
      </c>
      <c r="D1694" s="1" t="s">
        <v>2781</v>
      </c>
      <c r="E1694" t="s">
        <v>2782</v>
      </c>
      <c r="F1694" s="2" t="s">
        <v>2783</v>
      </c>
      <c r="G1694" t="s">
        <v>1965</v>
      </c>
      <c r="H1694" s="2" t="s">
        <v>605</v>
      </c>
      <c r="I1694" s="2">
        <v>1.1200000000000001</v>
      </c>
    </row>
    <row r="1695" spans="1:9" x14ac:dyDescent="0.25">
      <c r="A1695" s="1" t="s">
        <v>2827</v>
      </c>
      <c r="B1695" t="s">
        <v>2828</v>
      </c>
      <c r="C1695" s="1" t="s">
        <v>2784</v>
      </c>
      <c r="D1695" s="1" t="s">
        <v>2784</v>
      </c>
      <c r="E1695" t="s">
        <v>2785</v>
      </c>
      <c r="F1695" s="2" t="s">
        <v>2786</v>
      </c>
      <c r="G1695" t="s">
        <v>5</v>
      </c>
      <c r="H1695" s="2" t="s">
        <v>2787</v>
      </c>
      <c r="I1695" s="2">
        <v>1.01</v>
      </c>
    </row>
    <row r="1696" spans="1:9" x14ac:dyDescent="0.25">
      <c r="A1696" s="1" t="s">
        <v>2827</v>
      </c>
      <c r="B1696" t="s">
        <v>2828</v>
      </c>
      <c r="C1696" s="1" t="s">
        <v>628</v>
      </c>
      <c r="D1696" s="1" t="s">
        <v>628</v>
      </c>
      <c r="E1696" t="s">
        <v>629</v>
      </c>
      <c r="F1696" s="2" t="s">
        <v>630</v>
      </c>
      <c r="G1696" t="s">
        <v>5</v>
      </c>
      <c r="H1696" s="2" t="s">
        <v>2788</v>
      </c>
      <c r="I1696" s="2">
        <v>0.08</v>
      </c>
    </row>
    <row r="1697" spans="1:10" x14ac:dyDescent="0.25">
      <c r="A1697" s="1" t="s">
        <v>2827</v>
      </c>
      <c r="B1697" t="s">
        <v>2828</v>
      </c>
      <c r="C1697" s="1" t="s">
        <v>483</v>
      </c>
      <c r="D1697" s="1" t="s">
        <v>483</v>
      </c>
      <c r="E1697" t="s">
        <v>484</v>
      </c>
      <c r="F1697" s="2" t="s">
        <v>2789</v>
      </c>
      <c r="G1697" t="s">
        <v>5</v>
      </c>
      <c r="H1697" s="2" t="s">
        <v>615</v>
      </c>
      <c r="I1697" s="2">
        <v>0.08</v>
      </c>
    </row>
    <row r="1698" spans="1:10" x14ac:dyDescent="0.25">
      <c r="A1698" s="1" t="s">
        <v>2827</v>
      </c>
      <c r="B1698" t="s">
        <v>2828</v>
      </c>
      <c r="C1698" s="1" t="s">
        <v>1971</v>
      </c>
      <c r="D1698" s="1" t="s">
        <v>1971</v>
      </c>
      <c r="E1698" t="s">
        <v>1972</v>
      </c>
      <c r="F1698" s="2" t="s">
        <v>1964</v>
      </c>
      <c r="G1698" t="s">
        <v>5</v>
      </c>
      <c r="H1698" s="2" t="s">
        <v>2790</v>
      </c>
      <c r="I1698" s="2">
        <v>0.1</v>
      </c>
    </row>
    <row r="1699" spans="1:10" x14ac:dyDescent="0.25">
      <c r="A1699" s="1" t="s">
        <v>2827</v>
      </c>
      <c r="B1699" t="s">
        <v>2828</v>
      </c>
      <c r="C1699" s="1" t="s">
        <v>2791</v>
      </c>
      <c r="D1699" s="1" t="s">
        <v>2791</v>
      </c>
      <c r="E1699" t="s">
        <v>2792</v>
      </c>
      <c r="F1699" s="2" t="s">
        <v>2793</v>
      </c>
      <c r="G1699" t="s">
        <v>121</v>
      </c>
      <c r="H1699" s="2" t="s">
        <v>367</v>
      </c>
      <c r="I1699" s="2">
        <v>0.94</v>
      </c>
    </row>
    <row r="1700" spans="1:10" x14ac:dyDescent="0.25">
      <c r="A1700" s="1" t="s">
        <v>2827</v>
      </c>
      <c r="B1700" t="s">
        <v>2828</v>
      </c>
      <c r="C1700" s="1" t="s">
        <v>2738</v>
      </c>
      <c r="D1700" s="1" t="s">
        <v>2738</v>
      </c>
      <c r="E1700" t="s">
        <v>2739</v>
      </c>
      <c r="F1700" s="2" t="s">
        <v>168</v>
      </c>
      <c r="G1700" t="s">
        <v>121</v>
      </c>
      <c r="H1700" s="2" t="s">
        <v>1371</v>
      </c>
      <c r="I1700" s="2">
        <v>0.21</v>
      </c>
    </row>
    <row r="1701" spans="1:10" x14ac:dyDescent="0.25">
      <c r="A1701" s="1" t="s">
        <v>2827</v>
      </c>
      <c r="B1701" t="s">
        <v>2828</v>
      </c>
      <c r="C1701" s="1" t="s">
        <v>2794</v>
      </c>
      <c r="D1701" s="1" t="s">
        <v>2794</v>
      </c>
      <c r="E1701" t="s">
        <v>2795</v>
      </c>
      <c r="F1701" s="2" t="s">
        <v>712</v>
      </c>
      <c r="G1701" t="s">
        <v>121</v>
      </c>
      <c r="H1701" s="2" t="s">
        <v>594</v>
      </c>
      <c r="I1701" s="2">
        <v>6.25</v>
      </c>
    </row>
    <row r="1702" spans="1:10" x14ac:dyDescent="0.25">
      <c r="A1702" s="1" t="s">
        <v>2827</v>
      </c>
      <c r="B1702" t="s">
        <v>2828</v>
      </c>
      <c r="C1702" s="1" t="s">
        <v>41</v>
      </c>
      <c r="D1702" s="1" t="s">
        <v>41</v>
      </c>
      <c r="E1702" t="s">
        <v>42</v>
      </c>
      <c r="F1702" s="2" t="s">
        <v>513</v>
      </c>
      <c r="G1702" t="s">
        <v>5</v>
      </c>
      <c r="H1702" s="2" t="s">
        <v>2796</v>
      </c>
      <c r="I1702" s="2">
        <v>0.3</v>
      </c>
    </row>
    <row r="1703" spans="1:10" x14ac:dyDescent="0.25">
      <c r="A1703" s="1" t="s">
        <v>2827</v>
      </c>
      <c r="B1703" t="s">
        <v>2828</v>
      </c>
      <c r="C1703" s="1" t="s">
        <v>2797</v>
      </c>
      <c r="D1703" s="1" t="s">
        <v>2797</v>
      </c>
      <c r="E1703" t="s">
        <v>2798</v>
      </c>
      <c r="F1703" s="2" t="s">
        <v>2799</v>
      </c>
      <c r="G1703" t="s">
        <v>121</v>
      </c>
      <c r="H1703" s="2" t="s">
        <v>50</v>
      </c>
      <c r="I1703" s="2">
        <v>2.41</v>
      </c>
    </row>
    <row r="1704" spans="1:10" x14ac:dyDescent="0.25">
      <c r="A1704" s="1" t="s">
        <v>2827</v>
      </c>
      <c r="B1704" t="s">
        <v>2828</v>
      </c>
      <c r="C1704" s="1" t="s">
        <v>2800</v>
      </c>
      <c r="D1704" s="1" t="s">
        <v>2800</v>
      </c>
      <c r="E1704" t="s">
        <v>2801</v>
      </c>
      <c r="F1704" s="2" t="s">
        <v>2802</v>
      </c>
      <c r="G1704" t="s">
        <v>121</v>
      </c>
      <c r="H1704" s="2" t="s">
        <v>50</v>
      </c>
      <c r="I1704" s="2">
        <v>157.28</v>
      </c>
      <c r="J1704" t="s">
        <v>55</v>
      </c>
    </row>
    <row r="1705" spans="1:10" x14ac:dyDescent="0.25">
      <c r="A1705" s="1" t="s">
        <v>2827</v>
      </c>
      <c r="B1705" t="s">
        <v>2828</v>
      </c>
      <c r="C1705" s="1" t="s">
        <v>2803</v>
      </c>
      <c r="D1705" s="1" t="s">
        <v>2803</v>
      </c>
      <c r="E1705" t="s">
        <v>2804</v>
      </c>
      <c r="F1705" s="2" t="s">
        <v>2805</v>
      </c>
      <c r="G1705" t="s">
        <v>121</v>
      </c>
      <c r="H1705" s="2" t="s">
        <v>50</v>
      </c>
      <c r="I1705" s="2">
        <v>122.15</v>
      </c>
      <c r="J1705" t="s">
        <v>55</v>
      </c>
    </row>
    <row r="1706" spans="1:10" x14ac:dyDescent="0.25">
      <c r="A1706" s="1" t="s">
        <v>2827</v>
      </c>
      <c r="B1706" t="s">
        <v>2828</v>
      </c>
      <c r="C1706" s="1" t="s">
        <v>2806</v>
      </c>
      <c r="D1706" s="1" t="s">
        <v>2806</v>
      </c>
      <c r="E1706" t="s">
        <v>2807</v>
      </c>
      <c r="F1706" s="2" t="s">
        <v>2808</v>
      </c>
      <c r="G1706" t="s">
        <v>121</v>
      </c>
      <c r="H1706" s="2" t="s">
        <v>50</v>
      </c>
      <c r="I1706" s="2">
        <v>178.11</v>
      </c>
      <c r="J1706" t="s">
        <v>55</v>
      </c>
    </row>
    <row r="1707" spans="1:10" x14ac:dyDescent="0.25">
      <c r="A1707" s="1" t="s">
        <v>2827</v>
      </c>
      <c r="B1707" t="s">
        <v>2828</v>
      </c>
      <c r="C1707" s="1" t="s">
        <v>2809</v>
      </c>
      <c r="D1707" s="1" t="s">
        <v>2809</v>
      </c>
      <c r="E1707" t="s">
        <v>2810</v>
      </c>
      <c r="F1707" s="2" t="s">
        <v>2811</v>
      </c>
      <c r="G1707" t="s">
        <v>121</v>
      </c>
      <c r="H1707" s="2" t="s">
        <v>50</v>
      </c>
      <c r="I1707" s="2">
        <v>74.95</v>
      </c>
      <c r="J1707" t="s">
        <v>55</v>
      </c>
    </row>
    <row r="1708" spans="1:10" x14ac:dyDescent="0.25">
      <c r="A1708" s="1" t="s">
        <v>2827</v>
      </c>
      <c r="B1708" t="s">
        <v>2828</v>
      </c>
      <c r="C1708" s="1" t="s">
        <v>2812</v>
      </c>
      <c r="D1708" s="1" t="s">
        <v>2812</v>
      </c>
      <c r="E1708" t="s">
        <v>2813</v>
      </c>
      <c r="F1708" s="2" t="s">
        <v>2814</v>
      </c>
      <c r="G1708" t="s">
        <v>121</v>
      </c>
      <c r="H1708" s="2" t="s">
        <v>50</v>
      </c>
      <c r="I1708" s="2">
        <v>6.78</v>
      </c>
      <c r="J1708" t="s">
        <v>55</v>
      </c>
    </row>
    <row r="1709" spans="1:10" x14ac:dyDescent="0.25">
      <c r="A1709" s="1" t="s">
        <v>2827</v>
      </c>
      <c r="B1709" t="s">
        <v>2828</v>
      </c>
      <c r="C1709" s="1" t="s">
        <v>2815</v>
      </c>
      <c r="D1709" s="1" t="s">
        <v>2815</v>
      </c>
      <c r="E1709" t="s">
        <v>2816</v>
      </c>
      <c r="F1709" s="2" t="s">
        <v>2817</v>
      </c>
      <c r="G1709" t="s">
        <v>121</v>
      </c>
      <c r="H1709" s="2" t="s">
        <v>92</v>
      </c>
      <c r="I1709" s="2">
        <v>79.319999999999993</v>
      </c>
      <c r="J1709" t="s">
        <v>55</v>
      </c>
    </row>
    <row r="1710" spans="1:10" x14ac:dyDescent="0.25">
      <c r="A1710" s="1" t="s">
        <v>2827</v>
      </c>
      <c r="B1710" t="s">
        <v>2828</v>
      </c>
      <c r="C1710" s="1" t="s">
        <v>2818</v>
      </c>
      <c r="D1710" s="1" t="s">
        <v>2818</v>
      </c>
      <c r="E1710" t="s">
        <v>2819</v>
      </c>
      <c r="F1710" s="2" t="s">
        <v>2820</v>
      </c>
      <c r="G1710" t="s">
        <v>121</v>
      </c>
      <c r="H1710" s="2" t="s">
        <v>92</v>
      </c>
      <c r="I1710" s="2">
        <v>89.9</v>
      </c>
      <c r="J1710" t="s">
        <v>55</v>
      </c>
    </row>
    <row r="1711" spans="1:10" x14ac:dyDescent="0.25">
      <c r="A1711" s="1" t="s">
        <v>2827</v>
      </c>
      <c r="B1711" t="s">
        <v>2828</v>
      </c>
      <c r="C1711" s="1" t="s">
        <v>684</v>
      </c>
      <c r="D1711" s="1" t="s">
        <v>684</v>
      </c>
      <c r="E1711" t="s">
        <v>685</v>
      </c>
      <c r="F1711" s="2" t="s">
        <v>686</v>
      </c>
      <c r="G1711" t="s">
        <v>49</v>
      </c>
      <c r="H1711" s="2" t="s">
        <v>2821</v>
      </c>
      <c r="I1711" s="2">
        <v>8.75</v>
      </c>
    </row>
    <row r="1712" spans="1:10" x14ac:dyDescent="0.25">
      <c r="A1712" s="1" t="s">
        <v>2827</v>
      </c>
      <c r="B1712" t="s">
        <v>2828</v>
      </c>
      <c r="C1712" s="1" t="s">
        <v>684</v>
      </c>
      <c r="D1712" s="1" t="s">
        <v>684</v>
      </c>
      <c r="E1712" t="s">
        <v>685</v>
      </c>
      <c r="F1712" s="2" t="s">
        <v>686</v>
      </c>
      <c r="G1712" t="s">
        <v>49</v>
      </c>
      <c r="H1712" s="2" t="s">
        <v>2822</v>
      </c>
      <c r="I1712" s="2">
        <v>3.03</v>
      </c>
    </row>
    <row r="1713" spans="1:9" x14ac:dyDescent="0.25">
      <c r="A1713" s="1" t="s">
        <v>2827</v>
      </c>
      <c r="B1713" t="s">
        <v>2828</v>
      </c>
      <c r="C1713" s="1" t="s">
        <v>684</v>
      </c>
      <c r="D1713" s="1" t="s">
        <v>684</v>
      </c>
      <c r="E1713" t="s">
        <v>685</v>
      </c>
      <c r="F1713" s="2" t="s">
        <v>686</v>
      </c>
      <c r="G1713" t="s">
        <v>49</v>
      </c>
      <c r="H1713" s="2" t="s">
        <v>2823</v>
      </c>
      <c r="I1713" s="2">
        <v>1.95</v>
      </c>
    </row>
    <row r="1714" spans="1:9" x14ac:dyDescent="0.25">
      <c r="A1714" s="1" t="s">
        <v>2827</v>
      </c>
      <c r="B1714" t="s">
        <v>2828</v>
      </c>
      <c r="C1714" s="1" t="s">
        <v>541</v>
      </c>
      <c r="D1714" s="1" t="s">
        <v>541</v>
      </c>
      <c r="E1714" t="s">
        <v>542</v>
      </c>
      <c r="F1714" s="2" t="s">
        <v>9</v>
      </c>
      <c r="G1714" t="s">
        <v>10</v>
      </c>
      <c r="H1714" s="2" t="s">
        <v>2829</v>
      </c>
      <c r="I1714" s="2">
        <v>120.58</v>
      </c>
    </row>
    <row r="1715" spans="1:9" x14ac:dyDescent="0.25">
      <c r="A1715" s="1" t="s">
        <v>2827</v>
      </c>
      <c r="B1715" t="s">
        <v>2828</v>
      </c>
      <c r="C1715" s="1" t="s">
        <v>541</v>
      </c>
      <c r="D1715" s="1" t="s">
        <v>541</v>
      </c>
      <c r="E1715" t="s">
        <v>542</v>
      </c>
      <c r="F1715" s="2" t="s">
        <v>9</v>
      </c>
      <c r="G1715" t="s">
        <v>10</v>
      </c>
      <c r="H1715" s="2" t="s">
        <v>2825</v>
      </c>
      <c r="I1715" s="2">
        <v>24.15</v>
      </c>
    </row>
    <row r="1716" spans="1:9" x14ac:dyDescent="0.25">
      <c r="A1716" s="1" t="s">
        <v>2827</v>
      </c>
      <c r="B1716" t="s">
        <v>2828</v>
      </c>
      <c r="C1716" s="1" t="s">
        <v>541</v>
      </c>
      <c r="D1716" s="1" t="s">
        <v>541</v>
      </c>
      <c r="E1716" t="s">
        <v>542</v>
      </c>
      <c r="F1716" s="2" t="s">
        <v>9</v>
      </c>
      <c r="G1716" t="s">
        <v>10</v>
      </c>
      <c r="H1716" s="2" t="s">
        <v>2826</v>
      </c>
      <c r="I1716" s="2">
        <v>16.79</v>
      </c>
    </row>
    <row r="1717" spans="1:9" x14ac:dyDescent="0.25">
      <c r="A1717" s="1" t="s">
        <v>2830</v>
      </c>
      <c r="B1717" t="s">
        <v>2831</v>
      </c>
      <c r="C1717" s="1" t="s">
        <v>2832</v>
      </c>
      <c r="D1717" s="1" t="s">
        <v>2832</v>
      </c>
      <c r="E1717" t="s">
        <v>2833</v>
      </c>
      <c r="F1717" s="2" t="s">
        <v>2834</v>
      </c>
      <c r="G1717" t="s">
        <v>121</v>
      </c>
      <c r="H1717" s="2" t="s">
        <v>50</v>
      </c>
      <c r="I1717" s="2">
        <v>592</v>
      </c>
    </row>
    <row r="1718" spans="1:9" x14ac:dyDescent="0.25">
      <c r="A1718" s="1" t="s">
        <v>2830</v>
      </c>
      <c r="B1718" t="s">
        <v>2831</v>
      </c>
      <c r="C1718" s="1" t="s">
        <v>2835</v>
      </c>
      <c r="D1718" s="1" t="s">
        <v>2835</v>
      </c>
      <c r="E1718" t="s">
        <v>2836</v>
      </c>
      <c r="F1718" s="2" t="s">
        <v>2837</v>
      </c>
      <c r="G1718" t="s">
        <v>5</v>
      </c>
      <c r="H1718" s="2" t="s">
        <v>2838</v>
      </c>
      <c r="I1718" s="2">
        <v>2.35</v>
      </c>
    </row>
    <row r="1719" spans="1:9" x14ac:dyDescent="0.25">
      <c r="A1719" s="1" t="s">
        <v>2830</v>
      </c>
      <c r="B1719" t="s">
        <v>2831</v>
      </c>
      <c r="C1719" s="1" t="s">
        <v>2839</v>
      </c>
      <c r="D1719" s="1" t="s">
        <v>2839</v>
      </c>
      <c r="E1719" t="s">
        <v>2840</v>
      </c>
      <c r="F1719" s="2" t="s">
        <v>2841</v>
      </c>
      <c r="G1719" t="s">
        <v>5</v>
      </c>
      <c r="H1719" s="2" t="s">
        <v>1428</v>
      </c>
      <c r="I1719" s="2">
        <v>1.1399999999999999</v>
      </c>
    </row>
    <row r="1720" spans="1:9" x14ac:dyDescent="0.25">
      <c r="A1720" s="1" t="s">
        <v>2830</v>
      </c>
      <c r="B1720" t="s">
        <v>2831</v>
      </c>
      <c r="C1720" s="1" t="s">
        <v>2842</v>
      </c>
      <c r="D1720" s="1" t="s">
        <v>2842</v>
      </c>
      <c r="E1720" t="s">
        <v>2843</v>
      </c>
      <c r="F1720" s="2" t="s">
        <v>1768</v>
      </c>
      <c r="G1720" t="s">
        <v>1965</v>
      </c>
      <c r="H1720" s="2" t="s">
        <v>605</v>
      </c>
      <c r="I1720" s="2">
        <v>0</v>
      </c>
    </row>
    <row r="1721" spans="1:9" x14ac:dyDescent="0.25">
      <c r="A1721" s="1" t="s">
        <v>2830</v>
      </c>
      <c r="B1721" t="s">
        <v>2831</v>
      </c>
      <c r="C1721" s="1" t="s">
        <v>628</v>
      </c>
      <c r="D1721" s="1" t="s">
        <v>628</v>
      </c>
      <c r="E1721" t="s">
        <v>629</v>
      </c>
      <c r="F1721" s="2" t="s">
        <v>630</v>
      </c>
      <c r="G1721" t="s">
        <v>5</v>
      </c>
      <c r="H1721" s="2" t="s">
        <v>2788</v>
      </c>
      <c r="I1721" s="2">
        <v>0.08</v>
      </c>
    </row>
    <row r="1722" spans="1:9" x14ac:dyDescent="0.25">
      <c r="A1722" s="1" t="s">
        <v>2830</v>
      </c>
      <c r="B1722" t="s">
        <v>2831</v>
      </c>
      <c r="C1722" s="1" t="s">
        <v>483</v>
      </c>
      <c r="D1722" s="1" t="s">
        <v>483</v>
      </c>
      <c r="E1722" t="s">
        <v>484</v>
      </c>
      <c r="F1722" s="2" t="s">
        <v>2789</v>
      </c>
      <c r="G1722" t="s">
        <v>5</v>
      </c>
      <c r="H1722" s="2" t="s">
        <v>615</v>
      </c>
      <c r="I1722" s="2">
        <v>0.08</v>
      </c>
    </row>
    <row r="1723" spans="1:9" x14ac:dyDescent="0.25">
      <c r="A1723" s="1" t="s">
        <v>2830</v>
      </c>
      <c r="B1723" t="s">
        <v>2831</v>
      </c>
      <c r="C1723" s="1" t="s">
        <v>2844</v>
      </c>
      <c r="D1723" s="1" t="s">
        <v>2844</v>
      </c>
      <c r="E1723" t="s">
        <v>2845</v>
      </c>
      <c r="F1723" s="2" t="s">
        <v>2846</v>
      </c>
      <c r="G1723" t="s">
        <v>5</v>
      </c>
      <c r="H1723" s="2" t="s">
        <v>2847</v>
      </c>
      <c r="I1723" s="2">
        <v>0.11</v>
      </c>
    </row>
    <row r="1724" spans="1:9" x14ac:dyDescent="0.25">
      <c r="A1724" s="1" t="s">
        <v>2830</v>
      </c>
      <c r="B1724" t="s">
        <v>2831</v>
      </c>
      <c r="C1724" s="1" t="s">
        <v>1971</v>
      </c>
      <c r="D1724" s="1" t="s">
        <v>1971</v>
      </c>
      <c r="E1724" t="s">
        <v>1972</v>
      </c>
      <c r="F1724" s="2" t="s">
        <v>1964</v>
      </c>
      <c r="G1724" t="s">
        <v>5</v>
      </c>
      <c r="H1724" s="2" t="s">
        <v>605</v>
      </c>
      <c r="I1724" s="2">
        <v>0.61</v>
      </c>
    </row>
    <row r="1725" spans="1:9" x14ac:dyDescent="0.25">
      <c r="A1725" s="1" t="s">
        <v>2830</v>
      </c>
      <c r="B1725" t="s">
        <v>2831</v>
      </c>
      <c r="C1725" s="1" t="s">
        <v>2848</v>
      </c>
      <c r="D1725" s="1" t="s">
        <v>2848</v>
      </c>
      <c r="E1725" t="s">
        <v>2849</v>
      </c>
      <c r="F1725" s="2" t="s">
        <v>879</v>
      </c>
      <c r="G1725" t="s">
        <v>5</v>
      </c>
      <c r="H1725" s="2" t="s">
        <v>2850</v>
      </c>
      <c r="I1725" s="2">
        <v>0.19</v>
      </c>
    </row>
    <row r="1726" spans="1:9" x14ac:dyDescent="0.25">
      <c r="A1726" s="1" t="s">
        <v>2830</v>
      </c>
      <c r="B1726" t="s">
        <v>2831</v>
      </c>
      <c r="C1726" s="1" t="s">
        <v>1974</v>
      </c>
      <c r="D1726" s="1" t="s">
        <v>1974</v>
      </c>
      <c r="E1726" t="s">
        <v>1975</v>
      </c>
      <c r="F1726" s="2" t="s">
        <v>879</v>
      </c>
      <c r="G1726" t="s">
        <v>121</v>
      </c>
      <c r="H1726" s="2" t="s">
        <v>2851</v>
      </c>
      <c r="I1726" s="2">
        <v>0.78</v>
      </c>
    </row>
    <row r="1727" spans="1:9" x14ac:dyDescent="0.25">
      <c r="A1727" s="1" t="s">
        <v>2830</v>
      </c>
      <c r="B1727" t="s">
        <v>2831</v>
      </c>
      <c r="C1727" s="1" t="s">
        <v>2738</v>
      </c>
      <c r="D1727" s="1" t="s">
        <v>2738</v>
      </c>
      <c r="E1727" t="s">
        <v>2739</v>
      </c>
      <c r="F1727" s="2" t="s">
        <v>168</v>
      </c>
      <c r="G1727" t="s">
        <v>121</v>
      </c>
      <c r="H1727" s="2" t="s">
        <v>1371</v>
      </c>
      <c r="I1727" s="2">
        <v>0.21</v>
      </c>
    </row>
    <row r="1728" spans="1:9" x14ac:dyDescent="0.25">
      <c r="A1728" s="1" t="s">
        <v>2830</v>
      </c>
      <c r="B1728" t="s">
        <v>2831</v>
      </c>
      <c r="C1728" s="1" t="s">
        <v>2852</v>
      </c>
      <c r="D1728" s="1" t="s">
        <v>2852</v>
      </c>
      <c r="E1728" t="s">
        <v>2853</v>
      </c>
      <c r="F1728" s="2" t="s">
        <v>2854</v>
      </c>
      <c r="G1728" t="s">
        <v>49</v>
      </c>
      <c r="H1728" s="2" t="s">
        <v>50</v>
      </c>
      <c r="I1728" s="2">
        <v>16</v>
      </c>
    </row>
    <row r="1729" spans="1:10" x14ac:dyDescent="0.25">
      <c r="A1729" s="1" t="s">
        <v>2830</v>
      </c>
      <c r="B1729" t="s">
        <v>2831</v>
      </c>
      <c r="C1729" s="1" t="s">
        <v>2797</v>
      </c>
      <c r="D1729" s="1" t="s">
        <v>2797</v>
      </c>
      <c r="E1729" t="s">
        <v>2798</v>
      </c>
      <c r="F1729" s="2" t="s">
        <v>2799</v>
      </c>
      <c r="G1729" t="s">
        <v>121</v>
      </c>
      <c r="H1729" s="2" t="s">
        <v>50</v>
      </c>
      <c r="I1729" s="2">
        <v>2.41</v>
      </c>
    </row>
    <row r="1730" spans="1:10" x14ac:dyDescent="0.25">
      <c r="A1730" s="1" t="s">
        <v>2830</v>
      </c>
      <c r="B1730" t="s">
        <v>2831</v>
      </c>
      <c r="C1730" s="1" t="s">
        <v>2855</v>
      </c>
      <c r="D1730" s="1" t="s">
        <v>2855</v>
      </c>
      <c r="E1730" t="s">
        <v>2856</v>
      </c>
      <c r="F1730" s="2" t="s">
        <v>2857</v>
      </c>
      <c r="G1730" t="s">
        <v>121</v>
      </c>
      <c r="H1730" s="2" t="s">
        <v>50</v>
      </c>
      <c r="I1730" s="2">
        <v>5.94</v>
      </c>
      <c r="J1730" t="s">
        <v>55</v>
      </c>
    </row>
    <row r="1731" spans="1:10" x14ac:dyDescent="0.25">
      <c r="A1731" s="1" t="s">
        <v>2830</v>
      </c>
      <c r="B1731" t="s">
        <v>2831</v>
      </c>
      <c r="C1731" s="1" t="s">
        <v>2858</v>
      </c>
      <c r="D1731" s="1" t="s">
        <v>2858</v>
      </c>
      <c r="E1731" t="s">
        <v>2859</v>
      </c>
      <c r="F1731" s="2" t="s">
        <v>2860</v>
      </c>
      <c r="G1731" t="s">
        <v>49</v>
      </c>
      <c r="H1731" s="2" t="s">
        <v>50</v>
      </c>
      <c r="I1731" s="2">
        <v>283.45999999999998</v>
      </c>
      <c r="J1731" t="s">
        <v>55</v>
      </c>
    </row>
    <row r="1732" spans="1:10" x14ac:dyDescent="0.25">
      <c r="A1732" s="1" t="s">
        <v>2830</v>
      </c>
      <c r="B1732" t="s">
        <v>2831</v>
      </c>
      <c r="C1732" s="1" t="s">
        <v>2861</v>
      </c>
      <c r="D1732" s="1" t="s">
        <v>2861</v>
      </c>
      <c r="E1732" t="s">
        <v>2862</v>
      </c>
      <c r="F1732" s="2" t="s">
        <v>2863</v>
      </c>
      <c r="G1732" t="s">
        <v>49</v>
      </c>
      <c r="H1732" s="2" t="s">
        <v>50</v>
      </c>
      <c r="I1732" s="2">
        <v>243.97</v>
      </c>
      <c r="J1732" t="s">
        <v>55</v>
      </c>
    </row>
    <row r="1733" spans="1:10" x14ac:dyDescent="0.25">
      <c r="A1733" s="1" t="s">
        <v>2830</v>
      </c>
      <c r="B1733" t="s">
        <v>2831</v>
      </c>
      <c r="C1733" s="1" t="s">
        <v>2864</v>
      </c>
      <c r="D1733" s="1" t="s">
        <v>2864</v>
      </c>
      <c r="E1733" t="s">
        <v>2865</v>
      </c>
      <c r="F1733" s="2" t="s">
        <v>2866</v>
      </c>
      <c r="G1733" t="s">
        <v>49</v>
      </c>
      <c r="H1733" s="2" t="s">
        <v>50</v>
      </c>
      <c r="I1733" s="2">
        <v>437.95</v>
      </c>
      <c r="J1733" t="s">
        <v>55</v>
      </c>
    </row>
    <row r="1734" spans="1:10" x14ac:dyDescent="0.25">
      <c r="A1734" s="1" t="s">
        <v>2830</v>
      </c>
      <c r="B1734" t="s">
        <v>2831</v>
      </c>
      <c r="C1734" s="1" t="s">
        <v>2867</v>
      </c>
      <c r="D1734" s="1" t="s">
        <v>2867</v>
      </c>
      <c r="E1734" t="s">
        <v>2868</v>
      </c>
      <c r="F1734" s="2" t="s">
        <v>2869</v>
      </c>
      <c r="G1734" t="s">
        <v>49</v>
      </c>
      <c r="H1734" s="2" t="s">
        <v>50</v>
      </c>
      <c r="I1734" s="2">
        <v>58.26</v>
      </c>
      <c r="J1734" t="s">
        <v>55</v>
      </c>
    </row>
    <row r="1735" spans="1:10" x14ac:dyDescent="0.25">
      <c r="A1735" s="1" t="s">
        <v>2830</v>
      </c>
      <c r="B1735" t="s">
        <v>2831</v>
      </c>
      <c r="C1735" s="1" t="s">
        <v>2870</v>
      </c>
      <c r="D1735" s="1" t="s">
        <v>2870</v>
      </c>
      <c r="E1735" t="s">
        <v>2871</v>
      </c>
      <c r="F1735" s="2" t="s">
        <v>2872</v>
      </c>
      <c r="G1735" t="s">
        <v>49</v>
      </c>
      <c r="H1735" s="2" t="s">
        <v>92</v>
      </c>
      <c r="I1735" s="2">
        <v>305.27999999999997</v>
      </c>
      <c r="J1735" t="s">
        <v>55</v>
      </c>
    </row>
    <row r="1736" spans="1:10" x14ac:dyDescent="0.25">
      <c r="A1736" s="1" t="s">
        <v>2830</v>
      </c>
      <c r="B1736" t="s">
        <v>2831</v>
      </c>
      <c r="C1736" s="1" t="s">
        <v>541</v>
      </c>
      <c r="D1736" s="1" t="s">
        <v>541</v>
      </c>
      <c r="E1736" t="s">
        <v>542</v>
      </c>
      <c r="F1736" s="2" t="s">
        <v>9</v>
      </c>
      <c r="G1736" t="s">
        <v>10</v>
      </c>
      <c r="H1736" s="2" t="s">
        <v>2873</v>
      </c>
      <c r="I1736" s="2">
        <v>16.75</v>
      </c>
    </row>
    <row r="1737" spans="1:10" x14ac:dyDescent="0.25">
      <c r="A1737" s="1" t="s">
        <v>2830</v>
      </c>
      <c r="B1737" t="s">
        <v>2831</v>
      </c>
      <c r="C1737" s="1" t="s">
        <v>541</v>
      </c>
      <c r="D1737" s="1" t="s">
        <v>541</v>
      </c>
      <c r="E1737" t="s">
        <v>542</v>
      </c>
      <c r="F1737" s="2" t="s">
        <v>9</v>
      </c>
      <c r="G1737" t="s">
        <v>10</v>
      </c>
      <c r="H1737" s="2" t="s">
        <v>2874</v>
      </c>
      <c r="I1737" s="2">
        <v>128.33000000000001</v>
      </c>
    </row>
    <row r="1738" spans="1:10" x14ac:dyDescent="0.25">
      <c r="A1738" s="1" t="s">
        <v>2875</v>
      </c>
      <c r="B1738" t="s">
        <v>2876</v>
      </c>
      <c r="C1738" s="1" t="s">
        <v>2877</v>
      </c>
      <c r="D1738" s="1" t="s">
        <v>2877</v>
      </c>
      <c r="E1738" t="s">
        <v>2878</v>
      </c>
      <c r="F1738" s="2" t="s">
        <v>2879</v>
      </c>
      <c r="G1738" t="s">
        <v>121</v>
      </c>
      <c r="H1738" s="2" t="s">
        <v>50</v>
      </c>
      <c r="I1738" s="2">
        <v>1482</v>
      </c>
    </row>
    <row r="1739" spans="1:10" x14ac:dyDescent="0.25">
      <c r="A1739" s="1" t="s">
        <v>2875</v>
      </c>
      <c r="B1739" t="s">
        <v>2876</v>
      </c>
      <c r="C1739" s="1" t="s">
        <v>2771</v>
      </c>
      <c r="D1739" s="1" t="s">
        <v>2771</v>
      </c>
      <c r="E1739" t="s">
        <v>2772</v>
      </c>
      <c r="F1739" s="2" t="s">
        <v>1964</v>
      </c>
      <c r="G1739" t="s">
        <v>5</v>
      </c>
      <c r="H1739" s="2" t="s">
        <v>2880</v>
      </c>
      <c r="I1739" s="2">
        <v>0.61</v>
      </c>
    </row>
    <row r="1740" spans="1:10" x14ac:dyDescent="0.25">
      <c r="A1740" s="1" t="s">
        <v>2875</v>
      </c>
      <c r="B1740" t="s">
        <v>2876</v>
      </c>
      <c r="C1740" s="1" t="s">
        <v>2881</v>
      </c>
      <c r="D1740" s="1" t="s">
        <v>2881</v>
      </c>
      <c r="E1740" t="s">
        <v>2882</v>
      </c>
      <c r="F1740" s="2" t="s">
        <v>2883</v>
      </c>
      <c r="G1740" t="s">
        <v>5</v>
      </c>
      <c r="H1740" s="2" t="s">
        <v>2884</v>
      </c>
      <c r="I1740" s="2">
        <v>0.33</v>
      </c>
    </row>
    <row r="1741" spans="1:10" x14ac:dyDescent="0.25">
      <c r="A1741" s="1" t="s">
        <v>2875</v>
      </c>
      <c r="B1741" t="s">
        <v>2876</v>
      </c>
      <c r="C1741" s="1" t="s">
        <v>2885</v>
      </c>
      <c r="D1741" s="1" t="s">
        <v>2885</v>
      </c>
      <c r="E1741" t="s">
        <v>2886</v>
      </c>
      <c r="F1741" s="2" t="s">
        <v>879</v>
      </c>
      <c r="G1741" t="s">
        <v>5</v>
      </c>
      <c r="H1741" s="2" t="s">
        <v>1236</v>
      </c>
      <c r="I1741" s="2">
        <v>1.68</v>
      </c>
    </row>
    <row r="1742" spans="1:10" x14ac:dyDescent="0.25">
      <c r="A1742" s="1" t="s">
        <v>2875</v>
      </c>
      <c r="B1742" t="s">
        <v>2876</v>
      </c>
      <c r="C1742" s="1" t="s">
        <v>2835</v>
      </c>
      <c r="D1742" s="1" t="s">
        <v>2835</v>
      </c>
      <c r="E1742" t="s">
        <v>2836</v>
      </c>
      <c r="F1742" s="2" t="s">
        <v>2837</v>
      </c>
      <c r="G1742" t="s">
        <v>5</v>
      </c>
      <c r="H1742" s="2" t="s">
        <v>2838</v>
      </c>
      <c r="I1742" s="2">
        <v>2.35</v>
      </c>
    </row>
    <row r="1743" spans="1:10" x14ac:dyDescent="0.25">
      <c r="A1743" s="1" t="s">
        <v>2875</v>
      </c>
      <c r="B1743" t="s">
        <v>2876</v>
      </c>
      <c r="C1743" s="1" t="s">
        <v>2887</v>
      </c>
      <c r="D1743" s="1" t="s">
        <v>2887</v>
      </c>
      <c r="E1743" t="s">
        <v>2888</v>
      </c>
      <c r="F1743" s="2" t="s">
        <v>2889</v>
      </c>
      <c r="G1743" t="s">
        <v>39</v>
      </c>
      <c r="H1743" s="2" t="s">
        <v>605</v>
      </c>
      <c r="I1743" s="2">
        <v>0.83</v>
      </c>
    </row>
    <row r="1744" spans="1:10" x14ac:dyDescent="0.25">
      <c r="A1744" s="1" t="s">
        <v>2875</v>
      </c>
      <c r="B1744" t="s">
        <v>2876</v>
      </c>
      <c r="C1744" s="1" t="s">
        <v>628</v>
      </c>
      <c r="D1744" s="1" t="s">
        <v>628</v>
      </c>
      <c r="E1744" t="s">
        <v>629</v>
      </c>
      <c r="F1744" s="2" t="s">
        <v>630</v>
      </c>
      <c r="G1744" t="s">
        <v>5</v>
      </c>
      <c r="H1744" s="2" t="s">
        <v>2788</v>
      </c>
      <c r="I1744" s="2">
        <v>0.08</v>
      </c>
    </row>
    <row r="1745" spans="1:10" x14ac:dyDescent="0.25">
      <c r="A1745" s="1" t="s">
        <v>2875</v>
      </c>
      <c r="B1745" t="s">
        <v>2876</v>
      </c>
      <c r="C1745" s="1" t="s">
        <v>483</v>
      </c>
      <c r="D1745" s="1" t="s">
        <v>483</v>
      </c>
      <c r="E1745" t="s">
        <v>484</v>
      </c>
      <c r="F1745" s="2" t="s">
        <v>2789</v>
      </c>
      <c r="G1745" t="s">
        <v>5</v>
      </c>
      <c r="H1745" s="2" t="s">
        <v>2890</v>
      </c>
      <c r="I1745" s="2">
        <v>1.23</v>
      </c>
    </row>
    <row r="1746" spans="1:10" x14ac:dyDescent="0.25">
      <c r="A1746" s="1" t="s">
        <v>2875</v>
      </c>
      <c r="B1746" t="s">
        <v>2876</v>
      </c>
      <c r="C1746" s="1" t="s">
        <v>1968</v>
      </c>
      <c r="D1746" s="1" t="s">
        <v>1968</v>
      </c>
      <c r="E1746" t="s">
        <v>1969</v>
      </c>
      <c r="F1746" s="2" t="s">
        <v>485</v>
      </c>
      <c r="G1746" t="s">
        <v>5</v>
      </c>
      <c r="H1746" s="2" t="s">
        <v>1889</v>
      </c>
      <c r="I1746" s="2">
        <v>0.03</v>
      </c>
    </row>
    <row r="1747" spans="1:10" x14ac:dyDescent="0.25">
      <c r="A1747" s="1" t="s">
        <v>2875</v>
      </c>
      <c r="B1747" t="s">
        <v>2876</v>
      </c>
      <c r="C1747" s="1" t="s">
        <v>2791</v>
      </c>
      <c r="D1747" s="1" t="s">
        <v>2791</v>
      </c>
      <c r="E1747" t="s">
        <v>2792</v>
      </c>
      <c r="F1747" s="2" t="s">
        <v>2793</v>
      </c>
      <c r="G1747" t="s">
        <v>121</v>
      </c>
      <c r="H1747" s="2" t="s">
        <v>2891</v>
      </c>
      <c r="I1747" s="2">
        <v>2.72</v>
      </c>
    </row>
    <row r="1748" spans="1:10" x14ac:dyDescent="0.25">
      <c r="A1748" s="1" t="s">
        <v>2875</v>
      </c>
      <c r="B1748" t="s">
        <v>2876</v>
      </c>
      <c r="C1748" s="1" t="s">
        <v>2738</v>
      </c>
      <c r="D1748" s="1" t="s">
        <v>2738</v>
      </c>
      <c r="E1748" t="s">
        <v>2739</v>
      </c>
      <c r="F1748" s="2" t="s">
        <v>168</v>
      </c>
      <c r="G1748" t="s">
        <v>121</v>
      </c>
      <c r="H1748" s="2" t="s">
        <v>1371</v>
      </c>
      <c r="I1748" s="2">
        <v>0.21</v>
      </c>
    </row>
    <row r="1749" spans="1:10" x14ac:dyDescent="0.25">
      <c r="A1749" s="1" t="s">
        <v>2875</v>
      </c>
      <c r="B1749" t="s">
        <v>2876</v>
      </c>
      <c r="C1749" s="1" t="s">
        <v>2852</v>
      </c>
      <c r="D1749" s="1" t="s">
        <v>2852</v>
      </c>
      <c r="E1749" t="s">
        <v>2853</v>
      </c>
      <c r="F1749" s="2" t="s">
        <v>2854</v>
      </c>
      <c r="G1749" t="s">
        <v>49</v>
      </c>
      <c r="H1749" s="2" t="s">
        <v>50</v>
      </c>
      <c r="I1749" s="2">
        <v>16</v>
      </c>
    </row>
    <row r="1750" spans="1:10" x14ac:dyDescent="0.25">
      <c r="A1750" s="1" t="s">
        <v>2875</v>
      </c>
      <c r="B1750" t="s">
        <v>2876</v>
      </c>
      <c r="C1750" s="1" t="s">
        <v>41</v>
      </c>
      <c r="D1750" s="1" t="s">
        <v>41</v>
      </c>
      <c r="E1750" t="s">
        <v>42</v>
      </c>
      <c r="F1750" s="2" t="s">
        <v>513</v>
      </c>
      <c r="G1750" t="s">
        <v>5</v>
      </c>
      <c r="H1750" s="2" t="s">
        <v>598</v>
      </c>
      <c r="I1750" s="2">
        <v>0.04</v>
      </c>
    </row>
    <row r="1751" spans="1:10" x14ac:dyDescent="0.25">
      <c r="A1751" s="1" t="s">
        <v>2875</v>
      </c>
      <c r="B1751" t="s">
        <v>2876</v>
      </c>
      <c r="C1751" s="1" t="s">
        <v>2892</v>
      </c>
      <c r="D1751" s="1" t="s">
        <v>2892</v>
      </c>
      <c r="E1751" t="s">
        <v>2893</v>
      </c>
      <c r="F1751" s="2" t="s">
        <v>336</v>
      </c>
      <c r="G1751" t="s">
        <v>121</v>
      </c>
      <c r="H1751" s="2" t="s">
        <v>50</v>
      </c>
      <c r="I1751" s="2">
        <v>2.6</v>
      </c>
    </row>
    <row r="1752" spans="1:10" x14ac:dyDescent="0.25">
      <c r="A1752" s="1" t="s">
        <v>2875</v>
      </c>
      <c r="B1752" t="s">
        <v>2876</v>
      </c>
      <c r="C1752" s="1" t="s">
        <v>2894</v>
      </c>
      <c r="D1752" s="1" t="s">
        <v>2894</v>
      </c>
      <c r="E1752" t="s">
        <v>2895</v>
      </c>
      <c r="F1752" s="2" t="s">
        <v>2896</v>
      </c>
      <c r="G1752" t="s">
        <v>49</v>
      </c>
      <c r="H1752" s="2" t="s">
        <v>50</v>
      </c>
      <c r="I1752" s="2">
        <v>414.36</v>
      </c>
      <c r="J1752" t="s">
        <v>55</v>
      </c>
    </row>
    <row r="1753" spans="1:10" x14ac:dyDescent="0.25">
      <c r="A1753" s="1" t="s">
        <v>2875</v>
      </c>
      <c r="B1753" t="s">
        <v>2876</v>
      </c>
      <c r="C1753" s="1" t="s">
        <v>2897</v>
      </c>
      <c r="D1753" s="1" t="s">
        <v>2897</v>
      </c>
      <c r="E1753" t="s">
        <v>2898</v>
      </c>
      <c r="F1753" s="2" t="s">
        <v>2899</v>
      </c>
      <c r="G1753" t="s">
        <v>49</v>
      </c>
      <c r="H1753" s="2" t="s">
        <v>50</v>
      </c>
      <c r="I1753" s="2">
        <v>402.56</v>
      </c>
      <c r="J1753" t="s">
        <v>55</v>
      </c>
    </row>
    <row r="1754" spans="1:10" x14ac:dyDescent="0.25">
      <c r="A1754" s="1" t="s">
        <v>2875</v>
      </c>
      <c r="B1754" t="s">
        <v>2876</v>
      </c>
      <c r="C1754" s="1" t="s">
        <v>2900</v>
      </c>
      <c r="D1754" s="1" t="s">
        <v>2900</v>
      </c>
      <c r="E1754" t="s">
        <v>2901</v>
      </c>
      <c r="F1754" s="2" t="s">
        <v>2902</v>
      </c>
      <c r="G1754" t="s">
        <v>49</v>
      </c>
      <c r="H1754" s="2" t="s">
        <v>50</v>
      </c>
      <c r="I1754" s="2">
        <v>69.44</v>
      </c>
      <c r="J1754" t="s">
        <v>55</v>
      </c>
    </row>
    <row r="1755" spans="1:10" x14ac:dyDescent="0.25">
      <c r="A1755" s="1" t="s">
        <v>2875</v>
      </c>
      <c r="B1755" t="s">
        <v>2876</v>
      </c>
      <c r="C1755" s="1" t="s">
        <v>2903</v>
      </c>
      <c r="D1755" s="1" t="s">
        <v>2903</v>
      </c>
      <c r="E1755" t="s">
        <v>2904</v>
      </c>
      <c r="F1755" s="2" t="s">
        <v>2905</v>
      </c>
      <c r="G1755" t="s">
        <v>49</v>
      </c>
      <c r="H1755" s="2" t="s">
        <v>50</v>
      </c>
      <c r="I1755" s="2">
        <v>490.26</v>
      </c>
      <c r="J1755" t="s">
        <v>55</v>
      </c>
    </row>
    <row r="1756" spans="1:10" x14ac:dyDescent="0.25">
      <c r="A1756" s="1" t="s">
        <v>2875</v>
      </c>
      <c r="B1756" t="s">
        <v>2876</v>
      </c>
      <c r="C1756" s="1" t="s">
        <v>2906</v>
      </c>
      <c r="D1756" s="1" t="s">
        <v>2906</v>
      </c>
      <c r="E1756" t="s">
        <v>2907</v>
      </c>
      <c r="F1756" s="2" t="s">
        <v>2908</v>
      </c>
      <c r="G1756" t="s">
        <v>49</v>
      </c>
      <c r="H1756" s="2" t="s">
        <v>92</v>
      </c>
      <c r="I1756" s="2">
        <v>383.84</v>
      </c>
      <c r="J1756" t="s">
        <v>55</v>
      </c>
    </row>
    <row r="1757" spans="1:10" x14ac:dyDescent="0.25">
      <c r="A1757" s="1" t="s">
        <v>2875</v>
      </c>
      <c r="B1757" t="s">
        <v>2876</v>
      </c>
      <c r="C1757" s="1" t="s">
        <v>2909</v>
      </c>
      <c r="D1757" s="1" t="s">
        <v>2909</v>
      </c>
      <c r="E1757" t="s">
        <v>2910</v>
      </c>
      <c r="F1757" s="2" t="s">
        <v>2857</v>
      </c>
      <c r="G1757" t="s">
        <v>49</v>
      </c>
      <c r="H1757" s="2" t="s">
        <v>50</v>
      </c>
      <c r="I1757" s="2">
        <v>5.94</v>
      </c>
      <c r="J1757" t="s">
        <v>55</v>
      </c>
    </row>
    <row r="1758" spans="1:10" x14ac:dyDescent="0.25">
      <c r="A1758" s="1" t="s">
        <v>2875</v>
      </c>
      <c r="B1758" t="s">
        <v>2876</v>
      </c>
      <c r="C1758" s="1" t="s">
        <v>541</v>
      </c>
      <c r="D1758" s="1" t="s">
        <v>541</v>
      </c>
      <c r="E1758" t="s">
        <v>542</v>
      </c>
      <c r="F1758" s="2" t="s">
        <v>9</v>
      </c>
      <c r="G1758" t="s">
        <v>10</v>
      </c>
      <c r="H1758" s="2" t="s">
        <v>860</v>
      </c>
      <c r="I1758" s="2">
        <v>23</v>
      </c>
    </row>
    <row r="1759" spans="1:10" x14ac:dyDescent="0.25">
      <c r="A1759" s="1" t="s">
        <v>2875</v>
      </c>
      <c r="B1759" t="s">
        <v>2876</v>
      </c>
      <c r="C1759" s="1" t="s">
        <v>541</v>
      </c>
      <c r="D1759" s="1" t="s">
        <v>541</v>
      </c>
      <c r="E1759" t="s">
        <v>542</v>
      </c>
      <c r="F1759" s="2" t="s">
        <v>9</v>
      </c>
      <c r="G1759" t="s">
        <v>10</v>
      </c>
      <c r="H1759" s="2" t="s">
        <v>2911</v>
      </c>
      <c r="I1759" s="2">
        <v>137.22999999999999</v>
      </c>
    </row>
    <row r="1760" spans="1:10" x14ac:dyDescent="0.25">
      <c r="A1760" s="1" t="s">
        <v>2912</v>
      </c>
      <c r="B1760" t="s">
        <v>2392</v>
      </c>
      <c r="C1760" s="1" t="s">
        <v>2913</v>
      </c>
      <c r="D1760" s="1" t="s">
        <v>2913</v>
      </c>
      <c r="E1760" t="s">
        <v>2914</v>
      </c>
      <c r="F1760" s="2" t="s">
        <v>2915</v>
      </c>
      <c r="G1760" t="s">
        <v>1857</v>
      </c>
      <c r="H1760" s="2" t="s">
        <v>1253</v>
      </c>
      <c r="I1760" s="2">
        <v>0.03</v>
      </c>
    </row>
    <row r="1761" spans="1:10" x14ac:dyDescent="0.25">
      <c r="A1761" s="1" t="s">
        <v>2912</v>
      </c>
      <c r="B1761" t="s">
        <v>2392</v>
      </c>
      <c r="C1761" s="1" t="s">
        <v>2688</v>
      </c>
      <c r="D1761" s="1" t="s">
        <v>2688</v>
      </c>
      <c r="E1761" t="s">
        <v>2689</v>
      </c>
      <c r="F1761" s="2" t="s">
        <v>2690</v>
      </c>
      <c r="G1761" t="s">
        <v>39</v>
      </c>
      <c r="H1761" s="2" t="s">
        <v>447</v>
      </c>
      <c r="I1761" s="2">
        <v>0.33</v>
      </c>
    </row>
    <row r="1762" spans="1:10" x14ac:dyDescent="0.25">
      <c r="A1762" s="1" t="s">
        <v>2912</v>
      </c>
      <c r="B1762" t="s">
        <v>2392</v>
      </c>
      <c r="C1762" s="1" t="s">
        <v>649</v>
      </c>
      <c r="D1762" s="1" t="s">
        <v>649</v>
      </c>
      <c r="E1762" t="s">
        <v>650</v>
      </c>
      <c r="F1762" s="2" t="s">
        <v>2303</v>
      </c>
      <c r="G1762" t="s">
        <v>39</v>
      </c>
      <c r="H1762" s="2" t="s">
        <v>40</v>
      </c>
      <c r="I1762" s="2">
        <v>0.09</v>
      </c>
    </row>
    <row r="1763" spans="1:10" x14ac:dyDescent="0.25">
      <c r="A1763" s="1" t="s">
        <v>2912</v>
      </c>
      <c r="B1763" t="s">
        <v>2392</v>
      </c>
      <c r="C1763" s="1" t="s">
        <v>2691</v>
      </c>
      <c r="D1763" s="1" t="s">
        <v>2691</v>
      </c>
      <c r="E1763" t="s">
        <v>2692</v>
      </c>
      <c r="F1763" s="2" t="s">
        <v>2916</v>
      </c>
      <c r="G1763" t="s">
        <v>1965</v>
      </c>
      <c r="H1763" s="2" t="s">
        <v>40</v>
      </c>
      <c r="I1763" s="2">
        <v>0.03</v>
      </c>
    </row>
    <row r="1764" spans="1:10" x14ac:dyDescent="0.25">
      <c r="A1764" s="1" t="s">
        <v>2912</v>
      </c>
      <c r="B1764" t="s">
        <v>2392</v>
      </c>
      <c r="C1764" s="1" t="s">
        <v>2694</v>
      </c>
      <c r="D1764" s="1" t="s">
        <v>2694</v>
      </c>
      <c r="E1764" t="s">
        <v>2695</v>
      </c>
      <c r="F1764" s="2" t="s">
        <v>2112</v>
      </c>
      <c r="G1764" t="s">
        <v>39</v>
      </c>
      <c r="H1764" s="2" t="s">
        <v>40</v>
      </c>
      <c r="I1764" s="2">
        <v>0.16</v>
      </c>
    </row>
    <row r="1765" spans="1:10" x14ac:dyDescent="0.25">
      <c r="A1765" s="1" t="s">
        <v>2912</v>
      </c>
      <c r="B1765" t="s">
        <v>2392</v>
      </c>
      <c r="C1765" s="1" t="s">
        <v>2343</v>
      </c>
      <c r="D1765" s="1" t="s">
        <v>2343</v>
      </c>
      <c r="E1765" t="s">
        <v>2344</v>
      </c>
      <c r="F1765" s="2" t="s">
        <v>2345</v>
      </c>
      <c r="G1765" t="s">
        <v>39</v>
      </c>
      <c r="H1765" s="2" t="s">
        <v>40</v>
      </c>
      <c r="I1765" s="2">
        <v>0.05</v>
      </c>
    </row>
    <row r="1766" spans="1:10" x14ac:dyDescent="0.25">
      <c r="A1766" s="1" t="s">
        <v>2912</v>
      </c>
      <c r="B1766" t="s">
        <v>2392</v>
      </c>
      <c r="C1766" s="1" t="s">
        <v>2917</v>
      </c>
      <c r="D1766" s="1" t="s">
        <v>2917</v>
      </c>
      <c r="E1766" t="s">
        <v>2918</v>
      </c>
      <c r="F1766" s="2" t="s">
        <v>2346</v>
      </c>
      <c r="G1766" t="s">
        <v>121</v>
      </c>
      <c r="H1766" s="2" t="s">
        <v>50</v>
      </c>
      <c r="I1766" s="2">
        <v>0.45</v>
      </c>
    </row>
    <row r="1767" spans="1:10" x14ac:dyDescent="0.25">
      <c r="A1767" s="1" t="s">
        <v>2912</v>
      </c>
      <c r="B1767" t="s">
        <v>2392</v>
      </c>
      <c r="C1767" s="1" t="s">
        <v>2919</v>
      </c>
      <c r="D1767" s="1" t="s">
        <v>2919</v>
      </c>
      <c r="E1767" t="s">
        <v>2920</v>
      </c>
      <c r="F1767" s="2" t="s">
        <v>2921</v>
      </c>
      <c r="G1767" t="s">
        <v>49</v>
      </c>
      <c r="H1767" s="2" t="s">
        <v>50</v>
      </c>
      <c r="I1767" s="2">
        <v>1.9</v>
      </c>
    </row>
    <row r="1768" spans="1:10" x14ac:dyDescent="0.25">
      <c r="A1768" s="1" t="s">
        <v>2912</v>
      </c>
      <c r="B1768" t="s">
        <v>2392</v>
      </c>
      <c r="C1768" s="1" t="s">
        <v>2922</v>
      </c>
      <c r="D1768" s="1" t="s">
        <v>2922</v>
      </c>
      <c r="E1768" t="s">
        <v>2923</v>
      </c>
      <c r="F1768" s="2" t="s">
        <v>1009</v>
      </c>
      <c r="G1768" t="s">
        <v>49</v>
      </c>
      <c r="H1768" s="2" t="s">
        <v>50</v>
      </c>
      <c r="I1768" s="2">
        <v>0.25</v>
      </c>
    </row>
    <row r="1769" spans="1:10" x14ac:dyDescent="0.25">
      <c r="A1769" s="1" t="s">
        <v>2912</v>
      </c>
      <c r="B1769" t="s">
        <v>2392</v>
      </c>
      <c r="C1769" s="1" t="s">
        <v>2922</v>
      </c>
      <c r="D1769" s="1" t="s">
        <v>2922</v>
      </c>
      <c r="E1769" t="s">
        <v>2923</v>
      </c>
      <c r="F1769" s="2" t="s">
        <v>1009</v>
      </c>
      <c r="G1769" t="s">
        <v>49</v>
      </c>
      <c r="H1769" s="2" t="s">
        <v>50</v>
      </c>
      <c r="I1769" s="2">
        <v>0.25</v>
      </c>
    </row>
    <row r="1770" spans="1:10" x14ac:dyDescent="0.25">
      <c r="A1770" s="1" t="s">
        <v>2912</v>
      </c>
      <c r="B1770" t="s">
        <v>2392</v>
      </c>
      <c r="C1770" s="1" t="s">
        <v>2055</v>
      </c>
      <c r="D1770" s="1" t="s">
        <v>2056</v>
      </c>
      <c r="E1770" t="s">
        <v>2057</v>
      </c>
      <c r="F1770" s="2" t="s">
        <v>2058</v>
      </c>
      <c r="G1770" t="s">
        <v>49</v>
      </c>
      <c r="H1770" s="2" t="s">
        <v>50</v>
      </c>
      <c r="I1770" s="2">
        <v>4.3499999999999996</v>
      </c>
      <c r="J1770" t="s">
        <v>51</v>
      </c>
    </row>
    <row r="1771" spans="1:10" x14ac:dyDescent="0.25">
      <c r="A1771" s="1" t="s">
        <v>2912</v>
      </c>
      <c r="B1771" t="s">
        <v>2392</v>
      </c>
      <c r="C1771" s="1" t="s">
        <v>2059</v>
      </c>
      <c r="D1771" s="1" t="s">
        <v>2060</v>
      </c>
      <c r="E1771" t="s">
        <v>2061</v>
      </c>
      <c r="F1771" s="2" t="s">
        <v>2062</v>
      </c>
      <c r="G1771" t="s">
        <v>49</v>
      </c>
      <c r="H1771" s="2" t="s">
        <v>50</v>
      </c>
      <c r="I1771" s="2">
        <v>17.149999999999999</v>
      </c>
      <c r="J1771" t="s">
        <v>51</v>
      </c>
    </row>
    <row r="1772" spans="1:10" x14ac:dyDescent="0.25">
      <c r="A1772" s="1" t="s">
        <v>2912</v>
      </c>
      <c r="B1772" t="s">
        <v>2392</v>
      </c>
      <c r="C1772" s="1" t="s">
        <v>7</v>
      </c>
      <c r="D1772" s="1" t="s">
        <v>7</v>
      </c>
      <c r="E1772" t="s">
        <v>8</v>
      </c>
      <c r="F1772" s="2" t="s">
        <v>9</v>
      </c>
      <c r="G1772" t="s">
        <v>10</v>
      </c>
      <c r="H1772" s="2" t="s">
        <v>607</v>
      </c>
      <c r="I1772" s="2">
        <v>18.399999999999999</v>
      </c>
    </row>
    <row r="1773" spans="1:10" x14ac:dyDescent="0.25">
      <c r="A1773" s="1" t="s">
        <v>2924</v>
      </c>
      <c r="B1773" t="s">
        <v>2925</v>
      </c>
      <c r="C1773" s="1" t="s">
        <v>1047</v>
      </c>
      <c r="D1773" s="1" t="s">
        <v>1047</v>
      </c>
      <c r="E1773" t="s">
        <v>1048</v>
      </c>
      <c r="F1773" s="2" t="s">
        <v>1434</v>
      </c>
      <c r="G1773" t="s">
        <v>17</v>
      </c>
      <c r="H1773" s="2" t="s">
        <v>2926</v>
      </c>
      <c r="I1773" s="2">
        <v>20.81</v>
      </c>
    </row>
    <row r="1774" spans="1:10" x14ac:dyDescent="0.25">
      <c r="A1774" s="1" t="s">
        <v>2924</v>
      </c>
      <c r="B1774" t="s">
        <v>2925</v>
      </c>
      <c r="C1774" s="1" t="s">
        <v>7</v>
      </c>
      <c r="D1774" s="1" t="s">
        <v>7</v>
      </c>
      <c r="E1774" t="s">
        <v>8</v>
      </c>
      <c r="F1774" s="2" t="s">
        <v>9</v>
      </c>
      <c r="G1774" t="s">
        <v>10</v>
      </c>
      <c r="H1774" s="2" t="s">
        <v>19</v>
      </c>
      <c r="I1774" s="2">
        <v>4.5999999999999996</v>
      </c>
    </row>
    <row r="1775" spans="1:10" x14ac:dyDescent="0.25">
      <c r="A1775" s="1" t="s">
        <v>2927</v>
      </c>
      <c r="B1775" t="s">
        <v>2928</v>
      </c>
      <c r="C1775" s="1" t="s">
        <v>1047</v>
      </c>
      <c r="D1775" s="1" t="s">
        <v>1047</v>
      </c>
      <c r="E1775" t="s">
        <v>1048</v>
      </c>
      <c r="F1775" s="2" t="s">
        <v>1434</v>
      </c>
      <c r="G1775" t="s">
        <v>17</v>
      </c>
      <c r="H1775" s="2" t="s">
        <v>2929</v>
      </c>
      <c r="I1775" s="2">
        <v>16.77</v>
      </c>
    </row>
    <row r="1776" spans="1:10" x14ac:dyDescent="0.25">
      <c r="A1776" s="1" t="s">
        <v>2927</v>
      </c>
      <c r="B1776" t="s">
        <v>2928</v>
      </c>
      <c r="C1776" s="1" t="s">
        <v>7</v>
      </c>
      <c r="D1776" s="1" t="s">
        <v>7</v>
      </c>
      <c r="E1776" t="s">
        <v>8</v>
      </c>
      <c r="F1776" s="2" t="s">
        <v>9</v>
      </c>
      <c r="G1776" t="s">
        <v>10</v>
      </c>
      <c r="H1776" s="2" t="s">
        <v>19</v>
      </c>
      <c r="I1776" s="2">
        <v>4.5999999999999996</v>
      </c>
    </row>
    <row r="1777" spans="1:9" x14ac:dyDescent="0.25">
      <c r="A1777" s="1" t="s">
        <v>2930</v>
      </c>
      <c r="B1777" t="s">
        <v>2931</v>
      </c>
      <c r="C1777" s="1" t="s">
        <v>1047</v>
      </c>
      <c r="D1777" s="1" t="s">
        <v>1047</v>
      </c>
      <c r="E1777" t="s">
        <v>1048</v>
      </c>
      <c r="F1777" s="2" t="s">
        <v>1434</v>
      </c>
      <c r="G1777" t="s">
        <v>17</v>
      </c>
      <c r="H1777" s="2" t="s">
        <v>2932</v>
      </c>
      <c r="I1777" s="2">
        <v>3.47</v>
      </c>
    </row>
    <row r="1778" spans="1:9" x14ac:dyDescent="0.25">
      <c r="A1778" s="1" t="s">
        <v>2930</v>
      </c>
      <c r="B1778" t="s">
        <v>2931</v>
      </c>
      <c r="C1778" s="1" t="s">
        <v>7</v>
      </c>
      <c r="D1778" s="1" t="s">
        <v>7</v>
      </c>
      <c r="E1778" t="s">
        <v>8</v>
      </c>
      <c r="F1778" s="2" t="s">
        <v>9</v>
      </c>
      <c r="G1778" t="s">
        <v>10</v>
      </c>
      <c r="H1778" s="2" t="s">
        <v>19</v>
      </c>
      <c r="I1778" s="2">
        <v>4.5999999999999996</v>
      </c>
    </row>
    <row r="1779" spans="1:9" x14ac:dyDescent="0.25">
      <c r="A1779" s="1" t="s">
        <v>2933</v>
      </c>
      <c r="B1779" t="s">
        <v>2934</v>
      </c>
      <c r="C1779" s="1" t="s">
        <v>1743</v>
      </c>
      <c r="D1779" s="1" t="s">
        <v>1743</v>
      </c>
      <c r="E1779" t="s">
        <v>1744</v>
      </c>
      <c r="F1779" s="2" t="s">
        <v>1354</v>
      </c>
      <c r="G1779" t="s">
        <v>5</v>
      </c>
      <c r="H1779" s="2" t="s">
        <v>2935</v>
      </c>
      <c r="I1779" s="2">
        <v>9.1</v>
      </c>
    </row>
    <row r="1780" spans="1:9" x14ac:dyDescent="0.25">
      <c r="A1780" s="1" t="s">
        <v>2933</v>
      </c>
      <c r="B1780" t="s">
        <v>2934</v>
      </c>
      <c r="C1780" s="1" t="s">
        <v>7</v>
      </c>
      <c r="D1780" s="1" t="s">
        <v>7</v>
      </c>
      <c r="E1780" t="s">
        <v>8</v>
      </c>
      <c r="F1780" s="2" t="s">
        <v>9</v>
      </c>
      <c r="G1780" t="s">
        <v>10</v>
      </c>
      <c r="H1780" s="2" t="s">
        <v>523</v>
      </c>
      <c r="I1780" s="2">
        <v>17</v>
      </c>
    </row>
    <row r="1781" spans="1:9" x14ac:dyDescent="0.25">
      <c r="A1781" s="1" t="s">
        <v>2936</v>
      </c>
      <c r="B1781" t="s">
        <v>2937</v>
      </c>
      <c r="C1781" s="1" t="s">
        <v>1743</v>
      </c>
      <c r="D1781" s="1" t="s">
        <v>1743</v>
      </c>
      <c r="E1781" t="s">
        <v>1744</v>
      </c>
      <c r="F1781" s="2" t="s">
        <v>1354</v>
      </c>
      <c r="G1781" t="s">
        <v>5</v>
      </c>
      <c r="H1781" s="2" t="s">
        <v>2938</v>
      </c>
      <c r="I1781" s="2">
        <v>10.5</v>
      </c>
    </row>
    <row r="1782" spans="1:9" x14ac:dyDescent="0.25">
      <c r="A1782" s="1" t="s">
        <v>2936</v>
      </c>
      <c r="B1782" t="s">
        <v>2937</v>
      </c>
      <c r="C1782" s="1" t="s">
        <v>7</v>
      </c>
      <c r="D1782" s="1" t="s">
        <v>7</v>
      </c>
      <c r="E1782" t="s">
        <v>8</v>
      </c>
      <c r="F1782" s="2" t="s">
        <v>9</v>
      </c>
      <c r="G1782" t="s">
        <v>10</v>
      </c>
      <c r="H1782" s="2" t="s">
        <v>860</v>
      </c>
      <c r="I1782" s="2">
        <v>23</v>
      </c>
    </row>
    <row r="1783" spans="1:9" x14ac:dyDescent="0.25">
      <c r="A1783" s="1" t="s">
        <v>2939</v>
      </c>
      <c r="B1783" t="s">
        <v>2940</v>
      </c>
      <c r="C1783" s="1" t="s">
        <v>2941</v>
      </c>
      <c r="D1783" s="1" t="s">
        <v>2941</v>
      </c>
      <c r="E1783" t="s">
        <v>2942</v>
      </c>
      <c r="F1783" s="2" t="s">
        <v>1394</v>
      </c>
      <c r="G1783" t="s">
        <v>5</v>
      </c>
      <c r="H1783" s="2" t="s">
        <v>2943</v>
      </c>
      <c r="I1783" s="2">
        <v>0.95</v>
      </c>
    </row>
    <row r="1784" spans="1:9" x14ac:dyDescent="0.25">
      <c r="A1784" s="1" t="s">
        <v>2939</v>
      </c>
      <c r="B1784" t="s">
        <v>2940</v>
      </c>
      <c r="C1784" s="1" t="s">
        <v>541</v>
      </c>
      <c r="D1784" s="1" t="s">
        <v>541</v>
      </c>
      <c r="E1784" t="s">
        <v>542</v>
      </c>
      <c r="F1784" s="2" t="s">
        <v>9</v>
      </c>
      <c r="G1784" t="s">
        <v>10</v>
      </c>
      <c r="H1784" s="2" t="s">
        <v>2944</v>
      </c>
      <c r="I1784" s="2">
        <v>7.58</v>
      </c>
    </row>
    <row r="1785" spans="1:9" x14ac:dyDescent="0.25">
      <c r="A1785" s="1" t="s">
        <v>2945</v>
      </c>
      <c r="B1785" t="s">
        <v>2946</v>
      </c>
      <c r="C1785" s="1" t="s">
        <v>2947</v>
      </c>
      <c r="D1785" s="1" t="s">
        <v>2947</v>
      </c>
      <c r="E1785" t="s">
        <v>2948</v>
      </c>
      <c r="F1785" s="2" t="s">
        <v>70</v>
      </c>
      <c r="G1785" t="s">
        <v>5</v>
      </c>
      <c r="H1785" s="2" t="s">
        <v>2949</v>
      </c>
      <c r="I1785" s="2">
        <v>1.4</v>
      </c>
    </row>
    <row r="1786" spans="1:9" x14ac:dyDescent="0.25">
      <c r="A1786" s="1" t="s">
        <v>2945</v>
      </c>
      <c r="B1786" t="s">
        <v>2946</v>
      </c>
      <c r="C1786" s="1" t="s">
        <v>7</v>
      </c>
      <c r="D1786" s="1" t="s">
        <v>7</v>
      </c>
      <c r="E1786" t="s">
        <v>8</v>
      </c>
      <c r="F1786" s="2" t="s">
        <v>9</v>
      </c>
      <c r="G1786" t="s">
        <v>10</v>
      </c>
      <c r="H1786" s="2" t="s">
        <v>2950</v>
      </c>
      <c r="I1786" s="2">
        <v>7.74</v>
      </c>
    </row>
    <row r="1787" spans="1:9" x14ac:dyDescent="0.25">
      <c r="A1787" s="1" t="s">
        <v>2951</v>
      </c>
      <c r="B1787" t="s">
        <v>2952</v>
      </c>
      <c r="C1787" s="1" t="s">
        <v>2474</v>
      </c>
      <c r="D1787" s="1" t="s">
        <v>2474</v>
      </c>
      <c r="E1787" t="s">
        <v>2475</v>
      </c>
      <c r="F1787" s="2" t="s">
        <v>2469</v>
      </c>
      <c r="G1787" t="s">
        <v>5</v>
      </c>
      <c r="H1787" s="2" t="s">
        <v>1026</v>
      </c>
      <c r="I1787" s="2">
        <v>7.79</v>
      </c>
    </row>
    <row r="1788" spans="1:9" x14ac:dyDescent="0.25">
      <c r="A1788" s="1" t="s">
        <v>2951</v>
      </c>
      <c r="B1788" t="s">
        <v>2952</v>
      </c>
      <c r="C1788" s="1" t="s">
        <v>7</v>
      </c>
      <c r="D1788" s="1" t="s">
        <v>7</v>
      </c>
      <c r="E1788" t="s">
        <v>8</v>
      </c>
      <c r="F1788" s="2" t="s">
        <v>9</v>
      </c>
      <c r="G1788" t="s">
        <v>10</v>
      </c>
      <c r="H1788" s="2" t="s">
        <v>2944</v>
      </c>
      <c r="I1788" s="2">
        <v>7.58</v>
      </c>
    </row>
    <row r="1789" spans="1:9" x14ac:dyDescent="0.25">
      <c r="A1789" s="1" t="s">
        <v>2953</v>
      </c>
      <c r="B1789" t="s">
        <v>2954</v>
      </c>
      <c r="C1789" s="1" t="s">
        <v>2955</v>
      </c>
      <c r="D1789" s="1" t="s">
        <v>2955</v>
      </c>
      <c r="E1789" t="s">
        <v>2956</v>
      </c>
      <c r="F1789" s="2" t="s">
        <v>311</v>
      </c>
      <c r="G1789" t="s">
        <v>17</v>
      </c>
      <c r="H1789" s="2" t="s">
        <v>2957</v>
      </c>
      <c r="I1789" s="2">
        <v>0.3</v>
      </c>
    </row>
    <row r="1790" spans="1:9" x14ac:dyDescent="0.25">
      <c r="A1790" s="1" t="s">
        <v>2953</v>
      </c>
      <c r="B1790" t="s">
        <v>2954</v>
      </c>
      <c r="C1790" s="1" t="s">
        <v>7</v>
      </c>
      <c r="D1790" s="1" t="s">
        <v>7</v>
      </c>
      <c r="E1790" t="s">
        <v>8</v>
      </c>
      <c r="F1790" s="2" t="s">
        <v>9</v>
      </c>
      <c r="G1790" t="s">
        <v>10</v>
      </c>
      <c r="H1790" s="2" t="s">
        <v>2958</v>
      </c>
      <c r="I1790" s="2">
        <v>3.97</v>
      </c>
    </row>
    <row r="1791" spans="1:9" x14ac:dyDescent="0.25">
      <c r="A1791" s="1" t="s">
        <v>2959</v>
      </c>
      <c r="B1791" t="s">
        <v>2960</v>
      </c>
      <c r="C1791" s="1" t="s">
        <v>2961</v>
      </c>
      <c r="D1791" s="1" t="s">
        <v>2961</v>
      </c>
      <c r="E1791" t="s">
        <v>2962</v>
      </c>
      <c r="F1791" s="2" t="s">
        <v>2963</v>
      </c>
      <c r="G1791" t="s">
        <v>5</v>
      </c>
      <c r="H1791" s="2" t="s">
        <v>2964</v>
      </c>
      <c r="I1791" s="2">
        <v>0.25</v>
      </c>
    </row>
    <row r="1792" spans="1:9" x14ac:dyDescent="0.25">
      <c r="A1792" s="1" t="s">
        <v>2959</v>
      </c>
      <c r="B1792" t="s">
        <v>2960</v>
      </c>
      <c r="C1792" s="1" t="s">
        <v>7</v>
      </c>
      <c r="D1792" s="1" t="s">
        <v>7</v>
      </c>
      <c r="E1792" t="s">
        <v>8</v>
      </c>
      <c r="F1792" s="2" t="s">
        <v>9</v>
      </c>
      <c r="G1792" t="s">
        <v>10</v>
      </c>
      <c r="H1792" s="2" t="s">
        <v>1200</v>
      </c>
      <c r="I1792" s="2">
        <v>3.87</v>
      </c>
    </row>
    <row r="1793" spans="1:9" x14ac:dyDescent="0.25">
      <c r="A1793" s="1" t="s">
        <v>2965</v>
      </c>
      <c r="B1793" t="s">
        <v>2966</v>
      </c>
      <c r="C1793" s="1" t="s">
        <v>2967</v>
      </c>
      <c r="D1793" s="1" t="s">
        <v>2967</v>
      </c>
      <c r="E1793" t="s">
        <v>2968</v>
      </c>
      <c r="F1793" s="2" t="s">
        <v>2969</v>
      </c>
      <c r="G1793" t="s">
        <v>49</v>
      </c>
      <c r="H1793" s="2" t="s">
        <v>2970</v>
      </c>
      <c r="I1793" s="2">
        <v>37</v>
      </c>
    </row>
    <row r="1794" spans="1:9" x14ac:dyDescent="0.25">
      <c r="A1794" s="1" t="s">
        <v>2965</v>
      </c>
      <c r="B1794" t="s">
        <v>2966</v>
      </c>
      <c r="C1794" s="1" t="s">
        <v>7</v>
      </c>
      <c r="D1794" s="1" t="s">
        <v>7</v>
      </c>
      <c r="E1794" t="s">
        <v>8</v>
      </c>
      <c r="F1794" s="2" t="s">
        <v>9</v>
      </c>
      <c r="G1794" t="s">
        <v>10</v>
      </c>
      <c r="H1794" s="2" t="s">
        <v>2971</v>
      </c>
      <c r="I1794" s="2">
        <v>21.95</v>
      </c>
    </row>
    <row r="1795" spans="1:9" x14ac:dyDescent="0.25">
      <c r="A1795" s="1" t="s">
        <v>2972</v>
      </c>
      <c r="B1795" t="s">
        <v>2973</v>
      </c>
      <c r="C1795" s="1" t="s">
        <v>2967</v>
      </c>
      <c r="D1795" s="1" t="s">
        <v>2967</v>
      </c>
      <c r="E1795" t="s">
        <v>2968</v>
      </c>
      <c r="F1795" s="2" t="s">
        <v>2969</v>
      </c>
      <c r="G1795" t="s">
        <v>49</v>
      </c>
      <c r="H1795" s="2" t="s">
        <v>50</v>
      </c>
      <c r="I1795" s="2">
        <v>73.92</v>
      </c>
    </row>
    <row r="1796" spans="1:9" x14ac:dyDescent="0.25">
      <c r="A1796" s="1" t="s">
        <v>2972</v>
      </c>
      <c r="B1796" t="s">
        <v>2973</v>
      </c>
      <c r="C1796" s="1" t="s">
        <v>41</v>
      </c>
      <c r="D1796" s="1" t="s">
        <v>41</v>
      </c>
      <c r="E1796" t="s">
        <v>42</v>
      </c>
      <c r="F1796" s="2" t="s">
        <v>513</v>
      </c>
      <c r="G1796" t="s">
        <v>5</v>
      </c>
      <c r="H1796" s="2" t="s">
        <v>2974</v>
      </c>
      <c r="I1796" s="2">
        <v>0.03</v>
      </c>
    </row>
    <row r="1797" spans="1:9" x14ac:dyDescent="0.25">
      <c r="A1797" s="1" t="s">
        <v>2972</v>
      </c>
      <c r="B1797" t="s">
        <v>2973</v>
      </c>
      <c r="C1797" s="1" t="s">
        <v>7</v>
      </c>
      <c r="D1797" s="1" t="s">
        <v>7</v>
      </c>
      <c r="E1797" t="s">
        <v>8</v>
      </c>
      <c r="F1797" s="2" t="s">
        <v>9</v>
      </c>
      <c r="G1797" t="s">
        <v>10</v>
      </c>
      <c r="H1797" s="2" t="s">
        <v>2975</v>
      </c>
      <c r="I1797" s="2">
        <v>15.68</v>
      </c>
    </row>
    <row r="1798" spans="1:9" x14ac:dyDescent="0.25">
      <c r="A1798" s="1" t="s">
        <v>2976</v>
      </c>
      <c r="B1798" t="s">
        <v>2977</v>
      </c>
      <c r="C1798" s="1" t="s">
        <v>2941</v>
      </c>
      <c r="D1798" s="1" t="s">
        <v>2941</v>
      </c>
      <c r="E1798" t="s">
        <v>2942</v>
      </c>
      <c r="F1798" s="2" t="s">
        <v>1394</v>
      </c>
      <c r="G1798" t="s">
        <v>5</v>
      </c>
      <c r="H1798" s="2" t="s">
        <v>601</v>
      </c>
      <c r="I1798" s="2">
        <v>0.6</v>
      </c>
    </row>
    <row r="1799" spans="1:9" x14ac:dyDescent="0.25">
      <c r="A1799" s="1" t="s">
        <v>2976</v>
      </c>
      <c r="B1799" t="s">
        <v>2977</v>
      </c>
      <c r="C1799" s="1" t="s">
        <v>7</v>
      </c>
      <c r="D1799" s="1" t="s">
        <v>7</v>
      </c>
      <c r="E1799" t="s">
        <v>8</v>
      </c>
      <c r="F1799" s="2" t="s">
        <v>9</v>
      </c>
      <c r="G1799" t="s">
        <v>10</v>
      </c>
      <c r="H1799" s="2" t="s">
        <v>2978</v>
      </c>
      <c r="I1799" s="2">
        <v>21.28</v>
      </c>
    </row>
    <row r="1800" spans="1:9" x14ac:dyDescent="0.25">
      <c r="A1800" s="1" t="s">
        <v>2979</v>
      </c>
      <c r="B1800" t="s">
        <v>2980</v>
      </c>
      <c r="C1800" s="1" t="s">
        <v>2981</v>
      </c>
      <c r="D1800" s="1" t="s">
        <v>2981</v>
      </c>
      <c r="E1800" t="s">
        <v>2982</v>
      </c>
      <c r="F1800" s="2" t="s">
        <v>2983</v>
      </c>
      <c r="G1800" t="s">
        <v>49</v>
      </c>
      <c r="H1800" s="2" t="s">
        <v>50</v>
      </c>
      <c r="I1800" s="2">
        <v>8.58</v>
      </c>
    </row>
    <row r="1801" spans="1:9" x14ac:dyDescent="0.25">
      <c r="A1801" s="1" t="s">
        <v>2979</v>
      </c>
      <c r="B1801" t="s">
        <v>2980</v>
      </c>
      <c r="C1801" s="1" t="s">
        <v>7</v>
      </c>
      <c r="D1801" s="1" t="s">
        <v>7</v>
      </c>
      <c r="E1801" t="s">
        <v>8</v>
      </c>
      <c r="F1801" s="2" t="s">
        <v>9</v>
      </c>
      <c r="G1801" t="s">
        <v>10</v>
      </c>
      <c r="H1801" s="2" t="s">
        <v>2984</v>
      </c>
      <c r="I1801" s="2">
        <v>3.88</v>
      </c>
    </row>
    <row r="1802" spans="1:9" x14ac:dyDescent="0.25">
      <c r="A1802" s="1" t="s">
        <v>2985</v>
      </c>
      <c r="B1802" t="s">
        <v>2986</v>
      </c>
      <c r="C1802" s="1" t="s">
        <v>2987</v>
      </c>
      <c r="D1802" s="1" t="s">
        <v>2987</v>
      </c>
      <c r="E1802" t="s">
        <v>2988</v>
      </c>
      <c r="F1802" s="2" t="s">
        <v>2989</v>
      </c>
      <c r="G1802" t="s">
        <v>49</v>
      </c>
      <c r="H1802" s="2" t="s">
        <v>50</v>
      </c>
      <c r="I1802" s="2">
        <v>1.56</v>
      </c>
    </row>
    <row r="1803" spans="1:9" x14ac:dyDescent="0.25">
      <c r="A1803" s="1" t="s">
        <v>2985</v>
      </c>
      <c r="B1803" t="s">
        <v>2986</v>
      </c>
      <c r="C1803" s="1" t="s">
        <v>7</v>
      </c>
      <c r="D1803" s="1" t="s">
        <v>7</v>
      </c>
      <c r="E1803" t="s">
        <v>8</v>
      </c>
      <c r="F1803" s="2" t="s">
        <v>9</v>
      </c>
      <c r="G1803" t="s">
        <v>10</v>
      </c>
      <c r="H1803" s="2" t="s">
        <v>2984</v>
      </c>
      <c r="I1803" s="2">
        <v>3.88</v>
      </c>
    </row>
    <row r="1804" spans="1:9" x14ac:dyDescent="0.25">
      <c r="A1804" s="1" t="s">
        <v>2990</v>
      </c>
      <c r="B1804" t="s">
        <v>2991</v>
      </c>
      <c r="C1804" s="1" t="s">
        <v>2992</v>
      </c>
      <c r="D1804" s="1" t="s">
        <v>2992</v>
      </c>
      <c r="E1804" t="s">
        <v>2993</v>
      </c>
      <c r="F1804" s="2" t="s">
        <v>2994</v>
      </c>
      <c r="G1804" t="s">
        <v>49</v>
      </c>
      <c r="H1804" s="2" t="s">
        <v>50</v>
      </c>
      <c r="I1804" s="2">
        <v>17.899999999999999</v>
      </c>
    </row>
    <row r="1805" spans="1:9" x14ac:dyDescent="0.25">
      <c r="A1805" s="1" t="s">
        <v>2990</v>
      </c>
      <c r="B1805" t="s">
        <v>2991</v>
      </c>
      <c r="C1805" s="1" t="s">
        <v>541</v>
      </c>
      <c r="D1805" s="1" t="s">
        <v>541</v>
      </c>
      <c r="E1805" t="s">
        <v>542</v>
      </c>
      <c r="F1805" s="2" t="s">
        <v>9</v>
      </c>
      <c r="G1805" t="s">
        <v>10</v>
      </c>
      <c r="H1805" s="2" t="s">
        <v>1349</v>
      </c>
      <c r="I1805" s="2">
        <v>3.45</v>
      </c>
    </row>
    <row r="1806" spans="1:9" x14ac:dyDescent="0.25">
      <c r="A1806" s="1" t="s">
        <v>2995</v>
      </c>
      <c r="B1806" t="s">
        <v>2996</v>
      </c>
      <c r="C1806" s="1" t="s">
        <v>2997</v>
      </c>
      <c r="D1806" s="1" t="s">
        <v>2997</v>
      </c>
      <c r="E1806" t="s">
        <v>2998</v>
      </c>
      <c r="F1806" s="2" t="s">
        <v>2994</v>
      </c>
      <c r="G1806" t="s">
        <v>49</v>
      </c>
      <c r="H1806" s="2" t="s">
        <v>50</v>
      </c>
      <c r="I1806" s="2">
        <v>17.899999999999999</v>
      </c>
    </row>
    <row r="1807" spans="1:9" x14ac:dyDescent="0.25">
      <c r="A1807" s="1" t="s">
        <v>2995</v>
      </c>
      <c r="B1807" t="s">
        <v>2996</v>
      </c>
      <c r="C1807" s="1" t="s">
        <v>541</v>
      </c>
      <c r="D1807" s="1" t="s">
        <v>541</v>
      </c>
      <c r="E1807" t="s">
        <v>542</v>
      </c>
      <c r="F1807" s="2" t="s">
        <v>9</v>
      </c>
      <c r="G1807" t="s">
        <v>10</v>
      </c>
      <c r="H1807" s="2" t="s">
        <v>1349</v>
      </c>
      <c r="I1807" s="2">
        <v>3.45</v>
      </c>
    </row>
    <row r="1808" spans="1:9" x14ac:dyDescent="0.25">
      <c r="A1808" s="1" t="s">
        <v>2999</v>
      </c>
      <c r="B1808" t="s">
        <v>3000</v>
      </c>
      <c r="C1808" s="1" t="s">
        <v>2458</v>
      </c>
      <c r="D1808" s="1" t="s">
        <v>2458</v>
      </c>
      <c r="E1808" t="s">
        <v>2459</v>
      </c>
      <c r="F1808" s="2" t="s">
        <v>384</v>
      </c>
      <c r="G1808" t="s">
        <v>5</v>
      </c>
      <c r="H1808" s="2" t="s">
        <v>860</v>
      </c>
      <c r="I1808" s="2">
        <v>5.45</v>
      </c>
    </row>
    <row r="1809" spans="1:9" x14ac:dyDescent="0.25">
      <c r="A1809" s="1" t="s">
        <v>2999</v>
      </c>
      <c r="B1809" t="s">
        <v>3000</v>
      </c>
      <c r="C1809" s="1" t="s">
        <v>7</v>
      </c>
      <c r="D1809" s="1" t="s">
        <v>7</v>
      </c>
      <c r="E1809" t="s">
        <v>8</v>
      </c>
      <c r="F1809" s="2" t="s">
        <v>9</v>
      </c>
      <c r="G1809" t="s">
        <v>10</v>
      </c>
      <c r="H1809" s="2" t="s">
        <v>3001</v>
      </c>
      <c r="I1809" s="2">
        <v>2.67</v>
      </c>
    </row>
    <row r="1810" spans="1:9" x14ac:dyDescent="0.25">
      <c r="A1810" s="1" t="s">
        <v>3002</v>
      </c>
      <c r="B1810" t="s">
        <v>3003</v>
      </c>
      <c r="C1810" s="1" t="s">
        <v>29</v>
      </c>
      <c r="D1810" s="1" t="s">
        <v>29</v>
      </c>
      <c r="E1810" t="s">
        <v>30</v>
      </c>
      <c r="F1810" s="2" t="s">
        <v>31</v>
      </c>
      <c r="G1810" t="s">
        <v>5</v>
      </c>
      <c r="H1810" s="2" t="s">
        <v>3004</v>
      </c>
      <c r="I1810" s="2">
        <v>2.95</v>
      </c>
    </row>
    <row r="1811" spans="1:9" x14ac:dyDescent="0.25">
      <c r="A1811" s="1" t="s">
        <v>3002</v>
      </c>
      <c r="B1811" t="s">
        <v>3003</v>
      </c>
      <c r="C1811" s="1" t="s">
        <v>432</v>
      </c>
      <c r="D1811" s="1" t="s">
        <v>432</v>
      </c>
      <c r="E1811" t="s">
        <v>433</v>
      </c>
      <c r="F1811" s="2" t="s">
        <v>434</v>
      </c>
      <c r="G1811" t="s">
        <v>435</v>
      </c>
      <c r="H1811" s="2" t="s">
        <v>50</v>
      </c>
      <c r="I1811" s="2">
        <v>1.1000000000000001</v>
      </c>
    </row>
    <row r="1812" spans="1:9" x14ac:dyDescent="0.25">
      <c r="A1812" s="1" t="s">
        <v>3002</v>
      </c>
      <c r="B1812" t="s">
        <v>3003</v>
      </c>
      <c r="C1812" s="1" t="s">
        <v>541</v>
      </c>
      <c r="D1812" s="1" t="s">
        <v>541</v>
      </c>
      <c r="E1812" t="s">
        <v>542</v>
      </c>
      <c r="F1812" s="2" t="s">
        <v>9</v>
      </c>
      <c r="G1812" t="s">
        <v>10</v>
      </c>
      <c r="H1812" s="2" t="s">
        <v>1435</v>
      </c>
      <c r="I1812" s="2">
        <v>6.31</v>
      </c>
    </row>
    <row r="1813" spans="1:9" x14ac:dyDescent="0.25">
      <c r="A1813" s="1" t="s">
        <v>3005</v>
      </c>
      <c r="B1813" t="s">
        <v>3006</v>
      </c>
      <c r="C1813" s="1" t="s">
        <v>3007</v>
      </c>
      <c r="D1813" s="1" t="s">
        <v>3007</v>
      </c>
      <c r="E1813" t="s">
        <v>3008</v>
      </c>
      <c r="F1813" s="2" t="s">
        <v>70</v>
      </c>
      <c r="G1813" t="s">
        <v>5</v>
      </c>
      <c r="H1813" s="2" t="s">
        <v>2214</v>
      </c>
      <c r="I1813" s="2">
        <v>4</v>
      </c>
    </row>
    <row r="1814" spans="1:9" x14ac:dyDescent="0.25">
      <c r="A1814" s="1" t="s">
        <v>3005</v>
      </c>
      <c r="B1814" t="s">
        <v>3006</v>
      </c>
      <c r="C1814" s="1" t="s">
        <v>432</v>
      </c>
      <c r="D1814" s="1" t="s">
        <v>432</v>
      </c>
      <c r="E1814" t="s">
        <v>433</v>
      </c>
      <c r="F1814" s="2" t="s">
        <v>434</v>
      </c>
      <c r="G1814" t="s">
        <v>435</v>
      </c>
      <c r="H1814" s="2" t="s">
        <v>50</v>
      </c>
      <c r="I1814" s="2">
        <v>1.1000000000000001</v>
      </c>
    </row>
    <row r="1815" spans="1:9" x14ac:dyDescent="0.25">
      <c r="A1815" s="1" t="s">
        <v>3005</v>
      </c>
      <c r="B1815" t="s">
        <v>3006</v>
      </c>
      <c r="C1815" s="1" t="s">
        <v>541</v>
      </c>
      <c r="D1815" s="1" t="s">
        <v>541</v>
      </c>
      <c r="E1815" t="s">
        <v>542</v>
      </c>
      <c r="F1815" s="2" t="s">
        <v>9</v>
      </c>
      <c r="G1815" t="s">
        <v>10</v>
      </c>
      <c r="H1815" s="2" t="s">
        <v>33</v>
      </c>
      <c r="I1815" s="2">
        <v>9.1999999999999993</v>
      </c>
    </row>
    <row r="1816" spans="1:9" x14ac:dyDescent="0.25">
      <c r="A1816" s="1" t="s">
        <v>3009</v>
      </c>
      <c r="B1816" t="s">
        <v>3010</v>
      </c>
      <c r="C1816" s="1" t="s">
        <v>3011</v>
      </c>
      <c r="D1816" s="1" t="s">
        <v>3011</v>
      </c>
      <c r="E1816" t="s">
        <v>3012</v>
      </c>
      <c r="F1816" s="2" t="s">
        <v>1394</v>
      </c>
      <c r="G1816" t="s">
        <v>932</v>
      </c>
      <c r="H1816" s="2" t="s">
        <v>860</v>
      </c>
      <c r="I1816" s="2">
        <v>2</v>
      </c>
    </row>
    <row r="1817" spans="1:9" x14ac:dyDescent="0.25">
      <c r="A1817" s="1" t="s">
        <v>3009</v>
      </c>
      <c r="B1817" t="s">
        <v>3010</v>
      </c>
      <c r="C1817" s="1" t="s">
        <v>541</v>
      </c>
      <c r="D1817" s="1" t="s">
        <v>541</v>
      </c>
      <c r="E1817" t="s">
        <v>542</v>
      </c>
      <c r="F1817" s="2" t="s">
        <v>9</v>
      </c>
      <c r="G1817" t="s">
        <v>10</v>
      </c>
      <c r="H1817" s="2" t="s">
        <v>367</v>
      </c>
      <c r="I1817" s="2">
        <v>2.2999999999999998</v>
      </c>
    </row>
    <row r="1818" spans="1:9" x14ac:dyDescent="0.25">
      <c r="A1818" s="1" t="s">
        <v>3013</v>
      </c>
      <c r="B1818" t="s">
        <v>3014</v>
      </c>
      <c r="C1818" s="1" t="s">
        <v>3015</v>
      </c>
      <c r="D1818" s="1" t="s">
        <v>3015</v>
      </c>
      <c r="E1818" t="s">
        <v>3016</v>
      </c>
      <c r="F1818" s="2" t="s">
        <v>3017</v>
      </c>
      <c r="G1818" t="s">
        <v>49</v>
      </c>
      <c r="H1818" s="2" t="s">
        <v>50</v>
      </c>
      <c r="I1818" s="2">
        <v>8.36</v>
      </c>
    </row>
    <row r="1819" spans="1:9" x14ac:dyDescent="0.25">
      <c r="A1819" s="1" t="s">
        <v>3013</v>
      </c>
      <c r="B1819" t="s">
        <v>3014</v>
      </c>
      <c r="C1819" s="1" t="s">
        <v>541</v>
      </c>
      <c r="D1819" s="1" t="s">
        <v>541</v>
      </c>
      <c r="E1819" t="s">
        <v>542</v>
      </c>
      <c r="F1819" s="2" t="s">
        <v>9</v>
      </c>
      <c r="G1819" t="s">
        <v>10</v>
      </c>
      <c r="H1819" s="2" t="s">
        <v>19</v>
      </c>
      <c r="I1819" s="2">
        <v>4.5999999999999996</v>
      </c>
    </row>
    <row r="1820" spans="1:9" x14ac:dyDescent="0.25">
      <c r="A1820" s="1" t="s">
        <v>3018</v>
      </c>
      <c r="B1820" t="s">
        <v>3019</v>
      </c>
      <c r="C1820" s="1" t="s">
        <v>3011</v>
      </c>
      <c r="D1820" s="1" t="s">
        <v>3011</v>
      </c>
      <c r="E1820" t="s">
        <v>3012</v>
      </c>
      <c r="F1820" s="2" t="s">
        <v>1394</v>
      </c>
      <c r="G1820" t="s">
        <v>932</v>
      </c>
      <c r="H1820" s="2" t="s">
        <v>607</v>
      </c>
      <c r="I1820" s="2">
        <v>1.6</v>
      </c>
    </row>
    <row r="1821" spans="1:9" x14ac:dyDescent="0.25">
      <c r="A1821" s="1" t="s">
        <v>3018</v>
      </c>
      <c r="B1821" t="s">
        <v>3019</v>
      </c>
      <c r="C1821" s="1" t="s">
        <v>541</v>
      </c>
      <c r="D1821" s="1" t="s">
        <v>541</v>
      </c>
      <c r="E1821" t="s">
        <v>542</v>
      </c>
      <c r="F1821" s="2" t="s">
        <v>9</v>
      </c>
      <c r="G1821" t="s">
        <v>10</v>
      </c>
      <c r="H1821" s="2" t="s">
        <v>367</v>
      </c>
      <c r="I1821" s="2">
        <v>2.2999999999999998</v>
      </c>
    </row>
    <row r="1822" spans="1:9" x14ac:dyDescent="0.25">
      <c r="A1822" s="1" t="s">
        <v>3020</v>
      </c>
      <c r="B1822" t="s">
        <v>3021</v>
      </c>
      <c r="C1822" s="1" t="s">
        <v>3022</v>
      </c>
      <c r="D1822" s="1" t="s">
        <v>3022</v>
      </c>
      <c r="E1822" t="s">
        <v>3023</v>
      </c>
      <c r="F1822" s="2" t="s">
        <v>2309</v>
      </c>
      <c r="G1822" t="s">
        <v>49</v>
      </c>
      <c r="H1822" s="2" t="s">
        <v>50</v>
      </c>
      <c r="I1822" s="2">
        <v>9.75</v>
      </c>
    </row>
    <row r="1823" spans="1:9" x14ac:dyDescent="0.25">
      <c r="A1823" s="1" t="s">
        <v>3020</v>
      </c>
      <c r="B1823" t="s">
        <v>3021</v>
      </c>
      <c r="C1823" s="1" t="s">
        <v>541</v>
      </c>
      <c r="D1823" s="1" t="s">
        <v>541</v>
      </c>
      <c r="E1823" t="s">
        <v>542</v>
      </c>
      <c r="F1823" s="2" t="s">
        <v>9</v>
      </c>
      <c r="G1823" t="s">
        <v>10</v>
      </c>
      <c r="H1823" s="2" t="s">
        <v>19</v>
      </c>
      <c r="I1823" s="2">
        <v>4.5999999999999996</v>
      </c>
    </row>
    <row r="1824" spans="1:9" x14ac:dyDescent="0.25">
      <c r="A1824" s="1" t="s">
        <v>3024</v>
      </c>
      <c r="B1824" t="s">
        <v>3025</v>
      </c>
      <c r="C1824" s="1" t="s">
        <v>3026</v>
      </c>
      <c r="D1824" s="1" t="s">
        <v>3026</v>
      </c>
      <c r="E1824" t="s">
        <v>3027</v>
      </c>
      <c r="F1824" s="2" t="s">
        <v>70</v>
      </c>
      <c r="G1824" t="s">
        <v>5</v>
      </c>
      <c r="H1824" s="2" t="s">
        <v>3028</v>
      </c>
      <c r="I1824" s="2">
        <v>1.6</v>
      </c>
    </row>
    <row r="1825" spans="1:9" x14ac:dyDescent="0.25">
      <c r="A1825" s="1" t="s">
        <v>3024</v>
      </c>
      <c r="B1825" t="s">
        <v>3025</v>
      </c>
      <c r="C1825" s="1" t="s">
        <v>541</v>
      </c>
      <c r="D1825" s="1" t="s">
        <v>541</v>
      </c>
      <c r="E1825" t="s">
        <v>542</v>
      </c>
      <c r="F1825" s="2" t="s">
        <v>9</v>
      </c>
      <c r="G1825" t="s">
        <v>10</v>
      </c>
      <c r="H1825" s="2" t="s">
        <v>33</v>
      </c>
      <c r="I1825" s="2">
        <v>9.1999999999999993</v>
      </c>
    </row>
    <row r="1826" spans="1:9" x14ac:dyDescent="0.25">
      <c r="A1826" s="1" t="s">
        <v>3029</v>
      </c>
      <c r="B1826" t="s">
        <v>3030</v>
      </c>
      <c r="C1826" s="1" t="s">
        <v>29</v>
      </c>
      <c r="D1826" s="1" t="s">
        <v>29</v>
      </c>
      <c r="E1826" t="s">
        <v>30</v>
      </c>
      <c r="F1826" s="2" t="s">
        <v>31</v>
      </c>
      <c r="G1826" t="s">
        <v>5</v>
      </c>
      <c r="H1826" s="2" t="s">
        <v>3031</v>
      </c>
      <c r="I1826" s="2">
        <v>3.6</v>
      </c>
    </row>
    <row r="1827" spans="1:9" x14ac:dyDescent="0.25">
      <c r="A1827" s="1" t="s">
        <v>3029</v>
      </c>
      <c r="B1827" t="s">
        <v>3030</v>
      </c>
      <c r="C1827" s="1" t="s">
        <v>541</v>
      </c>
      <c r="D1827" s="1" t="s">
        <v>541</v>
      </c>
      <c r="E1827" t="s">
        <v>542</v>
      </c>
      <c r="F1827" s="2" t="s">
        <v>9</v>
      </c>
      <c r="G1827" t="s">
        <v>10</v>
      </c>
      <c r="H1827" s="2" t="s">
        <v>1435</v>
      </c>
      <c r="I1827" s="2">
        <v>6.31</v>
      </c>
    </row>
    <row r="1828" spans="1:9" x14ac:dyDescent="0.25">
      <c r="A1828" s="1" t="s">
        <v>3032</v>
      </c>
      <c r="B1828" t="s">
        <v>3033</v>
      </c>
      <c r="C1828" s="1" t="s">
        <v>3034</v>
      </c>
      <c r="D1828" s="1" t="s">
        <v>3034</v>
      </c>
      <c r="E1828" t="s">
        <v>3035</v>
      </c>
      <c r="F1828" s="2" t="s">
        <v>83</v>
      </c>
      <c r="G1828" t="s">
        <v>17</v>
      </c>
      <c r="H1828" s="2" t="s">
        <v>3036</v>
      </c>
      <c r="I1828" s="2">
        <v>3.8</v>
      </c>
    </row>
    <row r="1829" spans="1:9" x14ac:dyDescent="0.25">
      <c r="A1829" s="1" t="s">
        <v>3032</v>
      </c>
      <c r="B1829" t="s">
        <v>3033</v>
      </c>
      <c r="C1829" s="1" t="s">
        <v>541</v>
      </c>
      <c r="D1829" s="1" t="s">
        <v>541</v>
      </c>
      <c r="E1829" t="s">
        <v>542</v>
      </c>
      <c r="F1829" s="2" t="s">
        <v>9</v>
      </c>
      <c r="G1829" t="s">
        <v>10</v>
      </c>
      <c r="H1829" s="2" t="s">
        <v>3037</v>
      </c>
      <c r="I1829" s="2">
        <v>3.83</v>
      </c>
    </row>
    <row r="1830" spans="1:9" x14ac:dyDescent="0.25">
      <c r="A1830" s="1" t="s">
        <v>3038</v>
      </c>
      <c r="B1830" t="s">
        <v>3039</v>
      </c>
      <c r="C1830" s="1" t="s">
        <v>2463</v>
      </c>
      <c r="D1830" s="1" t="s">
        <v>2463</v>
      </c>
      <c r="E1830" t="s">
        <v>2464</v>
      </c>
      <c r="F1830" s="2" t="s">
        <v>216</v>
      </c>
      <c r="G1830" t="s">
        <v>5</v>
      </c>
      <c r="H1830" s="2" t="s">
        <v>3040</v>
      </c>
      <c r="I1830" s="2">
        <v>4.97</v>
      </c>
    </row>
    <row r="1831" spans="1:9" x14ac:dyDescent="0.25">
      <c r="A1831" s="1" t="s">
        <v>3038</v>
      </c>
      <c r="B1831" t="s">
        <v>3039</v>
      </c>
      <c r="C1831" s="1" t="s">
        <v>541</v>
      </c>
      <c r="D1831" s="1" t="s">
        <v>541</v>
      </c>
      <c r="E1831" t="s">
        <v>542</v>
      </c>
      <c r="F1831" s="2" t="s">
        <v>9</v>
      </c>
      <c r="G1831" t="s">
        <v>10</v>
      </c>
      <c r="H1831" s="2" t="s">
        <v>3041</v>
      </c>
      <c r="I1831" s="2">
        <v>9.69</v>
      </c>
    </row>
    <row r="1832" spans="1:9" x14ac:dyDescent="0.25">
      <c r="A1832" s="1" t="s">
        <v>3042</v>
      </c>
      <c r="B1832" t="s">
        <v>3043</v>
      </c>
      <c r="C1832" s="1" t="s">
        <v>429</v>
      </c>
      <c r="D1832" s="1" t="s">
        <v>429</v>
      </c>
      <c r="E1832" t="s">
        <v>430</v>
      </c>
      <c r="F1832" s="2" t="s">
        <v>145</v>
      </c>
      <c r="G1832" t="s">
        <v>5</v>
      </c>
      <c r="H1832" s="2" t="s">
        <v>3044</v>
      </c>
      <c r="I1832" s="2">
        <v>13.4</v>
      </c>
    </row>
    <row r="1833" spans="1:9" x14ac:dyDescent="0.25">
      <c r="A1833" s="1" t="s">
        <v>3042</v>
      </c>
      <c r="B1833" t="s">
        <v>3043</v>
      </c>
      <c r="C1833" s="1" t="s">
        <v>7</v>
      </c>
      <c r="D1833" s="1" t="s">
        <v>7</v>
      </c>
      <c r="E1833" t="s">
        <v>8</v>
      </c>
      <c r="F1833" s="2" t="s">
        <v>9</v>
      </c>
      <c r="G1833" t="s">
        <v>10</v>
      </c>
      <c r="H1833" s="2" t="s">
        <v>2471</v>
      </c>
      <c r="I1833" s="2">
        <v>12.1</v>
      </c>
    </row>
    <row r="1834" spans="1:9" x14ac:dyDescent="0.25">
      <c r="A1834" s="1" t="s">
        <v>3045</v>
      </c>
      <c r="B1834" t="s">
        <v>3046</v>
      </c>
      <c r="C1834" s="1" t="s">
        <v>7</v>
      </c>
      <c r="D1834" s="1" t="s">
        <v>7</v>
      </c>
      <c r="E1834" t="s">
        <v>8</v>
      </c>
      <c r="F1834" s="2" t="s">
        <v>9</v>
      </c>
      <c r="G1834" t="s">
        <v>10</v>
      </c>
      <c r="H1834" s="2" t="s">
        <v>3047</v>
      </c>
      <c r="I1834" s="2">
        <v>4.83</v>
      </c>
    </row>
    <row r="1835" spans="1:9" x14ac:dyDescent="0.25">
      <c r="A1835" s="1" t="s">
        <v>3048</v>
      </c>
      <c r="B1835" t="s">
        <v>3049</v>
      </c>
      <c r="C1835" s="1" t="s">
        <v>22</v>
      </c>
      <c r="D1835" s="1" t="s">
        <v>22</v>
      </c>
      <c r="E1835" t="s">
        <v>23</v>
      </c>
      <c r="F1835" s="2" t="s">
        <v>3050</v>
      </c>
      <c r="G1835" t="s">
        <v>17</v>
      </c>
      <c r="H1835" s="2" t="s">
        <v>3051</v>
      </c>
      <c r="I1835" s="2">
        <v>40.049999999999997</v>
      </c>
    </row>
    <row r="1836" spans="1:9" x14ac:dyDescent="0.25">
      <c r="A1836" s="1" t="s">
        <v>3048</v>
      </c>
      <c r="B1836" t="s">
        <v>3049</v>
      </c>
      <c r="C1836" s="1" t="s">
        <v>7</v>
      </c>
      <c r="D1836" s="1" t="s">
        <v>7</v>
      </c>
      <c r="E1836" t="s">
        <v>8</v>
      </c>
      <c r="F1836" s="2" t="s">
        <v>9</v>
      </c>
      <c r="G1836" t="s">
        <v>10</v>
      </c>
      <c r="H1836" s="2" t="s">
        <v>2756</v>
      </c>
      <c r="I1836" s="2">
        <v>5.85</v>
      </c>
    </row>
    <row r="1837" spans="1:9" x14ac:dyDescent="0.25">
      <c r="A1837" s="1" t="s">
        <v>2632</v>
      </c>
      <c r="B1837" t="s">
        <v>2633</v>
      </c>
      <c r="C1837" s="1" t="s">
        <v>1249</v>
      </c>
      <c r="D1837" s="1" t="s">
        <v>1249</v>
      </c>
      <c r="E1837" t="s">
        <v>1250</v>
      </c>
      <c r="F1837" s="2" t="s">
        <v>1251</v>
      </c>
      <c r="G1837" t="s">
        <v>1252</v>
      </c>
      <c r="H1837" s="2" t="s">
        <v>1772</v>
      </c>
      <c r="I1837" s="2">
        <v>180</v>
      </c>
    </row>
    <row r="1838" spans="1:9" x14ac:dyDescent="0.25">
      <c r="A1838" s="1" t="s">
        <v>2632</v>
      </c>
      <c r="B1838" t="s">
        <v>2633</v>
      </c>
      <c r="C1838" s="1" t="s">
        <v>7</v>
      </c>
      <c r="D1838" s="1" t="s">
        <v>7</v>
      </c>
      <c r="E1838" t="s">
        <v>8</v>
      </c>
      <c r="F1838" s="2" t="s">
        <v>9</v>
      </c>
      <c r="G1838" t="s">
        <v>10</v>
      </c>
      <c r="H1838" s="2" t="s">
        <v>3052</v>
      </c>
      <c r="I1838" s="2">
        <v>78.06</v>
      </c>
    </row>
    <row r="1839" spans="1:9" x14ac:dyDescent="0.25">
      <c r="A1839" s="1" t="s">
        <v>2635</v>
      </c>
      <c r="B1839" t="s">
        <v>3053</v>
      </c>
      <c r="C1839" s="1" t="s">
        <v>1249</v>
      </c>
      <c r="D1839" s="1" t="s">
        <v>1249</v>
      </c>
      <c r="E1839" t="s">
        <v>1250</v>
      </c>
      <c r="F1839" s="2" t="s">
        <v>1251</v>
      </c>
      <c r="G1839" t="s">
        <v>1252</v>
      </c>
      <c r="H1839" s="2" t="s">
        <v>2302</v>
      </c>
      <c r="I1839" s="2">
        <v>96</v>
      </c>
    </row>
    <row r="1840" spans="1:9" x14ac:dyDescent="0.25">
      <c r="A1840" s="1" t="s">
        <v>2635</v>
      </c>
      <c r="B1840" t="s">
        <v>3053</v>
      </c>
      <c r="C1840" s="1" t="s">
        <v>7</v>
      </c>
      <c r="D1840" s="1" t="s">
        <v>7</v>
      </c>
      <c r="E1840" t="s">
        <v>8</v>
      </c>
      <c r="F1840" s="2" t="s">
        <v>9</v>
      </c>
      <c r="G1840" t="s">
        <v>10</v>
      </c>
      <c r="H1840" s="2" t="s">
        <v>3054</v>
      </c>
      <c r="I1840" s="2">
        <v>80.5</v>
      </c>
    </row>
    <row r="1841" spans="1:9" x14ac:dyDescent="0.25">
      <c r="A1841" s="1" t="s">
        <v>2638</v>
      </c>
      <c r="B1841" t="s">
        <v>3055</v>
      </c>
      <c r="C1841" s="1" t="s">
        <v>1249</v>
      </c>
      <c r="D1841" s="1" t="s">
        <v>1249</v>
      </c>
      <c r="E1841" t="s">
        <v>1250</v>
      </c>
      <c r="F1841" s="2" t="s">
        <v>1251</v>
      </c>
      <c r="G1841" t="s">
        <v>1252</v>
      </c>
      <c r="H1841" s="2" t="s">
        <v>3056</v>
      </c>
      <c r="I1841" s="2">
        <v>78</v>
      </c>
    </row>
    <row r="1842" spans="1:9" x14ac:dyDescent="0.25">
      <c r="A1842" s="1" t="s">
        <v>2638</v>
      </c>
      <c r="B1842" t="s">
        <v>3055</v>
      </c>
      <c r="C1842" s="1" t="s">
        <v>7</v>
      </c>
      <c r="D1842" s="1" t="s">
        <v>7</v>
      </c>
      <c r="E1842" t="s">
        <v>8</v>
      </c>
      <c r="F1842" s="2" t="s">
        <v>9</v>
      </c>
      <c r="G1842" t="s">
        <v>10</v>
      </c>
      <c r="H1842" s="2" t="s">
        <v>3057</v>
      </c>
      <c r="I1842" s="2">
        <v>37.950000000000003</v>
      </c>
    </row>
    <row r="1843" spans="1:9" x14ac:dyDescent="0.25">
      <c r="A1843" s="1" t="s">
        <v>3058</v>
      </c>
      <c r="B1843" t="s">
        <v>3059</v>
      </c>
      <c r="C1843" s="1" t="s">
        <v>1249</v>
      </c>
      <c r="D1843" s="1" t="s">
        <v>1249</v>
      </c>
      <c r="E1843" t="s">
        <v>1250</v>
      </c>
      <c r="F1843" s="2" t="s">
        <v>1251</v>
      </c>
      <c r="G1843" t="s">
        <v>1252</v>
      </c>
      <c r="H1843" s="2" t="s">
        <v>3060</v>
      </c>
      <c r="I1843" s="2">
        <v>7.32</v>
      </c>
    </row>
    <row r="1844" spans="1:9" x14ac:dyDescent="0.25">
      <c r="A1844" s="1" t="s">
        <v>3058</v>
      </c>
      <c r="B1844" t="s">
        <v>3059</v>
      </c>
      <c r="C1844" s="1" t="s">
        <v>1022</v>
      </c>
      <c r="D1844" s="1" t="s">
        <v>1022</v>
      </c>
      <c r="E1844" t="s">
        <v>1023</v>
      </c>
      <c r="F1844" s="2" t="s">
        <v>1024</v>
      </c>
      <c r="G1844" t="s">
        <v>932</v>
      </c>
      <c r="H1844" s="2" t="s">
        <v>3061</v>
      </c>
      <c r="I1844" s="2">
        <v>4.57</v>
      </c>
    </row>
    <row r="1845" spans="1:9" x14ac:dyDescent="0.25">
      <c r="A1845" s="1" t="s">
        <v>3058</v>
      </c>
      <c r="B1845" t="s">
        <v>3059</v>
      </c>
      <c r="C1845" s="1" t="s">
        <v>7</v>
      </c>
      <c r="D1845" s="1" t="s">
        <v>7</v>
      </c>
      <c r="E1845" t="s">
        <v>8</v>
      </c>
      <c r="F1845" s="2" t="s">
        <v>9</v>
      </c>
      <c r="G1845" t="s">
        <v>10</v>
      </c>
      <c r="H1845" s="2" t="s">
        <v>607</v>
      </c>
      <c r="I1845" s="2">
        <v>18.399999999999999</v>
      </c>
    </row>
    <row r="1846" spans="1:9" x14ac:dyDescent="0.25">
      <c r="A1846" s="1" t="s">
        <v>1091</v>
      </c>
      <c r="B1846" t="s">
        <v>3062</v>
      </c>
      <c r="C1846" s="1" t="s">
        <v>3063</v>
      </c>
      <c r="D1846" s="1" t="s">
        <v>3063</v>
      </c>
      <c r="E1846" t="s">
        <v>3064</v>
      </c>
      <c r="F1846" s="2" t="s">
        <v>1017</v>
      </c>
      <c r="G1846" t="s">
        <v>5</v>
      </c>
      <c r="H1846" s="2" t="s">
        <v>3065</v>
      </c>
      <c r="I1846" s="2">
        <v>4.3499999999999996</v>
      </c>
    </row>
    <row r="1847" spans="1:9" x14ac:dyDescent="0.25">
      <c r="A1847" s="1" t="s">
        <v>1091</v>
      </c>
      <c r="B1847" t="s">
        <v>3062</v>
      </c>
      <c r="C1847" s="1" t="s">
        <v>7</v>
      </c>
      <c r="D1847" s="1" t="s">
        <v>7</v>
      </c>
      <c r="E1847" t="s">
        <v>8</v>
      </c>
      <c r="F1847" s="2" t="s">
        <v>9</v>
      </c>
      <c r="G1847" t="s">
        <v>10</v>
      </c>
      <c r="H1847" s="2" t="s">
        <v>1254</v>
      </c>
      <c r="I1847" s="2">
        <v>16.100000000000001</v>
      </c>
    </row>
    <row r="1848" spans="1:9" x14ac:dyDescent="0.25">
      <c r="A1848" s="1" t="s">
        <v>3066</v>
      </c>
      <c r="B1848" t="s">
        <v>3067</v>
      </c>
      <c r="C1848" s="1" t="s">
        <v>2479</v>
      </c>
      <c r="D1848" s="1" t="s">
        <v>2479</v>
      </c>
      <c r="E1848" t="s">
        <v>2480</v>
      </c>
      <c r="F1848" s="2" t="s">
        <v>2469</v>
      </c>
      <c r="G1848" t="s">
        <v>5</v>
      </c>
      <c r="H1848" s="2" t="s">
        <v>3068</v>
      </c>
      <c r="I1848" s="2">
        <v>1.2</v>
      </c>
    </row>
    <row r="1849" spans="1:9" x14ac:dyDescent="0.25">
      <c r="A1849" s="1" t="s">
        <v>3066</v>
      </c>
      <c r="B1849" t="s">
        <v>3067</v>
      </c>
      <c r="C1849" s="1" t="s">
        <v>541</v>
      </c>
      <c r="D1849" s="1" t="s">
        <v>541</v>
      </c>
      <c r="E1849" t="s">
        <v>542</v>
      </c>
      <c r="F1849" s="2" t="s">
        <v>9</v>
      </c>
      <c r="G1849" t="s">
        <v>10</v>
      </c>
      <c r="H1849" s="2" t="s">
        <v>1729</v>
      </c>
      <c r="I1849" s="2">
        <v>7.23</v>
      </c>
    </row>
    <row r="1850" spans="1:9" x14ac:dyDescent="0.25">
      <c r="A1850" s="1" t="s">
        <v>3069</v>
      </c>
      <c r="B1850" t="s">
        <v>3070</v>
      </c>
      <c r="C1850" s="1" t="s">
        <v>3071</v>
      </c>
      <c r="D1850" s="1" t="s">
        <v>3071</v>
      </c>
      <c r="E1850" t="s">
        <v>3072</v>
      </c>
      <c r="F1850" s="2" t="s">
        <v>879</v>
      </c>
      <c r="G1850" t="s">
        <v>17</v>
      </c>
      <c r="H1850" s="2" t="s">
        <v>3073</v>
      </c>
      <c r="I1850" s="2">
        <v>0.65</v>
      </c>
    </row>
    <row r="1851" spans="1:9" x14ac:dyDescent="0.25">
      <c r="A1851" s="1" t="s">
        <v>3069</v>
      </c>
      <c r="B1851" t="s">
        <v>3070</v>
      </c>
      <c r="C1851" s="1" t="s">
        <v>541</v>
      </c>
      <c r="D1851" s="1" t="s">
        <v>541</v>
      </c>
      <c r="E1851" t="s">
        <v>542</v>
      </c>
      <c r="F1851" s="2" t="s">
        <v>9</v>
      </c>
      <c r="G1851" t="s">
        <v>10</v>
      </c>
      <c r="H1851" s="2" t="s">
        <v>3074</v>
      </c>
      <c r="I1851" s="2">
        <v>7.67</v>
      </c>
    </row>
    <row r="1852" spans="1:9" x14ac:dyDescent="0.25">
      <c r="A1852" s="1" t="s">
        <v>3075</v>
      </c>
      <c r="B1852" t="s">
        <v>3076</v>
      </c>
      <c r="C1852" s="1" t="s">
        <v>3077</v>
      </c>
      <c r="D1852" s="1" t="s">
        <v>3077</v>
      </c>
      <c r="E1852" t="s">
        <v>3078</v>
      </c>
      <c r="F1852" s="2" t="s">
        <v>2883</v>
      </c>
      <c r="G1852" t="s">
        <v>5</v>
      </c>
      <c r="H1852" s="2" t="s">
        <v>3079</v>
      </c>
      <c r="I1852" s="2">
        <v>2.1800000000000002</v>
      </c>
    </row>
    <row r="1853" spans="1:9" x14ac:dyDescent="0.25">
      <c r="A1853" s="1" t="s">
        <v>3075</v>
      </c>
      <c r="B1853" t="s">
        <v>3076</v>
      </c>
      <c r="C1853" s="1" t="s">
        <v>41</v>
      </c>
      <c r="D1853" s="1" t="s">
        <v>41</v>
      </c>
      <c r="E1853" t="s">
        <v>42</v>
      </c>
      <c r="F1853" s="2" t="s">
        <v>43</v>
      </c>
      <c r="G1853" t="s">
        <v>5</v>
      </c>
      <c r="H1853" s="2" t="s">
        <v>550</v>
      </c>
      <c r="I1853" s="2">
        <v>0.02</v>
      </c>
    </row>
    <row r="1854" spans="1:9" x14ac:dyDescent="0.25">
      <c r="A1854" s="1" t="s">
        <v>3075</v>
      </c>
      <c r="B1854" t="s">
        <v>3076</v>
      </c>
      <c r="C1854" s="1" t="s">
        <v>7</v>
      </c>
      <c r="D1854" s="1" t="s">
        <v>7</v>
      </c>
      <c r="E1854" t="s">
        <v>8</v>
      </c>
      <c r="F1854" s="2" t="s">
        <v>9</v>
      </c>
      <c r="G1854" t="s">
        <v>10</v>
      </c>
      <c r="H1854" s="2" t="s">
        <v>2482</v>
      </c>
      <c r="I1854" s="2">
        <v>5.3</v>
      </c>
    </row>
    <row r="1855" spans="1:9" x14ac:dyDescent="0.25">
      <c r="A1855" s="1" t="s">
        <v>3080</v>
      </c>
      <c r="B1855" t="s">
        <v>3081</v>
      </c>
      <c r="C1855" s="1" t="s">
        <v>3082</v>
      </c>
      <c r="D1855" s="1" t="s">
        <v>3082</v>
      </c>
      <c r="E1855" t="s">
        <v>3083</v>
      </c>
      <c r="F1855" s="2" t="s">
        <v>1110</v>
      </c>
      <c r="G1855" t="s">
        <v>17</v>
      </c>
      <c r="H1855" s="2" t="s">
        <v>367</v>
      </c>
      <c r="I1855" s="2">
        <v>2.4500000000000002</v>
      </c>
    </row>
    <row r="1856" spans="1:9" x14ac:dyDescent="0.25">
      <c r="A1856" s="1" t="s">
        <v>3080</v>
      </c>
      <c r="B1856" t="s">
        <v>3081</v>
      </c>
      <c r="C1856" s="1" t="s">
        <v>7</v>
      </c>
      <c r="D1856" s="1" t="s">
        <v>7</v>
      </c>
      <c r="E1856" t="s">
        <v>8</v>
      </c>
      <c r="F1856" s="2" t="s">
        <v>9</v>
      </c>
      <c r="G1856" t="s">
        <v>10</v>
      </c>
      <c r="H1856" s="2" t="s">
        <v>3084</v>
      </c>
      <c r="I1856" s="2">
        <v>7.65</v>
      </c>
    </row>
    <row r="1857" spans="1:9" x14ac:dyDescent="0.25">
      <c r="A1857" s="1" t="s">
        <v>3085</v>
      </c>
      <c r="B1857" t="s">
        <v>3086</v>
      </c>
      <c r="C1857" s="1" t="s">
        <v>3087</v>
      </c>
      <c r="D1857" s="1" t="s">
        <v>3087</v>
      </c>
      <c r="E1857" t="s">
        <v>3088</v>
      </c>
      <c r="F1857" s="2" t="s">
        <v>3089</v>
      </c>
      <c r="G1857" t="s">
        <v>17</v>
      </c>
      <c r="H1857" s="2" t="s">
        <v>3090</v>
      </c>
      <c r="I1857" s="2">
        <v>12.4</v>
      </c>
    </row>
    <row r="1858" spans="1:9" x14ac:dyDescent="0.25">
      <c r="A1858" s="1" t="s">
        <v>3085</v>
      </c>
      <c r="B1858" t="s">
        <v>3086</v>
      </c>
      <c r="C1858" s="1" t="s">
        <v>7</v>
      </c>
      <c r="D1858" s="1" t="s">
        <v>7</v>
      </c>
      <c r="E1858" t="s">
        <v>8</v>
      </c>
      <c r="F1858" s="2" t="s">
        <v>9</v>
      </c>
      <c r="G1858" t="s">
        <v>10</v>
      </c>
      <c r="H1858" s="2" t="s">
        <v>3091</v>
      </c>
      <c r="I1858" s="2">
        <v>8.6</v>
      </c>
    </row>
    <row r="1859" spans="1:9" x14ac:dyDescent="0.25">
      <c r="A1859" s="1" t="s">
        <v>3092</v>
      </c>
      <c r="B1859" t="s">
        <v>3093</v>
      </c>
      <c r="C1859" s="1" t="s">
        <v>3094</v>
      </c>
      <c r="D1859" s="1" t="s">
        <v>3094</v>
      </c>
      <c r="E1859" t="s">
        <v>3095</v>
      </c>
      <c r="F1859" s="2" t="s">
        <v>3096</v>
      </c>
      <c r="G1859" t="s">
        <v>17</v>
      </c>
      <c r="H1859" s="2" t="s">
        <v>3097</v>
      </c>
      <c r="I1859" s="2">
        <v>60.5</v>
      </c>
    </row>
    <row r="1860" spans="1:9" x14ac:dyDescent="0.25">
      <c r="A1860" s="1" t="s">
        <v>3092</v>
      </c>
      <c r="B1860" t="s">
        <v>3093</v>
      </c>
      <c r="C1860" s="1" t="s">
        <v>7</v>
      </c>
      <c r="D1860" s="1" t="s">
        <v>7</v>
      </c>
      <c r="E1860" t="s">
        <v>8</v>
      </c>
      <c r="F1860" s="2" t="s">
        <v>9</v>
      </c>
      <c r="G1860" t="s">
        <v>10</v>
      </c>
      <c r="H1860" s="2" t="s">
        <v>3098</v>
      </c>
      <c r="I1860" s="2">
        <v>12.3</v>
      </c>
    </row>
    <row r="1861" spans="1:9" x14ac:dyDescent="0.25">
      <c r="A1861" s="1" t="s">
        <v>3099</v>
      </c>
      <c r="B1861" t="s">
        <v>3100</v>
      </c>
      <c r="C1861" s="1" t="s">
        <v>1041</v>
      </c>
      <c r="D1861" s="1" t="s">
        <v>1041</v>
      </c>
      <c r="E1861" t="s">
        <v>1042</v>
      </c>
      <c r="F1861" s="2" t="s">
        <v>712</v>
      </c>
      <c r="G1861" t="s">
        <v>17</v>
      </c>
      <c r="H1861" s="2" t="s">
        <v>3101</v>
      </c>
      <c r="I1861" s="2">
        <v>2.2000000000000002</v>
      </c>
    </row>
    <row r="1862" spans="1:9" x14ac:dyDescent="0.25">
      <c r="A1862" s="1" t="s">
        <v>3099</v>
      </c>
      <c r="B1862" t="s">
        <v>3100</v>
      </c>
      <c r="C1862" s="1" t="s">
        <v>7</v>
      </c>
      <c r="D1862" s="1" t="s">
        <v>7</v>
      </c>
      <c r="E1862" t="s">
        <v>8</v>
      </c>
      <c r="F1862" s="2" t="s">
        <v>9</v>
      </c>
      <c r="G1862" t="s">
        <v>10</v>
      </c>
      <c r="H1862" s="2" t="s">
        <v>3102</v>
      </c>
      <c r="I1862" s="2">
        <v>4.95</v>
      </c>
    </row>
    <row r="1863" spans="1:9" x14ac:dyDescent="0.25">
      <c r="A1863" s="1" t="s">
        <v>3103</v>
      </c>
      <c r="B1863" t="s">
        <v>3104</v>
      </c>
      <c r="C1863" s="1" t="s">
        <v>1041</v>
      </c>
      <c r="D1863" s="1" t="s">
        <v>1041</v>
      </c>
      <c r="E1863" t="s">
        <v>1042</v>
      </c>
      <c r="F1863" s="2" t="s">
        <v>712</v>
      </c>
      <c r="G1863" t="s">
        <v>17</v>
      </c>
      <c r="H1863" s="2" t="s">
        <v>3105</v>
      </c>
      <c r="I1863" s="2">
        <v>1.1499999999999999</v>
      </c>
    </row>
    <row r="1864" spans="1:9" x14ac:dyDescent="0.25">
      <c r="A1864" s="1" t="s">
        <v>3103</v>
      </c>
      <c r="B1864" t="s">
        <v>3104</v>
      </c>
      <c r="C1864" s="1" t="s">
        <v>541</v>
      </c>
      <c r="D1864" s="1" t="s">
        <v>541</v>
      </c>
      <c r="E1864" t="s">
        <v>542</v>
      </c>
      <c r="F1864" s="2" t="s">
        <v>9</v>
      </c>
      <c r="G1864" t="s">
        <v>10</v>
      </c>
      <c r="H1864" s="2" t="s">
        <v>3106</v>
      </c>
      <c r="I1864" s="2">
        <v>4.42</v>
      </c>
    </row>
    <row r="1865" spans="1:9" x14ac:dyDescent="0.25">
      <c r="A1865" s="1" t="s">
        <v>3107</v>
      </c>
      <c r="B1865" t="s">
        <v>3108</v>
      </c>
      <c r="C1865" s="1" t="s">
        <v>3109</v>
      </c>
      <c r="D1865" s="1" t="s">
        <v>3109</v>
      </c>
      <c r="E1865" t="s">
        <v>3110</v>
      </c>
      <c r="F1865" s="2" t="s">
        <v>43</v>
      </c>
      <c r="G1865" t="s">
        <v>5</v>
      </c>
      <c r="H1865" s="2" t="s">
        <v>367</v>
      </c>
      <c r="I1865" s="2">
        <v>0.28999999999999998</v>
      </c>
    </row>
    <row r="1866" spans="1:9" x14ac:dyDescent="0.25">
      <c r="A1866" s="1" t="s">
        <v>3107</v>
      </c>
      <c r="B1866" t="s">
        <v>3108</v>
      </c>
      <c r="C1866" s="1" t="s">
        <v>541</v>
      </c>
      <c r="D1866" s="1" t="s">
        <v>541</v>
      </c>
      <c r="E1866" t="s">
        <v>542</v>
      </c>
      <c r="F1866" s="2" t="s">
        <v>9</v>
      </c>
      <c r="G1866" t="s">
        <v>10</v>
      </c>
      <c r="H1866" s="2" t="s">
        <v>3111</v>
      </c>
      <c r="I1866" s="2">
        <v>5.58</v>
      </c>
    </row>
    <row r="1867" spans="1:9" x14ac:dyDescent="0.25">
      <c r="A1867" s="1" t="s">
        <v>3112</v>
      </c>
      <c r="B1867" t="s">
        <v>3108</v>
      </c>
      <c r="C1867" s="1" t="s">
        <v>3109</v>
      </c>
      <c r="D1867" s="1" t="s">
        <v>3109</v>
      </c>
      <c r="E1867" t="s">
        <v>3110</v>
      </c>
      <c r="F1867" s="2" t="s">
        <v>43</v>
      </c>
      <c r="G1867" t="s">
        <v>5</v>
      </c>
      <c r="H1867" s="2" t="s">
        <v>3113</v>
      </c>
      <c r="I1867" s="2">
        <v>0.35</v>
      </c>
    </row>
    <row r="1868" spans="1:9" x14ac:dyDescent="0.25">
      <c r="A1868" s="1" t="s">
        <v>3112</v>
      </c>
      <c r="B1868" t="s">
        <v>3108</v>
      </c>
      <c r="C1868" s="1" t="s">
        <v>7</v>
      </c>
      <c r="D1868" s="1" t="s">
        <v>7</v>
      </c>
      <c r="E1868" t="s">
        <v>8</v>
      </c>
      <c r="F1868" s="2" t="s">
        <v>9</v>
      </c>
      <c r="G1868" t="s">
        <v>10</v>
      </c>
      <c r="H1868" s="2" t="s">
        <v>3114</v>
      </c>
      <c r="I1868" s="2">
        <v>6.25</v>
      </c>
    </row>
    <row r="1869" spans="1:9" x14ac:dyDescent="0.25">
      <c r="A1869" s="1" t="s">
        <v>3115</v>
      </c>
      <c r="B1869" t="s">
        <v>3116</v>
      </c>
      <c r="C1869" s="1" t="s">
        <v>3117</v>
      </c>
      <c r="D1869" s="1" t="s">
        <v>3117</v>
      </c>
      <c r="E1869" t="s">
        <v>3118</v>
      </c>
      <c r="F1869" s="2" t="s">
        <v>3119</v>
      </c>
      <c r="G1869" t="s">
        <v>17</v>
      </c>
      <c r="H1869" s="2" t="s">
        <v>992</v>
      </c>
      <c r="I1869" s="2">
        <v>58.5</v>
      </c>
    </row>
    <row r="1870" spans="1:9" x14ac:dyDescent="0.25">
      <c r="A1870" s="1" t="s">
        <v>3115</v>
      </c>
      <c r="B1870" t="s">
        <v>3116</v>
      </c>
      <c r="C1870" s="1" t="s">
        <v>541</v>
      </c>
      <c r="D1870" s="1" t="s">
        <v>541</v>
      </c>
      <c r="E1870" t="s">
        <v>542</v>
      </c>
      <c r="F1870" s="2" t="s">
        <v>9</v>
      </c>
      <c r="G1870" t="s">
        <v>10</v>
      </c>
      <c r="H1870" s="2" t="s">
        <v>594</v>
      </c>
      <c r="I1870" s="2">
        <v>11.5</v>
      </c>
    </row>
    <row r="1871" spans="1:9" x14ac:dyDescent="0.25">
      <c r="A1871" s="1" t="s">
        <v>3120</v>
      </c>
      <c r="B1871" t="s">
        <v>3121</v>
      </c>
      <c r="C1871" s="1" t="s">
        <v>3122</v>
      </c>
      <c r="D1871" s="1" t="s">
        <v>3122</v>
      </c>
      <c r="E1871" t="s">
        <v>3123</v>
      </c>
      <c r="F1871" s="2" t="s">
        <v>3124</v>
      </c>
      <c r="G1871" t="s">
        <v>17</v>
      </c>
      <c r="H1871" s="2" t="s">
        <v>3125</v>
      </c>
      <c r="I1871" s="2">
        <v>24.3</v>
      </c>
    </row>
    <row r="1872" spans="1:9" x14ac:dyDescent="0.25">
      <c r="A1872" s="1" t="s">
        <v>3120</v>
      </c>
      <c r="B1872" t="s">
        <v>3121</v>
      </c>
      <c r="C1872" s="1" t="s">
        <v>3126</v>
      </c>
      <c r="D1872" s="1" t="s">
        <v>3126</v>
      </c>
      <c r="E1872" t="s">
        <v>3127</v>
      </c>
      <c r="F1872" s="2" t="s">
        <v>3128</v>
      </c>
      <c r="G1872" t="s">
        <v>49</v>
      </c>
      <c r="H1872" s="2" t="s">
        <v>50</v>
      </c>
      <c r="I1872" s="2">
        <v>96.2</v>
      </c>
    </row>
    <row r="1873" spans="1:10" x14ac:dyDescent="0.25">
      <c r="A1873" s="1" t="s">
        <v>3120</v>
      </c>
      <c r="B1873" t="s">
        <v>3121</v>
      </c>
      <c r="C1873" s="1" t="s">
        <v>3129</v>
      </c>
      <c r="D1873" s="1" t="s">
        <v>3129</v>
      </c>
      <c r="E1873" t="s">
        <v>3130</v>
      </c>
      <c r="F1873" s="2" t="s">
        <v>3131</v>
      </c>
      <c r="G1873" t="s">
        <v>49</v>
      </c>
      <c r="H1873" s="2" t="s">
        <v>50</v>
      </c>
      <c r="I1873" s="2">
        <v>91</v>
      </c>
    </row>
    <row r="1874" spans="1:10" x14ac:dyDescent="0.25">
      <c r="A1874" s="1" t="s">
        <v>3120</v>
      </c>
      <c r="B1874" t="s">
        <v>3121</v>
      </c>
      <c r="C1874" s="1" t="s">
        <v>1989</v>
      </c>
      <c r="D1874" s="1" t="s">
        <v>1989</v>
      </c>
      <c r="E1874" t="s">
        <v>1990</v>
      </c>
      <c r="F1874" s="2" t="s">
        <v>1991</v>
      </c>
      <c r="G1874" t="s">
        <v>435</v>
      </c>
      <c r="H1874" s="2" t="s">
        <v>3132</v>
      </c>
      <c r="I1874" s="2">
        <v>15.3</v>
      </c>
    </row>
    <row r="1875" spans="1:10" x14ac:dyDescent="0.25">
      <c r="A1875" s="1" t="s">
        <v>3120</v>
      </c>
      <c r="B1875" t="s">
        <v>3121</v>
      </c>
      <c r="C1875" s="1" t="s">
        <v>688</v>
      </c>
      <c r="D1875" s="1" t="s">
        <v>688</v>
      </c>
      <c r="E1875" t="s">
        <v>689</v>
      </c>
      <c r="F1875" s="2" t="s">
        <v>9</v>
      </c>
      <c r="G1875" t="s">
        <v>10</v>
      </c>
      <c r="H1875" s="2" t="s">
        <v>3133</v>
      </c>
      <c r="I1875" s="2">
        <v>23.85</v>
      </c>
    </row>
    <row r="1876" spans="1:10" x14ac:dyDescent="0.25">
      <c r="A1876" s="1" t="s">
        <v>3134</v>
      </c>
      <c r="B1876" t="s">
        <v>3135</v>
      </c>
      <c r="C1876" s="1" t="s">
        <v>3136</v>
      </c>
      <c r="D1876" s="1" t="s">
        <v>3136</v>
      </c>
      <c r="E1876" t="s">
        <v>3137</v>
      </c>
      <c r="F1876" s="2" t="s">
        <v>3138</v>
      </c>
      <c r="G1876" t="s">
        <v>39</v>
      </c>
      <c r="H1876" s="2" t="s">
        <v>478</v>
      </c>
      <c r="I1876" s="2">
        <v>6.32</v>
      </c>
    </row>
    <row r="1877" spans="1:10" x14ac:dyDescent="0.25">
      <c r="A1877" s="1" t="s">
        <v>3134</v>
      </c>
      <c r="B1877" t="s">
        <v>3135</v>
      </c>
      <c r="C1877" s="1" t="s">
        <v>41</v>
      </c>
      <c r="D1877" s="1" t="s">
        <v>41</v>
      </c>
      <c r="E1877" t="s">
        <v>42</v>
      </c>
      <c r="F1877" s="2" t="s">
        <v>43</v>
      </c>
      <c r="G1877" t="s">
        <v>5</v>
      </c>
      <c r="H1877" s="2" t="s">
        <v>1867</v>
      </c>
      <c r="I1877" s="2">
        <v>0.03</v>
      </c>
    </row>
    <row r="1878" spans="1:10" x14ac:dyDescent="0.25">
      <c r="A1878" s="1" t="s">
        <v>3134</v>
      </c>
      <c r="B1878" t="s">
        <v>3135</v>
      </c>
      <c r="C1878" s="1" t="s">
        <v>3139</v>
      </c>
      <c r="D1878" s="1" t="s">
        <v>3139</v>
      </c>
      <c r="E1878" t="s">
        <v>3140</v>
      </c>
      <c r="F1878" s="2" t="s">
        <v>3141</v>
      </c>
      <c r="G1878" t="s">
        <v>49</v>
      </c>
      <c r="H1878" s="2" t="s">
        <v>50</v>
      </c>
      <c r="I1878" s="2">
        <v>45.35</v>
      </c>
    </row>
    <row r="1879" spans="1:10" x14ac:dyDescent="0.25">
      <c r="A1879" s="1" t="s">
        <v>3134</v>
      </c>
      <c r="B1879" t="s">
        <v>3135</v>
      </c>
      <c r="C1879" s="1" t="s">
        <v>3142</v>
      </c>
      <c r="D1879" s="1" t="s">
        <v>3142</v>
      </c>
      <c r="E1879" t="s">
        <v>3143</v>
      </c>
      <c r="F1879" s="2" t="s">
        <v>3144</v>
      </c>
      <c r="G1879" t="s">
        <v>49</v>
      </c>
      <c r="H1879" s="2" t="s">
        <v>50</v>
      </c>
      <c r="I1879" s="2">
        <v>57.2</v>
      </c>
    </row>
    <row r="1880" spans="1:10" x14ac:dyDescent="0.25">
      <c r="A1880" s="1" t="s">
        <v>3134</v>
      </c>
      <c r="B1880" t="s">
        <v>3135</v>
      </c>
      <c r="C1880" s="1" t="s">
        <v>3145</v>
      </c>
      <c r="D1880" s="1" t="s">
        <v>3145</v>
      </c>
      <c r="E1880" t="s">
        <v>3146</v>
      </c>
      <c r="F1880" s="2" t="s">
        <v>3147</v>
      </c>
      <c r="G1880" t="s">
        <v>49</v>
      </c>
      <c r="H1880" s="2" t="s">
        <v>50</v>
      </c>
      <c r="I1880" s="2">
        <v>124.5</v>
      </c>
    </row>
    <row r="1881" spans="1:10" x14ac:dyDescent="0.25">
      <c r="A1881" s="1" t="s">
        <v>3134</v>
      </c>
      <c r="B1881" t="s">
        <v>3135</v>
      </c>
      <c r="C1881" s="1" t="s">
        <v>3085</v>
      </c>
      <c r="D1881" s="1" t="s">
        <v>3085</v>
      </c>
      <c r="E1881" t="s">
        <v>3086</v>
      </c>
      <c r="F1881" s="2" t="s">
        <v>928</v>
      </c>
      <c r="G1881" t="s">
        <v>49</v>
      </c>
      <c r="H1881" s="2" t="s">
        <v>92</v>
      </c>
      <c r="I1881" s="2">
        <v>42</v>
      </c>
      <c r="J1881" t="s">
        <v>55</v>
      </c>
    </row>
    <row r="1882" spans="1:10" x14ac:dyDescent="0.25">
      <c r="A1882" s="1" t="s">
        <v>3134</v>
      </c>
      <c r="B1882" t="s">
        <v>3135</v>
      </c>
      <c r="C1882" s="1" t="s">
        <v>857</v>
      </c>
      <c r="D1882" s="1" t="s">
        <v>857</v>
      </c>
      <c r="E1882" t="s">
        <v>858</v>
      </c>
      <c r="F1882" s="2" t="s">
        <v>686</v>
      </c>
      <c r="G1882" t="s">
        <v>49</v>
      </c>
      <c r="H1882" s="2" t="s">
        <v>3148</v>
      </c>
      <c r="I1882" s="2">
        <v>2</v>
      </c>
    </row>
    <row r="1883" spans="1:10" x14ac:dyDescent="0.25">
      <c r="A1883" s="1" t="s">
        <v>3134</v>
      </c>
      <c r="B1883" t="s">
        <v>3135</v>
      </c>
      <c r="C1883" s="1" t="s">
        <v>688</v>
      </c>
      <c r="D1883" s="1" t="s">
        <v>688</v>
      </c>
      <c r="E1883" t="s">
        <v>689</v>
      </c>
      <c r="F1883" s="2" t="s">
        <v>9</v>
      </c>
      <c r="G1883" t="s">
        <v>10</v>
      </c>
      <c r="H1883" s="2" t="s">
        <v>3149</v>
      </c>
      <c r="I1883" s="2">
        <v>27.1</v>
      </c>
    </row>
    <row r="1884" spans="1:10" x14ac:dyDescent="0.25">
      <c r="A1884" s="1" t="s">
        <v>3150</v>
      </c>
      <c r="B1884" t="s">
        <v>3151</v>
      </c>
      <c r="C1884" s="1" t="s">
        <v>3122</v>
      </c>
      <c r="D1884" s="1" t="s">
        <v>3122</v>
      </c>
      <c r="E1884" t="s">
        <v>3123</v>
      </c>
      <c r="F1884" s="2" t="s">
        <v>3124</v>
      </c>
      <c r="G1884" t="s">
        <v>17</v>
      </c>
      <c r="H1884" s="2" t="s">
        <v>3152</v>
      </c>
      <c r="I1884" s="2">
        <v>10.65</v>
      </c>
    </row>
    <row r="1885" spans="1:10" x14ac:dyDescent="0.25">
      <c r="A1885" s="1" t="s">
        <v>3150</v>
      </c>
      <c r="B1885" t="s">
        <v>3151</v>
      </c>
      <c r="C1885" s="1" t="s">
        <v>3153</v>
      </c>
      <c r="D1885" s="1" t="s">
        <v>3153</v>
      </c>
      <c r="E1885" t="s">
        <v>3154</v>
      </c>
      <c r="F1885" s="2" t="s">
        <v>3155</v>
      </c>
      <c r="G1885" t="s">
        <v>49</v>
      </c>
      <c r="H1885" s="2" t="s">
        <v>50</v>
      </c>
      <c r="I1885" s="2">
        <v>35</v>
      </c>
    </row>
    <row r="1886" spans="1:10" x14ac:dyDescent="0.25">
      <c r="A1886" s="1" t="s">
        <v>3150</v>
      </c>
      <c r="B1886" t="s">
        <v>3151</v>
      </c>
      <c r="C1886" s="1" t="s">
        <v>3126</v>
      </c>
      <c r="D1886" s="1" t="s">
        <v>3126</v>
      </c>
      <c r="E1886" t="s">
        <v>3127</v>
      </c>
      <c r="F1886" s="2" t="s">
        <v>3128</v>
      </c>
      <c r="G1886" t="s">
        <v>49</v>
      </c>
      <c r="H1886" s="2" t="s">
        <v>50</v>
      </c>
      <c r="I1886" s="2">
        <v>96.2</v>
      </c>
    </row>
    <row r="1887" spans="1:10" x14ac:dyDescent="0.25">
      <c r="A1887" s="1" t="s">
        <v>3150</v>
      </c>
      <c r="B1887" t="s">
        <v>3151</v>
      </c>
      <c r="C1887" s="1" t="s">
        <v>857</v>
      </c>
      <c r="D1887" s="1" t="s">
        <v>857</v>
      </c>
      <c r="E1887" t="s">
        <v>858</v>
      </c>
      <c r="F1887" s="2" t="s">
        <v>686</v>
      </c>
      <c r="G1887" t="s">
        <v>49</v>
      </c>
      <c r="H1887" s="2" t="s">
        <v>3156</v>
      </c>
      <c r="I1887" s="2">
        <v>8</v>
      </c>
    </row>
    <row r="1888" spans="1:10" x14ac:dyDescent="0.25">
      <c r="A1888" s="1" t="s">
        <v>3150</v>
      </c>
      <c r="B1888" t="s">
        <v>3151</v>
      </c>
      <c r="C1888" s="1" t="s">
        <v>688</v>
      </c>
      <c r="D1888" s="1" t="s">
        <v>688</v>
      </c>
      <c r="E1888" t="s">
        <v>689</v>
      </c>
      <c r="F1888" s="2" t="s">
        <v>9</v>
      </c>
      <c r="G1888" t="s">
        <v>10</v>
      </c>
      <c r="H1888" s="2" t="s">
        <v>3157</v>
      </c>
      <c r="I1888" s="2">
        <v>14.2</v>
      </c>
    </row>
    <row r="1889" spans="1:10" x14ac:dyDescent="0.25">
      <c r="A1889" s="1" t="s">
        <v>3150</v>
      </c>
      <c r="B1889" t="s">
        <v>3151</v>
      </c>
      <c r="C1889" s="1" t="s">
        <v>7</v>
      </c>
      <c r="D1889" s="1" t="s">
        <v>7</v>
      </c>
      <c r="E1889" t="s">
        <v>8</v>
      </c>
      <c r="F1889" s="2" t="s">
        <v>9</v>
      </c>
      <c r="G1889" t="s">
        <v>10</v>
      </c>
      <c r="H1889" s="2" t="s">
        <v>3158</v>
      </c>
      <c r="I1889" s="2">
        <v>9.85</v>
      </c>
    </row>
    <row r="1890" spans="1:10" x14ac:dyDescent="0.25">
      <c r="A1890" s="1" t="s">
        <v>3159</v>
      </c>
      <c r="B1890" t="s">
        <v>3160</v>
      </c>
      <c r="C1890" s="1" t="s">
        <v>3161</v>
      </c>
      <c r="D1890" s="1" t="s">
        <v>3161</v>
      </c>
      <c r="E1890" t="s">
        <v>3162</v>
      </c>
      <c r="F1890" s="2" t="s">
        <v>3163</v>
      </c>
      <c r="G1890" t="s">
        <v>17</v>
      </c>
      <c r="H1890" s="2" t="s">
        <v>992</v>
      </c>
      <c r="I1890" s="2">
        <v>96</v>
      </c>
    </row>
    <row r="1891" spans="1:10" x14ac:dyDescent="0.25">
      <c r="A1891" s="1" t="s">
        <v>3159</v>
      </c>
      <c r="B1891" t="s">
        <v>3160</v>
      </c>
      <c r="C1891" s="1" t="s">
        <v>7</v>
      </c>
      <c r="D1891" s="1" t="s">
        <v>7</v>
      </c>
      <c r="E1891" t="s">
        <v>8</v>
      </c>
      <c r="F1891" s="2" t="s">
        <v>9</v>
      </c>
      <c r="G1891" t="s">
        <v>10</v>
      </c>
      <c r="H1891" s="2" t="s">
        <v>3164</v>
      </c>
      <c r="I1891" s="2">
        <v>29.5</v>
      </c>
    </row>
    <row r="1892" spans="1:10" x14ac:dyDescent="0.25">
      <c r="A1892" s="1" t="s">
        <v>3165</v>
      </c>
      <c r="B1892" t="s">
        <v>3166</v>
      </c>
      <c r="C1892" s="1" t="s">
        <v>3167</v>
      </c>
      <c r="D1892" s="1" t="s">
        <v>3167</v>
      </c>
      <c r="E1892" t="s">
        <v>3168</v>
      </c>
      <c r="F1892" s="2" t="s">
        <v>111</v>
      </c>
      <c r="G1892" t="s">
        <v>17</v>
      </c>
      <c r="H1892" s="2" t="s">
        <v>860</v>
      </c>
      <c r="I1892" s="2">
        <v>8.9</v>
      </c>
    </row>
    <row r="1893" spans="1:10" x14ac:dyDescent="0.25">
      <c r="A1893" s="1" t="s">
        <v>3165</v>
      </c>
      <c r="B1893" t="s">
        <v>3166</v>
      </c>
      <c r="C1893" s="1" t="s">
        <v>3169</v>
      </c>
      <c r="D1893" s="1" t="s">
        <v>3169</v>
      </c>
      <c r="E1893" t="s">
        <v>3170</v>
      </c>
      <c r="F1893" s="2" t="s">
        <v>4</v>
      </c>
      <c r="G1893" t="s">
        <v>121</v>
      </c>
      <c r="H1893" s="2" t="s">
        <v>50</v>
      </c>
      <c r="I1893" s="2">
        <v>9.59</v>
      </c>
    </row>
    <row r="1894" spans="1:10" x14ac:dyDescent="0.25">
      <c r="A1894" s="1" t="s">
        <v>3165</v>
      </c>
      <c r="B1894" t="s">
        <v>3166</v>
      </c>
      <c r="C1894" s="1" t="s">
        <v>3171</v>
      </c>
      <c r="D1894" s="1" t="s">
        <v>3171</v>
      </c>
      <c r="E1894" t="s">
        <v>3172</v>
      </c>
      <c r="F1894" s="2" t="s">
        <v>1087</v>
      </c>
      <c r="G1894" t="s">
        <v>121</v>
      </c>
      <c r="H1894" s="2" t="s">
        <v>50</v>
      </c>
      <c r="I1894" s="2">
        <v>0.17</v>
      </c>
    </row>
    <row r="1895" spans="1:10" x14ac:dyDescent="0.25">
      <c r="A1895" s="1" t="s">
        <v>3165</v>
      </c>
      <c r="B1895" t="s">
        <v>3166</v>
      </c>
      <c r="C1895" s="1" t="s">
        <v>3173</v>
      </c>
      <c r="D1895" s="1" t="s">
        <v>3173</v>
      </c>
      <c r="E1895" t="s">
        <v>3174</v>
      </c>
      <c r="F1895" s="2" t="s">
        <v>3175</v>
      </c>
      <c r="G1895" t="s">
        <v>121</v>
      </c>
      <c r="H1895" s="2" t="s">
        <v>50</v>
      </c>
      <c r="I1895" s="2">
        <v>8.81</v>
      </c>
    </row>
    <row r="1896" spans="1:10" x14ac:dyDescent="0.25">
      <c r="A1896" s="1" t="s">
        <v>3165</v>
      </c>
      <c r="B1896" t="s">
        <v>3166</v>
      </c>
      <c r="C1896" s="1" t="s">
        <v>3176</v>
      </c>
      <c r="D1896" s="1" t="s">
        <v>3176</v>
      </c>
      <c r="E1896" t="s">
        <v>3177</v>
      </c>
      <c r="F1896" s="2" t="s">
        <v>3178</v>
      </c>
      <c r="G1896" t="s">
        <v>121</v>
      </c>
      <c r="H1896" s="2" t="s">
        <v>50</v>
      </c>
      <c r="I1896" s="2">
        <v>10.52</v>
      </c>
    </row>
    <row r="1897" spans="1:10" x14ac:dyDescent="0.25">
      <c r="A1897" s="1" t="s">
        <v>3165</v>
      </c>
      <c r="B1897" t="s">
        <v>3166</v>
      </c>
      <c r="C1897" s="1" t="s">
        <v>3179</v>
      </c>
      <c r="D1897" s="1" t="s">
        <v>3179</v>
      </c>
      <c r="E1897" t="s">
        <v>3180</v>
      </c>
      <c r="F1897" s="2" t="s">
        <v>3181</v>
      </c>
      <c r="G1897" t="s">
        <v>121</v>
      </c>
      <c r="H1897" s="2" t="s">
        <v>50</v>
      </c>
      <c r="I1897" s="2">
        <v>4.16</v>
      </c>
    </row>
    <row r="1898" spans="1:10" x14ac:dyDescent="0.25">
      <c r="A1898" s="1" t="s">
        <v>3165</v>
      </c>
      <c r="B1898" t="s">
        <v>3166</v>
      </c>
      <c r="C1898" s="1" t="s">
        <v>3182</v>
      </c>
      <c r="D1898" s="1" t="s">
        <v>3182</v>
      </c>
      <c r="E1898" t="s">
        <v>3183</v>
      </c>
      <c r="F1898" s="2" t="s">
        <v>3184</v>
      </c>
      <c r="G1898" t="s">
        <v>121</v>
      </c>
      <c r="H1898" s="2" t="s">
        <v>50</v>
      </c>
      <c r="I1898" s="2">
        <v>0.15</v>
      </c>
    </row>
    <row r="1899" spans="1:10" x14ac:dyDescent="0.25">
      <c r="A1899" s="1" t="s">
        <v>3165</v>
      </c>
      <c r="B1899" t="s">
        <v>3166</v>
      </c>
      <c r="C1899" s="1" t="s">
        <v>3185</v>
      </c>
      <c r="D1899" s="1" t="s">
        <v>3185</v>
      </c>
      <c r="E1899" t="s">
        <v>3186</v>
      </c>
      <c r="F1899" s="2" t="s">
        <v>979</v>
      </c>
      <c r="G1899" t="s">
        <v>121</v>
      </c>
      <c r="H1899" s="2" t="s">
        <v>50</v>
      </c>
      <c r="I1899" s="2">
        <v>0.52</v>
      </c>
    </row>
    <row r="1900" spans="1:10" x14ac:dyDescent="0.25">
      <c r="A1900" s="1" t="s">
        <v>3165</v>
      </c>
      <c r="B1900" t="s">
        <v>3166</v>
      </c>
      <c r="C1900" s="1" t="s">
        <v>3187</v>
      </c>
      <c r="D1900" s="1" t="s">
        <v>3187</v>
      </c>
      <c r="E1900" t="s">
        <v>3188</v>
      </c>
      <c r="F1900" s="2" t="s">
        <v>3189</v>
      </c>
      <c r="G1900" t="s">
        <v>121</v>
      </c>
      <c r="H1900" s="2" t="s">
        <v>50</v>
      </c>
      <c r="I1900" s="2">
        <v>36</v>
      </c>
      <c r="J1900" t="s">
        <v>55</v>
      </c>
    </row>
    <row r="1901" spans="1:10" x14ac:dyDescent="0.25">
      <c r="A1901" s="1" t="s">
        <v>3165</v>
      </c>
      <c r="B1901" t="s">
        <v>3166</v>
      </c>
      <c r="C1901" s="1" t="s">
        <v>3190</v>
      </c>
      <c r="D1901" s="1" t="s">
        <v>3190</v>
      </c>
      <c r="E1901" t="s">
        <v>3191</v>
      </c>
      <c r="F1901" s="2" t="s">
        <v>3192</v>
      </c>
      <c r="G1901" t="s">
        <v>121</v>
      </c>
      <c r="H1901" s="2" t="s">
        <v>50</v>
      </c>
      <c r="I1901" s="2">
        <v>41.79</v>
      </c>
      <c r="J1901" t="s">
        <v>55</v>
      </c>
    </row>
    <row r="1902" spans="1:10" x14ac:dyDescent="0.25">
      <c r="A1902" s="1" t="s">
        <v>3165</v>
      </c>
      <c r="B1902" t="s">
        <v>3166</v>
      </c>
      <c r="C1902" s="1" t="s">
        <v>3193</v>
      </c>
      <c r="D1902" s="1" t="s">
        <v>1126</v>
      </c>
      <c r="E1902" t="s">
        <v>3194</v>
      </c>
      <c r="F1902" s="2" t="s">
        <v>3195</v>
      </c>
      <c r="G1902" t="s">
        <v>121</v>
      </c>
      <c r="H1902" s="2" t="s">
        <v>50</v>
      </c>
      <c r="I1902" s="2">
        <v>27.9</v>
      </c>
      <c r="J1902" t="s">
        <v>51</v>
      </c>
    </row>
    <row r="1903" spans="1:10" x14ac:dyDescent="0.25">
      <c r="A1903" s="1" t="s">
        <v>3165</v>
      </c>
      <c r="B1903" t="s">
        <v>3166</v>
      </c>
      <c r="C1903" s="1" t="s">
        <v>857</v>
      </c>
      <c r="D1903" s="1" t="s">
        <v>857</v>
      </c>
      <c r="E1903" t="s">
        <v>858</v>
      </c>
      <c r="F1903" s="2" t="s">
        <v>686</v>
      </c>
      <c r="G1903" t="s">
        <v>49</v>
      </c>
      <c r="H1903" s="2" t="s">
        <v>3196</v>
      </c>
      <c r="I1903" s="2">
        <v>2.5499999999999998</v>
      </c>
    </row>
    <row r="1904" spans="1:10" x14ac:dyDescent="0.25">
      <c r="A1904" s="1" t="s">
        <v>3165</v>
      </c>
      <c r="B1904" t="s">
        <v>3166</v>
      </c>
      <c r="C1904" s="1" t="s">
        <v>541</v>
      </c>
      <c r="D1904" s="1" t="s">
        <v>541</v>
      </c>
      <c r="E1904" t="s">
        <v>542</v>
      </c>
      <c r="F1904" s="2" t="s">
        <v>9</v>
      </c>
      <c r="G1904" t="s">
        <v>10</v>
      </c>
      <c r="H1904" s="2" t="s">
        <v>3197</v>
      </c>
      <c r="I1904" s="2">
        <v>10.32</v>
      </c>
    </row>
    <row r="1905" spans="1:10" x14ac:dyDescent="0.25">
      <c r="A1905" s="1" t="s">
        <v>3187</v>
      </c>
      <c r="B1905" t="s">
        <v>3198</v>
      </c>
      <c r="C1905" s="1" t="s">
        <v>2078</v>
      </c>
      <c r="D1905" s="1" t="s">
        <v>2078</v>
      </c>
      <c r="E1905" t="s">
        <v>2079</v>
      </c>
      <c r="F1905" s="2" t="s">
        <v>1354</v>
      </c>
      <c r="G1905" t="s">
        <v>5</v>
      </c>
      <c r="H1905" s="2" t="s">
        <v>992</v>
      </c>
      <c r="I1905" s="2">
        <v>21.15</v>
      </c>
    </row>
    <row r="1906" spans="1:10" x14ac:dyDescent="0.25">
      <c r="A1906" s="1" t="s">
        <v>3187</v>
      </c>
      <c r="B1906" t="s">
        <v>3198</v>
      </c>
      <c r="C1906" s="1" t="s">
        <v>541</v>
      </c>
      <c r="D1906" s="1" t="s">
        <v>541</v>
      </c>
      <c r="E1906" t="s">
        <v>542</v>
      </c>
      <c r="F1906" s="2" t="s">
        <v>9</v>
      </c>
      <c r="G1906" t="s">
        <v>10</v>
      </c>
      <c r="H1906" s="2" t="s">
        <v>3199</v>
      </c>
      <c r="I1906" s="2">
        <v>14.85</v>
      </c>
    </row>
    <row r="1907" spans="1:10" x14ac:dyDescent="0.25">
      <c r="A1907" s="1" t="s">
        <v>3200</v>
      </c>
      <c r="B1907" t="s">
        <v>3201</v>
      </c>
      <c r="C1907" s="1" t="s">
        <v>3202</v>
      </c>
      <c r="D1907" s="1" t="s">
        <v>3202</v>
      </c>
      <c r="E1907" t="s">
        <v>3203</v>
      </c>
      <c r="F1907" s="2" t="s">
        <v>3204</v>
      </c>
      <c r="G1907" t="s">
        <v>1857</v>
      </c>
      <c r="H1907" s="2" t="s">
        <v>1006</v>
      </c>
      <c r="I1907" s="2">
        <v>0.3</v>
      </c>
    </row>
    <row r="1908" spans="1:10" x14ac:dyDescent="0.25">
      <c r="A1908" s="1" t="s">
        <v>3200</v>
      </c>
      <c r="B1908" t="s">
        <v>3201</v>
      </c>
      <c r="C1908" s="1" t="s">
        <v>1890</v>
      </c>
      <c r="D1908" s="1" t="s">
        <v>1890</v>
      </c>
      <c r="E1908" t="s">
        <v>1891</v>
      </c>
      <c r="F1908" s="2" t="s">
        <v>2728</v>
      </c>
      <c r="G1908" t="s">
        <v>5</v>
      </c>
      <c r="H1908" s="2" t="s">
        <v>3205</v>
      </c>
      <c r="I1908" s="2">
        <v>0.04</v>
      </c>
    </row>
    <row r="1909" spans="1:10" x14ac:dyDescent="0.25">
      <c r="A1909" s="1" t="s">
        <v>3200</v>
      </c>
      <c r="B1909" t="s">
        <v>3201</v>
      </c>
      <c r="C1909" s="1" t="s">
        <v>3206</v>
      </c>
      <c r="D1909" s="1" t="s">
        <v>3206</v>
      </c>
      <c r="E1909" t="s">
        <v>3207</v>
      </c>
      <c r="F1909" s="2" t="s">
        <v>2750</v>
      </c>
      <c r="G1909" t="s">
        <v>5</v>
      </c>
      <c r="H1909" s="2" t="s">
        <v>1858</v>
      </c>
      <c r="I1909" s="2">
        <v>0.03</v>
      </c>
    </row>
    <row r="1910" spans="1:10" x14ac:dyDescent="0.25">
      <c r="A1910" s="1" t="s">
        <v>3200</v>
      </c>
      <c r="B1910" t="s">
        <v>3201</v>
      </c>
      <c r="C1910" s="1" t="s">
        <v>1894</v>
      </c>
      <c r="D1910" s="1" t="s">
        <v>1894</v>
      </c>
      <c r="E1910" t="s">
        <v>3208</v>
      </c>
      <c r="F1910" s="2" t="s">
        <v>83</v>
      </c>
      <c r="G1910" t="s">
        <v>5</v>
      </c>
      <c r="H1910" s="2" t="s">
        <v>1772</v>
      </c>
      <c r="I1910" s="2">
        <v>0.23</v>
      </c>
    </row>
    <row r="1911" spans="1:10" x14ac:dyDescent="0.25">
      <c r="A1911" s="1" t="s">
        <v>3200</v>
      </c>
      <c r="B1911" t="s">
        <v>3201</v>
      </c>
      <c r="C1911" s="1" t="s">
        <v>628</v>
      </c>
      <c r="D1911" s="1" t="s">
        <v>628</v>
      </c>
      <c r="E1911" t="s">
        <v>629</v>
      </c>
      <c r="F1911" s="2" t="s">
        <v>630</v>
      </c>
      <c r="G1911" t="s">
        <v>5</v>
      </c>
      <c r="H1911" s="2" t="s">
        <v>3209</v>
      </c>
      <c r="I1911" s="2">
        <v>7.0000000000000007E-2</v>
      </c>
    </row>
    <row r="1912" spans="1:10" x14ac:dyDescent="0.25">
      <c r="A1912" s="1" t="s">
        <v>3200</v>
      </c>
      <c r="B1912" t="s">
        <v>3201</v>
      </c>
      <c r="C1912" s="1" t="s">
        <v>3210</v>
      </c>
      <c r="D1912" s="1" t="s">
        <v>3210</v>
      </c>
      <c r="E1912" t="s">
        <v>3211</v>
      </c>
      <c r="F1912" s="2" t="s">
        <v>3212</v>
      </c>
      <c r="G1912" t="s">
        <v>17</v>
      </c>
      <c r="H1912" s="2" t="s">
        <v>50</v>
      </c>
      <c r="I1912" s="2">
        <v>1.49</v>
      </c>
    </row>
    <row r="1913" spans="1:10" x14ac:dyDescent="0.25">
      <c r="A1913" s="1" t="s">
        <v>3200</v>
      </c>
      <c r="B1913" t="s">
        <v>3201</v>
      </c>
      <c r="C1913" s="1" t="s">
        <v>3213</v>
      </c>
      <c r="D1913" s="1" t="s">
        <v>3213</v>
      </c>
      <c r="E1913" t="s">
        <v>3214</v>
      </c>
      <c r="F1913" s="2" t="s">
        <v>2693</v>
      </c>
      <c r="G1913" t="s">
        <v>121</v>
      </c>
      <c r="H1913" s="2" t="s">
        <v>92</v>
      </c>
      <c r="I1913" s="2">
        <v>5</v>
      </c>
    </row>
    <row r="1914" spans="1:10" x14ac:dyDescent="0.25">
      <c r="A1914" s="1" t="s">
        <v>3200</v>
      </c>
      <c r="B1914" t="s">
        <v>3201</v>
      </c>
      <c r="C1914" s="1" t="s">
        <v>3215</v>
      </c>
      <c r="D1914" s="1" t="s">
        <v>3215</v>
      </c>
      <c r="E1914" t="s">
        <v>3216</v>
      </c>
      <c r="F1914" s="2" t="s">
        <v>3217</v>
      </c>
      <c r="G1914" t="s">
        <v>121</v>
      </c>
      <c r="H1914" s="2" t="s">
        <v>50</v>
      </c>
      <c r="I1914" s="2">
        <v>36.479999999999997</v>
      </c>
    </row>
    <row r="1915" spans="1:10" x14ac:dyDescent="0.25">
      <c r="A1915" s="1" t="s">
        <v>3200</v>
      </c>
      <c r="B1915" t="s">
        <v>3201</v>
      </c>
      <c r="C1915" s="1" t="s">
        <v>3218</v>
      </c>
      <c r="D1915" s="1" t="s">
        <v>3218</v>
      </c>
      <c r="E1915" t="s">
        <v>3219</v>
      </c>
      <c r="F1915" s="2" t="s">
        <v>3220</v>
      </c>
      <c r="G1915" t="s">
        <v>121</v>
      </c>
      <c r="H1915" s="2" t="s">
        <v>50</v>
      </c>
      <c r="I1915" s="2">
        <v>414.04</v>
      </c>
      <c r="J1915" t="s">
        <v>55</v>
      </c>
    </row>
    <row r="1916" spans="1:10" x14ac:dyDescent="0.25">
      <c r="A1916" s="1" t="s">
        <v>3200</v>
      </c>
      <c r="B1916" t="s">
        <v>3201</v>
      </c>
      <c r="C1916" s="1" t="s">
        <v>1989</v>
      </c>
      <c r="D1916" s="1" t="s">
        <v>1989</v>
      </c>
      <c r="E1916" t="s">
        <v>1990</v>
      </c>
      <c r="F1916" s="2" t="s">
        <v>1991</v>
      </c>
      <c r="G1916" t="s">
        <v>435</v>
      </c>
      <c r="H1916" s="2" t="s">
        <v>3221</v>
      </c>
      <c r="I1916" s="2">
        <v>11.5</v>
      </c>
    </row>
    <row r="1917" spans="1:10" x14ac:dyDescent="0.25">
      <c r="A1917" s="1" t="s">
        <v>3200</v>
      </c>
      <c r="B1917" t="s">
        <v>3201</v>
      </c>
      <c r="C1917" s="1" t="s">
        <v>541</v>
      </c>
      <c r="D1917" s="1" t="s">
        <v>541</v>
      </c>
      <c r="E1917" t="s">
        <v>542</v>
      </c>
      <c r="F1917" s="2" t="s">
        <v>9</v>
      </c>
      <c r="G1917" t="s">
        <v>10</v>
      </c>
      <c r="H1917" s="2" t="s">
        <v>3222</v>
      </c>
      <c r="I1917" s="2">
        <v>9.5500000000000007</v>
      </c>
    </row>
    <row r="1918" spans="1:10" x14ac:dyDescent="0.25">
      <c r="A1918" s="1" t="s">
        <v>3218</v>
      </c>
      <c r="B1918" t="s">
        <v>3223</v>
      </c>
      <c r="C1918" s="1" t="s">
        <v>3167</v>
      </c>
      <c r="D1918" s="1" t="s">
        <v>3167</v>
      </c>
      <c r="E1918" t="s">
        <v>3168</v>
      </c>
      <c r="F1918" s="2" t="s">
        <v>111</v>
      </c>
      <c r="G1918" t="s">
        <v>17</v>
      </c>
      <c r="H1918" s="2" t="s">
        <v>3224</v>
      </c>
      <c r="I1918" s="2">
        <v>5.8</v>
      </c>
    </row>
    <row r="1919" spans="1:10" x14ac:dyDescent="0.25">
      <c r="A1919" s="1" t="s">
        <v>3218</v>
      </c>
      <c r="B1919" t="s">
        <v>3223</v>
      </c>
      <c r="C1919" s="1" t="s">
        <v>3225</v>
      </c>
      <c r="D1919" s="1" t="s">
        <v>3225</v>
      </c>
      <c r="E1919" t="s">
        <v>3226</v>
      </c>
      <c r="F1919" s="2" t="s">
        <v>3227</v>
      </c>
      <c r="G1919" t="s">
        <v>121</v>
      </c>
      <c r="H1919" s="2" t="s">
        <v>50</v>
      </c>
      <c r="I1919" s="2">
        <v>15.93</v>
      </c>
    </row>
    <row r="1920" spans="1:10" x14ac:dyDescent="0.25">
      <c r="A1920" s="1" t="s">
        <v>3218</v>
      </c>
      <c r="B1920" t="s">
        <v>3223</v>
      </c>
      <c r="C1920" s="1" t="s">
        <v>3228</v>
      </c>
      <c r="D1920" s="1" t="s">
        <v>3228</v>
      </c>
      <c r="E1920" t="s">
        <v>3229</v>
      </c>
      <c r="F1920" s="2" t="s">
        <v>3230</v>
      </c>
      <c r="G1920" t="s">
        <v>121</v>
      </c>
      <c r="H1920" s="2" t="s">
        <v>50</v>
      </c>
      <c r="I1920" s="2">
        <v>171.3</v>
      </c>
    </row>
    <row r="1921" spans="1:10" x14ac:dyDescent="0.25">
      <c r="A1921" s="1" t="s">
        <v>3218</v>
      </c>
      <c r="B1921" t="s">
        <v>3223</v>
      </c>
      <c r="C1921" s="1" t="s">
        <v>3231</v>
      </c>
      <c r="D1921" s="1" t="s">
        <v>3231</v>
      </c>
      <c r="E1921" t="s">
        <v>3232</v>
      </c>
      <c r="F1921" s="2" t="s">
        <v>3233</v>
      </c>
      <c r="G1921" t="s">
        <v>121</v>
      </c>
      <c r="H1921" s="2" t="s">
        <v>122</v>
      </c>
      <c r="I1921" s="2">
        <v>23.32</v>
      </c>
    </row>
    <row r="1922" spans="1:10" x14ac:dyDescent="0.25">
      <c r="A1922" s="1" t="s">
        <v>3218</v>
      </c>
      <c r="B1922" t="s">
        <v>3223</v>
      </c>
      <c r="C1922" s="1" t="s">
        <v>3173</v>
      </c>
      <c r="D1922" s="1" t="s">
        <v>3173</v>
      </c>
      <c r="E1922" t="s">
        <v>3174</v>
      </c>
      <c r="F1922" s="2" t="s">
        <v>3234</v>
      </c>
      <c r="G1922" t="s">
        <v>121</v>
      </c>
      <c r="H1922" s="2" t="s">
        <v>50</v>
      </c>
      <c r="I1922" s="2">
        <v>7.01</v>
      </c>
    </row>
    <row r="1923" spans="1:10" x14ac:dyDescent="0.25">
      <c r="A1923" s="1" t="s">
        <v>3218</v>
      </c>
      <c r="B1923" t="s">
        <v>3223</v>
      </c>
      <c r="C1923" s="1" t="s">
        <v>3179</v>
      </c>
      <c r="D1923" s="1" t="s">
        <v>3179</v>
      </c>
      <c r="E1923" t="s">
        <v>3180</v>
      </c>
      <c r="F1923" s="2" t="s">
        <v>151</v>
      </c>
      <c r="G1923" t="s">
        <v>121</v>
      </c>
      <c r="H1923" s="2" t="s">
        <v>92</v>
      </c>
      <c r="I1923" s="2">
        <v>4</v>
      </c>
    </row>
    <row r="1924" spans="1:10" x14ac:dyDescent="0.25">
      <c r="A1924" s="1" t="s">
        <v>3218</v>
      </c>
      <c r="B1924" t="s">
        <v>3223</v>
      </c>
      <c r="C1924" s="1" t="s">
        <v>3235</v>
      </c>
      <c r="D1924" s="1" t="s">
        <v>3235</v>
      </c>
      <c r="E1924" t="s">
        <v>3236</v>
      </c>
      <c r="F1924" s="2" t="s">
        <v>3237</v>
      </c>
      <c r="G1924" t="s">
        <v>121</v>
      </c>
      <c r="H1924" s="2" t="s">
        <v>92</v>
      </c>
      <c r="I1924" s="2">
        <v>10.46</v>
      </c>
    </row>
    <row r="1925" spans="1:10" x14ac:dyDescent="0.25">
      <c r="A1925" s="1" t="s">
        <v>3218</v>
      </c>
      <c r="B1925" t="s">
        <v>3223</v>
      </c>
      <c r="C1925" s="1" t="s">
        <v>3182</v>
      </c>
      <c r="D1925" s="1" t="s">
        <v>3182</v>
      </c>
      <c r="E1925" t="s">
        <v>3183</v>
      </c>
      <c r="F1925" s="2" t="s">
        <v>3184</v>
      </c>
      <c r="G1925" t="s">
        <v>121</v>
      </c>
      <c r="H1925" s="2" t="s">
        <v>50</v>
      </c>
      <c r="I1925" s="2">
        <v>0.15</v>
      </c>
    </row>
    <row r="1926" spans="1:10" x14ac:dyDescent="0.25">
      <c r="A1926" s="1" t="s">
        <v>3218</v>
      </c>
      <c r="B1926" t="s">
        <v>3223</v>
      </c>
      <c r="C1926" s="1" t="s">
        <v>3185</v>
      </c>
      <c r="D1926" s="1" t="s">
        <v>3185</v>
      </c>
      <c r="E1926" t="s">
        <v>3186</v>
      </c>
      <c r="F1926" s="2" t="s">
        <v>979</v>
      </c>
      <c r="G1926" t="s">
        <v>121</v>
      </c>
      <c r="H1926" s="2" t="s">
        <v>50</v>
      </c>
      <c r="I1926" s="2">
        <v>0.52</v>
      </c>
    </row>
    <row r="1927" spans="1:10" x14ac:dyDescent="0.25">
      <c r="A1927" s="1" t="s">
        <v>3218</v>
      </c>
      <c r="B1927" t="s">
        <v>3223</v>
      </c>
      <c r="C1927" s="1" t="s">
        <v>3238</v>
      </c>
      <c r="D1927" s="1" t="s">
        <v>3238</v>
      </c>
      <c r="E1927" t="s">
        <v>3239</v>
      </c>
      <c r="F1927" s="2" t="s">
        <v>3240</v>
      </c>
      <c r="G1927" t="s">
        <v>121</v>
      </c>
      <c r="H1927" s="2" t="s">
        <v>268</v>
      </c>
      <c r="I1927" s="2">
        <v>86.73</v>
      </c>
      <c r="J1927" t="s">
        <v>55</v>
      </c>
    </row>
    <row r="1928" spans="1:10" x14ac:dyDescent="0.25">
      <c r="A1928" s="1" t="s">
        <v>3218</v>
      </c>
      <c r="B1928" t="s">
        <v>3223</v>
      </c>
      <c r="C1928" s="1" t="s">
        <v>3241</v>
      </c>
      <c r="D1928" s="1" t="s">
        <v>3241</v>
      </c>
      <c r="E1928" t="s">
        <v>3242</v>
      </c>
      <c r="F1928" s="2" t="s">
        <v>336</v>
      </c>
      <c r="G1928" t="s">
        <v>121</v>
      </c>
      <c r="H1928" s="2" t="s">
        <v>92</v>
      </c>
      <c r="I1928" s="2">
        <v>5.2</v>
      </c>
      <c r="J1928" t="s">
        <v>55</v>
      </c>
    </row>
    <row r="1929" spans="1:10" x14ac:dyDescent="0.25">
      <c r="A1929" s="1" t="s">
        <v>3218</v>
      </c>
      <c r="B1929" t="s">
        <v>3223</v>
      </c>
      <c r="C1929" s="1" t="s">
        <v>3243</v>
      </c>
      <c r="D1929" s="1" t="s">
        <v>3243</v>
      </c>
      <c r="E1929" t="s">
        <v>3244</v>
      </c>
      <c r="F1929" s="2" t="s">
        <v>3245</v>
      </c>
      <c r="G1929" t="s">
        <v>121</v>
      </c>
      <c r="H1929" s="2" t="s">
        <v>50</v>
      </c>
      <c r="I1929" s="2">
        <v>37.979999999999997</v>
      </c>
      <c r="J1929" t="s">
        <v>55</v>
      </c>
    </row>
    <row r="1930" spans="1:10" x14ac:dyDescent="0.25">
      <c r="A1930" s="1" t="s">
        <v>3218</v>
      </c>
      <c r="B1930" t="s">
        <v>3223</v>
      </c>
      <c r="C1930" s="1" t="s">
        <v>3246</v>
      </c>
      <c r="D1930" s="1" t="s">
        <v>3246</v>
      </c>
      <c r="E1930" t="s">
        <v>3247</v>
      </c>
      <c r="F1930" s="2" t="s">
        <v>3248</v>
      </c>
      <c r="G1930" t="s">
        <v>121</v>
      </c>
      <c r="H1930" s="2" t="s">
        <v>50</v>
      </c>
      <c r="I1930" s="2">
        <v>15.4</v>
      </c>
      <c r="J1930" t="s">
        <v>55</v>
      </c>
    </row>
    <row r="1931" spans="1:10" x14ac:dyDescent="0.25">
      <c r="A1931" s="1" t="s">
        <v>3218</v>
      </c>
      <c r="B1931" t="s">
        <v>3223</v>
      </c>
      <c r="C1931" s="1" t="s">
        <v>857</v>
      </c>
      <c r="D1931" s="1" t="s">
        <v>857</v>
      </c>
      <c r="E1931" t="s">
        <v>858</v>
      </c>
      <c r="F1931" s="2" t="s">
        <v>686</v>
      </c>
      <c r="G1931" t="s">
        <v>49</v>
      </c>
      <c r="H1931" s="2" t="s">
        <v>3249</v>
      </c>
      <c r="I1931" s="2">
        <v>2.5</v>
      </c>
    </row>
    <row r="1932" spans="1:10" x14ac:dyDescent="0.25">
      <c r="A1932" s="1" t="s">
        <v>3218</v>
      </c>
      <c r="B1932" t="s">
        <v>3223</v>
      </c>
      <c r="C1932" s="1" t="s">
        <v>541</v>
      </c>
      <c r="D1932" s="1" t="s">
        <v>541</v>
      </c>
      <c r="E1932" t="s">
        <v>542</v>
      </c>
      <c r="F1932" s="2" t="s">
        <v>9</v>
      </c>
      <c r="G1932" t="s">
        <v>10</v>
      </c>
      <c r="H1932" s="2" t="s">
        <v>3250</v>
      </c>
      <c r="I1932" s="2">
        <v>27.74</v>
      </c>
    </row>
    <row r="1933" spans="1:10" x14ac:dyDescent="0.25">
      <c r="A1933" s="1" t="s">
        <v>3238</v>
      </c>
      <c r="B1933" t="s">
        <v>3251</v>
      </c>
      <c r="C1933" s="1" t="s">
        <v>3231</v>
      </c>
      <c r="D1933" s="1" t="s">
        <v>3231</v>
      </c>
      <c r="E1933" t="s">
        <v>3232</v>
      </c>
      <c r="F1933" s="2" t="s">
        <v>3233</v>
      </c>
      <c r="G1933" t="s">
        <v>121</v>
      </c>
      <c r="H1933" s="2" t="s">
        <v>50</v>
      </c>
      <c r="I1933" s="2">
        <v>5.83</v>
      </c>
    </row>
    <row r="1934" spans="1:10" x14ac:dyDescent="0.25">
      <c r="A1934" s="1" t="s">
        <v>3238</v>
      </c>
      <c r="B1934" t="s">
        <v>3251</v>
      </c>
      <c r="C1934" s="1" t="s">
        <v>3235</v>
      </c>
      <c r="D1934" s="1" t="s">
        <v>3235</v>
      </c>
      <c r="E1934" t="s">
        <v>3236</v>
      </c>
      <c r="F1934" s="2" t="s">
        <v>3237</v>
      </c>
      <c r="G1934" t="s">
        <v>121</v>
      </c>
      <c r="H1934" s="2" t="s">
        <v>92</v>
      </c>
      <c r="I1934" s="2">
        <v>10.46</v>
      </c>
    </row>
    <row r="1935" spans="1:10" x14ac:dyDescent="0.25">
      <c r="A1935" s="1" t="s">
        <v>3238</v>
      </c>
      <c r="B1935" t="s">
        <v>3251</v>
      </c>
      <c r="C1935" s="1" t="s">
        <v>3241</v>
      </c>
      <c r="D1935" s="1" t="s">
        <v>3241</v>
      </c>
      <c r="E1935" t="s">
        <v>3242</v>
      </c>
      <c r="F1935" s="2" t="s">
        <v>336</v>
      </c>
      <c r="G1935" t="s">
        <v>121</v>
      </c>
      <c r="H1935" s="2" t="s">
        <v>92</v>
      </c>
      <c r="I1935" s="2">
        <v>5.2</v>
      </c>
      <c r="J1935" t="s">
        <v>55</v>
      </c>
    </row>
    <row r="1936" spans="1:10" x14ac:dyDescent="0.25">
      <c r="A1936" s="1" t="s">
        <v>3238</v>
      </c>
      <c r="B1936" t="s">
        <v>3251</v>
      </c>
      <c r="C1936" s="1" t="s">
        <v>857</v>
      </c>
      <c r="D1936" s="1" t="s">
        <v>857</v>
      </c>
      <c r="E1936" t="s">
        <v>858</v>
      </c>
      <c r="F1936" s="2" t="s">
        <v>686</v>
      </c>
      <c r="G1936" t="s">
        <v>49</v>
      </c>
      <c r="H1936" s="2" t="s">
        <v>3252</v>
      </c>
      <c r="I1936" s="2">
        <v>1.7</v>
      </c>
    </row>
    <row r="1937" spans="1:9" x14ac:dyDescent="0.25">
      <c r="A1937" s="1" t="s">
        <v>3238</v>
      </c>
      <c r="B1937" t="s">
        <v>3251</v>
      </c>
      <c r="C1937" s="1" t="s">
        <v>541</v>
      </c>
      <c r="D1937" s="1" t="s">
        <v>541</v>
      </c>
      <c r="E1937" t="s">
        <v>542</v>
      </c>
      <c r="F1937" s="2" t="s">
        <v>9</v>
      </c>
      <c r="G1937" t="s">
        <v>10</v>
      </c>
      <c r="H1937" s="2" t="s">
        <v>3253</v>
      </c>
      <c r="I1937" s="2">
        <v>5.72</v>
      </c>
    </row>
    <row r="1938" spans="1:9" x14ac:dyDescent="0.25">
      <c r="A1938" s="1" t="s">
        <v>3241</v>
      </c>
      <c r="B1938" t="s">
        <v>3254</v>
      </c>
      <c r="C1938" s="1" t="s">
        <v>3255</v>
      </c>
      <c r="D1938" s="1" t="s">
        <v>3255</v>
      </c>
      <c r="E1938" t="s">
        <v>3256</v>
      </c>
      <c r="F1938" s="2" t="s">
        <v>1017</v>
      </c>
      <c r="G1938" t="s">
        <v>5</v>
      </c>
      <c r="H1938" s="2" t="s">
        <v>1210</v>
      </c>
      <c r="I1938" s="2">
        <v>0.3</v>
      </c>
    </row>
    <row r="1939" spans="1:9" x14ac:dyDescent="0.25">
      <c r="A1939" s="1" t="s">
        <v>3241</v>
      </c>
      <c r="B1939" t="s">
        <v>3254</v>
      </c>
      <c r="C1939" s="1" t="s">
        <v>541</v>
      </c>
      <c r="D1939" s="1" t="s">
        <v>541</v>
      </c>
      <c r="E1939" t="s">
        <v>542</v>
      </c>
      <c r="F1939" s="2" t="s">
        <v>9</v>
      </c>
      <c r="G1939" t="s">
        <v>10</v>
      </c>
      <c r="H1939" s="2" t="s">
        <v>367</v>
      </c>
      <c r="I1939" s="2">
        <v>2.2999999999999998</v>
      </c>
    </row>
    <row r="1940" spans="1:9" x14ac:dyDescent="0.25">
      <c r="A1940" s="1" t="s">
        <v>3243</v>
      </c>
      <c r="B1940" t="s">
        <v>3257</v>
      </c>
      <c r="C1940" s="1" t="s">
        <v>3258</v>
      </c>
      <c r="D1940" s="1" t="s">
        <v>3258</v>
      </c>
      <c r="E1940" t="s">
        <v>3259</v>
      </c>
      <c r="F1940" s="2" t="s">
        <v>70</v>
      </c>
      <c r="G1940" t="s">
        <v>5</v>
      </c>
      <c r="H1940" s="2" t="s">
        <v>3260</v>
      </c>
      <c r="I1940" s="2">
        <v>14</v>
      </c>
    </row>
    <row r="1941" spans="1:9" x14ac:dyDescent="0.25">
      <c r="A1941" s="1" t="s">
        <v>3243</v>
      </c>
      <c r="B1941" t="s">
        <v>3257</v>
      </c>
      <c r="C1941" s="1" t="s">
        <v>541</v>
      </c>
      <c r="D1941" s="1" t="s">
        <v>541</v>
      </c>
      <c r="E1941" t="s">
        <v>542</v>
      </c>
      <c r="F1941" s="2" t="s">
        <v>9</v>
      </c>
      <c r="G1941" t="s">
        <v>10</v>
      </c>
      <c r="H1941" s="2" t="s">
        <v>3261</v>
      </c>
      <c r="I1941" s="2">
        <v>23.98</v>
      </c>
    </row>
    <row r="1942" spans="1:9" x14ac:dyDescent="0.25">
      <c r="A1942" s="1" t="s">
        <v>3246</v>
      </c>
      <c r="B1942" t="s">
        <v>3262</v>
      </c>
      <c r="C1942" s="1" t="s">
        <v>2941</v>
      </c>
      <c r="D1942" s="1" t="s">
        <v>2941</v>
      </c>
      <c r="E1942" t="s">
        <v>2942</v>
      </c>
      <c r="F1942" s="2" t="s">
        <v>1394</v>
      </c>
      <c r="G1942" t="s">
        <v>5</v>
      </c>
      <c r="H1942" s="2" t="s">
        <v>607</v>
      </c>
      <c r="I1942" s="2">
        <v>1.6</v>
      </c>
    </row>
    <row r="1943" spans="1:9" x14ac:dyDescent="0.25">
      <c r="A1943" s="1" t="s">
        <v>3246</v>
      </c>
      <c r="B1943" t="s">
        <v>3262</v>
      </c>
      <c r="C1943" s="1" t="s">
        <v>541</v>
      </c>
      <c r="D1943" s="1" t="s">
        <v>541</v>
      </c>
      <c r="E1943" t="s">
        <v>542</v>
      </c>
      <c r="F1943" s="2" t="s">
        <v>9</v>
      </c>
      <c r="G1943" t="s">
        <v>10</v>
      </c>
      <c r="H1943" s="2" t="s">
        <v>992</v>
      </c>
      <c r="I1943" s="2">
        <v>13.8</v>
      </c>
    </row>
    <row r="1944" spans="1:9" x14ac:dyDescent="0.25">
      <c r="A1944" s="1" t="s">
        <v>3263</v>
      </c>
      <c r="B1944" t="s">
        <v>3264</v>
      </c>
      <c r="C1944" s="1" t="s">
        <v>3265</v>
      </c>
      <c r="D1944" s="1" t="s">
        <v>3265</v>
      </c>
      <c r="E1944" t="s">
        <v>3266</v>
      </c>
      <c r="F1944" s="2" t="s">
        <v>311</v>
      </c>
      <c r="G1944" t="s">
        <v>17</v>
      </c>
      <c r="H1944" s="2" t="s">
        <v>3047</v>
      </c>
      <c r="I1944" s="2">
        <v>1.37</v>
      </c>
    </row>
    <row r="1945" spans="1:9" x14ac:dyDescent="0.25">
      <c r="A1945" s="1" t="s">
        <v>3263</v>
      </c>
      <c r="B1945" t="s">
        <v>3264</v>
      </c>
      <c r="C1945" s="1" t="s">
        <v>541</v>
      </c>
      <c r="D1945" s="1" t="s">
        <v>541</v>
      </c>
      <c r="E1945" t="s">
        <v>542</v>
      </c>
      <c r="F1945" s="2" t="s">
        <v>9</v>
      </c>
      <c r="G1945" t="s">
        <v>10</v>
      </c>
      <c r="H1945" s="2" t="s">
        <v>3267</v>
      </c>
      <c r="I1945" s="2">
        <v>3.73</v>
      </c>
    </row>
    <row r="1946" spans="1:9" x14ac:dyDescent="0.25">
      <c r="A1946" s="1" t="s">
        <v>3268</v>
      </c>
      <c r="B1946" t="s">
        <v>3269</v>
      </c>
      <c r="C1946" s="1" t="s">
        <v>2458</v>
      </c>
      <c r="D1946" s="1" t="s">
        <v>2458</v>
      </c>
      <c r="E1946" t="s">
        <v>2459</v>
      </c>
      <c r="F1946" s="2" t="s">
        <v>384</v>
      </c>
      <c r="G1946" t="s">
        <v>5</v>
      </c>
      <c r="H1946" s="2" t="s">
        <v>3270</v>
      </c>
      <c r="I1946" s="2">
        <v>2.7</v>
      </c>
    </row>
    <row r="1947" spans="1:9" x14ac:dyDescent="0.25">
      <c r="A1947" s="1" t="s">
        <v>3268</v>
      </c>
      <c r="B1947" t="s">
        <v>3269</v>
      </c>
      <c r="C1947" s="1" t="s">
        <v>541</v>
      </c>
      <c r="D1947" s="1" t="s">
        <v>541</v>
      </c>
      <c r="E1947" t="s">
        <v>542</v>
      </c>
      <c r="F1947" s="2" t="s">
        <v>811</v>
      </c>
      <c r="G1947" t="s">
        <v>10</v>
      </c>
      <c r="H1947" s="2" t="s">
        <v>19</v>
      </c>
      <c r="I1947" s="2">
        <v>12.75</v>
      </c>
    </row>
    <row r="1948" spans="1:9" x14ac:dyDescent="0.25">
      <c r="A1948" s="1" t="s">
        <v>3271</v>
      </c>
      <c r="B1948" t="s">
        <v>3272</v>
      </c>
      <c r="C1948" s="1" t="s">
        <v>7</v>
      </c>
      <c r="D1948" s="1" t="s">
        <v>7</v>
      </c>
      <c r="E1948" t="s">
        <v>8</v>
      </c>
      <c r="F1948" s="2" t="s">
        <v>9</v>
      </c>
      <c r="G1948" t="s">
        <v>10</v>
      </c>
      <c r="H1948" s="2" t="s">
        <v>3273</v>
      </c>
      <c r="I1948" s="2">
        <v>11.35</v>
      </c>
    </row>
    <row r="1949" spans="1:9" x14ac:dyDescent="0.25">
      <c r="A1949" s="1" t="s">
        <v>3274</v>
      </c>
      <c r="B1949" t="s">
        <v>3275</v>
      </c>
      <c r="C1949" s="1" t="s">
        <v>1487</v>
      </c>
      <c r="D1949" s="1" t="s">
        <v>1487</v>
      </c>
      <c r="E1949" t="s">
        <v>1488</v>
      </c>
      <c r="F1949" s="2" t="s">
        <v>31</v>
      </c>
      <c r="G1949" t="s">
        <v>5</v>
      </c>
      <c r="H1949" s="2" t="s">
        <v>3276</v>
      </c>
      <c r="I1949" s="2">
        <v>2.2999999999999998</v>
      </c>
    </row>
    <row r="1950" spans="1:9" x14ac:dyDescent="0.25">
      <c r="A1950" s="1" t="s">
        <v>3274</v>
      </c>
      <c r="B1950" t="s">
        <v>3275</v>
      </c>
      <c r="C1950" s="1" t="s">
        <v>7</v>
      </c>
      <c r="D1950" s="1" t="s">
        <v>7</v>
      </c>
      <c r="E1950" t="s">
        <v>8</v>
      </c>
      <c r="F1950" s="2" t="s">
        <v>9</v>
      </c>
      <c r="G1950" t="s">
        <v>10</v>
      </c>
      <c r="H1950" s="2" t="s">
        <v>3277</v>
      </c>
      <c r="I1950" s="2">
        <v>9.67</v>
      </c>
    </row>
    <row r="1951" spans="1:9" x14ac:dyDescent="0.25">
      <c r="A1951" s="1" t="s">
        <v>3278</v>
      </c>
      <c r="B1951" t="s">
        <v>3279</v>
      </c>
      <c r="C1951" s="1" t="s">
        <v>3280</v>
      </c>
      <c r="D1951" s="1" t="s">
        <v>3280</v>
      </c>
      <c r="E1951" t="s">
        <v>3281</v>
      </c>
      <c r="F1951" s="2" t="s">
        <v>876</v>
      </c>
      <c r="G1951" t="s">
        <v>5</v>
      </c>
      <c r="H1951" s="2" t="s">
        <v>2330</v>
      </c>
      <c r="I1951" s="2">
        <v>6.6</v>
      </c>
    </row>
    <row r="1952" spans="1:9" x14ac:dyDescent="0.25">
      <c r="A1952" s="1" t="s">
        <v>3278</v>
      </c>
      <c r="B1952" t="s">
        <v>3279</v>
      </c>
      <c r="C1952" s="1" t="s">
        <v>7</v>
      </c>
      <c r="D1952" s="1" t="s">
        <v>7</v>
      </c>
      <c r="E1952" t="s">
        <v>8</v>
      </c>
      <c r="F1952" s="2" t="s">
        <v>9</v>
      </c>
      <c r="G1952" t="s">
        <v>10</v>
      </c>
      <c r="H1952" s="2" t="s">
        <v>3277</v>
      </c>
      <c r="I1952" s="2">
        <v>9.67</v>
      </c>
    </row>
    <row r="1953" spans="1:9" x14ac:dyDescent="0.25">
      <c r="A1953" s="1" t="s">
        <v>3282</v>
      </c>
      <c r="B1953" t="s">
        <v>3283</v>
      </c>
      <c r="C1953" s="1" t="s">
        <v>1487</v>
      </c>
      <c r="D1953" s="1" t="s">
        <v>1487</v>
      </c>
      <c r="E1953" t="s">
        <v>1488</v>
      </c>
      <c r="F1953" s="2" t="s">
        <v>31</v>
      </c>
      <c r="G1953" t="s">
        <v>5</v>
      </c>
      <c r="H1953" s="2" t="s">
        <v>3284</v>
      </c>
      <c r="I1953" s="2">
        <v>2.5499999999999998</v>
      </c>
    </row>
    <row r="1954" spans="1:9" x14ac:dyDescent="0.25">
      <c r="A1954" s="1" t="s">
        <v>3282</v>
      </c>
      <c r="B1954" t="s">
        <v>3283</v>
      </c>
      <c r="C1954" s="1" t="s">
        <v>7</v>
      </c>
      <c r="D1954" s="1" t="s">
        <v>7</v>
      </c>
      <c r="E1954" t="s">
        <v>8</v>
      </c>
      <c r="F1954" s="2" t="s">
        <v>9</v>
      </c>
      <c r="G1954" t="s">
        <v>10</v>
      </c>
      <c r="H1954" s="2" t="s">
        <v>3285</v>
      </c>
      <c r="I1954" s="2">
        <v>9.5500000000000007</v>
      </c>
    </row>
    <row r="1955" spans="1:9" x14ac:dyDescent="0.25">
      <c r="A1955" s="1" t="s">
        <v>3286</v>
      </c>
      <c r="B1955" t="s">
        <v>3287</v>
      </c>
      <c r="C1955" s="1" t="s">
        <v>3288</v>
      </c>
      <c r="D1955" s="1" t="s">
        <v>3288</v>
      </c>
      <c r="E1955" t="s">
        <v>3289</v>
      </c>
      <c r="F1955" s="2" t="s">
        <v>1970</v>
      </c>
      <c r="G1955" t="s">
        <v>5</v>
      </c>
      <c r="H1955" s="2" t="s">
        <v>478</v>
      </c>
      <c r="I1955" s="2">
        <v>1.01</v>
      </c>
    </row>
    <row r="1956" spans="1:9" x14ac:dyDescent="0.25">
      <c r="A1956" s="1" t="s">
        <v>3286</v>
      </c>
      <c r="B1956" t="s">
        <v>3287</v>
      </c>
      <c r="C1956" s="1" t="s">
        <v>541</v>
      </c>
      <c r="D1956" s="1" t="s">
        <v>541</v>
      </c>
      <c r="E1956" t="s">
        <v>542</v>
      </c>
      <c r="F1956" s="2" t="s">
        <v>9</v>
      </c>
      <c r="G1956" t="s">
        <v>10</v>
      </c>
      <c r="H1956" s="2" t="s">
        <v>2230</v>
      </c>
      <c r="I1956" s="2">
        <v>0.99</v>
      </c>
    </row>
    <row r="1957" spans="1:9" x14ac:dyDescent="0.25">
      <c r="A1957" s="1" t="s">
        <v>3290</v>
      </c>
      <c r="B1957" t="s">
        <v>3291</v>
      </c>
      <c r="C1957" s="1" t="s">
        <v>2961</v>
      </c>
      <c r="D1957" s="1" t="s">
        <v>2961</v>
      </c>
      <c r="E1957" t="s">
        <v>2962</v>
      </c>
      <c r="F1957" s="2" t="s">
        <v>2963</v>
      </c>
      <c r="G1957" t="s">
        <v>5</v>
      </c>
      <c r="H1957" s="2" t="s">
        <v>3292</v>
      </c>
      <c r="I1957" s="2">
        <v>0.7</v>
      </c>
    </row>
    <row r="1958" spans="1:9" x14ac:dyDescent="0.25">
      <c r="A1958" s="1" t="s">
        <v>3290</v>
      </c>
      <c r="B1958" t="s">
        <v>3291</v>
      </c>
      <c r="C1958" s="1" t="s">
        <v>2379</v>
      </c>
      <c r="D1958" s="1" t="s">
        <v>2379</v>
      </c>
      <c r="E1958" t="s">
        <v>2380</v>
      </c>
      <c r="F1958" s="2" t="s">
        <v>328</v>
      </c>
      <c r="G1958" t="s">
        <v>121</v>
      </c>
      <c r="H1958" s="2" t="s">
        <v>50</v>
      </c>
      <c r="I1958" s="2">
        <v>6.2</v>
      </c>
    </row>
    <row r="1959" spans="1:9" x14ac:dyDescent="0.25">
      <c r="A1959" s="1" t="s">
        <v>3290</v>
      </c>
      <c r="B1959" t="s">
        <v>3291</v>
      </c>
      <c r="C1959" s="1" t="s">
        <v>7</v>
      </c>
      <c r="D1959" s="1" t="s">
        <v>7</v>
      </c>
      <c r="E1959" t="s">
        <v>8</v>
      </c>
      <c r="F1959" s="2" t="s">
        <v>9</v>
      </c>
      <c r="G1959" t="s">
        <v>10</v>
      </c>
      <c r="H1959" s="2" t="s">
        <v>3293</v>
      </c>
      <c r="I1959" s="2">
        <v>9.25</v>
      </c>
    </row>
    <row r="1960" spans="1:9" x14ac:dyDescent="0.25">
      <c r="A1960" s="1" t="s">
        <v>3294</v>
      </c>
      <c r="B1960" t="s">
        <v>3295</v>
      </c>
      <c r="C1960" s="1" t="s">
        <v>1249</v>
      </c>
      <c r="D1960" s="1" t="s">
        <v>1249</v>
      </c>
      <c r="E1960" t="s">
        <v>3296</v>
      </c>
      <c r="F1960" s="2" t="s">
        <v>1251</v>
      </c>
      <c r="G1960" t="s">
        <v>1252</v>
      </c>
      <c r="H1960" s="2" t="s">
        <v>3297</v>
      </c>
      <c r="I1960" s="2">
        <v>2.04</v>
      </c>
    </row>
    <row r="1961" spans="1:9" x14ac:dyDescent="0.25">
      <c r="A1961" s="1" t="s">
        <v>3294</v>
      </c>
      <c r="B1961" t="s">
        <v>3295</v>
      </c>
      <c r="C1961" s="1" t="s">
        <v>3298</v>
      </c>
      <c r="D1961" s="1" t="s">
        <v>3298</v>
      </c>
      <c r="E1961" t="s">
        <v>3299</v>
      </c>
      <c r="F1961" s="2" t="s">
        <v>3300</v>
      </c>
      <c r="G1961" t="s">
        <v>435</v>
      </c>
      <c r="H1961" s="2" t="s">
        <v>92</v>
      </c>
      <c r="I1961" s="2">
        <v>1.5</v>
      </c>
    </row>
    <row r="1962" spans="1:9" x14ac:dyDescent="0.25">
      <c r="A1962" s="1" t="s">
        <v>3294</v>
      </c>
      <c r="B1962" t="s">
        <v>3295</v>
      </c>
      <c r="C1962" s="1" t="s">
        <v>541</v>
      </c>
      <c r="D1962" s="1" t="s">
        <v>541</v>
      </c>
      <c r="E1962" t="s">
        <v>542</v>
      </c>
      <c r="F1962" s="2" t="s">
        <v>9</v>
      </c>
      <c r="G1962" t="s">
        <v>10</v>
      </c>
      <c r="H1962" s="2" t="s">
        <v>3301</v>
      </c>
      <c r="I1962" s="2">
        <v>5.54</v>
      </c>
    </row>
    <row r="1963" spans="1:9" x14ac:dyDescent="0.25">
      <c r="A1963" s="1" t="s">
        <v>3302</v>
      </c>
      <c r="B1963" t="s">
        <v>3303</v>
      </c>
      <c r="C1963" s="1" t="s">
        <v>1249</v>
      </c>
      <c r="D1963" s="1" t="s">
        <v>1249</v>
      </c>
      <c r="E1963" t="s">
        <v>3296</v>
      </c>
      <c r="F1963" s="2" t="s">
        <v>1251</v>
      </c>
      <c r="G1963" t="s">
        <v>1252</v>
      </c>
      <c r="H1963" s="2" t="s">
        <v>3304</v>
      </c>
      <c r="I1963" s="2">
        <v>0.96</v>
      </c>
    </row>
    <row r="1964" spans="1:9" x14ac:dyDescent="0.25">
      <c r="A1964" s="1" t="s">
        <v>3302</v>
      </c>
      <c r="B1964" t="s">
        <v>3303</v>
      </c>
      <c r="C1964" s="1" t="s">
        <v>3298</v>
      </c>
      <c r="D1964" s="1" t="s">
        <v>3298</v>
      </c>
      <c r="E1964" t="s">
        <v>3299</v>
      </c>
      <c r="F1964" s="2" t="s">
        <v>3300</v>
      </c>
      <c r="G1964" t="s">
        <v>435</v>
      </c>
      <c r="H1964" s="2" t="s">
        <v>50</v>
      </c>
      <c r="I1964" s="2">
        <v>0.75</v>
      </c>
    </row>
    <row r="1965" spans="1:9" x14ac:dyDescent="0.25">
      <c r="A1965" s="1" t="s">
        <v>3302</v>
      </c>
      <c r="B1965" t="s">
        <v>3303</v>
      </c>
      <c r="C1965" s="1" t="s">
        <v>541</v>
      </c>
      <c r="D1965" s="1" t="s">
        <v>541</v>
      </c>
      <c r="E1965" t="s">
        <v>542</v>
      </c>
      <c r="F1965" s="2" t="s">
        <v>9</v>
      </c>
      <c r="G1965" t="s">
        <v>10</v>
      </c>
      <c r="H1965" s="2" t="s">
        <v>19</v>
      </c>
      <c r="I1965" s="2">
        <v>4.5999999999999996</v>
      </c>
    </row>
    <row r="1966" spans="1:9" x14ac:dyDescent="0.25">
      <c r="A1966" s="1" t="s">
        <v>3305</v>
      </c>
      <c r="B1966" t="s">
        <v>3306</v>
      </c>
      <c r="C1966" s="1" t="s">
        <v>1249</v>
      </c>
      <c r="D1966" s="1" t="s">
        <v>1249</v>
      </c>
      <c r="E1966" t="s">
        <v>3296</v>
      </c>
      <c r="F1966" s="2" t="s">
        <v>1251</v>
      </c>
      <c r="G1966" t="s">
        <v>1252</v>
      </c>
      <c r="H1966" s="2" t="s">
        <v>3304</v>
      </c>
      <c r="I1966" s="2">
        <v>0.96</v>
      </c>
    </row>
    <row r="1967" spans="1:9" x14ac:dyDescent="0.25">
      <c r="A1967" s="1" t="s">
        <v>3305</v>
      </c>
      <c r="B1967" t="s">
        <v>3306</v>
      </c>
      <c r="C1967" s="1" t="s">
        <v>1989</v>
      </c>
      <c r="D1967" s="1" t="s">
        <v>1989</v>
      </c>
      <c r="E1967" t="s">
        <v>1990</v>
      </c>
      <c r="F1967" s="2" t="s">
        <v>1991</v>
      </c>
      <c r="G1967" t="s">
        <v>435</v>
      </c>
      <c r="H1967" s="2" t="s">
        <v>3307</v>
      </c>
      <c r="I1967" s="2">
        <v>0.55000000000000004</v>
      </c>
    </row>
    <row r="1968" spans="1:9" x14ac:dyDescent="0.25">
      <c r="A1968" s="1" t="s">
        <v>3305</v>
      </c>
      <c r="B1968" t="s">
        <v>3306</v>
      </c>
      <c r="C1968" s="1" t="s">
        <v>541</v>
      </c>
      <c r="D1968" s="1" t="s">
        <v>541</v>
      </c>
      <c r="E1968" t="s">
        <v>542</v>
      </c>
      <c r="F1968" s="2" t="s">
        <v>9</v>
      </c>
      <c r="G1968" t="s">
        <v>10</v>
      </c>
      <c r="H1968" s="2" t="s">
        <v>3301</v>
      </c>
      <c r="I1968" s="2">
        <v>5.54</v>
      </c>
    </row>
    <row r="1969" spans="1:9" x14ac:dyDescent="0.25">
      <c r="A1969" s="1" t="s">
        <v>3308</v>
      </c>
      <c r="B1969" t="s">
        <v>3309</v>
      </c>
      <c r="C1969" s="1" t="s">
        <v>1249</v>
      </c>
      <c r="D1969" s="1" t="s">
        <v>1249</v>
      </c>
      <c r="E1969" t="s">
        <v>3296</v>
      </c>
      <c r="F1969" s="2" t="s">
        <v>1251</v>
      </c>
      <c r="G1969" t="s">
        <v>1252</v>
      </c>
      <c r="H1969" s="2" t="s">
        <v>3304</v>
      </c>
      <c r="I1969" s="2">
        <v>0.96</v>
      </c>
    </row>
    <row r="1970" spans="1:9" x14ac:dyDescent="0.25">
      <c r="A1970" s="1" t="s">
        <v>3308</v>
      </c>
      <c r="B1970" t="s">
        <v>3309</v>
      </c>
      <c r="C1970" s="1" t="s">
        <v>3298</v>
      </c>
      <c r="D1970" s="1" t="s">
        <v>3298</v>
      </c>
      <c r="E1970" t="s">
        <v>3299</v>
      </c>
      <c r="F1970" s="2" t="s">
        <v>3300</v>
      </c>
      <c r="G1970" t="s">
        <v>435</v>
      </c>
      <c r="H1970" s="2" t="s">
        <v>3310</v>
      </c>
      <c r="I1970" s="2">
        <v>0.35</v>
      </c>
    </row>
    <row r="1971" spans="1:9" x14ac:dyDescent="0.25">
      <c r="A1971" s="1" t="s">
        <v>3308</v>
      </c>
      <c r="B1971" t="s">
        <v>3309</v>
      </c>
      <c r="C1971" s="1" t="s">
        <v>541</v>
      </c>
      <c r="D1971" s="1" t="s">
        <v>541</v>
      </c>
      <c r="E1971" t="s">
        <v>542</v>
      </c>
      <c r="F1971" s="2" t="s">
        <v>9</v>
      </c>
      <c r="G1971" t="s">
        <v>10</v>
      </c>
      <c r="H1971" s="2" t="s">
        <v>594</v>
      </c>
      <c r="I1971" s="2">
        <v>11.5</v>
      </c>
    </row>
    <row r="1972" spans="1:9" x14ac:dyDescent="0.25">
      <c r="A1972" s="1" t="s">
        <v>3311</v>
      </c>
      <c r="B1972" t="s">
        <v>3312</v>
      </c>
      <c r="C1972" s="1" t="s">
        <v>1249</v>
      </c>
      <c r="D1972" s="1" t="s">
        <v>1249</v>
      </c>
      <c r="E1972" t="s">
        <v>3296</v>
      </c>
      <c r="F1972" s="2" t="s">
        <v>1251</v>
      </c>
      <c r="G1972" t="s">
        <v>1252</v>
      </c>
      <c r="H1972" s="2" t="s">
        <v>3304</v>
      </c>
      <c r="I1972" s="2">
        <v>0.96</v>
      </c>
    </row>
    <row r="1973" spans="1:9" x14ac:dyDescent="0.25">
      <c r="A1973" s="1" t="s">
        <v>3311</v>
      </c>
      <c r="B1973" t="s">
        <v>3312</v>
      </c>
      <c r="C1973" s="1" t="s">
        <v>3298</v>
      </c>
      <c r="D1973" s="1" t="s">
        <v>3298</v>
      </c>
      <c r="E1973" t="s">
        <v>3299</v>
      </c>
      <c r="F1973" s="2" t="s">
        <v>3300</v>
      </c>
      <c r="G1973" t="s">
        <v>435</v>
      </c>
      <c r="H1973" s="2" t="s">
        <v>3313</v>
      </c>
      <c r="I1973" s="2">
        <v>0.4</v>
      </c>
    </row>
    <row r="1974" spans="1:9" x14ac:dyDescent="0.25">
      <c r="A1974" s="1" t="s">
        <v>3311</v>
      </c>
      <c r="B1974" t="s">
        <v>3312</v>
      </c>
      <c r="C1974" s="1" t="s">
        <v>541</v>
      </c>
      <c r="D1974" s="1" t="s">
        <v>541</v>
      </c>
      <c r="E1974" t="s">
        <v>542</v>
      </c>
      <c r="F1974" s="2" t="s">
        <v>9</v>
      </c>
      <c r="G1974" t="s">
        <v>10</v>
      </c>
      <c r="H1974" s="2" t="s">
        <v>3314</v>
      </c>
      <c r="I1974" s="2">
        <v>7.79</v>
      </c>
    </row>
    <row r="1975" spans="1:9" x14ac:dyDescent="0.25">
      <c r="A1975" s="1" t="s">
        <v>3315</v>
      </c>
      <c r="B1975" t="s">
        <v>3316</v>
      </c>
      <c r="C1975" s="1" t="s">
        <v>3317</v>
      </c>
      <c r="D1975" s="1" t="s">
        <v>3317</v>
      </c>
      <c r="E1975" t="s">
        <v>3318</v>
      </c>
      <c r="F1975" s="2" t="s">
        <v>1017</v>
      </c>
      <c r="G1975" t="s">
        <v>5</v>
      </c>
      <c r="H1975" s="2" t="s">
        <v>1209</v>
      </c>
      <c r="I1975" s="2">
        <v>0.25</v>
      </c>
    </row>
    <row r="1976" spans="1:9" x14ac:dyDescent="0.25">
      <c r="A1976" s="1" t="s">
        <v>3315</v>
      </c>
      <c r="B1976" t="s">
        <v>3316</v>
      </c>
      <c r="C1976" s="1" t="s">
        <v>541</v>
      </c>
      <c r="D1976" s="1" t="s">
        <v>541</v>
      </c>
      <c r="E1976" t="s">
        <v>542</v>
      </c>
      <c r="F1976" s="2" t="s">
        <v>9</v>
      </c>
      <c r="G1976" t="s">
        <v>10</v>
      </c>
      <c r="H1976" s="2" t="s">
        <v>3319</v>
      </c>
      <c r="I1976" s="2">
        <v>4.76</v>
      </c>
    </row>
    <row r="1977" spans="1:9" x14ac:dyDescent="0.25">
      <c r="A1977" s="1" t="s">
        <v>3320</v>
      </c>
      <c r="B1977" t="s">
        <v>3321</v>
      </c>
      <c r="C1977" s="1" t="s">
        <v>1249</v>
      </c>
      <c r="D1977" s="1" t="s">
        <v>1249</v>
      </c>
      <c r="E1977" t="s">
        <v>3296</v>
      </c>
      <c r="F1977" s="2" t="s">
        <v>1251</v>
      </c>
      <c r="G1977" t="s">
        <v>1252</v>
      </c>
      <c r="H1977" s="2" t="s">
        <v>3297</v>
      </c>
      <c r="I1977" s="2">
        <v>2.04</v>
      </c>
    </row>
    <row r="1978" spans="1:9" x14ac:dyDescent="0.25">
      <c r="A1978" s="1" t="s">
        <v>3320</v>
      </c>
      <c r="B1978" t="s">
        <v>3321</v>
      </c>
      <c r="C1978" s="1" t="s">
        <v>541</v>
      </c>
      <c r="D1978" s="1" t="s">
        <v>541</v>
      </c>
      <c r="E1978" t="s">
        <v>542</v>
      </c>
      <c r="F1978" s="2" t="s">
        <v>9</v>
      </c>
      <c r="G1978" t="s">
        <v>10</v>
      </c>
      <c r="H1978" s="2" t="s">
        <v>3322</v>
      </c>
      <c r="I1978" s="2">
        <v>5.65</v>
      </c>
    </row>
    <row r="1979" spans="1:9" x14ac:dyDescent="0.25">
      <c r="A1979" s="1" t="s">
        <v>3323</v>
      </c>
      <c r="B1979" t="s">
        <v>3324</v>
      </c>
      <c r="C1979" s="1" t="s">
        <v>1249</v>
      </c>
      <c r="D1979" s="1" t="s">
        <v>1249</v>
      </c>
      <c r="E1979" t="s">
        <v>3296</v>
      </c>
      <c r="F1979" s="2" t="s">
        <v>1251</v>
      </c>
      <c r="G1979" t="s">
        <v>1252</v>
      </c>
      <c r="H1979" s="2" t="s">
        <v>3297</v>
      </c>
      <c r="I1979" s="2">
        <v>2.04</v>
      </c>
    </row>
    <row r="1980" spans="1:9" x14ac:dyDescent="0.25">
      <c r="A1980" s="1" t="s">
        <v>3323</v>
      </c>
      <c r="B1980" t="s">
        <v>3324</v>
      </c>
      <c r="C1980" s="1" t="s">
        <v>541</v>
      </c>
      <c r="D1980" s="1" t="s">
        <v>541</v>
      </c>
      <c r="E1980" t="s">
        <v>542</v>
      </c>
      <c r="F1980" s="2" t="s">
        <v>9</v>
      </c>
      <c r="G1980" t="s">
        <v>10</v>
      </c>
      <c r="H1980" s="2" t="s">
        <v>3325</v>
      </c>
      <c r="I1980" s="2">
        <v>5.12</v>
      </c>
    </row>
    <row r="1981" spans="1:9" x14ac:dyDescent="0.25">
      <c r="A1981" s="1" t="s">
        <v>3326</v>
      </c>
      <c r="B1981" t="s">
        <v>3327</v>
      </c>
      <c r="C1981" s="1" t="s">
        <v>1162</v>
      </c>
      <c r="D1981" s="1" t="s">
        <v>1162</v>
      </c>
      <c r="E1981" t="s">
        <v>1163</v>
      </c>
      <c r="F1981" s="2" t="s">
        <v>1164</v>
      </c>
      <c r="G1981" t="s">
        <v>5</v>
      </c>
      <c r="H1981" s="2" t="s">
        <v>3328</v>
      </c>
      <c r="I1981" s="2">
        <v>0.7</v>
      </c>
    </row>
    <row r="1982" spans="1:9" x14ac:dyDescent="0.25">
      <c r="A1982" s="1" t="s">
        <v>3326</v>
      </c>
      <c r="B1982" t="s">
        <v>3327</v>
      </c>
      <c r="C1982" s="1" t="s">
        <v>7</v>
      </c>
      <c r="D1982" s="1" t="s">
        <v>7</v>
      </c>
      <c r="E1982" t="s">
        <v>8</v>
      </c>
      <c r="F1982" s="2" t="s">
        <v>9</v>
      </c>
      <c r="G1982" t="s">
        <v>10</v>
      </c>
      <c r="H1982" s="2" t="s">
        <v>305</v>
      </c>
      <c r="I1982" s="2">
        <v>4</v>
      </c>
    </row>
    <row r="1983" spans="1:9" x14ac:dyDescent="0.25">
      <c r="A1983" s="1" t="s">
        <v>3329</v>
      </c>
      <c r="B1983" t="s">
        <v>3330</v>
      </c>
      <c r="C1983" s="1" t="s">
        <v>1785</v>
      </c>
      <c r="D1983" s="1" t="s">
        <v>1785</v>
      </c>
      <c r="E1983" t="s">
        <v>1786</v>
      </c>
      <c r="F1983" s="2" t="s">
        <v>216</v>
      </c>
      <c r="G1983" t="s">
        <v>5</v>
      </c>
      <c r="H1983" s="2" t="s">
        <v>367</v>
      </c>
      <c r="I1983" s="2">
        <v>0.35</v>
      </c>
    </row>
    <row r="1984" spans="1:9" x14ac:dyDescent="0.25">
      <c r="A1984" s="1" t="s">
        <v>3329</v>
      </c>
      <c r="B1984" t="s">
        <v>3330</v>
      </c>
      <c r="C1984" s="1" t="s">
        <v>541</v>
      </c>
      <c r="D1984" s="1" t="s">
        <v>541</v>
      </c>
      <c r="E1984" t="s">
        <v>542</v>
      </c>
      <c r="F1984" s="2" t="s">
        <v>9</v>
      </c>
      <c r="G1984" t="s">
        <v>10</v>
      </c>
      <c r="H1984" s="2" t="s">
        <v>601</v>
      </c>
      <c r="I1984" s="2">
        <v>6.9</v>
      </c>
    </row>
    <row r="1985" spans="1:9" x14ac:dyDescent="0.25">
      <c r="A1985" s="1" t="s">
        <v>3331</v>
      </c>
      <c r="B1985" t="s">
        <v>3332</v>
      </c>
      <c r="C1985" s="1" t="s">
        <v>3333</v>
      </c>
      <c r="D1985" s="1" t="s">
        <v>3333</v>
      </c>
      <c r="E1985" t="s">
        <v>3334</v>
      </c>
      <c r="F1985" s="2" t="s">
        <v>140</v>
      </c>
      <c r="G1985" t="s">
        <v>49</v>
      </c>
      <c r="H1985" s="2" t="s">
        <v>50</v>
      </c>
      <c r="I1985" s="2">
        <v>10.75</v>
      </c>
    </row>
    <row r="1986" spans="1:9" x14ac:dyDescent="0.25">
      <c r="A1986" s="1" t="s">
        <v>3331</v>
      </c>
      <c r="B1986" t="s">
        <v>3332</v>
      </c>
      <c r="C1986" s="1" t="s">
        <v>7</v>
      </c>
      <c r="D1986" s="1" t="s">
        <v>7</v>
      </c>
      <c r="E1986" t="s">
        <v>8</v>
      </c>
      <c r="F1986" s="2" t="s">
        <v>9</v>
      </c>
      <c r="G1986" t="s">
        <v>10</v>
      </c>
      <c r="H1986" s="2" t="s">
        <v>3335</v>
      </c>
      <c r="I1986" s="2">
        <v>26.83</v>
      </c>
    </row>
    <row r="1987" spans="1:9" x14ac:dyDescent="0.25">
      <c r="A1987" s="1" t="s">
        <v>3336</v>
      </c>
      <c r="B1987" t="s">
        <v>3337</v>
      </c>
      <c r="C1987" s="1" t="s">
        <v>3280</v>
      </c>
      <c r="D1987" s="1" t="s">
        <v>3280</v>
      </c>
      <c r="E1987" t="s">
        <v>3281</v>
      </c>
      <c r="F1987" s="2" t="s">
        <v>876</v>
      </c>
      <c r="G1987" t="s">
        <v>5</v>
      </c>
      <c r="H1987" s="2" t="s">
        <v>3338</v>
      </c>
      <c r="I1987" s="2">
        <v>7.45</v>
      </c>
    </row>
    <row r="1988" spans="1:9" x14ac:dyDescent="0.25">
      <c r="A1988" s="1" t="s">
        <v>3336</v>
      </c>
      <c r="B1988" t="s">
        <v>3337</v>
      </c>
      <c r="C1988" s="1" t="s">
        <v>7</v>
      </c>
      <c r="D1988" s="1" t="s">
        <v>7</v>
      </c>
      <c r="E1988" t="s">
        <v>8</v>
      </c>
      <c r="F1988" s="2" t="s">
        <v>9</v>
      </c>
      <c r="G1988" t="s">
        <v>10</v>
      </c>
      <c r="H1988" s="2" t="s">
        <v>3339</v>
      </c>
      <c r="I1988" s="2">
        <v>11.85</v>
      </c>
    </row>
    <row r="1989" spans="1:9" x14ac:dyDescent="0.25">
      <c r="A1989" s="1" t="s">
        <v>3340</v>
      </c>
      <c r="B1989" t="s">
        <v>3341</v>
      </c>
      <c r="C1989" s="1" t="s">
        <v>3342</v>
      </c>
      <c r="D1989" s="1" t="s">
        <v>3342</v>
      </c>
      <c r="E1989" t="s">
        <v>3343</v>
      </c>
      <c r="F1989" s="2" t="s">
        <v>3344</v>
      </c>
      <c r="G1989" t="s">
        <v>5</v>
      </c>
      <c r="H1989" s="2" t="s">
        <v>3345</v>
      </c>
      <c r="I1989" s="2">
        <v>11.5</v>
      </c>
    </row>
    <row r="1990" spans="1:9" x14ac:dyDescent="0.25">
      <c r="A1990" s="1" t="s">
        <v>3340</v>
      </c>
      <c r="B1990" t="s">
        <v>3341</v>
      </c>
      <c r="C1990" s="1" t="s">
        <v>7</v>
      </c>
      <c r="D1990" s="1" t="s">
        <v>7</v>
      </c>
      <c r="E1990" t="s">
        <v>8</v>
      </c>
      <c r="F1990" s="2" t="s">
        <v>9</v>
      </c>
      <c r="G1990" t="s">
        <v>10</v>
      </c>
      <c r="H1990" s="2" t="s">
        <v>3346</v>
      </c>
      <c r="I1990" s="2">
        <v>11.19</v>
      </c>
    </row>
    <row r="1991" spans="1:9" x14ac:dyDescent="0.25">
      <c r="A1991" s="1" t="s">
        <v>3347</v>
      </c>
      <c r="B1991" t="s">
        <v>3348</v>
      </c>
      <c r="C1991" s="1" t="s">
        <v>1249</v>
      </c>
      <c r="D1991" s="1" t="s">
        <v>1249</v>
      </c>
      <c r="E1991" t="s">
        <v>1250</v>
      </c>
      <c r="F1991" s="2" t="s">
        <v>1251</v>
      </c>
      <c r="G1991" t="s">
        <v>1252</v>
      </c>
      <c r="H1991" s="2" t="s">
        <v>1253</v>
      </c>
      <c r="I1991" s="2">
        <v>12</v>
      </c>
    </row>
    <row r="1992" spans="1:9" x14ac:dyDescent="0.25">
      <c r="A1992" s="1" t="s">
        <v>3347</v>
      </c>
      <c r="B1992" t="s">
        <v>3348</v>
      </c>
      <c r="C1992" s="1" t="s">
        <v>7</v>
      </c>
      <c r="D1992" s="1" t="s">
        <v>7</v>
      </c>
      <c r="E1992" t="s">
        <v>8</v>
      </c>
      <c r="F1992" s="2" t="s">
        <v>9</v>
      </c>
      <c r="G1992" t="s">
        <v>10</v>
      </c>
      <c r="H1992" s="2" t="s">
        <v>33</v>
      </c>
      <c r="I1992" s="2">
        <v>9.1999999999999993</v>
      </c>
    </row>
    <row r="1993" spans="1:9" x14ac:dyDescent="0.25">
      <c r="A1993" s="1" t="s">
        <v>3347</v>
      </c>
      <c r="B1993" t="s">
        <v>3348</v>
      </c>
      <c r="C1993" s="1" t="s">
        <v>7</v>
      </c>
      <c r="D1993" s="1" t="s">
        <v>7</v>
      </c>
      <c r="E1993" t="s">
        <v>8</v>
      </c>
      <c r="F1993" s="2" t="s">
        <v>9</v>
      </c>
      <c r="G1993" t="s">
        <v>10</v>
      </c>
      <c r="H1993" s="2" t="s">
        <v>594</v>
      </c>
      <c r="I1993" s="2">
        <v>11.5</v>
      </c>
    </row>
    <row r="1994" spans="1:9" x14ac:dyDescent="0.25">
      <c r="A1994" s="1" t="s">
        <v>3349</v>
      </c>
      <c r="B1994" t="s">
        <v>3350</v>
      </c>
      <c r="C1994" s="1" t="s">
        <v>3280</v>
      </c>
      <c r="D1994" s="1" t="s">
        <v>3280</v>
      </c>
      <c r="E1994" t="s">
        <v>3281</v>
      </c>
      <c r="F1994" s="2" t="s">
        <v>876</v>
      </c>
      <c r="G1994" t="s">
        <v>5</v>
      </c>
      <c r="H1994" s="2" t="s">
        <v>3351</v>
      </c>
      <c r="I1994" s="2">
        <v>7.55</v>
      </c>
    </row>
    <row r="1995" spans="1:9" x14ac:dyDescent="0.25">
      <c r="A1995" s="1" t="s">
        <v>3349</v>
      </c>
      <c r="B1995" t="s">
        <v>3350</v>
      </c>
      <c r="C1995" s="1" t="s">
        <v>7</v>
      </c>
      <c r="D1995" s="1" t="s">
        <v>7</v>
      </c>
      <c r="E1995" t="s">
        <v>8</v>
      </c>
      <c r="F1995" s="2" t="s">
        <v>9</v>
      </c>
      <c r="G1995" t="s">
        <v>10</v>
      </c>
      <c r="H1995" s="2" t="s">
        <v>3352</v>
      </c>
      <c r="I1995" s="2">
        <v>11.87</v>
      </c>
    </row>
    <row r="1996" spans="1:9" x14ac:dyDescent="0.25">
      <c r="A1996" s="1" t="s">
        <v>3353</v>
      </c>
      <c r="B1996" t="s">
        <v>3354</v>
      </c>
      <c r="C1996" s="1" t="s">
        <v>3355</v>
      </c>
      <c r="D1996" s="1" t="s">
        <v>3355</v>
      </c>
      <c r="E1996" t="s">
        <v>3356</v>
      </c>
      <c r="F1996" s="2" t="s">
        <v>70</v>
      </c>
      <c r="G1996" t="s">
        <v>5</v>
      </c>
      <c r="H1996" s="2" t="s">
        <v>3357</v>
      </c>
      <c r="I1996" s="2">
        <v>2.35</v>
      </c>
    </row>
    <row r="1997" spans="1:9" x14ac:dyDescent="0.25">
      <c r="A1997" s="1" t="s">
        <v>3353</v>
      </c>
      <c r="B1997" t="s">
        <v>3354</v>
      </c>
      <c r="C1997" s="1" t="s">
        <v>541</v>
      </c>
      <c r="D1997" s="1" t="s">
        <v>541</v>
      </c>
      <c r="E1997" t="s">
        <v>542</v>
      </c>
      <c r="F1997" s="2" t="s">
        <v>811</v>
      </c>
      <c r="G1997" t="s">
        <v>10</v>
      </c>
      <c r="H1997" s="2" t="s">
        <v>607</v>
      </c>
      <c r="I1997" s="2">
        <v>51</v>
      </c>
    </row>
    <row r="1998" spans="1:9" x14ac:dyDescent="0.25">
      <c r="A1998" s="1" t="s">
        <v>3358</v>
      </c>
      <c r="B1998" t="s">
        <v>3359</v>
      </c>
      <c r="C1998" s="1" t="s">
        <v>1487</v>
      </c>
      <c r="D1998" s="1" t="s">
        <v>1487</v>
      </c>
      <c r="E1998" t="s">
        <v>1488</v>
      </c>
      <c r="F1998" s="2" t="s">
        <v>31</v>
      </c>
      <c r="G1998" t="s">
        <v>5</v>
      </c>
      <c r="H1998" s="2" t="s">
        <v>3360</v>
      </c>
      <c r="I1998" s="2">
        <v>1.2</v>
      </c>
    </row>
    <row r="1999" spans="1:9" x14ac:dyDescent="0.25">
      <c r="A1999" s="1" t="s">
        <v>3358</v>
      </c>
      <c r="B1999" t="s">
        <v>3359</v>
      </c>
      <c r="C1999" s="1" t="s">
        <v>432</v>
      </c>
      <c r="D1999" s="1" t="s">
        <v>432</v>
      </c>
      <c r="E1999" t="s">
        <v>433</v>
      </c>
      <c r="F1999" s="2" t="s">
        <v>434</v>
      </c>
      <c r="G1999" t="s">
        <v>435</v>
      </c>
      <c r="H1999" s="2" t="s">
        <v>50</v>
      </c>
      <c r="I1999" s="2">
        <v>1.1000000000000001</v>
      </c>
    </row>
    <row r="2000" spans="1:9" x14ac:dyDescent="0.25">
      <c r="A2000" s="1" t="s">
        <v>3358</v>
      </c>
      <c r="B2000" t="s">
        <v>3359</v>
      </c>
      <c r="C2000" s="1" t="s">
        <v>541</v>
      </c>
      <c r="D2000" s="1" t="s">
        <v>541</v>
      </c>
      <c r="E2000" t="s">
        <v>542</v>
      </c>
      <c r="F2000" s="2" t="s">
        <v>811</v>
      </c>
      <c r="G2000" t="s">
        <v>10</v>
      </c>
      <c r="H2000" s="2" t="s">
        <v>3277</v>
      </c>
      <c r="I2000" s="2">
        <v>26.81</v>
      </c>
    </row>
    <row r="2001" spans="1:9" x14ac:dyDescent="0.25">
      <c r="A2001" s="1" t="s">
        <v>3361</v>
      </c>
      <c r="B2001" t="s">
        <v>3362</v>
      </c>
      <c r="C2001" s="1" t="s">
        <v>3363</v>
      </c>
      <c r="D2001" s="1" t="s">
        <v>3363</v>
      </c>
      <c r="E2001" t="s">
        <v>3364</v>
      </c>
      <c r="F2001" s="2" t="s">
        <v>3365</v>
      </c>
      <c r="G2001" t="s">
        <v>17</v>
      </c>
      <c r="H2001" s="2" t="s">
        <v>3366</v>
      </c>
      <c r="I2001" s="2">
        <v>4.1500000000000004</v>
      </c>
    </row>
    <row r="2002" spans="1:9" x14ac:dyDescent="0.25">
      <c r="A2002" s="1" t="s">
        <v>3361</v>
      </c>
      <c r="B2002" t="s">
        <v>3362</v>
      </c>
      <c r="C2002" s="1" t="s">
        <v>541</v>
      </c>
      <c r="D2002" s="1" t="s">
        <v>541</v>
      </c>
      <c r="E2002" t="s">
        <v>542</v>
      </c>
      <c r="F2002" s="2" t="s">
        <v>9</v>
      </c>
      <c r="G2002" t="s">
        <v>10</v>
      </c>
      <c r="H2002" s="2" t="s">
        <v>3074</v>
      </c>
      <c r="I2002" s="2">
        <v>7.67</v>
      </c>
    </row>
    <row r="2003" spans="1:9" x14ac:dyDescent="0.25">
      <c r="A2003" s="1" t="s">
        <v>3367</v>
      </c>
      <c r="B2003" t="s">
        <v>3368</v>
      </c>
      <c r="C2003" s="1" t="s">
        <v>2553</v>
      </c>
      <c r="D2003" s="1" t="s">
        <v>2553</v>
      </c>
      <c r="E2003" t="s">
        <v>3369</v>
      </c>
      <c r="F2003" s="2" t="s">
        <v>3370</v>
      </c>
      <c r="G2003" t="s">
        <v>49</v>
      </c>
      <c r="H2003" s="2" t="s">
        <v>50</v>
      </c>
      <c r="I2003" s="2">
        <v>143</v>
      </c>
    </row>
    <row r="2004" spans="1:9" x14ac:dyDescent="0.25">
      <c r="A2004" s="1" t="s">
        <v>3367</v>
      </c>
      <c r="B2004" t="s">
        <v>3368</v>
      </c>
      <c r="C2004" s="1" t="s">
        <v>541</v>
      </c>
      <c r="D2004" s="1" t="s">
        <v>541</v>
      </c>
      <c r="E2004" t="s">
        <v>542</v>
      </c>
      <c r="F2004" s="2" t="s">
        <v>9</v>
      </c>
      <c r="G2004" t="s">
        <v>10</v>
      </c>
      <c r="H2004" s="2" t="s">
        <v>3371</v>
      </c>
      <c r="I2004" s="2">
        <v>58.97</v>
      </c>
    </row>
    <row r="2005" spans="1:9" x14ac:dyDescent="0.25">
      <c r="A2005" s="1" t="s">
        <v>3372</v>
      </c>
      <c r="B2005" t="s">
        <v>3373</v>
      </c>
      <c r="C2005" s="1" t="s">
        <v>2564</v>
      </c>
      <c r="D2005" s="1" t="s">
        <v>2564</v>
      </c>
      <c r="E2005" t="s">
        <v>3374</v>
      </c>
      <c r="F2005" s="2" t="s">
        <v>3375</v>
      </c>
      <c r="G2005" t="s">
        <v>49</v>
      </c>
      <c r="H2005" s="2" t="s">
        <v>50</v>
      </c>
      <c r="I2005" s="2">
        <v>3780.4</v>
      </c>
    </row>
    <row r="2006" spans="1:9" x14ac:dyDescent="0.25">
      <c r="A2006" s="1" t="s">
        <v>3372</v>
      </c>
      <c r="B2006" t="s">
        <v>3373</v>
      </c>
      <c r="C2006" s="1" t="s">
        <v>541</v>
      </c>
      <c r="D2006" s="1" t="s">
        <v>541</v>
      </c>
      <c r="E2006" t="s">
        <v>542</v>
      </c>
      <c r="F2006" s="2" t="s">
        <v>9</v>
      </c>
      <c r="G2006" t="s">
        <v>10</v>
      </c>
      <c r="H2006" s="2" t="s">
        <v>3371</v>
      </c>
      <c r="I2006" s="2">
        <v>58.97</v>
      </c>
    </row>
    <row r="2007" spans="1:9" x14ac:dyDescent="0.25">
      <c r="A2007" s="1" t="s">
        <v>3376</v>
      </c>
      <c r="B2007" t="s">
        <v>3377</v>
      </c>
      <c r="C2007" s="1" t="s">
        <v>684</v>
      </c>
      <c r="D2007" s="1" t="s">
        <v>684</v>
      </c>
      <c r="E2007" t="s">
        <v>685</v>
      </c>
      <c r="F2007" s="2" t="s">
        <v>686</v>
      </c>
      <c r="G2007" t="s">
        <v>49</v>
      </c>
      <c r="H2007" s="2" t="s">
        <v>3378</v>
      </c>
      <c r="I2007" s="2">
        <v>173.4</v>
      </c>
    </row>
    <row r="2008" spans="1:9" x14ac:dyDescent="0.25">
      <c r="A2008" s="1" t="s">
        <v>3376</v>
      </c>
      <c r="B2008" t="s">
        <v>3377</v>
      </c>
      <c r="C2008" s="1" t="s">
        <v>7</v>
      </c>
      <c r="D2008" s="1" t="s">
        <v>7</v>
      </c>
      <c r="E2008" t="s">
        <v>8</v>
      </c>
      <c r="F2008" s="2" t="s">
        <v>9</v>
      </c>
      <c r="G2008" t="s">
        <v>10</v>
      </c>
      <c r="H2008" s="2" t="s">
        <v>3379</v>
      </c>
      <c r="I2008" s="2">
        <v>241.5</v>
      </c>
    </row>
    <row r="2009" spans="1:9" x14ac:dyDescent="0.25">
      <c r="A2009" s="1" t="s">
        <v>3380</v>
      </c>
      <c r="B2009" t="s">
        <v>3381</v>
      </c>
      <c r="C2009" s="1" t="s">
        <v>1074</v>
      </c>
      <c r="D2009" s="1" t="s">
        <v>1074</v>
      </c>
      <c r="E2009" t="s">
        <v>1075</v>
      </c>
      <c r="F2009" s="2" t="s">
        <v>1076</v>
      </c>
      <c r="G2009" t="s">
        <v>5</v>
      </c>
      <c r="H2009" s="2" t="s">
        <v>1077</v>
      </c>
      <c r="I2009" s="2">
        <v>0.13</v>
      </c>
    </row>
    <row r="2010" spans="1:9" x14ac:dyDescent="0.25">
      <c r="A2010" s="1" t="s">
        <v>3380</v>
      </c>
      <c r="B2010" t="s">
        <v>3381</v>
      </c>
      <c r="C2010" s="1" t="s">
        <v>3382</v>
      </c>
      <c r="D2010" s="1" t="s">
        <v>3382</v>
      </c>
      <c r="E2010" t="s">
        <v>3383</v>
      </c>
      <c r="F2010" s="2" t="s">
        <v>3384</v>
      </c>
      <c r="G2010" t="s">
        <v>5</v>
      </c>
      <c r="H2010" s="2" t="s">
        <v>3385</v>
      </c>
      <c r="I2010" s="2">
        <v>0.31</v>
      </c>
    </row>
    <row r="2011" spans="1:9" x14ac:dyDescent="0.25">
      <c r="A2011" s="1" t="s">
        <v>3380</v>
      </c>
      <c r="B2011" t="s">
        <v>3381</v>
      </c>
      <c r="C2011" s="1" t="s">
        <v>1078</v>
      </c>
      <c r="D2011" s="1" t="s">
        <v>1078</v>
      </c>
      <c r="E2011" t="s">
        <v>1079</v>
      </c>
      <c r="F2011" s="2" t="s">
        <v>1080</v>
      </c>
      <c r="G2011" t="s">
        <v>5</v>
      </c>
      <c r="H2011" s="2" t="s">
        <v>3386</v>
      </c>
      <c r="I2011" s="2">
        <v>0.51</v>
      </c>
    </row>
    <row r="2012" spans="1:9" x14ac:dyDescent="0.25">
      <c r="A2012" s="1" t="s">
        <v>3380</v>
      </c>
      <c r="B2012" t="s">
        <v>3381</v>
      </c>
      <c r="C2012" s="1" t="s">
        <v>3387</v>
      </c>
      <c r="D2012" s="1" t="s">
        <v>3387</v>
      </c>
      <c r="E2012" t="s">
        <v>3388</v>
      </c>
      <c r="F2012" s="2" t="s">
        <v>2383</v>
      </c>
      <c r="G2012" t="s">
        <v>49</v>
      </c>
      <c r="H2012" s="2" t="s">
        <v>92</v>
      </c>
      <c r="I2012" s="2">
        <v>0.1</v>
      </c>
    </row>
    <row r="2013" spans="1:9" x14ac:dyDescent="0.25">
      <c r="A2013" s="1" t="s">
        <v>3380</v>
      </c>
      <c r="B2013" t="s">
        <v>3381</v>
      </c>
      <c r="C2013" s="1" t="s">
        <v>3389</v>
      </c>
      <c r="D2013" s="1" t="s">
        <v>3389</v>
      </c>
      <c r="E2013" t="s">
        <v>3390</v>
      </c>
      <c r="F2013" s="2" t="s">
        <v>3391</v>
      </c>
      <c r="G2013" t="s">
        <v>49</v>
      </c>
      <c r="H2013" s="2" t="s">
        <v>92</v>
      </c>
      <c r="I2013" s="2">
        <v>0.04</v>
      </c>
    </row>
    <row r="2014" spans="1:9" x14ac:dyDescent="0.25">
      <c r="A2014" s="1" t="s">
        <v>3380</v>
      </c>
      <c r="B2014" t="s">
        <v>3381</v>
      </c>
      <c r="C2014" s="1" t="s">
        <v>1082</v>
      </c>
      <c r="D2014" s="1" t="s">
        <v>1082</v>
      </c>
      <c r="E2014" t="s">
        <v>1083</v>
      </c>
      <c r="F2014" s="2" t="s">
        <v>1084</v>
      </c>
      <c r="G2014" t="s">
        <v>121</v>
      </c>
      <c r="H2014" s="2" t="s">
        <v>50</v>
      </c>
      <c r="I2014" s="2">
        <v>0.84</v>
      </c>
    </row>
    <row r="2015" spans="1:9" x14ac:dyDescent="0.25">
      <c r="A2015" s="1" t="s">
        <v>3380</v>
      </c>
      <c r="B2015" t="s">
        <v>3381</v>
      </c>
      <c r="C2015" s="1" t="s">
        <v>1085</v>
      </c>
      <c r="D2015" s="1" t="s">
        <v>1085</v>
      </c>
      <c r="E2015" t="s">
        <v>1086</v>
      </c>
      <c r="F2015" s="2" t="s">
        <v>1087</v>
      </c>
      <c r="G2015" t="s">
        <v>121</v>
      </c>
      <c r="H2015" s="2" t="s">
        <v>50</v>
      </c>
      <c r="I2015" s="2">
        <v>0.17</v>
      </c>
    </row>
    <row r="2016" spans="1:9" x14ac:dyDescent="0.25">
      <c r="A2016" s="1" t="s">
        <v>3380</v>
      </c>
      <c r="B2016" t="s">
        <v>3381</v>
      </c>
      <c r="C2016" s="1" t="s">
        <v>41</v>
      </c>
      <c r="D2016" s="1" t="s">
        <v>41</v>
      </c>
      <c r="E2016" t="s">
        <v>42</v>
      </c>
      <c r="F2016" s="2" t="s">
        <v>43</v>
      </c>
      <c r="G2016" t="s">
        <v>5</v>
      </c>
      <c r="H2016" s="2" t="s">
        <v>3392</v>
      </c>
      <c r="I2016" s="2">
        <v>0.09</v>
      </c>
    </row>
    <row r="2017" spans="1:10" x14ac:dyDescent="0.25">
      <c r="A2017" s="1" t="s">
        <v>3380</v>
      </c>
      <c r="B2017" t="s">
        <v>3381</v>
      </c>
      <c r="C2017" s="1" t="s">
        <v>1088</v>
      </c>
      <c r="D2017" s="1" t="s">
        <v>1088</v>
      </c>
      <c r="E2017" t="s">
        <v>1089</v>
      </c>
      <c r="F2017" s="2" t="s">
        <v>1090</v>
      </c>
      <c r="G2017" t="s">
        <v>121</v>
      </c>
      <c r="H2017" s="2" t="s">
        <v>50</v>
      </c>
      <c r="I2017" s="2">
        <v>0.1</v>
      </c>
    </row>
    <row r="2018" spans="1:10" x14ac:dyDescent="0.25">
      <c r="A2018" s="1" t="s">
        <v>3380</v>
      </c>
      <c r="B2018" t="s">
        <v>3381</v>
      </c>
      <c r="C2018" s="1" t="s">
        <v>1091</v>
      </c>
      <c r="D2018" s="1" t="s">
        <v>1091</v>
      </c>
      <c r="E2018" t="s">
        <v>1092</v>
      </c>
      <c r="F2018" s="2" t="s">
        <v>1093</v>
      </c>
      <c r="G2018" t="s">
        <v>121</v>
      </c>
      <c r="H2018" s="2" t="s">
        <v>50</v>
      </c>
      <c r="I2018" s="2">
        <v>20.45</v>
      </c>
      <c r="J2018" t="s">
        <v>55</v>
      </c>
    </row>
    <row r="2019" spans="1:10" x14ac:dyDescent="0.25">
      <c r="A2019" s="1" t="s">
        <v>3380</v>
      </c>
      <c r="B2019" t="s">
        <v>3381</v>
      </c>
      <c r="C2019" s="1" t="s">
        <v>7</v>
      </c>
      <c r="D2019" s="1" t="s">
        <v>7</v>
      </c>
      <c r="E2019" t="s">
        <v>8</v>
      </c>
      <c r="F2019" s="2" t="s">
        <v>9</v>
      </c>
      <c r="G2019" t="s">
        <v>10</v>
      </c>
      <c r="H2019" s="2" t="s">
        <v>3393</v>
      </c>
      <c r="I2019" s="2">
        <v>2.4300000000000002</v>
      </c>
    </row>
    <row r="2020" spans="1:10" x14ac:dyDescent="0.25">
      <c r="A2020" s="1" t="s">
        <v>3394</v>
      </c>
      <c r="B2020" t="s">
        <v>3395</v>
      </c>
      <c r="C2020" s="1" t="s">
        <v>1123</v>
      </c>
      <c r="D2020" s="1" t="s">
        <v>1123</v>
      </c>
      <c r="E2020" t="s">
        <v>1124</v>
      </c>
      <c r="F2020" s="2" t="s">
        <v>70</v>
      </c>
      <c r="G2020" t="s">
        <v>5</v>
      </c>
      <c r="H2020" s="2" t="s">
        <v>3396</v>
      </c>
      <c r="I2020" s="2">
        <v>1.3</v>
      </c>
    </row>
    <row r="2021" spans="1:10" x14ac:dyDescent="0.25">
      <c r="A2021" s="1" t="s">
        <v>3394</v>
      </c>
      <c r="B2021" t="s">
        <v>3395</v>
      </c>
      <c r="C2021" s="1" t="s">
        <v>541</v>
      </c>
      <c r="D2021" s="1" t="s">
        <v>541</v>
      </c>
      <c r="E2021" t="s">
        <v>542</v>
      </c>
      <c r="F2021" s="2" t="s">
        <v>9</v>
      </c>
      <c r="G2021" t="s">
        <v>10</v>
      </c>
      <c r="H2021" s="2" t="s">
        <v>3397</v>
      </c>
      <c r="I2021" s="2">
        <v>5.96</v>
      </c>
    </row>
    <row r="2022" spans="1:10" x14ac:dyDescent="0.25">
      <c r="A2022" s="1" t="s">
        <v>3398</v>
      </c>
      <c r="B2022" t="s">
        <v>3399</v>
      </c>
      <c r="C2022" s="1" t="s">
        <v>1547</v>
      </c>
      <c r="D2022" s="1" t="s">
        <v>1547</v>
      </c>
      <c r="E2022" t="s">
        <v>1548</v>
      </c>
      <c r="F2022" s="2" t="s">
        <v>216</v>
      </c>
      <c r="G2022" t="s">
        <v>5</v>
      </c>
      <c r="H2022" s="2" t="s">
        <v>3400</v>
      </c>
      <c r="I2022" s="2">
        <v>2.15</v>
      </c>
    </row>
    <row r="2023" spans="1:10" x14ac:dyDescent="0.25">
      <c r="A2023" s="1" t="s">
        <v>3398</v>
      </c>
      <c r="B2023" t="s">
        <v>3399</v>
      </c>
      <c r="C2023" s="1" t="s">
        <v>7</v>
      </c>
      <c r="D2023" s="1" t="s">
        <v>7</v>
      </c>
      <c r="E2023" t="s">
        <v>8</v>
      </c>
      <c r="F2023" s="2" t="s">
        <v>9</v>
      </c>
      <c r="G2023" t="s">
        <v>10</v>
      </c>
      <c r="H2023" s="2" t="s">
        <v>3401</v>
      </c>
      <c r="I2023" s="2">
        <v>5.91</v>
      </c>
    </row>
    <row r="2024" spans="1:10" x14ac:dyDescent="0.25">
      <c r="A2024" s="1" t="s">
        <v>3402</v>
      </c>
      <c r="B2024" t="s">
        <v>3403</v>
      </c>
      <c r="C2024" s="1" t="s">
        <v>1123</v>
      </c>
      <c r="D2024" s="1" t="s">
        <v>1123</v>
      </c>
      <c r="E2024" t="s">
        <v>1124</v>
      </c>
      <c r="F2024" s="2" t="s">
        <v>70</v>
      </c>
      <c r="G2024" t="s">
        <v>5</v>
      </c>
      <c r="H2024" s="2" t="s">
        <v>3404</v>
      </c>
      <c r="I2024" s="2">
        <v>1.1000000000000001</v>
      </c>
    </row>
    <row r="2025" spans="1:10" x14ac:dyDescent="0.25">
      <c r="A2025" s="1" t="s">
        <v>3402</v>
      </c>
      <c r="B2025" t="s">
        <v>3403</v>
      </c>
      <c r="C2025" s="1" t="s">
        <v>7</v>
      </c>
      <c r="D2025" s="1" t="s">
        <v>7</v>
      </c>
      <c r="E2025" t="s">
        <v>8</v>
      </c>
      <c r="F2025" s="2" t="s">
        <v>9</v>
      </c>
      <c r="G2025" t="s">
        <v>10</v>
      </c>
      <c r="H2025" s="2" t="s">
        <v>3397</v>
      </c>
      <c r="I2025" s="2">
        <v>5.96</v>
      </c>
    </row>
    <row r="2026" spans="1:10" x14ac:dyDescent="0.25">
      <c r="A2026" s="1" t="s">
        <v>3405</v>
      </c>
      <c r="B2026" t="s">
        <v>3406</v>
      </c>
      <c r="C2026" s="1" t="s">
        <v>3407</v>
      </c>
      <c r="D2026" s="1" t="s">
        <v>3407</v>
      </c>
      <c r="E2026" t="s">
        <v>3408</v>
      </c>
      <c r="F2026" s="2" t="s">
        <v>70</v>
      </c>
      <c r="G2026" t="s">
        <v>5</v>
      </c>
      <c r="H2026" s="2" t="s">
        <v>447</v>
      </c>
      <c r="I2026" s="2">
        <v>0.1</v>
      </c>
    </row>
    <row r="2027" spans="1:10" x14ac:dyDescent="0.25">
      <c r="A2027" s="1" t="s">
        <v>3405</v>
      </c>
      <c r="B2027" t="s">
        <v>3406</v>
      </c>
      <c r="C2027" s="1" t="s">
        <v>7</v>
      </c>
      <c r="D2027" s="1" t="s">
        <v>7</v>
      </c>
      <c r="E2027" t="s">
        <v>8</v>
      </c>
      <c r="F2027" s="2" t="s">
        <v>9</v>
      </c>
      <c r="G2027" t="s">
        <v>10</v>
      </c>
      <c r="H2027" s="2" t="s">
        <v>3409</v>
      </c>
      <c r="I2027" s="2">
        <v>5.91</v>
      </c>
    </row>
    <row r="2028" spans="1:10" x14ac:dyDescent="0.25">
      <c r="A2028" s="1" t="s">
        <v>3410</v>
      </c>
      <c r="B2028" t="s">
        <v>3411</v>
      </c>
      <c r="C2028" s="1" t="s">
        <v>29</v>
      </c>
      <c r="D2028" s="1" t="s">
        <v>29</v>
      </c>
      <c r="E2028" t="s">
        <v>30</v>
      </c>
      <c r="F2028" s="2" t="s">
        <v>31</v>
      </c>
      <c r="G2028" t="s">
        <v>5</v>
      </c>
      <c r="H2028" s="2" t="s">
        <v>32</v>
      </c>
      <c r="I2028" s="2">
        <v>0.75</v>
      </c>
    </row>
    <row r="2029" spans="1:10" x14ac:dyDescent="0.25">
      <c r="A2029" s="1" t="s">
        <v>3410</v>
      </c>
      <c r="B2029" t="s">
        <v>3411</v>
      </c>
      <c r="C2029" s="1" t="s">
        <v>7</v>
      </c>
      <c r="D2029" s="1" t="s">
        <v>7</v>
      </c>
      <c r="E2029" t="s">
        <v>8</v>
      </c>
      <c r="F2029" s="2" t="s">
        <v>9</v>
      </c>
      <c r="G2029" t="s">
        <v>10</v>
      </c>
      <c r="H2029" s="2" t="s">
        <v>3401</v>
      </c>
      <c r="I2029" s="2">
        <v>5.91</v>
      </c>
    </row>
    <row r="2030" spans="1:10" x14ac:dyDescent="0.25">
      <c r="A2030" s="1" t="s">
        <v>3412</v>
      </c>
      <c r="B2030" t="s">
        <v>3413</v>
      </c>
      <c r="C2030" s="1" t="s">
        <v>1487</v>
      </c>
      <c r="D2030" s="1" t="s">
        <v>1487</v>
      </c>
      <c r="E2030" t="s">
        <v>1488</v>
      </c>
      <c r="F2030" s="2" t="s">
        <v>31</v>
      </c>
      <c r="G2030" t="s">
        <v>5</v>
      </c>
      <c r="H2030" s="2" t="s">
        <v>1851</v>
      </c>
      <c r="I2030" s="2">
        <v>4.45</v>
      </c>
    </row>
    <row r="2031" spans="1:10" x14ac:dyDescent="0.25">
      <c r="A2031" s="1" t="s">
        <v>3412</v>
      </c>
      <c r="B2031" t="s">
        <v>3413</v>
      </c>
      <c r="C2031" s="1" t="s">
        <v>432</v>
      </c>
      <c r="D2031" s="1" t="s">
        <v>432</v>
      </c>
      <c r="E2031" t="s">
        <v>433</v>
      </c>
      <c r="F2031" s="2" t="s">
        <v>434</v>
      </c>
      <c r="G2031" t="s">
        <v>435</v>
      </c>
      <c r="H2031" s="2" t="s">
        <v>50</v>
      </c>
      <c r="I2031" s="2">
        <v>1.1000000000000001</v>
      </c>
    </row>
    <row r="2032" spans="1:10" x14ac:dyDescent="0.25">
      <c r="A2032" s="1" t="s">
        <v>3412</v>
      </c>
      <c r="B2032" t="s">
        <v>3413</v>
      </c>
      <c r="C2032" s="1" t="s">
        <v>541</v>
      </c>
      <c r="D2032" s="1" t="s">
        <v>541</v>
      </c>
      <c r="E2032" t="s">
        <v>542</v>
      </c>
      <c r="F2032" s="2" t="s">
        <v>9</v>
      </c>
      <c r="G2032" t="s">
        <v>10</v>
      </c>
      <c r="H2032" s="2" t="s">
        <v>2537</v>
      </c>
      <c r="I2032" s="2">
        <v>7.19</v>
      </c>
    </row>
    <row r="2033" spans="1:9" x14ac:dyDescent="0.25">
      <c r="A2033" s="1" t="s">
        <v>3414</v>
      </c>
      <c r="B2033" t="s">
        <v>3415</v>
      </c>
      <c r="C2033" s="1" t="s">
        <v>2961</v>
      </c>
      <c r="D2033" s="1" t="s">
        <v>2961</v>
      </c>
      <c r="E2033" t="s">
        <v>2962</v>
      </c>
      <c r="F2033" s="2" t="s">
        <v>2963</v>
      </c>
      <c r="G2033" t="s">
        <v>5</v>
      </c>
      <c r="H2033" s="2" t="s">
        <v>601</v>
      </c>
      <c r="I2033" s="2">
        <v>1.58</v>
      </c>
    </row>
    <row r="2034" spans="1:9" x14ac:dyDescent="0.25">
      <c r="A2034" s="1" t="s">
        <v>3414</v>
      </c>
      <c r="B2034" t="s">
        <v>3415</v>
      </c>
      <c r="C2034" s="1" t="s">
        <v>432</v>
      </c>
      <c r="D2034" s="1" t="s">
        <v>432</v>
      </c>
      <c r="E2034" t="s">
        <v>433</v>
      </c>
      <c r="F2034" s="2" t="s">
        <v>434</v>
      </c>
      <c r="G2034" t="s">
        <v>435</v>
      </c>
      <c r="H2034" s="2" t="s">
        <v>3416</v>
      </c>
      <c r="I2034" s="2">
        <v>1.34</v>
      </c>
    </row>
    <row r="2035" spans="1:9" x14ac:dyDescent="0.25">
      <c r="A2035" s="1" t="s">
        <v>3414</v>
      </c>
      <c r="B2035" t="s">
        <v>3415</v>
      </c>
      <c r="C2035" s="1" t="s">
        <v>541</v>
      </c>
      <c r="D2035" s="1" t="s">
        <v>541</v>
      </c>
      <c r="E2035" t="s">
        <v>542</v>
      </c>
      <c r="F2035" s="2" t="s">
        <v>9</v>
      </c>
      <c r="G2035" t="s">
        <v>10</v>
      </c>
      <c r="H2035" s="2" t="s">
        <v>3417</v>
      </c>
      <c r="I2035" s="2">
        <v>1.25</v>
      </c>
    </row>
    <row r="2036" spans="1:9" x14ac:dyDescent="0.25">
      <c r="A2036" s="1" t="s">
        <v>3418</v>
      </c>
      <c r="B2036" t="s">
        <v>3419</v>
      </c>
      <c r="C2036" s="1" t="s">
        <v>1367</v>
      </c>
      <c r="D2036" s="1" t="s">
        <v>1367</v>
      </c>
      <c r="E2036" t="s">
        <v>1368</v>
      </c>
      <c r="F2036" s="2" t="s">
        <v>1347</v>
      </c>
      <c r="G2036" t="s">
        <v>121</v>
      </c>
      <c r="H2036" s="2" t="s">
        <v>3420</v>
      </c>
      <c r="I2036" s="2">
        <v>0.08</v>
      </c>
    </row>
    <row r="2037" spans="1:9" x14ac:dyDescent="0.25">
      <c r="A2037" s="1" t="s">
        <v>3418</v>
      </c>
      <c r="B2037" t="s">
        <v>3419</v>
      </c>
      <c r="C2037" s="1" t="s">
        <v>7</v>
      </c>
      <c r="D2037" s="1" t="s">
        <v>7</v>
      </c>
      <c r="E2037" t="s">
        <v>8</v>
      </c>
      <c r="F2037" s="2" t="s">
        <v>9</v>
      </c>
      <c r="G2037" t="s">
        <v>10</v>
      </c>
      <c r="H2037" s="2" t="s">
        <v>3421</v>
      </c>
      <c r="I2037" s="2">
        <v>1.1200000000000001</v>
      </c>
    </row>
    <row r="2038" spans="1:9" x14ac:dyDescent="0.25">
      <c r="A2038" s="1" t="s">
        <v>3422</v>
      </c>
      <c r="B2038" t="s">
        <v>3423</v>
      </c>
      <c r="C2038" s="1" t="s">
        <v>1367</v>
      </c>
      <c r="D2038" s="1" t="s">
        <v>1367</v>
      </c>
      <c r="E2038" t="s">
        <v>1368</v>
      </c>
      <c r="F2038" s="2" t="s">
        <v>1347</v>
      </c>
      <c r="G2038" t="s">
        <v>121</v>
      </c>
      <c r="H2038" s="2" t="s">
        <v>3424</v>
      </c>
      <c r="I2038" s="2">
        <v>0.03</v>
      </c>
    </row>
    <row r="2039" spans="1:9" x14ac:dyDescent="0.25">
      <c r="A2039" s="1" t="s">
        <v>3422</v>
      </c>
      <c r="B2039" t="s">
        <v>3423</v>
      </c>
      <c r="C2039" s="1" t="s">
        <v>541</v>
      </c>
      <c r="D2039" s="1" t="s">
        <v>541</v>
      </c>
      <c r="E2039" t="s">
        <v>542</v>
      </c>
      <c r="F2039" s="2" t="s">
        <v>9</v>
      </c>
      <c r="G2039" t="s">
        <v>10</v>
      </c>
      <c r="H2039" s="2" t="s">
        <v>1371</v>
      </c>
      <c r="I2039" s="2">
        <v>1.1499999999999999</v>
      </c>
    </row>
    <row r="2040" spans="1:9" x14ac:dyDescent="0.25">
      <c r="A2040" s="1" t="s">
        <v>3425</v>
      </c>
      <c r="B2040" t="s">
        <v>3426</v>
      </c>
      <c r="C2040" s="1" t="s">
        <v>1785</v>
      </c>
      <c r="D2040" s="1" t="s">
        <v>1785</v>
      </c>
      <c r="E2040" t="s">
        <v>1786</v>
      </c>
      <c r="F2040" s="2" t="s">
        <v>216</v>
      </c>
      <c r="G2040" t="s">
        <v>5</v>
      </c>
      <c r="H2040" s="2" t="s">
        <v>3427</v>
      </c>
      <c r="I2040" s="2">
        <v>1.47</v>
      </c>
    </row>
    <row r="2041" spans="1:9" x14ac:dyDescent="0.25">
      <c r="A2041" s="1" t="s">
        <v>3425</v>
      </c>
      <c r="B2041" t="s">
        <v>3426</v>
      </c>
      <c r="C2041" s="1" t="s">
        <v>541</v>
      </c>
      <c r="D2041" s="1" t="s">
        <v>541</v>
      </c>
      <c r="E2041" t="s">
        <v>542</v>
      </c>
      <c r="F2041" s="2" t="s">
        <v>9</v>
      </c>
      <c r="G2041" t="s">
        <v>10</v>
      </c>
      <c r="H2041" s="2" t="s">
        <v>3428</v>
      </c>
      <c r="I2041" s="2">
        <v>6.51</v>
      </c>
    </row>
    <row r="2042" spans="1:9" x14ac:dyDescent="0.25">
      <c r="A2042" s="1" t="s">
        <v>3429</v>
      </c>
      <c r="B2042" t="s">
        <v>3430</v>
      </c>
      <c r="C2042" s="1" t="s">
        <v>3431</v>
      </c>
      <c r="D2042" s="1" t="s">
        <v>3431</v>
      </c>
      <c r="E2042" t="s">
        <v>3432</v>
      </c>
      <c r="F2042" s="2" t="s">
        <v>1354</v>
      </c>
      <c r="G2042" t="s">
        <v>5</v>
      </c>
      <c r="H2042" s="2" t="s">
        <v>3433</v>
      </c>
      <c r="I2042" s="2">
        <v>1.18</v>
      </c>
    </row>
    <row r="2043" spans="1:9" x14ac:dyDescent="0.25">
      <c r="A2043" s="1" t="s">
        <v>3429</v>
      </c>
      <c r="B2043" t="s">
        <v>3430</v>
      </c>
      <c r="C2043" s="1" t="s">
        <v>7</v>
      </c>
      <c r="D2043" s="1" t="s">
        <v>7</v>
      </c>
      <c r="E2043" t="s">
        <v>8</v>
      </c>
      <c r="F2043" s="2" t="s">
        <v>9</v>
      </c>
      <c r="G2043" t="s">
        <v>10</v>
      </c>
      <c r="H2043" s="2" t="s">
        <v>3434</v>
      </c>
      <c r="I2043" s="2">
        <v>8.5399999999999991</v>
      </c>
    </row>
    <row r="2044" spans="1:9" x14ac:dyDescent="0.25">
      <c r="A2044" s="1" t="s">
        <v>3435</v>
      </c>
      <c r="B2044" t="s">
        <v>3436</v>
      </c>
      <c r="C2044" s="1" t="s">
        <v>2161</v>
      </c>
      <c r="D2044" s="1" t="s">
        <v>2161</v>
      </c>
      <c r="E2044" t="s">
        <v>2162</v>
      </c>
      <c r="F2044" s="2" t="s">
        <v>1354</v>
      </c>
      <c r="G2044" t="s">
        <v>5</v>
      </c>
      <c r="H2044" s="2" t="s">
        <v>3437</v>
      </c>
      <c r="I2044" s="2">
        <v>0.1</v>
      </c>
    </row>
    <row r="2045" spans="1:9" x14ac:dyDescent="0.25">
      <c r="A2045" s="1" t="s">
        <v>3435</v>
      </c>
      <c r="B2045" t="s">
        <v>3436</v>
      </c>
      <c r="C2045" s="1" t="s">
        <v>7</v>
      </c>
      <c r="D2045" s="1" t="s">
        <v>7</v>
      </c>
      <c r="E2045" t="s">
        <v>8</v>
      </c>
      <c r="F2045" s="2" t="s">
        <v>9</v>
      </c>
      <c r="G2045" t="s">
        <v>10</v>
      </c>
      <c r="H2045" s="2" t="s">
        <v>3438</v>
      </c>
      <c r="I2045" s="2">
        <v>1.8</v>
      </c>
    </row>
    <row r="2046" spans="1:9" x14ac:dyDescent="0.25">
      <c r="A2046" s="1" t="s">
        <v>3439</v>
      </c>
      <c r="B2046" t="s">
        <v>3440</v>
      </c>
      <c r="C2046" s="1" t="s">
        <v>1345</v>
      </c>
      <c r="D2046" s="1" t="s">
        <v>1345</v>
      </c>
      <c r="E2046" t="s">
        <v>1346</v>
      </c>
      <c r="F2046" s="2" t="s">
        <v>1347</v>
      </c>
      <c r="G2046" t="s">
        <v>5</v>
      </c>
      <c r="H2046" s="2" t="s">
        <v>3441</v>
      </c>
      <c r="I2046" s="2">
        <v>7.0000000000000007E-2</v>
      </c>
    </row>
    <row r="2047" spans="1:9" x14ac:dyDescent="0.25">
      <c r="A2047" s="1" t="s">
        <v>3439</v>
      </c>
      <c r="B2047" t="s">
        <v>3440</v>
      </c>
      <c r="C2047" s="1" t="s">
        <v>7</v>
      </c>
      <c r="D2047" s="1" t="s">
        <v>7</v>
      </c>
      <c r="E2047" t="s">
        <v>8</v>
      </c>
      <c r="F2047" s="2" t="s">
        <v>9</v>
      </c>
      <c r="G2047" t="s">
        <v>10</v>
      </c>
      <c r="H2047" s="2" t="s">
        <v>40</v>
      </c>
      <c r="I2047" s="2">
        <v>0.46</v>
      </c>
    </row>
    <row r="2048" spans="1:9" x14ac:dyDescent="0.25">
      <c r="A2048" s="1" t="s">
        <v>3442</v>
      </c>
      <c r="B2048" t="s">
        <v>3443</v>
      </c>
      <c r="C2048" s="1" t="s">
        <v>1345</v>
      </c>
      <c r="D2048" s="1" t="s">
        <v>1345</v>
      </c>
      <c r="E2048" t="s">
        <v>1346</v>
      </c>
      <c r="F2048" s="2" t="s">
        <v>1347</v>
      </c>
      <c r="G2048" t="s">
        <v>5</v>
      </c>
      <c r="H2048" s="2" t="s">
        <v>3441</v>
      </c>
      <c r="I2048" s="2">
        <v>7.0000000000000007E-2</v>
      </c>
    </row>
    <row r="2049" spans="1:9" x14ac:dyDescent="0.25">
      <c r="A2049" s="1" t="s">
        <v>3442</v>
      </c>
      <c r="B2049" t="s">
        <v>3443</v>
      </c>
      <c r="C2049" s="1" t="s">
        <v>7</v>
      </c>
      <c r="D2049" s="1" t="s">
        <v>7</v>
      </c>
      <c r="E2049" t="s">
        <v>8</v>
      </c>
      <c r="F2049" s="2" t="s">
        <v>9</v>
      </c>
      <c r="G2049" t="s">
        <v>10</v>
      </c>
      <c r="H2049" s="2" t="s">
        <v>40</v>
      </c>
      <c r="I2049" s="2">
        <v>0.46</v>
      </c>
    </row>
    <row r="2050" spans="1:9" x14ac:dyDescent="0.25">
      <c r="A2050" s="1" t="s">
        <v>3444</v>
      </c>
      <c r="B2050" t="s">
        <v>3445</v>
      </c>
      <c r="C2050" s="1" t="s">
        <v>2458</v>
      </c>
      <c r="D2050" s="1" t="s">
        <v>2458</v>
      </c>
      <c r="E2050" t="s">
        <v>2459</v>
      </c>
      <c r="F2050" s="2" t="s">
        <v>384</v>
      </c>
      <c r="G2050" t="s">
        <v>5</v>
      </c>
      <c r="H2050" s="2" t="s">
        <v>3270</v>
      </c>
      <c r="I2050" s="2">
        <v>2.7</v>
      </c>
    </row>
    <row r="2051" spans="1:9" x14ac:dyDescent="0.25">
      <c r="A2051" s="1" t="s">
        <v>3444</v>
      </c>
      <c r="B2051" t="s">
        <v>3445</v>
      </c>
      <c r="C2051" s="1" t="s">
        <v>432</v>
      </c>
      <c r="D2051" s="1" t="s">
        <v>432</v>
      </c>
      <c r="E2051" t="s">
        <v>433</v>
      </c>
      <c r="F2051" s="2" t="s">
        <v>434</v>
      </c>
      <c r="G2051" t="s">
        <v>435</v>
      </c>
      <c r="H2051" s="2" t="s">
        <v>50</v>
      </c>
      <c r="I2051" s="2">
        <v>1.1000000000000001</v>
      </c>
    </row>
    <row r="2052" spans="1:9" x14ac:dyDescent="0.25">
      <c r="A2052" s="1" t="s">
        <v>3444</v>
      </c>
      <c r="B2052" t="s">
        <v>3445</v>
      </c>
      <c r="C2052" s="1" t="s">
        <v>541</v>
      </c>
      <c r="D2052" s="1" t="s">
        <v>541</v>
      </c>
      <c r="E2052" t="s">
        <v>542</v>
      </c>
      <c r="F2052" s="2" t="s">
        <v>9</v>
      </c>
      <c r="G2052" t="s">
        <v>10</v>
      </c>
      <c r="H2052" s="2" t="s">
        <v>3446</v>
      </c>
      <c r="I2052" s="2">
        <v>4.91</v>
      </c>
    </row>
    <row r="2053" spans="1:9" x14ac:dyDescent="0.25">
      <c r="A2053" s="1" t="s">
        <v>3447</v>
      </c>
      <c r="B2053" t="s">
        <v>3448</v>
      </c>
      <c r="C2053" s="1" t="s">
        <v>3449</v>
      </c>
      <c r="D2053" s="1" t="s">
        <v>3449</v>
      </c>
      <c r="E2053" t="s">
        <v>3450</v>
      </c>
      <c r="F2053" s="2" t="s">
        <v>3451</v>
      </c>
      <c r="G2053" t="s">
        <v>17</v>
      </c>
      <c r="H2053" s="2" t="s">
        <v>33</v>
      </c>
      <c r="I2053" s="2">
        <v>1.74</v>
      </c>
    </row>
    <row r="2054" spans="1:9" x14ac:dyDescent="0.25">
      <c r="A2054" s="1" t="s">
        <v>3447</v>
      </c>
      <c r="B2054" t="s">
        <v>3448</v>
      </c>
      <c r="C2054" s="1" t="s">
        <v>2765</v>
      </c>
      <c r="D2054" s="1" t="s">
        <v>2765</v>
      </c>
      <c r="E2054" t="s">
        <v>2766</v>
      </c>
      <c r="F2054" s="2" t="s">
        <v>2767</v>
      </c>
      <c r="G2054" t="s">
        <v>121</v>
      </c>
      <c r="H2054" s="2" t="s">
        <v>50</v>
      </c>
      <c r="I2054" s="2">
        <v>349</v>
      </c>
    </row>
    <row r="2055" spans="1:9" x14ac:dyDescent="0.25">
      <c r="A2055" s="1" t="s">
        <v>3447</v>
      </c>
      <c r="B2055" t="s">
        <v>3448</v>
      </c>
      <c r="C2055" s="1" t="s">
        <v>3452</v>
      </c>
      <c r="D2055" s="1" t="s">
        <v>3452</v>
      </c>
      <c r="E2055" t="s">
        <v>3453</v>
      </c>
      <c r="F2055" s="2" t="s">
        <v>1588</v>
      </c>
      <c r="G2055" t="s">
        <v>39</v>
      </c>
      <c r="H2055" s="2" t="s">
        <v>478</v>
      </c>
      <c r="I2055" s="2">
        <v>1.56</v>
      </c>
    </row>
    <row r="2056" spans="1:9" x14ac:dyDescent="0.25">
      <c r="A2056" s="1" t="s">
        <v>3447</v>
      </c>
      <c r="B2056" t="s">
        <v>3448</v>
      </c>
      <c r="C2056" s="1" t="s">
        <v>2835</v>
      </c>
      <c r="D2056" s="1" t="s">
        <v>2835</v>
      </c>
      <c r="E2056" t="s">
        <v>2836</v>
      </c>
      <c r="F2056" s="2" t="s">
        <v>2837</v>
      </c>
      <c r="G2056" t="s">
        <v>5</v>
      </c>
      <c r="H2056" s="2" t="s">
        <v>3454</v>
      </c>
      <c r="I2056" s="2">
        <v>1.89</v>
      </c>
    </row>
    <row r="2057" spans="1:9" x14ac:dyDescent="0.25">
      <c r="A2057" s="1" t="s">
        <v>3447</v>
      </c>
      <c r="B2057" t="s">
        <v>3448</v>
      </c>
      <c r="C2057" s="1" t="s">
        <v>2839</v>
      </c>
      <c r="D2057" s="1" t="s">
        <v>2839</v>
      </c>
      <c r="E2057" t="s">
        <v>2840</v>
      </c>
      <c r="F2057" s="2" t="s">
        <v>2841</v>
      </c>
      <c r="G2057" t="s">
        <v>5</v>
      </c>
      <c r="H2057" s="2" t="s">
        <v>3455</v>
      </c>
      <c r="I2057" s="2">
        <v>1</v>
      </c>
    </row>
    <row r="2058" spans="1:9" x14ac:dyDescent="0.25">
      <c r="A2058" s="1" t="s">
        <v>3447</v>
      </c>
      <c r="B2058" t="s">
        <v>3448</v>
      </c>
      <c r="C2058" s="1" t="s">
        <v>3456</v>
      </c>
      <c r="D2058" s="1" t="s">
        <v>3456</v>
      </c>
      <c r="E2058" t="s">
        <v>3457</v>
      </c>
      <c r="F2058" s="2" t="s">
        <v>3458</v>
      </c>
      <c r="G2058" t="s">
        <v>39</v>
      </c>
      <c r="H2058" s="2" t="s">
        <v>605</v>
      </c>
      <c r="I2058" s="2">
        <v>0.66</v>
      </c>
    </row>
    <row r="2059" spans="1:9" x14ac:dyDescent="0.25">
      <c r="A2059" s="1" t="s">
        <v>3447</v>
      </c>
      <c r="B2059" t="s">
        <v>3448</v>
      </c>
      <c r="C2059" s="1" t="s">
        <v>628</v>
      </c>
      <c r="D2059" s="1" t="s">
        <v>628</v>
      </c>
      <c r="E2059" t="s">
        <v>629</v>
      </c>
      <c r="F2059" s="2" t="s">
        <v>630</v>
      </c>
      <c r="G2059" t="s">
        <v>5</v>
      </c>
      <c r="H2059" s="2" t="s">
        <v>598</v>
      </c>
      <c r="I2059" s="2">
        <v>0.08</v>
      </c>
    </row>
    <row r="2060" spans="1:9" x14ac:dyDescent="0.25">
      <c r="A2060" s="1" t="s">
        <v>3447</v>
      </c>
      <c r="B2060" t="s">
        <v>3448</v>
      </c>
      <c r="C2060" s="1" t="s">
        <v>483</v>
      </c>
      <c r="D2060" s="1" t="s">
        <v>483</v>
      </c>
      <c r="E2060" t="s">
        <v>484</v>
      </c>
      <c r="F2060" s="2" t="s">
        <v>2789</v>
      </c>
      <c r="G2060" t="s">
        <v>5</v>
      </c>
      <c r="H2060" s="2" t="s">
        <v>3459</v>
      </c>
      <c r="I2060" s="2">
        <v>7.0000000000000007E-2</v>
      </c>
    </row>
    <row r="2061" spans="1:9" x14ac:dyDescent="0.25">
      <c r="A2061" s="1" t="s">
        <v>3447</v>
      </c>
      <c r="B2061" t="s">
        <v>3448</v>
      </c>
      <c r="C2061" s="1" t="s">
        <v>2844</v>
      </c>
      <c r="D2061" s="1" t="s">
        <v>2844</v>
      </c>
      <c r="E2061" t="s">
        <v>2845</v>
      </c>
      <c r="F2061" s="2" t="s">
        <v>2846</v>
      </c>
      <c r="G2061" t="s">
        <v>5</v>
      </c>
      <c r="H2061" s="2" t="s">
        <v>2847</v>
      </c>
      <c r="I2061" s="2">
        <v>0.11</v>
      </c>
    </row>
    <row r="2062" spans="1:9" x14ac:dyDescent="0.25">
      <c r="A2062" s="1" t="s">
        <v>3447</v>
      </c>
      <c r="B2062" t="s">
        <v>3448</v>
      </c>
      <c r="C2062" s="1" t="s">
        <v>1971</v>
      </c>
      <c r="D2062" s="1" t="s">
        <v>1971</v>
      </c>
      <c r="E2062" t="s">
        <v>1972</v>
      </c>
      <c r="F2062" s="2" t="s">
        <v>1964</v>
      </c>
      <c r="G2062" t="s">
        <v>5</v>
      </c>
      <c r="H2062" s="2" t="s">
        <v>3460</v>
      </c>
      <c r="I2062" s="2">
        <v>0.62</v>
      </c>
    </row>
    <row r="2063" spans="1:9" x14ac:dyDescent="0.25">
      <c r="A2063" s="1" t="s">
        <v>3447</v>
      </c>
      <c r="B2063" t="s">
        <v>3448</v>
      </c>
      <c r="C2063" s="1" t="s">
        <v>2848</v>
      </c>
      <c r="D2063" s="1" t="s">
        <v>2848</v>
      </c>
      <c r="E2063" t="s">
        <v>2849</v>
      </c>
      <c r="F2063" s="2" t="s">
        <v>879</v>
      </c>
      <c r="G2063" t="s">
        <v>5</v>
      </c>
      <c r="H2063" s="2" t="s">
        <v>3461</v>
      </c>
      <c r="I2063" s="2">
        <v>0.19</v>
      </c>
    </row>
    <row r="2064" spans="1:9" x14ac:dyDescent="0.25">
      <c r="A2064" s="1" t="s">
        <v>3447</v>
      </c>
      <c r="B2064" t="s">
        <v>3448</v>
      </c>
      <c r="C2064" s="1" t="s">
        <v>1974</v>
      </c>
      <c r="D2064" s="1" t="s">
        <v>1974</v>
      </c>
      <c r="E2064" t="s">
        <v>1975</v>
      </c>
      <c r="F2064" s="2" t="s">
        <v>879</v>
      </c>
      <c r="G2064" t="s">
        <v>121</v>
      </c>
      <c r="H2064" s="2" t="s">
        <v>3462</v>
      </c>
      <c r="I2064" s="2">
        <v>2.74</v>
      </c>
    </row>
    <row r="2065" spans="1:10" x14ac:dyDescent="0.25">
      <c r="A2065" s="1" t="s">
        <v>3447</v>
      </c>
      <c r="B2065" t="s">
        <v>3448</v>
      </c>
      <c r="C2065" s="1" t="s">
        <v>3463</v>
      </c>
      <c r="D2065" s="1" t="s">
        <v>3463</v>
      </c>
      <c r="E2065" t="s">
        <v>3464</v>
      </c>
      <c r="F2065" s="2" t="s">
        <v>1768</v>
      </c>
      <c r="G2065" t="s">
        <v>121</v>
      </c>
      <c r="H2065" s="2" t="s">
        <v>268</v>
      </c>
      <c r="I2065" s="2">
        <v>0</v>
      </c>
    </row>
    <row r="2066" spans="1:10" x14ac:dyDescent="0.25">
      <c r="A2066" s="1" t="s">
        <v>3447</v>
      </c>
      <c r="B2066" t="s">
        <v>3448</v>
      </c>
      <c r="C2066" s="1" t="s">
        <v>3465</v>
      </c>
      <c r="D2066" s="1" t="s">
        <v>3465</v>
      </c>
      <c r="E2066" t="s">
        <v>3466</v>
      </c>
      <c r="F2066" s="2" t="s">
        <v>1768</v>
      </c>
      <c r="G2066" t="s">
        <v>121</v>
      </c>
      <c r="H2066" s="2" t="s">
        <v>605</v>
      </c>
      <c r="I2066" s="2">
        <v>0</v>
      </c>
    </row>
    <row r="2067" spans="1:10" x14ac:dyDescent="0.25">
      <c r="A2067" s="1" t="s">
        <v>3447</v>
      </c>
      <c r="B2067" t="s">
        <v>3448</v>
      </c>
      <c r="C2067" s="1" t="s">
        <v>3467</v>
      </c>
      <c r="D2067" s="1" t="s">
        <v>3467</v>
      </c>
      <c r="E2067" t="s">
        <v>3468</v>
      </c>
      <c r="F2067" s="2" t="s">
        <v>1768</v>
      </c>
      <c r="G2067" t="s">
        <v>121</v>
      </c>
      <c r="H2067" s="2" t="s">
        <v>50</v>
      </c>
      <c r="I2067" s="2">
        <v>0</v>
      </c>
    </row>
    <row r="2068" spans="1:10" x14ac:dyDescent="0.25">
      <c r="A2068" s="1" t="s">
        <v>3447</v>
      </c>
      <c r="B2068" t="s">
        <v>3448</v>
      </c>
      <c r="C2068" s="1" t="s">
        <v>3469</v>
      </c>
      <c r="D2068" s="1" t="s">
        <v>3469</v>
      </c>
      <c r="E2068" t="s">
        <v>3470</v>
      </c>
      <c r="F2068" s="2" t="s">
        <v>1768</v>
      </c>
      <c r="G2068" t="s">
        <v>121</v>
      </c>
      <c r="H2068" s="2" t="s">
        <v>50</v>
      </c>
      <c r="I2068" s="2">
        <v>0</v>
      </c>
    </row>
    <row r="2069" spans="1:10" x14ac:dyDescent="0.25">
      <c r="A2069" s="1" t="s">
        <v>3447</v>
      </c>
      <c r="B2069" t="s">
        <v>3448</v>
      </c>
      <c r="C2069" s="1" t="s">
        <v>3471</v>
      </c>
      <c r="D2069" s="1" t="s">
        <v>3471</v>
      </c>
      <c r="E2069" t="s">
        <v>3472</v>
      </c>
      <c r="F2069" s="2" t="s">
        <v>1768</v>
      </c>
      <c r="G2069" t="s">
        <v>121</v>
      </c>
      <c r="H2069" s="2" t="s">
        <v>40</v>
      </c>
      <c r="I2069" s="2">
        <v>0</v>
      </c>
    </row>
    <row r="2070" spans="1:10" x14ac:dyDescent="0.25">
      <c r="A2070" s="1" t="s">
        <v>3447</v>
      </c>
      <c r="B2070" t="s">
        <v>3448</v>
      </c>
      <c r="C2070" s="1" t="s">
        <v>41</v>
      </c>
      <c r="D2070" s="1" t="s">
        <v>41</v>
      </c>
      <c r="E2070" t="s">
        <v>42</v>
      </c>
      <c r="F2070" s="2" t="s">
        <v>513</v>
      </c>
      <c r="G2070" t="s">
        <v>5</v>
      </c>
      <c r="H2070" s="2" t="s">
        <v>3473</v>
      </c>
      <c r="I2070" s="2">
        <v>0.89</v>
      </c>
    </row>
    <row r="2071" spans="1:10" x14ac:dyDescent="0.25">
      <c r="A2071" s="1" t="s">
        <v>3447</v>
      </c>
      <c r="B2071" t="s">
        <v>3448</v>
      </c>
      <c r="C2071" s="1" t="s">
        <v>2797</v>
      </c>
      <c r="D2071" s="1" t="s">
        <v>2797</v>
      </c>
      <c r="E2071" t="s">
        <v>2798</v>
      </c>
      <c r="F2071" s="2" t="s">
        <v>2799</v>
      </c>
      <c r="G2071" t="s">
        <v>121</v>
      </c>
      <c r="H2071" s="2" t="s">
        <v>50</v>
      </c>
      <c r="I2071" s="2">
        <v>2.41</v>
      </c>
    </row>
    <row r="2072" spans="1:10" x14ac:dyDescent="0.25">
      <c r="A2072" s="1" t="s">
        <v>3447</v>
      </c>
      <c r="B2072" t="s">
        <v>3448</v>
      </c>
      <c r="C2072" s="1" t="s">
        <v>3474</v>
      </c>
      <c r="D2072" s="1" t="s">
        <v>3474</v>
      </c>
      <c r="E2072" t="s">
        <v>3475</v>
      </c>
      <c r="F2072" s="2" t="s">
        <v>3476</v>
      </c>
      <c r="G2072" t="s">
        <v>17</v>
      </c>
      <c r="H2072" s="2" t="s">
        <v>50</v>
      </c>
      <c r="I2072" s="2">
        <v>50.16</v>
      </c>
      <c r="J2072" t="s">
        <v>55</v>
      </c>
    </row>
    <row r="2073" spans="1:10" x14ac:dyDescent="0.25">
      <c r="A2073" s="1" t="s">
        <v>3447</v>
      </c>
      <c r="B2073" t="s">
        <v>3448</v>
      </c>
      <c r="C2073" s="1" t="s">
        <v>2800</v>
      </c>
      <c r="D2073" s="1" t="s">
        <v>2800</v>
      </c>
      <c r="E2073" t="s">
        <v>2801</v>
      </c>
      <c r="F2073" s="2" t="s">
        <v>2802</v>
      </c>
      <c r="G2073" t="s">
        <v>121</v>
      </c>
      <c r="H2073" s="2" t="s">
        <v>50</v>
      </c>
      <c r="I2073" s="2">
        <v>157.28</v>
      </c>
      <c r="J2073" t="s">
        <v>55</v>
      </c>
    </row>
    <row r="2074" spans="1:10" x14ac:dyDescent="0.25">
      <c r="A2074" s="1" t="s">
        <v>3447</v>
      </c>
      <c r="B2074" t="s">
        <v>3448</v>
      </c>
      <c r="C2074" s="1" t="s">
        <v>2803</v>
      </c>
      <c r="D2074" s="1" t="s">
        <v>2803</v>
      </c>
      <c r="E2074" t="s">
        <v>2804</v>
      </c>
      <c r="F2074" s="2" t="s">
        <v>2805</v>
      </c>
      <c r="G2074" t="s">
        <v>121</v>
      </c>
      <c r="H2074" s="2" t="s">
        <v>50</v>
      </c>
      <c r="I2074" s="2">
        <v>122.15</v>
      </c>
      <c r="J2074" t="s">
        <v>55</v>
      </c>
    </row>
    <row r="2075" spans="1:10" x14ac:dyDescent="0.25">
      <c r="A2075" s="1" t="s">
        <v>3447</v>
      </c>
      <c r="B2075" t="s">
        <v>3448</v>
      </c>
      <c r="C2075" s="1" t="s">
        <v>2806</v>
      </c>
      <c r="D2075" s="1" t="s">
        <v>2806</v>
      </c>
      <c r="E2075" t="s">
        <v>2807</v>
      </c>
      <c r="F2075" s="2" t="s">
        <v>2808</v>
      </c>
      <c r="G2075" t="s">
        <v>121</v>
      </c>
      <c r="H2075" s="2" t="s">
        <v>50</v>
      </c>
      <c r="I2075" s="2">
        <v>178.11</v>
      </c>
      <c r="J2075" t="s">
        <v>55</v>
      </c>
    </row>
    <row r="2076" spans="1:10" x14ac:dyDescent="0.25">
      <c r="A2076" s="1" t="s">
        <v>3447</v>
      </c>
      <c r="B2076" t="s">
        <v>3448</v>
      </c>
      <c r="C2076" s="1" t="s">
        <v>2809</v>
      </c>
      <c r="D2076" s="1" t="s">
        <v>2809</v>
      </c>
      <c r="E2076" t="s">
        <v>2810</v>
      </c>
      <c r="F2076" s="2" t="s">
        <v>2811</v>
      </c>
      <c r="G2076" t="s">
        <v>121</v>
      </c>
      <c r="H2076" s="2" t="s">
        <v>50</v>
      </c>
      <c r="I2076" s="2">
        <v>74.95</v>
      </c>
      <c r="J2076" t="s">
        <v>55</v>
      </c>
    </row>
    <row r="2077" spans="1:10" x14ac:dyDescent="0.25">
      <c r="A2077" s="1" t="s">
        <v>3447</v>
      </c>
      <c r="B2077" t="s">
        <v>3448</v>
      </c>
      <c r="C2077" s="1" t="s">
        <v>684</v>
      </c>
      <c r="D2077" s="1" t="s">
        <v>684</v>
      </c>
      <c r="E2077" t="s">
        <v>685</v>
      </c>
      <c r="F2077" s="2" t="s">
        <v>686</v>
      </c>
      <c r="G2077" t="s">
        <v>49</v>
      </c>
      <c r="H2077" s="2" t="s">
        <v>1363</v>
      </c>
      <c r="I2077" s="2">
        <v>0.45</v>
      </c>
    </row>
    <row r="2078" spans="1:10" x14ac:dyDescent="0.25">
      <c r="A2078" s="1" t="s">
        <v>3447</v>
      </c>
      <c r="B2078" t="s">
        <v>3448</v>
      </c>
      <c r="C2078" s="1" t="s">
        <v>684</v>
      </c>
      <c r="D2078" s="1" t="s">
        <v>684</v>
      </c>
      <c r="E2078" t="s">
        <v>685</v>
      </c>
      <c r="F2078" s="2" t="s">
        <v>686</v>
      </c>
      <c r="G2078" t="s">
        <v>49</v>
      </c>
      <c r="H2078" s="2" t="s">
        <v>2822</v>
      </c>
      <c r="I2078" s="2">
        <v>3.03</v>
      </c>
    </row>
    <row r="2079" spans="1:10" x14ac:dyDescent="0.25">
      <c r="A2079" s="1" t="s">
        <v>3447</v>
      </c>
      <c r="B2079" t="s">
        <v>3448</v>
      </c>
      <c r="C2079" s="1" t="s">
        <v>684</v>
      </c>
      <c r="D2079" s="1" t="s">
        <v>684</v>
      </c>
      <c r="E2079" t="s">
        <v>685</v>
      </c>
      <c r="F2079" s="2" t="s">
        <v>686</v>
      </c>
      <c r="G2079" t="s">
        <v>49</v>
      </c>
      <c r="H2079" s="2" t="s">
        <v>3477</v>
      </c>
      <c r="I2079" s="2">
        <v>4.1399999999999997</v>
      </c>
    </row>
    <row r="2080" spans="1:10" x14ac:dyDescent="0.25">
      <c r="A2080" s="1" t="s">
        <v>3447</v>
      </c>
      <c r="B2080" t="s">
        <v>3448</v>
      </c>
      <c r="C2080" s="1" t="s">
        <v>684</v>
      </c>
      <c r="D2080" s="1" t="s">
        <v>684</v>
      </c>
      <c r="E2080" t="s">
        <v>685</v>
      </c>
      <c r="F2080" s="2" t="s">
        <v>686</v>
      </c>
      <c r="G2080" t="s">
        <v>49</v>
      </c>
      <c r="H2080" s="2" t="s">
        <v>3478</v>
      </c>
      <c r="I2080" s="2">
        <v>16.8</v>
      </c>
    </row>
    <row r="2081" spans="1:9" x14ac:dyDescent="0.25">
      <c r="A2081" s="1" t="s">
        <v>3447</v>
      </c>
      <c r="B2081" t="s">
        <v>3448</v>
      </c>
      <c r="C2081" s="1" t="s">
        <v>684</v>
      </c>
      <c r="D2081" s="1" t="s">
        <v>684</v>
      </c>
      <c r="E2081" t="s">
        <v>685</v>
      </c>
      <c r="F2081" s="2" t="s">
        <v>686</v>
      </c>
      <c r="G2081" t="s">
        <v>49</v>
      </c>
      <c r="H2081" s="2" t="s">
        <v>3479</v>
      </c>
      <c r="I2081" s="2">
        <v>52.2</v>
      </c>
    </row>
    <row r="2082" spans="1:9" x14ac:dyDescent="0.25">
      <c r="A2082" s="1" t="s">
        <v>3447</v>
      </c>
      <c r="B2082" t="s">
        <v>3448</v>
      </c>
      <c r="C2082" s="1" t="s">
        <v>684</v>
      </c>
      <c r="D2082" s="1" t="s">
        <v>684</v>
      </c>
      <c r="E2082" t="s">
        <v>685</v>
      </c>
      <c r="F2082" s="2" t="s">
        <v>686</v>
      </c>
      <c r="G2082" t="s">
        <v>49</v>
      </c>
      <c r="H2082" s="2" t="s">
        <v>3480</v>
      </c>
      <c r="I2082" s="2">
        <v>4.1500000000000004</v>
      </c>
    </row>
    <row r="2083" spans="1:9" x14ac:dyDescent="0.25">
      <c r="A2083" s="1" t="s">
        <v>3447</v>
      </c>
      <c r="B2083" t="s">
        <v>3448</v>
      </c>
      <c r="C2083" s="1" t="s">
        <v>541</v>
      </c>
      <c r="D2083" s="1" t="s">
        <v>541</v>
      </c>
      <c r="E2083" t="s">
        <v>542</v>
      </c>
      <c r="F2083" s="2" t="s">
        <v>9</v>
      </c>
      <c r="G2083" t="s">
        <v>10</v>
      </c>
      <c r="H2083" s="2" t="s">
        <v>3481</v>
      </c>
      <c r="I2083" s="2">
        <v>145.49</v>
      </c>
    </row>
    <row r="2084" spans="1:9" x14ac:dyDescent="0.25">
      <c r="A2084" s="1" t="s">
        <v>3447</v>
      </c>
      <c r="B2084" t="s">
        <v>3448</v>
      </c>
      <c r="C2084" s="1" t="s">
        <v>541</v>
      </c>
      <c r="D2084" s="1" t="s">
        <v>541</v>
      </c>
      <c r="E2084" t="s">
        <v>542</v>
      </c>
      <c r="F2084" s="2" t="s">
        <v>9</v>
      </c>
      <c r="G2084" t="s">
        <v>10</v>
      </c>
      <c r="H2084" s="2" t="s">
        <v>3482</v>
      </c>
      <c r="I2084" s="2">
        <v>16.91</v>
      </c>
    </row>
    <row r="2085" spans="1:9" x14ac:dyDescent="0.25">
      <c r="A2085" s="1" t="s">
        <v>3447</v>
      </c>
      <c r="B2085" t="s">
        <v>3448</v>
      </c>
      <c r="C2085" s="1" t="s">
        <v>541</v>
      </c>
      <c r="D2085" s="1" t="s">
        <v>541</v>
      </c>
      <c r="E2085" t="s">
        <v>542</v>
      </c>
      <c r="F2085" s="2" t="s">
        <v>9</v>
      </c>
      <c r="G2085" t="s">
        <v>10</v>
      </c>
      <c r="H2085" s="2" t="s">
        <v>2825</v>
      </c>
      <c r="I2085" s="2">
        <v>24.15</v>
      </c>
    </row>
    <row r="2086" spans="1:9" x14ac:dyDescent="0.25">
      <c r="A2086" s="1" t="s">
        <v>3474</v>
      </c>
      <c r="B2086" t="s">
        <v>3483</v>
      </c>
      <c r="C2086" s="1" t="s">
        <v>22</v>
      </c>
      <c r="D2086" s="1" t="s">
        <v>22</v>
      </c>
      <c r="E2086" t="s">
        <v>23</v>
      </c>
      <c r="F2086" s="2" t="s">
        <v>3050</v>
      </c>
      <c r="G2086" t="s">
        <v>17</v>
      </c>
      <c r="H2086" s="2" t="s">
        <v>3484</v>
      </c>
      <c r="I2086" s="2">
        <v>15.9</v>
      </c>
    </row>
    <row r="2087" spans="1:9" x14ac:dyDescent="0.25">
      <c r="A2087" s="1" t="s">
        <v>3474</v>
      </c>
      <c r="B2087" t="s">
        <v>3483</v>
      </c>
      <c r="C2087" s="1" t="s">
        <v>3485</v>
      </c>
      <c r="D2087" s="1" t="s">
        <v>3485</v>
      </c>
      <c r="E2087" t="s">
        <v>3486</v>
      </c>
      <c r="F2087" s="2" t="s">
        <v>3487</v>
      </c>
      <c r="G2087" t="s">
        <v>121</v>
      </c>
      <c r="H2087" s="2" t="s">
        <v>50</v>
      </c>
      <c r="I2087" s="2">
        <v>3.47</v>
      </c>
    </row>
    <row r="2088" spans="1:9" x14ac:dyDescent="0.25">
      <c r="A2088" s="1" t="s">
        <v>3474</v>
      </c>
      <c r="B2088" t="s">
        <v>3483</v>
      </c>
      <c r="C2088" s="1" t="s">
        <v>3488</v>
      </c>
      <c r="D2088" s="1" t="s">
        <v>3488</v>
      </c>
      <c r="E2088" t="s">
        <v>3489</v>
      </c>
      <c r="F2088" s="2" t="s">
        <v>3490</v>
      </c>
      <c r="G2088" t="s">
        <v>121</v>
      </c>
      <c r="H2088" s="2" t="s">
        <v>50</v>
      </c>
      <c r="I2088" s="2">
        <v>7.81</v>
      </c>
    </row>
    <row r="2089" spans="1:9" x14ac:dyDescent="0.25">
      <c r="A2089" s="1" t="s">
        <v>3474</v>
      </c>
      <c r="B2089" t="s">
        <v>3483</v>
      </c>
      <c r="C2089" s="1" t="s">
        <v>857</v>
      </c>
      <c r="D2089" s="1" t="s">
        <v>857</v>
      </c>
      <c r="E2089" t="s">
        <v>858</v>
      </c>
      <c r="F2089" s="2" t="s">
        <v>686</v>
      </c>
      <c r="G2089" t="s">
        <v>49</v>
      </c>
      <c r="H2089" s="2" t="s">
        <v>3491</v>
      </c>
      <c r="I2089" s="2">
        <v>1.25</v>
      </c>
    </row>
    <row r="2090" spans="1:9" x14ac:dyDescent="0.25">
      <c r="A2090" s="1" t="s">
        <v>3474</v>
      </c>
      <c r="B2090" t="s">
        <v>3483</v>
      </c>
      <c r="C2090" s="1" t="s">
        <v>541</v>
      </c>
      <c r="D2090" s="1" t="s">
        <v>541</v>
      </c>
      <c r="E2090" t="s">
        <v>542</v>
      </c>
      <c r="F2090" s="2" t="s">
        <v>9</v>
      </c>
      <c r="G2090" t="s">
        <v>10</v>
      </c>
      <c r="H2090" s="2" t="s">
        <v>2890</v>
      </c>
      <c r="I2090" s="2">
        <v>2.42</v>
      </c>
    </row>
    <row r="2091" spans="1:9" x14ac:dyDescent="0.25">
      <c r="A2091" s="1" t="s">
        <v>3474</v>
      </c>
      <c r="B2091" t="s">
        <v>3483</v>
      </c>
      <c r="C2091" s="1" t="s">
        <v>541</v>
      </c>
      <c r="D2091" s="1" t="s">
        <v>541</v>
      </c>
      <c r="E2091" t="s">
        <v>542</v>
      </c>
      <c r="F2091" s="2" t="s">
        <v>9</v>
      </c>
      <c r="G2091" t="s">
        <v>10</v>
      </c>
      <c r="H2091" s="2" t="s">
        <v>3427</v>
      </c>
      <c r="I2091" s="2">
        <v>9.66</v>
      </c>
    </row>
    <row r="2092" spans="1:9" x14ac:dyDescent="0.25">
      <c r="A2092" s="1" t="s">
        <v>3474</v>
      </c>
      <c r="B2092" t="s">
        <v>3483</v>
      </c>
      <c r="C2092" s="1" t="s">
        <v>541</v>
      </c>
      <c r="D2092" s="1" t="s">
        <v>541</v>
      </c>
      <c r="E2092" t="s">
        <v>542</v>
      </c>
      <c r="F2092" s="2" t="s">
        <v>9</v>
      </c>
      <c r="G2092" t="s">
        <v>10</v>
      </c>
      <c r="H2092" s="2" t="s">
        <v>3047</v>
      </c>
      <c r="I2092" s="2">
        <v>4.83</v>
      </c>
    </row>
    <row r="2093" spans="1:9" x14ac:dyDescent="0.25">
      <c r="A2093" s="1" t="s">
        <v>3474</v>
      </c>
      <c r="B2093" t="s">
        <v>3483</v>
      </c>
      <c r="C2093" s="1" t="s">
        <v>541</v>
      </c>
      <c r="D2093" s="1" t="s">
        <v>541</v>
      </c>
      <c r="E2093" t="s">
        <v>542</v>
      </c>
      <c r="F2093" s="2" t="s">
        <v>9</v>
      </c>
      <c r="G2093" t="s">
        <v>10</v>
      </c>
      <c r="H2093" s="2" t="s">
        <v>3047</v>
      </c>
      <c r="I2093" s="2">
        <v>4.83</v>
      </c>
    </row>
    <row r="2094" spans="1:9" x14ac:dyDescent="0.25">
      <c r="A2094" s="1" t="s">
        <v>3492</v>
      </c>
      <c r="B2094" t="s">
        <v>3493</v>
      </c>
      <c r="C2094" s="1" t="s">
        <v>3494</v>
      </c>
      <c r="D2094" s="1" t="s">
        <v>3494</v>
      </c>
      <c r="E2094" t="s">
        <v>3495</v>
      </c>
      <c r="F2094" s="2" t="s">
        <v>3344</v>
      </c>
      <c r="G2094" t="s">
        <v>17</v>
      </c>
      <c r="H2094" s="2" t="s">
        <v>3496</v>
      </c>
      <c r="I2094" s="2">
        <v>3</v>
      </c>
    </row>
    <row r="2095" spans="1:9" x14ac:dyDescent="0.25">
      <c r="A2095" s="1" t="s">
        <v>3492</v>
      </c>
      <c r="B2095" t="s">
        <v>3493</v>
      </c>
      <c r="C2095" s="1" t="s">
        <v>3497</v>
      </c>
      <c r="D2095" s="1" t="s">
        <v>3497</v>
      </c>
      <c r="E2095" t="s">
        <v>3498</v>
      </c>
      <c r="F2095" s="2" t="s">
        <v>3490</v>
      </c>
      <c r="G2095" t="s">
        <v>121</v>
      </c>
      <c r="H2095" s="2" t="s">
        <v>50</v>
      </c>
      <c r="I2095" s="2">
        <v>7.81</v>
      </c>
    </row>
    <row r="2096" spans="1:9" x14ac:dyDescent="0.25">
      <c r="A2096" s="1" t="s">
        <v>3492</v>
      </c>
      <c r="B2096" t="s">
        <v>3493</v>
      </c>
      <c r="C2096" s="1" t="s">
        <v>432</v>
      </c>
      <c r="D2096" s="1" t="s">
        <v>432</v>
      </c>
      <c r="E2096" t="s">
        <v>433</v>
      </c>
      <c r="F2096" s="2" t="s">
        <v>434</v>
      </c>
      <c r="G2096" t="s">
        <v>435</v>
      </c>
      <c r="H2096" s="2" t="s">
        <v>122</v>
      </c>
      <c r="I2096" s="2">
        <v>4.4000000000000004</v>
      </c>
    </row>
    <row r="2097" spans="1:9" x14ac:dyDescent="0.25">
      <c r="A2097" s="1" t="s">
        <v>3492</v>
      </c>
      <c r="B2097" t="s">
        <v>3493</v>
      </c>
      <c r="C2097" s="1" t="s">
        <v>541</v>
      </c>
      <c r="D2097" s="1" t="s">
        <v>541</v>
      </c>
      <c r="E2097" t="s">
        <v>542</v>
      </c>
      <c r="F2097" s="2" t="s">
        <v>9</v>
      </c>
      <c r="G2097" t="s">
        <v>10</v>
      </c>
      <c r="H2097" s="2" t="s">
        <v>3499</v>
      </c>
      <c r="I2097" s="2">
        <v>9.0299999999999994</v>
      </c>
    </row>
    <row r="2098" spans="1:9" x14ac:dyDescent="0.25">
      <c r="A2098" s="1" t="s">
        <v>3500</v>
      </c>
      <c r="B2098" t="s">
        <v>3501</v>
      </c>
      <c r="C2098" s="1" t="s">
        <v>684</v>
      </c>
      <c r="D2098" s="1" t="s">
        <v>684</v>
      </c>
      <c r="E2098" t="s">
        <v>685</v>
      </c>
      <c r="F2098" s="2" t="s">
        <v>686</v>
      </c>
      <c r="G2098" t="s">
        <v>49</v>
      </c>
      <c r="H2098" s="2" t="s">
        <v>3502</v>
      </c>
      <c r="I2098" s="2">
        <v>7.2</v>
      </c>
    </row>
    <row r="2099" spans="1:9" x14ac:dyDescent="0.25">
      <c r="A2099" s="1" t="s">
        <v>3500</v>
      </c>
      <c r="B2099" t="s">
        <v>3501</v>
      </c>
      <c r="C2099" s="1" t="s">
        <v>541</v>
      </c>
      <c r="D2099" s="1" t="s">
        <v>541</v>
      </c>
      <c r="E2099" t="s">
        <v>542</v>
      </c>
      <c r="F2099" s="2" t="s">
        <v>9</v>
      </c>
      <c r="G2099" t="s">
        <v>10</v>
      </c>
      <c r="H2099" s="2" t="s">
        <v>3503</v>
      </c>
      <c r="I2099" s="2">
        <v>10.35</v>
      </c>
    </row>
    <row r="2100" spans="1:9" x14ac:dyDescent="0.25">
      <c r="A2100" s="1" t="s">
        <v>3504</v>
      </c>
      <c r="B2100" t="s">
        <v>3505</v>
      </c>
      <c r="C2100" s="1" t="s">
        <v>3506</v>
      </c>
      <c r="D2100" s="1" t="s">
        <v>3506</v>
      </c>
      <c r="E2100" t="s">
        <v>3507</v>
      </c>
      <c r="F2100" s="2" t="s">
        <v>1394</v>
      </c>
      <c r="G2100" t="s">
        <v>5</v>
      </c>
      <c r="H2100" s="2" t="s">
        <v>2214</v>
      </c>
      <c r="I2100" s="2">
        <v>3.2</v>
      </c>
    </row>
    <row r="2101" spans="1:9" x14ac:dyDescent="0.25">
      <c r="A2101" s="1" t="s">
        <v>3504</v>
      </c>
      <c r="B2101" t="s">
        <v>3505</v>
      </c>
      <c r="C2101" s="1" t="s">
        <v>432</v>
      </c>
      <c r="D2101" s="1" t="s">
        <v>432</v>
      </c>
      <c r="E2101" t="s">
        <v>433</v>
      </c>
      <c r="F2101" s="2" t="s">
        <v>434</v>
      </c>
      <c r="G2101" t="s">
        <v>435</v>
      </c>
      <c r="H2101" s="2" t="s">
        <v>92</v>
      </c>
      <c r="I2101" s="2">
        <v>2.2000000000000002</v>
      </c>
    </row>
    <row r="2102" spans="1:9" x14ac:dyDescent="0.25">
      <c r="A2102" s="1" t="s">
        <v>3504</v>
      </c>
      <c r="B2102" t="s">
        <v>3505</v>
      </c>
      <c r="C2102" s="1" t="s">
        <v>541</v>
      </c>
      <c r="D2102" s="1" t="s">
        <v>541</v>
      </c>
      <c r="E2102" t="s">
        <v>542</v>
      </c>
      <c r="F2102" s="2" t="s">
        <v>9</v>
      </c>
      <c r="G2102" t="s">
        <v>10</v>
      </c>
      <c r="H2102" s="2" t="s">
        <v>601</v>
      </c>
      <c r="I2102" s="2">
        <v>6.9</v>
      </c>
    </row>
    <row r="2103" spans="1:9" x14ac:dyDescent="0.25">
      <c r="A2103" s="1" t="s">
        <v>3508</v>
      </c>
      <c r="B2103" t="s">
        <v>3509</v>
      </c>
      <c r="C2103" s="1" t="s">
        <v>3510</v>
      </c>
      <c r="D2103" s="1" t="s">
        <v>3510</v>
      </c>
      <c r="E2103" t="s">
        <v>3511</v>
      </c>
      <c r="F2103" s="2" t="s">
        <v>1017</v>
      </c>
      <c r="G2103" t="s">
        <v>5</v>
      </c>
      <c r="H2103" s="2" t="s">
        <v>558</v>
      </c>
      <c r="I2103" s="2">
        <v>4.32</v>
      </c>
    </row>
    <row r="2104" spans="1:9" x14ac:dyDescent="0.25">
      <c r="A2104" s="1" t="s">
        <v>3508</v>
      </c>
      <c r="B2104" t="s">
        <v>3509</v>
      </c>
      <c r="C2104" s="1" t="s">
        <v>541</v>
      </c>
      <c r="D2104" s="1" t="s">
        <v>541</v>
      </c>
      <c r="E2104" t="s">
        <v>542</v>
      </c>
      <c r="F2104" s="2" t="s">
        <v>9</v>
      </c>
      <c r="G2104" t="s">
        <v>10</v>
      </c>
      <c r="H2104" s="2" t="s">
        <v>33</v>
      </c>
      <c r="I2104" s="2">
        <v>9.1999999999999993</v>
      </c>
    </row>
    <row r="2105" spans="1:9" x14ac:dyDescent="0.25">
      <c r="A2105" s="1" t="s">
        <v>3512</v>
      </c>
      <c r="B2105" t="s">
        <v>3513</v>
      </c>
      <c r="C2105" s="1" t="s">
        <v>1203</v>
      </c>
      <c r="D2105" s="1" t="s">
        <v>1203</v>
      </c>
      <c r="E2105" t="s">
        <v>1204</v>
      </c>
      <c r="F2105" s="2" t="s">
        <v>216</v>
      </c>
      <c r="G2105" t="s">
        <v>5</v>
      </c>
      <c r="H2105" s="2" t="s">
        <v>1236</v>
      </c>
      <c r="I2105" s="2">
        <v>0.84</v>
      </c>
    </row>
    <row r="2106" spans="1:9" x14ac:dyDescent="0.25">
      <c r="A2106" s="1" t="s">
        <v>3512</v>
      </c>
      <c r="B2106" t="s">
        <v>3513</v>
      </c>
      <c r="C2106" s="1" t="s">
        <v>541</v>
      </c>
      <c r="D2106" s="1" t="s">
        <v>541</v>
      </c>
      <c r="E2106" t="s">
        <v>542</v>
      </c>
      <c r="F2106" s="2" t="s">
        <v>9</v>
      </c>
      <c r="G2106" t="s">
        <v>10</v>
      </c>
      <c r="H2106" s="2" t="s">
        <v>3514</v>
      </c>
      <c r="I2106" s="2">
        <v>4.8499999999999996</v>
      </c>
    </row>
    <row r="2107" spans="1:9" x14ac:dyDescent="0.25">
      <c r="A2107" s="1" t="s">
        <v>3515</v>
      </c>
      <c r="B2107" t="s">
        <v>3516</v>
      </c>
      <c r="C2107" s="1" t="s">
        <v>3517</v>
      </c>
      <c r="D2107" s="1" t="s">
        <v>3517</v>
      </c>
      <c r="E2107" t="s">
        <v>3518</v>
      </c>
      <c r="F2107" s="2" t="s">
        <v>3519</v>
      </c>
      <c r="G2107" t="s">
        <v>17</v>
      </c>
      <c r="H2107" s="2" t="s">
        <v>3520</v>
      </c>
      <c r="I2107" s="2">
        <v>14.76</v>
      </c>
    </row>
    <row r="2108" spans="1:9" x14ac:dyDescent="0.25">
      <c r="A2108" s="1" t="s">
        <v>3515</v>
      </c>
      <c r="B2108" t="s">
        <v>3516</v>
      </c>
      <c r="C2108" s="1" t="s">
        <v>3521</v>
      </c>
      <c r="D2108" s="1" t="s">
        <v>3521</v>
      </c>
      <c r="E2108" t="s">
        <v>3522</v>
      </c>
      <c r="F2108" s="2" t="s">
        <v>1768</v>
      </c>
      <c r="G2108" t="s">
        <v>121</v>
      </c>
      <c r="H2108" s="2" t="s">
        <v>50</v>
      </c>
      <c r="I2108" s="2">
        <v>0</v>
      </c>
    </row>
    <row r="2109" spans="1:9" x14ac:dyDescent="0.25">
      <c r="A2109" s="1" t="s">
        <v>3515</v>
      </c>
      <c r="B2109" t="s">
        <v>3516</v>
      </c>
      <c r="C2109" s="1" t="s">
        <v>3521</v>
      </c>
      <c r="D2109" s="1" t="s">
        <v>3521</v>
      </c>
      <c r="E2109" t="s">
        <v>3522</v>
      </c>
      <c r="F2109" s="2" t="s">
        <v>1768</v>
      </c>
      <c r="G2109" t="s">
        <v>121</v>
      </c>
      <c r="H2109" s="2" t="s">
        <v>50</v>
      </c>
      <c r="I2109" s="2">
        <v>0</v>
      </c>
    </row>
    <row r="2110" spans="1:9" x14ac:dyDescent="0.25">
      <c r="A2110" s="1" t="s">
        <v>3515</v>
      </c>
      <c r="B2110" t="s">
        <v>3516</v>
      </c>
      <c r="C2110" s="1" t="s">
        <v>3523</v>
      </c>
      <c r="D2110" s="1" t="s">
        <v>3523</v>
      </c>
      <c r="E2110" t="s">
        <v>3524</v>
      </c>
      <c r="F2110" s="2" t="s">
        <v>3525</v>
      </c>
      <c r="G2110" t="s">
        <v>49</v>
      </c>
      <c r="H2110" s="2" t="s">
        <v>50</v>
      </c>
      <c r="I2110" s="2">
        <v>449.19</v>
      </c>
    </row>
    <row r="2111" spans="1:9" x14ac:dyDescent="0.25">
      <c r="A2111" s="1" t="s">
        <v>3515</v>
      </c>
      <c r="B2111" t="s">
        <v>3516</v>
      </c>
      <c r="C2111" s="1" t="s">
        <v>3526</v>
      </c>
      <c r="D2111" s="1" t="s">
        <v>3526</v>
      </c>
      <c r="E2111" t="s">
        <v>3527</v>
      </c>
      <c r="F2111" s="2" t="s">
        <v>3528</v>
      </c>
      <c r="G2111" t="s">
        <v>121</v>
      </c>
      <c r="H2111" s="2" t="s">
        <v>2002</v>
      </c>
      <c r="I2111" s="2">
        <v>0</v>
      </c>
    </row>
    <row r="2112" spans="1:9" x14ac:dyDescent="0.25">
      <c r="A2112" s="1" t="s">
        <v>3515</v>
      </c>
      <c r="B2112" t="s">
        <v>3516</v>
      </c>
      <c r="C2112" s="1" t="s">
        <v>3452</v>
      </c>
      <c r="D2112" s="1" t="s">
        <v>3452</v>
      </c>
      <c r="E2112" t="s">
        <v>3453</v>
      </c>
      <c r="F2112" s="2" t="s">
        <v>1588</v>
      </c>
      <c r="G2112" t="s">
        <v>39</v>
      </c>
      <c r="H2112" s="2" t="s">
        <v>1236</v>
      </c>
      <c r="I2112" s="2">
        <v>2.34</v>
      </c>
    </row>
    <row r="2113" spans="1:10" x14ac:dyDescent="0.25">
      <c r="A2113" s="1" t="s">
        <v>3515</v>
      </c>
      <c r="B2113" t="s">
        <v>3516</v>
      </c>
      <c r="C2113" s="1" t="s">
        <v>2835</v>
      </c>
      <c r="D2113" s="1" t="s">
        <v>2835</v>
      </c>
      <c r="E2113" t="s">
        <v>2836</v>
      </c>
      <c r="F2113" s="2" t="s">
        <v>2837</v>
      </c>
      <c r="G2113" t="s">
        <v>5</v>
      </c>
      <c r="H2113" s="2" t="s">
        <v>3454</v>
      </c>
      <c r="I2113" s="2">
        <v>1.89</v>
      </c>
    </row>
    <row r="2114" spans="1:10" x14ac:dyDescent="0.25">
      <c r="A2114" s="1" t="s">
        <v>3515</v>
      </c>
      <c r="B2114" t="s">
        <v>3516</v>
      </c>
      <c r="C2114" s="1" t="s">
        <v>3456</v>
      </c>
      <c r="D2114" s="1" t="s">
        <v>3456</v>
      </c>
      <c r="E2114" t="s">
        <v>3457</v>
      </c>
      <c r="F2114" s="2" t="s">
        <v>3458</v>
      </c>
      <c r="G2114" t="s">
        <v>39</v>
      </c>
      <c r="H2114" s="2" t="s">
        <v>605</v>
      </c>
      <c r="I2114" s="2">
        <v>0.66</v>
      </c>
    </row>
    <row r="2115" spans="1:10" x14ac:dyDescent="0.25">
      <c r="A2115" s="1" t="s">
        <v>3515</v>
      </c>
      <c r="B2115" t="s">
        <v>3516</v>
      </c>
      <c r="C2115" s="1" t="s">
        <v>3529</v>
      </c>
      <c r="D2115" s="1" t="s">
        <v>3529</v>
      </c>
      <c r="E2115" t="s">
        <v>3530</v>
      </c>
      <c r="F2115" s="2" t="s">
        <v>1888</v>
      </c>
      <c r="G2115" t="s">
        <v>5</v>
      </c>
      <c r="H2115" s="2" t="s">
        <v>2302</v>
      </c>
      <c r="I2115" s="2">
        <v>0.18</v>
      </c>
    </row>
    <row r="2116" spans="1:10" x14ac:dyDescent="0.25">
      <c r="A2116" s="1" t="s">
        <v>3515</v>
      </c>
      <c r="B2116" t="s">
        <v>3516</v>
      </c>
      <c r="C2116" s="1" t="s">
        <v>628</v>
      </c>
      <c r="D2116" s="1" t="s">
        <v>628</v>
      </c>
      <c r="E2116" t="s">
        <v>629</v>
      </c>
      <c r="F2116" s="2" t="s">
        <v>630</v>
      </c>
      <c r="G2116" t="s">
        <v>5</v>
      </c>
      <c r="H2116" s="2" t="s">
        <v>598</v>
      </c>
      <c r="I2116" s="2">
        <v>0.08</v>
      </c>
    </row>
    <row r="2117" spans="1:10" x14ac:dyDescent="0.25">
      <c r="A2117" s="1" t="s">
        <v>3515</v>
      </c>
      <c r="B2117" t="s">
        <v>3516</v>
      </c>
      <c r="C2117" s="1" t="s">
        <v>483</v>
      </c>
      <c r="D2117" s="1" t="s">
        <v>483</v>
      </c>
      <c r="E2117" t="s">
        <v>484</v>
      </c>
      <c r="F2117" s="2" t="s">
        <v>2789</v>
      </c>
      <c r="G2117" t="s">
        <v>5</v>
      </c>
      <c r="H2117" s="2" t="s">
        <v>3531</v>
      </c>
      <c r="I2117" s="2">
        <v>0.11</v>
      </c>
    </row>
    <row r="2118" spans="1:10" x14ac:dyDescent="0.25">
      <c r="A2118" s="1" t="s">
        <v>3515</v>
      </c>
      <c r="B2118" t="s">
        <v>3516</v>
      </c>
      <c r="C2118" s="1" t="s">
        <v>2844</v>
      </c>
      <c r="D2118" s="1" t="s">
        <v>2844</v>
      </c>
      <c r="E2118" t="s">
        <v>2845</v>
      </c>
      <c r="F2118" s="2" t="s">
        <v>2846</v>
      </c>
      <c r="G2118" t="s">
        <v>5</v>
      </c>
      <c r="H2118" s="2" t="s">
        <v>2213</v>
      </c>
      <c r="I2118" s="2">
        <v>0.01</v>
      </c>
    </row>
    <row r="2119" spans="1:10" x14ac:dyDescent="0.25">
      <c r="A2119" s="1" t="s">
        <v>3515</v>
      </c>
      <c r="B2119" t="s">
        <v>3516</v>
      </c>
      <c r="C2119" s="1" t="s">
        <v>1971</v>
      </c>
      <c r="D2119" s="1" t="s">
        <v>1971</v>
      </c>
      <c r="E2119" t="s">
        <v>1972</v>
      </c>
      <c r="F2119" s="2" t="s">
        <v>1964</v>
      </c>
      <c r="G2119" t="s">
        <v>5</v>
      </c>
      <c r="H2119" s="2" t="s">
        <v>3460</v>
      </c>
      <c r="I2119" s="2">
        <v>0.62</v>
      </c>
    </row>
    <row r="2120" spans="1:10" x14ac:dyDescent="0.25">
      <c r="A2120" s="1" t="s">
        <v>3515</v>
      </c>
      <c r="B2120" t="s">
        <v>3516</v>
      </c>
      <c r="C2120" s="1" t="s">
        <v>2848</v>
      </c>
      <c r="D2120" s="1" t="s">
        <v>2848</v>
      </c>
      <c r="E2120" t="s">
        <v>2849</v>
      </c>
      <c r="F2120" s="2" t="s">
        <v>879</v>
      </c>
      <c r="G2120" t="s">
        <v>5</v>
      </c>
      <c r="H2120" s="2" t="s">
        <v>3461</v>
      </c>
      <c r="I2120" s="2">
        <v>0.19</v>
      </c>
    </row>
    <row r="2121" spans="1:10" x14ac:dyDescent="0.25">
      <c r="A2121" s="1" t="s">
        <v>3515</v>
      </c>
      <c r="B2121" t="s">
        <v>3516</v>
      </c>
      <c r="C2121" s="1" t="s">
        <v>1974</v>
      </c>
      <c r="D2121" s="1" t="s">
        <v>1974</v>
      </c>
      <c r="E2121" t="s">
        <v>1975</v>
      </c>
      <c r="F2121" s="2" t="s">
        <v>879</v>
      </c>
      <c r="G2121" t="s">
        <v>121</v>
      </c>
      <c r="H2121" s="2" t="s">
        <v>367</v>
      </c>
      <c r="I2121" s="2">
        <v>0.7</v>
      </c>
    </row>
    <row r="2122" spans="1:10" x14ac:dyDescent="0.25">
      <c r="A2122" s="1" t="s">
        <v>3515</v>
      </c>
      <c r="B2122" t="s">
        <v>3516</v>
      </c>
      <c r="C2122" s="1" t="s">
        <v>41</v>
      </c>
      <c r="D2122" s="1" t="s">
        <v>41</v>
      </c>
      <c r="E2122" t="s">
        <v>42</v>
      </c>
      <c r="F2122" s="2" t="s">
        <v>513</v>
      </c>
      <c r="G2122" t="s">
        <v>5</v>
      </c>
      <c r="H2122" s="2" t="s">
        <v>19</v>
      </c>
      <c r="I2122" s="2">
        <v>0.55000000000000004</v>
      </c>
    </row>
    <row r="2123" spans="1:10" x14ac:dyDescent="0.25">
      <c r="A2123" s="1" t="s">
        <v>3515</v>
      </c>
      <c r="B2123" t="s">
        <v>3516</v>
      </c>
      <c r="C2123" s="1" t="s">
        <v>2797</v>
      </c>
      <c r="D2123" s="1" t="s">
        <v>2797</v>
      </c>
      <c r="E2123" t="s">
        <v>2798</v>
      </c>
      <c r="F2123" s="2" t="s">
        <v>2799</v>
      </c>
      <c r="G2123" t="s">
        <v>121</v>
      </c>
      <c r="H2123" s="2" t="s">
        <v>50</v>
      </c>
      <c r="I2123" s="2">
        <v>2.41</v>
      </c>
    </row>
    <row r="2124" spans="1:10" x14ac:dyDescent="0.25">
      <c r="A2124" s="1" t="s">
        <v>3515</v>
      </c>
      <c r="B2124" t="s">
        <v>3516</v>
      </c>
      <c r="C2124" s="1" t="s">
        <v>3532</v>
      </c>
      <c r="D2124" s="1" t="s">
        <v>3532</v>
      </c>
      <c r="E2124" t="s">
        <v>3533</v>
      </c>
      <c r="F2124" s="2" t="s">
        <v>3534</v>
      </c>
      <c r="G2124" t="s">
        <v>121</v>
      </c>
      <c r="H2124" s="2" t="s">
        <v>50</v>
      </c>
      <c r="I2124" s="2">
        <v>30.13</v>
      </c>
      <c r="J2124" t="s">
        <v>55</v>
      </c>
    </row>
    <row r="2125" spans="1:10" x14ac:dyDescent="0.25">
      <c r="A2125" s="1" t="s">
        <v>3515</v>
      </c>
      <c r="B2125" t="s">
        <v>3516</v>
      </c>
      <c r="C2125" s="1" t="s">
        <v>2800</v>
      </c>
      <c r="D2125" s="1" t="s">
        <v>2800</v>
      </c>
      <c r="E2125" t="s">
        <v>2801</v>
      </c>
      <c r="F2125" s="2" t="s">
        <v>2802</v>
      </c>
      <c r="G2125" t="s">
        <v>121</v>
      </c>
      <c r="H2125" s="2" t="s">
        <v>50</v>
      </c>
      <c r="I2125" s="2">
        <v>157.28</v>
      </c>
      <c r="J2125" t="s">
        <v>55</v>
      </c>
    </row>
    <row r="2126" spans="1:10" x14ac:dyDescent="0.25">
      <c r="A2126" s="1" t="s">
        <v>3515</v>
      </c>
      <c r="B2126" t="s">
        <v>3516</v>
      </c>
      <c r="C2126" s="1" t="s">
        <v>2803</v>
      </c>
      <c r="D2126" s="1" t="s">
        <v>2803</v>
      </c>
      <c r="E2126" t="s">
        <v>2804</v>
      </c>
      <c r="F2126" s="2" t="s">
        <v>2805</v>
      </c>
      <c r="G2126" t="s">
        <v>121</v>
      </c>
      <c r="H2126" s="2" t="s">
        <v>50</v>
      </c>
      <c r="I2126" s="2">
        <v>122.15</v>
      </c>
      <c r="J2126" t="s">
        <v>55</v>
      </c>
    </row>
    <row r="2127" spans="1:10" x14ac:dyDescent="0.25">
      <c r="A2127" s="1" t="s">
        <v>3515</v>
      </c>
      <c r="B2127" t="s">
        <v>3516</v>
      </c>
      <c r="C2127" s="1" t="s">
        <v>2806</v>
      </c>
      <c r="D2127" s="1" t="s">
        <v>2806</v>
      </c>
      <c r="E2127" t="s">
        <v>2807</v>
      </c>
      <c r="F2127" s="2" t="s">
        <v>2808</v>
      </c>
      <c r="G2127" t="s">
        <v>121</v>
      </c>
      <c r="H2127" s="2" t="s">
        <v>50</v>
      </c>
      <c r="I2127" s="2">
        <v>178.11</v>
      </c>
      <c r="J2127" t="s">
        <v>55</v>
      </c>
    </row>
    <row r="2128" spans="1:10" x14ac:dyDescent="0.25">
      <c r="A2128" s="1" t="s">
        <v>3515</v>
      </c>
      <c r="B2128" t="s">
        <v>3516</v>
      </c>
      <c r="C2128" s="1" t="s">
        <v>2809</v>
      </c>
      <c r="D2128" s="1" t="s">
        <v>2809</v>
      </c>
      <c r="E2128" t="s">
        <v>2810</v>
      </c>
      <c r="F2128" s="2" t="s">
        <v>2811</v>
      </c>
      <c r="G2128" t="s">
        <v>121</v>
      </c>
      <c r="H2128" s="2" t="s">
        <v>50</v>
      </c>
      <c r="I2128" s="2">
        <v>74.95</v>
      </c>
      <c r="J2128" t="s">
        <v>55</v>
      </c>
    </row>
    <row r="2129" spans="1:10" x14ac:dyDescent="0.25">
      <c r="A2129" s="1" t="s">
        <v>3515</v>
      </c>
      <c r="B2129" t="s">
        <v>3516</v>
      </c>
      <c r="C2129" s="1" t="s">
        <v>2815</v>
      </c>
      <c r="D2129" s="1" t="s">
        <v>2815</v>
      </c>
      <c r="E2129" t="s">
        <v>2816</v>
      </c>
      <c r="F2129" s="2" t="s">
        <v>2817</v>
      </c>
      <c r="G2129" t="s">
        <v>121</v>
      </c>
      <c r="H2129" s="2" t="s">
        <v>50</v>
      </c>
      <c r="I2129" s="2">
        <v>39.659999999999997</v>
      </c>
      <c r="J2129" t="s">
        <v>55</v>
      </c>
    </row>
    <row r="2130" spans="1:10" x14ac:dyDescent="0.25">
      <c r="A2130" s="1" t="s">
        <v>3515</v>
      </c>
      <c r="B2130" t="s">
        <v>3516</v>
      </c>
      <c r="C2130" s="1" t="s">
        <v>2818</v>
      </c>
      <c r="D2130" s="1" t="s">
        <v>2818</v>
      </c>
      <c r="E2130" t="s">
        <v>2819</v>
      </c>
      <c r="F2130" s="2" t="s">
        <v>2820</v>
      </c>
      <c r="G2130" t="s">
        <v>121</v>
      </c>
      <c r="H2130" s="2" t="s">
        <v>92</v>
      </c>
      <c r="I2130" s="2">
        <v>89.9</v>
      </c>
      <c r="J2130" t="s">
        <v>55</v>
      </c>
    </row>
    <row r="2131" spans="1:10" x14ac:dyDescent="0.25">
      <c r="A2131" s="1" t="s">
        <v>3515</v>
      </c>
      <c r="B2131" t="s">
        <v>3516</v>
      </c>
      <c r="C2131" s="1" t="s">
        <v>2577</v>
      </c>
      <c r="D2131" s="1" t="s">
        <v>2577</v>
      </c>
      <c r="E2131" t="s">
        <v>2578</v>
      </c>
      <c r="F2131" s="2" t="s">
        <v>686</v>
      </c>
      <c r="G2131" t="s">
        <v>49</v>
      </c>
      <c r="H2131" s="2" t="s">
        <v>3535</v>
      </c>
      <c r="I2131" s="2">
        <v>388.96</v>
      </c>
    </row>
    <row r="2132" spans="1:10" x14ac:dyDescent="0.25">
      <c r="A2132" s="1" t="s">
        <v>3515</v>
      </c>
      <c r="B2132" t="s">
        <v>3516</v>
      </c>
      <c r="C2132" s="1" t="s">
        <v>684</v>
      </c>
      <c r="D2132" s="1" t="s">
        <v>684</v>
      </c>
      <c r="E2132" t="s">
        <v>685</v>
      </c>
      <c r="F2132" s="2" t="s">
        <v>686</v>
      </c>
      <c r="G2132" t="s">
        <v>49</v>
      </c>
      <c r="H2132" s="2" t="s">
        <v>3536</v>
      </c>
      <c r="I2132" s="2">
        <v>1.01</v>
      </c>
    </row>
    <row r="2133" spans="1:10" x14ac:dyDescent="0.25">
      <c r="A2133" s="1" t="s">
        <v>3515</v>
      </c>
      <c r="B2133" t="s">
        <v>3516</v>
      </c>
      <c r="C2133" s="1" t="s">
        <v>684</v>
      </c>
      <c r="D2133" s="1" t="s">
        <v>684</v>
      </c>
      <c r="E2133" t="s">
        <v>685</v>
      </c>
      <c r="F2133" s="2" t="s">
        <v>686</v>
      </c>
      <c r="G2133" t="s">
        <v>49</v>
      </c>
      <c r="H2133" s="2" t="s">
        <v>3537</v>
      </c>
      <c r="I2133" s="2">
        <v>2.02</v>
      </c>
    </row>
    <row r="2134" spans="1:10" x14ac:dyDescent="0.25">
      <c r="A2134" s="1" t="s">
        <v>3515</v>
      </c>
      <c r="B2134" t="s">
        <v>3516</v>
      </c>
      <c r="C2134" s="1" t="s">
        <v>684</v>
      </c>
      <c r="D2134" s="1" t="s">
        <v>684</v>
      </c>
      <c r="E2134" t="s">
        <v>685</v>
      </c>
      <c r="F2134" s="2" t="s">
        <v>686</v>
      </c>
      <c r="G2134" t="s">
        <v>49</v>
      </c>
      <c r="H2134" s="2" t="s">
        <v>3538</v>
      </c>
      <c r="I2134" s="2">
        <v>1.96</v>
      </c>
    </row>
    <row r="2135" spans="1:10" x14ac:dyDescent="0.25">
      <c r="A2135" s="1" t="s">
        <v>3515</v>
      </c>
      <c r="B2135" t="s">
        <v>3516</v>
      </c>
      <c r="C2135" s="1" t="s">
        <v>541</v>
      </c>
      <c r="D2135" s="1" t="s">
        <v>541</v>
      </c>
      <c r="E2135" t="s">
        <v>542</v>
      </c>
      <c r="F2135" s="2" t="s">
        <v>9</v>
      </c>
      <c r="G2135" t="s">
        <v>10</v>
      </c>
      <c r="H2135" s="2" t="s">
        <v>3482</v>
      </c>
      <c r="I2135" s="2">
        <v>16.91</v>
      </c>
    </row>
    <row r="2136" spans="1:10" x14ac:dyDescent="0.25">
      <c r="A2136" s="1" t="s">
        <v>3515</v>
      </c>
      <c r="B2136" t="s">
        <v>3516</v>
      </c>
      <c r="C2136" s="1" t="s">
        <v>541</v>
      </c>
      <c r="D2136" s="1" t="s">
        <v>541</v>
      </c>
      <c r="E2136" t="s">
        <v>542</v>
      </c>
      <c r="F2136" s="2" t="s">
        <v>9</v>
      </c>
      <c r="G2136" t="s">
        <v>10</v>
      </c>
      <c r="H2136" s="2" t="s">
        <v>3539</v>
      </c>
      <c r="I2136" s="2">
        <v>166.64</v>
      </c>
    </row>
    <row r="2137" spans="1:10" x14ac:dyDescent="0.25">
      <c r="A2137" s="1" t="s">
        <v>3515</v>
      </c>
      <c r="B2137" t="s">
        <v>3516</v>
      </c>
      <c r="C2137" s="1" t="s">
        <v>541</v>
      </c>
      <c r="D2137" s="1" t="s">
        <v>541</v>
      </c>
      <c r="E2137" t="s">
        <v>542</v>
      </c>
      <c r="F2137" s="2" t="s">
        <v>9</v>
      </c>
      <c r="G2137" t="s">
        <v>10</v>
      </c>
      <c r="H2137" s="2" t="s">
        <v>3540</v>
      </c>
      <c r="I2137" s="2">
        <v>7.25</v>
      </c>
    </row>
    <row r="2138" spans="1:10" x14ac:dyDescent="0.25">
      <c r="A2138" s="1" t="s">
        <v>3541</v>
      </c>
      <c r="B2138" t="s">
        <v>3542</v>
      </c>
      <c r="C2138" s="1" t="s">
        <v>1794</v>
      </c>
      <c r="D2138" s="1" t="s">
        <v>1794</v>
      </c>
      <c r="E2138" t="s">
        <v>1795</v>
      </c>
      <c r="F2138" s="2" t="s">
        <v>117</v>
      </c>
      <c r="G2138" t="s">
        <v>17</v>
      </c>
      <c r="H2138" s="2" t="s">
        <v>1425</v>
      </c>
      <c r="I2138" s="2">
        <v>1.8</v>
      </c>
    </row>
    <row r="2139" spans="1:10" x14ac:dyDescent="0.25">
      <c r="A2139" s="1" t="s">
        <v>3541</v>
      </c>
      <c r="B2139" t="s">
        <v>3542</v>
      </c>
      <c r="C2139" s="1" t="s">
        <v>541</v>
      </c>
      <c r="D2139" s="1" t="s">
        <v>541</v>
      </c>
      <c r="E2139" t="s">
        <v>542</v>
      </c>
      <c r="F2139" s="2" t="s">
        <v>9</v>
      </c>
      <c r="G2139" t="s">
        <v>10</v>
      </c>
      <c r="H2139" s="2" t="s">
        <v>3514</v>
      </c>
      <c r="I2139" s="2">
        <v>4.8499999999999996</v>
      </c>
    </row>
    <row r="2140" spans="1:10" x14ac:dyDescent="0.25">
      <c r="A2140" s="1" t="s">
        <v>3543</v>
      </c>
      <c r="B2140" t="s">
        <v>3544</v>
      </c>
      <c r="C2140" s="1" t="s">
        <v>3363</v>
      </c>
      <c r="D2140" s="1" t="s">
        <v>3363</v>
      </c>
      <c r="E2140" t="s">
        <v>3364</v>
      </c>
      <c r="F2140" s="2" t="s">
        <v>3365</v>
      </c>
      <c r="G2140" t="s">
        <v>17</v>
      </c>
      <c r="H2140" s="2" t="s">
        <v>3545</v>
      </c>
      <c r="I2140" s="2">
        <v>3.15</v>
      </c>
    </row>
    <row r="2141" spans="1:10" x14ac:dyDescent="0.25">
      <c r="A2141" s="1" t="s">
        <v>3543</v>
      </c>
      <c r="B2141" t="s">
        <v>3544</v>
      </c>
      <c r="C2141" s="1" t="s">
        <v>541</v>
      </c>
      <c r="D2141" s="1" t="s">
        <v>541</v>
      </c>
      <c r="E2141" t="s">
        <v>542</v>
      </c>
      <c r="F2141" s="2" t="s">
        <v>9</v>
      </c>
      <c r="G2141" t="s">
        <v>10</v>
      </c>
      <c r="H2141" s="2" t="s">
        <v>3546</v>
      </c>
      <c r="I2141" s="2">
        <v>4.8099999999999996</v>
      </c>
    </row>
    <row r="2142" spans="1:10" x14ac:dyDescent="0.25">
      <c r="A2142" s="1" t="s">
        <v>3547</v>
      </c>
      <c r="B2142" t="s">
        <v>3548</v>
      </c>
      <c r="C2142" s="1" t="s">
        <v>1862</v>
      </c>
      <c r="D2142" s="1" t="s">
        <v>1862</v>
      </c>
      <c r="E2142" t="s">
        <v>1863</v>
      </c>
      <c r="F2142" s="2" t="s">
        <v>3549</v>
      </c>
      <c r="G2142" t="s">
        <v>121</v>
      </c>
      <c r="H2142" s="2" t="s">
        <v>860</v>
      </c>
      <c r="I2142" s="2">
        <v>2.38</v>
      </c>
    </row>
    <row r="2143" spans="1:10" x14ac:dyDescent="0.25">
      <c r="A2143" s="1" t="s">
        <v>3547</v>
      </c>
      <c r="B2143" t="s">
        <v>3548</v>
      </c>
      <c r="C2143" s="1" t="s">
        <v>7</v>
      </c>
      <c r="D2143" s="1" t="s">
        <v>7</v>
      </c>
      <c r="E2143" t="s">
        <v>8</v>
      </c>
      <c r="F2143" s="2" t="s">
        <v>9</v>
      </c>
      <c r="G2143" t="s">
        <v>10</v>
      </c>
      <c r="H2143" s="2" t="s">
        <v>1371</v>
      </c>
      <c r="I2143" s="2">
        <v>1.1499999999999999</v>
      </c>
    </row>
    <row r="2144" spans="1:10" x14ac:dyDescent="0.25">
      <c r="A2144" s="1" t="s">
        <v>3550</v>
      </c>
      <c r="B2144" t="s">
        <v>3551</v>
      </c>
      <c r="C2144" s="1" t="s">
        <v>3552</v>
      </c>
      <c r="D2144" s="1" t="s">
        <v>3552</v>
      </c>
      <c r="E2144" t="s">
        <v>3553</v>
      </c>
      <c r="F2144" s="2" t="s">
        <v>3554</v>
      </c>
      <c r="G2144" t="s">
        <v>17</v>
      </c>
      <c r="H2144" s="2" t="s">
        <v>3555</v>
      </c>
      <c r="I2144" s="2">
        <v>1.58</v>
      </c>
    </row>
    <row r="2145" spans="1:9" x14ac:dyDescent="0.25">
      <c r="A2145" s="1" t="s">
        <v>3550</v>
      </c>
      <c r="B2145" t="s">
        <v>3551</v>
      </c>
      <c r="C2145" s="1" t="s">
        <v>541</v>
      </c>
      <c r="D2145" s="1" t="s">
        <v>541</v>
      </c>
      <c r="E2145" t="s">
        <v>542</v>
      </c>
      <c r="F2145" s="2" t="s">
        <v>9</v>
      </c>
      <c r="G2145" t="s">
        <v>10</v>
      </c>
      <c r="H2145" s="2" t="s">
        <v>3556</v>
      </c>
      <c r="I2145" s="2">
        <v>1.71</v>
      </c>
    </row>
    <row r="2146" spans="1:9" x14ac:dyDescent="0.25">
      <c r="A2146" s="1" t="s">
        <v>3557</v>
      </c>
      <c r="B2146" t="s">
        <v>3558</v>
      </c>
      <c r="C2146" s="1" t="s">
        <v>541</v>
      </c>
      <c r="D2146" s="1" t="s">
        <v>541</v>
      </c>
      <c r="E2146" t="s">
        <v>542</v>
      </c>
      <c r="F2146" s="2" t="s">
        <v>9</v>
      </c>
      <c r="G2146" t="s">
        <v>10</v>
      </c>
      <c r="H2146" s="2" t="s">
        <v>2890</v>
      </c>
      <c r="I2146" s="2">
        <v>2.42</v>
      </c>
    </row>
    <row r="2147" spans="1:9" x14ac:dyDescent="0.25">
      <c r="A2147" s="1" t="s">
        <v>3559</v>
      </c>
      <c r="B2147" t="s">
        <v>3560</v>
      </c>
      <c r="C2147" s="1" t="s">
        <v>1794</v>
      </c>
      <c r="D2147" s="1" t="s">
        <v>1794</v>
      </c>
      <c r="E2147" t="s">
        <v>1795</v>
      </c>
      <c r="F2147" s="2" t="s">
        <v>117</v>
      </c>
      <c r="G2147" t="s">
        <v>17</v>
      </c>
      <c r="H2147" s="2" t="s">
        <v>25</v>
      </c>
      <c r="I2147" s="2">
        <v>1.2</v>
      </c>
    </row>
    <row r="2148" spans="1:9" x14ac:dyDescent="0.25">
      <c r="A2148" s="1" t="s">
        <v>3559</v>
      </c>
      <c r="B2148" t="s">
        <v>3560</v>
      </c>
      <c r="C2148" s="1" t="s">
        <v>541</v>
      </c>
      <c r="D2148" s="1" t="s">
        <v>541</v>
      </c>
      <c r="E2148" t="s">
        <v>542</v>
      </c>
      <c r="F2148" s="2" t="s">
        <v>9</v>
      </c>
      <c r="G2148" t="s">
        <v>10</v>
      </c>
      <c r="H2148" s="2" t="s">
        <v>3514</v>
      </c>
      <c r="I2148" s="2">
        <v>4.8499999999999996</v>
      </c>
    </row>
    <row r="2149" spans="1:9" x14ac:dyDescent="0.25">
      <c r="A2149" s="1" t="s">
        <v>3561</v>
      </c>
      <c r="B2149" t="s">
        <v>3562</v>
      </c>
      <c r="C2149" s="1" t="s">
        <v>1794</v>
      </c>
      <c r="D2149" s="1" t="s">
        <v>1794</v>
      </c>
      <c r="E2149" t="s">
        <v>1795</v>
      </c>
      <c r="F2149" s="2" t="s">
        <v>117</v>
      </c>
      <c r="G2149" t="s">
        <v>17</v>
      </c>
      <c r="H2149" s="2" t="s">
        <v>25</v>
      </c>
      <c r="I2149" s="2">
        <v>1.2</v>
      </c>
    </row>
    <row r="2150" spans="1:9" x14ac:dyDescent="0.25">
      <c r="A2150" s="1" t="s">
        <v>3561</v>
      </c>
      <c r="B2150" t="s">
        <v>3562</v>
      </c>
      <c r="C2150" s="1" t="s">
        <v>541</v>
      </c>
      <c r="D2150" s="1" t="s">
        <v>541</v>
      </c>
      <c r="E2150" t="s">
        <v>542</v>
      </c>
      <c r="F2150" s="2" t="s">
        <v>9</v>
      </c>
      <c r="G2150" t="s">
        <v>10</v>
      </c>
      <c r="H2150" s="2" t="s">
        <v>3514</v>
      </c>
      <c r="I2150" s="2">
        <v>4.8499999999999996</v>
      </c>
    </row>
    <row r="2151" spans="1:9" x14ac:dyDescent="0.25">
      <c r="A2151" s="1" t="s">
        <v>407</v>
      </c>
      <c r="B2151" t="s">
        <v>408</v>
      </c>
      <c r="C2151" s="1" t="s">
        <v>3288</v>
      </c>
      <c r="D2151" s="1" t="s">
        <v>3288</v>
      </c>
      <c r="E2151" t="s">
        <v>3289</v>
      </c>
      <c r="F2151" s="2" t="s">
        <v>1970</v>
      </c>
      <c r="G2151" t="s">
        <v>5</v>
      </c>
      <c r="H2151" s="2" t="s">
        <v>3563</v>
      </c>
      <c r="I2151" s="2">
        <v>0.1</v>
      </c>
    </row>
    <row r="2152" spans="1:9" x14ac:dyDescent="0.25">
      <c r="A2152" s="1" t="s">
        <v>407</v>
      </c>
      <c r="B2152" t="s">
        <v>408</v>
      </c>
      <c r="C2152" s="1" t="s">
        <v>7</v>
      </c>
      <c r="D2152" s="1" t="s">
        <v>7</v>
      </c>
      <c r="E2152" t="s">
        <v>8</v>
      </c>
      <c r="F2152" s="2" t="s">
        <v>9</v>
      </c>
      <c r="G2152" t="s">
        <v>10</v>
      </c>
      <c r="H2152" s="2" t="s">
        <v>1371</v>
      </c>
      <c r="I2152" s="2">
        <v>1.1499999999999999</v>
      </c>
    </row>
    <row r="2153" spans="1:9" x14ac:dyDescent="0.25">
      <c r="A2153" s="1" t="s">
        <v>410</v>
      </c>
      <c r="B2153" t="s">
        <v>411</v>
      </c>
      <c r="C2153" s="1" t="s">
        <v>3288</v>
      </c>
      <c r="D2153" s="1" t="s">
        <v>3288</v>
      </c>
      <c r="E2153" t="s">
        <v>3289</v>
      </c>
      <c r="F2153" s="2" t="s">
        <v>1970</v>
      </c>
      <c r="G2153" t="s">
        <v>5</v>
      </c>
      <c r="H2153" s="2" t="s">
        <v>3564</v>
      </c>
      <c r="I2153" s="2">
        <v>0.1</v>
      </c>
    </row>
    <row r="2154" spans="1:9" x14ac:dyDescent="0.25">
      <c r="A2154" s="1" t="s">
        <v>410</v>
      </c>
      <c r="B2154" t="s">
        <v>411</v>
      </c>
      <c r="C2154" s="1" t="s">
        <v>7</v>
      </c>
      <c r="D2154" s="1" t="s">
        <v>7</v>
      </c>
      <c r="E2154" t="s">
        <v>8</v>
      </c>
      <c r="F2154" s="2" t="s">
        <v>9</v>
      </c>
      <c r="G2154" t="s">
        <v>10</v>
      </c>
      <c r="H2154" s="2" t="s">
        <v>1371</v>
      </c>
      <c r="I2154" s="2">
        <v>1.1499999999999999</v>
      </c>
    </row>
    <row r="2155" spans="1:9" x14ac:dyDescent="0.25">
      <c r="A2155" s="1" t="s">
        <v>412</v>
      </c>
      <c r="B2155" t="s">
        <v>413</v>
      </c>
      <c r="C2155" s="1" t="s">
        <v>3565</v>
      </c>
      <c r="D2155" s="1" t="s">
        <v>3565</v>
      </c>
      <c r="E2155" t="s">
        <v>3566</v>
      </c>
      <c r="F2155" s="2" t="s">
        <v>1017</v>
      </c>
      <c r="G2155" t="s">
        <v>5</v>
      </c>
      <c r="H2155" s="2" t="s">
        <v>3567</v>
      </c>
      <c r="I2155" s="2">
        <v>9.9</v>
      </c>
    </row>
    <row r="2156" spans="1:9" x14ac:dyDescent="0.25">
      <c r="A2156" s="1" t="s">
        <v>412</v>
      </c>
      <c r="B2156" t="s">
        <v>413</v>
      </c>
      <c r="C2156" s="1" t="s">
        <v>541</v>
      </c>
      <c r="D2156" s="1" t="s">
        <v>541</v>
      </c>
      <c r="E2156" t="s">
        <v>542</v>
      </c>
      <c r="F2156" s="2" t="s">
        <v>9</v>
      </c>
      <c r="G2156" t="s">
        <v>10</v>
      </c>
      <c r="H2156" s="2" t="s">
        <v>594</v>
      </c>
      <c r="I2156" s="2">
        <v>11.5</v>
      </c>
    </row>
    <row r="2157" spans="1:9" x14ac:dyDescent="0.25">
      <c r="A2157" s="1" t="s">
        <v>415</v>
      </c>
      <c r="B2157" t="s">
        <v>416</v>
      </c>
      <c r="C2157" s="1" t="s">
        <v>3568</v>
      </c>
      <c r="D2157" s="1" t="s">
        <v>3568</v>
      </c>
      <c r="E2157" t="s">
        <v>3569</v>
      </c>
      <c r="F2157" s="2" t="s">
        <v>3570</v>
      </c>
      <c r="G2157" t="s">
        <v>17</v>
      </c>
      <c r="H2157" s="2" t="s">
        <v>3571</v>
      </c>
      <c r="I2157" s="2">
        <v>1.61</v>
      </c>
    </row>
    <row r="2158" spans="1:9" x14ac:dyDescent="0.25">
      <c r="A2158" s="1" t="s">
        <v>415</v>
      </c>
      <c r="B2158" t="s">
        <v>416</v>
      </c>
      <c r="C2158" s="1" t="s">
        <v>541</v>
      </c>
      <c r="D2158" s="1" t="s">
        <v>541</v>
      </c>
      <c r="E2158" t="s">
        <v>542</v>
      </c>
      <c r="F2158" s="2" t="s">
        <v>9</v>
      </c>
      <c r="G2158" t="s">
        <v>10</v>
      </c>
      <c r="H2158" s="2" t="s">
        <v>1141</v>
      </c>
      <c r="I2158" s="2">
        <v>5.75</v>
      </c>
    </row>
    <row r="2159" spans="1:9" x14ac:dyDescent="0.25">
      <c r="A2159" s="1" t="s">
        <v>418</v>
      </c>
      <c r="B2159" t="s">
        <v>419</v>
      </c>
      <c r="C2159" s="1" t="s">
        <v>3568</v>
      </c>
      <c r="D2159" s="1" t="s">
        <v>3568</v>
      </c>
      <c r="E2159" t="s">
        <v>3569</v>
      </c>
      <c r="F2159" s="2" t="s">
        <v>3570</v>
      </c>
      <c r="G2159" t="s">
        <v>17</v>
      </c>
      <c r="H2159" s="2" t="s">
        <v>3572</v>
      </c>
      <c r="I2159" s="2">
        <v>4.24</v>
      </c>
    </row>
    <row r="2160" spans="1:9" x14ac:dyDescent="0.25">
      <c r="A2160" s="1" t="s">
        <v>418</v>
      </c>
      <c r="B2160" t="s">
        <v>419</v>
      </c>
      <c r="C2160" s="1" t="s">
        <v>541</v>
      </c>
      <c r="D2160" s="1" t="s">
        <v>541</v>
      </c>
      <c r="E2160" t="s">
        <v>542</v>
      </c>
      <c r="F2160" s="2" t="s">
        <v>9</v>
      </c>
      <c r="G2160" t="s">
        <v>10</v>
      </c>
      <c r="H2160" s="2" t="s">
        <v>3573</v>
      </c>
      <c r="I2160" s="2">
        <v>8.1</v>
      </c>
    </row>
    <row r="2161" spans="1:10" x14ac:dyDescent="0.25">
      <c r="A2161" s="1" t="s">
        <v>421</v>
      </c>
      <c r="B2161" t="s">
        <v>422</v>
      </c>
      <c r="C2161" s="1" t="s">
        <v>3574</v>
      </c>
      <c r="D2161" s="1" t="s">
        <v>3574</v>
      </c>
      <c r="E2161" t="s">
        <v>3575</v>
      </c>
      <c r="F2161" s="2" t="s">
        <v>1354</v>
      </c>
      <c r="G2161" t="s">
        <v>5</v>
      </c>
      <c r="H2161" s="2" t="s">
        <v>3576</v>
      </c>
      <c r="I2161" s="2">
        <v>0.5</v>
      </c>
    </row>
    <row r="2162" spans="1:10" x14ac:dyDescent="0.25">
      <c r="A2162" s="1" t="s">
        <v>421</v>
      </c>
      <c r="B2162" t="s">
        <v>422</v>
      </c>
      <c r="C2162" s="1" t="s">
        <v>7</v>
      </c>
      <c r="D2162" s="1" t="s">
        <v>7</v>
      </c>
      <c r="E2162" t="s">
        <v>8</v>
      </c>
      <c r="F2162" s="2" t="s">
        <v>9</v>
      </c>
      <c r="G2162" t="s">
        <v>10</v>
      </c>
      <c r="H2162" s="2" t="s">
        <v>367</v>
      </c>
      <c r="I2162" s="2">
        <v>2.2999999999999998</v>
      </c>
    </row>
    <row r="2163" spans="1:10" x14ac:dyDescent="0.25">
      <c r="A2163" s="1" t="s">
        <v>424</v>
      </c>
      <c r="B2163" t="s">
        <v>425</v>
      </c>
      <c r="C2163" s="1" t="s">
        <v>3167</v>
      </c>
      <c r="D2163" s="1" t="s">
        <v>3167</v>
      </c>
      <c r="E2163" t="s">
        <v>3168</v>
      </c>
      <c r="F2163" s="2" t="s">
        <v>111</v>
      </c>
      <c r="G2163" t="s">
        <v>17</v>
      </c>
      <c r="H2163" s="2" t="s">
        <v>3577</v>
      </c>
      <c r="I2163" s="2">
        <v>1.1000000000000001</v>
      </c>
    </row>
    <row r="2164" spans="1:10" x14ac:dyDescent="0.25">
      <c r="A2164" s="1" t="s">
        <v>424</v>
      </c>
      <c r="B2164" t="s">
        <v>425</v>
      </c>
      <c r="C2164" s="1" t="s">
        <v>3231</v>
      </c>
      <c r="D2164" s="1" t="s">
        <v>3231</v>
      </c>
      <c r="E2164" t="s">
        <v>3232</v>
      </c>
      <c r="F2164" s="2" t="s">
        <v>3233</v>
      </c>
      <c r="G2164" t="s">
        <v>121</v>
      </c>
      <c r="H2164" s="2" t="s">
        <v>268</v>
      </c>
      <c r="I2164" s="2">
        <v>17.489999999999998</v>
      </c>
    </row>
    <row r="2165" spans="1:10" x14ac:dyDescent="0.25">
      <c r="A2165" s="1" t="s">
        <v>424</v>
      </c>
      <c r="B2165" t="s">
        <v>425</v>
      </c>
      <c r="C2165" s="1" t="s">
        <v>3179</v>
      </c>
      <c r="D2165" s="1" t="s">
        <v>3179</v>
      </c>
      <c r="E2165" t="s">
        <v>3180</v>
      </c>
      <c r="F2165" s="2" t="s">
        <v>151</v>
      </c>
      <c r="G2165" t="s">
        <v>121</v>
      </c>
      <c r="H2165" s="2" t="s">
        <v>50</v>
      </c>
      <c r="I2165" s="2">
        <v>2</v>
      </c>
    </row>
    <row r="2166" spans="1:10" x14ac:dyDescent="0.25">
      <c r="A2166" s="1" t="s">
        <v>424</v>
      </c>
      <c r="B2166" t="s">
        <v>425</v>
      </c>
      <c r="C2166" s="1" t="s">
        <v>3235</v>
      </c>
      <c r="D2166" s="1" t="s">
        <v>3235</v>
      </c>
      <c r="E2166" t="s">
        <v>3236</v>
      </c>
      <c r="F2166" s="2" t="s">
        <v>3237</v>
      </c>
      <c r="G2166" t="s">
        <v>121</v>
      </c>
      <c r="H2166" s="2" t="s">
        <v>122</v>
      </c>
      <c r="I2166" s="2">
        <v>20.92</v>
      </c>
    </row>
    <row r="2167" spans="1:10" x14ac:dyDescent="0.25">
      <c r="A2167" s="1" t="s">
        <v>424</v>
      </c>
      <c r="B2167" t="s">
        <v>425</v>
      </c>
      <c r="C2167" s="1" t="s">
        <v>3182</v>
      </c>
      <c r="D2167" s="1" t="s">
        <v>3182</v>
      </c>
      <c r="E2167" t="s">
        <v>3183</v>
      </c>
      <c r="F2167" s="2" t="s">
        <v>3184</v>
      </c>
      <c r="G2167" t="s">
        <v>121</v>
      </c>
      <c r="H2167" s="2" t="s">
        <v>50</v>
      </c>
      <c r="I2167" s="2">
        <v>0.15</v>
      </c>
    </row>
    <row r="2168" spans="1:10" x14ac:dyDescent="0.25">
      <c r="A2168" s="1" t="s">
        <v>424</v>
      </c>
      <c r="B2168" t="s">
        <v>425</v>
      </c>
      <c r="C2168" s="1" t="s">
        <v>3185</v>
      </c>
      <c r="D2168" s="1" t="s">
        <v>3185</v>
      </c>
      <c r="E2168" t="s">
        <v>3186</v>
      </c>
      <c r="F2168" s="2" t="s">
        <v>979</v>
      </c>
      <c r="G2168" t="s">
        <v>121</v>
      </c>
      <c r="H2168" s="2" t="s">
        <v>50</v>
      </c>
      <c r="I2168" s="2">
        <v>0.52</v>
      </c>
    </row>
    <row r="2169" spans="1:10" x14ac:dyDescent="0.25">
      <c r="A2169" s="1" t="s">
        <v>424</v>
      </c>
      <c r="B2169" t="s">
        <v>425</v>
      </c>
      <c r="C2169" s="1" t="s">
        <v>41</v>
      </c>
      <c r="D2169" s="1" t="s">
        <v>41</v>
      </c>
      <c r="E2169" t="s">
        <v>42</v>
      </c>
      <c r="F2169" s="2" t="s">
        <v>513</v>
      </c>
      <c r="G2169" t="s">
        <v>5</v>
      </c>
      <c r="H2169" s="2" t="s">
        <v>736</v>
      </c>
      <c r="I2169" s="2">
        <v>0.04</v>
      </c>
    </row>
    <row r="2170" spans="1:10" x14ac:dyDescent="0.25">
      <c r="A2170" s="1" t="s">
        <v>424</v>
      </c>
      <c r="B2170" t="s">
        <v>425</v>
      </c>
      <c r="C2170" s="1" t="s">
        <v>3578</v>
      </c>
      <c r="D2170" s="1" t="s">
        <v>3578</v>
      </c>
      <c r="E2170" t="s">
        <v>3579</v>
      </c>
      <c r="F2170" s="2" t="s">
        <v>3580</v>
      </c>
      <c r="G2170" t="s">
        <v>121</v>
      </c>
      <c r="H2170" s="2" t="s">
        <v>122</v>
      </c>
      <c r="I2170" s="2">
        <v>12.24</v>
      </c>
      <c r="J2170" t="s">
        <v>55</v>
      </c>
    </row>
    <row r="2171" spans="1:10" x14ac:dyDescent="0.25">
      <c r="A2171" s="1" t="s">
        <v>424</v>
      </c>
      <c r="B2171" t="s">
        <v>425</v>
      </c>
      <c r="C2171" s="1" t="s">
        <v>3581</v>
      </c>
      <c r="D2171" s="1" t="s">
        <v>3581</v>
      </c>
      <c r="E2171" t="s">
        <v>3582</v>
      </c>
      <c r="F2171" s="2" t="s">
        <v>3583</v>
      </c>
      <c r="G2171" t="s">
        <v>121</v>
      </c>
      <c r="H2171" s="2" t="s">
        <v>50</v>
      </c>
      <c r="I2171" s="2">
        <v>20.9</v>
      </c>
      <c r="J2171" t="s">
        <v>55</v>
      </c>
    </row>
    <row r="2172" spans="1:10" x14ac:dyDescent="0.25">
      <c r="A2172" s="1" t="s">
        <v>424</v>
      </c>
      <c r="B2172" t="s">
        <v>425</v>
      </c>
      <c r="C2172" s="1" t="s">
        <v>3584</v>
      </c>
      <c r="D2172" s="1" t="s">
        <v>1121</v>
      </c>
      <c r="E2172" t="s">
        <v>3585</v>
      </c>
      <c r="F2172" s="2" t="s">
        <v>3586</v>
      </c>
      <c r="G2172" t="s">
        <v>121</v>
      </c>
      <c r="H2172" s="2" t="s">
        <v>50</v>
      </c>
      <c r="I2172" s="2">
        <v>12.4</v>
      </c>
      <c r="J2172" t="s">
        <v>51</v>
      </c>
    </row>
    <row r="2173" spans="1:10" x14ac:dyDescent="0.25">
      <c r="A2173" s="1" t="s">
        <v>424</v>
      </c>
      <c r="B2173" t="s">
        <v>425</v>
      </c>
      <c r="C2173" s="1" t="s">
        <v>541</v>
      </c>
      <c r="D2173" s="1" t="s">
        <v>541</v>
      </c>
      <c r="E2173" t="s">
        <v>542</v>
      </c>
      <c r="F2173" s="2" t="s">
        <v>9</v>
      </c>
      <c r="G2173" t="s">
        <v>10</v>
      </c>
      <c r="H2173" s="2" t="s">
        <v>1178</v>
      </c>
      <c r="I2173" s="2">
        <v>10.45</v>
      </c>
    </row>
    <row r="2174" spans="1:10" x14ac:dyDescent="0.25">
      <c r="A2174" s="1" t="s">
        <v>3578</v>
      </c>
      <c r="B2174" t="s">
        <v>3587</v>
      </c>
      <c r="C2174" s="1" t="s">
        <v>3255</v>
      </c>
      <c r="D2174" s="1" t="s">
        <v>3255</v>
      </c>
      <c r="E2174" t="s">
        <v>3256</v>
      </c>
      <c r="F2174" s="2" t="s">
        <v>1017</v>
      </c>
      <c r="G2174" t="s">
        <v>5</v>
      </c>
      <c r="H2174" s="2" t="s">
        <v>3433</v>
      </c>
      <c r="I2174" s="2">
        <v>0.45</v>
      </c>
    </row>
    <row r="2175" spans="1:10" x14ac:dyDescent="0.25">
      <c r="A2175" s="1" t="s">
        <v>3578</v>
      </c>
      <c r="B2175" t="s">
        <v>3587</v>
      </c>
      <c r="C2175" s="1" t="s">
        <v>541</v>
      </c>
      <c r="D2175" s="1" t="s">
        <v>541</v>
      </c>
      <c r="E2175" t="s">
        <v>542</v>
      </c>
      <c r="F2175" s="2" t="s">
        <v>9</v>
      </c>
      <c r="G2175" t="s">
        <v>10</v>
      </c>
      <c r="H2175" s="2" t="s">
        <v>3588</v>
      </c>
      <c r="I2175" s="2">
        <v>2.61</v>
      </c>
    </row>
    <row r="2176" spans="1:10" x14ac:dyDescent="0.25">
      <c r="A2176" s="1" t="s">
        <v>3581</v>
      </c>
      <c r="B2176" t="s">
        <v>3589</v>
      </c>
      <c r="C2176" s="1" t="s">
        <v>1447</v>
      </c>
      <c r="D2176" s="1" t="s">
        <v>1447</v>
      </c>
      <c r="E2176" t="s">
        <v>1448</v>
      </c>
      <c r="F2176" s="2" t="s">
        <v>779</v>
      </c>
      <c r="G2176" t="s">
        <v>5</v>
      </c>
      <c r="H2176" s="2" t="s">
        <v>3590</v>
      </c>
      <c r="I2176" s="2">
        <v>4.8</v>
      </c>
    </row>
    <row r="2177" spans="1:9" x14ac:dyDescent="0.25">
      <c r="A2177" s="1" t="s">
        <v>3581</v>
      </c>
      <c r="B2177" t="s">
        <v>3589</v>
      </c>
      <c r="C2177" s="1" t="s">
        <v>541</v>
      </c>
      <c r="D2177" s="1" t="s">
        <v>541</v>
      </c>
      <c r="E2177" t="s">
        <v>542</v>
      </c>
      <c r="F2177" s="2" t="s">
        <v>9</v>
      </c>
      <c r="G2177" t="s">
        <v>10</v>
      </c>
      <c r="H2177" s="2" t="s">
        <v>1254</v>
      </c>
      <c r="I2177" s="2">
        <v>16.100000000000001</v>
      </c>
    </row>
    <row r="2178" spans="1:9" x14ac:dyDescent="0.25">
      <c r="A2178" s="1" t="s">
        <v>3591</v>
      </c>
      <c r="B2178" t="s">
        <v>3592</v>
      </c>
      <c r="C2178" s="1" t="s">
        <v>1188</v>
      </c>
      <c r="D2178" s="1" t="s">
        <v>1188</v>
      </c>
      <c r="E2178" t="s">
        <v>1189</v>
      </c>
      <c r="F2178" s="2" t="s">
        <v>1190</v>
      </c>
      <c r="G2178" t="s">
        <v>5</v>
      </c>
      <c r="H2178" s="2" t="s">
        <v>3593</v>
      </c>
      <c r="I2178" s="2">
        <v>1.0900000000000001</v>
      </c>
    </row>
    <row r="2179" spans="1:9" x14ac:dyDescent="0.25">
      <c r="A2179" s="1" t="s">
        <v>3591</v>
      </c>
      <c r="B2179" t="s">
        <v>3592</v>
      </c>
      <c r="C2179" s="1" t="s">
        <v>541</v>
      </c>
      <c r="D2179" s="1" t="s">
        <v>541</v>
      </c>
      <c r="E2179" t="s">
        <v>542</v>
      </c>
      <c r="F2179" s="2" t="s">
        <v>9</v>
      </c>
      <c r="G2179" t="s">
        <v>10</v>
      </c>
      <c r="H2179" s="2" t="s">
        <v>3594</v>
      </c>
      <c r="I2179" s="2">
        <v>7.53</v>
      </c>
    </row>
    <row r="2180" spans="1:9" x14ac:dyDescent="0.25">
      <c r="A2180" s="1" t="s">
        <v>3595</v>
      </c>
      <c r="B2180" t="s">
        <v>3596</v>
      </c>
      <c r="C2180" s="1" t="s">
        <v>3288</v>
      </c>
      <c r="D2180" s="1" t="s">
        <v>3288</v>
      </c>
      <c r="E2180" t="s">
        <v>3289</v>
      </c>
      <c r="F2180" s="2" t="s">
        <v>1970</v>
      </c>
      <c r="G2180" t="s">
        <v>5</v>
      </c>
      <c r="H2180" s="2" t="s">
        <v>2847</v>
      </c>
      <c r="I2180" s="2">
        <v>0.08</v>
      </c>
    </row>
    <row r="2181" spans="1:9" x14ac:dyDescent="0.25">
      <c r="A2181" s="1" t="s">
        <v>3595</v>
      </c>
      <c r="B2181" t="s">
        <v>3596</v>
      </c>
      <c r="C2181" s="1" t="s">
        <v>7</v>
      </c>
      <c r="D2181" s="1" t="s">
        <v>7</v>
      </c>
      <c r="E2181" t="s">
        <v>8</v>
      </c>
      <c r="F2181" s="2" t="s">
        <v>9</v>
      </c>
      <c r="G2181" t="s">
        <v>10</v>
      </c>
      <c r="H2181" s="2" t="s">
        <v>3597</v>
      </c>
      <c r="I2181" s="2">
        <v>1.08</v>
      </c>
    </row>
    <row r="2182" spans="1:9" x14ac:dyDescent="0.25">
      <c r="A2182" s="1" t="s">
        <v>3598</v>
      </c>
      <c r="B2182" t="s">
        <v>3599</v>
      </c>
      <c r="C2182" s="1" t="s">
        <v>3600</v>
      </c>
      <c r="D2182" s="1" t="s">
        <v>3600</v>
      </c>
      <c r="E2182" t="s">
        <v>3601</v>
      </c>
      <c r="F2182" s="2" t="s">
        <v>887</v>
      </c>
      <c r="G2182" t="s">
        <v>17</v>
      </c>
      <c r="H2182" s="2" t="s">
        <v>3602</v>
      </c>
      <c r="I2182" s="2">
        <v>10.5</v>
      </c>
    </row>
    <row r="2183" spans="1:9" x14ac:dyDescent="0.25">
      <c r="A2183" s="1" t="s">
        <v>3598</v>
      </c>
      <c r="B2183" t="s">
        <v>3599</v>
      </c>
      <c r="C2183" s="1" t="s">
        <v>7</v>
      </c>
      <c r="D2183" s="1" t="s">
        <v>7</v>
      </c>
      <c r="E2183" t="s">
        <v>8</v>
      </c>
      <c r="F2183" s="2" t="s">
        <v>9</v>
      </c>
      <c r="G2183" t="s">
        <v>10</v>
      </c>
      <c r="H2183" s="2" t="s">
        <v>607</v>
      </c>
      <c r="I2183" s="2">
        <v>18.399999999999999</v>
      </c>
    </row>
    <row r="2184" spans="1:9" x14ac:dyDescent="0.25">
      <c r="A2184" s="1" t="s">
        <v>3603</v>
      </c>
      <c r="B2184" t="s">
        <v>3604</v>
      </c>
      <c r="C2184" s="1" t="s">
        <v>7</v>
      </c>
      <c r="D2184" s="1" t="s">
        <v>7</v>
      </c>
      <c r="E2184" t="s">
        <v>8</v>
      </c>
      <c r="F2184" s="2" t="s">
        <v>9</v>
      </c>
      <c r="G2184" t="s">
        <v>10</v>
      </c>
      <c r="H2184" s="2" t="s">
        <v>3605</v>
      </c>
      <c r="I2184" s="2">
        <v>3.86</v>
      </c>
    </row>
    <row r="2185" spans="1:9" x14ac:dyDescent="0.25">
      <c r="A2185" s="1" t="s">
        <v>3606</v>
      </c>
      <c r="B2185" t="s">
        <v>3607</v>
      </c>
      <c r="C2185" s="1" t="s">
        <v>3280</v>
      </c>
      <c r="D2185" s="1" t="s">
        <v>3280</v>
      </c>
      <c r="E2185" t="s">
        <v>3281</v>
      </c>
      <c r="F2185" s="2" t="s">
        <v>876</v>
      </c>
      <c r="G2185" t="s">
        <v>5</v>
      </c>
      <c r="H2185" s="2" t="s">
        <v>50</v>
      </c>
      <c r="I2185" s="2">
        <v>12</v>
      </c>
    </row>
    <row r="2186" spans="1:9" x14ac:dyDescent="0.25">
      <c r="A2186" s="1" t="s">
        <v>3606</v>
      </c>
      <c r="B2186" t="s">
        <v>3607</v>
      </c>
      <c r="C2186" s="1" t="s">
        <v>541</v>
      </c>
      <c r="D2186" s="1" t="s">
        <v>541</v>
      </c>
      <c r="E2186" t="s">
        <v>542</v>
      </c>
      <c r="F2186" s="2" t="s">
        <v>9</v>
      </c>
      <c r="G2186" t="s">
        <v>10</v>
      </c>
      <c r="H2186" s="2" t="s">
        <v>3608</v>
      </c>
      <c r="I2186" s="2">
        <v>11.97</v>
      </c>
    </row>
    <row r="2187" spans="1:9" x14ac:dyDescent="0.25">
      <c r="A2187" s="1" t="s">
        <v>3609</v>
      </c>
      <c r="B2187" t="s">
        <v>3610</v>
      </c>
      <c r="C2187" s="1" t="s">
        <v>432</v>
      </c>
      <c r="D2187" s="1" t="s">
        <v>432</v>
      </c>
      <c r="E2187" t="s">
        <v>433</v>
      </c>
      <c r="F2187" s="2" t="s">
        <v>434</v>
      </c>
      <c r="G2187" t="s">
        <v>435</v>
      </c>
      <c r="H2187" s="2" t="s">
        <v>50</v>
      </c>
      <c r="I2187" s="2">
        <v>1.1000000000000001</v>
      </c>
    </row>
    <row r="2188" spans="1:9" x14ac:dyDescent="0.25">
      <c r="A2188" s="1" t="s">
        <v>3609</v>
      </c>
      <c r="B2188" t="s">
        <v>3610</v>
      </c>
      <c r="C2188" s="1" t="s">
        <v>7</v>
      </c>
      <c r="D2188" s="1" t="s">
        <v>7</v>
      </c>
      <c r="E2188" t="s">
        <v>8</v>
      </c>
      <c r="F2188" s="2" t="s">
        <v>9</v>
      </c>
      <c r="G2188" t="s">
        <v>10</v>
      </c>
      <c r="H2188" s="2" t="s">
        <v>3611</v>
      </c>
      <c r="I2188" s="2">
        <v>8.2100000000000009</v>
      </c>
    </row>
    <row r="2189" spans="1:9" x14ac:dyDescent="0.25">
      <c r="A2189" s="1" t="s">
        <v>3612</v>
      </c>
      <c r="B2189" t="s">
        <v>3613</v>
      </c>
      <c r="C2189" s="1" t="s">
        <v>432</v>
      </c>
      <c r="D2189" s="1" t="s">
        <v>432</v>
      </c>
      <c r="E2189" t="s">
        <v>433</v>
      </c>
      <c r="F2189" s="2" t="s">
        <v>434</v>
      </c>
      <c r="G2189" t="s">
        <v>435</v>
      </c>
      <c r="H2189" s="2" t="s">
        <v>50</v>
      </c>
      <c r="I2189" s="2">
        <v>1.1000000000000001</v>
      </c>
    </row>
    <row r="2190" spans="1:9" x14ac:dyDescent="0.25">
      <c r="A2190" s="1" t="s">
        <v>3612</v>
      </c>
      <c r="B2190" t="s">
        <v>3613</v>
      </c>
      <c r="C2190" s="1" t="s">
        <v>7</v>
      </c>
      <c r="D2190" s="1" t="s">
        <v>7</v>
      </c>
      <c r="E2190" t="s">
        <v>8</v>
      </c>
      <c r="F2190" s="2" t="s">
        <v>9</v>
      </c>
      <c r="G2190" t="s">
        <v>10</v>
      </c>
      <c r="H2190" s="2" t="s">
        <v>3611</v>
      </c>
      <c r="I2190" s="2">
        <v>8.2100000000000009</v>
      </c>
    </row>
    <row r="2191" spans="1:9" x14ac:dyDescent="0.25">
      <c r="A2191" s="1" t="s">
        <v>3614</v>
      </c>
      <c r="B2191" t="s">
        <v>3615</v>
      </c>
      <c r="C2191" s="1" t="s">
        <v>3616</v>
      </c>
      <c r="D2191" s="1" t="s">
        <v>3616</v>
      </c>
      <c r="E2191" t="s">
        <v>3617</v>
      </c>
      <c r="F2191" s="2" t="s">
        <v>3618</v>
      </c>
      <c r="G2191" t="s">
        <v>121</v>
      </c>
      <c r="H2191" s="2" t="s">
        <v>50</v>
      </c>
      <c r="I2191" s="2">
        <v>3.79</v>
      </c>
    </row>
    <row r="2192" spans="1:9" x14ac:dyDescent="0.25">
      <c r="A2192" s="1" t="s">
        <v>3614</v>
      </c>
      <c r="B2192" t="s">
        <v>3615</v>
      </c>
      <c r="C2192" s="1" t="s">
        <v>41</v>
      </c>
      <c r="D2192" s="1" t="s">
        <v>41</v>
      </c>
      <c r="E2192" t="s">
        <v>42</v>
      </c>
      <c r="F2192" s="2" t="s">
        <v>513</v>
      </c>
      <c r="G2192" t="s">
        <v>5</v>
      </c>
      <c r="H2192" s="2" t="s">
        <v>3619</v>
      </c>
      <c r="I2192" s="2">
        <v>0.01</v>
      </c>
    </row>
    <row r="2193" spans="1:10" x14ac:dyDescent="0.25">
      <c r="A2193" s="1" t="s">
        <v>3614</v>
      </c>
      <c r="B2193" t="s">
        <v>3615</v>
      </c>
      <c r="C2193" s="1" t="s">
        <v>3620</v>
      </c>
      <c r="D2193" s="1" t="s">
        <v>3620</v>
      </c>
      <c r="E2193" t="s">
        <v>3621</v>
      </c>
      <c r="F2193" s="2" t="s">
        <v>3622</v>
      </c>
      <c r="G2193" t="s">
        <v>121</v>
      </c>
      <c r="H2193" s="2" t="s">
        <v>50</v>
      </c>
      <c r="I2193" s="2">
        <v>7.67</v>
      </c>
      <c r="J2193" t="s">
        <v>55</v>
      </c>
    </row>
    <row r="2194" spans="1:10" x14ac:dyDescent="0.25">
      <c r="A2194" s="1" t="s">
        <v>3614</v>
      </c>
      <c r="B2194" t="s">
        <v>3615</v>
      </c>
      <c r="C2194" s="1" t="s">
        <v>7</v>
      </c>
      <c r="D2194" s="1" t="s">
        <v>7</v>
      </c>
      <c r="E2194" t="s">
        <v>8</v>
      </c>
      <c r="F2194" s="2" t="s">
        <v>9</v>
      </c>
      <c r="G2194" t="s">
        <v>10</v>
      </c>
      <c r="H2194" s="2" t="s">
        <v>1200</v>
      </c>
      <c r="I2194" s="2">
        <v>3.87</v>
      </c>
    </row>
    <row r="2195" spans="1:10" x14ac:dyDescent="0.25">
      <c r="A2195" s="1" t="s">
        <v>3614</v>
      </c>
      <c r="B2195" t="s">
        <v>3615</v>
      </c>
      <c r="C2195" s="1" t="s">
        <v>7</v>
      </c>
      <c r="D2195" s="1" t="s">
        <v>7</v>
      </c>
      <c r="E2195" t="s">
        <v>8</v>
      </c>
      <c r="F2195" s="2" t="s">
        <v>9</v>
      </c>
      <c r="G2195" t="s">
        <v>10</v>
      </c>
      <c r="H2195" s="2" t="s">
        <v>3623</v>
      </c>
      <c r="I2195" s="2">
        <v>7.16</v>
      </c>
    </row>
    <row r="2196" spans="1:10" x14ac:dyDescent="0.25">
      <c r="A2196" s="1" t="s">
        <v>3624</v>
      </c>
      <c r="B2196" t="s">
        <v>3625</v>
      </c>
      <c r="C2196" s="1" t="s">
        <v>7</v>
      </c>
      <c r="D2196" s="1" t="s">
        <v>7</v>
      </c>
      <c r="E2196" t="s">
        <v>8</v>
      </c>
      <c r="F2196" s="2" t="s">
        <v>9</v>
      </c>
      <c r="G2196" t="s">
        <v>10</v>
      </c>
      <c r="H2196" s="2" t="s">
        <v>3047</v>
      </c>
      <c r="I2196" s="2">
        <v>4.83</v>
      </c>
    </row>
    <row r="2197" spans="1:10" x14ac:dyDescent="0.25">
      <c r="A2197" s="1" t="s">
        <v>3620</v>
      </c>
      <c r="B2197" t="s">
        <v>3626</v>
      </c>
      <c r="C2197" s="1" t="s">
        <v>1249</v>
      </c>
      <c r="D2197" s="1" t="s">
        <v>1249</v>
      </c>
      <c r="E2197" t="s">
        <v>1250</v>
      </c>
      <c r="F2197" s="2" t="s">
        <v>1251</v>
      </c>
      <c r="G2197" t="s">
        <v>1252</v>
      </c>
      <c r="H2197" s="2" t="s">
        <v>3627</v>
      </c>
      <c r="I2197" s="2">
        <v>3.6</v>
      </c>
    </row>
    <row r="2198" spans="1:10" x14ac:dyDescent="0.25">
      <c r="A2198" s="1" t="s">
        <v>3620</v>
      </c>
      <c r="B2198" t="s">
        <v>3626</v>
      </c>
      <c r="C2198" s="1" t="s">
        <v>7</v>
      </c>
      <c r="D2198" s="1" t="s">
        <v>7</v>
      </c>
      <c r="E2198" t="s">
        <v>8</v>
      </c>
      <c r="F2198" s="2" t="s">
        <v>9</v>
      </c>
      <c r="G2198" t="s">
        <v>10</v>
      </c>
      <c r="H2198" s="2" t="s">
        <v>3628</v>
      </c>
      <c r="I2198" s="2">
        <v>4.07</v>
      </c>
    </row>
    <row r="2199" spans="1:10" x14ac:dyDescent="0.25">
      <c r="A2199" s="1" t="s">
        <v>3629</v>
      </c>
      <c r="B2199" t="s">
        <v>3630</v>
      </c>
      <c r="C2199" s="1" t="s">
        <v>432</v>
      </c>
      <c r="D2199" s="1" t="s">
        <v>432</v>
      </c>
      <c r="E2199" t="s">
        <v>433</v>
      </c>
      <c r="F2199" s="2" t="s">
        <v>434</v>
      </c>
      <c r="G2199" t="s">
        <v>435</v>
      </c>
      <c r="H2199" s="2" t="s">
        <v>50</v>
      </c>
      <c r="I2199" s="2">
        <v>1.1000000000000001</v>
      </c>
    </row>
    <row r="2200" spans="1:10" x14ac:dyDescent="0.25">
      <c r="A2200" s="1" t="s">
        <v>3629</v>
      </c>
      <c r="B2200" t="s">
        <v>3630</v>
      </c>
      <c r="C2200" s="1" t="s">
        <v>7</v>
      </c>
      <c r="D2200" s="1" t="s">
        <v>7</v>
      </c>
      <c r="E2200" t="s">
        <v>8</v>
      </c>
      <c r="F2200" s="2" t="s">
        <v>9</v>
      </c>
      <c r="G2200" t="s">
        <v>10</v>
      </c>
      <c r="H2200" s="2" t="s">
        <v>3631</v>
      </c>
      <c r="I2200" s="2">
        <v>8.66</v>
      </c>
    </row>
    <row r="2201" spans="1:10" x14ac:dyDescent="0.25">
      <c r="A2201" s="1" t="s">
        <v>3632</v>
      </c>
      <c r="B2201" t="s">
        <v>3633</v>
      </c>
      <c r="C2201" s="1" t="s">
        <v>3288</v>
      </c>
      <c r="D2201" s="1" t="s">
        <v>3288</v>
      </c>
      <c r="E2201" t="s">
        <v>3289</v>
      </c>
      <c r="F2201" s="2" t="s">
        <v>1970</v>
      </c>
      <c r="G2201" t="s">
        <v>5</v>
      </c>
      <c r="H2201" s="2" t="s">
        <v>3564</v>
      </c>
      <c r="I2201" s="2">
        <v>0.1</v>
      </c>
    </row>
    <row r="2202" spans="1:10" x14ac:dyDescent="0.25">
      <c r="A2202" s="1" t="s">
        <v>3632</v>
      </c>
      <c r="B2202" t="s">
        <v>3633</v>
      </c>
      <c r="C2202" s="1" t="s">
        <v>7</v>
      </c>
      <c r="D2202" s="1" t="s">
        <v>7</v>
      </c>
      <c r="E2202" t="s">
        <v>8</v>
      </c>
      <c r="F2202" s="2" t="s">
        <v>9</v>
      </c>
      <c r="G2202" t="s">
        <v>10</v>
      </c>
      <c r="H2202" s="2" t="s">
        <v>2230</v>
      </c>
      <c r="I2202" s="2">
        <v>0.99</v>
      </c>
    </row>
    <row r="2203" spans="1:10" x14ac:dyDescent="0.25">
      <c r="A2203" s="1" t="s">
        <v>3634</v>
      </c>
      <c r="B2203" t="s">
        <v>3635</v>
      </c>
      <c r="C2203" s="1" t="s">
        <v>1249</v>
      </c>
      <c r="D2203" s="1" t="s">
        <v>1249</v>
      </c>
      <c r="E2203" t="s">
        <v>1250</v>
      </c>
      <c r="F2203" s="2" t="s">
        <v>1251</v>
      </c>
      <c r="G2203" t="s">
        <v>1252</v>
      </c>
      <c r="H2203" s="2" t="s">
        <v>3636</v>
      </c>
      <c r="I2203" s="2">
        <v>8.2799999999999994</v>
      </c>
    </row>
    <row r="2204" spans="1:10" x14ac:dyDescent="0.25">
      <c r="A2204" s="1" t="s">
        <v>3634</v>
      </c>
      <c r="B2204" t="s">
        <v>3635</v>
      </c>
      <c r="C2204" s="1" t="s">
        <v>541</v>
      </c>
      <c r="D2204" s="1" t="s">
        <v>541</v>
      </c>
      <c r="E2204" t="s">
        <v>542</v>
      </c>
      <c r="F2204" s="2" t="s">
        <v>9</v>
      </c>
      <c r="G2204" t="s">
        <v>10</v>
      </c>
      <c r="H2204" s="2" t="s">
        <v>3637</v>
      </c>
      <c r="I2204" s="2">
        <v>33.729999999999997</v>
      </c>
    </row>
    <row r="2205" spans="1:10" x14ac:dyDescent="0.25">
      <c r="A2205" s="1" t="s">
        <v>3638</v>
      </c>
      <c r="B2205" t="s">
        <v>3639</v>
      </c>
      <c r="C2205" s="1" t="s">
        <v>1249</v>
      </c>
      <c r="D2205" s="1" t="s">
        <v>1249</v>
      </c>
      <c r="E2205" t="s">
        <v>1250</v>
      </c>
      <c r="F2205" s="2" t="s">
        <v>1251</v>
      </c>
      <c r="G2205" t="s">
        <v>1252</v>
      </c>
      <c r="H2205" s="2" t="s">
        <v>3640</v>
      </c>
      <c r="I2205" s="2">
        <v>216</v>
      </c>
    </row>
    <row r="2206" spans="1:10" x14ac:dyDescent="0.25">
      <c r="A2206" s="1" t="s">
        <v>3638</v>
      </c>
      <c r="B2206" t="s">
        <v>3639</v>
      </c>
      <c r="C2206" s="1" t="s">
        <v>541</v>
      </c>
      <c r="D2206" s="1" t="s">
        <v>541</v>
      </c>
      <c r="E2206" t="s">
        <v>542</v>
      </c>
      <c r="F2206" s="2" t="s">
        <v>9</v>
      </c>
      <c r="G2206" t="s">
        <v>10</v>
      </c>
      <c r="H2206" s="2" t="s">
        <v>3641</v>
      </c>
      <c r="I2206" s="2">
        <v>84.18</v>
      </c>
    </row>
    <row r="2207" spans="1:10" x14ac:dyDescent="0.25">
      <c r="A2207" s="1" t="s">
        <v>3638</v>
      </c>
      <c r="B2207" t="s">
        <v>3639</v>
      </c>
      <c r="C2207" s="1" t="s">
        <v>7</v>
      </c>
      <c r="D2207" s="1" t="s">
        <v>7</v>
      </c>
      <c r="E2207" t="s">
        <v>8</v>
      </c>
      <c r="F2207" s="2" t="s">
        <v>9</v>
      </c>
      <c r="G2207" t="s">
        <v>10</v>
      </c>
      <c r="H2207" s="2" t="s">
        <v>3642</v>
      </c>
      <c r="I2207" s="2">
        <v>32.200000000000003</v>
      </c>
    </row>
    <row r="2208" spans="1:10" x14ac:dyDescent="0.25">
      <c r="A2208" s="1" t="s">
        <v>3643</v>
      </c>
      <c r="B2208" t="s">
        <v>3644</v>
      </c>
      <c r="C2208" s="1" t="s">
        <v>1249</v>
      </c>
      <c r="D2208" s="1" t="s">
        <v>1249</v>
      </c>
      <c r="E2208" t="s">
        <v>1250</v>
      </c>
      <c r="F2208" s="2" t="s">
        <v>1251</v>
      </c>
      <c r="G2208" t="s">
        <v>1252</v>
      </c>
      <c r="H2208" s="2" t="s">
        <v>3645</v>
      </c>
      <c r="I2208" s="2">
        <v>108</v>
      </c>
    </row>
    <row r="2209" spans="1:9" x14ac:dyDescent="0.25">
      <c r="A2209" s="1" t="s">
        <v>3643</v>
      </c>
      <c r="B2209" t="s">
        <v>3644</v>
      </c>
      <c r="C2209" s="1" t="s">
        <v>7</v>
      </c>
      <c r="D2209" s="1" t="s">
        <v>7</v>
      </c>
      <c r="E2209" t="s">
        <v>8</v>
      </c>
      <c r="F2209" s="2" t="s">
        <v>9</v>
      </c>
      <c r="G2209" t="s">
        <v>10</v>
      </c>
      <c r="H2209" s="2" t="s">
        <v>3646</v>
      </c>
      <c r="I2209" s="2">
        <v>126.5</v>
      </c>
    </row>
    <row r="2210" spans="1:9" x14ac:dyDescent="0.25">
      <c r="A2210" s="1" t="s">
        <v>3643</v>
      </c>
      <c r="B2210" t="s">
        <v>3644</v>
      </c>
      <c r="C2210" s="1" t="s">
        <v>7</v>
      </c>
      <c r="D2210" s="1" t="s">
        <v>7</v>
      </c>
      <c r="E2210" t="s">
        <v>8</v>
      </c>
      <c r="F2210" s="2" t="s">
        <v>9</v>
      </c>
      <c r="G2210" t="s">
        <v>10</v>
      </c>
      <c r="H2210" s="2" t="s">
        <v>3647</v>
      </c>
      <c r="I2210" s="2">
        <v>67.62</v>
      </c>
    </row>
    <row r="2211" spans="1:9" x14ac:dyDescent="0.25">
      <c r="A2211" s="1" t="s">
        <v>3648</v>
      </c>
      <c r="B2211" t="s">
        <v>3649</v>
      </c>
      <c r="C2211" s="1" t="s">
        <v>1249</v>
      </c>
      <c r="D2211" s="1" t="s">
        <v>1249</v>
      </c>
      <c r="E2211" t="s">
        <v>1250</v>
      </c>
      <c r="F2211" s="2" t="s">
        <v>1251</v>
      </c>
      <c r="G2211" t="s">
        <v>1252</v>
      </c>
      <c r="H2211" s="2" t="s">
        <v>3650</v>
      </c>
      <c r="I2211" s="2">
        <v>7.2</v>
      </c>
    </row>
    <row r="2212" spans="1:9" x14ac:dyDescent="0.25">
      <c r="A2212" s="1" t="s">
        <v>3648</v>
      </c>
      <c r="B2212" t="s">
        <v>3649</v>
      </c>
      <c r="C2212" s="1" t="s">
        <v>7</v>
      </c>
      <c r="D2212" s="1" t="s">
        <v>7</v>
      </c>
      <c r="E2212" t="s">
        <v>8</v>
      </c>
      <c r="F2212" s="2" t="s">
        <v>9</v>
      </c>
      <c r="G2212" t="s">
        <v>10</v>
      </c>
      <c r="H2212" s="2" t="s">
        <v>1130</v>
      </c>
      <c r="I2212" s="2">
        <v>34.5</v>
      </c>
    </row>
    <row r="2213" spans="1:9" x14ac:dyDescent="0.25">
      <c r="A2213" s="1" t="s">
        <v>3651</v>
      </c>
      <c r="B2213" t="s">
        <v>3652</v>
      </c>
      <c r="C2213" s="1" t="s">
        <v>1487</v>
      </c>
      <c r="D2213" s="1" t="s">
        <v>1487</v>
      </c>
      <c r="E2213" t="s">
        <v>1488</v>
      </c>
      <c r="F2213" s="2" t="s">
        <v>31</v>
      </c>
      <c r="G2213" t="s">
        <v>5</v>
      </c>
      <c r="H2213" s="2" t="s">
        <v>3653</v>
      </c>
      <c r="I2213" s="2">
        <v>1.4</v>
      </c>
    </row>
    <row r="2214" spans="1:9" x14ac:dyDescent="0.25">
      <c r="A2214" s="1" t="s">
        <v>3651</v>
      </c>
      <c r="B2214" t="s">
        <v>3652</v>
      </c>
      <c r="C2214" s="1" t="s">
        <v>541</v>
      </c>
      <c r="D2214" s="1" t="s">
        <v>541</v>
      </c>
      <c r="E2214" t="s">
        <v>542</v>
      </c>
      <c r="F2214" s="2" t="s">
        <v>9</v>
      </c>
      <c r="G2214" t="s">
        <v>10</v>
      </c>
      <c r="H2214" s="2" t="s">
        <v>2958</v>
      </c>
      <c r="I2214" s="2">
        <v>3.97</v>
      </c>
    </row>
    <row r="2215" spans="1:9" x14ac:dyDescent="0.25">
      <c r="A2215" s="1" t="s">
        <v>3654</v>
      </c>
      <c r="B2215" t="s">
        <v>3655</v>
      </c>
      <c r="C2215" s="1" t="s">
        <v>1162</v>
      </c>
      <c r="D2215" s="1" t="s">
        <v>1162</v>
      </c>
      <c r="E2215" t="s">
        <v>1163</v>
      </c>
      <c r="F2215" s="2" t="s">
        <v>1164</v>
      </c>
      <c r="G2215" t="s">
        <v>5</v>
      </c>
      <c r="H2215" s="2" t="s">
        <v>3656</v>
      </c>
      <c r="I2215" s="2">
        <v>0.24</v>
      </c>
    </row>
    <row r="2216" spans="1:9" x14ac:dyDescent="0.25">
      <c r="A2216" s="1" t="s">
        <v>3654</v>
      </c>
      <c r="B2216" t="s">
        <v>3655</v>
      </c>
      <c r="C2216" s="1" t="s">
        <v>541</v>
      </c>
      <c r="D2216" s="1" t="s">
        <v>541</v>
      </c>
      <c r="E2216" t="s">
        <v>542</v>
      </c>
      <c r="F2216" s="2" t="s">
        <v>9</v>
      </c>
      <c r="G2216" t="s">
        <v>10</v>
      </c>
      <c r="H2216" s="2" t="s">
        <v>1200</v>
      </c>
      <c r="I2216" s="2">
        <v>3.87</v>
      </c>
    </row>
    <row r="2217" spans="1:9" x14ac:dyDescent="0.25">
      <c r="A2217" s="1" t="s">
        <v>3657</v>
      </c>
      <c r="B2217" t="s">
        <v>3658</v>
      </c>
      <c r="C2217" s="1" t="s">
        <v>1162</v>
      </c>
      <c r="D2217" s="1" t="s">
        <v>1162</v>
      </c>
      <c r="E2217" t="s">
        <v>1163</v>
      </c>
      <c r="F2217" s="2" t="s">
        <v>1164</v>
      </c>
      <c r="G2217" t="s">
        <v>5</v>
      </c>
      <c r="H2217" s="2" t="s">
        <v>3659</v>
      </c>
      <c r="I2217" s="2">
        <v>0.54</v>
      </c>
    </row>
    <row r="2218" spans="1:9" x14ac:dyDescent="0.25">
      <c r="A2218" s="1" t="s">
        <v>3657</v>
      </c>
      <c r="B2218" t="s">
        <v>3658</v>
      </c>
      <c r="C2218" s="1" t="s">
        <v>541</v>
      </c>
      <c r="D2218" s="1" t="s">
        <v>541</v>
      </c>
      <c r="E2218" t="s">
        <v>542</v>
      </c>
      <c r="F2218" s="2" t="s">
        <v>9</v>
      </c>
      <c r="G2218" t="s">
        <v>10</v>
      </c>
      <c r="H2218" s="2" t="s">
        <v>19</v>
      </c>
      <c r="I2218" s="2">
        <v>4.5999999999999996</v>
      </c>
    </row>
    <row r="2219" spans="1:9" x14ac:dyDescent="0.25">
      <c r="A2219" s="1" t="s">
        <v>3660</v>
      </c>
      <c r="B2219" t="s">
        <v>3661</v>
      </c>
      <c r="C2219" s="1" t="s">
        <v>1508</v>
      </c>
      <c r="D2219" s="1" t="s">
        <v>1508</v>
      </c>
      <c r="E2219" t="s">
        <v>1509</v>
      </c>
      <c r="F2219" s="2" t="s">
        <v>1017</v>
      </c>
      <c r="G2219" t="s">
        <v>5</v>
      </c>
      <c r="H2219" s="2" t="s">
        <v>3662</v>
      </c>
      <c r="I2219" s="2">
        <v>4.2</v>
      </c>
    </row>
    <row r="2220" spans="1:9" x14ac:dyDescent="0.25">
      <c r="A2220" s="1" t="s">
        <v>3660</v>
      </c>
      <c r="B2220" t="s">
        <v>3661</v>
      </c>
      <c r="C2220" s="1" t="s">
        <v>7</v>
      </c>
      <c r="D2220" s="1" t="s">
        <v>7</v>
      </c>
      <c r="E2220" t="s">
        <v>8</v>
      </c>
      <c r="F2220" s="2" t="s">
        <v>9</v>
      </c>
      <c r="G2220" t="s">
        <v>10</v>
      </c>
      <c r="H2220" s="2" t="s">
        <v>1254</v>
      </c>
      <c r="I2220" s="2">
        <v>16.100000000000001</v>
      </c>
    </row>
    <row r="2221" spans="1:9" x14ac:dyDescent="0.25">
      <c r="A2221" s="1" t="s">
        <v>3663</v>
      </c>
      <c r="B2221" t="s">
        <v>3664</v>
      </c>
      <c r="C2221" s="1" t="s">
        <v>3665</v>
      </c>
      <c r="D2221" s="1" t="s">
        <v>3665</v>
      </c>
      <c r="E2221" t="s">
        <v>3666</v>
      </c>
      <c r="F2221" s="2" t="s">
        <v>83</v>
      </c>
      <c r="G2221" t="s">
        <v>17</v>
      </c>
      <c r="H2221" s="2" t="s">
        <v>3267</v>
      </c>
      <c r="I2221" s="2">
        <v>1.22</v>
      </c>
    </row>
    <row r="2222" spans="1:9" x14ac:dyDescent="0.25">
      <c r="A2222" s="1" t="s">
        <v>3663</v>
      </c>
      <c r="B2222" t="s">
        <v>3664</v>
      </c>
      <c r="C2222" s="1" t="s">
        <v>432</v>
      </c>
      <c r="D2222" s="1" t="s">
        <v>432</v>
      </c>
      <c r="E2222" t="s">
        <v>433</v>
      </c>
      <c r="F2222" s="2" t="s">
        <v>434</v>
      </c>
      <c r="G2222" t="s">
        <v>435</v>
      </c>
      <c r="H2222" s="2" t="s">
        <v>92</v>
      </c>
      <c r="I2222" s="2">
        <v>2.2000000000000002</v>
      </c>
    </row>
    <row r="2223" spans="1:9" x14ac:dyDescent="0.25">
      <c r="A2223" s="1" t="s">
        <v>3663</v>
      </c>
      <c r="B2223" t="s">
        <v>3664</v>
      </c>
      <c r="C2223" s="1" t="s">
        <v>541</v>
      </c>
      <c r="D2223" s="1" t="s">
        <v>541</v>
      </c>
      <c r="E2223" t="s">
        <v>542</v>
      </c>
      <c r="F2223" s="2" t="s">
        <v>9</v>
      </c>
      <c r="G2223" t="s">
        <v>10</v>
      </c>
      <c r="H2223" s="2" t="s">
        <v>3427</v>
      </c>
      <c r="I2223" s="2">
        <v>9.66</v>
      </c>
    </row>
    <row r="2224" spans="1:9" x14ac:dyDescent="0.25">
      <c r="A2224" s="1" t="s">
        <v>3667</v>
      </c>
      <c r="B2224" t="s">
        <v>3668</v>
      </c>
      <c r="C2224" s="1" t="s">
        <v>3669</v>
      </c>
      <c r="D2224" s="1" t="s">
        <v>3669</v>
      </c>
      <c r="E2224" t="s">
        <v>3670</v>
      </c>
      <c r="F2224" s="2" t="s">
        <v>2854</v>
      </c>
      <c r="G2224" t="s">
        <v>5</v>
      </c>
      <c r="H2224" s="2" t="s">
        <v>3671</v>
      </c>
      <c r="I2224" s="2">
        <v>0.42</v>
      </c>
    </row>
    <row r="2225" spans="1:9" x14ac:dyDescent="0.25">
      <c r="A2225" s="1" t="s">
        <v>3667</v>
      </c>
      <c r="B2225" t="s">
        <v>3668</v>
      </c>
      <c r="C2225" s="1" t="s">
        <v>541</v>
      </c>
      <c r="D2225" s="1" t="s">
        <v>541</v>
      </c>
      <c r="E2225" t="s">
        <v>542</v>
      </c>
      <c r="F2225" s="2" t="s">
        <v>9</v>
      </c>
      <c r="G2225" t="s">
        <v>10</v>
      </c>
      <c r="H2225" s="2" t="s">
        <v>3047</v>
      </c>
      <c r="I2225" s="2">
        <v>4.83</v>
      </c>
    </row>
    <row r="2226" spans="1:9" x14ac:dyDescent="0.25">
      <c r="A2226" s="1" t="s">
        <v>3672</v>
      </c>
      <c r="B2226" t="s">
        <v>3673</v>
      </c>
      <c r="C2226" s="1" t="s">
        <v>1862</v>
      </c>
      <c r="D2226" s="1" t="s">
        <v>1862</v>
      </c>
      <c r="E2226" t="s">
        <v>1863</v>
      </c>
      <c r="F2226" s="2" t="s">
        <v>3549</v>
      </c>
      <c r="G2226" t="s">
        <v>121</v>
      </c>
      <c r="H2226" s="2" t="s">
        <v>3674</v>
      </c>
      <c r="I2226" s="2">
        <v>2.42</v>
      </c>
    </row>
    <row r="2227" spans="1:9" x14ac:dyDescent="0.25">
      <c r="A2227" s="1" t="s">
        <v>3672</v>
      </c>
      <c r="B2227" t="s">
        <v>3673</v>
      </c>
      <c r="C2227" s="1" t="s">
        <v>432</v>
      </c>
      <c r="D2227" s="1" t="s">
        <v>432</v>
      </c>
      <c r="E2227" t="s">
        <v>433</v>
      </c>
      <c r="F2227" s="2" t="s">
        <v>434</v>
      </c>
      <c r="G2227" t="s">
        <v>435</v>
      </c>
      <c r="H2227" s="2" t="s">
        <v>50</v>
      </c>
      <c r="I2227" s="2">
        <v>1.1000000000000001</v>
      </c>
    </row>
    <row r="2228" spans="1:9" x14ac:dyDescent="0.25">
      <c r="A2228" s="1" t="s">
        <v>3672</v>
      </c>
      <c r="B2228" t="s">
        <v>3673</v>
      </c>
      <c r="C2228" s="1" t="s">
        <v>541</v>
      </c>
      <c r="D2228" s="1" t="s">
        <v>541</v>
      </c>
      <c r="E2228" t="s">
        <v>542</v>
      </c>
      <c r="F2228" s="2" t="s">
        <v>9</v>
      </c>
      <c r="G2228" t="s">
        <v>10</v>
      </c>
      <c r="H2228" s="2" t="s">
        <v>3675</v>
      </c>
      <c r="I2228" s="2">
        <v>2.4500000000000002</v>
      </c>
    </row>
    <row r="2229" spans="1:9" x14ac:dyDescent="0.25">
      <c r="A2229" s="1" t="s">
        <v>3676</v>
      </c>
      <c r="B2229" t="s">
        <v>3677</v>
      </c>
      <c r="C2229" s="1" t="s">
        <v>3678</v>
      </c>
      <c r="D2229" s="1" t="s">
        <v>3678</v>
      </c>
      <c r="E2229" t="s">
        <v>3679</v>
      </c>
      <c r="F2229" s="2" t="s">
        <v>3365</v>
      </c>
      <c r="G2229" t="s">
        <v>17</v>
      </c>
      <c r="H2229" s="2" t="s">
        <v>3680</v>
      </c>
      <c r="I2229" s="2">
        <v>3.17</v>
      </c>
    </row>
    <row r="2230" spans="1:9" x14ac:dyDescent="0.25">
      <c r="A2230" s="1" t="s">
        <v>3676</v>
      </c>
      <c r="B2230" t="s">
        <v>3677</v>
      </c>
      <c r="C2230" s="1" t="s">
        <v>432</v>
      </c>
      <c r="D2230" s="1" t="s">
        <v>432</v>
      </c>
      <c r="E2230" t="s">
        <v>433</v>
      </c>
      <c r="F2230" s="2" t="s">
        <v>434</v>
      </c>
      <c r="G2230" t="s">
        <v>435</v>
      </c>
      <c r="H2230" s="2" t="s">
        <v>50</v>
      </c>
      <c r="I2230" s="2">
        <v>1.1000000000000001</v>
      </c>
    </row>
    <row r="2231" spans="1:9" x14ac:dyDescent="0.25">
      <c r="A2231" s="1" t="s">
        <v>3676</v>
      </c>
      <c r="B2231" t="s">
        <v>3677</v>
      </c>
      <c r="C2231" s="1" t="s">
        <v>541</v>
      </c>
      <c r="D2231" s="1" t="s">
        <v>541</v>
      </c>
      <c r="E2231" t="s">
        <v>542</v>
      </c>
      <c r="F2231" s="2" t="s">
        <v>9</v>
      </c>
      <c r="G2231" t="s">
        <v>10</v>
      </c>
      <c r="H2231" s="2" t="s">
        <v>3681</v>
      </c>
      <c r="I2231" s="2">
        <v>7.22</v>
      </c>
    </row>
    <row r="2232" spans="1:9" x14ac:dyDescent="0.25">
      <c r="A2232" s="1" t="s">
        <v>3682</v>
      </c>
      <c r="B2232" t="s">
        <v>3683</v>
      </c>
      <c r="C2232" s="1" t="s">
        <v>3684</v>
      </c>
      <c r="D2232" s="1" t="s">
        <v>3684</v>
      </c>
      <c r="E2232" t="s">
        <v>3685</v>
      </c>
      <c r="F2232" s="2" t="s">
        <v>1768</v>
      </c>
      <c r="G2232" t="s">
        <v>5</v>
      </c>
      <c r="H2232" s="2" t="s">
        <v>860</v>
      </c>
      <c r="I2232" s="2">
        <v>0</v>
      </c>
    </row>
    <row r="2233" spans="1:9" x14ac:dyDescent="0.25">
      <c r="A2233" s="1" t="s">
        <v>3682</v>
      </c>
      <c r="B2233" t="s">
        <v>3683</v>
      </c>
      <c r="C2233" s="1" t="s">
        <v>3686</v>
      </c>
      <c r="D2233" s="1" t="s">
        <v>3686</v>
      </c>
      <c r="E2233" t="s">
        <v>3687</v>
      </c>
      <c r="F2233" s="2" t="s">
        <v>1768</v>
      </c>
      <c r="G2233" t="s">
        <v>5</v>
      </c>
      <c r="H2233" s="2" t="s">
        <v>478</v>
      </c>
      <c r="I2233" s="2">
        <v>0</v>
      </c>
    </row>
    <row r="2234" spans="1:9" x14ac:dyDescent="0.25">
      <c r="A2234" s="1" t="s">
        <v>3682</v>
      </c>
      <c r="B2234" t="s">
        <v>3683</v>
      </c>
      <c r="C2234" s="1" t="s">
        <v>3688</v>
      </c>
      <c r="D2234" s="1" t="s">
        <v>3688</v>
      </c>
      <c r="E2234" t="s">
        <v>3689</v>
      </c>
      <c r="F2234" s="2" t="s">
        <v>1768</v>
      </c>
      <c r="G2234" t="s">
        <v>5</v>
      </c>
      <c r="H2234" s="2" t="s">
        <v>605</v>
      </c>
      <c r="I2234" s="2">
        <v>0</v>
      </c>
    </row>
    <row r="2235" spans="1:9" x14ac:dyDescent="0.25">
      <c r="A2235" s="1" t="s">
        <v>3682</v>
      </c>
      <c r="B2235" t="s">
        <v>3683</v>
      </c>
      <c r="C2235" s="1" t="s">
        <v>7</v>
      </c>
      <c r="D2235" s="1" t="s">
        <v>7</v>
      </c>
      <c r="E2235" t="s">
        <v>8</v>
      </c>
      <c r="F2235" s="2" t="s">
        <v>9</v>
      </c>
      <c r="G2235" t="s">
        <v>10</v>
      </c>
      <c r="H2235" s="2" t="s">
        <v>3690</v>
      </c>
      <c r="I2235" s="2">
        <v>3.8</v>
      </c>
    </row>
    <row r="2236" spans="1:9" x14ac:dyDescent="0.25">
      <c r="A2236" s="1" t="s">
        <v>3682</v>
      </c>
      <c r="B2236" t="s">
        <v>3683</v>
      </c>
      <c r="C2236" s="1" t="s">
        <v>7</v>
      </c>
      <c r="D2236" s="1" t="s">
        <v>7</v>
      </c>
      <c r="E2236" t="s">
        <v>8</v>
      </c>
      <c r="F2236" s="2" t="s">
        <v>9</v>
      </c>
      <c r="G2236" t="s">
        <v>10</v>
      </c>
      <c r="H2236" s="2" t="s">
        <v>1851</v>
      </c>
      <c r="I2236" s="2">
        <v>19.32</v>
      </c>
    </row>
    <row r="2237" spans="1:9" x14ac:dyDescent="0.25">
      <c r="A2237" s="1" t="s">
        <v>3682</v>
      </c>
      <c r="B2237" t="s">
        <v>3683</v>
      </c>
      <c r="C2237" s="1" t="s">
        <v>7</v>
      </c>
      <c r="D2237" s="1" t="s">
        <v>7</v>
      </c>
      <c r="E2237" t="s">
        <v>8</v>
      </c>
      <c r="F2237" s="2" t="s">
        <v>9</v>
      </c>
      <c r="G2237" t="s">
        <v>10</v>
      </c>
      <c r="H2237" s="2" t="s">
        <v>3427</v>
      </c>
      <c r="I2237" s="2">
        <v>9.66</v>
      </c>
    </row>
    <row r="2238" spans="1:9" x14ac:dyDescent="0.25">
      <c r="A2238" s="1" t="s">
        <v>3691</v>
      </c>
      <c r="B2238" t="s">
        <v>3692</v>
      </c>
      <c r="C2238" s="1" t="s">
        <v>3693</v>
      </c>
      <c r="D2238" s="1" t="s">
        <v>3693</v>
      </c>
      <c r="E2238" t="s">
        <v>3694</v>
      </c>
      <c r="F2238" s="2" t="s">
        <v>1394</v>
      </c>
      <c r="G2238" t="s">
        <v>5</v>
      </c>
      <c r="H2238" s="2" t="s">
        <v>992</v>
      </c>
      <c r="I2238" s="2">
        <v>1.2</v>
      </c>
    </row>
    <row r="2239" spans="1:9" x14ac:dyDescent="0.25">
      <c r="A2239" s="1" t="s">
        <v>3691</v>
      </c>
      <c r="B2239" t="s">
        <v>3692</v>
      </c>
      <c r="C2239" s="1" t="s">
        <v>541</v>
      </c>
      <c r="D2239" s="1" t="s">
        <v>541</v>
      </c>
      <c r="E2239" t="s">
        <v>542</v>
      </c>
      <c r="F2239" s="2" t="s">
        <v>9</v>
      </c>
      <c r="G2239" t="s">
        <v>10</v>
      </c>
      <c r="H2239" s="2" t="s">
        <v>3695</v>
      </c>
      <c r="I2239" s="2">
        <v>12.08</v>
      </c>
    </row>
    <row r="2240" spans="1:9" x14ac:dyDescent="0.25">
      <c r="A2240" s="1" t="s">
        <v>3696</v>
      </c>
      <c r="B2240" t="s">
        <v>3697</v>
      </c>
      <c r="C2240" s="1" t="s">
        <v>3698</v>
      </c>
      <c r="D2240" s="1" t="s">
        <v>3698</v>
      </c>
      <c r="E2240" t="s">
        <v>3699</v>
      </c>
      <c r="F2240" s="2" t="s">
        <v>1768</v>
      </c>
      <c r="G2240" t="s">
        <v>5</v>
      </c>
      <c r="H2240" s="2" t="s">
        <v>3700</v>
      </c>
      <c r="I2240" s="2">
        <v>0</v>
      </c>
    </row>
    <row r="2241" spans="1:9" x14ac:dyDescent="0.25">
      <c r="A2241" s="1" t="s">
        <v>3696</v>
      </c>
      <c r="B2241" t="s">
        <v>3697</v>
      </c>
      <c r="C2241" s="1" t="s">
        <v>541</v>
      </c>
      <c r="D2241" s="1" t="s">
        <v>541</v>
      </c>
      <c r="E2241" t="s">
        <v>542</v>
      </c>
      <c r="F2241" s="2" t="s">
        <v>9</v>
      </c>
      <c r="G2241" t="s">
        <v>10</v>
      </c>
      <c r="H2241" s="2" t="s">
        <v>3701</v>
      </c>
      <c r="I2241" s="2">
        <v>7.2</v>
      </c>
    </row>
    <row r="2242" spans="1:9" x14ac:dyDescent="0.25">
      <c r="A2242" s="1" t="s">
        <v>3702</v>
      </c>
      <c r="B2242" t="s">
        <v>3703</v>
      </c>
      <c r="C2242" s="1" t="s">
        <v>1162</v>
      </c>
      <c r="D2242" s="1" t="s">
        <v>1162</v>
      </c>
      <c r="E2242" t="s">
        <v>1163</v>
      </c>
      <c r="F2242" s="2" t="s">
        <v>1164</v>
      </c>
      <c r="G2242" t="s">
        <v>5</v>
      </c>
      <c r="H2242" s="2" t="s">
        <v>3704</v>
      </c>
      <c r="I2242" s="2">
        <v>1.74</v>
      </c>
    </row>
    <row r="2243" spans="1:9" x14ac:dyDescent="0.25">
      <c r="A2243" s="1" t="s">
        <v>3702</v>
      </c>
      <c r="B2243" t="s">
        <v>3703</v>
      </c>
      <c r="C2243" s="1" t="s">
        <v>541</v>
      </c>
      <c r="D2243" s="1" t="s">
        <v>541</v>
      </c>
      <c r="E2243" t="s">
        <v>542</v>
      </c>
      <c r="F2243" s="2" t="s">
        <v>9</v>
      </c>
      <c r="G2243" t="s">
        <v>10</v>
      </c>
      <c r="H2243" s="2" t="s">
        <v>3705</v>
      </c>
      <c r="I2243" s="2">
        <v>2.4300000000000002</v>
      </c>
    </row>
    <row r="2244" spans="1:9" x14ac:dyDescent="0.25">
      <c r="A2244" s="1" t="s">
        <v>3706</v>
      </c>
      <c r="B2244" t="s">
        <v>3707</v>
      </c>
      <c r="C2244" s="1" t="s">
        <v>429</v>
      </c>
      <c r="D2244" s="1" t="s">
        <v>429</v>
      </c>
      <c r="E2244" t="s">
        <v>430</v>
      </c>
      <c r="F2244" s="2" t="s">
        <v>145</v>
      </c>
      <c r="G2244" t="s">
        <v>5</v>
      </c>
      <c r="H2244" s="2" t="s">
        <v>3708</v>
      </c>
      <c r="I2244" s="2">
        <v>4.03</v>
      </c>
    </row>
    <row r="2245" spans="1:9" x14ac:dyDescent="0.25">
      <c r="A2245" s="1" t="s">
        <v>3706</v>
      </c>
      <c r="B2245" t="s">
        <v>3707</v>
      </c>
      <c r="C2245" s="1" t="s">
        <v>541</v>
      </c>
      <c r="D2245" s="1" t="s">
        <v>541</v>
      </c>
      <c r="E2245" t="s">
        <v>542</v>
      </c>
      <c r="F2245" s="2" t="s">
        <v>9</v>
      </c>
      <c r="G2245" t="s">
        <v>10</v>
      </c>
      <c r="H2245" s="2" t="s">
        <v>3709</v>
      </c>
      <c r="I2245" s="2">
        <v>5.92</v>
      </c>
    </row>
    <row r="2246" spans="1:9" x14ac:dyDescent="0.25">
      <c r="A2246" s="1" t="s">
        <v>3710</v>
      </c>
      <c r="B2246" t="s">
        <v>3711</v>
      </c>
      <c r="C2246" s="1" t="s">
        <v>7</v>
      </c>
      <c r="D2246" s="1" t="s">
        <v>7</v>
      </c>
      <c r="E2246" t="s">
        <v>8</v>
      </c>
      <c r="F2246" s="2" t="s">
        <v>9</v>
      </c>
      <c r="G2246" t="s">
        <v>10</v>
      </c>
      <c r="H2246" s="2" t="s">
        <v>3712</v>
      </c>
      <c r="I2246" s="2">
        <v>0.99</v>
      </c>
    </row>
    <row r="2247" spans="1:9" x14ac:dyDescent="0.25">
      <c r="A2247" s="1" t="s">
        <v>3713</v>
      </c>
      <c r="B2247" t="s">
        <v>3714</v>
      </c>
      <c r="C2247" s="1" t="s">
        <v>7</v>
      </c>
      <c r="D2247" s="1" t="s">
        <v>7</v>
      </c>
      <c r="E2247" t="s">
        <v>8</v>
      </c>
      <c r="F2247" s="2" t="s">
        <v>9</v>
      </c>
      <c r="G2247" t="s">
        <v>10</v>
      </c>
      <c r="H2247" s="2" t="s">
        <v>3712</v>
      </c>
      <c r="I2247" s="2">
        <v>0.99</v>
      </c>
    </row>
    <row r="2248" spans="1:9" x14ac:dyDescent="0.25">
      <c r="A2248" s="1" t="s">
        <v>158</v>
      </c>
      <c r="B2248" t="s">
        <v>159</v>
      </c>
      <c r="C2248" s="1" t="s">
        <v>3715</v>
      </c>
      <c r="D2248" s="1" t="s">
        <v>3715</v>
      </c>
      <c r="E2248" t="s">
        <v>3716</v>
      </c>
      <c r="F2248" s="2" t="s">
        <v>3189</v>
      </c>
      <c r="G2248" t="s">
        <v>17</v>
      </c>
      <c r="H2248" s="2" t="s">
        <v>3717</v>
      </c>
      <c r="I2248" s="2">
        <v>0.45</v>
      </c>
    </row>
    <row r="2249" spans="1:9" x14ac:dyDescent="0.25">
      <c r="A2249" s="1" t="s">
        <v>158</v>
      </c>
      <c r="B2249" t="s">
        <v>159</v>
      </c>
      <c r="C2249" s="1" t="s">
        <v>7</v>
      </c>
      <c r="D2249" s="1" t="s">
        <v>7</v>
      </c>
      <c r="E2249" t="s">
        <v>8</v>
      </c>
      <c r="F2249" s="2" t="s">
        <v>9</v>
      </c>
      <c r="G2249" t="s">
        <v>10</v>
      </c>
      <c r="H2249" s="2" t="s">
        <v>1740</v>
      </c>
      <c r="I2249" s="2">
        <v>3.7</v>
      </c>
    </row>
    <row r="2250" spans="1:9" x14ac:dyDescent="0.25">
      <c r="A2250" s="1" t="s">
        <v>161</v>
      </c>
      <c r="B2250" t="s">
        <v>162</v>
      </c>
      <c r="C2250" s="1" t="s">
        <v>3715</v>
      </c>
      <c r="D2250" s="1" t="s">
        <v>3715</v>
      </c>
      <c r="E2250" t="s">
        <v>3716</v>
      </c>
      <c r="F2250" s="2" t="s">
        <v>3189</v>
      </c>
      <c r="G2250" t="s">
        <v>17</v>
      </c>
      <c r="H2250" s="2" t="s">
        <v>3717</v>
      </c>
      <c r="I2250" s="2">
        <v>0.45</v>
      </c>
    </row>
    <row r="2251" spans="1:9" x14ac:dyDescent="0.25">
      <c r="A2251" s="1" t="s">
        <v>161</v>
      </c>
      <c r="B2251" t="s">
        <v>162</v>
      </c>
      <c r="C2251" s="1" t="s">
        <v>7</v>
      </c>
      <c r="D2251" s="1" t="s">
        <v>7</v>
      </c>
      <c r="E2251" t="s">
        <v>8</v>
      </c>
      <c r="F2251" s="2" t="s">
        <v>9</v>
      </c>
      <c r="G2251" t="s">
        <v>10</v>
      </c>
      <c r="H2251" s="2" t="s">
        <v>1740</v>
      </c>
      <c r="I2251" s="2">
        <v>3.7</v>
      </c>
    </row>
    <row r="2252" spans="1:9" x14ac:dyDescent="0.25">
      <c r="A2252" s="1" t="s">
        <v>3718</v>
      </c>
      <c r="B2252" t="s">
        <v>3719</v>
      </c>
      <c r="C2252" s="1" t="s">
        <v>29</v>
      </c>
      <c r="D2252" s="1" t="s">
        <v>29</v>
      </c>
      <c r="E2252" t="s">
        <v>30</v>
      </c>
      <c r="F2252" s="2" t="s">
        <v>31</v>
      </c>
      <c r="G2252" t="s">
        <v>5</v>
      </c>
      <c r="H2252" s="2" t="s">
        <v>860</v>
      </c>
      <c r="I2252" s="2">
        <v>5.3</v>
      </c>
    </row>
    <row r="2253" spans="1:9" x14ac:dyDescent="0.25">
      <c r="A2253" s="1" t="s">
        <v>3718</v>
      </c>
      <c r="B2253" t="s">
        <v>3719</v>
      </c>
      <c r="C2253" s="1" t="s">
        <v>541</v>
      </c>
      <c r="D2253" s="1" t="s">
        <v>541</v>
      </c>
      <c r="E2253" t="s">
        <v>542</v>
      </c>
      <c r="F2253" s="2" t="s">
        <v>9</v>
      </c>
      <c r="G2253" t="s">
        <v>10</v>
      </c>
      <c r="H2253" s="2" t="s">
        <v>1755</v>
      </c>
      <c r="I2253" s="2">
        <v>7.15</v>
      </c>
    </row>
    <row r="2254" spans="1:9" x14ac:dyDescent="0.25">
      <c r="A2254" s="1" t="s">
        <v>3720</v>
      </c>
      <c r="B2254" t="s">
        <v>3721</v>
      </c>
      <c r="C2254" s="1" t="s">
        <v>1335</v>
      </c>
      <c r="D2254" s="1" t="s">
        <v>1335</v>
      </c>
      <c r="E2254" t="s">
        <v>1336</v>
      </c>
      <c r="F2254" s="2" t="s">
        <v>3722</v>
      </c>
      <c r="G2254" t="s">
        <v>49</v>
      </c>
      <c r="H2254" s="2" t="s">
        <v>50</v>
      </c>
      <c r="I2254" s="2">
        <v>34</v>
      </c>
    </row>
    <row r="2255" spans="1:9" x14ac:dyDescent="0.25">
      <c r="A2255" s="1" t="s">
        <v>3720</v>
      </c>
      <c r="B2255" t="s">
        <v>3721</v>
      </c>
      <c r="C2255" s="1" t="s">
        <v>541</v>
      </c>
      <c r="D2255" s="1" t="s">
        <v>541</v>
      </c>
      <c r="E2255" t="s">
        <v>542</v>
      </c>
      <c r="F2255" s="2" t="s">
        <v>9</v>
      </c>
      <c r="G2255" t="s">
        <v>10</v>
      </c>
      <c r="H2255" s="2" t="s">
        <v>998</v>
      </c>
      <c r="I2255" s="2">
        <v>27.6</v>
      </c>
    </row>
    <row r="2256" spans="1:9" x14ac:dyDescent="0.25">
      <c r="A2256" s="1" t="s">
        <v>3723</v>
      </c>
      <c r="B2256" t="s">
        <v>3724</v>
      </c>
      <c r="C2256" s="1" t="s">
        <v>1335</v>
      </c>
      <c r="D2256" s="1" t="s">
        <v>1335</v>
      </c>
      <c r="E2256" t="s">
        <v>1336</v>
      </c>
      <c r="F2256" s="2" t="s">
        <v>3722</v>
      </c>
      <c r="G2256" t="s">
        <v>49</v>
      </c>
      <c r="H2256" s="2" t="s">
        <v>50</v>
      </c>
      <c r="I2256" s="2">
        <v>34</v>
      </c>
    </row>
    <row r="2257" spans="1:9" x14ac:dyDescent="0.25">
      <c r="A2257" s="1" t="s">
        <v>3723</v>
      </c>
      <c r="B2257" t="s">
        <v>3724</v>
      </c>
      <c r="C2257" s="1" t="s">
        <v>541</v>
      </c>
      <c r="D2257" s="1" t="s">
        <v>541</v>
      </c>
      <c r="E2257" t="s">
        <v>542</v>
      </c>
      <c r="F2257" s="2" t="s">
        <v>9</v>
      </c>
      <c r="G2257" t="s">
        <v>10</v>
      </c>
      <c r="H2257" s="2" t="s">
        <v>998</v>
      </c>
      <c r="I2257" s="2">
        <v>27.6</v>
      </c>
    </row>
    <row r="2258" spans="1:9" x14ac:dyDescent="0.25">
      <c r="A2258" s="1" t="s">
        <v>3725</v>
      </c>
      <c r="B2258" t="s">
        <v>3726</v>
      </c>
      <c r="C2258" s="1" t="s">
        <v>1327</v>
      </c>
      <c r="D2258" s="1" t="s">
        <v>1327</v>
      </c>
      <c r="E2258" t="s">
        <v>3727</v>
      </c>
      <c r="F2258" s="2" t="s">
        <v>1329</v>
      </c>
      <c r="G2258" t="s">
        <v>49</v>
      </c>
      <c r="H2258" s="2" t="s">
        <v>50</v>
      </c>
      <c r="I2258" s="2">
        <v>220</v>
      </c>
    </row>
    <row r="2259" spans="1:9" x14ac:dyDescent="0.25">
      <c r="A2259" s="1" t="s">
        <v>3725</v>
      </c>
      <c r="B2259" t="s">
        <v>3726</v>
      </c>
      <c r="C2259" s="1" t="s">
        <v>541</v>
      </c>
      <c r="D2259" s="1" t="s">
        <v>541</v>
      </c>
      <c r="E2259" t="s">
        <v>542</v>
      </c>
      <c r="F2259" s="2" t="s">
        <v>9</v>
      </c>
      <c r="G2259" t="s">
        <v>10</v>
      </c>
      <c r="H2259" s="2" t="s">
        <v>3728</v>
      </c>
      <c r="I2259" s="2">
        <v>39.5</v>
      </c>
    </row>
    <row r="2260" spans="1:9" x14ac:dyDescent="0.25">
      <c r="A2260" s="1" t="s">
        <v>3729</v>
      </c>
      <c r="B2260" t="s">
        <v>3730</v>
      </c>
      <c r="C2260" s="1" t="s">
        <v>1447</v>
      </c>
      <c r="D2260" s="1" t="s">
        <v>1447</v>
      </c>
      <c r="E2260" t="s">
        <v>1448</v>
      </c>
      <c r="F2260" s="2" t="s">
        <v>779</v>
      </c>
      <c r="G2260" t="s">
        <v>5</v>
      </c>
      <c r="H2260" s="2" t="s">
        <v>3731</v>
      </c>
      <c r="I2260" s="2">
        <v>37.799999999999997</v>
      </c>
    </row>
    <row r="2261" spans="1:9" x14ac:dyDescent="0.25">
      <c r="A2261" s="1" t="s">
        <v>3729</v>
      </c>
      <c r="B2261" t="s">
        <v>3730</v>
      </c>
      <c r="C2261" s="1" t="s">
        <v>541</v>
      </c>
      <c r="D2261" s="1" t="s">
        <v>541</v>
      </c>
      <c r="E2261" t="s">
        <v>542</v>
      </c>
      <c r="F2261" s="2" t="s">
        <v>9</v>
      </c>
      <c r="G2261" t="s">
        <v>10</v>
      </c>
      <c r="H2261" s="2" t="s">
        <v>3732</v>
      </c>
      <c r="I2261" s="2">
        <v>8.99</v>
      </c>
    </row>
    <row r="2262" spans="1:9" x14ac:dyDescent="0.25">
      <c r="A2262" s="1" t="s">
        <v>3733</v>
      </c>
      <c r="B2262" t="s">
        <v>3734</v>
      </c>
      <c r="C2262" s="1" t="s">
        <v>1327</v>
      </c>
      <c r="D2262" s="1" t="s">
        <v>1327</v>
      </c>
      <c r="E2262" t="s">
        <v>3727</v>
      </c>
      <c r="F2262" s="2" t="s">
        <v>1329</v>
      </c>
      <c r="G2262" t="s">
        <v>49</v>
      </c>
      <c r="H2262" s="2" t="s">
        <v>50</v>
      </c>
      <c r="I2262" s="2">
        <v>220</v>
      </c>
    </row>
    <row r="2263" spans="1:9" x14ac:dyDescent="0.25">
      <c r="A2263" s="1" t="s">
        <v>3733</v>
      </c>
      <c r="B2263" t="s">
        <v>3734</v>
      </c>
      <c r="C2263" s="1" t="s">
        <v>541</v>
      </c>
      <c r="D2263" s="1" t="s">
        <v>541</v>
      </c>
      <c r="E2263" t="s">
        <v>542</v>
      </c>
      <c r="F2263" s="2" t="s">
        <v>9</v>
      </c>
      <c r="G2263" t="s">
        <v>10</v>
      </c>
      <c r="H2263" s="2" t="s">
        <v>268</v>
      </c>
      <c r="I2263" s="2">
        <v>138</v>
      </c>
    </row>
    <row r="2264" spans="1:9" x14ac:dyDescent="0.25">
      <c r="A2264" s="1" t="s">
        <v>3735</v>
      </c>
      <c r="B2264" t="s">
        <v>3736</v>
      </c>
      <c r="C2264" s="1" t="s">
        <v>29</v>
      </c>
      <c r="D2264" s="1" t="s">
        <v>29</v>
      </c>
      <c r="E2264" t="s">
        <v>30</v>
      </c>
      <c r="F2264" s="2" t="s">
        <v>31</v>
      </c>
      <c r="G2264" t="s">
        <v>5</v>
      </c>
      <c r="H2264" s="2" t="s">
        <v>3737</v>
      </c>
      <c r="I2264" s="2">
        <v>4.75</v>
      </c>
    </row>
    <row r="2265" spans="1:9" x14ac:dyDescent="0.25">
      <c r="A2265" s="1" t="s">
        <v>3735</v>
      </c>
      <c r="B2265" t="s">
        <v>3736</v>
      </c>
      <c r="C2265" s="1" t="s">
        <v>1989</v>
      </c>
      <c r="D2265" s="1" t="s">
        <v>1989</v>
      </c>
      <c r="E2265" t="s">
        <v>1990</v>
      </c>
      <c r="F2265" s="2" t="s">
        <v>1991</v>
      </c>
      <c r="G2265" t="s">
        <v>435</v>
      </c>
      <c r="H2265" s="2" t="s">
        <v>3738</v>
      </c>
      <c r="I2265" s="2">
        <v>1.32</v>
      </c>
    </row>
    <row r="2266" spans="1:9" x14ac:dyDescent="0.25">
      <c r="A2266" s="1" t="s">
        <v>3735</v>
      </c>
      <c r="B2266" t="s">
        <v>3736</v>
      </c>
      <c r="C2266" s="1" t="s">
        <v>541</v>
      </c>
      <c r="D2266" s="1" t="s">
        <v>541</v>
      </c>
      <c r="E2266" t="s">
        <v>542</v>
      </c>
      <c r="F2266" s="2" t="s">
        <v>9</v>
      </c>
      <c r="G2266" t="s">
        <v>10</v>
      </c>
      <c r="H2266" s="2" t="s">
        <v>2537</v>
      </c>
      <c r="I2266" s="2">
        <v>7.19</v>
      </c>
    </row>
    <row r="2267" spans="1:9" x14ac:dyDescent="0.25">
      <c r="A2267" s="1" t="s">
        <v>3739</v>
      </c>
      <c r="B2267" t="s">
        <v>3740</v>
      </c>
      <c r="C2267" s="1" t="s">
        <v>29</v>
      </c>
      <c r="D2267" s="1" t="s">
        <v>29</v>
      </c>
      <c r="E2267" t="s">
        <v>30</v>
      </c>
      <c r="F2267" s="2" t="s">
        <v>31</v>
      </c>
      <c r="G2267" t="s">
        <v>5</v>
      </c>
      <c r="H2267" s="2" t="s">
        <v>3741</v>
      </c>
      <c r="I2267" s="2">
        <v>4.8</v>
      </c>
    </row>
    <row r="2268" spans="1:9" x14ac:dyDescent="0.25">
      <c r="A2268" s="1" t="s">
        <v>3739</v>
      </c>
      <c r="B2268" t="s">
        <v>3740</v>
      </c>
      <c r="C2268" s="1" t="s">
        <v>541</v>
      </c>
      <c r="D2268" s="1" t="s">
        <v>541</v>
      </c>
      <c r="E2268" t="s">
        <v>542</v>
      </c>
      <c r="F2268" s="2" t="s">
        <v>9</v>
      </c>
      <c r="G2268" t="s">
        <v>10</v>
      </c>
      <c r="H2268" s="2" t="s">
        <v>2537</v>
      </c>
      <c r="I2268" s="2">
        <v>7.19</v>
      </c>
    </row>
    <row r="2269" spans="1:9" x14ac:dyDescent="0.25">
      <c r="A2269" s="1" t="s">
        <v>3742</v>
      </c>
      <c r="B2269" t="s">
        <v>3743</v>
      </c>
      <c r="C2269" s="1" t="s">
        <v>2516</v>
      </c>
      <c r="D2269" s="1" t="s">
        <v>2516</v>
      </c>
      <c r="E2269" t="s">
        <v>2517</v>
      </c>
      <c r="F2269" s="2" t="s">
        <v>1110</v>
      </c>
      <c r="G2269" t="s">
        <v>17</v>
      </c>
      <c r="H2269" s="2" t="s">
        <v>3744</v>
      </c>
      <c r="I2269" s="2">
        <v>33.9</v>
      </c>
    </row>
    <row r="2270" spans="1:9" x14ac:dyDescent="0.25">
      <c r="A2270" s="1" t="s">
        <v>3742</v>
      </c>
      <c r="B2270" t="s">
        <v>3743</v>
      </c>
      <c r="C2270" s="1" t="s">
        <v>541</v>
      </c>
      <c r="D2270" s="1" t="s">
        <v>541</v>
      </c>
      <c r="E2270" t="s">
        <v>542</v>
      </c>
      <c r="F2270" s="2" t="s">
        <v>9</v>
      </c>
      <c r="G2270" t="s">
        <v>10</v>
      </c>
      <c r="H2270" s="2" t="s">
        <v>2537</v>
      </c>
      <c r="I2270" s="2">
        <v>7.19</v>
      </c>
    </row>
    <row r="2271" spans="1:9" x14ac:dyDescent="0.25">
      <c r="A2271" s="1" t="s">
        <v>370</v>
      </c>
      <c r="B2271" t="s">
        <v>371</v>
      </c>
      <c r="C2271" s="1" t="s">
        <v>684</v>
      </c>
      <c r="D2271" s="1" t="s">
        <v>684</v>
      </c>
      <c r="E2271" t="s">
        <v>685</v>
      </c>
      <c r="F2271" s="2" t="s">
        <v>686</v>
      </c>
      <c r="G2271" t="s">
        <v>49</v>
      </c>
      <c r="H2271" s="2" t="s">
        <v>3745</v>
      </c>
      <c r="I2271" s="2">
        <v>71.05</v>
      </c>
    </row>
    <row r="2272" spans="1:9" x14ac:dyDescent="0.25">
      <c r="A2272" s="1" t="s">
        <v>370</v>
      </c>
      <c r="B2272" t="s">
        <v>371</v>
      </c>
      <c r="C2272" s="1" t="s">
        <v>7</v>
      </c>
      <c r="D2272" s="1" t="s">
        <v>7</v>
      </c>
      <c r="E2272" t="s">
        <v>8</v>
      </c>
      <c r="F2272" s="2" t="s">
        <v>9</v>
      </c>
      <c r="G2272" t="s">
        <v>10</v>
      </c>
      <c r="H2272" s="2" t="s">
        <v>860</v>
      </c>
      <c r="I2272" s="2">
        <v>23</v>
      </c>
    </row>
    <row r="2273" spans="1:9" x14ac:dyDescent="0.25">
      <c r="A2273" s="1" t="s">
        <v>373</v>
      </c>
      <c r="B2273" t="s">
        <v>374</v>
      </c>
      <c r="C2273" s="1" t="s">
        <v>429</v>
      </c>
      <c r="D2273" s="1" t="s">
        <v>429</v>
      </c>
      <c r="E2273" t="s">
        <v>430</v>
      </c>
      <c r="F2273" s="2" t="s">
        <v>145</v>
      </c>
      <c r="G2273" t="s">
        <v>5</v>
      </c>
      <c r="H2273" s="2" t="s">
        <v>3746</v>
      </c>
      <c r="I2273" s="2">
        <v>1.2</v>
      </c>
    </row>
    <row r="2274" spans="1:9" x14ac:dyDescent="0.25">
      <c r="A2274" s="1" t="s">
        <v>373</v>
      </c>
      <c r="B2274" t="s">
        <v>374</v>
      </c>
      <c r="C2274" s="1" t="s">
        <v>432</v>
      </c>
      <c r="D2274" s="1" t="s">
        <v>432</v>
      </c>
      <c r="E2274" t="s">
        <v>433</v>
      </c>
      <c r="F2274" s="2" t="s">
        <v>434</v>
      </c>
      <c r="G2274" t="s">
        <v>435</v>
      </c>
      <c r="H2274" s="2" t="s">
        <v>50</v>
      </c>
      <c r="I2274" s="2">
        <v>1.1000000000000001</v>
      </c>
    </row>
    <row r="2275" spans="1:9" x14ac:dyDescent="0.25">
      <c r="A2275" s="1" t="s">
        <v>373</v>
      </c>
      <c r="B2275" t="s">
        <v>374</v>
      </c>
      <c r="C2275" s="1" t="s">
        <v>7</v>
      </c>
      <c r="D2275" s="1" t="s">
        <v>7</v>
      </c>
      <c r="E2275" t="s">
        <v>8</v>
      </c>
      <c r="F2275" s="2" t="s">
        <v>9</v>
      </c>
      <c r="G2275" t="s">
        <v>10</v>
      </c>
      <c r="H2275" s="2" t="s">
        <v>1130</v>
      </c>
      <c r="I2275" s="2">
        <v>34.5</v>
      </c>
    </row>
    <row r="2276" spans="1:9" x14ac:dyDescent="0.25">
      <c r="A2276" s="1" t="s">
        <v>376</v>
      </c>
      <c r="B2276" t="s">
        <v>377</v>
      </c>
      <c r="C2276" s="1" t="s">
        <v>684</v>
      </c>
      <c r="D2276" s="1" t="s">
        <v>684</v>
      </c>
      <c r="E2276" t="s">
        <v>685</v>
      </c>
      <c r="F2276" s="2" t="s">
        <v>686</v>
      </c>
      <c r="G2276" t="s">
        <v>49</v>
      </c>
      <c r="H2276" s="2" t="s">
        <v>3747</v>
      </c>
      <c r="I2276" s="2">
        <v>1.1499999999999999</v>
      </c>
    </row>
    <row r="2277" spans="1:9" x14ac:dyDescent="0.25">
      <c r="A2277" s="1" t="s">
        <v>236</v>
      </c>
      <c r="B2277" t="s">
        <v>237</v>
      </c>
      <c r="C2277" s="1" t="s">
        <v>2161</v>
      </c>
      <c r="D2277" s="1" t="s">
        <v>2161</v>
      </c>
      <c r="E2277" t="s">
        <v>2162</v>
      </c>
      <c r="F2277" s="2" t="s">
        <v>1354</v>
      </c>
      <c r="G2277" t="s">
        <v>5</v>
      </c>
      <c r="H2277" s="2" t="s">
        <v>3748</v>
      </c>
      <c r="I2277" s="2">
        <v>4.9000000000000004</v>
      </c>
    </row>
    <row r="2278" spans="1:9" x14ac:dyDescent="0.25">
      <c r="A2278" s="1" t="s">
        <v>236</v>
      </c>
      <c r="B2278" t="s">
        <v>237</v>
      </c>
      <c r="C2278" s="1" t="s">
        <v>7</v>
      </c>
      <c r="D2278" s="1" t="s">
        <v>7</v>
      </c>
      <c r="E2278" t="s">
        <v>8</v>
      </c>
      <c r="F2278" s="2" t="s">
        <v>9</v>
      </c>
      <c r="G2278" t="s">
        <v>10</v>
      </c>
      <c r="H2278" s="2" t="s">
        <v>1649</v>
      </c>
      <c r="I2278" s="2">
        <v>9.65</v>
      </c>
    </row>
    <row r="2279" spans="1:9" x14ac:dyDescent="0.25">
      <c r="A2279" s="1" t="s">
        <v>239</v>
      </c>
      <c r="B2279" t="s">
        <v>240</v>
      </c>
      <c r="C2279" s="1" t="s">
        <v>2161</v>
      </c>
      <c r="D2279" s="1" t="s">
        <v>2161</v>
      </c>
      <c r="E2279" t="s">
        <v>2162</v>
      </c>
      <c r="F2279" s="2" t="s">
        <v>1354</v>
      </c>
      <c r="G2279" t="s">
        <v>5</v>
      </c>
      <c r="H2279" s="2" t="s">
        <v>3749</v>
      </c>
      <c r="I2279" s="2">
        <v>0.7</v>
      </c>
    </row>
    <row r="2280" spans="1:9" x14ac:dyDescent="0.25">
      <c r="A2280" s="1" t="s">
        <v>239</v>
      </c>
      <c r="B2280" t="s">
        <v>240</v>
      </c>
      <c r="C2280" s="1" t="s">
        <v>7</v>
      </c>
      <c r="D2280" s="1" t="s">
        <v>7</v>
      </c>
      <c r="E2280" t="s">
        <v>8</v>
      </c>
      <c r="F2280" s="2" t="s">
        <v>9</v>
      </c>
      <c r="G2280" t="s">
        <v>10</v>
      </c>
      <c r="H2280" s="2" t="s">
        <v>601</v>
      </c>
      <c r="I2280" s="2">
        <v>6.9</v>
      </c>
    </row>
    <row r="2281" spans="1:9" x14ac:dyDescent="0.25">
      <c r="A2281" s="1" t="s">
        <v>3750</v>
      </c>
      <c r="B2281" t="s">
        <v>3751</v>
      </c>
      <c r="C2281" s="1" t="s">
        <v>2467</v>
      </c>
      <c r="D2281" s="1" t="s">
        <v>2467</v>
      </c>
      <c r="E2281" t="s">
        <v>2468</v>
      </c>
      <c r="F2281" s="2" t="s">
        <v>2469</v>
      </c>
      <c r="G2281" t="s">
        <v>5</v>
      </c>
      <c r="H2281" s="2" t="s">
        <v>3752</v>
      </c>
      <c r="I2281" s="2">
        <v>8.6300000000000008</v>
      </c>
    </row>
    <row r="2282" spans="1:9" x14ac:dyDescent="0.25">
      <c r="A2282" s="1" t="s">
        <v>3750</v>
      </c>
      <c r="B2282" t="s">
        <v>3751</v>
      </c>
      <c r="C2282" s="1" t="s">
        <v>2492</v>
      </c>
      <c r="D2282" s="1" t="s">
        <v>2492</v>
      </c>
      <c r="E2282" t="s">
        <v>2493</v>
      </c>
      <c r="F2282" s="2" t="s">
        <v>2494</v>
      </c>
      <c r="G2282" t="s">
        <v>121</v>
      </c>
      <c r="H2282" s="2" t="s">
        <v>50</v>
      </c>
      <c r="I2282" s="2">
        <v>23.4</v>
      </c>
    </row>
    <row r="2283" spans="1:9" x14ac:dyDescent="0.25">
      <c r="A2283" s="1" t="s">
        <v>3750</v>
      </c>
      <c r="B2283" t="s">
        <v>3751</v>
      </c>
      <c r="C2283" s="1" t="s">
        <v>432</v>
      </c>
      <c r="D2283" s="1" t="s">
        <v>432</v>
      </c>
      <c r="E2283" t="s">
        <v>433</v>
      </c>
      <c r="F2283" s="2" t="s">
        <v>434</v>
      </c>
      <c r="G2283" t="s">
        <v>435</v>
      </c>
      <c r="H2283" s="2" t="s">
        <v>3753</v>
      </c>
      <c r="I2283" s="2">
        <v>7.27</v>
      </c>
    </row>
    <row r="2284" spans="1:9" x14ac:dyDescent="0.25">
      <c r="A2284" s="1" t="s">
        <v>3750</v>
      </c>
      <c r="B2284" t="s">
        <v>3751</v>
      </c>
      <c r="C2284" s="1" t="s">
        <v>7</v>
      </c>
      <c r="D2284" s="1" t="s">
        <v>7</v>
      </c>
      <c r="E2284" t="s">
        <v>8</v>
      </c>
      <c r="F2284" s="2" t="s">
        <v>9</v>
      </c>
      <c r="G2284" t="s">
        <v>10</v>
      </c>
      <c r="H2284" s="2" t="s">
        <v>3695</v>
      </c>
      <c r="I2284" s="2">
        <v>12.08</v>
      </c>
    </row>
    <row r="2285" spans="1:9" x14ac:dyDescent="0.25">
      <c r="A2285" s="1" t="s">
        <v>1156</v>
      </c>
      <c r="B2285" t="s">
        <v>1157</v>
      </c>
      <c r="C2285" s="1" t="s">
        <v>1249</v>
      </c>
      <c r="D2285" s="1" t="s">
        <v>1249</v>
      </c>
      <c r="E2285" t="s">
        <v>1250</v>
      </c>
      <c r="F2285" s="2" t="s">
        <v>1251</v>
      </c>
      <c r="G2285" t="s">
        <v>1252</v>
      </c>
      <c r="H2285" s="2" t="s">
        <v>3754</v>
      </c>
      <c r="I2285" s="2">
        <v>50.4</v>
      </c>
    </row>
    <row r="2286" spans="1:9" x14ac:dyDescent="0.25">
      <c r="A2286" s="1" t="s">
        <v>1156</v>
      </c>
      <c r="B2286" t="s">
        <v>1157</v>
      </c>
      <c r="C2286" s="1" t="s">
        <v>7</v>
      </c>
      <c r="D2286" s="1" t="s">
        <v>7</v>
      </c>
      <c r="E2286" t="s">
        <v>8</v>
      </c>
      <c r="F2286" s="2" t="s">
        <v>9</v>
      </c>
      <c r="G2286" t="s">
        <v>10</v>
      </c>
      <c r="H2286" s="2" t="s">
        <v>3755</v>
      </c>
      <c r="I2286" s="2">
        <v>149.6</v>
      </c>
    </row>
    <row r="2287" spans="1:9" x14ac:dyDescent="0.25">
      <c r="A2287" s="1" t="s">
        <v>118</v>
      </c>
      <c r="B2287" t="s">
        <v>119</v>
      </c>
      <c r="C2287" s="1" t="s">
        <v>3317</v>
      </c>
      <c r="D2287" s="1" t="s">
        <v>3317</v>
      </c>
      <c r="E2287" t="s">
        <v>3318</v>
      </c>
      <c r="F2287" s="2" t="s">
        <v>3756</v>
      </c>
      <c r="G2287" t="s">
        <v>5</v>
      </c>
      <c r="H2287" s="2" t="s">
        <v>19</v>
      </c>
      <c r="I2287" s="2">
        <v>3.95</v>
      </c>
    </row>
    <row r="2288" spans="1:9" x14ac:dyDescent="0.25">
      <c r="A2288" s="1" t="s">
        <v>118</v>
      </c>
      <c r="B2288" t="s">
        <v>119</v>
      </c>
      <c r="C2288" s="1" t="s">
        <v>7</v>
      </c>
      <c r="D2288" s="1" t="s">
        <v>7</v>
      </c>
      <c r="E2288" t="s">
        <v>8</v>
      </c>
      <c r="F2288" s="2" t="s">
        <v>9</v>
      </c>
      <c r="G2288" t="s">
        <v>10</v>
      </c>
      <c r="H2288" s="2" t="s">
        <v>3757</v>
      </c>
      <c r="I2288" s="2">
        <v>12</v>
      </c>
    </row>
    <row r="2289" spans="1:9" x14ac:dyDescent="0.25">
      <c r="A2289" s="1" t="s">
        <v>123</v>
      </c>
      <c r="B2289" t="s">
        <v>3758</v>
      </c>
      <c r="C2289" s="1" t="s">
        <v>2</v>
      </c>
      <c r="D2289" s="1" t="s">
        <v>2</v>
      </c>
      <c r="E2289" t="s">
        <v>3</v>
      </c>
      <c r="F2289" s="2" t="s">
        <v>4</v>
      </c>
      <c r="G2289" t="s">
        <v>5</v>
      </c>
      <c r="H2289" s="2" t="s">
        <v>3759</v>
      </c>
      <c r="I2289" s="2">
        <v>1.1499999999999999</v>
      </c>
    </row>
    <row r="2290" spans="1:9" x14ac:dyDescent="0.25">
      <c r="A2290" s="1" t="s">
        <v>123</v>
      </c>
      <c r="B2290" t="s">
        <v>3758</v>
      </c>
      <c r="C2290" s="1" t="s">
        <v>432</v>
      </c>
      <c r="D2290" s="1" t="s">
        <v>432</v>
      </c>
      <c r="E2290" t="s">
        <v>433</v>
      </c>
      <c r="F2290" s="2" t="s">
        <v>434</v>
      </c>
      <c r="G2290" t="s">
        <v>435</v>
      </c>
      <c r="H2290" s="2" t="s">
        <v>50</v>
      </c>
      <c r="I2290" s="2">
        <v>1.1000000000000001</v>
      </c>
    </row>
    <row r="2291" spans="1:9" x14ac:dyDescent="0.25">
      <c r="A2291" s="1" t="s">
        <v>123</v>
      </c>
      <c r="B2291" t="s">
        <v>3758</v>
      </c>
      <c r="C2291" s="1" t="s">
        <v>7</v>
      </c>
      <c r="D2291" s="1" t="s">
        <v>7</v>
      </c>
      <c r="E2291" t="s">
        <v>8</v>
      </c>
      <c r="F2291" s="2" t="s">
        <v>9</v>
      </c>
      <c r="G2291" t="s">
        <v>10</v>
      </c>
      <c r="H2291" s="2" t="s">
        <v>3760</v>
      </c>
      <c r="I2291" s="2">
        <v>11.6</v>
      </c>
    </row>
    <row r="2292" spans="1:9" x14ac:dyDescent="0.25">
      <c r="A2292" s="1" t="s">
        <v>126</v>
      </c>
      <c r="B2292" t="s">
        <v>127</v>
      </c>
      <c r="C2292" s="1" t="s">
        <v>3317</v>
      </c>
      <c r="D2292" s="1" t="s">
        <v>3317</v>
      </c>
      <c r="E2292" t="s">
        <v>3318</v>
      </c>
      <c r="F2292" s="2" t="s">
        <v>3756</v>
      </c>
      <c r="G2292" t="s">
        <v>5</v>
      </c>
      <c r="H2292" s="2" t="s">
        <v>3761</v>
      </c>
      <c r="I2292" s="2">
        <v>3.65</v>
      </c>
    </row>
    <row r="2293" spans="1:9" x14ac:dyDescent="0.25">
      <c r="A2293" s="1" t="s">
        <v>126</v>
      </c>
      <c r="B2293" t="s">
        <v>127</v>
      </c>
      <c r="C2293" s="1" t="s">
        <v>7</v>
      </c>
      <c r="D2293" s="1" t="s">
        <v>7</v>
      </c>
      <c r="E2293" t="s">
        <v>8</v>
      </c>
      <c r="F2293" s="2" t="s">
        <v>9</v>
      </c>
      <c r="G2293" t="s">
        <v>10</v>
      </c>
      <c r="H2293" s="2" t="s">
        <v>3757</v>
      </c>
      <c r="I2293" s="2">
        <v>12</v>
      </c>
    </row>
    <row r="2294" spans="1:9" x14ac:dyDescent="0.25">
      <c r="A2294" s="1" t="s">
        <v>129</v>
      </c>
      <c r="B2294" t="s">
        <v>3762</v>
      </c>
      <c r="C2294" s="1" t="s">
        <v>1188</v>
      </c>
      <c r="D2294" s="1" t="s">
        <v>1188</v>
      </c>
      <c r="E2294" t="s">
        <v>1189</v>
      </c>
      <c r="F2294" s="2" t="s">
        <v>1190</v>
      </c>
      <c r="G2294" t="s">
        <v>5</v>
      </c>
      <c r="H2294" s="2" t="s">
        <v>3763</v>
      </c>
      <c r="I2294" s="2">
        <v>1.1000000000000001</v>
      </c>
    </row>
    <row r="2295" spans="1:9" x14ac:dyDescent="0.25">
      <c r="A2295" s="1" t="s">
        <v>129</v>
      </c>
      <c r="B2295" t="s">
        <v>3762</v>
      </c>
      <c r="C2295" s="1" t="s">
        <v>432</v>
      </c>
      <c r="D2295" s="1" t="s">
        <v>432</v>
      </c>
      <c r="E2295" t="s">
        <v>433</v>
      </c>
      <c r="F2295" s="2" t="s">
        <v>434</v>
      </c>
      <c r="G2295" t="s">
        <v>435</v>
      </c>
      <c r="H2295" s="2" t="s">
        <v>50</v>
      </c>
      <c r="I2295" s="2">
        <v>1.1000000000000001</v>
      </c>
    </row>
    <row r="2296" spans="1:9" x14ac:dyDescent="0.25">
      <c r="A2296" s="1" t="s">
        <v>129</v>
      </c>
      <c r="B2296" t="s">
        <v>3762</v>
      </c>
      <c r="C2296" s="1" t="s">
        <v>7</v>
      </c>
      <c r="D2296" s="1" t="s">
        <v>7</v>
      </c>
      <c r="E2296" t="s">
        <v>8</v>
      </c>
      <c r="F2296" s="2" t="s">
        <v>9</v>
      </c>
      <c r="G2296" t="s">
        <v>10</v>
      </c>
      <c r="H2296" s="2" t="s">
        <v>2415</v>
      </c>
      <c r="I2296" s="2">
        <v>12</v>
      </c>
    </row>
    <row r="2297" spans="1:9" x14ac:dyDescent="0.25">
      <c r="A2297" s="1" t="s">
        <v>135</v>
      </c>
      <c r="B2297" t="s">
        <v>136</v>
      </c>
      <c r="C2297" s="1" t="s">
        <v>3764</v>
      </c>
      <c r="D2297" s="1" t="s">
        <v>3764</v>
      </c>
      <c r="E2297" t="s">
        <v>3765</v>
      </c>
      <c r="F2297" s="2" t="s">
        <v>2883</v>
      </c>
      <c r="G2297" t="s">
        <v>5</v>
      </c>
      <c r="H2297" s="2" t="s">
        <v>3766</v>
      </c>
      <c r="I2297" s="2">
        <v>1.3</v>
      </c>
    </row>
    <row r="2298" spans="1:9" x14ac:dyDescent="0.25">
      <c r="A2298" s="1" t="s">
        <v>135</v>
      </c>
      <c r="B2298" t="s">
        <v>136</v>
      </c>
      <c r="C2298" s="1" t="s">
        <v>432</v>
      </c>
      <c r="D2298" s="1" t="s">
        <v>432</v>
      </c>
      <c r="E2298" t="s">
        <v>433</v>
      </c>
      <c r="F2298" s="2" t="s">
        <v>434</v>
      </c>
      <c r="G2298" t="s">
        <v>435</v>
      </c>
      <c r="H2298" s="2" t="s">
        <v>50</v>
      </c>
      <c r="I2298" s="2">
        <v>1.1000000000000001</v>
      </c>
    </row>
    <row r="2299" spans="1:9" x14ac:dyDescent="0.25">
      <c r="A2299" s="1" t="s">
        <v>135</v>
      </c>
      <c r="B2299" t="s">
        <v>136</v>
      </c>
      <c r="C2299" s="1" t="s">
        <v>7</v>
      </c>
      <c r="D2299" s="1" t="s">
        <v>7</v>
      </c>
      <c r="E2299" t="s">
        <v>8</v>
      </c>
      <c r="F2299" s="2" t="s">
        <v>9</v>
      </c>
      <c r="G2299" t="s">
        <v>10</v>
      </c>
      <c r="H2299" s="2" t="s">
        <v>33</v>
      </c>
      <c r="I2299" s="2">
        <v>9.1999999999999993</v>
      </c>
    </row>
    <row r="2300" spans="1:9" x14ac:dyDescent="0.25">
      <c r="A2300" s="1" t="s">
        <v>138</v>
      </c>
      <c r="B2300" t="s">
        <v>139</v>
      </c>
      <c r="C2300" s="1" t="s">
        <v>3767</v>
      </c>
      <c r="D2300" s="1" t="s">
        <v>3767</v>
      </c>
      <c r="E2300" t="s">
        <v>3768</v>
      </c>
      <c r="F2300" s="2" t="s">
        <v>1101</v>
      </c>
      <c r="G2300" t="s">
        <v>5</v>
      </c>
      <c r="H2300" s="2" t="s">
        <v>3769</v>
      </c>
      <c r="I2300" s="2">
        <v>0.45</v>
      </c>
    </row>
    <row r="2301" spans="1:9" x14ac:dyDescent="0.25">
      <c r="A2301" s="1" t="s">
        <v>138</v>
      </c>
      <c r="B2301" t="s">
        <v>139</v>
      </c>
      <c r="C2301" s="1" t="s">
        <v>432</v>
      </c>
      <c r="D2301" s="1" t="s">
        <v>432</v>
      </c>
      <c r="E2301" t="s">
        <v>433</v>
      </c>
      <c r="F2301" s="2" t="s">
        <v>434</v>
      </c>
      <c r="G2301" t="s">
        <v>435</v>
      </c>
      <c r="H2301" s="2" t="s">
        <v>50</v>
      </c>
      <c r="I2301" s="2">
        <v>1.1000000000000001</v>
      </c>
    </row>
    <row r="2302" spans="1:9" x14ac:dyDescent="0.25">
      <c r="A2302" s="1" t="s">
        <v>138</v>
      </c>
      <c r="B2302" t="s">
        <v>139</v>
      </c>
      <c r="C2302" s="1" t="s">
        <v>7</v>
      </c>
      <c r="D2302" s="1" t="s">
        <v>7</v>
      </c>
      <c r="E2302" t="s">
        <v>8</v>
      </c>
      <c r="F2302" s="2" t="s">
        <v>9</v>
      </c>
      <c r="G2302" t="s">
        <v>10</v>
      </c>
      <c r="H2302" s="2" t="s">
        <v>33</v>
      </c>
      <c r="I2302" s="2">
        <v>9.1999999999999993</v>
      </c>
    </row>
    <row r="2303" spans="1:9" x14ac:dyDescent="0.25">
      <c r="A2303" s="1" t="s">
        <v>141</v>
      </c>
      <c r="B2303" t="s">
        <v>142</v>
      </c>
      <c r="C2303" s="1" t="s">
        <v>3764</v>
      </c>
      <c r="D2303" s="1" t="s">
        <v>3764</v>
      </c>
      <c r="E2303" t="s">
        <v>3765</v>
      </c>
      <c r="F2303" s="2" t="s">
        <v>2883</v>
      </c>
      <c r="G2303" t="s">
        <v>5</v>
      </c>
      <c r="H2303" s="2" t="s">
        <v>2607</v>
      </c>
      <c r="I2303" s="2">
        <v>1.6</v>
      </c>
    </row>
    <row r="2304" spans="1:9" x14ac:dyDescent="0.25">
      <c r="A2304" s="1" t="s">
        <v>141</v>
      </c>
      <c r="B2304" t="s">
        <v>142</v>
      </c>
      <c r="C2304" s="1" t="s">
        <v>432</v>
      </c>
      <c r="D2304" s="1" t="s">
        <v>432</v>
      </c>
      <c r="E2304" t="s">
        <v>433</v>
      </c>
      <c r="F2304" s="2" t="s">
        <v>434</v>
      </c>
      <c r="G2304" t="s">
        <v>435</v>
      </c>
      <c r="H2304" s="2" t="s">
        <v>50</v>
      </c>
      <c r="I2304" s="2">
        <v>1.1000000000000001</v>
      </c>
    </row>
    <row r="2305" spans="1:9" x14ac:dyDescent="0.25">
      <c r="A2305" s="1" t="s">
        <v>141</v>
      </c>
      <c r="B2305" t="s">
        <v>142</v>
      </c>
      <c r="C2305" s="1" t="s">
        <v>7</v>
      </c>
      <c r="D2305" s="1" t="s">
        <v>7</v>
      </c>
      <c r="E2305" t="s">
        <v>8</v>
      </c>
      <c r="F2305" s="2" t="s">
        <v>9</v>
      </c>
      <c r="G2305" t="s">
        <v>10</v>
      </c>
      <c r="H2305" s="2" t="s">
        <v>33</v>
      </c>
      <c r="I2305" s="2">
        <v>9.1999999999999993</v>
      </c>
    </row>
    <row r="2306" spans="1:9" x14ac:dyDescent="0.25">
      <c r="A2306" s="1" t="s">
        <v>143</v>
      </c>
      <c r="B2306" t="s">
        <v>144</v>
      </c>
      <c r="C2306" s="1" t="s">
        <v>3770</v>
      </c>
      <c r="D2306" s="1" t="s">
        <v>3770</v>
      </c>
      <c r="E2306" t="s">
        <v>3771</v>
      </c>
      <c r="F2306" s="2" t="s">
        <v>216</v>
      </c>
      <c r="G2306" t="s">
        <v>5</v>
      </c>
      <c r="H2306" s="2" t="s">
        <v>3772</v>
      </c>
      <c r="I2306" s="2">
        <v>0.9</v>
      </c>
    </row>
    <row r="2307" spans="1:9" x14ac:dyDescent="0.25">
      <c r="A2307" s="1" t="s">
        <v>143</v>
      </c>
      <c r="B2307" t="s">
        <v>144</v>
      </c>
      <c r="C2307" s="1" t="s">
        <v>432</v>
      </c>
      <c r="D2307" s="1" t="s">
        <v>432</v>
      </c>
      <c r="E2307" t="s">
        <v>433</v>
      </c>
      <c r="F2307" s="2" t="s">
        <v>434</v>
      </c>
      <c r="G2307" t="s">
        <v>435</v>
      </c>
      <c r="H2307" s="2" t="s">
        <v>50</v>
      </c>
      <c r="I2307" s="2">
        <v>1.1000000000000001</v>
      </c>
    </row>
    <row r="2308" spans="1:9" x14ac:dyDescent="0.25">
      <c r="A2308" s="1" t="s">
        <v>143</v>
      </c>
      <c r="B2308" t="s">
        <v>144</v>
      </c>
      <c r="C2308" s="1" t="s">
        <v>7</v>
      </c>
      <c r="D2308" s="1" t="s">
        <v>7</v>
      </c>
      <c r="E2308" t="s">
        <v>8</v>
      </c>
      <c r="F2308" s="2" t="s">
        <v>9</v>
      </c>
      <c r="G2308" t="s">
        <v>10</v>
      </c>
      <c r="H2308" s="2" t="s">
        <v>33</v>
      </c>
      <c r="I2308" s="2">
        <v>9.1999999999999993</v>
      </c>
    </row>
    <row r="2309" spans="1:9" x14ac:dyDescent="0.25">
      <c r="A2309" s="1" t="s">
        <v>146</v>
      </c>
      <c r="B2309" t="s">
        <v>147</v>
      </c>
      <c r="C2309" s="1" t="s">
        <v>3255</v>
      </c>
      <c r="D2309" s="1" t="s">
        <v>3255</v>
      </c>
      <c r="E2309" t="s">
        <v>3256</v>
      </c>
      <c r="F2309" s="2" t="s">
        <v>3756</v>
      </c>
      <c r="G2309" t="s">
        <v>5</v>
      </c>
      <c r="H2309" s="2" t="s">
        <v>992</v>
      </c>
      <c r="I2309" s="2">
        <v>11.85</v>
      </c>
    </row>
    <row r="2310" spans="1:9" x14ac:dyDescent="0.25">
      <c r="A2310" s="1" t="s">
        <v>146</v>
      </c>
      <c r="B2310" t="s">
        <v>147</v>
      </c>
      <c r="C2310" s="1" t="s">
        <v>7</v>
      </c>
      <c r="D2310" s="1" t="s">
        <v>7</v>
      </c>
      <c r="E2310" t="s">
        <v>8</v>
      </c>
      <c r="F2310" s="2" t="s">
        <v>9</v>
      </c>
      <c r="G2310" t="s">
        <v>10</v>
      </c>
      <c r="H2310" s="2" t="s">
        <v>3773</v>
      </c>
      <c r="I2310" s="2">
        <v>16.600000000000001</v>
      </c>
    </row>
    <row r="2311" spans="1:9" x14ac:dyDescent="0.25">
      <c r="A2311" s="1" t="s">
        <v>149</v>
      </c>
      <c r="B2311" t="s">
        <v>150</v>
      </c>
      <c r="C2311" s="1" t="s">
        <v>3774</v>
      </c>
      <c r="D2311" s="1" t="s">
        <v>3774</v>
      </c>
      <c r="E2311" t="s">
        <v>3775</v>
      </c>
      <c r="F2311" s="2" t="s">
        <v>191</v>
      </c>
      <c r="G2311" t="s">
        <v>5</v>
      </c>
      <c r="H2311" s="2" t="s">
        <v>3776</v>
      </c>
      <c r="I2311" s="2">
        <v>0.15</v>
      </c>
    </row>
    <row r="2312" spans="1:9" x14ac:dyDescent="0.25">
      <c r="A2312" s="1" t="s">
        <v>149</v>
      </c>
      <c r="B2312" t="s">
        <v>150</v>
      </c>
      <c r="C2312" s="1" t="s">
        <v>7</v>
      </c>
      <c r="D2312" s="1" t="s">
        <v>7</v>
      </c>
      <c r="E2312" t="s">
        <v>8</v>
      </c>
      <c r="F2312" s="2" t="s">
        <v>9</v>
      </c>
      <c r="G2312" t="s">
        <v>10</v>
      </c>
      <c r="H2312" s="2" t="s">
        <v>3777</v>
      </c>
      <c r="I2312" s="2">
        <v>1.85</v>
      </c>
    </row>
    <row r="2313" spans="1:9" x14ac:dyDescent="0.25">
      <c r="A2313" s="1" t="s">
        <v>163</v>
      </c>
      <c r="B2313" t="s">
        <v>164</v>
      </c>
      <c r="C2313" s="1" t="s">
        <v>1487</v>
      </c>
      <c r="D2313" s="1" t="s">
        <v>1487</v>
      </c>
      <c r="E2313" t="s">
        <v>1488</v>
      </c>
      <c r="F2313" s="2" t="s">
        <v>31</v>
      </c>
      <c r="G2313" t="s">
        <v>5</v>
      </c>
      <c r="H2313" s="2" t="s">
        <v>3778</v>
      </c>
      <c r="I2313" s="2">
        <v>1.1000000000000001</v>
      </c>
    </row>
    <row r="2314" spans="1:9" x14ac:dyDescent="0.25">
      <c r="A2314" s="1" t="s">
        <v>163</v>
      </c>
      <c r="B2314" t="s">
        <v>164</v>
      </c>
      <c r="C2314" s="1" t="s">
        <v>432</v>
      </c>
      <c r="D2314" s="1" t="s">
        <v>432</v>
      </c>
      <c r="E2314" t="s">
        <v>433</v>
      </c>
      <c r="F2314" s="2" t="s">
        <v>434</v>
      </c>
      <c r="G2314" t="s">
        <v>435</v>
      </c>
      <c r="H2314" s="2" t="s">
        <v>50</v>
      </c>
      <c r="I2314" s="2">
        <v>1.1000000000000001</v>
      </c>
    </row>
    <row r="2315" spans="1:9" x14ac:dyDescent="0.25">
      <c r="A2315" s="1" t="s">
        <v>163</v>
      </c>
      <c r="B2315" t="s">
        <v>164</v>
      </c>
      <c r="C2315" s="1" t="s">
        <v>7</v>
      </c>
      <c r="D2315" s="1" t="s">
        <v>7</v>
      </c>
      <c r="E2315" t="s">
        <v>1031</v>
      </c>
      <c r="F2315" s="2" t="s">
        <v>9</v>
      </c>
      <c r="G2315" t="s">
        <v>10</v>
      </c>
      <c r="H2315" s="2" t="s">
        <v>594</v>
      </c>
      <c r="I2315" s="2">
        <v>11.5</v>
      </c>
    </row>
    <row r="2316" spans="1:9" x14ac:dyDescent="0.25">
      <c r="A2316" s="1" t="s">
        <v>166</v>
      </c>
      <c r="B2316" t="s">
        <v>167</v>
      </c>
      <c r="C2316" s="1" t="s">
        <v>1203</v>
      </c>
      <c r="D2316" s="1" t="s">
        <v>1203</v>
      </c>
      <c r="E2316" t="s">
        <v>1204</v>
      </c>
      <c r="F2316" s="2" t="s">
        <v>1232</v>
      </c>
      <c r="G2316" t="s">
        <v>5</v>
      </c>
      <c r="H2316" s="2" t="s">
        <v>2127</v>
      </c>
      <c r="I2316" s="2">
        <v>0.5</v>
      </c>
    </row>
    <row r="2317" spans="1:9" x14ac:dyDescent="0.25">
      <c r="A2317" s="1" t="s">
        <v>166</v>
      </c>
      <c r="B2317" t="s">
        <v>167</v>
      </c>
      <c r="C2317" s="1" t="s">
        <v>432</v>
      </c>
      <c r="D2317" s="1" t="s">
        <v>432</v>
      </c>
      <c r="E2317" t="s">
        <v>433</v>
      </c>
      <c r="F2317" s="2" t="s">
        <v>434</v>
      </c>
      <c r="G2317" t="s">
        <v>435</v>
      </c>
      <c r="H2317" s="2" t="s">
        <v>50</v>
      </c>
      <c r="I2317" s="2">
        <v>1.1000000000000001</v>
      </c>
    </row>
    <row r="2318" spans="1:9" x14ac:dyDescent="0.25">
      <c r="A2318" s="1" t="s">
        <v>166</v>
      </c>
      <c r="B2318" t="s">
        <v>167</v>
      </c>
      <c r="C2318" s="1" t="s">
        <v>7</v>
      </c>
      <c r="D2318" s="1" t="s">
        <v>7</v>
      </c>
      <c r="E2318" t="s">
        <v>8</v>
      </c>
      <c r="F2318" s="2" t="s">
        <v>9</v>
      </c>
      <c r="G2318" t="s">
        <v>10</v>
      </c>
      <c r="H2318" s="2" t="s">
        <v>3779</v>
      </c>
      <c r="I2318" s="2">
        <v>6.75</v>
      </c>
    </row>
    <row r="2319" spans="1:9" x14ac:dyDescent="0.25">
      <c r="A2319" s="1" t="s">
        <v>169</v>
      </c>
      <c r="B2319" t="s">
        <v>170</v>
      </c>
      <c r="C2319" s="1" t="s">
        <v>3780</v>
      </c>
      <c r="D2319" s="1" t="s">
        <v>3780</v>
      </c>
      <c r="E2319" t="s">
        <v>3781</v>
      </c>
      <c r="F2319" s="2" t="s">
        <v>3586</v>
      </c>
      <c r="G2319" t="s">
        <v>5</v>
      </c>
      <c r="H2319" s="2" t="s">
        <v>3782</v>
      </c>
      <c r="I2319" s="2">
        <v>1.3</v>
      </c>
    </row>
    <row r="2320" spans="1:9" x14ac:dyDescent="0.25">
      <c r="A2320" s="1" t="s">
        <v>169</v>
      </c>
      <c r="B2320" t="s">
        <v>170</v>
      </c>
      <c r="C2320" s="1" t="s">
        <v>432</v>
      </c>
      <c r="D2320" s="1" t="s">
        <v>432</v>
      </c>
      <c r="E2320" t="s">
        <v>433</v>
      </c>
      <c r="F2320" s="2" t="s">
        <v>434</v>
      </c>
      <c r="G2320" t="s">
        <v>435</v>
      </c>
      <c r="H2320" s="2" t="s">
        <v>50</v>
      </c>
      <c r="I2320" s="2">
        <v>1.1000000000000001</v>
      </c>
    </row>
    <row r="2321" spans="1:9" x14ac:dyDescent="0.25">
      <c r="A2321" s="1" t="s">
        <v>169</v>
      </c>
      <c r="B2321" t="s">
        <v>170</v>
      </c>
      <c r="C2321" s="1" t="s">
        <v>7</v>
      </c>
      <c r="D2321" s="1" t="s">
        <v>7</v>
      </c>
      <c r="E2321" t="s">
        <v>8</v>
      </c>
      <c r="F2321" s="2" t="s">
        <v>9</v>
      </c>
      <c r="G2321" t="s">
        <v>10</v>
      </c>
      <c r="H2321" s="2" t="s">
        <v>3783</v>
      </c>
      <c r="I2321" s="2">
        <v>14.55</v>
      </c>
    </row>
    <row r="2322" spans="1:9" x14ac:dyDescent="0.25">
      <c r="A2322" s="1" t="s">
        <v>172</v>
      </c>
      <c r="B2322" t="s">
        <v>173</v>
      </c>
      <c r="C2322" s="1" t="s">
        <v>2</v>
      </c>
      <c r="D2322" s="1" t="s">
        <v>2</v>
      </c>
      <c r="E2322" t="s">
        <v>3</v>
      </c>
      <c r="F2322" s="2" t="s">
        <v>4</v>
      </c>
      <c r="G2322" t="s">
        <v>5</v>
      </c>
      <c r="H2322" s="2" t="s">
        <v>3784</v>
      </c>
      <c r="I2322" s="2">
        <v>0.5</v>
      </c>
    </row>
    <row r="2323" spans="1:9" x14ac:dyDescent="0.25">
      <c r="A2323" s="1" t="s">
        <v>172</v>
      </c>
      <c r="B2323" t="s">
        <v>173</v>
      </c>
      <c r="C2323" s="1" t="s">
        <v>432</v>
      </c>
      <c r="D2323" s="1" t="s">
        <v>432</v>
      </c>
      <c r="E2323" t="s">
        <v>433</v>
      </c>
      <c r="F2323" s="2" t="s">
        <v>434</v>
      </c>
      <c r="G2323" t="s">
        <v>435</v>
      </c>
      <c r="H2323" s="2" t="s">
        <v>50</v>
      </c>
      <c r="I2323" s="2">
        <v>1.1000000000000001</v>
      </c>
    </row>
    <row r="2324" spans="1:9" x14ac:dyDescent="0.25">
      <c r="A2324" s="1" t="s">
        <v>172</v>
      </c>
      <c r="B2324" t="s">
        <v>173</v>
      </c>
      <c r="C2324" s="1" t="s">
        <v>7</v>
      </c>
      <c r="D2324" s="1" t="s">
        <v>7</v>
      </c>
      <c r="E2324" t="s">
        <v>8</v>
      </c>
      <c r="F2324" s="2" t="s">
        <v>9</v>
      </c>
      <c r="G2324" t="s">
        <v>10</v>
      </c>
      <c r="H2324" s="2" t="s">
        <v>1384</v>
      </c>
      <c r="I2324" s="2">
        <v>4.8499999999999996</v>
      </c>
    </row>
    <row r="2325" spans="1:9" x14ac:dyDescent="0.25">
      <c r="A2325" s="1" t="s">
        <v>172</v>
      </c>
      <c r="B2325" t="s">
        <v>173</v>
      </c>
      <c r="C2325" s="1" t="s">
        <v>7</v>
      </c>
      <c r="D2325" s="1" t="s">
        <v>7</v>
      </c>
      <c r="E2325" t="s">
        <v>8</v>
      </c>
      <c r="F2325" s="2" t="s">
        <v>9</v>
      </c>
      <c r="G2325" t="s">
        <v>10</v>
      </c>
      <c r="H2325" s="2" t="s">
        <v>1791</v>
      </c>
      <c r="I2325" s="2">
        <v>2.4500000000000002</v>
      </c>
    </row>
    <row r="2326" spans="1:9" x14ac:dyDescent="0.25">
      <c r="A2326" s="1" t="s">
        <v>174</v>
      </c>
      <c r="B2326" t="s">
        <v>175</v>
      </c>
      <c r="C2326" s="1" t="s">
        <v>1203</v>
      </c>
      <c r="D2326" s="1" t="s">
        <v>1203</v>
      </c>
      <c r="E2326" t="s">
        <v>1204</v>
      </c>
      <c r="F2326" s="2" t="s">
        <v>1232</v>
      </c>
      <c r="G2326" t="s">
        <v>5</v>
      </c>
      <c r="H2326" s="2" t="s">
        <v>3785</v>
      </c>
      <c r="I2326" s="2">
        <v>0.2</v>
      </c>
    </row>
    <row r="2327" spans="1:9" x14ac:dyDescent="0.25">
      <c r="A2327" s="1" t="s">
        <v>174</v>
      </c>
      <c r="B2327" t="s">
        <v>175</v>
      </c>
      <c r="C2327" s="1" t="s">
        <v>432</v>
      </c>
      <c r="D2327" s="1" t="s">
        <v>432</v>
      </c>
      <c r="E2327" t="s">
        <v>433</v>
      </c>
      <c r="F2327" s="2" t="s">
        <v>434</v>
      </c>
      <c r="G2327" t="s">
        <v>435</v>
      </c>
      <c r="H2327" s="2" t="s">
        <v>50</v>
      </c>
      <c r="I2327" s="2">
        <v>1.1000000000000001</v>
      </c>
    </row>
    <row r="2328" spans="1:9" x14ac:dyDescent="0.25">
      <c r="A2328" s="1" t="s">
        <v>174</v>
      </c>
      <c r="B2328" t="s">
        <v>175</v>
      </c>
      <c r="C2328" s="1" t="s">
        <v>7</v>
      </c>
      <c r="D2328" s="1" t="s">
        <v>7</v>
      </c>
      <c r="E2328" t="s">
        <v>8</v>
      </c>
      <c r="F2328" s="2" t="s">
        <v>9</v>
      </c>
      <c r="G2328" t="s">
        <v>10</v>
      </c>
      <c r="H2328" s="2" t="s">
        <v>367</v>
      </c>
      <c r="I2328" s="2">
        <v>2.2999999999999998</v>
      </c>
    </row>
    <row r="2329" spans="1:9" x14ac:dyDescent="0.25">
      <c r="A2329" s="1" t="s">
        <v>177</v>
      </c>
      <c r="B2329" t="s">
        <v>178</v>
      </c>
      <c r="C2329" s="1" t="s">
        <v>3786</v>
      </c>
      <c r="D2329" s="1" t="s">
        <v>3786</v>
      </c>
      <c r="E2329" t="s">
        <v>3787</v>
      </c>
      <c r="F2329" s="2" t="s">
        <v>117</v>
      </c>
      <c r="G2329" t="s">
        <v>5</v>
      </c>
      <c r="H2329" s="2" t="s">
        <v>1772</v>
      </c>
      <c r="I2329" s="2">
        <v>0.3</v>
      </c>
    </row>
    <row r="2330" spans="1:9" x14ac:dyDescent="0.25">
      <c r="A2330" s="1" t="s">
        <v>177</v>
      </c>
      <c r="B2330" t="s">
        <v>178</v>
      </c>
      <c r="C2330" s="1" t="s">
        <v>7</v>
      </c>
      <c r="D2330" s="1" t="s">
        <v>7</v>
      </c>
      <c r="E2330" t="s">
        <v>8</v>
      </c>
      <c r="F2330" s="2" t="s">
        <v>9</v>
      </c>
      <c r="G2330" t="s">
        <v>10</v>
      </c>
      <c r="H2330" s="2" t="s">
        <v>3788</v>
      </c>
      <c r="I2330" s="2">
        <v>2.35</v>
      </c>
    </row>
    <row r="2331" spans="1:9" x14ac:dyDescent="0.25">
      <c r="A2331" s="1" t="s">
        <v>180</v>
      </c>
      <c r="B2331" t="s">
        <v>181</v>
      </c>
      <c r="C2331" s="1" t="s">
        <v>3510</v>
      </c>
      <c r="D2331" s="1" t="s">
        <v>3510</v>
      </c>
      <c r="E2331" t="s">
        <v>3511</v>
      </c>
      <c r="F2331" s="2" t="s">
        <v>1017</v>
      </c>
      <c r="G2331" t="s">
        <v>5</v>
      </c>
      <c r="H2331" s="2" t="s">
        <v>3789</v>
      </c>
      <c r="I2331" s="2">
        <v>4.0999999999999996</v>
      </c>
    </row>
    <row r="2332" spans="1:9" x14ac:dyDescent="0.25">
      <c r="A2332" s="1" t="s">
        <v>180</v>
      </c>
      <c r="B2332" t="s">
        <v>181</v>
      </c>
      <c r="C2332" s="1" t="s">
        <v>7</v>
      </c>
      <c r="D2332" s="1" t="s">
        <v>7</v>
      </c>
      <c r="E2332" t="s">
        <v>8</v>
      </c>
      <c r="F2332" s="2" t="s">
        <v>9</v>
      </c>
      <c r="G2332" t="s">
        <v>10</v>
      </c>
      <c r="H2332" s="2" t="s">
        <v>1604</v>
      </c>
      <c r="I2332" s="2">
        <v>9.6999999999999993</v>
      </c>
    </row>
    <row r="2333" spans="1:9" x14ac:dyDescent="0.25">
      <c r="A2333" s="1" t="s">
        <v>183</v>
      </c>
      <c r="B2333" t="s">
        <v>184</v>
      </c>
      <c r="C2333" s="1" t="s">
        <v>3790</v>
      </c>
      <c r="D2333" s="1" t="s">
        <v>3790</v>
      </c>
      <c r="E2333" t="s">
        <v>3791</v>
      </c>
      <c r="F2333" s="2" t="s">
        <v>1017</v>
      </c>
      <c r="G2333" t="s">
        <v>5</v>
      </c>
      <c r="H2333" s="2" t="s">
        <v>3792</v>
      </c>
      <c r="I2333" s="2">
        <v>1.5</v>
      </c>
    </row>
    <row r="2334" spans="1:9" x14ac:dyDescent="0.25">
      <c r="A2334" s="1" t="s">
        <v>183</v>
      </c>
      <c r="B2334" t="s">
        <v>184</v>
      </c>
      <c r="C2334" s="1" t="s">
        <v>7</v>
      </c>
      <c r="D2334" s="1" t="s">
        <v>7</v>
      </c>
      <c r="E2334" t="s">
        <v>8</v>
      </c>
      <c r="F2334" s="2" t="s">
        <v>9</v>
      </c>
      <c r="G2334" t="s">
        <v>10</v>
      </c>
      <c r="H2334" s="2" t="s">
        <v>2518</v>
      </c>
      <c r="I2334" s="2">
        <v>2.4</v>
      </c>
    </row>
    <row r="2335" spans="1:9" x14ac:dyDescent="0.25">
      <c r="A2335" s="1" t="s">
        <v>186</v>
      </c>
      <c r="B2335" t="s">
        <v>187</v>
      </c>
      <c r="C2335" s="1" t="s">
        <v>3793</v>
      </c>
      <c r="D2335" s="1" t="s">
        <v>3793</v>
      </c>
      <c r="E2335" t="s">
        <v>3794</v>
      </c>
      <c r="F2335" s="2" t="s">
        <v>3795</v>
      </c>
      <c r="G2335" t="s">
        <v>5</v>
      </c>
      <c r="H2335" s="2" t="s">
        <v>3796</v>
      </c>
      <c r="I2335" s="2">
        <v>1.1499999999999999</v>
      </c>
    </row>
    <row r="2336" spans="1:9" x14ac:dyDescent="0.25">
      <c r="A2336" s="1" t="s">
        <v>186</v>
      </c>
      <c r="B2336" t="s">
        <v>187</v>
      </c>
      <c r="C2336" s="1" t="s">
        <v>7</v>
      </c>
      <c r="D2336" s="1" t="s">
        <v>7</v>
      </c>
      <c r="E2336" t="s">
        <v>8</v>
      </c>
      <c r="F2336" s="2" t="s">
        <v>9</v>
      </c>
      <c r="G2336" t="s">
        <v>10</v>
      </c>
      <c r="H2336" s="2" t="s">
        <v>3797</v>
      </c>
      <c r="I2336" s="2">
        <v>7.25</v>
      </c>
    </row>
    <row r="2337" spans="1:9" x14ac:dyDescent="0.25">
      <c r="A2337" s="1" t="s">
        <v>189</v>
      </c>
      <c r="B2337" t="s">
        <v>190</v>
      </c>
      <c r="C2337" s="1" t="s">
        <v>1743</v>
      </c>
      <c r="D2337" s="1" t="s">
        <v>1743</v>
      </c>
      <c r="E2337" t="s">
        <v>1744</v>
      </c>
      <c r="F2337" s="2" t="s">
        <v>1354</v>
      </c>
      <c r="G2337" t="s">
        <v>5</v>
      </c>
      <c r="H2337" s="2" t="s">
        <v>3798</v>
      </c>
      <c r="I2337" s="2">
        <v>5.65</v>
      </c>
    </row>
    <row r="2338" spans="1:9" x14ac:dyDescent="0.25">
      <c r="A2338" s="1" t="s">
        <v>189</v>
      </c>
      <c r="B2338" t="s">
        <v>190</v>
      </c>
      <c r="C2338" s="1" t="s">
        <v>7</v>
      </c>
      <c r="D2338" s="1" t="s">
        <v>7</v>
      </c>
      <c r="E2338" t="s">
        <v>8</v>
      </c>
      <c r="F2338" s="2" t="s">
        <v>9</v>
      </c>
      <c r="G2338" t="s">
        <v>10</v>
      </c>
      <c r="H2338" s="2" t="s">
        <v>1755</v>
      </c>
      <c r="I2338" s="2">
        <v>7.15</v>
      </c>
    </row>
    <row r="2339" spans="1:9" x14ac:dyDescent="0.25">
      <c r="A2339" s="1" t="s">
        <v>3799</v>
      </c>
      <c r="B2339" t="s">
        <v>3800</v>
      </c>
      <c r="C2339" s="1" t="s">
        <v>1203</v>
      </c>
      <c r="D2339" s="1" t="s">
        <v>1203</v>
      </c>
      <c r="E2339" t="s">
        <v>1204</v>
      </c>
      <c r="F2339" s="2" t="s">
        <v>216</v>
      </c>
      <c r="G2339" t="s">
        <v>5</v>
      </c>
      <c r="H2339" s="2" t="s">
        <v>3801</v>
      </c>
      <c r="I2339" s="2">
        <v>0.15</v>
      </c>
    </row>
    <row r="2340" spans="1:9" x14ac:dyDescent="0.25">
      <c r="A2340" s="1" t="s">
        <v>3799</v>
      </c>
      <c r="B2340" t="s">
        <v>3800</v>
      </c>
      <c r="C2340" s="1" t="s">
        <v>432</v>
      </c>
      <c r="D2340" s="1" t="s">
        <v>432</v>
      </c>
      <c r="E2340" t="s">
        <v>433</v>
      </c>
      <c r="F2340" s="2" t="s">
        <v>434</v>
      </c>
      <c r="G2340" t="s">
        <v>435</v>
      </c>
      <c r="H2340" s="2" t="s">
        <v>50</v>
      </c>
      <c r="I2340" s="2">
        <v>1.1000000000000001</v>
      </c>
    </row>
    <row r="2341" spans="1:9" x14ac:dyDescent="0.25">
      <c r="A2341" s="1" t="s">
        <v>3799</v>
      </c>
      <c r="B2341" t="s">
        <v>3800</v>
      </c>
      <c r="C2341" s="1" t="s">
        <v>7</v>
      </c>
      <c r="D2341" s="1" t="s">
        <v>7</v>
      </c>
      <c r="E2341" t="s">
        <v>8</v>
      </c>
      <c r="F2341" s="2" t="s">
        <v>9</v>
      </c>
      <c r="G2341" t="s">
        <v>10</v>
      </c>
      <c r="H2341" s="2" t="s">
        <v>367</v>
      </c>
      <c r="I2341" s="2">
        <v>2.2999999999999998</v>
      </c>
    </row>
    <row r="2342" spans="1:9" x14ac:dyDescent="0.25">
      <c r="A2342" s="1" t="s">
        <v>192</v>
      </c>
      <c r="B2342" t="s">
        <v>193</v>
      </c>
      <c r="C2342" s="1" t="s">
        <v>1128</v>
      </c>
      <c r="D2342" s="1" t="s">
        <v>1128</v>
      </c>
      <c r="E2342" t="s">
        <v>1129</v>
      </c>
      <c r="F2342" s="2" t="s">
        <v>31</v>
      </c>
      <c r="G2342" t="s">
        <v>5</v>
      </c>
      <c r="H2342" s="2" t="s">
        <v>3802</v>
      </c>
      <c r="I2342" s="2">
        <v>4</v>
      </c>
    </row>
    <row r="2343" spans="1:9" x14ac:dyDescent="0.25">
      <c r="A2343" s="1" t="s">
        <v>192</v>
      </c>
      <c r="B2343" t="s">
        <v>193</v>
      </c>
      <c r="C2343" s="1" t="s">
        <v>3803</v>
      </c>
      <c r="D2343" s="1" t="s">
        <v>3803</v>
      </c>
      <c r="E2343" t="s">
        <v>3804</v>
      </c>
      <c r="F2343" s="2" t="s">
        <v>3805</v>
      </c>
      <c r="G2343" t="s">
        <v>932</v>
      </c>
      <c r="H2343" s="2" t="s">
        <v>3806</v>
      </c>
      <c r="I2343" s="2">
        <v>0.84</v>
      </c>
    </row>
    <row r="2344" spans="1:9" x14ac:dyDescent="0.25">
      <c r="A2344" s="1" t="s">
        <v>192</v>
      </c>
      <c r="B2344" t="s">
        <v>193</v>
      </c>
      <c r="C2344" s="1" t="s">
        <v>41</v>
      </c>
      <c r="D2344" s="1" t="s">
        <v>41</v>
      </c>
      <c r="E2344" t="s">
        <v>42</v>
      </c>
      <c r="F2344" s="2" t="s">
        <v>513</v>
      </c>
      <c r="G2344" t="s">
        <v>5</v>
      </c>
      <c r="H2344" s="2" t="s">
        <v>44</v>
      </c>
      <c r="I2344" s="2">
        <v>0.01</v>
      </c>
    </row>
    <row r="2345" spans="1:9" x14ac:dyDescent="0.25">
      <c r="A2345" s="1" t="s">
        <v>192</v>
      </c>
      <c r="B2345" t="s">
        <v>193</v>
      </c>
      <c r="C2345" s="1" t="s">
        <v>432</v>
      </c>
      <c r="D2345" s="1" t="s">
        <v>432</v>
      </c>
      <c r="E2345" t="s">
        <v>433</v>
      </c>
      <c r="F2345" s="2" t="s">
        <v>434</v>
      </c>
      <c r="G2345" t="s">
        <v>435</v>
      </c>
      <c r="H2345" s="2" t="s">
        <v>50</v>
      </c>
      <c r="I2345" s="2">
        <v>1.1000000000000001</v>
      </c>
    </row>
    <row r="2346" spans="1:9" x14ac:dyDescent="0.25">
      <c r="A2346" s="1" t="s">
        <v>192</v>
      </c>
      <c r="B2346" t="s">
        <v>193</v>
      </c>
      <c r="C2346" s="1" t="s">
        <v>7</v>
      </c>
      <c r="D2346" s="1" t="s">
        <v>7</v>
      </c>
      <c r="E2346" t="s">
        <v>8</v>
      </c>
      <c r="F2346" s="2" t="s">
        <v>9</v>
      </c>
      <c r="G2346" t="s">
        <v>10</v>
      </c>
      <c r="H2346" s="2" t="s">
        <v>3807</v>
      </c>
      <c r="I2346" s="2">
        <v>14.9</v>
      </c>
    </row>
    <row r="2347" spans="1:9" x14ac:dyDescent="0.25">
      <c r="A2347" s="1" t="s">
        <v>195</v>
      </c>
      <c r="B2347" t="s">
        <v>196</v>
      </c>
      <c r="C2347" s="1" t="s">
        <v>3808</v>
      </c>
      <c r="D2347" s="1" t="s">
        <v>3808</v>
      </c>
      <c r="E2347" t="s">
        <v>3809</v>
      </c>
      <c r="F2347" s="2" t="s">
        <v>3795</v>
      </c>
      <c r="G2347" t="s">
        <v>5</v>
      </c>
      <c r="H2347" s="2" t="s">
        <v>25</v>
      </c>
      <c r="I2347" s="2">
        <v>2.4</v>
      </c>
    </row>
    <row r="2348" spans="1:9" x14ac:dyDescent="0.25">
      <c r="A2348" s="1" t="s">
        <v>195</v>
      </c>
      <c r="B2348" t="s">
        <v>196</v>
      </c>
      <c r="C2348" s="1" t="s">
        <v>7</v>
      </c>
      <c r="D2348" s="1" t="s">
        <v>7</v>
      </c>
      <c r="E2348" t="s">
        <v>8</v>
      </c>
      <c r="F2348" s="2" t="s">
        <v>9</v>
      </c>
      <c r="G2348" t="s">
        <v>10</v>
      </c>
      <c r="H2348" s="2" t="s">
        <v>3810</v>
      </c>
      <c r="I2348" s="2">
        <v>9.5500000000000007</v>
      </c>
    </row>
    <row r="2349" spans="1:9" x14ac:dyDescent="0.25">
      <c r="A2349" s="1" t="s">
        <v>3811</v>
      </c>
      <c r="B2349" t="s">
        <v>3812</v>
      </c>
      <c r="C2349" s="1" t="s">
        <v>3456</v>
      </c>
      <c r="D2349" s="1" t="s">
        <v>3456</v>
      </c>
      <c r="E2349" t="s">
        <v>3457</v>
      </c>
      <c r="F2349" s="2" t="s">
        <v>3458</v>
      </c>
      <c r="G2349" t="s">
        <v>39</v>
      </c>
      <c r="H2349" s="2" t="s">
        <v>40</v>
      </c>
      <c r="I2349" s="2">
        <v>0.17</v>
      </c>
    </row>
    <row r="2350" spans="1:9" x14ac:dyDescent="0.25">
      <c r="A2350" s="1" t="s">
        <v>3811</v>
      </c>
      <c r="B2350" t="s">
        <v>3812</v>
      </c>
      <c r="C2350" s="1" t="s">
        <v>41</v>
      </c>
      <c r="D2350" s="1" t="s">
        <v>41</v>
      </c>
      <c r="E2350" t="s">
        <v>42</v>
      </c>
      <c r="F2350" s="2" t="s">
        <v>513</v>
      </c>
      <c r="G2350" t="s">
        <v>5</v>
      </c>
      <c r="H2350" s="2" t="s">
        <v>3813</v>
      </c>
      <c r="I2350" s="2">
        <v>0.02</v>
      </c>
    </row>
    <row r="2351" spans="1:9" x14ac:dyDescent="0.25">
      <c r="A2351" s="1" t="s">
        <v>3811</v>
      </c>
      <c r="B2351" t="s">
        <v>3812</v>
      </c>
      <c r="C2351" s="1" t="s">
        <v>7</v>
      </c>
      <c r="D2351" s="1" t="s">
        <v>7</v>
      </c>
      <c r="E2351" t="s">
        <v>8</v>
      </c>
      <c r="F2351" s="2" t="s">
        <v>9</v>
      </c>
      <c r="G2351" t="s">
        <v>10</v>
      </c>
      <c r="H2351" s="2" t="s">
        <v>3814</v>
      </c>
      <c r="I2351" s="2">
        <v>2.37</v>
      </c>
    </row>
    <row r="2352" spans="1:9" x14ac:dyDescent="0.25">
      <c r="A2352" s="1" t="s">
        <v>198</v>
      </c>
      <c r="B2352" t="s">
        <v>199</v>
      </c>
      <c r="C2352" s="1" t="s">
        <v>3431</v>
      </c>
      <c r="D2352" s="1" t="s">
        <v>3431</v>
      </c>
      <c r="E2352" t="s">
        <v>3432</v>
      </c>
      <c r="F2352" s="2" t="s">
        <v>1354</v>
      </c>
      <c r="G2352" t="s">
        <v>5</v>
      </c>
      <c r="H2352" s="2" t="s">
        <v>3815</v>
      </c>
      <c r="I2352" s="2">
        <v>0.25</v>
      </c>
    </row>
    <row r="2353" spans="1:9" x14ac:dyDescent="0.25">
      <c r="A2353" s="1" t="s">
        <v>198</v>
      </c>
      <c r="B2353" t="s">
        <v>199</v>
      </c>
      <c r="C2353" s="1" t="s">
        <v>7</v>
      </c>
      <c r="D2353" s="1" t="s">
        <v>7</v>
      </c>
      <c r="E2353" t="s">
        <v>8</v>
      </c>
      <c r="F2353" s="2" t="s">
        <v>9</v>
      </c>
      <c r="G2353" t="s">
        <v>10</v>
      </c>
      <c r="H2353" s="2" t="s">
        <v>2518</v>
      </c>
      <c r="I2353" s="2">
        <v>2.4</v>
      </c>
    </row>
    <row r="2354" spans="1:9" x14ac:dyDescent="0.25">
      <c r="A2354" s="1" t="s">
        <v>200</v>
      </c>
      <c r="B2354" t="s">
        <v>201</v>
      </c>
      <c r="C2354" s="1" t="s">
        <v>1743</v>
      </c>
      <c r="D2354" s="1" t="s">
        <v>1743</v>
      </c>
      <c r="E2354" t="s">
        <v>1744</v>
      </c>
      <c r="F2354" s="2" t="s">
        <v>1354</v>
      </c>
      <c r="G2354" t="s">
        <v>5</v>
      </c>
      <c r="H2354" s="2" t="s">
        <v>3816</v>
      </c>
      <c r="I2354" s="2">
        <v>4.95</v>
      </c>
    </row>
    <row r="2355" spans="1:9" x14ac:dyDescent="0.25">
      <c r="A2355" s="1" t="s">
        <v>200</v>
      </c>
      <c r="B2355" t="s">
        <v>201</v>
      </c>
      <c r="C2355" s="1" t="s">
        <v>7</v>
      </c>
      <c r="D2355" s="1" t="s">
        <v>7</v>
      </c>
      <c r="E2355" t="s">
        <v>8</v>
      </c>
      <c r="F2355" s="2" t="s">
        <v>9</v>
      </c>
      <c r="G2355" t="s">
        <v>10</v>
      </c>
      <c r="H2355" s="2" t="s">
        <v>1755</v>
      </c>
      <c r="I2355" s="2">
        <v>7.15</v>
      </c>
    </row>
    <row r="2356" spans="1:9" x14ac:dyDescent="0.25">
      <c r="A2356" s="1" t="s">
        <v>203</v>
      </c>
      <c r="B2356" t="s">
        <v>204</v>
      </c>
      <c r="C2356" s="1" t="s">
        <v>2</v>
      </c>
      <c r="D2356" s="1" t="s">
        <v>2</v>
      </c>
      <c r="E2356" t="s">
        <v>3</v>
      </c>
      <c r="F2356" s="2" t="s">
        <v>4</v>
      </c>
      <c r="G2356" t="s">
        <v>5</v>
      </c>
      <c r="H2356" s="2" t="s">
        <v>3817</v>
      </c>
      <c r="I2356" s="2">
        <v>0.4</v>
      </c>
    </row>
    <row r="2357" spans="1:9" x14ac:dyDescent="0.25">
      <c r="A2357" s="1" t="s">
        <v>203</v>
      </c>
      <c r="B2357" t="s">
        <v>204</v>
      </c>
      <c r="C2357" s="1" t="s">
        <v>432</v>
      </c>
      <c r="D2357" s="1" t="s">
        <v>432</v>
      </c>
      <c r="E2357" t="s">
        <v>433</v>
      </c>
      <c r="F2357" s="2" t="s">
        <v>434</v>
      </c>
      <c r="G2357" t="s">
        <v>435</v>
      </c>
      <c r="H2357" s="2" t="s">
        <v>50</v>
      </c>
      <c r="I2357" s="2">
        <v>1.1000000000000001</v>
      </c>
    </row>
    <row r="2358" spans="1:9" x14ac:dyDescent="0.25">
      <c r="A2358" s="1" t="s">
        <v>203</v>
      </c>
      <c r="B2358" t="s">
        <v>204</v>
      </c>
      <c r="C2358" s="1" t="s">
        <v>7</v>
      </c>
      <c r="D2358" s="1" t="s">
        <v>7</v>
      </c>
      <c r="E2358" t="s">
        <v>8</v>
      </c>
      <c r="F2358" s="2" t="s">
        <v>9</v>
      </c>
      <c r="G2358" t="s">
        <v>10</v>
      </c>
      <c r="H2358" s="2" t="s">
        <v>1384</v>
      </c>
      <c r="I2358" s="2">
        <v>4.8499999999999996</v>
      </c>
    </row>
    <row r="2359" spans="1:9" x14ac:dyDescent="0.25">
      <c r="A2359" s="1" t="s">
        <v>206</v>
      </c>
      <c r="B2359" t="s">
        <v>207</v>
      </c>
      <c r="C2359" s="1" t="s">
        <v>3818</v>
      </c>
      <c r="D2359" s="1" t="s">
        <v>3818</v>
      </c>
      <c r="E2359" t="s">
        <v>3819</v>
      </c>
      <c r="F2359" s="2" t="s">
        <v>3820</v>
      </c>
      <c r="G2359" t="s">
        <v>5</v>
      </c>
      <c r="H2359" s="2" t="s">
        <v>3821</v>
      </c>
      <c r="I2359" s="2">
        <v>5</v>
      </c>
    </row>
    <row r="2360" spans="1:9" x14ac:dyDescent="0.25">
      <c r="A2360" s="1" t="s">
        <v>206</v>
      </c>
      <c r="B2360" t="s">
        <v>207</v>
      </c>
      <c r="C2360" s="1" t="s">
        <v>7</v>
      </c>
      <c r="D2360" s="1" t="s">
        <v>7</v>
      </c>
      <c r="E2360" t="s">
        <v>8</v>
      </c>
      <c r="F2360" s="2" t="s">
        <v>9</v>
      </c>
      <c r="G2360" t="s">
        <v>10</v>
      </c>
      <c r="H2360" s="2" t="s">
        <v>3822</v>
      </c>
      <c r="I2360" s="2">
        <v>7.2</v>
      </c>
    </row>
    <row r="2361" spans="1:9" x14ac:dyDescent="0.25">
      <c r="A2361" s="1" t="s">
        <v>209</v>
      </c>
      <c r="B2361" t="s">
        <v>210</v>
      </c>
      <c r="C2361" s="1" t="s">
        <v>3790</v>
      </c>
      <c r="D2361" s="1" t="s">
        <v>3790</v>
      </c>
      <c r="E2361" t="s">
        <v>3791</v>
      </c>
      <c r="F2361" s="2" t="s">
        <v>1017</v>
      </c>
      <c r="G2361" t="s">
        <v>5</v>
      </c>
      <c r="H2361" s="2" t="s">
        <v>3823</v>
      </c>
      <c r="I2361" s="2">
        <v>1.4</v>
      </c>
    </row>
    <row r="2362" spans="1:9" x14ac:dyDescent="0.25">
      <c r="A2362" s="1" t="s">
        <v>209</v>
      </c>
      <c r="B2362" t="s">
        <v>210</v>
      </c>
      <c r="C2362" s="1" t="s">
        <v>7</v>
      </c>
      <c r="D2362" s="1" t="s">
        <v>7</v>
      </c>
      <c r="E2362" t="s">
        <v>8</v>
      </c>
      <c r="F2362" s="2" t="s">
        <v>9</v>
      </c>
      <c r="G2362" t="s">
        <v>10</v>
      </c>
      <c r="H2362" s="2" t="s">
        <v>33</v>
      </c>
      <c r="I2362" s="2">
        <v>9.1999999999999993</v>
      </c>
    </row>
    <row r="2363" spans="1:9" x14ac:dyDescent="0.25">
      <c r="A2363" s="1" t="s">
        <v>211</v>
      </c>
      <c r="B2363" t="s">
        <v>212</v>
      </c>
      <c r="C2363" s="1" t="s">
        <v>3824</v>
      </c>
      <c r="D2363" s="1" t="s">
        <v>3824</v>
      </c>
      <c r="E2363" t="s">
        <v>3825</v>
      </c>
      <c r="F2363" s="2" t="s">
        <v>216</v>
      </c>
      <c r="G2363" t="s">
        <v>5</v>
      </c>
      <c r="H2363" s="2" t="s">
        <v>1338</v>
      </c>
      <c r="I2363" s="2">
        <v>10.5</v>
      </c>
    </row>
    <row r="2364" spans="1:9" x14ac:dyDescent="0.25">
      <c r="A2364" s="1" t="s">
        <v>211</v>
      </c>
      <c r="B2364" t="s">
        <v>212</v>
      </c>
      <c r="C2364" s="1" t="s">
        <v>432</v>
      </c>
      <c r="D2364" s="1" t="s">
        <v>432</v>
      </c>
      <c r="E2364" t="s">
        <v>433</v>
      </c>
      <c r="F2364" s="2" t="s">
        <v>434</v>
      </c>
      <c r="G2364" t="s">
        <v>435</v>
      </c>
      <c r="H2364" s="2" t="s">
        <v>1414</v>
      </c>
      <c r="I2364" s="2">
        <v>1.6</v>
      </c>
    </row>
    <row r="2365" spans="1:9" x14ac:dyDescent="0.25">
      <c r="A2365" s="1" t="s">
        <v>211</v>
      </c>
      <c r="B2365" t="s">
        <v>212</v>
      </c>
      <c r="C2365" s="1" t="s">
        <v>7</v>
      </c>
      <c r="D2365" s="1" t="s">
        <v>7</v>
      </c>
      <c r="E2365" t="s">
        <v>8</v>
      </c>
      <c r="F2365" s="2" t="s">
        <v>9</v>
      </c>
      <c r="G2365" t="s">
        <v>10</v>
      </c>
      <c r="H2365" s="2" t="s">
        <v>2825</v>
      </c>
      <c r="I2365" s="2">
        <v>24.15</v>
      </c>
    </row>
    <row r="2366" spans="1:9" x14ac:dyDescent="0.25">
      <c r="A2366" s="1" t="s">
        <v>214</v>
      </c>
      <c r="B2366" t="s">
        <v>215</v>
      </c>
      <c r="C2366" s="1" t="s">
        <v>3824</v>
      </c>
      <c r="D2366" s="1" t="s">
        <v>3824</v>
      </c>
      <c r="E2366" t="s">
        <v>3825</v>
      </c>
      <c r="F2366" s="2" t="s">
        <v>216</v>
      </c>
      <c r="G2366" t="s">
        <v>5</v>
      </c>
      <c r="H2366" s="2" t="s">
        <v>601</v>
      </c>
      <c r="I2366" s="2">
        <v>1.05</v>
      </c>
    </row>
    <row r="2367" spans="1:9" x14ac:dyDescent="0.25">
      <c r="A2367" s="1" t="s">
        <v>214</v>
      </c>
      <c r="B2367" t="s">
        <v>215</v>
      </c>
      <c r="C2367" s="1" t="s">
        <v>432</v>
      </c>
      <c r="D2367" s="1" t="s">
        <v>432</v>
      </c>
      <c r="E2367" t="s">
        <v>433</v>
      </c>
      <c r="F2367" s="2" t="s">
        <v>434</v>
      </c>
      <c r="G2367" t="s">
        <v>435</v>
      </c>
      <c r="H2367" s="2" t="s">
        <v>50</v>
      </c>
      <c r="I2367" s="2">
        <v>1.1000000000000001</v>
      </c>
    </row>
    <row r="2368" spans="1:9" x14ac:dyDescent="0.25">
      <c r="A2368" s="1" t="s">
        <v>214</v>
      </c>
      <c r="B2368" t="s">
        <v>215</v>
      </c>
      <c r="C2368" s="1" t="s">
        <v>7</v>
      </c>
      <c r="D2368" s="1" t="s">
        <v>7</v>
      </c>
      <c r="E2368" t="s">
        <v>8</v>
      </c>
      <c r="F2368" s="2" t="s">
        <v>9</v>
      </c>
      <c r="G2368" t="s">
        <v>10</v>
      </c>
      <c r="H2368" s="2" t="s">
        <v>1384</v>
      </c>
      <c r="I2368" s="2">
        <v>4.8499999999999996</v>
      </c>
    </row>
    <row r="2369" spans="1:9" x14ac:dyDescent="0.25">
      <c r="A2369" s="1" t="s">
        <v>217</v>
      </c>
      <c r="B2369" t="s">
        <v>218</v>
      </c>
      <c r="C2369" s="1" t="s">
        <v>3824</v>
      </c>
      <c r="D2369" s="1" t="s">
        <v>3824</v>
      </c>
      <c r="E2369" t="s">
        <v>3825</v>
      </c>
      <c r="F2369" s="2" t="s">
        <v>216</v>
      </c>
      <c r="G2369" t="s">
        <v>5</v>
      </c>
      <c r="H2369" s="2" t="s">
        <v>33</v>
      </c>
      <c r="I2369" s="2">
        <v>1.4</v>
      </c>
    </row>
    <row r="2370" spans="1:9" x14ac:dyDescent="0.25">
      <c r="A2370" s="1" t="s">
        <v>217</v>
      </c>
      <c r="B2370" t="s">
        <v>218</v>
      </c>
      <c r="C2370" s="1" t="s">
        <v>432</v>
      </c>
      <c r="D2370" s="1" t="s">
        <v>432</v>
      </c>
      <c r="E2370" t="s">
        <v>433</v>
      </c>
      <c r="F2370" s="2" t="s">
        <v>434</v>
      </c>
      <c r="G2370" t="s">
        <v>435</v>
      </c>
      <c r="H2370" s="2" t="s">
        <v>50</v>
      </c>
      <c r="I2370" s="2">
        <v>1.1000000000000001</v>
      </c>
    </row>
    <row r="2371" spans="1:9" x14ac:dyDescent="0.25">
      <c r="A2371" s="1" t="s">
        <v>217</v>
      </c>
      <c r="B2371" t="s">
        <v>218</v>
      </c>
      <c r="C2371" s="1" t="s">
        <v>7</v>
      </c>
      <c r="D2371" s="1" t="s">
        <v>7</v>
      </c>
      <c r="E2371" t="s">
        <v>8</v>
      </c>
      <c r="F2371" s="2" t="s">
        <v>9</v>
      </c>
      <c r="G2371" t="s">
        <v>10</v>
      </c>
      <c r="H2371" s="2" t="s">
        <v>1755</v>
      </c>
      <c r="I2371" s="2">
        <v>7.15</v>
      </c>
    </row>
    <row r="2372" spans="1:9" x14ac:dyDescent="0.25">
      <c r="A2372" s="1" t="s">
        <v>3826</v>
      </c>
      <c r="B2372" t="s">
        <v>3827</v>
      </c>
      <c r="C2372" s="1" t="s">
        <v>3828</v>
      </c>
      <c r="D2372" s="1" t="s">
        <v>3828</v>
      </c>
      <c r="E2372" t="s">
        <v>3829</v>
      </c>
      <c r="F2372" s="2" t="s">
        <v>87</v>
      </c>
      <c r="G2372" t="s">
        <v>5</v>
      </c>
      <c r="H2372" s="2" t="s">
        <v>3830</v>
      </c>
      <c r="I2372" s="2">
        <v>3.58</v>
      </c>
    </row>
    <row r="2373" spans="1:9" x14ac:dyDescent="0.25">
      <c r="A2373" s="1" t="s">
        <v>3826</v>
      </c>
      <c r="B2373" t="s">
        <v>3827</v>
      </c>
      <c r="C2373" s="1" t="s">
        <v>7</v>
      </c>
      <c r="D2373" s="1" t="s">
        <v>7</v>
      </c>
      <c r="E2373" t="s">
        <v>8</v>
      </c>
      <c r="F2373" s="2" t="s">
        <v>9</v>
      </c>
      <c r="G2373" t="s">
        <v>10</v>
      </c>
      <c r="H2373" s="2" t="s">
        <v>3831</v>
      </c>
      <c r="I2373" s="2">
        <v>9.6199999999999992</v>
      </c>
    </row>
    <row r="2374" spans="1:9" x14ac:dyDescent="0.25">
      <c r="A2374" s="1" t="s">
        <v>3832</v>
      </c>
      <c r="B2374" t="s">
        <v>3833</v>
      </c>
      <c r="C2374" s="1" t="s">
        <v>3834</v>
      </c>
      <c r="D2374" s="1" t="s">
        <v>3834</v>
      </c>
      <c r="E2374" t="s">
        <v>3835</v>
      </c>
      <c r="F2374" s="2" t="s">
        <v>3836</v>
      </c>
      <c r="G2374" t="s">
        <v>5</v>
      </c>
      <c r="H2374" s="2" t="s">
        <v>992</v>
      </c>
      <c r="I2374" s="2">
        <v>2.82</v>
      </c>
    </row>
    <row r="2375" spans="1:9" x14ac:dyDescent="0.25">
      <c r="A2375" s="1" t="s">
        <v>3832</v>
      </c>
      <c r="B2375" t="s">
        <v>3833</v>
      </c>
      <c r="C2375" s="1" t="s">
        <v>3837</v>
      </c>
      <c r="D2375" s="1" t="s">
        <v>3837</v>
      </c>
      <c r="E2375" t="s">
        <v>3838</v>
      </c>
      <c r="F2375" s="2" t="s">
        <v>2963</v>
      </c>
      <c r="G2375" t="s">
        <v>17</v>
      </c>
      <c r="H2375" s="2" t="s">
        <v>19</v>
      </c>
      <c r="I2375" s="2">
        <v>1.05</v>
      </c>
    </row>
    <row r="2376" spans="1:9" x14ac:dyDescent="0.25">
      <c r="A2376" s="1" t="s">
        <v>3832</v>
      </c>
      <c r="B2376" t="s">
        <v>3833</v>
      </c>
      <c r="C2376" s="1" t="s">
        <v>7</v>
      </c>
      <c r="D2376" s="1" t="s">
        <v>7</v>
      </c>
      <c r="E2376" t="s">
        <v>8</v>
      </c>
      <c r="F2376" s="2" t="s">
        <v>9</v>
      </c>
      <c r="G2376" t="s">
        <v>10</v>
      </c>
      <c r="H2376" s="2" t="s">
        <v>3839</v>
      </c>
      <c r="I2376" s="2">
        <v>36.17</v>
      </c>
    </row>
    <row r="2377" spans="1:9" x14ac:dyDescent="0.25">
      <c r="A2377" s="1" t="s">
        <v>3840</v>
      </c>
      <c r="B2377" t="s">
        <v>3841</v>
      </c>
      <c r="C2377" s="1" t="s">
        <v>2668</v>
      </c>
      <c r="D2377" s="1" t="s">
        <v>2668</v>
      </c>
      <c r="E2377" t="s">
        <v>2669</v>
      </c>
      <c r="F2377" s="2" t="s">
        <v>2670</v>
      </c>
      <c r="G2377" t="s">
        <v>5</v>
      </c>
      <c r="H2377" s="2" t="s">
        <v>3842</v>
      </c>
      <c r="I2377" s="2">
        <v>4.8</v>
      </c>
    </row>
    <row r="2378" spans="1:9" x14ac:dyDescent="0.25">
      <c r="A2378" s="1" t="s">
        <v>3840</v>
      </c>
      <c r="B2378" t="s">
        <v>3841</v>
      </c>
      <c r="C2378" s="1" t="s">
        <v>1234</v>
      </c>
      <c r="D2378" s="1" t="s">
        <v>1234</v>
      </c>
      <c r="E2378" t="s">
        <v>1235</v>
      </c>
      <c r="F2378" s="2" t="s">
        <v>108</v>
      </c>
      <c r="G2378" t="s">
        <v>932</v>
      </c>
      <c r="H2378" s="2" t="s">
        <v>2677</v>
      </c>
      <c r="I2378" s="2">
        <v>1.8</v>
      </c>
    </row>
    <row r="2379" spans="1:9" x14ac:dyDescent="0.25">
      <c r="A2379" s="1" t="s">
        <v>3840</v>
      </c>
      <c r="B2379" t="s">
        <v>3841</v>
      </c>
      <c r="C2379" s="1" t="s">
        <v>684</v>
      </c>
      <c r="D2379" s="1" t="s">
        <v>684</v>
      </c>
      <c r="E2379" t="s">
        <v>685</v>
      </c>
      <c r="F2379" s="2" t="s">
        <v>686</v>
      </c>
      <c r="G2379" t="s">
        <v>49</v>
      </c>
      <c r="H2379" s="2" t="s">
        <v>3843</v>
      </c>
      <c r="I2379" s="2">
        <v>10</v>
      </c>
    </row>
    <row r="2380" spans="1:9" x14ac:dyDescent="0.25">
      <c r="A2380" s="1" t="s">
        <v>3840</v>
      </c>
      <c r="B2380" t="s">
        <v>3841</v>
      </c>
      <c r="C2380" s="1" t="s">
        <v>684</v>
      </c>
      <c r="D2380" s="1" t="s">
        <v>684</v>
      </c>
      <c r="E2380" t="s">
        <v>685</v>
      </c>
      <c r="F2380" s="2" t="s">
        <v>686</v>
      </c>
      <c r="G2380" t="s">
        <v>49</v>
      </c>
      <c r="H2380" s="2" t="s">
        <v>3844</v>
      </c>
      <c r="I2380" s="2">
        <v>28.75</v>
      </c>
    </row>
    <row r="2381" spans="1:9" x14ac:dyDescent="0.25">
      <c r="A2381" s="1" t="s">
        <v>3840</v>
      </c>
      <c r="B2381" t="s">
        <v>3841</v>
      </c>
      <c r="C2381" s="1" t="s">
        <v>7</v>
      </c>
      <c r="D2381" s="1" t="s">
        <v>7</v>
      </c>
      <c r="E2381" t="s">
        <v>8</v>
      </c>
      <c r="F2381" s="2" t="s">
        <v>9</v>
      </c>
      <c r="G2381" t="s">
        <v>10</v>
      </c>
      <c r="H2381" s="2" t="s">
        <v>3845</v>
      </c>
      <c r="I2381" s="2">
        <v>36.33</v>
      </c>
    </row>
    <row r="2382" spans="1:9" x14ac:dyDescent="0.25">
      <c r="A2382" s="1" t="s">
        <v>3840</v>
      </c>
      <c r="B2382" t="s">
        <v>3841</v>
      </c>
      <c r="C2382" s="1" t="s">
        <v>7</v>
      </c>
      <c r="D2382" s="1" t="s">
        <v>7</v>
      </c>
      <c r="E2382" t="s">
        <v>8</v>
      </c>
      <c r="F2382" s="2" t="s">
        <v>9</v>
      </c>
      <c r="G2382" t="s">
        <v>10</v>
      </c>
      <c r="H2382" s="2" t="s">
        <v>3846</v>
      </c>
      <c r="I2382" s="2">
        <v>8.43</v>
      </c>
    </row>
    <row r="2383" spans="1:9" x14ac:dyDescent="0.25">
      <c r="A2383" s="1" t="s">
        <v>3847</v>
      </c>
      <c r="B2383" t="s">
        <v>3848</v>
      </c>
      <c r="C2383" s="1" t="s">
        <v>2668</v>
      </c>
      <c r="D2383" s="1" t="s">
        <v>2668</v>
      </c>
      <c r="E2383" t="s">
        <v>2669</v>
      </c>
      <c r="F2383" s="2" t="s">
        <v>2670</v>
      </c>
      <c r="G2383" t="s">
        <v>5</v>
      </c>
      <c r="H2383" s="2" t="s">
        <v>3849</v>
      </c>
      <c r="I2383" s="2">
        <v>3.15</v>
      </c>
    </row>
    <row r="2384" spans="1:9" x14ac:dyDescent="0.25">
      <c r="A2384" s="1" t="s">
        <v>3847</v>
      </c>
      <c r="B2384" t="s">
        <v>3848</v>
      </c>
      <c r="C2384" s="1" t="s">
        <v>1234</v>
      </c>
      <c r="D2384" s="1" t="s">
        <v>1234</v>
      </c>
      <c r="E2384" t="s">
        <v>1235</v>
      </c>
      <c r="F2384" s="2" t="s">
        <v>108</v>
      </c>
      <c r="G2384" t="s">
        <v>932</v>
      </c>
      <c r="H2384" s="2" t="s">
        <v>2677</v>
      </c>
      <c r="I2384" s="2">
        <v>1.8</v>
      </c>
    </row>
    <row r="2385" spans="1:9" x14ac:dyDescent="0.25">
      <c r="A2385" s="1" t="s">
        <v>3847</v>
      </c>
      <c r="B2385" t="s">
        <v>3848</v>
      </c>
      <c r="C2385" s="1" t="s">
        <v>684</v>
      </c>
      <c r="D2385" s="1" t="s">
        <v>684</v>
      </c>
      <c r="E2385" t="s">
        <v>685</v>
      </c>
      <c r="F2385" s="2" t="s">
        <v>686</v>
      </c>
      <c r="G2385" t="s">
        <v>49</v>
      </c>
      <c r="H2385" s="2" t="s">
        <v>2500</v>
      </c>
      <c r="I2385" s="2">
        <v>5</v>
      </c>
    </row>
    <row r="2386" spans="1:9" x14ac:dyDescent="0.25">
      <c r="A2386" s="1" t="s">
        <v>3847</v>
      </c>
      <c r="B2386" t="s">
        <v>3848</v>
      </c>
      <c r="C2386" s="1" t="s">
        <v>7</v>
      </c>
      <c r="D2386" s="1" t="s">
        <v>7</v>
      </c>
      <c r="E2386" t="s">
        <v>8</v>
      </c>
      <c r="F2386" s="2" t="s">
        <v>9</v>
      </c>
      <c r="G2386" t="s">
        <v>10</v>
      </c>
      <c r="H2386" s="2" t="s">
        <v>3850</v>
      </c>
      <c r="I2386" s="2">
        <v>8.3699999999999992</v>
      </c>
    </row>
    <row r="2387" spans="1:9" x14ac:dyDescent="0.25">
      <c r="A2387" s="1" t="s">
        <v>3847</v>
      </c>
      <c r="B2387" t="s">
        <v>3848</v>
      </c>
      <c r="C2387" s="1" t="s">
        <v>7</v>
      </c>
      <c r="D2387" s="1" t="s">
        <v>7</v>
      </c>
      <c r="E2387" t="s">
        <v>8</v>
      </c>
      <c r="F2387" s="2" t="s">
        <v>9</v>
      </c>
      <c r="G2387" t="s">
        <v>10</v>
      </c>
      <c r="H2387" s="2" t="s">
        <v>3851</v>
      </c>
      <c r="I2387" s="2">
        <v>14.33</v>
      </c>
    </row>
    <row r="2388" spans="1:9" x14ac:dyDescent="0.25">
      <c r="A2388" s="1" t="s">
        <v>3852</v>
      </c>
      <c r="B2388" t="s">
        <v>3853</v>
      </c>
      <c r="C2388" s="1" t="s">
        <v>684</v>
      </c>
      <c r="D2388" s="1" t="s">
        <v>684</v>
      </c>
      <c r="E2388" t="s">
        <v>685</v>
      </c>
      <c r="F2388" s="2" t="s">
        <v>686</v>
      </c>
      <c r="G2388" t="s">
        <v>49</v>
      </c>
      <c r="H2388" s="2" t="s">
        <v>3854</v>
      </c>
      <c r="I2388" s="2">
        <v>52.5</v>
      </c>
    </row>
    <row r="2389" spans="1:9" x14ac:dyDescent="0.25">
      <c r="A2389" s="1" t="s">
        <v>3852</v>
      </c>
      <c r="B2389" t="s">
        <v>3853</v>
      </c>
      <c r="C2389" s="1" t="s">
        <v>541</v>
      </c>
      <c r="D2389" s="1" t="s">
        <v>541</v>
      </c>
      <c r="E2389" t="s">
        <v>542</v>
      </c>
      <c r="F2389" s="2" t="s">
        <v>9</v>
      </c>
      <c r="G2389" t="s">
        <v>10</v>
      </c>
      <c r="H2389" s="2" t="s">
        <v>3855</v>
      </c>
      <c r="I2389" s="2">
        <v>96.6</v>
      </c>
    </row>
    <row r="2390" spans="1:9" x14ac:dyDescent="0.25">
      <c r="A2390" s="1" t="s">
        <v>3856</v>
      </c>
      <c r="B2390" t="s">
        <v>3857</v>
      </c>
      <c r="C2390" s="1" t="s">
        <v>2</v>
      </c>
      <c r="D2390" s="1" t="s">
        <v>2</v>
      </c>
      <c r="E2390" t="s">
        <v>3</v>
      </c>
      <c r="F2390" s="2" t="s">
        <v>4</v>
      </c>
      <c r="G2390" t="s">
        <v>5</v>
      </c>
      <c r="H2390" s="2" t="s">
        <v>3817</v>
      </c>
      <c r="I2390" s="2">
        <v>0.4</v>
      </c>
    </row>
    <row r="2391" spans="1:9" x14ac:dyDescent="0.25">
      <c r="A2391" s="1" t="s">
        <v>3856</v>
      </c>
      <c r="B2391" t="s">
        <v>3857</v>
      </c>
      <c r="C2391" s="1" t="s">
        <v>432</v>
      </c>
      <c r="D2391" s="1" t="s">
        <v>432</v>
      </c>
      <c r="E2391" t="s">
        <v>433</v>
      </c>
      <c r="F2391" s="2" t="s">
        <v>434</v>
      </c>
      <c r="G2391" t="s">
        <v>435</v>
      </c>
      <c r="H2391" s="2" t="s">
        <v>50</v>
      </c>
      <c r="I2391" s="2">
        <v>1.1000000000000001</v>
      </c>
    </row>
    <row r="2392" spans="1:9" x14ac:dyDescent="0.25">
      <c r="A2392" s="1" t="s">
        <v>3856</v>
      </c>
      <c r="B2392" t="s">
        <v>3857</v>
      </c>
      <c r="C2392" s="1" t="s">
        <v>541</v>
      </c>
      <c r="D2392" s="1" t="s">
        <v>541</v>
      </c>
      <c r="E2392" t="s">
        <v>542</v>
      </c>
      <c r="F2392" s="2" t="s">
        <v>9</v>
      </c>
      <c r="G2392" t="s">
        <v>10</v>
      </c>
      <c r="H2392" s="2" t="s">
        <v>1225</v>
      </c>
      <c r="I2392" s="2">
        <v>2.5</v>
      </c>
    </row>
    <row r="2393" spans="1:9" x14ac:dyDescent="0.25">
      <c r="A2393" s="1" t="s">
        <v>3856</v>
      </c>
      <c r="B2393" t="s">
        <v>3857</v>
      </c>
      <c r="C2393" s="1" t="s">
        <v>7</v>
      </c>
      <c r="D2393" s="1" t="s">
        <v>7</v>
      </c>
      <c r="E2393" t="s">
        <v>8</v>
      </c>
      <c r="F2393" s="2" t="s">
        <v>9</v>
      </c>
      <c r="G2393" t="s">
        <v>10</v>
      </c>
      <c r="H2393" s="2" t="s">
        <v>1044</v>
      </c>
      <c r="I2393" s="2">
        <v>4.8</v>
      </c>
    </row>
    <row r="2394" spans="1:9" x14ac:dyDescent="0.25">
      <c r="A2394" s="1" t="s">
        <v>3858</v>
      </c>
      <c r="B2394" t="s">
        <v>3859</v>
      </c>
      <c r="C2394" s="1" t="s">
        <v>3407</v>
      </c>
      <c r="D2394" s="1" t="s">
        <v>3407</v>
      </c>
      <c r="E2394" t="s">
        <v>3408</v>
      </c>
      <c r="F2394" s="2" t="s">
        <v>70</v>
      </c>
      <c r="G2394" t="s">
        <v>5</v>
      </c>
      <c r="H2394" s="2" t="s">
        <v>367</v>
      </c>
      <c r="I2394" s="2">
        <v>0.25</v>
      </c>
    </row>
    <row r="2395" spans="1:9" x14ac:dyDescent="0.25">
      <c r="A2395" s="1" t="s">
        <v>3858</v>
      </c>
      <c r="B2395" t="s">
        <v>3859</v>
      </c>
      <c r="C2395" s="1" t="s">
        <v>432</v>
      </c>
      <c r="D2395" s="1" t="s">
        <v>432</v>
      </c>
      <c r="E2395" t="s">
        <v>433</v>
      </c>
      <c r="F2395" s="2" t="s">
        <v>434</v>
      </c>
      <c r="G2395" t="s">
        <v>435</v>
      </c>
      <c r="H2395" s="2" t="s">
        <v>50</v>
      </c>
      <c r="I2395" s="2">
        <v>1.1000000000000001</v>
      </c>
    </row>
    <row r="2396" spans="1:9" x14ac:dyDescent="0.25">
      <c r="A2396" s="1" t="s">
        <v>3858</v>
      </c>
      <c r="B2396" t="s">
        <v>3859</v>
      </c>
      <c r="C2396" s="1" t="s">
        <v>7</v>
      </c>
      <c r="D2396" s="1" t="s">
        <v>7</v>
      </c>
      <c r="E2396" t="s">
        <v>8</v>
      </c>
      <c r="F2396" s="2" t="s">
        <v>9</v>
      </c>
      <c r="G2396" t="s">
        <v>10</v>
      </c>
      <c r="H2396" s="2" t="s">
        <v>367</v>
      </c>
      <c r="I2396" s="2">
        <v>2.2999999999999998</v>
      </c>
    </row>
    <row r="2397" spans="1:9" x14ac:dyDescent="0.25">
      <c r="A2397" s="1" t="s">
        <v>3860</v>
      </c>
      <c r="B2397" t="s">
        <v>3861</v>
      </c>
      <c r="C2397" s="1" t="s">
        <v>1495</v>
      </c>
      <c r="D2397" s="1" t="s">
        <v>1495</v>
      </c>
      <c r="E2397" t="s">
        <v>1496</v>
      </c>
      <c r="F2397" s="2" t="s">
        <v>1017</v>
      </c>
      <c r="G2397" t="s">
        <v>5</v>
      </c>
      <c r="H2397" s="2" t="s">
        <v>601</v>
      </c>
      <c r="I2397" s="2">
        <v>4.05</v>
      </c>
    </row>
    <row r="2398" spans="1:9" x14ac:dyDescent="0.25">
      <c r="A2398" s="1" t="s">
        <v>3860</v>
      </c>
      <c r="B2398" t="s">
        <v>3861</v>
      </c>
      <c r="C2398" s="1" t="s">
        <v>7</v>
      </c>
      <c r="D2398" s="1" t="s">
        <v>7</v>
      </c>
      <c r="E2398" t="s">
        <v>8</v>
      </c>
      <c r="F2398" s="2" t="s">
        <v>9</v>
      </c>
      <c r="G2398" t="s">
        <v>10</v>
      </c>
      <c r="H2398" s="2" t="s">
        <v>3862</v>
      </c>
      <c r="I2398" s="2">
        <v>9.3000000000000007</v>
      </c>
    </row>
    <row r="2399" spans="1:9" x14ac:dyDescent="0.25">
      <c r="A2399" s="1" t="s">
        <v>3863</v>
      </c>
      <c r="B2399" t="s">
        <v>3864</v>
      </c>
      <c r="C2399" s="1" t="s">
        <v>3865</v>
      </c>
      <c r="D2399" s="1" t="s">
        <v>3865</v>
      </c>
      <c r="E2399" t="s">
        <v>3866</v>
      </c>
      <c r="F2399" s="2" t="s">
        <v>403</v>
      </c>
      <c r="G2399" t="s">
        <v>17</v>
      </c>
      <c r="H2399" s="2" t="s">
        <v>3433</v>
      </c>
      <c r="I2399" s="2">
        <v>0.1</v>
      </c>
    </row>
    <row r="2400" spans="1:9" x14ac:dyDescent="0.25">
      <c r="A2400" s="1" t="s">
        <v>3863</v>
      </c>
      <c r="B2400" t="s">
        <v>3864</v>
      </c>
      <c r="C2400" s="1" t="s">
        <v>432</v>
      </c>
      <c r="D2400" s="1" t="s">
        <v>432</v>
      </c>
      <c r="E2400" t="s">
        <v>433</v>
      </c>
      <c r="F2400" s="2" t="s">
        <v>434</v>
      </c>
      <c r="G2400" t="s">
        <v>435</v>
      </c>
      <c r="H2400" s="2" t="s">
        <v>50</v>
      </c>
      <c r="I2400" s="2">
        <v>1.1000000000000001</v>
      </c>
    </row>
    <row r="2401" spans="1:9" x14ac:dyDescent="0.25">
      <c r="A2401" s="1" t="s">
        <v>3863</v>
      </c>
      <c r="B2401" t="s">
        <v>3864</v>
      </c>
      <c r="C2401" s="1" t="s">
        <v>7</v>
      </c>
      <c r="D2401" s="1" t="s">
        <v>7</v>
      </c>
      <c r="E2401" t="s">
        <v>8</v>
      </c>
      <c r="F2401" s="2" t="s">
        <v>9</v>
      </c>
      <c r="G2401" t="s">
        <v>10</v>
      </c>
      <c r="H2401" s="2" t="s">
        <v>3867</v>
      </c>
      <c r="I2401" s="2">
        <v>2.4500000000000002</v>
      </c>
    </row>
    <row r="2402" spans="1:9" x14ac:dyDescent="0.25">
      <c r="A2402" s="1" t="s">
        <v>3868</v>
      </c>
      <c r="B2402" t="s">
        <v>3869</v>
      </c>
      <c r="C2402" s="1" t="s">
        <v>3510</v>
      </c>
      <c r="D2402" s="1" t="s">
        <v>3510</v>
      </c>
      <c r="E2402" t="s">
        <v>3511</v>
      </c>
      <c r="F2402" s="2" t="s">
        <v>1017</v>
      </c>
      <c r="G2402" t="s">
        <v>5</v>
      </c>
      <c r="H2402" s="2" t="s">
        <v>19</v>
      </c>
      <c r="I2402" s="2">
        <v>2.7</v>
      </c>
    </row>
    <row r="2403" spans="1:9" x14ac:dyDescent="0.25">
      <c r="A2403" s="1" t="s">
        <v>3868</v>
      </c>
      <c r="B2403" t="s">
        <v>3869</v>
      </c>
      <c r="C2403" s="1" t="s">
        <v>541</v>
      </c>
      <c r="D2403" s="1" t="s">
        <v>541</v>
      </c>
      <c r="E2403" t="s">
        <v>542</v>
      </c>
      <c r="F2403" s="2" t="s">
        <v>9</v>
      </c>
      <c r="G2403" t="s">
        <v>10</v>
      </c>
      <c r="H2403" s="2" t="s">
        <v>3870</v>
      </c>
      <c r="I2403" s="2">
        <v>9.61</v>
      </c>
    </row>
    <row r="2404" spans="1:9" x14ac:dyDescent="0.25">
      <c r="A2404" s="1" t="s">
        <v>3871</v>
      </c>
      <c r="B2404" t="s">
        <v>3872</v>
      </c>
      <c r="C2404" s="1" t="s">
        <v>3873</v>
      </c>
      <c r="D2404" s="1" t="s">
        <v>3873</v>
      </c>
      <c r="E2404" t="s">
        <v>3874</v>
      </c>
      <c r="F2404" s="2" t="s">
        <v>1892</v>
      </c>
      <c r="G2404" t="s">
        <v>17</v>
      </c>
      <c r="H2404" s="2" t="s">
        <v>19</v>
      </c>
      <c r="I2404" s="2">
        <v>1</v>
      </c>
    </row>
    <row r="2405" spans="1:9" x14ac:dyDescent="0.25">
      <c r="A2405" s="1" t="s">
        <v>3871</v>
      </c>
      <c r="B2405" t="s">
        <v>3872</v>
      </c>
      <c r="C2405" s="1" t="s">
        <v>432</v>
      </c>
      <c r="D2405" s="1" t="s">
        <v>432</v>
      </c>
      <c r="E2405" t="s">
        <v>433</v>
      </c>
      <c r="F2405" s="2" t="s">
        <v>434</v>
      </c>
      <c r="G2405" t="s">
        <v>435</v>
      </c>
      <c r="H2405" s="2" t="s">
        <v>50</v>
      </c>
      <c r="I2405" s="2">
        <v>1.1000000000000001</v>
      </c>
    </row>
    <row r="2406" spans="1:9" x14ac:dyDescent="0.25">
      <c r="A2406" s="1" t="s">
        <v>3871</v>
      </c>
      <c r="B2406" t="s">
        <v>3872</v>
      </c>
      <c r="C2406" s="1" t="s">
        <v>541</v>
      </c>
      <c r="D2406" s="1" t="s">
        <v>541</v>
      </c>
      <c r="E2406" t="s">
        <v>542</v>
      </c>
      <c r="F2406" s="2" t="s">
        <v>9</v>
      </c>
      <c r="G2406" t="s">
        <v>10</v>
      </c>
      <c r="H2406" s="2" t="s">
        <v>3867</v>
      </c>
      <c r="I2406" s="2">
        <v>2.4500000000000002</v>
      </c>
    </row>
    <row r="2407" spans="1:9" x14ac:dyDescent="0.25">
      <c r="A2407" s="1" t="s">
        <v>3875</v>
      </c>
      <c r="B2407" t="s">
        <v>3876</v>
      </c>
      <c r="C2407" s="1" t="s">
        <v>1188</v>
      </c>
      <c r="D2407" s="1" t="s">
        <v>1188</v>
      </c>
      <c r="E2407" t="s">
        <v>1189</v>
      </c>
      <c r="F2407" s="2" t="s">
        <v>1190</v>
      </c>
      <c r="G2407" t="s">
        <v>5</v>
      </c>
      <c r="H2407" s="2" t="s">
        <v>652</v>
      </c>
      <c r="I2407" s="2">
        <v>0.28999999999999998</v>
      </c>
    </row>
    <row r="2408" spans="1:9" x14ac:dyDescent="0.25">
      <c r="A2408" s="1" t="s">
        <v>3875</v>
      </c>
      <c r="B2408" t="s">
        <v>3876</v>
      </c>
      <c r="C2408" s="1" t="s">
        <v>432</v>
      </c>
      <c r="D2408" s="1" t="s">
        <v>432</v>
      </c>
      <c r="E2408" t="s">
        <v>433</v>
      </c>
      <c r="F2408" s="2" t="s">
        <v>434</v>
      </c>
      <c r="G2408" t="s">
        <v>435</v>
      </c>
      <c r="H2408" s="2" t="s">
        <v>50</v>
      </c>
      <c r="I2408" s="2">
        <v>1.1000000000000001</v>
      </c>
    </row>
    <row r="2409" spans="1:9" x14ac:dyDescent="0.25">
      <c r="A2409" s="1" t="s">
        <v>3875</v>
      </c>
      <c r="B2409" t="s">
        <v>3876</v>
      </c>
      <c r="C2409" s="1" t="s">
        <v>541</v>
      </c>
      <c r="D2409" s="1" t="s">
        <v>541</v>
      </c>
      <c r="E2409" t="s">
        <v>542</v>
      </c>
      <c r="F2409" s="2" t="s">
        <v>9</v>
      </c>
      <c r="G2409" t="s">
        <v>10</v>
      </c>
      <c r="H2409" s="2" t="s">
        <v>367</v>
      </c>
      <c r="I2409" s="2">
        <v>2.2999999999999998</v>
      </c>
    </row>
    <row r="2410" spans="1:9" x14ac:dyDescent="0.25">
      <c r="A2410" s="1" t="s">
        <v>3877</v>
      </c>
      <c r="B2410" t="s">
        <v>3878</v>
      </c>
      <c r="C2410" s="1" t="s">
        <v>3879</v>
      </c>
      <c r="D2410" s="1" t="s">
        <v>3879</v>
      </c>
      <c r="E2410" t="s">
        <v>3880</v>
      </c>
      <c r="F2410" s="2" t="s">
        <v>1888</v>
      </c>
      <c r="G2410" t="s">
        <v>5</v>
      </c>
      <c r="H2410" s="2" t="s">
        <v>652</v>
      </c>
      <c r="I2410" s="2">
        <v>0.66</v>
      </c>
    </row>
    <row r="2411" spans="1:9" x14ac:dyDescent="0.25">
      <c r="A2411" s="1" t="s">
        <v>3877</v>
      </c>
      <c r="B2411" t="s">
        <v>3878</v>
      </c>
      <c r="C2411" s="1" t="s">
        <v>541</v>
      </c>
      <c r="D2411" s="1" t="s">
        <v>541</v>
      </c>
      <c r="E2411" t="s">
        <v>542</v>
      </c>
      <c r="F2411" s="2" t="s">
        <v>9</v>
      </c>
      <c r="G2411" t="s">
        <v>10</v>
      </c>
      <c r="H2411" s="2" t="s">
        <v>3047</v>
      </c>
      <c r="I2411" s="2">
        <v>4.83</v>
      </c>
    </row>
    <row r="2412" spans="1:9" x14ac:dyDescent="0.25">
      <c r="A2412" s="1" t="s">
        <v>3881</v>
      </c>
      <c r="B2412" t="s">
        <v>3882</v>
      </c>
      <c r="C2412" s="1" t="s">
        <v>2</v>
      </c>
      <c r="D2412" s="1" t="s">
        <v>2</v>
      </c>
      <c r="E2412" t="s">
        <v>3</v>
      </c>
      <c r="F2412" s="2" t="s">
        <v>4</v>
      </c>
      <c r="G2412" t="s">
        <v>5</v>
      </c>
      <c r="H2412" s="2" t="s">
        <v>478</v>
      </c>
      <c r="I2412" s="2">
        <v>0.77</v>
      </c>
    </row>
    <row r="2413" spans="1:9" x14ac:dyDescent="0.25">
      <c r="A2413" s="1" t="s">
        <v>3881</v>
      </c>
      <c r="B2413" t="s">
        <v>3882</v>
      </c>
      <c r="C2413" s="1" t="s">
        <v>432</v>
      </c>
      <c r="D2413" s="1" t="s">
        <v>432</v>
      </c>
      <c r="E2413" t="s">
        <v>433</v>
      </c>
      <c r="F2413" s="2" t="s">
        <v>434</v>
      </c>
      <c r="G2413" t="s">
        <v>435</v>
      </c>
      <c r="H2413" s="2" t="s">
        <v>50</v>
      </c>
      <c r="I2413" s="2">
        <v>1.1000000000000001</v>
      </c>
    </row>
    <row r="2414" spans="1:9" x14ac:dyDescent="0.25">
      <c r="A2414" s="1" t="s">
        <v>3881</v>
      </c>
      <c r="B2414" t="s">
        <v>3882</v>
      </c>
      <c r="C2414" s="1" t="s">
        <v>541</v>
      </c>
      <c r="D2414" s="1" t="s">
        <v>541</v>
      </c>
      <c r="E2414" t="s">
        <v>542</v>
      </c>
      <c r="F2414" s="2" t="s">
        <v>9</v>
      </c>
      <c r="G2414" t="s">
        <v>10</v>
      </c>
      <c r="H2414" s="2" t="s">
        <v>19</v>
      </c>
      <c r="I2414" s="2">
        <v>4.5999999999999996</v>
      </c>
    </row>
    <row r="2415" spans="1:9" x14ac:dyDescent="0.25">
      <c r="A2415" s="1" t="s">
        <v>3883</v>
      </c>
      <c r="B2415" t="s">
        <v>3884</v>
      </c>
      <c r="C2415" s="1" t="s">
        <v>1447</v>
      </c>
      <c r="D2415" s="1" t="s">
        <v>1447</v>
      </c>
      <c r="E2415" t="s">
        <v>1448</v>
      </c>
      <c r="F2415" s="2" t="s">
        <v>779</v>
      </c>
      <c r="G2415" t="s">
        <v>5</v>
      </c>
      <c r="H2415" s="2" t="s">
        <v>3885</v>
      </c>
      <c r="I2415" s="2">
        <v>5.4</v>
      </c>
    </row>
    <row r="2416" spans="1:9" x14ac:dyDescent="0.25">
      <c r="A2416" s="1" t="s">
        <v>3883</v>
      </c>
      <c r="B2416" t="s">
        <v>3884</v>
      </c>
      <c r="C2416" s="1" t="s">
        <v>432</v>
      </c>
      <c r="D2416" s="1" t="s">
        <v>432</v>
      </c>
      <c r="E2416" t="s">
        <v>433</v>
      </c>
      <c r="F2416" s="2" t="s">
        <v>434</v>
      </c>
      <c r="G2416" t="s">
        <v>435</v>
      </c>
      <c r="H2416" s="2" t="s">
        <v>3886</v>
      </c>
      <c r="I2416" s="2">
        <v>1.7</v>
      </c>
    </row>
    <row r="2417" spans="1:9" x14ac:dyDescent="0.25">
      <c r="A2417" s="1" t="s">
        <v>3883</v>
      </c>
      <c r="B2417" t="s">
        <v>3884</v>
      </c>
      <c r="C2417" s="1" t="s">
        <v>541</v>
      </c>
      <c r="D2417" s="1" t="s">
        <v>541</v>
      </c>
      <c r="E2417" t="s">
        <v>542</v>
      </c>
      <c r="F2417" s="2" t="s">
        <v>9</v>
      </c>
      <c r="G2417" t="s">
        <v>10</v>
      </c>
      <c r="H2417" s="2" t="s">
        <v>3887</v>
      </c>
      <c r="I2417" s="2">
        <v>14.43</v>
      </c>
    </row>
    <row r="2418" spans="1:9" x14ac:dyDescent="0.25">
      <c r="A2418" s="1" t="s">
        <v>3888</v>
      </c>
      <c r="B2418" t="s">
        <v>3889</v>
      </c>
      <c r="C2418" s="1" t="s">
        <v>1502</v>
      </c>
      <c r="D2418" s="1" t="s">
        <v>1502</v>
      </c>
      <c r="E2418" t="s">
        <v>1503</v>
      </c>
      <c r="F2418" s="2" t="s">
        <v>1017</v>
      </c>
      <c r="G2418" t="s">
        <v>5</v>
      </c>
      <c r="H2418" s="2" t="s">
        <v>1254</v>
      </c>
      <c r="I2418" s="2">
        <v>9.4499999999999993</v>
      </c>
    </row>
    <row r="2419" spans="1:9" x14ac:dyDescent="0.25">
      <c r="A2419" s="1" t="s">
        <v>3888</v>
      </c>
      <c r="B2419" t="s">
        <v>3889</v>
      </c>
      <c r="C2419" s="1" t="s">
        <v>541</v>
      </c>
      <c r="D2419" s="1" t="s">
        <v>541</v>
      </c>
      <c r="E2419" t="s">
        <v>542</v>
      </c>
      <c r="F2419" s="2" t="s">
        <v>9</v>
      </c>
      <c r="G2419" t="s">
        <v>10</v>
      </c>
      <c r="H2419" s="2" t="s">
        <v>3890</v>
      </c>
      <c r="I2419" s="2">
        <v>36.21</v>
      </c>
    </row>
    <row r="2420" spans="1:9" x14ac:dyDescent="0.25">
      <c r="A2420" s="1" t="s">
        <v>3891</v>
      </c>
      <c r="B2420" t="s">
        <v>3892</v>
      </c>
      <c r="C2420" s="1" t="s">
        <v>3893</v>
      </c>
      <c r="D2420" s="1" t="s">
        <v>3893</v>
      </c>
      <c r="E2420" t="s">
        <v>3894</v>
      </c>
      <c r="F2420" s="2" t="s">
        <v>70</v>
      </c>
      <c r="G2420" t="s">
        <v>932</v>
      </c>
      <c r="H2420" s="2" t="s">
        <v>3895</v>
      </c>
      <c r="I2420" s="2">
        <v>18.75</v>
      </c>
    </row>
    <row r="2421" spans="1:9" x14ac:dyDescent="0.25">
      <c r="A2421" s="1" t="s">
        <v>3891</v>
      </c>
      <c r="B2421" t="s">
        <v>3892</v>
      </c>
      <c r="C2421" s="1" t="s">
        <v>432</v>
      </c>
      <c r="D2421" s="1" t="s">
        <v>432</v>
      </c>
      <c r="E2421" t="s">
        <v>433</v>
      </c>
      <c r="F2421" s="2" t="s">
        <v>434</v>
      </c>
      <c r="G2421" t="s">
        <v>435</v>
      </c>
      <c r="H2421" s="2" t="s">
        <v>50</v>
      </c>
      <c r="I2421" s="2">
        <v>1.1000000000000001</v>
      </c>
    </row>
    <row r="2422" spans="1:9" x14ac:dyDescent="0.25">
      <c r="A2422" s="1" t="s">
        <v>3891</v>
      </c>
      <c r="B2422" t="s">
        <v>3892</v>
      </c>
      <c r="C2422" s="1" t="s">
        <v>541</v>
      </c>
      <c r="D2422" s="1" t="s">
        <v>541</v>
      </c>
      <c r="E2422" t="s">
        <v>542</v>
      </c>
      <c r="F2422" s="2" t="s">
        <v>9</v>
      </c>
      <c r="G2422" t="s">
        <v>10</v>
      </c>
      <c r="H2422" s="2" t="s">
        <v>594</v>
      </c>
      <c r="I2422" s="2">
        <v>11.5</v>
      </c>
    </row>
    <row r="2423" spans="1:9" x14ac:dyDescent="0.25">
      <c r="A2423" s="1" t="s">
        <v>3896</v>
      </c>
      <c r="B2423" t="s">
        <v>3897</v>
      </c>
      <c r="C2423" s="1" t="s">
        <v>1487</v>
      </c>
      <c r="D2423" s="1" t="s">
        <v>1487</v>
      </c>
      <c r="E2423" t="s">
        <v>1488</v>
      </c>
      <c r="F2423" s="2" t="s">
        <v>31</v>
      </c>
      <c r="G2423" t="s">
        <v>5</v>
      </c>
      <c r="H2423" s="2" t="s">
        <v>3898</v>
      </c>
      <c r="I2423" s="2">
        <v>0.3</v>
      </c>
    </row>
    <row r="2424" spans="1:9" x14ac:dyDescent="0.25">
      <c r="A2424" s="1" t="s">
        <v>3896</v>
      </c>
      <c r="B2424" t="s">
        <v>3897</v>
      </c>
      <c r="C2424" s="1" t="s">
        <v>1128</v>
      </c>
      <c r="D2424" s="1" t="s">
        <v>1128</v>
      </c>
      <c r="E2424" t="s">
        <v>1129</v>
      </c>
      <c r="F2424" s="2" t="s">
        <v>31</v>
      </c>
      <c r="G2424" t="s">
        <v>5</v>
      </c>
      <c r="H2424" s="2" t="s">
        <v>3899</v>
      </c>
      <c r="I2424" s="2">
        <v>4.2</v>
      </c>
    </row>
    <row r="2425" spans="1:9" x14ac:dyDescent="0.25">
      <c r="A2425" s="1" t="s">
        <v>3896</v>
      </c>
      <c r="B2425" t="s">
        <v>3897</v>
      </c>
      <c r="C2425" s="1" t="s">
        <v>1117</v>
      </c>
      <c r="D2425" s="1" t="s">
        <v>1117</v>
      </c>
      <c r="E2425" t="s">
        <v>1118</v>
      </c>
      <c r="F2425" s="2" t="s">
        <v>876</v>
      </c>
      <c r="G2425" t="s">
        <v>5</v>
      </c>
      <c r="H2425" s="2" t="s">
        <v>3900</v>
      </c>
      <c r="I2425" s="2">
        <v>2.4500000000000002</v>
      </c>
    </row>
    <row r="2426" spans="1:9" x14ac:dyDescent="0.25">
      <c r="A2426" s="1" t="s">
        <v>3896</v>
      </c>
      <c r="B2426" t="s">
        <v>3897</v>
      </c>
      <c r="C2426" s="1" t="s">
        <v>432</v>
      </c>
      <c r="D2426" s="1" t="s">
        <v>432</v>
      </c>
      <c r="E2426" t="s">
        <v>433</v>
      </c>
      <c r="F2426" s="2" t="s">
        <v>434</v>
      </c>
      <c r="G2426" t="s">
        <v>435</v>
      </c>
      <c r="H2426" s="2" t="s">
        <v>50</v>
      </c>
      <c r="I2426" s="2">
        <v>1.1000000000000001</v>
      </c>
    </row>
    <row r="2427" spans="1:9" x14ac:dyDescent="0.25">
      <c r="A2427" s="1" t="s">
        <v>3896</v>
      </c>
      <c r="B2427" t="s">
        <v>3897</v>
      </c>
      <c r="C2427" s="1" t="s">
        <v>541</v>
      </c>
      <c r="D2427" s="1" t="s">
        <v>541</v>
      </c>
      <c r="E2427" t="s">
        <v>542</v>
      </c>
      <c r="F2427" s="2" t="s">
        <v>9</v>
      </c>
      <c r="G2427" t="s">
        <v>10</v>
      </c>
      <c r="H2427" s="2" t="s">
        <v>3901</v>
      </c>
      <c r="I2427" s="2">
        <v>24.24</v>
      </c>
    </row>
    <row r="2428" spans="1:9" x14ac:dyDescent="0.25">
      <c r="A2428" s="1" t="s">
        <v>3902</v>
      </c>
      <c r="B2428" t="s">
        <v>3903</v>
      </c>
      <c r="C2428" s="1" t="s">
        <v>1547</v>
      </c>
      <c r="D2428" s="1" t="s">
        <v>1547</v>
      </c>
      <c r="E2428" t="s">
        <v>1548</v>
      </c>
      <c r="F2428" s="2" t="s">
        <v>216</v>
      </c>
      <c r="G2428" t="s">
        <v>5</v>
      </c>
      <c r="H2428" s="2" t="s">
        <v>3904</v>
      </c>
      <c r="I2428" s="2">
        <v>0.95</v>
      </c>
    </row>
    <row r="2429" spans="1:9" x14ac:dyDescent="0.25">
      <c r="A2429" s="1" t="s">
        <v>3902</v>
      </c>
      <c r="B2429" t="s">
        <v>3903</v>
      </c>
      <c r="C2429" s="1" t="s">
        <v>541</v>
      </c>
      <c r="D2429" s="1" t="s">
        <v>541</v>
      </c>
      <c r="E2429" t="s">
        <v>542</v>
      </c>
      <c r="F2429" s="2" t="s">
        <v>9</v>
      </c>
      <c r="G2429" t="s">
        <v>10</v>
      </c>
      <c r="H2429" s="2" t="s">
        <v>3905</v>
      </c>
      <c r="I2429" s="2">
        <v>5.07</v>
      </c>
    </row>
    <row r="2430" spans="1:9" x14ac:dyDescent="0.25">
      <c r="A2430" s="1" t="s">
        <v>3902</v>
      </c>
      <c r="B2430" t="s">
        <v>3903</v>
      </c>
      <c r="C2430" s="1" t="s">
        <v>541</v>
      </c>
      <c r="D2430" s="1" t="s">
        <v>541</v>
      </c>
      <c r="E2430" t="s">
        <v>542</v>
      </c>
      <c r="F2430" s="2" t="s">
        <v>9</v>
      </c>
      <c r="G2430" t="s">
        <v>10</v>
      </c>
      <c r="H2430" s="2" t="s">
        <v>3906</v>
      </c>
      <c r="I2430" s="2">
        <v>14.45</v>
      </c>
    </row>
    <row r="2431" spans="1:9" x14ac:dyDescent="0.25">
      <c r="A2431" s="1" t="s">
        <v>3907</v>
      </c>
      <c r="B2431" t="s">
        <v>3908</v>
      </c>
      <c r="C2431" s="1" t="s">
        <v>3824</v>
      </c>
      <c r="D2431" s="1" t="s">
        <v>3824</v>
      </c>
      <c r="E2431" t="s">
        <v>3825</v>
      </c>
      <c r="F2431" s="2" t="s">
        <v>216</v>
      </c>
      <c r="G2431" t="s">
        <v>5</v>
      </c>
      <c r="H2431" s="2" t="s">
        <v>19</v>
      </c>
      <c r="I2431" s="2">
        <v>0.7</v>
      </c>
    </row>
    <row r="2432" spans="1:9" x14ac:dyDescent="0.25">
      <c r="A2432" s="1" t="s">
        <v>3907</v>
      </c>
      <c r="B2432" t="s">
        <v>3908</v>
      </c>
      <c r="C2432" s="1" t="s">
        <v>432</v>
      </c>
      <c r="D2432" s="1" t="s">
        <v>432</v>
      </c>
      <c r="E2432" t="s">
        <v>433</v>
      </c>
      <c r="F2432" s="2" t="s">
        <v>434</v>
      </c>
      <c r="G2432" t="s">
        <v>435</v>
      </c>
      <c r="H2432" s="2" t="s">
        <v>50</v>
      </c>
      <c r="I2432" s="2">
        <v>1.1000000000000001</v>
      </c>
    </row>
    <row r="2433" spans="1:9" x14ac:dyDescent="0.25">
      <c r="A2433" s="1" t="s">
        <v>3907</v>
      </c>
      <c r="B2433" t="s">
        <v>3908</v>
      </c>
      <c r="C2433" s="1" t="s">
        <v>541</v>
      </c>
      <c r="D2433" s="1" t="s">
        <v>541</v>
      </c>
      <c r="E2433" t="s">
        <v>542</v>
      </c>
      <c r="F2433" s="2" t="s">
        <v>9</v>
      </c>
      <c r="G2433" t="s">
        <v>10</v>
      </c>
      <c r="H2433" s="2" t="s">
        <v>367</v>
      </c>
      <c r="I2433" s="2">
        <v>2.2999999999999998</v>
      </c>
    </row>
    <row r="2434" spans="1:9" x14ac:dyDescent="0.25">
      <c r="A2434" s="1" t="s">
        <v>3909</v>
      </c>
      <c r="B2434" t="s">
        <v>3910</v>
      </c>
      <c r="C2434" s="1" t="s">
        <v>3007</v>
      </c>
      <c r="D2434" s="1" t="s">
        <v>3007</v>
      </c>
      <c r="E2434" t="s">
        <v>3008</v>
      </c>
      <c r="F2434" s="2" t="s">
        <v>70</v>
      </c>
      <c r="G2434" t="s">
        <v>5</v>
      </c>
      <c r="H2434" s="2" t="s">
        <v>992</v>
      </c>
      <c r="I2434" s="2">
        <v>1.5</v>
      </c>
    </row>
    <row r="2435" spans="1:9" x14ac:dyDescent="0.25">
      <c r="A2435" s="1" t="s">
        <v>3909</v>
      </c>
      <c r="B2435" t="s">
        <v>3910</v>
      </c>
      <c r="C2435" s="1" t="s">
        <v>432</v>
      </c>
      <c r="D2435" s="1" t="s">
        <v>432</v>
      </c>
      <c r="E2435" t="s">
        <v>433</v>
      </c>
      <c r="F2435" s="2" t="s">
        <v>434</v>
      </c>
      <c r="G2435" t="s">
        <v>435</v>
      </c>
      <c r="H2435" s="2" t="s">
        <v>50</v>
      </c>
      <c r="I2435" s="2">
        <v>1.1000000000000001</v>
      </c>
    </row>
    <row r="2436" spans="1:9" x14ac:dyDescent="0.25">
      <c r="A2436" s="1" t="s">
        <v>3909</v>
      </c>
      <c r="B2436" t="s">
        <v>3910</v>
      </c>
      <c r="C2436" s="1" t="s">
        <v>541</v>
      </c>
      <c r="D2436" s="1" t="s">
        <v>541</v>
      </c>
      <c r="E2436" t="s">
        <v>542</v>
      </c>
      <c r="F2436" s="2" t="s">
        <v>9</v>
      </c>
      <c r="G2436" t="s">
        <v>10</v>
      </c>
      <c r="H2436" s="2" t="s">
        <v>594</v>
      </c>
      <c r="I2436" s="2">
        <v>11.5</v>
      </c>
    </row>
    <row r="2437" spans="1:9" x14ac:dyDescent="0.25">
      <c r="A2437" s="1" t="s">
        <v>3911</v>
      </c>
      <c r="B2437" t="s">
        <v>3912</v>
      </c>
      <c r="C2437" s="1" t="s">
        <v>1296</v>
      </c>
      <c r="D2437" s="1" t="s">
        <v>1296</v>
      </c>
      <c r="E2437" t="s">
        <v>1297</v>
      </c>
      <c r="F2437" s="2" t="s">
        <v>1017</v>
      </c>
      <c r="G2437" t="s">
        <v>5</v>
      </c>
      <c r="H2437" s="2" t="s">
        <v>1210</v>
      </c>
      <c r="I2437" s="2">
        <v>0.3</v>
      </c>
    </row>
    <row r="2438" spans="1:9" x14ac:dyDescent="0.25">
      <c r="A2438" s="1" t="s">
        <v>3911</v>
      </c>
      <c r="B2438" t="s">
        <v>3912</v>
      </c>
      <c r="C2438" s="1" t="s">
        <v>541</v>
      </c>
      <c r="D2438" s="1" t="s">
        <v>541</v>
      </c>
      <c r="E2438" t="s">
        <v>542</v>
      </c>
      <c r="F2438" s="2" t="s">
        <v>9</v>
      </c>
      <c r="G2438" t="s">
        <v>10</v>
      </c>
      <c r="H2438" s="2" t="s">
        <v>3913</v>
      </c>
      <c r="I2438" s="2">
        <v>2.48</v>
      </c>
    </row>
    <row r="2439" spans="1:9" x14ac:dyDescent="0.25">
      <c r="A2439" s="1" t="s">
        <v>2682</v>
      </c>
      <c r="B2439" t="s">
        <v>2683</v>
      </c>
      <c r="C2439" s="1" t="s">
        <v>3914</v>
      </c>
      <c r="D2439" s="1" t="s">
        <v>3914</v>
      </c>
      <c r="E2439" t="s">
        <v>3915</v>
      </c>
      <c r="F2439" s="2" t="s">
        <v>3916</v>
      </c>
      <c r="G2439" t="s">
        <v>5</v>
      </c>
      <c r="H2439" s="2" t="s">
        <v>3917</v>
      </c>
      <c r="I2439" s="2">
        <v>29.35</v>
      </c>
    </row>
    <row r="2440" spans="1:9" x14ac:dyDescent="0.25">
      <c r="A2440" s="1" t="s">
        <v>2682</v>
      </c>
      <c r="B2440" t="s">
        <v>2683</v>
      </c>
      <c r="C2440" s="1" t="s">
        <v>7</v>
      </c>
      <c r="D2440" s="1" t="s">
        <v>7</v>
      </c>
      <c r="E2440" t="s">
        <v>8</v>
      </c>
      <c r="F2440" s="2" t="s">
        <v>9</v>
      </c>
      <c r="G2440" t="s">
        <v>10</v>
      </c>
      <c r="H2440" s="2" t="s">
        <v>3918</v>
      </c>
      <c r="I2440" s="2">
        <v>29.65</v>
      </c>
    </row>
    <row r="2441" spans="1:9" x14ac:dyDescent="0.25">
      <c r="A2441" s="1" t="s">
        <v>1872</v>
      </c>
      <c r="B2441" t="s">
        <v>1873</v>
      </c>
      <c r="C2441" s="1" t="s">
        <v>3919</v>
      </c>
      <c r="D2441" s="1" t="s">
        <v>3919</v>
      </c>
      <c r="E2441" t="s">
        <v>3920</v>
      </c>
      <c r="F2441" s="2" t="s">
        <v>1888</v>
      </c>
      <c r="G2441" t="s">
        <v>3921</v>
      </c>
      <c r="H2441" s="2" t="s">
        <v>50</v>
      </c>
      <c r="I2441" s="2">
        <v>22</v>
      </c>
    </row>
    <row r="2442" spans="1:9" x14ac:dyDescent="0.25">
      <c r="A2442" s="1" t="s">
        <v>1872</v>
      </c>
      <c r="B2442" t="s">
        <v>1873</v>
      </c>
      <c r="C2442" s="1" t="s">
        <v>7</v>
      </c>
      <c r="D2442" s="1" t="s">
        <v>7</v>
      </c>
      <c r="E2442" t="s">
        <v>8</v>
      </c>
      <c r="F2442" s="2" t="s">
        <v>9</v>
      </c>
      <c r="G2442" t="s">
        <v>10</v>
      </c>
      <c r="H2442" s="2" t="s">
        <v>992</v>
      </c>
      <c r="I2442" s="2">
        <v>13.8</v>
      </c>
    </row>
    <row r="2443" spans="1:9" x14ac:dyDescent="0.25">
      <c r="A2443" s="1" t="s">
        <v>3922</v>
      </c>
      <c r="B2443" t="s">
        <v>3923</v>
      </c>
      <c r="C2443" s="1" t="s">
        <v>1844</v>
      </c>
      <c r="D2443" s="1" t="s">
        <v>1844</v>
      </c>
      <c r="E2443" t="s">
        <v>1845</v>
      </c>
      <c r="F2443" s="2" t="s">
        <v>1846</v>
      </c>
      <c r="G2443" t="s">
        <v>121</v>
      </c>
      <c r="H2443" s="2" t="s">
        <v>50</v>
      </c>
      <c r="I2443" s="2">
        <v>15.52</v>
      </c>
    </row>
    <row r="2444" spans="1:9" x14ac:dyDescent="0.25">
      <c r="A2444" s="1" t="s">
        <v>3922</v>
      </c>
      <c r="B2444" t="s">
        <v>3923</v>
      </c>
      <c r="C2444" s="1" t="s">
        <v>41</v>
      </c>
      <c r="D2444" s="1" t="s">
        <v>41</v>
      </c>
      <c r="E2444" t="s">
        <v>42</v>
      </c>
      <c r="F2444" s="2" t="s">
        <v>513</v>
      </c>
      <c r="G2444" t="s">
        <v>5</v>
      </c>
      <c r="H2444" s="2" t="s">
        <v>1900</v>
      </c>
      <c r="I2444" s="2">
        <v>0.03</v>
      </c>
    </row>
    <row r="2445" spans="1:9" x14ac:dyDescent="0.25">
      <c r="A2445" s="1" t="s">
        <v>3922</v>
      </c>
      <c r="B2445" t="s">
        <v>3923</v>
      </c>
      <c r="C2445" s="1" t="s">
        <v>7</v>
      </c>
      <c r="D2445" s="1" t="s">
        <v>7</v>
      </c>
      <c r="E2445" t="s">
        <v>8</v>
      </c>
      <c r="F2445" s="2" t="s">
        <v>9</v>
      </c>
      <c r="G2445" t="s">
        <v>10</v>
      </c>
      <c r="H2445" s="2" t="s">
        <v>3924</v>
      </c>
      <c r="I2445" s="2">
        <v>9.8000000000000007</v>
      </c>
    </row>
    <row r="2446" spans="1:9" x14ac:dyDescent="0.25">
      <c r="A2446" s="1" t="s">
        <v>3925</v>
      </c>
      <c r="B2446" t="s">
        <v>3926</v>
      </c>
      <c r="C2446" s="1" t="s">
        <v>1847</v>
      </c>
      <c r="D2446" s="1" t="s">
        <v>1847</v>
      </c>
      <c r="E2446" t="s">
        <v>1848</v>
      </c>
      <c r="F2446" s="2" t="s">
        <v>1849</v>
      </c>
      <c r="G2446" t="s">
        <v>121</v>
      </c>
      <c r="H2446" s="2" t="s">
        <v>50</v>
      </c>
      <c r="I2446" s="2">
        <v>15.74</v>
      </c>
    </row>
    <row r="2447" spans="1:9" x14ac:dyDescent="0.25">
      <c r="A2447" s="1" t="s">
        <v>3925</v>
      </c>
      <c r="B2447" t="s">
        <v>3926</v>
      </c>
      <c r="C2447" s="1" t="s">
        <v>41</v>
      </c>
      <c r="D2447" s="1" t="s">
        <v>41</v>
      </c>
      <c r="E2447" t="s">
        <v>42</v>
      </c>
      <c r="F2447" s="2" t="s">
        <v>513</v>
      </c>
      <c r="G2447" t="s">
        <v>5</v>
      </c>
      <c r="H2447" s="2" t="s">
        <v>44</v>
      </c>
      <c r="I2447" s="2">
        <v>0.01</v>
      </c>
    </row>
    <row r="2448" spans="1:9" x14ac:dyDescent="0.25">
      <c r="A2448" s="1" t="s">
        <v>3925</v>
      </c>
      <c r="B2448" t="s">
        <v>3926</v>
      </c>
      <c r="C2448" s="1" t="s">
        <v>7</v>
      </c>
      <c r="D2448" s="1" t="s">
        <v>7</v>
      </c>
      <c r="E2448" t="s">
        <v>8</v>
      </c>
      <c r="F2448" s="2" t="s">
        <v>9</v>
      </c>
      <c r="G2448" t="s">
        <v>10</v>
      </c>
      <c r="H2448" s="2" t="s">
        <v>3924</v>
      </c>
      <c r="I2448" s="2">
        <v>9.8000000000000007</v>
      </c>
    </row>
    <row r="2449" spans="1:9" x14ac:dyDescent="0.25">
      <c r="A2449" s="1" t="s">
        <v>3927</v>
      </c>
      <c r="B2449" t="s">
        <v>3928</v>
      </c>
      <c r="C2449" s="1" t="s">
        <v>1736</v>
      </c>
      <c r="D2449" s="1" t="s">
        <v>1736</v>
      </c>
      <c r="E2449" t="s">
        <v>3929</v>
      </c>
      <c r="F2449" s="2" t="s">
        <v>3930</v>
      </c>
      <c r="G2449" t="s">
        <v>49</v>
      </c>
      <c r="H2449" s="2" t="s">
        <v>1777</v>
      </c>
      <c r="I2449" s="2">
        <v>2.77</v>
      </c>
    </row>
    <row r="2450" spans="1:9" x14ac:dyDescent="0.25">
      <c r="A2450" s="1" t="s">
        <v>3927</v>
      </c>
      <c r="B2450" t="s">
        <v>3928</v>
      </c>
      <c r="C2450" s="1" t="s">
        <v>541</v>
      </c>
      <c r="D2450" s="1" t="s">
        <v>541</v>
      </c>
      <c r="E2450" t="s">
        <v>542</v>
      </c>
      <c r="F2450" s="2" t="s">
        <v>9</v>
      </c>
      <c r="G2450" t="s">
        <v>10</v>
      </c>
      <c r="H2450" s="2" t="s">
        <v>3931</v>
      </c>
      <c r="I2450" s="2">
        <v>3.73</v>
      </c>
    </row>
    <row r="2451" spans="1:9" x14ac:dyDescent="0.25">
      <c r="A2451" s="1" t="s">
        <v>3932</v>
      </c>
      <c r="B2451" t="s">
        <v>3933</v>
      </c>
      <c r="C2451" s="1" t="s">
        <v>3919</v>
      </c>
      <c r="D2451" s="1" t="s">
        <v>3919</v>
      </c>
      <c r="E2451" t="s">
        <v>3920</v>
      </c>
      <c r="F2451" s="2" t="s">
        <v>311</v>
      </c>
      <c r="G2451" t="s">
        <v>3921</v>
      </c>
      <c r="H2451" s="2" t="s">
        <v>50</v>
      </c>
      <c r="I2451" s="2">
        <v>13</v>
      </c>
    </row>
    <row r="2452" spans="1:9" x14ac:dyDescent="0.25">
      <c r="A2452" s="1" t="s">
        <v>3932</v>
      </c>
      <c r="B2452" t="s">
        <v>3933</v>
      </c>
      <c r="C2452" s="1" t="s">
        <v>7</v>
      </c>
      <c r="D2452" s="1" t="s">
        <v>7</v>
      </c>
      <c r="E2452" t="s">
        <v>8</v>
      </c>
      <c r="F2452" s="2" t="s">
        <v>9</v>
      </c>
      <c r="G2452" t="s">
        <v>10</v>
      </c>
      <c r="H2452" s="2" t="s">
        <v>3934</v>
      </c>
      <c r="I2452" s="2">
        <v>13.92</v>
      </c>
    </row>
    <row r="2453" spans="1:9" x14ac:dyDescent="0.25">
      <c r="A2453" s="1" t="s">
        <v>3935</v>
      </c>
      <c r="B2453" t="s">
        <v>3936</v>
      </c>
      <c r="C2453" s="1" t="s">
        <v>3937</v>
      </c>
      <c r="D2453" s="1" t="s">
        <v>3937</v>
      </c>
      <c r="E2453" t="s">
        <v>3938</v>
      </c>
      <c r="F2453" s="2" t="s">
        <v>1896</v>
      </c>
      <c r="G2453" t="s">
        <v>5</v>
      </c>
      <c r="H2453" s="2" t="s">
        <v>50</v>
      </c>
      <c r="I2453" s="2">
        <v>16.5</v>
      </c>
    </row>
    <row r="2454" spans="1:9" x14ac:dyDescent="0.25">
      <c r="A2454" s="1" t="s">
        <v>3935</v>
      </c>
      <c r="B2454" t="s">
        <v>3936</v>
      </c>
      <c r="C2454" s="1" t="s">
        <v>7</v>
      </c>
      <c r="D2454" s="1" t="s">
        <v>7</v>
      </c>
      <c r="E2454" t="s">
        <v>8</v>
      </c>
      <c r="F2454" s="2" t="s">
        <v>9</v>
      </c>
      <c r="G2454" t="s">
        <v>10</v>
      </c>
      <c r="H2454" s="2" t="s">
        <v>3074</v>
      </c>
      <c r="I2454" s="2">
        <v>7.67</v>
      </c>
    </row>
    <row r="2455" spans="1:9" x14ac:dyDescent="0.25">
      <c r="A2455" s="1" t="s">
        <v>3939</v>
      </c>
      <c r="B2455" t="s">
        <v>3940</v>
      </c>
      <c r="C2455" s="1" t="s">
        <v>3941</v>
      </c>
      <c r="D2455" s="1" t="s">
        <v>3941</v>
      </c>
      <c r="E2455" t="s">
        <v>3942</v>
      </c>
      <c r="F2455" s="2" t="s">
        <v>311</v>
      </c>
      <c r="G2455" t="s">
        <v>5</v>
      </c>
      <c r="H2455" s="2" t="s">
        <v>3943</v>
      </c>
      <c r="I2455" s="2">
        <v>0.75</v>
      </c>
    </row>
    <row r="2456" spans="1:9" x14ac:dyDescent="0.25">
      <c r="A2456" s="1" t="s">
        <v>3939</v>
      </c>
      <c r="B2456" t="s">
        <v>3940</v>
      </c>
      <c r="C2456" s="1" t="s">
        <v>7</v>
      </c>
      <c r="D2456" s="1" t="s">
        <v>7</v>
      </c>
      <c r="E2456" t="s">
        <v>8</v>
      </c>
      <c r="F2456" s="2" t="s">
        <v>9</v>
      </c>
      <c r="G2456" t="s">
        <v>10</v>
      </c>
      <c r="H2456" s="2" t="s">
        <v>3074</v>
      </c>
      <c r="I2456" s="2">
        <v>7.67</v>
      </c>
    </row>
    <row r="2457" spans="1:9" x14ac:dyDescent="0.25">
      <c r="A2457" s="1" t="s">
        <v>3944</v>
      </c>
      <c r="B2457" t="s">
        <v>3945</v>
      </c>
      <c r="C2457" s="1" t="s">
        <v>3946</v>
      </c>
      <c r="D2457" s="1" t="s">
        <v>3946</v>
      </c>
      <c r="E2457" t="s">
        <v>3947</v>
      </c>
      <c r="F2457" s="2" t="s">
        <v>3948</v>
      </c>
      <c r="G2457" t="s">
        <v>49</v>
      </c>
      <c r="H2457" s="2" t="s">
        <v>50</v>
      </c>
      <c r="I2457" s="2">
        <v>8.41</v>
      </c>
    </row>
    <row r="2458" spans="1:9" x14ac:dyDescent="0.25">
      <c r="A2458" s="1" t="s">
        <v>3944</v>
      </c>
      <c r="B2458" t="s">
        <v>3945</v>
      </c>
      <c r="C2458" s="1" t="s">
        <v>3949</v>
      </c>
      <c r="D2458" s="1" t="s">
        <v>3949</v>
      </c>
      <c r="E2458" t="s">
        <v>3950</v>
      </c>
      <c r="F2458" s="2" t="s">
        <v>3951</v>
      </c>
      <c r="G2458" t="s">
        <v>39</v>
      </c>
      <c r="H2458" s="2" t="s">
        <v>605</v>
      </c>
      <c r="I2458" s="2">
        <v>0.81</v>
      </c>
    </row>
    <row r="2459" spans="1:9" x14ac:dyDescent="0.25">
      <c r="A2459" s="1" t="s">
        <v>3944</v>
      </c>
      <c r="B2459" t="s">
        <v>3945</v>
      </c>
      <c r="C2459" s="1" t="s">
        <v>1854</v>
      </c>
      <c r="D2459" s="1" t="s">
        <v>1854</v>
      </c>
      <c r="E2459" t="s">
        <v>1855</v>
      </c>
      <c r="F2459" s="2" t="s">
        <v>1856</v>
      </c>
      <c r="G2459" t="s">
        <v>1857</v>
      </c>
      <c r="H2459" s="2" t="s">
        <v>1253</v>
      </c>
      <c r="I2459" s="2">
        <v>0.02</v>
      </c>
    </row>
    <row r="2460" spans="1:9" x14ac:dyDescent="0.25">
      <c r="A2460" s="1" t="s">
        <v>3944</v>
      </c>
      <c r="B2460" t="s">
        <v>3945</v>
      </c>
      <c r="C2460" s="1" t="s">
        <v>3952</v>
      </c>
      <c r="D2460" s="1" t="s">
        <v>3952</v>
      </c>
      <c r="E2460" t="s">
        <v>3953</v>
      </c>
      <c r="F2460" s="2" t="s">
        <v>216</v>
      </c>
      <c r="G2460" t="s">
        <v>5</v>
      </c>
      <c r="H2460" s="2" t="s">
        <v>3954</v>
      </c>
      <c r="I2460" s="2">
        <v>0.02</v>
      </c>
    </row>
    <row r="2461" spans="1:9" x14ac:dyDescent="0.25">
      <c r="A2461" s="1" t="s">
        <v>3944</v>
      </c>
      <c r="B2461" t="s">
        <v>3945</v>
      </c>
      <c r="C2461" s="1" t="s">
        <v>3955</v>
      </c>
      <c r="D2461" s="1" t="s">
        <v>3955</v>
      </c>
      <c r="E2461" t="s">
        <v>3956</v>
      </c>
      <c r="F2461" s="2" t="s">
        <v>3957</v>
      </c>
      <c r="G2461" t="s">
        <v>39</v>
      </c>
      <c r="H2461" s="2" t="s">
        <v>605</v>
      </c>
      <c r="I2461" s="2">
        <v>0.75</v>
      </c>
    </row>
    <row r="2462" spans="1:9" x14ac:dyDescent="0.25">
      <c r="A2462" s="1" t="s">
        <v>3944</v>
      </c>
      <c r="B2462" t="s">
        <v>3945</v>
      </c>
      <c r="C2462" s="1" t="s">
        <v>587</v>
      </c>
      <c r="D2462" s="1" t="s">
        <v>587</v>
      </c>
      <c r="E2462" t="s">
        <v>588</v>
      </c>
      <c r="F2462" s="2" t="s">
        <v>191</v>
      </c>
      <c r="G2462" t="s">
        <v>5</v>
      </c>
      <c r="H2462" s="2" t="s">
        <v>3958</v>
      </c>
      <c r="I2462" s="2">
        <v>0.03</v>
      </c>
    </row>
    <row r="2463" spans="1:9" x14ac:dyDescent="0.25">
      <c r="A2463" s="1" t="s">
        <v>3944</v>
      </c>
      <c r="B2463" t="s">
        <v>3945</v>
      </c>
      <c r="C2463" s="1" t="s">
        <v>2844</v>
      </c>
      <c r="D2463" s="1" t="s">
        <v>2844</v>
      </c>
      <c r="E2463" t="s">
        <v>2845</v>
      </c>
      <c r="F2463" s="2" t="s">
        <v>1005</v>
      </c>
      <c r="G2463" t="s">
        <v>5</v>
      </c>
      <c r="H2463" s="2" t="s">
        <v>2213</v>
      </c>
      <c r="I2463" s="2">
        <v>0.01</v>
      </c>
    </row>
    <row r="2464" spans="1:9" x14ac:dyDescent="0.25">
      <c r="A2464" s="1" t="s">
        <v>3944</v>
      </c>
      <c r="B2464" t="s">
        <v>3945</v>
      </c>
      <c r="C2464" s="1" t="s">
        <v>3959</v>
      </c>
      <c r="D2464" s="1" t="s">
        <v>3959</v>
      </c>
      <c r="E2464" t="s">
        <v>3960</v>
      </c>
      <c r="F2464" s="2" t="s">
        <v>3961</v>
      </c>
      <c r="G2464" t="s">
        <v>39</v>
      </c>
      <c r="H2464" s="2" t="s">
        <v>605</v>
      </c>
      <c r="I2464" s="2">
        <v>0.14000000000000001</v>
      </c>
    </row>
    <row r="2465" spans="1:10" x14ac:dyDescent="0.25">
      <c r="A2465" s="1" t="s">
        <v>3944</v>
      </c>
      <c r="B2465" t="s">
        <v>3945</v>
      </c>
      <c r="C2465" s="1" t="s">
        <v>41</v>
      </c>
      <c r="D2465" s="1" t="s">
        <v>41</v>
      </c>
      <c r="E2465" t="s">
        <v>42</v>
      </c>
      <c r="F2465" s="2" t="s">
        <v>43</v>
      </c>
      <c r="G2465" t="s">
        <v>5</v>
      </c>
      <c r="H2465" s="2" t="s">
        <v>3962</v>
      </c>
      <c r="I2465" s="2">
        <v>0.06</v>
      </c>
    </row>
    <row r="2466" spans="1:10" x14ac:dyDescent="0.25">
      <c r="A2466" s="1" t="s">
        <v>3944</v>
      </c>
      <c r="B2466" t="s">
        <v>3945</v>
      </c>
      <c r="C2466" s="1" t="s">
        <v>3963</v>
      </c>
      <c r="D2466" s="1" t="s">
        <v>3963</v>
      </c>
      <c r="E2466" t="s">
        <v>3964</v>
      </c>
      <c r="F2466" s="2" t="s">
        <v>54</v>
      </c>
      <c r="G2466" t="s">
        <v>49</v>
      </c>
      <c r="H2466" s="2" t="s">
        <v>50</v>
      </c>
      <c r="I2466" s="2">
        <v>3.8</v>
      </c>
    </row>
    <row r="2467" spans="1:10" x14ac:dyDescent="0.25">
      <c r="A2467" s="1" t="s">
        <v>3944</v>
      </c>
      <c r="B2467" t="s">
        <v>3945</v>
      </c>
      <c r="C2467" s="1" t="s">
        <v>2680</v>
      </c>
      <c r="D2467" s="1" t="s">
        <v>2666</v>
      </c>
      <c r="E2467" t="s">
        <v>2667</v>
      </c>
      <c r="F2467" s="2" t="s">
        <v>2681</v>
      </c>
      <c r="G2467" t="s">
        <v>49</v>
      </c>
      <c r="H2467" s="2" t="s">
        <v>50</v>
      </c>
      <c r="I2467" s="2">
        <v>106.05</v>
      </c>
      <c r="J2467" t="s">
        <v>51</v>
      </c>
    </row>
    <row r="2468" spans="1:10" x14ac:dyDescent="0.25">
      <c r="A2468" s="1" t="s">
        <v>3944</v>
      </c>
      <c r="B2468" t="s">
        <v>3945</v>
      </c>
      <c r="C2468" s="1" t="s">
        <v>3932</v>
      </c>
      <c r="D2468" s="1" t="s">
        <v>3932</v>
      </c>
      <c r="E2468" t="s">
        <v>3933</v>
      </c>
      <c r="F2468" s="2" t="s">
        <v>3965</v>
      </c>
      <c r="G2468" t="s">
        <v>49</v>
      </c>
      <c r="H2468" s="2" t="s">
        <v>50</v>
      </c>
      <c r="I2468" s="2">
        <v>26.92</v>
      </c>
      <c r="J2468" t="s">
        <v>55</v>
      </c>
    </row>
    <row r="2469" spans="1:10" x14ac:dyDescent="0.25">
      <c r="A2469" s="1" t="s">
        <v>3944</v>
      </c>
      <c r="B2469" t="s">
        <v>3945</v>
      </c>
      <c r="C2469" s="1" t="s">
        <v>7</v>
      </c>
      <c r="D2469" s="1" t="s">
        <v>7</v>
      </c>
      <c r="E2469" t="s">
        <v>8</v>
      </c>
      <c r="F2469" s="2" t="s">
        <v>9</v>
      </c>
      <c r="G2469" t="s">
        <v>10</v>
      </c>
      <c r="H2469" s="2" t="s">
        <v>3966</v>
      </c>
      <c r="I2469" s="2">
        <v>6.07</v>
      </c>
    </row>
    <row r="2470" spans="1:10" x14ac:dyDescent="0.25">
      <c r="A2470" s="1" t="s">
        <v>3967</v>
      </c>
      <c r="B2470" t="s">
        <v>3968</v>
      </c>
      <c r="C2470" s="1" t="s">
        <v>2458</v>
      </c>
      <c r="D2470" s="1" t="s">
        <v>2458</v>
      </c>
      <c r="E2470" t="s">
        <v>2459</v>
      </c>
      <c r="F2470" s="2" t="s">
        <v>384</v>
      </c>
      <c r="G2470" t="s">
        <v>5</v>
      </c>
      <c r="H2470" s="2" t="s">
        <v>367</v>
      </c>
      <c r="I2470" s="2">
        <v>0.55000000000000004</v>
      </c>
    </row>
    <row r="2471" spans="1:10" x14ac:dyDescent="0.25">
      <c r="A2471" s="1" t="s">
        <v>3967</v>
      </c>
      <c r="B2471" t="s">
        <v>3968</v>
      </c>
      <c r="C2471" s="1" t="s">
        <v>432</v>
      </c>
      <c r="D2471" s="1" t="s">
        <v>432</v>
      </c>
      <c r="E2471" t="s">
        <v>433</v>
      </c>
      <c r="F2471" s="2" t="s">
        <v>434</v>
      </c>
      <c r="G2471" t="s">
        <v>435</v>
      </c>
      <c r="H2471" s="2" t="s">
        <v>50</v>
      </c>
      <c r="I2471" s="2">
        <v>1.1000000000000001</v>
      </c>
    </row>
    <row r="2472" spans="1:10" x14ac:dyDescent="0.25">
      <c r="A2472" s="1" t="s">
        <v>3967</v>
      </c>
      <c r="B2472" t="s">
        <v>3968</v>
      </c>
      <c r="C2472" s="1" t="s">
        <v>7</v>
      </c>
      <c r="D2472" s="1" t="s">
        <v>7</v>
      </c>
      <c r="E2472" t="s">
        <v>8</v>
      </c>
      <c r="F2472" s="2" t="s">
        <v>9</v>
      </c>
      <c r="G2472" t="s">
        <v>10</v>
      </c>
      <c r="H2472" s="2" t="s">
        <v>601</v>
      </c>
      <c r="I2472" s="2">
        <v>6.9</v>
      </c>
    </row>
    <row r="2473" spans="1:10" x14ac:dyDescent="0.25">
      <c r="A2473" s="1" t="s">
        <v>3969</v>
      </c>
      <c r="B2473" t="s">
        <v>3970</v>
      </c>
      <c r="C2473" s="1" t="s">
        <v>1203</v>
      </c>
      <c r="D2473" s="1" t="s">
        <v>1203</v>
      </c>
      <c r="E2473" t="s">
        <v>1204</v>
      </c>
      <c r="F2473" s="2" t="s">
        <v>216</v>
      </c>
      <c r="G2473" t="s">
        <v>5</v>
      </c>
      <c r="H2473" s="2" t="s">
        <v>3971</v>
      </c>
      <c r="I2473" s="2">
        <v>0.45</v>
      </c>
    </row>
    <row r="2474" spans="1:10" x14ac:dyDescent="0.25">
      <c r="A2474" s="1" t="s">
        <v>3969</v>
      </c>
      <c r="B2474" t="s">
        <v>3970</v>
      </c>
      <c r="C2474" s="1" t="s">
        <v>432</v>
      </c>
      <c r="D2474" s="1" t="s">
        <v>432</v>
      </c>
      <c r="E2474" t="s">
        <v>433</v>
      </c>
      <c r="F2474" s="2" t="s">
        <v>434</v>
      </c>
      <c r="G2474" t="s">
        <v>435</v>
      </c>
      <c r="H2474" s="2" t="s">
        <v>50</v>
      </c>
      <c r="I2474" s="2">
        <v>1.1000000000000001</v>
      </c>
    </row>
    <row r="2475" spans="1:10" x14ac:dyDescent="0.25">
      <c r="A2475" s="1" t="s">
        <v>3969</v>
      </c>
      <c r="B2475" t="s">
        <v>3970</v>
      </c>
      <c r="C2475" s="1" t="s">
        <v>7</v>
      </c>
      <c r="D2475" s="1" t="s">
        <v>7</v>
      </c>
      <c r="E2475" t="s">
        <v>8</v>
      </c>
      <c r="F2475" s="2" t="s">
        <v>9</v>
      </c>
      <c r="G2475" t="s">
        <v>10</v>
      </c>
      <c r="H2475" s="2" t="s">
        <v>33</v>
      </c>
      <c r="I2475" s="2">
        <v>9.1999999999999993</v>
      </c>
    </row>
    <row r="2476" spans="1:10" x14ac:dyDescent="0.25">
      <c r="A2476" s="1" t="s">
        <v>3972</v>
      </c>
      <c r="B2476" t="s">
        <v>3973</v>
      </c>
      <c r="C2476" s="1" t="s">
        <v>3974</v>
      </c>
      <c r="D2476" s="1" t="s">
        <v>3974</v>
      </c>
      <c r="E2476" t="s">
        <v>3975</v>
      </c>
      <c r="F2476" s="2" t="s">
        <v>3976</v>
      </c>
      <c r="G2476" t="s">
        <v>121</v>
      </c>
      <c r="H2476" s="2" t="s">
        <v>50</v>
      </c>
      <c r="I2476" s="2">
        <v>2.2000000000000002</v>
      </c>
    </row>
    <row r="2477" spans="1:10" x14ac:dyDescent="0.25">
      <c r="A2477" s="1" t="s">
        <v>3972</v>
      </c>
      <c r="B2477" t="s">
        <v>3973</v>
      </c>
      <c r="C2477" s="1" t="s">
        <v>3977</v>
      </c>
      <c r="D2477" s="1" t="s">
        <v>3977</v>
      </c>
      <c r="E2477" t="s">
        <v>3978</v>
      </c>
      <c r="F2477" s="2" t="s">
        <v>3976</v>
      </c>
      <c r="G2477" t="s">
        <v>121</v>
      </c>
      <c r="H2477" s="2" t="s">
        <v>50</v>
      </c>
      <c r="I2477" s="2">
        <v>2.2000000000000002</v>
      </c>
    </row>
    <row r="2478" spans="1:10" x14ac:dyDescent="0.25">
      <c r="A2478" s="1" t="s">
        <v>3972</v>
      </c>
      <c r="B2478" t="s">
        <v>3973</v>
      </c>
      <c r="C2478" s="1" t="s">
        <v>7</v>
      </c>
      <c r="D2478" s="1" t="s">
        <v>7</v>
      </c>
      <c r="E2478" t="s">
        <v>8</v>
      </c>
      <c r="F2478" s="2" t="s">
        <v>9</v>
      </c>
      <c r="G2478" t="s">
        <v>10</v>
      </c>
      <c r="H2478" s="2" t="s">
        <v>3979</v>
      </c>
      <c r="I2478" s="2">
        <v>19.100000000000001</v>
      </c>
    </row>
    <row r="2479" spans="1:10" x14ac:dyDescent="0.25">
      <c r="A2479" s="1" t="s">
        <v>385</v>
      </c>
      <c r="B2479" t="s">
        <v>386</v>
      </c>
      <c r="C2479" s="1" t="s">
        <v>1203</v>
      </c>
      <c r="D2479" s="1" t="s">
        <v>1203</v>
      </c>
      <c r="E2479" t="s">
        <v>1204</v>
      </c>
      <c r="F2479" s="2" t="s">
        <v>1232</v>
      </c>
      <c r="G2479" t="s">
        <v>5</v>
      </c>
      <c r="H2479" s="2" t="s">
        <v>3785</v>
      </c>
      <c r="I2479" s="2">
        <v>0.2</v>
      </c>
    </row>
    <row r="2480" spans="1:10" x14ac:dyDescent="0.25">
      <c r="A2480" s="1" t="s">
        <v>385</v>
      </c>
      <c r="B2480" t="s">
        <v>386</v>
      </c>
      <c r="C2480" s="1" t="s">
        <v>432</v>
      </c>
      <c r="D2480" s="1" t="s">
        <v>432</v>
      </c>
      <c r="E2480" t="s">
        <v>433</v>
      </c>
      <c r="F2480" s="2" t="s">
        <v>434</v>
      </c>
      <c r="G2480" t="s">
        <v>435</v>
      </c>
      <c r="H2480" s="2" t="s">
        <v>50</v>
      </c>
      <c r="I2480" s="2">
        <v>1.1000000000000001</v>
      </c>
    </row>
    <row r="2481" spans="1:9" x14ac:dyDescent="0.25">
      <c r="A2481" s="1" t="s">
        <v>385</v>
      </c>
      <c r="B2481" t="s">
        <v>386</v>
      </c>
      <c r="C2481" s="1" t="s">
        <v>7</v>
      </c>
      <c r="D2481" s="1" t="s">
        <v>7</v>
      </c>
      <c r="E2481" t="s">
        <v>8</v>
      </c>
      <c r="F2481" s="2" t="s">
        <v>9</v>
      </c>
      <c r="G2481" t="s">
        <v>10</v>
      </c>
      <c r="H2481" s="2" t="s">
        <v>594</v>
      </c>
      <c r="I2481" s="2">
        <v>11.5</v>
      </c>
    </row>
    <row r="2482" spans="1:9" x14ac:dyDescent="0.25">
      <c r="A2482" s="1" t="s">
        <v>387</v>
      </c>
      <c r="B2482" t="s">
        <v>388</v>
      </c>
      <c r="C2482" s="1" t="s">
        <v>1162</v>
      </c>
      <c r="D2482" s="1" t="s">
        <v>1162</v>
      </c>
      <c r="E2482" t="s">
        <v>1163</v>
      </c>
      <c r="F2482" s="2" t="s">
        <v>1164</v>
      </c>
      <c r="G2482" t="s">
        <v>5</v>
      </c>
      <c r="H2482" s="2" t="s">
        <v>3980</v>
      </c>
      <c r="I2482" s="2">
        <v>0.25</v>
      </c>
    </row>
    <row r="2483" spans="1:9" x14ac:dyDescent="0.25">
      <c r="A2483" s="1" t="s">
        <v>387</v>
      </c>
      <c r="B2483" t="s">
        <v>388</v>
      </c>
      <c r="C2483" s="1" t="s">
        <v>3981</v>
      </c>
      <c r="D2483" s="1" t="s">
        <v>3981</v>
      </c>
      <c r="E2483" t="s">
        <v>3982</v>
      </c>
      <c r="F2483" s="2" t="s">
        <v>3983</v>
      </c>
      <c r="G2483" t="s">
        <v>5</v>
      </c>
      <c r="H2483" s="2" t="s">
        <v>3984</v>
      </c>
      <c r="I2483" s="2">
        <v>0.15</v>
      </c>
    </row>
    <row r="2484" spans="1:9" x14ac:dyDescent="0.25">
      <c r="A2484" s="1" t="s">
        <v>387</v>
      </c>
      <c r="B2484" t="s">
        <v>388</v>
      </c>
      <c r="C2484" s="1" t="s">
        <v>432</v>
      </c>
      <c r="D2484" s="1" t="s">
        <v>432</v>
      </c>
      <c r="E2484" t="s">
        <v>433</v>
      </c>
      <c r="F2484" s="2" t="s">
        <v>434</v>
      </c>
      <c r="G2484" t="s">
        <v>435</v>
      </c>
      <c r="H2484" s="2" t="s">
        <v>50</v>
      </c>
      <c r="I2484" s="2">
        <v>1.1000000000000001</v>
      </c>
    </row>
    <row r="2485" spans="1:9" x14ac:dyDescent="0.25">
      <c r="A2485" s="1" t="s">
        <v>387</v>
      </c>
      <c r="B2485" t="s">
        <v>388</v>
      </c>
      <c r="C2485" s="1" t="s">
        <v>7</v>
      </c>
      <c r="D2485" s="1" t="s">
        <v>7</v>
      </c>
      <c r="E2485" t="s">
        <v>8</v>
      </c>
      <c r="F2485" s="2" t="s">
        <v>9</v>
      </c>
      <c r="G2485" t="s">
        <v>10</v>
      </c>
      <c r="H2485" s="2" t="s">
        <v>3985</v>
      </c>
      <c r="I2485" s="2">
        <v>7.4</v>
      </c>
    </row>
    <row r="2486" spans="1:9" x14ac:dyDescent="0.25">
      <c r="A2486" s="1" t="s">
        <v>389</v>
      </c>
      <c r="B2486" t="s">
        <v>390</v>
      </c>
      <c r="C2486" s="1" t="s">
        <v>3986</v>
      </c>
      <c r="D2486" s="1" t="s">
        <v>3986</v>
      </c>
      <c r="E2486" t="s">
        <v>3987</v>
      </c>
      <c r="F2486" s="2" t="s">
        <v>3988</v>
      </c>
      <c r="G2486" t="s">
        <v>5</v>
      </c>
      <c r="H2486" s="2" t="s">
        <v>3989</v>
      </c>
      <c r="I2486" s="2">
        <v>1.25</v>
      </c>
    </row>
    <row r="2487" spans="1:9" x14ac:dyDescent="0.25">
      <c r="A2487" s="1" t="s">
        <v>389</v>
      </c>
      <c r="B2487" t="s">
        <v>390</v>
      </c>
      <c r="C2487" s="1" t="s">
        <v>432</v>
      </c>
      <c r="D2487" s="1" t="s">
        <v>432</v>
      </c>
      <c r="E2487" t="s">
        <v>433</v>
      </c>
      <c r="F2487" s="2" t="s">
        <v>434</v>
      </c>
      <c r="G2487" t="s">
        <v>435</v>
      </c>
      <c r="H2487" s="2" t="s">
        <v>50</v>
      </c>
      <c r="I2487" s="2">
        <v>1.1000000000000001</v>
      </c>
    </row>
    <row r="2488" spans="1:9" x14ac:dyDescent="0.25">
      <c r="A2488" s="1" t="s">
        <v>389</v>
      </c>
      <c r="B2488" t="s">
        <v>390</v>
      </c>
      <c r="C2488" s="1" t="s">
        <v>7</v>
      </c>
      <c r="D2488" s="1" t="s">
        <v>7</v>
      </c>
      <c r="E2488" t="s">
        <v>8</v>
      </c>
      <c r="F2488" s="2" t="s">
        <v>9</v>
      </c>
      <c r="G2488" t="s">
        <v>10</v>
      </c>
      <c r="H2488" s="2" t="s">
        <v>3990</v>
      </c>
      <c r="I2488" s="2">
        <v>9.4</v>
      </c>
    </row>
    <row r="2489" spans="1:9" x14ac:dyDescent="0.25">
      <c r="A2489" s="1" t="s">
        <v>392</v>
      </c>
      <c r="B2489" t="s">
        <v>393</v>
      </c>
      <c r="C2489" s="1" t="s">
        <v>1074</v>
      </c>
      <c r="D2489" s="1" t="s">
        <v>1074</v>
      </c>
      <c r="E2489" t="s">
        <v>1075</v>
      </c>
      <c r="F2489" s="2" t="s">
        <v>1884</v>
      </c>
      <c r="G2489" t="s">
        <v>5</v>
      </c>
      <c r="H2489" s="2" t="s">
        <v>1070</v>
      </c>
      <c r="I2489" s="2">
        <v>0.1</v>
      </c>
    </row>
    <row r="2490" spans="1:9" x14ac:dyDescent="0.25">
      <c r="A2490" s="1" t="s">
        <v>392</v>
      </c>
      <c r="B2490" t="s">
        <v>393</v>
      </c>
      <c r="C2490" s="1" t="s">
        <v>7</v>
      </c>
      <c r="D2490" s="1" t="s">
        <v>7</v>
      </c>
      <c r="E2490" t="s">
        <v>8</v>
      </c>
      <c r="F2490" s="2" t="s">
        <v>9</v>
      </c>
      <c r="G2490" t="s">
        <v>10</v>
      </c>
      <c r="H2490" s="2" t="s">
        <v>1141</v>
      </c>
      <c r="I2490" s="2">
        <v>5.75</v>
      </c>
    </row>
    <row r="2491" spans="1:9" x14ac:dyDescent="0.25">
      <c r="A2491" s="1" t="s">
        <v>395</v>
      </c>
      <c r="B2491" t="s">
        <v>396</v>
      </c>
      <c r="C2491" s="1" t="s">
        <v>1074</v>
      </c>
      <c r="D2491" s="1" t="s">
        <v>1074</v>
      </c>
      <c r="E2491" t="s">
        <v>1075</v>
      </c>
      <c r="F2491" s="2" t="s">
        <v>1884</v>
      </c>
      <c r="G2491" t="s">
        <v>5</v>
      </c>
      <c r="H2491" s="2" t="s">
        <v>1070</v>
      </c>
      <c r="I2491" s="2">
        <v>0.1</v>
      </c>
    </row>
    <row r="2492" spans="1:9" x14ac:dyDescent="0.25">
      <c r="A2492" s="1" t="s">
        <v>395</v>
      </c>
      <c r="B2492" t="s">
        <v>396</v>
      </c>
      <c r="C2492" s="1" t="s">
        <v>7</v>
      </c>
      <c r="D2492" s="1" t="s">
        <v>7</v>
      </c>
      <c r="E2492" t="s">
        <v>8</v>
      </c>
      <c r="F2492" s="2" t="s">
        <v>9</v>
      </c>
      <c r="G2492" t="s">
        <v>10</v>
      </c>
      <c r="H2492" s="2" t="s">
        <v>1096</v>
      </c>
      <c r="I2492" s="2">
        <v>4.7</v>
      </c>
    </row>
    <row r="2493" spans="1:9" x14ac:dyDescent="0.25">
      <c r="A2493" s="1" t="s">
        <v>398</v>
      </c>
      <c r="B2493" t="s">
        <v>399</v>
      </c>
      <c r="C2493" s="1" t="s">
        <v>1117</v>
      </c>
      <c r="D2493" s="1" t="s">
        <v>1117</v>
      </c>
      <c r="E2493" t="s">
        <v>1118</v>
      </c>
      <c r="F2493" s="2" t="s">
        <v>876</v>
      </c>
      <c r="G2493" t="s">
        <v>5</v>
      </c>
      <c r="H2493" s="2" t="s">
        <v>3991</v>
      </c>
      <c r="I2493" s="2">
        <v>0.85</v>
      </c>
    </row>
    <row r="2494" spans="1:9" x14ac:dyDescent="0.25">
      <c r="A2494" s="1" t="s">
        <v>398</v>
      </c>
      <c r="B2494" t="s">
        <v>399</v>
      </c>
      <c r="C2494" s="1" t="s">
        <v>432</v>
      </c>
      <c r="D2494" s="1" t="s">
        <v>432</v>
      </c>
      <c r="E2494" t="s">
        <v>433</v>
      </c>
      <c r="F2494" s="2" t="s">
        <v>434</v>
      </c>
      <c r="G2494" t="s">
        <v>435</v>
      </c>
      <c r="H2494" s="2" t="s">
        <v>50</v>
      </c>
      <c r="I2494" s="2">
        <v>1.1000000000000001</v>
      </c>
    </row>
    <row r="2495" spans="1:9" x14ac:dyDescent="0.25">
      <c r="A2495" s="1" t="s">
        <v>398</v>
      </c>
      <c r="B2495" t="s">
        <v>399</v>
      </c>
      <c r="C2495" s="1" t="s">
        <v>7</v>
      </c>
      <c r="D2495" s="1" t="s">
        <v>7</v>
      </c>
      <c r="E2495" t="s">
        <v>8</v>
      </c>
      <c r="F2495" s="2" t="s">
        <v>9</v>
      </c>
      <c r="G2495" t="s">
        <v>10</v>
      </c>
      <c r="H2495" s="2" t="s">
        <v>1071</v>
      </c>
      <c r="I2495" s="2">
        <v>3.95</v>
      </c>
    </row>
    <row r="2496" spans="1:9" x14ac:dyDescent="0.25">
      <c r="A2496" s="1" t="s">
        <v>401</v>
      </c>
      <c r="B2496" t="s">
        <v>402</v>
      </c>
      <c r="C2496" s="1" t="s">
        <v>1117</v>
      </c>
      <c r="D2496" s="1" t="s">
        <v>1117</v>
      </c>
      <c r="E2496" t="s">
        <v>1118</v>
      </c>
      <c r="F2496" s="2" t="s">
        <v>876</v>
      </c>
      <c r="G2496" t="s">
        <v>5</v>
      </c>
      <c r="H2496" s="2" t="s">
        <v>367</v>
      </c>
      <c r="I2496" s="2">
        <v>0.6</v>
      </c>
    </row>
    <row r="2497" spans="1:9" x14ac:dyDescent="0.25">
      <c r="A2497" s="1" t="s">
        <v>401</v>
      </c>
      <c r="B2497" t="s">
        <v>402</v>
      </c>
      <c r="C2497" s="1" t="s">
        <v>432</v>
      </c>
      <c r="D2497" s="1" t="s">
        <v>432</v>
      </c>
      <c r="E2497" t="s">
        <v>433</v>
      </c>
      <c r="F2497" s="2" t="s">
        <v>434</v>
      </c>
      <c r="G2497" t="s">
        <v>435</v>
      </c>
      <c r="H2497" s="2" t="s">
        <v>50</v>
      </c>
      <c r="I2497" s="2">
        <v>1.1000000000000001</v>
      </c>
    </row>
    <row r="2498" spans="1:9" x14ac:dyDescent="0.25">
      <c r="A2498" s="1" t="s">
        <v>401</v>
      </c>
      <c r="B2498" t="s">
        <v>402</v>
      </c>
      <c r="C2498" s="1" t="s">
        <v>7</v>
      </c>
      <c r="D2498" s="1" t="s">
        <v>7</v>
      </c>
      <c r="E2498" t="s">
        <v>8</v>
      </c>
      <c r="F2498" s="2" t="s">
        <v>9</v>
      </c>
      <c r="G2498" t="s">
        <v>10</v>
      </c>
      <c r="H2498" s="2" t="s">
        <v>3992</v>
      </c>
      <c r="I2498" s="2">
        <v>4.3</v>
      </c>
    </row>
    <row r="2499" spans="1:9" x14ac:dyDescent="0.25">
      <c r="A2499" s="1" t="s">
        <v>3993</v>
      </c>
      <c r="B2499" t="s">
        <v>3994</v>
      </c>
      <c r="C2499" s="1" t="s">
        <v>7</v>
      </c>
      <c r="D2499" s="1" t="s">
        <v>7</v>
      </c>
      <c r="E2499" t="s">
        <v>8</v>
      </c>
      <c r="F2499" s="2" t="s">
        <v>9</v>
      </c>
      <c r="G2499" t="s">
        <v>10</v>
      </c>
      <c r="H2499" s="2" t="s">
        <v>19</v>
      </c>
      <c r="I2499" s="2">
        <v>4.5999999999999996</v>
      </c>
    </row>
    <row r="2500" spans="1:9" x14ac:dyDescent="0.25">
      <c r="A2500" s="1" t="s">
        <v>269</v>
      </c>
      <c r="B2500" t="s">
        <v>270</v>
      </c>
      <c r="C2500" s="1" t="s">
        <v>1487</v>
      </c>
      <c r="D2500" s="1" t="s">
        <v>1487</v>
      </c>
      <c r="E2500" t="s">
        <v>1488</v>
      </c>
      <c r="F2500" s="2" t="s">
        <v>31</v>
      </c>
      <c r="G2500" t="s">
        <v>5</v>
      </c>
      <c r="H2500" s="2" t="s">
        <v>594</v>
      </c>
      <c r="I2500" s="2">
        <v>2.65</v>
      </c>
    </row>
    <row r="2501" spans="1:9" x14ac:dyDescent="0.25">
      <c r="A2501" s="1" t="s">
        <v>269</v>
      </c>
      <c r="B2501" t="s">
        <v>270</v>
      </c>
      <c r="C2501" s="1" t="s">
        <v>432</v>
      </c>
      <c r="D2501" s="1" t="s">
        <v>432</v>
      </c>
      <c r="E2501" t="s">
        <v>433</v>
      </c>
      <c r="F2501" s="2" t="s">
        <v>434</v>
      </c>
      <c r="G2501" t="s">
        <v>435</v>
      </c>
      <c r="H2501" s="2" t="s">
        <v>50</v>
      </c>
      <c r="I2501" s="2">
        <v>1.1000000000000001</v>
      </c>
    </row>
    <row r="2502" spans="1:9" x14ac:dyDescent="0.25">
      <c r="A2502" s="1" t="s">
        <v>269</v>
      </c>
      <c r="B2502" t="s">
        <v>270</v>
      </c>
      <c r="C2502" s="1" t="s">
        <v>7</v>
      </c>
      <c r="D2502" s="1" t="s">
        <v>7</v>
      </c>
      <c r="E2502" t="s">
        <v>8</v>
      </c>
      <c r="F2502" s="2" t="s">
        <v>9</v>
      </c>
      <c r="G2502" t="s">
        <v>10</v>
      </c>
      <c r="H2502" s="2" t="s">
        <v>3995</v>
      </c>
      <c r="I2502" s="2">
        <v>9.5500000000000007</v>
      </c>
    </row>
    <row r="2503" spans="1:9" x14ac:dyDescent="0.25">
      <c r="A2503" s="1" t="s">
        <v>272</v>
      </c>
      <c r="B2503" t="s">
        <v>273</v>
      </c>
      <c r="C2503" s="1" t="s">
        <v>1487</v>
      </c>
      <c r="D2503" s="1" t="s">
        <v>1487</v>
      </c>
      <c r="E2503" t="s">
        <v>1488</v>
      </c>
      <c r="F2503" s="2" t="s">
        <v>31</v>
      </c>
      <c r="G2503" t="s">
        <v>5</v>
      </c>
      <c r="H2503" s="2" t="s">
        <v>3996</v>
      </c>
      <c r="I2503" s="2">
        <v>2.15</v>
      </c>
    </row>
    <row r="2504" spans="1:9" x14ac:dyDescent="0.25">
      <c r="A2504" s="1" t="s">
        <v>272</v>
      </c>
      <c r="B2504" t="s">
        <v>273</v>
      </c>
      <c r="C2504" s="1" t="s">
        <v>432</v>
      </c>
      <c r="D2504" s="1" t="s">
        <v>432</v>
      </c>
      <c r="E2504" t="s">
        <v>433</v>
      </c>
      <c r="F2504" s="2" t="s">
        <v>434</v>
      </c>
      <c r="G2504" t="s">
        <v>435</v>
      </c>
      <c r="H2504" s="2" t="s">
        <v>50</v>
      </c>
      <c r="I2504" s="2">
        <v>1.1000000000000001</v>
      </c>
    </row>
    <row r="2505" spans="1:9" x14ac:dyDescent="0.25">
      <c r="A2505" s="1" t="s">
        <v>272</v>
      </c>
      <c r="B2505" t="s">
        <v>273</v>
      </c>
      <c r="C2505" s="1" t="s">
        <v>7</v>
      </c>
      <c r="D2505" s="1" t="s">
        <v>7</v>
      </c>
      <c r="E2505" t="s">
        <v>8</v>
      </c>
      <c r="F2505" s="2" t="s">
        <v>9</v>
      </c>
      <c r="G2505" t="s">
        <v>10</v>
      </c>
      <c r="H2505" s="2" t="s">
        <v>1649</v>
      </c>
      <c r="I2505" s="2">
        <v>9.65</v>
      </c>
    </row>
    <row r="2506" spans="1:9" x14ac:dyDescent="0.25">
      <c r="A2506" s="1" t="s">
        <v>275</v>
      </c>
      <c r="B2506" t="s">
        <v>276</v>
      </c>
      <c r="C2506" s="1" t="s">
        <v>29</v>
      </c>
      <c r="D2506" s="1" t="s">
        <v>29</v>
      </c>
      <c r="E2506" t="s">
        <v>30</v>
      </c>
      <c r="F2506" s="2" t="s">
        <v>31</v>
      </c>
      <c r="G2506" t="s">
        <v>5</v>
      </c>
      <c r="H2506" s="2" t="s">
        <v>3997</v>
      </c>
      <c r="I2506" s="2">
        <v>1.05</v>
      </c>
    </row>
    <row r="2507" spans="1:9" x14ac:dyDescent="0.25">
      <c r="A2507" s="1" t="s">
        <v>275</v>
      </c>
      <c r="B2507" t="s">
        <v>276</v>
      </c>
      <c r="C2507" s="1" t="s">
        <v>432</v>
      </c>
      <c r="D2507" s="1" t="s">
        <v>432</v>
      </c>
      <c r="E2507" t="s">
        <v>433</v>
      </c>
      <c r="F2507" s="2" t="s">
        <v>434</v>
      </c>
      <c r="G2507" t="s">
        <v>435</v>
      </c>
      <c r="H2507" s="2" t="s">
        <v>50</v>
      </c>
      <c r="I2507" s="2">
        <v>1.1000000000000001</v>
      </c>
    </row>
    <row r="2508" spans="1:9" x14ac:dyDescent="0.25">
      <c r="A2508" s="1" t="s">
        <v>275</v>
      </c>
      <c r="B2508" t="s">
        <v>276</v>
      </c>
      <c r="C2508" s="1" t="s">
        <v>7</v>
      </c>
      <c r="D2508" s="1" t="s">
        <v>7</v>
      </c>
      <c r="E2508" t="s">
        <v>8</v>
      </c>
      <c r="F2508" s="2" t="s">
        <v>9</v>
      </c>
      <c r="G2508" t="s">
        <v>10</v>
      </c>
      <c r="H2508" s="2" t="s">
        <v>2544</v>
      </c>
      <c r="I2508" s="2">
        <v>4.9000000000000004</v>
      </c>
    </row>
    <row r="2509" spans="1:9" x14ac:dyDescent="0.25">
      <c r="A2509" s="1" t="s">
        <v>278</v>
      </c>
      <c r="B2509" t="s">
        <v>279</v>
      </c>
      <c r="C2509" s="1" t="s">
        <v>3998</v>
      </c>
      <c r="D2509" s="1" t="s">
        <v>3998</v>
      </c>
      <c r="E2509" t="s">
        <v>3999</v>
      </c>
      <c r="F2509" s="2" t="s">
        <v>1354</v>
      </c>
      <c r="G2509" t="s">
        <v>5</v>
      </c>
      <c r="H2509" s="2" t="s">
        <v>4000</v>
      </c>
      <c r="I2509" s="2">
        <v>2.85</v>
      </c>
    </row>
    <row r="2510" spans="1:9" x14ac:dyDescent="0.25">
      <c r="A2510" s="1" t="s">
        <v>278</v>
      </c>
      <c r="B2510" t="s">
        <v>279</v>
      </c>
      <c r="C2510" s="1" t="s">
        <v>7</v>
      </c>
      <c r="D2510" s="1" t="s">
        <v>7</v>
      </c>
      <c r="E2510" t="s">
        <v>8</v>
      </c>
      <c r="F2510" s="2" t="s">
        <v>9</v>
      </c>
      <c r="G2510" t="s">
        <v>10</v>
      </c>
      <c r="H2510" s="2" t="s">
        <v>2138</v>
      </c>
      <c r="I2510" s="2">
        <v>2.5499999999999998</v>
      </c>
    </row>
    <row r="2511" spans="1:9" x14ac:dyDescent="0.25">
      <c r="A2511" s="1" t="s">
        <v>280</v>
      </c>
      <c r="B2511" t="s">
        <v>281</v>
      </c>
      <c r="C2511" s="1" t="s">
        <v>3998</v>
      </c>
      <c r="D2511" s="1" t="s">
        <v>3998</v>
      </c>
      <c r="E2511" t="s">
        <v>3999</v>
      </c>
      <c r="F2511" s="2" t="s">
        <v>1354</v>
      </c>
      <c r="G2511" t="s">
        <v>5</v>
      </c>
      <c r="H2511" s="2" t="s">
        <v>4000</v>
      </c>
      <c r="I2511" s="2">
        <v>2.85</v>
      </c>
    </row>
    <row r="2512" spans="1:9" x14ac:dyDescent="0.25">
      <c r="A2512" s="1" t="s">
        <v>280</v>
      </c>
      <c r="B2512" t="s">
        <v>281</v>
      </c>
      <c r="C2512" s="1" t="s">
        <v>7</v>
      </c>
      <c r="D2512" s="1" t="s">
        <v>7</v>
      </c>
      <c r="E2512" t="s">
        <v>8</v>
      </c>
      <c r="F2512" s="2" t="s">
        <v>9</v>
      </c>
      <c r="G2512" t="s">
        <v>10</v>
      </c>
      <c r="H2512" s="2" t="s">
        <v>2138</v>
      </c>
      <c r="I2512" s="2">
        <v>2.5499999999999998</v>
      </c>
    </row>
    <row r="2513" spans="1:9" x14ac:dyDescent="0.25">
      <c r="A2513" s="1" t="s">
        <v>282</v>
      </c>
      <c r="B2513" t="s">
        <v>283</v>
      </c>
      <c r="C2513" s="1" t="s">
        <v>1188</v>
      </c>
      <c r="D2513" s="1" t="s">
        <v>1188</v>
      </c>
      <c r="E2513" t="s">
        <v>1189</v>
      </c>
      <c r="F2513" s="2" t="s">
        <v>1190</v>
      </c>
      <c r="G2513" t="s">
        <v>5</v>
      </c>
      <c r="H2513" s="2" t="s">
        <v>992</v>
      </c>
      <c r="I2513" s="2">
        <v>2.85</v>
      </c>
    </row>
    <row r="2514" spans="1:9" x14ac:dyDescent="0.25">
      <c r="A2514" s="1" t="s">
        <v>282</v>
      </c>
      <c r="B2514" t="s">
        <v>283</v>
      </c>
      <c r="C2514" s="1" t="s">
        <v>432</v>
      </c>
      <c r="D2514" s="1" t="s">
        <v>432</v>
      </c>
      <c r="E2514" t="s">
        <v>433</v>
      </c>
      <c r="F2514" s="2" t="s">
        <v>434</v>
      </c>
      <c r="G2514" t="s">
        <v>435</v>
      </c>
      <c r="H2514" s="2" t="s">
        <v>50</v>
      </c>
      <c r="I2514" s="2">
        <v>1.1000000000000001</v>
      </c>
    </row>
    <row r="2515" spans="1:9" x14ac:dyDescent="0.25">
      <c r="A2515" s="1" t="s">
        <v>282</v>
      </c>
      <c r="B2515" t="s">
        <v>283</v>
      </c>
      <c r="C2515" s="1" t="s">
        <v>7</v>
      </c>
      <c r="D2515" s="1" t="s">
        <v>7</v>
      </c>
      <c r="E2515" t="s">
        <v>8</v>
      </c>
      <c r="F2515" s="2" t="s">
        <v>9</v>
      </c>
      <c r="G2515" t="s">
        <v>10</v>
      </c>
      <c r="H2515" s="2" t="s">
        <v>1473</v>
      </c>
      <c r="I2515" s="2">
        <v>7.25</v>
      </c>
    </row>
    <row r="2516" spans="1:9" x14ac:dyDescent="0.25">
      <c r="A2516" s="1" t="s">
        <v>284</v>
      </c>
      <c r="B2516" t="s">
        <v>285</v>
      </c>
      <c r="C2516" s="1" t="s">
        <v>2</v>
      </c>
      <c r="D2516" s="1" t="s">
        <v>2</v>
      </c>
      <c r="E2516" t="s">
        <v>3</v>
      </c>
      <c r="F2516" s="2" t="s">
        <v>4</v>
      </c>
      <c r="G2516" t="s">
        <v>5</v>
      </c>
      <c r="H2516" s="2" t="s">
        <v>4001</v>
      </c>
      <c r="I2516" s="2">
        <v>0.35</v>
      </c>
    </row>
    <row r="2517" spans="1:9" x14ac:dyDescent="0.25">
      <c r="A2517" s="1" t="s">
        <v>284</v>
      </c>
      <c r="B2517" t="s">
        <v>285</v>
      </c>
      <c r="C2517" s="1" t="s">
        <v>432</v>
      </c>
      <c r="D2517" s="1" t="s">
        <v>432</v>
      </c>
      <c r="E2517" t="s">
        <v>433</v>
      </c>
      <c r="F2517" s="2" t="s">
        <v>434</v>
      </c>
      <c r="G2517" t="s">
        <v>435</v>
      </c>
      <c r="H2517" s="2" t="s">
        <v>50</v>
      </c>
      <c r="I2517" s="2">
        <v>1.1000000000000001</v>
      </c>
    </row>
    <row r="2518" spans="1:9" x14ac:dyDescent="0.25">
      <c r="A2518" s="1" t="s">
        <v>284</v>
      </c>
      <c r="B2518" t="s">
        <v>285</v>
      </c>
      <c r="C2518" s="1" t="s">
        <v>7</v>
      </c>
      <c r="D2518" s="1" t="s">
        <v>7</v>
      </c>
      <c r="E2518" t="s">
        <v>8</v>
      </c>
      <c r="F2518" s="2" t="s">
        <v>9</v>
      </c>
      <c r="G2518" t="s">
        <v>10</v>
      </c>
      <c r="H2518" s="2" t="s">
        <v>1384</v>
      </c>
      <c r="I2518" s="2">
        <v>4.8499999999999996</v>
      </c>
    </row>
    <row r="2519" spans="1:9" x14ac:dyDescent="0.25">
      <c r="A2519" s="1" t="s">
        <v>286</v>
      </c>
      <c r="B2519" t="s">
        <v>287</v>
      </c>
      <c r="C2519" s="1" t="s">
        <v>1487</v>
      </c>
      <c r="D2519" s="1" t="s">
        <v>1487</v>
      </c>
      <c r="E2519" t="s">
        <v>1488</v>
      </c>
      <c r="F2519" s="2" t="s">
        <v>31</v>
      </c>
      <c r="G2519" t="s">
        <v>5</v>
      </c>
      <c r="H2519" s="2" t="s">
        <v>4002</v>
      </c>
      <c r="I2519" s="2">
        <v>0.35</v>
      </c>
    </row>
    <row r="2520" spans="1:9" x14ac:dyDescent="0.25">
      <c r="A2520" s="1" t="s">
        <v>286</v>
      </c>
      <c r="B2520" t="s">
        <v>287</v>
      </c>
      <c r="C2520" s="1" t="s">
        <v>432</v>
      </c>
      <c r="D2520" s="1" t="s">
        <v>432</v>
      </c>
      <c r="E2520" t="s">
        <v>433</v>
      </c>
      <c r="F2520" s="2" t="s">
        <v>434</v>
      </c>
      <c r="G2520" t="s">
        <v>435</v>
      </c>
      <c r="H2520" s="2" t="s">
        <v>50</v>
      </c>
      <c r="I2520" s="2">
        <v>1.1000000000000001</v>
      </c>
    </row>
    <row r="2521" spans="1:9" x14ac:dyDescent="0.25">
      <c r="A2521" s="1" t="s">
        <v>286</v>
      </c>
      <c r="B2521" t="s">
        <v>287</v>
      </c>
      <c r="C2521" s="1" t="s">
        <v>7</v>
      </c>
      <c r="D2521" s="1" t="s">
        <v>7</v>
      </c>
      <c r="E2521" t="s">
        <v>8</v>
      </c>
      <c r="F2521" s="2" t="s">
        <v>9</v>
      </c>
      <c r="G2521" t="s">
        <v>10</v>
      </c>
      <c r="H2521" s="2" t="s">
        <v>4003</v>
      </c>
      <c r="I2521" s="2">
        <v>1.75</v>
      </c>
    </row>
    <row r="2522" spans="1:9" x14ac:dyDescent="0.25">
      <c r="A2522" s="1" t="s">
        <v>289</v>
      </c>
      <c r="B2522" t="s">
        <v>290</v>
      </c>
      <c r="C2522" s="1" t="s">
        <v>1487</v>
      </c>
      <c r="D2522" s="1" t="s">
        <v>1487</v>
      </c>
      <c r="E2522" t="s">
        <v>1488</v>
      </c>
      <c r="F2522" s="2" t="s">
        <v>31</v>
      </c>
      <c r="G2522" t="s">
        <v>5</v>
      </c>
      <c r="H2522" s="2" t="s">
        <v>4004</v>
      </c>
      <c r="I2522" s="2">
        <v>0.65</v>
      </c>
    </row>
    <row r="2523" spans="1:9" x14ac:dyDescent="0.25">
      <c r="A2523" s="1" t="s">
        <v>289</v>
      </c>
      <c r="B2523" t="s">
        <v>290</v>
      </c>
      <c r="C2523" s="1" t="s">
        <v>432</v>
      </c>
      <c r="D2523" s="1" t="s">
        <v>432</v>
      </c>
      <c r="E2523" t="s">
        <v>433</v>
      </c>
      <c r="F2523" s="2" t="s">
        <v>434</v>
      </c>
      <c r="G2523" t="s">
        <v>435</v>
      </c>
      <c r="H2523" s="2" t="s">
        <v>50</v>
      </c>
      <c r="I2523" s="2">
        <v>1.1000000000000001</v>
      </c>
    </row>
    <row r="2524" spans="1:9" x14ac:dyDescent="0.25">
      <c r="A2524" s="1" t="s">
        <v>289</v>
      </c>
      <c r="B2524" t="s">
        <v>290</v>
      </c>
      <c r="C2524" s="1" t="s">
        <v>7</v>
      </c>
      <c r="D2524" s="1" t="s">
        <v>7</v>
      </c>
      <c r="E2524" t="s">
        <v>8</v>
      </c>
      <c r="F2524" s="2" t="s">
        <v>9</v>
      </c>
      <c r="G2524" t="s">
        <v>10</v>
      </c>
      <c r="H2524" s="2" t="s">
        <v>2544</v>
      </c>
      <c r="I2524" s="2">
        <v>4.9000000000000004</v>
      </c>
    </row>
    <row r="2525" spans="1:9" x14ac:dyDescent="0.25">
      <c r="A2525" s="1" t="s">
        <v>292</v>
      </c>
      <c r="B2525" t="s">
        <v>293</v>
      </c>
      <c r="C2525" s="1" t="s">
        <v>1188</v>
      </c>
      <c r="D2525" s="1" t="s">
        <v>1188</v>
      </c>
      <c r="E2525" t="s">
        <v>1189</v>
      </c>
      <c r="F2525" s="2" t="s">
        <v>1190</v>
      </c>
      <c r="G2525" t="s">
        <v>5</v>
      </c>
      <c r="H2525" s="2" t="s">
        <v>4005</v>
      </c>
      <c r="I2525" s="2">
        <v>0.35</v>
      </c>
    </row>
    <row r="2526" spans="1:9" x14ac:dyDescent="0.25">
      <c r="A2526" s="1" t="s">
        <v>292</v>
      </c>
      <c r="B2526" t="s">
        <v>293</v>
      </c>
      <c r="C2526" s="1" t="s">
        <v>432</v>
      </c>
      <c r="D2526" s="1" t="s">
        <v>432</v>
      </c>
      <c r="E2526" t="s">
        <v>433</v>
      </c>
      <c r="F2526" s="2" t="s">
        <v>434</v>
      </c>
      <c r="G2526" t="s">
        <v>435</v>
      </c>
      <c r="H2526" s="2" t="s">
        <v>50</v>
      </c>
      <c r="I2526" s="2">
        <v>1.1000000000000001</v>
      </c>
    </row>
    <row r="2527" spans="1:9" x14ac:dyDescent="0.25">
      <c r="A2527" s="1" t="s">
        <v>292</v>
      </c>
      <c r="B2527" t="s">
        <v>293</v>
      </c>
      <c r="C2527" s="1" t="s">
        <v>7</v>
      </c>
      <c r="D2527" s="1" t="s">
        <v>7</v>
      </c>
      <c r="E2527" t="s">
        <v>8</v>
      </c>
      <c r="F2527" s="2" t="s">
        <v>9</v>
      </c>
      <c r="G2527" t="s">
        <v>10</v>
      </c>
      <c r="H2527" s="2" t="s">
        <v>1791</v>
      </c>
      <c r="I2527" s="2">
        <v>2.4500000000000002</v>
      </c>
    </row>
    <row r="2528" spans="1:9" x14ac:dyDescent="0.25">
      <c r="A2528" s="1" t="s">
        <v>294</v>
      </c>
      <c r="B2528" t="s">
        <v>295</v>
      </c>
      <c r="C2528" s="1" t="s">
        <v>2</v>
      </c>
      <c r="D2528" s="1" t="s">
        <v>2</v>
      </c>
      <c r="E2528" t="s">
        <v>3</v>
      </c>
      <c r="F2528" s="2" t="s">
        <v>4</v>
      </c>
      <c r="G2528" t="s">
        <v>5</v>
      </c>
      <c r="H2528" s="2" t="s">
        <v>3737</v>
      </c>
      <c r="I2528" s="2">
        <v>4.3</v>
      </c>
    </row>
    <row r="2529" spans="1:9" x14ac:dyDescent="0.25">
      <c r="A2529" s="1" t="s">
        <v>294</v>
      </c>
      <c r="B2529" t="s">
        <v>295</v>
      </c>
      <c r="C2529" s="1" t="s">
        <v>432</v>
      </c>
      <c r="D2529" s="1" t="s">
        <v>432</v>
      </c>
      <c r="E2529" t="s">
        <v>433</v>
      </c>
      <c r="F2529" s="2" t="s">
        <v>434</v>
      </c>
      <c r="G2529" t="s">
        <v>435</v>
      </c>
      <c r="H2529" s="2" t="s">
        <v>50</v>
      </c>
      <c r="I2529" s="2">
        <v>1.1000000000000001</v>
      </c>
    </row>
    <row r="2530" spans="1:9" x14ac:dyDescent="0.25">
      <c r="A2530" s="1" t="s">
        <v>294</v>
      </c>
      <c r="B2530" t="s">
        <v>295</v>
      </c>
      <c r="C2530" s="1" t="s">
        <v>7</v>
      </c>
      <c r="D2530" s="1" t="s">
        <v>7</v>
      </c>
      <c r="E2530" t="s">
        <v>8</v>
      </c>
      <c r="F2530" s="2" t="s">
        <v>9</v>
      </c>
      <c r="G2530" t="s">
        <v>10</v>
      </c>
      <c r="H2530" s="2" t="s">
        <v>1469</v>
      </c>
      <c r="I2530" s="2">
        <v>7.25</v>
      </c>
    </row>
    <row r="2531" spans="1:9" x14ac:dyDescent="0.25">
      <c r="A2531" s="1" t="s">
        <v>297</v>
      </c>
      <c r="B2531" t="s">
        <v>298</v>
      </c>
      <c r="C2531" s="1" t="s">
        <v>1387</v>
      </c>
      <c r="D2531" s="1" t="s">
        <v>1387</v>
      </c>
      <c r="E2531" t="s">
        <v>1388</v>
      </c>
      <c r="F2531" s="2" t="s">
        <v>879</v>
      </c>
      <c r="G2531" t="s">
        <v>17</v>
      </c>
      <c r="H2531" s="2" t="s">
        <v>601</v>
      </c>
      <c r="I2531" s="2">
        <v>2.1</v>
      </c>
    </row>
    <row r="2532" spans="1:9" x14ac:dyDescent="0.25">
      <c r="A2532" s="1" t="s">
        <v>297</v>
      </c>
      <c r="B2532" t="s">
        <v>298</v>
      </c>
      <c r="C2532" s="1" t="s">
        <v>7</v>
      </c>
      <c r="D2532" s="1" t="s">
        <v>7</v>
      </c>
      <c r="E2532" t="s">
        <v>8</v>
      </c>
      <c r="F2532" s="2" t="s">
        <v>9</v>
      </c>
      <c r="G2532" t="s">
        <v>10</v>
      </c>
      <c r="H2532" s="2" t="s">
        <v>2138</v>
      </c>
      <c r="I2532" s="2">
        <v>2.5499999999999998</v>
      </c>
    </row>
    <row r="2533" spans="1:9" x14ac:dyDescent="0.25">
      <c r="A2533" s="1" t="s">
        <v>300</v>
      </c>
      <c r="B2533" t="s">
        <v>301</v>
      </c>
      <c r="C2533" s="1" t="s">
        <v>1010</v>
      </c>
      <c r="D2533" s="1" t="s">
        <v>1010</v>
      </c>
      <c r="E2533" t="s">
        <v>1011</v>
      </c>
      <c r="F2533" s="2" t="s">
        <v>1354</v>
      </c>
      <c r="G2533" t="s">
        <v>5</v>
      </c>
      <c r="H2533" s="2" t="s">
        <v>18</v>
      </c>
      <c r="I2533" s="2">
        <v>2.1</v>
      </c>
    </row>
    <row r="2534" spans="1:9" x14ac:dyDescent="0.25">
      <c r="A2534" s="1" t="s">
        <v>300</v>
      </c>
      <c r="B2534" t="s">
        <v>301</v>
      </c>
      <c r="C2534" s="1" t="s">
        <v>7</v>
      </c>
      <c r="D2534" s="1" t="s">
        <v>7</v>
      </c>
      <c r="E2534" t="s">
        <v>8</v>
      </c>
      <c r="F2534" s="2" t="s">
        <v>9</v>
      </c>
      <c r="G2534" t="s">
        <v>10</v>
      </c>
      <c r="H2534" s="2" t="s">
        <v>1225</v>
      </c>
      <c r="I2534" s="2">
        <v>2.5</v>
      </c>
    </row>
    <row r="2535" spans="1:9" x14ac:dyDescent="0.25">
      <c r="A2535" s="1" t="s">
        <v>303</v>
      </c>
      <c r="B2535" t="s">
        <v>304</v>
      </c>
      <c r="C2535" s="1" t="s">
        <v>1387</v>
      </c>
      <c r="D2535" s="1" t="s">
        <v>1387</v>
      </c>
      <c r="E2535" t="s">
        <v>1388</v>
      </c>
      <c r="F2535" s="2" t="s">
        <v>879</v>
      </c>
      <c r="G2535" t="s">
        <v>17</v>
      </c>
      <c r="H2535" s="2" t="s">
        <v>601</v>
      </c>
      <c r="I2535" s="2">
        <v>2.1</v>
      </c>
    </row>
    <row r="2536" spans="1:9" x14ac:dyDescent="0.25">
      <c r="A2536" s="1" t="s">
        <v>303</v>
      </c>
      <c r="B2536" t="s">
        <v>304</v>
      </c>
      <c r="C2536" s="1" t="s">
        <v>7</v>
      </c>
      <c r="D2536" s="1" t="s">
        <v>7</v>
      </c>
      <c r="E2536" t="s">
        <v>8</v>
      </c>
      <c r="F2536" s="2" t="s">
        <v>9</v>
      </c>
      <c r="G2536" t="s">
        <v>10</v>
      </c>
      <c r="H2536" s="2" t="s">
        <v>2544</v>
      </c>
      <c r="I2536" s="2">
        <v>4.9000000000000004</v>
      </c>
    </row>
    <row r="2537" spans="1:9" x14ac:dyDescent="0.25">
      <c r="A2537" s="1" t="s">
        <v>4006</v>
      </c>
      <c r="B2537" t="s">
        <v>4007</v>
      </c>
      <c r="C2537" s="1" t="s">
        <v>4008</v>
      </c>
      <c r="D2537" s="1" t="s">
        <v>4008</v>
      </c>
      <c r="E2537" t="s">
        <v>4009</v>
      </c>
      <c r="F2537" s="2" t="s">
        <v>4010</v>
      </c>
      <c r="G2537" t="s">
        <v>5</v>
      </c>
      <c r="H2537" s="2" t="s">
        <v>4011</v>
      </c>
      <c r="I2537" s="2">
        <v>19.3</v>
      </c>
    </row>
    <row r="2538" spans="1:9" x14ac:dyDescent="0.25">
      <c r="A2538" s="1" t="s">
        <v>4006</v>
      </c>
      <c r="B2538" t="s">
        <v>4007</v>
      </c>
      <c r="C2538" s="1" t="s">
        <v>541</v>
      </c>
      <c r="D2538" s="1" t="s">
        <v>541</v>
      </c>
      <c r="E2538" t="s">
        <v>542</v>
      </c>
      <c r="F2538" s="2" t="s">
        <v>9</v>
      </c>
      <c r="G2538" t="s">
        <v>10</v>
      </c>
      <c r="H2538" s="2" t="s">
        <v>33</v>
      </c>
      <c r="I2538" s="2">
        <v>9.1999999999999993</v>
      </c>
    </row>
    <row r="2539" spans="1:9" x14ac:dyDescent="0.25">
      <c r="A2539" s="1" t="s">
        <v>4006</v>
      </c>
      <c r="B2539" t="s">
        <v>4007</v>
      </c>
      <c r="C2539" s="1" t="s">
        <v>7</v>
      </c>
      <c r="D2539" s="1" t="s">
        <v>7</v>
      </c>
      <c r="E2539" t="s">
        <v>8</v>
      </c>
      <c r="F2539" s="2" t="s">
        <v>9</v>
      </c>
      <c r="G2539" t="s">
        <v>10</v>
      </c>
      <c r="H2539" s="2" t="s">
        <v>4012</v>
      </c>
      <c r="I2539" s="2">
        <v>1.3</v>
      </c>
    </row>
    <row r="2540" spans="1:9" x14ac:dyDescent="0.25">
      <c r="A2540" s="1" t="s">
        <v>4013</v>
      </c>
      <c r="B2540" t="s">
        <v>4014</v>
      </c>
      <c r="C2540" s="1" t="s">
        <v>1047</v>
      </c>
      <c r="D2540" s="1" t="s">
        <v>1047</v>
      </c>
      <c r="E2540" t="s">
        <v>1048</v>
      </c>
      <c r="F2540" s="2" t="s">
        <v>1434</v>
      </c>
      <c r="G2540" t="s">
        <v>17</v>
      </c>
      <c r="H2540" s="2" t="s">
        <v>4015</v>
      </c>
      <c r="I2540" s="2">
        <v>13.1</v>
      </c>
    </row>
    <row r="2541" spans="1:9" x14ac:dyDescent="0.25">
      <c r="A2541" s="1" t="s">
        <v>4013</v>
      </c>
      <c r="B2541" t="s">
        <v>4014</v>
      </c>
      <c r="C2541" s="1" t="s">
        <v>541</v>
      </c>
      <c r="D2541" s="1" t="s">
        <v>541</v>
      </c>
      <c r="E2541" t="s">
        <v>542</v>
      </c>
      <c r="F2541" s="2" t="s">
        <v>9</v>
      </c>
      <c r="G2541" t="s">
        <v>10</v>
      </c>
      <c r="H2541" s="2" t="s">
        <v>3514</v>
      </c>
      <c r="I2541" s="2">
        <v>4.8499999999999996</v>
      </c>
    </row>
    <row r="2542" spans="1:9" x14ac:dyDescent="0.25">
      <c r="A2542" s="1" t="s">
        <v>4016</v>
      </c>
      <c r="B2542" t="s">
        <v>4017</v>
      </c>
      <c r="C2542" s="1" t="s">
        <v>1047</v>
      </c>
      <c r="D2542" s="1" t="s">
        <v>1047</v>
      </c>
      <c r="E2542" t="s">
        <v>1048</v>
      </c>
      <c r="F2542" s="2" t="s">
        <v>1434</v>
      </c>
      <c r="G2542" t="s">
        <v>17</v>
      </c>
      <c r="H2542" s="2" t="s">
        <v>4018</v>
      </c>
      <c r="I2542" s="2">
        <v>3.96</v>
      </c>
    </row>
    <row r="2543" spans="1:9" x14ac:dyDescent="0.25">
      <c r="A2543" s="1" t="s">
        <v>4016</v>
      </c>
      <c r="B2543" t="s">
        <v>4017</v>
      </c>
      <c r="C2543" s="1" t="s">
        <v>541</v>
      </c>
      <c r="D2543" s="1" t="s">
        <v>541</v>
      </c>
      <c r="E2543" t="s">
        <v>542</v>
      </c>
      <c r="F2543" s="2" t="s">
        <v>9</v>
      </c>
      <c r="G2543" t="s">
        <v>10</v>
      </c>
      <c r="H2543" s="2" t="s">
        <v>3047</v>
      </c>
      <c r="I2543" s="2">
        <v>4.83</v>
      </c>
    </row>
    <row r="2544" spans="1:9" x14ac:dyDescent="0.25">
      <c r="A2544" s="1" t="s">
        <v>4019</v>
      </c>
      <c r="B2544" t="s">
        <v>4020</v>
      </c>
      <c r="C2544" s="1" t="s">
        <v>1047</v>
      </c>
      <c r="D2544" s="1" t="s">
        <v>1047</v>
      </c>
      <c r="E2544" t="s">
        <v>1048</v>
      </c>
      <c r="F2544" s="2" t="s">
        <v>1434</v>
      </c>
      <c r="G2544" t="s">
        <v>17</v>
      </c>
      <c r="H2544" s="2" t="s">
        <v>594</v>
      </c>
      <c r="I2544" s="2">
        <v>10.3</v>
      </c>
    </row>
    <row r="2545" spans="1:9" x14ac:dyDescent="0.25">
      <c r="A2545" s="1" t="s">
        <v>4019</v>
      </c>
      <c r="B2545" t="s">
        <v>4020</v>
      </c>
      <c r="C2545" s="1" t="s">
        <v>541</v>
      </c>
      <c r="D2545" s="1" t="s">
        <v>541</v>
      </c>
      <c r="E2545" t="s">
        <v>542</v>
      </c>
      <c r="F2545" s="2" t="s">
        <v>9</v>
      </c>
      <c r="G2545" t="s">
        <v>10</v>
      </c>
      <c r="H2545" s="2" t="s">
        <v>3514</v>
      </c>
      <c r="I2545" s="2">
        <v>4.8499999999999996</v>
      </c>
    </row>
    <row r="2546" spans="1:9" x14ac:dyDescent="0.25">
      <c r="A2546" s="1" t="s">
        <v>4021</v>
      </c>
      <c r="B2546" t="s">
        <v>4022</v>
      </c>
      <c r="C2546" s="1" t="s">
        <v>1099</v>
      </c>
      <c r="D2546" s="1" t="s">
        <v>1099</v>
      </c>
      <c r="E2546" t="s">
        <v>1100</v>
      </c>
      <c r="F2546" s="2" t="s">
        <v>1101</v>
      </c>
      <c r="G2546" t="s">
        <v>49</v>
      </c>
      <c r="H2546" s="2" t="s">
        <v>4023</v>
      </c>
      <c r="I2546" s="2">
        <v>2</v>
      </c>
    </row>
    <row r="2547" spans="1:9" x14ac:dyDescent="0.25">
      <c r="A2547" s="1" t="s">
        <v>4021</v>
      </c>
      <c r="B2547" t="s">
        <v>4022</v>
      </c>
      <c r="C2547" s="1" t="s">
        <v>432</v>
      </c>
      <c r="D2547" s="1" t="s">
        <v>432</v>
      </c>
      <c r="E2547" t="s">
        <v>433</v>
      </c>
      <c r="F2547" s="2" t="s">
        <v>434</v>
      </c>
      <c r="G2547" t="s">
        <v>435</v>
      </c>
      <c r="H2547" s="2" t="s">
        <v>4024</v>
      </c>
      <c r="I2547" s="2">
        <v>1.59</v>
      </c>
    </row>
    <row r="2548" spans="1:9" x14ac:dyDescent="0.25">
      <c r="A2548" s="1" t="s">
        <v>4021</v>
      </c>
      <c r="B2548" t="s">
        <v>4022</v>
      </c>
      <c r="C2548" s="1" t="s">
        <v>7</v>
      </c>
      <c r="D2548" s="1" t="s">
        <v>7</v>
      </c>
      <c r="E2548" t="s">
        <v>8</v>
      </c>
      <c r="F2548" s="2" t="s">
        <v>9</v>
      </c>
      <c r="G2548" t="s">
        <v>10</v>
      </c>
      <c r="H2548" s="2" t="s">
        <v>4025</v>
      </c>
      <c r="I2548" s="2">
        <v>16.73</v>
      </c>
    </row>
    <row r="2549" spans="1:9" x14ac:dyDescent="0.25">
      <c r="A2549" s="1" t="s">
        <v>4026</v>
      </c>
      <c r="B2549" t="s">
        <v>4027</v>
      </c>
      <c r="C2549" s="1" t="s">
        <v>1203</v>
      </c>
      <c r="D2549" s="1" t="s">
        <v>1203</v>
      </c>
      <c r="E2549" t="s">
        <v>1204</v>
      </c>
      <c r="F2549" s="2" t="s">
        <v>216</v>
      </c>
      <c r="G2549" t="s">
        <v>5</v>
      </c>
      <c r="H2549" s="2" t="s">
        <v>1732</v>
      </c>
      <c r="I2549" s="2">
        <v>0.25</v>
      </c>
    </row>
    <row r="2550" spans="1:9" x14ac:dyDescent="0.25">
      <c r="A2550" s="1" t="s">
        <v>4026</v>
      </c>
      <c r="B2550" t="s">
        <v>4027</v>
      </c>
      <c r="C2550" s="1" t="s">
        <v>4028</v>
      </c>
      <c r="D2550" s="1" t="s">
        <v>4028</v>
      </c>
      <c r="E2550" t="s">
        <v>4029</v>
      </c>
      <c r="F2550" s="2" t="s">
        <v>4030</v>
      </c>
      <c r="G2550" t="s">
        <v>121</v>
      </c>
      <c r="H2550" s="2" t="s">
        <v>50</v>
      </c>
      <c r="I2550" s="2">
        <v>0.85</v>
      </c>
    </row>
    <row r="2551" spans="1:9" x14ac:dyDescent="0.25">
      <c r="A2551" s="1" t="s">
        <v>4026</v>
      </c>
      <c r="B2551" t="s">
        <v>4027</v>
      </c>
      <c r="C2551" s="1" t="s">
        <v>432</v>
      </c>
      <c r="D2551" s="1" t="s">
        <v>432</v>
      </c>
      <c r="E2551" t="s">
        <v>433</v>
      </c>
      <c r="F2551" s="2" t="s">
        <v>434</v>
      </c>
      <c r="G2551" t="s">
        <v>435</v>
      </c>
      <c r="H2551" s="2" t="s">
        <v>50</v>
      </c>
      <c r="I2551" s="2">
        <v>1.1000000000000001</v>
      </c>
    </row>
    <row r="2552" spans="1:9" x14ac:dyDescent="0.25">
      <c r="A2552" s="1" t="s">
        <v>4026</v>
      </c>
      <c r="B2552" t="s">
        <v>4027</v>
      </c>
      <c r="C2552" s="1" t="s">
        <v>688</v>
      </c>
      <c r="D2552" s="1" t="s">
        <v>688</v>
      </c>
      <c r="E2552" t="s">
        <v>810</v>
      </c>
      <c r="F2552" s="2" t="s">
        <v>9</v>
      </c>
      <c r="G2552" t="s">
        <v>10</v>
      </c>
      <c r="H2552" s="2" t="s">
        <v>4031</v>
      </c>
      <c r="I2552" s="2">
        <v>0.85</v>
      </c>
    </row>
    <row r="2553" spans="1:9" x14ac:dyDescent="0.25">
      <c r="A2553" s="1" t="s">
        <v>4026</v>
      </c>
      <c r="B2553" t="s">
        <v>4027</v>
      </c>
      <c r="C2553" s="1" t="s">
        <v>7</v>
      </c>
      <c r="D2553" s="1" t="s">
        <v>7</v>
      </c>
      <c r="E2553" t="s">
        <v>8</v>
      </c>
      <c r="F2553" s="2" t="s">
        <v>9</v>
      </c>
      <c r="G2553" t="s">
        <v>10</v>
      </c>
      <c r="H2553" s="2" t="s">
        <v>4032</v>
      </c>
      <c r="I2553" s="2">
        <v>1.95</v>
      </c>
    </row>
    <row r="2554" spans="1:9" x14ac:dyDescent="0.25">
      <c r="A2554" s="1" t="s">
        <v>4033</v>
      </c>
      <c r="B2554" t="s">
        <v>4034</v>
      </c>
      <c r="C2554" s="1" t="s">
        <v>1487</v>
      </c>
      <c r="D2554" s="1" t="s">
        <v>1487</v>
      </c>
      <c r="E2554" t="s">
        <v>1488</v>
      </c>
      <c r="F2554" s="2" t="s">
        <v>31</v>
      </c>
      <c r="G2554" t="s">
        <v>5</v>
      </c>
      <c r="H2554" s="2" t="s">
        <v>4035</v>
      </c>
      <c r="I2554" s="2">
        <v>2.4500000000000002</v>
      </c>
    </row>
    <row r="2555" spans="1:9" x14ac:dyDescent="0.25">
      <c r="A2555" s="1" t="s">
        <v>4033</v>
      </c>
      <c r="B2555" t="s">
        <v>4034</v>
      </c>
      <c r="C2555" s="1" t="s">
        <v>432</v>
      </c>
      <c r="D2555" s="1" t="s">
        <v>432</v>
      </c>
      <c r="E2555" t="s">
        <v>433</v>
      </c>
      <c r="F2555" s="2" t="s">
        <v>434</v>
      </c>
      <c r="G2555" t="s">
        <v>435</v>
      </c>
      <c r="H2555" s="2" t="s">
        <v>50</v>
      </c>
      <c r="I2555" s="2">
        <v>1.1000000000000001</v>
      </c>
    </row>
    <row r="2556" spans="1:9" x14ac:dyDescent="0.25">
      <c r="A2556" s="1" t="s">
        <v>4033</v>
      </c>
      <c r="B2556" t="s">
        <v>4034</v>
      </c>
      <c r="C2556" s="1" t="s">
        <v>541</v>
      </c>
      <c r="D2556" s="1" t="s">
        <v>541</v>
      </c>
      <c r="E2556" t="s">
        <v>542</v>
      </c>
      <c r="F2556" s="2" t="s">
        <v>9</v>
      </c>
      <c r="G2556" t="s">
        <v>10</v>
      </c>
      <c r="H2556" s="2" t="s">
        <v>4036</v>
      </c>
      <c r="I2556" s="2">
        <v>4.84</v>
      </c>
    </row>
    <row r="2557" spans="1:9" x14ac:dyDescent="0.25">
      <c r="A2557" s="1" t="s">
        <v>4037</v>
      </c>
      <c r="B2557" t="s">
        <v>4038</v>
      </c>
      <c r="C2557" s="1" t="s">
        <v>4039</v>
      </c>
      <c r="D2557" s="1" t="s">
        <v>4039</v>
      </c>
      <c r="E2557" t="s">
        <v>4040</v>
      </c>
      <c r="F2557" s="2" t="s">
        <v>216</v>
      </c>
      <c r="G2557" t="s">
        <v>17</v>
      </c>
      <c r="H2557" s="2" t="s">
        <v>1254</v>
      </c>
      <c r="I2557" s="2">
        <v>2.4500000000000002</v>
      </c>
    </row>
    <row r="2558" spans="1:9" x14ac:dyDescent="0.25">
      <c r="A2558" s="1" t="s">
        <v>4037</v>
      </c>
      <c r="B2558" t="s">
        <v>4038</v>
      </c>
      <c r="C2558" s="1" t="s">
        <v>541</v>
      </c>
      <c r="D2558" s="1" t="s">
        <v>541</v>
      </c>
      <c r="E2558" t="s">
        <v>542</v>
      </c>
      <c r="F2558" s="2" t="s">
        <v>9</v>
      </c>
      <c r="G2558" t="s">
        <v>10</v>
      </c>
      <c r="H2558" s="2" t="s">
        <v>3514</v>
      </c>
      <c r="I2558" s="2">
        <v>4.8499999999999996</v>
      </c>
    </row>
    <row r="2559" spans="1:9" x14ac:dyDescent="0.25">
      <c r="A2559" s="1" t="s">
        <v>4041</v>
      </c>
      <c r="B2559" t="s">
        <v>4042</v>
      </c>
      <c r="C2559" s="1" t="s">
        <v>4039</v>
      </c>
      <c r="D2559" s="1" t="s">
        <v>4039</v>
      </c>
      <c r="E2559" t="s">
        <v>4040</v>
      </c>
      <c r="F2559" s="2" t="s">
        <v>216</v>
      </c>
      <c r="G2559" t="s">
        <v>17</v>
      </c>
      <c r="H2559" s="2" t="s">
        <v>33</v>
      </c>
      <c r="I2559" s="2">
        <v>1.4</v>
      </c>
    </row>
    <row r="2560" spans="1:9" x14ac:dyDescent="0.25">
      <c r="A2560" s="1" t="s">
        <v>4041</v>
      </c>
      <c r="B2560" t="s">
        <v>4042</v>
      </c>
      <c r="C2560" s="1" t="s">
        <v>541</v>
      </c>
      <c r="D2560" s="1" t="s">
        <v>541</v>
      </c>
      <c r="E2560" t="s">
        <v>542</v>
      </c>
      <c r="F2560" s="2" t="s">
        <v>9</v>
      </c>
      <c r="G2560" t="s">
        <v>10</v>
      </c>
      <c r="H2560" s="2" t="s">
        <v>3514</v>
      </c>
      <c r="I2560" s="2">
        <v>4.8499999999999996</v>
      </c>
    </row>
    <row r="2561" spans="1:9" x14ac:dyDescent="0.25">
      <c r="A2561" s="1" t="s">
        <v>4043</v>
      </c>
      <c r="B2561" t="s">
        <v>4044</v>
      </c>
      <c r="C2561" s="1" t="s">
        <v>4039</v>
      </c>
      <c r="D2561" s="1" t="s">
        <v>4039</v>
      </c>
      <c r="E2561" t="s">
        <v>4040</v>
      </c>
      <c r="F2561" s="2" t="s">
        <v>216</v>
      </c>
      <c r="G2561" t="s">
        <v>17</v>
      </c>
      <c r="H2561" s="2" t="s">
        <v>992</v>
      </c>
      <c r="I2561" s="2">
        <v>2.1</v>
      </c>
    </row>
    <row r="2562" spans="1:9" x14ac:dyDescent="0.25">
      <c r="A2562" s="1" t="s">
        <v>4043</v>
      </c>
      <c r="B2562" t="s">
        <v>4044</v>
      </c>
      <c r="C2562" s="1" t="s">
        <v>541</v>
      </c>
      <c r="D2562" s="1" t="s">
        <v>541</v>
      </c>
      <c r="E2562" t="s">
        <v>542</v>
      </c>
      <c r="F2562" s="2" t="s">
        <v>9</v>
      </c>
      <c r="G2562" t="s">
        <v>10</v>
      </c>
      <c r="H2562" s="2" t="s">
        <v>3514</v>
      </c>
      <c r="I2562" s="2">
        <v>4.8499999999999996</v>
      </c>
    </row>
    <row r="2563" spans="1:9" x14ac:dyDescent="0.25">
      <c r="A2563" s="1" t="s">
        <v>4045</v>
      </c>
      <c r="B2563" t="s">
        <v>4046</v>
      </c>
      <c r="C2563" s="1" t="s">
        <v>1047</v>
      </c>
      <c r="D2563" s="1" t="s">
        <v>1047</v>
      </c>
      <c r="E2563" t="s">
        <v>1048</v>
      </c>
      <c r="F2563" s="2" t="s">
        <v>1434</v>
      </c>
      <c r="G2563" t="s">
        <v>17</v>
      </c>
      <c r="H2563" s="2" t="s">
        <v>4047</v>
      </c>
      <c r="I2563" s="2">
        <v>12.57</v>
      </c>
    </row>
    <row r="2564" spans="1:9" x14ac:dyDescent="0.25">
      <c r="A2564" s="1" t="s">
        <v>4045</v>
      </c>
      <c r="B2564" t="s">
        <v>4046</v>
      </c>
      <c r="C2564" s="1" t="s">
        <v>541</v>
      </c>
      <c r="D2564" s="1" t="s">
        <v>541</v>
      </c>
      <c r="E2564" t="s">
        <v>542</v>
      </c>
      <c r="F2564" s="2" t="s">
        <v>9</v>
      </c>
      <c r="G2564" t="s">
        <v>10</v>
      </c>
      <c r="H2564" s="2" t="s">
        <v>4048</v>
      </c>
      <c r="I2564" s="2">
        <v>5.6</v>
      </c>
    </row>
    <row r="2565" spans="1:9" x14ac:dyDescent="0.25">
      <c r="A2565" s="1" t="s">
        <v>4049</v>
      </c>
      <c r="B2565" t="s">
        <v>4050</v>
      </c>
      <c r="C2565" s="1" t="s">
        <v>1047</v>
      </c>
      <c r="D2565" s="1" t="s">
        <v>1047</v>
      </c>
      <c r="E2565" t="s">
        <v>1048</v>
      </c>
      <c r="F2565" s="2" t="s">
        <v>1434</v>
      </c>
      <c r="G2565" t="s">
        <v>17</v>
      </c>
      <c r="H2565" s="2" t="s">
        <v>3047</v>
      </c>
      <c r="I2565" s="2">
        <v>4.33</v>
      </c>
    </row>
    <row r="2566" spans="1:9" x14ac:dyDescent="0.25">
      <c r="A2566" s="1" t="s">
        <v>4049</v>
      </c>
      <c r="B2566" t="s">
        <v>4050</v>
      </c>
      <c r="C2566" s="1" t="s">
        <v>541</v>
      </c>
      <c r="D2566" s="1" t="s">
        <v>541</v>
      </c>
      <c r="E2566" t="s">
        <v>542</v>
      </c>
      <c r="F2566" s="2" t="s">
        <v>9</v>
      </c>
      <c r="G2566" t="s">
        <v>10</v>
      </c>
      <c r="H2566" s="2" t="s">
        <v>3047</v>
      </c>
      <c r="I2566" s="2">
        <v>4.83</v>
      </c>
    </row>
    <row r="2567" spans="1:9" x14ac:dyDescent="0.25">
      <c r="A2567" s="1" t="s">
        <v>4051</v>
      </c>
      <c r="B2567" t="s">
        <v>4052</v>
      </c>
      <c r="C2567" s="1" t="s">
        <v>1047</v>
      </c>
      <c r="D2567" s="1" t="s">
        <v>1047</v>
      </c>
      <c r="E2567" t="s">
        <v>1048</v>
      </c>
      <c r="F2567" s="2" t="s">
        <v>1434</v>
      </c>
      <c r="G2567" t="s">
        <v>17</v>
      </c>
      <c r="H2567" s="2" t="s">
        <v>4053</v>
      </c>
      <c r="I2567" s="2">
        <v>16.05</v>
      </c>
    </row>
    <row r="2568" spans="1:9" x14ac:dyDescent="0.25">
      <c r="A2568" s="1" t="s">
        <v>4051</v>
      </c>
      <c r="B2568" t="s">
        <v>4052</v>
      </c>
      <c r="C2568" s="1" t="s">
        <v>541</v>
      </c>
      <c r="D2568" s="1" t="s">
        <v>541</v>
      </c>
      <c r="E2568" t="s">
        <v>542</v>
      </c>
      <c r="F2568" s="2" t="s">
        <v>9</v>
      </c>
      <c r="G2568" t="s">
        <v>10</v>
      </c>
      <c r="H2568" s="2" t="s">
        <v>3047</v>
      </c>
      <c r="I2568" s="2">
        <v>4.83</v>
      </c>
    </row>
    <row r="2569" spans="1:9" x14ac:dyDescent="0.25">
      <c r="A2569" s="1" t="s">
        <v>4054</v>
      </c>
      <c r="B2569" t="s">
        <v>4055</v>
      </c>
      <c r="C2569" s="1" t="s">
        <v>1047</v>
      </c>
      <c r="D2569" s="1" t="s">
        <v>1047</v>
      </c>
      <c r="E2569" t="s">
        <v>1048</v>
      </c>
      <c r="F2569" s="2" t="s">
        <v>1434</v>
      </c>
      <c r="G2569" t="s">
        <v>17</v>
      </c>
      <c r="H2569" s="2" t="s">
        <v>4056</v>
      </c>
      <c r="I2569" s="2">
        <v>6.07</v>
      </c>
    </row>
    <row r="2570" spans="1:9" x14ac:dyDescent="0.25">
      <c r="A2570" s="1" t="s">
        <v>4054</v>
      </c>
      <c r="B2570" t="s">
        <v>4055</v>
      </c>
      <c r="C2570" s="1" t="s">
        <v>541</v>
      </c>
      <c r="D2570" s="1" t="s">
        <v>541</v>
      </c>
      <c r="E2570" t="s">
        <v>542</v>
      </c>
      <c r="F2570" s="2" t="s">
        <v>9</v>
      </c>
      <c r="G2570" t="s">
        <v>10</v>
      </c>
      <c r="H2570" s="2" t="s">
        <v>3047</v>
      </c>
      <c r="I2570" s="2">
        <v>4.83</v>
      </c>
    </row>
    <row r="2571" spans="1:9" x14ac:dyDescent="0.25">
      <c r="A2571" s="1" t="s">
        <v>4057</v>
      </c>
      <c r="B2571" t="s">
        <v>4058</v>
      </c>
      <c r="C2571" s="1" t="s">
        <v>1047</v>
      </c>
      <c r="D2571" s="1" t="s">
        <v>1047</v>
      </c>
      <c r="E2571" t="s">
        <v>1048</v>
      </c>
      <c r="F2571" s="2" t="s">
        <v>1434</v>
      </c>
      <c r="G2571" t="s">
        <v>17</v>
      </c>
      <c r="H2571" s="2" t="s">
        <v>4059</v>
      </c>
      <c r="I2571" s="2">
        <v>2.68</v>
      </c>
    </row>
    <row r="2572" spans="1:9" x14ac:dyDescent="0.25">
      <c r="A2572" s="1" t="s">
        <v>4057</v>
      </c>
      <c r="B2572" t="s">
        <v>4058</v>
      </c>
      <c r="C2572" s="1" t="s">
        <v>541</v>
      </c>
      <c r="D2572" s="1" t="s">
        <v>541</v>
      </c>
      <c r="E2572" t="s">
        <v>542</v>
      </c>
      <c r="F2572" s="2" t="s">
        <v>9</v>
      </c>
      <c r="G2572" t="s">
        <v>10</v>
      </c>
      <c r="H2572" s="2" t="s">
        <v>4060</v>
      </c>
      <c r="I2572" s="2">
        <v>5.55</v>
      </c>
    </row>
    <row r="2573" spans="1:9" x14ac:dyDescent="0.25">
      <c r="A2573" s="1" t="s">
        <v>4061</v>
      </c>
      <c r="B2573" t="s">
        <v>4062</v>
      </c>
      <c r="C2573" s="1" t="s">
        <v>1094</v>
      </c>
      <c r="D2573" s="1" t="s">
        <v>1094</v>
      </c>
      <c r="E2573" t="s">
        <v>1095</v>
      </c>
      <c r="F2573" s="2" t="s">
        <v>887</v>
      </c>
      <c r="G2573" t="s">
        <v>5</v>
      </c>
      <c r="H2573" s="2" t="s">
        <v>1125</v>
      </c>
      <c r="I2573" s="2">
        <v>5.03</v>
      </c>
    </row>
    <row r="2574" spans="1:9" x14ac:dyDescent="0.25">
      <c r="A2574" s="1" t="s">
        <v>4061</v>
      </c>
      <c r="B2574" t="s">
        <v>4062</v>
      </c>
      <c r="C2574" s="1" t="s">
        <v>541</v>
      </c>
      <c r="D2574" s="1" t="s">
        <v>541</v>
      </c>
      <c r="E2574" t="s">
        <v>542</v>
      </c>
      <c r="F2574" s="2" t="s">
        <v>9</v>
      </c>
      <c r="G2574" t="s">
        <v>10</v>
      </c>
      <c r="H2574" s="2" t="s">
        <v>3681</v>
      </c>
      <c r="I2574" s="2">
        <v>7.22</v>
      </c>
    </row>
    <row r="2575" spans="1:9" x14ac:dyDescent="0.25">
      <c r="A2575" s="1" t="s">
        <v>4063</v>
      </c>
      <c r="B2575" t="s">
        <v>4064</v>
      </c>
      <c r="C2575" s="1" t="s">
        <v>1099</v>
      </c>
      <c r="D2575" s="1" t="s">
        <v>1099</v>
      </c>
      <c r="E2575" t="s">
        <v>1100</v>
      </c>
      <c r="F2575" s="2" t="s">
        <v>1101</v>
      </c>
      <c r="G2575" t="s">
        <v>932</v>
      </c>
      <c r="H2575" s="2" t="s">
        <v>4065</v>
      </c>
      <c r="I2575" s="2">
        <v>3.2</v>
      </c>
    </row>
    <row r="2576" spans="1:9" x14ac:dyDescent="0.25">
      <c r="A2576" s="1" t="s">
        <v>4063</v>
      </c>
      <c r="B2576" t="s">
        <v>4064</v>
      </c>
      <c r="C2576" s="1" t="s">
        <v>432</v>
      </c>
      <c r="D2576" s="1" t="s">
        <v>432</v>
      </c>
      <c r="E2576" t="s">
        <v>433</v>
      </c>
      <c r="F2576" s="2" t="s">
        <v>434</v>
      </c>
      <c r="G2576" t="s">
        <v>435</v>
      </c>
      <c r="H2576" s="2" t="s">
        <v>50</v>
      </c>
      <c r="I2576" s="2">
        <v>1.1000000000000001</v>
      </c>
    </row>
    <row r="2577" spans="1:10" x14ac:dyDescent="0.25">
      <c r="A2577" s="1" t="s">
        <v>4063</v>
      </c>
      <c r="B2577" t="s">
        <v>4064</v>
      </c>
      <c r="C2577" s="1" t="s">
        <v>541</v>
      </c>
      <c r="D2577" s="1" t="s">
        <v>541</v>
      </c>
      <c r="E2577" t="s">
        <v>542</v>
      </c>
      <c r="F2577" s="2" t="s">
        <v>9</v>
      </c>
      <c r="G2577" t="s">
        <v>10</v>
      </c>
      <c r="H2577" s="2" t="s">
        <v>3567</v>
      </c>
      <c r="I2577" s="2">
        <v>16.87</v>
      </c>
    </row>
    <row r="2578" spans="1:10" x14ac:dyDescent="0.25">
      <c r="A2578" s="1" t="s">
        <v>4066</v>
      </c>
      <c r="B2578" t="s">
        <v>4067</v>
      </c>
      <c r="C2578" s="1" t="s">
        <v>1047</v>
      </c>
      <c r="D2578" s="1" t="s">
        <v>1047</v>
      </c>
      <c r="E2578" t="s">
        <v>1048</v>
      </c>
      <c r="F2578" s="2" t="s">
        <v>1434</v>
      </c>
      <c r="G2578" t="s">
        <v>17</v>
      </c>
      <c r="H2578" s="2" t="s">
        <v>2696</v>
      </c>
      <c r="I2578" s="2">
        <v>5.36</v>
      </c>
    </row>
    <row r="2579" spans="1:10" x14ac:dyDescent="0.25">
      <c r="A2579" s="1" t="s">
        <v>4066</v>
      </c>
      <c r="B2579" t="s">
        <v>4067</v>
      </c>
      <c r="C2579" s="1" t="s">
        <v>541</v>
      </c>
      <c r="D2579" s="1" t="s">
        <v>541</v>
      </c>
      <c r="E2579" t="s">
        <v>542</v>
      </c>
      <c r="F2579" s="2" t="s">
        <v>9</v>
      </c>
      <c r="G2579" t="s">
        <v>10</v>
      </c>
      <c r="H2579" s="2" t="s">
        <v>4068</v>
      </c>
      <c r="I2579" s="2">
        <v>5.6</v>
      </c>
    </row>
    <row r="2580" spans="1:10" x14ac:dyDescent="0.25">
      <c r="A2580" s="1" t="s">
        <v>4069</v>
      </c>
      <c r="B2580" t="s">
        <v>4070</v>
      </c>
      <c r="C2580" s="1" t="s">
        <v>4071</v>
      </c>
      <c r="D2580" s="1" t="s">
        <v>4071</v>
      </c>
      <c r="E2580" t="s">
        <v>4072</v>
      </c>
      <c r="F2580" s="2" t="s">
        <v>2963</v>
      </c>
      <c r="G2580" t="s">
        <v>121</v>
      </c>
      <c r="H2580" s="2" t="s">
        <v>50</v>
      </c>
      <c r="I2580" s="2">
        <v>10.5</v>
      </c>
    </row>
    <row r="2581" spans="1:10" x14ac:dyDescent="0.25">
      <c r="A2581" s="1" t="s">
        <v>4069</v>
      </c>
      <c r="B2581" t="s">
        <v>4070</v>
      </c>
      <c r="C2581" s="1" t="s">
        <v>4073</v>
      </c>
      <c r="D2581" s="1" t="s">
        <v>4073</v>
      </c>
      <c r="E2581" t="s">
        <v>4074</v>
      </c>
      <c r="F2581" s="2" t="s">
        <v>4075</v>
      </c>
      <c r="G2581" t="s">
        <v>49</v>
      </c>
      <c r="H2581" s="2" t="s">
        <v>50</v>
      </c>
      <c r="I2581" s="2">
        <v>13.89</v>
      </c>
    </row>
    <row r="2582" spans="1:10" x14ac:dyDescent="0.25">
      <c r="A2582" s="1" t="s">
        <v>4069</v>
      </c>
      <c r="B2582" t="s">
        <v>4070</v>
      </c>
      <c r="C2582" s="1" t="s">
        <v>4076</v>
      </c>
      <c r="D2582" s="1" t="s">
        <v>4076</v>
      </c>
      <c r="E2582" t="s">
        <v>4077</v>
      </c>
      <c r="F2582" s="2" t="s">
        <v>394</v>
      </c>
      <c r="G2582" t="s">
        <v>49</v>
      </c>
      <c r="H2582" s="2" t="s">
        <v>122</v>
      </c>
      <c r="I2582" s="2">
        <v>23.4</v>
      </c>
    </row>
    <row r="2583" spans="1:10" x14ac:dyDescent="0.25">
      <c r="A2583" s="1" t="s">
        <v>4069</v>
      </c>
      <c r="B2583" t="s">
        <v>4070</v>
      </c>
      <c r="C2583" s="1" t="s">
        <v>4078</v>
      </c>
      <c r="D2583" s="1" t="s">
        <v>4078</v>
      </c>
      <c r="E2583" t="s">
        <v>4079</v>
      </c>
      <c r="F2583" s="2" t="s">
        <v>4080</v>
      </c>
      <c r="G2583" t="s">
        <v>49</v>
      </c>
      <c r="H2583" s="2" t="s">
        <v>50</v>
      </c>
      <c r="I2583" s="2">
        <v>18.13</v>
      </c>
      <c r="J2583" t="s">
        <v>55</v>
      </c>
    </row>
    <row r="2584" spans="1:10" x14ac:dyDescent="0.25">
      <c r="A2584" s="1" t="s">
        <v>4069</v>
      </c>
      <c r="B2584" t="s">
        <v>4070</v>
      </c>
      <c r="C2584" s="1" t="s">
        <v>1989</v>
      </c>
      <c r="D2584" s="1" t="s">
        <v>1989</v>
      </c>
      <c r="E2584" t="s">
        <v>1990</v>
      </c>
      <c r="F2584" s="2" t="s">
        <v>1991</v>
      </c>
      <c r="G2584" t="s">
        <v>435</v>
      </c>
      <c r="H2584" s="2" t="s">
        <v>4081</v>
      </c>
      <c r="I2584" s="2">
        <v>1.1200000000000001</v>
      </c>
    </row>
    <row r="2585" spans="1:10" x14ac:dyDescent="0.25">
      <c r="A2585" s="1" t="s">
        <v>4069</v>
      </c>
      <c r="B2585" t="s">
        <v>4070</v>
      </c>
      <c r="C2585" s="1" t="s">
        <v>2577</v>
      </c>
      <c r="D2585" s="1" t="s">
        <v>2577</v>
      </c>
      <c r="E2585" t="s">
        <v>2578</v>
      </c>
      <c r="F2585" s="2" t="s">
        <v>686</v>
      </c>
      <c r="G2585" t="s">
        <v>49</v>
      </c>
      <c r="H2585" s="2" t="s">
        <v>4082</v>
      </c>
      <c r="I2585" s="2">
        <v>2.8</v>
      </c>
    </row>
    <row r="2586" spans="1:10" x14ac:dyDescent="0.25">
      <c r="A2586" s="1" t="s">
        <v>4069</v>
      </c>
      <c r="B2586" t="s">
        <v>4070</v>
      </c>
      <c r="C2586" s="1" t="s">
        <v>7</v>
      </c>
      <c r="D2586" s="1" t="s">
        <v>7</v>
      </c>
      <c r="E2586" t="s">
        <v>8</v>
      </c>
      <c r="F2586" s="2" t="s">
        <v>9</v>
      </c>
      <c r="G2586" t="s">
        <v>10</v>
      </c>
      <c r="H2586" s="2" t="s">
        <v>4083</v>
      </c>
      <c r="I2586" s="2">
        <v>2.37</v>
      </c>
    </row>
    <row r="2587" spans="1:10" x14ac:dyDescent="0.25">
      <c r="A2587" s="1" t="s">
        <v>4069</v>
      </c>
      <c r="B2587" t="s">
        <v>4070</v>
      </c>
      <c r="C2587" s="1" t="s">
        <v>7</v>
      </c>
      <c r="D2587" s="1" t="s">
        <v>7</v>
      </c>
      <c r="E2587" t="s">
        <v>8</v>
      </c>
      <c r="F2587" s="2" t="s">
        <v>9</v>
      </c>
      <c r="G2587" t="s">
        <v>10</v>
      </c>
      <c r="H2587" s="2" t="s">
        <v>4084</v>
      </c>
      <c r="I2587" s="2">
        <v>4.18</v>
      </c>
    </row>
    <row r="2588" spans="1:10" x14ac:dyDescent="0.25">
      <c r="A2588" s="1" t="s">
        <v>4078</v>
      </c>
      <c r="B2588" t="s">
        <v>4079</v>
      </c>
      <c r="C2588" s="1" t="s">
        <v>4085</v>
      </c>
      <c r="D2588" s="1" t="s">
        <v>4085</v>
      </c>
      <c r="E2588" t="s">
        <v>4086</v>
      </c>
      <c r="F2588" s="2" t="s">
        <v>1394</v>
      </c>
      <c r="G2588" t="s">
        <v>5</v>
      </c>
      <c r="H2588" s="2" t="s">
        <v>3642</v>
      </c>
      <c r="I2588" s="2">
        <v>2.8</v>
      </c>
    </row>
    <row r="2589" spans="1:10" x14ac:dyDescent="0.25">
      <c r="A2589" s="1" t="s">
        <v>4078</v>
      </c>
      <c r="B2589" t="s">
        <v>4079</v>
      </c>
      <c r="C2589" s="1" t="s">
        <v>7</v>
      </c>
      <c r="D2589" s="1" t="s">
        <v>7</v>
      </c>
      <c r="E2589" t="s">
        <v>8</v>
      </c>
      <c r="F2589" s="2" t="s">
        <v>9</v>
      </c>
      <c r="G2589" t="s">
        <v>10</v>
      </c>
      <c r="H2589" s="2" t="s">
        <v>4087</v>
      </c>
      <c r="I2589" s="2">
        <v>15.33</v>
      </c>
    </row>
    <row r="2590" spans="1:10" x14ac:dyDescent="0.25">
      <c r="A2590" s="1" t="s">
        <v>4088</v>
      </c>
      <c r="B2590" t="s">
        <v>4089</v>
      </c>
      <c r="C2590" s="1" t="s">
        <v>1047</v>
      </c>
      <c r="D2590" s="1" t="s">
        <v>1047</v>
      </c>
      <c r="E2590" t="s">
        <v>1048</v>
      </c>
      <c r="F2590" s="2" t="s">
        <v>1434</v>
      </c>
      <c r="G2590" t="s">
        <v>17</v>
      </c>
      <c r="H2590" s="2" t="s">
        <v>4059</v>
      </c>
      <c r="I2590" s="2">
        <v>2.68</v>
      </c>
    </row>
    <row r="2591" spans="1:10" x14ac:dyDescent="0.25">
      <c r="A2591" s="1" t="s">
        <v>4088</v>
      </c>
      <c r="B2591" t="s">
        <v>4089</v>
      </c>
      <c r="C2591" s="1" t="s">
        <v>541</v>
      </c>
      <c r="D2591" s="1" t="s">
        <v>541</v>
      </c>
      <c r="E2591" t="s">
        <v>542</v>
      </c>
      <c r="F2591" s="2" t="s">
        <v>9</v>
      </c>
      <c r="G2591" t="s">
        <v>10</v>
      </c>
      <c r="H2591" s="2" t="s">
        <v>4060</v>
      </c>
      <c r="I2591" s="2">
        <v>5.55</v>
      </c>
    </row>
    <row r="2592" spans="1:10" x14ac:dyDescent="0.25">
      <c r="A2592" s="1" t="s">
        <v>4090</v>
      </c>
      <c r="B2592" t="s">
        <v>4091</v>
      </c>
      <c r="C2592" s="1" t="s">
        <v>1094</v>
      </c>
      <c r="D2592" s="1" t="s">
        <v>1094</v>
      </c>
      <c r="E2592" t="s">
        <v>1095</v>
      </c>
      <c r="F2592" s="2" t="s">
        <v>887</v>
      </c>
      <c r="G2592" t="s">
        <v>5</v>
      </c>
      <c r="H2592" s="2" t="s">
        <v>1125</v>
      </c>
      <c r="I2592" s="2">
        <v>5.03</v>
      </c>
    </row>
    <row r="2593" spans="1:9" x14ac:dyDescent="0.25">
      <c r="A2593" s="1" t="s">
        <v>4090</v>
      </c>
      <c r="B2593" t="s">
        <v>4091</v>
      </c>
      <c r="C2593" s="1" t="s">
        <v>541</v>
      </c>
      <c r="D2593" s="1" t="s">
        <v>541</v>
      </c>
      <c r="E2593" t="s">
        <v>542</v>
      </c>
      <c r="F2593" s="2" t="s">
        <v>9</v>
      </c>
      <c r="G2593" t="s">
        <v>10</v>
      </c>
      <c r="H2593" s="2" t="s">
        <v>3681</v>
      </c>
      <c r="I2593" s="2">
        <v>7.22</v>
      </c>
    </row>
    <row r="2594" spans="1:9" x14ac:dyDescent="0.25">
      <c r="A2594" s="1" t="s">
        <v>4092</v>
      </c>
      <c r="B2594" t="s">
        <v>4093</v>
      </c>
      <c r="C2594" s="1" t="s">
        <v>1099</v>
      </c>
      <c r="D2594" s="1" t="s">
        <v>1099</v>
      </c>
      <c r="E2594" t="s">
        <v>1100</v>
      </c>
      <c r="F2594" s="2" t="s">
        <v>1101</v>
      </c>
      <c r="G2594" t="s">
        <v>49</v>
      </c>
      <c r="H2594" s="2" t="s">
        <v>4065</v>
      </c>
      <c r="I2594" s="2">
        <v>3.2</v>
      </c>
    </row>
    <row r="2595" spans="1:9" x14ac:dyDescent="0.25">
      <c r="A2595" s="1" t="s">
        <v>4092</v>
      </c>
      <c r="B2595" t="s">
        <v>4093</v>
      </c>
      <c r="C2595" s="1" t="s">
        <v>432</v>
      </c>
      <c r="D2595" s="1" t="s">
        <v>432</v>
      </c>
      <c r="E2595" t="s">
        <v>433</v>
      </c>
      <c r="F2595" s="2" t="s">
        <v>434</v>
      </c>
      <c r="G2595" t="s">
        <v>435</v>
      </c>
      <c r="H2595" s="2" t="s">
        <v>50</v>
      </c>
      <c r="I2595" s="2">
        <v>1.1000000000000001</v>
      </c>
    </row>
    <row r="2596" spans="1:9" x14ac:dyDescent="0.25">
      <c r="A2596" s="1" t="s">
        <v>4092</v>
      </c>
      <c r="B2596" t="s">
        <v>4093</v>
      </c>
      <c r="C2596" s="1" t="s">
        <v>541</v>
      </c>
      <c r="D2596" s="1" t="s">
        <v>541</v>
      </c>
      <c r="E2596" t="s">
        <v>542</v>
      </c>
      <c r="F2596" s="2" t="s">
        <v>9</v>
      </c>
      <c r="G2596" t="s">
        <v>10</v>
      </c>
      <c r="H2596" s="2" t="s">
        <v>3567</v>
      </c>
      <c r="I2596" s="2">
        <v>16.87</v>
      </c>
    </row>
    <row r="2597" spans="1:9" x14ac:dyDescent="0.25">
      <c r="A2597" s="1" t="s">
        <v>4094</v>
      </c>
      <c r="B2597" t="s">
        <v>4095</v>
      </c>
      <c r="C2597" s="1" t="s">
        <v>3087</v>
      </c>
      <c r="D2597" s="1" t="s">
        <v>3087</v>
      </c>
      <c r="E2597" t="s">
        <v>3088</v>
      </c>
      <c r="F2597" s="2" t="s">
        <v>3089</v>
      </c>
      <c r="G2597" t="s">
        <v>17</v>
      </c>
      <c r="H2597" s="2" t="s">
        <v>1338</v>
      </c>
      <c r="I2597" s="2">
        <v>110.55</v>
      </c>
    </row>
    <row r="2598" spans="1:9" x14ac:dyDescent="0.25">
      <c r="A2598" s="1" t="s">
        <v>4094</v>
      </c>
      <c r="B2598" t="s">
        <v>4095</v>
      </c>
      <c r="C2598" s="1" t="s">
        <v>7</v>
      </c>
      <c r="D2598" s="1" t="s">
        <v>7</v>
      </c>
      <c r="E2598" t="s">
        <v>8</v>
      </c>
      <c r="F2598" s="2" t="s">
        <v>9</v>
      </c>
      <c r="G2598" t="s">
        <v>10</v>
      </c>
      <c r="H2598" s="2" t="s">
        <v>4096</v>
      </c>
      <c r="I2598" s="2">
        <v>11.71</v>
      </c>
    </row>
    <row r="2599" spans="1:9" x14ac:dyDescent="0.25">
      <c r="A2599" s="1" t="s">
        <v>4097</v>
      </c>
      <c r="B2599" t="s">
        <v>4098</v>
      </c>
      <c r="C2599" s="1" t="s">
        <v>1041</v>
      </c>
      <c r="D2599" s="1" t="s">
        <v>1041</v>
      </c>
      <c r="E2599" t="s">
        <v>1042</v>
      </c>
      <c r="F2599" s="2" t="s">
        <v>712</v>
      </c>
      <c r="G2599" t="s">
        <v>17</v>
      </c>
      <c r="H2599" s="2" t="s">
        <v>860</v>
      </c>
      <c r="I2599" s="2">
        <v>12.5</v>
      </c>
    </row>
    <row r="2600" spans="1:9" x14ac:dyDescent="0.25">
      <c r="A2600" s="1" t="s">
        <v>4097</v>
      </c>
      <c r="B2600" t="s">
        <v>4098</v>
      </c>
      <c r="C2600" s="1" t="s">
        <v>541</v>
      </c>
      <c r="D2600" s="1" t="s">
        <v>541</v>
      </c>
      <c r="E2600" t="s">
        <v>542</v>
      </c>
      <c r="F2600" s="2" t="s">
        <v>9</v>
      </c>
      <c r="G2600" t="s">
        <v>10</v>
      </c>
      <c r="H2600" s="2" t="s">
        <v>4099</v>
      </c>
      <c r="I2600" s="2">
        <v>4.8899999999999997</v>
      </c>
    </row>
    <row r="2601" spans="1:9" x14ac:dyDescent="0.25">
      <c r="A2601" s="1" t="s">
        <v>4100</v>
      </c>
      <c r="B2601" t="s">
        <v>4101</v>
      </c>
      <c r="C2601" s="1" t="s">
        <v>1041</v>
      </c>
      <c r="D2601" s="1" t="s">
        <v>1041</v>
      </c>
      <c r="E2601" t="s">
        <v>1042</v>
      </c>
      <c r="F2601" s="2" t="s">
        <v>712</v>
      </c>
      <c r="G2601" t="s">
        <v>17</v>
      </c>
      <c r="H2601" s="2" t="s">
        <v>4102</v>
      </c>
      <c r="I2601" s="2">
        <v>1.8</v>
      </c>
    </row>
    <row r="2602" spans="1:9" x14ac:dyDescent="0.25">
      <c r="A2602" s="1" t="s">
        <v>4100</v>
      </c>
      <c r="B2602" t="s">
        <v>4101</v>
      </c>
      <c r="C2602" s="1" t="s">
        <v>541</v>
      </c>
      <c r="D2602" s="1" t="s">
        <v>541</v>
      </c>
      <c r="E2602" t="s">
        <v>542</v>
      </c>
      <c r="F2602" s="2" t="s">
        <v>9</v>
      </c>
      <c r="G2602" t="s">
        <v>10</v>
      </c>
      <c r="H2602" s="2" t="s">
        <v>4099</v>
      </c>
      <c r="I2602" s="2">
        <v>4.8899999999999997</v>
      </c>
    </row>
    <row r="2603" spans="1:9" x14ac:dyDescent="0.25">
      <c r="A2603" s="1" t="s">
        <v>4103</v>
      </c>
      <c r="B2603" t="s">
        <v>4104</v>
      </c>
      <c r="C2603" s="1" t="s">
        <v>1041</v>
      </c>
      <c r="D2603" s="1" t="s">
        <v>1041</v>
      </c>
      <c r="E2603" t="s">
        <v>1042</v>
      </c>
      <c r="F2603" s="2" t="s">
        <v>712</v>
      </c>
      <c r="G2603" t="s">
        <v>17</v>
      </c>
      <c r="H2603" s="2" t="s">
        <v>4105</v>
      </c>
      <c r="I2603" s="2">
        <v>5.0999999999999996</v>
      </c>
    </row>
    <row r="2604" spans="1:9" x14ac:dyDescent="0.25">
      <c r="A2604" s="1" t="s">
        <v>4103</v>
      </c>
      <c r="B2604" t="s">
        <v>4104</v>
      </c>
      <c r="C2604" s="1" t="s">
        <v>541</v>
      </c>
      <c r="D2604" s="1" t="s">
        <v>541</v>
      </c>
      <c r="E2604" t="s">
        <v>542</v>
      </c>
      <c r="F2604" s="2" t="s">
        <v>9</v>
      </c>
      <c r="G2604" t="s">
        <v>10</v>
      </c>
      <c r="H2604" s="2" t="s">
        <v>4099</v>
      </c>
      <c r="I2604" s="2">
        <v>4.8899999999999997</v>
      </c>
    </row>
    <row r="2605" spans="1:9" x14ac:dyDescent="0.25">
      <c r="A2605" s="1" t="s">
        <v>4106</v>
      </c>
      <c r="B2605" t="s">
        <v>4107</v>
      </c>
      <c r="C2605" s="1" t="s">
        <v>1041</v>
      </c>
      <c r="D2605" s="1" t="s">
        <v>1041</v>
      </c>
      <c r="E2605" t="s">
        <v>1042</v>
      </c>
      <c r="F2605" s="2" t="s">
        <v>712</v>
      </c>
      <c r="G2605" t="s">
        <v>17</v>
      </c>
      <c r="H2605" s="2" t="s">
        <v>4108</v>
      </c>
      <c r="I2605" s="2">
        <v>6.35</v>
      </c>
    </row>
    <row r="2606" spans="1:9" x14ac:dyDescent="0.25">
      <c r="A2606" s="1" t="s">
        <v>4106</v>
      </c>
      <c r="B2606" t="s">
        <v>4107</v>
      </c>
      <c r="C2606" s="1" t="s">
        <v>541</v>
      </c>
      <c r="D2606" s="1" t="s">
        <v>541</v>
      </c>
      <c r="E2606" t="s">
        <v>542</v>
      </c>
      <c r="F2606" s="2" t="s">
        <v>9</v>
      </c>
      <c r="G2606" t="s">
        <v>10</v>
      </c>
      <c r="H2606" s="2" t="s">
        <v>4099</v>
      </c>
      <c r="I2606" s="2">
        <v>4.8899999999999997</v>
      </c>
    </row>
    <row r="2607" spans="1:9" x14ac:dyDescent="0.25">
      <c r="A2607" s="1" t="s">
        <v>4109</v>
      </c>
      <c r="B2607" t="s">
        <v>4110</v>
      </c>
      <c r="C2607" s="1" t="s">
        <v>1203</v>
      </c>
      <c r="D2607" s="1" t="s">
        <v>1203</v>
      </c>
      <c r="E2607" t="s">
        <v>1204</v>
      </c>
      <c r="F2607" s="2" t="s">
        <v>216</v>
      </c>
      <c r="G2607" t="s">
        <v>5</v>
      </c>
      <c r="H2607" s="2" t="s">
        <v>4111</v>
      </c>
      <c r="I2607" s="2">
        <v>0.3</v>
      </c>
    </row>
    <row r="2608" spans="1:9" x14ac:dyDescent="0.25">
      <c r="A2608" s="1" t="s">
        <v>4109</v>
      </c>
      <c r="B2608" t="s">
        <v>4110</v>
      </c>
      <c r="C2608" s="1" t="s">
        <v>432</v>
      </c>
      <c r="D2608" s="1" t="s">
        <v>432</v>
      </c>
      <c r="E2608" t="s">
        <v>433</v>
      </c>
      <c r="F2608" s="2" t="s">
        <v>434</v>
      </c>
      <c r="G2608" t="s">
        <v>435</v>
      </c>
      <c r="H2608" s="2" t="s">
        <v>50</v>
      </c>
      <c r="I2608" s="2">
        <v>1.1000000000000001</v>
      </c>
    </row>
    <row r="2609" spans="1:9" x14ac:dyDescent="0.25">
      <c r="A2609" s="1" t="s">
        <v>4109</v>
      </c>
      <c r="B2609" t="s">
        <v>4110</v>
      </c>
      <c r="C2609" s="1" t="s">
        <v>541</v>
      </c>
      <c r="D2609" s="1" t="s">
        <v>541</v>
      </c>
      <c r="E2609" t="s">
        <v>542</v>
      </c>
      <c r="F2609" s="2" t="s">
        <v>9</v>
      </c>
      <c r="G2609" t="s">
        <v>10</v>
      </c>
      <c r="H2609" s="2" t="s">
        <v>4112</v>
      </c>
      <c r="I2609" s="2">
        <v>11.18</v>
      </c>
    </row>
    <row r="2610" spans="1:9" x14ac:dyDescent="0.25">
      <c r="A2610" s="1" t="s">
        <v>4113</v>
      </c>
      <c r="B2610" t="s">
        <v>4114</v>
      </c>
      <c r="C2610" s="1" t="s">
        <v>2463</v>
      </c>
      <c r="D2610" s="1" t="s">
        <v>2463</v>
      </c>
      <c r="E2610" t="s">
        <v>2464</v>
      </c>
      <c r="F2610" s="2" t="s">
        <v>216</v>
      </c>
      <c r="G2610" t="s">
        <v>5</v>
      </c>
      <c r="H2610" s="2" t="s">
        <v>3040</v>
      </c>
      <c r="I2610" s="2">
        <v>4.97</v>
      </c>
    </row>
    <row r="2611" spans="1:9" x14ac:dyDescent="0.25">
      <c r="A2611" s="1" t="s">
        <v>4113</v>
      </c>
      <c r="B2611" t="s">
        <v>4114</v>
      </c>
      <c r="C2611" s="1" t="s">
        <v>541</v>
      </c>
      <c r="D2611" s="1" t="s">
        <v>541</v>
      </c>
      <c r="E2611" t="s">
        <v>542</v>
      </c>
      <c r="F2611" s="2" t="s">
        <v>9</v>
      </c>
      <c r="G2611" t="s">
        <v>10</v>
      </c>
      <c r="H2611" s="2" t="s">
        <v>4115</v>
      </c>
      <c r="I2611" s="2">
        <v>9.27</v>
      </c>
    </row>
    <row r="2612" spans="1:9" x14ac:dyDescent="0.25">
      <c r="A2612" s="1" t="s">
        <v>4116</v>
      </c>
      <c r="B2612" t="s">
        <v>4117</v>
      </c>
      <c r="C2612" s="1" t="s">
        <v>1203</v>
      </c>
      <c r="D2612" s="1" t="s">
        <v>1203</v>
      </c>
      <c r="E2612" t="s">
        <v>1204</v>
      </c>
      <c r="F2612" s="2" t="s">
        <v>216</v>
      </c>
      <c r="G2612" t="s">
        <v>5</v>
      </c>
      <c r="H2612" s="2" t="s">
        <v>4118</v>
      </c>
      <c r="I2612" s="2">
        <v>3.22</v>
      </c>
    </row>
    <row r="2613" spans="1:9" x14ac:dyDescent="0.25">
      <c r="A2613" s="1" t="s">
        <v>4116</v>
      </c>
      <c r="B2613" t="s">
        <v>4117</v>
      </c>
      <c r="C2613" s="1" t="s">
        <v>7</v>
      </c>
      <c r="D2613" s="1" t="s">
        <v>7</v>
      </c>
      <c r="E2613" t="s">
        <v>8</v>
      </c>
      <c r="F2613" s="2" t="s">
        <v>9</v>
      </c>
      <c r="G2613" t="s">
        <v>10</v>
      </c>
      <c r="H2613" s="2" t="s">
        <v>4119</v>
      </c>
      <c r="I2613" s="2">
        <v>3.18</v>
      </c>
    </row>
    <row r="2614" spans="1:9" x14ac:dyDescent="0.25">
      <c r="A2614" s="1" t="s">
        <v>4120</v>
      </c>
      <c r="B2614" t="s">
        <v>4121</v>
      </c>
      <c r="C2614" s="1" t="s">
        <v>2458</v>
      </c>
      <c r="D2614" s="1" t="s">
        <v>2458</v>
      </c>
      <c r="E2614" t="s">
        <v>2459</v>
      </c>
      <c r="F2614" s="2" t="s">
        <v>384</v>
      </c>
      <c r="G2614" t="s">
        <v>5</v>
      </c>
      <c r="H2614" s="2" t="s">
        <v>3270</v>
      </c>
      <c r="I2614" s="2">
        <v>2.7</v>
      </c>
    </row>
    <row r="2615" spans="1:9" x14ac:dyDescent="0.25">
      <c r="A2615" s="1" t="s">
        <v>4120</v>
      </c>
      <c r="B2615" t="s">
        <v>4121</v>
      </c>
      <c r="C2615" s="1" t="s">
        <v>541</v>
      </c>
      <c r="D2615" s="1" t="s">
        <v>541</v>
      </c>
      <c r="E2615" t="s">
        <v>542</v>
      </c>
      <c r="F2615" s="2" t="s">
        <v>9</v>
      </c>
      <c r="G2615" t="s">
        <v>10</v>
      </c>
      <c r="H2615" s="2" t="s">
        <v>601</v>
      </c>
      <c r="I2615" s="2">
        <v>6.9</v>
      </c>
    </row>
    <row r="2616" spans="1:9" x14ac:dyDescent="0.25">
      <c r="A2616" s="1" t="s">
        <v>441</v>
      </c>
      <c r="B2616" t="s">
        <v>442</v>
      </c>
      <c r="C2616" s="1" t="s">
        <v>4122</v>
      </c>
      <c r="D2616" s="1" t="s">
        <v>4122</v>
      </c>
      <c r="E2616" t="s">
        <v>4123</v>
      </c>
      <c r="F2616" s="2" t="s">
        <v>4124</v>
      </c>
      <c r="G2616" t="s">
        <v>17</v>
      </c>
      <c r="H2616" s="2" t="s">
        <v>4125</v>
      </c>
      <c r="I2616" s="2">
        <v>5.98</v>
      </c>
    </row>
    <row r="2617" spans="1:9" x14ac:dyDescent="0.25">
      <c r="A2617" s="1" t="s">
        <v>441</v>
      </c>
      <c r="B2617" t="s">
        <v>442</v>
      </c>
      <c r="C2617" s="1" t="s">
        <v>7</v>
      </c>
      <c r="D2617" s="1" t="s">
        <v>7</v>
      </c>
      <c r="E2617" t="s">
        <v>8</v>
      </c>
      <c r="F2617" s="2" t="s">
        <v>9</v>
      </c>
      <c r="G2617" t="s">
        <v>10</v>
      </c>
      <c r="H2617" s="2" t="s">
        <v>33</v>
      </c>
      <c r="I2617" s="2">
        <v>9.1999999999999993</v>
      </c>
    </row>
    <row r="2618" spans="1:9" x14ac:dyDescent="0.25">
      <c r="A2618" s="1" t="s">
        <v>444</v>
      </c>
      <c r="B2618" t="s">
        <v>445</v>
      </c>
      <c r="C2618" s="1" t="s">
        <v>4122</v>
      </c>
      <c r="D2618" s="1" t="s">
        <v>4122</v>
      </c>
      <c r="E2618" t="s">
        <v>4123</v>
      </c>
      <c r="F2618" s="2" t="s">
        <v>4124</v>
      </c>
      <c r="G2618" t="s">
        <v>17</v>
      </c>
      <c r="H2618" s="2" t="s">
        <v>4126</v>
      </c>
      <c r="I2618" s="2">
        <v>14.1</v>
      </c>
    </row>
    <row r="2619" spans="1:9" x14ac:dyDescent="0.25">
      <c r="A2619" s="1" t="s">
        <v>444</v>
      </c>
      <c r="B2619" t="s">
        <v>445</v>
      </c>
      <c r="C2619" s="1" t="s">
        <v>7</v>
      </c>
      <c r="D2619" s="1" t="s">
        <v>7</v>
      </c>
      <c r="E2619" t="s">
        <v>8</v>
      </c>
      <c r="F2619" s="2" t="s">
        <v>9</v>
      </c>
      <c r="G2619" t="s">
        <v>10</v>
      </c>
      <c r="H2619" s="2" t="s">
        <v>2315</v>
      </c>
      <c r="I2619" s="2">
        <v>41.4</v>
      </c>
    </row>
    <row r="2620" spans="1:9" x14ac:dyDescent="0.25">
      <c r="A2620" s="1" t="s">
        <v>4127</v>
      </c>
      <c r="B2620" t="s">
        <v>4128</v>
      </c>
      <c r="C2620" s="1" t="s">
        <v>1188</v>
      </c>
      <c r="D2620" s="1" t="s">
        <v>1188</v>
      </c>
      <c r="E2620" t="s">
        <v>1189</v>
      </c>
      <c r="F2620" s="2" t="s">
        <v>1190</v>
      </c>
      <c r="G2620" t="s">
        <v>5</v>
      </c>
      <c r="H2620" s="2" t="s">
        <v>1026</v>
      </c>
      <c r="I2620" s="2">
        <v>6.18</v>
      </c>
    </row>
    <row r="2621" spans="1:9" x14ac:dyDescent="0.25">
      <c r="A2621" s="1" t="s">
        <v>4127</v>
      </c>
      <c r="B2621" t="s">
        <v>4128</v>
      </c>
      <c r="C2621" s="1" t="s">
        <v>541</v>
      </c>
      <c r="D2621" s="1" t="s">
        <v>541</v>
      </c>
      <c r="E2621" t="s">
        <v>542</v>
      </c>
      <c r="F2621" s="2" t="s">
        <v>9</v>
      </c>
      <c r="G2621" t="s">
        <v>10</v>
      </c>
      <c r="H2621" s="2" t="s">
        <v>3540</v>
      </c>
      <c r="I2621" s="2">
        <v>7.25</v>
      </c>
    </row>
    <row r="2622" spans="1:9" x14ac:dyDescent="0.25">
      <c r="A2622" s="1" t="s">
        <v>4129</v>
      </c>
      <c r="B2622" t="s">
        <v>4130</v>
      </c>
      <c r="C2622" s="1" t="s">
        <v>1785</v>
      </c>
      <c r="D2622" s="1" t="s">
        <v>1785</v>
      </c>
      <c r="E2622" t="s">
        <v>1786</v>
      </c>
      <c r="F2622" s="2" t="s">
        <v>216</v>
      </c>
      <c r="G2622" t="s">
        <v>5</v>
      </c>
      <c r="H2622" s="2" t="s">
        <v>33</v>
      </c>
      <c r="I2622" s="2">
        <v>1.4</v>
      </c>
    </row>
    <row r="2623" spans="1:9" x14ac:dyDescent="0.25">
      <c r="A2623" s="1" t="s">
        <v>4129</v>
      </c>
      <c r="B2623" t="s">
        <v>4130</v>
      </c>
      <c r="C2623" s="1" t="s">
        <v>432</v>
      </c>
      <c r="D2623" s="1" t="s">
        <v>432</v>
      </c>
      <c r="E2623" t="s">
        <v>433</v>
      </c>
      <c r="F2623" s="2" t="s">
        <v>434</v>
      </c>
      <c r="G2623" t="s">
        <v>435</v>
      </c>
      <c r="H2623" s="2" t="s">
        <v>50</v>
      </c>
      <c r="I2623" s="2">
        <v>1.1000000000000001</v>
      </c>
    </row>
    <row r="2624" spans="1:9" x14ac:dyDescent="0.25">
      <c r="A2624" s="1" t="s">
        <v>4129</v>
      </c>
      <c r="B2624" t="s">
        <v>4130</v>
      </c>
      <c r="C2624" s="1" t="s">
        <v>541</v>
      </c>
      <c r="D2624" s="1" t="s">
        <v>541</v>
      </c>
      <c r="E2624" t="s">
        <v>542</v>
      </c>
      <c r="F2624" s="2" t="s">
        <v>9</v>
      </c>
      <c r="G2624" t="s">
        <v>10</v>
      </c>
      <c r="H2624" s="2" t="s">
        <v>3041</v>
      </c>
      <c r="I2624" s="2">
        <v>9.69</v>
      </c>
    </row>
    <row r="2625" spans="1:9" x14ac:dyDescent="0.25">
      <c r="A2625" s="1" t="s">
        <v>4131</v>
      </c>
      <c r="B2625" t="s">
        <v>4132</v>
      </c>
      <c r="C2625" s="1" t="s">
        <v>1188</v>
      </c>
      <c r="D2625" s="1" t="s">
        <v>1188</v>
      </c>
      <c r="E2625" t="s">
        <v>1189</v>
      </c>
      <c r="F2625" s="2" t="s">
        <v>1190</v>
      </c>
      <c r="G2625" t="s">
        <v>5</v>
      </c>
      <c r="H2625" s="2" t="s">
        <v>1026</v>
      </c>
      <c r="I2625" s="2">
        <v>6.18</v>
      </c>
    </row>
    <row r="2626" spans="1:9" x14ac:dyDescent="0.25">
      <c r="A2626" s="1" t="s">
        <v>4131</v>
      </c>
      <c r="B2626" t="s">
        <v>4132</v>
      </c>
      <c r="C2626" s="1" t="s">
        <v>541</v>
      </c>
      <c r="D2626" s="1" t="s">
        <v>541</v>
      </c>
      <c r="E2626" t="s">
        <v>542</v>
      </c>
      <c r="F2626" s="2" t="s">
        <v>9</v>
      </c>
      <c r="G2626" t="s">
        <v>10</v>
      </c>
      <c r="H2626" s="2" t="s">
        <v>2890</v>
      </c>
      <c r="I2626" s="2">
        <v>2.42</v>
      </c>
    </row>
    <row r="2627" spans="1:9" x14ac:dyDescent="0.25">
      <c r="A2627" s="1" t="s">
        <v>4131</v>
      </c>
      <c r="B2627" t="s">
        <v>4132</v>
      </c>
      <c r="C2627" s="1" t="s">
        <v>541</v>
      </c>
      <c r="D2627" s="1" t="s">
        <v>541</v>
      </c>
      <c r="E2627" t="s">
        <v>542</v>
      </c>
      <c r="F2627" s="2" t="s">
        <v>9</v>
      </c>
      <c r="G2627" t="s">
        <v>10</v>
      </c>
      <c r="H2627" s="2" t="s">
        <v>3047</v>
      </c>
      <c r="I2627" s="2">
        <v>4.83</v>
      </c>
    </row>
    <row r="2628" spans="1:9" x14ac:dyDescent="0.25">
      <c r="A2628" s="1" t="s">
        <v>4133</v>
      </c>
      <c r="B2628" t="s">
        <v>4134</v>
      </c>
      <c r="C2628" s="1" t="s">
        <v>1188</v>
      </c>
      <c r="D2628" s="1" t="s">
        <v>1188</v>
      </c>
      <c r="E2628" t="s">
        <v>1189</v>
      </c>
      <c r="F2628" s="2" t="s">
        <v>1190</v>
      </c>
      <c r="G2628" t="s">
        <v>5</v>
      </c>
      <c r="H2628" s="2" t="s">
        <v>1026</v>
      </c>
      <c r="I2628" s="2">
        <v>6.18</v>
      </c>
    </row>
    <row r="2629" spans="1:9" x14ac:dyDescent="0.25">
      <c r="A2629" s="1" t="s">
        <v>4133</v>
      </c>
      <c r="B2629" t="s">
        <v>4134</v>
      </c>
      <c r="C2629" s="1" t="s">
        <v>541</v>
      </c>
      <c r="D2629" s="1" t="s">
        <v>541</v>
      </c>
      <c r="E2629" t="s">
        <v>542</v>
      </c>
      <c r="F2629" s="2" t="s">
        <v>9</v>
      </c>
      <c r="G2629" t="s">
        <v>10</v>
      </c>
      <c r="H2629" s="2" t="s">
        <v>3047</v>
      </c>
      <c r="I2629" s="2">
        <v>4.83</v>
      </c>
    </row>
    <row r="2630" spans="1:9" x14ac:dyDescent="0.25">
      <c r="A2630" s="1" t="s">
        <v>4133</v>
      </c>
      <c r="B2630" t="s">
        <v>4134</v>
      </c>
      <c r="C2630" s="1" t="s">
        <v>541</v>
      </c>
      <c r="D2630" s="1" t="s">
        <v>541</v>
      </c>
      <c r="E2630" t="s">
        <v>542</v>
      </c>
      <c r="F2630" s="2" t="s">
        <v>9</v>
      </c>
      <c r="G2630" t="s">
        <v>10</v>
      </c>
      <c r="H2630" s="2" t="s">
        <v>2890</v>
      </c>
      <c r="I2630" s="2">
        <v>2.42</v>
      </c>
    </row>
    <row r="2631" spans="1:9" x14ac:dyDescent="0.25">
      <c r="A2631" s="1" t="s">
        <v>4135</v>
      </c>
      <c r="B2631" t="s">
        <v>4136</v>
      </c>
      <c r="C2631" s="1" t="s">
        <v>2</v>
      </c>
      <c r="D2631" s="1" t="s">
        <v>2</v>
      </c>
      <c r="E2631" t="s">
        <v>3</v>
      </c>
      <c r="F2631" s="2" t="s">
        <v>4</v>
      </c>
      <c r="G2631" t="s">
        <v>5</v>
      </c>
      <c r="H2631" s="2" t="s">
        <v>4137</v>
      </c>
      <c r="I2631" s="2">
        <v>6.06</v>
      </c>
    </row>
    <row r="2632" spans="1:9" x14ac:dyDescent="0.25">
      <c r="A2632" s="1" t="s">
        <v>4135</v>
      </c>
      <c r="B2632" t="s">
        <v>4136</v>
      </c>
      <c r="C2632" s="1" t="s">
        <v>541</v>
      </c>
      <c r="D2632" s="1" t="s">
        <v>541</v>
      </c>
      <c r="E2632" t="s">
        <v>542</v>
      </c>
      <c r="F2632" s="2" t="s">
        <v>9</v>
      </c>
      <c r="G2632" t="s">
        <v>10</v>
      </c>
      <c r="H2632" s="2" t="s">
        <v>3913</v>
      </c>
      <c r="I2632" s="2">
        <v>2.48</v>
      </c>
    </row>
    <row r="2633" spans="1:9" x14ac:dyDescent="0.25">
      <c r="A2633" s="1" t="s">
        <v>4138</v>
      </c>
      <c r="B2633" t="s">
        <v>4139</v>
      </c>
      <c r="C2633" s="1" t="s">
        <v>1047</v>
      </c>
      <c r="D2633" s="1" t="s">
        <v>1047</v>
      </c>
      <c r="E2633" t="s">
        <v>1048</v>
      </c>
      <c r="F2633" s="2" t="s">
        <v>1434</v>
      </c>
      <c r="G2633" t="s">
        <v>17</v>
      </c>
      <c r="H2633" s="2" t="s">
        <v>4140</v>
      </c>
      <c r="I2633" s="2">
        <v>7.48</v>
      </c>
    </row>
    <row r="2634" spans="1:9" x14ac:dyDescent="0.25">
      <c r="A2634" s="1" t="s">
        <v>4138</v>
      </c>
      <c r="B2634" t="s">
        <v>4139</v>
      </c>
      <c r="C2634" s="1" t="s">
        <v>7</v>
      </c>
      <c r="D2634" s="1" t="s">
        <v>7</v>
      </c>
      <c r="E2634" t="s">
        <v>8</v>
      </c>
      <c r="F2634" s="2" t="s">
        <v>9</v>
      </c>
      <c r="G2634" t="s">
        <v>10</v>
      </c>
      <c r="H2634" s="2" t="s">
        <v>4141</v>
      </c>
      <c r="I2634" s="2">
        <v>4.92</v>
      </c>
    </row>
    <row r="2635" spans="1:9" x14ac:dyDescent="0.25">
      <c r="A2635" s="1" t="s">
        <v>4142</v>
      </c>
      <c r="B2635" t="s">
        <v>4143</v>
      </c>
      <c r="C2635" s="1" t="s">
        <v>1047</v>
      </c>
      <c r="D2635" s="1" t="s">
        <v>1047</v>
      </c>
      <c r="E2635" t="s">
        <v>1048</v>
      </c>
      <c r="F2635" s="2" t="s">
        <v>1434</v>
      </c>
      <c r="G2635" t="s">
        <v>17</v>
      </c>
      <c r="H2635" s="2" t="s">
        <v>4144</v>
      </c>
      <c r="I2635" s="2">
        <v>8.49</v>
      </c>
    </row>
    <row r="2636" spans="1:9" x14ac:dyDescent="0.25">
      <c r="A2636" s="1" t="s">
        <v>4142</v>
      </c>
      <c r="B2636" t="s">
        <v>4143</v>
      </c>
      <c r="C2636" s="1" t="s">
        <v>7</v>
      </c>
      <c r="D2636" s="1" t="s">
        <v>7</v>
      </c>
      <c r="E2636" t="s">
        <v>8</v>
      </c>
      <c r="F2636" s="2" t="s">
        <v>9</v>
      </c>
      <c r="G2636" t="s">
        <v>10</v>
      </c>
      <c r="H2636" s="2" t="s">
        <v>4145</v>
      </c>
      <c r="I2636" s="2">
        <v>4.8099999999999996</v>
      </c>
    </row>
    <row r="2637" spans="1:9" x14ac:dyDescent="0.25">
      <c r="A2637" s="1" t="s">
        <v>4146</v>
      </c>
      <c r="B2637" t="s">
        <v>4147</v>
      </c>
      <c r="C2637" s="1" t="s">
        <v>1041</v>
      </c>
      <c r="D2637" s="1" t="s">
        <v>1041</v>
      </c>
      <c r="E2637" t="s">
        <v>1042</v>
      </c>
      <c r="F2637" s="2" t="s">
        <v>712</v>
      </c>
      <c r="G2637" t="s">
        <v>17</v>
      </c>
      <c r="H2637" s="2" t="s">
        <v>4148</v>
      </c>
      <c r="I2637" s="2">
        <v>3.95</v>
      </c>
    </row>
    <row r="2638" spans="1:9" x14ac:dyDescent="0.25">
      <c r="A2638" s="1" t="s">
        <v>4146</v>
      </c>
      <c r="B2638" t="s">
        <v>4147</v>
      </c>
      <c r="C2638" s="1" t="s">
        <v>7</v>
      </c>
      <c r="D2638" s="1" t="s">
        <v>7</v>
      </c>
      <c r="E2638" t="s">
        <v>8</v>
      </c>
      <c r="F2638" s="2" t="s">
        <v>9</v>
      </c>
      <c r="G2638" t="s">
        <v>10</v>
      </c>
      <c r="H2638" s="2" t="s">
        <v>4099</v>
      </c>
      <c r="I2638" s="2">
        <v>4.8899999999999997</v>
      </c>
    </row>
    <row r="2639" spans="1:9" x14ac:dyDescent="0.25">
      <c r="A2639" s="1" t="s">
        <v>4149</v>
      </c>
      <c r="B2639" t="s">
        <v>4150</v>
      </c>
      <c r="C2639" s="1" t="s">
        <v>1041</v>
      </c>
      <c r="D2639" s="1" t="s">
        <v>1041</v>
      </c>
      <c r="E2639" t="s">
        <v>1042</v>
      </c>
      <c r="F2639" s="2" t="s">
        <v>712</v>
      </c>
      <c r="G2639" t="s">
        <v>17</v>
      </c>
      <c r="H2639" s="2" t="s">
        <v>4151</v>
      </c>
      <c r="I2639" s="2">
        <v>3.15</v>
      </c>
    </row>
    <row r="2640" spans="1:9" x14ac:dyDescent="0.25">
      <c r="A2640" s="1" t="s">
        <v>4149</v>
      </c>
      <c r="B2640" t="s">
        <v>4150</v>
      </c>
      <c r="C2640" s="1" t="s">
        <v>541</v>
      </c>
      <c r="D2640" s="1" t="s">
        <v>541</v>
      </c>
      <c r="E2640" t="s">
        <v>542</v>
      </c>
      <c r="F2640" s="2" t="s">
        <v>9</v>
      </c>
      <c r="G2640" t="s">
        <v>10</v>
      </c>
      <c r="H2640" s="2" t="s">
        <v>4099</v>
      </c>
      <c r="I2640" s="2">
        <v>4.8899999999999997</v>
      </c>
    </row>
    <row r="2641" spans="1:9" x14ac:dyDescent="0.25">
      <c r="A2641" s="1" t="s">
        <v>4152</v>
      </c>
      <c r="B2641" t="s">
        <v>4153</v>
      </c>
      <c r="C2641" s="1" t="s">
        <v>1041</v>
      </c>
      <c r="D2641" s="1" t="s">
        <v>1041</v>
      </c>
      <c r="E2641" t="s">
        <v>1042</v>
      </c>
      <c r="F2641" s="2" t="s">
        <v>712</v>
      </c>
      <c r="G2641" t="s">
        <v>17</v>
      </c>
      <c r="H2641" s="2" t="s">
        <v>4154</v>
      </c>
      <c r="I2641" s="2">
        <v>3.95</v>
      </c>
    </row>
    <row r="2642" spans="1:9" x14ac:dyDescent="0.25">
      <c r="A2642" s="1" t="s">
        <v>4152</v>
      </c>
      <c r="B2642" t="s">
        <v>4153</v>
      </c>
      <c r="C2642" s="1" t="s">
        <v>541</v>
      </c>
      <c r="D2642" s="1" t="s">
        <v>541</v>
      </c>
      <c r="E2642" t="s">
        <v>542</v>
      </c>
      <c r="F2642" s="2" t="s">
        <v>9</v>
      </c>
      <c r="G2642" t="s">
        <v>10</v>
      </c>
      <c r="H2642" s="2" t="s">
        <v>4099</v>
      </c>
      <c r="I2642" s="2">
        <v>4.8899999999999997</v>
      </c>
    </row>
    <row r="2643" spans="1:9" x14ac:dyDescent="0.25">
      <c r="A2643" s="1" t="s">
        <v>4155</v>
      </c>
      <c r="B2643" t="s">
        <v>4156</v>
      </c>
      <c r="C2643" s="1" t="s">
        <v>2458</v>
      </c>
      <c r="D2643" s="1" t="s">
        <v>2458</v>
      </c>
      <c r="E2643" t="s">
        <v>2459</v>
      </c>
      <c r="F2643" s="2" t="s">
        <v>384</v>
      </c>
      <c r="G2643" t="s">
        <v>5</v>
      </c>
      <c r="H2643" s="2" t="s">
        <v>4157</v>
      </c>
      <c r="I2643" s="2">
        <v>2.2999999999999998</v>
      </c>
    </row>
    <row r="2644" spans="1:9" x14ac:dyDescent="0.25">
      <c r="A2644" s="1" t="s">
        <v>4155</v>
      </c>
      <c r="B2644" t="s">
        <v>4156</v>
      </c>
      <c r="C2644" s="1" t="s">
        <v>541</v>
      </c>
      <c r="D2644" s="1" t="s">
        <v>541</v>
      </c>
      <c r="E2644" t="s">
        <v>542</v>
      </c>
      <c r="F2644" s="2" t="s">
        <v>9</v>
      </c>
      <c r="G2644" t="s">
        <v>10</v>
      </c>
      <c r="H2644" s="2" t="s">
        <v>3546</v>
      </c>
      <c r="I2644" s="2">
        <v>4.8099999999999996</v>
      </c>
    </row>
    <row r="2645" spans="1:9" x14ac:dyDescent="0.25">
      <c r="A2645" s="1" t="s">
        <v>4158</v>
      </c>
      <c r="B2645" t="s">
        <v>4159</v>
      </c>
      <c r="C2645" s="1" t="s">
        <v>1041</v>
      </c>
      <c r="D2645" s="1" t="s">
        <v>1041</v>
      </c>
      <c r="E2645" t="s">
        <v>1042</v>
      </c>
      <c r="F2645" s="2" t="s">
        <v>712</v>
      </c>
      <c r="G2645" t="s">
        <v>17</v>
      </c>
      <c r="H2645" s="2" t="s">
        <v>2949</v>
      </c>
      <c r="I2645" s="2">
        <v>7</v>
      </c>
    </row>
    <row r="2646" spans="1:9" x14ac:dyDescent="0.25">
      <c r="A2646" s="1" t="s">
        <v>4158</v>
      </c>
      <c r="B2646" t="s">
        <v>4159</v>
      </c>
      <c r="C2646" s="1" t="s">
        <v>541</v>
      </c>
      <c r="D2646" s="1" t="s">
        <v>541</v>
      </c>
      <c r="E2646" t="s">
        <v>542</v>
      </c>
      <c r="F2646" s="2" t="s">
        <v>9</v>
      </c>
      <c r="G2646" t="s">
        <v>10</v>
      </c>
      <c r="H2646" s="2" t="s">
        <v>4099</v>
      </c>
      <c r="I2646" s="2">
        <v>4.8899999999999997</v>
      </c>
    </row>
    <row r="2647" spans="1:9" x14ac:dyDescent="0.25">
      <c r="A2647" s="1" t="s">
        <v>4160</v>
      </c>
      <c r="B2647" t="s">
        <v>4161</v>
      </c>
      <c r="C2647" s="1" t="s">
        <v>1047</v>
      </c>
      <c r="D2647" s="1" t="s">
        <v>1047</v>
      </c>
      <c r="E2647" t="s">
        <v>1048</v>
      </c>
      <c r="F2647" s="2" t="s">
        <v>1434</v>
      </c>
      <c r="G2647" t="s">
        <v>17</v>
      </c>
      <c r="H2647" s="2" t="s">
        <v>4162</v>
      </c>
      <c r="I2647" s="2">
        <v>11.87</v>
      </c>
    </row>
    <row r="2648" spans="1:9" x14ac:dyDescent="0.25">
      <c r="A2648" s="1" t="s">
        <v>4160</v>
      </c>
      <c r="B2648" t="s">
        <v>4161</v>
      </c>
      <c r="C2648" s="1" t="s">
        <v>7</v>
      </c>
      <c r="D2648" s="1" t="s">
        <v>7</v>
      </c>
      <c r="E2648" t="s">
        <v>8</v>
      </c>
      <c r="F2648" s="2" t="s">
        <v>9</v>
      </c>
      <c r="G2648" t="s">
        <v>10</v>
      </c>
      <c r="H2648" s="2" t="s">
        <v>4163</v>
      </c>
      <c r="I2648" s="2">
        <v>4.88</v>
      </c>
    </row>
    <row r="2649" spans="1:9" x14ac:dyDescent="0.25">
      <c r="A2649" s="1" t="s">
        <v>4164</v>
      </c>
      <c r="B2649" t="s">
        <v>4165</v>
      </c>
      <c r="C2649" s="1" t="s">
        <v>1188</v>
      </c>
      <c r="D2649" s="1" t="s">
        <v>1188</v>
      </c>
      <c r="E2649" t="s">
        <v>1189</v>
      </c>
      <c r="F2649" s="2" t="s">
        <v>1190</v>
      </c>
      <c r="G2649" t="s">
        <v>5</v>
      </c>
      <c r="H2649" s="2" t="s">
        <v>601</v>
      </c>
      <c r="I2649" s="2">
        <v>1.43</v>
      </c>
    </row>
    <row r="2650" spans="1:9" x14ac:dyDescent="0.25">
      <c r="A2650" s="1" t="s">
        <v>4164</v>
      </c>
      <c r="B2650" t="s">
        <v>4165</v>
      </c>
      <c r="C2650" s="1" t="s">
        <v>432</v>
      </c>
      <c r="D2650" s="1" t="s">
        <v>432</v>
      </c>
      <c r="E2650" t="s">
        <v>433</v>
      </c>
      <c r="F2650" s="2" t="s">
        <v>434</v>
      </c>
      <c r="G2650" t="s">
        <v>435</v>
      </c>
      <c r="H2650" s="2" t="s">
        <v>50</v>
      </c>
      <c r="I2650" s="2">
        <v>1.1000000000000001</v>
      </c>
    </row>
    <row r="2651" spans="1:9" x14ac:dyDescent="0.25">
      <c r="A2651" s="1" t="s">
        <v>4164</v>
      </c>
      <c r="B2651" t="s">
        <v>4165</v>
      </c>
      <c r="C2651" s="1" t="s">
        <v>541</v>
      </c>
      <c r="D2651" s="1" t="s">
        <v>541</v>
      </c>
      <c r="E2651" t="s">
        <v>542</v>
      </c>
      <c r="F2651" s="2" t="s">
        <v>9</v>
      </c>
      <c r="G2651" t="s">
        <v>10</v>
      </c>
      <c r="H2651" s="2" t="s">
        <v>3675</v>
      </c>
      <c r="I2651" s="2">
        <v>2.4500000000000002</v>
      </c>
    </row>
    <row r="2652" spans="1:9" x14ac:dyDescent="0.25">
      <c r="A2652" s="1" t="s">
        <v>4166</v>
      </c>
      <c r="B2652" t="s">
        <v>4167</v>
      </c>
      <c r="C2652" s="1" t="s">
        <v>4168</v>
      </c>
      <c r="D2652" s="1" t="s">
        <v>4168</v>
      </c>
      <c r="E2652" t="s">
        <v>4169</v>
      </c>
      <c r="F2652" s="2" t="s">
        <v>70</v>
      </c>
      <c r="G2652" t="s">
        <v>5</v>
      </c>
      <c r="H2652" s="2" t="s">
        <v>860</v>
      </c>
      <c r="I2652" s="2">
        <v>2.5</v>
      </c>
    </row>
    <row r="2653" spans="1:9" x14ac:dyDescent="0.25">
      <c r="A2653" s="1" t="s">
        <v>4166</v>
      </c>
      <c r="B2653" t="s">
        <v>4167</v>
      </c>
      <c r="C2653" s="1" t="s">
        <v>432</v>
      </c>
      <c r="D2653" s="1" t="s">
        <v>432</v>
      </c>
      <c r="E2653" t="s">
        <v>433</v>
      </c>
      <c r="F2653" s="2" t="s">
        <v>434</v>
      </c>
      <c r="G2653" t="s">
        <v>435</v>
      </c>
      <c r="H2653" s="2" t="s">
        <v>50</v>
      </c>
      <c r="I2653" s="2">
        <v>1.1000000000000001</v>
      </c>
    </row>
    <row r="2654" spans="1:9" x14ac:dyDescent="0.25">
      <c r="A2654" s="1" t="s">
        <v>4166</v>
      </c>
      <c r="B2654" t="s">
        <v>4167</v>
      </c>
      <c r="C2654" s="1" t="s">
        <v>541</v>
      </c>
      <c r="D2654" s="1" t="s">
        <v>541</v>
      </c>
      <c r="E2654" t="s">
        <v>542</v>
      </c>
      <c r="F2654" s="2" t="s">
        <v>9</v>
      </c>
      <c r="G2654" t="s">
        <v>10</v>
      </c>
      <c r="H2654" s="2" t="s">
        <v>4170</v>
      </c>
      <c r="I2654" s="2">
        <v>17.28</v>
      </c>
    </row>
    <row r="2655" spans="1:9" x14ac:dyDescent="0.25">
      <c r="A2655" s="1" t="s">
        <v>4171</v>
      </c>
      <c r="B2655" t="s">
        <v>4172</v>
      </c>
      <c r="C2655" s="1" t="s">
        <v>1041</v>
      </c>
      <c r="D2655" s="1" t="s">
        <v>1041</v>
      </c>
      <c r="E2655" t="s">
        <v>1042</v>
      </c>
      <c r="F2655" s="2" t="s">
        <v>712</v>
      </c>
      <c r="G2655" t="s">
        <v>17</v>
      </c>
      <c r="H2655" s="2" t="s">
        <v>4173</v>
      </c>
      <c r="I2655" s="2">
        <v>4.2</v>
      </c>
    </row>
    <row r="2656" spans="1:9" x14ac:dyDescent="0.25">
      <c r="A2656" s="1" t="s">
        <v>4171</v>
      </c>
      <c r="B2656" t="s">
        <v>4172</v>
      </c>
      <c r="C2656" s="1" t="s">
        <v>7</v>
      </c>
      <c r="D2656" s="1" t="s">
        <v>7</v>
      </c>
      <c r="E2656" t="s">
        <v>8</v>
      </c>
      <c r="F2656" s="2" t="s">
        <v>9</v>
      </c>
      <c r="G2656" t="s">
        <v>10</v>
      </c>
      <c r="H2656" s="2" t="s">
        <v>4099</v>
      </c>
      <c r="I2656" s="2">
        <v>4.8899999999999997</v>
      </c>
    </row>
    <row r="2657" spans="1:9" x14ac:dyDescent="0.25">
      <c r="A2657" s="1" t="s">
        <v>4174</v>
      </c>
      <c r="B2657" t="s">
        <v>4175</v>
      </c>
      <c r="C2657" s="1" t="s">
        <v>1041</v>
      </c>
      <c r="D2657" s="1" t="s">
        <v>1041</v>
      </c>
      <c r="E2657" t="s">
        <v>1042</v>
      </c>
      <c r="F2657" s="2" t="s">
        <v>712</v>
      </c>
      <c r="G2657" t="s">
        <v>17</v>
      </c>
      <c r="H2657" s="2" t="s">
        <v>4176</v>
      </c>
      <c r="I2657" s="2">
        <v>4.25</v>
      </c>
    </row>
    <row r="2658" spans="1:9" x14ac:dyDescent="0.25">
      <c r="A2658" s="1" t="s">
        <v>4174</v>
      </c>
      <c r="B2658" t="s">
        <v>4175</v>
      </c>
      <c r="C2658" s="1" t="s">
        <v>7</v>
      </c>
      <c r="D2658" s="1" t="s">
        <v>7</v>
      </c>
      <c r="E2658" t="s">
        <v>8</v>
      </c>
      <c r="F2658" s="2" t="s">
        <v>9</v>
      </c>
      <c r="G2658" t="s">
        <v>10</v>
      </c>
      <c r="H2658" s="2" t="s">
        <v>4099</v>
      </c>
      <c r="I2658" s="2">
        <v>4.8899999999999997</v>
      </c>
    </row>
    <row r="2659" spans="1:9" x14ac:dyDescent="0.25">
      <c r="A2659" s="1" t="s">
        <v>4177</v>
      </c>
      <c r="B2659" t="s">
        <v>4178</v>
      </c>
      <c r="C2659" s="1" t="s">
        <v>1047</v>
      </c>
      <c r="D2659" s="1" t="s">
        <v>1047</v>
      </c>
      <c r="E2659" t="s">
        <v>1048</v>
      </c>
      <c r="F2659" s="2" t="s">
        <v>1434</v>
      </c>
      <c r="G2659" t="s">
        <v>17</v>
      </c>
      <c r="H2659" s="2" t="s">
        <v>4179</v>
      </c>
      <c r="I2659" s="2">
        <v>2.99</v>
      </c>
    </row>
    <row r="2660" spans="1:9" x14ac:dyDescent="0.25">
      <c r="A2660" s="1" t="s">
        <v>4177</v>
      </c>
      <c r="B2660" t="s">
        <v>4178</v>
      </c>
      <c r="C2660" s="1" t="s">
        <v>541</v>
      </c>
      <c r="D2660" s="1" t="s">
        <v>541</v>
      </c>
      <c r="E2660" t="s">
        <v>542</v>
      </c>
      <c r="F2660" s="2" t="s">
        <v>9</v>
      </c>
      <c r="G2660" t="s">
        <v>10</v>
      </c>
      <c r="H2660" s="2" t="s">
        <v>3514</v>
      </c>
      <c r="I2660" s="2">
        <v>4.8499999999999996</v>
      </c>
    </row>
    <row r="2661" spans="1:9" x14ac:dyDescent="0.25">
      <c r="A2661" s="1" t="s">
        <v>4180</v>
      </c>
      <c r="B2661" t="s">
        <v>4181</v>
      </c>
      <c r="C2661" s="1" t="s">
        <v>1047</v>
      </c>
      <c r="D2661" s="1" t="s">
        <v>1047</v>
      </c>
      <c r="E2661" t="s">
        <v>1048</v>
      </c>
      <c r="F2661" s="2" t="s">
        <v>1434</v>
      </c>
      <c r="G2661" t="s">
        <v>17</v>
      </c>
      <c r="H2661" s="2" t="s">
        <v>4173</v>
      </c>
      <c r="I2661" s="2">
        <v>6.92</v>
      </c>
    </row>
    <row r="2662" spans="1:9" x14ac:dyDescent="0.25">
      <c r="A2662" s="1" t="s">
        <v>4180</v>
      </c>
      <c r="B2662" t="s">
        <v>4181</v>
      </c>
      <c r="C2662" s="1" t="s">
        <v>541</v>
      </c>
      <c r="D2662" s="1" t="s">
        <v>541</v>
      </c>
      <c r="E2662" t="s">
        <v>542</v>
      </c>
      <c r="F2662" s="2" t="s">
        <v>9</v>
      </c>
      <c r="G2662" t="s">
        <v>10</v>
      </c>
      <c r="H2662" s="2" t="s">
        <v>3514</v>
      </c>
      <c r="I2662" s="2">
        <v>4.8499999999999996</v>
      </c>
    </row>
    <row r="2663" spans="1:9" x14ac:dyDescent="0.25">
      <c r="A2663" s="1" t="s">
        <v>4182</v>
      </c>
      <c r="B2663" t="s">
        <v>4183</v>
      </c>
      <c r="C2663" s="1" t="s">
        <v>1099</v>
      </c>
      <c r="D2663" s="1" t="s">
        <v>1099</v>
      </c>
      <c r="E2663" t="s">
        <v>1100</v>
      </c>
      <c r="F2663" s="2" t="s">
        <v>1101</v>
      </c>
      <c r="G2663" t="s">
        <v>932</v>
      </c>
      <c r="H2663" s="2" t="s">
        <v>4184</v>
      </c>
      <c r="I2663" s="2">
        <v>2.7</v>
      </c>
    </row>
    <row r="2664" spans="1:9" x14ac:dyDescent="0.25">
      <c r="A2664" s="1" t="s">
        <v>4182</v>
      </c>
      <c r="B2664" t="s">
        <v>4183</v>
      </c>
      <c r="C2664" s="1" t="s">
        <v>432</v>
      </c>
      <c r="D2664" s="1" t="s">
        <v>432</v>
      </c>
      <c r="E2664" t="s">
        <v>433</v>
      </c>
      <c r="F2664" s="2" t="s">
        <v>434</v>
      </c>
      <c r="G2664" t="s">
        <v>435</v>
      </c>
      <c r="H2664" s="2" t="s">
        <v>50</v>
      </c>
      <c r="I2664" s="2">
        <v>1.1000000000000001</v>
      </c>
    </row>
    <row r="2665" spans="1:9" x14ac:dyDescent="0.25">
      <c r="A2665" s="1" t="s">
        <v>4182</v>
      </c>
      <c r="B2665" t="s">
        <v>4183</v>
      </c>
      <c r="C2665" s="1" t="s">
        <v>7</v>
      </c>
      <c r="D2665" s="1" t="s">
        <v>7</v>
      </c>
      <c r="E2665" t="s">
        <v>8</v>
      </c>
      <c r="F2665" s="2" t="s">
        <v>9</v>
      </c>
      <c r="G2665" t="s">
        <v>10</v>
      </c>
      <c r="H2665" s="2" t="s">
        <v>594</v>
      </c>
      <c r="I2665" s="2">
        <v>11.5</v>
      </c>
    </row>
    <row r="2666" spans="1:9" x14ac:dyDescent="0.25">
      <c r="A2666" s="1" t="s">
        <v>4185</v>
      </c>
      <c r="B2666" t="s">
        <v>4186</v>
      </c>
      <c r="C2666" s="1" t="s">
        <v>3834</v>
      </c>
      <c r="D2666" s="1" t="s">
        <v>3834</v>
      </c>
      <c r="E2666" t="s">
        <v>3835</v>
      </c>
      <c r="F2666" s="2" t="s">
        <v>3836</v>
      </c>
      <c r="G2666" t="s">
        <v>5</v>
      </c>
      <c r="H2666" s="2" t="s">
        <v>367</v>
      </c>
      <c r="I2666" s="2">
        <v>0.47</v>
      </c>
    </row>
    <row r="2667" spans="1:9" x14ac:dyDescent="0.25">
      <c r="A2667" s="1" t="s">
        <v>4185</v>
      </c>
      <c r="B2667" t="s">
        <v>4186</v>
      </c>
      <c r="C2667" s="1" t="s">
        <v>7</v>
      </c>
      <c r="D2667" s="1" t="s">
        <v>7</v>
      </c>
      <c r="E2667" t="s">
        <v>8</v>
      </c>
      <c r="F2667" s="2" t="s">
        <v>9</v>
      </c>
      <c r="G2667" t="s">
        <v>10</v>
      </c>
      <c r="H2667" s="2" t="s">
        <v>4187</v>
      </c>
      <c r="I2667" s="2">
        <v>2.88</v>
      </c>
    </row>
    <row r="2668" spans="1:9" x14ac:dyDescent="0.25">
      <c r="A2668" s="1" t="s">
        <v>4188</v>
      </c>
      <c r="B2668" t="s">
        <v>4189</v>
      </c>
      <c r="C2668" s="1" t="s">
        <v>1099</v>
      </c>
      <c r="D2668" s="1" t="s">
        <v>1099</v>
      </c>
      <c r="E2668" t="s">
        <v>1100</v>
      </c>
      <c r="F2668" s="2" t="s">
        <v>1101</v>
      </c>
      <c r="G2668" t="s">
        <v>49</v>
      </c>
      <c r="H2668" s="2" t="s">
        <v>4190</v>
      </c>
      <c r="I2668" s="2">
        <v>2.15</v>
      </c>
    </row>
    <row r="2669" spans="1:9" x14ac:dyDescent="0.25">
      <c r="A2669" s="1" t="s">
        <v>4188</v>
      </c>
      <c r="B2669" t="s">
        <v>4189</v>
      </c>
      <c r="C2669" s="1" t="s">
        <v>857</v>
      </c>
      <c r="D2669" s="1" t="s">
        <v>857</v>
      </c>
      <c r="E2669" t="s">
        <v>858</v>
      </c>
      <c r="F2669" s="2" t="s">
        <v>686</v>
      </c>
      <c r="G2669" t="s">
        <v>49</v>
      </c>
      <c r="H2669" s="2" t="s">
        <v>4191</v>
      </c>
      <c r="I2669" s="2">
        <v>0.85</v>
      </c>
    </row>
    <row r="2670" spans="1:9" x14ac:dyDescent="0.25">
      <c r="A2670" s="1" t="s">
        <v>4188</v>
      </c>
      <c r="B2670" t="s">
        <v>4189</v>
      </c>
      <c r="C2670" s="1" t="s">
        <v>432</v>
      </c>
      <c r="D2670" s="1" t="s">
        <v>432</v>
      </c>
      <c r="E2670" t="s">
        <v>433</v>
      </c>
      <c r="F2670" s="2" t="s">
        <v>434</v>
      </c>
      <c r="G2670" t="s">
        <v>435</v>
      </c>
      <c r="H2670" s="2" t="s">
        <v>50</v>
      </c>
      <c r="I2670" s="2">
        <v>1.1000000000000001</v>
      </c>
    </row>
    <row r="2671" spans="1:9" x14ac:dyDescent="0.25">
      <c r="A2671" s="1" t="s">
        <v>4188</v>
      </c>
      <c r="B2671" t="s">
        <v>4189</v>
      </c>
      <c r="C2671" s="1" t="s">
        <v>541</v>
      </c>
      <c r="D2671" s="1" t="s">
        <v>541</v>
      </c>
      <c r="E2671" t="s">
        <v>542</v>
      </c>
      <c r="F2671" s="2" t="s">
        <v>9</v>
      </c>
      <c r="G2671" t="s">
        <v>10</v>
      </c>
      <c r="H2671" s="2" t="s">
        <v>601</v>
      </c>
      <c r="I2671" s="2">
        <v>6.9</v>
      </c>
    </row>
    <row r="2672" spans="1:9" x14ac:dyDescent="0.25">
      <c r="A2672" s="1" t="s">
        <v>4192</v>
      </c>
      <c r="B2672" t="s">
        <v>4193</v>
      </c>
      <c r="C2672" s="1" t="s">
        <v>1487</v>
      </c>
      <c r="D2672" s="1" t="s">
        <v>1487</v>
      </c>
      <c r="E2672" t="s">
        <v>1488</v>
      </c>
      <c r="F2672" s="2" t="s">
        <v>31</v>
      </c>
      <c r="G2672" t="s">
        <v>5</v>
      </c>
      <c r="H2672" s="2" t="s">
        <v>594</v>
      </c>
      <c r="I2672" s="2">
        <v>2.65</v>
      </c>
    </row>
    <row r="2673" spans="1:9" x14ac:dyDescent="0.25">
      <c r="A2673" s="1" t="s">
        <v>4192</v>
      </c>
      <c r="B2673" t="s">
        <v>4193</v>
      </c>
      <c r="C2673" s="1" t="s">
        <v>432</v>
      </c>
      <c r="D2673" s="1" t="s">
        <v>432</v>
      </c>
      <c r="E2673" t="s">
        <v>433</v>
      </c>
      <c r="F2673" s="2" t="s">
        <v>434</v>
      </c>
      <c r="G2673" t="s">
        <v>435</v>
      </c>
      <c r="H2673" s="2" t="s">
        <v>50</v>
      </c>
      <c r="I2673" s="2">
        <v>1.1000000000000001</v>
      </c>
    </row>
    <row r="2674" spans="1:9" x14ac:dyDescent="0.25">
      <c r="A2674" s="1" t="s">
        <v>4192</v>
      </c>
      <c r="B2674" t="s">
        <v>4193</v>
      </c>
      <c r="C2674" s="1" t="s">
        <v>541</v>
      </c>
      <c r="D2674" s="1" t="s">
        <v>541</v>
      </c>
      <c r="E2674" t="s">
        <v>542</v>
      </c>
      <c r="F2674" s="2" t="s">
        <v>9</v>
      </c>
      <c r="G2674" t="s">
        <v>10</v>
      </c>
      <c r="H2674" s="2" t="s">
        <v>4194</v>
      </c>
      <c r="I2674" s="2">
        <v>4.72</v>
      </c>
    </row>
    <row r="2675" spans="1:9" x14ac:dyDescent="0.25">
      <c r="A2675" s="1" t="s">
        <v>4195</v>
      </c>
      <c r="B2675" t="s">
        <v>4196</v>
      </c>
      <c r="C2675" s="1" t="s">
        <v>1487</v>
      </c>
      <c r="D2675" s="1" t="s">
        <v>1487</v>
      </c>
      <c r="E2675" t="s">
        <v>1488</v>
      </c>
      <c r="F2675" s="2" t="s">
        <v>31</v>
      </c>
      <c r="G2675" t="s">
        <v>5</v>
      </c>
      <c r="H2675" s="2" t="s">
        <v>1491</v>
      </c>
      <c r="I2675" s="2">
        <v>1.3</v>
      </c>
    </row>
    <row r="2676" spans="1:9" x14ac:dyDescent="0.25">
      <c r="A2676" s="1" t="s">
        <v>4195</v>
      </c>
      <c r="B2676" t="s">
        <v>4196</v>
      </c>
      <c r="C2676" s="1" t="s">
        <v>432</v>
      </c>
      <c r="D2676" s="1" t="s">
        <v>432</v>
      </c>
      <c r="E2676" t="s">
        <v>433</v>
      </c>
      <c r="F2676" s="2" t="s">
        <v>434</v>
      </c>
      <c r="G2676" t="s">
        <v>435</v>
      </c>
      <c r="H2676" s="2" t="s">
        <v>50</v>
      </c>
      <c r="I2676" s="2">
        <v>1.1000000000000001</v>
      </c>
    </row>
    <row r="2677" spans="1:9" x14ac:dyDescent="0.25">
      <c r="A2677" s="1" t="s">
        <v>4195</v>
      </c>
      <c r="B2677" t="s">
        <v>4196</v>
      </c>
      <c r="C2677" s="1" t="s">
        <v>541</v>
      </c>
      <c r="D2677" s="1" t="s">
        <v>541</v>
      </c>
      <c r="E2677" t="s">
        <v>542</v>
      </c>
      <c r="F2677" s="2" t="s">
        <v>9</v>
      </c>
      <c r="G2677" t="s">
        <v>10</v>
      </c>
      <c r="H2677" s="2" t="s">
        <v>4197</v>
      </c>
      <c r="I2677" s="2">
        <v>3.89</v>
      </c>
    </row>
    <row r="2678" spans="1:9" x14ac:dyDescent="0.25">
      <c r="A2678" s="1" t="s">
        <v>4198</v>
      </c>
      <c r="B2678" t="s">
        <v>4199</v>
      </c>
      <c r="C2678" s="1" t="s">
        <v>4200</v>
      </c>
      <c r="D2678" s="1" t="s">
        <v>4200</v>
      </c>
      <c r="E2678" t="s">
        <v>4201</v>
      </c>
      <c r="F2678" s="2" t="s">
        <v>1768</v>
      </c>
      <c r="G2678" t="s">
        <v>5</v>
      </c>
      <c r="H2678" s="2" t="s">
        <v>4202</v>
      </c>
      <c r="I2678" s="2">
        <v>0</v>
      </c>
    </row>
    <row r="2679" spans="1:9" x14ac:dyDescent="0.25">
      <c r="A2679" s="1" t="s">
        <v>4198</v>
      </c>
      <c r="B2679" t="s">
        <v>4199</v>
      </c>
      <c r="C2679" s="1" t="s">
        <v>541</v>
      </c>
      <c r="D2679" s="1" t="s">
        <v>541</v>
      </c>
      <c r="E2679" t="s">
        <v>542</v>
      </c>
      <c r="F2679" s="2" t="s">
        <v>9</v>
      </c>
      <c r="G2679" t="s">
        <v>10</v>
      </c>
      <c r="H2679" s="2" t="s">
        <v>4203</v>
      </c>
      <c r="I2679" s="2">
        <v>7.23</v>
      </c>
    </row>
    <row r="2680" spans="1:9" x14ac:dyDescent="0.25">
      <c r="A2680" s="1" t="s">
        <v>4204</v>
      </c>
      <c r="B2680" t="s">
        <v>4205</v>
      </c>
      <c r="C2680" s="1" t="s">
        <v>1099</v>
      </c>
      <c r="D2680" s="1" t="s">
        <v>1099</v>
      </c>
      <c r="E2680" t="s">
        <v>1100</v>
      </c>
      <c r="F2680" s="2" t="s">
        <v>1101</v>
      </c>
      <c r="G2680" t="s">
        <v>49</v>
      </c>
      <c r="H2680" s="2" t="s">
        <v>4206</v>
      </c>
      <c r="I2680" s="2">
        <v>3.75</v>
      </c>
    </row>
    <row r="2681" spans="1:9" x14ac:dyDescent="0.25">
      <c r="A2681" s="1" t="s">
        <v>4204</v>
      </c>
      <c r="B2681" t="s">
        <v>4205</v>
      </c>
      <c r="C2681" s="1" t="s">
        <v>432</v>
      </c>
      <c r="D2681" s="1" t="s">
        <v>432</v>
      </c>
      <c r="E2681" t="s">
        <v>433</v>
      </c>
      <c r="F2681" s="2" t="s">
        <v>434</v>
      </c>
      <c r="G2681" t="s">
        <v>435</v>
      </c>
      <c r="H2681" s="2" t="s">
        <v>50</v>
      </c>
      <c r="I2681" s="2">
        <v>1.1000000000000001</v>
      </c>
    </row>
    <row r="2682" spans="1:9" x14ac:dyDescent="0.25">
      <c r="A2682" s="1" t="s">
        <v>4204</v>
      </c>
      <c r="B2682" t="s">
        <v>4205</v>
      </c>
      <c r="C2682" s="1" t="s">
        <v>541</v>
      </c>
      <c r="D2682" s="1" t="s">
        <v>541</v>
      </c>
      <c r="E2682" t="s">
        <v>542</v>
      </c>
      <c r="F2682" s="2" t="s">
        <v>9</v>
      </c>
      <c r="G2682" t="s">
        <v>10</v>
      </c>
      <c r="H2682" s="2" t="s">
        <v>4207</v>
      </c>
      <c r="I2682" s="2">
        <v>7.14</v>
      </c>
    </row>
    <row r="2683" spans="1:9" x14ac:dyDescent="0.25">
      <c r="A2683" s="1" t="s">
        <v>4208</v>
      </c>
      <c r="B2683" t="s">
        <v>4209</v>
      </c>
      <c r="C2683" s="1" t="s">
        <v>1047</v>
      </c>
      <c r="D2683" s="1" t="s">
        <v>1047</v>
      </c>
      <c r="E2683" t="s">
        <v>1048</v>
      </c>
      <c r="F2683" s="2" t="s">
        <v>1434</v>
      </c>
      <c r="G2683" t="s">
        <v>17</v>
      </c>
      <c r="H2683" s="2" t="s">
        <v>4210</v>
      </c>
      <c r="I2683" s="2">
        <v>8.82</v>
      </c>
    </row>
    <row r="2684" spans="1:9" x14ac:dyDescent="0.25">
      <c r="A2684" s="1" t="s">
        <v>4208</v>
      </c>
      <c r="B2684" t="s">
        <v>4209</v>
      </c>
      <c r="C2684" s="1" t="s">
        <v>541</v>
      </c>
      <c r="D2684" s="1" t="s">
        <v>541</v>
      </c>
      <c r="E2684" t="s">
        <v>542</v>
      </c>
      <c r="F2684" s="2" t="s">
        <v>9</v>
      </c>
      <c r="G2684" t="s">
        <v>10</v>
      </c>
      <c r="H2684" s="2" t="s">
        <v>4211</v>
      </c>
      <c r="I2684" s="2">
        <v>4.87</v>
      </c>
    </row>
    <row r="2685" spans="1:9" x14ac:dyDescent="0.25">
      <c r="A2685" s="1" t="s">
        <v>4212</v>
      </c>
      <c r="B2685" t="s">
        <v>4213</v>
      </c>
      <c r="C2685" s="1" t="s">
        <v>1047</v>
      </c>
      <c r="D2685" s="1" t="s">
        <v>1047</v>
      </c>
      <c r="E2685" t="s">
        <v>1048</v>
      </c>
      <c r="F2685" s="2" t="s">
        <v>1434</v>
      </c>
      <c r="G2685" t="s">
        <v>17</v>
      </c>
      <c r="H2685" s="2" t="s">
        <v>4214</v>
      </c>
      <c r="I2685" s="2">
        <v>12.87</v>
      </c>
    </row>
    <row r="2686" spans="1:9" x14ac:dyDescent="0.25">
      <c r="A2686" s="1" t="s">
        <v>4212</v>
      </c>
      <c r="B2686" t="s">
        <v>4213</v>
      </c>
      <c r="C2686" s="1" t="s">
        <v>541</v>
      </c>
      <c r="D2686" s="1" t="s">
        <v>541</v>
      </c>
      <c r="E2686" t="s">
        <v>542</v>
      </c>
      <c r="F2686" s="2" t="s">
        <v>9</v>
      </c>
      <c r="G2686" t="s">
        <v>10</v>
      </c>
      <c r="H2686" s="2" t="s">
        <v>4163</v>
      </c>
      <c r="I2686" s="2">
        <v>4.88</v>
      </c>
    </row>
    <row r="2687" spans="1:9" x14ac:dyDescent="0.25">
      <c r="A2687" s="1" t="s">
        <v>4215</v>
      </c>
      <c r="B2687" t="s">
        <v>4216</v>
      </c>
      <c r="C2687" s="1" t="s">
        <v>1547</v>
      </c>
      <c r="D2687" s="1" t="s">
        <v>1547</v>
      </c>
      <c r="E2687" t="s">
        <v>1548</v>
      </c>
      <c r="F2687" s="2" t="s">
        <v>216</v>
      </c>
      <c r="G2687" t="s">
        <v>5</v>
      </c>
      <c r="H2687" s="2" t="s">
        <v>4217</v>
      </c>
      <c r="I2687" s="2">
        <v>8.1999999999999993</v>
      </c>
    </row>
    <row r="2688" spans="1:9" x14ac:dyDescent="0.25">
      <c r="A2688" s="1" t="s">
        <v>4215</v>
      </c>
      <c r="B2688" t="s">
        <v>4216</v>
      </c>
      <c r="C2688" s="1" t="s">
        <v>432</v>
      </c>
      <c r="D2688" s="1" t="s">
        <v>432</v>
      </c>
      <c r="E2688" t="s">
        <v>433</v>
      </c>
      <c r="F2688" s="2" t="s">
        <v>434</v>
      </c>
      <c r="G2688" t="s">
        <v>435</v>
      </c>
      <c r="H2688" s="2" t="s">
        <v>4218</v>
      </c>
      <c r="I2688" s="2">
        <v>1.75</v>
      </c>
    </row>
    <row r="2689" spans="1:9" x14ac:dyDescent="0.25">
      <c r="A2689" s="1" t="s">
        <v>4215</v>
      </c>
      <c r="B2689" t="s">
        <v>4216</v>
      </c>
      <c r="C2689" s="1" t="s">
        <v>541</v>
      </c>
      <c r="D2689" s="1" t="s">
        <v>541</v>
      </c>
      <c r="E2689" t="s">
        <v>542</v>
      </c>
      <c r="F2689" s="2" t="s">
        <v>9</v>
      </c>
      <c r="G2689" t="s">
        <v>10</v>
      </c>
      <c r="H2689" s="2" t="s">
        <v>2537</v>
      </c>
      <c r="I2689" s="2">
        <v>7.19</v>
      </c>
    </row>
    <row r="2690" spans="1:9" x14ac:dyDescent="0.25">
      <c r="A2690" s="1" t="s">
        <v>4219</v>
      </c>
      <c r="B2690" t="s">
        <v>4220</v>
      </c>
      <c r="C2690" s="1" t="s">
        <v>1547</v>
      </c>
      <c r="D2690" s="1" t="s">
        <v>1547</v>
      </c>
      <c r="E2690" t="s">
        <v>1548</v>
      </c>
      <c r="F2690" s="2" t="s">
        <v>216</v>
      </c>
      <c r="G2690" t="s">
        <v>5</v>
      </c>
      <c r="H2690" s="2" t="s">
        <v>4221</v>
      </c>
      <c r="I2690" s="2">
        <v>9.35</v>
      </c>
    </row>
    <row r="2691" spans="1:9" x14ac:dyDescent="0.25">
      <c r="A2691" s="1" t="s">
        <v>4219</v>
      </c>
      <c r="B2691" t="s">
        <v>4220</v>
      </c>
      <c r="C2691" s="1" t="s">
        <v>432</v>
      </c>
      <c r="D2691" s="1" t="s">
        <v>432</v>
      </c>
      <c r="E2691" t="s">
        <v>433</v>
      </c>
      <c r="F2691" s="2" t="s">
        <v>434</v>
      </c>
      <c r="G2691" t="s">
        <v>435</v>
      </c>
      <c r="H2691" s="2" t="s">
        <v>4222</v>
      </c>
      <c r="I2691" s="2">
        <v>2.0499999999999998</v>
      </c>
    </row>
    <row r="2692" spans="1:9" x14ac:dyDescent="0.25">
      <c r="A2692" s="1" t="s">
        <v>4219</v>
      </c>
      <c r="B2692" t="s">
        <v>4220</v>
      </c>
      <c r="C2692" s="1" t="s">
        <v>541</v>
      </c>
      <c r="D2692" s="1" t="s">
        <v>541</v>
      </c>
      <c r="E2692" t="s">
        <v>542</v>
      </c>
      <c r="F2692" s="2" t="s">
        <v>9</v>
      </c>
      <c r="G2692" t="s">
        <v>10</v>
      </c>
      <c r="H2692" s="2" t="s">
        <v>2537</v>
      </c>
      <c r="I2692" s="2">
        <v>7.19</v>
      </c>
    </row>
    <row r="2693" spans="1:9" x14ac:dyDescent="0.25">
      <c r="A2693" s="1" t="s">
        <v>4223</v>
      </c>
      <c r="B2693" t="s">
        <v>4224</v>
      </c>
      <c r="C2693" s="1" t="s">
        <v>684</v>
      </c>
      <c r="D2693" s="1" t="s">
        <v>684</v>
      </c>
      <c r="E2693" t="s">
        <v>685</v>
      </c>
      <c r="F2693" s="2" t="s">
        <v>686</v>
      </c>
      <c r="G2693" t="s">
        <v>49</v>
      </c>
      <c r="H2693" s="2" t="s">
        <v>4225</v>
      </c>
      <c r="I2693" s="2">
        <v>53</v>
      </c>
    </row>
    <row r="2694" spans="1:9" x14ac:dyDescent="0.25">
      <c r="A2694" s="1" t="s">
        <v>4223</v>
      </c>
      <c r="B2694" t="s">
        <v>4224</v>
      </c>
      <c r="C2694" s="1" t="s">
        <v>541</v>
      </c>
      <c r="D2694" s="1" t="s">
        <v>541</v>
      </c>
      <c r="E2694" t="s">
        <v>542</v>
      </c>
      <c r="F2694" s="2" t="s">
        <v>9</v>
      </c>
      <c r="G2694" t="s">
        <v>10</v>
      </c>
      <c r="H2694" s="2" t="s">
        <v>4226</v>
      </c>
      <c r="I2694" s="2">
        <v>58.49</v>
      </c>
    </row>
    <row r="2695" spans="1:9" x14ac:dyDescent="0.25">
      <c r="A2695" s="1" t="s">
        <v>4223</v>
      </c>
      <c r="B2695" t="s">
        <v>4224</v>
      </c>
      <c r="C2695" s="1" t="s">
        <v>541</v>
      </c>
      <c r="D2695" s="1" t="s">
        <v>541</v>
      </c>
      <c r="E2695" t="s">
        <v>542</v>
      </c>
      <c r="F2695" s="2" t="s">
        <v>9</v>
      </c>
      <c r="G2695" t="s">
        <v>10</v>
      </c>
      <c r="H2695" s="2" t="s">
        <v>2315</v>
      </c>
      <c r="I2695" s="2">
        <v>41.4</v>
      </c>
    </row>
    <row r="2696" spans="1:9" x14ac:dyDescent="0.25">
      <c r="A2696" s="1" t="s">
        <v>4223</v>
      </c>
      <c r="B2696" t="s">
        <v>4224</v>
      </c>
      <c r="C2696" s="1" t="s">
        <v>541</v>
      </c>
      <c r="D2696" s="1" t="s">
        <v>541</v>
      </c>
      <c r="E2696" t="s">
        <v>542</v>
      </c>
      <c r="F2696" s="2" t="s">
        <v>9</v>
      </c>
      <c r="G2696" t="s">
        <v>10</v>
      </c>
      <c r="H2696" s="2" t="s">
        <v>367</v>
      </c>
      <c r="I2696" s="2">
        <v>2.2999999999999998</v>
      </c>
    </row>
    <row r="2697" spans="1:9" x14ac:dyDescent="0.25">
      <c r="A2697" s="1" t="s">
        <v>4227</v>
      </c>
      <c r="B2697" t="s">
        <v>4228</v>
      </c>
      <c r="C2697" s="1" t="s">
        <v>4229</v>
      </c>
      <c r="D2697" s="1" t="s">
        <v>4229</v>
      </c>
      <c r="E2697" t="s">
        <v>4230</v>
      </c>
      <c r="F2697" s="2" t="s">
        <v>4231</v>
      </c>
      <c r="G2697" t="s">
        <v>5</v>
      </c>
      <c r="H2697" s="2" t="s">
        <v>4232</v>
      </c>
      <c r="I2697" s="2">
        <v>17.100000000000001</v>
      </c>
    </row>
    <row r="2698" spans="1:9" x14ac:dyDescent="0.25">
      <c r="A2698" s="1" t="s">
        <v>4227</v>
      </c>
      <c r="B2698" t="s">
        <v>4228</v>
      </c>
      <c r="C2698" s="1" t="s">
        <v>4233</v>
      </c>
      <c r="D2698" s="1" t="s">
        <v>4233</v>
      </c>
      <c r="E2698" t="s">
        <v>4234</v>
      </c>
      <c r="F2698" s="2" t="s">
        <v>4235</v>
      </c>
      <c r="G2698" t="s">
        <v>121</v>
      </c>
      <c r="H2698" s="2" t="s">
        <v>50</v>
      </c>
      <c r="I2698" s="2">
        <v>62.99</v>
      </c>
    </row>
    <row r="2699" spans="1:9" x14ac:dyDescent="0.25">
      <c r="A2699" s="1" t="s">
        <v>4227</v>
      </c>
      <c r="B2699" t="s">
        <v>4228</v>
      </c>
      <c r="C2699" s="1" t="s">
        <v>857</v>
      </c>
      <c r="D2699" s="1" t="s">
        <v>857</v>
      </c>
      <c r="E2699" t="s">
        <v>858</v>
      </c>
      <c r="F2699" s="2" t="s">
        <v>686</v>
      </c>
      <c r="G2699" t="s">
        <v>49</v>
      </c>
      <c r="H2699" s="2" t="s">
        <v>4236</v>
      </c>
      <c r="I2699" s="2">
        <v>3.02</v>
      </c>
    </row>
    <row r="2700" spans="1:9" x14ac:dyDescent="0.25">
      <c r="A2700" s="1" t="s">
        <v>4227</v>
      </c>
      <c r="B2700" t="s">
        <v>4228</v>
      </c>
      <c r="C2700" s="1" t="s">
        <v>541</v>
      </c>
      <c r="D2700" s="1" t="s">
        <v>541</v>
      </c>
      <c r="E2700" t="s">
        <v>542</v>
      </c>
      <c r="F2700" s="2" t="s">
        <v>9</v>
      </c>
      <c r="G2700" t="s">
        <v>10</v>
      </c>
      <c r="H2700" s="2" t="s">
        <v>3427</v>
      </c>
      <c r="I2700" s="2">
        <v>9.66</v>
      </c>
    </row>
    <row r="2701" spans="1:9" x14ac:dyDescent="0.25">
      <c r="A2701" s="1" t="s">
        <v>4227</v>
      </c>
      <c r="B2701" t="s">
        <v>4228</v>
      </c>
      <c r="C2701" s="1" t="s">
        <v>541</v>
      </c>
      <c r="D2701" s="1" t="s">
        <v>541</v>
      </c>
      <c r="E2701" t="s">
        <v>542</v>
      </c>
      <c r="F2701" s="2" t="s">
        <v>9</v>
      </c>
      <c r="G2701" t="s">
        <v>10</v>
      </c>
      <c r="H2701" s="2" t="s">
        <v>3427</v>
      </c>
      <c r="I2701" s="2">
        <v>9.66</v>
      </c>
    </row>
    <row r="2702" spans="1:9" x14ac:dyDescent="0.25">
      <c r="A2702" s="1" t="s">
        <v>4227</v>
      </c>
      <c r="B2702" t="s">
        <v>4228</v>
      </c>
      <c r="C2702" s="1" t="s">
        <v>541</v>
      </c>
      <c r="D2702" s="1" t="s">
        <v>541</v>
      </c>
      <c r="E2702" t="s">
        <v>542</v>
      </c>
      <c r="F2702" s="2" t="s">
        <v>9</v>
      </c>
      <c r="G2702" t="s">
        <v>10</v>
      </c>
      <c r="H2702" s="2" t="s">
        <v>4237</v>
      </c>
      <c r="I2702" s="2">
        <v>41.08</v>
      </c>
    </row>
    <row r="2703" spans="1:9" x14ac:dyDescent="0.25">
      <c r="A2703" s="1" t="s">
        <v>4227</v>
      </c>
      <c r="B2703" t="s">
        <v>4228</v>
      </c>
      <c r="C2703" s="1" t="s">
        <v>541</v>
      </c>
      <c r="D2703" s="1" t="s">
        <v>541</v>
      </c>
      <c r="E2703" t="s">
        <v>542</v>
      </c>
      <c r="F2703" s="2" t="s">
        <v>9</v>
      </c>
      <c r="G2703" t="s">
        <v>10</v>
      </c>
      <c r="H2703" s="2" t="s">
        <v>2890</v>
      </c>
      <c r="I2703" s="2">
        <v>2.42</v>
      </c>
    </row>
    <row r="2704" spans="1:9" x14ac:dyDescent="0.25">
      <c r="A2704" s="1" t="s">
        <v>4227</v>
      </c>
      <c r="B2704" t="s">
        <v>4228</v>
      </c>
      <c r="C2704" s="1" t="s">
        <v>7</v>
      </c>
      <c r="D2704" s="1" t="s">
        <v>7</v>
      </c>
      <c r="E2704" t="s">
        <v>8</v>
      </c>
      <c r="F2704" s="2" t="s">
        <v>9</v>
      </c>
      <c r="G2704" t="s">
        <v>10</v>
      </c>
      <c r="H2704" s="2" t="s">
        <v>4238</v>
      </c>
      <c r="I2704" s="2">
        <v>60.38</v>
      </c>
    </row>
    <row r="2705" spans="1:9" x14ac:dyDescent="0.25">
      <c r="A2705" s="1" t="s">
        <v>4239</v>
      </c>
      <c r="B2705" t="s">
        <v>4240</v>
      </c>
      <c r="C2705" s="1" t="s">
        <v>3688</v>
      </c>
      <c r="D2705" s="1" t="s">
        <v>3688</v>
      </c>
      <c r="E2705" t="s">
        <v>3689</v>
      </c>
      <c r="F2705" s="2" t="s">
        <v>1768</v>
      </c>
      <c r="G2705" t="s">
        <v>5</v>
      </c>
      <c r="H2705" s="2" t="s">
        <v>4241</v>
      </c>
      <c r="I2705" s="2">
        <v>0</v>
      </c>
    </row>
    <row r="2706" spans="1:9" x14ac:dyDescent="0.25">
      <c r="A2706" s="1" t="s">
        <v>4239</v>
      </c>
      <c r="B2706" t="s">
        <v>4240</v>
      </c>
      <c r="C2706" s="1" t="s">
        <v>541</v>
      </c>
      <c r="D2706" s="1" t="s">
        <v>541</v>
      </c>
      <c r="E2706" t="s">
        <v>542</v>
      </c>
      <c r="F2706" s="2" t="s">
        <v>9</v>
      </c>
      <c r="G2706" t="s">
        <v>10</v>
      </c>
      <c r="H2706" s="2" t="s">
        <v>3514</v>
      </c>
      <c r="I2706" s="2">
        <v>4.8499999999999996</v>
      </c>
    </row>
    <row r="2707" spans="1:9" x14ac:dyDescent="0.25">
      <c r="A2707" s="1" t="s">
        <v>4242</v>
      </c>
      <c r="B2707" t="s">
        <v>4243</v>
      </c>
      <c r="C2707" s="1" t="s">
        <v>684</v>
      </c>
      <c r="D2707" s="1" t="s">
        <v>684</v>
      </c>
      <c r="E2707" t="s">
        <v>685</v>
      </c>
      <c r="F2707" s="2" t="s">
        <v>686</v>
      </c>
      <c r="G2707" t="s">
        <v>49</v>
      </c>
      <c r="H2707" s="2" t="s">
        <v>4244</v>
      </c>
      <c r="I2707" s="2">
        <v>55.5</v>
      </c>
    </row>
    <row r="2708" spans="1:9" x14ac:dyDescent="0.25">
      <c r="A2708" s="1" t="s">
        <v>4242</v>
      </c>
      <c r="B2708" t="s">
        <v>4243</v>
      </c>
      <c r="C2708" s="1" t="s">
        <v>541</v>
      </c>
      <c r="D2708" s="1" t="s">
        <v>541</v>
      </c>
      <c r="E2708" t="s">
        <v>542</v>
      </c>
      <c r="F2708" s="2" t="s">
        <v>9</v>
      </c>
      <c r="G2708" t="s">
        <v>10</v>
      </c>
      <c r="H2708" s="2" t="s">
        <v>2315</v>
      </c>
      <c r="I2708" s="2">
        <v>41.4</v>
      </c>
    </row>
    <row r="2709" spans="1:9" x14ac:dyDescent="0.25">
      <c r="A2709" s="1" t="s">
        <v>4242</v>
      </c>
      <c r="B2709" t="s">
        <v>4243</v>
      </c>
      <c r="C2709" s="1" t="s">
        <v>541</v>
      </c>
      <c r="D2709" s="1" t="s">
        <v>541</v>
      </c>
      <c r="E2709" t="s">
        <v>542</v>
      </c>
      <c r="F2709" s="2" t="s">
        <v>9</v>
      </c>
      <c r="G2709" t="s">
        <v>10</v>
      </c>
      <c r="H2709" s="2" t="s">
        <v>4245</v>
      </c>
      <c r="I2709" s="2">
        <v>60.72</v>
      </c>
    </row>
    <row r="2710" spans="1:9" x14ac:dyDescent="0.25">
      <c r="A2710" s="1" t="s">
        <v>4242</v>
      </c>
      <c r="B2710" t="s">
        <v>4243</v>
      </c>
      <c r="C2710" s="1" t="s">
        <v>541</v>
      </c>
      <c r="D2710" s="1" t="s">
        <v>541</v>
      </c>
      <c r="E2710" t="s">
        <v>542</v>
      </c>
      <c r="F2710" s="2" t="s">
        <v>9</v>
      </c>
      <c r="G2710" t="s">
        <v>10</v>
      </c>
      <c r="H2710" s="2" t="s">
        <v>367</v>
      </c>
      <c r="I2710" s="2">
        <v>2.2999999999999998</v>
      </c>
    </row>
    <row r="2711" spans="1:9" x14ac:dyDescent="0.25">
      <c r="A2711" s="1" t="s">
        <v>4246</v>
      </c>
      <c r="B2711" t="s">
        <v>4247</v>
      </c>
      <c r="C2711" s="1" t="s">
        <v>1099</v>
      </c>
      <c r="D2711" s="1" t="s">
        <v>1099</v>
      </c>
      <c r="E2711" t="s">
        <v>1100</v>
      </c>
      <c r="F2711" s="2" t="s">
        <v>1101</v>
      </c>
      <c r="G2711" t="s">
        <v>932</v>
      </c>
      <c r="H2711" s="2" t="s">
        <v>4248</v>
      </c>
      <c r="I2711" s="2">
        <v>2.1</v>
      </c>
    </row>
    <row r="2712" spans="1:9" x14ac:dyDescent="0.25">
      <c r="A2712" s="1" t="s">
        <v>4246</v>
      </c>
      <c r="B2712" t="s">
        <v>4247</v>
      </c>
      <c r="C2712" s="1" t="s">
        <v>432</v>
      </c>
      <c r="D2712" s="1" t="s">
        <v>432</v>
      </c>
      <c r="E2712" t="s">
        <v>433</v>
      </c>
      <c r="F2712" s="2" t="s">
        <v>434</v>
      </c>
      <c r="G2712" t="s">
        <v>435</v>
      </c>
      <c r="H2712" s="2" t="s">
        <v>50</v>
      </c>
      <c r="I2712" s="2">
        <v>1.1000000000000001</v>
      </c>
    </row>
    <row r="2713" spans="1:9" x14ac:dyDescent="0.25">
      <c r="A2713" s="1" t="s">
        <v>4246</v>
      </c>
      <c r="B2713" t="s">
        <v>4247</v>
      </c>
      <c r="C2713" s="1" t="s">
        <v>541</v>
      </c>
      <c r="D2713" s="1" t="s">
        <v>541</v>
      </c>
      <c r="E2713" t="s">
        <v>542</v>
      </c>
      <c r="F2713" s="2" t="s">
        <v>9</v>
      </c>
      <c r="G2713" t="s">
        <v>10</v>
      </c>
      <c r="H2713" s="2" t="s">
        <v>33</v>
      </c>
      <c r="I2713" s="2">
        <v>9.1999999999999993</v>
      </c>
    </row>
    <row r="2714" spans="1:9" x14ac:dyDescent="0.25">
      <c r="A2714" s="1" t="s">
        <v>4249</v>
      </c>
      <c r="B2714" t="s">
        <v>4250</v>
      </c>
      <c r="C2714" s="1" t="s">
        <v>1047</v>
      </c>
      <c r="D2714" s="1" t="s">
        <v>1047</v>
      </c>
      <c r="E2714" t="s">
        <v>1048</v>
      </c>
      <c r="F2714" s="2" t="s">
        <v>1434</v>
      </c>
      <c r="G2714" t="s">
        <v>17</v>
      </c>
      <c r="H2714" s="2" t="s">
        <v>4251</v>
      </c>
      <c r="I2714" s="2">
        <v>7.83</v>
      </c>
    </row>
    <row r="2715" spans="1:9" x14ac:dyDescent="0.25">
      <c r="A2715" s="1" t="s">
        <v>4249</v>
      </c>
      <c r="B2715" t="s">
        <v>4250</v>
      </c>
      <c r="C2715" s="1" t="s">
        <v>7</v>
      </c>
      <c r="D2715" s="1" t="s">
        <v>7</v>
      </c>
      <c r="E2715" t="s">
        <v>8</v>
      </c>
      <c r="F2715" s="2" t="s">
        <v>9</v>
      </c>
      <c r="G2715" t="s">
        <v>10</v>
      </c>
      <c r="H2715" s="2" t="s">
        <v>19</v>
      </c>
      <c r="I2715" s="2">
        <v>4.5999999999999996</v>
      </c>
    </row>
    <row r="2716" spans="1:9" x14ac:dyDescent="0.25">
      <c r="A2716" s="1" t="s">
        <v>4252</v>
      </c>
      <c r="B2716" t="s">
        <v>4253</v>
      </c>
      <c r="C2716" s="1" t="s">
        <v>1047</v>
      </c>
      <c r="D2716" s="1" t="s">
        <v>1047</v>
      </c>
      <c r="E2716" t="s">
        <v>1048</v>
      </c>
      <c r="F2716" s="2" t="s">
        <v>1434</v>
      </c>
      <c r="G2716" t="s">
        <v>17</v>
      </c>
      <c r="H2716" s="2" t="s">
        <v>4254</v>
      </c>
      <c r="I2716" s="2">
        <v>5.58</v>
      </c>
    </row>
    <row r="2717" spans="1:9" x14ac:dyDescent="0.25">
      <c r="A2717" s="1" t="s">
        <v>4252</v>
      </c>
      <c r="B2717" t="s">
        <v>4253</v>
      </c>
      <c r="C2717" s="1" t="s">
        <v>7</v>
      </c>
      <c r="D2717" s="1" t="s">
        <v>7</v>
      </c>
      <c r="E2717" t="s">
        <v>8</v>
      </c>
      <c r="F2717" s="2" t="s">
        <v>9</v>
      </c>
      <c r="G2717" t="s">
        <v>10</v>
      </c>
      <c r="H2717" s="2" t="s">
        <v>19</v>
      </c>
      <c r="I2717" s="2">
        <v>4.5999999999999996</v>
      </c>
    </row>
    <row r="2718" spans="1:9" x14ac:dyDescent="0.25">
      <c r="A2718" s="1" t="s">
        <v>4255</v>
      </c>
      <c r="B2718" t="s">
        <v>4256</v>
      </c>
      <c r="C2718" s="1" t="s">
        <v>1041</v>
      </c>
      <c r="D2718" s="1" t="s">
        <v>1041</v>
      </c>
      <c r="E2718" t="s">
        <v>1042</v>
      </c>
      <c r="F2718" s="2" t="s">
        <v>712</v>
      </c>
      <c r="G2718" t="s">
        <v>17</v>
      </c>
      <c r="H2718" s="2" t="s">
        <v>4257</v>
      </c>
      <c r="I2718" s="2">
        <v>2.65</v>
      </c>
    </row>
    <row r="2719" spans="1:9" x14ac:dyDescent="0.25">
      <c r="A2719" s="1" t="s">
        <v>4255</v>
      </c>
      <c r="B2719" t="s">
        <v>4256</v>
      </c>
      <c r="C2719" s="1" t="s">
        <v>432</v>
      </c>
      <c r="D2719" s="1" t="s">
        <v>432</v>
      </c>
      <c r="E2719" t="s">
        <v>433</v>
      </c>
      <c r="F2719" s="2" t="s">
        <v>434</v>
      </c>
      <c r="G2719" t="s">
        <v>435</v>
      </c>
      <c r="H2719" s="2" t="s">
        <v>92</v>
      </c>
      <c r="I2719" s="2">
        <v>2.2000000000000002</v>
      </c>
    </row>
    <row r="2720" spans="1:9" x14ac:dyDescent="0.25">
      <c r="A2720" s="1" t="s">
        <v>4255</v>
      </c>
      <c r="B2720" t="s">
        <v>4256</v>
      </c>
      <c r="C2720" s="1" t="s">
        <v>7</v>
      </c>
      <c r="D2720" s="1" t="s">
        <v>7</v>
      </c>
      <c r="E2720" t="s">
        <v>8</v>
      </c>
      <c r="F2720" s="2" t="s">
        <v>9</v>
      </c>
      <c r="G2720" t="s">
        <v>10</v>
      </c>
      <c r="H2720" s="2" t="s">
        <v>601</v>
      </c>
      <c r="I2720" s="2">
        <v>6.9</v>
      </c>
    </row>
    <row r="2721" spans="1:10" x14ac:dyDescent="0.25">
      <c r="A2721" s="1" t="s">
        <v>4258</v>
      </c>
      <c r="B2721" t="s">
        <v>4259</v>
      </c>
      <c r="C2721" s="1" t="s">
        <v>4260</v>
      </c>
      <c r="D2721" s="1" t="s">
        <v>4260</v>
      </c>
      <c r="E2721" t="s">
        <v>4261</v>
      </c>
      <c r="F2721" s="2" t="s">
        <v>4262</v>
      </c>
      <c r="G2721" t="s">
        <v>121</v>
      </c>
      <c r="H2721" s="2" t="s">
        <v>25</v>
      </c>
      <c r="I2721" s="2">
        <v>4.5</v>
      </c>
    </row>
    <row r="2722" spans="1:10" x14ac:dyDescent="0.25">
      <c r="A2722" s="1" t="s">
        <v>4258</v>
      </c>
      <c r="B2722" t="s">
        <v>4259</v>
      </c>
      <c r="C2722" s="1" t="s">
        <v>4263</v>
      </c>
      <c r="D2722" s="1" t="s">
        <v>4263</v>
      </c>
      <c r="E2722" t="s">
        <v>4264</v>
      </c>
      <c r="F2722" s="2" t="s">
        <v>1603</v>
      </c>
      <c r="G2722" t="s">
        <v>49</v>
      </c>
      <c r="H2722" s="2" t="s">
        <v>92</v>
      </c>
      <c r="I2722" s="2">
        <v>78</v>
      </c>
    </row>
    <row r="2723" spans="1:10" x14ac:dyDescent="0.25">
      <c r="A2723" s="1" t="s">
        <v>4258</v>
      </c>
      <c r="B2723" t="s">
        <v>4259</v>
      </c>
      <c r="C2723" s="1" t="s">
        <v>4265</v>
      </c>
      <c r="D2723" s="1" t="s">
        <v>4265</v>
      </c>
      <c r="E2723" t="s">
        <v>4266</v>
      </c>
      <c r="F2723" s="2" t="s">
        <v>1904</v>
      </c>
      <c r="G2723" t="s">
        <v>49</v>
      </c>
      <c r="H2723" s="2" t="s">
        <v>50</v>
      </c>
      <c r="I2723" s="2">
        <v>27.3</v>
      </c>
    </row>
    <row r="2724" spans="1:10" x14ac:dyDescent="0.25">
      <c r="A2724" s="1" t="s">
        <v>4258</v>
      </c>
      <c r="B2724" t="s">
        <v>4259</v>
      </c>
      <c r="C2724" s="1" t="s">
        <v>4267</v>
      </c>
      <c r="D2724" s="1" t="s">
        <v>4267</v>
      </c>
      <c r="E2724" t="s">
        <v>4268</v>
      </c>
      <c r="F2724" s="2" t="s">
        <v>311</v>
      </c>
      <c r="G2724" t="s">
        <v>49</v>
      </c>
      <c r="H2724" s="2" t="s">
        <v>50</v>
      </c>
      <c r="I2724" s="2">
        <v>13</v>
      </c>
    </row>
    <row r="2725" spans="1:10" x14ac:dyDescent="0.25">
      <c r="A2725" s="1" t="s">
        <v>4258</v>
      </c>
      <c r="B2725" t="s">
        <v>4259</v>
      </c>
      <c r="C2725" s="1" t="s">
        <v>4269</v>
      </c>
      <c r="D2725" s="1" t="s">
        <v>4269</v>
      </c>
      <c r="E2725" t="s">
        <v>4270</v>
      </c>
      <c r="F2725" s="2" t="s">
        <v>4271</v>
      </c>
      <c r="G2725" t="s">
        <v>49</v>
      </c>
      <c r="H2725" s="2" t="s">
        <v>92</v>
      </c>
      <c r="I2725" s="2">
        <v>39.520000000000003</v>
      </c>
    </row>
    <row r="2726" spans="1:10" x14ac:dyDescent="0.25">
      <c r="A2726" s="1" t="s">
        <v>4258</v>
      </c>
      <c r="B2726" t="s">
        <v>4259</v>
      </c>
      <c r="C2726" s="1" t="s">
        <v>4272</v>
      </c>
      <c r="D2726" s="1" t="s">
        <v>4272</v>
      </c>
      <c r="E2726" t="s">
        <v>4273</v>
      </c>
      <c r="F2726" s="2" t="s">
        <v>4274</v>
      </c>
      <c r="G2726" t="s">
        <v>49</v>
      </c>
      <c r="H2726" s="2" t="s">
        <v>92</v>
      </c>
      <c r="I2726" s="2">
        <v>22.88</v>
      </c>
    </row>
    <row r="2727" spans="1:10" x14ac:dyDescent="0.25">
      <c r="A2727" s="1" t="s">
        <v>4258</v>
      </c>
      <c r="B2727" t="s">
        <v>4259</v>
      </c>
      <c r="C2727" s="1" t="s">
        <v>4275</v>
      </c>
      <c r="D2727" s="1" t="s">
        <v>4275</v>
      </c>
      <c r="E2727" t="s">
        <v>4276</v>
      </c>
      <c r="F2727" s="2" t="s">
        <v>4277</v>
      </c>
      <c r="G2727" t="s">
        <v>49</v>
      </c>
      <c r="H2727" s="2" t="s">
        <v>50</v>
      </c>
      <c r="I2727" s="2">
        <v>29.38</v>
      </c>
    </row>
    <row r="2728" spans="1:10" x14ac:dyDescent="0.25">
      <c r="A2728" s="1" t="s">
        <v>4258</v>
      </c>
      <c r="B2728" t="s">
        <v>4259</v>
      </c>
      <c r="C2728" s="1" t="s">
        <v>4278</v>
      </c>
      <c r="D2728" s="1" t="s">
        <v>4278</v>
      </c>
      <c r="E2728" t="s">
        <v>4279</v>
      </c>
      <c r="F2728" s="2" t="s">
        <v>4280</v>
      </c>
      <c r="G2728" t="s">
        <v>49</v>
      </c>
      <c r="H2728" s="2" t="s">
        <v>50</v>
      </c>
      <c r="I2728" s="2">
        <v>179.1</v>
      </c>
      <c r="J2728" t="s">
        <v>55</v>
      </c>
    </row>
    <row r="2729" spans="1:10" x14ac:dyDescent="0.25">
      <c r="A2729" s="1" t="s">
        <v>4258</v>
      </c>
      <c r="B2729" t="s">
        <v>4259</v>
      </c>
      <c r="C2729" s="1" t="s">
        <v>1989</v>
      </c>
      <c r="D2729" s="1" t="s">
        <v>1989</v>
      </c>
      <c r="E2729" t="s">
        <v>1990</v>
      </c>
      <c r="F2729" s="2" t="s">
        <v>1991</v>
      </c>
      <c r="G2729" t="s">
        <v>435</v>
      </c>
      <c r="H2729" s="2" t="s">
        <v>4281</v>
      </c>
      <c r="I2729" s="2">
        <v>31.19</v>
      </c>
    </row>
    <row r="2730" spans="1:10" x14ac:dyDescent="0.25">
      <c r="A2730" s="1" t="s">
        <v>4258</v>
      </c>
      <c r="B2730" t="s">
        <v>4259</v>
      </c>
      <c r="C2730" s="1" t="s">
        <v>7</v>
      </c>
      <c r="D2730" s="1" t="s">
        <v>7</v>
      </c>
      <c r="E2730" t="s">
        <v>8</v>
      </c>
      <c r="F2730" s="2" t="s">
        <v>9</v>
      </c>
      <c r="G2730" t="s">
        <v>10</v>
      </c>
      <c r="H2730" s="2" t="s">
        <v>1563</v>
      </c>
      <c r="I2730" s="2">
        <v>43.7</v>
      </c>
    </row>
    <row r="2731" spans="1:10" x14ac:dyDescent="0.25">
      <c r="A2731" s="1" t="s">
        <v>4258</v>
      </c>
      <c r="B2731" t="s">
        <v>4259</v>
      </c>
      <c r="C2731" s="1" t="s">
        <v>7</v>
      </c>
      <c r="D2731" s="1" t="s">
        <v>7</v>
      </c>
      <c r="E2731" t="s">
        <v>8</v>
      </c>
      <c r="F2731" s="2" t="s">
        <v>9</v>
      </c>
      <c r="G2731" t="s">
        <v>10</v>
      </c>
      <c r="H2731" s="2" t="s">
        <v>4282</v>
      </c>
      <c r="I2731" s="2">
        <v>121.9</v>
      </c>
    </row>
    <row r="2732" spans="1:10" x14ac:dyDescent="0.25">
      <c r="A2732" s="1" t="s">
        <v>4258</v>
      </c>
      <c r="B2732" t="s">
        <v>4259</v>
      </c>
      <c r="C2732" s="1" t="s">
        <v>7</v>
      </c>
      <c r="D2732" s="1" t="s">
        <v>7</v>
      </c>
      <c r="E2732" t="s">
        <v>8</v>
      </c>
      <c r="F2732" s="2" t="s">
        <v>9</v>
      </c>
      <c r="G2732" t="s">
        <v>10</v>
      </c>
      <c r="H2732" s="2" t="s">
        <v>4283</v>
      </c>
      <c r="I2732" s="2">
        <v>39.1</v>
      </c>
    </row>
    <row r="2733" spans="1:10" x14ac:dyDescent="0.25">
      <c r="A2733" s="1" t="s">
        <v>4258</v>
      </c>
      <c r="B2733" t="s">
        <v>4259</v>
      </c>
      <c r="C2733" s="1" t="s">
        <v>7</v>
      </c>
      <c r="D2733" s="1" t="s">
        <v>7</v>
      </c>
      <c r="E2733" t="s">
        <v>8</v>
      </c>
      <c r="F2733" s="2" t="s">
        <v>9</v>
      </c>
      <c r="G2733" t="s">
        <v>10</v>
      </c>
      <c r="H2733" s="2" t="s">
        <v>992</v>
      </c>
      <c r="I2733" s="2">
        <v>13.8</v>
      </c>
    </row>
    <row r="2734" spans="1:10" x14ac:dyDescent="0.25">
      <c r="A2734" s="1" t="s">
        <v>4278</v>
      </c>
      <c r="B2734" t="s">
        <v>4279</v>
      </c>
      <c r="C2734" s="1" t="s">
        <v>4284</v>
      </c>
      <c r="D2734" s="1" t="s">
        <v>4284</v>
      </c>
      <c r="E2734" t="s">
        <v>4285</v>
      </c>
      <c r="F2734" s="2" t="s">
        <v>4286</v>
      </c>
      <c r="G2734" t="s">
        <v>17</v>
      </c>
      <c r="H2734" s="2" t="s">
        <v>3520</v>
      </c>
      <c r="I2734" s="2">
        <v>117</v>
      </c>
    </row>
    <row r="2735" spans="1:10" x14ac:dyDescent="0.25">
      <c r="A2735" s="1" t="s">
        <v>4278</v>
      </c>
      <c r="B2735" t="s">
        <v>4279</v>
      </c>
      <c r="C2735" s="1" t="s">
        <v>7</v>
      </c>
      <c r="D2735" s="1" t="s">
        <v>7</v>
      </c>
      <c r="E2735" t="s">
        <v>8</v>
      </c>
      <c r="F2735" s="2" t="s">
        <v>9</v>
      </c>
      <c r="G2735" t="s">
        <v>10</v>
      </c>
      <c r="H2735" s="2" t="s">
        <v>860</v>
      </c>
      <c r="I2735" s="2">
        <v>23</v>
      </c>
    </row>
    <row r="2736" spans="1:10" x14ac:dyDescent="0.25">
      <c r="A2736" s="1" t="s">
        <v>4278</v>
      </c>
      <c r="B2736" t="s">
        <v>4279</v>
      </c>
      <c r="C2736" s="1" t="s">
        <v>7</v>
      </c>
      <c r="D2736" s="1" t="s">
        <v>7</v>
      </c>
      <c r="E2736" t="s">
        <v>8</v>
      </c>
      <c r="F2736" s="2" t="s">
        <v>9</v>
      </c>
      <c r="G2736" t="s">
        <v>10</v>
      </c>
      <c r="H2736" s="2" t="s">
        <v>4283</v>
      </c>
      <c r="I2736" s="2">
        <v>39.1</v>
      </c>
    </row>
    <row r="2737" spans="1:10" x14ac:dyDescent="0.25">
      <c r="A2737" s="1" t="s">
        <v>4287</v>
      </c>
      <c r="B2737" t="s">
        <v>4288</v>
      </c>
      <c r="C2737" s="1" t="s">
        <v>4289</v>
      </c>
      <c r="D2737" s="1" t="s">
        <v>4289</v>
      </c>
      <c r="E2737" t="s">
        <v>4290</v>
      </c>
      <c r="F2737" s="2" t="s">
        <v>3144</v>
      </c>
      <c r="G2737" t="s">
        <v>49</v>
      </c>
      <c r="H2737" s="2" t="s">
        <v>92</v>
      </c>
      <c r="I2737" s="2">
        <v>114.4</v>
      </c>
    </row>
    <row r="2738" spans="1:10" x14ac:dyDescent="0.25">
      <c r="A2738" s="1" t="s">
        <v>4287</v>
      </c>
      <c r="B2738" t="s">
        <v>4288</v>
      </c>
      <c r="C2738" s="1" t="s">
        <v>4291</v>
      </c>
      <c r="D2738" s="1" t="s">
        <v>4291</v>
      </c>
      <c r="E2738" t="s">
        <v>4292</v>
      </c>
      <c r="F2738" s="2" t="s">
        <v>4293</v>
      </c>
      <c r="G2738" t="s">
        <v>49</v>
      </c>
      <c r="H2738" s="2" t="s">
        <v>312</v>
      </c>
      <c r="I2738" s="2">
        <v>176.8</v>
      </c>
    </row>
    <row r="2739" spans="1:10" x14ac:dyDescent="0.25">
      <c r="A2739" s="1" t="s">
        <v>4287</v>
      </c>
      <c r="B2739" t="s">
        <v>4288</v>
      </c>
      <c r="C2739" s="1" t="s">
        <v>4294</v>
      </c>
      <c r="D2739" s="1" t="s">
        <v>4294</v>
      </c>
      <c r="E2739" t="s">
        <v>4295</v>
      </c>
      <c r="F2739" s="2" t="s">
        <v>4296</v>
      </c>
      <c r="G2739" t="s">
        <v>49</v>
      </c>
      <c r="H2739" s="2" t="s">
        <v>50</v>
      </c>
      <c r="I2739" s="2">
        <v>74.900000000000006</v>
      </c>
      <c r="J2739" t="s">
        <v>55</v>
      </c>
    </row>
    <row r="2740" spans="1:10" x14ac:dyDescent="0.25">
      <c r="A2740" s="1" t="s">
        <v>4287</v>
      </c>
      <c r="B2740" t="s">
        <v>4288</v>
      </c>
      <c r="C2740" s="1" t="s">
        <v>857</v>
      </c>
      <c r="D2740" s="1" t="s">
        <v>857</v>
      </c>
      <c r="E2740" t="s">
        <v>858</v>
      </c>
      <c r="F2740" s="2" t="s">
        <v>686</v>
      </c>
      <c r="G2740" t="s">
        <v>49</v>
      </c>
      <c r="H2740" s="2" t="s">
        <v>4297</v>
      </c>
      <c r="I2740" s="2">
        <v>7.5</v>
      </c>
    </row>
    <row r="2741" spans="1:10" x14ac:dyDescent="0.25">
      <c r="A2741" s="1" t="s">
        <v>4287</v>
      </c>
      <c r="B2741" t="s">
        <v>4288</v>
      </c>
      <c r="C2741" s="1" t="s">
        <v>7</v>
      </c>
      <c r="D2741" s="1" t="s">
        <v>7</v>
      </c>
      <c r="E2741" t="s">
        <v>8</v>
      </c>
      <c r="F2741" s="2" t="s">
        <v>9</v>
      </c>
      <c r="G2741" t="s">
        <v>10</v>
      </c>
      <c r="H2741" s="2" t="s">
        <v>2330</v>
      </c>
      <c r="I2741" s="2">
        <v>25.3</v>
      </c>
    </row>
    <row r="2742" spans="1:10" x14ac:dyDescent="0.25">
      <c r="A2742" s="1" t="s">
        <v>4287</v>
      </c>
      <c r="B2742" t="s">
        <v>4288</v>
      </c>
      <c r="C2742" s="1" t="s">
        <v>7</v>
      </c>
      <c r="D2742" s="1" t="s">
        <v>7</v>
      </c>
      <c r="E2742" t="s">
        <v>8</v>
      </c>
      <c r="F2742" s="2" t="s">
        <v>9</v>
      </c>
      <c r="G2742" t="s">
        <v>10</v>
      </c>
      <c r="H2742" s="2" t="s">
        <v>3307</v>
      </c>
      <c r="I2742" s="2">
        <v>55.2</v>
      </c>
    </row>
    <row r="2743" spans="1:10" x14ac:dyDescent="0.25">
      <c r="A2743" s="1" t="s">
        <v>4294</v>
      </c>
      <c r="B2743" t="s">
        <v>4295</v>
      </c>
      <c r="C2743" s="1" t="s">
        <v>2509</v>
      </c>
      <c r="D2743" s="1" t="s">
        <v>2509</v>
      </c>
      <c r="E2743" t="s">
        <v>2510</v>
      </c>
      <c r="F2743" s="2" t="s">
        <v>216</v>
      </c>
      <c r="G2743" t="s">
        <v>5</v>
      </c>
      <c r="H2743" s="2" t="s">
        <v>4298</v>
      </c>
      <c r="I2743" s="2">
        <v>40.4</v>
      </c>
    </row>
    <row r="2744" spans="1:10" x14ac:dyDescent="0.25">
      <c r="A2744" s="1" t="s">
        <v>4294</v>
      </c>
      <c r="B2744" t="s">
        <v>4295</v>
      </c>
      <c r="C2744" s="1" t="s">
        <v>7</v>
      </c>
      <c r="D2744" s="1" t="s">
        <v>7</v>
      </c>
      <c r="E2744" t="s">
        <v>8</v>
      </c>
      <c r="F2744" s="2" t="s">
        <v>9</v>
      </c>
      <c r="G2744" t="s">
        <v>10</v>
      </c>
      <c r="H2744" s="2" t="s">
        <v>1130</v>
      </c>
      <c r="I2744" s="2">
        <v>34.5</v>
      </c>
    </row>
    <row r="2745" spans="1:10" x14ac:dyDescent="0.25">
      <c r="A2745" s="1" t="s">
        <v>4299</v>
      </c>
      <c r="B2745" t="s">
        <v>4300</v>
      </c>
      <c r="C2745" s="1" t="s">
        <v>3007</v>
      </c>
      <c r="D2745" s="1" t="s">
        <v>3007</v>
      </c>
      <c r="E2745" t="s">
        <v>3008</v>
      </c>
      <c r="F2745" s="2" t="s">
        <v>70</v>
      </c>
      <c r="G2745" t="s">
        <v>5</v>
      </c>
      <c r="H2745" s="2" t="s">
        <v>3031</v>
      </c>
      <c r="I2745" s="2">
        <v>1.7</v>
      </c>
    </row>
    <row r="2746" spans="1:10" x14ac:dyDescent="0.25">
      <c r="A2746" s="1" t="s">
        <v>4299</v>
      </c>
      <c r="B2746" t="s">
        <v>4300</v>
      </c>
      <c r="C2746" s="1" t="s">
        <v>7</v>
      </c>
      <c r="D2746" s="1" t="s">
        <v>7</v>
      </c>
      <c r="E2746" t="s">
        <v>8</v>
      </c>
      <c r="F2746" s="2" t="s">
        <v>9</v>
      </c>
      <c r="G2746" t="s">
        <v>10</v>
      </c>
      <c r="H2746" s="2" t="s">
        <v>1236</v>
      </c>
      <c r="I2746" s="2">
        <v>5.52</v>
      </c>
    </row>
    <row r="2747" spans="1:10" x14ac:dyDescent="0.25">
      <c r="A2747" s="1" t="s">
        <v>4301</v>
      </c>
      <c r="B2747" t="s">
        <v>4302</v>
      </c>
      <c r="C2747" s="1" t="s">
        <v>4303</v>
      </c>
      <c r="D2747" s="1" t="s">
        <v>4303</v>
      </c>
      <c r="E2747" t="s">
        <v>4304</v>
      </c>
      <c r="F2747" s="2" t="s">
        <v>4305</v>
      </c>
      <c r="G2747" t="s">
        <v>49</v>
      </c>
      <c r="H2747" s="2" t="s">
        <v>50</v>
      </c>
      <c r="I2747" s="2">
        <v>15.86</v>
      </c>
    </row>
    <row r="2748" spans="1:10" x14ac:dyDescent="0.25">
      <c r="A2748" s="1" t="s">
        <v>4301</v>
      </c>
      <c r="B2748" t="s">
        <v>4302</v>
      </c>
      <c r="C2748" s="1" t="s">
        <v>4306</v>
      </c>
      <c r="D2748" s="1" t="s">
        <v>4306</v>
      </c>
      <c r="E2748" t="s">
        <v>4307</v>
      </c>
      <c r="F2748" s="2" t="s">
        <v>4308</v>
      </c>
      <c r="G2748" t="s">
        <v>49</v>
      </c>
      <c r="H2748" s="2" t="s">
        <v>50</v>
      </c>
      <c r="I2748" s="2">
        <v>4.0199999999999996</v>
      </c>
      <c r="J2748" t="s">
        <v>55</v>
      </c>
    </row>
    <row r="2749" spans="1:10" x14ac:dyDescent="0.25">
      <c r="A2749" s="1" t="s">
        <v>4301</v>
      </c>
      <c r="B2749" t="s">
        <v>4302</v>
      </c>
      <c r="C2749" s="1" t="s">
        <v>432</v>
      </c>
      <c r="D2749" s="1" t="s">
        <v>432</v>
      </c>
      <c r="E2749" t="s">
        <v>433</v>
      </c>
      <c r="F2749" s="2" t="s">
        <v>434</v>
      </c>
      <c r="G2749" t="s">
        <v>435</v>
      </c>
      <c r="H2749" s="2" t="s">
        <v>50</v>
      </c>
      <c r="I2749" s="2">
        <v>1.1000000000000001</v>
      </c>
    </row>
    <row r="2750" spans="1:10" x14ac:dyDescent="0.25">
      <c r="A2750" s="1" t="s">
        <v>4301</v>
      </c>
      <c r="B2750" t="s">
        <v>4302</v>
      </c>
      <c r="C2750" s="1" t="s">
        <v>7</v>
      </c>
      <c r="D2750" s="1" t="s">
        <v>7</v>
      </c>
      <c r="E2750" t="s">
        <v>8</v>
      </c>
      <c r="F2750" s="2" t="s">
        <v>9</v>
      </c>
      <c r="G2750" t="s">
        <v>10</v>
      </c>
      <c r="H2750" s="2" t="s">
        <v>19</v>
      </c>
      <c r="I2750" s="2">
        <v>4.5999999999999996</v>
      </c>
    </row>
    <row r="2751" spans="1:10" x14ac:dyDescent="0.25">
      <c r="A2751" s="1" t="s">
        <v>4301</v>
      </c>
      <c r="B2751" t="s">
        <v>4302</v>
      </c>
      <c r="C2751" s="1" t="s">
        <v>7</v>
      </c>
      <c r="D2751" s="1" t="s">
        <v>7</v>
      </c>
      <c r="E2751" t="s">
        <v>8</v>
      </c>
      <c r="F2751" s="2" t="s">
        <v>9</v>
      </c>
      <c r="G2751" t="s">
        <v>10</v>
      </c>
      <c r="H2751" s="2" t="s">
        <v>447</v>
      </c>
      <c r="I2751" s="2">
        <v>0.92</v>
      </c>
    </row>
    <row r="2752" spans="1:10" x14ac:dyDescent="0.25">
      <c r="A2752" s="1" t="s">
        <v>4301</v>
      </c>
      <c r="B2752" t="s">
        <v>4302</v>
      </c>
      <c r="C2752" s="1" t="s">
        <v>7</v>
      </c>
      <c r="D2752" s="1" t="s">
        <v>7</v>
      </c>
      <c r="E2752" t="s">
        <v>8</v>
      </c>
      <c r="F2752" s="2" t="s">
        <v>9</v>
      </c>
      <c r="G2752" t="s">
        <v>10</v>
      </c>
      <c r="H2752" s="2" t="s">
        <v>367</v>
      </c>
      <c r="I2752" s="2">
        <v>2.2999999999999998</v>
      </c>
    </row>
    <row r="2753" spans="1:10" x14ac:dyDescent="0.25">
      <c r="A2753" s="1" t="s">
        <v>4306</v>
      </c>
      <c r="B2753" t="s">
        <v>4307</v>
      </c>
      <c r="C2753" s="1" t="s">
        <v>3011</v>
      </c>
      <c r="D2753" s="1" t="s">
        <v>3011</v>
      </c>
      <c r="E2753" t="s">
        <v>4309</v>
      </c>
      <c r="F2753" s="2" t="s">
        <v>1394</v>
      </c>
      <c r="G2753" t="s">
        <v>932</v>
      </c>
      <c r="H2753" s="2" t="s">
        <v>33</v>
      </c>
      <c r="I2753" s="2">
        <v>0.8</v>
      </c>
    </row>
    <row r="2754" spans="1:10" x14ac:dyDescent="0.25">
      <c r="A2754" s="1" t="s">
        <v>4306</v>
      </c>
      <c r="B2754" t="s">
        <v>4307</v>
      </c>
      <c r="C2754" s="1" t="s">
        <v>7</v>
      </c>
      <c r="D2754" s="1" t="s">
        <v>7</v>
      </c>
      <c r="E2754" t="s">
        <v>8</v>
      </c>
      <c r="F2754" s="2" t="s">
        <v>9</v>
      </c>
      <c r="G2754" t="s">
        <v>10</v>
      </c>
      <c r="H2754" s="2" t="s">
        <v>1428</v>
      </c>
      <c r="I2754" s="2">
        <v>3.22</v>
      </c>
    </row>
    <row r="2755" spans="1:10" x14ac:dyDescent="0.25">
      <c r="A2755" s="1" t="s">
        <v>4310</v>
      </c>
      <c r="B2755" t="s">
        <v>4311</v>
      </c>
      <c r="C2755" s="1" t="s">
        <v>4312</v>
      </c>
      <c r="D2755" s="1" t="s">
        <v>4312</v>
      </c>
      <c r="E2755" t="s">
        <v>4313</v>
      </c>
      <c r="F2755" s="2" t="s">
        <v>131</v>
      </c>
      <c r="G2755" t="s">
        <v>5</v>
      </c>
      <c r="H2755" s="2" t="s">
        <v>1254</v>
      </c>
      <c r="I2755" s="2">
        <v>4.97</v>
      </c>
    </row>
    <row r="2756" spans="1:10" x14ac:dyDescent="0.25">
      <c r="A2756" s="1" t="s">
        <v>4310</v>
      </c>
      <c r="B2756" t="s">
        <v>4311</v>
      </c>
      <c r="C2756" s="1" t="s">
        <v>432</v>
      </c>
      <c r="D2756" s="1" t="s">
        <v>432</v>
      </c>
      <c r="E2756" t="s">
        <v>433</v>
      </c>
      <c r="F2756" s="2" t="s">
        <v>434</v>
      </c>
      <c r="G2756" t="s">
        <v>435</v>
      </c>
      <c r="H2756" s="2" t="s">
        <v>50</v>
      </c>
      <c r="I2756" s="2">
        <v>1.1000000000000001</v>
      </c>
    </row>
    <row r="2757" spans="1:10" x14ac:dyDescent="0.25">
      <c r="A2757" s="1" t="s">
        <v>4310</v>
      </c>
      <c r="B2757" t="s">
        <v>4311</v>
      </c>
      <c r="C2757" s="1" t="s">
        <v>7</v>
      </c>
      <c r="D2757" s="1" t="s">
        <v>7</v>
      </c>
      <c r="E2757" t="s">
        <v>8</v>
      </c>
      <c r="F2757" s="2" t="s">
        <v>9</v>
      </c>
      <c r="G2757" t="s">
        <v>10</v>
      </c>
      <c r="H2757" s="2" t="s">
        <v>478</v>
      </c>
      <c r="I2757" s="2">
        <v>3.68</v>
      </c>
    </row>
    <row r="2758" spans="1:10" x14ac:dyDescent="0.25">
      <c r="A2758" s="1" t="s">
        <v>4314</v>
      </c>
      <c r="B2758" t="s">
        <v>4315</v>
      </c>
      <c r="C2758" s="1" t="s">
        <v>4316</v>
      </c>
      <c r="D2758" s="1" t="s">
        <v>4316</v>
      </c>
      <c r="E2758" t="s">
        <v>4317</v>
      </c>
      <c r="F2758" s="2" t="s">
        <v>1394</v>
      </c>
      <c r="G2758" t="s">
        <v>5</v>
      </c>
      <c r="H2758" s="2" t="s">
        <v>3717</v>
      </c>
      <c r="I2758" s="2">
        <v>0.05</v>
      </c>
    </row>
    <row r="2759" spans="1:10" x14ac:dyDescent="0.25">
      <c r="A2759" s="1" t="s">
        <v>4314</v>
      </c>
      <c r="B2759" t="s">
        <v>4315</v>
      </c>
      <c r="C2759" s="1" t="s">
        <v>4318</v>
      </c>
      <c r="D2759" s="1" t="s">
        <v>4318</v>
      </c>
      <c r="E2759" t="s">
        <v>4319</v>
      </c>
      <c r="F2759" s="2" t="s">
        <v>4320</v>
      </c>
      <c r="G2759" t="s">
        <v>49</v>
      </c>
      <c r="H2759" s="2" t="s">
        <v>50</v>
      </c>
      <c r="I2759" s="2">
        <v>1.24</v>
      </c>
    </row>
    <row r="2760" spans="1:10" x14ac:dyDescent="0.25">
      <c r="A2760" s="1" t="s">
        <v>4314</v>
      </c>
      <c r="B2760" t="s">
        <v>4315</v>
      </c>
      <c r="C2760" s="1" t="s">
        <v>4321</v>
      </c>
      <c r="D2760" s="1" t="s">
        <v>4321</v>
      </c>
      <c r="E2760" t="s">
        <v>4322</v>
      </c>
      <c r="F2760" s="2" t="s">
        <v>4323</v>
      </c>
      <c r="G2760" t="s">
        <v>49</v>
      </c>
      <c r="H2760" s="2" t="s">
        <v>92</v>
      </c>
      <c r="I2760" s="2">
        <v>7.72</v>
      </c>
      <c r="J2760" t="s">
        <v>55</v>
      </c>
    </row>
    <row r="2761" spans="1:10" x14ac:dyDescent="0.25">
      <c r="A2761" s="1" t="s">
        <v>4314</v>
      </c>
      <c r="B2761" t="s">
        <v>4315</v>
      </c>
      <c r="C2761" s="1" t="s">
        <v>4324</v>
      </c>
      <c r="D2761" s="1" t="s">
        <v>4324</v>
      </c>
      <c r="E2761" t="s">
        <v>4325</v>
      </c>
      <c r="F2761" s="2" t="s">
        <v>658</v>
      </c>
      <c r="G2761" t="s">
        <v>49</v>
      </c>
      <c r="H2761" s="2" t="s">
        <v>50</v>
      </c>
      <c r="I2761" s="2">
        <v>5.6</v>
      </c>
      <c r="J2761" t="s">
        <v>55</v>
      </c>
    </row>
    <row r="2762" spans="1:10" x14ac:dyDescent="0.25">
      <c r="A2762" s="1" t="s">
        <v>4314</v>
      </c>
      <c r="B2762" t="s">
        <v>4315</v>
      </c>
      <c r="C2762" s="1" t="s">
        <v>4326</v>
      </c>
      <c r="D2762" s="1" t="s">
        <v>4326</v>
      </c>
      <c r="E2762" t="s">
        <v>4327</v>
      </c>
      <c r="F2762" s="2" t="s">
        <v>1675</v>
      </c>
      <c r="G2762" t="s">
        <v>49</v>
      </c>
      <c r="H2762" s="2" t="s">
        <v>50</v>
      </c>
      <c r="I2762" s="2">
        <v>20.8</v>
      </c>
      <c r="J2762" t="s">
        <v>55</v>
      </c>
    </row>
    <row r="2763" spans="1:10" x14ac:dyDescent="0.25">
      <c r="A2763" s="1" t="s">
        <v>4314</v>
      </c>
      <c r="B2763" t="s">
        <v>4315</v>
      </c>
      <c r="C2763" s="1" t="s">
        <v>4328</v>
      </c>
      <c r="D2763" s="1" t="s">
        <v>4328</v>
      </c>
      <c r="E2763" t="s">
        <v>4329</v>
      </c>
      <c r="F2763" s="2" t="s">
        <v>4330</v>
      </c>
      <c r="G2763" t="s">
        <v>49</v>
      </c>
      <c r="H2763" s="2" t="s">
        <v>50</v>
      </c>
      <c r="I2763" s="2">
        <v>135.99</v>
      </c>
      <c r="J2763" t="s">
        <v>55</v>
      </c>
    </row>
    <row r="2764" spans="1:10" x14ac:dyDescent="0.25">
      <c r="A2764" s="1" t="s">
        <v>4314</v>
      </c>
      <c r="B2764" t="s">
        <v>4315</v>
      </c>
      <c r="C2764" s="1" t="s">
        <v>7</v>
      </c>
      <c r="D2764" s="1" t="s">
        <v>7</v>
      </c>
      <c r="E2764" t="s">
        <v>8</v>
      </c>
      <c r="F2764" s="2" t="s">
        <v>9</v>
      </c>
      <c r="G2764" t="s">
        <v>10</v>
      </c>
      <c r="H2764" s="2" t="s">
        <v>367</v>
      </c>
      <c r="I2764" s="2">
        <v>2.2999999999999998</v>
      </c>
    </row>
    <row r="2765" spans="1:10" x14ac:dyDescent="0.25">
      <c r="A2765" s="1" t="s">
        <v>4314</v>
      </c>
      <c r="B2765" t="s">
        <v>4315</v>
      </c>
      <c r="C2765" s="1" t="s">
        <v>7</v>
      </c>
      <c r="D2765" s="1" t="s">
        <v>7</v>
      </c>
      <c r="E2765" t="s">
        <v>8</v>
      </c>
      <c r="F2765" s="2" t="s">
        <v>9</v>
      </c>
      <c r="G2765" t="s">
        <v>10</v>
      </c>
      <c r="H2765" s="2" t="s">
        <v>1254</v>
      </c>
      <c r="I2765" s="2">
        <v>16.100000000000001</v>
      </c>
    </row>
    <row r="2766" spans="1:10" x14ac:dyDescent="0.25">
      <c r="A2766" s="1" t="s">
        <v>4321</v>
      </c>
      <c r="B2766" t="s">
        <v>4322</v>
      </c>
      <c r="C2766" s="1" t="s">
        <v>4331</v>
      </c>
      <c r="D2766" s="1" t="s">
        <v>4331</v>
      </c>
      <c r="E2766" t="s">
        <v>4332</v>
      </c>
      <c r="F2766" s="2" t="s">
        <v>712</v>
      </c>
      <c r="G2766" t="s">
        <v>5</v>
      </c>
      <c r="H2766" s="2" t="s">
        <v>4333</v>
      </c>
      <c r="I2766" s="2">
        <v>1.1000000000000001</v>
      </c>
    </row>
    <row r="2767" spans="1:10" x14ac:dyDescent="0.25">
      <c r="A2767" s="1" t="s">
        <v>4321</v>
      </c>
      <c r="B2767" t="s">
        <v>4322</v>
      </c>
      <c r="C2767" s="1" t="s">
        <v>7</v>
      </c>
      <c r="D2767" s="1" t="s">
        <v>7</v>
      </c>
      <c r="E2767" t="s">
        <v>8</v>
      </c>
      <c r="F2767" s="2" t="s">
        <v>9</v>
      </c>
      <c r="G2767" t="s">
        <v>10</v>
      </c>
      <c r="H2767" s="2" t="s">
        <v>25</v>
      </c>
      <c r="I2767" s="2">
        <v>2.76</v>
      </c>
    </row>
    <row r="2768" spans="1:10" x14ac:dyDescent="0.25">
      <c r="A2768" s="1" t="s">
        <v>4324</v>
      </c>
      <c r="B2768" t="s">
        <v>4325</v>
      </c>
      <c r="C2768" s="1" t="s">
        <v>2529</v>
      </c>
      <c r="D2768" s="1" t="s">
        <v>2529</v>
      </c>
      <c r="E2768" t="s">
        <v>2530</v>
      </c>
      <c r="F2768" s="2" t="s">
        <v>2469</v>
      </c>
      <c r="G2768" t="s">
        <v>5</v>
      </c>
      <c r="H2768" s="2" t="s">
        <v>652</v>
      </c>
      <c r="I2768" s="2">
        <v>0.36</v>
      </c>
    </row>
    <row r="2769" spans="1:9" x14ac:dyDescent="0.25">
      <c r="A2769" s="1" t="s">
        <v>4324</v>
      </c>
      <c r="B2769" t="s">
        <v>4325</v>
      </c>
      <c r="C2769" s="1" t="s">
        <v>432</v>
      </c>
      <c r="D2769" s="1" t="s">
        <v>432</v>
      </c>
      <c r="E2769" t="s">
        <v>433</v>
      </c>
      <c r="F2769" s="2" t="s">
        <v>434</v>
      </c>
      <c r="G2769" t="s">
        <v>435</v>
      </c>
      <c r="H2769" s="2" t="s">
        <v>50</v>
      </c>
      <c r="I2769" s="2">
        <v>1.1000000000000001</v>
      </c>
    </row>
    <row r="2770" spans="1:9" x14ac:dyDescent="0.25">
      <c r="A2770" s="1" t="s">
        <v>4324</v>
      </c>
      <c r="B2770" t="s">
        <v>4325</v>
      </c>
      <c r="C2770" s="1" t="s">
        <v>7</v>
      </c>
      <c r="D2770" s="1" t="s">
        <v>7</v>
      </c>
      <c r="E2770" t="s">
        <v>8</v>
      </c>
      <c r="F2770" s="2" t="s">
        <v>9</v>
      </c>
      <c r="G2770" t="s">
        <v>10</v>
      </c>
      <c r="H2770" s="2" t="s">
        <v>1425</v>
      </c>
      <c r="I2770" s="2">
        <v>4.1399999999999997</v>
      </c>
    </row>
    <row r="2771" spans="1:9" x14ac:dyDescent="0.25">
      <c r="A2771" s="1" t="s">
        <v>4326</v>
      </c>
      <c r="B2771" t="s">
        <v>4327</v>
      </c>
      <c r="C2771" s="1" t="s">
        <v>1487</v>
      </c>
      <c r="D2771" s="1" t="s">
        <v>1487</v>
      </c>
      <c r="E2771" t="s">
        <v>1488</v>
      </c>
      <c r="F2771" s="2" t="s">
        <v>31</v>
      </c>
      <c r="G2771" t="s">
        <v>5</v>
      </c>
      <c r="H2771" s="2" t="s">
        <v>1491</v>
      </c>
      <c r="I2771" s="2">
        <v>1.3</v>
      </c>
    </row>
    <row r="2772" spans="1:9" x14ac:dyDescent="0.25">
      <c r="A2772" s="1" t="s">
        <v>4326</v>
      </c>
      <c r="B2772" t="s">
        <v>4327</v>
      </c>
      <c r="C2772" s="1" t="s">
        <v>432</v>
      </c>
      <c r="D2772" s="1" t="s">
        <v>432</v>
      </c>
      <c r="E2772" t="s">
        <v>433</v>
      </c>
      <c r="F2772" s="2" t="s">
        <v>434</v>
      </c>
      <c r="G2772" t="s">
        <v>435</v>
      </c>
      <c r="H2772" s="2" t="s">
        <v>50</v>
      </c>
      <c r="I2772" s="2">
        <v>1.1000000000000001</v>
      </c>
    </row>
    <row r="2773" spans="1:9" x14ac:dyDescent="0.25">
      <c r="A2773" s="1" t="s">
        <v>4326</v>
      </c>
      <c r="B2773" t="s">
        <v>4327</v>
      </c>
      <c r="C2773" s="1" t="s">
        <v>7</v>
      </c>
      <c r="D2773" s="1" t="s">
        <v>7</v>
      </c>
      <c r="E2773" t="s">
        <v>8</v>
      </c>
      <c r="F2773" s="2" t="s">
        <v>9</v>
      </c>
      <c r="G2773" t="s">
        <v>10</v>
      </c>
      <c r="H2773" s="2" t="s">
        <v>607</v>
      </c>
      <c r="I2773" s="2">
        <v>18.399999999999999</v>
      </c>
    </row>
    <row r="2774" spans="1:9" x14ac:dyDescent="0.25">
      <c r="A2774" s="1" t="s">
        <v>4328</v>
      </c>
      <c r="B2774" t="s">
        <v>4329</v>
      </c>
      <c r="C2774" s="1" t="s">
        <v>2668</v>
      </c>
      <c r="D2774" s="1" t="s">
        <v>2668</v>
      </c>
      <c r="E2774" t="s">
        <v>2669</v>
      </c>
      <c r="F2774" s="2" t="s">
        <v>2670</v>
      </c>
      <c r="G2774" t="s">
        <v>5</v>
      </c>
      <c r="H2774" s="2" t="s">
        <v>4334</v>
      </c>
      <c r="I2774" s="2">
        <v>7.1</v>
      </c>
    </row>
    <row r="2775" spans="1:9" x14ac:dyDescent="0.25">
      <c r="A2775" s="1" t="s">
        <v>4328</v>
      </c>
      <c r="B2775" t="s">
        <v>4329</v>
      </c>
      <c r="C2775" s="1" t="s">
        <v>2668</v>
      </c>
      <c r="D2775" s="1" t="s">
        <v>2668</v>
      </c>
      <c r="E2775" t="s">
        <v>2669</v>
      </c>
      <c r="F2775" s="2" t="s">
        <v>2670</v>
      </c>
      <c r="G2775" t="s">
        <v>5</v>
      </c>
      <c r="H2775" s="2" t="s">
        <v>4335</v>
      </c>
      <c r="I2775" s="2">
        <v>18.149999999999999</v>
      </c>
    </row>
    <row r="2776" spans="1:9" x14ac:dyDescent="0.25">
      <c r="A2776" s="1" t="s">
        <v>4328</v>
      </c>
      <c r="B2776" t="s">
        <v>4329</v>
      </c>
      <c r="C2776" s="1" t="s">
        <v>857</v>
      </c>
      <c r="D2776" s="1" t="s">
        <v>857</v>
      </c>
      <c r="E2776" t="s">
        <v>858</v>
      </c>
      <c r="F2776" s="2" t="s">
        <v>686</v>
      </c>
      <c r="G2776" t="s">
        <v>49</v>
      </c>
      <c r="H2776" s="2" t="s">
        <v>4336</v>
      </c>
      <c r="I2776" s="2">
        <v>0.15</v>
      </c>
    </row>
    <row r="2777" spans="1:9" x14ac:dyDescent="0.25">
      <c r="A2777" s="1" t="s">
        <v>4328</v>
      </c>
      <c r="B2777" t="s">
        <v>4329</v>
      </c>
      <c r="C2777" s="1" t="s">
        <v>432</v>
      </c>
      <c r="D2777" s="1" t="s">
        <v>432</v>
      </c>
      <c r="E2777" t="s">
        <v>433</v>
      </c>
      <c r="F2777" s="2" t="s">
        <v>434</v>
      </c>
      <c r="G2777" t="s">
        <v>435</v>
      </c>
      <c r="H2777" s="2" t="s">
        <v>1300</v>
      </c>
      <c r="I2777" s="2">
        <v>5.5</v>
      </c>
    </row>
    <row r="2778" spans="1:9" x14ac:dyDescent="0.25">
      <c r="A2778" s="1" t="s">
        <v>4328</v>
      </c>
      <c r="B2778" t="s">
        <v>4329</v>
      </c>
      <c r="C2778" s="1" t="s">
        <v>7</v>
      </c>
      <c r="D2778" s="1" t="s">
        <v>7</v>
      </c>
      <c r="E2778" t="s">
        <v>8</v>
      </c>
      <c r="F2778" s="2" t="s">
        <v>9</v>
      </c>
      <c r="G2778" t="s">
        <v>10</v>
      </c>
      <c r="H2778" s="2" t="s">
        <v>2600</v>
      </c>
      <c r="I2778" s="2">
        <v>62.1</v>
      </c>
    </row>
    <row r="2779" spans="1:9" x14ac:dyDescent="0.25">
      <c r="A2779" s="1" t="s">
        <v>4328</v>
      </c>
      <c r="B2779" t="s">
        <v>4329</v>
      </c>
      <c r="C2779" s="1" t="s">
        <v>7</v>
      </c>
      <c r="D2779" s="1" t="s">
        <v>7</v>
      </c>
      <c r="E2779" t="s">
        <v>8</v>
      </c>
      <c r="F2779" s="2" t="s">
        <v>9</v>
      </c>
      <c r="G2779" t="s">
        <v>10</v>
      </c>
      <c r="H2779" s="2" t="s">
        <v>4197</v>
      </c>
      <c r="I2779" s="2">
        <v>3.89</v>
      </c>
    </row>
    <row r="2780" spans="1:9" x14ac:dyDescent="0.25">
      <c r="A2780" s="1" t="s">
        <v>4328</v>
      </c>
      <c r="B2780" t="s">
        <v>4329</v>
      </c>
      <c r="C2780" s="1" t="s">
        <v>7</v>
      </c>
      <c r="D2780" s="1" t="s">
        <v>7</v>
      </c>
      <c r="E2780" t="s">
        <v>8</v>
      </c>
      <c r="F2780" s="2" t="s">
        <v>9</v>
      </c>
      <c r="G2780" t="s">
        <v>10</v>
      </c>
      <c r="H2780" s="2" t="s">
        <v>992</v>
      </c>
      <c r="I2780" s="2">
        <v>13.8</v>
      </c>
    </row>
    <row r="2781" spans="1:9" x14ac:dyDescent="0.25">
      <c r="A2781" s="1" t="s">
        <v>4328</v>
      </c>
      <c r="B2781" t="s">
        <v>4329</v>
      </c>
      <c r="C2781" s="1" t="s">
        <v>7</v>
      </c>
      <c r="D2781" s="1" t="s">
        <v>7</v>
      </c>
      <c r="E2781" t="s">
        <v>8</v>
      </c>
      <c r="F2781" s="2" t="s">
        <v>9</v>
      </c>
      <c r="G2781" t="s">
        <v>10</v>
      </c>
      <c r="H2781" s="2" t="s">
        <v>2330</v>
      </c>
      <c r="I2781" s="2">
        <v>25.3</v>
      </c>
    </row>
    <row r="2782" spans="1:9" x14ac:dyDescent="0.25">
      <c r="A2782" s="1" t="s">
        <v>4337</v>
      </c>
      <c r="B2782" t="s">
        <v>4338</v>
      </c>
      <c r="C2782" s="1" t="s">
        <v>1249</v>
      </c>
      <c r="D2782" s="1" t="s">
        <v>1249</v>
      </c>
      <c r="E2782" t="s">
        <v>1250</v>
      </c>
      <c r="F2782" s="2" t="s">
        <v>1251</v>
      </c>
      <c r="G2782" t="s">
        <v>1252</v>
      </c>
      <c r="H2782" s="2" t="s">
        <v>4339</v>
      </c>
      <c r="I2782" s="2">
        <v>17.28</v>
      </c>
    </row>
    <row r="2783" spans="1:9" x14ac:dyDescent="0.25">
      <c r="A2783" s="1" t="s">
        <v>4337</v>
      </c>
      <c r="B2783" t="s">
        <v>4338</v>
      </c>
      <c r="C2783" s="1" t="s">
        <v>7</v>
      </c>
      <c r="D2783" s="1" t="s">
        <v>7</v>
      </c>
      <c r="E2783" t="s">
        <v>8</v>
      </c>
      <c r="F2783" s="2" t="s">
        <v>9</v>
      </c>
      <c r="G2783" t="s">
        <v>10</v>
      </c>
      <c r="H2783" s="2" t="s">
        <v>1254</v>
      </c>
      <c r="I2783" s="2">
        <v>16.100000000000001</v>
      </c>
    </row>
    <row r="2784" spans="1:9" x14ac:dyDescent="0.25">
      <c r="A2784" s="1" t="s">
        <v>4337</v>
      </c>
      <c r="B2784" t="s">
        <v>4338</v>
      </c>
      <c r="C2784" s="1" t="s">
        <v>7</v>
      </c>
      <c r="D2784" s="1" t="s">
        <v>7</v>
      </c>
      <c r="E2784" t="s">
        <v>8</v>
      </c>
      <c r="F2784" s="2" t="s">
        <v>9</v>
      </c>
      <c r="G2784" t="s">
        <v>10</v>
      </c>
      <c r="H2784" s="2" t="s">
        <v>601</v>
      </c>
      <c r="I2784" s="2">
        <v>6.9</v>
      </c>
    </row>
    <row r="2785" spans="1:9" x14ac:dyDescent="0.25">
      <c r="A2785" s="1" t="s">
        <v>4340</v>
      </c>
      <c r="B2785" t="s">
        <v>4341</v>
      </c>
      <c r="C2785" s="1" t="s">
        <v>4342</v>
      </c>
      <c r="D2785" s="1" t="s">
        <v>4342</v>
      </c>
      <c r="E2785" t="s">
        <v>4343</v>
      </c>
      <c r="F2785" s="2" t="s">
        <v>70</v>
      </c>
      <c r="G2785" t="s">
        <v>5</v>
      </c>
      <c r="H2785" s="2" t="s">
        <v>4344</v>
      </c>
      <c r="I2785" s="2">
        <v>0.05</v>
      </c>
    </row>
    <row r="2786" spans="1:9" x14ac:dyDescent="0.25">
      <c r="A2786" s="1" t="s">
        <v>4340</v>
      </c>
      <c r="B2786" t="s">
        <v>4341</v>
      </c>
      <c r="C2786" s="1" t="s">
        <v>541</v>
      </c>
      <c r="D2786" s="1" t="s">
        <v>541</v>
      </c>
      <c r="E2786" t="s">
        <v>542</v>
      </c>
      <c r="F2786" s="2" t="s">
        <v>9</v>
      </c>
      <c r="G2786" t="s">
        <v>10</v>
      </c>
      <c r="H2786" s="2" t="s">
        <v>19</v>
      </c>
      <c r="I2786" s="2">
        <v>4.5999999999999996</v>
      </c>
    </row>
    <row r="2787" spans="1:9" x14ac:dyDescent="0.25">
      <c r="A2787" s="1" t="s">
        <v>4345</v>
      </c>
      <c r="B2787" t="s">
        <v>4346</v>
      </c>
      <c r="C2787" s="1" t="s">
        <v>1345</v>
      </c>
      <c r="D2787" s="1" t="s">
        <v>1345</v>
      </c>
      <c r="E2787" t="s">
        <v>1346</v>
      </c>
      <c r="F2787" s="2" t="s">
        <v>1347</v>
      </c>
      <c r="G2787" t="s">
        <v>5</v>
      </c>
      <c r="H2787" s="2" t="s">
        <v>40</v>
      </c>
      <c r="I2787" s="2">
        <v>0.65</v>
      </c>
    </row>
    <row r="2788" spans="1:9" x14ac:dyDescent="0.25">
      <c r="A2788" s="1" t="s">
        <v>4345</v>
      </c>
      <c r="B2788" t="s">
        <v>4346</v>
      </c>
      <c r="C2788" s="1" t="s">
        <v>541</v>
      </c>
      <c r="D2788" s="1" t="s">
        <v>541</v>
      </c>
      <c r="E2788" t="s">
        <v>542</v>
      </c>
      <c r="F2788" s="2" t="s">
        <v>9</v>
      </c>
      <c r="G2788" t="s">
        <v>10</v>
      </c>
      <c r="H2788" s="2" t="s">
        <v>4347</v>
      </c>
      <c r="I2788" s="2">
        <v>3.37</v>
      </c>
    </row>
    <row r="2789" spans="1:9" x14ac:dyDescent="0.25">
      <c r="A2789" s="1" t="s">
        <v>4348</v>
      </c>
      <c r="B2789" t="s">
        <v>4349</v>
      </c>
      <c r="C2789" s="1" t="s">
        <v>2072</v>
      </c>
      <c r="D2789" s="1" t="s">
        <v>2072</v>
      </c>
      <c r="E2789" t="s">
        <v>2073</v>
      </c>
      <c r="F2789" s="2" t="s">
        <v>1354</v>
      </c>
      <c r="G2789" t="s">
        <v>5</v>
      </c>
      <c r="H2789" s="2" t="s">
        <v>607</v>
      </c>
      <c r="I2789" s="2">
        <v>28.2</v>
      </c>
    </row>
    <row r="2790" spans="1:9" x14ac:dyDescent="0.25">
      <c r="A2790" s="1" t="s">
        <v>4348</v>
      </c>
      <c r="B2790" t="s">
        <v>4349</v>
      </c>
      <c r="C2790" s="1" t="s">
        <v>541</v>
      </c>
      <c r="D2790" s="1" t="s">
        <v>541</v>
      </c>
      <c r="E2790" t="s">
        <v>542</v>
      </c>
      <c r="F2790" s="2" t="s">
        <v>9</v>
      </c>
      <c r="G2790" t="s">
        <v>10</v>
      </c>
      <c r="H2790" s="2" t="s">
        <v>4350</v>
      </c>
      <c r="I2790" s="2">
        <v>8.0500000000000007</v>
      </c>
    </row>
    <row r="2791" spans="1:9" x14ac:dyDescent="0.25">
      <c r="A2791" s="1" t="s">
        <v>4351</v>
      </c>
      <c r="B2791" t="s">
        <v>4352</v>
      </c>
      <c r="C2791" s="1" t="s">
        <v>3255</v>
      </c>
      <c r="D2791" s="1" t="s">
        <v>3255</v>
      </c>
      <c r="E2791" t="s">
        <v>3256</v>
      </c>
      <c r="F2791" s="2" t="s">
        <v>3756</v>
      </c>
      <c r="G2791" t="s">
        <v>5</v>
      </c>
      <c r="H2791" s="2" t="s">
        <v>1210</v>
      </c>
      <c r="I2791" s="2">
        <v>0.44</v>
      </c>
    </row>
    <row r="2792" spans="1:9" x14ac:dyDescent="0.25">
      <c r="A2792" s="1" t="s">
        <v>4351</v>
      </c>
      <c r="B2792" t="s">
        <v>4352</v>
      </c>
      <c r="C2792" s="1" t="s">
        <v>541</v>
      </c>
      <c r="D2792" s="1" t="s">
        <v>541</v>
      </c>
      <c r="E2792" t="s">
        <v>542</v>
      </c>
      <c r="F2792" s="2" t="s">
        <v>9</v>
      </c>
      <c r="G2792" t="s">
        <v>10</v>
      </c>
      <c r="H2792" s="2" t="s">
        <v>19</v>
      </c>
      <c r="I2792" s="2">
        <v>4.5999999999999996</v>
      </c>
    </row>
    <row r="2793" spans="1:9" x14ac:dyDescent="0.25">
      <c r="A2793" s="1" t="s">
        <v>1980</v>
      </c>
      <c r="B2793" t="s">
        <v>1981</v>
      </c>
      <c r="C2793" s="1" t="s">
        <v>1022</v>
      </c>
      <c r="D2793" s="1" t="s">
        <v>1022</v>
      </c>
      <c r="E2793" t="s">
        <v>1023</v>
      </c>
      <c r="F2793" s="2" t="s">
        <v>1024</v>
      </c>
      <c r="G2793" t="s">
        <v>932</v>
      </c>
      <c r="H2793" s="2" t="s">
        <v>4353</v>
      </c>
      <c r="I2793" s="2">
        <v>49</v>
      </c>
    </row>
    <row r="2794" spans="1:9" x14ac:dyDescent="0.25">
      <c r="A2794" s="1" t="s">
        <v>1980</v>
      </c>
      <c r="B2794" t="s">
        <v>1981</v>
      </c>
      <c r="C2794" s="1" t="s">
        <v>7</v>
      </c>
      <c r="D2794" s="1" t="s">
        <v>7</v>
      </c>
      <c r="E2794" t="s">
        <v>8</v>
      </c>
      <c r="F2794" s="2" t="s">
        <v>9</v>
      </c>
      <c r="G2794" t="s">
        <v>10</v>
      </c>
      <c r="H2794" s="2" t="s">
        <v>4354</v>
      </c>
      <c r="I2794" s="2">
        <v>66</v>
      </c>
    </row>
    <row r="2795" spans="1:9" x14ac:dyDescent="0.25">
      <c r="A2795" s="1" t="s">
        <v>1983</v>
      </c>
      <c r="B2795" t="s">
        <v>1984</v>
      </c>
      <c r="C2795" s="1" t="s">
        <v>1022</v>
      </c>
      <c r="D2795" s="1" t="s">
        <v>1022</v>
      </c>
      <c r="E2795" t="s">
        <v>1023</v>
      </c>
      <c r="F2795" s="2" t="s">
        <v>1024</v>
      </c>
      <c r="G2795" t="s">
        <v>932</v>
      </c>
      <c r="H2795" s="2" t="s">
        <v>4355</v>
      </c>
      <c r="I2795" s="2">
        <v>52</v>
      </c>
    </row>
    <row r="2796" spans="1:9" x14ac:dyDescent="0.25">
      <c r="A2796" s="1" t="s">
        <v>1983</v>
      </c>
      <c r="B2796" t="s">
        <v>1984</v>
      </c>
      <c r="C2796" s="1" t="s">
        <v>7</v>
      </c>
      <c r="D2796" s="1" t="s">
        <v>7</v>
      </c>
      <c r="E2796" t="s">
        <v>8</v>
      </c>
      <c r="F2796" s="2" t="s">
        <v>9</v>
      </c>
      <c r="G2796" t="s">
        <v>10</v>
      </c>
      <c r="H2796" s="2" t="s">
        <v>4356</v>
      </c>
      <c r="I2796" s="2">
        <v>75</v>
      </c>
    </row>
    <row r="2797" spans="1:9" x14ac:dyDescent="0.25">
      <c r="A2797" s="1" t="s">
        <v>1986</v>
      </c>
      <c r="B2797" t="s">
        <v>1987</v>
      </c>
      <c r="C2797" s="1" t="s">
        <v>1022</v>
      </c>
      <c r="D2797" s="1" t="s">
        <v>1022</v>
      </c>
      <c r="E2797" t="s">
        <v>1023</v>
      </c>
      <c r="F2797" s="2" t="s">
        <v>1024</v>
      </c>
      <c r="G2797" t="s">
        <v>932</v>
      </c>
      <c r="H2797" s="2" t="s">
        <v>4357</v>
      </c>
      <c r="I2797" s="2">
        <v>47</v>
      </c>
    </row>
    <row r="2798" spans="1:9" x14ac:dyDescent="0.25">
      <c r="A2798" s="1" t="s">
        <v>1986</v>
      </c>
      <c r="B2798" t="s">
        <v>1987</v>
      </c>
      <c r="C2798" s="1" t="s">
        <v>7</v>
      </c>
      <c r="D2798" s="1" t="s">
        <v>7</v>
      </c>
      <c r="E2798" t="s">
        <v>8</v>
      </c>
      <c r="F2798" s="2" t="s">
        <v>9</v>
      </c>
      <c r="G2798" t="s">
        <v>10</v>
      </c>
      <c r="H2798" s="2" t="s">
        <v>4358</v>
      </c>
      <c r="I2798" s="2">
        <v>67</v>
      </c>
    </row>
    <row r="2799" spans="1:9" x14ac:dyDescent="0.25">
      <c r="A2799" s="1" t="s">
        <v>2016</v>
      </c>
      <c r="B2799" t="s">
        <v>2017</v>
      </c>
      <c r="C2799" s="1" t="s">
        <v>1022</v>
      </c>
      <c r="D2799" s="1" t="s">
        <v>1022</v>
      </c>
      <c r="E2799" t="s">
        <v>1023</v>
      </c>
      <c r="F2799" s="2" t="s">
        <v>1024</v>
      </c>
      <c r="G2799" t="s">
        <v>932</v>
      </c>
      <c r="H2799" s="2" t="s">
        <v>4359</v>
      </c>
      <c r="I2799" s="2">
        <v>69</v>
      </c>
    </row>
    <row r="2800" spans="1:9" x14ac:dyDescent="0.25">
      <c r="A2800" s="1" t="s">
        <v>2016</v>
      </c>
      <c r="B2800" t="s">
        <v>2017</v>
      </c>
      <c r="C2800" s="1" t="s">
        <v>7</v>
      </c>
      <c r="D2800" s="1" t="s">
        <v>7</v>
      </c>
      <c r="E2800" t="s">
        <v>8</v>
      </c>
      <c r="F2800" s="2" t="s">
        <v>9</v>
      </c>
      <c r="G2800" t="s">
        <v>10</v>
      </c>
      <c r="H2800" s="2" t="s">
        <v>4360</v>
      </c>
      <c r="I2800" s="2">
        <v>96</v>
      </c>
    </row>
    <row r="2801" spans="1:10" x14ac:dyDescent="0.25">
      <c r="A2801" s="1" t="s">
        <v>2019</v>
      </c>
      <c r="B2801" t="s">
        <v>2020</v>
      </c>
      <c r="C2801" s="1" t="s">
        <v>1022</v>
      </c>
      <c r="D2801" s="1" t="s">
        <v>1022</v>
      </c>
      <c r="E2801" t="s">
        <v>1023</v>
      </c>
      <c r="F2801" s="2" t="s">
        <v>1024</v>
      </c>
      <c r="G2801" t="s">
        <v>932</v>
      </c>
      <c r="H2801" s="2" t="s">
        <v>4361</v>
      </c>
      <c r="I2801" s="2">
        <v>81</v>
      </c>
    </row>
    <row r="2802" spans="1:10" x14ac:dyDescent="0.25">
      <c r="A2802" s="1" t="s">
        <v>2019</v>
      </c>
      <c r="B2802" t="s">
        <v>2020</v>
      </c>
      <c r="C2802" s="1" t="s">
        <v>7</v>
      </c>
      <c r="D2802" s="1" t="s">
        <v>7</v>
      </c>
      <c r="E2802" t="s">
        <v>8</v>
      </c>
      <c r="F2802" s="2" t="s">
        <v>9</v>
      </c>
      <c r="G2802" t="s">
        <v>10</v>
      </c>
      <c r="H2802" s="2" t="s">
        <v>4362</v>
      </c>
      <c r="I2802" s="2">
        <v>107</v>
      </c>
    </row>
    <row r="2803" spans="1:10" x14ac:dyDescent="0.25">
      <c r="A2803" s="1" t="s">
        <v>2022</v>
      </c>
      <c r="B2803" t="s">
        <v>2023</v>
      </c>
      <c r="C2803" s="1" t="s">
        <v>1022</v>
      </c>
      <c r="D2803" s="1" t="s">
        <v>1022</v>
      </c>
      <c r="E2803" t="s">
        <v>1023</v>
      </c>
      <c r="F2803" s="2" t="s">
        <v>1024</v>
      </c>
      <c r="G2803" t="s">
        <v>932</v>
      </c>
      <c r="H2803" s="2" t="s">
        <v>4363</v>
      </c>
      <c r="I2803" s="2">
        <v>62</v>
      </c>
    </row>
    <row r="2804" spans="1:10" x14ac:dyDescent="0.25">
      <c r="A2804" s="1" t="s">
        <v>2022</v>
      </c>
      <c r="B2804" t="s">
        <v>2023</v>
      </c>
      <c r="C2804" s="1" t="s">
        <v>7</v>
      </c>
      <c r="D2804" s="1" t="s">
        <v>7</v>
      </c>
      <c r="E2804" t="s">
        <v>8</v>
      </c>
      <c r="F2804" s="2" t="s">
        <v>9</v>
      </c>
      <c r="G2804" t="s">
        <v>10</v>
      </c>
      <c r="H2804" s="2" t="s">
        <v>4364</v>
      </c>
      <c r="I2804" s="2">
        <v>76</v>
      </c>
    </row>
    <row r="2805" spans="1:10" x14ac:dyDescent="0.25">
      <c r="A2805" s="1" t="s">
        <v>4365</v>
      </c>
      <c r="B2805" t="s">
        <v>4366</v>
      </c>
      <c r="C2805" s="1" t="s">
        <v>4229</v>
      </c>
      <c r="D2805" s="1" t="s">
        <v>4229</v>
      </c>
      <c r="E2805" t="s">
        <v>4230</v>
      </c>
      <c r="F2805" s="2" t="s">
        <v>4231</v>
      </c>
      <c r="G2805" t="s">
        <v>5</v>
      </c>
      <c r="H2805" s="2" t="s">
        <v>4367</v>
      </c>
      <c r="I2805" s="2">
        <v>12.75</v>
      </c>
    </row>
    <row r="2806" spans="1:10" x14ac:dyDescent="0.25">
      <c r="A2806" s="1" t="s">
        <v>4365</v>
      </c>
      <c r="B2806" t="s">
        <v>4366</v>
      </c>
      <c r="C2806" s="1" t="s">
        <v>857</v>
      </c>
      <c r="D2806" s="1" t="s">
        <v>857</v>
      </c>
      <c r="E2806" t="s">
        <v>858</v>
      </c>
      <c r="F2806" s="2" t="s">
        <v>686</v>
      </c>
      <c r="G2806" t="s">
        <v>49</v>
      </c>
      <c r="H2806" s="2" t="s">
        <v>4368</v>
      </c>
      <c r="I2806" s="2">
        <v>1.89</v>
      </c>
    </row>
    <row r="2807" spans="1:10" x14ac:dyDescent="0.25">
      <c r="A2807" s="1" t="s">
        <v>4365</v>
      </c>
      <c r="B2807" t="s">
        <v>4366</v>
      </c>
      <c r="C2807" s="1" t="s">
        <v>541</v>
      </c>
      <c r="D2807" s="1" t="s">
        <v>541</v>
      </c>
      <c r="E2807" t="s">
        <v>542</v>
      </c>
      <c r="F2807" s="2" t="s">
        <v>9</v>
      </c>
      <c r="G2807" t="s">
        <v>10</v>
      </c>
      <c r="H2807" s="2" t="s">
        <v>3427</v>
      </c>
      <c r="I2807" s="2">
        <v>9.66</v>
      </c>
    </row>
    <row r="2808" spans="1:10" x14ac:dyDescent="0.25">
      <c r="A2808" s="1" t="s">
        <v>4365</v>
      </c>
      <c r="B2808" t="s">
        <v>4366</v>
      </c>
      <c r="C2808" s="1" t="s">
        <v>541</v>
      </c>
      <c r="D2808" s="1" t="s">
        <v>541</v>
      </c>
      <c r="E2808" t="s">
        <v>542</v>
      </c>
      <c r="F2808" s="2" t="s">
        <v>9</v>
      </c>
      <c r="G2808" t="s">
        <v>10</v>
      </c>
      <c r="H2808" s="2" t="s">
        <v>2890</v>
      </c>
      <c r="I2808" s="2">
        <v>2.42</v>
      </c>
    </row>
    <row r="2809" spans="1:10" x14ac:dyDescent="0.25">
      <c r="A2809" s="1" t="s">
        <v>4365</v>
      </c>
      <c r="B2809" t="s">
        <v>4366</v>
      </c>
      <c r="C2809" s="1" t="s">
        <v>541</v>
      </c>
      <c r="D2809" s="1" t="s">
        <v>541</v>
      </c>
      <c r="E2809" t="s">
        <v>542</v>
      </c>
      <c r="F2809" s="2" t="s">
        <v>9</v>
      </c>
      <c r="G2809" t="s">
        <v>10</v>
      </c>
      <c r="H2809" s="2" t="s">
        <v>4369</v>
      </c>
      <c r="I2809" s="2">
        <v>41.07</v>
      </c>
    </row>
    <row r="2810" spans="1:10" x14ac:dyDescent="0.25">
      <c r="A2810" s="1" t="s">
        <v>4365</v>
      </c>
      <c r="B2810" t="s">
        <v>4366</v>
      </c>
      <c r="C2810" s="1" t="s">
        <v>541</v>
      </c>
      <c r="D2810" s="1" t="s">
        <v>541</v>
      </c>
      <c r="E2810" t="s">
        <v>542</v>
      </c>
      <c r="F2810" s="2" t="s">
        <v>9</v>
      </c>
      <c r="G2810" t="s">
        <v>10</v>
      </c>
      <c r="H2810" s="2" t="s">
        <v>3427</v>
      </c>
      <c r="I2810" s="2">
        <v>9.66</v>
      </c>
    </row>
    <row r="2811" spans="1:10" x14ac:dyDescent="0.25">
      <c r="A2811" s="1" t="s">
        <v>4365</v>
      </c>
      <c r="B2811" t="s">
        <v>4366</v>
      </c>
      <c r="C2811" s="1" t="s">
        <v>7</v>
      </c>
      <c r="D2811" s="1" t="s">
        <v>7</v>
      </c>
      <c r="E2811" t="s">
        <v>8</v>
      </c>
      <c r="F2811" s="2" t="s">
        <v>9</v>
      </c>
      <c r="G2811" t="s">
        <v>10</v>
      </c>
      <c r="H2811" s="2" t="s">
        <v>4370</v>
      </c>
      <c r="I2811" s="2">
        <v>57.96</v>
      </c>
    </row>
    <row r="2812" spans="1:10" x14ac:dyDescent="0.25">
      <c r="A2812" s="1" t="s">
        <v>4371</v>
      </c>
      <c r="B2812" t="s">
        <v>4372</v>
      </c>
      <c r="C2812" s="1" t="s">
        <v>36</v>
      </c>
      <c r="D2812" s="1" t="s">
        <v>36</v>
      </c>
      <c r="E2812" t="s">
        <v>37</v>
      </c>
      <c r="F2812" s="2" t="s">
        <v>38</v>
      </c>
      <c r="G2812" t="s">
        <v>39</v>
      </c>
      <c r="H2812" s="2" t="s">
        <v>40</v>
      </c>
      <c r="I2812" s="2">
        <v>0.19</v>
      </c>
    </row>
    <row r="2813" spans="1:10" x14ac:dyDescent="0.25">
      <c r="A2813" s="1" t="s">
        <v>4371</v>
      </c>
      <c r="B2813" t="s">
        <v>4372</v>
      </c>
      <c r="C2813" s="1" t="s">
        <v>41</v>
      </c>
      <c r="D2813" s="1" t="s">
        <v>41</v>
      </c>
      <c r="E2813" t="s">
        <v>42</v>
      </c>
      <c r="F2813" s="2" t="s">
        <v>43</v>
      </c>
      <c r="G2813" t="s">
        <v>5</v>
      </c>
      <c r="H2813" s="2" t="s">
        <v>227</v>
      </c>
      <c r="I2813" s="2">
        <v>0.01</v>
      </c>
    </row>
    <row r="2814" spans="1:10" x14ac:dyDescent="0.25">
      <c r="A2814" s="1" t="s">
        <v>4371</v>
      </c>
      <c r="B2814" t="s">
        <v>4372</v>
      </c>
      <c r="C2814" s="1" t="s">
        <v>228</v>
      </c>
      <c r="D2814" s="1" t="s">
        <v>229</v>
      </c>
      <c r="E2814" t="s">
        <v>230</v>
      </c>
      <c r="F2814" s="2" t="s">
        <v>231</v>
      </c>
      <c r="G2814" t="s">
        <v>49</v>
      </c>
      <c r="H2814" s="2" t="s">
        <v>50</v>
      </c>
      <c r="I2814" s="2">
        <v>5.25</v>
      </c>
      <c r="J2814" t="s">
        <v>51</v>
      </c>
    </row>
    <row r="2815" spans="1:10" x14ac:dyDescent="0.25">
      <c r="A2815" s="1" t="s">
        <v>4371</v>
      </c>
      <c r="B2815" t="s">
        <v>4372</v>
      </c>
      <c r="C2815" s="1" t="s">
        <v>232</v>
      </c>
      <c r="D2815" s="1" t="s">
        <v>233</v>
      </c>
      <c r="E2815" t="s">
        <v>234</v>
      </c>
      <c r="F2815" s="2" t="s">
        <v>235</v>
      </c>
      <c r="G2815" t="s">
        <v>49</v>
      </c>
      <c r="H2815" s="2" t="s">
        <v>50</v>
      </c>
      <c r="I2815" s="2">
        <v>8.4499999999999993</v>
      </c>
      <c r="J2815" t="s">
        <v>51</v>
      </c>
    </row>
    <row r="2816" spans="1:10" x14ac:dyDescent="0.25">
      <c r="A2816" s="1" t="s">
        <v>4371</v>
      </c>
      <c r="B2816" t="s">
        <v>4372</v>
      </c>
      <c r="C2816" s="1" t="s">
        <v>236</v>
      </c>
      <c r="D2816" s="1" t="s">
        <v>236</v>
      </c>
      <c r="E2816" t="s">
        <v>237</v>
      </c>
      <c r="F2816" s="2" t="s">
        <v>238</v>
      </c>
      <c r="G2816" t="s">
        <v>49</v>
      </c>
      <c r="H2816" s="2" t="s">
        <v>50</v>
      </c>
      <c r="I2816" s="2">
        <v>14.55</v>
      </c>
      <c r="J2816" t="s">
        <v>55</v>
      </c>
    </row>
    <row r="2817" spans="1:10" x14ac:dyDescent="0.25">
      <c r="A2817" s="1" t="s">
        <v>4371</v>
      </c>
      <c r="B2817" t="s">
        <v>4372</v>
      </c>
      <c r="C2817" s="1" t="s">
        <v>239</v>
      </c>
      <c r="D2817" s="1" t="s">
        <v>239</v>
      </c>
      <c r="E2817" t="s">
        <v>240</v>
      </c>
      <c r="F2817" s="2" t="s">
        <v>241</v>
      </c>
      <c r="G2817" t="s">
        <v>49</v>
      </c>
      <c r="H2817" s="2" t="s">
        <v>50</v>
      </c>
      <c r="I2817" s="2">
        <v>7.6</v>
      </c>
      <c r="J2817" t="s">
        <v>55</v>
      </c>
    </row>
    <row r="2818" spans="1:10" x14ac:dyDescent="0.25">
      <c r="A2818" s="1" t="s">
        <v>4371</v>
      </c>
      <c r="B2818" t="s">
        <v>4372</v>
      </c>
      <c r="C2818" s="1" t="s">
        <v>242</v>
      </c>
      <c r="D2818" s="1" t="s">
        <v>242</v>
      </c>
      <c r="E2818" t="s">
        <v>243</v>
      </c>
      <c r="F2818" s="2" t="s">
        <v>244</v>
      </c>
      <c r="G2818" t="s">
        <v>49</v>
      </c>
      <c r="H2818" s="2" t="s">
        <v>92</v>
      </c>
      <c r="I2818" s="2">
        <v>6.2</v>
      </c>
      <c r="J2818" t="s">
        <v>55</v>
      </c>
    </row>
    <row r="2819" spans="1:10" x14ac:dyDescent="0.25">
      <c r="A2819" s="1" t="s">
        <v>4371</v>
      </c>
      <c r="B2819" t="s">
        <v>4372</v>
      </c>
      <c r="C2819" s="1" t="s">
        <v>7</v>
      </c>
      <c r="D2819" s="1" t="s">
        <v>7</v>
      </c>
      <c r="E2819" t="s">
        <v>8</v>
      </c>
      <c r="F2819" s="2" t="s">
        <v>9</v>
      </c>
      <c r="G2819" t="s">
        <v>10</v>
      </c>
      <c r="H2819" s="2" t="s">
        <v>245</v>
      </c>
      <c r="I2819" s="2">
        <v>4</v>
      </c>
    </row>
    <row r="2820" spans="1:10" x14ac:dyDescent="0.25">
      <c r="A2820" s="1" t="s">
        <v>4373</v>
      </c>
      <c r="B2820" t="s">
        <v>4374</v>
      </c>
      <c r="C2820" s="1" t="s">
        <v>4375</v>
      </c>
      <c r="D2820" s="1" t="s">
        <v>4375</v>
      </c>
      <c r="E2820" t="s">
        <v>4376</v>
      </c>
      <c r="F2820" s="2" t="s">
        <v>1017</v>
      </c>
      <c r="G2820" t="s">
        <v>5</v>
      </c>
      <c r="H2820" s="2" t="s">
        <v>4377</v>
      </c>
      <c r="I2820" s="2">
        <v>24</v>
      </c>
    </row>
    <row r="2821" spans="1:10" x14ac:dyDescent="0.25">
      <c r="A2821" s="1" t="s">
        <v>4373</v>
      </c>
      <c r="B2821" t="s">
        <v>4374</v>
      </c>
      <c r="C2821" s="1" t="s">
        <v>7</v>
      </c>
      <c r="D2821" s="1" t="s">
        <v>7</v>
      </c>
      <c r="E2821" t="s">
        <v>8</v>
      </c>
      <c r="F2821" s="2" t="s">
        <v>9</v>
      </c>
      <c r="G2821" t="s">
        <v>10</v>
      </c>
      <c r="H2821" s="2" t="s">
        <v>4378</v>
      </c>
      <c r="I2821" s="2">
        <v>27.13</v>
      </c>
    </row>
    <row r="2822" spans="1:10" x14ac:dyDescent="0.25">
      <c r="A2822" s="1" t="s">
        <v>4379</v>
      </c>
      <c r="B2822" t="s">
        <v>4380</v>
      </c>
      <c r="C2822" s="1" t="s">
        <v>2774</v>
      </c>
      <c r="D2822" s="1" t="s">
        <v>2774</v>
      </c>
      <c r="E2822" t="s">
        <v>2775</v>
      </c>
      <c r="F2822" s="2" t="s">
        <v>2776</v>
      </c>
      <c r="G2822" t="s">
        <v>5</v>
      </c>
      <c r="H2822" s="2" t="s">
        <v>4381</v>
      </c>
      <c r="I2822" s="2">
        <v>0.94</v>
      </c>
    </row>
    <row r="2823" spans="1:10" x14ac:dyDescent="0.25">
      <c r="A2823" s="1" t="s">
        <v>4379</v>
      </c>
      <c r="B2823" t="s">
        <v>4380</v>
      </c>
      <c r="C2823" s="1" t="s">
        <v>4382</v>
      </c>
      <c r="D2823" s="1" t="s">
        <v>4382</v>
      </c>
      <c r="E2823" t="s">
        <v>4383</v>
      </c>
      <c r="F2823" s="2" t="s">
        <v>1768</v>
      </c>
      <c r="G2823" t="s">
        <v>49</v>
      </c>
      <c r="H2823" s="2" t="s">
        <v>92</v>
      </c>
      <c r="I2823" s="2">
        <v>0</v>
      </c>
    </row>
    <row r="2824" spans="1:10" x14ac:dyDescent="0.25">
      <c r="A2824" s="1" t="s">
        <v>4379</v>
      </c>
      <c r="B2824" t="s">
        <v>4380</v>
      </c>
      <c r="C2824" s="1" t="s">
        <v>41</v>
      </c>
      <c r="D2824" s="1" t="s">
        <v>41</v>
      </c>
      <c r="E2824" t="s">
        <v>42</v>
      </c>
      <c r="F2824" s="2" t="s">
        <v>513</v>
      </c>
      <c r="G2824" t="s">
        <v>5</v>
      </c>
      <c r="H2824" s="2" t="s">
        <v>2245</v>
      </c>
      <c r="I2824" s="2">
        <v>0.04</v>
      </c>
    </row>
    <row r="2825" spans="1:10" x14ac:dyDescent="0.25">
      <c r="A2825" s="1" t="s">
        <v>4379</v>
      </c>
      <c r="B2825" t="s">
        <v>4380</v>
      </c>
      <c r="C2825" s="1" t="s">
        <v>4384</v>
      </c>
      <c r="D2825" s="1" t="s">
        <v>4384</v>
      </c>
      <c r="E2825" t="s">
        <v>4385</v>
      </c>
      <c r="F2825" s="2" t="s">
        <v>4386</v>
      </c>
      <c r="G2825" t="s">
        <v>49</v>
      </c>
      <c r="H2825" s="2" t="s">
        <v>50</v>
      </c>
      <c r="I2825" s="2">
        <v>89.23</v>
      </c>
      <c r="J2825" t="s">
        <v>55</v>
      </c>
    </row>
    <row r="2826" spans="1:10" x14ac:dyDescent="0.25">
      <c r="A2826" s="1" t="s">
        <v>4379</v>
      </c>
      <c r="B2826" t="s">
        <v>4380</v>
      </c>
      <c r="C2826" s="1" t="s">
        <v>4387</v>
      </c>
      <c r="D2826" s="1" t="s">
        <v>4387</v>
      </c>
      <c r="E2826" t="s">
        <v>4388</v>
      </c>
      <c r="F2826" s="2" t="s">
        <v>4389</v>
      </c>
      <c r="G2826" t="s">
        <v>49</v>
      </c>
      <c r="H2826" s="2" t="s">
        <v>92</v>
      </c>
      <c r="I2826" s="2">
        <v>27.42</v>
      </c>
      <c r="J2826" t="s">
        <v>55</v>
      </c>
    </row>
    <row r="2827" spans="1:10" x14ac:dyDescent="0.25">
      <c r="A2827" s="1" t="s">
        <v>4379</v>
      </c>
      <c r="B2827" t="s">
        <v>4380</v>
      </c>
      <c r="C2827" s="1" t="s">
        <v>4390</v>
      </c>
      <c r="D2827" s="1" t="s">
        <v>4390</v>
      </c>
      <c r="E2827" t="s">
        <v>4391</v>
      </c>
      <c r="F2827" s="2" t="s">
        <v>457</v>
      </c>
      <c r="G2827" t="s">
        <v>49</v>
      </c>
      <c r="H2827" s="2" t="s">
        <v>50</v>
      </c>
      <c r="I2827" s="2">
        <v>6.1</v>
      </c>
      <c r="J2827" t="s">
        <v>55</v>
      </c>
    </row>
    <row r="2828" spans="1:10" x14ac:dyDescent="0.25">
      <c r="A2828" s="1" t="s">
        <v>4379</v>
      </c>
      <c r="B2828" t="s">
        <v>4380</v>
      </c>
      <c r="C2828" s="1" t="s">
        <v>2577</v>
      </c>
      <c r="D2828" s="1" t="s">
        <v>2577</v>
      </c>
      <c r="E2828" t="s">
        <v>2578</v>
      </c>
      <c r="F2828" s="2" t="s">
        <v>686</v>
      </c>
      <c r="G2828" t="s">
        <v>49</v>
      </c>
      <c r="H2828" s="2" t="s">
        <v>4392</v>
      </c>
      <c r="I2828" s="2">
        <v>14</v>
      </c>
    </row>
    <row r="2829" spans="1:10" x14ac:dyDescent="0.25">
      <c r="A2829" s="1" t="s">
        <v>4379</v>
      </c>
      <c r="B2829" t="s">
        <v>4380</v>
      </c>
      <c r="C2829" s="1" t="s">
        <v>541</v>
      </c>
      <c r="D2829" s="1" t="s">
        <v>541</v>
      </c>
      <c r="E2829" t="s">
        <v>542</v>
      </c>
      <c r="F2829" s="2" t="s">
        <v>9</v>
      </c>
      <c r="G2829" t="s">
        <v>10</v>
      </c>
      <c r="H2829" s="2" t="s">
        <v>3680</v>
      </c>
      <c r="I2829" s="2">
        <v>3.48</v>
      </c>
    </row>
    <row r="2830" spans="1:10" x14ac:dyDescent="0.25">
      <c r="A2830" s="1" t="s">
        <v>4384</v>
      </c>
      <c r="B2830" t="s">
        <v>4385</v>
      </c>
      <c r="C2830" s="1" t="s">
        <v>3914</v>
      </c>
      <c r="D2830" s="1" t="s">
        <v>3914</v>
      </c>
      <c r="E2830" t="s">
        <v>3915</v>
      </c>
      <c r="F2830" s="2" t="s">
        <v>3916</v>
      </c>
      <c r="G2830" t="s">
        <v>5</v>
      </c>
      <c r="H2830" s="2" t="s">
        <v>4393</v>
      </c>
      <c r="I2830" s="2">
        <v>67.28</v>
      </c>
    </row>
    <row r="2831" spans="1:10" x14ac:dyDescent="0.25">
      <c r="A2831" s="1" t="s">
        <v>4384</v>
      </c>
      <c r="B2831" t="s">
        <v>4385</v>
      </c>
      <c r="C2831" s="1" t="s">
        <v>541</v>
      </c>
      <c r="D2831" s="1" t="s">
        <v>541</v>
      </c>
      <c r="E2831" t="s">
        <v>542</v>
      </c>
      <c r="F2831" s="2" t="s">
        <v>9</v>
      </c>
      <c r="G2831" t="s">
        <v>10</v>
      </c>
      <c r="H2831" s="2" t="s">
        <v>2971</v>
      </c>
      <c r="I2831" s="2">
        <v>21.95</v>
      </c>
    </row>
    <row r="2832" spans="1:10" x14ac:dyDescent="0.25">
      <c r="A2832" s="1" t="s">
        <v>4387</v>
      </c>
      <c r="B2832" t="s">
        <v>4388</v>
      </c>
      <c r="C2832" s="1" t="s">
        <v>3914</v>
      </c>
      <c r="D2832" s="1" t="s">
        <v>3914</v>
      </c>
      <c r="E2832" t="s">
        <v>3915</v>
      </c>
      <c r="F2832" s="2" t="s">
        <v>3916</v>
      </c>
      <c r="G2832" t="s">
        <v>5</v>
      </c>
      <c r="H2832" s="2" t="s">
        <v>3571</v>
      </c>
      <c r="I2832" s="2">
        <v>5.37</v>
      </c>
    </row>
    <row r="2833" spans="1:10" x14ac:dyDescent="0.25">
      <c r="A2833" s="1" t="s">
        <v>4387</v>
      </c>
      <c r="B2833" t="s">
        <v>4388</v>
      </c>
      <c r="C2833" s="1" t="s">
        <v>541</v>
      </c>
      <c r="D2833" s="1" t="s">
        <v>541</v>
      </c>
      <c r="E2833" t="s">
        <v>542</v>
      </c>
      <c r="F2833" s="2" t="s">
        <v>9</v>
      </c>
      <c r="G2833" t="s">
        <v>10</v>
      </c>
      <c r="H2833" s="2" t="s">
        <v>4394</v>
      </c>
      <c r="I2833" s="2">
        <v>8.35</v>
      </c>
    </row>
    <row r="2834" spans="1:10" x14ac:dyDescent="0.25">
      <c r="A2834" s="1" t="s">
        <v>4390</v>
      </c>
      <c r="B2834" t="s">
        <v>4391</v>
      </c>
      <c r="C2834" s="1" t="s">
        <v>1010</v>
      </c>
      <c r="D2834" s="1" t="s">
        <v>1010</v>
      </c>
      <c r="E2834" t="s">
        <v>1011</v>
      </c>
      <c r="F2834" s="2" t="s">
        <v>1354</v>
      </c>
      <c r="G2834" t="s">
        <v>5</v>
      </c>
      <c r="H2834" s="2" t="s">
        <v>4395</v>
      </c>
      <c r="I2834" s="2">
        <v>3.6</v>
      </c>
    </row>
    <row r="2835" spans="1:10" x14ac:dyDescent="0.25">
      <c r="A2835" s="1" t="s">
        <v>4390</v>
      </c>
      <c r="B2835" t="s">
        <v>4391</v>
      </c>
      <c r="C2835" s="1" t="s">
        <v>541</v>
      </c>
      <c r="D2835" s="1" t="s">
        <v>541</v>
      </c>
      <c r="E2835" t="s">
        <v>542</v>
      </c>
      <c r="F2835" s="2" t="s">
        <v>9</v>
      </c>
      <c r="G2835" t="s">
        <v>10</v>
      </c>
      <c r="H2835" s="2" t="s">
        <v>1733</v>
      </c>
      <c r="I2835" s="2">
        <v>2.5</v>
      </c>
    </row>
    <row r="2836" spans="1:10" x14ac:dyDescent="0.25">
      <c r="A2836" s="1" t="s">
        <v>4396</v>
      </c>
      <c r="B2836" t="s">
        <v>4397</v>
      </c>
      <c r="C2836" s="1" t="s">
        <v>4398</v>
      </c>
      <c r="D2836" s="1" t="s">
        <v>4398</v>
      </c>
      <c r="E2836" t="s">
        <v>4399</v>
      </c>
      <c r="F2836" s="2" t="s">
        <v>1768</v>
      </c>
      <c r="G2836" t="s">
        <v>17</v>
      </c>
      <c r="H2836" s="2" t="s">
        <v>19</v>
      </c>
      <c r="I2836" s="2">
        <v>0</v>
      </c>
    </row>
    <row r="2837" spans="1:10" x14ac:dyDescent="0.25">
      <c r="A2837" s="1" t="s">
        <v>4396</v>
      </c>
      <c r="B2837" t="s">
        <v>4397</v>
      </c>
      <c r="C2837" s="1" t="s">
        <v>4400</v>
      </c>
      <c r="D2837" s="1" t="s">
        <v>4400</v>
      </c>
      <c r="E2837" t="s">
        <v>4401</v>
      </c>
      <c r="F2837" s="2" t="s">
        <v>4402</v>
      </c>
      <c r="G2837" t="s">
        <v>49</v>
      </c>
      <c r="H2837" s="2" t="s">
        <v>50</v>
      </c>
      <c r="I2837" s="2">
        <v>6.26</v>
      </c>
      <c r="J2837" t="s">
        <v>55</v>
      </c>
    </row>
    <row r="2838" spans="1:10" x14ac:dyDescent="0.25">
      <c r="A2838" s="1" t="s">
        <v>4396</v>
      </c>
      <c r="B2838" t="s">
        <v>4397</v>
      </c>
      <c r="C2838" s="1" t="s">
        <v>4403</v>
      </c>
      <c r="D2838" s="1" t="s">
        <v>4403</v>
      </c>
      <c r="E2838" t="s">
        <v>4404</v>
      </c>
      <c r="F2838" s="2" t="s">
        <v>4405</v>
      </c>
      <c r="G2838" t="s">
        <v>49</v>
      </c>
      <c r="H2838" s="2" t="s">
        <v>50</v>
      </c>
      <c r="I2838" s="2">
        <v>41.4</v>
      </c>
      <c r="J2838" t="s">
        <v>55</v>
      </c>
    </row>
    <row r="2839" spans="1:10" x14ac:dyDescent="0.25">
      <c r="A2839" s="1" t="s">
        <v>4396</v>
      </c>
      <c r="B2839" t="s">
        <v>4397</v>
      </c>
      <c r="C2839" s="1" t="s">
        <v>4406</v>
      </c>
      <c r="D2839" s="1" t="s">
        <v>4406</v>
      </c>
      <c r="E2839" t="s">
        <v>4407</v>
      </c>
      <c r="F2839" s="2" t="s">
        <v>658</v>
      </c>
      <c r="G2839" t="s">
        <v>49</v>
      </c>
      <c r="H2839" s="2" t="s">
        <v>50</v>
      </c>
      <c r="I2839" s="2">
        <v>5.6</v>
      </c>
      <c r="J2839" t="s">
        <v>55</v>
      </c>
    </row>
    <row r="2840" spans="1:10" x14ac:dyDescent="0.25">
      <c r="A2840" s="1" t="s">
        <v>4396</v>
      </c>
      <c r="B2840" t="s">
        <v>4397</v>
      </c>
      <c r="C2840" s="1" t="s">
        <v>2577</v>
      </c>
      <c r="D2840" s="1" t="s">
        <v>2577</v>
      </c>
      <c r="E2840" t="s">
        <v>2578</v>
      </c>
      <c r="F2840" s="2" t="s">
        <v>686</v>
      </c>
      <c r="G2840" t="s">
        <v>49</v>
      </c>
      <c r="H2840" s="2" t="s">
        <v>4408</v>
      </c>
      <c r="I2840" s="2">
        <v>8.35</v>
      </c>
    </row>
    <row r="2841" spans="1:10" x14ac:dyDescent="0.25">
      <c r="A2841" s="1" t="s">
        <v>4396</v>
      </c>
      <c r="B2841" t="s">
        <v>4397</v>
      </c>
      <c r="C2841" s="1" t="s">
        <v>541</v>
      </c>
      <c r="D2841" s="1" t="s">
        <v>541</v>
      </c>
      <c r="E2841" t="s">
        <v>542</v>
      </c>
      <c r="F2841" s="2" t="s">
        <v>9</v>
      </c>
      <c r="G2841" t="s">
        <v>10</v>
      </c>
      <c r="H2841" s="2" t="s">
        <v>4409</v>
      </c>
      <c r="I2841" s="2">
        <v>11.3</v>
      </c>
    </row>
    <row r="2842" spans="1:10" x14ac:dyDescent="0.25">
      <c r="A2842" s="1" t="s">
        <v>4400</v>
      </c>
      <c r="B2842" t="s">
        <v>4401</v>
      </c>
      <c r="C2842" s="1" t="s">
        <v>1785</v>
      </c>
      <c r="D2842" s="1" t="s">
        <v>1785</v>
      </c>
      <c r="E2842" t="s">
        <v>1786</v>
      </c>
      <c r="F2842" s="2" t="s">
        <v>216</v>
      </c>
      <c r="G2842" t="s">
        <v>5</v>
      </c>
      <c r="H2842" s="2" t="s">
        <v>652</v>
      </c>
      <c r="I2842" s="2">
        <v>0.21</v>
      </c>
    </row>
    <row r="2843" spans="1:10" x14ac:dyDescent="0.25">
      <c r="A2843" s="1" t="s">
        <v>4400</v>
      </c>
      <c r="B2843" t="s">
        <v>4401</v>
      </c>
      <c r="C2843" s="1" t="s">
        <v>541</v>
      </c>
      <c r="D2843" s="1" t="s">
        <v>541</v>
      </c>
      <c r="E2843" t="s">
        <v>542</v>
      </c>
      <c r="F2843" s="2" t="s">
        <v>9</v>
      </c>
      <c r="G2843" t="s">
        <v>10</v>
      </c>
      <c r="H2843" s="2" t="s">
        <v>4410</v>
      </c>
      <c r="I2843" s="2">
        <v>6.05</v>
      </c>
    </row>
    <row r="2844" spans="1:10" x14ac:dyDescent="0.25">
      <c r="A2844" s="1" t="s">
        <v>4403</v>
      </c>
      <c r="B2844" t="s">
        <v>4404</v>
      </c>
      <c r="C2844" s="1" t="s">
        <v>4411</v>
      </c>
      <c r="D2844" s="1" t="s">
        <v>4411</v>
      </c>
      <c r="E2844" t="s">
        <v>4412</v>
      </c>
      <c r="F2844" s="2" t="s">
        <v>4413</v>
      </c>
      <c r="G2844" t="s">
        <v>17</v>
      </c>
      <c r="H2844" s="2" t="s">
        <v>4414</v>
      </c>
      <c r="I2844" s="2">
        <v>11.6</v>
      </c>
    </row>
    <row r="2845" spans="1:10" x14ac:dyDescent="0.25">
      <c r="A2845" s="1" t="s">
        <v>4403</v>
      </c>
      <c r="B2845" t="s">
        <v>4404</v>
      </c>
      <c r="C2845" s="1" t="s">
        <v>4415</v>
      </c>
      <c r="D2845" s="1" t="s">
        <v>4415</v>
      </c>
      <c r="E2845" t="s">
        <v>4416</v>
      </c>
      <c r="F2845" s="2" t="s">
        <v>4417</v>
      </c>
      <c r="G2845" t="s">
        <v>49</v>
      </c>
      <c r="H2845" s="2" t="s">
        <v>50</v>
      </c>
      <c r="I2845" s="2">
        <v>8.09</v>
      </c>
      <c r="J2845" t="s">
        <v>55</v>
      </c>
    </row>
    <row r="2846" spans="1:10" x14ac:dyDescent="0.25">
      <c r="A2846" s="1" t="s">
        <v>4403</v>
      </c>
      <c r="B2846" t="s">
        <v>4404</v>
      </c>
      <c r="C2846" s="1" t="s">
        <v>4418</v>
      </c>
      <c r="D2846" s="1" t="s">
        <v>4418</v>
      </c>
      <c r="E2846" t="s">
        <v>4419</v>
      </c>
      <c r="F2846" s="2" t="s">
        <v>4420</v>
      </c>
      <c r="G2846" t="s">
        <v>49</v>
      </c>
      <c r="H2846" s="2" t="s">
        <v>50</v>
      </c>
      <c r="I2846" s="2">
        <v>10.01</v>
      </c>
      <c r="J2846" t="s">
        <v>55</v>
      </c>
    </row>
    <row r="2847" spans="1:10" x14ac:dyDescent="0.25">
      <c r="A2847" s="1" t="s">
        <v>4403</v>
      </c>
      <c r="B2847" t="s">
        <v>4404</v>
      </c>
      <c r="C2847" s="1" t="s">
        <v>541</v>
      </c>
      <c r="D2847" s="1" t="s">
        <v>541</v>
      </c>
      <c r="E2847" t="s">
        <v>542</v>
      </c>
      <c r="F2847" s="2" t="s">
        <v>9</v>
      </c>
      <c r="G2847" t="s">
        <v>10</v>
      </c>
      <c r="H2847" s="2" t="s">
        <v>4421</v>
      </c>
      <c r="I2847" s="2">
        <v>11.7</v>
      </c>
    </row>
    <row r="2848" spans="1:10" x14ac:dyDescent="0.25">
      <c r="A2848" s="1" t="s">
        <v>4415</v>
      </c>
      <c r="B2848" t="s">
        <v>4416</v>
      </c>
      <c r="C2848" s="1" t="s">
        <v>2474</v>
      </c>
      <c r="D2848" s="1" t="s">
        <v>2474</v>
      </c>
      <c r="E2848" t="s">
        <v>2475</v>
      </c>
      <c r="F2848" s="2" t="s">
        <v>2469</v>
      </c>
      <c r="G2848" t="s">
        <v>5</v>
      </c>
      <c r="H2848" s="2" t="s">
        <v>3404</v>
      </c>
      <c r="I2848" s="2">
        <v>2.64</v>
      </c>
    </row>
    <row r="2849" spans="1:9" x14ac:dyDescent="0.25">
      <c r="A2849" s="1" t="s">
        <v>4415</v>
      </c>
      <c r="B2849" t="s">
        <v>4416</v>
      </c>
      <c r="C2849" s="1" t="s">
        <v>7</v>
      </c>
      <c r="D2849" s="1" t="s">
        <v>7</v>
      </c>
      <c r="E2849" t="s">
        <v>8</v>
      </c>
      <c r="F2849" s="2" t="s">
        <v>9</v>
      </c>
      <c r="G2849" t="s">
        <v>10</v>
      </c>
      <c r="H2849" s="2" t="s">
        <v>4422</v>
      </c>
      <c r="I2849" s="2">
        <v>5.45</v>
      </c>
    </row>
    <row r="2850" spans="1:9" x14ac:dyDescent="0.25">
      <c r="A2850" s="1" t="s">
        <v>4418</v>
      </c>
      <c r="B2850" t="s">
        <v>4419</v>
      </c>
      <c r="C2850" s="1" t="s">
        <v>4168</v>
      </c>
      <c r="D2850" s="1" t="s">
        <v>4168</v>
      </c>
      <c r="E2850" t="s">
        <v>4423</v>
      </c>
      <c r="F2850" s="2" t="s">
        <v>70</v>
      </c>
      <c r="G2850" t="s">
        <v>5</v>
      </c>
      <c r="H2850" s="2" t="s">
        <v>4424</v>
      </c>
      <c r="I2850" s="2">
        <v>2.85</v>
      </c>
    </row>
    <row r="2851" spans="1:9" x14ac:dyDescent="0.25">
      <c r="A2851" s="1" t="s">
        <v>4418</v>
      </c>
      <c r="B2851" t="s">
        <v>4419</v>
      </c>
      <c r="C2851" s="1" t="s">
        <v>541</v>
      </c>
      <c r="D2851" s="1" t="s">
        <v>541</v>
      </c>
      <c r="E2851" t="s">
        <v>542</v>
      </c>
      <c r="F2851" s="2" t="s">
        <v>9</v>
      </c>
      <c r="G2851" t="s">
        <v>10</v>
      </c>
      <c r="H2851" s="2" t="s">
        <v>3623</v>
      </c>
      <c r="I2851" s="2">
        <v>7.16</v>
      </c>
    </row>
    <row r="2852" spans="1:9" x14ac:dyDescent="0.25">
      <c r="A2852" s="1" t="s">
        <v>4406</v>
      </c>
      <c r="B2852" t="s">
        <v>4407</v>
      </c>
      <c r="C2852" s="1" t="s">
        <v>1785</v>
      </c>
      <c r="D2852" s="1" t="s">
        <v>1785</v>
      </c>
      <c r="E2852" t="s">
        <v>1786</v>
      </c>
      <c r="F2852" s="2" t="s">
        <v>216</v>
      </c>
      <c r="G2852" t="s">
        <v>5</v>
      </c>
      <c r="H2852" s="2" t="s">
        <v>652</v>
      </c>
      <c r="I2852" s="2">
        <v>0.21</v>
      </c>
    </row>
    <row r="2853" spans="1:9" x14ac:dyDescent="0.25">
      <c r="A2853" s="1" t="s">
        <v>4406</v>
      </c>
      <c r="B2853" t="s">
        <v>4407</v>
      </c>
      <c r="C2853" s="1" t="s">
        <v>541</v>
      </c>
      <c r="D2853" s="1" t="s">
        <v>541</v>
      </c>
      <c r="E2853" t="s">
        <v>542</v>
      </c>
      <c r="F2853" s="2" t="s">
        <v>9</v>
      </c>
      <c r="G2853" t="s">
        <v>10</v>
      </c>
      <c r="H2853" s="2" t="s">
        <v>4425</v>
      </c>
      <c r="I2853" s="2">
        <v>5.39</v>
      </c>
    </row>
    <row r="2854" spans="1:9" x14ac:dyDescent="0.25">
      <c r="A2854" s="1" t="s">
        <v>4426</v>
      </c>
      <c r="B2854" t="s">
        <v>4427</v>
      </c>
      <c r="C2854" s="1" t="s">
        <v>1547</v>
      </c>
      <c r="D2854" s="1" t="s">
        <v>1547</v>
      </c>
      <c r="E2854" t="s">
        <v>1548</v>
      </c>
      <c r="F2854" s="2" t="s">
        <v>216</v>
      </c>
      <c r="G2854" t="s">
        <v>5</v>
      </c>
      <c r="H2854" s="2" t="s">
        <v>3642</v>
      </c>
      <c r="I2854" s="2">
        <v>4.9000000000000004</v>
      </c>
    </row>
    <row r="2855" spans="1:9" x14ac:dyDescent="0.25">
      <c r="A2855" s="1" t="s">
        <v>4426</v>
      </c>
      <c r="B2855" t="s">
        <v>4427</v>
      </c>
      <c r="C2855" s="1" t="s">
        <v>7</v>
      </c>
      <c r="D2855" s="1" t="s">
        <v>7</v>
      </c>
      <c r="E2855" t="s">
        <v>8</v>
      </c>
      <c r="F2855" s="2" t="s">
        <v>9</v>
      </c>
      <c r="G2855" t="s">
        <v>10</v>
      </c>
      <c r="H2855" s="2" t="s">
        <v>594</v>
      </c>
      <c r="I2855" s="2">
        <v>11.5</v>
      </c>
    </row>
    <row r="2856" spans="1:9" x14ac:dyDescent="0.25">
      <c r="A2856" s="1" t="s">
        <v>4428</v>
      </c>
      <c r="B2856" t="s">
        <v>4429</v>
      </c>
      <c r="C2856" s="1" t="s">
        <v>2961</v>
      </c>
      <c r="D2856" s="1" t="s">
        <v>2961</v>
      </c>
      <c r="E2856" t="s">
        <v>2962</v>
      </c>
      <c r="F2856" s="2" t="s">
        <v>4430</v>
      </c>
      <c r="G2856" t="s">
        <v>5</v>
      </c>
      <c r="H2856" s="2" t="s">
        <v>4431</v>
      </c>
      <c r="I2856" s="2">
        <v>1.03</v>
      </c>
    </row>
    <row r="2857" spans="1:9" x14ac:dyDescent="0.25">
      <c r="A2857" s="1" t="s">
        <v>4428</v>
      </c>
      <c r="B2857" t="s">
        <v>4429</v>
      </c>
      <c r="C2857" s="1" t="s">
        <v>541</v>
      </c>
      <c r="D2857" s="1" t="s">
        <v>541</v>
      </c>
      <c r="E2857" t="s">
        <v>542</v>
      </c>
      <c r="F2857" s="2" t="s">
        <v>811</v>
      </c>
      <c r="G2857" t="s">
        <v>10</v>
      </c>
      <c r="H2857" s="2" t="s">
        <v>4432</v>
      </c>
      <c r="I2857" s="2">
        <v>12.57</v>
      </c>
    </row>
    <row r="2858" spans="1:9" x14ac:dyDescent="0.25">
      <c r="A2858" s="1" t="s">
        <v>4433</v>
      </c>
      <c r="B2858" t="s">
        <v>4434</v>
      </c>
      <c r="C2858" s="1" t="s">
        <v>1722</v>
      </c>
      <c r="D2858" s="1" t="s">
        <v>1722</v>
      </c>
      <c r="E2858" t="s">
        <v>1723</v>
      </c>
      <c r="F2858" s="2" t="s">
        <v>1724</v>
      </c>
      <c r="G2858" t="s">
        <v>17</v>
      </c>
      <c r="H2858" s="2" t="s">
        <v>4435</v>
      </c>
      <c r="I2858" s="2">
        <v>3.3</v>
      </c>
    </row>
    <row r="2859" spans="1:9" x14ac:dyDescent="0.25">
      <c r="A2859" s="1" t="s">
        <v>4433</v>
      </c>
      <c r="B2859" t="s">
        <v>4434</v>
      </c>
      <c r="C2859" s="1" t="s">
        <v>7</v>
      </c>
      <c r="D2859" s="1" t="s">
        <v>7</v>
      </c>
      <c r="E2859" t="s">
        <v>8</v>
      </c>
      <c r="F2859" s="2" t="s">
        <v>9</v>
      </c>
      <c r="G2859" t="s">
        <v>10</v>
      </c>
      <c r="H2859" s="2" t="s">
        <v>601</v>
      </c>
      <c r="I2859" s="2">
        <v>6.9</v>
      </c>
    </row>
    <row r="2860" spans="1:9" x14ac:dyDescent="0.25">
      <c r="A2860" s="1" t="s">
        <v>4436</v>
      </c>
      <c r="B2860" t="s">
        <v>4437</v>
      </c>
      <c r="C2860" s="1" t="s">
        <v>22</v>
      </c>
      <c r="D2860" s="1" t="s">
        <v>22</v>
      </c>
      <c r="E2860" t="s">
        <v>23</v>
      </c>
      <c r="F2860" s="2" t="s">
        <v>24</v>
      </c>
      <c r="G2860" t="s">
        <v>17</v>
      </c>
      <c r="H2860" s="2" t="s">
        <v>4438</v>
      </c>
      <c r="I2860" s="2">
        <v>69.599999999999994</v>
      </c>
    </row>
    <row r="2861" spans="1:9" x14ac:dyDescent="0.25">
      <c r="A2861" s="1" t="s">
        <v>4436</v>
      </c>
      <c r="B2861" t="s">
        <v>4437</v>
      </c>
      <c r="C2861" s="1" t="s">
        <v>7</v>
      </c>
      <c r="D2861" s="1" t="s">
        <v>7</v>
      </c>
      <c r="E2861" t="s">
        <v>8</v>
      </c>
      <c r="F2861" s="2" t="s">
        <v>9</v>
      </c>
      <c r="G2861" t="s">
        <v>10</v>
      </c>
      <c r="H2861" s="2" t="s">
        <v>860</v>
      </c>
      <c r="I2861" s="2">
        <v>23</v>
      </c>
    </row>
    <row r="2862" spans="1:9" x14ac:dyDescent="0.25">
      <c r="A2862" s="1" t="s">
        <v>355</v>
      </c>
      <c r="B2862" t="s">
        <v>356</v>
      </c>
      <c r="C2862" s="1" t="s">
        <v>4439</v>
      </c>
      <c r="D2862" s="1" t="s">
        <v>4439</v>
      </c>
      <c r="E2862" t="s">
        <v>4440</v>
      </c>
      <c r="F2862" s="2" t="s">
        <v>1043</v>
      </c>
      <c r="G2862" t="s">
        <v>17</v>
      </c>
      <c r="H2862" s="2" t="s">
        <v>607</v>
      </c>
      <c r="I2862" s="2">
        <v>11.8</v>
      </c>
    </row>
    <row r="2863" spans="1:9" x14ac:dyDescent="0.25">
      <c r="A2863" s="1" t="s">
        <v>355</v>
      </c>
      <c r="B2863" t="s">
        <v>356</v>
      </c>
      <c r="C2863" s="1" t="s">
        <v>7</v>
      </c>
      <c r="D2863" s="1" t="s">
        <v>7</v>
      </c>
      <c r="E2863" t="s">
        <v>8</v>
      </c>
      <c r="F2863" s="2" t="s">
        <v>9</v>
      </c>
      <c r="G2863" t="s">
        <v>10</v>
      </c>
      <c r="H2863" s="2" t="s">
        <v>601</v>
      </c>
      <c r="I2863" s="2">
        <v>6.9</v>
      </c>
    </row>
    <row r="2864" spans="1:9" x14ac:dyDescent="0.25">
      <c r="A2864" s="1" t="s">
        <v>358</v>
      </c>
      <c r="B2864" t="s">
        <v>359</v>
      </c>
      <c r="C2864" s="1" t="s">
        <v>4439</v>
      </c>
      <c r="D2864" s="1" t="s">
        <v>4439</v>
      </c>
      <c r="E2864" t="s">
        <v>4440</v>
      </c>
      <c r="F2864" s="2" t="s">
        <v>1043</v>
      </c>
      <c r="G2864" t="s">
        <v>17</v>
      </c>
      <c r="H2864" s="2" t="s">
        <v>4441</v>
      </c>
      <c r="I2864" s="2">
        <v>10.33</v>
      </c>
    </row>
    <row r="2865" spans="1:9" x14ac:dyDescent="0.25">
      <c r="A2865" s="1" t="s">
        <v>358</v>
      </c>
      <c r="B2865" t="s">
        <v>359</v>
      </c>
      <c r="C2865" s="1" t="s">
        <v>7</v>
      </c>
      <c r="D2865" s="1" t="s">
        <v>7</v>
      </c>
      <c r="E2865" t="s">
        <v>8</v>
      </c>
      <c r="F2865" s="2" t="s">
        <v>9</v>
      </c>
      <c r="G2865" t="s">
        <v>10</v>
      </c>
      <c r="H2865" s="2" t="s">
        <v>601</v>
      </c>
      <c r="I2865" s="2">
        <v>6.9</v>
      </c>
    </row>
    <row r="2866" spans="1:9" x14ac:dyDescent="0.25">
      <c r="A2866" s="1" t="s">
        <v>361</v>
      </c>
      <c r="B2866" t="s">
        <v>362</v>
      </c>
      <c r="C2866" s="1" t="s">
        <v>4439</v>
      </c>
      <c r="D2866" s="1" t="s">
        <v>4439</v>
      </c>
      <c r="E2866" t="s">
        <v>4440</v>
      </c>
      <c r="F2866" s="2" t="s">
        <v>1043</v>
      </c>
      <c r="G2866" t="s">
        <v>17</v>
      </c>
      <c r="H2866" s="2" t="s">
        <v>4442</v>
      </c>
      <c r="I2866" s="2">
        <v>5.62</v>
      </c>
    </row>
    <row r="2867" spans="1:9" x14ac:dyDescent="0.25">
      <c r="A2867" s="1" t="s">
        <v>361</v>
      </c>
      <c r="B2867" t="s">
        <v>362</v>
      </c>
      <c r="C2867" s="1" t="s">
        <v>7</v>
      </c>
      <c r="D2867" s="1" t="s">
        <v>7</v>
      </c>
      <c r="E2867" t="s">
        <v>8</v>
      </c>
      <c r="F2867" s="2" t="s">
        <v>9</v>
      </c>
      <c r="G2867" t="s">
        <v>10</v>
      </c>
      <c r="H2867" s="2" t="s">
        <v>601</v>
      </c>
      <c r="I2867" s="2">
        <v>6.9</v>
      </c>
    </row>
    <row r="2868" spans="1:9" x14ac:dyDescent="0.25">
      <c r="A2868" s="1" t="s">
        <v>364</v>
      </c>
      <c r="B2868" t="s">
        <v>365</v>
      </c>
      <c r="C2868" s="1" t="s">
        <v>4439</v>
      </c>
      <c r="D2868" s="1" t="s">
        <v>4439</v>
      </c>
      <c r="E2868" t="s">
        <v>4440</v>
      </c>
      <c r="F2868" s="2" t="s">
        <v>1043</v>
      </c>
      <c r="G2868" t="s">
        <v>17</v>
      </c>
      <c r="H2868" s="2" t="s">
        <v>4443</v>
      </c>
      <c r="I2868" s="2">
        <v>3.55</v>
      </c>
    </row>
    <row r="2869" spans="1:9" x14ac:dyDescent="0.25">
      <c r="A2869" s="1" t="s">
        <v>364</v>
      </c>
      <c r="B2869" t="s">
        <v>365</v>
      </c>
      <c r="C2869" s="1" t="s">
        <v>7</v>
      </c>
      <c r="D2869" s="1" t="s">
        <v>7</v>
      </c>
      <c r="E2869" t="s">
        <v>8</v>
      </c>
      <c r="F2869" s="2" t="s">
        <v>9</v>
      </c>
      <c r="G2869" t="s">
        <v>10</v>
      </c>
      <c r="H2869" s="2" t="s">
        <v>601</v>
      </c>
      <c r="I2869" s="2">
        <v>6.9</v>
      </c>
    </row>
    <row r="2870" spans="1:9" x14ac:dyDescent="0.25">
      <c r="A2870" s="1" t="s">
        <v>4444</v>
      </c>
      <c r="B2870" t="s">
        <v>4445</v>
      </c>
      <c r="C2870" s="1" t="s">
        <v>684</v>
      </c>
      <c r="D2870" s="1" t="s">
        <v>684</v>
      </c>
      <c r="E2870" t="s">
        <v>685</v>
      </c>
      <c r="F2870" s="2" t="s">
        <v>686</v>
      </c>
      <c r="G2870" t="s">
        <v>49</v>
      </c>
      <c r="H2870" s="2" t="s">
        <v>4446</v>
      </c>
      <c r="I2870" s="2">
        <v>70.400000000000006</v>
      </c>
    </row>
    <row r="2871" spans="1:9" x14ac:dyDescent="0.25">
      <c r="A2871" s="1" t="s">
        <v>4444</v>
      </c>
      <c r="B2871" t="s">
        <v>4445</v>
      </c>
      <c r="C2871" s="1" t="s">
        <v>7</v>
      </c>
      <c r="D2871" s="1" t="s">
        <v>7</v>
      </c>
      <c r="E2871" t="s">
        <v>8</v>
      </c>
      <c r="F2871" s="2" t="s">
        <v>9</v>
      </c>
      <c r="G2871" t="s">
        <v>10</v>
      </c>
      <c r="H2871" s="2" t="s">
        <v>4447</v>
      </c>
      <c r="I2871" s="2">
        <v>48.23</v>
      </c>
    </row>
    <row r="2872" spans="1:9" x14ac:dyDescent="0.25">
      <c r="A2872" s="1" t="s">
        <v>4448</v>
      </c>
      <c r="B2872" t="s">
        <v>4449</v>
      </c>
      <c r="C2872" s="1" t="s">
        <v>684</v>
      </c>
      <c r="D2872" s="1" t="s">
        <v>684</v>
      </c>
      <c r="E2872" t="s">
        <v>685</v>
      </c>
      <c r="F2872" s="2" t="s">
        <v>686</v>
      </c>
      <c r="G2872" t="s">
        <v>49</v>
      </c>
      <c r="H2872" s="2" t="s">
        <v>4450</v>
      </c>
      <c r="I2872" s="2">
        <v>79.2</v>
      </c>
    </row>
    <row r="2873" spans="1:9" x14ac:dyDescent="0.25">
      <c r="A2873" s="1" t="s">
        <v>4448</v>
      </c>
      <c r="B2873" t="s">
        <v>4449</v>
      </c>
      <c r="C2873" s="1" t="s">
        <v>7</v>
      </c>
      <c r="D2873" s="1" t="s">
        <v>7</v>
      </c>
      <c r="E2873" t="s">
        <v>8</v>
      </c>
      <c r="F2873" s="2" t="s">
        <v>9</v>
      </c>
      <c r="G2873" t="s">
        <v>10</v>
      </c>
      <c r="H2873" s="2" t="s">
        <v>4451</v>
      </c>
      <c r="I2873" s="2">
        <v>24.87</v>
      </c>
    </row>
    <row r="2874" spans="1:9" x14ac:dyDescent="0.25">
      <c r="A2874" s="1" t="s">
        <v>4452</v>
      </c>
      <c r="B2874" t="s">
        <v>4453</v>
      </c>
      <c r="C2874" s="1" t="s">
        <v>684</v>
      </c>
      <c r="D2874" s="1" t="s">
        <v>684</v>
      </c>
      <c r="E2874" t="s">
        <v>685</v>
      </c>
      <c r="F2874" s="2" t="s">
        <v>686</v>
      </c>
      <c r="G2874" t="s">
        <v>49</v>
      </c>
      <c r="H2874" s="2" t="s">
        <v>4454</v>
      </c>
      <c r="I2874" s="2">
        <v>242</v>
      </c>
    </row>
    <row r="2875" spans="1:9" x14ac:dyDescent="0.25">
      <c r="A2875" s="1" t="s">
        <v>4452</v>
      </c>
      <c r="B2875" t="s">
        <v>4453</v>
      </c>
      <c r="C2875" s="1" t="s">
        <v>7</v>
      </c>
      <c r="D2875" s="1" t="s">
        <v>7</v>
      </c>
      <c r="E2875" t="s">
        <v>8</v>
      </c>
      <c r="F2875" s="2" t="s">
        <v>9</v>
      </c>
      <c r="G2875" t="s">
        <v>10</v>
      </c>
      <c r="H2875" s="2" t="s">
        <v>4455</v>
      </c>
      <c r="I2875" s="2">
        <v>78.73</v>
      </c>
    </row>
    <row r="2876" spans="1:9" x14ac:dyDescent="0.25">
      <c r="A2876" s="1" t="s">
        <v>4456</v>
      </c>
      <c r="B2876" t="s">
        <v>4457</v>
      </c>
      <c r="C2876" s="1" t="s">
        <v>1249</v>
      </c>
      <c r="D2876" s="1" t="s">
        <v>1249</v>
      </c>
      <c r="E2876" t="s">
        <v>1250</v>
      </c>
      <c r="F2876" s="2" t="s">
        <v>1251</v>
      </c>
      <c r="G2876" t="s">
        <v>1252</v>
      </c>
      <c r="H2876" s="2" t="s">
        <v>4458</v>
      </c>
      <c r="I2876" s="2">
        <v>122.28</v>
      </c>
    </row>
    <row r="2877" spans="1:9" x14ac:dyDescent="0.25">
      <c r="A2877" s="1" t="s">
        <v>4456</v>
      </c>
      <c r="B2877" t="s">
        <v>4457</v>
      </c>
      <c r="C2877" s="1" t="s">
        <v>7</v>
      </c>
      <c r="D2877" s="1" t="s">
        <v>7</v>
      </c>
      <c r="E2877" t="s">
        <v>8</v>
      </c>
      <c r="F2877" s="2" t="s">
        <v>9</v>
      </c>
      <c r="G2877" t="s">
        <v>10</v>
      </c>
      <c r="H2877" s="2" t="s">
        <v>4459</v>
      </c>
      <c r="I2877" s="2">
        <v>60.33</v>
      </c>
    </row>
    <row r="2878" spans="1:9" x14ac:dyDescent="0.25">
      <c r="A2878" s="1" t="s">
        <v>4460</v>
      </c>
      <c r="B2878" t="s">
        <v>4461</v>
      </c>
      <c r="C2878" s="1" t="s">
        <v>1249</v>
      </c>
      <c r="D2878" s="1" t="s">
        <v>1249</v>
      </c>
      <c r="E2878" t="s">
        <v>1250</v>
      </c>
      <c r="F2878" s="2" t="s">
        <v>1251</v>
      </c>
      <c r="G2878" t="s">
        <v>1252</v>
      </c>
      <c r="H2878" s="2" t="s">
        <v>4462</v>
      </c>
      <c r="I2878" s="2">
        <v>144.36000000000001</v>
      </c>
    </row>
    <row r="2879" spans="1:9" x14ac:dyDescent="0.25">
      <c r="A2879" s="1" t="s">
        <v>4460</v>
      </c>
      <c r="B2879" t="s">
        <v>4461</v>
      </c>
      <c r="C2879" s="1" t="s">
        <v>7</v>
      </c>
      <c r="D2879" s="1" t="s">
        <v>7</v>
      </c>
      <c r="E2879" t="s">
        <v>8</v>
      </c>
      <c r="F2879" s="2" t="s">
        <v>9</v>
      </c>
      <c r="G2879" t="s">
        <v>10</v>
      </c>
      <c r="H2879" s="2" t="s">
        <v>4463</v>
      </c>
      <c r="I2879" s="2">
        <v>26.55</v>
      </c>
    </row>
    <row r="2880" spans="1:9" x14ac:dyDescent="0.25">
      <c r="A2880" s="1" t="s">
        <v>4464</v>
      </c>
      <c r="B2880" t="s">
        <v>4465</v>
      </c>
      <c r="C2880" s="1" t="s">
        <v>7</v>
      </c>
      <c r="D2880" s="1" t="s">
        <v>7</v>
      </c>
      <c r="E2880" t="s">
        <v>8</v>
      </c>
      <c r="F2880" s="2" t="s">
        <v>9</v>
      </c>
      <c r="G2880" t="s">
        <v>10</v>
      </c>
      <c r="H2880" s="2" t="s">
        <v>3593</v>
      </c>
      <c r="I2880" s="2">
        <v>5.26</v>
      </c>
    </row>
    <row r="2881" spans="1:10" x14ac:dyDescent="0.25">
      <c r="A2881" s="1" t="s">
        <v>4466</v>
      </c>
      <c r="B2881" t="s">
        <v>4467</v>
      </c>
      <c r="C2881" s="1" t="s">
        <v>1378</v>
      </c>
      <c r="D2881" s="1" t="s">
        <v>1378</v>
      </c>
      <c r="E2881" t="s">
        <v>1379</v>
      </c>
      <c r="F2881" s="2" t="s">
        <v>1043</v>
      </c>
      <c r="G2881" t="s">
        <v>5</v>
      </c>
      <c r="H2881" s="2" t="s">
        <v>4468</v>
      </c>
      <c r="I2881" s="2">
        <v>0.2</v>
      </c>
    </row>
    <row r="2882" spans="1:10" x14ac:dyDescent="0.25">
      <c r="A2882" s="1" t="s">
        <v>4466</v>
      </c>
      <c r="B2882" t="s">
        <v>4467</v>
      </c>
      <c r="C2882" s="1" t="s">
        <v>7</v>
      </c>
      <c r="D2882" s="1" t="s">
        <v>7</v>
      </c>
      <c r="E2882" t="s">
        <v>8</v>
      </c>
      <c r="F2882" s="2" t="s">
        <v>9</v>
      </c>
      <c r="G2882" t="s">
        <v>10</v>
      </c>
      <c r="H2882" s="2" t="s">
        <v>4469</v>
      </c>
      <c r="I2882" s="2">
        <v>1.71</v>
      </c>
    </row>
    <row r="2883" spans="1:10" x14ac:dyDescent="0.25">
      <c r="A2883" s="1" t="s">
        <v>4470</v>
      </c>
      <c r="B2883" t="s">
        <v>4471</v>
      </c>
      <c r="C2883" s="1" t="s">
        <v>4472</v>
      </c>
      <c r="D2883" s="1" t="s">
        <v>4472</v>
      </c>
      <c r="E2883" t="s">
        <v>4473</v>
      </c>
      <c r="F2883" s="2" t="s">
        <v>4474</v>
      </c>
      <c r="G2883" t="s">
        <v>17</v>
      </c>
      <c r="H2883" s="2" t="s">
        <v>4475</v>
      </c>
      <c r="I2883" s="2">
        <v>81.59</v>
      </c>
    </row>
    <row r="2884" spans="1:10" x14ac:dyDescent="0.25">
      <c r="A2884" s="1" t="s">
        <v>4470</v>
      </c>
      <c r="B2884" t="s">
        <v>4471</v>
      </c>
      <c r="C2884" s="1" t="s">
        <v>3568</v>
      </c>
      <c r="D2884" s="1" t="s">
        <v>3568</v>
      </c>
      <c r="E2884" t="s">
        <v>3569</v>
      </c>
      <c r="F2884" s="2" t="s">
        <v>3570</v>
      </c>
      <c r="G2884" t="s">
        <v>17</v>
      </c>
      <c r="H2884" s="2" t="s">
        <v>4476</v>
      </c>
      <c r="I2884" s="2">
        <v>1.68</v>
      </c>
    </row>
    <row r="2885" spans="1:10" x14ac:dyDescent="0.25">
      <c r="A2885" s="1" t="s">
        <v>4470</v>
      </c>
      <c r="B2885" t="s">
        <v>4471</v>
      </c>
      <c r="C2885" s="1" t="s">
        <v>4477</v>
      </c>
      <c r="D2885" s="1" t="s">
        <v>4477</v>
      </c>
      <c r="E2885" t="s">
        <v>4478</v>
      </c>
      <c r="F2885" s="2" t="s">
        <v>434</v>
      </c>
      <c r="G2885" t="s">
        <v>121</v>
      </c>
      <c r="H2885" s="2" t="s">
        <v>92</v>
      </c>
      <c r="I2885" s="2">
        <v>2.2000000000000002</v>
      </c>
    </row>
    <row r="2886" spans="1:10" x14ac:dyDescent="0.25">
      <c r="A2886" s="1" t="s">
        <v>4470</v>
      </c>
      <c r="B2886" t="s">
        <v>4471</v>
      </c>
      <c r="C2886" s="1" t="s">
        <v>4479</v>
      </c>
      <c r="D2886" s="1" t="s">
        <v>4479</v>
      </c>
      <c r="E2886" t="s">
        <v>4480</v>
      </c>
      <c r="F2886" s="2" t="s">
        <v>151</v>
      </c>
      <c r="G2886" t="s">
        <v>121</v>
      </c>
      <c r="H2886" s="2" t="s">
        <v>92</v>
      </c>
      <c r="I2886" s="2">
        <v>4</v>
      </c>
    </row>
    <row r="2887" spans="1:10" x14ac:dyDescent="0.25">
      <c r="A2887" s="1" t="s">
        <v>4470</v>
      </c>
      <c r="B2887" t="s">
        <v>4471</v>
      </c>
      <c r="C2887" s="1" t="s">
        <v>4481</v>
      </c>
      <c r="D2887" s="1" t="s">
        <v>4481</v>
      </c>
      <c r="E2887" t="s">
        <v>4482</v>
      </c>
      <c r="F2887" s="2" t="s">
        <v>4483</v>
      </c>
      <c r="G2887" t="s">
        <v>121</v>
      </c>
      <c r="H2887" s="2" t="s">
        <v>50</v>
      </c>
      <c r="I2887" s="2">
        <v>3.05</v>
      </c>
    </row>
    <row r="2888" spans="1:10" x14ac:dyDescent="0.25">
      <c r="A2888" s="1" t="s">
        <v>4470</v>
      </c>
      <c r="B2888" t="s">
        <v>4471</v>
      </c>
      <c r="C2888" s="1" t="s">
        <v>4484</v>
      </c>
      <c r="D2888" s="1" t="s">
        <v>4484</v>
      </c>
      <c r="E2888" t="s">
        <v>4485</v>
      </c>
      <c r="F2888" s="2" t="s">
        <v>4486</v>
      </c>
      <c r="G2888" t="s">
        <v>121</v>
      </c>
      <c r="H2888" s="2" t="s">
        <v>50</v>
      </c>
      <c r="I2888" s="2">
        <v>37.53</v>
      </c>
      <c r="J2888" t="s">
        <v>55</v>
      </c>
    </row>
    <row r="2889" spans="1:10" x14ac:dyDescent="0.25">
      <c r="A2889" s="1" t="s">
        <v>4470</v>
      </c>
      <c r="B2889" t="s">
        <v>4471</v>
      </c>
      <c r="C2889" s="1" t="s">
        <v>857</v>
      </c>
      <c r="D2889" s="1" t="s">
        <v>857</v>
      </c>
      <c r="E2889" t="s">
        <v>858</v>
      </c>
      <c r="F2889" s="2" t="s">
        <v>686</v>
      </c>
      <c r="G2889" t="s">
        <v>49</v>
      </c>
      <c r="H2889" s="2" t="s">
        <v>4487</v>
      </c>
      <c r="I2889" s="2">
        <v>1.9</v>
      </c>
    </row>
    <row r="2890" spans="1:10" x14ac:dyDescent="0.25">
      <c r="A2890" s="1" t="s">
        <v>4470</v>
      </c>
      <c r="B2890" t="s">
        <v>4471</v>
      </c>
      <c r="C2890" s="1" t="s">
        <v>1989</v>
      </c>
      <c r="D2890" s="1" t="s">
        <v>1989</v>
      </c>
      <c r="E2890" t="s">
        <v>1990</v>
      </c>
      <c r="F2890" s="2" t="s">
        <v>1991</v>
      </c>
      <c r="G2890" t="s">
        <v>435</v>
      </c>
      <c r="H2890" s="2" t="s">
        <v>4488</v>
      </c>
      <c r="I2890" s="2">
        <v>14.78</v>
      </c>
    </row>
    <row r="2891" spans="1:10" x14ac:dyDescent="0.25">
      <c r="A2891" s="1" t="s">
        <v>4470</v>
      </c>
      <c r="B2891" t="s">
        <v>4471</v>
      </c>
      <c r="C2891" s="1" t="s">
        <v>7</v>
      </c>
      <c r="D2891" s="1" t="s">
        <v>7</v>
      </c>
      <c r="E2891" t="s">
        <v>8</v>
      </c>
      <c r="F2891" s="2" t="s">
        <v>9</v>
      </c>
      <c r="G2891" t="s">
        <v>10</v>
      </c>
      <c r="H2891" s="2" t="s">
        <v>4099</v>
      </c>
      <c r="I2891" s="2">
        <v>4.8899999999999997</v>
      </c>
    </row>
    <row r="2892" spans="1:10" x14ac:dyDescent="0.25">
      <c r="A2892" s="1" t="s">
        <v>4470</v>
      </c>
      <c r="B2892" t="s">
        <v>4471</v>
      </c>
      <c r="C2892" s="1" t="s">
        <v>7</v>
      </c>
      <c r="D2892" s="1" t="s">
        <v>7</v>
      </c>
      <c r="E2892" t="s">
        <v>8</v>
      </c>
      <c r="F2892" s="2" t="s">
        <v>9</v>
      </c>
      <c r="G2892" t="s">
        <v>10</v>
      </c>
      <c r="H2892" s="2" t="s">
        <v>4489</v>
      </c>
      <c r="I2892" s="2">
        <v>36.03</v>
      </c>
    </row>
    <row r="2893" spans="1:10" x14ac:dyDescent="0.25">
      <c r="A2893" s="1" t="s">
        <v>4484</v>
      </c>
      <c r="B2893" t="s">
        <v>4490</v>
      </c>
      <c r="C2893" s="1" t="s">
        <v>2450</v>
      </c>
      <c r="D2893" s="1" t="s">
        <v>2450</v>
      </c>
      <c r="E2893" t="s">
        <v>2451</v>
      </c>
      <c r="F2893" s="2" t="s">
        <v>31</v>
      </c>
      <c r="G2893" t="s">
        <v>5</v>
      </c>
      <c r="H2893" s="2" t="s">
        <v>4491</v>
      </c>
      <c r="I2893" s="2">
        <v>3.25</v>
      </c>
    </row>
    <row r="2894" spans="1:10" x14ac:dyDescent="0.25">
      <c r="A2894" s="1" t="s">
        <v>4484</v>
      </c>
      <c r="B2894" t="s">
        <v>4490</v>
      </c>
      <c r="C2894" s="1" t="s">
        <v>4472</v>
      </c>
      <c r="D2894" s="1" t="s">
        <v>4472</v>
      </c>
      <c r="E2894" t="s">
        <v>4473</v>
      </c>
      <c r="F2894" s="2" t="s">
        <v>4474</v>
      </c>
      <c r="G2894" t="s">
        <v>17</v>
      </c>
      <c r="H2894" s="2" t="s">
        <v>4492</v>
      </c>
      <c r="I2894" s="2">
        <v>15.85</v>
      </c>
    </row>
    <row r="2895" spans="1:10" x14ac:dyDescent="0.25">
      <c r="A2895" s="1" t="s">
        <v>4484</v>
      </c>
      <c r="B2895" t="s">
        <v>4490</v>
      </c>
      <c r="C2895" s="1" t="s">
        <v>857</v>
      </c>
      <c r="D2895" s="1" t="s">
        <v>857</v>
      </c>
      <c r="E2895" t="s">
        <v>858</v>
      </c>
      <c r="F2895" s="2" t="s">
        <v>686</v>
      </c>
      <c r="G2895" t="s">
        <v>49</v>
      </c>
      <c r="H2895" s="2" t="s">
        <v>4493</v>
      </c>
      <c r="I2895" s="2">
        <v>0.5</v>
      </c>
    </row>
    <row r="2896" spans="1:10" x14ac:dyDescent="0.25">
      <c r="A2896" s="1" t="s">
        <v>4484</v>
      </c>
      <c r="B2896" t="s">
        <v>4490</v>
      </c>
      <c r="C2896" s="1" t="s">
        <v>7</v>
      </c>
      <c r="D2896" s="1" t="s">
        <v>7</v>
      </c>
      <c r="E2896" t="s">
        <v>8</v>
      </c>
      <c r="F2896" s="2" t="s">
        <v>9</v>
      </c>
      <c r="G2896" t="s">
        <v>10</v>
      </c>
      <c r="H2896" s="2" t="s">
        <v>4494</v>
      </c>
      <c r="I2896" s="2">
        <v>3.42</v>
      </c>
    </row>
    <row r="2897" spans="1:10" x14ac:dyDescent="0.25">
      <c r="A2897" s="1" t="s">
        <v>4484</v>
      </c>
      <c r="B2897" t="s">
        <v>4490</v>
      </c>
      <c r="C2897" s="1" t="s">
        <v>7</v>
      </c>
      <c r="D2897" s="1" t="s">
        <v>7</v>
      </c>
      <c r="E2897" t="s">
        <v>8</v>
      </c>
      <c r="F2897" s="2" t="s">
        <v>9</v>
      </c>
      <c r="G2897" t="s">
        <v>10</v>
      </c>
      <c r="H2897" s="2" t="s">
        <v>4495</v>
      </c>
      <c r="I2897" s="2">
        <v>9.61</v>
      </c>
    </row>
    <row r="2898" spans="1:10" x14ac:dyDescent="0.25">
      <c r="A2898" s="1" t="s">
        <v>4484</v>
      </c>
      <c r="B2898" t="s">
        <v>4490</v>
      </c>
      <c r="C2898" s="1" t="s">
        <v>7</v>
      </c>
      <c r="D2898" s="1" t="s">
        <v>7</v>
      </c>
      <c r="E2898" t="s">
        <v>8</v>
      </c>
      <c r="F2898" s="2" t="s">
        <v>9</v>
      </c>
      <c r="G2898" t="s">
        <v>10</v>
      </c>
      <c r="H2898" s="2" t="s">
        <v>4099</v>
      </c>
      <c r="I2898" s="2">
        <v>4.8899999999999997</v>
      </c>
    </row>
    <row r="2899" spans="1:10" x14ac:dyDescent="0.25">
      <c r="A2899" s="1" t="s">
        <v>4496</v>
      </c>
      <c r="B2899" t="s">
        <v>4497</v>
      </c>
      <c r="C2899" s="1" t="s">
        <v>4472</v>
      </c>
      <c r="D2899" s="1" t="s">
        <v>4472</v>
      </c>
      <c r="E2899" t="s">
        <v>4473</v>
      </c>
      <c r="F2899" s="2" t="s">
        <v>4474</v>
      </c>
      <c r="G2899" t="s">
        <v>17</v>
      </c>
      <c r="H2899" s="2" t="s">
        <v>4498</v>
      </c>
      <c r="I2899" s="2">
        <v>85.51</v>
      </c>
    </row>
    <row r="2900" spans="1:10" x14ac:dyDescent="0.25">
      <c r="A2900" s="1" t="s">
        <v>4496</v>
      </c>
      <c r="B2900" t="s">
        <v>4497</v>
      </c>
      <c r="C2900" s="1" t="s">
        <v>3568</v>
      </c>
      <c r="D2900" s="1" t="s">
        <v>3568</v>
      </c>
      <c r="E2900" t="s">
        <v>3569</v>
      </c>
      <c r="F2900" s="2" t="s">
        <v>3570</v>
      </c>
      <c r="G2900" t="s">
        <v>17</v>
      </c>
      <c r="H2900" s="2" t="s">
        <v>4194</v>
      </c>
      <c r="I2900" s="2">
        <v>1.76</v>
      </c>
    </row>
    <row r="2901" spans="1:10" x14ac:dyDescent="0.25">
      <c r="A2901" s="1" t="s">
        <v>4496</v>
      </c>
      <c r="B2901" t="s">
        <v>4497</v>
      </c>
      <c r="C2901" s="1" t="s">
        <v>4477</v>
      </c>
      <c r="D2901" s="1" t="s">
        <v>4477</v>
      </c>
      <c r="E2901" t="s">
        <v>4478</v>
      </c>
      <c r="F2901" s="2" t="s">
        <v>434</v>
      </c>
      <c r="G2901" t="s">
        <v>121</v>
      </c>
      <c r="H2901" s="2" t="s">
        <v>92</v>
      </c>
      <c r="I2901" s="2">
        <v>2.2000000000000002</v>
      </c>
    </row>
    <row r="2902" spans="1:10" x14ac:dyDescent="0.25">
      <c r="A2902" s="1" t="s">
        <v>4496</v>
      </c>
      <c r="B2902" t="s">
        <v>4497</v>
      </c>
      <c r="C2902" s="1" t="s">
        <v>4479</v>
      </c>
      <c r="D2902" s="1" t="s">
        <v>4479</v>
      </c>
      <c r="E2902" t="s">
        <v>4480</v>
      </c>
      <c r="F2902" s="2" t="s">
        <v>151</v>
      </c>
      <c r="G2902" t="s">
        <v>121</v>
      </c>
      <c r="H2902" s="2" t="s">
        <v>92</v>
      </c>
      <c r="I2902" s="2">
        <v>4</v>
      </c>
    </row>
    <row r="2903" spans="1:10" x14ac:dyDescent="0.25">
      <c r="A2903" s="1" t="s">
        <v>4496</v>
      </c>
      <c r="B2903" t="s">
        <v>4497</v>
      </c>
      <c r="C2903" s="1" t="s">
        <v>4481</v>
      </c>
      <c r="D2903" s="1" t="s">
        <v>4481</v>
      </c>
      <c r="E2903" t="s">
        <v>4482</v>
      </c>
      <c r="F2903" s="2" t="s">
        <v>4483</v>
      </c>
      <c r="G2903" t="s">
        <v>121</v>
      </c>
      <c r="H2903" s="2" t="s">
        <v>50</v>
      </c>
      <c r="I2903" s="2">
        <v>3.05</v>
      </c>
    </row>
    <row r="2904" spans="1:10" x14ac:dyDescent="0.25">
      <c r="A2904" s="1" t="s">
        <v>4496</v>
      </c>
      <c r="B2904" t="s">
        <v>4497</v>
      </c>
      <c r="C2904" s="1" t="s">
        <v>4499</v>
      </c>
      <c r="D2904" s="1" t="s">
        <v>4499</v>
      </c>
      <c r="E2904" t="s">
        <v>4500</v>
      </c>
      <c r="F2904" s="2" t="s">
        <v>4501</v>
      </c>
      <c r="G2904" t="s">
        <v>121</v>
      </c>
      <c r="H2904" s="2" t="s">
        <v>50</v>
      </c>
      <c r="I2904" s="2">
        <v>39.67</v>
      </c>
      <c r="J2904" t="s">
        <v>55</v>
      </c>
    </row>
    <row r="2905" spans="1:10" x14ac:dyDescent="0.25">
      <c r="A2905" s="1" t="s">
        <v>4496</v>
      </c>
      <c r="B2905" t="s">
        <v>4497</v>
      </c>
      <c r="C2905" s="1" t="s">
        <v>1989</v>
      </c>
      <c r="D2905" s="1" t="s">
        <v>1989</v>
      </c>
      <c r="E2905" t="s">
        <v>1990</v>
      </c>
      <c r="F2905" s="2" t="s">
        <v>1991</v>
      </c>
      <c r="G2905" t="s">
        <v>435</v>
      </c>
      <c r="H2905" s="2" t="s">
        <v>4502</v>
      </c>
      <c r="I2905" s="2">
        <v>15.89</v>
      </c>
    </row>
    <row r="2906" spans="1:10" x14ac:dyDescent="0.25">
      <c r="A2906" s="1" t="s">
        <v>4496</v>
      </c>
      <c r="B2906" t="s">
        <v>4497</v>
      </c>
      <c r="C2906" s="1" t="s">
        <v>7</v>
      </c>
      <c r="D2906" s="1" t="s">
        <v>7</v>
      </c>
      <c r="E2906" t="s">
        <v>8</v>
      </c>
      <c r="F2906" s="2" t="s">
        <v>9</v>
      </c>
      <c r="G2906" t="s">
        <v>10</v>
      </c>
      <c r="H2906" s="2" t="s">
        <v>4503</v>
      </c>
      <c r="I2906" s="2">
        <v>4.8600000000000003</v>
      </c>
    </row>
    <row r="2907" spans="1:10" x14ac:dyDescent="0.25">
      <c r="A2907" s="1" t="s">
        <v>4496</v>
      </c>
      <c r="B2907" t="s">
        <v>4497</v>
      </c>
      <c r="C2907" s="1" t="s">
        <v>7</v>
      </c>
      <c r="D2907" s="1" t="s">
        <v>7</v>
      </c>
      <c r="E2907" t="s">
        <v>8</v>
      </c>
      <c r="F2907" s="2" t="s">
        <v>9</v>
      </c>
      <c r="G2907" t="s">
        <v>10</v>
      </c>
      <c r="H2907" s="2" t="s">
        <v>4504</v>
      </c>
      <c r="I2907" s="2">
        <v>36.21</v>
      </c>
    </row>
    <row r="2908" spans="1:10" x14ac:dyDescent="0.25">
      <c r="A2908" s="1" t="s">
        <v>4496</v>
      </c>
      <c r="B2908" t="s">
        <v>4497</v>
      </c>
      <c r="C2908" s="1" t="s">
        <v>7</v>
      </c>
      <c r="D2908" s="1" t="s">
        <v>7</v>
      </c>
      <c r="E2908" t="s">
        <v>8</v>
      </c>
      <c r="F2908" s="2" t="s">
        <v>9</v>
      </c>
      <c r="G2908" t="s">
        <v>10</v>
      </c>
      <c r="H2908" s="2" t="s">
        <v>4505</v>
      </c>
      <c r="I2908" s="2">
        <v>1.91</v>
      </c>
    </row>
    <row r="2909" spans="1:10" x14ac:dyDescent="0.25">
      <c r="A2909" s="1" t="s">
        <v>4499</v>
      </c>
      <c r="B2909" t="s">
        <v>4506</v>
      </c>
      <c r="C2909" s="1" t="s">
        <v>4472</v>
      </c>
      <c r="D2909" s="1" t="s">
        <v>4472</v>
      </c>
      <c r="E2909" t="s">
        <v>4473</v>
      </c>
      <c r="F2909" s="2" t="s">
        <v>4474</v>
      </c>
      <c r="G2909" t="s">
        <v>17</v>
      </c>
      <c r="H2909" s="2" t="s">
        <v>4507</v>
      </c>
      <c r="I2909" s="2">
        <v>18</v>
      </c>
    </row>
    <row r="2910" spans="1:10" x14ac:dyDescent="0.25">
      <c r="A2910" s="1" t="s">
        <v>4499</v>
      </c>
      <c r="B2910" t="s">
        <v>4506</v>
      </c>
      <c r="C2910" s="1" t="s">
        <v>4472</v>
      </c>
      <c r="D2910" s="1" t="s">
        <v>4472</v>
      </c>
      <c r="E2910" t="s">
        <v>4473</v>
      </c>
      <c r="F2910" s="2" t="s">
        <v>4474</v>
      </c>
      <c r="G2910" t="s">
        <v>17</v>
      </c>
      <c r="H2910" s="2" t="s">
        <v>4508</v>
      </c>
      <c r="I2910" s="2">
        <v>2.25</v>
      </c>
    </row>
    <row r="2911" spans="1:10" x14ac:dyDescent="0.25">
      <c r="A2911" s="1" t="s">
        <v>4499</v>
      </c>
      <c r="B2911" t="s">
        <v>4506</v>
      </c>
      <c r="C2911" s="1" t="s">
        <v>857</v>
      </c>
      <c r="D2911" s="1" t="s">
        <v>857</v>
      </c>
      <c r="E2911" t="s">
        <v>858</v>
      </c>
      <c r="F2911" s="2" t="s">
        <v>686</v>
      </c>
      <c r="G2911" t="s">
        <v>49</v>
      </c>
      <c r="H2911" s="2" t="s">
        <v>4493</v>
      </c>
      <c r="I2911" s="2">
        <v>0.5</v>
      </c>
    </row>
    <row r="2912" spans="1:10" x14ac:dyDescent="0.25">
      <c r="A2912" s="1" t="s">
        <v>4499</v>
      </c>
      <c r="B2912" t="s">
        <v>4506</v>
      </c>
      <c r="C2912" s="1" t="s">
        <v>7</v>
      </c>
      <c r="D2912" s="1" t="s">
        <v>7</v>
      </c>
      <c r="E2912" t="s">
        <v>8</v>
      </c>
      <c r="F2912" s="2" t="s">
        <v>9</v>
      </c>
      <c r="G2912" t="s">
        <v>10</v>
      </c>
      <c r="H2912" s="2" t="s">
        <v>3831</v>
      </c>
      <c r="I2912" s="2">
        <v>9.6199999999999992</v>
      </c>
    </row>
    <row r="2913" spans="1:10" x14ac:dyDescent="0.25">
      <c r="A2913" s="1" t="s">
        <v>4499</v>
      </c>
      <c r="B2913" t="s">
        <v>4506</v>
      </c>
      <c r="C2913" s="1" t="s">
        <v>7</v>
      </c>
      <c r="D2913" s="1" t="s">
        <v>7</v>
      </c>
      <c r="E2913" t="s">
        <v>8</v>
      </c>
      <c r="F2913" s="2" t="s">
        <v>9</v>
      </c>
      <c r="G2913" t="s">
        <v>10</v>
      </c>
      <c r="H2913" s="2" t="s">
        <v>4509</v>
      </c>
      <c r="I2913" s="2">
        <v>3.35</v>
      </c>
    </row>
    <row r="2914" spans="1:10" x14ac:dyDescent="0.25">
      <c r="A2914" s="1" t="s">
        <v>4499</v>
      </c>
      <c r="B2914" t="s">
        <v>4506</v>
      </c>
      <c r="C2914" s="1" t="s">
        <v>7</v>
      </c>
      <c r="D2914" s="1" t="s">
        <v>7</v>
      </c>
      <c r="E2914" t="s">
        <v>8</v>
      </c>
      <c r="F2914" s="2" t="s">
        <v>9</v>
      </c>
      <c r="G2914" t="s">
        <v>10</v>
      </c>
      <c r="H2914" s="2" t="s">
        <v>3446</v>
      </c>
      <c r="I2914" s="2">
        <v>4.91</v>
      </c>
    </row>
    <row r="2915" spans="1:10" x14ac:dyDescent="0.25">
      <c r="A2915" s="1" t="s">
        <v>4499</v>
      </c>
      <c r="B2915" t="s">
        <v>4506</v>
      </c>
      <c r="C2915" s="1" t="s">
        <v>7</v>
      </c>
      <c r="D2915" s="1" t="s">
        <v>7</v>
      </c>
      <c r="E2915" t="s">
        <v>8</v>
      </c>
      <c r="F2915" s="2" t="s">
        <v>9</v>
      </c>
      <c r="G2915" t="s">
        <v>10</v>
      </c>
      <c r="H2915" s="2" t="s">
        <v>1544</v>
      </c>
      <c r="I2915" s="2">
        <v>1.05</v>
      </c>
    </row>
    <row r="2916" spans="1:10" x14ac:dyDescent="0.25">
      <c r="A2916" s="1" t="s">
        <v>4510</v>
      </c>
      <c r="B2916" t="s">
        <v>4511</v>
      </c>
      <c r="C2916" s="1" t="s">
        <v>4472</v>
      </c>
      <c r="D2916" s="1" t="s">
        <v>4472</v>
      </c>
      <c r="E2916" t="s">
        <v>4473</v>
      </c>
      <c r="F2916" s="2" t="s">
        <v>4474</v>
      </c>
      <c r="G2916" t="s">
        <v>17</v>
      </c>
      <c r="H2916" s="2" t="s">
        <v>4512</v>
      </c>
      <c r="I2916" s="2">
        <v>88.35</v>
      </c>
    </row>
    <row r="2917" spans="1:10" x14ac:dyDescent="0.25">
      <c r="A2917" s="1" t="s">
        <v>4510</v>
      </c>
      <c r="B2917" t="s">
        <v>4511</v>
      </c>
      <c r="C2917" s="1" t="s">
        <v>3568</v>
      </c>
      <c r="D2917" s="1" t="s">
        <v>3568</v>
      </c>
      <c r="E2917" t="s">
        <v>3569</v>
      </c>
      <c r="F2917" s="2" t="s">
        <v>3570</v>
      </c>
      <c r="G2917" t="s">
        <v>17</v>
      </c>
      <c r="H2917" s="2" t="s">
        <v>4476</v>
      </c>
      <c r="I2917" s="2">
        <v>1.68</v>
      </c>
    </row>
    <row r="2918" spans="1:10" x14ac:dyDescent="0.25">
      <c r="A2918" s="1" t="s">
        <v>4510</v>
      </c>
      <c r="B2918" t="s">
        <v>4511</v>
      </c>
      <c r="C2918" s="1" t="s">
        <v>4477</v>
      </c>
      <c r="D2918" s="1" t="s">
        <v>4477</v>
      </c>
      <c r="E2918" t="s">
        <v>4478</v>
      </c>
      <c r="F2918" s="2" t="s">
        <v>434</v>
      </c>
      <c r="G2918" t="s">
        <v>121</v>
      </c>
      <c r="H2918" s="2" t="s">
        <v>92</v>
      </c>
      <c r="I2918" s="2">
        <v>2.2000000000000002</v>
      </c>
    </row>
    <row r="2919" spans="1:10" x14ac:dyDescent="0.25">
      <c r="A2919" s="1" t="s">
        <v>4510</v>
      </c>
      <c r="B2919" t="s">
        <v>4511</v>
      </c>
      <c r="C2919" s="1" t="s">
        <v>4479</v>
      </c>
      <c r="D2919" s="1" t="s">
        <v>4479</v>
      </c>
      <c r="E2919" t="s">
        <v>4480</v>
      </c>
      <c r="F2919" s="2" t="s">
        <v>151</v>
      </c>
      <c r="G2919" t="s">
        <v>121</v>
      </c>
      <c r="H2919" s="2" t="s">
        <v>92</v>
      </c>
      <c r="I2919" s="2">
        <v>4</v>
      </c>
    </row>
    <row r="2920" spans="1:10" x14ac:dyDescent="0.25">
      <c r="A2920" s="1" t="s">
        <v>4510</v>
      </c>
      <c r="B2920" t="s">
        <v>4511</v>
      </c>
      <c r="C2920" s="1" t="s">
        <v>4481</v>
      </c>
      <c r="D2920" s="1" t="s">
        <v>4481</v>
      </c>
      <c r="E2920" t="s">
        <v>4482</v>
      </c>
      <c r="F2920" s="2" t="s">
        <v>4483</v>
      </c>
      <c r="G2920" t="s">
        <v>121</v>
      </c>
      <c r="H2920" s="2" t="s">
        <v>50</v>
      </c>
      <c r="I2920" s="2">
        <v>3.05</v>
      </c>
    </row>
    <row r="2921" spans="1:10" x14ac:dyDescent="0.25">
      <c r="A2921" s="1" t="s">
        <v>4510</v>
      </c>
      <c r="B2921" t="s">
        <v>4511</v>
      </c>
      <c r="C2921" s="1" t="s">
        <v>4513</v>
      </c>
      <c r="D2921" s="1" t="s">
        <v>4513</v>
      </c>
      <c r="E2921" t="s">
        <v>4514</v>
      </c>
      <c r="F2921" s="2" t="s">
        <v>4515</v>
      </c>
      <c r="G2921" t="s">
        <v>121</v>
      </c>
      <c r="H2921" s="2" t="s">
        <v>50</v>
      </c>
      <c r="I2921" s="2">
        <v>43.92</v>
      </c>
      <c r="J2921" t="s">
        <v>55</v>
      </c>
    </row>
    <row r="2922" spans="1:10" x14ac:dyDescent="0.25">
      <c r="A2922" s="1" t="s">
        <v>4510</v>
      </c>
      <c r="B2922" t="s">
        <v>4511</v>
      </c>
      <c r="C2922" s="1" t="s">
        <v>857</v>
      </c>
      <c r="D2922" s="1" t="s">
        <v>857</v>
      </c>
      <c r="E2922" t="s">
        <v>858</v>
      </c>
      <c r="F2922" s="2" t="s">
        <v>686</v>
      </c>
      <c r="G2922" t="s">
        <v>49</v>
      </c>
      <c r="H2922" s="2" t="s">
        <v>4487</v>
      </c>
      <c r="I2922" s="2">
        <v>1.9</v>
      </c>
    </row>
    <row r="2923" spans="1:10" x14ac:dyDescent="0.25">
      <c r="A2923" s="1" t="s">
        <v>4510</v>
      </c>
      <c r="B2923" t="s">
        <v>4511</v>
      </c>
      <c r="C2923" s="1" t="s">
        <v>1989</v>
      </c>
      <c r="D2923" s="1" t="s">
        <v>1989</v>
      </c>
      <c r="E2923" t="s">
        <v>1990</v>
      </c>
      <c r="F2923" s="2" t="s">
        <v>1991</v>
      </c>
      <c r="G2923" t="s">
        <v>435</v>
      </c>
      <c r="H2923" s="2" t="s">
        <v>4516</v>
      </c>
      <c r="I2923" s="2">
        <v>16.73</v>
      </c>
    </row>
    <row r="2924" spans="1:10" x14ac:dyDescent="0.25">
      <c r="A2924" s="1" t="s">
        <v>4510</v>
      </c>
      <c r="B2924" t="s">
        <v>4511</v>
      </c>
      <c r="C2924" s="1" t="s">
        <v>7</v>
      </c>
      <c r="D2924" s="1" t="s">
        <v>7</v>
      </c>
      <c r="E2924" t="s">
        <v>8</v>
      </c>
      <c r="F2924" s="2" t="s">
        <v>9</v>
      </c>
      <c r="G2924" t="s">
        <v>10</v>
      </c>
      <c r="H2924" s="2" t="s">
        <v>4517</v>
      </c>
      <c r="I2924" s="2">
        <v>38.57</v>
      </c>
    </row>
    <row r="2925" spans="1:10" x14ac:dyDescent="0.25">
      <c r="A2925" s="1" t="s">
        <v>4510</v>
      </c>
      <c r="B2925" t="s">
        <v>4511</v>
      </c>
      <c r="C2925" s="1" t="s">
        <v>7</v>
      </c>
      <c r="D2925" s="1" t="s">
        <v>7</v>
      </c>
      <c r="E2925" t="s">
        <v>8</v>
      </c>
      <c r="F2925" s="2" t="s">
        <v>9</v>
      </c>
      <c r="G2925" t="s">
        <v>10</v>
      </c>
      <c r="H2925" s="2" t="s">
        <v>4099</v>
      </c>
      <c r="I2925" s="2">
        <v>4.8899999999999997</v>
      </c>
    </row>
    <row r="2926" spans="1:10" x14ac:dyDescent="0.25">
      <c r="A2926" s="1" t="s">
        <v>4513</v>
      </c>
      <c r="B2926" t="s">
        <v>4518</v>
      </c>
      <c r="C2926" s="1" t="s">
        <v>4472</v>
      </c>
      <c r="D2926" s="1" t="s">
        <v>4472</v>
      </c>
      <c r="E2926" t="s">
        <v>4473</v>
      </c>
      <c r="F2926" s="2" t="s">
        <v>4474</v>
      </c>
      <c r="G2926" t="s">
        <v>17</v>
      </c>
      <c r="H2926" s="2" t="s">
        <v>4519</v>
      </c>
      <c r="I2926" s="2">
        <v>4.45</v>
      </c>
    </row>
    <row r="2927" spans="1:10" x14ac:dyDescent="0.25">
      <c r="A2927" s="1" t="s">
        <v>4513</v>
      </c>
      <c r="B2927" t="s">
        <v>4518</v>
      </c>
      <c r="C2927" s="1" t="s">
        <v>4472</v>
      </c>
      <c r="D2927" s="1" t="s">
        <v>4472</v>
      </c>
      <c r="E2927" t="s">
        <v>4473</v>
      </c>
      <c r="F2927" s="2" t="s">
        <v>4474</v>
      </c>
      <c r="G2927" t="s">
        <v>17</v>
      </c>
      <c r="H2927" s="2" t="s">
        <v>4520</v>
      </c>
      <c r="I2927" s="2">
        <v>20.11</v>
      </c>
    </row>
    <row r="2928" spans="1:10" x14ac:dyDescent="0.25">
      <c r="A2928" s="1" t="s">
        <v>4513</v>
      </c>
      <c r="B2928" t="s">
        <v>4518</v>
      </c>
      <c r="C2928" s="1" t="s">
        <v>857</v>
      </c>
      <c r="D2928" s="1" t="s">
        <v>857</v>
      </c>
      <c r="E2928" t="s">
        <v>858</v>
      </c>
      <c r="F2928" s="2" t="s">
        <v>686</v>
      </c>
      <c r="G2928" t="s">
        <v>49</v>
      </c>
      <c r="H2928" s="2" t="s">
        <v>4493</v>
      </c>
      <c r="I2928" s="2">
        <v>0.5</v>
      </c>
    </row>
    <row r="2929" spans="1:9" x14ac:dyDescent="0.25">
      <c r="A2929" s="1" t="s">
        <v>4513</v>
      </c>
      <c r="B2929" t="s">
        <v>4518</v>
      </c>
      <c r="C2929" s="1" t="s">
        <v>7</v>
      </c>
      <c r="D2929" s="1" t="s">
        <v>7</v>
      </c>
      <c r="E2929" t="s">
        <v>8</v>
      </c>
      <c r="F2929" s="2" t="s">
        <v>9</v>
      </c>
      <c r="G2929" t="s">
        <v>10</v>
      </c>
      <c r="H2929" s="2" t="s">
        <v>4495</v>
      </c>
      <c r="I2929" s="2">
        <v>9.61</v>
      </c>
    </row>
    <row r="2930" spans="1:9" x14ac:dyDescent="0.25">
      <c r="A2930" s="1" t="s">
        <v>4513</v>
      </c>
      <c r="B2930" t="s">
        <v>4518</v>
      </c>
      <c r="C2930" s="1" t="s">
        <v>7</v>
      </c>
      <c r="D2930" s="1" t="s">
        <v>7</v>
      </c>
      <c r="E2930" t="s">
        <v>8</v>
      </c>
      <c r="F2930" s="2" t="s">
        <v>9</v>
      </c>
      <c r="G2930" t="s">
        <v>10</v>
      </c>
      <c r="H2930" s="2" t="s">
        <v>4099</v>
      </c>
      <c r="I2930" s="2">
        <v>4.8899999999999997</v>
      </c>
    </row>
    <row r="2931" spans="1:9" x14ac:dyDescent="0.25">
      <c r="A2931" s="1" t="s">
        <v>4513</v>
      </c>
      <c r="B2931" t="s">
        <v>4518</v>
      </c>
      <c r="C2931" s="1" t="s">
        <v>7</v>
      </c>
      <c r="D2931" s="1" t="s">
        <v>7</v>
      </c>
      <c r="E2931" t="s">
        <v>8</v>
      </c>
      <c r="F2931" s="2" t="s">
        <v>9</v>
      </c>
      <c r="G2931" t="s">
        <v>10</v>
      </c>
      <c r="H2931" s="2" t="s">
        <v>4521</v>
      </c>
      <c r="I2931" s="2">
        <v>1</v>
      </c>
    </row>
    <row r="2932" spans="1:9" x14ac:dyDescent="0.25">
      <c r="A2932" s="1" t="s">
        <v>4513</v>
      </c>
      <c r="B2932" t="s">
        <v>4518</v>
      </c>
      <c r="C2932" s="1" t="s">
        <v>7</v>
      </c>
      <c r="D2932" s="1" t="s">
        <v>7</v>
      </c>
      <c r="E2932" t="s">
        <v>8</v>
      </c>
      <c r="F2932" s="2" t="s">
        <v>9</v>
      </c>
      <c r="G2932" t="s">
        <v>10</v>
      </c>
      <c r="H2932" s="2" t="s">
        <v>4522</v>
      </c>
      <c r="I2932" s="2">
        <v>3.36</v>
      </c>
    </row>
    <row r="2933" spans="1:9" x14ac:dyDescent="0.25">
      <c r="A2933" s="1" t="s">
        <v>4523</v>
      </c>
      <c r="B2933" t="s">
        <v>4524</v>
      </c>
      <c r="C2933" s="1" t="s">
        <v>3333</v>
      </c>
      <c r="D2933" s="1" t="s">
        <v>3333</v>
      </c>
      <c r="E2933" t="s">
        <v>3334</v>
      </c>
      <c r="F2933" s="2" t="s">
        <v>140</v>
      </c>
      <c r="G2933" t="s">
        <v>49</v>
      </c>
      <c r="H2933" s="2" t="s">
        <v>50</v>
      </c>
      <c r="I2933" s="2">
        <v>10.75</v>
      </c>
    </row>
    <row r="2934" spans="1:9" x14ac:dyDescent="0.25">
      <c r="A2934" s="1" t="s">
        <v>4523</v>
      </c>
      <c r="B2934" t="s">
        <v>4524</v>
      </c>
      <c r="C2934" s="1" t="s">
        <v>7</v>
      </c>
      <c r="D2934" s="1" t="s">
        <v>7</v>
      </c>
      <c r="E2934" t="s">
        <v>8</v>
      </c>
      <c r="F2934" s="2" t="s">
        <v>9</v>
      </c>
      <c r="G2934" t="s">
        <v>10</v>
      </c>
      <c r="H2934" s="2" t="s">
        <v>4525</v>
      </c>
      <c r="I2934" s="2">
        <v>37.15</v>
      </c>
    </row>
    <row r="2935" spans="1:9" x14ac:dyDescent="0.25">
      <c r="A2935" s="1" t="s">
        <v>4526</v>
      </c>
      <c r="B2935" t="s">
        <v>4527</v>
      </c>
      <c r="C2935" s="1" t="s">
        <v>3333</v>
      </c>
      <c r="D2935" s="1" t="s">
        <v>3333</v>
      </c>
      <c r="E2935" t="s">
        <v>3334</v>
      </c>
      <c r="F2935" s="2" t="s">
        <v>140</v>
      </c>
      <c r="G2935" t="s">
        <v>49</v>
      </c>
      <c r="H2935" s="2" t="s">
        <v>50</v>
      </c>
      <c r="I2935" s="2">
        <v>10.75</v>
      </c>
    </row>
    <row r="2936" spans="1:9" x14ac:dyDescent="0.25">
      <c r="A2936" s="1" t="s">
        <v>4526</v>
      </c>
      <c r="B2936" t="s">
        <v>4527</v>
      </c>
      <c r="C2936" s="1" t="s">
        <v>7</v>
      </c>
      <c r="D2936" s="1" t="s">
        <v>7</v>
      </c>
      <c r="E2936" t="s">
        <v>8</v>
      </c>
      <c r="F2936" s="2" t="s">
        <v>9</v>
      </c>
      <c r="G2936" t="s">
        <v>10</v>
      </c>
      <c r="H2936" s="2" t="s">
        <v>4528</v>
      </c>
      <c r="I2936" s="2">
        <v>40.68</v>
      </c>
    </row>
    <row r="2937" spans="1:9" x14ac:dyDescent="0.25">
      <c r="A2937" s="1" t="s">
        <v>4529</v>
      </c>
      <c r="B2937" t="s">
        <v>4530</v>
      </c>
      <c r="C2937" s="1" t="s">
        <v>1335</v>
      </c>
      <c r="D2937" s="1" t="s">
        <v>1335</v>
      </c>
      <c r="E2937" t="s">
        <v>1336</v>
      </c>
      <c r="F2937" s="2" t="s">
        <v>3722</v>
      </c>
      <c r="G2937" t="s">
        <v>49</v>
      </c>
      <c r="H2937" s="2" t="s">
        <v>50</v>
      </c>
      <c r="I2937" s="2">
        <v>34</v>
      </c>
    </row>
    <row r="2938" spans="1:9" x14ac:dyDescent="0.25">
      <c r="A2938" s="1" t="s">
        <v>4529</v>
      </c>
      <c r="B2938" t="s">
        <v>4530</v>
      </c>
      <c r="C2938" s="1" t="s">
        <v>541</v>
      </c>
      <c r="D2938" s="1" t="s">
        <v>541</v>
      </c>
      <c r="E2938" t="s">
        <v>542</v>
      </c>
      <c r="F2938" s="2" t="s">
        <v>9</v>
      </c>
      <c r="G2938" t="s">
        <v>10</v>
      </c>
      <c r="H2938" s="2" t="s">
        <v>4531</v>
      </c>
      <c r="I2938" s="2">
        <v>25.79</v>
      </c>
    </row>
    <row r="2939" spans="1:9" x14ac:dyDescent="0.25">
      <c r="A2939" s="1" t="s">
        <v>4532</v>
      </c>
      <c r="B2939" t="s">
        <v>4533</v>
      </c>
      <c r="C2939" s="1" t="s">
        <v>1335</v>
      </c>
      <c r="D2939" s="1" t="s">
        <v>1335</v>
      </c>
      <c r="E2939" t="s">
        <v>1336</v>
      </c>
      <c r="F2939" s="2" t="s">
        <v>3722</v>
      </c>
      <c r="G2939" t="s">
        <v>49</v>
      </c>
      <c r="H2939" s="2" t="s">
        <v>50</v>
      </c>
      <c r="I2939" s="2">
        <v>34</v>
      </c>
    </row>
    <row r="2940" spans="1:9" x14ac:dyDescent="0.25">
      <c r="A2940" s="1" t="s">
        <v>4532</v>
      </c>
      <c r="B2940" t="s">
        <v>4533</v>
      </c>
      <c r="C2940" s="1" t="s">
        <v>7</v>
      </c>
      <c r="D2940" s="1" t="s">
        <v>7</v>
      </c>
      <c r="E2940" t="s">
        <v>8</v>
      </c>
      <c r="F2940" s="2" t="s">
        <v>9</v>
      </c>
      <c r="G2940" t="s">
        <v>10</v>
      </c>
      <c r="H2940" s="2" t="s">
        <v>4534</v>
      </c>
      <c r="I2940" s="2">
        <v>41.17</v>
      </c>
    </row>
    <row r="2941" spans="1:9" x14ac:dyDescent="0.25">
      <c r="A2941" s="1" t="s">
        <v>4535</v>
      </c>
      <c r="B2941" t="s">
        <v>4536</v>
      </c>
      <c r="C2941" s="1" t="s">
        <v>1335</v>
      </c>
      <c r="D2941" s="1" t="s">
        <v>1335</v>
      </c>
      <c r="E2941" t="s">
        <v>1336</v>
      </c>
      <c r="F2941" s="2" t="s">
        <v>3722</v>
      </c>
      <c r="G2941" t="s">
        <v>49</v>
      </c>
      <c r="H2941" s="2" t="s">
        <v>50</v>
      </c>
      <c r="I2941" s="2">
        <v>34</v>
      </c>
    </row>
    <row r="2942" spans="1:9" x14ac:dyDescent="0.25">
      <c r="A2942" s="1" t="s">
        <v>4535</v>
      </c>
      <c r="B2942" t="s">
        <v>4536</v>
      </c>
      <c r="C2942" s="1" t="s">
        <v>541</v>
      </c>
      <c r="D2942" s="1" t="s">
        <v>541</v>
      </c>
      <c r="E2942" t="s">
        <v>542</v>
      </c>
      <c r="F2942" s="2" t="s">
        <v>9</v>
      </c>
      <c r="G2942" t="s">
        <v>10</v>
      </c>
      <c r="H2942" s="2" t="s">
        <v>4537</v>
      </c>
      <c r="I2942" s="2">
        <v>41.16</v>
      </c>
    </row>
    <row r="2943" spans="1:9" x14ac:dyDescent="0.25">
      <c r="A2943" s="1" t="s">
        <v>4538</v>
      </c>
      <c r="B2943" t="s">
        <v>4539</v>
      </c>
      <c r="C2943" s="1" t="s">
        <v>1335</v>
      </c>
      <c r="D2943" s="1" t="s">
        <v>1335</v>
      </c>
      <c r="E2943" t="s">
        <v>1336</v>
      </c>
      <c r="F2943" s="2" t="s">
        <v>3722</v>
      </c>
      <c r="G2943" t="s">
        <v>49</v>
      </c>
      <c r="H2943" s="2" t="s">
        <v>50</v>
      </c>
      <c r="I2943" s="2">
        <v>34</v>
      </c>
    </row>
    <row r="2944" spans="1:9" x14ac:dyDescent="0.25">
      <c r="A2944" s="1" t="s">
        <v>4538</v>
      </c>
      <c r="B2944" t="s">
        <v>4539</v>
      </c>
      <c r="C2944" s="1" t="s">
        <v>541</v>
      </c>
      <c r="D2944" s="1" t="s">
        <v>541</v>
      </c>
      <c r="E2944" t="s">
        <v>542</v>
      </c>
      <c r="F2944" s="2" t="s">
        <v>9</v>
      </c>
      <c r="G2944" t="s">
        <v>10</v>
      </c>
      <c r="H2944" s="2" t="s">
        <v>4534</v>
      </c>
      <c r="I2944" s="2">
        <v>41.17</v>
      </c>
    </row>
    <row r="2945" spans="1:9" x14ac:dyDescent="0.25">
      <c r="A2945" s="1" t="s">
        <v>4540</v>
      </c>
      <c r="B2945" t="s">
        <v>4541</v>
      </c>
      <c r="C2945" s="1" t="s">
        <v>1327</v>
      </c>
      <c r="D2945" s="1" t="s">
        <v>1327</v>
      </c>
      <c r="E2945" t="s">
        <v>3727</v>
      </c>
      <c r="F2945" s="2" t="s">
        <v>1329</v>
      </c>
      <c r="G2945" t="s">
        <v>49</v>
      </c>
      <c r="H2945" s="2" t="s">
        <v>50</v>
      </c>
      <c r="I2945" s="2">
        <v>220</v>
      </c>
    </row>
    <row r="2946" spans="1:9" x14ac:dyDescent="0.25">
      <c r="A2946" s="1" t="s">
        <v>4540</v>
      </c>
      <c r="B2946" t="s">
        <v>4541</v>
      </c>
      <c r="C2946" s="1" t="s">
        <v>541</v>
      </c>
      <c r="D2946" s="1" t="s">
        <v>541</v>
      </c>
      <c r="E2946" t="s">
        <v>542</v>
      </c>
      <c r="F2946" s="2" t="s">
        <v>9</v>
      </c>
      <c r="G2946" t="s">
        <v>10</v>
      </c>
      <c r="H2946" s="2" t="s">
        <v>4542</v>
      </c>
      <c r="I2946" s="2">
        <v>38.89</v>
      </c>
    </row>
    <row r="2947" spans="1:9" x14ac:dyDescent="0.25">
      <c r="A2947" s="1" t="s">
        <v>4540</v>
      </c>
      <c r="B2947" t="s">
        <v>4541</v>
      </c>
      <c r="C2947" s="1" t="s">
        <v>541</v>
      </c>
      <c r="D2947" s="1" t="s">
        <v>541</v>
      </c>
      <c r="E2947" t="s">
        <v>542</v>
      </c>
      <c r="F2947" s="2" t="s">
        <v>9</v>
      </c>
      <c r="G2947" t="s">
        <v>10</v>
      </c>
      <c r="H2947" s="2" t="s">
        <v>4543</v>
      </c>
      <c r="I2947" s="2">
        <v>53</v>
      </c>
    </row>
    <row r="2948" spans="1:9" x14ac:dyDescent="0.25">
      <c r="A2948" s="1" t="s">
        <v>4544</v>
      </c>
      <c r="B2948" t="s">
        <v>4545</v>
      </c>
      <c r="C2948" s="1" t="s">
        <v>1041</v>
      </c>
      <c r="D2948" s="1" t="s">
        <v>1041</v>
      </c>
      <c r="E2948" t="s">
        <v>4546</v>
      </c>
      <c r="F2948" s="2" t="s">
        <v>712</v>
      </c>
      <c r="G2948" t="s">
        <v>17</v>
      </c>
      <c r="H2948" s="2" t="s">
        <v>4547</v>
      </c>
      <c r="I2948" s="2">
        <v>24.8</v>
      </c>
    </row>
    <row r="2949" spans="1:9" x14ac:dyDescent="0.25">
      <c r="A2949" s="1" t="s">
        <v>4544</v>
      </c>
      <c r="B2949" t="s">
        <v>4545</v>
      </c>
      <c r="C2949" s="1" t="s">
        <v>7</v>
      </c>
      <c r="D2949" s="1" t="s">
        <v>7</v>
      </c>
      <c r="E2949" t="s">
        <v>8</v>
      </c>
      <c r="F2949" s="2" t="s">
        <v>9</v>
      </c>
      <c r="G2949" t="s">
        <v>10</v>
      </c>
      <c r="H2949" s="2" t="s">
        <v>19</v>
      </c>
      <c r="I2949" s="2">
        <v>4.5999999999999996</v>
      </c>
    </row>
    <row r="2950" spans="1:9" x14ac:dyDescent="0.25">
      <c r="A2950" s="1" t="s">
        <v>4548</v>
      </c>
      <c r="B2950" t="s">
        <v>4549</v>
      </c>
      <c r="C2950" s="1" t="s">
        <v>3407</v>
      </c>
      <c r="D2950" s="1" t="s">
        <v>3407</v>
      </c>
      <c r="E2950" t="s">
        <v>3408</v>
      </c>
      <c r="F2950" s="2" t="s">
        <v>70</v>
      </c>
      <c r="G2950" t="s">
        <v>5</v>
      </c>
      <c r="H2950" s="2" t="s">
        <v>367</v>
      </c>
      <c r="I2950" s="2">
        <v>0.25</v>
      </c>
    </row>
    <row r="2951" spans="1:9" x14ac:dyDescent="0.25">
      <c r="A2951" s="1" t="s">
        <v>4548</v>
      </c>
      <c r="B2951" t="s">
        <v>4549</v>
      </c>
      <c r="C2951" s="1" t="s">
        <v>432</v>
      </c>
      <c r="D2951" s="1" t="s">
        <v>432</v>
      </c>
      <c r="E2951" t="s">
        <v>433</v>
      </c>
      <c r="F2951" s="2" t="s">
        <v>434</v>
      </c>
      <c r="G2951" t="s">
        <v>435</v>
      </c>
      <c r="H2951" s="2" t="s">
        <v>50</v>
      </c>
      <c r="I2951" s="2">
        <v>1.1000000000000001</v>
      </c>
    </row>
    <row r="2952" spans="1:9" x14ac:dyDescent="0.25">
      <c r="A2952" s="1" t="s">
        <v>4548</v>
      </c>
      <c r="B2952" t="s">
        <v>4549</v>
      </c>
      <c r="C2952" s="1" t="s">
        <v>7</v>
      </c>
      <c r="D2952" s="1" t="s">
        <v>7</v>
      </c>
      <c r="E2952" t="s">
        <v>8</v>
      </c>
      <c r="F2952" s="2" t="s">
        <v>9</v>
      </c>
      <c r="G2952" t="s">
        <v>10</v>
      </c>
      <c r="H2952" s="2" t="s">
        <v>33</v>
      </c>
      <c r="I2952" s="2">
        <v>9.1999999999999993</v>
      </c>
    </row>
    <row r="2953" spans="1:9" x14ac:dyDescent="0.25">
      <c r="A2953" s="1" t="s">
        <v>4550</v>
      </c>
      <c r="B2953" t="s">
        <v>4551</v>
      </c>
      <c r="C2953" s="1" t="s">
        <v>4552</v>
      </c>
      <c r="D2953" s="1" t="s">
        <v>4552</v>
      </c>
      <c r="E2953" t="s">
        <v>4553</v>
      </c>
      <c r="F2953" s="2" t="s">
        <v>4554</v>
      </c>
      <c r="G2953" t="s">
        <v>5</v>
      </c>
      <c r="H2953" s="2" t="s">
        <v>4555</v>
      </c>
      <c r="I2953" s="2">
        <v>0.25</v>
      </c>
    </row>
    <row r="2954" spans="1:9" x14ac:dyDescent="0.25">
      <c r="A2954" s="1" t="s">
        <v>4550</v>
      </c>
      <c r="B2954" t="s">
        <v>4551</v>
      </c>
      <c r="C2954" s="1" t="s">
        <v>7</v>
      </c>
      <c r="D2954" s="1" t="s">
        <v>7</v>
      </c>
      <c r="E2954" t="s">
        <v>8</v>
      </c>
      <c r="F2954" s="2" t="s">
        <v>9</v>
      </c>
      <c r="G2954" t="s">
        <v>10</v>
      </c>
      <c r="H2954" s="2" t="s">
        <v>4556</v>
      </c>
      <c r="I2954" s="2">
        <v>2.56</v>
      </c>
    </row>
    <row r="2955" spans="1:9" x14ac:dyDescent="0.25">
      <c r="A2955" s="1" t="s">
        <v>4557</v>
      </c>
      <c r="B2955" t="s">
        <v>4558</v>
      </c>
      <c r="C2955" s="1" t="s">
        <v>2522</v>
      </c>
      <c r="D2955" s="1" t="s">
        <v>2522</v>
      </c>
      <c r="E2955" t="s">
        <v>2523</v>
      </c>
      <c r="F2955" s="2" t="s">
        <v>1354</v>
      </c>
      <c r="G2955" t="s">
        <v>5</v>
      </c>
      <c r="H2955" s="2" t="s">
        <v>4559</v>
      </c>
      <c r="I2955" s="2">
        <v>5.9</v>
      </c>
    </row>
    <row r="2956" spans="1:9" x14ac:dyDescent="0.25">
      <c r="A2956" s="1" t="s">
        <v>4557</v>
      </c>
      <c r="B2956" t="s">
        <v>4558</v>
      </c>
      <c r="C2956" s="1" t="s">
        <v>7</v>
      </c>
      <c r="D2956" s="1" t="s">
        <v>7</v>
      </c>
      <c r="E2956" t="s">
        <v>8</v>
      </c>
      <c r="F2956" s="2" t="s">
        <v>9</v>
      </c>
      <c r="G2956" t="s">
        <v>10</v>
      </c>
      <c r="H2956" s="2" t="s">
        <v>367</v>
      </c>
      <c r="I2956" s="2">
        <v>2.2999999999999998</v>
      </c>
    </row>
    <row r="2957" spans="1:9" x14ac:dyDescent="0.25">
      <c r="A2957" s="1" t="s">
        <v>4560</v>
      </c>
      <c r="B2957" t="s">
        <v>4561</v>
      </c>
      <c r="C2957" s="1" t="s">
        <v>7</v>
      </c>
      <c r="D2957" s="1" t="s">
        <v>7</v>
      </c>
      <c r="E2957" t="s">
        <v>8</v>
      </c>
      <c r="F2957" s="2" t="s">
        <v>9</v>
      </c>
      <c r="G2957" t="s">
        <v>10</v>
      </c>
      <c r="H2957" s="2" t="s">
        <v>1966</v>
      </c>
      <c r="I2957" s="2">
        <v>1.93</v>
      </c>
    </row>
    <row r="2958" spans="1:9" x14ac:dyDescent="0.25">
      <c r="A2958" s="1" t="s">
        <v>4562</v>
      </c>
      <c r="B2958" t="s">
        <v>4563</v>
      </c>
      <c r="C2958" s="1" t="s">
        <v>7</v>
      </c>
      <c r="D2958" s="1" t="s">
        <v>7</v>
      </c>
      <c r="E2958" t="s">
        <v>8</v>
      </c>
      <c r="F2958" s="2" t="s">
        <v>9</v>
      </c>
      <c r="G2958" t="s">
        <v>10</v>
      </c>
      <c r="H2958" s="2" t="s">
        <v>3611</v>
      </c>
      <c r="I2958" s="2">
        <v>8.2100000000000009</v>
      </c>
    </row>
    <row r="2959" spans="1:9" x14ac:dyDescent="0.25">
      <c r="A2959" s="1" t="s">
        <v>4564</v>
      </c>
      <c r="B2959" t="s">
        <v>4565</v>
      </c>
      <c r="C2959" s="1" t="s">
        <v>1367</v>
      </c>
      <c r="D2959" s="1" t="s">
        <v>1367</v>
      </c>
      <c r="E2959" t="s">
        <v>2132</v>
      </c>
      <c r="F2959" s="2" t="s">
        <v>1347</v>
      </c>
      <c r="G2959" t="s">
        <v>5</v>
      </c>
      <c r="H2959" s="2" t="s">
        <v>2770</v>
      </c>
      <c r="I2959" s="2">
        <v>0.15</v>
      </c>
    </row>
    <row r="2960" spans="1:9" x14ac:dyDescent="0.25">
      <c r="A2960" s="1" t="s">
        <v>4564</v>
      </c>
      <c r="B2960" t="s">
        <v>4565</v>
      </c>
      <c r="C2960" s="1" t="s">
        <v>7</v>
      </c>
      <c r="D2960" s="1" t="s">
        <v>7</v>
      </c>
      <c r="E2960" t="s">
        <v>8</v>
      </c>
      <c r="F2960" s="2" t="s">
        <v>9</v>
      </c>
      <c r="G2960" t="s">
        <v>10</v>
      </c>
      <c r="H2960" s="2" t="s">
        <v>4566</v>
      </c>
      <c r="I2960" s="2">
        <v>0.55000000000000004</v>
      </c>
    </row>
    <row r="2961" spans="1:10" x14ac:dyDescent="0.25">
      <c r="A2961" s="1" t="s">
        <v>4567</v>
      </c>
      <c r="B2961" t="s">
        <v>4568</v>
      </c>
      <c r="C2961" s="1" t="s">
        <v>1367</v>
      </c>
      <c r="D2961" s="1" t="s">
        <v>1367</v>
      </c>
      <c r="E2961" t="s">
        <v>2132</v>
      </c>
      <c r="F2961" s="2" t="s">
        <v>1347</v>
      </c>
      <c r="G2961" t="s">
        <v>5</v>
      </c>
      <c r="H2961" s="2" t="s">
        <v>2770</v>
      </c>
      <c r="I2961" s="2">
        <v>0.15</v>
      </c>
    </row>
    <row r="2962" spans="1:10" x14ac:dyDescent="0.25">
      <c r="A2962" s="1" t="s">
        <v>4567</v>
      </c>
      <c r="B2962" t="s">
        <v>4568</v>
      </c>
      <c r="C2962" s="1" t="s">
        <v>541</v>
      </c>
      <c r="D2962" s="1" t="s">
        <v>541</v>
      </c>
      <c r="E2962" t="s">
        <v>542</v>
      </c>
      <c r="F2962" s="2" t="s">
        <v>9</v>
      </c>
      <c r="G2962" t="s">
        <v>10</v>
      </c>
      <c r="H2962" s="2" t="s">
        <v>4566</v>
      </c>
      <c r="I2962" s="2">
        <v>0.55000000000000004</v>
      </c>
    </row>
    <row r="2963" spans="1:10" x14ac:dyDescent="0.25">
      <c r="A2963" s="1" t="s">
        <v>502</v>
      </c>
      <c r="B2963" t="s">
        <v>503</v>
      </c>
      <c r="C2963" s="1" t="s">
        <v>684</v>
      </c>
      <c r="D2963" s="1" t="s">
        <v>684</v>
      </c>
      <c r="E2963" t="s">
        <v>685</v>
      </c>
      <c r="F2963" s="2" t="s">
        <v>686</v>
      </c>
      <c r="G2963" t="s">
        <v>49</v>
      </c>
      <c r="H2963" s="2" t="s">
        <v>4569</v>
      </c>
      <c r="I2963" s="2">
        <v>1.4</v>
      </c>
    </row>
    <row r="2964" spans="1:10" x14ac:dyDescent="0.25">
      <c r="A2964" s="1" t="s">
        <v>502</v>
      </c>
      <c r="B2964" t="s">
        <v>503</v>
      </c>
      <c r="C2964" s="1" t="s">
        <v>7</v>
      </c>
      <c r="D2964" s="1" t="s">
        <v>7</v>
      </c>
      <c r="E2964" t="s">
        <v>8</v>
      </c>
      <c r="F2964" s="2" t="s">
        <v>9</v>
      </c>
      <c r="G2964" t="s">
        <v>10</v>
      </c>
      <c r="H2964" s="2" t="s">
        <v>33</v>
      </c>
      <c r="I2964" s="2">
        <v>9.1999999999999993</v>
      </c>
    </row>
    <row r="2965" spans="1:10" x14ac:dyDescent="0.25">
      <c r="A2965" s="1" t="s">
        <v>4570</v>
      </c>
      <c r="B2965" t="s">
        <v>4571</v>
      </c>
      <c r="C2965" s="1" t="s">
        <v>4552</v>
      </c>
      <c r="D2965" s="1" t="s">
        <v>4552</v>
      </c>
      <c r="E2965" t="s">
        <v>4553</v>
      </c>
      <c r="F2965" s="2" t="s">
        <v>4554</v>
      </c>
      <c r="G2965" t="s">
        <v>5</v>
      </c>
      <c r="H2965" s="2" t="s">
        <v>4118</v>
      </c>
      <c r="I2965" s="2">
        <v>7.45</v>
      </c>
    </row>
    <row r="2966" spans="1:10" x14ac:dyDescent="0.25">
      <c r="A2966" s="1" t="s">
        <v>4570</v>
      </c>
      <c r="B2966" t="s">
        <v>4571</v>
      </c>
      <c r="C2966" s="1" t="s">
        <v>7</v>
      </c>
      <c r="D2966" s="1" t="s">
        <v>7</v>
      </c>
      <c r="E2966" t="s">
        <v>8</v>
      </c>
      <c r="F2966" s="2" t="s">
        <v>9</v>
      </c>
      <c r="G2966" t="s">
        <v>10</v>
      </c>
      <c r="H2966" s="2" t="s">
        <v>1791</v>
      </c>
      <c r="I2966" s="2">
        <v>2.4500000000000002</v>
      </c>
    </row>
    <row r="2967" spans="1:10" x14ac:dyDescent="0.25">
      <c r="A2967" s="1" t="s">
        <v>4572</v>
      </c>
      <c r="B2967" t="s">
        <v>4573</v>
      </c>
      <c r="C2967" s="1" t="s">
        <v>1378</v>
      </c>
      <c r="D2967" s="1" t="s">
        <v>1378</v>
      </c>
      <c r="E2967" t="s">
        <v>1379</v>
      </c>
      <c r="F2967" s="2" t="s">
        <v>1043</v>
      </c>
      <c r="G2967" t="s">
        <v>5</v>
      </c>
      <c r="H2967" s="2" t="s">
        <v>4468</v>
      </c>
      <c r="I2967" s="2">
        <v>0.2</v>
      </c>
    </row>
    <row r="2968" spans="1:10" x14ac:dyDescent="0.25">
      <c r="A2968" s="1" t="s">
        <v>4572</v>
      </c>
      <c r="B2968" t="s">
        <v>4573</v>
      </c>
      <c r="C2968" s="1" t="s">
        <v>7</v>
      </c>
      <c r="D2968" s="1" t="s">
        <v>7</v>
      </c>
      <c r="E2968" t="s">
        <v>8</v>
      </c>
      <c r="F2968" s="2" t="s">
        <v>9</v>
      </c>
      <c r="G2968" t="s">
        <v>10</v>
      </c>
      <c r="H2968" s="2" t="s">
        <v>4003</v>
      </c>
      <c r="I2968" s="2">
        <v>1.75</v>
      </c>
    </row>
    <row r="2969" spans="1:10" x14ac:dyDescent="0.25">
      <c r="A2969" s="1" t="s">
        <v>242</v>
      </c>
      <c r="B2969" t="s">
        <v>243</v>
      </c>
      <c r="C2969" s="1" t="s">
        <v>2522</v>
      </c>
      <c r="D2969" s="1" t="s">
        <v>2522</v>
      </c>
      <c r="E2969" t="s">
        <v>2523</v>
      </c>
      <c r="F2969" s="2" t="s">
        <v>1354</v>
      </c>
      <c r="G2969" t="s">
        <v>5</v>
      </c>
      <c r="H2969" s="2" t="s">
        <v>3749</v>
      </c>
      <c r="I2969" s="2">
        <v>0.7</v>
      </c>
    </row>
    <row r="2970" spans="1:10" x14ac:dyDescent="0.25">
      <c r="A2970" s="1" t="s">
        <v>242</v>
      </c>
      <c r="B2970" t="s">
        <v>243</v>
      </c>
      <c r="C2970" s="1" t="s">
        <v>7</v>
      </c>
      <c r="D2970" s="1" t="s">
        <v>7</v>
      </c>
      <c r="E2970" t="s">
        <v>8</v>
      </c>
      <c r="F2970" s="2" t="s">
        <v>9</v>
      </c>
      <c r="G2970" t="s">
        <v>10</v>
      </c>
      <c r="H2970" s="2" t="s">
        <v>2518</v>
      </c>
      <c r="I2970" s="2">
        <v>2.4</v>
      </c>
    </row>
    <row r="2971" spans="1:10" x14ac:dyDescent="0.25">
      <c r="A2971" s="1" t="s">
        <v>4574</v>
      </c>
      <c r="B2971" t="s">
        <v>4575</v>
      </c>
      <c r="C2971" s="1" t="s">
        <v>4576</v>
      </c>
      <c r="D2971" s="1" t="s">
        <v>4576</v>
      </c>
      <c r="E2971" t="s">
        <v>4577</v>
      </c>
      <c r="F2971" s="2" t="s">
        <v>4578</v>
      </c>
      <c r="G2971" t="s">
        <v>49</v>
      </c>
      <c r="H2971" s="2" t="s">
        <v>50</v>
      </c>
      <c r="I2971" s="2">
        <v>133.30000000000001</v>
      </c>
    </row>
    <row r="2972" spans="1:10" x14ac:dyDescent="0.25">
      <c r="A2972" s="1" t="s">
        <v>4574</v>
      </c>
      <c r="B2972" t="s">
        <v>4575</v>
      </c>
      <c r="C2972" s="1" t="s">
        <v>4579</v>
      </c>
      <c r="D2972" s="1" t="s">
        <v>4579</v>
      </c>
      <c r="E2972" t="s">
        <v>4580</v>
      </c>
      <c r="F2972" s="2" t="s">
        <v>4578</v>
      </c>
      <c r="G2972" t="s">
        <v>49</v>
      </c>
      <c r="H2972" s="2" t="s">
        <v>50</v>
      </c>
      <c r="I2972" s="2">
        <v>133.30000000000001</v>
      </c>
    </row>
    <row r="2973" spans="1:10" x14ac:dyDescent="0.25">
      <c r="A2973" s="1" t="s">
        <v>4574</v>
      </c>
      <c r="B2973" t="s">
        <v>4575</v>
      </c>
      <c r="C2973" s="1" t="s">
        <v>4581</v>
      </c>
      <c r="D2973" s="1" t="s">
        <v>4581</v>
      </c>
      <c r="E2973" t="s">
        <v>4582</v>
      </c>
      <c r="F2973" s="2" t="s">
        <v>4583</v>
      </c>
      <c r="G2973" t="s">
        <v>49</v>
      </c>
      <c r="H2973" s="2" t="s">
        <v>50</v>
      </c>
      <c r="I2973" s="2">
        <v>62</v>
      </c>
    </row>
    <row r="2974" spans="1:10" x14ac:dyDescent="0.25">
      <c r="A2974" s="1" t="s">
        <v>4574</v>
      </c>
      <c r="B2974" t="s">
        <v>4575</v>
      </c>
      <c r="C2974" s="1" t="s">
        <v>4584</v>
      </c>
      <c r="D2974" s="1" t="s">
        <v>4584</v>
      </c>
      <c r="E2974" t="s">
        <v>4585</v>
      </c>
      <c r="F2974" s="2" t="s">
        <v>4586</v>
      </c>
      <c r="G2974" t="s">
        <v>49</v>
      </c>
      <c r="H2974" s="2" t="s">
        <v>50</v>
      </c>
      <c r="I2974" s="2">
        <v>52</v>
      </c>
    </row>
    <row r="2975" spans="1:10" x14ac:dyDescent="0.25">
      <c r="A2975" s="1" t="s">
        <v>4574</v>
      </c>
      <c r="B2975" t="s">
        <v>4575</v>
      </c>
      <c r="C2975" s="1" t="s">
        <v>4587</v>
      </c>
      <c r="D2975" s="1" t="s">
        <v>4587</v>
      </c>
      <c r="E2975" t="s">
        <v>4588</v>
      </c>
      <c r="F2975" s="2" t="s">
        <v>151</v>
      </c>
      <c r="G2975" t="s">
        <v>49</v>
      </c>
      <c r="H2975" s="2" t="s">
        <v>92</v>
      </c>
      <c r="I2975" s="2">
        <v>4</v>
      </c>
    </row>
    <row r="2976" spans="1:10" x14ac:dyDescent="0.25">
      <c r="A2976" s="1" t="s">
        <v>4574</v>
      </c>
      <c r="B2976" t="s">
        <v>4575</v>
      </c>
      <c r="C2976" s="1" t="s">
        <v>4589</v>
      </c>
      <c r="D2976" s="1" t="s">
        <v>4589</v>
      </c>
      <c r="E2976" t="s">
        <v>4590</v>
      </c>
      <c r="F2976" s="2" t="s">
        <v>4591</v>
      </c>
      <c r="G2976" t="s">
        <v>49</v>
      </c>
      <c r="H2976" s="2" t="s">
        <v>50</v>
      </c>
      <c r="I2976" s="2">
        <v>68.73</v>
      </c>
      <c r="J2976" t="s">
        <v>55</v>
      </c>
    </row>
    <row r="2977" spans="1:10" x14ac:dyDescent="0.25">
      <c r="A2977" s="1" t="s">
        <v>4574</v>
      </c>
      <c r="B2977" t="s">
        <v>4575</v>
      </c>
      <c r="C2977" s="1" t="s">
        <v>4592</v>
      </c>
      <c r="D2977" s="1" t="s">
        <v>2507</v>
      </c>
      <c r="E2977" t="s">
        <v>2508</v>
      </c>
      <c r="F2977" s="2" t="s">
        <v>4593</v>
      </c>
      <c r="G2977" t="s">
        <v>121</v>
      </c>
      <c r="H2977" s="2" t="s">
        <v>50</v>
      </c>
      <c r="I2977" s="2">
        <v>22.55</v>
      </c>
      <c r="J2977" t="s">
        <v>51</v>
      </c>
    </row>
    <row r="2978" spans="1:10" x14ac:dyDescent="0.25">
      <c r="A2978" s="1" t="s">
        <v>4574</v>
      </c>
      <c r="B2978" t="s">
        <v>4575</v>
      </c>
      <c r="C2978" s="1" t="s">
        <v>857</v>
      </c>
      <c r="D2978" s="1" t="s">
        <v>857</v>
      </c>
      <c r="E2978" t="s">
        <v>858</v>
      </c>
      <c r="F2978" s="2" t="s">
        <v>686</v>
      </c>
      <c r="G2978" t="s">
        <v>49</v>
      </c>
      <c r="H2978" s="2" t="s">
        <v>4594</v>
      </c>
      <c r="I2978" s="2">
        <v>6</v>
      </c>
    </row>
    <row r="2979" spans="1:10" x14ac:dyDescent="0.25">
      <c r="A2979" s="1" t="s">
        <v>4574</v>
      </c>
      <c r="B2979" t="s">
        <v>4575</v>
      </c>
      <c r="C2979" s="1" t="s">
        <v>7</v>
      </c>
      <c r="D2979" s="1" t="s">
        <v>7</v>
      </c>
      <c r="E2979" t="s">
        <v>8</v>
      </c>
      <c r="F2979" s="2" t="s">
        <v>9</v>
      </c>
      <c r="G2979" t="s">
        <v>10</v>
      </c>
      <c r="H2979" s="2" t="s">
        <v>1254</v>
      </c>
      <c r="I2979" s="2">
        <v>16.100000000000001</v>
      </c>
    </row>
    <row r="2980" spans="1:10" x14ac:dyDescent="0.25">
      <c r="A2980" s="1" t="s">
        <v>4574</v>
      </c>
      <c r="B2980" t="s">
        <v>4575</v>
      </c>
      <c r="C2980" s="1" t="s">
        <v>7</v>
      </c>
      <c r="D2980" s="1" t="s">
        <v>7</v>
      </c>
      <c r="E2980" t="s">
        <v>8</v>
      </c>
      <c r="F2980" s="2" t="s">
        <v>9</v>
      </c>
      <c r="G2980" t="s">
        <v>10</v>
      </c>
      <c r="H2980" s="2" t="s">
        <v>3307</v>
      </c>
      <c r="I2980" s="2">
        <v>55.2</v>
      </c>
    </row>
    <row r="2981" spans="1:10" x14ac:dyDescent="0.25">
      <c r="A2981" s="1" t="s">
        <v>4589</v>
      </c>
      <c r="B2981" t="s">
        <v>4590</v>
      </c>
      <c r="C2981" s="1" t="s">
        <v>4595</v>
      </c>
      <c r="D2981" s="1" t="s">
        <v>4595</v>
      </c>
      <c r="E2981" t="s">
        <v>4596</v>
      </c>
      <c r="F2981" s="2" t="s">
        <v>803</v>
      </c>
      <c r="G2981" t="s">
        <v>49</v>
      </c>
      <c r="H2981" s="2" t="s">
        <v>50</v>
      </c>
      <c r="I2981" s="2">
        <v>48.1</v>
      </c>
    </row>
    <row r="2982" spans="1:10" x14ac:dyDescent="0.25">
      <c r="A2982" s="1" t="s">
        <v>4589</v>
      </c>
      <c r="B2982" t="s">
        <v>4590</v>
      </c>
      <c r="C2982" s="1" t="s">
        <v>857</v>
      </c>
      <c r="D2982" s="1" t="s">
        <v>857</v>
      </c>
      <c r="E2982" t="s">
        <v>858</v>
      </c>
      <c r="F2982" s="2" t="s">
        <v>686</v>
      </c>
      <c r="G2982" t="s">
        <v>49</v>
      </c>
      <c r="H2982" s="2" t="s">
        <v>3148</v>
      </c>
      <c r="I2982" s="2">
        <v>2</v>
      </c>
    </row>
    <row r="2983" spans="1:10" x14ac:dyDescent="0.25">
      <c r="A2983" s="1" t="s">
        <v>4589</v>
      </c>
      <c r="B2983" t="s">
        <v>4590</v>
      </c>
      <c r="C2983" s="1" t="s">
        <v>541</v>
      </c>
      <c r="D2983" s="1" t="s">
        <v>541</v>
      </c>
      <c r="E2983" t="s">
        <v>542</v>
      </c>
      <c r="F2983" s="2" t="s">
        <v>9</v>
      </c>
      <c r="G2983" t="s">
        <v>10</v>
      </c>
      <c r="H2983" s="2" t="s">
        <v>992</v>
      </c>
      <c r="I2983" s="2">
        <v>13.8</v>
      </c>
    </row>
    <row r="2984" spans="1:10" x14ac:dyDescent="0.25">
      <c r="A2984" s="1" t="s">
        <v>4589</v>
      </c>
      <c r="B2984" t="s">
        <v>4590</v>
      </c>
      <c r="C2984" s="1" t="s">
        <v>7</v>
      </c>
      <c r="D2984" s="1" t="s">
        <v>7</v>
      </c>
      <c r="E2984" t="s">
        <v>8</v>
      </c>
      <c r="F2984" s="2" t="s">
        <v>9</v>
      </c>
      <c r="G2984" t="s">
        <v>10</v>
      </c>
      <c r="H2984" s="2" t="s">
        <v>3047</v>
      </c>
      <c r="I2984" s="2">
        <v>4.83</v>
      </c>
    </row>
    <row r="2985" spans="1:10" x14ac:dyDescent="0.25">
      <c r="A2985" s="1" t="s">
        <v>4597</v>
      </c>
      <c r="B2985" t="s">
        <v>4598</v>
      </c>
      <c r="C2985" s="1" t="s">
        <v>4599</v>
      </c>
      <c r="D2985" s="1" t="s">
        <v>4599</v>
      </c>
      <c r="E2985" t="s">
        <v>4600</v>
      </c>
      <c r="F2985" s="2" t="s">
        <v>4601</v>
      </c>
      <c r="G2985" t="s">
        <v>49</v>
      </c>
      <c r="H2985" s="2" t="s">
        <v>50</v>
      </c>
      <c r="I2985" s="2">
        <v>38.4</v>
      </c>
    </row>
    <row r="2986" spans="1:10" x14ac:dyDescent="0.25">
      <c r="A2986" s="1" t="s">
        <v>4597</v>
      </c>
      <c r="B2986" t="s">
        <v>4598</v>
      </c>
      <c r="C2986" s="1" t="s">
        <v>4602</v>
      </c>
      <c r="D2986" s="1" t="s">
        <v>4602</v>
      </c>
      <c r="E2986" t="s">
        <v>4603</v>
      </c>
      <c r="F2986" s="2" t="s">
        <v>4604</v>
      </c>
      <c r="G2986" t="s">
        <v>49</v>
      </c>
      <c r="H2986" s="2" t="s">
        <v>50</v>
      </c>
      <c r="I2986" s="2">
        <v>48.4</v>
      </c>
    </row>
    <row r="2987" spans="1:10" x14ac:dyDescent="0.25">
      <c r="A2987" s="1" t="s">
        <v>4597</v>
      </c>
      <c r="B2987" t="s">
        <v>4598</v>
      </c>
      <c r="C2987" s="1" t="s">
        <v>857</v>
      </c>
      <c r="D2987" s="1" t="s">
        <v>857</v>
      </c>
      <c r="E2987" t="s">
        <v>858</v>
      </c>
      <c r="F2987" s="2" t="s">
        <v>686</v>
      </c>
      <c r="G2987" t="s">
        <v>49</v>
      </c>
      <c r="H2987" s="2" t="s">
        <v>4605</v>
      </c>
      <c r="I2987" s="2">
        <v>3</v>
      </c>
    </row>
    <row r="2988" spans="1:10" x14ac:dyDescent="0.25">
      <c r="A2988" s="1" t="s">
        <v>4597</v>
      </c>
      <c r="B2988" t="s">
        <v>4598</v>
      </c>
      <c r="C2988" s="1" t="s">
        <v>7</v>
      </c>
      <c r="D2988" s="1" t="s">
        <v>7</v>
      </c>
      <c r="E2988" t="s">
        <v>8</v>
      </c>
      <c r="F2988" s="2" t="s">
        <v>9</v>
      </c>
      <c r="G2988" t="s">
        <v>10</v>
      </c>
      <c r="H2988" s="2" t="s">
        <v>1254</v>
      </c>
      <c r="I2988" s="2">
        <v>16.100000000000001</v>
      </c>
    </row>
    <row r="2989" spans="1:10" x14ac:dyDescent="0.25">
      <c r="A2989" s="1" t="s">
        <v>4597</v>
      </c>
      <c r="B2989" t="s">
        <v>4598</v>
      </c>
      <c r="C2989" s="1" t="s">
        <v>7</v>
      </c>
      <c r="D2989" s="1" t="s">
        <v>7</v>
      </c>
      <c r="E2989" t="s">
        <v>8</v>
      </c>
      <c r="F2989" s="2" t="s">
        <v>9</v>
      </c>
      <c r="G2989" t="s">
        <v>10</v>
      </c>
      <c r="H2989" s="2" t="s">
        <v>2330</v>
      </c>
      <c r="I2989" s="2">
        <v>25.3</v>
      </c>
    </row>
    <row r="2990" spans="1:10" x14ac:dyDescent="0.25">
      <c r="A2990" s="1" t="s">
        <v>4606</v>
      </c>
      <c r="B2990" t="s">
        <v>4607</v>
      </c>
      <c r="C2990" s="1" t="s">
        <v>4608</v>
      </c>
      <c r="D2990" s="1" t="s">
        <v>4608</v>
      </c>
      <c r="E2990" t="s">
        <v>4609</v>
      </c>
      <c r="F2990" s="2" t="s">
        <v>83</v>
      </c>
      <c r="G2990" t="s">
        <v>5</v>
      </c>
      <c r="H2990" s="2" t="s">
        <v>4610</v>
      </c>
      <c r="I2990" s="2">
        <v>8.4</v>
      </c>
    </row>
    <row r="2991" spans="1:10" x14ac:dyDescent="0.25">
      <c r="A2991" s="1" t="s">
        <v>4606</v>
      </c>
      <c r="B2991" t="s">
        <v>4607</v>
      </c>
      <c r="C2991" s="1" t="s">
        <v>7</v>
      </c>
      <c r="D2991" s="1" t="s">
        <v>7</v>
      </c>
      <c r="E2991" t="s">
        <v>8</v>
      </c>
      <c r="F2991" s="2" t="s">
        <v>9</v>
      </c>
      <c r="G2991" t="s">
        <v>10</v>
      </c>
      <c r="H2991" s="2" t="s">
        <v>4611</v>
      </c>
      <c r="I2991" s="2">
        <v>10.14</v>
      </c>
    </row>
    <row r="2992" spans="1:10" x14ac:dyDescent="0.25">
      <c r="A2992" s="1" t="s">
        <v>4612</v>
      </c>
      <c r="B2992" t="s">
        <v>4613</v>
      </c>
      <c r="C2992" s="1" t="s">
        <v>1378</v>
      </c>
      <c r="D2992" s="1" t="s">
        <v>1378</v>
      </c>
      <c r="E2992" t="s">
        <v>1379</v>
      </c>
      <c r="F2992" s="2" t="s">
        <v>1043</v>
      </c>
      <c r="G2992" t="s">
        <v>5</v>
      </c>
      <c r="H2992" s="2" t="s">
        <v>3056</v>
      </c>
      <c r="I2992" s="2">
        <v>0.19</v>
      </c>
    </row>
    <row r="2993" spans="1:9" x14ac:dyDescent="0.25">
      <c r="A2993" s="1" t="s">
        <v>4612</v>
      </c>
      <c r="B2993" t="s">
        <v>4613</v>
      </c>
      <c r="C2993" s="1" t="s">
        <v>541</v>
      </c>
      <c r="D2993" s="1" t="s">
        <v>541</v>
      </c>
      <c r="E2993" t="s">
        <v>542</v>
      </c>
      <c r="F2993" s="2" t="s">
        <v>9</v>
      </c>
      <c r="G2993" t="s">
        <v>10</v>
      </c>
      <c r="H2993" s="2" t="s">
        <v>4614</v>
      </c>
      <c r="I2993" s="2">
        <v>1.01</v>
      </c>
    </row>
    <row r="2994" spans="1:9" x14ac:dyDescent="0.25">
      <c r="A2994" s="1" t="s">
        <v>4615</v>
      </c>
      <c r="B2994" t="s">
        <v>4616</v>
      </c>
      <c r="C2994" s="1" t="s">
        <v>895</v>
      </c>
      <c r="D2994" s="1" t="s">
        <v>895</v>
      </c>
      <c r="E2994" t="s">
        <v>896</v>
      </c>
      <c r="F2994" s="2" t="s">
        <v>897</v>
      </c>
      <c r="G2994" t="s">
        <v>39</v>
      </c>
      <c r="H2994" s="2" t="s">
        <v>25</v>
      </c>
      <c r="I2994" s="2">
        <v>0.56999999999999995</v>
      </c>
    </row>
    <row r="2995" spans="1:9" x14ac:dyDescent="0.25">
      <c r="A2995" s="1" t="s">
        <v>4615</v>
      </c>
      <c r="B2995" t="s">
        <v>4616</v>
      </c>
      <c r="C2995" s="1" t="s">
        <v>898</v>
      </c>
      <c r="D2995" s="1" t="s">
        <v>898</v>
      </c>
      <c r="E2995" t="s">
        <v>899</v>
      </c>
      <c r="F2995" s="2" t="s">
        <v>866</v>
      </c>
      <c r="G2995" t="s">
        <v>39</v>
      </c>
      <c r="H2995" s="2" t="s">
        <v>25</v>
      </c>
      <c r="I2995" s="2">
        <v>0.18</v>
      </c>
    </row>
    <row r="2996" spans="1:9" x14ac:dyDescent="0.25">
      <c r="A2996" s="1" t="s">
        <v>4615</v>
      </c>
      <c r="B2996" t="s">
        <v>4616</v>
      </c>
      <c r="C2996" s="1" t="s">
        <v>4617</v>
      </c>
      <c r="D2996" s="1" t="s">
        <v>4617</v>
      </c>
      <c r="E2996" t="s">
        <v>2344</v>
      </c>
      <c r="F2996" s="2" t="s">
        <v>2345</v>
      </c>
      <c r="G2996" t="s">
        <v>39</v>
      </c>
      <c r="H2996" s="2" t="s">
        <v>1236</v>
      </c>
      <c r="I2996" s="2">
        <v>0.57999999999999996</v>
      </c>
    </row>
    <row r="2997" spans="1:9" x14ac:dyDescent="0.25">
      <c r="A2997" s="1" t="s">
        <v>4615</v>
      </c>
      <c r="B2997" t="s">
        <v>4616</v>
      </c>
      <c r="C2997" s="1" t="s">
        <v>867</v>
      </c>
      <c r="D2997" s="1" t="s">
        <v>867</v>
      </c>
      <c r="E2997" t="s">
        <v>4618</v>
      </c>
      <c r="F2997" s="2" t="s">
        <v>4619</v>
      </c>
      <c r="G2997" t="s">
        <v>39</v>
      </c>
      <c r="H2997" s="2" t="s">
        <v>25</v>
      </c>
      <c r="I2997" s="2">
        <v>2.7</v>
      </c>
    </row>
    <row r="2998" spans="1:9" x14ac:dyDescent="0.25">
      <c r="A2998" s="1" t="s">
        <v>4615</v>
      </c>
      <c r="B2998" t="s">
        <v>4616</v>
      </c>
      <c r="C2998" s="1" t="s">
        <v>41</v>
      </c>
      <c r="D2998" s="1" t="s">
        <v>41</v>
      </c>
      <c r="E2998" t="s">
        <v>42</v>
      </c>
      <c r="F2998" s="2" t="s">
        <v>513</v>
      </c>
      <c r="G2998" t="s">
        <v>5</v>
      </c>
      <c r="H2998" s="2" t="s">
        <v>44</v>
      </c>
      <c r="I2998" s="2">
        <v>0.01</v>
      </c>
    </row>
    <row r="2999" spans="1:9" x14ac:dyDescent="0.25">
      <c r="A2999" s="1" t="s">
        <v>4615</v>
      </c>
      <c r="B2999" t="s">
        <v>4616</v>
      </c>
      <c r="C2999" s="1" t="s">
        <v>4620</v>
      </c>
      <c r="D2999" s="1" t="s">
        <v>4620</v>
      </c>
      <c r="E2999" t="s">
        <v>4621</v>
      </c>
      <c r="F2999" s="2" t="s">
        <v>4622</v>
      </c>
      <c r="G2999" t="s">
        <v>121</v>
      </c>
      <c r="H2999" s="2" t="s">
        <v>50</v>
      </c>
      <c r="I2999" s="2">
        <v>22.6</v>
      </c>
    </row>
    <row r="3000" spans="1:9" x14ac:dyDescent="0.25">
      <c r="A3000" s="1" t="s">
        <v>4615</v>
      </c>
      <c r="B3000" t="s">
        <v>4616</v>
      </c>
      <c r="C3000" s="1" t="s">
        <v>4623</v>
      </c>
      <c r="D3000" s="1" t="s">
        <v>4623</v>
      </c>
      <c r="E3000" t="s">
        <v>4624</v>
      </c>
      <c r="F3000" s="2" t="s">
        <v>4625</v>
      </c>
      <c r="G3000" t="s">
        <v>121</v>
      </c>
      <c r="H3000" s="2" t="s">
        <v>50</v>
      </c>
      <c r="I3000" s="2">
        <v>41.6</v>
      </c>
    </row>
    <row r="3001" spans="1:9" x14ac:dyDescent="0.25">
      <c r="A3001" s="1" t="s">
        <v>4615</v>
      </c>
      <c r="B3001" t="s">
        <v>4616</v>
      </c>
      <c r="C3001" s="1" t="s">
        <v>4626</v>
      </c>
      <c r="D3001" s="1" t="s">
        <v>4626</v>
      </c>
      <c r="E3001" t="s">
        <v>4627</v>
      </c>
      <c r="F3001" s="2" t="s">
        <v>4628</v>
      </c>
      <c r="G3001" t="s">
        <v>121</v>
      </c>
      <c r="H3001" s="2" t="s">
        <v>50</v>
      </c>
      <c r="I3001" s="2">
        <v>28.6</v>
      </c>
    </row>
    <row r="3002" spans="1:9" x14ac:dyDescent="0.25">
      <c r="A3002" s="1" t="s">
        <v>4615</v>
      </c>
      <c r="B3002" t="s">
        <v>4616</v>
      </c>
      <c r="C3002" s="1" t="s">
        <v>4629</v>
      </c>
      <c r="D3002" s="1" t="s">
        <v>4629</v>
      </c>
      <c r="E3002" t="s">
        <v>4630</v>
      </c>
      <c r="F3002" s="2" t="s">
        <v>4631</v>
      </c>
      <c r="G3002" t="s">
        <v>121</v>
      </c>
      <c r="H3002" s="2" t="s">
        <v>50</v>
      </c>
      <c r="I3002" s="2">
        <v>32.6</v>
      </c>
    </row>
    <row r="3003" spans="1:9" x14ac:dyDescent="0.25">
      <c r="A3003" s="1" t="s">
        <v>4615</v>
      </c>
      <c r="B3003" t="s">
        <v>4616</v>
      </c>
      <c r="C3003" s="1" t="s">
        <v>4632</v>
      </c>
      <c r="D3003" s="1" t="s">
        <v>4632</v>
      </c>
      <c r="E3003" t="s">
        <v>4633</v>
      </c>
      <c r="F3003" s="2" t="s">
        <v>4634</v>
      </c>
      <c r="G3003" t="s">
        <v>121</v>
      </c>
      <c r="H3003" s="2" t="s">
        <v>50</v>
      </c>
      <c r="I3003" s="2">
        <v>29.9</v>
      </c>
    </row>
    <row r="3004" spans="1:9" x14ac:dyDescent="0.25">
      <c r="A3004" s="1" t="s">
        <v>4615</v>
      </c>
      <c r="B3004" t="s">
        <v>4616</v>
      </c>
      <c r="C3004" s="1" t="s">
        <v>4635</v>
      </c>
      <c r="D3004" s="1" t="s">
        <v>4635</v>
      </c>
      <c r="E3004" t="s">
        <v>4636</v>
      </c>
      <c r="F3004" s="2" t="s">
        <v>145</v>
      </c>
      <c r="G3004" t="s">
        <v>121</v>
      </c>
      <c r="H3004" s="2" t="s">
        <v>50</v>
      </c>
      <c r="I3004" s="2">
        <v>11.2</v>
      </c>
    </row>
    <row r="3005" spans="1:9" x14ac:dyDescent="0.25">
      <c r="A3005" s="1" t="s">
        <v>4615</v>
      </c>
      <c r="B3005" t="s">
        <v>4616</v>
      </c>
      <c r="C3005" s="1" t="s">
        <v>874</v>
      </c>
      <c r="D3005" s="1" t="s">
        <v>874</v>
      </c>
      <c r="E3005" t="s">
        <v>875</v>
      </c>
      <c r="F3005" s="2" t="s">
        <v>876</v>
      </c>
      <c r="G3005" t="s">
        <v>121</v>
      </c>
      <c r="H3005" s="2" t="s">
        <v>50</v>
      </c>
      <c r="I3005" s="2">
        <v>12</v>
      </c>
    </row>
    <row r="3006" spans="1:9" x14ac:dyDescent="0.25">
      <c r="A3006" s="1" t="s">
        <v>4615</v>
      </c>
      <c r="B3006" t="s">
        <v>4616</v>
      </c>
      <c r="C3006" s="1" t="s">
        <v>857</v>
      </c>
      <c r="D3006" s="1" t="s">
        <v>857</v>
      </c>
      <c r="E3006" t="s">
        <v>858</v>
      </c>
      <c r="F3006" s="2" t="s">
        <v>686</v>
      </c>
      <c r="G3006" t="s">
        <v>49</v>
      </c>
      <c r="H3006" s="2" t="s">
        <v>4637</v>
      </c>
      <c r="I3006" s="2">
        <v>20</v>
      </c>
    </row>
    <row r="3007" spans="1:9" x14ac:dyDescent="0.25">
      <c r="A3007" s="1" t="s">
        <v>4615</v>
      </c>
      <c r="B3007" t="s">
        <v>4616</v>
      </c>
      <c r="C3007" s="1" t="s">
        <v>688</v>
      </c>
      <c r="D3007" s="1" t="s">
        <v>688</v>
      </c>
      <c r="E3007" t="s">
        <v>810</v>
      </c>
      <c r="F3007" s="2" t="s">
        <v>9</v>
      </c>
      <c r="G3007" t="s">
        <v>10</v>
      </c>
      <c r="H3007" s="2" t="s">
        <v>860</v>
      </c>
      <c r="I3007" s="2">
        <v>23</v>
      </c>
    </row>
    <row r="3008" spans="1:9" x14ac:dyDescent="0.25">
      <c r="A3008" s="1" t="s">
        <v>4615</v>
      </c>
      <c r="B3008" t="s">
        <v>4616</v>
      </c>
      <c r="C3008" s="1" t="s">
        <v>7</v>
      </c>
      <c r="D3008" s="1" t="s">
        <v>7</v>
      </c>
      <c r="E3008" t="s">
        <v>8</v>
      </c>
      <c r="F3008" s="2" t="s">
        <v>9</v>
      </c>
      <c r="G3008" t="s">
        <v>10</v>
      </c>
      <c r="H3008" s="2" t="s">
        <v>4638</v>
      </c>
      <c r="I3008" s="2">
        <v>190</v>
      </c>
    </row>
    <row r="3009" spans="1:9" x14ac:dyDescent="0.25">
      <c r="A3009" s="1" t="s">
        <v>2385</v>
      </c>
      <c r="B3009" t="s">
        <v>2386</v>
      </c>
      <c r="C3009" s="1" t="s">
        <v>684</v>
      </c>
      <c r="D3009" s="1" t="s">
        <v>684</v>
      </c>
      <c r="E3009" t="s">
        <v>685</v>
      </c>
      <c r="F3009" s="2" t="s">
        <v>686</v>
      </c>
      <c r="G3009" t="s">
        <v>49</v>
      </c>
      <c r="H3009" s="2" t="s">
        <v>4639</v>
      </c>
      <c r="I3009" s="2">
        <v>100</v>
      </c>
    </row>
    <row r="3010" spans="1:9" x14ac:dyDescent="0.25">
      <c r="A3010" s="1" t="s">
        <v>2385</v>
      </c>
      <c r="B3010" t="s">
        <v>2386</v>
      </c>
      <c r="C3010" s="1" t="s">
        <v>7</v>
      </c>
      <c r="D3010" s="1" t="s">
        <v>7</v>
      </c>
      <c r="E3010" t="s">
        <v>8</v>
      </c>
      <c r="F3010" s="2" t="s">
        <v>9</v>
      </c>
      <c r="G3010" t="s">
        <v>10</v>
      </c>
      <c r="H3010" s="2" t="s">
        <v>1027</v>
      </c>
      <c r="I3010" s="2">
        <v>52.9</v>
      </c>
    </row>
    <row r="3011" spans="1:9" x14ac:dyDescent="0.25">
      <c r="A3011" s="1" t="s">
        <v>2388</v>
      </c>
      <c r="B3011" t="s">
        <v>2389</v>
      </c>
      <c r="C3011" s="1" t="s">
        <v>2703</v>
      </c>
      <c r="D3011" s="1" t="s">
        <v>2703</v>
      </c>
      <c r="E3011" t="s">
        <v>2704</v>
      </c>
      <c r="F3011" s="2" t="s">
        <v>216</v>
      </c>
      <c r="G3011" t="s">
        <v>17</v>
      </c>
      <c r="H3011" s="2" t="s">
        <v>4640</v>
      </c>
      <c r="I3011" s="2">
        <v>1</v>
      </c>
    </row>
    <row r="3012" spans="1:9" x14ac:dyDescent="0.25">
      <c r="A3012" s="1" t="s">
        <v>2388</v>
      </c>
      <c r="B3012" t="s">
        <v>2389</v>
      </c>
      <c r="C3012" s="1" t="s">
        <v>2705</v>
      </c>
      <c r="D3012" s="1" t="s">
        <v>2705</v>
      </c>
      <c r="E3012" t="s">
        <v>2706</v>
      </c>
      <c r="F3012" s="2" t="s">
        <v>2707</v>
      </c>
      <c r="G3012" t="s">
        <v>49</v>
      </c>
      <c r="H3012" s="2" t="s">
        <v>50</v>
      </c>
      <c r="I3012" s="2">
        <v>67</v>
      </c>
    </row>
    <row r="3013" spans="1:9" x14ac:dyDescent="0.25">
      <c r="A3013" s="1" t="s">
        <v>2388</v>
      </c>
      <c r="B3013" t="s">
        <v>2389</v>
      </c>
      <c r="C3013" s="1" t="s">
        <v>7</v>
      </c>
      <c r="D3013" s="1" t="s">
        <v>7</v>
      </c>
      <c r="E3013" t="s">
        <v>8</v>
      </c>
      <c r="F3013" s="2" t="s">
        <v>9</v>
      </c>
      <c r="G3013" t="s">
        <v>10</v>
      </c>
      <c r="H3013" s="2" t="s">
        <v>344</v>
      </c>
      <c r="I3013" s="2">
        <v>5.5</v>
      </c>
    </row>
    <row r="3014" spans="1:9" x14ac:dyDescent="0.25">
      <c r="A3014" s="1" t="s">
        <v>2391</v>
      </c>
      <c r="B3014" t="s">
        <v>2392</v>
      </c>
      <c r="C3014" s="1" t="s">
        <v>4641</v>
      </c>
      <c r="D3014" s="1" t="s">
        <v>4641</v>
      </c>
      <c r="E3014" t="s">
        <v>4642</v>
      </c>
      <c r="F3014" s="2" t="s">
        <v>4643</v>
      </c>
      <c r="G3014" t="s">
        <v>39</v>
      </c>
      <c r="H3014" s="2" t="s">
        <v>40</v>
      </c>
      <c r="I3014" s="2">
        <v>0.12</v>
      </c>
    </row>
    <row r="3015" spans="1:9" x14ac:dyDescent="0.25">
      <c r="A3015" s="1" t="s">
        <v>2391</v>
      </c>
      <c r="B3015" t="s">
        <v>2392</v>
      </c>
      <c r="C3015" s="1" t="s">
        <v>2688</v>
      </c>
      <c r="D3015" s="1" t="s">
        <v>2688</v>
      </c>
      <c r="E3015" t="s">
        <v>2689</v>
      </c>
      <c r="F3015" s="2" t="s">
        <v>2690</v>
      </c>
      <c r="G3015" t="s">
        <v>39</v>
      </c>
      <c r="H3015" s="2" t="s">
        <v>447</v>
      </c>
      <c r="I3015" s="2">
        <v>0.33</v>
      </c>
    </row>
    <row r="3016" spans="1:9" x14ac:dyDescent="0.25">
      <c r="A3016" s="1" t="s">
        <v>2391</v>
      </c>
      <c r="B3016" t="s">
        <v>2392</v>
      </c>
      <c r="C3016" s="1" t="s">
        <v>649</v>
      </c>
      <c r="D3016" s="1" t="s">
        <v>649</v>
      </c>
      <c r="E3016" t="s">
        <v>650</v>
      </c>
      <c r="F3016" s="2" t="s">
        <v>2303</v>
      </c>
      <c r="G3016" t="s">
        <v>39</v>
      </c>
      <c r="H3016" s="2" t="s">
        <v>40</v>
      </c>
      <c r="I3016" s="2">
        <v>0.09</v>
      </c>
    </row>
    <row r="3017" spans="1:9" x14ac:dyDescent="0.25">
      <c r="A3017" s="1" t="s">
        <v>2391</v>
      </c>
      <c r="B3017" t="s">
        <v>2392</v>
      </c>
      <c r="C3017" s="1" t="s">
        <v>2691</v>
      </c>
      <c r="D3017" s="1" t="s">
        <v>2691</v>
      </c>
      <c r="E3017" t="s">
        <v>2692</v>
      </c>
      <c r="F3017" s="2" t="s">
        <v>2916</v>
      </c>
      <c r="G3017" t="s">
        <v>1965</v>
      </c>
      <c r="H3017" s="2" t="s">
        <v>40</v>
      </c>
      <c r="I3017" s="2">
        <v>0.03</v>
      </c>
    </row>
    <row r="3018" spans="1:9" x14ac:dyDescent="0.25">
      <c r="A3018" s="1" t="s">
        <v>2391</v>
      </c>
      <c r="B3018" t="s">
        <v>2392</v>
      </c>
      <c r="C3018" s="1" t="s">
        <v>2694</v>
      </c>
      <c r="D3018" s="1" t="s">
        <v>2694</v>
      </c>
      <c r="E3018" t="s">
        <v>2695</v>
      </c>
      <c r="F3018" s="2" t="s">
        <v>2112</v>
      </c>
      <c r="G3018" t="s">
        <v>39</v>
      </c>
      <c r="H3018" s="2" t="s">
        <v>40</v>
      </c>
      <c r="I3018" s="2">
        <v>0.16</v>
      </c>
    </row>
    <row r="3019" spans="1:9" x14ac:dyDescent="0.25">
      <c r="A3019" s="1" t="s">
        <v>2391</v>
      </c>
      <c r="B3019" t="s">
        <v>2392</v>
      </c>
      <c r="C3019" s="1" t="s">
        <v>2343</v>
      </c>
      <c r="D3019" s="1" t="s">
        <v>2343</v>
      </c>
      <c r="E3019" t="s">
        <v>2344</v>
      </c>
      <c r="F3019" s="2" t="s">
        <v>2345</v>
      </c>
      <c r="G3019" t="s">
        <v>39</v>
      </c>
      <c r="H3019" s="2" t="s">
        <v>40</v>
      </c>
      <c r="I3019" s="2">
        <v>0.05</v>
      </c>
    </row>
    <row r="3020" spans="1:9" x14ac:dyDescent="0.25">
      <c r="A3020" s="1" t="s">
        <v>2391</v>
      </c>
      <c r="B3020" t="s">
        <v>2392</v>
      </c>
      <c r="C3020" s="1" t="s">
        <v>2375</v>
      </c>
      <c r="D3020" s="1" t="s">
        <v>2375</v>
      </c>
      <c r="E3020" t="s">
        <v>2376</v>
      </c>
      <c r="F3020" s="2" t="s">
        <v>2377</v>
      </c>
      <c r="G3020" t="s">
        <v>2378</v>
      </c>
      <c r="H3020" s="2" t="s">
        <v>2838</v>
      </c>
      <c r="I3020" s="2">
        <v>10.55</v>
      </c>
    </row>
    <row r="3021" spans="1:9" x14ac:dyDescent="0.25">
      <c r="A3021" s="1" t="s">
        <v>2391</v>
      </c>
      <c r="B3021" t="s">
        <v>2392</v>
      </c>
      <c r="C3021" s="1" t="s">
        <v>2917</v>
      </c>
      <c r="D3021" s="1" t="s">
        <v>2917</v>
      </c>
      <c r="E3021" t="s">
        <v>2918</v>
      </c>
      <c r="F3021" s="2" t="s">
        <v>2346</v>
      </c>
      <c r="G3021" t="s">
        <v>121</v>
      </c>
      <c r="H3021" s="2" t="s">
        <v>50</v>
      </c>
      <c r="I3021" s="2">
        <v>0.45</v>
      </c>
    </row>
    <row r="3022" spans="1:9" x14ac:dyDescent="0.25">
      <c r="A3022" s="1" t="s">
        <v>2391</v>
      </c>
      <c r="B3022" t="s">
        <v>2392</v>
      </c>
      <c r="C3022" s="1" t="s">
        <v>41</v>
      </c>
      <c r="D3022" s="1" t="s">
        <v>41</v>
      </c>
      <c r="E3022" t="s">
        <v>42</v>
      </c>
      <c r="F3022" s="2" t="s">
        <v>43</v>
      </c>
      <c r="G3022" t="s">
        <v>5</v>
      </c>
      <c r="H3022" s="2" t="s">
        <v>550</v>
      </c>
      <c r="I3022" s="2">
        <v>0.02</v>
      </c>
    </row>
    <row r="3023" spans="1:9" x14ac:dyDescent="0.25">
      <c r="A3023" s="1" t="s">
        <v>2391</v>
      </c>
      <c r="B3023" t="s">
        <v>2392</v>
      </c>
      <c r="C3023" s="1" t="s">
        <v>2919</v>
      </c>
      <c r="D3023" s="1" t="s">
        <v>2919</v>
      </c>
      <c r="E3023" t="s">
        <v>2920</v>
      </c>
      <c r="F3023" s="2" t="s">
        <v>2921</v>
      </c>
      <c r="G3023" t="s">
        <v>49</v>
      </c>
      <c r="H3023" s="2" t="s">
        <v>50</v>
      </c>
      <c r="I3023" s="2">
        <v>1.9</v>
      </c>
    </row>
    <row r="3024" spans="1:9" x14ac:dyDescent="0.25">
      <c r="A3024" s="1" t="s">
        <v>2391</v>
      </c>
      <c r="B3024" t="s">
        <v>2392</v>
      </c>
      <c r="C3024" s="1" t="s">
        <v>2922</v>
      </c>
      <c r="D3024" s="1" t="s">
        <v>2922</v>
      </c>
      <c r="E3024" t="s">
        <v>2923</v>
      </c>
      <c r="F3024" s="2" t="s">
        <v>1009</v>
      </c>
      <c r="G3024" t="s">
        <v>49</v>
      </c>
      <c r="H3024" s="2" t="s">
        <v>50</v>
      </c>
      <c r="I3024" s="2">
        <v>0.25</v>
      </c>
    </row>
    <row r="3025" spans="1:10" x14ac:dyDescent="0.25">
      <c r="A3025" s="1" t="s">
        <v>2391</v>
      </c>
      <c r="B3025" t="s">
        <v>2392</v>
      </c>
      <c r="C3025" s="1" t="s">
        <v>4644</v>
      </c>
      <c r="D3025" s="1" t="s">
        <v>4644</v>
      </c>
      <c r="E3025" t="s">
        <v>4645</v>
      </c>
      <c r="F3025" s="2" t="s">
        <v>2329</v>
      </c>
      <c r="G3025" t="s">
        <v>49</v>
      </c>
      <c r="H3025" s="2" t="s">
        <v>50</v>
      </c>
      <c r="I3025" s="2">
        <v>0.6</v>
      </c>
    </row>
    <row r="3026" spans="1:10" x14ac:dyDescent="0.25">
      <c r="A3026" s="1" t="s">
        <v>2391</v>
      </c>
      <c r="B3026" t="s">
        <v>2392</v>
      </c>
      <c r="C3026" s="1" t="s">
        <v>2055</v>
      </c>
      <c r="D3026" s="1" t="s">
        <v>2056</v>
      </c>
      <c r="E3026" t="s">
        <v>2057</v>
      </c>
      <c r="F3026" s="2" t="s">
        <v>2058</v>
      </c>
      <c r="G3026" t="s">
        <v>49</v>
      </c>
      <c r="H3026" s="2" t="s">
        <v>50</v>
      </c>
      <c r="I3026" s="2">
        <v>4.3499999999999996</v>
      </c>
      <c r="J3026" t="s">
        <v>51</v>
      </c>
    </row>
    <row r="3027" spans="1:10" x14ac:dyDescent="0.25">
      <c r="A3027" s="1" t="s">
        <v>2391</v>
      </c>
      <c r="B3027" t="s">
        <v>2392</v>
      </c>
      <c r="C3027" s="1" t="s">
        <v>2059</v>
      </c>
      <c r="D3027" s="1" t="s">
        <v>2060</v>
      </c>
      <c r="E3027" t="s">
        <v>2061</v>
      </c>
      <c r="F3027" s="2" t="s">
        <v>2062</v>
      </c>
      <c r="G3027" t="s">
        <v>49</v>
      </c>
      <c r="H3027" s="2" t="s">
        <v>50</v>
      </c>
      <c r="I3027" s="2">
        <v>17.149999999999999</v>
      </c>
      <c r="J3027" t="s">
        <v>51</v>
      </c>
    </row>
    <row r="3028" spans="1:10" x14ac:dyDescent="0.25">
      <c r="A3028" s="1" t="s">
        <v>2391</v>
      </c>
      <c r="B3028" t="s">
        <v>2392</v>
      </c>
      <c r="C3028" s="1" t="s">
        <v>7</v>
      </c>
      <c r="D3028" s="1" t="s">
        <v>7</v>
      </c>
      <c r="E3028" t="s">
        <v>8</v>
      </c>
      <c r="F3028" s="2" t="s">
        <v>9</v>
      </c>
      <c r="G3028" t="s">
        <v>10</v>
      </c>
      <c r="H3028" s="2" t="s">
        <v>4283</v>
      </c>
      <c r="I3028" s="2">
        <v>39.1</v>
      </c>
    </row>
    <row r="3029" spans="1:10" x14ac:dyDescent="0.25">
      <c r="A3029" s="1" t="s">
        <v>2394</v>
      </c>
      <c r="B3029" t="s">
        <v>2395</v>
      </c>
      <c r="C3029" s="1" t="s">
        <v>1345</v>
      </c>
      <c r="D3029" s="1" t="s">
        <v>1345</v>
      </c>
      <c r="E3029" t="s">
        <v>1346</v>
      </c>
      <c r="F3029" s="2" t="s">
        <v>1347</v>
      </c>
      <c r="G3029" t="s">
        <v>5</v>
      </c>
      <c r="H3029" s="2" t="s">
        <v>4646</v>
      </c>
      <c r="I3029" s="2">
        <v>0.72</v>
      </c>
    </row>
    <row r="3030" spans="1:10" x14ac:dyDescent="0.25">
      <c r="A3030" s="1" t="s">
        <v>2394</v>
      </c>
      <c r="B3030" t="s">
        <v>2395</v>
      </c>
      <c r="C3030" s="1" t="s">
        <v>7</v>
      </c>
      <c r="D3030" s="1" t="s">
        <v>7</v>
      </c>
      <c r="E3030" t="s">
        <v>8</v>
      </c>
      <c r="F3030" s="2" t="s">
        <v>9</v>
      </c>
      <c r="G3030" t="s">
        <v>10</v>
      </c>
      <c r="H3030" s="2" t="s">
        <v>478</v>
      </c>
      <c r="I3030" s="2">
        <v>3.68</v>
      </c>
    </row>
    <row r="3031" spans="1:10" x14ac:dyDescent="0.25">
      <c r="A3031" s="1" t="s">
        <v>4647</v>
      </c>
      <c r="B3031" t="s">
        <v>4648</v>
      </c>
      <c r="C3031" s="1" t="s">
        <v>4649</v>
      </c>
      <c r="D3031" s="1" t="s">
        <v>4649</v>
      </c>
      <c r="E3031" t="s">
        <v>4650</v>
      </c>
      <c r="F3031" s="2" t="s">
        <v>1929</v>
      </c>
      <c r="G3031" t="s">
        <v>17</v>
      </c>
      <c r="H3031" s="2" t="s">
        <v>33</v>
      </c>
      <c r="I3031" s="2">
        <v>2.14</v>
      </c>
    </row>
    <row r="3032" spans="1:10" x14ac:dyDescent="0.25">
      <c r="A3032" s="1" t="s">
        <v>4647</v>
      </c>
      <c r="B3032" t="s">
        <v>4648</v>
      </c>
      <c r="C3032" s="1" t="s">
        <v>4651</v>
      </c>
      <c r="D3032" s="1" t="s">
        <v>4651</v>
      </c>
      <c r="E3032" t="s">
        <v>4652</v>
      </c>
      <c r="F3032" s="2" t="s">
        <v>887</v>
      </c>
      <c r="G3032" t="s">
        <v>39</v>
      </c>
      <c r="H3032" s="2" t="s">
        <v>40</v>
      </c>
      <c r="I3032" s="2">
        <v>0.28000000000000003</v>
      </c>
    </row>
    <row r="3033" spans="1:10" x14ac:dyDescent="0.25">
      <c r="A3033" s="1" t="s">
        <v>4647</v>
      </c>
      <c r="B3033" t="s">
        <v>4648</v>
      </c>
      <c r="C3033" s="1" t="s">
        <v>479</v>
      </c>
      <c r="D3033" s="1" t="s">
        <v>479</v>
      </c>
      <c r="E3033" t="s">
        <v>480</v>
      </c>
      <c r="F3033" s="2" t="s">
        <v>626</v>
      </c>
      <c r="G3033" t="s">
        <v>5</v>
      </c>
      <c r="H3033" s="2" t="s">
        <v>4653</v>
      </c>
      <c r="I3033" s="2">
        <v>0.03</v>
      </c>
    </row>
    <row r="3034" spans="1:10" x14ac:dyDescent="0.25">
      <c r="A3034" s="1" t="s">
        <v>4647</v>
      </c>
      <c r="B3034" t="s">
        <v>4648</v>
      </c>
      <c r="C3034" s="1" t="s">
        <v>4654</v>
      </c>
      <c r="D3034" s="1" t="s">
        <v>4654</v>
      </c>
      <c r="E3034" t="s">
        <v>4655</v>
      </c>
      <c r="F3034" s="2" t="s">
        <v>1896</v>
      </c>
      <c r="G3034" t="s">
        <v>5</v>
      </c>
      <c r="H3034" s="2" t="s">
        <v>4656</v>
      </c>
      <c r="I3034" s="2">
        <v>0.85</v>
      </c>
    </row>
    <row r="3035" spans="1:10" x14ac:dyDescent="0.25">
      <c r="A3035" s="1" t="s">
        <v>4647</v>
      </c>
      <c r="B3035" t="s">
        <v>4648</v>
      </c>
      <c r="C3035" s="1" t="s">
        <v>4657</v>
      </c>
      <c r="D3035" s="1" t="s">
        <v>4657</v>
      </c>
      <c r="E3035" t="s">
        <v>4658</v>
      </c>
      <c r="F3035" s="2" t="s">
        <v>4659</v>
      </c>
      <c r="G3035" t="s">
        <v>49</v>
      </c>
      <c r="H3035" s="2" t="s">
        <v>4660</v>
      </c>
      <c r="I3035" s="2">
        <v>6.8</v>
      </c>
    </row>
    <row r="3036" spans="1:10" x14ac:dyDescent="0.25">
      <c r="A3036" s="1" t="s">
        <v>4647</v>
      </c>
      <c r="B3036" t="s">
        <v>4648</v>
      </c>
      <c r="C3036" s="1" t="s">
        <v>4661</v>
      </c>
      <c r="D3036" s="1" t="s">
        <v>4661</v>
      </c>
      <c r="E3036" t="s">
        <v>4662</v>
      </c>
      <c r="F3036" s="2" t="s">
        <v>4663</v>
      </c>
      <c r="G3036" t="s">
        <v>39</v>
      </c>
      <c r="H3036" s="2" t="s">
        <v>40</v>
      </c>
      <c r="I3036" s="2">
        <v>0.03</v>
      </c>
    </row>
    <row r="3037" spans="1:10" x14ac:dyDescent="0.25">
      <c r="A3037" s="1" t="s">
        <v>4647</v>
      </c>
      <c r="B3037" t="s">
        <v>4648</v>
      </c>
      <c r="C3037" s="1" t="s">
        <v>41</v>
      </c>
      <c r="D3037" s="1" t="s">
        <v>41</v>
      </c>
      <c r="E3037" t="s">
        <v>42</v>
      </c>
      <c r="F3037" s="2" t="s">
        <v>513</v>
      </c>
      <c r="G3037" t="s">
        <v>5</v>
      </c>
      <c r="H3037" s="2" t="s">
        <v>4664</v>
      </c>
      <c r="I3037" s="2">
        <v>0.02</v>
      </c>
    </row>
    <row r="3038" spans="1:10" x14ac:dyDescent="0.25">
      <c r="A3038" s="1" t="s">
        <v>4647</v>
      </c>
      <c r="B3038" t="s">
        <v>4648</v>
      </c>
      <c r="C3038" s="1" t="s">
        <v>4665</v>
      </c>
      <c r="D3038" s="1" t="s">
        <v>4665</v>
      </c>
      <c r="E3038" t="s">
        <v>4666</v>
      </c>
      <c r="F3038" s="2" t="s">
        <v>4667</v>
      </c>
      <c r="G3038" t="s">
        <v>49</v>
      </c>
      <c r="H3038" s="2" t="s">
        <v>50</v>
      </c>
      <c r="I3038" s="2">
        <v>1.32</v>
      </c>
    </row>
    <row r="3039" spans="1:10" x14ac:dyDescent="0.25">
      <c r="A3039" s="1" t="s">
        <v>4647</v>
      </c>
      <c r="B3039" t="s">
        <v>4648</v>
      </c>
      <c r="C3039" s="1" t="s">
        <v>4668</v>
      </c>
      <c r="D3039" s="1" t="s">
        <v>4668</v>
      </c>
      <c r="E3039" t="s">
        <v>4669</v>
      </c>
      <c r="F3039" s="2" t="s">
        <v>4670</v>
      </c>
      <c r="G3039" t="s">
        <v>49</v>
      </c>
      <c r="H3039" s="2" t="s">
        <v>50</v>
      </c>
      <c r="I3039" s="2">
        <v>28.5</v>
      </c>
    </row>
    <row r="3040" spans="1:10" x14ac:dyDescent="0.25">
      <c r="A3040" s="1" t="s">
        <v>4647</v>
      </c>
      <c r="B3040" t="s">
        <v>4648</v>
      </c>
      <c r="C3040" s="1" t="s">
        <v>4671</v>
      </c>
      <c r="D3040" s="1" t="s">
        <v>4671</v>
      </c>
      <c r="E3040" t="s">
        <v>4672</v>
      </c>
      <c r="F3040" s="2" t="s">
        <v>884</v>
      </c>
      <c r="G3040" t="s">
        <v>49</v>
      </c>
      <c r="H3040" s="2" t="s">
        <v>50</v>
      </c>
      <c r="I3040" s="2">
        <v>24</v>
      </c>
    </row>
    <row r="3041" spans="1:10" x14ac:dyDescent="0.25">
      <c r="A3041" s="1" t="s">
        <v>4647</v>
      </c>
      <c r="B3041" t="s">
        <v>4648</v>
      </c>
      <c r="C3041" s="1" t="s">
        <v>4673</v>
      </c>
      <c r="D3041" s="1" t="s">
        <v>4673</v>
      </c>
      <c r="E3041" t="s">
        <v>4674</v>
      </c>
      <c r="F3041" s="2" t="s">
        <v>4675</v>
      </c>
      <c r="G3041" t="s">
        <v>49</v>
      </c>
      <c r="H3041" s="2" t="s">
        <v>50</v>
      </c>
      <c r="I3041" s="2">
        <v>0.44</v>
      </c>
    </row>
    <row r="3042" spans="1:10" x14ac:dyDescent="0.25">
      <c r="A3042" s="1" t="s">
        <v>4647</v>
      </c>
      <c r="B3042" t="s">
        <v>4648</v>
      </c>
      <c r="C3042" s="1" t="s">
        <v>541</v>
      </c>
      <c r="D3042" s="1" t="s">
        <v>541</v>
      </c>
      <c r="E3042" t="s">
        <v>542</v>
      </c>
      <c r="F3042" s="2" t="s">
        <v>9</v>
      </c>
      <c r="G3042" t="s">
        <v>10</v>
      </c>
      <c r="H3042" s="2" t="s">
        <v>4676</v>
      </c>
      <c r="I3042" s="2">
        <v>21.64</v>
      </c>
    </row>
    <row r="3043" spans="1:10" x14ac:dyDescent="0.25">
      <c r="A3043" s="1" t="s">
        <v>4677</v>
      </c>
      <c r="B3043" t="s">
        <v>4678</v>
      </c>
      <c r="C3043" s="1" t="s">
        <v>4679</v>
      </c>
      <c r="D3043" s="1" t="s">
        <v>4679</v>
      </c>
      <c r="E3043" t="s">
        <v>4680</v>
      </c>
      <c r="F3043" s="2" t="s">
        <v>4681</v>
      </c>
      <c r="G3043" t="s">
        <v>5</v>
      </c>
      <c r="H3043" s="2" t="s">
        <v>4682</v>
      </c>
      <c r="I3043" s="2">
        <v>2.97</v>
      </c>
    </row>
    <row r="3044" spans="1:10" x14ac:dyDescent="0.25">
      <c r="A3044" s="1" t="s">
        <v>4677</v>
      </c>
      <c r="B3044" t="s">
        <v>4678</v>
      </c>
      <c r="C3044" s="1" t="s">
        <v>4683</v>
      </c>
      <c r="D3044" s="1" t="s">
        <v>4683</v>
      </c>
      <c r="E3044" t="s">
        <v>4684</v>
      </c>
      <c r="F3044" s="2" t="s">
        <v>3300</v>
      </c>
      <c r="G3044" t="s">
        <v>121</v>
      </c>
      <c r="H3044" s="2" t="s">
        <v>92</v>
      </c>
      <c r="I3044" s="2">
        <v>1.5</v>
      </c>
    </row>
    <row r="3045" spans="1:10" x14ac:dyDescent="0.25">
      <c r="A3045" s="1" t="s">
        <v>4677</v>
      </c>
      <c r="B3045" t="s">
        <v>4678</v>
      </c>
      <c r="C3045" s="1" t="s">
        <v>4685</v>
      </c>
      <c r="D3045" s="1" t="s">
        <v>4685</v>
      </c>
      <c r="E3045" t="s">
        <v>4686</v>
      </c>
      <c r="F3045" s="2" t="s">
        <v>4687</v>
      </c>
      <c r="G3045" t="s">
        <v>49</v>
      </c>
      <c r="H3045" s="2" t="s">
        <v>50</v>
      </c>
      <c r="I3045" s="2">
        <v>10.4</v>
      </c>
    </row>
    <row r="3046" spans="1:10" x14ac:dyDescent="0.25">
      <c r="A3046" s="1" t="s">
        <v>4677</v>
      </c>
      <c r="B3046" t="s">
        <v>4678</v>
      </c>
      <c r="C3046" s="1" t="s">
        <v>857</v>
      </c>
      <c r="D3046" s="1" t="s">
        <v>857</v>
      </c>
      <c r="E3046" t="s">
        <v>858</v>
      </c>
      <c r="F3046" s="2" t="s">
        <v>686</v>
      </c>
      <c r="G3046" t="s">
        <v>49</v>
      </c>
      <c r="H3046" s="2" t="s">
        <v>4688</v>
      </c>
      <c r="I3046" s="2">
        <v>2.0499999999999998</v>
      </c>
    </row>
    <row r="3047" spans="1:10" x14ac:dyDescent="0.25">
      <c r="A3047" s="1" t="s">
        <v>4677</v>
      </c>
      <c r="B3047" t="s">
        <v>4678</v>
      </c>
      <c r="C3047" s="1" t="s">
        <v>1989</v>
      </c>
      <c r="D3047" s="1" t="s">
        <v>1989</v>
      </c>
      <c r="E3047" t="s">
        <v>1990</v>
      </c>
      <c r="F3047" s="2" t="s">
        <v>1991</v>
      </c>
      <c r="G3047" t="s">
        <v>435</v>
      </c>
      <c r="H3047" s="2" t="s">
        <v>4689</v>
      </c>
      <c r="I3047" s="2">
        <v>1.9</v>
      </c>
    </row>
    <row r="3048" spans="1:10" x14ac:dyDescent="0.25">
      <c r="A3048" s="1" t="s">
        <v>4677</v>
      </c>
      <c r="B3048" t="s">
        <v>4678</v>
      </c>
      <c r="C3048" s="1" t="s">
        <v>541</v>
      </c>
      <c r="D3048" s="1" t="s">
        <v>541</v>
      </c>
      <c r="E3048" t="s">
        <v>542</v>
      </c>
      <c r="F3048" s="2" t="s">
        <v>9</v>
      </c>
      <c r="G3048" t="s">
        <v>10</v>
      </c>
      <c r="H3048" s="2" t="s">
        <v>601</v>
      </c>
      <c r="I3048" s="2">
        <v>6.9</v>
      </c>
    </row>
    <row r="3049" spans="1:10" x14ac:dyDescent="0.25">
      <c r="A3049" s="1" t="s">
        <v>4690</v>
      </c>
      <c r="B3049" t="s">
        <v>4691</v>
      </c>
      <c r="C3049" s="1" t="s">
        <v>4692</v>
      </c>
      <c r="D3049" s="1" t="s">
        <v>4692</v>
      </c>
      <c r="E3049" t="s">
        <v>4693</v>
      </c>
      <c r="F3049" s="2" t="s">
        <v>4694</v>
      </c>
      <c r="G3049" t="s">
        <v>49</v>
      </c>
      <c r="H3049" s="2" t="s">
        <v>50</v>
      </c>
      <c r="I3049" s="2">
        <v>1</v>
      </c>
    </row>
    <row r="3050" spans="1:10" x14ac:dyDescent="0.25">
      <c r="A3050" s="1" t="s">
        <v>4690</v>
      </c>
      <c r="B3050" t="s">
        <v>4691</v>
      </c>
      <c r="C3050" s="1" t="s">
        <v>4695</v>
      </c>
      <c r="D3050" s="1" t="s">
        <v>1226</v>
      </c>
      <c r="E3050" t="s">
        <v>1227</v>
      </c>
      <c r="F3050" s="2" t="s">
        <v>4696</v>
      </c>
      <c r="G3050" t="s">
        <v>49</v>
      </c>
      <c r="H3050" s="2" t="s">
        <v>50</v>
      </c>
      <c r="I3050" s="2">
        <v>12.05</v>
      </c>
      <c r="J3050" t="s">
        <v>51</v>
      </c>
    </row>
    <row r="3051" spans="1:10" x14ac:dyDescent="0.25">
      <c r="A3051" s="1" t="s">
        <v>4690</v>
      </c>
      <c r="B3051" t="s">
        <v>4691</v>
      </c>
      <c r="C3051" s="1" t="s">
        <v>432</v>
      </c>
      <c r="D3051" s="1" t="s">
        <v>432</v>
      </c>
      <c r="E3051" t="s">
        <v>433</v>
      </c>
      <c r="F3051" s="2" t="s">
        <v>434</v>
      </c>
      <c r="G3051" t="s">
        <v>435</v>
      </c>
      <c r="H3051" s="2" t="s">
        <v>4697</v>
      </c>
      <c r="I3051" s="2">
        <v>1.57</v>
      </c>
    </row>
    <row r="3052" spans="1:10" x14ac:dyDescent="0.25">
      <c r="A3052" s="1" t="s">
        <v>4690</v>
      </c>
      <c r="B3052" t="s">
        <v>4691</v>
      </c>
      <c r="C3052" s="1" t="s">
        <v>541</v>
      </c>
      <c r="D3052" s="1" t="s">
        <v>541</v>
      </c>
      <c r="E3052" t="s">
        <v>542</v>
      </c>
      <c r="F3052" s="2" t="s">
        <v>9</v>
      </c>
      <c r="G3052" t="s">
        <v>10</v>
      </c>
      <c r="H3052" s="2" t="s">
        <v>4698</v>
      </c>
      <c r="I3052" s="2">
        <v>3.74</v>
      </c>
    </row>
    <row r="3053" spans="1:10" x14ac:dyDescent="0.25">
      <c r="A3053" s="1" t="s">
        <v>707</v>
      </c>
      <c r="B3053" t="s">
        <v>708</v>
      </c>
      <c r="C3053" s="1" t="s">
        <v>1022</v>
      </c>
      <c r="D3053" s="1" t="s">
        <v>1022</v>
      </c>
      <c r="E3053" t="s">
        <v>1023</v>
      </c>
      <c r="F3053" s="2" t="s">
        <v>1024</v>
      </c>
      <c r="G3053" t="s">
        <v>932</v>
      </c>
      <c r="H3053" s="2" t="s">
        <v>4699</v>
      </c>
      <c r="I3053" s="2">
        <v>9</v>
      </c>
    </row>
    <row r="3054" spans="1:10" x14ac:dyDescent="0.25">
      <c r="A3054" s="1" t="s">
        <v>707</v>
      </c>
      <c r="B3054" t="s">
        <v>708</v>
      </c>
      <c r="C3054" s="1" t="s">
        <v>7</v>
      </c>
      <c r="D3054" s="1" t="s">
        <v>7</v>
      </c>
      <c r="E3054" t="s">
        <v>8</v>
      </c>
      <c r="F3054" s="2" t="s">
        <v>9</v>
      </c>
      <c r="G3054" t="s">
        <v>10</v>
      </c>
      <c r="H3054" s="2" t="s">
        <v>4700</v>
      </c>
      <c r="I3054" s="2">
        <v>15.5</v>
      </c>
    </row>
    <row r="3055" spans="1:10" x14ac:dyDescent="0.25">
      <c r="A3055" s="1" t="s">
        <v>710</v>
      </c>
      <c r="B3055" t="s">
        <v>711</v>
      </c>
      <c r="C3055" s="1" t="s">
        <v>1022</v>
      </c>
      <c r="D3055" s="1" t="s">
        <v>1022</v>
      </c>
      <c r="E3055" t="s">
        <v>1023</v>
      </c>
      <c r="F3055" s="2" t="s">
        <v>1024</v>
      </c>
      <c r="G3055" t="s">
        <v>932</v>
      </c>
      <c r="H3055" s="2" t="s">
        <v>4701</v>
      </c>
      <c r="I3055" s="2">
        <v>5.2</v>
      </c>
    </row>
    <row r="3056" spans="1:10" x14ac:dyDescent="0.25">
      <c r="A3056" s="1" t="s">
        <v>710</v>
      </c>
      <c r="B3056" t="s">
        <v>711</v>
      </c>
      <c r="C3056" s="1" t="s">
        <v>7</v>
      </c>
      <c r="D3056" s="1" t="s">
        <v>7</v>
      </c>
      <c r="E3056" t="s">
        <v>1031</v>
      </c>
      <c r="F3056" s="2" t="s">
        <v>9</v>
      </c>
      <c r="G3056" t="s">
        <v>10</v>
      </c>
      <c r="H3056" s="2" t="s">
        <v>4702</v>
      </c>
      <c r="I3056" s="2">
        <v>19.8</v>
      </c>
    </row>
    <row r="3057" spans="1:9" x14ac:dyDescent="0.25">
      <c r="A3057" s="1" t="s">
        <v>729</v>
      </c>
      <c r="B3057" t="s">
        <v>730</v>
      </c>
      <c r="C3057" s="1" t="s">
        <v>1022</v>
      </c>
      <c r="D3057" s="1" t="s">
        <v>1022</v>
      </c>
      <c r="E3057" t="s">
        <v>1023</v>
      </c>
      <c r="F3057" s="2" t="s">
        <v>1024</v>
      </c>
      <c r="G3057" t="s">
        <v>932</v>
      </c>
      <c r="H3057" s="2" t="s">
        <v>4703</v>
      </c>
      <c r="I3057" s="2">
        <v>15.8</v>
      </c>
    </row>
    <row r="3058" spans="1:9" x14ac:dyDescent="0.25">
      <c r="A3058" s="1" t="s">
        <v>729</v>
      </c>
      <c r="B3058" t="s">
        <v>730</v>
      </c>
      <c r="C3058" s="1" t="s">
        <v>7</v>
      </c>
      <c r="D3058" s="1" t="s">
        <v>7</v>
      </c>
      <c r="E3058" t="s">
        <v>1031</v>
      </c>
      <c r="F3058" s="2" t="s">
        <v>9</v>
      </c>
      <c r="G3058" t="s">
        <v>10</v>
      </c>
      <c r="H3058" s="2" t="s">
        <v>4704</v>
      </c>
      <c r="I3058" s="2">
        <v>18.5</v>
      </c>
    </row>
    <row r="3059" spans="1:9" x14ac:dyDescent="0.25">
      <c r="A3059" s="1" t="s">
        <v>713</v>
      </c>
      <c r="B3059" t="s">
        <v>714</v>
      </c>
      <c r="C3059" s="1" t="s">
        <v>1345</v>
      </c>
      <c r="D3059" s="1" t="s">
        <v>1345</v>
      </c>
      <c r="E3059" t="s">
        <v>1346</v>
      </c>
      <c r="F3059" s="2" t="s">
        <v>1369</v>
      </c>
      <c r="G3059" t="s">
        <v>5</v>
      </c>
      <c r="H3059" s="2" t="s">
        <v>4705</v>
      </c>
      <c r="I3059" s="2">
        <v>1.35</v>
      </c>
    </row>
    <row r="3060" spans="1:9" x14ac:dyDescent="0.25">
      <c r="A3060" s="1" t="s">
        <v>713</v>
      </c>
      <c r="B3060" t="s">
        <v>714</v>
      </c>
      <c r="C3060" s="1" t="s">
        <v>7</v>
      </c>
      <c r="D3060" s="1" t="s">
        <v>7</v>
      </c>
      <c r="E3060" t="s">
        <v>8</v>
      </c>
      <c r="F3060" s="2" t="s">
        <v>9</v>
      </c>
      <c r="G3060" t="s">
        <v>10</v>
      </c>
      <c r="H3060" s="2" t="s">
        <v>1114</v>
      </c>
      <c r="I3060" s="2">
        <v>3.15</v>
      </c>
    </row>
    <row r="3061" spans="1:9" x14ac:dyDescent="0.25">
      <c r="A3061" s="1" t="s">
        <v>715</v>
      </c>
      <c r="B3061" t="s">
        <v>716</v>
      </c>
      <c r="C3061" s="1" t="s">
        <v>1345</v>
      </c>
      <c r="D3061" s="1" t="s">
        <v>1345</v>
      </c>
      <c r="E3061" t="s">
        <v>1346</v>
      </c>
      <c r="F3061" s="2" t="s">
        <v>1369</v>
      </c>
      <c r="G3061" t="s">
        <v>5</v>
      </c>
      <c r="H3061" s="2" t="s">
        <v>4705</v>
      </c>
      <c r="I3061" s="2">
        <v>1.35</v>
      </c>
    </row>
    <row r="3062" spans="1:9" x14ac:dyDescent="0.25">
      <c r="A3062" s="1" t="s">
        <v>715</v>
      </c>
      <c r="B3062" t="s">
        <v>716</v>
      </c>
      <c r="C3062" s="1" t="s">
        <v>7</v>
      </c>
      <c r="D3062" s="1" t="s">
        <v>7</v>
      </c>
      <c r="E3062" t="s">
        <v>8</v>
      </c>
      <c r="F3062" s="2" t="s">
        <v>9</v>
      </c>
      <c r="G3062" t="s">
        <v>10</v>
      </c>
      <c r="H3062" s="2" t="s">
        <v>1114</v>
      </c>
      <c r="I3062" s="2">
        <v>3.15</v>
      </c>
    </row>
    <row r="3063" spans="1:9" x14ac:dyDescent="0.25">
      <c r="A3063" s="1" t="s">
        <v>717</v>
      </c>
      <c r="B3063" t="s">
        <v>718</v>
      </c>
      <c r="C3063" s="1" t="s">
        <v>1345</v>
      </c>
      <c r="D3063" s="1" t="s">
        <v>1345</v>
      </c>
      <c r="E3063" t="s">
        <v>1346</v>
      </c>
      <c r="F3063" s="2" t="s">
        <v>1369</v>
      </c>
      <c r="G3063" t="s">
        <v>5</v>
      </c>
      <c r="H3063" s="2" t="s">
        <v>4706</v>
      </c>
      <c r="I3063" s="2">
        <v>0.7</v>
      </c>
    </row>
    <row r="3064" spans="1:9" x14ac:dyDescent="0.25">
      <c r="A3064" s="1" t="s">
        <v>717</v>
      </c>
      <c r="B3064" t="s">
        <v>718</v>
      </c>
      <c r="C3064" s="1" t="s">
        <v>7</v>
      </c>
      <c r="D3064" s="1" t="s">
        <v>7</v>
      </c>
      <c r="E3064" t="s">
        <v>8</v>
      </c>
      <c r="F3064" s="2" t="s">
        <v>9</v>
      </c>
      <c r="G3064" t="s">
        <v>10</v>
      </c>
      <c r="H3064" s="2" t="s">
        <v>1114</v>
      </c>
      <c r="I3064" s="2">
        <v>3.15</v>
      </c>
    </row>
    <row r="3065" spans="1:9" x14ac:dyDescent="0.25">
      <c r="A3065" s="1" t="s">
        <v>719</v>
      </c>
      <c r="B3065" t="s">
        <v>720</v>
      </c>
      <c r="C3065" s="1" t="s">
        <v>1022</v>
      </c>
      <c r="D3065" s="1" t="s">
        <v>1022</v>
      </c>
      <c r="E3065" t="s">
        <v>1023</v>
      </c>
      <c r="F3065" s="2" t="s">
        <v>1024</v>
      </c>
      <c r="G3065" t="s">
        <v>932</v>
      </c>
      <c r="H3065" s="2" t="s">
        <v>4707</v>
      </c>
      <c r="I3065" s="2">
        <v>10.8</v>
      </c>
    </row>
    <row r="3066" spans="1:9" x14ac:dyDescent="0.25">
      <c r="A3066" s="1" t="s">
        <v>719</v>
      </c>
      <c r="B3066" t="s">
        <v>720</v>
      </c>
      <c r="C3066" s="1" t="s">
        <v>7</v>
      </c>
      <c r="D3066" s="1" t="s">
        <v>7</v>
      </c>
      <c r="E3066" t="s">
        <v>1031</v>
      </c>
      <c r="F3066" s="2" t="s">
        <v>9</v>
      </c>
      <c r="G3066" t="s">
        <v>10</v>
      </c>
      <c r="H3066" s="2" t="s">
        <v>4708</v>
      </c>
      <c r="I3066" s="2">
        <v>17.3</v>
      </c>
    </row>
    <row r="3067" spans="1:9" x14ac:dyDescent="0.25">
      <c r="A3067" s="1" t="s">
        <v>4709</v>
      </c>
      <c r="B3067" t="s">
        <v>4710</v>
      </c>
      <c r="C3067" s="1" t="s">
        <v>4168</v>
      </c>
      <c r="D3067" s="1" t="s">
        <v>4168</v>
      </c>
      <c r="E3067" t="s">
        <v>4423</v>
      </c>
      <c r="F3067" s="2" t="s">
        <v>70</v>
      </c>
      <c r="G3067" t="s">
        <v>5</v>
      </c>
      <c r="H3067" s="2" t="s">
        <v>1141</v>
      </c>
      <c r="I3067" s="2">
        <v>0.63</v>
      </c>
    </row>
    <row r="3068" spans="1:9" x14ac:dyDescent="0.25">
      <c r="A3068" s="1" t="s">
        <v>4709</v>
      </c>
      <c r="B3068" t="s">
        <v>4710</v>
      </c>
      <c r="C3068" s="1" t="s">
        <v>432</v>
      </c>
      <c r="D3068" s="1" t="s">
        <v>432</v>
      </c>
      <c r="E3068" t="s">
        <v>433</v>
      </c>
      <c r="F3068" s="2" t="s">
        <v>434</v>
      </c>
      <c r="G3068" t="s">
        <v>435</v>
      </c>
      <c r="H3068" s="2" t="s">
        <v>50</v>
      </c>
      <c r="I3068" s="2">
        <v>1.1000000000000001</v>
      </c>
    </row>
    <row r="3069" spans="1:9" x14ac:dyDescent="0.25">
      <c r="A3069" s="1" t="s">
        <v>4709</v>
      </c>
      <c r="B3069" t="s">
        <v>4710</v>
      </c>
      <c r="C3069" s="1" t="s">
        <v>541</v>
      </c>
      <c r="D3069" s="1" t="s">
        <v>541</v>
      </c>
      <c r="E3069" t="s">
        <v>542</v>
      </c>
      <c r="F3069" s="2" t="s">
        <v>9</v>
      </c>
      <c r="G3069" t="s">
        <v>10</v>
      </c>
      <c r="H3069" s="2" t="s">
        <v>19</v>
      </c>
      <c r="I3069" s="2">
        <v>4.5999999999999996</v>
      </c>
    </row>
    <row r="3070" spans="1:9" x14ac:dyDescent="0.25">
      <c r="A3070" s="1" t="s">
        <v>4711</v>
      </c>
      <c r="B3070" t="s">
        <v>4712</v>
      </c>
      <c r="C3070" s="1" t="s">
        <v>3770</v>
      </c>
      <c r="D3070" s="1" t="s">
        <v>3770</v>
      </c>
      <c r="E3070" t="s">
        <v>3771</v>
      </c>
      <c r="F3070" s="2" t="s">
        <v>216</v>
      </c>
      <c r="G3070" t="s">
        <v>5</v>
      </c>
      <c r="H3070" s="2" t="s">
        <v>478</v>
      </c>
      <c r="I3070" s="2">
        <v>0.56000000000000005</v>
      </c>
    </row>
    <row r="3071" spans="1:9" x14ac:dyDescent="0.25">
      <c r="A3071" s="1" t="s">
        <v>4711</v>
      </c>
      <c r="B3071" t="s">
        <v>4712</v>
      </c>
      <c r="C3071" s="1" t="s">
        <v>432</v>
      </c>
      <c r="D3071" s="1" t="s">
        <v>432</v>
      </c>
      <c r="E3071" t="s">
        <v>433</v>
      </c>
      <c r="F3071" s="2" t="s">
        <v>434</v>
      </c>
      <c r="G3071" t="s">
        <v>435</v>
      </c>
      <c r="H3071" s="2" t="s">
        <v>50</v>
      </c>
      <c r="I3071" s="2">
        <v>1.1000000000000001</v>
      </c>
    </row>
    <row r="3072" spans="1:9" x14ac:dyDescent="0.25">
      <c r="A3072" s="1" t="s">
        <v>4711</v>
      </c>
      <c r="B3072" t="s">
        <v>4712</v>
      </c>
      <c r="C3072" s="1" t="s">
        <v>541</v>
      </c>
      <c r="D3072" s="1" t="s">
        <v>541</v>
      </c>
      <c r="E3072" t="s">
        <v>542</v>
      </c>
      <c r="F3072" s="2" t="s">
        <v>9</v>
      </c>
      <c r="G3072" t="s">
        <v>10</v>
      </c>
      <c r="H3072" s="2" t="s">
        <v>19</v>
      </c>
      <c r="I3072" s="2">
        <v>4.5999999999999996</v>
      </c>
    </row>
    <row r="3073" spans="1:9" x14ac:dyDescent="0.25">
      <c r="A3073" s="1" t="s">
        <v>745</v>
      </c>
      <c r="B3073" t="s">
        <v>746</v>
      </c>
      <c r="C3073" s="1" t="s">
        <v>1022</v>
      </c>
      <c r="D3073" s="1" t="s">
        <v>1022</v>
      </c>
      <c r="E3073" t="s">
        <v>1023</v>
      </c>
      <c r="F3073" s="2" t="s">
        <v>1024</v>
      </c>
      <c r="G3073" t="s">
        <v>932</v>
      </c>
      <c r="H3073" s="2" t="s">
        <v>1574</v>
      </c>
      <c r="I3073" s="2">
        <v>16</v>
      </c>
    </row>
    <row r="3074" spans="1:9" x14ac:dyDescent="0.25">
      <c r="A3074" s="1" t="s">
        <v>745</v>
      </c>
      <c r="B3074" t="s">
        <v>746</v>
      </c>
      <c r="C3074" s="1" t="s">
        <v>7</v>
      </c>
      <c r="D3074" s="1" t="s">
        <v>7</v>
      </c>
      <c r="E3074" t="s">
        <v>8</v>
      </c>
      <c r="F3074" s="2" t="s">
        <v>9</v>
      </c>
      <c r="G3074" t="s">
        <v>10</v>
      </c>
      <c r="H3074" s="2" t="s">
        <v>4713</v>
      </c>
      <c r="I3074" s="2">
        <v>12.65</v>
      </c>
    </row>
    <row r="3075" spans="1:9" x14ac:dyDescent="0.25">
      <c r="A3075" s="1" t="s">
        <v>745</v>
      </c>
      <c r="B3075" t="s">
        <v>746</v>
      </c>
      <c r="C3075" s="1" t="s">
        <v>7</v>
      </c>
      <c r="D3075" s="1" t="s">
        <v>7</v>
      </c>
      <c r="E3075" t="s">
        <v>8</v>
      </c>
      <c r="F3075" s="2" t="s">
        <v>9</v>
      </c>
      <c r="G3075" t="s">
        <v>10</v>
      </c>
      <c r="H3075" s="2" t="s">
        <v>601</v>
      </c>
      <c r="I3075" s="2">
        <v>6.9</v>
      </c>
    </row>
    <row r="3076" spans="1:9" x14ac:dyDescent="0.25">
      <c r="A3076" s="1" t="s">
        <v>748</v>
      </c>
      <c r="B3076" t="s">
        <v>749</v>
      </c>
      <c r="C3076" s="1" t="s">
        <v>1345</v>
      </c>
      <c r="D3076" s="1" t="s">
        <v>1345</v>
      </c>
      <c r="E3076" t="s">
        <v>1346</v>
      </c>
      <c r="F3076" s="2" t="s">
        <v>1369</v>
      </c>
      <c r="G3076" t="s">
        <v>5</v>
      </c>
      <c r="H3076" s="2" t="s">
        <v>4714</v>
      </c>
      <c r="I3076" s="2">
        <v>2.15</v>
      </c>
    </row>
    <row r="3077" spans="1:9" x14ac:dyDescent="0.25">
      <c r="A3077" s="1" t="s">
        <v>748</v>
      </c>
      <c r="B3077" t="s">
        <v>749</v>
      </c>
      <c r="C3077" s="1" t="s">
        <v>7</v>
      </c>
      <c r="D3077" s="1" t="s">
        <v>7</v>
      </c>
      <c r="E3077" t="s">
        <v>8</v>
      </c>
      <c r="F3077" s="2" t="s">
        <v>9</v>
      </c>
      <c r="G3077" t="s">
        <v>10</v>
      </c>
      <c r="H3077" s="2" t="s">
        <v>1114</v>
      </c>
      <c r="I3077" s="2">
        <v>3.15</v>
      </c>
    </row>
    <row r="3078" spans="1:9" x14ac:dyDescent="0.25">
      <c r="A3078" s="1" t="s">
        <v>751</v>
      </c>
      <c r="B3078" t="s">
        <v>752</v>
      </c>
      <c r="C3078" s="1" t="s">
        <v>1345</v>
      </c>
      <c r="D3078" s="1" t="s">
        <v>1345</v>
      </c>
      <c r="E3078" t="s">
        <v>1346</v>
      </c>
      <c r="F3078" s="2" t="s">
        <v>1369</v>
      </c>
      <c r="G3078" t="s">
        <v>5</v>
      </c>
      <c r="H3078" s="2" t="s">
        <v>4714</v>
      </c>
      <c r="I3078" s="2">
        <v>2.15</v>
      </c>
    </row>
    <row r="3079" spans="1:9" x14ac:dyDescent="0.25">
      <c r="A3079" s="1" t="s">
        <v>751</v>
      </c>
      <c r="B3079" t="s">
        <v>752</v>
      </c>
      <c r="C3079" s="1" t="s">
        <v>7</v>
      </c>
      <c r="D3079" s="1" t="s">
        <v>7</v>
      </c>
      <c r="E3079" t="s">
        <v>8</v>
      </c>
      <c r="F3079" s="2" t="s">
        <v>9</v>
      </c>
      <c r="G3079" t="s">
        <v>10</v>
      </c>
      <c r="H3079" s="2" t="s">
        <v>1114</v>
      </c>
      <c r="I3079" s="2">
        <v>3.15</v>
      </c>
    </row>
    <row r="3080" spans="1:9" x14ac:dyDescent="0.25">
      <c r="A3080" s="1" t="s">
        <v>753</v>
      </c>
      <c r="B3080" t="s">
        <v>754</v>
      </c>
      <c r="C3080" s="1" t="s">
        <v>1345</v>
      </c>
      <c r="D3080" s="1" t="s">
        <v>1345</v>
      </c>
      <c r="E3080" t="s">
        <v>1346</v>
      </c>
      <c r="F3080" s="2" t="s">
        <v>1369</v>
      </c>
      <c r="G3080" t="s">
        <v>5</v>
      </c>
      <c r="H3080" s="2" t="s">
        <v>4715</v>
      </c>
      <c r="I3080" s="2">
        <v>0.85</v>
      </c>
    </row>
    <row r="3081" spans="1:9" x14ac:dyDescent="0.25">
      <c r="A3081" s="1" t="s">
        <v>753</v>
      </c>
      <c r="B3081" t="s">
        <v>754</v>
      </c>
      <c r="C3081" s="1" t="s">
        <v>7</v>
      </c>
      <c r="D3081" s="1" t="s">
        <v>7</v>
      </c>
      <c r="E3081" t="s">
        <v>8</v>
      </c>
      <c r="F3081" s="2" t="s">
        <v>9</v>
      </c>
      <c r="G3081" t="s">
        <v>10</v>
      </c>
      <c r="H3081" s="2" t="s">
        <v>1351</v>
      </c>
      <c r="I3081" s="2">
        <v>2.9</v>
      </c>
    </row>
    <row r="3082" spans="1:9" x14ac:dyDescent="0.25">
      <c r="A3082" s="1" t="s">
        <v>756</v>
      </c>
      <c r="B3082" t="s">
        <v>757</v>
      </c>
      <c r="C3082" s="1" t="s">
        <v>1022</v>
      </c>
      <c r="D3082" s="1" t="s">
        <v>1022</v>
      </c>
      <c r="E3082" t="s">
        <v>1023</v>
      </c>
      <c r="F3082" s="2" t="s">
        <v>1024</v>
      </c>
      <c r="G3082" t="s">
        <v>932</v>
      </c>
      <c r="H3082" s="2" t="s">
        <v>4716</v>
      </c>
      <c r="I3082" s="2">
        <v>4.5999999999999996</v>
      </c>
    </row>
    <row r="3083" spans="1:9" x14ac:dyDescent="0.25">
      <c r="A3083" s="1" t="s">
        <v>756</v>
      </c>
      <c r="B3083" t="s">
        <v>757</v>
      </c>
      <c r="C3083" s="1" t="s">
        <v>7</v>
      </c>
      <c r="D3083" s="1" t="s">
        <v>7</v>
      </c>
      <c r="E3083" t="s">
        <v>1031</v>
      </c>
      <c r="F3083" s="2" t="s">
        <v>9</v>
      </c>
      <c r="G3083" t="s">
        <v>10</v>
      </c>
      <c r="H3083" s="2" t="s">
        <v>4717</v>
      </c>
      <c r="I3083" s="2">
        <v>16.149999999999999</v>
      </c>
    </row>
    <row r="3084" spans="1:9" x14ac:dyDescent="0.25">
      <c r="A3084" s="1" t="s">
        <v>759</v>
      </c>
      <c r="B3084" t="s">
        <v>760</v>
      </c>
      <c r="C3084" s="1" t="s">
        <v>1022</v>
      </c>
      <c r="D3084" s="1" t="s">
        <v>1022</v>
      </c>
      <c r="E3084" t="s">
        <v>1023</v>
      </c>
      <c r="F3084" s="2" t="s">
        <v>1024</v>
      </c>
      <c r="G3084" t="s">
        <v>932</v>
      </c>
      <c r="H3084" s="2" t="s">
        <v>4718</v>
      </c>
      <c r="I3084" s="2">
        <v>17.399999999999999</v>
      </c>
    </row>
    <row r="3085" spans="1:9" x14ac:dyDescent="0.25">
      <c r="A3085" s="1" t="s">
        <v>759</v>
      </c>
      <c r="B3085" t="s">
        <v>760</v>
      </c>
      <c r="C3085" s="1" t="s">
        <v>7</v>
      </c>
      <c r="D3085" s="1" t="s">
        <v>7</v>
      </c>
      <c r="E3085" t="s">
        <v>1031</v>
      </c>
      <c r="F3085" s="2" t="s">
        <v>9</v>
      </c>
      <c r="G3085" t="s">
        <v>10</v>
      </c>
      <c r="H3085" s="2" t="s">
        <v>4719</v>
      </c>
      <c r="I3085" s="2">
        <v>21.35</v>
      </c>
    </row>
    <row r="3086" spans="1:9" x14ac:dyDescent="0.25">
      <c r="A3086" s="1" t="s">
        <v>2040</v>
      </c>
      <c r="B3086" t="s">
        <v>2041</v>
      </c>
      <c r="C3086" s="1" t="s">
        <v>1207</v>
      </c>
      <c r="D3086" s="1" t="s">
        <v>1207</v>
      </c>
      <c r="E3086" t="s">
        <v>1208</v>
      </c>
      <c r="F3086" s="2" t="s">
        <v>1017</v>
      </c>
      <c r="G3086" t="s">
        <v>5</v>
      </c>
      <c r="H3086" s="2" t="s">
        <v>3392</v>
      </c>
      <c r="I3086" s="2">
        <v>0.4</v>
      </c>
    </row>
    <row r="3087" spans="1:9" x14ac:dyDescent="0.25">
      <c r="A3087" s="1" t="s">
        <v>2040</v>
      </c>
      <c r="B3087" t="s">
        <v>2041</v>
      </c>
      <c r="C3087" s="1" t="s">
        <v>7</v>
      </c>
      <c r="D3087" s="1" t="s">
        <v>7</v>
      </c>
      <c r="E3087" t="s">
        <v>8</v>
      </c>
      <c r="F3087" s="2" t="s">
        <v>9</v>
      </c>
      <c r="G3087" t="s">
        <v>10</v>
      </c>
      <c r="H3087" s="2" t="s">
        <v>4720</v>
      </c>
      <c r="I3087" s="2">
        <v>13.9</v>
      </c>
    </row>
    <row r="3088" spans="1:9" x14ac:dyDescent="0.25">
      <c r="A3088" s="1" t="s">
        <v>768</v>
      </c>
      <c r="B3088" t="s">
        <v>769</v>
      </c>
      <c r="C3088" s="1" t="s">
        <v>1022</v>
      </c>
      <c r="D3088" s="1" t="s">
        <v>1022</v>
      </c>
      <c r="E3088" t="s">
        <v>1023</v>
      </c>
      <c r="F3088" s="2" t="s">
        <v>1024</v>
      </c>
      <c r="G3088" t="s">
        <v>932</v>
      </c>
      <c r="H3088" s="2" t="s">
        <v>4721</v>
      </c>
      <c r="I3088" s="2">
        <v>9.5500000000000007</v>
      </c>
    </row>
    <row r="3089" spans="1:9" x14ac:dyDescent="0.25">
      <c r="A3089" s="1" t="s">
        <v>768</v>
      </c>
      <c r="B3089" t="s">
        <v>769</v>
      </c>
      <c r="C3089" s="1" t="s">
        <v>7</v>
      </c>
      <c r="D3089" s="1" t="s">
        <v>7</v>
      </c>
      <c r="E3089" t="s">
        <v>1031</v>
      </c>
      <c r="F3089" s="2" t="s">
        <v>9</v>
      </c>
      <c r="G3089" t="s">
        <v>10</v>
      </c>
      <c r="H3089" s="2" t="s">
        <v>607</v>
      </c>
      <c r="I3089" s="2">
        <v>18.399999999999999</v>
      </c>
    </row>
    <row r="3090" spans="1:9" x14ac:dyDescent="0.25">
      <c r="A3090" s="1" t="s">
        <v>771</v>
      </c>
      <c r="B3090" t="s">
        <v>772</v>
      </c>
      <c r="C3090" s="1" t="s">
        <v>1022</v>
      </c>
      <c r="D3090" s="1" t="s">
        <v>1022</v>
      </c>
      <c r="E3090" t="s">
        <v>1023</v>
      </c>
      <c r="F3090" s="2" t="s">
        <v>1024</v>
      </c>
      <c r="G3090" t="s">
        <v>932</v>
      </c>
      <c r="H3090" s="2" t="s">
        <v>92</v>
      </c>
      <c r="I3090" s="2">
        <v>27.8</v>
      </c>
    </row>
    <row r="3091" spans="1:9" x14ac:dyDescent="0.25">
      <c r="A3091" s="1" t="s">
        <v>771</v>
      </c>
      <c r="B3091" t="s">
        <v>772</v>
      </c>
      <c r="C3091" s="1" t="s">
        <v>7</v>
      </c>
      <c r="D3091" s="1" t="s">
        <v>7</v>
      </c>
      <c r="E3091" t="s">
        <v>8</v>
      </c>
      <c r="F3091" s="2" t="s">
        <v>9</v>
      </c>
      <c r="G3091" t="s">
        <v>10</v>
      </c>
      <c r="H3091" s="2" t="s">
        <v>4722</v>
      </c>
      <c r="I3091" s="2">
        <v>22.75</v>
      </c>
    </row>
    <row r="3092" spans="1:9" x14ac:dyDescent="0.25">
      <c r="A3092" s="1" t="s">
        <v>774</v>
      </c>
      <c r="B3092" t="s">
        <v>775</v>
      </c>
      <c r="C3092" s="1" t="s">
        <v>1022</v>
      </c>
      <c r="D3092" s="1" t="s">
        <v>1022</v>
      </c>
      <c r="E3092" t="s">
        <v>1023</v>
      </c>
      <c r="F3092" s="2" t="s">
        <v>1024</v>
      </c>
      <c r="G3092" t="s">
        <v>932</v>
      </c>
      <c r="H3092" s="2" t="s">
        <v>4723</v>
      </c>
      <c r="I3092" s="2">
        <v>28.8</v>
      </c>
    </row>
    <row r="3093" spans="1:9" x14ac:dyDescent="0.25">
      <c r="A3093" s="1" t="s">
        <v>774</v>
      </c>
      <c r="B3093" t="s">
        <v>775</v>
      </c>
      <c r="C3093" s="1" t="s">
        <v>7</v>
      </c>
      <c r="D3093" s="1" t="s">
        <v>7</v>
      </c>
      <c r="E3093" t="s">
        <v>8</v>
      </c>
      <c r="F3093" s="2" t="s">
        <v>9</v>
      </c>
      <c r="G3093" t="s">
        <v>10</v>
      </c>
      <c r="H3093" s="2" t="s">
        <v>4724</v>
      </c>
      <c r="I3093" s="2">
        <v>23.75</v>
      </c>
    </row>
    <row r="3094" spans="1:9" x14ac:dyDescent="0.25">
      <c r="A3094" s="1" t="s">
        <v>777</v>
      </c>
      <c r="B3094" t="s">
        <v>778</v>
      </c>
      <c r="C3094" s="1" t="s">
        <v>1345</v>
      </c>
      <c r="D3094" s="1" t="s">
        <v>1345</v>
      </c>
      <c r="E3094" t="s">
        <v>1346</v>
      </c>
      <c r="F3094" s="2" t="s">
        <v>1369</v>
      </c>
      <c r="G3094" t="s">
        <v>5</v>
      </c>
      <c r="H3094" s="2" t="s">
        <v>4725</v>
      </c>
      <c r="I3094" s="2">
        <v>2.84</v>
      </c>
    </row>
    <row r="3095" spans="1:9" x14ac:dyDescent="0.25">
      <c r="A3095" s="1" t="s">
        <v>777</v>
      </c>
      <c r="B3095" t="s">
        <v>778</v>
      </c>
      <c r="C3095" s="1" t="s">
        <v>7</v>
      </c>
      <c r="D3095" s="1" t="s">
        <v>7</v>
      </c>
      <c r="E3095" t="s">
        <v>8</v>
      </c>
      <c r="F3095" s="2" t="s">
        <v>9</v>
      </c>
      <c r="G3095" t="s">
        <v>10</v>
      </c>
      <c r="H3095" s="2" t="s">
        <v>1114</v>
      </c>
      <c r="I3095" s="2">
        <v>3.15</v>
      </c>
    </row>
    <row r="3096" spans="1:9" x14ac:dyDescent="0.25">
      <c r="A3096" s="1" t="s">
        <v>780</v>
      </c>
      <c r="B3096" t="s">
        <v>781</v>
      </c>
      <c r="C3096" s="1" t="s">
        <v>1345</v>
      </c>
      <c r="D3096" s="1" t="s">
        <v>1345</v>
      </c>
      <c r="E3096" t="s">
        <v>1346</v>
      </c>
      <c r="F3096" s="2" t="s">
        <v>1369</v>
      </c>
      <c r="G3096" t="s">
        <v>5</v>
      </c>
      <c r="H3096" s="2" t="s">
        <v>4726</v>
      </c>
      <c r="I3096" s="2">
        <v>3.59</v>
      </c>
    </row>
    <row r="3097" spans="1:9" x14ac:dyDescent="0.25">
      <c r="A3097" s="1" t="s">
        <v>780</v>
      </c>
      <c r="B3097" t="s">
        <v>781</v>
      </c>
      <c r="C3097" s="1" t="s">
        <v>7</v>
      </c>
      <c r="D3097" s="1" t="s">
        <v>7</v>
      </c>
      <c r="E3097" t="s">
        <v>8</v>
      </c>
      <c r="F3097" s="2" t="s">
        <v>9</v>
      </c>
      <c r="G3097" t="s">
        <v>10</v>
      </c>
      <c r="H3097" s="2" t="s">
        <v>1114</v>
      </c>
      <c r="I3097" s="2">
        <v>3.15</v>
      </c>
    </row>
    <row r="3098" spans="1:9" x14ac:dyDescent="0.25">
      <c r="A3098" s="1" t="s">
        <v>783</v>
      </c>
      <c r="B3098" t="s">
        <v>784</v>
      </c>
      <c r="C3098" s="1" t="s">
        <v>1345</v>
      </c>
      <c r="D3098" s="1" t="s">
        <v>1345</v>
      </c>
      <c r="E3098" t="s">
        <v>1346</v>
      </c>
      <c r="F3098" s="2" t="s">
        <v>1369</v>
      </c>
      <c r="G3098" t="s">
        <v>5</v>
      </c>
      <c r="H3098" s="2" t="s">
        <v>4727</v>
      </c>
      <c r="I3098" s="2">
        <v>11.3</v>
      </c>
    </row>
    <row r="3099" spans="1:9" x14ac:dyDescent="0.25">
      <c r="A3099" s="1" t="s">
        <v>783</v>
      </c>
      <c r="B3099" t="s">
        <v>784</v>
      </c>
      <c r="C3099" s="1" t="s">
        <v>7</v>
      </c>
      <c r="D3099" s="1" t="s">
        <v>7</v>
      </c>
      <c r="E3099" t="s">
        <v>8</v>
      </c>
      <c r="F3099" s="2" t="s">
        <v>9</v>
      </c>
      <c r="G3099" t="s">
        <v>10</v>
      </c>
      <c r="H3099" s="2" t="s">
        <v>4728</v>
      </c>
      <c r="I3099" s="2">
        <v>2.85</v>
      </c>
    </row>
    <row r="3100" spans="1:9" x14ac:dyDescent="0.25">
      <c r="A3100" s="1" t="s">
        <v>2043</v>
      </c>
      <c r="B3100" t="s">
        <v>2044</v>
      </c>
      <c r="C3100" s="1" t="s">
        <v>3715</v>
      </c>
      <c r="D3100" s="1" t="s">
        <v>3715</v>
      </c>
      <c r="E3100" t="s">
        <v>3716</v>
      </c>
      <c r="F3100" s="2" t="s">
        <v>3189</v>
      </c>
      <c r="G3100" t="s">
        <v>17</v>
      </c>
      <c r="H3100" s="2" t="s">
        <v>4729</v>
      </c>
      <c r="I3100" s="2">
        <v>0.43</v>
      </c>
    </row>
    <row r="3101" spans="1:9" x14ac:dyDescent="0.25">
      <c r="A3101" s="1" t="s">
        <v>2043</v>
      </c>
      <c r="B3101" t="s">
        <v>2044</v>
      </c>
      <c r="C3101" s="1" t="s">
        <v>7</v>
      </c>
      <c r="D3101" s="1" t="s">
        <v>7</v>
      </c>
      <c r="E3101" t="s">
        <v>8</v>
      </c>
      <c r="F3101" s="2" t="s">
        <v>9</v>
      </c>
      <c r="G3101" t="s">
        <v>10</v>
      </c>
      <c r="H3101" s="2" t="s">
        <v>367</v>
      </c>
      <c r="I3101" s="2">
        <v>2.2999999999999998</v>
      </c>
    </row>
    <row r="3102" spans="1:9" x14ac:dyDescent="0.25">
      <c r="A3102" s="1" t="s">
        <v>4730</v>
      </c>
      <c r="B3102" t="s">
        <v>4731</v>
      </c>
      <c r="C3102" s="1" t="s">
        <v>2318</v>
      </c>
      <c r="D3102" s="1" t="s">
        <v>2318</v>
      </c>
      <c r="E3102" t="s">
        <v>2319</v>
      </c>
      <c r="F3102" s="2" t="s">
        <v>4732</v>
      </c>
      <c r="G3102" t="s">
        <v>17</v>
      </c>
      <c r="H3102" s="2" t="s">
        <v>4733</v>
      </c>
      <c r="I3102" s="2">
        <v>8.4</v>
      </c>
    </row>
    <row r="3103" spans="1:9" x14ac:dyDescent="0.25">
      <c r="A3103" s="1" t="s">
        <v>4730</v>
      </c>
      <c r="B3103" t="s">
        <v>4731</v>
      </c>
      <c r="C3103" s="1" t="s">
        <v>2322</v>
      </c>
      <c r="D3103" s="1" t="s">
        <v>2322</v>
      </c>
      <c r="E3103" t="s">
        <v>2323</v>
      </c>
      <c r="F3103" s="2" t="s">
        <v>2324</v>
      </c>
      <c r="G3103" t="s">
        <v>39</v>
      </c>
      <c r="H3103" s="2" t="s">
        <v>478</v>
      </c>
      <c r="I3103" s="2">
        <v>2.96</v>
      </c>
    </row>
    <row r="3104" spans="1:9" x14ac:dyDescent="0.25">
      <c r="A3104" s="1" t="s">
        <v>4730</v>
      </c>
      <c r="B3104" t="s">
        <v>4731</v>
      </c>
      <c r="C3104" s="1" t="s">
        <v>41</v>
      </c>
      <c r="D3104" s="1" t="s">
        <v>41</v>
      </c>
      <c r="E3104" t="s">
        <v>42</v>
      </c>
      <c r="F3104" s="2" t="s">
        <v>513</v>
      </c>
      <c r="G3104" t="s">
        <v>5</v>
      </c>
      <c r="H3104" s="2" t="s">
        <v>559</v>
      </c>
      <c r="I3104" s="2">
        <v>0.04</v>
      </c>
    </row>
    <row r="3105" spans="1:9" x14ac:dyDescent="0.25">
      <c r="A3105" s="1" t="s">
        <v>4730</v>
      </c>
      <c r="B3105" t="s">
        <v>4731</v>
      </c>
      <c r="C3105" s="1" t="s">
        <v>4734</v>
      </c>
      <c r="D3105" s="1" t="s">
        <v>4734</v>
      </c>
      <c r="E3105" t="s">
        <v>4735</v>
      </c>
      <c r="F3105" s="2" t="s">
        <v>4736</v>
      </c>
      <c r="G3105" t="s">
        <v>121</v>
      </c>
      <c r="H3105" s="2" t="s">
        <v>92</v>
      </c>
      <c r="I3105" s="2">
        <v>15.4</v>
      </c>
    </row>
    <row r="3106" spans="1:9" x14ac:dyDescent="0.25">
      <c r="A3106" s="1" t="s">
        <v>4730</v>
      </c>
      <c r="B3106" t="s">
        <v>4731</v>
      </c>
      <c r="C3106" s="1" t="s">
        <v>4737</v>
      </c>
      <c r="D3106" s="1" t="s">
        <v>4737</v>
      </c>
      <c r="E3106" t="s">
        <v>4738</v>
      </c>
      <c r="F3106" s="2" t="s">
        <v>634</v>
      </c>
      <c r="G3106" t="s">
        <v>121</v>
      </c>
      <c r="H3106" s="2" t="s">
        <v>50</v>
      </c>
      <c r="I3106" s="2">
        <v>2.2999999999999998</v>
      </c>
    </row>
    <row r="3107" spans="1:9" x14ac:dyDescent="0.25">
      <c r="A3107" s="1" t="s">
        <v>4730</v>
      </c>
      <c r="B3107" t="s">
        <v>4731</v>
      </c>
      <c r="C3107" s="1" t="s">
        <v>7</v>
      </c>
      <c r="D3107" s="1" t="s">
        <v>7</v>
      </c>
      <c r="E3107" t="s">
        <v>8</v>
      </c>
      <c r="F3107" s="2" t="s">
        <v>9</v>
      </c>
      <c r="G3107" t="s">
        <v>10</v>
      </c>
      <c r="H3107" s="2" t="s">
        <v>523</v>
      </c>
      <c r="I3107" s="2">
        <v>17</v>
      </c>
    </row>
    <row r="3108" spans="1:9" x14ac:dyDescent="0.25">
      <c r="A3108" s="1" t="s">
        <v>4739</v>
      </c>
      <c r="B3108" t="s">
        <v>4740</v>
      </c>
      <c r="C3108" s="1" t="s">
        <v>1249</v>
      </c>
      <c r="D3108" s="1" t="s">
        <v>1249</v>
      </c>
      <c r="E3108" t="s">
        <v>1250</v>
      </c>
      <c r="F3108" s="2" t="s">
        <v>1251</v>
      </c>
      <c r="G3108" t="s">
        <v>1252</v>
      </c>
      <c r="H3108" s="2" t="s">
        <v>4741</v>
      </c>
      <c r="I3108" s="2">
        <v>23.4</v>
      </c>
    </row>
    <row r="3109" spans="1:9" x14ac:dyDescent="0.25">
      <c r="A3109" s="1" t="s">
        <v>4739</v>
      </c>
      <c r="B3109" t="s">
        <v>4740</v>
      </c>
      <c r="C3109" s="1" t="s">
        <v>4742</v>
      </c>
      <c r="D3109" s="1" t="s">
        <v>4742</v>
      </c>
      <c r="E3109" t="s">
        <v>4743</v>
      </c>
      <c r="F3109" s="2" t="s">
        <v>182</v>
      </c>
      <c r="G3109" t="s">
        <v>5</v>
      </c>
      <c r="H3109" s="2" t="s">
        <v>4744</v>
      </c>
      <c r="I3109" s="2">
        <v>0.75</v>
      </c>
    </row>
    <row r="3110" spans="1:9" x14ac:dyDescent="0.25">
      <c r="A3110" s="1" t="s">
        <v>4739</v>
      </c>
      <c r="B3110" t="s">
        <v>4740</v>
      </c>
      <c r="C3110" s="1" t="s">
        <v>479</v>
      </c>
      <c r="D3110" s="1" t="s">
        <v>479</v>
      </c>
      <c r="E3110" t="s">
        <v>480</v>
      </c>
      <c r="F3110" s="2" t="s">
        <v>626</v>
      </c>
      <c r="G3110" t="s">
        <v>5</v>
      </c>
      <c r="H3110" s="2" t="s">
        <v>1772</v>
      </c>
      <c r="I3110" s="2">
        <v>0.2</v>
      </c>
    </row>
    <row r="3111" spans="1:9" x14ac:dyDescent="0.25">
      <c r="A3111" s="1" t="s">
        <v>4739</v>
      </c>
      <c r="B3111" t="s">
        <v>4740</v>
      </c>
      <c r="C3111" s="1" t="s">
        <v>628</v>
      </c>
      <c r="D3111" s="1" t="s">
        <v>628</v>
      </c>
      <c r="E3111" t="s">
        <v>629</v>
      </c>
      <c r="F3111" s="2" t="s">
        <v>630</v>
      </c>
      <c r="G3111" t="s">
        <v>5</v>
      </c>
      <c r="H3111" s="2" t="s">
        <v>598</v>
      </c>
      <c r="I3111" s="2">
        <v>0.08</v>
      </c>
    </row>
    <row r="3112" spans="1:9" x14ac:dyDescent="0.25">
      <c r="A3112" s="1" t="s">
        <v>4739</v>
      </c>
      <c r="B3112" t="s">
        <v>4740</v>
      </c>
      <c r="C3112" s="1" t="s">
        <v>483</v>
      </c>
      <c r="D3112" s="1" t="s">
        <v>483</v>
      </c>
      <c r="E3112" t="s">
        <v>484</v>
      </c>
      <c r="F3112" s="2" t="s">
        <v>2789</v>
      </c>
      <c r="G3112" t="s">
        <v>5</v>
      </c>
      <c r="H3112" s="2" t="s">
        <v>1858</v>
      </c>
      <c r="I3112" s="2">
        <v>0.05</v>
      </c>
    </row>
    <row r="3113" spans="1:9" x14ac:dyDescent="0.25">
      <c r="A3113" s="1" t="s">
        <v>4739</v>
      </c>
      <c r="B3113" t="s">
        <v>4740</v>
      </c>
      <c r="C3113" s="1" t="s">
        <v>704</v>
      </c>
      <c r="D3113" s="1" t="s">
        <v>704</v>
      </c>
      <c r="E3113" t="s">
        <v>705</v>
      </c>
      <c r="F3113" s="2" t="s">
        <v>744</v>
      </c>
      <c r="G3113" t="s">
        <v>121</v>
      </c>
      <c r="H3113" s="2" t="s">
        <v>50</v>
      </c>
      <c r="I3113" s="2">
        <v>0.4</v>
      </c>
    </row>
    <row r="3114" spans="1:9" x14ac:dyDescent="0.25">
      <c r="A3114" s="1" t="s">
        <v>4739</v>
      </c>
      <c r="B3114" t="s">
        <v>4740</v>
      </c>
      <c r="C3114" s="1" t="s">
        <v>7</v>
      </c>
      <c r="D3114" s="1" t="s">
        <v>7</v>
      </c>
      <c r="E3114" t="s">
        <v>8</v>
      </c>
      <c r="F3114" s="2" t="s">
        <v>9</v>
      </c>
      <c r="G3114" t="s">
        <v>10</v>
      </c>
      <c r="H3114" s="2" t="s">
        <v>4745</v>
      </c>
      <c r="I3114" s="2">
        <v>30.92</v>
      </c>
    </row>
    <row r="3115" spans="1:9" x14ac:dyDescent="0.25">
      <c r="A3115" s="1" t="s">
        <v>4739</v>
      </c>
      <c r="B3115" t="s">
        <v>4740</v>
      </c>
      <c r="C3115" s="1" t="s">
        <v>7</v>
      </c>
      <c r="D3115" s="1" t="s">
        <v>7</v>
      </c>
      <c r="E3115" t="s">
        <v>8</v>
      </c>
      <c r="F3115" s="2" t="s">
        <v>9</v>
      </c>
      <c r="G3115" t="s">
        <v>10</v>
      </c>
      <c r="H3115" s="2" t="s">
        <v>4746</v>
      </c>
      <c r="I3115" s="2">
        <v>55.57</v>
      </c>
    </row>
    <row r="3116" spans="1:9" x14ac:dyDescent="0.25">
      <c r="A3116" s="1" t="s">
        <v>4747</v>
      </c>
      <c r="B3116" t="s">
        <v>4748</v>
      </c>
      <c r="C3116" s="1" t="s">
        <v>4749</v>
      </c>
      <c r="D3116" s="1" t="s">
        <v>4749</v>
      </c>
      <c r="E3116" t="s">
        <v>4750</v>
      </c>
      <c r="F3116" s="2" t="s">
        <v>4751</v>
      </c>
      <c r="G3116" t="s">
        <v>5</v>
      </c>
      <c r="H3116" s="2" t="s">
        <v>1754</v>
      </c>
      <c r="I3116" s="2">
        <v>1.99</v>
      </c>
    </row>
    <row r="3117" spans="1:9" x14ac:dyDescent="0.25">
      <c r="A3117" s="1" t="s">
        <v>4747</v>
      </c>
      <c r="B3117" t="s">
        <v>4748</v>
      </c>
      <c r="C3117" s="1" t="s">
        <v>541</v>
      </c>
      <c r="D3117" s="1" t="s">
        <v>541</v>
      </c>
      <c r="E3117" t="s">
        <v>542</v>
      </c>
      <c r="F3117" s="2" t="s">
        <v>9</v>
      </c>
      <c r="G3117" t="s">
        <v>10</v>
      </c>
      <c r="H3117" s="2" t="s">
        <v>4752</v>
      </c>
      <c r="I3117" s="2">
        <v>27.82</v>
      </c>
    </row>
    <row r="3118" spans="1:9" x14ac:dyDescent="0.25">
      <c r="A3118" s="1" t="s">
        <v>4753</v>
      </c>
      <c r="B3118" t="s">
        <v>4754</v>
      </c>
      <c r="C3118" s="1" t="s">
        <v>2110</v>
      </c>
      <c r="D3118" s="1" t="s">
        <v>2110</v>
      </c>
      <c r="E3118" t="s">
        <v>2111</v>
      </c>
      <c r="F3118" s="2" t="s">
        <v>182</v>
      </c>
      <c r="G3118" t="s">
        <v>17</v>
      </c>
      <c r="H3118" s="2" t="s">
        <v>4755</v>
      </c>
      <c r="I3118" s="2">
        <v>0.25</v>
      </c>
    </row>
    <row r="3119" spans="1:9" x14ac:dyDescent="0.25">
      <c r="A3119" s="1" t="s">
        <v>4753</v>
      </c>
      <c r="B3119" t="s">
        <v>4754</v>
      </c>
      <c r="C3119" s="1" t="s">
        <v>7</v>
      </c>
      <c r="D3119" s="1" t="s">
        <v>7</v>
      </c>
      <c r="E3119" t="s">
        <v>8</v>
      </c>
      <c r="F3119" s="2" t="s">
        <v>9</v>
      </c>
      <c r="G3119" t="s">
        <v>10</v>
      </c>
      <c r="H3119" s="2" t="s">
        <v>4756</v>
      </c>
      <c r="I3119" s="2">
        <v>3.75</v>
      </c>
    </row>
    <row r="3120" spans="1:9" x14ac:dyDescent="0.25">
      <c r="A3120" s="1" t="s">
        <v>4757</v>
      </c>
      <c r="B3120" t="s">
        <v>4758</v>
      </c>
      <c r="C3120" s="1" t="s">
        <v>684</v>
      </c>
      <c r="D3120" s="1" t="s">
        <v>684</v>
      </c>
      <c r="E3120" t="s">
        <v>685</v>
      </c>
      <c r="F3120" s="2" t="s">
        <v>686</v>
      </c>
      <c r="G3120" t="s">
        <v>49</v>
      </c>
      <c r="H3120" s="2" t="s">
        <v>4759</v>
      </c>
      <c r="I3120" s="2">
        <v>3.5</v>
      </c>
    </row>
    <row r="3121" spans="1:9" x14ac:dyDescent="0.25">
      <c r="A3121" s="1" t="s">
        <v>4760</v>
      </c>
      <c r="B3121" t="s">
        <v>4761</v>
      </c>
      <c r="C3121" s="1" t="s">
        <v>1249</v>
      </c>
      <c r="D3121" s="1" t="s">
        <v>1249</v>
      </c>
      <c r="E3121" t="s">
        <v>1250</v>
      </c>
      <c r="F3121" s="2" t="s">
        <v>1251</v>
      </c>
      <c r="G3121" t="s">
        <v>1252</v>
      </c>
      <c r="H3121" s="2" t="s">
        <v>3205</v>
      </c>
      <c r="I3121" s="2">
        <v>21</v>
      </c>
    </row>
    <row r="3122" spans="1:9" x14ac:dyDescent="0.25">
      <c r="A3122" s="1" t="s">
        <v>4760</v>
      </c>
      <c r="B3122" t="s">
        <v>4761</v>
      </c>
      <c r="C3122" s="1" t="s">
        <v>4742</v>
      </c>
      <c r="D3122" s="1" t="s">
        <v>4742</v>
      </c>
      <c r="E3122" t="s">
        <v>4743</v>
      </c>
      <c r="F3122" s="2" t="s">
        <v>182</v>
      </c>
      <c r="G3122" t="s">
        <v>5</v>
      </c>
      <c r="H3122" s="2" t="s">
        <v>4744</v>
      </c>
      <c r="I3122" s="2">
        <v>0.75</v>
      </c>
    </row>
    <row r="3123" spans="1:9" x14ac:dyDescent="0.25">
      <c r="A3123" s="1" t="s">
        <v>4760</v>
      </c>
      <c r="B3123" t="s">
        <v>4761</v>
      </c>
      <c r="C3123" s="1" t="s">
        <v>479</v>
      </c>
      <c r="D3123" s="1" t="s">
        <v>479</v>
      </c>
      <c r="E3123" t="s">
        <v>480</v>
      </c>
      <c r="F3123" s="2" t="s">
        <v>626</v>
      </c>
      <c r="G3123" t="s">
        <v>5</v>
      </c>
      <c r="H3123" s="2" t="s">
        <v>1772</v>
      </c>
      <c r="I3123" s="2">
        <v>0.2</v>
      </c>
    </row>
    <row r="3124" spans="1:9" x14ac:dyDescent="0.25">
      <c r="A3124" s="1" t="s">
        <v>4760</v>
      </c>
      <c r="B3124" t="s">
        <v>4761</v>
      </c>
      <c r="C3124" s="1" t="s">
        <v>628</v>
      </c>
      <c r="D3124" s="1" t="s">
        <v>628</v>
      </c>
      <c r="E3124" t="s">
        <v>629</v>
      </c>
      <c r="F3124" s="2" t="s">
        <v>630</v>
      </c>
      <c r="G3124" t="s">
        <v>5</v>
      </c>
      <c r="H3124" s="2" t="s">
        <v>598</v>
      </c>
      <c r="I3124" s="2">
        <v>0.08</v>
      </c>
    </row>
    <row r="3125" spans="1:9" x14ac:dyDescent="0.25">
      <c r="A3125" s="1" t="s">
        <v>4760</v>
      </c>
      <c r="B3125" t="s">
        <v>4761</v>
      </c>
      <c r="C3125" s="1" t="s">
        <v>2844</v>
      </c>
      <c r="D3125" s="1" t="s">
        <v>2844</v>
      </c>
      <c r="E3125" t="s">
        <v>2845</v>
      </c>
      <c r="F3125" s="2" t="s">
        <v>2846</v>
      </c>
      <c r="G3125" t="s">
        <v>5</v>
      </c>
      <c r="H3125" s="2" t="s">
        <v>1858</v>
      </c>
      <c r="I3125" s="2">
        <v>0.03</v>
      </c>
    </row>
    <row r="3126" spans="1:9" x14ac:dyDescent="0.25">
      <c r="A3126" s="1" t="s">
        <v>4760</v>
      </c>
      <c r="B3126" t="s">
        <v>4761</v>
      </c>
      <c r="C3126" s="1" t="s">
        <v>704</v>
      </c>
      <c r="D3126" s="1" t="s">
        <v>704</v>
      </c>
      <c r="E3126" t="s">
        <v>705</v>
      </c>
      <c r="F3126" s="2" t="s">
        <v>744</v>
      </c>
      <c r="G3126" t="s">
        <v>121</v>
      </c>
      <c r="H3126" s="2" t="s">
        <v>50</v>
      </c>
      <c r="I3126" s="2">
        <v>0.4</v>
      </c>
    </row>
    <row r="3127" spans="1:9" x14ac:dyDescent="0.25">
      <c r="A3127" s="1" t="s">
        <v>4760</v>
      </c>
      <c r="B3127" t="s">
        <v>4761</v>
      </c>
      <c r="C3127" s="1" t="s">
        <v>7</v>
      </c>
      <c r="D3127" s="1" t="s">
        <v>7</v>
      </c>
      <c r="E3127" t="s">
        <v>8</v>
      </c>
      <c r="F3127" s="2" t="s">
        <v>9</v>
      </c>
      <c r="G3127" t="s">
        <v>10</v>
      </c>
      <c r="H3127" s="2" t="s">
        <v>3307</v>
      </c>
      <c r="I3127" s="2">
        <v>55.2</v>
      </c>
    </row>
    <row r="3128" spans="1:9" x14ac:dyDescent="0.25">
      <c r="A3128" s="1" t="s">
        <v>4760</v>
      </c>
      <c r="B3128" t="s">
        <v>4761</v>
      </c>
      <c r="C3128" s="1" t="s">
        <v>7</v>
      </c>
      <c r="D3128" s="1" t="s">
        <v>7</v>
      </c>
      <c r="E3128" t="s">
        <v>8</v>
      </c>
      <c r="F3128" s="2" t="s">
        <v>9</v>
      </c>
      <c r="G3128" t="s">
        <v>10</v>
      </c>
      <c r="H3128" s="2" t="s">
        <v>4745</v>
      </c>
      <c r="I3128" s="2">
        <v>30.92</v>
      </c>
    </row>
    <row r="3129" spans="1:9" x14ac:dyDescent="0.25">
      <c r="A3129" s="1" t="s">
        <v>4762</v>
      </c>
      <c r="B3129" t="s">
        <v>4763</v>
      </c>
      <c r="C3129" s="1" t="s">
        <v>2318</v>
      </c>
      <c r="D3129" s="1" t="s">
        <v>2318</v>
      </c>
      <c r="E3129" t="s">
        <v>2319</v>
      </c>
      <c r="F3129" s="2" t="s">
        <v>4732</v>
      </c>
      <c r="G3129" t="s">
        <v>17</v>
      </c>
      <c r="H3129" s="2" t="s">
        <v>4764</v>
      </c>
      <c r="I3129" s="2">
        <v>16.5</v>
      </c>
    </row>
    <row r="3130" spans="1:9" x14ac:dyDescent="0.25">
      <c r="A3130" s="1" t="s">
        <v>4762</v>
      </c>
      <c r="B3130" t="s">
        <v>4763</v>
      </c>
      <c r="C3130" s="1" t="s">
        <v>2322</v>
      </c>
      <c r="D3130" s="1" t="s">
        <v>2322</v>
      </c>
      <c r="E3130" t="s">
        <v>2323</v>
      </c>
      <c r="F3130" s="2" t="s">
        <v>2324</v>
      </c>
      <c r="G3130" t="s">
        <v>39</v>
      </c>
      <c r="H3130" s="2" t="s">
        <v>478</v>
      </c>
      <c r="I3130" s="2">
        <v>2.96</v>
      </c>
    </row>
    <row r="3131" spans="1:9" x14ac:dyDescent="0.25">
      <c r="A3131" s="1" t="s">
        <v>4762</v>
      </c>
      <c r="B3131" t="s">
        <v>4763</v>
      </c>
      <c r="C3131" s="1" t="s">
        <v>41</v>
      </c>
      <c r="D3131" s="1" t="s">
        <v>41</v>
      </c>
      <c r="E3131" t="s">
        <v>42</v>
      </c>
      <c r="F3131" s="2" t="s">
        <v>513</v>
      </c>
      <c r="G3131" t="s">
        <v>5</v>
      </c>
      <c r="H3131" s="2" t="s">
        <v>559</v>
      </c>
      <c r="I3131" s="2">
        <v>0.04</v>
      </c>
    </row>
    <row r="3132" spans="1:9" x14ac:dyDescent="0.25">
      <c r="A3132" s="1" t="s">
        <v>4762</v>
      </c>
      <c r="B3132" t="s">
        <v>4763</v>
      </c>
      <c r="C3132" s="1" t="s">
        <v>4734</v>
      </c>
      <c r="D3132" s="1" t="s">
        <v>4734</v>
      </c>
      <c r="E3132" t="s">
        <v>4735</v>
      </c>
      <c r="F3132" s="2" t="s">
        <v>4736</v>
      </c>
      <c r="G3132" t="s">
        <v>121</v>
      </c>
      <c r="H3132" s="2" t="s">
        <v>92</v>
      </c>
      <c r="I3132" s="2">
        <v>15.4</v>
      </c>
    </row>
    <row r="3133" spans="1:9" x14ac:dyDescent="0.25">
      <c r="A3133" s="1" t="s">
        <v>4762</v>
      </c>
      <c r="B3133" t="s">
        <v>4763</v>
      </c>
      <c r="C3133" s="1" t="s">
        <v>7</v>
      </c>
      <c r="D3133" s="1" t="s">
        <v>7</v>
      </c>
      <c r="E3133" t="s">
        <v>8</v>
      </c>
      <c r="F3133" s="2" t="s">
        <v>9</v>
      </c>
      <c r="G3133" t="s">
        <v>10</v>
      </c>
      <c r="H3133" s="2" t="s">
        <v>523</v>
      </c>
      <c r="I3133" s="2">
        <v>17</v>
      </c>
    </row>
    <row r="3134" spans="1:9" x14ac:dyDescent="0.25">
      <c r="A3134" s="1" t="s">
        <v>4765</v>
      </c>
      <c r="B3134" t="s">
        <v>4766</v>
      </c>
      <c r="C3134" s="1" t="s">
        <v>2318</v>
      </c>
      <c r="D3134" s="1" t="s">
        <v>2318</v>
      </c>
      <c r="E3134" t="s">
        <v>2319</v>
      </c>
      <c r="F3134" s="2" t="s">
        <v>4732</v>
      </c>
      <c r="G3134" t="s">
        <v>17</v>
      </c>
      <c r="H3134" s="2" t="s">
        <v>4733</v>
      </c>
      <c r="I3134" s="2">
        <v>8.4</v>
      </c>
    </row>
    <row r="3135" spans="1:9" x14ac:dyDescent="0.25">
      <c r="A3135" s="1" t="s">
        <v>4765</v>
      </c>
      <c r="B3135" t="s">
        <v>4766</v>
      </c>
      <c r="C3135" s="1" t="s">
        <v>4767</v>
      </c>
      <c r="D3135" s="1" t="s">
        <v>4767</v>
      </c>
      <c r="E3135" t="s">
        <v>4768</v>
      </c>
      <c r="F3135" s="2" t="s">
        <v>2112</v>
      </c>
      <c r="G3135" t="s">
        <v>39</v>
      </c>
      <c r="H3135" s="2" t="s">
        <v>478</v>
      </c>
      <c r="I3135" s="2">
        <v>1.24</v>
      </c>
    </row>
    <row r="3136" spans="1:9" x14ac:dyDescent="0.25">
      <c r="A3136" s="1" t="s">
        <v>4765</v>
      </c>
      <c r="B3136" t="s">
        <v>4766</v>
      </c>
      <c r="C3136" s="1" t="s">
        <v>514</v>
      </c>
      <c r="D3136" s="1" t="s">
        <v>514</v>
      </c>
      <c r="E3136" t="s">
        <v>515</v>
      </c>
      <c r="F3136" s="2" t="s">
        <v>816</v>
      </c>
      <c r="G3136" t="s">
        <v>121</v>
      </c>
      <c r="H3136" s="2" t="s">
        <v>92</v>
      </c>
      <c r="I3136" s="2">
        <v>0.78</v>
      </c>
    </row>
    <row r="3137" spans="1:9" x14ac:dyDescent="0.25">
      <c r="A3137" s="1" t="s">
        <v>4765</v>
      </c>
      <c r="B3137" t="s">
        <v>4766</v>
      </c>
      <c r="C3137" s="1" t="s">
        <v>41</v>
      </c>
      <c r="D3137" s="1" t="s">
        <v>41</v>
      </c>
      <c r="E3137" t="s">
        <v>42</v>
      </c>
      <c r="F3137" s="2" t="s">
        <v>513</v>
      </c>
      <c r="G3137" t="s">
        <v>5</v>
      </c>
      <c r="H3137" s="2" t="s">
        <v>1900</v>
      </c>
      <c r="I3137" s="2">
        <v>0.03</v>
      </c>
    </row>
    <row r="3138" spans="1:9" x14ac:dyDescent="0.25">
      <c r="A3138" s="1" t="s">
        <v>4765</v>
      </c>
      <c r="B3138" t="s">
        <v>4766</v>
      </c>
      <c r="C3138" s="1" t="s">
        <v>4734</v>
      </c>
      <c r="D3138" s="1" t="s">
        <v>4734</v>
      </c>
      <c r="E3138" t="s">
        <v>4735</v>
      </c>
      <c r="F3138" s="2" t="s">
        <v>4736</v>
      </c>
      <c r="G3138" t="s">
        <v>121</v>
      </c>
      <c r="H3138" s="2" t="s">
        <v>92</v>
      </c>
      <c r="I3138" s="2">
        <v>15.4</v>
      </c>
    </row>
    <row r="3139" spans="1:9" x14ac:dyDescent="0.25">
      <c r="A3139" s="1" t="s">
        <v>4765</v>
      </c>
      <c r="B3139" t="s">
        <v>4766</v>
      </c>
      <c r="C3139" s="1" t="s">
        <v>4737</v>
      </c>
      <c r="D3139" s="1" t="s">
        <v>4737</v>
      </c>
      <c r="E3139" t="s">
        <v>4738</v>
      </c>
      <c r="F3139" s="2" t="s">
        <v>634</v>
      </c>
      <c r="G3139" t="s">
        <v>121</v>
      </c>
      <c r="H3139" s="2" t="s">
        <v>50</v>
      </c>
      <c r="I3139" s="2">
        <v>2.2999999999999998</v>
      </c>
    </row>
    <row r="3140" spans="1:9" x14ac:dyDescent="0.25">
      <c r="A3140" s="1" t="s">
        <v>4765</v>
      </c>
      <c r="B3140" t="s">
        <v>4766</v>
      </c>
      <c r="C3140" s="1" t="s">
        <v>7</v>
      </c>
      <c r="D3140" s="1" t="s">
        <v>7</v>
      </c>
      <c r="E3140" t="s">
        <v>8</v>
      </c>
      <c r="F3140" s="2" t="s">
        <v>9</v>
      </c>
      <c r="G3140" t="s">
        <v>10</v>
      </c>
      <c r="H3140" s="2" t="s">
        <v>4769</v>
      </c>
      <c r="I3140" s="2">
        <v>16.8</v>
      </c>
    </row>
    <row r="3141" spans="1:9" x14ac:dyDescent="0.25">
      <c r="A3141" s="1" t="s">
        <v>4770</v>
      </c>
      <c r="B3141" t="s">
        <v>4771</v>
      </c>
      <c r="C3141" s="1" t="s">
        <v>2318</v>
      </c>
      <c r="D3141" s="1" t="s">
        <v>2318</v>
      </c>
      <c r="E3141" t="s">
        <v>2319</v>
      </c>
      <c r="F3141" s="2" t="s">
        <v>4732</v>
      </c>
      <c r="G3141" t="s">
        <v>17</v>
      </c>
      <c r="H3141" s="2" t="s">
        <v>4772</v>
      </c>
      <c r="I3141" s="2">
        <v>7.56</v>
      </c>
    </row>
    <row r="3142" spans="1:9" x14ac:dyDescent="0.25">
      <c r="A3142" s="1" t="s">
        <v>4770</v>
      </c>
      <c r="B3142" t="s">
        <v>4771</v>
      </c>
      <c r="C3142" s="1" t="s">
        <v>4767</v>
      </c>
      <c r="D3142" s="1" t="s">
        <v>4767</v>
      </c>
      <c r="E3142" t="s">
        <v>4768</v>
      </c>
      <c r="F3142" s="2" t="s">
        <v>2112</v>
      </c>
      <c r="G3142" t="s">
        <v>39</v>
      </c>
      <c r="H3142" s="2" t="s">
        <v>478</v>
      </c>
      <c r="I3142" s="2">
        <v>1.24</v>
      </c>
    </row>
    <row r="3143" spans="1:9" x14ac:dyDescent="0.25">
      <c r="A3143" s="1" t="s">
        <v>4770</v>
      </c>
      <c r="B3143" t="s">
        <v>4771</v>
      </c>
      <c r="C3143" s="1" t="s">
        <v>514</v>
      </c>
      <c r="D3143" s="1" t="s">
        <v>514</v>
      </c>
      <c r="E3143" t="s">
        <v>515</v>
      </c>
      <c r="F3143" s="2" t="s">
        <v>816</v>
      </c>
      <c r="G3143" t="s">
        <v>121</v>
      </c>
      <c r="H3143" s="2" t="s">
        <v>50</v>
      </c>
      <c r="I3143" s="2">
        <v>0.39</v>
      </c>
    </row>
    <row r="3144" spans="1:9" x14ac:dyDescent="0.25">
      <c r="A3144" s="1" t="s">
        <v>4770</v>
      </c>
      <c r="B3144" t="s">
        <v>4771</v>
      </c>
      <c r="C3144" s="1" t="s">
        <v>41</v>
      </c>
      <c r="D3144" s="1" t="s">
        <v>41</v>
      </c>
      <c r="E3144" t="s">
        <v>42</v>
      </c>
      <c r="F3144" s="2" t="s">
        <v>513</v>
      </c>
      <c r="G3144" t="s">
        <v>5</v>
      </c>
      <c r="H3144" s="2" t="s">
        <v>44</v>
      </c>
      <c r="I3144" s="2">
        <v>0.01</v>
      </c>
    </row>
    <row r="3145" spans="1:9" x14ac:dyDescent="0.25">
      <c r="A3145" s="1" t="s">
        <v>4770</v>
      </c>
      <c r="B3145" t="s">
        <v>4771</v>
      </c>
      <c r="C3145" s="1" t="s">
        <v>4734</v>
      </c>
      <c r="D3145" s="1" t="s">
        <v>4734</v>
      </c>
      <c r="E3145" t="s">
        <v>4735</v>
      </c>
      <c r="F3145" s="2" t="s">
        <v>4736</v>
      </c>
      <c r="G3145" t="s">
        <v>121</v>
      </c>
      <c r="H3145" s="2" t="s">
        <v>92</v>
      </c>
      <c r="I3145" s="2">
        <v>15.4</v>
      </c>
    </row>
    <row r="3146" spans="1:9" x14ac:dyDescent="0.25">
      <c r="A3146" s="1" t="s">
        <v>4770</v>
      </c>
      <c r="B3146" t="s">
        <v>4771</v>
      </c>
      <c r="C3146" s="1" t="s">
        <v>4737</v>
      </c>
      <c r="D3146" s="1" t="s">
        <v>4737</v>
      </c>
      <c r="E3146" t="s">
        <v>4738</v>
      </c>
      <c r="F3146" s="2" t="s">
        <v>634</v>
      </c>
      <c r="G3146" t="s">
        <v>121</v>
      </c>
      <c r="H3146" s="2" t="s">
        <v>50</v>
      </c>
      <c r="I3146" s="2">
        <v>2.2999999999999998</v>
      </c>
    </row>
    <row r="3147" spans="1:9" x14ac:dyDescent="0.25">
      <c r="A3147" s="1" t="s">
        <v>4770</v>
      </c>
      <c r="B3147" t="s">
        <v>4771</v>
      </c>
      <c r="C3147" s="1" t="s">
        <v>7</v>
      </c>
      <c r="D3147" s="1" t="s">
        <v>7</v>
      </c>
      <c r="E3147" t="s">
        <v>8</v>
      </c>
      <c r="F3147" s="2" t="s">
        <v>9</v>
      </c>
      <c r="G3147" t="s">
        <v>10</v>
      </c>
      <c r="H3147" s="2" t="s">
        <v>4773</v>
      </c>
      <c r="I3147" s="2">
        <v>16.899999999999999</v>
      </c>
    </row>
    <row r="3148" spans="1:9" x14ac:dyDescent="0.25">
      <c r="A3148" s="1" t="s">
        <v>4774</v>
      </c>
      <c r="B3148" t="s">
        <v>4775</v>
      </c>
      <c r="C3148" s="1" t="s">
        <v>2110</v>
      </c>
      <c r="D3148" s="1" t="s">
        <v>2110</v>
      </c>
      <c r="E3148" t="s">
        <v>2111</v>
      </c>
      <c r="F3148" s="2" t="s">
        <v>182</v>
      </c>
      <c r="G3148" t="s">
        <v>17</v>
      </c>
      <c r="H3148" s="2" t="s">
        <v>4776</v>
      </c>
      <c r="I3148" s="2">
        <v>0.75</v>
      </c>
    </row>
    <row r="3149" spans="1:9" x14ac:dyDescent="0.25">
      <c r="A3149" s="1" t="s">
        <v>4774</v>
      </c>
      <c r="B3149" t="s">
        <v>4775</v>
      </c>
      <c r="C3149" s="1" t="s">
        <v>7</v>
      </c>
      <c r="D3149" s="1" t="s">
        <v>7</v>
      </c>
      <c r="E3149" t="s">
        <v>8</v>
      </c>
      <c r="F3149" s="2" t="s">
        <v>9</v>
      </c>
      <c r="G3149" t="s">
        <v>10</v>
      </c>
      <c r="H3149" s="2" t="s">
        <v>601</v>
      </c>
      <c r="I3149" s="2">
        <v>6.9</v>
      </c>
    </row>
    <row r="3150" spans="1:9" x14ac:dyDescent="0.25">
      <c r="A3150" s="1" t="s">
        <v>4777</v>
      </c>
      <c r="B3150" t="s">
        <v>4778</v>
      </c>
      <c r="C3150" s="1" t="s">
        <v>4749</v>
      </c>
      <c r="D3150" s="1" t="s">
        <v>4749</v>
      </c>
      <c r="E3150" t="s">
        <v>4750</v>
      </c>
      <c r="F3150" s="2" t="s">
        <v>4751</v>
      </c>
      <c r="G3150" t="s">
        <v>5</v>
      </c>
      <c r="H3150" s="2" t="s">
        <v>4779</v>
      </c>
      <c r="I3150" s="2">
        <v>1.2</v>
      </c>
    </row>
    <row r="3151" spans="1:9" x14ac:dyDescent="0.25">
      <c r="A3151" s="1" t="s">
        <v>4777</v>
      </c>
      <c r="B3151" t="s">
        <v>4778</v>
      </c>
      <c r="C3151" s="1" t="s">
        <v>7</v>
      </c>
      <c r="D3151" s="1" t="s">
        <v>7</v>
      </c>
      <c r="E3151" t="s">
        <v>8</v>
      </c>
      <c r="F3151" s="2" t="s">
        <v>9</v>
      </c>
      <c r="G3151" t="s">
        <v>10</v>
      </c>
      <c r="H3151" s="2" t="s">
        <v>33</v>
      </c>
      <c r="I3151" s="2">
        <v>9.1999999999999993</v>
      </c>
    </row>
    <row r="3152" spans="1:9" x14ac:dyDescent="0.25">
      <c r="A3152" s="1" t="s">
        <v>4780</v>
      </c>
      <c r="B3152" t="s">
        <v>4781</v>
      </c>
      <c r="C3152" s="1" t="s">
        <v>2318</v>
      </c>
      <c r="D3152" s="1" t="s">
        <v>2318</v>
      </c>
      <c r="E3152" t="s">
        <v>2319</v>
      </c>
      <c r="F3152" s="2" t="s">
        <v>4732</v>
      </c>
      <c r="G3152" t="s">
        <v>17</v>
      </c>
      <c r="H3152" s="2" t="s">
        <v>4782</v>
      </c>
      <c r="I3152" s="2">
        <v>12.08</v>
      </c>
    </row>
    <row r="3153" spans="1:10" x14ac:dyDescent="0.25">
      <c r="A3153" s="1" t="s">
        <v>4780</v>
      </c>
      <c r="B3153" t="s">
        <v>4781</v>
      </c>
      <c r="C3153" s="1" t="s">
        <v>4767</v>
      </c>
      <c r="D3153" s="1" t="s">
        <v>4767</v>
      </c>
      <c r="E3153" t="s">
        <v>4768</v>
      </c>
      <c r="F3153" s="2" t="s">
        <v>2112</v>
      </c>
      <c r="G3153" t="s">
        <v>39</v>
      </c>
      <c r="H3153" s="2" t="s">
        <v>478</v>
      </c>
      <c r="I3153" s="2">
        <v>1.24</v>
      </c>
    </row>
    <row r="3154" spans="1:10" x14ac:dyDescent="0.25">
      <c r="A3154" s="1" t="s">
        <v>4780</v>
      </c>
      <c r="B3154" t="s">
        <v>4781</v>
      </c>
      <c r="C3154" s="1" t="s">
        <v>514</v>
      </c>
      <c r="D3154" s="1" t="s">
        <v>514</v>
      </c>
      <c r="E3154" t="s">
        <v>515</v>
      </c>
      <c r="F3154" s="2" t="s">
        <v>816</v>
      </c>
      <c r="G3154" t="s">
        <v>121</v>
      </c>
      <c r="H3154" s="2" t="s">
        <v>50</v>
      </c>
      <c r="I3154" s="2">
        <v>0.39</v>
      </c>
    </row>
    <row r="3155" spans="1:10" x14ac:dyDescent="0.25">
      <c r="A3155" s="1" t="s">
        <v>4780</v>
      </c>
      <c r="B3155" t="s">
        <v>4781</v>
      </c>
      <c r="C3155" s="1" t="s">
        <v>41</v>
      </c>
      <c r="D3155" s="1" t="s">
        <v>41</v>
      </c>
      <c r="E3155" t="s">
        <v>42</v>
      </c>
      <c r="F3155" s="2" t="s">
        <v>513</v>
      </c>
      <c r="G3155" t="s">
        <v>5</v>
      </c>
      <c r="H3155" s="2" t="s">
        <v>559</v>
      </c>
      <c r="I3155" s="2">
        <v>0.04</v>
      </c>
    </row>
    <row r="3156" spans="1:10" x14ac:dyDescent="0.25">
      <c r="A3156" s="1" t="s">
        <v>4780</v>
      </c>
      <c r="B3156" t="s">
        <v>4781</v>
      </c>
      <c r="C3156" s="1" t="s">
        <v>4734</v>
      </c>
      <c r="D3156" s="1" t="s">
        <v>4734</v>
      </c>
      <c r="E3156" t="s">
        <v>4735</v>
      </c>
      <c r="F3156" s="2" t="s">
        <v>4736</v>
      </c>
      <c r="G3156" t="s">
        <v>121</v>
      </c>
      <c r="H3156" s="2" t="s">
        <v>92</v>
      </c>
      <c r="I3156" s="2">
        <v>15.4</v>
      </c>
    </row>
    <row r="3157" spans="1:10" x14ac:dyDescent="0.25">
      <c r="A3157" s="1" t="s">
        <v>4780</v>
      </c>
      <c r="B3157" t="s">
        <v>4781</v>
      </c>
      <c r="C3157" s="1" t="s">
        <v>7</v>
      </c>
      <c r="D3157" s="1" t="s">
        <v>7</v>
      </c>
      <c r="E3157" t="s">
        <v>8</v>
      </c>
      <c r="F3157" s="2" t="s">
        <v>9</v>
      </c>
      <c r="G3157" t="s">
        <v>10</v>
      </c>
      <c r="H3157" s="2" t="s">
        <v>4773</v>
      </c>
      <c r="I3157" s="2">
        <v>16.899999999999999</v>
      </c>
    </row>
    <row r="3158" spans="1:10" x14ac:dyDescent="0.25">
      <c r="A3158" s="1" t="s">
        <v>4783</v>
      </c>
      <c r="B3158" t="s">
        <v>4784</v>
      </c>
      <c r="C3158" s="1" t="s">
        <v>2292</v>
      </c>
      <c r="D3158" s="1" t="s">
        <v>2292</v>
      </c>
      <c r="E3158" t="s">
        <v>2293</v>
      </c>
      <c r="F3158" s="2" t="s">
        <v>2365</v>
      </c>
      <c r="G3158" t="s">
        <v>17</v>
      </c>
      <c r="H3158" s="2" t="s">
        <v>4785</v>
      </c>
      <c r="I3158" s="2">
        <v>33.47</v>
      </c>
    </row>
    <row r="3159" spans="1:10" x14ac:dyDescent="0.25">
      <c r="A3159" s="1" t="s">
        <v>4783</v>
      </c>
      <c r="B3159" t="s">
        <v>4784</v>
      </c>
      <c r="C3159" s="1" t="s">
        <v>895</v>
      </c>
      <c r="D3159" s="1" t="s">
        <v>895</v>
      </c>
      <c r="E3159" t="s">
        <v>896</v>
      </c>
      <c r="F3159" s="2" t="s">
        <v>897</v>
      </c>
      <c r="G3159" t="s">
        <v>39</v>
      </c>
      <c r="H3159" s="2" t="s">
        <v>447</v>
      </c>
      <c r="I3159" s="2">
        <v>0.19</v>
      </c>
    </row>
    <row r="3160" spans="1:10" x14ac:dyDescent="0.25">
      <c r="A3160" s="1" t="s">
        <v>4783</v>
      </c>
      <c r="B3160" t="s">
        <v>4784</v>
      </c>
      <c r="C3160" s="1" t="s">
        <v>4767</v>
      </c>
      <c r="D3160" s="1" t="s">
        <v>4767</v>
      </c>
      <c r="E3160" t="s">
        <v>4768</v>
      </c>
      <c r="F3160" s="2" t="s">
        <v>2112</v>
      </c>
      <c r="G3160" t="s">
        <v>39</v>
      </c>
      <c r="H3160" s="2" t="s">
        <v>478</v>
      </c>
      <c r="I3160" s="2">
        <v>1.24</v>
      </c>
    </row>
    <row r="3161" spans="1:10" x14ac:dyDescent="0.25">
      <c r="A3161" s="1" t="s">
        <v>4783</v>
      </c>
      <c r="B3161" t="s">
        <v>4784</v>
      </c>
      <c r="C3161" s="1" t="s">
        <v>898</v>
      </c>
      <c r="D3161" s="1" t="s">
        <v>898</v>
      </c>
      <c r="E3161" t="s">
        <v>899</v>
      </c>
      <c r="F3161" s="2" t="s">
        <v>866</v>
      </c>
      <c r="G3161" t="s">
        <v>39</v>
      </c>
      <c r="H3161" s="2" t="s">
        <v>447</v>
      </c>
      <c r="I3161" s="2">
        <v>0.06</v>
      </c>
    </row>
    <row r="3162" spans="1:10" x14ac:dyDescent="0.25">
      <c r="A3162" s="1" t="s">
        <v>4783</v>
      </c>
      <c r="B3162" t="s">
        <v>4784</v>
      </c>
      <c r="C3162" s="1" t="s">
        <v>2304</v>
      </c>
      <c r="D3162" s="1" t="s">
        <v>2304</v>
      </c>
      <c r="E3162" t="s">
        <v>4786</v>
      </c>
      <c r="F3162" s="2" t="s">
        <v>2306</v>
      </c>
      <c r="G3162" t="s">
        <v>121</v>
      </c>
      <c r="H3162" s="2" t="s">
        <v>92</v>
      </c>
      <c r="I3162" s="2">
        <v>0.68</v>
      </c>
    </row>
    <row r="3163" spans="1:10" x14ac:dyDescent="0.25">
      <c r="A3163" s="1" t="s">
        <v>4783</v>
      </c>
      <c r="B3163" t="s">
        <v>4784</v>
      </c>
      <c r="C3163" s="1" t="s">
        <v>41</v>
      </c>
      <c r="D3163" s="1" t="s">
        <v>41</v>
      </c>
      <c r="E3163" t="s">
        <v>42</v>
      </c>
      <c r="F3163" s="2" t="s">
        <v>43</v>
      </c>
      <c r="G3163" t="s">
        <v>5</v>
      </c>
      <c r="H3163" s="2" t="s">
        <v>44</v>
      </c>
      <c r="I3163" s="2">
        <v>0.01</v>
      </c>
    </row>
    <row r="3164" spans="1:10" x14ac:dyDescent="0.25">
      <c r="A3164" s="1" t="s">
        <v>4783</v>
      </c>
      <c r="B3164" t="s">
        <v>4784</v>
      </c>
      <c r="C3164" s="1" t="s">
        <v>4787</v>
      </c>
      <c r="D3164" s="1" t="s">
        <v>4787</v>
      </c>
      <c r="E3164" t="s">
        <v>4788</v>
      </c>
      <c r="F3164" s="2" t="s">
        <v>4789</v>
      </c>
      <c r="G3164" t="s">
        <v>121</v>
      </c>
      <c r="H3164" s="2" t="s">
        <v>92</v>
      </c>
      <c r="I3164" s="2">
        <v>15.6</v>
      </c>
    </row>
    <row r="3165" spans="1:10" x14ac:dyDescent="0.25">
      <c r="A3165" s="1" t="s">
        <v>4783</v>
      </c>
      <c r="B3165" t="s">
        <v>4784</v>
      </c>
      <c r="C3165" s="1" t="s">
        <v>4790</v>
      </c>
      <c r="D3165" s="1" t="s">
        <v>4790</v>
      </c>
      <c r="E3165" t="s">
        <v>4791</v>
      </c>
      <c r="F3165" s="2" t="s">
        <v>4792</v>
      </c>
      <c r="G3165" t="s">
        <v>121</v>
      </c>
      <c r="H3165" s="2" t="s">
        <v>50</v>
      </c>
      <c r="I3165" s="2">
        <v>21.25</v>
      </c>
    </row>
    <row r="3166" spans="1:10" x14ac:dyDescent="0.25">
      <c r="A3166" s="1" t="s">
        <v>4783</v>
      </c>
      <c r="B3166" t="s">
        <v>4784</v>
      </c>
      <c r="C3166" s="1" t="s">
        <v>4793</v>
      </c>
      <c r="D3166" s="1" t="s">
        <v>4793</v>
      </c>
      <c r="E3166" t="s">
        <v>4794</v>
      </c>
      <c r="F3166" s="2" t="s">
        <v>4792</v>
      </c>
      <c r="G3166" t="s">
        <v>121</v>
      </c>
      <c r="H3166" s="2" t="s">
        <v>50</v>
      </c>
      <c r="I3166" s="2">
        <v>21.25</v>
      </c>
    </row>
    <row r="3167" spans="1:10" x14ac:dyDescent="0.25">
      <c r="A3167" s="1" t="s">
        <v>4783</v>
      </c>
      <c r="B3167" t="s">
        <v>4784</v>
      </c>
      <c r="C3167" s="1" t="s">
        <v>502</v>
      </c>
      <c r="D3167" s="1" t="s">
        <v>502</v>
      </c>
      <c r="E3167" t="s">
        <v>503</v>
      </c>
      <c r="F3167" s="2" t="s">
        <v>31</v>
      </c>
      <c r="G3167" t="s">
        <v>121</v>
      </c>
      <c r="H3167" s="2" t="s">
        <v>50</v>
      </c>
      <c r="I3167" s="2">
        <v>10.6</v>
      </c>
      <c r="J3167" t="s">
        <v>55</v>
      </c>
    </row>
    <row r="3168" spans="1:10" x14ac:dyDescent="0.25">
      <c r="A3168" s="1" t="s">
        <v>4783</v>
      </c>
      <c r="B3168" t="s">
        <v>4784</v>
      </c>
      <c r="C3168" s="1" t="s">
        <v>7</v>
      </c>
      <c r="D3168" s="1" t="s">
        <v>7</v>
      </c>
      <c r="E3168" t="s">
        <v>8</v>
      </c>
      <c r="F3168" s="2" t="s">
        <v>9</v>
      </c>
      <c r="G3168" t="s">
        <v>10</v>
      </c>
      <c r="H3168" s="2" t="s">
        <v>4795</v>
      </c>
      <c r="I3168" s="2">
        <v>48.65</v>
      </c>
    </row>
    <row r="3169" spans="1:10" x14ac:dyDescent="0.25">
      <c r="A3169" s="1" t="s">
        <v>980</v>
      </c>
      <c r="B3169" t="s">
        <v>981</v>
      </c>
      <c r="C3169" s="1" t="s">
        <v>2</v>
      </c>
      <c r="D3169" s="1" t="s">
        <v>2</v>
      </c>
      <c r="E3169" t="s">
        <v>3</v>
      </c>
      <c r="F3169" s="2" t="s">
        <v>4</v>
      </c>
      <c r="G3169" t="s">
        <v>5</v>
      </c>
      <c r="H3169" s="2" t="s">
        <v>4796</v>
      </c>
      <c r="I3169" s="2">
        <v>4.8</v>
      </c>
    </row>
    <row r="3170" spans="1:10" x14ac:dyDescent="0.25">
      <c r="A3170" s="1" t="s">
        <v>980</v>
      </c>
      <c r="B3170" t="s">
        <v>981</v>
      </c>
      <c r="C3170" s="1" t="s">
        <v>432</v>
      </c>
      <c r="D3170" s="1" t="s">
        <v>432</v>
      </c>
      <c r="E3170" t="s">
        <v>433</v>
      </c>
      <c r="F3170" s="2" t="s">
        <v>434</v>
      </c>
      <c r="G3170" t="s">
        <v>435</v>
      </c>
      <c r="H3170" s="2" t="s">
        <v>4797</v>
      </c>
      <c r="I3170" s="2">
        <v>1.55</v>
      </c>
    </row>
    <row r="3171" spans="1:10" x14ac:dyDescent="0.25">
      <c r="A3171" s="1" t="s">
        <v>980</v>
      </c>
      <c r="B3171" t="s">
        <v>981</v>
      </c>
      <c r="C3171" s="1" t="s">
        <v>7</v>
      </c>
      <c r="D3171" s="1" t="s">
        <v>7</v>
      </c>
      <c r="E3171" t="s">
        <v>8</v>
      </c>
      <c r="F3171" s="2" t="s">
        <v>9</v>
      </c>
      <c r="G3171" t="s">
        <v>10</v>
      </c>
      <c r="H3171" s="2" t="s">
        <v>4798</v>
      </c>
      <c r="I3171" s="2">
        <v>11.65</v>
      </c>
    </row>
    <row r="3172" spans="1:10" x14ac:dyDescent="0.25">
      <c r="A3172" s="1" t="s">
        <v>4799</v>
      </c>
      <c r="B3172" t="s">
        <v>4800</v>
      </c>
      <c r="C3172" s="1" t="s">
        <v>1487</v>
      </c>
      <c r="D3172" s="1" t="s">
        <v>1487</v>
      </c>
      <c r="E3172" t="s">
        <v>1488</v>
      </c>
      <c r="F3172" s="2" t="s">
        <v>31</v>
      </c>
      <c r="G3172" t="s">
        <v>5</v>
      </c>
      <c r="H3172" s="2" t="s">
        <v>4801</v>
      </c>
      <c r="I3172" s="2">
        <v>5.85</v>
      </c>
    </row>
    <row r="3173" spans="1:10" x14ac:dyDescent="0.25">
      <c r="A3173" s="1" t="s">
        <v>4799</v>
      </c>
      <c r="B3173" t="s">
        <v>4800</v>
      </c>
      <c r="C3173" s="1" t="s">
        <v>1989</v>
      </c>
      <c r="D3173" s="1" t="s">
        <v>1989</v>
      </c>
      <c r="E3173" t="s">
        <v>1990</v>
      </c>
      <c r="F3173" s="2" t="s">
        <v>1991</v>
      </c>
      <c r="G3173" t="s">
        <v>435</v>
      </c>
      <c r="H3173" s="2" t="s">
        <v>4802</v>
      </c>
      <c r="I3173" s="2">
        <v>0.7</v>
      </c>
    </row>
    <row r="3174" spans="1:10" x14ac:dyDescent="0.25">
      <c r="A3174" s="1" t="s">
        <v>4799</v>
      </c>
      <c r="B3174" t="s">
        <v>4800</v>
      </c>
      <c r="C3174" s="1" t="s">
        <v>7</v>
      </c>
      <c r="D3174" s="1" t="s">
        <v>7</v>
      </c>
      <c r="E3174" t="s">
        <v>8</v>
      </c>
      <c r="F3174" s="2" t="s">
        <v>9</v>
      </c>
      <c r="G3174" t="s">
        <v>10</v>
      </c>
      <c r="H3174" s="2" t="s">
        <v>4803</v>
      </c>
      <c r="I3174" s="2">
        <v>8.73</v>
      </c>
    </row>
    <row r="3175" spans="1:10" x14ac:dyDescent="0.25">
      <c r="A3175" s="1" t="s">
        <v>4804</v>
      </c>
      <c r="B3175" t="s">
        <v>4805</v>
      </c>
      <c r="C3175" s="1" t="s">
        <v>1862</v>
      </c>
      <c r="D3175" s="1" t="s">
        <v>1862</v>
      </c>
      <c r="E3175" t="s">
        <v>1863</v>
      </c>
      <c r="F3175" s="2" t="s">
        <v>3549</v>
      </c>
      <c r="G3175" t="s">
        <v>121</v>
      </c>
      <c r="H3175" s="2" t="s">
        <v>2773</v>
      </c>
      <c r="I3175" s="2">
        <v>0.17</v>
      </c>
    </row>
    <row r="3176" spans="1:10" x14ac:dyDescent="0.25">
      <c r="A3176" s="1" t="s">
        <v>4804</v>
      </c>
      <c r="B3176" t="s">
        <v>4805</v>
      </c>
      <c r="C3176" s="1" t="s">
        <v>4806</v>
      </c>
      <c r="D3176" s="1" t="s">
        <v>4806</v>
      </c>
      <c r="E3176" t="s">
        <v>4807</v>
      </c>
      <c r="F3176" s="2" t="s">
        <v>2857</v>
      </c>
      <c r="G3176" t="s">
        <v>121</v>
      </c>
      <c r="H3176" s="2" t="s">
        <v>50</v>
      </c>
      <c r="I3176" s="2">
        <v>5.94</v>
      </c>
    </row>
    <row r="3177" spans="1:10" x14ac:dyDescent="0.25">
      <c r="A3177" s="1" t="s">
        <v>4804</v>
      </c>
      <c r="B3177" t="s">
        <v>4805</v>
      </c>
      <c r="C3177" s="1" t="s">
        <v>2741</v>
      </c>
      <c r="D3177" s="1" t="s">
        <v>2741</v>
      </c>
      <c r="E3177" t="s">
        <v>2742</v>
      </c>
      <c r="F3177" s="2" t="s">
        <v>2743</v>
      </c>
      <c r="G3177" t="s">
        <v>121</v>
      </c>
      <c r="H3177" s="2" t="s">
        <v>92</v>
      </c>
      <c r="I3177" s="2">
        <v>0.18</v>
      </c>
    </row>
    <row r="3178" spans="1:10" x14ac:dyDescent="0.25">
      <c r="A3178" s="1" t="s">
        <v>4804</v>
      </c>
      <c r="B3178" t="s">
        <v>4805</v>
      </c>
      <c r="C3178" s="1" t="s">
        <v>4808</v>
      </c>
      <c r="D3178" s="1" t="s">
        <v>4808</v>
      </c>
      <c r="E3178" t="s">
        <v>4809</v>
      </c>
      <c r="F3178" s="2" t="s">
        <v>2329</v>
      </c>
      <c r="G3178" t="s">
        <v>49</v>
      </c>
      <c r="H3178" s="2" t="s">
        <v>50</v>
      </c>
      <c r="I3178" s="2">
        <v>0.6</v>
      </c>
    </row>
    <row r="3179" spans="1:10" x14ac:dyDescent="0.25">
      <c r="A3179" s="1" t="s">
        <v>4804</v>
      </c>
      <c r="B3179" t="s">
        <v>4805</v>
      </c>
      <c r="C3179" s="1" t="s">
        <v>172</v>
      </c>
      <c r="D3179" s="1" t="s">
        <v>172</v>
      </c>
      <c r="E3179" t="s">
        <v>173</v>
      </c>
      <c r="F3179" s="2" t="s">
        <v>87</v>
      </c>
      <c r="G3179" t="s">
        <v>49</v>
      </c>
      <c r="H3179" s="2" t="s">
        <v>50</v>
      </c>
      <c r="I3179" s="2">
        <v>8.9</v>
      </c>
      <c r="J3179" t="s">
        <v>55</v>
      </c>
    </row>
    <row r="3180" spans="1:10" x14ac:dyDescent="0.25">
      <c r="A3180" s="1" t="s">
        <v>4804</v>
      </c>
      <c r="B3180" t="s">
        <v>4805</v>
      </c>
      <c r="C3180" s="1" t="s">
        <v>174</v>
      </c>
      <c r="D3180" s="1" t="s">
        <v>174</v>
      </c>
      <c r="E3180" t="s">
        <v>175</v>
      </c>
      <c r="F3180" s="2" t="s">
        <v>176</v>
      </c>
      <c r="G3180" t="s">
        <v>49</v>
      </c>
      <c r="H3180" s="2" t="s">
        <v>50</v>
      </c>
      <c r="I3180" s="2">
        <v>3.6</v>
      </c>
      <c r="J3180" t="s">
        <v>55</v>
      </c>
    </row>
    <row r="3181" spans="1:10" x14ac:dyDescent="0.25">
      <c r="A3181" s="1" t="s">
        <v>4804</v>
      </c>
      <c r="B3181" t="s">
        <v>4805</v>
      </c>
      <c r="C3181" s="1" t="s">
        <v>177</v>
      </c>
      <c r="D3181" s="1" t="s">
        <v>177</v>
      </c>
      <c r="E3181" t="s">
        <v>178</v>
      </c>
      <c r="F3181" s="2" t="s">
        <v>179</v>
      </c>
      <c r="G3181" t="s">
        <v>49</v>
      </c>
      <c r="H3181" s="2" t="s">
        <v>92</v>
      </c>
      <c r="I3181" s="2">
        <v>5.3</v>
      </c>
      <c r="J3181" t="s">
        <v>55</v>
      </c>
    </row>
    <row r="3182" spans="1:10" x14ac:dyDescent="0.25">
      <c r="A3182" s="1" t="s">
        <v>4804</v>
      </c>
      <c r="B3182" t="s">
        <v>4805</v>
      </c>
      <c r="C3182" s="1" t="s">
        <v>180</v>
      </c>
      <c r="D3182" s="1" t="s">
        <v>180</v>
      </c>
      <c r="E3182" t="s">
        <v>181</v>
      </c>
      <c r="F3182" s="2" t="s">
        <v>182</v>
      </c>
      <c r="G3182" t="s">
        <v>49</v>
      </c>
      <c r="H3182" s="2" t="s">
        <v>50</v>
      </c>
      <c r="I3182" s="2">
        <v>13.8</v>
      </c>
      <c r="J3182" t="s">
        <v>55</v>
      </c>
    </row>
    <row r="3183" spans="1:10" x14ac:dyDescent="0.25">
      <c r="A3183" s="1" t="s">
        <v>4804</v>
      </c>
      <c r="B3183" t="s">
        <v>4805</v>
      </c>
      <c r="C3183" s="1" t="s">
        <v>183</v>
      </c>
      <c r="D3183" s="1" t="s">
        <v>183</v>
      </c>
      <c r="E3183" t="s">
        <v>184</v>
      </c>
      <c r="F3183" s="2" t="s">
        <v>185</v>
      </c>
      <c r="G3183" t="s">
        <v>49</v>
      </c>
      <c r="H3183" s="2" t="s">
        <v>50</v>
      </c>
      <c r="I3183" s="2">
        <v>3.9</v>
      </c>
      <c r="J3183" t="s">
        <v>55</v>
      </c>
    </row>
    <row r="3184" spans="1:10" x14ac:dyDescent="0.25">
      <c r="A3184" s="1" t="s">
        <v>4804</v>
      </c>
      <c r="B3184" t="s">
        <v>4805</v>
      </c>
      <c r="C3184" s="1" t="s">
        <v>432</v>
      </c>
      <c r="D3184" s="1" t="s">
        <v>432</v>
      </c>
      <c r="E3184" t="s">
        <v>433</v>
      </c>
      <c r="F3184" s="2" t="s">
        <v>434</v>
      </c>
      <c r="G3184" t="s">
        <v>435</v>
      </c>
      <c r="H3184" s="2" t="s">
        <v>50</v>
      </c>
      <c r="I3184" s="2">
        <v>1.1000000000000001</v>
      </c>
    </row>
    <row r="3185" spans="1:9" x14ac:dyDescent="0.25">
      <c r="A3185" s="1" t="s">
        <v>4804</v>
      </c>
      <c r="B3185" t="s">
        <v>4805</v>
      </c>
      <c r="C3185" s="1" t="s">
        <v>7</v>
      </c>
      <c r="D3185" s="1" t="s">
        <v>7</v>
      </c>
      <c r="E3185" t="s">
        <v>8</v>
      </c>
      <c r="F3185" s="2" t="s">
        <v>9</v>
      </c>
      <c r="G3185" t="s">
        <v>10</v>
      </c>
      <c r="H3185" s="2" t="s">
        <v>652</v>
      </c>
      <c r="I3185" s="2">
        <v>1.38</v>
      </c>
    </row>
    <row r="3186" spans="1:9" x14ac:dyDescent="0.25">
      <c r="A3186" s="1" t="s">
        <v>4804</v>
      </c>
      <c r="B3186" t="s">
        <v>4805</v>
      </c>
      <c r="C3186" s="1" t="s">
        <v>7</v>
      </c>
      <c r="D3186" s="1" t="s">
        <v>7</v>
      </c>
      <c r="E3186" t="s">
        <v>8</v>
      </c>
      <c r="F3186" s="2" t="s">
        <v>9</v>
      </c>
      <c r="G3186" t="s">
        <v>10</v>
      </c>
      <c r="H3186" s="2" t="s">
        <v>367</v>
      </c>
      <c r="I3186" s="2">
        <v>2.2999999999999998</v>
      </c>
    </row>
    <row r="3187" spans="1:9" x14ac:dyDescent="0.25">
      <c r="A3187" s="1" t="s">
        <v>4804</v>
      </c>
      <c r="B3187" t="s">
        <v>4805</v>
      </c>
      <c r="C3187" s="1" t="s">
        <v>7</v>
      </c>
      <c r="D3187" s="1" t="s">
        <v>7</v>
      </c>
      <c r="E3187" t="s">
        <v>8</v>
      </c>
      <c r="F3187" s="2" t="s">
        <v>9</v>
      </c>
      <c r="G3187" t="s">
        <v>10</v>
      </c>
      <c r="H3187" s="2" t="s">
        <v>19</v>
      </c>
      <c r="I3187" s="2">
        <v>4.5999999999999996</v>
      </c>
    </row>
    <row r="3188" spans="1:9" x14ac:dyDescent="0.25">
      <c r="A3188" s="1" t="s">
        <v>4810</v>
      </c>
      <c r="B3188" t="s">
        <v>4811</v>
      </c>
      <c r="C3188" s="1" t="s">
        <v>1345</v>
      </c>
      <c r="D3188" s="1" t="s">
        <v>1345</v>
      </c>
      <c r="E3188" t="s">
        <v>1346</v>
      </c>
      <c r="F3188" s="2" t="s">
        <v>1347</v>
      </c>
      <c r="G3188" t="s">
        <v>5</v>
      </c>
      <c r="H3188" s="2" t="s">
        <v>4812</v>
      </c>
      <c r="I3188" s="2">
        <v>0.1</v>
      </c>
    </row>
    <row r="3189" spans="1:9" x14ac:dyDescent="0.25">
      <c r="A3189" s="1" t="s">
        <v>4810</v>
      </c>
      <c r="B3189" t="s">
        <v>4811</v>
      </c>
      <c r="C3189" s="1" t="s">
        <v>7</v>
      </c>
      <c r="D3189" s="1" t="s">
        <v>7</v>
      </c>
      <c r="E3189" t="s">
        <v>8</v>
      </c>
      <c r="F3189" s="2" t="s">
        <v>9</v>
      </c>
      <c r="G3189" t="s">
        <v>10</v>
      </c>
      <c r="H3189" s="2" t="s">
        <v>4813</v>
      </c>
      <c r="I3189" s="2">
        <v>0.5</v>
      </c>
    </row>
    <row r="3190" spans="1:9" x14ac:dyDescent="0.25">
      <c r="A3190" s="1" t="s">
        <v>4814</v>
      </c>
      <c r="B3190" t="s">
        <v>4815</v>
      </c>
      <c r="C3190" s="1" t="s">
        <v>1345</v>
      </c>
      <c r="D3190" s="1" t="s">
        <v>1345</v>
      </c>
      <c r="E3190" t="s">
        <v>1346</v>
      </c>
      <c r="F3190" s="2" t="s">
        <v>1369</v>
      </c>
      <c r="G3190" t="s">
        <v>5</v>
      </c>
      <c r="H3190" s="2" t="s">
        <v>4816</v>
      </c>
      <c r="I3190" s="2">
        <v>0.1</v>
      </c>
    </row>
    <row r="3191" spans="1:9" x14ac:dyDescent="0.25">
      <c r="A3191" s="1" t="s">
        <v>4814</v>
      </c>
      <c r="B3191" t="s">
        <v>4815</v>
      </c>
      <c r="C3191" s="1" t="s">
        <v>7</v>
      </c>
      <c r="D3191" s="1" t="s">
        <v>7</v>
      </c>
      <c r="E3191" t="s">
        <v>8</v>
      </c>
      <c r="F3191" s="2" t="s">
        <v>9</v>
      </c>
      <c r="G3191" t="s">
        <v>10</v>
      </c>
      <c r="H3191" s="2" t="s">
        <v>4813</v>
      </c>
      <c r="I3191" s="2">
        <v>0.5</v>
      </c>
    </row>
    <row r="3192" spans="1:9" x14ac:dyDescent="0.25">
      <c r="A3192" s="1" t="s">
        <v>4817</v>
      </c>
      <c r="B3192" t="s">
        <v>4818</v>
      </c>
      <c r="C3192" s="1" t="s">
        <v>1249</v>
      </c>
      <c r="D3192" s="1" t="s">
        <v>1249</v>
      </c>
      <c r="E3192" t="s">
        <v>1250</v>
      </c>
      <c r="F3192" s="2" t="s">
        <v>1251</v>
      </c>
      <c r="G3192" t="s">
        <v>1252</v>
      </c>
      <c r="H3192" s="2" t="s">
        <v>4819</v>
      </c>
      <c r="I3192" s="2">
        <v>15.84</v>
      </c>
    </row>
    <row r="3193" spans="1:9" x14ac:dyDescent="0.25">
      <c r="A3193" s="1" t="s">
        <v>4817</v>
      </c>
      <c r="B3193" t="s">
        <v>4818</v>
      </c>
      <c r="C3193" s="1" t="s">
        <v>541</v>
      </c>
      <c r="D3193" s="1" t="s">
        <v>541</v>
      </c>
      <c r="E3193" t="s">
        <v>542</v>
      </c>
      <c r="F3193" s="2" t="s">
        <v>9</v>
      </c>
      <c r="G3193" t="s">
        <v>10</v>
      </c>
      <c r="H3193" s="2" t="s">
        <v>601</v>
      </c>
      <c r="I3193" s="2">
        <v>6.9</v>
      </c>
    </row>
    <row r="3194" spans="1:9" x14ac:dyDescent="0.25">
      <c r="A3194" s="1" t="s">
        <v>4817</v>
      </c>
      <c r="B3194" t="s">
        <v>4818</v>
      </c>
      <c r="C3194" s="1" t="s">
        <v>541</v>
      </c>
      <c r="D3194" s="1" t="s">
        <v>541</v>
      </c>
      <c r="E3194" t="s">
        <v>542</v>
      </c>
      <c r="F3194" s="2" t="s">
        <v>9</v>
      </c>
      <c r="G3194" t="s">
        <v>10</v>
      </c>
      <c r="H3194" s="2" t="s">
        <v>594</v>
      </c>
      <c r="I3194" s="2">
        <v>11.5</v>
      </c>
    </row>
    <row r="3195" spans="1:9" x14ac:dyDescent="0.25">
      <c r="A3195" s="1" t="s">
        <v>817</v>
      </c>
      <c r="B3195" t="s">
        <v>4820</v>
      </c>
      <c r="C3195" s="1" t="s">
        <v>1249</v>
      </c>
      <c r="D3195" s="1" t="s">
        <v>1249</v>
      </c>
      <c r="E3195" t="s">
        <v>1250</v>
      </c>
      <c r="F3195" s="2" t="s">
        <v>1251</v>
      </c>
      <c r="G3195" t="s">
        <v>1252</v>
      </c>
      <c r="H3195" s="2" t="s">
        <v>4821</v>
      </c>
      <c r="I3195" s="2">
        <v>13.92</v>
      </c>
    </row>
    <row r="3196" spans="1:9" x14ac:dyDescent="0.25">
      <c r="A3196" s="1" t="s">
        <v>817</v>
      </c>
      <c r="B3196" t="s">
        <v>4820</v>
      </c>
      <c r="C3196" s="1" t="s">
        <v>7</v>
      </c>
      <c r="D3196" s="1" t="s">
        <v>7</v>
      </c>
      <c r="E3196" t="s">
        <v>1031</v>
      </c>
      <c r="F3196" s="2" t="s">
        <v>9</v>
      </c>
      <c r="G3196" t="s">
        <v>10</v>
      </c>
      <c r="H3196" s="2" t="s">
        <v>4822</v>
      </c>
      <c r="I3196" s="2">
        <v>19.64</v>
      </c>
    </row>
    <row r="3197" spans="1:9" x14ac:dyDescent="0.25">
      <c r="A3197" s="1" t="s">
        <v>820</v>
      </c>
      <c r="B3197" t="s">
        <v>4823</v>
      </c>
      <c r="C3197" s="1" t="s">
        <v>1249</v>
      </c>
      <c r="D3197" s="1" t="s">
        <v>1249</v>
      </c>
      <c r="E3197" t="s">
        <v>1250</v>
      </c>
      <c r="F3197" s="2" t="s">
        <v>1251</v>
      </c>
      <c r="G3197" t="s">
        <v>1252</v>
      </c>
      <c r="H3197" s="2" t="s">
        <v>4824</v>
      </c>
      <c r="I3197" s="2">
        <v>3.36</v>
      </c>
    </row>
    <row r="3198" spans="1:9" x14ac:dyDescent="0.25">
      <c r="A3198" s="1" t="s">
        <v>820</v>
      </c>
      <c r="B3198" t="s">
        <v>4823</v>
      </c>
      <c r="C3198" s="1" t="s">
        <v>7</v>
      </c>
      <c r="D3198" s="1" t="s">
        <v>7</v>
      </c>
      <c r="E3198" t="s">
        <v>1031</v>
      </c>
      <c r="F3198" s="2" t="s">
        <v>9</v>
      </c>
      <c r="G3198" t="s">
        <v>10</v>
      </c>
      <c r="H3198" s="2" t="s">
        <v>4825</v>
      </c>
      <c r="I3198" s="2">
        <v>16.170000000000002</v>
      </c>
    </row>
    <row r="3199" spans="1:9" x14ac:dyDescent="0.25">
      <c r="A3199" s="1" t="s">
        <v>4826</v>
      </c>
      <c r="B3199" t="s">
        <v>4827</v>
      </c>
      <c r="C3199" s="1" t="s">
        <v>479</v>
      </c>
      <c r="D3199" s="1" t="s">
        <v>479</v>
      </c>
      <c r="E3199" t="s">
        <v>480</v>
      </c>
      <c r="F3199" s="2" t="s">
        <v>626</v>
      </c>
      <c r="G3199" t="s">
        <v>5</v>
      </c>
      <c r="H3199" s="2" t="s">
        <v>736</v>
      </c>
      <c r="I3199" s="2">
        <v>0.1</v>
      </c>
    </row>
    <row r="3200" spans="1:9" x14ac:dyDescent="0.25">
      <c r="A3200" s="1" t="s">
        <v>4826</v>
      </c>
      <c r="B3200" t="s">
        <v>4827</v>
      </c>
      <c r="C3200" s="1" t="s">
        <v>628</v>
      </c>
      <c r="D3200" s="1" t="s">
        <v>628</v>
      </c>
      <c r="E3200" t="s">
        <v>629</v>
      </c>
      <c r="F3200" s="2" t="s">
        <v>630</v>
      </c>
      <c r="G3200" t="s">
        <v>5</v>
      </c>
      <c r="H3200" s="2" t="s">
        <v>2603</v>
      </c>
      <c r="I3200" s="2">
        <v>0.4</v>
      </c>
    </row>
    <row r="3201" spans="1:10" x14ac:dyDescent="0.25">
      <c r="A3201" s="1" t="s">
        <v>4826</v>
      </c>
      <c r="B3201" t="s">
        <v>4827</v>
      </c>
      <c r="C3201" s="1" t="s">
        <v>738</v>
      </c>
      <c r="D3201" s="1" t="s">
        <v>738</v>
      </c>
      <c r="E3201" t="s">
        <v>739</v>
      </c>
      <c r="F3201" s="2" t="s">
        <v>816</v>
      </c>
      <c r="G3201" t="s">
        <v>121</v>
      </c>
      <c r="H3201" s="2" t="s">
        <v>268</v>
      </c>
      <c r="I3201" s="2">
        <v>1.17</v>
      </c>
    </row>
    <row r="3202" spans="1:10" x14ac:dyDescent="0.25">
      <c r="A3202" s="1" t="s">
        <v>4826</v>
      </c>
      <c r="B3202" t="s">
        <v>4827</v>
      </c>
      <c r="C3202" s="1" t="s">
        <v>704</v>
      </c>
      <c r="D3202" s="1" t="s">
        <v>704</v>
      </c>
      <c r="E3202" t="s">
        <v>705</v>
      </c>
      <c r="F3202" s="2" t="s">
        <v>744</v>
      </c>
      <c r="G3202" t="s">
        <v>121</v>
      </c>
      <c r="H3202" s="2" t="s">
        <v>92</v>
      </c>
      <c r="I3202" s="2">
        <v>0.8</v>
      </c>
    </row>
    <row r="3203" spans="1:10" x14ac:dyDescent="0.25">
      <c r="A3203" s="1" t="s">
        <v>4826</v>
      </c>
      <c r="B3203" t="s">
        <v>4827</v>
      </c>
      <c r="C3203" s="1" t="s">
        <v>41</v>
      </c>
      <c r="D3203" s="1" t="s">
        <v>41</v>
      </c>
      <c r="E3203" t="s">
        <v>42</v>
      </c>
      <c r="F3203" s="2" t="s">
        <v>513</v>
      </c>
      <c r="G3203" t="s">
        <v>5</v>
      </c>
      <c r="H3203" s="2" t="s">
        <v>615</v>
      </c>
      <c r="I3203" s="2">
        <v>0.02</v>
      </c>
    </row>
    <row r="3204" spans="1:10" x14ac:dyDescent="0.25">
      <c r="A3204" s="1" t="s">
        <v>4826</v>
      </c>
      <c r="B3204" t="s">
        <v>4827</v>
      </c>
      <c r="C3204" s="1" t="s">
        <v>4828</v>
      </c>
      <c r="D3204" s="1" t="s">
        <v>4828</v>
      </c>
      <c r="E3204" t="s">
        <v>4829</v>
      </c>
      <c r="F3204" s="2" t="s">
        <v>4830</v>
      </c>
      <c r="G3204" t="s">
        <v>121</v>
      </c>
      <c r="H3204" s="2" t="s">
        <v>50</v>
      </c>
      <c r="I3204" s="2">
        <v>48.88</v>
      </c>
      <c r="J3204" t="s">
        <v>55</v>
      </c>
    </row>
    <row r="3205" spans="1:10" x14ac:dyDescent="0.25">
      <c r="A3205" s="1" t="s">
        <v>4826</v>
      </c>
      <c r="B3205" t="s">
        <v>4827</v>
      </c>
      <c r="C3205" s="1" t="s">
        <v>4831</v>
      </c>
      <c r="D3205" s="1" t="s">
        <v>4831</v>
      </c>
      <c r="E3205" t="s">
        <v>4832</v>
      </c>
      <c r="F3205" s="2" t="s">
        <v>4833</v>
      </c>
      <c r="G3205" t="s">
        <v>121</v>
      </c>
      <c r="H3205" s="2" t="s">
        <v>50</v>
      </c>
      <c r="I3205" s="2">
        <v>49.89</v>
      </c>
      <c r="J3205" t="s">
        <v>55</v>
      </c>
    </row>
    <row r="3206" spans="1:10" x14ac:dyDescent="0.25">
      <c r="A3206" s="1" t="s">
        <v>4826</v>
      </c>
      <c r="B3206" t="s">
        <v>4827</v>
      </c>
      <c r="C3206" s="1" t="s">
        <v>4834</v>
      </c>
      <c r="D3206" s="1" t="s">
        <v>4834</v>
      </c>
      <c r="E3206" t="s">
        <v>4835</v>
      </c>
      <c r="F3206" s="2" t="s">
        <v>4836</v>
      </c>
      <c r="G3206" t="s">
        <v>121</v>
      </c>
      <c r="H3206" s="2" t="s">
        <v>50</v>
      </c>
      <c r="I3206" s="2">
        <v>28.55</v>
      </c>
      <c r="J3206" t="s">
        <v>55</v>
      </c>
    </row>
    <row r="3207" spans="1:10" x14ac:dyDescent="0.25">
      <c r="A3207" s="1" t="s">
        <v>4826</v>
      </c>
      <c r="B3207" t="s">
        <v>4827</v>
      </c>
      <c r="C3207" s="1" t="s">
        <v>684</v>
      </c>
      <c r="D3207" s="1" t="s">
        <v>684</v>
      </c>
      <c r="E3207" t="s">
        <v>685</v>
      </c>
      <c r="F3207" s="2" t="s">
        <v>686</v>
      </c>
      <c r="G3207" t="s">
        <v>49</v>
      </c>
      <c r="H3207" s="2" t="s">
        <v>4837</v>
      </c>
      <c r="I3207" s="2">
        <v>6.05</v>
      </c>
    </row>
    <row r="3208" spans="1:10" x14ac:dyDescent="0.25">
      <c r="A3208" s="1" t="s">
        <v>4826</v>
      </c>
      <c r="B3208" t="s">
        <v>4827</v>
      </c>
      <c r="C3208" s="1" t="s">
        <v>541</v>
      </c>
      <c r="D3208" s="1" t="s">
        <v>541</v>
      </c>
      <c r="E3208" t="s">
        <v>542</v>
      </c>
      <c r="F3208" s="2" t="s">
        <v>9</v>
      </c>
      <c r="G3208" t="s">
        <v>10</v>
      </c>
      <c r="H3208" s="2" t="s">
        <v>607</v>
      </c>
      <c r="I3208" s="2">
        <v>18.399999999999999</v>
      </c>
    </row>
    <row r="3209" spans="1:10" x14ac:dyDescent="0.25">
      <c r="A3209" s="1" t="s">
        <v>4828</v>
      </c>
      <c r="B3209" t="s">
        <v>4838</v>
      </c>
      <c r="C3209" s="1" t="s">
        <v>1249</v>
      </c>
      <c r="D3209" s="1" t="s">
        <v>1249</v>
      </c>
      <c r="E3209" t="s">
        <v>1250</v>
      </c>
      <c r="F3209" s="2" t="s">
        <v>1251</v>
      </c>
      <c r="G3209" t="s">
        <v>1252</v>
      </c>
      <c r="H3209" s="2" t="s">
        <v>1348</v>
      </c>
      <c r="I3209" s="2">
        <v>27</v>
      </c>
    </row>
    <row r="3210" spans="1:10" x14ac:dyDescent="0.25">
      <c r="A3210" s="1" t="s">
        <v>4828</v>
      </c>
      <c r="B3210" t="s">
        <v>4838</v>
      </c>
      <c r="C3210" s="1" t="s">
        <v>541</v>
      </c>
      <c r="D3210" s="1" t="s">
        <v>541</v>
      </c>
      <c r="E3210" t="s">
        <v>542</v>
      </c>
      <c r="F3210" s="2" t="s">
        <v>9</v>
      </c>
      <c r="G3210" t="s">
        <v>10</v>
      </c>
      <c r="H3210" s="2" t="s">
        <v>4839</v>
      </c>
      <c r="I3210" s="2">
        <v>8.08</v>
      </c>
    </row>
    <row r="3211" spans="1:10" x14ac:dyDescent="0.25">
      <c r="A3211" s="1" t="s">
        <v>4828</v>
      </c>
      <c r="B3211" t="s">
        <v>4838</v>
      </c>
      <c r="C3211" s="1" t="s">
        <v>541</v>
      </c>
      <c r="D3211" s="1" t="s">
        <v>541</v>
      </c>
      <c r="E3211" t="s">
        <v>542</v>
      </c>
      <c r="F3211" s="2" t="s">
        <v>9</v>
      </c>
      <c r="G3211" t="s">
        <v>10</v>
      </c>
      <c r="H3211" s="2" t="s">
        <v>992</v>
      </c>
      <c r="I3211" s="2">
        <v>13.8</v>
      </c>
    </row>
    <row r="3212" spans="1:10" x14ac:dyDescent="0.25">
      <c r="A3212" s="1" t="s">
        <v>4831</v>
      </c>
      <c r="B3212" t="s">
        <v>4840</v>
      </c>
      <c r="C3212" s="1" t="s">
        <v>1249</v>
      </c>
      <c r="D3212" s="1" t="s">
        <v>1249</v>
      </c>
      <c r="E3212" t="s">
        <v>1250</v>
      </c>
      <c r="F3212" s="2" t="s">
        <v>1251</v>
      </c>
      <c r="G3212" t="s">
        <v>1252</v>
      </c>
      <c r="H3212" s="2" t="s">
        <v>1858</v>
      </c>
      <c r="I3212" s="2">
        <v>24</v>
      </c>
    </row>
    <row r="3213" spans="1:10" x14ac:dyDescent="0.25">
      <c r="A3213" s="1" t="s">
        <v>4831</v>
      </c>
      <c r="B3213" t="s">
        <v>4840</v>
      </c>
      <c r="C3213" s="1" t="s">
        <v>541</v>
      </c>
      <c r="D3213" s="1" t="s">
        <v>541</v>
      </c>
      <c r="E3213" t="s">
        <v>542</v>
      </c>
      <c r="F3213" s="2" t="s">
        <v>9</v>
      </c>
      <c r="G3213" t="s">
        <v>10</v>
      </c>
      <c r="H3213" s="2" t="s">
        <v>4839</v>
      </c>
      <c r="I3213" s="2">
        <v>8.08</v>
      </c>
    </row>
    <row r="3214" spans="1:10" x14ac:dyDescent="0.25">
      <c r="A3214" s="1" t="s">
        <v>4831</v>
      </c>
      <c r="B3214" t="s">
        <v>4840</v>
      </c>
      <c r="C3214" s="1" t="s">
        <v>541</v>
      </c>
      <c r="D3214" s="1" t="s">
        <v>541</v>
      </c>
      <c r="E3214" t="s">
        <v>542</v>
      </c>
      <c r="F3214" s="2" t="s">
        <v>9</v>
      </c>
      <c r="G3214" t="s">
        <v>10</v>
      </c>
      <c r="H3214" s="2" t="s">
        <v>4841</v>
      </c>
      <c r="I3214" s="2">
        <v>17.809999999999999</v>
      </c>
    </row>
    <row r="3215" spans="1:10" x14ac:dyDescent="0.25">
      <c r="A3215" s="1" t="s">
        <v>4834</v>
      </c>
      <c r="B3215" t="s">
        <v>4842</v>
      </c>
      <c r="C3215" s="1" t="s">
        <v>1249</v>
      </c>
      <c r="D3215" s="1" t="s">
        <v>1249</v>
      </c>
      <c r="E3215" t="s">
        <v>1250</v>
      </c>
      <c r="F3215" s="2" t="s">
        <v>1251</v>
      </c>
      <c r="G3215" t="s">
        <v>1252</v>
      </c>
      <c r="H3215" s="2" t="s">
        <v>4843</v>
      </c>
      <c r="I3215" s="2">
        <v>10.08</v>
      </c>
    </row>
    <row r="3216" spans="1:10" x14ac:dyDescent="0.25">
      <c r="A3216" s="1" t="s">
        <v>4834</v>
      </c>
      <c r="B3216" t="s">
        <v>4842</v>
      </c>
      <c r="C3216" s="1" t="s">
        <v>541</v>
      </c>
      <c r="D3216" s="1" t="s">
        <v>541</v>
      </c>
      <c r="E3216" t="s">
        <v>542</v>
      </c>
      <c r="F3216" s="2" t="s">
        <v>9</v>
      </c>
      <c r="G3216" t="s">
        <v>10</v>
      </c>
      <c r="H3216" s="2" t="s">
        <v>4839</v>
      </c>
      <c r="I3216" s="2">
        <v>8.08</v>
      </c>
    </row>
    <row r="3217" spans="1:9" x14ac:dyDescent="0.25">
      <c r="A3217" s="1" t="s">
        <v>4834</v>
      </c>
      <c r="B3217" t="s">
        <v>4842</v>
      </c>
      <c r="C3217" s="1" t="s">
        <v>541</v>
      </c>
      <c r="D3217" s="1" t="s">
        <v>541</v>
      </c>
      <c r="E3217" t="s">
        <v>542</v>
      </c>
      <c r="F3217" s="2" t="s">
        <v>9</v>
      </c>
      <c r="G3217" t="s">
        <v>10</v>
      </c>
      <c r="H3217" s="2" t="s">
        <v>4844</v>
      </c>
      <c r="I3217" s="2">
        <v>10.38</v>
      </c>
    </row>
    <row r="3218" spans="1:9" x14ac:dyDescent="0.25">
      <c r="A3218" s="1" t="s">
        <v>4845</v>
      </c>
      <c r="B3218" t="s">
        <v>4846</v>
      </c>
      <c r="C3218" s="1" t="s">
        <v>1547</v>
      </c>
      <c r="D3218" s="1" t="s">
        <v>1547</v>
      </c>
      <c r="E3218" t="s">
        <v>1548</v>
      </c>
      <c r="F3218" s="2" t="s">
        <v>216</v>
      </c>
      <c r="G3218" t="s">
        <v>5</v>
      </c>
      <c r="H3218" s="2" t="s">
        <v>367</v>
      </c>
      <c r="I3218" s="2">
        <v>0.35</v>
      </c>
    </row>
    <row r="3219" spans="1:9" x14ac:dyDescent="0.25">
      <c r="A3219" s="1" t="s">
        <v>4845</v>
      </c>
      <c r="B3219" t="s">
        <v>4846</v>
      </c>
      <c r="C3219" s="1" t="s">
        <v>541</v>
      </c>
      <c r="D3219" s="1" t="s">
        <v>541</v>
      </c>
      <c r="E3219" t="s">
        <v>542</v>
      </c>
      <c r="F3219" s="2" t="s">
        <v>9</v>
      </c>
      <c r="G3219" t="s">
        <v>10</v>
      </c>
      <c r="H3219" s="2" t="s">
        <v>19</v>
      </c>
      <c r="I3219" s="2">
        <v>4.5999999999999996</v>
      </c>
    </row>
    <row r="3220" spans="1:9" x14ac:dyDescent="0.25">
      <c r="A3220" s="1" t="s">
        <v>4847</v>
      </c>
      <c r="B3220" t="s">
        <v>4848</v>
      </c>
      <c r="C3220" s="1" t="s">
        <v>1367</v>
      </c>
      <c r="D3220" s="1" t="s">
        <v>1367</v>
      </c>
      <c r="E3220" t="s">
        <v>2132</v>
      </c>
      <c r="F3220" s="2" t="s">
        <v>1347</v>
      </c>
      <c r="G3220" t="s">
        <v>5</v>
      </c>
      <c r="H3220" s="2" t="s">
        <v>4849</v>
      </c>
      <c r="I3220" s="2">
        <v>1.82</v>
      </c>
    </row>
    <row r="3221" spans="1:9" x14ac:dyDescent="0.25">
      <c r="A3221" s="1" t="s">
        <v>4847</v>
      </c>
      <c r="B3221" t="s">
        <v>4848</v>
      </c>
      <c r="C3221" s="1" t="s">
        <v>541</v>
      </c>
      <c r="D3221" s="1" t="s">
        <v>541</v>
      </c>
      <c r="E3221" t="s">
        <v>542</v>
      </c>
      <c r="F3221" s="2" t="s">
        <v>9</v>
      </c>
      <c r="G3221" t="s">
        <v>10</v>
      </c>
      <c r="H3221" s="2" t="s">
        <v>4850</v>
      </c>
      <c r="I3221" s="2">
        <v>2.5499999999999998</v>
      </c>
    </row>
    <row r="3222" spans="1:9" x14ac:dyDescent="0.25">
      <c r="A3222" s="1" t="s">
        <v>4851</v>
      </c>
      <c r="B3222" t="s">
        <v>4852</v>
      </c>
      <c r="C3222" s="1" t="s">
        <v>1367</v>
      </c>
      <c r="D3222" s="1" t="s">
        <v>1367</v>
      </c>
      <c r="E3222" t="s">
        <v>2132</v>
      </c>
      <c r="F3222" s="2" t="s">
        <v>1347</v>
      </c>
      <c r="G3222" t="s">
        <v>5</v>
      </c>
      <c r="H3222" s="2" t="s">
        <v>2773</v>
      </c>
      <c r="I3222" s="2">
        <v>2.2799999999999998</v>
      </c>
    </row>
    <row r="3223" spans="1:9" x14ac:dyDescent="0.25">
      <c r="A3223" s="1" t="s">
        <v>4851</v>
      </c>
      <c r="B3223" t="s">
        <v>4852</v>
      </c>
      <c r="C3223" s="1" t="s">
        <v>541</v>
      </c>
      <c r="D3223" s="1" t="s">
        <v>541</v>
      </c>
      <c r="E3223" t="s">
        <v>542</v>
      </c>
      <c r="F3223" s="2" t="s">
        <v>9</v>
      </c>
      <c r="G3223" t="s">
        <v>10</v>
      </c>
      <c r="H3223" s="2" t="s">
        <v>4850</v>
      </c>
      <c r="I3223" s="2">
        <v>2.5499999999999998</v>
      </c>
    </row>
    <row r="3224" spans="1:9" x14ac:dyDescent="0.25">
      <c r="A3224" s="1" t="s">
        <v>4853</v>
      </c>
      <c r="B3224" t="s">
        <v>4854</v>
      </c>
      <c r="C3224" s="1" t="s">
        <v>1367</v>
      </c>
      <c r="D3224" s="1" t="s">
        <v>1367</v>
      </c>
      <c r="E3224" t="s">
        <v>2132</v>
      </c>
      <c r="F3224" s="2" t="s">
        <v>1347</v>
      </c>
      <c r="G3224" t="s">
        <v>5</v>
      </c>
      <c r="H3224" s="2" t="s">
        <v>2011</v>
      </c>
      <c r="I3224" s="2">
        <v>0.91</v>
      </c>
    </row>
    <row r="3225" spans="1:9" x14ac:dyDescent="0.25">
      <c r="A3225" s="1" t="s">
        <v>4853</v>
      </c>
      <c r="B3225" t="s">
        <v>4854</v>
      </c>
      <c r="C3225" s="1" t="s">
        <v>541</v>
      </c>
      <c r="D3225" s="1" t="s">
        <v>541</v>
      </c>
      <c r="E3225" t="s">
        <v>542</v>
      </c>
      <c r="F3225" s="2" t="s">
        <v>9</v>
      </c>
      <c r="G3225" t="s">
        <v>10</v>
      </c>
      <c r="H3225" s="2" t="s">
        <v>4850</v>
      </c>
      <c r="I3225" s="2">
        <v>2.5499999999999998</v>
      </c>
    </row>
    <row r="3226" spans="1:9" x14ac:dyDescent="0.25">
      <c r="A3226" s="1" t="s">
        <v>823</v>
      </c>
      <c r="B3226" t="s">
        <v>4855</v>
      </c>
      <c r="C3226" s="1" t="s">
        <v>1249</v>
      </c>
      <c r="D3226" s="1" t="s">
        <v>1249</v>
      </c>
      <c r="E3226" t="s">
        <v>1250</v>
      </c>
      <c r="F3226" s="2" t="s">
        <v>1251</v>
      </c>
      <c r="G3226" t="s">
        <v>1252</v>
      </c>
      <c r="H3226" s="2" t="s">
        <v>4856</v>
      </c>
      <c r="I3226" s="2">
        <v>15.36</v>
      </c>
    </row>
    <row r="3227" spans="1:9" x14ac:dyDescent="0.25">
      <c r="A3227" s="1" t="s">
        <v>823</v>
      </c>
      <c r="B3227" t="s">
        <v>4855</v>
      </c>
      <c r="C3227" s="1" t="s">
        <v>7</v>
      </c>
      <c r="D3227" s="1" t="s">
        <v>7</v>
      </c>
      <c r="E3227" t="s">
        <v>1031</v>
      </c>
      <c r="F3227" s="2" t="s">
        <v>9</v>
      </c>
      <c r="G3227" t="s">
        <v>10</v>
      </c>
      <c r="H3227" s="2" t="s">
        <v>4857</v>
      </c>
      <c r="I3227" s="2">
        <v>16.75</v>
      </c>
    </row>
    <row r="3228" spans="1:9" x14ac:dyDescent="0.25">
      <c r="A3228" s="1" t="s">
        <v>4858</v>
      </c>
      <c r="B3228" t="s">
        <v>4859</v>
      </c>
      <c r="C3228" s="1" t="s">
        <v>3568</v>
      </c>
      <c r="D3228" s="1" t="s">
        <v>3568</v>
      </c>
      <c r="E3228" t="s">
        <v>3569</v>
      </c>
      <c r="F3228" s="2" t="s">
        <v>3570</v>
      </c>
      <c r="G3228" t="s">
        <v>17</v>
      </c>
      <c r="H3228" s="2" t="s">
        <v>4860</v>
      </c>
      <c r="I3228" s="2">
        <v>2.2599999999999998</v>
      </c>
    </row>
    <row r="3229" spans="1:9" x14ac:dyDescent="0.25">
      <c r="A3229" s="1" t="s">
        <v>4858</v>
      </c>
      <c r="B3229" t="s">
        <v>4859</v>
      </c>
      <c r="C3229" s="1" t="s">
        <v>7</v>
      </c>
      <c r="D3229" s="1" t="s">
        <v>7</v>
      </c>
      <c r="E3229" t="s">
        <v>8</v>
      </c>
      <c r="F3229" s="2" t="s">
        <v>9</v>
      </c>
      <c r="G3229" t="s">
        <v>10</v>
      </c>
      <c r="H3229" s="2" t="s">
        <v>601</v>
      </c>
      <c r="I3229" s="2">
        <v>6.9</v>
      </c>
    </row>
    <row r="3230" spans="1:9" x14ac:dyDescent="0.25">
      <c r="A3230" s="1" t="s">
        <v>4861</v>
      </c>
      <c r="B3230" t="s">
        <v>4862</v>
      </c>
      <c r="C3230" s="1" t="s">
        <v>1487</v>
      </c>
      <c r="D3230" s="1" t="s">
        <v>1487</v>
      </c>
      <c r="E3230" t="s">
        <v>1488</v>
      </c>
      <c r="F3230" s="2" t="s">
        <v>31</v>
      </c>
      <c r="G3230" t="s">
        <v>5</v>
      </c>
      <c r="H3230" s="2" t="s">
        <v>4004</v>
      </c>
      <c r="I3230" s="2">
        <v>0.65</v>
      </c>
    </row>
    <row r="3231" spans="1:9" x14ac:dyDescent="0.25">
      <c r="A3231" s="1" t="s">
        <v>4861</v>
      </c>
      <c r="B3231" t="s">
        <v>4862</v>
      </c>
      <c r="C3231" s="1" t="s">
        <v>7</v>
      </c>
      <c r="D3231" s="1" t="s">
        <v>7</v>
      </c>
      <c r="E3231" t="s">
        <v>8</v>
      </c>
      <c r="F3231" s="2" t="s">
        <v>9</v>
      </c>
      <c r="G3231" t="s">
        <v>10</v>
      </c>
      <c r="H3231" s="2" t="s">
        <v>367</v>
      </c>
      <c r="I3231" s="2">
        <v>2.2999999999999998</v>
      </c>
    </row>
    <row r="3232" spans="1:9" x14ac:dyDescent="0.25">
      <c r="A3232" s="1" t="s">
        <v>4863</v>
      </c>
      <c r="B3232" t="s">
        <v>4864</v>
      </c>
      <c r="C3232" s="1" t="s">
        <v>1487</v>
      </c>
      <c r="D3232" s="1" t="s">
        <v>1487</v>
      </c>
      <c r="E3232" t="s">
        <v>1488</v>
      </c>
      <c r="F3232" s="2" t="s">
        <v>31</v>
      </c>
      <c r="G3232" t="s">
        <v>5</v>
      </c>
      <c r="H3232" s="2" t="s">
        <v>4004</v>
      </c>
      <c r="I3232" s="2">
        <v>0.65</v>
      </c>
    </row>
    <row r="3233" spans="1:10" x14ac:dyDescent="0.25">
      <c r="A3233" s="1" t="s">
        <v>4863</v>
      </c>
      <c r="B3233" t="s">
        <v>4864</v>
      </c>
      <c r="C3233" s="1" t="s">
        <v>7</v>
      </c>
      <c r="D3233" s="1" t="s">
        <v>7</v>
      </c>
      <c r="E3233" t="s">
        <v>8</v>
      </c>
      <c r="F3233" s="2" t="s">
        <v>9</v>
      </c>
      <c r="G3233" t="s">
        <v>10</v>
      </c>
      <c r="H3233" s="2" t="s">
        <v>367</v>
      </c>
      <c r="I3233" s="2">
        <v>2.2999999999999998</v>
      </c>
    </row>
    <row r="3234" spans="1:10" x14ac:dyDescent="0.25">
      <c r="A3234" s="1" t="s">
        <v>4865</v>
      </c>
      <c r="B3234" t="s">
        <v>4866</v>
      </c>
      <c r="C3234" s="1" t="s">
        <v>3568</v>
      </c>
      <c r="D3234" s="1" t="s">
        <v>3568</v>
      </c>
      <c r="E3234" t="s">
        <v>3569</v>
      </c>
      <c r="F3234" s="2" t="s">
        <v>3570</v>
      </c>
      <c r="G3234" t="s">
        <v>17</v>
      </c>
      <c r="H3234" s="2" t="s">
        <v>4867</v>
      </c>
      <c r="I3234" s="2">
        <v>6.12</v>
      </c>
    </row>
    <row r="3235" spans="1:10" x14ac:dyDescent="0.25">
      <c r="A3235" s="1" t="s">
        <v>4865</v>
      </c>
      <c r="B3235" t="s">
        <v>4866</v>
      </c>
      <c r="C3235" s="1" t="s">
        <v>7</v>
      </c>
      <c r="D3235" s="1" t="s">
        <v>7</v>
      </c>
      <c r="E3235" t="s">
        <v>8</v>
      </c>
      <c r="F3235" s="2" t="s">
        <v>9</v>
      </c>
      <c r="G3235" t="s">
        <v>10</v>
      </c>
      <c r="H3235" s="2" t="s">
        <v>601</v>
      </c>
      <c r="I3235" s="2">
        <v>6.9</v>
      </c>
    </row>
    <row r="3236" spans="1:10" x14ac:dyDescent="0.25">
      <c r="A3236" s="1" t="s">
        <v>4868</v>
      </c>
      <c r="B3236" t="s">
        <v>4869</v>
      </c>
      <c r="C3236" s="1" t="s">
        <v>1487</v>
      </c>
      <c r="D3236" s="1" t="s">
        <v>1487</v>
      </c>
      <c r="E3236" t="s">
        <v>1488</v>
      </c>
      <c r="F3236" s="2" t="s">
        <v>31</v>
      </c>
      <c r="G3236" t="s">
        <v>5</v>
      </c>
      <c r="H3236" s="2" t="s">
        <v>4004</v>
      </c>
      <c r="I3236" s="2">
        <v>0.65</v>
      </c>
    </row>
    <row r="3237" spans="1:10" x14ac:dyDescent="0.25">
      <c r="A3237" s="1" t="s">
        <v>4868</v>
      </c>
      <c r="B3237" t="s">
        <v>4869</v>
      </c>
      <c r="C3237" s="1" t="s">
        <v>541</v>
      </c>
      <c r="D3237" s="1" t="s">
        <v>541</v>
      </c>
      <c r="E3237" t="s">
        <v>542</v>
      </c>
      <c r="F3237" s="2" t="s">
        <v>9</v>
      </c>
      <c r="G3237" t="s">
        <v>10</v>
      </c>
      <c r="H3237" s="2" t="s">
        <v>367</v>
      </c>
      <c r="I3237" s="2">
        <v>2.2999999999999998</v>
      </c>
    </row>
    <row r="3238" spans="1:10" x14ac:dyDescent="0.25">
      <c r="A3238" s="1" t="s">
        <v>4870</v>
      </c>
      <c r="B3238" t="s">
        <v>4871</v>
      </c>
      <c r="C3238" s="1" t="s">
        <v>1487</v>
      </c>
      <c r="D3238" s="1" t="s">
        <v>1487</v>
      </c>
      <c r="E3238" t="s">
        <v>1488</v>
      </c>
      <c r="F3238" s="2" t="s">
        <v>31</v>
      </c>
      <c r="G3238" t="s">
        <v>5</v>
      </c>
      <c r="H3238" s="2" t="s">
        <v>4004</v>
      </c>
      <c r="I3238" s="2">
        <v>0.65</v>
      </c>
    </row>
    <row r="3239" spans="1:10" x14ac:dyDescent="0.25">
      <c r="A3239" s="1" t="s">
        <v>4870</v>
      </c>
      <c r="B3239" t="s">
        <v>4871</v>
      </c>
      <c r="C3239" s="1" t="s">
        <v>541</v>
      </c>
      <c r="D3239" s="1" t="s">
        <v>541</v>
      </c>
      <c r="E3239" t="s">
        <v>542</v>
      </c>
      <c r="F3239" s="2" t="s">
        <v>9</v>
      </c>
      <c r="G3239" t="s">
        <v>10</v>
      </c>
      <c r="H3239" s="2" t="s">
        <v>367</v>
      </c>
      <c r="I3239" s="2">
        <v>2.2999999999999998</v>
      </c>
    </row>
    <row r="3240" spans="1:10" x14ac:dyDescent="0.25">
      <c r="A3240" s="1" t="s">
        <v>4872</v>
      </c>
      <c r="B3240" t="s">
        <v>4873</v>
      </c>
      <c r="C3240" s="1" t="s">
        <v>684</v>
      </c>
      <c r="D3240" s="1" t="s">
        <v>684</v>
      </c>
      <c r="E3240" t="s">
        <v>685</v>
      </c>
      <c r="F3240" s="2" t="s">
        <v>686</v>
      </c>
      <c r="G3240" t="s">
        <v>49</v>
      </c>
      <c r="H3240" s="2" t="s">
        <v>4874</v>
      </c>
      <c r="I3240" s="2">
        <v>1</v>
      </c>
    </row>
    <row r="3241" spans="1:10" x14ac:dyDescent="0.25">
      <c r="A3241" s="1" t="s">
        <v>4872</v>
      </c>
      <c r="B3241" t="s">
        <v>4873</v>
      </c>
      <c r="C3241" s="1" t="s">
        <v>7</v>
      </c>
      <c r="D3241" s="1" t="s">
        <v>7</v>
      </c>
      <c r="E3241" t="s">
        <v>8</v>
      </c>
      <c r="F3241" s="2" t="s">
        <v>9</v>
      </c>
      <c r="G3241" t="s">
        <v>10</v>
      </c>
      <c r="H3241" s="2" t="s">
        <v>4875</v>
      </c>
      <c r="I3241" s="2">
        <v>5.85</v>
      </c>
    </row>
    <row r="3242" spans="1:10" x14ac:dyDescent="0.25">
      <c r="A3242" s="1" t="s">
        <v>4876</v>
      </c>
      <c r="B3242" t="s">
        <v>4877</v>
      </c>
      <c r="C3242" s="1" t="s">
        <v>4878</v>
      </c>
      <c r="D3242" s="1" t="s">
        <v>4878</v>
      </c>
      <c r="E3242" t="s">
        <v>4879</v>
      </c>
      <c r="F3242" s="2" t="s">
        <v>4880</v>
      </c>
      <c r="G3242" t="s">
        <v>5</v>
      </c>
      <c r="H3242" s="2" t="s">
        <v>4881</v>
      </c>
      <c r="I3242" s="2">
        <v>0.82</v>
      </c>
    </row>
    <row r="3243" spans="1:10" x14ac:dyDescent="0.25">
      <c r="A3243" s="1" t="s">
        <v>4876</v>
      </c>
      <c r="B3243" t="s">
        <v>4877</v>
      </c>
      <c r="C3243" s="1" t="s">
        <v>483</v>
      </c>
      <c r="D3243" s="1" t="s">
        <v>483</v>
      </c>
      <c r="E3243" t="s">
        <v>484</v>
      </c>
      <c r="F3243" s="2" t="s">
        <v>485</v>
      </c>
      <c r="G3243" t="s">
        <v>5</v>
      </c>
      <c r="H3243" s="2" t="s">
        <v>4882</v>
      </c>
      <c r="I3243" s="2">
        <v>0.05</v>
      </c>
    </row>
    <row r="3244" spans="1:10" x14ac:dyDescent="0.25">
      <c r="A3244" s="1" t="s">
        <v>4876</v>
      </c>
      <c r="B3244" t="s">
        <v>4877</v>
      </c>
      <c r="C3244" s="1" t="s">
        <v>41</v>
      </c>
      <c r="D3244" s="1" t="s">
        <v>41</v>
      </c>
      <c r="E3244" t="s">
        <v>42</v>
      </c>
      <c r="F3244" s="2" t="s">
        <v>43</v>
      </c>
      <c r="G3244" t="s">
        <v>5</v>
      </c>
      <c r="H3244" s="2" t="s">
        <v>4883</v>
      </c>
      <c r="I3244" s="2">
        <v>0.02</v>
      </c>
    </row>
    <row r="3245" spans="1:10" x14ac:dyDescent="0.25">
      <c r="A3245" s="1" t="s">
        <v>4876</v>
      </c>
      <c r="B3245" t="s">
        <v>4877</v>
      </c>
      <c r="C3245" s="1" t="s">
        <v>4884</v>
      </c>
      <c r="D3245" s="1" t="s">
        <v>4884</v>
      </c>
      <c r="E3245" t="s">
        <v>4885</v>
      </c>
      <c r="F3245" s="2" t="s">
        <v>4886</v>
      </c>
      <c r="G3245" t="s">
        <v>49</v>
      </c>
      <c r="H3245" s="2" t="s">
        <v>4887</v>
      </c>
      <c r="I3245" s="2">
        <v>4.8600000000000003</v>
      </c>
    </row>
    <row r="3246" spans="1:10" x14ac:dyDescent="0.25">
      <c r="A3246" s="1" t="s">
        <v>4876</v>
      </c>
      <c r="B3246" t="s">
        <v>4877</v>
      </c>
      <c r="C3246" s="1" t="s">
        <v>4888</v>
      </c>
      <c r="D3246" s="1" t="s">
        <v>4888</v>
      </c>
      <c r="E3246" t="s">
        <v>4889</v>
      </c>
      <c r="F3246" s="2" t="s">
        <v>4890</v>
      </c>
      <c r="G3246" t="s">
        <v>49</v>
      </c>
      <c r="H3246" s="2" t="s">
        <v>50</v>
      </c>
      <c r="I3246" s="2">
        <v>244.45</v>
      </c>
      <c r="J3246" t="s">
        <v>55</v>
      </c>
    </row>
    <row r="3247" spans="1:10" x14ac:dyDescent="0.25">
      <c r="A3247" s="1" t="s">
        <v>4876</v>
      </c>
      <c r="B3247" t="s">
        <v>4877</v>
      </c>
      <c r="C3247" s="1" t="s">
        <v>4891</v>
      </c>
      <c r="D3247" s="1" t="s">
        <v>4891</v>
      </c>
      <c r="E3247" t="s">
        <v>4892</v>
      </c>
      <c r="F3247" s="2" t="s">
        <v>4893</v>
      </c>
      <c r="G3247" t="s">
        <v>49</v>
      </c>
      <c r="H3247" s="2" t="s">
        <v>4887</v>
      </c>
      <c r="I3247" s="2">
        <v>247.95</v>
      </c>
      <c r="J3247" t="s">
        <v>55</v>
      </c>
    </row>
    <row r="3248" spans="1:10" x14ac:dyDescent="0.25">
      <c r="A3248" s="1" t="s">
        <v>4876</v>
      </c>
      <c r="B3248" t="s">
        <v>4877</v>
      </c>
      <c r="C3248" s="1" t="s">
        <v>541</v>
      </c>
      <c r="D3248" s="1" t="s">
        <v>541</v>
      </c>
      <c r="E3248" t="s">
        <v>542</v>
      </c>
      <c r="F3248" s="2" t="s">
        <v>811</v>
      </c>
      <c r="G3248" t="s">
        <v>10</v>
      </c>
      <c r="H3248" s="2" t="s">
        <v>4894</v>
      </c>
      <c r="I3248" s="2">
        <v>29.98</v>
      </c>
    </row>
    <row r="3249" spans="1:10" x14ac:dyDescent="0.25">
      <c r="A3249" s="1" t="s">
        <v>4876</v>
      </c>
      <c r="B3249" t="s">
        <v>4877</v>
      </c>
      <c r="C3249" s="1" t="s">
        <v>541</v>
      </c>
      <c r="D3249" s="1" t="s">
        <v>541</v>
      </c>
      <c r="E3249" t="s">
        <v>542</v>
      </c>
      <c r="F3249" s="2" t="s">
        <v>811</v>
      </c>
      <c r="G3249" t="s">
        <v>10</v>
      </c>
      <c r="H3249" s="2" t="s">
        <v>4895</v>
      </c>
      <c r="I3249" s="2">
        <v>27.05</v>
      </c>
    </row>
    <row r="3250" spans="1:10" x14ac:dyDescent="0.25">
      <c r="A3250" s="1" t="s">
        <v>4888</v>
      </c>
      <c r="B3250" t="s">
        <v>4889</v>
      </c>
      <c r="C3250" s="1" t="s">
        <v>1249</v>
      </c>
      <c r="D3250" s="1" t="s">
        <v>1249</v>
      </c>
      <c r="E3250" t="s">
        <v>1250</v>
      </c>
      <c r="F3250" s="2" t="s">
        <v>1251</v>
      </c>
      <c r="G3250" t="s">
        <v>1252</v>
      </c>
      <c r="H3250" s="2" t="s">
        <v>4896</v>
      </c>
      <c r="I3250" s="2">
        <v>18.72</v>
      </c>
    </row>
    <row r="3251" spans="1:10" x14ac:dyDescent="0.25">
      <c r="A3251" s="1" t="s">
        <v>4888</v>
      </c>
      <c r="B3251" t="s">
        <v>4889</v>
      </c>
      <c r="C3251" s="1" t="s">
        <v>7</v>
      </c>
      <c r="D3251" s="1" t="s">
        <v>7</v>
      </c>
      <c r="E3251" t="s">
        <v>8</v>
      </c>
      <c r="F3251" s="2" t="s">
        <v>9</v>
      </c>
      <c r="G3251" t="s">
        <v>10</v>
      </c>
      <c r="H3251" s="2" t="s">
        <v>4897</v>
      </c>
      <c r="I3251" s="2">
        <v>128.27000000000001</v>
      </c>
    </row>
    <row r="3252" spans="1:10" x14ac:dyDescent="0.25">
      <c r="A3252" s="1" t="s">
        <v>4888</v>
      </c>
      <c r="B3252" t="s">
        <v>4889</v>
      </c>
      <c r="C3252" s="1" t="s">
        <v>7</v>
      </c>
      <c r="D3252" s="1" t="s">
        <v>7</v>
      </c>
      <c r="E3252" t="s">
        <v>8</v>
      </c>
      <c r="F3252" s="2" t="s">
        <v>9</v>
      </c>
      <c r="G3252" t="s">
        <v>10</v>
      </c>
      <c r="H3252" s="2" t="s">
        <v>4898</v>
      </c>
      <c r="I3252" s="2">
        <v>97.45</v>
      </c>
    </row>
    <row r="3253" spans="1:10" x14ac:dyDescent="0.25">
      <c r="A3253" s="1" t="s">
        <v>4891</v>
      </c>
      <c r="B3253" t="s">
        <v>4892</v>
      </c>
      <c r="C3253" s="1" t="s">
        <v>1249</v>
      </c>
      <c r="D3253" s="1" t="s">
        <v>1249</v>
      </c>
      <c r="E3253" t="s">
        <v>1250</v>
      </c>
      <c r="F3253" s="2" t="s">
        <v>1251</v>
      </c>
      <c r="G3253" t="s">
        <v>1252</v>
      </c>
      <c r="H3253" s="2" t="s">
        <v>4899</v>
      </c>
      <c r="I3253" s="2">
        <v>1.08</v>
      </c>
    </row>
    <row r="3254" spans="1:10" x14ac:dyDescent="0.25">
      <c r="A3254" s="1" t="s">
        <v>4891</v>
      </c>
      <c r="B3254" t="s">
        <v>4892</v>
      </c>
      <c r="C3254" s="1" t="s">
        <v>7</v>
      </c>
      <c r="D3254" s="1" t="s">
        <v>7</v>
      </c>
      <c r="E3254" t="s">
        <v>8</v>
      </c>
      <c r="F3254" s="2" t="s">
        <v>9</v>
      </c>
      <c r="G3254" t="s">
        <v>10</v>
      </c>
      <c r="H3254" s="2" t="s">
        <v>4900</v>
      </c>
      <c r="I3254" s="2">
        <v>11.15</v>
      </c>
    </row>
    <row r="3255" spans="1:10" x14ac:dyDescent="0.25">
      <c r="A3255" s="1" t="s">
        <v>4891</v>
      </c>
      <c r="B3255" t="s">
        <v>4892</v>
      </c>
      <c r="C3255" s="1" t="s">
        <v>7</v>
      </c>
      <c r="D3255" s="1" t="s">
        <v>7</v>
      </c>
      <c r="E3255" t="s">
        <v>8</v>
      </c>
      <c r="F3255" s="2" t="s">
        <v>9</v>
      </c>
      <c r="G3255" t="s">
        <v>10</v>
      </c>
      <c r="H3255" s="2" t="s">
        <v>4901</v>
      </c>
      <c r="I3255" s="2">
        <v>15.32</v>
      </c>
    </row>
    <row r="3256" spans="1:10" x14ac:dyDescent="0.25">
      <c r="A3256" s="1" t="s">
        <v>4902</v>
      </c>
      <c r="B3256" t="s">
        <v>4903</v>
      </c>
      <c r="C3256" s="1" t="s">
        <v>4878</v>
      </c>
      <c r="D3256" s="1" t="s">
        <v>4878</v>
      </c>
      <c r="E3256" t="s">
        <v>4879</v>
      </c>
      <c r="F3256" s="2" t="s">
        <v>1964</v>
      </c>
      <c r="G3256" t="s">
        <v>5</v>
      </c>
      <c r="H3256" s="2" t="s">
        <v>4904</v>
      </c>
      <c r="I3256" s="2">
        <v>1.1399999999999999</v>
      </c>
    </row>
    <row r="3257" spans="1:10" x14ac:dyDescent="0.25">
      <c r="A3257" s="1" t="s">
        <v>4902</v>
      </c>
      <c r="B3257" t="s">
        <v>4903</v>
      </c>
      <c r="C3257" s="1" t="s">
        <v>483</v>
      </c>
      <c r="D3257" s="1" t="s">
        <v>483</v>
      </c>
      <c r="E3257" t="s">
        <v>484</v>
      </c>
      <c r="F3257" s="2" t="s">
        <v>2789</v>
      </c>
      <c r="G3257" t="s">
        <v>5</v>
      </c>
      <c r="H3257" s="2" t="s">
        <v>4905</v>
      </c>
      <c r="I3257" s="2">
        <v>0.09</v>
      </c>
    </row>
    <row r="3258" spans="1:10" x14ac:dyDescent="0.25">
      <c r="A3258" s="1" t="s">
        <v>4902</v>
      </c>
      <c r="B3258" t="s">
        <v>4903</v>
      </c>
      <c r="C3258" s="1" t="s">
        <v>41</v>
      </c>
      <c r="D3258" s="1" t="s">
        <v>41</v>
      </c>
      <c r="E3258" t="s">
        <v>42</v>
      </c>
      <c r="F3258" s="2" t="s">
        <v>513</v>
      </c>
      <c r="G3258" t="s">
        <v>5</v>
      </c>
      <c r="H3258" s="2" t="s">
        <v>4906</v>
      </c>
      <c r="I3258" s="2">
        <v>0.11</v>
      </c>
    </row>
    <row r="3259" spans="1:10" x14ac:dyDescent="0.25">
      <c r="A3259" s="1" t="s">
        <v>4902</v>
      </c>
      <c r="B3259" t="s">
        <v>4903</v>
      </c>
      <c r="C3259" s="1" t="s">
        <v>4884</v>
      </c>
      <c r="D3259" s="1" t="s">
        <v>4884</v>
      </c>
      <c r="E3259" t="s">
        <v>4885</v>
      </c>
      <c r="F3259" s="2" t="s">
        <v>4886</v>
      </c>
      <c r="G3259" t="s">
        <v>49</v>
      </c>
      <c r="H3259" s="2" t="s">
        <v>4907</v>
      </c>
      <c r="I3259" s="2">
        <v>5.4</v>
      </c>
    </row>
    <row r="3260" spans="1:10" x14ac:dyDescent="0.25">
      <c r="A3260" s="1" t="s">
        <v>4902</v>
      </c>
      <c r="B3260" t="s">
        <v>4903</v>
      </c>
      <c r="C3260" s="1" t="s">
        <v>4891</v>
      </c>
      <c r="D3260" s="1" t="s">
        <v>4891</v>
      </c>
      <c r="E3260" t="s">
        <v>4892</v>
      </c>
      <c r="F3260" s="2" t="s">
        <v>4893</v>
      </c>
      <c r="G3260" t="s">
        <v>49</v>
      </c>
      <c r="H3260" s="2" t="s">
        <v>4907</v>
      </c>
      <c r="I3260" s="2">
        <v>275.5</v>
      </c>
      <c r="J3260" t="s">
        <v>55</v>
      </c>
    </row>
    <row r="3261" spans="1:10" x14ac:dyDescent="0.25">
      <c r="A3261" s="1" t="s">
        <v>4902</v>
      </c>
      <c r="B3261" t="s">
        <v>4903</v>
      </c>
      <c r="C3261" s="1" t="s">
        <v>4908</v>
      </c>
      <c r="D3261" s="1" t="s">
        <v>4908</v>
      </c>
      <c r="E3261" t="s">
        <v>4909</v>
      </c>
      <c r="F3261" s="2" t="s">
        <v>4910</v>
      </c>
      <c r="G3261" t="s">
        <v>49</v>
      </c>
      <c r="H3261" s="2" t="s">
        <v>50</v>
      </c>
      <c r="I3261" s="2">
        <v>265.48</v>
      </c>
      <c r="J3261" t="s">
        <v>55</v>
      </c>
    </row>
    <row r="3262" spans="1:10" x14ac:dyDescent="0.25">
      <c r="A3262" s="1" t="s">
        <v>4902</v>
      </c>
      <c r="B3262" t="s">
        <v>4903</v>
      </c>
      <c r="C3262" s="1" t="s">
        <v>541</v>
      </c>
      <c r="D3262" s="1" t="s">
        <v>541</v>
      </c>
      <c r="E3262" t="s">
        <v>542</v>
      </c>
      <c r="F3262" s="2" t="s">
        <v>9</v>
      </c>
      <c r="G3262" t="s">
        <v>10</v>
      </c>
      <c r="H3262" s="2" t="s">
        <v>4911</v>
      </c>
      <c r="I3262" s="2">
        <v>9.73</v>
      </c>
    </row>
    <row r="3263" spans="1:10" x14ac:dyDescent="0.25">
      <c r="A3263" s="1" t="s">
        <v>4902</v>
      </c>
      <c r="B3263" t="s">
        <v>4903</v>
      </c>
      <c r="C3263" s="1" t="s">
        <v>541</v>
      </c>
      <c r="D3263" s="1" t="s">
        <v>541</v>
      </c>
      <c r="E3263" t="s">
        <v>542</v>
      </c>
      <c r="F3263" s="2" t="s">
        <v>9</v>
      </c>
      <c r="G3263" t="s">
        <v>10</v>
      </c>
      <c r="H3263" s="2" t="s">
        <v>4912</v>
      </c>
      <c r="I3263" s="2">
        <v>11.89</v>
      </c>
    </row>
    <row r="3264" spans="1:10" x14ac:dyDescent="0.25">
      <c r="A3264" s="1" t="s">
        <v>4908</v>
      </c>
      <c r="B3264" t="s">
        <v>4909</v>
      </c>
      <c r="C3264" s="1" t="s">
        <v>1249</v>
      </c>
      <c r="D3264" s="1" t="s">
        <v>1249</v>
      </c>
      <c r="E3264" t="s">
        <v>1250</v>
      </c>
      <c r="F3264" s="2" t="s">
        <v>1251</v>
      </c>
      <c r="G3264" t="s">
        <v>1252</v>
      </c>
      <c r="H3264" s="2" t="s">
        <v>1348</v>
      </c>
      <c r="I3264" s="2">
        <v>27</v>
      </c>
    </row>
    <row r="3265" spans="1:10" x14ac:dyDescent="0.25">
      <c r="A3265" s="1" t="s">
        <v>4908</v>
      </c>
      <c r="B3265" t="s">
        <v>4909</v>
      </c>
      <c r="C3265" s="1" t="s">
        <v>7</v>
      </c>
      <c r="D3265" s="1" t="s">
        <v>7</v>
      </c>
      <c r="E3265" t="s">
        <v>8</v>
      </c>
      <c r="F3265" s="2" t="s">
        <v>9</v>
      </c>
      <c r="G3265" t="s">
        <v>10</v>
      </c>
      <c r="H3265" s="2" t="s">
        <v>4913</v>
      </c>
      <c r="I3265" s="2">
        <v>139.38</v>
      </c>
    </row>
    <row r="3266" spans="1:10" x14ac:dyDescent="0.25">
      <c r="A3266" s="1" t="s">
        <v>4908</v>
      </c>
      <c r="B3266" t="s">
        <v>4909</v>
      </c>
      <c r="C3266" s="1" t="s">
        <v>7</v>
      </c>
      <c r="D3266" s="1" t="s">
        <v>7</v>
      </c>
      <c r="E3266" t="s">
        <v>8</v>
      </c>
      <c r="F3266" s="2" t="s">
        <v>9</v>
      </c>
      <c r="G3266" t="s">
        <v>10</v>
      </c>
      <c r="H3266" s="2" t="s">
        <v>4914</v>
      </c>
      <c r="I3266" s="2">
        <v>99.1</v>
      </c>
    </row>
    <row r="3267" spans="1:10" x14ac:dyDescent="0.25">
      <c r="A3267" s="1" t="s">
        <v>4915</v>
      </c>
      <c r="B3267" t="s">
        <v>4916</v>
      </c>
      <c r="C3267" s="1" t="s">
        <v>4878</v>
      </c>
      <c r="D3267" s="1" t="s">
        <v>4878</v>
      </c>
      <c r="E3267" t="s">
        <v>4879</v>
      </c>
      <c r="F3267" s="2" t="s">
        <v>4880</v>
      </c>
      <c r="G3267" t="s">
        <v>5</v>
      </c>
      <c r="H3267" s="2" t="s">
        <v>4904</v>
      </c>
      <c r="I3267" s="2">
        <v>0.91</v>
      </c>
    </row>
    <row r="3268" spans="1:10" x14ac:dyDescent="0.25">
      <c r="A3268" s="1" t="s">
        <v>4915</v>
      </c>
      <c r="B3268" t="s">
        <v>4916</v>
      </c>
      <c r="C3268" s="1" t="s">
        <v>483</v>
      </c>
      <c r="D3268" s="1" t="s">
        <v>483</v>
      </c>
      <c r="E3268" t="s">
        <v>484</v>
      </c>
      <c r="F3268" s="2" t="s">
        <v>485</v>
      </c>
      <c r="G3268" t="s">
        <v>5</v>
      </c>
      <c r="H3268" s="2" t="s">
        <v>4905</v>
      </c>
      <c r="I3268" s="2">
        <v>0.06</v>
      </c>
    </row>
    <row r="3269" spans="1:10" x14ac:dyDescent="0.25">
      <c r="A3269" s="1" t="s">
        <v>4915</v>
      </c>
      <c r="B3269" t="s">
        <v>4916</v>
      </c>
      <c r="C3269" s="1" t="s">
        <v>41</v>
      </c>
      <c r="D3269" s="1" t="s">
        <v>41</v>
      </c>
      <c r="E3269" t="s">
        <v>42</v>
      </c>
      <c r="F3269" s="2" t="s">
        <v>43</v>
      </c>
      <c r="G3269" t="s">
        <v>5</v>
      </c>
      <c r="H3269" s="2" t="s">
        <v>4906</v>
      </c>
      <c r="I3269" s="2">
        <v>0.11</v>
      </c>
    </row>
    <row r="3270" spans="1:10" x14ac:dyDescent="0.25">
      <c r="A3270" s="1" t="s">
        <v>4915</v>
      </c>
      <c r="B3270" t="s">
        <v>4916</v>
      </c>
      <c r="C3270" s="1" t="s">
        <v>4884</v>
      </c>
      <c r="D3270" s="1" t="s">
        <v>4884</v>
      </c>
      <c r="E3270" t="s">
        <v>4885</v>
      </c>
      <c r="F3270" s="2" t="s">
        <v>4886</v>
      </c>
      <c r="G3270" t="s">
        <v>49</v>
      </c>
      <c r="H3270" s="2" t="s">
        <v>4907</v>
      </c>
      <c r="I3270" s="2">
        <v>5.4</v>
      </c>
    </row>
    <row r="3271" spans="1:10" x14ac:dyDescent="0.25">
      <c r="A3271" s="1" t="s">
        <v>4915</v>
      </c>
      <c r="B3271" t="s">
        <v>4916</v>
      </c>
      <c r="C3271" s="1" t="s">
        <v>4917</v>
      </c>
      <c r="D3271" s="1" t="s">
        <v>4917</v>
      </c>
      <c r="E3271" t="s">
        <v>4918</v>
      </c>
      <c r="F3271" s="2" t="s">
        <v>4919</v>
      </c>
      <c r="G3271" t="s">
        <v>49</v>
      </c>
      <c r="H3271" s="2" t="s">
        <v>50</v>
      </c>
      <c r="I3271" s="2">
        <v>323.06</v>
      </c>
      <c r="J3271" t="s">
        <v>55</v>
      </c>
    </row>
    <row r="3272" spans="1:10" x14ac:dyDescent="0.25">
      <c r="A3272" s="1" t="s">
        <v>4915</v>
      </c>
      <c r="B3272" t="s">
        <v>4916</v>
      </c>
      <c r="C3272" s="1" t="s">
        <v>4920</v>
      </c>
      <c r="D3272" s="1" t="s">
        <v>4920</v>
      </c>
      <c r="E3272" t="s">
        <v>4921</v>
      </c>
      <c r="F3272" s="2" t="s">
        <v>4922</v>
      </c>
      <c r="G3272" t="s">
        <v>49</v>
      </c>
      <c r="H3272" s="2" t="s">
        <v>4907</v>
      </c>
      <c r="I3272" s="2">
        <v>279.10000000000002</v>
      </c>
      <c r="J3272" t="s">
        <v>55</v>
      </c>
    </row>
    <row r="3273" spans="1:10" x14ac:dyDescent="0.25">
      <c r="A3273" s="1" t="s">
        <v>4915</v>
      </c>
      <c r="B3273" t="s">
        <v>4916</v>
      </c>
      <c r="C3273" s="1" t="s">
        <v>541</v>
      </c>
      <c r="D3273" s="1" t="s">
        <v>541</v>
      </c>
      <c r="E3273" t="s">
        <v>542</v>
      </c>
      <c r="F3273" s="2" t="s">
        <v>811</v>
      </c>
      <c r="G3273" t="s">
        <v>10</v>
      </c>
      <c r="H3273" s="2" t="s">
        <v>4923</v>
      </c>
      <c r="I3273" s="2">
        <v>34.79</v>
      </c>
    </row>
    <row r="3274" spans="1:10" x14ac:dyDescent="0.25">
      <c r="A3274" s="1" t="s">
        <v>4915</v>
      </c>
      <c r="B3274" t="s">
        <v>4916</v>
      </c>
      <c r="C3274" s="1" t="s">
        <v>541</v>
      </c>
      <c r="D3274" s="1" t="s">
        <v>541</v>
      </c>
      <c r="E3274" t="s">
        <v>542</v>
      </c>
      <c r="F3274" s="2" t="s">
        <v>811</v>
      </c>
      <c r="G3274" t="s">
        <v>10</v>
      </c>
      <c r="H3274" s="2" t="s">
        <v>4924</v>
      </c>
      <c r="I3274" s="2">
        <v>26.96</v>
      </c>
    </row>
    <row r="3275" spans="1:10" x14ac:dyDescent="0.25">
      <c r="A3275" s="1" t="s">
        <v>4917</v>
      </c>
      <c r="B3275" t="s">
        <v>4918</v>
      </c>
      <c r="C3275" s="1" t="s">
        <v>1249</v>
      </c>
      <c r="D3275" s="1" t="s">
        <v>1249</v>
      </c>
      <c r="E3275" t="s">
        <v>1250</v>
      </c>
      <c r="F3275" s="2" t="s">
        <v>1251</v>
      </c>
      <c r="G3275" t="s">
        <v>1252</v>
      </c>
      <c r="H3275" s="2" t="s">
        <v>4925</v>
      </c>
      <c r="I3275" s="2">
        <v>42.72</v>
      </c>
    </row>
    <row r="3276" spans="1:10" x14ac:dyDescent="0.25">
      <c r="A3276" s="1" t="s">
        <v>4917</v>
      </c>
      <c r="B3276" t="s">
        <v>4918</v>
      </c>
      <c r="C3276" s="1" t="s">
        <v>7</v>
      </c>
      <c r="D3276" s="1" t="s">
        <v>7</v>
      </c>
      <c r="E3276" t="s">
        <v>8</v>
      </c>
      <c r="F3276" s="2" t="s">
        <v>9</v>
      </c>
      <c r="G3276" t="s">
        <v>10</v>
      </c>
      <c r="H3276" s="2" t="s">
        <v>4926</v>
      </c>
      <c r="I3276" s="2">
        <v>113.03</v>
      </c>
    </row>
    <row r="3277" spans="1:10" x14ac:dyDescent="0.25">
      <c r="A3277" s="1" t="s">
        <v>4917</v>
      </c>
      <c r="B3277" t="s">
        <v>4918</v>
      </c>
      <c r="C3277" s="1" t="s">
        <v>7</v>
      </c>
      <c r="D3277" s="1" t="s">
        <v>7</v>
      </c>
      <c r="E3277" t="s">
        <v>8</v>
      </c>
      <c r="F3277" s="2" t="s">
        <v>9</v>
      </c>
      <c r="G3277" t="s">
        <v>10</v>
      </c>
      <c r="H3277" s="2" t="s">
        <v>4927</v>
      </c>
      <c r="I3277" s="2">
        <v>167.31</v>
      </c>
    </row>
    <row r="3278" spans="1:10" x14ac:dyDescent="0.25">
      <c r="A3278" s="1" t="s">
        <v>4920</v>
      </c>
      <c r="B3278" t="s">
        <v>4921</v>
      </c>
      <c r="C3278" s="1" t="s">
        <v>1249</v>
      </c>
      <c r="D3278" s="1" t="s">
        <v>1249</v>
      </c>
      <c r="E3278" t="s">
        <v>1250</v>
      </c>
      <c r="F3278" s="2" t="s">
        <v>1251</v>
      </c>
      <c r="G3278" t="s">
        <v>1252</v>
      </c>
      <c r="H3278" s="2" t="s">
        <v>4928</v>
      </c>
      <c r="I3278" s="2">
        <v>1.44</v>
      </c>
    </row>
    <row r="3279" spans="1:10" x14ac:dyDescent="0.25">
      <c r="A3279" s="1" t="s">
        <v>4920</v>
      </c>
      <c r="B3279" t="s">
        <v>4921</v>
      </c>
      <c r="C3279" s="1" t="s">
        <v>7</v>
      </c>
      <c r="D3279" s="1" t="s">
        <v>7</v>
      </c>
      <c r="E3279" t="s">
        <v>8</v>
      </c>
      <c r="F3279" s="2" t="s">
        <v>9</v>
      </c>
      <c r="G3279" t="s">
        <v>10</v>
      </c>
      <c r="H3279" s="2" t="s">
        <v>4901</v>
      </c>
      <c r="I3279" s="2">
        <v>15.32</v>
      </c>
    </row>
    <row r="3280" spans="1:10" x14ac:dyDescent="0.25">
      <c r="A3280" s="1" t="s">
        <v>4920</v>
      </c>
      <c r="B3280" t="s">
        <v>4921</v>
      </c>
      <c r="C3280" s="1" t="s">
        <v>7</v>
      </c>
      <c r="D3280" s="1" t="s">
        <v>7</v>
      </c>
      <c r="E3280" t="s">
        <v>8</v>
      </c>
      <c r="F3280" s="2" t="s">
        <v>9</v>
      </c>
      <c r="G3280" t="s">
        <v>10</v>
      </c>
      <c r="H3280" s="2" t="s">
        <v>4900</v>
      </c>
      <c r="I3280" s="2">
        <v>11.15</v>
      </c>
    </row>
    <row r="3281" spans="1:9" x14ac:dyDescent="0.25">
      <c r="A3281" s="1" t="s">
        <v>4929</v>
      </c>
      <c r="B3281" t="s">
        <v>4930</v>
      </c>
      <c r="C3281" s="1" t="s">
        <v>1989</v>
      </c>
      <c r="D3281" s="1" t="s">
        <v>1989</v>
      </c>
      <c r="E3281" t="s">
        <v>1990</v>
      </c>
      <c r="F3281" s="2" t="s">
        <v>1991</v>
      </c>
      <c r="G3281" t="s">
        <v>435</v>
      </c>
      <c r="H3281" s="2" t="s">
        <v>4931</v>
      </c>
      <c r="I3281" s="2">
        <v>0.64</v>
      </c>
    </row>
    <row r="3282" spans="1:9" x14ac:dyDescent="0.25">
      <c r="A3282" s="1" t="s">
        <v>4929</v>
      </c>
      <c r="B3282" t="s">
        <v>4930</v>
      </c>
      <c r="C3282" s="1" t="s">
        <v>7</v>
      </c>
      <c r="D3282" s="1" t="s">
        <v>7</v>
      </c>
      <c r="E3282" t="s">
        <v>8</v>
      </c>
      <c r="F3282" s="2" t="s">
        <v>9</v>
      </c>
      <c r="G3282" t="s">
        <v>10</v>
      </c>
      <c r="H3282" s="2" t="s">
        <v>4932</v>
      </c>
      <c r="I3282" s="2">
        <v>3.38</v>
      </c>
    </row>
    <row r="3283" spans="1:9" x14ac:dyDescent="0.25">
      <c r="A3283" s="1" t="s">
        <v>4933</v>
      </c>
      <c r="B3283" t="s">
        <v>4934</v>
      </c>
      <c r="C3283" s="1" t="s">
        <v>1335</v>
      </c>
      <c r="D3283" s="1" t="s">
        <v>1335</v>
      </c>
      <c r="E3283" t="s">
        <v>1336</v>
      </c>
      <c r="F3283" s="2" t="s">
        <v>3722</v>
      </c>
      <c r="G3283" t="s">
        <v>49</v>
      </c>
      <c r="H3283" s="2" t="s">
        <v>50</v>
      </c>
      <c r="I3283" s="2">
        <v>34</v>
      </c>
    </row>
    <row r="3284" spans="1:9" x14ac:dyDescent="0.25">
      <c r="A3284" s="1" t="s">
        <v>4933</v>
      </c>
      <c r="B3284" t="s">
        <v>4934</v>
      </c>
      <c r="C3284" s="1" t="s">
        <v>7</v>
      </c>
      <c r="D3284" s="1" t="s">
        <v>7</v>
      </c>
      <c r="E3284" t="s">
        <v>8</v>
      </c>
      <c r="F3284" s="2" t="s">
        <v>9</v>
      </c>
      <c r="G3284" t="s">
        <v>10</v>
      </c>
      <c r="H3284" s="2" t="s">
        <v>4534</v>
      </c>
      <c r="I3284" s="2">
        <v>41.17</v>
      </c>
    </row>
    <row r="3285" spans="1:9" x14ac:dyDescent="0.25">
      <c r="A3285" s="1" t="s">
        <v>4935</v>
      </c>
      <c r="B3285" t="s">
        <v>4936</v>
      </c>
      <c r="C3285" s="1" t="s">
        <v>1989</v>
      </c>
      <c r="D3285" s="1" t="s">
        <v>1989</v>
      </c>
      <c r="E3285" t="s">
        <v>1990</v>
      </c>
      <c r="F3285" s="2" t="s">
        <v>1991</v>
      </c>
      <c r="G3285" t="s">
        <v>435</v>
      </c>
      <c r="H3285" s="2" t="s">
        <v>1191</v>
      </c>
      <c r="I3285" s="2">
        <v>0.51</v>
      </c>
    </row>
    <row r="3286" spans="1:9" x14ac:dyDescent="0.25">
      <c r="A3286" s="1" t="s">
        <v>4935</v>
      </c>
      <c r="B3286" t="s">
        <v>4936</v>
      </c>
      <c r="C3286" s="1" t="s">
        <v>7</v>
      </c>
      <c r="D3286" s="1" t="s">
        <v>7</v>
      </c>
      <c r="E3286" t="s">
        <v>8</v>
      </c>
      <c r="F3286" s="2" t="s">
        <v>9</v>
      </c>
      <c r="G3286" t="s">
        <v>10</v>
      </c>
      <c r="H3286" s="2" t="s">
        <v>4932</v>
      </c>
      <c r="I3286" s="2">
        <v>3.38</v>
      </c>
    </row>
    <row r="3287" spans="1:9" x14ac:dyDescent="0.25">
      <c r="A3287" s="1" t="s">
        <v>4937</v>
      </c>
      <c r="B3287" t="s">
        <v>4938</v>
      </c>
      <c r="C3287" s="1" t="s">
        <v>3333</v>
      </c>
      <c r="D3287" s="1" t="s">
        <v>3333</v>
      </c>
      <c r="E3287" t="s">
        <v>3334</v>
      </c>
      <c r="F3287" s="2" t="s">
        <v>140</v>
      </c>
      <c r="G3287" t="s">
        <v>49</v>
      </c>
      <c r="H3287" s="2" t="s">
        <v>50</v>
      </c>
      <c r="I3287" s="2">
        <v>10.75</v>
      </c>
    </row>
    <row r="3288" spans="1:9" x14ac:dyDescent="0.25">
      <c r="A3288" s="1" t="s">
        <v>4937</v>
      </c>
      <c r="B3288" t="s">
        <v>4938</v>
      </c>
      <c r="C3288" s="1" t="s">
        <v>7</v>
      </c>
      <c r="D3288" s="1" t="s">
        <v>7</v>
      </c>
      <c r="E3288" t="s">
        <v>8</v>
      </c>
      <c r="F3288" s="2" t="s">
        <v>9</v>
      </c>
      <c r="G3288" t="s">
        <v>10</v>
      </c>
      <c r="H3288" s="2" t="s">
        <v>4939</v>
      </c>
      <c r="I3288" s="2">
        <v>40.71</v>
      </c>
    </row>
    <row r="3289" spans="1:9" x14ac:dyDescent="0.25">
      <c r="A3289" s="1" t="s">
        <v>4940</v>
      </c>
      <c r="B3289" t="s">
        <v>4941</v>
      </c>
      <c r="C3289" s="1" t="s">
        <v>1203</v>
      </c>
      <c r="D3289" s="1" t="s">
        <v>1203</v>
      </c>
      <c r="E3289" t="s">
        <v>1204</v>
      </c>
      <c r="F3289" s="2" t="s">
        <v>216</v>
      </c>
      <c r="G3289" t="s">
        <v>5</v>
      </c>
      <c r="H3289" s="2" t="s">
        <v>367</v>
      </c>
      <c r="I3289" s="2">
        <v>0.35</v>
      </c>
    </row>
    <row r="3290" spans="1:9" x14ac:dyDescent="0.25">
      <c r="A3290" s="1" t="s">
        <v>4940</v>
      </c>
      <c r="B3290" t="s">
        <v>4941</v>
      </c>
      <c r="C3290" s="1" t="s">
        <v>541</v>
      </c>
      <c r="D3290" s="1" t="s">
        <v>541</v>
      </c>
      <c r="E3290" t="s">
        <v>542</v>
      </c>
      <c r="F3290" s="2" t="s">
        <v>9</v>
      </c>
      <c r="G3290" t="s">
        <v>10</v>
      </c>
      <c r="H3290" s="2" t="s">
        <v>19</v>
      </c>
      <c r="I3290" s="2">
        <v>4.5999999999999996</v>
      </c>
    </row>
    <row r="3291" spans="1:9" x14ac:dyDescent="0.25">
      <c r="A3291" s="1" t="s">
        <v>4942</v>
      </c>
      <c r="B3291" t="s">
        <v>4943</v>
      </c>
      <c r="C3291" s="1" t="s">
        <v>3506</v>
      </c>
      <c r="D3291" s="1" t="s">
        <v>3506</v>
      </c>
      <c r="E3291" t="s">
        <v>3507</v>
      </c>
      <c r="F3291" s="2" t="s">
        <v>1394</v>
      </c>
      <c r="G3291" t="s">
        <v>5</v>
      </c>
      <c r="H3291" s="2" t="s">
        <v>4944</v>
      </c>
      <c r="I3291" s="2">
        <v>4.45</v>
      </c>
    </row>
    <row r="3292" spans="1:9" x14ac:dyDescent="0.25">
      <c r="A3292" s="1" t="s">
        <v>4942</v>
      </c>
      <c r="B3292" t="s">
        <v>4943</v>
      </c>
      <c r="C3292" s="1" t="s">
        <v>7</v>
      </c>
      <c r="D3292" s="1" t="s">
        <v>7</v>
      </c>
      <c r="E3292" t="s">
        <v>8</v>
      </c>
      <c r="F3292" s="2" t="s">
        <v>9</v>
      </c>
      <c r="G3292" t="s">
        <v>10</v>
      </c>
      <c r="H3292" s="2" t="s">
        <v>1649</v>
      </c>
      <c r="I3292" s="2">
        <v>9.65</v>
      </c>
    </row>
    <row r="3293" spans="1:9" x14ac:dyDescent="0.25">
      <c r="A3293" s="1" t="s">
        <v>4945</v>
      </c>
      <c r="B3293" t="s">
        <v>4946</v>
      </c>
      <c r="C3293" s="1" t="s">
        <v>4947</v>
      </c>
      <c r="D3293" s="1" t="s">
        <v>4947</v>
      </c>
      <c r="E3293" t="s">
        <v>4948</v>
      </c>
      <c r="F3293" s="2" t="s">
        <v>117</v>
      </c>
      <c r="G3293" t="s">
        <v>5</v>
      </c>
      <c r="H3293" s="2" t="s">
        <v>1026</v>
      </c>
      <c r="I3293" s="2">
        <v>13</v>
      </c>
    </row>
    <row r="3294" spans="1:9" x14ac:dyDescent="0.25">
      <c r="A3294" s="1" t="s">
        <v>4945</v>
      </c>
      <c r="B3294" t="s">
        <v>4946</v>
      </c>
      <c r="C3294" s="1" t="s">
        <v>7</v>
      </c>
      <c r="D3294" s="1" t="s">
        <v>7</v>
      </c>
      <c r="E3294" t="s">
        <v>8</v>
      </c>
      <c r="F3294" s="2" t="s">
        <v>9</v>
      </c>
      <c r="G3294" t="s">
        <v>10</v>
      </c>
      <c r="H3294" s="2" t="s">
        <v>3822</v>
      </c>
      <c r="I3294" s="2">
        <v>7.2</v>
      </c>
    </row>
    <row r="3295" spans="1:9" x14ac:dyDescent="0.25">
      <c r="A3295" s="1" t="s">
        <v>4949</v>
      </c>
      <c r="B3295" t="s">
        <v>4950</v>
      </c>
      <c r="C3295" s="1" t="s">
        <v>4951</v>
      </c>
      <c r="D3295" s="1" t="s">
        <v>4951</v>
      </c>
      <c r="E3295" t="s">
        <v>4952</v>
      </c>
      <c r="F3295" s="2" t="s">
        <v>1394</v>
      </c>
      <c r="G3295" t="s">
        <v>5</v>
      </c>
      <c r="H3295" s="2" t="s">
        <v>50</v>
      </c>
      <c r="I3295" s="2">
        <v>4</v>
      </c>
    </row>
    <row r="3296" spans="1:9" x14ac:dyDescent="0.25">
      <c r="A3296" s="1" t="s">
        <v>4949</v>
      </c>
      <c r="B3296" t="s">
        <v>4950</v>
      </c>
      <c r="C3296" s="1" t="s">
        <v>7</v>
      </c>
      <c r="D3296" s="1" t="s">
        <v>7</v>
      </c>
      <c r="E3296" t="s">
        <v>8</v>
      </c>
      <c r="F3296" s="2" t="s">
        <v>9</v>
      </c>
      <c r="G3296" t="s">
        <v>10</v>
      </c>
      <c r="H3296" s="2" t="s">
        <v>3822</v>
      </c>
      <c r="I3296" s="2">
        <v>7.2</v>
      </c>
    </row>
    <row r="3297" spans="1:9" x14ac:dyDescent="0.25">
      <c r="A3297" s="1" t="s">
        <v>4953</v>
      </c>
      <c r="B3297" t="s">
        <v>4954</v>
      </c>
      <c r="C3297" s="1" t="s">
        <v>1203</v>
      </c>
      <c r="D3297" s="1" t="s">
        <v>1203</v>
      </c>
      <c r="E3297" t="s">
        <v>1204</v>
      </c>
      <c r="F3297" s="2" t="s">
        <v>216</v>
      </c>
      <c r="G3297" t="s">
        <v>5</v>
      </c>
      <c r="H3297" s="2" t="s">
        <v>33</v>
      </c>
      <c r="I3297" s="2">
        <v>1.4</v>
      </c>
    </row>
    <row r="3298" spans="1:9" x14ac:dyDescent="0.25">
      <c r="A3298" s="1" t="s">
        <v>4953</v>
      </c>
      <c r="B3298" t="s">
        <v>4954</v>
      </c>
      <c r="C3298" s="1" t="s">
        <v>7</v>
      </c>
      <c r="D3298" s="1" t="s">
        <v>7</v>
      </c>
      <c r="E3298" t="s">
        <v>8</v>
      </c>
      <c r="F3298" s="2" t="s">
        <v>9</v>
      </c>
      <c r="G3298" t="s">
        <v>10</v>
      </c>
      <c r="H3298" s="2" t="s">
        <v>1733</v>
      </c>
      <c r="I3298" s="2">
        <v>2.5</v>
      </c>
    </row>
    <row r="3299" spans="1:9" x14ac:dyDescent="0.25">
      <c r="A3299" s="1" t="s">
        <v>4955</v>
      </c>
      <c r="B3299" t="s">
        <v>4956</v>
      </c>
      <c r="C3299" s="1" t="s">
        <v>2961</v>
      </c>
      <c r="D3299" s="1" t="s">
        <v>2961</v>
      </c>
      <c r="E3299" t="s">
        <v>2962</v>
      </c>
      <c r="F3299" s="2" t="s">
        <v>4430</v>
      </c>
      <c r="G3299" t="s">
        <v>5</v>
      </c>
      <c r="H3299" s="2" t="s">
        <v>4957</v>
      </c>
      <c r="I3299" s="2">
        <v>0.55000000000000004</v>
      </c>
    </row>
    <row r="3300" spans="1:9" x14ac:dyDescent="0.25">
      <c r="A3300" s="1" t="s">
        <v>4955</v>
      </c>
      <c r="B3300" t="s">
        <v>4956</v>
      </c>
      <c r="C3300" s="1" t="s">
        <v>7</v>
      </c>
      <c r="D3300" s="1" t="s">
        <v>7</v>
      </c>
      <c r="E3300" t="s">
        <v>8</v>
      </c>
      <c r="F3300" s="2" t="s">
        <v>9</v>
      </c>
      <c r="G3300" t="s">
        <v>10</v>
      </c>
      <c r="H3300" s="2" t="s">
        <v>1791</v>
      </c>
      <c r="I3300" s="2">
        <v>2.4500000000000002</v>
      </c>
    </row>
    <row r="3301" spans="1:9" x14ac:dyDescent="0.25">
      <c r="A3301" s="1" t="s">
        <v>4958</v>
      </c>
      <c r="B3301" t="s">
        <v>4959</v>
      </c>
      <c r="C3301" s="1" t="s">
        <v>3063</v>
      </c>
      <c r="D3301" s="1" t="s">
        <v>3063</v>
      </c>
      <c r="E3301" t="s">
        <v>3064</v>
      </c>
      <c r="F3301" s="2" t="s">
        <v>1017</v>
      </c>
      <c r="G3301" t="s">
        <v>5</v>
      </c>
      <c r="H3301" s="2" t="s">
        <v>4960</v>
      </c>
      <c r="I3301" s="2">
        <v>1.95</v>
      </c>
    </row>
    <row r="3302" spans="1:9" x14ac:dyDescent="0.25">
      <c r="A3302" s="1" t="s">
        <v>4958</v>
      </c>
      <c r="B3302" t="s">
        <v>4959</v>
      </c>
      <c r="C3302" s="1" t="s">
        <v>7</v>
      </c>
      <c r="D3302" s="1" t="s">
        <v>7</v>
      </c>
      <c r="E3302" t="s">
        <v>8</v>
      </c>
      <c r="F3302" s="2" t="s">
        <v>9</v>
      </c>
      <c r="G3302" t="s">
        <v>10</v>
      </c>
      <c r="H3302" s="2" t="s">
        <v>33</v>
      </c>
      <c r="I3302" s="2">
        <v>9.1999999999999993</v>
      </c>
    </row>
    <row r="3303" spans="1:9" x14ac:dyDescent="0.25">
      <c r="A3303" s="1" t="s">
        <v>4961</v>
      </c>
      <c r="B3303" t="s">
        <v>4962</v>
      </c>
      <c r="C3303" s="1" t="s">
        <v>4963</v>
      </c>
      <c r="D3303" s="1" t="s">
        <v>4963</v>
      </c>
      <c r="E3303" t="s">
        <v>4964</v>
      </c>
      <c r="F3303" s="2" t="s">
        <v>666</v>
      </c>
      <c r="G3303" t="s">
        <v>5</v>
      </c>
      <c r="H3303" s="2" t="s">
        <v>605</v>
      </c>
      <c r="I3303" s="2">
        <v>0.7</v>
      </c>
    </row>
    <row r="3304" spans="1:9" x14ac:dyDescent="0.25">
      <c r="A3304" s="1" t="s">
        <v>4961</v>
      </c>
      <c r="B3304" t="s">
        <v>4962</v>
      </c>
      <c r="C3304" s="1" t="s">
        <v>7</v>
      </c>
      <c r="D3304" s="1" t="s">
        <v>7</v>
      </c>
      <c r="E3304" t="s">
        <v>8</v>
      </c>
      <c r="F3304" s="2" t="s">
        <v>9</v>
      </c>
      <c r="G3304" t="s">
        <v>10</v>
      </c>
      <c r="H3304" s="2" t="s">
        <v>33</v>
      </c>
      <c r="I3304" s="2">
        <v>9.1999999999999993</v>
      </c>
    </row>
    <row r="3305" spans="1:9" x14ac:dyDescent="0.25">
      <c r="A3305" s="1" t="s">
        <v>804</v>
      </c>
      <c r="B3305" t="s">
        <v>805</v>
      </c>
      <c r="C3305" s="1" t="s">
        <v>1345</v>
      </c>
      <c r="D3305" s="1" t="s">
        <v>1345</v>
      </c>
      <c r="E3305" t="s">
        <v>1346</v>
      </c>
      <c r="F3305" s="2" t="s">
        <v>1369</v>
      </c>
      <c r="G3305" t="s">
        <v>5</v>
      </c>
      <c r="H3305" s="2" t="s">
        <v>4965</v>
      </c>
      <c r="I3305" s="2">
        <v>9.75</v>
      </c>
    </row>
    <row r="3306" spans="1:9" x14ac:dyDescent="0.25">
      <c r="A3306" s="1" t="s">
        <v>804</v>
      </c>
      <c r="B3306" t="s">
        <v>805</v>
      </c>
      <c r="C3306" s="1" t="s">
        <v>7</v>
      </c>
      <c r="D3306" s="1" t="s">
        <v>7</v>
      </c>
      <c r="E3306" t="s">
        <v>8</v>
      </c>
      <c r="F3306" s="2" t="s">
        <v>9</v>
      </c>
      <c r="G3306" t="s">
        <v>10</v>
      </c>
      <c r="H3306" s="2" t="s">
        <v>1114</v>
      </c>
      <c r="I3306" s="2">
        <v>3.15</v>
      </c>
    </row>
    <row r="3307" spans="1:9" x14ac:dyDescent="0.25">
      <c r="A3307" s="1" t="s">
        <v>806</v>
      </c>
      <c r="B3307" t="s">
        <v>807</v>
      </c>
      <c r="C3307" s="1" t="s">
        <v>1345</v>
      </c>
      <c r="D3307" s="1" t="s">
        <v>1345</v>
      </c>
      <c r="E3307" t="s">
        <v>1346</v>
      </c>
      <c r="F3307" s="2" t="s">
        <v>1369</v>
      </c>
      <c r="G3307" t="s">
        <v>5</v>
      </c>
      <c r="H3307" s="2" t="s">
        <v>4965</v>
      </c>
      <c r="I3307" s="2">
        <v>9.75</v>
      </c>
    </row>
    <row r="3308" spans="1:9" x14ac:dyDescent="0.25">
      <c r="A3308" s="1" t="s">
        <v>806</v>
      </c>
      <c r="B3308" t="s">
        <v>807</v>
      </c>
      <c r="C3308" s="1" t="s">
        <v>7</v>
      </c>
      <c r="D3308" s="1" t="s">
        <v>7</v>
      </c>
      <c r="E3308" t="s">
        <v>8</v>
      </c>
      <c r="F3308" s="2" t="s">
        <v>9</v>
      </c>
      <c r="G3308" t="s">
        <v>10</v>
      </c>
      <c r="H3308" s="2" t="s">
        <v>1114</v>
      </c>
      <c r="I3308" s="2">
        <v>3.15</v>
      </c>
    </row>
    <row r="3309" spans="1:9" x14ac:dyDescent="0.25">
      <c r="A3309" s="1" t="s">
        <v>808</v>
      </c>
      <c r="B3309" t="s">
        <v>809</v>
      </c>
      <c r="C3309" s="1" t="s">
        <v>1345</v>
      </c>
      <c r="D3309" s="1" t="s">
        <v>1345</v>
      </c>
      <c r="E3309" t="s">
        <v>1346</v>
      </c>
      <c r="F3309" s="2" t="s">
        <v>1369</v>
      </c>
      <c r="G3309" t="s">
        <v>5</v>
      </c>
      <c r="H3309" s="2" t="s">
        <v>4966</v>
      </c>
      <c r="I3309" s="2">
        <v>1.45</v>
      </c>
    </row>
    <row r="3310" spans="1:9" x14ac:dyDescent="0.25">
      <c r="A3310" s="1" t="s">
        <v>808</v>
      </c>
      <c r="B3310" t="s">
        <v>809</v>
      </c>
      <c r="C3310" s="1" t="s">
        <v>7</v>
      </c>
      <c r="D3310" s="1" t="s">
        <v>7</v>
      </c>
      <c r="E3310" t="s">
        <v>8</v>
      </c>
      <c r="F3310" s="2" t="s">
        <v>9</v>
      </c>
      <c r="G3310" t="s">
        <v>10</v>
      </c>
      <c r="H3310" s="2" t="s">
        <v>1773</v>
      </c>
      <c r="I3310" s="2">
        <v>3</v>
      </c>
    </row>
    <row r="3311" spans="1:9" x14ac:dyDescent="0.25">
      <c r="A3311" s="1" t="s">
        <v>845</v>
      </c>
      <c r="B3311" t="s">
        <v>846</v>
      </c>
      <c r="C3311" s="1" t="s">
        <v>4967</v>
      </c>
      <c r="D3311" s="1" t="s">
        <v>4967</v>
      </c>
      <c r="E3311" t="s">
        <v>4968</v>
      </c>
      <c r="F3311" s="2" t="s">
        <v>4969</v>
      </c>
      <c r="G3311" t="s">
        <v>49</v>
      </c>
      <c r="H3311" s="2" t="s">
        <v>50</v>
      </c>
      <c r="I3311" s="2">
        <v>61.1</v>
      </c>
    </row>
    <row r="3312" spans="1:9" x14ac:dyDescent="0.25">
      <c r="A3312" s="1" t="s">
        <v>845</v>
      </c>
      <c r="B3312" t="s">
        <v>846</v>
      </c>
      <c r="C3312" s="1" t="s">
        <v>4970</v>
      </c>
      <c r="D3312" s="1" t="s">
        <v>4970</v>
      </c>
      <c r="E3312" t="s">
        <v>4971</v>
      </c>
      <c r="F3312" s="2" t="s">
        <v>4972</v>
      </c>
      <c r="G3312" t="s">
        <v>49</v>
      </c>
      <c r="H3312" s="2" t="s">
        <v>50</v>
      </c>
      <c r="I3312" s="2">
        <v>32.9</v>
      </c>
    </row>
    <row r="3313" spans="1:9" x14ac:dyDescent="0.25">
      <c r="A3313" s="1" t="s">
        <v>845</v>
      </c>
      <c r="B3313" t="s">
        <v>846</v>
      </c>
      <c r="C3313" s="1" t="s">
        <v>857</v>
      </c>
      <c r="D3313" s="1" t="s">
        <v>857</v>
      </c>
      <c r="E3313" t="s">
        <v>858</v>
      </c>
      <c r="F3313" s="2" t="s">
        <v>686</v>
      </c>
      <c r="G3313" t="s">
        <v>49</v>
      </c>
      <c r="H3313" s="2" t="s">
        <v>4973</v>
      </c>
      <c r="I3313" s="2">
        <v>10.15</v>
      </c>
    </row>
    <row r="3314" spans="1:9" x14ac:dyDescent="0.25">
      <c r="A3314" s="1" t="s">
        <v>845</v>
      </c>
      <c r="B3314" t="s">
        <v>846</v>
      </c>
      <c r="C3314" s="1" t="s">
        <v>7</v>
      </c>
      <c r="D3314" s="1" t="s">
        <v>7</v>
      </c>
      <c r="E3314" t="s">
        <v>8</v>
      </c>
      <c r="F3314" s="2" t="s">
        <v>9</v>
      </c>
      <c r="G3314" t="s">
        <v>10</v>
      </c>
      <c r="H3314" s="2" t="s">
        <v>3164</v>
      </c>
      <c r="I3314" s="2">
        <v>29.5</v>
      </c>
    </row>
    <row r="3315" spans="1:9" x14ac:dyDescent="0.25">
      <c r="A3315" s="1" t="s">
        <v>845</v>
      </c>
      <c r="B3315" t="s">
        <v>846</v>
      </c>
      <c r="C3315" s="1" t="s">
        <v>7</v>
      </c>
      <c r="D3315" s="1" t="s">
        <v>7</v>
      </c>
      <c r="E3315" t="s">
        <v>8</v>
      </c>
      <c r="F3315" s="2" t="s">
        <v>9</v>
      </c>
      <c r="G3315" t="s">
        <v>10</v>
      </c>
      <c r="H3315" s="2" t="s">
        <v>4974</v>
      </c>
      <c r="I3315" s="2">
        <v>42.35</v>
      </c>
    </row>
    <row r="3316" spans="1:9" x14ac:dyDescent="0.25">
      <c r="A3316" s="1" t="s">
        <v>848</v>
      </c>
      <c r="B3316" t="s">
        <v>849</v>
      </c>
      <c r="C3316" s="1" t="s">
        <v>1345</v>
      </c>
      <c r="D3316" s="1" t="s">
        <v>1345</v>
      </c>
      <c r="E3316" t="s">
        <v>1346</v>
      </c>
      <c r="F3316" s="2" t="s">
        <v>1369</v>
      </c>
      <c r="G3316" t="s">
        <v>5</v>
      </c>
      <c r="H3316" s="2" t="s">
        <v>4975</v>
      </c>
      <c r="I3316" s="2">
        <v>3.3</v>
      </c>
    </row>
    <row r="3317" spans="1:9" x14ac:dyDescent="0.25">
      <c r="A3317" s="1" t="s">
        <v>848</v>
      </c>
      <c r="B3317" t="s">
        <v>849</v>
      </c>
      <c r="C3317" s="1" t="s">
        <v>7</v>
      </c>
      <c r="D3317" s="1" t="s">
        <v>7</v>
      </c>
      <c r="E3317" t="s">
        <v>8</v>
      </c>
      <c r="F3317" s="2" t="s">
        <v>9</v>
      </c>
      <c r="G3317" t="s">
        <v>10</v>
      </c>
      <c r="H3317" s="2" t="s">
        <v>4976</v>
      </c>
      <c r="I3317" s="2">
        <v>3.2</v>
      </c>
    </row>
    <row r="3318" spans="1:9" x14ac:dyDescent="0.25">
      <c r="A3318" s="1" t="s">
        <v>851</v>
      </c>
      <c r="B3318" t="s">
        <v>852</v>
      </c>
      <c r="C3318" s="1" t="s">
        <v>1345</v>
      </c>
      <c r="D3318" s="1" t="s">
        <v>1345</v>
      </c>
      <c r="E3318" t="s">
        <v>1346</v>
      </c>
      <c r="F3318" s="2" t="s">
        <v>1369</v>
      </c>
      <c r="G3318" t="s">
        <v>5</v>
      </c>
      <c r="H3318" s="2" t="s">
        <v>4977</v>
      </c>
      <c r="I3318" s="2">
        <v>3.9</v>
      </c>
    </row>
    <row r="3319" spans="1:9" x14ac:dyDescent="0.25">
      <c r="A3319" s="1" t="s">
        <v>851</v>
      </c>
      <c r="B3319" t="s">
        <v>852</v>
      </c>
      <c r="C3319" s="1" t="s">
        <v>7</v>
      </c>
      <c r="D3319" s="1" t="s">
        <v>7</v>
      </c>
      <c r="E3319" t="s">
        <v>8</v>
      </c>
      <c r="F3319" s="2" t="s">
        <v>9</v>
      </c>
      <c r="G3319" t="s">
        <v>10</v>
      </c>
      <c r="H3319" s="2" t="s">
        <v>4976</v>
      </c>
      <c r="I3319" s="2">
        <v>3.2</v>
      </c>
    </row>
    <row r="3320" spans="1:9" x14ac:dyDescent="0.25">
      <c r="A3320" s="1" t="s">
        <v>854</v>
      </c>
      <c r="B3320" t="s">
        <v>855</v>
      </c>
      <c r="C3320" s="1" t="s">
        <v>1345</v>
      </c>
      <c r="D3320" s="1" t="s">
        <v>1345</v>
      </c>
      <c r="E3320" t="s">
        <v>1346</v>
      </c>
      <c r="F3320" s="2" t="s">
        <v>1369</v>
      </c>
      <c r="G3320" t="s">
        <v>5</v>
      </c>
      <c r="H3320" s="2" t="s">
        <v>4978</v>
      </c>
      <c r="I3320" s="2">
        <v>1.2</v>
      </c>
    </row>
    <row r="3321" spans="1:9" x14ac:dyDescent="0.25">
      <c r="A3321" s="1" t="s">
        <v>854</v>
      </c>
      <c r="B3321" t="s">
        <v>855</v>
      </c>
      <c r="C3321" s="1" t="s">
        <v>7</v>
      </c>
      <c r="D3321" s="1" t="s">
        <v>7</v>
      </c>
      <c r="E3321" t="s">
        <v>8</v>
      </c>
      <c r="F3321" s="2" t="s">
        <v>9</v>
      </c>
      <c r="G3321" t="s">
        <v>10</v>
      </c>
      <c r="H3321" s="2" t="s">
        <v>1351</v>
      </c>
      <c r="I3321" s="2">
        <v>2.9</v>
      </c>
    </row>
    <row r="3322" spans="1:9" x14ac:dyDescent="0.25">
      <c r="A3322" s="1" t="s">
        <v>460</v>
      </c>
      <c r="B3322" t="s">
        <v>461</v>
      </c>
      <c r="C3322" s="1" t="s">
        <v>3506</v>
      </c>
      <c r="D3322" s="1" t="s">
        <v>3506</v>
      </c>
      <c r="E3322" t="s">
        <v>3507</v>
      </c>
      <c r="F3322" s="2" t="s">
        <v>1394</v>
      </c>
      <c r="G3322" t="s">
        <v>5</v>
      </c>
      <c r="H3322" s="2" t="s">
        <v>4979</v>
      </c>
      <c r="I3322" s="2">
        <v>10.199999999999999</v>
      </c>
    </row>
    <row r="3323" spans="1:9" x14ac:dyDescent="0.25">
      <c r="A3323" s="1" t="s">
        <v>460</v>
      </c>
      <c r="B3323" t="s">
        <v>461</v>
      </c>
      <c r="C3323" s="1" t="s">
        <v>7</v>
      </c>
      <c r="D3323" s="1" t="s">
        <v>7</v>
      </c>
      <c r="E3323" t="s">
        <v>8</v>
      </c>
      <c r="F3323" s="2" t="s">
        <v>9</v>
      </c>
      <c r="G3323" t="s">
        <v>10</v>
      </c>
      <c r="H3323" s="2" t="s">
        <v>1415</v>
      </c>
      <c r="I3323" s="2">
        <v>9.6</v>
      </c>
    </row>
    <row r="3324" spans="1:9" x14ac:dyDescent="0.25">
      <c r="A3324" s="1" t="s">
        <v>463</v>
      </c>
      <c r="B3324" t="s">
        <v>464</v>
      </c>
      <c r="C3324" s="1" t="s">
        <v>4980</v>
      </c>
      <c r="D3324" s="1" t="s">
        <v>4980</v>
      </c>
      <c r="E3324" t="s">
        <v>4981</v>
      </c>
      <c r="F3324" s="2" t="s">
        <v>117</v>
      </c>
      <c r="G3324" t="s">
        <v>17</v>
      </c>
      <c r="H3324" s="2" t="s">
        <v>4982</v>
      </c>
      <c r="I3324" s="2">
        <v>1.51</v>
      </c>
    </row>
    <row r="3325" spans="1:9" x14ac:dyDescent="0.25">
      <c r="A3325" s="1" t="s">
        <v>463</v>
      </c>
      <c r="B3325" t="s">
        <v>464</v>
      </c>
      <c r="C3325" s="1" t="s">
        <v>7</v>
      </c>
      <c r="D3325" s="1" t="s">
        <v>7</v>
      </c>
      <c r="E3325" t="s">
        <v>8</v>
      </c>
      <c r="F3325" s="2" t="s">
        <v>9</v>
      </c>
      <c r="G3325" t="s">
        <v>10</v>
      </c>
      <c r="H3325" s="2" t="s">
        <v>1096</v>
      </c>
      <c r="I3325" s="2">
        <v>4.7</v>
      </c>
    </row>
    <row r="3326" spans="1:9" x14ac:dyDescent="0.25">
      <c r="A3326" s="1" t="s">
        <v>466</v>
      </c>
      <c r="B3326" t="s">
        <v>467</v>
      </c>
      <c r="C3326" s="1" t="s">
        <v>3865</v>
      </c>
      <c r="D3326" s="1" t="s">
        <v>3865</v>
      </c>
      <c r="E3326" t="s">
        <v>3866</v>
      </c>
      <c r="F3326" s="2" t="s">
        <v>403</v>
      </c>
      <c r="G3326" t="s">
        <v>17</v>
      </c>
      <c r="H3326" s="2" t="s">
        <v>3292</v>
      </c>
      <c r="I3326" s="2">
        <v>0.4</v>
      </c>
    </row>
    <row r="3327" spans="1:9" x14ac:dyDescent="0.25">
      <c r="A3327" s="1" t="s">
        <v>466</v>
      </c>
      <c r="B3327" t="s">
        <v>467</v>
      </c>
      <c r="C3327" s="1" t="s">
        <v>2</v>
      </c>
      <c r="D3327" s="1" t="s">
        <v>2</v>
      </c>
      <c r="E3327" t="s">
        <v>3</v>
      </c>
      <c r="F3327" s="2" t="s">
        <v>4</v>
      </c>
      <c r="G3327" t="s">
        <v>5</v>
      </c>
      <c r="H3327" s="2" t="s">
        <v>4983</v>
      </c>
      <c r="I3327" s="2">
        <v>1.3</v>
      </c>
    </row>
    <row r="3328" spans="1:9" x14ac:dyDescent="0.25">
      <c r="A3328" s="1" t="s">
        <v>466</v>
      </c>
      <c r="B3328" t="s">
        <v>467</v>
      </c>
      <c r="C3328" s="1" t="s">
        <v>7</v>
      </c>
      <c r="D3328" s="1" t="s">
        <v>7</v>
      </c>
      <c r="E3328" t="s">
        <v>8</v>
      </c>
      <c r="F3328" s="2" t="s">
        <v>9</v>
      </c>
      <c r="G3328" t="s">
        <v>10</v>
      </c>
      <c r="H3328" s="2" t="s">
        <v>4984</v>
      </c>
      <c r="I3328" s="2">
        <v>5.0999999999999996</v>
      </c>
    </row>
    <row r="3329" spans="1:9" x14ac:dyDescent="0.25">
      <c r="A3329" s="1" t="s">
        <v>4985</v>
      </c>
      <c r="B3329" t="s">
        <v>4986</v>
      </c>
      <c r="C3329" s="1" t="s">
        <v>3715</v>
      </c>
      <c r="D3329" s="1" t="s">
        <v>3715</v>
      </c>
      <c r="E3329" t="s">
        <v>3716</v>
      </c>
      <c r="F3329" s="2" t="s">
        <v>3189</v>
      </c>
      <c r="G3329" t="s">
        <v>2378</v>
      </c>
      <c r="H3329" s="2" t="s">
        <v>1141</v>
      </c>
      <c r="I3329" s="2">
        <v>4.5</v>
      </c>
    </row>
    <row r="3330" spans="1:9" x14ac:dyDescent="0.25">
      <c r="A3330" s="1" t="s">
        <v>4985</v>
      </c>
      <c r="B3330" t="s">
        <v>4986</v>
      </c>
      <c r="C3330" s="1" t="s">
        <v>541</v>
      </c>
      <c r="D3330" s="1" t="s">
        <v>541</v>
      </c>
      <c r="E3330" t="s">
        <v>542</v>
      </c>
      <c r="F3330" s="2" t="s">
        <v>9</v>
      </c>
      <c r="G3330" t="s">
        <v>10</v>
      </c>
      <c r="H3330" s="2" t="s">
        <v>4987</v>
      </c>
      <c r="I3330" s="2">
        <v>3.55</v>
      </c>
    </row>
    <row r="3331" spans="1:9" x14ac:dyDescent="0.25">
      <c r="A3331" s="1" t="s">
        <v>4988</v>
      </c>
      <c r="B3331" t="s">
        <v>4989</v>
      </c>
      <c r="C3331" s="1" t="s">
        <v>2182</v>
      </c>
      <c r="D3331" s="1" t="s">
        <v>2182</v>
      </c>
      <c r="E3331" t="s">
        <v>2183</v>
      </c>
      <c r="F3331" s="2" t="s">
        <v>2184</v>
      </c>
      <c r="G3331" t="s">
        <v>121</v>
      </c>
      <c r="H3331" s="2" t="s">
        <v>50</v>
      </c>
      <c r="I3331" s="2">
        <v>2.86</v>
      </c>
    </row>
    <row r="3332" spans="1:9" x14ac:dyDescent="0.25">
      <c r="A3332" s="1" t="s">
        <v>4988</v>
      </c>
      <c r="B3332" t="s">
        <v>4989</v>
      </c>
      <c r="C3332" s="1" t="s">
        <v>541</v>
      </c>
      <c r="D3332" s="1" t="s">
        <v>541</v>
      </c>
      <c r="E3332" t="s">
        <v>542</v>
      </c>
      <c r="F3332" s="2" t="s">
        <v>9</v>
      </c>
      <c r="G3332" t="s">
        <v>10</v>
      </c>
      <c r="H3332" s="2" t="s">
        <v>367</v>
      </c>
      <c r="I3332" s="2">
        <v>2.2999999999999998</v>
      </c>
    </row>
    <row r="3333" spans="1:9" x14ac:dyDescent="0.25">
      <c r="A3333" s="1" t="s">
        <v>4990</v>
      </c>
      <c r="B3333" t="s">
        <v>4991</v>
      </c>
      <c r="C3333" s="1" t="s">
        <v>4992</v>
      </c>
      <c r="D3333" s="1" t="s">
        <v>4992</v>
      </c>
      <c r="E3333" t="s">
        <v>4991</v>
      </c>
      <c r="F3333" s="2" t="s">
        <v>4993</v>
      </c>
      <c r="G3333" t="s">
        <v>49</v>
      </c>
      <c r="H3333" s="2" t="s">
        <v>50</v>
      </c>
      <c r="I3333" s="2">
        <v>84.5</v>
      </c>
    </row>
    <row r="3334" spans="1:9" x14ac:dyDescent="0.25">
      <c r="A3334" s="1" t="s">
        <v>4990</v>
      </c>
      <c r="B3334" t="s">
        <v>4991</v>
      </c>
      <c r="C3334" s="1" t="s">
        <v>541</v>
      </c>
      <c r="D3334" s="1" t="s">
        <v>541</v>
      </c>
      <c r="E3334" t="s">
        <v>542</v>
      </c>
      <c r="F3334" s="2" t="s">
        <v>9</v>
      </c>
      <c r="G3334" t="s">
        <v>10</v>
      </c>
      <c r="H3334" s="2" t="s">
        <v>4994</v>
      </c>
      <c r="I3334" s="2">
        <v>4.13</v>
      </c>
    </row>
    <row r="3335" spans="1:9" x14ac:dyDescent="0.25">
      <c r="A3335" s="1" t="s">
        <v>4995</v>
      </c>
      <c r="B3335" t="s">
        <v>4996</v>
      </c>
      <c r="C3335" s="1" t="s">
        <v>3317</v>
      </c>
      <c r="D3335" s="1" t="s">
        <v>3317</v>
      </c>
      <c r="E3335" t="s">
        <v>3318</v>
      </c>
      <c r="F3335" s="2" t="s">
        <v>1017</v>
      </c>
      <c r="G3335" t="s">
        <v>5</v>
      </c>
      <c r="H3335" s="2" t="s">
        <v>4997</v>
      </c>
      <c r="I3335" s="2">
        <v>0.95</v>
      </c>
    </row>
    <row r="3336" spans="1:9" x14ac:dyDescent="0.25">
      <c r="A3336" s="1" t="s">
        <v>4995</v>
      </c>
      <c r="B3336" t="s">
        <v>4996</v>
      </c>
      <c r="C3336" s="1" t="s">
        <v>7</v>
      </c>
      <c r="D3336" s="1" t="s">
        <v>7</v>
      </c>
      <c r="E3336" t="s">
        <v>8</v>
      </c>
      <c r="F3336" s="2" t="s">
        <v>9</v>
      </c>
      <c r="G3336" t="s">
        <v>10</v>
      </c>
      <c r="H3336" s="2" t="s">
        <v>4998</v>
      </c>
      <c r="I3336" s="2">
        <v>2.77</v>
      </c>
    </row>
    <row r="3337" spans="1:9" x14ac:dyDescent="0.25">
      <c r="A3337" s="1" t="s">
        <v>4999</v>
      </c>
      <c r="B3337" t="s">
        <v>5000</v>
      </c>
      <c r="C3337" s="1" t="s">
        <v>5001</v>
      </c>
      <c r="D3337" s="1" t="s">
        <v>5001</v>
      </c>
      <c r="E3337" t="s">
        <v>5002</v>
      </c>
      <c r="F3337" s="2" t="s">
        <v>104</v>
      </c>
      <c r="G3337" t="s">
        <v>121</v>
      </c>
      <c r="H3337" s="2" t="s">
        <v>2002</v>
      </c>
      <c r="I3337" s="2">
        <v>0</v>
      </c>
    </row>
    <row r="3338" spans="1:9" x14ac:dyDescent="0.25">
      <c r="A3338" s="1" t="s">
        <v>4999</v>
      </c>
      <c r="B3338" t="s">
        <v>5000</v>
      </c>
      <c r="C3338" s="1" t="s">
        <v>688</v>
      </c>
      <c r="D3338" s="1" t="s">
        <v>688</v>
      </c>
      <c r="E3338" t="s">
        <v>810</v>
      </c>
      <c r="F3338" s="2" t="s">
        <v>811</v>
      </c>
      <c r="G3338" t="s">
        <v>10</v>
      </c>
      <c r="H3338" s="2" t="s">
        <v>1225</v>
      </c>
      <c r="I3338" s="2">
        <v>6.93</v>
      </c>
    </row>
    <row r="3339" spans="1:9" x14ac:dyDescent="0.25">
      <c r="A3339" s="1" t="s">
        <v>250</v>
      </c>
      <c r="B3339" t="s">
        <v>251</v>
      </c>
      <c r="C3339" s="1" t="s">
        <v>1487</v>
      </c>
      <c r="D3339" s="1" t="s">
        <v>1487</v>
      </c>
      <c r="E3339" t="s">
        <v>1488</v>
      </c>
      <c r="F3339" s="2" t="s">
        <v>31</v>
      </c>
      <c r="G3339" t="s">
        <v>5</v>
      </c>
      <c r="H3339" s="2" t="s">
        <v>5003</v>
      </c>
      <c r="I3339" s="2">
        <v>22.5</v>
      </c>
    </row>
    <row r="3340" spans="1:9" x14ac:dyDescent="0.25">
      <c r="A3340" s="1" t="s">
        <v>250</v>
      </c>
      <c r="B3340" t="s">
        <v>251</v>
      </c>
      <c r="C3340" s="1" t="s">
        <v>432</v>
      </c>
      <c r="D3340" s="1" t="s">
        <v>432</v>
      </c>
      <c r="E3340" t="s">
        <v>433</v>
      </c>
      <c r="F3340" s="2" t="s">
        <v>434</v>
      </c>
      <c r="G3340" t="s">
        <v>435</v>
      </c>
      <c r="H3340" s="2" t="s">
        <v>5004</v>
      </c>
      <c r="I3340" s="2">
        <v>6</v>
      </c>
    </row>
    <row r="3341" spans="1:9" x14ac:dyDescent="0.25">
      <c r="A3341" s="1" t="s">
        <v>250</v>
      </c>
      <c r="B3341" t="s">
        <v>251</v>
      </c>
      <c r="C3341" s="1" t="s">
        <v>7</v>
      </c>
      <c r="D3341" s="1" t="s">
        <v>7</v>
      </c>
      <c r="E3341" t="s">
        <v>8</v>
      </c>
      <c r="F3341" s="2" t="s">
        <v>9</v>
      </c>
      <c r="G3341" t="s">
        <v>10</v>
      </c>
      <c r="H3341" s="2" t="s">
        <v>2114</v>
      </c>
      <c r="I3341" s="2">
        <v>15.18</v>
      </c>
    </row>
    <row r="3342" spans="1:9" x14ac:dyDescent="0.25">
      <c r="A3342" s="1" t="s">
        <v>253</v>
      </c>
      <c r="B3342" t="s">
        <v>254</v>
      </c>
      <c r="C3342" s="1" t="s">
        <v>1547</v>
      </c>
      <c r="D3342" s="1" t="s">
        <v>1547</v>
      </c>
      <c r="E3342" t="s">
        <v>1548</v>
      </c>
      <c r="F3342" s="2" t="s">
        <v>403</v>
      </c>
      <c r="G3342" t="s">
        <v>5</v>
      </c>
      <c r="H3342" s="2" t="s">
        <v>594</v>
      </c>
      <c r="I3342" s="2">
        <v>1.5</v>
      </c>
    </row>
    <row r="3343" spans="1:9" x14ac:dyDescent="0.25">
      <c r="A3343" s="1" t="s">
        <v>253</v>
      </c>
      <c r="B3343" t="s">
        <v>254</v>
      </c>
      <c r="C3343" s="1" t="s">
        <v>432</v>
      </c>
      <c r="D3343" s="1" t="s">
        <v>432</v>
      </c>
      <c r="E3343" t="s">
        <v>433</v>
      </c>
      <c r="F3343" s="2" t="s">
        <v>434</v>
      </c>
      <c r="G3343" t="s">
        <v>435</v>
      </c>
      <c r="H3343" s="2" t="s">
        <v>50</v>
      </c>
      <c r="I3343" s="2">
        <v>1.1000000000000001</v>
      </c>
    </row>
    <row r="3344" spans="1:9" x14ac:dyDescent="0.25">
      <c r="A3344" s="1" t="s">
        <v>253</v>
      </c>
      <c r="B3344" t="s">
        <v>254</v>
      </c>
      <c r="C3344" s="1" t="s">
        <v>7</v>
      </c>
      <c r="D3344" s="1" t="s">
        <v>7</v>
      </c>
      <c r="E3344" t="s">
        <v>8</v>
      </c>
      <c r="F3344" s="2" t="s">
        <v>9</v>
      </c>
      <c r="G3344" t="s">
        <v>10</v>
      </c>
      <c r="H3344" s="2" t="s">
        <v>1026</v>
      </c>
      <c r="I3344" s="2">
        <v>29.9</v>
      </c>
    </row>
    <row r="3345" spans="1:9" x14ac:dyDescent="0.25">
      <c r="A3345" s="1" t="s">
        <v>256</v>
      </c>
      <c r="B3345" t="s">
        <v>257</v>
      </c>
      <c r="C3345" s="1" t="s">
        <v>2509</v>
      </c>
      <c r="D3345" s="1" t="s">
        <v>2509</v>
      </c>
      <c r="E3345" t="s">
        <v>5005</v>
      </c>
      <c r="F3345" s="2" t="s">
        <v>31</v>
      </c>
      <c r="G3345" t="s">
        <v>5</v>
      </c>
      <c r="H3345" s="2" t="s">
        <v>690</v>
      </c>
      <c r="I3345" s="2">
        <v>4.7699999999999996</v>
      </c>
    </row>
    <row r="3346" spans="1:9" x14ac:dyDescent="0.25">
      <c r="A3346" s="1" t="s">
        <v>256</v>
      </c>
      <c r="B3346" t="s">
        <v>257</v>
      </c>
      <c r="C3346" s="1" t="s">
        <v>432</v>
      </c>
      <c r="D3346" s="1" t="s">
        <v>432</v>
      </c>
      <c r="E3346" t="s">
        <v>433</v>
      </c>
      <c r="F3346" s="2" t="s">
        <v>434</v>
      </c>
      <c r="G3346" t="s">
        <v>435</v>
      </c>
      <c r="H3346" s="2" t="s">
        <v>1170</v>
      </c>
      <c r="I3346" s="2">
        <v>3.85</v>
      </c>
    </row>
    <row r="3347" spans="1:9" x14ac:dyDescent="0.25">
      <c r="A3347" s="1" t="s">
        <v>256</v>
      </c>
      <c r="B3347" t="s">
        <v>257</v>
      </c>
      <c r="C3347" s="1" t="s">
        <v>7</v>
      </c>
      <c r="D3347" s="1" t="s">
        <v>7</v>
      </c>
      <c r="E3347" t="s">
        <v>8</v>
      </c>
      <c r="F3347" s="2" t="s">
        <v>9</v>
      </c>
      <c r="G3347" t="s">
        <v>10</v>
      </c>
      <c r="H3347" s="2" t="s">
        <v>1254</v>
      </c>
      <c r="I3347" s="2">
        <v>16.100000000000001</v>
      </c>
    </row>
    <row r="3348" spans="1:9" x14ac:dyDescent="0.25">
      <c r="A3348" s="1" t="s">
        <v>5006</v>
      </c>
      <c r="B3348" t="s">
        <v>5007</v>
      </c>
      <c r="C3348" s="1" t="s">
        <v>1487</v>
      </c>
      <c r="D3348" s="1" t="s">
        <v>1487</v>
      </c>
      <c r="E3348" t="s">
        <v>1488</v>
      </c>
      <c r="F3348" s="2" t="s">
        <v>31</v>
      </c>
      <c r="G3348" t="s">
        <v>5</v>
      </c>
      <c r="H3348" s="2" t="s">
        <v>4004</v>
      </c>
      <c r="I3348" s="2">
        <v>0.65</v>
      </c>
    </row>
    <row r="3349" spans="1:9" x14ac:dyDescent="0.25">
      <c r="A3349" s="1" t="s">
        <v>5006</v>
      </c>
      <c r="B3349" t="s">
        <v>5007</v>
      </c>
      <c r="C3349" s="1" t="s">
        <v>541</v>
      </c>
      <c r="D3349" s="1" t="s">
        <v>541</v>
      </c>
      <c r="E3349" t="s">
        <v>542</v>
      </c>
      <c r="F3349" s="2" t="s">
        <v>9</v>
      </c>
      <c r="G3349" t="s">
        <v>10</v>
      </c>
      <c r="H3349" s="2" t="s">
        <v>367</v>
      </c>
      <c r="I3349" s="2">
        <v>2.2999999999999998</v>
      </c>
    </row>
    <row r="3350" spans="1:9" x14ac:dyDescent="0.25">
      <c r="A3350" s="1" t="s">
        <v>75</v>
      </c>
      <c r="B3350" t="s">
        <v>76</v>
      </c>
      <c r="C3350" s="1" t="s">
        <v>2961</v>
      </c>
      <c r="D3350" s="1" t="s">
        <v>2961</v>
      </c>
      <c r="E3350" t="s">
        <v>2962</v>
      </c>
      <c r="F3350" s="2" t="s">
        <v>2963</v>
      </c>
      <c r="G3350" t="s">
        <v>5</v>
      </c>
      <c r="H3350" s="2" t="s">
        <v>5008</v>
      </c>
      <c r="I3350" s="2">
        <v>0.3</v>
      </c>
    </row>
    <row r="3351" spans="1:9" x14ac:dyDescent="0.25">
      <c r="A3351" s="1" t="s">
        <v>75</v>
      </c>
      <c r="B3351" t="s">
        <v>76</v>
      </c>
      <c r="C3351" s="1" t="s">
        <v>432</v>
      </c>
      <c r="D3351" s="1" t="s">
        <v>432</v>
      </c>
      <c r="E3351" t="s">
        <v>433</v>
      </c>
      <c r="F3351" s="2" t="s">
        <v>434</v>
      </c>
      <c r="G3351" t="s">
        <v>435</v>
      </c>
      <c r="H3351" s="2" t="s">
        <v>5009</v>
      </c>
      <c r="I3351" s="2">
        <v>1.25</v>
      </c>
    </row>
    <row r="3352" spans="1:9" x14ac:dyDescent="0.25">
      <c r="A3352" s="1" t="s">
        <v>75</v>
      </c>
      <c r="B3352" t="s">
        <v>76</v>
      </c>
      <c r="C3352" s="1" t="s">
        <v>7</v>
      </c>
      <c r="D3352" s="1" t="s">
        <v>7</v>
      </c>
      <c r="E3352" t="s">
        <v>8</v>
      </c>
      <c r="F3352" s="2" t="s">
        <v>9</v>
      </c>
      <c r="G3352" t="s">
        <v>10</v>
      </c>
      <c r="H3352" s="2" t="s">
        <v>1733</v>
      </c>
      <c r="I3352" s="2">
        <v>2.5</v>
      </c>
    </row>
    <row r="3353" spans="1:9" x14ac:dyDescent="0.25">
      <c r="A3353" s="1" t="s">
        <v>5010</v>
      </c>
      <c r="B3353" t="s">
        <v>5011</v>
      </c>
      <c r="C3353" s="1" t="s">
        <v>432</v>
      </c>
      <c r="D3353" s="1" t="s">
        <v>432</v>
      </c>
      <c r="E3353" t="s">
        <v>433</v>
      </c>
      <c r="F3353" s="2" t="s">
        <v>434</v>
      </c>
      <c r="G3353" t="s">
        <v>435</v>
      </c>
      <c r="H3353" s="2" t="s">
        <v>50</v>
      </c>
      <c r="I3353" s="2">
        <v>1.1000000000000001</v>
      </c>
    </row>
    <row r="3354" spans="1:9" x14ac:dyDescent="0.25">
      <c r="A3354" s="1" t="s">
        <v>5010</v>
      </c>
      <c r="B3354" t="s">
        <v>5011</v>
      </c>
      <c r="C3354" s="1" t="s">
        <v>7</v>
      </c>
      <c r="D3354" s="1" t="s">
        <v>7</v>
      </c>
      <c r="E3354" t="s">
        <v>8</v>
      </c>
      <c r="F3354" s="2" t="s">
        <v>9</v>
      </c>
      <c r="G3354" t="s">
        <v>10</v>
      </c>
      <c r="H3354" s="2" t="s">
        <v>25</v>
      </c>
      <c r="I3354" s="2">
        <v>2.76</v>
      </c>
    </row>
    <row r="3355" spans="1:9" x14ac:dyDescent="0.25">
      <c r="A3355" s="1" t="s">
        <v>52</v>
      </c>
      <c r="B3355" t="s">
        <v>53</v>
      </c>
      <c r="C3355" s="1" t="s">
        <v>2961</v>
      </c>
      <c r="D3355" s="1" t="s">
        <v>2961</v>
      </c>
      <c r="E3355" t="s">
        <v>2962</v>
      </c>
      <c r="F3355" s="2" t="s">
        <v>2963</v>
      </c>
      <c r="G3355" t="s">
        <v>5</v>
      </c>
      <c r="H3355" s="2" t="s">
        <v>5008</v>
      </c>
      <c r="I3355" s="2">
        <v>0.3</v>
      </c>
    </row>
    <row r="3356" spans="1:9" x14ac:dyDescent="0.25">
      <c r="A3356" s="1" t="s">
        <v>52</v>
      </c>
      <c r="B3356" t="s">
        <v>53</v>
      </c>
      <c r="C3356" s="1" t="s">
        <v>432</v>
      </c>
      <c r="D3356" s="1" t="s">
        <v>432</v>
      </c>
      <c r="E3356" t="s">
        <v>433</v>
      </c>
      <c r="F3356" s="2" t="s">
        <v>434</v>
      </c>
      <c r="G3356" t="s">
        <v>435</v>
      </c>
      <c r="H3356" s="2" t="s">
        <v>50</v>
      </c>
      <c r="I3356" s="2">
        <v>1.1000000000000001</v>
      </c>
    </row>
    <row r="3357" spans="1:9" x14ac:dyDescent="0.25">
      <c r="A3357" s="1" t="s">
        <v>52</v>
      </c>
      <c r="B3357" t="s">
        <v>53</v>
      </c>
      <c r="C3357" s="1" t="s">
        <v>7</v>
      </c>
      <c r="D3357" s="1" t="s">
        <v>7</v>
      </c>
      <c r="E3357" t="s">
        <v>8</v>
      </c>
      <c r="F3357" s="2" t="s">
        <v>9</v>
      </c>
      <c r="G3357" t="s">
        <v>10</v>
      </c>
      <c r="H3357" s="2" t="s">
        <v>2518</v>
      </c>
      <c r="I3357" s="2">
        <v>2.4</v>
      </c>
    </row>
    <row r="3358" spans="1:9" x14ac:dyDescent="0.25">
      <c r="A3358" s="1" t="s">
        <v>56</v>
      </c>
      <c r="B3358" t="s">
        <v>57</v>
      </c>
      <c r="C3358" s="1" t="s">
        <v>1487</v>
      </c>
      <c r="D3358" s="1" t="s">
        <v>1487</v>
      </c>
      <c r="E3358" t="s">
        <v>1488</v>
      </c>
      <c r="F3358" s="2" t="s">
        <v>31</v>
      </c>
      <c r="G3358" t="s">
        <v>5</v>
      </c>
      <c r="H3358" s="2" t="s">
        <v>1472</v>
      </c>
      <c r="I3358" s="2">
        <v>0.55000000000000004</v>
      </c>
    </row>
    <row r="3359" spans="1:9" x14ac:dyDescent="0.25">
      <c r="A3359" s="1" t="s">
        <v>56</v>
      </c>
      <c r="B3359" t="s">
        <v>57</v>
      </c>
      <c r="C3359" s="1" t="s">
        <v>432</v>
      </c>
      <c r="D3359" s="1" t="s">
        <v>432</v>
      </c>
      <c r="E3359" t="s">
        <v>433</v>
      </c>
      <c r="F3359" s="2" t="s">
        <v>434</v>
      </c>
      <c r="G3359" t="s">
        <v>435</v>
      </c>
      <c r="H3359" s="2" t="s">
        <v>50</v>
      </c>
      <c r="I3359" s="2">
        <v>1.1000000000000001</v>
      </c>
    </row>
    <row r="3360" spans="1:9" x14ac:dyDescent="0.25">
      <c r="A3360" s="1" t="s">
        <v>56</v>
      </c>
      <c r="B3360" t="s">
        <v>57</v>
      </c>
      <c r="C3360" s="1" t="s">
        <v>7</v>
      </c>
      <c r="D3360" s="1" t="s">
        <v>7</v>
      </c>
      <c r="E3360" t="s">
        <v>8</v>
      </c>
      <c r="F3360" s="2" t="s">
        <v>9</v>
      </c>
      <c r="G3360" t="s">
        <v>10</v>
      </c>
      <c r="H3360" s="2" t="s">
        <v>4756</v>
      </c>
      <c r="I3360" s="2">
        <v>3.75</v>
      </c>
    </row>
    <row r="3361" spans="1:9" x14ac:dyDescent="0.25">
      <c r="A3361" s="1" t="s">
        <v>59</v>
      </c>
      <c r="B3361" t="s">
        <v>60</v>
      </c>
      <c r="C3361" s="1" t="s">
        <v>1162</v>
      </c>
      <c r="D3361" s="1" t="s">
        <v>1162</v>
      </c>
      <c r="E3361" t="s">
        <v>1163</v>
      </c>
      <c r="F3361" s="2" t="s">
        <v>1164</v>
      </c>
      <c r="G3361" t="s">
        <v>5</v>
      </c>
      <c r="H3361" s="2" t="s">
        <v>3980</v>
      </c>
      <c r="I3361" s="2">
        <v>0.25</v>
      </c>
    </row>
    <row r="3362" spans="1:9" x14ac:dyDescent="0.25">
      <c r="A3362" s="1" t="s">
        <v>59</v>
      </c>
      <c r="B3362" t="s">
        <v>60</v>
      </c>
      <c r="C3362" s="1" t="s">
        <v>432</v>
      </c>
      <c r="D3362" s="1" t="s">
        <v>432</v>
      </c>
      <c r="E3362" t="s">
        <v>433</v>
      </c>
      <c r="F3362" s="2" t="s">
        <v>434</v>
      </c>
      <c r="G3362" t="s">
        <v>435</v>
      </c>
      <c r="H3362" s="2" t="s">
        <v>50</v>
      </c>
      <c r="I3362" s="2">
        <v>1.1000000000000001</v>
      </c>
    </row>
    <row r="3363" spans="1:9" x14ac:dyDescent="0.25">
      <c r="A3363" s="1" t="s">
        <v>59</v>
      </c>
      <c r="B3363" t="s">
        <v>60</v>
      </c>
      <c r="C3363" s="1" t="s">
        <v>7</v>
      </c>
      <c r="D3363" s="1" t="s">
        <v>7</v>
      </c>
      <c r="E3363" t="s">
        <v>8</v>
      </c>
      <c r="F3363" s="2" t="s">
        <v>9</v>
      </c>
      <c r="G3363" t="s">
        <v>10</v>
      </c>
      <c r="H3363" s="2" t="s">
        <v>1733</v>
      </c>
      <c r="I3363" s="2">
        <v>2.5</v>
      </c>
    </row>
    <row r="3364" spans="1:9" x14ac:dyDescent="0.25">
      <c r="A3364" s="1" t="s">
        <v>62</v>
      </c>
      <c r="B3364" t="s">
        <v>63</v>
      </c>
      <c r="C3364" s="1" t="s">
        <v>429</v>
      </c>
      <c r="D3364" s="1" t="s">
        <v>429</v>
      </c>
      <c r="E3364" t="s">
        <v>430</v>
      </c>
      <c r="F3364" s="2" t="s">
        <v>145</v>
      </c>
      <c r="G3364" t="s">
        <v>5</v>
      </c>
      <c r="H3364" s="2" t="s">
        <v>5012</v>
      </c>
      <c r="I3364" s="2">
        <v>0.45</v>
      </c>
    </row>
    <row r="3365" spans="1:9" x14ac:dyDescent="0.25">
      <c r="A3365" s="1" t="s">
        <v>62</v>
      </c>
      <c r="B3365" t="s">
        <v>63</v>
      </c>
      <c r="C3365" s="1" t="s">
        <v>432</v>
      </c>
      <c r="D3365" s="1" t="s">
        <v>432</v>
      </c>
      <c r="E3365" t="s">
        <v>433</v>
      </c>
      <c r="F3365" s="2" t="s">
        <v>434</v>
      </c>
      <c r="G3365" t="s">
        <v>435</v>
      </c>
      <c r="H3365" s="2" t="s">
        <v>50</v>
      </c>
      <c r="I3365" s="2">
        <v>1.1000000000000001</v>
      </c>
    </row>
    <row r="3366" spans="1:9" x14ac:dyDescent="0.25">
      <c r="A3366" s="1" t="s">
        <v>62</v>
      </c>
      <c r="B3366" t="s">
        <v>63</v>
      </c>
      <c r="C3366" s="1" t="s">
        <v>7</v>
      </c>
      <c r="D3366" s="1" t="s">
        <v>7</v>
      </c>
      <c r="E3366" t="s">
        <v>8</v>
      </c>
      <c r="F3366" s="2" t="s">
        <v>9</v>
      </c>
      <c r="G3366" t="s">
        <v>10</v>
      </c>
      <c r="H3366" s="2" t="s">
        <v>607</v>
      </c>
      <c r="I3366" s="2">
        <v>18.399999999999999</v>
      </c>
    </row>
    <row r="3367" spans="1:9" x14ac:dyDescent="0.25">
      <c r="A3367" s="1" t="s">
        <v>65</v>
      </c>
      <c r="B3367" t="s">
        <v>66</v>
      </c>
      <c r="C3367" s="1" t="s">
        <v>5013</v>
      </c>
      <c r="D3367" s="1" t="s">
        <v>5013</v>
      </c>
      <c r="E3367" t="s">
        <v>5014</v>
      </c>
      <c r="F3367" s="2" t="s">
        <v>1354</v>
      </c>
      <c r="G3367" t="s">
        <v>5</v>
      </c>
      <c r="H3367" s="2" t="s">
        <v>5015</v>
      </c>
      <c r="I3367" s="2">
        <v>0.9</v>
      </c>
    </row>
    <row r="3368" spans="1:9" x14ac:dyDescent="0.25">
      <c r="A3368" s="1" t="s">
        <v>65</v>
      </c>
      <c r="B3368" t="s">
        <v>66</v>
      </c>
      <c r="C3368" s="1" t="s">
        <v>7</v>
      </c>
      <c r="D3368" s="1" t="s">
        <v>7</v>
      </c>
      <c r="E3368" t="s">
        <v>8</v>
      </c>
      <c r="F3368" s="2" t="s">
        <v>9</v>
      </c>
      <c r="G3368" t="s">
        <v>10</v>
      </c>
      <c r="H3368" s="2" t="s">
        <v>5016</v>
      </c>
      <c r="I3368" s="2">
        <v>1.65</v>
      </c>
    </row>
    <row r="3369" spans="1:9" x14ac:dyDescent="0.25">
      <c r="A3369" s="1" t="s">
        <v>68</v>
      </c>
      <c r="B3369" t="s">
        <v>69</v>
      </c>
      <c r="C3369" s="1" t="s">
        <v>3793</v>
      </c>
      <c r="D3369" s="1" t="s">
        <v>3793</v>
      </c>
      <c r="E3369" t="s">
        <v>3794</v>
      </c>
      <c r="F3369" s="2" t="s">
        <v>3795</v>
      </c>
      <c r="G3369" t="s">
        <v>5</v>
      </c>
      <c r="H3369" s="2" t="s">
        <v>5017</v>
      </c>
      <c r="I3369" s="2">
        <v>1.3</v>
      </c>
    </row>
    <row r="3370" spans="1:9" x14ac:dyDescent="0.25">
      <c r="A3370" s="1" t="s">
        <v>68</v>
      </c>
      <c r="B3370" t="s">
        <v>69</v>
      </c>
      <c r="C3370" s="1" t="s">
        <v>7</v>
      </c>
      <c r="D3370" s="1" t="s">
        <v>7</v>
      </c>
      <c r="E3370" t="s">
        <v>8</v>
      </c>
      <c r="F3370" s="2" t="s">
        <v>9</v>
      </c>
      <c r="G3370" t="s">
        <v>10</v>
      </c>
      <c r="H3370" s="2" t="s">
        <v>1740</v>
      </c>
      <c r="I3370" s="2">
        <v>3.7</v>
      </c>
    </row>
    <row r="3371" spans="1:9" x14ac:dyDescent="0.25">
      <c r="A3371" s="1" t="s">
        <v>5018</v>
      </c>
      <c r="B3371" t="s">
        <v>5019</v>
      </c>
      <c r="C3371" s="1" t="s">
        <v>5020</v>
      </c>
      <c r="D3371" s="1" t="s">
        <v>5020</v>
      </c>
      <c r="E3371" t="s">
        <v>5021</v>
      </c>
      <c r="F3371" s="2" t="s">
        <v>216</v>
      </c>
      <c r="G3371" t="s">
        <v>5</v>
      </c>
      <c r="H3371" s="2" t="s">
        <v>5022</v>
      </c>
      <c r="I3371" s="2">
        <v>0.05</v>
      </c>
    </row>
    <row r="3372" spans="1:9" x14ac:dyDescent="0.25">
      <c r="A3372" s="1" t="s">
        <v>5018</v>
      </c>
      <c r="B3372" t="s">
        <v>5019</v>
      </c>
      <c r="C3372" s="1" t="s">
        <v>7</v>
      </c>
      <c r="D3372" s="1" t="s">
        <v>7</v>
      </c>
      <c r="E3372" t="s">
        <v>8</v>
      </c>
      <c r="F3372" s="2" t="s">
        <v>9</v>
      </c>
      <c r="G3372" t="s">
        <v>10</v>
      </c>
      <c r="H3372" s="2" t="s">
        <v>5023</v>
      </c>
      <c r="I3372" s="2">
        <v>3.42</v>
      </c>
    </row>
    <row r="3373" spans="1:9" x14ac:dyDescent="0.25">
      <c r="A3373" s="1" t="s">
        <v>5024</v>
      </c>
      <c r="B3373" t="s">
        <v>5025</v>
      </c>
      <c r="C3373" s="1" t="s">
        <v>5026</v>
      </c>
      <c r="D3373" s="1" t="s">
        <v>5026</v>
      </c>
      <c r="E3373" t="s">
        <v>5027</v>
      </c>
      <c r="F3373" s="2" t="s">
        <v>1892</v>
      </c>
      <c r="G3373" t="s">
        <v>17</v>
      </c>
      <c r="H3373" s="2" t="s">
        <v>5028</v>
      </c>
      <c r="I3373" s="2">
        <v>1.55</v>
      </c>
    </row>
    <row r="3374" spans="1:9" x14ac:dyDescent="0.25">
      <c r="A3374" s="1" t="s">
        <v>5024</v>
      </c>
      <c r="B3374" t="s">
        <v>5025</v>
      </c>
      <c r="C3374" s="1" t="s">
        <v>7</v>
      </c>
      <c r="D3374" s="1" t="s">
        <v>7</v>
      </c>
      <c r="E3374" t="s">
        <v>8</v>
      </c>
      <c r="F3374" s="2" t="s">
        <v>9</v>
      </c>
      <c r="G3374" t="s">
        <v>10</v>
      </c>
      <c r="H3374" s="2" t="s">
        <v>2796</v>
      </c>
      <c r="I3374" s="2">
        <v>2.5299999999999998</v>
      </c>
    </row>
    <row r="3375" spans="1:9" x14ac:dyDescent="0.25">
      <c r="A3375" s="1" t="s">
        <v>5029</v>
      </c>
      <c r="B3375" t="s">
        <v>5030</v>
      </c>
      <c r="C3375" s="1" t="s">
        <v>3828</v>
      </c>
      <c r="D3375" s="1" t="s">
        <v>3828</v>
      </c>
      <c r="E3375" t="s">
        <v>3829</v>
      </c>
      <c r="F3375" s="2" t="s">
        <v>87</v>
      </c>
      <c r="G3375" t="s">
        <v>5</v>
      </c>
      <c r="H3375" s="2" t="s">
        <v>5031</v>
      </c>
      <c r="I3375" s="2">
        <v>0.3</v>
      </c>
    </row>
    <row r="3376" spans="1:9" x14ac:dyDescent="0.25">
      <c r="A3376" s="1" t="s">
        <v>5029</v>
      </c>
      <c r="B3376" t="s">
        <v>5030</v>
      </c>
      <c r="C3376" s="1" t="s">
        <v>7</v>
      </c>
      <c r="D3376" s="1" t="s">
        <v>7</v>
      </c>
      <c r="E3376" t="s">
        <v>8</v>
      </c>
      <c r="F3376" s="2" t="s">
        <v>9</v>
      </c>
      <c r="G3376" t="s">
        <v>10</v>
      </c>
      <c r="H3376" s="2" t="s">
        <v>1469</v>
      </c>
      <c r="I3376" s="2">
        <v>7.25</v>
      </c>
    </row>
    <row r="3377" spans="1:9" x14ac:dyDescent="0.25">
      <c r="A3377" s="1" t="s">
        <v>5032</v>
      </c>
      <c r="B3377" t="s">
        <v>5033</v>
      </c>
      <c r="C3377" s="1" t="s">
        <v>432</v>
      </c>
      <c r="D3377" s="1" t="s">
        <v>432</v>
      </c>
      <c r="E3377" t="s">
        <v>433</v>
      </c>
      <c r="F3377" s="2" t="s">
        <v>434</v>
      </c>
      <c r="G3377" t="s">
        <v>435</v>
      </c>
      <c r="H3377" s="2" t="s">
        <v>50</v>
      </c>
      <c r="I3377" s="2">
        <v>1.1000000000000001</v>
      </c>
    </row>
    <row r="3378" spans="1:9" x14ac:dyDescent="0.25">
      <c r="A3378" s="1" t="s">
        <v>5032</v>
      </c>
      <c r="B3378" t="s">
        <v>5033</v>
      </c>
      <c r="C3378" s="1" t="s">
        <v>7</v>
      </c>
      <c r="D3378" s="1" t="s">
        <v>7</v>
      </c>
      <c r="E3378" t="s">
        <v>8</v>
      </c>
      <c r="F3378" s="2" t="s">
        <v>9</v>
      </c>
      <c r="G3378" t="s">
        <v>10</v>
      </c>
      <c r="H3378" s="2" t="s">
        <v>5034</v>
      </c>
      <c r="I3378" s="2">
        <v>2.93</v>
      </c>
    </row>
    <row r="3379" spans="1:9" x14ac:dyDescent="0.25">
      <c r="A3379" s="1" t="s">
        <v>109</v>
      </c>
      <c r="B3379" t="s">
        <v>110</v>
      </c>
      <c r="C3379" s="1" t="s">
        <v>3026</v>
      </c>
      <c r="D3379" s="1" t="s">
        <v>3026</v>
      </c>
      <c r="E3379" t="s">
        <v>3027</v>
      </c>
      <c r="F3379" s="2" t="s">
        <v>70</v>
      </c>
      <c r="G3379" t="s">
        <v>5</v>
      </c>
      <c r="H3379" s="2" t="s">
        <v>3404</v>
      </c>
      <c r="I3379" s="2">
        <v>1.1000000000000001</v>
      </c>
    </row>
    <row r="3380" spans="1:9" x14ac:dyDescent="0.25">
      <c r="A3380" s="1" t="s">
        <v>109</v>
      </c>
      <c r="B3380" t="s">
        <v>110</v>
      </c>
      <c r="C3380" s="1" t="s">
        <v>432</v>
      </c>
      <c r="D3380" s="1" t="s">
        <v>432</v>
      </c>
      <c r="E3380" t="s">
        <v>433</v>
      </c>
      <c r="F3380" s="2" t="s">
        <v>434</v>
      </c>
      <c r="G3380" t="s">
        <v>435</v>
      </c>
      <c r="H3380" s="2" t="s">
        <v>5035</v>
      </c>
      <c r="I3380" s="2">
        <v>0.6</v>
      </c>
    </row>
    <row r="3381" spans="1:9" x14ac:dyDescent="0.25">
      <c r="A3381" s="1" t="s">
        <v>109</v>
      </c>
      <c r="B3381" t="s">
        <v>110</v>
      </c>
      <c r="C3381" s="1" t="s">
        <v>7</v>
      </c>
      <c r="D3381" s="1" t="s">
        <v>7</v>
      </c>
      <c r="E3381" t="s">
        <v>8</v>
      </c>
      <c r="F3381" s="2" t="s">
        <v>9</v>
      </c>
      <c r="G3381" t="s">
        <v>10</v>
      </c>
      <c r="H3381" s="2" t="s">
        <v>1254</v>
      </c>
      <c r="I3381" s="2">
        <v>16.100000000000001</v>
      </c>
    </row>
    <row r="3382" spans="1:9" x14ac:dyDescent="0.25">
      <c r="A3382" s="1" t="s">
        <v>5036</v>
      </c>
      <c r="B3382" t="s">
        <v>5037</v>
      </c>
      <c r="C3382" s="1" t="s">
        <v>432</v>
      </c>
      <c r="D3382" s="1" t="s">
        <v>432</v>
      </c>
      <c r="E3382" t="s">
        <v>433</v>
      </c>
      <c r="F3382" s="2" t="s">
        <v>434</v>
      </c>
      <c r="G3382" t="s">
        <v>435</v>
      </c>
      <c r="H3382" s="2" t="s">
        <v>50</v>
      </c>
      <c r="I3382" s="2">
        <v>1.1000000000000001</v>
      </c>
    </row>
    <row r="3383" spans="1:9" x14ac:dyDescent="0.25">
      <c r="A3383" s="1" t="s">
        <v>5036</v>
      </c>
      <c r="B3383" t="s">
        <v>5037</v>
      </c>
      <c r="C3383" s="1" t="s">
        <v>7</v>
      </c>
      <c r="D3383" s="1" t="s">
        <v>7</v>
      </c>
      <c r="E3383" t="s">
        <v>8</v>
      </c>
      <c r="F3383" s="2" t="s">
        <v>9</v>
      </c>
      <c r="G3383" t="s">
        <v>10</v>
      </c>
      <c r="H3383" s="2" t="s">
        <v>5038</v>
      </c>
      <c r="I3383" s="2">
        <v>3.42</v>
      </c>
    </row>
    <row r="3384" spans="1:9" x14ac:dyDescent="0.25">
      <c r="A3384" s="1" t="s">
        <v>5039</v>
      </c>
      <c r="B3384" t="s">
        <v>5040</v>
      </c>
      <c r="C3384" s="1" t="s">
        <v>1117</v>
      </c>
      <c r="D3384" s="1" t="s">
        <v>1117</v>
      </c>
      <c r="E3384" t="s">
        <v>1118</v>
      </c>
      <c r="F3384" s="2" t="s">
        <v>876</v>
      </c>
      <c r="G3384" t="s">
        <v>5</v>
      </c>
      <c r="H3384" s="2" t="s">
        <v>19</v>
      </c>
      <c r="I3384" s="2">
        <v>1.2</v>
      </c>
    </row>
    <row r="3385" spans="1:9" x14ac:dyDescent="0.25">
      <c r="A3385" s="1" t="s">
        <v>5039</v>
      </c>
      <c r="B3385" t="s">
        <v>5040</v>
      </c>
      <c r="C3385" s="1" t="s">
        <v>432</v>
      </c>
      <c r="D3385" s="1" t="s">
        <v>432</v>
      </c>
      <c r="E3385" t="s">
        <v>433</v>
      </c>
      <c r="F3385" s="2" t="s">
        <v>434</v>
      </c>
      <c r="G3385" t="s">
        <v>435</v>
      </c>
      <c r="H3385" s="2" t="s">
        <v>50</v>
      </c>
      <c r="I3385" s="2">
        <v>1.1000000000000001</v>
      </c>
    </row>
    <row r="3386" spans="1:9" x14ac:dyDescent="0.25">
      <c r="A3386" s="1" t="s">
        <v>5039</v>
      </c>
      <c r="B3386" t="s">
        <v>5040</v>
      </c>
      <c r="C3386" s="1" t="s">
        <v>7</v>
      </c>
      <c r="D3386" s="1" t="s">
        <v>7</v>
      </c>
      <c r="E3386" t="s">
        <v>8</v>
      </c>
      <c r="F3386" s="2" t="s">
        <v>9</v>
      </c>
      <c r="G3386" t="s">
        <v>10</v>
      </c>
      <c r="H3386" s="2" t="s">
        <v>3704</v>
      </c>
      <c r="I3386" s="2">
        <v>10</v>
      </c>
    </row>
    <row r="3387" spans="1:9" x14ac:dyDescent="0.25">
      <c r="A3387" s="1" t="s">
        <v>331</v>
      </c>
      <c r="B3387" t="s">
        <v>332</v>
      </c>
      <c r="C3387" s="1" t="s">
        <v>1117</v>
      </c>
      <c r="D3387" s="1" t="s">
        <v>1117</v>
      </c>
      <c r="E3387" t="s">
        <v>1118</v>
      </c>
      <c r="F3387" s="2" t="s">
        <v>876</v>
      </c>
      <c r="G3387" t="s">
        <v>5</v>
      </c>
      <c r="H3387" s="2" t="s">
        <v>3292</v>
      </c>
      <c r="I3387" s="2">
        <v>0.8</v>
      </c>
    </row>
    <row r="3388" spans="1:9" x14ac:dyDescent="0.25">
      <c r="A3388" s="1" t="s">
        <v>331</v>
      </c>
      <c r="B3388" t="s">
        <v>332</v>
      </c>
      <c r="C3388" s="1" t="s">
        <v>7</v>
      </c>
      <c r="D3388" s="1" t="s">
        <v>7</v>
      </c>
      <c r="E3388" t="s">
        <v>8</v>
      </c>
      <c r="F3388" s="2" t="s">
        <v>9</v>
      </c>
      <c r="G3388" t="s">
        <v>10</v>
      </c>
      <c r="H3388" s="2" t="s">
        <v>594</v>
      </c>
      <c r="I3388" s="2">
        <v>11.5</v>
      </c>
    </row>
    <row r="3389" spans="1:9" x14ac:dyDescent="0.25">
      <c r="A3389" s="1" t="s">
        <v>334</v>
      </c>
      <c r="B3389" t="s">
        <v>335</v>
      </c>
      <c r="C3389" s="1" t="s">
        <v>2961</v>
      </c>
      <c r="D3389" s="1" t="s">
        <v>2961</v>
      </c>
      <c r="E3389" t="s">
        <v>2962</v>
      </c>
      <c r="F3389" s="2" t="s">
        <v>4430</v>
      </c>
      <c r="G3389" t="s">
        <v>5</v>
      </c>
      <c r="H3389" s="2" t="s">
        <v>5041</v>
      </c>
      <c r="I3389" s="2">
        <v>0.15</v>
      </c>
    </row>
    <row r="3390" spans="1:9" x14ac:dyDescent="0.25">
      <c r="A3390" s="1" t="s">
        <v>334</v>
      </c>
      <c r="B3390" t="s">
        <v>335</v>
      </c>
      <c r="C3390" s="1" t="s">
        <v>7</v>
      </c>
      <c r="D3390" s="1" t="s">
        <v>7</v>
      </c>
      <c r="E3390" t="s">
        <v>8</v>
      </c>
      <c r="F3390" s="2" t="s">
        <v>9</v>
      </c>
      <c r="G3390" t="s">
        <v>10</v>
      </c>
      <c r="H3390" s="2" t="s">
        <v>1791</v>
      </c>
      <c r="I3390" s="2">
        <v>2.4500000000000002</v>
      </c>
    </row>
    <row r="3391" spans="1:9" x14ac:dyDescent="0.25">
      <c r="A3391" s="1" t="s">
        <v>337</v>
      </c>
      <c r="B3391" t="s">
        <v>338</v>
      </c>
      <c r="C3391" s="1" t="s">
        <v>1162</v>
      </c>
      <c r="D3391" s="1" t="s">
        <v>1162</v>
      </c>
      <c r="E3391" t="s">
        <v>1163</v>
      </c>
      <c r="F3391" s="2" t="s">
        <v>291</v>
      </c>
      <c r="G3391" t="s">
        <v>5</v>
      </c>
      <c r="H3391" s="2" t="s">
        <v>5042</v>
      </c>
      <c r="I3391" s="2">
        <v>0.15</v>
      </c>
    </row>
    <row r="3392" spans="1:9" x14ac:dyDescent="0.25">
      <c r="A3392" s="1" t="s">
        <v>337</v>
      </c>
      <c r="B3392" t="s">
        <v>338</v>
      </c>
      <c r="C3392" s="1" t="s">
        <v>7</v>
      </c>
      <c r="D3392" s="1" t="s">
        <v>7</v>
      </c>
      <c r="E3392" t="s">
        <v>8</v>
      </c>
      <c r="F3392" s="2" t="s">
        <v>9</v>
      </c>
      <c r="G3392" t="s">
        <v>10</v>
      </c>
      <c r="H3392" s="2" t="s">
        <v>1791</v>
      </c>
      <c r="I3392" s="2">
        <v>2.4500000000000002</v>
      </c>
    </row>
    <row r="3393" spans="1:9" x14ac:dyDescent="0.25">
      <c r="A3393" s="1" t="s">
        <v>339</v>
      </c>
      <c r="B3393" t="s">
        <v>340</v>
      </c>
      <c r="C3393" s="1" t="s">
        <v>1162</v>
      </c>
      <c r="D3393" s="1" t="s">
        <v>1162</v>
      </c>
      <c r="E3393" t="s">
        <v>1163</v>
      </c>
      <c r="F3393" s="2" t="s">
        <v>291</v>
      </c>
      <c r="G3393" t="s">
        <v>5</v>
      </c>
      <c r="H3393" s="2" t="s">
        <v>5042</v>
      </c>
      <c r="I3393" s="2">
        <v>0.15</v>
      </c>
    </row>
    <row r="3394" spans="1:9" x14ac:dyDescent="0.25">
      <c r="A3394" s="1" t="s">
        <v>339</v>
      </c>
      <c r="B3394" t="s">
        <v>340</v>
      </c>
      <c r="C3394" s="1" t="s">
        <v>7</v>
      </c>
      <c r="D3394" s="1" t="s">
        <v>7</v>
      </c>
      <c r="E3394" t="s">
        <v>8</v>
      </c>
      <c r="F3394" s="2" t="s">
        <v>9</v>
      </c>
      <c r="G3394" t="s">
        <v>10</v>
      </c>
      <c r="H3394" s="2" t="s">
        <v>1791</v>
      </c>
      <c r="I3394" s="2">
        <v>2.4500000000000002</v>
      </c>
    </row>
    <row r="3395" spans="1:9" x14ac:dyDescent="0.25">
      <c r="A3395" s="1" t="s">
        <v>341</v>
      </c>
      <c r="B3395" t="s">
        <v>5043</v>
      </c>
      <c r="C3395" s="1" t="s">
        <v>3255</v>
      </c>
      <c r="D3395" s="1" t="s">
        <v>3255</v>
      </c>
      <c r="E3395" t="s">
        <v>3256</v>
      </c>
      <c r="F3395" s="2" t="s">
        <v>3756</v>
      </c>
      <c r="G3395" t="s">
        <v>5</v>
      </c>
      <c r="H3395" s="2" t="s">
        <v>5044</v>
      </c>
      <c r="I3395" s="2">
        <v>0.9</v>
      </c>
    </row>
    <row r="3396" spans="1:9" x14ac:dyDescent="0.25">
      <c r="A3396" s="1" t="s">
        <v>341</v>
      </c>
      <c r="B3396" t="s">
        <v>5043</v>
      </c>
      <c r="C3396" s="1" t="s">
        <v>7</v>
      </c>
      <c r="D3396" s="1" t="s">
        <v>7</v>
      </c>
      <c r="E3396" t="s">
        <v>8</v>
      </c>
      <c r="F3396" s="2" t="s">
        <v>9</v>
      </c>
      <c r="G3396" t="s">
        <v>10</v>
      </c>
      <c r="H3396" s="2" t="s">
        <v>1225</v>
      </c>
      <c r="I3396" s="2">
        <v>2.5</v>
      </c>
    </row>
    <row r="3397" spans="1:9" x14ac:dyDescent="0.25">
      <c r="A3397" s="1" t="s">
        <v>5045</v>
      </c>
      <c r="B3397" t="s">
        <v>5046</v>
      </c>
      <c r="C3397" s="1" t="s">
        <v>1207</v>
      </c>
      <c r="D3397" s="1" t="s">
        <v>1207</v>
      </c>
      <c r="E3397" t="s">
        <v>5047</v>
      </c>
      <c r="F3397" s="2" t="s">
        <v>1017</v>
      </c>
      <c r="G3397" t="s">
        <v>5</v>
      </c>
      <c r="H3397" s="2" t="s">
        <v>5048</v>
      </c>
      <c r="I3397" s="2">
        <v>0.5</v>
      </c>
    </row>
    <row r="3398" spans="1:9" x14ac:dyDescent="0.25">
      <c r="A3398" s="1" t="s">
        <v>5045</v>
      </c>
      <c r="B3398" t="s">
        <v>5046</v>
      </c>
      <c r="C3398" s="1" t="s">
        <v>7</v>
      </c>
      <c r="D3398" s="1" t="s">
        <v>7</v>
      </c>
      <c r="E3398" t="s">
        <v>8</v>
      </c>
      <c r="F3398" s="2" t="s">
        <v>9</v>
      </c>
      <c r="G3398" t="s">
        <v>10</v>
      </c>
      <c r="H3398" s="2" t="s">
        <v>19</v>
      </c>
      <c r="I3398" s="2">
        <v>4.5999999999999996</v>
      </c>
    </row>
    <row r="3399" spans="1:9" x14ac:dyDescent="0.25">
      <c r="A3399" s="1" t="s">
        <v>5049</v>
      </c>
      <c r="B3399" t="s">
        <v>5050</v>
      </c>
      <c r="C3399" s="1" t="s">
        <v>1207</v>
      </c>
      <c r="D3399" s="1" t="s">
        <v>1207</v>
      </c>
      <c r="E3399" t="s">
        <v>5047</v>
      </c>
      <c r="F3399" s="2" t="s">
        <v>1017</v>
      </c>
      <c r="G3399" t="s">
        <v>5</v>
      </c>
      <c r="H3399" s="2" t="s">
        <v>1210</v>
      </c>
      <c r="I3399" s="2">
        <v>0.3</v>
      </c>
    </row>
    <row r="3400" spans="1:9" x14ac:dyDescent="0.25">
      <c r="A3400" s="1" t="s">
        <v>5049</v>
      </c>
      <c r="B3400" t="s">
        <v>5050</v>
      </c>
      <c r="C3400" s="1" t="s">
        <v>7</v>
      </c>
      <c r="D3400" s="1" t="s">
        <v>7</v>
      </c>
      <c r="E3400" t="s">
        <v>8</v>
      </c>
      <c r="F3400" s="2" t="s">
        <v>9</v>
      </c>
      <c r="G3400" t="s">
        <v>10</v>
      </c>
      <c r="H3400" s="2" t="s">
        <v>19</v>
      </c>
      <c r="I3400" s="2">
        <v>4.5999999999999996</v>
      </c>
    </row>
    <row r="3401" spans="1:9" x14ac:dyDescent="0.25">
      <c r="A3401" s="1" t="s">
        <v>5051</v>
      </c>
      <c r="B3401" t="s">
        <v>5052</v>
      </c>
      <c r="C3401" s="1" t="s">
        <v>3834</v>
      </c>
      <c r="D3401" s="1" t="s">
        <v>3834</v>
      </c>
      <c r="E3401" t="s">
        <v>3835</v>
      </c>
      <c r="F3401" s="2" t="s">
        <v>3836</v>
      </c>
      <c r="G3401" t="s">
        <v>5</v>
      </c>
      <c r="H3401" s="2" t="s">
        <v>5053</v>
      </c>
      <c r="I3401" s="2">
        <v>0.5</v>
      </c>
    </row>
    <row r="3402" spans="1:9" x14ac:dyDescent="0.25">
      <c r="A3402" s="1" t="s">
        <v>5051</v>
      </c>
      <c r="B3402" t="s">
        <v>5052</v>
      </c>
      <c r="C3402" s="1" t="s">
        <v>7</v>
      </c>
      <c r="D3402" s="1" t="s">
        <v>7</v>
      </c>
      <c r="E3402" t="s">
        <v>8</v>
      </c>
      <c r="F3402" s="2" t="s">
        <v>9</v>
      </c>
      <c r="G3402" t="s">
        <v>10</v>
      </c>
      <c r="H3402" s="2" t="s">
        <v>601</v>
      </c>
      <c r="I3402" s="2">
        <v>6.9</v>
      </c>
    </row>
    <row r="3403" spans="1:9" x14ac:dyDescent="0.25">
      <c r="A3403" s="1" t="s">
        <v>5054</v>
      </c>
      <c r="B3403" t="s">
        <v>5055</v>
      </c>
      <c r="C3403" s="1" t="s">
        <v>5056</v>
      </c>
      <c r="D3403" s="1" t="s">
        <v>5056</v>
      </c>
      <c r="E3403" t="s">
        <v>5057</v>
      </c>
      <c r="F3403" s="2" t="s">
        <v>553</v>
      </c>
      <c r="G3403" t="s">
        <v>17</v>
      </c>
      <c r="H3403" s="2" t="s">
        <v>5058</v>
      </c>
      <c r="I3403" s="2">
        <v>3.5</v>
      </c>
    </row>
    <row r="3404" spans="1:9" x14ac:dyDescent="0.25">
      <c r="A3404" s="1" t="s">
        <v>5054</v>
      </c>
      <c r="B3404" t="s">
        <v>5055</v>
      </c>
      <c r="C3404" s="1" t="s">
        <v>7</v>
      </c>
      <c r="D3404" s="1" t="s">
        <v>7</v>
      </c>
      <c r="E3404" t="s">
        <v>8</v>
      </c>
      <c r="F3404" s="2" t="s">
        <v>9</v>
      </c>
      <c r="G3404" t="s">
        <v>10</v>
      </c>
      <c r="H3404" s="2" t="s">
        <v>5059</v>
      </c>
      <c r="I3404" s="2">
        <v>8.5</v>
      </c>
    </row>
    <row r="3405" spans="1:9" x14ac:dyDescent="0.25">
      <c r="A3405" s="1" t="s">
        <v>5060</v>
      </c>
      <c r="B3405" t="s">
        <v>5061</v>
      </c>
      <c r="C3405" s="1" t="s">
        <v>5062</v>
      </c>
      <c r="D3405" s="1" t="s">
        <v>5062</v>
      </c>
      <c r="E3405" t="s">
        <v>5061</v>
      </c>
      <c r="F3405" s="2" t="s">
        <v>5063</v>
      </c>
      <c r="G3405" t="s">
        <v>49</v>
      </c>
      <c r="H3405" s="2" t="s">
        <v>50</v>
      </c>
      <c r="I3405" s="2">
        <v>3.25</v>
      </c>
    </row>
    <row r="3406" spans="1:9" x14ac:dyDescent="0.25">
      <c r="A3406" s="1" t="s">
        <v>5060</v>
      </c>
      <c r="B3406" t="s">
        <v>5061</v>
      </c>
      <c r="C3406" s="1" t="s">
        <v>7</v>
      </c>
      <c r="D3406" s="1" t="s">
        <v>7</v>
      </c>
      <c r="E3406" t="s">
        <v>8</v>
      </c>
      <c r="F3406" s="2" t="s">
        <v>9</v>
      </c>
      <c r="G3406" t="s">
        <v>10</v>
      </c>
      <c r="H3406" s="2" t="s">
        <v>5064</v>
      </c>
      <c r="I3406" s="2">
        <v>17.75</v>
      </c>
    </row>
    <row r="3407" spans="1:9" x14ac:dyDescent="0.25">
      <c r="A3407" s="1" t="s">
        <v>5065</v>
      </c>
      <c r="B3407" t="s">
        <v>5066</v>
      </c>
      <c r="C3407" s="1" t="s">
        <v>5067</v>
      </c>
      <c r="D3407" s="1" t="s">
        <v>5067</v>
      </c>
      <c r="E3407" t="s">
        <v>5068</v>
      </c>
      <c r="F3407" s="2" t="s">
        <v>5069</v>
      </c>
      <c r="G3407" t="s">
        <v>49</v>
      </c>
      <c r="H3407" s="2" t="s">
        <v>50</v>
      </c>
      <c r="I3407" s="2">
        <v>1.3</v>
      </c>
    </row>
    <row r="3408" spans="1:9" x14ac:dyDescent="0.25">
      <c r="A3408" s="1" t="s">
        <v>5065</v>
      </c>
      <c r="B3408" t="s">
        <v>5066</v>
      </c>
      <c r="C3408" s="1" t="s">
        <v>432</v>
      </c>
      <c r="D3408" s="1" t="s">
        <v>432</v>
      </c>
      <c r="E3408" t="s">
        <v>433</v>
      </c>
      <c r="F3408" s="2" t="s">
        <v>434</v>
      </c>
      <c r="G3408" t="s">
        <v>435</v>
      </c>
      <c r="H3408" s="2" t="s">
        <v>50</v>
      </c>
      <c r="I3408" s="2">
        <v>1.1000000000000001</v>
      </c>
    </row>
    <row r="3409" spans="1:9" x14ac:dyDescent="0.25">
      <c r="A3409" s="1" t="s">
        <v>5065</v>
      </c>
      <c r="B3409" t="s">
        <v>5066</v>
      </c>
      <c r="C3409" s="1" t="s">
        <v>541</v>
      </c>
      <c r="D3409" s="1" t="s">
        <v>541</v>
      </c>
      <c r="E3409" t="s">
        <v>542</v>
      </c>
      <c r="F3409" s="2" t="s">
        <v>9</v>
      </c>
      <c r="G3409" t="s">
        <v>10</v>
      </c>
      <c r="H3409" s="2" t="s">
        <v>19</v>
      </c>
      <c r="I3409" s="2">
        <v>4.5999999999999996</v>
      </c>
    </row>
    <row r="3410" spans="1:9" x14ac:dyDescent="0.25">
      <c r="A3410" s="1" t="s">
        <v>5070</v>
      </c>
      <c r="B3410" t="s">
        <v>5071</v>
      </c>
      <c r="C3410" s="1" t="s">
        <v>5072</v>
      </c>
      <c r="D3410" s="1" t="s">
        <v>5072</v>
      </c>
      <c r="E3410" t="s">
        <v>5073</v>
      </c>
      <c r="F3410" s="2" t="s">
        <v>336</v>
      </c>
      <c r="G3410" t="s">
        <v>49</v>
      </c>
      <c r="H3410" s="2" t="s">
        <v>50</v>
      </c>
      <c r="I3410" s="2">
        <v>2.6</v>
      </c>
    </row>
    <row r="3411" spans="1:9" x14ac:dyDescent="0.25">
      <c r="A3411" s="1" t="s">
        <v>5070</v>
      </c>
      <c r="B3411" t="s">
        <v>5071</v>
      </c>
      <c r="C3411" s="1" t="s">
        <v>7</v>
      </c>
      <c r="D3411" s="1" t="s">
        <v>7</v>
      </c>
      <c r="E3411" t="s">
        <v>8</v>
      </c>
      <c r="F3411" s="2" t="s">
        <v>9</v>
      </c>
      <c r="G3411" t="s">
        <v>10</v>
      </c>
      <c r="H3411" s="2" t="s">
        <v>5074</v>
      </c>
      <c r="I3411" s="2">
        <v>12.4</v>
      </c>
    </row>
    <row r="3412" spans="1:9" x14ac:dyDescent="0.25">
      <c r="A3412" s="1" t="s">
        <v>5075</v>
      </c>
      <c r="B3412" t="s">
        <v>5076</v>
      </c>
      <c r="C3412" s="1" t="s">
        <v>3834</v>
      </c>
      <c r="D3412" s="1" t="s">
        <v>3834</v>
      </c>
      <c r="E3412" t="s">
        <v>3835</v>
      </c>
      <c r="F3412" s="2" t="s">
        <v>3836</v>
      </c>
      <c r="G3412" t="s">
        <v>5</v>
      </c>
      <c r="H3412" s="2" t="s">
        <v>5077</v>
      </c>
      <c r="I3412" s="2">
        <v>0.6</v>
      </c>
    </row>
    <row r="3413" spans="1:9" x14ac:dyDescent="0.25">
      <c r="A3413" s="1" t="s">
        <v>5075</v>
      </c>
      <c r="B3413" t="s">
        <v>5076</v>
      </c>
      <c r="C3413" s="1" t="s">
        <v>7</v>
      </c>
      <c r="D3413" s="1" t="s">
        <v>7</v>
      </c>
      <c r="E3413" t="s">
        <v>8</v>
      </c>
      <c r="F3413" s="2" t="s">
        <v>9</v>
      </c>
      <c r="G3413" t="s">
        <v>10</v>
      </c>
      <c r="H3413" s="2" t="s">
        <v>33</v>
      </c>
      <c r="I3413" s="2">
        <v>9.1999999999999993</v>
      </c>
    </row>
    <row r="3414" spans="1:9" x14ac:dyDescent="0.25">
      <c r="A3414" s="1" t="s">
        <v>5078</v>
      </c>
      <c r="B3414" t="s">
        <v>5079</v>
      </c>
      <c r="C3414" s="1" t="s">
        <v>5080</v>
      </c>
      <c r="D3414" s="1" t="s">
        <v>5080</v>
      </c>
      <c r="E3414" t="s">
        <v>5081</v>
      </c>
      <c r="F3414" s="2" t="s">
        <v>1932</v>
      </c>
      <c r="G3414" t="s">
        <v>49</v>
      </c>
      <c r="H3414" s="2" t="s">
        <v>50</v>
      </c>
      <c r="I3414" s="2">
        <v>1.85</v>
      </c>
    </row>
    <row r="3415" spans="1:9" x14ac:dyDescent="0.25">
      <c r="A3415" s="1" t="s">
        <v>5078</v>
      </c>
      <c r="B3415" t="s">
        <v>5079</v>
      </c>
      <c r="C3415" s="1" t="s">
        <v>432</v>
      </c>
      <c r="D3415" s="1" t="s">
        <v>432</v>
      </c>
      <c r="E3415" t="s">
        <v>433</v>
      </c>
      <c r="F3415" s="2" t="s">
        <v>434</v>
      </c>
      <c r="G3415" t="s">
        <v>435</v>
      </c>
      <c r="H3415" s="2" t="s">
        <v>50</v>
      </c>
      <c r="I3415" s="2">
        <v>1.1000000000000001</v>
      </c>
    </row>
    <row r="3416" spans="1:9" x14ac:dyDescent="0.25">
      <c r="A3416" s="1" t="s">
        <v>5078</v>
      </c>
      <c r="B3416" t="s">
        <v>5079</v>
      </c>
      <c r="C3416" s="1" t="s">
        <v>7</v>
      </c>
      <c r="D3416" s="1" t="s">
        <v>7</v>
      </c>
      <c r="E3416" t="s">
        <v>8</v>
      </c>
      <c r="F3416" s="2" t="s">
        <v>9</v>
      </c>
      <c r="G3416" t="s">
        <v>10</v>
      </c>
      <c r="H3416" s="2" t="s">
        <v>5082</v>
      </c>
      <c r="I3416" s="2">
        <v>15.75</v>
      </c>
    </row>
    <row r="3417" spans="1:9" x14ac:dyDescent="0.25">
      <c r="A3417" s="1" t="s">
        <v>5083</v>
      </c>
      <c r="B3417" t="s">
        <v>5084</v>
      </c>
      <c r="C3417" s="1" t="s">
        <v>1813</v>
      </c>
      <c r="D3417" s="1" t="s">
        <v>1813</v>
      </c>
      <c r="E3417" t="s">
        <v>1814</v>
      </c>
      <c r="F3417" s="2" t="s">
        <v>1101</v>
      </c>
      <c r="G3417" t="s">
        <v>5</v>
      </c>
      <c r="H3417" s="2" t="s">
        <v>1176</v>
      </c>
      <c r="I3417" s="2">
        <v>1.1000000000000001</v>
      </c>
    </row>
    <row r="3418" spans="1:9" x14ac:dyDescent="0.25">
      <c r="A3418" s="1" t="s">
        <v>5083</v>
      </c>
      <c r="B3418" t="s">
        <v>5084</v>
      </c>
      <c r="C3418" s="1" t="s">
        <v>7</v>
      </c>
      <c r="D3418" s="1" t="s">
        <v>7</v>
      </c>
      <c r="E3418" t="s">
        <v>8</v>
      </c>
      <c r="F3418" s="2" t="s">
        <v>9</v>
      </c>
      <c r="G3418" t="s">
        <v>10</v>
      </c>
      <c r="H3418" s="2" t="s">
        <v>5085</v>
      </c>
      <c r="I3418" s="2">
        <v>3.9</v>
      </c>
    </row>
    <row r="3419" spans="1:9" x14ac:dyDescent="0.25">
      <c r="A3419" s="1" t="s">
        <v>5086</v>
      </c>
      <c r="B3419" t="s">
        <v>5087</v>
      </c>
      <c r="C3419" s="1" t="s">
        <v>1352</v>
      </c>
      <c r="D3419" s="1" t="s">
        <v>1352</v>
      </c>
      <c r="E3419" t="s">
        <v>1353</v>
      </c>
      <c r="F3419" s="2" t="s">
        <v>1354</v>
      </c>
      <c r="G3419" t="s">
        <v>5</v>
      </c>
      <c r="H3419" s="2" t="s">
        <v>3749</v>
      </c>
      <c r="I3419" s="2">
        <v>0.7</v>
      </c>
    </row>
    <row r="3420" spans="1:9" x14ac:dyDescent="0.25">
      <c r="A3420" s="1" t="s">
        <v>5086</v>
      </c>
      <c r="B3420" t="s">
        <v>5087</v>
      </c>
      <c r="C3420" s="1" t="s">
        <v>7</v>
      </c>
      <c r="D3420" s="1" t="s">
        <v>7</v>
      </c>
      <c r="E3420" t="s">
        <v>8</v>
      </c>
      <c r="F3420" s="2" t="s">
        <v>9</v>
      </c>
      <c r="G3420" t="s">
        <v>10</v>
      </c>
      <c r="H3420" s="2" t="s">
        <v>4756</v>
      </c>
      <c r="I3420" s="2">
        <v>3.75</v>
      </c>
    </row>
    <row r="3421" spans="1:9" x14ac:dyDescent="0.25">
      <c r="A3421" s="1" t="s">
        <v>5088</v>
      </c>
      <c r="B3421" t="s">
        <v>5089</v>
      </c>
      <c r="C3421" s="1" t="s">
        <v>5013</v>
      </c>
      <c r="D3421" s="1" t="s">
        <v>5013</v>
      </c>
      <c r="E3421" t="s">
        <v>5014</v>
      </c>
      <c r="F3421" s="2" t="s">
        <v>1354</v>
      </c>
      <c r="G3421" t="s">
        <v>5</v>
      </c>
      <c r="H3421" s="2" t="s">
        <v>2163</v>
      </c>
      <c r="I3421" s="2">
        <v>0.35</v>
      </c>
    </row>
    <row r="3422" spans="1:9" x14ac:dyDescent="0.25">
      <c r="A3422" s="1" t="s">
        <v>5088</v>
      </c>
      <c r="B3422" t="s">
        <v>5089</v>
      </c>
      <c r="C3422" s="1" t="s">
        <v>7</v>
      </c>
      <c r="D3422" s="1" t="s">
        <v>7</v>
      </c>
      <c r="E3422" t="s">
        <v>8</v>
      </c>
      <c r="F3422" s="2" t="s">
        <v>9</v>
      </c>
      <c r="G3422" t="s">
        <v>10</v>
      </c>
      <c r="H3422" s="2" t="s">
        <v>4756</v>
      </c>
      <c r="I3422" s="2">
        <v>3.75</v>
      </c>
    </row>
    <row r="3423" spans="1:9" x14ac:dyDescent="0.25">
      <c r="A3423" s="1" t="s">
        <v>322</v>
      </c>
      <c r="B3423" t="s">
        <v>323</v>
      </c>
      <c r="C3423" s="1" t="s">
        <v>3764</v>
      </c>
      <c r="D3423" s="1" t="s">
        <v>3764</v>
      </c>
      <c r="E3423" t="s">
        <v>3765</v>
      </c>
      <c r="F3423" s="2" t="s">
        <v>2883</v>
      </c>
      <c r="G3423" t="s">
        <v>5</v>
      </c>
      <c r="H3423" s="2" t="s">
        <v>5090</v>
      </c>
      <c r="I3423" s="2">
        <v>1.25</v>
      </c>
    </row>
    <row r="3424" spans="1:9" x14ac:dyDescent="0.25">
      <c r="A3424" s="1" t="s">
        <v>322</v>
      </c>
      <c r="B3424" t="s">
        <v>323</v>
      </c>
      <c r="C3424" s="1" t="s">
        <v>432</v>
      </c>
      <c r="D3424" s="1" t="s">
        <v>432</v>
      </c>
      <c r="E3424" t="s">
        <v>433</v>
      </c>
      <c r="F3424" s="2" t="s">
        <v>434</v>
      </c>
      <c r="G3424" t="s">
        <v>435</v>
      </c>
      <c r="H3424" s="2" t="s">
        <v>50</v>
      </c>
      <c r="I3424" s="2">
        <v>1.1000000000000001</v>
      </c>
    </row>
    <row r="3425" spans="1:9" x14ac:dyDescent="0.25">
      <c r="A3425" s="1" t="s">
        <v>322</v>
      </c>
      <c r="B3425" t="s">
        <v>323</v>
      </c>
      <c r="C3425" s="1" t="s">
        <v>7</v>
      </c>
      <c r="D3425" s="1" t="s">
        <v>7</v>
      </c>
      <c r="E3425" t="s">
        <v>8</v>
      </c>
      <c r="F3425" s="2" t="s">
        <v>9</v>
      </c>
      <c r="G3425" t="s">
        <v>10</v>
      </c>
      <c r="H3425" s="2" t="s">
        <v>3810</v>
      </c>
      <c r="I3425" s="2">
        <v>9.5500000000000007</v>
      </c>
    </row>
    <row r="3426" spans="1:9" x14ac:dyDescent="0.25">
      <c r="A3426" s="1" t="s">
        <v>324</v>
      </c>
      <c r="B3426" t="s">
        <v>325</v>
      </c>
      <c r="C3426" s="1" t="s">
        <v>2529</v>
      </c>
      <c r="D3426" s="1" t="s">
        <v>2529</v>
      </c>
      <c r="E3426" t="s">
        <v>2530</v>
      </c>
      <c r="F3426" s="2" t="s">
        <v>2469</v>
      </c>
      <c r="G3426" t="s">
        <v>5</v>
      </c>
      <c r="H3426" s="2" t="s">
        <v>5091</v>
      </c>
      <c r="I3426" s="2">
        <v>0.5</v>
      </c>
    </row>
    <row r="3427" spans="1:9" x14ac:dyDescent="0.25">
      <c r="A3427" s="1" t="s">
        <v>324</v>
      </c>
      <c r="B3427" t="s">
        <v>325</v>
      </c>
      <c r="C3427" s="1" t="s">
        <v>7</v>
      </c>
      <c r="D3427" s="1" t="s">
        <v>7</v>
      </c>
      <c r="E3427" t="s">
        <v>8</v>
      </c>
      <c r="F3427" s="2" t="s">
        <v>9</v>
      </c>
      <c r="G3427" t="s">
        <v>10</v>
      </c>
      <c r="H3427" s="2" t="s">
        <v>2544</v>
      </c>
      <c r="I3427" s="2">
        <v>4.9000000000000004</v>
      </c>
    </row>
    <row r="3428" spans="1:9" x14ac:dyDescent="0.25">
      <c r="A3428" s="1" t="s">
        <v>5092</v>
      </c>
      <c r="B3428" t="s">
        <v>5093</v>
      </c>
      <c r="C3428" s="1" t="s">
        <v>5094</v>
      </c>
      <c r="D3428" s="1" t="s">
        <v>5094</v>
      </c>
      <c r="E3428" t="s">
        <v>5095</v>
      </c>
      <c r="F3428" s="2" t="s">
        <v>651</v>
      </c>
      <c r="G3428" t="s">
        <v>5</v>
      </c>
      <c r="H3428" s="2" t="s">
        <v>5096</v>
      </c>
      <c r="I3428" s="2">
        <v>0.75</v>
      </c>
    </row>
    <row r="3429" spans="1:9" x14ac:dyDescent="0.25">
      <c r="A3429" s="1" t="s">
        <v>5092</v>
      </c>
      <c r="B3429" t="s">
        <v>5093</v>
      </c>
      <c r="C3429" s="1" t="s">
        <v>7</v>
      </c>
      <c r="D3429" s="1" t="s">
        <v>7</v>
      </c>
      <c r="E3429" t="s">
        <v>8</v>
      </c>
      <c r="F3429" s="2" t="s">
        <v>9</v>
      </c>
      <c r="G3429" t="s">
        <v>10</v>
      </c>
      <c r="H3429" s="2" t="s">
        <v>5097</v>
      </c>
      <c r="I3429" s="2">
        <v>4.97</v>
      </c>
    </row>
    <row r="3430" spans="1:9" x14ac:dyDescent="0.25">
      <c r="A3430" s="1" t="s">
        <v>326</v>
      </c>
      <c r="B3430" t="s">
        <v>327</v>
      </c>
      <c r="C3430" s="1" t="s">
        <v>5094</v>
      </c>
      <c r="D3430" s="1" t="s">
        <v>5094</v>
      </c>
      <c r="E3430" t="s">
        <v>5095</v>
      </c>
      <c r="F3430" s="2" t="s">
        <v>3586</v>
      </c>
      <c r="G3430" t="s">
        <v>5</v>
      </c>
      <c r="H3430" s="2" t="s">
        <v>5098</v>
      </c>
      <c r="I3430" s="2">
        <v>1.1499999999999999</v>
      </c>
    </row>
    <row r="3431" spans="1:9" x14ac:dyDescent="0.25">
      <c r="A3431" s="1" t="s">
        <v>326</v>
      </c>
      <c r="B3431" t="s">
        <v>327</v>
      </c>
      <c r="C3431" s="1" t="s">
        <v>7</v>
      </c>
      <c r="D3431" s="1" t="s">
        <v>7</v>
      </c>
      <c r="E3431" t="s">
        <v>8</v>
      </c>
      <c r="F3431" s="2" t="s">
        <v>9</v>
      </c>
      <c r="G3431" t="s">
        <v>10</v>
      </c>
      <c r="H3431" s="2" t="s">
        <v>5099</v>
      </c>
      <c r="I3431" s="2">
        <v>5.05</v>
      </c>
    </row>
    <row r="3432" spans="1:9" x14ac:dyDescent="0.25">
      <c r="A3432" s="1" t="s">
        <v>5100</v>
      </c>
      <c r="B3432" t="s">
        <v>5101</v>
      </c>
      <c r="C3432" s="1" t="s">
        <v>5102</v>
      </c>
      <c r="D3432" s="1" t="s">
        <v>5102</v>
      </c>
      <c r="E3432" t="s">
        <v>5103</v>
      </c>
      <c r="F3432" s="2" t="s">
        <v>3131</v>
      </c>
      <c r="G3432" t="s">
        <v>932</v>
      </c>
      <c r="H3432" s="2" t="s">
        <v>5104</v>
      </c>
      <c r="I3432" s="2">
        <v>0.8</v>
      </c>
    </row>
    <row r="3433" spans="1:9" x14ac:dyDescent="0.25">
      <c r="A3433" s="1" t="s">
        <v>5100</v>
      </c>
      <c r="B3433" t="s">
        <v>5101</v>
      </c>
      <c r="C3433" s="1" t="s">
        <v>541</v>
      </c>
      <c r="D3433" s="1" t="s">
        <v>541</v>
      </c>
      <c r="E3433" t="s">
        <v>542</v>
      </c>
      <c r="F3433" s="2" t="s">
        <v>9</v>
      </c>
      <c r="G3433" t="s">
        <v>10</v>
      </c>
      <c r="H3433" s="2" t="s">
        <v>19</v>
      </c>
      <c r="I3433" s="2">
        <v>4.5999999999999996</v>
      </c>
    </row>
    <row r="3434" spans="1:9" x14ac:dyDescent="0.25">
      <c r="A3434" s="1" t="s">
        <v>5105</v>
      </c>
      <c r="B3434" t="s">
        <v>5106</v>
      </c>
      <c r="C3434" s="1" t="s">
        <v>3317</v>
      </c>
      <c r="D3434" s="1" t="s">
        <v>3317</v>
      </c>
      <c r="E3434" t="s">
        <v>3318</v>
      </c>
      <c r="F3434" s="2" t="s">
        <v>3756</v>
      </c>
      <c r="G3434" t="s">
        <v>5</v>
      </c>
      <c r="H3434" s="2" t="s">
        <v>5107</v>
      </c>
      <c r="I3434" s="2">
        <v>2.35</v>
      </c>
    </row>
    <row r="3435" spans="1:9" x14ac:dyDescent="0.25">
      <c r="A3435" s="1" t="s">
        <v>5105</v>
      </c>
      <c r="B3435" t="s">
        <v>5106</v>
      </c>
      <c r="C3435" s="1" t="s">
        <v>541</v>
      </c>
      <c r="D3435" s="1" t="s">
        <v>541</v>
      </c>
      <c r="E3435" t="s">
        <v>542</v>
      </c>
      <c r="F3435" s="2" t="s">
        <v>9</v>
      </c>
      <c r="G3435" t="s">
        <v>10</v>
      </c>
      <c r="H3435" s="2" t="s">
        <v>2407</v>
      </c>
      <c r="I3435" s="2">
        <v>5.55</v>
      </c>
    </row>
    <row r="3436" spans="1:9" x14ac:dyDescent="0.25">
      <c r="A3436" s="1" t="s">
        <v>5108</v>
      </c>
      <c r="B3436" t="s">
        <v>5109</v>
      </c>
      <c r="C3436" s="1" t="s">
        <v>3317</v>
      </c>
      <c r="D3436" s="1" t="s">
        <v>3317</v>
      </c>
      <c r="E3436" t="s">
        <v>3318</v>
      </c>
      <c r="F3436" s="2" t="s">
        <v>3756</v>
      </c>
      <c r="G3436" t="s">
        <v>5</v>
      </c>
      <c r="H3436" s="2" t="s">
        <v>5107</v>
      </c>
      <c r="I3436" s="2">
        <v>2.35</v>
      </c>
    </row>
    <row r="3437" spans="1:9" x14ac:dyDescent="0.25">
      <c r="A3437" s="1" t="s">
        <v>5108</v>
      </c>
      <c r="B3437" t="s">
        <v>5109</v>
      </c>
      <c r="C3437" s="1" t="s">
        <v>7</v>
      </c>
      <c r="D3437" s="1" t="s">
        <v>7</v>
      </c>
      <c r="E3437" t="s">
        <v>8</v>
      </c>
      <c r="F3437" s="2" t="s">
        <v>9</v>
      </c>
      <c r="G3437" t="s">
        <v>10</v>
      </c>
      <c r="H3437" s="2" t="s">
        <v>2407</v>
      </c>
      <c r="I3437" s="2">
        <v>5.55</v>
      </c>
    </row>
    <row r="3438" spans="1:9" x14ac:dyDescent="0.25">
      <c r="A3438" s="1" t="s">
        <v>5110</v>
      </c>
      <c r="B3438" t="s">
        <v>5111</v>
      </c>
      <c r="C3438" s="1" t="s">
        <v>1203</v>
      </c>
      <c r="D3438" s="1" t="s">
        <v>1203</v>
      </c>
      <c r="E3438" t="s">
        <v>1204</v>
      </c>
      <c r="F3438" s="2" t="s">
        <v>216</v>
      </c>
      <c r="G3438" t="s">
        <v>5</v>
      </c>
      <c r="H3438" s="2" t="s">
        <v>5112</v>
      </c>
      <c r="I3438" s="2">
        <v>0.1</v>
      </c>
    </row>
    <row r="3439" spans="1:9" x14ac:dyDescent="0.25">
      <c r="A3439" s="1" t="s">
        <v>5110</v>
      </c>
      <c r="B3439" t="s">
        <v>5111</v>
      </c>
      <c r="C3439" s="1" t="s">
        <v>7</v>
      </c>
      <c r="D3439" s="1" t="s">
        <v>7</v>
      </c>
      <c r="E3439" t="s">
        <v>8</v>
      </c>
      <c r="F3439" s="2" t="s">
        <v>9</v>
      </c>
      <c r="G3439" t="s">
        <v>10</v>
      </c>
      <c r="H3439" s="2" t="s">
        <v>5113</v>
      </c>
      <c r="I3439" s="2">
        <v>3.1</v>
      </c>
    </row>
    <row r="3440" spans="1:9" x14ac:dyDescent="0.25">
      <c r="A3440" s="1" t="s">
        <v>5114</v>
      </c>
      <c r="B3440" t="s">
        <v>5115</v>
      </c>
      <c r="C3440" s="1" t="s">
        <v>3317</v>
      </c>
      <c r="D3440" s="1" t="s">
        <v>3317</v>
      </c>
      <c r="E3440" t="s">
        <v>3318</v>
      </c>
      <c r="F3440" s="2" t="s">
        <v>3756</v>
      </c>
      <c r="G3440" t="s">
        <v>5</v>
      </c>
      <c r="H3440" s="2" t="s">
        <v>5116</v>
      </c>
      <c r="I3440" s="2">
        <v>1.35</v>
      </c>
    </row>
    <row r="3441" spans="1:9" x14ac:dyDescent="0.25">
      <c r="A3441" s="1" t="s">
        <v>5114</v>
      </c>
      <c r="B3441" t="s">
        <v>5115</v>
      </c>
      <c r="C3441" s="1" t="s">
        <v>7</v>
      </c>
      <c r="D3441" s="1" t="s">
        <v>7</v>
      </c>
      <c r="E3441" t="s">
        <v>8</v>
      </c>
      <c r="F3441" s="2" t="s">
        <v>9</v>
      </c>
      <c r="G3441" t="s">
        <v>10</v>
      </c>
      <c r="H3441" s="2" t="s">
        <v>19</v>
      </c>
      <c r="I3441" s="2">
        <v>4.5999999999999996</v>
      </c>
    </row>
    <row r="3442" spans="1:9" x14ac:dyDescent="0.25">
      <c r="A3442" s="1" t="s">
        <v>5117</v>
      </c>
      <c r="B3442" t="s">
        <v>5118</v>
      </c>
      <c r="C3442" s="1" t="s">
        <v>3317</v>
      </c>
      <c r="D3442" s="1" t="s">
        <v>3317</v>
      </c>
      <c r="E3442" t="s">
        <v>3318</v>
      </c>
      <c r="F3442" s="2" t="s">
        <v>3756</v>
      </c>
      <c r="G3442" t="s">
        <v>5</v>
      </c>
      <c r="H3442" s="2" t="s">
        <v>5119</v>
      </c>
      <c r="I3442" s="2">
        <v>1.55</v>
      </c>
    </row>
    <row r="3443" spans="1:9" x14ac:dyDescent="0.25">
      <c r="A3443" s="1" t="s">
        <v>5117</v>
      </c>
      <c r="B3443" t="s">
        <v>5118</v>
      </c>
      <c r="C3443" s="1" t="s">
        <v>7</v>
      </c>
      <c r="D3443" s="1" t="s">
        <v>7</v>
      </c>
      <c r="E3443" t="s">
        <v>8</v>
      </c>
      <c r="F3443" s="2" t="s">
        <v>9</v>
      </c>
      <c r="G3443" t="s">
        <v>10</v>
      </c>
      <c r="H3443" s="2" t="s">
        <v>1384</v>
      </c>
      <c r="I3443" s="2">
        <v>4.8499999999999996</v>
      </c>
    </row>
    <row r="3444" spans="1:9" x14ac:dyDescent="0.25">
      <c r="A3444" s="1" t="s">
        <v>5120</v>
      </c>
      <c r="B3444" t="s">
        <v>5121</v>
      </c>
      <c r="C3444" s="1" t="s">
        <v>1345</v>
      </c>
      <c r="D3444" s="1" t="s">
        <v>1345</v>
      </c>
      <c r="E3444" t="s">
        <v>1346</v>
      </c>
      <c r="F3444" s="2" t="s">
        <v>1347</v>
      </c>
      <c r="G3444" t="s">
        <v>5</v>
      </c>
      <c r="H3444" s="2" t="s">
        <v>5122</v>
      </c>
      <c r="I3444" s="2">
        <v>0.28999999999999998</v>
      </c>
    </row>
    <row r="3445" spans="1:9" x14ac:dyDescent="0.25">
      <c r="A3445" s="1" t="s">
        <v>5120</v>
      </c>
      <c r="B3445" t="s">
        <v>5121</v>
      </c>
      <c r="C3445" s="1" t="s">
        <v>541</v>
      </c>
      <c r="D3445" s="1" t="s">
        <v>541</v>
      </c>
      <c r="E3445" t="s">
        <v>542</v>
      </c>
      <c r="F3445" s="2" t="s">
        <v>9</v>
      </c>
      <c r="G3445" t="s">
        <v>10</v>
      </c>
      <c r="H3445" s="2" t="s">
        <v>605</v>
      </c>
      <c r="I3445" s="2">
        <v>1.84</v>
      </c>
    </row>
    <row r="3446" spans="1:9" x14ac:dyDescent="0.25">
      <c r="A3446" s="1" t="s">
        <v>2753</v>
      </c>
      <c r="B3446" t="s">
        <v>2754</v>
      </c>
      <c r="C3446" s="1" t="s">
        <v>1162</v>
      </c>
      <c r="D3446" s="1" t="s">
        <v>1162</v>
      </c>
      <c r="E3446" t="s">
        <v>1163</v>
      </c>
      <c r="F3446" s="2" t="s">
        <v>1164</v>
      </c>
      <c r="G3446" t="s">
        <v>5</v>
      </c>
      <c r="H3446" s="2" t="s">
        <v>5123</v>
      </c>
      <c r="I3446" s="2">
        <v>1</v>
      </c>
    </row>
    <row r="3447" spans="1:9" x14ac:dyDescent="0.25">
      <c r="A3447" s="1" t="s">
        <v>2753</v>
      </c>
      <c r="B3447" t="s">
        <v>2754</v>
      </c>
      <c r="C3447" s="1" t="s">
        <v>432</v>
      </c>
      <c r="D3447" s="1" t="s">
        <v>432</v>
      </c>
      <c r="E3447" t="s">
        <v>433</v>
      </c>
      <c r="F3447" s="2" t="s">
        <v>434</v>
      </c>
      <c r="G3447" t="s">
        <v>435</v>
      </c>
      <c r="H3447" s="2" t="s">
        <v>5124</v>
      </c>
      <c r="I3447" s="2">
        <v>3.7</v>
      </c>
    </row>
    <row r="3448" spans="1:9" x14ac:dyDescent="0.25">
      <c r="A3448" s="1" t="s">
        <v>2753</v>
      </c>
      <c r="B3448" t="s">
        <v>2754</v>
      </c>
      <c r="C3448" s="1" t="s">
        <v>541</v>
      </c>
      <c r="D3448" s="1" t="s">
        <v>541</v>
      </c>
      <c r="E3448" t="s">
        <v>542</v>
      </c>
      <c r="F3448" s="2" t="s">
        <v>9</v>
      </c>
      <c r="G3448" t="s">
        <v>10</v>
      </c>
      <c r="H3448" s="2" t="s">
        <v>1178</v>
      </c>
      <c r="I3448" s="2">
        <v>10.45</v>
      </c>
    </row>
    <row r="3449" spans="1:9" x14ac:dyDescent="0.25">
      <c r="A3449" s="1" t="s">
        <v>5125</v>
      </c>
      <c r="B3449" t="s">
        <v>5126</v>
      </c>
      <c r="C3449" s="1" t="s">
        <v>1188</v>
      </c>
      <c r="D3449" s="1" t="s">
        <v>1188</v>
      </c>
      <c r="E3449" t="s">
        <v>1189</v>
      </c>
      <c r="F3449" s="2" t="s">
        <v>1190</v>
      </c>
      <c r="G3449" t="s">
        <v>5</v>
      </c>
      <c r="H3449" s="2" t="s">
        <v>5127</v>
      </c>
      <c r="I3449" s="2">
        <v>7.79</v>
      </c>
    </row>
    <row r="3450" spans="1:9" x14ac:dyDescent="0.25">
      <c r="A3450" s="1" t="s">
        <v>5125</v>
      </c>
      <c r="B3450" t="s">
        <v>5126</v>
      </c>
      <c r="C3450" s="1" t="s">
        <v>541</v>
      </c>
      <c r="D3450" s="1" t="s">
        <v>541</v>
      </c>
      <c r="E3450" t="s">
        <v>542</v>
      </c>
      <c r="F3450" s="2" t="s">
        <v>9</v>
      </c>
      <c r="G3450" t="s">
        <v>10</v>
      </c>
      <c r="H3450" s="2" t="s">
        <v>1196</v>
      </c>
      <c r="I3450" s="2">
        <v>4.34</v>
      </c>
    </row>
    <row r="3451" spans="1:9" x14ac:dyDescent="0.25">
      <c r="A3451" s="1" t="s">
        <v>5128</v>
      </c>
      <c r="B3451" t="s">
        <v>5129</v>
      </c>
      <c r="C3451" s="1" t="s">
        <v>1188</v>
      </c>
      <c r="D3451" s="1" t="s">
        <v>1188</v>
      </c>
      <c r="E3451" t="s">
        <v>1189</v>
      </c>
      <c r="F3451" s="2" t="s">
        <v>1190</v>
      </c>
      <c r="G3451" t="s">
        <v>5</v>
      </c>
      <c r="H3451" s="2" t="s">
        <v>5127</v>
      </c>
      <c r="I3451" s="2">
        <v>7.79</v>
      </c>
    </row>
    <row r="3452" spans="1:9" x14ac:dyDescent="0.25">
      <c r="A3452" s="1" t="s">
        <v>5128</v>
      </c>
      <c r="B3452" t="s">
        <v>5129</v>
      </c>
      <c r="C3452" s="1" t="s">
        <v>432</v>
      </c>
      <c r="D3452" s="1" t="s">
        <v>432</v>
      </c>
      <c r="E3452" t="s">
        <v>433</v>
      </c>
      <c r="F3452" s="2" t="s">
        <v>434</v>
      </c>
      <c r="G3452" t="s">
        <v>435</v>
      </c>
      <c r="H3452" s="2" t="s">
        <v>5130</v>
      </c>
      <c r="I3452" s="2">
        <v>3.91</v>
      </c>
    </row>
    <row r="3453" spans="1:9" x14ac:dyDescent="0.25">
      <c r="A3453" s="1" t="s">
        <v>5128</v>
      </c>
      <c r="B3453" t="s">
        <v>5129</v>
      </c>
      <c r="C3453" s="1" t="s">
        <v>541</v>
      </c>
      <c r="D3453" s="1" t="s">
        <v>541</v>
      </c>
      <c r="E3453" t="s">
        <v>542</v>
      </c>
      <c r="F3453" s="2" t="s">
        <v>9</v>
      </c>
      <c r="G3453" t="s">
        <v>10</v>
      </c>
      <c r="H3453" s="2" t="s">
        <v>5131</v>
      </c>
      <c r="I3453" s="2">
        <v>12.09</v>
      </c>
    </row>
    <row r="3454" spans="1:9" x14ac:dyDescent="0.25">
      <c r="A3454" s="1" t="s">
        <v>5132</v>
      </c>
      <c r="B3454" t="s">
        <v>5133</v>
      </c>
      <c r="C3454" s="1" t="s">
        <v>2161</v>
      </c>
      <c r="D3454" s="1" t="s">
        <v>2161</v>
      </c>
      <c r="E3454" t="s">
        <v>2162</v>
      </c>
      <c r="F3454" s="2" t="s">
        <v>1354</v>
      </c>
      <c r="G3454" t="s">
        <v>5</v>
      </c>
      <c r="H3454" s="2" t="s">
        <v>3437</v>
      </c>
      <c r="I3454" s="2">
        <v>0.1</v>
      </c>
    </row>
    <row r="3455" spans="1:9" x14ac:dyDescent="0.25">
      <c r="A3455" s="1" t="s">
        <v>5132</v>
      </c>
      <c r="B3455" t="s">
        <v>5133</v>
      </c>
      <c r="C3455" s="1" t="s">
        <v>7</v>
      </c>
      <c r="D3455" s="1" t="s">
        <v>7</v>
      </c>
      <c r="E3455" t="s">
        <v>8</v>
      </c>
      <c r="F3455" s="2" t="s">
        <v>9</v>
      </c>
      <c r="G3455" t="s">
        <v>10</v>
      </c>
      <c r="H3455" s="2" t="s">
        <v>1349</v>
      </c>
      <c r="I3455" s="2">
        <v>3.45</v>
      </c>
    </row>
    <row r="3456" spans="1:9" x14ac:dyDescent="0.25">
      <c r="A3456" s="1" t="s">
        <v>5134</v>
      </c>
      <c r="B3456" t="s">
        <v>5135</v>
      </c>
      <c r="C3456" s="1" t="s">
        <v>3834</v>
      </c>
      <c r="D3456" s="1" t="s">
        <v>3834</v>
      </c>
      <c r="E3456" t="s">
        <v>3835</v>
      </c>
      <c r="F3456" s="2" t="s">
        <v>3836</v>
      </c>
      <c r="G3456" t="s">
        <v>5</v>
      </c>
      <c r="H3456" s="2" t="s">
        <v>5136</v>
      </c>
      <c r="I3456" s="2">
        <v>1.82</v>
      </c>
    </row>
    <row r="3457" spans="1:9" x14ac:dyDescent="0.25">
      <c r="A3457" s="1" t="s">
        <v>5134</v>
      </c>
      <c r="B3457" t="s">
        <v>5135</v>
      </c>
      <c r="C3457" s="1" t="s">
        <v>432</v>
      </c>
      <c r="D3457" s="1" t="s">
        <v>432</v>
      </c>
      <c r="E3457" t="s">
        <v>433</v>
      </c>
      <c r="F3457" s="2" t="s">
        <v>434</v>
      </c>
      <c r="G3457" t="s">
        <v>435</v>
      </c>
      <c r="H3457" s="2" t="s">
        <v>5137</v>
      </c>
      <c r="I3457" s="2">
        <v>1.24</v>
      </c>
    </row>
    <row r="3458" spans="1:9" x14ac:dyDescent="0.25">
      <c r="A3458" s="1" t="s">
        <v>5134</v>
      </c>
      <c r="B3458" t="s">
        <v>5135</v>
      </c>
      <c r="C3458" s="1" t="s">
        <v>541</v>
      </c>
      <c r="D3458" s="1" t="s">
        <v>541</v>
      </c>
      <c r="E3458" t="s">
        <v>542</v>
      </c>
      <c r="F3458" s="2" t="s">
        <v>9</v>
      </c>
      <c r="G3458" t="s">
        <v>10</v>
      </c>
      <c r="H3458" s="2" t="s">
        <v>3404</v>
      </c>
      <c r="I3458" s="2">
        <v>10.119999999999999</v>
      </c>
    </row>
    <row r="3459" spans="1:9" x14ac:dyDescent="0.25">
      <c r="A3459" s="1" t="s">
        <v>5138</v>
      </c>
      <c r="B3459" t="s">
        <v>5139</v>
      </c>
      <c r="C3459" s="1" t="s">
        <v>1188</v>
      </c>
      <c r="D3459" s="1" t="s">
        <v>1188</v>
      </c>
      <c r="E3459" t="s">
        <v>1189</v>
      </c>
      <c r="F3459" s="2" t="s">
        <v>1190</v>
      </c>
      <c r="G3459" t="s">
        <v>5</v>
      </c>
      <c r="H3459" s="2" t="s">
        <v>5140</v>
      </c>
      <c r="I3459" s="2">
        <v>4.8899999999999997</v>
      </c>
    </row>
    <row r="3460" spans="1:9" x14ac:dyDescent="0.25">
      <c r="A3460" s="1" t="s">
        <v>5138</v>
      </c>
      <c r="B3460" t="s">
        <v>5139</v>
      </c>
      <c r="C3460" s="1" t="s">
        <v>432</v>
      </c>
      <c r="D3460" s="1" t="s">
        <v>432</v>
      </c>
      <c r="E3460" t="s">
        <v>433</v>
      </c>
      <c r="F3460" s="2" t="s">
        <v>434</v>
      </c>
      <c r="G3460" t="s">
        <v>435</v>
      </c>
      <c r="H3460" s="2" t="s">
        <v>92</v>
      </c>
      <c r="I3460" s="2">
        <v>2.2000000000000002</v>
      </c>
    </row>
    <row r="3461" spans="1:9" x14ac:dyDescent="0.25">
      <c r="A3461" s="1" t="s">
        <v>5138</v>
      </c>
      <c r="B3461" t="s">
        <v>5139</v>
      </c>
      <c r="C3461" s="1" t="s">
        <v>541</v>
      </c>
      <c r="D3461" s="1" t="s">
        <v>541</v>
      </c>
      <c r="E3461" t="s">
        <v>542</v>
      </c>
      <c r="F3461" s="2" t="s">
        <v>9</v>
      </c>
      <c r="G3461" t="s">
        <v>10</v>
      </c>
      <c r="H3461" s="2" t="s">
        <v>1196</v>
      </c>
      <c r="I3461" s="2">
        <v>4.34</v>
      </c>
    </row>
    <row r="3462" spans="1:9" x14ac:dyDescent="0.25">
      <c r="A3462" s="1" t="s">
        <v>5141</v>
      </c>
      <c r="B3462" t="s">
        <v>5142</v>
      </c>
      <c r="C3462" s="1" t="s">
        <v>1188</v>
      </c>
      <c r="D3462" s="1" t="s">
        <v>1188</v>
      </c>
      <c r="E3462" t="s">
        <v>1189</v>
      </c>
      <c r="F3462" s="2" t="s">
        <v>1190</v>
      </c>
      <c r="G3462" t="s">
        <v>5</v>
      </c>
      <c r="H3462" s="2" t="s">
        <v>5143</v>
      </c>
      <c r="I3462" s="2">
        <v>4.82</v>
      </c>
    </row>
    <row r="3463" spans="1:9" x14ac:dyDescent="0.25">
      <c r="A3463" s="1" t="s">
        <v>5141</v>
      </c>
      <c r="B3463" t="s">
        <v>5142</v>
      </c>
      <c r="C3463" s="1" t="s">
        <v>432</v>
      </c>
      <c r="D3463" s="1" t="s">
        <v>432</v>
      </c>
      <c r="E3463" t="s">
        <v>433</v>
      </c>
      <c r="F3463" s="2" t="s">
        <v>434</v>
      </c>
      <c r="G3463" t="s">
        <v>435</v>
      </c>
      <c r="H3463" s="2" t="s">
        <v>50</v>
      </c>
      <c r="I3463" s="2">
        <v>1.1000000000000001</v>
      </c>
    </row>
    <row r="3464" spans="1:9" x14ac:dyDescent="0.25">
      <c r="A3464" s="1" t="s">
        <v>5141</v>
      </c>
      <c r="B3464" t="s">
        <v>5142</v>
      </c>
      <c r="C3464" s="1" t="s">
        <v>541</v>
      </c>
      <c r="D3464" s="1" t="s">
        <v>541</v>
      </c>
      <c r="E3464" t="s">
        <v>542</v>
      </c>
      <c r="F3464" s="2" t="s">
        <v>9</v>
      </c>
      <c r="G3464" t="s">
        <v>10</v>
      </c>
      <c r="H3464" s="2" t="s">
        <v>5144</v>
      </c>
      <c r="I3464" s="2">
        <v>11.81</v>
      </c>
    </row>
    <row r="3465" spans="1:9" x14ac:dyDescent="0.25">
      <c r="A3465" s="1" t="s">
        <v>5145</v>
      </c>
      <c r="B3465" t="s">
        <v>5146</v>
      </c>
      <c r="C3465" s="1" t="s">
        <v>1203</v>
      </c>
      <c r="D3465" s="1" t="s">
        <v>1203</v>
      </c>
      <c r="E3465" t="s">
        <v>1204</v>
      </c>
      <c r="F3465" s="2" t="s">
        <v>216</v>
      </c>
      <c r="G3465" t="s">
        <v>5</v>
      </c>
      <c r="H3465" s="2" t="s">
        <v>5147</v>
      </c>
      <c r="I3465" s="2">
        <v>2.25</v>
      </c>
    </row>
    <row r="3466" spans="1:9" x14ac:dyDescent="0.25">
      <c r="A3466" s="1" t="s">
        <v>5145</v>
      </c>
      <c r="B3466" t="s">
        <v>5146</v>
      </c>
      <c r="C3466" s="1" t="s">
        <v>1234</v>
      </c>
      <c r="D3466" s="1" t="s">
        <v>1234</v>
      </c>
      <c r="E3466" t="s">
        <v>1235</v>
      </c>
      <c r="F3466" s="2" t="s">
        <v>108</v>
      </c>
      <c r="G3466" t="s">
        <v>932</v>
      </c>
      <c r="H3466" s="2" t="s">
        <v>50</v>
      </c>
      <c r="I3466" s="2">
        <v>4.2</v>
      </c>
    </row>
    <row r="3467" spans="1:9" x14ac:dyDescent="0.25">
      <c r="A3467" s="1" t="s">
        <v>5145</v>
      </c>
      <c r="B3467" t="s">
        <v>5146</v>
      </c>
      <c r="C3467" s="1" t="s">
        <v>541</v>
      </c>
      <c r="D3467" s="1" t="s">
        <v>541</v>
      </c>
      <c r="E3467" t="s">
        <v>542</v>
      </c>
      <c r="F3467" s="2" t="s">
        <v>9</v>
      </c>
      <c r="G3467" t="s">
        <v>10</v>
      </c>
      <c r="H3467" s="2" t="s">
        <v>5148</v>
      </c>
      <c r="I3467" s="2">
        <v>4.3099999999999996</v>
      </c>
    </row>
    <row r="3468" spans="1:9" x14ac:dyDescent="0.25">
      <c r="A3468" s="1" t="s">
        <v>5149</v>
      </c>
      <c r="B3468" t="s">
        <v>5150</v>
      </c>
      <c r="C3468" s="1" t="s">
        <v>1188</v>
      </c>
      <c r="D3468" s="1" t="s">
        <v>1188</v>
      </c>
      <c r="E3468" t="s">
        <v>1189</v>
      </c>
      <c r="F3468" s="2" t="s">
        <v>1190</v>
      </c>
      <c r="G3468" t="s">
        <v>5</v>
      </c>
      <c r="H3468" s="2" t="s">
        <v>5151</v>
      </c>
      <c r="I3468" s="2">
        <v>4.34</v>
      </c>
    </row>
    <row r="3469" spans="1:9" x14ac:dyDescent="0.25">
      <c r="A3469" s="1" t="s">
        <v>5149</v>
      </c>
      <c r="B3469" t="s">
        <v>5150</v>
      </c>
      <c r="C3469" s="1" t="s">
        <v>1234</v>
      </c>
      <c r="D3469" s="1" t="s">
        <v>1234</v>
      </c>
      <c r="E3469" t="s">
        <v>1235</v>
      </c>
      <c r="F3469" s="2" t="s">
        <v>108</v>
      </c>
      <c r="G3469" t="s">
        <v>932</v>
      </c>
      <c r="H3469" s="2" t="s">
        <v>50</v>
      </c>
      <c r="I3469" s="2">
        <v>4.2</v>
      </c>
    </row>
    <row r="3470" spans="1:9" x14ac:dyDescent="0.25">
      <c r="A3470" s="1" t="s">
        <v>5149</v>
      </c>
      <c r="B3470" t="s">
        <v>5150</v>
      </c>
      <c r="C3470" s="1" t="s">
        <v>541</v>
      </c>
      <c r="D3470" s="1" t="s">
        <v>541</v>
      </c>
      <c r="E3470" t="s">
        <v>542</v>
      </c>
      <c r="F3470" s="2" t="s">
        <v>9</v>
      </c>
      <c r="G3470" t="s">
        <v>10</v>
      </c>
      <c r="H3470" s="2" t="s">
        <v>5152</v>
      </c>
      <c r="I3470" s="2">
        <v>11.91</v>
      </c>
    </row>
    <row r="3471" spans="1:9" x14ac:dyDescent="0.25">
      <c r="A3471" s="1" t="s">
        <v>5153</v>
      </c>
      <c r="B3471" t="s">
        <v>5154</v>
      </c>
      <c r="C3471" s="1" t="s">
        <v>1188</v>
      </c>
      <c r="D3471" s="1" t="s">
        <v>1188</v>
      </c>
      <c r="E3471" t="s">
        <v>1189</v>
      </c>
      <c r="F3471" s="2" t="s">
        <v>1190</v>
      </c>
      <c r="G3471" t="s">
        <v>5</v>
      </c>
      <c r="H3471" s="2" t="s">
        <v>2315</v>
      </c>
      <c r="I3471" s="2">
        <v>8.5500000000000007</v>
      </c>
    </row>
    <row r="3472" spans="1:9" x14ac:dyDescent="0.25">
      <c r="A3472" s="1" t="s">
        <v>5153</v>
      </c>
      <c r="B3472" t="s">
        <v>5154</v>
      </c>
      <c r="C3472" s="1" t="s">
        <v>432</v>
      </c>
      <c r="D3472" s="1" t="s">
        <v>432</v>
      </c>
      <c r="E3472" t="s">
        <v>433</v>
      </c>
      <c r="F3472" s="2" t="s">
        <v>434</v>
      </c>
      <c r="G3472" t="s">
        <v>435</v>
      </c>
      <c r="H3472" s="2" t="s">
        <v>92</v>
      </c>
      <c r="I3472" s="2">
        <v>2.2000000000000002</v>
      </c>
    </row>
    <row r="3473" spans="1:9" x14ac:dyDescent="0.25">
      <c r="A3473" s="1" t="s">
        <v>5153</v>
      </c>
      <c r="B3473" t="s">
        <v>5154</v>
      </c>
      <c r="C3473" s="1" t="s">
        <v>7</v>
      </c>
      <c r="D3473" s="1" t="s">
        <v>7</v>
      </c>
      <c r="E3473" t="s">
        <v>8</v>
      </c>
      <c r="F3473" s="2" t="s">
        <v>9</v>
      </c>
      <c r="G3473" t="s">
        <v>10</v>
      </c>
      <c r="H3473" s="2" t="s">
        <v>1096</v>
      </c>
      <c r="I3473" s="2">
        <v>4.7</v>
      </c>
    </row>
    <row r="3474" spans="1:9" x14ac:dyDescent="0.25">
      <c r="A3474" s="1" t="s">
        <v>5155</v>
      </c>
      <c r="B3474" t="s">
        <v>5156</v>
      </c>
      <c r="C3474" s="1" t="s">
        <v>1188</v>
      </c>
      <c r="D3474" s="1" t="s">
        <v>1188</v>
      </c>
      <c r="E3474" t="s">
        <v>1189</v>
      </c>
      <c r="F3474" s="2" t="s">
        <v>1190</v>
      </c>
      <c r="G3474" t="s">
        <v>5</v>
      </c>
      <c r="H3474" s="2" t="s">
        <v>2315</v>
      </c>
      <c r="I3474" s="2">
        <v>8.5500000000000007</v>
      </c>
    </row>
    <row r="3475" spans="1:9" x14ac:dyDescent="0.25">
      <c r="A3475" s="1" t="s">
        <v>5155</v>
      </c>
      <c r="B3475" t="s">
        <v>5156</v>
      </c>
      <c r="C3475" s="1" t="s">
        <v>432</v>
      </c>
      <c r="D3475" s="1" t="s">
        <v>432</v>
      </c>
      <c r="E3475" t="s">
        <v>433</v>
      </c>
      <c r="F3475" s="2" t="s">
        <v>434</v>
      </c>
      <c r="G3475" t="s">
        <v>435</v>
      </c>
      <c r="H3475" s="2" t="s">
        <v>1177</v>
      </c>
      <c r="I3475" s="2">
        <v>3.8</v>
      </c>
    </row>
    <row r="3476" spans="1:9" x14ac:dyDescent="0.25">
      <c r="A3476" s="1" t="s">
        <v>5155</v>
      </c>
      <c r="B3476" t="s">
        <v>5156</v>
      </c>
      <c r="C3476" s="1" t="s">
        <v>7</v>
      </c>
      <c r="D3476" s="1" t="s">
        <v>7</v>
      </c>
      <c r="E3476" t="s">
        <v>8</v>
      </c>
      <c r="F3476" s="2" t="s">
        <v>9</v>
      </c>
      <c r="G3476" t="s">
        <v>10</v>
      </c>
      <c r="H3476" s="2" t="s">
        <v>1192</v>
      </c>
      <c r="I3476" s="2">
        <v>11.92</v>
      </c>
    </row>
    <row r="3477" spans="1:9" x14ac:dyDescent="0.25">
      <c r="A3477" s="1" t="s">
        <v>5157</v>
      </c>
      <c r="B3477" t="s">
        <v>5158</v>
      </c>
      <c r="C3477" s="1" t="s">
        <v>1188</v>
      </c>
      <c r="D3477" s="1" t="s">
        <v>1188</v>
      </c>
      <c r="E3477" t="s">
        <v>1189</v>
      </c>
      <c r="F3477" s="2" t="s">
        <v>1190</v>
      </c>
      <c r="G3477" t="s">
        <v>5</v>
      </c>
      <c r="H3477" s="2" t="s">
        <v>5159</v>
      </c>
      <c r="I3477" s="2">
        <v>3.94</v>
      </c>
    </row>
    <row r="3478" spans="1:9" x14ac:dyDescent="0.25">
      <c r="A3478" s="1" t="s">
        <v>5157</v>
      </c>
      <c r="B3478" t="s">
        <v>5158</v>
      </c>
      <c r="C3478" s="1" t="s">
        <v>432</v>
      </c>
      <c r="D3478" s="1" t="s">
        <v>432</v>
      </c>
      <c r="E3478" t="s">
        <v>433</v>
      </c>
      <c r="F3478" s="2" t="s">
        <v>434</v>
      </c>
      <c r="G3478" t="s">
        <v>435</v>
      </c>
      <c r="H3478" s="2" t="s">
        <v>5160</v>
      </c>
      <c r="I3478" s="2">
        <v>1.9</v>
      </c>
    </row>
    <row r="3479" spans="1:9" x14ac:dyDescent="0.25">
      <c r="A3479" s="1" t="s">
        <v>5157</v>
      </c>
      <c r="B3479" t="s">
        <v>5158</v>
      </c>
      <c r="C3479" s="1" t="s">
        <v>541</v>
      </c>
      <c r="D3479" s="1" t="s">
        <v>541</v>
      </c>
      <c r="E3479" t="s">
        <v>542</v>
      </c>
      <c r="F3479" s="2" t="s">
        <v>9</v>
      </c>
      <c r="G3479" t="s">
        <v>10</v>
      </c>
      <c r="H3479" s="2" t="s">
        <v>5161</v>
      </c>
      <c r="I3479" s="2">
        <v>4.25</v>
      </c>
    </row>
    <row r="3480" spans="1:9" x14ac:dyDescent="0.25">
      <c r="A3480" s="1" t="s">
        <v>5162</v>
      </c>
      <c r="B3480" t="s">
        <v>5163</v>
      </c>
      <c r="C3480" s="1" t="s">
        <v>1188</v>
      </c>
      <c r="D3480" s="1" t="s">
        <v>1188</v>
      </c>
      <c r="E3480" t="s">
        <v>1189</v>
      </c>
      <c r="F3480" s="2" t="s">
        <v>1190</v>
      </c>
      <c r="G3480" t="s">
        <v>5</v>
      </c>
      <c r="H3480" s="2" t="s">
        <v>5164</v>
      </c>
      <c r="I3480" s="2">
        <v>6.85</v>
      </c>
    </row>
    <row r="3481" spans="1:9" x14ac:dyDescent="0.25">
      <c r="A3481" s="1" t="s">
        <v>5162</v>
      </c>
      <c r="B3481" t="s">
        <v>5163</v>
      </c>
      <c r="C3481" s="1" t="s">
        <v>432</v>
      </c>
      <c r="D3481" s="1" t="s">
        <v>432</v>
      </c>
      <c r="E3481" t="s">
        <v>433</v>
      </c>
      <c r="F3481" s="2" t="s">
        <v>434</v>
      </c>
      <c r="G3481" t="s">
        <v>435</v>
      </c>
      <c r="H3481" s="2" t="s">
        <v>5165</v>
      </c>
      <c r="I3481" s="2">
        <v>0.35</v>
      </c>
    </row>
    <row r="3482" spans="1:9" x14ac:dyDescent="0.25">
      <c r="A3482" s="1" t="s">
        <v>5162</v>
      </c>
      <c r="B3482" t="s">
        <v>5163</v>
      </c>
      <c r="C3482" s="1" t="s">
        <v>7</v>
      </c>
      <c r="D3482" s="1" t="s">
        <v>7</v>
      </c>
      <c r="E3482" t="s">
        <v>8</v>
      </c>
      <c r="F3482" s="2" t="s">
        <v>9</v>
      </c>
      <c r="G3482" t="s">
        <v>10</v>
      </c>
      <c r="H3482" s="2" t="s">
        <v>5144</v>
      </c>
      <c r="I3482" s="2">
        <v>11.81</v>
      </c>
    </row>
    <row r="3483" spans="1:9" x14ac:dyDescent="0.25">
      <c r="A3483" s="1" t="s">
        <v>5166</v>
      </c>
      <c r="B3483" t="s">
        <v>5167</v>
      </c>
      <c r="C3483" s="1" t="s">
        <v>1203</v>
      </c>
      <c r="D3483" s="1" t="s">
        <v>1203</v>
      </c>
      <c r="E3483" t="s">
        <v>1204</v>
      </c>
      <c r="F3483" s="2" t="s">
        <v>216</v>
      </c>
      <c r="G3483" t="s">
        <v>5</v>
      </c>
      <c r="H3483" s="2" t="s">
        <v>25</v>
      </c>
      <c r="I3483" s="2">
        <v>0.42</v>
      </c>
    </row>
    <row r="3484" spans="1:9" x14ac:dyDescent="0.25">
      <c r="A3484" s="1" t="s">
        <v>5166</v>
      </c>
      <c r="B3484" t="s">
        <v>5167</v>
      </c>
      <c r="C3484" s="1" t="s">
        <v>432</v>
      </c>
      <c r="D3484" s="1" t="s">
        <v>432</v>
      </c>
      <c r="E3484" t="s">
        <v>433</v>
      </c>
      <c r="F3484" s="2" t="s">
        <v>434</v>
      </c>
      <c r="G3484" t="s">
        <v>435</v>
      </c>
      <c r="H3484" s="2" t="s">
        <v>50</v>
      </c>
      <c r="I3484" s="2">
        <v>1.1000000000000001</v>
      </c>
    </row>
    <row r="3485" spans="1:9" x14ac:dyDescent="0.25">
      <c r="A3485" s="1" t="s">
        <v>5166</v>
      </c>
      <c r="B3485" t="s">
        <v>5167</v>
      </c>
      <c r="C3485" s="1" t="s">
        <v>541</v>
      </c>
      <c r="D3485" s="1" t="s">
        <v>541</v>
      </c>
      <c r="E3485" t="s">
        <v>542</v>
      </c>
      <c r="F3485" s="2" t="s">
        <v>9</v>
      </c>
      <c r="G3485" t="s">
        <v>10</v>
      </c>
      <c r="H3485" s="2" t="s">
        <v>5168</v>
      </c>
      <c r="I3485" s="2">
        <v>3.3</v>
      </c>
    </row>
    <row r="3486" spans="1:9" x14ac:dyDescent="0.25">
      <c r="A3486" s="1" t="s">
        <v>5169</v>
      </c>
      <c r="B3486" t="s">
        <v>5170</v>
      </c>
      <c r="C3486" s="1" t="s">
        <v>1188</v>
      </c>
      <c r="D3486" s="1" t="s">
        <v>1188</v>
      </c>
      <c r="E3486" t="s">
        <v>1189</v>
      </c>
      <c r="F3486" s="2" t="s">
        <v>1190</v>
      </c>
      <c r="G3486" t="s">
        <v>5</v>
      </c>
      <c r="H3486" s="2" t="s">
        <v>1787</v>
      </c>
      <c r="I3486" s="2">
        <v>0.41</v>
      </c>
    </row>
    <row r="3487" spans="1:9" x14ac:dyDescent="0.25">
      <c r="A3487" s="1" t="s">
        <v>5169</v>
      </c>
      <c r="B3487" t="s">
        <v>5170</v>
      </c>
      <c r="C3487" s="1" t="s">
        <v>7</v>
      </c>
      <c r="D3487" s="1" t="s">
        <v>7</v>
      </c>
      <c r="E3487" t="s">
        <v>8</v>
      </c>
      <c r="F3487" s="2" t="s">
        <v>9</v>
      </c>
      <c r="G3487" t="s">
        <v>10</v>
      </c>
      <c r="H3487" s="2" t="s">
        <v>367</v>
      </c>
      <c r="I3487" s="2">
        <v>2.2999999999999998</v>
      </c>
    </row>
    <row r="3488" spans="1:9" x14ac:dyDescent="0.25">
      <c r="A3488" s="1" t="s">
        <v>3532</v>
      </c>
      <c r="B3488" t="s">
        <v>5171</v>
      </c>
      <c r="C3488" s="1" t="s">
        <v>684</v>
      </c>
      <c r="D3488" s="1" t="s">
        <v>684</v>
      </c>
      <c r="E3488" t="s">
        <v>685</v>
      </c>
      <c r="F3488" s="2" t="s">
        <v>686</v>
      </c>
      <c r="G3488" t="s">
        <v>49</v>
      </c>
      <c r="H3488" s="2" t="s">
        <v>5172</v>
      </c>
      <c r="I3488" s="2">
        <v>12.5</v>
      </c>
    </row>
    <row r="3489" spans="1:10" x14ac:dyDescent="0.25">
      <c r="A3489" s="1" t="s">
        <v>3532</v>
      </c>
      <c r="B3489" t="s">
        <v>5171</v>
      </c>
      <c r="C3489" s="1" t="s">
        <v>541</v>
      </c>
      <c r="D3489" s="1" t="s">
        <v>541</v>
      </c>
      <c r="E3489" t="s">
        <v>542</v>
      </c>
      <c r="F3489" s="2" t="s">
        <v>9</v>
      </c>
      <c r="G3489" t="s">
        <v>10</v>
      </c>
      <c r="H3489" s="2" t="s">
        <v>5173</v>
      </c>
      <c r="I3489" s="2">
        <v>17.63</v>
      </c>
    </row>
    <row r="3490" spans="1:10" x14ac:dyDescent="0.25">
      <c r="A3490" s="1" t="s">
        <v>5174</v>
      </c>
      <c r="B3490" t="s">
        <v>5175</v>
      </c>
      <c r="C3490" s="1" t="s">
        <v>3087</v>
      </c>
      <c r="D3490" s="1" t="s">
        <v>3087</v>
      </c>
      <c r="E3490" t="s">
        <v>3088</v>
      </c>
      <c r="F3490" s="2" t="s">
        <v>3089</v>
      </c>
      <c r="G3490" t="s">
        <v>17</v>
      </c>
      <c r="H3490" s="2" t="s">
        <v>5176</v>
      </c>
      <c r="I3490" s="2">
        <v>6.82</v>
      </c>
    </row>
    <row r="3491" spans="1:10" x14ac:dyDescent="0.25">
      <c r="A3491" s="1" t="s">
        <v>5174</v>
      </c>
      <c r="B3491" t="s">
        <v>5175</v>
      </c>
      <c r="C3491" s="1" t="s">
        <v>541</v>
      </c>
      <c r="D3491" s="1" t="s">
        <v>541</v>
      </c>
      <c r="E3491" t="s">
        <v>542</v>
      </c>
      <c r="F3491" s="2" t="s">
        <v>9</v>
      </c>
      <c r="G3491" t="s">
        <v>10</v>
      </c>
      <c r="H3491" s="2" t="s">
        <v>5177</v>
      </c>
      <c r="I3491" s="2">
        <v>3.89</v>
      </c>
    </row>
    <row r="3492" spans="1:10" x14ac:dyDescent="0.25">
      <c r="A3492" s="1" t="s">
        <v>5178</v>
      </c>
      <c r="B3492" t="s">
        <v>5179</v>
      </c>
      <c r="C3492" s="1" t="s">
        <v>3317</v>
      </c>
      <c r="D3492" s="1" t="s">
        <v>3317</v>
      </c>
      <c r="E3492" t="s">
        <v>3318</v>
      </c>
      <c r="F3492" s="2" t="s">
        <v>1017</v>
      </c>
      <c r="G3492" t="s">
        <v>5</v>
      </c>
      <c r="H3492" s="2" t="s">
        <v>1961</v>
      </c>
      <c r="I3492" s="2">
        <v>3.13</v>
      </c>
    </row>
    <row r="3493" spans="1:10" x14ac:dyDescent="0.25">
      <c r="A3493" s="1" t="s">
        <v>5178</v>
      </c>
      <c r="B3493" t="s">
        <v>5179</v>
      </c>
      <c r="C3493" s="1" t="s">
        <v>541</v>
      </c>
      <c r="D3493" s="1" t="s">
        <v>541</v>
      </c>
      <c r="E3493" t="s">
        <v>542</v>
      </c>
      <c r="F3493" s="2" t="s">
        <v>9</v>
      </c>
      <c r="G3493" t="s">
        <v>10</v>
      </c>
      <c r="H3493" s="2" t="s">
        <v>3514</v>
      </c>
      <c r="I3493" s="2">
        <v>4.8499999999999996</v>
      </c>
    </row>
    <row r="3494" spans="1:10" x14ac:dyDescent="0.25">
      <c r="A3494" s="1" t="s">
        <v>5180</v>
      </c>
      <c r="B3494" t="s">
        <v>5181</v>
      </c>
      <c r="C3494" s="1" t="s">
        <v>3087</v>
      </c>
      <c r="D3494" s="1" t="s">
        <v>3087</v>
      </c>
      <c r="E3494" t="s">
        <v>3088</v>
      </c>
      <c r="F3494" s="2" t="s">
        <v>3089</v>
      </c>
      <c r="G3494" t="s">
        <v>17</v>
      </c>
      <c r="H3494" s="2" t="s">
        <v>19</v>
      </c>
      <c r="I3494" s="2">
        <v>7.37</v>
      </c>
    </row>
    <row r="3495" spans="1:10" x14ac:dyDescent="0.25">
      <c r="A3495" s="1" t="s">
        <v>5180</v>
      </c>
      <c r="B3495" t="s">
        <v>5181</v>
      </c>
      <c r="C3495" s="1" t="s">
        <v>7</v>
      </c>
      <c r="D3495" s="1" t="s">
        <v>7</v>
      </c>
      <c r="E3495" t="s">
        <v>8</v>
      </c>
      <c r="F3495" s="2" t="s">
        <v>9</v>
      </c>
      <c r="G3495" t="s">
        <v>10</v>
      </c>
      <c r="H3495" s="2" t="s">
        <v>4203</v>
      </c>
      <c r="I3495" s="2">
        <v>7.23</v>
      </c>
    </row>
    <row r="3496" spans="1:10" x14ac:dyDescent="0.25">
      <c r="A3496" s="1" t="s">
        <v>5182</v>
      </c>
      <c r="B3496" t="s">
        <v>5183</v>
      </c>
      <c r="C3496" s="1" t="s">
        <v>5184</v>
      </c>
      <c r="D3496" s="1" t="s">
        <v>5184</v>
      </c>
      <c r="E3496" t="s">
        <v>5185</v>
      </c>
      <c r="F3496" s="2" t="s">
        <v>1768</v>
      </c>
      <c r="G3496" t="s">
        <v>17</v>
      </c>
      <c r="H3496" s="2" t="s">
        <v>367</v>
      </c>
      <c r="I3496" s="2">
        <v>0</v>
      </c>
    </row>
    <row r="3497" spans="1:10" x14ac:dyDescent="0.25">
      <c r="A3497" s="1" t="s">
        <v>5182</v>
      </c>
      <c r="B3497" t="s">
        <v>5183</v>
      </c>
      <c r="C3497" s="1" t="s">
        <v>541</v>
      </c>
      <c r="D3497" s="1" t="s">
        <v>541</v>
      </c>
      <c r="E3497" t="s">
        <v>542</v>
      </c>
      <c r="F3497" s="2" t="s">
        <v>9</v>
      </c>
      <c r="G3497" t="s">
        <v>10</v>
      </c>
      <c r="H3497" s="2" t="s">
        <v>4203</v>
      </c>
      <c r="I3497" s="2">
        <v>7.23</v>
      </c>
    </row>
    <row r="3498" spans="1:10" x14ac:dyDescent="0.25">
      <c r="A3498" s="1" t="s">
        <v>5186</v>
      </c>
      <c r="B3498" t="s">
        <v>5187</v>
      </c>
      <c r="C3498" s="1" t="s">
        <v>1162</v>
      </c>
      <c r="D3498" s="1" t="s">
        <v>1162</v>
      </c>
      <c r="E3498" t="s">
        <v>1163</v>
      </c>
      <c r="F3498" s="2" t="s">
        <v>291</v>
      </c>
      <c r="G3498" t="s">
        <v>5</v>
      </c>
      <c r="H3498" s="2" t="s">
        <v>478</v>
      </c>
      <c r="I3498" s="2">
        <v>0.53</v>
      </c>
    </row>
    <row r="3499" spans="1:10" x14ac:dyDescent="0.25">
      <c r="A3499" s="1" t="s">
        <v>5186</v>
      </c>
      <c r="B3499" t="s">
        <v>5187</v>
      </c>
      <c r="C3499" s="1" t="s">
        <v>541</v>
      </c>
      <c r="D3499" s="1" t="s">
        <v>541</v>
      </c>
      <c r="E3499" t="s">
        <v>542</v>
      </c>
      <c r="F3499" s="2" t="s">
        <v>9</v>
      </c>
      <c r="G3499" t="s">
        <v>10</v>
      </c>
      <c r="H3499" s="2" t="s">
        <v>5188</v>
      </c>
      <c r="I3499" s="2">
        <v>2.46</v>
      </c>
    </row>
    <row r="3500" spans="1:10" x14ac:dyDescent="0.25">
      <c r="A3500" s="1" t="s">
        <v>2800</v>
      </c>
      <c r="B3500" t="s">
        <v>5189</v>
      </c>
      <c r="C3500" s="1" t="s">
        <v>5190</v>
      </c>
      <c r="D3500" s="1" t="s">
        <v>5190</v>
      </c>
      <c r="E3500" t="s">
        <v>5191</v>
      </c>
      <c r="F3500" s="2" t="s">
        <v>5192</v>
      </c>
      <c r="G3500" t="s">
        <v>121</v>
      </c>
      <c r="H3500" s="2" t="s">
        <v>50</v>
      </c>
      <c r="I3500" s="2">
        <v>84.8</v>
      </c>
      <c r="J3500" t="s">
        <v>55</v>
      </c>
    </row>
    <row r="3501" spans="1:10" x14ac:dyDescent="0.25">
      <c r="A3501" s="1" t="s">
        <v>2800</v>
      </c>
      <c r="B3501" t="s">
        <v>5189</v>
      </c>
      <c r="C3501" s="1" t="s">
        <v>7</v>
      </c>
      <c r="D3501" s="1" t="s">
        <v>7</v>
      </c>
      <c r="E3501" t="s">
        <v>8</v>
      </c>
      <c r="F3501" s="2" t="s">
        <v>9</v>
      </c>
      <c r="G3501" t="s">
        <v>10</v>
      </c>
      <c r="H3501" s="2" t="s">
        <v>5193</v>
      </c>
      <c r="I3501" s="2">
        <v>72.48</v>
      </c>
    </row>
    <row r="3502" spans="1:10" x14ac:dyDescent="0.25">
      <c r="A3502" s="1" t="s">
        <v>5190</v>
      </c>
      <c r="B3502" t="s">
        <v>5194</v>
      </c>
      <c r="C3502" s="1" t="s">
        <v>1249</v>
      </c>
      <c r="D3502" s="1" t="s">
        <v>1249</v>
      </c>
      <c r="E3502" t="s">
        <v>1250</v>
      </c>
      <c r="F3502" s="2" t="s">
        <v>1251</v>
      </c>
      <c r="G3502" t="s">
        <v>1252</v>
      </c>
      <c r="H3502" s="2" t="s">
        <v>1006</v>
      </c>
      <c r="I3502" s="2">
        <v>48</v>
      </c>
    </row>
    <row r="3503" spans="1:10" x14ac:dyDescent="0.25">
      <c r="A3503" s="1" t="s">
        <v>5190</v>
      </c>
      <c r="B3503" t="s">
        <v>5194</v>
      </c>
      <c r="C3503" s="1" t="s">
        <v>7</v>
      </c>
      <c r="D3503" s="1" t="s">
        <v>7</v>
      </c>
      <c r="E3503" t="s">
        <v>8</v>
      </c>
      <c r="F3503" s="2" t="s">
        <v>9</v>
      </c>
      <c r="G3503" t="s">
        <v>10</v>
      </c>
      <c r="H3503" s="2" t="s">
        <v>2214</v>
      </c>
      <c r="I3503" s="2">
        <v>36.799999999999997</v>
      </c>
    </row>
    <row r="3504" spans="1:10" x14ac:dyDescent="0.25">
      <c r="A3504" s="1" t="s">
        <v>2803</v>
      </c>
      <c r="B3504" t="s">
        <v>5195</v>
      </c>
      <c r="C3504" s="1" t="s">
        <v>5196</v>
      </c>
      <c r="D3504" s="1" t="s">
        <v>5196</v>
      </c>
      <c r="E3504" t="s">
        <v>5197</v>
      </c>
      <c r="F3504" s="2" t="s">
        <v>5198</v>
      </c>
      <c r="G3504" t="s">
        <v>121</v>
      </c>
      <c r="H3504" s="2" t="s">
        <v>50</v>
      </c>
      <c r="I3504" s="2">
        <v>73.52</v>
      </c>
      <c r="J3504" t="s">
        <v>55</v>
      </c>
    </row>
    <row r="3505" spans="1:10" x14ac:dyDescent="0.25">
      <c r="A3505" s="1" t="s">
        <v>2803</v>
      </c>
      <c r="B3505" t="s">
        <v>5195</v>
      </c>
      <c r="C3505" s="1" t="s">
        <v>7</v>
      </c>
      <c r="D3505" s="1" t="s">
        <v>7</v>
      </c>
      <c r="E3505" t="s">
        <v>8</v>
      </c>
      <c r="F3505" s="2" t="s">
        <v>9</v>
      </c>
      <c r="G3505" t="s">
        <v>10</v>
      </c>
      <c r="H3505" s="2" t="s">
        <v>5199</v>
      </c>
      <c r="I3505" s="2">
        <v>48.63</v>
      </c>
    </row>
    <row r="3506" spans="1:10" x14ac:dyDescent="0.25">
      <c r="A3506" s="1" t="s">
        <v>5196</v>
      </c>
      <c r="B3506" t="s">
        <v>5200</v>
      </c>
      <c r="C3506" s="1" t="s">
        <v>1249</v>
      </c>
      <c r="D3506" s="1" t="s">
        <v>1249</v>
      </c>
      <c r="E3506" t="s">
        <v>1250</v>
      </c>
      <c r="F3506" s="2" t="s">
        <v>1251</v>
      </c>
      <c r="G3506" t="s">
        <v>1252</v>
      </c>
      <c r="H3506" s="2" t="s">
        <v>5201</v>
      </c>
      <c r="I3506" s="2">
        <v>36.72</v>
      </c>
    </row>
    <row r="3507" spans="1:10" x14ac:dyDescent="0.25">
      <c r="A3507" s="1" t="s">
        <v>5196</v>
      </c>
      <c r="B3507" t="s">
        <v>5200</v>
      </c>
      <c r="C3507" s="1" t="s">
        <v>541</v>
      </c>
      <c r="D3507" s="1" t="s">
        <v>541</v>
      </c>
      <c r="E3507" t="s">
        <v>542</v>
      </c>
      <c r="F3507" s="2" t="s">
        <v>9</v>
      </c>
      <c r="G3507" t="s">
        <v>10</v>
      </c>
      <c r="H3507" s="2" t="s">
        <v>2214</v>
      </c>
      <c r="I3507" s="2">
        <v>36.799999999999997</v>
      </c>
    </row>
    <row r="3508" spans="1:10" x14ac:dyDescent="0.25">
      <c r="A3508" s="1" t="s">
        <v>2806</v>
      </c>
      <c r="B3508" t="s">
        <v>5202</v>
      </c>
      <c r="C3508" s="1" t="s">
        <v>5203</v>
      </c>
      <c r="D3508" s="1" t="s">
        <v>5203</v>
      </c>
      <c r="E3508" t="s">
        <v>5204</v>
      </c>
      <c r="F3508" s="2" t="s">
        <v>5192</v>
      </c>
      <c r="G3508" t="s">
        <v>121</v>
      </c>
      <c r="H3508" s="2" t="s">
        <v>50</v>
      </c>
      <c r="I3508" s="2">
        <v>84.8</v>
      </c>
      <c r="J3508" t="s">
        <v>55</v>
      </c>
    </row>
    <row r="3509" spans="1:10" x14ac:dyDescent="0.25">
      <c r="A3509" s="1" t="s">
        <v>2806</v>
      </c>
      <c r="B3509" t="s">
        <v>5202</v>
      </c>
      <c r="C3509" s="1" t="s">
        <v>7</v>
      </c>
      <c r="D3509" s="1" t="s">
        <v>7</v>
      </c>
      <c r="E3509" t="s">
        <v>8</v>
      </c>
      <c r="F3509" s="2" t="s">
        <v>9</v>
      </c>
      <c r="G3509" t="s">
        <v>10</v>
      </c>
      <c r="H3509" s="2" t="s">
        <v>5205</v>
      </c>
      <c r="I3509" s="2">
        <v>93.31</v>
      </c>
    </row>
    <row r="3510" spans="1:10" x14ac:dyDescent="0.25">
      <c r="A3510" s="1" t="s">
        <v>5203</v>
      </c>
      <c r="B3510" t="s">
        <v>5206</v>
      </c>
      <c r="C3510" s="1" t="s">
        <v>1249</v>
      </c>
      <c r="D3510" s="1" t="s">
        <v>1249</v>
      </c>
      <c r="E3510" t="s">
        <v>1250</v>
      </c>
      <c r="F3510" s="2" t="s">
        <v>1251</v>
      </c>
      <c r="G3510" t="s">
        <v>1252</v>
      </c>
      <c r="H3510" s="2" t="s">
        <v>1006</v>
      </c>
      <c r="I3510" s="2">
        <v>48</v>
      </c>
    </row>
    <row r="3511" spans="1:10" x14ac:dyDescent="0.25">
      <c r="A3511" s="1" t="s">
        <v>5203</v>
      </c>
      <c r="B3511" t="s">
        <v>5206</v>
      </c>
      <c r="C3511" s="1" t="s">
        <v>7</v>
      </c>
      <c r="D3511" s="1" t="s">
        <v>7</v>
      </c>
      <c r="E3511" t="s">
        <v>8</v>
      </c>
      <c r="F3511" s="2" t="s">
        <v>9</v>
      </c>
      <c r="G3511" t="s">
        <v>10</v>
      </c>
      <c r="H3511" s="2" t="s">
        <v>2214</v>
      </c>
      <c r="I3511" s="2">
        <v>36.799999999999997</v>
      </c>
    </row>
    <row r="3512" spans="1:10" x14ac:dyDescent="0.25">
      <c r="A3512" s="1" t="s">
        <v>2809</v>
      </c>
      <c r="B3512" t="s">
        <v>2810</v>
      </c>
      <c r="C3512" s="1" t="s">
        <v>5207</v>
      </c>
      <c r="D3512" s="1" t="s">
        <v>5207</v>
      </c>
      <c r="E3512" t="s">
        <v>5208</v>
      </c>
      <c r="F3512" s="2" t="s">
        <v>5209</v>
      </c>
      <c r="G3512" t="s">
        <v>121</v>
      </c>
      <c r="H3512" s="2" t="s">
        <v>50</v>
      </c>
      <c r="I3512" s="2">
        <v>39.799999999999997</v>
      </c>
      <c r="J3512" t="s">
        <v>55</v>
      </c>
    </row>
    <row r="3513" spans="1:10" x14ac:dyDescent="0.25">
      <c r="A3513" s="1" t="s">
        <v>2809</v>
      </c>
      <c r="B3513" t="s">
        <v>2810</v>
      </c>
      <c r="C3513" s="1" t="s">
        <v>7</v>
      </c>
      <c r="D3513" s="1" t="s">
        <v>7</v>
      </c>
      <c r="E3513" t="s">
        <v>8</v>
      </c>
      <c r="F3513" s="2" t="s">
        <v>9</v>
      </c>
      <c r="G3513" t="s">
        <v>10</v>
      </c>
      <c r="H3513" s="2" t="s">
        <v>5210</v>
      </c>
      <c r="I3513" s="2">
        <v>35.15</v>
      </c>
    </row>
    <row r="3514" spans="1:10" x14ac:dyDescent="0.25">
      <c r="A3514" s="1" t="s">
        <v>5207</v>
      </c>
      <c r="B3514" t="s">
        <v>5208</v>
      </c>
      <c r="C3514" s="1" t="s">
        <v>1249</v>
      </c>
      <c r="D3514" s="1" t="s">
        <v>1249</v>
      </c>
      <c r="E3514" t="s">
        <v>1250</v>
      </c>
      <c r="F3514" s="2" t="s">
        <v>1251</v>
      </c>
      <c r="G3514" t="s">
        <v>1252</v>
      </c>
      <c r="H3514" s="2" t="s">
        <v>4856</v>
      </c>
      <c r="I3514" s="2">
        <v>15.36</v>
      </c>
    </row>
    <row r="3515" spans="1:10" x14ac:dyDescent="0.25">
      <c r="A3515" s="1" t="s">
        <v>5207</v>
      </c>
      <c r="B3515" t="s">
        <v>5208</v>
      </c>
      <c r="C3515" s="1" t="s">
        <v>7</v>
      </c>
      <c r="D3515" s="1" t="s">
        <v>7</v>
      </c>
      <c r="E3515" t="s">
        <v>8</v>
      </c>
      <c r="F3515" s="2" t="s">
        <v>9</v>
      </c>
      <c r="G3515" t="s">
        <v>10</v>
      </c>
      <c r="H3515" s="2" t="s">
        <v>5211</v>
      </c>
      <c r="I3515" s="2">
        <v>24.44</v>
      </c>
    </row>
    <row r="3516" spans="1:10" x14ac:dyDescent="0.25">
      <c r="A3516" s="1" t="s">
        <v>2812</v>
      </c>
      <c r="B3516" t="s">
        <v>5212</v>
      </c>
      <c r="C3516" s="1" t="s">
        <v>2509</v>
      </c>
      <c r="D3516" s="1" t="s">
        <v>2509</v>
      </c>
      <c r="E3516" t="s">
        <v>2510</v>
      </c>
      <c r="F3516" s="2" t="s">
        <v>216</v>
      </c>
      <c r="G3516" t="s">
        <v>5</v>
      </c>
      <c r="H3516" s="2" t="s">
        <v>4640</v>
      </c>
      <c r="I3516" s="2">
        <v>1</v>
      </c>
    </row>
    <row r="3517" spans="1:10" x14ac:dyDescent="0.25">
      <c r="A3517" s="1" t="s">
        <v>2812</v>
      </c>
      <c r="B3517" t="s">
        <v>5212</v>
      </c>
      <c r="C3517" s="1" t="s">
        <v>541</v>
      </c>
      <c r="D3517" s="1" t="s">
        <v>541</v>
      </c>
      <c r="E3517" t="s">
        <v>542</v>
      </c>
      <c r="F3517" s="2" t="s">
        <v>9</v>
      </c>
      <c r="G3517" t="s">
        <v>10</v>
      </c>
      <c r="H3517" s="2" t="s">
        <v>5213</v>
      </c>
      <c r="I3517" s="2">
        <v>5.78</v>
      </c>
    </row>
    <row r="3518" spans="1:10" x14ac:dyDescent="0.25">
      <c r="A3518" s="1" t="s">
        <v>5214</v>
      </c>
      <c r="B3518" t="s">
        <v>5215</v>
      </c>
      <c r="C3518" s="1" t="s">
        <v>5216</v>
      </c>
      <c r="D3518" s="1" t="s">
        <v>5216</v>
      </c>
      <c r="E3518" t="s">
        <v>5217</v>
      </c>
      <c r="F3518" s="2" t="s">
        <v>1394</v>
      </c>
      <c r="G3518" t="s">
        <v>49</v>
      </c>
      <c r="H3518" s="2" t="s">
        <v>50</v>
      </c>
      <c r="I3518" s="2">
        <v>4</v>
      </c>
    </row>
    <row r="3519" spans="1:10" x14ac:dyDescent="0.25">
      <c r="A3519" s="1" t="s">
        <v>5214</v>
      </c>
      <c r="B3519" t="s">
        <v>5215</v>
      </c>
      <c r="C3519" s="1" t="s">
        <v>2762</v>
      </c>
      <c r="D3519" s="1" t="s">
        <v>2762</v>
      </c>
      <c r="E3519" t="s">
        <v>2763</v>
      </c>
      <c r="F3519" s="2" t="s">
        <v>311</v>
      </c>
      <c r="G3519" t="s">
        <v>5</v>
      </c>
      <c r="H3519" s="2" t="s">
        <v>2764</v>
      </c>
      <c r="I3519" s="2">
        <v>18.850000000000001</v>
      </c>
    </row>
    <row r="3520" spans="1:10" x14ac:dyDescent="0.25">
      <c r="A3520" s="1" t="s">
        <v>5214</v>
      </c>
      <c r="B3520" t="s">
        <v>5215</v>
      </c>
      <c r="C3520" s="1" t="s">
        <v>3452</v>
      </c>
      <c r="D3520" s="1" t="s">
        <v>3452</v>
      </c>
      <c r="E3520" t="s">
        <v>3453</v>
      </c>
      <c r="F3520" s="2" t="s">
        <v>1588</v>
      </c>
      <c r="G3520" t="s">
        <v>39</v>
      </c>
      <c r="H3520" s="2" t="s">
        <v>478</v>
      </c>
      <c r="I3520" s="2">
        <v>1.56</v>
      </c>
    </row>
    <row r="3521" spans="1:10" x14ac:dyDescent="0.25">
      <c r="A3521" s="1" t="s">
        <v>5214</v>
      </c>
      <c r="B3521" t="s">
        <v>5215</v>
      </c>
      <c r="C3521" s="1" t="s">
        <v>1974</v>
      </c>
      <c r="D3521" s="1" t="s">
        <v>1974</v>
      </c>
      <c r="E3521" t="s">
        <v>1975</v>
      </c>
      <c r="F3521" s="2" t="s">
        <v>879</v>
      </c>
      <c r="G3521" t="s">
        <v>121</v>
      </c>
      <c r="H3521" s="2" t="s">
        <v>367</v>
      </c>
      <c r="I3521" s="2">
        <v>0.7</v>
      </c>
    </row>
    <row r="3522" spans="1:10" x14ac:dyDescent="0.25">
      <c r="A3522" s="1" t="s">
        <v>5214</v>
      </c>
      <c r="B3522" t="s">
        <v>5215</v>
      </c>
      <c r="C3522" s="1" t="s">
        <v>41</v>
      </c>
      <c r="D3522" s="1" t="s">
        <v>41</v>
      </c>
      <c r="E3522" t="s">
        <v>42</v>
      </c>
      <c r="F3522" s="2" t="s">
        <v>513</v>
      </c>
      <c r="G3522" t="s">
        <v>5</v>
      </c>
      <c r="H3522" s="2" t="s">
        <v>615</v>
      </c>
      <c r="I3522" s="2">
        <v>0.02</v>
      </c>
    </row>
    <row r="3523" spans="1:10" x14ac:dyDescent="0.25">
      <c r="A3523" s="1" t="s">
        <v>5214</v>
      </c>
      <c r="B3523" t="s">
        <v>5215</v>
      </c>
      <c r="C3523" s="1" t="s">
        <v>2815</v>
      </c>
      <c r="D3523" s="1" t="s">
        <v>2815</v>
      </c>
      <c r="E3523" t="s">
        <v>2816</v>
      </c>
      <c r="F3523" s="2" t="s">
        <v>2817</v>
      </c>
      <c r="G3523" t="s">
        <v>121</v>
      </c>
      <c r="H3523" s="2" t="s">
        <v>50</v>
      </c>
      <c r="I3523" s="2">
        <v>39.659999999999997</v>
      </c>
      <c r="J3523" t="s">
        <v>55</v>
      </c>
    </row>
    <row r="3524" spans="1:10" x14ac:dyDescent="0.25">
      <c r="A3524" s="1" t="s">
        <v>5214</v>
      </c>
      <c r="B3524" t="s">
        <v>5215</v>
      </c>
      <c r="C3524" s="1" t="s">
        <v>2818</v>
      </c>
      <c r="D3524" s="1" t="s">
        <v>2818</v>
      </c>
      <c r="E3524" t="s">
        <v>2819</v>
      </c>
      <c r="F3524" s="2" t="s">
        <v>2820</v>
      </c>
      <c r="G3524" t="s">
        <v>121</v>
      </c>
      <c r="H3524" s="2" t="s">
        <v>50</v>
      </c>
      <c r="I3524" s="2">
        <v>44.95</v>
      </c>
      <c r="J3524" t="s">
        <v>55</v>
      </c>
    </row>
    <row r="3525" spans="1:10" x14ac:dyDescent="0.25">
      <c r="A3525" s="1" t="s">
        <v>5214</v>
      </c>
      <c r="B3525" t="s">
        <v>5215</v>
      </c>
      <c r="C3525" s="1" t="s">
        <v>684</v>
      </c>
      <c r="D3525" s="1" t="s">
        <v>684</v>
      </c>
      <c r="E3525" t="s">
        <v>685</v>
      </c>
      <c r="F3525" s="2" t="s">
        <v>686</v>
      </c>
      <c r="G3525" t="s">
        <v>49</v>
      </c>
      <c r="H3525" s="2" t="s">
        <v>5218</v>
      </c>
      <c r="I3525" s="2">
        <v>4.3499999999999996</v>
      </c>
    </row>
    <row r="3526" spans="1:10" x14ac:dyDescent="0.25">
      <c r="A3526" s="1" t="s">
        <v>5214</v>
      </c>
      <c r="B3526" t="s">
        <v>5215</v>
      </c>
      <c r="C3526" s="1" t="s">
        <v>541</v>
      </c>
      <c r="D3526" s="1" t="s">
        <v>541</v>
      </c>
      <c r="E3526" t="s">
        <v>542</v>
      </c>
      <c r="F3526" s="2" t="s">
        <v>9</v>
      </c>
      <c r="G3526" t="s">
        <v>10</v>
      </c>
      <c r="H3526" s="2" t="s">
        <v>4463</v>
      </c>
      <c r="I3526" s="2">
        <v>26.55</v>
      </c>
    </row>
    <row r="3527" spans="1:10" x14ac:dyDescent="0.25">
      <c r="A3527" s="1" t="s">
        <v>2815</v>
      </c>
      <c r="B3527" t="s">
        <v>5219</v>
      </c>
      <c r="C3527" s="1" t="s">
        <v>1249</v>
      </c>
      <c r="D3527" s="1" t="s">
        <v>1249</v>
      </c>
      <c r="E3527" t="s">
        <v>1250</v>
      </c>
      <c r="F3527" s="2" t="s">
        <v>1251</v>
      </c>
      <c r="G3527" t="s">
        <v>1252</v>
      </c>
      <c r="H3527" s="2" t="s">
        <v>5220</v>
      </c>
      <c r="I3527" s="2">
        <v>9.9600000000000009</v>
      </c>
    </row>
    <row r="3528" spans="1:10" x14ac:dyDescent="0.25">
      <c r="A3528" s="1" t="s">
        <v>2815</v>
      </c>
      <c r="B3528" t="s">
        <v>5219</v>
      </c>
      <c r="C3528" s="1" t="s">
        <v>541</v>
      </c>
      <c r="D3528" s="1" t="s">
        <v>541</v>
      </c>
      <c r="E3528" t="s">
        <v>542</v>
      </c>
      <c r="F3528" s="2" t="s">
        <v>9</v>
      </c>
      <c r="G3528" t="s">
        <v>10</v>
      </c>
      <c r="H3528" s="2" t="s">
        <v>5221</v>
      </c>
      <c r="I3528" s="2">
        <v>12.68</v>
      </c>
    </row>
    <row r="3529" spans="1:10" x14ac:dyDescent="0.25">
      <c r="A3529" s="1" t="s">
        <v>2815</v>
      </c>
      <c r="B3529" t="s">
        <v>5219</v>
      </c>
      <c r="C3529" s="1" t="s">
        <v>7</v>
      </c>
      <c r="D3529" s="1" t="s">
        <v>7</v>
      </c>
      <c r="E3529" t="s">
        <v>8</v>
      </c>
      <c r="F3529" s="2" t="s">
        <v>9</v>
      </c>
      <c r="G3529" t="s">
        <v>10</v>
      </c>
      <c r="H3529" s="2" t="s">
        <v>5222</v>
      </c>
      <c r="I3529" s="2">
        <v>17.02</v>
      </c>
    </row>
    <row r="3530" spans="1:10" x14ac:dyDescent="0.25">
      <c r="A3530" s="1" t="s">
        <v>2818</v>
      </c>
      <c r="B3530" t="s">
        <v>5223</v>
      </c>
      <c r="C3530" s="1" t="s">
        <v>1249</v>
      </c>
      <c r="D3530" s="1" t="s">
        <v>1249</v>
      </c>
      <c r="E3530" t="s">
        <v>1250</v>
      </c>
      <c r="F3530" s="2" t="s">
        <v>1251</v>
      </c>
      <c r="G3530" t="s">
        <v>1252</v>
      </c>
      <c r="H3530" s="2" t="s">
        <v>5224</v>
      </c>
      <c r="I3530" s="2">
        <v>9</v>
      </c>
    </row>
    <row r="3531" spans="1:10" x14ac:dyDescent="0.25">
      <c r="A3531" s="1" t="s">
        <v>2818</v>
      </c>
      <c r="B3531" t="s">
        <v>5223</v>
      </c>
      <c r="C3531" s="1" t="s">
        <v>541</v>
      </c>
      <c r="D3531" s="1" t="s">
        <v>541</v>
      </c>
      <c r="E3531" t="s">
        <v>542</v>
      </c>
      <c r="F3531" s="2" t="s">
        <v>9</v>
      </c>
      <c r="G3531" t="s">
        <v>10</v>
      </c>
      <c r="H3531" s="2" t="s">
        <v>594</v>
      </c>
      <c r="I3531" s="2">
        <v>11.5</v>
      </c>
    </row>
    <row r="3532" spans="1:10" x14ac:dyDescent="0.25">
      <c r="A3532" s="1" t="s">
        <v>2818</v>
      </c>
      <c r="B3532" t="s">
        <v>5223</v>
      </c>
      <c r="C3532" s="1" t="s">
        <v>7</v>
      </c>
      <c r="D3532" s="1" t="s">
        <v>7</v>
      </c>
      <c r="E3532" t="s">
        <v>8</v>
      </c>
      <c r="F3532" s="2" t="s">
        <v>9</v>
      </c>
      <c r="G3532" t="s">
        <v>10</v>
      </c>
      <c r="H3532" s="2" t="s">
        <v>5225</v>
      </c>
      <c r="I3532" s="2">
        <v>24.45</v>
      </c>
    </row>
    <row r="3533" spans="1:10" x14ac:dyDescent="0.25">
      <c r="A3533" s="1" t="s">
        <v>5226</v>
      </c>
      <c r="B3533" t="s">
        <v>5227</v>
      </c>
      <c r="C3533" s="1" t="s">
        <v>1249</v>
      </c>
      <c r="D3533" s="1" t="s">
        <v>1249</v>
      </c>
      <c r="E3533" t="s">
        <v>1250</v>
      </c>
      <c r="F3533" s="2" t="s">
        <v>1251</v>
      </c>
      <c r="G3533" t="s">
        <v>1252</v>
      </c>
      <c r="H3533" s="2" t="s">
        <v>5228</v>
      </c>
      <c r="I3533" s="2">
        <v>63</v>
      </c>
    </row>
    <row r="3534" spans="1:10" x14ac:dyDescent="0.25">
      <c r="A3534" s="1" t="s">
        <v>5226</v>
      </c>
      <c r="B3534" t="s">
        <v>5227</v>
      </c>
      <c r="C3534" s="1" t="s">
        <v>7</v>
      </c>
      <c r="D3534" s="1" t="s">
        <v>7</v>
      </c>
      <c r="E3534" t="s">
        <v>8</v>
      </c>
      <c r="F3534" s="2" t="s">
        <v>9</v>
      </c>
      <c r="G3534" t="s">
        <v>10</v>
      </c>
      <c r="H3534" s="2" t="s">
        <v>1330</v>
      </c>
      <c r="I3534" s="2">
        <v>98.9</v>
      </c>
    </row>
    <row r="3535" spans="1:10" x14ac:dyDescent="0.25">
      <c r="A3535" s="1" t="s">
        <v>5226</v>
      </c>
      <c r="B3535" t="s">
        <v>5227</v>
      </c>
      <c r="C3535" s="1" t="s">
        <v>7</v>
      </c>
      <c r="D3535" s="1" t="s">
        <v>7</v>
      </c>
      <c r="E3535" t="s">
        <v>8</v>
      </c>
      <c r="F3535" s="2" t="s">
        <v>9</v>
      </c>
      <c r="G3535" t="s">
        <v>10</v>
      </c>
      <c r="H3535" s="2" t="s">
        <v>50</v>
      </c>
      <c r="I3535" s="2">
        <v>46</v>
      </c>
    </row>
    <row r="3536" spans="1:10" x14ac:dyDescent="0.25">
      <c r="A3536" s="1" t="s">
        <v>5229</v>
      </c>
      <c r="B3536" t="s">
        <v>5230</v>
      </c>
      <c r="C3536" s="1" t="s">
        <v>1249</v>
      </c>
      <c r="D3536" s="1" t="s">
        <v>1249</v>
      </c>
      <c r="E3536" t="s">
        <v>1250</v>
      </c>
      <c r="F3536" s="2" t="s">
        <v>1251</v>
      </c>
      <c r="G3536" t="s">
        <v>1252</v>
      </c>
      <c r="H3536" s="2" t="s">
        <v>5231</v>
      </c>
      <c r="I3536" s="2">
        <v>57</v>
      </c>
    </row>
    <row r="3537" spans="1:9" x14ac:dyDescent="0.25">
      <c r="A3537" s="1" t="s">
        <v>5229</v>
      </c>
      <c r="B3537" t="s">
        <v>5230</v>
      </c>
      <c r="C3537" s="1" t="s">
        <v>7</v>
      </c>
      <c r="D3537" s="1" t="s">
        <v>7</v>
      </c>
      <c r="E3537" t="s">
        <v>8</v>
      </c>
      <c r="F3537" s="2" t="s">
        <v>9</v>
      </c>
      <c r="G3537" t="s">
        <v>10</v>
      </c>
      <c r="H3537" s="2" t="s">
        <v>50</v>
      </c>
      <c r="I3537" s="2">
        <v>46</v>
      </c>
    </row>
    <row r="3538" spans="1:9" x14ac:dyDescent="0.25">
      <c r="A3538" s="1" t="s">
        <v>5229</v>
      </c>
      <c r="B3538" t="s">
        <v>5230</v>
      </c>
      <c r="C3538" s="1" t="s">
        <v>7</v>
      </c>
      <c r="D3538" s="1" t="s">
        <v>7</v>
      </c>
      <c r="E3538" t="s">
        <v>8</v>
      </c>
      <c r="F3538" s="2" t="s">
        <v>9</v>
      </c>
      <c r="G3538" t="s">
        <v>10</v>
      </c>
      <c r="H3538" s="2" t="s">
        <v>5232</v>
      </c>
      <c r="I3538" s="2">
        <v>60.39</v>
      </c>
    </row>
    <row r="3539" spans="1:9" x14ac:dyDescent="0.25">
      <c r="A3539" s="1" t="s">
        <v>5233</v>
      </c>
      <c r="B3539" t="s">
        <v>5234</v>
      </c>
      <c r="C3539" s="1" t="s">
        <v>1249</v>
      </c>
      <c r="D3539" s="1" t="s">
        <v>1249</v>
      </c>
      <c r="E3539" t="s">
        <v>1250</v>
      </c>
      <c r="F3539" s="2" t="s">
        <v>1251</v>
      </c>
      <c r="G3539" t="s">
        <v>1252</v>
      </c>
      <c r="H3539" s="2" t="s">
        <v>5231</v>
      </c>
      <c r="I3539" s="2">
        <v>57</v>
      </c>
    </row>
    <row r="3540" spans="1:9" x14ac:dyDescent="0.25">
      <c r="A3540" s="1" t="s">
        <v>5233</v>
      </c>
      <c r="B3540" t="s">
        <v>5234</v>
      </c>
      <c r="C3540" s="1" t="s">
        <v>7</v>
      </c>
      <c r="D3540" s="1" t="s">
        <v>7</v>
      </c>
      <c r="E3540" t="s">
        <v>8</v>
      </c>
      <c r="F3540" s="2" t="s">
        <v>9</v>
      </c>
      <c r="G3540" t="s">
        <v>10</v>
      </c>
      <c r="H3540" s="2" t="s">
        <v>5235</v>
      </c>
      <c r="I3540" s="2">
        <v>121.37</v>
      </c>
    </row>
    <row r="3541" spans="1:9" x14ac:dyDescent="0.25">
      <c r="A3541" s="1" t="s">
        <v>5233</v>
      </c>
      <c r="B3541" t="s">
        <v>5234</v>
      </c>
      <c r="C3541" s="1" t="s">
        <v>7</v>
      </c>
      <c r="D3541" s="1" t="s">
        <v>7</v>
      </c>
      <c r="E3541" t="s">
        <v>8</v>
      </c>
      <c r="F3541" s="2" t="s">
        <v>9</v>
      </c>
      <c r="G3541" t="s">
        <v>10</v>
      </c>
      <c r="H3541" s="2" t="s">
        <v>50</v>
      </c>
      <c r="I3541" s="2">
        <v>46</v>
      </c>
    </row>
    <row r="3542" spans="1:9" x14ac:dyDescent="0.25">
      <c r="A3542" s="1" t="s">
        <v>5236</v>
      </c>
      <c r="B3542" t="s">
        <v>5237</v>
      </c>
      <c r="C3542" s="1" t="s">
        <v>1249</v>
      </c>
      <c r="D3542" s="1" t="s">
        <v>1249</v>
      </c>
      <c r="E3542" t="s">
        <v>1250</v>
      </c>
      <c r="F3542" s="2" t="s">
        <v>1251</v>
      </c>
      <c r="G3542" t="s">
        <v>1252</v>
      </c>
      <c r="H3542" s="2" t="s">
        <v>5238</v>
      </c>
      <c r="I3542" s="2">
        <v>6.96</v>
      </c>
    </row>
    <row r="3543" spans="1:9" x14ac:dyDescent="0.25">
      <c r="A3543" s="1" t="s">
        <v>5236</v>
      </c>
      <c r="B3543" t="s">
        <v>5237</v>
      </c>
      <c r="C3543" s="1" t="s">
        <v>7</v>
      </c>
      <c r="D3543" s="1" t="s">
        <v>7</v>
      </c>
      <c r="E3543" t="s">
        <v>8</v>
      </c>
      <c r="F3543" s="2" t="s">
        <v>9</v>
      </c>
      <c r="G3543" t="s">
        <v>10</v>
      </c>
      <c r="H3543" s="2" t="s">
        <v>4839</v>
      </c>
      <c r="I3543" s="2">
        <v>8.08</v>
      </c>
    </row>
    <row r="3544" spans="1:9" x14ac:dyDescent="0.25">
      <c r="A3544" s="1" t="s">
        <v>2855</v>
      </c>
      <c r="B3544" t="s">
        <v>2856</v>
      </c>
      <c r="C3544" s="1" t="s">
        <v>1447</v>
      </c>
      <c r="D3544" s="1" t="s">
        <v>1447</v>
      </c>
      <c r="E3544" t="s">
        <v>1448</v>
      </c>
      <c r="F3544" s="2" t="s">
        <v>779</v>
      </c>
      <c r="G3544" t="s">
        <v>5</v>
      </c>
      <c r="H3544" s="2" t="s">
        <v>5239</v>
      </c>
      <c r="I3544" s="2">
        <v>1.65</v>
      </c>
    </row>
    <row r="3545" spans="1:9" x14ac:dyDescent="0.25">
      <c r="A3545" s="1" t="s">
        <v>2855</v>
      </c>
      <c r="B3545" t="s">
        <v>2856</v>
      </c>
      <c r="C3545" s="1" t="s">
        <v>541</v>
      </c>
      <c r="D3545" s="1" t="s">
        <v>541</v>
      </c>
      <c r="E3545" t="s">
        <v>542</v>
      </c>
      <c r="F3545" s="2" t="s">
        <v>9</v>
      </c>
      <c r="G3545" t="s">
        <v>10</v>
      </c>
      <c r="H3545" s="2" t="s">
        <v>5240</v>
      </c>
      <c r="I3545" s="2">
        <v>4.29</v>
      </c>
    </row>
    <row r="3546" spans="1:9" x14ac:dyDescent="0.25">
      <c r="A3546" s="1" t="s">
        <v>5241</v>
      </c>
      <c r="B3546" t="s">
        <v>5242</v>
      </c>
      <c r="C3546" s="1" t="s">
        <v>1249</v>
      </c>
      <c r="D3546" s="1" t="s">
        <v>1249</v>
      </c>
      <c r="E3546" t="s">
        <v>1250</v>
      </c>
      <c r="F3546" s="2" t="s">
        <v>1251</v>
      </c>
      <c r="G3546" t="s">
        <v>1252</v>
      </c>
      <c r="H3546" s="2" t="s">
        <v>5243</v>
      </c>
      <c r="I3546" s="2">
        <v>113.04</v>
      </c>
    </row>
    <row r="3547" spans="1:9" x14ac:dyDescent="0.25">
      <c r="A3547" s="1" t="s">
        <v>5241</v>
      </c>
      <c r="B3547" t="s">
        <v>5242</v>
      </c>
      <c r="C3547" s="1" t="s">
        <v>7</v>
      </c>
      <c r="D3547" s="1" t="s">
        <v>7</v>
      </c>
      <c r="E3547" t="s">
        <v>8</v>
      </c>
      <c r="F3547" s="2" t="s">
        <v>9</v>
      </c>
      <c r="G3547" t="s">
        <v>10</v>
      </c>
      <c r="H3547" s="2" t="s">
        <v>5244</v>
      </c>
      <c r="I3547" s="2">
        <v>136.71</v>
      </c>
    </row>
    <row r="3548" spans="1:9" x14ac:dyDescent="0.25">
      <c r="A3548" s="1" t="s">
        <v>5241</v>
      </c>
      <c r="B3548" t="s">
        <v>5242</v>
      </c>
      <c r="C3548" s="1" t="s">
        <v>7</v>
      </c>
      <c r="D3548" s="1" t="s">
        <v>7</v>
      </c>
      <c r="E3548" t="s">
        <v>8</v>
      </c>
      <c r="F3548" s="2" t="s">
        <v>9</v>
      </c>
      <c r="G3548" t="s">
        <v>10</v>
      </c>
      <c r="H3548" s="2" t="s">
        <v>92</v>
      </c>
      <c r="I3548" s="2">
        <v>92</v>
      </c>
    </row>
    <row r="3549" spans="1:9" x14ac:dyDescent="0.25">
      <c r="A3549" s="1" t="s">
        <v>5245</v>
      </c>
      <c r="B3549" t="s">
        <v>5246</v>
      </c>
      <c r="C3549" s="1" t="s">
        <v>1249</v>
      </c>
      <c r="D3549" s="1" t="s">
        <v>1249</v>
      </c>
      <c r="E3549" t="s">
        <v>1250</v>
      </c>
      <c r="F3549" s="2" t="s">
        <v>1251</v>
      </c>
      <c r="G3549" t="s">
        <v>1252</v>
      </c>
      <c r="H3549" s="2" t="s">
        <v>5247</v>
      </c>
      <c r="I3549" s="2">
        <v>109.56</v>
      </c>
    </row>
    <row r="3550" spans="1:9" x14ac:dyDescent="0.25">
      <c r="A3550" s="1" t="s">
        <v>5245</v>
      </c>
      <c r="B3550" t="s">
        <v>5246</v>
      </c>
      <c r="C3550" s="1" t="s">
        <v>7</v>
      </c>
      <c r="D3550" s="1" t="s">
        <v>7</v>
      </c>
      <c r="E3550" t="s">
        <v>8</v>
      </c>
      <c r="F3550" s="2" t="s">
        <v>9</v>
      </c>
      <c r="G3550" t="s">
        <v>10</v>
      </c>
      <c r="H3550" s="2" t="s">
        <v>5248</v>
      </c>
      <c r="I3550" s="2">
        <v>128.08000000000001</v>
      </c>
    </row>
    <row r="3551" spans="1:9" x14ac:dyDescent="0.25">
      <c r="A3551" s="1" t="s">
        <v>5245</v>
      </c>
      <c r="B3551" t="s">
        <v>5246</v>
      </c>
      <c r="C3551" s="1" t="s">
        <v>7</v>
      </c>
      <c r="D3551" s="1" t="s">
        <v>7</v>
      </c>
      <c r="E3551" t="s">
        <v>8</v>
      </c>
      <c r="F3551" s="2" t="s">
        <v>9</v>
      </c>
      <c r="G3551" t="s">
        <v>10</v>
      </c>
      <c r="H3551" s="2" t="s">
        <v>92</v>
      </c>
      <c r="I3551" s="2">
        <v>92</v>
      </c>
    </row>
    <row r="3552" spans="1:9" x14ac:dyDescent="0.25">
      <c r="A3552" s="1" t="s">
        <v>5249</v>
      </c>
      <c r="B3552" t="s">
        <v>5250</v>
      </c>
      <c r="C3552" s="1" t="s">
        <v>1249</v>
      </c>
      <c r="D3552" s="1" t="s">
        <v>1249</v>
      </c>
      <c r="E3552" t="s">
        <v>1250</v>
      </c>
      <c r="F3552" s="2" t="s">
        <v>1251</v>
      </c>
      <c r="G3552" t="s">
        <v>1252</v>
      </c>
      <c r="H3552" s="2" t="s">
        <v>5247</v>
      </c>
      <c r="I3552" s="2">
        <v>109.56</v>
      </c>
    </row>
    <row r="3553" spans="1:10" x14ac:dyDescent="0.25">
      <c r="A3553" s="1" t="s">
        <v>5249</v>
      </c>
      <c r="B3553" t="s">
        <v>5250</v>
      </c>
      <c r="C3553" s="1" t="s">
        <v>7</v>
      </c>
      <c r="D3553" s="1" t="s">
        <v>7</v>
      </c>
      <c r="E3553" t="s">
        <v>8</v>
      </c>
      <c r="F3553" s="2" t="s">
        <v>9</v>
      </c>
      <c r="G3553" t="s">
        <v>10</v>
      </c>
      <c r="H3553" s="2" t="s">
        <v>268</v>
      </c>
      <c r="I3553" s="2">
        <v>138</v>
      </c>
    </row>
    <row r="3554" spans="1:10" x14ac:dyDescent="0.25">
      <c r="A3554" s="1" t="s">
        <v>5249</v>
      </c>
      <c r="B3554" t="s">
        <v>5250</v>
      </c>
      <c r="C3554" s="1" t="s">
        <v>7</v>
      </c>
      <c r="D3554" s="1" t="s">
        <v>7</v>
      </c>
      <c r="E3554" t="s">
        <v>8</v>
      </c>
      <c r="F3554" s="2" t="s">
        <v>9</v>
      </c>
      <c r="G3554" t="s">
        <v>10</v>
      </c>
      <c r="H3554" s="2" t="s">
        <v>92</v>
      </c>
      <c r="I3554" s="2">
        <v>92</v>
      </c>
    </row>
    <row r="3555" spans="1:10" x14ac:dyDescent="0.25">
      <c r="A3555" s="1" t="s">
        <v>5251</v>
      </c>
      <c r="B3555" t="s">
        <v>5252</v>
      </c>
      <c r="C3555" s="1" t="s">
        <v>1249</v>
      </c>
      <c r="D3555" s="1" t="s">
        <v>1249</v>
      </c>
      <c r="E3555" t="s">
        <v>1250</v>
      </c>
      <c r="F3555" s="2" t="s">
        <v>1251</v>
      </c>
      <c r="G3555" t="s">
        <v>1252</v>
      </c>
      <c r="H3555" s="2" t="s">
        <v>548</v>
      </c>
      <c r="I3555" s="2">
        <v>22.2</v>
      </c>
    </row>
    <row r="3556" spans="1:10" x14ac:dyDescent="0.25">
      <c r="A3556" s="1" t="s">
        <v>5251</v>
      </c>
      <c r="B3556" t="s">
        <v>5252</v>
      </c>
      <c r="C3556" s="1" t="s">
        <v>7</v>
      </c>
      <c r="D3556" s="1" t="s">
        <v>7</v>
      </c>
      <c r="E3556" t="s">
        <v>8</v>
      </c>
      <c r="F3556" s="2" t="s">
        <v>9</v>
      </c>
      <c r="G3556" t="s">
        <v>10</v>
      </c>
      <c r="H3556" s="2" t="s">
        <v>5253</v>
      </c>
      <c r="I3556" s="2">
        <v>23.49</v>
      </c>
    </row>
    <row r="3557" spans="1:10" x14ac:dyDescent="0.25">
      <c r="A3557" s="1" t="s">
        <v>5251</v>
      </c>
      <c r="B3557" t="s">
        <v>5252</v>
      </c>
      <c r="C3557" s="1" t="s">
        <v>7</v>
      </c>
      <c r="D3557" s="1" t="s">
        <v>7</v>
      </c>
      <c r="E3557" t="s">
        <v>8</v>
      </c>
      <c r="F3557" s="2" t="s">
        <v>9</v>
      </c>
      <c r="G3557" t="s">
        <v>10</v>
      </c>
      <c r="H3557" s="2" t="s">
        <v>860</v>
      </c>
      <c r="I3557" s="2">
        <v>23</v>
      </c>
    </row>
    <row r="3558" spans="1:10" x14ac:dyDescent="0.25">
      <c r="A3558" s="1" t="s">
        <v>5254</v>
      </c>
      <c r="B3558" t="s">
        <v>5255</v>
      </c>
      <c r="C3558" s="1" t="s">
        <v>1249</v>
      </c>
      <c r="D3558" s="1" t="s">
        <v>1249</v>
      </c>
      <c r="E3558" t="s">
        <v>1250</v>
      </c>
      <c r="F3558" s="2" t="s">
        <v>1251</v>
      </c>
      <c r="G3558" t="s">
        <v>1252</v>
      </c>
      <c r="H3558" s="2" t="s">
        <v>2213</v>
      </c>
      <c r="I3558" s="2">
        <v>9.6</v>
      </c>
    </row>
    <row r="3559" spans="1:10" x14ac:dyDescent="0.25">
      <c r="A3559" s="1" t="s">
        <v>5254</v>
      </c>
      <c r="B3559" t="s">
        <v>5255</v>
      </c>
      <c r="C3559" s="1" t="s">
        <v>7</v>
      </c>
      <c r="D3559" s="1" t="s">
        <v>7</v>
      </c>
      <c r="E3559" t="s">
        <v>8</v>
      </c>
      <c r="F3559" s="2" t="s">
        <v>9</v>
      </c>
      <c r="G3559" t="s">
        <v>10</v>
      </c>
      <c r="H3559" s="2" t="s">
        <v>5256</v>
      </c>
      <c r="I3559" s="2">
        <v>15.07</v>
      </c>
    </row>
    <row r="3560" spans="1:10" x14ac:dyDescent="0.25">
      <c r="A3560" s="1" t="s">
        <v>5254</v>
      </c>
      <c r="B3560" t="s">
        <v>5255</v>
      </c>
      <c r="C3560" s="1" t="s">
        <v>7</v>
      </c>
      <c r="D3560" s="1" t="s">
        <v>7</v>
      </c>
      <c r="E3560" t="s">
        <v>8</v>
      </c>
      <c r="F3560" s="2" t="s">
        <v>9</v>
      </c>
      <c r="G3560" t="s">
        <v>10</v>
      </c>
      <c r="H3560" s="2" t="s">
        <v>1254</v>
      </c>
      <c r="I3560" s="2">
        <v>16.100000000000001</v>
      </c>
    </row>
    <row r="3561" spans="1:10" x14ac:dyDescent="0.25">
      <c r="A3561" s="1" t="s">
        <v>5257</v>
      </c>
      <c r="B3561" t="s">
        <v>5258</v>
      </c>
      <c r="C3561" s="1" t="s">
        <v>1249</v>
      </c>
      <c r="D3561" s="1" t="s">
        <v>1249</v>
      </c>
      <c r="E3561" t="s">
        <v>1250</v>
      </c>
      <c r="F3561" s="2" t="s">
        <v>1251</v>
      </c>
      <c r="G3561" t="s">
        <v>1252</v>
      </c>
      <c r="H3561" s="2" t="s">
        <v>4856</v>
      </c>
      <c r="I3561" s="2">
        <v>15.36</v>
      </c>
    </row>
    <row r="3562" spans="1:10" x14ac:dyDescent="0.25">
      <c r="A3562" s="1" t="s">
        <v>5257</v>
      </c>
      <c r="B3562" t="s">
        <v>5258</v>
      </c>
      <c r="C3562" s="1" t="s">
        <v>7</v>
      </c>
      <c r="D3562" s="1" t="s">
        <v>7</v>
      </c>
      <c r="E3562" t="s">
        <v>8</v>
      </c>
      <c r="F3562" s="2" t="s">
        <v>9</v>
      </c>
      <c r="G3562" t="s">
        <v>10</v>
      </c>
      <c r="H3562" s="2" t="s">
        <v>5259</v>
      </c>
      <c r="I3562" s="2">
        <v>16.32</v>
      </c>
    </row>
    <row r="3563" spans="1:10" x14ac:dyDescent="0.25">
      <c r="A3563" s="1" t="s">
        <v>5260</v>
      </c>
      <c r="B3563" t="s">
        <v>5261</v>
      </c>
      <c r="C3563" s="1" t="s">
        <v>5262</v>
      </c>
      <c r="D3563" s="1" t="s">
        <v>5262</v>
      </c>
      <c r="E3563" t="s">
        <v>5263</v>
      </c>
      <c r="F3563" s="2" t="s">
        <v>5264</v>
      </c>
      <c r="G3563" t="s">
        <v>121</v>
      </c>
      <c r="H3563" s="2" t="s">
        <v>5265</v>
      </c>
      <c r="I3563" s="2">
        <v>3.5</v>
      </c>
    </row>
    <row r="3564" spans="1:10" x14ac:dyDescent="0.25">
      <c r="A3564" s="1" t="s">
        <v>5260</v>
      </c>
      <c r="B3564" t="s">
        <v>5261</v>
      </c>
      <c r="C3564" s="1" t="s">
        <v>5266</v>
      </c>
      <c r="D3564" s="1" t="s">
        <v>5266</v>
      </c>
      <c r="E3564" t="s">
        <v>5267</v>
      </c>
      <c r="F3564" s="2" t="s">
        <v>311</v>
      </c>
      <c r="G3564" t="s">
        <v>5</v>
      </c>
      <c r="H3564" s="2" t="s">
        <v>5268</v>
      </c>
      <c r="I3564" s="2">
        <v>51.5</v>
      </c>
    </row>
    <row r="3565" spans="1:10" x14ac:dyDescent="0.25">
      <c r="A3565" s="1" t="s">
        <v>5260</v>
      </c>
      <c r="B3565" t="s">
        <v>5261</v>
      </c>
      <c r="C3565" s="1" t="s">
        <v>3452</v>
      </c>
      <c r="D3565" s="1" t="s">
        <v>3452</v>
      </c>
      <c r="E3565" t="s">
        <v>3453</v>
      </c>
      <c r="F3565" s="2" t="s">
        <v>1588</v>
      </c>
      <c r="G3565" t="s">
        <v>39</v>
      </c>
      <c r="H3565" s="2" t="s">
        <v>25</v>
      </c>
      <c r="I3565" s="2">
        <v>1.17</v>
      </c>
    </row>
    <row r="3566" spans="1:10" x14ac:dyDescent="0.25">
      <c r="A3566" s="1" t="s">
        <v>5260</v>
      </c>
      <c r="B3566" t="s">
        <v>5261</v>
      </c>
      <c r="C3566" s="1" t="s">
        <v>2791</v>
      </c>
      <c r="D3566" s="1" t="s">
        <v>2791</v>
      </c>
      <c r="E3566" t="s">
        <v>2792</v>
      </c>
      <c r="F3566" s="2" t="s">
        <v>2793</v>
      </c>
      <c r="G3566" t="s">
        <v>121</v>
      </c>
      <c r="H3566" s="2" t="s">
        <v>5269</v>
      </c>
      <c r="I3566" s="2">
        <v>3.05</v>
      </c>
    </row>
    <row r="3567" spans="1:10" x14ac:dyDescent="0.25">
      <c r="A3567" s="1" t="s">
        <v>5260</v>
      </c>
      <c r="B3567" t="s">
        <v>5261</v>
      </c>
      <c r="C3567" s="1" t="s">
        <v>5254</v>
      </c>
      <c r="D3567" s="1" t="s">
        <v>5254</v>
      </c>
      <c r="E3567" t="s">
        <v>5270</v>
      </c>
      <c r="F3567" s="2" t="s">
        <v>5271</v>
      </c>
      <c r="G3567" t="s">
        <v>121</v>
      </c>
      <c r="H3567" s="2" t="s">
        <v>50</v>
      </c>
      <c r="I3567" s="2">
        <v>40.770000000000003</v>
      </c>
      <c r="J3567" t="s">
        <v>55</v>
      </c>
    </row>
    <row r="3568" spans="1:10" x14ac:dyDescent="0.25">
      <c r="A3568" s="1" t="s">
        <v>5260</v>
      </c>
      <c r="B3568" t="s">
        <v>5261</v>
      </c>
      <c r="C3568" s="1" t="s">
        <v>5257</v>
      </c>
      <c r="D3568" s="1" t="s">
        <v>5257</v>
      </c>
      <c r="E3568" t="s">
        <v>5272</v>
      </c>
      <c r="F3568" s="2" t="s">
        <v>5273</v>
      </c>
      <c r="G3568" t="s">
        <v>121</v>
      </c>
      <c r="H3568" s="2" t="s">
        <v>50</v>
      </c>
      <c r="I3568" s="2">
        <v>31.68</v>
      </c>
      <c r="J3568" t="s">
        <v>55</v>
      </c>
    </row>
    <row r="3569" spans="1:9" x14ac:dyDescent="0.25">
      <c r="A3569" s="1" t="s">
        <v>5260</v>
      </c>
      <c r="B3569" t="s">
        <v>5261</v>
      </c>
      <c r="C3569" s="1" t="s">
        <v>684</v>
      </c>
      <c r="D3569" s="1" t="s">
        <v>684</v>
      </c>
      <c r="E3569" t="s">
        <v>685</v>
      </c>
      <c r="F3569" s="2" t="s">
        <v>686</v>
      </c>
      <c r="G3569" t="s">
        <v>49</v>
      </c>
      <c r="H3569" s="2" t="s">
        <v>5274</v>
      </c>
      <c r="I3569" s="2">
        <v>3.7</v>
      </c>
    </row>
    <row r="3570" spans="1:9" x14ac:dyDescent="0.25">
      <c r="A3570" s="1" t="s">
        <v>5260</v>
      </c>
      <c r="B3570" t="s">
        <v>5261</v>
      </c>
      <c r="C3570" s="1" t="s">
        <v>541</v>
      </c>
      <c r="D3570" s="1" t="s">
        <v>541</v>
      </c>
      <c r="E3570" t="s">
        <v>542</v>
      </c>
      <c r="F3570" s="2" t="s">
        <v>9</v>
      </c>
      <c r="G3570" t="s">
        <v>10</v>
      </c>
      <c r="H3570" s="2" t="s">
        <v>5275</v>
      </c>
      <c r="I3570" s="2">
        <v>5.0199999999999996</v>
      </c>
    </row>
    <row r="3571" spans="1:9" x14ac:dyDescent="0.25">
      <c r="A3571" s="1" t="s">
        <v>5260</v>
      </c>
      <c r="B3571" t="s">
        <v>5261</v>
      </c>
      <c r="C3571" s="1" t="s">
        <v>541</v>
      </c>
      <c r="D3571" s="1" t="s">
        <v>541</v>
      </c>
      <c r="E3571" t="s">
        <v>542</v>
      </c>
      <c r="F3571" s="2" t="s">
        <v>9</v>
      </c>
      <c r="G3571" t="s">
        <v>10</v>
      </c>
      <c r="H3571" s="2" t="s">
        <v>5276</v>
      </c>
      <c r="I3571" s="2">
        <v>33.35</v>
      </c>
    </row>
    <row r="3572" spans="1:9" x14ac:dyDescent="0.25">
      <c r="A3572" s="1" t="s">
        <v>5277</v>
      </c>
      <c r="B3572" t="s">
        <v>5278</v>
      </c>
      <c r="C3572" s="1" t="s">
        <v>432</v>
      </c>
      <c r="D3572" s="1" t="s">
        <v>432</v>
      </c>
      <c r="E3572" t="s">
        <v>433</v>
      </c>
      <c r="F3572" s="2" t="s">
        <v>434</v>
      </c>
      <c r="G3572" t="s">
        <v>435</v>
      </c>
      <c r="H3572" s="2" t="s">
        <v>5279</v>
      </c>
      <c r="I3572" s="2">
        <v>4.8600000000000003</v>
      </c>
    </row>
    <row r="3573" spans="1:9" x14ac:dyDescent="0.25">
      <c r="A3573" s="1" t="s">
        <v>5277</v>
      </c>
      <c r="B3573" t="s">
        <v>5278</v>
      </c>
      <c r="C3573" s="1" t="s">
        <v>684</v>
      </c>
      <c r="D3573" s="1" t="s">
        <v>684</v>
      </c>
      <c r="E3573" t="s">
        <v>685</v>
      </c>
      <c r="F3573" s="2" t="s">
        <v>686</v>
      </c>
      <c r="G3573" t="s">
        <v>49</v>
      </c>
      <c r="H3573" s="2" t="s">
        <v>5280</v>
      </c>
      <c r="I3573" s="2">
        <v>6.75</v>
      </c>
    </row>
    <row r="3574" spans="1:9" x14ac:dyDescent="0.25">
      <c r="A3574" s="1" t="s">
        <v>5277</v>
      </c>
      <c r="B3574" t="s">
        <v>5278</v>
      </c>
      <c r="C3574" s="1" t="s">
        <v>7</v>
      </c>
      <c r="D3574" s="1" t="s">
        <v>7</v>
      </c>
      <c r="E3574" t="s">
        <v>8</v>
      </c>
      <c r="F3574" s="2" t="s">
        <v>9</v>
      </c>
      <c r="G3574" t="s">
        <v>10</v>
      </c>
      <c r="H3574" s="2" t="s">
        <v>1191</v>
      </c>
      <c r="I3574" s="2">
        <v>50.6</v>
      </c>
    </row>
    <row r="3575" spans="1:9" x14ac:dyDescent="0.25">
      <c r="A3575" s="1" t="s">
        <v>5281</v>
      </c>
      <c r="B3575" t="s">
        <v>5282</v>
      </c>
      <c r="C3575" s="1" t="s">
        <v>5283</v>
      </c>
      <c r="D3575" s="1" t="s">
        <v>5283</v>
      </c>
      <c r="E3575" t="s">
        <v>5284</v>
      </c>
      <c r="F3575" s="2" t="s">
        <v>328</v>
      </c>
      <c r="G3575" t="s">
        <v>39</v>
      </c>
      <c r="H3575" s="2" t="s">
        <v>25</v>
      </c>
      <c r="I3575" s="2">
        <v>0.37</v>
      </c>
    </row>
    <row r="3576" spans="1:9" x14ac:dyDescent="0.25">
      <c r="A3576" s="1" t="s">
        <v>5281</v>
      </c>
      <c r="B3576" t="s">
        <v>5282</v>
      </c>
      <c r="C3576" s="1" t="s">
        <v>5285</v>
      </c>
      <c r="D3576" s="1" t="s">
        <v>5285</v>
      </c>
      <c r="E3576" t="s">
        <v>5286</v>
      </c>
      <c r="F3576" s="2" t="s">
        <v>2670</v>
      </c>
      <c r="G3576" t="s">
        <v>121</v>
      </c>
      <c r="H3576" s="2" t="s">
        <v>1410</v>
      </c>
      <c r="I3576" s="2">
        <v>1.0900000000000001</v>
      </c>
    </row>
    <row r="3577" spans="1:9" x14ac:dyDescent="0.25">
      <c r="A3577" s="1" t="s">
        <v>5281</v>
      </c>
      <c r="B3577" t="s">
        <v>5282</v>
      </c>
      <c r="C3577" s="1" t="s">
        <v>5287</v>
      </c>
      <c r="D3577" s="1" t="s">
        <v>5287</v>
      </c>
      <c r="E3577" t="s">
        <v>5288</v>
      </c>
      <c r="F3577" s="2" t="s">
        <v>5289</v>
      </c>
      <c r="G3577" t="s">
        <v>49</v>
      </c>
      <c r="H3577" s="2" t="s">
        <v>50</v>
      </c>
      <c r="I3577" s="2">
        <v>113.1</v>
      </c>
    </row>
    <row r="3578" spans="1:9" x14ac:dyDescent="0.25">
      <c r="A3578" s="1" t="s">
        <v>5281</v>
      </c>
      <c r="B3578" t="s">
        <v>5282</v>
      </c>
      <c r="C3578" s="1" t="s">
        <v>5290</v>
      </c>
      <c r="D3578" s="1" t="s">
        <v>5290</v>
      </c>
      <c r="E3578" t="s">
        <v>5291</v>
      </c>
      <c r="F3578" s="2" t="s">
        <v>5292</v>
      </c>
      <c r="G3578" t="s">
        <v>49</v>
      </c>
      <c r="H3578" s="2" t="s">
        <v>319</v>
      </c>
      <c r="I3578" s="2">
        <v>6.24</v>
      </c>
    </row>
    <row r="3579" spans="1:9" x14ac:dyDescent="0.25">
      <c r="A3579" s="1" t="s">
        <v>5281</v>
      </c>
      <c r="B3579" t="s">
        <v>5282</v>
      </c>
      <c r="C3579" s="1" t="s">
        <v>5293</v>
      </c>
      <c r="D3579" s="1" t="s">
        <v>5293</v>
      </c>
      <c r="E3579" t="s">
        <v>5294</v>
      </c>
      <c r="F3579" s="2" t="s">
        <v>5295</v>
      </c>
      <c r="G3579" t="s">
        <v>49</v>
      </c>
      <c r="H3579" s="2" t="s">
        <v>122</v>
      </c>
      <c r="I3579" s="2">
        <v>27.04</v>
      </c>
    </row>
    <row r="3580" spans="1:9" x14ac:dyDescent="0.25">
      <c r="A3580" s="1" t="s">
        <v>5281</v>
      </c>
      <c r="B3580" t="s">
        <v>5282</v>
      </c>
      <c r="C3580" s="1" t="s">
        <v>5296</v>
      </c>
      <c r="D3580" s="1" t="s">
        <v>5296</v>
      </c>
      <c r="E3580" t="s">
        <v>5297</v>
      </c>
      <c r="F3580" s="2" t="s">
        <v>5298</v>
      </c>
      <c r="G3580" t="s">
        <v>49</v>
      </c>
      <c r="H3580" s="2" t="s">
        <v>122</v>
      </c>
      <c r="I3580" s="2">
        <v>100.88</v>
      </c>
    </row>
    <row r="3581" spans="1:9" x14ac:dyDescent="0.25">
      <c r="A3581" s="1" t="s">
        <v>5281</v>
      </c>
      <c r="B3581" t="s">
        <v>5282</v>
      </c>
      <c r="C3581" s="1" t="s">
        <v>5299</v>
      </c>
      <c r="D3581" s="1" t="s">
        <v>5299</v>
      </c>
      <c r="E3581" t="s">
        <v>5300</v>
      </c>
      <c r="F3581" s="2" t="s">
        <v>4305</v>
      </c>
      <c r="G3581" t="s">
        <v>49</v>
      </c>
      <c r="H3581" s="2" t="s">
        <v>122</v>
      </c>
      <c r="I3581" s="2">
        <v>63.44</v>
      </c>
    </row>
    <row r="3582" spans="1:9" x14ac:dyDescent="0.25">
      <c r="A3582" s="1" t="s">
        <v>5281</v>
      </c>
      <c r="B3582" t="s">
        <v>5282</v>
      </c>
      <c r="C3582" s="1" t="s">
        <v>857</v>
      </c>
      <c r="D3582" s="1" t="s">
        <v>857</v>
      </c>
      <c r="E3582" t="s">
        <v>858</v>
      </c>
      <c r="F3582" s="2" t="s">
        <v>686</v>
      </c>
      <c r="G3582" t="s">
        <v>49</v>
      </c>
      <c r="H3582" s="2" t="s">
        <v>5301</v>
      </c>
      <c r="I3582" s="2">
        <v>32</v>
      </c>
    </row>
    <row r="3583" spans="1:9" x14ac:dyDescent="0.25">
      <c r="A3583" s="1" t="s">
        <v>5281</v>
      </c>
      <c r="B3583" t="s">
        <v>5282</v>
      </c>
      <c r="C3583" s="1" t="s">
        <v>1989</v>
      </c>
      <c r="D3583" s="1" t="s">
        <v>1989</v>
      </c>
      <c r="E3583" t="s">
        <v>1990</v>
      </c>
      <c r="F3583" s="2" t="s">
        <v>1991</v>
      </c>
      <c r="G3583" t="s">
        <v>435</v>
      </c>
      <c r="H3583" s="2" t="s">
        <v>5302</v>
      </c>
      <c r="I3583" s="2">
        <v>109.02</v>
      </c>
    </row>
    <row r="3584" spans="1:9" x14ac:dyDescent="0.25">
      <c r="A3584" s="1" t="s">
        <v>5281</v>
      </c>
      <c r="B3584" t="s">
        <v>5282</v>
      </c>
      <c r="C3584" s="1" t="s">
        <v>684</v>
      </c>
      <c r="D3584" s="1" t="s">
        <v>684</v>
      </c>
      <c r="E3584" t="s">
        <v>685</v>
      </c>
      <c r="F3584" s="2" t="s">
        <v>686</v>
      </c>
      <c r="G3584" t="s">
        <v>49</v>
      </c>
      <c r="H3584" s="2" t="s">
        <v>5303</v>
      </c>
      <c r="I3584" s="2">
        <v>110</v>
      </c>
    </row>
    <row r="3585" spans="1:9" x14ac:dyDescent="0.25">
      <c r="A3585" s="1" t="s">
        <v>5281</v>
      </c>
      <c r="B3585" t="s">
        <v>5282</v>
      </c>
      <c r="C3585" s="1" t="s">
        <v>684</v>
      </c>
      <c r="D3585" s="1" t="s">
        <v>684</v>
      </c>
      <c r="E3585" t="s">
        <v>685</v>
      </c>
      <c r="F3585" s="2" t="s">
        <v>686</v>
      </c>
      <c r="G3585" t="s">
        <v>49</v>
      </c>
      <c r="H3585" s="2" t="s">
        <v>5304</v>
      </c>
      <c r="I3585" s="2">
        <v>15.72</v>
      </c>
    </row>
    <row r="3586" spans="1:9" x14ac:dyDescent="0.25">
      <c r="A3586" s="1" t="s">
        <v>5281</v>
      </c>
      <c r="B3586" t="s">
        <v>5282</v>
      </c>
      <c r="C3586" s="1" t="s">
        <v>684</v>
      </c>
      <c r="D3586" s="1" t="s">
        <v>684</v>
      </c>
      <c r="E3586" t="s">
        <v>685</v>
      </c>
      <c r="F3586" s="2" t="s">
        <v>686</v>
      </c>
      <c r="G3586" t="s">
        <v>49</v>
      </c>
      <c r="H3586" s="2" t="s">
        <v>5305</v>
      </c>
      <c r="I3586" s="2">
        <v>14.48</v>
      </c>
    </row>
    <row r="3587" spans="1:9" x14ac:dyDescent="0.25">
      <c r="A3587" s="1" t="s">
        <v>5281</v>
      </c>
      <c r="B3587" t="s">
        <v>5282</v>
      </c>
      <c r="C3587" s="1" t="s">
        <v>541</v>
      </c>
      <c r="D3587" s="1" t="s">
        <v>541</v>
      </c>
      <c r="E3587" t="s">
        <v>542</v>
      </c>
      <c r="F3587" s="2" t="s">
        <v>9</v>
      </c>
      <c r="G3587" t="s">
        <v>10</v>
      </c>
      <c r="H3587" s="2" t="s">
        <v>3642</v>
      </c>
      <c r="I3587" s="2">
        <v>32.200000000000003</v>
      </c>
    </row>
    <row r="3588" spans="1:9" x14ac:dyDescent="0.25">
      <c r="A3588" s="1" t="s">
        <v>5281</v>
      </c>
      <c r="B3588" t="s">
        <v>5282</v>
      </c>
      <c r="C3588" s="1" t="s">
        <v>7</v>
      </c>
      <c r="D3588" s="1" t="s">
        <v>7</v>
      </c>
      <c r="E3588" t="s">
        <v>8</v>
      </c>
      <c r="F3588" s="2" t="s">
        <v>9</v>
      </c>
      <c r="G3588" t="s">
        <v>10</v>
      </c>
      <c r="H3588" s="2" t="s">
        <v>19</v>
      </c>
      <c r="I3588" s="2">
        <v>4.5999999999999996</v>
      </c>
    </row>
    <row r="3589" spans="1:9" x14ac:dyDescent="0.25">
      <c r="A3589" s="1" t="s">
        <v>5281</v>
      </c>
      <c r="B3589" t="s">
        <v>5282</v>
      </c>
      <c r="C3589" s="1" t="s">
        <v>7</v>
      </c>
      <c r="D3589" s="1" t="s">
        <v>7</v>
      </c>
      <c r="E3589" t="s">
        <v>8</v>
      </c>
      <c r="F3589" s="2" t="s">
        <v>9</v>
      </c>
      <c r="G3589" t="s">
        <v>10</v>
      </c>
      <c r="H3589" s="2" t="s">
        <v>5306</v>
      </c>
      <c r="I3589" s="2">
        <v>30.82</v>
      </c>
    </row>
    <row r="3590" spans="1:9" x14ac:dyDescent="0.25">
      <c r="A3590" s="1" t="s">
        <v>5281</v>
      </c>
      <c r="B3590" t="s">
        <v>5282</v>
      </c>
      <c r="C3590" s="1" t="s">
        <v>7</v>
      </c>
      <c r="D3590" s="1" t="s">
        <v>7</v>
      </c>
      <c r="E3590" t="s">
        <v>8</v>
      </c>
      <c r="F3590" s="2" t="s">
        <v>9</v>
      </c>
      <c r="G3590" t="s">
        <v>10</v>
      </c>
      <c r="H3590" s="2" t="s">
        <v>5307</v>
      </c>
      <c r="I3590" s="2">
        <v>339.48</v>
      </c>
    </row>
    <row r="3591" spans="1:9" x14ac:dyDescent="0.25">
      <c r="A3591" s="1" t="s">
        <v>5281</v>
      </c>
      <c r="B3591" t="s">
        <v>5282</v>
      </c>
      <c r="C3591" s="1" t="s">
        <v>7</v>
      </c>
      <c r="D3591" s="1" t="s">
        <v>7</v>
      </c>
      <c r="E3591" t="s">
        <v>8</v>
      </c>
      <c r="F3591" s="2" t="s">
        <v>9</v>
      </c>
      <c r="G3591" t="s">
        <v>10</v>
      </c>
      <c r="H3591" s="2" t="s">
        <v>1563</v>
      </c>
      <c r="I3591" s="2">
        <v>43.7</v>
      </c>
    </row>
    <row r="3592" spans="1:9" x14ac:dyDescent="0.25">
      <c r="A3592" s="1" t="s">
        <v>5308</v>
      </c>
      <c r="B3592" t="s">
        <v>5309</v>
      </c>
      <c r="C3592" s="1" t="s">
        <v>684</v>
      </c>
      <c r="D3592" s="1" t="s">
        <v>684</v>
      </c>
      <c r="E3592" t="s">
        <v>685</v>
      </c>
      <c r="F3592" s="2" t="s">
        <v>686</v>
      </c>
      <c r="G3592" t="s">
        <v>49</v>
      </c>
      <c r="H3592" s="2" t="s">
        <v>5310</v>
      </c>
      <c r="I3592" s="2">
        <v>40.22</v>
      </c>
    </row>
    <row r="3593" spans="1:9" x14ac:dyDescent="0.25">
      <c r="A3593" s="1" t="s">
        <v>5308</v>
      </c>
      <c r="B3593" t="s">
        <v>5309</v>
      </c>
      <c r="C3593" s="1" t="s">
        <v>7</v>
      </c>
      <c r="D3593" s="1" t="s">
        <v>7</v>
      </c>
      <c r="E3593" t="s">
        <v>8</v>
      </c>
      <c r="F3593" s="2" t="s">
        <v>9</v>
      </c>
      <c r="G3593" t="s">
        <v>10</v>
      </c>
      <c r="H3593" s="2" t="s">
        <v>1254</v>
      </c>
      <c r="I3593" s="2">
        <v>16.100000000000001</v>
      </c>
    </row>
    <row r="3594" spans="1:9" x14ac:dyDescent="0.25">
      <c r="A3594" s="1" t="s">
        <v>5308</v>
      </c>
      <c r="B3594" t="s">
        <v>5309</v>
      </c>
      <c r="C3594" s="1" t="s">
        <v>7</v>
      </c>
      <c r="D3594" s="1" t="s">
        <v>7</v>
      </c>
      <c r="E3594" t="s">
        <v>8</v>
      </c>
      <c r="F3594" s="2" t="s">
        <v>9</v>
      </c>
      <c r="G3594" t="s">
        <v>10</v>
      </c>
      <c r="H3594" s="2" t="s">
        <v>1254</v>
      </c>
      <c r="I3594" s="2">
        <v>16.100000000000001</v>
      </c>
    </row>
    <row r="3595" spans="1:9" x14ac:dyDescent="0.25">
      <c r="A3595" s="1" t="s">
        <v>5311</v>
      </c>
      <c r="B3595" t="s">
        <v>5312</v>
      </c>
      <c r="C3595" s="1" t="s">
        <v>684</v>
      </c>
      <c r="D3595" s="1" t="s">
        <v>684</v>
      </c>
      <c r="E3595" t="s">
        <v>685</v>
      </c>
      <c r="F3595" s="2" t="s">
        <v>686</v>
      </c>
      <c r="G3595" t="s">
        <v>49</v>
      </c>
      <c r="H3595" s="2" t="s">
        <v>5313</v>
      </c>
      <c r="I3595" s="2">
        <v>282.89999999999998</v>
      </c>
    </row>
    <row r="3596" spans="1:9" x14ac:dyDescent="0.25">
      <c r="A3596" s="1" t="s">
        <v>5311</v>
      </c>
      <c r="B3596" t="s">
        <v>5312</v>
      </c>
      <c r="C3596" s="1" t="s">
        <v>7</v>
      </c>
      <c r="D3596" s="1" t="s">
        <v>7</v>
      </c>
      <c r="E3596" t="s">
        <v>8</v>
      </c>
      <c r="F3596" s="2" t="s">
        <v>9</v>
      </c>
      <c r="G3596" t="s">
        <v>10</v>
      </c>
      <c r="H3596" s="2" t="s">
        <v>690</v>
      </c>
      <c r="I3596" s="2">
        <v>20.7</v>
      </c>
    </row>
    <row r="3597" spans="1:9" x14ac:dyDescent="0.25">
      <c r="A3597" s="1" t="s">
        <v>5311</v>
      </c>
      <c r="B3597" t="s">
        <v>5312</v>
      </c>
      <c r="C3597" s="1" t="s">
        <v>7</v>
      </c>
      <c r="D3597" s="1" t="s">
        <v>7</v>
      </c>
      <c r="E3597" t="s">
        <v>8</v>
      </c>
      <c r="F3597" s="2" t="s">
        <v>9</v>
      </c>
      <c r="G3597" t="s">
        <v>10</v>
      </c>
      <c r="H3597" s="2" t="s">
        <v>5314</v>
      </c>
      <c r="I3597" s="2">
        <v>9.6300000000000008</v>
      </c>
    </row>
    <row r="3598" spans="1:9" x14ac:dyDescent="0.25">
      <c r="A3598" s="1" t="s">
        <v>5315</v>
      </c>
      <c r="B3598" t="s">
        <v>5316</v>
      </c>
      <c r="C3598" s="1" t="s">
        <v>432</v>
      </c>
      <c r="D3598" s="1" t="s">
        <v>432</v>
      </c>
      <c r="E3598" t="s">
        <v>433</v>
      </c>
      <c r="F3598" s="2" t="s">
        <v>434</v>
      </c>
      <c r="G3598" t="s">
        <v>435</v>
      </c>
      <c r="H3598" s="2" t="s">
        <v>5317</v>
      </c>
      <c r="I3598" s="2">
        <v>22.79</v>
      </c>
    </row>
    <row r="3599" spans="1:9" x14ac:dyDescent="0.25">
      <c r="A3599" s="1" t="s">
        <v>5315</v>
      </c>
      <c r="B3599" t="s">
        <v>5316</v>
      </c>
      <c r="C3599" s="1" t="s">
        <v>684</v>
      </c>
      <c r="D3599" s="1" t="s">
        <v>684</v>
      </c>
      <c r="E3599" t="s">
        <v>685</v>
      </c>
      <c r="F3599" s="2" t="s">
        <v>686</v>
      </c>
      <c r="G3599" t="s">
        <v>49</v>
      </c>
      <c r="H3599" s="2" t="s">
        <v>5318</v>
      </c>
      <c r="I3599" s="2">
        <v>250</v>
      </c>
    </row>
    <row r="3600" spans="1:9" x14ac:dyDescent="0.25">
      <c r="A3600" s="1" t="s">
        <v>5315</v>
      </c>
      <c r="B3600" t="s">
        <v>5316</v>
      </c>
      <c r="C3600" s="1" t="s">
        <v>7</v>
      </c>
      <c r="D3600" s="1" t="s">
        <v>7</v>
      </c>
      <c r="E3600" t="s">
        <v>8</v>
      </c>
      <c r="F3600" s="2" t="s">
        <v>9</v>
      </c>
      <c r="G3600" t="s">
        <v>10</v>
      </c>
      <c r="H3600" s="2" t="s">
        <v>984</v>
      </c>
      <c r="I3600" s="2">
        <v>644</v>
      </c>
    </row>
    <row r="3601" spans="1:10" x14ac:dyDescent="0.25">
      <c r="A3601" s="1" t="s">
        <v>5319</v>
      </c>
      <c r="B3601" t="s">
        <v>5320</v>
      </c>
      <c r="C3601" s="1" t="s">
        <v>432</v>
      </c>
      <c r="D3601" s="1" t="s">
        <v>432</v>
      </c>
      <c r="E3601" t="s">
        <v>433</v>
      </c>
      <c r="F3601" s="2" t="s">
        <v>434</v>
      </c>
      <c r="G3601" t="s">
        <v>435</v>
      </c>
      <c r="H3601" s="2" t="s">
        <v>5321</v>
      </c>
      <c r="I3601" s="2">
        <v>15.99</v>
      </c>
    </row>
    <row r="3602" spans="1:10" x14ac:dyDescent="0.25">
      <c r="A3602" s="1" t="s">
        <v>5319</v>
      </c>
      <c r="B3602" t="s">
        <v>5320</v>
      </c>
      <c r="C3602" s="1" t="s">
        <v>684</v>
      </c>
      <c r="D3602" s="1" t="s">
        <v>684</v>
      </c>
      <c r="E3602" t="s">
        <v>685</v>
      </c>
      <c r="F3602" s="2" t="s">
        <v>686</v>
      </c>
      <c r="G3602" t="s">
        <v>49</v>
      </c>
      <c r="H3602" s="2" t="s">
        <v>5322</v>
      </c>
      <c r="I3602" s="2">
        <v>200</v>
      </c>
    </row>
    <row r="3603" spans="1:10" x14ac:dyDescent="0.25">
      <c r="A3603" s="1" t="s">
        <v>5319</v>
      </c>
      <c r="B3603" t="s">
        <v>5320</v>
      </c>
      <c r="C3603" s="1" t="s">
        <v>7</v>
      </c>
      <c r="D3603" s="1" t="s">
        <v>7</v>
      </c>
      <c r="E3603" t="s">
        <v>8</v>
      </c>
      <c r="F3603" s="2" t="s">
        <v>9</v>
      </c>
      <c r="G3603" t="s">
        <v>10</v>
      </c>
      <c r="H3603" s="2" t="s">
        <v>984</v>
      </c>
      <c r="I3603" s="2">
        <v>644</v>
      </c>
    </row>
    <row r="3604" spans="1:10" x14ac:dyDescent="0.25">
      <c r="A3604" s="1" t="s">
        <v>5323</v>
      </c>
      <c r="B3604" t="s">
        <v>5324</v>
      </c>
      <c r="C3604" s="1" t="s">
        <v>432</v>
      </c>
      <c r="D3604" s="1" t="s">
        <v>432</v>
      </c>
      <c r="E3604" t="s">
        <v>433</v>
      </c>
      <c r="F3604" s="2" t="s">
        <v>434</v>
      </c>
      <c r="G3604" t="s">
        <v>435</v>
      </c>
      <c r="H3604" s="2" t="s">
        <v>5325</v>
      </c>
      <c r="I3604" s="2">
        <v>21.78</v>
      </c>
    </row>
    <row r="3605" spans="1:10" x14ac:dyDescent="0.25">
      <c r="A3605" s="1" t="s">
        <v>5323</v>
      </c>
      <c r="B3605" t="s">
        <v>5324</v>
      </c>
      <c r="C3605" s="1" t="s">
        <v>684</v>
      </c>
      <c r="D3605" s="1" t="s">
        <v>684</v>
      </c>
      <c r="E3605" t="s">
        <v>685</v>
      </c>
      <c r="F3605" s="2" t="s">
        <v>686</v>
      </c>
      <c r="G3605" t="s">
        <v>49</v>
      </c>
      <c r="H3605" s="2" t="s">
        <v>5326</v>
      </c>
      <c r="I3605" s="2">
        <v>265</v>
      </c>
    </row>
    <row r="3606" spans="1:10" x14ac:dyDescent="0.25">
      <c r="A3606" s="1" t="s">
        <v>5323</v>
      </c>
      <c r="B3606" t="s">
        <v>5324</v>
      </c>
      <c r="C3606" s="1" t="s">
        <v>7</v>
      </c>
      <c r="D3606" s="1" t="s">
        <v>7</v>
      </c>
      <c r="E3606" t="s">
        <v>8</v>
      </c>
      <c r="F3606" s="2" t="s">
        <v>9</v>
      </c>
      <c r="G3606" t="s">
        <v>10</v>
      </c>
      <c r="H3606" s="2" t="s">
        <v>5327</v>
      </c>
      <c r="I3606" s="2">
        <v>1104</v>
      </c>
    </row>
    <row r="3607" spans="1:10" x14ac:dyDescent="0.25">
      <c r="A3607" s="1" t="s">
        <v>5328</v>
      </c>
      <c r="B3607" t="s">
        <v>5329</v>
      </c>
      <c r="C3607" s="1" t="s">
        <v>5330</v>
      </c>
      <c r="D3607" s="1" t="s">
        <v>5330</v>
      </c>
      <c r="E3607" t="s">
        <v>5331</v>
      </c>
      <c r="F3607" s="2" t="s">
        <v>1768</v>
      </c>
      <c r="G3607" t="s">
        <v>5</v>
      </c>
      <c r="H3607" s="2" t="s">
        <v>3404</v>
      </c>
      <c r="I3607" s="2">
        <v>0</v>
      </c>
    </row>
    <row r="3608" spans="1:10" x14ac:dyDescent="0.25">
      <c r="A3608" s="1" t="s">
        <v>5328</v>
      </c>
      <c r="B3608" t="s">
        <v>5329</v>
      </c>
      <c r="C3608" s="1" t="s">
        <v>5332</v>
      </c>
      <c r="D3608" s="1" t="s">
        <v>5332</v>
      </c>
      <c r="E3608" t="s">
        <v>5333</v>
      </c>
      <c r="F3608" s="2" t="s">
        <v>1768</v>
      </c>
      <c r="G3608" t="s">
        <v>17</v>
      </c>
      <c r="H3608" s="2" t="s">
        <v>3260</v>
      </c>
      <c r="I3608" s="2">
        <v>0</v>
      </c>
    </row>
    <row r="3609" spans="1:10" x14ac:dyDescent="0.25">
      <c r="A3609" s="1" t="s">
        <v>5328</v>
      </c>
      <c r="B3609" t="s">
        <v>5329</v>
      </c>
      <c r="C3609" s="1" t="s">
        <v>977</v>
      </c>
      <c r="D3609" s="1" t="s">
        <v>977</v>
      </c>
      <c r="E3609" t="s">
        <v>978</v>
      </c>
      <c r="F3609" s="2" t="s">
        <v>5334</v>
      </c>
      <c r="G3609" t="s">
        <v>121</v>
      </c>
      <c r="H3609" s="2" t="s">
        <v>50</v>
      </c>
      <c r="I3609" s="2">
        <v>0.23</v>
      </c>
    </row>
    <row r="3610" spans="1:10" x14ac:dyDescent="0.25">
      <c r="A3610" s="1" t="s">
        <v>5328</v>
      </c>
      <c r="B3610" t="s">
        <v>5329</v>
      </c>
      <c r="C3610" s="1" t="s">
        <v>5335</v>
      </c>
      <c r="D3610" s="1" t="s">
        <v>5335</v>
      </c>
      <c r="E3610" t="s">
        <v>5336</v>
      </c>
      <c r="F3610" s="2" t="s">
        <v>5337</v>
      </c>
      <c r="G3610" t="s">
        <v>49</v>
      </c>
      <c r="H3610" s="2" t="s">
        <v>5338</v>
      </c>
      <c r="I3610" s="2">
        <v>30.4</v>
      </c>
    </row>
    <row r="3611" spans="1:10" x14ac:dyDescent="0.25">
      <c r="A3611" s="1" t="s">
        <v>5328</v>
      </c>
      <c r="B3611" t="s">
        <v>5329</v>
      </c>
      <c r="C3611" s="1" t="s">
        <v>5315</v>
      </c>
      <c r="D3611" s="1" t="s">
        <v>5315</v>
      </c>
      <c r="E3611" t="s">
        <v>5316</v>
      </c>
      <c r="F3611" s="2" t="s">
        <v>5339</v>
      </c>
      <c r="G3611" t="s">
        <v>49</v>
      </c>
      <c r="H3611" s="2" t="s">
        <v>50</v>
      </c>
      <c r="I3611" s="2">
        <v>916.79</v>
      </c>
      <c r="J3611" t="s">
        <v>55</v>
      </c>
    </row>
    <row r="3612" spans="1:10" x14ac:dyDescent="0.25">
      <c r="A3612" s="1" t="s">
        <v>5328</v>
      </c>
      <c r="B3612" t="s">
        <v>5329</v>
      </c>
      <c r="C3612" s="1" t="s">
        <v>5319</v>
      </c>
      <c r="D3612" s="1" t="s">
        <v>5319</v>
      </c>
      <c r="E3612" t="s">
        <v>5320</v>
      </c>
      <c r="F3612" s="2" t="s">
        <v>5340</v>
      </c>
      <c r="G3612" t="s">
        <v>49</v>
      </c>
      <c r="H3612" s="2" t="s">
        <v>50</v>
      </c>
      <c r="I3612" s="2">
        <v>859.99</v>
      </c>
      <c r="J3612" t="s">
        <v>55</v>
      </c>
    </row>
    <row r="3613" spans="1:10" x14ac:dyDescent="0.25">
      <c r="A3613" s="1" t="s">
        <v>5328</v>
      </c>
      <c r="B3613" t="s">
        <v>5329</v>
      </c>
      <c r="C3613" s="1" t="s">
        <v>5323</v>
      </c>
      <c r="D3613" s="1" t="s">
        <v>5323</v>
      </c>
      <c r="E3613" t="s">
        <v>5324</v>
      </c>
      <c r="F3613" s="2" t="s">
        <v>5341</v>
      </c>
      <c r="G3613" t="s">
        <v>49</v>
      </c>
      <c r="H3613" s="2" t="s">
        <v>50</v>
      </c>
      <c r="I3613" s="2">
        <v>1390.78</v>
      </c>
      <c r="J3613" t="s">
        <v>55</v>
      </c>
    </row>
    <row r="3614" spans="1:10" x14ac:dyDescent="0.25">
      <c r="A3614" s="1" t="s">
        <v>5328</v>
      </c>
      <c r="B3614" t="s">
        <v>5329</v>
      </c>
      <c r="C3614" s="1" t="s">
        <v>684</v>
      </c>
      <c r="D3614" s="1" t="s">
        <v>684</v>
      </c>
      <c r="E3614" t="s">
        <v>685</v>
      </c>
      <c r="F3614" s="2" t="s">
        <v>686</v>
      </c>
      <c r="G3614" t="s">
        <v>49</v>
      </c>
      <c r="H3614" s="2" t="s">
        <v>2641</v>
      </c>
      <c r="I3614" s="2">
        <v>9</v>
      </c>
    </row>
    <row r="3615" spans="1:10" x14ac:dyDescent="0.25">
      <c r="A3615" s="1" t="s">
        <v>5328</v>
      </c>
      <c r="B3615" t="s">
        <v>5329</v>
      </c>
      <c r="C3615" s="1" t="s">
        <v>684</v>
      </c>
      <c r="D3615" s="1" t="s">
        <v>684</v>
      </c>
      <c r="E3615" t="s">
        <v>685</v>
      </c>
      <c r="F3615" s="2" t="s">
        <v>686</v>
      </c>
      <c r="G3615" t="s">
        <v>49</v>
      </c>
      <c r="H3615" s="2" t="s">
        <v>3843</v>
      </c>
      <c r="I3615" s="2">
        <v>10</v>
      </c>
    </row>
    <row r="3616" spans="1:10" x14ac:dyDescent="0.25">
      <c r="A3616" s="1" t="s">
        <v>5328</v>
      </c>
      <c r="B3616" t="s">
        <v>5329</v>
      </c>
      <c r="C3616" s="1" t="s">
        <v>7</v>
      </c>
      <c r="D3616" s="1" t="s">
        <v>7</v>
      </c>
      <c r="E3616" t="s">
        <v>8</v>
      </c>
      <c r="F3616" s="2" t="s">
        <v>9</v>
      </c>
      <c r="G3616" t="s">
        <v>10</v>
      </c>
      <c r="H3616" s="2" t="s">
        <v>122</v>
      </c>
      <c r="I3616" s="2">
        <v>184</v>
      </c>
    </row>
    <row r="3617" spans="1:10" x14ac:dyDescent="0.25">
      <c r="A3617" s="1" t="s">
        <v>5342</v>
      </c>
      <c r="B3617" t="s">
        <v>5343</v>
      </c>
      <c r="C3617" s="1" t="s">
        <v>5344</v>
      </c>
      <c r="D3617" s="1" t="s">
        <v>5344</v>
      </c>
      <c r="E3617" t="s">
        <v>5345</v>
      </c>
      <c r="F3617" s="2" t="s">
        <v>1768</v>
      </c>
      <c r="G3617" t="s">
        <v>5</v>
      </c>
      <c r="H3617" s="2" t="s">
        <v>5346</v>
      </c>
      <c r="I3617" s="2">
        <v>0</v>
      </c>
    </row>
    <row r="3618" spans="1:10" x14ac:dyDescent="0.25">
      <c r="A3618" s="1" t="s">
        <v>5342</v>
      </c>
      <c r="B3618" t="s">
        <v>5343</v>
      </c>
      <c r="C3618" s="1" t="s">
        <v>5347</v>
      </c>
      <c r="D3618" s="1" t="s">
        <v>5347</v>
      </c>
      <c r="E3618" t="s">
        <v>5348</v>
      </c>
      <c r="F3618" s="2" t="s">
        <v>1768</v>
      </c>
      <c r="G3618" t="s">
        <v>39</v>
      </c>
      <c r="H3618" s="2" t="s">
        <v>478</v>
      </c>
      <c r="I3618" s="2">
        <v>0</v>
      </c>
    </row>
    <row r="3619" spans="1:10" x14ac:dyDescent="0.25">
      <c r="A3619" s="1" t="s">
        <v>5342</v>
      </c>
      <c r="B3619" t="s">
        <v>5343</v>
      </c>
      <c r="C3619" s="1" t="s">
        <v>5349</v>
      </c>
      <c r="D3619" s="1" t="s">
        <v>5349</v>
      </c>
      <c r="E3619" t="s">
        <v>5350</v>
      </c>
      <c r="F3619" s="2" t="s">
        <v>879</v>
      </c>
      <c r="G3619" t="s">
        <v>5</v>
      </c>
      <c r="H3619" s="2" t="s">
        <v>19</v>
      </c>
      <c r="I3619" s="2">
        <v>1.4</v>
      </c>
    </row>
    <row r="3620" spans="1:10" x14ac:dyDescent="0.25">
      <c r="A3620" s="1" t="s">
        <v>5342</v>
      </c>
      <c r="B3620" t="s">
        <v>5343</v>
      </c>
      <c r="C3620" s="1" t="s">
        <v>587</v>
      </c>
      <c r="D3620" s="1" t="s">
        <v>587</v>
      </c>
      <c r="E3620" t="s">
        <v>588</v>
      </c>
      <c r="F3620" s="2" t="s">
        <v>589</v>
      </c>
      <c r="G3620" t="s">
        <v>5</v>
      </c>
      <c r="H3620" s="2" t="s">
        <v>5351</v>
      </c>
      <c r="I3620" s="2">
        <v>0.25</v>
      </c>
    </row>
    <row r="3621" spans="1:10" x14ac:dyDescent="0.25">
      <c r="A3621" s="1" t="s">
        <v>5342</v>
      </c>
      <c r="B3621" t="s">
        <v>5343</v>
      </c>
      <c r="C3621" s="1" t="s">
        <v>5352</v>
      </c>
      <c r="D3621" s="1" t="s">
        <v>5352</v>
      </c>
      <c r="E3621" t="s">
        <v>5353</v>
      </c>
      <c r="F3621" s="2" t="s">
        <v>1768</v>
      </c>
      <c r="G3621" t="s">
        <v>49</v>
      </c>
      <c r="H3621" s="2" t="s">
        <v>40</v>
      </c>
      <c r="I3621" s="2">
        <v>0</v>
      </c>
    </row>
    <row r="3622" spans="1:10" x14ac:dyDescent="0.25">
      <c r="A3622" s="1" t="s">
        <v>5342</v>
      </c>
      <c r="B3622" t="s">
        <v>5343</v>
      </c>
      <c r="C3622" s="1" t="s">
        <v>5354</v>
      </c>
      <c r="D3622" s="1" t="s">
        <v>5354</v>
      </c>
      <c r="E3622" t="s">
        <v>5355</v>
      </c>
      <c r="F3622" s="2" t="s">
        <v>1768</v>
      </c>
      <c r="G3622" t="s">
        <v>49</v>
      </c>
      <c r="H3622" s="2" t="s">
        <v>50</v>
      </c>
      <c r="I3622" s="2">
        <v>0</v>
      </c>
    </row>
    <row r="3623" spans="1:10" x14ac:dyDescent="0.25">
      <c r="A3623" s="1" t="s">
        <v>5342</v>
      </c>
      <c r="B3623" t="s">
        <v>5343</v>
      </c>
      <c r="C3623" s="1" t="s">
        <v>5356</v>
      </c>
      <c r="D3623" s="1" t="s">
        <v>5356</v>
      </c>
      <c r="E3623" t="s">
        <v>5357</v>
      </c>
      <c r="F3623" s="2" t="s">
        <v>1768</v>
      </c>
      <c r="G3623" t="s">
        <v>49</v>
      </c>
      <c r="H3623" s="2" t="s">
        <v>50</v>
      </c>
      <c r="I3623" s="2">
        <v>0</v>
      </c>
    </row>
    <row r="3624" spans="1:10" x14ac:dyDescent="0.25">
      <c r="A3624" s="1" t="s">
        <v>5342</v>
      </c>
      <c r="B3624" t="s">
        <v>5343</v>
      </c>
      <c r="C3624" s="1" t="s">
        <v>5358</v>
      </c>
      <c r="D3624" s="1" t="s">
        <v>5358</v>
      </c>
      <c r="E3624" t="s">
        <v>5359</v>
      </c>
      <c r="F3624" s="2" t="s">
        <v>1768</v>
      </c>
      <c r="G3624" t="s">
        <v>49</v>
      </c>
      <c r="H3624" s="2" t="s">
        <v>92</v>
      </c>
      <c r="I3624" s="2">
        <v>0</v>
      </c>
    </row>
    <row r="3625" spans="1:10" x14ac:dyDescent="0.25">
      <c r="A3625" s="1" t="s">
        <v>5342</v>
      </c>
      <c r="B3625" t="s">
        <v>5343</v>
      </c>
      <c r="C3625" s="1" t="s">
        <v>5360</v>
      </c>
      <c r="D3625" s="1" t="s">
        <v>5360</v>
      </c>
      <c r="E3625" t="s">
        <v>5361</v>
      </c>
      <c r="F3625" s="2" t="s">
        <v>1768</v>
      </c>
      <c r="G3625" t="s">
        <v>49</v>
      </c>
      <c r="H3625" s="2" t="s">
        <v>50</v>
      </c>
      <c r="I3625" s="2">
        <v>0</v>
      </c>
    </row>
    <row r="3626" spans="1:10" x14ac:dyDescent="0.25">
      <c r="A3626" s="1" t="s">
        <v>5342</v>
      </c>
      <c r="B3626" t="s">
        <v>5343</v>
      </c>
      <c r="C3626" s="1" t="s">
        <v>5362</v>
      </c>
      <c r="D3626" s="1" t="s">
        <v>5362</v>
      </c>
      <c r="E3626" t="s">
        <v>5363</v>
      </c>
      <c r="F3626" s="2" t="s">
        <v>1768</v>
      </c>
      <c r="G3626" t="s">
        <v>49</v>
      </c>
      <c r="H3626" s="2" t="s">
        <v>50</v>
      </c>
      <c r="I3626" s="2">
        <v>0</v>
      </c>
    </row>
    <row r="3627" spans="1:10" x14ac:dyDescent="0.25">
      <c r="A3627" s="1" t="s">
        <v>5342</v>
      </c>
      <c r="B3627" t="s">
        <v>5343</v>
      </c>
      <c r="C3627" s="1" t="s">
        <v>5364</v>
      </c>
      <c r="D3627" s="1" t="s">
        <v>5364</v>
      </c>
      <c r="E3627" t="s">
        <v>5365</v>
      </c>
      <c r="F3627" s="2" t="s">
        <v>1768</v>
      </c>
      <c r="G3627" t="s">
        <v>49</v>
      </c>
      <c r="H3627" s="2" t="s">
        <v>50</v>
      </c>
      <c r="I3627" s="2">
        <v>0</v>
      </c>
    </row>
    <row r="3628" spans="1:10" x14ac:dyDescent="0.25">
      <c r="A3628" s="1" t="s">
        <v>5342</v>
      </c>
      <c r="B3628" t="s">
        <v>5343</v>
      </c>
      <c r="C3628" s="1" t="s">
        <v>5366</v>
      </c>
      <c r="D3628" s="1" t="s">
        <v>5366</v>
      </c>
      <c r="E3628" t="s">
        <v>5367</v>
      </c>
      <c r="F3628" s="2" t="s">
        <v>5368</v>
      </c>
      <c r="G3628" t="s">
        <v>39</v>
      </c>
      <c r="H3628" s="2" t="s">
        <v>558</v>
      </c>
      <c r="I3628" s="2">
        <v>0.05</v>
      </c>
    </row>
    <row r="3629" spans="1:10" x14ac:dyDescent="0.25">
      <c r="A3629" s="1" t="s">
        <v>5342</v>
      </c>
      <c r="B3629" t="s">
        <v>5343</v>
      </c>
      <c r="C3629" s="1" t="s">
        <v>5369</v>
      </c>
      <c r="D3629" s="1" t="s">
        <v>5369</v>
      </c>
      <c r="E3629" t="s">
        <v>5370</v>
      </c>
      <c r="F3629" s="2" t="s">
        <v>343</v>
      </c>
      <c r="G3629" t="s">
        <v>49</v>
      </c>
      <c r="H3629" s="2" t="s">
        <v>312</v>
      </c>
      <c r="I3629" s="2">
        <v>27.2</v>
      </c>
      <c r="J3629" t="s">
        <v>55</v>
      </c>
    </row>
    <row r="3630" spans="1:10" x14ac:dyDescent="0.25">
      <c r="A3630" s="1" t="s">
        <v>5342</v>
      </c>
      <c r="B3630" t="s">
        <v>5343</v>
      </c>
      <c r="C3630" s="1" t="s">
        <v>857</v>
      </c>
      <c r="D3630" s="1" t="s">
        <v>857</v>
      </c>
      <c r="E3630" t="s">
        <v>858</v>
      </c>
      <c r="F3630" s="2" t="s">
        <v>686</v>
      </c>
      <c r="G3630" t="s">
        <v>49</v>
      </c>
      <c r="H3630" s="2" t="s">
        <v>4605</v>
      </c>
      <c r="I3630" s="2">
        <v>3</v>
      </c>
    </row>
    <row r="3631" spans="1:10" x14ac:dyDescent="0.25">
      <c r="A3631" s="1" t="s">
        <v>5342</v>
      </c>
      <c r="B3631" t="s">
        <v>5343</v>
      </c>
      <c r="C3631" s="1" t="s">
        <v>432</v>
      </c>
      <c r="D3631" s="1" t="s">
        <v>432</v>
      </c>
      <c r="E3631" t="s">
        <v>433</v>
      </c>
      <c r="F3631" s="2" t="s">
        <v>434</v>
      </c>
      <c r="G3631" t="s">
        <v>435</v>
      </c>
      <c r="H3631" s="2" t="s">
        <v>5371</v>
      </c>
      <c r="I3631" s="2">
        <v>9.8800000000000008</v>
      </c>
    </row>
    <row r="3632" spans="1:10" x14ac:dyDescent="0.25">
      <c r="A3632" s="1" t="s">
        <v>5342</v>
      </c>
      <c r="B3632" t="s">
        <v>5343</v>
      </c>
      <c r="C3632" s="1" t="s">
        <v>684</v>
      </c>
      <c r="D3632" s="1" t="s">
        <v>684</v>
      </c>
      <c r="E3632" t="s">
        <v>685</v>
      </c>
      <c r="F3632" s="2" t="s">
        <v>686</v>
      </c>
      <c r="G3632" t="s">
        <v>49</v>
      </c>
      <c r="H3632" s="2" t="s">
        <v>687</v>
      </c>
      <c r="I3632" s="2">
        <v>40</v>
      </c>
    </row>
    <row r="3633" spans="1:10" x14ac:dyDescent="0.25">
      <c r="A3633" s="1" t="s">
        <v>5342</v>
      </c>
      <c r="B3633" t="s">
        <v>5343</v>
      </c>
      <c r="C3633" s="1" t="s">
        <v>684</v>
      </c>
      <c r="D3633" s="1" t="s">
        <v>684</v>
      </c>
      <c r="E3633" t="s">
        <v>685</v>
      </c>
      <c r="F3633" s="2" t="s">
        <v>686</v>
      </c>
      <c r="G3633" t="s">
        <v>49</v>
      </c>
      <c r="H3633" s="2" t="s">
        <v>5372</v>
      </c>
      <c r="I3633" s="2">
        <v>78.599999999999994</v>
      </c>
    </row>
    <row r="3634" spans="1:10" x14ac:dyDescent="0.25">
      <c r="A3634" s="1" t="s">
        <v>5342</v>
      </c>
      <c r="B3634" t="s">
        <v>5343</v>
      </c>
      <c r="C3634" s="1" t="s">
        <v>684</v>
      </c>
      <c r="D3634" s="1" t="s">
        <v>684</v>
      </c>
      <c r="E3634" t="s">
        <v>685</v>
      </c>
      <c r="F3634" s="2" t="s">
        <v>686</v>
      </c>
      <c r="G3634" t="s">
        <v>49</v>
      </c>
      <c r="H3634" s="2" t="s">
        <v>5373</v>
      </c>
      <c r="I3634" s="2">
        <v>4</v>
      </c>
    </row>
    <row r="3635" spans="1:10" x14ac:dyDescent="0.25">
      <c r="A3635" s="1" t="s">
        <v>5342</v>
      </c>
      <c r="B3635" t="s">
        <v>5343</v>
      </c>
      <c r="C3635" s="1" t="s">
        <v>7</v>
      </c>
      <c r="D3635" s="1" t="s">
        <v>7</v>
      </c>
      <c r="E3635" t="s">
        <v>8</v>
      </c>
      <c r="F3635" s="2" t="s">
        <v>9</v>
      </c>
      <c r="G3635" t="s">
        <v>10</v>
      </c>
      <c r="H3635" s="2" t="s">
        <v>50</v>
      </c>
      <c r="I3635" s="2">
        <v>46</v>
      </c>
    </row>
    <row r="3636" spans="1:10" x14ac:dyDescent="0.25">
      <c r="A3636" s="1" t="s">
        <v>5342</v>
      </c>
      <c r="B3636" t="s">
        <v>5343</v>
      </c>
      <c r="C3636" s="1" t="s">
        <v>7</v>
      </c>
      <c r="D3636" s="1" t="s">
        <v>7</v>
      </c>
      <c r="E3636" t="s">
        <v>8</v>
      </c>
      <c r="F3636" s="2" t="s">
        <v>9</v>
      </c>
      <c r="G3636" t="s">
        <v>10</v>
      </c>
      <c r="H3636" s="2" t="s">
        <v>5374</v>
      </c>
      <c r="I3636" s="2">
        <v>1495</v>
      </c>
    </row>
    <row r="3637" spans="1:10" x14ac:dyDescent="0.25">
      <c r="A3637" s="1" t="s">
        <v>5369</v>
      </c>
      <c r="B3637" t="s">
        <v>5370</v>
      </c>
      <c r="C3637" s="1" t="s">
        <v>5375</v>
      </c>
      <c r="D3637" s="1" t="s">
        <v>5375</v>
      </c>
      <c r="E3637" t="s">
        <v>5376</v>
      </c>
      <c r="F3637" s="2" t="s">
        <v>1768</v>
      </c>
      <c r="G3637" t="s">
        <v>5</v>
      </c>
      <c r="H3637" s="2" t="s">
        <v>5377</v>
      </c>
      <c r="I3637" s="2">
        <v>0</v>
      </c>
    </row>
    <row r="3638" spans="1:10" x14ac:dyDescent="0.25">
      <c r="A3638" s="1" t="s">
        <v>5369</v>
      </c>
      <c r="B3638" t="s">
        <v>5370</v>
      </c>
      <c r="C3638" s="1" t="s">
        <v>432</v>
      </c>
      <c r="D3638" s="1" t="s">
        <v>432</v>
      </c>
      <c r="E3638" t="s">
        <v>433</v>
      </c>
      <c r="F3638" s="2" t="s">
        <v>434</v>
      </c>
      <c r="G3638" t="s">
        <v>435</v>
      </c>
      <c r="H3638" s="2" t="s">
        <v>50</v>
      </c>
      <c r="I3638" s="2">
        <v>1.1000000000000001</v>
      </c>
    </row>
    <row r="3639" spans="1:10" x14ac:dyDescent="0.25">
      <c r="A3639" s="1" t="s">
        <v>5369</v>
      </c>
      <c r="B3639" t="s">
        <v>5370</v>
      </c>
      <c r="C3639" s="1" t="s">
        <v>7</v>
      </c>
      <c r="D3639" s="1" t="s">
        <v>7</v>
      </c>
      <c r="E3639" t="s">
        <v>8</v>
      </c>
      <c r="F3639" s="2" t="s">
        <v>9</v>
      </c>
      <c r="G3639" t="s">
        <v>10</v>
      </c>
      <c r="H3639" s="2" t="s">
        <v>367</v>
      </c>
      <c r="I3639" s="2">
        <v>2.2999999999999998</v>
      </c>
    </row>
    <row r="3640" spans="1:10" x14ac:dyDescent="0.25">
      <c r="A3640" s="1" t="s">
        <v>5378</v>
      </c>
      <c r="B3640" t="s">
        <v>5379</v>
      </c>
      <c r="C3640" s="1" t="s">
        <v>1074</v>
      </c>
      <c r="D3640" s="1" t="s">
        <v>1074</v>
      </c>
      <c r="E3640" t="s">
        <v>1075</v>
      </c>
      <c r="F3640" s="2" t="s">
        <v>87</v>
      </c>
      <c r="G3640" t="s">
        <v>5</v>
      </c>
      <c r="H3640" s="2" t="s">
        <v>4059</v>
      </c>
      <c r="I3640" s="2">
        <v>0.57999999999999996</v>
      </c>
    </row>
    <row r="3641" spans="1:10" x14ac:dyDescent="0.25">
      <c r="A3641" s="1" t="s">
        <v>5378</v>
      </c>
      <c r="B3641" t="s">
        <v>5379</v>
      </c>
      <c r="C3641" s="1" t="s">
        <v>2881</v>
      </c>
      <c r="D3641" s="1" t="s">
        <v>2881</v>
      </c>
      <c r="E3641" t="s">
        <v>2882</v>
      </c>
      <c r="F3641" s="2" t="s">
        <v>5380</v>
      </c>
      <c r="G3641" t="s">
        <v>5</v>
      </c>
      <c r="H3641" s="2" t="s">
        <v>601</v>
      </c>
      <c r="I3641" s="2">
        <v>2</v>
      </c>
    </row>
    <row r="3642" spans="1:10" x14ac:dyDescent="0.25">
      <c r="A3642" s="1" t="s">
        <v>5378</v>
      </c>
      <c r="B3642" t="s">
        <v>5379</v>
      </c>
      <c r="C3642" s="1" t="s">
        <v>5381</v>
      </c>
      <c r="D3642" s="1" t="s">
        <v>1372</v>
      </c>
      <c r="E3642" t="s">
        <v>1373</v>
      </c>
      <c r="F3642" s="2" t="s">
        <v>5382</v>
      </c>
      <c r="G3642" t="s">
        <v>49</v>
      </c>
      <c r="H3642" s="2" t="s">
        <v>50</v>
      </c>
      <c r="I3642" s="2">
        <v>104.35</v>
      </c>
      <c r="J3642" t="s">
        <v>51</v>
      </c>
    </row>
    <row r="3643" spans="1:10" x14ac:dyDescent="0.25">
      <c r="A3643" s="1" t="s">
        <v>5378</v>
      </c>
      <c r="B3643" t="s">
        <v>5379</v>
      </c>
      <c r="C3643" s="1" t="s">
        <v>5383</v>
      </c>
      <c r="D3643" s="1" t="s">
        <v>5383</v>
      </c>
      <c r="E3643" t="s">
        <v>5384</v>
      </c>
      <c r="F3643" s="2" t="s">
        <v>5385</v>
      </c>
      <c r="G3643" t="s">
        <v>49</v>
      </c>
      <c r="H3643" s="2" t="s">
        <v>50</v>
      </c>
      <c r="I3643" s="2">
        <v>355.63</v>
      </c>
      <c r="J3643" t="s">
        <v>55</v>
      </c>
    </row>
    <row r="3644" spans="1:10" x14ac:dyDescent="0.25">
      <c r="A3644" s="1" t="s">
        <v>5378</v>
      </c>
      <c r="B3644" t="s">
        <v>5379</v>
      </c>
      <c r="C3644" s="1" t="s">
        <v>684</v>
      </c>
      <c r="D3644" s="1" t="s">
        <v>684</v>
      </c>
      <c r="E3644" t="s">
        <v>685</v>
      </c>
      <c r="F3644" s="2" t="s">
        <v>686</v>
      </c>
      <c r="G3644" t="s">
        <v>49</v>
      </c>
      <c r="H3644" s="2" t="s">
        <v>5386</v>
      </c>
      <c r="I3644" s="2">
        <v>29.9</v>
      </c>
    </row>
    <row r="3645" spans="1:10" x14ac:dyDescent="0.25">
      <c r="A3645" s="1" t="s">
        <v>5378</v>
      </c>
      <c r="B3645" t="s">
        <v>5379</v>
      </c>
      <c r="C3645" s="1" t="s">
        <v>541</v>
      </c>
      <c r="D3645" s="1" t="s">
        <v>541</v>
      </c>
      <c r="E3645" t="s">
        <v>542</v>
      </c>
      <c r="F3645" s="2" t="s">
        <v>9</v>
      </c>
      <c r="G3645" t="s">
        <v>10</v>
      </c>
      <c r="H3645" s="2" t="s">
        <v>3047</v>
      </c>
      <c r="I3645" s="2">
        <v>4.83</v>
      </c>
    </row>
    <row r="3646" spans="1:10" x14ac:dyDescent="0.25">
      <c r="A3646" s="1" t="s">
        <v>5378</v>
      </c>
      <c r="B3646" t="s">
        <v>5379</v>
      </c>
      <c r="C3646" s="1" t="s">
        <v>541</v>
      </c>
      <c r="D3646" s="1" t="s">
        <v>541</v>
      </c>
      <c r="E3646" t="s">
        <v>542</v>
      </c>
      <c r="F3646" s="2" t="s">
        <v>9</v>
      </c>
      <c r="G3646" t="s">
        <v>10</v>
      </c>
      <c r="H3646" s="2" t="s">
        <v>5387</v>
      </c>
      <c r="I3646" s="2">
        <v>15.92</v>
      </c>
    </row>
    <row r="3647" spans="1:10" x14ac:dyDescent="0.25">
      <c r="A3647" s="1" t="s">
        <v>5378</v>
      </c>
      <c r="B3647" t="s">
        <v>5379</v>
      </c>
      <c r="C3647" s="1" t="s">
        <v>541</v>
      </c>
      <c r="D3647" s="1" t="s">
        <v>541</v>
      </c>
      <c r="E3647" t="s">
        <v>542</v>
      </c>
      <c r="F3647" s="2" t="s">
        <v>9</v>
      </c>
      <c r="G3647" t="s">
        <v>10</v>
      </c>
      <c r="H3647" s="2" t="s">
        <v>5388</v>
      </c>
      <c r="I3647" s="2">
        <v>3.61</v>
      </c>
    </row>
    <row r="3648" spans="1:10" x14ac:dyDescent="0.25">
      <c r="A3648" s="1" t="s">
        <v>5378</v>
      </c>
      <c r="B3648" t="s">
        <v>5379</v>
      </c>
      <c r="C3648" s="1" t="s">
        <v>7</v>
      </c>
      <c r="D3648" s="1" t="s">
        <v>7</v>
      </c>
      <c r="E3648" t="s">
        <v>8</v>
      </c>
      <c r="F3648" s="2" t="s">
        <v>9</v>
      </c>
      <c r="G3648" t="s">
        <v>10</v>
      </c>
      <c r="H3648" s="2" t="s">
        <v>5389</v>
      </c>
      <c r="I3648" s="2">
        <v>40.630000000000003</v>
      </c>
    </row>
    <row r="3649" spans="1:10" x14ac:dyDescent="0.25">
      <c r="A3649" s="1" t="s">
        <v>5390</v>
      </c>
      <c r="B3649" t="s">
        <v>5391</v>
      </c>
      <c r="C3649" s="1" t="s">
        <v>1249</v>
      </c>
      <c r="D3649" s="1" t="s">
        <v>1249</v>
      </c>
      <c r="E3649" t="s">
        <v>1250</v>
      </c>
      <c r="F3649" s="2" t="s">
        <v>1251</v>
      </c>
      <c r="G3649" t="s">
        <v>1252</v>
      </c>
      <c r="H3649" s="2" t="s">
        <v>367</v>
      </c>
      <c r="I3649" s="2">
        <v>600</v>
      </c>
    </row>
    <row r="3650" spans="1:10" x14ac:dyDescent="0.25">
      <c r="A3650" s="1" t="s">
        <v>5390</v>
      </c>
      <c r="B3650" t="s">
        <v>5391</v>
      </c>
      <c r="C3650" s="1" t="s">
        <v>1989</v>
      </c>
      <c r="D3650" s="1" t="s">
        <v>1989</v>
      </c>
      <c r="E3650" t="s">
        <v>1990</v>
      </c>
      <c r="F3650" s="2" t="s">
        <v>1991</v>
      </c>
      <c r="G3650" t="s">
        <v>435</v>
      </c>
      <c r="H3650" s="2" t="s">
        <v>5392</v>
      </c>
      <c r="I3650" s="2">
        <v>79.349999999999994</v>
      </c>
    </row>
    <row r="3651" spans="1:10" x14ac:dyDescent="0.25">
      <c r="A3651" s="1" t="s">
        <v>5390</v>
      </c>
      <c r="B3651" t="s">
        <v>5391</v>
      </c>
      <c r="C3651" s="1" t="s">
        <v>7</v>
      </c>
      <c r="D3651" s="1" t="s">
        <v>7</v>
      </c>
      <c r="E3651" t="s">
        <v>8</v>
      </c>
      <c r="F3651" s="2" t="s">
        <v>9</v>
      </c>
      <c r="G3651" t="s">
        <v>10</v>
      </c>
      <c r="H3651" s="2" t="s">
        <v>5327</v>
      </c>
      <c r="I3651" s="2">
        <v>1104</v>
      </c>
    </row>
    <row r="3652" spans="1:10" x14ac:dyDescent="0.25">
      <c r="A3652" s="1" t="s">
        <v>5390</v>
      </c>
      <c r="B3652" t="s">
        <v>5391</v>
      </c>
      <c r="C3652" s="1" t="s">
        <v>7</v>
      </c>
      <c r="D3652" s="1" t="s">
        <v>7</v>
      </c>
      <c r="E3652" t="s">
        <v>8</v>
      </c>
      <c r="F3652" s="2" t="s">
        <v>9</v>
      </c>
      <c r="G3652" t="s">
        <v>10</v>
      </c>
      <c r="H3652" s="2" t="s">
        <v>5393</v>
      </c>
      <c r="I3652" s="2">
        <v>207</v>
      </c>
    </row>
    <row r="3653" spans="1:10" x14ac:dyDescent="0.25">
      <c r="A3653" s="1" t="s">
        <v>5394</v>
      </c>
      <c r="B3653" t="s">
        <v>5395</v>
      </c>
      <c r="C3653" s="1" t="s">
        <v>1074</v>
      </c>
      <c r="D3653" s="1" t="s">
        <v>1074</v>
      </c>
      <c r="E3653" t="s">
        <v>1075</v>
      </c>
      <c r="F3653" s="2" t="s">
        <v>1884</v>
      </c>
      <c r="G3653" t="s">
        <v>5</v>
      </c>
      <c r="H3653" s="2" t="s">
        <v>478</v>
      </c>
      <c r="I3653" s="2">
        <v>0.77</v>
      </c>
    </row>
    <row r="3654" spans="1:10" x14ac:dyDescent="0.25">
      <c r="A3654" s="1" t="s">
        <v>5394</v>
      </c>
      <c r="B3654" t="s">
        <v>5395</v>
      </c>
      <c r="C3654" s="1" t="s">
        <v>1959</v>
      </c>
      <c r="D3654" s="1" t="s">
        <v>1959</v>
      </c>
      <c r="E3654" t="s">
        <v>1960</v>
      </c>
      <c r="F3654" s="2" t="s">
        <v>131</v>
      </c>
      <c r="G3654" t="s">
        <v>5</v>
      </c>
      <c r="H3654" s="2" t="s">
        <v>3404</v>
      </c>
      <c r="I3654" s="2">
        <v>3.12</v>
      </c>
    </row>
    <row r="3655" spans="1:10" x14ac:dyDescent="0.25">
      <c r="A3655" s="1" t="s">
        <v>5394</v>
      </c>
      <c r="B3655" t="s">
        <v>5395</v>
      </c>
      <c r="C3655" s="1" t="s">
        <v>41</v>
      </c>
      <c r="D3655" s="1" t="s">
        <v>41</v>
      </c>
      <c r="E3655" t="s">
        <v>42</v>
      </c>
      <c r="F3655" s="2" t="s">
        <v>513</v>
      </c>
      <c r="G3655" t="s">
        <v>5</v>
      </c>
      <c r="H3655" s="2" t="s">
        <v>4883</v>
      </c>
      <c r="I3655" s="2">
        <v>0.02</v>
      </c>
    </row>
    <row r="3656" spans="1:10" x14ac:dyDescent="0.25">
      <c r="A3656" s="1" t="s">
        <v>5394</v>
      </c>
      <c r="B3656" t="s">
        <v>5395</v>
      </c>
      <c r="C3656" s="1" t="s">
        <v>5396</v>
      </c>
      <c r="D3656" s="1" t="s">
        <v>5396</v>
      </c>
      <c r="E3656" t="s">
        <v>5397</v>
      </c>
      <c r="F3656" s="2" t="s">
        <v>5398</v>
      </c>
      <c r="G3656" t="s">
        <v>49</v>
      </c>
      <c r="H3656" s="2" t="s">
        <v>50</v>
      </c>
      <c r="I3656" s="2">
        <v>140.24</v>
      </c>
      <c r="J3656" t="s">
        <v>55</v>
      </c>
    </row>
    <row r="3657" spans="1:10" x14ac:dyDescent="0.25">
      <c r="A3657" s="1" t="s">
        <v>5394</v>
      </c>
      <c r="B3657" t="s">
        <v>5395</v>
      </c>
      <c r="C3657" s="1" t="s">
        <v>5399</v>
      </c>
      <c r="D3657" s="1" t="s">
        <v>5399</v>
      </c>
      <c r="E3657" t="s">
        <v>5400</v>
      </c>
      <c r="F3657" s="2" t="s">
        <v>5401</v>
      </c>
      <c r="G3657" t="s">
        <v>49</v>
      </c>
      <c r="H3657" s="2" t="s">
        <v>50</v>
      </c>
      <c r="I3657" s="2">
        <v>197.3</v>
      </c>
      <c r="J3657" t="s">
        <v>55</v>
      </c>
    </row>
    <row r="3658" spans="1:10" x14ac:dyDescent="0.25">
      <c r="A3658" s="1" t="s">
        <v>5394</v>
      </c>
      <c r="B3658" t="s">
        <v>5395</v>
      </c>
      <c r="C3658" s="1" t="s">
        <v>7</v>
      </c>
      <c r="D3658" s="1" t="s">
        <v>7</v>
      </c>
      <c r="E3658" t="s">
        <v>8</v>
      </c>
      <c r="F3658" s="2" t="s">
        <v>9</v>
      </c>
      <c r="G3658" t="s">
        <v>10</v>
      </c>
      <c r="H3658" s="2" t="s">
        <v>5402</v>
      </c>
      <c r="I3658" s="2">
        <v>16.170000000000002</v>
      </c>
    </row>
    <row r="3659" spans="1:10" x14ac:dyDescent="0.25">
      <c r="A3659" s="1" t="s">
        <v>5399</v>
      </c>
      <c r="B3659" t="s">
        <v>5400</v>
      </c>
      <c r="C3659" s="1" t="s">
        <v>5403</v>
      </c>
      <c r="D3659" s="1" t="s">
        <v>5403</v>
      </c>
      <c r="E3659" t="s">
        <v>5404</v>
      </c>
      <c r="F3659" s="2" t="s">
        <v>5405</v>
      </c>
      <c r="G3659" t="s">
        <v>49</v>
      </c>
      <c r="H3659" s="2" t="s">
        <v>50</v>
      </c>
      <c r="I3659" s="2">
        <v>53.12</v>
      </c>
      <c r="J3659" t="s">
        <v>55</v>
      </c>
    </row>
    <row r="3660" spans="1:10" x14ac:dyDescent="0.25">
      <c r="A3660" s="1" t="s">
        <v>5399</v>
      </c>
      <c r="B3660" t="s">
        <v>5400</v>
      </c>
      <c r="C3660" s="1" t="s">
        <v>5406</v>
      </c>
      <c r="D3660" s="1" t="s">
        <v>5406</v>
      </c>
      <c r="E3660" t="s">
        <v>5407</v>
      </c>
      <c r="F3660" s="2" t="s">
        <v>5408</v>
      </c>
      <c r="G3660" t="s">
        <v>49</v>
      </c>
      <c r="H3660" s="2" t="s">
        <v>50</v>
      </c>
      <c r="I3660" s="2">
        <v>61.52</v>
      </c>
      <c r="J3660" t="s">
        <v>55</v>
      </c>
    </row>
    <row r="3661" spans="1:10" x14ac:dyDescent="0.25">
      <c r="A3661" s="1" t="s">
        <v>5399</v>
      </c>
      <c r="B3661" t="s">
        <v>5400</v>
      </c>
      <c r="C3661" s="1" t="s">
        <v>857</v>
      </c>
      <c r="D3661" s="1" t="s">
        <v>857</v>
      </c>
      <c r="E3661" t="s">
        <v>858</v>
      </c>
      <c r="F3661" s="2" t="s">
        <v>686</v>
      </c>
      <c r="G3661" t="s">
        <v>49</v>
      </c>
      <c r="H3661" s="2" t="s">
        <v>5409</v>
      </c>
      <c r="I3661" s="2">
        <v>1.05</v>
      </c>
    </row>
    <row r="3662" spans="1:10" x14ac:dyDescent="0.25">
      <c r="A3662" s="1" t="s">
        <v>5399</v>
      </c>
      <c r="B3662" t="s">
        <v>5400</v>
      </c>
      <c r="C3662" s="1" t="s">
        <v>7</v>
      </c>
      <c r="D3662" s="1" t="s">
        <v>7</v>
      </c>
      <c r="E3662" t="s">
        <v>8</v>
      </c>
      <c r="F3662" s="2" t="s">
        <v>9</v>
      </c>
      <c r="G3662" t="s">
        <v>10</v>
      </c>
      <c r="H3662" s="2" t="s">
        <v>3839</v>
      </c>
      <c r="I3662" s="2">
        <v>36.17</v>
      </c>
    </row>
    <row r="3663" spans="1:10" x14ac:dyDescent="0.25">
      <c r="A3663" s="1" t="s">
        <v>5399</v>
      </c>
      <c r="B3663" t="s">
        <v>5400</v>
      </c>
      <c r="C3663" s="1" t="s">
        <v>7</v>
      </c>
      <c r="D3663" s="1" t="s">
        <v>7</v>
      </c>
      <c r="E3663" t="s">
        <v>8</v>
      </c>
      <c r="F3663" s="2" t="s">
        <v>9</v>
      </c>
      <c r="G3663" t="s">
        <v>10</v>
      </c>
      <c r="H3663" s="2" t="s">
        <v>5410</v>
      </c>
      <c r="I3663" s="2">
        <v>38.47</v>
      </c>
    </row>
    <row r="3664" spans="1:10" x14ac:dyDescent="0.25">
      <c r="A3664" s="1" t="s">
        <v>5399</v>
      </c>
      <c r="B3664" t="s">
        <v>5400</v>
      </c>
      <c r="C3664" s="1" t="s">
        <v>7</v>
      </c>
      <c r="D3664" s="1" t="s">
        <v>7</v>
      </c>
      <c r="E3664" t="s">
        <v>8</v>
      </c>
      <c r="F3664" s="2" t="s">
        <v>9</v>
      </c>
      <c r="G3664" t="s">
        <v>10</v>
      </c>
      <c r="H3664" s="2" t="s">
        <v>5411</v>
      </c>
      <c r="I3664" s="2">
        <v>6.97</v>
      </c>
    </row>
    <row r="3665" spans="1:9" x14ac:dyDescent="0.25">
      <c r="A3665" s="1" t="s">
        <v>5403</v>
      </c>
      <c r="B3665" t="s">
        <v>5404</v>
      </c>
      <c r="C3665" s="1" t="s">
        <v>3258</v>
      </c>
      <c r="D3665" s="1" t="s">
        <v>3258</v>
      </c>
      <c r="E3665" t="s">
        <v>3259</v>
      </c>
      <c r="F3665" s="2" t="s">
        <v>70</v>
      </c>
      <c r="G3665" t="s">
        <v>5</v>
      </c>
      <c r="H3665" s="2" t="s">
        <v>5412</v>
      </c>
      <c r="I3665" s="2">
        <v>24.75</v>
      </c>
    </row>
    <row r="3666" spans="1:9" x14ac:dyDescent="0.25">
      <c r="A3666" s="1" t="s">
        <v>5403</v>
      </c>
      <c r="B3666" t="s">
        <v>5404</v>
      </c>
      <c r="C3666" s="1" t="s">
        <v>7</v>
      </c>
      <c r="D3666" s="1" t="s">
        <v>7</v>
      </c>
      <c r="E3666" t="s">
        <v>8</v>
      </c>
      <c r="F3666" s="2" t="s">
        <v>9</v>
      </c>
      <c r="G3666" t="s">
        <v>10</v>
      </c>
      <c r="H3666" s="2" t="s">
        <v>5413</v>
      </c>
      <c r="I3666" s="2">
        <v>28.37</v>
      </c>
    </row>
    <row r="3667" spans="1:9" x14ac:dyDescent="0.25">
      <c r="A3667" s="1" t="s">
        <v>5406</v>
      </c>
      <c r="B3667" t="s">
        <v>5407</v>
      </c>
      <c r="C3667" s="1" t="s">
        <v>5414</v>
      </c>
      <c r="D3667" s="1" t="s">
        <v>5414</v>
      </c>
      <c r="E3667" t="s">
        <v>5415</v>
      </c>
      <c r="F3667" s="2" t="s">
        <v>5416</v>
      </c>
      <c r="G3667" t="s">
        <v>49</v>
      </c>
      <c r="H3667" s="2" t="s">
        <v>50</v>
      </c>
      <c r="I3667" s="2">
        <v>33.15</v>
      </c>
    </row>
    <row r="3668" spans="1:9" x14ac:dyDescent="0.25">
      <c r="A3668" s="1" t="s">
        <v>5406</v>
      </c>
      <c r="B3668" t="s">
        <v>5407</v>
      </c>
      <c r="C3668" s="1" t="s">
        <v>7</v>
      </c>
      <c r="D3668" s="1" t="s">
        <v>7</v>
      </c>
      <c r="E3668" t="s">
        <v>8</v>
      </c>
      <c r="F3668" s="2" t="s">
        <v>9</v>
      </c>
      <c r="G3668" t="s">
        <v>10</v>
      </c>
      <c r="H3668" s="2" t="s">
        <v>5413</v>
      </c>
      <c r="I3668" s="2">
        <v>28.37</v>
      </c>
    </row>
    <row r="3669" spans="1:9" x14ac:dyDescent="0.25">
      <c r="A3669" s="1" t="s">
        <v>5417</v>
      </c>
      <c r="B3669" t="s">
        <v>5418</v>
      </c>
      <c r="C3669" s="1" t="s">
        <v>4085</v>
      </c>
      <c r="D3669" s="1" t="s">
        <v>4085</v>
      </c>
      <c r="E3669" t="s">
        <v>4086</v>
      </c>
      <c r="F3669" s="2" t="s">
        <v>1394</v>
      </c>
      <c r="G3669" t="s">
        <v>5</v>
      </c>
      <c r="H3669" s="2" t="s">
        <v>5419</v>
      </c>
      <c r="I3669" s="2">
        <v>2.25</v>
      </c>
    </row>
    <row r="3670" spans="1:9" x14ac:dyDescent="0.25">
      <c r="A3670" s="1" t="s">
        <v>5417</v>
      </c>
      <c r="B3670" t="s">
        <v>5418</v>
      </c>
      <c r="C3670" s="1" t="s">
        <v>432</v>
      </c>
      <c r="D3670" s="1" t="s">
        <v>432</v>
      </c>
      <c r="E3670" t="s">
        <v>433</v>
      </c>
      <c r="F3670" s="2" t="s">
        <v>434</v>
      </c>
      <c r="G3670" t="s">
        <v>435</v>
      </c>
      <c r="H3670" s="2" t="s">
        <v>50</v>
      </c>
      <c r="I3670" s="2">
        <v>1.1000000000000001</v>
      </c>
    </row>
    <row r="3671" spans="1:9" x14ac:dyDescent="0.25">
      <c r="A3671" s="1" t="s">
        <v>5417</v>
      </c>
      <c r="B3671" t="s">
        <v>5418</v>
      </c>
      <c r="C3671" s="1" t="s">
        <v>541</v>
      </c>
      <c r="D3671" s="1" t="s">
        <v>541</v>
      </c>
      <c r="E3671" t="s">
        <v>542</v>
      </c>
      <c r="F3671" s="2" t="s">
        <v>9</v>
      </c>
      <c r="G3671" t="s">
        <v>10</v>
      </c>
      <c r="H3671" s="2" t="s">
        <v>3037</v>
      </c>
      <c r="I3671" s="2">
        <v>3.83</v>
      </c>
    </row>
    <row r="3672" spans="1:9" x14ac:dyDescent="0.25">
      <c r="A3672" s="1" t="s">
        <v>5420</v>
      </c>
      <c r="B3672" t="s">
        <v>5421</v>
      </c>
      <c r="C3672" s="1" t="s">
        <v>4168</v>
      </c>
      <c r="D3672" s="1" t="s">
        <v>4168</v>
      </c>
      <c r="E3672" t="s">
        <v>4423</v>
      </c>
      <c r="F3672" s="2" t="s">
        <v>70</v>
      </c>
      <c r="G3672" t="s">
        <v>5</v>
      </c>
      <c r="H3672" s="2" t="s">
        <v>5422</v>
      </c>
      <c r="I3672" s="2">
        <v>11.75</v>
      </c>
    </row>
    <row r="3673" spans="1:9" x14ac:dyDescent="0.25">
      <c r="A3673" s="1" t="s">
        <v>5420</v>
      </c>
      <c r="B3673" t="s">
        <v>5421</v>
      </c>
      <c r="C3673" s="1" t="s">
        <v>541</v>
      </c>
      <c r="D3673" s="1" t="s">
        <v>541</v>
      </c>
      <c r="E3673" t="s">
        <v>542</v>
      </c>
      <c r="F3673" s="2" t="s">
        <v>9</v>
      </c>
      <c r="G3673" t="s">
        <v>10</v>
      </c>
      <c r="H3673" s="2" t="s">
        <v>594</v>
      </c>
      <c r="I3673" s="2">
        <v>11.5</v>
      </c>
    </row>
    <row r="3674" spans="1:9" x14ac:dyDescent="0.25">
      <c r="A3674" s="1" t="s">
        <v>5423</v>
      </c>
      <c r="B3674" t="s">
        <v>5424</v>
      </c>
      <c r="C3674" s="1" t="s">
        <v>1128</v>
      </c>
      <c r="D3674" s="1" t="s">
        <v>1128</v>
      </c>
      <c r="E3674" t="s">
        <v>1129</v>
      </c>
      <c r="F3674" s="2" t="s">
        <v>31</v>
      </c>
      <c r="G3674" t="s">
        <v>5</v>
      </c>
      <c r="H3674" s="2" t="s">
        <v>5425</v>
      </c>
      <c r="I3674" s="2">
        <v>16.850000000000001</v>
      </c>
    </row>
    <row r="3675" spans="1:9" x14ac:dyDescent="0.25">
      <c r="A3675" s="1" t="s">
        <v>5423</v>
      </c>
      <c r="B3675" t="s">
        <v>5424</v>
      </c>
      <c r="C3675" s="1" t="s">
        <v>541</v>
      </c>
      <c r="D3675" s="1" t="s">
        <v>541</v>
      </c>
      <c r="E3675" t="s">
        <v>542</v>
      </c>
      <c r="F3675" s="2" t="s">
        <v>9</v>
      </c>
      <c r="G3675" t="s">
        <v>10</v>
      </c>
      <c r="H3675" s="2" t="s">
        <v>5426</v>
      </c>
      <c r="I3675" s="2">
        <v>4.67</v>
      </c>
    </row>
    <row r="3676" spans="1:9" x14ac:dyDescent="0.25">
      <c r="A3676" s="1" t="s">
        <v>5427</v>
      </c>
      <c r="B3676" t="s">
        <v>5428</v>
      </c>
      <c r="C3676" s="1" t="s">
        <v>5429</v>
      </c>
      <c r="D3676" s="1" t="s">
        <v>5429</v>
      </c>
      <c r="E3676" t="s">
        <v>5430</v>
      </c>
      <c r="F3676" s="2" t="s">
        <v>1768</v>
      </c>
      <c r="G3676" t="s">
        <v>49</v>
      </c>
      <c r="H3676" s="2" t="s">
        <v>50</v>
      </c>
      <c r="I3676" s="2">
        <v>0</v>
      </c>
    </row>
    <row r="3677" spans="1:9" x14ac:dyDescent="0.25">
      <c r="A3677" s="1" t="s">
        <v>5427</v>
      </c>
      <c r="B3677" t="s">
        <v>5428</v>
      </c>
      <c r="C3677" s="1" t="s">
        <v>1234</v>
      </c>
      <c r="D3677" s="1" t="s">
        <v>1234</v>
      </c>
      <c r="E3677" t="s">
        <v>433</v>
      </c>
      <c r="F3677" s="2" t="s">
        <v>108</v>
      </c>
      <c r="G3677" t="s">
        <v>932</v>
      </c>
      <c r="H3677" s="2" t="s">
        <v>5431</v>
      </c>
      <c r="I3677" s="2">
        <v>20.43</v>
      </c>
    </row>
    <row r="3678" spans="1:9" x14ac:dyDescent="0.25">
      <c r="A3678" s="1" t="s">
        <v>5427</v>
      </c>
      <c r="B3678" t="s">
        <v>5428</v>
      </c>
      <c r="C3678" s="1" t="s">
        <v>541</v>
      </c>
      <c r="D3678" s="1" t="s">
        <v>541</v>
      </c>
      <c r="E3678" t="s">
        <v>542</v>
      </c>
      <c r="F3678" s="2" t="s">
        <v>9</v>
      </c>
      <c r="G3678" t="s">
        <v>10</v>
      </c>
      <c r="H3678" s="2" t="s">
        <v>5432</v>
      </c>
      <c r="I3678" s="2">
        <v>20.98</v>
      </c>
    </row>
    <row r="3679" spans="1:9" x14ac:dyDescent="0.25">
      <c r="A3679" s="1" t="s">
        <v>5433</v>
      </c>
      <c r="B3679" t="s">
        <v>5434</v>
      </c>
      <c r="C3679" s="1" t="s">
        <v>1553</v>
      </c>
      <c r="D3679" s="1" t="s">
        <v>1553</v>
      </c>
      <c r="E3679" t="s">
        <v>1554</v>
      </c>
      <c r="F3679" s="2" t="s">
        <v>70</v>
      </c>
      <c r="G3679" t="s">
        <v>5</v>
      </c>
      <c r="H3679" s="2" t="s">
        <v>5435</v>
      </c>
      <c r="I3679" s="2">
        <v>20.05</v>
      </c>
    </row>
    <row r="3680" spans="1:9" x14ac:dyDescent="0.25">
      <c r="A3680" s="1" t="s">
        <v>5433</v>
      </c>
      <c r="B3680" t="s">
        <v>5434</v>
      </c>
      <c r="C3680" s="1" t="s">
        <v>1234</v>
      </c>
      <c r="D3680" s="1" t="s">
        <v>1234</v>
      </c>
      <c r="E3680" t="s">
        <v>1235</v>
      </c>
      <c r="F3680" s="2" t="s">
        <v>108</v>
      </c>
      <c r="G3680" t="s">
        <v>932</v>
      </c>
      <c r="H3680" s="2" t="s">
        <v>5436</v>
      </c>
      <c r="I3680" s="2">
        <v>11.79</v>
      </c>
    </row>
    <row r="3681" spans="1:9" x14ac:dyDescent="0.25">
      <c r="A3681" s="1" t="s">
        <v>5433</v>
      </c>
      <c r="B3681" t="s">
        <v>5434</v>
      </c>
      <c r="C3681" s="1" t="s">
        <v>541</v>
      </c>
      <c r="D3681" s="1" t="s">
        <v>541</v>
      </c>
      <c r="E3681" t="s">
        <v>542</v>
      </c>
      <c r="F3681" s="2" t="s">
        <v>9</v>
      </c>
      <c r="G3681" t="s">
        <v>10</v>
      </c>
      <c r="H3681" s="2" t="s">
        <v>33</v>
      </c>
      <c r="I3681" s="2">
        <v>9.1999999999999993</v>
      </c>
    </row>
    <row r="3682" spans="1:9" x14ac:dyDescent="0.25">
      <c r="A3682" s="1" t="s">
        <v>5437</v>
      </c>
      <c r="B3682" t="s">
        <v>5438</v>
      </c>
      <c r="C3682" s="1" t="s">
        <v>1128</v>
      </c>
      <c r="D3682" s="1" t="s">
        <v>1128</v>
      </c>
      <c r="E3682" t="s">
        <v>1129</v>
      </c>
      <c r="F3682" s="2" t="s">
        <v>31</v>
      </c>
      <c r="G3682" t="s">
        <v>5</v>
      </c>
      <c r="H3682" s="2" t="s">
        <v>5439</v>
      </c>
      <c r="I3682" s="2">
        <v>19.079999999999998</v>
      </c>
    </row>
    <row r="3683" spans="1:9" x14ac:dyDescent="0.25">
      <c r="A3683" s="1" t="s">
        <v>5437</v>
      </c>
      <c r="B3683" t="s">
        <v>5438</v>
      </c>
      <c r="C3683" s="1" t="s">
        <v>1234</v>
      </c>
      <c r="D3683" s="1" t="s">
        <v>1234</v>
      </c>
      <c r="E3683" t="s">
        <v>1235</v>
      </c>
      <c r="F3683" s="2" t="s">
        <v>108</v>
      </c>
      <c r="G3683" t="s">
        <v>932</v>
      </c>
      <c r="H3683" s="2" t="s">
        <v>50</v>
      </c>
      <c r="I3683" s="2">
        <v>4.2</v>
      </c>
    </row>
    <row r="3684" spans="1:9" x14ac:dyDescent="0.25">
      <c r="A3684" s="1" t="s">
        <v>5437</v>
      </c>
      <c r="B3684" t="s">
        <v>5438</v>
      </c>
      <c r="C3684" s="1" t="s">
        <v>541</v>
      </c>
      <c r="D3684" s="1" t="s">
        <v>541</v>
      </c>
      <c r="E3684" t="s">
        <v>542</v>
      </c>
      <c r="F3684" s="2" t="s">
        <v>9</v>
      </c>
      <c r="G3684" t="s">
        <v>10</v>
      </c>
      <c r="H3684" s="2" t="s">
        <v>5440</v>
      </c>
      <c r="I3684" s="2">
        <v>4.0599999999999996</v>
      </c>
    </row>
    <row r="3685" spans="1:9" x14ac:dyDescent="0.25">
      <c r="A3685" s="1" t="s">
        <v>5441</v>
      </c>
      <c r="B3685" t="s">
        <v>5442</v>
      </c>
      <c r="C3685" s="1" t="s">
        <v>1128</v>
      </c>
      <c r="D3685" s="1" t="s">
        <v>1128</v>
      </c>
      <c r="E3685" t="s">
        <v>1129</v>
      </c>
      <c r="F3685" s="2" t="s">
        <v>31</v>
      </c>
      <c r="G3685" t="s">
        <v>5</v>
      </c>
      <c r="H3685" s="2" t="s">
        <v>5443</v>
      </c>
      <c r="I3685" s="2">
        <v>15.79</v>
      </c>
    </row>
    <row r="3686" spans="1:9" x14ac:dyDescent="0.25">
      <c r="A3686" s="1" t="s">
        <v>5441</v>
      </c>
      <c r="B3686" t="s">
        <v>5442</v>
      </c>
      <c r="C3686" s="1" t="s">
        <v>541</v>
      </c>
      <c r="D3686" s="1" t="s">
        <v>541</v>
      </c>
      <c r="E3686" t="s">
        <v>542</v>
      </c>
      <c r="F3686" s="2" t="s">
        <v>9</v>
      </c>
      <c r="G3686" t="s">
        <v>10</v>
      </c>
      <c r="H3686" s="2" t="s">
        <v>5444</v>
      </c>
      <c r="I3686" s="2">
        <v>3.91</v>
      </c>
    </row>
    <row r="3687" spans="1:9" x14ac:dyDescent="0.25">
      <c r="A3687" s="1" t="s">
        <v>5445</v>
      </c>
      <c r="B3687" t="s">
        <v>5446</v>
      </c>
      <c r="C3687" s="1" t="s">
        <v>1553</v>
      </c>
      <c r="D3687" s="1" t="s">
        <v>1553</v>
      </c>
      <c r="E3687" t="s">
        <v>1554</v>
      </c>
      <c r="F3687" s="2" t="s">
        <v>70</v>
      </c>
      <c r="G3687" t="s">
        <v>5</v>
      </c>
      <c r="H3687" s="2" t="s">
        <v>122</v>
      </c>
      <c r="I3687" s="2">
        <v>20</v>
      </c>
    </row>
    <row r="3688" spans="1:9" x14ac:dyDescent="0.25">
      <c r="A3688" s="1" t="s">
        <v>5445</v>
      </c>
      <c r="B3688" t="s">
        <v>5446</v>
      </c>
      <c r="C3688" s="1" t="s">
        <v>541</v>
      </c>
      <c r="D3688" s="1" t="s">
        <v>541</v>
      </c>
      <c r="E3688" t="s">
        <v>542</v>
      </c>
      <c r="F3688" s="2" t="s">
        <v>9</v>
      </c>
      <c r="G3688" t="s">
        <v>10</v>
      </c>
      <c r="H3688" s="2" t="s">
        <v>601</v>
      </c>
      <c r="I3688" s="2">
        <v>6.9</v>
      </c>
    </row>
    <row r="3689" spans="1:9" x14ac:dyDescent="0.25">
      <c r="A3689" s="1" t="s">
        <v>5447</v>
      </c>
      <c r="B3689" t="s">
        <v>5448</v>
      </c>
      <c r="C3689" s="1" t="s">
        <v>5449</v>
      </c>
      <c r="D3689" s="1" t="s">
        <v>5449</v>
      </c>
      <c r="E3689" t="s">
        <v>5450</v>
      </c>
      <c r="F3689" s="2" t="s">
        <v>1768</v>
      </c>
      <c r="G3689" t="s">
        <v>49</v>
      </c>
      <c r="H3689" s="2" t="s">
        <v>50</v>
      </c>
      <c r="I3689" s="2">
        <v>0</v>
      </c>
    </row>
    <row r="3690" spans="1:9" x14ac:dyDescent="0.25">
      <c r="A3690" s="1" t="s">
        <v>5447</v>
      </c>
      <c r="B3690" t="s">
        <v>5448</v>
      </c>
      <c r="C3690" s="1" t="s">
        <v>1234</v>
      </c>
      <c r="D3690" s="1" t="s">
        <v>1234</v>
      </c>
      <c r="E3690" t="s">
        <v>433</v>
      </c>
      <c r="F3690" s="2" t="s">
        <v>108</v>
      </c>
      <c r="G3690" t="s">
        <v>932</v>
      </c>
      <c r="H3690" s="2" t="s">
        <v>5431</v>
      </c>
      <c r="I3690" s="2">
        <v>20.43</v>
      </c>
    </row>
    <row r="3691" spans="1:9" x14ac:dyDescent="0.25">
      <c r="A3691" s="1" t="s">
        <v>5447</v>
      </c>
      <c r="B3691" t="s">
        <v>5448</v>
      </c>
      <c r="C3691" s="1" t="s">
        <v>541</v>
      </c>
      <c r="D3691" s="1" t="s">
        <v>541</v>
      </c>
      <c r="E3691" t="s">
        <v>542</v>
      </c>
      <c r="F3691" s="2" t="s">
        <v>9</v>
      </c>
      <c r="G3691" t="s">
        <v>10</v>
      </c>
      <c r="H3691" s="2" t="s">
        <v>5451</v>
      </c>
      <c r="I3691" s="2">
        <v>13.31</v>
      </c>
    </row>
    <row r="3692" spans="1:9" x14ac:dyDescent="0.25">
      <c r="A3692" s="1" t="s">
        <v>5452</v>
      </c>
      <c r="B3692" t="s">
        <v>5453</v>
      </c>
      <c r="C3692" s="1" t="s">
        <v>1547</v>
      </c>
      <c r="D3692" s="1" t="s">
        <v>1547</v>
      </c>
      <c r="E3692" t="s">
        <v>1548</v>
      </c>
      <c r="F3692" s="2" t="s">
        <v>216</v>
      </c>
      <c r="G3692" t="s">
        <v>5</v>
      </c>
      <c r="H3692" s="2" t="s">
        <v>1787</v>
      </c>
      <c r="I3692" s="2">
        <v>0.3</v>
      </c>
    </row>
    <row r="3693" spans="1:9" x14ac:dyDescent="0.25">
      <c r="A3693" s="1" t="s">
        <v>5452</v>
      </c>
      <c r="B3693" t="s">
        <v>5453</v>
      </c>
      <c r="C3693" s="1" t="s">
        <v>1234</v>
      </c>
      <c r="D3693" s="1" t="s">
        <v>1234</v>
      </c>
      <c r="E3693" t="s">
        <v>433</v>
      </c>
      <c r="F3693" s="2" t="s">
        <v>108</v>
      </c>
      <c r="G3693" t="s">
        <v>932</v>
      </c>
      <c r="H3693" s="2" t="s">
        <v>5454</v>
      </c>
      <c r="I3693" s="2">
        <v>1.3</v>
      </c>
    </row>
    <row r="3694" spans="1:9" x14ac:dyDescent="0.25">
      <c r="A3694" s="1" t="s">
        <v>5452</v>
      </c>
      <c r="B3694" t="s">
        <v>5453</v>
      </c>
      <c r="C3694" s="1" t="s">
        <v>541</v>
      </c>
      <c r="D3694" s="1" t="s">
        <v>541</v>
      </c>
      <c r="E3694" t="s">
        <v>542</v>
      </c>
      <c r="F3694" s="2" t="s">
        <v>9</v>
      </c>
      <c r="G3694" t="s">
        <v>10</v>
      </c>
      <c r="H3694" s="2" t="s">
        <v>19</v>
      </c>
      <c r="I3694" s="2">
        <v>4.5999999999999996</v>
      </c>
    </row>
    <row r="3695" spans="1:9" x14ac:dyDescent="0.25">
      <c r="A3695" s="1" t="s">
        <v>5455</v>
      </c>
      <c r="B3695" t="s">
        <v>5456</v>
      </c>
      <c r="C3695" s="1" t="s">
        <v>4168</v>
      </c>
      <c r="D3695" s="1" t="s">
        <v>4168</v>
      </c>
      <c r="E3695" t="s">
        <v>4423</v>
      </c>
      <c r="F3695" s="2" t="s">
        <v>70</v>
      </c>
      <c r="G3695" t="s">
        <v>5</v>
      </c>
      <c r="H3695" s="2" t="s">
        <v>319</v>
      </c>
      <c r="I3695" s="2">
        <v>30</v>
      </c>
    </row>
    <row r="3696" spans="1:9" x14ac:dyDescent="0.25">
      <c r="A3696" s="1" t="s">
        <v>5455</v>
      </c>
      <c r="B3696" t="s">
        <v>5456</v>
      </c>
      <c r="C3696" s="1" t="s">
        <v>541</v>
      </c>
      <c r="D3696" s="1" t="s">
        <v>541</v>
      </c>
      <c r="E3696" t="s">
        <v>542</v>
      </c>
      <c r="F3696" s="2" t="s">
        <v>9</v>
      </c>
      <c r="G3696" t="s">
        <v>10</v>
      </c>
      <c r="H3696" s="2" t="s">
        <v>4176</v>
      </c>
      <c r="I3696" s="2">
        <v>7.82</v>
      </c>
    </row>
    <row r="3697" spans="1:9" x14ac:dyDescent="0.25">
      <c r="A3697" s="1" t="s">
        <v>5457</v>
      </c>
      <c r="B3697" t="s">
        <v>5458</v>
      </c>
      <c r="C3697" s="1" t="s">
        <v>5459</v>
      </c>
      <c r="D3697" s="1" t="s">
        <v>5459</v>
      </c>
      <c r="E3697" t="s">
        <v>5460</v>
      </c>
      <c r="F3697" s="2" t="s">
        <v>1588</v>
      </c>
      <c r="G3697" t="s">
        <v>49</v>
      </c>
      <c r="H3697" s="2" t="s">
        <v>50</v>
      </c>
      <c r="I3697" s="2">
        <v>19.5</v>
      </c>
    </row>
    <row r="3698" spans="1:9" x14ac:dyDescent="0.25">
      <c r="A3698" s="1" t="s">
        <v>5457</v>
      </c>
      <c r="B3698" t="s">
        <v>5458</v>
      </c>
      <c r="C3698" s="1" t="s">
        <v>541</v>
      </c>
      <c r="D3698" s="1" t="s">
        <v>541</v>
      </c>
      <c r="E3698" t="s">
        <v>542</v>
      </c>
      <c r="F3698" s="2" t="s">
        <v>9</v>
      </c>
      <c r="G3698" t="s">
        <v>10</v>
      </c>
      <c r="H3698" s="2" t="s">
        <v>4176</v>
      </c>
      <c r="I3698" s="2">
        <v>7.82</v>
      </c>
    </row>
    <row r="3699" spans="1:9" x14ac:dyDescent="0.25">
      <c r="A3699" s="1" t="s">
        <v>5461</v>
      </c>
      <c r="B3699" t="s">
        <v>5462</v>
      </c>
      <c r="C3699" s="1" t="s">
        <v>4168</v>
      </c>
      <c r="D3699" s="1" t="s">
        <v>4168</v>
      </c>
      <c r="E3699" t="s">
        <v>4423</v>
      </c>
      <c r="F3699" s="2" t="s">
        <v>70</v>
      </c>
      <c r="G3699" t="s">
        <v>5</v>
      </c>
      <c r="H3699" s="2" t="s">
        <v>5463</v>
      </c>
      <c r="I3699" s="2">
        <v>95</v>
      </c>
    </row>
    <row r="3700" spans="1:9" x14ac:dyDescent="0.25">
      <c r="A3700" s="1" t="s">
        <v>5461</v>
      </c>
      <c r="B3700" t="s">
        <v>5462</v>
      </c>
      <c r="C3700" s="1" t="s">
        <v>541</v>
      </c>
      <c r="D3700" s="1" t="s">
        <v>541</v>
      </c>
      <c r="E3700" t="s">
        <v>542</v>
      </c>
      <c r="F3700" s="2" t="s">
        <v>9</v>
      </c>
      <c r="G3700" t="s">
        <v>10</v>
      </c>
      <c r="H3700" s="2" t="s">
        <v>594</v>
      </c>
      <c r="I3700" s="2">
        <v>11.5</v>
      </c>
    </row>
    <row r="3701" spans="1:9" x14ac:dyDescent="0.25">
      <c r="A3701" s="1" t="s">
        <v>5464</v>
      </c>
      <c r="B3701" t="s">
        <v>5465</v>
      </c>
      <c r="C3701" s="1" t="s">
        <v>4316</v>
      </c>
      <c r="D3701" s="1" t="s">
        <v>4316</v>
      </c>
      <c r="E3701" t="s">
        <v>4317</v>
      </c>
      <c r="F3701" s="2" t="s">
        <v>1394</v>
      </c>
      <c r="G3701" t="s">
        <v>5</v>
      </c>
      <c r="H3701" s="2" t="s">
        <v>447</v>
      </c>
      <c r="I3701" s="2">
        <v>0.08</v>
      </c>
    </row>
    <row r="3702" spans="1:9" x14ac:dyDescent="0.25">
      <c r="A3702" s="1" t="s">
        <v>5464</v>
      </c>
      <c r="B3702" t="s">
        <v>5465</v>
      </c>
      <c r="C3702" s="1" t="s">
        <v>541</v>
      </c>
      <c r="D3702" s="1" t="s">
        <v>541</v>
      </c>
      <c r="E3702" t="s">
        <v>542</v>
      </c>
      <c r="F3702" s="2" t="s">
        <v>9</v>
      </c>
      <c r="G3702" t="s">
        <v>10</v>
      </c>
      <c r="H3702" s="2" t="s">
        <v>5466</v>
      </c>
      <c r="I3702" s="2">
        <v>3.79</v>
      </c>
    </row>
    <row r="3703" spans="1:9" x14ac:dyDescent="0.25">
      <c r="A3703" s="1" t="s">
        <v>5467</v>
      </c>
      <c r="B3703" t="s">
        <v>5468</v>
      </c>
      <c r="C3703" s="1" t="s">
        <v>2947</v>
      </c>
      <c r="D3703" s="1" t="s">
        <v>2947</v>
      </c>
      <c r="E3703" t="s">
        <v>5469</v>
      </c>
      <c r="F3703" s="2" t="s">
        <v>70</v>
      </c>
      <c r="G3703" t="s">
        <v>5</v>
      </c>
      <c r="H3703" s="2" t="s">
        <v>5470</v>
      </c>
      <c r="I3703" s="2">
        <v>0.6</v>
      </c>
    </row>
    <row r="3704" spans="1:9" x14ac:dyDescent="0.25">
      <c r="A3704" s="1" t="s">
        <v>5467</v>
      </c>
      <c r="B3704" t="s">
        <v>5468</v>
      </c>
      <c r="C3704" s="1" t="s">
        <v>541</v>
      </c>
      <c r="D3704" s="1" t="s">
        <v>541</v>
      </c>
      <c r="E3704" t="s">
        <v>542</v>
      </c>
      <c r="F3704" s="2" t="s">
        <v>9</v>
      </c>
      <c r="G3704" t="s">
        <v>10</v>
      </c>
      <c r="H3704" s="2" t="s">
        <v>5471</v>
      </c>
      <c r="I3704" s="2">
        <v>4.45</v>
      </c>
    </row>
    <row r="3705" spans="1:9" x14ac:dyDescent="0.25">
      <c r="A3705" s="1" t="s">
        <v>5472</v>
      </c>
      <c r="B3705" t="s">
        <v>5473</v>
      </c>
      <c r="C3705" s="1" t="s">
        <v>1123</v>
      </c>
      <c r="D3705" s="1" t="s">
        <v>1123</v>
      </c>
      <c r="E3705" t="s">
        <v>1124</v>
      </c>
      <c r="F3705" s="2" t="s">
        <v>70</v>
      </c>
      <c r="G3705" t="s">
        <v>5</v>
      </c>
      <c r="H3705" s="2" t="s">
        <v>5474</v>
      </c>
      <c r="I3705" s="2">
        <v>10.4</v>
      </c>
    </row>
    <row r="3706" spans="1:9" x14ac:dyDescent="0.25">
      <c r="A3706" s="1" t="s">
        <v>5472</v>
      </c>
      <c r="B3706" t="s">
        <v>5473</v>
      </c>
      <c r="C3706" s="1" t="s">
        <v>541</v>
      </c>
      <c r="D3706" s="1" t="s">
        <v>541</v>
      </c>
      <c r="E3706" t="s">
        <v>542</v>
      </c>
      <c r="F3706" s="2" t="s">
        <v>9</v>
      </c>
      <c r="G3706" t="s">
        <v>10</v>
      </c>
      <c r="H3706" s="2" t="s">
        <v>5475</v>
      </c>
      <c r="I3706" s="2">
        <v>16.25</v>
      </c>
    </row>
    <row r="3707" spans="1:9" x14ac:dyDescent="0.25">
      <c r="A3707" s="1" t="s">
        <v>5476</v>
      </c>
      <c r="B3707" t="s">
        <v>5477</v>
      </c>
      <c r="C3707" s="1" t="s">
        <v>5478</v>
      </c>
      <c r="D3707" s="1" t="s">
        <v>5478</v>
      </c>
      <c r="E3707" t="s">
        <v>5479</v>
      </c>
      <c r="F3707" s="2" t="s">
        <v>70</v>
      </c>
      <c r="G3707" t="s">
        <v>5</v>
      </c>
      <c r="H3707" s="2" t="s">
        <v>5480</v>
      </c>
      <c r="I3707" s="2">
        <v>1.55</v>
      </c>
    </row>
    <row r="3708" spans="1:9" x14ac:dyDescent="0.25">
      <c r="A3708" s="1" t="s">
        <v>5476</v>
      </c>
      <c r="B3708" t="s">
        <v>5477</v>
      </c>
      <c r="C3708" s="1" t="s">
        <v>541</v>
      </c>
      <c r="D3708" s="1" t="s">
        <v>541</v>
      </c>
      <c r="E3708" t="s">
        <v>542</v>
      </c>
      <c r="F3708" s="2" t="s">
        <v>9</v>
      </c>
      <c r="G3708" t="s">
        <v>10</v>
      </c>
      <c r="H3708" s="2" t="s">
        <v>5481</v>
      </c>
      <c r="I3708" s="2">
        <v>4.5199999999999996</v>
      </c>
    </row>
    <row r="3709" spans="1:9" x14ac:dyDescent="0.25">
      <c r="A3709" s="1" t="s">
        <v>5482</v>
      </c>
      <c r="B3709" t="s">
        <v>5483</v>
      </c>
      <c r="C3709" s="1" t="s">
        <v>1249</v>
      </c>
      <c r="D3709" s="1" t="s">
        <v>1249</v>
      </c>
      <c r="E3709" t="s">
        <v>1250</v>
      </c>
      <c r="F3709" s="2" t="s">
        <v>1251</v>
      </c>
      <c r="G3709" t="s">
        <v>1252</v>
      </c>
      <c r="H3709" s="2" t="s">
        <v>367</v>
      </c>
      <c r="I3709" s="2">
        <v>600</v>
      </c>
    </row>
    <row r="3710" spans="1:9" x14ac:dyDescent="0.25">
      <c r="A3710" s="1" t="s">
        <v>5482</v>
      </c>
      <c r="B3710" t="s">
        <v>5483</v>
      </c>
      <c r="C3710" s="1" t="s">
        <v>541</v>
      </c>
      <c r="D3710" s="1" t="s">
        <v>541</v>
      </c>
      <c r="E3710" t="s">
        <v>542</v>
      </c>
      <c r="F3710" s="2" t="s">
        <v>9</v>
      </c>
      <c r="G3710" t="s">
        <v>10</v>
      </c>
      <c r="H3710" s="2" t="s">
        <v>5484</v>
      </c>
      <c r="I3710" s="2">
        <v>176.33</v>
      </c>
    </row>
    <row r="3711" spans="1:9" x14ac:dyDescent="0.25">
      <c r="A3711" s="1" t="s">
        <v>5482</v>
      </c>
      <c r="B3711" t="s">
        <v>5483</v>
      </c>
      <c r="C3711" s="1" t="s">
        <v>541</v>
      </c>
      <c r="D3711" s="1" t="s">
        <v>541</v>
      </c>
      <c r="E3711" t="s">
        <v>542</v>
      </c>
      <c r="F3711" s="2" t="s">
        <v>9</v>
      </c>
      <c r="G3711" t="s">
        <v>10</v>
      </c>
      <c r="H3711" s="2" t="s">
        <v>5327</v>
      </c>
      <c r="I3711" s="2">
        <v>1104</v>
      </c>
    </row>
    <row r="3712" spans="1:9" x14ac:dyDescent="0.25">
      <c r="A3712" s="1" t="s">
        <v>5485</v>
      </c>
      <c r="B3712" t="s">
        <v>5486</v>
      </c>
      <c r="C3712" s="1" t="s">
        <v>1249</v>
      </c>
      <c r="D3712" s="1" t="s">
        <v>1249</v>
      </c>
      <c r="E3712" t="s">
        <v>1250</v>
      </c>
      <c r="F3712" s="2" t="s">
        <v>1251</v>
      </c>
      <c r="G3712" t="s">
        <v>1252</v>
      </c>
      <c r="H3712" s="2" t="s">
        <v>5487</v>
      </c>
      <c r="I3712" s="2">
        <v>111.96</v>
      </c>
    </row>
    <row r="3713" spans="1:10" x14ac:dyDescent="0.25">
      <c r="A3713" s="1" t="s">
        <v>5485</v>
      </c>
      <c r="B3713" t="s">
        <v>5486</v>
      </c>
      <c r="C3713" s="1" t="s">
        <v>7</v>
      </c>
      <c r="D3713" s="1" t="s">
        <v>7</v>
      </c>
      <c r="E3713" t="s">
        <v>8</v>
      </c>
      <c r="F3713" s="2" t="s">
        <v>9</v>
      </c>
      <c r="G3713" t="s">
        <v>10</v>
      </c>
      <c r="H3713" s="2" t="s">
        <v>5488</v>
      </c>
      <c r="I3713" s="2">
        <v>125.12</v>
      </c>
    </row>
    <row r="3714" spans="1:10" x14ac:dyDescent="0.25">
      <c r="A3714" s="1" t="s">
        <v>5485</v>
      </c>
      <c r="B3714" t="s">
        <v>5486</v>
      </c>
      <c r="C3714" s="1" t="s">
        <v>7</v>
      </c>
      <c r="D3714" s="1" t="s">
        <v>7</v>
      </c>
      <c r="E3714" t="s">
        <v>8</v>
      </c>
      <c r="F3714" s="2" t="s">
        <v>9</v>
      </c>
      <c r="G3714" t="s">
        <v>10</v>
      </c>
      <c r="H3714" s="2" t="s">
        <v>5489</v>
      </c>
      <c r="I3714" s="2">
        <v>78.989999999999995</v>
      </c>
    </row>
    <row r="3715" spans="1:10" x14ac:dyDescent="0.25">
      <c r="A3715" s="1" t="s">
        <v>5490</v>
      </c>
      <c r="B3715" t="s">
        <v>5491</v>
      </c>
      <c r="C3715" s="1" t="s">
        <v>1249</v>
      </c>
      <c r="D3715" s="1" t="s">
        <v>1249</v>
      </c>
      <c r="E3715" t="s">
        <v>1250</v>
      </c>
      <c r="F3715" s="2" t="s">
        <v>1251</v>
      </c>
      <c r="G3715" t="s">
        <v>1252</v>
      </c>
      <c r="H3715" s="2" t="s">
        <v>3645</v>
      </c>
      <c r="I3715" s="2">
        <v>108</v>
      </c>
    </row>
    <row r="3716" spans="1:10" x14ac:dyDescent="0.25">
      <c r="A3716" s="1" t="s">
        <v>5490</v>
      </c>
      <c r="B3716" t="s">
        <v>5491</v>
      </c>
      <c r="C3716" s="1" t="s">
        <v>7</v>
      </c>
      <c r="D3716" s="1" t="s">
        <v>7</v>
      </c>
      <c r="E3716" t="s">
        <v>8</v>
      </c>
      <c r="F3716" s="2" t="s">
        <v>9</v>
      </c>
      <c r="G3716" t="s">
        <v>10</v>
      </c>
      <c r="H3716" s="2" t="s">
        <v>5492</v>
      </c>
      <c r="I3716" s="2">
        <v>124.2</v>
      </c>
    </row>
    <row r="3717" spans="1:10" x14ac:dyDescent="0.25">
      <c r="A3717" s="1" t="s">
        <v>5490</v>
      </c>
      <c r="B3717" t="s">
        <v>5491</v>
      </c>
      <c r="C3717" s="1" t="s">
        <v>7</v>
      </c>
      <c r="D3717" s="1" t="s">
        <v>7</v>
      </c>
      <c r="E3717" t="s">
        <v>8</v>
      </c>
      <c r="F3717" s="2" t="s">
        <v>9</v>
      </c>
      <c r="G3717" t="s">
        <v>10</v>
      </c>
      <c r="H3717" s="2" t="s">
        <v>5493</v>
      </c>
      <c r="I3717" s="2">
        <v>79.05</v>
      </c>
    </row>
    <row r="3718" spans="1:10" x14ac:dyDescent="0.25">
      <c r="A3718" s="1" t="s">
        <v>5494</v>
      </c>
      <c r="B3718" t="s">
        <v>5495</v>
      </c>
      <c r="C3718" s="1" t="s">
        <v>1249</v>
      </c>
      <c r="D3718" s="1" t="s">
        <v>1249</v>
      </c>
      <c r="E3718" t="s">
        <v>1250</v>
      </c>
      <c r="F3718" s="2" t="s">
        <v>1251</v>
      </c>
      <c r="G3718" t="s">
        <v>1252</v>
      </c>
      <c r="H3718" s="2" t="s">
        <v>3645</v>
      </c>
      <c r="I3718" s="2">
        <v>108</v>
      </c>
    </row>
    <row r="3719" spans="1:10" x14ac:dyDescent="0.25">
      <c r="A3719" s="1" t="s">
        <v>5494</v>
      </c>
      <c r="B3719" t="s">
        <v>5495</v>
      </c>
      <c r="C3719" s="1" t="s">
        <v>7</v>
      </c>
      <c r="D3719" s="1" t="s">
        <v>7</v>
      </c>
      <c r="E3719" t="s">
        <v>8</v>
      </c>
      <c r="F3719" s="2" t="s">
        <v>9</v>
      </c>
      <c r="G3719" t="s">
        <v>10</v>
      </c>
      <c r="H3719" s="2" t="s">
        <v>5493</v>
      </c>
      <c r="I3719" s="2">
        <v>79.05</v>
      </c>
    </row>
    <row r="3720" spans="1:10" x14ac:dyDescent="0.25">
      <c r="A3720" s="1" t="s">
        <v>5494</v>
      </c>
      <c r="B3720" t="s">
        <v>5495</v>
      </c>
      <c r="C3720" s="1" t="s">
        <v>7</v>
      </c>
      <c r="D3720" s="1" t="s">
        <v>7</v>
      </c>
      <c r="E3720" t="s">
        <v>8</v>
      </c>
      <c r="F3720" s="2" t="s">
        <v>9</v>
      </c>
      <c r="G3720" t="s">
        <v>10</v>
      </c>
      <c r="H3720" s="2" t="s">
        <v>5496</v>
      </c>
      <c r="I3720" s="2">
        <v>135.69999999999999</v>
      </c>
    </row>
    <row r="3721" spans="1:10" x14ac:dyDescent="0.25">
      <c r="A3721" s="1" t="s">
        <v>5497</v>
      </c>
      <c r="B3721" t="s">
        <v>5498</v>
      </c>
      <c r="C3721" s="1" t="s">
        <v>1249</v>
      </c>
      <c r="D3721" s="1" t="s">
        <v>1249</v>
      </c>
      <c r="E3721" t="s">
        <v>1250</v>
      </c>
      <c r="F3721" s="2" t="s">
        <v>1251</v>
      </c>
      <c r="G3721" t="s">
        <v>1252</v>
      </c>
      <c r="H3721" s="2" t="s">
        <v>535</v>
      </c>
      <c r="I3721" s="2">
        <v>21.96</v>
      </c>
    </row>
    <row r="3722" spans="1:10" x14ac:dyDescent="0.25">
      <c r="A3722" s="1" t="s">
        <v>5497</v>
      </c>
      <c r="B3722" t="s">
        <v>5498</v>
      </c>
      <c r="C3722" s="1" t="s">
        <v>7</v>
      </c>
      <c r="D3722" s="1" t="s">
        <v>7</v>
      </c>
      <c r="E3722" t="s">
        <v>8</v>
      </c>
      <c r="F3722" s="2" t="s">
        <v>9</v>
      </c>
      <c r="G3722" t="s">
        <v>10</v>
      </c>
      <c r="H3722" s="2" t="s">
        <v>860</v>
      </c>
      <c r="I3722" s="2">
        <v>23</v>
      </c>
    </row>
    <row r="3723" spans="1:10" x14ac:dyDescent="0.25">
      <c r="A3723" s="1" t="s">
        <v>5497</v>
      </c>
      <c r="B3723" t="s">
        <v>5498</v>
      </c>
      <c r="C3723" s="1" t="s">
        <v>7</v>
      </c>
      <c r="D3723" s="1" t="s">
        <v>7</v>
      </c>
      <c r="E3723" t="s">
        <v>8</v>
      </c>
      <c r="F3723" s="2" t="s">
        <v>9</v>
      </c>
      <c r="G3723" t="s">
        <v>10</v>
      </c>
      <c r="H3723" s="2" t="s">
        <v>5499</v>
      </c>
      <c r="I3723" s="2">
        <v>23.39</v>
      </c>
    </row>
    <row r="3724" spans="1:10" x14ac:dyDescent="0.25">
      <c r="A3724" s="1" t="s">
        <v>5500</v>
      </c>
      <c r="B3724" t="s">
        <v>5501</v>
      </c>
      <c r="C3724" s="1" t="s">
        <v>5262</v>
      </c>
      <c r="D3724" s="1" t="s">
        <v>5262</v>
      </c>
      <c r="E3724" t="s">
        <v>5263</v>
      </c>
      <c r="F3724" s="2" t="s">
        <v>5264</v>
      </c>
      <c r="G3724" t="s">
        <v>121</v>
      </c>
      <c r="H3724" s="2" t="s">
        <v>5265</v>
      </c>
      <c r="I3724" s="2">
        <v>3.5</v>
      </c>
    </row>
    <row r="3725" spans="1:10" x14ac:dyDescent="0.25">
      <c r="A3725" s="1" t="s">
        <v>5500</v>
      </c>
      <c r="B3725" t="s">
        <v>5501</v>
      </c>
      <c r="C3725" s="1" t="s">
        <v>5266</v>
      </c>
      <c r="D3725" s="1" t="s">
        <v>5266</v>
      </c>
      <c r="E3725" t="s">
        <v>5267</v>
      </c>
      <c r="F3725" s="2" t="s">
        <v>311</v>
      </c>
      <c r="G3725" t="s">
        <v>5</v>
      </c>
      <c r="H3725" s="2" t="s">
        <v>5268</v>
      </c>
      <c r="I3725" s="2">
        <v>51.5</v>
      </c>
    </row>
    <row r="3726" spans="1:10" x14ac:dyDescent="0.25">
      <c r="A3726" s="1" t="s">
        <v>5500</v>
      </c>
      <c r="B3726" t="s">
        <v>5501</v>
      </c>
      <c r="C3726" s="1" t="s">
        <v>3452</v>
      </c>
      <c r="D3726" s="1" t="s">
        <v>3452</v>
      </c>
      <c r="E3726" t="s">
        <v>3453</v>
      </c>
      <c r="F3726" s="2" t="s">
        <v>1588</v>
      </c>
      <c r="G3726" t="s">
        <v>39</v>
      </c>
      <c r="H3726" s="2" t="s">
        <v>25</v>
      </c>
      <c r="I3726" s="2">
        <v>1.17</v>
      </c>
    </row>
    <row r="3727" spans="1:10" x14ac:dyDescent="0.25">
      <c r="A3727" s="1" t="s">
        <v>5500</v>
      </c>
      <c r="B3727" t="s">
        <v>5501</v>
      </c>
      <c r="C3727" s="1" t="s">
        <v>2791</v>
      </c>
      <c r="D3727" s="1" t="s">
        <v>2791</v>
      </c>
      <c r="E3727" t="s">
        <v>2792</v>
      </c>
      <c r="F3727" s="2" t="s">
        <v>2793</v>
      </c>
      <c r="G3727" t="s">
        <v>121</v>
      </c>
      <c r="H3727" s="2" t="s">
        <v>5269</v>
      </c>
      <c r="I3727" s="2">
        <v>3.05</v>
      </c>
    </row>
    <row r="3728" spans="1:10" x14ac:dyDescent="0.25">
      <c r="A3728" s="1" t="s">
        <v>5500</v>
      </c>
      <c r="B3728" t="s">
        <v>5501</v>
      </c>
      <c r="C3728" s="1" t="s">
        <v>5502</v>
      </c>
      <c r="D3728" s="1" t="s">
        <v>5502</v>
      </c>
      <c r="E3728" t="s">
        <v>5503</v>
      </c>
      <c r="F3728" s="2" t="s">
        <v>5504</v>
      </c>
      <c r="G3728" t="s">
        <v>49</v>
      </c>
      <c r="H3728" s="2" t="s">
        <v>50</v>
      </c>
      <c r="I3728" s="2">
        <v>40.78</v>
      </c>
      <c r="J3728" t="s">
        <v>55</v>
      </c>
    </row>
    <row r="3729" spans="1:10" x14ac:dyDescent="0.25">
      <c r="A3729" s="1" t="s">
        <v>5500</v>
      </c>
      <c r="B3729" t="s">
        <v>5501</v>
      </c>
      <c r="C3729" s="1" t="s">
        <v>5505</v>
      </c>
      <c r="D3729" s="1" t="s">
        <v>5505</v>
      </c>
      <c r="E3729" t="s">
        <v>5506</v>
      </c>
      <c r="F3729" s="2" t="s">
        <v>5507</v>
      </c>
      <c r="G3729" t="s">
        <v>49</v>
      </c>
      <c r="H3729" s="2" t="s">
        <v>50</v>
      </c>
      <c r="I3729" s="2">
        <v>31.99</v>
      </c>
      <c r="J3729" t="s">
        <v>55</v>
      </c>
    </row>
    <row r="3730" spans="1:10" x14ac:dyDescent="0.25">
      <c r="A3730" s="1" t="s">
        <v>5500</v>
      </c>
      <c r="B3730" t="s">
        <v>5501</v>
      </c>
      <c r="C3730" s="1" t="s">
        <v>857</v>
      </c>
      <c r="D3730" s="1" t="s">
        <v>857</v>
      </c>
      <c r="E3730" t="s">
        <v>858</v>
      </c>
      <c r="F3730" s="2" t="s">
        <v>686</v>
      </c>
      <c r="G3730" t="s">
        <v>49</v>
      </c>
      <c r="H3730" s="2" t="s">
        <v>5508</v>
      </c>
      <c r="I3730" s="2">
        <v>5.15</v>
      </c>
    </row>
    <row r="3731" spans="1:10" x14ac:dyDescent="0.25">
      <c r="A3731" s="1" t="s">
        <v>5500</v>
      </c>
      <c r="B3731" t="s">
        <v>5501</v>
      </c>
      <c r="C3731" s="1" t="s">
        <v>541</v>
      </c>
      <c r="D3731" s="1" t="s">
        <v>541</v>
      </c>
      <c r="E3731" t="s">
        <v>542</v>
      </c>
      <c r="F3731" s="2" t="s">
        <v>9</v>
      </c>
      <c r="G3731" t="s">
        <v>10</v>
      </c>
      <c r="H3731" s="2" t="s">
        <v>3642</v>
      </c>
      <c r="I3731" s="2">
        <v>32.200000000000003</v>
      </c>
    </row>
    <row r="3732" spans="1:10" x14ac:dyDescent="0.25">
      <c r="A3732" s="1" t="s">
        <v>5500</v>
      </c>
      <c r="B3732" t="s">
        <v>5501</v>
      </c>
      <c r="C3732" s="1" t="s">
        <v>541</v>
      </c>
      <c r="D3732" s="1" t="s">
        <v>541</v>
      </c>
      <c r="E3732" t="s">
        <v>542</v>
      </c>
      <c r="F3732" s="2" t="s">
        <v>9</v>
      </c>
      <c r="G3732" t="s">
        <v>10</v>
      </c>
      <c r="H3732" s="2" t="s">
        <v>2607</v>
      </c>
      <c r="I3732" s="2">
        <v>5.0599999999999996</v>
      </c>
    </row>
    <row r="3733" spans="1:10" x14ac:dyDescent="0.25">
      <c r="A3733" s="1" t="s">
        <v>5502</v>
      </c>
      <c r="B3733" t="s">
        <v>5503</v>
      </c>
      <c r="C3733" s="1" t="s">
        <v>1249</v>
      </c>
      <c r="D3733" s="1" t="s">
        <v>1249</v>
      </c>
      <c r="E3733" t="s">
        <v>1250</v>
      </c>
      <c r="F3733" s="2" t="s">
        <v>1251</v>
      </c>
      <c r="G3733" t="s">
        <v>1252</v>
      </c>
      <c r="H3733" s="2" t="s">
        <v>5220</v>
      </c>
      <c r="I3733" s="2">
        <v>9.9600000000000009</v>
      </c>
    </row>
    <row r="3734" spans="1:10" x14ac:dyDescent="0.25">
      <c r="A3734" s="1" t="s">
        <v>5502</v>
      </c>
      <c r="B3734" t="s">
        <v>5503</v>
      </c>
      <c r="C3734" s="1" t="s">
        <v>7</v>
      </c>
      <c r="D3734" s="1" t="s">
        <v>7</v>
      </c>
      <c r="E3734" t="s">
        <v>8</v>
      </c>
      <c r="F3734" s="2" t="s">
        <v>9</v>
      </c>
      <c r="G3734" t="s">
        <v>10</v>
      </c>
      <c r="H3734" s="2" t="s">
        <v>5509</v>
      </c>
      <c r="I3734" s="2">
        <v>15.84</v>
      </c>
    </row>
    <row r="3735" spans="1:10" x14ac:dyDescent="0.25">
      <c r="A3735" s="1" t="s">
        <v>5502</v>
      </c>
      <c r="B3735" t="s">
        <v>5503</v>
      </c>
      <c r="C3735" s="1" t="s">
        <v>7</v>
      </c>
      <c r="D3735" s="1" t="s">
        <v>7</v>
      </c>
      <c r="E3735" t="s">
        <v>8</v>
      </c>
      <c r="F3735" s="2" t="s">
        <v>9</v>
      </c>
      <c r="G3735" t="s">
        <v>10</v>
      </c>
      <c r="H3735" s="2" t="s">
        <v>5510</v>
      </c>
      <c r="I3735" s="2">
        <v>14.98</v>
      </c>
    </row>
    <row r="3736" spans="1:10" x14ac:dyDescent="0.25">
      <c r="A3736" s="1" t="s">
        <v>5505</v>
      </c>
      <c r="B3736" t="s">
        <v>5506</v>
      </c>
      <c r="C3736" s="1" t="s">
        <v>1249</v>
      </c>
      <c r="D3736" s="1" t="s">
        <v>1249</v>
      </c>
      <c r="E3736" t="s">
        <v>1250</v>
      </c>
      <c r="F3736" s="2" t="s">
        <v>1251</v>
      </c>
      <c r="G3736" t="s">
        <v>1252</v>
      </c>
      <c r="H3736" s="2" t="s">
        <v>1893</v>
      </c>
      <c r="I3736" s="2">
        <v>15.96</v>
      </c>
    </row>
    <row r="3737" spans="1:10" x14ac:dyDescent="0.25">
      <c r="A3737" s="1" t="s">
        <v>5505</v>
      </c>
      <c r="B3737" t="s">
        <v>5506</v>
      </c>
      <c r="C3737" s="1" t="s">
        <v>7</v>
      </c>
      <c r="D3737" s="1" t="s">
        <v>7</v>
      </c>
      <c r="E3737" t="s">
        <v>8</v>
      </c>
      <c r="F3737" s="2" t="s">
        <v>9</v>
      </c>
      <c r="G3737" t="s">
        <v>10</v>
      </c>
      <c r="H3737" s="2" t="s">
        <v>5511</v>
      </c>
      <c r="I3737" s="2">
        <v>16.03</v>
      </c>
    </row>
    <row r="3738" spans="1:10" x14ac:dyDescent="0.25">
      <c r="A3738" s="1" t="s">
        <v>2858</v>
      </c>
      <c r="B3738" t="s">
        <v>2859</v>
      </c>
      <c r="C3738" s="1" t="s">
        <v>5512</v>
      </c>
      <c r="D3738" s="1" t="s">
        <v>5512</v>
      </c>
      <c r="E3738" t="s">
        <v>5513</v>
      </c>
      <c r="F3738" s="2" t="s">
        <v>3119</v>
      </c>
      <c r="G3738" t="s">
        <v>49</v>
      </c>
      <c r="H3738" s="2" t="s">
        <v>50</v>
      </c>
      <c r="I3738" s="2">
        <v>195</v>
      </c>
    </row>
    <row r="3739" spans="1:10" x14ac:dyDescent="0.25">
      <c r="A3739" s="1" t="s">
        <v>2858</v>
      </c>
      <c r="B3739" t="s">
        <v>2859</v>
      </c>
      <c r="C3739" s="1" t="s">
        <v>7</v>
      </c>
      <c r="D3739" s="1" t="s">
        <v>7</v>
      </c>
      <c r="E3739" t="s">
        <v>8</v>
      </c>
      <c r="F3739" s="2" t="s">
        <v>9</v>
      </c>
      <c r="G3739" t="s">
        <v>10</v>
      </c>
      <c r="H3739" s="2" t="s">
        <v>5514</v>
      </c>
      <c r="I3739" s="2">
        <v>88.46</v>
      </c>
    </row>
    <row r="3740" spans="1:10" x14ac:dyDescent="0.25">
      <c r="A3740" s="1" t="s">
        <v>2861</v>
      </c>
      <c r="B3740" t="s">
        <v>2862</v>
      </c>
      <c r="C3740" s="1" t="s">
        <v>5515</v>
      </c>
      <c r="D3740" s="1" t="s">
        <v>5515</v>
      </c>
      <c r="E3740" t="s">
        <v>5516</v>
      </c>
      <c r="F3740" s="2" t="s">
        <v>5517</v>
      </c>
      <c r="G3740" t="s">
        <v>49</v>
      </c>
      <c r="H3740" s="2" t="s">
        <v>50</v>
      </c>
      <c r="I3740" s="2">
        <v>185</v>
      </c>
    </row>
    <row r="3741" spans="1:10" x14ac:dyDescent="0.25">
      <c r="A3741" s="1" t="s">
        <v>2861</v>
      </c>
      <c r="B3741" t="s">
        <v>2862</v>
      </c>
      <c r="C3741" s="1" t="s">
        <v>7</v>
      </c>
      <c r="D3741" s="1" t="s">
        <v>7</v>
      </c>
      <c r="E3741" t="s">
        <v>8</v>
      </c>
      <c r="F3741" s="2" t="s">
        <v>9</v>
      </c>
      <c r="G3741" t="s">
        <v>10</v>
      </c>
      <c r="H3741" s="2" t="s">
        <v>3371</v>
      </c>
      <c r="I3741" s="2">
        <v>58.97</v>
      </c>
    </row>
    <row r="3742" spans="1:10" x14ac:dyDescent="0.25">
      <c r="A3742" s="1" t="s">
        <v>2864</v>
      </c>
      <c r="B3742" t="s">
        <v>2865</v>
      </c>
      <c r="C3742" s="1" t="s">
        <v>5518</v>
      </c>
      <c r="D3742" s="1" t="s">
        <v>5518</v>
      </c>
      <c r="E3742" t="s">
        <v>5519</v>
      </c>
      <c r="F3742" s="2" t="s">
        <v>5520</v>
      </c>
      <c r="G3742" t="s">
        <v>49</v>
      </c>
      <c r="H3742" s="2" t="s">
        <v>50</v>
      </c>
      <c r="I3742" s="2">
        <v>160</v>
      </c>
    </row>
    <row r="3743" spans="1:10" x14ac:dyDescent="0.25">
      <c r="A3743" s="1" t="s">
        <v>2864</v>
      </c>
      <c r="B3743" t="s">
        <v>2865</v>
      </c>
      <c r="C3743" s="1" t="s">
        <v>2577</v>
      </c>
      <c r="D3743" s="1" t="s">
        <v>2577</v>
      </c>
      <c r="E3743" t="s">
        <v>2578</v>
      </c>
      <c r="F3743" s="2" t="s">
        <v>686</v>
      </c>
      <c r="G3743" t="s">
        <v>49</v>
      </c>
      <c r="H3743" s="2" t="s">
        <v>5521</v>
      </c>
      <c r="I3743" s="2">
        <v>160</v>
      </c>
    </row>
    <row r="3744" spans="1:10" x14ac:dyDescent="0.25">
      <c r="A3744" s="1" t="s">
        <v>2864</v>
      </c>
      <c r="B3744" t="s">
        <v>2865</v>
      </c>
      <c r="C3744" s="1" t="s">
        <v>7</v>
      </c>
      <c r="D3744" s="1" t="s">
        <v>7</v>
      </c>
      <c r="E3744" t="s">
        <v>8</v>
      </c>
      <c r="F3744" s="2" t="s">
        <v>9</v>
      </c>
      <c r="G3744" t="s">
        <v>10</v>
      </c>
      <c r="H3744" s="2" t="s">
        <v>5522</v>
      </c>
      <c r="I3744" s="2">
        <v>117.95</v>
      </c>
    </row>
    <row r="3745" spans="1:10" x14ac:dyDescent="0.25">
      <c r="A3745" s="1" t="s">
        <v>2867</v>
      </c>
      <c r="B3745" t="s">
        <v>2868</v>
      </c>
      <c r="C3745" s="1" t="s">
        <v>5523</v>
      </c>
      <c r="D3745" s="1" t="s">
        <v>5523</v>
      </c>
      <c r="E3745" t="s">
        <v>5524</v>
      </c>
      <c r="F3745" s="2" t="s">
        <v>2356</v>
      </c>
      <c r="G3745" t="s">
        <v>49</v>
      </c>
      <c r="H3745" s="2" t="s">
        <v>50</v>
      </c>
      <c r="I3745" s="2">
        <v>50</v>
      </c>
    </row>
    <row r="3746" spans="1:10" x14ac:dyDescent="0.25">
      <c r="A3746" s="1" t="s">
        <v>2867</v>
      </c>
      <c r="B3746" t="s">
        <v>2868</v>
      </c>
      <c r="C3746" s="1" t="s">
        <v>7</v>
      </c>
      <c r="D3746" s="1" t="s">
        <v>7</v>
      </c>
      <c r="E3746" t="s">
        <v>8</v>
      </c>
      <c r="F3746" s="2" t="s">
        <v>9</v>
      </c>
      <c r="G3746" t="s">
        <v>10</v>
      </c>
      <c r="H3746" s="2" t="s">
        <v>5525</v>
      </c>
      <c r="I3746" s="2">
        <v>8.26</v>
      </c>
    </row>
    <row r="3747" spans="1:10" x14ac:dyDescent="0.25">
      <c r="A3747" s="1" t="s">
        <v>2870</v>
      </c>
      <c r="B3747" t="s">
        <v>2871</v>
      </c>
      <c r="C3747" s="1" t="s">
        <v>5216</v>
      </c>
      <c r="D3747" s="1" t="s">
        <v>5216</v>
      </c>
      <c r="E3747" t="s">
        <v>5217</v>
      </c>
      <c r="F3747" s="2" t="s">
        <v>1394</v>
      </c>
      <c r="G3747" t="s">
        <v>49</v>
      </c>
      <c r="H3747" s="2" t="s">
        <v>50</v>
      </c>
      <c r="I3747" s="2">
        <v>4</v>
      </c>
    </row>
    <row r="3748" spans="1:10" x14ac:dyDescent="0.25">
      <c r="A3748" s="1" t="s">
        <v>2870</v>
      </c>
      <c r="B3748" t="s">
        <v>2871</v>
      </c>
      <c r="C3748" s="1" t="s">
        <v>2762</v>
      </c>
      <c r="D3748" s="1" t="s">
        <v>2762</v>
      </c>
      <c r="E3748" t="s">
        <v>2763</v>
      </c>
      <c r="F3748" s="2" t="s">
        <v>311</v>
      </c>
      <c r="G3748" t="s">
        <v>5</v>
      </c>
      <c r="H3748" s="2" t="s">
        <v>2764</v>
      </c>
      <c r="I3748" s="2">
        <v>18.850000000000001</v>
      </c>
    </row>
    <row r="3749" spans="1:10" x14ac:dyDescent="0.25">
      <c r="A3749" s="1" t="s">
        <v>2870</v>
      </c>
      <c r="B3749" t="s">
        <v>2871</v>
      </c>
      <c r="C3749" s="1" t="s">
        <v>3452</v>
      </c>
      <c r="D3749" s="1" t="s">
        <v>3452</v>
      </c>
      <c r="E3749" t="s">
        <v>3453</v>
      </c>
      <c r="F3749" s="2" t="s">
        <v>1588</v>
      </c>
      <c r="G3749" t="s">
        <v>39</v>
      </c>
      <c r="H3749" s="2" t="s">
        <v>478</v>
      </c>
      <c r="I3749" s="2">
        <v>1.56</v>
      </c>
    </row>
    <row r="3750" spans="1:10" x14ac:dyDescent="0.25">
      <c r="A3750" s="1" t="s">
        <v>2870</v>
      </c>
      <c r="B3750" t="s">
        <v>2871</v>
      </c>
      <c r="C3750" s="1" t="s">
        <v>1974</v>
      </c>
      <c r="D3750" s="1" t="s">
        <v>1974</v>
      </c>
      <c r="E3750" t="s">
        <v>1975</v>
      </c>
      <c r="F3750" s="2" t="s">
        <v>879</v>
      </c>
      <c r="G3750" t="s">
        <v>121</v>
      </c>
      <c r="H3750" s="2" t="s">
        <v>5526</v>
      </c>
      <c r="I3750" s="2">
        <v>0.67</v>
      </c>
    </row>
    <row r="3751" spans="1:10" x14ac:dyDescent="0.25">
      <c r="A3751" s="1" t="s">
        <v>2870</v>
      </c>
      <c r="B3751" t="s">
        <v>2871</v>
      </c>
      <c r="C3751" s="1" t="s">
        <v>41</v>
      </c>
      <c r="D3751" s="1" t="s">
        <v>41</v>
      </c>
      <c r="E3751" t="s">
        <v>42</v>
      </c>
      <c r="F3751" s="2" t="s">
        <v>513</v>
      </c>
      <c r="G3751" t="s">
        <v>5</v>
      </c>
      <c r="H3751" s="2" t="s">
        <v>4664</v>
      </c>
      <c r="I3751" s="2">
        <v>0.02</v>
      </c>
    </row>
    <row r="3752" spans="1:10" x14ac:dyDescent="0.25">
      <c r="A3752" s="1" t="s">
        <v>2870</v>
      </c>
      <c r="B3752" t="s">
        <v>2871</v>
      </c>
      <c r="C3752" s="1" t="s">
        <v>5527</v>
      </c>
      <c r="D3752" s="1" t="s">
        <v>5527</v>
      </c>
      <c r="E3752" t="s">
        <v>5528</v>
      </c>
      <c r="F3752" s="2" t="s">
        <v>5529</v>
      </c>
      <c r="G3752" t="s">
        <v>49</v>
      </c>
      <c r="H3752" s="2" t="s">
        <v>50</v>
      </c>
      <c r="I3752" s="2">
        <v>47.33</v>
      </c>
      <c r="J3752" t="s">
        <v>55</v>
      </c>
    </row>
    <row r="3753" spans="1:10" x14ac:dyDescent="0.25">
      <c r="A3753" s="1" t="s">
        <v>2870</v>
      </c>
      <c r="B3753" t="s">
        <v>2871</v>
      </c>
      <c r="C3753" s="1" t="s">
        <v>5530</v>
      </c>
      <c r="D3753" s="1" t="s">
        <v>5530</v>
      </c>
      <c r="E3753" t="s">
        <v>5531</v>
      </c>
      <c r="F3753" s="2" t="s">
        <v>5532</v>
      </c>
      <c r="G3753" t="s">
        <v>49</v>
      </c>
      <c r="H3753" s="2" t="s">
        <v>50</v>
      </c>
      <c r="I3753" s="2">
        <v>58.41</v>
      </c>
      <c r="J3753" t="s">
        <v>55</v>
      </c>
    </row>
    <row r="3754" spans="1:10" x14ac:dyDescent="0.25">
      <c r="A3754" s="1" t="s">
        <v>2870</v>
      </c>
      <c r="B3754" t="s">
        <v>2871</v>
      </c>
      <c r="C3754" s="1" t="s">
        <v>684</v>
      </c>
      <c r="D3754" s="1" t="s">
        <v>684</v>
      </c>
      <c r="E3754" t="s">
        <v>685</v>
      </c>
      <c r="F3754" s="2" t="s">
        <v>686</v>
      </c>
      <c r="G3754" t="s">
        <v>49</v>
      </c>
      <c r="H3754" s="2" t="s">
        <v>5218</v>
      </c>
      <c r="I3754" s="2">
        <v>4.3499999999999996</v>
      </c>
    </row>
    <row r="3755" spans="1:10" x14ac:dyDescent="0.25">
      <c r="A3755" s="1" t="s">
        <v>2870</v>
      </c>
      <c r="B3755" t="s">
        <v>2871</v>
      </c>
      <c r="C3755" s="1" t="s">
        <v>541</v>
      </c>
      <c r="D3755" s="1" t="s">
        <v>541</v>
      </c>
      <c r="E3755" t="s">
        <v>542</v>
      </c>
      <c r="F3755" s="2" t="s">
        <v>9</v>
      </c>
      <c r="G3755" t="s">
        <v>10</v>
      </c>
      <c r="H3755" s="2" t="s">
        <v>5533</v>
      </c>
      <c r="I3755" s="2">
        <v>17.46</v>
      </c>
    </row>
    <row r="3756" spans="1:10" x14ac:dyDescent="0.25">
      <c r="A3756" s="1" t="s">
        <v>5527</v>
      </c>
      <c r="B3756" t="s">
        <v>5528</v>
      </c>
      <c r="C3756" s="1" t="s">
        <v>5534</v>
      </c>
      <c r="D3756" s="1" t="s">
        <v>5534</v>
      </c>
      <c r="E3756" t="s">
        <v>5535</v>
      </c>
      <c r="F3756" s="2" t="s">
        <v>5536</v>
      </c>
      <c r="G3756" t="s">
        <v>49</v>
      </c>
      <c r="H3756" s="2" t="s">
        <v>50</v>
      </c>
      <c r="I3756" s="2">
        <v>32</v>
      </c>
    </row>
    <row r="3757" spans="1:10" x14ac:dyDescent="0.25">
      <c r="A3757" s="1" t="s">
        <v>5527</v>
      </c>
      <c r="B3757" t="s">
        <v>5528</v>
      </c>
      <c r="C3757" s="1" t="s">
        <v>7</v>
      </c>
      <c r="D3757" s="1" t="s">
        <v>7</v>
      </c>
      <c r="E3757" t="s">
        <v>8</v>
      </c>
      <c r="F3757" s="2" t="s">
        <v>9</v>
      </c>
      <c r="G3757" t="s">
        <v>10</v>
      </c>
      <c r="H3757" s="2" t="s">
        <v>4087</v>
      </c>
      <c r="I3757" s="2">
        <v>15.33</v>
      </c>
    </row>
    <row r="3758" spans="1:10" x14ac:dyDescent="0.25">
      <c r="A3758" s="1" t="s">
        <v>5530</v>
      </c>
      <c r="B3758" t="s">
        <v>5531</v>
      </c>
      <c r="C3758" s="1" t="s">
        <v>5537</v>
      </c>
      <c r="D3758" s="1" t="s">
        <v>5537</v>
      </c>
      <c r="E3758" t="s">
        <v>5538</v>
      </c>
      <c r="F3758" s="2" t="s">
        <v>3189</v>
      </c>
      <c r="G3758" t="s">
        <v>49</v>
      </c>
      <c r="H3758" s="2" t="s">
        <v>50</v>
      </c>
      <c r="I3758" s="2">
        <v>36</v>
      </c>
    </row>
    <row r="3759" spans="1:10" x14ac:dyDescent="0.25">
      <c r="A3759" s="1" t="s">
        <v>5530</v>
      </c>
      <c r="B3759" t="s">
        <v>5531</v>
      </c>
      <c r="C3759" s="1" t="s">
        <v>7</v>
      </c>
      <c r="D3759" s="1" t="s">
        <v>7</v>
      </c>
      <c r="E3759" t="s">
        <v>8</v>
      </c>
      <c r="F3759" s="2" t="s">
        <v>9</v>
      </c>
      <c r="G3759" t="s">
        <v>10</v>
      </c>
      <c r="H3759" s="2" t="s">
        <v>5539</v>
      </c>
      <c r="I3759" s="2">
        <v>22.41</v>
      </c>
    </row>
    <row r="3760" spans="1:10" x14ac:dyDescent="0.25">
      <c r="A3760" s="1" t="s">
        <v>2894</v>
      </c>
      <c r="B3760" t="s">
        <v>2895</v>
      </c>
      <c r="C3760" s="1" t="s">
        <v>5540</v>
      </c>
      <c r="D3760" s="1" t="s">
        <v>5540</v>
      </c>
      <c r="E3760" t="s">
        <v>5541</v>
      </c>
      <c r="F3760" s="2" t="s">
        <v>3163</v>
      </c>
      <c r="G3760" t="s">
        <v>49</v>
      </c>
      <c r="H3760" s="2" t="s">
        <v>50</v>
      </c>
      <c r="I3760" s="2">
        <v>320</v>
      </c>
    </row>
    <row r="3761" spans="1:10" x14ac:dyDescent="0.25">
      <c r="A3761" s="1" t="s">
        <v>2894</v>
      </c>
      <c r="B3761" t="s">
        <v>2895</v>
      </c>
      <c r="C3761" s="1" t="s">
        <v>7</v>
      </c>
      <c r="D3761" s="1" t="s">
        <v>7</v>
      </c>
      <c r="E3761" t="s">
        <v>8</v>
      </c>
      <c r="F3761" s="2" t="s">
        <v>9</v>
      </c>
      <c r="G3761" t="s">
        <v>10</v>
      </c>
      <c r="H3761" s="2" t="s">
        <v>5542</v>
      </c>
      <c r="I3761" s="2">
        <v>94.36</v>
      </c>
    </row>
    <row r="3762" spans="1:10" x14ac:dyDescent="0.25">
      <c r="A3762" s="1" t="s">
        <v>2897</v>
      </c>
      <c r="B3762" t="s">
        <v>2898</v>
      </c>
      <c r="C3762" s="1" t="s">
        <v>5543</v>
      </c>
      <c r="D3762" s="1" t="s">
        <v>5543</v>
      </c>
      <c r="E3762" t="s">
        <v>5544</v>
      </c>
      <c r="F3762" s="2" t="s">
        <v>3163</v>
      </c>
      <c r="G3762" t="s">
        <v>49</v>
      </c>
      <c r="H3762" s="2" t="s">
        <v>50</v>
      </c>
      <c r="I3762" s="2">
        <v>320</v>
      </c>
    </row>
    <row r="3763" spans="1:10" x14ac:dyDescent="0.25">
      <c r="A3763" s="1" t="s">
        <v>2897</v>
      </c>
      <c r="B3763" t="s">
        <v>2898</v>
      </c>
      <c r="C3763" s="1" t="s">
        <v>7</v>
      </c>
      <c r="D3763" s="1" t="s">
        <v>7</v>
      </c>
      <c r="E3763" t="s">
        <v>8</v>
      </c>
      <c r="F3763" s="2" t="s">
        <v>9</v>
      </c>
      <c r="G3763" t="s">
        <v>10</v>
      </c>
      <c r="H3763" s="2" t="s">
        <v>5545</v>
      </c>
      <c r="I3763" s="2">
        <v>82.56</v>
      </c>
    </row>
    <row r="3764" spans="1:10" x14ac:dyDescent="0.25">
      <c r="A3764" s="1" t="s">
        <v>2900</v>
      </c>
      <c r="B3764" t="s">
        <v>2901</v>
      </c>
      <c r="C3764" s="1" t="s">
        <v>5546</v>
      </c>
      <c r="D3764" s="1" t="s">
        <v>5546</v>
      </c>
      <c r="E3764" t="s">
        <v>5547</v>
      </c>
      <c r="F3764" s="2" t="s">
        <v>5548</v>
      </c>
      <c r="G3764" t="s">
        <v>49</v>
      </c>
      <c r="H3764" s="2" t="s">
        <v>50</v>
      </c>
      <c r="I3764" s="2">
        <v>60</v>
      </c>
    </row>
    <row r="3765" spans="1:10" x14ac:dyDescent="0.25">
      <c r="A3765" s="1" t="s">
        <v>2900</v>
      </c>
      <c r="B3765" t="s">
        <v>2901</v>
      </c>
      <c r="C3765" s="1" t="s">
        <v>7</v>
      </c>
      <c r="D3765" s="1" t="s">
        <v>7</v>
      </c>
      <c r="E3765" t="s">
        <v>8</v>
      </c>
      <c r="F3765" s="2" t="s">
        <v>9</v>
      </c>
      <c r="G3765" t="s">
        <v>10</v>
      </c>
      <c r="H3765" s="2" t="s">
        <v>5549</v>
      </c>
      <c r="I3765" s="2">
        <v>9.44</v>
      </c>
    </row>
    <row r="3766" spans="1:10" x14ac:dyDescent="0.25">
      <c r="A3766" s="1" t="s">
        <v>2903</v>
      </c>
      <c r="B3766" t="s">
        <v>2904</v>
      </c>
      <c r="C3766" s="1" t="s">
        <v>5550</v>
      </c>
      <c r="D3766" s="1" t="s">
        <v>5550</v>
      </c>
      <c r="E3766" t="s">
        <v>5551</v>
      </c>
      <c r="F3766" s="2" t="s">
        <v>5552</v>
      </c>
      <c r="G3766" t="s">
        <v>49</v>
      </c>
      <c r="H3766" s="2" t="s">
        <v>50</v>
      </c>
      <c r="I3766" s="2">
        <v>390</v>
      </c>
    </row>
    <row r="3767" spans="1:10" x14ac:dyDescent="0.25">
      <c r="A3767" s="1" t="s">
        <v>2903</v>
      </c>
      <c r="B3767" t="s">
        <v>2904</v>
      </c>
      <c r="C3767" s="1" t="s">
        <v>7</v>
      </c>
      <c r="D3767" s="1" t="s">
        <v>7</v>
      </c>
      <c r="E3767" t="s">
        <v>8</v>
      </c>
      <c r="F3767" s="2" t="s">
        <v>9</v>
      </c>
      <c r="G3767" t="s">
        <v>10</v>
      </c>
      <c r="H3767" s="2" t="s">
        <v>5553</v>
      </c>
      <c r="I3767" s="2">
        <v>100.26</v>
      </c>
    </row>
    <row r="3768" spans="1:10" x14ac:dyDescent="0.25">
      <c r="A3768" s="1" t="s">
        <v>2906</v>
      </c>
      <c r="B3768" t="s">
        <v>2907</v>
      </c>
      <c r="C3768" s="1" t="s">
        <v>5262</v>
      </c>
      <c r="D3768" s="1" t="s">
        <v>5262</v>
      </c>
      <c r="E3768" t="s">
        <v>5263</v>
      </c>
      <c r="F3768" s="2" t="s">
        <v>5264</v>
      </c>
      <c r="G3768" t="s">
        <v>121</v>
      </c>
      <c r="H3768" s="2" t="s">
        <v>5265</v>
      </c>
      <c r="I3768" s="2">
        <v>3.5</v>
      </c>
    </row>
    <row r="3769" spans="1:10" x14ac:dyDescent="0.25">
      <c r="A3769" s="1" t="s">
        <v>2906</v>
      </c>
      <c r="B3769" t="s">
        <v>2907</v>
      </c>
      <c r="C3769" s="1" t="s">
        <v>5266</v>
      </c>
      <c r="D3769" s="1" t="s">
        <v>5266</v>
      </c>
      <c r="E3769" t="s">
        <v>5267</v>
      </c>
      <c r="F3769" s="2" t="s">
        <v>311</v>
      </c>
      <c r="G3769" t="s">
        <v>5</v>
      </c>
      <c r="H3769" s="2" t="s">
        <v>5268</v>
      </c>
      <c r="I3769" s="2">
        <v>51.5</v>
      </c>
    </row>
    <row r="3770" spans="1:10" x14ac:dyDescent="0.25">
      <c r="A3770" s="1" t="s">
        <v>2906</v>
      </c>
      <c r="B3770" t="s">
        <v>2907</v>
      </c>
      <c r="C3770" s="1" t="s">
        <v>3452</v>
      </c>
      <c r="D3770" s="1" t="s">
        <v>3452</v>
      </c>
      <c r="E3770" t="s">
        <v>3453</v>
      </c>
      <c r="F3770" s="2" t="s">
        <v>1588</v>
      </c>
      <c r="G3770" t="s">
        <v>39</v>
      </c>
      <c r="H3770" s="2" t="s">
        <v>25</v>
      </c>
      <c r="I3770" s="2">
        <v>1.17</v>
      </c>
    </row>
    <row r="3771" spans="1:10" x14ac:dyDescent="0.25">
      <c r="A3771" s="1" t="s">
        <v>2906</v>
      </c>
      <c r="B3771" t="s">
        <v>2907</v>
      </c>
      <c r="C3771" s="1" t="s">
        <v>2791</v>
      </c>
      <c r="D3771" s="1" t="s">
        <v>2791</v>
      </c>
      <c r="E3771" t="s">
        <v>2792</v>
      </c>
      <c r="F3771" s="2" t="s">
        <v>2793</v>
      </c>
      <c r="G3771" t="s">
        <v>121</v>
      </c>
      <c r="H3771" s="2" t="s">
        <v>5269</v>
      </c>
      <c r="I3771" s="2">
        <v>3.05</v>
      </c>
    </row>
    <row r="3772" spans="1:10" x14ac:dyDescent="0.25">
      <c r="A3772" s="1" t="s">
        <v>2906</v>
      </c>
      <c r="B3772" t="s">
        <v>2907</v>
      </c>
      <c r="C3772" s="1" t="s">
        <v>5554</v>
      </c>
      <c r="D3772" s="1" t="s">
        <v>5554</v>
      </c>
      <c r="E3772" t="s">
        <v>5555</v>
      </c>
      <c r="F3772" s="2" t="s">
        <v>5556</v>
      </c>
      <c r="G3772" t="s">
        <v>49</v>
      </c>
      <c r="H3772" s="2" t="s">
        <v>50</v>
      </c>
      <c r="I3772" s="2">
        <v>49.15</v>
      </c>
      <c r="J3772" t="s">
        <v>55</v>
      </c>
    </row>
    <row r="3773" spans="1:10" x14ac:dyDescent="0.25">
      <c r="A3773" s="1" t="s">
        <v>2906</v>
      </c>
      <c r="B3773" t="s">
        <v>2907</v>
      </c>
      <c r="C3773" s="1" t="s">
        <v>5557</v>
      </c>
      <c r="D3773" s="1" t="s">
        <v>5557</v>
      </c>
      <c r="E3773" t="s">
        <v>5558</v>
      </c>
      <c r="F3773" s="2" t="s">
        <v>5559</v>
      </c>
      <c r="G3773" t="s">
        <v>49</v>
      </c>
      <c r="H3773" s="2" t="s">
        <v>50</v>
      </c>
      <c r="I3773" s="2">
        <v>46.15</v>
      </c>
      <c r="J3773" t="s">
        <v>55</v>
      </c>
    </row>
    <row r="3774" spans="1:10" x14ac:dyDescent="0.25">
      <c r="A3774" s="1" t="s">
        <v>2906</v>
      </c>
      <c r="B3774" t="s">
        <v>2907</v>
      </c>
      <c r="C3774" s="1" t="s">
        <v>857</v>
      </c>
      <c r="D3774" s="1" t="s">
        <v>857</v>
      </c>
      <c r="E3774" t="s">
        <v>858</v>
      </c>
      <c r="F3774" s="2" t="s">
        <v>686</v>
      </c>
      <c r="G3774" t="s">
        <v>49</v>
      </c>
      <c r="H3774" s="2" t="s">
        <v>5560</v>
      </c>
      <c r="I3774" s="2">
        <v>5.2</v>
      </c>
    </row>
    <row r="3775" spans="1:10" x14ac:dyDescent="0.25">
      <c r="A3775" s="1" t="s">
        <v>2906</v>
      </c>
      <c r="B3775" t="s">
        <v>2907</v>
      </c>
      <c r="C3775" s="1" t="s">
        <v>541</v>
      </c>
      <c r="D3775" s="1" t="s">
        <v>541</v>
      </c>
      <c r="E3775" t="s">
        <v>542</v>
      </c>
      <c r="F3775" s="2" t="s">
        <v>9</v>
      </c>
      <c r="G3775" t="s">
        <v>10</v>
      </c>
      <c r="H3775" s="2" t="s">
        <v>3642</v>
      </c>
      <c r="I3775" s="2">
        <v>32.200000000000003</v>
      </c>
    </row>
    <row r="3776" spans="1:10" x14ac:dyDescent="0.25">
      <c r="A3776" s="1" t="s">
        <v>5554</v>
      </c>
      <c r="B3776" t="s">
        <v>5555</v>
      </c>
      <c r="C3776" s="1" t="s">
        <v>5561</v>
      </c>
      <c r="D3776" s="1" t="s">
        <v>5561</v>
      </c>
      <c r="E3776" t="s">
        <v>5562</v>
      </c>
      <c r="F3776" s="2" t="s">
        <v>3155</v>
      </c>
      <c r="G3776" t="s">
        <v>49</v>
      </c>
      <c r="H3776" s="2" t="s">
        <v>50</v>
      </c>
      <c r="I3776" s="2">
        <v>35</v>
      </c>
    </row>
    <row r="3777" spans="1:9" x14ac:dyDescent="0.25">
      <c r="A3777" s="1" t="s">
        <v>5554</v>
      </c>
      <c r="B3777" t="s">
        <v>5555</v>
      </c>
      <c r="C3777" s="1" t="s">
        <v>7</v>
      </c>
      <c r="D3777" s="1" t="s">
        <v>7</v>
      </c>
      <c r="E3777" t="s">
        <v>8</v>
      </c>
      <c r="F3777" s="2" t="s">
        <v>9</v>
      </c>
      <c r="G3777" t="s">
        <v>10</v>
      </c>
      <c r="H3777" s="2" t="s">
        <v>5563</v>
      </c>
      <c r="I3777" s="2">
        <v>14.15</v>
      </c>
    </row>
    <row r="3778" spans="1:9" x14ac:dyDescent="0.25">
      <c r="A3778" s="1" t="s">
        <v>5557</v>
      </c>
      <c r="B3778" t="s">
        <v>5558</v>
      </c>
      <c r="C3778" s="1" t="s">
        <v>5564</v>
      </c>
      <c r="D3778" s="1" t="s">
        <v>5564</v>
      </c>
      <c r="E3778" t="s">
        <v>5565</v>
      </c>
      <c r="F3778" s="2" t="s">
        <v>5536</v>
      </c>
      <c r="G3778" t="s">
        <v>49</v>
      </c>
      <c r="H3778" s="2" t="s">
        <v>50</v>
      </c>
      <c r="I3778" s="2">
        <v>32</v>
      </c>
    </row>
    <row r="3779" spans="1:9" x14ac:dyDescent="0.25">
      <c r="A3779" s="1" t="s">
        <v>5557</v>
      </c>
      <c r="B3779" t="s">
        <v>5558</v>
      </c>
      <c r="C3779" s="1" t="s">
        <v>7</v>
      </c>
      <c r="D3779" s="1" t="s">
        <v>7</v>
      </c>
      <c r="E3779" t="s">
        <v>8</v>
      </c>
      <c r="F3779" s="2" t="s">
        <v>9</v>
      </c>
      <c r="G3779" t="s">
        <v>10</v>
      </c>
      <c r="H3779" s="2" t="s">
        <v>5563</v>
      </c>
      <c r="I3779" s="2">
        <v>14.15</v>
      </c>
    </row>
    <row r="3780" spans="1:9" x14ac:dyDescent="0.25">
      <c r="A3780" s="1" t="s">
        <v>2909</v>
      </c>
      <c r="B3780" t="s">
        <v>2910</v>
      </c>
      <c r="C3780" s="1" t="s">
        <v>1447</v>
      </c>
      <c r="D3780" s="1" t="s">
        <v>1447</v>
      </c>
      <c r="E3780" t="s">
        <v>1448</v>
      </c>
      <c r="F3780" s="2" t="s">
        <v>779</v>
      </c>
      <c r="G3780" t="s">
        <v>5</v>
      </c>
      <c r="H3780" s="2" t="s">
        <v>5239</v>
      </c>
      <c r="I3780" s="2">
        <v>1.65</v>
      </c>
    </row>
    <row r="3781" spans="1:9" x14ac:dyDescent="0.25">
      <c r="A3781" s="1" t="s">
        <v>2909</v>
      </c>
      <c r="B3781" t="s">
        <v>2910</v>
      </c>
      <c r="C3781" s="1" t="s">
        <v>541</v>
      </c>
      <c r="D3781" s="1" t="s">
        <v>541</v>
      </c>
      <c r="E3781" t="s">
        <v>542</v>
      </c>
      <c r="F3781" s="2" t="s">
        <v>9</v>
      </c>
      <c r="G3781" t="s">
        <v>10</v>
      </c>
      <c r="H3781" s="2" t="s">
        <v>5240</v>
      </c>
      <c r="I3781" s="2">
        <v>4.29</v>
      </c>
    </row>
    <row r="3782" spans="1:9" x14ac:dyDescent="0.25">
      <c r="A3782" s="1" t="s">
        <v>5566</v>
      </c>
      <c r="B3782" t="s">
        <v>5567</v>
      </c>
      <c r="C3782" s="1" t="s">
        <v>1249</v>
      </c>
      <c r="D3782" s="1" t="s">
        <v>1249</v>
      </c>
      <c r="E3782" t="s">
        <v>1250</v>
      </c>
      <c r="F3782" s="2" t="s">
        <v>1251</v>
      </c>
      <c r="G3782" t="s">
        <v>1252</v>
      </c>
      <c r="H3782" s="2" t="s">
        <v>5568</v>
      </c>
      <c r="I3782" s="2">
        <v>18</v>
      </c>
    </row>
    <row r="3783" spans="1:9" x14ac:dyDescent="0.25">
      <c r="A3783" s="1" t="s">
        <v>5566</v>
      </c>
      <c r="B3783" t="s">
        <v>5567</v>
      </c>
      <c r="C3783" s="1" t="s">
        <v>7</v>
      </c>
      <c r="D3783" s="1" t="s">
        <v>7</v>
      </c>
      <c r="E3783" t="s">
        <v>8</v>
      </c>
      <c r="F3783" s="2" t="s">
        <v>9</v>
      </c>
      <c r="G3783" t="s">
        <v>10</v>
      </c>
      <c r="H3783" s="2" t="s">
        <v>1275</v>
      </c>
      <c r="I3783" s="2">
        <v>18.09</v>
      </c>
    </row>
    <row r="3784" spans="1:9" x14ac:dyDescent="0.25">
      <c r="A3784" s="1" t="s">
        <v>5566</v>
      </c>
      <c r="B3784" t="s">
        <v>5567</v>
      </c>
      <c r="C3784" s="1" t="s">
        <v>7</v>
      </c>
      <c r="D3784" s="1" t="s">
        <v>7</v>
      </c>
      <c r="E3784" t="s">
        <v>8</v>
      </c>
      <c r="F3784" s="2" t="s">
        <v>9</v>
      </c>
      <c r="G3784" t="s">
        <v>10</v>
      </c>
      <c r="H3784" s="2" t="s">
        <v>33</v>
      </c>
      <c r="I3784" s="2">
        <v>9.1999999999999993</v>
      </c>
    </row>
    <row r="3785" spans="1:9" x14ac:dyDescent="0.25">
      <c r="A3785" s="1" t="s">
        <v>5569</v>
      </c>
      <c r="B3785" t="s">
        <v>5570</v>
      </c>
      <c r="C3785" s="1" t="s">
        <v>684</v>
      </c>
      <c r="D3785" s="1" t="s">
        <v>684</v>
      </c>
      <c r="E3785" t="s">
        <v>685</v>
      </c>
      <c r="F3785" s="2" t="s">
        <v>686</v>
      </c>
      <c r="G3785" t="s">
        <v>49</v>
      </c>
      <c r="H3785" s="2" t="s">
        <v>5571</v>
      </c>
      <c r="I3785" s="2">
        <v>8.76</v>
      </c>
    </row>
    <row r="3786" spans="1:9" x14ac:dyDescent="0.25">
      <c r="A3786" s="1" t="s">
        <v>5569</v>
      </c>
      <c r="B3786" t="s">
        <v>5570</v>
      </c>
      <c r="C3786" s="1" t="s">
        <v>7</v>
      </c>
      <c r="D3786" s="1" t="s">
        <v>7</v>
      </c>
      <c r="E3786" t="s">
        <v>8</v>
      </c>
      <c r="F3786" s="2" t="s">
        <v>9</v>
      </c>
      <c r="G3786" t="s">
        <v>10</v>
      </c>
      <c r="H3786" s="2" t="s">
        <v>3047</v>
      </c>
      <c r="I3786" s="2">
        <v>4.83</v>
      </c>
    </row>
    <row r="3787" spans="1:9" x14ac:dyDescent="0.25">
      <c r="A3787" s="1" t="s">
        <v>5572</v>
      </c>
      <c r="B3787" t="s">
        <v>5573</v>
      </c>
      <c r="C3787" s="1" t="s">
        <v>5574</v>
      </c>
      <c r="D3787" s="1" t="s">
        <v>5574</v>
      </c>
      <c r="E3787" t="s">
        <v>5575</v>
      </c>
      <c r="F3787" s="2" t="s">
        <v>5576</v>
      </c>
      <c r="G3787" t="s">
        <v>121</v>
      </c>
      <c r="H3787" s="2" t="s">
        <v>25</v>
      </c>
      <c r="I3787" s="2">
        <v>0.34</v>
      </c>
    </row>
    <row r="3788" spans="1:9" x14ac:dyDescent="0.25">
      <c r="A3788" s="1" t="s">
        <v>5572</v>
      </c>
      <c r="B3788" t="s">
        <v>5573</v>
      </c>
      <c r="C3788" s="1" t="s">
        <v>541</v>
      </c>
      <c r="D3788" s="1" t="s">
        <v>541</v>
      </c>
      <c r="E3788" t="s">
        <v>542</v>
      </c>
      <c r="F3788" s="2" t="s">
        <v>9</v>
      </c>
      <c r="G3788" t="s">
        <v>10</v>
      </c>
      <c r="H3788" s="2" t="s">
        <v>1119</v>
      </c>
      <c r="I3788" s="2">
        <v>2.0699999999999998</v>
      </c>
    </row>
    <row r="3789" spans="1:9" x14ac:dyDescent="0.25">
      <c r="A3789" s="1" t="s">
        <v>5577</v>
      </c>
      <c r="B3789" t="s">
        <v>5578</v>
      </c>
      <c r="C3789" s="1" t="s">
        <v>5574</v>
      </c>
      <c r="D3789" s="1" t="s">
        <v>5574</v>
      </c>
      <c r="E3789" t="s">
        <v>5575</v>
      </c>
      <c r="F3789" s="2" t="s">
        <v>5576</v>
      </c>
      <c r="G3789" t="s">
        <v>121</v>
      </c>
      <c r="H3789" s="2" t="s">
        <v>25</v>
      </c>
      <c r="I3789" s="2">
        <v>0.34</v>
      </c>
    </row>
    <row r="3790" spans="1:9" x14ac:dyDescent="0.25">
      <c r="A3790" s="1" t="s">
        <v>5577</v>
      </c>
      <c r="B3790" t="s">
        <v>5578</v>
      </c>
      <c r="C3790" s="1" t="s">
        <v>541</v>
      </c>
      <c r="D3790" s="1" t="s">
        <v>541</v>
      </c>
      <c r="E3790" t="s">
        <v>542</v>
      </c>
      <c r="F3790" s="2" t="s">
        <v>9</v>
      </c>
      <c r="G3790" t="s">
        <v>10</v>
      </c>
      <c r="H3790" s="2" t="s">
        <v>1119</v>
      </c>
      <c r="I3790" s="2">
        <v>2.0699999999999998</v>
      </c>
    </row>
    <row r="3791" spans="1:9" x14ac:dyDescent="0.25">
      <c r="A3791" s="1" t="s">
        <v>5579</v>
      </c>
      <c r="B3791" t="s">
        <v>5580</v>
      </c>
      <c r="C3791" s="1" t="s">
        <v>1813</v>
      </c>
      <c r="D3791" s="1" t="s">
        <v>1813</v>
      </c>
      <c r="E3791" t="s">
        <v>1814</v>
      </c>
      <c r="F3791" s="2" t="s">
        <v>1101</v>
      </c>
      <c r="G3791" t="s">
        <v>5</v>
      </c>
      <c r="H3791" s="2" t="s">
        <v>5581</v>
      </c>
      <c r="I3791" s="2">
        <v>0.5</v>
      </c>
    </row>
    <row r="3792" spans="1:9" x14ac:dyDescent="0.25">
      <c r="A3792" s="1" t="s">
        <v>5579</v>
      </c>
      <c r="B3792" t="s">
        <v>5580</v>
      </c>
      <c r="C3792" s="1" t="s">
        <v>432</v>
      </c>
      <c r="D3792" s="1" t="s">
        <v>432</v>
      </c>
      <c r="E3792" t="s">
        <v>433</v>
      </c>
      <c r="F3792" s="2" t="s">
        <v>434</v>
      </c>
      <c r="G3792" t="s">
        <v>435</v>
      </c>
      <c r="H3792" s="2" t="s">
        <v>50</v>
      </c>
      <c r="I3792" s="2">
        <v>1.1000000000000001</v>
      </c>
    </row>
    <row r="3793" spans="1:9" x14ac:dyDescent="0.25">
      <c r="A3793" s="1" t="s">
        <v>5579</v>
      </c>
      <c r="B3793" t="s">
        <v>5580</v>
      </c>
      <c r="C3793" s="1" t="s">
        <v>7</v>
      </c>
      <c r="D3793" s="1" t="s">
        <v>7</v>
      </c>
      <c r="E3793" t="s">
        <v>8</v>
      </c>
      <c r="F3793" s="2" t="s">
        <v>9</v>
      </c>
      <c r="G3793" t="s">
        <v>10</v>
      </c>
      <c r="H3793" s="2" t="s">
        <v>5582</v>
      </c>
      <c r="I3793" s="2">
        <v>4.04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BCA81-9A6E-4BD3-8B01-10D1BAC7A279}">
  <dimension ref="A1:N3793"/>
  <sheetViews>
    <sheetView topLeftCell="A20" zoomScale="130" zoomScaleNormal="130" workbookViewId="0">
      <selection activeCell="K30" sqref="K30"/>
    </sheetView>
  </sheetViews>
  <sheetFormatPr defaultRowHeight="15" x14ac:dyDescent="0.25"/>
  <cols>
    <col min="1" max="1" width="17" style="1" bestFit="1" customWidth="1"/>
    <col min="2" max="2" width="43.42578125" customWidth="1"/>
    <col min="3" max="4" width="18.28515625" style="1" hidden="1" customWidth="1"/>
    <col min="5" max="5" width="18.28515625" style="1" customWidth="1"/>
    <col min="6" max="6" width="49" customWidth="1"/>
    <col min="7" max="7" width="12.85546875" bestFit="1" customWidth="1"/>
    <col min="8" max="8" width="5.28515625" bestFit="1" customWidth="1"/>
    <col min="9" max="9" width="12.5703125" bestFit="1" customWidth="1"/>
    <col min="10" max="10" width="8" bestFit="1" customWidth="1"/>
    <col min="11" max="13" width="13.85546875" customWidth="1"/>
    <col min="14" max="14" width="9.140625" bestFit="1" customWidth="1"/>
  </cols>
  <sheetData>
    <row r="1" spans="1:14" x14ac:dyDescent="0.25">
      <c r="A1" s="1" t="s">
        <v>5593</v>
      </c>
      <c r="B1" t="s">
        <v>5594</v>
      </c>
      <c r="C1" s="1" t="s">
        <v>55</v>
      </c>
      <c r="D1" s="1" t="s">
        <v>51</v>
      </c>
      <c r="E1" s="1" t="s">
        <v>5609</v>
      </c>
      <c r="F1" s="1" t="s">
        <v>5595</v>
      </c>
      <c r="G1" s="1" t="s">
        <v>5596</v>
      </c>
      <c r="H1" s="1" t="s">
        <v>5597</v>
      </c>
      <c r="I1" s="1" t="s">
        <v>5598</v>
      </c>
      <c r="J1" s="1" t="s">
        <v>5599</v>
      </c>
      <c r="K1" s="1" t="s">
        <v>5610</v>
      </c>
      <c r="L1" s="1" t="s">
        <v>5611</v>
      </c>
      <c r="M1" s="1" t="s">
        <v>5612</v>
      </c>
      <c r="N1" s="1" t="s">
        <v>5600</v>
      </c>
    </row>
    <row r="2" spans="1:14" x14ac:dyDescent="0.25">
      <c r="A2" s="1" t="s">
        <v>0</v>
      </c>
      <c r="B2" t="s">
        <v>1</v>
      </c>
      <c r="C2" s="1" t="s">
        <v>2</v>
      </c>
      <c r="D2" s="1" t="s">
        <v>2</v>
      </c>
      <c r="E2" s="1" t="s">
        <v>2</v>
      </c>
      <c r="F2" t="s">
        <v>3</v>
      </c>
      <c r="G2" t="s">
        <v>4</v>
      </c>
      <c r="H2" t="s">
        <v>5</v>
      </c>
      <c r="I2" t="s">
        <v>6</v>
      </c>
      <c r="J2">
        <v>0.6</v>
      </c>
      <c r="K2" t="e">
        <f>IF(COUNTIF(#REF!,Tabela2[[#This Row],[IdxWspolny]])&gt;0,"ELEM_lub_PRD","TECHN")</f>
        <v>#REF!</v>
      </c>
      <c r="L2" t="e">
        <f>IF(COUNTIF(#REF!,Tabela2[[#This Row],[KOD_PRODUKTU]])&gt;0,"ELEMENT","PRODUKT")</f>
        <v>#REF!</v>
      </c>
      <c r="M2" t="e">
        <f>COUNTIF(#REF!,Tabela2[[#This Row],[KOD_PRODUKTU]])</f>
        <v>#REF!</v>
      </c>
    </row>
    <row r="3" spans="1:14" x14ac:dyDescent="0.25">
      <c r="A3" s="1" t="s">
        <v>0</v>
      </c>
      <c r="B3" t="s">
        <v>1</v>
      </c>
      <c r="C3" s="1" t="s">
        <v>7</v>
      </c>
      <c r="D3" s="1" t="s">
        <v>7</v>
      </c>
      <c r="E3" s="1" t="s">
        <v>7</v>
      </c>
      <c r="F3" t="s">
        <v>8</v>
      </c>
      <c r="G3" t="s">
        <v>9</v>
      </c>
      <c r="H3" t="s">
        <v>10</v>
      </c>
      <c r="I3" t="s">
        <v>11</v>
      </c>
      <c r="J3">
        <v>4.8</v>
      </c>
      <c r="K3" t="e">
        <f>IF(COUNTIF(#REF!,Tabela2[[#This Row],[IdxWspolny]])&gt;0,"ELEM_lub_PRD","TECHN")</f>
        <v>#REF!</v>
      </c>
      <c r="L3" t="e">
        <f>IF(COUNTIF(#REF!,Tabela2[[#This Row],[KOD_PRODUKTU]])&gt;0,"ELEMENT","PRODUKT")</f>
        <v>#REF!</v>
      </c>
      <c r="M3" t="e">
        <f>COUNTIF(#REF!,Tabela2[[#This Row],[KOD_PRODUKTU]])</f>
        <v>#REF!</v>
      </c>
    </row>
    <row r="4" spans="1:14" x14ac:dyDescent="0.25">
      <c r="A4" s="1" t="s">
        <v>12</v>
      </c>
      <c r="B4" t="s">
        <v>13</v>
      </c>
      <c r="C4" s="1" t="s">
        <v>14</v>
      </c>
      <c r="D4" s="1" t="s">
        <v>14</v>
      </c>
      <c r="E4" s="1" t="s">
        <v>14</v>
      </c>
      <c r="F4" t="s">
        <v>15</v>
      </c>
      <c r="G4" t="s">
        <v>16</v>
      </c>
      <c r="H4" t="s">
        <v>17</v>
      </c>
      <c r="I4" t="s">
        <v>18</v>
      </c>
      <c r="J4">
        <v>1.4</v>
      </c>
      <c r="K4" t="e">
        <f>IF(COUNTIF(#REF!,Tabela2[[#This Row],[IdxWspolny]])&gt;0,"ELEM_lub_PRD","TECHN")</f>
        <v>#REF!</v>
      </c>
      <c r="L4" t="e">
        <f>IF(COUNTIF(#REF!,Tabela2[[#This Row],[KOD_PRODUKTU]])&gt;0,"ELEMENT","PRODUKT")</f>
        <v>#REF!</v>
      </c>
      <c r="M4" t="e">
        <f>COUNTIF(#REF!,Tabela2[[#This Row],[KOD_PRODUKTU]])</f>
        <v>#REF!</v>
      </c>
    </row>
    <row r="5" spans="1:14" x14ac:dyDescent="0.25">
      <c r="A5" s="1" t="s">
        <v>12</v>
      </c>
      <c r="B5" t="s">
        <v>13</v>
      </c>
      <c r="C5" s="1" t="s">
        <v>7</v>
      </c>
      <c r="D5" s="1" t="s">
        <v>7</v>
      </c>
      <c r="E5" s="1" t="s">
        <v>7</v>
      </c>
      <c r="F5" t="s">
        <v>8</v>
      </c>
      <c r="G5" t="s">
        <v>9</v>
      </c>
      <c r="H5" t="s">
        <v>10</v>
      </c>
      <c r="I5" t="s">
        <v>19</v>
      </c>
      <c r="J5">
        <v>4.5999999999999996</v>
      </c>
      <c r="K5" t="e">
        <f>IF(COUNTIF(#REF!,Tabela2[[#This Row],[IdxWspolny]])&gt;0,"ELEM_lub_PRD","TECHN")</f>
        <v>#REF!</v>
      </c>
      <c r="L5" t="e">
        <f>IF(COUNTIF(#REF!,Tabela2[[#This Row],[KOD_PRODUKTU]])&gt;0,"ELEMENT","PRODUKT")</f>
        <v>#REF!</v>
      </c>
      <c r="M5" t="e">
        <f>COUNTIF(#REF!,Tabela2[[#This Row],[KOD_PRODUKTU]])</f>
        <v>#REF!</v>
      </c>
    </row>
    <row r="6" spans="1:14" x14ac:dyDescent="0.25">
      <c r="A6" s="1" t="s">
        <v>20</v>
      </c>
      <c r="B6" t="s">
        <v>21</v>
      </c>
      <c r="C6" s="1" t="s">
        <v>22</v>
      </c>
      <c r="D6" s="1" t="s">
        <v>22</v>
      </c>
      <c r="E6" s="1" t="s">
        <v>22</v>
      </c>
      <c r="F6" t="s">
        <v>23</v>
      </c>
      <c r="G6" t="s">
        <v>24</v>
      </c>
      <c r="H6" t="s">
        <v>17</v>
      </c>
      <c r="I6" t="s">
        <v>25</v>
      </c>
      <c r="J6">
        <v>4.17</v>
      </c>
      <c r="K6" t="e">
        <f>IF(COUNTIF(#REF!,Tabela2[[#This Row],[IdxWspolny]])&gt;0,"ELEM_lub_PRD","TECHN")</f>
        <v>#REF!</v>
      </c>
      <c r="L6" t="e">
        <f>IF(COUNTIF(#REF!,Tabela2[[#This Row],[KOD_PRODUKTU]])&gt;0,"ELEMENT","PRODUKT")</f>
        <v>#REF!</v>
      </c>
      <c r="M6" t="e">
        <f>COUNTIF(#REF!,Tabela2[[#This Row],[KOD_PRODUKTU]])</f>
        <v>#REF!</v>
      </c>
    </row>
    <row r="7" spans="1:14" x14ac:dyDescent="0.25">
      <c r="A7" s="1" t="s">
        <v>20</v>
      </c>
      <c r="B7" t="s">
        <v>21</v>
      </c>
      <c r="C7" s="1" t="s">
        <v>7</v>
      </c>
      <c r="D7" s="1" t="s">
        <v>7</v>
      </c>
      <c r="E7" s="1" t="s">
        <v>7</v>
      </c>
      <c r="F7" t="s">
        <v>8</v>
      </c>
      <c r="G7" t="s">
        <v>9</v>
      </c>
      <c r="H7" t="s">
        <v>10</v>
      </c>
      <c r="I7" t="s">
        <v>26</v>
      </c>
      <c r="J7">
        <v>26.83</v>
      </c>
      <c r="K7" t="e">
        <f>IF(COUNTIF(#REF!,Tabela2[[#This Row],[IdxWspolny]])&gt;0,"ELEM_lub_PRD","TECHN")</f>
        <v>#REF!</v>
      </c>
      <c r="L7" t="e">
        <f>IF(COUNTIF(#REF!,Tabela2[[#This Row],[KOD_PRODUKTU]])&gt;0,"ELEMENT","PRODUKT")</f>
        <v>#REF!</v>
      </c>
      <c r="M7" t="e">
        <f>COUNTIF(#REF!,Tabela2[[#This Row],[KOD_PRODUKTU]])</f>
        <v>#REF!</v>
      </c>
    </row>
    <row r="8" spans="1:14" x14ac:dyDescent="0.25">
      <c r="A8" s="1" t="s">
        <v>27</v>
      </c>
      <c r="B8" t="s">
        <v>28</v>
      </c>
      <c r="C8" s="1" t="s">
        <v>29</v>
      </c>
      <c r="D8" s="1" t="s">
        <v>29</v>
      </c>
      <c r="E8" s="1" t="s">
        <v>29</v>
      </c>
      <c r="F8" t="s">
        <v>30</v>
      </c>
      <c r="G8" t="s">
        <v>31</v>
      </c>
      <c r="H8" t="s">
        <v>5</v>
      </c>
      <c r="I8" t="s">
        <v>32</v>
      </c>
      <c r="J8">
        <v>0.75</v>
      </c>
      <c r="K8" t="e">
        <f>IF(COUNTIF(#REF!,Tabela2[[#This Row],[IdxWspolny]])&gt;0,"ELEM_lub_PRD","TECHN")</f>
        <v>#REF!</v>
      </c>
      <c r="L8" t="e">
        <f>IF(COUNTIF(#REF!,Tabela2[[#This Row],[KOD_PRODUKTU]])&gt;0,"ELEMENT","PRODUKT")</f>
        <v>#REF!</v>
      </c>
      <c r="M8" t="e">
        <f>COUNTIF(#REF!,Tabela2[[#This Row],[KOD_PRODUKTU]])</f>
        <v>#REF!</v>
      </c>
    </row>
    <row r="9" spans="1:14" x14ac:dyDescent="0.25">
      <c r="A9" s="1" t="s">
        <v>27</v>
      </c>
      <c r="B9" t="s">
        <v>28</v>
      </c>
      <c r="C9" s="1" t="s">
        <v>7</v>
      </c>
      <c r="D9" s="1" t="s">
        <v>7</v>
      </c>
      <c r="E9" s="1" t="s">
        <v>7</v>
      </c>
      <c r="F9" t="s">
        <v>8</v>
      </c>
      <c r="G9" t="s">
        <v>9</v>
      </c>
      <c r="H9" t="s">
        <v>10</v>
      </c>
      <c r="I9" t="s">
        <v>33</v>
      </c>
      <c r="J9">
        <v>9.1999999999999993</v>
      </c>
      <c r="K9" t="e">
        <f>IF(COUNTIF(#REF!,Tabela2[[#This Row],[IdxWspolny]])&gt;0,"ELEM_lub_PRD","TECHN")</f>
        <v>#REF!</v>
      </c>
      <c r="L9" t="e">
        <f>IF(COUNTIF(#REF!,Tabela2[[#This Row],[KOD_PRODUKTU]])&gt;0,"ELEMENT","PRODUKT")</f>
        <v>#REF!</v>
      </c>
      <c r="M9" t="e">
        <f>COUNTIF(#REF!,Tabela2[[#This Row],[KOD_PRODUKTU]])</f>
        <v>#REF!</v>
      </c>
    </row>
    <row r="10" spans="1:14" x14ac:dyDescent="0.25">
      <c r="A10" s="1" t="s">
        <v>34</v>
      </c>
      <c r="B10" t="s">
        <v>35</v>
      </c>
      <c r="C10" s="1" t="s">
        <v>36</v>
      </c>
      <c r="D10" s="1" t="s">
        <v>36</v>
      </c>
      <c r="E10" s="1" t="s">
        <v>36</v>
      </c>
      <c r="F10" t="s">
        <v>37</v>
      </c>
      <c r="G10" t="s">
        <v>38</v>
      </c>
      <c r="H10" t="s">
        <v>39</v>
      </c>
      <c r="I10" t="s">
        <v>40</v>
      </c>
      <c r="J10">
        <v>0.19</v>
      </c>
      <c r="K10" t="e">
        <f>IF(COUNTIF(#REF!,Tabela2[[#This Row],[IdxWspolny]])&gt;0,"ELEM_lub_PRD","TECHN")</f>
        <v>#REF!</v>
      </c>
      <c r="L10" t="e">
        <f>IF(COUNTIF(#REF!,Tabela2[[#This Row],[KOD_PRODUKTU]])&gt;0,"ELEMENT","PRODUKT")</f>
        <v>#REF!</v>
      </c>
      <c r="M10" t="e">
        <f>COUNTIF(#REF!,Tabela2[[#This Row],[KOD_PRODUKTU]])</f>
        <v>#REF!</v>
      </c>
    </row>
    <row r="11" spans="1:14" x14ac:dyDescent="0.25">
      <c r="A11" s="1" t="s">
        <v>34</v>
      </c>
      <c r="B11" t="s">
        <v>35</v>
      </c>
      <c r="C11" s="1" t="s">
        <v>41</v>
      </c>
      <c r="D11" s="1" t="s">
        <v>41</v>
      </c>
      <c r="E11" s="1" t="s">
        <v>41</v>
      </c>
      <c r="F11" t="s">
        <v>42</v>
      </c>
      <c r="G11" t="s">
        <v>43</v>
      </c>
      <c r="H11" t="s">
        <v>5</v>
      </c>
      <c r="I11" t="s">
        <v>44</v>
      </c>
      <c r="J11">
        <v>0.01</v>
      </c>
      <c r="K11" t="e">
        <f>IF(COUNTIF(#REF!,Tabela2[[#This Row],[IdxWspolny]])&gt;0,"ELEM_lub_PRD","TECHN")</f>
        <v>#REF!</v>
      </c>
      <c r="L11" t="e">
        <f>IF(COUNTIF(#REF!,Tabela2[[#This Row],[KOD_PRODUKTU]])&gt;0,"ELEMENT","PRODUKT")</f>
        <v>#REF!</v>
      </c>
      <c r="M11" t="e">
        <f>COUNTIF(#REF!,Tabela2[[#This Row],[KOD_PRODUKTU]])</f>
        <v>#REF!</v>
      </c>
    </row>
    <row r="12" spans="1:14" hidden="1" x14ac:dyDescent="0.25">
      <c r="A12" s="1" t="s">
        <v>34</v>
      </c>
      <c r="B12" t="s">
        <v>35</v>
      </c>
      <c r="C12" s="1" t="s">
        <v>45</v>
      </c>
      <c r="D12" s="1" t="s">
        <v>46</v>
      </c>
      <c r="E12" s="1" t="s">
        <v>46</v>
      </c>
      <c r="F12" t="s">
        <v>47</v>
      </c>
      <c r="G12" t="s">
        <v>48</v>
      </c>
      <c r="H12" t="s">
        <v>49</v>
      </c>
      <c r="I12" t="s">
        <v>50</v>
      </c>
      <c r="J12">
        <v>11.9</v>
      </c>
      <c r="K12" t="e">
        <f>IF(COUNTIF(#REF!,Tabela2[[#This Row],[IdxWspolny]])&gt;0,"ELEM_lub_PRD","TECHN")</f>
        <v>#REF!</v>
      </c>
      <c r="L12" t="e">
        <f>IF(COUNTIF(#REF!,Tabela2[[#This Row],[KOD_PRODUKTU]])&gt;0,"ELEMENT","PRODUKT")</f>
        <v>#REF!</v>
      </c>
      <c r="M12" t="e">
        <f>COUNTIF(#REF!,Tabela2[[#This Row],[KOD_PRODUKTU]])</f>
        <v>#REF!</v>
      </c>
      <c r="N12" t="s">
        <v>51</v>
      </c>
    </row>
    <row r="13" spans="1:14" hidden="1" x14ac:dyDescent="0.25">
      <c r="A13" s="1" t="s">
        <v>34</v>
      </c>
      <c r="B13" t="s">
        <v>35</v>
      </c>
      <c r="C13" s="1" t="s">
        <v>52</v>
      </c>
      <c r="D13" s="1" t="s">
        <v>52</v>
      </c>
      <c r="E13" s="1" t="s">
        <v>52</v>
      </c>
      <c r="F13" t="s">
        <v>53</v>
      </c>
      <c r="G13" t="s">
        <v>54</v>
      </c>
      <c r="H13" t="s">
        <v>49</v>
      </c>
      <c r="I13" t="s">
        <v>50</v>
      </c>
      <c r="J13">
        <v>3.8</v>
      </c>
      <c r="K13" t="e">
        <f>IF(COUNTIF(#REF!,Tabela2[[#This Row],[IdxWspolny]])&gt;0,"ELEM_lub_PRD","TECHN")</f>
        <v>#REF!</v>
      </c>
      <c r="L13" t="e">
        <f>IF(COUNTIF(#REF!,Tabela2[[#This Row],[KOD_PRODUKTU]])&gt;0,"ELEMENT","PRODUKT")</f>
        <v>#REF!</v>
      </c>
      <c r="M13" t="e">
        <f>COUNTIF(#REF!,Tabela2[[#This Row],[KOD_PRODUKTU]])</f>
        <v>#REF!</v>
      </c>
      <c r="N13" t="s">
        <v>55</v>
      </c>
    </row>
    <row r="14" spans="1:14" hidden="1" x14ac:dyDescent="0.25">
      <c r="A14" s="1" t="s">
        <v>34</v>
      </c>
      <c r="B14" t="s">
        <v>35</v>
      </c>
      <c r="C14" s="1" t="s">
        <v>56</v>
      </c>
      <c r="D14" s="1" t="s">
        <v>56</v>
      </c>
      <c r="E14" s="1" t="s">
        <v>56</v>
      </c>
      <c r="F14" t="s">
        <v>57</v>
      </c>
      <c r="G14" t="s">
        <v>58</v>
      </c>
      <c r="H14" t="s">
        <v>49</v>
      </c>
      <c r="I14" t="s">
        <v>50</v>
      </c>
      <c r="J14">
        <v>5.4</v>
      </c>
      <c r="K14" t="e">
        <f>IF(COUNTIF(#REF!,Tabela2[[#This Row],[IdxWspolny]])&gt;0,"ELEM_lub_PRD","TECHN")</f>
        <v>#REF!</v>
      </c>
      <c r="L14" t="e">
        <f>IF(COUNTIF(#REF!,Tabela2[[#This Row],[KOD_PRODUKTU]])&gt;0,"ELEMENT","PRODUKT")</f>
        <v>#REF!</v>
      </c>
      <c r="M14" t="e">
        <f>COUNTIF(#REF!,Tabela2[[#This Row],[KOD_PRODUKTU]])</f>
        <v>#REF!</v>
      </c>
      <c r="N14" t="s">
        <v>55</v>
      </c>
    </row>
    <row r="15" spans="1:14" hidden="1" x14ac:dyDescent="0.25">
      <c r="A15" s="1" t="s">
        <v>34</v>
      </c>
      <c r="B15" t="s">
        <v>35</v>
      </c>
      <c r="C15" s="1" t="s">
        <v>59</v>
      </c>
      <c r="D15" s="1" t="s">
        <v>59</v>
      </c>
      <c r="E15" s="1" t="s">
        <v>59</v>
      </c>
      <c r="F15" t="s">
        <v>60</v>
      </c>
      <c r="G15" t="s">
        <v>61</v>
      </c>
      <c r="H15" t="s">
        <v>49</v>
      </c>
      <c r="I15" t="s">
        <v>50</v>
      </c>
      <c r="J15">
        <v>3.85</v>
      </c>
      <c r="K15" t="e">
        <f>IF(COUNTIF(#REF!,Tabela2[[#This Row],[IdxWspolny]])&gt;0,"ELEM_lub_PRD","TECHN")</f>
        <v>#REF!</v>
      </c>
      <c r="L15" t="e">
        <f>IF(COUNTIF(#REF!,Tabela2[[#This Row],[KOD_PRODUKTU]])&gt;0,"ELEMENT","PRODUKT")</f>
        <v>#REF!</v>
      </c>
      <c r="M15" t="e">
        <f>COUNTIF(#REF!,Tabela2[[#This Row],[KOD_PRODUKTU]])</f>
        <v>#REF!</v>
      </c>
      <c r="N15" t="s">
        <v>55</v>
      </c>
    </row>
    <row r="16" spans="1:14" hidden="1" x14ac:dyDescent="0.25">
      <c r="A16" s="1" t="s">
        <v>34</v>
      </c>
      <c r="B16" t="s">
        <v>35</v>
      </c>
      <c r="C16" s="1" t="s">
        <v>62</v>
      </c>
      <c r="D16" s="1" t="s">
        <v>62</v>
      </c>
      <c r="E16" s="1" t="s">
        <v>62</v>
      </c>
      <c r="F16" t="s">
        <v>63</v>
      </c>
      <c r="G16" t="s">
        <v>64</v>
      </c>
      <c r="H16" t="s">
        <v>49</v>
      </c>
      <c r="I16" t="s">
        <v>50</v>
      </c>
      <c r="J16">
        <v>19.95</v>
      </c>
      <c r="K16" t="e">
        <f>IF(COUNTIF(#REF!,Tabela2[[#This Row],[IdxWspolny]])&gt;0,"ELEM_lub_PRD","TECHN")</f>
        <v>#REF!</v>
      </c>
      <c r="L16" t="e">
        <f>IF(COUNTIF(#REF!,Tabela2[[#This Row],[KOD_PRODUKTU]])&gt;0,"ELEMENT","PRODUKT")</f>
        <v>#REF!</v>
      </c>
      <c r="M16" t="e">
        <f>COUNTIF(#REF!,Tabela2[[#This Row],[KOD_PRODUKTU]])</f>
        <v>#REF!</v>
      </c>
      <c r="N16" t="s">
        <v>55</v>
      </c>
    </row>
    <row r="17" spans="1:14" hidden="1" x14ac:dyDescent="0.25">
      <c r="A17" s="1" t="s">
        <v>34</v>
      </c>
      <c r="B17" t="s">
        <v>35</v>
      </c>
      <c r="C17" s="1" t="s">
        <v>65</v>
      </c>
      <c r="D17" s="1" t="s">
        <v>65</v>
      </c>
      <c r="E17" s="1" t="s">
        <v>65</v>
      </c>
      <c r="F17" t="s">
        <v>66</v>
      </c>
      <c r="G17" t="s">
        <v>67</v>
      </c>
      <c r="H17" t="s">
        <v>49</v>
      </c>
      <c r="I17" t="s">
        <v>50</v>
      </c>
      <c r="J17">
        <v>2.5499999999999998</v>
      </c>
      <c r="K17" t="e">
        <f>IF(COUNTIF(#REF!,Tabela2[[#This Row],[IdxWspolny]])&gt;0,"ELEM_lub_PRD","TECHN")</f>
        <v>#REF!</v>
      </c>
      <c r="L17" t="e">
        <f>IF(COUNTIF(#REF!,Tabela2[[#This Row],[KOD_PRODUKTU]])&gt;0,"ELEMENT","PRODUKT")</f>
        <v>#REF!</v>
      </c>
      <c r="M17" t="e">
        <f>COUNTIF(#REF!,Tabela2[[#This Row],[KOD_PRODUKTU]])</f>
        <v>#REF!</v>
      </c>
      <c r="N17" t="s">
        <v>55</v>
      </c>
    </row>
    <row r="18" spans="1:14" hidden="1" x14ac:dyDescent="0.25">
      <c r="A18" s="1" t="s">
        <v>34</v>
      </c>
      <c r="B18" t="s">
        <v>35</v>
      </c>
      <c r="C18" s="1" t="s">
        <v>68</v>
      </c>
      <c r="D18" s="1" t="s">
        <v>68</v>
      </c>
      <c r="E18" s="1" t="s">
        <v>68</v>
      </c>
      <c r="F18" t="s">
        <v>69</v>
      </c>
      <c r="G18" t="s">
        <v>70</v>
      </c>
      <c r="H18" t="s">
        <v>49</v>
      </c>
      <c r="I18" t="s">
        <v>50</v>
      </c>
      <c r="J18">
        <v>5</v>
      </c>
      <c r="K18" t="e">
        <f>IF(COUNTIF(#REF!,Tabela2[[#This Row],[IdxWspolny]])&gt;0,"ELEM_lub_PRD","TECHN")</f>
        <v>#REF!</v>
      </c>
      <c r="L18" t="e">
        <f>IF(COUNTIF(#REF!,Tabela2[[#This Row],[KOD_PRODUKTU]])&gt;0,"ELEMENT","PRODUKT")</f>
        <v>#REF!</v>
      </c>
      <c r="M18" t="e">
        <f>COUNTIF(#REF!,Tabela2[[#This Row],[KOD_PRODUKTU]])</f>
        <v>#REF!</v>
      </c>
      <c r="N18" t="s">
        <v>55</v>
      </c>
    </row>
    <row r="19" spans="1:14" x14ac:dyDescent="0.25">
      <c r="A19" s="1" t="s">
        <v>34</v>
      </c>
      <c r="B19" t="s">
        <v>35</v>
      </c>
      <c r="C19" s="1" t="s">
        <v>7</v>
      </c>
      <c r="D19" s="1" t="s">
        <v>7</v>
      </c>
      <c r="E19" s="1" t="s">
        <v>7</v>
      </c>
      <c r="F19" t="s">
        <v>8</v>
      </c>
      <c r="G19" t="s">
        <v>9</v>
      </c>
      <c r="H19" t="s">
        <v>10</v>
      </c>
      <c r="I19" t="s">
        <v>71</v>
      </c>
      <c r="J19">
        <v>3.85</v>
      </c>
      <c r="K19" t="e">
        <f>IF(COUNTIF(#REF!,Tabela2[[#This Row],[IdxWspolny]])&gt;0,"ELEM_lub_PRD","TECHN")</f>
        <v>#REF!</v>
      </c>
      <c r="L19" t="e">
        <f>IF(COUNTIF(#REF!,Tabela2[[#This Row],[KOD_PRODUKTU]])&gt;0,"ELEMENT","PRODUKT")</f>
        <v>#REF!</v>
      </c>
      <c r="M19" t="e">
        <f>COUNTIF(#REF!,Tabela2[[#This Row],[KOD_PRODUKTU]])</f>
        <v>#REF!</v>
      </c>
    </row>
    <row r="20" spans="1:14" x14ac:dyDescent="0.25">
      <c r="A20" s="1" t="s">
        <v>72</v>
      </c>
      <c r="B20" t="s">
        <v>73</v>
      </c>
      <c r="C20" s="1" t="s">
        <v>36</v>
      </c>
      <c r="D20" s="1" t="s">
        <v>36</v>
      </c>
      <c r="E20" s="1" t="s">
        <v>36</v>
      </c>
      <c r="F20" t="s">
        <v>37</v>
      </c>
      <c r="G20" t="s">
        <v>38</v>
      </c>
      <c r="H20" t="s">
        <v>39</v>
      </c>
      <c r="I20" t="s">
        <v>40</v>
      </c>
      <c r="J20">
        <v>0.19</v>
      </c>
      <c r="K20" t="e">
        <f>IF(COUNTIF(#REF!,Tabela2[[#This Row],[IdxWspolny]])&gt;0,"ELEM_lub_PRD","TECHN")</f>
        <v>#REF!</v>
      </c>
      <c r="L20" t="e">
        <f>IF(COUNTIF(#REF!,Tabela2[[#This Row],[KOD_PRODUKTU]])&gt;0,"ELEMENT","PRODUKT")</f>
        <v>#REF!</v>
      </c>
      <c r="M20" t="e">
        <f>COUNTIF(#REF!,Tabela2[[#This Row],[KOD_PRODUKTU]])</f>
        <v>#REF!</v>
      </c>
    </row>
    <row r="21" spans="1:14" x14ac:dyDescent="0.25">
      <c r="A21" s="1" t="s">
        <v>72</v>
      </c>
      <c r="B21" t="s">
        <v>73</v>
      </c>
      <c r="C21" s="1" t="s">
        <v>41</v>
      </c>
      <c r="D21" s="1" t="s">
        <v>41</v>
      </c>
      <c r="E21" s="1" t="s">
        <v>41</v>
      </c>
      <c r="F21" t="s">
        <v>42</v>
      </c>
      <c r="G21" t="s">
        <v>43</v>
      </c>
      <c r="H21" t="s">
        <v>5</v>
      </c>
      <c r="I21" t="s">
        <v>74</v>
      </c>
      <c r="J21">
        <v>0.02</v>
      </c>
      <c r="K21" t="e">
        <f>IF(COUNTIF(#REF!,Tabela2[[#This Row],[IdxWspolny]])&gt;0,"ELEM_lub_PRD","TECHN")</f>
        <v>#REF!</v>
      </c>
      <c r="L21" t="e">
        <f>IF(COUNTIF(#REF!,Tabela2[[#This Row],[KOD_PRODUKTU]])&gt;0,"ELEMENT","PRODUKT")</f>
        <v>#REF!</v>
      </c>
      <c r="M21" t="e">
        <f>COUNTIF(#REF!,Tabela2[[#This Row],[KOD_PRODUKTU]])</f>
        <v>#REF!</v>
      </c>
    </row>
    <row r="22" spans="1:14" hidden="1" x14ac:dyDescent="0.25">
      <c r="A22" s="1" t="s">
        <v>72</v>
      </c>
      <c r="B22" t="s">
        <v>73</v>
      </c>
      <c r="C22" s="1" t="s">
        <v>75</v>
      </c>
      <c r="D22" s="1" t="s">
        <v>75</v>
      </c>
      <c r="E22" s="1" t="s">
        <v>75</v>
      </c>
      <c r="F22" t="s">
        <v>76</v>
      </c>
      <c r="G22" t="s">
        <v>77</v>
      </c>
      <c r="H22" t="s">
        <v>49</v>
      </c>
      <c r="I22" t="s">
        <v>50</v>
      </c>
      <c r="J22">
        <v>4.05</v>
      </c>
      <c r="K22" t="e">
        <f>IF(COUNTIF(#REF!,Tabela2[[#This Row],[IdxWspolny]])&gt;0,"ELEM_lub_PRD","TECHN")</f>
        <v>#REF!</v>
      </c>
      <c r="L22" t="e">
        <f>IF(COUNTIF(#REF!,Tabela2[[#This Row],[KOD_PRODUKTU]])&gt;0,"ELEMENT","PRODUKT")</f>
        <v>#REF!</v>
      </c>
      <c r="M22" t="e">
        <f>COUNTIF(#REF!,Tabela2[[#This Row],[KOD_PRODUKTU]])</f>
        <v>#REF!</v>
      </c>
      <c r="N22" t="s">
        <v>55</v>
      </c>
    </row>
    <row r="23" spans="1:14" hidden="1" x14ac:dyDescent="0.25">
      <c r="A23" s="1" t="s">
        <v>72</v>
      </c>
      <c r="B23" t="s">
        <v>73</v>
      </c>
      <c r="C23" s="1" t="s">
        <v>45</v>
      </c>
      <c r="D23" s="1" t="s">
        <v>46</v>
      </c>
      <c r="E23" s="1" t="s">
        <v>46</v>
      </c>
      <c r="F23" t="s">
        <v>47</v>
      </c>
      <c r="G23" t="s">
        <v>48</v>
      </c>
      <c r="H23" t="s">
        <v>49</v>
      </c>
      <c r="I23" t="s">
        <v>50</v>
      </c>
      <c r="J23">
        <v>11.9</v>
      </c>
      <c r="K23" t="e">
        <f>IF(COUNTIF(#REF!,Tabela2[[#This Row],[IdxWspolny]])&gt;0,"ELEM_lub_PRD","TECHN")</f>
        <v>#REF!</v>
      </c>
      <c r="L23" t="e">
        <f>IF(COUNTIF(#REF!,Tabela2[[#This Row],[KOD_PRODUKTU]])&gt;0,"ELEMENT","PRODUKT")</f>
        <v>#REF!</v>
      </c>
      <c r="M23" t="e">
        <f>COUNTIF(#REF!,Tabela2[[#This Row],[KOD_PRODUKTU]])</f>
        <v>#REF!</v>
      </c>
      <c r="N23" t="s">
        <v>51</v>
      </c>
    </row>
    <row r="24" spans="1:14" hidden="1" x14ac:dyDescent="0.25">
      <c r="A24" s="1" t="s">
        <v>72</v>
      </c>
      <c r="B24" t="s">
        <v>73</v>
      </c>
      <c r="C24" s="1" t="s">
        <v>56</v>
      </c>
      <c r="D24" s="1" t="s">
        <v>56</v>
      </c>
      <c r="E24" s="1" t="s">
        <v>56</v>
      </c>
      <c r="F24" t="s">
        <v>57</v>
      </c>
      <c r="G24" t="s">
        <v>58</v>
      </c>
      <c r="H24" t="s">
        <v>49</v>
      </c>
      <c r="I24" t="s">
        <v>50</v>
      </c>
      <c r="J24">
        <v>5.4</v>
      </c>
      <c r="K24" t="e">
        <f>IF(COUNTIF(#REF!,Tabela2[[#This Row],[IdxWspolny]])&gt;0,"ELEM_lub_PRD","TECHN")</f>
        <v>#REF!</v>
      </c>
      <c r="L24" t="e">
        <f>IF(COUNTIF(#REF!,Tabela2[[#This Row],[KOD_PRODUKTU]])&gt;0,"ELEMENT","PRODUKT")</f>
        <v>#REF!</v>
      </c>
      <c r="M24" t="e">
        <f>COUNTIF(#REF!,Tabela2[[#This Row],[KOD_PRODUKTU]])</f>
        <v>#REF!</v>
      </c>
      <c r="N24" t="s">
        <v>55</v>
      </c>
    </row>
    <row r="25" spans="1:14" hidden="1" x14ac:dyDescent="0.25">
      <c r="A25" s="1" t="s">
        <v>72</v>
      </c>
      <c r="B25" t="s">
        <v>73</v>
      </c>
      <c r="C25" s="1" t="s">
        <v>59</v>
      </c>
      <c r="D25" s="1" t="s">
        <v>59</v>
      </c>
      <c r="E25" s="1" t="s">
        <v>59</v>
      </c>
      <c r="F25" t="s">
        <v>60</v>
      </c>
      <c r="G25" t="s">
        <v>61</v>
      </c>
      <c r="H25" t="s">
        <v>49</v>
      </c>
      <c r="I25" t="s">
        <v>50</v>
      </c>
      <c r="J25">
        <v>3.85</v>
      </c>
      <c r="K25" t="e">
        <f>IF(COUNTIF(#REF!,Tabela2[[#This Row],[IdxWspolny]])&gt;0,"ELEM_lub_PRD","TECHN")</f>
        <v>#REF!</v>
      </c>
      <c r="L25" t="e">
        <f>IF(COUNTIF(#REF!,Tabela2[[#This Row],[KOD_PRODUKTU]])&gt;0,"ELEMENT","PRODUKT")</f>
        <v>#REF!</v>
      </c>
      <c r="M25" t="e">
        <f>COUNTIF(#REF!,Tabela2[[#This Row],[KOD_PRODUKTU]])</f>
        <v>#REF!</v>
      </c>
      <c r="N25" t="s">
        <v>55</v>
      </c>
    </row>
    <row r="26" spans="1:14" hidden="1" x14ac:dyDescent="0.25">
      <c r="A26" s="1" t="s">
        <v>72</v>
      </c>
      <c r="B26" t="s">
        <v>73</v>
      </c>
      <c r="C26" s="1" t="s">
        <v>62</v>
      </c>
      <c r="D26" s="1" t="s">
        <v>62</v>
      </c>
      <c r="E26" s="1" t="s">
        <v>62</v>
      </c>
      <c r="F26" t="s">
        <v>63</v>
      </c>
      <c r="G26" t="s">
        <v>64</v>
      </c>
      <c r="H26" t="s">
        <v>49</v>
      </c>
      <c r="I26" t="s">
        <v>50</v>
      </c>
      <c r="J26">
        <v>19.95</v>
      </c>
      <c r="K26" t="e">
        <f>IF(COUNTIF(#REF!,Tabela2[[#This Row],[IdxWspolny]])&gt;0,"ELEM_lub_PRD","TECHN")</f>
        <v>#REF!</v>
      </c>
      <c r="L26" t="e">
        <f>IF(COUNTIF(#REF!,Tabela2[[#This Row],[KOD_PRODUKTU]])&gt;0,"ELEMENT","PRODUKT")</f>
        <v>#REF!</v>
      </c>
      <c r="M26" t="e">
        <f>COUNTIF(#REF!,Tabela2[[#This Row],[KOD_PRODUKTU]])</f>
        <v>#REF!</v>
      </c>
      <c r="N26" t="s">
        <v>55</v>
      </c>
    </row>
    <row r="27" spans="1:14" hidden="1" x14ac:dyDescent="0.25">
      <c r="A27" s="1" t="s">
        <v>72</v>
      </c>
      <c r="B27" t="s">
        <v>73</v>
      </c>
      <c r="C27" s="1" t="s">
        <v>65</v>
      </c>
      <c r="D27" s="1" t="s">
        <v>65</v>
      </c>
      <c r="E27" s="1" t="s">
        <v>65</v>
      </c>
      <c r="F27" t="s">
        <v>66</v>
      </c>
      <c r="G27" t="s">
        <v>67</v>
      </c>
      <c r="H27" t="s">
        <v>49</v>
      </c>
      <c r="I27" t="s">
        <v>50</v>
      </c>
      <c r="J27">
        <v>2.5499999999999998</v>
      </c>
      <c r="K27" t="e">
        <f>IF(COUNTIF(#REF!,Tabela2[[#This Row],[IdxWspolny]])&gt;0,"ELEM_lub_PRD","TECHN")</f>
        <v>#REF!</v>
      </c>
      <c r="L27" t="e">
        <f>IF(COUNTIF(#REF!,Tabela2[[#This Row],[KOD_PRODUKTU]])&gt;0,"ELEMENT","PRODUKT")</f>
        <v>#REF!</v>
      </c>
      <c r="M27" t="e">
        <f>COUNTIF(#REF!,Tabela2[[#This Row],[KOD_PRODUKTU]])</f>
        <v>#REF!</v>
      </c>
      <c r="N27" t="s">
        <v>55</v>
      </c>
    </row>
    <row r="28" spans="1:14" hidden="1" x14ac:dyDescent="0.25">
      <c r="A28" s="1" t="s">
        <v>72</v>
      </c>
      <c r="B28" t="s">
        <v>73</v>
      </c>
      <c r="C28" s="1" t="s">
        <v>68</v>
      </c>
      <c r="D28" s="1" t="s">
        <v>68</v>
      </c>
      <c r="E28" s="1" t="s">
        <v>68</v>
      </c>
      <c r="F28" t="s">
        <v>69</v>
      </c>
      <c r="G28" t="s">
        <v>70</v>
      </c>
      <c r="H28" t="s">
        <v>49</v>
      </c>
      <c r="I28" t="s">
        <v>50</v>
      </c>
      <c r="J28">
        <v>5</v>
      </c>
      <c r="K28" t="e">
        <f>IF(COUNTIF(#REF!,Tabela2[[#This Row],[IdxWspolny]])&gt;0,"ELEM_lub_PRD","TECHN")</f>
        <v>#REF!</v>
      </c>
      <c r="L28" t="e">
        <f>IF(COUNTIF(#REF!,Tabela2[[#This Row],[KOD_PRODUKTU]])&gt;0,"ELEMENT","PRODUKT")</f>
        <v>#REF!</v>
      </c>
      <c r="M28" t="e">
        <f>COUNTIF(#REF!,Tabela2[[#This Row],[KOD_PRODUKTU]])</f>
        <v>#REF!</v>
      </c>
      <c r="N28" t="s">
        <v>55</v>
      </c>
    </row>
    <row r="29" spans="1:14" x14ac:dyDescent="0.25">
      <c r="A29" s="1" t="s">
        <v>72</v>
      </c>
      <c r="B29" t="s">
        <v>73</v>
      </c>
      <c r="C29" s="1" t="s">
        <v>7</v>
      </c>
      <c r="D29" s="1" t="s">
        <v>7</v>
      </c>
      <c r="E29" s="1" t="s">
        <v>7</v>
      </c>
      <c r="F29" t="s">
        <v>8</v>
      </c>
      <c r="G29" t="s">
        <v>9</v>
      </c>
      <c r="H29" t="s">
        <v>10</v>
      </c>
      <c r="I29" t="s">
        <v>78</v>
      </c>
      <c r="J29">
        <v>3.85</v>
      </c>
      <c r="K29" t="e">
        <f>IF(COUNTIF(#REF!,Tabela2[[#This Row],[IdxWspolny]])&gt;0,"ELEM_lub_PRD","TECHN")</f>
        <v>#REF!</v>
      </c>
      <c r="L29" t="e">
        <f>IF(COUNTIF(#REF!,Tabela2[[#This Row],[KOD_PRODUKTU]])&gt;0,"ELEMENT","PRODUKT")</f>
        <v>#REF!</v>
      </c>
      <c r="M29" t="e">
        <f>COUNTIF(#REF!,Tabela2[[#This Row],[KOD_PRODUKTU]])</f>
        <v>#REF!</v>
      </c>
    </row>
    <row r="30" spans="1:14" x14ac:dyDescent="0.25">
      <c r="A30" s="1" t="s">
        <v>79</v>
      </c>
      <c r="B30" t="s">
        <v>80</v>
      </c>
      <c r="C30" s="1" t="s">
        <v>81</v>
      </c>
      <c r="D30" s="1" t="s">
        <v>81</v>
      </c>
      <c r="E30" s="1" t="s">
        <v>81</v>
      </c>
      <c r="F30" t="s">
        <v>82</v>
      </c>
      <c r="G30" t="s">
        <v>83</v>
      </c>
      <c r="H30" t="s">
        <v>39</v>
      </c>
      <c r="I30" t="s">
        <v>40</v>
      </c>
      <c r="J30">
        <v>0.15</v>
      </c>
      <c r="K30" t="e">
        <f>IF(COUNTIF(#REF!,Tabela2[[#This Row],[IdxWspolny]])&gt;0,"ELEM_lub_PRD","TECHN")</f>
        <v>#REF!</v>
      </c>
      <c r="L30" t="e">
        <f>IF(COUNTIF(#REF!,Tabela2[[#This Row],[KOD_PRODUKTU]])&gt;0,"ELEMENT","PRODUKT")</f>
        <v>#REF!</v>
      </c>
      <c r="M30" t="e">
        <f>COUNTIF(#REF!,Tabela2[[#This Row],[KOD_PRODUKTU]])</f>
        <v>#REF!</v>
      </c>
    </row>
    <row r="31" spans="1:14" hidden="1" x14ac:dyDescent="0.25">
      <c r="A31" s="1" t="s">
        <v>79</v>
      </c>
      <c r="B31" t="s">
        <v>80</v>
      </c>
      <c r="C31" s="1" t="s">
        <v>84</v>
      </c>
      <c r="D31" s="1" t="s">
        <v>85</v>
      </c>
      <c r="E31" s="1" t="s">
        <v>85</v>
      </c>
      <c r="F31" t="s">
        <v>86</v>
      </c>
      <c r="G31" t="s">
        <v>87</v>
      </c>
      <c r="H31" t="s">
        <v>49</v>
      </c>
      <c r="I31" t="s">
        <v>50</v>
      </c>
      <c r="J31">
        <v>8.9</v>
      </c>
      <c r="K31" t="e">
        <f>IF(COUNTIF(#REF!,Tabela2[[#This Row],[IdxWspolny]])&gt;0,"ELEM_lub_PRD","TECHN")</f>
        <v>#REF!</v>
      </c>
      <c r="L31" t="e">
        <f>IF(COUNTIF(#REF!,Tabela2[[#This Row],[KOD_PRODUKTU]])&gt;0,"ELEMENT","PRODUKT")</f>
        <v>#REF!</v>
      </c>
      <c r="M31" t="e">
        <f>COUNTIF(#REF!,Tabela2[[#This Row],[KOD_PRODUKTU]])</f>
        <v>#REF!</v>
      </c>
      <c r="N31" t="s">
        <v>51</v>
      </c>
    </row>
    <row r="32" spans="1:14" hidden="1" x14ac:dyDescent="0.25">
      <c r="A32" s="1" t="s">
        <v>79</v>
      </c>
      <c r="B32" t="s">
        <v>80</v>
      </c>
      <c r="C32" s="1" t="s">
        <v>88</v>
      </c>
      <c r="D32" s="1" t="s">
        <v>89</v>
      </c>
      <c r="E32" s="1" t="s">
        <v>89</v>
      </c>
      <c r="F32" t="s">
        <v>90</v>
      </c>
      <c r="G32" t="s">
        <v>91</v>
      </c>
      <c r="H32" t="s">
        <v>49</v>
      </c>
      <c r="I32" t="s">
        <v>92</v>
      </c>
      <c r="J32">
        <v>10.4</v>
      </c>
      <c r="K32" t="e">
        <f>IF(COUNTIF(#REF!,Tabela2[[#This Row],[IdxWspolny]])&gt;0,"ELEM_lub_PRD","TECHN")</f>
        <v>#REF!</v>
      </c>
      <c r="L32" t="e">
        <f>IF(COUNTIF(#REF!,Tabela2[[#This Row],[KOD_PRODUKTU]])&gt;0,"ELEMENT","PRODUKT")</f>
        <v>#REF!</v>
      </c>
      <c r="M32" t="e">
        <f>COUNTIF(#REF!,Tabela2[[#This Row],[KOD_PRODUKTU]])</f>
        <v>#REF!</v>
      </c>
      <c r="N32" t="s">
        <v>51</v>
      </c>
    </row>
    <row r="33" spans="1:14" hidden="1" x14ac:dyDescent="0.25">
      <c r="A33" s="1" t="s">
        <v>79</v>
      </c>
      <c r="B33" t="s">
        <v>80</v>
      </c>
      <c r="C33" s="1" t="s">
        <v>93</v>
      </c>
      <c r="D33" s="1" t="s">
        <v>94</v>
      </c>
      <c r="E33" s="1" t="s">
        <v>94</v>
      </c>
      <c r="F33" t="s">
        <v>95</v>
      </c>
      <c r="G33" t="s">
        <v>96</v>
      </c>
      <c r="H33" t="s">
        <v>49</v>
      </c>
      <c r="I33" t="s">
        <v>92</v>
      </c>
      <c r="J33">
        <v>8.9</v>
      </c>
      <c r="K33" t="e">
        <f>IF(COUNTIF(#REF!,Tabela2[[#This Row],[IdxWspolny]])&gt;0,"ELEM_lub_PRD","TECHN")</f>
        <v>#REF!</v>
      </c>
      <c r="L33" t="e">
        <f>IF(COUNTIF(#REF!,Tabela2[[#This Row],[KOD_PRODUKTU]])&gt;0,"ELEMENT","PRODUKT")</f>
        <v>#REF!</v>
      </c>
      <c r="M33" t="e">
        <f>COUNTIF(#REF!,Tabela2[[#This Row],[KOD_PRODUKTU]])</f>
        <v>#REF!</v>
      </c>
      <c r="N33" t="s">
        <v>51</v>
      </c>
    </row>
    <row r="34" spans="1:14" hidden="1" x14ac:dyDescent="0.25">
      <c r="A34" s="1" t="s">
        <v>79</v>
      </c>
      <c r="B34" t="s">
        <v>80</v>
      </c>
      <c r="C34" s="1" t="s">
        <v>97</v>
      </c>
      <c r="D34" s="1" t="s">
        <v>98</v>
      </c>
      <c r="E34" s="1" t="s">
        <v>98</v>
      </c>
      <c r="F34" t="s">
        <v>99</v>
      </c>
      <c r="G34" t="s">
        <v>100</v>
      </c>
      <c r="H34" t="s">
        <v>49</v>
      </c>
      <c r="I34" t="s">
        <v>50</v>
      </c>
      <c r="J34">
        <v>3.65</v>
      </c>
      <c r="K34" t="e">
        <f>IF(COUNTIF(#REF!,Tabela2[[#This Row],[IdxWspolny]])&gt;0,"ELEM_lub_PRD","TECHN")</f>
        <v>#REF!</v>
      </c>
      <c r="L34" t="e">
        <f>IF(COUNTIF(#REF!,Tabela2[[#This Row],[KOD_PRODUKTU]])&gt;0,"ELEMENT","PRODUKT")</f>
        <v>#REF!</v>
      </c>
      <c r="M34" t="e">
        <f>COUNTIF(#REF!,Tabela2[[#This Row],[KOD_PRODUKTU]])</f>
        <v>#REF!</v>
      </c>
      <c r="N34" t="s">
        <v>51</v>
      </c>
    </row>
    <row r="35" spans="1:14" hidden="1" x14ac:dyDescent="0.25">
      <c r="A35" s="1" t="s">
        <v>79</v>
      </c>
      <c r="B35" t="s">
        <v>80</v>
      </c>
      <c r="C35" s="1" t="s">
        <v>101</v>
      </c>
      <c r="D35" s="1" t="s">
        <v>102</v>
      </c>
      <c r="E35" s="1" t="s">
        <v>102</v>
      </c>
      <c r="F35" t="s">
        <v>103</v>
      </c>
      <c r="G35" t="s">
        <v>104</v>
      </c>
      <c r="H35" t="s">
        <v>49</v>
      </c>
      <c r="I35" t="s">
        <v>50</v>
      </c>
      <c r="J35">
        <v>3.5</v>
      </c>
      <c r="K35" t="e">
        <f>IF(COUNTIF(#REF!,Tabela2[[#This Row],[IdxWspolny]])&gt;0,"ELEM_lub_PRD","TECHN")</f>
        <v>#REF!</v>
      </c>
      <c r="L35" t="e">
        <f>IF(COUNTIF(#REF!,Tabela2[[#This Row],[KOD_PRODUKTU]])&gt;0,"ELEMENT","PRODUKT")</f>
        <v>#REF!</v>
      </c>
      <c r="M35" t="e">
        <f>COUNTIF(#REF!,Tabela2[[#This Row],[KOD_PRODUKTU]])</f>
        <v>#REF!</v>
      </c>
      <c r="N35" t="s">
        <v>51</v>
      </c>
    </row>
    <row r="36" spans="1:14" hidden="1" x14ac:dyDescent="0.25">
      <c r="A36" s="1" t="s">
        <v>79</v>
      </c>
      <c r="B36" t="s">
        <v>80</v>
      </c>
      <c r="C36" s="1" t="s">
        <v>105</v>
      </c>
      <c r="D36" s="1" t="s">
        <v>106</v>
      </c>
      <c r="E36" s="1" t="s">
        <v>106</v>
      </c>
      <c r="F36" t="s">
        <v>107</v>
      </c>
      <c r="G36" t="s">
        <v>108</v>
      </c>
      <c r="H36" t="s">
        <v>49</v>
      </c>
      <c r="I36" t="s">
        <v>50</v>
      </c>
      <c r="J36">
        <v>4.2</v>
      </c>
      <c r="K36" t="e">
        <f>IF(COUNTIF(#REF!,Tabela2[[#This Row],[IdxWspolny]])&gt;0,"ELEM_lub_PRD","TECHN")</f>
        <v>#REF!</v>
      </c>
      <c r="L36" t="e">
        <f>IF(COUNTIF(#REF!,Tabela2[[#This Row],[KOD_PRODUKTU]])&gt;0,"ELEMENT","PRODUKT")</f>
        <v>#REF!</v>
      </c>
      <c r="M36" t="e">
        <f>COUNTIF(#REF!,Tabela2[[#This Row],[KOD_PRODUKTU]])</f>
        <v>#REF!</v>
      </c>
      <c r="N36" t="s">
        <v>51</v>
      </c>
    </row>
    <row r="37" spans="1:14" hidden="1" x14ac:dyDescent="0.25">
      <c r="A37" s="1" t="s">
        <v>79</v>
      </c>
      <c r="B37" t="s">
        <v>80</v>
      </c>
      <c r="C37" s="1" t="s">
        <v>109</v>
      </c>
      <c r="D37" s="1" t="s">
        <v>109</v>
      </c>
      <c r="E37" s="1" t="s">
        <v>109</v>
      </c>
      <c r="F37" t="s">
        <v>110</v>
      </c>
      <c r="G37" t="s">
        <v>111</v>
      </c>
      <c r="H37" t="s">
        <v>49</v>
      </c>
      <c r="I37" t="s">
        <v>50</v>
      </c>
      <c r="J37">
        <v>17.8</v>
      </c>
      <c r="K37" t="e">
        <f>IF(COUNTIF(#REF!,Tabela2[[#This Row],[IdxWspolny]])&gt;0,"ELEM_lub_PRD","TECHN")</f>
        <v>#REF!</v>
      </c>
      <c r="L37" t="e">
        <f>IF(COUNTIF(#REF!,Tabela2[[#This Row],[KOD_PRODUKTU]])&gt;0,"ELEMENT","PRODUKT")</f>
        <v>#REF!</v>
      </c>
      <c r="M37" t="e">
        <f>COUNTIF(#REF!,Tabela2[[#This Row],[KOD_PRODUKTU]])</f>
        <v>#REF!</v>
      </c>
      <c r="N37" t="s">
        <v>55</v>
      </c>
    </row>
    <row r="38" spans="1:14" x14ac:dyDescent="0.25">
      <c r="A38" s="1" t="s">
        <v>79</v>
      </c>
      <c r="B38" t="s">
        <v>80</v>
      </c>
      <c r="C38" s="1" t="s">
        <v>7</v>
      </c>
      <c r="D38" s="1" t="s">
        <v>7</v>
      </c>
      <c r="E38" s="1" t="s">
        <v>7</v>
      </c>
      <c r="F38" t="s">
        <v>8</v>
      </c>
      <c r="G38" t="s">
        <v>9</v>
      </c>
      <c r="H38" t="s">
        <v>10</v>
      </c>
      <c r="I38" t="s">
        <v>112</v>
      </c>
      <c r="J38">
        <v>3.9</v>
      </c>
      <c r="K38" t="e">
        <f>IF(COUNTIF(#REF!,Tabela2[[#This Row],[IdxWspolny]])&gt;0,"ELEM_lub_PRD","TECHN")</f>
        <v>#REF!</v>
      </c>
      <c r="L38" t="e">
        <f>IF(COUNTIF(#REF!,Tabela2[[#This Row],[KOD_PRODUKTU]])&gt;0,"ELEMENT","PRODUKT")</f>
        <v>#REF!</v>
      </c>
      <c r="M38" t="e">
        <f>COUNTIF(#REF!,Tabela2[[#This Row],[KOD_PRODUKTU]])</f>
        <v>#REF!</v>
      </c>
    </row>
    <row r="39" spans="1:14" x14ac:dyDescent="0.25">
      <c r="A39" s="1" t="s">
        <v>113</v>
      </c>
      <c r="B39" t="s">
        <v>114</v>
      </c>
      <c r="C39" s="1" t="s">
        <v>115</v>
      </c>
      <c r="D39" s="1" t="s">
        <v>115</v>
      </c>
      <c r="E39" s="1" t="s">
        <v>115</v>
      </c>
      <c r="F39" t="s">
        <v>116</v>
      </c>
      <c r="G39" t="s">
        <v>117</v>
      </c>
      <c r="H39" t="s">
        <v>39</v>
      </c>
      <c r="I39" t="s">
        <v>40</v>
      </c>
      <c r="J39">
        <v>0.2</v>
      </c>
      <c r="K39" t="e">
        <f>IF(COUNTIF(#REF!,Tabela2[[#This Row],[IdxWspolny]])&gt;0,"ELEM_lub_PRD","TECHN")</f>
        <v>#REF!</v>
      </c>
      <c r="L39" t="e">
        <f>IF(COUNTIF(#REF!,Tabela2[[#This Row],[KOD_PRODUKTU]])&gt;0,"ELEMENT","PRODUKT")</f>
        <v>#REF!</v>
      </c>
      <c r="M39" t="e">
        <f>COUNTIF(#REF!,Tabela2[[#This Row],[KOD_PRODUKTU]])</f>
        <v>#REF!</v>
      </c>
    </row>
    <row r="40" spans="1:14" hidden="1" x14ac:dyDescent="0.25">
      <c r="A40" s="1" t="s">
        <v>113</v>
      </c>
      <c r="B40" t="s">
        <v>114</v>
      </c>
      <c r="C40" s="1" t="s">
        <v>118</v>
      </c>
      <c r="D40" s="1" t="s">
        <v>118</v>
      </c>
      <c r="E40" s="1" t="s">
        <v>118</v>
      </c>
      <c r="F40" t="s">
        <v>119</v>
      </c>
      <c r="G40" t="s">
        <v>120</v>
      </c>
      <c r="H40" t="s">
        <v>121</v>
      </c>
      <c r="I40" t="s">
        <v>122</v>
      </c>
      <c r="J40">
        <v>63.8</v>
      </c>
      <c r="K40" t="e">
        <f>IF(COUNTIF(#REF!,Tabela2[[#This Row],[IdxWspolny]])&gt;0,"ELEM_lub_PRD","TECHN")</f>
        <v>#REF!</v>
      </c>
      <c r="L40" t="e">
        <f>IF(COUNTIF(#REF!,Tabela2[[#This Row],[KOD_PRODUKTU]])&gt;0,"ELEMENT","PRODUKT")</f>
        <v>#REF!</v>
      </c>
      <c r="M40" t="e">
        <f>COUNTIF(#REF!,Tabela2[[#This Row],[KOD_PRODUKTU]])</f>
        <v>#REF!</v>
      </c>
      <c r="N40" t="s">
        <v>55</v>
      </c>
    </row>
    <row r="41" spans="1:14" hidden="1" x14ac:dyDescent="0.25">
      <c r="A41" s="1" t="s">
        <v>113</v>
      </c>
      <c r="B41" t="s">
        <v>114</v>
      </c>
      <c r="C41" s="1" t="s">
        <v>123</v>
      </c>
      <c r="D41" s="1" t="s">
        <v>123</v>
      </c>
      <c r="E41" s="1" t="s">
        <v>123</v>
      </c>
      <c r="F41" t="s">
        <v>124</v>
      </c>
      <c r="G41" t="s">
        <v>125</v>
      </c>
      <c r="H41" t="s">
        <v>121</v>
      </c>
      <c r="I41" t="s">
        <v>122</v>
      </c>
      <c r="J41">
        <v>55.4</v>
      </c>
      <c r="K41" t="e">
        <f>IF(COUNTIF(#REF!,Tabela2[[#This Row],[IdxWspolny]])&gt;0,"ELEM_lub_PRD","TECHN")</f>
        <v>#REF!</v>
      </c>
      <c r="L41" t="e">
        <f>IF(COUNTIF(#REF!,Tabela2[[#This Row],[KOD_PRODUKTU]])&gt;0,"ELEMENT","PRODUKT")</f>
        <v>#REF!</v>
      </c>
      <c r="M41" t="e">
        <f>COUNTIF(#REF!,Tabela2[[#This Row],[KOD_PRODUKTU]])</f>
        <v>#REF!</v>
      </c>
      <c r="N41" t="s">
        <v>55</v>
      </c>
    </row>
    <row r="42" spans="1:14" hidden="1" x14ac:dyDescent="0.25">
      <c r="A42" s="1" t="s">
        <v>113</v>
      </c>
      <c r="B42" t="s">
        <v>114</v>
      </c>
      <c r="C42" s="1" t="s">
        <v>126</v>
      </c>
      <c r="D42" s="1" t="s">
        <v>126</v>
      </c>
      <c r="E42" s="1" t="s">
        <v>126</v>
      </c>
      <c r="F42" t="s">
        <v>127</v>
      </c>
      <c r="G42" t="s">
        <v>128</v>
      </c>
      <c r="H42" t="s">
        <v>121</v>
      </c>
      <c r="I42" t="s">
        <v>92</v>
      </c>
      <c r="J42">
        <v>31.3</v>
      </c>
      <c r="K42" t="e">
        <f>IF(COUNTIF(#REF!,Tabela2[[#This Row],[IdxWspolny]])&gt;0,"ELEM_lub_PRD","TECHN")</f>
        <v>#REF!</v>
      </c>
      <c r="L42" t="e">
        <f>IF(COUNTIF(#REF!,Tabela2[[#This Row],[KOD_PRODUKTU]])&gt;0,"ELEMENT","PRODUKT")</f>
        <v>#REF!</v>
      </c>
      <c r="M42" t="e">
        <f>COUNTIF(#REF!,Tabela2[[#This Row],[KOD_PRODUKTU]])</f>
        <v>#REF!</v>
      </c>
      <c r="N42" t="s">
        <v>55</v>
      </c>
    </row>
    <row r="43" spans="1:14" hidden="1" x14ac:dyDescent="0.25">
      <c r="A43" s="1" t="s">
        <v>113</v>
      </c>
      <c r="B43" t="s">
        <v>114</v>
      </c>
      <c r="C43" s="1" t="s">
        <v>129</v>
      </c>
      <c r="D43" s="1" t="s">
        <v>129</v>
      </c>
      <c r="E43" s="1" t="s">
        <v>129</v>
      </c>
      <c r="F43" t="s">
        <v>130</v>
      </c>
      <c r="G43" t="s">
        <v>131</v>
      </c>
      <c r="H43" t="s">
        <v>121</v>
      </c>
      <c r="I43" t="s">
        <v>92</v>
      </c>
      <c r="J43">
        <v>28.4</v>
      </c>
      <c r="K43" t="e">
        <f>IF(COUNTIF(#REF!,Tabela2[[#This Row],[IdxWspolny]])&gt;0,"ELEM_lub_PRD","TECHN")</f>
        <v>#REF!</v>
      </c>
      <c r="L43" t="e">
        <f>IF(COUNTIF(#REF!,Tabela2[[#This Row],[KOD_PRODUKTU]])&gt;0,"ELEMENT","PRODUKT")</f>
        <v>#REF!</v>
      </c>
      <c r="M43" t="e">
        <f>COUNTIF(#REF!,Tabela2[[#This Row],[KOD_PRODUKTU]])</f>
        <v>#REF!</v>
      </c>
      <c r="N43" t="s">
        <v>55</v>
      </c>
    </row>
    <row r="44" spans="1:14" x14ac:dyDescent="0.25">
      <c r="A44" s="1" t="s">
        <v>113</v>
      </c>
      <c r="B44" t="s">
        <v>114</v>
      </c>
      <c r="C44" s="1" t="s">
        <v>7</v>
      </c>
      <c r="D44" s="1" t="s">
        <v>7</v>
      </c>
      <c r="E44" s="1" t="s">
        <v>7</v>
      </c>
      <c r="F44" t="s">
        <v>8</v>
      </c>
      <c r="G44" t="s">
        <v>9</v>
      </c>
      <c r="H44" t="s">
        <v>10</v>
      </c>
      <c r="I44" t="s">
        <v>132</v>
      </c>
      <c r="J44">
        <v>10.9</v>
      </c>
      <c r="K44" t="e">
        <f>IF(COUNTIF(#REF!,Tabela2[[#This Row],[IdxWspolny]])&gt;0,"ELEM_lub_PRD","TECHN")</f>
        <v>#REF!</v>
      </c>
      <c r="L44" t="e">
        <f>IF(COUNTIF(#REF!,Tabela2[[#This Row],[KOD_PRODUKTU]])&gt;0,"ELEMENT","PRODUKT")</f>
        <v>#REF!</v>
      </c>
      <c r="M44" t="e">
        <f>COUNTIF(#REF!,Tabela2[[#This Row],[KOD_PRODUKTU]])</f>
        <v>#REF!</v>
      </c>
    </row>
    <row r="45" spans="1:14" x14ac:dyDescent="0.25">
      <c r="A45" s="1" t="s">
        <v>133</v>
      </c>
      <c r="B45" t="s">
        <v>134</v>
      </c>
      <c r="C45" s="1" t="s">
        <v>115</v>
      </c>
      <c r="D45" s="1" t="s">
        <v>115</v>
      </c>
      <c r="E45" s="1" t="s">
        <v>115</v>
      </c>
      <c r="F45" t="s">
        <v>116</v>
      </c>
      <c r="G45" t="s">
        <v>117</v>
      </c>
      <c r="H45" t="s">
        <v>39</v>
      </c>
      <c r="I45" t="s">
        <v>40</v>
      </c>
      <c r="J45">
        <v>0.2</v>
      </c>
      <c r="K45" t="e">
        <f>IF(COUNTIF(#REF!,Tabela2[[#This Row],[IdxWspolny]])&gt;0,"ELEM_lub_PRD","TECHN")</f>
        <v>#REF!</v>
      </c>
      <c r="L45" t="e">
        <f>IF(COUNTIF(#REF!,Tabela2[[#This Row],[KOD_PRODUKTU]])&gt;0,"ELEMENT","PRODUKT")</f>
        <v>#REF!</v>
      </c>
      <c r="M45" t="e">
        <f>COUNTIF(#REF!,Tabela2[[#This Row],[KOD_PRODUKTU]])</f>
        <v>#REF!</v>
      </c>
    </row>
    <row r="46" spans="1:14" hidden="1" x14ac:dyDescent="0.25">
      <c r="A46" s="1" t="s">
        <v>133</v>
      </c>
      <c r="B46" t="s">
        <v>134</v>
      </c>
      <c r="C46" s="1" t="s">
        <v>135</v>
      </c>
      <c r="D46" s="1" t="s">
        <v>135</v>
      </c>
      <c r="E46" s="1" t="s">
        <v>135</v>
      </c>
      <c r="F46" t="s">
        <v>136</v>
      </c>
      <c r="G46" t="s">
        <v>137</v>
      </c>
      <c r="H46" t="s">
        <v>49</v>
      </c>
      <c r="I46" t="s">
        <v>122</v>
      </c>
      <c r="J46">
        <v>46.4</v>
      </c>
      <c r="K46" t="e">
        <f>IF(COUNTIF(#REF!,Tabela2[[#This Row],[IdxWspolny]])&gt;0,"ELEM_lub_PRD","TECHN")</f>
        <v>#REF!</v>
      </c>
      <c r="L46" t="e">
        <f>IF(COUNTIF(#REF!,Tabela2[[#This Row],[KOD_PRODUKTU]])&gt;0,"ELEMENT","PRODUKT")</f>
        <v>#REF!</v>
      </c>
      <c r="M46" t="e">
        <f>COUNTIF(#REF!,Tabela2[[#This Row],[KOD_PRODUKTU]])</f>
        <v>#REF!</v>
      </c>
      <c r="N46" t="s">
        <v>55</v>
      </c>
    </row>
    <row r="47" spans="1:14" hidden="1" x14ac:dyDescent="0.25">
      <c r="A47" s="1" t="s">
        <v>133</v>
      </c>
      <c r="B47" t="s">
        <v>134</v>
      </c>
      <c r="C47" s="1" t="s">
        <v>138</v>
      </c>
      <c r="D47" s="1" t="s">
        <v>138</v>
      </c>
      <c r="E47" s="1" t="s">
        <v>138</v>
      </c>
      <c r="F47" t="s">
        <v>139</v>
      </c>
      <c r="G47" t="s">
        <v>140</v>
      </c>
      <c r="H47" t="s">
        <v>49</v>
      </c>
      <c r="I47" t="s">
        <v>92</v>
      </c>
      <c r="J47">
        <v>21.5</v>
      </c>
      <c r="K47" t="e">
        <f>IF(COUNTIF(#REF!,Tabela2[[#This Row],[IdxWspolny]])&gt;0,"ELEM_lub_PRD","TECHN")</f>
        <v>#REF!</v>
      </c>
      <c r="L47" t="e">
        <f>IF(COUNTIF(#REF!,Tabela2[[#This Row],[KOD_PRODUKTU]])&gt;0,"ELEMENT","PRODUKT")</f>
        <v>#REF!</v>
      </c>
      <c r="M47" t="e">
        <f>COUNTIF(#REF!,Tabela2[[#This Row],[KOD_PRODUKTU]])</f>
        <v>#REF!</v>
      </c>
      <c r="N47" t="s">
        <v>55</v>
      </c>
    </row>
    <row r="48" spans="1:14" hidden="1" x14ac:dyDescent="0.25">
      <c r="A48" s="1" t="s">
        <v>133</v>
      </c>
      <c r="B48" t="s">
        <v>134</v>
      </c>
      <c r="C48" s="1" t="s">
        <v>141</v>
      </c>
      <c r="D48" s="1" t="s">
        <v>141</v>
      </c>
      <c r="E48" s="1" t="s">
        <v>141</v>
      </c>
      <c r="F48" t="s">
        <v>142</v>
      </c>
      <c r="G48" t="s">
        <v>48</v>
      </c>
      <c r="H48" t="s">
        <v>49</v>
      </c>
      <c r="I48" t="s">
        <v>92</v>
      </c>
      <c r="J48">
        <v>23.8</v>
      </c>
      <c r="K48" t="e">
        <f>IF(COUNTIF(#REF!,Tabela2[[#This Row],[IdxWspolny]])&gt;0,"ELEM_lub_PRD","TECHN")</f>
        <v>#REF!</v>
      </c>
      <c r="L48" t="e">
        <f>IF(COUNTIF(#REF!,Tabela2[[#This Row],[KOD_PRODUKTU]])&gt;0,"ELEMENT","PRODUKT")</f>
        <v>#REF!</v>
      </c>
      <c r="M48" t="e">
        <f>COUNTIF(#REF!,Tabela2[[#This Row],[KOD_PRODUKTU]])</f>
        <v>#REF!</v>
      </c>
      <c r="N48" t="s">
        <v>55</v>
      </c>
    </row>
    <row r="49" spans="1:14" hidden="1" x14ac:dyDescent="0.25">
      <c r="A49" s="1" t="s">
        <v>133</v>
      </c>
      <c r="B49" t="s">
        <v>134</v>
      </c>
      <c r="C49" s="1" t="s">
        <v>143</v>
      </c>
      <c r="D49" s="1" t="s">
        <v>143</v>
      </c>
      <c r="E49" s="1" t="s">
        <v>143</v>
      </c>
      <c r="F49" t="s">
        <v>144</v>
      </c>
      <c r="G49" t="s">
        <v>145</v>
      </c>
      <c r="H49" t="s">
        <v>49</v>
      </c>
      <c r="I49" t="s">
        <v>50</v>
      </c>
      <c r="J49">
        <v>11.2</v>
      </c>
      <c r="K49" t="e">
        <f>IF(COUNTIF(#REF!,Tabela2[[#This Row],[IdxWspolny]])&gt;0,"ELEM_lub_PRD","TECHN")</f>
        <v>#REF!</v>
      </c>
      <c r="L49" t="e">
        <f>IF(COUNTIF(#REF!,Tabela2[[#This Row],[KOD_PRODUKTU]])&gt;0,"ELEMENT","PRODUKT")</f>
        <v>#REF!</v>
      </c>
      <c r="M49" t="e">
        <f>COUNTIF(#REF!,Tabela2[[#This Row],[KOD_PRODUKTU]])</f>
        <v>#REF!</v>
      </c>
      <c r="N49" t="s">
        <v>55</v>
      </c>
    </row>
    <row r="50" spans="1:14" hidden="1" x14ac:dyDescent="0.25">
      <c r="A50" s="1" t="s">
        <v>133</v>
      </c>
      <c r="B50" t="s">
        <v>134</v>
      </c>
      <c r="C50" s="1" t="s">
        <v>146</v>
      </c>
      <c r="D50" s="1" t="s">
        <v>146</v>
      </c>
      <c r="E50" s="1" t="s">
        <v>146</v>
      </c>
      <c r="F50" t="s">
        <v>147</v>
      </c>
      <c r="G50" t="s">
        <v>148</v>
      </c>
      <c r="H50" t="s">
        <v>49</v>
      </c>
      <c r="I50" t="s">
        <v>92</v>
      </c>
      <c r="J50">
        <v>56.9</v>
      </c>
      <c r="K50" t="e">
        <f>IF(COUNTIF(#REF!,Tabela2[[#This Row],[IdxWspolny]])&gt;0,"ELEM_lub_PRD","TECHN")</f>
        <v>#REF!</v>
      </c>
      <c r="L50" t="e">
        <f>IF(COUNTIF(#REF!,Tabela2[[#This Row],[KOD_PRODUKTU]])&gt;0,"ELEMENT","PRODUKT")</f>
        <v>#REF!</v>
      </c>
      <c r="M50" t="e">
        <f>COUNTIF(#REF!,Tabela2[[#This Row],[KOD_PRODUKTU]])</f>
        <v>#REF!</v>
      </c>
      <c r="N50" t="s">
        <v>55</v>
      </c>
    </row>
    <row r="51" spans="1:14" hidden="1" x14ac:dyDescent="0.25">
      <c r="A51" s="1" t="s">
        <v>133</v>
      </c>
      <c r="B51" t="s">
        <v>134</v>
      </c>
      <c r="C51" s="1" t="s">
        <v>149</v>
      </c>
      <c r="D51" s="1" t="s">
        <v>149</v>
      </c>
      <c r="E51" s="1" t="s">
        <v>149</v>
      </c>
      <c r="F51" t="s">
        <v>150</v>
      </c>
      <c r="G51" t="s">
        <v>151</v>
      </c>
      <c r="H51" t="s">
        <v>49</v>
      </c>
      <c r="I51" t="s">
        <v>92</v>
      </c>
      <c r="J51">
        <v>4</v>
      </c>
      <c r="K51" t="e">
        <f>IF(COUNTIF(#REF!,Tabela2[[#This Row],[IdxWspolny]])&gt;0,"ELEM_lub_PRD","TECHN")</f>
        <v>#REF!</v>
      </c>
      <c r="L51" t="e">
        <f>IF(COUNTIF(#REF!,Tabela2[[#This Row],[KOD_PRODUKTU]])&gt;0,"ELEMENT","PRODUKT")</f>
        <v>#REF!</v>
      </c>
      <c r="M51" t="e">
        <f>COUNTIF(#REF!,Tabela2[[#This Row],[KOD_PRODUKTU]])</f>
        <v>#REF!</v>
      </c>
      <c r="N51" t="s">
        <v>55</v>
      </c>
    </row>
    <row r="52" spans="1:14" x14ac:dyDescent="0.25">
      <c r="A52" s="1" t="s">
        <v>133</v>
      </c>
      <c r="B52" t="s">
        <v>134</v>
      </c>
      <c r="C52" s="1" t="s">
        <v>7</v>
      </c>
      <c r="D52" s="1" t="s">
        <v>7</v>
      </c>
      <c r="E52" s="1" t="s">
        <v>7</v>
      </c>
      <c r="F52" t="s">
        <v>8</v>
      </c>
      <c r="G52" t="s">
        <v>9</v>
      </c>
      <c r="H52" t="s">
        <v>10</v>
      </c>
      <c r="I52" t="s">
        <v>152</v>
      </c>
      <c r="J52">
        <v>5.7</v>
      </c>
      <c r="K52" t="e">
        <f>IF(COUNTIF(#REF!,Tabela2[[#This Row],[IdxWspolny]])&gt;0,"ELEM_lub_PRD","TECHN")</f>
        <v>#REF!</v>
      </c>
      <c r="L52" t="e">
        <f>IF(COUNTIF(#REF!,Tabela2[[#This Row],[KOD_PRODUKTU]])&gt;0,"ELEMENT","PRODUKT")</f>
        <v>#REF!</v>
      </c>
      <c r="M52" t="e">
        <f>COUNTIF(#REF!,Tabela2[[#This Row],[KOD_PRODUKTU]])</f>
        <v>#REF!</v>
      </c>
    </row>
    <row r="53" spans="1:14" x14ac:dyDescent="0.25">
      <c r="A53" s="1" t="s">
        <v>153</v>
      </c>
      <c r="B53" t="s">
        <v>154</v>
      </c>
      <c r="C53" s="1" t="s">
        <v>81</v>
      </c>
      <c r="D53" s="1" t="s">
        <v>81</v>
      </c>
      <c r="E53" s="1" t="s">
        <v>81</v>
      </c>
      <c r="F53" t="s">
        <v>82</v>
      </c>
      <c r="G53" t="s">
        <v>83</v>
      </c>
      <c r="H53" t="s">
        <v>39</v>
      </c>
      <c r="I53" t="s">
        <v>40</v>
      </c>
      <c r="J53">
        <v>0.15</v>
      </c>
      <c r="K53" t="e">
        <f>IF(COUNTIF(#REF!,Tabela2[[#This Row],[IdxWspolny]])&gt;0,"ELEM_lub_PRD","TECHN")</f>
        <v>#REF!</v>
      </c>
      <c r="L53" t="e">
        <f>IF(COUNTIF(#REF!,Tabela2[[#This Row],[KOD_PRODUKTU]])&gt;0,"ELEMENT","PRODUKT")</f>
        <v>#REF!</v>
      </c>
      <c r="M53" t="e">
        <f>COUNTIF(#REF!,Tabela2[[#This Row],[KOD_PRODUKTU]])</f>
        <v>#REF!</v>
      </c>
    </row>
    <row r="54" spans="1:14" x14ac:dyDescent="0.25">
      <c r="A54" s="1" t="s">
        <v>153</v>
      </c>
      <c r="B54" t="s">
        <v>154</v>
      </c>
      <c r="C54" s="1" t="s">
        <v>155</v>
      </c>
      <c r="D54" s="1" t="s">
        <v>155</v>
      </c>
      <c r="E54" s="1" t="s">
        <v>155</v>
      </c>
      <c r="F54" t="s">
        <v>156</v>
      </c>
      <c r="G54" t="s">
        <v>157</v>
      </c>
      <c r="H54" t="s">
        <v>121</v>
      </c>
      <c r="I54" t="s">
        <v>50</v>
      </c>
      <c r="J54">
        <v>2.4500000000000002</v>
      </c>
      <c r="K54" t="e">
        <f>IF(COUNTIF(#REF!,Tabela2[[#This Row],[IdxWspolny]])&gt;0,"ELEM_lub_PRD","TECHN")</f>
        <v>#REF!</v>
      </c>
      <c r="L54" t="e">
        <f>IF(COUNTIF(#REF!,Tabela2[[#This Row],[KOD_PRODUKTU]])&gt;0,"ELEMENT","PRODUKT")</f>
        <v>#REF!</v>
      </c>
      <c r="M54" t="e">
        <f>COUNTIF(#REF!,Tabela2[[#This Row],[KOD_PRODUKTU]])</f>
        <v>#REF!</v>
      </c>
    </row>
    <row r="55" spans="1:14" hidden="1" x14ac:dyDescent="0.25">
      <c r="A55" s="1" t="s">
        <v>153</v>
      </c>
      <c r="B55" t="s">
        <v>154</v>
      </c>
      <c r="C55" s="1" t="s">
        <v>158</v>
      </c>
      <c r="D55" s="1" t="s">
        <v>158</v>
      </c>
      <c r="E55" s="1" t="s">
        <v>158</v>
      </c>
      <c r="F55" t="s">
        <v>159</v>
      </c>
      <c r="G55" t="s">
        <v>160</v>
      </c>
      <c r="H55" t="s">
        <v>49</v>
      </c>
      <c r="I55" t="s">
        <v>50</v>
      </c>
      <c r="J55">
        <v>4.1500000000000004</v>
      </c>
      <c r="K55" t="e">
        <f>IF(COUNTIF(#REF!,Tabela2[[#This Row],[IdxWspolny]])&gt;0,"ELEM_lub_PRD","TECHN")</f>
        <v>#REF!</v>
      </c>
      <c r="L55" t="e">
        <f>IF(COUNTIF(#REF!,Tabela2[[#This Row],[KOD_PRODUKTU]])&gt;0,"ELEMENT","PRODUKT")</f>
        <v>#REF!</v>
      </c>
      <c r="M55" t="e">
        <f>COUNTIF(#REF!,Tabela2[[#This Row],[KOD_PRODUKTU]])</f>
        <v>#REF!</v>
      </c>
      <c r="N55" t="s">
        <v>55</v>
      </c>
    </row>
    <row r="56" spans="1:14" hidden="1" x14ac:dyDescent="0.25">
      <c r="A56" s="1" t="s">
        <v>153</v>
      </c>
      <c r="B56" t="s">
        <v>154</v>
      </c>
      <c r="C56" s="1" t="s">
        <v>161</v>
      </c>
      <c r="D56" s="1" t="s">
        <v>161</v>
      </c>
      <c r="E56" s="1" t="s">
        <v>161</v>
      </c>
      <c r="F56" t="s">
        <v>162</v>
      </c>
      <c r="G56" t="s">
        <v>160</v>
      </c>
      <c r="H56" t="s">
        <v>49</v>
      </c>
      <c r="I56" t="s">
        <v>50</v>
      </c>
      <c r="J56">
        <v>4.1500000000000004</v>
      </c>
      <c r="K56" t="e">
        <f>IF(COUNTIF(#REF!,Tabela2[[#This Row],[IdxWspolny]])&gt;0,"ELEM_lub_PRD","TECHN")</f>
        <v>#REF!</v>
      </c>
      <c r="L56" t="e">
        <f>IF(COUNTIF(#REF!,Tabela2[[#This Row],[KOD_PRODUKTU]])&gt;0,"ELEMENT","PRODUKT")</f>
        <v>#REF!</v>
      </c>
      <c r="M56" t="e">
        <f>COUNTIF(#REF!,Tabela2[[#This Row],[KOD_PRODUKTU]])</f>
        <v>#REF!</v>
      </c>
      <c r="N56" t="s">
        <v>55</v>
      </c>
    </row>
    <row r="57" spans="1:14" hidden="1" x14ac:dyDescent="0.25">
      <c r="A57" s="1" t="s">
        <v>153</v>
      </c>
      <c r="B57" t="s">
        <v>154</v>
      </c>
      <c r="C57" s="1" t="s">
        <v>163</v>
      </c>
      <c r="D57" s="1" t="s">
        <v>163</v>
      </c>
      <c r="E57" s="1" t="s">
        <v>163</v>
      </c>
      <c r="F57" t="s">
        <v>164</v>
      </c>
      <c r="G57" t="s">
        <v>165</v>
      </c>
      <c r="H57" t="s">
        <v>49</v>
      </c>
      <c r="I57" t="s">
        <v>50</v>
      </c>
      <c r="J57">
        <v>13.7</v>
      </c>
      <c r="K57" t="e">
        <f>IF(COUNTIF(#REF!,Tabela2[[#This Row],[IdxWspolny]])&gt;0,"ELEM_lub_PRD","TECHN")</f>
        <v>#REF!</v>
      </c>
      <c r="L57" t="e">
        <f>IF(COUNTIF(#REF!,Tabela2[[#This Row],[KOD_PRODUKTU]])&gt;0,"ELEMENT","PRODUKT")</f>
        <v>#REF!</v>
      </c>
      <c r="M57" t="e">
        <f>COUNTIF(#REF!,Tabela2[[#This Row],[KOD_PRODUKTU]])</f>
        <v>#REF!</v>
      </c>
      <c r="N57" t="s">
        <v>55</v>
      </c>
    </row>
    <row r="58" spans="1:14" hidden="1" x14ac:dyDescent="0.25">
      <c r="A58" s="1" t="s">
        <v>153</v>
      </c>
      <c r="B58" t="s">
        <v>154</v>
      </c>
      <c r="C58" s="1" t="s">
        <v>166</v>
      </c>
      <c r="D58" s="1" t="s">
        <v>166</v>
      </c>
      <c r="E58" s="1" t="s">
        <v>166</v>
      </c>
      <c r="F58" t="s">
        <v>167</v>
      </c>
      <c r="G58" t="s">
        <v>168</v>
      </c>
      <c r="H58" t="s">
        <v>49</v>
      </c>
      <c r="I58" t="s">
        <v>50</v>
      </c>
      <c r="J58">
        <v>8.35</v>
      </c>
      <c r="K58" t="e">
        <f>IF(COUNTIF(#REF!,Tabela2[[#This Row],[IdxWspolny]])&gt;0,"ELEM_lub_PRD","TECHN")</f>
        <v>#REF!</v>
      </c>
      <c r="L58" t="e">
        <f>IF(COUNTIF(#REF!,Tabela2[[#This Row],[KOD_PRODUKTU]])&gt;0,"ELEMENT","PRODUKT")</f>
        <v>#REF!</v>
      </c>
      <c r="M58" t="e">
        <f>COUNTIF(#REF!,Tabela2[[#This Row],[KOD_PRODUKTU]])</f>
        <v>#REF!</v>
      </c>
      <c r="N58" t="s">
        <v>55</v>
      </c>
    </row>
    <row r="59" spans="1:14" hidden="1" x14ac:dyDescent="0.25">
      <c r="A59" s="1" t="s">
        <v>153</v>
      </c>
      <c r="B59" t="s">
        <v>154</v>
      </c>
      <c r="C59" s="1" t="s">
        <v>169</v>
      </c>
      <c r="D59" s="1" t="s">
        <v>169</v>
      </c>
      <c r="E59" s="1" t="s">
        <v>169</v>
      </c>
      <c r="F59" t="s">
        <v>170</v>
      </c>
      <c r="G59" t="s">
        <v>171</v>
      </c>
      <c r="H59" t="s">
        <v>49</v>
      </c>
      <c r="I59" t="s">
        <v>50</v>
      </c>
      <c r="J59">
        <v>16.95</v>
      </c>
      <c r="K59" t="e">
        <f>IF(COUNTIF(#REF!,Tabela2[[#This Row],[IdxWspolny]])&gt;0,"ELEM_lub_PRD","TECHN")</f>
        <v>#REF!</v>
      </c>
      <c r="L59" t="e">
        <f>IF(COUNTIF(#REF!,Tabela2[[#This Row],[KOD_PRODUKTU]])&gt;0,"ELEMENT","PRODUKT")</f>
        <v>#REF!</v>
      </c>
      <c r="M59" t="e">
        <f>COUNTIF(#REF!,Tabela2[[#This Row],[KOD_PRODUKTU]])</f>
        <v>#REF!</v>
      </c>
      <c r="N59" t="s">
        <v>55</v>
      </c>
    </row>
    <row r="60" spans="1:14" hidden="1" x14ac:dyDescent="0.25">
      <c r="A60" s="1" t="s">
        <v>153</v>
      </c>
      <c r="B60" t="s">
        <v>154</v>
      </c>
      <c r="C60" s="1" t="s">
        <v>172</v>
      </c>
      <c r="D60" s="1" t="s">
        <v>172</v>
      </c>
      <c r="E60" s="1" t="s">
        <v>172</v>
      </c>
      <c r="F60" t="s">
        <v>173</v>
      </c>
      <c r="G60" t="s">
        <v>87</v>
      </c>
      <c r="H60" t="s">
        <v>49</v>
      </c>
      <c r="I60" t="s">
        <v>50</v>
      </c>
      <c r="J60">
        <v>8.9</v>
      </c>
      <c r="K60" t="e">
        <f>IF(COUNTIF(#REF!,Tabela2[[#This Row],[IdxWspolny]])&gt;0,"ELEM_lub_PRD","TECHN")</f>
        <v>#REF!</v>
      </c>
      <c r="L60" t="e">
        <f>IF(COUNTIF(#REF!,Tabela2[[#This Row],[KOD_PRODUKTU]])&gt;0,"ELEMENT","PRODUKT")</f>
        <v>#REF!</v>
      </c>
      <c r="M60" t="e">
        <f>COUNTIF(#REF!,Tabela2[[#This Row],[KOD_PRODUKTU]])</f>
        <v>#REF!</v>
      </c>
      <c r="N60" t="s">
        <v>55</v>
      </c>
    </row>
    <row r="61" spans="1:14" hidden="1" x14ac:dyDescent="0.25">
      <c r="A61" s="1" t="s">
        <v>153</v>
      </c>
      <c r="B61" t="s">
        <v>154</v>
      </c>
      <c r="C61" s="1" t="s">
        <v>174</v>
      </c>
      <c r="D61" s="1" t="s">
        <v>174</v>
      </c>
      <c r="E61" s="1" t="s">
        <v>174</v>
      </c>
      <c r="F61" t="s">
        <v>175</v>
      </c>
      <c r="G61" t="s">
        <v>176</v>
      </c>
      <c r="H61" t="s">
        <v>49</v>
      </c>
      <c r="I61" t="s">
        <v>50</v>
      </c>
      <c r="J61">
        <v>3.6</v>
      </c>
      <c r="K61" t="e">
        <f>IF(COUNTIF(#REF!,Tabela2[[#This Row],[IdxWspolny]])&gt;0,"ELEM_lub_PRD","TECHN")</f>
        <v>#REF!</v>
      </c>
      <c r="L61" t="e">
        <f>IF(COUNTIF(#REF!,Tabela2[[#This Row],[KOD_PRODUKTU]])&gt;0,"ELEMENT","PRODUKT")</f>
        <v>#REF!</v>
      </c>
      <c r="M61" t="e">
        <f>COUNTIF(#REF!,Tabela2[[#This Row],[KOD_PRODUKTU]])</f>
        <v>#REF!</v>
      </c>
      <c r="N61" t="s">
        <v>55</v>
      </c>
    </row>
    <row r="62" spans="1:14" hidden="1" x14ac:dyDescent="0.25">
      <c r="A62" s="1" t="s">
        <v>153</v>
      </c>
      <c r="B62" t="s">
        <v>154</v>
      </c>
      <c r="C62" s="1" t="s">
        <v>177</v>
      </c>
      <c r="D62" s="1" t="s">
        <v>177</v>
      </c>
      <c r="E62" s="1" t="s">
        <v>177</v>
      </c>
      <c r="F62" t="s">
        <v>178</v>
      </c>
      <c r="G62" t="s">
        <v>179</v>
      </c>
      <c r="H62" t="s">
        <v>49</v>
      </c>
      <c r="I62" t="s">
        <v>92</v>
      </c>
      <c r="J62">
        <v>5.3</v>
      </c>
      <c r="K62" t="e">
        <f>IF(COUNTIF(#REF!,Tabela2[[#This Row],[IdxWspolny]])&gt;0,"ELEM_lub_PRD","TECHN")</f>
        <v>#REF!</v>
      </c>
      <c r="L62" t="e">
        <f>IF(COUNTIF(#REF!,Tabela2[[#This Row],[KOD_PRODUKTU]])&gt;0,"ELEMENT","PRODUKT")</f>
        <v>#REF!</v>
      </c>
      <c r="M62" t="e">
        <f>COUNTIF(#REF!,Tabela2[[#This Row],[KOD_PRODUKTU]])</f>
        <v>#REF!</v>
      </c>
      <c r="N62" t="s">
        <v>55</v>
      </c>
    </row>
    <row r="63" spans="1:14" hidden="1" x14ac:dyDescent="0.25">
      <c r="A63" s="1" t="s">
        <v>153</v>
      </c>
      <c r="B63" t="s">
        <v>154</v>
      </c>
      <c r="C63" s="1" t="s">
        <v>180</v>
      </c>
      <c r="D63" s="1" t="s">
        <v>180</v>
      </c>
      <c r="E63" s="1" t="s">
        <v>180</v>
      </c>
      <c r="F63" t="s">
        <v>181</v>
      </c>
      <c r="G63" t="s">
        <v>182</v>
      </c>
      <c r="H63" t="s">
        <v>49</v>
      </c>
      <c r="I63" t="s">
        <v>50</v>
      </c>
      <c r="J63">
        <v>13.8</v>
      </c>
      <c r="K63" t="e">
        <f>IF(COUNTIF(#REF!,Tabela2[[#This Row],[IdxWspolny]])&gt;0,"ELEM_lub_PRD","TECHN")</f>
        <v>#REF!</v>
      </c>
      <c r="L63" t="e">
        <f>IF(COUNTIF(#REF!,Tabela2[[#This Row],[KOD_PRODUKTU]])&gt;0,"ELEMENT","PRODUKT")</f>
        <v>#REF!</v>
      </c>
      <c r="M63" t="e">
        <f>COUNTIF(#REF!,Tabela2[[#This Row],[KOD_PRODUKTU]])</f>
        <v>#REF!</v>
      </c>
      <c r="N63" t="s">
        <v>55</v>
      </c>
    </row>
    <row r="64" spans="1:14" hidden="1" x14ac:dyDescent="0.25">
      <c r="A64" s="1" t="s">
        <v>153</v>
      </c>
      <c r="B64" t="s">
        <v>154</v>
      </c>
      <c r="C64" s="1" t="s">
        <v>183</v>
      </c>
      <c r="D64" s="1" t="s">
        <v>183</v>
      </c>
      <c r="E64" s="1" t="s">
        <v>183</v>
      </c>
      <c r="F64" t="s">
        <v>184</v>
      </c>
      <c r="G64" t="s">
        <v>185</v>
      </c>
      <c r="H64" t="s">
        <v>49</v>
      </c>
      <c r="I64" t="s">
        <v>50</v>
      </c>
      <c r="J64">
        <v>3.9</v>
      </c>
      <c r="K64" t="e">
        <f>IF(COUNTIF(#REF!,Tabela2[[#This Row],[IdxWspolny]])&gt;0,"ELEM_lub_PRD","TECHN")</f>
        <v>#REF!</v>
      </c>
      <c r="L64" t="e">
        <f>IF(COUNTIF(#REF!,Tabela2[[#This Row],[KOD_PRODUKTU]])&gt;0,"ELEMENT","PRODUKT")</f>
        <v>#REF!</v>
      </c>
      <c r="M64" t="e">
        <f>COUNTIF(#REF!,Tabela2[[#This Row],[KOD_PRODUKTU]])</f>
        <v>#REF!</v>
      </c>
      <c r="N64" t="s">
        <v>55</v>
      </c>
    </row>
    <row r="65" spans="1:14" hidden="1" x14ac:dyDescent="0.25">
      <c r="A65" s="1" t="s">
        <v>153</v>
      </c>
      <c r="B65" t="s">
        <v>154</v>
      </c>
      <c r="C65" s="1" t="s">
        <v>186</v>
      </c>
      <c r="D65" s="1" t="s">
        <v>186</v>
      </c>
      <c r="E65" s="1" t="s">
        <v>186</v>
      </c>
      <c r="F65" t="s">
        <v>187</v>
      </c>
      <c r="G65" t="s">
        <v>188</v>
      </c>
      <c r="H65" t="s">
        <v>49</v>
      </c>
      <c r="I65" t="s">
        <v>92</v>
      </c>
      <c r="J65">
        <v>16.8</v>
      </c>
      <c r="K65" t="e">
        <f>IF(COUNTIF(#REF!,Tabela2[[#This Row],[IdxWspolny]])&gt;0,"ELEM_lub_PRD","TECHN")</f>
        <v>#REF!</v>
      </c>
      <c r="L65" t="e">
        <f>IF(COUNTIF(#REF!,Tabela2[[#This Row],[KOD_PRODUKTU]])&gt;0,"ELEMENT","PRODUKT")</f>
        <v>#REF!</v>
      </c>
      <c r="M65" t="e">
        <f>COUNTIF(#REF!,Tabela2[[#This Row],[KOD_PRODUKTU]])</f>
        <v>#REF!</v>
      </c>
      <c r="N65" t="s">
        <v>55</v>
      </c>
    </row>
    <row r="66" spans="1:14" hidden="1" x14ac:dyDescent="0.25">
      <c r="A66" s="1" t="s">
        <v>153</v>
      </c>
      <c r="B66" t="s">
        <v>154</v>
      </c>
      <c r="C66" s="1" t="s">
        <v>189</v>
      </c>
      <c r="D66" s="1" t="s">
        <v>189</v>
      </c>
      <c r="E66" s="1" t="s">
        <v>189</v>
      </c>
      <c r="F66" t="s">
        <v>190</v>
      </c>
      <c r="G66" t="s">
        <v>191</v>
      </c>
      <c r="H66" t="s">
        <v>49</v>
      </c>
      <c r="I66" t="s">
        <v>50</v>
      </c>
      <c r="J66">
        <v>12.8</v>
      </c>
      <c r="K66" t="e">
        <f>IF(COUNTIF(#REF!,Tabela2[[#This Row],[IdxWspolny]])&gt;0,"ELEM_lub_PRD","TECHN")</f>
        <v>#REF!</v>
      </c>
      <c r="L66" t="e">
        <f>IF(COUNTIF(#REF!,Tabela2[[#This Row],[KOD_PRODUKTU]])&gt;0,"ELEMENT","PRODUKT")</f>
        <v>#REF!</v>
      </c>
      <c r="M66" t="e">
        <f>COUNTIF(#REF!,Tabela2[[#This Row],[KOD_PRODUKTU]])</f>
        <v>#REF!</v>
      </c>
      <c r="N66" t="s">
        <v>55</v>
      </c>
    </row>
    <row r="67" spans="1:14" hidden="1" x14ac:dyDescent="0.25">
      <c r="A67" s="1" t="s">
        <v>153</v>
      </c>
      <c r="B67" t="s">
        <v>154</v>
      </c>
      <c r="C67" s="1" t="s">
        <v>192</v>
      </c>
      <c r="D67" s="1" t="s">
        <v>192</v>
      </c>
      <c r="E67" s="1" t="s">
        <v>192</v>
      </c>
      <c r="F67" t="s">
        <v>193</v>
      </c>
      <c r="G67" t="s">
        <v>194</v>
      </c>
      <c r="H67" t="s">
        <v>49</v>
      </c>
      <c r="I67" t="s">
        <v>50</v>
      </c>
      <c r="J67">
        <v>20.85</v>
      </c>
      <c r="K67" t="e">
        <f>IF(COUNTIF(#REF!,Tabela2[[#This Row],[IdxWspolny]])&gt;0,"ELEM_lub_PRD","TECHN")</f>
        <v>#REF!</v>
      </c>
      <c r="L67" t="e">
        <f>IF(COUNTIF(#REF!,Tabela2[[#This Row],[KOD_PRODUKTU]])&gt;0,"ELEMENT","PRODUKT")</f>
        <v>#REF!</v>
      </c>
      <c r="M67" t="e">
        <f>COUNTIF(#REF!,Tabela2[[#This Row],[KOD_PRODUKTU]])</f>
        <v>#REF!</v>
      </c>
      <c r="N67" t="s">
        <v>55</v>
      </c>
    </row>
    <row r="68" spans="1:14" hidden="1" x14ac:dyDescent="0.25">
      <c r="A68" s="1" t="s">
        <v>153</v>
      </c>
      <c r="B68" t="s">
        <v>154</v>
      </c>
      <c r="C68" s="1" t="s">
        <v>195</v>
      </c>
      <c r="D68" s="1" t="s">
        <v>195</v>
      </c>
      <c r="E68" s="1" t="s">
        <v>195</v>
      </c>
      <c r="F68" t="s">
        <v>196</v>
      </c>
      <c r="G68" t="s">
        <v>197</v>
      </c>
      <c r="H68" t="s">
        <v>49</v>
      </c>
      <c r="I68" t="s">
        <v>50</v>
      </c>
      <c r="J68">
        <v>11.95</v>
      </c>
      <c r="K68" t="e">
        <f>IF(COUNTIF(#REF!,Tabela2[[#This Row],[IdxWspolny]])&gt;0,"ELEM_lub_PRD","TECHN")</f>
        <v>#REF!</v>
      </c>
      <c r="L68" t="e">
        <f>IF(COUNTIF(#REF!,Tabela2[[#This Row],[KOD_PRODUKTU]])&gt;0,"ELEMENT","PRODUKT")</f>
        <v>#REF!</v>
      </c>
      <c r="M68" t="e">
        <f>COUNTIF(#REF!,Tabela2[[#This Row],[KOD_PRODUKTU]])</f>
        <v>#REF!</v>
      </c>
      <c r="N68" t="s">
        <v>55</v>
      </c>
    </row>
    <row r="69" spans="1:14" hidden="1" x14ac:dyDescent="0.25">
      <c r="A69" s="1" t="s">
        <v>153</v>
      </c>
      <c r="B69" t="s">
        <v>154</v>
      </c>
      <c r="C69" s="1" t="s">
        <v>198</v>
      </c>
      <c r="D69" s="1" t="s">
        <v>198</v>
      </c>
      <c r="E69" s="1" t="s">
        <v>198</v>
      </c>
      <c r="F69" t="s">
        <v>199</v>
      </c>
      <c r="G69" t="s">
        <v>179</v>
      </c>
      <c r="H69" t="s">
        <v>49</v>
      </c>
      <c r="I69" t="s">
        <v>50</v>
      </c>
      <c r="J69">
        <v>2.65</v>
      </c>
      <c r="K69" t="e">
        <f>IF(COUNTIF(#REF!,Tabela2[[#This Row],[IdxWspolny]])&gt;0,"ELEM_lub_PRD","TECHN")</f>
        <v>#REF!</v>
      </c>
      <c r="L69" t="e">
        <f>IF(COUNTIF(#REF!,Tabela2[[#This Row],[KOD_PRODUKTU]])&gt;0,"ELEMENT","PRODUKT")</f>
        <v>#REF!</v>
      </c>
      <c r="M69" t="e">
        <f>COUNTIF(#REF!,Tabela2[[#This Row],[KOD_PRODUKTU]])</f>
        <v>#REF!</v>
      </c>
      <c r="N69" t="s">
        <v>55</v>
      </c>
    </row>
    <row r="70" spans="1:14" hidden="1" x14ac:dyDescent="0.25">
      <c r="A70" s="1" t="s">
        <v>153</v>
      </c>
      <c r="B70" t="s">
        <v>154</v>
      </c>
      <c r="C70" s="1" t="s">
        <v>200</v>
      </c>
      <c r="D70" s="1" t="s">
        <v>200</v>
      </c>
      <c r="E70" s="1" t="s">
        <v>200</v>
      </c>
      <c r="F70" t="s">
        <v>201</v>
      </c>
      <c r="G70" t="s">
        <v>202</v>
      </c>
      <c r="H70" t="s">
        <v>49</v>
      </c>
      <c r="I70" t="s">
        <v>50</v>
      </c>
      <c r="J70">
        <v>12.1</v>
      </c>
      <c r="K70" t="e">
        <f>IF(COUNTIF(#REF!,Tabela2[[#This Row],[IdxWspolny]])&gt;0,"ELEM_lub_PRD","TECHN")</f>
        <v>#REF!</v>
      </c>
      <c r="L70" t="e">
        <f>IF(COUNTIF(#REF!,Tabela2[[#This Row],[KOD_PRODUKTU]])&gt;0,"ELEMENT","PRODUKT")</f>
        <v>#REF!</v>
      </c>
      <c r="M70" t="e">
        <f>COUNTIF(#REF!,Tabela2[[#This Row],[KOD_PRODUKTU]])</f>
        <v>#REF!</v>
      </c>
      <c r="N70" t="s">
        <v>55</v>
      </c>
    </row>
    <row r="71" spans="1:14" hidden="1" x14ac:dyDescent="0.25">
      <c r="A71" s="1" t="s">
        <v>153</v>
      </c>
      <c r="B71" t="s">
        <v>154</v>
      </c>
      <c r="C71" s="1" t="s">
        <v>203</v>
      </c>
      <c r="D71" s="1" t="s">
        <v>203</v>
      </c>
      <c r="E71" s="1" t="s">
        <v>203</v>
      </c>
      <c r="F71" t="s">
        <v>204</v>
      </c>
      <c r="G71" t="s">
        <v>205</v>
      </c>
      <c r="H71" t="s">
        <v>49</v>
      </c>
      <c r="I71" t="s">
        <v>50</v>
      </c>
      <c r="J71">
        <v>6.35</v>
      </c>
      <c r="K71" t="e">
        <f>IF(COUNTIF(#REF!,Tabela2[[#This Row],[IdxWspolny]])&gt;0,"ELEM_lub_PRD","TECHN")</f>
        <v>#REF!</v>
      </c>
      <c r="L71" t="e">
        <f>IF(COUNTIF(#REF!,Tabela2[[#This Row],[KOD_PRODUKTU]])&gt;0,"ELEMENT","PRODUKT")</f>
        <v>#REF!</v>
      </c>
      <c r="M71" t="e">
        <f>COUNTIF(#REF!,Tabela2[[#This Row],[KOD_PRODUKTU]])</f>
        <v>#REF!</v>
      </c>
      <c r="N71" t="s">
        <v>55</v>
      </c>
    </row>
    <row r="72" spans="1:14" hidden="1" x14ac:dyDescent="0.25">
      <c r="A72" s="1" t="s">
        <v>153</v>
      </c>
      <c r="B72" t="s">
        <v>154</v>
      </c>
      <c r="C72" s="1" t="s">
        <v>206</v>
      </c>
      <c r="D72" s="1" t="s">
        <v>206</v>
      </c>
      <c r="E72" s="1" t="s">
        <v>206</v>
      </c>
      <c r="F72" t="s">
        <v>207</v>
      </c>
      <c r="G72" t="s">
        <v>208</v>
      </c>
      <c r="H72" t="s">
        <v>49</v>
      </c>
      <c r="I72" t="s">
        <v>50</v>
      </c>
      <c r="J72">
        <v>12.2</v>
      </c>
      <c r="K72" t="e">
        <f>IF(COUNTIF(#REF!,Tabela2[[#This Row],[IdxWspolny]])&gt;0,"ELEM_lub_PRD","TECHN")</f>
        <v>#REF!</v>
      </c>
      <c r="L72" t="e">
        <f>IF(COUNTIF(#REF!,Tabela2[[#This Row],[KOD_PRODUKTU]])&gt;0,"ELEMENT","PRODUKT")</f>
        <v>#REF!</v>
      </c>
      <c r="M72" t="e">
        <f>COUNTIF(#REF!,Tabela2[[#This Row],[KOD_PRODUKTU]])</f>
        <v>#REF!</v>
      </c>
      <c r="N72" t="s">
        <v>55</v>
      </c>
    </row>
    <row r="73" spans="1:14" hidden="1" x14ac:dyDescent="0.25">
      <c r="A73" s="1" t="s">
        <v>153</v>
      </c>
      <c r="B73" t="s">
        <v>154</v>
      </c>
      <c r="C73" s="1" t="s">
        <v>209</v>
      </c>
      <c r="D73" s="1" t="s">
        <v>209</v>
      </c>
      <c r="E73" s="1" t="s">
        <v>209</v>
      </c>
      <c r="F73" t="s">
        <v>210</v>
      </c>
      <c r="G73" t="s">
        <v>31</v>
      </c>
      <c r="H73" t="s">
        <v>49</v>
      </c>
      <c r="I73" t="s">
        <v>50</v>
      </c>
      <c r="J73">
        <v>10.6</v>
      </c>
      <c r="K73" t="e">
        <f>IF(COUNTIF(#REF!,Tabela2[[#This Row],[IdxWspolny]])&gt;0,"ELEM_lub_PRD","TECHN")</f>
        <v>#REF!</v>
      </c>
      <c r="L73" t="e">
        <f>IF(COUNTIF(#REF!,Tabela2[[#This Row],[KOD_PRODUKTU]])&gt;0,"ELEMENT","PRODUKT")</f>
        <v>#REF!</v>
      </c>
      <c r="M73" t="e">
        <f>COUNTIF(#REF!,Tabela2[[#This Row],[KOD_PRODUKTU]])</f>
        <v>#REF!</v>
      </c>
      <c r="N73" t="s">
        <v>55</v>
      </c>
    </row>
    <row r="74" spans="1:14" hidden="1" x14ac:dyDescent="0.25">
      <c r="A74" s="1" t="s">
        <v>153</v>
      </c>
      <c r="B74" t="s">
        <v>154</v>
      </c>
      <c r="C74" s="1" t="s">
        <v>211</v>
      </c>
      <c r="D74" s="1" t="s">
        <v>211</v>
      </c>
      <c r="E74" s="1" t="s">
        <v>211</v>
      </c>
      <c r="F74" t="s">
        <v>212</v>
      </c>
      <c r="G74" t="s">
        <v>213</v>
      </c>
      <c r="H74" t="s">
        <v>49</v>
      </c>
      <c r="I74" t="s">
        <v>50</v>
      </c>
      <c r="J74">
        <v>36.25</v>
      </c>
      <c r="K74" t="e">
        <f>IF(COUNTIF(#REF!,Tabela2[[#This Row],[IdxWspolny]])&gt;0,"ELEM_lub_PRD","TECHN")</f>
        <v>#REF!</v>
      </c>
      <c r="L74" t="e">
        <f>IF(COUNTIF(#REF!,Tabela2[[#This Row],[KOD_PRODUKTU]])&gt;0,"ELEMENT","PRODUKT")</f>
        <v>#REF!</v>
      </c>
      <c r="M74" t="e">
        <f>COUNTIF(#REF!,Tabela2[[#This Row],[KOD_PRODUKTU]])</f>
        <v>#REF!</v>
      </c>
      <c r="N74" t="s">
        <v>55</v>
      </c>
    </row>
    <row r="75" spans="1:14" hidden="1" x14ac:dyDescent="0.25">
      <c r="A75" s="1" t="s">
        <v>153</v>
      </c>
      <c r="B75" t="s">
        <v>154</v>
      </c>
      <c r="C75" s="1" t="s">
        <v>214</v>
      </c>
      <c r="D75" s="1" t="s">
        <v>214</v>
      </c>
      <c r="E75" s="1" t="s">
        <v>214</v>
      </c>
      <c r="F75" t="s">
        <v>215</v>
      </c>
      <c r="G75" t="s">
        <v>216</v>
      </c>
      <c r="H75" t="s">
        <v>49</v>
      </c>
      <c r="I75" t="s">
        <v>50</v>
      </c>
      <c r="J75">
        <v>7</v>
      </c>
      <c r="K75" t="e">
        <f>IF(COUNTIF(#REF!,Tabela2[[#This Row],[IdxWspolny]])&gt;0,"ELEM_lub_PRD","TECHN")</f>
        <v>#REF!</v>
      </c>
      <c r="L75" t="e">
        <f>IF(COUNTIF(#REF!,Tabela2[[#This Row],[KOD_PRODUKTU]])&gt;0,"ELEMENT","PRODUKT")</f>
        <v>#REF!</v>
      </c>
      <c r="M75" t="e">
        <f>COUNTIF(#REF!,Tabela2[[#This Row],[KOD_PRODUKTU]])</f>
        <v>#REF!</v>
      </c>
      <c r="N75" t="s">
        <v>55</v>
      </c>
    </row>
    <row r="76" spans="1:14" hidden="1" x14ac:dyDescent="0.25">
      <c r="A76" s="1" t="s">
        <v>153</v>
      </c>
      <c r="B76" t="s">
        <v>154</v>
      </c>
      <c r="C76" s="1" t="s">
        <v>217</v>
      </c>
      <c r="D76" s="1" t="s">
        <v>217</v>
      </c>
      <c r="E76" s="1" t="s">
        <v>217</v>
      </c>
      <c r="F76" t="s">
        <v>218</v>
      </c>
      <c r="G76" t="s">
        <v>219</v>
      </c>
      <c r="H76" t="s">
        <v>49</v>
      </c>
      <c r="I76" t="s">
        <v>50</v>
      </c>
      <c r="J76">
        <v>9.65</v>
      </c>
      <c r="K76" t="e">
        <f>IF(COUNTIF(#REF!,Tabela2[[#This Row],[IdxWspolny]])&gt;0,"ELEM_lub_PRD","TECHN")</f>
        <v>#REF!</v>
      </c>
      <c r="L76" t="e">
        <f>IF(COUNTIF(#REF!,Tabela2[[#This Row],[KOD_PRODUKTU]])&gt;0,"ELEMENT","PRODUKT")</f>
        <v>#REF!</v>
      </c>
      <c r="M76" t="e">
        <f>COUNTIF(#REF!,Tabela2[[#This Row],[KOD_PRODUKTU]])</f>
        <v>#REF!</v>
      </c>
      <c r="N76" t="s">
        <v>55</v>
      </c>
    </row>
    <row r="77" spans="1:14" hidden="1" x14ac:dyDescent="0.25">
      <c r="A77" s="1" t="s">
        <v>153</v>
      </c>
      <c r="B77" t="s">
        <v>154</v>
      </c>
      <c r="C77" s="1" t="s">
        <v>220</v>
      </c>
      <c r="D77" s="1" t="s">
        <v>221</v>
      </c>
      <c r="E77" s="1" t="s">
        <v>221</v>
      </c>
      <c r="F77" t="s">
        <v>222</v>
      </c>
      <c r="G77" t="s">
        <v>223</v>
      </c>
      <c r="H77" t="s">
        <v>49</v>
      </c>
      <c r="I77" t="s">
        <v>50</v>
      </c>
      <c r="J77">
        <v>2.9</v>
      </c>
      <c r="K77" t="e">
        <f>IF(COUNTIF(#REF!,Tabela2[[#This Row],[IdxWspolny]])&gt;0,"ELEM_lub_PRD","TECHN")</f>
        <v>#REF!</v>
      </c>
      <c r="L77" t="e">
        <f>IF(COUNTIF(#REF!,Tabela2[[#This Row],[KOD_PRODUKTU]])&gt;0,"ELEMENT","PRODUKT")</f>
        <v>#REF!</v>
      </c>
      <c r="M77" t="e">
        <f>COUNTIF(#REF!,Tabela2[[#This Row],[KOD_PRODUKTU]])</f>
        <v>#REF!</v>
      </c>
      <c r="N77" t="s">
        <v>51</v>
      </c>
    </row>
    <row r="78" spans="1:14" x14ac:dyDescent="0.25">
      <c r="A78" s="1" t="s">
        <v>153</v>
      </c>
      <c r="B78" t="s">
        <v>154</v>
      </c>
      <c r="C78" s="1" t="s">
        <v>7</v>
      </c>
      <c r="D78" s="1" t="s">
        <v>7</v>
      </c>
      <c r="E78" s="1" t="s">
        <v>7</v>
      </c>
      <c r="F78" t="s">
        <v>8</v>
      </c>
      <c r="G78" t="s">
        <v>9</v>
      </c>
      <c r="H78" t="s">
        <v>10</v>
      </c>
      <c r="I78" t="s">
        <v>224</v>
      </c>
      <c r="J78">
        <v>6</v>
      </c>
      <c r="K78" t="e">
        <f>IF(COUNTIF(#REF!,Tabela2[[#This Row],[IdxWspolny]])&gt;0,"ELEM_lub_PRD","TECHN")</f>
        <v>#REF!</v>
      </c>
      <c r="L78" t="e">
        <f>IF(COUNTIF(#REF!,Tabela2[[#This Row],[KOD_PRODUKTU]])&gt;0,"ELEMENT","PRODUKT")</f>
        <v>#REF!</v>
      </c>
      <c r="M78" t="e">
        <f>COUNTIF(#REF!,Tabela2[[#This Row],[KOD_PRODUKTU]])</f>
        <v>#REF!</v>
      </c>
    </row>
    <row r="79" spans="1:14" x14ac:dyDescent="0.25">
      <c r="A79" s="1" t="s">
        <v>225</v>
      </c>
      <c r="B79" t="s">
        <v>226</v>
      </c>
      <c r="C79" s="1" t="s">
        <v>36</v>
      </c>
      <c r="D79" s="1" t="s">
        <v>36</v>
      </c>
      <c r="E79" s="1" t="s">
        <v>36</v>
      </c>
      <c r="F79" t="s">
        <v>37</v>
      </c>
      <c r="G79" t="s">
        <v>38</v>
      </c>
      <c r="H79" t="s">
        <v>39</v>
      </c>
      <c r="I79" t="s">
        <v>40</v>
      </c>
      <c r="J79">
        <v>0.19</v>
      </c>
      <c r="K79" t="e">
        <f>IF(COUNTIF(#REF!,Tabela2[[#This Row],[IdxWspolny]])&gt;0,"ELEM_lub_PRD","TECHN")</f>
        <v>#REF!</v>
      </c>
      <c r="L79" t="e">
        <f>IF(COUNTIF(#REF!,Tabela2[[#This Row],[KOD_PRODUKTU]])&gt;0,"ELEMENT","PRODUKT")</f>
        <v>#REF!</v>
      </c>
      <c r="M79" t="e">
        <f>COUNTIF(#REF!,Tabela2[[#This Row],[KOD_PRODUKTU]])</f>
        <v>#REF!</v>
      </c>
    </row>
    <row r="80" spans="1:14" x14ac:dyDescent="0.25">
      <c r="A80" s="1" t="s">
        <v>225</v>
      </c>
      <c r="B80" t="s">
        <v>226</v>
      </c>
      <c r="C80" s="1" t="s">
        <v>41</v>
      </c>
      <c r="D80" s="1" t="s">
        <v>41</v>
      </c>
      <c r="E80" s="1" t="s">
        <v>41</v>
      </c>
      <c r="F80" t="s">
        <v>42</v>
      </c>
      <c r="G80" t="s">
        <v>43</v>
      </c>
      <c r="H80" t="s">
        <v>5</v>
      </c>
      <c r="I80" t="s">
        <v>227</v>
      </c>
      <c r="J80">
        <v>0.01</v>
      </c>
      <c r="K80" t="e">
        <f>IF(COUNTIF(#REF!,Tabela2[[#This Row],[IdxWspolny]])&gt;0,"ELEM_lub_PRD","TECHN")</f>
        <v>#REF!</v>
      </c>
      <c r="L80" t="e">
        <f>IF(COUNTIF(#REF!,Tabela2[[#This Row],[KOD_PRODUKTU]])&gt;0,"ELEMENT","PRODUKT")</f>
        <v>#REF!</v>
      </c>
      <c r="M80" t="e">
        <f>COUNTIF(#REF!,Tabela2[[#This Row],[KOD_PRODUKTU]])</f>
        <v>#REF!</v>
      </c>
    </row>
    <row r="81" spans="1:14" hidden="1" x14ac:dyDescent="0.25">
      <c r="A81" s="1" t="s">
        <v>225</v>
      </c>
      <c r="B81" t="s">
        <v>226</v>
      </c>
      <c r="C81" s="1" t="s">
        <v>228</v>
      </c>
      <c r="D81" s="1" t="s">
        <v>229</v>
      </c>
      <c r="E81" s="1" t="s">
        <v>229</v>
      </c>
      <c r="F81" t="s">
        <v>230</v>
      </c>
      <c r="G81" t="s">
        <v>231</v>
      </c>
      <c r="H81" t="s">
        <v>49</v>
      </c>
      <c r="I81" t="s">
        <v>50</v>
      </c>
      <c r="J81">
        <v>5.25</v>
      </c>
      <c r="K81" t="e">
        <f>IF(COUNTIF(#REF!,Tabela2[[#This Row],[IdxWspolny]])&gt;0,"ELEM_lub_PRD","TECHN")</f>
        <v>#REF!</v>
      </c>
      <c r="L81" t="e">
        <f>IF(COUNTIF(#REF!,Tabela2[[#This Row],[KOD_PRODUKTU]])&gt;0,"ELEMENT","PRODUKT")</f>
        <v>#REF!</v>
      </c>
      <c r="M81" t="e">
        <f>COUNTIF(#REF!,Tabela2[[#This Row],[KOD_PRODUKTU]])</f>
        <v>#REF!</v>
      </c>
      <c r="N81" t="s">
        <v>51</v>
      </c>
    </row>
    <row r="82" spans="1:14" hidden="1" x14ac:dyDescent="0.25">
      <c r="A82" s="1" t="s">
        <v>225</v>
      </c>
      <c r="B82" t="s">
        <v>226</v>
      </c>
      <c r="C82" s="1" t="s">
        <v>232</v>
      </c>
      <c r="D82" s="1" t="s">
        <v>233</v>
      </c>
      <c r="E82" s="1" t="s">
        <v>233</v>
      </c>
      <c r="F82" t="s">
        <v>234</v>
      </c>
      <c r="G82" t="s">
        <v>235</v>
      </c>
      <c r="H82" t="s">
        <v>49</v>
      </c>
      <c r="I82" t="s">
        <v>50</v>
      </c>
      <c r="J82">
        <v>8.4499999999999993</v>
      </c>
      <c r="K82" t="e">
        <f>IF(COUNTIF(#REF!,Tabela2[[#This Row],[IdxWspolny]])&gt;0,"ELEM_lub_PRD","TECHN")</f>
        <v>#REF!</v>
      </c>
      <c r="L82" t="e">
        <f>IF(COUNTIF(#REF!,Tabela2[[#This Row],[KOD_PRODUKTU]])&gt;0,"ELEMENT","PRODUKT")</f>
        <v>#REF!</v>
      </c>
      <c r="M82" t="e">
        <f>COUNTIF(#REF!,Tabela2[[#This Row],[KOD_PRODUKTU]])</f>
        <v>#REF!</v>
      </c>
      <c r="N82" t="s">
        <v>51</v>
      </c>
    </row>
    <row r="83" spans="1:14" hidden="1" x14ac:dyDescent="0.25">
      <c r="A83" s="1" t="s">
        <v>225</v>
      </c>
      <c r="B83" t="s">
        <v>226</v>
      </c>
      <c r="C83" s="1" t="s">
        <v>236</v>
      </c>
      <c r="D83" s="1" t="s">
        <v>236</v>
      </c>
      <c r="E83" s="1" t="s">
        <v>236</v>
      </c>
      <c r="F83" t="s">
        <v>237</v>
      </c>
      <c r="G83" t="s">
        <v>238</v>
      </c>
      <c r="H83" t="s">
        <v>49</v>
      </c>
      <c r="I83" t="s">
        <v>50</v>
      </c>
      <c r="J83">
        <v>14.55</v>
      </c>
      <c r="K83" t="e">
        <f>IF(COUNTIF(#REF!,Tabela2[[#This Row],[IdxWspolny]])&gt;0,"ELEM_lub_PRD","TECHN")</f>
        <v>#REF!</v>
      </c>
      <c r="L83" t="e">
        <f>IF(COUNTIF(#REF!,Tabela2[[#This Row],[KOD_PRODUKTU]])&gt;0,"ELEMENT","PRODUKT")</f>
        <v>#REF!</v>
      </c>
      <c r="M83" t="e">
        <f>COUNTIF(#REF!,Tabela2[[#This Row],[KOD_PRODUKTU]])</f>
        <v>#REF!</v>
      </c>
      <c r="N83" t="s">
        <v>55</v>
      </c>
    </row>
    <row r="84" spans="1:14" hidden="1" x14ac:dyDescent="0.25">
      <c r="A84" s="1" t="s">
        <v>225</v>
      </c>
      <c r="B84" t="s">
        <v>226</v>
      </c>
      <c r="C84" s="1" t="s">
        <v>239</v>
      </c>
      <c r="D84" s="1" t="s">
        <v>239</v>
      </c>
      <c r="E84" s="1" t="s">
        <v>239</v>
      </c>
      <c r="F84" t="s">
        <v>240</v>
      </c>
      <c r="G84" t="s">
        <v>241</v>
      </c>
      <c r="H84" t="s">
        <v>49</v>
      </c>
      <c r="I84" t="s">
        <v>50</v>
      </c>
      <c r="J84">
        <v>7.6</v>
      </c>
      <c r="K84" t="e">
        <f>IF(COUNTIF(#REF!,Tabela2[[#This Row],[IdxWspolny]])&gt;0,"ELEM_lub_PRD","TECHN")</f>
        <v>#REF!</v>
      </c>
      <c r="L84" t="e">
        <f>IF(COUNTIF(#REF!,Tabela2[[#This Row],[KOD_PRODUKTU]])&gt;0,"ELEMENT","PRODUKT")</f>
        <v>#REF!</v>
      </c>
      <c r="M84" t="e">
        <f>COUNTIF(#REF!,Tabela2[[#This Row],[KOD_PRODUKTU]])</f>
        <v>#REF!</v>
      </c>
      <c r="N84" t="s">
        <v>55</v>
      </c>
    </row>
    <row r="85" spans="1:14" hidden="1" x14ac:dyDescent="0.25">
      <c r="A85" s="1" t="s">
        <v>225</v>
      </c>
      <c r="B85" t="s">
        <v>226</v>
      </c>
      <c r="C85" s="1" t="s">
        <v>242</v>
      </c>
      <c r="D85" s="1" t="s">
        <v>242</v>
      </c>
      <c r="E85" s="1" t="s">
        <v>242</v>
      </c>
      <c r="F85" t="s">
        <v>243</v>
      </c>
      <c r="G85" t="s">
        <v>244</v>
      </c>
      <c r="H85" t="s">
        <v>49</v>
      </c>
      <c r="I85" t="s">
        <v>92</v>
      </c>
      <c r="J85">
        <v>6.2</v>
      </c>
      <c r="K85" t="e">
        <f>IF(COUNTIF(#REF!,Tabela2[[#This Row],[IdxWspolny]])&gt;0,"ELEM_lub_PRD","TECHN")</f>
        <v>#REF!</v>
      </c>
      <c r="L85" t="e">
        <f>IF(COUNTIF(#REF!,Tabela2[[#This Row],[KOD_PRODUKTU]])&gt;0,"ELEMENT","PRODUKT")</f>
        <v>#REF!</v>
      </c>
      <c r="M85" t="e">
        <f>COUNTIF(#REF!,Tabela2[[#This Row],[KOD_PRODUKTU]])</f>
        <v>#REF!</v>
      </c>
      <c r="N85" t="s">
        <v>55</v>
      </c>
    </row>
    <row r="86" spans="1:14" x14ac:dyDescent="0.25">
      <c r="A86" s="1" t="s">
        <v>225</v>
      </c>
      <c r="B86" t="s">
        <v>226</v>
      </c>
      <c r="C86" s="1" t="s">
        <v>7</v>
      </c>
      <c r="D86" s="1" t="s">
        <v>7</v>
      </c>
      <c r="E86" s="1" t="s">
        <v>7</v>
      </c>
      <c r="F86" t="s">
        <v>8</v>
      </c>
      <c r="G86" t="s">
        <v>9</v>
      </c>
      <c r="H86" t="s">
        <v>10</v>
      </c>
      <c r="I86" t="s">
        <v>245</v>
      </c>
      <c r="J86">
        <v>4</v>
      </c>
      <c r="K86" t="e">
        <f>IF(COUNTIF(#REF!,Tabela2[[#This Row],[IdxWspolny]])&gt;0,"ELEM_lub_PRD","TECHN")</f>
        <v>#REF!</v>
      </c>
      <c r="L86" t="e">
        <f>IF(COUNTIF(#REF!,Tabela2[[#This Row],[KOD_PRODUKTU]])&gt;0,"ELEMENT","PRODUKT")</f>
        <v>#REF!</v>
      </c>
      <c r="M86" t="e">
        <f>COUNTIF(#REF!,Tabela2[[#This Row],[KOD_PRODUKTU]])</f>
        <v>#REF!</v>
      </c>
    </row>
    <row r="87" spans="1:14" x14ac:dyDescent="0.25">
      <c r="A87" s="1" t="s">
        <v>246</v>
      </c>
      <c r="B87" t="s">
        <v>247</v>
      </c>
      <c r="C87" s="1" t="s">
        <v>248</v>
      </c>
      <c r="D87" s="1" t="s">
        <v>248</v>
      </c>
      <c r="E87" s="1" t="s">
        <v>248</v>
      </c>
      <c r="F87" t="s">
        <v>249</v>
      </c>
      <c r="G87" t="s">
        <v>70</v>
      </c>
      <c r="H87" t="s">
        <v>39</v>
      </c>
      <c r="I87" t="s">
        <v>40</v>
      </c>
      <c r="J87">
        <v>0.05</v>
      </c>
      <c r="K87" t="e">
        <f>IF(COUNTIF(#REF!,Tabela2[[#This Row],[IdxWspolny]])&gt;0,"ELEM_lub_PRD","TECHN")</f>
        <v>#REF!</v>
      </c>
      <c r="L87" t="e">
        <f>IF(COUNTIF(#REF!,Tabela2[[#This Row],[KOD_PRODUKTU]])&gt;0,"ELEMENT","PRODUKT")</f>
        <v>#REF!</v>
      </c>
      <c r="M87" t="e">
        <f>COUNTIF(#REF!,Tabela2[[#This Row],[KOD_PRODUKTU]])</f>
        <v>#REF!</v>
      </c>
    </row>
    <row r="88" spans="1:14" hidden="1" x14ac:dyDescent="0.25">
      <c r="A88" s="1" t="s">
        <v>246</v>
      </c>
      <c r="B88" t="s">
        <v>247</v>
      </c>
      <c r="C88" s="1" t="s">
        <v>250</v>
      </c>
      <c r="D88" s="1" t="s">
        <v>250</v>
      </c>
      <c r="E88" s="1" t="s">
        <v>250</v>
      </c>
      <c r="F88" t="s">
        <v>251</v>
      </c>
      <c r="G88" t="s">
        <v>252</v>
      </c>
      <c r="H88" t="s">
        <v>49</v>
      </c>
      <c r="I88" t="s">
        <v>50</v>
      </c>
      <c r="J88">
        <v>43.68</v>
      </c>
      <c r="K88" t="e">
        <f>IF(COUNTIF(#REF!,Tabela2[[#This Row],[IdxWspolny]])&gt;0,"ELEM_lub_PRD","TECHN")</f>
        <v>#REF!</v>
      </c>
      <c r="L88" t="e">
        <f>IF(COUNTIF(#REF!,Tabela2[[#This Row],[KOD_PRODUKTU]])&gt;0,"ELEMENT","PRODUKT")</f>
        <v>#REF!</v>
      </c>
      <c r="M88" t="e">
        <f>COUNTIF(#REF!,Tabela2[[#This Row],[KOD_PRODUKTU]])</f>
        <v>#REF!</v>
      </c>
      <c r="N88" t="s">
        <v>55</v>
      </c>
    </row>
    <row r="89" spans="1:14" hidden="1" x14ac:dyDescent="0.25">
      <c r="A89" s="1" t="s">
        <v>246</v>
      </c>
      <c r="B89" t="s">
        <v>247</v>
      </c>
      <c r="C89" s="1" t="s">
        <v>253</v>
      </c>
      <c r="D89" s="1" t="s">
        <v>253</v>
      </c>
      <c r="E89" s="1" t="s">
        <v>253</v>
      </c>
      <c r="F89" t="s">
        <v>254</v>
      </c>
      <c r="G89" t="s">
        <v>255</v>
      </c>
      <c r="H89" t="s">
        <v>49</v>
      </c>
      <c r="I89" t="s">
        <v>50</v>
      </c>
      <c r="J89">
        <v>32.5</v>
      </c>
      <c r="K89" t="e">
        <f>IF(COUNTIF(#REF!,Tabela2[[#This Row],[IdxWspolny]])&gt;0,"ELEM_lub_PRD","TECHN")</f>
        <v>#REF!</v>
      </c>
      <c r="L89" t="e">
        <f>IF(COUNTIF(#REF!,Tabela2[[#This Row],[KOD_PRODUKTU]])&gt;0,"ELEMENT","PRODUKT")</f>
        <v>#REF!</v>
      </c>
      <c r="M89" t="e">
        <f>COUNTIF(#REF!,Tabela2[[#This Row],[KOD_PRODUKTU]])</f>
        <v>#REF!</v>
      </c>
      <c r="N89" t="s">
        <v>55</v>
      </c>
    </row>
    <row r="90" spans="1:14" hidden="1" x14ac:dyDescent="0.25">
      <c r="A90" s="1" t="s">
        <v>246</v>
      </c>
      <c r="B90" t="s">
        <v>247</v>
      </c>
      <c r="C90" s="1" t="s">
        <v>256</v>
      </c>
      <c r="D90" s="1" t="s">
        <v>256</v>
      </c>
      <c r="E90" s="1" t="s">
        <v>256</v>
      </c>
      <c r="F90" t="s">
        <v>257</v>
      </c>
      <c r="G90" t="s">
        <v>258</v>
      </c>
      <c r="H90" t="s">
        <v>49</v>
      </c>
      <c r="I90" t="s">
        <v>50</v>
      </c>
      <c r="J90">
        <v>24.72</v>
      </c>
      <c r="K90" t="e">
        <f>IF(COUNTIF(#REF!,Tabela2[[#This Row],[IdxWspolny]])&gt;0,"ELEM_lub_PRD","TECHN")</f>
        <v>#REF!</v>
      </c>
      <c r="L90" t="e">
        <f>IF(COUNTIF(#REF!,Tabela2[[#This Row],[KOD_PRODUKTU]])&gt;0,"ELEMENT","PRODUKT")</f>
        <v>#REF!</v>
      </c>
      <c r="M90" t="e">
        <f>COUNTIF(#REF!,Tabela2[[#This Row],[KOD_PRODUKTU]])</f>
        <v>#REF!</v>
      </c>
      <c r="N90" t="s">
        <v>55</v>
      </c>
    </row>
    <row r="91" spans="1:14" x14ac:dyDescent="0.25">
      <c r="A91" s="1" t="s">
        <v>246</v>
      </c>
      <c r="B91" t="s">
        <v>247</v>
      </c>
      <c r="C91" s="1" t="s">
        <v>7</v>
      </c>
      <c r="D91" s="1" t="s">
        <v>7</v>
      </c>
      <c r="E91" s="1" t="s">
        <v>7</v>
      </c>
      <c r="F91" t="s">
        <v>8</v>
      </c>
      <c r="G91" t="s">
        <v>9</v>
      </c>
      <c r="H91" t="s">
        <v>10</v>
      </c>
      <c r="I91" t="s">
        <v>71</v>
      </c>
      <c r="J91">
        <v>3.85</v>
      </c>
      <c r="K91" t="e">
        <f>IF(COUNTIF(#REF!,Tabela2[[#This Row],[IdxWspolny]])&gt;0,"ELEM_lub_PRD","TECHN")</f>
        <v>#REF!</v>
      </c>
      <c r="L91" t="e">
        <f>IF(COUNTIF(#REF!,Tabela2[[#This Row],[KOD_PRODUKTU]])&gt;0,"ELEMENT","PRODUKT")</f>
        <v>#REF!</v>
      </c>
      <c r="M91" t="e">
        <f>COUNTIF(#REF!,Tabela2[[#This Row],[KOD_PRODUKTU]])</f>
        <v>#REF!</v>
      </c>
    </row>
    <row r="92" spans="1:14" x14ac:dyDescent="0.25">
      <c r="A92" s="1" t="s">
        <v>259</v>
      </c>
      <c r="B92" t="s">
        <v>260</v>
      </c>
      <c r="C92" s="1" t="s">
        <v>261</v>
      </c>
      <c r="D92" s="1" t="s">
        <v>261</v>
      </c>
      <c r="E92" s="1" t="s">
        <v>261</v>
      </c>
      <c r="F92" t="s">
        <v>262</v>
      </c>
      <c r="G92" t="s">
        <v>263</v>
      </c>
      <c r="H92" t="s">
        <v>39</v>
      </c>
      <c r="I92" t="s">
        <v>40</v>
      </c>
      <c r="J92">
        <v>0.3</v>
      </c>
      <c r="K92" t="e">
        <f>IF(COUNTIF(#REF!,Tabela2[[#This Row],[IdxWspolny]])&gt;0,"ELEM_lub_PRD","TECHN")</f>
        <v>#REF!</v>
      </c>
      <c r="L92" t="e">
        <f>IF(COUNTIF(#REF!,Tabela2[[#This Row],[KOD_PRODUKTU]])&gt;0,"ELEMENT","PRODUKT")</f>
        <v>#REF!</v>
      </c>
      <c r="M92" t="e">
        <f>COUNTIF(#REF!,Tabela2[[#This Row],[KOD_PRODUKTU]])</f>
        <v>#REF!</v>
      </c>
    </row>
    <row r="93" spans="1:14" hidden="1" x14ac:dyDescent="0.25">
      <c r="A93" s="1" t="s">
        <v>259</v>
      </c>
      <c r="B93" t="s">
        <v>260</v>
      </c>
      <c r="C93" s="1" t="s">
        <v>264</v>
      </c>
      <c r="D93" s="1" t="s">
        <v>265</v>
      </c>
      <c r="E93" s="1" t="s">
        <v>265</v>
      </c>
      <c r="F93" t="s">
        <v>266</v>
      </c>
      <c r="G93" t="s">
        <v>267</v>
      </c>
      <c r="H93" t="s">
        <v>49</v>
      </c>
      <c r="I93" t="s">
        <v>268</v>
      </c>
      <c r="J93">
        <v>18.899999999999999</v>
      </c>
      <c r="K93" t="e">
        <f>IF(COUNTIF(#REF!,Tabela2[[#This Row],[IdxWspolny]])&gt;0,"ELEM_lub_PRD","TECHN")</f>
        <v>#REF!</v>
      </c>
      <c r="L93" t="e">
        <f>IF(COUNTIF(#REF!,Tabela2[[#This Row],[KOD_PRODUKTU]])&gt;0,"ELEMENT","PRODUKT")</f>
        <v>#REF!</v>
      </c>
      <c r="M93" t="e">
        <f>COUNTIF(#REF!,Tabela2[[#This Row],[KOD_PRODUKTU]])</f>
        <v>#REF!</v>
      </c>
      <c r="N93" t="s">
        <v>51</v>
      </c>
    </row>
    <row r="94" spans="1:14" hidden="1" x14ac:dyDescent="0.25">
      <c r="A94" s="1" t="s">
        <v>259</v>
      </c>
      <c r="B94" t="s">
        <v>260</v>
      </c>
      <c r="C94" s="1" t="s">
        <v>269</v>
      </c>
      <c r="D94" s="1" t="s">
        <v>269</v>
      </c>
      <c r="E94" s="1" t="s">
        <v>269</v>
      </c>
      <c r="F94" t="s">
        <v>270</v>
      </c>
      <c r="G94" t="s">
        <v>271</v>
      </c>
      <c r="H94" t="s">
        <v>49</v>
      </c>
      <c r="I94" t="s">
        <v>50</v>
      </c>
      <c r="J94">
        <v>13.3</v>
      </c>
      <c r="K94" t="e">
        <f>IF(COUNTIF(#REF!,Tabela2[[#This Row],[IdxWspolny]])&gt;0,"ELEM_lub_PRD","TECHN")</f>
        <v>#REF!</v>
      </c>
      <c r="L94" t="e">
        <f>IF(COUNTIF(#REF!,Tabela2[[#This Row],[KOD_PRODUKTU]])&gt;0,"ELEMENT","PRODUKT")</f>
        <v>#REF!</v>
      </c>
      <c r="M94" t="e">
        <f>COUNTIF(#REF!,Tabela2[[#This Row],[KOD_PRODUKTU]])</f>
        <v>#REF!</v>
      </c>
      <c r="N94" t="s">
        <v>55</v>
      </c>
    </row>
    <row r="95" spans="1:14" hidden="1" x14ac:dyDescent="0.25">
      <c r="A95" s="1" t="s">
        <v>259</v>
      </c>
      <c r="B95" t="s">
        <v>260</v>
      </c>
      <c r="C95" s="1" t="s">
        <v>272</v>
      </c>
      <c r="D95" s="1" t="s">
        <v>272</v>
      </c>
      <c r="E95" s="1" t="s">
        <v>272</v>
      </c>
      <c r="F95" t="s">
        <v>273</v>
      </c>
      <c r="G95" t="s">
        <v>274</v>
      </c>
      <c r="H95" t="s">
        <v>49</v>
      </c>
      <c r="I95" t="s">
        <v>92</v>
      </c>
      <c r="J95">
        <v>25.8</v>
      </c>
      <c r="K95" t="e">
        <f>IF(COUNTIF(#REF!,Tabela2[[#This Row],[IdxWspolny]])&gt;0,"ELEM_lub_PRD","TECHN")</f>
        <v>#REF!</v>
      </c>
      <c r="L95" t="e">
        <f>IF(COUNTIF(#REF!,Tabela2[[#This Row],[KOD_PRODUKTU]])&gt;0,"ELEMENT","PRODUKT")</f>
        <v>#REF!</v>
      </c>
      <c r="M95" t="e">
        <f>COUNTIF(#REF!,Tabela2[[#This Row],[KOD_PRODUKTU]])</f>
        <v>#REF!</v>
      </c>
      <c r="N95" t="s">
        <v>55</v>
      </c>
    </row>
    <row r="96" spans="1:14" hidden="1" x14ac:dyDescent="0.25">
      <c r="A96" s="1" t="s">
        <v>259</v>
      </c>
      <c r="B96" t="s">
        <v>260</v>
      </c>
      <c r="C96" s="1" t="s">
        <v>275</v>
      </c>
      <c r="D96" s="1" t="s">
        <v>275</v>
      </c>
      <c r="E96" s="1" t="s">
        <v>275</v>
      </c>
      <c r="F96" t="s">
        <v>276</v>
      </c>
      <c r="G96" t="s">
        <v>277</v>
      </c>
      <c r="H96" t="s">
        <v>49</v>
      </c>
      <c r="I96" t="s">
        <v>50</v>
      </c>
      <c r="J96">
        <v>7.05</v>
      </c>
      <c r="K96" t="e">
        <f>IF(COUNTIF(#REF!,Tabela2[[#This Row],[IdxWspolny]])&gt;0,"ELEM_lub_PRD","TECHN")</f>
        <v>#REF!</v>
      </c>
      <c r="L96" t="e">
        <f>IF(COUNTIF(#REF!,Tabela2[[#This Row],[KOD_PRODUKTU]])&gt;0,"ELEMENT","PRODUKT")</f>
        <v>#REF!</v>
      </c>
      <c r="M96" t="e">
        <f>COUNTIF(#REF!,Tabela2[[#This Row],[KOD_PRODUKTU]])</f>
        <v>#REF!</v>
      </c>
      <c r="N96" t="s">
        <v>55</v>
      </c>
    </row>
    <row r="97" spans="1:14" hidden="1" x14ac:dyDescent="0.25">
      <c r="A97" s="1" t="s">
        <v>259</v>
      </c>
      <c r="B97" t="s">
        <v>260</v>
      </c>
      <c r="C97" s="1" t="s">
        <v>278</v>
      </c>
      <c r="D97" s="1" t="s">
        <v>278</v>
      </c>
      <c r="E97" s="1" t="s">
        <v>278</v>
      </c>
      <c r="F97" t="s">
        <v>279</v>
      </c>
      <c r="G97" t="s">
        <v>58</v>
      </c>
      <c r="H97" t="s">
        <v>49</v>
      </c>
      <c r="I97" t="s">
        <v>92</v>
      </c>
      <c r="J97">
        <v>10.8</v>
      </c>
      <c r="K97" t="e">
        <f>IF(COUNTIF(#REF!,Tabela2[[#This Row],[IdxWspolny]])&gt;0,"ELEM_lub_PRD","TECHN")</f>
        <v>#REF!</v>
      </c>
      <c r="L97" t="e">
        <f>IF(COUNTIF(#REF!,Tabela2[[#This Row],[KOD_PRODUKTU]])&gt;0,"ELEMENT","PRODUKT")</f>
        <v>#REF!</v>
      </c>
      <c r="M97" t="e">
        <f>COUNTIF(#REF!,Tabela2[[#This Row],[KOD_PRODUKTU]])</f>
        <v>#REF!</v>
      </c>
      <c r="N97" t="s">
        <v>55</v>
      </c>
    </row>
    <row r="98" spans="1:14" hidden="1" x14ac:dyDescent="0.25">
      <c r="A98" s="1" t="s">
        <v>259</v>
      </c>
      <c r="B98" t="s">
        <v>260</v>
      </c>
      <c r="C98" s="1" t="s">
        <v>280</v>
      </c>
      <c r="D98" s="1" t="s">
        <v>280</v>
      </c>
      <c r="E98" s="1" t="s">
        <v>280</v>
      </c>
      <c r="F98" t="s">
        <v>281</v>
      </c>
      <c r="G98" t="s">
        <v>58</v>
      </c>
      <c r="H98" t="s">
        <v>49</v>
      </c>
      <c r="I98" t="s">
        <v>92</v>
      </c>
      <c r="J98">
        <v>10.8</v>
      </c>
      <c r="K98" t="e">
        <f>IF(COUNTIF(#REF!,Tabela2[[#This Row],[IdxWspolny]])&gt;0,"ELEM_lub_PRD","TECHN")</f>
        <v>#REF!</v>
      </c>
      <c r="L98" t="e">
        <f>IF(COUNTIF(#REF!,Tabela2[[#This Row],[KOD_PRODUKTU]])&gt;0,"ELEMENT","PRODUKT")</f>
        <v>#REF!</v>
      </c>
      <c r="M98" t="e">
        <f>COUNTIF(#REF!,Tabela2[[#This Row],[KOD_PRODUKTU]])</f>
        <v>#REF!</v>
      </c>
      <c r="N98" t="s">
        <v>55</v>
      </c>
    </row>
    <row r="99" spans="1:14" hidden="1" x14ac:dyDescent="0.25">
      <c r="A99" s="1" t="s">
        <v>259</v>
      </c>
      <c r="B99" t="s">
        <v>260</v>
      </c>
      <c r="C99" s="1" t="s">
        <v>282</v>
      </c>
      <c r="D99" s="1" t="s">
        <v>282</v>
      </c>
      <c r="E99" s="1" t="s">
        <v>282</v>
      </c>
      <c r="F99" t="s">
        <v>283</v>
      </c>
      <c r="G99" t="s">
        <v>145</v>
      </c>
      <c r="H99" t="s">
        <v>49</v>
      </c>
      <c r="I99" t="s">
        <v>50</v>
      </c>
      <c r="J99">
        <v>11.2</v>
      </c>
      <c r="K99" t="e">
        <f>IF(COUNTIF(#REF!,Tabela2[[#This Row],[IdxWspolny]])&gt;0,"ELEM_lub_PRD","TECHN")</f>
        <v>#REF!</v>
      </c>
      <c r="L99" t="e">
        <f>IF(COUNTIF(#REF!,Tabela2[[#This Row],[KOD_PRODUKTU]])&gt;0,"ELEMENT","PRODUKT")</f>
        <v>#REF!</v>
      </c>
      <c r="M99" t="e">
        <f>COUNTIF(#REF!,Tabela2[[#This Row],[KOD_PRODUKTU]])</f>
        <v>#REF!</v>
      </c>
      <c r="N99" t="s">
        <v>55</v>
      </c>
    </row>
    <row r="100" spans="1:14" hidden="1" x14ac:dyDescent="0.25">
      <c r="A100" s="1" t="s">
        <v>259</v>
      </c>
      <c r="B100" t="s">
        <v>260</v>
      </c>
      <c r="C100" s="1" t="s">
        <v>284</v>
      </c>
      <c r="D100" s="1" t="s">
        <v>284</v>
      </c>
      <c r="E100" s="1" t="s">
        <v>284</v>
      </c>
      <c r="F100" t="s">
        <v>285</v>
      </c>
      <c r="G100" t="s">
        <v>267</v>
      </c>
      <c r="H100" t="s">
        <v>49</v>
      </c>
      <c r="I100" t="s">
        <v>50</v>
      </c>
      <c r="J100">
        <v>6.3</v>
      </c>
      <c r="K100" t="e">
        <f>IF(COUNTIF(#REF!,Tabela2[[#This Row],[IdxWspolny]])&gt;0,"ELEM_lub_PRD","TECHN")</f>
        <v>#REF!</v>
      </c>
      <c r="L100" t="e">
        <f>IF(COUNTIF(#REF!,Tabela2[[#This Row],[KOD_PRODUKTU]])&gt;0,"ELEMENT","PRODUKT")</f>
        <v>#REF!</v>
      </c>
      <c r="M100" t="e">
        <f>COUNTIF(#REF!,Tabela2[[#This Row],[KOD_PRODUKTU]])</f>
        <v>#REF!</v>
      </c>
      <c r="N100" t="s">
        <v>55</v>
      </c>
    </row>
    <row r="101" spans="1:14" hidden="1" x14ac:dyDescent="0.25">
      <c r="A101" s="1" t="s">
        <v>259</v>
      </c>
      <c r="B101" t="s">
        <v>260</v>
      </c>
      <c r="C101" s="1" t="s">
        <v>286</v>
      </c>
      <c r="D101" s="1" t="s">
        <v>286</v>
      </c>
      <c r="E101" s="1" t="s">
        <v>286</v>
      </c>
      <c r="F101" t="s">
        <v>287</v>
      </c>
      <c r="G101" t="s">
        <v>288</v>
      </c>
      <c r="H101" t="s">
        <v>49</v>
      </c>
      <c r="I101" t="s">
        <v>50</v>
      </c>
      <c r="J101">
        <v>3.2</v>
      </c>
      <c r="K101" t="e">
        <f>IF(COUNTIF(#REF!,Tabela2[[#This Row],[IdxWspolny]])&gt;0,"ELEM_lub_PRD","TECHN")</f>
        <v>#REF!</v>
      </c>
      <c r="L101" t="e">
        <f>IF(COUNTIF(#REF!,Tabela2[[#This Row],[KOD_PRODUKTU]])&gt;0,"ELEMENT","PRODUKT")</f>
        <v>#REF!</v>
      </c>
      <c r="M101" t="e">
        <f>COUNTIF(#REF!,Tabela2[[#This Row],[KOD_PRODUKTU]])</f>
        <v>#REF!</v>
      </c>
      <c r="N101" t="s">
        <v>55</v>
      </c>
    </row>
    <row r="102" spans="1:14" hidden="1" x14ac:dyDescent="0.25">
      <c r="A102" s="1" t="s">
        <v>259</v>
      </c>
      <c r="B102" t="s">
        <v>260</v>
      </c>
      <c r="C102" s="1" t="s">
        <v>289</v>
      </c>
      <c r="D102" s="1" t="s">
        <v>289</v>
      </c>
      <c r="E102" s="1" t="s">
        <v>289</v>
      </c>
      <c r="F102" t="s">
        <v>290</v>
      </c>
      <c r="G102" t="s">
        <v>291</v>
      </c>
      <c r="H102" t="s">
        <v>49</v>
      </c>
      <c r="I102" t="s">
        <v>50</v>
      </c>
      <c r="J102">
        <v>6.65</v>
      </c>
      <c r="K102" t="e">
        <f>IF(COUNTIF(#REF!,Tabela2[[#This Row],[IdxWspolny]])&gt;0,"ELEM_lub_PRD","TECHN")</f>
        <v>#REF!</v>
      </c>
      <c r="L102" t="e">
        <f>IF(COUNTIF(#REF!,Tabela2[[#This Row],[KOD_PRODUKTU]])&gt;0,"ELEMENT","PRODUKT")</f>
        <v>#REF!</v>
      </c>
      <c r="M102" t="e">
        <f>COUNTIF(#REF!,Tabela2[[#This Row],[KOD_PRODUKTU]])</f>
        <v>#REF!</v>
      </c>
      <c r="N102" t="s">
        <v>55</v>
      </c>
    </row>
    <row r="103" spans="1:14" hidden="1" x14ac:dyDescent="0.25">
      <c r="A103" s="1" t="s">
        <v>259</v>
      </c>
      <c r="B103" t="s">
        <v>260</v>
      </c>
      <c r="C103" s="1" t="s">
        <v>292</v>
      </c>
      <c r="D103" s="1" t="s">
        <v>292</v>
      </c>
      <c r="E103" s="1" t="s">
        <v>292</v>
      </c>
      <c r="F103" t="s">
        <v>293</v>
      </c>
      <c r="G103" t="s">
        <v>185</v>
      </c>
      <c r="H103" t="s">
        <v>49</v>
      </c>
      <c r="I103" t="s">
        <v>92</v>
      </c>
      <c r="J103">
        <v>7.8</v>
      </c>
      <c r="K103" t="e">
        <f>IF(COUNTIF(#REF!,Tabela2[[#This Row],[IdxWspolny]])&gt;0,"ELEM_lub_PRD","TECHN")</f>
        <v>#REF!</v>
      </c>
      <c r="L103" t="e">
        <f>IF(COUNTIF(#REF!,Tabela2[[#This Row],[KOD_PRODUKTU]])&gt;0,"ELEMENT","PRODUKT")</f>
        <v>#REF!</v>
      </c>
      <c r="M103" t="e">
        <f>COUNTIF(#REF!,Tabela2[[#This Row],[KOD_PRODUKTU]])</f>
        <v>#REF!</v>
      </c>
      <c r="N103" t="s">
        <v>55</v>
      </c>
    </row>
    <row r="104" spans="1:14" hidden="1" x14ac:dyDescent="0.25">
      <c r="A104" s="1" t="s">
        <v>259</v>
      </c>
      <c r="B104" t="s">
        <v>260</v>
      </c>
      <c r="C104" s="1" t="s">
        <v>294</v>
      </c>
      <c r="D104" s="1" t="s">
        <v>294</v>
      </c>
      <c r="E104" s="1" t="s">
        <v>294</v>
      </c>
      <c r="F104" t="s">
        <v>295</v>
      </c>
      <c r="G104" t="s">
        <v>296</v>
      </c>
      <c r="H104" t="s">
        <v>49</v>
      </c>
      <c r="I104" t="s">
        <v>50</v>
      </c>
      <c r="J104">
        <v>12.65</v>
      </c>
      <c r="K104" t="e">
        <f>IF(COUNTIF(#REF!,Tabela2[[#This Row],[IdxWspolny]])&gt;0,"ELEM_lub_PRD","TECHN")</f>
        <v>#REF!</v>
      </c>
      <c r="L104" t="e">
        <f>IF(COUNTIF(#REF!,Tabela2[[#This Row],[KOD_PRODUKTU]])&gt;0,"ELEMENT","PRODUKT")</f>
        <v>#REF!</v>
      </c>
      <c r="M104" t="e">
        <f>COUNTIF(#REF!,Tabela2[[#This Row],[KOD_PRODUKTU]])</f>
        <v>#REF!</v>
      </c>
      <c r="N104" t="s">
        <v>55</v>
      </c>
    </row>
    <row r="105" spans="1:14" hidden="1" x14ac:dyDescent="0.25">
      <c r="A105" s="1" t="s">
        <v>259</v>
      </c>
      <c r="B105" t="s">
        <v>260</v>
      </c>
      <c r="C105" s="1" t="s">
        <v>297</v>
      </c>
      <c r="D105" s="1" t="s">
        <v>297</v>
      </c>
      <c r="E105" s="1" t="s">
        <v>297</v>
      </c>
      <c r="F105" t="s">
        <v>298</v>
      </c>
      <c r="G105" t="s">
        <v>299</v>
      </c>
      <c r="H105" t="s">
        <v>49</v>
      </c>
      <c r="I105" t="s">
        <v>50</v>
      </c>
      <c r="J105">
        <v>4.6500000000000004</v>
      </c>
      <c r="K105" t="e">
        <f>IF(COUNTIF(#REF!,Tabela2[[#This Row],[IdxWspolny]])&gt;0,"ELEM_lub_PRD","TECHN")</f>
        <v>#REF!</v>
      </c>
      <c r="L105" t="e">
        <f>IF(COUNTIF(#REF!,Tabela2[[#This Row],[KOD_PRODUKTU]])&gt;0,"ELEMENT","PRODUKT")</f>
        <v>#REF!</v>
      </c>
      <c r="M105" t="e">
        <f>COUNTIF(#REF!,Tabela2[[#This Row],[KOD_PRODUKTU]])</f>
        <v>#REF!</v>
      </c>
      <c r="N105" t="s">
        <v>55</v>
      </c>
    </row>
    <row r="106" spans="1:14" hidden="1" x14ac:dyDescent="0.25">
      <c r="A106" s="1" t="s">
        <v>259</v>
      </c>
      <c r="B106" t="s">
        <v>260</v>
      </c>
      <c r="C106" s="1" t="s">
        <v>300</v>
      </c>
      <c r="D106" s="1" t="s">
        <v>300</v>
      </c>
      <c r="E106" s="1" t="s">
        <v>300</v>
      </c>
      <c r="F106" t="s">
        <v>301</v>
      </c>
      <c r="G106" t="s">
        <v>302</v>
      </c>
      <c r="H106" t="s">
        <v>49</v>
      </c>
      <c r="I106" t="s">
        <v>92</v>
      </c>
      <c r="J106">
        <v>9.1999999999999993</v>
      </c>
      <c r="K106" t="e">
        <f>IF(COUNTIF(#REF!,Tabela2[[#This Row],[IdxWspolny]])&gt;0,"ELEM_lub_PRD","TECHN")</f>
        <v>#REF!</v>
      </c>
      <c r="L106" t="e">
        <f>IF(COUNTIF(#REF!,Tabela2[[#This Row],[KOD_PRODUKTU]])&gt;0,"ELEMENT","PRODUKT")</f>
        <v>#REF!</v>
      </c>
      <c r="M106" t="e">
        <f>COUNTIF(#REF!,Tabela2[[#This Row],[KOD_PRODUKTU]])</f>
        <v>#REF!</v>
      </c>
      <c r="N106" t="s">
        <v>55</v>
      </c>
    </row>
    <row r="107" spans="1:14" hidden="1" x14ac:dyDescent="0.25">
      <c r="A107" s="1" t="s">
        <v>259</v>
      </c>
      <c r="B107" t="s">
        <v>260</v>
      </c>
      <c r="C107" s="1" t="s">
        <v>303</v>
      </c>
      <c r="D107" s="1" t="s">
        <v>303</v>
      </c>
      <c r="E107" s="1" t="s">
        <v>303</v>
      </c>
      <c r="F107" t="s">
        <v>304</v>
      </c>
      <c r="G107" t="s">
        <v>216</v>
      </c>
      <c r="H107" t="s">
        <v>49</v>
      </c>
      <c r="I107" t="s">
        <v>92</v>
      </c>
      <c r="J107">
        <v>14</v>
      </c>
      <c r="K107" t="e">
        <f>IF(COUNTIF(#REF!,Tabela2[[#This Row],[IdxWspolny]])&gt;0,"ELEM_lub_PRD","TECHN")</f>
        <v>#REF!</v>
      </c>
      <c r="L107" t="e">
        <f>IF(COUNTIF(#REF!,Tabela2[[#This Row],[KOD_PRODUKTU]])&gt;0,"ELEMENT","PRODUKT")</f>
        <v>#REF!</v>
      </c>
      <c r="M107" t="e">
        <f>COUNTIF(#REF!,Tabela2[[#This Row],[KOD_PRODUKTU]])</f>
        <v>#REF!</v>
      </c>
      <c r="N107" t="s">
        <v>55</v>
      </c>
    </row>
    <row r="108" spans="1:14" x14ac:dyDescent="0.25">
      <c r="A108" s="1" t="s">
        <v>259</v>
      </c>
      <c r="B108" t="s">
        <v>260</v>
      </c>
      <c r="C108" s="1" t="s">
        <v>7</v>
      </c>
      <c r="D108" s="1" t="s">
        <v>7</v>
      </c>
      <c r="E108" s="1" t="s">
        <v>7</v>
      </c>
      <c r="F108" t="s">
        <v>8</v>
      </c>
      <c r="G108" t="s">
        <v>9</v>
      </c>
      <c r="H108" t="s">
        <v>10</v>
      </c>
      <c r="I108" t="s">
        <v>305</v>
      </c>
      <c r="J108">
        <v>4</v>
      </c>
      <c r="K108" t="e">
        <f>IF(COUNTIF(#REF!,Tabela2[[#This Row],[IdxWspolny]])&gt;0,"ELEM_lub_PRD","TECHN")</f>
        <v>#REF!</v>
      </c>
      <c r="L108" t="e">
        <f>IF(COUNTIF(#REF!,Tabela2[[#This Row],[KOD_PRODUKTU]])&gt;0,"ELEMENT","PRODUKT")</f>
        <v>#REF!</v>
      </c>
      <c r="M108" t="e">
        <f>COUNTIF(#REF!,Tabela2[[#This Row],[KOD_PRODUKTU]])</f>
        <v>#REF!</v>
      </c>
    </row>
    <row r="109" spans="1:14" x14ac:dyDescent="0.25">
      <c r="A109" s="1" t="s">
        <v>306</v>
      </c>
      <c r="B109" t="s">
        <v>307</v>
      </c>
      <c r="C109" s="1" t="s">
        <v>248</v>
      </c>
      <c r="D109" s="1" t="s">
        <v>248</v>
      </c>
      <c r="E109" s="1" t="s">
        <v>248</v>
      </c>
      <c r="F109" t="s">
        <v>249</v>
      </c>
      <c r="G109" t="s">
        <v>70</v>
      </c>
      <c r="H109" t="s">
        <v>39</v>
      </c>
      <c r="I109" t="s">
        <v>40</v>
      </c>
      <c r="J109">
        <v>0.05</v>
      </c>
      <c r="K109" t="e">
        <f>IF(COUNTIF(#REF!,Tabela2[[#This Row],[IdxWspolny]])&gt;0,"ELEM_lub_PRD","TECHN")</f>
        <v>#REF!</v>
      </c>
      <c r="L109" t="e">
        <f>IF(COUNTIF(#REF!,Tabela2[[#This Row],[KOD_PRODUKTU]])&gt;0,"ELEMENT","PRODUKT")</f>
        <v>#REF!</v>
      </c>
      <c r="M109" t="e">
        <f>COUNTIF(#REF!,Tabela2[[#This Row],[KOD_PRODUKTU]])</f>
        <v>#REF!</v>
      </c>
    </row>
    <row r="110" spans="1:14" hidden="1" x14ac:dyDescent="0.25">
      <c r="A110" s="1" t="s">
        <v>306</v>
      </c>
      <c r="B110" t="s">
        <v>307</v>
      </c>
      <c r="C110" s="1" t="s">
        <v>308</v>
      </c>
      <c r="D110" s="1" t="s">
        <v>309</v>
      </c>
      <c r="E110" s="1" t="s">
        <v>309</v>
      </c>
      <c r="F110" t="s">
        <v>310</v>
      </c>
      <c r="G110" t="s">
        <v>311</v>
      </c>
      <c r="H110" t="s">
        <v>49</v>
      </c>
      <c r="I110" t="s">
        <v>312</v>
      </c>
      <c r="J110">
        <v>104</v>
      </c>
      <c r="K110" t="e">
        <f>IF(COUNTIF(#REF!,Tabela2[[#This Row],[IdxWspolny]])&gt;0,"ELEM_lub_PRD","TECHN")</f>
        <v>#REF!</v>
      </c>
      <c r="L110" t="e">
        <f>IF(COUNTIF(#REF!,Tabela2[[#This Row],[KOD_PRODUKTU]])&gt;0,"ELEMENT","PRODUKT")</f>
        <v>#REF!</v>
      </c>
      <c r="M110" t="e">
        <f>COUNTIF(#REF!,Tabela2[[#This Row],[KOD_PRODUKTU]])</f>
        <v>#REF!</v>
      </c>
      <c r="N110" t="s">
        <v>51</v>
      </c>
    </row>
    <row r="111" spans="1:14" hidden="1" x14ac:dyDescent="0.25">
      <c r="A111" s="1" t="s">
        <v>306</v>
      </c>
      <c r="B111" t="s">
        <v>307</v>
      </c>
      <c r="C111" s="1" t="s">
        <v>313</v>
      </c>
      <c r="D111" s="1" t="s">
        <v>314</v>
      </c>
      <c r="E111" s="1" t="s">
        <v>314</v>
      </c>
      <c r="F111" t="s">
        <v>315</v>
      </c>
      <c r="G111" t="s">
        <v>205</v>
      </c>
      <c r="H111" t="s">
        <v>49</v>
      </c>
      <c r="I111" t="s">
        <v>312</v>
      </c>
      <c r="J111">
        <v>50.8</v>
      </c>
      <c r="K111" t="e">
        <f>IF(COUNTIF(#REF!,Tabela2[[#This Row],[IdxWspolny]])&gt;0,"ELEM_lub_PRD","TECHN")</f>
        <v>#REF!</v>
      </c>
      <c r="L111" t="e">
        <f>IF(COUNTIF(#REF!,Tabela2[[#This Row],[KOD_PRODUKTU]])&gt;0,"ELEMENT","PRODUKT")</f>
        <v>#REF!</v>
      </c>
      <c r="M111" t="e">
        <f>COUNTIF(#REF!,Tabela2[[#This Row],[KOD_PRODUKTU]])</f>
        <v>#REF!</v>
      </c>
      <c r="N111" t="s">
        <v>51</v>
      </c>
    </row>
    <row r="112" spans="1:14" x14ac:dyDescent="0.25">
      <c r="A112" s="1" t="s">
        <v>306</v>
      </c>
      <c r="B112" t="s">
        <v>307</v>
      </c>
      <c r="C112" s="1" t="s">
        <v>7</v>
      </c>
      <c r="D112" s="1" t="s">
        <v>7</v>
      </c>
      <c r="E112" s="1" t="s">
        <v>7</v>
      </c>
      <c r="F112" t="s">
        <v>8</v>
      </c>
      <c r="G112" t="s">
        <v>9</v>
      </c>
      <c r="H112" t="s">
        <v>10</v>
      </c>
      <c r="I112" t="s">
        <v>316</v>
      </c>
      <c r="J112">
        <v>0.8</v>
      </c>
      <c r="K112" t="e">
        <f>IF(COUNTIF(#REF!,Tabela2[[#This Row],[IdxWspolny]])&gt;0,"ELEM_lub_PRD","TECHN")</f>
        <v>#REF!</v>
      </c>
      <c r="L112" t="e">
        <f>IF(COUNTIF(#REF!,Tabela2[[#This Row],[KOD_PRODUKTU]])&gt;0,"ELEMENT","PRODUKT")</f>
        <v>#REF!</v>
      </c>
      <c r="M112" t="e">
        <f>COUNTIF(#REF!,Tabela2[[#This Row],[KOD_PRODUKTU]])</f>
        <v>#REF!</v>
      </c>
    </row>
    <row r="113" spans="1:14" x14ac:dyDescent="0.25">
      <c r="A113" s="1" t="s">
        <v>317</v>
      </c>
      <c r="B113" t="s">
        <v>318</v>
      </c>
      <c r="C113" s="1" t="s">
        <v>115</v>
      </c>
      <c r="D113" s="1" t="s">
        <v>115</v>
      </c>
      <c r="E113" s="1" t="s">
        <v>115</v>
      </c>
      <c r="F113" t="s">
        <v>116</v>
      </c>
      <c r="G113" t="s">
        <v>117</v>
      </c>
      <c r="H113" t="s">
        <v>39</v>
      </c>
      <c r="I113" t="s">
        <v>40</v>
      </c>
      <c r="J113">
        <v>0.2</v>
      </c>
      <c r="K113" t="e">
        <f>IF(COUNTIF(#REF!,Tabela2[[#This Row],[IdxWspolny]])&gt;0,"ELEM_lub_PRD","TECHN")</f>
        <v>#REF!</v>
      </c>
      <c r="L113" t="e">
        <f>IF(COUNTIF(#REF!,Tabela2[[#This Row],[KOD_PRODUKTU]])&gt;0,"ELEMENT","PRODUKT")</f>
        <v>#REF!</v>
      </c>
      <c r="M113" t="e">
        <f>COUNTIF(#REF!,Tabela2[[#This Row],[KOD_PRODUKTU]])</f>
        <v>#REF!</v>
      </c>
    </row>
    <row r="114" spans="1:14" hidden="1" x14ac:dyDescent="0.25">
      <c r="A114" s="1" t="s">
        <v>317</v>
      </c>
      <c r="B114" t="s">
        <v>318</v>
      </c>
      <c r="C114" s="1" t="s">
        <v>118</v>
      </c>
      <c r="D114" s="1" t="s">
        <v>118</v>
      </c>
      <c r="E114" s="1" t="s">
        <v>118</v>
      </c>
      <c r="F114" t="s">
        <v>119</v>
      </c>
      <c r="G114" t="s">
        <v>120</v>
      </c>
      <c r="H114" t="s">
        <v>121</v>
      </c>
      <c r="I114" t="s">
        <v>319</v>
      </c>
      <c r="J114">
        <v>95.7</v>
      </c>
      <c r="K114" t="e">
        <f>IF(COUNTIF(#REF!,Tabela2[[#This Row],[IdxWspolny]])&gt;0,"ELEM_lub_PRD","TECHN")</f>
        <v>#REF!</v>
      </c>
      <c r="L114" t="e">
        <f>IF(COUNTIF(#REF!,Tabela2[[#This Row],[KOD_PRODUKTU]])&gt;0,"ELEMENT","PRODUKT")</f>
        <v>#REF!</v>
      </c>
      <c r="M114" t="e">
        <f>COUNTIF(#REF!,Tabela2[[#This Row],[KOD_PRODUKTU]])</f>
        <v>#REF!</v>
      </c>
      <c r="N114" t="s">
        <v>55</v>
      </c>
    </row>
    <row r="115" spans="1:14" hidden="1" x14ac:dyDescent="0.25">
      <c r="A115" s="1" t="s">
        <v>317</v>
      </c>
      <c r="B115" t="s">
        <v>318</v>
      </c>
      <c r="C115" s="1" t="s">
        <v>123</v>
      </c>
      <c r="D115" s="1" t="s">
        <v>123</v>
      </c>
      <c r="E115" s="1" t="s">
        <v>123</v>
      </c>
      <c r="F115" t="s">
        <v>124</v>
      </c>
      <c r="G115" t="s">
        <v>125</v>
      </c>
      <c r="H115" t="s">
        <v>121</v>
      </c>
      <c r="I115" t="s">
        <v>319</v>
      </c>
      <c r="J115">
        <v>83.1</v>
      </c>
      <c r="K115" t="e">
        <f>IF(COUNTIF(#REF!,Tabela2[[#This Row],[IdxWspolny]])&gt;0,"ELEM_lub_PRD","TECHN")</f>
        <v>#REF!</v>
      </c>
      <c r="L115" t="e">
        <f>IF(COUNTIF(#REF!,Tabela2[[#This Row],[KOD_PRODUKTU]])&gt;0,"ELEMENT","PRODUKT")</f>
        <v>#REF!</v>
      </c>
      <c r="M115" t="e">
        <f>COUNTIF(#REF!,Tabela2[[#This Row],[KOD_PRODUKTU]])</f>
        <v>#REF!</v>
      </c>
      <c r="N115" t="s">
        <v>55</v>
      </c>
    </row>
    <row r="116" spans="1:14" hidden="1" x14ac:dyDescent="0.25">
      <c r="A116" s="1" t="s">
        <v>317</v>
      </c>
      <c r="B116" t="s">
        <v>318</v>
      </c>
      <c r="C116" s="1" t="s">
        <v>126</v>
      </c>
      <c r="D116" s="1" t="s">
        <v>126</v>
      </c>
      <c r="E116" s="1" t="s">
        <v>126</v>
      </c>
      <c r="F116" t="s">
        <v>127</v>
      </c>
      <c r="G116" t="s">
        <v>128</v>
      </c>
      <c r="H116" t="s">
        <v>121</v>
      </c>
      <c r="I116" t="s">
        <v>92</v>
      </c>
      <c r="J116">
        <v>31.3</v>
      </c>
      <c r="K116" t="e">
        <f>IF(COUNTIF(#REF!,Tabela2[[#This Row],[IdxWspolny]])&gt;0,"ELEM_lub_PRD","TECHN")</f>
        <v>#REF!</v>
      </c>
      <c r="L116" t="e">
        <f>IF(COUNTIF(#REF!,Tabela2[[#This Row],[KOD_PRODUKTU]])&gt;0,"ELEMENT","PRODUKT")</f>
        <v>#REF!</v>
      </c>
      <c r="M116" t="e">
        <f>COUNTIF(#REF!,Tabela2[[#This Row],[KOD_PRODUKTU]])</f>
        <v>#REF!</v>
      </c>
      <c r="N116" t="s">
        <v>55</v>
      </c>
    </row>
    <row r="117" spans="1:14" hidden="1" x14ac:dyDescent="0.25">
      <c r="A117" s="1" t="s">
        <v>317</v>
      </c>
      <c r="B117" t="s">
        <v>318</v>
      </c>
      <c r="C117" s="1" t="s">
        <v>129</v>
      </c>
      <c r="D117" s="1" t="s">
        <v>129</v>
      </c>
      <c r="E117" s="1" t="s">
        <v>129</v>
      </c>
      <c r="F117" t="s">
        <v>130</v>
      </c>
      <c r="G117" t="s">
        <v>131</v>
      </c>
      <c r="H117" t="s">
        <v>121</v>
      </c>
      <c r="I117" t="s">
        <v>92</v>
      </c>
      <c r="J117">
        <v>28.4</v>
      </c>
      <c r="K117" t="e">
        <f>IF(COUNTIF(#REF!,Tabela2[[#This Row],[IdxWspolny]])&gt;0,"ELEM_lub_PRD","TECHN")</f>
        <v>#REF!</v>
      </c>
      <c r="L117" t="e">
        <f>IF(COUNTIF(#REF!,Tabela2[[#This Row],[KOD_PRODUKTU]])&gt;0,"ELEMENT","PRODUKT")</f>
        <v>#REF!</v>
      </c>
      <c r="M117" t="e">
        <f>COUNTIF(#REF!,Tabela2[[#This Row],[KOD_PRODUKTU]])</f>
        <v>#REF!</v>
      </c>
      <c r="N117" t="s">
        <v>55</v>
      </c>
    </row>
    <row r="118" spans="1:14" x14ac:dyDescent="0.25">
      <c r="A118" s="1" t="s">
        <v>317</v>
      </c>
      <c r="B118" t="s">
        <v>318</v>
      </c>
      <c r="C118" s="1" t="s">
        <v>7</v>
      </c>
      <c r="D118" s="1" t="s">
        <v>7</v>
      </c>
      <c r="E118" s="1" t="s">
        <v>7</v>
      </c>
      <c r="F118" t="s">
        <v>8</v>
      </c>
      <c r="G118" t="s">
        <v>9</v>
      </c>
      <c r="H118" t="s">
        <v>10</v>
      </c>
      <c r="I118" t="s">
        <v>132</v>
      </c>
      <c r="J118">
        <v>10.9</v>
      </c>
      <c r="K118" t="e">
        <f>IF(COUNTIF(#REF!,Tabela2[[#This Row],[IdxWspolny]])&gt;0,"ELEM_lub_PRD","TECHN")</f>
        <v>#REF!</v>
      </c>
      <c r="L118" t="e">
        <f>IF(COUNTIF(#REF!,Tabela2[[#This Row],[KOD_PRODUKTU]])&gt;0,"ELEMENT","PRODUKT")</f>
        <v>#REF!</v>
      </c>
      <c r="M118" t="e">
        <f>COUNTIF(#REF!,Tabela2[[#This Row],[KOD_PRODUKTU]])</f>
        <v>#REF!</v>
      </c>
    </row>
    <row r="119" spans="1:14" x14ac:dyDescent="0.25">
      <c r="A119" s="1" t="s">
        <v>320</v>
      </c>
      <c r="B119" t="s">
        <v>321</v>
      </c>
      <c r="C119" s="1" t="s">
        <v>115</v>
      </c>
      <c r="D119" s="1" t="s">
        <v>115</v>
      </c>
      <c r="E119" s="1" t="s">
        <v>115</v>
      </c>
      <c r="F119" t="s">
        <v>116</v>
      </c>
      <c r="G119" t="s">
        <v>117</v>
      </c>
      <c r="H119" t="s">
        <v>39</v>
      </c>
      <c r="I119" t="s">
        <v>40</v>
      </c>
      <c r="J119">
        <v>0.2</v>
      </c>
      <c r="K119" t="e">
        <f>IF(COUNTIF(#REF!,Tabela2[[#This Row],[IdxWspolny]])&gt;0,"ELEM_lub_PRD","TECHN")</f>
        <v>#REF!</v>
      </c>
      <c r="L119" t="e">
        <f>IF(COUNTIF(#REF!,Tabela2[[#This Row],[KOD_PRODUKTU]])&gt;0,"ELEMENT","PRODUKT")</f>
        <v>#REF!</v>
      </c>
      <c r="M119" t="e">
        <f>COUNTIF(#REF!,Tabela2[[#This Row],[KOD_PRODUKTU]])</f>
        <v>#REF!</v>
      </c>
    </row>
    <row r="120" spans="1:14" hidden="1" x14ac:dyDescent="0.25">
      <c r="A120" s="1" t="s">
        <v>320</v>
      </c>
      <c r="B120" t="s">
        <v>321</v>
      </c>
      <c r="C120" s="1" t="s">
        <v>135</v>
      </c>
      <c r="D120" s="1" t="s">
        <v>135</v>
      </c>
      <c r="E120" s="1" t="s">
        <v>135</v>
      </c>
      <c r="F120" t="s">
        <v>136</v>
      </c>
      <c r="G120" t="s">
        <v>137</v>
      </c>
      <c r="H120" t="s">
        <v>49</v>
      </c>
      <c r="I120" t="s">
        <v>268</v>
      </c>
      <c r="J120">
        <v>34.799999999999997</v>
      </c>
      <c r="K120" t="e">
        <f>IF(COUNTIF(#REF!,Tabela2[[#This Row],[IdxWspolny]])&gt;0,"ELEM_lub_PRD","TECHN")</f>
        <v>#REF!</v>
      </c>
      <c r="L120" t="e">
        <f>IF(COUNTIF(#REF!,Tabela2[[#This Row],[KOD_PRODUKTU]])&gt;0,"ELEMENT","PRODUKT")</f>
        <v>#REF!</v>
      </c>
      <c r="M120" t="e">
        <f>COUNTIF(#REF!,Tabela2[[#This Row],[KOD_PRODUKTU]])</f>
        <v>#REF!</v>
      </c>
      <c r="N120" t="s">
        <v>55</v>
      </c>
    </row>
    <row r="121" spans="1:14" hidden="1" x14ac:dyDescent="0.25">
      <c r="A121" s="1" t="s">
        <v>320</v>
      </c>
      <c r="B121" t="s">
        <v>321</v>
      </c>
      <c r="C121" s="1" t="s">
        <v>141</v>
      </c>
      <c r="D121" s="1" t="s">
        <v>141</v>
      </c>
      <c r="E121" s="1" t="s">
        <v>141</v>
      </c>
      <c r="F121" t="s">
        <v>142</v>
      </c>
      <c r="G121" t="s">
        <v>48</v>
      </c>
      <c r="H121" t="s">
        <v>49</v>
      </c>
      <c r="I121" t="s">
        <v>92</v>
      </c>
      <c r="J121">
        <v>23.8</v>
      </c>
      <c r="K121" t="e">
        <f>IF(COUNTIF(#REF!,Tabela2[[#This Row],[IdxWspolny]])&gt;0,"ELEM_lub_PRD","TECHN")</f>
        <v>#REF!</v>
      </c>
      <c r="L121" t="e">
        <f>IF(COUNTIF(#REF!,Tabela2[[#This Row],[KOD_PRODUKTU]])&gt;0,"ELEMENT","PRODUKT")</f>
        <v>#REF!</v>
      </c>
      <c r="M121" t="e">
        <f>COUNTIF(#REF!,Tabela2[[#This Row],[KOD_PRODUKTU]])</f>
        <v>#REF!</v>
      </c>
      <c r="N121" t="s">
        <v>55</v>
      </c>
    </row>
    <row r="122" spans="1:14" hidden="1" x14ac:dyDescent="0.25">
      <c r="A122" s="1" t="s">
        <v>320</v>
      </c>
      <c r="B122" t="s">
        <v>321</v>
      </c>
      <c r="C122" s="1" t="s">
        <v>146</v>
      </c>
      <c r="D122" s="1" t="s">
        <v>146</v>
      </c>
      <c r="E122" s="1" t="s">
        <v>146</v>
      </c>
      <c r="F122" t="s">
        <v>147</v>
      </c>
      <c r="G122" t="s">
        <v>148</v>
      </c>
      <c r="H122" t="s">
        <v>49</v>
      </c>
      <c r="I122" t="s">
        <v>92</v>
      </c>
      <c r="J122">
        <v>56.9</v>
      </c>
      <c r="K122" t="e">
        <f>IF(COUNTIF(#REF!,Tabela2[[#This Row],[IdxWspolny]])&gt;0,"ELEM_lub_PRD","TECHN")</f>
        <v>#REF!</v>
      </c>
      <c r="L122" t="e">
        <f>IF(COUNTIF(#REF!,Tabela2[[#This Row],[KOD_PRODUKTU]])&gt;0,"ELEMENT","PRODUKT")</f>
        <v>#REF!</v>
      </c>
      <c r="M122" t="e">
        <f>COUNTIF(#REF!,Tabela2[[#This Row],[KOD_PRODUKTU]])</f>
        <v>#REF!</v>
      </c>
      <c r="N122" t="s">
        <v>55</v>
      </c>
    </row>
    <row r="123" spans="1:14" hidden="1" x14ac:dyDescent="0.25">
      <c r="A123" s="1" t="s">
        <v>320</v>
      </c>
      <c r="B123" t="s">
        <v>321</v>
      </c>
      <c r="C123" s="1" t="s">
        <v>322</v>
      </c>
      <c r="D123" s="1" t="s">
        <v>322</v>
      </c>
      <c r="E123" s="1" t="s">
        <v>322</v>
      </c>
      <c r="F123" t="s">
        <v>323</v>
      </c>
      <c r="G123" t="s">
        <v>48</v>
      </c>
      <c r="H123" t="s">
        <v>49</v>
      </c>
      <c r="I123" t="s">
        <v>50</v>
      </c>
      <c r="J123">
        <v>11.9</v>
      </c>
      <c r="K123" t="e">
        <f>IF(COUNTIF(#REF!,Tabela2[[#This Row],[IdxWspolny]])&gt;0,"ELEM_lub_PRD","TECHN")</f>
        <v>#REF!</v>
      </c>
      <c r="L123" t="e">
        <f>IF(COUNTIF(#REF!,Tabela2[[#This Row],[KOD_PRODUKTU]])&gt;0,"ELEMENT","PRODUKT")</f>
        <v>#REF!</v>
      </c>
      <c r="M123" t="e">
        <f>COUNTIF(#REF!,Tabela2[[#This Row],[KOD_PRODUKTU]])</f>
        <v>#REF!</v>
      </c>
      <c r="N123" t="s">
        <v>55</v>
      </c>
    </row>
    <row r="124" spans="1:14" hidden="1" x14ac:dyDescent="0.25">
      <c r="A124" s="1" t="s">
        <v>320</v>
      </c>
      <c r="B124" t="s">
        <v>321</v>
      </c>
      <c r="C124" s="1" t="s">
        <v>324</v>
      </c>
      <c r="D124" s="1" t="s">
        <v>324</v>
      </c>
      <c r="E124" s="1" t="s">
        <v>324</v>
      </c>
      <c r="F124" t="s">
        <v>325</v>
      </c>
      <c r="G124" t="s">
        <v>58</v>
      </c>
      <c r="H124" t="s">
        <v>49</v>
      </c>
      <c r="I124" t="s">
        <v>92</v>
      </c>
      <c r="J124">
        <v>10.8</v>
      </c>
      <c r="K124" t="e">
        <f>IF(COUNTIF(#REF!,Tabela2[[#This Row],[IdxWspolny]])&gt;0,"ELEM_lub_PRD","TECHN")</f>
        <v>#REF!</v>
      </c>
      <c r="L124" t="e">
        <f>IF(COUNTIF(#REF!,Tabela2[[#This Row],[KOD_PRODUKTU]])&gt;0,"ELEMENT","PRODUKT")</f>
        <v>#REF!</v>
      </c>
      <c r="M124" t="e">
        <f>COUNTIF(#REF!,Tabela2[[#This Row],[KOD_PRODUKTU]])</f>
        <v>#REF!</v>
      </c>
      <c r="N124" t="s">
        <v>55</v>
      </c>
    </row>
    <row r="125" spans="1:14" hidden="1" x14ac:dyDescent="0.25">
      <c r="A125" s="1" t="s">
        <v>320</v>
      </c>
      <c r="B125" t="s">
        <v>321</v>
      </c>
      <c r="C125" s="1" t="s">
        <v>326</v>
      </c>
      <c r="D125" s="1" t="s">
        <v>326</v>
      </c>
      <c r="E125" s="1" t="s">
        <v>326</v>
      </c>
      <c r="F125" t="s">
        <v>327</v>
      </c>
      <c r="G125" t="s">
        <v>328</v>
      </c>
      <c r="H125" t="s">
        <v>49</v>
      </c>
      <c r="I125" t="s">
        <v>92</v>
      </c>
      <c r="J125">
        <v>12.4</v>
      </c>
      <c r="K125" t="e">
        <f>IF(COUNTIF(#REF!,Tabela2[[#This Row],[IdxWspolny]])&gt;0,"ELEM_lub_PRD","TECHN")</f>
        <v>#REF!</v>
      </c>
      <c r="L125" t="e">
        <f>IF(COUNTIF(#REF!,Tabela2[[#This Row],[KOD_PRODUKTU]])&gt;0,"ELEMENT","PRODUKT")</f>
        <v>#REF!</v>
      </c>
      <c r="M125" t="e">
        <f>COUNTIF(#REF!,Tabela2[[#This Row],[KOD_PRODUKTU]])</f>
        <v>#REF!</v>
      </c>
      <c r="N125" t="s">
        <v>55</v>
      </c>
    </row>
    <row r="126" spans="1:14" x14ac:dyDescent="0.25">
      <c r="A126" s="1" t="s">
        <v>320</v>
      </c>
      <c r="B126" t="s">
        <v>321</v>
      </c>
      <c r="C126" s="1" t="s">
        <v>7</v>
      </c>
      <c r="D126" s="1" t="s">
        <v>7</v>
      </c>
      <c r="E126" s="1" t="s">
        <v>7</v>
      </c>
      <c r="F126" t="s">
        <v>8</v>
      </c>
      <c r="G126" t="s">
        <v>9</v>
      </c>
      <c r="H126" t="s">
        <v>10</v>
      </c>
      <c r="I126" t="s">
        <v>152</v>
      </c>
      <c r="J126">
        <v>5.7</v>
      </c>
      <c r="K126" t="e">
        <f>IF(COUNTIF(#REF!,Tabela2[[#This Row],[IdxWspolny]])&gt;0,"ELEM_lub_PRD","TECHN")</f>
        <v>#REF!</v>
      </c>
      <c r="L126" t="e">
        <f>IF(COUNTIF(#REF!,Tabela2[[#This Row],[KOD_PRODUKTU]])&gt;0,"ELEMENT","PRODUKT")</f>
        <v>#REF!</v>
      </c>
      <c r="M126" t="e">
        <f>COUNTIF(#REF!,Tabela2[[#This Row],[KOD_PRODUKTU]])</f>
        <v>#REF!</v>
      </c>
    </row>
    <row r="127" spans="1:14" x14ac:dyDescent="0.25">
      <c r="A127" s="1" t="s">
        <v>329</v>
      </c>
      <c r="B127" t="s">
        <v>330</v>
      </c>
      <c r="C127" s="1" t="s">
        <v>115</v>
      </c>
      <c r="D127" s="1" t="s">
        <v>115</v>
      </c>
      <c r="E127" s="1" t="s">
        <v>115</v>
      </c>
      <c r="F127" t="s">
        <v>116</v>
      </c>
      <c r="G127" t="s">
        <v>117</v>
      </c>
      <c r="H127" t="s">
        <v>39</v>
      </c>
      <c r="I127" t="s">
        <v>40</v>
      </c>
      <c r="J127">
        <v>0.2</v>
      </c>
      <c r="K127" t="e">
        <f>IF(COUNTIF(#REF!,Tabela2[[#This Row],[IdxWspolny]])&gt;0,"ELEM_lub_PRD","TECHN")</f>
        <v>#REF!</v>
      </c>
      <c r="L127" t="e">
        <f>IF(COUNTIF(#REF!,Tabela2[[#This Row],[KOD_PRODUKTU]])&gt;0,"ELEMENT","PRODUKT")</f>
        <v>#REF!</v>
      </c>
      <c r="M127" t="e">
        <f>COUNTIF(#REF!,Tabela2[[#This Row],[KOD_PRODUKTU]])</f>
        <v>#REF!</v>
      </c>
    </row>
    <row r="128" spans="1:14" hidden="1" x14ac:dyDescent="0.25">
      <c r="A128" s="1" t="s">
        <v>329</v>
      </c>
      <c r="B128" t="s">
        <v>330</v>
      </c>
      <c r="C128" s="1" t="s">
        <v>331</v>
      </c>
      <c r="D128" s="1" t="s">
        <v>331</v>
      </c>
      <c r="E128" s="1" t="s">
        <v>331</v>
      </c>
      <c r="F128" t="s">
        <v>332</v>
      </c>
      <c r="G128" t="s">
        <v>333</v>
      </c>
      <c r="H128" t="s">
        <v>121</v>
      </c>
      <c r="I128" t="s">
        <v>50</v>
      </c>
      <c r="J128">
        <v>12.3</v>
      </c>
      <c r="K128" t="e">
        <f>IF(COUNTIF(#REF!,Tabela2[[#This Row],[IdxWspolny]])&gt;0,"ELEM_lub_PRD","TECHN")</f>
        <v>#REF!</v>
      </c>
      <c r="L128" t="e">
        <f>IF(COUNTIF(#REF!,Tabela2[[#This Row],[KOD_PRODUKTU]])&gt;0,"ELEMENT","PRODUKT")</f>
        <v>#REF!</v>
      </c>
      <c r="M128" t="e">
        <f>COUNTIF(#REF!,Tabela2[[#This Row],[KOD_PRODUKTU]])</f>
        <v>#REF!</v>
      </c>
      <c r="N128" t="s">
        <v>55</v>
      </c>
    </row>
    <row r="129" spans="1:14" hidden="1" x14ac:dyDescent="0.25">
      <c r="A129" s="1" t="s">
        <v>329</v>
      </c>
      <c r="B129" t="s">
        <v>330</v>
      </c>
      <c r="C129" s="1" t="s">
        <v>334</v>
      </c>
      <c r="D129" s="1" t="s">
        <v>334</v>
      </c>
      <c r="E129" s="1" t="s">
        <v>334</v>
      </c>
      <c r="F129" t="s">
        <v>335</v>
      </c>
      <c r="G129" t="s">
        <v>336</v>
      </c>
      <c r="H129" t="s">
        <v>121</v>
      </c>
      <c r="I129" t="s">
        <v>50</v>
      </c>
      <c r="J129">
        <v>2.6</v>
      </c>
      <c r="K129" t="e">
        <f>IF(COUNTIF(#REF!,Tabela2[[#This Row],[IdxWspolny]])&gt;0,"ELEM_lub_PRD","TECHN")</f>
        <v>#REF!</v>
      </c>
      <c r="L129" t="e">
        <f>IF(COUNTIF(#REF!,Tabela2[[#This Row],[KOD_PRODUKTU]])&gt;0,"ELEMENT","PRODUKT")</f>
        <v>#REF!</v>
      </c>
      <c r="M129" t="e">
        <f>COUNTIF(#REF!,Tabela2[[#This Row],[KOD_PRODUKTU]])</f>
        <v>#REF!</v>
      </c>
      <c r="N129" t="s">
        <v>55</v>
      </c>
    </row>
    <row r="130" spans="1:14" hidden="1" x14ac:dyDescent="0.25">
      <c r="A130" s="1" t="s">
        <v>329</v>
      </c>
      <c r="B130" t="s">
        <v>330</v>
      </c>
      <c r="C130" s="1" t="s">
        <v>337</v>
      </c>
      <c r="D130" s="1" t="s">
        <v>337</v>
      </c>
      <c r="E130" s="1" t="s">
        <v>337</v>
      </c>
      <c r="F130" t="s">
        <v>338</v>
      </c>
      <c r="G130" t="s">
        <v>336</v>
      </c>
      <c r="H130" t="s">
        <v>121</v>
      </c>
      <c r="I130" t="s">
        <v>50</v>
      </c>
      <c r="J130">
        <v>2.6</v>
      </c>
      <c r="K130" t="e">
        <f>IF(COUNTIF(#REF!,Tabela2[[#This Row],[IdxWspolny]])&gt;0,"ELEM_lub_PRD","TECHN")</f>
        <v>#REF!</v>
      </c>
      <c r="L130" t="e">
        <f>IF(COUNTIF(#REF!,Tabela2[[#This Row],[KOD_PRODUKTU]])&gt;0,"ELEMENT","PRODUKT")</f>
        <v>#REF!</v>
      </c>
      <c r="M130" t="e">
        <f>COUNTIF(#REF!,Tabela2[[#This Row],[KOD_PRODUKTU]])</f>
        <v>#REF!</v>
      </c>
      <c r="N130" t="s">
        <v>55</v>
      </c>
    </row>
    <row r="131" spans="1:14" hidden="1" x14ac:dyDescent="0.25">
      <c r="A131" s="1" t="s">
        <v>329</v>
      </c>
      <c r="B131" t="s">
        <v>330</v>
      </c>
      <c r="C131" s="1" t="s">
        <v>339</v>
      </c>
      <c r="D131" s="1" t="s">
        <v>339</v>
      </c>
      <c r="E131" s="1" t="s">
        <v>339</v>
      </c>
      <c r="F131" t="s">
        <v>340</v>
      </c>
      <c r="G131" t="s">
        <v>336</v>
      </c>
      <c r="H131" t="s">
        <v>121</v>
      </c>
      <c r="I131" t="s">
        <v>50</v>
      </c>
      <c r="J131">
        <v>2.6</v>
      </c>
      <c r="K131" t="e">
        <f>IF(COUNTIF(#REF!,Tabela2[[#This Row],[IdxWspolny]])&gt;0,"ELEM_lub_PRD","TECHN")</f>
        <v>#REF!</v>
      </c>
      <c r="L131" t="e">
        <f>IF(COUNTIF(#REF!,Tabela2[[#This Row],[KOD_PRODUKTU]])&gt;0,"ELEMENT","PRODUKT")</f>
        <v>#REF!</v>
      </c>
      <c r="M131" t="e">
        <f>COUNTIF(#REF!,Tabela2[[#This Row],[KOD_PRODUKTU]])</f>
        <v>#REF!</v>
      </c>
      <c r="N131" t="s">
        <v>55</v>
      </c>
    </row>
    <row r="132" spans="1:14" hidden="1" x14ac:dyDescent="0.25">
      <c r="A132" s="1" t="s">
        <v>329</v>
      </c>
      <c r="B132" t="s">
        <v>330</v>
      </c>
      <c r="C132" s="1" t="s">
        <v>341</v>
      </c>
      <c r="D132" s="1" t="s">
        <v>341</v>
      </c>
      <c r="E132" s="1" t="s">
        <v>341</v>
      </c>
      <c r="F132" t="s">
        <v>342</v>
      </c>
      <c r="G132" t="s">
        <v>343</v>
      </c>
      <c r="H132" t="s">
        <v>121</v>
      </c>
      <c r="I132" t="s">
        <v>122</v>
      </c>
      <c r="J132">
        <v>13.6</v>
      </c>
      <c r="K132" t="e">
        <f>IF(COUNTIF(#REF!,Tabela2[[#This Row],[IdxWspolny]])&gt;0,"ELEM_lub_PRD","TECHN")</f>
        <v>#REF!</v>
      </c>
      <c r="L132" t="e">
        <f>IF(COUNTIF(#REF!,Tabela2[[#This Row],[KOD_PRODUKTU]])&gt;0,"ELEMENT","PRODUKT")</f>
        <v>#REF!</v>
      </c>
      <c r="M132" t="e">
        <f>COUNTIF(#REF!,Tabela2[[#This Row],[KOD_PRODUKTU]])</f>
        <v>#REF!</v>
      </c>
      <c r="N132" t="s">
        <v>55</v>
      </c>
    </row>
    <row r="133" spans="1:14" x14ac:dyDescent="0.25">
      <c r="A133" s="1" t="s">
        <v>329</v>
      </c>
      <c r="B133" t="s">
        <v>330</v>
      </c>
      <c r="C133" s="1" t="s">
        <v>7</v>
      </c>
      <c r="D133" s="1" t="s">
        <v>7</v>
      </c>
      <c r="E133" s="1" t="s">
        <v>7</v>
      </c>
      <c r="F133" t="s">
        <v>8</v>
      </c>
      <c r="G133" t="s">
        <v>9</v>
      </c>
      <c r="H133" t="s">
        <v>10</v>
      </c>
      <c r="I133" t="s">
        <v>344</v>
      </c>
      <c r="J133">
        <v>5.5</v>
      </c>
      <c r="K133" t="e">
        <f>IF(COUNTIF(#REF!,Tabela2[[#This Row],[IdxWspolny]])&gt;0,"ELEM_lub_PRD","TECHN")</f>
        <v>#REF!</v>
      </c>
      <c r="L133" t="e">
        <f>IF(COUNTIF(#REF!,Tabela2[[#This Row],[KOD_PRODUKTU]])&gt;0,"ELEMENT","PRODUKT")</f>
        <v>#REF!</v>
      </c>
      <c r="M133" t="e">
        <f>COUNTIF(#REF!,Tabela2[[#This Row],[KOD_PRODUKTU]])</f>
        <v>#REF!</v>
      </c>
    </row>
    <row r="134" spans="1:14" hidden="1" x14ac:dyDescent="0.25">
      <c r="A134" s="1" t="s">
        <v>345</v>
      </c>
      <c r="B134" t="s">
        <v>346</v>
      </c>
      <c r="C134" s="1" t="s">
        <v>347</v>
      </c>
      <c r="D134" s="1" t="s">
        <v>348</v>
      </c>
      <c r="E134" s="1" t="s">
        <v>348</v>
      </c>
      <c r="F134" t="s">
        <v>349</v>
      </c>
      <c r="G134" t="s">
        <v>350</v>
      </c>
      <c r="H134" t="s">
        <v>49</v>
      </c>
      <c r="I134" t="s">
        <v>50</v>
      </c>
      <c r="J134">
        <v>14.95</v>
      </c>
      <c r="K134" t="e">
        <f>IF(COUNTIF(#REF!,Tabela2[[#This Row],[IdxWspolny]])&gt;0,"ELEM_lub_PRD","TECHN")</f>
        <v>#REF!</v>
      </c>
      <c r="L134" t="e">
        <f>IF(COUNTIF(#REF!,Tabela2[[#This Row],[KOD_PRODUKTU]])&gt;0,"ELEMENT","PRODUKT")</f>
        <v>#REF!</v>
      </c>
      <c r="M134" t="e">
        <f>COUNTIF(#REF!,Tabela2[[#This Row],[KOD_PRODUKTU]])</f>
        <v>#REF!</v>
      </c>
      <c r="N134" t="s">
        <v>51</v>
      </c>
    </row>
    <row r="135" spans="1:14" hidden="1" x14ac:dyDescent="0.25">
      <c r="A135" s="1" t="s">
        <v>345</v>
      </c>
      <c r="B135" t="s">
        <v>346</v>
      </c>
      <c r="C135" s="1" t="s">
        <v>351</v>
      </c>
      <c r="D135" s="1" t="s">
        <v>352</v>
      </c>
      <c r="E135" s="1" t="s">
        <v>352</v>
      </c>
      <c r="F135" t="s">
        <v>353</v>
      </c>
      <c r="G135" t="s">
        <v>354</v>
      </c>
      <c r="H135" t="s">
        <v>49</v>
      </c>
      <c r="I135" t="s">
        <v>50</v>
      </c>
      <c r="J135">
        <v>23.5</v>
      </c>
      <c r="K135" t="e">
        <f>IF(COUNTIF(#REF!,Tabela2[[#This Row],[IdxWspolny]])&gt;0,"ELEM_lub_PRD","TECHN")</f>
        <v>#REF!</v>
      </c>
      <c r="L135" t="e">
        <f>IF(COUNTIF(#REF!,Tabela2[[#This Row],[KOD_PRODUKTU]])&gt;0,"ELEMENT","PRODUKT")</f>
        <v>#REF!</v>
      </c>
      <c r="M135" t="e">
        <f>COUNTIF(#REF!,Tabela2[[#This Row],[KOD_PRODUKTU]])</f>
        <v>#REF!</v>
      </c>
      <c r="N135" t="s">
        <v>51</v>
      </c>
    </row>
    <row r="136" spans="1:14" hidden="1" x14ac:dyDescent="0.25">
      <c r="A136" s="1" t="s">
        <v>345</v>
      </c>
      <c r="B136" t="s">
        <v>346</v>
      </c>
      <c r="C136" s="1" t="s">
        <v>355</v>
      </c>
      <c r="D136" s="1" t="s">
        <v>355</v>
      </c>
      <c r="E136" s="1" t="s">
        <v>355</v>
      </c>
      <c r="F136" t="s">
        <v>356</v>
      </c>
      <c r="G136" t="s">
        <v>357</v>
      </c>
      <c r="H136" t="s">
        <v>49</v>
      </c>
      <c r="I136" t="s">
        <v>50</v>
      </c>
      <c r="J136">
        <v>18.7</v>
      </c>
      <c r="K136" t="e">
        <f>IF(COUNTIF(#REF!,Tabela2[[#This Row],[IdxWspolny]])&gt;0,"ELEM_lub_PRD","TECHN")</f>
        <v>#REF!</v>
      </c>
      <c r="L136" t="e">
        <f>IF(COUNTIF(#REF!,Tabela2[[#This Row],[KOD_PRODUKTU]])&gt;0,"ELEMENT","PRODUKT")</f>
        <v>#REF!</v>
      </c>
      <c r="M136" t="e">
        <f>COUNTIF(#REF!,Tabela2[[#This Row],[KOD_PRODUKTU]])</f>
        <v>#REF!</v>
      </c>
      <c r="N136" t="s">
        <v>55</v>
      </c>
    </row>
    <row r="137" spans="1:14" hidden="1" x14ac:dyDescent="0.25">
      <c r="A137" s="1" t="s">
        <v>345</v>
      </c>
      <c r="B137" t="s">
        <v>346</v>
      </c>
      <c r="C137" s="1" t="s">
        <v>358</v>
      </c>
      <c r="D137" s="1" t="s">
        <v>358</v>
      </c>
      <c r="E137" s="1" t="s">
        <v>358</v>
      </c>
      <c r="F137" t="s">
        <v>359</v>
      </c>
      <c r="G137" t="s">
        <v>360</v>
      </c>
      <c r="H137" t="s">
        <v>49</v>
      </c>
      <c r="I137" t="s">
        <v>50</v>
      </c>
      <c r="J137">
        <v>17.23</v>
      </c>
      <c r="K137" t="e">
        <f>IF(COUNTIF(#REF!,Tabela2[[#This Row],[IdxWspolny]])&gt;0,"ELEM_lub_PRD","TECHN")</f>
        <v>#REF!</v>
      </c>
      <c r="L137" t="e">
        <f>IF(COUNTIF(#REF!,Tabela2[[#This Row],[KOD_PRODUKTU]])&gt;0,"ELEMENT","PRODUKT")</f>
        <v>#REF!</v>
      </c>
      <c r="M137" t="e">
        <f>COUNTIF(#REF!,Tabela2[[#This Row],[KOD_PRODUKTU]])</f>
        <v>#REF!</v>
      </c>
      <c r="N137" t="s">
        <v>55</v>
      </c>
    </row>
    <row r="138" spans="1:14" hidden="1" x14ac:dyDescent="0.25">
      <c r="A138" s="1" t="s">
        <v>345</v>
      </c>
      <c r="B138" t="s">
        <v>346</v>
      </c>
      <c r="C138" s="1" t="s">
        <v>361</v>
      </c>
      <c r="D138" s="1" t="s">
        <v>361</v>
      </c>
      <c r="E138" s="1" t="s">
        <v>361</v>
      </c>
      <c r="F138" t="s">
        <v>362</v>
      </c>
      <c r="G138" t="s">
        <v>363</v>
      </c>
      <c r="H138" t="s">
        <v>49</v>
      </c>
      <c r="I138" t="s">
        <v>50</v>
      </c>
      <c r="J138">
        <v>12.52</v>
      </c>
      <c r="K138" t="e">
        <f>IF(COUNTIF(#REF!,Tabela2[[#This Row],[IdxWspolny]])&gt;0,"ELEM_lub_PRD","TECHN")</f>
        <v>#REF!</v>
      </c>
      <c r="L138" t="e">
        <f>IF(COUNTIF(#REF!,Tabela2[[#This Row],[KOD_PRODUKTU]])&gt;0,"ELEMENT","PRODUKT")</f>
        <v>#REF!</v>
      </c>
      <c r="M138" t="e">
        <f>COUNTIF(#REF!,Tabela2[[#This Row],[KOD_PRODUKTU]])</f>
        <v>#REF!</v>
      </c>
      <c r="N138" t="s">
        <v>55</v>
      </c>
    </row>
    <row r="139" spans="1:14" hidden="1" x14ac:dyDescent="0.25">
      <c r="A139" s="1" t="s">
        <v>345</v>
      </c>
      <c r="B139" t="s">
        <v>346</v>
      </c>
      <c r="C139" s="1" t="s">
        <v>364</v>
      </c>
      <c r="D139" s="1" t="s">
        <v>364</v>
      </c>
      <c r="E139" s="1" t="s">
        <v>364</v>
      </c>
      <c r="F139" t="s">
        <v>365</v>
      </c>
      <c r="G139" t="s">
        <v>366</v>
      </c>
      <c r="H139" t="s">
        <v>49</v>
      </c>
      <c r="I139" t="s">
        <v>50</v>
      </c>
      <c r="J139">
        <v>10.45</v>
      </c>
      <c r="K139" t="e">
        <f>IF(COUNTIF(#REF!,Tabela2[[#This Row],[IdxWspolny]])&gt;0,"ELEM_lub_PRD","TECHN")</f>
        <v>#REF!</v>
      </c>
      <c r="L139" t="e">
        <f>IF(COUNTIF(#REF!,Tabela2[[#This Row],[KOD_PRODUKTU]])&gt;0,"ELEMENT","PRODUKT")</f>
        <v>#REF!</v>
      </c>
      <c r="M139" t="e">
        <f>COUNTIF(#REF!,Tabela2[[#This Row],[KOD_PRODUKTU]])</f>
        <v>#REF!</v>
      </c>
      <c r="N139" t="s">
        <v>55</v>
      </c>
    </row>
    <row r="140" spans="1:14" x14ac:dyDescent="0.25">
      <c r="A140" s="1" t="s">
        <v>345</v>
      </c>
      <c r="B140" t="s">
        <v>346</v>
      </c>
      <c r="C140" s="1" t="s">
        <v>7</v>
      </c>
      <c r="D140" s="1" t="s">
        <v>7</v>
      </c>
      <c r="E140" s="1" t="s">
        <v>7</v>
      </c>
      <c r="F140" t="s">
        <v>8</v>
      </c>
      <c r="G140" t="s">
        <v>9</v>
      </c>
      <c r="H140" t="s">
        <v>10</v>
      </c>
      <c r="I140" t="s">
        <v>367</v>
      </c>
      <c r="J140">
        <v>2.2999999999999998</v>
      </c>
      <c r="K140" t="e">
        <f>IF(COUNTIF(#REF!,Tabela2[[#This Row],[IdxWspolny]])&gt;0,"ELEM_lub_PRD","TECHN")</f>
        <v>#REF!</v>
      </c>
      <c r="L140" t="e">
        <f>IF(COUNTIF(#REF!,Tabela2[[#This Row],[KOD_PRODUKTU]])&gt;0,"ELEMENT","PRODUKT")</f>
        <v>#REF!</v>
      </c>
      <c r="M140" t="e">
        <f>COUNTIF(#REF!,Tabela2[[#This Row],[KOD_PRODUKTU]])</f>
        <v>#REF!</v>
      </c>
    </row>
    <row r="141" spans="1:14" x14ac:dyDescent="0.25">
      <c r="A141" s="1" t="s">
        <v>368</v>
      </c>
      <c r="B141" t="s">
        <v>369</v>
      </c>
      <c r="C141" s="1" t="s">
        <v>81</v>
      </c>
      <c r="D141" s="1" t="s">
        <v>81</v>
      </c>
      <c r="E141" s="1" t="s">
        <v>81</v>
      </c>
      <c r="F141" t="s">
        <v>82</v>
      </c>
      <c r="G141" t="s">
        <v>83</v>
      </c>
      <c r="H141" t="s">
        <v>39</v>
      </c>
      <c r="I141" t="s">
        <v>40</v>
      </c>
      <c r="J141">
        <v>0.15</v>
      </c>
      <c r="K141" t="e">
        <f>IF(COUNTIF(#REF!,Tabela2[[#This Row],[IdxWspolny]])&gt;0,"ELEM_lub_PRD","TECHN")</f>
        <v>#REF!</v>
      </c>
      <c r="L141" t="e">
        <f>IF(COUNTIF(#REF!,Tabela2[[#This Row],[KOD_PRODUKTU]])&gt;0,"ELEMENT","PRODUKT")</f>
        <v>#REF!</v>
      </c>
      <c r="M141" t="e">
        <f>COUNTIF(#REF!,Tabela2[[#This Row],[KOD_PRODUKTU]])</f>
        <v>#REF!</v>
      </c>
    </row>
    <row r="142" spans="1:14" hidden="1" x14ac:dyDescent="0.25">
      <c r="A142" s="1" t="s">
        <v>368</v>
      </c>
      <c r="B142" t="s">
        <v>369</v>
      </c>
      <c r="C142" s="1" t="s">
        <v>370</v>
      </c>
      <c r="D142" s="1" t="s">
        <v>370</v>
      </c>
      <c r="E142" s="1" t="s">
        <v>370</v>
      </c>
      <c r="F142" t="s">
        <v>371</v>
      </c>
      <c r="G142" t="s">
        <v>372</v>
      </c>
      <c r="H142" t="s">
        <v>121</v>
      </c>
      <c r="I142" t="s">
        <v>50</v>
      </c>
      <c r="J142">
        <v>94.05</v>
      </c>
      <c r="K142" t="e">
        <f>IF(COUNTIF(#REF!,Tabela2[[#This Row],[IdxWspolny]])&gt;0,"ELEM_lub_PRD","TECHN")</f>
        <v>#REF!</v>
      </c>
      <c r="L142" t="e">
        <f>IF(COUNTIF(#REF!,Tabela2[[#This Row],[KOD_PRODUKTU]])&gt;0,"ELEMENT","PRODUKT")</f>
        <v>#REF!</v>
      </c>
      <c r="M142" t="e">
        <f>COUNTIF(#REF!,Tabela2[[#This Row],[KOD_PRODUKTU]])</f>
        <v>#REF!</v>
      </c>
      <c r="N142" t="s">
        <v>55</v>
      </c>
    </row>
    <row r="143" spans="1:14" hidden="1" x14ac:dyDescent="0.25">
      <c r="A143" s="1" t="s">
        <v>368</v>
      </c>
      <c r="B143" t="s">
        <v>369</v>
      </c>
      <c r="C143" s="1" t="s">
        <v>373</v>
      </c>
      <c r="D143" s="1" t="s">
        <v>373</v>
      </c>
      <c r="E143" s="1" t="s">
        <v>373</v>
      </c>
      <c r="F143" t="s">
        <v>374</v>
      </c>
      <c r="G143" t="s">
        <v>375</v>
      </c>
      <c r="H143" t="s">
        <v>121</v>
      </c>
      <c r="I143" t="s">
        <v>92</v>
      </c>
      <c r="J143">
        <v>73.599999999999994</v>
      </c>
      <c r="K143" t="e">
        <f>IF(COUNTIF(#REF!,Tabela2[[#This Row],[IdxWspolny]])&gt;0,"ELEM_lub_PRD","TECHN")</f>
        <v>#REF!</v>
      </c>
      <c r="L143" t="e">
        <f>IF(COUNTIF(#REF!,Tabela2[[#This Row],[KOD_PRODUKTU]])&gt;0,"ELEMENT","PRODUKT")</f>
        <v>#REF!</v>
      </c>
      <c r="M143" t="e">
        <f>COUNTIF(#REF!,Tabela2[[#This Row],[KOD_PRODUKTU]])</f>
        <v>#REF!</v>
      </c>
      <c r="N143" t="s">
        <v>55</v>
      </c>
    </row>
    <row r="144" spans="1:14" hidden="1" x14ac:dyDescent="0.25">
      <c r="A144" s="1" t="s">
        <v>368</v>
      </c>
      <c r="B144" t="s">
        <v>369</v>
      </c>
      <c r="C144" s="1" t="s">
        <v>376</v>
      </c>
      <c r="D144" s="1" t="s">
        <v>376</v>
      </c>
      <c r="E144" s="1" t="s">
        <v>376</v>
      </c>
      <c r="F144" t="s">
        <v>377</v>
      </c>
      <c r="G144" t="s">
        <v>378</v>
      </c>
      <c r="H144" t="s">
        <v>121</v>
      </c>
      <c r="I144" t="s">
        <v>312</v>
      </c>
      <c r="J144">
        <v>9.1999999999999993</v>
      </c>
      <c r="K144" t="e">
        <f>IF(COUNTIF(#REF!,Tabela2[[#This Row],[IdxWspolny]])&gt;0,"ELEM_lub_PRD","TECHN")</f>
        <v>#REF!</v>
      </c>
      <c r="L144" t="e">
        <f>IF(COUNTIF(#REF!,Tabela2[[#This Row],[KOD_PRODUKTU]])&gt;0,"ELEMENT","PRODUKT")</f>
        <v>#REF!</v>
      </c>
      <c r="M144" t="e">
        <f>COUNTIF(#REF!,Tabela2[[#This Row],[KOD_PRODUKTU]])</f>
        <v>#REF!</v>
      </c>
      <c r="N144" t="s">
        <v>55</v>
      </c>
    </row>
    <row r="145" spans="1:14" x14ac:dyDescent="0.25">
      <c r="A145" s="1" t="s">
        <v>368</v>
      </c>
      <c r="B145" t="s">
        <v>369</v>
      </c>
      <c r="C145" s="1" t="s">
        <v>7</v>
      </c>
      <c r="D145" s="1" t="s">
        <v>7</v>
      </c>
      <c r="E145" s="1" t="s">
        <v>7</v>
      </c>
      <c r="F145" t="s">
        <v>8</v>
      </c>
      <c r="G145" t="s">
        <v>9</v>
      </c>
      <c r="H145" t="s">
        <v>10</v>
      </c>
      <c r="I145" t="s">
        <v>19</v>
      </c>
      <c r="J145">
        <v>4.5999999999999996</v>
      </c>
      <c r="K145" t="e">
        <f>IF(COUNTIF(#REF!,Tabela2[[#This Row],[IdxWspolny]])&gt;0,"ELEM_lub_PRD","TECHN")</f>
        <v>#REF!</v>
      </c>
      <c r="L145" t="e">
        <f>IF(COUNTIF(#REF!,Tabela2[[#This Row],[KOD_PRODUKTU]])&gt;0,"ELEMENT","PRODUKT")</f>
        <v>#REF!</v>
      </c>
      <c r="M145" t="e">
        <f>COUNTIF(#REF!,Tabela2[[#This Row],[KOD_PRODUKTU]])</f>
        <v>#REF!</v>
      </c>
    </row>
    <row r="146" spans="1:14" x14ac:dyDescent="0.25">
      <c r="A146" s="1" t="s">
        <v>379</v>
      </c>
      <c r="B146" t="s">
        <v>380</v>
      </c>
      <c r="C146" s="1" t="s">
        <v>36</v>
      </c>
      <c r="D146" s="1" t="s">
        <v>36</v>
      </c>
      <c r="E146" s="1" t="s">
        <v>36</v>
      </c>
      <c r="F146" t="s">
        <v>37</v>
      </c>
      <c r="G146" t="s">
        <v>38</v>
      </c>
      <c r="H146" t="s">
        <v>39</v>
      </c>
      <c r="I146" t="s">
        <v>40</v>
      </c>
      <c r="J146">
        <v>0.19</v>
      </c>
      <c r="K146" t="e">
        <f>IF(COUNTIF(#REF!,Tabela2[[#This Row],[IdxWspolny]])&gt;0,"ELEM_lub_PRD","TECHN")</f>
        <v>#REF!</v>
      </c>
      <c r="L146" t="e">
        <f>IF(COUNTIF(#REF!,Tabela2[[#This Row],[KOD_PRODUKTU]])&gt;0,"ELEMENT","PRODUKT")</f>
        <v>#REF!</v>
      </c>
      <c r="M146" t="e">
        <f>COUNTIF(#REF!,Tabela2[[#This Row],[KOD_PRODUKTU]])</f>
        <v>#REF!</v>
      </c>
    </row>
    <row r="147" spans="1:14" hidden="1" x14ac:dyDescent="0.25">
      <c r="A147" s="1" t="s">
        <v>379</v>
      </c>
      <c r="B147" t="s">
        <v>380</v>
      </c>
      <c r="C147" s="1" t="s">
        <v>381</v>
      </c>
      <c r="D147" s="1" t="s">
        <v>382</v>
      </c>
      <c r="E147" s="1" t="s">
        <v>382</v>
      </c>
      <c r="F147" t="s">
        <v>383</v>
      </c>
      <c r="G147" t="s">
        <v>384</v>
      </c>
      <c r="H147" t="s">
        <v>49</v>
      </c>
      <c r="I147" t="s">
        <v>50</v>
      </c>
      <c r="J147">
        <v>10.9</v>
      </c>
      <c r="K147" t="e">
        <f>IF(COUNTIF(#REF!,Tabela2[[#This Row],[IdxWspolny]])&gt;0,"ELEM_lub_PRD","TECHN")</f>
        <v>#REF!</v>
      </c>
      <c r="L147" t="e">
        <f>IF(COUNTIF(#REF!,Tabela2[[#This Row],[KOD_PRODUKTU]])&gt;0,"ELEMENT","PRODUKT")</f>
        <v>#REF!</v>
      </c>
      <c r="M147" t="e">
        <f>COUNTIF(#REF!,Tabela2[[#This Row],[KOD_PRODUKTU]])</f>
        <v>#REF!</v>
      </c>
      <c r="N147" t="s">
        <v>51</v>
      </c>
    </row>
    <row r="148" spans="1:14" hidden="1" x14ac:dyDescent="0.25">
      <c r="A148" s="1" t="s">
        <v>379</v>
      </c>
      <c r="B148" t="s">
        <v>380</v>
      </c>
      <c r="C148" s="1" t="s">
        <v>385</v>
      </c>
      <c r="D148" s="1" t="s">
        <v>385</v>
      </c>
      <c r="E148" s="1" t="s">
        <v>385</v>
      </c>
      <c r="F148" t="s">
        <v>386</v>
      </c>
      <c r="G148" t="s">
        <v>191</v>
      </c>
      <c r="H148" t="s">
        <v>49</v>
      </c>
      <c r="I148" t="s">
        <v>50</v>
      </c>
      <c r="J148">
        <v>12.8</v>
      </c>
      <c r="K148" t="e">
        <f>IF(COUNTIF(#REF!,Tabela2[[#This Row],[IdxWspolny]])&gt;0,"ELEM_lub_PRD","TECHN")</f>
        <v>#REF!</v>
      </c>
      <c r="L148" t="e">
        <f>IF(COUNTIF(#REF!,Tabela2[[#This Row],[KOD_PRODUKTU]])&gt;0,"ELEMENT","PRODUKT")</f>
        <v>#REF!</v>
      </c>
      <c r="M148" t="e">
        <f>COUNTIF(#REF!,Tabela2[[#This Row],[KOD_PRODUKTU]])</f>
        <v>#REF!</v>
      </c>
      <c r="N148" t="s">
        <v>55</v>
      </c>
    </row>
    <row r="149" spans="1:14" hidden="1" x14ac:dyDescent="0.25">
      <c r="A149" s="1" t="s">
        <v>379</v>
      </c>
      <c r="B149" t="s">
        <v>380</v>
      </c>
      <c r="C149" s="1" t="s">
        <v>387</v>
      </c>
      <c r="D149" s="1" t="s">
        <v>387</v>
      </c>
      <c r="E149" s="1" t="s">
        <v>387</v>
      </c>
      <c r="F149" t="s">
        <v>388</v>
      </c>
      <c r="G149" t="s">
        <v>87</v>
      </c>
      <c r="H149" t="s">
        <v>49</v>
      </c>
      <c r="I149" t="s">
        <v>50</v>
      </c>
      <c r="J149">
        <v>8.9</v>
      </c>
      <c r="K149" t="e">
        <f>IF(COUNTIF(#REF!,Tabela2[[#This Row],[IdxWspolny]])&gt;0,"ELEM_lub_PRD","TECHN")</f>
        <v>#REF!</v>
      </c>
      <c r="L149" t="e">
        <f>IF(COUNTIF(#REF!,Tabela2[[#This Row],[KOD_PRODUKTU]])&gt;0,"ELEMENT","PRODUKT")</f>
        <v>#REF!</v>
      </c>
      <c r="M149" t="e">
        <f>COUNTIF(#REF!,Tabela2[[#This Row],[KOD_PRODUKTU]])</f>
        <v>#REF!</v>
      </c>
      <c r="N149" t="s">
        <v>55</v>
      </c>
    </row>
    <row r="150" spans="1:14" hidden="1" x14ac:dyDescent="0.25">
      <c r="A150" s="1" t="s">
        <v>379</v>
      </c>
      <c r="B150" t="s">
        <v>380</v>
      </c>
      <c r="C150" s="1" t="s">
        <v>389</v>
      </c>
      <c r="D150" s="1" t="s">
        <v>389</v>
      </c>
      <c r="E150" s="1" t="s">
        <v>389</v>
      </c>
      <c r="F150" t="s">
        <v>390</v>
      </c>
      <c r="G150" t="s">
        <v>391</v>
      </c>
      <c r="H150" t="s">
        <v>49</v>
      </c>
      <c r="I150" t="s">
        <v>50</v>
      </c>
      <c r="J150">
        <v>11.75</v>
      </c>
      <c r="K150" t="e">
        <f>IF(COUNTIF(#REF!,Tabela2[[#This Row],[IdxWspolny]])&gt;0,"ELEM_lub_PRD","TECHN")</f>
        <v>#REF!</v>
      </c>
      <c r="L150" t="e">
        <f>IF(COUNTIF(#REF!,Tabela2[[#This Row],[KOD_PRODUKTU]])&gt;0,"ELEMENT","PRODUKT")</f>
        <v>#REF!</v>
      </c>
      <c r="M150" t="e">
        <f>COUNTIF(#REF!,Tabela2[[#This Row],[KOD_PRODUKTU]])</f>
        <v>#REF!</v>
      </c>
      <c r="N150" t="s">
        <v>55</v>
      </c>
    </row>
    <row r="151" spans="1:14" hidden="1" x14ac:dyDescent="0.25">
      <c r="A151" s="1" t="s">
        <v>379</v>
      </c>
      <c r="B151" t="s">
        <v>380</v>
      </c>
      <c r="C151" s="1" t="s">
        <v>392</v>
      </c>
      <c r="D151" s="1" t="s">
        <v>392</v>
      </c>
      <c r="E151" s="1" t="s">
        <v>392</v>
      </c>
      <c r="F151" t="s">
        <v>393</v>
      </c>
      <c r="G151" t="s">
        <v>394</v>
      </c>
      <c r="H151" t="s">
        <v>49</v>
      </c>
      <c r="I151" t="s">
        <v>50</v>
      </c>
      <c r="J151">
        <v>5.85</v>
      </c>
      <c r="K151" t="e">
        <f>IF(COUNTIF(#REF!,Tabela2[[#This Row],[IdxWspolny]])&gt;0,"ELEM_lub_PRD","TECHN")</f>
        <v>#REF!</v>
      </c>
      <c r="L151" t="e">
        <f>IF(COUNTIF(#REF!,Tabela2[[#This Row],[KOD_PRODUKTU]])&gt;0,"ELEMENT","PRODUKT")</f>
        <v>#REF!</v>
      </c>
      <c r="M151" t="e">
        <f>COUNTIF(#REF!,Tabela2[[#This Row],[KOD_PRODUKTU]])</f>
        <v>#REF!</v>
      </c>
      <c r="N151" t="s">
        <v>55</v>
      </c>
    </row>
    <row r="152" spans="1:14" hidden="1" x14ac:dyDescent="0.25">
      <c r="A152" s="1" t="s">
        <v>379</v>
      </c>
      <c r="B152" t="s">
        <v>380</v>
      </c>
      <c r="C152" s="1" t="s">
        <v>395</v>
      </c>
      <c r="D152" s="1" t="s">
        <v>395</v>
      </c>
      <c r="E152" s="1" t="s">
        <v>395</v>
      </c>
      <c r="F152" t="s">
        <v>396</v>
      </c>
      <c r="G152" t="s">
        <v>397</v>
      </c>
      <c r="H152" t="s">
        <v>49</v>
      </c>
      <c r="I152" t="s">
        <v>50</v>
      </c>
      <c r="J152">
        <v>4.8</v>
      </c>
      <c r="K152" t="e">
        <f>IF(COUNTIF(#REF!,Tabela2[[#This Row],[IdxWspolny]])&gt;0,"ELEM_lub_PRD","TECHN")</f>
        <v>#REF!</v>
      </c>
      <c r="L152" t="e">
        <f>IF(COUNTIF(#REF!,Tabela2[[#This Row],[KOD_PRODUKTU]])&gt;0,"ELEMENT","PRODUKT")</f>
        <v>#REF!</v>
      </c>
      <c r="M152" t="e">
        <f>COUNTIF(#REF!,Tabela2[[#This Row],[KOD_PRODUKTU]])</f>
        <v>#REF!</v>
      </c>
      <c r="N152" t="s">
        <v>55</v>
      </c>
    </row>
    <row r="153" spans="1:14" hidden="1" x14ac:dyDescent="0.25">
      <c r="A153" s="1" t="s">
        <v>379</v>
      </c>
      <c r="B153" t="s">
        <v>380</v>
      </c>
      <c r="C153" s="1" t="s">
        <v>398</v>
      </c>
      <c r="D153" s="1" t="s">
        <v>398</v>
      </c>
      <c r="E153" s="1" t="s">
        <v>398</v>
      </c>
      <c r="F153" t="s">
        <v>399</v>
      </c>
      <c r="G153" t="s">
        <v>400</v>
      </c>
      <c r="H153" t="s">
        <v>49</v>
      </c>
      <c r="I153" t="s">
        <v>50</v>
      </c>
      <c r="J153">
        <v>5.9</v>
      </c>
      <c r="K153" t="e">
        <f>IF(COUNTIF(#REF!,Tabela2[[#This Row],[IdxWspolny]])&gt;0,"ELEM_lub_PRD","TECHN")</f>
        <v>#REF!</v>
      </c>
      <c r="L153" t="e">
        <f>IF(COUNTIF(#REF!,Tabela2[[#This Row],[KOD_PRODUKTU]])&gt;0,"ELEMENT","PRODUKT")</f>
        <v>#REF!</v>
      </c>
      <c r="M153" t="e">
        <f>COUNTIF(#REF!,Tabela2[[#This Row],[KOD_PRODUKTU]])</f>
        <v>#REF!</v>
      </c>
      <c r="N153" t="s">
        <v>55</v>
      </c>
    </row>
    <row r="154" spans="1:14" hidden="1" x14ac:dyDescent="0.25">
      <c r="A154" s="1" t="s">
        <v>379</v>
      </c>
      <c r="B154" t="s">
        <v>380</v>
      </c>
      <c r="C154" s="1" t="s">
        <v>401</v>
      </c>
      <c r="D154" s="1" t="s">
        <v>401</v>
      </c>
      <c r="E154" s="1" t="s">
        <v>401</v>
      </c>
      <c r="F154" t="s">
        <v>402</v>
      </c>
      <c r="G154" t="s">
        <v>403</v>
      </c>
      <c r="H154" t="s">
        <v>49</v>
      </c>
      <c r="I154" t="s">
        <v>50</v>
      </c>
      <c r="J154">
        <v>6</v>
      </c>
      <c r="K154" t="e">
        <f>IF(COUNTIF(#REF!,Tabela2[[#This Row],[IdxWspolny]])&gt;0,"ELEM_lub_PRD","TECHN")</f>
        <v>#REF!</v>
      </c>
      <c r="L154" t="e">
        <f>IF(COUNTIF(#REF!,Tabela2[[#This Row],[KOD_PRODUKTU]])&gt;0,"ELEMENT","PRODUKT")</f>
        <v>#REF!</v>
      </c>
      <c r="M154" t="e">
        <f>COUNTIF(#REF!,Tabela2[[#This Row],[KOD_PRODUKTU]])</f>
        <v>#REF!</v>
      </c>
      <c r="N154" t="s">
        <v>55</v>
      </c>
    </row>
    <row r="155" spans="1:14" x14ac:dyDescent="0.25">
      <c r="A155" s="1" t="s">
        <v>379</v>
      </c>
      <c r="B155" t="s">
        <v>380</v>
      </c>
      <c r="C155" s="1" t="s">
        <v>7</v>
      </c>
      <c r="D155" s="1" t="s">
        <v>7</v>
      </c>
      <c r="E155" s="1" t="s">
        <v>7</v>
      </c>
      <c r="F155" t="s">
        <v>8</v>
      </c>
      <c r="G155" t="s">
        <v>9</v>
      </c>
      <c r="H155" t="s">
        <v>10</v>
      </c>
      <c r="I155" t="s">
        <v>404</v>
      </c>
      <c r="J155">
        <v>1.01</v>
      </c>
      <c r="K155" t="e">
        <f>IF(COUNTIF(#REF!,Tabela2[[#This Row],[IdxWspolny]])&gt;0,"ELEM_lub_PRD","TECHN")</f>
        <v>#REF!</v>
      </c>
      <c r="L155" t="e">
        <f>IF(COUNTIF(#REF!,Tabela2[[#This Row],[KOD_PRODUKTU]])&gt;0,"ELEMENT","PRODUKT")</f>
        <v>#REF!</v>
      </c>
      <c r="M155" t="e">
        <f>COUNTIF(#REF!,Tabela2[[#This Row],[KOD_PRODUKTU]])</f>
        <v>#REF!</v>
      </c>
    </row>
    <row r="156" spans="1:14" hidden="1" x14ac:dyDescent="0.25">
      <c r="A156" s="1" t="s">
        <v>405</v>
      </c>
      <c r="B156" t="s">
        <v>406</v>
      </c>
      <c r="C156" s="1" t="s">
        <v>407</v>
      </c>
      <c r="D156" s="1" t="s">
        <v>407</v>
      </c>
      <c r="E156" s="1" t="s">
        <v>407</v>
      </c>
      <c r="F156" t="s">
        <v>408</v>
      </c>
      <c r="G156" t="s">
        <v>409</v>
      </c>
      <c r="H156" t="s">
        <v>49</v>
      </c>
      <c r="I156" t="s">
        <v>122</v>
      </c>
      <c r="J156">
        <v>5</v>
      </c>
      <c r="K156" t="e">
        <f>IF(COUNTIF(#REF!,Tabela2[[#This Row],[IdxWspolny]])&gt;0,"ELEM_lub_PRD","TECHN")</f>
        <v>#REF!</v>
      </c>
      <c r="L156" t="e">
        <f>IF(COUNTIF(#REF!,Tabela2[[#This Row],[KOD_PRODUKTU]])&gt;0,"ELEMENT","PRODUKT")</f>
        <v>#REF!</v>
      </c>
      <c r="M156" t="e">
        <f>COUNTIF(#REF!,Tabela2[[#This Row],[KOD_PRODUKTU]])</f>
        <v>#REF!</v>
      </c>
      <c r="N156" t="s">
        <v>55</v>
      </c>
    </row>
    <row r="157" spans="1:14" hidden="1" x14ac:dyDescent="0.25">
      <c r="A157" s="1" t="s">
        <v>405</v>
      </c>
      <c r="B157" t="s">
        <v>406</v>
      </c>
      <c r="C157" s="1" t="s">
        <v>410</v>
      </c>
      <c r="D157" s="1" t="s">
        <v>410</v>
      </c>
      <c r="E157" s="1" t="s">
        <v>410</v>
      </c>
      <c r="F157" t="s">
        <v>411</v>
      </c>
      <c r="G157" t="s">
        <v>409</v>
      </c>
      <c r="H157" t="s">
        <v>49</v>
      </c>
      <c r="I157" t="s">
        <v>122</v>
      </c>
      <c r="J157">
        <v>5</v>
      </c>
      <c r="K157" t="e">
        <f>IF(COUNTIF(#REF!,Tabela2[[#This Row],[IdxWspolny]])&gt;0,"ELEM_lub_PRD","TECHN")</f>
        <v>#REF!</v>
      </c>
      <c r="L157" t="e">
        <f>IF(COUNTIF(#REF!,Tabela2[[#This Row],[KOD_PRODUKTU]])&gt;0,"ELEMENT","PRODUKT")</f>
        <v>#REF!</v>
      </c>
      <c r="M157" t="e">
        <f>COUNTIF(#REF!,Tabela2[[#This Row],[KOD_PRODUKTU]])</f>
        <v>#REF!</v>
      </c>
      <c r="N157" t="s">
        <v>55</v>
      </c>
    </row>
    <row r="158" spans="1:14" hidden="1" x14ac:dyDescent="0.25">
      <c r="A158" s="1" t="s">
        <v>405</v>
      </c>
      <c r="B158" t="s">
        <v>406</v>
      </c>
      <c r="C158" s="1" t="s">
        <v>412</v>
      </c>
      <c r="D158" s="1" t="s">
        <v>412</v>
      </c>
      <c r="E158" s="1" t="s">
        <v>412</v>
      </c>
      <c r="F158" t="s">
        <v>413</v>
      </c>
      <c r="G158" t="s">
        <v>414</v>
      </c>
      <c r="H158" t="s">
        <v>49</v>
      </c>
      <c r="I158" t="s">
        <v>50</v>
      </c>
      <c r="J158">
        <v>21.4</v>
      </c>
      <c r="K158" t="e">
        <f>IF(COUNTIF(#REF!,Tabela2[[#This Row],[IdxWspolny]])&gt;0,"ELEM_lub_PRD","TECHN")</f>
        <v>#REF!</v>
      </c>
      <c r="L158" t="e">
        <f>IF(COUNTIF(#REF!,Tabela2[[#This Row],[KOD_PRODUKTU]])&gt;0,"ELEMENT","PRODUKT")</f>
        <v>#REF!</v>
      </c>
      <c r="M158" t="e">
        <f>COUNTIF(#REF!,Tabela2[[#This Row],[KOD_PRODUKTU]])</f>
        <v>#REF!</v>
      </c>
      <c r="N158" t="s">
        <v>55</v>
      </c>
    </row>
    <row r="159" spans="1:14" hidden="1" x14ac:dyDescent="0.25">
      <c r="A159" s="1" t="s">
        <v>405</v>
      </c>
      <c r="B159" t="s">
        <v>406</v>
      </c>
      <c r="C159" s="1" t="s">
        <v>415</v>
      </c>
      <c r="D159" s="1" t="s">
        <v>415</v>
      </c>
      <c r="E159" s="1" t="s">
        <v>415</v>
      </c>
      <c r="F159" t="s">
        <v>416</v>
      </c>
      <c r="G159" t="s">
        <v>417</v>
      </c>
      <c r="H159" t="s">
        <v>49</v>
      </c>
      <c r="I159" t="s">
        <v>50</v>
      </c>
      <c r="J159">
        <v>7.36</v>
      </c>
      <c r="K159" t="e">
        <f>IF(COUNTIF(#REF!,Tabela2[[#This Row],[IdxWspolny]])&gt;0,"ELEM_lub_PRD","TECHN")</f>
        <v>#REF!</v>
      </c>
      <c r="L159" t="e">
        <f>IF(COUNTIF(#REF!,Tabela2[[#This Row],[KOD_PRODUKTU]])&gt;0,"ELEMENT","PRODUKT")</f>
        <v>#REF!</v>
      </c>
      <c r="M159" t="e">
        <f>COUNTIF(#REF!,Tabela2[[#This Row],[KOD_PRODUKTU]])</f>
        <v>#REF!</v>
      </c>
      <c r="N159" t="s">
        <v>55</v>
      </c>
    </row>
    <row r="160" spans="1:14" hidden="1" x14ac:dyDescent="0.25">
      <c r="A160" s="1" t="s">
        <v>405</v>
      </c>
      <c r="B160" t="s">
        <v>406</v>
      </c>
      <c r="C160" s="1" t="s">
        <v>418</v>
      </c>
      <c r="D160" s="1" t="s">
        <v>418</v>
      </c>
      <c r="E160" s="1" t="s">
        <v>418</v>
      </c>
      <c r="F160" t="s">
        <v>419</v>
      </c>
      <c r="G160" t="s">
        <v>420</v>
      </c>
      <c r="H160" t="s">
        <v>49</v>
      </c>
      <c r="I160" t="s">
        <v>50</v>
      </c>
      <c r="J160">
        <v>12.34</v>
      </c>
      <c r="K160" t="e">
        <f>IF(COUNTIF(#REF!,Tabela2[[#This Row],[IdxWspolny]])&gt;0,"ELEM_lub_PRD","TECHN")</f>
        <v>#REF!</v>
      </c>
      <c r="L160" t="e">
        <f>IF(COUNTIF(#REF!,Tabela2[[#This Row],[KOD_PRODUKTU]])&gt;0,"ELEMENT","PRODUKT")</f>
        <v>#REF!</v>
      </c>
      <c r="M160" t="e">
        <f>COUNTIF(#REF!,Tabela2[[#This Row],[KOD_PRODUKTU]])</f>
        <v>#REF!</v>
      </c>
      <c r="N160" t="s">
        <v>55</v>
      </c>
    </row>
    <row r="161" spans="1:14" hidden="1" x14ac:dyDescent="0.25">
      <c r="A161" s="1" t="s">
        <v>405</v>
      </c>
      <c r="B161" t="s">
        <v>406</v>
      </c>
      <c r="C161" s="1" t="s">
        <v>421</v>
      </c>
      <c r="D161" s="1" t="s">
        <v>421</v>
      </c>
      <c r="E161" s="1" t="s">
        <v>421</v>
      </c>
      <c r="F161" t="s">
        <v>422</v>
      </c>
      <c r="G161" t="s">
        <v>423</v>
      </c>
      <c r="H161" t="s">
        <v>49</v>
      </c>
      <c r="I161" t="s">
        <v>50</v>
      </c>
      <c r="J161">
        <v>2.8</v>
      </c>
      <c r="K161" t="e">
        <f>IF(COUNTIF(#REF!,Tabela2[[#This Row],[IdxWspolny]])&gt;0,"ELEM_lub_PRD","TECHN")</f>
        <v>#REF!</v>
      </c>
      <c r="L161" t="e">
        <f>IF(COUNTIF(#REF!,Tabela2[[#This Row],[KOD_PRODUKTU]])&gt;0,"ELEMENT","PRODUKT")</f>
        <v>#REF!</v>
      </c>
      <c r="M161" t="e">
        <f>COUNTIF(#REF!,Tabela2[[#This Row],[KOD_PRODUKTU]])</f>
        <v>#REF!</v>
      </c>
      <c r="N161" t="s">
        <v>55</v>
      </c>
    </row>
    <row r="162" spans="1:14" hidden="1" x14ac:dyDescent="0.25">
      <c r="A162" s="1" t="s">
        <v>405</v>
      </c>
      <c r="B162" t="s">
        <v>406</v>
      </c>
      <c r="C162" s="1" t="s">
        <v>424</v>
      </c>
      <c r="D162" s="1" t="s">
        <v>424</v>
      </c>
      <c r="E162" s="1" t="s">
        <v>424</v>
      </c>
      <c r="F162" t="s">
        <v>425</v>
      </c>
      <c r="G162" t="s">
        <v>426</v>
      </c>
      <c r="H162" t="s">
        <v>49</v>
      </c>
      <c r="I162" t="s">
        <v>50</v>
      </c>
      <c r="J162">
        <v>98.22</v>
      </c>
      <c r="K162" t="e">
        <f>IF(COUNTIF(#REF!,Tabela2[[#This Row],[IdxWspolny]])&gt;0,"ELEM_lub_PRD","TECHN")</f>
        <v>#REF!</v>
      </c>
      <c r="L162" t="e">
        <f>IF(COUNTIF(#REF!,Tabela2[[#This Row],[KOD_PRODUKTU]])&gt;0,"ELEMENT","PRODUKT")</f>
        <v>#REF!</v>
      </c>
      <c r="M162" t="e">
        <f>COUNTIF(#REF!,Tabela2[[#This Row],[KOD_PRODUKTU]])</f>
        <v>#REF!</v>
      </c>
      <c r="N162" t="s">
        <v>55</v>
      </c>
    </row>
    <row r="163" spans="1:14" x14ac:dyDescent="0.25">
      <c r="A163" s="1" t="s">
        <v>405</v>
      </c>
      <c r="B163" t="s">
        <v>406</v>
      </c>
      <c r="C163" s="1" t="s">
        <v>7</v>
      </c>
      <c r="D163" s="1" t="s">
        <v>7</v>
      </c>
      <c r="E163" s="1" t="s">
        <v>7</v>
      </c>
      <c r="F163" t="s">
        <v>8</v>
      </c>
      <c r="G163" t="s">
        <v>9</v>
      </c>
      <c r="H163" t="s">
        <v>10</v>
      </c>
      <c r="I163" t="s">
        <v>19</v>
      </c>
      <c r="J163">
        <v>4.5999999999999996</v>
      </c>
      <c r="K163" t="e">
        <f>IF(COUNTIF(#REF!,Tabela2[[#This Row],[IdxWspolny]])&gt;0,"ELEM_lub_PRD","TECHN")</f>
        <v>#REF!</v>
      </c>
      <c r="L163" t="e">
        <f>IF(COUNTIF(#REF!,Tabela2[[#This Row],[KOD_PRODUKTU]])&gt;0,"ELEMENT","PRODUKT")</f>
        <v>#REF!</v>
      </c>
      <c r="M163" t="e">
        <f>COUNTIF(#REF!,Tabela2[[#This Row],[KOD_PRODUKTU]])</f>
        <v>#REF!</v>
      </c>
    </row>
    <row r="164" spans="1:14" x14ac:dyDescent="0.25">
      <c r="A164" s="1" t="s">
        <v>427</v>
      </c>
      <c r="B164" t="s">
        <v>428</v>
      </c>
      <c r="C164" s="1" t="s">
        <v>429</v>
      </c>
      <c r="D164" s="1" t="s">
        <v>429</v>
      </c>
      <c r="E164" s="1" t="s">
        <v>429</v>
      </c>
      <c r="F164" t="s">
        <v>430</v>
      </c>
      <c r="G164" t="s">
        <v>145</v>
      </c>
      <c r="H164" t="s">
        <v>5</v>
      </c>
      <c r="I164" t="s">
        <v>431</v>
      </c>
      <c r="J164">
        <v>3.35</v>
      </c>
      <c r="K164" t="e">
        <f>IF(COUNTIF(#REF!,Tabela2[[#This Row],[IdxWspolny]])&gt;0,"ELEM_lub_PRD","TECHN")</f>
        <v>#REF!</v>
      </c>
      <c r="L164" t="e">
        <f>IF(COUNTIF(#REF!,Tabela2[[#This Row],[KOD_PRODUKTU]])&gt;0,"ELEMENT","PRODUKT")</f>
        <v>#REF!</v>
      </c>
      <c r="M164" t="e">
        <f>COUNTIF(#REF!,Tabela2[[#This Row],[KOD_PRODUKTU]])</f>
        <v>#REF!</v>
      </c>
    </row>
    <row r="165" spans="1:14" x14ac:dyDescent="0.25">
      <c r="A165" s="1" t="s">
        <v>427</v>
      </c>
      <c r="B165" t="s">
        <v>428</v>
      </c>
      <c r="C165" s="1" t="s">
        <v>432</v>
      </c>
      <c r="D165" s="1" t="s">
        <v>432</v>
      </c>
      <c r="E165" s="1" t="s">
        <v>432</v>
      </c>
      <c r="F165" t="s">
        <v>433</v>
      </c>
      <c r="G165" t="s">
        <v>434</v>
      </c>
      <c r="H165" t="s">
        <v>435</v>
      </c>
      <c r="I165" t="s">
        <v>268</v>
      </c>
      <c r="J165">
        <v>3.3</v>
      </c>
      <c r="K165" t="e">
        <f>IF(COUNTIF(#REF!,Tabela2[[#This Row],[IdxWspolny]])&gt;0,"ELEM_lub_PRD","TECHN")</f>
        <v>#REF!</v>
      </c>
      <c r="L165" t="e">
        <f>IF(COUNTIF(#REF!,Tabela2[[#This Row],[KOD_PRODUKTU]])&gt;0,"ELEMENT","PRODUKT")</f>
        <v>#REF!</v>
      </c>
      <c r="M165" t="e">
        <f>COUNTIF(#REF!,Tabela2[[#This Row],[KOD_PRODUKTU]])</f>
        <v>#REF!</v>
      </c>
    </row>
    <row r="166" spans="1:14" x14ac:dyDescent="0.25">
      <c r="A166" s="1" t="s">
        <v>427</v>
      </c>
      <c r="B166" t="s">
        <v>428</v>
      </c>
      <c r="C166" s="1" t="s">
        <v>7</v>
      </c>
      <c r="D166" s="1" t="s">
        <v>7</v>
      </c>
      <c r="E166" s="1" t="s">
        <v>7</v>
      </c>
      <c r="F166" t="s">
        <v>8</v>
      </c>
      <c r="G166" t="s">
        <v>9</v>
      </c>
      <c r="H166" t="s">
        <v>10</v>
      </c>
      <c r="I166" t="s">
        <v>436</v>
      </c>
      <c r="J166">
        <v>5.95</v>
      </c>
      <c r="K166" t="e">
        <f>IF(COUNTIF(#REF!,Tabela2[[#This Row],[IdxWspolny]])&gt;0,"ELEM_lub_PRD","TECHN")</f>
        <v>#REF!</v>
      </c>
      <c r="L166" t="e">
        <f>IF(COUNTIF(#REF!,Tabela2[[#This Row],[KOD_PRODUKTU]])&gt;0,"ELEMENT","PRODUKT")</f>
        <v>#REF!</v>
      </c>
      <c r="M166" t="e">
        <f>COUNTIF(#REF!,Tabela2[[#This Row],[KOD_PRODUKTU]])</f>
        <v>#REF!</v>
      </c>
    </row>
    <row r="167" spans="1:14" x14ac:dyDescent="0.25">
      <c r="A167" s="1" t="s">
        <v>437</v>
      </c>
      <c r="B167" t="s">
        <v>438</v>
      </c>
      <c r="C167" s="1" t="s">
        <v>81</v>
      </c>
      <c r="D167" s="1" t="s">
        <v>81</v>
      </c>
      <c r="E167" s="1" t="s">
        <v>81</v>
      </c>
      <c r="F167" t="s">
        <v>82</v>
      </c>
      <c r="G167" t="s">
        <v>83</v>
      </c>
      <c r="H167" t="s">
        <v>39</v>
      </c>
      <c r="I167" t="s">
        <v>40</v>
      </c>
      <c r="J167">
        <v>0.15</v>
      </c>
      <c r="K167" t="e">
        <f>IF(COUNTIF(#REF!,Tabela2[[#This Row],[IdxWspolny]])&gt;0,"ELEM_lub_PRD","TECHN")</f>
        <v>#REF!</v>
      </c>
      <c r="L167" t="e">
        <f>IF(COUNTIF(#REF!,Tabela2[[#This Row],[KOD_PRODUKTU]])&gt;0,"ELEMENT","PRODUKT")</f>
        <v>#REF!</v>
      </c>
      <c r="M167" t="e">
        <f>COUNTIF(#REF!,Tabela2[[#This Row],[KOD_PRODUKTU]])</f>
        <v>#REF!</v>
      </c>
    </row>
    <row r="168" spans="1:14" hidden="1" x14ac:dyDescent="0.25">
      <c r="A168" s="1" t="s">
        <v>437</v>
      </c>
      <c r="B168" t="s">
        <v>438</v>
      </c>
      <c r="C168" s="1" t="s">
        <v>84</v>
      </c>
      <c r="D168" s="1" t="s">
        <v>85</v>
      </c>
      <c r="E168" s="1" t="s">
        <v>85</v>
      </c>
      <c r="F168" t="s">
        <v>86</v>
      </c>
      <c r="G168" t="s">
        <v>87</v>
      </c>
      <c r="H168" t="s">
        <v>49</v>
      </c>
      <c r="I168" t="s">
        <v>50</v>
      </c>
      <c r="J168">
        <v>8.9</v>
      </c>
      <c r="K168" t="e">
        <f>IF(COUNTIF(#REF!,Tabela2[[#This Row],[IdxWspolny]])&gt;0,"ELEM_lub_PRD","TECHN")</f>
        <v>#REF!</v>
      </c>
      <c r="L168" t="e">
        <f>IF(COUNTIF(#REF!,Tabela2[[#This Row],[KOD_PRODUKTU]])&gt;0,"ELEMENT","PRODUKT")</f>
        <v>#REF!</v>
      </c>
      <c r="M168" t="e">
        <f>COUNTIF(#REF!,Tabela2[[#This Row],[KOD_PRODUKTU]])</f>
        <v>#REF!</v>
      </c>
      <c r="N168" t="s">
        <v>51</v>
      </c>
    </row>
    <row r="169" spans="1:14" hidden="1" x14ac:dyDescent="0.25">
      <c r="A169" s="1" t="s">
        <v>437</v>
      </c>
      <c r="B169" t="s">
        <v>438</v>
      </c>
      <c r="C169" s="1" t="s">
        <v>88</v>
      </c>
      <c r="D169" s="1" t="s">
        <v>89</v>
      </c>
      <c r="E169" s="1" t="s">
        <v>89</v>
      </c>
      <c r="F169" t="s">
        <v>90</v>
      </c>
      <c r="G169" t="s">
        <v>91</v>
      </c>
      <c r="H169" t="s">
        <v>49</v>
      </c>
      <c r="I169" t="s">
        <v>92</v>
      </c>
      <c r="J169">
        <v>10.4</v>
      </c>
      <c r="K169" t="e">
        <f>IF(COUNTIF(#REF!,Tabela2[[#This Row],[IdxWspolny]])&gt;0,"ELEM_lub_PRD","TECHN")</f>
        <v>#REF!</v>
      </c>
      <c r="L169" t="e">
        <f>IF(COUNTIF(#REF!,Tabela2[[#This Row],[KOD_PRODUKTU]])&gt;0,"ELEMENT","PRODUKT")</f>
        <v>#REF!</v>
      </c>
      <c r="M169" t="e">
        <f>COUNTIF(#REF!,Tabela2[[#This Row],[KOD_PRODUKTU]])</f>
        <v>#REF!</v>
      </c>
      <c r="N169" t="s">
        <v>51</v>
      </c>
    </row>
    <row r="170" spans="1:14" hidden="1" x14ac:dyDescent="0.25">
      <c r="A170" s="1" t="s">
        <v>437</v>
      </c>
      <c r="B170" t="s">
        <v>438</v>
      </c>
      <c r="C170" s="1" t="s">
        <v>93</v>
      </c>
      <c r="D170" s="1" t="s">
        <v>94</v>
      </c>
      <c r="E170" s="1" t="s">
        <v>94</v>
      </c>
      <c r="F170" t="s">
        <v>95</v>
      </c>
      <c r="G170" t="s">
        <v>96</v>
      </c>
      <c r="H170" t="s">
        <v>49</v>
      </c>
      <c r="I170" t="s">
        <v>92</v>
      </c>
      <c r="J170">
        <v>8.9</v>
      </c>
      <c r="K170" t="e">
        <f>IF(COUNTIF(#REF!,Tabela2[[#This Row],[IdxWspolny]])&gt;0,"ELEM_lub_PRD","TECHN")</f>
        <v>#REF!</v>
      </c>
      <c r="L170" t="e">
        <f>IF(COUNTIF(#REF!,Tabela2[[#This Row],[KOD_PRODUKTU]])&gt;0,"ELEMENT","PRODUKT")</f>
        <v>#REF!</v>
      </c>
      <c r="M170" t="e">
        <f>COUNTIF(#REF!,Tabela2[[#This Row],[KOD_PRODUKTU]])</f>
        <v>#REF!</v>
      </c>
      <c r="N170" t="s">
        <v>51</v>
      </c>
    </row>
    <row r="171" spans="1:14" hidden="1" x14ac:dyDescent="0.25">
      <c r="A171" s="1" t="s">
        <v>437</v>
      </c>
      <c r="B171" t="s">
        <v>438</v>
      </c>
      <c r="C171" s="1" t="s">
        <v>101</v>
      </c>
      <c r="D171" s="1" t="s">
        <v>102</v>
      </c>
      <c r="E171" s="1" t="s">
        <v>102</v>
      </c>
      <c r="F171" t="s">
        <v>103</v>
      </c>
      <c r="G171" t="s">
        <v>104</v>
      </c>
      <c r="H171" t="s">
        <v>49</v>
      </c>
      <c r="I171" t="s">
        <v>50</v>
      </c>
      <c r="J171">
        <v>3.5</v>
      </c>
      <c r="K171" t="e">
        <f>IF(COUNTIF(#REF!,Tabela2[[#This Row],[IdxWspolny]])&gt;0,"ELEM_lub_PRD","TECHN")</f>
        <v>#REF!</v>
      </c>
      <c r="L171" t="e">
        <f>IF(COUNTIF(#REF!,Tabela2[[#This Row],[KOD_PRODUKTU]])&gt;0,"ELEMENT","PRODUKT")</f>
        <v>#REF!</v>
      </c>
      <c r="M171" t="e">
        <f>COUNTIF(#REF!,Tabela2[[#This Row],[KOD_PRODUKTU]])</f>
        <v>#REF!</v>
      </c>
      <c r="N171" t="s">
        <v>51</v>
      </c>
    </row>
    <row r="172" spans="1:14" hidden="1" x14ac:dyDescent="0.25">
      <c r="A172" s="1" t="s">
        <v>437</v>
      </c>
      <c r="B172" t="s">
        <v>438</v>
      </c>
      <c r="C172" s="1" t="s">
        <v>105</v>
      </c>
      <c r="D172" s="1" t="s">
        <v>106</v>
      </c>
      <c r="E172" s="1" t="s">
        <v>106</v>
      </c>
      <c r="F172" t="s">
        <v>107</v>
      </c>
      <c r="G172" t="s">
        <v>108</v>
      </c>
      <c r="H172" t="s">
        <v>49</v>
      </c>
      <c r="I172" t="s">
        <v>50</v>
      </c>
      <c r="J172">
        <v>4.2</v>
      </c>
      <c r="K172" t="e">
        <f>IF(COUNTIF(#REF!,Tabela2[[#This Row],[IdxWspolny]])&gt;0,"ELEM_lub_PRD","TECHN")</f>
        <v>#REF!</v>
      </c>
      <c r="L172" t="e">
        <f>IF(COUNTIF(#REF!,Tabela2[[#This Row],[KOD_PRODUKTU]])&gt;0,"ELEMENT","PRODUKT")</f>
        <v>#REF!</v>
      </c>
      <c r="M172" t="e">
        <f>COUNTIF(#REF!,Tabela2[[#This Row],[KOD_PRODUKTU]])</f>
        <v>#REF!</v>
      </c>
      <c r="N172" t="s">
        <v>51</v>
      </c>
    </row>
    <row r="173" spans="1:14" hidden="1" x14ac:dyDescent="0.25">
      <c r="A173" s="1" t="s">
        <v>437</v>
      </c>
      <c r="B173" t="s">
        <v>438</v>
      </c>
      <c r="C173" s="1" t="s">
        <v>109</v>
      </c>
      <c r="D173" s="1" t="s">
        <v>109</v>
      </c>
      <c r="E173" s="1" t="s">
        <v>109</v>
      </c>
      <c r="F173" t="s">
        <v>110</v>
      </c>
      <c r="G173" t="s">
        <v>111</v>
      </c>
      <c r="H173" t="s">
        <v>49</v>
      </c>
      <c r="I173" t="s">
        <v>50</v>
      </c>
      <c r="J173">
        <v>17.8</v>
      </c>
      <c r="K173" t="e">
        <f>IF(COUNTIF(#REF!,Tabela2[[#This Row],[IdxWspolny]])&gt;0,"ELEM_lub_PRD","TECHN")</f>
        <v>#REF!</v>
      </c>
      <c r="L173" t="e">
        <f>IF(COUNTIF(#REF!,Tabela2[[#This Row],[KOD_PRODUKTU]])&gt;0,"ELEMENT","PRODUKT")</f>
        <v>#REF!</v>
      </c>
      <c r="M173" t="e">
        <f>COUNTIF(#REF!,Tabela2[[#This Row],[KOD_PRODUKTU]])</f>
        <v>#REF!</v>
      </c>
      <c r="N173" t="s">
        <v>55</v>
      </c>
    </row>
    <row r="174" spans="1:14" x14ac:dyDescent="0.25">
      <c r="A174" s="1" t="s">
        <v>437</v>
      </c>
      <c r="B174" t="s">
        <v>438</v>
      </c>
      <c r="C174" s="1" t="s">
        <v>7</v>
      </c>
      <c r="D174" s="1" t="s">
        <v>7</v>
      </c>
      <c r="E174" s="1" t="s">
        <v>7</v>
      </c>
      <c r="F174" t="s">
        <v>8</v>
      </c>
      <c r="G174" t="s">
        <v>9</v>
      </c>
      <c r="H174" t="s">
        <v>10</v>
      </c>
      <c r="I174" t="s">
        <v>112</v>
      </c>
      <c r="J174">
        <v>3.9</v>
      </c>
      <c r="K174" t="e">
        <f>IF(COUNTIF(#REF!,Tabela2[[#This Row],[IdxWspolny]])&gt;0,"ELEM_lub_PRD","TECHN")</f>
        <v>#REF!</v>
      </c>
      <c r="L174" t="e">
        <f>IF(COUNTIF(#REF!,Tabela2[[#This Row],[KOD_PRODUKTU]])&gt;0,"ELEMENT","PRODUKT")</f>
        <v>#REF!</v>
      </c>
      <c r="M174" t="e">
        <f>COUNTIF(#REF!,Tabela2[[#This Row],[KOD_PRODUKTU]])</f>
        <v>#REF!</v>
      </c>
    </row>
    <row r="175" spans="1:14" hidden="1" x14ac:dyDescent="0.25">
      <c r="A175" s="1" t="s">
        <v>439</v>
      </c>
      <c r="B175" t="s">
        <v>440</v>
      </c>
      <c r="C175" s="1" t="s">
        <v>441</v>
      </c>
      <c r="D175" s="1" t="s">
        <v>441</v>
      </c>
      <c r="E175" s="1" t="s">
        <v>441</v>
      </c>
      <c r="F175" t="s">
        <v>442</v>
      </c>
      <c r="G175" t="s">
        <v>443</v>
      </c>
      <c r="H175" t="s">
        <v>49</v>
      </c>
      <c r="I175" t="s">
        <v>50</v>
      </c>
      <c r="J175">
        <v>15.18</v>
      </c>
      <c r="K175" t="e">
        <f>IF(COUNTIF(#REF!,Tabela2[[#This Row],[IdxWspolny]])&gt;0,"ELEM_lub_PRD","TECHN")</f>
        <v>#REF!</v>
      </c>
      <c r="L175" t="e">
        <f>IF(COUNTIF(#REF!,Tabela2[[#This Row],[KOD_PRODUKTU]])&gt;0,"ELEMENT","PRODUKT")</f>
        <v>#REF!</v>
      </c>
      <c r="M175" t="e">
        <f>COUNTIF(#REF!,Tabela2[[#This Row],[KOD_PRODUKTU]])</f>
        <v>#REF!</v>
      </c>
      <c r="N175" t="s">
        <v>55</v>
      </c>
    </row>
    <row r="176" spans="1:14" hidden="1" x14ac:dyDescent="0.25">
      <c r="A176" s="1" t="s">
        <v>439</v>
      </c>
      <c r="B176" t="s">
        <v>440</v>
      </c>
      <c r="C176" s="1" t="s">
        <v>444</v>
      </c>
      <c r="D176" s="1" t="s">
        <v>444</v>
      </c>
      <c r="E176" s="1" t="s">
        <v>444</v>
      </c>
      <c r="F176" t="s">
        <v>445</v>
      </c>
      <c r="G176" t="s">
        <v>446</v>
      </c>
      <c r="H176" t="s">
        <v>49</v>
      </c>
      <c r="I176" t="s">
        <v>50</v>
      </c>
      <c r="J176">
        <v>55.5</v>
      </c>
      <c r="K176" t="e">
        <f>IF(COUNTIF(#REF!,Tabela2[[#This Row],[IdxWspolny]])&gt;0,"ELEM_lub_PRD","TECHN")</f>
        <v>#REF!</v>
      </c>
      <c r="L176" t="e">
        <f>IF(COUNTIF(#REF!,Tabela2[[#This Row],[KOD_PRODUKTU]])&gt;0,"ELEMENT","PRODUKT")</f>
        <v>#REF!</v>
      </c>
      <c r="M176" t="e">
        <f>COUNTIF(#REF!,Tabela2[[#This Row],[KOD_PRODUKTU]])</f>
        <v>#REF!</v>
      </c>
      <c r="N176" t="s">
        <v>55</v>
      </c>
    </row>
    <row r="177" spans="1:14" x14ac:dyDescent="0.25">
      <c r="A177" s="1" t="s">
        <v>439</v>
      </c>
      <c r="B177" t="s">
        <v>440</v>
      </c>
      <c r="C177" s="1" t="s">
        <v>7</v>
      </c>
      <c r="D177" s="1" t="s">
        <v>7</v>
      </c>
      <c r="E177" s="1" t="s">
        <v>7</v>
      </c>
      <c r="F177" t="s">
        <v>8</v>
      </c>
      <c r="G177" t="s">
        <v>9</v>
      </c>
      <c r="H177" t="s">
        <v>10</v>
      </c>
      <c r="I177" t="s">
        <v>447</v>
      </c>
      <c r="J177">
        <v>0.92</v>
      </c>
      <c r="K177" t="e">
        <f>IF(COUNTIF(#REF!,Tabela2[[#This Row],[IdxWspolny]])&gt;0,"ELEM_lub_PRD","TECHN")</f>
        <v>#REF!</v>
      </c>
      <c r="L177" t="e">
        <f>IF(COUNTIF(#REF!,Tabela2[[#This Row],[KOD_PRODUKTU]])&gt;0,"ELEMENT","PRODUKT")</f>
        <v>#REF!</v>
      </c>
      <c r="M177" t="e">
        <f>COUNTIF(#REF!,Tabela2[[#This Row],[KOD_PRODUKTU]])</f>
        <v>#REF!</v>
      </c>
    </row>
    <row r="178" spans="1:14" x14ac:dyDescent="0.25">
      <c r="A178" s="1" t="s">
        <v>448</v>
      </c>
      <c r="B178" t="s">
        <v>449</v>
      </c>
      <c r="C178" s="1" t="s">
        <v>248</v>
      </c>
      <c r="D178" s="1" t="s">
        <v>248</v>
      </c>
      <c r="E178" s="1" t="s">
        <v>248</v>
      </c>
      <c r="F178" t="s">
        <v>249</v>
      </c>
      <c r="G178" t="s">
        <v>70</v>
      </c>
      <c r="H178" t="s">
        <v>39</v>
      </c>
      <c r="I178" t="s">
        <v>40</v>
      </c>
      <c r="J178">
        <v>0.05</v>
      </c>
      <c r="K178" t="e">
        <f>IF(COUNTIF(#REF!,Tabela2[[#This Row],[IdxWspolny]])&gt;0,"ELEM_lub_PRD","TECHN")</f>
        <v>#REF!</v>
      </c>
      <c r="L178" t="e">
        <f>IF(COUNTIF(#REF!,Tabela2[[#This Row],[KOD_PRODUKTU]])&gt;0,"ELEMENT","PRODUKT")</f>
        <v>#REF!</v>
      </c>
      <c r="M178" t="e">
        <f>COUNTIF(#REF!,Tabela2[[#This Row],[KOD_PRODUKTU]])</f>
        <v>#REF!</v>
      </c>
    </row>
    <row r="179" spans="1:14" hidden="1" x14ac:dyDescent="0.25">
      <c r="A179" s="1" t="s">
        <v>448</v>
      </c>
      <c r="B179" t="s">
        <v>449</v>
      </c>
      <c r="C179" s="1" t="s">
        <v>450</v>
      </c>
      <c r="D179" s="1" t="s">
        <v>451</v>
      </c>
      <c r="E179" s="1" t="s">
        <v>451</v>
      </c>
      <c r="F179" t="s">
        <v>452</v>
      </c>
      <c r="G179" t="s">
        <v>453</v>
      </c>
      <c r="H179" t="s">
        <v>49</v>
      </c>
      <c r="I179" t="s">
        <v>50</v>
      </c>
      <c r="J179">
        <v>16.899999999999999</v>
      </c>
      <c r="K179" t="e">
        <f>IF(COUNTIF(#REF!,Tabela2[[#This Row],[IdxWspolny]])&gt;0,"ELEM_lub_PRD","TECHN")</f>
        <v>#REF!</v>
      </c>
      <c r="L179" t="e">
        <f>IF(COUNTIF(#REF!,Tabela2[[#This Row],[KOD_PRODUKTU]])&gt;0,"ELEMENT","PRODUKT")</f>
        <v>#REF!</v>
      </c>
      <c r="M179" t="e">
        <f>COUNTIF(#REF!,Tabela2[[#This Row],[KOD_PRODUKTU]])</f>
        <v>#REF!</v>
      </c>
      <c r="N179" t="s">
        <v>51</v>
      </c>
    </row>
    <row r="180" spans="1:14" hidden="1" x14ac:dyDescent="0.25">
      <c r="A180" s="1" t="s">
        <v>448</v>
      </c>
      <c r="B180" t="s">
        <v>449</v>
      </c>
      <c r="C180" s="1" t="s">
        <v>454</v>
      </c>
      <c r="D180" s="1" t="s">
        <v>455</v>
      </c>
      <c r="E180" s="1" t="s">
        <v>455</v>
      </c>
      <c r="F180" t="s">
        <v>456</v>
      </c>
      <c r="G180" t="s">
        <v>457</v>
      </c>
      <c r="H180" t="s">
        <v>49</v>
      </c>
      <c r="I180" t="s">
        <v>50</v>
      </c>
      <c r="J180">
        <v>6.1</v>
      </c>
      <c r="K180" t="e">
        <f>IF(COUNTIF(#REF!,Tabela2[[#This Row],[IdxWspolny]])&gt;0,"ELEM_lub_PRD","TECHN")</f>
        <v>#REF!</v>
      </c>
      <c r="L180" t="e">
        <f>IF(COUNTIF(#REF!,Tabela2[[#This Row],[KOD_PRODUKTU]])&gt;0,"ELEMENT","PRODUKT")</f>
        <v>#REF!</v>
      </c>
      <c r="M180" t="e">
        <f>COUNTIF(#REF!,Tabela2[[#This Row],[KOD_PRODUKTU]])</f>
        <v>#REF!</v>
      </c>
      <c r="N180" t="s">
        <v>51</v>
      </c>
    </row>
    <row r="181" spans="1:14" x14ac:dyDescent="0.25">
      <c r="A181" s="1" t="s">
        <v>448</v>
      </c>
      <c r="B181" t="s">
        <v>449</v>
      </c>
      <c r="C181" s="1" t="s">
        <v>7</v>
      </c>
      <c r="D181" s="1" t="s">
        <v>7</v>
      </c>
      <c r="E181" s="1" t="s">
        <v>7</v>
      </c>
      <c r="F181" t="s">
        <v>8</v>
      </c>
      <c r="G181" t="s">
        <v>9</v>
      </c>
      <c r="H181" t="s">
        <v>10</v>
      </c>
      <c r="I181" t="s">
        <v>367</v>
      </c>
      <c r="J181">
        <v>2.2999999999999998</v>
      </c>
      <c r="K181" t="e">
        <f>IF(COUNTIF(#REF!,Tabela2[[#This Row],[IdxWspolny]])&gt;0,"ELEM_lub_PRD","TECHN")</f>
        <v>#REF!</v>
      </c>
      <c r="L181" t="e">
        <f>IF(COUNTIF(#REF!,Tabela2[[#This Row],[KOD_PRODUKTU]])&gt;0,"ELEMENT","PRODUKT")</f>
        <v>#REF!</v>
      </c>
      <c r="M181" t="e">
        <f>COUNTIF(#REF!,Tabela2[[#This Row],[KOD_PRODUKTU]])</f>
        <v>#REF!</v>
      </c>
    </row>
    <row r="182" spans="1:14" x14ac:dyDescent="0.25">
      <c r="A182" s="1" t="s">
        <v>458</v>
      </c>
      <c r="B182" t="s">
        <v>459</v>
      </c>
      <c r="C182" s="1" t="s">
        <v>81</v>
      </c>
      <c r="D182" s="1" t="s">
        <v>81</v>
      </c>
      <c r="E182" s="1" t="s">
        <v>81</v>
      </c>
      <c r="F182" t="s">
        <v>82</v>
      </c>
      <c r="G182" t="s">
        <v>83</v>
      </c>
      <c r="H182" t="s">
        <v>39</v>
      </c>
      <c r="I182" t="s">
        <v>40</v>
      </c>
      <c r="J182">
        <v>0.15</v>
      </c>
      <c r="K182" t="e">
        <f>IF(COUNTIF(#REF!,Tabela2[[#This Row],[IdxWspolny]])&gt;0,"ELEM_lub_PRD","TECHN")</f>
        <v>#REF!</v>
      </c>
      <c r="L182" t="e">
        <f>IF(COUNTIF(#REF!,Tabela2[[#This Row],[KOD_PRODUKTU]])&gt;0,"ELEMENT","PRODUKT")</f>
        <v>#REF!</v>
      </c>
      <c r="M182" t="e">
        <f>COUNTIF(#REF!,Tabela2[[#This Row],[KOD_PRODUKTU]])</f>
        <v>#REF!</v>
      </c>
    </row>
    <row r="183" spans="1:14" hidden="1" x14ac:dyDescent="0.25">
      <c r="A183" s="1" t="s">
        <v>458</v>
      </c>
      <c r="B183" t="s">
        <v>459</v>
      </c>
      <c r="C183" s="1" t="s">
        <v>460</v>
      </c>
      <c r="D183" s="1" t="s">
        <v>460</v>
      </c>
      <c r="E183" s="1" t="s">
        <v>460</v>
      </c>
      <c r="F183" t="s">
        <v>461</v>
      </c>
      <c r="G183" t="s">
        <v>462</v>
      </c>
      <c r="H183" t="s">
        <v>49</v>
      </c>
      <c r="I183" t="s">
        <v>50</v>
      </c>
      <c r="J183">
        <v>19.8</v>
      </c>
      <c r="K183" t="e">
        <f>IF(COUNTIF(#REF!,Tabela2[[#This Row],[IdxWspolny]])&gt;0,"ELEM_lub_PRD","TECHN")</f>
        <v>#REF!</v>
      </c>
      <c r="L183" t="e">
        <f>IF(COUNTIF(#REF!,Tabela2[[#This Row],[KOD_PRODUKTU]])&gt;0,"ELEMENT","PRODUKT")</f>
        <v>#REF!</v>
      </c>
      <c r="M183" t="e">
        <f>COUNTIF(#REF!,Tabela2[[#This Row],[KOD_PRODUKTU]])</f>
        <v>#REF!</v>
      </c>
      <c r="N183" t="s">
        <v>55</v>
      </c>
    </row>
    <row r="184" spans="1:14" hidden="1" x14ac:dyDescent="0.25">
      <c r="A184" s="1" t="s">
        <v>458</v>
      </c>
      <c r="B184" t="s">
        <v>459</v>
      </c>
      <c r="C184" s="1" t="s">
        <v>463</v>
      </c>
      <c r="D184" s="1" t="s">
        <v>463</v>
      </c>
      <c r="E184" s="1" t="s">
        <v>463</v>
      </c>
      <c r="F184" t="s">
        <v>464</v>
      </c>
      <c r="G184" t="s">
        <v>465</v>
      </c>
      <c r="H184" t="s">
        <v>49</v>
      </c>
      <c r="I184" t="s">
        <v>50</v>
      </c>
      <c r="J184">
        <v>6.21</v>
      </c>
      <c r="K184" t="e">
        <f>IF(COUNTIF(#REF!,Tabela2[[#This Row],[IdxWspolny]])&gt;0,"ELEM_lub_PRD","TECHN")</f>
        <v>#REF!</v>
      </c>
      <c r="L184" t="e">
        <f>IF(COUNTIF(#REF!,Tabela2[[#This Row],[KOD_PRODUKTU]])&gt;0,"ELEMENT","PRODUKT")</f>
        <v>#REF!</v>
      </c>
      <c r="M184" t="e">
        <f>COUNTIF(#REF!,Tabela2[[#This Row],[KOD_PRODUKTU]])</f>
        <v>#REF!</v>
      </c>
      <c r="N184" t="s">
        <v>55</v>
      </c>
    </row>
    <row r="185" spans="1:14" hidden="1" x14ac:dyDescent="0.25">
      <c r="A185" s="1" t="s">
        <v>458</v>
      </c>
      <c r="B185" t="s">
        <v>459</v>
      </c>
      <c r="C185" s="1" t="s">
        <v>466</v>
      </c>
      <c r="D185" s="1" t="s">
        <v>466</v>
      </c>
      <c r="E185" s="1" t="s">
        <v>466</v>
      </c>
      <c r="F185" t="s">
        <v>467</v>
      </c>
      <c r="G185" t="s">
        <v>468</v>
      </c>
      <c r="H185" t="s">
        <v>49</v>
      </c>
      <c r="I185" t="s">
        <v>319</v>
      </c>
      <c r="J185">
        <v>40.799999999999997</v>
      </c>
      <c r="K185" t="e">
        <f>IF(COUNTIF(#REF!,Tabela2[[#This Row],[IdxWspolny]])&gt;0,"ELEM_lub_PRD","TECHN")</f>
        <v>#REF!</v>
      </c>
      <c r="L185" t="e">
        <f>IF(COUNTIF(#REF!,Tabela2[[#This Row],[KOD_PRODUKTU]])&gt;0,"ELEMENT","PRODUKT")</f>
        <v>#REF!</v>
      </c>
      <c r="M185" t="e">
        <f>COUNTIF(#REF!,Tabela2[[#This Row],[KOD_PRODUKTU]])</f>
        <v>#REF!</v>
      </c>
      <c r="N185" t="s">
        <v>55</v>
      </c>
    </row>
    <row r="186" spans="1:14" x14ac:dyDescent="0.25">
      <c r="A186" s="1" t="s">
        <v>458</v>
      </c>
      <c r="B186" t="s">
        <v>459</v>
      </c>
      <c r="C186" s="1" t="s">
        <v>7</v>
      </c>
      <c r="D186" s="1" t="s">
        <v>7</v>
      </c>
      <c r="E186" s="1" t="s">
        <v>7</v>
      </c>
      <c r="F186" t="s">
        <v>8</v>
      </c>
      <c r="G186" t="s">
        <v>9</v>
      </c>
      <c r="H186" t="s">
        <v>10</v>
      </c>
      <c r="I186" t="s">
        <v>19</v>
      </c>
      <c r="J186">
        <v>4.5999999999999996</v>
      </c>
      <c r="K186" t="e">
        <f>IF(COUNTIF(#REF!,Tabela2[[#This Row],[IdxWspolny]])&gt;0,"ELEM_lub_PRD","TECHN")</f>
        <v>#REF!</v>
      </c>
      <c r="L186" t="e">
        <f>IF(COUNTIF(#REF!,Tabela2[[#This Row],[KOD_PRODUKTU]])&gt;0,"ELEMENT","PRODUKT")</f>
        <v>#REF!</v>
      </c>
      <c r="M186" t="e">
        <f>COUNTIF(#REF!,Tabela2[[#This Row],[KOD_PRODUKTU]])</f>
        <v>#REF!</v>
      </c>
    </row>
    <row r="187" spans="1:14" x14ac:dyDescent="0.25">
      <c r="A187" s="1" t="s">
        <v>469</v>
      </c>
      <c r="B187" t="s">
        <v>470</v>
      </c>
      <c r="C187" s="1" t="s">
        <v>471</v>
      </c>
      <c r="D187" s="1" t="s">
        <v>471</v>
      </c>
      <c r="E187" s="1" t="s">
        <v>471</v>
      </c>
      <c r="F187" t="s">
        <v>472</v>
      </c>
      <c r="G187" t="s">
        <v>473</v>
      </c>
      <c r="H187" t="s">
        <v>5</v>
      </c>
      <c r="I187" t="s">
        <v>474</v>
      </c>
      <c r="J187">
        <v>22.65</v>
      </c>
      <c r="K187" t="e">
        <f>IF(COUNTIF(#REF!,Tabela2[[#This Row],[IdxWspolny]])&gt;0,"ELEM_lub_PRD","TECHN")</f>
        <v>#REF!</v>
      </c>
      <c r="L187" t="e">
        <f>IF(COUNTIF(#REF!,Tabela2[[#This Row],[KOD_PRODUKTU]])&gt;0,"ELEMENT","PRODUKT")</f>
        <v>#REF!</v>
      </c>
      <c r="M187" t="e">
        <f>COUNTIF(#REF!,Tabela2[[#This Row],[KOD_PRODUKTU]])</f>
        <v>#REF!</v>
      </c>
    </row>
    <row r="188" spans="1:14" x14ac:dyDescent="0.25">
      <c r="A188" s="1" t="s">
        <v>469</v>
      </c>
      <c r="B188" t="s">
        <v>470</v>
      </c>
      <c r="C188" s="1" t="s">
        <v>475</v>
      </c>
      <c r="D188" s="1" t="s">
        <v>475</v>
      </c>
      <c r="E188" s="1" t="s">
        <v>475</v>
      </c>
      <c r="F188" t="s">
        <v>476</v>
      </c>
      <c r="G188" t="s">
        <v>477</v>
      </c>
      <c r="H188" t="s">
        <v>39</v>
      </c>
      <c r="I188" t="s">
        <v>478</v>
      </c>
      <c r="J188">
        <v>0.41</v>
      </c>
      <c r="K188" t="e">
        <f>IF(COUNTIF(#REF!,Tabela2[[#This Row],[IdxWspolny]])&gt;0,"ELEM_lub_PRD","TECHN")</f>
        <v>#REF!</v>
      </c>
      <c r="L188" t="e">
        <f>IF(COUNTIF(#REF!,Tabela2[[#This Row],[KOD_PRODUKTU]])&gt;0,"ELEMENT","PRODUKT")</f>
        <v>#REF!</v>
      </c>
      <c r="M188" t="e">
        <f>COUNTIF(#REF!,Tabela2[[#This Row],[KOD_PRODUKTU]])</f>
        <v>#REF!</v>
      </c>
    </row>
    <row r="189" spans="1:14" x14ac:dyDescent="0.25">
      <c r="A189" s="1" t="s">
        <v>469</v>
      </c>
      <c r="B189" t="s">
        <v>470</v>
      </c>
      <c r="C189" s="1" t="s">
        <v>479</v>
      </c>
      <c r="D189" s="1" t="s">
        <v>479</v>
      </c>
      <c r="E189" s="1" t="s">
        <v>479</v>
      </c>
      <c r="F189" t="s">
        <v>480</v>
      </c>
      <c r="G189" t="s">
        <v>481</v>
      </c>
      <c r="H189" t="s">
        <v>5</v>
      </c>
      <c r="I189" t="s">
        <v>482</v>
      </c>
      <c r="J189">
        <v>0.04</v>
      </c>
      <c r="K189" t="e">
        <f>IF(COUNTIF(#REF!,Tabela2[[#This Row],[IdxWspolny]])&gt;0,"ELEM_lub_PRD","TECHN")</f>
        <v>#REF!</v>
      </c>
      <c r="L189" t="e">
        <f>IF(COUNTIF(#REF!,Tabela2[[#This Row],[KOD_PRODUKTU]])&gt;0,"ELEMENT","PRODUKT")</f>
        <v>#REF!</v>
      </c>
      <c r="M189" t="e">
        <f>COUNTIF(#REF!,Tabela2[[#This Row],[KOD_PRODUKTU]])</f>
        <v>#REF!</v>
      </c>
    </row>
    <row r="190" spans="1:14" x14ac:dyDescent="0.25">
      <c r="A190" s="1" t="s">
        <v>469</v>
      </c>
      <c r="B190" t="s">
        <v>470</v>
      </c>
      <c r="C190" s="1" t="s">
        <v>483</v>
      </c>
      <c r="D190" s="1" t="s">
        <v>483</v>
      </c>
      <c r="E190" s="1" t="s">
        <v>483</v>
      </c>
      <c r="F190" t="s">
        <v>484</v>
      </c>
      <c r="G190" t="s">
        <v>485</v>
      </c>
      <c r="H190" t="s">
        <v>5</v>
      </c>
      <c r="I190" t="s">
        <v>486</v>
      </c>
      <c r="J190">
        <v>0.03</v>
      </c>
      <c r="K190" t="e">
        <f>IF(COUNTIF(#REF!,Tabela2[[#This Row],[IdxWspolny]])&gt;0,"ELEM_lub_PRD","TECHN")</f>
        <v>#REF!</v>
      </c>
      <c r="L190" t="e">
        <f>IF(COUNTIF(#REF!,Tabela2[[#This Row],[KOD_PRODUKTU]])&gt;0,"ELEMENT","PRODUKT")</f>
        <v>#REF!</v>
      </c>
      <c r="M190" t="e">
        <f>COUNTIF(#REF!,Tabela2[[#This Row],[KOD_PRODUKTU]])</f>
        <v>#REF!</v>
      </c>
    </row>
    <row r="191" spans="1:14" x14ac:dyDescent="0.25">
      <c r="A191" s="1" t="s">
        <v>469</v>
      </c>
      <c r="B191" t="s">
        <v>470</v>
      </c>
      <c r="C191" s="1" t="s">
        <v>487</v>
      </c>
      <c r="D191" s="1" t="s">
        <v>487</v>
      </c>
      <c r="E191" s="1" t="s">
        <v>487</v>
      </c>
      <c r="F191" t="s">
        <v>488</v>
      </c>
      <c r="G191" t="s">
        <v>489</v>
      </c>
      <c r="H191" t="s">
        <v>5</v>
      </c>
      <c r="I191" t="s">
        <v>490</v>
      </c>
      <c r="J191">
        <v>0.28999999999999998</v>
      </c>
      <c r="K191" t="e">
        <f>IF(COUNTIF(#REF!,Tabela2[[#This Row],[IdxWspolny]])&gt;0,"ELEM_lub_PRD","TECHN")</f>
        <v>#REF!</v>
      </c>
      <c r="L191" t="e">
        <f>IF(COUNTIF(#REF!,Tabela2[[#This Row],[KOD_PRODUKTU]])&gt;0,"ELEMENT","PRODUKT")</f>
        <v>#REF!</v>
      </c>
      <c r="M191" t="e">
        <f>COUNTIF(#REF!,Tabela2[[#This Row],[KOD_PRODUKTU]])</f>
        <v>#REF!</v>
      </c>
    </row>
    <row r="192" spans="1:14" x14ac:dyDescent="0.25">
      <c r="A192" s="1" t="s">
        <v>469</v>
      </c>
      <c r="B192" t="s">
        <v>470</v>
      </c>
      <c r="C192" s="1" t="s">
        <v>491</v>
      </c>
      <c r="D192" s="1" t="s">
        <v>491</v>
      </c>
      <c r="E192" s="1" t="s">
        <v>491</v>
      </c>
      <c r="F192" t="s">
        <v>492</v>
      </c>
      <c r="G192" t="s">
        <v>493</v>
      </c>
      <c r="H192" t="s">
        <v>121</v>
      </c>
      <c r="I192" t="s">
        <v>92</v>
      </c>
      <c r="J192">
        <v>13.7</v>
      </c>
      <c r="K192" t="e">
        <f>IF(COUNTIF(#REF!,Tabela2[[#This Row],[IdxWspolny]])&gt;0,"ELEM_lub_PRD","TECHN")</f>
        <v>#REF!</v>
      </c>
      <c r="L192" t="e">
        <f>IF(COUNTIF(#REF!,Tabela2[[#This Row],[KOD_PRODUKTU]])&gt;0,"ELEMENT","PRODUKT")</f>
        <v>#REF!</v>
      </c>
      <c r="M192" t="e">
        <f>COUNTIF(#REF!,Tabela2[[#This Row],[KOD_PRODUKTU]])</f>
        <v>#REF!</v>
      </c>
    </row>
    <row r="193" spans="1:14" x14ac:dyDescent="0.25">
      <c r="A193" s="1" t="s">
        <v>469</v>
      </c>
      <c r="B193" t="s">
        <v>470</v>
      </c>
      <c r="C193" s="1" t="s">
        <v>494</v>
      </c>
      <c r="D193" s="1" t="s">
        <v>494</v>
      </c>
      <c r="E193" s="1" t="s">
        <v>494</v>
      </c>
      <c r="F193" t="s">
        <v>495</v>
      </c>
      <c r="G193" t="s">
        <v>496</v>
      </c>
      <c r="H193" t="s">
        <v>121</v>
      </c>
      <c r="I193" t="s">
        <v>50</v>
      </c>
      <c r="J193">
        <v>17.45</v>
      </c>
      <c r="K193" t="e">
        <f>IF(COUNTIF(#REF!,Tabela2[[#This Row],[IdxWspolny]])&gt;0,"ELEM_lub_PRD","TECHN")</f>
        <v>#REF!</v>
      </c>
      <c r="L193" t="e">
        <f>IF(COUNTIF(#REF!,Tabela2[[#This Row],[KOD_PRODUKTU]])&gt;0,"ELEMENT","PRODUKT")</f>
        <v>#REF!</v>
      </c>
      <c r="M193" t="e">
        <f>COUNTIF(#REF!,Tabela2[[#This Row],[KOD_PRODUKTU]])</f>
        <v>#REF!</v>
      </c>
    </row>
    <row r="194" spans="1:14" x14ac:dyDescent="0.25">
      <c r="A194" s="1" t="s">
        <v>469</v>
      </c>
      <c r="B194" t="s">
        <v>470</v>
      </c>
      <c r="C194" s="1" t="s">
        <v>497</v>
      </c>
      <c r="D194" s="1" t="s">
        <v>497</v>
      </c>
      <c r="E194" s="1" t="s">
        <v>497</v>
      </c>
      <c r="F194" t="s">
        <v>498</v>
      </c>
      <c r="G194" t="s">
        <v>496</v>
      </c>
      <c r="H194" t="s">
        <v>121</v>
      </c>
      <c r="I194" t="s">
        <v>50</v>
      </c>
      <c r="J194">
        <v>17.45</v>
      </c>
      <c r="K194" t="e">
        <f>IF(COUNTIF(#REF!,Tabela2[[#This Row],[IdxWspolny]])&gt;0,"ELEM_lub_PRD","TECHN")</f>
        <v>#REF!</v>
      </c>
      <c r="L194" t="e">
        <f>IF(COUNTIF(#REF!,Tabela2[[#This Row],[KOD_PRODUKTU]])&gt;0,"ELEMENT","PRODUKT")</f>
        <v>#REF!</v>
      </c>
      <c r="M194" t="e">
        <f>COUNTIF(#REF!,Tabela2[[#This Row],[KOD_PRODUKTU]])</f>
        <v>#REF!</v>
      </c>
    </row>
    <row r="195" spans="1:14" x14ac:dyDescent="0.25">
      <c r="A195" s="1" t="s">
        <v>469</v>
      </c>
      <c r="B195" t="s">
        <v>470</v>
      </c>
      <c r="C195" s="1" t="s">
        <v>499</v>
      </c>
      <c r="D195" s="1" t="s">
        <v>499</v>
      </c>
      <c r="E195" s="1" t="s">
        <v>499</v>
      </c>
      <c r="F195" t="s">
        <v>500</v>
      </c>
      <c r="G195" t="s">
        <v>501</v>
      </c>
      <c r="H195" t="s">
        <v>121</v>
      </c>
      <c r="I195" t="s">
        <v>50</v>
      </c>
      <c r="J195">
        <v>4.5</v>
      </c>
      <c r="K195" t="e">
        <f>IF(COUNTIF(#REF!,Tabela2[[#This Row],[IdxWspolny]])&gt;0,"ELEM_lub_PRD","TECHN")</f>
        <v>#REF!</v>
      </c>
      <c r="L195" t="e">
        <f>IF(COUNTIF(#REF!,Tabela2[[#This Row],[KOD_PRODUKTU]])&gt;0,"ELEMENT","PRODUKT")</f>
        <v>#REF!</v>
      </c>
      <c r="M195" t="e">
        <f>COUNTIF(#REF!,Tabela2[[#This Row],[KOD_PRODUKTU]])</f>
        <v>#REF!</v>
      </c>
    </row>
    <row r="196" spans="1:14" hidden="1" x14ac:dyDescent="0.25">
      <c r="A196" s="1" t="s">
        <v>469</v>
      </c>
      <c r="B196" t="s">
        <v>470</v>
      </c>
      <c r="C196" s="1" t="s">
        <v>502</v>
      </c>
      <c r="D196" s="1" t="s">
        <v>502</v>
      </c>
      <c r="E196" s="1" t="s">
        <v>502</v>
      </c>
      <c r="F196" t="s">
        <v>503</v>
      </c>
      <c r="G196" t="s">
        <v>31</v>
      </c>
      <c r="H196" t="s">
        <v>121</v>
      </c>
      <c r="I196" t="s">
        <v>50</v>
      </c>
      <c r="J196">
        <v>10.6</v>
      </c>
      <c r="K196" t="e">
        <f>IF(COUNTIF(#REF!,Tabela2[[#This Row],[IdxWspolny]])&gt;0,"ELEM_lub_PRD","TECHN")</f>
        <v>#REF!</v>
      </c>
      <c r="L196" t="e">
        <f>IF(COUNTIF(#REF!,Tabela2[[#This Row],[KOD_PRODUKTU]])&gt;0,"ELEMENT","PRODUKT")</f>
        <v>#REF!</v>
      </c>
      <c r="M196" t="e">
        <f>COUNTIF(#REF!,Tabela2[[#This Row],[KOD_PRODUKTU]])</f>
        <v>#REF!</v>
      </c>
      <c r="N196" t="s">
        <v>55</v>
      </c>
    </row>
    <row r="197" spans="1:14" x14ac:dyDescent="0.25">
      <c r="A197" s="1" t="s">
        <v>469</v>
      </c>
      <c r="B197" t="s">
        <v>470</v>
      </c>
      <c r="C197" s="1" t="s">
        <v>7</v>
      </c>
      <c r="D197" s="1" t="s">
        <v>7</v>
      </c>
      <c r="E197" s="1" t="s">
        <v>7</v>
      </c>
      <c r="F197" t="s">
        <v>8</v>
      </c>
      <c r="G197" t="s">
        <v>9</v>
      </c>
      <c r="H197" t="s">
        <v>10</v>
      </c>
      <c r="I197" t="s">
        <v>504</v>
      </c>
      <c r="J197">
        <v>32</v>
      </c>
      <c r="K197" t="e">
        <f>IF(COUNTIF(#REF!,Tabela2[[#This Row],[IdxWspolny]])&gt;0,"ELEM_lub_PRD","TECHN")</f>
        <v>#REF!</v>
      </c>
      <c r="L197" t="e">
        <f>IF(COUNTIF(#REF!,Tabela2[[#This Row],[KOD_PRODUKTU]])&gt;0,"ELEMENT","PRODUKT")</f>
        <v>#REF!</v>
      </c>
      <c r="M197" t="e">
        <f>COUNTIF(#REF!,Tabela2[[#This Row],[KOD_PRODUKTU]])</f>
        <v>#REF!</v>
      </c>
    </row>
    <row r="198" spans="1:14" x14ac:dyDescent="0.25">
      <c r="A198" s="1" t="s">
        <v>505</v>
      </c>
      <c r="B198" t="s">
        <v>506</v>
      </c>
      <c r="C198" s="1" t="s">
        <v>507</v>
      </c>
      <c r="D198" s="1" t="s">
        <v>507</v>
      </c>
      <c r="E198" s="1" t="s">
        <v>507</v>
      </c>
      <c r="F198" t="s">
        <v>508</v>
      </c>
      <c r="G198" t="s">
        <v>509</v>
      </c>
      <c r="H198" t="s">
        <v>5</v>
      </c>
      <c r="I198" t="s">
        <v>510</v>
      </c>
      <c r="J198">
        <v>5.49</v>
      </c>
      <c r="K198" t="e">
        <f>IF(COUNTIF(#REF!,Tabela2[[#This Row],[IdxWspolny]])&gt;0,"ELEM_lub_PRD","TECHN")</f>
        <v>#REF!</v>
      </c>
      <c r="L198" t="e">
        <f>IF(COUNTIF(#REF!,Tabela2[[#This Row],[KOD_PRODUKTU]])&gt;0,"ELEMENT","PRODUKT")</f>
        <v>#REF!</v>
      </c>
      <c r="M198" t="e">
        <f>COUNTIF(#REF!,Tabela2[[#This Row],[KOD_PRODUKTU]])</f>
        <v>#REF!</v>
      </c>
    </row>
    <row r="199" spans="1:14" x14ac:dyDescent="0.25">
      <c r="A199" s="1" t="s">
        <v>505</v>
      </c>
      <c r="B199" t="s">
        <v>506</v>
      </c>
      <c r="C199" s="1" t="s">
        <v>511</v>
      </c>
      <c r="D199" s="1" t="s">
        <v>511</v>
      </c>
      <c r="E199" s="1" t="s">
        <v>511</v>
      </c>
      <c r="F199" t="s">
        <v>512</v>
      </c>
      <c r="G199" t="s">
        <v>513</v>
      </c>
      <c r="H199" t="s">
        <v>39</v>
      </c>
      <c r="I199" t="s">
        <v>478</v>
      </c>
      <c r="J199">
        <v>0.44</v>
      </c>
      <c r="K199" t="e">
        <f>IF(COUNTIF(#REF!,Tabela2[[#This Row],[IdxWspolny]])&gt;0,"ELEM_lub_PRD","TECHN")</f>
        <v>#REF!</v>
      </c>
      <c r="L199" t="e">
        <f>IF(COUNTIF(#REF!,Tabela2[[#This Row],[KOD_PRODUKTU]])&gt;0,"ELEMENT","PRODUKT")</f>
        <v>#REF!</v>
      </c>
      <c r="M199" t="e">
        <f>COUNTIF(#REF!,Tabela2[[#This Row],[KOD_PRODUKTU]])</f>
        <v>#REF!</v>
      </c>
    </row>
    <row r="200" spans="1:14" x14ac:dyDescent="0.25">
      <c r="A200" s="1" t="s">
        <v>505</v>
      </c>
      <c r="B200" t="s">
        <v>506</v>
      </c>
      <c r="C200" s="1" t="s">
        <v>514</v>
      </c>
      <c r="D200" s="1" t="s">
        <v>514</v>
      </c>
      <c r="E200" s="1" t="s">
        <v>514</v>
      </c>
      <c r="F200" t="s">
        <v>515</v>
      </c>
      <c r="G200" t="s">
        <v>516</v>
      </c>
      <c r="H200" t="s">
        <v>121</v>
      </c>
      <c r="I200" t="s">
        <v>50</v>
      </c>
      <c r="J200">
        <v>0.27</v>
      </c>
      <c r="K200" t="e">
        <f>IF(COUNTIF(#REF!,Tabela2[[#This Row],[IdxWspolny]])&gt;0,"ELEM_lub_PRD","TECHN")</f>
        <v>#REF!</v>
      </c>
      <c r="L200" t="e">
        <f>IF(COUNTIF(#REF!,Tabela2[[#This Row],[KOD_PRODUKTU]])&gt;0,"ELEMENT","PRODUKT")</f>
        <v>#REF!</v>
      </c>
      <c r="M200" t="e">
        <f>COUNTIF(#REF!,Tabela2[[#This Row],[KOD_PRODUKTU]])</f>
        <v>#REF!</v>
      </c>
    </row>
    <row r="201" spans="1:14" x14ac:dyDescent="0.25">
      <c r="A201" s="1" t="s">
        <v>505</v>
      </c>
      <c r="B201" t="s">
        <v>506</v>
      </c>
      <c r="C201" s="1" t="s">
        <v>517</v>
      </c>
      <c r="D201" s="1" t="s">
        <v>517</v>
      </c>
      <c r="E201" s="1" t="s">
        <v>517</v>
      </c>
      <c r="F201" t="s">
        <v>518</v>
      </c>
      <c r="G201" t="s">
        <v>519</v>
      </c>
      <c r="H201" t="s">
        <v>121</v>
      </c>
      <c r="I201" t="s">
        <v>92</v>
      </c>
      <c r="J201">
        <v>11.1</v>
      </c>
      <c r="K201" t="e">
        <f>IF(COUNTIF(#REF!,Tabela2[[#This Row],[IdxWspolny]])&gt;0,"ELEM_lub_PRD","TECHN")</f>
        <v>#REF!</v>
      </c>
      <c r="L201" t="e">
        <f>IF(COUNTIF(#REF!,Tabela2[[#This Row],[KOD_PRODUKTU]])&gt;0,"ELEMENT","PRODUKT")</f>
        <v>#REF!</v>
      </c>
      <c r="M201" t="e">
        <f>COUNTIF(#REF!,Tabela2[[#This Row],[KOD_PRODUKTU]])</f>
        <v>#REF!</v>
      </c>
    </row>
    <row r="202" spans="1:14" x14ac:dyDescent="0.25">
      <c r="A202" s="1" t="s">
        <v>505</v>
      </c>
      <c r="B202" t="s">
        <v>506</v>
      </c>
      <c r="C202" s="1" t="s">
        <v>520</v>
      </c>
      <c r="D202" s="1" t="s">
        <v>520</v>
      </c>
      <c r="E202" s="1" t="s">
        <v>520</v>
      </c>
      <c r="F202" t="s">
        <v>521</v>
      </c>
      <c r="G202" t="s">
        <v>522</v>
      </c>
      <c r="H202" t="s">
        <v>121</v>
      </c>
      <c r="I202" t="s">
        <v>50</v>
      </c>
      <c r="J202">
        <v>3.45</v>
      </c>
      <c r="K202" t="e">
        <f>IF(COUNTIF(#REF!,Tabela2[[#This Row],[IdxWspolny]])&gt;0,"ELEM_lub_PRD","TECHN")</f>
        <v>#REF!</v>
      </c>
      <c r="L202" t="e">
        <f>IF(COUNTIF(#REF!,Tabela2[[#This Row],[KOD_PRODUKTU]])&gt;0,"ELEMENT","PRODUKT")</f>
        <v>#REF!</v>
      </c>
      <c r="M202" t="e">
        <f>COUNTIF(#REF!,Tabela2[[#This Row],[KOD_PRODUKTU]])</f>
        <v>#REF!</v>
      </c>
    </row>
    <row r="203" spans="1:14" x14ac:dyDescent="0.25">
      <c r="A203" s="1" t="s">
        <v>505</v>
      </c>
      <c r="B203" t="s">
        <v>506</v>
      </c>
      <c r="C203" s="1" t="s">
        <v>7</v>
      </c>
      <c r="D203" s="1" t="s">
        <v>7</v>
      </c>
      <c r="E203" s="1" t="s">
        <v>7</v>
      </c>
      <c r="F203" t="s">
        <v>8</v>
      </c>
      <c r="G203" t="s">
        <v>9</v>
      </c>
      <c r="H203" t="s">
        <v>10</v>
      </c>
      <c r="I203" t="s">
        <v>523</v>
      </c>
      <c r="J203">
        <v>17</v>
      </c>
      <c r="K203" t="e">
        <f>IF(COUNTIF(#REF!,Tabela2[[#This Row],[IdxWspolny]])&gt;0,"ELEM_lub_PRD","TECHN")</f>
        <v>#REF!</v>
      </c>
      <c r="L203" t="e">
        <f>IF(COUNTIF(#REF!,Tabela2[[#This Row],[KOD_PRODUKTU]])&gt;0,"ELEMENT","PRODUKT")</f>
        <v>#REF!</v>
      </c>
      <c r="M203" t="e">
        <f>COUNTIF(#REF!,Tabela2[[#This Row],[KOD_PRODUKTU]])</f>
        <v>#REF!</v>
      </c>
    </row>
    <row r="204" spans="1:14" x14ac:dyDescent="0.25">
      <c r="A204" s="1" t="s">
        <v>524</v>
      </c>
      <c r="B204" t="s">
        <v>525</v>
      </c>
      <c r="C204" s="1" t="s">
        <v>471</v>
      </c>
      <c r="D204" s="1" t="s">
        <v>471</v>
      </c>
      <c r="E204" s="1" t="s">
        <v>471</v>
      </c>
      <c r="F204" t="s">
        <v>472</v>
      </c>
      <c r="G204" t="s">
        <v>526</v>
      </c>
      <c r="H204" t="s">
        <v>5</v>
      </c>
      <c r="I204" t="s">
        <v>527</v>
      </c>
      <c r="J204">
        <v>22.5</v>
      </c>
      <c r="K204" t="e">
        <f>IF(COUNTIF(#REF!,Tabela2[[#This Row],[IdxWspolny]])&gt;0,"ELEM_lub_PRD","TECHN")</f>
        <v>#REF!</v>
      </c>
      <c r="L204" t="e">
        <f>IF(COUNTIF(#REF!,Tabela2[[#This Row],[KOD_PRODUKTU]])&gt;0,"ELEMENT","PRODUKT")</f>
        <v>#REF!</v>
      </c>
      <c r="M204" t="e">
        <f>COUNTIF(#REF!,Tabela2[[#This Row],[KOD_PRODUKTU]])</f>
        <v>#REF!</v>
      </c>
    </row>
    <row r="205" spans="1:14" x14ac:dyDescent="0.25">
      <c r="A205" s="1" t="s">
        <v>524</v>
      </c>
      <c r="B205" t="s">
        <v>525</v>
      </c>
      <c r="C205" s="1" t="s">
        <v>511</v>
      </c>
      <c r="D205" s="1" t="s">
        <v>511</v>
      </c>
      <c r="E205" s="1" t="s">
        <v>511</v>
      </c>
      <c r="F205" t="s">
        <v>512</v>
      </c>
      <c r="G205" t="s">
        <v>513</v>
      </c>
      <c r="H205" t="s">
        <v>39</v>
      </c>
      <c r="I205" t="s">
        <v>478</v>
      </c>
      <c r="J205">
        <v>0.44</v>
      </c>
      <c r="K205" t="e">
        <f>IF(COUNTIF(#REF!,Tabela2[[#This Row],[IdxWspolny]])&gt;0,"ELEM_lub_PRD","TECHN")</f>
        <v>#REF!</v>
      </c>
      <c r="L205" t="e">
        <f>IF(COUNTIF(#REF!,Tabela2[[#This Row],[KOD_PRODUKTU]])&gt;0,"ELEMENT","PRODUKT")</f>
        <v>#REF!</v>
      </c>
      <c r="M205" t="e">
        <f>COUNTIF(#REF!,Tabela2[[#This Row],[KOD_PRODUKTU]])</f>
        <v>#REF!</v>
      </c>
    </row>
    <row r="206" spans="1:14" x14ac:dyDescent="0.25">
      <c r="A206" s="1" t="s">
        <v>524</v>
      </c>
      <c r="B206" t="s">
        <v>525</v>
      </c>
      <c r="C206" s="1" t="s">
        <v>479</v>
      </c>
      <c r="D206" s="1" t="s">
        <v>479</v>
      </c>
      <c r="E206" s="1" t="s">
        <v>479</v>
      </c>
      <c r="F206" t="s">
        <v>480</v>
      </c>
      <c r="G206" t="s">
        <v>481</v>
      </c>
      <c r="H206" t="s">
        <v>5</v>
      </c>
      <c r="I206" t="s">
        <v>482</v>
      </c>
      <c r="J206">
        <v>0.04</v>
      </c>
      <c r="K206" t="e">
        <f>IF(COUNTIF(#REF!,Tabela2[[#This Row],[IdxWspolny]])&gt;0,"ELEM_lub_PRD","TECHN")</f>
        <v>#REF!</v>
      </c>
      <c r="L206" t="e">
        <f>IF(COUNTIF(#REF!,Tabela2[[#This Row],[KOD_PRODUKTU]])&gt;0,"ELEMENT","PRODUKT")</f>
        <v>#REF!</v>
      </c>
      <c r="M206" t="e">
        <f>COUNTIF(#REF!,Tabela2[[#This Row],[KOD_PRODUKTU]])</f>
        <v>#REF!</v>
      </c>
    </row>
    <row r="207" spans="1:14" x14ac:dyDescent="0.25">
      <c r="A207" s="1" t="s">
        <v>524</v>
      </c>
      <c r="B207" t="s">
        <v>525</v>
      </c>
      <c r="C207" s="1" t="s">
        <v>483</v>
      </c>
      <c r="D207" s="1" t="s">
        <v>483</v>
      </c>
      <c r="E207" s="1" t="s">
        <v>483</v>
      </c>
      <c r="F207" t="s">
        <v>484</v>
      </c>
      <c r="G207" t="s">
        <v>485</v>
      </c>
      <c r="H207" t="s">
        <v>5</v>
      </c>
      <c r="I207" t="s">
        <v>528</v>
      </c>
      <c r="J207">
        <v>0.02</v>
      </c>
      <c r="K207" t="e">
        <f>IF(COUNTIF(#REF!,Tabela2[[#This Row],[IdxWspolny]])&gt;0,"ELEM_lub_PRD","TECHN")</f>
        <v>#REF!</v>
      </c>
      <c r="L207" t="e">
        <f>IF(COUNTIF(#REF!,Tabela2[[#This Row],[KOD_PRODUKTU]])&gt;0,"ELEMENT","PRODUKT")</f>
        <v>#REF!</v>
      </c>
      <c r="M207" t="e">
        <f>COUNTIF(#REF!,Tabela2[[#This Row],[KOD_PRODUKTU]])</f>
        <v>#REF!</v>
      </c>
    </row>
    <row r="208" spans="1:14" x14ac:dyDescent="0.25">
      <c r="A208" s="1" t="s">
        <v>524</v>
      </c>
      <c r="B208" t="s">
        <v>525</v>
      </c>
      <c r="C208" s="1" t="s">
        <v>487</v>
      </c>
      <c r="D208" s="1" t="s">
        <v>487</v>
      </c>
      <c r="E208" s="1" t="s">
        <v>487</v>
      </c>
      <c r="F208" t="s">
        <v>488</v>
      </c>
      <c r="G208" t="s">
        <v>489</v>
      </c>
      <c r="H208" t="s">
        <v>5</v>
      </c>
      <c r="I208" t="s">
        <v>529</v>
      </c>
      <c r="J208">
        <v>0.3</v>
      </c>
      <c r="K208" t="e">
        <f>IF(COUNTIF(#REF!,Tabela2[[#This Row],[IdxWspolny]])&gt;0,"ELEM_lub_PRD","TECHN")</f>
        <v>#REF!</v>
      </c>
      <c r="L208" t="e">
        <f>IF(COUNTIF(#REF!,Tabela2[[#This Row],[KOD_PRODUKTU]])&gt;0,"ELEMENT","PRODUKT")</f>
        <v>#REF!</v>
      </c>
      <c r="M208" t="e">
        <f>COUNTIF(#REF!,Tabela2[[#This Row],[KOD_PRODUKTU]])</f>
        <v>#REF!</v>
      </c>
    </row>
    <row r="209" spans="1:14" x14ac:dyDescent="0.25">
      <c r="A209" s="1" t="s">
        <v>524</v>
      </c>
      <c r="B209" t="s">
        <v>525</v>
      </c>
      <c r="C209" s="1" t="s">
        <v>491</v>
      </c>
      <c r="D209" s="1" t="s">
        <v>491</v>
      </c>
      <c r="E209" s="1" t="s">
        <v>491</v>
      </c>
      <c r="F209" t="s">
        <v>492</v>
      </c>
      <c r="G209" t="s">
        <v>493</v>
      </c>
      <c r="H209" t="s">
        <v>121</v>
      </c>
      <c r="I209" t="s">
        <v>92</v>
      </c>
      <c r="J209">
        <v>13.7</v>
      </c>
      <c r="K209" t="e">
        <f>IF(COUNTIF(#REF!,Tabela2[[#This Row],[IdxWspolny]])&gt;0,"ELEM_lub_PRD","TECHN")</f>
        <v>#REF!</v>
      </c>
      <c r="L209" t="e">
        <f>IF(COUNTIF(#REF!,Tabela2[[#This Row],[KOD_PRODUKTU]])&gt;0,"ELEMENT","PRODUKT")</f>
        <v>#REF!</v>
      </c>
      <c r="M209" t="e">
        <f>COUNTIF(#REF!,Tabela2[[#This Row],[KOD_PRODUKTU]])</f>
        <v>#REF!</v>
      </c>
    </row>
    <row r="210" spans="1:14" x14ac:dyDescent="0.25">
      <c r="A210" s="1" t="s">
        <v>524</v>
      </c>
      <c r="B210" t="s">
        <v>525</v>
      </c>
      <c r="C210" s="1" t="s">
        <v>494</v>
      </c>
      <c r="D210" s="1" t="s">
        <v>494</v>
      </c>
      <c r="E210" s="1" t="s">
        <v>494</v>
      </c>
      <c r="F210" t="s">
        <v>495</v>
      </c>
      <c r="G210" t="s">
        <v>496</v>
      </c>
      <c r="H210" t="s">
        <v>121</v>
      </c>
      <c r="I210" t="s">
        <v>50</v>
      </c>
      <c r="J210">
        <v>17.45</v>
      </c>
      <c r="K210" t="e">
        <f>IF(COUNTIF(#REF!,Tabela2[[#This Row],[IdxWspolny]])&gt;0,"ELEM_lub_PRD","TECHN")</f>
        <v>#REF!</v>
      </c>
      <c r="L210" t="e">
        <f>IF(COUNTIF(#REF!,Tabela2[[#This Row],[KOD_PRODUKTU]])&gt;0,"ELEMENT","PRODUKT")</f>
        <v>#REF!</v>
      </c>
      <c r="M210" t="e">
        <f>COUNTIF(#REF!,Tabela2[[#This Row],[KOD_PRODUKTU]])</f>
        <v>#REF!</v>
      </c>
    </row>
    <row r="211" spans="1:14" x14ac:dyDescent="0.25">
      <c r="A211" s="1" t="s">
        <v>524</v>
      </c>
      <c r="B211" t="s">
        <v>525</v>
      </c>
      <c r="C211" s="1" t="s">
        <v>497</v>
      </c>
      <c r="D211" s="1" t="s">
        <v>497</v>
      </c>
      <c r="E211" s="1" t="s">
        <v>497</v>
      </c>
      <c r="F211" t="s">
        <v>498</v>
      </c>
      <c r="G211" t="s">
        <v>496</v>
      </c>
      <c r="H211" t="s">
        <v>121</v>
      </c>
      <c r="I211" t="s">
        <v>50</v>
      </c>
      <c r="J211">
        <v>17.45</v>
      </c>
      <c r="K211" t="e">
        <f>IF(COUNTIF(#REF!,Tabela2[[#This Row],[IdxWspolny]])&gt;0,"ELEM_lub_PRD","TECHN")</f>
        <v>#REF!</v>
      </c>
      <c r="L211" t="e">
        <f>IF(COUNTIF(#REF!,Tabela2[[#This Row],[KOD_PRODUKTU]])&gt;0,"ELEMENT","PRODUKT")</f>
        <v>#REF!</v>
      </c>
      <c r="M211" t="e">
        <f>COUNTIF(#REF!,Tabela2[[#This Row],[KOD_PRODUKTU]])</f>
        <v>#REF!</v>
      </c>
    </row>
    <row r="212" spans="1:14" x14ac:dyDescent="0.25">
      <c r="A212" s="1" t="s">
        <v>524</v>
      </c>
      <c r="B212" t="s">
        <v>525</v>
      </c>
      <c r="C212" s="1" t="s">
        <v>499</v>
      </c>
      <c r="D212" s="1" t="s">
        <v>499</v>
      </c>
      <c r="E212" s="1" t="s">
        <v>499</v>
      </c>
      <c r="F212" t="s">
        <v>500</v>
      </c>
      <c r="G212" t="s">
        <v>501</v>
      </c>
      <c r="H212" t="s">
        <v>121</v>
      </c>
      <c r="I212" t="s">
        <v>50</v>
      </c>
      <c r="J212">
        <v>4.5</v>
      </c>
      <c r="K212" t="e">
        <f>IF(COUNTIF(#REF!,Tabela2[[#This Row],[IdxWspolny]])&gt;0,"ELEM_lub_PRD","TECHN")</f>
        <v>#REF!</v>
      </c>
      <c r="L212" t="e">
        <f>IF(COUNTIF(#REF!,Tabela2[[#This Row],[KOD_PRODUKTU]])&gt;0,"ELEMENT","PRODUKT")</f>
        <v>#REF!</v>
      </c>
      <c r="M212" t="e">
        <f>COUNTIF(#REF!,Tabela2[[#This Row],[KOD_PRODUKTU]])</f>
        <v>#REF!</v>
      </c>
    </row>
    <row r="213" spans="1:14" hidden="1" x14ac:dyDescent="0.25">
      <c r="A213" s="1" t="s">
        <v>524</v>
      </c>
      <c r="B213" t="s">
        <v>525</v>
      </c>
      <c r="C213" s="1" t="s">
        <v>502</v>
      </c>
      <c r="D213" s="1" t="s">
        <v>502</v>
      </c>
      <c r="E213" s="1" t="s">
        <v>502</v>
      </c>
      <c r="F213" t="s">
        <v>503</v>
      </c>
      <c r="G213" t="s">
        <v>31</v>
      </c>
      <c r="H213" t="s">
        <v>121</v>
      </c>
      <c r="I213" t="s">
        <v>50</v>
      </c>
      <c r="J213">
        <v>10.6</v>
      </c>
      <c r="K213" t="e">
        <f>IF(COUNTIF(#REF!,Tabela2[[#This Row],[IdxWspolny]])&gt;0,"ELEM_lub_PRD","TECHN")</f>
        <v>#REF!</v>
      </c>
      <c r="L213" t="e">
        <f>IF(COUNTIF(#REF!,Tabela2[[#This Row],[KOD_PRODUKTU]])&gt;0,"ELEMENT","PRODUKT")</f>
        <v>#REF!</v>
      </c>
      <c r="M213" t="e">
        <f>COUNTIF(#REF!,Tabela2[[#This Row],[KOD_PRODUKTU]])</f>
        <v>#REF!</v>
      </c>
      <c r="N213" t="s">
        <v>55</v>
      </c>
    </row>
    <row r="214" spans="1:14" x14ac:dyDescent="0.25">
      <c r="A214" s="1" t="s">
        <v>524</v>
      </c>
      <c r="B214" t="s">
        <v>525</v>
      </c>
      <c r="C214" s="1" t="s">
        <v>7</v>
      </c>
      <c r="D214" s="1" t="s">
        <v>7</v>
      </c>
      <c r="E214" s="1" t="s">
        <v>7</v>
      </c>
      <c r="F214" t="s">
        <v>8</v>
      </c>
      <c r="G214" t="s">
        <v>9</v>
      </c>
      <c r="H214" t="s">
        <v>10</v>
      </c>
      <c r="I214" t="s">
        <v>530</v>
      </c>
      <c r="J214">
        <v>48.3</v>
      </c>
      <c r="K214" t="e">
        <f>IF(COUNTIF(#REF!,Tabela2[[#This Row],[IdxWspolny]])&gt;0,"ELEM_lub_PRD","TECHN")</f>
        <v>#REF!</v>
      </c>
      <c r="L214" t="e">
        <f>IF(COUNTIF(#REF!,Tabela2[[#This Row],[KOD_PRODUKTU]])&gt;0,"ELEMENT","PRODUKT")</f>
        <v>#REF!</v>
      </c>
      <c r="M214" t="e">
        <f>COUNTIF(#REF!,Tabela2[[#This Row],[KOD_PRODUKTU]])</f>
        <v>#REF!</v>
      </c>
    </row>
    <row r="215" spans="1:14" x14ac:dyDescent="0.25">
      <c r="A215" s="1" t="s">
        <v>531</v>
      </c>
      <c r="B215" t="s">
        <v>532</v>
      </c>
      <c r="C215" s="1" t="s">
        <v>471</v>
      </c>
      <c r="D215" s="1" t="s">
        <v>471</v>
      </c>
      <c r="E215" s="1" t="s">
        <v>471</v>
      </c>
      <c r="F215" t="s">
        <v>472</v>
      </c>
      <c r="G215" t="s">
        <v>526</v>
      </c>
      <c r="H215" t="s">
        <v>5</v>
      </c>
      <c r="I215" t="s">
        <v>533</v>
      </c>
      <c r="J215">
        <v>13.51</v>
      </c>
      <c r="K215" t="e">
        <f>IF(COUNTIF(#REF!,Tabela2[[#This Row],[IdxWspolny]])&gt;0,"ELEM_lub_PRD","TECHN")</f>
        <v>#REF!</v>
      </c>
      <c r="L215" t="e">
        <f>IF(COUNTIF(#REF!,Tabela2[[#This Row],[KOD_PRODUKTU]])&gt;0,"ELEMENT","PRODUKT")</f>
        <v>#REF!</v>
      </c>
      <c r="M215" t="e">
        <f>COUNTIF(#REF!,Tabela2[[#This Row],[KOD_PRODUKTU]])</f>
        <v>#REF!</v>
      </c>
    </row>
    <row r="216" spans="1:14" x14ac:dyDescent="0.25">
      <c r="A216" s="1" t="s">
        <v>531</v>
      </c>
      <c r="B216" t="s">
        <v>532</v>
      </c>
      <c r="C216" s="1" t="s">
        <v>475</v>
      </c>
      <c r="D216" s="1" t="s">
        <v>475</v>
      </c>
      <c r="E216" s="1" t="s">
        <v>475</v>
      </c>
      <c r="F216" t="s">
        <v>476</v>
      </c>
      <c r="G216" t="s">
        <v>477</v>
      </c>
      <c r="H216" t="s">
        <v>39</v>
      </c>
      <c r="I216" t="s">
        <v>478</v>
      </c>
      <c r="J216">
        <v>0.41</v>
      </c>
      <c r="K216" t="e">
        <f>IF(COUNTIF(#REF!,Tabela2[[#This Row],[IdxWspolny]])&gt;0,"ELEM_lub_PRD","TECHN")</f>
        <v>#REF!</v>
      </c>
      <c r="L216" t="e">
        <f>IF(COUNTIF(#REF!,Tabela2[[#This Row],[KOD_PRODUKTU]])&gt;0,"ELEMENT","PRODUKT")</f>
        <v>#REF!</v>
      </c>
      <c r="M216" t="e">
        <f>COUNTIF(#REF!,Tabela2[[#This Row],[KOD_PRODUKTU]])</f>
        <v>#REF!</v>
      </c>
    </row>
    <row r="217" spans="1:14" x14ac:dyDescent="0.25">
      <c r="A217" s="1" t="s">
        <v>531</v>
      </c>
      <c r="B217" t="s">
        <v>532</v>
      </c>
      <c r="C217" s="1" t="s">
        <v>479</v>
      </c>
      <c r="D217" s="1" t="s">
        <v>479</v>
      </c>
      <c r="E217" s="1" t="s">
        <v>479</v>
      </c>
      <c r="F217" t="s">
        <v>480</v>
      </c>
      <c r="G217" t="s">
        <v>481</v>
      </c>
      <c r="H217" t="s">
        <v>5</v>
      </c>
      <c r="I217" t="s">
        <v>534</v>
      </c>
      <c r="J217">
        <v>0.05</v>
      </c>
      <c r="K217" t="e">
        <f>IF(COUNTIF(#REF!,Tabela2[[#This Row],[IdxWspolny]])&gt;0,"ELEM_lub_PRD","TECHN")</f>
        <v>#REF!</v>
      </c>
      <c r="L217" t="e">
        <f>IF(COUNTIF(#REF!,Tabela2[[#This Row],[KOD_PRODUKTU]])&gt;0,"ELEMENT","PRODUKT")</f>
        <v>#REF!</v>
      </c>
      <c r="M217" t="e">
        <f>COUNTIF(#REF!,Tabela2[[#This Row],[KOD_PRODUKTU]])</f>
        <v>#REF!</v>
      </c>
    </row>
    <row r="218" spans="1:14" x14ac:dyDescent="0.25">
      <c r="A218" s="1" t="s">
        <v>531</v>
      </c>
      <c r="B218" t="s">
        <v>532</v>
      </c>
      <c r="C218" s="1" t="s">
        <v>483</v>
      </c>
      <c r="D218" s="1" t="s">
        <v>483</v>
      </c>
      <c r="E218" s="1" t="s">
        <v>483</v>
      </c>
      <c r="F218" t="s">
        <v>484</v>
      </c>
      <c r="G218" t="s">
        <v>485</v>
      </c>
      <c r="H218" t="s">
        <v>5</v>
      </c>
      <c r="I218" t="s">
        <v>535</v>
      </c>
      <c r="J218">
        <v>0.03</v>
      </c>
      <c r="K218" t="e">
        <f>IF(COUNTIF(#REF!,Tabela2[[#This Row],[IdxWspolny]])&gt;0,"ELEM_lub_PRD","TECHN")</f>
        <v>#REF!</v>
      </c>
      <c r="L218" t="e">
        <f>IF(COUNTIF(#REF!,Tabela2[[#This Row],[KOD_PRODUKTU]])&gt;0,"ELEMENT","PRODUKT")</f>
        <v>#REF!</v>
      </c>
      <c r="M218" t="e">
        <f>COUNTIF(#REF!,Tabela2[[#This Row],[KOD_PRODUKTU]])</f>
        <v>#REF!</v>
      </c>
    </row>
    <row r="219" spans="1:14" x14ac:dyDescent="0.25">
      <c r="A219" s="1" t="s">
        <v>531</v>
      </c>
      <c r="B219" t="s">
        <v>532</v>
      </c>
      <c r="C219" s="1" t="s">
        <v>487</v>
      </c>
      <c r="D219" s="1" t="s">
        <v>487</v>
      </c>
      <c r="E219" s="1" t="s">
        <v>487</v>
      </c>
      <c r="F219" t="s">
        <v>488</v>
      </c>
      <c r="G219" t="s">
        <v>489</v>
      </c>
      <c r="H219" t="s">
        <v>5</v>
      </c>
      <c r="I219" t="s">
        <v>490</v>
      </c>
      <c r="J219">
        <v>0.28999999999999998</v>
      </c>
      <c r="K219" t="e">
        <f>IF(COUNTIF(#REF!,Tabela2[[#This Row],[IdxWspolny]])&gt;0,"ELEM_lub_PRD","TECHN")</f>
        <v>#REF!</v>
      </c>
      <c r="L219" t="e">
        <f>IF(COUNTIF(#REF!,Tabela2[[#This Row],[KOD_PRODUKTU]])&gt;0,"ELEMENT","PRODUKT")</f>
        <v>#REF!</v>
      </c>
      <c r="M219" t="e">
        <f>COUNTIF(#REF!,Tabela2[[#This Row],[KOD_PRODUKTU]])</f>
        <v>#REF!</v>
      </c>
    </row>
    <row r="220" spans="1:14" x14ac:dyDescent="0.25">
      <c r="A220" s="1" t="s">
        <v>531</v>
      </c>
      <c r="B220" t="s">
        <v>532</v>
      </c>
      <c r="C220" s="1" t="s">
        <v>41</v>
      </c>
      <c r="D220" s="1" t="s">
        <v>41</v>
      </c>
      <c r="E220" s="1" t="s">
        <v>41</v>
      </c>
      <c r="F220" t="s">
        <v>42</v>
      </c>
      <c r="G220" t="s">
        <v>43</v>
      </c>
      <c r="H220" t="s">
        <v>5</v>
      </c>
      <c r="I220" t="s">
        <v>44</v>
      </c>
      <c r="J220">
        <v>0.01</v>
      </c>
      <c r="K220" t="e">
        <f>IF(COUNTIF(#REF!,Tabela2[[#This Row],[IdxWspolny]])&gt;0,"ELEM_lub_PRD","TECHN")</f>
        <v>#REF!</v>
      </c>
      <c r="L220" t="e">
        <f>IF(COUNTIF(#REF!,Tabela2[[#This Row],[KOD_PRODUKTU]])&gt;0,"ELEMENT","PRODUKT")</f>
        <v>#REF!</v>
      </c>
      <c r="M220" t="e">
        <f>COUNTIF(#REF!,Tabela2[[#This Row],[KOD_PRODUKTU]])</f>
        <v>#REF!</v>
      </c>
    </row>
    <row r="221" spans="1:14" x14ac:dyDescent="0.25">
      <c r="A221" s="1" t="s">
        <v>531</v>
      </c>
      <c r="B221" t="s">
        <v>532</v>
      </c>
      <c r="C221" s="1" t="s">
        <v>491</v>
      </c>
      <c r="D221" s="1" t="s">
        <v>491</v>
      </c>
      <c r="E221" s="1" t="s">
        <v>491</v>
      </c>
      <c r="F221" t="s">
        <v>492</v>
      </c>
      <c r="G221" t="s">
        <v>493</v>
      </c>
      <c r="H221" t="s">
        <v>121</v>
      </c>
      <c r="I221" t="s">
        <v>92</v>
      </c>
      <c r="J221">
        <v>13.7</v>
      </c>
      <c r="K221" t="e">
        <f>IF(COUNTIF(#REF!,Tabela2[[#This Row],[IdxWspolny]])&gt;0,"ELEM_lub_PRD","TECHN")</f>
        <v>#REF!</v>
      </c>
      <c r="L221" t="e">
        <f>IF(COUNTIF(#REF!,Tabela2[[#This Row],[KOD_PRODUKTU]])&gt;0,"ELEMENT","PRODUKT")</f>
        <v>#REF!</v>
      </c>
      <c r="M221" t="e">
        <f>COUNTIF(#REF!,Tabela2[[#This Row],[KOD_PRODUKTU]])</f>
        <v>#REF!</v>
      </c>
    </row>
    <row r="222" spans="1:14" x14ac:dyDescent="0.25">
      <c r="A222" s="1" t="s">
        <v>531</v>
      </c>
      <c r="B222" t="s">
        <v>532</v>
      </c>
      <c r="C222" s="1" t="s">
        <v>499</v>
      </c>
      <c r="D222" s="1" t="s">
        <v>499</v>
      </c>
      <c r="E222" s="1" t="s">
        <v>499</v>
      </c>
      <c r="F222" t="s">
        <v>500</v>
      </c>
      <c r="G222" t="s">
        <v>501</v>
      </c>
      <c r="H222" t="s">
        <v>121</v>
      </c>
      <c r="I222" t="s">
        <v>50</v>
      </c>
      <c r="J222">
        <v>4.5</v>
      </c>
      <c r="K222" t="e">
        <f>IF(COUNTIF(#REF!,Tabela2[[#This Row],[IdxWspolny]])&gt;0,"ELEM_lub_PRD","TECHN")</f>
        <v>#REF!</v>
      </c>
      <c r="L222" t="e">
        <f>IF(COUNTIF(#REF!,Tabela2[[#This Row],[KOD_PRODUKTU]])&gt;0,"ELEMENT","PRODUKT")</f>
        <v>#REF!</v>
      </c>
      <c r="M222" t="e">
        <f>COUNTIF(#REF!,Tabela2[[#This Row],[KOD_PRODUKTU]])</f>
        <v>#REF!</v>
      </c>
    </row>
    <row r="223" spans="1:14" x14ac:dyDescent="0.25">
      <c r="A223" s="1" t="s">
        <v>531</v>
      </c>
      <c r="B223" t="s">
        <v>532</v>
      </c>
      <c r="C223" s="1" t="s">
        <v>536</v>
      </c>
      <c r="D223" s="1" t="s">
        <v>536</v>
      </c>
      <c r="E223" s="1" t="s">
        <v>536</v>
      </c>
      <c r="F223" t="s">
        <v>537</v>
      </c>
      <c r="G223" t="s">
        <v>538</v>
      </c>
      <c r="H223" t="s">
        <v>121</v>
      </c>
      <c r="I223" t="s">
        <v>50</v>
      </c>
      <c r="J223">
        <v>15.7</v>
      </c>
      <c r="K223" t="e">
        <f>IF(COUNTIF(#REF!,Tabela2[[#This Row],[IdxWspolny]])&gt;0,"ELEM_lub_PRD","TECHN")</f>
        <v>#REF!</v>
      </c>
      <c r="L223" t="e">
        <f>IF(COUNTIF(#REF!,Tabela2[[#This Row],[KOD_PRODUKTU]])&gt;0,"ELEMENT","PRODUKT")</f>
        <v>#REF!</v>
      </c>
      <c r="M223" t="e">
        <f>COUNTIF(#REF!,Tabela2[[#This Row],[KOD_PRODUKTU]])</f>
        <v>#REF!</v>
      </c>
    </row>
    <row r="224" spans="1:14" x14ac:dyDescent="0.25">
      <c r="A224" s="1" t="s">
        <v>531</v>
      </c>
      <c r="B224" t="s">
        <v>532</v>
      </c>
      <c r="C224" s="1" t="s">
        <v>539</v>
      </c>
      <c r="D224" s="1" t="s">
        <v>539</v>
      </c>
      <c r="E224" s="1" t="s">
        <v>539</v>
      </c>
      <c r="F224" t="s">
        <v>540</v>
      </c>
      <c r="G224" t="s">
        <v>538</v>
      </c>
      <c r="H224" t="s">
        <v>121</v>
      </c>
      <c r="I224" t="s">
        <v>50</v>
      </c>
      <c r="J224">
        <v>15.7</v>
      </c>
      <c r="K224" t="e">
        <f>IF(COUNTIF(#REF!,Tabela2[[#This Row],[IdxWspolny]])&gt;0,"ELEM_lub_PRD","TECHN")</f>
        <v>#REF!</v>
      </c>
      <c r="L224" t="e">
        <f>IF(COUNTIF(#REF!,Tabela2[[#This Row],[KOD_PRODUKTU]])&gt;0,"ELEMENT","PRODUKT")</f>
        <v>#REF!</v>
      </c>
      <c r="M224" t="e">
        <f>COUNTIF(#REF!,Tabela2[[#This Row],[KOD_PRODUKTU]])</f>
        <v>#REF!</v>
      </c>
    </row>
    <row r="225" spans="1:14" hidden="1" x14ac:dyDescent="0.25">
      <c r="A225" s="1" t="s">
        <v>531</v>
      </c>
      <c r="B225" t="s">
        <v>532</v>
      </c>
      <c r="C225" s="1" t="s">
        <v>502</v>
      </c>
      <c r="D225" s="1" t="s">
        <v>502</v>
      </c>
      <c r="E225" s="1" t="s">
        <v>502</v>
      </c>
      <c r="F225" t="s">
        <v>503</v>
      </c>
      <c r="G225" t="s">
        <v>31</v>
      </c>
      <c r="H225" t="s">
        <v>121</v>
      </c>
      <c r="I225" t="s">
        <v>50</v>
      </c>
      <c r="J225">
        <v>10.6</v>
      </c>
      <c r="K225" t="e">
        <f>IF(COUNTIF(#REF!,Tabela2[[#This Row],[IdxWspolny]])&gt;0,"ELEM_lub_PRD","TECHN")</f>
        <v>#REF!</v>
      </c>
      <c r="L225" t="e">
        <f>IF(COUNTIF(#REF!,Tabela2[[#This Row],[KOD_PRODUKTU]])&gt;0,"ELEMENT","PRODUKT")</f>
        <v>#REF!</v>
      </c>
      <c r="M225" t="e">
        <f>COUNTIF(#REF!,Tabela2[[#This Row],[KOD_PRODUKTU]])</f>
        <v>#REF!</v>
      </c>
      <c r="N225" t="s">
        <v>55</v>
      </c>
    </row>
    <row r="226" spans="1:14" x14ac:dyDescent="0.25">
      <c r="A226" s="1" t="s">
        <v>531</v>
      </c>
      <c r="B226" t="s">
        <v>532</v>
      </c>
      <c r="C226" s="1" t="s">
        <v>541</v>
      </c>
      <c r="D226" s="1" t="s">
        <v>541</v>
      </c>
      <c r="E226" s="1" t="s">
        <v>541</v>
      </c>
      <c r="F226" t="s">
        <v>542</v>
      </c>
      <c r="G226" t="s">
        <v>9</v>
      </c>
      <c r="H226" t="s">
        <v>10</v>
      </c>
      <c r="I226" t="s">
        <v>543</v>
      </c>
      <c r="J226">
        <v>33.65</v>
      </c>
      <c r="K226" t="e">
        <f>IF(COUNTIF(#REF!,Tabela2[[#This Row],[IdxWspolny]])&gt;0,"ELEM_lub_PRD","TECHN")</f>
        <v>#REF!</v>
      </c>
      <c r="L226" t="e">
        <f>IF(COUNTIF(#REF!,Tabela2[[#This Row],[KOD_PRODUKTU]])&gt;0,"ELEMENT","PRODUKT")</f>
        <v>#REF!</v>
      </c>
      <c r="M226" t="e">
        <f>COUNTIF(#REF!,Tabela2[[#This Row],[KOD_PRODUKTU]])</f>
        <v>#REF!</v>
      </c>
    </row>
    <row r="227" spans="1:14" x14ac:dyDescent="0.25">
      <c r="A227" s="1" t="s">
        <v>544</v>
      </c>
      <c r="B227" t="s">
        <v>545</v>
      </c>
      <c r="C227" s="1" t="s">
        <v>471</v>
      </c>
      <c r="D227" s="1" t="s">
        <v>471</v>
      </c>
      <c r="E227" s="1" t="s">
        <v>471</v>
      </c>
      <c r="F227" t="s">
        <v>472</v>
      </c>
      <c r="G227" t="s">
        <v>526</v>
      </c>
      <c r="H227" t="s">
        <v>5</v>
      </c>
      <c r="I227" t="s">
        <v>546</v>
      </c>
      <c r="J227">
        <v>26.41</v>
      </c>
      <c r="K227" t="e">
        <f>IF(COUNTIF(#REF!,Tabela2[[#This Row],[IdxWspolny]])&gt;0,"ELEM_lub_PRD","TECHN")</f>
        <v>#REF!</v>
      </c>
      <c r="L227" t="e">
        <f>IF(COUNTIF(#REF!,Tabela2[[#This Row],[KOD_PRODUKTU]])&gt;0,"ELEMENT","PRODUKT")</f>
        <v>#REF!</v>
      </c>
      <c r="M227" t="e">
        <f>COUNTIF(#REF!,Tabela2[[#This Row],[KOD_PRODUKTU]])</f>
        <v>#REF!</v>
      </c>
    </row>
    <row r="228" spans="1:14" x14ac:dyDescent="0.25">
      <c r="A228" s="1" t="s">
        <v>544</v>
      </c>
      <c r="B228" t="s">
        <v>545</v>
      </c>
      <c r="C228" s="1" t="s">
        <v>475</v>
      </c>
      <c r="D228" s="1" t="s">
        <v>475</v>
      </c>
      <c r="E228" s="1" t="s">
        <v>475</v>
      </c>
      <c r="F228" t="s">
        <v>476</v>
      </c>
      <c r="G228" t="s">
        <v>477</v>
      </c>
      <c r="H228" t="s">
        <v>39</v>
      </c>
      <c r="I228" t="s">
        <v>478</v>
      </c>
      <c r="J228">
        <v>0.41</v>
      </c>
      <c r="K228" t="e">
        <f>IF(COUNTIF(#REF!,Tabela2[[#This Row],[IdxWspolny]])&gt;0,"ELEM_lub_PRD","TECHN")</f>
        <v>#REF!</v>
      </c>
      <c r="L228" t="e">
        <f>IF(COUNTIF(#REF!,Tabela2[[#This Row],[KOD_PRODUKTU]])&gt;0,"ELEMENT","PRODUKT")</f>
        <v>#REF!</v>
      </c>
      <c r="M228" t="e">
        <f>COUNTIF(#REF!,Tabela2[[#This Row],[KOD_PRODUKTU]])</f>
        <v>#REF!</v>
      </c>
    </row>
    <row r="229" spans="1:14" x14ac:dyDescent="0.25">
      <c r="A229" s="1" t="s">
        <v>544</v>
      </c>
      <c r="B229" t="s">
        <v>545</v>
      </c>
      <c r="C229" s="1" t="s">
        <v>479</v>
      </c>
      <c r="D229" s="1" t="s">
        <v>479</v>
      </c>
      <c r="E229" s="1" t="s">
        <v>479</v>
      </c>
      <c r="F229" t="s">
        <v>480</v>
      </c>
      <c r="G229" t="s">
        <v>481</v>
      </c>
      <c r="H229" t="s">
        <v>5</v>
      </c>
      <c r="I229" t="s">
        <v>547</v>
      </c>
      <c r="J229">
        <v>0.17</v>
      </c>
      <c r="K229" t="e">
        <f>IF(COUNTIF(#REF!,Tabela2[[#This Row],[IdxWspolny]])&gt;0,"ELEM_lub_PRD","TECHN")</f>
        <v>#REF!</v>
      </c>
      <c r="L229" t="e">
        <f>IF(COUNTIF(#REF!,Tabela2[[#This Row],[KOD_PRODUKTU]])&gt;0,"ELEMENT","PRODUKT")</f>
        <v>#REF!</v>
      </c>
      <c r="M229" t="e">
        <f>COUNTIF(#REF!,Tabela2[[#This Row],[KOD_PRODUKTU]])</f>
        <v>#REF!</v>
      </c>
    </row>
    <row r="230" spans="1:14" x14ac:dyDescent="0.25">
      <c r="A230" s="1" t="s">
        <v>544</v>
      </c>
      <c r="B230" t="s">
        <v>545</v>
      </c>
      <c r="C230" s="1" t="s">
        <v>483</v>
      </c>
      <c r="D230" s="1" t="s">
        <v>483</v>
      </c>
      <c r="E230" s="1" t="s">
        <v>483</v>
      </c>
      <c r="F230" t="s">
        <v>484</v>
      </c>
      <c r="G230" t="s">
        <v>485</v>
      </c>
      <c r="H230" t="s">
        <v>5</v>
      </c>
      <c r="I230" t="s">
        <v>548</v>
      </c>
      <c r="J230">
        <v>0.03</v>
      </c>
      <c r="K230" t="e">
        <f>IF(COUNTIF(#REF!,Tabela2[[#This Row],[IdxWspolny]])&gt;0,"ELEM_lub_PRD","TECHN")</f>
        <v>#REF!</v>
      </c>
      <c r="L230" t="e">
        <f>IF(COUNTIF(#REF!,Tabela2[[#This Row],[KOD_PRODUKTU]])&gt;0,"ELEMENT","PRODUKT")</f>
        <v>#REF!</v>
      </c>
      <c r="M230" t="e">
        <f>COUNTIF(#REF!,Tabela2[[#This Row],[KOD_PRODUKTU]])</f>
        <v>#REF!</v>
      </c>
    </row>
    <row r="231" spans="1:14" x14ac:dyDescent="0.25">
      <c r="A231" s="1" t="s">
        <v>544</v>
      </c>
      <c r="B231" t="s">
        <v>545</v>
      </c>
      <c r="C231" s="1" t="s">
        <v>487</v>
      </c>
      <c r="D231" s="1" t="s">
        <v>487</v>
      </c>
      <c r="E231" s="1" t="s">
        <v>487</v>
      </c>
      <c r="F231" t="s">
        <v>488</v>
      </c>
      <c r="G231" t="s">
        <v>489</v>
      </c>
      <c r="H231" t="s">
        <v>5</v>
      </c>
      <c r="I231" t="s">
        <v>549</v>
      </c>
      <c r="J231">
        <v>0.35</v>
      </c>
      <c r="K231" t="e">
        <f>IF(COUNTIF(#REF!,Tabela2[[#This Row],[IdxWspolny]])&gt;0,"ELEM_lub_PRD","TECHN")</f>
        <v>#REF!</v>
      </c>
      <c r="L231" t="e">
        <f>IF(COUNTIF(#REF!,Tabela2[[#This Row],[KOD_PRODUKTU]])&gt;0,"ELEMENT","PRODUKT")</f>
        <v>#REF!</v>
      </c>
      <c r="M231" t="e">
        <f>COUNTIF(#REF!,Tabela2[[#This Row],[KOD_PRODUKTU]])</f>
        <v>#REF!</v>
      </c>
    </row>
    <row r="232" spans="1:14" x14ac:dyDescent="0.25">
      <c r="A232" s="1" t="s">
        <v>544</v>
      </c>
      <c r="B232" t="s">
        <v>545</v>
      </c>
      <c r="C232" s="1" t="s">
        <v>41</v>
      </c>
      <c r="D232" s="1" t="s">
        <v>41</v>
      </c>
      <c r="E232" s="1" t="s">
        <v>41</v>
      </c>
      <c r="F232" t="s">
        <v>42</v>
      </c>
      <c r="G232" t="s">
        <v>43</v>
      </c>
      <c r="H232" t="s">
        <v>5</v>
      </c>
      <c r="I232" t="s">
        <v>550</v>
      </c>
      <c r="J232">
        <v>0.02</v>
      </c>
      <c r="K232" t="e">
        <f>IF(COUNTIF(#REF!,Tabela2[[#This Row],[IdxWspolny]])&gt;0,"ELEM_lub_PRD","TECHN")</f>
        <v>#REF!</v>
      </c>
      <c r="L232" t="e">
        <f>IF(COUNTIF(#REF!,Tabela2[[#This Row],[KOD_PRODUKTU]])&gt;0,"ELEMENT","PRODUKT")</f>
        <v>#REF!</v>
      </c>
      <c r="M232" t="e">
        <f>COUNTIF(#REF!,Tabela2[[#This Row],[KOD_PRODUKTU]])</f>
        <v>#REF!</v>
      </c>
    </row>
    <row r="233" spans="1:14" x14ac:dyDescent="0.25">
      <c r="A233" s="1" t="s">
        <v>544</v>
      </c>
      <c r="B233" t="s">
        <v>545</v>
      </c>
      <c r="C233" s="1" t="s">
        <v>491</v>
      </c>
      <c r="D233" s="1" t="s">
        <v>491</v>
      </c>
      <c r="E233" s="1" t="s">
        <v>491</v>
      </c>
      <c r="F233" t="s">
        <v>492</v>
      </c>
      <c r="G233" t="s">
        <v>493</v>
      </c>
      <c r="H233" t="s">
        <v>121</v>
      </c>
      <c r="I233" t="s">
        <v>92</v>
      </c>
      <c r="J233">
        <v>13.7</v>
      </c>
      <c r="K233" t="e">
        <f>IF(COUNTIF(#REF!,Tabela2[[#This Row],[IdxWspolny]])&gt;0,"ELEM_lub_PRD","TECHN")</f>
        <v>#REF!</v>
      </c>
      <c r="L233" t="e">
        <f>IF(COUNTIF(#REF!,Tabela2[[#This Row],[KOD_PRODUKTU]])&gt;0,"ELEMENT","PRODUKT")</f>
        <v>#REF!</v>
      </c>
      <c r="M233" t="e">
        <f>COUNTIF(#REF!,Tabela2[[#This Row],[KOD_PRODUKTU]])</f>
        <v>#REF!</v>
      </c>
    </row>
    <row r="234" spans="1:14" x14ac:dyDescent="0.25">
      <c r="A234" s="1" t="s">
        <v>544</v>
      </c>
      <c r="B234" t="s">
        <v>545</v>
      </c>
      <c r="C234" s="1" t="s">
        <v>499</v>
      </c>
      <c r="D234" s="1" t="s">
        <v>499</v>
      </c>
      <c r="E234" s="1" t="s">
        <v>499</v>
      </c>
      <c r="F234" t="s">
        <v>500</v>
      </c>
      <c r="G234" t="s">
        <v>501</v>
      </c>
      <c r="H234" t="s">
        <v>121</v>
      </c>
      <c r="I234" t="s">
        <v>50</v>
      </c>
      <c r="J234">
        <v>4.5</v>
      </c>
      <c r="K234" t="e">
        <f>IF(COUNTIF(#REF!,Tabela2[[#This Row],[IdxWspolny]])&gt;0,"ELEM_lub_PRD","TECHN")</f>
        <v>#REF!</v>
      </c>
      <c r="L234" t="e">
        <f>IF(COUNTIF(#REF!,Tabela2[[#This Row],[KOD_PRODUKTU]])&gt;0,"ELEMENT","PRODUKT")</f>
        <v>#REF!</v>
      </c>
      <c r="M234" t="e">
        <f>COUNTIF(#REF!,Tabela2[[#This Row],[KOD_PRODUKTU]])</f>
        <v>#REF!</v>
      </c>
    </row>
    <row r="235" spans="1:14" x14ac:dyDescent="0.25">
      <c r="A235" s="1" t="s">
        <v>544</v>
      </c>
      <c r="B235" t="s">
        <v>545</v>
      </c>
      <c r="C235" s="1" t="s">
        <v>536</v>
      </c>
      <c r="D235" s="1" t="s">
        <v>536</v>
      </c>
      <c r="E235" s="1" t="s">
        <v>536</v>
      </c>
      <c r="F235" t="s">
        <v>537</v>
      </c>
      <c r="G235" t="s">
        <v>538</v>
      </c>
      <c r="H235" t="s">
        <v>121</v>
      </c>
      <c r="I235" t="s">
        <v>50</v>
      </c>
      <c r="J235">
        <v>15.7</v>
      </c>
      <c r="K235" t="e">
        <f>IF(COUNTIF(#REF!,Tabela2[[#This Row],[IdxWspolny]])&gt;0,"ELEM_lub_PRD","TECHN")</f>
        <v>#REF!</v>
      </c>
      <c r="L235" t="e">
        <f>IF(COUNTIF(#REF!,Tabela2[[#This Row],[KOD_PRODUKTU]])&gt;0,"ELEMENT","PRODUKT")</f>
        <v>#REF!</v>
      </c>
      <c r="M235" t="e">
        <f>COUNTIF(#REF!,Tabela2[[#This Row],[KOD_PRODUKTU]])</f>
        <v>#REF!</v>
      </c>
    </row>
    <row r="236" spans="1:14" x14ac:dyDescent="0.25">
      <c r="A236" s="1" t="s">
        <v>544</v>
      </c>
      <c r="B236" t="s">
        <v>545</v>
      </c>
      <c r="C236" s="1" t="s">
        <v>539</v>
      </c>
      <c r="D236" s="1" t="s">
        <v>539</v>
      </c>
      <c r="E236" s="1" t="s">
        <v>539</v>
      </c>
      <c r="F236" t="s">
        <v>540</v>
      </c>
      <c r="G236" t="s">
        <v>538</v>
      </c>
      <c r="H236" t="s">
        <v>121</v>
      </c>
      <c r="I236" t="s">
        <v>50</v>
      </c>
      <c r="J236">
        <v>15.7</v>
      </c>
      <c r="K236" t="e">
        <f>IF(COUNTIF(#REF!,Tabela2[[#This Row],[IdxWspolny]])&gt;0,"ELEM_lub_PRD","TECHN")</f>
        <v>#REF!</v>
      </c>
      <c r="L236" t="e">
        <f>IF(COUNTIF(#REF!,Tabela2[[#This Row],[KOD_PRODUKTU]])&gt;0,"ELEMENT","PRODUKT")</f>
        <v>#REF!</v>
      </c>
      <c r="M236" t="e">
        <f>COUNTIF(#REF!,Tabela2[[#This Row],[KOD_PRODUKTU]])</f>
        <v>#REF!</v>
      </c>
    </row>
    <row r="237" spans="1:14" hidden="1" x14ac:dyDescent="0.25">
      <c r="A237" s="1" t="s">
        <v>544</v>
      </c>
      <c r="B237" t="s">
        <v>545</v>
      </c>
      <c r="C237" s="1" t="s">
        <v>502</v>
      </c>
      <c r="D237" s="1" t="s">
        <v>502</v>
      </c>
      <c r="E237" s="1" t="s">
        <v>502</v>
      </c>
      <c r="F237" t="s">
        <v>503</v>
      </c>
      <c r="G237" t="s">
        <v>31</v>
      </c>
      <c r="H237" t="s">
        <v>121</v>
      </c>
      <c r="I237" t="s">
        <v>50</v>
      </c>
      <c r="J237">
        <v>10.6</v>
      </c>
      <c r="K237" t="e">
        <f>IF(COUNTIF(#REF!,Tabela2[[#This Row],[IdxWspolny]])&gt;0,"ELEM_lub_PRD","TECHN")</f>
        <v>#REF!</v>
      </c>
      <c r="L237" t="e">
        <f>IF(COUNTIF(#REF!,Tabela2[[#This Row],[KOD_PRODUKTU]])&gt;0,"ELEMENT","PRODUKT")</f>
        <v>#REF!</v>
      </c>
      <c r="M237" t="e">
        <f>COUNTIF(#REF!,Tabela2[[#This Row],[KOD_PRODUKTU]])</f>
        <v>#REF!</v>
      </c>
      <c r="N237" t="s">
        <v>55</v>
      </c>
    </row>
    <row r="238" spans="1:14" x14ac:dyDescent="0.25">
      <c r="A238" s="1" t="s">
        <v>544</v>
      </c>
      <c r="B238" t="s">
        <v>545</v>
      </c>
      <c r="C238" s="1" t="s">
        <v>7</v>
      </c>
      <c r="D238" s="1" t="s">
        <v>7</v>
      </c>
      <c r="E238" s="1" t="s">
        <v>7</v>
      </c>
      <c r="F238" t="s">
        <v>8</v>
      </c>
      <c r="G238" t="s">
        <v>9</v>
      </c>
      <c r="H238" t="s">
        <v>10</v>
      </c>
      <c r="I238" t="s">
        <v>543</v>
      </c>
      <c r="J238">
        <v>33.65</v>
      </c>
      <c r="K238" t="e">
        <f>IF(COUNTIF(#REF!,Tabela2[[#This Row],[IdxWspolny]])&gt;0,"ELEM_lub_PRD","TECHN")</f>
        <v>#REF!</v>
      </c>
      <c r="L238" t="e">
        <f>IF(COUNTIF(#REF!,Tabela2[[#This Row],[KOD_PRODUKTU]])&gt;0,"ELEMENT","PRODUKT")</f>
        <v>#REF!</v>
      </c>
      <c r="M238" t="e">
        <f>COUNTIF(#REF!,Tabela2[[#This Row],[KOD_PRODUKTU]])</f>
        <v>#REF!</v>
      </c>
    </row>
    <row r="239" spans="1:14" x14ac:dyDescent="0.25">
      <c r="A239" s="1" t="s">
        <v>551</v>
      </c>
      <c r="B239" t="s">
        <v>552</v>
      </c>
      <c r="C239" s="1" t="s">
        <v>471</v>
      </c>
      <c r="D239" s="1" t="s">
        <v>471</v>
      </c>
      <c r="E239" s="1" t="s">
        <v>471</v>
      </c>
      <c r="F239" t="s">
        <v>472</v>
      </c>
      <c r="G239" t="s">
        <v>553</v>
      </c>
      <c r="H239" t="s">
        <v>5</v>
      </c>
      <c r="I239" t="s">
        <v>554</v>
      </c>
      <c r="J239">
        <v>19.8</v>
      </c>
      <c r="K239" t="e">
        <f>IF(COUNTIF(#REF!,Tabela2[[#This Row],[IdxWspolny]])&gt;0,"ELEM_lub_PRD","TECHN")</f>
        <v>#REF!</v>
      </c>
      <c r="L239" t="e">
        <f>IF(COUNTIF(#REF!,Tabela2[[#This Row],[KOD_PRODUKTU]])&gt;0,"ELEMENT","PRODUKT")</f>
        <v>#REF!</v>
      </c>
      <c r="M239" t="e">
        <f>COUNTIF(#REF!,Tabela2[[#This Row],[KOD_PRODUKTU]])</f>
        <v>#REF!</v>
      </c>
    </row>
    <row r="240" spans="1:14" x14ac:dyDescent="0.25">
      <c r="A240" s="1" t="s">
        <v>551</v>
      </c>
      <c r="B240" t="s">
        <v>552</v>
      </c>
      <c r="C240" s="1" t="s">
        <v>555</v>
      </c>
      <c r="D240" s="1" t="s">
        <v>555</v>
      </c>
      <c r="E240" s="1" t="s">
        <v>555</v>
      </c>
      <c r="F240" t="s">
        <v>556</v>
      </c>
      <c r="G240" t="s">
        <v>557</v>
      </c>
      <c r="H240" t="s">
        <v>39</v>
      </c>
      <c r="I240" t="s">
        <v>558</v>
      </c>
      <c r="J240">
        <v>1.36</v>
      </c>
      <c r="K240" t="e">
        <f>IF(COUNTIF(#REF!,Tabela2[[#This Row],[IdxWspolny]])&gt;0,"ELEM_lub_PRD","TECHN")</f>
        <v>#REF!</v>
      </c>
      <c r="L240" t="e">
        <f>IF(COUNTIF(#REF!,Tabela2[[#This Row],[KOD_PRODUKTU]])&gt;0,"ELEMENT","PRODUKT")</f>
        <v>#REF!</v>
      </c>
      <c r="M240" t="e">
        <f>COUNTIF(#REF!,Tabela2[[#This Row],[KOD_PRODUKTU]])</f>
        <v>#REF!</v>
      </c>
    </row>
    <row r="241" spans="1:13" x14ac:dyDescent="0.25">
      <c r="A241" s="1" t="s">
        <v>551</v>
      </c>
      <c r="B241" t="s">
        <v>552</v>
      </c>
      <c r="C241" s="1" t="s">
        <v>41</v>
      </c>
      <c r="D241" s="1" t="s">
        <v>41</v>
      </c>
      <c r="E241" s="1" t="s">
        <v>41</v>
      </c>
      <c r="F241" t="s">
        <v>42</v>
      </c>
      <c r="G241" t="s">
        <v>513</v>
      </c>
      <c r="H241" t="s">
        <v>5</v>
      </c>
      <c r="I241" t="s">
        <v>559</v>
      </c>
      <c r="J241">
        <v>0.04</v>
      </c>
      <c r="K241" t="e">
        <f>IF(COUNTIF(#REF!,Tabela2[[#This Row],[IdxWspolny]])&gt;0,"ELEM_lub_PRD","TECHN")</f>
        <v>#REF!</v>
      </c>
      <c r="L241" t="e">
        <f>IF(COUNTIF(#REF!,Tabela2[[#This Row],[KOD_PRODUKTU]])&gt;0,"ELEMENT","PRODUKT")</f>
        <v>#REF!</v>
      </c>
      <c r="M241" t="e">
        <f>COUNTIF(#REF!,Tabela2[[#This Row],[KOD_PRODUKTU]])</f>
        <v>#REF!</v>
      </c>
    </row>
    <row r="242" spans="1:13" x14ac:dyDescent="0.25">
      <c r="A242" s="1" t="s">
        <v>551</v>
      </c>
      <c r="B242" t="s">
        <v>552</v>
      </c>
      <c r="C242" s="1" t="s">
        <v>560</v>
      </c>
      <c r="D242" s="1" t="s">
        <v>560</v>
      </c>
      <c r="E242" s="1" t="s">
        <v>560</v>
      </c>
      <c r="F242" t="s">
        <v>561</v>
      </c>
      <c r="G242" t="s">
        <v>562</v>
      </c>
      <c r="H242" t="s">
        <v>121</v>
      </c>
      <c r="I242" t="s">
        <v>122</v>
      </c>
      <c r="J242">
        <v>6.2</v>
      </c>
      <c r="K242" t="e">
        <f>IF(COUNTIF(#REF!,Tabela2[[#This Row],[IdxWspolny]])&gt;0,"ELEM_lub_PRD","TECHN")</f>
        <v>#REF!</v>
      </c>
      <c r="L242" t="e">
        <f>IF(COUNTIF(#REF!,Tabela2[[#This Row],[KOD_PRODUKTU]])&gt;0,"ELEMENT","PRODUKT")</f>
        <v>#REF!</v>
      </c>
      <c r="M242" t="e">
        <f>COUNTIF(#REF!,Tabela2[[#This Row],[KOD_PRODUKTU]])</f>
        <v>#REF!</v>
      </c>
    </row>
    <row r="243" spans="1:13" x14ac:dyDescent="0.25">
      <c r="A243" s="1" t="s">
        <v>551</v>
      </c>
      <c r="B243" t="s">
        <v>552</v>
      </c>
      <c r="C243" s="1" t="s">
        <v>7</v>
      </c>
      <c r="D243" s="1" t="s">
        <v>7</v>
      </c>
      <c r="E243" s="1" t="s">
        <v>7</v>
      </c>
      <c r="F243" t="s">
        <v>8</v>
      </c>
      <c r="G243" t="s">
        <v>9</v>
      </c>
      <c r="H243" t="s">
        <v>10</v>
      </c>
      <c r="I243" t="s">
        <v>563</v>
      </c>
      <c r="J243">
        <v>10.6</v>
      </c>
      <c r="K243" t="e">
        <f>IF(COUNTIF(#REF!,Tabela2[[#This Row],[IdxWspolny]])&gt;0,"ELEM_lub_PRD","TECHN")</f>
        <v>#REF!</v>
      </c>
      <c r="L243" t="e">
        <f>IF(COUNTIF(#REF!,Tabela2[[#This Row],[KOD_PRODUKTU]])&gt;0,"ELEMENT","PRODUKT")</f>
        <v>#REF!</v>
      </c>
      <c r="M243" t="e">
        <f>COUNTIF(#REF!,Tabela2[[#This Row],[KOD_PRODUKTU]])</f>
        <v>#REF!</v>
      </c>
    </row>
    <row r="244" spans="1:13" x14ac:dyDescent="0.25">
      <c r="A244" s="1" t="s">
        <v>564</v>
      </c>
      <c r="B244" t="s">
        <v>565</v>
      </c>
      <c r="C244" s="1" t="s">
        <v>471</v>
      </c>
      <c r="D244" s="1" t="s">
        <v>471</v>
      </c>
      <c r="E244" s="1" t="s">
        <v>471</v>
      </c>
      <c r="F244" t="s">
        <v>472</v>
      </c>
      <c r="G244" t="s">
        <v>553</v>
      </c>
      <c r="H244" t="s">
        <v>5</v>
      </c>
      <c r="I244" t="s">
        <v>566</v>
      </c>
      <c r="J244">
        <v>30</v>
      </c>
      <c r="K244" t="e">
        <f>IF(COUNTIF(#REF!,Tabela2[[#This Row],[IdxWspolny]])&gt;0,"ELEM_lub_PRD","TECHN")</f>
        <v>#REF!</v>
      </c>
      <c r="L244" t="e">
        <f>IF(COUNTIF(#REF!,Tabela2[[#This Row],[KOD_PRODUKTU]])&gt;0,"ELEMENT","PRODUKT")</f>
        <v>#REF!</v>
      </c>
      <c r="M244" t="e">
        <f>COUNTIF(#REF!,Tabela2[[#This Row],[KOD_PRODUKTU]])</f>
        <v>#REF!</v>
      </c>
    </row>
    <row r="245" spans="1:13" x14ac:dyDescent="0.25">
      <c r="A245" s="1" t="s">
        <v>564</v>
      </c>
      <c r="B245" t="s">
        <v>565</v>
      </c>
      <c r="C245" s="1" t="s">
        <v>555</v>
      </c>
      <c r="D245" s="1" t="s">
        <v>555</v>
      </c>
      <c r="E245" s="1" t="s">
        <v>555</v>
      </c>
      <c r="F245" t="s">
        <v>556</v>
      </c>
      <c r="G245" t="s">
        <v>557</v>
      </c>
      <c r="H245" t="s">
        <v>39</v>
      </c>
      <c r="I245" t="s">
        <v>558</v>
      </c>
      <c r="J245">
        <v>1.36</v>
      </c>
      <c r="K245" t="e">
        <f>IF(COUNTIF(#REF!,Tabela2[[#This Row],[IdxWspolny]])&gt;0,"ELEM_lub_PRD","TECHN")</f>
        <v>#REF!</v>
      </c>
      <c r="L245" t="e">
        <f>IF(COUNTIF(#REF!,Tabela2[[#This Row],[KOD_PRODUKTU]])&gt;0,"ELEMENT","PRODUKT")</f>
        <v>#REF!</v>
      </c>
      <c r="M245" t="e">
        <f>COUNTIF(#REF!,Tabela2[[#This Row],[KOD_PRODUKTU]])</f>
        <v>#REF!</v>
      </c>
    </row>
    <row r="246" spans="1:13" x14ac:dyDescent="0.25">
      <c r="A246" s="1" t="s">
        <v>564</v>
      </c>
      <c r="B246" t="s">
        <v>565</v>
      </c>
      <c r="C246" s="1" t="s">
        <v>41</v>
      </c>
      <c r="D246" s="1" t="s">
        <v>41</v>
      </c>
      <c r="E246" s="1" t="s">
        <v>41</v>
      </c>
      <c r="F246" t="s">
        <v>42</v>
      </c>
      <c r="G246" t="s">
        <v>513</v>
      </c>
      <c r="H246" t="s">
        <v>5</v>
      </c>
      <c r="I246" t="s">
        <v>559</v>
      </c>
      <c r="J246">
        <v>0.04</v>
      </c>
      <c r="K246" t="e">
        <f>IF(COUNTIF(#REF!,Tabela2[[#This Row],[IdxWspolny]])&gt;0,"ELEM_lub_PRD","TECHN")</f>
        <v>#REF!</v>
      </c>
      <c r="L246" t="e">
        <f>IF(COUNTIF(#REF!,Tabela2[[#This Row],[KOD_PRODUKTU]])&gt;0,"ELEMENT","PRODUKT")</f>
        <v>#REF!</v>
      </c>
      <c r="M246" t="e">
        <f>COUNTIF(#REF!,Tabela2[[#This Row],[KOD_PRODUKTU]])</f>
        <v>#REF!</v>
      </c>
    </row>
    <row r="247" spans="1:13" x14ac:dyDescent="0.25">
      <c r="A247" s="1" t="s">
        <v>564</v>
      </c>
      <c r="B247" t="s">
        <v>565</v>
      </c>
      <c r="C247" s="1" t="s">
        <v>560</v>
      </c>
      <c r="D247" s="1" t="s">
        <v>560</v>
      </c>
      <c r="E247" s="1" t="s">
        <v>560</v>
      </c>
      <c r="F247" t="s">
        <v>561</v>
      </c>
      <c r="G247" t="s">
        <v>562</v>
      </c>
      <c r="H247" t="s">
        <v>121</v>
      </c>
      <c r="I247" t="s">
        <v>268</v>
      </c>
      <c r="J247">
        <v>4.6500000000000004</v>
      </c>
      <c r="K247" t="e">
        <f>IF(COUNTIF(#REF!,Tabela2[[#This Row],[IdxWspolny]])&gt;0,"ELEM_lub_PRD","TECHN")</f>
        <v>#REF!</v>
      </c>
      <c r="L247" t="e">
        <f>IF(COUNTIF(#REF!,Tabela2[[#This Row],[KOD_PRODUKTU]])&gt;0,"ELEMENT","PRODUKT")</f>
        <v>#REF!</v>
      </c>
      <c r="M247" t="e">
        <f>COUNTIF(#REF!,Tabela2[[#This Row],[KOD_PRODUKTU]])</f>
        <v>#REF!</v>
      </c>
    </row>
    <row r="248" spans="1:13" x14ac:dyDescent="0.25">
      <c r="A248" s="1" t="s">
        <v>564</v>
      </c>
      <c r="B248" t="s">
        <v>565</v>
      </c>
      <c r="C248" s="1" t="s">
        <v>567</v>
      </c>
      <c r="D248" s="1" t="s">
        <v>567</v>
      </c>
      <c r="E248" s="1" t="s">
        <v>567</v>
      </c>
      <c r="F248" t="s">
        <v>568</v>
      </c>
      <c r="G248" t="s">
        <v>569</v>
      </c>
      <c r="H248" t="s">
        <v>121</v>
      </c>
      <c r="I248" t="s">
        <v>50</v>
      </c>
      <c r="J248">
        <v>1.65</v>
      </c>
      <c r="K248" t="e">
        <f>IF(COUNTIF(#REF!,Tabela2[[#This Row],[IdxWspolny]])&gt;0,"ELEM_lub_PRD","TECHN")</f>
        <v>#REF!</v>
      </c>
      <c r="L248" t="e">
        <f>IF(COUNTIF(#REF!,Tabela2[[#This Row],[KOD_PRODUKTU]])&gt;0,"ELEMENT","PRODUKT")</f>
        <v>#REF!</v>
      </c>
      <c r="M248" t="e">
        <f>COUNTIF(#REF!,Tabela2[[#This Row],[KOD_PRODUKTU]])</f>
        <v>#REF!</v>
      </c>
    </row>
    <row r="249" spans="1:13" x14ac:dyDescent="0.25">
      <c r="A249" s="1" t="s">
        <v>564</v>
      </c>
      <c r="B249" t="s">
        <v>565</v>
      </c>
      <c r="C249" s="1" t="s">
        <v>7</v>
      </c>
      <c r="D249" s="1" t="s">
        <v>7</v>
      </c>
      <c r="E249" s="1" t="s">
        <v>7</v>
      </c>
      <c r="F249" t="s">
        <v>8</v>
      </c>
      <c r="G249" t="s">
        <v>9</v>
      </c>
      <c r="H249" t="s">
        <v>10</v>
      </c>
      <c r="I249" t="s">
        <v>563</v>
      </c>
      <c r="J249">
        <v>10.6</v>
      </c>
      <c r="K249" t="e">
        <f>IF(COUNTIF(#REF!,Tabela2[[#This Row],[IdxWspolny]])&gt;0,"ELEM_lub_PRD","TECHN")</f>
        <v>#REF!</v>
      </c>
      <c r="L249" t="e">
        <f>IF(COUNTIF(#REF!,Tabela2[[#This Row],[KOD_PRODUKTU]])&gt;0,"ELEMENT","PRODUKT")</f>
        <v>#REF!</v>
      </c>
      <c r="M249" t="e">
        <f>COUNTIF(#REF!,Tabela2[[#This Row],[KOD_PRODUKTU]])</f>
        <v>#REF!</v>
      </c>
    </row>
    <row r="250" spans="1:13" x14ac:dyDescent="0.25">
      <c r="A250" s="1" t="s">
        <v>570</v>
      </c>
      <c r="B250" t="s">
        <v>571</v>
      </c>
      <c r="C250" s="1" t="s">
        <v>471</v>
      </c>
      <c r="D250" s="1" t="s">
        <v>471</v>
      </c>
      <c r="E250" s="1" t="s">
        <v>471</v>
      </c>
      <c r="F250" t="s">
        <v>472</v>
      </c>
      <c r="G250" t="s">
        <v>526</v>
      </c>
      <c r="H250" t="s">
        <v>5</v>
      </c>
      <c r="I250" t="s">
        <v>566</v>
      </c>
      <c r="J250">
        <v>31.17</v>
      </c>
      <c r="K250" t="e">
        <f>IF(COUNTIF(#REF!,Tabela2[[#This Row],[IdxWspolny]])&gt;0,"ELEM_lub_PRD","TECHN")</f>
        <v>#REF!</v>
      </c>
      <c r="L250" t="e">
        <f>IF(COUNTIF(#REF!,Tabela2[[#This Row],[KOD_PRODUKTU]])&gt;0,"ELEMENT","PRODUKT")</f>
        <v>#REF!</v>
      </c>
      <c r="M250" t="e">
        <f>COUNTIF(#REF!,Tabela2[[#This Row],[KOD_PRODUKTU]])</f>
        <v>#REF!</v>
      </c>
    </row>
    <row r="251" spans="1:13" x14ac:dyDescent="0.25">
      <c r="A251" s="1" t="s">
        <v>570</v>
      </c>
      <c r="B251" t="s">
        <v>571</v>
      </c>
      <c r="C251" s="1" t="s">
        <v>475</v>
      </c>
      <c r="D251" s="1" t="s">
        <v>475</v>
      </c>
      <c r="E251" s="1" t="s">
        <v>475</v>
      </c>
      <c r="F251" t="s">
        <v>476</v>
      </c>
      <c r="G251" t="s">
        <v>477</v>
      </c>
      <c r="H251" t="s">
        <v>39</v>
      </c>
      <c r="I251" t="s">
        <v>478</v>
      </c>
      <c r="J251">
        <v>0.41</v>
      </c>
      <c r="K251" t="e">
        <f>IF(COUNTIF(#REF!,Tabela2[[#This Row],[IdxWspolny]])&gt;0,"ELEM_lub_PRD","TECHN")</f>
        <v>#REF!</v>
      </c>
      <c r="L251" t="e">
        <f>IF(COUNTIF(#REF!,Tabela2[[#This Row],[KOD_PRODUKTU]])&gt;0,"ELEMENT","PRODUKT")</f>
        <v>#REF!</v>
      </c>
      <c r="M251" t="e">
        <f>COUNTIF(#REF!,Tabela2[[#This Row],[KOD_PRODUKTU]])</f>
        <v>#REF!</v>
      </c>
    </row>
    <row r="252" spans="1:13" x14ac:dyDescent="0.25">
      <c r="A252" s="1" t="s">
        <v>570</v>
      </c>
      <c r="B252" t="s">
        <v>571</v>
      </c>
      <c r="C252" s="1" t="s">
        <v>479</v>
      </c>
      <c r="D252" s="1" t="s">
        <v>479</v>
      </c>
      <c r="E252" s="1" t="s">
        <v>479</v>
      </c>
      <c r="F252" t="s">
        <v>480</v>
      </c>
      <c r="G252" t="s">
        <v>481</v>
      </c>
      <c r="H252" t="s">
        <v>5</v>
      </c>
      <c r="I252" t="s">
        <v>572</v>
      </c>
      <c r="J252">
        <v>0.04</v>
      </c>
      <c r="K252" t="e">
        <f>IF(COUNTIF(#REF!,Tabela2[[#This Row],[IdxWspolny]])&gt;0,"ELEM_lub_PRD","TECHN")</f>
        <v>#REF!</v>
      </c>
      <c r="L252" t="e">
        <f>IF(COUNTIF(#REF!,Tabela2[[#This Row],[KOD_PRODUKTU]])&gt;0,"ELEMENT","PRODUKT")</f>
        <v>#REF!</v>
      </c>
      <c r="M252" t="e">
        <f>COUNTIF(#REF!,Tabela2[[#This Row],[KOD_PRODUKTU]])</f>
        <v>#REF!</v>
      </c>
    </row>
    <row r="253" spans="1:13" x14ac:dyDescent="0.25">
      <c r="A253" s="1" t="s">
        <v>570</v>
      </c>
      <c r="B253" t="s">
        <v>571</v>
      </c>
      <c r="C253" s="1" t="s">
        <v>483</v>
      </c>
      <c r="D253" s="1" t="s">
        <v>483</v>
      </c>
      <c r="E253" s="1" t="s">
        <v>483</v>
      </c>
      <c r="F253" t="s">
        <v>484</v>
      </c>
      <c r="G253" t="s">
        <v>485</v>
      </c>
      <c r="H253" t="s">
        <v>5</v>
      </c>
      <c r="I253" t="s">
        <v>573</v>
      </c>
      <c r="J253">
        <v>0.01</v>
      </c>
      <c r="K253" t="e">
        <f>IF(COUNTIF(#REF!,Tabela2[[#This Row],[IdxWspolny]])&gt;0,"ELEM_lub_PRD","TECHN")</f>
        <v>#REF!</v>
      </c>
      <c r="L253" t="e">
        <f>IF(COUNTIF(#REF!,Tabela2[[#This Row],[KOD_PRODUKTU]])&gt;0,"ELEMENT","PRODUKT")</f>
        <v>#REF!</v>
      </c>
      <c r="M253" t="e">
        <f>COUNTIF(#REF!,Tabela2[[#This Row],[KOD_PRODUKTU]])</f>
        <v>#REF!</v>
      </c>
    </row>
    <row r="254" spans="1:13" x14ac:dyDescent="0.25">
      <c r="A254" s="1" t="s">
        <v>570</v>
      </c>
      <c r="B254" t="s">
        <v>571</v>
      </c>
      <c r="C254" s="1" t="s">
        <v>487</v>
      </c>
      <c r="D254" s="1" t="s">
        <v>487</v>
      </c>
      <c r="E254" s="1" t="s">
        <v>487</v>
      </c>
      <c r="F254" t="s">
        <v>488</v>
      </c>
      <c r="G254" t="s">
        <v>489</v>
      </c>
      <c r="H254" t="s">
        <v>5</v>
      </c>
      <c r="I254" t="s">
        <v>574</v>
      </c>
      <c r="J254">
        <v>0.33</v>
      </c>
      <c r="K254" t="e">
        <f>IF(COUNTIF(#REF!,Tabela2[[#This Row],[IdxWspolny]])&gt;0,"ELEM_lub_PRD","TECHN")</f>
        <v>#REF!</v>
      </c>
      <c r="L254" t="e">
        <f>IF(COUNTIF(#REF!,Tabela2[[#This Row],[KOD_PRODUKTU]])&gt;0,"ELEMENT","PRODUKT")</f>
        <v>#REF!</v>
      </c>
      <c r="M254" t="e">
        <f>COUNTIF(#REF!,Tabela2[[#This Row],[KOD_PRODUKTU]])</f>
        <v>#REF!</v>
      </c>
    </row>
    <row r="255" spans="1:13" x14ac:dyDescent="0.25">
      <c r="A255" s="1" t="s">
        <v>570</v>
      </c>
      <c r="B255" t="s">
        <v>571</v>
      </c>
      <c r="C255" s="1" t="s">
        <v>491</v>
      </c>
      <c r="D255" s="1" t="s">
        <v>491</v>
      </c>
      <c r="E255" s="1" t="s">
        <v>491</v>
      </c>
      <c r="F255" t="s">
        <v>492</v>
      </c>
      <c r="G255" t="s">
        <v>493</v>
      </c>
      <c r="H255" t="s">
        <v>121</v>
      </c>
      <c r="I255" t="s">
        <v>92</v>
      </c>
      <c r="J255">
        <v>13.7</v>
      </c>
      <c r="K255" t="e">
        <f>IF(COUNTIF(#REF!,Tabela2[[#This Row],[IdxWspolny]])&gt;0,"ELEM_lub_PRD","TECHN")</f>
        <v>#REF!</v>
      </c>
      <c r="L255" t="e">
        <f>IF(COUNTIF(#REF!,Tabela2[[#This Row],[KOD_PRODUKTU]])&gt;0,"ELEMENT","PRODUKT")</f>
        <v>#REF!</v>
      </c>
      <c r="M255" t="e">
        <f>COUNTIF(#REF!,Tabela2[[#This Row],[KOD_PRODUKTU]])</f>
        <v>#REF!</v>
      </c>
    </row>
    <row r="256" spans="1:13" x14ac:dyDescent="0.25">
      <c r="A256" s="1" t="s">
        <v>570</v>
      </c>
      <c r="B256" t="s">
        <v>571</v>
      </c>
      <c r="C256" s="1" t="s">
        <v>499</v>
      </c>
      <c r="D256" s="1" t="s">
        <v>499</v>
      </c>
      <c r="E256" s="1" t="s">
        <v>499</v>
      </c>
      <c r="F256" t="s">
        <v>500</v>
      </c>
      <c r="G256" t="s">
        <v>501</v>
      </c>
      <c r="H256" t="s">
        <v>121</v>
      </c>
      <c r="I256" t="s">
        <v>50</v>
      </c>
      <c r="J256">
        <v>4.5</v>
      </c>
      <c r="K256" t="e">
        <f>IF(COUNTIF(#REF!,Tabela2[[#This Row],[IdxWspolny]])&gt;0,"ELEM_lub_PRD","TECHN")</f>
        <v>#REF!</v>
      </c>
      <c r="L256" t="e">
        <f>IF(COUNTIF(#REF!,Tabela2[[#This Row],[KOD_PRODUKTU]])&gt;0,"ELEMENT","PRODUKT")</f>
        <v>#REF!</v>
      </c>
      <c r="M256" t="e">
        <f>COUNTIF(#REF!,Tabela2[[#This Row],[KOD_PRODUKTU]])</f>
        <v>#REF!</v>
      </c>
    </row>
    <row r="257" spans="1:14" x14ac:dyDescent="0.25">
      <c r="A257" s="1" t="s">
        <v>570</v>
      </c>
      <c r="B257" t="s">
        <v>571</v>
      </c>
      <c r="C257" s="1" t="s">
        <v>536</v>
      </c>
      <c r="D257" s="1" t="s">
        <v>536</v>
      </c>
      <c r="E257" s="1" t="s">
        <v>536</v>
      </c>
      <c r="F257" t="s">
        <v>537</v>
      </c>
      <c r="G257" t="s">
        <v>538</v>
      </c>
      <c r="H257" t="s">
        <v>121</v>
      </c>
      <c r="I257" t="s">
        <v>50</v>
      </c>
      <c r="J257">
        <v>15.7</v>
      </c>
      <c r="K257" t="e">
        <f>IF(COUNTIF(#REF!,Tabela2[[#This Row],[IdxWspolny]])&gt;0,"ELEM_lub_PRD","TECHN")</f>
        <v>#REF!</v>
      </c>
      <c r="L257" t="e">
        <f>IF(COUNTIF(#REF!,Tabela2[[#This Row],[KOD_PRODUKTU]])&gt;0,"ELEMENT","PRODUKT")</f>
        <v>#REF!</v>
      </c>
      <c r="M257" t="e">
        <f>COUNTIF(#REF!,Tabela2[[#This Row],[KOD_PRODUKTU]])</f>
        <v>#REF!</v>
      </c>
    </row>
    <row r="258" spans="1:14" x14ac:dyDescent="0.25">
      <c r="A258" s="1" t="s">
        <v>570</v>
      </c>
      <c r="B258" t="s">
        <v>571</v>
      </c>
      <c r="C258" s="1" t="s">
        <v>539</v>
      </c>
      <c r="D258" s="1" t="s">
        <v>539</v>
      </c>
      <c r="E258" s="1" t="s">
        <v>539</v>
      </c>
      <c r="F258" t="s">
        <v>540</v>
      </c>
      <c r="G258" t="s">
        <v>538</v>
      </c>
      <c r="H258" t="s">
        <v>121</v>
      </c>
      <c r="I258" t="s">
        <v>50</v>
      </c>
      <c r="J258">
        <v>15.7</v>
      </c>
      <c r="K258" t="e">
        <f>IF(COUNTIF(#REF!,Tabela2[[#This Row],[IdxWspolny]])&gt;0,"ELEM_lub_PRD","TECHN")</f>
        <v>#REF!</v>
      </c>
      <c r="L258" t="e">
        <f>IF(COUNTIF(#REF!,Tabela2[[#This Row],[KOD_PRODUKTU]])&gt;0,"ELEMENT","PRODUKT")</f>
        <v>#REF!</v>
      </c>
      <c r="M258" t="e">
        <f>COUNTIF(#REF!,Tabela2[[#This Row],[KOD_PRODUKTU]])</f>
        <v>#REF!</v>
      </c>
    </row>
    <row r="259" spans="1:14" hidden="1" x14ac:dyDescent="0.25">
      <c r="A259" s="1" t="s">
        <v>570</v>
      </c>
      <c r="B259" t="s">
        <v>571</v>
      </c>
      <c r="C259" s="1" t="s">
        <v>502</v>
      </c>
      <c r="D259" s="1" t="s">
        <v>502</v>
      </c>
      <c r="E259" s="1" t="s">
        <v>502</v>
      </c>
      <c r="F259" t="s">
        <v>503</v>
      </c>
      <c r="G259" t="s">
        <v>31</v>
      </c>
      <c r="H259" t="s">
        <v>49</v>
      </c>
      <c r="I259" t="s">
        <v>50</v>
      </c>
      <c r="J259">
        <v>10.6</v>
      </c>
      <c r="K259" t="e">
        <f>IF(COUNTIF(#REF!,Tabela2[[#This Row],[IdxWspolny]])&gt;0,"ELEM_lub_PRD","TECHN")</f>
        <v>#REF!</v>
      </c>
      <c r="L259" t="e">
        <f>IF(COUNTIF(#REF!,Tabela2[[#This Row],[KOD_PRODUKTU]])&gt;0,"ELEMENT","PRODUKT")</f>
        <v>#REF!</v>
      </c>
      <c r="M259" t="e">
        <f>COUNTIF(#REF!,Tabela2[[#This Row],[KOD_PRODUKTU]])</f>
        <v>#REF!</v>
      </c>
      <c r="N259" t="s">
        <v>55</v>
      </c>
    </row>
    <row r="260" spans="1:14" x14ac:dyDescent="0.25">
      <c r="A260" s="1" t="s">
        <v>570</v>
      </c>
      <c r="B260" t="s">
        <v>571</v>
      </c>
      <c r="C260" s="1" t="s">
        <v>7</v>
      </c>
      <c r="D260" s="1" t="s">
        <v>7</v>
      </c>
      <c r="E260" s="1" t="s">
        <v>7</v>
      </c>
      <c r="F260" t="s">
        <v>8</v>
      </c>
      <c r="G260" t="s">
        <v>9</v>
      </c>
      <c r="H260" t="s">
        <v>10</v>
      </c>
      <c r="I260" t="s">
        <v>575</v>
      </c>
      <c r="J260">
        <v>33.799999999999997</v>
      </c>
      <c r="K260" t="e">
        <f>IF(COUNTIF(#REF!,Tabela2[[#This Row],[IdxWspolny]])&gt;0,"ELEM_lub_PRD","TECHN")</f>
        <v>#REF!</v>
      </c>
      <c r="L260" t="e">
        <f>IF(COUNTIF(#REF!,Tabela2[[#This Row],[KOD_PRODUKTU]])&gt;0,"ELEMENT","PRODUKT")</f>
        <v>#REF!</v>
      </c>
      <c r="M260" t="e">
        <f>COUNTIF(#REF!,Tabela2[[#This Row],[KOD_PRODUKTU]])</f>
        <v>#REF!</v>
      </c>
    </row>
    <row r="261" spans="1:14" x14ac:dyDescent="0.25">
      <c r="A261" s="1" t="s">
        <v>576</v>
      </c>
      <c r="B261" t="s">
        <v>577</v>
      </c>
      <c r="C261" s="1" t="s">
        <v>471</v>
      </c>
      <c r="D261" s="1" t="s">
        <v>471</v>
      </c>
      <c r="E261" s="1" t="s">
        <v>471</v>
      </c>
      <c r="F261" t="s">
        <v>472</v>
      </c>
      <c r="G261" t="s">
        <v>578</v>
      </c>
      <c r="H261" t="s">
        <v>5</v>
      </c>
      <c r="I261" t="s">
        <v>579</v>
      </c>
      <c r="J261">
        <v>17.66</v>
      </c>
      <c r="K261" t="e">
        <f>IF(COUNTIF(#REF!,Tabela2[[#This Row],[IdxWspolny]])&gt;0,"ELEM_lub_PRD","TECHN")</f>
        <v>#REF!</v>
      </c>
      <c r="L261" t="e">
        <f>IF(COUNTIF(#REF!,Tabela2[[#This Row],[KOD_PRODUKTU]])&gt;0,"ELEMENT","PRODUKT")</f>
        <v>#REF!</v>
      </c>
      <c r="M261" t="e">
        <f>COUNTIF(#REF!,Tabela2[[#This Row],[KOD_PRODUKTU]])</f>
        <v>#REF!</v>
      </c>
    </row>
    <row r="262" spans="1:14" x14ac:dyDescent="0.25">
      <c r="A262" s="1" t="s">
        <v>576</v>
      </c>
      <c r="B262" t="s">
        <v>577</v>
      </c>
      <c r="C262" s="1" t="s">
        <v>511</v>
      </c>
      <c r="D262" s="1" t="s">
        <v>511</v>
      </c>
      <c r="E262" s="1" t="s">
        <v>511</v>
      </c>
      <c r="F262" t="s">
        <v>512</v>
      </c>
      <c r="G262" t="s">
        <v>580</v>
      </c>
      <c r="H262" t="s">
        <v>39</v>
      </c>
      <c r="I262" t="s">
        <v>558</v>
      </c>
      <c r="J262">
        <v>1.19</v>
      </c>
      <c r="K262" t="e">
        <f>IF(COUNTIF(#REF!,Tabela2[[#This Row],[IdxWspolny]])&gt;0,"ELEM_lub_PRD","TECHN")</f>
        <v>#REF!</v>
      </c>
      <c r="L262" t="e">
        <f>IF(COUNTIF(#REF!,Tabela2[[#This Row],[KOD_PRODUKTU]])&gt;0,"ELEMENT","PRODUKT")</f>
        <v>#REF!</v>
      </c>
      <c r="M262" t="e">
        <f>COUNTIF(#REF!,Tabela2[[#This Row],[KOD_PRODUKTU]])</f>
        <v>#REF!</v>
      </c>
    </row>
    <row r="263" spans="1:14" x14ac:dyDescent="0.25">
      <c r="A263" s="1" t="s">
        <v>576</v>
      </c>
      <c r="B263" t="s">
        <v>577</v>
      </c>
      <c r="C263" s="1" t="s">
        <v>581</v>
      </c>
      <c r="D263" s="1" t="s">
        <v>581</v>
      </c>
      <c r="E263" s="1" t="s">
        <v>581</v>
      </c>
      <c r="F263" t="s">
        <v>582</v>
      </c>
      <c r="G263" t="s">
        <v>216</v>
      </c>
      <c r="H263" t="s">
        <v>5</v>
      </c>
      <c r="I263" t="s">
        <v>583</v>
      </c>
      <c r="J263">
        <v>0.28000000000000003</v>
      </c>
      <c r="K263" t="e">
        <f>IF(COUNTIF(#REF!,Tabela2[[#This Row],[IdxWspolny]])&gt;0,"ELEM_lub_PRD","TECHN")</f>
        <v>#REF!</v>
      </c>
      <c r="L263" t="e">
        <f>IF(COUNTIF(#REF!,Tabela2[[#This Row],[KOD_PRODUKTU]])&gt;0,"ELEMENT","PRODUKT")</f>
        <v>#REF!</v>
      </c>
      <c r="M263" t="e">
        <f>COUNTIF(#REF!,Tabela2[[#This Row],[KOD_PRODUKTU]])</f>
        <v>#REF!</v>
      </c>
    </row>
    <row r="264" spans="1:14" x14ac:dyDescent="0.25">
      <c r="A264" s="1" t="s">
        <v>576</v>
      </c>
      <c r="B264" t="s">
        <v>577</v>
      </c>
      <c r="C264" s="1" t="s">
        <v>584</v>
      </c>
      <c r="D264" s="1" t="s">
        <v>584</v>
      </c>
      <c r="E264" s="1" t="s">
        <v>584</v>
      </c>
      <c r="F264" t="s">
        <v>585</v>
      </c>
      <c r="G264" t="s">
        <v>191</v>
      </c>
      <c r="H264" t="s">
        <v>5</v>
      </c>
      <c r="I264" t="s">
        <v>586</v>
      </c>
      <c r="J264">
        <v>0.13</v>
      </c>
      <c r="K264" t="e">
        <f>IF(COUNTIF(#REF!,Tabela2[[#This Row],[IdxWspolny]])&gt;0,"ELEM_lub_PRD","TECHN")</f>
        <v>#REF!</v>
      </c>
      <c r="L264" t="e">
        <f>IF(COUNTIF(#REF!,Tabela2[[#This Row],[KOD_PRODUKTU]])&gt;0,"ELEMENT","PRODUKT")</f>
        <v>#REF!</v>
      </c>
      <c r="M264" t="e">
        <f>COUNTIF(#REF!,Tabela2[[#This Row],[KOD_PRODUKTU]])</f>
        <v>#REF!</v>
      </c>
    </row>
    <row r="265" spans="1:14" x14ac:dyDescent="0.25">
      <c r="A265" s="1" t="s">
        <v>576</v>
      </c>
      <c r="B265" t="s">
        <v>577</v>
      </c>
      <c r="C265" s="1" t="s">
        <v>587</v>
      </c>
      <c r="D265" s="1" t="s">
        <v>587</v>
      </c>
      <c r="E265" s="1" t="s">
        <v>587</v>
      </c>
      <c r="F265" t="s">
        <v>588</v>
      </c>
      <c r="G265" t="s">
        <v>589</v>
      </c>
      <c r="H265" t="s">
        <v>5</v>
      </c>
      <c r="I265" t="s">
        <v>590</v>
      </c>
      <c r="J265">
        <v>0.13</v>
      </c>
      <c r="K265" t="e">
        <f>IF(COUNTIF(#REF!,Tabela2[[#This Row],[IdxWspolny]])&gt;0,"ELEM_lub_PRD","TECHN")</f>
        <v>#REF!</v>
      </c>
      <c r="L265" t="e">
        <f>IF(COUNTIF(#REF!,Tabela2[[#This Row],[KOD_PRODUKTU]])&gt;0,"ELEMENT","PRODUKT")</f>
        <v>#REF!</v>
      </c>
      <c r="M265" t="e">
        <f>COUNTIF(#REF!,Tabela2[[#This Row],[KOD_PRODUKTU]])</f>
        <v>#REF!</v>
      </c>
    </row>
    <row r="266" spans="1:14" x14ac:dyDescent="0.25">
      <c r="A266" s="1" t="s">
        <v>576</v>
      </c>
      <c r="B266" t="s">
        <v>577</v>
      </c>
      <c r="C266" s="1" t="s">
        <v>41</v>
      </c>
      <c r="D266" s="1" t="s">
        <v>41</v>
      </c>
      <c r="E266" s="1" t="s">
        <v>41</v>
      </c>
      <c r="F266" t="s">
        <v>42</v>
      </c>
      <c r="G266" t="s">
        <v>513</v>
      </c>
      <c r="H266" t="s">
        <v>5</v>
      </c>
      <c r="I266" t="s">
        <v>591</v>
      </c>
      <c r="J266">
        <v>7.0000000000000007E-2</v>
      </c>
      <c r="K266" t="e">
        <f>IF(COUNTIF(#REF!,Tabela2[[#This Row],[IdxWspolny]])&gt;0,"ELEM_lub_PRD","TECHN")</f>
        <v>#REF!</v>
      </c>
      <c r="L266" t="e">
        <f>IF(COUNTIF(#REF!,Tabela2[[#This Row],[KOD_PRODUKTU]])&gt;0,"ELEMENT","PRODUKT")</f>
        <v>#REF!</v>
      </c>
      <c r="M266" t="e">
        <f>COUNTIF(#REF!,Tabela2[[#This Row],[KOD_PRODUKTU]])</f>
        <v>#REF!</v>
      </c>
    </row>
    <row r="267" spans="1:14" x14ac:dyDescent="0.25">
      <c r="A267" s="1" t="s">
        <v>576</v>
      </c>
      <c r="B267" t="s">
        <v>577</v>
      </c>
      <c r="C267" s="1" t="s">
        <v>517</v>
      </c>
      <c r="D267" s="1" t="s">
        <v>517</v>
      </c>
      <c r="E267" s="1" t="s">
        <v>517</v>
      </c>
      <c r="F267" t="s">
        <v>518</v>
      </c>
      <c r="G267" t="s">
        <v>519</v>
      </c>
      <c r="H267" t="s">
        <v>121</v>
      </c>
      <c r="I267" t="s">
        <v>122</v>
      </c>
      <c r="J267">
        <v>22.2</v>
      </c>
      <c r="K267" t="e">
        <f>IF(COUNTIF(#REF!,Tabela2[[#This Row],[IdxWspolny]])&gt;0,"ELEM_lub_PRD","TECHN")</f>
        <v>#REF!</v>
      </c>
      <c r="L267" t="e">
        <f>IF(COUNTIF(#REF!,Tabela2[[#This Row],[KOD_PRODUKTU]])&gt;0,"ELEMENT","PRODUKT")</f>
        <v>#REF!</v>
      </c>
      <c r="M267" t="e">
        <f>COUNTIF(#REF!,Tabela2[[#This Row],[KOD_PRODUKTU]])</f>
        <v>#REF!</v>
      </c>
    </row>
    <row r="268" spans="1:14" x14ac:dyDescent="0.25">
      <c r="A268" s="1" t="s">
        <v>576</v>
      </c>
      <c r="B268" t="s">
        <v>577</v>
      </c>
      <c r="C268" s="1" t="s">
        <v>499</v>
      </c>
      <c r="D268" s="1" t="s">
        <v>499</v>
      </c>
      <c r="E268" s="1" t="s">
        <v>499</v>
      </c>
      <c r="F268" t="s">
        <v>500</v>
      </c>
      <c r="G268" t="s">
        <v>501</v>
      </c>
      <c r="H268" t="s">
        <v>121</v>
      </c>
      <c r="I268" t="s">
        <v>92</v>
      </c>
      <c r="J268">
        <v>9</v>
      </c>
      <c r="K268" t="e">
        <f>IF(COUNTIF(#REF!,Tabela2[[#This Row],[IdxWspolny]])&gt;0,"ELEM_lub_PRD","TECHN")</f>
        <v>#REF!</v>
      </c>
      <c r="L268" t="e">
        <f>IF(COUNTIF(#REF!,Tabela2[[#This Row],[KOD_PRODUKTU]])&gt;0,"ELEMENT","PRODUKT")</f>
        <v>#REF!</v>
      </c>
      <c r="M268" t="e">
        <f>COUNTIF(#REF!,Tabela2[[#This Row],[KOD_PRODUKTU]])</f>
        <v>#REF!</v>
      </c>
    </row>
    <row r="269" spans="1:14" x14ac:dyDescent="0.25">
      <c r="A269" s="1" t="s">
        <v>576</v>
      </c>
      <c r="B269" t="s">
        <v>577</v>
      </c>
      <c r="C269" s="1" t="s">
        <v>592</v>
      </c>
      <c r="D269" s="1" t="s">
        <v>592</v>
      </c>
      <c r="E269" s="1" t="s">
        <v>592</v>
      </c>
      <c r="F269" t="s">
        <v>593</v>
      </c>
      <c r="G269" t="s">
        <v>157</v>
      </c>
      <c r="H269" t="s">
        <v>49</v>
      </c>
      <c r="I269" t="s">
        <v>50</v>
      </c>
      <c r="J269">
        <v>2.4500000000000002</v>
      </c>
      <c r="K269" t="e">
        <f>IF(COUNTIF(#REF!,Tabela2[[#This Row],[IdxWspolny]])&gt;0,"ELEM_lub_PRD","TECHN")</f>
        <v>#REF!</v>
      </c>
      <c r="L269" t="e">
        <f>IF(COUNTIF(#REF!,Tabela2[[#This Row],[KOD_PRODUKTU]])&gt;0,"ELEMENT","PRODUKT")</f>
        <v>#REF!</v>
      </c>
      <c r="M269" t="e">
        <f>COUNTIF(#REF!,Tabela2[[#This Row],[KOD_PRODUKTU]])</f>
        <v>#REF!</v>
      </c>
    </row>
    <row r="270" spans="1:14" x14ac:dyDescent="0.25">
      <c r="A270" s="1" t="s">
        <v>576</v>
      </c>
      <c r="B270" t="s">
        <v>577</v>
      </c>
      <c r="C270" s="1" t="s">
        <v>541</v>
      </c>
      <c r="D270" s="1" t="s">
        <v>541</v>
      </c>
      <c r="E270" s="1" t="s">
        <v>541</v>
      </c>
      <c r="F270" t="s">
        <v>542</v>
      </c>
      <c r="G270" t="s">
        <v>9</v>
      </c>
      <c r="H270" t="s">
        <v>10</v>
      </c>
      <c r="I270" t="s">
        <v>594</v>
      </c>
      <c r="J270">
        <v>11.5</v>
      </c>
      <c r="K270" t="e">
        <f>IF(COUNTIF(#REF!,Tabela2[[#This Row],[IdxWspolny]])&gt;0,"ELEM_lub_PRD","TECHN")</f>
        <v>#REF!</v>
      </c>
      <c r="L270" t="e">
        <f>IF(COUNTIF(#REF!,Tabela2[[#This Row],[KOD_PRODUKTU]])&gt;0,"ELEMENT","PRODUKT")</f>
        <v>#REF!</v>
      </c>
      <c r="M270" t="e">
        <f>COUNTIF(#REF!,Tabela2[[#This Row],[KOD_PRODUKTU]])</f>
        <v>#REF!</v>
      </c>
    </row>
    <row r="271" spans="1:14" x14ac:dyDescent="0.25">
      <c r="A271" s="1" t="s">
        <v>595</v>
      </c>
      <c r="B271" t="s">
        <v>596</v>
      </c>
      <c r="C271" s="1" t="s">
        <v>507</v>
      </c>
      <c r="D271" s="1" t="s">
        <v>507</v>
      </c>
      <c r="E271" s="1" t="s">
        <v>507</v>
      </c>
      <c r="F271" t="s">
        <v>508</v>
      </c>
      <c r="G271" t="s">
        <v>578</v>
      </c>
      <c r="H271" t="s">
        <v>5</v>
      </c>
      <c r="I271" t="s">
        <v>597</v>
      </c>
      <c r="J271">
        <v>3.93</v>
      </c>
      <c r="K271" t="e">
        <f>IF(COUNTIF(#REF!,Tabela2[[#This Row],[IdxWspolny]])&gt;0,"ELEM_lub_PRD","TECHN")</f>
        <v>#REF!</v>
      </c>
      <c r="L271" t="e">
        <f>IF(COUNTIF(#REF!,Tabela2[[#This Row],[KOD_PRODUKTU]])&gt;0,"ELEMENT","PRODUKT")</f>
        <v>#REF!</v>
      </c>
      <c r="M271" t="e">
        <f>COUNTIF(#REF!,Tabela2[[#This Row],[KOD_PRODUKTU]])</f>
        <v>#REF!</v>
      </c>
    </row>
    <row r="272" spans="1:14" x14ac:dyDescent="0.25">
      <c r="A272" s="1" t="s">
        <v>595</v>
      </c>
      <c r="B272" t="s">
        <v>596</v>
      </c>
      <c r="C272" s="1" t="s">
        <v>511</v>
      </c>
      <c r="D272" s="1" t="s">
        <v>511</v>
      </c>
      <c r="E272" s="1" t="s">
        <v>511</v>
      </c>
      <c r="F272" t="s">
        <v>512</v>
      </c>
      <c r="G272" t="s">
        <v>580</v>
      </c>
      <c r="H272" t="s">
        <v>39</v>
      </c>
      <c r="I272" t="s">
        <v>558</v>
      </c>
      <c r="J272">
        <v>1.19</v>
      </c>
      <c r="K272" t="e">
        <f>IF(COUNTIF(#REF!,Tabela2[[#This Row],[IdxWspolny]])&gt;0,"ELEM_lub_PRD","TECHN")</f>
        <v>#REF!</v>
      </c>
      <c r="L272" t="e">
        <f>IF(COUNTIF(#REF!,Tabela2[[#This Row],[KOD_PRODUKTU]])&gt;0,"ELEMENT","PRODUKT")</f>
        <v>#REF!</v>
      </c>
      <c r="M272" t="e">
        <f>COUNTIF(#REF!,Tabela2[[#This Row],[KOD_PRODUKTU]])</f>
        <v>#REF!</v>
      </c>
    </row>
    <row r="273" spans="1:13" x14ac:dyDescent="0.25">
      <c r="A273" s="1" t="s">
        <v>595</v>
      </c>
      <c r="B273" t="s">
        <v>596</v>
      </c>
      <c r="C273" s="1" t="s">
        <v>41</v>
      </c>
      <c r="D273" s="1" t="s">
        <v>41</v>
      </c>
      <c r="E273" s="1" t="s">
        <v>41</v>
      </c>
      <c r="F273" t="s">
        <v>42</v>
      </c>
      <c r="G273" t="s">
        <v>513</v>
      </c>
      <c r="H273" t="s">
        <v>5</v>
      </c>
      <c r="I273" t="s">
        <v>598</v>
      </c>
      <c r="J273">
        <v>0.04</v>
      </c>
      <c r="K273" t="e">
        <f>IF(COUNTIF(#REF!,Tabela2[[#This Row],[IdxWspolny]])&gt;0,"ELEM_lub_PRD","TECHN")</f>
        <v>#REF!</v>
      </c>
      <c r="L273" t="e">
        <f>IF(COUNTIF(#REF!,Tabela2[[#This Row],[KOD_PRODUKTU]])&gt;0,"ELEMENT","PRODUKT")</f>
        <v>#REF!</v>
      </c>
      <c r="M273" t="e">
        <f>COUNTIF(#REF!,Tabela2[[#This Row],[KOD_PRODUKTU]])</f>
        <v>#REF!</v>
      </c>
    </row>
    <row r="274" spans="1:13" x14ac:dyDescent="0.25">
      <c r="A274" s="1" t="s">
        <v>595</v>
      </c>
      <c r="B274" t="s">
        <v>596</v>
      </c>
      <c r="C274" s="1" t="s">
        <v>517</v>
      </c>
      <c r="D274" s="1" t="s">
        <v>517</v>
      </c>
      <c r="E274" s="1" t="s">
        <v>517</v>
      </c>
      <c r="F274" t="s">
        <v>518</v>
      </c>
      <c r="G274" t="s">
        <v>519</v>
      </c>
      <c r="H274" t="s">
        <v>121</v>
      </c>
      <c r="I274" t="s">
        <v>92</v>
      </c>
      <c r="J274">
        <v>11.1</v>
      </c>
      <c r="K274" t="e">
        <f>IF(COUNTIF(#REF!,Tabela2[[#This Row],[IdxWspolny]])&gt;0,"ELEM_lub_PRD","TECHN")</f>
        <v>#REF!</v>
      </c>
      <c r="L274" t="e">
        <f>IF(COUNTIF(#REF!,Tabela2[[#This Row],[KOD_PRODUKTU]])&gt;0,"ELEMENT","PRODUKT")</f>
        <v>#REF!</v>
      </c>
      <c r="M274" t="e">
        <f>COUNTIF(#REF!,Tabela2[[#This Row],[KOD_PRODUKTU]])</f>
        <v>#REF!</v>
      </c>
    </row>
    <row r="275" spans="1:13" x14ac:dyDescent="0.25">
      <c r="A275" s="1" t="s">
        <v>595</v>
      </c>
      <c r="B275" t="s">
        <v>596</v>
      </c>
      <c r="C275" s="1" t="s">
        <v>520</v>
      </c>
      <c r="D275" s="1" t="s">
        <v>520</v>
      </c>
      <c r="E275" s="1" t="s">
        <v>520</v>
      </c>
      <c r="F275" t="s">
        <v>521</v>
      </c>
      <c r="G275" t="s">
        <v>522</v>
      </c>
      <c r="H275" t="s">
        <v>121</v>
      </c>
      <c r="I275" t="s">
        <v>92</v>
      </c>
      <c r="J275">
        <v>6.9</v>
      </c>
      <c r="K275" t="e">
        <f>IF(COUNTIF(#REF!,Tabela2[[#This Row],[IdxWspolny]])&gt;0,"ELEM_lub_PRD","TECHN")</f>
        <v>#REF!</v>
      </c>
      <c r="L275" t="e">
        <f>IF(COUNTIF(#REF!,Tabela2[[#This Row],[KOD_PRODUKTU]])&gt;0,"ELEMENT","PRODUKT")</f>
        <v>#REF!</v>
      </c>
      <c r="M275" t="e">
        <f>COUNTIF(#REF!,Tabela2[[#This Row],[KOD_PRODUKTU]])</f>
        <v>#REF!</v>
      </c>
    </row>
    <row r="276" spans="1:13" x14ac:dyDescent="0.25">
      <c r="A276" s="1" t="s">
        <v>595</v>
      </c>
      <c r="B276" t="s">
        <v>596</v>
      </c>
      <c r="C276" s="1" t="s">
        <v>599</v>
      </c>
      <c r="D276" s="1" t="s">
        <v>599</v>
      </c>
      <c r="E276" s="1" t="s">
        <v>599</v>
      </c>
      <c r="F276" t="s">
        <v>600</v>
      </c>
      <c r="G276" t="s">
        <v>157</v>
      </c>
      <c r="H276" t="s">
        <v>49</v>
      </c>
      <c r="I276" t="s">
        <v>92</v>
      </c>
      <c r="J276">
        <v>4.9000000000000004</v>
      </c>
      <c r="K276" t="e">
        <f>IF(COUNTIF(#REF!,Tabela2[[#This Row],[IdxWspolny]])&gt;0,"ELEM_lub_PRD","TECHN")</f>
        <v>#REF!</v>
      </c>
      <c r="L276" t="e">
        <f>IF(COUNTIF(#REF!,Tabela2[[#This Row],[KOD_PRODUKTU]])&gt;0,"ELEMENT","PRODUKT")</f>
        <v>#REF!</v>
      </c>
      <c r="M276" t="e">
        <f>COUNTIF(#REF!,Tabela2[[#This Row],[KOD_PRODUKTU]])</f>
        <v>#REF!</v>
      </c>
    </row>
    <row r="277" spans="1:13" x14ac:dyDescent="0.25">
      <c r="A277" s="1" t="s">
        <v>595</v>
      </c>
      <c r="B277" t="s">
        <v>596</v>
      </c>
      <c r="C277" s="1" t="s">
        <v>541</v>
      </c>
      <c r="D277" s="1" t="s">
        <v>541</v>
      </c>
      <c r="E277" s="1" t="s">
        <v>541</v>
      </c>
      <c r="F277" t="s">
        <v>542</v>
      </c>
      <c r="G277" t="s">
        <v>9</v>
      </c>
      <c r="H277" t="s">
        <v>10</v>
      </c>
      <c r="I277" t="s">
        <v>601</v>
      </c>
      <c r="J277">
        <v>6.9</v>
      </c>
      <c r="K277" t="e">
        <f>IF(COUNTIF(#REF!,Tabela2[[#This Row],[IdxWspolny]])&gt;0,"ELEM_lub_PRD","TECHN")</f>
        <v>#REF!</v>
      </c>
      <c r="L277" t="e">
        <f>IF(COUNTIF(#REF!,Tabela2[[#This Row],[KOD_PRODUKTU]])&gt;0,"ELEMENT","PRODUKT")</f>
        <v>#REF!</v>
      </c>
      <c r="M277" t="e">
        <f>COUNTIF(#REF!,Tabela2[[#This Row],[KOD_PRODUKTU]])</f>
        <v>#REF!</v>
      </c>
    </row>
    <row r="278" spans="1:13" x14ac:dyDescent="0.25">
      <c r="A278" s="1" t="s">
        <v>602</v>
      </c>
      <c r="B278" t="s">
        <v>603</v>
      </c>
      <c r="C278" s="1" t="s">
        <v>471</v>
      </c>
      <c r="D278" s="1" t="s">
        <v>471</v>
      </c>
      <c r="E278" s="1" t="s">
        <v>471</v>
      </c>
      <c r="F278" t="s">
        <v>472</v>
      </c>
      <c r="G278" t="s">
        <v>526</v>
      </c>
      <c r="H278" t="s">
        <v>5</v>
      </c>
      <c r="I278" t="s">
        <v>604</v>
      </c>
      <c r="J278">
        <v>27.68</v>
      </c>
      <c r="K278" t="e">
        <f>IF(COUNTIF(#REF!,Tabela2[[#This Row],[IdxWspolny]])&gt;0,"ELEM_lub_PRD","TECHN")</f>
        <v>#REF!</v>
      </c>
      <c r="L278" t="e">
        <f>IF(COUNTIF(#REF!,Tabela2[[#This Row],[KOD_PRODUKTU]])&gt;0,"ELEMENT","PRODUKT")</f>
        <v>#REF!</v>
      </c>
      <c r="M278" t="e">
        <f>COUNTIF(#REF!,Tabela2[[#This Row],[KOD_PRODUKTU]])</f>
        <v>#REF!</v>
      </c>
    </row>
    <row r="279" spans="1:13" x14ac:dyDescent="0.25">
      <c r="A279" s="1" t="s">
        <v>602</v>
      </c>
      <c r="B279" t="s">
        <v>603</v>
      </c>
      <c r="C279" s="1" t="s">
        <v>511</v>
      </c>
      <c r="D279" s="1" t="s">
        <v>511</v>
      </c>
      <c r="E279" s="1" t="s">
        <v>511</v>
      </c>
      <c r="F279" t="s">
        <v>512</v>
      </c>
      <c r="G279" t="s">
        <v>513</v>
      </c>
      <c r="H279" t="s">
        <v>39</v>
      </c>
      <c r="I279" t="s">
        <v>558</v>
      </c>
      <c r="J279">
        <v>0.88</v>
      </c>
      <c r="K279" t="e">
        <f>IF(COUNTIF(#REF!,Tabela2[[#This Row],[IdxWspolny]])&gt;0,"ELEM_lub_PRD","TECHN")</f>
        <v>#REF!</v>
      </c>
      <c r="L279" t="e">
        <f>IF(COUNTIF(#REF!,Tabela2[[#This Row],[KOD_PRODUKTU]])&gt;0,"ELEMENT","PRODUKT")</f>
        <v>#REF!</v>
      </c>
      <c r="M279" t="e">
        <f>COUNTIF(#REF!,Tabela2[[#This Row],[KOD_PRODUKTU]])</f>
        <v>#REF!</v>
      </c>
    </row>
    <row r="280" spans="1:13" x14ac:dyDescent="0.25">
      <c r="A280" s="1" t="s">
        <v>602</v>
      </c>
      <c r="B280" t="s">
        <v>603</v>
      </c>
      <c r="C280" s="1" t="s">
        <v>581</v>
      </c>
      <c r="D280" s="1" t="s">
        <v>581</v>
      </c>
      <c r="E280" s="1" t="s">
        <v>581</v>
      </c>
      <c r="F280" t="s">
        <v>582</v>
      </c>
      <c r="G280" t="s">
        <v>191</v>
      </c>
      <c r="H280" t="s">
        <v>5</v>
      </c>
      <c r="I280" t="s">
        <v>605</v>
      </c>
      <c r="J280">
        <v>0.51</v>
      </c>
      <c r="K280" t="e">
        <f>IF(COUNTIF(#REF!,Tabela2[[#This Row],[IdxWspolny]])&gt;0,"ELEM_lub_PRD","TECHN")</f>
        <v>#REF!</v>
      </c>
      <c r="L280" t="e">
        <f>IF(COUNTIF(#REF!,Tabela2[[#This Row],[KOD_PRODUKTU]])&gt;0,"ELEMENT","PRODUKT")</f>
        <v>#REF!</v>
      </c>
      <c r="M280" t="e">
        <f>COUNTIF(#REF!,Tabela2[[#This Row],[KOD_PRODUKTU]])</f>
        <v>#REF!</v>
      </c>
    </row>
    <row r="281" spans="1:13" x14ac:dyDescent="0.25">
      <c r="A281" s="1" t="s">
        <v>602</v>
      </c>
      <c r="B281" t="s">
        <v>603</v>
      </c>
      <c r="C281" s="1" t="s">
        <v>584</v>
      </c>
      <c r="D281" s="1" t="s">
        <v>584</v>
      </c>
      <c r="E281" s="1" t="s">
        <v>584</v>
      </c>
      <c r="F281" t="s">
        <v>585</v>
      </c>
      <c r="G281" t="s">
        <v>606</v>
      </c>
      <c r="H281" t="s">
        <v>5</v>
      </c>
      <c r="I281" t="s">
        <v>586</v>
      </c>
      <c r="J281">
        <v>7.0000000000000007E-2</v>
      </c>
      <c r="K281" t="e">
        <f>IF(COUNTIF(#REF!,Tabela2[[#This Row],[IdxWspolny]])&gt;0,"ELEM_lub_PRD","TECHN")</f>
        <v>#REF!</v>
      </c>
      <c r="L281" t="e">
        <f>IF(COUNTIF(#REF!,Tabela2[[#This Row],[KOD_PRODUKTU]])&gt;0,"ELEMENT","PRODUKT")</f>
        <v>#REF!</v>
      </c>
      <c r="M281" t="e">
        <f>COUNTIF(#REF!,Tabela2[[#This Row],[KOD_PRODUKTU]])</f>
        <v>#REF!</v>
      </c>
    </row>
    <row r="282" spans="1:13" x14ac:dyDescent="0.25">
      <c r="A282" s="1" t="s">
        <v>602</v>
      </c>
      <c r="B282" t="s">
        <v>603</v>
      </c>
      <c r="C282" s="1" t="s">
        <v>587</v>
      </c>
      <c r="D282" s="1" t="s">
        <v>587</v>
      </c>
      <c r="E282" s="1" t="s">
        <v>587</v>
      </c>
      <c r="F282" t="s">
        <v>588</v>
      </c>
      <c r="G282" t="s">
        <v>191</v>
      </c>
      <c r="H282" t="s">
        <v>5</v>
      </c>
      <c r="I282" t="s">
        <v>590</v>
      </c>
      <c r="J282">
        <v>0.11</v>
      </c>
      <c r="K282" t="e">
        <f>IF(COUNTIF(#REF!,Tabela2[[#This Row],[IdxWspolny]])&gt;0,"ELEM_lub_PRD","TECHN")</f>
        <v>#REF!</v>
      </c>
      <c r="L282" t="e">
        <f>IF(COUNTIF(#REF!,Tabela2[[#This Row],[KOD_PRODUKTU]])&gt;0,"ELEMENT","PRODUKT")</f>
        <v>#REF!</v>
      </c>
      <c r="M282" t="e">
        <f>COUNTIF(#REF!,Tabela2[[#This Row],[KOD_PRODUKTU]])</f>
        <v>#REF!</v>
      </c>
    </row>
    <row r="283" spans="1:13" x14ac:dyDescent="0.25">
      <c r="A283" s="1" t="s">
        <v>602</v>
      </c>
      <c r="B283" t="s">
        <v>603</v>
      </c>
      <c r="C283" s="1" t="s">
        <v>517</v>
      </c>
      <c r="D283" s="1" t="s">
        <v>517</v>
      </c>
      <c r="E283" s="1" t="s">
        <v>517</v>
      </c>
      <c r="F283" t="s">
        <v>518</v>
      </c>
      <c r="G283" t="s">
        <v>519</v>
      </c>
      <c r="H283" t="s">
        <v>121</v>
      </c>
      <c r="I283" t="s">
        <v>122</v>
      </c>
      <c r="J283">
        <v>22.2</v>
      </c>
      <c r="K283" t="e">
        <f>IF(COUNTIF(#REF!,Tabela2[[#This Row],[IdxWspolny]])&gt;0,"ELEM_lub_PRD","TECHN")</f>
        <v>#REF!</v>
      </c>
      <c r="L283" t="e">
        <f>IF(COUNTIF(#REF!,Tabela2[[#This Row],[KOD_PRODUKTU]])&gt;0,"ELEMENT","PRODUKT")</f>
        <v>#REF!</v>
      </c>
      <c r="M283" t="e">
        <f>COUNTIF(#REF!,Tabela2[[#This Row],[KOD_PRODUKTU]])</f>
        <v>#REF!</v>
      </c>
    </row>
    <row r="284" spans="1:13" x14ac:dyDescent="0.25">
      <c r="A284" s="1" t="s">
        <v>602</v>
      </c>
      <c r="B284" t="s">
        <v>603</v>
      </c>
      <c r="C284" s="1" t="s">
        <v>499</v>
      </c>
      <c r="D284" s="1" t="s">
        <v>499</v>
      </c>
      <c r="E284" s="1" t="s">
        <v>499</v>
      </c>
      <c r="F284" t="s">
        <v>500</v>
      </c>
      <c r="G284" t="s">
        <v>501</v>
      </c>
      <c r="H284" t="s">
        <v>121</v>
      </c>
      <c r="I284" t="s">
        <v>92</v>
      </c>
      <c r="J284">
        <v>9</v>
      </c>
      <c r="K284" t="e">
        <f>IF(COUNTIF(#REF!,Tabela2[[#This Row],[IdxWspolny]])&gt;0,"ELEM_lub_PRD","TECHN")</f>
        <v>#REF!</v>
      </c>
      <c r="L284" t="e">
        <f>IF(COUNTIF(#REF!,Tabela2[[#This Row],[KOD_PRODUKTU]])&gt;0,"ELEMENT","PRODUKT")</f>
        <v>#REF!</v>
      </c>
      <c r="M284" t="e">
        <f>COUNTIF(#REF!,Tabela2[[#This Row],[KOD_PRODUKTU]])</f>
        <v>#REF!</v>
      </c>
    </row>
    <row r="285" spans="1:13" x14ac:dyDescent="0.25">
      <c r="A285" s="1" t="s">
        <v>602</v>
      </c>
      <c r="B285" t="s">
        <v>603</v>
      </c>
      <c r="C285" s="1" t="s">
        <v>592</v>
      </c>
      <c r="D285" s="1" t="s">
        <v>592</v>
      </c>
      <c r="E285" s="1" t="s">
        <v>592</v>
      </c>
      <c r="F285" t="s">
        <v>593</v>
      </c>
      <c r="G285" t="s">
        <v>157</v>
      </c>
      <c r="H285" t="s">
        <v>49</v>
      </c>
      <c r="I285" t="s">
        <v>50</v>
      </c>
      <c r="J285">
        <v>2.4500000000000002</v>
      </c>
      <c r="K285" t="e">
        <f>IF(COUNTIF(#REF!,Tabela2[[#This Row],[IdxWspolny]])&gt;0,"ELEM_lub_PRD","TECHN")</f>
        <v>#REF!</v>
      </c>
      <c r="L285" t="e">
        <f>IF(COUNTIF(#REF!,Tabela2[[#This Row],[KOD_PRODUKTU]])&gt;0,"ELEMENT","PRODUKT")</f>
        <v>#REF!</v>
      </c>
      <c r="M285" t="e">
        <f>COUNTIF(#REF!,Tabela2[[#This Row],[KOD_PRODUKTU]])</f>
        <v>#REF!</v>
      </c>
    </row>
    <row r="286" spans="1:13" x14ac:dyDescent="0.25">
      <c r="A286" s="1" t="s">
        <v>602</v>
      </c>
      <c r="B286" t="s">
        <v>603</v>
      </c>
      <c r="C286" s="1" t="s">
        <v>541</v>
      </c>
      <c r="D286" s="1" t="s">
        <v>541</v>
      </c>
      <c r="E286" s="1" t="s">
        <v>541</v>
      </c>
      <c r="F286" t="s">
        <v>542</v>
      </c>
      <c r="G286" t="s">
        <v>9</v>
      </c>
      <c r="H286" t="s">
        <v>10</v>
      </c>
      <c r="I286" t="s">
        <v>607</v>
      </c>
      <c r="J286">
        <v>18.399999999999999</v>
      </c>
      <c r="K286" t="e">
        <f>IF(COUNTIF(#REF!,Tabela2[[#This Row],[IdxWspolny]])&gt;0,"ELEM_lub_PRD","TECHN")</f>
        <v>#REF!</v>
      </c>
      <c r="L286" t="e">
        <f>IF(COUNTIF(#REF!,Tabela2[[#This Row],[KOD_PRODUKTU]])&gt;0,"ELEMENT","PRODUKT")</f>
        <v>#REF!</v>
      </c>
      <c r="M286" t="e">
        <f>COUNTIF(#REF!,Tabela2[[#This Row],[KOD_PRODUKTU]])</f>
        <v>#REF!</v>
      </c>
    </row>
    <row r="287" spans="1:13" x14ac:dyDescent="0.25">
      <c r="A287" s="1" t="s">
        <v>608</v>
      </c>
      <c r="B287" t="s">
        <v>609</v>
      </c>
      <c r="C287" s="1" t="s">
        <v>507</v>
      </c>
      <c r="D287" s="1" t="s">
        <v>507</v>
      </c>
      <c r="E287" s="1" t="s">
        <v>507</v>
      </c>
      <c r="F287" t="s">
        <v>508</v>
      </c>
      <c r="G287" t="s">
        <v>578</v>
      </c>
      <c r="H287" t="s">
        <v>5</v>
      </c>
      <c r="I287" t="s">
        <v>610</v>
      </c>
      <c r="J287">
        <v>8.42</v>
      </c>
      <c r="K287" t="e">
        <f>IF(COUNTIF(#REF!,Tabela2[[#This Row],[IdxWspolny]])&gt;0,"ELEM_lub_PRD","TECHN")</f>
        <v>#REF!</v>
      </c>
      <c r="L287" t="e">
        <f>IF(COUNTIF(#REF!,Tabela2[[#This Row],[KOD_PRODUKTU]])&gt;0,"ELEMENT","PRODUKT")</f>
        <v>#REF!</v>
      </c>
      <c r="M287" t="e">
        <f>COUNTIF(#REF!,Tabela2[[#This Row],[KOD_PRODUKTU]])</f>
        <v>#REF!</v>
      </c>
    </row>
    <row r="288" spans="1:13" x14ac:dyDescent="0.25">
      <c r="A288" s="1" t="s">
        <v>608</v>
      </c>
      <c r="B288" t="s">
        <v>609</v>
      </c>
      <c r="C288" s="1" t="s">
        <v>511</v>
      </c>
      <c r="D288" s="1" t="s">
        <v>511</v>
      </c>
      <c r="E288" s="1" t="s">
        <v>511</v>
      </c>
      <c r="F288" t="s">
        <v>512</v>
      </c>
      <c r="G288" t="s">
        <v>580</v>
      </c>
      <c r="H288" t="s">
        <v>39</v>
      </c>
      <c r="I288" t="s">
        <v>558</v>
      </c>
      <c r="J288">
        <v>1.19</v>
      </c>
      <c r="K288" t="e">
        <f>IF(COUNTIF(#REF!,Tabela2[[#This Row],[IdxWspolny]])&gt;0,"ELEM_lub_PRD","TECHN")</f>
        <v>#REF!</v>
      </c>
      <c r="L288" t="e">
        <f>IF(COUNTIF(#REF!,Tabela2[[#This Row],[KOD_PRODUKTU]])&gt;0,"ELEMENT","PRODUKT")</f>
        <v>#REF!</v>
      </c>
      <c r="M288" t="e">
        <f>COUNTIF(#REF!,Tabela2[[#This Row],[KOD_PRODUKTU]])</f>
        <v>#REF!</v>
      </c>
    </row>
    <row r="289" spans="1:13" x14ac:dyDescent="0.25">
      <c r="A289" s="1" t="s">
        <v>608</v>
      </c>
      <c r="B289" t="s">
        <v>609</v>
      </c>
      <c r="C289" s="1" t="s">
        <v>41</v>
      </c>
      <c r="D289" s="1" t="s">
        <v>41</v>
      </c>
      <c r="E289" s="1" t="s">
        <v>41</v>
      </c>
      <c r="F289" t="s">
        <v>42</v>
      </c>
      <c r="G289" t="s">
        <v>513</v>
      </c>
      <c r="H289" t="s">
        <v>5</v>
      </c>
      <c r="I289" t="s">
        <v>598</v>
      </c>
      <c r="J289">
        <v>0.04</v>
      </c>
      <c r="K289" t="e">
        <f>IF(COUNTIF(#REF!,Tabela2[[#This Row],[IdxWspolny]])&gt;0,"ELEM_lub_PRD","TECHN")</f>
        <v>#REF!</v>
      </c>
      <c r="L289" t="e">
        <f>IF(COUNTIF(#REF!,Tabela2[[#This Row],[KOD_PRODUKTU]])&gt;0,"ELEMENT","PRODUKT")</f>
        <v>#REF!</v>
      </c>
      <c r="M289" t="e">
        <f>COUNTIF(#REF!,Tabela2[[#This Row],[KOD_PRODUKTU]])</f>
        <v>#REF!</v>
      </c>
    </row>
    <row r="290" spans="1:13" x14ac:dyDescent="0.25">
      <c r="A290" s="1" t="s">
        <v>608</v>
      </c>
      <c r="B290" t="s">
        <v>609</v>
      </c>
      <c r="C290" s="1" t="s">
        <v>517</v>
      </c>
      <c r="D290" s="1" t="s">
        <v>517</v>
      </c>
      <c r="E290" s="1" t="s">
        <v>517</v>
      </c>
      <c r="F290" t="s">
        <v>518</v>
      </c>
      <c r="G290" t="s">
        <v>519</v>
      </c>
      <c r="H290" t="s">
        <v>121</v>
      </c>
      <c r="I290" t="s">
        <v>92</v>
      </c>
      <c r="J290">
        <v>11.1</v>
      </c>
      <c r="K290" t="e">
        <f>IF(COUNTIF(#REF!,Tabela2[[#This Row],[IdxWspolny]])&gt;0,"ELEM_lub_PRD","TECHN")</f>
        <v>#REF!</v>
      </c>
      <c r="L290" t="e">
        <f>IF(COUNTIF(#REF!,Tabela2[[#This Row],[KOD_PRODUKTU]])&gt;0,"ELEMENT","PRODUKT")</f>
        <v>#REF!</v>
      </c>
      <c r="M290" t="e">
        <f>COUNTIF(#REF!,Tabela2[[#This Row],[KOD_PRODUKTU]])</f>
        <v>#REF!</v>
      </c>
    </row>
    <row r="291" spans="1:13" x14ac:dyDescent="0.25">
      <c r="A291" s="1" t="s">
        <v>608</v>
      </c>
      <c r="B291" t="s">
        <v>609</v>
      </c>
      <c r="C291" s="1" t="s">
        <v>520</v>
      </c>
      <c r="D291" s="1" t="s">
        <v>520</v>
      </c>
      <c r="E291" s="1" t="s">
        <v>520</v>
      </c>
      <c r="F291" t="s">
        <v>521</v>
      </c>
      <c r="G291" t="s">
        <v>522</v>
      </c>
      <c r="H291" t="s">
        <v>121</v>
      </c>
      <c r="I291" t="s">
        <v>92</v>
      </c>
      <c r="J291">
        <v>6.9</v>
      </c>
      <c r="K291" t="e">
        <f>IF(COUNTIF(#REF!,Tabela2[[#This Row],[IdxWspolny]])&gt;0,"ELEM_lub_PRD","TECHN")</f>
        <v>#REF!</v>
      </c>
      <c r="L291" t="e">
        <f>IF(COUNTIF(#REF!,Tabela2[[#This Row],[KOD_PRODUKTU]])&gt;0,"ELEMENT","PRODUKT")</f>
        <v>#REF!</v>
      </c>
      <c r="M291" t="e">
        <f>COUNTIF(#REF!,Tabela2[[#This Row],[KOD_PRODUKTU]])</f>
        <v>#REF!</v>
      </c>
    </row>
    <row r="292" spans="1:13" x14ac:dyDescent="0.25">
      <c r="A292" s="1" t="s">
        <v>608</v>
      </c>
      <c r="B292" t="s">
        <v>609</v>
      </c>
      <c r="C292" s="1" t="s">
        <v>599</v>
      </c>
      <c r="D292" s="1" t="s">
        <v>599</v>
      </c>
      <c r="E292" s="1" t="s">
        <v>599</v>
      </c>
      <c r="F292" t="s">
        <v>600</v>
      </c>
      <c r="G292" t="s">
        <v>157</v>
      </c>
      <c r="H292" t="s">
        <v>49</v>
      </c>
      <c r="I292" t="s">
        <v>92</v>
      </c>
      <c r="J292">
        <v>4.9000000000000004</v>
      </c>
      <c r="K292" t="e">
        <f>IF(COUNTIF(#REF!,Tabela2[[#This Row],[IdxWspolny]])&gt;0,"ELEM_lub_PRD","TECHN")</f>
        <v>#REF!</v>
      </c>
      <c r="L292" t="e">
        <f>IF(COUNTIF(#REF!,Tabela2[[#This Row],[KOD_PRODUKTU]])&gt;0,"ELEMENT","PRODUKT")</f>
        <v>#REF!</v>
      </c>
      <c r="M292" t="e">
        <f>COUNTIF(#REF!,Tabela2[[#This Row],[KOD_PRODUKTU]])</f>
        <v>#REF!</v>
      </c>
    </row>
    <row r="293" spans="1:13" x14ac:dyDescent="0.25">
      <c r="A293" s="1" t="s">
        <v>608</v>
      </c>
      <c r="B293" t="s">
        <v>609</v>
      </c>
      <c r="C293" s="1" t="s">
        <v>541</v>
      </c>
      <c r="D293" s="1" t="s">
        <v>541</v>
      </c>
      <c r="E293" s="1" t="s">
        <v>541</v>
      </c>
      <c r="F293" t="s">
        <v>542</v>
      </c>
      <c r="G293" t="s">
        <v>9</v>
      </c>
      <c r="H293" t="s">
        <v>10</v>
      </c>
      <c r="I293" t="s">
        <v>33</v>
      </c>
      <c r="J293">
        <v>9.1999999999999993</v>
      </c>
      <c r="K293" t="e">
        <f>IF(COUNTIF(#REF!,Tabela2[[#This Row],[IdxWspolny]])&gt;0,"ELEM_lub_PRD","TECHN")</f>
        <v>#REF!</v>
      </c>
      <c r="L293" t="e">
        <f>IF(COUNTIF(#REF!,Tabela2[[#This Row],[KOD_PRODUKTU]])&gt;0,"ELEMENT","PRODUKT")</f>
        <v>#REF!</v>
      </c>
      <c r="M293" t="e">
        <f>COUNTIF(#REF!,Tabela2[[#This Row],[KOD_PRODUKTU]])</f>
        <v>#REF!</v>
      </c>
    </row>
    <row r="294" spans="1:13" x14ac:dyDescent="0.25">
      <c r="A294" s="1" t="s">
        <v>611</v>
      </c>
      <c r="B294" t="s">
        <v>612</v>
      </c>
      <c r="C294" s="1" t="s">
        <v>471</v>
      </c>
      <c r="D294" s="1" t="s">
        <v>471</v>
      </c>
      <c r="E294" s="1" t="s">
        <v>471</v>
      </c>
      <c r="F294" t="s">
        <v>472</v>
      </c>
      <c r="G294" t="s">
        <v>578</v>
      </c>
      <c r="H294" t="s">
        <v>5</v>
      </c>
      <c r="I294" t="s">
        <v>613</v>
      </c>
      <c r="J294">
        <v>37.85</v>
      </c>
      <c r="K294" t="e">
        <f>IF(COUNTIF(#REF!,Tabela2[[#This Row],[IdxWspolny]])&gt;0,"ELEM_lub_PRD","TECHN")</f>
        <v>#REF!</v>
      </c>
      <c r="L294" t="e">
        <f>IF(COUNTIF(#REF!,Tabela2[[#This Row],[KOD_PRODUKTU]])&gt;0,"ELEMENT","PRODUKT")</f>
        <v>#REF!</v>
      </c>
      <c r="M294" t="e">
        <f>COUNTIF(#REF!,Tabela2[[#This Row],[KOD_PRODUKTU]])</f>
        <v>#REF!</v>
      </c>
    </row>
    <row r="295" spans="1:13" x14ac:dyDescent="0.25">
      <c r="A295" s="1" t="s">
        <v>611</v>
      </c>
      <c r="B295" t="s">
        <v>612</v>
      </c>
      <c r="C295" s="1" t="s">
        <v>511</v>
      </c>
      <c r="D295" s="1" t="s">
        <v>511</v>
      </c>
      <c r="E295" s="1" t="s">
        <v>511</v>
      </c>
      <c r="F295" t="s">
        <v>512</v>
      </c>
      <c r="G295" t="s">
        <v>580</v>
      </c>
      <c r="H295" t="s">
        <v>39</v>
      </c>
      <c r="I295" t="s">
        <v>558</v>
      </c>
      <c r="J295">
        <v>1.19</v>
      </c>
      <c r="K295" t="e">
        <f>IF(COUNTIF(#REF!,Tabela2[[#This Row],[IdxWspolny]])&gt;0,"ELEM_lub_PRD","TECHN")</f>
        <v>#REF!</v>
      </c>
      <c r="L295" t="e">
        <f>IF(COUNTIF(#REF!,Tabela2[[#This Row],[KOD_PRODUKTU]])&gt;0,"ELEMENT","PRODUKT")</f>
        <v>#REF!</v>
      </c>
      <c r="M295" t="e">
        <f>COUNTIF(#REF!,Tabela2[[#This Row],[KOD_PRODUKTU]])</f>
        <v>#REF!</v>
      </c>
    </row>
    <row r="296" spans="1:13" x14ac:dyDescent="0.25">
      <c r="A296" s="1" t="s">
        <v>611</v>
      </c>
      <c r="B296" t="s">
        <v>612</v>
      </c>
      <c r="C296" s="1" t="s">
        <v>581</v>
      </c>
      <c r="D296" s="1" t="s">
        <v>581</v>
      </c>
      <c r="E296" s="1" t="s">
        <v>581</v>
      </c>
      <c r="F296" t="s">
        <v>582</v>
      </c>
      <c r="G296" t="s">
        <v>216</v>
      </c>
      <c r="H296" t="s">
        <v>5</v>
      </c>
      <c r="I296" t="s">
        <v>614</v>
      </c>
      <c r="J296">
        <v>0.28999999999999998</v>
      </c>
      <c r="K296" t="e">
        <f>IF(COUNTIF(#REF!,Tabela2[[#This Row],[IdxWspolny]])&gt;0,"ELEM_lub_PRD","TECHN")</f>
        <v>#REF!</v>
      </c>
      <c r="L296" t="e">
        <f>IF(COUNTIF(#REF!,Tabela2[[#This Row],[KOD_PRODUKTU]])&gt;0,"ELEMENT","PRODUKT")</f>
        <v>#REF!</v>
      </c>
      <c r="M296" t="e">
        <f>COUNTIF(#REF!,Tabela2[[#This Row],[KOD_PRODUKTU]])</f>
        <v>#REF!</v>
      </c>
    </row>
    <row r="297" spans="1:13" x14ac:dyDescent="0.25">
      <c r="A297" s="1" t="s">
        <v>611</v>
      </c>
      <c r="B297" t="s">
        <v>612</v>
      </c>
      <c r="C297" s="1" t="s">
        <v>584</v>
      </c>
      <c r="D297" s="1" t="s">
        <v>584</v>
      </c>
      <c r="E297" s="1" t="s">
        <v>584</v>
      </c>
      <c r="F297" t="s">
        <v>585</v>
      </c>
      <c r="G297" t="s">
        <v>191</v>
      </c>
      <c r="H297" t="s">
        <v>5</v>
      </c>
      <c r="I297" t="s">
        <v>586</v>
      </c>
      <c r="J297">
        <v>0.13</v>
      </c>
      <c r="K297" t="e">
        <f>IF(COUNTIF(#REF!,Tabela2[[#This Row],[IdxWspolny]])&gt;0,"ELEM_lub_PRD","TECHN")</f>
        <v>#REF!</v>
      </c>
      <c r="L297" t="e">
        <f>IF(COUNTIF(#REF!,Tabela2[[#This Row],[KOD_PRODUKTU]])&gt;0,"ELEMENT","PRODUKT")</f>
        <v>#REF!</v>
      </c>
      <c r="M297" t="e">
        <f>COUNTIF(#REF!,Tabela2[[#This Row],[KOD_PRODUKTU]])</f>
        <v>#REF!</v>
      </c>
    </row>
    <row r="298" spans="1:13" x14ac:dyDescent="0.25">
      <c r="A298" s="1" t="s">
        <v>611</v>
      </c>
      <c r="B298" t="s">
        <v>612</v>
      </c>
      <c r="C298" s="1" t="s">
        <v>587</v>
      </c>
      <c r="D298" s="1" t="s">
        <v>587</v>
      </c>
      <c r="E298" s="1" t="s">
        <v>587</v>
      </c>
      <c r="F298" t="s">
        <v>588</v>
      </c>
      <c r="G298" t="s">
        <v>589</v>
      </c>
      <c r="H298" t="s">
        <v>5</v>
      </c>
      <c r="I298" t="s">
        <v>590</v>
      </c>
      <c r="J298">
        <v>0.13</v>
      </c>
      <c r="K298" t="e">
        <f>IF(COUNTIF(#REF!,Tabela2[[#This Row],[IdxWspolny]])&gt;0,"ELEM_lub_PRD","TECHN")</f>
        <v>#REF!</v>
      </c>
      <c r="L298" t="e">
        <f>IF(COUNTIF(#REF!,Tabela2[[#This Row],[KOD_PRODUKTU]])&gt;0,"ELEMENT","PRODUKT")</f>
        <v>#REF!</v>
      </c>
      <c r="M298" t="e">
        <f>COUNTIF(#REF!,Tabela2[[#This Row],[KOD_PRODUKTU]])</f>
        <v>#REF!</v>
      </c>
    </row>
    <row r="299" spans="1:13" x14ac:dyDescent="0.25">
      <c r="A299" s="1" t="s">
        <v>611</v>
      </c>
      <c r="B299" t="s">
        <v>612</v>
      </c>
      <c r="C299" s="1" t="s">
        <v>41</v>
      </c>
      <c r="D299" s="1" t="s">
        <v>41</v>
      </c>
      <c r="E299" s="1" t="s">
        <v>41</v>
      </c>
      <c r="F299" t="s">
        <v>42</v>
      </c>
      <c r="G299" t="s">
        <v>513</v>
      </c>
      <c r="H299" t="s">
        <v>5</v>
      </c>
      <c r="I299" t="s">
        <v>615</v>
      </c>
      <c r="J299">
        <v>0.02</v>
      </c>
      <c r="K299" t="e">
        <f>IF(COUNTIF(#REF!,Tabela2[[#This Row],[IdxWspolny]])&gt;0,"ELEM_lub_PRD","TECHN")</f>
        <v>#REF!</v>
      </c>
      <c r="L299" t="e">
        <f>IF(COUNTIF(#REF!,Tabela2[[#This Row],[KOD_PRODUKTU]])&gt;0,"ELEMENT","PRODUKT")</f>
        <v>#REF!</v>
      </c>
      <c r="M299" t="e">
        <f>COUNTIF(#REF!,Tabela2[[#This Row],[KOD_PRODUKTU]])</f>
        <v>#REF!</v>
      </c>
    </row>
    <row r="300" spans="1:13" x14ac:dyDescent="0.25">
      <c r="A300" s="1" t="s">
        <v>611</v>
      </c>
      <c r="B300" t="s">
        <v>612</v>
      </c>
      <c r="C300" s="1" t="s">
        <v>517</v>
      </c>
      <c r="D300" s="1" t="s">
        <v>517</v>
      </c>
      <c r="E300" s="1" t="s">
        <v>517</v>
      </c>
      <c r="F300" t="s">
        <v>518</v>
      </c>
      <c r="G300" t="s">
        <v>519</v>
      </c>
      <c r="H300" t="s">
        <v>121</v>
      </c>
      <c r="I300" t="s">
        <v>122</v>
      </c>
      <c r="J300">
        <v>22.2</v>
      </c>
      <c r="K300" t="e">
        <f>IF(COUNTIF(#REF!,Tabela2[[#This Row],[IdxWspolny]])&gt;0,"ELEM_lub_PRD","TECHN")</f>
        <v>#REF!</v>
      </c>
      <c r="L300" t="e">
        <f>IF(COUNTIF(#REF!,Tabela2[[#This Row],[KOD_PRODUKTU]])&gt;0,"ELEMENT","PRODUKT")</f>
        <v>#REF!</v>
      </c>
      <c r="M300" t="e">
        <f>COUNTIF(#REF!,Tabela2[[#This Row],[KOD_PRODUKTU]])</f>
        <v>#REF!</v>
      </c>
    </row>
    <row r="301" spans="1:13" x14ac:dyDescent="0.25">
      <c r="A301" s="1" t="s">
        <v>611</v>
      </c>
      <c r="B301" t="s">
        <v>612</v>
      </c>
      <c r="C301" s="1" t="s">
        <v>499</v>
      </c>
      <c r="D301" s="1" t="s">
        <v>499</v>
      </c>
      <c r="E301" s="1" t="s">
        <v>499</v>
      </c>
      <c r="F301" t="s">
        <v>500</v>
      </c>
      <c r="G301" t="s">
        <v>501</v>
      </c>
      <c r="H301" t="s">
        <v>121</v>
      </c>
      <c r="I301" t="s">
        <v>92</v>
      </c>
      <c r="J301">
        <v>9</v>
      </c>
      <c r="K301" t="e">
        <f>IF(COUNTIF(#REF!,Tabela2[[#This Row],[IdxWspolny]])&gt;0,"ELEM_lub_PRD","TECHN")</f>
        <v>#REF!</v>
      </c>
      <c r="L301" t="e">
        <f>IF(COUNTIF(#REF!,Tabela2[[#This Row],[KOD_PRODUKTU]])&gt;0,"ELEMENT","PRODUKT")</f>
        <v>#REF!</v>
      </c>
      <c r="M301" t="e">
        <f>COUNTIF(#REF!,Tabela2[[#This Row],[KOD_PRODUKTU]])</f>
        <v>#REF!</v>
      </c>
    </row>
    <row r="302" spans="1:13" x14ac:dyDescent="0.25">
      <c r="A302" s="1" t="s">
        <v>611</v>
      </c>
      <c r="B302" t="s">
        <v>612</v>
      </c>
      <c r="C302" s="1" t="s">
        <v>592</v>
      </c>
      <c r="D302" s="1" t="s">
        <v>592</v>
      </c>
      <c r="E302" s="1" t="s">
        <v>592</v>
      </c>
      <c r="F302" t="s">
        <v>593</v>
      </c>
      <c r="G302" t="s">
        <v>157</v>
      </c>
      <c r="H302" t="s">
        <v>49</v>
      </c>
      <c r="I302" t="s">
        <v>50</v>
      </c>
      <c r="J302">
        <v>2.4500000000000002</v>
      </c>
      <c r="K302" t="e">
        <f>IF(COUNTIF(#REF!,Tabela2[[#This Row],[IdxWspolny]])&gt;0,"ELEM_lub_PRD","TECHN")</f>
        <v>#REF!</v>
      </c>
      <c r="L302" t="e">
        <f>IF(COUNTIF(#REF!,Tabela2[[#This Row],[KOD_PRODUKTU]])&gt;0,"ELEMENT","PRODUKT")</f>
        <v>#REF!</v>
      </c>
      <c r="M302" t="e">
        <f>COUNTIF(#REF!,Tabela2[[#This Row],[KOD_PRODUKTU]])</f>
        <v>#REF!</v>
      </c>
    </row>
    <row r="303" spans="1:13" x14ac:dyDescent="0.25">
      <c r="A303" s="1" t="s">
        <v>611</v>
      </c>
      <c r="B303" t="s">
        <v>612</v>
      </c>
      <c r="C303" s="1" t="s">
        <v>541</v>
      </c>
      <c r="D303" s="1" t="s">
        <v>541</v>
      </c>
      <c r="E303" s="1" t="s">
        <v>541</v>
      </c>
      <c r="F303" t="s">
        <v>542</v>
      </c>
      <c r="G303" t="s">
        <v>9</v>
      </c>
      <c r="H303" t="s">
        <v>10</v>
      </c>
      <c r="I303" t="s">
        <v>616</v>
      </c>
      <c r="J303">
        <v>9.32</v>
      </c>
      <c r="K303" t="e">
        <f>IF(COUNTIF(#REF!,Tabela2[[#This Row],[IdxWspolny]])&gt;0,"ELEM_lub_PRD","TECHN")</f>
        <v>#REF!</v>
      </c>
      <c r="L303" t="e">
        <f>IF(COUNTIF(#REF!,Tabela2[[#This Row],[KOD_PRODUKTU]])&gt;0,"ELEMENT","PRODUKT")</f>
        <v>#REF!</v>
      </c>
      <c r="M303" t="e">
        <f>COUNTIF(#REF!,Tabela2[[#This Row],[KOD_PRODUKTU]])</f>
        <v>#REF!</v>
      </c>
    </row>
    <row r="304" spans="1:13" x14ac:dyDescent="0.25">
      <c r="A304" s="1" t="s">
        <v>617</v>
      </c>
      <c r="B304" t="s">
        <v>618</v>
      </c>
      <c r="C304" s="1" t="s">
        <v>507</v>
      </c>
      <c r="D304" s="1" t="s">
        <v>507</v>
      </c>
      <c r="E304" s="1" t="s">
        <v>507</v>
      </c>
      <c r="F304" t="s">
        <v>508</v>
      </c>
      <c r="G304" t="s">
        <v>578</v>
      </c>
      <c r="H304" t="s">
        <v>5</v>
      </c>
      <c r="I304" t="s">
        <v>619</v>
      </c>
      <c r="J304">
        <v>14.92</v>
      </c>
      <c r="K304" t="e">
        <f>IF(COUNTIF(#REF!,Tabela2[[#This Row],[IdxWspolny]])&gt;0,"ELEM_lub_PRD","TECHN")</f>
        <v>#REF!</v>
      </c>
      <c r="L304" t="e">
        <f>IF(COUNTIF(#REF!,Tabela2[[#This Row],[KOD_PRODUKTU]])&gt;0,"ELEMENT","PRODUKT")</f>
        <v>#REF!</v>
      </c>
      <c r="M304" t="e">
        <f>COUNTIF(#REF!,Tabela2[[#This Row],[KOD_PRODUKTU]])</f>
        <v>#REF!</v>
      </c>
    </row>
    <row r="305" spans="1:13" x14ac:dyDescent="0.25">
      <c r="A305" s="1" t="s">
        <v>617</v>
      </c>
      <c r="B305" t="s">
        <v>618</v>
      </c>
      <c r="C305" s="1" t="s">
        <v>511</v>
      </c>
      <c r="D305" s="1" t="s">
        <v>511</v>
      </c>
      <c r="E305" s="1" t="s">
        <v>511</v>
      </c>
      <c r="F305" t="s">
        <v>512</v>
      </c>
      <c r="G305" t="s">
        <v>580</v>
      </c>
      <c r="H305" t="s">
        <v>39</v>
      </c>
      <c r="I305" t="s">
        <v>558</v>
      </c>
      <c r="J305">
        <v>1.19</v>
      </c>
      <c r="K305" t="e">
        <f>IF(COUNTIF(#REF!,Tabela2[[#This Row],[IdxWspolny]])&gt;0,"ELEM_lub_PRD","TECHN")</f>
        <v>#REF!</v>
      </c>
      <c r="L305" t="e">
        <f>IF(COUNTIF(#REF!,Tabela2[[#This Row],[KOD_PRODUKTU]])&gt;0,"ELEMENT","PRODUKT")</f>
        <v>#REF!</v>
      </c>
      <c r="M305" t="e">
        <f>COUNTIF(#REF!,Tabela2[[#This Row],[KOD_PRODUKTU]])</f>
        <v>#REF!</v>
      </c>
    </row>
    <row r="306" spans="1:13" x14ac:dyDescent="0.25">
      <c r="A306" s="1" t="s">
        <v>617</v>
      </c>
      <c r="B306" t="s">
        <v>618</v>
      </c>
      <c r="C306" s="1" t="s">
        <v>41</v>
      </c>
      <c r="D306" s="1" t="s">
        <v>41</v>
      </c>
      <c r="E306" s="1" t="s">
        <v>41</v>
      </c>
      <c r="F306" t="s">
        <v>42</v>
      </c>
      <c r="G306" t="s">
        <v>513</v>
      </c>
      <c r="H306" t="s">
        <v>5</v>
      </c>
      <c r="I306" t="s">
        <v>598</v>
      </c>
      <c r="J306">
        <v>0.04</v>
      </c>
      <c r="K306" t="e">
        <f>IF(COUNTIF(#REF!,Tabela2[[#This Row],[IdxWspolny]])&gt;0,"ELEM_lub_PRD","TECHN")</f>
        <v>#REF!</v>
      </c>
      <c r="L306" t="e">
        <f>IF(COUNTIF(#REF!,Tabela2[[#This Row],[KOD_PRODUKTU]])&gt;0,"ELEMENT","PRODUKT")</f>
        <v>#REF!</v>
      </c>
      <c r="M306" t="e">
        <f>COUNTIF(#REF!,Tabela2[[#This Row],[KOD_PRODUKTU]])</f>
        <v>#REF!</v>
      </c>
    </row>
    <row r="307" spans="1:13" x14ac:dyDescent="0.25">
      <c r="A307" s="1" t="s">
        <v>617</v>
      </c>
      <c r="B307" t="s">
        <v>618</v>
      </c>
      <c r="C307" s="1" t="s">
        <v>517</v>
      </c>
      <c r="D307" s="1" t="s">
        <v>517</v>
      </c>
      <c r="E307" s="1" t="s">
        <v>517</v>
      </c>
      <c r="F307" t="s">
        <v>518</v>
      </c>
      <c r="G307" t="s">
        <v>519</v>
      </c>
      <c r="H307" t="s">
        <v>121</v>
      </c>
      <c r="I307" t="s">
        <v>92</v>
      </c>
      <c r="J307">
        <v>11.1</v>
      </c>
      <c r="K307" t="e">
        <f>IF(COUNTIF(#REF!,Tabela2[[#This Row],[IdxWspolny]])&gt;0,"ELEM_lub_PRD","TECHN")</f>
        <v>#REF!</v>
      </c>
      <c r="L307" t="e">
        <f>IF(COUNTIF(#REF!,Tabela2[[#This Row],[KOD_PRODUKTU]])&gt;0,"ELEMENT","PRODUKT")</f>
        <v>#REF!</v>
      </c>
      <c r="M307" t="e">
        <f>COUNTIF(#REF!,Tabela2[[#This Row],[KOD_PRODUKTU]])</f>
        <v>#REF!</v>
      </c>
    </row>
    <row r="308" spans="1:13" x14ac:dyDescent="0.25">
      <c r="A308" s="1" t="s">
        <v>617</v>
      </c>
      <c r="B308" t="s">
        <v>618</v>
      </c>
      <c r="C308" s="1" t="s">
        <v>520</v>
      </c>
      <c r="D308" s="1" t="s">
        <v>520</v>
      </c>
      <c r="E308" s="1" t="s">
        <v>520</v>
      </c>
      <c r="F308" t="s">
        <v>521</v>
      </c>
      <c r="G308" t="s">
        <v>522</v>
      </c>
      <c r="H308" t="s">
        <v>121</v>
      </c>
      <c r="I308" t="s">
        <v>92</v>
      </c>
      <c r="J308">
        <v>6.9</v>
      </c>
      <c r="K308" t="e">
        <f>IF(COUNTIF(#REF!,Tabela2[[#This Row],[IdxWspolny]])&gt;0,"ELEM_lub_PRD","TECHN")</f>
        <v>#REF!</v>
      </c>
      <c r="L308" t="e">
        <f>IF(COUNTIF(#REF!,Tabela2[[#This Row],[KOD_PRODUKTU]])&gt;0,"ELEMENT","PRODUKT")</f>
        <v>#REF!</v>
      </c>
      <c r="M308" t="e">
        <f>COUNTIF(#REF!,Tabela2[[#This Row],[KOD_PRODUKTU]])</f>
        <v>#REF!</v>
      </c>
    </row>
    <row r="309" spans="1:13" x14ac:dyDescent="0.25">
      <c r="A309" s="1" t="s">
        <v>617</v>
      </c>
      <c r="B309" t="s">
        <v>618</v>
      </c>
      <c r="C309" s="1" t="s">
        <v>599</v>
      </c>
      <c r="D309" s="1" t="s">
        <v>599</v>
      </c>
      <c r="E309" s="1" t="s">
        <v>599</v>
      </c>
      <c r="F309" t="s">
        <v>600</v>
      </c>
      <c r="G309" t="s">
        <v>157</v>
      </c>
      <c r="H309" t="s">
        <v>49</v>
      </c>
      <c r="I309" t="s">
        <v>92</v>
      </c>
      <c r="J309">
        <v>4.9000000000000004</v>
      </c>
      <c r="K309" t="e">
        <f>IF(COUNTIF(#REF!,Tabela2[[#This Row],[IdxWspolny]])&gt;0,"ELEM_lub_PRD","TECHN")</f>
        <v>#REF!</v>
      </c>
      <c r="L309" t="e">
        <f>IF(COUNTIF(#REF!,Tabela2[[#This Row],[KOD_PRODUKTU]])&gt;0,"ELEMENT","PRODUKT")</f>
        <v>#REF!</v>
      </c>
      <c r="M309" t="e">
        <f>COUNTIF(#REF!,Tabela2[[#This Row],[KOD_PRODUKTU]])</f>
        <v>#REF!</v>
      </c>
    </row>
    <row r="310" spans="1:13" x14ac:dyDescent="0.25">
      <c r="A310" s="1" t="s">
        <v>617</v>
      </c>
      <c r="B310" t="s">
        <v>618</v>
      </c>
      <c r="C310" s="1" t="s">
        <v>541</v>
      </c>
      <c r="D310" s="1" t="s">
        <v>541</v>
      </c>
      <c r="E310" s="1" t="s">
        <v>541</v>
      </c>
      <c r="F310" t="s">
        <v>542</v>
      </c>
      <c r="G310" t="s">
        <v>9</v>
      </c>
      <c r="H310" t="s">
        <v>10</v>
      </c>
      <c r="I310" t="s">
        <v>601</v>
      </c>
      <c r="J310">
        <v>6.9</v>
      </c>
      <c r="K310" t="e">
        <f>IF(COUNTIF(#REF!,Tabela2[[#This Row],[IdxWspolny]])&gt;0,"ELEM_lub_PRD","TECHN")</f>
        <v>#REF!</v>
      </c>
      <c r="L310" t="e">
        <f>IF(COUNTIF(#REF!,Tabela2[[#This Row],[KOD_PRODUKTU]])&gt;0,"ELEMENT","PRODUKT")</f>
        <v>#REF!</v>
      </c>
      <c r="M310" t="e">
        <f>COUNTIF(#REF!,Tabela2[[#This Row],[KOD_PRODUKTU]])</f>
        <v>#REF!</v>
      </c>
    </row>
    <row r="311" spans="1:13" x14ac:dyDescent="0.25">
      <c r="A311" s="1" t="s">
        <v>620</v>
      </c>
      <c r="B311" t="s">
        <v>621</v>
      </c>
      <c r="C311" s="1" t="s">
        <v>471</v>
      </c>
      <c r="D311" s="1" t="s">
        <v>471</v>
      </c>
      <c r="E311" s="1" t="s">
        <v>471</v>
      </c>
      <c r="F311" t="s">
        <v>472</v>
      </c>
      <c r="G311" t="s">
        <v>578</v>
      </c>
      <c r="H311" t="s">
        <v>5</v>
      </c>
      <c r="I311" t="s">
        <v>622</v>
      </c>
      <c r="J311">
        <v>24.25</v>
      </c>
      <c r="K311" t="e">
        <f>IF(COUNTIF(#REF!,Tabela2[[#This Row],[IdxWspolny]])&gt;0,"ELEM_lub_PRD","TECHN")</f>
        <v>#REF!</v>
      </c>
      <c r="L311" t="e">
        <f>IF(COUNTIF(#REF!,Tabela2[[#This Row],[KOD_PRODUKTU]])&gt;0,"ELEMENT","PRODUKT")</f>
        <v>#REF!</v>
      </c>
      <c r="M311" t="e">
        <f>COUNTIF(#REF!,Tabela2[[#This Row],[KOD_PRODUKTU]])</f>
        <v>#REF!</v>
      </c>
    </row>
    <row r="312" spans="1:13" x14ac:dyDescent="0.25">
      <c r="A312" s="1" t="s">
        <v>620</v>
      </c>
      <c r="B312" t="s">
        <v>621</v>
      </c>
      <c r="C312" s="1" t="s">
        <v>511</v>
      </c>
      <c r="D312" s="1" t="s">
        <v>511</v>
      </c>
      <c r="E312" s="1" t="s">
        <v>511</v>
      </c>
      <c r="F312" t="s">
        <v>512</v>
      </c>
      <c r="G312" t="s">
        <v>580</v>
      </c>
      <c r="H312" t="s">
        <v>39</v>
      </c>
      <c r="I312" t="s">
        <v>558</v>
      </c>
      <c r="J312">
        <v>1.19</v>
      </c>
      <c r="K312" t="e">
        <f>IF(COUNTIF(#REF!,Tabela2[[#This Row],[IdxWspolny]])&gt;0,"ELEM_lub_PRD","TECHN")</f>
        <v>#REF!</v>
      </c>
      <c r="L312" t="e">
        <f>IF(COUNTIF(#REF!,Tabela2[[#This Row],[KOD_PRODUKTU]])&gt;0,"ELEMENT","PRODUKT")</f>
        <v>#REF!</v>
      </c>
      <c r="M312" t="e">
        <f>COUNTIF(#REF!,Tabela2[[#This Row],[KOD_PRODUKTU]])</f>
        <v>#REF!</v>
      </c>
    </row>
    <row r="313" spans="1:13" x14ac:dyDescent="0.25">
      <c r="A313" s="1" t="s">
        <v>620</v>
      </c>
      <c r="B313" t="s">
        <v>621</v>
      </c>
      <c r="C313" s="1" t="s">
        <v>623</v>
      </c>
      <c r="D313" s="1" t="s">
        <v>623</v>
      </c>
      <c r="E313" s="1" t="s">
        <v>623</v>
      </c>
      <c r="F313" t="s">
        <v>624</v>
      </c>
      <c r="G313" t="s">
        <v>589</v>
      </c>
      <c r="H313" t="s">
        <v>5</v>
      </c>
      <c r="I313" t="s">
        <v>625</v>
      </c>
      <c r="J313">
        <v>0.27</v>
      </c>
      <c r="K313" t="e">
        <f>IF(COUNTIF(#REF!,Tabela2[[#This Row],[IdxWspolny]])&gt;0,"ELEM_lub_PRD","TECHN")</f>
        <v>#REF!</v>
      </c>
      <c r="L313" t="e">
        <f>IF(COUNTIF(#REF!,Tabela2[[#This Row],[KOD_PRODUKTU]])&gt;0,"ELEMENT","PRODUKT")</f>
        <v>#REF!</v>
      </c>
      <c r="M313" t="e">
        <f>COUNTIF(#REF!,Tabela2[[#This Row],[KOD_PRODUKTU]])</f>
        <v>#REF!</v>
      </c>
    </row>
    <row r="314" spans="1:13" x14ac:dyDescent="0.25">
      <c r="A314" s="1" t="s">
        <v>620</v>
      </c>
      <c r="B314" t="s">
        <v>621</v>
      </c>
      <c r="C314" s="1" t="s">
        <v>479</v>
      </c>
      <c r="D314" s="1" t="s">
        <v>479</v>
      </c>
      <c r="E314" s="1" t="s">
        <v>479</v>
      </c>
      <c r="F314" t="s">
        <v>480</v>
      </c>
      <c r="G314" t="s">
        <v>626</v>
      </c>
      <c r="H314" t="s">
        <v>5</v>
      </c>
      <c r="I314" t="s">
        <v>627</v>
      </c>
      <c r="J314">
        <v>7.0000000000000007E-2</v>
      </c>
      <c r="K314" t="e">
        <f>IF(COUNTIF(#REF!,Tabela2[[#This Row],[IdxWspolny]])&gt;0,"ELEM_lub_PRD","TECHN")</f>
        <v>#REF!</v>
      </c>
      <c r="L314" t="e">
        <f>IF(COUNTIF(#REF!,Tabela2[[#This Row],[KOD_PRODUKTU]])&gt;0,"ELEMENT","PRODUKT")</f>
        <v>#REF!</v>
      </c>
      <c r="M314" t="e">
        <f>COUNTIF(#REF!,Tabela2[[#This Row],[KOD_PRODUKTU]])</f>
        <v>#REF!</v>
      </c>
    </row>
    <row r="315" spans="1:13" x14ac:dyDescent="0.25">
      <c r="A315" s="1" t="s">
        <v>620</v>
      </c>
      <c r="B315" t="s">
        <v>621</v>
      </c>
      <c r="C315" s="1" t="s">
        <v>628</v>
      </c>
      <c r="D315" s="1" t="s">
        <v>628</v>
      </c>
      <c r="E315" s="1" t="s">
        <v>628</v>
      </c>
      <c r="F315" t="s">
        <v>629</v>
      </c>
      <c r="G315" t="s">
        <v>630</v>
      </c>
      <c r="H315" t="s">
        <v>5</v>
      </c>
      <c r="I315" t="s">
        <v>631</v>
      </c>
      <c r="J315">
        <v>0.03</v>
      </c>
      <c r="K315" t="e">
        <f>IF(COUNTIF(#REF!,Tabela2[[#This Row],[IdxWspolny]])&gt;0,"ELEM_lub_PRD","TECHN")</f>
        <v>#REF!</v>
      </c>
      <c r="L315" t="e">
        <f>IF(COUNTIF(#REF!,Tabela2[[#This Row],[KOD_PRODUKTU]])&gt;0,"ELEMENT","PRODUKT")</f>
        <v>#REF!</v>
      </c>
      <c r="M315" t="e">
        <f>COUNTIF(#REF!,Tabela2[[#This Row],[KOD_PRODUKTU]])</f>
        <v>#REF!</v>
      </c>
    </row>
    <row r="316" spans="1:13" x14ac:dyDescent="0.25">
      <c r="A316" s="1" t="s">
        <v>620</v>
      </c>
      <c r="B316" t="s">
        <v>621</v>
      </c>
      <c r="C316" s="1" t="s">
        <v>41</v>
      </c>
      <c r="D316" s="1" t="s">
        <v>41</v>
      </c>
      <c r="E316" s="1" t="s">
        <v>41</v>
      </c>
      <c r="F316" t="s">
        <v>42</v>
      </c>
      <c r="G316" t="s">
        <v>513</v>
      </c>
      <c r="H316" t="s">
        <v>5</v>
      </c>
      <c r="I316" t="s">
        <v>591</v>
      </c>
      <c r="J316">
        <v>7.0000000000000007E-2</v>
      </c>
      <c r="K316" t="e">
        <f>IF(COUNTIF(#REF!,Tabela2[[#This Row],[IdxWspolny]])&gt;0,"ELEM_lub_PRD","TECHN")</f>
        <v>#REF!</v>
      </c>
      <c r="L316" t="e">
        <f>IF(COUNTIF(#REF!,Tabela2[[#This Row],[KOD_PRODUKTU]])&gt;0,"ELEMENT","PRODUKT")</f>
        <v>#REF!</v>
      </c>
      <c r="M316" t="e">
        <f>COUNTIF(#REF!,Tabela2[[#This Row],[KOD_PRODUKTU]])</f>
        <v>#REF!</v>
      </c>
    </row>
    <row r="317" spans="1:13" x14ac:dyDescent="0.25">
      <c r="A317" s="1" t="s">
        <v>620</v>
      </c>
      <c r="B317" t="s">
        <v>621</v>
      </c>
      <c r="C317" s="1" t="s">
        <v>517</v>
      </c>
      <c r="D317" s="1" t="s">
        <v>517</v>
      </c>
      <c r="E317" s="1" t="s">
        <v>517</v>
      </c>
      <c r="F317" t="s">
        <v>518</v>
      </c>
      <c r="G317" t="s">
        <v>519</v>
      </c>
      <c r="H317" t="s">
        <v>121</v>
      </c>
      <c r="I317" t="s">
        <v>122</v>
      </c>
      <c r="J317">
        <v>22.2</v>
      </c>
      <c r="K317" t="e">
        <f>IF(COUNTIF(#REF!,Tabela2[[#This Row],[IdxWspolny]])&gt;0,"ELEM_lub_PRD","TECHN")</f>
        <v>#REF!</v>
      </c>
      <c r="L317" t="e">
        <f>IF(COUNTIF(#REF!,Tabela2[[#This Row],[KOD_PRODUKTU]])&gt;0,"ELEMENT","PRODUKT")</f>
        <v>#REF!</v>
      </c>
      <c r="M317" t="e">
        <f>COUNTIF(#REF!,Tabela2[[#This Row],[KOD_PRODUKTU]])</f>
        <v>#REF!</v>
      </c>
    </row>
    <row r="318" spans="1:13" x14ac:dyDescent="0.25">
      <c r="A318" s="1" t="s">
        <v>620</v>
      </c>
      <c r="B318" t="s">
        <v>621</v>
      </c>
      <c r="C318" s="1" t="s">
        <v>499</v>
      </c>
      <c r="D318" s="1" t="s">
        <v>499</v>
      </c>
      <c r="E318" s="1" t="s">
        <v>499</v>
      </c>
      <c r="F318" t="s">
        <v>500</v>
      </c>
      <c r="G318" t="s">
        <v>501</v>
      </c>
      <c r="H318" t="s">
        <v>121</v>
      </c>
      <c r="I318" t="s">
        <v>92</v>
      </c>
      <c r="J318">
        <v>9</v>
      </c>
      <c r="K318" t="e">
        <f>IF(COUNTIF(#REF!,Tabela2[[#This Row],[IdxWspolny]])&gt;0,"ELEM_lub_PRD","TECHN")</f>
        <v>#REF!</v>
      </c>
      <c r="L318" t="e">
        <f>IF(COUNTIF(#REF!,Tabela2[[#This Row],[KOD_PRODUKTU]])&gt;0,"ELEMENT","PRODUKT")</f>
        <v>#REF!</v>
      </c>
      <c r="M318" t="e">
        <f>COUNTIF(#REF!,Tabela2[[#This Row],[KOD_PRODUKTU]])</f>
        <v>#REF!</v>
      </c>
    </row>
    <row r="319" spans="1:13" x14ac:dyDescent="0.25">
      <c r="A319" s="1" t="s">
        <v>620</v>
      </c>
      <c r="B319" t="s">
        <v>621</v>
      </c>
      <c r="C319" s="1" t="s">
        <v>632</v>
      </c>
      <c r="D319" s="1" t="s">
        <v>632</v>
      </c>
      <c r="E319" s="1" t="s">
        <v>632</v>
      </c>
      <c r="F319" t="s">
        <v>633</v>
      </c>
      <c r="G319" t="s">
        <v>634</v>
      </c>
      <c r="H319" t="s">
        <v>49</v>
      </c>
      <c r="I319" t="s">
        <v>50</v>
      </c>
      <c r="J319">
        <v>2.2999999999999998</v>
      </c>
      <c r="K319" t="e">
        <f>IF(COUNTIF(#REF!,Tabela2[[#This Row],[IdxWspolny]])&gt;0,"ELEM_lub_PRD","TECHN")</f>
        <v>#REF!</v>
      </c>
      <c r="L319" t="e">
        <f>IF(COUNTIF(#REF!,Tabela2[[#This Row],[KOD_PRODUKTU]])&gt;0,"ELEMENT","PRODUKT")</f>
        <v>#REF!</v>
      </c>
      <c r="M319" t="e">
        <f>COUNTIF(#REF!,Tabela2[[#This Row],[KOD_PRODUKTU]])</f>
        <v>#REF!</v>
      </c>
    </row>
    <row r="320" spans="1:13" x14ac:dyDescent="0.25">
      <c r="A320" s="1" t="s">
        <v>620</v>
      </c>
      <c r="B320" t="s">
        <v>621</v>
      </c>
      <c r="C320" s="1" t="s">
        <v>541</v>
      </c>
      <c r="D320" s="1" t="s">
        <v>541</v>
      </c>
      <c r="E320" s="1" t="s">
        <v>541</v>
      </c>
      <c r="F320" t="s">
        <v>542</v>
      </c>
      <c r="G320" t="s">
        <v>9</v>
      </c>
      <c r="H320" t="s">
        <v>10</v>
      </c>
      <c r="I320" t="s">
        <v>635</v>
      </c>
      <c r="J320">
        <v>6.61</v>
      </c>
      <c r="K320" t="e">
        <f>IF(COUNTIF(#REF!,Tabela2[[#This Row],[IdxWspolny]])&gt;0,"ELEM_lub_PRD","TECHN")</f>
        <v>#REF!</v>
      </c>
      <c r="L320" t="e">
        <f>IF(COUNTIF(#REF!,Tabela2[[#This Row],[KOD_PRODUKTU]])&gt;0,"ELEMENT","PRODUKT")</f>
        <v>#REF!</v>
      </c>
      <c r="M320" t="e">
        <f>COUNTIF(#REF!,Tabela2[[#This Row],[KOD_PRODUKTU]])</f>
        <v>#REF!</v>
      </c>
    </row>
    <row r="321" spans="1:13" x14ac:dyDescent="0.25">
      <c r="A321" s="1" t="s">
        <v>636</v>
      </c>
      <c r="B321" t="s">
        <v>637</v>
      </c>
      <c r="C321" s="1" t="s">
        <v>507</v>
      </c>
      <c r="D321" s="1" t="s">
        <v>507</v>
      </c>
      <c r="E321" s="1" t="s">
        <v>507</v>
      </c>
      <c r="F321" t="s">
        <v>508</v>
      </c>
      <c r="G321" t="s">
        <v>578</v>
      </c>
      <c r="H321" t="s">
        <v>5</v>
      </c>
      <c r="I321" t="s">
        <v>638</v>
      </c>
      <c r="J321">
        <v>7.25</v>
      </c>
      <c r="K321" t="e">
        <f>IF(COUNTIF(#REF!,Tabela2[[#This Row],[IdxWspolny]])&gt;0,"ELEM_lub_PRD","TECHN")</f>
        <v>#REF!</v>
      </c>
      <c r="L321" t="e">
        <f>IF(COUNTIF(#REF!,Tabela2[[#This Row],[KOD_PRODUKTU]])&gt;0,"ELEMENT","PRODUKT")</f>
        <v>#REF!</v>
      </c>
      <c r="M321" t="e">
        <f>COUNTIF(#REF!,Tabela2[[#This Row],[KOD_PRODUKTU]])</f>
        <v>#REF!</v>
      </c>
    </row>
    <row r="322" spans="1:13" x14ac:dyDescent="0.25">
      <c r="A322" s="1" t="s">
        <v>636</v>
      </c>
      <c r="B322" t="s">
        <v>637</v>
      </c>
      <c r="C322" s="1" t="s">
        <v>511</v>
      </c>
      <c r="D322" s="1" t="s">
        <v>511</v>
      </c>
      <c r="E322" s="1" t="s">
        <v>511</v>
      </c>
      <c r="F322" t="s">
        <v>512</v>
      </c>
      <c r="G322" t="s">
        <v>580</v>
      </c>
      <c r="H322" t="s">
        <v>39</v>
      </c>
      <c r="I322" t="s">
        <v>558</v>
      </c>
      <c r="J322">
        <v>1.19</v>
      </c>
      <c r="K322" t="e">
        <f>IF(COUNTIF(#REF!,Tabela2[[#This Row],[IdxWspolny]])&gt;0,"ELEM_lub_PRD","TECHN")</f>
        <v>#REF!</v>
      </c>
      <c r="L322" t="e">
        <f>IF(COUNTIF(#REF!,Tabela2[[#This Row],[KOD_PRODUKTU]])&gt;0,"ELEMENT","PRODUKT")</f>
        <v>#REF!</v>
      </c>
      <c r="M322" t="e">
        <f>COUNTIF(#REF!,Tabela2[[#This Row],[KOD_PRODUKTU]])</f>
        <v>#REF!</v>
      </c>
    </row>
    <row r="323" spans="1:13" x14ac:dyDescent="0.25">
      <c r="A323" s="1" t="s">
        <v>636</v>
      </c>
      <c r="B323" t="s">
        <v>637</v>
      </c>
      <c r="C323" s="1" t="s">
        <v>517</v>
      </c>
      <c r="D323" s="1" t="s">
        <v>517</v>
      </c>
      <c r="E323" s="1" t="s">
        <v>517</v>
      </c>
      <c r="F323" t="s">
        <v>518</v>
      </c>
      <c r="G323" t="s">
        <v>519</v>
      </c>
      <c r="H323" t="s">
        <v>121</v>
      </c>
      <c r="I323" t="s">
        <v>92</v>
      </c>
      <c r="J323">
        <v>11.1</v>
      </c>
      <c r="K323" t="e">
        <f>IF(COUNTIF(#REF!,Tabela2[[#This Row],[IdxWspolny]])&gt;0,"ELEM_lub_PRD","TECHN")</f>
        <v>#REF!</v>
      </c>
      <c r="L323" t="e">
        <f>IF(COUNTIF(#REF!,Tabela2[[#This Row],[KOD_PRODUKTU]])&gt;0,"ELEMENT","PRODUKT")</f>
        <v>#REF!</v>
      </c>
      <c r="M323" t="e">
        <f>COUNTIF(#REF!,Tabela2[[#This Row],[KOD_PRODUKTU]])</f>
        <v>#REF!</v>
      </c>
    </row>
    <row r="324" spans="1:13" x14ac:dyDescent="0.25">
      <c r="A324" s="1" t="s">
        <v>636</v>
      </c>
      <c r="B324" t="s">
        <v>637</v>
      </c>
      <c r="C324" s="1" t="s">
        <v>520</v>
      </c>
      <c r="D324" s="1" t="s">
        <v>520</v>
      </c>
      <c r="E324" s="1" t="s">
        <v>520</v>
      </c>
      <c r="F324" t="s">
        <v>521</v>
      </c>
      <c r="G324" t="s">
        <v>522</v>
      </c>
      <c r="H324" t="s">
        <v>121</v>
      </c>
      <c r="I324" t="s">
        <v>92</v>
      </c>
      <c r="J324">
        <v>6.9</v>
      </c>
      <c r="K324" t="e">
        <f>IF(COUNTIF(#REF!,Tabela2[[#This Row],[IdxWspolny]])&gt;0,"ELEM_lub_PRD","TECHN")</f>
        <v>#REF!</v>
      </c>
      <c r="L324" t="e">
        <f>IF(COUNTIF(#REF!,Tabela2[[#This Row],[KOD_PRODUKTU]])&gt;0,"ELEMENT","PRODUKT")</f>
        <v>#REF!</v>
      </c>
      <c r="M324" t="e">
        <f>COUNTIF(#REF!,Tabela2[[#This Row],[KOD_PRODUKTU]])</f>
        <v>#REF!</v>
      </c>
    </row>
    <row r="325" spans="1:13" x14ac:dyDescent="0.25">
      <c r="A325" s="1" t="s">
        <v>636</v>
      </c>
      <c r="B325" t="s">
        <v>637</v>
      </c>
      <c r="C325" s="1" t="s">
        <v>599</v>
      </c>
      <c r="D325" s="1" t="s">
        <v>599</v>
      </c>
      <c r="E325" s="1" t="s">
        <v>599</v>
      </c>
      <c r="F325" t="s">
        <v>600</v>
      </c>
      <c r="G325" t="s">
        <v>157</v>
      </c>
      <c r="H325" t="s">
        <v>49</v>
      </c>
      <c r="I325" t="s">
        <v>92</v>
      </c>
      <c r="J325">
        <v>4.9000000000000004</v>
      </c>
      <c r="K325" t="e">
        <f>IF(COUNTIF(#REF!,Tabela2[[#This Row],[IdxWspolny]])&gt;0,"ELEM_lub_PRD","TECHN")</f>
        <v>#REF!</v>
      </c>
      <c r="L325" t="e">
        <f>IF(COUNTIF(#REF!,Tabela2[[#This Row],[KOD_PRODUKTU]])&gt;0,"ELEMENT","PRODUKT")</f>
        <v>#REF!</v>
      </c>
      <c r="M325" t="e">
        <f>COUNTIF(#REF!,Tabela2[[#This Row],[KOD_PRODUKTU]])</f>
        <v>#REF!</v>
      </c>
    </row>
    <row r="326" spans="1:13" x14ac:dyDescent="0.25">
      <c r="A326" s="1" t="s">
        <v>636</v>
      </c>
      <c r="B326" t="s">
        <v>637</v>
      </c>
      <c r="C326" s="1" t="s">
        <v>541</v>
      </c>
      <c r="D326" s="1" t="s">
        <v>541</v>
      </c>
      <c r="E326" s="1" t="s">
        <v>541</v>
      </c>
      <c r="F326" t="s">
        <v>542</v>
      </c>
      <c r="G326" t="s">
        <v>9</v>
      </c>
      <c r="H326" t="s">
        <v>10</v>
      </c>
      <c r="I326" t="s">
        <v>639</v>
      </c>
      <c r="J326">
        <v>5.16</v>
      </c>
      <c r="K326" t="e">
        <f>IF(COUNTIF(#REF!,Tabela2[[#This Row],[IdxWspolny]])&gt;0,"ELEM_lub_PRD","TECHN")</f>
        <v>#REF!</v>
      </c>
      <c r="L326" t="e">
        <f>IF(COUNTIF(#REF!,Tabela2[[#This Row],[KOD_PRODUKTU]])&gt;0,"ELEMENT","PRODUKT")</f>
        <v>#REF!</v>
      </c>
      <c r="M326" t="e">
        <f>COUNTIF(#REF!,Tabela2[[#This Row],[KOD_PRODUKTU]])</f>
        <v>#REF!</v>
      </c>
    </row>
    <row r="327" spans="1:13" x14ac:dyDescent="0.25">
      <c r="A327" s="1" t="s">
        <v>640</v>
      </c>
      <c r="B327" t="s">
        <v>641</v>
      </c>
      <c r="C327" s="1" t="s">
        <v>471</v>
      </c>
      <c r="D327" s="1" t="s">
        <v>471</v>
      </c>
      <c r="E327" s="1" t="s">
        <v>471</v>
      </c>
      <c r="F327" t="s">
        <v>472</v>
      </c>
      <c r="G327" t="s">
        <v>578</v>
      </c>
      <c r="H327" t="s">
        <v>5</v>
      </c>
      <c r="I327" t="s">
        <v>642</v>
      </c>
      <c r="J327">
        <v>36.11</v>
      </c>
      <c r="K327" t="e">
        <f>IF(COUNTIF(#REF!,Tabela2[[#This Row],[IdxWspolny]])&gt;0,"ELEM_lub_PRD","TECHN")</f>
        <v>#REF!</v>
      </c>
      <c r="L327" t="e">
        <f>IF(COUNTIF(#REF!,Tabela2[[#This Row],[KOD_PRODUKTU]])&gt;0,"ELEMENT","PRODUKT")</f>
        <v>#REF!</v>
      </c>
      <c r="M327" t="e">
        <f>COUNTIF(#REF!,Tabela2[[#This Row],[KOD_PRODUKTU]])</f>
        <v>#REF!</v>
      </c>
    </row>
    <row r="328" spans="1:13" x14ac:dyDescent="0.25">
      <c r="A328" s="1" t="s">
        <v>640</v>
      </c>
      <c r="B328" t="s">
        <v>641</v>
      </c>
      <c r="C328" s="1" t="s">
        <v>511</v>
      </c>
      <c r="D328" s="1" t="s">
        <v>511</v>
      </c>
      <c r="E328" s="1" t="s">
        <v>511</v>
      </c>
      <c r="F328" t="s">
        <v>512</v>
      </c>
      <c r="G328" t="s">
        <v>580</v>
      </c>
      <c r="H328" t="s">
        <v>39</v>
      </c>
      <c r="I328" t="s">
        <v>558</v>
      </c>
      <c r="J328">
        <v>1.19</v>
      </c>
      <c r="K328" t="e">
        <f>IF(COUNTIF(#REF!,Tabela2[[#This Row],[IdxWspolny]])&gt;0,"ELEM_lub_PRD","TECHN")</f>
        <v>#REF!</v>
      </c>
      <c r="L328" t="e">
        <f>IF(COUNTIF(#REF!,Tabela2[[#This Row],[KOD_PRODUKTU]])&gt;0,"ELEMENT","PRODUKT")</f>
        <v>#REF!</v>
      </c>
      <c r="M328" t="e">
        <f>COUNTIF(#REF!,Tabela2[[#This Row],[KOD_PRODUKTU]])</f>
        <v>#REF!</v>
      </c>
    </row>
    <row r="329" spans="1:13" x14ac:dyDescent="0.25">
      <c r="A329" s="1" t="s">
        <v>640</v>
      </c>
      <c r="B329" t="s">
        <v>641</v>
      </c>
      <c r="C329" s="1" t="s">
        <v>623</v>
      </c>
      <c r="D329" s="1" t="s">
        <v>623</v>
      </c>
      <c r="E329" s="1" t="s">
        <v>623</v>
      </c>
      <c r="F329" t="s">
        <v>624</v>
      </c>
      <c r="G329" t="s">
        <v>589</v>
      </c>
      <c r="H329" t="s">
        <v>5</v>
      </c>
      <c r="I329" t="s">
        <v>625</v>
      </c>
      <c r="J329">
        <v>0.27</v>
      </c>
      <c r="K329" t="e">
        <f>IF(COUNTIF(#REF!,Tabela2[[#This Row],[IdxWspolny]])&gt;0,"ELEM_lub_PRD","TECHN")</f>
        <v>#REF!</v>
      </c>
      <c r="L329" t="e">
        <f>IF(COUNTIF(#REF!,Tabela2[[#This Row],[KOD_PRODUKTU]])&gt;0,"ELEMENT","PRODUKT")</f>
        <v>#REF!</v>
      </c>
      <c r="M329" t="e">
        <f>COUNTIF(#REF!,Tabela2[[#This Row],[KOD_PRODUKTU]])</f>
        <v>#REF!</v>
      </c>
    </row>
    <row r="330" spans="1:13" x14ac:dyDescent="0.25">
      <c r="A330" s="1" t="s">
        <v>640</v>
      </c>
      <c r="B330" t="s">
        <v>641</v>
      </c>
      <c r="C330" s="1" t="s">
        <v>479</v>
      </c>
      <c r="D330" s="1" t="s">
        <v>479</v>
      </c>
      <c r="E330" s="1" t="s">
        <v>479</v>
      </c>
      <c r="F330" t="s">
        <v>480</v>
      </c>
      <c r="G330" t="s">
        <v>626</v>
      </c>
      <c r="H330" t="s">
        <v>5</v>
      </c>
      <c r="I330" t="s">
        <v>627</v>
      </c>
      <c r="J330">
        <v>7.0000000000000007E-2</v>
      </c>
      <c r="K330" t="e">
        <f>IF(COUNTIF(#REF!,Tabela2[[#This Row],[IdxWspolny]])&gt;0,"ELEM_lub_PRD","TECHN")</f>
        <v>#REF!</v>
      </c>
      <c r="L330" t="e">
        <f>IF(COUNTIF(#REF!,Tabela2[[#This Row],[KOD_PRODUKTU]])&gt;0,"ELEMENT","PRODUKT")</f>
        <v>#REF!</v>
      </c>
      <c r="M330" t="e">
        <f>COUNTIF(#REF!,Tabela2[[#This Row],[KOD_PRODUKTU]])</f>
        <v>#REF!</v>
      </c>
    </row>
    <row r="331" spans="1:13" x14ac:dyDescent="0.25">
      <c r="A331" s="1" t="s">
        <v>640</v>
      </c>
      <c r="B331" t="s">
        <v>641</v>
      </c>
      <c r="C331" s="1" t="s">
        <v>628</v>
      </c>
      <c r="D331" s="1" t="s">
        <v>628</v>
      </c>
      <c r="E331" s="1" t="s">
        <v>628</v>
      </c>
      <c r="F331" t="s">
        <v>629</v>
      </c>
      <c r="G331" t="s">
        <v>630</v>
      </c>
      <c r="H331" t="s">
        <v>5</v>
      </c>
      <c r="I331" t="s">
        <v>631</v>
      </c>
      <c r="J331">
        <v>0.03</v>
      </c>
      <c r="K331" t="e">
        <f>IF(COUNTIF(#REF!,Tabela2[[#This Row],[IdxWspolny]])&gt;0,"ELEM_lub_PRD","TECHN")</f>
        <v>#REF!</v>
      </c>
      <c r="L331" t="e">
        <f>IF(COUNTIF(#REF!,Tabela2[[#This Row],[KOD_PRODUKTU]])&gt;0,"ELEMENT","PRODUKT")</f>
        <v>#REF!</v>
      </c>
      <c r="M331" t="e">
        <f>COUNTIF(#REF!,Tabela2[[#This Row],[KOD_PRODUKTU]])</f>
        <v>#REF!</v>
      </c>
    </row>
    <row r="332" spans="1:13" x14ac:dyDescent="0.25">
      <c r="A332" s="1" t="s">
        <v>640</v>
      </c>
      <c r="B332" t="s">
        <v>641</v>
      </c>
      <c r="C332" s="1" t="s">
        <v>41</v>
      </c>
      <c r="D332" s="1" t="s">
        <v>41</v>
      </c>
      <c r="E332" s="1" t="s">
        <v>41</v>
      </c>
      <c r="F332" t="s">
        <v>42</v>
      </c>
      <c r="G332" t="s">
        <v>513</v>
      </c>
      <c r="H332" t="s">
        <v>5</v>
      </c>
      <c r="I332" t="s">
        <v>643</v>
      </c>
      <c r="J332">
        <v>0.02</v>
      </c>
      <c r="K332" t="e">
        <f>IF(COUNTIF(#REF!,Tabela2[[#This Row],[IdxWspolny]])&gt;0,"ELEM_lub_PRD","TECHN")</f>
        <v>#REF!</v>
      </c>
      <c r="L332" t="e">
        <f>IF(COUNTIF(#REF!,Tabela2[[#This Row],[KOD_PRODUKTU]])&gt;0,"ELEMENT","PRODUKT")</f>
        <v>#REF!</v>
      </c>
      <c r="M332" t="e">
        <f>COUNTIF(#REF!,Tabela2[[#This Row],[KOD_PRODUKTU]])</f>
        <v>#REF!</v>
      </c>
    </row>
    <row r="333" spans="1:13" x14ac:dyDescent="0.25">
      <c r="A333" s="1" t="s">
        <v>640</v>
      </c>
      <c r="B333" t="s">
        <v>641</v>
      </c>
      <c r="C333" s="1" t="s">
        <v>517</v>
      </c>
      <c r="D333" s="1" t="s">
        <v>517</v>
      </c>
      <c r="E333" s="1" t="s">
        <v>517</v>
      </c>
      <c r="F333" t="s">
        <v>518</v>
      </c>
      <c r="G333" t="s">
        <v>519</v>
      </c>
      <c r="H333" t="s">
        <v>121</v>
      </c>
      <c r="I333" t="s">
        <v>122</v>
      </c>
      <c r="J333">
        <v>22.2</v>
      </c>
      <c r="K333" t="e">
        <f>IF(COUNTIF(#REF!,Tabela2[[#This Row],[IdxWspolny]])&gt;0,"ELEM_lub_PRD","TECHN")</f>
        <v>#REF!</v>
      </c>
      <c r="L333" t="e">
        <f>IF(COUNTIF(#REF!,Tabela2[[#This Row],[KOD_PRODUKTU]])&gt;0,"ELEMENT","PRODUKT")</f>
        <v>#REF!</v>
      </c>
      <c r="M333" t="e">
        <f>COUNTIF(#REF!,Tabela2[[#This Row],[KOD_PRODUKTU]])</f>
        <v>#REF!</v>
      </c>
    </row>
    <row r="334" spans="1:13" x14ac:dyDescent="0.25">
      <c r="A334" s="1" t="s">
        <v>640</v>
      </c>
      <c r="B334" t="s">
        <v>641</v>
      </c>
      <c r="C334" s="1" t="s">
        <v>499</v>
      </c>
      <c r="D334" s="1" t="s">
        <v>499</v>
      </c>
      <c r="E334" s="1" t="s">
        <v>499</v>
      </c>
      <c r="F334" t="s">
        <v>500</v>
      </c>
      <c r="G334" t="s">
        <v>501</v>
      </c>
      <c r="H334" t="s">
        <v>121</v>
      </c>
      <c r="I334" t="s">
        <v>92</v>
      </c>
      <c r="J334">
        <v>9</v>
      </c>
      <c r="K334" t="e">
        <f>IF(COUNTIF(#REF!,Tabela2[[#This Row],[IdxWspolny]])&gt;0,"ELEM_lub_PRD","TECHN")</f>
        <v>#REF!</v>
      </c>
      <c r="L334" t="e">
        <f>IF(COUNTIF(#REF!,Tabela2[[#This Row],[KOD_PRODUKTU]])&gt;0,"ELEMENT","PRODUKT")</f>
        <v>#REF!</v>
      </c>
      <c r="M334" t="e">
        <f>COUNTIF(#REF!,Tabela2[[#This Row],[KOD_PRODUKTU]])</f>
        <v>#REF!</v>
      </c>
    </row>
    <row r="335" spans="1:13" x14ac:dyDescent="0.25">
      <c r="A335" s="1" t="s">
        <v>640</v>
      </c>
      <c r="B335" t="s">
        <v>641</v>
      </c>
      <c r="C335" s="1" t="s">
        <v>632</v>
      </c>
      <c r="D335" s="1" t="s">
        <v>632</v>
      </c>
      <c r="E335" s="1" t="s">
        <v>632</v>
      </c>
      <c r="F335" t="s">
        <v>633</v>
      </c>
      <c r="G335" t="s">
        <v>634</v>
      </c>
      <c r="H335" t="s">
        <v>49</v>
      </c>
      <c r="I335" t="s">
        <v>50</v>
      </c>
      <c r="J335">
        <v>2.2999999999999998</v>
      </c>
      <c r="K335" t="e">
        <f>IF(COUNTIF(#REF!,Tabela2[[#This Row],[IdxWspolny]])&gt;0,"ELEM_lub_PRD","TECHN")</f>
        <v>#REF!</v>
      </c>
      <c r="L335" t="e">
        <f>IF(COUNTIF(#REF!,Tabela2[[#This Row],[KOD_PRODUKTU]])&gt;0,"ELEMENT","PRODUKT")</f>
        <v>#REF!</v>
      </c>
      <c r="M335" t="e">
        <f>COUNTIF(#REF!,Tabela2[[#This Row],[KOD_PRODUKTU]])</f>
        <v>#REF!</v>
      </c>
    </row>
    <row r="336" spans="1:13" x14ac:dyDescent="0.25">
      <c r="A336" s="1" t="s">
        <v>640</v>
      </c>
      <c r="B336" t="s">
        <v>641</v>
      </c>
      <c r="C336" s="1" t="s">
        <v>541</v>
      </c>
      <c r="D336" s="1" t="s">
        <v>541</v>
      </c>
      <c r="E336" s="1" t="s">
        <v>541</v>
      </c>
      <c r="F336" t="s">
        <v>542</v>
      </c>
      <c r="G336" t="s">
        <v>9</v>
      </c>
      <c r="H336" t="s">
        <v>10</v>
      </c>
      <c r="I336" t="s">
        <v>635</v>
      </c>
      <c r="J336">
        <v>6.61</v>
      </c>
      <c r="K336" t="e">
        <f>IF(COUNTIF(#REF!,Tabela2[[#This Row],[IdxWspolny]])&gt;0,"ELEM_lub_PRD","TECHN")</f>
        <v>#REF!</v>
      </c>
      <c r="L336" t="e">
        <f>IF(COUNTIF(#REF!,Tabela2[[#This Row],[KOD_PRODUKTU]])&gt;0,"ELEMENT","PRODUKT")</f>
        <v>#REF!</v>
      </c>
      <c r="M336" t="e">
        <f>COUNTIF(#REF!,Tabela2[[#This Row],[KOD_PRODUKTU]])</f>
        <v>#REF!</v>
      </c>
    </row>
    <row r="337" spans="1:13" x14ac:dyDescent="0.25">
      <c r="A337" s="1" t="s">
        <v>644</v>
      </c>
      <c r="B337" t="s">
        <v>645</v>
      </c>
      <c r="C337" s="1" t="s">
        <v>471</v>
      </c>
      <c r="D337" s="1" t="s">
        <v>471</v>
      </c>
      <c r="E337" s="1" t="s">
        <v>471</v>
      </c>
      <c r="F337" t="s">
        <v>472</v>
      </c>
      <c r="G337" t="s">
        <v>578</v>
      </c>
      <c r="H337" t="s">
        <v>5</v>
      </c>
      <c r="I337" t="s">
        <v>646</v>
      </c>
      <c r="J337">
        <v>44.56</v>
      </c>
      <c r="K337" t="e">
        <f>IF(COUNTIF(#REF!,Tabela2[[#This Row],[IdxWspolny]])&gt;0,"ELEM_lub_PRD","TECHN")</f>
        <v>#REF!</v>
      </c>
      <c r="L337" t="e">
        <f>IF(COUNTIF(#REF!,Tabela2[[#This Row],[KOD_PRODUKTU]])&gt;0,"ELEMENT","PRODUKT")</f>
        <v>#REF!</v>
      </c>
      <c r="M337" t="e">
        <f>COUNTIF(#REF!,Tabela2[[#This Row],[KOD_PRODUKTU]])</f>
        <v>#REF!</v>
      </c>
    </row>
    <row r="338" spans="1:13" x14ac:dyDescent="0.25">
      <c r="A338" s="1" t="s">
        <v>644</v>
      </c>
      <c r="B338" t="s">
        <v>645</v>
      </c>
      <c r="C338" s="1" t="s">
        <v>511</v>
      </c>
      <c r="D338" s="1" t="s">
        <v>511</v>
      </c>
      <c r="E338" s="1" t="s">
        <v>511</v>
      </c>
      <c r="F338" t="s">
        <v>512</v>
      </c>
      <c r="G338" t="s">
        <v>580</v>
      </c>
      <c r="H338" t="s">
        <v>39</v>
      </c>
      <c r="I338" t="s">
        <v>558</v>
      </c>
      <c r="J338">
        <v>1.19</v>
      </c>
      <c r="K338" t="e">
        <f>IF(COUNTIF(#REF!,Tabela2[[#This Row],[IdxWspolny]])&gt;0,"ELEM_lub_PRD","TECHN")</f>
        <v>#REF!</v>
      </c>
      <c r="L338" t="e">
        <f>IF(COUNTIF(#REF!,Tabela2[[#This Row],[KOD_PRODUKTU]])&gt;0,"ELEMENT","PRODUKT")</f>
        <v>#REF!</v>
      </c>
      <c r="M338" t="e">
        <f>COUNTIF(#REF!,Tabela2[[#This Row],[KOD_PRODUKTU]])</f>
        <v>#REF!</v>
      </c>
    </row>
    <row r="339" spans="1:13" x14ac:dyDescent="0.25">
      <c r="A339" s="1" t="s">
        <v>644</v>
      </c>
      <c r="B339" t="s">
        <v>645</v>
      </c>
      <c r="C339" s="1" t="s">
        <v>623</v>
      </c>
      <c r="D339" s="1" t="s">
        <v>623</v>
      </c>
      <c r="E339" s="1" t="s">
        <v>623</v>
      </c>
      <c r="F339" t="s">
        <v>624</v>
      </c>
      <c r="G339" t="s">
        <v>589</v>
      </c>
      <c r="H339" t="s">
        <v>5</v>
      </c>
      <c r="I339" t="s">
        <v>625</v>
      </c>
      <c r="J339">
        <v>0.27</v>
      </c>
      <c r="K339" t="e">
        <f>IF(COUNTIF(#REF!,Tabela2[[#This Row],[IdxWspolny]])&gt;0,"ELEM_lub_PRD","TECHN")</f>
        <v>#REF!</v>
      </c>
      <c r="L339" t="e">
        <f>IF(COUNTIF(#REF!,Tabela2[[#This Row],[KOD_PRODUKTU]])&gt;0,"ELEMENT","PRODUKT")</f>
        <v>#REF!</v>
      </c>
      <c r="M339" t="e">
        <f>COUNTIF(#REF!,Tabela2[[#This Row],[KOD_PRODUKTU]])</f>
        <v>#REF!</v>
      </c>
    </row>
    <row r="340" spans="1:13" x14ac:dyDescent="0.25">
      <c r="A340" s="1" t="s">
        <v>644</v>
      </c>
      <c r="B340" t="s">
        <v>645</v>
      </c>
      <c r="C340" s="1" t="s">
        <v>479</v>
      </c>
      <c r="D340" s="1" t="s">
        <v>479</v>
      </c>
      <c r="E340" s="1" t="s">
        <v>479</v>
      </c>
      <c r="F340" t="s">
        <v>480</v>
      </c>
      <c r="G340" t="s">
        <v>626</v>
      </c>
      <c r="H340" t="s">
        <v>5</v>
      </c>
      <c r="I340" t="s">
        <v>627</v>
      </c>
      <c r="J340">
        <v>7.0000000000000007E-2</v>
      </c>
      <c r="K340" t="e">
        <f>IF(COUNTIF(#REF!,Tabela2[[#This Row],[IdxWspolny]])&gt;0,"ELEM_lub_PRD","TECHN")</f>
        <v>#REF!</v>
      </c>
      <c r="L340" t="e">
        <f>IF(COUNTIF(#REF!,Tabela2[[#This Row],[KOD_PRODUKTU]])&gt;0,"ELEMENT","PRODUKT")</f>
        <v>#REF!</v>
      </c>
      <c r="M340" t="e">
        <f>COUNTIF(#REF!,Tabela2[[#This Row],[KOD_PRODUKTU]])</f>
        <v>#REF!</v>
      </c>
    </row>
    <row r="341" spans="1:13" x14ac:dyDescent="0.25">
      <c r="A341" s="1" t="s">
        <v>644</v>
      </c>
      <c r="B341" t="s">
        <v>645</v>
      </c>
      <c r="C341" s="1" t="s">
        <v>628</v>
      </c>
      <c r="D341" s="1" t="s">
        <v>628</v>
      </c>
      <c r="E341" s="1" t="s">
        <v>628</v>
      </c>
      <c r="F341" t="s">
        <v>629</v>
      </c>
      <c r="G341" t="s">
        <v>630</v>
      </c>
      <c r="H341" t="s">
        <v>5</v>
      </c>
      <c r="I341" t="s">
        <v>631</v>
      </c>
      <c r="J341">
        <v>0.03</v>
      </c>
      <c r="K341" t="e">
        <f>IF(COUNTIF(#REF!,Tabela2[[#This Row],[IdxWspolny]])&gt;0,"ELEM_lub_PRD","TECHN")</f>
        <v>#REF!</v>
      </c>
      <c r="L341" t="e">
        <f>IF(COUNTIF(#REF!,Tabela2[[#This Row],[KOD_PRODUKTU]])&gt;0,"ELEMENT","PRODUKT")</f>
        <v>#REF!</v>
      </c>
      <c r="M341" t="e">
        <f>COUNTIF(#REF!,Tabela2[[#This Row],[KOD_PRODUKTU]])</f>
        <v>#REF!</v>
      </c>
    </row>
    <row r="342" spans="1:13" x14ac:dyDescent="0.25">
      <c r="A342" s="1" t="s">
        <v>644</v>
      </c>
      <c r="B342" t="s">
        <v>645</v>
      </c>
      <c r="C342" s="1" t="s">
        <v>41</v>
      </c>
      <c r="D342" s="1" t="s">
        <v>41</v>
      </c>
      <c r="E342" s="1" t="s">
        <v>41</v>
      </c>
      <c r="F342" t="s">
        <v>42</v>
      </c>
      <c r="G342" t="s">
        <v>513</v>
      </c>
      <c r="H342" t="s">
        <v>5</v>
      </c>
      <c r="I342" t="s">
        <v>591</v>
      </c>
      <c r="J342">
        <v>7.0000000000000007E-2</v>
      </c>
      <c r="K342" t="e">
        <f>IF(COUNTIF(#REF!,Tabela2[[#This Row],[IdxWspolny]])&gt;0,"ELEM_lub_PRD","TECHN")</f>
        <v>#REF!</v>
      </c>
      <c r="L342" t="e">
        <f>IF(COUNTIF(#REF!,Tabela2[[#This Row],[KOD_PRODUKTU]])&gt;0,"ELEMENT","PRODUKT")</f>
        <v>#REF!</v>
      </c>
      <c r="M342" t="e">
        <f>COUNTIF(#REF!,Tabela2[[#This Row],[KOD_PRODUKTU]])</f>
        <v>#REF!</v>
      </c>
    </row>
    <row r="343" spans="1:13" x14ac:dyDescent="0.25">
      <c r="A343" s="1" t="s">
        <v>644</v>
      </c>
      <c r="B343" t="s">
        <v>645</v>
      </c>
      <c r="C343" s="1" t="s">
        <v>517</v>
      </c>
      <c r="D343" s="1" t="s">
        <v>517</v>
      </c>
      <c r="E343" s="1" t="s">
        <v>517</v>
      </c>
      <c r="F343" t="s">
        <v>518</v>
      </c>
      <c r="G343" t="s">
        <v>519</v>
      </c>
      <c r="H343" t="s">
        <v>121</v>
      </c>
      <c r="I343" t="s">
        <v>122</v>
      </c>
      <c r="J343">
        <v>22.2</v>
      </c>
      <c r="K343" t="e">
        <f>IF(COUNTIF(#REF!,Tabela2[[#This Row],[IdxWspolny]])&gt;0,"ELEM_lub_PRD","TECHN")</f>
        <v>#REF!</v>
      </c>
      <c r="L343" t="e">
        <f>IF(COUNTIF(#REF!,Tabela2[[#This Row],[KOD_PRODUKTU]])&gt;0,"ELEMENT","PRODUKT")</f>
        <v>#REF!</v>
      </c>
      <c r="M343" t="e">
        <f>COUNTIF(#REF!,Tabela2[[#This Row],[KOD_PRODUKTU]])</f>
        <v>#REF!</v>
      </c>
    </row>
    <row r="344" spans="1:13" x14ac:dyDescent="0.25">
      <c r="A344" s="1" t="s">
        <v>644</v>
      </c>
      <c r="B344" t="s">
        <v>645</v>
      </c>
      <c r="C344" s="1" t="s">
        <v>499</v>
      </c>
      <c r="D344" s="1" t="s">
        <v>499</v>
      </c>
      <c r="E344" s="1" t="s">
        <v>499</v>
      </c>
      <c r="F344" t="s">
        <v>500</v>
      </c>
      <c r="G344" t="s">
        <v>501</v>
      </c>
      <c r="H344" t="s">
        <v>121</v>
      </c>
      <c r="I344" t="s">
        <v>92</v>
      </c>
      <c r="J344">
        <v>9</v>
      </c>
      <c r="K344" t="e">
        <f>IF(COUNTIF(#REF!,Tabela2[[#This Row],[IdxWspolny]])&gt;0,"ELEM_lub_PRD","TECHN")</f>
        <v>#REF!</v>
      </c>
      <c r="L344" t="e">
        <f>IF(COUNTIF(#REF!,Tabela2[[#This Row],[KOD_PRODUKTU]])&gt;0,"ELEMENT","PRODUKT")</f>
        <v>#REF!</v>
      </c>
      <c r="M344" t="e">
        <f>COUNTIF(#REF!,Tabela2[[#This Row],[KOD_PRODUKTU]])</f>
        <v>#REF!</v>
      </c>
    </row>
    <row r="345" spans="1:13" x14ac:dyDescent="0.25">
      <c r="A345" s="1" t="s">
        <v>644</v>
      </c>
      <c r="B345" t="s">
        <v>645</v>
      </c>
      <c r="C345" s="1" t="s">
        <v>632</v>
      </c>
      <c r="D345" s="1" t="s">
        <v>632</v>
      </c>
      <c r="E345" s="1" t="s">
        <v>632</v>
      </c>
      <c r="F345" t="s">
        <v>633</v>
      </c>
      <c r="G345" t="s">
        <v>634</v>
      </c>
      <c r="H345" t="s">
        <v>49</v>
      </c>
      <c r="I345" t="s">
        <v>50</v>
      </c>
      <c r="J345">
        <v>2.2999999999999998</v>
      </c>
      <c r="K345" t="e">
        <f>IF(COUNTIF(#REF!,Tabela2[[#This Row],[IdxWspolny]])&gt;0,"ELEM_lub_PRD","TECHN")</f>
        <v>#REF!</v>
      </c>
      <c r="L345" t="e">
        <f>IF(COUNTIF(#REF!,Tabela2[[#This Row],[KOD_PRODUKTU]])&gt;0,"ELEMENT","PRODUKT")</f>
        <v>#REF!</v>
      </c>
      <c r="M345" t="e">
        <f>COUNTIF(#REF!,Tabela2[[#This Row],[KOD_PRODUKTU]])</f>
        <v>#REF!</v>
      </c>
    </row>
    <row r="346" spans="1:13" x14ac:dyDescent="0.25">
      <c r="A346" s="1" t="s">
        <v>644</v>
      </c>
      <c r="B346" t="s">
        <v>645</v>
      </c>
      <c r="C346" s="1" t="s">
        <v>541</v>
      </c>
      <c r="D346" s="1" t="s">
        <v>541</v>
      </c>
      <c r="E346" s="1" t="s">
        <v>541</v>
      </c>
      <c r="F346" t="s">
        <v>542</v>
      </c>
      <c r="G346" t="s">
        <v>9</v>
      </c>
      <c r="H346" t="s">
        <v>10</v>
      </c>
      <c r="I346" t="s">
        <v>635</v>
      </c>
      <c r="J346">
        <v>6.61</v>
      </c>
      <c r="K346" t="e">
        <f>IF(COUNTIF(#REF!,Tabela2[[#This Row],[IdxWspolny]])&gt;0,"ELEM_lub_PRD","TECHN")</f>
        <v>#REF!</v>
      </c>
      <c r="L346" t="e">
        <f>IF(COUNTIF(#REF!,Tabela2[[#This Row],[KOD_PRODUKTU]])&gt;0,"ELEMENT","PRODUKT")</f>
        <v>#REF!</v>
      </c>
      <c r="M346" t="e">
        <f>COUNTIF(#REF!,Tabela2[[#This Row],[KOD_PRODUKTU]])</f>
        <v>#REF!</v>
      </c>
    </row>
    <row r="347" spans="1:13" x14ac:dyDescent="0.25">
      <c r="A347" s="1" t="s">
        <v>647</v>
      </c>
      <c r="B347" t="s">
        <v>648</v>
      </c>
      <c r="C347" s="1" t="s">
        <v>649</v>
      </c>
      <c r="D347" s="1" t="s">
        <v>649</v>
      </c>
      <c r="E347" s="1" t="s">
        <v>649</v>
      </c>
      <c r="F347" t="s">
        <v>650</v>
      </c>
      <c r="G347" t="s">
        <v>651</v>
      </c>
      <c r="H347" t="s">
        <v>39</v>
      </c>
      <c r="I347" t="s">
        <v>652</v>
      </c>
      <c r="J347">
        <v>0.25</v>
      </c>
      <c r="K347" t="e">
        <f>IF(COUNTIF(#REF!,Tabela2[[#This Row],[IdxWspolny]])&gt;0,"ELEM_lub_PRD","TECHN")</f>
        <v>#REF!</v>
      </c>
      <c r="L347" t="e">
        <f>IF(COUNTIF(#REF!,Tabela2[[#This Row],[KOD_PRODUKTU]])&gt;0,"ELEMENT","PRODUKT")</f>
        <v>#REF!</v>
      </c>
      <c r="M347" t="e">
        <f>COUNTIF(#REF!,Tabela2[[#This Row],[KOD_PRODUKTU]])</f>
        <v>#REF!</v>
      </c>
    </row>
    <row r="348" spans="1:13" x14ac:dyDescent="0.25">
      <c r="A348" s="1" t="s">
        <v>647</v>
      </c>
      <c r="B348" t="s">
        <v>648</v>
      </c>
      <c r="C348" s="1" t="s">
        <v>653</v>
      </c>
      <c r="D348" s="1" t="s">
        <v>653</v>
      </c>
      <c r="E348" s="1" t="s">
        <v>653</v>
      </c>
      <c r="F348" t="s">
        <v>654</v>
      </c>
      <c r="G348" t="s">
        <v>655</v>
      </c>
      <c r="H348" t="s">
        <v>49</v>
      </c>
      <c r="I348" t="s">
        <v>319</v>
      </c>
      <c r="J348">
        <v>0.84</v>
      </c>
      <c r="K348" t="e">
        <f>IF(COUNTIF(#REF!,Tabela2[[#This Row],[IdxWspolny]])&gt;0,"ELEM_lub_PRD","TECHN")</f>
        <v>#REF!</v>
      </c>
      <c r="L348" t="e">
        <f>IF(COUNTIF(#REF!,Tabela2[[#This Row],[KOD_PRODUKTU]])&gt;0,"ELEMENT","PRODUKT")</f>
        <v>#REF!</v>
      </c>
      <c r="M348" t="e">
        <f>COUNTIF(#REF!,Tabela2[[#This Row],[KOD_PRODUKTU]])</f>
        <v>#REF!</v>
      </c>
    </row>
    <row r="349" spans="1:13" x14ac:dyDescent="0.25">
      <c r="A349" s="1" t="s">
        <v>647</v>
      </c>
      <c r="B349" t="s">
        <v>648</v>
      </c>
      <c r="C349" s="1" t="s">
        <v>656</v>
      </c>
      <c r="D349" s="1" t="s">
        <v>656</v>
      </c>
      <c r="E349" s="1" t="s">
        <v>656</v>
      </c>
      <c r="F349" t="s">
        <v>657</v>
      </c>
      <c r="G349" t="s">
        <v>658</v>
      </c>
      <c r="H349" t="s">
        <v>39</v>
      </c>
      <c r="I349" t="s">
        <v>25</v>
      </c>
      <c r="J349">
        <v>0.34</v>
      </c>
      <c r="K349" t="e">
        <f>IF(COUNTIF(#REF!,Tabela2[[#This Row],[IdxWspolny]])&gt;0,"ELEM_lub_PRD","TECHN")</f>
        <v>#REF!</v>
      </c>
      <c r="L349" t="e">
        <f>IF(COUNTIF(#REF!,Tabela2[[#This Row],[KOD_PRODUKTU]])&gt;0,"ELEMENT","PRODUKT")</f>
        <v>#REF!</v>
      </c>
      <c r="M349" t="e">
        <f>COUNTIF(#REF!,Tabela2[[#This Row],[KOD_PRODUKTU]])</f>
        <v>#REF!</v>
      </c>
    </row>
    <row r="350" spans="1:13" x14ac:dyDescent="0.25">
      <c r="A350" s="1" t="s">
        <v>647</v>
      </c>
      <c r="B350" t="s">
        <v>648</v>
      </c>
      <c r="C350" s="1" t="s">
        <v>659</v>
      </c>
      <c r="D350" s="1" t="s">
        <v>659</v>
      </c>
      <c r="E350" s="1" t="s">
        <v>659</v>
      </c>
      <c r="F350" t="s">
        <v>660</v>
      </c>
      <c r="G350" t="s">
        <v>661</v>
      </c>
      <c r="H350" t="s">
        <v>39</v>
      </c>
      <c r="I350" t="s">
        <v>605</v>
      </c>
      <c r="J350">
        <v>2</v>
      </c>
      <c r="K350" t="e">
        <f>IF(COUNTIF(#REF!,Tabela2[[#This Row],[IdxWspolny]])&gt;0,"ELEM_lub_PRD","TECHN")</f>
        <v>#REF!</v>
      </c>
      <c r="L350" t="e">
        <f>IF(COUNTIF(#REF!,Tabela2[[#This Row],[KOD_PRODUKTU]])&gt;0,"ELEMENT","PRODUKT")</f>
        <v>#REF!</v>
      </c>
      <c r="M350" t="e">
        <f>COUNTIF(#REF!,Tabela2[[#This Row],[KOD_PRODUKTU]])</f>
        <v>#REF!</v>
      </c>
    </row>
    <row r="351" spans="1:13" x14ac:dyDescent="0.25">
      <c r="A351" s="1" t="s">
        <v>647</v>
      </c>
      <c r="B351" t="s">
        <v>648</v>
      </c>
      <c r="C351" s="1" t="s">
        <v>662</v>
      </c>
      <c r="D351" s="1" t="s">
        <v>662</v>
      </c>
      <c r="E351" s="1" t="s">
        <v>662</v>
      </c>
      <c r="F351" t="s">
        <v>663</v>
      </c>
      <c r="G351" t="s">
        <v>513</v>
      </c>
      <c r="H351" t="s">
        <v>39</v>
      </c>
      <c r="I351" t="s">
        <v>40</v>
      </c>
      <c r="J351">
        <v>0.06</v>
      </c>
      <c r="K351" t="e">
        <f>IF(COUNTIF(#REF!,Tabela2[[#This Row],[IdxWspolny]])&gt;0,"ELEM_lub_PRD","TECHN")</f>
        <v>#REF!</v>
      </c>
      <c r="L351" t="e">
        <f>IF(COUNTIF(#REF!,Tabela2[[#This Row],[KOD_PRODUKTU]])&gt;0,"ELEMENT","PRODUKT")</f>
        <v>#REF!</v>
      </c>
      <c r="M351" t="e">
        <f>COUNTIF(#REF!,Tabela2[[#This Row],[KOD_PRODUKTU]])</f>
        <v>#REF!</v>
      </c>
    </row>
    <row r="352" spans="1:13" x14ac:dyDescent="0.25">
      <c r="A352" s="1" t="s">
        <v>647</v>
      </c>
      <c r="B352" t="s">
        <v>648</v>
      </c>
      <c r="C352" s="1" t="s">
        <v>664</v>
      </c>
      <c r="D352" s="1" t="s">
        <v>664</v>
      </c>
      <c r="E352" s="1" t="s">
        <v>664</v>
      </c>
      <c r="F352" t="s">
        <v>665</v>
      </c>
      <c r="G352" t="s">
        <v>666</v>
      </c>
      <c r="H352" t="s">
        <v>39</v>
      </c>
      <c r="I352" t="s">
        <v>652</v>
      </c>
      <c r="J352">
        <v>0.53</v>
      </c>
      <c r="K352" t="e">
        <f>IF(COUNTIF(#REF!,Tabela2[[#This Row],[IdxWspolny]])&gt;0,"ELEM_lub_PRD","TECHN")</f>
        <v>#REF!</v>
      </c>
      <c r="L352" t="e">
        <f>IF(COUNTIF(#REF!,Tabela2[[#This Row],[KOD_PRODUKTU]])&gt;0,"ELEMENT","PRODUKT")</f>
        <v>#REF!</v>
      </c>
      <c r="M352" t="e">
        <f>COUNTIF(#REF!,Tabela2[[#This Row],[KOD_PRODUKTU]])</f>
        <v>#REF!</v>
      </c>
    </row>
    <row r="353" spans="1:13" x14ac:dyDescent="0.25">
      <c r="A353" s="1" t="s">
        <v>647</v>
      </c>
      <c r="B353" t="s">
        <v>648</v>
      </c>
      <c r="C353" s="1" t="s">
        <v>667</v>
      </c>
      <c r="D353" s="1" t="s">
        <v>667</v>
      </c>
      <c r="E353" s="1" t="s">
        <v>667</v>
      </c>
      <c r="F353" t="s">
        <v>668</v>
      </c>
      <c r="G353" t="s">
        <v>669</v>
      </c>
      <c r="H353" t="s">
        <v>121</v>
      </c>
      <c r="I353" t="s">
        <v>482</v>
      </c>
      <c r="J353">
        <v>0.09</v>
      </c>
      <c r="K353" t="e">
        <f>IF(COUNTIF(#REF!,Tabela2[[#This Row],[IdxWspolny]])&gt;0,"ELEM_lub_PRD","TECHN")</f>
        <v>#REF!</v>
      </c>
      <c r="L353" t="e">
        <f>IF(COUNTIF(#REF!,Tabela2[[#This Row],[KOD_PRODUKTU]])&gt;0,"ELEMENT","PRODUKT")</f>
        <v>#REF!</v>
      </c>
      <c r="M353" t="e">
        <f>COUNTIF(#REF!,Tabela2[[#This Row],[KOD_PRODUKTU]])</f>
        <v>#REF!</v>
      </c>
    </row>
    <row r="354" spans="1:13" x14ac:dyDescent="0.25">
      <c r="A354" s="1" t="s">
        <v>647</v>
      </c>
      <c r="B354" t="s">
        <v>648</v>
      </c>
      <c r="C354" s="1" t="s">
        <v>41</v>
      </c>
      <c r="D354" s="1" t="s">
        <v>41</v>
      </c>
      <c r="E354" s="1" t="s">
        <v>41</v>
      </c>
      <c r="F354" t="s">
        <v>42</v>
      </c>
      <c r="G354" t="s">
        <v>43</v>
      </c>
      <c r="H354" t="s">
        <v>5</v>
      </c>
      <c r="I354" t="s">
        <v>44</v>
      </c>
      <c r="J354">
        <v>0.01</v>
      </c>
      <c r="K354" t="e">
        <f>IF(COUNTIF(#REF!,Tabela2[[#This Row],[IdxWspolny]])&gt;0,"ELEM_lub_PRD","TECHN")</f>
        <v>#REF!</v>
      </c>
      <c r="L354" t="e">
        <f>IF(COUNTIF(#REF!,Tabela2[[#This Row],[KOD_PRODUKTU]])&gt;0,"ELEMENT","PRODUKT")</f>
        <v>#REF!</v>
      </c>
      <c r="M354" t="e">
        <f>COUNTIF(#REF!,Tabela2[[#This Row],[KOD_PRODUKTU]])</f>
        <v>#REF!</v>
      </c>
    </row>
    <row r="355" spans="1:13" x14ac:dyDescent="0.25">
      <c r="A355" s="1" t="s">
        <v>647</v>
      </c>
      <c r="B355" t="s">
        <v>648</v>
      </c>
      <c r="C355" s="1" t="s">
        <v>670</v>
      </c>
      <c r="D355" s="1" t="s">
        <v>670</v>
      </c>
      <c r="E355" s="1" t="s">
        <v>670</v>
      </c>
      <c r="F355" t="s">
        <v>671</v>
      </c>
      <c r="G355" t="s">
        <v>672</v>
      </c>
      <c r="H355" t="s">
        <v>49</v>
      </c>
      <c r="I355" t="s">
        <v>50</v>
      </c>
      <c r="J355">
        <v>46.8</v>
      </c>
      <c r="K355" t="e">
        <f>IF(COUNTIF(#REF!,Tabela2[[#This Row],[IdxWspolny]])&gt;0,"ELEM_lub_PRD","TECHN")</f>
        <v>#REF!</v>
      </c>
      <c r="L355" t="e">
        <f>IF(COUNTIF(#REF!,Tabela2[[#This Row],[KOD_PRODUKTU]])&gt;0,"ELEMENT","PRODUKT")</f>
        <v>#REF!</v>
      </c>
      <c r="M355" t="e">
        <f>COUNTIF(#REF!,Tabela2[[#This Row],[KOD_PRODUKTU]])</f>
        <v>#REF!</v>
      </c>
    </row>
    <row r="356" spans="1:13" x14ac:dyDescent="0.25">
      <c r="A356" s="1" t="s">
        <v>647</v>
      </c>
      <c r="B356" t="s">
        <v>648</v>
      </c>
      <c r="C356" s="1" t="s">
        <v>673</v>
      </c>
      <c r="D356" s="1" t="s">
        <v>673</v>
      </c>
      <c r="E356" s="1" t="s">
        <v>673</v>
      </c>
      <c r="F356" t="s">
        <v>674</v>
      </c>
      <c r="G356" t="s">
        <v>675</v>
      </c>
      <c r="H356" t="s">
        <v>49</v>
      </c>
      <c r="I356" t="s">
        <v>50</v>
      </c>
      <c r="J356">
        <v>46.25</v>
      </c>
      <c r="K356" t="e">
        <f>IF(COUNTIF(#REF!,Tabela2[[#This Row],[IdxWspolny]])&gt;0,"ELEM_lub_PRD","TECHN")</f>
        <v>#REF!</v>
      </c>
      <c r="L356" t="e">
        <f>IF(COUNTIF(#REF!,Tabela2[[#This Row],[KOD_PRODUKTU]])&gt;0,"ELEMENT","PRODUKT")</f>
        <v>#REF!</v>
      </c>
      <c r="M356" t="e">
        <f>COUNTIF(#REF!,Tabela2[[#This Row],[KOD_PRODUKTU]])</f>
        <v>#REF!</v>
      </c>
    </row>
    <row r="357" spans="1:13" x14ac:dyDescent="0.25">
      <c r="A357" s="1" t="s">
        <v>647</v>
      </c>
      <c r="B357" t="s">
        <v>648</v>
      </c>
      <c r="C357" s="1" t="s">
        <v>676</v>
      </c>
      <c r="D357" s="1" t="s">
        <v>676</v>
      </c>
      <c r="E357" s="1" t="s">
        <v>676</v>
      </c>
      <c r="F357" t="s">
        <v>677</v>
      </c>
      <c r="G357" t="s">
        <v>672</v>
      </c>
      <c r="H357" t="s">
        <v>49</v>
      </c>
      <c r="I357" t="s">
        <v>50</v>
      </c>
      <c r="J357">
        <v>46.8</v>
      </c>
      <c r="K357" t="e">
        <f>IF(COUNTIF(#REF!,Tabela2[[#This Row],[IdxWspolny]])&gt;0,"ELEM_lub_PRD","TECHN")</f>
        <v>#REF!</v>
      </c>
      <c r="L357" t="e">
        <f>IF(COUNTIF(#REF!,Tabela2[[#This Row],[KOD_PRODUKTU]])&gt;0,"ELEMENT","PRODUKT")</f>
        <v>#REF!</v>
      </c>
      <c r="M357" t="e">
        <f>COUNTIF(#REF!,Tabela2[[#This Row],[KOD_PRODUKTU]])</f>
        <v>#REF!</v>
      </c>
    </row>
    <row r="358" spans="1:13" x14ac:dyDescent="0.25">
      <c r="A358" s="1" t="s">
        <v>647</v>
      </c>
      <c r="B358" t="s">
        <v>648</v>
      </c>
      <c r="C358" s="1" t="s">
        <v>678</v>
      </c>
      <c r="D358" s="1" t="s">
        <v>678</v>
      </c>
      <c r="E358" s="1" t="s">
        <v>678</v>
      </c>
      <c r="F358" t="s">
        <v>679</v>
      </c>
      <c r="G358" t="s">
        <v>680</v>
      </c>
      <c r="H358" t="s">
        <v>49</v>
      </c>
      <c r="I358" t="s">
        <v>50</v>
      </c>
      <c r="J358">
        <v>42.5</v>
      </c>
      <c r="K358" t="e">
        <f>IF(COUNTIF(#REF!,Tabela2[[#This Row],[IdxWspolny]])&gt;0,"ELEM_lub_PRD","TECHN")</f>
        <v>#REF!</v>
      </c>
      <c r="L358" t="e">
        <f>IF(COUNTIF(#REF!,Tabela2[[#This Row],[KOD_PRODUKTU]])&gt;0,"ELEMENT","PRODUKT")</f>
        <v>#REF!</v>
      </c>
      <c r="M358" t="e">
        <f>COUNTIF(#REF!,Tabela2[[#This Row],[KOD_PRODUKTU]])</f>
        <v>#REF!</v>
      </c>
    </row>
    <row r="359" spans="1:13" x14ac:dyDescent="0.25">
      <c r="A359" s="1" t="s">
        <v>647</v>
      </c>
      <c r="B359" t="s">
        <v>648</v>
      </c>
      <c r="C359" s="1" t="s">
        <v>681</v>
      </c>
      <c r="D359" s="1" t="s">
        <v>681</v>
      </c>
      <c r="E359" s="1" t="s">
        <v>681</v>
      </c>
      <c r="F359" t="s">
        <v>682</v>
      </c>
      <c r="G359" t="s">
        <v>683</v>
      </c>
      <c r="H359" t="s">
        <v>49</v>
      </c>
      <c r="I359" t="s">
        <v>50</v>
      </c>
      <c r="J359">
        <v>44.2</v>
      </c>
      <c r="K359" t="e">
        <f>IF(COUNTIF(#REF!,Tabela2[[#This Row],[IdxWspolny]])&gt;0,"ELEM_lub_PRD","TECHN")</f>
        <v>#REF!</v>
      </c>
      <c r="L359" t="e">
        <f>IF(COUNTIF(#REF!,Tabela2[[#This Row],[KOD_PRODUKTU]])&gt;0,"ELEMENT","PRODUKT")</f>
        <v>#REF!</v>
      </c>
      <c r="M359" t="e">
        <f>COUNTIF(#REF!,Tabela2[[#This Row],[KOD_PRODUKTU]])</f>
        <v>#REF!</v>
      </c>
    </row>
    <row r="360" spans="1:13" x14ac:dyDescent="0.25">
      <c r="A360" s="1" t="s">
        <v>647</v>
      </c>
      <c r="B360" t="s">
        <v>648</v>
      </c>
      <c r="C360" s="1" t="s">
        <v>684</v>
      </c>
      <c r="D360" s="1" t="s">
        <v>684</v>
      </c>
      <c r="E360" s="1" t="s">
        <v>684</v>
      </c>
      <c r="F360" t="s">
        <v>685</v>
      </c>
      <c r="G360" t="s">
        <v>686</v>
      </c>
      <c r="H360" t="s">
        <v>49</v>
      </c>
      <c r="I360" t="s">
        <v>687</v>
      </c>
      <c r="J360">
        <v>40</v>
      </c>
      <c r="K360" t="e">
        <f>IF(COUNTIF(#REF!,Tabela2[[#This Row],[IdxWspolny]])&gt;0,"ELEM_lub_PRD","TECHN")</f>
        <v>#REF!</v>
      </c>
      <c r="L360" t="e">
        <f>IF(COUNTIF(#REF!,Tabela2[[#This Row],[KOD_PRODUKTU]])&gt;0,"ELEMENT","PRODUKT")</f>
        <v>#REF!</v>
      </c>
      <c r="M360" t="e">
        <f>COUNTIF(#REF!,Tabela2[[#This Row],[KOD_PRODUKTU]])</f>
        <v>#REF!</v>
      </c>
    </row>
    <row r="361" spans="1:13" x14ac:dyDescent="0.25">
      <c r="A361" s="1" t="s">
        <v>647</v>
      </c>
      <c r="B361" t="s">
        <v>648</v>
      </c>
      <c r="C361" s="1" t="s">
        <v>688</v>
      </c>
      <c r="D361" s="1" t="s">
        <v>688</v>
      </c>
      <c r="E361" s="1" t="s">
        <v>688</v>
      </c>
      <c r="F361" t="s">
        <v>689</v>
      </c>
      <c r="G361" t="s">
        <v>9</v>
      </c>
      <c r="H361" t="s">
        <v>10</v>
      </c>
      <c r="I361" t="s">
        <v>690</v>
      </c>
      <c r="J361">
        <v>20.7</v>
      </c>
      <c r="K361" t="e">
        <f>IF(COUNTIF(#REF!,Tabela2[[#This Row],[IdxWspolny]])&gt;0,"ELEM_lub_PRD","TECHN")</f>
        <v>#REF!</v>
      </c>
      <c r="L361" t="e">
        <f>IF(COUNTIF(#REF!,Tabela2[[#This Row],[KOD_PRODUKTU]])&gt;0,"ELEMENT","PRODUKT")</f>
        <v>#REF!</v>
      </c>
      <c r="M361" t="e">
        <f>COUNTIF(#REF!,Tabela2[[#This Row],[KOD_PRODUKTU]])</f>
        <v>#REF!</v>
      </c>
    </row>
    <row r="362" spans="1:13" x14ac:dyDescent="0.25">
      <c r="A362" s="1" t="s">
        <v>647</v>
      </c>
      <c r="B362" t="s">
        <v>648</v>
      </c>
      <c r="C362" s="1" t="s">
        <v>7</v>
      </c>
      <c r="D362" s="1" t="s">
        <v>7</v>
      </c>
      <c r="E362" s="1" t="s">
        <v>7</v>
      </c>
      <c r="F362" t="s">
        <v>8</v>
      </c>
      <c r="G362" t="s">
        <v>9</v>
      </c>
      <c r="H362" t="s">
        <v>10</v>
      </c>
      <c r="I362" t="s">
        <v>691</v>
      </c>
      <c r="J362">
        <v>178.75</v>
      </c>
      <c r="K362" t="e">
        <f>IF(COUNTIF(#REF!,Tabela2[[#This Row],[IdxWspolny]])&gt;0,"ELEM_lub_PRD","TECHN")</f>
        <v>#REF!</v>
      </c>
      <c r="L362" t="e">
        <f>IF(COUNTIF(#REF!,Tabela2[[#This Row],[KOD_PRODUKTU]])&gt;0,"ELEMENT","PRODUKT")</f>
        <v>#REF!</v>
      </c>
      <c r="M362" t="e">
        <f>COUNTIF(#REF!,Tabela2[[#This Row],[KOD_PRODUKTU]])</f>
        <v>#REF!</v>
      </c>
    </row>
    <row r="363" spans="1:13" x14ac:dyDescent="0.25">
      <c r="A363" s="1" t="s">
        <v>647</v>
      </c>
      <c r="B363" t="s">
        <v>648</v>
      </c>
      <c r="C363" s="1" t="s">
        <v>7</v>
      </c>
      <c r="D363" s="1" t="s">
        <v>7</v>
      </c>
      <c r="E363" s="1" t="s">
        <v>7</v>
      </c>
      <c r="F363" t="s">
        <v>8</v>
      </c>
      <c r="G363" t="s">
        <v>9</v>
      </c>
      <c r="H363" t="s">
        <v>10</v>
      </c>
      <c r="I363" t="s">
        <v>692</v>
      </c>
      <c r="J363">
        <v>58.95</v>
      </c>
      <c r="K363" t="e">
        <f>IF(COUNTIF(#REF!,Tabela2[[#This Row],[IdxWspolny]])&gt;0,"ELEM_lub_PRD","TECHN")</f>
        <v>#REF!</v>
      </c>
      <c r="L363" t="e">
        <f>IF(COUNTIF(#REF!,Tabela2[[#This Row],[KOD_PRODUKTU]])&gt;0,"ELEMENT","PRODUKT")</f>
        <v>#REF!</v>
      </c>
      <c r="M363" t="e">
        <f>COUNTIF(#REF!,Tabela2[[#This Row],[KOD_PRODUKTU]])</f>
        <v>#REF!</v>
      </c>
    </row>
    <row r="364" spans="1:13" x14ac:dyDescent="0.25">
      <c r="A364" s="1" t="s">
        <v>693</v>
      </c>
      <c r="B364" t="s">
        <v>694</v>
      </c>
      <c r="C364" s="1" t="s">
        <v>695</v>
      </c>
      <c r="D364" s="1" t="s">
        <v>695</v>
      </c>
      <c r="E364" s="1" t="s">
        <v>695</v>
      </c>
      <c r="F364" t="s">
        <v>696</v>
      </c>
      <c r="G364" t="s">
        <v>501</v>
      </c>
      <c r="H364" t="s">
        <v>39</v>
      </c>
      <c r="I364" t="s">
        <v>605</v>
      </c>
      <c r="J364">
        <v>0.18</v>
      </c>
      <c r="K364" t="e">
        <f>IF(COUNTIF(#REF!,Tabela2[[#This Row],[IdxWspolny]])&gt;0,"ELEM_lub_PRD","TECHN")</f>
        <v>#REF!</v>
      </c>
      <c r="L364" t="e">
        <f>IF(COUNTIF(#REF!,Tabela2[[#This Row],[KOD_PRODUKTU]])&gt;0,"ELEMENT","PRODUKT")</f>
        <v>#REF!</v>
      </c>
      <c r="M364" t="e">
        <f>COUNTIF(#REF!,Tabela2[[#This Row],[KOD_PRODUKTU]])</f>
        <v>#REF!</v>
      </c>
    </row>
    <row r="365" spans="1:13" x14ac:dyDescent="0.25">
      <c r="A365" s="1" t="s">
        <v>693</v>
      </c>
      <c r="B365" t="s">
        <v>694</v>
      </c>
      <c r="C365" s="1" t="s">
        <v>479</v>
      </c>
      <c r="D365" s="1" t="s">
        <v>479</v>
      </c>
      <c r="E365" s="1" t="s">
        <v>479</v>
      </c>
      <c r="F365" t="s">
        <v>480</v>
      </c>
      <c r="G365" t="s">
        <v>481</v>
      </c>
      <c r="H365" t="s">
        <v>5</v>
      </c>
      <c r="I365" t="s">
        <v>697</v>
      </c>
      <c r="J365">
        <v>0.06</v>
      </c>
      <c r="K365" t="e">
        <f>IF(COUNTIF(#REF!,Tabela2[[#This Row],[IdxWspolny]])&gt;0,"ELEM_lub_PRD","TECHN")</f>
        <v>#REF!</v>
      </c>
      <c r="L365" t="e">
        <f>IF(COUNTIF(#REF!,Tabela2[[#This Row],[KOD_PRODUKTU]])&gt;0,"ELEMENT","PRODUKT")</f>
        <v>#REF!</v>
      </c>
      <c r="M365" t="e">
        <f>COUNTIF(#REF!,Tabela2[[#This Row],[KOD_PRODUKTU]])</f>
        <v>#REF!</v>
      </c>
    </row>
    <row r="366" spans="1:13" x14ac:dyDescent="0.25">
      <c r="A366" s="1" t="s">
        <v>693</v>
      </c>
      <c r="B366" t="s">
        <v>694</v>
      </c>
      <c r="C366" s="1" t="s">
        <v>628</v>
      </c>
      <c r="D366" s="1" t="s">
        <v>628</v>
      </c>
      <c r="E366" s="1" t="s">
        <v>628</v>
      </c>
      <c r="F366" t="s">
        <v>629</v>
      </c>
      <c r="G366" t="s">
        <v>698</v>
      </c>
      <c r="H366" t="s">
        <v>5</v>
      </c>
      <c r="I366" t="s">
        <v>699</v>
      </c>
      <c r="J366">
        <v>0.04</v>
      </c>
      <c r="K366" t="e">
        <f>IF(COUNTIF(#REF!,Tabela2[[#This Row],[IdxWspolny]])&gt;0,"ELEM_lub_PRD","TECHN")</f>
        <v>#REF!</v>
      </c>
      <c r="L366" t="e">
        <f>IF(COUNTIF(#REF!,Tabela2[[#This Row],[KOD_PRODUKTU]])&gt;0,"ELEMENT","PRODUKT")</f>
        <v>#REF!</v>
      </c>
      <c r="M366" t="e">
        <f>COUNTIF(#REF!,Tabela2[[#This Row],[KOD_PRODUKTU]])</f>
        <v>#REF!</v>
      </c>
    </row>
    <row r="367" spans="1:13" x14ac:dyDescent="0.25">
      <c r="A367" s="1" t="s">
        <v>693</v>
      </c>
      <c r="B367" t="s">
        <v>694</v>
      </c>
      <c r="C367" s="1" t="s">
        <v>700</v>
      </c>
      <c r="D367" s="1" t="s">
        <v>700</v>
      </c>
      <c r="E367" s="1" t="s">
        <v>700</v>
      </c>
      <c r="F367" t="s">
        <v>701</v>
      </c>
      <c r="G367" t="s">
        <v>702</v>
      </c>
      <c r="H367" t="s">
        <v>5</v>
      </c>
      <c r="I367" t="s">
        <v>703</v>
      </c>
      <c r="J367">
        <v>0.76</v>
      </c>
      <c r="K367" t="e">
        <f>IF(COUNTIF(#REF!,Tabela2[[#This Row],[IdxWspolny]])&gt;0,"ELEM_lub_PRD","TECHN")</f>
        <v>#REF!</v>
      </c>
      <c r="L367" t="e">
        <f>IF(COUNTIF(#REF!,Tabela2[[#This Row],[KOD_PRODUKTU]])&gt;0,"ELEMENT","PRODUKT")</f>
        <v>#REF!</v>
      </c>
      <c r="M367" t="e">
        <f>COUNTIF(#REF!,Tabela2[[#This Row],[KOD_PRODUKTU]])</f>
        <v>#REF!</v>
      </c>
    </row>
    <row r="368" spans="1:13" x14ac:dyDescent="0.25">
      <c r="A368" s="1" t="s">
        <v>693</v>
      </c>
      <c r="B368" t="s">
        <v>694</v>
      </c>
      <c r="C368" s="1" t="s">
        <v>704</v>
      </c>
      <c r="D368" s="1" t="s">
        <v>704</v>
      </c>
      <c r="E368" s="1" t="s">
        <v>704</v>
      </c>
      <c r="F368" t="s">
        <v>705</v>
      </c>
      <c r="G368" t="s">
        <v>706</v>
      </c>
      <c r="H368" t="s">
        <v>121</v>
      </c>
      <c r="I368" t="s">
        <v>50</v>
      </c>
      <c r="J368">
        <v>0.61</v>
      </c>
      <c r="K368" t="e">
        <f>IF(COUNTIF(#REF!,Tabela2[[#This Row],[IdxWspolny]])&gt;0,"ELEM_lub_PRD","TECHN")</f>
        <v>#REF!</v>
      </c>
      <c r="L368" t="e">
        <f>IF(COUNTIF(#REF!,Tabela2[[#This Row],[KOD_PRODUKTU]])&gt;0,"ELEMENT","PRODUKT")</f>
        <v>#REF!</v>
      </c>
      <c r="M368" t="e">
        <f>COUNTIF(#REF!,Tabela2[[#This Row],[KOD_PRODUKTU]])</f>
        <v>#REF!</v>
      </c>
    </row>
    <row r="369" spans="1:14" hidden="1" x14ac:dyDescent="0.25">
      <c r="A369" s="1" t="s">
        <v>693</v>
      </c>
      <c r="B369" t="s">
        <v>694</v>
      </c>
      <c r="C369" s="1" t="s">
        <v>707</v>
      </c>
      <c r="D369" s="1" t="s">
        <v>707</v>
      </c>
      <c r="E369" s="1" t="s">
        <v>707</v>
      </c>
      <c r="F369" t="s">
        <v>708</v>
      </c>
      <c r="G369" t="s">
        <v>709</v>
      </c>
      <c r="H369" t="s">
        <v>49</v>
      </c>
      <c r="I369" t="s">
        <v>50</v>
      </c>
      <c r="J369">
        <v>24.5</v>
      </c>
      <c r="K369" t="e">
        <f>IF(COUNTIF(#REF!,Tabela2[[#This Row],[IdxWspolny]])&gt;0,"ELEM_lub_PRD","TECHN")</f>
        <v>#REF!</v>
      </c>
      <c r="L369" t="e">
        <f>IF(COUNTIF(#REF!,Tabela2[[#This Row],[KOD_PRODUKTU]])&gt;0,"ELEMENT","PRODUKT")</f>
        <v>#REF!</v>
      </c>
      <c r="M369" t="e">
        <f>COUNTIF(#REF!,Tabela2[[#This Row],[KOD_PRODUKTU]])</f>
        <v>#REF!</v>
      </c>
      <c r="N369" t="s">
        <v>55</v>
      </c>
    </row>
    <row r="370" spans="1:14" hidden="1" x14ac:dyDescent="0.25">
      <c r="A370" s="1" t="s">
        <v>693</v>
      </c>
      <c r="B370" t="s">
        <v>694</v>
      </c>
      <c r="C370" s="1" t="s">
        <v>710</v>
      </c>
      <c r="D370" s="1" t="s">
        <v>710</v>
      </c>
      <c r="E370" s="1" t="s">
        <v>710</v>
      </c>
      <c r="F370" t="s">
        <v>711</v>
      </c>
      <c r="G370" t="s">
        <v>712</v>
      </c>
      <c r="H370" t="s">
        <v>49</v>
      </c>
      <c r="I370" t="s">
        <v>50</v>
      </c>
      <c r="J370">
        <v>25</v>
      </c>
      <c r="K370" t="e">
        <f>IF(COUNTIF(#REF!,Tabela2[[#This Row],[IdxWspolny]])&gt;0,"ELEM_lub_PRD","TECHN")</f>
        <v>#REF!</v>
      </c>
      <c r="L370" t="e">
        <f>IF(COUNTIF(#REF!,Tabela2[[#This Row],[KOD_PRODUKTU]])&gt;0,"ELEMENT","PRODUKT")</f>
        <v>#REF!</v>
      </c>
      <c r="M370" t="e">
        <f>COUNTIF(#REF!,Tabela2[[#This Row],[KOD_PRODUKTU]])</f>
        <v>#REF!</v>
      </c>
      <c r="N370" t="s">
        <v>55</v>
      </c>
    </row>
    <row r="371" spans="1:14" hidden="1" x14ac:dyDescent="0.25">
      <c r="A371" s="1" t="s">
        <v>693</v>
      </c>
      <c r="B371" t="s">
        <v>694</v>
      </c>
      <c r="C371" s="1" t="s">
        <v>713</v>
      </c>
      <c r="D371" s="1" t="s">
        <v>713</v>
      </c>
      <c r="E371" s="1" t="s">
        <v>713</v>
      </c>
      <c r="F371" t="s">
        <v>714</v>
      </c>
      <c r="G371" t="s">
        <v>501</v>
      </c>
      <c r="H371" t="s">
        <v>49</v>
      </c>
      <c r="I371" t="s">
        <v>50</v>
      </c>
      <c r="J371">
        <v>4.5</v>
      </c>
      <c r="K371" t="e">
        <f>IF(COUNTIF(#REF!,Tabela2[[#This Row],[IdxWspolny]])&gt;0,"ELEM_lub_PRD","TECHN")</f>
        <v>#REF!</v>
      </c>
      <c r="L371" t="e">
        <f>IF(COUNTIF(#REF!,Tabela2[[#This Row],[KOD_PRODUKTU]])&gt;0,"ELEMENT","PRODUKT")</f>
        <v>#REF!</v>
      </c>
      <c r="M371" t="e">
        <f>COUNTIF(#REF!,Tabela2[[#This Row],[KOD_PRODUKTU]])</f>
        <v>#REF!</v>
      </c>
      <c r="N371" t="s">
        <v>55</v>
      </c>
    </row>
    <row r="372" spans="1:14" hidden="1" x14ac:dyDescent="0.25">
      <c r="A372" s="1" t="s">
        <v>693</v>
      </c>
      <c r="B372" t="s">
        <v>694</v>
      </c>
      <c r="C372" s="1" t="s">
        <v>715</v>
      </c>
      <c r="D372" s="1" t="s">
        <v>715</v>
      </c>
      <c r="E372" s="1" t="s">
        <v>715</v>
      </c>
      <c r="F372" t="s">
        <v>716</v>
      </c>
      <c r="G372" t="s">
        <v>501</v>
      </c>
      <c r="H372" t="s">
        <v>49</v>
      </c>
      <c r="I372" t="s">
        <v>50</v>
      </c>
      <c r="J372">
        <v>4.5</v>
      </c>
      <c r="K372" t="e">
        <f>IF(COUNTIF(#REF!,Tabela2[[#This Row],[IdxWspolny]])&gt;0,"ELEM_lub_PRD","TECHN")</f>
        <v>#REF!</v>
      </c>
      <c r="L372" t="e">
        <f>IF(COUNTIF(#REF!,Tabela2[[#This Row],[KOD_PRODUKTU]])&gt;0,"ELEMENT","PRODUKT")</f>
        <v>#REF!</v>
      </c>
      <c r="M372" t="e">
        <f>COUNTIF(#REF!,Tabela2[[#This Row],[KOD_PRODUKTU]])</f>
        <v>#REF!</v>
      </c>
      <c r="N372" t="s">
        <v>55</v>
      </c>
    </row>
    <row r="373" spans="1:14" hidden="1" x14ac:dyDescent="0.25">
      <c r="A373" s="1" t="s">
        <v>693</v>
      </c>
      <c r="B373" t="s">
        <v>694</v>
      </c>
      <c r="C373" s="1" t="s">
        <v>717</v>
      </c>
      <c r="D373" s="1" t="s">
        <v>717</v>
      </c>
      <c r="E373" s="1" t="s">
        <v>717</v>
      </c>
      <c r="F373" t="s">
        <v>718</v>
      </c>
      <c r="G373" t="s">
        <v>61</v>
      </c>
      <c r="H373" t="s">
        <v>49</v>
      </c>
      <c r="I373" t="s">
        <v>50</v>
      </c>
      <c r="J373">
        <v>3.85</v>
      </c>
      <c r="K373" t="e">
        <f>IF(COUNTIF(#REF!,Tabela2[[#This Row],[IdxWspolny]])&gt;0,"ELEM_lub_PRD","TECHN")</f>
        <v>#REF!</v>
      </c>
      <c r="L373" t="e">
        <f>IF(COUNTIF(#REF!,Tabela2[[#This Row],[KOD_PRODUKTU]])&gt;0,"ELEMENT","PRODUKT")</f>
        <v>#REF!</v>
      </c>
      <c r="M373" t="e">
        <f>COUNTIF(#REF!,Tabela2[[#This Row],[KOD_PRODUKTU]])</f>
        <v>#REF!</v>
      </c>
      <c r="N373" t="s">
        <v>55</v>
      </c>
    </row>
    <row r="374" spans="1:14" hidden="1" x14ac:dyDescent="0.25">
      <c r="A374" s="1" t="s">
        <v>693</v>
      </c>
      <c r="B374" t="s">
        <v>694</v>
      </c>
      <c r="C374" s="1" t="s">
        <v>719</v>
      </c>
      <c r="D374" s="1" t="s">
        <v>719</v>
      </c>
      <c r="E374" s="1" t="s">
        <v>719</v>
      </c>
      <c r="F374" t="s">
        <v>720</v>
      </c>
      <c r="G374" t="s">
        <v>721</v>
      </c>
      <c r="H374" t="s">
        <v>49</v>
      </c>
      <c r="I374" t="s">
        <v>50</v>
      </c>
      <c r="J374">
        <v>28.1</v>
      </c>
      <c r="K374" t="e">
        <f>IF(COUNTIF(#REF!,Tabela2[[#This Row],[IdxWspolny]])&gt;0,"ELEM_lub_PRD","TECHN")</f>
        <v>#REF!</v>
      </c>
      <c r="L374" t="e">
        <f>IF(COUNTIF(#REF!,Tabela2[[#This Row],[KOD_PRODUKTU]])&gt;0,"ELEMENT","PRODUKT")</f>
        <v>#REF!</v>
      </c>
      <c r="M374" t="e">
        <f>COUNTIF(#REF!,Tabela2[[#This Row],[KOD_PRODUKTU]])</f>
        <v>#REF!</v>
      </c>
      <c r="N374" t="s">
        <v>55</v>
      </c>
    </row>
    <row r="375" spans="1:14" x14ac:dyDescent="0.25">
      <c r="A375" s="1" t="s">
        <v>693</v>
      </c>
      <c r="B375" t="s">
        <v>694</v>
      </c>
      <c r="C375" s="1" t="s">
        <v>722</v>
      </c>
      <c r="D375" s="1" t="s">
        <v>722</v>
      </c>
      <c r="E375" s="1" t="s">
        <v>722</v>
      </c>
      <c r="F375" t="s">
        <v>723</v>
      </c>
      <c r="G375" t="s">
        <v>724</v>
      </c>
      <c r="H375" t="s">
        <v>49</v>
      </c>
      <c r="I375" t="s">
        <v>50</v>
      </c>
      <c r="J375">
        <v>4.3</v>
      </c>
      <c r="K375" t="e">
        <f>IF(COUNTIF(#REF!,Tabela2[[#This Row],[IdxWspolny]])&gt;0,"ELEM_lub_PRD","TECHN")</f>
        <v>#REF!</v>
      </c>
      <c r="L375" t="e">
        <f>IF(COUNTIF(#REF!,Tabela2[[#This Row],[KOD_PRODUKTU]])&gt;0,"ELEMENT","PRODUKT")</f>
        <v>#REF!</v>
      </c>
      <c r="M375" t="e">
        <f>COUNTIF(#REF!,Tabela2[[#This Row],[KOD_PRODUKTU]])</f>
        <v>#REF!</v>
      </c>
      <c r="N375" t="s">
        <v>55</v>
      </c>
    </row>
    <row r="376" spans="1:14" x14ac:dyDescent="0.25">
      <c r="A376" s="1" t="s">
        <v>693</v>
      </c>
      <c r="B376" t="s">
        <v>694</v>
      </c>
      <c r="C376" s="1" t="s">
        <v>7</v>
      </c>
      <c r="D376" s="1" t="s">
        <v>7</v>
      </c>
      <c r="E376" s="1" t="s">
        <v>7</v>
      </c>
      <c r="F376" t="s">
        <v>8</v>
      </c>
      <c r="G376" t="s">
        <v>9</v>
      </c>
      <c r="H376" t="s">
        <v>10</v>
      </c>
      <c r="I376" t="s">
        <v>725</v>
      </c>
      <c r="J376">
        <v>21.85</v>
      </c>
      <c r="K376" t="e">
        <f>IF(COUNTIF(#REF!,Tabela2[[#This Row],[IdxWspolny]])&gt;0,"ELEM_lub_PRD","TECHN")</f>
        <v>#REF!</v>
      </c>
      <c r="L376" t="e">
        <f>IF(COUNTIF(#REF!,Tabela2[[#This Row],[KOD_PRODUKTU]])&gt;0,"ELEMENT","PRODUKT")</f>
        <v>#REF!</v>
      </c>
      <c r="M376" t="e">
        <f>COUNTIF(#REF!,Tabela2[[#This Row],[KOD_PRODUKTU]])</f>
        <v>#REF!</v>
      </c>
    </row>
    <row r="377" spans="1:14" x14ac:dyDescent="0.25">
      <c r="A377" s="1" t="s">
        <v>726</v>
      </c>
      <c r="B377" t="s">
        <v>727</v>
      </c>
      <c r="C377" s="1" t="s">
        <v>695</v>
      </c>
      <c r="D377" s="1" t="s">
        <v>695</v>
      </c>
      <c r="E377" s="1" t="s">
        <v>695</v>
      </c>
      <c r="F377" t="s">
        <v>696</v>
      </c>
      <c r="G377" t="s">
        <v>501</v>
      </c>
      <c r="H377" t="s">
        <v>39</v>
      </c>
      <c r="I377" t="s">
        <v>605</v>
      </c>
      <c r="J377">
        <v>0.18</v>
      </c>
      <c r="K377" t="e">
        <f>IF(COUNTIF(#REF!,Tabela2[[#This Row],[IdxWspolny]])&gt;0,"ELEM_lub_PRD","TECHN")</f>
        <v>#REF!</v>
      </c>
      <c r="L377" t="e">
        <f>IF(COUNTIF(#REF!,Tabela2[[#This Row],[KOD_PRODUKTU]])&gt;0,"ELEMENT","PRODUKT")</f>
        <v>#REF!</v>
      </c>
      <c r="M377" t="e">
        <f>COUNTIF(#REF!,Tabela2[[#This Row],[KOD_PRODUKTU]])</f>
        <v>#REF!</v>
      </c>
    </row>
    <row r="378" spans="1:14" x14ac:dyDescent="0.25">
      <c r="A378" s="1" t="s">
        <v>726</v>
      </c>
      <c r="B378" t="s">
        <v>727</v>
      </c>
      <c r="C378" s="1" t="s">
        <v>479</v>
      </c>
      <c r="D378" s="1" t="s">
        <v>479</v>
      </c>
      <c r="E378" s="1" t="s">
        <v>479</v>
      </c>
      <c r="F378" t="s">
        <v>480</v>
      </c>
      <c r="G378" t="s">
        <v>481</v>
      </c>
      <c r="H378" t="s">
        <v>5</v>
      </c>
      <c r="I378" t="s">
        <v>697</v>
      </c>
      <c r="J378">
        <v>0.06</v>
      </c>
      <c r="K378" t="e">
        <f>IF(COUNTIF(#REF!,Tabela2[[#This Row],[IdxWspolny]])&gt;0,"ELEM_lub_PRD","TECHN")</f>
        <v>#REF!</v>
      </c>
      <c r="L378" t="e">
        <f>IF(COUNTIF(#REF!,Tabela2[[#This Row],[KOD_PRODUKTU]])&gt;0,"ELEMENT","PRODUKT")</f>
        <v>#REF!</v>
      </c>
      <c r="M378" t="e">
        <f>COUNTIF(#REF!,Tabela2[[#This Row],[KOD_PRODUKTU]])</f>
        <v>#REF!</v>
      </c>
    </row>
    <row r="379" spans="1:14" x14ac:dyDescent="0.25">
      <c r="A379" s="1" t="s">
        <v>726</v>
      </c>
      <c r="B379" t="s">
        <v>727</v>
      </c>
      <c r="C379" s="1" t="s">
        <v>628</v>
      </c>
      <c r="D379" s="1" t="s">
        <v>628</v>
      </c>
      <c r="E379" s="1" t="s">
        <v>628</v>
      </c>
      <c r="F379" t="s">
        <v>629</v>
      </c>
      <c r="G379" t="s">
        <v>698</v>
      </c>
      <c r="H379" t="s">
        <v>5</v>
      </c>
      <c r="I379" t="s">
        <v>699</v>
      </c>
      <c r="J379">
        <v>0.04</v>
      </c>
      <c r="K379" t="e">
        <f>IF(COUNTIF(#REF!,Tabela2[[#This Row],[IdxWspolny]])&gt;0,"ELEM_lub_PRD","TECHN")</f>
        <v>#REF!</v>
      </c>
      <c r="L379" t="e">
        <f>IF(COUNTIF(#REF!,Tabela2[[#This Row],[KOD_PRODUKTU]])&gt;0,"ELEMENT","PRODUKT")</f>
        <v>#REF!</v>
      </c>
      <c r="M379" t="e">
        <f>COUNTIF(#REF!,Tabela2[[#This Row],[KOD_PRODUKTU]])</f>
        <v>#REF!</v>
      </c>
    </row>
    <row r="380" spans="1:14" x14ac:dyDescent="0.25">
      <c r="A380" s="1" t="s">
        <v>726</v>
      </c>
      <c r="B380" t="s">
        <v>727</v>
      </c>
      <c r="C380" s="1" t="s">
        <v>700</v>
      </c>
      <c r="D380" s="1" t="s">
        <v>700</v>
      </c>
      <c r="E380" s="1" t="s">
        <v>700</v>
      </c>
      <c r="F380" t="s">
        <v>701</v>
      </c>
      <c r="G380" t="s">
        <v>702</v>
      </c>
      <c r="H380" t="s">
        <v>5</v>
      </c>
      <c r="I380" t="s">
        <v>728</v>
      </c>
      <c r="J380">
        <v>0.76</v>
      </c>
      <c r="K380" t="e">
        <f>IF(COUNTIF(#REF!,Tabela2[[#This Row],[IdxWspolny]])&gt;0,"ELEM_lub_PRD","TECHN")</f>
        <v>#REF!</v>
      </c>
      <c r="L380" t="e">
        <f>IF(COUNTIF(#REF!,Tabela2[[#This Row],[KOD_PRODUKTU]])&gt;0,"ELEMENT","PRODUKT")</f>
        <v>#REF!</v>
      </c>
      <c r="M380" t="e">
        <f>COUNTIF(#REF!,Tabela2[[#This Row],[KOD_PRODUKTU]])</f>
        <v>#REF!</v>
      </c>
    </row>
    <row r="381" spans="1:14" x14ac:dyDescent="0.25">
      <c r="A381" s="1" t="s">
        <v>726</v>
      </c>
      <c r="B381" t="s">
        <v>727</v>
      </c>
      <c r="C381" s="1" t="s">
        <v>704</v>
      </c>
      <c r="D381" s="1" t="s">
        <v>704</v>
      </c>
      <c r="E381" s="1" t="s">
        <v>704</v>
      </c>
      <c r="F381" t="s">
        <v>705</v>
      </c>
      <c r="G381" t="s">
        <v>706</v>
      </c>
      <c r="H381" t="s">
        <v>121</v>
      </c>
      <c r="I381" t="s">
        <v>50</v>
      </c>
      <c r="J381">
        <v>0.61</v>
      </c>
      <c r="K381" t="e">
        <f>IF(COUNTIF(#REF!,Tabela2[[#This Row],[IdxWspolny]])&gt;0,"ELEM_lub_PRD","TECHN")</f>
        <v>#REF!</v>
      </c>
      <c r="L381" t="e">
        <f>IF(COUNTIF(#REF!,Tabela2[[#This Row],[KOD_PRODUKTU]])&gt;0,"ELEMENT","PRODUKT")</f>
        <v>#REF!</v>
      </c>
      <c r="M381" t="e">
        <f>COUNTIF(#REF!,Tabela2[[#This Row],[KOD_PRODUKTU]])</f>
        <v>#REF!</v>
      </c>
    </row>
    <row r="382" spans="1:14" hidden="1" x14ac:dyDescent="0.25">
      <c r="A382" s="1" t="s">
        <v>726</v>
      </c>
      <c r="B382" t="s">
        <v>727</v>
      </c>
      <c r="C382" s="1" t="s">
        <v>707</v>
      </c>
      <c r="D382" s="1" t="s">
        <v>707</v>
      </c>
      <c r="E382" s="1" t="s">
        <v>707</v>
      </c>
      <c r="F382" t="s">
        <v>708</v>
      </c>
      <c r="G382" t="s">
        <v>709</v>
      </c>
      <c r="H382" t="s">
        <v>49</v>
      </c>
      <c r="I382" t="s">
        <v>50</v>
      </c>
      <c r="J382">
        <v>24.5</v>
      </c>
      <c r="K382" t="e">
        <f>IF(COUNTIF(#REF!,Tabela2[[#This Row],[IdxWspolny]])&gt;0,"ELEM_lub_PRD","TECHN")</f>
        <v>#REF!</v>
      </c>
      <c r="L382" t="e">
        <f>IF(COUNTIF(#REF!,Tabela2[[#This Row],[KOD_PRODUKTU]])&gt;0,"ELEMENT","PRODUKT")</f>
        <v>#REF!</v>
      </c>
      <c r="M382" t="e">
        <f>COUNTIF(#REF!,Tabela2[[#This Row],[KOD_PRODUKTU]])</f>
        <v>#REF!</v>
      </c>
      <c r="N382" t="s">
        <v>55</v>
      </c>
    </row>
    <row r="383" spans="1:14" hidden="1" x14ac:dyDescent="0.25">
      <c r="A383" s="1" t="s">
        <v>726</v>
      </c>
      <c r="B383" t="s">
        <v>727</v>
      </c>
      <c r="C383" s="1" t="s">
        <v>710</v>
      </c>
      <c r="D383" s="1" t="s">
        <v>710</v>
      </c>
      <c r="E383" s="1" t="s">
        <v>710</v>
      </c>
      <c r="F383" t="s">
        <v>711</v>
      </c>
      <c r="G383" t="s">
        <v>712</v>
      </c>
      <c r="H383" t="s">
        <v>49</v>
      </c>
      <c r="I383" t="s">
        <v>50</v>
      </c>
      <c r="J383">
        <v>25</v>
      </c>
      <c r="K383" t="e">
        <f>IF(COUNTIF(#REF!,Tabela2[[#This Row],[IdxWspolny]])&gt;0,"ELEM_lub_PRD","TECHN")</f>
        <v>#REF!</v>
      </c>
      <c r="L383" t="e">
        <f>IF(COUNTIF(#REF!,Tabela2[[#This Row],[KOD_PRODUKTU]])&gt;0,"ELEMENT","PRODUKT")</f>
        <v>#REF!</v>
      </c>
      <c r="M383" t="e">
        <f>COUNTIF(#REF!,Tabela2[[#This Row],[KOD_PRODUKTU]])</f>
        <v>#REF!</v>
      </c>
      <c r="N383" t="s">
        <v>55</v>
      </c>
    </row>
    <row r="384" spans="1:14" hidden="1" x14ac:dyDescent="0.25">
      <c r="A384" s="1" t="s">
        <v>726</v>
      </c>
      <c r="B384" t="s">
        <v>727</v>
      </c>
      <c r="C384" s="1" t="s">
        <v>729</v>
      </c>
      <c r="D384" s="1" t="s">
        <v>729</v>
      </c>
      <c r="E384" s="1" t="s">
        <v>729</v>
      </c>
      <c r="F384" t="s">
        <v>730</v>
      </c>
      <c r="G384" t="s">
        <v>731</v>
      </c>
      <c r="H384" t="s">
        <v>49</v>
      </c>
      <c r="I384" t="s">
        <v>50</v>
      </c>
      <c r="J384">
        <v>34.299999999999997</v>
      </c>
      <c r="K384" t="e">
        <f>IF(COUNTIF(#REF!,Tabela2[[#This Row],[IdxWspolny]])&gt;0,"ELEM_lub_PRD","TECHN")</f>
        <v>#REF!</v>
      </c>
      <c r="L384" t="e">
        <f>IF(COUNTIF(#REF!,Tabela2[[#This Row],[KOD_PRODUKTU]])&gt;0,"ELEMENT","PRODUKT")</f>
        <v>#REF!</v>
      </c>
      <c r="M384" t="e">
        <f>COUNTIF(#REF!,Tabela2[[#This Row],[KOD_PRODUKTU]])</f>
        <v>#REF!</v>
      </c>
      <c r="N384" t="s">
        <v>55</v>
      </c>
    </row>
    <row r="385" spans="1:14" hidden="1" x14ac:dyDescent="0.25">
      <c r="A385" s="1" t="s">
        <v>726</v>
      </c>
      <c r="B385" t="s">
        <v>727</v>
      </c>
      <c r="C385" s="1" t="s">
        <v>713</v>
      </c>
      <c r="D385" s="1" t="s">
        <v>713</v>
      </c>
      <c r="E385" s="1" t="s">
        <v>713</v>
      </c>
      <c r="F385" t="s">
        <v>714</v>
      </c>
      <c r="G385" t="s">
        <v>501</v>
      </c>
      <c r="H385" t="s">
        <v>49</v>
      </c>
      <c r="I385" t="s">
        <v>50</v>
      </c>
      <c r="J385">
        <v>4.5</v>
      </c>
      <c r="K385" t="e">
        <f>IF(COUNTIF(#REF!,Tabela2[[#This Row],[IdxWspolny]])&gt;0,"ELEM_lub_PRD","TECHN")</f>
        <v>#REF!</v>
      </c>
      <c r="L385" t="e">
        <f>IF(COUNTIF(#REF!,Tabela2[[#This Row],[KOD_PRODUKTU]])&gt;0,"ELEMENT","PRODUKT")</f>
        <v>#REF!</v>
      </c>
      <c r="M385" t="e">
        <f>COUNTIF(#REF!,Tabela2[[#This Row],[KOD_PRODUKTU]])</f>
        <v>#REF!</v>
      </c>
      <c r="N385" t="s">
        <v>55</v>
      </c>
    </row>
    <row r="386" spans="1:14" hidden="1" x14ac:dyDescent="0.25">
      <c r="A386" s="1" t="s">
        <v>726</v>
      </c>
      <c r="B386" t="s">
        <v>727</v>
      </c>
      <c r="C386" s="1" t="s">
        <v>715</v>
      </c>
      <c r="D386" s="1" t="s">
        <v>715</v>
      </c>
      <c r="E386" s="1" t="s">
        <v>715</v>
      </c>
      <c r="F386" t="s">
        <v>716</v>
      </c>
      <c r="G386" t="s">
        <v>501</v>
      </c>
      <c r="H386" t="s">
        <v>49</v>
      </c>
      <c r="I386" t="s">
        <v>50</v>
      </c>
      <c r="J386">
        <v>4.5</v>
      </c>
      <c r="K386" t="e">
        <f>IF(COUNTIF(#REF!,Tabela2[[#This Row],[IdxWspolny]])&gt;0,"ELEM_lub_PRD","TECHN")</f>
        <v>#REF!</v>
      </c>
      <c r="L386" t="e">
        <f>IF(COUNTIF(#REF!,Tabela2[[#This Row],[KOD_PRODUKTU]])&gt;0,"ELEMENT","PRODUKT")</f>
        <v>#REF!</v>
      </c>
      <c r="M386" t="e">
        <f>COUNTIF(#REF!,Tabela2[[#This Row],[KOD_PRODUKTU]])</f>
        <v>#REF!</v>
      </c>
      <c r="N386" t="s">
        <v>55</v>
      </c>
    </row>
    <row r="387" spans="1:14" hidden="1" x14ac:dyDescent="0.25">
      <c r="A387" s="1" t="s">
        <v>726</v>
      </c>
      <c r="B387" t="s">
        <v>727</v>
      </c>
      <c r="C387" s="1" t="s">
        <v>717</v>
      </c>
      <c r="D387" s="1" t="s">
        <v>717</v>
      </c>
      <c r="E387" s="1" t="s">
        <v>717</v>
      </c>
      <c r="F387" t="s">
        <v>718</v>
      </c>
      <c r="G387" t="s">
        <v>61</v>
      </c>
      <c r="H387" t="s">
        <v>49</v>
      </c>
      <c r="I387" t="s">
        <v>50</v>
      </c>
      <c r="J387">
        <v>3.85</v>
      </c>
      <c r="K387" t="e">
        <f>IF(COUNTIF(#REF!,Tabela2[[#This Row],[IdxWspolny]])&gt;0,"ELEM_lub_PRD","TECHN")</f>
        <v>#REF!</v>
      </c>
      <c r="L387" t="e">
        <f>IF(COUNTIF(#REF!,Tabela2[[#This Row],[KOD_PRODUKTU]])&gt;0,"ELEMENT","PRODUKT")</f>
        <v>#REF!</v>
      </c>
      <c r="M387" t="e">
        <f>COUNTIF(#REF!,Tabela2[[#This Row],[KOD_PRODUKTU]])</f>
        <v>#REF!</v>
      </c>
      <c r="N387" t="s">
        <v>55</v>
      </c>
    </row>
    <row r="388" spans="1:14" x14ac:dyDescent="0.25">
      <c r="A388" s="1" t="s">
        <v>726</v>
      </c>
      <c r="B388" t="s">
        <v>727</v>
      </c>
      <c r="C388" s="1" t="s">
        <v>732</v>
      </c>
      <c r="D388" s="1" t="s">
        <v>732</v>
      </c>
      <c r="E388" s="1" t="s">
        <v>732</v>
      </c>
      <c r="F388" t="s">
        <v>733</v>
      </c>
      <c r="G388" t="s">
        <v>108</v>
      </c>
      <c r="H388" t="s">
        <v>49</v>
      </c>
      <c r="I388" t="s">
        <v>50</v>
      </c>
      <c r="J388">
        <v>4.2</v>
      </c>
      <c r="K388" t="e">
        <f>IF(COUNTIF(#REF!,Tabela2[[#This Row],[IdxWspolny]])&gt;0,"ELEM_lub_PRD","TECHN")</f>
        <v>#REF!</v>
      </c>
      <c r="L388" t="e">
        <f>IF(COUNTIF(#REF!,Tabela2[[#This Row],[KOD_PRODUKTU]])&gt;0,"ELEMENT","PRODUKT")</f>
        <v>#REF!</v>
      </c>
      <c r="M388" t="e">
        <f>COUNTIF(#REF!,Tabela2[[#This Row],[KOD_PRODUKTU]])</f>
        <v>#REF!</v>
      </c>
      <c r="N388" t="s">
        <v>55</v>
      </c>
    </row>
    <row r="389" spans="1:14" x14ac:dyDescent="0.25">
      <c r="A389" s="1" t="s">
        <v>726</v>
      </c>
      <c r="B389" t="s">
        <v>727</v>
      </c>
      <c r="C389" s="1" t="s">
        <v>7</v>
      </c>
      <c r="D389" s="1" t="s">
        <v>7</v>
      </c>
      <c r="E389" s="1" t="s">
        <v>7</v>
      </c>
      <c r="F389" t="s">
        <v>8</v>
      </c>
      <c r="G389" t="s">
        <v>9</v>
      </c>
      <c r="H389" t="s">
        <v>10</v>
      </c>
      <c r="I389" t="s">
        <v>725</v>
      </c>
      <c r="J389">
        <v>21.85</v>
      </c>
      <c r="K389" t="e">
        <f>IF(COUNTIF(#REF!,Tabela2[[#This Row],[IdxWspolny]])&gt;0,"ELEM_lub_PRD","TECHN")</f>
        <v>#REF!</v>
      </c>
      <c r="L389" t="e">
        <f>IF(COUNTIF(#REF!,Tabela2[[#This Row],[KOD_PRODUKTU]])&gt;0,"ELEMENT","PRODUKT")</f>
        <v>#REF!</v>
      </c>
      <c r="M389" t="e">
        <f>COUNTIF(#REF!,Tabela2[[#This Row],[KOD_PRODUKTU]])</f>
        <v>#REF!</v>
      </c>
    </row>
    <row r="390" spans="1:14" x14ac:dyDescent="0.25">
      <c r="A390" s="1" t="s">
        <v>734</v>
      </c>
      <c r="B390" t="s">
        <v>735</v>
      </c>
      <c r="C390" s="1" t="s">
        <v>479</v>
      </c>
      <c r="D390" s="1" t="s">
        <v>479</v>
      </c>
      <c r="E390" s="1" t="s">
        <v>479</v>
      </c>
      <c r="F390" t="s">
        <v>480</v>
      </c>
      <c r="G390" t="s">
        <v>651</v>
      </c>
      <c r="H390" t="s">
        <v>5</v>
      </c>
      <c r="I390" t="s">
        <v>736</v>
      </c>
      <c r="J390">
        <v>0.06</v>
      </c>
      <c r="K390" t="e">
        <f>IF(COUNTIF(#REF!,Tabela2[[#This Row],[IdxWspolny]])&gt;0,"ELEM_lub_PRD","TECHN")</f>
        <v>#REF!</v>
      </c>
      <c r="L390" t="e">
        <f>IF(COUNTIF(#REF!,Tabela2[[#This Row],[KOD_PRODUKTU]])&gt;0,"ELEMENT","PRODUKT")</f>
        <v>#REF!</v>
      </c>
      <c r="M390" t="e">
        <f>COUNTIF(#REF!,Tabela2[[#This Row],[KOD_PRODUKTU]])</f>
        <v>#REF!</v>
      </c>
    </row>
    <row r="391" spans="1:14" x14ac:dyDescent="0.25">
      <c r="A391" s="1" t="s">
        <v>734</v>
      </c>
      <c r="B391" t="s">
        <v>735</v>
      </c>
      <c r="C391" s="1" t="s">
        <v>628</v>
      </c>
      <c r="D391" s="1" t="s">
        <v>628</v>
      </c>
      <c r="E391" s="1" t="s">
        <v>628</v>
      </c>
      <c r="F391" t="s">
        <v>629</v>
      </c>
      <c r="G391" t="s">
        <v>698</v>
      </c>
      <c r="H391" t="s">
        <v>5</v>
      </c>
      <c r="I391" t="s">
        <v>737</v>
      </c>
      <c r="J391">
        <v>0.04</v>
      </c>
      <c r="K391" t="e">
        <f>IF(COUNTIF(#REF!,Tabela2[[#This Row],[IdxWspolny]])&gt;0,"ELEM_lub_PRD","TECHN")</f>
        <v>#REF!</v>
      </c>
      <c r="L391" t="e">
        <f>IF(COUNTIF(#REF!,Tabela2[[#This Row],[KOD_PRODUKTU]])&gt;0,"ELEMENT","PRODUKT")</f>
        <v>#REF!</v>
      </c>
      <c r="M391" t="e">
        <f>COUNTIF(#REF!,Tabela2[[#This Row],[KOD_PRODUKTU]])</f>
        <v>#REF!</v>
      </c>
    </row>
    <row r="392" spans="1:14" x14ac:dyDescent="0.25">
      <c r="A392" s="1" t="s">
        <v>734</v>
      </c>
      <c r="B392" t="s">
        <v>735</v>
      </c>
      <c r="C392" s="1" t="s">
        <v>738</v>
      </c>
      <c r="D392" s="1" t="s">
        <v>738</v>
      </c>
      <c r="E392" s="1" t="s">
        <v>738</v>
      </c>
      <c r="F392" t="s">
        <v>739</v>
      </c>
      <c r="G392" t="s">
        <v>516</v>
      </c>
      <c r="H392" t="s">
        <v>121</v>
      </c>
      <c r="I392" t="s">
        <v>268</v>
      </c>
      <c r="J392">
        <v>0.81</v>
      </c>
      <c r="K392" t="e">
        <f>IF(COUNTIF(#REF!,Tabela2[[#This Row],[IdxWspolny]])&gt;0,"ELEM_lub_PRD","TECHN")</f>
        <v>#REF!</v>
      </c>
      <c r="L392" t="e">
        <f>IF(COUNTIF(#REF!,Tabela2[[#This Row],[KOD_PRODUKTU]])&gt;0,"ELEMENT","PRODUKT")</f>
        <v>#REF!</v>
      </c>
      <c r="M392" t="e">
        <f>COUNTIF(#REF!,Tabela2[[#This Row],[KOD_PRODUKTU]])</f>
        <v>#REF!</v>
      </c>
    </row>
    <row r="393" spans="1:14" x14ac:dyDescent="0.25">
      <c r="A393" s="1" t="s">
        <v>734</v>
      </c>
      <c r="B393" t="s">
        <v>735</v>
      </c>
      <c r="C393" s="1" t="s">
        <v>740</v>
      </c>
      <c r="D393" s="1" t="s">
        <v>740</v>
      </c>
      <c r="E393" s="1" t="s">
        <v>740</v>
      </c>
      <c r="F393" t="s">
        <v>741</v>
      </c>
      <c r="G393" t="s">
        <v>742</v>
      </c>
      <c r="H393" t="s">
        <v>743</v>
      </c>
      <c r="I393" t="s">
        <v>40</v>
      </c>
      <c r="J393">
        <v>1.69</v>
      </c>
      <c r="K393" t="e">
        <f>IF(COUNTIF(#REF!,Tabela2[[#This Row],[IdxWspolny]])&gt;0,"ELEM_lub_PRD","TECHN")</f>
        <v>#REF!</v>
      </c>
      <c r="L393" t="e">
        <f>IF(COUNTIF(#REF!,Tabela2[[#This Row],[KOD_PRODUKTU]])&gt;0,"ELEMENT","PRODUKT")</f>
        <v>#REF!</v>
      </c>
      <c r="M393" t="e">
        <f>COUNTIF(#REF!,Tabela2[[#This Row],[KOD_PRODUKTU]])</f>
        <v>#REF!</v>
      </c>
    </row>
    <row r="394" spans="1:14" x14ac:dyDescent="0.25">
      <c r="A394" s="1" t="s">
        <v>734</v>
      </c>
      <c r="B394" t="s">
        <v>735</v>
      </c>
      <c r="C394" s="1" t="s">
        <v>704</v>
      </c>
      <c r="D394" s="1" t="s">
        <v>704</v>
      </c>
      <c r="E394" s="1" t="s">
        <v>704</v>
      </c>
      <c r="F394" t="s">
        <v>705</v>
      </c>
      <c r="G394" t="s">
        <v>744</v>
      </c>
      <c r="H394" t="s">
        <v>121</v>
      </c>
      <c r="I394" t="s">
        <v>50</v>
      </c>
      <c r="J394">
        <v>0.4</v>
      </c>
      <c r="K394" t="e">
        <f>IF(COUNTIF(#REF!,Tabela2[[#This Row],[IdxWspolny]])&gt;0,"ELEM_lub_PRD","TECHN")</f>
        <v>#REF!</v>
      </c>
      <c r="L394" t="e">
        <f>IF(COUNTIF(#REF!,Tabela2[[#This Row],[KOD_PRODUKTU]])&gt;0,"ELEMENT","PRODUKT")</f>
        <v>#REF!</v>
      </c>
      <c r="M394" t="e">
        <f>COUNTIF(#REF!,Tabela2[[#This Row],[KOD_PRODUKTU]])</f>
        <v>#REF!</v>
      </c>
    </row>
    <row r="395" spans="1:14" hidden="1" x14ac:dyDescent="0.25">
      <c r="A395" s="1" t="s">
        <v>734</v>
      </c>
      <c r="B395" t="s">
        <v>735</v>
      </c>
      <c r="C395" s="1" t="s">
        <v>745</v>
      </c>
      <c r="D395" s="1" t="s">
        <v>745</v>
      </c>
      <c r="E395" s="1" t="s">
        <v>745</v>
      </c>
      <c r="F395" t="s">
        <v>746</v>
      </c>
      <c r="G395" t="s">
        <v>747</v>
      </c>
      <c r="H395" t="s">
        <v>49</v>
      </c>
      <c r="I395" t="s">
        <v>50</v>
      </c>
      <c r="J395">
        <v>35.549999999999997</v>
      </c>
      <c r="K395" t="e">
        <f>IF(COUNTIF(#REF!,Tabela2[[#This Row],[IdxWspolny]])&gt;0,"ELEM_lub_PRD","TECHN")</f>
        <v>#REF!</v>
      </c>
      <c r="L395" t="e">
        <f>IF(COUNTIF(#REF!,Tabela2[[#This Row],[KOD_PRODUKTU]])&gt;0,"ELEMENT","PRODUKT")</f>
        <v>#REF!</v>
      </c>
      <c r="M395" t="e">
        <f>COUNTIF(#REF!,Tabela2[[#This Row],[KOD_PRODUKTU]])</f>
        <v>#REF!</v>
      </c>
      <c r="N395" t="s">
        <v>55</v>
      </c>
    </row>
    <row r="396" spans="1:14" hidden="1" x14ac:dyDescent="0.25">
      <c r="A396" s="1" t="s">
        <v>734</v>
      </c>
      <c r="B396" t="s">
        <v>735</v>
      </c>
      <c r="C396" s="1" t="s">
        <v>748</v>
      </c>
      <c r="D396" s="1" t="s">
        <v>748</v>
      </c>
      <c r="E396" s="1" t="s">
        <v>748</v>
      </c>
      <c r="F396" t="s">
        <v>749</v>
      </c>
      <c r="G396" t="s">
        <v>750</v>
      </c>
      <c r="H396" t="s">
        <v>49</v>
      </c>
      <c r="I396" t="s">
        <v>50</v>
      </c>
      <c r="J396">
        <v>5.3</v>
      </c>
      <c r="K396" t="e">
        <f>IF(COUNTIF(#REF!,Tabela2[[#This Row],[IdxWspolny]])&gt;0,"ELEM_lub_PRD","TECHN")</f>
        <v>#REF!</v>
      </c>
      <c r="L396" t="e">
        <f>IF(COUNTIF(#REF!,Tabela2[[#This Row],[KOD_PRODUKTU]])&gt;0,"ELEMENT","PRODUKT")</f>
        <v>#REF!</v>
      </c>
      <c r="M396" t="e">
        <f>COUNTIF(#REF!,Tabela2[[#This Row],[KOD_PRODUKTU]])</f>
        <v>#REF!</v>
      </c>
      <c r="N396" t="s">
        <v>55</v>
      </c>
    </row>
    <row r="397" spans="1:14" hidden="1" x14ac:dyDescent="0.25">
      <c r="A397" s="1" t="s">
        <v>734</v>
      </c>
      <c r="B397" t="s">
        <v>735</v>
      </c>
      <c r="C397" s="1" t="s">
        <v>751</v>
      </c>
      <c r="D397" s="1" t="s">
        <v>751</v>
      </c>
      <c r="E397" s="1" t="s">
        <v>751</v>
      </c>
      <c r="F397" t="s">
        <v>752</v>
      </c>
      <c r="G397" t="s">
        <v>750</v>
      </c>
      <c r="H397" t="s">
        <v>49</v>
      </c>
      <c r="I397" t="s">
        <v>50</v>
      </c>
      <c r="J397">
        <v>5.3</v>
      </c>
      <c r="K397" t="e">
        <f>IF(COUNTIF(#REF!,Tabela2[[#This Row],[IdxWspolny]])&gt;0,"ELEM_lub_PRD","TECHN")</f>
        <v>#REF!</v>
      </c>
      <c r="L397" t="e">
        <f>IF(COUNTIF(#REF!,Tabela2[[#This Row],[KOD_PRODUKTU]])&gt;0,"ELEMENT","PRODUKT")</f>
        <v>#REF!</v>
      </c>
      <c r="M397" t="e">
        <f>COUNTIF(#REF!,Tabela2[[#This Row],[KOD_PRODUKTU]])</f>
        <v>#REF!</v>
      </c>
      <c r="N397" t="s">
        <v>55</v>
      </c>
    </row>
    <row r="398" spans="1:14" hidden="1" x14ac:dyDescent="0.25">
      <c r="A398" s="1" t="s">
        <v>734</v>
      </c>
      <c r="B398" t="s">
        <v>735</v>
      </c>
      <c r="C398" s="1" t="s">
        <v>753</v>
      </c>
      <c r="D398" s="1" t="s">
        <v>753</v>
      </c>
      <c r="E398" s="1" t="s">
        <v>753</v>
      </c>
      <c r="F398" t="s">
        <v>754</v>
      </c>
      <c r="G398" t="s">
        <v>755</v>
      </c>
      <c r="H398" t="s">
        <v>49</v>
      </c>
      <c r="I398" t="s">
        <v>50</v>
      </c>
      <c r="J398">
        <v>3.75</v>
      </c>
      <c r="K398" t="e">
        <f>IF(COUNTIF(#REF!,Tabela2[[#This Row],[IdxWspolny]])&gt;0,"ELEM_lub_PRD","TECHN")</f>
        <v>#REF!</v>
      </c>
      <c r="L398" t="e">
        <f>IF(COUNTIF(#REF!,Tabela2[[#This Row],[KOD_PRODUKTU]])&gt;0,"ELEMENT","PRODUKT")</f>
        <v>#REF!</v>
      </c>
      <c r="M398" t="e">
        <f>COUNTIF(#REF!,Tabela2[[#This Row],[KOD_PRODUKTU]])</f>
        <v>#REF!</v>
      </c>
      <c r="N398" t="s">
        <v>55</v>
      </c>
    </row>
    <row r="399" spans="1:14" hidden="1" x14ac:dyDescent="0.25">
      <c r="A399" s="1" t="s">
        <v>734</v>
      </c>
      <c r="B399" t="s">
        <v>735</v>
      </c>
      <c r="C399" s="1" t="s">
        <v>756</v>
      </c>
      <c r="D399" s="1" t="s">
        <v>756</v>
      </c>
      <c r="E399" s="1" t="s">
        <v>756</v>
      </c>
      <c r="F399" t="s">
        <v>757</v>
      </c>
      <c r="G399" t="s">
        <v>758</v>
      </c>
      <c r="H399" t="s">
        <v>49</v>
      </c>
      <c r="I399" t="s">
        <v>50</v>
      </c>
      <c r="J399">
        <v>20.75</v>
      </c>
      <c r="K399" t="e">
        <f>IF(COUNTIF(#REF!,Tabela2[[#This Row],[IdxWspolny]])&gt;0,"ELEM_lub_PRD","TECHN")</f>
        <v>#REF!</v>
      </c>
      <c r="L399" t="e">
        <f>IF(COUNTIF(#REF!,Tabela2[[#This Row],[KOD_PRODUKTU]])&gt;0,"ELEMENT","PRODUKT")</f>
        <v>#REF!</v>
      </c>
      <c r="M399" t="e">
        <f>COUNTIF(#REF!,Tabela2[[#This Row],[KOD_PRODUKTU]])</f>
        <v>#REF!</v>
      </c>
      <c r="N399" t="s">
        <v>55</v>
      </c>
    </row>
    <row r="400" spans="1:14" hidden="1" x14ac:dyDescent="0.25">
      <c r="A400" s="1" t="s">
        <v>734</v>
      </c>
      <c r="B400" t="s">
        <v>735</v>
      </c>
      <c r="C400" s="1" t="s">
        <v>759</v>
      </c>
      <c r="D400" s="1" t="s">
        <v>759</v>
      </c>
      <c r="E400" s="1" t="s">
        <v>759</v>
      </c>
      <c r="F400" t="s">
        <v>760</v>
      </c>
      <c r="G400" t="s">
        <v>761</v>
      </c>
      <c r="H400" t="s">
        <v>49</v>
      </c>
      <c r="I400" t="s">
        <v>50</v>
      </c>
      <c r="J400">
        <v>38.75</v>
      </c>
      <c r="K400" t="e">
        <f>IF(COUNTIF(#REF!,Tabela2[[#This Row],[IdxWspolny]])&gt;0,"ELEM_lub_PRD","TECHN")</f>
        <v>#REF!</v>
      </c>
      <c r="L400" t="e">
        <f>IF(COUNTIF(#REF!,Tabela2[[#This Row],[KOD_PRODUKTU]])&gt;0,"ELEMENT","PRODUKT")</f>
        <v>#REF!</v>
      </c>
      <c r="M400" t="e">
        <f>COUNTIF(#REF!,Tabela2[[#This Row],[KOD_PRODUKTU]])</f>
        <v>#REF!</v>
      </c>
      <c r="N400" t="s">
        <v>55</v>
      </c>
    </row>
    <row r="401" spans="1:14" x14ac:dyDescent="0.25">
      <c r="A401" s="1" t="s">
        <v>734</v>
      </c>
      <c r="B401" t="s">
        <v>735</v>
      </c>
      <c r="C401" s="1" t="s">
        <v>7</v>
      </c>
      <c r="D401" s="1" t="s">
        <v>7</v>
      </c>
      <c r="E401" s="1" t="s">
        <v>7</v>
      </c>
      <c r="F401" t="s">
        <v>8</v>
      </c>
      <c r="G401" t="s">
        <v>9</v>
      </c>
      <c r="H401" t="s">
        <v>10</v>
      </c>
      <c r="I401" t="s">
        <v>762</v>
      </c>
      <c r="J401">
        <v>16.3</v>
      </c>
      <c r="K401" t="e">
        <f>IF(COUNTIF(#REF!,Tabela2[[#This Row],[IdxWspolny]])&gt;0,"ELEM_lub_PRD","TECHN")</f>
        <v>#REF!</v>
      </c>
      <c r="L401" t="e">
        <f>IF(COUNTIF(#REF!,Tabela2[[#This Row],[KOD_PRODUKTU]])&gt;0,"ELEMENT","PRODUKT")</f>
        <v>#REF!</v>
      </c>
      <c r="M401" t="e">
        <f>COUNTIF(#REF!,Tabela2[[#This Row],[KOD_PRODUKTU]])</f>
        <v>#REF!</v>
      </c>
    </row>
    <row r="402" spans="1:14" x14ac:dyDescent="0.25">
      <c r="A402" s="1" t="s">
        <v>763</v>
      </c>
      <c r="B402" t="s">
        <v>764</v>
      </c>
      <c r="C402" s="1" t="s">
        <v>479</v>
      </c>
      <c r="D402" s="1" t="s">
        <v>479</v>
      </c>
      <c r="E402" s="1" t="s">
        <v>479</v>
      </c>
      <c r="F402" t="s">
        <v>480</v>
      </c>
      <c r="G402" t="s">
        <v>651</v>
      </c>
      <c r="H402" t="s">
        <v>5</v>
      </c>
      <c r="I402" t="s">
        <v>765</v>
      </c>
      <c r="J402">
        <v>0.06</v>
      </c>
      <c r="K402" t="e">
        <f>IF(COUNTIF(#REF!,Tabela2[[#This Row],[IdxWspolny]])&gt;0,"ELEM_lub_PRD","TECHN")</f>
        <v>#REF!</v>
      </c>
      <c r="L402" t="e">
        <f>IF(COUNTIF(#REF!,Tabela2[[#This Row],[KOD_PRODUKTU]])&gt;0,"ELEMENT","PRODUKT")</f>
        <v>#REF!</v>
      </c>
      <c r="M402" t="e">
        <f>COUNTIF(#REF!,Tabela2[[#This Row],[KOD_PRODUKTU]])</f>
        <v>#REF!</v>
      </c>
    </row>
    <row r="403" spans="1:14" x14ac:dyDescent="0.25">
      <c r="A403" s="1" t="s">
        <v>763</v>
      </c>
      <c r="B403" t="s">
        <v>764</v>
      </c>
      <c r="C403" s="1" t="s">
        <v>628</v>
      </c>
      <c r="D403" s="1" t="s">
        <v>628</v>
      </c>
      <c r="E403" s="1" t="s">
        <v>628</v>
      </c>
      <c r="F403" t="s">
        <v>629</v>
      </c>
      <c r="G403" t="s">
        <v>698</v>
      </c>
      <c r="H403" t="s">
        <v>5</v>
      </c>
      <c r="I403" t="s">
        <v>766</v>
      </c>
      <c r="J403">
        <v>0.04</v>
      </c>
      <c r="K403" t="e">
        <f>IF(COUNTIF(#REF!,Tabela2[[#This Row],[IdxWspolny]])&gt;0,"ELEM_lub_PRD","TECHN")</f>
        <v>#REF!</v>
      </c>
      <c r="L403" t="e">
        <f>IF(COUNTIF(#REF!,Tabela2[[#This Row],[KOD_PRODUKTU]])&gt;0,"ELEMENT","PRODUKT")</f>
        <v>#REF!</v>
      </c>
      <c r="M403" t="e">
        <f>COUNTIF(#REF!,Tabela2[[#This Row],[KOD_PRODUKTU]])</f>
        <v>#REF!</v>
      </c>
    </row>
    <row r="404" spans="1:14" x14ac:dyDescent="0.25">
      <c r="A404" s="1" t="s">
        <v>763</v>
      </c>
      <c r="B404" t="s">
        <v>764</v>
      </c>
      <c r="C404" s="1" t="s">
        <v>738</v>
      </c>
      <c r="D404" s="1" t="s">
        <v>738</v>
      </c>
      <c r="E404" s="1" t="s">
        <v>738</v>
      </c>
      <c r="F404" t="s">
        <v>767</v>
      </c>
      <c r="G404" t="s">
        <v>516</v>
      </c>
      <c r="H404" t="s">
        <v>121</v>
      </c>
      <c r="I404" t="s">
        <v>268</v>
      </c>
      <c r="J404">
        <v>0.81</v>
      </c>
      <c r="K404" t="e">
        <f>IF(COUNTIF(#REF!,Tabela2[[#This Row],[IdxWspolny]])&gt;0,"ELEM_lub_PRD","TECHN")</f>
        <v>#REF!</v>
      </c>
      <c r="L404" t="e">
        <f>IF(COUNTIF(#REF!,Tabela2[[#This Row],[KOD_PRODUKTU]])&gt;0,"ELEMENT","PRODUKT")</f>
        <v>#REF!</v>
      </c>
      <c r="M404" t="e">
        <f>COUNTIF(#REF!,Tabela2[[#This Row],[KOD_PRODUKTU]])</f>
        <v>#REF!</v>
      </c>
    </row>
    <row r="405" spans="1:14" x14ac:dyDescent="0.25">
      <c r="A405" s="1" t="s">
        <v>763</v>
      </c>
      <c r="B405" t="s">
        <v>764</v>
      </c>
      <c r="C405" s="1" t="s">
        <v>704</v>
      </c>
      <c r="D405" s="1" t="s">
        <v>704</v>
      </c>
      <c r="E405" s="1" t="s">
        <v>704</v>
      </c>
      <c r="F405" t="s">
        <v>705</v>
      </c>
      <c r="G405" t="s">
        <v>744</v>
      </c>
      <c r="H405" t="s">
        <v>121</v>
      </c>
      <c r="I405" t="s">
        <v>92</v>
      </c>
      <c r="J405">
        <v>0.8</v>
      </c>
      <c r="K405" t="e">
        <f>IF(COUNTIF(#REF!,Tabela2[[#This Row],[IdxWspolny]])&gt;0,"ELEM_lub_PRD","TECHN")</f>
        <v>#REF!</v>
      </c>
      <c r="L405" t="e">
        <f>IF(COUNTIF(#REF!,Tabela2[[#This Row],[KOD_PRODUKTU]])&gt;0,"ELEMENT","PRODUKT")</f>
        <v>#REF!</v>
      </c>
      <c r="M405" t="e">
        <f>COUNTIF(#REF!,Tabela2[[#This Row],[KOD_PRODUKTU]])</f>
        <v>#REF!</v>
      </c>
    </row>
    <row r="406" spans="1:14" x14ac:dyDescent="0.25">
      <c r="A406" s="1" t="s">
        <v>763</v>
      </c>
      <c r="B406" t="s">
        <v>764</v>
      </c>
      <c r="C406" s="1" t="s">
        <v>41</v>
      </c>
      <c r="D406" s="1" t="s">
        <v>41</v>
      </c>
      <c r="E406" s="1" t="s">
        <v>41</v>
      </c>
      <c r="F406" t="s">
        <v>42</v>
      </c>
      <c r="G406" t="s">
        <v>43</v>
      </c>
      <c r="H406" t="s">
        <v>5</v>
      </c>
      <c r="I406" t="s">
        <v>559</v>
      </c>
      <c r="J406">
        <v>0.04</v>
      </c>
      <c r="K406" t="e">
        <f>IF(COUNTIF(#REF!,Tabela2[[#This Row],[IdxWspolny]])&gt;0,"ELEM_lub_PRD","TECHN")</f>
        <v>#REF!</v>
      </c>
      <c r="L406" t="e">
        <f>IF(COUNTIF(#REF!,Tabela2[[#This Row],[KOD_PRODUKTU]])&gt;0,"ELEMENT","PRODUKT")</f>
        <v>#REF!</v>
      </c>
      <c r="M406" t="e">
        <f>COUNTIF(#REF!,Tabela2[[#This Row],[KOD_PRODUKTU]])</f>
        <v>#REF!</v>
      </c>
    </row>
    <row r="407" spans="1:14" hidden="1" x14ac:dyDescent="0.25">
      <c r="A407" s="1" t="s">
        <v>763</v>
      </c>
      <c r="B407" t="s">
        <v>764</v>
      </c>
      <c r="C407" s="1" t="s">
        <v>768</v>
      </c>
      <c r="D407" s="1" t="s">
        <v>768</v>
      </c>
      <c r="E407" s="1" t="s">
        <v>768</v>
      </c>
      <c r="F407" t="s">
        <v>769</v>
      </c>
      <c r="G407" t="s">
        <v>770</v>
      </c>
      <c r="H407" t="s">
        <v>49</v>
      </c>
      <c r="I407" t="s">
        <v>50</v>
      </c>
      <c r="J407">
        <v>27.95</v>
      </c>
      <c r="K407" t="e">
        <f>IF(COUNTIF(#REF!,Tabela2[[#This Row],[IdxWspolny]])&gt;0,"ELEM_lub_PRD","TECHN")</f>
        <v>#REF!</v>
      </c>
      <c r="L407" t="e">
        <f>IF(COUNTIF(#REF!,Tabela2[[#This Row],[KOD_PRODUKTU]])&gt;0,"ELEMENT","PRODUKT")</f>
        <v>#REF!</v>
      </c>
      <c r="M407" t="e">
        <f>COUNTIF(#REF!,Tabela2[[#This Row],[KOD_PRODUKTU]])</f>
        <v>#REF!</v>
      </c>
      <c r="N407" t="s">
        <v>55</v>
      </c>
    </row>
    <row r="408" spans="1:14" hidden="1" x14ac:dyDescent="0.25">
      <c r="A408" s="1" t="s">
        <v>763</v>
      </c>
      <c r="B408" t="s">
        <v>764</v>
      </c>
      <c r="C408" s="1" t="s">
        <v>771</v>
      </c>
      <c r="D408" s="1" t="s">
        <v>771</v>
      </c>
      <c r="E408" s="1" t="s">
        <v>771</v>
      </c>
      <c r="F408" t="s">
        <v>772</v>
      </c>
      <c r="G408" t="s">
        <v>773</v>
      </c>
      <c r="H408" t="s">
        <v>49</v>
      </c>
      <c r="I408" t="s">
        <v>50</v>
      </c>
      <c r="J408">
        <v>50.55</v>
      </c>
      <c r="K408" t="e">
        <f>IF(COUNTIF(#REF!,Tabela2[[#This Row],[IdxWspolny]])&gt;0,"ELEM_lub_PRD","TECHN")</f>
        <v>#REF!</v>
      </c>
      <c r="L408" t="e">
        <f>IF(COUNTIF(#REF!,Tabela2[[#This Row],[KOD_PRODUKTU]])&gt;0,"ELEMENT","PRODUKT")</f>
        <v>#REF!</v>
      </c>
      <c r="M408" t="e">
        <f>COUNTIF(#REF!,Tabela2[[#This Row],[KOD_PRODUKTU]])</f>
        <v>#REF!</v>
      </c>
      <c r="N408" t="s">
        <v>55</v>
      </c>
    </row>
    <row r="409" spans="1:14" hidden="1" x14ac:dyDescent="0.25">
      <c r="A409" s="1" t="s">
        <v>763</v>
      </c>
      <c r="B409" t="s">
        <v>764</v>
      </c>
      <c r="C409" s="1" t="s">
        <v>774</v>
      </c>
      <c r="D409" s="1" t="s">
        <v>774</v>
      </c>
      <c r="E409" s="1" t="s">
        <v>774</v>
      </c>
      <c r="F409" t="s">
        <v>775</v>
      </c>
      <c r="G409" t="s">
        <v>776</v>
      </c>
      <c r="H409" t="s">
        <v>49</v>
      </c>
      <c r="I409" t="s">
        <v>50</v>
      </c>
      <c r="J409">
        <v>52.55</v>
      </c>
      <c r="K409" t="e">
        <f>IF(COUNTIF(#REF!,Tabela2[[#This Row],[IdxWspolny]])&gt;0,"ELEM_lub_PRD","TECHN")</f>
        <v>#REF!</v>
      </c>
      <c r="L409" t="e">
        <f>IF(COUNTIF(#REF!,Tabela2[[#This Row],[KOD_PRODUKTU]])&gt;0,"ELEMENT","PRODUKT")</f>
        <v>#REF!</v>
      </c>
      <c r="M409" t="e">
        <f>COUNTIF(#REF!,Tabela2[[#This Row],[KOD_PRODUKTU]])</f>
        <v>#REF!</v>
      </c>
      <c r="N409" t="s">
        <v>55</v>
      </c>
    </row>
    <row r="410" spans="1:14" hidden="1" x14ac:dyDescent="0.25">
      <c r="A410" s="1" t="s">
        <v>763</v>
      </c>
      <c r="B410" t="s">
        <v>764</v>
      </c>
      <c r="C410" s="1" t="s">
        <v>777</v>
      </c>
      <c r="D410" s="1" t="s">
        <v>777</v>
      </c>
      <c r="E410" s="1" t="s">
        <v>777</v>
      </c>
      <c r="F410" t="s">
        <v>778</v>
      </c>
      <c r="G410" t="s">
        <v>779</v>
      </c>
      <c r="H410" t="s">
        <v>49</v>
      </c>
      <c r="I410" t="s">
        <v>50</v>
      </c>
      <c r="J410">
        <v>5.99</v>
      </c>
      <c r="K410" t="e">
        <f>IF(COUNTIF(#REF!,Tabela2[[#This Row],[IdxWspolny]])&gt;0,"ELEM_lub_PRD","TECHN")</f>
        <v>#REF!</v>
      </c>
      <c r="L410" t="e">
        <f>IF(COUNTIF(#REF!,Tabela2[[#This Row],[KOD_PRODUKTU]])&gt;0,"ELEMENT","PRODUKT")</f>
        <v>#REF!</v>
      </c>
      <c r="M410" t="e">
        <f>COUNTIF(#REF!,Tabela2[[#This Row],[KOD_PRODUKTU]])</f>
        <v>#REF!</v>
      </c>
      <c r="N410" t="s">
        <v>55</v>
      </c>
    </row>
    <row r="411" spans="1:14" hidden="1" x14ac:dyDescent="0.25">
      <c r="A411" s="1" t="s">
        <v>763</v>
      </c>
      <c r="B411" t="s">
        <v>764</v>
      </c>
      <c r="C411" s="1" t="s">
        <v>780</v>
      </c>
      <c r="D411" s="1" t="s">
        <v>780</v>
      </c>
      <c r="E411" s="1" t="s">
        <v>780</v>
      </c>
      <c r="F411" t="s">
        <v>781</v>
      </c>
      <c r="G411" t="s">
        <v>782</v>
      </c>
      <c r="H411" t="s">
        <v>49</v>
      </c>
      <c r="I411" t="s">
        <v>50</v>
      </c>
      <c r="J411">
        <v>6.74</v>
      </c>
      <c r="K411" t="e">
        <f>IF(COUNTIF(#REF!,Tabela2[[#This Row],[IdxWspolny]])&gt;0,"ELEM_lub_PRD","TECHN")</f>
        <v>#REF!</v>
      </c>
      <c r="L411" t="e">
        <f>IF(COUNTIF(#REF!,Tabela2[[#This Row],[KOD_PRODUKTU]])&gt;0,"ELEMENT","PRODUKT")</f>
        <v>#REF!</v>
      </c>
      <c r="M411" t="e">
        <f>COUNTIF(#REF!,Tabela2[[#This Row],[KOD_PRODUKTU]])</f>
        <v>#REF!</v>
      </c>
      <c r="N411" t="s">
        <v>55</v>
      </c>
    </row>
    <row r="412" spans="1:14" hidden="1" x14ac:dyDescent="0.25">
      <c r="A412" s="1" t="s">
        <v>763</v>
      </c>
      <c r="B412" t="s">
        <v>764</v>
      </c>
      <c r="C412" s="1" t="s">
        <v>783</v>
      </c>
      <c r="D412" s="1" t="s">
        <v>783</v>
      </c>
      <c r="E412" s="1" t="s">
        <v>783</v>
      </c>
      <c r="F412" t="s">
        <v>784</v>
      </c>
      <c r="G412" t="s">
        <v>785</v>
      </c>
      <c r="H412" t="s">
        <v>49</v>
      </c>
      <c r="I412" t="s">
        <v>50</v>
      </c>
      <c r="J412">
        <v>14.15</v>
      </c>
      <c r="K412" t="e">
        <f>IF(COUNTIF(#REF!,Tabela2[[#This Row],[IdxWspolny]])&gt;0,"ELEM_lub_PRD","TECHN")</f>
        <v>#REF!</v>
      </c>
      <c r="L412" t="e">
        <f>IF(COUNTIF(#REF!,Tabela2[[#This Row],[KOD_PRODUKTU]])&gt;0,"ELEMENT","PRODUKT")</f>
        <v>#REF!</v>
      </c>
      <c r="M412" t="e">
        <f>COUNTIF(#REF!,Tabela2[[#This Row],[KOD_PRODUKTU]])</f>
        <v>#REF!</v>
      </c>
      <c r="N412" t="s">
        <v>55</v>
      </c>
    </row>
    <row r="413" spans="1:14" x14ac:dyDescent="0.25">
      <c r="A413" s="1" t="s">
        <v>763</v>
      </c>
      <c r="B413" t="s">
        <v>764</v>
      </c>
      <c r="C413" s="1" t="s">
        <v>7</v>
      </c>
      <c r="D413" s="1" t="s">
        <v>7</v>
      </c>
      <c r="E413" s="1" t="s">
        <v>7</v>
      </c>
      <c r="F413" t="s">
        <v>8</v>
      </c>
      <c r="G413" t="s">
        <v>9</v>
      </c>
      <c r="H413" t="s">
        <v>10</v>
      </c>
      <c r="I413" t="s">
        <v>786</v>
      </c>
      <c r="J413">
        <v>17.5</v>
      </c>
      <c r="K413" t="e">
        <f>IF(COUNTIF(#REF!,Tabela2[[#This Row],[IdxWspolny]])&gt;0,"ELEM_lub_PRD","TECHN")</f>
        <v>#REF!</v>
      </c>
      <c r="L413" t="e">
        <f>IF(COUNTIF(#REF!,Tabela2[[#This Row],[KOD_PRODUKTU]])&gt;0,"ELEMENT","PRODUKT")</f>
        <v>#REF!</v>
      </c>
      <c r="M413" t="e">
        <f>COUNTIF(#REF!,Tabela2[[#This Row],[KOD_PRODUKTU]])</f>
        <v>#REF!</v>
      </c>
    </row>
    <row r="414" spans="1:14" x14ac:dyDescent="0.25">
      <c r="A414" s="1" t="s">
        <v>787</v>
      </c>
      <c r="B414" t="s">
        <v>788</v>
      </c>
      <c r="C414" s="1" t="s">
        <v>649</v>
      </c>
      <c r="D414" s="1" t="s">
        <v>649</v>
      </c>
      <c r="E414" s="1" t="s">
        <v>649</v>
      </c>
      <c r="F414" t="s">
        <v>650</v>
      </c>
      <c r="G414" t="s">
        <v>651</v>
      </c>
      <c r="H414" t="s">
        <v>39</v>
      </c>
      <c r="I414" t="s">
        <v>652</v>
      </c>
      <c r="J414">
        <v>0.25</v>
      </c>
      <c r="K414" t="e">
        <f>IF(COUNTIF(#REF!,Tabela2[[#This Row],[IdxWspolny]])&gt;0,"ELEM_lub_PRD","TECHN")</f>
        <v>#REF!</v>
      </c>
      <c r="L414" t="e">
        <f>IF(COUNTIF(#REF!,Tabela2[[#This Row],[KOD_PRODUKTU]])&gt;0,"ELEMENT","PRODUKT")</f>
        <v>#REF!</v>
      </c>
      <c r="M414" t="e">
        <f>COUNTIF(#REF!,Tabela2[[#This Row],[KOD_PRODUKTU]])</f>
        <v>#REF!</v>
      </c>
    </row>
    <row r="415" spans="1:14" x14ac:dyDescent="0.25">
      <c r="A415" s="1" t="s">
        <v>787</v>
      </c>
      <c r="B415" t="s">
        <v>788</v>
      </c>
      <c r="C415" s="1" t="s">
        <v>653</v>
      </c>
      <c r="D415" s="1" t="s">
        <v>653</v>
      </c>
      <c r="E415" s="1" t="s">
        <v>653</v>
      </c>
      <c r="F415" t="s">
        <v>654</v>
      </c>
      <c r="G415" t="s">
        <v>655</v>
      </c>
      <c r="H415" t="s">
        <v>49</v>
      </c>
      <c r="I415" t="s">
        <v>319</v>
      </c>
      <c r="J415">
        <v>0.84</v>
      </c>
      <c r="K415" t="e">
        <f>IF(COUNTIF(#REF!,Tabela2[[#This Row],[IdxWspolny]])&gt;0,"ELEM_lub_PRD","TECHN")</f>
        <v>#REF!</v>
      </c>
      <c r="L415" t="e">
        <f>IF(COUNTIF(#REF!,Tabela2[[#This Row],[KOD_PRODUKTU]])&gt;0,"ELEMENT","PRODUKT")</f>
        <v>#REF!</v>
      </c>
      <c r="M415" t="e">
        <f>COUNTIF(#REF!,Tabela2[[#This Row],[KOD_PRODUKTU]])</f>
        <v>#REF!</v>
      </c>
    </row>
    <row r="416" spans="1:14" x14ac:dyDescent="0.25">
      <c r="A416" s="1" t="s">
        <v>787</v>
      </c>
      <c r="B416" t="s">
        <v>788</v>
      </c>
      <c r="C416" s="1" t="s">
        <v>656</v>
      </c>
      <c r="D416" s="1" t="s">
        <v>656</v>
      </c>
      <c r="E416" s="1" t="s">
        <v>656</v>
      </c>
      <c r="F416" t="s">
        <v>657</v>
      </c>
      <c r="G416" t="s">
        <v>658</v>
      </c>
      <c r="H416" t="s">
        <v>39</v>
      </c>
      <c r="I416" t="s">
        <v>25</v>
      </c>
      <c r="J416">
        <v>0.34</v>
      </c>
      <c r="K416" t="e">
        <f>IF(COUNTIF(#REF!,Tabela2[[#This Row],[IdxWspolny]])&gt;0,"ELEM_lub_PRD","TECHN")</f>
        <v>#REF!</v>
      </c>
      <c r="L416" t="e">
        <f>IF(COUNTIF(#REF!,Tabela2[[#This Row],[KOD_PRODUKTU]])&gt;0,"ELEMENT","PRODUKT")</f>
        <v>#REF!</v>
      </c>
      <c r="M416" t="e">
        <f>COUNTIF(#REF!,Tabela2[[#This Row],[KOD_PRODUKTU]])</f>
        <v>#REF!</v>
      </c>
    </row>
    <row r="417" spans="1:14" x14ac:dyDescent="0.25">
      <c r="A417" s="1" t="s">
        <v>787</v>
      </c>
      <c r="B417" t="s">
        <v>788</v>
      </c>
      <c r="C417" s="1" t="s">
        <v>659</v>
      </c>
      <c r="D417" s="1" t="s">
        <v>659</v>
      </c>
      <c r="E417" s="1" t="s">
        <v>659</v>
      </c>
      <c r="F417" t="s">
        <v>660</v>
      </c>
      <c r="G417" t="s">
        <v>661</v>
      </c>
      <c r="H417" t="s">
        <v>39</v>
      </c>
      <c r="I417" t="s">
        <v>605</v>
      </c>
      <c r="J417">
        <v>2</v>
      </c>
      <c r="K417" t="e">
        <f>IF(COUNTIF(#REF!,Tabela2[[#This Row],[IdxWspolny]])&gt;0,"ELEM_lub_PRD","TECHN")</f>
        <v>#REF!</v>
      </c>
      <c r="L417" t="e">
        <f>IF(COUNTIF(#REF!,Tabela2[[#This Row],[KOD_PRODUKTU]])&gt;0,"ELEMENT","PRODUKT")</f>
        <v>#REF!</v>
      </c>
      <c r="M417" t="e">
        <f>COUNTIF(#REF!,Tabela2[[#This Row],[KOD_PRODUKTU]])</f>
        <v>#REF!</v>
      </c>
    </row>
    <row r="418" spans="1:14" x14ac:dyDescent="0.25">
      <c r="A418" s="1" t="s">
        <v>787</v>
      </c>
      <c r="B418" t="s">
        <v>788</v>
      </c>
      <c r="C418" s="1" t="s">
        <v>662</v>
      </c>
      <c r="D418" s="1" t="s">
        <v>662</v>
      </c>
      <c r="E418" s="1" t="s">
        <v>662</v>
      </c>
      <c r="F418" t="s">
        <v>789</v>
      </c>
      <c r="G418" t="s">
        <v>513</v>
      </c>
      <c r="H418" t="s">
        <v>39</v>
      </c>
      <c r="I418" t="s">
        <v>40</v>
      </c>
      <c r="J418">
        <v>0.06</v>
      </c>
      <c r="K418" t="e">
        <f>IF(COUNTIF(#REF!,Tabela2[[#This Row],[IdxWspolny]])&gt;0,"ELEM_lub_PRD","TECHN")</f>
        <v>#REF!</v>
      </c>
      <c r="L418" t="e">
        <f>IF(COUNTIF(#REF!,Tabela2[[#This Row],[KOD_PRODUKTU]])&gt;0,"ELEMENT","PRODUKT")</f>
        <v>#REF!</v>
      </c>
      <c r="M418" t="e">
        <f>COUNTIF(#REF!,Tabela2[[#This Row],[KOD_PRODUKTU]])</f>
        <v>#REF!</v>
      </c>
    </row>
    <row r="419" spans="1:14" x14ac:dyDescent="0.25">
      <c r="A419" s="1" t="s">
        <v>787</v>
      </c>
      <c r="B419" t="s">
        <v>788</v>
      </c>
      <c r="C419" s="1" t="s">
        <v>664</v>
      </c>
      <c r="D419" s="1" t="s">
        <v>664</v>
      </c>
      <c r="E419" s="1" t="s">
        <v>664</v>
      </c>
      <c r="F419" t="s">
        <v>665</v>
      </c>
      <c r="G419" t="s">
        <v>666</v>
      </c>
      <c r="H419" t="s">
        <v>39</v>
      </c>
      <c r="I419" t="s">
        <v>652</v>
      </c>
      <c r="J419">
        <v>0.53</v>
      </c>
      <c r="K419" t="e">
        <f>IF(COUNTIF(#REF!,Tabela2[[#This Row],[IdxWspolny]])&gt;0,"ELEM_lub_PRD","TECHN")</f>
        <v>#REF!</v>
      </c>
      <c r="L419" t="e">
        <f>IF(COUNTIF(#REF!,Tabela2[[#This Row],[KOD_PRODUKTU]])&gt;0,"ELEMENT","PRODUKT")</f>
        <v>#REF!</v>
      </c>
      <c r="M419" t="e">
        <f>COUNTIF(#REF!,Tabela2[[#This Row],[KOD_PRODUKTU]])</f>
        <v>#REF!</v>
      </c>
    </row>
    <row r="420" spans="1:14" x14ac:dyDescent="0.25">
      <c r="A420" s="1" t="s">
        <v>787</v>
      </c>
      <c r="B420" t="s">
        <v>788</v>
      </c>
      <c r="C420" s="1" t="s">
        <v>41</v>
      </c>
      <c r="D420" s="1" t="s">
        <v>41</v>
      </c>
      <c r="E420" s="1" t="s">
        <v>41</v>
      </c>
      <c r="F420" t="s">
        <v>42</v>
      </c>
      <c r="G420" t="s">
        <v>43</v>
      </c>
      <c r="H420" t="s">
        <v>5</v>
      </c>
      <c r="I420" t="s">
        <v>790</v>
      </c>
      <c r="J420">
        <v>0.05</v>
      </c>
      <c r="K420" t="e">
        <f>IF(COUNTIF(#REF!,Tabela2[[#This Row],[IdxWspolny]])&gt;0,"ELEM_lub_PRD","TECHN")</f>
        <v>#REF!</v>
      </c>
      <c r="L420" t="e">
        <f>IF(COUNTIF(#REF!,Tabela2[[#This Row],[KOD_PRODUKTU]])&gt;0,"ELEMENT","PRODUKT")</f>
        <v>#REF!</v>
      </c>
      <c r="M420" t="e">
        <f>COUNTIF(#REF!,Tabela2[[#This Row],[KOD_PRODUKTU]])</f>
        <v>#REF!</v>
      </c>
    </row>
    <row r="421" spans="1:14" x14ac:dyDescent="0.25">
      <c r="A421" s="1" t="s">
        <v>787</v>
      </c>
      <c r="B421" t="s">
        <v>788</v>
      </c>
      <c r="C421" s="1" t="s">
        <v>791</v>
      </c>
      <c r="D421" s="1" t="s">
        <v>791</v>
      </c>
      <c r="E421" s="1" t="s">
        <v>791</v>
      </c>
      <c r="F421" t="s">
        <v>792</v>
      </c>
      <c r="G421" t="s">
        <v>793</v>
      </c>
      <c r="H421" t="s">
        <v>121</v>
      </c>
      <c r="I421" t="s">
        <v>50</v>
      </c>
      <c r="J421">
        <v>30.95</v>
      </c>
      <c r="K421" t="e">
        <f>IF(COUNTIF(#REF!,Tabela2[[#This Row],[IdxWspolny]])&gt;0,"ELEM_lub_PRD","TECHN")</f>
        <v>#REF!</v>
      </c>
      <c r="L421" t="e">
        <f>IF(COUNTIF(#REF!,Tabela2[[#This Row],[KOD_PRODUKTU]])&gt;0,"ELEMENT","PRODUKT")</f>
        <v>#REF!</v>
      </c>
      <c r="M421" t="e">
        <f>COUNTIF(#REF!,Tabela2[[#This Row],[KOD_PRODUKTU]])</f>
        <v>#REF!</v>
      </c>
    </row>
    <row r="422" spans="1:14" x14ac:dyDescent="0.25">
      <c r="A422" s="1" t="s">
        <v>787</v>
      </c>
      <c r="B422" t="s">
        <v>788</v>
      </c>
      <c r="C422" s="1" t="s">
        <v>794</v>
      </c>
      <c r="D422" s="1" t="s">
        <v>794</v>
      </c>
      <c r="E422" s="1" t="s">
        <v>794</v>
      </c>
      <c r="F422" t="s">
        <v>795</v>
      </c>
      <c r="G422" t="s">
        <v>796</v>
      </c>
      <c r="H422" t="s">
        <v>121</v>
      </c>
      <c r="I422" t="s">
        <v>50</v>
      </c>
      <c r="J422">
        <v>25.1</v>
      </c>
      <c r="K422" t="e">
        <f>IF(COUNTIF(#REF!,Tabela2[[#This Row],[IdxWspolny]])&gt;0,"ELEM_lub_PRD","TECHN")</f>
        <v>#REF!</v>
      </c>
      <c r="L422" t="e">
        <f>IF(COUNTIF(#REF!,Tabela2[[#This Row],[KOD_PRODUKTU]])&gt;0,"ELEMENT","PRODUKT")</f>
        <v>#REF!</v>
      </c>
      <c r="M422" t="e">
        <f>COUNTIF(#REF!,Tabela2[[#This Row],[KOD_PRODUKTU]])</f>
        <v>#REF!</v>
      </c>
    </row>
    <row r="423" spans="1:14" x14ac:dyDescent="0.25">
      <c r="A423" s="1" t="s">
        <v>787</v>
      </c>
      <c r="B423" t="s">
        <v>788</v>
      </c>
      <c r="C423" s="1" t="s">
        <v>797</v>
      </c>
      <c r="D423" s="1" t="s">
        <v>797</v>
      </c>
      <c r="E423" s="1" t="s">
        <v>797</v>
      </c>
      <c r="F423" t="s">
        <v>798</v>
      </c>
      <c r="G423" t="s">
        <v>793</v>
      </c>
      <c r="H423" t="s">
        <v>121</v>
      </c>
      <c r="I423" t="s">
        <v>50</v>
      </c>
      <c r="J423">
        <v>30.95</v>
      </c>
      <c r="K423" t="e">
        <f>IF(COUNTIF(#REF!,Tabela2[[#This Row],[IdxWspolny]])&gt;0,"ELEM_lub_PRD","TECHN")</f>
        <v>#REF!</v>
      </c>
      <c r="L423" t="e">
        <f>IF(COUNTIF(#REF!,Tabela2[[#This Row],[KOD_PRODUKTU]])&gt;0,"ELEMENT","PRODUKT")</f>
        <v>#REF!</v>
      </c>
      <c r="M423" t="e">
        <f>COUNTIF(#REF!,Tabela2[[#This Row],[KOD_PRODUKTU]])</f>
        <v>#REF!</v>
      </c>
    </row>
    <row r="424" spans="1:14" x14ac:dyDescent="0.25">
      <c r="A424" s="1" t="s">
        <v>787</v>
      </c>
      <c r="B424" t="s">
        <v>788</v>
      </c>
      <c r="C424" s="1" t="s">
        <v>799</v>
      </c>
      <c r="D424" s="1" t="s">
        <v>799</v>
      </c>
      <c r="E424" s="1" t="s">
        <v>799</v>
      </c>
      <c r="F424" t="s">
        <v>800</v>
      </c>
      <c r="G424" t="s">
        <v>255</v>
      </c>
      <c r="H424" t="s">
        <v>121</v>
      </c>
      <c r="I424" t="s">
        <v>50</v>
      </c>
      <c r="J424">
        <v>32.5</v>
      </c>
      <c r="K424" t="e">
        <f>IF(COUNTIF(#REF!,Tabela2[[#This Row],[IdxWspolny]])&gt;0,"ELEM_lub_PRD","TECHN")</f>
        <v>#REF!</v>
      </c>
      <c r="L424" t="e">
        <f>IF(COUNTIF(#REF!,Tabela2[[#This Row],[KOD_PRODUKTU]])&gt;0,"ELEMENT","PRODUKT")</f>
        <v>#REF!</v>
      </c>
      <c r="M424" t="e">
        <f>COUNTIF(#REF!,Tabela2[[#This Row],[KOD_PRODUKTU]])</f>
        <v>#REF!</v>
      </c>
    </row>
    <row r="425" spans="1:14" x14ac:dyDescent="0.25">
      <c r="A425" s="1" t="s">
        <v>787</v>
      </c>
      <c r="B425" t="s">
        <v>788</v>
      </c>
      <c r="C425" s="1" t="s">
        <v>801</v>
      </c>
      <c r="D425" s="1" t="s">
        <v>801</v>
      </c>
      <c r="E425" s="1" t="s">
        <v>801</v>
      </c>
      <c r="F425" t="s">
        <v>802</v>
      </c>
      <c r="G425" t="s">
        <v>803</v>
      </c>
      <c r="H425" t="s">
        <v>121</v>
      </c>
      <c r="I425" t="s">
        <v>50</v>
      </c>
      <c r="J425">
        <v>48.1</v>
      </c>
      <c r="K425" t="e">
        <f>IF(COUNTIF(#REF!,Tabela2[[#This Row],[IdxWspolny]])&gt;0,"ELEM_lub_PRD","TECHN")</f>
        <v>#REF!</v>
      </c>
      <c r="L425" t="e">
        <f>IF(COUNTIF(#REF!,Tabela2[[#This Row],[KOD_PRODUKTU]])&gt;0,"ELEMENT","PRODUKT")</f>
        <v>#REF!</v>
      </c>
      <c r="M425" t="e">
        <f>COUNTIF(#REF!,Tabela2[[#This Row],[KOD_PRODUKTU]])</f>
        <v>#REF!</v>
      </c>
    </row>
    <row r="426" spans="1:14" hidden="1" x14ac:dyDescent="0.25">
      <c r="A426" s="1" t="s">
        <v>787</v>
      </c>
      <c r="B426" t="s">
        <v>788</v>
      </c>
      <c r="C426" s="1" t="s">
        <v>804</v>
      </c>
      <c r="D426" s="1" t="s">
        <v>804</v>
      </c>
      <c r="E426" s="1" t="s">
        <v>804</v>
      </c>
      <c r="F426" t="s">
        <v>805</v>
      </c>
      <c r="G426" t="s">
        <v>274</v>
      </c>
      <c r="H426" t="s">
        <v>49</v>
      </c>
      <c r="I426" t="s">
        <v>50</v>
      </c>
      <c r="J426">
        <v>12.9</v>
      </c>
      <c r="K426" t="e">
        <f>IF(COUNTIF(#REF!,Tabela2[[#This Row],[IdxWspolny]])&gt;0,"ELEM_lub_PRD","TECHN")</f>
        <v>#REF!</v>
      </c>
      <c r="L426" t="e">
        <f>IF(COUNTIF(#REF!,Tabela2[[#This Row],[KOD_PRODUKTU]])&gt;0,"ELEMENT","PRODUKT")</f>
        <v>#REF!</v>
      </c>
      <c r="M426" t="e">
        <f>COUNTIF(#REF!,Tabela2[[#This Row],[KOD_PRODUKTU]])</f>
        <v>#REF!</v>
      </c>
      <c r="N426" t="s">
        <v>55</v>
      </c>
    </row>
    <row r="427" spans="1:14" hidden="1" x14ac:dyDescent="0.25">
      <c r="A427" s="1" t="s">
        <v>787</v>
      </c>
      <c r="B427" t="s">
        <v>788</v>
      </c>
      <c r="C427" s="1" t="s">
        <v>806</v>
      </c>
      <c r="D427" s="1" t="s">
        <v>806</v>
      </c>
      <c r="E427" s="1" t="s">
        <v>806</v>
      </c>
      <c r="F427" t="s">
        <v>807</v>
      </c>
      <c r="G427" t="s">
        <v>274</v>
      </c>
      <c r="H427" t="s">
        <v>49</v>
      </c>
      <c r="I427" t="s">
        <v>50</v>
      </c>
      <c r="J427">
        <v>12.9</v>
      </c>
      <c r="K427" t="e">
        <f>IF(COUNTIF(#REF!,Tabela2[[#This Row],[IdxWspolny]])&gt;0,"ELEM_lub_PRD","TECHN")</f>
        <v>#REF!</v>
      </c>
      <c r="L427" t="e">
        <f>IF(COUNTIF(#REF!,Tabela2[[#This Row],[KOD_PRODUKTU]])&gt;0,"ELEMENT","PRODUKT")</f>
        <v>#REF!</v>
      </c>
      <c r="M427" t="e">
        <f>COUNTIF(#REF!,Tabela2[[#This Row],[KOD_PRODUKTU]])</f>
        <v>#REF!</v>
      </c>
      <c r="N427" t="s">
        <v>55</v>
      </c>
    </row>
    <row r="428" spans="1:14" hidden="1" x14ac:dyDescent="0.25">
      <c r="A428" s="1" t="s">
        <v>787</v>
      </c>
      <c r="B428" t="s">
        <v>788</v>
      </c>
      <c r="C428" s="1" t="s">
        <v>808</v>
      </c>
      <c r="D428" s="1" t="s">
        <v>808</v>
      </c>
      <c r="E428" s="1" t="s">
        <v>808</v>
      </c>
      <c r="F428" t="s">
        <v>809</v>
      </c>
      <c r="G428" t="s">
        <v>96</v>
      </c>
      <c r="H428" t="s">
        <v>49</v>
      </c>
      <c r="I428" t="s">
        <v>50</v>
      </c>
      <c r="J428">
        <v>4.45</v>
      </c>
      <c r="K428" t="e">
        <f>IF(COUNTIF(#REF!,Tabela2[[#This Row],[IdxWspolny]])&gt;0,"ELEM_lub_PRD","TECHN")</f>
        <v>#REF!</v>
      </c>
      <c r="L428" t="e">
        <f>IF(COUNTIF(#REF!,Tabela2[[#This Row],[KOD_PRODUKTU]])&gt;0,"ELEMENT","PRODUKT")</f>
        <v>#REF!</v>
      </c>
      <c r="M428" t="e">
        <f>COUNTIF(#REF!,Tabela2[[#This Row],[KOD_PRODUKTU]])</f>
        <v>#REF!</v>
      </c>
      <c r="N428" t="s">
        <v>55</v>
      </c>
    </row>
    <row r="429" spans="1:14" x14ac:dyDescent="0.25">
      <c r="A429" s="1" t="s">
        <v>787</v>
      </c>
      <c r="B429" t="s">
        <v>788</v>
      </c>
      <c r="C429" s="1" t="s">
        <v>688</v>
      </c>
      <c r="D429" s="1" t="s">
        <v>688</v>
      </c>
      <c r="E429" s="1" t="s">
        <v>688</v>
      </c>
      <c r="F429" t="s">
        <v>810</v>
      </c>
      <c r="G429" t="s">
        <v>811</v>
      </c>
      <c r="H429" t="s">
        <v>10</v>
      </c>
      <c r="I429" t="s">
        <v>812</v>
      </c>
      <c r="J429">
        <v>30</v>
      </c>
      <c r="K429" t="e">
        <f>IF(COUNTIF(#REF!,Tabela2[[#This Row],[IdxWspolny]])&gt;0,"ELEM_lub_PRD","TECHN")</f>
        <v>#REF!</v>
      </c>
      <c r="L429" t="e">
        <f>IF(COUNTIF(#REF!,Tabela2[[#This Row],[KOD_PRODUKTU]])&gt;0,"ELEMENT","PRODUKT")</f>
        <v>#REF!</v>
      </c>
      <c r="M429" t="e">
        <f>COUNTIF(#REF!,Tabela2[[#This Row],[KOD_PRODUKTU]])</f>
        <v>#REF!</v>
      </c>
    </row>
    <row r="430" spans="1:14" x14ac:dyDescent="0.25">
      <c r="A430" s="1" t="s">
        <v>787</v>
      </c>
      <c r="B430" t="s">
        <v>788</v>
      </c>
      <c r="C430" s="1" t="s">
        <v>7</v>
      </c>
      <c r="D430" s="1" t="s">
        <v>7</v>
      </c>
      <c r="E430" s="1" t="s">
        <v>7</v>
      </c>
      <c r="F430" t="s">
        <v>8</v>
      </c>
      <c r="G430" t="s">
        <v>9</v>
      </c>
      <c r="H430" t="s">
        <v>10</v>
      </c>
      <c r="I430" t="s">
        <v>813</v>
      </c>
      <c r="J430">
        <v>259.75</v>
      </c>
      <c r="K430" t="e">
        <f>IF(COUNTIF(#REF!,Tabela2[[#This Row],[IdxWspolny]])&gt;0,"ELEM_lub_PRD","TECHN")</f>
        <v>#REF!</v>
      </c>
      <c r="L430" t="e">
        <f>IF(COUNTIF(#REF!,Tabela2[[#This Row],[KOD_PRODUKTU]])&gt;0,"ELEMENT","PRODUKT")</f>
        <v>#REF!</v>
      </c>
      <c r="M430" t="e">
        <f>COUNTIF(#REF!,Tabela2[[#This Row],[KOD_PRODUKTU]])</f>
        <v>#REF!</v>
      </c>
    </row>
    <row r="431" spans="1:14" x14ac:dyDescent="0.25">
      <c r="A431" s="1" t="s">
        <v>814</v>
      </c>
      <c r="B431" t="s">
        <v>815</v>
      </c>
      <c r="C431" s="1" t="s">
        <v>479</v>
      </c>
      <c r="D431" s="1" t="s">
        <v>479</v>
      </c>
      <c r="E431" s="1" t="s">
        <v>479</v>
      </c>
      <c r="F431" t="s">
        <v>480</v>
      </c>
      <c r="G431" t="s">
        <v>626</v>
      </c>
      <c r="H431" t="s">
        <v>5</v>
      </c>
      <c r="I431" t="s">
        <v>736</v>
      </c>
      <c r="J431">
        <v>0.1</v>
      </c>
      <c r="K431" t="e">
        <f>IF(COUNTIF(#REF!,Tabela2[[#This Row],[IdxWspolny]])&gt;0,"ELEM_lub_PRD","TECHN")</f>
        <v>#REF!</v>
      </c>
      <c r="L431" t="e">
        <f>IF(COUNTIF(#REF!,Tabela2[[#This Row],[KOD_PRODUKTU]])&gt;0,"ELEMENT","PRODUKT")</f>
        <v>#REF!</v>
      </c>
      <c r="M431" t="e">
        <f>COUNTIF(#REF!,Tabela2[[#This Row],[KOD_PRODUKTU]])</f>
        <v>#REF!</v>
      </c>
    </row>
    <row r="432" spans="1:14" x14ac:dyDescent="0.25">
      <c r="A432" s="1" t="s">
        <v>814</v>
      </c>
      <c r="B432" t="s">
        <v>815</v>
      </c>
      <c r="C432" s="1" t="s">
        <v>628</v>
      </c>
      <c r="D432" s="1" t="s">
        <v>628</v>
      </c>
      <c r="E432" s="1" t="s">
        <v>628</v>
      </c>
      <c r="F432" t="s">
        <v>629</v>
      </c>
      <c r="G432" t="s">
        <v>630</v>
      </c>
      <c r="H432" t="s">
        <v>5</v>
      </c>
      <c r="I432" t="s">
        <v>737</v>
      </c>
      <c r="J432">
        <v>0.04</v>
      </c>
      <c r="K432" t="e">
        <f>IF(COUNTIF(#REF!,Tabela2[[#This Row],[IdxWspolny]])&gt;0,"ELEM_lub_PRD","TECHN")</f>
        <v>#REF!</v>
      </c>
      <c r="L432" t="e">
        <f>IF(COUNTIF(#REF!,Tabela2[[#This Row],[KOD_PRODUKTU]])&gt;0,"ELEMENT","PRODUKT")</f>
        <v>#REF!</v>
      </c>
      <c r="M432" t="e">
        <f>COUNTIF(#REF!,Tabela2[[#This Row],[KOD_PRODUKTU]])</f>
        <v>#REF!</v>
      </c>
    </row>
    <row r="433" spans="1:14" x14ac:dyDescent="0.25">
      <c r="A433" s="1" t="s">
        <v>814</v>
      </c>
      <c r="B433" t="s">
        <v>815</v>
      </c>
      <c r="C433" s="1" t="s">
        <v>738</v>
      </c>
      <c r="D433" s="1" t="s">
        <v>738</v>
      </c>
      <c r="E433" s="1" t="s">
        <v>738</v>
      </c>
      <c r="F433" t="s">
        <v>739</v>
      </c>
      <c r="G433" t="s">
        <v>816</v>
      </c>
      <c r="H433" t="s">
        <v>121</v>
      </c>
      <c r="I433" t="s">
        <v>268</v>
      </c>
      <c r="J433">
        <v>1.17</v>
      </c>
      <c r="K433" t="e">
        <f>IF(COUNTIF(#REF!,Tabela2[[#This Row],[IdxWspolny]])&gt;0,"ELEM_lub_PRD","TECHN")</f>
        <v>#REF!</v>
      </c>
      <c r="L433" t="e">
        <f>IF(COUNTIF(#REF!,Tabela2[[#This Row],[KOD_PRODUKTU]])&gt;0,"ELEMENT","PRODUKT")</f>
        <v>#REF!</v>
      </c>
      <c r="M433" t="e">
        <f>COUNTIF(#REF!,Tabela2[[#This Row],[KOD_PRODUKTU]])</f>
        <v>#REF!</v>
      </c>
    </row>
    <row r="434" spans="1:14" x14ac:dyDescent="0.25">
      <c r="A434" s="1" t="s">
        <v>814</v>
      </c>
      <c r="B434" t="s">
        <v>815</v>
      </c>
      <c r="C434" s="1" t="s">
        <v>704</v>
      </c>
      <c r="D434" s="1" t="s">
        <v>704</v>
      </c>
      <c r="E434" s="1" t="s">
        <v>704</v>
      </c>
      <c r="F434" t="s">
        <v>705</v>
      </c>
      <c r="G434" t="s">
        <v>744</v>
      </c>
      <c r="H434" t="s">
        <v>121</v>
      </c>
      <c r="I434" t="s">
        <v>50</v>
      </c>
      <c r="J434">
        <v>0.4</v>
      </c>
      <c r="K434" t="e">
        <f>IF(COUNTIF(#REF!,Tabela2[[#This Row],[IdxWspolny]])&gt;0,"ELEM_lub_PRD","TECHN")</f>
        <v>#REF!</v>
      </c>
      <c r="L434" t="e">
        <f>IF(COUNTIF(#REF!,Tabela2[[#This Row],[KOD_PRODUKTU]])&gt;0,"ELEMENT","PRODUKT")</f>
        <v>#REF!</v>
      </c>
      <c r="M434" t="e">
        <f>COUNTIF(#REF!,Tabela2[[#This Row],[KOD_PRODUKTU]])</f>
        <v>#REF!</v>
      </c>
    </row>
    <row r="435" spans="1:14" hidden="1" x14ac:dyDescent="0.25">
      <c r="A435" s="1" t="s">
        <v>814</v>
      </c>
      <c r="B435" t="s">
        <v>815</v>
      </c>
      <c r="C435" s="1" t="s">
        <v>817</v>
      </c>
      <c r="D435" s="1" t="s">
        <v>817</v>
      </c>
      <c r="E435" s="1" t="s">
        <v>817</v>
      </c>
      <c r="F435" t="s">
        <v>818</v>
      </c>
      <c r="G435" t="s">
        <v>819</v>
      </c>
      <c r="H435" t="s">
        <v>121</v>
      </c>
      <c r="I435" t="s">
        <v>50</v>
      </c>
      <c r="J435">
        <v>33.56</v>
      </c>
      <c r="K435" t="e">
        <f>IF(COUNTIF(#REF!,Tabela2[[#This Row],[IdxWspolny]])&gt;0,"ELEM_lub_PRD","TECHN")</f>
        <v>#REF!</v>
      </c>
      <c r="L435" t="e">
        <f>IF(COUNTIF(#REF!,Tabela2[[#This Row],[KOD_PRODUKTU]])&gt;0,"ELEMENT","PRODUKT")</f>
        <v>#REF!</v>
      </c>
      <c r="M435" t="e">
        <f>COUNTIF(#REF!,Tabela2[[#This Row],[KOD_PRODUKTU]])</f>
        <v>#REF!</v>
      </c>
      <c r="N435" t="s">
        <v>55</v>
      </c>
    </row>
    <row r="436" spans="1:14" hidden="1" x14ac:dyDescent="0.25">
      <c r="A436" s="1" t="s">
        <v>814</v>
      </c>
      <c r="B436" t="s">
        <v>815</v>
      </c>
      <c r="C436" s="1" t="s">
        <v>820</v>
      </c>
      <c r="D436" s="1" t="s">
        <v>820</v>
      </c>
      <c r="E436" s="1" t="s">
        <v>820</v>
      </c>
      <c r="F436" t="s">
        <v>821</v>
      </c>
      <c r="G436" t="s">
        <v>822</v>
      </c>
      <c r="H436" t="s">
        <v>121</v>
      </c>
      <c r="I436" t="s">
        <v>50</v>
      </c>
      <c r="J436">
        <v>19.53</v>
      </c>
      <c r="K436" t="e">
        <f>IF(COUNTIF(#REF!,Tabela2[[#This Row],[IdxWspolny]])&gt;0,"ELEM_lub_PRD","TECHN")</f>
        <v>#REF!</v>
      </c>
      <c r="L436" t="e">
        <f>IF(COUNTIF(#REF!,Tabela2[[#This Row],[KOD_PRODUKTU]])&gt;0,"ELEMENT","PRODUKT")</f>
        <v>#REF!</v>
      </c>
      <c r="M436" t="e">
        <f>COUNTIF(#REF!,Tabela2[[#This Row],[KOD_PRODUKTU]])</f>
        <v>#REF!</v>
      </c>
      <c r="N436" t="s">
        <v>55</v>
      </c>
    </row>
    <row r="437" spans="1:14" hidden="1" x14ac:dyDescent="0.25">
      <c r="A437" s="1" t="s">
        <v>814</v>
      </c>
      <c r="B437" t="s">
        <v>815</v>
      </c>
      <c r="C437" s="1" t="s">
        <v>823</v>
      </c>
      <c r="D437" s="1" t="s">
        <v>823</v>
      </c>
      <c r="E437" s="1" t="s">
        <v>823</v>
      </c>
      <c r="F437" t="s">
        <v>824</v>
      </c>
      <c r="G437" t="s">
        <v>825</v>
      </c>
      <c r="H437" t="s">
        <v>121</v>
      </c>
      <c r="I437" t="s">
        <v>50</v>
      </c>
      <c r="J437">
        <v>32.11</v>
      </c>
      <c r="K437" t="e">
        <f>IF(COUNTIF(#REF!,Tabela2[[#This Row],[IdxWspolny]])&gt;0,"ELEM_lub_PRD","TECHN")</f>
        <v>#REF!</v>
      </c>
      <c r="L437" t="e">
        <f>IF(COUNTIF(#REF!,Tabela2[[#This Row],[KOD_PRODUKTU]])&gt;0,"ELEMENT","PRODUKT")</f>
        <v>#REF!</v>
      </c>
      <c r="M437" t="e">
        <f>COUNTIF(#REF!,Tabela2[[#This Row],[KOD_PRODUKTU]])</f>
        <v>#REF!</v>
      </c>
      <c r="N437" t="s">
        <v>55</v>
      </c>
    </row>
    <row r="438" spans="1:14" x14ac:dyDescent="0.25">
      <c r="A438" s="1" t="s">
        <v>814</v>
      </c>
      <c r="B438" t="s">
        <v>815</v>
      </c>
      <c r="C438" s="1" t="s">
        <v>684</v>
      </c>
      <c r="D438" s="1" t="s">
        <v>684</v>
      </c>
      <c r="E438" s="1" t="s">
        <v>684</v>
      </c>
      <c r="F438" t="s">
        <v>685</v>
      </c>
      <c r="G438" t="s">
        <v>686</v>
      </c>
      <c r="H438" t="s">
        <v>49</v>
      </c>
      <c r="I438" t="s">
        <v>826</v>
      </c>
      <c r="J438">
        <v>7.52</v>
      </c>
      <c r="K438" t="e">
        <f>IF(COUNTIF(#REF!,Tabela2[[#This Row],[IdxWspolny]])&gt;0,"ELEM_lub_PRD","TECHN")</f>
        <v>#REF!</v>
      </c>
      <c r="L438" t="e">
        <f>IF(COUNTIF(#REF!,Tabela2[[#This Row],[KOD_PRODUKTU]])&gt;0,"ELEMENT","PRODUKT")</f>
        <v>#REF!</v>
      </c>
      <c r="M438" t="e">
        <f>COUNTIF(#REF!,Tabela2[[#This Row],[KOD_PRODUKTU]])</f>
        <v>#REF!</v>
      </c>
    </row>
    <row r="439" spans="1:14" x14ac:dyDescent="0.25">
      <c r="A439" s="1" t="s">
        <v>814</v>
      </c>
      <c r="B439" t="s">
        <v>815</v>
      </c>
      <c r="C439" s="1" t="s">
        <v>7</v>
      </c>
      <c r="D439" s="1" t="s">
        <v>7</v>
      </c>
      <c r="E439" s="1" t="s">
        <v>7</v>
      </c>
      <c r="F439" t="s">
        <v>8</v>
      </c>
      <c r="G439" t="s">
        <v>9</v>
      </c>
      <c r="H439" t="s">
        <v>10</v>
      </c>
      <c r="I439" t="s">
        <v>827</v>
      </c>
      <c r="J439">
        <v>16.149999999999999</v>
      </c>
      <c r="K439" t="e">
        <f>IF(COUNTIF(#REF!,Tabela2[[#This Row],[IdxWspolny]])&gt;0,"ELEM_lub_PRD","TECHN")</f>
        <v>#REF!</v>
      </c>
      <c r="L439" t="e">
        <f>IF(COUNTIF(#REF!,Tabela2[[#This Row],[KOD_PRODUKTU]])&gt;0,"ELEMENT","PRODUKT")</f>
        <v>#REF!</v>
      </c>
      <c r="M439" t="e">
        <f>COUNTIF(#REF!,Tabela2[[#This Row],[KOD_PRODUKTU]])</f>
        <v>#REF!</v>
      </c>
    </row>
    <row r="440" spans="1:14" x14ac:dyDescent="0.25">
      <c r="A440" s="1" t="s">
        <v>828</v>
      </c>
      <c r="B440" t="s">
        <v>829</v>
      </c>
      <c r="C440" s="1" t="s">
        <v>649</v>
      </c>
      <c r="D440" s="1" t="s">
        <v>649</v>
      </c>
      <c r="E440" s="1" t="s">
        <v>649</v>
      </c>
      <c r="F440" t="s">
        <v>650</v>
      </c>
      <c r="G440" t="s">
        <v>651</v>
      </c>
      <c r="H440" t="s">
        <v>39</v>
      </c>
      <c r="I440" t="s">
        <v>652</v>
      </c>
      <c r="J440">
        <v>0.25</v>
      </c>
      <c r="K440" t="e">
        <f>IF(COUNTIF(#REF!,Tabela2[[#This Row],[IdxWspolny]])&gt;0,"ELEM_lub_PRD","TECHN")</f>
        <v>#REF!</v>
      </c>
      <c r="L440" t="e">
        <f>IF(COUNTIF(#REF!,Tabela2[[#This Row],[KOD_PRODUKTU]])&gt;0,"ELEMENT","PRODUKT")</f>
        <v>#REF!</v>
      </c>
      <c r="M440" t="e">
        <f>COUNTIF(#REF!,Tabela2[[#This Row],[KOD_PRODUKTU]])</f>
        <v>#REF!</v>
      </c>
    </row>
    <row r="441" spans="1:14" x14ac:dyDescent="0.25">
      <c r="A441" s="1" t="s">
        <v>828</v>
      </c>
      <c r="B441" t="s">
        <v>829</v>
      </c>
      <c r="C441" s="1" t="s">
        <v>653</v>
      </c>
      <c r="D441" s="1" t="s">
        <v>653</v>
      </c>
      <c r="E441" s="1" t="s">
        <v>653</v>
      </c>
      <c r="F441" t="s">
        <v>654</v>
      </c>
      <c r="G441" t="s">
        <v>655</v>
      </c>
      <c r="H441" t="s">
        <v>49</v>
      </c>
      <c r="I441" t="s">
        <v>319</v>
      </c>
      <c r="J441">
        <v>0.84</v>
      </c>
      <c r="K441" t="e">
        <f>IF(COUNTIF(#REF!,Tabela2[[#This Row],[IdxWspolny]])&gt;0,"ELEM_lub_PRD","TECHN")</f>
        <v>#REF!</v>
      </c>
      <c r="L441" t="e">
        <f>IF(COUNTIF(#REF!,Tabela2[[#This Row],[KOD_PRODUKTU]])&gt;0,"ELEMENT","PRODUKT")</f>
        <v>#REF!</v>
      </c>
      <c r="M441" t="e">
        <f>COUNTIF(#REF!,Tabela2[[#This Row],[KOD_PRODUKTU]])</f>
        <v>#REF!</v>
      </c>
    </row>
    <row r="442" spans="1:14" x14ac:dyDescent="0.25">
      <c r="A442" s="1" t="s">
        <v>828</v>
      </c>
      <c r="B442" t="s">
        <v>829</v>
      </c>
      <c r="C442" s="1" t="s">
        <v>656</v>
      </c>
      <c r="D442" s="1" t="s">
        <v>656</v>
      </c>
      <c r="E442" s="1" t="s">
        <v>656</v>
      </c>
      <c r="F442" t="s">
        <v>657</v>
      </c>
      <c r="G442" t="s">
        <v>658</v>
      </c>
      <c r="H442" t="s">
        <v>39</v>
      </c>
      <c r="I442" t="s">
        <v>25</v>
      </c>
      <c r="J442">
        <v>0.34</v>
      </c>
      <c r="K442" t="e">
        <f>IF(COUNTIF(#REF!,Tabela2[[#This Row],[IdxWspolny]])&gt;0,"ELEM_lub_PRD","TECHN")</f>
        <v>#REF!</v>
      </c>
      <c r="L442" t="e">
        <f>IF(COUNTIF(#REF!,Tabela2[[#This Row],[KOD_PRODUKTU]])&gt;0,"ELEMENT","PRODUKT")</f>
        <v>#REF!</v>
      </c>
      <c r="M442" t="e">
        <f>COUNTIF(#REF!,Tabela2[[#This Row],[KOD_PRODUKTU]])</f>
        <v>#REF!</v>
      </c>
    </row>
    <row r="443" spans="1:14" x14ac:dyDescent="0.25">
      <c r="A443" s="1" t="s">
        <v>828</v>
      </c>
      <c r="B443" t="s">
        <v>829</v>
      </c>
      <c r="C443" s="1" t="s">
        <v>659</v>
      </c>
      <c r="D443" s="1" t="s">
        <v>659</v>
      </c>
      <c r="E443" s="1" t="s">
        <v>659</v>
      </c>
      <c r="F443" t="s">
        <v>660</v>
      </c>
      <c r="G443" t="s">
        <v>661</v>
      </c>
      <c r="H443" t="s">
        <v>39</v>
      </c>
      <c r="I443" t="s">
        <v>605</v>
      </c>
      <c r="J443">
        <v>2</v>
      </c>
      <c r="K443" t="e">
        <f>IF(COUNTIF(#REF!,Tabela2[[#This Row],[IdxWspolny]])&gt;0,"ELEM_lub_PRD","TECHN")</f>
        <v>#REF!</v>
      </c>
      <c r="L443" t="e">
        <f>IF(COUNTIF(#REF!,Tabela2[[#This Row],[KOD_PRODUKTU]])&gt;0,"ELEMENT","PRODUKT")</f>
        <v>#REF!</v>
      </c>
      <c r="M443" t="e">
        <f>COUNTIF(#REF!,Tabela2[[#This Row],[KOD_PRODUKTU]])</f>
        <v>#REF!</v>
      </c>
    </row>
    <row r="444" spans="1:14" x14ac:dyDescent="0.25">
      <c r="A444" s="1" t="s">
        <v>828</v>
      </c>
      <c r="B444" t="s">
        <v>829</v>
      </c>
      <c r="C444" s="1" t="s">
        <v>664</v>
      </c>
      <c r="D444" s="1" t="s">
        <v>664</v>
      </c>
      <c r="E444" s="1" t="s">
        <v>664</v>
      </c>
      <c r="F444" t="s">
        <v>665</v>
      </c>
      <c r="G444" t="s">
        <v>666</v>
      </c>
      <c r="H444" t="s">
        <v>39</v>
      </c>
      <c r="I444" t="s">
        <v>652</v>
      </c>
      <c r="J444">
        <v>0.53</v>
      </c>
      <c r="K444" t="e">
        <f>IF(COUNTIF(#REF!,Tabela2[[#This Row],[IdxWspolny]])&gt;0,"ELEM_lub_PRD","TECHN")</f>
        <v>#REF!</v>
      </c>
      <c r="L444" t="e">
        <f>IF(COUNTIF(#REF!,Tabela2[[#This Row],[KOD_PRODUKTU]])&gt;0,"ELEMENT","PRODUKT")</f>
        <v>#REF!</v>
      </c>
      <c r="M444" t="e">
        <f>COUNTIF(#REF!,Tabela2[[#This Row],[KOD_PRODUKTU]])</f>
        <v>#REF!</v>
      </c>
    </row>
    <row r="445" spans="1:14" x14ac:dyDescent="0.25">
      <c r="A445" s="1" t="s">
        <v>828</v>
      </c>
      <c r="B445" t="s">
        <v>829</v>
      </c>
      <c r="C445" s="1" t="s">
        <v>41</v>
      </c>
      <c r="D445" s="1" t="s">
        <v>41</v>
      </c>
      <c r="E445" s="1" t="s">
        <v>41</v>
      </c>
      <c r="F445" t="s">
        <v>42</v>
      </c>
      <c r="G445" t="s">
        <v>43</v>
      </c>
      <c r="H445" t="s">
        <v>5</v>
      </c>
      <c r="I445" t="s">
        <v>227</v>
      </c>
      <c r="J445">
        <v>0.01</v>
      </c>
      <c r="K445" t="e">
        <f>IF(COUNTIF(#REF!,Tabela2[[#This Row],[IdxWspolny]])&gt;0,"ELEM_lub_PRD","TECHN")</f>
        <v>#REF!</v>
      </c>
      <c r="L445" t="e">
        <f>IF(COUNTIF(#REF!,Tabela2[[#This Row],[KOD_PRODUKTU]])&gt;0,"ELEMENT","PRODUKT")</f>
        <v>#REF!</v>
      </c>
      <c r="M445" t="e">
        <f>COUNTIF(#REF!,Tabela2[[#This Row],[KOD_PRODUKTU]])</f>
        <v>#REF!</v>
      </c>
    </row>
    <row r="446" spans="1:14" x14ac:dyDescent="0.25">
      <c r="A446" s="1" t="s">
        <v>828</v>
      </c>
      <c r="B446" t="s">
        <v>829</v>
      </c>
      <c r="C446" s="1" t="s">
        <v>830</v>
      </c>
      <c r="D446" s="1" t="s">
        <v>830</v>
      </c>
      <c r="E446" s="1" t="s">
        <v>830</v>
      </c>
      <c r="F446" t="s">
        <v>831</v>
      </c>
      <c r="G446" t="s">
        <v>832</v>
      </c>
      <c r="H446" t="s">
        <v>49</v>
      </c>
      <c r="I446" t="s">
        <v>50</v>
      </c>
      <c r="J446">
        <v>54.6</v>
      </c>
      <c r="K446" t="e">
        <f>IF(COUNTIF(#REF!,Tabela2[[#This Row],[IdxWspolny]])&gt;0,"ELEM_lub_PRD","TECHN")</f>
        <v>#REF!</v>
      </c>
      <c r="L446" t="e">
        <f>IF(COUNTIF(#REF!,Tabela2[[#This Row],[KOD_PRODUKTU]])&gt;0,"ELEMENT","PRODUKT")</f>
        <v>#REF!</v>
      </c>
      <c r="M446" t="e">
        <f>COUNTIF(#REF!,Tabela2[[#This Row],[KOD_PRODUKTU]])</f>
        <v>#REF!</v>
      </c>
    </row>
    <row r="447" spans="1:14" x14ac:dyDescent="0.25">
      <c r="A447" s="1" t="s">
        <v>828</v>
      </c>
      <c r="B447" t="s">
        <v>829</v>
      </c>
      <c r="C447" s="1" t="s">
        <v>833</v>
      </c>
      <c r="D447" s="1" t="s">
        <v>833</v>
      </c>
      <c r="E447" s="1" t="s">
        <v>833</v>
      </c>
      <c r="F447" t="s">
        <v>834</v>
      </c>
      <c r="G447" t="s">
        <v>835</v>
      </c>
      <c r="H447" t="s">
        <v>49</v>
      </c>
      <c r="I447" t="s">
        <v>50</v>
      </c>
      <c r="J447">
        <v>40.299999999999997</v>
      </c>
      <c r="K447" t="e">
        <f>IF(COUNTIF(#REF!,Tabela2[[#This Row],[IdxWspolny]])&gt;0,"ELEM_lub_PRD","TECHN")</f>
        <v>#REF!</v>
      </c>
      <c r="L447" t="e">
        <f>IF(COUNTIF(#REF!,Tabela2[[#This Row],[KOD_PRODUKTU]])&gt;0,"ELEMENT","PRODUKT")</f>
        <v>#REF!</v>
      </c>
      <c r="M447" t="e">
        <f>COUNTIF(#REF!,Tabela2[[#This Row],[KOD_PRODUKTU]])</f>
        <v>#REF!</v>
      </c>
    </row>
    <row r="448" spans="1:14" x14ac:dyDescent="0.25">
      <c r="A448" s="1" t="s">
        <v>828</v>
      </c>
      <c r="B448" t="s">
        <v>829</v>
      </c>
      <c r="C448" s="1" t="s">
        <v>836</v>
      </c>
      <c r="D448" s="1" t="s">
        <v>836</v>
      </c>
      <c r="E448" s="1" t="s">
        <v>836</v>
      </c>
      <c r="F448" t="s">
        <v>837</v>
      </c>
      <c r="G448" t="s">
        <v>838</v>
      </c>
      <c r="H448" t="s">
        <v>49</v>
      </c>
      <c r="I448" t="s">
        <v>50</v>
      </c>
      <c r="J448">
        <v>50.7</v>
      </c>
      <c r="K448" t="e">
        <f>IF(COUNTIF(#REF!,Tabela2[[#This Row],[IdxWspolny]])&gt;0,"ELEM_lub_PRD","TECHN")</f>
        <v>#REF!</v>
      </c>
      <c r="L448" t="e">
        <f>IF(COUNTIF(#REF!,Tabela2[[#This Row],[KOD_PRODUKTU]])&gt;0,"ELEMENT","PRODUKT")</f>
        <v>#REF!</v>
      </c>
      <c r="M448" t="e">
        <f>COUNTIF(#REF!,Tabela2[[#This Row],[KOD_PRODUKTU]])</f>
        <v>#REF!</v>
      </c>
    </row>
    <row r="449" spans="1:14" x14ac:dyDescent="0.25">
      <c r="A449" s="1" t="s">
        <v>828</v>
      </c>
      <c r="B449" t="s">
        <v>829</v>
      </c>
      <c r="C449" s="1" t="s">
        <v>839</v>
      </c>
      <c r="D449" s="1" t="s">
        <v>839</v>
      </c>
      <c r="E449" s="1" t="s">
        <v>839</v>
      </c>
      <c r="F449" t="s">
        <v>840</v>
      </c>
      <c r="G449" t="s">
        <v>841</v>
      </c>
      <c r="H449" t="s">
        <v>49</v>
      </c>
      <c r="I449" t="s">
        <v>50</v>
      </c>
      <c r="J449">
        <v>5.91</v>
      </c>
      <c r="K449" t="e">
        <f>IF(COUNTIF(#REF!,Tabela2[[#This Row],[IdxWspolny]])&gt;0,"ELEM_lub_PRD","TECHN")</f>
        <v>#REF!</v>
      </c>
      <c r="L449" t="e">
        <f>IF(COUNTIF(#REF!,Tabela2[[#This Row],[KOD_PRODUKTU]])&gt;0,"ELEMENT","PRODUKT")</f>
        <v>#REF!</v>
      </c>
      <c r="M449" t="e">
        <f>COUNTIF(#REF!,Tabela2[[#This Row],[KOD_PRODUKTU]])</f>
        <v>#REF!</v>
      </c>
      <c r="N449" t="s">
        <v>55</v>
      </c>
    </row>
    <row r="450" spans="1:14" x14ac:dyDescent="0.25">
      <c r="A450" s="1" t="s">
        <v>828</v>
      </c>
      <c r="B450" t="s">
        <v>829</v>
      </c>
      <c r="C450" s="1" t="s">
        <v>842</v>
      </c>
      <c r="D450" s="1" t="s">
        <v>842</v>
      </c>
      <c r="E450" s="1" t="s">
        <v>842</v>
      </c>
      <c r="F450" t="s">
        <v>843</v>
      </c>
      <c r="G450" t="s">
        <v>844</v>
      </c>
      <c r="H450" t="s">
        <v>49</v>
      </c>
      <c r="I450" t="s">
        <v>92</v>
      </c>
      <c r="J450">
        <v>11.36</v>
      </c>
      <c r="K450" t="e">
        <f>IF(COUNTIF(#REF!,Tabela2[[#This Row],[IdxWspolny]])&gt;0,"ELEM_lub_PRD","TECHN")</f>
        <v>#REF!</v>
      </c>
      <c r="L450" t="e">
        <f>IF(COUNTIF(#REF!,Tabela2[[#This Row],[KOD_PRODUKTU]])&gt;0,"ELEMENT","PRODUKT")</f>
        <v>#REF!</v>
      </c>
      <c r="M450" t="e">
        <f>COUNTIF(#REF!,Tabela2[[#This Row],[KOD_PRODUKTU]])</f>
        <v>#REF!</v>
      </c>
      <c r="N450" t="s">
        <v>55</v>
      </c>
    </row>
    <row r="451" spans="1:14" hidden="1" x14ac:dyDescent="0.25">
      <c r="A451" s="1" t="s">
        <v>828</v>
      </c>
      <c r="B451" t="s">
        <v>829</v>
      </c>
      <c r="C451" s="1" t="s">
        <v>845</v>
      </c>
      <c r="D451" s="1" t="s">
        <v>845</v>
      </c>
      <c r="E451" s="1" t="s">
        <v>845</v>
      </c>
      <c r="F451" t="s">
        <v>846</v>
      </c>
      <c r="G451" t="s">
        <v>847</v>
      </c>
      <c r="H451" t="s">
        <v>49</v>
      </c>
      <c r="I451" t="s">
        <v>50</v>
      </c>
      <c r="J451">
        <v>176</v>
      </c>
      <c r="K451" t="e">
        <f>IF(COUNTIF(#REF!,Tabela2[[#This Row],[IdxWspolny]])&gt;0,"ELEM_lub_PRD","TECHN")</f>
        <v>#REF!</v>
      </c>
      <c r="L451" t="e">
        <f>IF(COUNTIF(#REF!,Tabela2[[#This Row],[KOD_PRODUKTU]])&gt;0,"ELEMENT","PRODUKT")</f>
        <v>#REF!</v>
      </c>
      <c r="M451" t="e">
        <f>COUNTIF(#REF!,Tabela2[[#This Row],[KOD_PRODUKTU]])</f>
        <v>#REF!</v>
      </c>
      <c r="N451" t="s">
        <v>55</v>
      </c>
    </row>
    <row r="452" spans="1:14" hidden="1" x14ac:dyDescent="0.25">
      <c r="A452" s="1" t="s">
        <v>828</v>
      </c>
      <c r="B452" t="s">
        <v>829</v>
      </c>
      <c r="C452" s="1" t="s">
        <v>848</v>
      </c>
      <c r="D452" s="1" t="s">
        <v>848</v>
      </c>
      <c r="E452" s="1" t="s">
        <v>848</v>
      </c>
      <c r="F452" t="s">
        <v>849</v>
      </c>
      <c r="G452" t="s">
        <v>850</v>
      </c>
      <c r="H452" t="s">
        <v>49</v>
      </c>
      <c r="I452" t="s">
        <v>50</v>
      </c>
      <c r="J452">
        <v>6.5</v>
      </c>
      <c r="K452" t="e">
        <f>IF(COUNTIF(#REF!,Tabela2[[#This Row],[IdxWspolny]])&gt;0,"ELEM_lub_PRD","TECHN")</f>
        <v>#REF!</v>
      </c>
      <c r="L452" t="e">
        <f>IF(COUNTIF(#REF!,Tabela2[[#This Row],[KOD_PRODUKTU]])&gt;0,"ELEMENT","PRODUKT")</f>
        <v>#REF!</v>
      </c>
      <c r="M452" t="e">
        <f>COUNTIF(#REF!,Tabela2[[#This Row],[KOD_PRODUKTU]])</f>
        <v>#REF!</v>
      </c>
      <c r="N452" t="s">
        <v>55</v>
      </c>
    </row>
    <row r="453" spans="1:14" hidden="1" x14ac:dyDescent="0.25">
      <c r="A453" s="1" t="s">
        <v>828</v>
      </c>
      <c r="B453" t="s">
        <v>829</v>
      </c>
      <c r="C453" s="1" t="s">
        <v>851</v>
      </c>
      <c r="D453" s="1" t="s">
        <v>851</v>
      </c>
      <c r="E453" s="1" t="s">
        <v>851</v>
      </c>
      <c r="F453" t="s">
        <v>852</v>
      </c>
      <c r="G453" t="s">
        <v>853</v>
      </c>
      <c r="H453" t="s">
        <v>49</v>
      </c>
      <c r="I453" t="s">
        <v>50</v>
      </c>
      <c r="J453">
        <v>7.1</v>
      </c>
      <c r="K453" t="e">
        <f>IF(COUNTIF(#REF!,Tabela2[[#This Row],[IdxWspolny]])&gt;0,"ELEM_lub_PRD","TECHN")</f>
        <v>#REF!</v>
      </c>
      <c r="L453" t="e">
        <f>IF(COUNTIF(#REF!,Tabela2[[#This Row],[KOD_PRODUKTU]])&gt;0,"ELEMENT","PRODUKT")</f>
        <v>#REF!</v>
      </c>
      <c r="M453" t="e">
        <f>COUNTIF(#REF!,Tabela2[[#This Row],[KOD_PRODUKTU]])</f>
        <v>#REF!</v>
      </c>
      <c r="N453" t="s">
        <v>55</v>
      </c>
    </row>
    <row r="454" spans="1:14" hidden="1" x14ac:dyDescent="0.25">
      <c r="A454" s="1" t="s">
        <v>828</v>
      </c>
      <c r="B454" t="s">
        <v>829</v>
      </c>
      <c r="C454" s="1" t="s">
        <v>854</v>
      </c>
      <c r="D454" s="1" t="s">
        <v>854</v>
      </c>
      <c r="E454" s="1" t="s">
        <v>854</v>
      </c>
      <c r="F454" t="s">
        <v>855</v>
      </c>
      <c r="G454" t="s">
        <v>856</v>
      </c>
      <c r="H454" t="s">
        <v>49</v>
      </c>
      <c r="I454" t="s">
        <v>50</v>
      </c>
      <c r="J454">
        <v>4.0999999999999996</v>
      </c>
      <c r="K454" t="e">
        <f>IF(COUNTIF(#REF!,Tabela2[[#This Row],[IdxWspolny]])&gt;0,"ELEM_lub_PRD","TECHN")</f>
        <v>#REF!</v>
      </c>
      <c r="L454" t="e">
        <f>IF(COUNTIF(#REF!,Tabela2[[#This Row],[KOD_PRODUKTU]])&gt;0,"ELEMENT","PRODUKT")</f>
        <v>#REF!</v>
      </c>
      <c r="M454" t="e">
        <f>COUNTIF(#REF!,Tabela2[[#This Row],[KOD_PRODUKTU]])</f>
        <v>#REF!</v>
      </c>
      <c r="N454" t="s">
        <v>55</v>
      </c>
    </row>
    <row r="455" spans="1:14" x14ac:dyDescent="0.25">
      <c r="A455" s="1" t="s">
        <v>828</v>
      </c>
      <c r="B455" t="s">
        <v>829</v>
      </c>
      <c r="C455" s="1" t="s">
        <v>857</v>
      </c>
      <c r="D455" s="1" t="s">
        <v>857</v>
      </c>
      <c r="E455" s="1" t="s">
        <v>857</v>
      </c>
      <c r="F455" t="s">
        <v>858</v>
      </c>
      <c r="G455" t="s">
        <v>686</v>
      </c>
      <c r="H455" t="s">
        <v>49</v>
      </c>
      <c r="I455" t="s">
        <v>859</v>
      </c>
      <c r="J455">
        <v>8.6</v>
      </c>
      <c r="K455" t="e">
        <f>IF(COUNTIF(#REF!,Tabela2[[#This Row],[IdxWspolny]])&gt;0,"ELEM_lub_PRD","TECHN")</f>
        <v>#REF!</v>
      </c>
      <c r="L455" t="e">
        <f>IF(COUNTIF(#REF!,Tabela2[[#This Row],[KOD_PRODUKTU]])&gt;0,"ELEMENT","PRODUKT")</f>
        <v>#REF!</v>
      </c>
      <c r="M455" t="e">
        <f>COUNTIF(#REF!,Tabela2[[#This Row],[KOD_PRODUKTU]])</f>
        <v>#REF!</v>
      </c>
    </row>
    <row r="456" spans="1:14" x14ac:dyDescent="0.25">
      <c r="A456" s="1" t="s">
        <v>828</v>
      </c>
      <c r="B456" t="s">
        <v>829</v>
      </c>
      <c r="C456" s="1" t="s">
        <v>7</v>
      </c>
      <c r="D456" s="1" t="s">
        <v>7</v>
      </c>
      <c r="E456" s="1" t="s">
        <v>7</v>
      </c>
      <c r="F456" t="s">
        <v>8</v>
      </c>
      <c r="G456" t="s">
        <v>9</v>
      </c>
      <c r="H456" t="s">
        <v>10</v>
      </c>
      <c r="I456" t="s">
        <v>860</v>
      </c>
      <c r="J456">
        <v>23</v>
      </c>
      <c r="K456" t="e">
        <f>IF(COUNTIF(#REF!,Tabela2[[#This Row],[IdxWspolny]])&gt;0,"ELEM_lub_PRD","TECHN")</f>
        <v>#REF!</v>
      </c>
      <c r="L456" t="e">
        <f>IF(COUNTIF(#REF!,Tabela2[[#This Row],[KOD_PRODUKTU]])&gt;0,"ELEMENT","PRODUKT")</f>
        <v>#REF!</v>
      </c>
      <c r="M456" t="e">
        <f>COUNTIF(#REF!,Tabela2[[#This Row],[KOD_PRODUKTU]])</f>
        <v>#REF!</v>
      </c>
    </row>
    <row r="457" spans="1:14" x14ac:dyDescent="0.25">
      <c r="A457" s="1" t="s">
        <v>828</v>
      </c>
      <c r="B457" t="s">
        <v>829</v>
      </c>
      <c r="C457" s="1" t="s">
        <v>7</v>
      </c>
      <c r="D457" s="1" t="s">
        <v>7</v>
      </c>
      <c r="E457" s="1" t="s">
        <v>7</v>
      </c>
      <c r="F457" t="s">
        <v>8</v>
      </c>
      <c r="G457" t="s">
        <v>9</v>
      </c>
      <c r="H457" t="s">
        <v>10</v>
      </c>
      <c r="I457" t="s">
        <v>861</v>
      </c>
      <c r="J457">
        <v>103.5</v>
      </c>
      <c r="K457" t="e">
        <f>IF(COUNTIF(#REF!,Tabela2[[#This Row],[IdxWspolny]])&gt;0,"ELEM_lub_PRD","TECHN")</f>
        <v>#REF!</v>
      </c>
      <c r="L457" t="e">
        <f>IF(COUNTIF(#REF!,Tabela2[[#This Row],[KOD_PRODUKTU]])&gt;0,"ELEMENT","PRODUKT")</f>
        <v>#REF!</v>
      </c>
      <c r="M457" t="e">
        <f>COUNTIF(#REF!,Tabela2[[#This Row],[KOD_PRODUKTU]])</f>
        <v>#REF!</v>
      </c>
    </row>
    <row r="458" spans="1:14" x14ac:dyDescent="0.25">
      <c r="A458" s="1" t="s">
        <v>862</v>
      </c>
      <c r="B458" t="s">
        <v>863</v>
      </c>
      <c r="C458" s="1" t="s">
        <v>649</v>
      </c>
      <c r="D458" s="1" t="s">
        <v>649</v>
      </c>
      <c r="E458" s="1" t="s">
        <v>649</v>
      </c>
      <c r="F458" t="s">
        <v>650</v>
      </c>
      <c r="G458" t="s">
        <v>651</v>
      </c>
      <c r="H458" t="s">
        <v>39</v>
      </c>
      <c r="I458" t="s">
        <v>25</v>
      </c>
      <c r="J458">
        <v>0.49</v>
      </c>
      <c r="K458" t="e">
        <f>IF(COUNTIF(#REF!,Tabela2[[#This Row],[IdxWspolny]])&gt;0,"ELEM_lub_PRD","TECHN")</f>
        <v>#REF!</v>
      </c>
      <c r="L458" t="e">
        <f>IF(COUNTIF(#REF!,Tabela2[[#This Row],[KOD_PRODUKTU]])&gt;0,"ELEMENT","PRODUKT")</f>
        <v>#REF!</v>
      </c>
      <c r="M458" t="e">
        <f>COUNTIF(#REF!,Tabela2[[#This Row],[KOD_PRODUKTU]])</f>
        <v>#REF!</v>
      </c>
    </row>
    <row r="459" spans="1:14" x14ac:dyDescent="0.25">
      <c r="A459" s="1" t="s">
        <v>862</v>
      </c>
      <c r="B459" t="s">
        <v>863</v>
      </c>
      <c r="C459" s="1" t="s">
        <v>864</v>
      </c>
      <c r="D459" s="1" t="s">
        <v>864</v>
      </c>
      <c r="E459" s="1" t="s">
        <v>864</v>
      </c>
      <c r="F459" t="s">
        <v>865</v>
      </c>
      <c r="G459" t="s">
        <v>866</v>
      </c>
      <c r="H459" t="s">
        <v>39</v>
      </c>
      <c r="I459" t="s">
        <v>25</v>
      </c>
      <c r="J459">
        <v>0.18</v>
      </c>
      <c r="K459" t="e">
        <f>IF(COUNTIF(#REF!,Tabela2[[#This Row],[IdxWspolny]])&gt;0,"ELEM_lub_PRD","TECHN")</f>
        <v>#REF!</v>
      </c>
      <c r="L459" t="e">
        <f>IF(COUNTIF(#REF!,Tabela2[[#This Row],[KOD_PRODUKTU]])&gt;0,"ELEMENT","PRODUKT")</f>
        <v>#REF!</v>
      </c>
      <c r="M459" t="e">
        <f>COUNTIF(#REF!,Tabela2[[#This Row],[KOD_PRODUKTU]])</f>
        <v>#REF!</v>
      </c>
    </row>
    <row r="460" spans="1:14" x14ac:dyDescent="0.25">
      <c r="A460" s="1" t="s">
        <v>862</v>
      </c>
      <c r="B460" t="s">
        <v>863</v>
      </c>
      <c r="C460" s="1" t="s">
        <v>867</v>
      </c>
      <c r="D460" s="1" t="s">
        <v>867</v>
      </c>
      <c r="E460" s="1" t="s">
        <v>867</v>
      </c>
      <c r="F460" t="s">
        <v>868</v>
      </c>
      <c r="G460" t="s">
        <v>255</v>
      </c>
      <c r="H460" t="s">
        <v>39</v>
      </c>
      <c r="I460" t="s">
        <v>25</v>
      </c>
      <c r="J460">
        <v>1.95</v>
      </c>
      <c r="K460" t="e">
        <f>IF(COUNTIF(#REF!,Tabela2[[#This Row],[IdxWspolny]])&gt;0,"ELEM_lub_PRD","TECHN")</f>
        <v>#REF!</v>
      </c>
      <c r="L460" t="e">
        <f>IF(COUNTIF(#REF!,Tabela2[[#This Row],[KOD_PRODUKTU]])&gt;0,"ELEMENT","PRODUKT")</f>
        <v>#REF!</v>
      </c>
      <c r="M460" t="e">
        <f>COUNTIF(#REF!,Tabela2[[#This Row],[KOD_PRODUKTU]])</f>
        <v>#REF!</v>
      </c>
    </row>
    <row r="461" spans="1:14" x14ac:dyDescent="0.25">
      <c r="A461" s="1" t="s">
        <v>862</v>
      </c>
      <c r="B461" t="s">
        <v>863</v>
      </c>
      <c r="C461" s="1" t="s">
        <v>869</v>
      </c>
      <c r="D461" s="1" t="s">
        <v>869</v>
      </c>
      <c r="E461" s="1" t="s">
        <v>869</v>
      </c>
      <c r="F461" t="s">
        <v>870</v>
      </c>
      <c r="G461" t="s">
        <v>871</v>
      </c>
      <c r="H461" t="s">
        <v>39</v>
      </c>
      <c r="I461" t="s">
        <v>40</v>
      </c>
      <c r="J461">
        <v>1.8</v>
      </c>
      <c r="K461" t="e">
        <f>IF(COUNTIF(#REF!,Tabela2[[#This Row],[IdxWspolny]])&gt;0,"ELEM_lub_PRD","TECHN")</f>
        <v>#REF!</v>
      </c>
      <c r="L461" t="e">
        <f>IF(COUNTIF(#REF!,Tabela2[[#This Row],[KOD_PRODUKTU]])&gt;0,"ELEMENT","PRODUKT")</f>
        <v>#REF!</v>
      </c>
      <c r="M461" t="e">
        <f>COUNTIF(#REF!,Tabela2[[#This Row],[KOD_PRODUKTU]])</f>
        <v>#REF!</v>
      </c>
    </row>
    <row r="462" spans="1:14" x14ac:dyDescent="0.25">
      <c r="A462" s="1" t="s">
        <v>862</v>
      </c>
      <c r="B462" t="s">
        <v>863</v>
      </c>
      <c r="C462" s="1" t="s">
        <v>41</v>
      </c>
      <c r="D462" s="1" t="s">
        <v>41</v>
      </c>
      <c r="E462" s="1" t="s">
        <v>41</v>
      </c>
      <c r="F462" t="s">
        <v>42</v>
      </c>
      <c r="G462" t="s">
        <v>43</v>
      </c>
      <c r="H462" t="s">
        <v>5</v>
      </c>
      <c r="I462" t="s">
        <v>550</v>
      </c>
      <c r="J462">
        <v>0.02</v>
      </c>
      <c r="K462" t="e">
        <f>IF(COUNTIF(#REF!,Tabela2[[#This Row],[IdxWspolny]])&gt;0,"ELEM_lub_PRD","TECHN")</f>
        <v>#REF!</v>
      </c>
      <c r="L462" t="e">
        <f>IF(COUNTIF(#REF!,Tabela2[[#This Row],[KOD_PRODUKTU]])&gt;0,"ELEMENT","PRODUKT")</f>
        <v>#REF!</v>
      </c>
      <c r="M462" t="e">
        <f>COUNTIF(#REF!,Tabela2[[#This Row],[KOD_PRODUKTU]])</f>
        <v>#REF!</v>
      </c>
    </row>
    <row r="463" spans="1:14" x14ac:dyDescent="0.25">
      <c r="A463" s="1" t="s">
        <v>862</v>
      </c>
      <c r="B463" t="s">
        <v>863</v>
      </c>
      <c r="C463" s="1" t="s">
        <v>872</v>
      </c>
      <c r="D463" s="1" t="s">
        <v>872</v>
      </c>
      <c r="E463" s="1" t="s">
        <v>872</v>
      </c>
      <c r="F463" t="s">
        <v>873</v>
      </c>
      <c r="G463" t="s">
        <v>117</v>
      </c>
      <c r="H463" t="s">
        <v>49</v>
      </c>
      <c r="I463" t="s">
        <v>50</v>
      </c>
      <c r="J463">
        <v>20</v>
      </c>
      <c r="K463" t="e">
        <f>IF(COUNTIF(#REF!,Tabela2[[#This Row],[IdxWspolny]])&gt;0,"ELEM_lub_PRD","TECHN")</f>
        <v>#REF!</v>
      </c>
      <c r="L463" t="e">
        <f>IF(COUNTIF(#REF!,Tabela2[[#This Row],[KOD_PRODUKTU]])&gt;0,"ELEMENT","PRODUKT")</f>
        <v>#REF!</v>
      </c>
      <c r="M463" t="e">
        <f>COUNTIF(#REF!,Tabela2[[#This Row],[KOD_PRODUKTU]])</f>
        <v>#REF!</v>
      </c>
    </row>
    <row r="464" spans="1:14" x14ac:dyDescent="0.25">
      <c r="A464" s="1" t="s">
        <v>862</v>
      </c>
      <c r="B464" t="s">
        <v>863</v>
      </c>
      <c r="C464" s="1" t="s">
        <v>874</v>
      </c>
      <c r="D464" s="1" t="s">
        <v>874</v>
      </c>
      <c r="E464" s="1" t="s">
        <v>874</v>
      </c>
      <c r="F464" t="s">
        <v>875</v>
      </c>
      <c r="G464" t="s">
        <v>876</v>
      </c>
      <c r="H464" t="s">
        <v>121</v>
      </c>
      <c r="I464" t="s">
        <v>50</v>
      </c>
      <c r="J464">
        <v>12</v>
      </c>
      <c r="K464" t="e">
        <f>IF(COUNTIF(#REF!,Tabela2[[#This Row],[IdxWspolny]])&gt;0,"ELEM_lub_PRD","TECHN")</f>
        <v>#REF!</v>
      </c>
      <c r="L464" t="e">
        <f>IF(COUNTIF(#REF!,Tabela2[[#This Row],[KOD_PRODUKTU]])&gt;0,"ELEMENT","PRODUKT")</f>
        <v>#REF!</v>
      </c>
      <c r="M464" t="e">
        <f>COUNTIF(#REF!,Tabela2[[#This Row],[KOD_PRODUKTU]])</f>
        <v>#REF!</v>
      </c>
    </row>
    <row r="465" spans="1:14" x14ac:dyDescent="0.25">
      <c r="A465" s="1" t="s">
        <v>862</v>
      </c>
      <c r="B465" t="s">
        <v>863</v>
      </c>
      <c r="C465" s="1" t="s">
        <v>877</v>
      </c>
      <c r="D465" s="1" t="s">
        <v>877</v>
      </c>
      <c r="E465" s="1" t="s">
        <v>877</v>
      </c>
      <c r="F465" t="s">
        <v>878</v>
      </c>
      <c r="G465" t="s">
        <v>879</v>
      </c>
      <c r="H465" t="s">
        <v>49</v>
      </c>
      <c r="I465" t="s">
        <v>50</v>
      </c>
      <c r="J465">
        <v>14</v>
      </c>
      <c r="K465" t="e">
        <f>IF(COUNTIF(#REF!,Tabela2[[#This Row],[IdxWspolny]])&gt;0,"ELEM_lub_PRD","TECHN")</f>
        <v>#REF!</v>
      </c>
      <c r="L465" t="e">
        <f>IF(COUNTIF(#REF!,Tabela2[[#This Row],[KOD_PRODUKTU]])&gt;0,"ELEMENT","PRODUKT")</f>
        <v>#REF!</v>
      </c>
      <c r="M465" t="e">
        <f>COUNTIF(#REF!,Tabela2[[#This Row],[KOD_PRODUKTU]])</f>
        <v>#REF!</v>
      </c>
    </row>
    <row r="466" spans="1:14" x14ac:dyDescent="0.25">
      <c r="A466" s="1" t="s">
        <v>862</v>
      </c>
      <c r="B466" t="s">
        <v>863</v>
      </c>
      <c r="C466" s="1" t="s">
        <v>880</v>
      </c>
      <c r="D466" s="1" t="s">
        <v>880</v>
      </c>
      <c r="E466" s="1" t="s">
        <v>880</v>
      </c>
      <c r="F466" t="s">
        <v>881</v>
      </c>
      <c r="G466" t="s">
        <v>263</v>
      </c>
      <c r="H466" t="s">
        <v>49</v>
      </c>
      <c r="I466" t="s">
        <v>50</v>
      </c>
      <c r="J466">
        <v>30</v>
      </c>
      <c r="K466" t="e">
        <f>IF(COUNTIF(#REF!,Tabela2[[#This Row],[IdxWspolny]])&gt;0,"ELEM_lub_PRD","TECHN")</f>
        <v>#REF!</v>
      </c>
      <c r="L466" t="e">
        <f>IF(COUNTIF(#REF!,Tabela2[[#This Row],[KOD_PRODUKTU]])&gt;0,"ELEMENT","PRODUKT")</f>
        <v>#REF!</v>
      </c>
      <c r="M466" t="e">
        <f>COUNTIF(#REF!,Tabela2[[#This Row],[KOD_PRODUKTU]])</f>
        <v>#REF!</v>
      </c>
    </row>
    <row r="467" spans="1:14" x14ac:dyDescent="0.25">
      <c r="A467" s="1" t="s">
        <v>862</v>
      </c>
      <c r="B467" t="s">
        <v>863</v>
      </c>
      <c r="C467" s="1" t="s">
        <v>882</v>
      </c>
      <c r="D467" s="1" t="s">
        <v>882</v>
      </c>
      <c r="E467" s="1" t="s">
        <v>882</v>
      </c>
      <c r="F467" t="s">
        <v>883</v>
      </c>
      <c r="G467" t="s">
        <v>884</v>
      </c>
      <c r="H467" t="s">
        <v>49</v>
      </c>
      <c r="I467" t="s">
        <v>50</v>
      </c>
      <c r="J467">
        <v>24</v>
      </c>
      <c r="K467" t="e">
        <f>IF(COUNTIF(#REF!,Tabela2[[#This Row],[IdxWspolny]])&gt;0,"ELEM_lub_PRD","TECHN")</f>
        <v>#REF!</v>
      </c>
      <c r="L467" t="e">
        <f>IF(COUNTIF(#REF!,Tabela2[[#This Row],[KOD_PRODUKTU]])&gt;0,"ELEMENT","PRODUKT")</f>
        <v>#REF!</v>
      </c>
      <c r="M467" t="e">
        <f>COUNTIF(#REF!,Tabela2[[#This Row],[KOD_PRODUKTU]])</f>
        <v>#REF!</v>
      </c>
    </row>
    <row r="468" spans="1:14" x14ac:dyDescent="0.25">
      <c r="A468" s="1" t="s">
        <v>862</v>
      </c>
      <c r="B468" t="s">
        <v>863</v>
      </c>
      <c r="C468" s="1" t="s">
        <v>885</v>
      </c>
      <c r="D468" s="1" t="s">
        <v>885</v>
      </c>
      <c r="E468" s="1" t="s">
        <v>885</v>
      </c>
      <c r="F468" t="s">
        <v>886</v>
      </c>
      <c r="G468" t="s">
        <v>887</v>
      </c>
      <c r="H468" t="s">
        <v>49</v>
      </c>
      <c r="I468" t="s">
        <v>50</v>
      </c>
      <c r="J468">
        <v>28</v>
      </c>
      <c r="K468" t="e">
        <f>IF(COUNTIF(#REF!,Tabela2[[#This Row],[IdxWspolny]])&gt;0,"ELEM_lub_PRD","TECHN")</f>
        <v>#REF!</v>
      </c>
      <c r="L468" t="e">
        <f>IF(COUNTIF(#REF!,Tabela2[[#This Row],[KOD_PRODUKTU]])&gt;0,"ELEMENT","PRODUKT")</f>
        <v>#REF!</v>
      </c>
      <c r="M468" t="e">
        <f>COUNTIF(#REF!,Tabela2[[#This Row],[KOD_PRODUKTU]])</f>
        <v>#REF!</v>
      </c>
    </row>
    <row r="469" spans="1:14" x14ac:dyDescent="0.25">
      <c r="A469" s="1" t="s">
        <v>862</v>
      </c>
      <c r="B469" t="s">
        <v>863</v>
      </c>
      <c r="C469" s="1" t="s">
        <v>888</v>
      </c>
      <c r="D469" s="1" t="s">
        <v>888</v>
      </c>
      <c r="E469" s="1" t="s">
        <v>888</v>
      </c>
      <c r="F469" t="s">
        <v>889</v>
      </c>
      <c r="G469" t="s">
        <v>879</v>
      </c>
      <c r="H469" t="s">
        <v>49</v>
      </c>
      <c r="I469" t="s">
        <v>50</v>
      </c>
      <c r="J469">
        <v>14</v>
      </c>
      <c r="K469" t="e">
        <f>IF(COUNTIF(#REF!,Tabela2[[#This Row],[IdxWspolny]])&gt;0,"ELEM_lub_PRD","TECHN")</f>
        <v>#REF!</v>
      </c>
      <c r="L469" t="e">
        <f>IF(COUNTIF(#REF!,Tabela2[[#This Row],[KOD_PRODUKTU]])&gt;0,"ELEMENT","PRODUKT")</f>
        <v>#REF!</v>
      </c>
      <c r="M469" t="e">
        <f>COUNTIF(#REF!,Tabela2[[#This Row],[KOD_PRODUKTU]])</f>
        <v>#REF!</v>
      </c>
    </row>
    <row r="470" spans="1:14" hidden="1" x14ac:dyDescent="0.25">
      <c r="A470" s="1" t="s">
        <v>862</v>
      </c>
      <c r="B470" t="s">
        <v>863</v>
      </c>
      <c r="C470" s="1" t="s">
        <v>713</v>
      </c>
      <c r="D470" s="1" t="s">
        <v>713</v>
      </c>
      <c r="E470" s="1" t="s">
        <v>713</v>
      </c>
      <c r="F470" t="s">
        <v>714</v>
      </c>
      <c r="G470" t="s">
        <v>501</v>
      </c>
      <c r="H470" t="s">
        <v>49</v>
      </c>
      <c r="I470" t="s">
        <v>50</v>
      </c>
      <c r="J470">
        <v>4.5</v>
      </c>
      <c r="K470" t="e">
        <f>IF(COUNTIF(#REF!,Tabela2[[#This Row],[IdxWspolny]])&gt;0,"ELEM_lub_PRD","TECHN")</f>
        <v>#REF!</v>
      </c>
      <c r="L470" t="e">
        <f>IF(COUNTIF(#REF!,Tabela2[[#This Row],[KOD_PRODUKTU]])&gt;0,"ELEMENT","PRODUKT")</f>
        <v>#REF!</v>
      </c>
      <c r="M470" t="e">
        <f>COUNTIF(#REF!,Tabela2[[#This Row],[KOD_PRODUKTU]])</f>
        <v>#REF!</v>
      </c>
      <c r="N470" t="s">
        <v>55</v>
      </c>
    </row>
    <row r="471" spans="1:14" hidden="1" x14ac:dyDescent="0.25">
      <c r="A471" s="1" t="s">
        <v>862</v>
      </c>
      <c r="B471" t="s">
        <v>863</v>
      </c>
      <c r="C471" s="1" t="s">
        <v>715</v>
      </c>
      <c r="D471" s="1" t="s">
        <v>715</v>
      </c>
      <c r="E471" s="1" t="s">
        <v>715</v>
      </c>
      <c r="F471" t="s">
        <v>716</v>
      </c>
      <c r="G471" t="s">
        <v>501</v>
      </c>
      <c r="H471" t="s">
        <v>49</v>
      </c>
      <c r="I471" t="s">
        <v>50</v>
      </c>
      <c r="J471">
        <v>4.5</v>
      </c>
      <c r="K471" t="e">
        <f>IF(COUNTIF(#REF!,Tabela2[[#This Row],[IdxWspolny]])&gt;0,"ELEM_lub_PRD","TECHN")</f>
        <v>#REF!</v>
      </c>
      <c r="L471" t="e">
        <f>IF(COUNTIF(#REF!,Tabela2[[#This Row],[KOD_PRODUKTU]])&gt;0,"ELEMENT","PRODUKT")</f>
        <v>#REF!</v>
      </c>
      <c r="M471" t="e">
        <f>COUNTIF(#REF!,Tabela2[[#This Row],[KOD_PRODUKTU]])</f>
        <v>#REF!</v>
      </c>
      <c r="N471" t="s">
        <v>55</v>
      </c>
    </row>
    <row r="472" spans="1:14" hidden="1" x14ac:dyDescent="0.25">
      <c r="A472" s="1" t="s">
        <v>862</v>
      </c>
      <c r="B472" t="s">
        <v>863</v>
      </c>
      <c r="C472" s="1" t="s">
        <v>717</v>
      </c>
      <c r="D472" s="1" t="s">
        <v>717</v>
      </c>
      <c r="E472" s="1" t="s">
        <v>717</v>
      </c>
      <c r="F472" t="s">
        <v>718</v>
      </c>
      <c r="G472" t="s">
        <v>61</v>
      </c>
      <c r="H472" t="s">
        <v>49</v>
      </c>
      <c r="I472" t="s">
        <v>50</v>
      </c>
      <c r="J472">
        <v>3.85</v>
      </c>
      <c r="K472" t="e">
        <f>IF(COUNTIF(#REF!,Tabela2[[#This Row],[IdxWspolny]])&gt;0,"ELEM_lub_PRD","TECHN")</f>
        <v>#REF!</v>
      </c>
      <c r="L472" t="e">
        <f>IF(COUNTIF(#REF!,Tabela2[[#This Row],[KOD_PRODUKTU]])&gt;0,"ELEMENT","PRODUKT")</f>
        <v>#REF!</v>
      </c>
      <c r="M472" t="e">
        <f>COUNTIF(#REF!,Tabela2[[#This Row],[KOD_PRODUKTU]])</f>
        <v>#REF!</v>
      </c>
      <c r="N472" t="s">
        <v>55</v>
      </c>
    </row>
    <row r="473" spans="1:14" x14ac:dyDescent="0.25">
      <c r="A473" s="1" t="s">
        <v>862</v>
      </c>
      <c r="B473" t="s">
        <v>863</v>
      </c>
      <c r="C473" s="1" t="s">
        <v>857</v>
      </c>
      <c r="D473" s="1" t="s">
        <v>857</v>
      </c>
      <c r="E473" s="1" t="s">
        <v>857</v>
      </c>
      <c r="F473" t="s">
        <v>858</v>
      </c>
      <c r="G473" t="s">
        <v>686</v>
      </c>
      <c r="H473" t="s">
        <v>49</v>
      </c>
      <c r="I473" t="s">
        <v>890</v>
      </c>
      <c r="J473">
        <v>4.3</v>
      </c>
      <c r="K473" t="e">
        <f>IF(COUNTIF(#REF!,Tabela2[[#This Row],[IdxWspolny]])&gt;0,"ELEM_lub_PRD","TECHN")</f>
        <v>#REF!</v>
      </c>
      <c r="L473" t="e">
        <f>IF(COUNTIF(#REF!,Tabela2[[#This Row],[KOD_PRODUKTU]])&gt;0,"ELEMENT","PRODUKT")</f>
        <v>#REF!</v>
      </c>
      <c r="M473" t="e">
        <f>COUNTIF(#REF!,Tabela2[[#This Row],[KOD_PRODUKTU]])</f>
        <v>#REF!</v>
      </c>
    </row>
    <row r="474" spans="1:14" x14ac:dyDescent="0.25">
      <c r="A474" s="1" t="s">
        <v>862</v>
      </c>
      <c r="B474" t="s">
        <v>863</v>
      </c>
      <c r="C474" s="1" t="s">
        <v>688</v>
      </c>
      <c r="D474" s="1" t="s">
        <v>688</v>
      </c>
      <c r="E474" s="1" t="s">
        <v>688</v>
      </c>
      <c r="F474" t="s">
        <v>810</v>
      </c>
      <c r="G474" t="s">
        <v>811</v>
      </c>
      <c r="H474" t="s">
        <v>10</v>
      </c>
      <c r="I474" t="s">
        <v>891</v>
      </c>
      <c r="J474">
        <v>132</v>
      </c>
      <c r="K474" t="e">
        <f>IF(COUNTIF(#REF!,Tabela2[[#This Row],[IdxWspolny]])&gt;0,"ELEM_lub_PRD","TECHN")</f>
        <v>#REF!</v>
      </c>
      <c r="L474" t="e">
        <f>IF(COUNTIF(#REF!,Tabela2[[#This Row],[KOD_PRODUKTU]])&gt;0,"ELEMENT","PRODUKT")</f>
        <v>#REF!</v>
      </c>
      <c r="M474" t="e">
        <f>COUNTIF(#REF!,Tabela2[[#This Row],[KOD_PRODUKTU]])</f>
        <v>#REF!</v>
      </c>
    </row>
    <row r="475" spans="1:14" x14ac:dyDescent="0.25">
      <c r="A475" s="1" t="s">
        <v>862</v>
      </c>
      <c r="B475" t="s">
        <v>863</v>
      </c>
      <c r="C475" s="1" t="s">
        <v>7</v>
      </c>
      <c r="D475" s="1" t="s">
        <v>7</v>
      </c>
      <c r="E475" s="1" t="s">
        <v>7</v>
      </c>
      <c r="F475" t="s">
        <v>8</v>
      </c>
      <c r="G475" t="s">
        <v>9</v>
      </c>
      <c r="H475" t="s">
        <v>10</v>
      </c>
      <c r="I475" t="s">
        <v>860</v>
      </c>
      <c r="J475">
        <v>23</v>
      </c>
      <c r="K475" t="e">
        <f>IF(COUNTIF(#REF!,Tabela2[[#This Row],[IdxWspolny]])&gt;0,"ELEM_lub_PRD","TECHN")</f>
        <v>#REF!</v>
      </c>
      <c r="L475" t="e">
        <f>IF(COUNTIF(#REF!,Tabela2[[#This Row],[KOD_PRODUKTU]])&gt;0,"ELEMENT","PRODUKT")</f>
        <v>#REF!</v>
      </c>
      <c r="M475" t="e">
        <f>COUNTIF(#REF!,Tabela2[[#This Row],[KOD_PRODUKTU]])</f>
        <v>#REF!</v>
      </c>
    </row>
    <row r="476" spans="1:14" x14ac:dyDescent="0.25">
      <c r="A476" s="1" t="s">
        <v>862</v>
      </c>
      <c r="B476" t="s">
        <v>863</v>
      </c>
      <c r="C476" s="1" t="s">
        <v>7</v>
      </c>
      <c r="D476" s="1" t="s">
        <v>7</v>
      </c>
      <c r="E476" s="1" t="s">
        <v>7</v>
      </c>
      <c r="F476" t="s">
        <v>8</v>
      </c>
      <c r="G476" t="s">
        <v>9</v>
      </c>
      <c r="H476" t="s">
        <v>10</v>
      </c>
      <c r="I476" t="s">
        <v>892</v>
      </c>
      <c r="J476">
        <v>146.4</v>
      </c>
      <c r="K476" t="e">
        <f>IF(COUNTIF(#REF!,Tabela2[[#This Row],[IdxWspolny]])&gt;0,"ELEM_lub_PRD","TECHN")</f>
        <v>#REF!</v>
      </c>
      <c r="L476" t="e">
        <f>IF(COUNTIF(#REF!,Tabela2[[#This Row],[KOD_PRODUKTU]])&gt;0,"ELEMENT","PRODUKT")</f>
        <v>#REF!</v>
      </c>
      <c r="M476" t="e">
        <f>COUNTIF(#REF!,Tabela2[[#This Row],[KOD_PRODUKTU]])</f>
        <v>#REF!</v>
      </c>
    </row>
    <row r="477" spans="1:14" x14ac:dyDescent="0.25">
      <c r="A477" s="1" t="s">
        <v>893</v>
      </c>
      <c r="B477" t="s">
        <v>894</v>
      </c>
      <c r="C477" s="1" t="s">
        <v>895</v>
      </c>
      <c r="D477" s="1" t="s">
        <v>895</v>
      </c>
      <c r="E477" s="1" t="s">
        <v>895</v>
      </c>
      <c r="F477" t="s">
        <v>896</v>
      </c>
      <c r="G477" t="s">
        <v>897</v>
      </c>
      <c r="H477" t="s">
        <v>39</v>
      </c>
      <c r="I477" t="s">
        <v>25</v>
      </c>
      <c r="J477">
        <v>0.56999999999999995</v>
      </c>
      <c r="K477" t="e">
        <f>IF(COUNTIF(#REF!,Tabela2[[#This Row],[IdxWspolny]])&gt;0,"ELEM_lub_PRD","TECHN")</f>
        <v>#REF!</v>
      </c>
      <c r="L477" t="e">
        <f>IF(COUNTIF(#REF!,Tabela2[[#This Row],[KOD_PRODUKTU]])&gt;0,"ELEMENT","PRODUKT")</f>
        <v>#REF!</v>
      </c>
      <c r="M477" t="e">
        <f>COUNTIF(#REF!,Tabela2[[#This Row],[KOD_PRODUKTU]])</f>
        <v>#REF!</v>
      </c>
    </row>
    <row r="478" spans="1:14" x14ac:dyDescent="0.25">
      <c r="A478" s="1" t="s">
        <v>893</v>
      </c>
      <c r="B478" t="s">
        <v>894</v>
      </c>
      <c r="C478" s="1" t="s">
        <v>898</v>
      </c>
      <c r="D478" s="1" t="s">
        <v>898</v>
      </c>
      <c r="E478" s="1" t="s">
        <v>898</v>
      </c>
      <c r="F478" t="s">
        <v>899</v>
      </c>
      <c r="G478" t="s">
        <v>866</v>
      </c>
      <c r="H478" t="s">
        <v>39</v>
      </c>
      <c r="I478" t="s">
        <v>25</v>
      </c>
      <c r="J478">
        <v>0.18</v>
      </c>
      <c r="K478" t="e">
        <f>IF(COUNTIF(#REF!,Tabela2[[#This Row],[IdxWspolny]])&gt;0,"ELEM_lub_PRD","TECHN")</f>
        <v>#REF!</v>
      </c>
      <c r="L478" t="e">
        <f>IF(COUNTIF(#REF!,Tabela2[[#This Row],[KOD_PRODUKTU]])&gt;0,"ELEMENT","PRODUKT")</f>
        <v>#REF!</v>
      </c>
      <c r="M478" t="e">
        <f>COUNTIF(#REF!,Tabela2[[#This Row],[KOD_PRODUKTU]])</f>
        <v>#REF!</v>
      </c>
    </row>
    <row r="479" spans="1:14" x14ac:dyDescent="0.25">
      <c r="A479" s="1" t="s">
        <v>893</v>
      </c>
      <c r="B479" t="s">
        <v>894</v>
      </c>
      <c r="C479" s="1" t="s">
        <v>900</v>
      </c>
      <c r="D479" s="1" t="s">
        <v>900</v>
      </c>
      <c r="E479" s="1" t="s">
        <v>900</v>
      </c>
      <c r="F479" t="s">
        <v>901</v>
      </c>
      <c r="G479" t="s">
        <v>712</v>
      </c>
      <c r="H479" t="s">
        <v>39</v>
      </c>
      <c r="I479" t="s">
        <v>25</v>
      </c>
      <c r="J479">
        <v>1.5</v>
      </c>
      <c r="K479" t="e">
        <f>IF(COUNTIF(#REF!,Tabela2[[#This Row],[IdxWspolny]])&gt;0,"ELEM_lub_PRD","TECHN")</f>
        <v>#REF!</v>
      </c>
      <c r="L479" t="e">
        <f>IF(COUNTIF(#REF!,Tabela2[[#This Row],[KOD_PRODUKTU]])&gt;0,"ELEMENT","PRODUKT")</f>
        <v>#REF!</v>
      </c>
      <c r="M479" t="e">
        <f>COUNTIF(#REF!,Tabela2[[#This Row],[KOD_PRODUKTU]])</f>
        <v>#REF!</v>
      </c>
    </row>
    <row r="480" spans="1:14" x14ac:dyDescent="0.25">
      <c r="A480" s="1" t="s">
        <v>893</v>
      </c>
      <c r="B480" t="s">
        <v>894</v>
      </c>
      <c r="C480" s="1" t="s">
        <v>869</v>
      </c>
      <c r="D480" s="1" t="s">
        <v>869</v>
      </c>
      <c r="E480" s="1" t="s">
        <v>869</v>
      </c>
      <c r="F480" t="s">
        <v>870</v>
      </c>
      <c r="G480" t="s">
        <v>871</v>
      </c>
      <c r="H480" t="s">
        <v>39</v>
      </c>
      <c r="I480" t="s">
        <v>40</v>
      </c>
      <c r="J480">
        <v>1.8</v>
      </c>
      <c r="K480" t="e">
        <f>IF(COUNTIF(#REF!,Tabela2[[#This Row],[IdxWspolny]])&gt;0,"ELEM_lub_PRD","TECHN")</f>
        <v>#REF!</v>
      </c>
      <c r="L480" t="e">
        <f>IF(COUNTIF(#REF!,Tabela2[[#This Row],[KOD_PRODUKTU]])&gt;0,"ELEMENT","PRODUKT")</f>
        <v>#REF!</v>
      </c>
      <c r="M480" t="e">
        <f>COUNTIF(#REF!,Tabela2[[#This Row],[KOD_PRODUKTU]])</f>
        <v>#REF!</v>
      </c>
    </row>
    <row r="481" spans="1:14" x14ac:dyDescent="0.25">
      <c r="A481" s="1" t="s">
        <v>893</v>
      </c>
      <c r="B481" t="s">
        <v>894</v>
      </c>
      <c r="C481" s="1" t="s">
        <v>41</v>
      </c>
      <c r="D481" s="1" t="s">
        <v>41</v>
      </c>
      <c r="E481" s="1" t="s">
        <v>41</v>
      </c>
      <c r="F481" t="s">
        <v>42</v>
      </c>
      <c r="G481" t="s">
        <v>513</v>
      </c>
      <c r="H481" t="s">
        <v>5</v>
      </c>
      <c r="I481" t="s">
        <v>559</v>
      </c>
      <c r="J481">
        <v>0.04</v>
      </c>
      <c r="K481" t="e">
        <f>IF(COUNTIF(#REF!,Tabela2[[#This Row],[IdxWspolny]])&gt;0,"ELEM_lub_PRD","TECHN")</f>
        <v>#REF!</v>
      </c>
      <c r="L481" t="e">
        <f>IF(COUNTIF(#REF!,Tabela2[[#This Row],[KOD_PRODUKTU]])&gt;0,"ELEMENT","PRODUKT")</f>
        <v>#REF!</v>
      </c>
      <c r="M481" t="e">
        <f>COUNTIF(#REF!,Tabela2[[#This Row],[KOD_PRODUKTU]])</f>
        <v>#REF!</v>
      </c>
    </row>
    <row r="482" spans="1:14" x14ac:dyDescent="0.25">
      <c r="A482" s="1" t="s">
        <v>893</v>
      </c>
      <c r="B482" t="s">
        <v>894</v>
      </c>
      <c r="C482" s="1" t="s">
        <v>902</v>
      </c>
      <c r="D482" s="1" t="s">
        <v>902</v>
      </c>
      <c r="E482" s="1" t="s">
        <v>902</v>
      </c>
      <c r="F482" t="s">
        <v>903</v>
      </c>
      <c r="G482" t="s">
        <v>904</v>
      </c>
      <c r="H482" t="s">
        <v>121</v>
      </c>
      <c r="I482" t="s">
        <v>50</v>
      </c>
      <c r="J482">
        <v>119.6</v>
      </c>
      <c r="K482" t="e">
        <f>IF(COUNTIF(#REF!,Tabela2[[#This Row],[IdxWspolny]])&gt;0,"ELEM_lub_PRD","TECHN")</f>
        <v>#REF!</v>
      </c>
      <c r="L482" t="e">
        <f>IF(COUNTIF(#REF!,Tabela2[[#This Row],[KOD_PRODUKTU]])&gt;0,"ELEMENT","PRODUKT")</f>
        <v>#REF!</v>
      </c>
      <c r="M482" t="e">
        <f>COUNTIF(#REF!,Tabela2[[#This Row],[KOD_PRODUKTU]])</f>
        <v>#REF!</v>
      </c>
    </row>
    <row r="483" spans="1:14" x14ac:dyDescent="0.25">
      <c r="A483" s="1" t="s">
        <v>893</v>
      </c>
      <c r="B483" t="s">
        <v>894</v>
      </c>
      <c r="C483" s="1" t="s">
        <v>905</v>
      </c>
      <c r="D483" s="1" t="s">
        <v>905</v>
      </c>
      <c r="E483" s="1" t="s">
        <v>905</v>
      </c>
      <c r="F483" t="s">
        <v>906</v>
      </c>
      <c r="G483" t="s">
        <v>904</v>
      </c>
      <c r="H483" t="s">
        <v>121</v>
      </c>
      <c r="I483" t="s">
        <v>50</v>
      </c>
      <c r="J483">
        <v>119.6</v>
      </c>
      <c r="K483" t="e">
        <f>IF(COUNTIF(#REF!,Tabela2[[#This Row],[IdxWspolny]])&gt;0,"ELEM_lub_PRD","TECHN")</f>
        <v>#REF!</v>
      </c>
      <c r="L483" t="e">
        <f>IF(COUNTIF(#REF!,Tabela2[[#This Row],[KOD_PRODUKTU]])&gt;0,"ELEMENT","PRODUKT")</f>
        <v>#REF!</v>
      </c>
      <c r="M483" t="e">
        <f>COUNTIF(#REF!,Tabela2[[#This Row],[KOD_PRODUKTU]])</f>
        <v>#REF!</v>
      </c>
    </row>
    <row r="484" spans="1:14" x14ac:dyDescent="0.25">
      <c r="A484" s="1" t="s">
        <v>893</v>
      </c>
      <c r="B484" t="s">
        <v>894</v>
      </c>
      <c r="C484" s="1" t="s">
        <v>907</v>
      </c>
      <c r="D484" s="1" t="s">
        <v>907</v>
      </c>
      <c r="E484" s="1" t="s">
        <v>907</v>
      </c>
      <c r="F484" t="s">
        <v>908</v>
      </c>
      <c r="G484" t="s">
        <v>909</v>
      </c>
      <c r="H484" t="s">
        <v>121</v>
      </c>
      <c r="I484" t="s">
        <v>50</v>
      </c>
      <c r="J484">
        <v>55.9</v>
      </c>
      <c r="K484" t="e">
        <f>IF(COUNTIF(#REF!,Tabela2[[#This Row],[IdxWspolny]])&gt;0,"ELEM_lub_PRD","TECHN")</f>
        <v>#REF!</v>
      </c>
      <c r="L484" t="e">
        <f>IF(COUNTIF(#REF!,Tabela2[[#This Row],[KOD_PRODUKTU]])&gt;0,"ELEMENT","PRODUKT")</f>
        <v>#REF!</v>
      </c>
      <c r="M484" t="e">
        <f>COUNTIF(#REF!,Tabela2[[#This Row],[KOD_PRODUKTU]])</f>
        <v>#REF!</v>
      </c>
    </row>
    <row r="485" spans="1:14" x14ac:dyDescent="0.25">
      <c r="A485" s="1" t="s">
        <v>893</v>
      </c>
      <c r="B485" t="s">
        <v>894</v>
      </c>
      <c r="C485" s="1" t="s">
        <v>910</v>
      </c>
      <c r="D485" s="1" t="s">
        <v>910</v>
      </c>
      <c r="E485" s="1" t="s">
        <v>910</v>
      </c>
      <c r="F485" t="s">
        <v>911</v>
      </c>
      <c r="G485" t="s">
        <v>912</v>
      </c>
      <c r="H485" t="s">
        <v>121</v>
      </c>
      <c r="I485" t="s">
        <v>50</v>
      </c>
      <c r="J485">
        <v>114.4</v>
      </c>
      <c r="K485" t="e">
        <f>IF(COUNTIF(#REF!,Tabela2[[#This Row],[IdxWspolny]])&gt;0,"ELEM_lub_PRD","TECHN")</f>
        <v>#REF!</v>
      </c>
      <c r="L485" t="e">
        <f>IF(COUNTIF(#REF!,Tabela2[[#This Row],[KOD_PRODUKTU]])&gt;0,"ELEMENT","PRODUKT")</f>
        <v>#REF!</v>
      </c>
      <c r="M485" t="e">
        <f>COUNTIF(#REF!,Tabela2[[#This Row],[KOD_PRODUKTU]])</f>
        <v>#REF!</v>
      </c>
    </row>
    <row r="486" spans="1:14" x14ac:dyDescent="0.25">
      <c r="A486" s="1" t="s">
        <v>893</v>
      </c>
      <c r="B486" t="s">
        <v>894</v>
      </c>
      <c r="C486" s="1" t="s">
        <v>913</v>
      </c>
      <c r="D486" s="1" t="s">
        <v>913</v>
      </c>
      <c r="E486" s="1" t="s">
        <v>913</v>
      </c>
      <c r="F486" t="s">
        <v>914</v>
      </c>
      <c r="G486" t="s">
        <v>915</v>
      </c>
      <c r="H486" t="s">
        <v>121</v>
      </c>
      <c r="I486" t="s">
        <v>50</v>
      </c>
      <c r="J486">
        <v>117</v>
      </c>
      <c r="K486" t="e">
        <f>IF(COUNTIF(#REF!,Tabela2[[#This Row],[IdxWspolny]])&gt;0,"ELEM_lub_PRD","TECHN")</f>
        <v>#REF!</v>
      </c>
      <c r="L486" t="e">
        <f>IF(COUNTIF(#REF!,Tabela2[[#This Row],[KOD_PRODUKTU]])&gt;0,"ELEMENT","PRODUKT")</f>
        <v>#REF!</v>
      </c>
      <c r="M486" t="e">
        <f>COUNTIF(#REF!,Tabela2[[#This Row],[KOD_PRODUKTU]])</f>
        <v>#REF!</v>
      </c>
    </row>
    <row r="487" spans="1:14" x14ac:dyDescent="0.25">
      <c r="A487" s="1" t="s">
        <v>893</v>
      </c>
      <c r="B487" t="s">
        <v>894</v>
      </c>
      <c r="C487" s="1" t="s">
        <v>916</v>
      </c>
      <c r="D487" s="1" t="s">
        <v>916</v>
      </c>
      <c r="E487" s="1" t="s">
        <v>916</v>
      </c>
      <c r="F487" t="s">
        <v>917</v>
      </c>
      <c r="G487" t="s">
        <v>918</v>
      </c>
      <c r="H487" t="s">
        <v>121</v>
      </c>
      <c r="I487" t="s">
        <v>50</v>
      </c>
      <c r="J487">
        <v>89.7</v>
      </c>
      <c r="K487" t="e">
        <f>IF(COUNTIF(#REF!,Tabela2[[#This Row],[IdxWspolny]])&gt;0,"ELEM_lub_PRD","TECHN")</f>
        <v>#REF!</v>
      </c>
      <c r="L487" t="e">
        <f>IF(COUNTIF(#REF!,Tabela2[[#This Row],[KOD_PRODUKTU]])&gt;0,"ELEMENT","PRODUKT")</f>
        <v>#REF!</v>
      </c>
      <c r="M487" t="e">
        <f>COUNTIF(#REF!,Tabela2[[#This Row],[KOD_PRODUKTU]])</f>
        <v>#REF!</v>
      </c>
    </row>
    <row r="488" spans="1:14" x14ac:dyDescent="0.25">
      <c r="A488" s="1" t="s">
        <v>893</v>
      </c>
      <c r="B488" t="s">
        <v>894</v>
      </c>
      <c r="C488" s="1" t="s">
        <v>919</v>
      </c>
      <c r="D488" s="1" t="s">
        <v>919</v>
      </c>
      <c r="E488" s="1" t="s">
        <v>919</v>
      </c>
      <c r="F488" t="s">
        <v>920</v>
      </c>
      <c r="G488" t="s">
        <v>921</v>
      </c>
      <c r="H488" t="s">
        <v>121</v>
      </c>
      <c r="I488" t="s">
        <v>50</v>
      </c>
      <c r="J488">
        <v>93.6</v>
      </c>
      <c r="K488" t="e">
        <f>IF(COUNTIF(#REF!,Tabela2[[#This Row],[IdxWspolny]])&gt;0,"ELEM_lub_PRD","TECHN")</f>
        <v>#REF!</v>
      </c>
      <c r="L488" t="e">
        <f>IF(COUNTIF(#REF!,Tabela2[[#This Row],[KOD_PRODUKTU]])&gt;0,"ELEMENT","PRODUKT")</f>
        <v>#REF!</v>
      </c>
      <c r="M488" t="e">
        <f>COUNTIF(#REF!,Tabela2[[#This Row],[KOD_PRODUKTU]])</f>
        <v>#REF!</v>
      </c>
    </row>
    <row r="489" spans="1:14" x14ac:dyDescent="0.25">
      <c r="A489" s="1" t="s">
        <v>893</v>
      </c>
      <c r="B489" t="s">
        <v>894</v>
      </c>
      <c r="C489" s="1" t="s">
        <v>684</v>
      </c>
      <c r="D489" s="1" t="s">
        <v>684</v>
      </c>
      <c r="E489" s="1" t="s">
        <v>684</v>
      </c>
      <c r="F489" t="s">
        <v>685</v>
      </c>
      <c r="G489" t="s">
        <v>686</v>
      </c>
      <c r="H489" t="s">
        <v>49</v>
      </c>
      <c r="I489" t="s">
        <v>922</v>
      </c>
      <c r="J489">
        <v>3.75</v>
      </c>
      <c r="K489" t="e">
        <f>IF(COUNTIF(#REF!,Tabela2[[#This Row],[IdxWspolny]])&gt;0,"ELEM_lub_PRD","TECHN")</f>
        <v>#REF!</v>
      </c>
      <c r="L489" t="e">
        <f>IF(COUNTIF(#REF!,Tabela2[[#This Row],[KOD_PRODUKTU]])&gt;0,"ELEMENT","PRODUKT")</f>
        <v>#REF!</v>
      </c>
      <c r="M489" t="e">
        <f>COUNTIF(#REF!,Tabela2[[#This Row],[KOD_PRODUKTU]])</f>
        <v>#REF!</v>
      </c>
    </row>
    <row r="490" spans="1:14" x14ac:dyDescent="0.25">
      <c r="A490" s="1" t="s">
        <v>893</v>
      </c>
      <c r="B490" t="s">
        <v>894</v>
      </c>
      <c r="C490" s="1" t="s">
        <v>7</v>
      </c>
      <c r="D490" s="1" t="s">
        <v>7</v>
      </c>
      <c r="E490" s="1" t="s">
        <v>7</v>
      </c>
      <c r="F490" t="s">
        <v>8</v>
      </c>
      <c r="G490" t="s">
        <v>9</v>
      </c>
      <c r="H490" t="s">
        <v>10</v>
      </c>
      <c r="I490" t="s">
        <v>923</v>
      </c>
      <c r="J490">
        <v>264.5</v>
      </c>
      <c r="K490" t="e">
        <f>IF(COUNTIF(#REF!,Tabela2[[#This Row],[IdxWspolny]])&gt;0,"ELEM_lub_PRD","TECHN")</f>
        <v>#REF!</v>
      </c>
      <c r="L490" t="e">
        <f>IF(COUNTIF(#REF!,Tabela2[[#This Row],[KOD_PRODUKTU]])&gt;0,"ELEMENT","PRODUKT")</f>
        <v>#REF!</v>
      </c>
      <c r="M490" t="e">
        <f>COUNTIF(#REF!,Tabela2[[#This Row],[KOD_PRODUKTU]])</f>
        <v>#REF!</v>
      </c>
    </row>
    <row r="491" spans="1:14" x14ac:dyDescent="0.25">
      <c r="A491" s="1" t="s">
        <v>924</v>
      </c>
      <c r="B491" t="s">
        <v>925</v>
      </c>
      <c r="C491" s="1" t="s">
        <v>926</v>
      </c>
      <c r="D491" s="1" t="s">
        <v>926</v>
      </c>
      <c r="E491" s="1" t="s">
        <v>926</v>
      </c>
      <c r="F491" t="s">
        <v>927</v>
      </c>
      <c r="G491" t="s">
        <v>928</v>
      </c>
      <c r="H491" t="s">
        <v>5</v>
      </c>
      <c r="I491" t="s">
        <v>929</v>
      </c>
      <c r="J491">
        <v>0.41</v>
      </c>
      <c r="K491" t="e">
        <f>IF(COUNTIF(#REF!,Tabela2[[#This Row],[IdxWspolny]])&gt;0,"ELEM_lub_PRD","TECHN")</f>
        <v>#REF!</v>
      </c>
      <c r="L491" t="e">
        <f>IF(COUNTIF(#REF!,Tabela2[[#This Row],[KOD_PRODUKTU]])&gt;0,"ELEMENT","PRODUKT")</f>
        <v>#REF!</v>
      </c>
      <c r="M491" t="e">
        <f>COUNTIF(#REF!,Tabela2[[#This Row],[KOD_PRODUKTU]])</f>
        <v>#REF!</v>
      </c>
    </row>
    <row r="492" spans="1:14" x14ac:dyDescent="0.25">
      <c r="A492" s="1" t="s">
        <v>924</v>
      </c>
      <c r="B492" t="s">
        <v>925</v>
      </c>
      <c r="C492" s="1" t="s">
        <v>930</v>
      </c>
      <c r="D492" s="1" t="s">
        <v>930</v>
      </c>
      <c r="E492" s="1" t="s">
        <v>930</v>
      </c>
      <c r="F492" t="s">
        <v>931</v>
      </c>
      <c r="G492" t="s">
        <v>414</v>
      </c>
      <c r="H492" t="s">
        <v>932</v>
      </c>
      <c r="I492" t="s">
        <v>933</v>
      </c>
      <c r="J492">
        <v>1.75</v>
      </c>
      <c r="K492" t="e">
        <f>IF(COUNTIF(#REF!,Tabela2[[#This Row],[IdxWspolny]])&gt;0,"ELEM_lub_PRD","TECHN")</f>
        <v>#REF!</v>
      </c>
      <c r="L492" t="e">
        <f>IF(COUNTIF(#REF!,Tabela2[[#This Row],[KOD_PRODUKTU]])&gt;0,"ELEMENT","PRODUKT")</f>
        <v>#REF!</v>
      </c>
      <c r="M492" t="e">
        <f>COUNTIF(#REF!,Tabela2[[#This Row],[KOD_PRODUKTU]])</f>
        <v>#REF!</v>
      </c>
    </row>
    <row r="493" spans="1:14" x14ac:dyDescent="0.25">
      <c r="A493" s="1" t="s">
        <v>924</v>
      </c>
      <c r="B493" t="s">
        <v>925</v>
      </c>
      <c r="C493" s="1" t="s">
        <v>934</v>
      </c>
      <c r="D493" s="1" t="s">
        <v>934</v>
      </c>
      <c r="E493" s="1" t="s">
        <v>934</v>
      </c>
      <c r="F493" t="s">
        <v>935</v>
      </c>
      <c r="G493" t="s">
        <v>936</v>
      </c>
      <c r="H493" t="s">
        <v>121</v>
      </c>
      <c r="I493" t="s">
        <v>92</v>
      </c>
      <c r="J493">
        <v>0.66</v>
      </c>
      <c r="K493" t="e">
        <f>IF(COUNTIF(#REF!,Tabela2[[#This Row],[IdxWspolny]])&gt;0,"ELEM_lub_PRD","TECHN")</f>
        <v>#REF!</v>
      </c>
      <c r="L493" t="e">
        <f>IF(COUNTIF(#REF!,Tabela2[[#This Row],[KOD_PRODUKTU]])&gt;0,"ELEMENT","PRODUKT")</f>
        <v>#REF!</v>
      </c>
      <c r="M493" t="e">
        <f>COUNTIF(#REF!,Tabela2[[#This Row],[KOD_PRODUKTU]])</f>
        <v>#REF!</v>
      </c>
    </row>
    <row r="494" spans="1:14" x14ac:dyDescent="0.25">
      <c r="A494" s="1" t="s">
        <v>924</v>
      </c>
      <c r="B494" t="s">
        <v>925</v>
      </c>
      <c r="C494" s="1" t="s">
        <v>937</v>
      </c>
      <c r="D494" s="1" t="s">
        <v>937</v>
      </c>
      <c r="E494" s="1" t="s">
        <v>937</v>
      </c>
      <c r="F494" t="s">
        <v>938</v>
      </c>
      <c r="G494" t="s">
        <v>939</v>
      </c>
      <c r="H494" t="s">
        <v>121</v>
      </c>
      <c r="I494" t="s">
        <v>319</v>
      </c>
      <c r="J494">
        <v>17.34</v>
      </c>
      <c r="K494" t="e">
        <f>IF(COUNTIF(#REF!,Tabela2[[#This Row],[IdxWspolny]])&gt;0,"ELEM_lub_PRD","TECHN")</f>
        <v>#REF!</v>
      </c>
      <c r="L494" t="e">
        <f>IF(COUNTIF(#REF!,Tabela2[[#This Row],[KOD_PRODUKTU]])&gt;0,"ELEMENT","PRODUKT")</f>
        <v>#REF!</v>
      </c>
      <c r="M494" t="e">
        <f>COUNTIF(#REF!,Tabela2[[#This Row],[KOD_PRODUKTU]])</f>
        <v>#REF!</v>
      </c>
    </row>
    <row r="495" spans="1:14" x14ac:dyDescent="0.25">
      <c r="A495" s="1" t="s">
        <v>924</v>
      </c>
      <c r="B495" t="s">
        <v>925</v>
      </c>
      <c r="C495" s="1" t="s">
        <v>667</v>
      </c>
      <c r="D495" s="1" t="s">
        <v>667</v>
      </c>
      <c r="E495" s="1" t="s">
        <v>667</v>
      </c>
      <c r="F495" t="s">
        <v>668</v>
      </c>
      <c r="G495" t="s">
        <v>669</v>
      </c>
      <c r="H495" t="s">
        <v>121</v>
      </c>
      <c r="I495" t="s">
        <v>940</v>
      </c>
      <c r="J495">
        <v>2.79</v>
      </c>
      <c r="K495" t="e">
        <f>IF(COUNTIF(#REF!,Tabela2[[#This Row],[IdxWspolny]])&gt;0,"ELEM_lub_PRD","TECHN")</f>
        <v>#REF!</v>
      </c>
      <c r="L495" t="e">
        <f>IF(COUNTIF(#REF!,Tabela2[[#This Row],[KOD_PRODUKTU]])&gt;0,"ELEMENT","PRODUKT")</f>
        <v>#REF!</v>
      </c>
      <c r="M495" t="e">
        <f>COUNTIF(#REF!,Tabela2[[#This Row],[KOD_PRODUKTU]])</f>
        <v>#REF!</v>
      </c>
    </row>
    <row r="496" spans="1:14" hidden="1" x14ac:dyDescent="0.25">
      <c r="A496" s="1" t="s">
        <v>924</v>
      </c>
      <c r="B496" t="s">
        <v>925</v>
      </c>
      <c r="C496" s="1" t="s">
        <v>941</v>
      </c>
      <c r="D496" s="1" t="s">
        <v>942</v>
      </c>
      <c r="E496" s="1" t="s">
        <v>942</v>
      </c>
      <c r="F496" t="s">
        <v>943</v>
      </c>
      <c r="G496" t="s">
        <v>944</v>
      </c>
      <c r="H496" t="s">
        <v>49</v>
      </c>
      <c r="I496" t="s">
        <v>50</v>
      </c>
      <c r="J496">
        <v>262.7</v>
      </c>
      <c r="K496" t="e">
        <f>IF(COUNTIF(#REF!,Tabela2[[#This Row],[IdxWspolny]])&gt;0,"ELEM_lub_PRD","TECHN")</f>
        <v>#REF!</v>
      </c>
      <c r="L496" t="e">
        <f>IF(COUNTIF(#REF!,Tabela2[[#This Row],[KOD_PRODUKTU]])&gt;0,"ELEMENT","PRODUKT")</f>
        <v>#REF!</v>
      </c>
      <c r="M496" t="e">
        <f>COUNTIF(#REF!,Tabela2[[#This Row],[KOD_PRODUKTU]])</f>
        <v>#REF!</v>
      </c>
      <c r="N496" t="s">
        <v>51</v>
      </c>
    </row>
    <row r="497" spans="1:14" hidden="1" x14ac:dyDescent="0.25">
      <c r="A497" s="1" t="s">
        <v>924</v>
      </c>
      <c r="B497" t="s">
        <v>925</v>
      </c>
      <c r="C497" s="1" t="s">
        <v>945</v>
      </c>
      <c r="D497" s="1" t="s">
        <v>946</v>
      </c>
      <c r="E497" s="1" t="s">
        <v>946</v>
      </c>
      <c r="F497" t="s">
        <v>947</v>
      </c>
      <c r="G497" t="s">
        <v>948</v>
      </c>
      <c r="H497" t="s">
        <v>49</v>
      </c>
      <c r="I497" t="s">
        <v>50</v>
      </c>
      <c r="J497">
        <v>252</v>
      </c>
      <c r="K497" t="e">
        <f>IF(COUNTIF(#REF!,Tabela2[[#This Row],[IdxWspolny]])&gt;0,"ELEM_lub_PRD","TECHN")</f>
        <v>#REF!</v>
      </c>
      <c r="L497" t="e">
        <f>IF(COUNTIF(#REF!,Tabela2[[#This Row],[KOD_PRODUKTU]])&gt;0,"ELEMENT","PRODUKT")</f>
        <v>#REF!</v>
      </c>
      <c r="M497" t="e">
        <f>COUNTIF(#REF!,Tabela2[[#This Row],[KOD_PRODUKTU]])</f>
        <v>#REF!</v>
      </c>
      <c r="N497" t="s">
        <v>51</v>
      </c>
    </row>
    <row r="498" spans="1:14" hidden="1" x14ac:dyDescent="0.25">
      <c r="A498" s="1" t="s">
        <v>924</v>
      </c>
      <c r="B498" t="s">
        <v>925</v>
      </c>
      <c r="C498" s="1" t="s">
        <v>949</v>
      </c>
      <c r="D498" s="1" t="s">
        <v>950</v>
      </c>
      <c r="E498" s="1" t="s">
        <v>950</v>
      </c>
      <c r="F498" t="s">
        <v>951</v>
      </c>
      <c r="G498" t="s">
        <v>952</v>
      </c>
      <c r="H498" t="s">
        <v>49</v>
      </c>
      <c r="I498" t="s">
        <v>319</v>
      </c>
      <c r="J498">
        <v>178.2</v>
      </c>
      <c r="K498" t="e">
        <f>IF(COUNTIF(#REF!,Tabela2[[#This Row],[IdxWspolny]])&gt;0,"ELEM_lub_PRD","TECHN")</f>
        <v>#REF!</v>
      </c>
      <c r="L498" t="e">
        <f>IF(COUNTIF(#REF!,Tabela2[[#This Row],[KOD_PRODUKTU]])&gt;0,"ELEMENT","PRODUKT")</f>
        <v>#REF!</v>
      </c>
      <c r="M498" t="e">
        <f>COUNTIF(#REF!,Tabela2[[#This Row],[KOD_PRODUKTU]])</f>
        <v>#REF!</v>
      </c>
      <c r="N498" t="s">
        <v>51</v>
      </c>
    </row>
    <row r="499" spans="1:14" hidden="1" x14ac:dyDescent="0.25">
      <c r="A499" s="1" t="s">
        <v>924</v>
      </c>
      <c r="B499" t="s">
        <v>925</v>
      </c>
      <c r="C499" s="1" t="s">
        <v>953</v>
      </c>
      <c r="D499" s="1" t="s">
        <v>954</v>
      </c>
      <c r="E499" s="1" t="s">
        <v>954</v>
      </c>
      <c r="F499" t="s">
        <v>955</v>
      </c>
      <c r="G499" t="s">
        <v>956</v>
      </c>
      <c r="H499" t="s">
        <v>49</v>
      </c>
      <c r="I499" t="s">
        <v>92</v>
      </c>
      <c r="J499">
        <v>5.7</v>
      </c>
      <c r="K499" t="e">
        <f>IF(COUNTIF(#REF!,Tabela2[[#This Row],[IdxWspolny]])&gt;0,"ELEM_lub_PRD","TECHN")</f>
        <v>#REF!</v>
      </c>
      <c r="L499" t="e">
        <f>IF(COUNTIF(#REF!,Tabela2[[#This Row],[KOD_PRODUKTU]])&gt;0,"ELEMENT","PRODUKT")</f>
        <v>#REF!</v>
      </c>
      <c r="M499" t="e">
        <f>COUNTIF(#REF!,Tabela2[[#This Row],[KOD_PRODUKTU]])</f>
        <v>#REF!</v>
      </c>
      <c r="N499" t="s">
        <v>51</v>
      </c>
    </row>
    <row r="500" spans="1:14" hidden="1" x14ac:dyDescent="0.25">
      <c r="A500" s="1" t="s">
        <v>924</v>
      </c>
      <c r="B500" t="s">
        <v>925</v>
      </c>
      <c r="C500" s="1" t="s">
        <v>957</v>
      </c>
      <c r="D500" s="1" t="s">
        <v>958</v>
      </c>
      <c r="E500" s="1" t="s">
        <v>958</v>
      </c>
      <c r="F500" t="s">
        <v>959</v>
      </c>
      <c r="G500" t="s">
        <v>61</v>
      </c>
      <c r="H500" t="s">
        <v>49</v>
      </c>
      <c r="I500" t="s">
        <v>122</v>
      </c>
      <c r="J500">
        <v>15.4</v>
      </c>
      <c r="K500" t="e">
        <f>IF(COUNTIF(#REF!,Tabela2[[#This Row],[IdxWspolny]])&gt;0,"ELEM_lub_PRD","TECHN")</f>
        <v>#REF!</v>
      </c>
      <c r="L500" t="e">
        <f>IF(COUNTIF(#REF!,Tabela2[[#This Row],[KOD_PRODUKTU]])&gt;0,"ELEMENT","PRODUKT")</f>
        <v>#REF!</v>
      </c>
      <c r="M500" t="e">
        <f>COUNTIF(#REF!,Tabela2[[#This Row],[KOD_PRODUKTU]])</f>
        <v>#REF!</v>
      </c>
      <c r="N500" t="s">
        <v>51</v>
      </c>
    </row>
    <row r="501" spans="1:14" x14ac:dyDescent="0.25">
      <c r="A501" s="1" t="s">
        <v>924</v>
      </c>
      <c r="B501" t="s">
        <v>925</v>
      </c>
      <c r="C501" s="1" t="s">
        <v>960</v>
      </c>
      <c r="D501" s="1" t="s">
        <v>960</v>
      </c>
      <c r="E501" s="1" t="s">
        <v>960</v>
      </c>
      <c r="F501" t="s">
        <v>961</v>
      </c>
      <c r="G501" t="s">
        <v>962</v>
      </c>
      <c r="H501" t="s">
        <v>435</v>
      </c>
      <c r="I501" t="s">
        <v>963</v>
      </c>
      <c r="J501">
        <v>40.25</v>
      </c>
      <c r="K501" t="e">
        <f>IF(COUNTIF(#REF!,Tabela2[[#This Row],[IdxWspolny]])&gt;0,"ELEM_lub_PRD","TECHN")</f>
        <v>#REF!</v>
      </c>
      <c r="L501" t="e">
        <f>IF(COUNTIF(#REF!,Tabela2[[#This Row],[KOD_PRODUKTU]])&gt;0,"ELEMENT","PRODUKT")</f>
        <v>#REF!</v>
      </c>
      <c r="M501" t="e">
        <f>COUNTIF(#REF!,Tabela2[[#This Row],[KOD_PRODUKTU]])</f>
        <v>#REF!</v>
      </c>
    </row>
    <row r="502" spans="1:14" x14ac:dyDescent="0.25">
      <c r="A502" s="1" t="s">
        <v>924</v>
      </c>
      <c r="B502" t="s">
        <v>925</v>
      </c>
      <c r="C502" s="1" t="s">
        <v>7</v>
      </c>
      <c r="D502" s="1" t="s">
        <v>7</v>
      </c>
      <c r="E502" s="1" t="s">
        <v>7</v>
      </c>
      <c r="F502" t="s">
        <v>8</v>
      </c>
      <c r="G502" t="s">
        <v>9</v>
      </c>
      <c r="H502" t="s">
        <v>10</v>
      </c>
      <c r="I502" t="s">
        <v>964</v>
      </c>
      <c r="J502">
        <v>43.5</v>
      </c>
      <c r="K502" t="e">
        <f>IF(COUNTIF(#REF!,Tabela2[[#This Row],[IdxWspolny]])&gt;0,"ELEM_lub_PRD","TECHN")</f>
        <v>#REF!</v>
      </c>
      <c r="L502" t="e">
        <f>IF(COUNTIF(#REF!,Tabela2[[#This Row],[KOD_PRODUKTU]])&gt;0,"ELEMENT","PRODUKT")</f>
        <v>#REF!</v>
      </c>
      <c r="M502" t="e">
        <f>COUNTIF(#REF!,Tabela2[[#This Row],[KOD_PRODUKTU]])</f>
        <v>#REF!</v>
      </c>
    </row>
    <row r="503" spans="1:14" x14ac:dyDescent="0.25">
      <c r="A503" s="1" t="s">
        <v>965</v>
      </c>
      <c r="B503" t="s">
        <v>966</v>
      </c>
      <c r="C503" s="1" t="s">
        <v>967</v>
      </c>
      <c r="D503" s="1" t="s">
        <v>967</v>
      </c>
      <c r="E503" s="1" t="s">
        <v>967</v>
      </c>
      <c r="F503" t="s">
        <v>968</v>
      </c>
      <c r="G503" t="s">
        <v>658</v>
      </c>
      <c r="H503" t="s">
        <v>5</v>
      </c>
      <c r="I503" t="s">
        <v>969</v>
      </c>
      <c r="J503">
        <v>43.7</v>
      </c>
      <c r="K503" t="e">
        <f>IF(COUNTIF(#REF!,Tabela2[[#This Row],[IdxWspolny]])&gt;0,"ELEM_lub_PRD","TECHN")</f>
        <v>#REF!</v>
      </c>
      <c r="L503" t="e">
        <f>IF(COUNTIF(#REF!,Tabela2[[#This Row],[KOD_PRODUKTU]])&gt;0,"ELEMENT","PRODUKT")</f>
        <v>#REF!</v>
      </c>
      <c r="M503" t="e">
        <f>COUNTIF(#REF!,Tabela2[[#This Row],[KOD_PRODUKTU]])</f>
        <v>#REF!</v>
      </c>
    </row>
    <row r="504" spans="1:14" x14ac:dyDescent="0.25">
      <c r="A504" s="1" t="s">
        <v>965</v>
      </c>
      <c r="B504" t="s">
        <v>966</v>
      </c>
      <c r="C504" s="1" t="s">
        <v>970</v>
      </c>
      <c r="D504" s="1" t="s">
        <v>970</v>
      </c>
      <c r="E504" s="1" t="s">
        <v>970</v>
      </c>
      <c r="F504" t="s">
        <v>971</v>
      </c>
      <c r="G504" t="s">
        <v>972</v>
      </c>
      <c r="H504" t="s">
        <v>17</v>
      </c>
      <c r="I504" t="s">
        <v>973</v>
      </c>
      <c r="J504">
        <v>373.75</v>
      </c>
      <c r="K504" t="e">
        <f>IF(COUNTIF(#REF!,Tabela2[[#This Row],[IdxWspolny]])&gt;0,"ELEM_lub_PRD","TECHN")</f>
        <v>#REF!</v>
      </c>
      <c r="L504" t="e">
        <f>IF(COUNTIF(#REF!,Tabela2[[#This Row],[KOD_PRODUKTU]])&gt;0,"ELEMENT","PRODUKT")</f>
        <v>#REF!</v>
      </c>
      <c r="M504" t="e">
        <f>COUNTIF(#REF!,Tabela2[[#This Row],[KOD_PRODUKTU]])</f>
        <v>#REF!</v>
      </c>
    </row>
    <row r="505" spans="1:14" x14ac:dyDescent="0.25">
      <c r="A505" s="1" t="s">
        <v>965</v>
      </c>
      <c r="B505" t="s">
        <v>966</v>
      </c>
      <c r="C505" s="1" t="s">
        <v>974</v>
      </c>
      <c r="D505" s="1" t="s">
        <v>974</v>
      </c>
      <c r="E505" s="1" t="s">
        <v>974</v>
      </c>
      <c r="F505" t="s">
        <v>975</v>
      </c>
      <c r="G505" t="s">
        <v>976</v>
      </c>
      <c r="H505" t="s">
        <v>17</v>
      </c>
      <c r="I505" t="s">
        <v>607</v>
      </c>
      <c r="J505">
        <v>319.60000000000002</v>
      </c>
      <c r="K505" t="e">
        <f>IF(COUNTIF(#REF!,Tabela2[[#This Row],[IdxWspolny]])&gt;0,"ELEM_lub_PRD","TECHN")</f>
        <v>#REF!</v>
      </c>
      <c r="L505" t="e">
        <f>IF(COUNTIF(#REF!,Tabela2[[#This Row],[KOD_PRODUKTU]])&gt;0,"ELEMENT","PRODUKT")</f>
        <v>#REF!</v>
      </c>
      <c r="M505" t="e">
        <f>COUNTIF(#REF!,Tabela2[[#This Row],[KOD_PRODUKTU]])</f>
        <v>#REF!</v>
      </c>
    </row>
    <row r="506" spans="1:14" x14ac:dyDescent="0.25">
      <c r="A506" s="1" t="s">
        <v>965</v>
      </c>
      <c r="B506" t="s">
        <v>966</v>
      </c>
      <c r="C506" s="1" t="s">
        <v>977</v>
      </c>
      <c r="D506" s="1" t="s">
        <v>977</v>
      </c>
      <c r="E506" s="1" t="s">
        <v>977</v>
      </c>
      <c r="F506" t="s">
        <v>978</v>
      </c>
      <c r="G506" t="s">
        <v>979</v>
      </c>
      <c r="H506" t="s">
        <v>121</v>
      </c>
      <c r="I506" t="s">
        <v>92</v>
      </c>
      <c r="J506">
        <v>1.04</v>
      </c>
      <c r="K506" t="e">
        <f>IF(COUNTIF(#REF!,Tabela2[[#This Row],[IdxWspolny]])&gt;0,"ELEM_lub_PRD","TECHN")</f>
        <v>#REF!</v>
      </c>
      <c r="L506" t="e">
        <f>IF(COUNTIF(#REF!,Tabela2[[#This Row],[KOD_PRODUKTU]])&gt;0,"ELEMENT","PRODUKT")</f>
        <v>#REF!</v>
      </c>
      <c r="M506" t="e">
        <f>COUNTIF(#REF!,Tabela2[[#This Row],[KOD_PRODUKTU]])</f>
        <v>#REF!</v>
      </c>
    </row>
    <row r="507" spans="1:14" x14ac:dyDescent="0.25">
      <c r="A507" s="1" t="s">
        <v>965</v>
      </c>
      <c r="B507" t="s">
        <v>966</v>
      </c>
      <c r="C507" s="1" t="s">
        <v>41</v>
      </c>
      <c r="D507" s="1" t="s">
        <v>41</v>
      </c>
      <c r="E507" s="1" t="s">
        <v>41</v>
      </c>
      <c r="F507" t="s">
        <v>42</v>
      </c>
      <c r="G507" t="s">
        <v>43</v>
      </c>
      <c r="H507" t="s">
        <v>5</v>
      </c>
      <c r="I507" t="s">
        <v>550</v>
      </c>
      <c r="J507">
        <v>0.02</v>
      </c>
      <c r="K507" t="e">
        <f>IF(COUNTIF(#REF!,Tabela2[[#This Row],[IdxWspolny]])&gt;0,"ELEM_lub_PRD","TECHN")</f>
        <v>#REF!</v>
      </c>
      <c r="L507" t="e">
        <f>IF(COUNTIF(#REF!,Tabela2[[#This Row],[KOD_PRODUKTU]])&gt;0,"ELEMENT","PRODUKT")</f>
        <v>#REF!</v>
      </c>
      <c r="M507" t="e">
        <f>COUNTIF(#REF!,Tabela2[[#This Row],[KOD_PRODUKTU]])</f>
        <v>#REF!</v>
      </c>
    </row>
    <row r="508" spans="1:14" hidden="1" x14ac:dyDescent="0.25">
      <c r="A508" s="1" t="s">
        <v>965</v>
      </c>
      <c r="B508" t="s">
        <v>966</v>
      </c>
      <c r="C508" s="1" t="s">
        <v>980</v>
      </c>
      <c r="D508" s="1" t="s">
        <v>980</v>
      </c>
      <c r="E508" s="1" t="s">
        <v>980</v>
      </c>
      <c r="F508" t="s">
        <v>981</v>
      </c>
      <c r="G508" t="s">
        <v>982</v>
      </c>
      <c r="H508" t="s">
        <v>49</v>
      </c>
      <c r="I508" t="s">
        <v>50</v>
      </c>
      <c r="J508">
        <v>18</v>
      </c>
      <c r="K508" t="e">
        <f>IF(COUNTIF(#REF!,Tabela2[[#This Row],[IdxWspolny]])&gt;0,"ELEM_lub_PRD","TECHN")</f>
        <v>#REF!</v>
      </c>
      <c r="L508" t="e">
        <f>IF(COUNTIF(#REF!,Tabela2[[#This Row],[KOD_PRODUKTU]])&gt;0,"ELEMENT","PRODUKT")</f>
        <v>#REF!</v>
      </c>
      <c r="M508" t="e">
        <f>COUNTIF(#REF!,Tabela2[[#This Row],[KOD_PRODUKTU]])</f>
        <v>#REF!</v>
      </c>
      <c r="N508" t="s">
        <v>55</v>
      </c>
    </row>
    <row r="509" spans="1:14" x14ac:dyDescent="0.25">
      <c r="A509" s="1" t="s">
        <v>965</v>
      </c>
      <c r="B509" t="s">
        <v>966</v>
      </c>
      <c r="C509" s="1" t="s">
        <v>684</v>
      </c>
      <c r="D509" s="1" t="s">
        <v>684</v>
      </c>
      <c r="E509" s="1" t="s">
        <v>684</v>
      </c>
      <c r="F509" t="s">
        <v>685</v>
      </c>
      <c r="G509" t="s">
        <v>686</v>
      </c>
      <c r="H509" t="s">
        <v>49</v>
      </c>
      <c r="I509" t="s">
        <v>983</v>
      </c>
      <c r="J509">
        <v>18.100000000000001</v>
      </c>
      <c r="K509" t="e">
        <f>IF(COUNTIF(#REF!,Tabela2[[#This Row],[IdxWspolny]])&gt;0,"ELEM_lub_PRD","TECHN")</f>
        <v>#REF!</v>
      </c>
      <c r="L509" t="e">
        <f>IF(COUNTIF(#REF!,Tabela2[[#This Row],[KOD_PRODUKTU]])&gt;0,"ELEMENT","PRODUKT")</f>
        <v>#REF!</v>
      </c>
      <c r="M509" t="e">
        <f>COUNTIF(#REF!,Tabela2[[#This Row],[KOD_PRODUKTU]])</f>
        <v>#REF!</v>
      </c>
    </row>
    <row r="510" spans="1:14" x14ac:dyDescent="0.25">
      <c r="A510" s="1" t="s">
        <v>965</v>
      </c>
      <c r="B510" t="s">
        <v>966</v>
      </c>
      <c r="C510" s="1" t="s">
        <v>541</v>
      </c>
      <c r="D510" s="1" t="s">
        <v>541</v>
      </c>
      <c r="E510" s="1" t="s">
        <v>541</v>
      </c>
      <c r="F510" t="s">
        <v>542</v>
      </c>
      <c r="G510" t="s">
        <v>9</v>
      </c>
      <c r="H510" t="s">
        <v>10</v>
      </c>
      <c r="I510" t="s">
        <v>984</v>
      </c>
      <c r="J510">
        <v>644</v>
      </c>
      <c r="K510" t="e">
        <f>IF(COUNTIF(#REF!,Tabela2[[#This Row],[IdxWspolny]])&gt;0,"ELEM_lub_PRD","TECHN")</f>
        <v>#REF!</v>
      </c>
      <c r="L510" t="e">
        <f>IF(COUNTIF(#REF!,Tabela2[[#This Row],[KOD_PRODUKTU]])&gt;0,"ELEMENT","PRODUKT")</f>
        <v>#REF!</v>
      </c>
      <c r="M510" t="e">
        <f>COUNTIF(#REF!,Tabela2[[#This Row],[KOD_PRODUKTU]])</f>
        <v>#REF!</v>
      </c>
    </row>
    <row r="511" spans="1:14" x14ac:dyDescent="0.25">
      <c r="A511" s="1" t="s">
        <v>965</v>
      </c>
      <c r="B511" t="s">
        <v>966</v>
      </c>
      <c r="C511" s="1" t="s">
        <v>541</v>
      </c>
      <c r="D511" s="1" t="s">
        <v>541</v>
      </c>
      <c r="E511" s="1" t="s">
        <v>541</v>
      </c>
      <c r="F511" t="s">
        <v>542</v>
      </c>
      <c r="G511" t="s">
        <v>9</v>
      </c>
      <c r="H511" t="s">
        <v>10</v>
      </c>
      <c r="I511" t="s">
        <v>985</v>
      </c>
      <c r="J511">
        <v>144.80000000000001</v>
      </c>
      <c r="K511" t="e">
        <f>IF(COUNTIF(#REF!,Tabela2[[#This Row],[IdxWspolny]])&gt;0,"ELEM_lub_PRD","TECHN")</f>
        <v>#REF!</v>
      </c>
      <c r="L511" t="e">
        <f>IF(COUNTIF(#REF!,Tabela2[[#This Row],[KOD_PRODUKTU]])&gt;0,"ELEMENT","PRODUKT")</f>
        <v>#REF!</v>
      </c>
      <c r="M511" t="e">
        <f>COUNTIF(#REF!,Tabela2[[#This Row],[KOD_PRODUKTU]])</f>
        <v>#REF!</v>
      </c>
    </row>
    <row r="512" spans="1:14" x14ac:dyDescent="0.25">
      <c r="A512" s="1" t="s">
        <v>986</v>
      </c>
      <c r="B512" t="s">
        <v>987</v>
      </c>
      <c r="C512" s="1" t="s">
        <v>988</v>
      </c>
      <c r="D512" s="1" t="s">
        <v>988</v>
      </c>
      <c r="E512" s="1" t="s">
        <v>988</v>
      </c>
      <c r="F512" t="s">
        <v>989</v>
      </c>
      <c r="G512" t="s">
        <v>990</v>
      </c>
      <c r="H512" t="s">
        <v>5</v>
      </c>
      <c r="I512" t="s">
        <v>991</v>
      </c>
      <c r="J512">
        <v>10.85</v>
      </c>
      <c r="K512" t="e">
        <f>IF(COUNTIF(#REF!,Tabela2[[#This Row],[IdxWspolny]])&gt;0,"ELEM_lub_PRD","TECHN")</f>
        <v>#REF!</v>
      </c>
      <c r="L512" t="e">
        <f>IF(COUNTIF(#REF!,Tabela2[[#This Row],[KOD_PRODUKTU]])&gt;0,"ELEMENT","PRODUKT")</f>
        <v>#REF!</v>
      </c>
      <c r="M512" t="e">
        <f>COUNTIF(#REF!,Tabela2[[#This Row],[KOD_PRODUKTU]])</f>
        <v>#REF!</v>
      </c>
    </row>
    <row r="513" spans="1:14" x14ac:dyDescent="0.25">
      <c r="A513" s="1" t="s">
        <v>986</v>
      </c>
      <c r="B513" t="s">
        <v>987</v>
      </c>
      <c r="C513" s="1" t="s">
        <v>970</v>
      </c>
      <c r="D513" s="1" t="s">
        <v>970</v>
      </c>
      <c r="E513" s="1" t="s">
        <v>970</v>
      </c>
      <c r="F513" t="s">
        <v>971</v>
      </c>
      <c r="G513" t="s">
        <v>972</v>
      </c>
      <c r="H513" t="s">
        <v>17</v>
      </c>
      <c r="I513" t="s">
        <v>992</v>
      </c>
      <c r="J513">
        <v>509.7</v>
      </c>
      <c r="K513" t="e">
        <f>IF(COUNTIF(#REF!,Tabela2[[#This Row],[IdxWspolny]])&gt;0,"ELEM_lub_PRD","TECHN")</f>
        <v>#REF!</v>
      </c>
      <c r="L513" t="e">
        <f>IF(COUNTIF(#REF!,Tabela2[[#This Row],[KOD_PRODUKTU]])&gt;0,"ELEMENT","PRODUKT")</f>
        <v>#REF!</v>
      </c>
      <c r="M513" t="e">
        <f>COUNTIF(#REF!,Tabela2[[#This Row],[KOD_PRODUKTU]])</f>
        <v>#REF!</v>
      </c>
    </row>
    <row r="514" spans="1:14" x14ac:dyDescent="0.25">
      <c r="A514" s="1" t="s">
        <v>986</v>
      </c>
      <c r="B514" t="s">
        <v>987</v>
      </c>
      <c r="C514" s="1" t="s">
        <v>974</v>
      </c>
      <c r="D514" s="1" t="s">
        <v>974</v>
      </c>
      <c r="E514" s="1" t="s">
        <v>974</v>
      </c>
      <c r="F514" t="s">
        <v>975</v>
      </c>
      <c r="G514" t="s">
        <v>976</v>
      </c>
      <c r="H514" t="s">
        <v>17</v>
      </c>
      <c r="I514" t="s">
        <v>607</v>
      </c>
      <c r="J514">
        <v>319.60000000000002</v>
      </c>
      <c r="K514" t="e">
        <f>IF(COUNTIF(#REF!,Tabela2[[#This Row],[IdxWspolny]])&gt;0,"ELEM_lub_PRD","TECHN")</f>
        <v>#REF!</v>
      </c>
      <c r="L514" t="e">
        <f>IF(COUNTIF(#REF!,Tabela2[[#This Row],[KOD_PRODUKTU]])&gt;0,"ELEMENT","PRODUKT")</f>
        <v>#REF!</v>
      </c>
      <c r="M514" t="e">
        <f>COUNTIF(#REF!,Tabela2[[#This Row],[KOD_PRODUKTU]])</f>
        <v>#REF!</v>
      </c>
    </row>
    <row r="515" spans="1:14" x14ac:dyDescent="0.25">
      <c r="A515" s="1" t="s">
        <v>986</v>
      </c>
      <c r="B515" t="s">
        <v>987</v>
      </c>
      <c r="C515" s="1" t="s">
        <v>2</v>
      </c>
      <c r="D515" s="1" t="s">
        <v>2</v>
      </c>
      <c r="E515" s="1" t="s">
        <v>2</v>
      </c>
      <c r="F515" t="s">
        <v>3</v>
      </c>
      <c r="G515" t="s">
        <v>4</v>
      </c>
      <c r="H515" t="s">
        <v>5</v>
      </c>
      <c r="I515" t="s">
        <v>993</v>
      </c>
      <c r="J515">
        <v>4.25</v>
      </c>
      <c r="K515" t="e">
        <f>IF(COUNTIF(#REF!,Tabela2[[#This Row],[IdxWspolny]])&gt;0,"ELEM_lub_PRD","TECHN")</f>
        <v>#REF!</v>
      </c>
      <c r="L515" t="e">
        <f>IF(COUNTIF(#REF!,Tabela2[[#This Row],[KOD_PRODUKTU]])&gt;0,"ELEMENT","PRODUKT")</f>
        <v>#REF!</v>
      </c>
      <c r="M515" t="e">
        <f>COUNTIF(#REF!,Tabela2[[#This Row],[KOD_PRODUKTU]])</f>
        <v>#REF!</v>
      </c>
    </row>
    <row r="516" spans="1:14" x14ac:dyDescent="0.25">
      <c r="A516" s="1" t="s">
        <v>986</v>
      </c>
      <c r="B516" t="s">
        <v>987</v>
      </c>
      <c r="C516" s="1" t="s">
        <v>977</v>
      </c>
      <c r="D516" s="1" t="s">
        <v>977</v>
      </c>
      <c r="E516" s="1" t="s">
        <v>977</v>
      </c>
      <c r="F516" t="s">
        <v>978</v>
      </c>
      <c r="G516" t="s">
        <v>979</v>
      </c>
      <c r="H516" t="s">
        <v>121</v>
      </c>
      <c r="I516" t="s">
        <v>92</v>
      </c>
      <c r="J516">
        <v>1.04</v>
      </c>
      <c r="K516" t="e">
        <f>IF(COUNTIF(#REF!,Tabela2[[#This Row],[IdxWspolny]])&gt;0,"ELEM_lub_PRD","TECHN")</f>
        <v>#REF!</v>
      </c>
      <c r="L516" t="e">
        <f>IF(COUNTIF(#REF!,Tabela2[[#This Row],[KOD_PRODUKTU]])&gt;0,"ELEMENT","PRODUKT")</f>
        <v>#REF!</v>
      </c>
      <c r="M516" t="e">
        <f>COUNTIF(#REF!,Tabela2[[#This Row],[KOD_PRODUKTU]])</f>
        <v>#REF!</v>
      </c>
    </row>
    <row r="517" spans="1:14" x14ac:dyDescent="0.25">
      <c r="A517" s="1" t="s">
        <v>986</v>
      </c>
      <c r="B517" t="s">
        <v>987</v>
      </c>
      <c r="C517" s="1" t="s">
        <v>41</v>
      </c>
      <c r="D517" s="1" t="s">
        <v>41</v>
      </c>
      <c r="E517" s="1" t="s">
        <v>41</v>
      </c>
      <c r="F517" t="s">
        <v>42</v>
      </c>
      <c r="G517" t="s">
        <v>43</v>
      </c>
      <c r="H517" t="s">
        <v>5</v>
      </c>
      <c r="I517" t="s">
        <v>227</v>
      </c>
      <c r="J517">
        <v>0.01</v>
      </c>
      <c r="K517" t="e">
        <f>IF(COUNTIF(#REF!,Tabela2[[#This Row],[IdxWspolny]])&gt;0,"ELEM_lub_PRD","TECHN")</f>
        <v>#REF!</v>
      </c>
      <c r="L517" t="e">
        <f>IF(COUNTIF(#REF!,Tabela2[[#This Row],[KOD_PRODUKTU]])&gt;0,"ELEMENT","PRODUKT")</f>
        <v>#REF!</v>
      </c>
      <c r="M517" t="e">
        <f>COUNTIF(#REF!,Tabela2[[#This Row],[KOD_PRODUKTU]])</f>
        <v>#REF!</v>
      </c>
    </row>
    <row r="518" spans="1:14" x14ac:dyDescent="0.25">
      <c r="A518" s="1" t="s">
        <v>986</v>
      </c>
      <c r="B518" t="s">
        <v>987</v>
      </c>
      <c r="C518" s="1" t="s">
        <v>432</v>
      </c>
      <c r="D518" s="1" t="s">
        <v>432</v>
      </c>
      <c r="E518" s="1" t="s">
        <v>432</v>
      </c>
      <c r="F518" t="s">
        <v>433</v>
      </c>
      <c r="G518" t="s">
        <v>434</v>
      </c>
      <c r="H518" t="s">
        <v>435</v>
      </c>
      <c r="I518" t="s">
        <v>994</v>
      </c>
      <c r="J518">
        <v>1.5</v>
      </c>
      <c r="K518" t="e">
        <f>IF(COUNTIF(#REF!,Tabela2[[#This Row],[IdxWspolny]])&gt;0,"ELEM_lub_PRD","TECHN")</f>
        <v>#REF!</v>
      </c>
      <c r="L518" t="e">
        <f>IF(COUNTIF(#REF!,Tabela2[[#This Row],[KOD_PRODUKTU]])&gt;0,"ELEMENT","PRODUKT")</f>
        <v>#REF!</v>
      </c>
      <c r="M518" t="e">
        <f>COUNTIF(#REF!,Tabela2[[#This Row],[KOD_PRODUKTU]])</f>
        <v>#REF!</v>
      </c>
    </row>
    <row r="519" spans="1:14" x14ac:dyDescent="0.25">
      <c r="A519" s="1" t="s">
        <v>986</v>
      </c>
      <c r="B519" t="s">
        <v>987</v>
      </c>
      <c r="C519" s="1" t="s">
        <v>7</v>
      </c>
      <c r="D519" s="1" t="s">
        <v>7</v>
      </c>
      <c r="E519" s="1" t="s">
        <v>7</v>
      </c>
      <c r="F519" t="s">
        <v>8</v>
      </c>
      <c r="G519" t="s">
        <v>9</v>
      </c>
      <c r="H519" t="s">
        <v>10</v>
      </c>
      <c r="I519" t="s">
        <v>985</v>
      </c>
      <c r="J519">
        <v>144.80000000000001</v>
      </c>
      <c r="K519" t="e">
        <f>IF(COUNTIF(#REF!,Tabela2[[#This Row],[IdxWspolny]])&gt;0,"ELEM_lub_PRD","TECHN")</f>
        <v>#REF!</v>
      </c>
      <c r="L519" t="e">
        <f>IF(COUNTIF(#REF!,Tabela2[[#This Row],[KOD_PRODUKTU]])&gt;0,"ELEMENT","PRODUKT")</f>
        <v>#REF!</v>
      </c>
      <c r="M519" t="e">
        <f>COUNTIF(#REF!,Tabela2[[#This Row],[KOD_PRODUKTU]])</f>
        <v>#REF!</v>
      </c>
    </row>
    <row r="520" spans="1:14" x14ac:dyDescent="0.25">
      <c r="A520" s="1" t="s">
        <v>986</v>
      </c>
      <c r="B520" t="s">
        <v>987</v>
      </c>
      <c r="C520" s="1" t="s">
        <v>7</v>
      </c>
      <c r="D520" s="1" t="s">
        <v>7</v>
      </c>
      <c r="E520" s="1" t="s">
        <v>7</v>
      </c>
      <c r="F520" t="s">
        <v>8</v>
      </c>
      <c r="G520" t="s">
        <v>9</v>
      </c>
      <c r="H520" t="s">
        <v>10</v>
      </c>
      <c r="I520" t="s">
        <v>995</v>
      </c>
      <c r="J520">
        <v>575</v>
      </c>
      <c r="K520" t="e">
        <f>IF(COUNTIF(#REF!,Tabela2[[#This Row],[IdxWspolny]])&gt;0,"ELEM_lub_PRD","TECHN")</f>
        <v>#REF!</v>
      </c>
      <c r="L520" t="e">
        <f>IF(COUNTIF(#REF!,Tabela2[[#This Row],[KOD_PRODUKTU]])&gt;0,"ELEMENT","PRODUKT")</f>
        <v>#REF!</v>
      </c>
      <c r="M520" t="e">
        <f>COUNTIF(#REF!,Tabela2[[#This Row],[KOD_PRODUKTU]])</f>
        <v>#REF!</v>
      </c>
    </row>
    <row r="521" spans="1:14" x14ac:dyDescent="0.25">
      <c r="A521" s="1" t="s">
        <v>996</v>
      </c>
      <c r="B521" t="s">
        <v>997</v>
      </c>
      <c r="C521" s="1" t="s">
        <v>970</v>
      </c>
      <c r="D521" s="1" t="s">
        <v>970</v>
      </c>
      <c r="E521" s="1" t="s">
        <v>970</v>
      </c>
      <c r="F521" t="s">
        <v>971</v>
      </c>
      <c r="G521" t="s">
        <v>972</v>
      </c>
      <c r="H521" t="s">
        <v>17</v>
      </c>
      <c r="I521" t="s">
        <v>973</v>
      </c>
      <c r="J521">
        <v>373.75</v>
      </c>
      <c r="K521" t="e">
        <f>IF(COUNTIF(#REF!,Tabela2[[#This Row],[IdxWspolny]])&gt;0,"ELEM_lub_PRD","TECHN")</f>
        <v>#REF!</v>
      </c>
      <c r="L521" t="e">
        <f>IF(COUNTIF(#REF!,Tabela2[[#This Row],[KOD_PRODUKTU]])&gt;0,"ELEMENT","PRODUKT")</f>
        <v>#REF!</v>
      </c>
      <c r="M521" t="e">
        <f>COUNTIF(#REF!,Tabela2[[#This Row],[KOD_PRODUKTU]])</f>
        <v>#REF!</v>
      </c>
    </row>
    <row r="522" spans="1:14" x14ac:dyDescent="0.25">
      <c r="A522" s="1" t="s">
        <v>996</v>
      </c>
      <c r="B522" t="s">
        <v>997</v>
      </c>
      <c r="C522" s="1" t="s">
        <v>974</v>
      </c>
      <c r="D522" s="1" t="s">
        <v>974</v>
      </c>
      <c r="E522" s="1" t="s">
        <v>974</v>
      </c>
      <c r="F522" t="s">
        <v>975</v>
      </c>
      <c r="G522" t="s">
        <v>976</v>
      </c>
      <c r="H522" t="s">
        <v>17</v>
      </c>
      <c r="I522" t="s">
        <v>998</v>
      </c>
      <c r="J522">
        <v>479.4</v>
      </c>
      <c r="K522" t="e">
        <f>IF(COUNTIF(#REF!,Tabela2[[#This Row],[IdxWspolny]])&gt;0,"ELEM_lub_PRD","TECHN")</f>
        <v>#REF!</v>
      </c>
      <c r="L522" t="e">
        <f>IF(COUNTIF(#REF!,Tabela2[[#This Row],[KOD_PRODUKTU]])&gt;0,"ELEMENT","PRODUKT")</f>
        <v>#REF!</v>
      </c>
      <c r="M522" t="e">
        <f>COUNTIF(#REF!,Tabela2[[#This Row],[KOD_PRODUKTU]])</f>
        <v>#REF!</v>
      </c>
    </row>
    <row r="523" spans="1:14" x14ac:dyDescent="0.25">
      <c r="A523" s="1" t="s">
        <v>996</v>
      </c>
      <c r="B523" t="s">
        <v>997</v>
      </c>
      <c r="C523" s="1" t="s">
        <v>977</v>
      </c>
      <c r="D523" s="1" t="s">
        <v>977</v>
      </c>
      <c r="E523" s="1" t="s">
        <v>977</v>
      </c>
      <c r="F523" t="s">
        <v>978</v>
      </c>
      <c r="G523" t="s">
        <v>979</v>
      </c>
      <c r="H523" t="s">
        <v>121</v>
      </c>
      <c r="I523" t="s">
        <v>92</v>
      </c>
      <c r="J523">
        <v>1.04</v>
      </c>
      <c r="K523" t="e">
        <f>IF(COUNTIF(#REF!,Tabela2[[#This Row],[IdxWspolny]])&gt;0,"ELEM_lub_PRD","TECHN")</f>
        <v>#REF!</v>
      </c>
      <c r="L523" t="e">
        <f>IF(COUNTIF(#REF!,Tabela2[[#This Row],[KOD_PRODUKTU]])&gt;0,"ELEMENT","PRODUKT")</f>
        <v>#REF!</v>
      </c>
      <c r="M523" t="e">
        <f>COUNTIF(#REF!,Tabela2[[#This Row],[KOD_PRODUKTU]])</f>
        <v>#REF!</v>
      </c>
    </row>
    <row r="524" spans="1:14" hidden="1" x14ac:dyDescent="0.25">
      <c r="A524" s="1" t="s">
        <v>996</v>
      </c>
      <c r="B524" t="s">
        <v>997</v>
      </c>
      <c r="C524" s="1" t="s">
        <v>980</v>
      </c>
      <c r="D524" s="1" t="s">
        <v>980</v>
      </c>
      <c r="E524" s="1" t="s">
        <v>980</v>
      </c>
      <c r="F524" t="s">
        <v>981</v>
      </c>
      <c r="G524" t="s">
        <v>982</v>
      </c>
      <c r="H524" t="s">
        <v>49</v>
      </c>
      <c r="I524" t="s">
        <v>50</v>
      </c>
      <c r="J524">
        <v>18</v>
      </c>
      <c r="K524" t="e">
        <f>IF(COUNTIF(#REF!,Tabela2[[#This Row],[IdxWspolny]])&gt;0,"ELEM_lub_PRD","TECHN")</f>
        <v>#REF!</v>
      </c>
      <c r="L524" t="e">
        <f>IF(COUNTIF(#REF!,Tabela2[[#This Row],[KOD_PRODUKTU]])&gt;0,"ELEMENT","PRODUKT")</f>
        <v>#REF!</v>
      </c>
      <c r="M524" t="e">
        <f>COUNTIF(#REF!,Tabela2[[#This Row],[KOD_PRODUKTU]])</f>
        <v>#REF!</v>
      </c>
      <c r="N524" t="s">
        <v>55</v>
      </c>
    </row>
    <row r="525" spans="1:14" x14ac:dyDescent="0.25">
      <c r="A525" s="1" t="s">
        <v>996</v>
      </c>
      <c r="B525" t="s">
        <v>997</v>
      </c>
      <c r="C525" s="1" t="s">
        <v>7</v>
      </c>
      <c r="D525" s="1" t="s">
        <v>7</v>
      </c>
      <c r="E525" s="1" t="s">
        <v>7</v>
      </c>
      <c r="F525" t="s">
        <v>8</v>
      </c>
      <c r="G525" t="s">
        <v>9</v>
      </c>
      <c r="H525" t="s">
        <v>10</v>
      </c>
      <c r="I525" t="s">
        <v>999</v>
      </c>
      <c r="J525">
        <v>713</v>
      </c>
      <c r="K525" t="e">
        <f>IF(COUNTIF(#REF!,Tabela2[[#This Row],[IdxWspolny]])&gt;0,"ELEM_lub_PRD","TECHN")</f>
        <v>#REF!</v>
      </c>
      <c r="L525" t="e">
        <f>IF(COUNTIF(#REF!,Tabela2[[#This Row],[KOD_PRODUKTU]])&gt;0,"ELEMENT","PRODUKT")</f>
        <v>#REF!</v>
      </c>
      <c r="M525" t="e">
        <f>COUNTIF(#REF!,Tabela2[[#This Row],[KOD_PRODUKTU]])</f>
        <v>#REF!</v>
      </c>
    </row>
    <row r="526" spans="1:14" x14ac:dyDescent="0.25">
      <c r="A526" s="1" t="s">
        <v>996</v>
      </c>
      <c r="B526" t="s">
        <v>997</v>
      </c>
      <c r="C526" s="1" t="s">
        <v>7</v>
      </c>
      <c r="D526" s="1" t="s">
        <v>7</v>
      </c>
      <c r="E526" s="1" t="s">
        <v>7</v>
      </c>
      <c r="F526" t="s">
        <v>8</v>
      </c>
      <c r="G526" t="s">
        <v>9</v>
      </c>
      <c r="H526" t="s">
        <v>10</v>
      </c>
      <c r="I526" t="s">
        <v>1000</v>
      </c>
      <c r="J526">
        <v>144.75</v>
      </c>
      <c r="K526" t="e">
        <f>IF(COUNTIF(#REF!,Tabela2[[#This Row],[IdxWspolny]])&gt;0,"ELEM_lub_PRD","TECHN")</f>
        <v>#REF!</v>
      </c>
      <c r="L526" t="e">
        <f>IF(COUNTIF(#REF!,Tabela2[[#This Row],[KOD_PRODUKTU]])&gt;0,"ELEMENT","PRODUKT")</f>
        <v>#REF!</v>
      </c>
      <c r="M526" t="e">
        <f>COUNTIF(#REF!,Tabela2[[#This Row],[KOD_PRODUKTU]])</f>
        <v>#REF!</v>
      </c>
    </row>
    <row r="527" spans="1:14" x14ac:dyDescent="0.25">
      <c r="A527" s="1" t="s">
        <v>1001</v>
      </c>
      <c r="B527" t="s">
        <v>1002</v>
      </c>
      <c r="C527" s="1" t="s">
        <v>1003</v>
      </c>
      <c r="D527" s="1" t="s">
        <v>1003</v>
      </c>
      <c r="E527" s="1" t="s">
        <v>1003</v>
      </c>
      <c r="F527" t="s">
        <v>1004</v>
      </c>
      <c r="G527" t="s">
        <v>1005</v>
      </c>
      <c r="H527" t="s">
        <v>5</v>
      </c>
      <c r="I527" t="s">
        <v>1006</v>
      </c>
      <c r="J527">
        <v>0.05</v>
      </c>
      <c r="K527" t="e">
        <f>IF(COUNTIF(#REF!,Tabela2[[#This Row],[IdxWspolny]])&gt;0,"ELEM_lub_PRD","TECHN")</f>
        <v>#REF!</v>
      </c>
      <c r="L527" t="e">
        <f>IF(COUNTIF(#REF!,Tabela2[[#This Row],[KOD_PRODUKTU]])&gt;0,"ELEMENT","PRODUKT")</f>
        <v>#REF!</v>
      </c>
      <c r="M527" t="e">
        <f>COUNTIF(#REF!,Tabela2[[#This Row],[KOD_PRODUKTU]])</f>
        <v>#REF!</v>
      </c>
    </row>
    <row r="528" spans="1:14" x14ac:dyDescent="0.25">
      <c r="A528" s="1" t="s">
        <v>1001</v>
      </c>
      <c r="B528" t="s">
        <v>1002</v>
      </c>
      <c r="C528" s="1" t="s">
        <v>1007</v>
      </c>
      <c r="D528" s="1" t="s">
        <v>1007</v>
      </c>
      <c r="E528" s="1" t="s">
        <v>1007</v>
      </c>
      <c r="F528" t="s">
        <v>1008</v>
      </c>
      <c r="G528" t="s">
        <v>1009</v>
      </c>
      <c r="H528" t="s">
        <v>121</v>
      </c>
      <c r="I528" t="s">
        <v>50</v>
      </c>
      <c r="J528">
        <v>0.25</v>
      </c>
      <c r="K528" t="e">
        <f>IF(COUNTIF(#REF!,Tabela2[[#This Row],[IdxWspolny]])&gt;0,"ELEM_lub_PRD","TECHN")</f>
        <v>#REF!</v>
      </c>
      <c r="L528" t="e">
        <f>IF(COUNTIF(#REF!,Tabela2[[#This Row],[KOD_PRODUKTU]])&gt;0,"ELEMENT","PRODUKT")</f>
        <v>#REF!</v>
      </c>
      <c r="M528" t="e">
        <f>COUNTIF(#REF!,Tabela2[[#This Row],[KOD_PRODUKTU]])</f>
        <v>#REF!</v>
      </c>
    </row>
    <row r="529" spans="1:13" x14ac:dyDescent="0.25">
      <c r="A529" s="1" t="s">
        <v>1001</v>
      </c>
      <c r="B529" t="s">
        <v>1002</v>
      </c>
      <c r="C529" s="1" t="s">
        <v>1010</v>
      </c>
      <c r="D529" s="1" t="s">
        <v>1010</v>
      </c>
      <c r="E529" s="1" t="s">
        <v>1010</v>
      </c>
      <c r="F529" t="s">
        <v>1011</v>
      </c>
      <c r="G529" t="s">
        <v>1012</v>
      </c>
      <c r="H529" t="s">
        <v>5</v>
      </c>
      <c r="I529" t="s">
        <v>1013</v>
      </c>
      <c r="J529">
        <v>4.1500000000000004</v>
      </c>
      <c r="K529" t="e">
        <f>IF(COUNTIF(#REF!,Tabela2[[#This Row],[IdxWspolny]])&gt;0,"ELEM_lub_PRD","TECHN")</f>
        <v>#REF!</v>
      </c>
      <c r="L529" t="e">
        <f>IF(COUNTIF(#REF!,Tabela2[[#This Row],[KOD_PRODUKTU]])&gt;0,"ELEMENT","PRODUKT")</f>
        <v>#REF!</v>
      </c>
      <c r="M529" t="e">
        <f>COUNTIF(#REF!,Tabela2[[#This Row],[KOD_PRODUKTU]])</f>
        <v>#REF!</v>
      </c>
    </row>
    <row r="530" spans="1:13" x14ac:dyDescent="0.25">
      <c r="A530" s="1" t="s">
        <v>1001</v>
      </c>
      <c r="B530" t="s">
        <v>1002</v>
      </c>
      <c r="C530" s="1" t="s">
        <v>7</v>
      </c>
      <c r="D530" s="1" t="s">
        <v>7</v>
      </c>
      <c r="E530" s="1" t="s">
        <v>7</v>
      </c>
      <c r="F530" t="s">
        <v>8</v>
      </c>
      <c r="G530" t="s">
        <v>9</v>
      </c>
      <c r="H530" t="s">
        <v>10</v>
      </c>
      <c r="I530" t="s">
        <v>1014</v>
      </c>
      <c r="J530">
        <v>9.35</v>
      </c>
      <c r="K530" t="e">
        <f>IF(COUNTIF(#REF!,Tabela2[[#This Row],[IdxWspolny]])&gt;0,"ELEM_lub_PRD","TECHN")</f>
        <v>#REF!</v>
      </c>
      <c r="L530" t="e">
        <f>IF(COUNTIF(#REF!,Tabela2[[#This Row],[KOD_PRODUKTU]])&gt;0,"ELEMENT","PRODUKT")</f>
        <v>#REF!</v>
      </c>
      <c r="M530" t="e">
        <f>COUNTIF(#REF!,Tabela2[[#This Row],[KOD_PRODUKTU]])</f>
        <v>#REF!</v>
      </c>
    </row>
    <row r="531" spans="1:13" x14ac:dyDescent="0.25">
      <c r="A531" s="1" t="s">
        <v>309</v>
      </c>
      <c r="B531" t="s">
        <v>310</v>
      </c>
      <c r="C531" s="1" t="s">
        <v>1015</v>
      </c>
      <c r="D531" s="1" t="s">
        <v>1015</v>
      </c>
      <c r="E531" s="1" t="s">
        <v>1015</v>
      </c>
      <c r="F531" t="s">
        <v>1016</v>
      </c>
      <c r="G531" t="s">
        <v>1017</v>
      </c>
      <c r="H531" t="s">
        <v>5</v>
      </c>
      <c r="I531" t="s">
        <v>1018</v>
      </c>
      <c r="J531">
        <v>3.3</v>
      </c>
      <c r="K531" t="e">
        <f>IF(COUNTIF(#REF!,Tabela2[[#This Row],[IdxWspolny]])&gt;0,"ELEM_lub_PRD","TECHN")</f>
        <v>#REF!</v>
      </c>
      <c r="L531" t="e">
        <f>IF(COUNTIF(#REF!,Tabela2[[#This Row],[KOD_PRODUKTU]])&gt;0,"ELEMENT","PRODUKT")</f>
        <v>#REF!</v>
      </c>
      <c r="M531" t="e">
        <f>COUNTIF(#REF!,Tabela2[[#This Row],[KOD_PRODUKTU]])</f>
        <v>#REF!</v>
      </c>
    </row>
    <row r="532" spans="1:13" x14ac:dyDescent="0.25">
      <c r="A532" s="1" t="s">
        <v>309</v>
      </c>
      <c r="B532" t="s">
        <v>310</v>
      </c>
      <c r="C532" s="1" t="s">
        <v>7</v>
      </c>
      <c r="D532" s="1" t="s">
        <v>7</v>
      </c>
      <c r="E532" s="1" t="s">
        <v>7</v>
      </c>
      <c r="F532" t="s">
        <v>8</v>
      </c>
      <c r="G532" t="s">
        <v>9</v>
      </c>
      <c r="H532" t="s">
        <v>10</v>
      </c>
      <c r="I532" t="s">
        <v>1019</v>
      </c>
      <c r="J532">
        <v>9.6999999999999993</v>
      </c>
      <c r="K532" t="e">
        <f>IF(COUNTIF(#REF!,Tabela2[[#This Row],[IdxWspolny]])&gt;0,"ELEM_lub_PRD","TECHN")</f>
        <v>#REF!</v>
      </c>
      <c r="L532" t="e">
        <f>IF(COUNTIF(#REF!,Tabela2[[#This Row],[KOD_PRODUKTU]])&gt;0,"ELEMENT","PRODUKT")</f>
        <v>#REF!</v>
      </c>
      <c r="M532" t="e">
        <f>COUNTIF(#REF!,Tabela2[[#This Row],[KOD_PRODUKTU]])</f>
        <v>#REF!</v>
      </c>
    </row>
    <row r="533" spans="1:13" x14ac:dyDescent="0.25">
      <c r="A533" s="1" t="s">
        <v>1020</v>
      </c>
      <c r="B533" t="s">
        <v>1021</v>
      </c>
      <c r="C533" s="1" t="s">
        <v>1022</v>
      </c>
      <c r="D533" s="1" t="s">
        <v>1022</v>
      </c>
      <c r="E533" s="1" t="s">
        <v>1022</v>
      </c>
      <c r="F533" t="s">
        <v>1023</v>
      </c>
      <c r="G533" t="s">
        <v>1024</v>
      </c>
      <c r="H533" t="s">
        <v>932</v>
      </c>
      <c r="I533" t="s">
        <v>1025</v>
      </c>
      <c r="J533">
        <v>22</v>
      </c>
      <c r="K533" t="e">
        <f>IF(COUNTIF(#REF!,Tabela2[[#This Row],[IdxWspolny]])&gt;0,"ELEM_lub_PRD","TECHN")</f>
        <v>#REF!</v>
      </c>
      <c r="L533" t="e">
        <f>IF(COUNTIF(#REF!,Tabela2[[#This Row],[KOD_PRODUKTU]])&gt;0,"ELEMENT","PRODUKT")</f>
        <v>#REF!</v>
      </c>
      <c r="M533" t="e">
        <f>COUNTIF(#REF!,Tabela2[[#This Row],[KOD_PRODUKTU]])</f>
        <v>#REF!</v>
      </c>
    </row>
    <row r="534" spans="1:13" x14ac:dyDescent="0.25">
      <c r="A534" s="1" t="s">
        <v>1020</v>
      </c>
      <c r="B534" t="s">
        <v>1021</v>
      </c>
      <c r="C534" s="1" t="s">
        <v>7</v>
      </c>
      <c r="D534" s="1" t="s">
        <v>7</v>
      </c>
      <c r="E534" s="1" t="s">
        <v>7</v>
      </c>
      <c r="F534" t="s">
        <v>8</v>
      </c>
      <c r="G534" t="s">
        <v>9</v>
      </c>
      <c r="H534" t="s">
        <v>10</v>
      </c>
      <c r="I534" t="s">
        <v>1026</v>
      </c>
      <c r="J534">
        <v>29.9</v>
      </c>
      <c r="K534" t="e">
        <f>IF(COUNTIF(#REF!,Tabela2[[#This Row],[IdxWspolny]])&gt;0,"ELEM_lub_PRD","TECHN")</f>
        <v>#REF!</v>
      </c>
      <c r="L534" t="e">
        <f>IF(COUNTIF(#REF!,Tabela2[[#This Row],[KOD_PRODUKTU]])&gt;0,"ELEMENT","PRODUKT")</f>
        <v>#REF!</v>
      </c>
      <c r="M534" t="e">
        <f>COUNTIF(#REF!,Tabela2[[#This Row],[KOD_PRODUKTU]])</f>
        <v>#REF!</v>
      </c>
    </row>
    <row r="535" spans="1:13" x14ac:dyDescent="0.25">
      <c r="A535" s="1" t="s">
        <v>1020</v>
      </c>
      <c r="B535" t="s">
        <v>1021</v>
      </c>
      <c r="C535" s="1" t="s">
        <v>7</v>
      </c>
      <c r="D535" s="1" t="s">
        <v>7</v>
      </c>
      <c r="E535" s="1" t="s">
        <v>7</v>
      </c>
      <c r="F535" t="s">
        <v>8</v>
      </c>
      <c r="G535" t="s">
        <v>9</v>
      </c>
      <c r="H535" t="s">
        <v>10</v>
      </c>
      <c r="I535" t="s">
        <v>1027</v>
      </c>
      <c r="J535">
        <v>52.9</v>
      </c>
      <c r="K535" t="e">
        <f>IF(COUNTIF(#REF!,Tabela2[[#This Row],[IdxWspolny]])&gt;0,"ELEM_lub_PRD","TECHN")</f>
        <v>#REF!</v>
      </c>
      <c r="L535" t="e">
        <f>IF(COUNTIF(#REF!,Tabela2[[#This Row],[KOD_PRODUKTU]])&gt;0,"ELEMENT","PRODUKT")</f>
        <v>#REF!</v>
      </c>
      <c r="M535" t="e">
        <f>COUNTIF(#REF!,Tabela2[[#This Row],[KOD_PRODUKTU]])</f>
        <v>#REF!</v>
      </c>
    </row>
    <row r="536" spans="1:13" x14ac:dyDescent="0.25">
      <c r="A536" s="1" t="s">
        <v>1028</v>
      </c>
      <c r="B536" t="s">
        <v>1029</v>
      </c>
      <c r="C536" s="1" t="s">
        <v>1022</v>
      </c>
      <c r="D536" s="1" t="s">
        <v>1022</v>
      </c>
      <c r="E536" s="1" t="s">
        <v>1022</v>
      </c>
      <c r="F536" t="s">
        <v>1023</v>
      </c>
      <c r="G536" t="s">
        <v>1024</v>
      </c>
      <c r="H536" t="s">
        <v>932</v>
      </c>
      <c r="I536" t="s">
        <v>1030</v>
      </c>
      <c r="J536">
        <v>10.6</v>
      </c>
      <c r="K536" t="e">
        <f>IF(COUNTIF(#REF!,Tabela2[[#This Row],[IdxWspolny]])&gt;0,"ELEM_lub_PRD","TECHN")</f>
        <v>#REF!</v>
      </c>
      <c r="L536" t="e">
        <f>IF(COUNTIF(#REF!,Tabela2[[#This Row],[KOD_PRODUKTU]])&gt;0,"ELEMENT","PRODUKT")</f>
        <v>#REF!</v>
      </c>
      <c r="M536" t="e">
        <f>COUNTIF(#REF!,Tabela2[[#This Row],[KOD_PRODUKTU]])</f>
        <v>#REF!</v>
      </c>
    </row>
    <row r="537" spans="1:13" x14ac:dyDescent="0.25">
      <c r="A537" s="1" t="s">
        <v>1028</v>
      </c>
      <c r="B537" t="s">
        <v>1029</v>
      </c>
      <c r="C537" s="1" t="s">
        <v>7</v>
      </c>
      <c r="D537" s="1" t="s">
        <v>7</v>
      </c>
      <c r="E537" s="1" t="s">
        <v>7</v>
      </c>
      <c r="F537" t="s">
        <v>1031</v>
      </c>
      <c r="G537" t="s">
        <v>9</v>
      </c>
      <c r="H537" t="s">
        <v>10</v>
      </c>
      <c r="I537" t="s">
        <v>1032</v>
      </c>
      <c r="J537">
        <v>74.849999999999994</v>
      </c>
      <c r="K537" t="e">
        <f>IF(COUNTIF(#REF!,Tabela2[[#This Row],[IdxWspolny]])&gt;0,"ELEM_lub_PRD","TECHN")</f>
        <v>#REF!</v>
      </c>
      <c r="L537" t="e">
        <f>IF(COUNTIF(#REF!,Tabela2[[#This Row],[KOD_PRODUKTU]])&gt;0,"ELEMENT","PRODUKT")</f>
        <v>#REF!</v>
      </c>
      <c r="M537" t="e">
        <f>COUNTIF(#REF!,Tabela2[[#This Row],[KOD_PRODUKTU]])</f>
        <v>#REF!</v>
      </c>
    </row>
    <row r="538" spans="1:13" x14ac:dyDescent="0.25">
      <c r="A538" s="1" t="s">
        <v>1033</v>
      </c>
      <c r="B538" t="s">
        <v>1034</v>
      </c>
      <c r="C538" s="1" t="s">
        <v>1035</v>
      </c>
      <c r="D538" s="1" t="s">
        <v>1035</v>
      </c>
      <c r="E538" s="1" t="s">
        <v>1035</v>
      </c>
      <c r="F538" t="s">
        <v>1036</v>
      </c>
      <c r="G538" t="s">
        <v>1037</v>
      </c>
      <c r="H538" t="s">
        <v>121</v>
      </c>
      <c r="I538" t="s">
        <v>50</v>
      </c>
      <c r="J538">
        <v>11.08</v>
      </c>
      <c r="K538" t="e">
        <f>IF(COUNTIF(#REF!,Tabela2[[#This Row],[IdxWspolny]])&gt;0,"ELEM_lub_PRD","TECHN")</f>
        <v>#REF!</v>
      </c>
      <c r="L538" t="e">
        <f>IF(COUNTIF(#REF!,Tabela2[[#This Row],[KOD_PRODUKTU]])&gt;0,"ELEMENT","PRODUKT")</f>
        <v>#REF!</v>
      </c>
      <c r="M538" t="e">
        <f>COUNTIF(#REF!,Tabela2[[#This Row],[KOD_PRODUKTU]])</f>
        <v>#REF!</v>
      </c>
    </row>
    <row r="539" spans="1:13" x14ac:dyDescent="0.25">
      <c r="A539" s="1" t="s">
        <v>1033</v>
      </c>
      <c r="B539" t="s">
        <v>1034</v>
      </c>
      <c r="C539" s="1" t="s">
        <v>41</v>
      </c>
      <c r="D539" s="1" t="s">
        <v>41</v>
      </c>
      <c r="E539" s="1" t="s">
        <v>41</v>
      </c>
      <c r="F539" t="s">
        <v>42</v>
      </c>
      <c r="G539" t="s">
        <v>43</v>
      </c>
      <c r="H539" t="s">
        <v>5</v>
      </c>
      <c r="I539" t="s">
        <v>1038</v>
      </c>
      <c r="J539">
        <v>0.02</v>
      </c>
      <c r="K539" t="e">
        <f>IF(COUNTIF(#REF!,Tabela2[[#This Row],[IdxWspolny]])&gt;0,"ELEM_lub_PRD","TECHN")</f>
        <v>#REF!</v>
      </c>
      <c r="L539" t="e">
        <f>IF(COUNTIF(#REF!,Tabela2[[#This Row],[KOD_PRODUKTU]])&gt;0,"ELEMENT","PRODUKT")</f>
        <v>#REF!</v>
      </c>
      <c r="M539" t="e">
        <f>COUNTIF(#REF!,Tabela2[[#This Row],[KOD_PRODUKTU]])</f>
        <v>#REF!</v>
      </c>
    </row>
    <row r="540" spans="1:13" x14ac:dyDescent="0.25">
      <c r="A540" s="1" t="s">
        <v>1033</v>
      </c>
      <c r="B540" t="s">
        <v>1034</v>
      </c>
      <c r="C540" s="1" t="s">
        <v>7</v>
      </c>
      <c r="D540" s="1" t="s">
        <v>7</v>
      </c>
      <c r="E540" s="1" t="s">
        <v>7</v>
      </c>
      <c r="F540" t="s">
        <v>8</v>
      </c>
      <c r="G540" t="s">
        <v>9</v>
      </c>
      <c r="H540" t="s">
        <v>10</v>
      </c>
      <c r="I540" t="s">
        <v>19</v>
      </c>
      <c r="J540">
        <v>4.5999999999999996</v>
      </c>
      <c r="K540" t="e">
        <f>IF(COUNTIF(#REF!,Tabela2[[#This Row],[IdxWspolny]])&gt;0,"ELEM_lub_PRD","TECHN")</f>
        <v>#REF!</v>
      </c>
      <c r="L540" t="e">
        <f>IF(COUNTIF(#REF!,Tabela2[[#This Row],[KOD_PRODUKTU]])&gt;0,"ELEMENT","PRODUKT")</f>
        <v>#REF!</v>
      </c>
      <c r="M540" t="e">
        <f>COUNTIF(#REF!,Tabela2[[#This Row],[KOD_PRODUKTU]])</f>
        <v>#REF!</v>
      </c>
    </row>
    <row r="541" spans="1:13" x14ac:dyDescent="0.25">
      <c r="A541" s="1" t="s">
        <v>1039</v>
      </c>
      <c r="B541" t="s">
        <v>1040</v>
      </c>
      <c r="C541" s="1" t="s">
        <v>1041</v>
      </c>
      <c r="D541" s="1" t="s">
        <v>1041</v>
      </c>
      <c r="E541" s="1" t="s">
        <v>1041</v>
      </c>
      <c r="F541" t="s">
        <v>1042</v>
      </c>
      <c r="G541" t="s">
        <v>1043</v>
      </c>
      <c r="H541" t="s">
        <v>17</v>
      </c>
      <c r="I541" t="s">
        <v>33</v>
      </c>
      <c r="J541">
        <v>5.9</v>
      </c>
      <c r="K541" t="e">
        <f>IF(COUNTIF(#REF!,Tabela2[[#This Row],[IdxWspolny]])&gt;0,"ELEM_lub_PRD","TECHN")</f>
        <v>#REF!</v>
      </c>
      <c r="L541" t="e">
        <f>IF(COUNTIF(#REF!,Tabela2[[#This Row],[KOD_PRODUKTU]])&gt;0,"ELEMENT","PRODUKT")</f>
        <v>#REF!</v>
      </c>
      <c r="M541" t="e">
        <f>COUNTIF(#REF!,Tabela2[[#This Row],[KOD_PRODUKTU]])</f>
        <v>#REF!</v>
      </c>
    </row>
    <row r="542" spans="1:13" x14ac:dyDescent="0.25">
      <c r="A542" s="1" t="s">
        <v>1039</v>
      </c>
      <c r="B542" t="s">
        <v>1040</v>
      </c>
      <c r="C542" s="1" t="s">
        <v>7</v>
      </c>
      <c r="D542" s="1" t="s">
        <v>7</v>
      </c>
      <c r="E542" s="1" t="s">
        <v>7</v>
      </c>
      <c r="F542" t="s">
        <v>8</v>
      </c>
      <c r="G542" t="s">
        <v>9</v>
      </c>
      <c r="H542" t="s">
        <v>10</v>
      </c>
      <c r="I542" t="s">
        <v>1044</v>
      </c>
      <c r="J542">
        <v>4.8</v>
      </c>
      <c r="K542" t="e">
        <f>IF(COUNTIF(#REF!,Tabela2[[#This Row],[IdxWspolny]])&gt;0,"ELEM_lub_PRD","TECHN")</f>
        <v>#REF!</v>
      </c>
      <c r="L542" t="e">
        <f>IF(COUNTIF(#REF!,Tabela2[[#This Row],[KOD_PRODUKTU]])&gt;0,"ELEMENT","PRODUKT")</f>
        <v>#REF!</v>
      </c>
      <c r="M542" t="e">
        <f>COUNTIF(#REF!,Tabela2[[#This Row],[KOD_PRODUKTU]])</f>
        <v>#REF!</v>
      </c>
    </row>
    <row r="543" spans="1:13" x14ac:dyDescent="0.25">
      <c r="A543" s="1" t="s">
        <v>1045</v>
      </c>
      <c r="B543" t="s">
        <v>1046</v>
      </c>
      <c r="C543" s="1" t="s">
        <v>1047</v>
      </c>
      <c r="D543" s="1" t="s">
        <v>1047</v>
      </c>
      <c r="E543" s="1" t="s">
        <v>1047</v>
      </c>
      <c r="F543" t="s">
        <v>1048</v>
      </c>
      <c r="G543" t="s">
        <v>1049</v>
      </c>
      <c r="H543" t="s">
        <v>17</v>
      </c>
      <c r="I543" t="s">
        <v>1050</v>
      </c>
      <c r="J543">
        <v>12.3</v>
      </c>
      <c r="K543" t="e">
        <f>IF(COUNTIF(#REF!,Tabela2[[#This Row],[IdxWspolny]])&gt;0,"ELEM_lub_PRD","TECHN")</f>
        <v>#REF!</v>
      </c>
      <c r="L543" t="e">
        <f>IF(COUNTIF(#REF!,Tabela2[[#This Row],[KOD_PRODUKTU]])&gt;0,"ELEMENT","PRODUKT")</f>
        <v>#REF!</v>
      </c>
      <c r="M543" t="e">
        <f>COUNTIF(#REF!,Tabela2[[#This Row],[KOD_PRODUKTU]])</f>
        <v>#REF!</v>
      </c>
    </row>
    <row r="544" spans="1:13" x14ac:dyDescent="0.25">
      <c r="A544" s="1" t="s">
        <v>1045</v>
      </c>
      <c r="B544" t="s">
        <v>1046</v>
      </c>
      <c r="C544" s="1" t="s">
        <v>7</v>
      </c>
      <c r="D544" s="1" t="s">
        <v>7</v>
      </c>
      <c r="E544" s="1" t="s">
        <v>7</v>
      </c>
      <c r="F544" t="s">
        <v>8</v>
      </c>
      <c r="G544" t="s">
        <v>9</v>
      </c>
      <c r="H544" t="s">
        <v>10</v>
      </c>
      <c r="I544" t="s">
        <v>1044</v>
      </c>
      <c r="J544">
        <v>4.8</v>
      </c>
      <c r="K544" t="e">
        <f>IF(COUNTIF(#REF!,Tabela2[[#This Row],[IdxWspolny]])&gt;0,"ELEM_lub_PRD","TECHN")</f>
        <v>#REF!</v>
      </c>
      <c r="L544" t="e">
        <f>IF(COUNTIF(#REF!,Tabela2[[#This Row],[KOD_PRODUKTU]])&gt;0,"ELEMENT","PRODUKT")</f>
        <v>#REF!</v>
      </c>
      <c r="M544" t="e">
        <f>COUNTIF(#REF!,Tabela2[[#This Row],[KOD_PRODUKTU]])</f>
        <v>#REF!</v>
      </c>
    </row>
    <row r="545" spans="1:14" x14ac:dyDescent="0.25">
      <c r="A545" s="1" t="s">
        <v>1051</v>
      </c>
      <c r="B545" t="s">
        <v>1052</v>
      </c>
      <c r="C545" s="1" t="s">
        <v>1053</v>
      </c>
      <c r="D545" s="1" t="s">
        <v>1053</v>
      </c>
      <c r="E545" s="1" t="s">
        <v>1053</v>
      </c>
      <c r="F545" t="s">
        <v>1054</v>
      </c>
      <c r="G545" t="s">
        <v>1055</v>
      </c>
      <c r="H545" t="s">
        <v>49</v>
      </c>
      <c r="I545" t="s">
        <v>50</v>
      </c>
      <c r="J545">
        <v>120.25</v>
      </c>
      <c r="K545" t="e">
        <f>IF(COUNTIF(#REF!,Tabela2[[#This Row],[IdxWspolny]])&gt;0,"ELEM_lub_PRD","TECHN")</f>
        <v>#REF!</v>
      </c>
      <c r="L545" t="e">
        <f>IF(COUNTIF(#REF!,Tabela2[[#This Row],[KOD_PRODUKTU]])&gt;0,"ELEMENT","PRODUKT")</f>
        <v>#REF!</v>
      </c>
      <c r="M545" t="e">
        <f>COUNTIF(#REF!,Tabela2[[#This Row],[KOD_PRODUKTU]])</f>
        <v>#REF!</v>
      </c>
    </row>
    <row r="546" spans="1:14" x14ac:dyDescent="0.25">
      <c r="A546" s="1" t="s">
        <v>1051</v>
      </c>
      <c r="B546" t="s">
        <v>1052</v>
      </c>
      <c r="C546" s="1" t="s">
        <v>7</v>
      </c>
      <c r="D546" s="1" t="s">
        <v>7</v>
      </c>
      <c r="E546" s="1" t="s">
        <v>7</v>
      </c>
      <c r="F546" t="s">
        <v>8</v>
      </c>
      <c r="G546" t="s">
        <v>9</v>
      </c>
      <c r="H546" t="s">
        <v>10</v>
      </c>
      <c r="I546" t="s">
        <v>19</v>
      </c>
      <c r="J546">
        <v>4.5999999999999996</v>
      </c>
      <c r="K546" t="e">
        <f>IF(COUNTIF(#REF!,Tabela2[[#This Row],[IdxWspolny]])&gt;0,"ELEM_lub_PRD","TECHN")</f>
        <v>#REF!</v>
      </c>
      <c r="L546" t="e">
        <f>IF(COUNTIF(#REF!,Tabela2[[#This Row],[KOD_PRODUKTU]])&gt;0,"ELEMENT","PRODUKT")</f>
        <v>#REF!</v>
      </c>
      <c r="M546" t="e">
        <f>COUNTIF(#REF!,Tabela2[[#This Row],[KOD_PRODUKTU]])</f>
        <v>#REF!</v>
      </c>
    </row>
    <row r="547" spans="1:14" x14ac:dyDescent="0.25">
      <c r="A547" s="1" t="s">
        <v>1056</v>
      </c>
      <c r="B547" t="s">
        <v>1057</v>
      </c>
      <c r="C547" s="1" t="s">
        <v>1058</v>
      </c>
      <c r="D547" s="1" t="s">
        <v>1058</v>
      </c>
      <c r="E547" s="1" t="s">
        <v>1058</v>
      </c>
      <c r="F547" t="s">
        <v>1059</v>
      </c>
      <c r="G547" t="s">
        <v>216</v>
      </c>
      <c r="H547" t="s">
        <v>5</v>
      </c>
      <c r="I547" t="s">
        <v>594</v>
      </c>
      <c r="J547">
        <v>1.75</v>
      </c>
      <c r="K547" t="e">
        <f>IF(COUNTIF(#REF!,Tabela2[[#This Row],[IdxWspolny]])&gt;0,"ELEM_lub_PRD","TECHN")</f>
        <v>#REF!</v>
      </c>
      <c r="L547" t="e">
        <f>IF(COUNTIF(#REF!,Tabela2[[#This Row],[KOD_PRODUKTU]])&gt;0,"ELEMENT","PRODUKT")</f>
        <v>#REF!</v>
      </c>
      <c r="M547" t="e">
        <f>COUNTIF(#REF!,Tabela2[[#This Row],[KOD_PRODUKTU]])</f>
        <v>#REF!</v>
      </c>
    </row>
    <row r="548" spans="1:14" x14ac:dyDescent="0.25">
      <c r="A548" s="1" t="s">
        <v>1056</v>
      </c>
      <c r="B548" t="s">
        <v>1057</v>
      </c>
      <c r="C548" s="1" t="s">
        <v>1060</v>
      </c>
      <c r="D548" s="1" t="s">
        <v>1060</v>
      </c>
      <c r="E548" s="1" t="s">
        <v>1060</v>
      </c>
      <c r="F548" t="s">
        <v>433</v>
      </c>
      <c r="G548" t="s">
        <v>1061</v>
      </c>
      <c r="H548" t="s">
        <v>121</v>
      </c>
      <c r="I548" t="s">
        <v>50</v>
      </c>
      <c r="J548">
        <v>1.7</v>
      </c>
      <c r="K548" t="e">
        <f>IF(COUNTIF(#REF!,Tabela2[[#This Row],[IdxWspolny]])&gt;0,"ELEM_lub_PRD","TECHN")</f>
        <v>#REF!</v>
      </c>
      <c r="L548" t="e">
        <f>IF(COUNTIF(#REF!,Tabela2[[#This Row],[KOD_PRODUKTU]])&gt;0,"ELEMENT","PRODUKT")</f>
        <v>#REF!</v>
      </c>
      <c r="M548" t="e">
        <f>COUNTIF(#REF!,Tabela2[[#This Row],[KOD_PRODUKTU]])</f>
        <v>#REF!</v>
      </c>
    </row>
    <row r="549" spans="1:14" x14ac:dyDescent="0.25">
      <c r="A549" s="1" t="s">
        <v>1056</v>
      </c>
      <c r="B549" t="s">
        <v>1057</v>
      </c>
      <c r="C549" s="1" t="s">
        <v>7</v>
      </c>
      <c r="D549" s="1" t="s">
        <v>7</v>
      </c>
      <c r="E549" s="1" t="s">
        <v>7</v>
      </c>
      <c r="F549" t="s">
        <v>8</v>
      </c>
      <c r="G549" t="s">
        <v>9</v>
      </c>
      <c r="H549" t="s">
        <v>10</v>
      </c>
      <c r="I549" t="s">
        <v>33</v>
      </c>
      <c r="J549">
        <v>9.1999999999999993</v>
      </c>
      <c r="K549" t="e">
        <f>IF(COUNTIF(#REF!,Tabela2[[#This Row],[IdxWspolny]])&gt;0,"ELEM_lub_PRD","TECHN")</f>
        <v>#REF!</v>
      </c>
      <c r="L549" t="e">
        <f>IF(COUNTIF(#REF!,Tabela2[[#This Row],[KOD_PRODUKTU]])&gt;0,"ELEMENT","PRODUKT")</f>
        <v>#REF!</v>
      </c>
      <c r="M549" t="e">
        <f>COUNTIF(#REF!,Tabela2[[#This Row],[KOD_PRODUKTU]])</f>
        <v>#REF!</v>
      </c>
    </row>
    <row r="550" spans="1:14" x14ac:dyDescent="0.25">
      <c r="A550" s="1" t="s">
        <v>1062</v>
      </c>
      <c r="B550" t="s">
        <v>1063</v>
      </c>
      <c r="C550" s="1" t="s">
        <v>22</v>
      </c>
      <c r="D550" s="1" t="s">
        <v>22</v>
      </c>
      <c r="E550" s="1" t="s">
        <v>22</v>
      </c>
      <c r="F550" t="s">
        <v>23</v>
      </c>
      <c r="G550" t="s">
        <v>24</v>
      </c>
      <c r="H550" t="s">
        <v>17</v>
      </c>
      <c r="I550" t="s">
        <v>1064</v>
      </c>
      <c r="J550">
        <v>12.2</v>
      </c>
      <c r="K550" t="e">
        <f>IF(COUNTIF(#REF!,Tabela2[[#This Row],[IdxWspolny]])&gt;0,"ELEM_lub_PRD","TECHN")</f>
        <v>#REF!</v>
      </c>
      <c r="L550" t="e">
        <f>IF(COUNTIF(#REF!,Tabela2[[#This Row],[KOD_PRODUKTU]])&gt;0,"ELEMENT","PRODUKT")</f>
        <v>#REF!</v>
      </c>
      <c r="M550" t="e">
        <f>COUNTIF(#REF!,Tabela2[[#This Row],[KOD_PRODUKTU]])</f>
        <v>#REF!</v>
      </c>
    </row>
    <row r="551" spans="1:14" x14ac:dyDescent="0.25">
      <c r="A551" s="1" t="s">
        <v>1062</v>
      </c>
      <c r="B551" t="s">
        <v>1063</v>
      </c>
      <c r="C551" s="1" t="s">
        <v>7</v>
      </c>
      <c r="D551" s="1" t="s">
        <v>7</v>
      </c>
      <c r="E551" s="1" t="s">
        <v>7</v>
      </c>
      <c r="F551" t="s">
        <v>8</v>
      </c>
      <c r="G551" t="s">
        <v>9</v>
      </c>
      <c r="H551" t="s">
        <v>10</v>
      </c>
      <c r="I551" t="s">
        <v>1065</v>
      </c>
      <c r="J551">
        <v>5</v>
      </c>
      <c r="K551" t="e">
        <f>IF(COUNTIF(#REF!,Tabela2[[#This Row],[IdxWspolny]])&gt;0,"ELEM_lub_PRD","TECHN")</f>
        <v>#REF!</v>
      </c>
      <c r="L551" t="e">
        <f>IF(COUNTIF(#REF!,Tabela2[[#This Row],[KOD_PRODUKTU]])&gt;0,"ELEMENT","PRODUKT")</f>
        <v>#REF!</v>
      </c>
      <c r="M551" t="e">
        <f>COUNTIF(#REF!,Tabela2[[#This Row],[KOD_PRODUKTU]])</f>
        <v>#REF!</v>
      </c>
    </row>
    <row r="552" spans="1:14" x14ac:dyDescent="0.25">
      <c r="A552" s="1" t="s">
        <v>1066</v>
      </c>
      <c r="B552" t="s">
        <v>1067</v>
      </c>
      <c r="C552" s="1" t="s">
        <v>1068</v>
      </c>
      <c r="D552" s="1" t="s">
        <v>1068</v>
      </c>
      <c r="E552" s="1" t="s">
        <v>1068</v>
      </c>
      <c r="F552" t="s">
        <v>1069</v>
      </c>
      <c r="G552" t="s">
        <v>884</v>
      </c>
      <c r="H552" t="s">
        <v>5</v>
      </c>
      <c r="I552" t="s">
        <v>1070</v>
      </c>
      <c r="J552">
        <v>0.25</v>
      </c>
      <c r="K552" t="e">
        <f>IF(COUNTIF(#REF!,Tabela2[[#This Row],[IdxWspolny]])&gt;0,"ELEM_lub_PRD","TECHN")</f>
        <v>#REF!</v>
      </c>
      <c r="L552" t="e">
        <f>IF(COUNTIF(#REF!,Tabela2[[#This Row],[KOD_PRODUKTU]])&gt;0,"ELEMENT","PRODUKT")</f>
        <v>#REF!</v>
      </c>
      <c r="M552" t="e">
        <f>COUNTIF(#REF!,Tabela2[[#This Row],[KOD_PRODUKTU]])</f>
        <v>#REF!</v>
      </c>
    </row>
    <row r="553" spans="1:14" x14ac:dyDescent="0.25">
      <c r="A553" s="1" t="s">
        <v>1066</v>
      </c>
      <c r="B553" t="s">
        <v>1067</v>
      </c>
      <c r="C553" s="1" t="s">
        <v>7</v>
      </c>
      <c r="D553" s="1" t="s">
        <v>7</v>
      </c>
      <c r="E553" s="1" t="s">
        <v>7</v>
      </c>
      <c r="F553" t="s">
        <v>8</v>
      </c>
      <c r="G553" t="s">
        <v>9</v>
      </c>
      <c r="H553" t="s">
        <v>10</v>
      </c>
      <c r="I553" t="s">
        <v>1071</v>
      </c>
      <c r="J553">
        <v>3.95</v>
      </c>
      <c r="K553" t="e">
        <f>IF(COUNTIF(#REF!,Tabela2[[#This Row],[IdxWspolny]])&gt;0,"ELEM_lub_PRD","TECHN")</f>
        <v>#REF!</v>
      </c>
      <c r="L553" t="e">
        <f>IF(COUNTIF(#REF!,Tabela2[[#This Row],[KOD_PRODUKTU]])&gt;0,"ELEMENT","PRODUKT")</f>
        <v>#REF!</v>
      </c>
      <c r="M553" t="e">
        <f>COUNTIF(#REF!,Tabela2[[#This Row],[KOD_PRODUKTU]])</f>
        <v>#REF!</v>
      </c>
    </row>
    <row r="554" spans="1:14" x14ac:dyDescent="0.25">
      <c r="A554" s="1" t="s">
        <v>1072</v>
      </c>
      <c r="B554" t="s">
        <v>1073</v>
      </c>
      <c r="C554" s="1" t="s">
        <v>1074</v>
      </c>
      <c r="D554" s="1" t="s">
        <v>1074</v>
      </c>
      <c r="E554" s="1" t="s">
        <v>1074</v>
      </c>
      <c r="F554" t="s">
        <v>1075</v>
      </c>
      <c r="G554" t="s">
        <v>1076</v>
      </c>
      <c r="H554" t="s">
        <v>5</v>
      </c>
      <c r="I554" t="s">
        <v>1077</v>
      </c>
      <c r="J554">
        <v>0.13</v>
      </c>
      <c r="K554" t="e">
        <f>IF(COUNTIF(#REF!,Tabela2[[#This Row],[IdxWspolny]])&gt;0,"ELEM_lub_PRD","TECHN")</f>
        <v>#REF!</v>
      </c>
      <c r="L554" t="e">
        <f>IF(COUNTIF(#REF!,Tabela2[[#This Row],[KOD_PRODUKTU]])&gt;0,"ELEMENT","PRODUKT")</f>
        <v>#REF!</v>
      </c>
      <c r="M554" t="e">
        <f>COUNTIF(#REF!,Tabela2[[#This Row],[KOD_PRODUKTU]])</f>
        <v>#REF!</v>
      </c>
    </row>
    <row r="555" spans="1:14" x14ac:dyDescent="0.25">
      <c r="A555" s="1" t="s">
        <v>1072</v>
      </c>
      <c r="B555" t="s">
        <v>1073</v>
      </c>
      <c r="C555" s="1" t="s">
        <v>1078</v>
      </c>
      <c r="D555" s="1" t="s">
        <v>1078</v>
      </c>
      <c r="E555" s="1" t="s">
        <v>1078</v>
      </c>
      <c r="F555" t="s">
        <v>1079</v>
      </c>
      <c r="G555" t="s">
        <v>1080</v>
      </c>
      <c r="H555" t="s">
        <v>5</v>
      </c>
      <c r="I555" t="s">
        <v>1081</v>
      </c>
      <c r="J555">
        <v>0.51</v>
      </c>
      <c r="K555" t="e">
        <f>IF(COUNTIF(#REF!,Tabela2[[#This Row],[IdxWspolny]])&gt;0,"ELEM_lub_PRD","TECHN")</f>
        <v>#REF!</v>
      </c>
      <c r="L555" t="e">
        <f>IF(COUNTIF(#REF!,Tabela2[[#This Row],[KOD_PRODUKTU]])&gt;0,"ELEMENT","PRODUKT")</f>
        <v>#REF!</v>
      </c>
      <c r="M555" t="e">
        <f>COUNTIF(#REF!,Tabela2[[#This Row],[KOD_PRODUKTU]])</f>
        <v>#REF!</v>
      </c>
    </row>
    <row r="556" spans="1:14" x14ac:dyDescent="0.25">
      <c r="A556" s="1" t="s">
        <v>1072</v>
      </c>
      <c r="B556" t="s">
        <v>1073</v>
      </c>
      <c r="C556" s="1" t="s">
        <v>1082</v>
      </c>
      <c r="D556" s="1" t="s">
        <v>1082</v>
      </c>
      <c r="E556" s="1" t="s">
        <v>1082</v>
      </c>
      <c r="F556" t="s">
        <v>1083</v>
      </c>
      <c r="G556" t="s">
        <v>1084</v>
      </c>
      <c r="H556" t="s">
        <v>121</v>
      </c>
      <c r="I556" t="s">
        <v>50</v>
      </c>
      <c r="J556">
        <v>0.84</v>
      </c>
      <c r="K556" t="e">
        <f>IF(COUNTIF(#REF!,Tabela2[[#This Row],[IdxWspolny]])&gt;0,"ELEM_lub_PRD","TECHN")</f>
        <v>#REF!</v>
      </c>
      <c r="L556" t="e">
        <f>IF(COUNTIF(#REF!,Tabela2[[#This Row],[KOD_PRODUKTU]])&gt;0,"ELEMENT","PRODUKT")</f>
        <v>#REF!</v>
      </c>
      <c r="M556" t="e">
        <f>COUNTIF(#REF!,Tabela2[[#This Row],[KOD_PRODUKTU]])</f>
        <v>#REF!</v>
      </c>
    </row>
    <row r="557" spans="1:14" x14ac:dyDescent="0.25">
      <c r="A557" s="1" t="s">
        <v>1072</v>
      </c>
      <c r="B557" t="s">
        <v>1073</v>
      </c>
      <c r="C557" s="1" t="s">
        <v>1085</v>
      </c>
      <c r="D557" s="1" t="s">
        <v>1085</v>
      </c>
      <c r="E557" s="1" t="s">
        <v>1085</v>
      </c>
      <c r="F557" t="s">
        <v>1086</v>
      </c>
      <c r="G557" t="s">
        <v>1087</v>
      </c>
      <c r="H557" t="s">
        <v>121</v>
      </c>
      <c r="I557" t="s">
        <v>50</v>
      </c>
      <c r="J557">
        <v>0.17</v>
      </c>
      <c r="K557" t="e">
        <f>IF(COUNTIF(#REF!,Tabela2[[#This Row],[IdxWspolny]])&gt;0,"ELEM_lub_PRD","TECHN")</f>
        <v>#REF!</v>
      </c>
      <c r="L557" t="e">
        <f>IF(COUNTIF(#REF!,Tabela2[[#This Row],[KOD_PRODUKTU]])&gt;0,"ELEMENT","PRODUKT")</f>
        <v>#REF!</v>
      </c>
      <c r="M557" t="e">
        <f>COUNTIF(#REF!,Tabela2[[#This Row],[KOD_PRODUKTU]])</f>
        <v>#REF!</v>
      </c>
    </row>
    <row r="558" spans="1:14" x14ac:dyDescent="0.25">
      <c r="A558" s="1" t="s">
        <v>1072</v>
      </c>
      <c r="B558" t="s">
        <v>1073</v>
      </c>
      <c r="C558" s="1" t="s">
        <v>1088</v>
      </c>
      <c r="D558" s="1" t="s">
        <v>1088</v>
      </c>
      <c r="E558" s="1" t="s">
        <v>1088</v>
      </c>
      <c r="F558" t="s">
        <v>1089</v>
      </c>
      <c r="G558" t="s">
        <v>1090</v>
      </c>
      <c r="H558" t="s">
        <v>121</v>
      </c>
      <c r="I558" t="s">
        <v>92</v>
      </c>
      <c r="J558">
        <v>0.2</v>
      </c>
      <c r="K558" t="e">
        <f>IF(COUNTIF(#REF!,Tabela2[[#This Row],[IdxWspolny]])&gt;0,"ELEM_lub_PRD","TECHN")</f>
        <v>#REF!</v>
      </c>
      <c r="L558" t="e">
        <f>IF(COUNTIF(#REF!,Tabela2[[#This Row],[KOD_PRODUKTU]])&gt;0,"ELEMENT","PRODUKT")</f>
        <v>#REF!</v>
      </c>
      <c r="M558" t="e">
        <f>COUNTIF(#REF!,Tabela2[[#This Row],[KOD_PRODUKTU]])</f>
        <v>#REF!</v>
      </c>
    </row>
    <row r="559" spans="1:14" hidden="1" x14ac:dyDescent="0.25">
      <c r="A559" s="1" t="s">
        <v>1072</v>
      </c>
      <c r="B559" t="s">
        <v>1073</v>
      </c>
      <c r="C559" s="1" t="s">
        <v>1091</v>
      </c>
      <c r="D559" s="1" t="s">
        <v>1091</v>
      </c>
      <c r="E559" s="1" t="s">
        <v>1091</v>
      </c>
      <c r="F559" t="s">
        <v>1092</v>
      </c>
      <c r="G559" t="s">
        <v>1093</v>
      </c>
      <c r="H559" t="s">
        <v>121</v>
      </c>
      <c r="I559" t="s">
        <v>50</v>
      </c>
      <c r="J559">
        <v>20.45</v>
      </c>
      <c r="K559" t="e">
        <f>IF(COUNTIF(#REF!,Tabela2[[#This Row],[IdxWspolny]])&gt;0,"ELEM_lub_PRD","TECHN")</f>
        <v>#REF!</v>
      </c>
      <c r="L559" t="e">
        <f>IF(COUNTIF(#REF!,Tabela2[[#This Row],[KOD_PRODUKTU]])&gt;0,"ELEMENT","PRODUKT")</f>
        <v>#REF!</v>
      </c>
      <c r="M559" t="e">
        <f>COUNTIF(#REF!,Tabela2[[#This Row],[KOD_PRODUKTU]])</f>
        <v>#REF!</v>
      </c>
      <c r="N559" t="s">
        <v>55</v>
      </c>
    </row>
    <row r="560" spans="1:14" x14ac:dyDescent="0.25">
      <c r="A560" s="1" t="s">
        <v>1072</v>
      </c>
      <c r="B560" t="s">
        <v>1073</v>
      </c>
      <c r="C560" s="1" t="s">
        <v>7</v>
      </c>
      <c r="D560" s="1" t="s">
        <v>7</v>
      </c>
      <c r="E560" s="1" t="s">
        <v>7</v>
      </c>
      <c r="F560" t="s">
        <v>8</v>
      </c>
      <c r="G560" t="s">
        <v>9</v>
      </c>
      <c r="H560" t="s">
        <v>10</v>
      </c>
      <c r="I560" t="s">
        <v>601</v>
      </c>
      <c r="J560">
        <v>6.9</v>
      </c>
      <c r="K560" t="e">
        <f>IF(COUNTIF(#REF!,Tabela2[[#This Row],[IdxWspolny]])&gt;0,"ELEM_lub_PRD","TECHN")</f>
        <v>#REF!</v>
      </c>
      <c r="L560" t="e">
        <f>IF(COUNTIF(#REF!,Tabela2[[#This Row],[KOD_PRODUKTU]])&gt;0,"ELEMENT","PRODUKT")</f>
        <v>#REF!</v>
      </c>
      <c r="M560" t="e">
        <f>COUNTIF(#REF!,Tabela2[[#This Row],[KOD_PRODUKTU]])</f>
        <v>#REF!</v>
      </c>
    </row>
    <row r="561" spans="1:13" x14ac:dyDescent="0.25">
      <c r="A561" s="1" t="s">
        <v>455</v>
      </c>
      <c r="B561" t="s">
        <v>456</v>
      </c>
      <c r="C561" s="1" t="s">
        <v>1094</v>
      </c>
      <c r="D561" s="1" t="s">
        <v>1094</v>
      </c>
      <c r="E561" s="1" t="s">
        <v>1094</v>
      </c>
      <c r="F561" t="s">
        <v>1095</v>
      </c>
      <c r="G561" t="s">
        <v>887</v>
      </c>
      <c r="H561" t="s">
        <v>5</v>
      </c>
      <c r="I561" t="s">
        <v>367</v>
      </c>
      <c r="J561">
        <v>1.4</v>
      </c>
      <c r="K561" t="e">
        <f>IF(COUNTIF(#REF!,Tabela2[[#This Row],[IdxWspolny]])&gt;0,"ELEM_lub_PRD","TECHN")</f>
        <v>#REF!</v>
      </c>
      <c r="L561" t="e">
        <f>IF(COUNTIF(#REF!,Tabela2[[#This Row],[KOD_PRODUKTU]])&gt;0,"ELEMENT","PRODUKT")</f>
        <v>#REF!</v>
      </c>
      <c r="M561" t="e">
        <f>COUNTIF(#REF!,Tabela2[[#This Row],[KOD_PRODUKTU]])</f>
        <v>#REF!</v>
      </c>
    </row>
    <row r="562" spans="1:13" x14ac:dyDescent="0.25">
      <c r="A562" s="1" t="s">
        <v>455</v>
      </c>
      <c r="B562" t="s">
        <v>456</v>
      </c>
      <c r="C562" s="1" t="s">
        <v>7</v>
      </c>
      <c r="D562" s="1" t="s">
        <v>7</v>
      </c>
      <c r="E562" s="1" t="s">
        <v>7</v>
      </c>
      <c r="F562" t="s">
        <v>8</v>
      </c>
      <c r="G562" t="s">
        <v>9</v>
      </c>
      <c r="H562" t="s">
        <v>10</v>
      </c>
      <c r="I562" t="s">
        <v>1096</v>
      </c>
      <c r="J562">
        <v>4.7</v>
      </c>
      <c r="K562" t="e">
        <f>IF(COUNTIF(#REF!,Tabela2[[#This Row],[IdxWspolny]])&gt;0,"ELEM_lub_PRD","TECHN")</f>
        <v>#REF!</v>
      </c>
      <c r="L562" t="e">
        <f>IF(COUNTIF(#REF!,Tabela2[[#This Row],[KOD_PRODUKTU]])&gt;0,"ELEMENT","PRODUKT")</f>
        <v>#REF!</v>
      </c>
      <c r="M562" t="e">
        <f>COUNTIF(#REF!,Tabela2[[#This Row],[KOD_PRODUKTU]])</f>
        <v>#REF!</v>
      </c>
    </row>
    <row r="563" spans="1:13" x14ac:dyDescent="0.25">
      <c r="A563" s="1" t="s">
        <v>1097</v>
      </c>
      <c r="B563" t="s">
        <v>1098</v>
      </c>
      <c r="C563" s="1" t="s">
        <v>1099</v>
      </c>
      <c r="D563" s="1" t="s">
        <v>1099</v>
      </c>
      <c r="E563" s="1" t="s">
        <v>1099</v>
      </c>
      <c r="F563" t="s">
        <v>1100</v>
      </c>
      <c r="G563" t="s">
        <v>1101</v>
      </c>
      <c r="H563" t="s">
        <v>49</v>
      </c>
      <c r="I563" t="s">
        <v>1102</v>
      </c>
      <c r="J563">
        <v>2.65</v>
      </c>
      <c r="K563" t="e">
        <f>IF(COUNTIF(#REF!,Tabela2[[#This Row],[IdxWspolny]])&gt;0,"ELEM_lub_PRD","TECHN")</f>
        <v>#REF!</v>
      </c>
      <c r="L563" t="e">
        <f>IF(COUNTIF(#REF!,Tabela2[[#This Row],[KOD_PRODUKTU]])&gt;0,"ELEMENT","PRODUKT")</f>
        <v>#REF!</v>
      </c>
      <c r="M563" t="e">
        <f>COUNTIF(#REF!,Tabela2[[#This Row],[KOD_PRODUKTU]])</f>
        <v>#REF!</v>
      </c>
    </row>
    <row r="564" spans="1:13" x14ac:dyDescent="0.25">
      <c r="A564" s="1" t="s">
        <v>1097</v>
      </c>
      <c r="B564" t="s">
        <v>1098</v>
      </c>
      <c r="C564" s="1" t="s">
        <v>432</v>
      </c>
      <c r="D564" s="1" t="s">
        <v>432</v>
      </c>
      <c r="E564" s="1" t="s">
        <v>432</v>
      </c>
      <c r="F564" t="s">
        <v>433</v>
      </c>
      <c r="G564" t="s">
        <v>434</v>
      </c>
      <c r="H564" t="s">
        <v>435</v>
      </c>
      <c r="I564" t="s">
        <v>50</v>
      </c>
      <c r="J564">
        <v>1.1000000000000001</v>
      </c>
      <c r="K564" t="e">
        <f>IF(COUNTIF(#REF!,Tabela2[[#This Row],[IdxWspolny]])&gt;0,"ELEM_lub_PRD","TECHN")</f>
        <v>#REF!</v>
      </c>
      <c r="L564" t="e">
        <f>IF(COUNTIF(#REF!,Tabela2[[#This Row],[KOD_PRODUKTU]])&gt;0,"ELEMENT","PRODUKT")</f>
        <v>#REF!</v>
      </c>
      <c r="M564" t="e">
        <f>COUNTIF(#REF!,Tabela2[[#This Row],[KOD_PRODUKTU]])</f>
        <v>#REF!</v>
      </c>
    </row>
    <row r="565" spans="1:13" x14ac:dyDescent="0.25">
      <c r="A565" s="1" t="s">
        <v>1097</v>
      </c>
      <c r="B565" t="s">
        <v>1098</v>
      </c>
      <c r="C565" s="1" t="s">
        <v>7</v>
      </c>
      <c r="D565" s="1" t="s">
        <v>7</v>
      </c>
      <c r="E565" s="1" t="s">
        <v>7</v>
      </c>
      <c r="F565" t="s">
        <v>8</v>
      </c>
      <c r="G565" t="s">
        <v>9</v>
      </c>
      <c r="H565" t="s">
        <v>10</v>
      </c>
      <c r="I565" t="s">
        <v>594</v>
      </c>
      <c r="J565">
        <v>11.5</v>
      </c>
      <c r="K565" t="e">
        <f>IF(COUNTIF(#REF!,Tabela2[[#This Row],[IdxWspolny]])&gt;0,"ELEM_lub_PRD","TECHN")</f>
        <v>#REF!</v>
      </c>
      <c r="L565" t="e">
        <f>IF(COUNTIF(#REF!,Tabela2[[#This Row],[KOD_PRODUKTU]])&gt;0,"ELEMENT","PRODUKT")</f>
        <v>#REF!</v>
      </c>
      <c r="M565" t="e">
        <f>COUNTIF(#REF!,Tabela2[[#This Row],[KOD_PRODUKTU]])</f>
        <v>#REF!</v>
      </c>
    </row>
    <row r="566" spans="1:13" x14ac:dyDescent="0.25">
      <c r="A566" s="1" t="s">
        <v>1103</v>
      </c>
      <c r="B566" t="s">
        <v>1104</v>
      </c>
      <c r="C566" s="1" t="s">
        <v>1105</v>
      </c>
      <c r="D566" s="1" t="s">
        <v>1105</v>
      </c>
      <c r="E566" s="1" t="s">
        <v>1105</v>
      </c>
      <c r="F566" t="s">
        <v>1106</v>
      </c>
      <c r="G566" t="s">
        <v>1107</v>
      </c>
      <c r="H566" t="s">
        <v>49</v>
      </c>
      <c r="I566" t="s">
        <v>50</v>
      </c>
      <c r="J566">
        <v>65.040000000000006</v>
      </c>
      <c r="K566" t="e">
        <f>IF(COUNTIF(#REF!,Tabela2[[#This Row],[IdxWspolny]])&gt;0,"ELEM_lub_PRD","TECHN")</f>
        <v>#REF!</v>
      </c>
      <c r="L566" t="e">
        <f>IF(COUNTIF(#REF!,Tabela2[[#This Row],[KOD_PRODUKTU]])&gt;0,"ELEMENT","PRODUKT")</f>
        <v>#REF!</v>
      </c>
      <c r="M566" t="e">
        <f>COUNTIF(#REF!,Tabela2[[#This Row],[KOD_PRODUKTU]])</f>
        <v>#REF!</v>
      </c>
    </row>
    <row r="567" spans="1:13" x14ac:dyDescent="0.25">
      <c r="A567" s="1" t="s">
        <v>1103</v>
      </c>
      <c r="B567" t="s">
        <v>1104</v>
      </c>
      <c r="C567" s="1" t="s">
        <v>41</v>
      </c>
      <c r="D567" s="1" t="s">
        <v>41</v>
      </c>
      <c r="E567" s="1" t="s">
        <v>41</v>
      </c>
      <c r="F567" t="s">
        <v>42</v>
      </c>
      <c r="G567" t="s">
        <v>43</v>
      </c>
      <c r="H567" t="s">
        <v>5</v>
      </c>
      <c r="I567" t="s">
        <v>227</v>
      </c>
      <c r="J567">
        <v>0.01</v>
      </c>
      <c r="K567" t="e">
        <f>IF(COUNTIF(#REF!,Tabela2[[#This Row],[IdxWspolny]])&gt;0,"ELEM_lub_PRD","TECHN")</f>
        <v>#REF!</v>
      </c>
      <c r="L567" t="e">
        <f>IF(COUNTIF(#REF!,Tabela2[[#This Row],[KOD_PRODUKTU]])&gt;0,"ELEMENT","PRODUKT")</f>
        <v>#REF!</v>
      </c>
      <c r="M567" t="e">
        <f>COUNTIF(#REF!,Tabela2[[#This Row],[KOD_PRODUKTU]])</f>
        <v>#REF!</v>
      </c>
    </row>
    <row r="568" spans="1:13" x14ac:dyDescent="0.25">
      <c r="A568" s="1" t="s">
        <v>1103</v>
      </c>
      <c r="B568" t="s">
        <v>1104</v>
      </c>
      <c r="C568" s="1" t="s">
        <v>7</v>
      </c>
      <c r="D568" s="1" t="s">
        <v>7</v>
      </c>
      <c r="E568" s="1" t="s">
        <v>7</v>
      </c>
      <c r="F568" t="s">
        <v>8</v>
      </c>
      <c r="G568" t="s">
        <v>9</v>
      </c>
      <c r="H568" t="s">
        <v>10</v>
      </c>
      <c r="I568" t="s">
        <v>245</v>
      </c>
      <c r="J568">
        <v>4</v>
      </c>
      <c r="K568" t="e">
        <f>IF(COUNTIF(#REF!,Tabela2[[#This Row],[IdxWspolny]])&gt;0,"ELEM_lub_PRD","TECHN")</f>
        <v>#REF!</v>
      </c>
      <c r="L568" t="e">
        <f>IF(COUNTIF(#REF!,Tabela2[[#This Row],[KOD_PRODUKTU]])&gt;0,"ELEMENT","PRODUKT")</f>
        <v>#REF!</v>
      </c>
      <c r="M568" t="e">
        <f>COUNTIF(#REF!,Tabela2[[#This Row],[KOD_PRODUKTU]])</f>
        <v>#REF!</v>
      </c>
    </row>
    <row r="569" spans="1:13" x14ac:dyDescent="0.25">
      <c r="A569" s="1" t="s">
        <v>106</v>
      </c>
      <c r="B569" t="s">
        <v>107</v>
      </c>
      <c r="C569" s="1" t="s">
        <v>1108</v>
      </c>
      <c r="D569" s="1" t="s">
        <v>1108</v>
      </c>
      <c r="E569" s="1" t="s">
        <v>1108</v>
      </c>
      <c r="F569" t="s">
        <v>1109</v>
      </c>
      <c r="G569" t="s">
        <v>1110</v>
      </c>
      <c r="H569" t="s">
        <v>39</v>
      </c>
      <c r="I569" t="s">
        <v>40</v>
      </c>
      <c r="J569">
        <v>0.49</v>
      </c>
      <c r="K569" t="e">
        <f>IF(COUNTIF(#REF!,Tabela2[[#This Row],[IdxWspolny]])&gt;0,"ELEM_lub_PRD","TECHN")</f>
        <v>#REF!</v>
      </c>
      <c r="L569" t="e">
        <f>IF(COUNTIF(#REF!,Tabela2[[#This Row],[KOD_PRODUKTU]])&gt;0,"ELEMENT","PRODUKT")</f>
        <v>#REF!</v>
      </c>
      <c r="M569" t="e">
        <f>COUNTIF(#REF!,Tabela2[[#This Row],[KOD_PRODUKTU]])</f>
        <v>#REF!</v>
      </c>
    </row>
    <row r="570" spans="1:13" x14ac:dyDescent="0.25">
      <c r="A570" s="1" t="s">
        <v>106</v>
      </c>
      <c r="B570" t="s">
        <v>107</v>
      </c>
      <c r="C570" s="1" t="s">
        <v>1111</v>
      </c>
      <c r="D570" s="1" t="s">
        <v>1111</v>
      </c>
      <c r="E570" s="1" t="s">
        <v>1111</v>
      </c>
      <c r="F570" t="s">
        <v>1112</v>
      </c>
      <c r="G570" t="s">
        <v>1113</v>
      </c>
      <c r="H570" t="s">
        <v>39</v>
      </c>
      <c r="I570" t="s">
        <v>447</v>
      </c>
      <c r="J570">
        <v>0.54</v>
      </c>
      <c r="K570" t="e">
        <f>IF(COUNTIF(#REF!,Tabela2[[#This Row],[IdxWspolny]])&gt;0,"ELEM_lub_PRD","TECHN")</f>
        <v>#REF!</v>
      </c>
      <c r="L570" t="e">
        <f>IF(COUNTIF(#REF!,Tabela2[[#This Row],[KOD_PRODUKTU]])&gt;0,"ELEMENT","PRODUKT")</f>
        <v>#REF!</v>
      </c>
      <c r="M570" t="e">
        <f>COUNTIF(#REF!,Tabela2[[#This Row],[KOD_PRODUKTU]])</f>
        <v>#REF!</v>
      </c>
    </row>
    <row r="571" spans="1:13" x14ac:dyDescent="0.25">
      <c r="A571" s="1" t="s">
        <v>106</v>
      </c>
      <c r="B571" t="s">
        <v>107</v>
      </c>
      <c r="C571" s="1" t="s">
        <v>41</v>
      </c>
      <c r="D571" s="1" t="s">
        <v>41</v>
      </c>
      <c r="E571" s="1" t="s">
        <v>41</v>
      </c>
      <c r="F571" t="s">
        <v>42</v>
      </c>
      <c r="G571" t="s">
        <v>513</v>
      </c>
      <c r="H571" t="s">
        <v>5</v>
      </c>
      <c r="I571" t="s">
        <v>1038</v>
      </c>
      <c r="J571">
        <v>0.02</v>
      </c>
      <c r="K571" t="e">
        <f>IF(COUNTIF(#REF!,Tabela2[[#This Row],[IdxWspolny]])&gt;0,"ELEM_lub_PRD","TECHN")</f>
        <v>#REF!</v>
      </c>
      <c r="L571" t="e">
        <f>IF(COUNTIF(#REF!,Tabela2[[#This Row],[KOD_PRODUKTU]])&gt;0,"ELEMENT","PRODUKT")</f>
        <v>#REF!</v>
      </c>
      <c r="M571" t="e">
        <f>COUNTIF(#REF!,Tabela2[[#This Row],[KOD_PRODUKTU]])</f>
        <v>#REF!</v>
      </c>
    </row>
    <row r="572" spans="1:13" x14ac:dyDescent="0.25">
      <c r="A572" s="1" t="s">
        <v>106</v>
      </c>
      <c r="B572" t="s">
        <v>107</v>
      </c>
      <c r="C572" s="1" t="s">
        <v>7</v>
      </c>
      <c r="D572" s="1" t="s">
        <v>7</v>
      </c>
      <c r="E572" s="1" t="s">
        <v>7</v>
      </c>
      <c r="F572" t="s">
        <v>8</v>
      </c>
      <c r="G572" t="s">
        <v>9</v>
      </c>
      <c r="H572" t="s">
        <v>10</v>
      </c>
      <c r="I572" t="s">
        <v>1114</v>
      </c>
      <c r="J572">
        <v>3.15</v>
      </c>
      <c r="K572" t="e">
        <f>IF(COUNTIF(#REF!,Tabela2[[#This Row],[IdxWspolny]])&gt;0,"ELEM_lub_PRD","TECHN")</f>
        <v>#REF!</v>
      </c>
      <c r="L572" t="e">
        <f>IF(COUNTIF(#REF!,Tabela2[[#This Row],[KOD_PRODUKTU]])&gt;0,"ELEMENT","PRODUKT")</f>
        <v>#REF!</v>
      </c>
      <c r="M572" t="e">
        <f>COUNTIF(#REF!,Tabela2[[#This Row],[KOD_PRODUKTU]])</f>
        <v>#REF!</v>
      </c>
    </row>
    <row r="573" spans="1:13" x14ac:dyDescent="0.25">
      <c r="A573" s="1" t="s">
        <v>1115</v>
      </c>
      <c r="B573" t="s">
        <v>1116</v>
      </c>
      <c r="C573" s="1" t="s">
        <v>1117</v>
      </c>
      <c r="D573" s="1" t="s">
        <v>1117</v>
      </c>
      <c r="E573" s="1" t="s">
        <v>1117</v>
      </c>
      <c r="F573" t="s">
        <v>1118</v>
      </c>
      <c r="G573" t="s">
        <v>876</v>
      </c>
      <c r="H573" t="s">
        <v>5</v>
      </c>
      <c r="I573" t="s">
        <v>1119</v>
      </c>
      <c r="J573">
        <v>0.54</v>
      </c>
      <c r="K573" t="e">
        <f>IF(COUNTIF(#REF!,Tabela2[[#This Row],[IdxWspolny]])&gt;0,"ELEM_lub_PRD","TECHN")</f>
        <v>#REF!</v>
      </c>
      <c r="L573" t="e">
        <f>IF(COUNTIF(#REF!,Tabela2[[#This Row],[KOD_PRODUKTU]])&gt;0,"ELEMENT","PRODUKT")</f>
        <v>#REF!</v>
      </c>
      <c r="M573" t="e">
        <f>COUNTIF(#REF!,Tabela2[[#This Row],[KOD_PRODUKTU]])</f>
        <v>#REF!</v>
      </c>
    </row>
    <row r="574" spans="1:13" x14ac:dyDescent="0.25">
      <c r="A574" s="1" t="s">
        <v>1115</v>
      </c>
      <c r="B574" t="s">
        <v>1116</v>
      </c>
      <c r="C574" s="1" t="s">
        <v>432</v>
      </c>
      <c r="D574" s="1" t="s">
        <v>432</v>
      </c>
      <c r="E574" s="1" t="s">
        <v>432</v>
      </c>
      <c r="F574" t="s">
        <v>433</v>
      </c>
      <c r="G574" t="s">
        <v>434</v>
      </c>
      <c r="H574" t="s">
        <v>435</v>
      </c>
      <c r="I574" t="s">
        <v>50</v>
      </c>
      <c r="J574">
        <v>1.1000000000000001</v>
      </c>
      <c r="K574" t="e">
        <f>IF(COUNTIF(#REF!,Tabela2[[#This Row],[IdxWspolny]])&gt;0,"ELEM_lub_PRD","TECHN")</f>
        <v>#REF!</v>
      </c>
      <c r="L574" t="e">
        <f>IF(COUNTIF(#REF!,Tabela2[[#This Row],[KOD_PRODUKTU]])&gt;0,"ELEMENT","PRODUKT")</f>
        <v>#REF!</v>
      </c>
      <c r="M574" t="e">
        <f>COUNTIF(#REF!,Tabela2[[#This Row],[KOD_PRODUKTU]])</f>
        <v>#REF!</v>
      </c>
    </row>
    <row r="575" spans="1:13" x14ac:dyDescent="0.25">
      <c r="A575" s="1" t="s">
        <v>1115</v>
      </c>
      <c r="B575" t="s">
        <v>1116</v>
      </c>
      <c r="C575" s="1" t="s">
        <v>7</v>
      </c>
      <c r="D575" s="1" t="s">
        <v>7</v>
      </c>
      <c r="E575" s="1" t="s">
        <v>7</v>
      </c>
      <c r="F575" t="s">
        <v>8</v>
      </c>
      <c r="G575" t="s">
        <v>9</v>
      </c>
      <c r="H575" t="s">
        <v>10</v>
      </c>
      <c r="I575" t="s">
        <v>1120</v>
      </c>
      <c r="J575">
        <v>2.37</v>
      </c>
      <c r="K575" t="e">
        <f>IF(COUNTIF(#REF!,Tabela2[[#This Row],[IdxWspolny]])&gt;0,"ELEM_lub_PRD","TECHN")</f>
        <v>#REF!</v>
      </c>
      <c r="L575" t="e">
        <f>IF(COUNTIF(#REF!,Tabela2[[#This Row],[KOD_PRODUKTU]])&gt;0,"ELEMENT","PRODUKT")</f>
        <v>#REF!</v>
      </c>
      <c r="M575" t="e">
        <f>COUNTIF(#REF!,Tabela2[[#This Row],[KOD_PRODUKTU]])</f>
        <v>#REF!</v>
      </c>
    </row>
    <row r="576" spans="1:13" x14ac:dyDescent="0.25">
      <c r="A576" s="1" t="s">
        <v>1121</v>
      </c>
      <c r="B576" t="s">
        <v>1122</v>
      </c>
      <c r="C576" s="1" t="s">
        <v>1123</v>
      </c>
      <c r="D576" s="1" t="s">
        <v>1123</v>
      </c>
      <c r="E576" s="1" t="s">
        <v>1123</v>
      </c>
      <c r="F576" t="s">
        <v>1124</v>
      </c>
      <c r="G576" t="s">
        <v>70</v>
      </c>
      <c r="H576" t="s">
        <v>5</v>
      </c>
      <c r="I576" t="s">
        <v>1125</v>
      </c>
      <c r="J576">
        <v>0.9</v>
      </c>
      <c r="K576" t="e">
        <f>IF(COUNTIF(#REF!,Tabela2[[#This Row],[IdxWspolny]])&gt;0,"ELEM_lub_PRD","TECHN")</f>
        <v>#REF!</v>
      </c>
      <c r="L576" t="e">
        <f>IF(COUNTIF(#REF!,Tabela2[[#This Row],[KOD_PRODUKTU]])&gt;0,"ELEMENT","PRODUKT")</f>
        <v>#REF!</v>
      </c>
      <c r="M576" t="e">
        <f>COUNTIF(#REF!,Tabela2[[#This Row],[KOD_PRODUKTU]])</f>
        <v>#REF!</v>
      </c>
    </row>
    <row r="577" spans="1:13" x14ac:dyDescent="0.25">
      <c r="A577" s="1" t="s">
        <v>1121</v>
      </c>
      <c r="B577" t="s">
        <v>1122</v>
      </c>
      <c r="C577" s="1" t="s">
        <v>7</v>
      </c>
      <c r="D577" s="1" t="s">
        <v>7</v>
      </c>
      <c r="E577" s="1" t="s">
        <v>7</v>
      </c>
      <c r="F577" t="s">
        <v>8</v>
      </c>
      <c r="G577" t="s">
        <v>9</v>
      </c>
      <c r="H577" t="s">
        <v>10</v>
      </c>
      <c r="I577" t="s">
        <v>594</v>
      </c>
      <c r="J577">
        <v>11.5</v>
      </c>
      <c r="K577" t="e">
        <f>IF(COUNTIF(#REF!,Tabela2[[#This Row],[IdxWspolny]])&gt;0,"ELEM_lub_PRD","TECHN")</f>
        <v>#REF!</v>
      </c>
      <c r="L577" t="e">
        <f>IF(COUNTIF(#REF!,Tabela2[[#This Row],[KOD_PRODUKTU]])&gt;0,"ELEMENT","PRODUKT")</f>
        <v>#REF!</v>
      </c>
      <c r="M577" t="e">
        <f>COUNTIF(#REF!,Tabela2[[#This Row],[KOD_PRODUKTU]])</f>
        <v>#REF!</v>
      </c>
    </row>
    <row r="578" spans="1:13" x14ac:dyDescent="0.25">
      <c r="A578" s="1" t="s">
        <v>1126</v>
      </c>
      <c r="B578" t="s">
        <v>1127</v>
      </c>
      <c r="C578" s="1" t="s">
        <v>1128</v>
      </c>
      <c r="D578" s="1" t="s">
        <v>1128</v>
      </c>
      <c r="E578" s="1" t="s">
        <v>1128</v>
      </c>
      <c r="F578" t="s">
        <v>1129</v>
      </c>
      <c r="G578" t="s">
        <v>31</v>
      </c>
      <c r="H578" t="s">
        <v>5</v>
      </c>
      <c r="I578" t="s">
        <v>1130</v>
      </c>
      <c r="J578">
        <v>7.95</v>
      </c>
      <c r="K578" t="e">
        <f>IF(COUNTIF(#REF!,Tabela2[[#This Row],[IdxWspolny]])&gt;0,"ELEM_lub_PRD","TECHN")</f>
        <v>#REF!</v>
      </c>
      <c r="L578" t="e">
        <f>IF(COUNTIF(#REF!,Tabela2[[#This Row],[KOD_PRODUKTU]])&gt;0,"ELEMENT","PRODUKT")</f>
        <v>#REF!</v>
      </c>
      <c r="M578" t="e">
        <f>COUNTIF(#REF!,Tabela2[[#This Row],[KOD_PRODUKTU]])</f>
        <v>#REF!</v>
      </c>
    </row>
    <row r="579" spans="1:13" x14ac:dyDescent="0.25">
      <c r="A579" s="1" t="s">
        <v>1126</v>
      </c>
      <c r="B579" t="s">
        <v>1127</v>
      </c>
      <c r="C579" s="1" t="s">
        <v>7</v>
      </c>
      <c r="D579" s="1" t="s">
        <v>7</v>
      </c>
      <c r="E579" s="1" t="s">
        <v>7</v>
      </c>
      <c r="F579" t="s">
        <v>8</v>
      </c>
      <c r="G579" t="s">
        <v>9</v>
      </c>
      <c r="H579" t="s">
        <v>10</v>
      </c>
      <c r="I579" t="s">
        <v>1131</v>
      </c>
      <c r="J579">
        <v>19.95</v>
      </c>
      <c r="K579" t="e">
        <f>IF(COUNTIF(#REF!,Tabela2[[#This Row],[IdxWspolny]])&gt;0,"ELEM_lub_PRD","TECHN")</f>
        <v>#REF!</v>
      </c>
      <c r="L579" t="e">
        <f>IF(COUNTIF(#REF!,Tabela2[[#This Row],[KOD_PRODUKTU]])&gt;0,"ELEMENT","PRODUKT")</f>
        <v>#REF!</v>
      </c>
      <c r="M579" t="e">
        <f>COUNTIF(#REF!,Tabela2[[#This Row],[KOD_PRODUKTU]])</f>
        <v>#REF!</v>
      </c>
    </row>
    <row r="580" spans="1:13" x14ac:dyDescent="0.25">
      <c r="A580" s="1" t="s">
        <v>1132</v>
      </c>
      <c r="B580" t="s">
        <v>1133</v>
      </c>
      <c r="C580" s="1" t="s">
        <v>1022</v>
      </c>
      <c r="D580" s="1" t="s">
        <v>1022</v>
      </c>
      <c r="E580" s="1" t="s">
        <v>1022</v>
      </c>
      <c r="F580" t="s">
        <v>1023</v>
      </c>
      <c r="G580" t="s">
        <v>1024</v>
      </c>
      <c r="H580" t="s">
        <v>932</v>
      </c>
      <c r="I580" t="s">
        <v>1134</v>
      </c>
      <c r="J580">
        <v>1.4</v>
      </c>
      <c r="K580" t="e">
        <f>IF(COUNTIF(#REF!,Tabela2[[#This Row],[IdxWspolny]])&gt;0,"ELEM_lub_PRD","TECHN")</f>
        <v>#REF!</v>
      </c>
      <c r="L580" t="e">
        <f>IF(COUNTIF(#REF!,Tabela2[[#This Row],[KOD_PRODUKTU]])&gt;0,"ELEMENT","PRODUKT")</f>
        <v>#REF!</v>
      </c>
      <c r="M580" t="e">
        <f>COUNTIF(#REF!,Tabela2[[#This Row],[KOD_PRODUKTU]])</f>
        <v>#REF!</v>
      </c>
    </row>
    <row r="581" spans="1:13" x14ac:dyDescent="0.25">
      <c r="A581" s="1" t="s">
        <v>1132</v>
      </c>
      <c r="B581" t="s">
        <v>1133</v>
      </c>
      <c r="C581" s="1" t="s">
        <v>7</v>
      </c>
      <c r="D581" s="1" t="s">
        <v>7</v>
      </c>
      <c r="E581" s="1" t="s">
        <v>7</v>
      </c>
      <c r="F581" t="s">
        <v>8</v>
      </c>
      <c r="G581" t="s">
        <v>9</v>
      </c>
      <c r="H581" t="s">
        <v>10</v>
      </c>
      <c r="I581" t="s">
        <v>860</v>
      </c>
      <c r="J581">
        <v>23</v>
      </c>
      <c r="K581" t="e">
        <f>IF(COUNTIF(#REF!,Tabela2[[#This Row],[IdxWspolny]])&gt;0,"ELEM_lub_PRD","TECHN")</f>
        <v>#REF!</v>
      </c>
      <c r="L581" t="e">
        <f>IF(COUNTIF(#REF!,Tabela2[[#This Row],[KOD_PRODUKTU]])&gt;0,"ELEMENT","PRODUKT")</f>
        <v>#REF!</v>
      </c>
      <c r="M581" t="e">
        <f>COUNTIF(#REF!,Tabela2[[#This Row],[KOD_PRODUKTU]])</f>
        <v>#REF!</v>
      </c>
    </row>
    <row r="582" spans="1:13" x14ac:dyDescent="0.25">
      <c r="A582" s="1" t="s">
        <v>1135</v>
      </c>
      <c r="B582" t="s">
        <v>1136</v>
      </c>
      <c r="C582" s="1" t="s">
        <v>1022</v>
      </c>
      <c r="D582" s="1" t="s">
        <v>1022</v>
      </c>
      <c r="E582" s="1" t="s">
        <v>1022</v>
      </c>
      <c r="F582" t="s">
        <v>1023</v>
      </c>
      <c r="G582" t="s">
        <v>1024</v>
      </c>
      <c r="H582" t="s">
        <v>932</v>
      </c>
      <c r="I582" t="s">
        <v>1137</v>
      </c>
      <c r="J582">
        <v>11.6</v>
      </c>
      <c r="K582" t="e">
        <f>IF(COUNTIF(#REF!,Tabela2[[#This Row],[IdxWspolny]])&gt;0,"ELEM_lub_PRD","TECHN")</f>
        <v>#REF!</v>
      </c>
      <c r="L582" t="e">
        <f>IF(COUNTIF(#REF!,Tabela2[[#This Row],[KOD_PRODUKTU]])&gt;0,"ELEMENT","PRODUKT")</f>
        <v>#REF!</v>
      </c>
      <c r="M582" t="e">
        <f>COUNTIF(#REF!,Tabela2[[#This Row],[KOD_PRODUKTU]])</f>
        <v>#REF!</v>
      </c>
    </row>
    <row r="583" spans="1:13" x14ac:dyDescent="0.25">
      <c r="A583" s="1" t="s">
        <v>1135</v>
      </c>
      <c r="B583" t="s">
        <v>1136</v>
      </c>
      <c r="C583" s="1" t="s">
        <v>7</v>
      </c>
      <c r="D583" s="1" t="s">
        <v>7</v>
      </c>
      <c r="E583" s="1" t="s">
        <v>7</v>
      </c>
      <c r="F583" t="s">
        <v>8</v>
      </c>
      <c r="G583" t="s">
        <v>9</v>
      </c>
      <c r="H583" t="s">
        <v>10</v>
      </c>
      <c r="I583" t="s">
        <v>152</v>
      </c>
      <c r="J583">
        <v>5.7</v>
      </c>
      <c r="K583" t="e">
        <f>IF(COUNTIF(#REF!,Tabela2[[#This Row],[IdxWspolny]])&gt;0,"ELEM_lub_PRD","TECHN")</f>
        <v>#REF!</v>
      </c>
      <c r="L583" t="e">
        <f>IF(COUNTIF(#REF!,Tabela2[[#This Row],[KOD_PRODUKTU]])&gt;0,"ELEMENT","PRODUKT")</f>
        <v>#REF!</v>
      </c>
      <c r="M583" t="e">
        <f>COUNTIF(#REF!,Tabela2[[#This Row],[KOD_PRODUKTU]])</f>
        <v>#REF!</v>
      </c>
    </row>
    <row r="584" spans="1:13" x14ac:dyDescent="0.25">
      <c r="A584" s="1" t="s">
        <v>1135</v>
      </c>
      <c r="B584" t="s">
        <v>1136</v>
      </c>
      <c r="C584" s="1" t="s">
        <v>7</v>
      </c>
      <c r="D584" s="1" t="s">
        <v>7</v>
      </c>
      <c r="E584" s="1" t="s">
        <v>7</v>
      </c>
      <c r="F584" t="s">
        <v>8</v>
      </c>
      <c r="G584" t="s">
        <v>9</v>
      </c>
      <c r="H584" t="s">
        <v>10</v>
      </c>
      <c r="I584" t="s">
        <v>992</v>
      </c>
      <c r="J584">
        <v>13.8</v>
      </c>
      <c r="K584" t="e">
        <f>IF(COUNTIF(#REF!,Tabela2[[#This Row],[IdxWspolny]])&gt;0,"ELEM_lub_PRD","TECHN")</f>
        <v>#REF!</v>
      </c>
      <c r="L584" t="e">
        <f>IF(COUNTIF(#REF!,Tabela2[[#This Row],[KOD_PRODUKTU]])&gt;0,"ELEMENT","PRODUKT")</f>
        <v>#REF!</v>
      </c>
      <c r="M584" t="e">
        <f>COUNTIF(#REF!,Tabela2[[#This Row],[KOD_PRODUKTU]])</f>
        <v>#REF!</v>
      </c>
    </row>
    <row r="585" spans="1:13" x14ac:dyDescent="0.25">
      <c r="A585" s="1" t="s">
        <v>1138</v>
      </c>
      <c r="B585" t="s">
        <v>1139</v>
      </c>
      <c r="C585" s="1" t="s">
        <v>1022</v>
      </c>
      <c r="D585" s="1" t="s">
        <v>1022</v>
      </c>
      <c r="E585" s="1" t="s">
        <v>1022</v>
      </c>
      <c r="F585" t="s">
        <v>1023</v>
      </c>
      <c r="G585" t="s">
        <v>1024</v>
      </c>
      <c r="H585" t="s">
        <v>932</v>
      </c>
      <c r="I585" t="s">
        <v>1140</v>
      </c>
      <c r="J585">
        <v>6.65</v>
      </c>
      <c r="K585" t="e">
        <f>IF(COUNTIF(#REF!,Tabela2[[#This Row],[IdxWspolny]])&gt;0,"ELEM_lub_PRD","TECHN")</f>
        <v>#REF!</v>
      </c>
      <c r="L585" t="e">
        <f>IF(COUNTIF(#REF!,Tabela2[[#This Row],[KOD_PRODUKTU]])&gt;0,"ELEMENT","PRODUKT")</f>
        <v>#REF!</v>
      </c>
      <c r="M585" t="e">
        <f>COUNTIF(#REF!,Tabela2[[#This Row],[KOD_PRODUKTU]])</f>
        <v>#REF!</v>
      </c>
    </row>
    <row r="586" spans="1:13" x14ac:dyDescent="0.25">
      <c r="A586" s="1" t="s">
        <v>1138</v>
      </c>
      <c r="B586" t="s">
        <v>1139</v>
      </c>
      <c r="C586" s="1" t="s">
        <v>7</v>
      </c>
      <c r="D586" s="1" t="s">
        <v>7</v>
      </c>
      <c r="E586" s="1" t="s">
        <v>7</v>
      </c>
      <c r="F586" t="s">
        <v>8</v>
      </c>
      <c r="G586" t="s">
        <v>9</v>
      </c>
      <c r="H586" t="s">
        <v>10</v>
      </c>
      <c r="I586" t="s">
        <v>1141</v>
      </c>
      <c r="J586">
        <v>5.75</v>
      </c>
      <c r="K586" t="e">
        <f>IF(COUNTIF(#REF!,Tabela2[[#This Row],[IdxWspolny]])&gt;0,"ELEM_lub_PRD","TECHN")</f>
        <v>#REF!</v>
      </c>
      <c r="L586" t="e">
        <f>IF(COUNTIF(#REF!,Tabela2[[#This Row],[KOD_PRODUKTU]])&gt;0,"ELEMENT","PRODUKT")</f>
        <v>#REF!</v>
      </c>
      <c r="M586" t="e">
        <f>COUNTIF(#REF!,Tabela2[[#This Row],[KOD_PRODUKTU]])</f>
        <v>#REF!</v>
      </c>
    </row>
    <row r="587" spans="1:13" x14ac:dyDescent="0.25">
      <c r="A587" s="1" t="s">
        <v>1138</v>
      </c>
      <c r="B587" t="s">
        <v>1139</v>
      </c>
      <c r="C587" s="1" t="s">
        <v>7</v>
      </c>
      <c r="D587" s="1" t="s">
        <v>7</v>
      </c>
      <c r="E587" s="1" t="s">
        <v>7</v>
      </c>
      <c r="F587" t="s">
        <v>8</v>
      </c>
      <c r="G587" t="s">
        <v>9</v>
      </c>
      <c r="H587" t="s">
        <v>10</v>
      </c>
      <c r="I587" t="s">
        <v>992</v>
      </c>
      <c r="J587">
        <v>13.8</v>
      </c>
      <c r="K587" t="e">
        <f>IF(COUNTIF(#REF!,Tabela2[[#This Row],[IdxWspolny]])&gt;0,"ELEM_lub_PRD","TECHN")</f>
        <v>#REF!</v>
      </c>
      <c r="L587" t="e">
        <f>IF(COUNTIF(#REF!,Tabela2[[#This Row],[KOD_PRODUKTU]])&gt;0,"ELEMENT","PRODUKT")</f>
        <v>#REF!</v>
      </c>
      <c r="M587" t="e">
        <f>COUNTIF(#REF!,Tabela2[[#This Row],[KOD_PRODUKTU]])</f>
        <v>#REF!</v>
      </c>
    </row>
    <row r="588" spans="1:13" x14ac:dyDescent="0.25">
      <c r="A588" s="1" t="s">
        <v>1142</v>
      </c>
      <c r="B588" t="s">
        <v>1143</v>
      </c>
      <c r="C588" s="1" t="s">
        <v>1022</v>
      </c>
      <c r="D588" s="1" t="s">
        <v>1022</v>
      </c>
      <c r="E588" s="1" t="s">
        <v>1022</v>
      </c>
      <c r="F588" t="s">
        <v>1023</v>
      </c>
      <c r="G588" t="s">
        <v>1024</v>
      </c>
      <c r="H588" t="s">
        <v>932</v>
      </c>
      <c r="I588" t="s">
        <v>1144</v>
      </c>
      <c r="J588">
        <v>8</v>
      </c>
      <c r="K588" t="e">
        <f>IF(COUNTIF(#REF!,Tabela2[[#This Row],[IdxWspolny]])&gt;0,"ELEM_lub_PRD","TECHN")</f>
        <v>#REF!</v>
      </c>
      <c r="L588" t="e">
        <f>IF(COUNTIF(#REF!,Tabela2[[#This Row],[KOD_PRODUKTU]])&gt;0,"ELEMENT","PRODUKT")</f>
        <v>#REF!</v>
      </c>
      <c r="M588" t="e">
        <f>COUNTIF(#REF!,Tabela2[[#This Row],[KOD_PRODUKTU]])</f>
        <v>#REF!</v>
      </c>
    </row>
    <row r="589" spans="1:13" x14ac:dyDescent="0.25">
      <c r="A589" s="1" t="s">
        <v>1142</v>
      </c>
      <c r="B589" t="s">
        <v>1143</v>
      </c>
      <c r="C589" s="1" t="s">
        <v>7</v>
      </c>
      <c r="D589" s="1" t="s">
        <v>7</v>
      </c>
      <c r="E589" s="1" t="s">
        <v>7</v>
      </c>
      <c r="F589" t="s">
        <v>8</v>
      </c>
      <c r="G589" t="s">
        <v>9</v>
      </c>
      <c r="H589" t="s">
        <v>10</v>
      </c>
      <c r="I589" t="s">
        <v>1141</v>
      </c>
      <c r="J589">
        <v>5.75</v>
      </c>
      <c r="K589" t="e">
        <f>IF(COUNTIF(#REF!,Tabela2[[#This Row],[IdxWspolny]])&gt;0,"ELEM_lub_PRD","TECHN")</f>
        <v>#REF!</v>
      </c>
      <c r="L589" t="e">
        <f>IF(COUNTIF(#REF!,Tabela2[[#This Row],[KOD_PRODUKTU]])&gt;0,"ELEMENT","PRODUKT")</f>
        <v>#REF!</v>
      </c>
      <c r="M589" t="e">
        <f>COUNTIF(#REF!,Tabela2[[#This Row],[KOD_PRODUKTU]])</f>
        <v>#REF!</v>
      </c>
    </row>
    <row r="590" spans="1:13" x14ac:dyDescent="0.25">
      <c r="A590" s="1" t="s">
        <v>1142</v>
      </c>
      <c r="B590" t="s">
        <v>1143</v>
      </c>
      <c r="C590" s="1" t="s">
        <v>7</v>
      </c>
      <c r="D590" s="1" t="s">
        <v>7</v>
      </c>
      <c r="E590" s="1" t="s">
        <v>7</v>
      </c>
      <c r="F590" t="s">
        <v>8</v>
      </c>
      <c r="G590" t="s">
        <v>9</v>
      </c>
      <c r="H590" t="s">
        <v>10</v>
      </c>
      <c r="I590" t="s">
        <v>992</v>
      </c>
      <c r="J590">
        <v>13.8</v>
      </c>
      <c r="K590" t="e">
        <f>IF(COUNTIF(#REF!,Tabela2[[#This Row],[IdxWspolny]])&gt;0,"ELEM_lub_PRD","TECHN")</f>
        <v>#REF!</v>
      </c>
      <c r="L590" t="e">
        <f>IF(COUNTIF(#REF!,Tabela2[[#This Row],[KOD_PRODUKTU]])&gt;0,"ELEMENT","PRODUKT")</f>
        <v>#REF!</v>
      </c>
      <c r="M590" t="e">
        <f>COUNTIF(#REF!,Tabela2[[#This Row],[KOD_PRODUKTU]])</f>
        <v>#REF!</v>
      </c>
    </row>
    <row r="591" spans="1:13" x14ac:dyDescent="0.25">
      <c r="A591" s="1" t="s">
        <v>1145</v>
      </c>
      <c r="B591" t="s">
        <v>1146</v>
      </c>
      <c r="C591" s="1" t="s">
        <v>1022</v>
      </c>
      <c r="D591" s="1" t="s">
        <v>1022</v>
      </c>
      <c r="E591" s="1" t="s">
        <v>1022</v>
      </c>
      <c r="F591" t="s">
        <v>1023</v>
      </c>
      <c r="G591" t="s">
        <v>1024</v>
      </c>
      <c r="H591" t="s">
        <v>932</v>
      </c>
      <c r="I591" t="s">
        <v>1147</v>
      </c>
      <c r="J591">
        <v>7.4</v>
      </c>
      <c r="K591" t="e">
        <f>IF(COUNTIF(#REF!,Tabela2[[#This Row],[IdxWspolny]])&gt;0,"ELEM_lub_PRD","TECHN")</f>
        <v>#REF!</v>
      </c>
      <c r="L591" t="e">
        <f>IF(COUNTIF(#REF!,Tabela2[[#This Row],[KOD_PRODUKTU]])&gt;0,"ELEMENT","PRODUKT")</f>
        <v>#REF!</v>
      </c>
      <c r="M591" t="e">
        <f>COUNTIF(#REF!,Tabela2[[#This Row],[KOD_PRODUKTU]])</f>
        <v>#REF!</v>
      </c>
    </row>
    <row r="592" spans="1:13" x14ac:dyDescent="0.25">
      <c r="A592" s="1" t="s">
        <v>1145</v>
      </c>
      <c r="B592" t="s">
        <v>1146</v>
      </c>
      <c r="C592" s="1" t="s">
        <v>7</v>
      </c>
      <c r="D592" s="1" t="s">
        <v>7</v>
      </c>
      <c r="E592" s="1" t="s">
        <v>7</v>
      </c>
      <c r="F592" t="s">
        <v>8</v>
      </c>
      <c r="G592" t="s">
        <v>9</v>
      </c>
      <c r="H592" t="s">
        <v>10</v>
      </c>
      <c r="I592" t="s">
        <v>992</v>
      </c>
      <c r="J592">
        <v>13.8</v>
      </c>
      <c r="K592" t="e">
        <f>IF(COUNTIF(#REF!,Tabela2[[#This Row],[IdxWspolny]])&gt;0,"ELEM_lub_PRD","TECHN")</f>
        <v>#REF!</v>
      </c>
      <c r="L592" t="e">
        <f>IF(COUNTIF(#REF!,Tabela2[[#This Row],[KOD_PRODUKTU]])&gt;0,"ELEMENT","PRODUKT")</f>
        <v>#REF!</v>
      </c>
      <c r="M592" t="e">
        <f>COUNTIF(#REF!,Tabela2[[#This Row],[KOD_PRODUKTU]])</f>
        <v>#REF!</v>
      </c>
    </row>
    <row r="593" spans="1:14" x14ac:dyDescent="0.25">
      <c r="A593" s="1" t="s">
        <v>1145</v>
      </c>
      <c r="B593" t="s">
        <v>1146</v>
      </c>
      <c r="C593" s="1" t="s">
        <v>7</v>
      </c>
      <c r="D593" s="1" t="s">
        <v>7</v>
      </c>
      <c r="E593" s="1" t="s">
        <v>7</v>
      </c>
      <c r="F593" t="s">
        <v>8</v>
      </c>
      <c r="G593" t="s">
        <v>9</v>
      </c>
      <c r="H593" t="s">
        <v>10</v>
      </c>
      <c r="I593" t="s">
        <v>1148</v>
      </c>
      <c r="J593">
        <v>5.8</v>
      </c>
      <c r="K593" t="e">
        <f>IF(COUNTIF(#REF!,Tabela2[[#This Row],[IdxWspolny]])&gt;0,"ELEM_lub_PRD","TECHN")</f>
        <v>#REF!</v>
      </c>
      <c r="L593" t="e">
        <f>IF(COUNTIF(#REF!,Tabela2[[#This Row],[KOD_PRODUKTU]])&gt;0,"ELEMENT","PRODUKT")</f>
        <v>#REF!</v>
      </c>
      <c r="M593" t="e">
        <f>COUNTIF(#REF!,Tabela2[[#This Row],[KOD_PRODUKTU]])</f>
        <v>#REF!</v>
      </c>
    </row>
    <row r="594" spans="1:14" x14ac:dyDescent="0.25">
      <c r="A594" s="1" t="s">
        <v>1149</v>
      </c>
      <c r="B594" t="s">
        <v>1150</v>
      </c>
      <c r="C594" s="1" t="s">
        <v>1022</v>
      </c>
      <c r="D594" s="1" t="s">
        <v>1022</v>
      </c>
      <c r="E594" s="1" t="s">
        <v>1022</v>
      </c>
      <c r="F594" t="s">
        <v>1023</v>
      </c>
      <c r="G594" t="s">
        <v>1024</v>
      </c>
      <c r="H594" t="s">
        <v>932</v>
      </c>
      <c r="I594" t="s">
        <v>1151</v>
      </c>
      <c r="J594">
        <v>6.6</v>
      </c>
      <c r="K594" t="e">
        <f>IF(COUNTIF(#REF!,Tabela2[[#This Row],[IdxWspolny]])&gt;0,"ELEM_lub_PRD","TECHN")</f>
        <v>#REF!</v>
      </c>
      <c r="L594" t="e">
        <f>IF(COUNTIF(#REF!,Tabela2[[#This Row],[KOD_PRODUKTU]])&gt;0,"ELEMENT","PRODUKT")</f>
        <v>#REF!</v>
      </c>
      <c r="M594" t="e">
        <f>COUNTIF(#REF!,Tabela2[[#This Row],[KOD_PRODUKTU]])</f>
        <v>#REF!</v>
      </c>
    </row>
    <row r="595" spans="1:14" x14ac:dyDescent="0.25">
      <c r="A595" s="1" t="s">
        <v>1149</v>
      </c>
      <c r="B595" t="s">
        <v>1150</v>
      </c>
      <c r="C595" s="1" t="s">
        <v>7</v>
      </c>
      <c r="D595" s="1" t="s">
        <v>7</v>
      </c>
      <c r="E595" s="1" t="s">
        <v>7</v>
      </c>
      <c r="F595" t="s">
        <v>8</v>
      </c>
      <c r="G595" t="s">
        <v>9</v>
      </c>
      <c r="H595" t="s">
        <v>10</v>
      </c>
      <c r="I595" t="s">
        <v>1141</v>
      </c>
      <c r="J595">
        <v>5.75</v>
      </c>
      <c r="K595" t="e">
        <f>IF(COUNTIF(#REF!,Tabela2[[#This Row],[IdxWspolny]])&gt;0,"ELEM_lub_PRD","TECHN")</f>
        <v>#REF!</v>
      </c>
      <c r="L595" t="e">
        <f>IF(COUNTIF(#REF!,Tabela2[[#This Row],[KOD_PRODUKTU]])&gt;0,"ELEMENT","PRODUKT")</f>
        <v>#REF!</v>
      </c>
      <c r="M595" t="e">
        <f>COUNTIF(#REF!,Tabela2[[#This Row],[KOD_PRODUKTU]])</f>
        <v>#REF!</v>
      </c>
    </row>
    <row r="596" spans="1:14" x14ac:dyDescent="0.25">
      <c r="A596" s="1" t="s">
        <v>1149</v>
      </c>
      <c r="B596" t="s">
        <v>1150</v>
      </c>
      <c r="C596" s="1" t="s">
        <v>7</v>
      </c>
      <c r="D596" s="1" t="s">
        <v>7</v>
      </c>
      <c r="E596" s="1" t="s">
        <v>7</v>
      </c>
      <c r="F596" t="s">
        <v>8</v>
      </c>
      <c r="G596" t="s">
        <v>9</v>
      </c>
      <c r="H596" t="s">
        <v>10</v>
      </c>
      <c r="I596" t="s">
        <v>992</v>
      </c>
      <c r="J596">
        <v>13.8</v>
      </c>
      <c r="K596" t="e">
        <f>IF(COUNTIF(#REF!,Tabela2[[#This Row],[IdxWspolny]])&gt;0,"ELEM_lub_PRD","TECHN")</f>
        <v>#REF!</v>
      </c>
      <c r="L596" t="e">
        <f>IF(COUNTIF(#REF!,Tabela2[[#This Row],[KOD_PRODUKTU]])&gt;0,"ELEMENT","PRODUKT")</f>
        <v>#REF!</v>
      </c>
      <c r="M596" t="e">
        <f>COUNTIF(#REF!,Tabela2[[#This Row],[KOD_PRODUKTU]])</f>
        <v>#REF!</v>
      </c>
    </row>
    <row r="597" spans="1:14" x14ac:dyDescent="0.25">
      <c r="A597" s="1" t="s">
        <v>1152</v>
      </c>
      <c r="B597" t="s">
        <v>1153</v>
      </c>
      <c r="C597" s="1" t="s">
        <v>695</v>
      </c>
      <c r="D597" s="1" t="s">
        <v>695</v>
      </c>
      <c r="E597" s="1" t="s">
        <v>695</v>
      </c>
      <c r="F597" t="s">
        <v>696</v>
      </c>
      <c r="G597" t="s">
        <v>501</v>
      </c>
      <c r="H597" t="s">
        <v>39</v>
      </c>
      <c r="I597" t="s">
        <v>19</v>
      </c>
      <c r="J597">
        <v>0.45</v>
      </c>
      <c r="K597" t="e">
        <f>IF(COUNTIF(#REF!,Tabela2[[#This Row],[IdxWspolny]])&gt;0,"ELEM_lub_PRD","TECHN")</f>
        <v>#REF!</v>
      </c>
      <c r="L597" t="e">
        <f>IF(COUNTIF(#REF!,Tabela2[[#This Row],[KOD_PRODUKTU]])&gt;0,"ELEMENT","PRODUKT")</f>
        <v>#REF!</v>
      </c>
      <c r="M597" t="e">
        <f>COUNTIF(#REF!,Tabela2[[#This Row],[KOD_PRODUKTU]])</f>
        <v>#REF!</v>
      </c>
    </row>
    <row r="598" spans="1:14" x14ac:dyDescent="0.25">
      <c r="A598" s="1" t="s">
        <v>1152</v>
      </c>
      <c r="B598" t="s">
        <v>1153</v>
      </c>
      <c r="C598" s="1" t="s">
        <v>1154</v>
      </c>
      <c r="D598" s="1" t="s">
        <v>1154</v>
      </c>
      <c r="E598" s="1" t="s">
        <v>1154</v>
      </c>
      <c r="F598" t="s">
        <v>1155</v>
      </c>
      <c r="G598" t="s">
        <v>165</v>
      </c>
      <c r="H598" t="s">
        <v>121</v>
      </c>
      <c r="I598" t="s">
        <v>92</v>
      </c>
      <c r="J598">
        <v>27.4</v>
      </c>
      <c r="K598" t="e">
        <f>IF(COUNTIF(#REF!,Tabela2[[#This Row],[IdxWspolny]])&gt;0,"ELEM_lub_PRD","TECHN")</f>
        <v>#REF!</v>
      </c>
      <c r="L598" t="e">
        <f>IF(COUNTIF(#REF!,Tabela2[[#This Row],[KOD_PRODUKTU]])&gt;0,"ELEMENT","PRODUKT")</f>
        <v>#REF!</v>
      </c>
      <c r="M598" t="e">
        <f>COUNTIF(#REF!,Tabela2[[#This Row],[KOD_PRODUKTU]])</f>
        <v>#REF!</v>
      </c>
    </row>
    <row r="599" spans="1:14" hidden="1" x14ac:dyDescent="0.25">
      <c r="A599" s="1" t="s">
        <v>1152</v>
      </c>
      <c r="B599" t="s">
        <v>1153</v>
      </c>
      <c r="C599" s="1" t="s">
        <v>1156</v>
      </c>
      <c r="D599" s="1" t="s">
        <v>1156</v>
      </c>
      <c r="E599" s="1" t="s">
        <v>1156</v>
      </c>
      <c r="F599" t="s">
        <v>1157</v>
      </c>
      <c r="G599" t="s">
        <v>1158</v>
      </c>
      <c r="H599" t="s">
        <v>121</v>
      </c>
      <c r="I599" t="s">
        <v>50</v>
      </c>
      <c r="J599">
        <v>200</v>
      </c>
      <c r="K599" t="e">
        <f>IF(COUNTIF(#REF!,Tabela2[[#This Row],[IdxWspolny]])&gt;0,"ELEM_lub_PRD","TECHN")</f>
        <v>#REF!</v>
      </c>
      <c r="L599" t="e">
        <f>IF(COUNTIF(#REF!,Tabela2[[#This Row],[KOD_PRODUKTU]])&gt;0,"ELEMENT","PRODUKT")</f>
        <v>#REF!</v>
      </c>
      <c r="M599" t="e">
        <f>COUNTIF(#REF!,Tabela2[[#This Row],[KOD_PRODUKTU]])</f>
        <v>#REF!</v>
      </c>
      <c r="N599" t="s">
        <v>55</v>
      </c>
    </row>
    <row r="600" spans="1:14" x14ac:dyDescent="0.25">
      <c r="A600" s="1" t="s">
        <v>1152</v>
      </c>
      <c r="B600" t="s">
        <v>1153</v>
      </c>
      <c r="C600" s="1" t="s">
        <v>7</v>
      </c>
      <c r="D600" s="1" t="s">
        <v>7</v>
      </c>
      <c r="E600" s="1" t="s">
        <v>7</v>
      </c>
      <c r="F600" t="s">
        <v>8</v>
      </c>
      <c r="G600" t="s">
        <v>9</v>
      </c>
      <c r="H600" t="s">
        <v>10</v>
      </c>
      <c r="I600" t="s">
        <v>1159</v>
      </c>
      <c r="J600">
        <v>142.15</v>
      </c>
      <c r="K600" t="e">
        <f>IF(COUNTIF(#REF!,Tabela2[[#This Row],[IdxWspolny]])&gt;0,"ELEM_lub_PRD","TECHN")</f>
        <v>#REF!</v>
      </c>
      <c r="L600" t="e">
        <f>IF(COUNTIF(#REF!,Tabela2[[#This Row],[KOD_PRODUKTU]])&gt;0,"ELEMENT","PRODUKT")</f>
        <v>#REF!</v>
      </c>
      <c r="M600" t="e">
        <f>COUNTIF(#REF!,Tabela2[[#This Row],[KOD_PRODUKTU]])</f>
        <v>#REF!</v>
      </c>
    </row>
    <row r="601" spans="1:14" x14ac:dyDescent="0.25">
      <c r="A601" s="1" t="s">
        <v>1160</v>
      </c>
      <c r="B601" t="s">
        <v>1161</v>
      </c>
      <c r="C601" s="1" t="s">
        <v>1162</v>
      </c>
      <c r="D601" s="1" t="s">
        <v>1162</v>
      </c>
      <c r="E601" s="1" t="s">
        <v>1162</v>
      </c>
      <c r="F601" t="s">
        <v>1163</v>
      </c>
      <c r="G601" t="s">
        <v>1164</v>
      </c>
      <c r="H601" t="s">
        <v>5</v>
      </c>
      <c r="I601" t="s">
        <v>601</v>
      </c>
      <c r="J601">
        <v>1.2</v>
      </c>
      <c r="K601" t="e">
        <f>IF(COUNTIF(#REF!,Tabela2[[#This Row],[IdxWspolny]])&gt;0,"ELEM_lub_PRD","TECHN")</f>
        <v>#REF!</v>
      </c>
      <c r="L601" t="e">
        <f>IF(COUNTIF(#REF!,Tabela2[[#This Row],[KOD_PRODUKTU]])&gt;0,"ELEMENT","PRODUKT")</f>
        <v>#REF!</v>
      </c>
      <c r="M601" t="e">
        <f>COUNTIF(#REF!,Tabela2[[#This Row],[KOD_PRODUKTU]])</f>
        <v>#REF!</v>
      </c>
    </row>
    <row r="602" spans="1:14" x14ac:dyDescent="0.25">
      <c r="A602" s="1" t="s">
        <v>1160</v>
      </c>
      <c r="B602" t="s">
        <v>1161</v>
      </c>
      <c r="C602" s="1" t="s">
        <v>432</v>
      </c>
      <c r="D602" s="1" t="s">
        <v>432</v>
      </c>
      <c r="E602" s="1" t="s">
        <v>432</v>
      </c>
      <c r="F602" t="s">
        <v>433</v>
      </c>
      <c r="G602" t="s">
        <v>434</v>
      </c>
      <c r="H602" t="s">
        <v>435</v>
      </c>
      <c r="I602" t="s">
        <v>1165</v>
      </c>
      <c r="J602">
        <v>3.7</v>
      </c>
      <c r="K602" t="e">
        <f>IF(COUNTIF(#REF!,Tabela2[[#This Row],[IdxWspolny]])&gt;0,"ELEM_lub_PRD","TECHN")</f>
        <v>#REF!</v>
      </c>
      <c r="L602" t="e">
        <f>IF(COUNTIF(#REF!,Tabela2[[#This Row],[KOD_PRODUKTU]])&gt;0,"ELEMENT","PRODUKT")</f>
        <v>#REF!</v>
      </c>
      <c r="M602" t="e">
        <f>COUNTIF(#REF!,Tabela2[[#This Row],[KOD_PRODUKTU]])</f>
        <v>#REF!</v>
      </c>
    </row>
    <row r="603" spans="1:14" x14ac:dyDescent="0.25">
      <c r="A603" s="1" t="s">
        <v>1160</v>
      </c>
      <c r="B603" t="s">
        <v>1161</v>
      </c>
      <c r="C603" s="1" t="s">
        <v>541</v>
      </c>
      <c r="D603" s="1" t="s">
        <v>541</v>
      </c>
      <c r="E603" s="1" t="s">
        <v>541</v>
      </c>
      <c r="F603" t="s">
        <v>542</v>
      </c>
      <c r="G603" t="s">
        <v>9</v>
      </c>
      <c r="H603" t="s">
        <v>10</v>
      </c>
      <c r="I603" t="s">
        <v>1166</v>
      </c>
      <c r="J603">
        <v>10.5</v>
      </c>
      <c r="K603" t="e">
        <f>IF(COUNTIF(#REF!,Tabela2[[#This Row],[IdxWspolny]])&gt;0,"ELEM_lub_PRD","TECHN")</f>
        <v>#REF!</v>
      </c>
      <c r="L603" t="e">
        <f>IF(COUNTIF(#REF!,Tabela2[[#This Row],[KOD_PRODUKTU]])&gt;0,"ELEMENT","PRODUKT")</f>
        <v>#REF!</v>
      </c>
      <c r="M603" t="e">
        <f>COUNTIF(#REF!,Tabela2[[#This Row],[KOD_PRODUKTU]])</f>
        <v>#REF!</v>
      </c>
    </row>
    <row r="604" spans="1:14" x14ac:dyDescent="0.25">
      <c r="A604" s="1" t="s">
        <v>1167</v>
      </c>
      <c r="B604" t="s">
        <v>1168</v>
      </c>
      <c r="C604" s="1" t="s">
        <v>1162</v>
      </c>
      <c r="D604" s="1" t="s">
        <v>1162</v>
      </c>
      <c r="E604" s="1" t="s">
        <v>1162</v>
      </c>
      <c r="F604" t="s">
        <v>1163</v>
      </c>
      <c r="G604" t="s">
        <v>291</v>
      </c>
      <c r="H604" t="s">
        <v>5</v>
      </c>
      <c r="I604" t="s">
        <v>1169</v>
      </c>
      <c r="J604">
        <v>2.25</v>
      </c>
      <c r="K604" t="e">
        <f>IF(COUNTIF(#REF!,Tabela2[[#This Row],[IdxWspolny]])&gt;0,"ELEM_lub_PRD","TECHN")</f>
        <v>#REF!</v>
      </c>
      <c r="L604" t="e">
        <f>IF(COUNTIF(#REF!,Tabela2[[#This Row],[KOD_PRODUKTU]])&gt;0,"ELEMENT","PRODUKT")</f>
        <v>#REF!</v>
      </c>
      <c r="M604" t="e">
        <f>COUNTIF(#REF!,Tabela2[[#This Row],[KOD_PRODUKTU]])</f>
        <v>#REF!</v>
      </c>
    </row>
    <row r="605" spans="1:14" x14ac:dyDescent="0.25">
      <c r="A605" s="1" t="s">
        <v>1167</v>
      </c>
      <c r="B605" t="s">
        <v>1168</v>
      </c>
      <c r="C605" s="1" t="s">
        <v>432</v>
      </c>
      <c r="D605" s="1" t="s">
        <v>432</v>
      </c>
      <c r="E605" s="1" t="s">
        <v>432</v>
      </c>
      <c r="F605" t="s">
        <v>433</v>
      </c>
      <c r="G605" t="s">
        <v>434</v>
      </c>
      <c r="H605" t="s">
        <v>435</v>
      </c>
      <c r="I605" t="s">
        <v>1170</v>
      </c>
      <c r="J605">
        <v>3.85</v>
      </c>
      <c r="K605" t="e">
        <f>IF(COUNTIF(#REF!,Tabela2[[#This Row],[IdxWspolny]])&gt;0,"ELEM_lub_PRD","TECHN")</f>
        <v>#REF!</v>
      </c>
      <c r="L605" t="e">
        <f>IF(COUNTIF(#REF!,Tabela2[[#This Row],[KOD_PRODUKTU]])&gt;0,"ELEMENT","PRODUKT")</f>
        <v>#REF!</v>
      </c>
      <c r="M605" t="e">
        <f>COUNTIF(#REF!,Tabela2[[#This Row],[KOD_PRODUKTU]])</f>
        <v>#REF!</v>
      </c>
    </row>
    <row r="606" spans="1:14" x14ac:dyDescent="0.25">
      <c r="A606" s="1" t="s">
        <v>1167</v>
      </c>
      <c r="B606" t="s">
        <v>1168</v>
      </c>
      <c r="C606" s="1" t="s">
        <v>541</v>
      </c>
      <c r="D606" s="1" t="s">
        <v>541</v>
      </c>
      <c r="E606" s="1" t="s">
        <v>541</v>
      </c>
      <c r="F606" t="s">
        <v>542</v>
      </c>
      <c r="G606" t="s">
        <v>9</v>
      </c>
      <c r="H606" t="s">
        <v>10</v>
      </c>
      <c r="I606" t="s">
        <v>594</v>
      </c>
      <c r="J606">
        <v>11.5</v>
      </c>
      <c r="K606" t="e">
        <f>IF(COUNTIF(#REF!,Tabela2[[#This Row],[IdxWspolny]])&gt;0,"ELEM_lub_PRD","TECHN")</f>
        <v>#REF!</v>
      </c>
      <c r="L606" t="e">
        <f>IF(COUNTIF(#REF!,Tabela2[[#This Row],[KOD_PRODUKTU]])&gt;0,"ELEMENT","PRODUKT")</f>
        <v>#REF!</v>
      </c>
      <c r="M606" t="e">
        <f>COUNTIF(#REF!,Tabela2[[#This Row],[KOD_PRODUKTU]])</f>
        <v>#REF!</v>
      </c>
    </row>
    <row r="607" spans="1:14" x14ac:dyDescent="0.25">
      <c r="A607" s="1" t="s">
        <v>1171</v>
      </c>
      <c r="B607" t="s">
        <v>1172</v>
      </c>
      <c r="C607" s="1" t="s">
        <v>1162</v>
      </c>
      <c r="D607" s="1" t="s">
        <v>1162</v>
      </c>
      <c r="E607" s="1" t="s">
        <v>1162</v>
      </c>
      <c r="F607" t="s">
        <v>1163</v>
      </c>
      <c r="G607" t="s">
        <v>4</v>
      </c>
      <c r="H607" t="s">
        <v>5</v>
      </c>
      <c r="I607" t="s">
        <v>1173</v>
      </c>
      <c r="J607">
        <v>2.9</v>
      </c>
      <c r="K607" t="e">
        <f>IF(COUNTIF(#REF!,Tabela2[[#This Row],[IdxWspolny]])&gt;0,"ELEM_lub_PRD","TECHN")</f>
        <v>#REF!</v>
      </c>
      <c r="L607" t="e">
        <f>IF(COUNTIF(#REF!,Tabela2[[#This Row],[KOD_PRODUKTU]])&gt;0,"ELEMENT","PRODUKT")</f>
        <v>#REF!</v>
      </c>
      <c r="M607" t="e">
        <f>COUNTIF(#REF!,Tabela2[[#This Row],[KOD_PRODUKTU]])</f>
        <v>#REF!</v>
      </c>
    </row>
    <row r="608" spans="1:14" x14ac:dyDescent="0.25">
      <c r="A608" s="1" t="s">
        <v>1171</v>
      </c>
      <c r="B608" t="s">
        <v>1172</v>
      </c>
      <c r="C608" s="1" t="s">
        <v>432</v>
      </c>
      <c r="D608" s="1" t="s">
        <v>432</v>
      </c>
      <c r="E608" s="1" t="s">
        <v>432</v>
      </c>
      <c r="F608" t="s">
        <v>433</v>
      </c>
      <c r="G608" t="s">
        <v>434</v>
      </c>
      <c r="H608" t="s">
        <v>435</v>
      </c>
      <c r="I608" t="s">
        <v>1170</v>
      </c>
      <c r="J608">
        <v>3.85</v>
      </c>
      <c r="K608" t="e">
        <f>IF(COUNTIF(#REF!,Tabela2[[#This Row],[IdxWspolny]])&gt;0,"ELEM_lub_PRD","TECHN")</f>
        <v>#REF!</v>
      </c>
      <c r="L608" t="e">
        <f>IF(COUNTIF(#REF!,Tabela2[[#This Row],[KOD_PRODUKTU]])&gt;0,"ELEMENT","PRODUKT")</f>
        <v>#REF!</v>
      </c>
      <c r="M608" t="e">
        <f>COUNTIF(#REF!,Tabela2[[#This Row],[KOD_PRODUKTU]])</f>
        <v>#REF!</v>
      </c>
    </row>
    <row r="609" spans="1:13" x14ac:dyDescent="0.25">
      <c r="A609" s="1" t="s">
        <v>1171</v>
      </c>
      <c r="B609" t="s">
        <v>1172</v>
      </c>
      <c r="C609" s="1" t="s">
        <v>541</v>
      </c>
      <c r="D609" s="1" t="s">
        <v>541</v>
      </c>
      <c r="E609" s="1" t="s">
        <v>541</v>
      </c>
      <c r="F609" t="s">
        <v>542</v>
      </c>
      <c r="G609" t="s">
        <v>9</v>
      </c>
      <c r="H609" t="s">
        <v>10</v>
      </c>
      <c r="I609" t="s">
        <v>594</v>
      </c>
      <c r="J609">
        <v>11.5</v>
      </c>
      <c r="K609" t="e">
        <f>IF(COUNTIF(#REF!,Tabela2[[#This Row],[IdxWspolny]])&gt;0,"ELEM_lub_PRD","TECHN")</f>
        <v>#REF!</v>
      </c>
      <c r="L609" t="e">
        <f>IF(COUNTIF(#REF!,Tabela2[[#This Row],[KOD_PRODUKTU]])&gt;0,"ELEMENT","PRODUKT")</f>
        <v>#REF!</v>
      </c>
      <c r="M609" t="e">
        <f>COUNTIF(#REF!,Tabela2[[#This Row],[KOD_PRODUKTU]])</f>
        <v>#REF!</v>
      </c>
    </row>
    <row r="610" spans="1:13" x14ac:dyDescent="0.25">
      <c r="A610" s="1" t="s">
        <v>1174</v>
      </c>
      <c r="B610" t="s">
        <v>1175</v>
      </c>
      <c r="C610" s="1" t="s">
        <v>1162</v>
      </c>
      <c r="D610" s="1" t="s">
        <v>1162</v>
      </c>
      <c r="E610" s="1" t="s">
        <v>1162</v>
      </c>
      <c r="F610" t="s">
        <v>1163</v>
      </c>
      <c r="G610" t="s">
        <v>4</v>
      </c>
      <c r="H610" t="s">
        <v>5</v>
      </c>
      <c r="I610" t="s">
        <v>1176</v>
      </c>
      <c r="J610">
        <v>1.74</v>
      </c>
      <c r="K610" t="e">
        <f>IF(COUNTIF(#REF!,Tabela2[[#This Row],[IdxWspolny]])&gt;0,"ELEM_lub_PRD","TECHN")</f>
        <v>#REF!</v>
      </c>
      <c r="L610" t="e">
        <f>IF(COUNTIF(#REF!,Tabela2[[#This Row],[KOD_PRODUKTU]])&gt;0,"ELEMENT","PRODUKT")</f>
        <v>#REF!</v>
      </c>
      <c r="M610" t="e">
        <f>COUNTIF(#REF!,Tabela2[[#This Row],[KOD_PRODUKTU]])</f>
        <v>#REF!</v>
      </c>
    </row>
    <row r="611" spans="1:13" x14ac:dyDescent="0.25">
      <c r="A611" s="1" t="s">
        <v>1174</v>
      </c>
      <c r="B611" t="s">
        <v>1175</v>
      </c>
      <c r="C611" s="1" t="s">
        <v>432</v>
      </c>
      <c r="D611" s="1" t="s">
        <v>432</v>
      </c>
      <c r="E611" s="1" t="s">
        <v>432</v>
      </c>
      <c r="F611" t="s">
        <v>433</v>
      </c>
      <c r="G611" t="s">
        <v>434</v>
      </c>
      <c r="H611" t="s">
        <v>435</v>
      </c>
      <c r="I611" t="s">
        <v>1177</v>
      </c>
      <c r="J611">
        <v>3.8</v>
      </c>
      <c r="K611" t="e">
        <f>IF(COUNTIF(#REF!,Tabela2[[#This Row],[IdxWspolny]])&gt;0,"ELEM_lub_PRD","TECHN")</f>
        <v>#REF!</v>
      </c>
      <c r="L611" t="e">
        <f>IF(COUNTIF(#REF!,Tabela2[[#This Row],[KOD_PRODUKTU]])&gt;0,"ELEMENT","PRODUKT")</f>
        <v>#REF!</v>
      </c>
      <c r="M611" t="e">
        <f>COUNTIF(#REF!,Tabela2[[#This Row],[KOD_PRODUKTU]])</f>
        <v>#REF!</v>
      </c>
    </row>
    <row r="612" spans="1:13" x14ac:dyDescent="0.25">
      <c r="A612" s="1" t="s">
        <v>1174</v>
      </c>
      <c r="B612" t="s">
        <v>1175</v>
      </c>
      <c r="C612" s="1" t="s">
        <v>541</v>
      </c>
      <c r="D612" s="1" t="s">
        <v>541</v>
      </c>
      <c r="E612" s="1" t="s">
        <v>541</v>
      </c>
      <c r="F612" t="s">
        <v>542</v>
      </c>
      <c r="G612" t="s">
        <v>9</v>
      </c>
      <c r="H612" t="s">
        <v>10</v>
      </c>
      <c r="I612" t="s">
        <v>1178</v>
      </c>
      <c r="J612">
        <v>10.45</v>
      </c>
      <c r="K612" t="e">
        <f>IF(COUNTIF(#REF!,Tabela2[[#This Row],[IdxWspolny]])&gt;0,"ELEM_lub_PRD","TECHN")</f>
        <v>#REF!</v>
      </c>
      <c r="L612" t="e">
        <f>IF(COUNTIF(#REF!,Tabela2[[#This Row],[KOD_PRODUKTU]])&gt;0,"ELEMENT","PRODUKT")</f>
        <v>#REF!</v>
      </c>
      <c r="M612" t="e">
        <f>COUNTIF(#REF!,Tabela2[[#This Row],[KOD_PRODUKTU]])</f>
        <v>#REF!</v>
      </c>
    </row>
    <row r="613" spans="1:13" x14ac:dyDescent="0.25">
      <c r="A613" s="1" t="s">
        <v>1179</v>
      </c>
      <c r="B613" t="s">
        <v>1180</v>
      </c>
      <c r="C613" s="1" t="s">
        <v>1162</v>
      </c>
      <c r="D613" s="1" t="s">
        <v>1162</v>
      </c>
      <c r="E613" s="1" t="s">
        <v>1162</v>
      </c>
      <c r="F613" t="s">
        <v>1163</v>
      </c>
      <c r="G613" t="s">
        <v>4</v>
      </c>
      <c r="H613" t="s">
        <v>5</v>
      </c>
      <c r="I613" t="s">
        <v>1181</v>
      </c>
      <c r="J613">
        <v>1.9</v>
      </c>
      <c r="K613" t="e">
        <f>IF(COUNTIF(#REF!,Tabela2[[#This Row],[IdxWspolny]])&gt;0,"ELEM_lub_PRD","TECHN")</f>
        <v>#REF!</v>
      </c>
      <c r="L613" t="e">
        <f>IF(COUNTIF(#REF!,Tabela2[[#This Row],[KOD_PRODUKTU]])&gt;0,"ELEMENT","PRODUKT")</f>
        <v>#REF!</v>
      </c>
      <c r="M613" t="e">
        <f>COUNTIF(#REF!,Tabela2[[#This Row],[KOD_PRODUKTU]])</f>
        <v>#REF!</v>
      </c>
    </row>
    <row r="614" spans="1:13" x14ac:dyDescent="0.25">
      <c r="A614" s="1" t="s">
        <v>1179</v>
      </c>
      <c r="B614" t="s">
        <v>1180</v>
      </c>
      <c r="C614" s="1" t="s">
        <v>432</v>
      </c>
      <c r="D614" s="1" t="s">
        <v>432</v>
      </c>
      <c r="E614" s="1" t="s">
        <v>432</v>
      </c>
      <c r="F614" t="s">
        <v>433</v>
      </c>
      <c r="G614" t="s">
        <v>434</v>
      </c>
      <c r="H614" t="s">
        <v>435</v>
      </c>
      <c r="I614" t="s">
        <v>1177</v>
      </c>
      <c r="J614">
        <v>3.8</v>
      </c>
      <c r="K614" t="e">
        <f>IF(COUNTIF(#REF!,Tabela2[[#This Row],[IdxWspolny]])&gt;0,"ELEM_lub_PRD","TECHN")</f>
        <v>#REF!</v>
      </c>
      <c r="L614" t="e">
        <f>IF(COUNTIF(#REF!,Tabela2[[#This Row],[KOD_PRODUKTU]])&gt;0,"ELEMENT","PRODUKT")</f>
        <v>#REF!</v>
      </c>
      <c r="M614" t="e">
        <f>COUNTIF(#REF!,Tabela2[[#This Row],[KOD_PRODUKTU]])</f>
        <v>#REF!</v>
      </c>
    </row>
    <row r="615" spans="1:13" x14ac:dyDescent="0.25">
      <c r="A615" s="1" t="s">
        <v>1179</v>
      </c>
      <c r="B615" t="s">
        <v>1180</v>
      </c>
      <c r="C615" s="1" t="s">
        <v>541</v>
      </c>
      <c r="D615" s="1" t="s">
        <v>541</v>
      </c>
      <c r="E615" s="1" t="s">
        <v>541</v>
      </c>
      <c r="F615" t="s">
        <v>542</v>
      </c>
      <c r="G615" t="s">
        <v>9</v>
      </c>
      <c r="H615" t="s">
        <v>10</v>
      </c>
      <c r="I615" t="s">
        <v>1178</v>
      </c>
      <c r="J615">
        <v>10.45</v>
      </c>
      <c r="K615" t="e">
        <f>IF(COUNTIF(#REF!,Tabela2[[#This Row],[IdxWspolny]])&gt;0,"ELEM_lub_PRD","TECHN")</f>
        <v>#REF!</v>
      </c>
      <c r="L615" t="e">
        <f>IF(COUNTIF(#REF!,Tabela2[[#This Row],[KOD_PRODUKTU]])&gt;0,"ELEMENT","PRODUKT")</f>
        <v>#REF!</v>
      </c>
      <c r="M615" t="e">
        <f>COUNTIF(#REF!,Tabela2[[#This Row],[KOD_PRODUKTU]])</f>
        <v>#REF!</v>
      </c>
    </row>
    <row r="616" spans="1:13" x14ac:dyDescent="0.25">
      <c r="A616" s="1" t="s">
        <v>1182</v>
      </c>
      <c r="B616" t="s">
        <v>1183</v>
      </c>
      <c r="C616" s="1" t="s">
        <v>1162</v>
      </c>
      <c r="D616" s="1" t="s">
        <v>1162</v>
      </c>
      <c r="E616" s="1" t="s">
        <v>1162</v>
      </c>
      <c r="F616" t="s">
        <v>1163</v>
      </c>
      <c r="G616" t="s">
        <v>1164</v>
      </c>
      <c r="H616" t="s">
        <v>5</v>
      </c>
      <c r="I616" t="s">
        <v>1184</v>
      </c>
      <c r="J616">
        <v>2.1</v>
      </c>
      <c r="K616" t="e">
        <f>IF(COUNTIF(#REF!,Tabela2[[#This Row],[IdxWspolny]])&gt;0,"ELEM_lub_PRD","TECHN")</f>
        <v>#REF!</v>
      </c>
      <c r="L616" t="e">
        <f>IF(COUNTIF(#REF!,Tabela2[[#This Row],[KOD_PRODUKTU]])&gt;0,"ELEMENT","PRODUKT")</f>
        <v>#REF!</v>
      </c>
      <c r="M616" t="e">
        <f>COUNTIF(#REF!,Tabela2[[#This Row],[KOD_PRODUKTU]])</f>
        <v>#REF!</v>
      </c>
    </row>
    <row r="617" spans="1:13" x14ac:dyDescent="0.25">
      <c r="A617" s="1" t="s">
        <v>1182</v>
      </c>
      <c r="B617" t="s">
        <v>1183</v>
      </c>
      <c r="C617" s="1" t="s">
        <v>432</v>
      </c>
      <c r="D617" s="1" t="s">
        <v>432</v>
      </c>
      <c r="E617" s="1" t="s">
        <v>432</v>
      </c>
      <c r="F617" t="s">
        <v>433</v>
      </c>
      <c r="G617" t="s">
        <v>434</v>
      </c>
      <c r="H617" t="s">
        <v>435</v>
      </c>
      <c r="I617" t="s">
        <v>1165</v>
      </c>
      <c r="J617">
        <v>3.7</v>
      </c>
      <c r="K617" t="e">
        <f>IF(COUNTIF(#REF!,Tabela2[[#This Row],[IdxWspolny]])&gt;0,"ELEM_lub_PRD","TECHN")</f>
        <v>#REF!</v>
      </c>
      <c r="L617" t="e">
        <f>IF(COUNTIF(#REF!,Tabela2[[#This Row],[KOD_PRODUKTU]])&gt;0,"ELEMENT","PRODUKT")</f>
        <v>#REF!</v>
      </c>
      <c r="M617" t="e">
        <f>COUNTIF(#REF!,Tabela2[[#This Row],[KOD_PRODUKTU]])</f>
        <v>#REF!</v>
      </c>
    </row>
    <row r="618" spans="1:13" x14ac:dyDescent="0.25">
      <c r="A618" s="1" t="s">
        <v>1182</v>
      </c>
      <c r="B618" t="s">
        <v>1183</v>
      </c>
      <c r="C618" s="1" t="s">
        <v>541</v>
      </c>
      <c r="D618" s="1" t="s">
        <v>541</v>
      </c>
      <c r="E618" s="1" t="s">
        <v>541</v>
      </c>
      <c r="F618" t="s">
        <v>542</v>
      </c>
      <c r="G618" t="s">
        <v>9</v>
      </c>
      <c r="H618" t="s">
        <v>10</v>
      </c>
      <c r="I618" t="s">
        <v>1185</v>
      </c>
      <c r="J618">
        <v>11.13</v>
      </c>
      <c r="K618" t="e">
        <f>IF(COUNTIF(#REF!,Tabela2[[#This Row],[IdxWspolny]])&gt;0,"ELEM_lub_PRD","TECHN")</f>
        <v>#REF!</v>
      </c>
      <c r="L618" t="e">
        <f>IF(COUNTIF(#REF!,Tabela2[[#This Row],[KOD_PRODUKTU]])&gt;0,"ELEMENT","PRODUKT")</f>
        <v>#REF!</v>
      </c>
      <c r="M618" t="e">
        <f>COUNTIF(#REF!,Tabela2[[#This Row],[KOD_PRODUKTU]])</f>
        <v>#REF!</v>
      </c>
    </row>
    <row r="619" spans="1:13" x14ac:dyDescent="0.25">
      <c r="A619" s="1" t="s">
        <v>1186</v>
      </c>
      <c r="B619" t="s">
        <v>1187</v>
      </c>
      <c r="C619" s="1" t="s">
        <v>1188</v>
      </c>
      <c r="D619" s="1" t="s">
        <v>1188</v>
      </c>
      <c r="E619" s="1" t="s">
        <v>1188</v>
      </c>
      <c r="F619" t="s">
        <v>1189</v>
      </c>
      <c r="G619" t="s">
        <v>1190</v>
      </c>
      <c r="H619" t="s">
        <v>5</v>
      </c>
      <c r="I619" t="s">
        <v>1191</v>
      </c>
      <c r="J619">
        <v>10.45</v>
      </c>
      <c r="K619" t="e">
        <f>IF(COUNTIF(#REF!,Tabela2[[#This Row],[IdxWspolny]])&gt;0,"ELEM_lub_PRD","TECHN")</f>
        <v>#REF!</v>
      </c>
      <c r="L619" t="e">
        <f>IF(COUNTIF(#REF!,Tabela2[[#This Row],[KOD_PRODUKTU]])&gt;0,"ELEMENT","PRODUKT")</f>
        <v>#REF!</v>
      </c>
      <c r="M619" t="e">
        <f>COUNTIF(#REF!,Tabela2[[#This Row],[KOD_PRODUKTU]])</f>
        <v>#REF!</v>
      </c>
    </row>
    <row r="620" spans="1:13" x14ac:dyDescent="0.25">
      <c r="A620" s="1" t="s">
        <v>1186</v>
      </c>
      <c r="B620" t="s">
        <v>1187</v>
      </c>
      <c r="C620" s="1" t="s">
        <v>7</v>
      </c>
      <c r="D620" s="1" t="s">
        <v>7</v>
      </c>
      <c r="E620" s="1" t="s">
        <v>7</v>
      </c>
      <c r="F620" t="s">
        <v>8</v>
      </c>
      <c r="G620" t="s">
        <v>9</v>
      </c>
      <c r="H620" t="s">
        <v>10</v>
      </c>
      <c r="I620" t="s">
        <v>1192</v>
      </c>
      <c r="J620">
        <v>11.92</v>
      </c>
      <c r="K620" t="e">
        <f>IF(COUNTIF(#REF!,Tabela2[[#This Row],[IdxWspolny]])&gt;0,"ELEM_lub_PRD","TECHN")</f>
        <v>#REF!</v>
      </c>
      <c r="L620" t="e">
        <f>IF(COUNTIF(#REF!,Tabela2[[#This Row],[KOD_PRODUKTU]])&gt;0,"ELEMENT","PRODUKT")</f>
        <v>#REF!</v>
      </c>
      <c r="M620" t="e">
        <f>COUNTIF(#REF!,Tabela2[[#This Row],[KOD_PRODUKTU]])</f>
        <v>#REF!</v>
      </c>
    </row>
    <row r="621" spans="1:13" x14ac:dyDescent="0.25">
      <c r="A621" s="1" t="s">
        <v>1193</v>
      </c>
      <c r="B621" t="s">
        <v>1194</v>
      </c>
      <c r="C621" s="1" t="s">
        <v>1188</v>
      </c>
      <c r="D621" s="1" t="s">
        <v>1188</v>
      </c>
      <c r="E621" s="1" t="s">
        <v>1188</v>
      </c>
      <c r="F621" t="s">
        <v>1189</v>
      </c>
      <c r="G621" t="s">
        <v>1190</v>
      </c>
      <c r="H621" t="s">
        <v>5</v>
      </c>
      <c r="I621" t="s">
        <v>1195</v>
      </c>
      <c r="J621">
        <v>9.57</v>
      </c>
      <c r="K621" t="e">
        <f>IF(COUNTIF(#REF!,Tabela2[[#This Row],[IdxWspolny]])&gt;0,"ELEM_lub_PRD","TECHN")</f>
        <v>#REF!</v>
      </c>
      <c r="L621" t="e">
        <f>IF(COUNTIF(#REF!,Tabela2[[#This Row],[KOD_PRODUKTU]])&gt;0,"ELEMENT","PRODUKT")</f>
        <v>#REF!</v>
      </c>
      <c r="M621" t="e">
        <f>COUNTIF(#REF!,Tabela2[[#This Row],[KOD_PRODUKTU]])</f>
        <v>#REF!</v>
      </c>
    </row>
    <row r="622" spans="1:13" x14ac:dyDescent="0.25">
      <c r="A622" s="1" t="s">
        <v>1193</v>
      </c>
      <c r="B622" t="s">
        <v>1194</v>
      </c>
      <c r="C622" s="1" t="s">
        <v>432</v>
      </c>
      <c r="D622" s="1" t="s">
        <v>432</v>
      </c>
      <c r="E622" s="1" t="s">
        <v>432</v>
      </c>
      <c r="F622" t="s">
        <v>433</v>
      </c>
      <c r="G622" t="s">
        <v>434</v>
      </c>
      <c r="H622" t="s">
        <v>435</v>
      </c>
      <c r="I622" t="s">
        <v>92</v>
      </c>
      <c r="J622">
        <v>2.2000000000000002</v>
      </c>
      <c r="K622" t="e">
        <f>IF(COUNTIF(#REF!,Tabela2[[#This Row],[IdxWspolny]])&gt;0,"ELEM_lub_PRD","TECHN")</f>
        <v>#REF!</v>
      </c>
      <c r="L622" t="e">
        <f>IF(COUNTIF(#REF!,Tabela2[[#This Row],[KOD_PRODUKTU]])&gt;0,"ELEMENT","PRODUKT")</f>
        <v>#REF!</v>
      </c>
      <c r="M622" t="e">
        <f>COUNTIF(#REF!,Tabela2[[#This Row],[KOD_PRODUKTU]])</f>
        <v>#REF!</v>
      </c>
    </row>
    <row r="623" spans="1:13" x14ac:dyDescent="0.25">
      <c r="A623" s="1" t="s">
        <v>1193</v>
      </c>
      <c r="B623" t="s">
        <v>1194</v>
      </c>
      <c r="C623" s="1" t="s">
        <v>7</v>
      </c>
      <c r="D623" s="1" t="s">
        <v>7</v>
      </c>
      <c r="E623" s="1" t="s">
        <v>7</v>
      </c>
      <c r="F623" t="s">
        <v>8</v>
      </c>
      <c r="G623" t="s">
        <v>9</v>
      </c>
      <c r="H623" t="s">
        <v>10</v>
      </c>
      <c r="I623" t="s">
        <v>1196</v>
      </c>
      <c r="J623">
        <v>4.34</v>
      </c>
      <c r="K623" t="e">
        <f>IF(COUNTIF(#REF!,Tabela2[[#This Row],[IdxWspolny]])&gt;0,"ELEM_lub_PRD","TECHN")</f>
        <v>#REF!</v>
      </c>
      <c r="L623" t="e">
        <f>IF(COUNTIF(#REF!,Tabela2[[#This Row],[KOD_PRODUKTU]])&gt;0,"ELEMENT","PRODUKT")</f>
        <v>#REF!</v>
      </c>
      <c r="M623" t="e">
        <f>COUNTIF(#REF!,Tabela2[[#This Row],[KOD_PRODUKTU]])</f>
        <v>#REF!</v>
      </c>
    </row>
    <row r="624" spans="1:13" x14ac:dyDescent="0.25">
      <c r="A624" s="1" t="s">
        <v>1197</v>
      </c>
      <c r="B624" t="s">
        <v>1198</v>
      </c>
      <c r="C624" s="1" t="s">
        <v>1188</v>
      </c>
      <c r="D624" s="1" t="s">
        <v>1188</v>
      </c>
      <c r="E624" s="1" t="s">
        <v>1188</v>
      </c>
      <c r="F624" t="s">
        <v>1189</v>
      </c>
      <c r="G624" t="s">
        <v>1190</v>
      </c>
      <c r="H624" t="s">
        <v>5</v>
      </c>
      <c r="I624" t="s">
        <v>1199</v>
      </c>
      <c r="J624">
        <v>6.79</v>
      </c>
      <c r="K624" t="e">
        <f>IF(COUNTIF(#REF!,Tabela2[[#This Row],[IdxWspolny]])&gt;0,"ELEM_lub_PRD","TECHN")</f>
        <v>#REF!</v>
      </c>
      <c r="L624" t="e">
        <f>IF(COUNTIF(#REF!,Tabela2[[#This Row],[KOD_PRODUKTU]])&gt;0,"ELEMENT","PRODUKT")</f>
        <v>#REF!</v>
      </c>
      <c r="M624" t="e">
        <f>COUNTIF(#REF!,Tabela2[[#This Row],[KOD_PRODUKTU]])</f>
        <v>#REF!</v>
      </c>
    </row>
    <row r="625" spans="1:13" x14ac:dyDescent="0.25">
      <c r="A625" s="1" t="s">
        <v>1197</v>
      </c>
      <c r="B625" t="s">
        <v>1198</v>
      </c>
      <c r="C625" s="1" t="s">
        <v>7</v>
      </c>
      <c r="D625" s="1" t="s">
        <v>7</v>
      </c>
      <c r="E625" s="1" t="s">
        <v>7</v>
      </c>
      <c r="F625" t="s">
        <v>8</v>
      </c>
      <c r="G625" t="s">
        <v>9</v>
      </c>
      <c r="H625" t="s">
        <v>10</v>
      </c>
      <c r="I625" t="s">
        <v>1200</v>
      </c>
      <c r="J625">
        <v>3.87</v>
      </c>
      <c r="K625" t="e">
        <f>IF(COUNTIF(#REF!,Tabela2[[#This Row],[IdxWspolny]])&gt;0,"ELEM_lub_PRD","TECHN")</f>
        <v>#REF!</v>
      </c>
      <c r="L625" t="e">
        <f>IF(COUNTIF(#REF!,Tabela2[[#This Row],[KOD_PRODUKTU]])&gt;0,"ELEMENT","PRODUKT")</f>
        <v>#REF!</v>
      </c>
      <c r="M625" t="e">
        <f>COUNTIF(#REF!,Tabela2[[#This Row],[KOD_PRODUKTU]])</f>
        <v>#REF!</v>
      </c>
    </row>
    <row r="626" spans="1:13" x14ac:dyDescent="0.25">
      <c r="A626" s="1" t="s">
        <v>1201</v>
      </c>
      <c r="B626" t="s">
        <v>1202</v>
      </c>
      <c r="C626" s="1" t="s">
        <v>1203</v>
      </c>
      <c r="D626" s="1" t="s">
        <v>1203</v>
      </c>
      <c r="E626" s="1" t="s">
        <v>1203</v>
      </c>
      <c r="F626" t="s">
        <v>1204</v>
      </c>
      <c r="G626" t="s">
        <v>216</v>
      </c>
      <c r="H626" t="s">
        <v>5</v>
      </c>
      <c r="I626" t="s">
        <v>1205</v>
      </c>
      <c r="J626">
        <v>0.85</v>
      </c>
      <c r="K626" t="e">
        <f>IF(COUNTIF(#REF!,Tabela2[[#This Row],[IdxWspolny]])&gt;0,"ELEM_lub_PRD","TECHN")</f>
        <v>#REF!</v>
      </c>
      <c r="L626" t="e">
        <f>IF(COUNTIF(#REF!,Tabela2[[#This Row],[KOD_PRODUKTU]])&gt;0,"ELEMENT","PRODUKT")</f>
        <v>#REF!</v>
      </c>
      <c r="M626" t="e">
        <f>COUNTIF(#REF!,Tabela2[[#This Row],[KOD_PRODUKTU]])</f>
        <v>#REF!</v>
      </c>
    </row>
    <row r="627" spans="1:13" x14ac:dyDescent="0.25">
      <c r="A627" s="1" t="s">
        <v>1201</v>
      </c>
      <c r="B627" t="s">
        <v>1202</v>
      </c>
      <c r="C627" s="1" t="s">
        <v>7</v>
      </c>
      <c r="D627" s="1" t="s">
        <v>7</v>
      </c>
      <c r="E627" s="1" t="s">
        <v>7</v>
      </c>
      <c r="F627" t="s">
        <v>8</v>
      </c>
      <c r="G627" t="s">
        <v>9</v>
      </c>
      <c r="H627" t="s">
        <v>10</v>
      </c>
      <c r="I627" t="s">
        <v>1206</v>
      </c>
      <c r="J627">
        <v>9.9</v>
      </c>
      <c r="K627" t="e">
        <f>IF(COUNTIF(#REF!,Tabela2[[#This Row],[IdxWspolny]])&gt;0,"ELEM_lub_PRD","TECHN")</f>
        <v>#REF!</v>
      </c>
      <c r="L627" t="e">
        <f>IF(COUNTIF(#REF!,Tabela2[[#This Row],[KOD_PRODUKTU]])&gt;0,"ELEMENT","PRODUKT")</f>
        <v>#REF!</v>
      </c>
      <c r="M627" t="e">
        <f>COUNTIF(#REF!,Tabela2[[#This Row],[KOD_PRODUKTU]])</f>
        <v>#REF!</v>
      </c>
    </row>
    <row r="628" spans="1:13" x14ac:dyDescent="0.25">
      <c r="A628" s="1" t="s">
        <v>229</v>
      </c>
      <c r="B628" t="s">
        <v>230</v>
      </c>
      <c r="C628" s="1" t="s">
        <v>1207</v>
      </c>
      <c r="D628" s="1" t="s">
        <v>1207</v>
      </c>
      <c r="E628" s="1" t="s">
        <v>1207</v>
      </c>
      <c r="F628" t="s">
        <v>1208</v>
      </c>
      <c r="G628" t="s">
        <v>1017</v>
      </c>
      <c r="H628" t="s">
        <v>5</v>
      </c>
      <c r="I628" t="s">
        <v>1209</v>
      </c>
      <c r="J628">
        <v>0.25</v>
      </c>
      <c r="K628" t="e">
        <f>IF(COUNTIF(#REF!,Tabela2[[#This Row],[IdxWspolny]])&gt;0,"ELEM_lub_PRD","TECHN")</f>
        <v>#REF!</v>
      </c>
      <c r="L628" t="e">
        <f>IF(COUNTIF(#REF!,Tabela2[[#This Row],[KOD_PRODUKTU]])&gt;0,"ELEMENT","PRODUKT")</f>
        <v>#REF!</v>
      </c>
      <c r="M628" t="e">
        <f>COUNTIF(#REF!,Tabela2[[#This Row],[KOD_PRODUKTU]])</f>
        <v>#REF!</v>
      </c>
    </row>
    <row r="629" spans="1:13" x14ac:dyDescent="0.25">
      <c r="A629" s="1" t="s">
        <v>229</v>
      </c>
      <c r="B629" t="s">
        <v>230</v>
      </c>
      <c r="C629" s="1" t="s">
        <v>7</v>
      </c>
      <c r="D629" s="1" t="s">
        <v>7</v>
      </c>
      <c r="E629" s="1" t="s">
        <v>7</v>
      </c>
      <c r="F629" t="s">
        <v>8</v>
      </c>
      <c r="G629" t="s">
        <v>9</v>
      </c>
      <c r="H629" t="s">
        <v>10</v>
      </c>
      <c r="I629" t="s">
        <v>1065</v>
      </c>
      <c r="J629">
        <v>5</v>
      </c>
      <c r="K629" t="e">
        <f>IF(COUNTIF(#REF!,Tabela2[[#This Row],[IdxWspolny]])&gt;0,"ELEM_lub_PRD","TECHN")</f>
        <v>#REF!</v>
      </c>
      <c r="L629" t="e">
        <f>IF(COUNTIF(#REF!,Tabela2[[#This Row],[KOD_PRODUKTU]])&gt;0,"ELEMENT","PRODUKT")</f>
        <v>#REF!</v>
      </c>
      <c r="M629" t="e">
        <f>COUNTIF(#REF!,Tabela2[[#This Row],[KOD_PRODUKTU]])</f>
        <v>#REF!</v>
      </c>
    </row>
    <row r="630" spans="1:13" x14ac:dyDescent="0.25">
      <c r="A630" s="1" t="s">
        <v>233</v>
      </c>
      <c r="B630" t="s">
        <v>234</v>
      </c>
      <c r="C630" s="1" t="s">
        <v>1207</v>
      </c>
      <c r="D630" s="1" t="s">
        <v>1207</v>
      </c>
      <c r="E630" s="1" t="s">
        <v>1207</v>
      </c>
      <c r="F630" t="s">
        <v>1208</v>
      </c>
      <c r="G630" t="s">
        <v>1017</v>
      </c>
      <c r="H630" t="s">
        <v>5</v>
      </c>
      <c r="I630" t="s">
        <v>1210</v>
      </c>
      <c r="J630">
        <v>0.3</v>
      </c>
      <c r="K630" t="e">
        <f>IF(COUNTIF(#REF!,Tabela2[[#This Row],[IdxWspolny]])&gt;0,"ELEM_lub_PRD","TECHN")</f>
        <v>#REF!</v>
      </c>
      <c r="L630" t="e">
        <f>IF(COUNTIF(#REF!,Tabela2[[#This Row],[KOD_PRODUKTU]])&gt;0,"ELEMENT","PRODUKT")</f>
        <v>#REF!</v>
      </c>
      <c r="M630" t="e">
        <f>COUNTIF(#REF!,Tabela2[[#This Row],[KOD_PRODUKTU]])</f>
        <v>#REF!</v>
      </c>
    </row>
    <row r="631" spans="1:13" x14ac:dyDescent="0.25">
      <c r="A631" s="1" t="s">
        <v>233</v>
      </c>
      <c r="B631" t="s">
        <v>234</v>
      </c>
      <c r="C631" s="1" t="s">
        <v>7</v>
      </c>
      <c r="D631" s="1" t="s">
        <v>7</v>
      </c>
      <c r="E631" s="1" t="s">
        <v>7</v>
      </c>
      <c r="F631" t="s">
        <v>8</v>
      </c>
      <c r="G631" t="s">
        <v>9</v>
      </c>
      <c r="H631" t="s">
        <v>10</v>
      </c>
      <c r="I631" t="s">
        <v>1211</v>
      </c>
      <c r="J631">
        <v>8.15</v>
      </c>
      <c r="K631" t="e">
        <f>IF(COUNTIF(#REF!,Tabela2[[#This Row],[IdxWspolny]])&gt;0,"ELEM_lub_PRD","TECHN")</f>
        <v>#REF!</v>
      </c>
      <c r="L631" t="e">
        <f>IF(COUNTIF(#REF!,Tabela2[[#This Row],[KOD_PRODUKTU]])&gt;0,"ELEMENT","PRODUKT")</f>
        <v>#REF!</v>
      </c>
      <c r="M631" t="e">
        <f>COUNTIF(#REF!,Tabela2[[#This Row],[KOD_PRODUKTU]])</f>
        <v>#REF!</v>
      </c>
    </row>
    <row r="632" spans="1:13" x14ac:dyDescent="0.25">
      <c r="A632" s="1" t="s">
        <v>1212</v>
      </c>
      <c r="B632" t="s">
        <v>1213</v>
      </c>
      <c r="C632" s="1" t="s">
        <v>1214</v>
      </c>
      <c r="D632" s="1" t="s">
        <v>1214</v>
      </c>
      <c r="E632" s="1" t="s">
        <v>1214</v>
      </c>
      <c r="F632" t="s">
        <v>1215</v>
      </c>
      <c r="G632" t="s">
        <v>1216</v>
      </c>
      <c r="H632" t="s">
        <v>121</v>
      </c>
      <c r="I632" t="s">
        <v>50</v>
      </c>
      <c r="J632">
        <v>106.4</v>
      </c>
      <c r="K632" t="e">
        <f>IF(COUNTIF(#REF!,Tabela2[[#This Row],[IdxWspolny]])&gt;0,"ELEM_lub_PRD","TECHN")</f>
        <v>#REF!</v>
      </c>
      <c r="L632" t="e">
        <f>IF(COUNTIF(#REF!,Tabela2[[#This Row],[KOD_PRODUKTU]])&gt;0,"ELEMENT","PRODUKT")</f>
        <v>#REF!</v>
      </c>
      <c r="M632" t="e">
        <f>COUNTIF(#REF!,Tabela2[[#This Row],[KOD_PRODUKTU]])</f>
        <v>#REF!</v>
      </c>
    </row>
    <row r="633" spans="1:13" x14ac:dyDescent="0.25">
      <c r="A633" s="1" t="s">
        <v>1212</v>
      </c>
      <c r="B633" t="s">
        <v>1213</v>
      </c>
      <c r="C633" s="1" t="s">
        <v>7</v>
      </c>
      <c r="D633" s="1" t="s">
        <v>7</v>
      </c>
      <c r="E633" s="1" t="s">
        <v>7</v>
      </c>
      <c r="F633" t="s">
        <v>8</v>
      </c>
      <c r="G633" t="s">
        <v>9</v>
      </c>
      <c r="H633" t="s">
        <v>10</v>
      </c>
      <c r="I633" t="s">
        <v>992</v>
      </c>
      <c r="J633">
        <v>13.8</v>
      </c>
      <c r="K633" t="e">
        <f>IF(COUNTIF(#REF!,Tabela2[[#This Row],[IdxWspolny]])&gt;0,"ELEM_lub_PRD","TECHN")</f>
        <v>#REF!</v>
      </c>
      <c r="L633" t="e">
        <f>IF(COUNTIF(#REF!,Tabela2[[#This Row],[KOD_PRODUKTU]])&gt;0,"ELEMENT","PRODUKT")</f>
        <v>#REF!</v>
      </c>
      <c r="M633" t="e">
        <f>COUNTIF(#REF!,Tabela2[[#This Row],[KOD_PRODUKTU]])</f>
        <v>#REF!</v>
      </c>
    </row>
    <row r="634" spans="1:13" x14ac:dyDescent="0.25">
      <c r="A634" s="1" t="s">
        <v>1217</v>
      </c>
      <c r="B634" t="s">
        <v>1218</v>
      </c>
      <c r="C634" s="1" t="s">
        <v>1203</v>
      </c>
      <c r="D634" s="1" t="s">
        <v>1203</v>
      </c>
      <c r="E634" s="1" t="s">
        <v>1203</v>
      </c>
      <c r="F634" t="s">
        <v>1204</v>
      </c>
      <c r="G634" t="s">
        <v>216</v>
      </c>
      <c r="H634" t="s">
        <v>5</v>
      </c>
      <c r="I634" t="s">
        <v>601</v>
      </c>
      <c r="J634">
        <v>1.05</v>
      </c>
      <c r="K634" t="e">
        <f>IF(COUNTIF(#REF!,Tabela2[[#This Row],[IdxWspolny]])&gt;0,"ELEM_lub_PRD","TECHN")</f>
        <v>#REF!</v>
      </c>
      <c r="L634" t="e">
        <f>IF(COUNTIF(#REF!,Tabela2[[#This Row],[KOD_PRODUKTU]])&gt;0,"ELEMENT","PRODUKT")</f>
        <v>#REF!</v>
      </c>
      <c r="M634" t="e">
        <f>COUNTIF(#REF!,Tabela2[[#This Row],[KOD_PRODUKTU]])</f>
        <v>#REF!</v>
      </c>
    </row>
    <row r="635" spans="1:13" x14ac:dyDescent="0.25">
      <c r="A635" s="1" t="s">
        <v>1217</v>
      </c>
      <c r="B635" t="s">
        <v>1218</v>
      </c>
      <c r="C635" s="1" t="s">
        <v>7</v>
      </c>
      <c r="D635" s="1" t="s">
        <v>7</v>
      </c>
      <c r="E635" s="1" t="s">
        <v>7</v>
      </c>
      <c r="F635" t="s">
        <v>8</v>
      </c>
      <c r="G635" t="s">
        <v>9</v>
      </c>
      <c r="H635" t="s">
        <v>10</v>
      </c>
      <c r="I635" t="s">
        <v>1206</v>
      </c>
      <c r="J635">
        <v>9.9</v>
      </c>
      <c r="K635" t="e">
        <f>IF(COUNTIF(#REF!,Tabela2[[#This Row],[IdxWspolny]])&gt;0,"ELEM_lub_PRD","TECHN")</f>
        <v>#REF!</v>
      </c>
      <c r="L635" t="e">
        <f>IF(COUNTIF(#REF!,Tabela2[[#This Row],[KOD_PRODUKTU]])&gt;0,"ELEMENT","PRODUKT")</f>
        <v>#REF!</v>
      </c>
      <c r="M635" t="e">
        <f>COUNTIF(#REF!,Tabela2[[#This Row],[KOD_PRODUKTU]])</f>
        <v>#REF!</v>
      </c>
    </row>
    <row r="636" spans="1:13" x14ac:dyDescent="0.25">
      <c r="A636" s="1" t="s">
        <v>1219</v>
      </c>
      <c r="B636" t="s">
        <v>1220</v>
      </c>
      <c r="C636" s="1" t="s">
        <v>1221</v>
      </c>
      <c r="D636" s="1" t="s">
        <v>1221</v>
      </c>
      <c r="E636" s="1" t="s">
        <v>1221</v>
      </c>
      <c r="F636" t="s">
        <v>1222</v>
      </c>
      <c r="G636" t="s">
        <v>1223</v>
      </c>
      <c r="H636" t="s">
        <v>5</v>
      </c>
      <c r="I636" t="s">
        <v>1224</v>
      </c>
      <c r="J636">
        <v>0.7</v>
      </c>
      <c r="K636" t="e">
        <f>IF(COUNTIF(#REF!,Tabela2[[#This Row],[IdxWspolny]])&gt;0,"ELEM_lub_PRD","TECHN")</f>
        <v>#REF!</v>
      </c>
      <c r="L636" t="e">
        <f>IF(COUNTIF(#REF!,Tabela2[[#This Row],[KOD_PRODUKTU]])&gt;0,"ELEMENT","PRODUKT")</f>
        <v>#REF!</v>
      </c>
      <c r="M636" t="e">
        <f>COUNTIF(#REF!,Tabela2[[#This Row],[KOD_PRODUKTU]])</f>
        <v>#REF!</v>
      </c>
    </row>
    <row r="637" spans="1:13" x14ac:dyDescent="0.25">
      <c r="A637" s="1" t="s">
        <v>1219</v>
      </c>
      <c r="B637" t="s">
        <v>1220</v>
      </c>
      <c r="C637" s="1" t="s">
        <v>7</v>
      </c>
      <c r="D637" s="1" t="s">
        <v>7</v>
      </c>
      <c r="E637" s="1" t="s">
        <v>7</v>
      </c>
      <c r="F637" t="s">
        <v>8</v>
      </c>
      <c r="G637" t="s">
        <v>9</v>
      </c>
      <c r="H637" t="s">
        <v>10</v>
      </c>
      <c r="I637" t="s">
        <v>1225</v>
      </c>
      <c r="J637">
        <v>2.5</v>
      </c>
      <c r="K637" t="e">
        <f>IF(COUNTIF(#REF!,Tabela2[[#This Row],[IdxWspolny]])&gt;0,"ELEM_lub_PRD","TECHN")</f>
        <v>#REF!</v>
      </c>
      <c r="L637" t="e">
        <f>IF(COUNTIF(#REF!,Tabela2[[#This Row],[KOD_PRODUKTU]])&gt;0,"ELEMENT","PRODUKT")</f>
        <v>#REF!</v>
      </c>
      <c r="M637" t="e">
        <f>COUNTIF(#REF!,Tabela2[[#This Row],[KOD_PRODUKTU]])</f>
        <v>#REF!</v>
      </c>
    </row>
    <row r="638" spans="1:13" x14ac:dyDescent="0.25">
      <c r="A638" s="1" t="s">
        <v>1226</v>
      </c>
      <c r="B638" t="s">
        <v>1227</v>
      </c>
      <c r="C638" s="1" t="s">
        <v>1203</v>
      </c>
      <c r="D638" s="1" t="s">
        <v>1203</v>
      </c>
      <c r="E638" s="1" t="s">
        <v>1203</v>
      </c>
      <c r="F638" t="s">
        <v>1204</v>
      </c>
      <c r="G638" t="s">
        <v>216</v>
      </c>
      <c r="H638" t="s">
        <v>5</v>
      </c>
      <c r="I638" t="s">
        <v>1228</v>
      </c>
      <c r="J638">
        <v>0.55000000000000004</v>
      </c>
      <c r="K638" t="e">
        <f>IF(COUNTIF(#REF!,Tabela2[[#This Row],[IdxWspolny]])&gt;0,"ELEM_lub_PRD","TECHN")</f>
        <v>#REF!</v>
      </c>
      <c r="L638" t="e">
        <f>IF(COUNTIF(#REF!,Tabela2[[#This Row],[KOD_PRODUKTU]])&gt;0,"ELEMENT","PRODUKT")</f>
        <v>#REF!</v>
      </c>
      <c r="M638" t="e">
        <f>COUNTIF(#REF!,Tabela2[[#This Row],[KOD_PRODUKTU]])</f>
        <v>#REF!</v>
      </c>
    </row>
    <row r="639" spans="1:13" x14ac:dyDescent="0.25">
      <c r="A639" s="1" t="s">
        <v>1226</v>
      </c>
      <c r="B639" t="s">
        <v>1227</v>
      </c>
      <c r="C639" s="1" t="s">
        <v>7</v>
      </c>
      <c r="D639" s="1" t="s">
        <v>7</v>
      </c>
      <c r="E639" s="1" t="s">
        <v>7</v>
      </c>
      <c r="F639" t="s">
        <v>8</v>
      </c>
      <c r="G639" t="s">
        <v>9</v>
      </c>
      <c r="H639" t="s">
        <v>10</v>
      </c>
      <c r="I639" t="s">
        <v>594</v>
      </c>
      <c r="J639">
        <v>11.5</v>
      </c>
      <c r="K639" t="e">
        <f>IF(COUNTIF(#REF!,Tabela2[[#This Row],[IdxWspolny]])&gt;0,"ELEM_lub_PRD","TECHN")</f>
        <v>#REF!</v>
      </c>
      <c r="L639" t="e">
        <f>IF(COUNTIF(#REF!,Tabela2[[#This Row],[KOD_PRODUKTU]])&gt;0,"ELEMENT","PRODUKT")</f>
        <v>#REF!</v>
      </c>
      <c r="M639" t="e">
        <f>COUNTIF(#REF!,Tabela2[[#This Row],[KOD_PRODUKTU]])</f>
        <v>#REF!</v>
      </c>
    </row>
    <row r="640" spans="1:13" x14ac:dyDescent="0.25">
      <c r="A640" s="1" t="s">
        <v>1229</v>
      </c>
      <c r="B640" t="s">
        <v>1230</v>
      </c>
      <c r="C640" s="1" t="s">
        <v>1203</v>
      </c>
      <c r="D640" s="1" t="s">
        <v>1203</v>
      </c>
      <c r="E640" s="1" t="s">
        <v>1203</v>
      </c>
      <c r="F640" t="s">
        <v>1204</v>
      </c>
      <c r="G640" t="s">
        <v>216</v>
      </c>
      <c r="H640" t="s">
        <v>5</v>
      </c>
      <c r="I640" t="s">
        <v>19</v>
      </c>
      <c r="J640">
        <v>0.7</v>
      </c>
      <c r="K640" t="e">
        <f>IF(COUNTIF(#REF!,Tabela2[[#This Row],[IdxWspolny]])&gt;0,"ELEM_lub_PRD","TECHN")</f>
        <v>#REF!</v>
      </c>
      <c r="L640" t="e">
        <f>IF(COUNTIF(#REF!,Tabela2[[#This Row],[KOD_PRODUKTU]])&gt;0,"ELEMENT","PRODUKT")</f>
        <v>#REF!</v>
      </c>
      <c r="M640" t="e">
        <f>COUNTIF(#REF!,Tabela2[[#This Row],[KOD_PRODUKTU]])</f>
        <v>#REF!</v>
      </c>
    </row>
    <row r="641" spans="1:13" x14ac:dyDescent="0.25">
      <c r="A641" s="1" t="s">
        <v>1229</v>
      </c>
      <c r="B641" t="s">
        <v>1230</v>
      </c>
      <c r="C641" s="1" t="s">
        <v>7</v>
      </c>
      <c r="D641" s="1" t="s">
        <v>7</v>
      </c>
      <c r="E641" s="1" t="s">
        <v>7</v>
      </c>
      <c r="F641" t="s">
        <v>8</v>
      </c>
      <c r="G641" t="s">
        <v>9</v>
      </c>
      <c r="H641" t="s">
        <v>10</v>
      </c>
      <c r="I641" t="s">
        <v>1231</v>
      </c>
      <c r="J641">
        <v>7</v>
      </c>
      <c r="K641" t="e">
        <f>IF(COUNTIF(#REF!,Tabela2[[#This Row],[IdxWspolny]])&gt;0,"ELEM_lub_PRD","TECHN")</f>
        <v>#REF!</v>
      </c>
      <c r="L641" t="e">
        <f>IF(COUNTIF(#REF!,Tabela2[[#This Row],[KOD_PRODUKTU]])&gt;0,"ELEMENT","PRODUKT")</f>
        <v>#REF!</v>
      </c>
      <c r="M641" t="e">
        <f>COUNTIF(#REF!,Tabela2[[#This Row],[KOD_PRODUKTU]])</f>
        <v>#REF!</v>
      </c>
    </row>
    <row r="642" spans="1:13" x14ac:dyDescent="0.25">
      <c r="A642" s="1" t="s">
        <v>382</v>
      </c>
      <c r="B642" t="s">
        <v>383</v>
      </c>
      <c r="C642" s="1" t="s">
        <v>1203</v>
      </c>
      <c r="D642" s="1" t="s">
        <v>1203</v>
      </c>
      <c r="E642" s="1" t="s">
        <v>1203</v>
      </c>
      <c r="F642" t="s">
        <v>1204</v>
      </c>
      <c r="G642" t="s">
        <v>1232</v>
      </c>
      <c r="H642" t="s">
        <v>5</v>
      </c>
      <c r="I642" t="s">
        <v>1233</v>
      </c>
      <c r="J642">
        <v>1.2</v>
      </c>
      <c r="K642" t="e">
        <f>IF(COUNTIF(#REF!,Tabela2[[#This Row],[IdxWspolny]])&gt;0,"ELEM_lub_PRD","TECHN")</f>
        <v>#REF!</v>
      </c>
      <c r="L642" t="e">
        <f>IF(COUNTIF(#REF!,Tabela2[[#This Row],[KOD_PRODUKTU]])&gt;0,"ELEMENT","PRODUKT")</f>
        <v>#REF!</v>
      </c>
      <c r="M642" t="e">
        <f>COUNTIF(#REF!,Tabela2[[#This Row],[KOD_PRODUKTU]])</f>
        <v>#REF!</v>
      </c>
    </row>
    <row r="643" spans="1:13" x14ac:dyDescent="0.25">
      <c r="A643" s="1" t="s">
        <v>382</v>
      </c>
      <c r="B643" t="s">
        <v>383</v>
      </c>
      <c r="C643" s="1" t="s">
        <v>1234</v>
      </c>
      <c r="D643" s="1" t="s">
        <v>1234</v>
      </c>
      <c r="E643" s="1" t="s">
        <v>1234</v>
      </c>
      <c r="F643" t="s">
        <v>1235</v>
      </c>
      <c r="G643" t="s">
        <v>108</v>
      </c>
      <c r="H643" t="s">
        <v>932</v>
      </c>
      <c r="I643" t="s">
        <v>1236</v>
      </c>
      <c r="J643">
        <v>0.5</v>
      </c>
      <c r="K643" t="e">
        <f>IF(COUNTIF(#REF!,Tabela2[[#This Row],[IdxWspolny]])&gt;0,"ELEM_lub_PRD","TECHN")</f>
        <v>#REF!</v>
      </c>
      <c r="L643" t="e">
        <f>IF(COUNTIF(#REF!,Tabela2[[#This Row],[KOD_PRODUKTU]])&gt;0,"ELEMENT","PRODUKT")</f>
        <v>#REF!</v>
      </c>
      <c r="M643" t="e">
        <f>COUNTIF(#REF!,Tabela2[[#This Row],[KOD_PRODUKTU]])</f>
        <v>#REF!</v>
      </c>
    </row>
    <row r="644" spans="1:13" x14ac:dyDescent="0.25">
      <c r="A644" s="1" t="s">
        <v>382</v>
      </c>
      <c r="B644" t="s">
        <v>383</v>
      </c>
      <c r="C644" s="1" t="s">
        <v>7</v>
      </c>
      <c r="D644" s="1" t="s">
        <v>7</v>
      </c>
      <c r="E644" s="1" t="s">
        <v>7</v>
      </c>
      <c r="F644" t="s">
        <v>8</v>
      </c>
      <c r="G644" t="s">
        <v>9</v>
      </c>
      <c r="H644" t="s">
        <v>10</v>
      </c>
      <c r="I644" t="s">
        <v>33</v>
      </c>
      <c r="J644">
        <v>9.1999999999999993</v>
      </c>
      <c r="K644" t="e">
        <f>IF(COUNTIF(#REF!,Tabela2[[#This Row],[IdxWspolny]])&gt;0,"ELEM_lub_PRD","TECHN")</f>
        <v>#REF!</v>
      </c>
      <c r="L644" t="e">
        <f>IF(COUNTIF(#REF!,Tabela2[[#This Row],[KOD_PRODUKTU]])&gt;0,"ELEMENT","PRODUKT")</f>
        <v>#REF!</v>
      </c>
      <c r="M644" t="e">
        <f>COUNTIF(#REF!,Tabela2[[#This Row],[KOD_PRODUKTU]])</f>
        <v>#REF!</v>
      </c>
    </row>
    <row r="645" spans="1:13" x14ac:dyDescent="0.25">
      <c r="A645" s="1" t="s">
        <v>1237</v>
      </c>
      <c r="B645" t="s">
        <v>1238</v>
      </c>
      <c r="C645" s="1" t="s">
        <v>1188</v>
      </c>
      <c r="D645" s="1" t="s">
        <v>1188</v>
      </c>
      <c r="E645" s="1" t="s">
        <v>1188</v>
      </c>
      <c r="F645" t="s">
        <v>1189</v>
      </c>
      <c r="G645" t="s">
        <v>1190</v>
      </c>
      <c r="H645" t="s">
        <v>5</v>
      </c>
      <c r="I645" t="s">
        <v>1239</v>
      </c>
      <c r="J645">
        <v>25.37</v>
      </c>
      <c r="K645" t="e">
        <f>IF(COUNTIF(#REF!,Tabela2[[#This Row],[IdxWspolny]])&gt;0,"ELEM_lub_PRD","TECHN")</f>
        <v>#REF!</v>
      </c>
      <c r="L645" t="e">
        <f>IF(COUNTIF(#REF!,Tabela2[[#This Row],[KOD_PRODUKTU]])&gt;0,"ELEMENT","PRODUKT")</f>
        <v>#REF!</v>
      </c>
      <c r="M645" t="e">
        <f>COUNTIF(#REF!,Tabela2[[#This Row],[KOD_PRODUKTU]])</f>
        <v>#REF!</v>
      </c>
    </row>
    <row r="646" spans="1:13" x14ac:dyDescent="0.25">
      <c r="A646" s="1" t="s">
        <v>1237</v>
      </c>
      <c r="B646" t="s">
        <v>1238</v>
      </c>
      <c r="C646" s="1" t="s">
        <v>432</v>
      </c>
      <c r="D646" s="1" t="s">
        <v>432</v>
      </c>
      <c r="E646" s="1" t="s">
        <v>432</v>
      </c>
      <c r="F646" t="s">
        <v>433</v>
      </c>
      <c r="G646" t="s">
        <v>434</v>
      </c>
      <c r="H646" t="s">
        <v>435</v>
      </c>
      <c r="I646" t="s">
        <v>1240</v>
      </c>
      <c r="J646">
        <v>12</v>
      </c>
      <c r="K646" t="e">
        <f>IF(COUNTIF(#REF!,Tabela2[[#This Row],[IdxWspolny]])&gt;0,"ELEM_lub_PRD","TECHN")</f>
        <v>#REF!</v>
      </c>
      <c r="L646" t="e">
        <f>IF(COUNTIF(#REF!,Tabela2[[#This Row],[KOD_PRODUKTU]])&gt;0,"ELEMENT","PRODUKT")</f>
        <v>#REF!</v>
      </c>
      <c r="M646" t="e">
        <f>COUNTIF(#REF!,Tabela2[[#This Row],[KOD_PRODUKTU]])</f>
        <v>#REF!</v>
      </c>
    </row>
    <row r="647" spans="1:13" x14ac:dyDescent="0.25">
      <c r="A647" s="1" t="s">
        <v>1237</v>
      </c>
      <c r="B647" t="s">
        <v>1238</v>
      </c>
      <c r="C647" s="1" t="s">
        <v>7</v>
      </c>
      <c r="D647" s="1" t="s">
        <v>7</v>
      </c>
      <c r="E647" s="1" t="s">
        <v>7</v>
      </c>
      <c r="F647" t="s">
        <v>8</v>
      </c>
      <c r="G647" t="s">
        <v>9</v>
      </c>
      <c r="H647" t="s">
        <v>10</v>
      </c>
      <c r="I647" t="s">
        <v>1241</v>
      </c>
      <c r="J647">
        <v>42.36</v>
      </c>
      <c r="K647" t="e">
        <f>IF(COUNTIF(#REF!,Tabela2[[#This Row],[IdxWspolny]])&gt;0,"ELEM_lub_PRD","TECHN")</f>
        <v>#REF!</v>
      </c>
      <c r="L647" t="e">
        <f>IF(COUNTIF(#REF!,Tabela2[[#This Row],[KOD_PRODUKTU]])&gt;0,"ELEMENT","PRODUKT")</f>
        <v>#REF!</v>
      </c>
      <c r="M647" t="e">
        <f>COUNTIF(#REF!,Tabela2[[#This Row],[KOD_PRODUKTU]])</f>
        <v>#REF!</v>
      </c>
    </row>
    <row r="648" spans="1:13" x14ac:dyDescent="0.25">
      <c r="A648" s="1" t="s">
        <v>1242</v>
      </c>
      <c r="B648" t="s">
        <v>1243</v>
      </c>
      <c r="C648" s="1" t="s">
        <v>1244</v>
      </c>
      <c r="D648" s="1" t="s">
        <v>1244</v>
      </c>
      <c r="E648" s="1" t="s">
        <v>1244</v>
      </c>
      <c r="F648" t="s">
        <v>1245</v>
      </c>
      <c r="G648" t="s">
        <v>117</v>
      </c>
      <c r="H648" t="s">
        <v>49</v>
      </c>
      <c r="I648" t="s">
        <v>50</v>
      </c>
      <c r="J648">
        <v>20</v>
      </c>
      <c r="K648" t="e">
        <f>IF(COUNTIF(#REF!,Tabela2[[#This Row],[IdxWspolny]])&gt;0,"ELEM_lub_PRD","TECHN")</f>
        <v>#REF!</v>
      </c>
      <c r="L648" t="e">
        <f>IF(COUNTIF(#REF!,Tabela2[[#This Row],[KOD_PRODUKTU]])&gt;0,"ELEMENT","PRODUKT")</f>
        <v>#REF!</v>
      </c>
      <c r="M648" t="e">
        <f>COUNTIF(#REF!,Tabela2[[#This Row],[KOD_PRODUKTU]])</f>
        <v>#REF!</v>
      </c>
    </row>
    <row r="649" spans="1:13" x14ac:dyDescent="0.25">
      <c r="A649" s="1" t="s">
        <v>1242</v>
      </c>
      <c r="B649" t="s">
        <v>1243</v>
      </c>
      <c r="C649" s="1" t="s">
        <v>7</v>
      </c>
      <c r="D649" s="1" t="s">
        <v>7</v>
      </c>
      <c r="E649" s="1" t="s">
        <v>7</v>
      </c>
      <c r="F649" t="s">
        <v>8</v>
      </c>
      <c r="G649" t="s">
        <v>9</v>
      </c>
      <c r="H649" t="s">
        <v>10</v>
      </c>
      <c r="I649" t="s">
        <v>1246</v>
      </c>
      <c r="J649">
        <v>8</v>
      </c>
      <c r="K649" t="e">
        <f>IF(COUNTIF(#REF!,Tabela2[[#This Row],[IdxWspolny]])&gt;0,"ELEM_lub_PRD","TECHN")</f>
        <v>#REF!</v>
      </c>
      <c r="L649" t="e">
        <f>IF(COUNTIF(#REF!,Tabela2[[#This Row],[KOD_PRODUKTU]])&gt;0,"ELEMENT","PRODUKT")</f>
        <v>#REF!</v>
      </c>
      <c r="M649" t="e">
        <f>COUNTIF(#REF!,Tabela2[[#This Row],[KOD_PRODUKTU]])</f>
        <v>#REF!</v>
      </c>
    </row>
    <row r="650" spans="1:13" x14ac:dyDescent="0.25">
      <c r="A650" s="1" t="s">
        <v>1247</v>
      </c>
      <c r="B650" t="s">
        <v>1248</v>
      </c>
      <c r="C650" s="1" t="s">
        <v>1249</v>
      </c>
      <c r="D650" s="1" t="s">
        <v>1249</v>
      </c>
      <c r="E650" s="1" t="s">
        <v>1249</v>
      </c>
      <c r="F650" t="s">
        <v>1250</v>
      </c>
      <c r="G650" t="s">
        <v>1251</v>
      </c>
      <c r="H650" t="s">
        <v>1252</v>
      </c>
      <c r="I650" t="s">
        <v>1253</v>
      </c>
      <c r="J650">
        <v>12</v>
      </c>
      <c r="K650" t="e">
        <f>IF(COUNTIF(#REF!,Tabela2[[#This Row],[IdxWspolny]])&gt;0,"ELEM_lub_PRD","TECHN")</f>
        <v>#REF!</v>
      </c>
      <c r="L650" t="e">
        <f>IF(COUNTIF(#REF!,Tabela2[[#This Row],[KOD_PRODUKTU]])&gt;0,"ELEMENT","PRODUKT")</f>
        <v>#REF!</v>
      </c>
      <c r="M650" t="e">
        <f>COUNTIF(#REF!,Tabela2[[#This Row],[KOD_PRODUKTU]])</f>
        <v>#REF!</v>
      </c>
    </row>
    <row r="651" spans="1:13" x14ac:dyDescent="0.25">
      <c r="A651" s="1" t="s">
        <v>1247</v>
      </c>
      <c r="B651" t="s">
        <v>1248</v>
      </c>
      <c r="C651" s="1" t="s">
        <v>7</v>
      </c>
      <c r="D651" s="1" t="s">
        <v>7</v>
      </c>
      <c r="E651" s="1" t="s">
        <v>7</v>
      </c>
      <c r="F651" t="s">
        <v>8</v>
      </c>
      <c r="G651" t="s">
        <v>9</v>
      </c>
      <c r="H651" t="s">
        <v>10</v>
      </c>
      <c r="I651" t="s">
        <v>1254</v>
      </c>
      <c r="J651">
        <v>16.100000000000001</v>
      </c>
      <c r="K651" t="e">
        <f>IF(COUNTIF(#REF!,Tabela2[[#This Row],[IdxWspolny]])&gt;0,"ELEM_lub_PRD","TECHN")</f>
        <v>#REF!</v>
      </c>
      <c r="L651" t="e">
        <f>IF(COUNTIF(#REF!,Tabela2[[#This Row],[KOD_PRODUKTU]])&gt;0,"ELEMENT","PRODUKT")</f>
        <v>#REF!</v>
      </c>
      <c r="M651" t="e">
        <f>COUNTIF(#REF!,Tabela2[[#This Row],[KOD_PRODUKTU]])</f>
        <v>#REF!</v>
      </c>
    </row>
    <row r="652" spans="1:13" x14ac:dyDescent="0.25">
      <c r="A652" s="1" t="s">
        <v>1247</v>
      </c>
      <c r="B652" t="s">
        <v>1248</v>
      </c>
      <c r="C652" s="1" t="s">
        <v>7</v>
      </c>
      <c r="D652" s="1" t="s">
        <v>7</v>
      </c>
      <c r="E652" s="1" t="s">
        <v>7</v>
      </c>
      <c r="F652" t="s">
        <v>8</v>
      </c>
      <c r="G652" t="s">
        <v>9</v>
      </c>
      <c r="H652" t="s">
        <v>10</v>
      </c>
      <c r="I652" t="s">
        <v>601</v>
      </c>
      <c r="J652">
        <v>6.9</v>
      </c>
      <c r="K652" t="e">
        <f>IF(COUNTIF(#REF!,Tabela2[[#This Row],[IdxWspolny]])&gt;0,"ELEM_lub_PRD","TECHN")</f>
        <v>#REF!</v>
      </c>
      <c r="L652" t="e">
        <f>IF(COUNTIF(#REF!,Tabela2[[#This Row],[KOD_PRODUKTU]])&gt;0,"ELEMENT","PRODUKT")</f>
        <v>#REF!</v>
      </c>
      <c r="M652" t="e">
        <f>COUNTIF(#REF!,Tabela2[[#This Row],[KOD_PRODUKTU]])</f>
        <v>#REF!</v>
      </c>
    </row>
    <row r="653" spans="1:13" x14ac:dyDescent="0.25">
      <c r="A653" s="1" t="s">
        <v>1255</v>
      </c>
      <c r="B653" t="s">
        <v>1256</v>
      </c>
      <c r="C653" s="1" t="s">
        <v>1249</v>
      </c>
      <c r="D653" s="1" t="s">
        <v>1249</v>
      </c>
      <c r="E653" s="1" t="s">
        <v>1249</v>
      </c>
      <c r="F653" t="s">
        <v>1250</v>
      </c>
      <c r="G653" t="s">
        <v>1251</v>
      </c>
      <c r="H653" t="s">
        <v>1252</v>
      </c>
      <c r="I653" t="s">
        <v>1253</v>
      </c>
      <c r="J653">
        <v>12</v>
      </c>
      <c r="K653" t="e">
        <f>IF(COUNTIF(#REF!,Tabela2[[#This Row],[IdxWspolny]])&gt;0,"ELEM_lub_PRD","TECHN")</f>
        <v>#REF!</v>
      </c>
      <c r="L653" t="e">
        <f>IF(COUNTIF(#REF!,Tabela2[[#This Row],[KOD_PRODUKTU]])&gt;0,"ELEMENT","PRODUKT")</f>
        <v>#REF!</v>
      </c>
      <c r="M653" t="e">
        <f>COUNTIF(#REF!,Tabela2[[#This Row],[KOD_PRODUKTU]])</f>
        <v>#REF!</v>
      </c>
    </row>
    <row r="654" spans="1:13" x14ac:dyDescent="0.25">
      <c r="A654" s="1" t="s">
        <v>1255</v>
      </c>
      <c r="B654" t="s">
        <v>1256</v>
      </c>
      <c r="C654" s="1" t="s">
        <v>7</v>
      </c>
      <c r="D654" s="1" t="s">
        <v>7</v>
      </c>
      <c r="E654" s="1" t="s">
        <v>7</v>
      </c>
      <c r="F654" t="s">
        <v>8</v>
      </c>
      <c r="G654" t="s">
        <v>9</v>
      </c>
      <c r="H654" t="s">
        <v>10</v>
      </c>
      <c r="I654" t="s">
        <v>1254</v>
      </c>
      <c r="J654">
        <v>16.100000000000001</v>
      </c>
      <c r="K654" t="e">
        <f>IF(COUNTIF(#REF!,Tabela2[[#This Row],[IdxWspolny]])&gt;0,"ELEM_lub_PRD","TECHN")</f>
        <v>#REF!</v>
      </c>
      <c r="L654" t="e">
        <f>IF(COUNTIF(#REF!,Tabela2[[#This Row],[KOD_PRODUKTU]])&gt;0,"ELEMENT","PRODUKT")</f>
        <v>#REF!</v>
      </c>
      <c r="M654" t="e">
        <f>COUNTIF(#REF!,Tabela2[[#This Row],[KOD_PRODUKTU]])</f>
        <v>#REF!</v>
      </c>
    </row>
    <row r="655" spans="1:13" x14ac:dyDescent="0.25">
      <c r="A655" s="1" t="s">
        <v>1255</v>
      </c>
      <c r="B655" t="s">
        <v>1256</v>
      </c>
      <c r="C655" s="1" t="s">
        <v>7</v>
      </c>
      <c r="D655" s="1" t="s">
        <v>7</v>
      </c>
      <c r="E655" s="1" t="s">
        <v>7</v>
      </c>
      <c r="F655" t="s">
        <v>8</v>
      </c>
      <c r="G655" t="s">
        <v>9</v>
      </c>
      <c r="H655" t="s">
        <v>10</v>
      </c>
      <c r="I655" t="s">
        <v>601</v>
      </c>
      <c r="J655">
        <v>6.9</v>
      </c>
      <c r="K655" t="e">
        <f>IF(COUNTIF(#REF!,Tabela2[[#This Row],[IdxWspolny]])&gt;0,"ELEM_lub_PRD","TECHN")</f>
        <v>#REF!</v>
      </c>
      <c r="L655" t="e">
        <f>IF(COUNTIF(#REF!,Tabela2[[#This Row],[KOD_PRODUKTU]])&gt;0,"ELEMENT","PRODUKT")</f>
        <v>#REF!</v>
      </c>
      <c r="M655" t="e">
        <f>COUNTIF(#REF!,Tabela2[[#This Row],[KOD_PRODUKTU]])</f>
        <v>#REF!</v>
      </c>
    </row>
    <row r="656" spans="1:13" hidden="1" x14ac:dyDescent="0.25">
      <c r="A656" s="1" t="s">
        <v>1257</v>
      </c>
      <c r="B656" t="s">
        <v>1258</v>
      </c>
      <c r="C656" s="1" t="s">
        <v>1259</v>
      </c>
      <c r="D656" s="1" t="s">
        <v>1259</v>
      </c>
      <c r="E656" s="1" t="s">
        <v>1259</v>
      </c>
      <c r="F656" t="s">
        <v>1260</v>
      </c>
      <c r="G656" t="s">
        <v>1261</v>
      </c>
      <c r="H656" t="s">
        <v>121</v>
      </c>
      <c r="I656" t="s">
        <v>50</v>
      </c>
      <c r="J656">
        <v>168.88</v>
      </c>
      <c r="K656" t="e">
        <f>IF(COUNTIF(#REF!,Tabela2[[#This Row],[IdxWspolny]])&gt;0,"ELEM_lub_PRD","TECHN")</f>
        <v>#REF!</v>
      </c>
      <c r="L656" t="e">
        <f>IF(COUNTIF(#REF!,Tabela2[[#This Row],[KOD_PRODUKTU]])&gt;0,"ELEMENT","PRODUKT")</f>
        <v>#REF!</v>
      </c>
      <c r="M656" t="e">
        <f>COUNTIF(#REF!,Tabela2[[#This Row],[KOD_PRODUKTU]])</f>
        <v>#REF!</v>
      </c>
    </row>
    <row r="657" spans="1:13" x14ac:dyDescent="0.25">
      <c r="A657" s="1" t="s">
        <v>1257</v>
      </c>
      <c r="B657" t="s">
        <v>1258</v>
      </c>
      <c r="C657" s="1" t="s">
        <v>41</v>
      </c>
      <c r="D657" s="1" t="s">
        <v>41</v>
      </c>
      <c r="E657" s="1" t="s">
        <v>41</v>
      </c>
      <c r="F657" t="s">
        <v>42</v>
      </c>
      <c r="G657" t="s">
        <v>43</v>
      </c>
      <c r="H657" t="s">
        <v>5</v>
      </c>
      <c r="I657" t="s">
        <v>550</v>
      </c>
      <c r="J657">
        <v>0.02</v>
      </c>
      <c r="K657" t="e">
        <f>IF(COUNTIF(#REF!,Tabela2[[#This Row],[IdxWspolny]])&gt;0,"ELEM_lub_PRD","TECHN")</f>
        <v>#REF!</v>
      </c>
      <c r="L657" t="e">
        <f>IF(COUNTIF(#REF!,Tabela2[[#This Row],[KOD_PRODUKTU]])&gt;0,"ELEMENT","PRODUKT")</f>
        <v>#REF!</v>
      </c>
      <c r="M657" t="e">
        <f>COUNTIF(#REF!,Tabela2[[#This Row],[KOD_PRODUKTU]])</f>
        <v>#REF!</v>
      </c>
    </row>
    <row r="658" spans="1:13" x14ac:dyDescent="0.25">
      <c r="A658" s="1" t="s">
        <v>1257</v>
      </c>
      <c r="B658" t="s">
        <v>1258</v>
      </c>
      <c r="C658" s="1" t="s">
        <v>7</v>
      </c>
      <c r="D658" s="1" t="s">
        <v>7</v>
      </c>
      <c r="E658" s="1" t="s">
        <v>7</v>
      </c>
      <c r="F658" t="s">
        <v>8</v>
      </c>
      <c r="G658" t="s">
        <v>9</v>
      </c>
      <c r="H658" t="s">
        <v>10</v>
      </c>
      <c r="I658" t="s">
        <v>1262</v>
      </c>
      <c r="J658">
        <v>11.1</v>
      </c>
      <c r="K658" t="e">
        <f>IF(COUNTIF(#REF!,Tabela2[[#This Row],[IdxWspolny]])&gt;0,"ELEM_lub_PRD","TECHN")</f>
        <v>#REF!</v>
      </c>
      <c r="L658" t="e">
        <f>IF(COUNTIF(#REF!,Tabela2[[#This Row],[KOD_PRODUKTU]])&gt;0,"ELEMENT","PRODUKT")</f>
        <v>#REF!</v>
      </c>
      <c r="M658" t="e">
        <f>COUNTIF(#REF!,Tabela2[[#This Row],[KOD_PRODUKTU]])</f>
        <v>#REF!</v>
      </c>
    </row>
    <row r="659" spans="1:13" x14ac:dyDescent="0.25">
      <c r="A659" s="1" t="s">
        <v>1263</v>
      </c>
      <c r="B659" t="s">
        <v>1264</v>
      </c>
      <c r="C659" s="1" t="s">
        <v>1249</v>
      </c>
      <c r="D659" s="1" t="s">
        <v>1249</v>
      </c>
      <c r="E659" s="1" t="s">
        <v>1249</v>
      </c>
      <c r="F659" t="s">
        <v>1250</v>
      </c>
      <c r="G659" t="s">
        <v>1251</v>
      </c>
      <c r="H659" t="s">
        <v>1252</v>
      </c>
      <c r="I659" t="s">
        <v>1265</v>
      </c>
      <c r="J659">
        <v>12.72</v>
      </c>
      <c r="K659" t="e">
        <f>IF(COUNTIF(#REF!,Tabela2[[#This Row],[IdxWspolny]])&gt;0,"ELEM_lub_PRD","TECHN")</f>
        <v>#REF!</v>
      </c>
      <c r="L659" t="e">
        <f>IF(COUNTIF(#REF!,Tabela2[[#This Row],[KOD_PRODUKTU]])&gt;0,"ELEMENT","PRODUKT")</f>
        <v>#REF!</v>
      </c>
      <c r="M659" t="e">
        <f>COUNTIF(#REF!,Tabela2[[#This Row],[KOD_PRODUKTU]])</f>
        <v>#REF!</v>
      </c>
    </row>
    <row r="660" spans="1:13" x14ac:dyDescent="0.25">
      <c r="A660" s="1" t="s">
        <v>1263</v>
      </c>
      <c r="B660" t="s">
        <v>1264</v>
      </c>
      <c r="C660" s="1" t="s">
        <v>7</v>
      </c>
      <c r="D660" s="1" t="s">
        <v>7</v>
      </c>
      <c r="E660" s="1" t="s">
        <v>7</v>
      </c>
      <c r="F660" t="s">
        <v>8</v>
      </c>
      <c r="G660" t="s">
        <v>9</v>
      </c>
      <c r="H660" t="s">
        <v>10</v>
      </c>
      <c r="I660" t="s">
        <v>1254</v>
      </c>
      <c r="J660">
        <v>16.100000000000001</v>
      </c>
      <c r="K660" t="e">
        <f>IF(COUNTIF(#REF!,Tabela2[[#This Row],[IdxWspolny]])&gt;0,"ELEM_lub_PRD","TECHN")</f>
        <v>#REF!</v>
      </c>
      <c r="L660" t="e">
        <f>IF(COUNTIF(#REF!,Tabela2[[#This Row],[KOD_PRODUKTU]])&gt;0,"ELEMENT","PRODUKT")</f>
        <v>#REF!</v>
      </c>
      <c r="M660" t="e">
        <f>COUNTIF(#REF!,Tabela2[[#This Row],[KOD_PRODUKTU]])</f>
        <v>#REF!</v>
      </c>
    </row>
    <row r="661" spans="1:13" x14ac:dyDescent="0.25">
      <c r="A661" s="1" t="s">
        <v>1263</v>
      </c>
      <c r="B661" t="s">
        <v>1264</v>
      </c>
      <c r="C661" s="1" t="s">
        <v>7</v>
      </c>
      <c r="D661" s="1" t="s">
        <v>7</v>
      </c>
      <c r="E661" s="1" t="s">
        <v>7</v>
      </c>
      <c r="F661" t="s">
        <v>8</v>
      </c>
      <c r="G661" t="s">
        <v>9</v>
      </c>
      <c r="H661" t="s">
        <v>10</v>
      </c>
      <c r="I661" t="s">
        <v>601</v>
      </c>
      <c r="J661">
        <v>6.9</v>
      </c>
      <c r="K661" t="e">
        <f>IF(COUNTIF(#REF!,Tabela2[[#This Row],[IdxWspolny]])&gt;0,"ELEM_lub_PRD","TECHN")</f>
        <v>#REF!</v>
      </c>
      <c r="L661" t="e">
        <f>IF(COUNTIF(#REF!,Tabela2[[#This Row],[KOD_PRODUKTU]])&gt;0,"ELEMENT","PRODUKT")</f>
        <v>#REF!</v>
      </c>
      <c r="M661" t="e">
        <f>COUNTIF(#REF!,Tabela2[[#This Row],[KOD_PRODUKTU]])</f>
        <v>#REF!</v>
      </c>
    </row>
    <row r="662" spans="1:13" x14ac:dyDescent="0.25">
      <c r="A662" s="1" t="s">
        <v>1266</v>
      </c>
      <c r="B662" t="s">
        <v>1267</v>
      </c>
      <c r="C662" s="1" t="s">
        <v>1249</v>
      </c>
      <c r="D662" s="1" t="s">
        <v>1249</v>
      </c>
      <c r="E662" s="1" t="s">
        <v>1249</v>
      </c>
      <c r="F662" t="s">
        <v>1250</v>
      </c>
      <c r="G662" t="s">
        <v>1251</v>
      </c>
      <c r="H662" t="s">
        <v>1252</v>
      </c>
      <c r="I662" t="s">
        <v>1253</v>
      </c>
      <c r="J662">
        <v>12</v>
      </c>
      <c r="K662" t="e">
        <f>IF(COUNTIF(#REF!,Tabela2[[#This Row],[IdxWspolny]])&gt;0,"ELEM_lub_PRD","TECHN")</f>
        <v>#REF!</v>
      </c>
      <c r="L662" t="e">
        <f>IF(COUNTIF(#REF!,Tabela2[[#This Row],[KOD_PRODUKTU]])&gt;0,"ELEMENT","PRODUKT")</f>
        <v>#REF!</v>
      </c>
      <c r="M662" t="e">
        <f>COUNTIF(#REF!,Tabela2[[#This Row],[KOD_PRODUKTU]])</f>
        <v>#REF!</v>
      </c>
    </row>
    <row r="663" spans="1:13" x14ac:dyDescent="0.25">
      <c r="A663" s="1" t="s">
        <v>1266</v>
      </c>
      <c r="B663" t="s">
        <v>1267</v>
      </c>
      <c r="C663" s="1" t="s">
        <v>7</v>
      </c>
      <c r="D663" s="1" t="s">
        <v>7</v>
      </c>
      <c r="E663" s="1" t="s">
        <v>7</v>
      </c>
      <c r="F663" t="s">
        <v>8</v>
      </c>
      <c r="G663" t="s">
        <v>9</v>
      </c>
      <c r="H663" t="s">
        <v>10</v>
      </c>
      <c r="I663" t="s">
        <v>1254</v>
      </c>
      <c r="J663">
        <v>16.100000000000001</v>
      </c>
      <c r="K663" t="e">
        <f>IF(COUNTIF(#REF!,Tabela2[[#This Row],[IdxWspolny]])&gt;0,"ELEM_lub_PRD","TECHN")</f>
        <v>#REF!</v>
      </c>
      <c r="L663" t="e">
        <f>IF(COUNTIF(#REF!,Tabela2[[#This Row],[KOD_PRODUKTU]])&gt;0,"ELEMENT","PRODUKT")</f>
        <v>#REF!</v>
      </c>
      <c r="M663" t="e">
        <f>COUNTIF(#REF!,Tabela2[[#This Row],[KOD_PRODUKTU]])</f>
        <v>#REF!</v>
      </c>
    </row>
    <row r="664" spans="1:13" x14ac:dyDescent="0.25">
      <c r="A664" s="1" t="s">
        <v>1266</v>
      </c>
      <c r="B664" t="s">
        <v>1267</v>
      </c>
      <c r="C664" s="1" t="s">
        <v>7</v>
      </c>
      <c r="D664" s="1" t="s">
        <v>7</v>
      </c>
      <c r="E664" s="1" t="s">
        <v>7</v>
      </c>
      <c r="F664" t="s">
        <v>8</v>
      </c>
      <c r="G664" t="s">
        <v>9</v>
      </c>
      <c r="H664" t="s">
        <v>10</v>
      </c>
      <c r="I664" t="s">
        <v>601</v>
      </c>
      <c r="J664">
        <v>6.9</v>
      </c>
      <c r="K664" t="e">
        <f>IF(COUNTIF(#REF!,Tabela2[[#This Row],[IdxWspolny]])&gt;0,"ELEM_lub_PRD","TECHN")</f>
        <v>#REF!</v>
      </c>
      <c r="L664" t="e">
        <f>IF(COUNTIF(#REF!,Tabela2[[#This Row],[KOD_PRODUKTU]])&gt;0,"ELEMENT","PRODUKT")</f>
        <v>#REF!</v>
      </c>
      <c r="M664" t="e">
        <f>COUNTIF(#REF!,Tabela2[[#This Row],[KOD_PRODUKTU]])</f>
        <v>#REF!</v>
      </c>
    </row>
    <row r="665" spans="1:13" x14ac:dyDescent="0.25">
      <c r="A665" s="1" t="s">
        <v>1268</v>
      </c>
      <c r="B665" t="s">
        <v>1269</v>
      </c>
      <c r="C665" s="1" t="s">
        <v>1022</v>
      </c>
      <c r="D665" s="1" t="s">
        <v>1022</v>
      </c>
      <c r="E665" s="1" t="s">
        <v>1022</v>
      </c>
      <c r="F665" t="s">
        <v>1023</v>
      </c>
      <c r="G665" t="s">
        <v>1024</v>
      </c>
      <c r="H665" t="s">
        <v>932</v>
      </c>
      <c r="I665" t="s">
        <v>1270</v>
      </c>
      <c r="J665">
        <v>20.8</v>
      </c>
      <c r="K665" t="e">
        <f>IF(COUNTIF(#REF!,Tabela2[[#This Row],[IdxWspolny]])&gt;0,"ELEM_lub_PRD","TECHN")</f>
        <v>#REF!</v>
      </c>
      <c r="L665" t="e">
        <f>IF(COUNTIF(#REF!,Tabela2[[#This Row],[KOD_PRODUKTU]])&gt;0,"ELEMENT","PRODUKT")</f>
        <v>#REF!</v>
      </c>
      <c r="M665" t="e">
        <f>COUNTIF(#REF!,Tabela2[[#This Row],[KOD_PRODUKTU]])</f>
        <v>#REF!</v>
      </c>
    </row>
    <row r="666" spans="1:13" x14ac:dyDescent="0.25">
      <c r="A666" s="1" t="s">
        <v>1268</v>
      </c>
      <c r="B666" t="s">
        <v>1269</v>
      </c>
      <c r="C666" s="1" t="s">
        <v>7</v>
      </c>
      <c r="D666" s="1" t="s">
        <v>7</v>
      </c>
      <c r="E666" s="1" t="s">
        <v>7</v>
      </c>
      <c r="F666" t="s">
        <v>8</v>
      </c>
      <c r="G666" t="s">
        <v>9</v>
      </c>
      <c r="H666" t="s">
        <v>10</v>
      </c>
      <c r="I666" t="s">
        <v>1271</v>
      </c>
      <c r="J666">
        <v>27.2</v>
      </c>
      <c r="K666" t="e">
        <f>IF(COUNTIF(#REF!,Tabela2[[#This Row],[IdxWspolny]])&gt;0,"ELEM_lub_PRD","TECHN")</f>
        <v>#REF!</v>
      </c>
      <c r="L666" t="e">
        <f>IF(COUNTIF(#REF!,Tabela2[[#This Row],[KOD_PRODUKTU]])&gt;0,"ELEMENT","PRODUKT")</f>
        <v>#REF!</v>
      </c>
      <c r="M666" t="e">
        <f>COUNTIF(#REF!,Tabela2[[#This Row],[KOD_PRODUKTU]])</f>
        <v>#REF!</v>
      </c>
    </row>
    <row r="667" spans="1:13" x14ac:dyDescent="0.25">
      <c r="A667" s="1" t="s">
        <v>1272</v>
      </c>
      <c r="B667" t="s">
        <v>1273</v>
      </c>
      <c r="C667" s="1" t="s">
        <v>1249</v>
      </c>
      <c r="D667" s="1" t="s">
        <v>1249</v>
      </c>
      <c r="E667" s="1" t="s">
        <v>1249</v>
      </c>
      <c r="F667" t="s">
        <v>1250</v>
      </c>
      <c r="G667" t="s">
        <v>1251</v>
      </c>
      <c r="H667" t="s">
        <v>1252</v>
      </c>
      <c r="I667" t="s">
        <v>1274</v>
      </c>
      <c r="J667">
        <v>14.4</v>
      </c>
      <c r="K667" t="e">
        <f>IF(COUNTIF(#REF!,Tabela2[[#This Row],[IdxWspolny]])&gt;0,"ELEM_lub_PRD","TECHN")</f>
        <v>#REF!</v>
      </c>
      <c r="L667" t="e">
        <f>IF(COUNTIF(#REF!,Tabela2[[#This Row],[KOD_PRODUKTU]])&gt;0,"ELEMENT","PRODUKT")</f>
        <v>#REF!</v>
      </c>
      <c r="M667" t="e">
        <f>COUNTIF(#REF!,Tabela2[[#This Row],[KOD_PRODUKTU]])</f>
        <v>#REF!</v>
      </c>
    </row>
    <row r="668" spans="1:13" x14ac:dyDescent="0.25">
      <c r="A668" s="1" t="s">
        <v>1272</v>
      </c>
      <c r="B668" t="s">
        <v>1273</v>
      </c>
      <c r="C668" s="1" t="s">
        <v>7</v>
      </c>
      <c r="D668" s="1" t="s">
        <v>7</v>
      </c>
      <c r="E668" s="1" t="s">
        <v>7</v>
      </c>
      <c r="F668" t="s">
        <v>8</v>
      </c>
      <c r="G668" t="s">
        <v>9</v>
      </c>
      <c r="H668" t="s">
        <v>10</v>
      </c>
      <c r="I668" t="s">
        <v>1275</v>
      </c>
      <c r="J668">
        <v>18.09</v>
      </c>
      <c r="K668" t="e">
        <f>IF(COUNTIF(#REF!,Tabela2[[#This Row],[IdxWspolny]])&gt;0,"ELEM_lub_PRD","TECHN")</f>
        <v>#REF!</v>
      </c>
      <c r="L668" t="e">
        <f>IF(COUNTIF(#REF!,Tabela2[[#This Row],[KOD_PRODUKTU]])&gt;0,"ELEMENT","PRODUKT")</f>
        <v>#REF!</v>
      </c>
      <c r="M668" t="e">
        <f>COUNTIF(#REF!,Tabela2[[#This Row],[KOD_PRODUKTU]])</f>
        <v>#REF!</v>
      </c>
    </row>
    <row r="669" spans="1:13" x14ac:dyDescent="0.25">
      <c r="A669" s="1" t="s">
        <v>1272</v>
      </c>
      <c r="B669" t="s">
        <v>1273</v>
      </c>
      <c r="C669" s="1" t="s">
        <v>7</v>
      </c>
      <c r="D669" s="1" t="s">
        <v>7</v>
      </c>
      <c r="E669" s="1" t="s">
        <v>7</v>
      </c>
      <c r="F669" t="s">
        <v>8</v>
      </c>
      <c r="G669" t="s">
        <v>9</v>
      </c>
      <c r="H669" t="s">
        <v>10</v>
      </c>
      <c r="I669" t="s">
        <v>33</v>
      </c>
      <c r="J669">
        <v>9.1999999999999993</v>
      </c>
      <c r="K669" t="e">
        <f>IF(COUNTIF(#REF!,Tabela2[[#This Row],[IdxWspolny]])&gt;0,"ELEM_lub_PRD","TECHN")</f>
        <v>#REF!</v>
      </c>
      <c r="L669" t="e">
        <f>IF(COUNTIF(#REF!,Tabela2[[#This Row],[KOD_PRODUKTU]])&gt;0,"ELEMENT","PRODUKT")</f>
        <v>#REF!</v>
      </c>
      <c r="M669" t="e">
        <f>COUNTIF(#REF!,Tabela2[[#This Row],[KOD_PRODUKTU]])</f>
        <v>#REF!</v>
      </c>
    </row>
    <row r="670" spans="1:13" x14ac:dyDescent="0.25">
      <c r="A670" s="1" t="s">
        <v>1276</v>
      </c>
      <c r="B670" t="s">
        <v>1277</v>
      </c>
      <c r="C670" s="1" t="s">
        <v>1022</v>
      </c>
      <c r="D670" s="1" t="s">
        <v>1022</v>
      </c>
      <c r="E670" s="1" t="s">
        <v>1022</v>
      </c>
      <c r="F670" t="s">
        <v>1023</v>
      </c>
      <c r="G670" t="s">
        <v>1024</v>
      </c>
      <c r="H670" t="s">
        <v>932</v>
      </c>
      <c r="I670" t="s">
        <v>1278</v>
      </c>
      <c r="J670">
        <v>3.65</v>
      </c>
      <c r="K670" t="e">
        <f>IF(COUNTIF(#REF!,Tabela2[[#This Row],[IdxWspolny]])&gt;0,"ELEM_lub_PRD","TECHN")</f>
        <v>#REF!</v>
      </c>
      <c r="L670" t="e">
        <f>IF(COUNTIF(#REF!,Tabela2[[#This Row],[KOD_PRODUKTU]])&gt;0,"ELEMENT","PRODUKT")</f>
        <v>#REF!</v>
      </c>
      <c r="M670" t="e">
        <f>COUNTIF(#REF!,Tabela2[[#This Row],[KOD_PRODUKTU]])</f>
        <v>#REF!</v>
      </c>
    </row>
    <row r="671" spans="1:13" x14ac:dyDescent="0.25">
      <c r="A671" s="1" t="s">
        <v>1276</v>
      </c>
      <c r="B671" t="s">
        <v>1277</v>
      </c>
      <c r="C671" s="1" t="s">
        <v>7</v>
      </c>
      <c r="D671" s="1" t="s">
        <v>7</v>
      </c>
      <c r="E671" s="1" t="s">
        <v>7</v>
      </c>
      <c r="F671" t="s">
        <v>1031</v>
      </c>
      <c r="G671" t="s">
        <v>9</v>
      </c>
      <c r="H671" t="s">
        <v>10</v>
      </c>
      <c r="I671" t="s">
        <v>1279</v>
      </c>
      <c r="J671">
        <v>16.7</v>
      </c>
      <c r="K671" t="e">
        <f>IF(COUNTIF(#REF!,Tabela2[[#This Row],[IdxWspolny]])&gt;0,"ELEM_lub_PRD","TECHN")</f>
        <v>#REF!</v>
      </c>
      <c r="L671" t="e">
        <f>IF(COUNTIF(#REF!,Tabela2[[#This Row],[KOD_PRODUKTU]])&gt;0,"ELEMENT","PRODUKT")</f>
        <v>#REF!</v>
      </c>
      <c r="M671" t="e">
        <f>COUNTIF(#REF!,Tabela2[[#This Row],[KOD_PRODUKTU]])</f>
        <v>#REF!</v>
      </c>
    </row>
    <row r="672" spans="1:13" x14ac:dyDescent="0.25">
      <c r="A672" s="1" t="s">
        <v>1280</v>
      </c>
      <c r="B672" t="s">
        <v>1281</v>
      </c>
      <c r="C672" s="1" t="s">
        <v>1022</v>
      </c>
      <c r="D672" s="1" t="s">
        <v>1022</v>
      </c>
      <c r="E672" s="1" t="s">
        <v>1022</v>
      </c>
      <c r="F672" t="s">
        <v>1023</v>
      </c>
      <c r="G672" t="s">
        <v>1024</v>
      </c>
      <c r="H672" t="s">
        <v>932</v>
      </c>
      <c r="I672" t="s">
        <v>1282</v>
      </c>
      <c r="J672">
        <v>3.3</v>
      </c>
      <c r="K672" t="e">
        <f>IF(COUNTIF(#REF!,Tabela2[[#This Row],[IdxWspolny]])&gt;0,"ELEM_lub_PRD","TECHN")</f>
        <v>#REF!</v>
      </c>
      <c r="L672" t="e">
        <f>IF(COUNTIF(#REF!,Tabela2[[#This Row],[KOD_PRODUKTU]])&gt;0,"ELEMENT","PRODUKT")</f>
        <v>#REF!</v>
      </c>
      <c r="M672" t="e">
        <f>COUNTIF(#REF!,Tabela2[[#This Row],[KOD_PRODUKTU]])</f>
        <v>#REF!</v>
      </c>
    </row>
    <row r="673" spans="1:13" x14ac:dyDescent="0.25">
      <c r="A673" s="1" t="s">
        <v>1280</v>
      </c>
      <c r="B673" t="s">
        <v>1281</v>
      </c>
      <c r="C673" s="1" t="s">
        <v>7</v>
      </c>
      <c r="D673" s="1" t="s">
        <v>7</v>
      </c>
      <c r="E673" s="1" t="s">
        <v>7</v>
      </c>
      <c r="F673" t="s">
        <v>1031</v>
      </c>
      <c r="G673" t="s">
        <v>9</v>
      </c>
      <c r="H673" t="s">
        <v>10</v>
      </c>
      <c r="I673" t="s">
        <v>1279</v>
      </c>
      <c r="J673">
        <v>16.7</v>
      </c>
      <c r="K673" t="e">
        <f>IF(COUNTIF(#REF!,Tabela2[[#This Row],[IdxWspolny]])&gt;0,"ELEM_lub_PRD","TECHN")</f>
        <v>#REF!</v>
      </c>
      <c r="L673" t="e">
        <f>IF(COUNTIF(#REF!,Tabela2[[#This Row],[KOD_PRODUKTU]])&gt;0,"ELEMENT","PRODUKT")</f>
        <v>#REF!</v>
      </c>
      <c r="M673" t="e">
        <f>COUNTIF(#REF!,Tabela2[[#This Row],[KOD_PRODUKTU]])</f>
        <v>#REF!</v>
      </c>
    </row>
    <row r="674" spans="1:13" x14ac:dyDescent="0.25">
      <c r="A674" s="1" t="s">
        <v>1283</v>
      </c>
      <c r="B674" t="s">
        <v>1284</v>
      </c>
      <c r="C674" s="1" t="s">
        <v>1249</v>
      </c>
      <c r="D674" s="1" t="s">
        <v>1249</v>
      </c>
      <c r="E674" s="1" t="s">
        <v>1249</v>
      </c>
      <c r="F674" t="s">
        <v>1250</v>
      </c>
      <c r="G674" t="s">
        <v>1251</v>
      </c>
      <c r="H674" t="s">
        <v>1252</v>
      </c>
      <c r="I674" t="s">
        <v>1253</v>
      </c>
      <c r="J674">
        <v>12</v>
      </c>
      <c r="K674" t="e">
        <f>IF(COUNTIF(#REF!,Tabela2[[#This Row],[IdxWspolny]])&gt;0,"ELEM_lub_PRD","TECHN")</f>
        <v>#REF!</v>
      </c>
      <c r="L674" t="e">
        <f>IF(COUNTIF(#REF!,Tabela2[[#This Row],[KOD_PRODUKTU]])&gt;0,"ELEMENT","PRODUKT")</f>
        <v>#REF!</v>
      </c>
      <c r="M674" t="e">
        <f>COUNTIF(#REF!,Tabela2[[#This Row],[KOD_PRODUKTU]])</f>
        <v>#REF!</v>
      </c>
    </row>
    <row r="675" spans="1:13" x14ac:dyDescent="0.25">
      <c r="A675" s="1" t="s">
        <v>1283</v>
      </c>
      <c r="B675" t="s">
        <v>1284</v>
      </c>
      <c r="C675" s="1" t="s">
        <v>7</v>
      </c>
      <c r="D675" s="1" t="s">
        <v>7</v>
      </c>
      <c r="E675" s="1" t="s">
        <v>7</v>
      </c>
      <c r="F675" t="s">
        <v>8</v>
      </c>
      <c r="G675" t="s">
        <v>9</v>
      </c>
      <c r="H675" t="s">
        <v>10</v>
      </c>
      <c r="I675" t="s">
        <v>1254</v>
      </c>
      <c r="J675">
        <v>16.100000000000001</v>
      </c>
      <c r="K675" t="e">
        <f>IF(COUNTIF(#REF!,Tabela2[[#This Row],[IdxWspolny]])&gt;0,"ELEM_lub_PRD","TECHN")</f>
        <v>#REF!</v>
      </c>
      <c r="L675" t="e">
        <f>IF(COUNTIF(#REF!,Tabela2[[#This Row],[KOD_PRODUKTU]])&gt;0,"ELEMENT","PRODUKT")</f>
        <v>#REF!</v>
      </c>
      <c r="M675" t="e">
        <f>COUNTIF(#REF!,Tabela2[[#This Row],[KOD_PRODUKTU]])</f>
        <v>#REF!</v>
      </c>
    </row>
    <row r="676" spans="1:13" x14ac:dyDescent="0.25">
      <c r="A676" s="1" t="s">
        <v>1283</v>
      </c>
      <c r="B676" t="s">
        <v>1284</v>
      </c>
      <c r="C676" s="1" t="s">
        <v>7</v>
      </c>
      <c r="D676" s="1" t="s">
        <v>7</v>
      </c>
      <c r="E676" s="1" t="s">
        <v>7</v>
      </c>
      <c r="F676" t="s">
        <v>8</v>
      </c>
      <c r="G676" t="s">
        <v>9</v>
      </c>
      <c r="H676" t="s">
        <v>10</v>
      </c>
      <c r="I676" t="s">
        <v>601</v>
      </c>
      <c r="J676">
        <v>6.9</v>
      </c>
      <c r="K676" t="e">
        <f>IF(COUNTIF(#REF!,Tabela2[[#This Row],[IdxWspolny]])&gt;0,"ELEM_lub_PRD","TECHN")</f>
        <v>#REF!</v>
      </c>
      <c r="L676" t="e">
        <f>IF(COUNTIF(#REF!,Tabela2[[#This Row],[KOD_PRODUKTU]])&gt;0,"ELEMENT","PRODUKT")</f>
        <v>#REF!</v>
      </c>
      <c r="M676" t="e">
        <f>COUNTIF(#REF!,Tabela2[[#This Row],[KOD_PRODUKTU]])</f>
        <v>#REF!</v>
      </c>
    </row>
    <row r="677" spans="1:13" x14ac:dyDescent="0.25">
      <c r="A677" s="1" t="s">
        <v>1285</v>
      </c>
      <c r="B677" t="s">
        <v>1286</v>
      </c>
      <c r="C677" s="1" t="s">
        <v>1249</v>
      </c>
      <c r="D677" s="1" t="s">
        <v>1249</v>
      </c>
      <c r="E677" s="1" t="s">
        <v>1249</v>
      </c>
      <c r="F677" t="s">
        <v>1250</v>
      </c>
      <c r="G677" t="s">
        <v>1251</v>
      </c>
      <c r="H677" t="s">
        <v>1252</v>
      </c>
      <c r="I677" t="s">
        <v>528</v>
      </c>
      <c r="J677">
        <v>16.8</v>
      </c>
      <c r="K677" t="e">
        <f>IF(COUNTIF(#REF!,Tabela2[[#This Row],[IdxWspolny]])&gt;0,"ELEM_lub_PRD","TECHN")</f>
        <v>#REF!</v>
      </c>
      <c r="L677" t="e">
        <f>IF(COUNTIF(#REF!,Tabela2[[#This Row],[KOD_PRODUKTU]])&gt;0,"ELEMENT","PRODUKT")</f>
        <v>#REF!</v>
      </c>
      <c r="M677" t="e">
        <f>COUNTIF(#REF!,Tabela2[[#This Row],[KOD_PRODUKTU]])</f>
        <v>#REF!</v>
      </c>
    </row>
    <row r="678" spans="1:13" x14ac:dyDescent="0.25">
      <c r="A678" s="1" t="s">
        <v>1285</v>
      </c>
      <c r="B678" t="s">
        <v>1286</v>
      </c>
      <c r="C678" s="1" t="s">
        <v>7</v>
      </c>
      <c r="D678" s="1" t="s">
        <v>7</v>
      </c>
      <c r="E678" s="1" t="s">
        <v>7</v>
      </c>
      <c r="F678" t="s">
        <v>8</v>
      </c>
      <c r="G678" t="s">
        <v>9</v>
      </c>
      <c r="H678" t="s">
        <v>10</v>
      </c>
      <c r="I678" t="s">
        <v>607</v>
      </c>
      <c r="J678">
        <v>18.399999999999999</v>
      </c>
      <c r="K678" t="e">
        <f>IF(COUNTIF(#REF!,Tabela2[[#This Row],[IdxWspolny]])&gt;0,"ELEM_lub_PRD","TECHN")</f>
        <v>#REF!</v>
      </c>
      <c r="L678" t="e">
        <f>IF(COUNTIF(#REF!,Tabela2[[#This Row],[KOD_PRODUKTU]])&gt;0,"ELEMENT","PRODUKT")</f>
        <v>#REF!</v>
      </c>
      <c r="M678" t="e">
        <f>COUNTIF(#REF!,Tabela2[[#This Row],[KOD_PRODUKTU]])</f>
        <v>#REF!</v>
      </c>
    </row>
    <row r="679" spans="1:13" x14ac:dyDescent="0.25">
      <c r="A679" s="1" t="s">
        <v>1285</v>
      </c>
      <c r="B679" t="s">
        <v>1286</v>
      </c>
      <c r="C679" s="1" t="s">
        <v>7</v>
      </c>
      <c r="D679" s="1" t="s">
        <v>7</v>
      </c>
      <c r="E679" s="1" t="s">
        <v>7</v>
      </c>
      <c r="F679" t="s">
        <v>8</v>
      </c>
      <c r="G679" t="s">
        <v>9</v>
      </c>
      <c r="H679" t="s">
        <v>10</v>
      </c>
      <c r="I679" t="s">
        <v>33</v>
      </c>
      <c r="J679">
        <v>9.1999999999999993</v>
      </c>
      <c r="K679" t="e">
        <f>IF(COUNTIF(#REF!,Tabela2[[#This Row],[IdxWspolny]])&gt;0,"ELEM_lub_PRD","TECHN")</f>
        <v>#REF!</v>
      </c>
      <c r="L679" t="e">
        <f>IF(COUNTIF(#REF!,Tabela2[[#This Row],[KOD_PRODUKTU]])&gt;0,"ELEMENT","PRODUKT")</f>
        <v>#REF!</v>
      </c>
      <c r="M679" t="e">
        <f>COUNTIF(#REF!,Tabela2[[#This Row],[KOD_PRODUKTU]])</f>
        <v>#REF!</v>
      </c>
    </row>
    <row r="680" spans="1:13" x14ac:dyDescent="0.25">
      <c r="A680" s="1" t="s">
        <v>1287</v>
      </c>
      <c r="B680" t="s">
        <v>1288</v>
      </c>
      <c r="C680" s="1" t="s">
        <v>1022</v>
      </c>
      <c r="D680" s="1" t="s">
        <v>1022</v>
      </c>
      <c r="E680" s="1" t="s">
        <v>1022</v>
      </c>
      <c r="F680" t="s">
        <v>1023</v>
      </c>
      <c r="G680" t="s">
        <v>1024</v>
      </c>
      <c r="H680" t="s">
        <v>932</v>
      </c>
      <c r="I680" t="s">
        <v>1270</v>
      </c>
      <c r="J680">
        <v>20.8</v>
      </c>
      <c r="K680" t="e">
        <f>IF(COUNTIF(#REF!,Tabela2[[#This Row],[IdxWspolny]])&gt;0,"ELEM_lub_PRD","TECHN")</f>
        <v>#REF!</v>
      </c>
      <c r="L680" t="e">
        <f>IF(COUNTIF(#REF!,Tabela2[[#This Row],[KOD_PRODUKTU]])&gt;0,"ELEMENT","PRODUKT")</f>
        <v>#REF!</v>
      </c>
      <c r="M680" t="e">
        <f>COUNTIF(#REF!,Tabela2[[#This Row],[KOD_PRODUKTU]])</f>
        <v>#REF!</v>
      </c>
    </row>
    <row r="681" spans="1:13" x14ac:dyDescent="0.25">
      <c r="A681" s="1" t="s">
        <v>1287</v>
      </c>
      <c r="B681" t="s">
        <v>1288</v>
      </c>
      <c r="C681" s="1" t="s">
        <v>7</v>
      </c>
      <c r="D681" s="1" t="s">
        <v>7</v>
      </c>
      <c r="E681" s="1" t="s">
        <v>7</v>
      </c>
      <c r="F681" t="s">
        <v>8</v>
      </c>
      <c r="G681" t="s">
        <v>9</v>
      </c>
      <c r="H681" t="s">
        <v>10</v>
      </c>
      <c r="I681" t="s">
        <v>1289</v>
      </c>
      <c r="J681">
        <v>27</v>
      </c>
      <c r="K681" t="e">
        <f>IF(COUNTIF(#REF!,Tabela2[[#This Row],[IdxWspolny]])&gt;0,"ELEM_lub_PRD","TECHN")</f>
        <v>#REF!</v>
      </c>
      <c r="L681" t="e">
        <f>IF(COUNTIF(#REF!,Tabela2[[#This Row],[KOD_PRODUKTU]])&gt;0,"ELEMENT","PRODUKT")</f>
        <v>#REF!</v>
      </c>
      <c r="M681" t="e">
        <f>COUNTIF(#REF!,Tabela2[[#This Row],[KOD_PRODUKTU]])</f>
        <v>#REF!</v>
      </c>
    </row>
    <row r="682" spans="1:13" x14ac:dyDescent="0.25">
      <c r="A682" s="1" t="s">
        <v>1290</v>
      </c>
      <c r="B682" t="s">
        <v>1291</v>
      </c>
      <c r="C682" s="1" t="s">
        <v>1022</v>
      </c>
      <c r="D682" s="1" t="s">
        <v>1022</v>
      </c>
      <c r="E682" s="1" t="s">
        <v>1022</v>
      </c>
      <c r="F682" t="s">
        <v>1023</v>
      </c>
      <c r="G682" t="s">
        <v>1024</v>
      </c>
      <c r="H682" t="s">
        <v>932</v>
      </c>
      <c r="I682" t="s">
        <v>1292</v>
      </c>
      <c r="J682">
        <v>24.25</v>
      </c>
      <c r="K682" t="e">
        <f>IF(COUNTIF(#REF!,Tabela2[[#This Row],[IdxWspolny]])&gt;0,"ELEM_lub_PRD","TECHN")</f>
        <v>#REF!</v>
      </c>
      <c r="L682" t="e">
        <f>IF(COUNTIF(#REF!,Tabela2[[#This Row],[KOD_PRODUKTU]])&gt;0,"ELEMENT","PRODUKT")</f>
        <v>#REF!</v>
      </c>
      <c r="M682" t="e">
        <f>COUNTIF(#REF!,Tabela2[[#This Row],[KOD_PRODUKTU]])</f>
        <v>#REF!</v>
      </c>
    </row>
    <row r="683" spans="1:13" x14ac:dyDescent="0.25">
      <c r="A683" s="1" t="s">
        <v>1290</v>
      </c>
      <c r="B683" t="s">
        <v>1291</v>
      </c>
      <c r="C683" s="1" t="s">
        <v>7</v>
      </c>
      <c r="D683" s="1" t="s">
        <v>7</v>
      </c>
      <c r="E683" s="1" t="s">
        <v>7</v>
      </c>
      <c r="F683" t="s">
        <v>8</v>
      </c>
      <c r="G683" t="s">
        <v>9</v>
      </c>
      <c r="H683" t="s">
        <v>10</v>
      </c>
      <c r="I683" t="s">
        <v>1293</v>
      </c>
      <c r="J683">
        <v>46.25</v>
      </c>
      <c r="K683" t="e">
        <f>IF(COUNTIF(#REF!,Tabela2[[#This Row],[IdxWspolny]])&gt;0,"ELEM_lub_PRD","TECHN")</f>
        <v>#REF!</v>
      </c>
      <c r="L683" t="e">
        <f>IF(COUNTIF(#REF!,Tabela2[[#This Row],[KOD_PRODUKTU]])&gt;0,"ELEMENT","PRODUKT")</f>
        <v>#REF!</v>
      </c>
      <c r="M683" t="e">
        <f>COUNTIF(#REF!,Tabela2[[#This Row],[KOD_PRODUKTU]])</f>
        <v>#REF!</v>
      </c>
    </row>
    <row r="684" spans="1:13" x14ac:dyDescent="0.25">
      <c r="A684" s="1" t="s">
        <v>1294</v>
      </c>
      <c r="B684" t="s">
        <v>1295</v>
      </c>
      <c r="C684" s="1" t="s">
        <v>1296</v>
      </c>
      <c r="D684" s="1" t="s">
        <v>1296</v>
      </c>
      <c r="E684" s="1" t="s">
        <v>1296</v>
      </c>
      <c r="F684" t="s">
        <v>1297</v>
      </c>
      <c r="G684" t="s">
        <v>1017</v>
      </c>
      <c r="H684" t="s">
        <v>5</v>
      </c>
      <c r="I684" t="s">
        <v>1209</v>
      </c>
      <c r="J684">
        <v>0.25</v>
      </c>
      <c r="K684" t="e">
        <f>IF(COUNTIF(#REF!,Tabela2[[#This Row],[IdxWspolny]])&gt;0,"ELEM_lub_PRD","TECHN")</f>
        <v>#REF!</v>
      </c>
      <c r="L684" t="e">
        <f>IF(COUNTIF(#REF!,Tabela2[[#This Row],[KOD_PRODUKTU]])&gt;0,"ELEMENT","PRODUKT")</f>
        <v>#REF!</v>
      </c>
      <c r="M684" t="e">
        <f>COUNTIF(#REF!,Tabela2[[#This Row],[KOD_PRODUKTU]])</f>
        <v>#REF!</v>
      </c>
    </row>
    <row r="685" spans="1:13" x14ac:dyDescent="0.25">
      <c r="A685" s="1" t="s">
        <v>1294</v>
      </c>
      <c r="B685" t="s">
        <v>1295</v>
      </c>
      <c r="C685" s="1" t="s">
        <v>7</v>
      </c>
      <c r="D685" s="1" t="s">
        <v>7</v>
      </c>
      <c r="E685" s="1" t="s">
        <v>7</v>
      </c>
      <c r="F685" t="s">
        <v>8</v>
      </c>
      <c r="G685" t="s">
        <v>9</v>
      </c>
      <c r="H685" t="s">
        <v>10</v>
      </c>
      <c r="I685" t="s">
        <v>594</v>
      </c>
      <c r="J685">
        <v>11.5</v>
      </c>
      <c r="K685" t="e">
        <f>IF(COUNTIF(#REF!,Tabela2[[#This Row],[IdxWspolny]])&gt;0,"ELEM_lub_PRD","TECHN")</f>
        <v>#REF!</v>
      </c>
      <c r="L685" t="e">
        <f>IF(COUNTIF(#REF!,Tabela2[[#This Row],[KOD_PRODUKTU]])&gt;0,"ELEMENT","PRODUKT")</f>
        <v>#REF!</v>
      </c>
      <c r="M685" t="e">
        <f>COUNTIF(#REF!,Tabela2[[#This Row],[KOD_PRODUKTU]])</f>
        <v>#REF!</v>
      </c>
    </row>
    <row r="686" spans="1:13" x14ac:dyDescent="0.25">
      <c r="A686" s="1" t="s">
        <v>1298</v>
      </c>
      <c r="B686" t="s">
        <v>1299</v>
      </c>
      <c r="C686" s="1" t="s">
        <v>1022</v>
      </c>
      <c r="D686" s="1" t="s">
        <v>1022</v>
      </c>
      <c r="E686" s="1" t="s">
        <v>1022</v>
      </c>
      <c r="F686" t="s">
        <v>1023</v>
      </c>
      <c r="G686" t="s">
        <v>1024</v>
      </c>
      <c r="H686" t="s">
        <v>932</v>
      </c>
      <c r="I686" t="s">
        <v>1300</v>
      </c>
      <c r="J686">
        <v>69.5</v>
      </c>
      <c r="K686" t="e">
        <f>IF(COUNTIF(#REF!,Tabela2[[#This Row],[IdxWspolny]])&gt;0,"ELEM_lub_PRD","TECHN")</f>
        <v>#REF!</v>
      </c>
      <c r="L686" t="e">
        <f>IF(COUNTIF(#REF!,Tabela2[[#This Row],[KOD_PRODUKTU]])&gt;0,"ELEMENT","PRODUKT")</f>
        <v>#REF!</v>
      </c>
      <c r="M686" t="e">
        <f>COUNTIF(#REF!,Tabela2[[#This Row],[KOD_PRODUKTU]])</f>
        <v>#REF!</v>
      </c>
    </row>
    <row r="687" spans="1:13" x14ac:dyDescent="0.25">
      <c r="A687" s="1" t="s">
        <v>1298</v>
      </c>
      <c r="B687" t="s">
        <v>1299</v>
      </c>
      <c r="C687" s="1" t="s">
        <v>7</v>
      </c>
      <c r="D687" s="1" t="s">
        <v>7</v>
      </c>
      <c r="E687" s="1" t="s">
        <v>7</v>
      </c>
      <c r="F687" t="s">
        <v>8</v>
      </c>
      <c r="G687" t="s">
        <v>9</v>
      </c>
      <c r="H687" t="s">
        <v>10</v>
      </c>
      <c r="I687" t="s">
        <v>1301</v>
      </c>
      <c r="J687">
        <v>60.5</v>
      </c>
      <c r="K687" t="e">
        <f>IF(COUNTIF(#REF!,Tabela2[[#This Row],[IdxWspolny]])&gt;0,"ELEM_lub_PRD","TECHN")</f>
        <v>#REF!</v>
      </c>
      <c r="L687" t="e">
        <f>IF(COUNTIF(#REF!,Tabela2[[#This Row],[KOD_PRODUKTU]])&gt;0,"ELEMENT","PRODUKT")</f>
        <v>#REF!</v>
      </c>
      <c r="M687" t="e">
        <f>COUNTIF(#REF!,Tabela2[[#This Row],[KOD_PRODUKTU]])</f>
        <v>#REF!</v>
      </c>
    </row>
    <row r="688" spans="1:13" x14ac:dyDescent="0.25">
      <c r="A688" s="1" t="s">
        <v>1302</v>
      </c>
      <c r="B688" t="s">
        <v>1303</v>
      </c>
      <c r="C688" s="1" t="s">
        <v>1022</v>
      </c>
      <c r="D688" s="1" t="s">
        <v>1022</v>
      </c>
      <c r="E688" s="1" t="s">
        <v>1022</v>
      </c>
      <c r="F688" t="s">
        <v>1023</v>
      </c>
      <c r="G688" t="s">
        <v>1024</v>
      </c>
      <c r="H688" t="s">
        <v>932</v>
      </c>
      <c r="I688" t="s">
        <v>122</v>
      </c>
      <c r="J688">
        <v>55.6</v>
      </c>
      <c r="K688" t="e">
        <f>IF(COUNTIF(#REF!,Tabela2[[#This Row],[IdxWspolny]])&gt;0,"ELEM_lub_PRD","TECHN")</f>
        <v>#REF!</v>
      </c>
      <c r="L688" t="e">
        <f>IF(COUNTIF(#REF!,Tabela2[[#This Row],[KOD_PRODUKTU]])&gt;0,"ELEMENT","PRODUKT")</f>
        <v>#REF!</v>
      </c>
      <c r="M688" t="e">
        <f>COUNTIF(#REF!,Tabela2[[#This Row],[KOD_PRODUKTU]])</f>
        <v>#REF!</v>
      </c>
    </row>
    <row r="689" spans="1:13" x14ac:dyDescent="0.25">
      <c r="A689" s="1" t="s">
        <v>1302</v>
      </c>
      <c r="B689" t="s">
        <v>1303</v>
      </c>
      <c r="C689" s="1" t="s">
        <v>7</v>
      </c>
      <c r="D689" s="1" t="s">
        <v>7</v>
      </c>
      <c r="E689" s="1" t="s">
        <v>7</v>
      </c>
      <c r="F689" t="s">
        <v>8</v>
      </c>
      <c r="G689" t="s">
        <v>9</v>
      </c>
      <c r="H689" t="s">
        <v>10</v>
      </c>
      <c r="I689" t="s">
        <v>1304</v>
      </c>
      <c r="J689">
        <v>38.200000000000003</v>
      </c>
      <c r="K689" t="e">
        <f>IF(COUNTIF(#REF!,Tabela2[[#This Row],[IdxWspolny]])&gt;0,"ELEM_lub_PRD","TECHN")</f>
        <v>#REF!</v>
      </c>
      <c r="L689" t="e">
        <f>IF(COUNTIF(#REF!,Tabela2[[#This Row],[KOD_PRODUKTU]])&gt;0,"ELEMENT","PRODUKT")</f>
        <v>#REF!</v>
      </c>
      <c r="M689" t="e">
        <f>COUNTIF(#REF!,Tabela2[[#This Row],[KOD_PRODUKTU]])</f>
        <v>#REF!</v>
      </c>
    </row>
    <row r="690" spans="1:13" x14ac:dyDescent="0.25">
      <c r="A690" s="1" t="s">
        <v>1305</v>
      </c>
      <c r="B690" t="s">
        <v>1306</v>
      </c>
      <c r="C690" s="1" t="s">
        <v>1022</v>
      </c>
      <c r="D690" s="1" t="s">
        <v>1022</v>
      </c>
      <c r="E690" s="1" t="s">
        <v>1022</v>
      </c>
      <c r="F690" t="s">
        <v>1023</v>
      </c>
      <c r="G690" t="s">
        <v>1024</v>
      </c>
      <c r="H690" t="s">
        <v>932</v>
      </c>
      <c r="I690" t="s">
        <v>122</v>
      </c>
      <c r="J690">
        <v>55.6</v>
      </c>
      <c r="K690" t="e">
        <f>IF(COUNTIF(#REF!,Tabela2[[#This Row],[IdxWspolny]])&gt;0,"ELEM_lub_PRD","TECHN")</f>
        <v>#REF!</v>
      </c>
      <c r="L690" t="e">
        <f>IF(COUNTIF(#REF!,Tabela2[[#This Row],[KOD_PRODUKTU]])&gt;0,"ELEMENT","PRODUKT")</f>
        <v>#REF!</v>
      </c>
      <c r="M690" t="e">
        <f>COUNTIF(#REF!,Tabela2[[#This Row],[KOD_PRODUKTU]])</f>
        <v>#REF!</v>
      </c>
    </row>
    <row r="691" spans="1:13" x14ac:dyDescent="0.25">
      <c r="A691" s="1" t="s">
        <v>1305</v>
      </c>
      <c r="B691" t="s">
        <v>1306</v>
      </c>
      <c r="C691" s="1" t="s">
        <v>7</v>
      </c>
      <c r="D691" s="1" t="s">
        <v>7</v>
      </c>
      <c r="E691" s="1" t="s">
        <v>7</v>
      </c>
      <c r="F691" t="s">
        <v>8</v>
      </c>
      <c r="G691" t="s">
        <v>9</v>
      </c>
      <c r="H691" t="s">
        <v>10</v>
      </c>
      <c r="I691" t="s">
        <v>1307</v>
      </c>
      <c r="J691">
        <v>41.9</v>
      </c>
      <c r="K691" t="e">
        <f>IF(COUNTIF(#REF!,Tabela2[[#This Row],[IdxWspolny]])&gt;0,"ELEM_lub_PRD","TECHN")</f>
        <v>#REF!</v>
      </c>
      <c r="L691" t="e">
        <f>IF(COUNTIF(#REF!,Tabela2[[#This Row],[KOD_PRODUKTU]])&gt;0,"ELEMENT","PRODUKT")</f>
        <v>#REF!</v>
      </c>
      <c r="M691" t="e">
        <f>COUNTIF(#REF!,Tabela2[[#This Row],[KOD_PRODUKTU]])</f>
        <v>#REF!</v>
      </c>
    </row>
    <row r="692" spans="1:13" x14ac:dyDescent="0.25">
      <c r="A692" s="1" t="s">
        <v>1259</v>
      </c>
      <c r="B692" t="s">
        <v>1308</v>
      </c>
      <c r="C692" s="1" t="s">
        <v>1022</v>
      </c>
      <c r="D692" s="1" t="s">
        <v>1022</v>
      </c>
      <c r="E692" s="1" t="s">
        <v>1022</v>
      </c>
      <c r="F692" t="s">
        <v>1023</v>
      </c>
      <c r="G692" t="s">
        <v>1024</v>
      </c>
      <c r="H692" t="s">
        <v>932</v>
      </c>
      <c r="I692" t="s">
        <v>92</v>
      </c>
      <c r="J692">
        <v>27.8</v>
      </c>
      <c r="K692" t="e">
        <f>IF(COUNTIF(#REF!,Tabela2[[#This Row],[IdxWspolny]])&gt;0,"ELEM_lub_PRD","TECHN")</f>
        <v>#REF!</v>
      </c>
      <c r="L692" t="e">
        <f>IF(COUNTIF(#REF!,Tabela2[[#This Row],[KOD_PRODUKTU]])&gt;0,"ELEMENT","PRODUKT")</f>
        <v>#REF!</v>
      </c>
      <c r="M692" t="e">
        <f>COUNTIF(#REF!,Tabela2[[#This Row],[KOD_PRODUKTU]])</f>
        <v>#REF!</v>
      </c>
    </row>
    <row r="693" spans="1:13" x14ac:dyDescent="0.25">
      <c r="A693" s="1" t="s">
        <v>1259</v>
      </c>
      <c r="B693" t="s">
        <v>1308</v>
      </c>
      <c r="C693" s="1" t="s">
        <v>7</v>
      </c>
      <c r="D693" s="1" t="s">
        <v>7</v>
      </c>
      <c r="E693" s="1" t="s">
        <v>7</v>
      </c>
      <c r="F693" t="s">
        <v>8</v>
      </c>
      <c r="G693" t="s">
        <v>9</v>
      </c>
      <c r="H693" t="s">
        <v>10</v>
      </c>
      <c r="I693" t="s">
        <v>1309</v>
      </c>
      <c r="J693">
        <v>53.4</v>
      </c>
      <c r="K693" t="e">
        <f>IF(COUNTIF(#REF!,Tabela2[[#This Row],[IdxWspolny]])&gt;0,"ELEM_lub_PRD","TECHN")</f>
        <v>#REF!</v>
      </c>
      <c r="L693" t="e">
        <f>IF(COUNTIF(#REF!,Tabela2[[#This Row],[KOD_PRODUKTU]])&gt;0,"ELEMENT","PRODUKT")</f>
        <v>#REF!</v>
      </c>
      <c r="M693" t="e">
        <f>COUNTIF(#REF!,Tabela2[[#This Row],[KOD_PRODUKTU]])</f>
        <v>#REF!</v>
      </c>
    </row>
    <row r="694" spans="1:13" x14ac:dyDescent="0.25">
      <c r="A694" s="1" t="s">
        <v>1310</v>
      </c>
      <c r="B694" t="s">
        <v>1311</v>
      </c>
      <c r="C694" s="1" t="s">
        <v>1249</v>
      </c>
      <c r="D694" s="1" t="s">
        <v>1249</v>
      </c>
      <c r="E694" s="1" t="s">
        <v>1249</v>
      </c>
      <c r="F694" t="s">
        <v>1250</v>
      </c>
      <c r="G694" t="s">
        <v>1251</v>
      </c>
      <c r="H694" t="s">
        <v>1252</v>
      </c>
      <c r="I694" t="s">
        <v>1312</v>
      </c>
      <c r="J694">
        <v>12.6</v>
      </c>
      <c r="K694" t="e">
        <f>IF(COUNTIF(#REF!,Tabela2[[#This Row],[IdxWspolny]])&gt;0,"ELEM_lub_PRD","TECHN")</f>
        <v>#REF!</v>
      </c>
      <c r="L694" t="e">
        <f>IF(COUNTIF(#REF!,Tabela2[[#This Row],[KOD_PRODUKTU]])&gt;0,"ELEMENT","PRODUKT")</f>
        <v>#REF!</v>
      </c>
      <c r="M694" t="e">
        <f>COUNTIF(#REF!,Tabela2[[#This Row],[KOD_PRODUKTU]])</f>
        <v>#REF!</v>
      </c>
    </row>
    <row r="695" spans="1:13" x14ac:dyDescent="0.25">
      <c r="A695" s="1" t="s">
        <v>1310</v>
      </c>
      <c r="B695" t="s">
        <v>1311</v>
      </c>
      <c r="C695" s="1" t="s">
        <v>7</v>
      </c>
      <c r="D695" s="1" t="s">
        <v>7</v>
      </c>
      <c r="E695" s="1" t="s">
        <v>7</v>
      </c>
      <c r="F695" t="s">
        <v>8</v>
      </c>
      <c r="G695" t="s">
        <v>9</v>
      </c>
      <c r="H695" t="s">
        <v>10</v>
      </c>
      <c r="I695" t="s">
        <v>1313</v>
      </c>
      <c r="J695">
        <v>16.05</v>
      </c>
      <c r="K695" t="e">
        <f>IF(COUNTIF(#REF!,Tabela2[[#This Row],[IdxWspolny]])&gt;0,"ELEM_lub_PRD","TECHN")</f>
        <v>#REF!</v>
      </c>
      <c r="L695" t="e">
        <f>IF(COUNTIF(#REF!,Tabela2[[#This Row],[KOD_PRODUKTU]])&gt;0,"ELEMENT","PRODUKT")</f>
        <v>#REF!</v>
      </c>
      <c r="M695" t="e">
        <f>COUNTIF(#REF!,Tabela2[[#This Row],[KOD_PRODUKTU]])</f>
        <v>#REF!</v>
      </c>
    </row>
    <row r="696" spans="1:13" x14ac:dyDescent="0.25">
      <c r="A696" s="1" t="s">
        <v>1310</v>
      </c>
      <c r="B696" t="s">
        <v>1311</v>
      </c>
      <c r="C696" s="1" t="s">
        <v>7</v>
      </c>
      <c r="D696" s="1" t="s">
        <v>7</v>
      </c>
      <c r="E696" s="1" t="s">
        <v>7</v>
      </c>
      <c r="F696" t="s">
        <v>8</v>
      </c>
      <c r="G696" t="s">
        <v>9</v>
      </c>
      <c r="H696" t="s">
        <v>10</v>
      </c>
      <c r="I696" t="s">
        <v>1314</v>
      </c>
      <c r="J696">
        <v>6.95</v>
      </c>
      <c r="K696" t="e">
        <f>IF(COUNTIF(#REF!,Tabela2[[#This Row],[IdxWspolny]])&gt;0,"ELEM_lub_PRD","TECHN")</f>
        <v>#REF!</v>
      </c>
      <c r="L696" t="e">
        <f>IF(COUNTIF(#REF!,Tabela2[[#This Row],[KOD_PRODUKTU]])&gt;0,"ELEMENT","PRODUKT")</f>
        <v>#REF!</v>
      </c>
      <c r="M696" t="e">
        <f>COUNTIF(#REF!,Tabela2[[#This Row],[KOD_PRODUKTU]])</f>
        <v>#REF!</v>
      </c>
    </row>
    <row r="697" spans="1:13" x14ac:dyDescent="0.25">
      <c r="A697" s="1" t="s">
        <v>1315</v>
      </c>
      <c r="B697" t="s">
        <v>1316</v>
      </c>
      <c r="C697" s="1" t="s">
        <v>1249</v>
      </c>
      <c r="D697" s="1" t="s">
        <v>1249</v>
      </c>
      <c r="E697" s="1" t="s">
        <v>1249</v>
      </c>
      <c r="F697" t="s">
        <v>1250</v>
      </c>
      <c r="G697" t="s">
        <v>1251</v>
      </c>
      <c r="H697" t="s">
        <v>1252</v>
      </c>
      <c r="I697" t="s">
        <v>1253</v>
      </c>
      <c r="J697">
        <v>12</v>
      </c>
      <c r="K697" t="e">
        <f>IF(COUNTIF(#REF!,Tabela2[[#This Row],[IdxWspolny]])&gt;0,"ELEM_lub_PRD","TECHN")</f>
        <v>#REF!</v>
      </c>
      <c r="L697" t="e">
        <f>IF(COUNTIF(#REF!,Tabela2[[#This Row],[KOD_PRODUKTU]])&gt;0,"ELEMENT","PRODUKT")</f>
        <v>#REF!</v>
      </c>
      <c r="M697" t="e">
        <f>COUNTIF(#REF!,Tabela2[[#This Row],[KOD_PRODUKTU]])</f>
        <v>#REF!</v>
      </c>
    </row>
    <row r="698" spans="1:13" x14ac:dyDescent="0.25">
      <c r="A698" s="1" t="s">
        <v>1315</v>
      </c>
      <c r="B698" t="s">
        <v>1316</v>
      </c>
      <c r="C698" s="1" t="s">
        <v>7</v>
      </c>
      <c r="D698" s="1" t="s">
        <v>7</v>
      </c>
      <c r="E698" s="1" t="s">
        <v>7</v>
      </c>
      <c r="F698" t="s">
        <v>8</v>
      </c>
      <c r="G698" t="s">
        <v>9</v>
      </c>
      <c r="H698" t="s">
        <v>10</v>
      </c>
      <c r="I698" t="s">
        <v>601</v>
      </c>
      <c r="J698">
        <v>6.9</v>
      </c>
      <c r="K698" t="e">
        <f>IF(COUNTIF(#REF!,Tabela2[[#This Row],[IdxWspolny]])&gt;0,"ELEM_lub_PRD","TECHN")</f>
        <v>#REF!</v>
      </c>
      <c r="L698" t="e">
        <f>IF(COUNTIF(#REF!,Tabela2[[#This Row],[KOD_PRODUKTU]])&gt;0,"ELEMENT","PRODUKT")</f>
        <v>#REF!</v>
      </c>
      <c r="M698" t="e">
        <f>COUNTIF(#REF!,Tabela2[[#This Row],[KOD_PRODUKTU]])</f>
        <v>#REF!</v>
      </c>
    </row>
    <row r="699" spans="1:13" x14ac:dyDescent="0.25">
      <c r="A699" s="1" t="s">
        <v>1315</v>
      </c>
      <c r="B699" t="s">
        <v>1316</v>
      </c>
      <c r="C699" s="1" t="s">
        <v>7</v>
      </c>
      <c r="D699" s="1" t="s">
        <v>7</v>
      </c>
      <c r="E699" s="1" t="s">
        <v>7</v>
      </c>
      <c r="F699" t="s">
        <v>8</v>
      </c>
      <c r="G699" t="s">
        <v>9</v>
      </c>
      <c r="H699" t="s">
        <v>10</v>
      </c>
      <c r="I699" t="s">
        <v>1254</v>
      </c>
      <c r="J699">
        <v>16.100000000000001</v>
      </c>
      <c r="K699" t="e">
        <f>IF(COUNTIF(#REF!,Tabela2[[#This Row],[IdxWspolny]])&gt;0,"ELEM_lub_PRD","TECHN")</f>
        <v>#REF!</v>
      </c>
      <c r="L699" t="e">
        <f>IF(COUNTIF(#REF!,Tabela2[[#This Row],[KOD_PRODUKTU]])&gt;0,"ELEMENT","PRODUKT")</f>
        <v>#REF!</v>
      </c>
      <c r="M699" t="e">
        <f>COUNTIF(#REF!,Tabela2[[#This Row],[KOD_PRODUKTU]])</f>
        <v>#REF!</v>
      </c>
    </row>
    <row r="700" spans="1:13" x14ac:dyDescent="0.25">
      <c r="A700" s="1" t="s">
        <v>1317</v>
      </c>
      <c r="B700" t="s">
        <v>1318</v>
      </c>
      <c r="C700" s="1" t="s">
        <v>1249</v>
      </c>
      <c r="D700" s="1" t="s">
        <v>1249</v>
      </c>
      <c r="E700" s="1" t="s">
        <v>1249</v>
      </c>
      <c r="F700" t="s">
        <v>1250</v>
      </c>
      <c r="G700" t="s">
        <v>1251</v>
      </c>
      <c r="H700" t="s">
        <v>1252</v>
      </c>
      <c r="I700" t="s">
        <v>1319</v>
      </c>
      <c r="J700">
        <v>33</v>
      </c>
      <c r="K700" t="e">
        <f>IF(COUNTIF(#REF!,Tabela2[[#This Row],[IdxWspolny]])&gt;0,"ELEM_lub_PRD","TECHN")</f>
        <v>#REF!</v>
      </c>
      <c r="L700" t="e">
        <f>IF(COUNTIF(#REF!,Tabela2[[#This Row],[KOD_PRODUKTU]])&gt;0,"ELEMENT","PRODUKT")</f>
        <v>#REF!</v>
      </c>
      <c r="M700" t="e">
        <f>COUNTIF(#REF!,Tabela2[[#This Row],[KOD_PRODUKTU]])</f>
        <v>#REF!</v>
      </c>
    </row>
    <row r="701" spans="1:13" x14ac:dyDescent="0.25">
      <c r="A701" s="1" t="s">
        <v>1317</v>
      </c>
      <c r="B701" t="s">
        <v>1318</v>
      </c>
      <c r="C701" s="1" t="s">
        <v>7</v>
      </c>
      <c r="D701" s="1" t="s">
        <v>7</v>
      </c>
      <c r="E701" s="1" t="s">
        <v>7</v>
      </c>
      <c r="F701" t="s">
        <v>8</v>
      </c>
      <c r="G701" t="s">
        <v>9</v>
      </c>
      <c r="H701" t="s">
        <v>10</v>
      </c>
      <c r="I701" t="s">
        <v>1320</v>
      </c>
      <c r="J701">
        <v>53.79</v>
      </c>
      <c r="K701" t="e">
        <f>IF(COUNTIF(#REF!,Tabela2[[#This Row],[IdxWspolny]])&gt;0,"ELEM_lub_PRD","TECHN")</f>
        <v>#REF!</v>
      </c>
      <c r="L701" t="e">
        <f>IF(COUNTIF(#REF!,Tabela2[[#This Row],[KOD_PRODUKTU]])&gt;0,"ELEMENT","PRODUKT")</f>
        <v>#REF!</v>
      </c>
      <c r="M701" t="e">
        <f>COUNTIF(#REF!,Tabela2[[#This Row],[KOD_PRODUKTU]])</f>
        <v>#REF!</v>
      </c>
    </row>
    <row r="702" spans="1:13" x14ac:dyDescent="0.25">
      <c r="A702" s="1" t="s">
        <v>1321</v>
      </c>
      <c r="B702" t="s">
        <v>1322</v>
      </c>
      <c r="C702" s="1" t="s">
        <v>1249</v>
      </c>
      <c r="D702" s="1" t="s">
        <v>1249</v>
      </c>
      <c r="E702" s="1" t="s">
        <v>1249</v>
      </c>
      <c r="F702" t="s">
        <v>1250</v>
      </c>
      <c r="G702" t="s">
        <v>1251</v>
      </c>
      <c r="H702" t="s">
        <v>1252</v>
      </c>
      <c r="I702" t="s">
        <v>1323</v>
      </c>
      <c r="J702">
        <v>34.799999999999997</v>
      </c>
      <c r="K702" t="e">
        <f>IF(COUNTIF(#REF!,Tabela2[[#This Row],[IdxWspolny]])&gt;0,"ELEM_lub_PRD","TECHN")</f>
        <v>#REF!</v>
      </c>
      <c r="L702" t="e">
        <f>IF(COUNTIF(#REF!,Tabela2[[#This Row],[KOD_PRODUKTU]])&gt;0,"ELEMENT","PRODUKT")</f>
        <v>#REF!</v>
      </c>
      <c r="M702" t="e">
        <f>COUNTIF(#REF!,Tabela2[[#This Row],[KOD_PRODUKTU]])</f>
        <v>#REF!</v>
      </c>
    </row>
    <row r="703" spans="1:13" x14ac:dyDescent="0.25">
      <c r="A703" s="1" t="s">
        <v>1321</v>
      </c>
      <c r="B703" t="s">
        <v>1322</v>
      </c>
      <c r="C703" s="1" t="s">
        <v>7</v>
      </c>
      <c r="D703" s="1" t="s">
        <v>7</v>
      </c>
      <c r="E703" s="1" t="s">
        <v>7</v>
      </c>
      <c r="F703" t="s">
        <v>1031</v>
      </c>
      <c r="G703" t="s">
        <v>9</v>
      </c>
      <c r="H703" t="s">
        <v>10</v>
      </c>
      <c r="I703" t="s">
        <v>1324</v>
      </c>
      <c r="J703">
        <v>53.4</v>
      </c>
      <c r="K703" t="e">
        <f>IF(COUNTIF(#REF!,Tabela2[[#This Row],[IdxWspolny]])&gt;0,"ELEM_lub_PRD","TECHN")</f>
        <v>#REF!</v>
      </c>
      <c r="L703" t="e">
        <f>IF(COUNTIF(#REF!,Tabela2[[#This Row],[KOD_PRODUKTU]])&gt;0,"ELEMENT","PRODUKT")</f>
        <v>#REF!</v>
      </c>
      <c r="M703" t="e">
        <f>COUNTIF(#REF!,Tabela2[[#This Row],[KOD_PRODUKTU]])</f>
        <v>#REF!</v>
      </c>
    </row>
    <row r="704" spans="1:13" x14ac:dyDescent="0.25">
      <c r="A704" s="1" t="s">
        <v>1325</v>
      </c>
      <c r="B704" t="s">
        <v>1326</v>
      </c>
      <c r="C704" s="1" t="s">
        <v>1327</v>
      </c>
      <c r="D704" s="1" t="s">
        <v>1327</v>
      </c>
      <c r="E704" s="1" t="s">
        <v>1327</v>
      </c>
      <c r="F704" t="s">
        <v>1328</v>
      </c>
      <c r="G704" t="s">
        <v>1329</v>
      </c>
      <c r="H704" t="s">
        <v>49</v>
      </c>
      <c r="I704" t="s">
        <v>50</v>
      </c>
      <c r="J704">
        <v>220</v>
      </c>
      <c r="K704" t="e">
        <f>IF(COUNTIF(#REF!,Tabela2[[#This Row],[IdxWspolny]])&gt;0,"ELEM_lub_PRD","TECHN")</f>
        <v>#REF!</v>
      </c>
      <c r="L704" t="e">
        <f>IF(COUNTIF(#REF!,Tabela2[[#This Row],[KOD_PRODUKTU]])&gt;0,"ELEMENT","PRODUKT")</f>
        <v>#REF!</v>
      </c>
      <c r="M704" t="e">
        <f>COUNTIF(#REF!,Tabela2[[#This Row],[KOD_PRODUKTU]])</f>
        <v>#REF!</v>
      </c>
    </row>
    <row r="705" spans="1:13" x14ac:dyDescent="0.25">
      <c r="A705" s="1" t="s">
        <v>1325</v>
      </c>
      <c r="B705" t="s">
        <v>1326</v>
      </c>
      <c r="C705" s="1" t="s">
        <v>7</v>
      </c>
      <c r="D705" s="1" t="s">
        <v>7</v>
      </c>
      <c r="E705" s="1" t="s">
        <v>7</v>
      </c>
      <c r="F705" t="s">
        <v>8</v>
      </c>
      <c r="G705" t="s">
        <v>9</v>
      </c>
      <c r="H705" t="s">
        <v>10</v>
      </c>
      <c r="I705" t="s">
        <v>1330</v>
      </c>
      <c r="J705">
        <v>98.9</v>
      </c>
      <c r="K705" t="e">
        <f>IF(COUNTIF(#REF!,Tabela2[[#This Row],[IdxWspolny]])&gt;0,"ELEM_lub_PRD","TECHN")</f>
        <v>#REF!</v>
      </c>
      <c r="L705" t="e">
        <f>IF(COUNTIF(#REF!,Tabela2[[#This Row],[KOD_PRODUKTU]])&gt;0,"ELEMENT","PRODUKT")</f>
        <v>#REF!</v>
      </c>
      <c r="M705" t="e">
        <f>COUNTIF(#REF!,Tabela2[[#This Row],[KOD_PRODUKTU]])</f>
        <v>#REF!</v>
      </c>
    </row>
    <row r="706" spans="1:13" x14ac:dyDescent="0.25">
      <c r="A706" s="1" t="s">
        <v>1331</v>
      </c>
      <c r="B706" t="s">
        <v>1332</v>
      </c>
      <c r="C706" s="1" t="s">
        <v>1327</v>
      </c>
      <c r="D706" s="1" t="s">
        <v>1327</v>
      </c>
      <c r="E706" s="1" t="s">
        <v>1327</v>
      </c>
      <c r="F706" t="s">
        <v>1328</v>
      </c>
      <c r="G706" t="s">
        <v>1329</v>
      </c>
      <c r="H706" t="s">
        <v>49</v>
      </c>
      <c r="I706" t="s">
        <v>50</v>
      </c>
      <c r="J706">
        <v>220</v>
      </c>
      <c r="K706" t="e">
        <f>IF(COUNTIF(#REF!,Tabela2[[#This Row],[IdxWspolny]])&gt;0,"ELEM_lub_PRD","TECHN")</f>
        <v>#REF!</v>
      </c>
      <c r="L706" t="e">
        <f>IF(COUNTIF(#REF!,Tabela2[[#This Row],[KOD_PRODUKTU]])&gt;0,"ELEMENT","PRODUKT")</f>
        <v>#REF!</v>
      </c>
      <c r="M706" t="e">
        <f>COUNTIF(#REF!,Tabela2[[#This Row],[KOD_PRODUKTU]])</f>
        <v>#REF!</v>
      </c>
    </row>
    <row r="707" spans="1:13" x14ac:dyDescent="0.25">
      <c r="A707" s="1" t="s">
        <v>1331</v>
      </c>
      <c r="B707" t="s">
        <v>1332</v>
      </c>
      <c r="C707" s="1" t="s">
        <v>541</v>
      </c>
      <c r="D707" s="1" t="s">
        <v>541</v>
      </c>
      <c r="E707" s="1" t="s">
        <v>541</v>
      </c>
      <c r="F707" t="s">
        <v>542</v>
      </c>
      <c r="G707" t="s">
        <v>9</v>
      </c>
      <c r="H707" t="s">
        <v>10</v>
      </c>
      <c r="I707" t="s">
        <v>1330</v>
      </c>
      <c r="J707">
        <v>98.9</v>
      </c>
      <c r="K707" t="e">
        <f>IF(COUNTIF(#REF!,Tabela2[[#This Row],[IdxWspolny]])&gt;0,"ELEM_lub_PRD","TECHN")</f>
        <v>#REF!</v>
      </c>
      <c r="L707" t="e">
        <f>IF(COUNTIF(#REF!,Tabela2[[#This Row],[KOD_PRODUKTU]])&gt;0,"ELEMENT","PRODUKT")</f>
        <v>#REF!</v>
      </c>
      <c r="M707" t="e">
        <f>COUNTIF(#REF!,Tabela2[[#This Row],[KOD_PRODUKTU]])</f>
        <v>#REF!</v>
      </c>
    </row>
    <row r="708" spans="1:13" x14ac:dyDescent="0.25">
      <c r="A708" s="1" t="s">
        <v>1333</v>
      </c>
      <c r="B708" t="s">
        <v>1334</v>
      </c>
      <c r="C708" s="1" t="s">
        <v>1335</v>
      </c>
      <c r="D708" s="1" t="s">
        <v>1335</v>
      </c>
      <c r="E708" s="1" t="s">
        <v>1335</v>
      </c>
      <c r="F708" t="s">
        <v>1336</v>
      </c>
      <c r="G708" t="s">
        <v>1337</v>
      </c>
      <c r="H708" t="s">
        <v>49</v>
      </c>
      <c r="I708" t="s">
        <v>50</v>
      </c>
      <c r="J708">
        <v>90</v>
      </c>
      <c r="K708" t="e">
        <f>IF(COUNTIF(#REF!,Tabela2[[#This Row],[IdxWspolny]])&gt;0,"ELEM_lub_PRD","TECHN")</f>
        <v>#REF!</v>
      </c>
      <c r="L708" t="e">
        <f>IF(COUNTIF(#REF!,Tabela2[[#This Row],[KOD_PRODUKTU]])&gt;0,"ELEMENT","PRODUKT")</f>
        <v>#REF!</v>
      </c>
      <c r="M708" t="e">
        <f>COUNTIF(#REF!,Tabela2[[#This Row],[KOD_PRODUKTU]])</f>
        <v>#REF!</v>
      </c>
    </row>
    <row r="709" spans="1:13" x14ac:dyDescent="0.25">
      <c r="A709" s="1" t="s">
        <v>1333</v>
      </c>
      <c r="B709" t="s">
        <v>1334</v>
      </c>
      <c r="C709" s="1" t="s">
        <v>541</v>
      </c>
      <c r="D709" s="1" t="s">
        <v>541</v>
      </c>
      <c r="E709" s="1" t="s">
        <v>541</v>
      </c>
      <c r="F709" t="s">
        <v>542</v>
      </c>
      <c r="G709" t="s">
        <v>811</v>
      </c>
      <c r="H709" t="s">
        <v>10</v>
      </c>
      <c r="I709" t="s">
        <v>1338</v>
      </c>
      <c r="J709">
        <v>191.25</v>
      </c>
      <c r="K709" t="e">
        <f>IF(COUNTIF(#REF!,Tabela2[[#This Row],[IdxWspolny]])&gt;0,"ELEM_lub_PRD","TECHN")</f>
        <v>#REF!</v>
      </c>
      <c r="L709" t="e">
        <f>IF(COUNTIF(#REF!,Tabela2[[#This Row],[KOD_PRODUKTU]])&gt;0,"ELEMENT","PRODUKT")</f>
        <v>#REF!</v>
      </c>
      <c r="M709" t="e">
        <f>COUNTIF(#REF!,Tabela2[[#This Row],[KOD_PRODUKTU]])</f>
        <v>#REF!</v>
      </c>
    </row>
    <row r="710" spans="1:13" x14ac:dyDescent="0.25">
      <c r="A710" s="1" t="s">
        <v>1339</v>
      </c>
      <c r="B710" t="s">
        <v>1340</v>
      </c>
      <c r="C710" s="1" t="s">
        <v>1335</v>
      </c>
      <c r="D710" s="1" t="s">
        <v>1335</v>
      </c>
      <c r="E710" s="1" t="s">
        <v>1335</v>
      </c>
      <c r="F710" t="s">
        <v>1336</v>
      </c>
      <c r="G710" t="s">
        <v>1337</v>
      </c>
      <c r="H710" t="s">
        <v>49</v>
      </c>
      <c r="I710" t="s">
        <v>50</v>
      </c>
      <c r="J710">
        <v>90</v>
      </c>
      <c r="K710" t="e">
        <f>IF(COUNTIF(#REF!,Tabela2[[#This Row],[IdxWspolny]])&gt;0,"ELEM_lub_PRD","TECHN")</f>
        <v>#REF!</v>
      </c>
      <c r="L710" t="e">
        <f>IF(COUNTIF(#REF!,Tabela2[[#This Row],[KOD_PRODUKTU]])&gt;0,"ELEMENT","PRODUKT")</f>
        <v>#REF!</v>
      </c>
      <c r="M710" t="e">
        <f>COUNTIF(#REF!,Tabela2[[#This Row],[KOD_PRODUKTU]])</f>
        <v>#REF!</v>
      </c>
    </row>
    <row r="711" spans="1:13" x14ac:dyDescent="0.25">
      <c r="A711" s="1" t="s">
        <v>1339</v>
      </c>
      <c r="B711" t="s">
        <v>1340</v>
      </c>
      <c r="C711" s="1" t="s">
        <v>541</v>
      </c>
      <c r="D711" s="1" t="s">
        <v>541</v>
      </c>
      <c r="E711" s="1" t="s">
        <v>541</v>
      </c>
      <c r="F711" t="s">
        <v>542</v>
      </c>
      <c r="G711" t="s">
        <v>9</v>
      </c>
      <c r="H711" t="s">
        <v>10</v>
      </c>
      <c r="I711" t="s">
        <v>1338</v>
      </c>
      <c r="J711">
        <v>69</v>
      </c>
      <c r="K711" t="e">
        <f>IF(COUNTIF(#REF!,Tabela2[[#This Row],[IdxWspolny]])&gt;0,"ELEM_lub_PRD","TECHN")</f>
        <v>#REF!</v>
      </c>
      <c r="L711" t="e">
        <f>IF(COUNTIF(#REF!,Tabela2[[#This Row],[KOD_PRODUKTU]])&gt;0,"ELEMENT","PRODUKT")</f>
        <v>#REF!</v>
      </c>
      <c r="M711" t="e">
        <f>COUNTIF(#REF!,Tabela2[[#This Row],[KOD_PRODUKTU]])</f>
        <v>#REF!</v>
      </c>
    </row>
    <row r="712" spans="1:13" x14ac:dyDescent="0.25">
      <c r="A712" s="1" t="s">
        <v>1341</v>
      </c>
      <c r="B712" t="s">
        <v>1342</v>
      </c>
      <c r="C712" s="1" t="s">
        <v>1335</v>
      </c>
      <c r="D712" s="1" t="s">
        <v>1335</v>
      </c>
      <c r="E712" s="1" t="s">
        <v>1335</v>
      </c>
      <c r="F712" t="s">
        <v>1336</v>
      </c>
      <c r="G712" t="s">
        <v>1337</v>
      </c>
      <c r="H712" t="s">
        <v>49</v>
      </c>
      <c r="I712" t="s">
        <v>50</v>
      </c>
      <c r="J712">
        <v>90</v>
      </c>
      <c r="K712" t="e">
        <f>IF(COUNTIF(#REF!,Tabela2[[#This Row],[IdxWspolny]])&gt;0,"ELEM_lub_PRD","TECHN")</f>
        <v>#REF!</v>
      </c>
      <c r="L712" t="e">
        <f>IF(COUNTIF(#REF!,Tabela2[[#This Row],[KOD_PRODUKTU]])&gt;0,"ELEMENT","PRODUKT")</f>
        <v>#REF!</v>
      </c>
      <c r="M712" t="e">
        <f>COUNTIF(#REF!,Tabela2[[#This Row],[KOD_PRODUKTU]])</f>
        <v>#REF!</v>
      </c>
    </row>
    <row r="713" spans="1:13" x14ac:dyDescent="0.25">
      <c r="A713" s="1" t="s">
        <v>1341</v>
      </c>
      <c r="B713" t="s">
        <v>1342</v>
      </c>
      <c r="C713" s="1" t="s">
        <v>541</v>
      </c>
      <c r="D713" s="1" t="s">
        <v>541</v>
      </c>
      <c r="E713" s="1" t="s">
        <v>541</v>
      </c>
      <c r="F713" t="s">
        <v>542</v>
      </c>
      <c r="G713" t="s">
        <v>9</v>
      </c>
      <c r="H713" t="s">
        <v>10</v>
      </c>
      <c r="I713" t="s">
        <v>1338</v>
      </c>
      <c r="J713">
        <v>69</v>
      </c>
      <c r="K713" t="e">
        <f>IF(COUNTIF(#REF!,Tabela2[[#This Row],[IdxWspolny]])&gt;0,"ELEM_lub_PRD","TECHN")</f>
        <v>#REF!</v>
      </c>
      <c r="L713" t="e">
        <f>IF(COUNTIF(#REF!,Tabela2[[#This Row],[KOD_PRODUKTU]])&gt;0,"ELEMENT","PRODUKT")</f>
        <v>#REF!</v>
      </c>
      <c r="M713" t="e">
        <f>COUNTIF(#REF!,Tabela2[[#This Row],[KOD_PRODUKTU]])</f>
        <v>#REF!</v>
      </c>
    </row>
    <row r="714" spans="1:13" x14ac:dyDescent="0.25">
      <c r="A714" s="1" t="s">
        <v>1343</v>
      </c>
      <c r="B714" t="s">
        <v>1344</v>
      </c>
      <c r="C714" s="1" t="s">
        <v>1345</v>
      </c>
      <c r="D714" s="1" t="s">
        <v>1345</v>
      </c>
      <c r="E714" s="1" t="s">
        <v>1345</v>
      </c>
      <c r="F714" t="s">
        <v>1346</v>
      </c>
      <c r="G714" t="s">
        <v>1347</v>
      </c>
      <c r="H714" t="s">
        <v>5</v>
      </c>
      <c r="I714" t="s">
        <v>1348</v>
      </c>
      <c r="J714">
        <v>0.15</v>
      </c>
      <c r="K714" t="e">
        <f>IF(COUNTIF(#REF!,Tabela2[[#This Row],[IdxWspolny]])&gt;0,"ELEM_lub_PRD","TECHN")</f>
        <v>#REF!</v>
      </c>
      <c r="L714" t="e">
        <f>IF(COUNTIF(#REF!,Tabela2[[#This Row],[KOD_PRODUKTU]])&gt;0,"ELEMENT","PRODUKT")</f>
        <v>#REF!</v>
      </c>
      <c r="M714" t="e">
        <f>COUNTIF(#REF!,Tabela2[[#This Row],[KOD_PRODUKTU]])</f>
        <v>#REF!</v>
      </c>
    </row>
    <row r="715" spans="1:13" x14ac:dyDescent="0.25">
      <c r="A715" s="1" t="s">
        <v>1343</v>
      </c>
      <c r="B715" t="s">
        <v>1344</v>
      </c>
      <c r="C715" s="1" t="s">
        <v>7</v>
      </c>
      <c r="D715" s="1" t="s">
        <v>7</v>
      </c>
      <c r="E715" s="1" t="s">
        <v>7</v>
      </c>
      <c r="F715" t="s">
        <v>8</v>
      </c>
      <c r="G715" t="s">
        <v>9</v>
      </c>
      <c r="H715" t="s">
        <v>10</v>
      </c>
      <c r="I715" t="s">
        <v>1349</v>
      </c>
      <c r="J715">
        <v>3.45</v>
      </c>
      <c r="K715" t="e">
        <f>IF(COUNTIF(#REF!,Tabela2[[#This Row],[IdxWspolny]])&gt;0,"ELEM_lub_PRD","TECHN")</f>
        <v>#REF!</v>
      </c>
      <c r="L715" t="e">
        <f>IF(COUNTIF(#REF!,Tabela2[[#This Row],[KOD_PRODUKTU]])&gt;0,"ELEMENT","PRODUKT")</f>
        <v>#REF!</v>
      </c>
      <c r="M715" t="e">
        <f>COUNTIF(#REF!,Tabela2[[#This Row],[KOD_PRODUKTU]])</f>
        <v>#REF!</v>
      </c>
    </row>
    <row r="716" spans="1:13" x14ac:dyDescent="0.25">
      <c r="A716" s="1" t="s">
        <v>102</v>
      </c>
      <c r="B716" t="s">
        <v>103</v>
      </c>
      <c r="C716" s="1" t="s">
        <v>1162</v>
      </c>
      <c r="D716" s="1" t="s">
        <v>1162</v>
      </c>
      <c r="E716" s="1" t="s">
        <v>1162</v>
      </c>
      <c r="F716" t="s">
        <v>1163</v>
      </c>
      <c r="G716" t="s">
        <v>1164</v>
      </c>
      <c r="H716" t="s">
        <v>5</v>
      </c>
      <c r="I716" t="s">
        <v>1350</v>
      </c>
      <c r="J716">
        <v>0.6</v>
      </c>
      <c r="K716" t="e">
        <f>IF(COUNTIF(#REF!,Tabela2[[#This Row],[IdxWspolny]])&gt;0,"ELEM_lub_PRD","TECHN")</f>
        <v>#REF!</v>
      </c>
      <c r="L716" t="e">
        <f>IF(COUNTIF(#REF!,Tabela2[[#This Row],[KOD_PRODUKTU]])&gt;0,"ELEMENT","PRODUKT")</f>
        <v>#REF!</v>
      </c>
      <c r="M716" t="e">
        <f>COUNTIF(#REF!,Tabela2[[#This Row],[KOD_PRODUKTU]])</f>
        <v>#REF!</v>
      </c>
    </row>
    <row r="717" spans="1:13" x14ac:dyDescent="0.25">
      <c r="A717" s="1" t="s">
        <v>102</v>
      </c>
      <c r="B717" t="s">
        <v>103</v>
      </c>
      <c r="C717" s="1" t="s">
        <v>7</v>
      </c>
      <c r="D717" s="1" t="s">
        <v>7</v>
      </c>
      <c r="E717" s="1" t="s">
        <v>7</v>
      </c>
      <c r="F717" t="s">
        <v>8</v>
      </c>
      <c r="G717" t="s">
        <v>9</v>
      </c>
      <c r="H717" t="s">
        <v>10</v>
      </c>
      <c r="I717" t="s">
        <v>1351</v>
      </c>
      <c r="J717">
        <v>2.9</v>
      </c>
      <c r="K717" t="e">
        <f>IF(COUNTIF(#REF!,Tabela2[[#This Row],[IdxWspolny]])&gt;0,"ELEM_lub_PRD","TECHN")</f>
        <v>#REF!</v>
      </c>
      <c r="L717" t="e">
        <f>IF(COUNTIF(#REF!,Tabela2[[#This Row],[KOD_PRODUKTU]])&gt;0,"ELEMENT","PRODUKT")</f>
        <v>#REF!</v>
      </c>
      <c r="M717" t="e">
        <f>COUNTIF(#REF!,Tabela2[[#This Row],[KOD_PRODUKTU]])</f>
        <v>#REF!</v>
      </c>
    </row>
    <row r="718" spans="1:13" x14ac:dyDescent="0.25">
      <c r="A718" s="1" t="s">
        <v>265</v>
      </c>
      <c r="B718" t="s">
        <v>266</v>
      </c>
      <c r="C718" s="1" t="s">
        <v>1352</v>
      </c>
      <c r="D718" s="1" t="s">
        <v>1352</v>
      </c>
      <c r="E718" s="1" t="s">
        <v>1352</v>
      </c>
      <c r="F718" t="s">
        <v>1353</v>
      </c>
      <c r="G718" t="s">
        <v>1354</v>
      </c>
      <c r="H718" t="s">
        <v>5</v>
      </c>
      <c r="I718" t="s">
        <v>1355</v>
      </c>
      <c r="J718">
        <v>1.55</v>
      </c>
      <c r="K718" t="e">
        <f>IF(COUNTIF(#REF!,Tabela2[[#This Row],[IdxWspolny]])&gt;0,"ELEM_lub_PRD","TECHN")</f>
        <v>#REF!</v>
      </c>
      <c r="L718" t="e">
        <f>IF(COUNTIF(#REF!,Tabela2[[#This Row],[KOD_PRODUKTU]])&gt;0,"ELEMENT","PRODUKT")</f>
        <v>#REF!</v>
      </c>
      <c r="M718" t="e">
        <f>COUNTIF(#REF!,Tabela2[[#This Row],[KOD_PRODUKTU]])</f>
        <v>#REF!</v>
      </c>
    </row>
    <row r="719" spans="1:13" x14ac:dyDescent="0.25">
      <c r="A719" s="1" t="s">
        <v>265</v>
      </c>
      <c r="B719" t="s">
        <v>266</v>
      </c>
      <c r="C719" s="1" t="s">
        <v>7</v>
      </c>
      <c r="D719" s="1" t="s">
        <v>7</v>
      </c>
      <c r="E719" s="1" t="s">
        <v>7</v>
      </c>
      <c r="F719" t="s">
        <v>8</v>
      </c>
      <c r="G719" t="s">
        <v>9</v>
      </c>
      <c r="H719" t="s">
        <v>10</v>
      </c>
      <c r="I719" t="s">
        <v>1356</v>
      </c>
      <c r="J719">
        <v>4.75</v>
      </c>
      <c r="K719" t="e">
        <f>IF(COUNTIF(#REF!,Tabela2[[#This Row],[IdxWspolny]])&gt;0,"ELEM_lub_PRD","TECHN")</f>
        <v>#REF!</v>
      </c>
      <c r="L719" t="e">
        <f>IF(COUNTIF(#REF!,Tabela2[[#This Row],[KOD_PRODUKTU]])&gt;0,"ELEMENT","PRODUKT")</f>
        <v>#REF!</v>
      </c>
      <c r="M719" t="e">
        <f>COUNTIF(#REF!,Tabela2[[#This Row],[KOD_PRODUKTU]])</f>
        <v>#REF!</v>
      </c>
    </row>
    <row r="720" spans="1:13" x14ac:dyDescent="0.25">
      <c r="A720" s="1" t="s">
        <v>1357</v>
      </c>
      <c r="B720" t="s">
        <v>1358</v>
      </c>
      <c r="C720" s="1" t="s">
        <v>684</v>
      </c>
      <c r="D720" s="1" t="s">
        <v>684</v>
      </c>
      <c r="E720" s="1" t="s">
        <v>684</v>
      </c>
      <c r="F720" t="s">
        <v>685</v>
      </c>
      <c r="G720" t="s">
        <v>686</v>
      </c>
      <c r="H720" t="s">
        <v>49</v>
      </c>
      <c r="I720" t="s">
        <v>1359</v>
      </c>
      <c r="J720">
        <v>0.3</v>
      </c>
      <c r="K720" t="e">
        <f>IF(COUNTIF(#REF!,Tabela2[[#This Row],[IdxWspolny]])&gt;0,"ELEM_lub_PRD","TECHN")</f>
        <v>#REF!</v>
      </c>
      <c r="L720" t="e">
        <f>IF(COUNTIF(#REF!,Tabela2[[#This Row],[KOD_PRODUKTU]])&gt;0,"ELEMENT","PRODUKT")</f>
        <v>#REF!</v>
      </c>
      <c r="M720" t="e">
        <f>COUNTIF(#REF!,Tabela2[[#This Row],[KOD_PRODUKTU]])</f>
        <v>#REF!</v>
      </c>
    </row>
    <row r="721" spans="1:13" x14ac:dyDescent="0.25">
      <c r="A721" s="1" t="s">
        <v>1357</v>
      </c>
      <c r="B721" t="s">
        <v>1358</v>
      </c>
      <c r="C721" s="1" t="s">
        <v>541</v>
      </c>
      <c r="D721" s="1" t="s">
        <v>541</v>
      </c>
      <c r="E721" s="1" t="s">
        <v>541</v>
      </c>
      <c r="F721" t="s">
        <v>542</v>
      </c>
      <c r="G721" t="s">
        <v>9</v>
      </c>
      <c r="H721" t="s">
        <v>10</v>
      </c>
      <c r="I721" t="s">
        <v>1360</v>
      </c>
      <c r="J721">
        <v>1.67</v>
      </c>
      <c r="K721" t="e">
        <f>IF(COUNTIF(#REF!,Tabela2[[#This Row],[IdxWspolny]])&gt;0,"ELEM_lub_PRD","TECHN")</f>
        <v>#REF!</v>
      </c>
      <c r="L721" t="e">
        <f>IF(COUNTIF(#REF!,Tabela2[[#This Row],[KOD_PRODUKTU]])&gt;0,"ELEMENT","PRODUKT")</f>
        <v>#REF!</v>
      </c>
      <c r="M721" t="e">
        <f>COUNTIF(#REF!,Tabela2[[#This Row],[KOD_PRODUKTU]])</f>
        <v>#REF!</v>
      </c>
    </row>
    <row r="722" spans="1:13" x14ac:dyDescent="0.25">
      <c r="A722" s="1" t="s">
        <v>1361</v>
      </c>
      <c r="B722" t="s">
        <v>1362</v>
      </c>
      <c r="C722" s="1" t="s">
        <v>684</v>
      </c>
      <c r="D722" s="1" t="s">
        <v>684</v>
      </c>
      <c r="E722" s="1" t="s">
        <v>684</v>
      </c>
      <c r="F722" t="s">
        <v>685</v>
      </c>
      <c r="G722" t="s">
        <v>686</v>
      </c>
      <c r="H722" t="s">
        <v>49</v>
      </c>
      <c r="I722" t="s">
        <v>1363</v>
      </c>
      <c r="J722">
        <v>0.45</v>
      </c>
      <c r="K722" t="e">
        <f>IF(COUNTIF(#REF!,Tabela2[[#This Row],[IdxWspolny]])&gt;0,"ELEM_lub_PRD","TECHN")</f>
        <v>#REF!</v>
      </c>
      <c r="L722" t="e">
        <f>IF(COUNTIF(#REF!,Tabela2[[#This Row],[KOD_PRODUKTU]])&gt;0,"ELEMENT","PRODUKT")</f>
        <v>#REF!</v>
      </c>
      <c r="M722" t="e">
        <f>COUNTIF(#REF!,Tabela2[[#This Row],[KOD_PRODUKTU]])</f>
        <v>#REF!</v>
      </c>
    </row>
    <row r="723" spans="1:13" x14ac:dyDescent="0.25">
      <c r="A723" s="1" t="s">
        <v>1361</v>
      </c>
      <c r="B723" t="s">
        <v>1362</v>
      </c>
      <c r="C723" s="1" t="s">
        <v>541</v>
      </c>
      <c r="D723" s="1" t="s">
        <v>541</v>
      </c>
      <c r="E723" s="1" t="s">
        <v>541</v>
      </c>
      <c r="F723" t="s">
        <v>542</v>
      </c>
      <c r="G723" t="s">
        <v>9</v>
      </c>
      <c r="H723" t="s">
        <v>10</v>
      </c>
      <c r="I723" t="s">
        <v>1364</v>
      </c>
      <c r="J723">
        <v>3.55</v>
      </c>
      <c r="K723" t="e">
        <f>IF(COUNTIF(#REF!,Tabela2[[#This Row],[IdxWspolny]])&gt;0,"ELEM_lub_PRD","TECHN")</f>
        <v>#REF!</v>
      </c>
      <c r="L723" t="e">
        <f>IF(COUNTIF(#REF!,Tabela2[[#This Row],[KOD_PRODUKTU]])&gt;0,"ELEMENT","PRODUKT")</f>
        <v>#REF!</v>
      </c>
      <c r="M723" t="e">
        <f>COUNTIF(#REF!,Tabela2[[#This Row],[KOD_PRODUKTU]])</f>
        <v>#REF!</v>
      </c>
    </row>
    <row r="724" spans="1:13" x14ac:dyDescent="0.25">
      <c r="A724" s="1" t="s">
        <v>1365</v>
      </c>
      <c r="B724" t="s">
        <v>1366</v>
      </c>
      <c r="C724" s="1" t="s">
        <v>1367</v>
      </c>
      <c r="D724" s="1" t="s">
        <v>1367</v>
      </c>
      <c r="E724" s="1" t="s">
        <v>1367</v>
      </c>
      <c r="F724" t="s">
        <v>1368</v>
      </c>
      <c r="G724" t="s">
        <v>1369</v>
      </c>
      <c r="H724" t="s">
        <v>121</v>
      </c>
      <c r="I724" t="s">
        <v>1370</v>
      </c>
      <c r="J724">
        <v>0.05</v>
      </c>
      <c r="K724" t="e">
        <f>IF(COUNTIF(#REF!,Tabela2[[#This Row],[IdxWspolny]])&gt;0,"ELEM_lub_PRD","TECHN")</f>
        <v>#REF!</v>
      </c>
      <c r="L724" t="e">
        <f>IF(COUNTIF(#REF!,Tabela2[[#This Row],[KOD_PRODUKTU]])&gt;0,"ELEMENT","PRODUKT")</f>
        <v>#REF!</v>
      </c>
      <c r="M724" t="e">
        <f>COUNTIF(#REF!,Tabela2[[#This Row],[KOD_PRODUKTU]])</f>
        <v>#REF!</v>
      </c>
    </row>
    <row r="725" spans="1:13" x14ac:dyDescent="0.25">
      <c r="A725" s="1" t="s">
        <v>1365</v>
      </c>
      <c r="B725" t="s">
        <v>1366</v>
      </c>
      <c r="C725" s="1" t="s">
        <v>7</v>
      </c>
      <c r="D725" s="1" t="s">
        <v>7</v>
      </c>
      <c r="E725" s="1" t="s">
        <v>7</v>
      </c>
      <c r="F725" t="s">
        <v>8</v>
      </c>
      <c r="G725" t="s">
        <v>9</v>
      </c>
      <c r="H725" t="s">
        <v>10</v>
      </c>
      <c r="I725" t="s">
        <v>1371</v>
      </c>
      <c r="J725">
        <v>1.1499999999999999</v>
      </c>
      <c r="K725" t="e">
        <f>IF(COUNTIF(#REF!,Tabela2[[#This Row],[IdxWspolny]])&gt;0,"ELEM_lub_PRD","TECHN")</f>
        <v>#REF!</v>
      </c>
      <c r="L725" t="e">
        <f>IF(COUNTIF(#REF!,Tabela2[[#This Row],[KOD_PRODUKTU]])&gt;0,"ELEMENT","PRODUKT")</f>
        <v>#REF!</v>
      </c>
      <c r="M725" t="e">
        <f>COUNTIF(#REF!,Tabela2[[#This Row],[KOD_PRODUKTU]])</f>
        <v>#REF!</v>
      </c>
    </row>
    <row r="726" spans="1:13" x14ac:dyDescent="0.25">
      <c r="A726" s="1" t="s">
        <v>1372</v>
      </c>
      <c r="B726" t="s">
        <v>1373</v>
      </c>
      <c r="C726" s="1" t="s">
        <v>1335</v>
      </c>
      <c r="D726" s="1" t="s">
        <v>1335</v>
      </c>
      <c r="E726" s="1" t="s">
        <v>1335</v>
      </c>
      <c r="F726" t="s">
        <v>1336</v>
      </c>
      <c r="G726" t="s">
        <v>1374</v>
      </c>
      <c r="H726" t="s">
        <v>49</v>
      </c>
      <c r="I726" t="s">
        <v>50</v>
      </c>
      <c r="J726">
        <v>63.35</v>
      </c>
      <c r="K726" t="e">
        <f>IF(COUNTIF(#REF!,Tabela2[[#This Row],[IdxWspolny]])&gt;0,"ELEM_lub_PRD","TECHN")</f>
        <v>#REF!</v>
      </c>
      <c r="L726" t="e">
        <f>IF(COUNTIF(#REF!,Tabela2[[#This Row],[KOD_PRODUKTU]])&gt;0,"ELEMENT","PRODUKT")</f>
        <v>#REF!</v>
      </c>
      <c r="M726" t="e">
        <f>COUNTIF(#REF!,Tabela2[[#This Row],[KOD_PRODUKTU]])</f>
        <v>#REF!</v>
      </c>
    </row>
    <row r="727" spans="1:13" x14ac:dyDescent="0.25">
      <c r="A727" s="1" t="s">
        <v>1372</v>
      </c>
      <c r="B727" t="s">
        <v>1373</v>
      </c>
      <c r="C727" s="1" t="s">
        <v>7</v>
      </c>
      <c r="D727" s="1" t="s">
        <v>7</v>
      </c>
      <c r="E727" s="1" t="s">
        <v>7</v>
      </c>
      <c r="F727" t="s">
        <v>8</v>
      </c>
      <c r="G727" t="s">
        <v>9</v>
      </c>
      <c r="H727" t="s">
        <v>10</v>
      </c>
      <c r="I727" t="s">
        <v>1375</v>
      </c>
      <c r="J727">
        <v>41</v>
      </c>
      <c r="K727" t="e">
        <f>IF(COUNTIF(#REF!,Tabela2[[#This Row],[IdxWspolny]])&gt;0,"ELEM_lub_PRD","TECHN")</f>
        <v>#REF!</v>
      </c>
      <c r="L727" t="e">
        <f>IF(COUNTIF(#REF!,Tabela2[[#This Row],[KOD_PRODUKTU]])&gt;0,"ELEMENT","PRODUKT")</f>
        <v>#REF!</v>
      </c>
      <c r="M727" t="e">
        <f>COUNTIF(#REF!,Tabela2[[#This Row],[KOD_PRODUKTU]])</f>
        <v>#REF!</v>
      </c>
    </row>
    <row r="728" spans="1:13" x14ac:dyDescent="0.25">
      <c r="A728" s="1" t="s">
        <v>1376</v>
      </c>
      <c r="B728" t="s">
        <v>1377</v>
      </c>
      <c r="C728" s="1" t="s">
        <v>1378</v>
      </c>
      <c r="D728" s="1" t="s">
        <v>1378</v>
      </c>
      <c r="E728" s="1" t="s">
        <v>1378</v>
      </c>
      <c r="F728" t="s">
        <v>1379</v>
      </c>
      <c r="G728" t="s">
        <v>1043</v>
      </c>
      <c r="H728" t="s">
        <v>5</v>
      </c>
      <c r="I728" t="s">
        <v>1380</v>
      </c>
      <c r="J728">
        <v>18.899999999999999</v>
      </c>
      <c r="K728" t="e">
        <f>IF(COUNTIF(#REF!,Tabela2[[#This Row],[IdxWspolny]])&gt;0,"ELEM_lub_PRD","TECHN")</f>
        <v>#REF!</v>
      </c>
      <c r="L728" t="e">
        <f>IF(COUNTIF(#REF!,Tabela2[[#This Row],[KOD_PRODUKTU]])&gt;0,"ELEMENT","PRODUKT")</f>
        <v>#REF!</v>
      </c>
      <c r="M728" t="e">
        <f>COUNTIF(#REF!,Tabela2[[#This Row],[KOD_PRODUKTU]])</f>
        <v>#REF!</v>
      </c>
    </row>
    <row r="729" spans="1:13" x14ac:dyDescent="0.25">
      <c r="A729" s="1" t="s">
        <v>1376</v>
      </c>
      <c r="B729" t="s">
        <v>1377</v>
      </c>
      <c r="C729" s="1" t="s">
        <v>7</v>
      </c>
      <c r="D729" s="1" t="s">
        <v>7</v>
      </c>
      <c r="E729" s="1" t="s">
        <v>7</v>
      </c>
      <c r="F729" t="s">
        <v>8</v>
      </c>
      <c r="G729" t="s">
        <v>9</v>
      </c>
      <c r="H729" t="s">
        <v>10</v>
      </c>
      <c r="I729" t="s">
        <v>245</v>
      </c>
      <c r="J729">
        <v>4</v>
      </c>
      <c r="K729" t="e">
        <f>IF(COUNTIF(#REF!,Tabela2[[#This Row],[IdxWspolny]])&gt;0,"ELEM_lub_PRD","TECHN")</f>
        <v>#REF!</v>
      </c>
      <c r="L729" t="e">
        <f>IF(COUNTIF(#REF!,Tabela2[[#This Row],[KOD_PRODUKTU]])&gt;0,"ELEMENT","PRODUKT")</f>
        <v>#REF!</v>
      </c>
      <c r="M729" t="e">
        <f>COUNTIF(#REF!,Tabela2[[#This Row],[KOD_PRODUKTU]])</f>
        <v>#REF!</v>
      </c>
    </row>
    <row r="730" spans="1:13" x14ac:dyDescent="0.25">
      <c r="A730" s="1" t="s">
        <v>1381</v>
      </c>
      <c r="B730" t="s">
        <v>1382</v>
      </c>
      <c r="C730" s="1" t="s">
        <v>1041</v>
      </c>
      <c r="D730" s="1" t="s">
        <v>1041</v>
      </c>
      <c r="E730" s="1" t="s">
        <v>1041</v>
      </c>
      <c r="F730" t="s">
        <v>1042</v>
      </c>
      <c r="G730" t="s">
        <v>712</v>
      </c>
      <c r="H730" t="s">
        <v>17</v>
      </c>
      <c r="I730" t="s">
        <v>1383</v>
      </c>
      <c r="J730">
        <v>4.45</v>
      </c>
      <c r="K730" t="e">
        <f>IF(COUNTIF(#REF!,Tabela2[[#This Row],[IdxWspolny]])&gt;0,"ELEM_lub_PRD","TECHN")</f>
        <v>#REF!</v>
      </c>
      <c r="L730" t="e">
        <f>IF(COUNTIF(#REF!,Tabela2[[#This Row],[KOD_PRODUKTU]])&gt;0,"ELEMENT","PRODUKT")</f>
        <v>#REF!</v>
      </c>
      <c r="M730" t="e">
        <f>COUNTIF(#REF!,Tabela2[[#This Row],[KOD_PRODUKTU]])</f>
        <v>#REF!</v>
      </c>
    </row>
    <row r="731" spans="1:13" x14ac:dyDescent="0.25">
      <c r="A731" s="1" t="s">
        <v>1381</v>
      </c>
      <c r="B731" t="s">
        <v>1382</v>
      </c>
      <c r="C731" s="1" t="s">
        <v>7</v>
      </c>
      <c r="D731" s="1" t="s">
        <v>7</v>
      </c>
      <c r="E731" s="1" t="s">
        <v>7</v>
      </c>
      <c r="F731" t="s">
        <v>8</v>
      </c>
      <c r="G731" t="s">
        <v>9</v>
      </c>
      <c r="H731" t="s">
        <v>10</v>
      </c>
      <c r="I731" t="s">
        <v>1384</v>
      </c>
      <c r="J731">
        <v>4.8499999999999996</v>
      </c>
      <c r="K731" t="e">
        <f>IF(COUNTIF(#REF!,Tabela2[[#This Row],[IdxWspolny]])&gt;0,"ELEM_lub_PRD","TECHN")</f>
        <v>#REF!</v>
      </c>
      <c r="L731" t="e">
        <f>IF(COUNTIF(#REF!,Tabela2[[#This Row],[KOD_PRODUKTU]])&gt;0,"ELEMENT","PRODUKT")</f>
        <v>#REF!</v>
      </c>
      <c r="M731" t="e">
        <f>COUNTIF(#REF!,Tabela2[[#This Row],[KOD_PRODUKTU]])</f>
        <v>#REF!</v>
      </c>
    </row>
    <row r="732" spans="1:13" x14ac:dyDescent="0.25">
      <c r="A732" s="1" t="s">
        <v>1385</v>
      </c>
      <c r="B732" t="s">
        <v>1386</v>
      </c>
      <c r="C732" s="1" t="s">
        <v>1387</v>
      </c>
      <c r="D732" s="1" t="s">
        <v>1387</v>
      </c>
      <c r="E732" s="1" t="s">
        <v>1387</v>
      </c>
      <c r="F732" t="s">
        <v>1388</v>
      </c>
      <c r="G732" t="s">
        <v>879</v>
      </c>
      <c r="H732" t="s">
        <v>17</v>
      </c>
      <c r="I732" t="s">
        <v>1389</v>
      </c>
      <c r="J732">
        <v>2.85</v>
      </c>
      <c r="K732" t="e">
        <f>IF(COUNTIF(#REF!,Tabela2[[#This Row],[IdxWspolny]])&gt;0,"ELEM_lub_PRD","TECHN")</f>
        <v>#REF!</v>
      </c>
      <c r="L732" t="e">
        <f>IF(COUNTIF(#REF!,Tabela2[[#This Row],[KOD_PRODUKTU]])&gt;0,"ELEMENT","PRODUKT")</f>
        <v>#REF!</v>
      </c>
      <c r="M732" t="e">
        <f>COUNTIF(#REF!,Tabela2[[#This Row],[KOD_PRODUKTU]])</f>
        <v>#REF!</v>
      </c>
    </row>
    <row r="733" spans="1:13" x14ac:dyDescent="0.25">
      <c r="A733" s="1" t="s">
        <v>1385</v>
      </c>
      <c r="B733" t="s">
        <v>1386</v>
      </c>
      <c r="C733" s="1" t="s">
        <v>7</v>
      </c>
      <c r="D733" s="1" t="s">
        <v>7</v>
      </c>
      <c r="E733" s="1" t="s">
        <v>7</v>
      </c>
      <c r="F733" t="s">
        <v>8</v>
      </c>
      <c r="G733" t="s">
        <v>9</v>
      </c>
      <c r="H733" t="s">
        <v>10</v>
      </c>
      <c r="I733" t="s">
        <v>1356</v>
      </c>
      <c r="J733">
        <v>4.75</v>
      </c>
      <c r="K733" t="e">
        <f>IF(COUNTIF(#REF!,Tabela2[[#This Row],[IdxWspolny]])&gt;0,"ELEM_lub_PRD","TECHN")</f>
        <v>#REF!</v>
      </c>
      <c r="L733" t="e">
        <f>IF(COUNTIF(#REF!,Tabela2[[#This Row],[KOD_PRODUKTU]])&gt;0,"ELEMENT","PRODUKT")</f>
        <v>#REF!</v>
      </c>
      <c r="M733" t="e">
        <f>COUNTIF(#REF!,Tabela2[[#This Row],[KOD_PRODUKTU]])</f>
        <v>#REF!</v>
      </c>
    </row>
    <row r="734" spans="1:13" x14ac:dyDescent="0.25">
      <c r="A734" s="1" t="s">
        <v>1390</v>
      </c>
      <c r="B734" t="s">
        <v>1391</v>
      </c>
      <c r="C734" s="1" t="s">
        <v>1392</v>
      </c>
      <c r="D734" s="1" t="s">
        <v>1392</v>
      </c>
      <c r="E734" s="1" t="s">
        <v>1392</v>
      </c>
      <c r="F734" t="s">
        <v>1393</v>
      </c>
      <c r="G734" t="s">
        <v>1394</v>
      </c>
      <c r="H734" t="s">
        <v>5</v>
      </c>
      <c r="I734" t="s">
        <v>1395</v>
      </c>
      <c r="J734">
        <v>5.5</v>
      </c>
      <c r="K734" t="e">
        <f>IF(COUNTIF(#REF!,Tabela2[[#This Row],[IdxWspolny]])&gt;0,"ELEM_lub_PRD","TECHN")</f>
        <v>#REF!</v>
      </c>
      <c r="L734" t="e">
        <f>IF(COUNTIF(#REF!,Tabela2[[#This Row],[KOD_PRODUKTU]])&gt;0,"ELEMENT","PRODUKT")</f>
        <v>#REF!</v>
      </c>
      <c r="M734" t="e">
        <f>COUNTIF(#REF!,Tabela2[[#This Row],[KOD_PRODUKTU]])</f>
        <v>#REF!</v>
      </c>
    </row>
    <row r="735" spans="1:13" x14ac:dyDescent="0.25">
      <c r="A735" s="1" t="s">
        <v>1390</v>
      </c>
      <c r="B735" t="s">
        <v>1391</v>
      </c>
      <c r="C735" s="1" t="s">
        <v>7</v>
      </c>
      <c r="D735" s="1" t="s">
        <v>7</v>
      </c>
      <c r="E735" s="1" t="s">
        <v>7</v>
      </c>
      <c r="F735" t="s">
        <v>1031</v>
      </c>
      <c r="G735" t="s">
        <v>9</v>
      </c>
      <c r="H735" t="s">
        <v>10</v>
      </c>
      <c r="I735" t="s">
        <v>1396</v>
      </c>
      <c r="J735">
        <v>52.85</v>
      </c>
      <c r="K735" t="e">
        <f>IF(COUNTIF(#REF!,Tabela2[[#This Row],[IdxWspolny]])&gt;0,"ELEM_lub_PRD","TECHN")</f>
        <v>#REF!</v>
      </c>
      <c r="L735" t="e">
        <f>IF(COUNTIF(#REF!,Tabela2[[#This Row],[KOD_PRODUKTU]])&gt;0,"ELEMENT","PRODUKT")</f>
        <v>#REF!</v>
      </c>
      <c r="M735" t="e">
        <f>COUNTIF(#REF!,Tabela2[[#This Row],[KOD_PRODUKTU]])</f>
        <v>#REF!</v>
      </c>
    </row>
    <row r="736" spans="1:13" x14ac:dyDescent="0.25">
      <c r="A736" s="1" t="s">
        <v>1397</v>
      </c>
      <c r="B736" t="s">
        <v>1398</v>
      </c>
      <c r="C736" s="1" t="s">
        <v>22</v>
      </c>
      <c r="D736" s="1" t="s">
        <v>22</v>
      </c>
      <c r="E736" s="1" t="s">
        <v>22</v>
      </c>
      <c r="F736" t="s">
        <v>23</v>
      </c>
      <c r="G736" t="s">
        <v>24</v>
      </c>
      <c r="H736" t="s">
        <v>17</v>
      </c>
      <c r="I736" t="s">
        <v>1399</v>
      </c>
      <c r="J736">
        <v>70</v>
      </c>
      <c r="K736" t="e">
        <f>IF(COUNTIF(#REF!,Tabela2[[#This Row],[IdxWspolny]])&gt;0,"ELEM_lub_PRD","TECHN")</f>
        <v>#REF!</v>
      </c>
      <c r="L736" t="e">
        <f>IF(COUNTIF(#REF!,Tabela2[[#This Row],[KOD_PRODUKTU]])&gt;0,"ELEMENT","PRODUKT")</f>
        <v>#REF!</v>
      </c>
      <c r="M736" t="e">
        <f>COUNTIF(#REF!,Tabela2[[#This Row],[KOD_PRODUKTU]])</f>
        <v>#REF!</v>
      </c>
    </row>
    <row r="737" spans="1:13" x14ac:dyDescent="0.25">
      <c r="A737" s="1" t="s">
        <v>1397</v>
      </c>
      <c r="B737" t="s">
        <v>1398</v>
      </c>
      <c r="C737" s="1" t="s">
        <v>7</v>
      </c>
      <c r="D737" s="1" t="s">
        <v>7</v>
      </c>
      <c r="E737" s="1" t="s">
        <v>7</v>
      </c>
      <c r="F737" t="s">
        <v>8</v>
      </c>
      <c r="G737" t="s">
        <v>9</v>
      </c>
      <c r="H737" t="s">
        <v>10</v>
      </c>
      <c r="I737" t="s">
        <v>1400</v>
      </c>
      <c r="J737">
        <v>11.7</v>
      </c>
      <c r="K737" t="e">
        <f>IF(COUNTIF(#REF!,Tabela2[[#This Row],[IdxWspolny]])&gt;0,"ELEM_lub_PRD","TECHN")</f>
        <v>#REF!</v>
      </c>
      <c r="L737" t="e">
        <f>IF(COUNTIF(#REF!,Tabela2[[#This Row],[KOD_PRODUKTU]])&gt;0,"ELEMENT","PRODUKT")</f>
        <v>#REF!</v>
      </c>
      <c r="M737" t="e">
        <f>COUNTIF(#REF!,Tabela2[[#This Row],[KOD_PRODUKTU]])</f>
        <v>#REF!</v>
      </c>
    </row>
    <row r="738" spans="1:13" x14ac:dyDescent="0.25">
      <c r="A738" s="1" t="s">
        <v>1401</v>
      </c>
      <c r="B738" t="s">
        <v>1402</v>
      </c>
      <c r="C738" s="1" t="s">
        <v>22</v>
      </c>
      <c r="D738" s="1" t="s">
        <v>22</v>
      </c>
      <c r="E738" s="1" t="s">
        <v>22</v>
      </c>
      <c r="F738" t="s">
        <v>23</v>
      </c>
      <c r="G738" t="s">
        <v>24</v>
      </c>
      <c r="H738" t="s">
        <v>17</v>
      </c>
      <c r="I738" t="s">
        <v>1399</v>
      </c>
      <c r="J738">
        <v>70</v>
      </c>
      <c r="K738" t="e">
        <f>IF(COUNTIF(#REF!,Tabela2[[#This Row],[IdxWspolny]])&gt;0,"ELEM_lub_PRD","TECHN")</f>
        <v>#REF!</v>
      </c>
      <c r="L738" t="e">
        <f>IF(COUNTIF(#REF!,Tabela2[[#This Row],[KOD_PRODUKTU]])&gt;0,"ELEMENT","PRODUKT")</f>
        <v>#REF!</v>
      </c>
      <c r="M738" t="e">
        <f>COUNTIF(#REF!,Tabela2[[#This Row],[KOD_PRODUKTU]])</f>
        <v>#REF!</v>
      </c>
    </row>
    <row r="739" spans="1:13" x14ac:dyDescent="0.25">
      <c r="A739" s="1" t="s">
        <v>1401</v>
      </c>
      <c r="B739" t="s">
        <v>1402</v>
      </c>
      <c r="C739" s="1" t="s">
        <v>7</v>
      </c>
      <c r="D739" s="1" t="s">
        <v>7</v>
      </c>
      <c r="E739" s="1" t="s">
        <v>7</v>
      </c>
      <c r="F739" t="s">
        <v>8</v>
      </c>
      <c r="G739" t="s">
        <v>9</v>
      </c>
      <c r="H739" t="s">
        <v>10</v>
      </c>
      <c r="I739" t="s">
        <v>1403</v>
      </c>
      <c r="J739">
        <v>19.16</v>
      </c>
      <c r="K739" t="e">
        <f>IF(COUNTIF(#REF!,Tabela2[[#This Row],[IdxWspolny]])&gt;0,"ELEM_lub_PRD","TECHN")</f>
        <v>#REF!</v>
      </c>
      <c r="L739" t="e">
        <f>IF(COUNTIF(#REF!,Tabela2[[#This Row],[KOD_PRODUKTU]])&gt;0,"ELEMENT","PRODUKT")</f>
        <v>#REF!</v>
      </c>
      <c r="M739" t="e">
        <f>COUNTIF(#REF!,Tabela2[[#This Row],[KOD_PRODUKTU]])</f>
        <v>#REF!</v>
      </c>
    </row>
    <row r="740" spans="1:13" x14ac:dyDescent="0.25">
      <c r="A740" s="1" t="s">
        <v>1404</v>
      </c>
      <c r="B740" t="s">
        <v>1405</v>
      </c>
      <c r="C740" s="1" t="s">
        <v>1406</v>
      </c>
      <c r="D740" s="1" t="s">
        <v>1406</v>
      </c>
      <c r="E740" s="1" t="s">
        <v>1406</v>
      </c>
      <c r="F740" t="s">
        <v>1407</v>
      </c>
      <c r="G740" t="s">
        <v>1408</v>
      </c>
      <c r="H740" t="s">
        <v>17</v>
      </c>
      <c r="I740" t="s">
        <v>1409</v>
      </c>
      <c r="J740">
        <v>2.4300000000000002</v>
      </c>
      <c r="K740" t="e">
        <f>IF(COUNTIF(#REF!,Tabela2[[#This Row],[IdxWspolny]])&gt;0,"ELEM_lub_PRD","TECHN")</f>
        <v>#REF!</v>
      </c>
      <c r="L740" t="e">
        <f>IF(COUNTIF(#REF!,Tabela2[[#This Row],[KOD_PRODUKTU]])&gt;0,"ELEMENT","PRODUKT")</f>
        <v>#REF!</v>
      </c>
      <c r="M740" t="e">
        <f>COUNTIF(#REF!,Tabela2[[#This Row],[KOD_PRODUKTU]])</f>
        <v>#REF!</v>
      </c>
    </row>
    <row r="741" spans="1:13" x14ac:dyDescent="0.25">
      <c r="A741" s="1" t="s">
        <v>1404</v>
      </c>
      <c r="B741" t="s">
        <v>1405</v>
      </c>
      <c r="C741" s="1" t="s">
        <v>7</v>
      </c>
      <c r="D741" s="1" t="s">
        <v>7</v>
      </c>
      <c r="E741" s="1" t="s">
        <v>7</v>
      </c>
      <c r="F741" t="s">
        <v>8</v>
      </c>
      <c r="G741" t="s">
        <v>9</v>
      </c>
      <c r="H741" t="s">
        <v>10</v>
      </c>
      <c r="I741" t="s">
        <v>1410</v>
      </c>
      <c r="J741">
        <v>11.04</v>
      </c>
      <c r="K741" t="e">
        <f>IF(COUNTIF(#REF!,Tabela2[[#This Row],[IdxWspolny]])&gt;0,"ELEM_lub_PRD","TECHN")</f>
        <v>#REF!</v>
      </c>
      <c r="L741" t="e">
        <f>IF(COUNTIF(#REF!,Tabela2[[#This Row],[KOD_PRODUKTU]])&gt;0,"ELEMENT","PRODUKT")</f>
        <v>#REF!</v>
      </c>
      <c r="M741" t="e">
        <f>COUNTIF(#REF!,Tabela2[[#This Row],[KOD_PRODUKTU]])</f>
        <v>#REF!</v>
      </c>
    </row>
    <row r="742" spans="1:13" x14ac:dyDescent="0.25">
      <c r="A742" s="1" t="s">
        <v>352</v>
      </c>
      <c r="B742" t="s">
        <v>353</v>
      </c>
      <c r="C742" s="1" t="s">
        <v>1099</v>
      </c>
      <c r="D742" s="1" t="s">
        <v>1099</v>
      </c>
      <c r="E742" s="1" t="s">
        <v>1099</v>
      </c>
      <c r="F742" t="s">
        <v>1100</v>
      </c>
      <c r="G742" t="s">
        <v>31</v>
      </c>
      <c r="H742" t="s">
        <v>932</v>
      </c>
      <c r="I742" t="s">
        <v>1411</v>
      </c>
      <c r="J742">
        <v>5.15</v>
      </c>
      <c r="K742" t="e">
        <f>IF(COUNTIF(#REF!,Tabela2[[#This Row],[IdxWspolny]])&gt;0,"ELEM_lub_PRD","TECHN")</f>
        <v>#REF!</v>
      </c>
      <c r="L742" t="e">
        <f>IF(COUNTIF(#REF!,Tabela2[[#This Row],[KOD_PRODUKTU]])&gt;0,"ELEMENT","PRODUKT")</f>
        <v>#REF!</v>
      </c>
      <c r="M742" t="e">
        <f>COUNTIF(#REF!,Tabela2[[#This Row],[KOD_PRODUKTU]])</f>
        <v>#REF!</v>
      </c>
    </row>
    <row r="743" spans="1:13" x14ac:dyDescent="0.25">
      <c r="A743" s="1" t="s">
        <v>352</v>
      </c>
      <c r="B743" t="s">
        <v>353</v>
      </c>
      <c r="C743" s="1" t="s">
        <v>1060</v>
      </c>
      <c r="D743" s="1" t="s">
        <v>1060</v>
      </c>
      <c r="E743" s="1" t="s">
        <v>1060</v>
      </c>
      <c r="F743" t="s">
        <v>433</v>
      </c>
      <c r="G743" t="s">
        <v>1061</v>
      </c>
      <c r="H743" t="s">
        <v>121</v>
      </c>
      <c r="I743" t="s">
        <v>50</v>
      </c>
      <c r="J743">
        <v>1.7</v>
      </c>
      <c r="K743" t="e">
        <f>IF(COUNTIF(#REF!,Tabela2[[#This Row],[IdxWspolny]])&gt;0,"ELEM_lub_PRD","TECHN")</f>
        <v>#REF!</v>
      </c>
      <c r="L743" t="e">
        <f>IF(COUNTIF(#REF!,Tabela2[[#This Row],[KOD_PRODUKTU]])&gt;0,"ELEMENT","PRODUKT")</f>
        <v>#REF!</v>
      </c>
      <c r="M743" t="e">
        <f>COUNTIF(#REF!,Tabela2[[#This Row],[KOD_PRODUKTU]])</f>
        <v>#REF!</v>
      </c>
    </row>
    <row r="744" spans="1:13" x14ac:dyDescent="0.25">
      <c r="A744" s="1" t="s">
        <v>352</v>
      </c>
      <c r="B744" t="s">
        <v>353</v>
      </c>
      <c r="C744" s="1" t="s">
        <v>7</v>
      </c>
      <c r="D744" s="1" t="s">
        <v>7</v>
      </c>
      <c r="E744" s="1" t="s">
        <v>7</v>
      </c>
      <c r="F744" t="s">
        <v>8</v>
      </c>
      <c r="G744" t="s">
        <v>9</v>
      </c>
      <c r="H744" t="s">
        <v>10</v>
      </c>
      <c r="I744" t="s">
        <v>1412</v>
      </c>
      <c r="J744">
        <v>16.649999999999999</v>
      </c>
      <c r="K744" t="e">
        <f>IF(COUNTIF(#REF!,Tabela2[[#This Row],[IdxWspolny]])&gt;0,"ELEM_lub_PRD","TECHN")</f>
        <v>#REF!</v>
      </c>
      <c r="L744" t="e">
        <f>IF(COUNTIF(#REF!,Tabela2[[#This Row],[KOD_PRODUKTU]])&gt;0,"ELEMENT","PRODUKT")</f>
        <v>#REF!</v>
      </c>
      <c r="M744" t="e">
        <f>COUNTIF(#REF!,Tabela2[[#This Row],[KOD_PRODUKTU]])</f>
        <v>#REF!</v>
      </c>
    </row>
    <row r="745" spans="1:13" x14ac:dyDescent="0.25">
      <c r="A745" s="1" t="s">
        <v>348</v>
      </c>
      <c r="B745" t="s">
        <v>349</v>
      </c>
      <c r="C745" s="1" t="s">
        <v>1099</v>
      </c>
      <c r="D745" s="1" t="s">
        <v>1099</v>
      </c>
      <c r="E745" s="1" t="s">
        <v>1099</v>
      </c>
      <c r="F745" t="s">
        <v>1100</v>
      </c>
      <c r="G745" t="s">
        <v>31</v>
      </c>
      <c r="H745" t="s">
        <v>932</v>
      </c>
      <c r="I745" t="s">
        <v>1413</v>
      </c>
      <c r="J745">
        <v>3.75</v>
      </c>
      <c r="K745" t="e">
        <f>IF(COUNTIF(#REF!,Tabela2[[#This Row],[IdxWspolny]])&gt;0,"ELEM_lub_PRD","TECHN")</f>
        <v>#REF!</v>
      </c>
      <c r="L745" t="e">
        <f>IF(COUNTIF(#REF!,Tabela2[[#This Row],[KOD_PRODUKTU]])&gt;0,"ELEMENT","PRODUKT")</f>
        <v>#REF!</v>
      </c>
      <c r="M745" t="e">
        <f>COUNTIF(#REF!,Tabela2[[#This Row],[KOD_PRODUKTU]])</f>
        <v>#REF!</v>
      </c>
    </row>
    <row r="746" spans="1:13" x14ac:dyDescent="0.25">
      <c r="A746" s="1" t="s">
        <v>348</v>
      </c>
      <c r="B746" t="s">
        <v>349</v>
      </c>
      <c r="C746" s="1" t="s">
        <v>432</v>
      </c>
      <c r="D746" s="1" t="s">
        <v>432</v>
      </c>
      <c r="E746" s="1" t="s">
        <v>432</v>
      </c>
      <c r="F746" t="s">
        <v>433</v>
      </c>
      <c r="G746" t="s">
        <v>434</v>
      </c>
      <c r="H746" t="s">
        <v>435</v>
      </c>
      <c r="I746" t="s">
        <v>1414</v>
      </c>
      <c r="J746">
        <v>1.6</v>
      </c>
      <c r="K746" t="e">
        <f>IF(COUNTIF(#REF!,Tabela2[[#This Row],[IdxWspolny]])&gt;0,"ELEM_lub_PRD","TECHN")</f>
        <v>#REF!</v>
      </c>
      <c r="L746" t="e">
        <f>IF(COUNTIF(#REF!,Tabela2[[#This Row],[KOD_PRODUKTU]])&gt;0,"ELEMENT","PRODUKT")</f>
        <v>#REF!</v>
      </c>
      <c r="M746" t="e">
        <f>COUNTIF(#REF!,Tabela2[[#This Row],[KOD_PRODUKTU]])</f>
        <v>#REF!</v>
      </c>
    </row>
    <row r="747" spans="1:13" x14ac:dyDescent="0.25">
      <c r="A747" s="1" t="s">
        <v>348</v>
      </c>
      <c r="B747" t="s">
        <v>349</v>
      </c>
      <c r="C747" s="1" t="s">
        <v>7</v>
      </c>
      <c r="D747" s="1" t="s">
        <v>7</v>
      </c>
      <c r="E747" s="1" t="s">
        <v>7</v>
      </c>
      <c r="F747" t="s">
        <v>8</v>
      </c>
      <c r="G747" t="s">
        <v>9</v>
      </c>
      <c r="H747" t="s">
        <v>10</v>
      </c>
      <c r="I747" t="s">
        <v>1415</v>
      </c>
      <c r="J747">
        <v>9.6</v>
      </c>
      <c r="K747" t="e">
        <f>IF(COUNTIF(#REF!,Tabela2[[#This Row],[IdxWspolny]])&gt;0,"ELEM_lub_PRD","TECHN")</f>
        <v>#REF!</v>
      </c>
      <c r="L747" t="e">
        <f>IF(COUNTIF(#REF!,Tabela2[[#This Row],[KOD_PRODUKTU]])&gt;0,"ELEMENT","PRODUKT")</f>
        <v>#REF!</v>
      </c>
      <c r="M747" t="e">
        <f>COUNTIF(#REF!,Tabela2[[#This Row],[KOD_PRODUKTU]])</f>
        <v>#REF!</v>
      </c>
    </row>
    <row r="748" spans="1:13" x14ac:dyDescent="0.25">
      <c r="A748" s="1" t="s">
        <v>1416</v>
      </c>
      <c r="B748" t="s">
        <v>1417</v>
      </c>
      <c r="C748" s="1" t="s">
        <v>1041</v>
      </c>
      <c r="D748" s="1" t="s">
        <v>1041</v>
      </c>
      <c r="E748" s="1" t="s">
        <v>1041</v>
      </c>
      <c r="F748" t="s">
        <v>1042</v>
      </c>
      <c r="G748" t="s">
        <v>712</v>
      </c>
      <c r="H748" t="s">
        <v>17</v>
      </c>
      <c r="I748" t="s">
        <v>1418</v>
      </c>
      <c r="J748">
        <v>2.15</v>
      </c>
      <c r="K748" t="e">
        <f>IF(COUNTIF(#REF!,Tabela2[[#This Row],[IdxWspolny]])&gt;0,"ELEM_lub_PRD","TECHN")</f>
        <v>#REF!</v>
      </c>
      <c r="L748" t="e">
        <f>IF(COUNTIF(#REF!,Tabela2[[#This Row],[KOD_PRODUKTU]])&gt;0,"ELEMENT","PRODUKT")</f>
        <v>#REF!</v>
      </c>
      <c r="M748" t="e">
        <f>COUNTIF(#REF!,Tabela2[[#This Row],[KOD_PRODUKTU]])</f>
        <v>#REF!</v>
      </c>
    </row>
    <row r="749" spans="1:13" x14ac:dyDescent="0.25">
      <c r="A749" s="1" t="s">
        <v>1416</v>
      </c>
      <c r="B749" t="s">
        <v>1417</v>
      </c>
      <c r="C749" s="1" t="s">
        <v>7</v>
      </c>
      <c r="D749" s="1" t="s">
        <v>7</v>
      </c>
      <c r="E749" s="1" t="s">
        <v>7</v>
      </c>
      <c r="F749" t="s">
        <v>8</v>
      </c>
      <c r="G749" t="s">
        <v>9</v>
      </c>
      <c r="H749" t="s">
        <v>10</v>
      </c>
      <c r="I749" t="s">
        <v>1419</v>
      </c>
      <c r="J749">
        <v>4.7</v>
      </c>
      <c r="K749" t="e">
        <f>IF(COUNTIF(#REF!,Tabela2[[#This Row],[IdxWspolny]])&gt;0,"ELEM_lub_PRD","TECHN")</f>
        <v>#REF!</v>
      </c>
      <c r="L749" t="e">
        <f>IF(COUNTIF(#REF!,Tabela2[[#This Row],[KOD_PRODUKTU]])&gt;0,"ELEMENT","PRODUKT")</f>
        <v>#REF!</v>
      </c>
      <c r="M749" t="e">
        <f>COUNTIF(#REF!,Tabela2[[#This Row],[KOD_PRODUKTU]])</f>
        <v>#REF!</v>
      </c>
    </row>
    <row r="750" spans="1:13" x14ac:dyDescent="0.25">
      <c r="A750" s="1" t="s">
        <v>1420</v>
      </c>
      <c r="B750" t="s">
        <v>1421</v>
      </c>
      <c r="C750" s="1" t="s">
        <v>1041</v>
      </c>
      <c r="D750" s="1" t="s">
        <v>1041</v>
      </c>
      <c r="E750" s="1" t="s">
        <v>1041</v>
      </c>
      <c r="F750" t="s">
        <v>1042</v>
      </c>
      <c r="G750" t="s">
        <v>712</v>
      </c>
      <c r="H750" t="s">
        <v>17</v>
      </c>
      <c r="I750" t="s">
        <v>1422</v>
      </c>
      <c r="J750">
        <v>7.3</v>
      </c>
      <c r="K750" t="e">
        <f>IF(COUNTIF(#REF!,Tabela2[[#This Row],[IdxWspolny]])&gt;0,"ELEM_lub_PRD","TECHN")</f>
        <v>#REF!</v>
      </c>
      <c r="L750" t="e">
        <f>IF(COUNTIF(#REF!,Tabela2[[#This Row],[KOD_PRODUKTU]])&gt;0,"ELEMENT","PRODUKT")</f>
        <v>#REF!</v>
      </c>
      <c r="M750" t="e">
        <f>COUNTIF(#REF!,Tabela2[[#This Row],[KOD_PRODUKTU]])</f>
        <v>#REF!</v>
      </c>
    </row>
    <row r="751" spans="1:13" x14ac:dyDescent="0.25">
      <c r="A751" s="1" t="s">
        <v>1420</v>
      </c>
      <c r="B751" t="s">
        <v>1421</v>
      </c>
      <c r="C751" s="1" t="s">
        <v>7</v>
      </c>
      <c r="D751" s="1" t="s">
        <v>7</v>
      </c>
      <c r="E751" s="1" t="s">
        <v>7</v>
      </c>
      <c r="F751" t="s">
        <v>8</v>
      </c>
      <c r="G751" t="s">
        <v>9</v>
      </c>
      <c r="H751" t="s">
        <v>10</v>
      </c>
      <c r="I751" t="s">
        <v>1419</v>
      </c>
      <c r="J751">
        <v>4.7</v>
      </c>
      <c r="K751" t="e">
        <f>IF(COUNTIF(#REF!,Tabela2[[#This Row],[IdxWspolny]])&gt;0,"ELEM_lub_PRD","TECHN")</f>
        <v>#REF!</v>
      </c>
      <c r="L751" t="e">
        <f>IF(COUNTIF(#REF!,Tabela2[[#This Row],[KOD_PRODUKTU]])&gt;0,"ELEMENT","PRODUKT")</f>
        <v>#REF!</v>
      </c>
      <c r="M751" t="e">
        <f>COUNTIF(#REF!,Tabela2[[#This Row],[KOD_PRODUKTU]])</f>
        <v>#REF!</v>
      </c>
    </row>
    <row r="752" spans="1:13" x14ac:dyDescent="0.25">
      <c r="A752" s="1" t="s">
        <v>1423</v>
      </c>
      <c r="B752" t="s">
        <v>1424</v>
      </c>
      <c r="C752" s="1" t="s">
        <v>1041</v>
      </c>
      <c r="D752" s="1" t="s">
        <v>1041</v>
      </c>
      <c r="E752" s="1" t="s">
        <v>1041</v>
      </c>
      <c r="F752" t="s">
        <v>1042</v>
      </c>
      <c r="G752" t="s">
        <v>712</v>
      </c>
      <c r="H752" t="s">
        <v>17</v>
      </c>
      <c r="I752" t="s">
        <v>1425</v>
      </c>
      <c r="J752">
        <v>2.25</v>
      </c>
      <c r="K752" t="e">
        <f>IF(COUNTIF(#REF!,Tabela2[[#This Row],[IdxWspolny]])&gt;0,"ELEM_lub_PRD","TECHN")</f>
        <v>#REF!</v>
      </c>
      <c r="L752" t="e">
        <f>IF(COUNTIF(#REF!,Tabela2[[#This Row],[KOD_PRODUKTU]])&gt;0,"ELEMENT","PRODUKT")</f>
        <v>#REF!</v>
      </c>
      <c r="M752" t="e">
        <f>COUNTIF(#REF!,Tabela2[[#This Row],[KOD_PRODUKTU]])</f>
        <v>#REF!</v>
      </c>
    </row>
    <row r="753" spans="1:13" x14ac:dyDescent="0.25">
      <c r="A753" s="1" t="s">
        <v>1423</v>
      </c>
      <c r="B753" t="s">
        <v>1424</v>
      </c>
      <c r="C753" s="1" t="s">
        <v>7</v>
      </c>
      <c r="D753" s="1" t="s">
        <v>7</v>
      </c>
      <c r="E753" s="1" t="s">
        <v>7</v>
      </c>
      <c r="F753" t="s">
        <v>8</v>
      </c>
      <c r="G753" t="s">
        <v>9</v>
      </c>
      <c r="H753" t="s">
        <v>10</v>
      </c>
      <c r="I753" t="s">
        <v>1044</v>
      </c>
      <c r="J753">
        <v>4.8</v>
      </c>
      <c r="K753" t="e">
        <f>IF(COUNTIF(#REF!,Tabela2[[#This Row],[IdxWspolny]])&gt;0,"ELEM_lub_PRD","TECHN")</f>
        <v>#REF!</v>
      </c>
      <c r="L753" t="e">
        <f>IF(COUNTIF(#REF!,Tabela2[[#This Row],[KOD_PRODUKTU]])&gt;0,"ELEMENT","PRODUKT")</f>
        <v>#REF!</v>
      </c>
      <c r="M753" t="e">
        <f>COUNTIF(#REF!,Tabela2[[#This Row],[KOD_PRODUKTU]])</f>
        <v>#REF!</v>
      </c>
    </row>
    <row r="754" spans="1:13" x14ac:dyDescent="0.25">
      <c r="A754" s="1" t="s">
        <v>1426</v>
      </c>
      <c r="B754" t="s">
        <v>1427</v>
      </c>
      <c r="C754" s="1" t="s">
        <v>1041</v>
      </c>
      <c r="D754" s="1" t="s">
        <v>1041</v>
      </c>
      <c r="E754" s="1" t="s">
        <v>1041</v>
      </c>
      <c r="F754" t="s">
        <v>1042</v>
      </c>
      <c r="G754" t="s">
        <v>712</v>
      </c>
      <c r="H754" t="s">
        <v>17</v>
      </c>
      <c r="I754" t="s">
        <v>1428</v>
      </c>
      <c r="J754">
        <v>1.75</v>
      </c>
      <c r="K754" t="e">
        <f>IF(COUNTIF(#REF!,Tabela2[[#This Row],[IdxWspolny]])&gt;0,"ELEM_lub_PRD","TECHN")</f>
        <v>#REF!</v>
      </c>
      <c r="L754" t="e">
        <f>IF(COUNTIF(#REF!,Tabela2[[#This Row],[KOD_PRODUKTU]])&gt;0,"ELEMENT","PRODUKT")</f>
        <v>#REF!</v>
      </c>
      <c r="M754" t="e">
        <f>COUNTIF(#REF!,Tabela2[[#This Row],[KOD_PRODUKTU]])</f>
        <v>#REF!</v>
      </c>
    </row>
    <row r="755" spans="1:13" x14ac:dyDescent="0.25">
      <c r="A755" s="1" t="s">
        <v>1426</v>
      </c>
      <c r="B755" t="s">
        <v>1427</v>
      </c>
      <c r="C755" s="1" t="s">
        <v>7</v>
      </c>
      <c r="D755" s="1" t="s">
        <v>7</v>
      </c>
      <c r="E755" s="1" t="s">
        <v>7</v>
      </c>
      <c r="F755" t="s">
        <v>8</v>
      </c>
      <c r="G755" t="s">
        <v>9</v>
      </c>
      <c r="H755" t="s">
        <v>10</v>
      </c>
      <c r="I755" t="s">
        <v>1356</v>
      </c>
      <c r="J755">
        <v>4.75</v>
      </c>
      <c r="K755" t="e">
        <f>IF(COUNTIF(#REF!,Tabela2[[#This Row],[IdxWspolny]])&gt;0,"ELEM_lub_PRD","TECHN")</f>
        <v>#REF!</v>
      </c>
      <c r="L755" t="e">
        <f>IF(COUNTIF(#REF!,Tabela2[[#This Row],[KOD_PRODUKTU]])&gt;0,"ELEMENT","PRODUKT")</f>
        <v>#REF!</v>
      </c>
      <c r="M755" t="e">
        <f>COUNTIF(#REF!,Tabela2[[#This Row],[KOD_PRODUKTU]])</f>
        <v>#REF!</v>
      </c>
    </row>
    <row r="756" spans="1:13" x14ac:dyDescent="0.25">
      <c r="A756" s="1" t="s">
        <v>1429</v>
      </c>
      <c r="B756" t="s">
        <v>1430</v>
      </c>
      <c r="C756" s="1" t="s">
        <v>1047</v>
      </c>
      <c r="D756" s="1" t="s">
        <v>1047</v>
      </c>
      <c r="E756" s="1" t="s">
        <v>1047</v>
      </c>
      <c r="F756" t="s">
        <v>1048</v>
      </c>
      <c r="G756" t="s">
        <v>1049</v>
      </c>
      <c r="H756" t="s">
        <v>17</v>
      </c>
      <c r="I756" t="s">
        <v>1431</v>
      </c>
      <c r="J756">
        <v>6.7</v>
      </c>
      <c r="K756" t="e">
        <f>IF(COUNTIF(#REF!,Tabela2[[#This Row],[IdxWspolny]])&gt;0,"ELEM_lub_PRD","TECHN")</f>
        <v>#REF!</v>
      </c>
      <c r="L756" t="e">
        <f>IF(COUNTIF(#REF!,Tabela2[[#This Row],[KOD_PRODUKTU]])&gt;0,"ELEMENT","PRODUKT")</f>
        <v>#REF!</v>
      </c>
      <c r="M756" t="e">
        <f>COUNTIF(#REF!,Tabela2[[#This Row],[KOD_PRODUKTU]])</f>
        <v>#REF!</v>
      </c>
    </row>
    <row r="757" spans="1:13" x14ac:dyDescent="0.25">
      <c r="A757" s="1" t="s">
        <v>1429</v>
      </c>
      <c r="B757" t="s">
        <v>1430</v>
      </c>
      <c r="C757" s="1" t="s">
        <v>7</v>
      </c>
      <c r="D757" s="1" t="s">
        <v>7</v>
      </c>
      <c r="E757" s="1" t="s">
        <v>7</v>
      </c>
      <c r="F757" t="s">
        <v>8</v>
      </c>
      <c r="G757" t="s">
        <v>9</v>
      </c>
      <c r="H757" t="s">
        <v>10</v>
      </c>
      <c r="I757" t="s">
        <v>1044</v>
      </c>
      <c r="J757">
        <v>4.8</v>
      </c>
      <c r="K757" t="e">
        <f>IF(COUNTIF(#REF!,Tabela2[[#This Row],[IdxWspolny]])&gt;0,"ELEM_lub_PRD","TECHN")</f>
        <v>#REF!</v>
      </c>
      <c r="L757" t="e">
        <f>IF(COUNTIF(#REF!,Tabela2[[#This Row],[KOD_PRODUKTU]])&gt;0,"ELEMENT","PRODUKT")</f>
        <v>#REF!</v>
      </c>
      <c r="M757" t="e">
        <f>COUNTIF(#REF!,Tabela2[[#This Row],[KOD_PRODUKTU]])</f>
        <v>#REF!</v>
      </c>
    </row>
    <row r="758" spans="1:13" x14ac:dyDescent="0.25">
      <c r="A758" s="1" t="s">
        <v>1432</v>
      </c>
      <c r="B758" t="s">
        <v>1433</v>
      </c>
      <c r="C758" s="1" t="s">
        <v>1047</v>
      </c>
      <c r="D758" s="1" t="s">
        <v>1047</v>
      </c>
      <c r="E758" s="1" t="s">
        <v>1047</v>
      </c>
      <c r="F758" t="s">
        <v>1048</v>
      </c>
      <c r="G758" t="s">
        <v>1434</v>
      </c>
      <c r="H758" t="s">
        <v>17</v>
      </c>
      <c r="I758" t="s">
        <v>1435</v>
      </c>
      <c r="J758">
        <v>5.65</v>
      </c>
      <c r="K758" t="e">
        <f>IF(COUNTIF(#REF!,Tabela2[[#This Row],[IdxWspolny]])&gt;0,"ELEM_lub_PRD","TECHN")</f>
        <v>#REF!</v>
      </c>
      <c r="L758" t="e">
        <f>IF(COUNTIF(#REF!,Tabela2[[#This Row],[KOD_PRODUKTU]])&gt;0,"ELEMENT","PRODUKT")</f>
        <v>#REF!</v>
      </c>
      <c r="M758" t="e">
        <f>COUNTIF(#REF!,Tabela2[[#This Row],[KOD_PRODUKTU]])</f>
        <v>#REF!</v>
      </c>
    </row>
    <row r="759" spans="1:13" x14ac:dyDescent="0.25">
      <c r="A759" s="1" t="s">
        <v>1432</v>
      </c>
      <c r="B759" t="s">
        <v>1433</v>
      </c>
      <c r="C759" s="1" t="s">
        <v>7</v>
      </c>
      <c r="D759" s="1" t="s">
        <v>7</v>
      </c>
      <c r="E759" s="1" t="s">
        <v>7</v>
      </c>
      <c r="F759" t="s">
        <v>8</v>
      </c>
      <c r="G759" t="s">
        <v>9</v>
      </c>
      <c r="H759" t="s">
        <v>10</v>
      </c>
      <c r="I759" t="s">
        <v>1436</v>
      </c>
      <c r="J759">
        <v>4.95</v>
      </c>
      <c r="K759" t="e">
        <f>IF(COUNTIF(#REF!,Tabela2[[#This Row],[IdxWspolny]])&gt;0,"ELEM_lub_PRD","TECHN")</f>
        <v>#REF!</v>
      </c>
      <c r="L759" t="e">
        <f>IF(COUNTIF(#REF!,Tabela2[[#This Row],[KOD_PRODUKTU]])&gt;0,"ELEMENT","PRODUKT")</f>
        <v>#REF!</v>
      </c>
      <c r="M759" t="e">
        <f>COUNTIF(#REF!,Tabela2[[#This Row],[KOD_PRODUKTU]])</f>
        <v>#REF!</v>
      </c>
    </row>
    <row r="760" spans="1:13" x14ac:dyDescent="0.25">
      <c r="A760" s="1" t="s">
        <v>1437</v>
      </c>
      <c r="B760" t="s">
        <v>1438</v>
      </c>
      <c r="C760" s="1" t="s">
        <v>1047</v>
      </c>
      <c r="D760" s="1" t="s">
        <v>1047</v>
      </c>
      <c r="E760" s="1" t="s">
        <v>1047</v>
      </c>
      <c r="F760" t="s">
        <v>1048</v>
      </c>
      <c r="G760" t="s">
        <v>1434</v>
      </c>
      <c r="H760" t="s">
        <v>17</v>
      </c>
      <c r="I760" t="s">
        <v>1439</v>
      </c>
      <c r="J760">
        <v>9.9499999999999993</v>
      </c>
      <c r="K760" t="e">
        <f>IF(COUNTIF(#REF!,Tabela2[[#This Row],[IdxWspolny]])&gt;0,"ELEM_lub_PRD","TECHN")</f>
        <v>#REF!</v>
      </c>
      <c r="L760" t="e">
        <f>IF(COUNTIF(#REF!,Tabela2[[#This Row],[KOD_PRODUKTU]])&gt;0,"ELEMENT","PRODUKT")</f>
        <v>#REF!</v>
      </c>
      <c r="M760" t="e">
        <f>COUNTIF(#REF!,Tabela2[[#This Row],[KOD_PRODUKTU]])</f>
        <v>#REF!</v>
      </c>
    </row>
    <row r="761" spans="1:13" x14ac:dyDescent="0.25">
      <c r="A761" s="1" t="s">
        <v>1437</v>
      </c>
      <c r="B761" t="s">
        <v>1438</v>
      </c>
      <c r="C761" s="1" t="s">
        <v>7</v>
      </c>
      <c r="D761" s="1" t="s">
        <v>7</v>
      </c>
      <c r="E761" s="1" t="s">
        <v>7</v>
      </c>
      <c r="F761" t="s">
        <v>8</v>
      </c>
      <c r="G761" t="s">
        <v>9</v>
      </c>
      <c r="H761" t="s">
        <v>10</v>
      </c>
      <c r="I761" t="s">
        <v>1436</v>
      </c>
      <c r="J761">
        <v>4.95</v>
      </c>
      <c r="K761" t="e">
        <f>IF(COUNTIF(#REF!,Tabela2[[#This Row],[IdxWspolny]])&gt;0,"ELEM_lub_PRD","TECHN")</f>
        <v>#REF!</v>
      </c>
      <c r="L761" t="e">
        <f>IF(COUNTIF(#REF!,Tabela2[[#This Row],[KOD_PRODUKTU]])&gt;0,"ELEMENT","PRODUKT")</f>
        <v>#REF!</v>
      </c>
      <c r="M761" t="e">
        <f>COUNTIF(#REF!,Tabela2[[#This Row],[KOD_PRODUKTU]])</f>
        <v>#REF!</v>
      </c>
    </row>
    <row r="762" spans="1:13" x14ac:dyDescent="0.25">
      <c r="A762" s="1" t="s">
        <v>1440</v>
      </c>
      <c r="B762" t="s">
        <v>1441</v>
      </c>
      <c r="C762" s="1" t="s">
        <v>1442</v>
      </c>
      <c r="D762" s="1" t="s">
        <v>1442</v>
      </c>
      <c r="E762" s="1" t="s">
        <v>1442</v>
      </c>
      <c r="F762" t="s">
        <v>1443</v>
      </c>
      <c r="G762" t="s">
        <v>1444</v>
      </c>
      <c r="H762" t="s">
        <v>17</v>
      </c>
      <c r="I762" t="s">
        <v>33</v>
      </c>
      <c r="J762">
        <v>2.85</v>
      </c>
      <c r="K762" t="e">
        <f>IF(COUNTIF(#REF!,Tabela2[[#This Row],[IdxWspolny]])&gt;0,"ELEM_lub_PRD","TECHN")</f>
        <v>#REF!</v>
      </c>
      <c r="L762" t="e">
        <f>IF(COUNTIF(#REF!,Tabela2[[#This Row],[KOD_PRODUKTU]])&gt;0,"ELEMENT","PRODUKT")</f>
        <v>#REF!</v>
      </c>
      <c r="M762" t="e">
        <f>COUNTIF(#REF!,Tabela2[[#This Row],[KOD_PRODUKTU]])</f>
        <v>#REF!</v>
      </c>
    </row>
    <row r="763" spans="1:13" x14ac:dyDescent="0.25">
      <c r="A763" s="1" t="s">
        <v>1440</v>
      </c>
      <c r="B763" t="s">
        <v>1441</v>
      </c>
      <c r="C763" s="1" t="s">
        <v>7</v>
      </c>
      <c r="D763" s="1" t="s">
        <v>7</v>
      </c>
      <c r="E763" s="1" t="s">
        <v>7</v>
      </c>
      <c r="F763" t="s">
        <v>8</v>
      </c>
      <c r="G763" t="s">
        <v>9</v>
      </c>
      <c r="H763" t="s">
        <v>10</v>
      </c>
      <c r="I763" t="s">
        <v>1114</v>
      </c>
      <c r="J763">
        <v>3.15</v>
      </c>
      <c r="K763" t="e">
        <f>IF(COUNTIF(#REF!,Tabela2[[#This Row],[IdxWspolny]])&gt;0,"ELEM_lub_PRD","TECHN")</f>
        <v>#REF!</v>
      </c>
      <c r="L763" t="e">
        <f>IF(COUNTIF(#REF!,Tabela2[[#This Row],[KOD_PRODUKTU]])&gt;0,"ELEMENT","PRODUKT")</f>
        <v>#REF!</v>
      </c>
      <c r="M763" t="e">
        <f>COUNTIF(#REF!,Tabela2[[#This Row],[KOD_PRODUKTU]])</f>
        <v>#REF!</v>
      </c>
    </row>
    <row r="764" spans="1:13" x14ac:dyDescent="0.25">
      <c r="A764" s="1" t="s">
        <v>1445</v>
      </c>
      <c r="B764" t="s">
        <v>1446</v>
      </c>
      <c r="C764" s="1" t="s">
        <v>1447</v>
      </c>
      <c r="D764" s="1" t="s">
        <v>1447</v>
      </c>
      <c r="E764" s="1" t="s">
        <v>1447</v>
      </c>
      <c r="F764" t="s">
        <v>1448</v>
      </c>
      <c r="G764" t="s">
        <v>1449</v>
      </c>
      <c r="H764" t="s">
        <v>5</v>
      </c>
      <c r="I764" t="s">
        <v>1450</v>
      </c>
      <c r="J764">
        <v>1.25</v>
      </c>
      <c r="K764" t="e">
        <f>IF(COUNTIF(#REF!,Tabela2[[#This Row],[IdxWspolny]])&gt;0,"ELEM_lub_PRD","TECHN")</f>
        <v>#REF!</v>
      </c>
      <c r="L764" t="e">
        <f>IF(COUNTIF(#REF!,Tabela2[[#This Row],[KOD_PRODUKTU]])&gt;0,"ELEMENT","PRODUKT")</f>
        <v>#REF!</v>
      </c>
      <c r="M764" t="e">
        <f>COUNTIF(#REF!,Tabela2[[#This Row],[KOD_PRODUKTU]])</f>
        <v>#REF!</v>
      </c>
    </row>
    <row r="765" spans="1:13" x14ac:dyDescent="0.25">
      <c r="A765" s="1" t="s">
        <v>1445</v>
      </c>
      <c r="B765" t="s">
        <v>1446</v>
      </c>
      <c r="C765" s="1" t="s">
        <v>7</v>
      </c>
      <c r="D765" s="1" t="s">
        <v>7</v>
      </c>
      <c r="E765" s="1" t="s">
        <v>7</v>
      </c>
      <c r="F765" t="s">
        <v>8</v>
      </c>
      <c r="G765" t="s">
        <v>9</v>
      </c>
      <c r="H765" t="s">
        <v>10</v>
      </c>
      <c r="I765" t="s">
        <v>1451</v>
      </c>
      <c r="J765">
        <v>4.5</v>
      </c>
      <c r="K765" t="e">
        <f>IF(COUNTIF(#REF!,Tabela2[[#This Row],[IdxWspolny]])&gt;0,"ELEM_lub_PRD","TECHN")</f>
        <v>#REF!</v>
      </c>
      <c r="L765" t="e">
        <f>IF(COUNTIF(#REF!,Tabela2[[#This Row],[KOD_PRODUKTU]])&gt;0,"ELEMENT","PRODUKT")</f>
        <v>#REF!</v>
      </c>
      <c r="M765" t="e">
        <f>COUNTIF(#REF!,Tabela2[[#This Row],[KOD_PRODUKTU]])</f>
        <v>#REF!</v>
      </c>
    </row>
    <row r="766" spans="1:13" x14ac:dyDescent="0.25">
      <c r="A766" s="1" t="s">
        <v>1452</v>
      </c>
      <c r="B766" t="s">
        <v>1453</v>
      </c>
      <c r="C766" s="1" t="s">
        <v>1041</v>
      </c>
      <c r="D766" s="1" t="s">
        <v>1041</v>
      </c>
      <c r="E766" s="1" t="s">
        <v>1041</v>
      </c>
      <c r="F766" t="s">
        <v>1042</v>
      </c>
      <c r="G766" t="s">
        <v>1043</v>
      </c>
      <c r="H766" t="s">
        <v>17</v>
      </c>
      <c r="I766" t="s">
        <v>1383</v>
      </c>
      <c r="J766">
        <v>5.25</v>
      </c>
      <c r="K766" t="e">
        <f>IF(COUNTIF(#REF!,Tabela2[[#This Row],[IdxWspolny]])&gt;0,"ELEM_lub_PRD","TECHN")</f>
        <v>#REF!</v>
      </c>
      <c r="L766" t="e">
        <f>IF(COUNTIF(#REF!,Tabela2[[#This Row],[KOD_PRODUKTU]])&gt;0,"ELEMENT","PRODUKT")</f>
        <v>#REF!</v>
      </c>
      <c r="M766" t="e">
        <f>COUNTIF(#REF!,Tabela2[[#This Row],[KOD_PRODUKTU]])</f>
        <v>#REF!</v>
      </c>
    </row>
    <row r="767" spans="1:13" x14ac:dyDescent="0.25">
      <c r="A767" s="1" t="s">
        <v>1452</v>
      </c>
      <c r="B767" t="s">
        <v>1453</v>
      </c>
      <c r="C767" s="1" t="s">
        <v>7</v>
      </c>
      <c r="D767" s="1" t="s">
        <v>7</v>
      </c>
      <c r="E767" s="1" t="s">
        <v>7</v>
      </c>
      <c r="F767" t="s">
        <v>8</v>
      </c>
      <c r="G767" t="s">
        <v>9</v>
      </c>
      <c r="H767" t="s">
        <v>10</v>
      </c>
      <c r="I767" t="s">
        <v>594</v>
      </c>
      <c r="J767">
        <v>11.5</v>
      </c>
      <c r="K767" t="e">
        <f>IF(COUNTIF(#REF!,Tabela2[[#This Row],[IdxWspolny]])&gt;0,"ELEM_lub_PRD","TECHN")</f>
        <v>#REF!</v>
      </c>
      <c r="L767" t="e">
        <f>IF(COUNTIF(#REF!,Tabela2[[#This Row],[KOD_PRODUKTU]])&gt;0,"ELEMENT","PRODUKT")</f>
        <v>#REF!</v>
      </c>
      <c r="M767" t="e">
        <f>COUNTIF(#REF!,Tabela2[[#This Row],[KOD_PRODUKTU]])</f>
        <v>#REF!</v>
      </c>
    </row>
    <row r="768" spans="1:13" x14ac:dyDescent="0.25">
      <c r="A768" s="1" t="s">
        <v>1454</v>
      </c>
      <c r="B768" t="s">
        <v>1455</v>
      </c>
      <c r="C768" s="1" t="s">
        <v>1022</v>
      </c>
      <c r="D768" s="1" t="s">
        <v>1022</v>
      </c>
      <c r="E768" s="1" t="s">
        <v>1022</v>
      </c>
      <c r="F768" t="s">
        <v>1023</v>
      </c>
      <c r="G768" t="s">
        <v>1024</v>
      </c>
      <c r="H768" t="s">
        <v>932</v>
      </c>
      <c r="I768" t="s">
        <v>1456</v>
      </c>
      <c r="J768">
        <v>2.2999999999999998</v>
      </c>
      <c r="K768" t="e">
        <f>IF(COUNTIF(#REF!,Tabela2[[#This Row],[IdxWspolny]])&gt;0,"ELEM_lub_PRD","TECHN")</f>
        <v>#REF!</v>
      </c>
      <c r="L768" t="e">
        <f>IF(COUNTIF(#REF!,Tabela2[[#This Row],[KOD_PRODUKTU]])&gt;0,"ELEMENT","PRODUKT")</f>
        <v>#REF!</v>
      </c>
      <c r="M768" t="e">
        <f>COUNTIF(#REF!,Tabela2[[#This Row],[KOD_PRODUKTU]])</f>
        <v>#REF!</v>
      </c>
    </row>
    <row r="769" spans="1:13" x14ac:dyDescent="0.25">
      <c r="A769" s="1" t="s">
        <v>1454</v>
      </c>
      <c r="B769" t="s">
        <v>1455</v>
      </c>
      <c r="C769" s="1" t="s">
        <v>541</v>
      </c>
      <c r="D769" s="1" t="s">
        <v>541</v>
      </c>
      <c r="E769" s="1" t="s">
        <v>541</v>
      </c>
      <c r="F769" t="s">
        <v>542</v>
      </c>
      <c r="G769" t="s">
        <v>9</v>
      </c>
      <c r="H769" t="s">
        <v>10</v>
      </c>
      <c r="I769" t="s">
        <v>33</v>
      </c>
      <c r="J769">
        <v>9.1999999999999993</v>
      </c>
      <c r="K769" t="e">
        <f>IF(COUNTIF(#REF!,Tabela2[[#This Row],[IdxWspolny]])&gt;0,"ELEM_lub_PRD","TECHN")</f>
        <v>#REF!</v>
      </c>
      <c r="L769" t="e">
        <f>IF(COUNTIF(#REF!,Tabela2[[#This Row],[KOD_PRODUKTU]])&gt;0,"ELEMENT","PRODUKT")</f>
        <v>#REF!</v>
      </c>
      <c r="M769" t="e">
        <f>COUNTIF(#REF!,Tabela2[[#This Row],[KOD_PRODUKTU]])</f>
        <v>#REF!</v>
      </c>
    </row>
    <row r="770" spans="1:13" x14ac:dyDescent="0.25">
      <c r="A770" s="1" t="s">
        <v>1457</v>
      </c>
      <c r="B770" t="s">
        <v>1458</v>
      </c>
      <c r="C770" s="1" t="s">
        <v>1022</v>
      </c>
      <c r="D770" s="1" t="s">
        <v>1022</v>
      </c>
      <c r="E770" s="1" t="s">
        <v>1022</v>
      </c>
      <c r="F770" t="s">
        <v>1023</v>
      </c>
      <c r="G770" t="s">
        <v>1024</v>
      </c>
      <c r="H770" t="s">
        <v>932</v>
      </c>
      <c r="I770" t="s">
        <v>1459</v>
      </c>
      <c r="J770">
        <v>2.1</v>
      </c>
      <c r="K770" t="e">
        <f>IF(COUNTIF(#REF!,Tabela2[[#This Row],[IdxWspolny]])&gt;0,"ELEM_lub_PRD","TECHN")</f>
        <v>#REF!</v>
      </c>
      <c r="L770" t="e">
        <f>IF(COUNTIF(#REF!,Tabela2[[#This Row],[KOD_PRODUKTU]])&gt;0,"ELEMENT","PRODUKT")</f>
        <v>#REF!</v>
      </c>
      <c r="M770" t="e">
        <f>COUNTIF(#REF!,Tabela2[[#This Row],[KOD_PRODUKTU]])</f>
        <v>#REF!</v>
      </c>
    </row>
    <row r="771" spans="1:13" x14ac:dyDescent="0.25">
      <c r="A771" s="1" t="s">
        <v>1457</v>
      </c>
      <c r="B771" t="s">
        <v>1458</v>
      </c>
      <c r="C771" s="1" t="s">
        <v>541</v>
      </c>
      <c r="D771" s="1" t="s">
        <v>541</v>
      </c>
      <c r="E771" s="1" t="s">
        <v>541</v>
      </c>
      <c r="F771" t="s">
        <v>542</v>
      </c>
      <c r="G771" t="s">
        <v>9</v>
      </c>
      <c r="H771" t="s">
        <v>10</v>
      </c>
      <c r="I771" t="s">
        <v>33</v>
      </c>
      <c r="J771">
        <v>9.1999999999999993</v>
      </c>
      <c r="K771" t="e">
        <f>IF(COUNTIF(#REF!,Tabela2[[#This Row],[IdxWspolny]])&gt;0,"ELEM_lub_PRD","TECHN")</f>
        <v>#REF!</v>
      </c>
      <c r="L771" t="e">
        <f>IF(COUNTIF(#REF!,Tabela2[[#This Row],[KOD_PRODUKTU]])&gt;0,"ELEMENT","PRODUKT")</f>
        <v>#REF!</v>
      </c>
      <c r="M771" t="e">
        <f>COUNTIF(#REF!,Tabela2[[#This Row],[KOD_PRODUKTU]])</f>
        <v>#REF!</v>
      </c>
    </row>
    <row r="772" spans="1:13" x14ac:dyDescent="0.25">
      <c r="A772" s="1" t="s">
        <v>1460</v>
      </c>
      <c r="B772" t="s">
        <v>1461</v>
      </c>
      <c r="C772" s="1" t="s">
        <v>1022</v>
      </c>
      <c r="D772" s="1" t="s">
        <v>1022</v>
      </c>
      <c r="E772" s="1" t="s">
        <v>1022</v>
      </c>
      <c r="F772" t="s">
        <v>1023</v>
      </c>
      <c r="G772" t="s">
        <v>1024</v>
      </c>
      <c r="H772" t="s">
        <v>932</v>
      </c>
      <c r="I772" t="s">
        <v>1462</v>
      </c>
      <c r="J772">
        <v>3.15</v>
      </c>
      <c r="K772" t="e">
        <f>IF(COUNTIF(#REF!,Tabela2[[#This Row],[IdxWspolny]])&gt;0,"ELEM_lub_PRD","TECHN")</f>
        <v>#REF!</v>
      </c>
      <c r="L772" t="e">
        <f>IF(COUNTIF(#REF!,Tabela2[[#This Row],[KOD_PRODUKTU]])&gt;0,"ELEMENT","PRODUKT")</f>
        <v>#REF!</v>
      </c>
      <c r="M772" t="e">
        <f>COUNTIF(#REF!,Tabela2[[#This Row],[KOD_PRODUKTU]])</f>
        <v>#REF!</v>
      </c>
    </row>
    <row r="773" spans="1:13" x14ac:dyDescent="0.25">
      <c r="A773" s="1" t="s">
        <v>1460</v>
      </c>
      <c r="B773" t="s">
        <v>1461</v>
      </c>
      <c r="C773" s="1" t="s">
        <v>541</v>
      </c>
      <c r="D773" s="1" t="s">
        <v>541</v>
      </c>
      <c r="E773" s="1" t="s">
        <v>541</v>
      </c>
      <c r="F773" t="s">
        <v>542</v>
      </c>
      <c r="G773" t="s">
        <v>9</v>
      </c>
      <c r="H773" t="s">
        <v>10</v>
      </c>
      <c r="I773" t="s">
        <v>1463</v>
      </c>
      <c r="J773">
        <v>9.9499999999999993</v>
      </c>
      <c r="K773" t="e">
        <f>IF(COUNTIF(#REF!,Tabela2[[#This Row],[IdxWspolny]])&gt;0,"ELEM_lub_PRD","TECHN")</f>
        <v>#REF!</v>
      </c>
      <c r="L773" t="e">
        <f>IF(COUNTIF(#REF!,Tabela2[[#This Row],[KOD_PRODUKTU]])&gt;0,"ELEMENT","PRODUKT")</f>
        <v>#REF!</v>
      </c>
      <c r="M773" t="e">
        <f>COUNTIF(#REF!,Tabela2[[#This Row],[KOD_PRODUKTU]])</f>
        <v>#REF!</v>
      </c>
    </row>
    <row r="774" spans="1:13" x14ac:dyDescent="0.25">
      <c r="A774" s="1" t="s">
        <v>1464</v>
      </c>
      <c r="B774" t="s">
        <v>1465</v>
      </c>
      <c r="C774" s="1" t="s">
        <v>1022</v>
      </c>
      <c r="D774" s="1" t="s">
        <v>1022</v>
      </c>
      <c r="E774" s="1" t="s">
        <v>1022</v>
      </c>
      <c r="F774" t="s">
        <v>1023</v>
      </c>
      <c r="G774" t="s">
        <v>1024</v>
      </c>
      <c r="H774" t="s">
        <v>932</v>
      </c>
      <c r="I774" t="s">
        <v>1466</v>
      </c>
      <c r="J774">
        <v>2.7</v>
      </c>
      <c r="K774" t="e">
        <f>IF(COUNTIF(#REF!,Tabela2[[#This Row],[IdxWspolny]])&gt;0,"ELEM_lub_PRD","TECHN")</f>
        <v>#REF!</v>
      </c>
      <c r="L774" t="e">
        <f>IF(COUNTIF(#REF!,Tabela2[[#This Row],[KOD_PRODUKTU]])&gt;0,"ELEMENT","PRODUKT")</f>
        <v>#REF!</v>
      </c>
      <c r="M774" t="e">
        <f>COUNTIF(#REF!,Tabela2[[#This Row],[KOD_PRODUKTU]])</f>
        <v>#REF!</v>
      </c>
    </row>
    <row r="775" spans="1:13" x14ac:dyDescent="0.25">
      <c r="A775" s="1" t="s">
        <v>1464</v>
      </c>
      <c r="B775" t="s">
        <v>1465</v>
      </c>
      <c r="C775" s="1" t="s">
        <v>541</v>
      </c>
      <c r="D775" s="1" t="s">
        <v>541</v>
      </c>
      <c r="E775" s="1" t="s">
        <v>541</v>
      </c>
      <c r="F775" t="s">
        <v>542</v>
      </c>
      <c r="G775" t="s">
        <v>9</v>
      </c>
      <c r="H775" t="s">
        <v>10</v>
      </c>
      <c r="I775" t="s">
        <v>1463</v>
      </c>
      <c r="J775">
        <v>9.9499999999999993</v>
      </c>
      <c r="K775" t="e">
        <f>IF(COUNTIF(#REF!,Tabela2[[#This Row],[IdxWspolny]])&gt;0,"ELEM_lub_PRD","TECHN")</f>
        <v>#REF!</v>
      </c>
      <c r="L775" t="e">
        <f>IF(COUNTIF(#REF!,Tabela2[[#This Row],[KOD_PRODUKTU]])&gt;0,"ELEMENT","PRODUKT")</f>
        <v>#REF!</v>
      </c>
      <c r="M775" t="e">
        <f>COUNTIF(#REF!,Tabela2[[#This Row],[KOD_PRODUKTU]])</f>
        <v>#REF!</v>
      </c>
    </row>
    <row r="776" spans="1:13" x14ac:dyDescent="0.25">
      <c r="A776" s="1" t="s">
        <v>1467</v>
      </c>
      <c r="B776" t="s">
        <v>1468</v>
      </c>
      <c r="C776" s="1" t="s">
        <v>2</v>
      </c>
      <c r="D776" s="1" t="s">
        <v>2</v>
      </c>
      <c r="E776" s="1" t="s">
        <v>2</v>
      </c>
      <c r="F776" t="s">
        <v>3</v>
      </c>
      <c r="G776" t="s">
        <v>4</v>
      </c>
      <c r="H776" t="s">
        <v>5</v>
      </c>
      <c r="I776" t="s">
        <v>6</v>
      </c>
      <c r="J776">
        <v>0.6</v>
      </c>
      <c r="K776" t="e">
        <f>IF(COUNTIF(#REF!,Tabela2[[#This Row],[IdxWspolny]])&gt;0,"ELEM_lub_PRD","TECHN")</f>
        <v>#REF!</v>
      </c>
      <c r="L776" t="e">
        <f>IF(COUNTIF(#REF!,Tabela2[[#This Row],[KOD_PRODUKTU]])&gt;0,"ELEMENT","PRODUKT")</f>
        <v>#REF!</v>
      </c>
      <c r="M776" t="e">
        <f>COUNTIF(#REF!,Tabela2[[#This Row],[KOD_PRODUKTU]])</f>
        <v>#REF!</v>
      </c>
    </row>
    <row r="777" spans="1:13" x14ac:dyDescent="0.25">
      <c r="A777" s="1" t="s">
        <v>1467</v>
      </c>
      <c r="B777" t="s">
        <v>1468</v>
      </c>
      <c r="C777" s="1" t="s">
        <v>432</v>
      </c>
      <c r="D777" s="1" t="s">
        <v>432</v>
      </c>
      <c r="E777" s="1" t="s">
        <v>432</v>
      </c>
      <c r="F777" t="s">
        <v>433</v>
      </c>
      <c r="G777" t="s">
        <v>434</v>
      </c>
      <c r="H777" t="s">
        <v>435</v>
      </c>
      <c r="I777" t="s">
        <v>50</v>
      </c>
      <c r="J777">
        <v>1.1000000000000001</v>
      </c>
      <c r="K777" t="e">
        <f>IF(COUNTIF(#REF!,Tabela2[[#This Row],[IdxWspolny]])&gt;0,"ELEM_lub_PRD","TECHN")</f>
        <v>#REF!</v>
      </c>
      <c r="L777" t="e">
        <f>IF(COUNTIF(#REF!,Tabela2[[#This Row],[KOD_PRODUKTU]])&gt;0,"ELEMENT","PRODUKT")</f>
        <v>#REF!</v>
      </c>
      <c r="M777" t="e">
        <f>COUNTIF(#REF!,Tabela2[[#This Row],[KOD_PRODUKTU]])</f>
        <v>#REF!</v>
      </c>
    </row>
    <row r="778" spans="1:13" x14ac:dyDescent="0.25">
      <c r="A778" s="1" t="s">
        <v>1467</v>
      </c>
      <c r="B778" t="s">
        <v>1468</v>
      </c>
      <c r="C778" s="1" t="s">
        <v>7</v>
      </c>
      <c r="D778" s="1" t="s">
        <v>7</v>
      </c>
      <c r="E778" s="1" t="s">
        <v>7</v>
      </c>
      <c r="F778" t="s">
        <v>8</v>
      </c>
      <c r="G778" t="s">
        <v>9</v>
      </c>
      <c r="H778" t="s">
        <v>10</v>
      </c>
      <c r="I778" t="s">
        <v>1469</v>
      </c>
      <c r="J778">
        <v>7.25</v>
      </c>
      <c r="K778" t="e">
        <f>IF(COUNTIF(#REF!,Tabela2[[#This Row],[IdxWspolny]])&gt;0,"ELEM_lub_PRD","TECHN")</f>
        <v>#REF!</v>
      </c>
      <c r="L778" t="e">
        <f>IF(COUNTIF(#REF!,Tabela2[[#This Row],[KOD_PRODUKTU]])&gt;0,"ELEMENT","PRODUKT")</f>
        <v>#REF!</v>
      </c>
      <c r="M778" t="e">
        <f>COUNTIF(#REF!,Tabela2[[#This Row],[KOD_PRODUKTU]])</f>
        <v>#REF!</v>
      </c>
    </row>
    <row r="779" spans="1:13" x14ac:dyDescent="0.25">
      <c r="A779" s="1" t="s">
        <v>1470</v>
      </c>
      <c r="B779" t="s">
        <v>1471</v>
      </c>
      <c r="C779" s="1" t="s">
        <v>2</v>
      </c>
      <c r="D779" s="1" t="s">
        <v>2</v>
      </c>
      <c r="E779" s="1" t="s">
        <v>2</v>
      </c>
      <c r="F779" t="s">
        <v>3</v>
      </c>
      <c r="G779" t="s">
        <v>4</v>
      </c>
      <c r="H779" t="s">
        <v>5</v>
      </c>
      <c r="I779" t="s">
        <v>1472</v>
      </c>
      <c r="J779">
        <v>0.5</v>
      </c>
      <c r="K779" t="e">
        <f>IF(COUNTIF(#REF!,Tabela2[[#This Row],[IdxWspolny]])&gt;0,"ELEM_lub_PRD","TECHN")</f>
        <v>#REF!</v>
      </c>
      <c r="L779" t="e">
        <f>IF(COUNTIF(#REF!,Tabela2[[#This Row],[KOD_PRODUKTU]])&gt;0,"ELEMENT","PRODUKT")</f>
        <v>#REF!</v>
      </c>
      <c r="M779" t="e">
        <f>COUNTIF(#REF!,Tabela2[[#This Row],[KOD_PRODUKTU]])</f>
        <v>#REF!</v>
      </c>
    </row>
    <row r="780" spans="1:13" x14ac:dyDescent="0.25">
      <c r="A780" s="1" t="s">
        <v>1470</v>
      </c>
      <c r="B780" t="s">
        <v>1471</v>
      </c>
      <c r="C780" s="1" t="s">
        <v>432</v>
      </c>
      <c r="D780" s="1" t="s">
        <v>432</v>
      </c>
      <c r="E780" s="1" t="s">
        <v>432</v>
      </c>
      <c r="F780" t="s">
        <v>433</v>
      </c>
      <c r="G780" t="s">
        <v>434</v>
      </c>
      <c r="H780" t="s">
        <v>435</v>
      </c>
      <c r="I780" t="s">
        <v>50</v>
      </c>
      <c r="J780">
        <v>1.1000000000000001</v>
      </c>
      <c r="K780" t="e">
        <f>IF(COUNTIF(#REF!,Tabela2[[#This Row],[IdxWspolny]])&gt;0,"ELEM_lub_PRD","TECHN")</f>
        <v>#REF!</v>
      </c>
      <c r="L780" t="e">
        <f>IF(COUNTIF(#REF!,Tabela2[[#This Row],[KOD_PRODUKTU]])&gt;0,"ELEMENT","PRODUKT")</f>
        <v>#REF!</v>
      </c>
      <c r="M780" t="e">
        <f>COUNTIF(#REF!,Tabela2[[#This Row],[KOD_PRODUKTU]])</f>
        <v>#REF!</v>
      </c>
    </row>
    <row r="781" spans="1:13" x14ac:dyDescent="0.25">
      <c r="A781" s="1" t="s">
        <v>1470</v>
      </c>
      <c r="B781" t="s">
        <v>1471</v>
      </c>
      <c r="C781" s="1" t="s">
        <v>7</v>
      </c>
      <c r="D781" s="1" t="s">
        <v>7</v>
      </c>
      <c r="E781" s="1" t="s">
        <v>7</v>
      </c>
      <c r="F781" t="s">
        <v>8</v>
      </c>
      <c r="G781" t="s">
        <v>9</v>
      </c>
      <c r="H781" t="s">
        <v>10</v>
      </c>
      <c r="I781" t="s">
        <v>1473</v>
      </c>
      <c r="J781">
        <v>7.25</v>
      </c>
      <c r="K781" t="e">
        <f>IF(COUNTIF(#REF!,Tabela2[[#This Row],[IdxWspolny]])&gt;0,"ELEM_lub_PRD","TECHN")</f>
        <v>#REF!</v>
      </c>
      <c r="L781" t="e">
        <f>IF(COUNTIF(#REF!,Tabela2[[#This Row],[KOD_PRODUKTU]])&gt;0,"ELEMENT","PRODUKT")</f>
        <v>#REF!</v>
      </c>
      <c r="M781" t="e">
        <f>COUNTIF(#REF!,Tabela2[[#This Row],[KOD_PRODUKTU]])</f>
        <v>#REF!</v>
      </c>
    </row>
    <row r="782" spans="1:13" x14ac:dyDescent="0.25">
      <c r="A782" s="1" t="s">
        <v>85</v>
      </c>
      <c r="B782" t="s">
        <v>86</v>
      </c>
      <c r="C782" s="1" t="s">
        <v>1188</v>
      </c>
      <c r="D782" s="1" t="s">
        <v>1188</v>
      </c>
      <c r="E782" s="1" t="s">
        <v>1188</v>
      </c>
      <c r="F782" t="s">
        <v>1189</v>
      </c>
      <c r="G782" t="s">
        <v>1190</v>
      </c>
      <c r="H782" t="s">
        <v>5</v>
      </c>
      <c r="I782" t="s">
        <v>1474</v>
      </c>
      <c r="J782">
        <v>1.4</v>
      </c>
      <c r="K782" t="e">
        <f>IF(COUNTIF(#REF!,Tabela2[[#This Row],[IdxWspolny]])&gt;0,"ELEM_lub_PRD","TECHN")</f>
        <v>#REF!</v>
      </c>
      <c r="L782" t="e">
        <f>IF(COUNTIF(#REF!,Tabela2[[#This Row],[KOD_PRODUKTU]])&gt;0,"ELEMENT","PRODUKT")</f>
        <v>#REF!</v>
      </c>
      <c r="M782" t="e">
        <f>COUNTIF(#REF!,Tabela2[[#This Row],[KOD_PRODUKTU]])</f>
        <v>#REF!</v>
      </c>
    </row>
    <row r="783" spans="1:13" x14ac:dyDescent="0.25">
      <c r="A783" s="1" t="s">
        <v>85</v>
      </c>
      <c r="B783" t="s">
        <v>86</v>
      </c>
      <c r="C783" s="1" t="s">
        <v>1060</v>
      </c>
      <c r="D783" s="1" t="s">
        <v>1060</v>
      </c>
      <c r="E783" s="1" t="s">
        <v>1060</v>
      </c>
      <c r="F783" t="s">
        <v>433</v>
      </c>
      <c r="G783" t="s">
        <v>1061</v>
      </c>
      <c r="H783" t="s">
        <v>121</v>
      </c>
      <c r="I783" t="s">
        <v>50</v>
      </c>
      <c r="J783">
        <v>1.7</v>
      </c>
      <c r="K783" t="e">
        <f>IF(COUNTIF(#REF!,Tabela2[[#This Row],[IdxWspolny]])&gt;0,"ELEM_lub_PRD","TECHN")</f>
        <v>#REF!</v>
      </c>
      <c r="L783" t="e">
        <f>IF(COUNTIF(#REF!,Tabela2[[#This Row],[KOD_PRODUKTU]])&gt;0,"ELEMENT","PRODUKT")</f>
        <v>#REF!</v>
      </c>
      <c r="M783" t="e">
        <f>COUNTIF(#REF!,Tabela2[[#This Row],[KOD_PRODUKTU]])</f>
        <v>#REF!</v>
      </c>
    </row>
    <row r="784" spans="1:13" x14ac:dyDescent="0.25">
      <c r="A784" s="1" t="s">
        <v>85</v>
      </c>
      <c r="B784" t="s">
        <v>86</v>
      </c>
      <c r="C784" s="1" t="s">
        <v>7</v>
      </c>
      <c r="D784" s="1" t="s">
        <v>7</v>
      </c>
      <c r="E784" s="1" t="s">
        <v>7</v>
      </c>
      <c r="F784" t="s">
        <v>8</v>
      </c>
      <c r="G784" t="s">
        <v>9</v>
      </c>
      <c r="H784" t="s">
        <v>10</v>
      </c>
      <c r="I784" t="s">
        <v>1148</v>
      </c>
      <c r="J784">
        <v>5.8</v>
      </c>
      <c r="K784" t="e">
        <f>IF(COUNTIF(#REF!,Tabela2[[#This Row],[IdxWspolny]])&gt;0,"ELEM_lub_PRD","TECHN")</f>
        <v>#REF!</v>
      </c>
      <c r="L784" t="e">
        <f>IF(COUNTIF(#REF!,Tabela2[[#This Row],[KOD_PRODUKTU]])&gt;0,"ELEMENT","PRODUKT")</f>
        <v>#REF!</v>
      </c>
      <c r="M784" t="e">
        <f>COUNTIF(#REF!,Tabela2[[#This Row],[KOD_PRODUKTU]])</f>
        <v>#REF!</v>
      </c>
    </row>
    <row r="785" spans="1:13" x14ac:dyDescent="0.25">
      <c r="A785" s="1" t="s">
        <v>1475</v>
      </c>
      <c r="B785" t="s">
        <v>1476</v>
      </c>
      <c r="C785" s="1" t="s">
        <v>1477</v>
      </c>
      <c r="D785" s="1" t="s">
        <v>1477</v>
      </c>
      <c r="E785" s="1" t="s">
        <v>1477</v>
      </c>
      <c r="F785" t="s">
        <v>1478</v>
      </c>
      <c r="G785" t="s">
        <v>1479</v>
      </c>
      <c r="H785" t="s">
        <v>5</v>
      </c>
      <c r="I785" t="s">
        <v>1480</v>
      </c>
      <c r="J785">
        <v>0.7</v>
      </c>
      <c r="K785" t="e">
        <f>IF(COUNTIF(#REF!,Tabela2[[#This Row],[IdxWspolny]])&gt;0,"ELEM_lub_PRD","TECHN")</f>
        <v>#REF!</v>
      </c>
      <c r="L785" t="e">
        <f>IF(COUNTIF(#REF!,Tabela2[[#This Row],[KOD_PRODUKTU]])&gt;0,"ELEMENT","PRODUKT")</f>
        <v>#REF!</v>
      </c>
      <c r="M785" t="e">
        <f>COUNTIF(#REF!,Tabela2[[#This Row],[KOD_PRODUKTU]])</f>
        <v>#REF!</v>
      </c>
    </row>
    <row r="786" spans="1:13" x14ac:dyDescent="0.25">
      <c r="A786" s="1" t="s">
        <v>1475</v>
      </c>
      <c r="B786" t="s">
        <v>1476</v>
      </c>
      <c r="C786" s="1" t="s">
        <v>7</v>
      </c>
      <c r="D786" s="1" t="s">
        <v>7</v>
      </c>
      <c r="E786" s="1" t="s">
        <v>7</v>
      </c>
      <c r="F786" t="s">
        <v>8</v>
      </c>
      <c r="G786" t="s">
        <v>9</v>
      </c>
      <c r="H786" t="s">
        <v>10</v>
      </c>
      <c r="I786" t="s">
        <v>1481</v>
      </c>
      <c r="J786">
        <v>2.7</v>
      </c>
      <c r="K786" t="e">
        <f>IF(COUNTIF(#REF!,Tabela2[[#This Row],[IdxWspolny]])&gt;0,"ELEM_lub_PRD","TECHN")</f>
        <v>#REF!</v>
      </c>
      <c r="L786" t="e">
        <f>IF(COUNTIF(#REF!,Tabela2[[#This Row],[KOD_PRODUKTU]])&gt;0,"ELEMENT","PRODUKT")</f>
        <v>#REF!</v>
      </c>
      <c r="M786" t="e">
        <f>COUNTIF(#REF!,Tabela2[[#This Row],[KOD_PRODUKTU]])</f>
        <v>#REF!</v>
      </c>
    </row>
    <row r="787" spans="1:13" x14ac:dyDescent="0.25">
      <c r="A787" s="1" t="s">
        <v>1482</v>
      </c>
      <c r="B787" t="s">
        <v>1483</v>
      </c>
      <c r="C787" s="1" t="s">
        <v>2</v>
      </c>
      <c r="D787" s="1" t="s">
        <v>2</v>
      </c>
      <c r="E787" s="1" t="s">
        <v>2</v>
      </c>
      <c r="F787" t="s">
        <v>3</v>
      </c>
      <c r="G787" t="s">
        <v>4</v>
      </c>
      <c r="H787" t="s">
        <v>5</v>
      </c>
      <c r="I787" t="s">
        <v>1484</v>
      </c>
      <c r="J787">
        <v>3.35</v>
      </c>
      <c r="K787" t="e">
        <f>IF(COUNTIF(#REF!,Tabela2[[#This Row],[IdxWspolny]])&gt;0,"ELEM_lub_PRD","TECHN")</f>
        <v>#REF!</v>
      </c>
      <c r="L787" t="e">
        <f>IF(COUNTIF(#REF!,Tabela2[[#This Row],[KOD_PRODUKTU]])&gt;0,"ELEMENT","PRODUKT")</f>
        <v>#REF!</v>
      </c>
      <c r="M787" t="e">
        <f>COUNTIF(#REF!,Tabela2[[#This Row],[KOD_PRODUKTU]])</f>
        <v>#REF!</v>
      </c>
    </row>
    <row r="788" spans="1:13" x14ac:dyDescent="0.25">
      <c r="A788" s="1" t="s">
        <v>1482</v>
      </c>
      <c r="B788" t="s">
        <v>1483</v>
      </c>
      <c r="C788" s="1" t="s">
        <v>432</v>
      </c>
      <c r="D788" s="1" t="s">
        <v>432</v>
      </c>
      <c r="E788" s="1" t="s">
        <v>432</v>
      </c>
      <c r="F788" t="s">
        <v>433</v>
      </c>
      <c r="G788" t="s">
        <v>434</v>
      </c>
      <c r="H788" t="s">
        <v>435</v>
      </c>
      <c r="I788" t="s">
        <v>994</v>
      </c>
      <c r="J788">
        <v>1.5</v>
      </c>
      <c r="K788" t="e">
        <f>IF(COUNTIF(#REF!,Tabela2[[#This Row],[IdxWspolny]])&gt;0,"ELEM_lub_PRD","TECHN")</f>
        <v>#REF!</v>
      </c>
      <c r="L788" t="e">
        <f>IF(COUNTIF(#REF!,Tabela2[[#This Row],[KOD_PRODUKTU]])&gt;0,"ELEMENT","PRODUKT")</f>
        <v>#REF!</v>
      </c>
      <c r="M788" t="e">
        <f>COUNTIF(#REF!,Tabela2[[#This Row],[KOD_PRODUKTU]])</f>
        <v>#REF!</v>
      </c>
    </row>
    <row r="789" spans="1:13" x14ac:dyDescent="0.25">
      <c r="A789" s="1" t="s">
        <v>1482</v>
      </c>
      <c r="B789" t="s">
        <v>1483</v>
      </c>
      <c r="C789" s="1" t="s">
        <v>7</v>
      </c>
      <c r="D789" s="1" t="s">
        <v>7</v>
      </c>
      <c r="E789" s="1" t="s">
        <v>7</v>
      </c>
      <c r="F789" t="s">
        <v>8</v>
      </c>
      <c r="G789" t="s">
        <v>9</v>
      </c>
      <c r="H789" t="s">
        <v>10</v>
      </c>
      <c r="I789" t="s">
        <v>1415</v>
      </c>
      <c r="J789">
        <v>9.6</v>
      </c>
      <c r="K789" t="e">
        <f>IF(COUNTIF(#REF!,Tabela2[[#This Row],[IdxWspolny]])&gt;0,"ELEM_lub_PRD","TECHN")</f>
        <v>#REF!</v>
      </c>
      <c r="L789" t="e">
        <f>IF(COUNTIF(#REF!,Tabela2[[#This Row],[KOD_PRODUKTU]])&gt;0,"ELEMENT","PRODUKT")</f>
        <v>#REF!</v>
      </c>
      <c r="M789" t="e">
        <f>COUNTIF(#REF!,Tabela2[[#This Row],[KOD_PRODUKTU]])</f>
        <v>#REF!</v>
      </c>
    </row>
    <row r="790" spans="1:13" x14ac:dyDescent="0.25">
      <c r="A790" s="1" t="s">
        <v>1485</v>
      </c>
      <c r="B790" t="s">
        <v>1486</v>
      </c>
      <c r="C790" s="1" t="s">
        <v>1487</v>
      </c>
      <c r="D790" s="1" t="s">
        <v>1487</v>
      </c>
      <c r="E790" s="1" t="s">
        <v>1487</v>
      </c>
      <c r="F790" t="s">
        <v>1488</v>
      </c>
      <c r="G790" t="s">
        <v>31</v>
      </c>
      <c r="H790" t="s">
        <v>5</v>
      </c>
      <c r="I790" t="s">
        <v>594</v>
      </c>
      <c r="J790">
        <v>2.65</v>
      </c>
      <c r="K790" t="e">
        <f>IF(COUNTIF(#REF!,Tabela2[[#This Row],[IdxWspolny]])&gt;0,"ELEM_lub_PRD","TECHN")</f>
        <v>#REF!</v>
      </c>
      <c r="L790" t="e">
        <f>IF(COUNTIF(#REF!,Tabela2[[#This Row],[KOD_PRODUKTU]])&gt;0,"ELEMENT","PRODUKT")</f>
        <v>#REF!</v>
      </c>
      <c r="M790" t="e">
        <f>COUNTIF(#REF!,Tabela2[[#This Row],[KOD_PRODUKTU]])</f>
        <v>#REF!</v>
      </c>
    </row>
    <row r="791" spans="1:13" x14ac:dyDescent="0.25">
      <c r="A791" s="1" t="s">
        <v>1485</v>
      </c>
      <c r="B791" t="s">
        <v>1486</v>
      </c>
      <c r="C791" s="1" t="s">
        <v>432</v>
      </c>
      <c r="D791" s="1" t="s">
        <v>432</v>
      </c>
      <c r="E791" s="1" t="s">
        <v>432</v>
      </c>
      <c r="F791" t="s">
        <v>433</v>
      </c>
      <c r="G791" t="s">
        <v>434</v>
      </c>
      <c r="H791" t="s">
        <v>435</v>
      </c>
      <c r="I791" t="s">
        <v>50</v>
      </c>
      <c r="J791">
        <v>1.1000000000000001</v>
      </c>
      <c r="K791" t="e">
        <f>IF(COUNTIF(#REF!,Tabela2[[#This Row],[IdxWspolny]])&gt;0,"ELEM_lub_PRD","TECHN")</f>
        <v>#REF!</v>
      </c>
      <c r="L791" t="e">
        <f>IF(COUNTIF(#REF!,Tabela2[[#This Row],[KOD_PRODUKTU]])&gt;0,"ELEMENT","PRODUKT")</f>
        <v>#REF!</v>
      </c>
      <c r="M791" t="e">
        <f>COUNTIF(#REF!,Tabela2[[#This Row],[KOD_PRODUKTU]])</f>
        <v>#REF!</v>
      </c>
    </row>
    <row r="792" spans="1:13" x14ac:dyDescent="0.25">
      <c r="A792" s="1" t="s">
        <v>1485</v>
      </c>
      <c r="B792" t="s">
        <v>1486</v>
      </c>
      <c r="C792" s="1" t="s">
        <v>7</v>
      </c>
      <c r="D792" s="1" t="s">
        <v>7</v>
      </c>
      <c r="E792" s="1" t="s">
        <v>7</v>
      </c>
      <c r="F792" t="s">
        <v>8</v>
      </c>
      <c r="G792" t="s">
        <v>9</v>
      </c>
      <c r="H792" t="s">
        <v>10</v>
      </c>
      <c r="I792" t="s">
        <v>1451</v>
      </c>
      <c r="J792">
        <v>4.5</v>
      </c>
      <c r="K792" t="e">
        <f>IF(COUNTIF(#REF!,Tabela2[[#This Row],[IdxWspolny]])&gt;0,"ELEM_lub_PRD","TECHN")</f>
        <v>#REF!</v>
      </c>
      <c r="L792" t="e">
        <f>IF(COUNTIF(#REF!,Tabela2[[#This Row],[KOD_PRODUKTU]])&gt;0,"ELEMENT","PRODUKT")</f>
        <v>#REF!</v>
      </c>
      <c r="M792" t="e">
        <f>COUNTIF(#REF!,Tabela2[[#This Row],[KOD_PRODUKTU]])</f>
        <v>#REF!</v>
      </c>
    </row>
    <row r="793" spans="1:13" x14ac:dyDescent="0.25">
      <c r="A793" s="1" t="s">
        <v>1489</v>
      </c>
      <c r="B793" t="s">
        <v>1490</v>
      </c>
      <c r="C793" s="1" t="s">
        <v>1487</v>
      </c>
      <c r="D793" s="1" t="s">
        <v>1487</v>
      </c>
      <c r="E793" s="1" t="s">
        <v>1487</v>
      </c>
      <c r="F793" t="s">
        <v>1488</v>
      </c>
      <c r="G793" t="s">
        <v>31</v>
      </c>
      <c r="H793" t="s">
        <v>5</v>
      </c>
      <c r="I793" t="s">
        <v>1491</v>
      </c>
      <c r="J793">
        <v>1.3</v>
      </c>
      <c r="K793" t="e">
        <f>IF(COUNTIF(#REF!,Tabela2[[#This Row],[IdxWspolny]])&gt;0,"ELEM_lub_PRD","TECHN")</f>
        <v>#REF!</v>
      </c>
      <c r="L793" t="e">
        <f>IF(COUNTIF(#REF!,Tabela2[[#This Row],[KOD_PRODUKTU]])&gt;0,"ELEMENT","PRODUKT")</f>
        <v>#REF!</v>
      </c>
      <c r="M793" t="e">
        <f>COUNTIF(#REF!,Tabela2[[#This Row],[KOD_PRODUKTU]])</f>
        <v>#REF!</v>
      </c>
    </row>
    <row r="794" spans="1:13" x14ac:dyDescent="0.25">
      <c r="A794" s="1" t="s">
        <v>1489</v>
      </c>
      <c r="B794" t="s">
        <v>1490</v>
      </c>
      <c r="C794" s="1" t="s">
        <v>432</v>
      </c>
      <c r="D794" s="1" t="s">
        <v>432</v>
      </c>
      <c r="E794" s="1" t="s">
        <v>432</v>
      </c>
      <c r="F794" t="s">
        <v>433</v>
      </c>
      <c r="G794" t="s">
        <v>434</v>
      </c>
      <c r="H794" t="s">
        <v>435</v>
      </c>
      <c r="I794" t="s">
        <v>50</v>
      </c>
      <c r="J794">
        <v>1.1000000000000001</v>
      </c>
      <c r="K794" t="e">
        <f>IF(COUNTIF(#REF!,Tabela2[[#This Row],[IdxWspolny]])&gt;0,"ELEM_lub_PRD","TECHN")</f>
        <v>#REF!</v>
      </c>
      <c r="L794" t="e">
        <f>IF(COUNTIF(#REF!,Tabela2[[#This Row],[KOD_PRODUKTU]])&gt;0,"ELEMENT","PRODUKT")</f>
        <v>#REF!</v>
      </c>
      <c r="M794" t="e">
        <f>COUNTIF(#REF!,Tabela2[[#This Row],[KOD_PRODUKTU]])</f>
        <v>#REF!</v>
      </c>
    </row>
    <row r="795" spans="1:13" x14ac:dyDescent="0.25">
      <c r="A795" s="1" t="s">
        <v>1489</v>
      </c>
      <c r="B795" t="s">
        <v>1490</v>
      </c>
      <c r="C795" s="1" t="s">
        <v>7</v>
      </c>
      <c r="D795" s="1" t="s">
        <v>7</v>
      </c>
      <c r="E795" s="1" t="s">
        <v>7</v>
      </c>
      <c r="F795" t="s">
        <v>8</v>
      </c>
      <c r="G795" t="s">
        <v>9</v>
      </c>
      <c r="H795" t="s">
        <v>10</v>
      </c>
      <c r="I795" t="s">
        <v>1492</v>
      </c>
      <c r="J795">
        <v>3.5</v>
      </c>
      <c r="K795" t="e">
        <f>IF(COUNTIF(#REF!,Tabela2[[#This Row],[IdxWspolny]])&gt;0,"ELEM_lub_PRD","TECHN")</f>
        <v>#REF!</v>
      </c>
      <c r="L795" t="e">
        <f>IF(COUNTIF(#REF!,Tabela2[[#This Row],[KOD_PRODUKTU]])&gt;0,"ELEMENT","PRODUKT")</f>
        <v>#REF!</v>
      </c>
      <c r="M795" t="e">
        <f>COUNTIF(#REF!,Tabela2[[#This Row],[KOD_PRODUKTU]])</f>
        <v>#REF!</v>
      </c>
    </row>
    <row r="796" spans="1:13" x14ac:dyDescent="0.25">
      <c r="A796" s="1" t="s">
        <v>1493</v>
      </c>
      <c r="B796" t="s">
        <v>1494</v>
      </c>
      <c r="C796" s="1" t="s">
        <v>1495</v>
      </c>
      <c r="D796" s="1" t="s">
        <v>1495</v>
      </c>
      <c r="E796" s="1" t="s">
        <v>1495</v>
      </c>
      <c r="F796" t="s">
        <v>1496</v>
      </c>
      <c r="G796" t="s">
        <v>1017</v>
      </c>
      <c r="H796" t="s">
        <v>5</v>
      </c>
      <c r="I796" t="s">
        <v>1497</v>
      </c>
      <c r="J796">
        <v>14.35</v>
      </c>
      <c r="K796" t="e">
        <f>IF(COUNTIF(#REF!,Tabela2[[#This Row],[IdxWspolny]])&gt;0,"ELEM_lub_PRD","TECHN")</f>
        <v>#REF!</v>
      </c>
      <c r="L796" t="e">
        <f>IF(COUNTIF(#REF!,Tabela2[[#This Row],[KOD_PRODUKTU]])&gt;0,"ELEMENT","PRODUKT")</f>
        <v>#REF!</v>
      </c>
      <c r="M796" t="e">
        <f>COUNTIF(#REF!,Tabela2[[#This Row],[KOD_PRODUKTU]])</f>
        <v>#REF!</v>
      </c>
    </row>
    <row r="797" spans="1:13" x14ac:dyDescent="0.25">
      <c r="A797" s="1" t="s">
        <v>1493</v>
      </c>
      <c r="B797" t="s">
        <v>1494</v>
      </c>
      <c r="C797" s="1" t="s">
        <v>7</v>
      </c>
      <c r="D797" s="1" t="s">
        <v>7</v>
      </c>
      <c r="E797" s="1" t="s">
        <v>7</v>
      </c>
      <c r="F797" t="s">
        <v>8</v>
      </c>
      <c r="G797" t="s">
        <v>9</v>
      </c>
      <c r="H797" t="s">
        <v>10</v>
      </c>
      <c r="I797" t="s">
        <v>1498</v>
      </c>
      <c r="J797">
        <v>12.05</v>
      </c>
      <c r="K797" t="e">
        <f>IF(COUNTIF(#REF!,Tabela2[[#This Row],[IdxWspolny]])&gt;0,"ELEM_lub_PRD","TECHN")</f>
        <v>#REF!</v>
      </c>
      <c r="L797" t="e">
        <f>IF(COUNTIF(#REF!,Tabela2[[#This Row],[KOD_PRODUKTU]])&gt;0,"ELEMENT","PRODUKT")</f>
        <v>#REF!</v>
      </c>
      <c r="M797" t="e">
        <f>COUNTIF(#REF!,Tabela2[[#This Row],[KOD_PRODUKTU]])</f>
        <v>#REF!</v>
      </c>
    </row>
    <row r="798" spans="1:13" x14ac:dyDescent="0.25">
      <c r="A798" s="1" t="s">
        <v>1493</v>
      </c>
      <c r="B798" t="s">
        <v>1494</v>
      </c>
      <c r="C798" s="1" t="s">
        <v>7</v>
      </c>
      <c r="D798" s="1" t="s">
        <v>7</v>
      </c>
      <c r="E798" s="1" t="s">
        <v>7</v>
      </c>
      <c r="F798" t="s">
        <v>8</v>
      </c>
      <c r="G798" t="s">
        <v>9</v>
      </c>
      <c r="H798" t="s">
        <v>10</v>
      </c>
      <c r="I798" t="s">
        <v>1499</v>
      </c>
      <c r="J798">
        <v>33.6</v>
      </c>
      <c r="K798" t="e">
        <f>IF(COUNTIF(#REF!,Tabela2[[#This Row],[IdxWspolny]])&gt;0,"ELEM_lub_PRD","TECHN")</f>
        <v>#REF!</v>
      </c>
      <c r="L798" t="e">
        <f>IF(COUNTIF(#REF!,Tabela2[[#This Row],[KOD_PRODUKTU]])&gt;0,"ELEMENT","PRODUKT")</f>
        <v>#REF!</v>
      </c>
      <c r="M798" t="e">
        <f>COUNTIF(#REF!,Tabela2[[#This Row],[KOD_PRODUKTU]])</f>
        <v>#REF!</v>
      </c>
    </row>
    <row r="799" spans="1:13" x14ac:dyDescent="0.25">
      <c r="A799" s="1" t="s">
        <v>1500</v>
      </c>
      <c r="B799" t="s">
        <v>1501</v>
      </c>
      <c r="C799" s="1" t="s">
        <v>1502</v>
      </c>
      <c r="D799" s="1" t="s">
        <v>1502</v>
      </c>
      <c r="E799" s="1" t="s">
        <v>1502</v>
      </c>
      <c r="F799" t="s">
        <v>1503</v>
      </c>
      <c r="G799" t="s">
        <v>1017</v>
      </c>
      <c r="H799" t="s">
        <v>5</v>
      </c>
      <c r="I799" t="s">
        <v>1504</v>
      </c>
      <c r="J799">
        <v>19.649999999999999</v>
      </c>
      <c r="K799" t="e">
        <f>IF(COUNTIF(#REF!,Tabela2[[#This Row],[IdxWspolny]])&gt;0,"ELEM_lub_PRD","TECHN")</f>
        <v>#REF!</v>
      </c>
      <c r="L799" t="e">
        <f>IF(COUNTIF(#REF!,Tabela2[[#This Row],[KOD_PRODUKTU]])&gt;0,"ELEMENT","PRODUKT")</f>
        <v>#REF!</v>
      </c>
      <c r="M799" t="e">
        <f>COUNTIF(#REF!,Tabela2[[#This Row],[KOD_PRODUKTU]])</f>
        <v>#REF!</v>
      </c>
    </row>
    <row r="800" spans="1:13" x14ac:dyDescent="0.25">
      <c r="A800" s="1" t="s">
        <v>1500</v>
      </c>
      <c r="B800" t="s">
        <v>1501</v>
      </c>
      <c r="C800" s="1" t="s">
        <v>7</v>
      </c>
      <c r="D800" s="1" t="s">
        <v>7</v>
      </c>
      <c r="E800" s="1" t="s">
        <v>7</v>
      </c>
      <c r="F800" t="s">
        <v>8</v>
      </c>
      <c r="G800" t="s">
        <v>9</v>
      </c>
      <c r="H800" t="s">
        <v>10</v>
      </c>
      <c r="I800" t="s">
        <v>1499</v>
      </c>
      <c r="J800">
        <v>33.6</v>
      </c>
      <c r="K800" t="e">
        <f>IF(COUNTIF(#REF!,Tabela2[[#This Row],[IdxWspolny]])&gt;0,"ELEM_lub_PRD","TECHN")</f>
        <v>#REF!</v>
      </c>
      <c r="L800" t="e">
        <f>IF(COUNTIF(#REF!,Tabela2[[#This Row],[KOD_PRODUKTU]])&gt;0,"ELEMENT","PRODUKT")</f>
        <v>#REF!</v>
      </c>
      <c r="M800" t="e">
        <f>COUNTIF(#REF!,Tabela2[[#This Row],[KOD_PRODUKTU]])</f>
        <v>#REF!</v>
      </c>
    </row>
    <row r="801" spans="1:13" x14ac:dyDescent="0.25">
      <c r="A801" s="1" t="s">
        <v>1500</v>
      </c>
      <c r="B801" t="s">
        <v>1501</v>
      </c>
      <c r="C801" s="1" t="s">
        <v>7</v>
      </c>
      <c r="D801" s="1" t="s">
        <v>7</v>
      </c>
      <c r="E801" s="1" t="s">
        <v>7</v>
      </c>
      <c r="F801" t="s">
        <v>8</v>
      </c>
      <c r="G801" t="s">
        <v>9</v>
      </c>
      <c r="H801" t="s">
        <v>10</v>
      </c>
      <c r="I801" t="s">
        <v>1505</v>
      </c>
      <c r="J801">
        <v>11.95</v>
      </c>
      <c r="K801" t="e">
        <f>IF(COUNTIF(#REF!,Tabela2[[#This Row],[IdxWspolny]])&gt;0,"ELEM_lub_PRD","TECHN")</f>
        <v>#REF!</v>
      </c>
      <c r="L801" t="e">
        <f>IF(COUNTIF(#REF!,Tabela2[[#This Row],[KOD_PRODUKTU]])&gt;0,"ELEMENT","PRODUKT")</f>
        <v>#REF!</v>
      </c>
      <c r="M801" t="e">
        <f>COUNTIF(#REF!,Tabela2[[#This Row],[KOD_PRODUKTU]])</f>
        <v>#REF!</v>
      </c>
    </row>
    <row r="802" spans="1:13" x14ac:dyDescent="0.25">
      <c r="A802" s="1" t="s">
        <v>1506</v>
      </c>
      <c r="B802" t="s">
        <v>1507</v>
      </c>
      <c r="C802" s="1" t="s">
        <v>1508</v>
      </c>
      <c r="D802" s="1" t="s">
        <v>1508</v>
      </c>
      <c r="E802" s="1" t="s">
        <v>1508</v>
      </c>
      <c r="F802" t="s">
        <v>1509</v>
      </c>
      <c r="G802" t="s">
        <v>1017</v>
      </c>
      <c r="H802" t="s">
        <v>5</v>
      </c>
      <c r="I802" t="s">
        <v>1510</v>
      </c>
      <c r="J802">
        <v>25.11</v>
      </c>
      <c r="K802" t="e">
        <f>IF(COUNTIF(#REF!,Tabela2[[#This Row],[IdxWspolny]])&gt;0,"ELEM_lub_PRD","TECHN")</f>
        <v>#REF!</v>
      </c>
      <c r="L802" t="e">
        <f>IF(COUNTIF(#REF!,Tabela2[[#This Row],[KOD_PRODUKTU]])&gt;0,"ELEMENT","PRODUKT")</f>
        <v>#REF!</v>
      </c>
      <c r="M802" t="e">
        <f>COUNTIF(#REF!,Tabela2[[#This Row],[KOD_PRODUKTU]])</f>
        <v>#REF!</v>
      </c>
    </row>
    <row r="803" spans="1:13" x14ac:dyDescent="0.25">
      <c r="A803" s="1" t="s">
        <v>1506</v>
      </c>
      <c r="B803" t="s">
        <v>1507</v>
      </c>
      <c r="C803" s="1" t="s">
        <v>7</v>
      </c>
      <c r="D803" s="1" t="s">
        <v>7</v>
      </c>
      <c r="E803" s="1" t="s">
        <v>7</v>
      </c>
      <c r="F803" t="s">
        <v>8</v>
      </c>
      <c r="G803" t="s">
        <v>9</v>
      </c>
      <c r="H803" t="s">
        <v>10</v>
      </c>
      <c r="I803" t="s">
        <v>1511</v>
      </c>
      <c r="J803">
        <v>33.81</v>
      </c>
      <c r="K803" t="e">
        <f>IF(COUNTIF(#REF!,Tabela2[[#This Row],[IdxWspolny]])&gt;0,"ELEM_lub_PRD","TECHN")</f>
        <v>#REF!</v>
      </c>
      <c r="L803" t="e">
        <f>IF(COUNTIF(#REF!,Tabela2[[#This Row],[KOD_PRODUKTU]])&gt;0,"ELEMENT","PRODUKT")</f>
        <v>#REF!</v>
      </c>
      <c r="M803" t="e">
        <f>COUNTIF(#REF!,Tabela2[[#This Row],[KOD_PRODUKTU]])</f>
        <v>#REF!</v>
      </c>
    </row>
    <row r="804" spans="1:13" x14ac:dyDescent="0.25">
      <c r="A804" s="1" t="s">
        <v>1506</v>
      </c>
      <c r="B804" t="s">
        <v>1507</v>
      </c>
      <c r="C804" s="1" t="s">
        <v>7</v>
      </c>
      <c r="D804" s="1" t="s">
        <v>7</v>
      </c>
      <c r="E804" s="1" t="s">
        <v>7</v>
      </c>
      <c r="F804" t="s">
        <v>8</v>
      </c>
      <c r="G804" t="s">
        <v>9</v>
      </c>
      <c r="H804" t="s">
        <v>10</v>
      </c>
      <c r="I804" t="s">
        <v>1512</v>
      </c>
      <c r="J804">
        <v>12</v>
      </c>
      <c r="K804" t="e">
        <f>IF(COUNTIF(#REF!,Tabela2[[#This Row],[IdxWspolny]])&gt;0,"ELEM_lub_PRD","TECHN")</f>
        <v>#REF!</v>
      </c>
      <c r="L804" t="e">
        <f>IF(COUNTIF(#REF!,Tabela2[[#This Row],[KOD_PRODUKTU]])&gt;0,"ELEMENT","PRODUKT")</f>
        <v>#REF!</v>
      </c>
      <c r="M804" t="e">
        <f>COUNTIF(#REF!,Tabela2[[#This Row],[KOD_PRODUKTU]])</f>
        <v>#REF!</v>
      </c>
    </row>
    <row r="805" spans="1:13" x14ac:dyDescent="0.25">
      <c r="A805" s="1" t="s">
        <v>1513</v>
      </c>
      <c r="B805" t="s">
        <v>1514</v>
      </c>
      <c r="C805" s="1" t="s">
        <v>1117</v>
      </c>
      <c r="D805" s="1" t="s">
        <v>1117</v>
      </c>
      <c r="E805" s="1" t="s">
        <v>1117</v>
      </c>
      <c r="F805" t="s">
        <v>1118</v>
      </c>
      <c r="G805" t="s">
        <v>876</v>
      </c>
      <c r="H805" t="s">
        <v>5</v>
      </c>
      <c r="I805" t="s">
        <v>1349</v>
      </c>
      <c r="J805">
        <v>0.9</v>
      </c>
      <c r="K805" t="e">
        <f>IF(COUNTIF(#REF!,Tabela2[[#This Row],[IdxWspolny]])&gt;0,"ELEM_lub_PRD","TECHN")</f>
        <v>#REF!</v>
      </c>
      <c r="L805" t="e">
        <f>IF(COUNTIF(#REF!,Tabela2[[#This Row],[KOD_PRODUKTU]])&gt;0,"ELEMENT","PRODUKT")</f>
        <v>#REF!</v>
      </c>
      <c r="M805" t="e">
        <f>COUNTIF(#REF!,Tabela2[[#This Row],[KOD_PRODUKTU]])</f>
        <v>#REF!</v>
      </c>
    </row>
    <row r="806" spans="1:13" x14ac:dyDescent="0.25">
      <c r="A806" s="1" t="s">
        <v>1513</v>
      </c>
      <c r="B806" t="s">
        <v>1514</v>
      </c>
      <c r="C806" s="1" t="s">
        <v>432</v>
      </c>
      <c r="D806" s="1" t="s">
        <v>432</v>
      </c>
      <c r="E806" s="1" t="s">
        <v>432</v>
      </c>
      <c r="F806" t="s">
        <v>433</v>
      </c>
      <c r="G806" t="s">
        <v>434</v>
      </c>
      <c r="H806" t="s">
        <v>435</v>
      </c>
      <c r="I806" t="s">
        <v>1515</v>
      </c>
      <c r="J806">
        <v>1.4</v>
      </c>
      <c r="K806" t="e">
        <f>IF(COUNTIF(#REF!,Tabela2[[#This Row],[IdxWspolny]])&gt;0,"ELEM_lub_PRD","TECHN")</f>
        <v>#REF!</v>
      </c>
      <c r="L806" t="e">
        <f>IF(COUNTIF(#REF!,Tabela2[[#This Row],[KOD_PRODUKTU]])&gt;0,"ELEMENT","PRODUKT")</f>
        <v>#REF!</v>
      </c>
      <c r="M806" t="e">
        <f>COUNTIF(#REF!,Tabela2[[#This Row],[KOD_PRODUKTU]])</f>
        <v>#REF!</v>
      </c>
    </row>
    <row r="807" spans="1:13" x14ac:dyDescent="0.25">
      <c r="A807" s="1" t="s">
        <v>1513</v>
      </c>
      <c r="B807" t="s">
        <v>1514</v>
      </c>
      <c r="C807" s="1" t="s">
        <v>7</v>
      </c>
      <c r="D807" s="1" t="s">
        <v>7</v>
      </c>
      <c r="E807" s="1" t="s">
        <v>7</v>
      </c>
      <c r="F807" t="s">
        <v>8</v>
      </c>
      <c r="G807" t="s">
        <v>9</v>
      </c>
      <c r="H807" t="s">
        <v>10</v>
      </c>
      <c r="I807" t="s">
        <v>1516</v>
      </c>
      <c r="J807">
        <v>4.3899999999999997</v>
      </c>
      <c r="K807" t="e">
        <f>IF(COUNTIF(#REF!,Tabela2[[#This Row],[IdxWspolny]])&gt;0,"ELEM_lub_PRD","TECHN")</f>
        <v>#REF!</v>
      </c>
      <c r="L807" t="e">
        <f>IF(COUNTIF(#REF!,Tabela2[[#This Row],[KOD_PRODUKTU]])&gt;0,"ELEMENT","PRODUKT")</f>
        <v>#REF!</v>
      </c>
      <c r="M807" t="e">
        <f>COUNTIF(#REF!,Tabela2[[#This Row],[KOD_PRODUKTU]])</f>
        <v>#REF!</v>
      </c>
    </row>
    <row r="808" spans="1:13" x14ac:dyDescent="0.25">
      <c r="A808" s="1" t="s">
        <v>1517</v>
      </c>
      <c r="B808" t="s">
        <v>1518</v>
      </c>
      <c r="C808" s="1" t="s">
        <v>1519</v>
      </c>
      <c r="D808" s="1" t="s">
        <v>1519</v>
      </c>
      <c r="E808" s="1" t="s">
        <v>1519</v>
      </c>
      <c r="F808" t="s">
        <v>1520</v>
      </c>
      <c r="G808" t="s">
        <v>1521</v>
      </c>
      <c r="H808" t="s">
        <v>5</v>
      </c>
      <c r="I808" t="s">
        <v>1522</v>
      </c>
      <c r="J808">
        <v>0.32</v>
      </c>
      <c r="K808" t="e">
        <f>IF(COUNTIF(#REF!,Tabela2[[#This Row],[IdxWspolny]])&gt;0,"ELEM_lub_PRD","TECHN")</f>
        <v>#REF!</v>
      </c>
      <c r="L808" t="e">
        <f>IF(COUNTIF(#REF!,Tabela2[[#This Row],[KOD_PRODUKTU]])&gt;0,"ELEMENT","PRODUKT")</f>
        <v>#REF!</v>
      </c>
      <c r="M808" t="e">
        <f>COUNTIF(#REF!,Tabela2[[#This Row],[KOD_PRODUKTU]])</f>
        <v>#REF!</v>
      </c>
    </row>
    <row r="809" spans="1:13" x14ac:dyDescent="0.25">
      <c r="A809" s="1" t="s">
        <v>1517</v>
      </c>
      <c r="B809" t="s">
        <v>1518</v>
      </c>
      <c r="C809" s="1" t="s">
        <v>1523</v>
      </c>
      <c r="D809" s="1" t="s">
        <v>1523</v>
      </c>
      <c r="E809" s="1" t="s">
        <v>1523</v>
      </c>
      <c r="F809" t="s">
        <v>1524</v>
      </c>
      <c r="G809" t="s">
        <v>1525</v>
      </c>
      <c r="H809" t="s">
        <v>49</v>
      </c>
      <c r="I809" t="s">
        <v>50</v>
      </c>
      <c r="J809">
        <v>9.17</v>
      </c>
      <c r="K809" t="e">
        <f>IF(COUNTIF(#REF!,Tabela2[[#This Row],[IdxWspolny]])&gt;0,"ELEM_lub_PRD","TECHN")</f>
        <v>#REF!</v>
      </c>
      <c r="L809" t="e">
        <f>IF(COUNTIF(#REF!,Tabela2[[#This Row],[KOD_PRODUKTU]])&gt;0,"ELEMENT","PRODUKT")</f>
        <v>#REF!</v>
      </c>
      <c r="M809" t="e">
        <f>COUNTIF(#REF!,Tabela2[[#This Row],[KOD_PRODUKTU]])</f>
        <v>#REF!</v>
      </c>
    </row>
    <row r="810" spans="1:13" x14ac:dyDescent="0.25">
      <c r="A810" s="1" t="s">
        <v>1517</v>
      </c>
      <c r="B810" t="s">
        <v>1518</v>
      </c>
      <c r="C810" s="1" t="s">
        <v>1526</v>
      </c>
      <c r="D810" s="1" t="s">
        <v>1526</v>
      </c>
      <c r="E810" s="1" t="s">
        <v>1526</v>
      </c>
      <c r="F810" t="s">
        <v>1527</v>
      </c>
      <c r="G810" t="s">
        <v>1528</v>
      </c>
      <c r="H810" t="s">
        <v>121</v>
      </c>
      <c r="I810" t="s">
        <v>50</v>
      </c>
      <c r="J810">
        <v>0.53</v>
      </c>
      <c r="K810" t="e">
        <f>IF(COUNTIF(#REF!,Tabela2[[#This Row],[IdxWspolny]])&gt;0,"ELEM_lub_PRD","TECHN")</f>
        <v>#REF!</v>
      </c>
      <c r="L810" t="e">
        <f>IF(COUNTIF(#REF!,Tabela2[[#This Row],[KOD_PRODUKTU]])&gt;0,"ELEMENT","PRODUKT")</f>
        <v>#REF!</v>
      </c>
      <c r="M810" t="e">
        <f>COUNTIF(#REF!,Tabela2[[#This Row],[KOD_PRODUKTU]])</f>
        <v>#REF!</v>
      </c>
    </row>
    <row r="811" spans="1:13" x14ac:dyDescent="0.25">
      <c r="A811" s="1" t="s">
        <v>1517</v>
      </c>
      <c r="B811" t="s">
        <v>1518</v>
      </c>
      <c r="C811" s="1" t="s">
        <v>1529</v>
      </c>
      <c r="D811" s="1" t="s">
        <v>1529</v>
      </c>
      <c r="E811" s="1" t="s">
        <v>1529</v>
      </c>
      <c r="F811" t="s">
        <v>1530</v>
      </c>
      <c r="G811" t="s">
        <v>1531</v>
      </c>
      <c r="H811" t="s">
        <v>121</v>
      </c>
      <c r="I811" t="s">
        <v>50</v>
      </c>
      <c r="J811">
        <v>16.010000000000002</v>
      </c>
      <c r="K811" t="e">
        <f>IF(COUNTIF(#REF!,Tabela2[[#This Row],[IdxWspolny]])&gt;0,"ELEM_lub_PRD","TECHN")</f>
        <v>#REF!</v>
      </c>
      <c r="L811" t="e">
        <f>IF(COUNTIF(#REF!,Tabela2[[#This Row],[KOD_PRODUKTU]])&gt;0,"ELEMENT","PRODUKT")</f>
        <v>#REF!</v>
      </c>
      <c r="M811" t="e">
        <f>COUNTIF(#REF!,Tabela2[[#This Row],[KOD_PRODUKTU]])</f>
        <v>#REF!</v>
      </c>
    </row>
    <row r="812" spans="1:13" x14ac:dyDescent="0.25">
      <c r="A812" s="1" t="s">
        <v>1517</v>
      </c>
      <c r="B812" t="s">
        <v>1518</v>
      </c>
      <c r="C812" s="1" t="s">
        <v>1532</v>
      </c>
      <c r="D812" s="1" t="s">
        <v>1532</v>
      </c>
      <c r="E812" s="1" t="s">
        <v>1532</v>
      </c>
      <c r="F812" t="s">
        <v>1533</v>
      </c>
      <c r="G812" t="s">
        <v>1534</v>
      </c>
      <c r="H812" t="s">
        <v>49</v>
      </c>
      <c r="I812" t="s">
        <v>50</v>
      </c>
      <c r="J812">
        <v>12.82</v>
      </c>
      <c r="K812" t="e">
        <f>IF(COUNTIF(#REF!,Tabela2[[#This Row],[IdxWspolny]])&gt;0,"ELEM_lub_PRD","TECHN")</f>
        <v>#REF!</v>
      </c>
      <c r="L812" t="e">
        <f>IF(COUNTIF(#REF!,Tabela2[[#This Row],[KOD_PRODUKTU]])&gt;0,"ELEMENT","PRODUKT")</f>
        <v>#REF!</v>
      </c>
      <c r="M812" t="e">
        <f>COUNTIF(#REF!,Tabela2[[#This Row],[KOD_PRODUKTU]])</f>
        <v>#REF!</v>
      </c>
    </row>
    <row r="813" spans="1:13" x14ac:dyDescent="0.25">
      <c r="A813" s="1" t="s">
        <v>1517</v>
      </c>
      <c r="B813" t="s">
        <v>1518</v>
      </c>
      <c r="C813" s="1" t="s">
        <v>541</v>
      </c>
      <c r="D813" s="1" t="s">
        <v>541</v>
      </c>
      <c r="E813" s="1" t="s">
        <v>541</v>
      </c>
      <c r="F813" t="s">
        <v>542</v>
      </c>
      <c r="G813" t="s">
        <v>9</v>
      </c>
      <c r="H813" t="s">
        <v>10</v>
      </c>
      <c r="I813" t="s">
        <v>1535</v>
      </c>
      <c r="J813">
        <v>13.15</v>
      </c>
      <c r="K813" t="e">
        <f>IF(COUNTIF(#REF!,Tabela2[[#This Row],[IdxWspolny]])&gt;0,"ELEM_lub_PRD","TECHN")</f>
        <v>#REF!</v>
      </c>
      <c r="L813" t="e">
        <f>IF(COUNTIF(#REF!,Tabela2[[#This Row],[KOD_PRODUKTU]])&gt;0,"ELEMENT","PRODUKT")</f>
        <v>#REF!</v>
      </c>
      <c r="M813" t="e">
        <f>COUNTIF(#REF!,Tabela2[[#This Row],[KOD_PRODUKTU]])</f>
        <v>#REF!</v>
      </c>
    </row>
    <row r="814" spans="1:13" x14ac:dyDescent="0.25">
      <c r="A814" s="1" t="s">
        <v>1536</v>
      </c>
      <c r="B814" t="s">
        <v>1537</v>
      </c>
      <c r="C814" s="1" t="s">
        <v>1538</v>
      </c>
      <c r="D814" s="1" t="s">
        <v>1538</v>
      </c>
      <c r="E814" s="1" t="s">
        <v>1538</v>
      </c>
      <c r="F814" t="s">
        <v>1539</v>
      </c>
      <c r="G814" t="s">
        <v>501</v>
      </c>
      <c r="H814" t="s">
        <v>5</v>
      </c>
      <c r="I814" t="s">
        <v>1540</v>
      </c>
      <c r="J814">
        <v>0.3</v>
      </c>
      <c r="K814" t="e">
        <f>IF(COUNTIF(#REF!,Tabela2[[#This Row],[IdxWspolny]])&gt;0,"ELEM_lub_PRD","TECHN")</f>
        <v>#REF!</v>
      </c>
      <c r="L814" t="e">
        <f>IF(COUNTIF(#REF!,Tabela2[[#This Row],[KOD_PRODUKTU]])&gt;0,"ELEMENT","PRODUKT")</f>
        <v>#REF!</v>
      </c>
      <c r="M814" t="e">
        <f>COUNTIF(#REF!,Tabela2[[#This Row],[KOD_PRODUKTU]])</f>
        <v>#REF!</v>
      </c>
    </row>
    <row r="815" spans="1:13" x14ac:dyDescent="0.25">
      <c r="A815" s="1" t="s">
        <v>1536</v>
      </c>
      <c r="B815" t="s">
        <v>1537</v>
      </c>
      <c r="C815" s="1" t="s">
        <v>7</v>
      </c>
      <c r="D815" s="1" t="s">
        <v>7</v>
      </c>
      <c r="E815" s="1" t="s">
        <v>7</v>
      </c>
      <c r="F815" t="s">
        <v>8</v>
      </c>
      <c r="G815" t="s">
        <v>9</v>
      </c>
      <c r="H815" t="s">
        <v>10</v>
      </c>
      <c r="I815" t="s">
        <v>33</v>
      </c>
      <c r="J815">
        <v>9.1999999999999993</v>
      </c>
      <c r="K815" t="e">
        <f>IF(COUNTIF(#REF!,Tabela2[[#This Row],[IdxWspolny]])&gt;0,"ELEM_lub_PRD","TECHN")</f>
        <v>#REF!</v>
      </c>
      <c r="L815" t="e">
        <f>IF(COUNTIF(#REF!,Tabela2[[#This Row],[KOD_PRODUKTU]])&gt;0,"ELEMENT","PRODUKT")</f>
        <v>#REF!</v>
      </c>
      <c r="M815" t="e">
        <f>COUNTIF(#REF!,Tabela2[[#This Row],[KOD_PRODUKTU]])</f>
        <v>#REF!</v>
      </c>
    </row>
    <row r="816" spans="1:13" x14ac:dyDescent="0.25">
      <c r="A816" s="1" t="s">
        <v>1541</v>
      </c>
      <c r="B816" t="s">
        <v>1542</v>
      </c>
      <c r="C816" s="1" t="s">
        <v>1207</v>
      </c>
      <c r="D816" s="1" t="s">
        <v>1207</v>
      </c>
      <c r="E816" s="1" t="s">
        <v>1207</v>
      </c>
      <c r="F816" t="s">
        <v>1208</v>
      </c>
      <c r="G816" t="s">
        <v>1017</v>
      </c>
      <c r="H816" t="s">
        <v>5</v>
      </c>
      <c r="I816" t="s">
        <v>1543</v>
      </c>
      <c r="J816">
        <v>0.1</v>
      </c>
      <c r="K816" t="e">
        <f>IF(COUNTIF(#REF!,Tabela2[[#This Row],[IdxWspolny]])&gt;0,"ELEM_lub_PRD","TECHN")</f>
        <v>#REF!</v>
      </c>
      <c r="L816" t="e">
        <f>IF(COUNTIF(#REF!,Tabela2[[#This Row],[KOD_PRODUKTU]])&gt;0,"ELEMENT","PRODUKT")</f>
        <v>#REF!</v>
      </c>
      <c r="M816" t="e">
        <f>COUNTIF(#REF!,Tabela2[[#This Row],[KOD_PRODUKTU]])</f>
        <v>#REF!</v>
      </c>
    </row>
    <row r="817" spans="1:13" x14ac:dyDescent="0.25">
      <c r="A817" s="1" t="s">
        <v>1541</v>
      </c>
      <c r="B817" t="s">
        <v>1542</v>
      </c>
      <c r="C817" s="1" t="s">
        <v>7</v>
      </c>
      <c r="D817" s="1" t="s">
        <v>7</v>
      </c>
      <c r="E817" s="1" t="s">
        <v>7</v>
      </c>
      <c r="F817" t="s">
        <v>8</v>
      </c>
      <c r="G817" t="s">
        <v>9</v>
      </c>
      <c r="H817" t="s">
        <v>10</v>
      </c>
      <c r="I817" t="s">
        <v>1544</v>
      </c>
      <c r="J817">
        <v>1.05</v>
      </c>
      <c r="K817" t="e">
        <f>IF(COUNTIF(#REF!,Tabela2[[#This Row],[IdxWspolny]])&gt;0,"ELEM_lub_PRD","TECHN")</f>
        <v>#REF!</v>
      </c>
      <c r="L817" t="e">
        <f>IF(COUNTIF(#REF!,Tabela2[[#This Row],[KOD_PRODUKTU]])&gt;0,"ELEMENT","PRODUKT")</f>
        <v>#REF!</v>
      </c>
      <c r="M817" t="e">
        <f>COUNTIF(#REF!,Tabela2[[#This Row],[KOD_PRODUKTU]])</f>
        <v>#REF!</v>
      </c>
    </row>
    <row r="818" spans="1:13" x14ac:dyDescent="0.25">
      <c r="A818" s="1" t="s">
        <v>1545</v>
      </c>
      <c r="B818" t="s">
        <v>1546</v>
      </c>
      <c r="C818" s="1" t="s">
        <v>1547</v>
      </c>
      <c r="D818" s="1" t="s">
        <v>1547</v>
      </c>
      <c r="E818" s="1" t="s">
        <v>1547</v>
      </c>
      <c r="F818" t="s">
        <v>1548</v>
      </c>
      <c r="G818" t="s">
        <v>403</v>
      </c>
      <c r="H818" t="s">
        <v>5</v>
      </c>
      <c r="I818" t="s">
        <v>1549</v>
      </c>
      <c r="J818">
        <v>2.19</v>
      </c>
      <c r="K818" t="e">
        <f>IF(COUNTIF(#REF!,Tabela2[[#This Row],[IdxWspolny]])&gt;0,"ELEM_lub_PRD","TECHN")</f>
        <v>#REF!</v>
      </c>
      <c r="L818" t="e">
        <f>IF(COUNTIF(#REF!,Tabela2[[#This Row],[KOD_PRODUKTU]])&gt;0,"ELEMENT","PRODUKT")</f>
        <v>#REF!</v>
      </c>
      <c r="M818" t="e">
        <f>COUNTIF(#REF!,Tabela2[[#This Row],[KOD_PRODUKTU]])</f>
        <v>#REF!</v>
      </c>
    </row>
    <row r="819" spans="1:13" x14ac:dyDescent="0.25">
      <c r="A819" s="1" t="s">
        <v>1545</v>
      </c>
      <c r="B819" t="s">
        <v>1546</v>
      </c>
      <c r="C819" s="1" t="s">
        <v>7</v>
      </c>
      <c r="D819" s="1" t="s">
        <v>7</v>
      </c>
      <c r="E819" s="1" t="s">
        <v>7</v>
      </c>
      <c r="F819" t="s">
        <v>8</v>
      </c>
      <c r="G819" t="s">
        <v>9</v>
      </c>
      <c r="H819" t="s">
        <v>10</v>
      </c>
      <c r="I819" t="s">
        <v>1550</v>
      </c>
      <c r="J819">
        <v>18.86</v>
      </c>
      <c r="K819" t="e">
        <f>IF(COUNTIF(#REF!,Tabela2[[#This Row],[IdxWspolny]])&gt;0,"ELEM_lub_PRD","TECHN")</f>
        <v>#REF!</v>
      </c>
      <c r="L819" t="e">
        <f>IF(COUNTIF(#REF!,Tabela2[[#This Row],[KOD_PRODUKTU]])&gt;0,"ELEMENT","PRODUKT")</f>
        <v>#REF!</v>
      </c>
      <c r="M819" t="e">
        <f>COUNTIF(#REF!,Tabela2[[#This Row],[KOD_PRODUKTU]])</f>
        <v>#REF!</v>
      </c>
    </row>
    <row r="820" spans="1:13" x14ac:dyDescent="0.25">
      <c r="A820" s="1" t="s">
        <v>1551</v>
      </c>
      <c r="B820" t="s">
        <v>1552</v>
      </c>
      <c r="C820" s="1" t="s">
        <v>1553</v>
      </c>
      <c r="D820" s="1" t="s">
        <v>1553</v>
      </c>
      <c r="E820" s="1" t="s">
        <v>1553</v>
      </c>
      <c r="F820" t="s">
        <v>1554</v>
      </c>
      <c r="G820" t="s">
        <v>70</v>
      </c>
      <c r="H820" t="s">
        <v>5</v>
      </c>
      <c r="I820" t="s">
        <v>1555</v>
      </c>
      <c r="J820">
        <v>46.2</v>
      </c>
      <c r="K820" t="e">
        <f>IF(COUNTIF(#REF!,Tabela2[[#This Row],[IdxWspolny]])&gt;0,"ELEM_lub_PRD","TECHN")</f>
        <v>#REF!</v>
      </c>
      <c r="L820" t="e">
        <f>IF(COUNTIF(#REF!,Tabela2[[#This Row],[KOD_PRODUKTU]])&gt;0,"ELEMENT","PRODUKT")</f>
        <v>#REF!</v>
      </c>
      <c r="M820" t="e">
        <f>COUNTIF(#REF!,Tabela2[[#This Row],[KOD_PRODUKTU]])</f>
        <v>#REF!</v>
      </c>
    </row>
    <row r="821" spans="1:13" x14ac:dyDescent="0.25">
      <c r="A821" s="1" t="s">
        <v>1551</v>
      </c>
      <c r="B821" t="s">
        <v>1552</v>
      </c>
      <c r="C821" s="1" t="s">
        <v>7</v>
      </c>
      <c r="D821" s="1" t="s">
        <v>7</v>
      </c>
      <c r="E821" s="1" t="s">
        <v>7</v>
      </c>
      <c r="F821" t="s">
        <v>8</v>
      </c>
      <c r="G821" t="s">
        <v>9</v>
      </c>
      <c r="H821" t="s">
        <v>10</v>
      </c>
      <c r="I821" t="s">
        <v>860</v>
      </c>
      <c r="J821">
        <v>23</v>
      </c>
      <c r="K821" t="e">
        <f>IF(COUNTIF(#REF!,Tabela2[[#This Row],[IdxWspolny]])&gt;0,"ELEM_lub_PRD","TECHN")</f>
        <v>#REF!</v>
      </c>
      <c r="L821" t="e">
        <f>IF(COUNTIF(#REF!,Tabela2[[#This Row],[KOD_PRODUKTU]])&gt;0,"ELEMENT","PRODUKT")</f>
        <v>#REF!</v>
      </c>
      <c r="M821" t="e">
        <f>COUNTIF(#REF!,Tabela2[[#This Row],[KOD_PRODUKTU]])</f>
        <v>#REF!</v>
      </c>
    </row>
    <row r="822" spans="1:13" x14ac:dyDescent="0.25">
      <c r="A822" s="1" t="s">
        <v>1556</v>
      </c>
      <c r="B822" t="s">
        <v>1557</v>
      </c>
      <c r="C822" s="1" t="s">
        <v>1022</v>
      </c>
      <c r="D822" s="1" t="s">
        <v>1022</v>
      </c>
      <c r="E822" s="1" t="s">
        <v>1022</v>
      </c>
      <c r="F822" t="s">
        <v>1023</v>
      </c>
      <c r="G822" t="s">
        <v>1024</v>
      </c>
      <c r="H822" t="s">
        <v>932</v>
      </c>
      <c r="I822" t="s">
        <v>1558</v>
      </c>
      <c r="J822">
        <v>26.6</v>
      </c>
      <c r="K822" t="e">
        <f>IF(COUNTIF(#REF!,Tabela2[[#This Row],[IdxWspolny]])&gt;0,"ELEM_lub_PRD","TECHN")</f>
        <v>#REF!</v>
      </c>
      <c r="L822" t="e">
        <f>IF(COUNTIF(#REF!,Tabela2[[#This Row],[KOD_PRODUKTU]])&gt;0,"ELEMENT","PRODUKT")</f>
        <v>#REF!</v>
      </c>
      <c r="M822" t="e">
        <f>COUNTIF(#REF!,Tabela2[[#This Row],[KOD_PRODUKTU]])</f>
        <v>#REF!</v>
      </c>
    </row>
    <row r="823" spans="1:13" x14ac:dyDescent="0.25">
      <c r="A823" s="1" t="s">
        <v>1556</v>
      </c>
      <c r="B823" t="s">
        <v>1557</v>
      </c>
      <c r="C823" s="1" t="s">
        <v>7</v>
      </c>
      <c r="D823" s="1" t="s">
        <v>7</v>
      </c>
      <c r="E823" s="1" t="s">
        <v>7</v>
      </c>
      <c r="F823" t="s">
        <v>8</v>
      </c>
      <c r="G823" t="s">
        <v>9</v>
      </c>
      <c r="H823" t="s">
        <v>10</v>
      </c>
      <c r="I823" t="s">
        <v>1559</v>
      </c>
      <c r="J823">
        <v>32.9</v>
      </c>
      <c r="K823" t="e">
        <f>IF(COUNTIF(#REF!,Tabela2[[#This Row],[IdxWspolny]])&gt;0,"ELEM_lub_PRD","TECHN")</f>
        <v>#REF!</v>
      </c>
      <c r="L823" t="e">
        <f>IF(COUNTIF(#REF!,Tabela2[[#This Row],[KOD_PRODUKTU]])&gt;0,"ELEMENT","PRODUKT")</f>
        <v>#REF!</v>
      </c>
      <c r="M823" t="e">
        <f>COUNTIF(#REF!,Tabela2[[#This Row],[KOD_PRODUKTU]])</f>
        <v>#REF!</v>
      </c>
    </row>
    <row r="824" spans="1:13" x14ac:dyDescent="0.25">
      <c r="A824" s="1" t="s">
        <v>1560</v>
      </c>
      <c r="B824" t="s">
        <v>1561</v>
      </c>
      <c r="C824" s="1" t="s">
        <v>1022</v>
      </c>
      <c r="D824" s="1" t="s">
        <v>1022</v>
      </c>
      <c r="E824" s="1" t="s">
        <v>1022</v>
      </c>
      <c r="F824" t="s">
        <v>1023</v>
      </c>
      <c r="G824" t="s">
        <v>1024</v>
      </c>
      <c r="H824" t="s">
        <v>932</v>
      </c>
      <c r="I824" t="s">
        <v>1562</v>
      </c>
      <c r="J824">
        <v>24.7</v>
      </c>
      <c r="K824" t="e">
        <f>IF(COUNTIF(#REF!,Tabela2[[#This Row],[IdxWspolny]])&gt;0,"ELEM_lub_PRD","TECHN")</f>
        <v>#REF!</v>
      </c>
      <c r="L824" t="e">
        <f>IF(COUNTIF(#REF!,Tabela2[[#This Row],[KOD_PRODUKTU]])&gt;0,"ELEMENT","PRODUKT")</f>
        <v>#REF!</v>
      </c>
      <c r="M824" t="e">
        <f>COUNTIF(#REF!,Tabela2[[#This Row],[KOD_PRODUKTU]])</f>
        <v>#REF!</v>
      </c>
    </row>
    <row r="825" spans="1:13" x14ac:dyDescent="0.25">
      <c r="A825" s="1" t="s">
        <v>1560</v>
      </c>
      <c r="B825" t="s">
        <v>1561</v>
      </c>
      <c r="C825" s="1" t="s">
        <v>7</v>
      </c>
      <c r="D825" s="1" t="s">
        <v>7</v>
      </c>
      <c r="E825" s="1" t="s">
        <v>7</v>
      </c>
      <c r="F825" t="s">
        <v>8</v>
      </c>
      <c r="G825" t="s">
        <v>9</v>
      </c>
      <c r="H825" t="s">
        <v>10</v>
      </c>
      <c r="I825" t="s">
        <v>1563</v>
      </c>
      <c r="J825">
        <v>43.7</v>
      </c>
      <c r="K825" t="e">
        <f>IF(COUNTIF(#REF!,Tabela2[[#This Row],[IdxWspolny]])&gt;0,"ELEM_lub_PRD","TECHN")</f>
        <v>#REF!</v>
      </c>
      <c r="L825" t="e">
        <f>IF(COUNTIF(#REF!,Tabela2[[#This Row],[KOD_PRODUKTU]])&gt;0,"ELEMENT","PRODUKT")</f>
        <v>#REF!</v>
      </c>
      <c r="M825" t="e">
        <f>COUNTIF(#REF!,Tabela2[[#This Row],[KOD_PRODUKTU]])</f>
        <v>#REF!</v>
      </c>
    </row>
    <row r="826" spans="1:13" x14ac:dyDescent="0.25">
      <c r="A826" s="1" t="s">
        <v>1564</v>
      </c>
      <c r="B826" t="s">
        <v>1565</v>
      </c>
      <c r="C826" s="1" t="s">
        <v>1022</v>
      </c>
      <c r="D826" s="1" t="s">
        <v>1022</v>
      </c>
      <c r="E826" s="1" t="s">
        <v>1022</v>
      </c>
      <c r="F826" t="s">
        <v>1023</v>
      </c>
      <c r="G826" t="s">
        <v>1024</v>
      </c>
      <c r="H826" t="s">
        <v>932</v>
      </c>
      <c r="I826" t="s">
        <v>1566</v>
      </c>
      <c r="J826">
        <v>28.9</v>
      </c>
      <c r="K826" t="e">
        <f>IF(COUNTIF(#REF!,Tabela2[[#This Row],[IdxWspolny]])&gt;0,"ELEM_lub_PRD","TECHN")</f>
        <v>#REF!</v>
      </c>
      <c r="L826" t="e">
        <f>IF(COUNTIF(#REF!,Tabela2[[#This Row],[KOD_PRODUKTU]])&gt;0,"ELEMENT","PRODUKT")</f>
        <v>#REF!</v>
      </c>
      <c r="M826" t="e">
        <f>COUNTIF(#REF!,Tabela2[[#This Row],[KOD_PRODUKTU]])</f>
        <v>#REF!</v>
      </c>
    </row>
    <row r="827" spans="1:13" x14ac:dyDescent="0.25">
      <c r="A827" s="1" t="s">
        <v>1564</v>
      </c>
      <c r="B827" t="s">
        <v>1565</v>
      </c>
      <c r="C827" s="1" t="s">
        <v>7</v>
      </c>
      <c r="D827" s="1" t="s">
        <v>7</v>
      </c>
      <c r="E827" s="1" t="s">
        <v>7</v>
      </c>
      <c r="F827" t="s">
        <v>8</v>
      </c>
      <c r="G827" t="s">
        <v>9</v>
      </c>
      <c r="H827" t="s">
        <v>10</v>
      </c>
      <c r="I827" t="s">
        <v>1567</v>
      </c>
      <c r="J827">
        <v>46.1</v>
      </c>
      <c r="K827" t="e">
        <f>IF(COUNTIF(#REF!,Tabela2[[#This Row],[IdxWspolny]])&gt;0,"ELEM_lub_PRD","TECHN")</f>
        <v>#REF!</v>
      </c>
      <c r="L827" t="e">
        <f>IF(COUNTIF(#REF!,Tabela2[[#This Row],[KOD_PRODUKTU]])&gt;0,"ELEMENT","PRODUKT")</f>
        <v>#REF!</v>
      </c>
      <c r="M827" t="e">
        <f>COUNTIF(#REF!,Tabela2[[#This Row],[KOD_PRODUKTU]])</f>
        <v>#REF!</v>
      </c>
    </row>
    <row r="828" spans="1:13" x14ac:dyDescent="0.25">
      <c r="A828" s="1" t="s">
        <v>1568</v>
      </c>
      <c r="B828" t="s">
        <v>1569</v>
      </c>
      <c r="C828" s="1" t="s">
        <v>1022</v>
      </c>
      <c r="D828" s="1" t="s">
        <v>1022</v>
      </c>
      <c r="E828" s="1" t="s">
        <v>1022</v>
      </c>
      <c r="F828" t="s">
        <v>1023</v>
      </c>
      <c r="G828" t="s">
        <v>1024</v>
      </c>
      <c r="H828" t="s">
        <v>932</v>
      </c>
      <c r="I828" t="s">
        <v>1570</v>
      </c>
      <c r="J828">
        <v>32.200000000000003</v>
      </c>
      <c r="K828" t="e">
        <f>IF(COUNTIF(#REF!,Tabela2[[#This Row],[IdxWspolny]])&gt;0,"ELEM_lub_PRD","TECHN")</f>
        <v>#REF!</v>
      </c>
      <c r="L828" t="e">
        <f>IF(COUNTIF(#REF!,Tabela2[[#This Row],[KOD_PRODUKTU]])&gt;0,"ELEMENT","PRODUKT")</f>
        <v>#REF!</v>
      </c>
      <c r="M828" t="e">
        <f>COUNTIF(#REF!,Tabela2[[#This Row],[KOD_PRODUKTU]])</f>
        <v>#REF!</v>
      </c>
    </row>
    <row r="829" spans="1:13" x14ac:dyDescent="0.25">
      <c r="A829" s="1" t="s">
        <v>1568</v>
      </c>
      <c r="B829" t="s">
        <v>1569</v>
      </c>
      <c r="C829" s="1" t="s">
        <v>7</v>
      </c>
      <c r="D829" s="1" t="s">
        <v>7</v>
      </c>
      <c r="E829" s="1" t="s">
        <v>7</v>
      </c>
      <c r="F829" t="s">
        <v>8</v>
      </c>
      <c r="G829" t="s">
        <v>9</v>
      </c>
      <c r="H829" t="s">
        <v>10</v>
      </c>
      <c r="I829" t="s">
        <v>1571</v>
      </c>
      <c r="J829">
        <v>37.200000000000003</v>
      </c>
      <c r="K829" t="e">
        <f>IF(COUNTIF(#REF!,Tabela2[[#This Row],[IdxWspolny]])&gt;0,"ELEM_lub_PRD","TECHN")</f>
        <v>#REF!</v>
      </c>
      <c r="L829" t="e">
        <f>IF(COUNTIF(#REF!,Tabela2[[#This Row],[KOD_PRODUKTU]])&gt;0,"ELEMENT","PRODUKT")</f>
        <v>#REF!</v>
      </c>
      <c r="M829" t="e">
        <f>COUNTIF(#REF!,Tabela2[[#This Row],[KOD_PRODUKTU]])</f>
        <v>#REF!</v>
      </c>
    </row>
    <row r="830" spans="1:13" x14ac:dyDescent="0.25">
      <c r="A830" s="1" t="s">
        <v>1572</v>
      </c>
      <c r="B830" t="s">
        <v>1573</v>
      </c>
      <c r="C830" s="1" t="s">
        <v>1022</v>
      </c>
      <c r="D830" s="1" t="s">
        <v>1022</v>
      </c>
      <c r="E830" s="1" t="s">
        <v>1022</v>
      </c>
      <c r="F830" t="s">
        <v>1023</v>
      </c>
      <c r="G830" t="s">
        <v>1024</v>
      </c>
      <c r="H830" t="s">
        <v>932</v>
      </c>
      <c r="I830" t="s">
        <v>1574</v>
      </c>
      <c r="J830">
        <v>16</v>
      </c>
      <c r="K830" t="e">
        <f>IF(COUNTIF(#REF!,Tabela2[[#This Row],[IdxWspolny]])&gt;0,"ELEM_lub_PRD","TECHN")</f>
        <v>#REF!</v>
      </c>
      <c r="L830" t="e">
        <f>IF(COUNTIF(#REF!,Tabela2[[#This Row],[KOD_PRODUKTU]])&gt;0,"ELEMENT","PRODUKT")</f>
        <v>#REF!</v>
      </c>
      <c r="M830" t="e">
        <f>COUNTIF(#REF!,Tabela2[[#This Row],[KOD_PRODUKTU]])</f>
        <v>#REF!</v>
      </c>
    </row>
    <row r="831" spans="1:13" x14ac:dyDescent="0.25">
      <c r="A831" s="1" t="s">
        <v>1572</v>
      </c>
      <c r="B831" t="s">
        <v>1573</v>
      </c>
      <c r="C831" s="1" t="s">
        <v>7</v>
      </c>
      <c r="D831" s="1" t="s">
        <v>7</v>
      </c>
      <c r="E831" s="1" t="s">
        <v>7</v>
      </c>
      <c r="F831" t="s">
        <v>8</v>
      </c>
      <c r="G831" t="s">
        <v>9</v>
      </c>
      <c r="H831" t="s">
        <v>10</v>
      </c>
      <c r="I831" t="s">
        <v>1575</v>
      </c>
      <c r="J831">
        <v>32.299999999999997</v>
      </c>
      <c r="K831" t="e">
        <f>IF(COUNTIF(#REF!,Tabela2[[#This Row],[IdxWspolny]])&gt;0,"ELEM_lub_PRD","TECHN")</f>
        <v>#REF!</v>
      </c>
      <c r="L831" t="e">
        <f>IF(COUNTIF(#REF!,Tabela2[[#This Row],[KOD_PRODUKTU]])&gt;0,"ELEMENT","PRODUKT")</f>
        <v>#REF!</v>
      </c>
      <c r="M831" t="e">
        <f>COUNTIF(#REF!,Tabela2[[#This Row],[KOD_PRODUKTU]])</f>
        <v>#REF!</v>
      </c>
    </row>
    <row r="832" spans="1:13" x14ac:dyDescent="0.25">
      <c r="A832" s="1" t="s">
        <v>1576</v>
      </c>
      <c r="B832" t="s">
        <v>1577</v>
      </c>
      <c r="C832" s="1" t="s">
        <v>1022</v>
      </c>
      <c r="D832" s="1" t="s">
        <v>1022</v>
      </c>
      <c r="E832" s="1" t="s">
        <v>1022</v>
      </c>
      <c r="F832" t="s">
        <v>1023</v>
      </c>
      <c r="G832" t="s">
        <v>1024</v>
      </c>
      <c r="H832" t="s">
        <v>932</v>
      </c>
      <c r="I832" t="s">
        <v>1570</v>
      </c>
      <c r="J832">
        <v>32.200000000000003</v>
      </c>
      <c r="K832" t="e">
        <f>IF(COUNTIF(#REF!,Tabela2[[#This Row],[IdxWspolny]])&gt;0,"ELEM_lub_PRD","TECHN")</f>
        <v>#REF!</v>
      </c>
      <c r="L832" t="e">
        <f>IF(COUNTIF(#REF!,Tabela2[[#This Row],[KOD_PRODUKTU]])&gt;0,"ELEMENT","PRODUKT")</f>
        <v>#REF!</v>
      </c>
      <c r="M832" t="e">
        <f>COUNTIF(#REF!,Tabela2[[#This Row],[KOD_PRODUKTU]])</f>
        <v>#REF!</v>
      </c>
    </row>
    <row r="833" spans="1:13" x14ac:dyDescent="0.25">
      <c r="A833" s="1" t="s">
        <v>1576</v>
      </c>
      <c r="B833" t="s">
        <v>1577</v>
      </c>
      <c r="C833" s="1" t="s">
        <v>7</v>
      </c>
      <c r="D833" s="1" t="s">
        <v>7</v>
      </c>
      <c r="E833" s="1" t="s">
        <v>7</v>
      </c>
      <c r="F833" t="s">
        <v>8</v>
      </c>
      <c r="G833" t="s">
        <v>9</v>
      </c>
      <c r="H833" t="s">
        <v>10</v>
      </c>
      <c r="I833" t="s">
        <v>1578</v>
      </c>
      <c r="J833">
        <v>36.049999999999997</v>
      </c>
      <c r="K833" t="e">
        <f>IF(COUNTIF(#REF!,Tabela2[[#This Row],[IdxWspolny]])&gt;0,"ELEM_lub_PRD","TECHN")</f>
        <v>#REF!</v>
      </c>
      <c r="L833" t="e">
        <f>IF(COUNTIF(#REF!,Tabela2[[#This Row],[KOD_PRODUKTU]])&gt;0,"ELEMENT","PRODUKT")</f>
        <v>#REF!</v>
      </c>
      <c r="M833" t="e">
        <f>COUNTIF(#REF!,Tabela2[[#This Row],[KOD_PRODUKTU]])</f>
        <v>#REF!</v>
      </c>
    </row>
    <row r="834" spans="1:13" x14ac:dyDescent="0.25">
      <c r="A834" s="1" t="s">
        <v>1579</v>
      </c>
      <c r="B834" t="s">
        <v>1580</v>
      </c>
      <c r="C834" s="1" t="s">
        <v>1022</v>
      </c>
      <c r="D834" s="1" t="s">
        <v>1022</v>
      </c>
      <c r="E834" s="1" t="s">
        <v>1022</v>
      </c>
      <c r="F834" t="s">
        <v>1023</v>
      </c>
      <c r="G834" t="s">
        <v>1024</v>
      </c>
      <c r="H834" t="s">
        <v>932</v>
      </c>
      <c r="I834" t="s">
        <v>1562</v>
      </c>
      <c r="J834">
        <v>24.7</v>
      </c>
      <c r="K834" t="e">
        <f>IF(COUNTIF(#REF!,Tabela2[[#This Row],[IdxWspolny]])&gt;0,"ELEM_lub_PRD","TECHN")</f>
        <v>#REF!</v>
      </c>
      <c r="L834" t="e">
        <f>IF(COUNTIF(#REF!,Tabela2[[#This Row],[KOD_PRODUKTU]])&gt;0,"ELEMENT","PRODUKT")</f>
        <v>#REF!</v>
      </c>
      <c r="M834" t="e">
        <f>COUNTIF(#REF!,Tabela2[[#This Row],[KOD_PRODUKTU]])</f>
        <v>#REF!</v>
      </c>
    </row>
    <row r="835" spans="1:13" x14ac:dyDescent="0.25">
      <c r="A835" s="1" t="s">
        <v>1579</v>
      </c>
      <c r="B835" t="s">
        <v>1580</v>
      </c>
      <c r="C835" s="1" t="s">
        <v>7</v>
      </c>
      <c r="D835" s="1" t="s">
        <v>7</v>
      </c>
      <c r="E835" s="1" t="s">
        <v>7</v>
      </c>
      <c r="F835" t="s">
        <v>8</v>
      </c>
      <c r="G835" t="s">
        <v>9</v>
      </c>
      <c r="H835" t="s">
        <v>10</v>
      </c>
      <c r="I835" t="s">
        <v>1581</v>
      </c>
      <c r="J835">
        <v>36.5</v>
      </c>
      <c r="K835" t="e">
        <f>IF(COUNTIF(#REF!,Tabela2[[#This Row],[IdxWspolny]])&gt;0,"ELEM_lub_PRD","TECHN")</f>
        <v>#REF!</v>
      </c>
      <c r="L835" t="e">
        <f>IF(COUNTIF(#REF!,Tabela2[[#This Row],[KOD_PRODUKTU]])&gt;0,"ELEMENT","PRODUKT")</f>
        <v>#REF!</v>
      </c>
      <c r="M835" t="e">
        <f>COUNTIF(#REF!,Tabela2[[#This Row],[KOD_PRODUKTU]])</f>
        <v>#REF!</v>
      </c>
    </row>
    <row r="836" spans="1:13" x14ac:dyDescent="0.25">
      <c r="A836" s="1" t="s">
        <v>1582</v>
      </c>
      <c r="B836" t="s">
        <v>1583</v>
      </c>
      <c r="C836" s="1" t="s">
        <v>1022</v>
      </c>
      <c r="D836" s="1" t="s">
        <v>1022</v>
      </c>
      <c r="E836" s="1" t="s">
        <v>1022</v>
      </c>
      <c r="F836" t="s">
        <v>1023</v>
      </c>
      <c r="G836" t="s">
        <v>1024</v>
      </c>
      <c r="H836" t="s">
        <v>932</v>
      </c>
      <c r="I836" t="s">
        <v>1570</v>
      </c>
      <c r="J836">
        <v>32.200000000000003</v>
      </c>
      <c r="K836" t="e">
        <f>IF(COUNTIF(#REF!,Tabela2[[#This Row],[IdxWspolny]])&gt;0,"ELEM_lub_PRD","TECHN")</f>
        <v>#REF!</v>
      </c>
      <c r="L836" t="e">
        <f>IF(COUNTIF(#REF!,Tabela2[[#This Row],[KOD_PRODUKTU]])&gt;0,"ELEMENT","PRODUKT")</f>
        <v>#REF!</v>
      </c>
      <c r="M836" t="e">
        <f>COUNTIF(#REF!,Tabela2[[#This Row],[KOD_PRODUKTU]])</f>
        <v>#REF!</v>
      </c>
    </row>
    <row r="837" spans="1:13" x14ac:dyDescent="0.25">
      <c r="A837" s="1" t="s">
        <v>1582</v>
      </c>
      <c r="B837" t="s">
        <v>1583</v>
      </c>
      <c r="C837" s="1" t="s">
        <v>7</v>
      </c>
      <c r="D837" s="1" t="s">
        <v>7</v>
      </c>
      <c r="E837" s="1" t="s">
        <v>7</v>
      </c>
      <c r="F837" t="s">
        <v>8</v>
      </c>
      <c r="G837" t="s">
        <v>9</v>
      </c>
      <c r="H837" t="s">
        <v>10</v>
      </c>
      <c r="I837" t="s">
        <v>1584</v>
      </c>
      <c r="J837">
        <v>37.25</v>
      </c>
      <c r="K837" t="e">
        <f>IF(COUNTIF(#REF!,Tabela2[[#This Row],[IdxWspolny]])&gt;0,"ELEM_lub_PRD","TECHN")</f>
        <v>#REF!</v>
      </c>
      <c r="L837" t="e">
        <f>IF(COUNTIF(#REF!,Tabela2[[#This Row],[KOD_PRODUKTU]])&gt;0,"ELEMENT","PRODUKT")</f>
        <v>#REF!</v>
      </c>
      <c r="M837" t="e">
        <f>COUNTIF(#REF!,Tabela2[[#This Row],[KOD_PRODUKTU]])</f>
        <v>#REF!</v>
      </c>
    </row>
    <row r="838" spans="1:13" x14ac:dyDescent="0.25">
      <c r="A838" s="1" t="s">
        <v>1585</v>
      </c>
      <c r="B838" t="s">
        <v>1586</v>
      </c>
      <c r="C838" s="1" t="s">
        <v>1587</v>
      </c>
      <c r="D838" s="1" t="s">
        <v>1587</v>
      </c>
      <c r="E838" s="1" t="s">
        <v>1587</v>
      </c>
      <c r="F838" t="s">
        <v>1586</v>
      </c>
      <c r="G838" t="s">
        <v>1588</v>
      </c>
      <c r="H838" t="s">
        <v>49</v>
      </c>
      <c r="I838" t="s">
        <v>50</v>
      </c>
      <c r="J838">
        <v>19.5</v>
      </c>
      <c r="K838" t="e">
        <f>IF(COUNTIF(#REF!,Tabela2[[#This Row],[IdxWspolny]])&gt;0,"ELEM_lub_PRD","TECHN")</f>
        <v>#REF!</v>
      </c>
      <c r="L838" t="e">
        <f>IF(COUNTIF(#REF!,Tabela2[[#This Row],[KOD_PRODUKTU]])&gt;0,"ELEMENT","PRODUKT")</f>
        <v>#REF!</v>
      </c>
      <c r="M838" t="e">
        <f>COUNTIF(#REF!,Tabela2[[#This Row],[KOD_PRODUKTU]])</f>
        <v>#REF!</v>
      </c>
    </row>
    <row r="839" spans="1:13" x14ac:dyDescent="0.25">
      <c r="A839" s="1" t="s">
        <v>1585</v>
      </c>
      <c r="B839" t="s">
        <v>1586</v>
      </c>
      <c r="C839" s="1" t="s">
        <v>7</v>
      </c>
      <c r="D839" s="1" t="s">
        <v>7</v>
      </c>
      <c r="E839" s="1" t="s">
        <v>7</v>
      </c>
      <c r="F839" t="s">
        <v>8</v>
      </c>
      <c r="G839" t="s">
        <v>9</v>
      </c>
      <c r="H839" t="s">
        <v>10</v>
      </c>
      <c r="I839" t="s">
        <v>33</v>
      </c>
      <c r="J839">
        <v>9.1999999999999993</v>
      </c>
      <c r="K839" t="e">
        <f>IF(COUNTIF(#REF!,Tabela2[[#This Row],[IdxWspolny]])&gt;0,"ELEM_lub_PRD","TECHN")</f>
        <v>#REF!</v>
      </c>
      <c r="L839" t="e">
        <f>IF(COUNTIF(#REF!,Tabela2[[#This Row],[KOD_PRODUKTU]])&gt;0,"ELEMENT","PRODUKT")</f>
        <v>#REF!</v>
      </c>
      <c r="M839" t="e">
        <f>COUNTIF(#REF!,Tabela2[[#This Row],[KOD_PRODUKTU]])</f>
        <v>#REF!</v>
      </c>
    </row>
    <row r="840" spans="1:13" x14ac:dyDescent="0.25">
      <c r="A840" s="1" t="s">
        <v>1589</v>
      </c>
      <c r="B840" t="s">
        <v>1590</v>
      </c>
      <c r="C840" s="1" t="s">
        <v>1591</v>
      </c>
      <c r="D840" s="1" t="s">
        <v>1591</v>
      </c>
      <c r="E840" s="1" t="s">
        <v>1591</v>
      </c>
      <c r="F840" t="s">
        <v>1592</v>
      </c>
      <c r="G840" t="s">
        <v>1593</v>
      </c>
      <c r="H840" t="s">
        <v>49</v>
      </c>
      <c r="I840" t="s">
        <v>50</v>
      </c>
      <c r="J840">
        <v>22.75</v>
      </c>
      <c r="K840" t="e">
        <f>IF(COUNTIF(#REF!,Tabela2[[#This Row],[IdxWspolny]])&gt;0,"ELEM_lub_PRD","TECHN")</f>
        <v>#REF!</v>
      </c>
      <c r="L840" t="e">
        <f>IF(COUNTIF(#REF!,Tabela2[[#This Row],[KOD_PRODUKTU]])&gt;0,"ELEMENT","PRODUKT")</f>
        <v>#REF!</v>
      </c>
      <c r="M840" t="e">
        <f>COUNTIF(#REF!,Tabela2[[#This Row],[KOD_PRODUKTU]])</f>
        <v>#REF!</v>
      </c>
    </row>
    <row r="841" spans="1:13" x14ac:dyDescent="0.25">
      <c r="A841" s="1" t="s">
        <v>1589</v>
      </c>
      <c r="B841" t="s">
        <v>1590</v>
      </c>
      <c r="C841" s="1" t="s">
        <v>7</v>
      </c>
      <c r="D841" s="1" t="s">
        <v>7</v>
      </c>
      <c r="E841" s="1" t="s">
        <v>7</v>
      </c>
      <c r="F841" t="s">
        <v>8</v>
      </c>
      <c r="G841" t="s">
        <v>9</v>
      </c>
      <c r="H841" t="s">
        <v>10</v>
      </c>
      <c r="I841" t="s">
        <v>33</v>
      </c>
      <c r="J841">
        <v>9.1999999999999993</v>
      </c>
      <c r="K841" t="e">
        <f>IF(COUNTIF(#REF!,Tabela2[[#This Row],[IdxWspolny]])&gt;0,"ELEM_lub_PRD","TECHN")</f>
        <v>#REF!</v>
      </c>
      <c r="L841" t="e">
        <f>IF(COUNTIF(#REF!,Tabela2[[#This Row],[KOD_PRODUKTU]])&gt;0,"ELEMENT","PRODUKT")</f>
        <v>#REF!</v>
      </c>
      <c r="M841" t="e">
        <f>COUNTIF(#REF!,Tabela2[[#This Row],[KOD_PRODUKTU]])</f>
        <v>#REF!</v>
      </c>
    </row>
    <row r="842" spans="1:13" x14ac:dyDescent="0.25">
      <c r="A842" s="1" t="s">
        <v>1594</v>
      </c>
      <c r="B842" t="s">
        <v>1595</v>
      </c>
      <c r="C842" s="1" t="s">
        <v>1596</v>
      </c>
      <c r="D842" s="1" t="s">
        <v>1596</v>
      </c>
      <c r="E842" s="1" t="s">
        <v>1596</v>
      </c>
      <c r="F842" t="s">
        <v>1597</v>
      </c>
      <c r="G842" t="s">
        <v>1598</v>
      </c>
      <c r="H842" t="s">
        <v>49</v>
      </c>
      <c r="I842" t="s">
        <v>50</v>
      </c>
      <c r="J842">
        <v>29.25</v>
      </c>
      <c r="K842" t="e">
        <f>IF(COUNTIF(#REF!,Tabela2[[#This Row],[IdxWspolny]])&gt;0,"ELEM_lub_PRD","TECHN")</f>
        <v>#REF!</v>
      </c>
      <c r="L842" t="e">
        <f>IF(COUNTIF(#REF!,Tabela2[[#This Row],[KOD_PRODUKTU]])&gt;0,"ELEMENT","PRODUKT")</f>
        <v>#REF!</v>
      </c>
      <c r="M842" t="e">
        <f>COUNTIF(#REF!,Tabela2[[#This Row],[KOD_PRODUKTU]])</f>
        <v>#REF!</v>
      </c>
    </row>
    <row r="843" spans="1:13" x14ac:dyDescent="0.25">
      <c r="A843" s="1" t="s">
        <v>1594</v>
      </c>
      <c r="B843" t="s">
        <v>1595</v>
      </c>
      <c r="C843" s="1" t="s">
        <v>7</v>
      </c>
      <c r="D843" s="1" t="s">
        <v>7</v>
      </c>
      <c r="E843" s="1" t="s">
        <v>7</v>
      </c>
      <c r="F843" t="s">
        <v>8</v>
      </c>
      <c r="G843" t="s">
        <v>9</v>
      </c>
      <c r="H843" t="s">
        <v>10</v>
      </c>
      <c r="I843" t="s">
        <v>33</v>
      </c>
      <c r="J843">
        <v>9.1999999999999993</v>
      </c>
      <c r="K843" t="e">
        <f>IF(COUNTIF(#REF!,Tabela2[[#This Row],[IdxWspolny]])&gt;0,"ELEM_lub_PRD","TECHN")</f>
        <v>#REF!</v>
      </c>
      <c r="L843" t="e">
        <f>IF(COUNTIF(#REF!,Tabela2[[#This Row],[KOD_PRODUKTU]])&gt;0,"ELEMENT","PRODUKT")</f>
        <v>#REF!</v>
      </c>
      <c r="M843" t="e">
        <f>COUNTIF(#REF!,Tabela2[[#This Row],[KOD_PRODUKTU]])</f>
        <v>#REF!</v>
      </c>
    </row>
    <row r="844" spans="1:13" x14ac:dyDescent="0.25">
      <c r="A844" s="1" t="s">
        <v>1599</v>
      </c>
      <c r="B844" t="s">
        <v>1600</v>
      </c>
      <c r="C844" s="1" t="s">
        <v>1601</v>
      </c>
      <c r="D844" s="1" t="s">
        <v>1601</v>
      </c>
      <c r="E844" s="1" t="s">
        <v>1601</v>
      </c>
      <c r="F844" t="s">
        <v>1602</v>
      </c>
      <c r="G844" t="s">
        <v>1603</v>
      </c>
      <c r="H844" t="s">
        <v>49</v>
      </c>
      <c r="I844" t="s">
        <v>50</v>
      </c>
      <c r="J844">
        <v>39</v>
      </c>
      <c r="K844" t="e">
        <f>IF(COUNTIF(#REF!,Tabela2[[#This Row],[IdxWspolny]])&gt;0,"ELEM_lub_PRD","TECHN")</f>
        <v>#REF!</v>
      </c>
      <c r="L844" t="e">
        <f>IF(COUNTIF(#REF!,Tabela2[[#This Row],[KOD_PRODUKTU]])&gt;0,"ELEMENT","PRODUKT")</f>
        <v>#REF!</v>
      </c>
      <c r="M844" t="e">
        <f>COUNTIF(#REF!,Tabela2[[#This Row],[KOD_PRODUKTU]])</f>
        <v>#REF!</v>
      </c>
    </row>
    <row r="845" spans="1:13" x14ac:dyDescent="0.25">
      <c r="A845" s="1" t="s">
        <v>1599</v>
      </c>
      <c r="B845" t="s">
        <v>1600</v>
      </c>
      <c r="C845" s="1" t="s">
        <v>7</v>
      </c>
      <c r="D845" s="1" t="s">
        <v>7</v>
      </c>
      <c r="E845" s="1" t="s">
        <v>7</v>
      </c>
      <c r="F845" t="s">
        <v>8</v>
      </c>
      <c r="G845" t="s">
        <v>9</v>
      </c>
      <c r="H845" t="s">
        <v>10</v>
      </c>
      <c r="I845" t="s">
        <v>1604</v>
      </c>
      <c r="J845">
        <v>9.6999999999999993</v>
      </c>
      <c r="K845" t="e">
        <f>IF(COUNTIF(#REF!,Tabela2[[#This Row],[IdxWspolny]])&gt;0,"ELEM_lub_PRD","TECHN")</f>
        <v>#REF!</v>
      </c>
      <c r="L845" t="e">
        <f>IF(COUNTIF(#REF!,Tabela2[[#This Row],[KOD_PRODUKTU]])&gt;0,"ELEMENT","PRODUKT")</f>
        <v>#REF!</v>
      </c>
      <c r="M845" t="e">
        <f>COUNTIF(#REF!,Tabela2[[#This Row],[KOD_PRODUKTU]])</f>
        <v>#REF!</v>
      </c>
    </row>
    <row r="846" spans="1:13" x14ac:dyDescent="0.25">
      <c r="A846" s="1" t="s">
        <v>1605</v>
      </c>
      <c r="B846" t="s">
        <v>1606</v>
      </c>
      <c r="C846" s="1" t="s">
        <v>1607</v>
      </c>
      <c r="D846" s="1" t="s">
        <v>1607</v>
      </c>
      <c r="E846" s="1" t="s">
        <v>1607</v>
      </c>
      <c r="F846" t="s">
        <v>1608</v>
      </c>
      <c r="G846" t="s">
        <v>16</v>
      </c>
      <c r="H846" t="s">
        <v>49</v>
      </c>
      <c r="I846" t="s">
        <v>50</v>
      </c>
      <c r="J846">
        <v>47</v>
      </c>
      <c r="K846" t="e">
        <f>IF(COUNTIF(#REF!,Tabela2[[#This Row],[IdxWspolny]])&gt;0,"ELEM_lub_PRD","TECHN")</f>
        <v>#REF!</v>
      </c>
      <c r="L846" t="e">
        <f>IF(COUNTIF(#REF!,Tabela2[[#This Row],[KOD_PRODUKTU]])&gt;0,"ELEMENT","PRODUKT")</f>
        <v>#REF!</v>
      </c>
      <c r="M846" t="e">
        <f>COUNTIF(#REF!,Tabela2[[#This Row],[KOD_PRODUKTU]])</f>
        <v>#REF!</v>
      </c>
    </row>
    <row r="847" spans="1:13" x14ac:dyDescent="0.25">
      <c r="A847" s="1" t="s">
        <v>1605</v>
      </c>
      <c r="B847" t="s">
        <v>1606</v>
      </c>
      <c r="C847" s="1" t="s">
        <v>541</v>
      </c>
      <c r="D847" s="1" t="s">
        <v>541</v>
      </c>
      <c r="E847" s="1" t="s">
        <v>541</v>
      </c>
      <c r="F847" t="s">
        <v>542</v>
      </c>
      <c r="G847" t="s">
        <v>9</v>
      </c>
      <c r="H847" t="s">
        <v>10</v>
      </c>
      <c r="I847" t="s">
        <v>33</v>
      </c>
      <c r="J847">
        <v>9.1999999999999993</v>
      </c>
      <c r="K847" t="e">
        <f>IF(COUNTIF(#REF!,Tabela2[[#This Row],[IdxWspolny]])&gt;0,"ELEM_lub_PRD","TECHN")</f>
        <v>#REF!</v>
      </c>
      <c r="L847" t="e">
        <f>IF(COUNTIF(#REF!,Tabela2[[#This Row],[KOD_PRODUKTU]])&gt;0,"ELEMENT","PRODUKT")</f>
        <v>#REF!</v>
      </c>
      <c r="M847" t="e">
        <f>COUNTIF(#REF!,Tabela2[[#This Row],[KOD_PRODUKTU]])</f>
        <v>#REF!</v>
      </c>
    </row>
    <row r="848" spans="1:13" x14ac:dyDescent="0.25">
      <c r="A848" s="1" t="s">
        <v>1609</v>
      </c>
      <c r="B848" t="s">
        <v>1610</v>
      </c>
      <c r="C848" s="1" t="s">
        <v>1611</v>
      </c>
      <c r="D848" s="1" t="s">
        <v>1611</v>
      </c>
      <c r="E848" s="1" t="s">
        <v>1611</v>
      </c>
      <c r="F848" t="s">
        <v>1612</v>
      </c>
      <c r="G848" t="s">
        <v>1613</v>
      </c>
      <c r="H848" t="s">
        <v>49</v>
      </c>
      <c r="I848" t="s">
        <v>50</v>
      </c>
      <c r="J848">
        <v>41.1</v>
      </c>
      <c r="K848" t="e">
        <f>IF(COUNTIF(#REF!,Tabela2[[#This Row],[IdxWspolny]])&gt;0,"ELEM_lub_PRD","TECHN")</f>
        <v>#REF!</v>
      </c>
      <c r="L848" t="e">
        <f>IF(COUNTIF(#REF!,Tabela2[[#This Row],[KOD_PRODUKTU]])&gt;0,"ELEMENT","PRODUKT")</f>
        <v>#REF!</v>
      </c>
      <c r="M848" t="e">
        <f>COUNTIF(#REF!,Tabela2[[#This Row],[KOD_PRODUKTU]])</f>
        <v>#REF!</v>
      </c>
    </row>
    <row r="849" spans="1:13" x14ac:dyDescent="0.25">
      <c r="A849" s="1" t="s">
        <v>1609</v>
      </c>
      <c r="B849" t="s">
        <v>1610</v>
      </c>
      <c r="C849" s="1" t="s">
        <v>7</v>
      </c>
      <c r="D849" s="1" t="s">
        <v>7</v>
      </c>
      <c r="E849" s="1" t="s">
        <v>7</v>
      </c>
      <c r="F849" t="s">
        <v>8</v>
      </c>
      <c r="G849" t="s">
        <v>9</v>
      </c>
      <c r="H849" t="s">
        <v>10</v>
      </c>
      <c r="I849" t="s">
        <v>1604</v>
      </c>
      <c r="J849">
        <v>9.6999999999999993</v>
      </c>
      <c r="K849" t="e">
        <f>IF(COUNTIF(#REF!,Tabela2[[#This Row],[IdxWspolny]])&gt;0,"ELEM_lub_PRD","TECHN")</f>
        <v>#REF!</v>
      </c>
      <c r="L849" t="e">
        <f>IF(COUNTIF(#REF!,Tabela2[[#This Row],[KOD_PRODUKTU]])&gt;0,"ELEMENT","PRODUKT")</f>
        <v>#REF!</v>
      </c>
      <c r="M849" t="e">
        <f>COUNTIF(#REF!,Tabela2[[#This Row],[KOD_PRODUKTU]])</f>
        <v>#REF!</v>
      </c>
    </row>
    <row r="850" spans="1:13" x14ac:dyDescent="0.25">
      <c r="A850" s="1" t="s">
        <v>1614</v>
      </c>
      <c r="B850" t="s">
        <v>1615</v>
      </c>
      <c r="C850" s="1" t="s">
        <v>1616</v>
      </c>
      <c r="D850" s="1" t="s">
        <v>1616</v>
      </c>
      <c r="E850" s="1" t="s">
        <v>1616</v>
      </c>
      <c r="F850" t="s">
        <v>1617</v>
      </c>
      <c r="G850" t="s">
        <v>1618</v>
      </c>
      <c r="H850" t="s">
        <v>49</v>
      </c>
      <c r="I850" t="s">
        <v>50</v>
      </c>
      <c r="J850">
        <v>56.4</v>
      </c>
      <c r="K850" t="e">
        <f>IF(COUNTIF(#REF!,Tabela2[[#This Row],[IdxWspolny]])&gt;0,"ELEM_lub_PRD","TECHN")</f>
        <v>#REF!</v>
      </c>
      <c r="L850" t="e">
        <f>IF(COUNTIF(#REF!,Tabela2[[#This Row],[KOD_PRODUKTU]])&gt;0,"ELEMENT","PRODUKT")</f>
        <v>#REF!</v>
      </c>
      <c r="M850" t="e">
        <f>COUNTIF(#REF!,Tabela2[[#This Row],[KOD_PRODUKTU]])</f>
        <v>#REF!</v>
      </c>
    </row>
    <row r="851" spans="1:13" x14ac:dyDescent="0.25">
      <c r="A851" s="1" t="s">
        <v>1614</v>
      </c>
      <c r="B851" t="s">
        <v>1615</v>
      </c>
      <c r="C851" s="1" t="s">
        <v>7</v>
      </c>
      <c r="D851" s="1" t="s">
        <v>7</v>
      </c>
      <c r="E851" s="1" t="s">
        <v>7</v>
      </c>
      <c r="F851" t="s">
        <v>8</v>
      </c>
      <c r="G851" t="s">
        <v>9</v>
      </c>
      <c r="H851" t="s">
        <v>10</v>
      </c>
      <c r="I851" t="s">
        <v>1604</v>
      </c>
      <c r="J851">
        <v>9.6999999999999993</v>
      </c>
      <c r="K851" t="e">
        <f>IF(COUNTIF(#REF!,Tabela2[[#This Row],[IdxWspolny]])&gt;0,"ELEM_lub_PRD","TECHN")</f>
        <v>#REF!</v>
      </c>
      <c r="L851" t="e">
        <f>IF(COUNTIF(#REF!,Tabela2[[#This Row],[KOD_PRODUKTU]])&gt;0,"ELEMENT","PRODUKT")</f>
        <v>#REF!</v>
      </c>
      <c r="M851" t="e">
        <f>COUNTIF(#REF!,Tabela2[[#This Row],[KOD_PRODUKTU]])</f>
        <v>#REF!</v>
      </c>
    </row>
    <row r="852" spans="1:13" x14ac:dyDescent="0.25">
      <c r="A852" s="1" t="s">
        <v>1619</v>
      </c>
      <c r="B852" t="s">
        <v>1620</v>
      </c>
      <c r="C852" s="1" t="s">
        <v>1621</v>
      </c>
      <c r="D852" s="1" t="s">
        <v>1621</v>
      </c>
      <c r="E852" s="1" t="s">
        <v>1621</v>
      </c>
      <c r="F852" t="s">
        <v>1622</v>
      </c>
      <c r="G852" t="s">
        <v>1623</v>
      </c>
      <c r="H852" t="s">
        <v>49</v>
      </c>
      <c r="I852" t="s">
        <v>50</v>
      </c>
      <c r="J852">
        <v>46.3</v>
      </c>
      <c r="K852" t="e">
        <f>IF(COUNTIF(#REF!,Tabela2[[#This Row],[IdxWspolny]])&gt;0,"ELEM_lub_PRD","TECHN")</f>
        <v>#REF!</v>
      </c>
      <c r="L852" t="e">
        <f>IF(COUNTIF(#REF!,Tabela2[[#This Row],[KOD_PRODUKTU]])&gt;0,"ELEMENT","PRODUKT")</f>
        <v>#REF!</v>
      </c>
      <c r="M852" t="e">
        <f>COUNTIF(#REF!,Tabela2[[#This Row],[KOD_PRODUKTU]])</f>
        <v>#REF!</v>
      </c>
    </row>
    <row r="853" spans="1:13" x14ac:dyDescent="0.25">
      <c r="A853" s="1" t="s">
        <v>1619</v>
      </c>
      <c r="B853" t="s">
        <v>1620</v>
      </c>
      <c r="C853" s="1" t="s">
        <v>541</v>
      </c>
      <c r="D853" s="1" t="s">
        <v>541</v>
      </c>
      <c r="E853" s="1" t="s">
        <v>541</v>
      </c>
      <c r="F853" t="s">
        <v>542</v>
      </c>
      <c r="G853" t="s">
        <v>9</v>
      </c>
      <c r="H853" t="s">
        <v>10</v>
      </c>
      <c r="I853" t="s">
        <v>1019</v>
      </c>
      <c r="J853">
        <v>9.6999999999999993</v>
      </c>
      <c r="K853" t="e">
        <f>IF(COUNTIF(#REF!,Tabela2[[#This Row],[IdxWspolny]])&gt;0,"ELEM_lub_PRD","TECHN")</f>
        <v>#REF!</v>
      </c>
      <c r="L853" t="e">
        <f>IF(COUNTIF(#REF!,Tabela2[[#This Row],[KOD_PRODUKTU]])&gt;0,"ELEMENT","PRODUKT")</f>
        <v>#REF!</v>
      </c>
      <c r="M853" t="e">
        <f>COUNTIF(#REF!,Tabela2[[#This Row],[KOD_PRODUKTU]])</f>
        <v>#REF!</v>
      </c>
    </row>
    <row r="854" spans="1:13" x14ac:dyDescent="0.25">
      <c r="A854" s="1" t="s">
        <v>1624</v>
      </c>
      <c r="B854" t="s">
        <v>1625</v>
      </c>
      <c r="C854" s="1" t="s">
        <v>1626</v>
      </c>
      <c r="D854" s="1" t="s">
        <v>1626</v>
      </c>
      <c r="E854" s="1" t="s">
        <v>1626</v>
      </c>
      <c r="F854" t="s">
        <v>1627</v>
      </c>
      <c r="G854" t="s">
        <v>1628</v>
      </c>
      <c r="H854" t="s">
        <v>49</v>
      </c>
      <c r="I854" t="s">
        <v>50</v>
      </c>
      <c r="J854">
        <v>26</v>
      </c>
      <c r="K854" t="e">
        <f>IF(COUNTIF(#REF!,Tabela2[[#This Row],[IdxWspolny]])&gt;0,"ELEM_lub_PRD","TECHN")</f>
        <v>#REF!</v>
      </c>
      <c r="L854" t="e">
        <f>IF(COUNTIF(#REF!,Tabela2[[#This Row],[KOD_PRODUKTU]])&gt;0,"ELEMENT","PRODUKT")</f>
        <v>#REF!</v>
      </c>
      <c r="M854" t="e">
        <f>COUNTIF(#REF!,Tabela2[[#This Row],[KOD_PRODUKTU]])</f>
        <v>#REF!</v>
      </c>
    </row>
    <row r="855" spans="1:13" x14ac:dyDescent="0.25">
      <c r="A855" s="1" t="s">
        <v>1624</v>
      </c>
      <c r="B855" t="s">
        <v>1625</v>
      </c>
      <c r="C855" s="1" t="s">
        <v>7</v>
      </c>
      <c r="D855" s="1" t="s">
        <v>7</v>
      </c>
      <c r="E855" s="1" t="s">
        <v>7</v>
      </c>
      <c r="F855" t="s">
        <v>8</v>
      </c>
      <c r="G855" t="s">
        <v>9</v>
      </c>
      <c r="H855" t="s">
        <v>10</v>
      </c>
      <c r="I855" t="s">
        <v>33</v>
      </c>
      <c r="J855">
        <v>9.1999999999999993</v>
      </c>
      <c r="K855" t="e">
        <f>IF(COUNTIF(#REF!,Tabela2[[#This Row],[IdxWspolny]])&gt;0,"ELEM_lub_PRD","TECHN")</f>
        <v>#REF!</v>
      </c>
      <c r="L855" t="e">
        <f>IF(COUNTIF(#REF!,Tabela2[[#This Row],[KOD_PRODUKTU]])&gt;0,"ELEMENT","PRODUKT")</f>
        <v>#REF!</v>
      </c>
      <c r="M855" t="e">
        <f>COUNTIF(#REF!,Tabela2[[#This Row],[KOD_PRODUKTU]])</f>
        <v>#REF!</v>
      </c>
    </row>
    <row r="856" spans="1:13" x14ac:dyDescent="0.25">
      <c r="A856" s="1" t="s">
        <v>1629</v>
      </c>
      <c r="B856" t="s">
        <v>1630</v>
      </c>
      <c r="C856" s="1" t="s">
        <v>1631</v>
      </c>
      <c r="D856" s="1" t="s">
        <v>1631</v>
      </c>
      <c r="E856" s="1" t="s">
        <v>1631</v>
      </c>
      <c r="F856" t="s">
        <v>1632</v>
      </c>
      <c r="G856" t="s">
        <v>311</v>
      </c>
      <c r="H856" t="s">
        <v>49</v>
      </c>
      <c r="I856" t="s">
        <v>50</v>
      </c>
      <c r="J856">
        <v>13</v>
      </c>
      <c r="K856" t="e">
        <f>IF(COUNTIF(#REF!,Tabela2[[#This Row],[IdxWspolny]])&gt;0,"ELEM_lub_PRD","TECHN")</f>
        <v>#REF!</v>
      </c>
      <c r="L856" t="e">
        <f>IF(COUNTIF(#REF!,Tabela2[[#This Row],[KOD_PRODUKTU]])&gt;0,"ELEMENT","PRODUKT")</f>
        <v>#REF!</v>
      </c>
      <c r="M856" t="e">
        <f>COUNTIF(#REF!,Tabela2[[#This Row],[KOD_PRODUKTU]])</f>
        <v>#REF!</v>
      </c>
    </row>
    <row r="857" spans="1:13" x14ac:dyDescent="0.25">
      <c r="A857" s="1" t="s">
        <v>1629</v>
      </c>
      <c r="B857" t="s">
        <v>1630</v>
      </c>
      <c r="C857" s="1" t="s">
        <v>7</v>
      </c>
      <c r="D857" s="1" t="s">
        <v>7</v>
      </c>
      <c r="E857" s="1" t="s">
        <v>7</v>
      </c>
      <c r="F857" t="s">
        <v>8</v>
      </c>
      <c r="G857" t="s">
        <v>9</v>
      </c>
      <c r="H857" t="s">
        <v>10</v>
      </c>
      <c r="I857" t="s">
        <v>1633</v>
      </c>
      <c r="J857">
        <v>20</v>
      </c>
      <c r="K857" t="e">
        <f>IF(COUNTIF(#REF!,Tabela2[[#This Row],[IdxWspolny]])&gt;0,"ELEM_lub_PRD","TECHN")</f>
        <v>#REF!</v>
      </c>
      <c r="L857" t="e">
        <f>IF(COUNTIF(#REF!,Tabela2[[#This Row],[KOD_PRODUKTU]])&gt;0,"ELEMENT","PRODUKT")</f>
        <v>#REF!</v>
      </c>
      <c r="M857" t="e">
        <f>COUNTIF(#REF!,Tabela2[[#This Row],[KOD_PRODUKTU]])</f>
        <v>#REF!</v>
      </c>
    </row>
    <row r="858" spans="1:13" x14ac:dyDescent="0.25">
      <c r="A858" s="1" t="s">
        <v>1634</v>
      </c>
      <c r="B858" t="s">
        <v>1635</v>
      </c>
      <c r="C858" s="1" t="s">
        <v>1636</v>
      </c>
      <c r="D858" s="1" t="s">
        <v>1636</v>
      </c>
      <c r="E858" s="1" t="s">
        <v>1636</v>
      </c>
      <c r="F858" t="s">
        <v>1637</v>
      </c>
      <c r="G858" t="s">
        <v>1638</v>
      </c>
      <c r="H858" t="s">
        <v>49</v>
      </c>
      <c r="I858" t="s">
        <v>50</v>
      </c>
      <c r="J858">
        <v>55.25</v>
      </c>
      <c r="K858" t="e">
        <f>IF(COUNTIF(#REF!,Tabela2[[#This Row],[IdxWspolny]])&gt;0,"ELEM_lub_PRD","TECHN")</f>
        <v>#REF!</v>
      </c>
      <c r="L858" t="e">
        <f>IF(COUNTIF(#REF!,Tabela2[[#This Row],[KOD_PRODUKTU]])&gt;0,"ELEMENT","PRODUKT")</f>
        <v>#REF!</v>
      </c>
      <c r="M858" t="e">
        <f>COUNTIF(#REF!,Tabela2[[#This Row],[KOD_PRODUKTU]])</f>
        <v>#REF!</v>
      </c>
    </row>
    <row r="859" spans="1:13" x14ac:dyDescent="0.25">
      <c r="A859" s="1" t="s">
        <v>1634</v>
      </c>
      <c r="B859" t="s">
        <v>1635</v>
      </c>
      <c r="C859" s="1" t="s">
        <v>541</v>
      </c>
      <c r="D859" s="1" t="s">
        <v>541</v>
      </c>
      <c r="E859" s="1" t="s">
        <v>541</v>
      </c>
      <c r="F859" t="s">
        <v>542</v>
      </c>
      <c r="G859" t="s">
        <v>9</v>
      </c>
      <c r="H859" t="s">
        <v>10</v>
      </c>
      <c r="I859" t="s">
        <v>1639</v>
      </c>
      <c r="J859">
        <v>9.67</v>
      </c>
      <c r="K859" t="e">
        <f>IF(COUNTIF(#REF!,Tabela2[[#This Row],[IdxWspolny]])&gt;0,"ELEM_lub_PRD","TECHN")</f>
        <v>#REF!</v>
      </c>
      <c r="L859" t="e">
        <f>IF(COUNTIF(#REF!,Tabela2[[#This Row],[KOD_PRODUKTU]])&gt;0,"ELEMENT","PRODUKT")</f>
        <v>#REF!</v>
      </c>
      <c r="M859" t="e">
        <f>COUNTIF(#REF!,Tabela2[[#This Row],[KOD_PRODUKTU]])</f>
        <v>#REF!</v>
      </c>
    </row>
    <row r="860" spans="1:13" x14ac:dyDescent="0.25">
      <c r="A860" s="1" t="s">
        <v>1640</v>
      </c>
      <c r="B860" t="s">
        <v>1641</v>
      </c>
      <c r="C860" s="1" t="s">
        <v>1642</v>
      </c>
      <c r="D860" s="1" t="s">
        <v>1642</v>
      </c>
      <c r="E860" s="1" t="s">
        <v>1642</v>
      </c>
      <c r="F860" t="s">
        <v>1643</v>
      </c>
      <c r="G860" t="s">
        <v>1644</v>
      </c>
      <c r="H860" t="s">
        <v>49</v>
      </c>
      <c r="I860" t="s">
        <v>50</v>
      </c>
      <c r="J860">
        <v>56.55</v>
      </c>
      <c r="K860" t="e">
        <f>IF(COUNTIF(#REF!,Tabela2[[#This Row],[IdxWspolny]])&gt;0,"ELEM_lub_PRD","TECHN")</f>
        <v>#REF!</v>
      </c>
      <c r="L860" t="e">
        <f>IF(COUNTIF(#REF!,Tabela2[[#This Row],[KOD_PRODUKTU]])&gt;0,"ELEMENT","PRODUKT")</f>
        <v>#REF!</v>
      </c>
      <c r="M860" t="e">
        <f>COUNTIF(#REF!,Tabela2[[#This Row],[KOD_PRODUKTU]])</f>
        <v>#REF!</v>
      </c>
    </row>
    <row r="861" spans="1:13" x14ac:dyDescent="0.25">
      <c r="A861" s="1" t="s">
        <v>1640</v>
      </c>
      <c r="B861" t="s">
        <v>1641</v>
      </c>
      <c r="C861" s="1" t="s">
        <v>7</v>
      </c>
      <c r="D861" s="1" t="s">
        <v>7</v>
      </c>
      <c r="E861" s="1" t="s">
        <v>7</v>
      </c>
      <c r="F861" t="s">
        <v>8</v>
      </c>
      <c r="G861" t="s">
        <v>9</v>
      </c>
      <c r="H861" t="s">
        <v>10</v>
      </c>
      <c r="I861" t="s">
        <v>33</v>
      </c>
      <c r="J861">
        <v>9.1999999999999993</v>
      </c>
      <c r="K861" t="e">
        <f>IF(COUNTIF(#REF!,Tabela2[[#This Row],[IdxWspolny]])&gt;0,"ELEM_lub_PRD","TECHN")</f>
        <v>#REF!</v>
      </c>
      <c r="L861" t="e">
        <f>IF(COUNTIF(#REF!,Tabela2[[#This Row],[KOD_PRODUKTU]])&gt;0,"ELEMENT","PRODUKT")</f>
        <v>#REF!</v>
      </c>
      <c r="M861" t="e">
        <f>COUNTIF(#REF!,Tabela2[[#This Row],[KOD_PRODUKTU]])</f>
        <v>#REF!</v>
      </c>
    </row>
    <row r="862" spans="1:13" x14ac:dyDescent="0.25">
      <c r="A862" s="1" t="s">
        <v>1645</v>
      </c>
      <c r="B862" t="s">
        <v>1646</v>
      </c>
      <c r="C862" s="1" t="s">
        <v>1647</v>
      </c>
      <c r="D862" s="1" t="s">
        <v>1647</v>
      </c>
      <c r="E862" s="1" t="s">
        <v>1647</v>
      </c>
      <c r="F862" t="s">
        <v>1646</v>
      </c>
      <c r="G862" t="s">
        <v>1648</v>
      </c>
      <c r="H862" t="s">
        <v>49</v>
      </c>
      <c r="I862" t="s">
        <v>50</v>
      </c>
      <c r="J862">
        <v>35.75</v>
      </c>
      <c r="K862" t="e">
        <f>IF(COUNTIF(#REF!,Tabela2[[#This Row],[IdxWspolny]])&gt;0,"ELEM_lub_PRD","TECHN")</f>
        <v>#REF!</v>
      </c>
      <c r="L862" t="e">
        <f>IF(COUNTIF(#REF!,Tabela2[[#This Row],[KOD_PRODUKTU]])&gt;0,"ELEMENT","PRODUKT")</f>
        <v>#REF!</v>
      </c>
      <c r="M862" t="e">
        <f>COUNTIF(#REF!,Tabela2[[#This Row],[KOD_PRODUKTU]])</f>
        <v>#REF!</v>
      </c>
    </row>
    <row r="863" spans="1:13" x14ac:dyDescent="0.25">
      <c r="A863" s="1" t="s">
        <v>1645</v>
      </c>
      <c r="B863" t="s">
        <v>1646</v>
      </c>
      <c r="C863" s="1" t="s">
        <v>541</v>
      </c>
      <c r="D863" s="1" t="s">
        <v>541</v>
      </c>
      <c r="E863" s="1" t="s">
        <v>541</v>
      </c>
      <c r="F863" t="s">
        <v>542</v>
      </c>
      <c r="G863" t="s">
        <v>9</v>
      </c>
      <c r="H863" t="s">
        <v>10</v>
      </c>
      <c r="I863" t="s">
        <v>1649</v>
      </c>
      <c r="J863">
        <v>9.65</v>
      </c>
      <c r="K863" t="e">
        <f>IF(COUNTIF(#REF!,Tabela2[[#This Row],[IdxWspolny]])&gt;0,"ELEM_lub_PRD","TECHN")</f>
        <v>#REF!</v>
      </c>
      <c r="L863" t="e">
        <f>IF(COUNTIF(#REF!,Tabela2[[#This Row],[KOD_PRODUKTU]])&gt;0,"ELEMENT","PRODUKT")</f>
        <v>#REF!</v>
      </c>
      <c r="M863" t="e">
        <f>COUNTIF(#REF!,Tabela2[[#This Row],[KOD_PRODUKTU]])</f>
        <v>#REF!</v>
      </c>
    </row>
    <row r="864" spans="1:13" x14ac:dyDescent="0.25">
      <c r="A864" s="1" t="s">
        <v>1650</v>
      </c>
      <c r="B864" t="s">
        <v>1651</v>
      </c>
      <c r="C864" s="1" t="s">
        <v>1652</v>
      </c>
      <c r="D864" s="1" t="s">
        <v>1652</v>
      </c>
      <c r="E864" s="1" t="s">
        <v>1652</v>
      </c>
      <c r="F864" t="s">
        <v>1653</v>
      </c>
      <c r="G864" t="s">
        <v>1593</v>
      </c>
      <c r="H864" t="s">
        <v>49</v>
      </c>
      <c r="I864" t="s">
        <v>50</v>
      </c>
      <c r="J864">
        <v>22.75</v>
      </c>
      <c r="K864" t="e">
        <f>IF(COUNTIF(#REF!,Tabela2[[#This Row],[IdxWspolny]])&gt;0,"ELEM_lub_PRD","TECHN")</f>
        <v>#REF!</v>
      </c>
      <c r="L864" t="e">
        <f>IF(COUNTIF(#REF!,Tabela2[[#This Row],[KOD_PRODUKTU]])&gt;0,"ELEMENT","PRODUKT")</f>
        <v>#REF!</v>
      </c>
      <c r="M864" t="e">
        <f>COUNTIF(#REF!,Tabela2[[#This Row],[KOD_PRODUKTU]])</f>
        <v>#REF!</v>
      </c>
    </row>
    <row r="865" spans="1:14" x14ac:dyDescent="0.25">
      <c r="A865" s="1" t="s">
        <v>1650</v>
      </c>
      <c r="B865" t="s">
        <v>1651</v>
      </c>
      <c r="C865" s="1" t="s">
        <v>541</v>
      </c>
      <c r="D865" s="1" t="s">
        <v>541</v>
      </c>
      <c r="E865" s="1" t="s">
        <v>541</v>
      </c>
      <c r="F865" t="s">
        <v>542</v>
      </c>
      <c r="G865" t="s">
        <v>9</v>
      </c>
      <c r="H865" t="s">
        <v>10</v>
      </c>
      <c r="I865" t="s">
        <v>33</v>
      </c>
      <c r="J865">
        <v>9.1999999999999993</v>
      </c>
      <c r="K865" t="e">
        <f>IF(COUNTIF(#REF!,Tabela2[[#This Row],[IdxWspolny]])&gt;0,"ELEM_lub_PRD","TECHN")</f>
        <v>#REF!</v>
      </c>
      <c r="L865" t="e">
        <f>IF(COUNTIF(#REF!,Tabela2[[#This Row],[KOD_PRODUKTU]])&gt;0,"ELEMENT","PRODUKT")</f>
        <v>#REF!</v>
      </c>
      <c r="M865" t="e">
        <f>COUNTIF(#REF!,Tabela2[[#This Row],[KOD_PRODUKTU]])</f>
        <v>#REF!</v>
      </c>
    </row>
    <row r="866" spans="1:14" x14ac:dyDescent="0.25">
      <c r="A866" s="1" t="s">
        <v>1654</v>
      </c>
      <c r="B866" t="s">
        <v>1655</v>
      </c>
      <c r="C866" s="1" t="s">
        <v>1656</v>
      </c>
      <c r="D866" s="1" t="s">
        <v>1656</v>
      </c>
      <c r="E866" s="1" t="s">
        <v>1656</v>
      </c>
      <c r="F866" t="s">
        <v>1657</v>
      </c>
      <c r="G866" t="s">
        <v>1628</v>
      </c>
      <c r="H866" t="s">
        <v>49</v>
      </c>
      <c r="I866" t="s">
        <v>50</v>
      </c>
      <c r="J866">
        <v>26</v>
      </c>
      <c r="K866" t="e">
        <f>IF(COUNTIF(#REF!,Tabela2[[#This Row],[IdxWspolny]])&gt;0,"ELEM_lub_PRD","TECHN")</f>
        <v>#REF!</v>
      </c>
      <c r="L866" t="e">
        <f>IF(COUNTIF(#REF!,Tabela2[[#This Row],[KOD_PRODUKTU]])&gt;0,"ELEMENT","PRODUKT")</f>
        <v>#REF!</v>
      </c>
      <c r="M866" t="e">
        <f>COUNTIF(#REF!,Tabela2[[#This Row],[KOD_PRODUKTU]])</f>
        <v>#REF!</v>
      </c>
    </row>
    <row r="867" spans="1:14" x14ac:dyDescent="0.25">
      <c r="A867" s="1" t="s">
        <v>1654</v>
      </c>
      <c r="B867" t="s">
        <v>1655</v>
      </c>
      <c r="C867" s="1" t="s">
        <v>541</v>
      </c>
      <c r="D867" s="1" t="s">
        <v>541</v>
      </c>
      <c r="E867" s="1" t="s">
        <v>541</v>
      </c>
      <c r="F867" t="s">
        <v>542</v>
      </c>
      <c r="G867" t="s">
        <v>9</v>
      </c>
      <c r="H867" t="s">
        <v>10</v>
      </c>
      <c r="I867" t="s">
        <v>33</v>
      </c>
      <c r="J867">
        <v>9.1999999999999993</v>
      </c>
      <c r="K867" t="e">
        <f>IF(COUNTIF(#REF!,Tabela2[[#This Row],[IdxWspolny]])&gt;0,"ELEM_lub_PRD","TECHN")</f>
        <v>#REF!</v>
      </c>
      <c r="L867" t="e">
        <f>IF(COUNTIF(#REF!,Tabela2[[#This Row],[KOD_PRODUKTU]])&gt;0,"ELEMENT","PRODUKT")</f>
        <v>#REF!</v>
      </c>
      <c r="M867" t="e">
        <f>COUNTIF(#REF!,Tabela2[[#This Row],[KOD_PRODUKTU]])</f>
        <v>#REF!</v>
      </c>
    </row>
    <row r="868" spans="1:14" x14ac:dyDescent="0.25">
      <c r="A868" s="1" t="s">
        <v>1658</v>
      </c>
      <c r="B868" t="s">
        <v>1659</v>
      </c>
      <c r="C868" s="1" t="s">
        <v>1660</v>
      </c>
      <c r="D868" s="1" t="s">
        <v>1660</v>
      </c>
      <c r="E868" s="1" t="s">
        <v>1660</v>
      </c>
      <c r="F868" t="s">
        <v>1661</v>
      </c>
      <c r="G868" t="s">
        <v>1662</v>
      </c>
      <c r="H868" t="s">
        <v>49</v>
      </c>
      <c r="I868" t="s">
        <v>50</v>
      </c>
      <c r="J868">
        <v>36.4</v>
      </c>
      <c r="K868" t="e">
        <f>IF(COUNTIF(#REF!,Tabela2[[#This Row],[IdxWspolny]])&gt;0,"ELEM_lub_PRD","TECHN")</f>
        <v>#REF!</v>
      </c>
      <c r="L868" t="e">
        <f>IF(COUNTIF(#REF!,Tabela2[[#This Row],[KOD_PRODUKTU]])&gt;0,"ELEMENT","PRODUKT")</f>
        <v>#REF!</v>
      </c>
      <c r="M868" t="e">
        <f>COUNTIF(#REF!,Tabela2[[#This Row],[KOD_PRODUKTU]])</f>
        <v>#REF!</v>
      </c>
    </row>
    <row r="869" spans="1:14" x14ac:dyDescent="0.25">
      <c r="A869" s="1" t="s">
        <v>1658</v>
      </c>
      <c r="B869" t="s">
        <v>1659</v>
      </c>
      <c r="C869" s="1" t="s">
        <v>541</v>
      </c>
      <c r="D869" s="1" t="s">
        <v>541</v>
      </c>
      <c r="E869" s="1" t="s">
        <v>541</v>
      </c>
      <c r="F869" t="s">
        <v>542</v>
      </c>
      <c r="G869" t="s">
        <v>9</v>
      </c>
      <c r="H869" t="s">
        <v>10</v>
      </c>
      <c r="I869" t="s">
        <v>1649</v>
      </c>
      <c r="J869">
        <v>9.65</v>
      </c>
      <c r="K869" t="e">
        <f>IF(COUNTIF(#REF!,Tabela2[[#This Row],[IdxWspolny]])&gt;0,"ELEM_lub_PRD","TECHN")</f>
        <v>#REF!</v>
      </c>
      <c r="L869" t="e">
        <f>IF(COUNTIF(#REF!,Tabela2[[#This Row],[KOD_PRODUKTU]])&gt;0,"ELEMENT","PRODUKT")</f>
        <v>#REF!</v>
      </c>
      <c r="M869" t="e">
        <f>COUNTIF(#REF!,Tabela2[[#This Row],[KOD_PRODUKTU]])</f>
        <v>#REF!</v>
      </c>
    </row>
    <row r="870" spans="1:14" x14ac:dyDescent="0.25">
      <c r="A870" s="1" t="s">
        <v>1663</v>
      </c>
      <c r="B870" t="s">
        <v>1664</v>
      </c>
      <c r="C870" s="1" t="s">
        <v>1665</v>
      </c>
      <c r="D870" s="1" t="s">
        <v>1665</v>
      </c>
      <c r="E870" s="1" t="s">
        <v>1665</v>
      </c>
      <c r="F870" t="s">
        <v>1666</v>
      </c>
      <c r="G870" t="s">
        <v>835</v>
      </c>
      <c r="H870" t="s">
        <v>49</v>
      </c>
      <c r="I870" t="s">
        <v>50</v>
      </c>
      <c r="J870">
        <v>40.299999999999997</v>
      </c>
      <c r="K870" t="e">
        <f>IF(COUNTIF(#REF!,Tabela2[[#This Row],[IdxWspolny]])&gt;0,"ELEM_lub_PRD","TECHN")</f>
        <v>#REF!</v>
      </c>
      <c r="L870" t="e">
        <f>IF(COUNTIF(#REF!,Tabela2[[#This Row],[KOD_PRODUKTU]])&gt;0,"ELEMENT","PRODUKT")</f>
        <v>#REF!</v>
      </c>
      <c r="M870" t="e">
        <f>COUNTIF(#REF!,Tabela2[[#This Row],[KOD_PRODUKTU]])</f>
        <v>#REF!</v>
      </c>
    </row>
    <row r="871" spans="1:14" x14ac:dyDescent="0.25">
      <c r="A871" s="1" t="s">
        <v>1663</v>
      </c>
      <c r="B871" t="s">
        <v>1664</v>
      </c>
      <c r="C871" s="1" t="s">
        <v>541</v>
      </c>
      <c r="D871" s="1" t="s">
        <v>541</v>
      </c>
      <c r="E871" s="1" t="s">
        <v>541</v>
      </c>
      <c r="F871" t="s">
        <v>542</v>
      </c>
      <c r="G871" t="s">
        <v>9</v>
      </c>
      <c r="H871" t="s">
        <v>10</v>
      </c>
      <c r="I871" t="s">
        <v>33</v>
      </c>
      <c r="J871">
        <v>9.1999999999999993</v>
      </c>
      <c r="K871" t="e">
        <f>IF(COUNTIF(#REF!,Tabela2[[#This Row],[IdxWspolny]])&gt;0,"ELEM_lub_PRD","TECHN")</f>
        <v>#REF!</v>
      </c>
      <c r="L871" t="e">
        <f>IF(COUNTIF(#REF!,Tabela2[[#This Row],[KOD_PRODUKTU]])&gt;0,"ELEMENT","PRODUKT")</f>
        <v>#REF!</v>
      </c>
      <c r="M871" t="e">
        <f>COUNTIF(#REF!,Tabela2[[#This Row],[KOD_PRODUKTU]])</f>
        <v>#REF!</v>
      </c>
    </row>
    <row r="872" spans="1:14" x14ac:dyDescent="0.25">
      <c r="A872" s="1" t="s">
        <v>1667</v>
      </c>
      <c r="B872" t="s">
        <v>1668</v>
      </c>
      <c r="C872" s="1" t="s">
        <v>1669</v>
      </c>
      <c r="D872" s="1" t="s">
        <v>1669</v>
      </c>
      <c r="E872" s="1" t="s">
        <v>1669</v>
      </c>
      <c r="F872" t="s">
        <v>1670</v>
      </c>
      <c r="G872" t="s">
        <v>1613</v>
      </c>
      <c r="H872" t="s">
        <v>49</v>
      </c>
      <c r="I872" t="s">
        <v>50</v>
      </c>
      <c r="J872">
        <v>41.1</v>
      </c>
      <c r="K872" t="e">
        <f>IF(COUNTIF(#REF!,Tabela2[[#This Row],[IdxWspolny]])&gt;0,"ELEM_lub_PRD","TECHN")</f>
        <v>#REF!</v>
      </c>
      <c r="L872" t="e">
        <f>IF(COUNTIF(#REF!,Tabela2[[#This Row],[KOD_PRODUKTU]])&gt;0,"ELEMENT","PRODUKT")</f>
        <v>#REF!</v>
      </c>
      <c r="M872" t="e">
        <f>COUNTIF(#REF!,Tabela2[[#This Row],[KOD_PRODUKTU]])</f>
        <v>#REF!</v>
      </c>
    </row>
    <row r="873" spans="1:14" x14ac:dyDescent="0.25">
      <c r="A873" s="1" t="s">
        <v>1667</v>
      </c>
      <c r="B873" t="s">
        <v>1668</v>
      </c>
      <c r="C873" s="1" t="s">
        <v>7</v>
      </c>
      <c r="D873" s="1" t="s">
        <v>7</v>
      </c>
      <c r="E873" s="1" t="s">
        <v>7</v>
      </c>
      <c r="F873" t="s">
        <v>8</v>
      </c>
      <c r="G873" t="s">
        <v>9</v>
      </c>
      <c r="H873" t="s">
        <v>10</v>
      </c>
      <c r="I873" t="s">
        <v>1019</v>
      </c>
      <c r="J873">
        <v>9.6999999999999993</v>
      </c>
      <c r="K873" t="e">
        <f>IF(COUNTIF(#REF!,Tabela2[[#This Row],[IdxWspolny]])&gt;0,"ELEM_lub_PRD","TECHN")</f>
        <v>#REF!</v>
      </c>
      <c r="L873" t="e">
        <f>IF(COUNTIF(#REF!,Tabela2[[#This Row],[KOD_PRODUKTU]])&gt;0,"ELEMENT","PRODUKT")</f>
        <v>#REF!</v>
      </c>
      <c r="M873" t="e">
        <f>COUNTIF(#REF!,Tabela2[[#This Row],[KOD_PRODUKTU]])</f>
        <v>#REF!</v>
      </c>
    </row>
    <row r="874" spans="1:14" x14ac:dyDescent="0.25">
      <c r="A874" s="1" t="s">
        <v>1671</v>
      </c>
      <c r="B874" t="s">
        <v>1672</v>
      </c>
      <c r="C874" s="1" t="s">
        <v>1673</v>
      </c>
      <c r="D874" s="1" t="s">
        <v>1673</v>
      </c>
      <c r="E874" s="1" t="s">
        <v>1673</v>
      </c>
      <c r="F874" t="s">
        <v>1674</v>
      </c>
      <c r="G874" t="s">
        <v>1675</v>
      </c>
      <c r="H874" t="s">
        <v>49</v>
      </c>
      <c r="I874" t="s">
        <v>50</v>
      </c>
      <c r="J874">
        <v>20.8</v>
      </c>
      <c r="K874" t="e">
        <f>IF(COUNTIF(#REF!,Tabela2[[#This Row],[IdxWspolny]])&gt;0,"ELEM_lub_PRD","TECHN")</f>
        <v>#REF!</v>
      </c>
      <c r="L874" t="e">
        <f>IF(COUNTIF(#REF!,Tabela2[[#This Row],[KOD_PRODUKTU]])&gt;0,"ELEMENT","PRODUKT")</f>
        <v>#REF!</v>
      </c>
      <c r="M874" t="e">
        <f>COUNTIF(#REF!,Tabela2[[#This Row],[KOD_PRODUKTU]])</f>
        <v>#REF!</v>
      </c>
    </row>
    <row r="875" spans="1:14" x14ac:dyDescent="0.25">
      <c r="A875" s="1" t="s">
        <v>1671</v>
      </c>
      <c r="B875" t="s">
        <v>1672</v>
      </c>
      <c r="C875" s="1" t="s">
        <v>541</v>
      </c>
      <c r="D875" s="1" t="s">
        <v>541</v>
      </c>
      <c r="E875" s="1" t="s">
        <v>541</v>
      </c>
      <c r="F875" t="s">
        <v>542</v>
      </c>
      <c r="G875" t="s">
        <v>9</v>
      </c>
      <c r="H875" t="s">
        <v>10</v>
      </c>
      <c r="I875" t="s">
        <v>33</v>
      </c>
      <c r="J875">
        <v>9.1999999999999993</v>
      </c>
      <c r="K875" t="e">
        <f>IF(COUNTIF(#REF!,Tabela2[[#This Row],[IdxWspolny]])&gt;0,"ELEM_lub_PRD","TECHN")</f>
        <v>#REF!</v>
      </c>
      <c r="L875" t="e">
        <f>IF(COUNTIF(#REF!,Tabela2[[#This Row],[KOD_PRODUKTU]])&gt;0,"ELEMENT","PRODUKT")</f>
        <v>#REF!</v>
      </c>
      <c r="M875" t="e">
        <f>COUNTIF(#REF!,Tabela2[[#This Row],[KOD_PRODUKTU]])</f>
        <v>#REF!</v>
      </c>
    </row>
    <row r="876" spans="1:14" x14ac:dyDescent="0.25">
      <c r="A876" s="1" t="s">
        <v>1676</v>
      </c>
      <c r="B876" t="s">
        <v>1677</v>
      </c>
      <c r="C876" s="1" t="s">
        <v>1678</v>
      </c>
      <c r="D876" s="1" t="s">
        <v>1678</v>
      </c>
      <c r="E876" s="1" t="s">
        <v>1678</v>
      </c>
      <c r="F876" t="s">
        <v>1679</v>
      </c>
      <c r="G876" t="s">
        <v>1680</v>
      </c>
      <c r="H876" t="s">
        <v>121</v>
      </c>
      <c r="I876" t="s">
        <v>50</v>
      </c>
      <c r="J876">
        <v>37.5</v>
      </c>
      <c r="K876" t="e">
        <f>IF(COUNTIF(#REF!,Tabela2[[#This Row],[IdxWspolny]])&gt;0,"ELEM_lub_PRD","TECHN")</f>
        <v>#REF!</v>
      </c>
      <c r="L876" t="e">
        <f>IF(COUNTIF(#REF!,Tabela2[[#This Row],[KOD_PRODUKTU]])&gt;0,"ELEMENT","PRODUKT")</f>
        <v>#REF!</v>
      </c>
      <c r="M876" t="e">
        <f>COUNTIF(#REF!,Tabela2[[#This Row],[KOD_PRODUKTU]])</f>
        <v>#REF!</v>
      </c>
    </row>
    <row r="877" spans="1:14" x14ac:dyDescent="0.25">
      <c r="A877" s="1" t="s">
        <v>1676</v>
      </c>
      <c r="B877" t="s">
        <v>1677</v>
      </c>
      <c r="C877" s="1" t="s">
        <v>7</v>
      </c>
      <c r="D877" s="1" t="s">
        <v>7</v>
      </c>
      <c r="E877" s="1" t="s">
        <v>7</v>
      </c>
      <c r="F877" t="s">
        <v>8</v>
      </c>
      <c r="G877" t="s">
        <v>9</v>
      </c>
      <c r="H877" t="s">
        <v>10</v>
      </c>
      <c r="I877" t="s">
        <v>33</v>
      </c>
      <c r="J877">
        <v>9.1999999999999993</v>
      </c>
      <c r="K877" t="e">
        <f>IF(COUNTIF(#REF!,Tabela2[[#This Row],[IdxWspolny]])&gt;0,"ELEM_lub_PRD","TECHN")</f>
        <v>#REF!</v>
      </c>
      <c r="L877" t="e">
        <f>IF(COUNTIF(#REF!,Tabela2[[#This Row],[KOD_PRODUKTU]])&gt;0,"ELEMENT","PRODUKT")</f>
        <v>#REF!</v>
      </c>
      <c r="M877" t="e">
        <f>COUNTIF(#REF!,Tabela2[[#This Row],[KOD_PRODUKTU]])</f>
        <v>#REF!</v>
      </c>
    </row>
    <row r="878" spans="1:14" x14ac:dyDescent="0.25">
      <c r="A878" s="1" t="s">
        <v>1681</v>
      </c>
      <c r="B878" t="s">
        <v>1682</v>
      </c>
      <c r="C878" s="1" t="s">
        <v>1683</v>
      </c>
      <c r="D878" s="1" t="s">
        <v>1683</v>
      </c>
      <c r="E878" s="1" t="s">
        <v>1683</v>
      </c>
      <c r="F878" t="s">
        <v>1684</v>
      </c>
      <c r="G878" t="s">
        <v>1685</v>
      </c>
      <c r="H878" t="s">
        <v>49</v>
      </c>
      <c r="I878" t="s">
        <v>50</v>
      </c>
      <c r="J878">
        <v>20.149999999999999</v>
      </c>
      <c r="K878" t="e">
        <f>IF(COUNTIF(#REF!,Tabela2[[#This Row],[IdxWspolny]])&gt;0,"ELEM_lub_PRD","TECHN")</f>
        <v>#REF!</v>
      </c>
      <c r="L878" t="e">
        <f>IF(COUNTIF(#REF!,Tabela2[[#This Row],[KOD_PRODUKTU]])&gt;0,"ELEMENT","PRODUKT")</f>
        <v>#REF!</v>
      </c>
      <c r="M878" t="e">
        <f>COUNTIF(#REF!,Tabela2[[#This Row],[KOD_PRODUKTU]])</f>
        <v>#REF!</v>
      </c>
    </row>
    <row r="879" spans="1:14" x14ac:dyDescent="0.25">
      <c r="A879" s="1" t="s">
        <v>1681</v>
      </c>
      <c r="B879" t="s">
        <v>1682</v>
      </c>
      <c r="C879" s="1" t="s">
        <v>688</v>
      </c>
      <c r="D879" s="1" t="s">
        <v>688</v>
      </c>
      <c r="E879" s="1" t="s">
        <v>688</v>
      </c>
      <c r="F879" t="s">
        <v>689</v>
      </c>
      <c r="G879" t="s">
        <v>9</v>
      </c>
      <c r="H879" t="s">
        <v>10</v>
      </c>
      <c r="I879" t="s">
        <v>33</v>
      </c>
      <c r="J879">
        <v>9.1999999999999993</v>
      </c>
      <c r="K879" t="e">
        <f>IF(COUNTIF(#REF!,Tabela2[[#This Row],[IdxWspolny]])&gt;0,"ELEM_lub_PRD","TECHN")</f>
        <v>#REF!</v>
      </c>
      <c r="L879" t="e">
        <f>IF(COUNTIF(#REF!,Tabela2[[#This Row],[KOD_PRODUKTU]])&gt;0,"ELEMENT","PRODUKT")</f>
        <v>#REF!</v>
      </c>
      <c r="M879" t="e">
        <f>COUNTIF(#REF!,Tabela2[[#This Row],[KOD_PRODUKTU]])</f>
        <v>#REF!</v>
      </c>
    </row>
    <row r="880" spans="1:14" x14ac:dyDescent="0.25">
      <c r="A880" s="1" t="s">
        <v>1686</v>
      </c>
      <c r="B880" t="s">
        <v>1687</v>
      </c>
      <c r="C880" s="1" t="s">
        <v>1688</v>
      </c>
      <c r="D880" s="1" t="s">
        <v>1689</v>
      </c>
      <c r="E880" s="1" t="s">
        <v>1688</v>
      </c>
      <c r="F880" t="s">
        <v>1690</v>
      </c>
      <c r="G880" t="s">
        <v>1216</v>
      </c>
      <c r="H880" t="s">
        <v>49</v>
      </c>
      <c r="I880" t="s">
        <v>50</v>
      </c>
      <c r="J880">
        <v>106.4</v>
      </c>
      <c r="K880" t="e">
        <f>IF(COUNTIF(#REF!,Tabela2[[#This Row],[IdxWspolny]])&gt;0,"ELEM_lub_PRD","TECHN")</f>
        <v>#REF!</v>
      </c>
      <c r="L880" t="e">
        <f>IF(COUNTIF(#REF!,Tabela2[[#This Row],[KOD_PRODUKTU]])&gt;0,"ELEMENT","PRODUKT")</f>
        <v>#REF!</v>
      </c>
      <c r="M880" t="e">
        <f>COUNTIF(#REF!,Tabela2[[#This Row],[KOD_PRODUKTU]])</f>
        <v>#REF!</v>
      </c>
      <c r="N880" t="s">
        <v>55</v>
      </c>
    </row>
    <row r="881" spans="1:14" x14ac:dyDescent="0.25">
      <c r="A881" s="1" t="s">
        <v>1686</v>
      </c>
      <c r="B881" t="s">
        <v>1687</v>
      </c>
      <c r="C881" s="1" t="s">
        <v>7</v>
      </c>
      <c r="D881" s="1" t="s">
        <v>7</v>
      </c>
      <c r="E881" s="1" t="s">
        <v>7</v>
      </c>
      <c r="F881" t="s">
        <v>8</v>
      </c>
      <c r="G881" t="s">
        <v>9</v>
      </c>
      <c r="H881" t="s">
        <v>10</v>
      </c>
      <c r="I881" t="s">
        <v>1499</v>
      </c>
      <c r="J881">
        <v>33.6</v>
      </c>
      <c r="K881" t="e">
        <f>IF(COUNTIF(#REF!,Tabela2[[#This Row],[IdxWspolny]])&gt;0,"ELEM_lub_PRD","TECHN")</f>
        <v>#REF!</v>
      </c>
      <c r="L881" t="e">
        <f>IF(COUNTIF(#REF!,Tabela2[[#This Row],[KOD_PRODUKTU]])&gt;0,"ELEMENT","PRODUKT")</f>
        <v>#REF!</v>
      </c>
      <c r="M881" t="e">
        <f>COUNTIF(#REF!,Tabela2[[#This Row],[KOD_PRODUKTU]])</f>
        <v>#REF!</v>
      </c>
    </row>
    <row r="882" spans="1:14" x14ac:dyDescent="0.25">
      <c r="A882" s="1" t="s">
        <v>946</v>
      </c>
      <c r="B882" t="s">
        <v>947</v>
      </c>
      <c r="C882" s="1" t="s">
        <v>1022</v>
      </c>
      <c r="D882" s="1" t="s">
        <v>1022</v>
      </c>
      <c r="E882" s="1" t="s">
        <v>1022</v>
      </c>
      <c r="F882" t="s">
        <v>1023</v>
      </c>
      <c r="G882" t="s">
        <v>1024</v>
      </c>
      <c r="H882" t="s">
        <v>932</v>
      </c>
      <c r="I882" t="s">
        <v>1691</v>
      </c>
      <c r="J882">
        <v>127.2</v>
      </c>
      <c r="K882" t="e">
        <f>IF(COUNTIF(#REF!,Tabela2[[#This Row],[IdxWspolny]])&gt;0,"ELEM_lub_PRD","TECHN")</f>
        <v>#REF!</v>
      </c>
      <c r="L882" t="e">
        <f>IF(COUNTIF(#REF!,Tabela2[[#This Row],[KOD_PRODUKTU]])&gt;0,"ELEMENT","PRODUKT")</f>
        <v>#REF!</v>
      </c>
      <c r="M882" t="e">
        <f>COUNTIF(#REF!,Tabela2[[#This Row],[KOD_PRODUKTU]])</f>
        <v>#REF!</v>
      </c>
    </row>
    <row r="883" spans="1:14" x14ac:dyDescent="0.25">
      <c r="A883" s="1" t="s">
        <v>946</v>
      </c>
      <c r="B883" t="s">
        <v>947</v>
      </c>
      <c r="C883" s="1" t="s">
        <v>7</v>
      </c>
      <c r="D883" s="1" t="s">
        <v>7</v>
      </c>
      <c r="E883" s="1" t="s">
        <v>7</v>
      </c>
      <c r="F883" t="s">
        <v>8</v>
      </c>
      <c r="G883" t="s">
        <v>9</v>
      </c>
      <c r="H883" t="s">
        <v>10</v>
      </c>
      <c r="I883" t="s">
        <v>1692</v>
      </c>
      <c r="J883">
        <v>59.9</v>
      </c>
      <c r="K883" t="e">
        <f>IF(COUNTIF(#REF!,Tabela2[[#This Row],[IdxWspolny]])&gt;0,"ELEM_lub_PRD","TECHN")</f>
        <v>#REF!</v>
      </c>
      <c r="L883" t="e">
        <f>IF(COUNTIF(#REF!,Tabela2[[#This Row],[KOD_PRODUKTU]])&gt;0,"ELEMENT","PRODUKT")</f>
        <v>#REF!</v>
      </c>
      <c r="M883" t="e">
        <f>COUNTIF(#REF!,Tabela2[[#This Row],[KOD_PRODUKTU]])</f>
        <v>#REF!</v>
      </c>
    </row>
    <row r="884" spans="1:14" x14ac:dyDescent="0.25">
      <c r="A884" s="1" t="s">
        <v>946</v>
      </c>
      <c r="B884" t="s">
        <v>947</v>
      </c>
      <c r="C884" s="1" t="s">
        <v>7</v>
      </c>
      <c r="D884" s="1" t="s">
        <v>7</v>
      </c>
      <c r="E884" s="1" t="s">
        <v>7</v>
      </c>
      <c r="F884" t="s">
        <v>8</v>
      </c>
      <c r="G884" t="s">
        <v>9</v>
      </c>
      <c r="H884" t="s">
        <v>10</v>
      </c>
      <c r="I884" t="s">
        <v>1693</v>
      </c>
      <c r="J884">
        <v>64.900000000000006</v>
      </c>
      <c r="K884" t="e">
        <f>IF(COUNTIF(#REF!,Tabela2[[#This Row],[IdxWspolny]])&gt;0,"ELEM_lub_PRD","TECHN")</f>
        <v>#REF!</v>
      </c>
      <c r="L884" t="e">
        <f>IF(COUNTIF(#REF!,Tabela2[[#This Row],[KOD_PRODUKTU]])&gt;0,"ELEMENT","PRODUKT")</f>
        <v>#REF!</v>
      </c>
      <c r="M884" t="e">
        <f>COUNTIF(#REF!,Tabela2[[#This Row],[KOD_PRODUKTU]])</f>
        <v>#REF!</v>
      </c>
    </row>
    <row r="885" spans="1:14" x14ac:dyDescent="0.25">
      <c r="A885" s="1" t="s">
        <v>942</v>
      </c>
      <c r="B885" t="s">
        <v>943</v>
      </c>
      <c r="C885" s="1" t="s">
        <v>1022</v>
      </c>
      <c r="D885" s="1" t="s">
        <v>1022</v>
      </c>
      <c r="E885" s="1" t="s">
        <v>1022</v>
      </c>
      <c r="F885" t="s">
        <v>1023</v>
      </c>
      <c r="G885" t="s">
        <v>1024</v>
      </c>
      <c r="H885" t="s">
        <v>932</v>
      </c>
      <c r="I885" t="s">
        <v>1694</v>
      </c>
      <c r="J885">
        <v>128.6</v>
      </c>
      <c r="K885" t="e">
        <f>IF(COUNTIF(#REF!,Tabela2[[#This Row],[IdxWspolny]])&gt;0,"ELEM_lub_PRD","TECHN")</f>
        <v>#REF!</v>
      </c>
      <c r="L885" t="e">
        <f>IF(COUNTIF(#REF!,Tabela2[[#This Row],[KOD_PRODUKTU]])&gt;0,"ELEMENT","PRODUKT")</f>
        <v>#REF!</v>
      </c>
      <c r="M885" t="e">
        <f>COUNTIF(#REF!,Tabela2[[#This Row],[KOD_PRODUKTU]])</f>
        <v>#REF!</v>
      </c>
    </row>
    <row r="886" spans="1:14" x14ac:dyDescent="0.25">
      <c r="A886" s="1" t="s">
        <v>942</v>
      </c>
      <c r="B886" t="s">
        <v>943</v>
      </c>
      <c r="C886" s="1" t="s">
        <v>7</v>
      </c>
      <c r="D886" s="1" t="s">
        <v>7</v>
      </c>
      <c r="E886" s="1" t="s">
        <v>7</v>
      </c>
      <c r="F886" t="s">
        <v>8</v>
      </c>
      <c r="G886" t="s">
        <v>9</v>
      </c>
      <c r="H886" t="s">
        <v>10</v>
      </c>
      <c r="I886" t="s">
        <v>1695</v>
      </c>
      <c r="J886">
        <v>64.099999999999994</v>
      </c>
      <c r="K886" t="e">
        <f>IF(COUNTIF(#REF!,Tabela2[[#This Row],[IdxWspolny]])&gt;0,"ELEM_lub_PRD","TECHN")</f>
        <v>#REF!</v>
      </c>
      <c r="L886" t="e">
        <f>IF(COUNTIF(#REF!,Tabela2[[#This Row],[KOD_PRODUKTU]])&gt;0,"ELEMENT","PRODUKT")</f>
        <v>#REF!</v>
      </c>
      <c r="M886" t="e">
        <f>COUNTIF(#REF!,Tabela2[[#This Row],[KOD_PRODUKTU]])</f>
        <v>#REF!</v>
      </c>
    </row>
    <row r="887" spans="1:14" x14ac:dyDescent="0.25">
      <c r="A887" s="1" t="s">
        <v>942</v>
      </c>
      <c r="B887" t="s">
        <v>943</v>
      </c>
      <c r="C887" s="1" t="s">
        <v>7</v>
      </c>
      <c r="D887" s="1" t="s">
        <v>7</v>
      </c>
      <c r="E887" s="1" t="s">
        <v>7</v>
      </c>
      <c r="F887" t="s">
        <v>8</v>
      </c>
      <c r="G887" t="s">
        <v>9</v>
      </c>
      <c r="H887" t="s">
        <v>10</v>
      </c>
      <c r="I887" t="s">
        <v>1696</v>
      </c>
      <c r="J887">
        <v>70</v>
      </c>
      <c r="K887" t="e">
        <f>IF(COUNTIF(#REF!,Tabela2[[#This Row],[IdxWspolny]])&gt;0,"ELEM_lub_PRD","TECHN")</f>
        <v>#REF!</v>
      </c>
      <c r="L887" t="e">
        <f>IF(COUNTIF(#REF!,Tabela2[[#This Row],[KOD_PRODUKTU]])&gt;0,"ELEMENT","PRODUKT")</f>
        <v>#REF!</v>
      </c>
      <c r="M887" t="e">
        <f>COUNTIF(#REF!,Tabela2[[#This Row],[KOD_PRODUKTU]])</f>
        <v>#REF!</v>
      </c>
    </row>
    <row r="888" spans="1:14" x14ac:dyDescent="0.25">
      <c r="A888" s="1" t="s">
        <v>1697</v>
      </c>
      <c r="B888" t="s">
        <v>1698</v>
      </c>
      <c r="C888" s="1" t="s">
        <v>1699</v>
      </c>
      <c r="D888" s="1" t="s">
        <v>1699</v>
      </c>
      <c r="E888" s="1" t="s">
        <v>1699</v>
      </c>
      <c r="F888" t="s">
        <v>1700</v>
      </c>
      <c r="G888" t="s">
        <v>1701</v>
      </c>
      <c r="H888" t="s">
        <v>17</v>
      </c>
      <c r="I888" t="s">
        <v>1141</v>
      </c>
      <c r="J888">
        <v>312.5</v>
      </c>
      <c r="K888" t="e">
        <f>IF(COUNTIF(#REF!,Tabela2[[#This Row],[IdxWspolny]])&gt;0,"ELEM_lub_PRD","TECHN")</f>
        <v>#REF!</v>
      </c>
      <c r="L888" t="e">
        <f>IF(COUNTIF(#REF!,Tabela2[[#This Row],[KOD_PRODUKTU]])&gt;0,"ELEMENT","PRODUKT")</f>
        <v>#REF!</v>
      </c>
      <c r="M888" t="e">
        <f>COUNTIF(#REF!,Tabela2[[#This Row],[KOD_PRODUKTU]])</f>
        <v>#REF!</v>
      </c>
    </row>
    <row r="889" spans="1:14" x14ac:dyDescent="0.25">
      <c r="A889" s="1" t="s">
        <v>1697</v>
      </c>
      <c r="B889" t="s">
        <v>1698</v>
      </c>
      <c r="C889" s="1" t="s">
        <v>7</v>
      </c>
      <c r="D889" s="1" t="s">
        <v>7</v>
      </c>
      <c r="E889" s="1" t="s">
        <v>7</v>
      </c>
      <c r="F889" t="s">
        <v>8</v>
      </c>
      <c r="G889" t="s">
        <v>9</v>
      </c>
      <c r="H889" t="s">
        <v>10</v>
      </c>
      <c r="I889" t="s">
        <v>594</v>
      </c>
      <c r="J889">
        <v>11.5</v>
      </c>
      <c r="K889" t="e">
        <f>IF(COUNTIF(#REF!,Tabela2[[#This Row],[IdxWspolny]])&gt;0,"ELEM_lub_PRD","TECHN")</f>
        <v>#REF!</v>
      </c>
      <c r="L889" t="e">
        <f>IF(COUNTIF(#REF!,Tabela2[[#This Row],[KOD_PRODUKTU]])&gt;0,"ELEMENT","PRODUKT")</f>
        <v>#REF!</v>
      </c>
      <c r="M889" t="e">
        <f>COUNTIF(#REF!,Tabela2[[#This Row],[KOD_PRODUKTU]])</f>
        <v>#REF!</v>
      </c>
    </row>
    <row r="890" spans="1:14" x14ac:dyDescent="0.25">
      <c r="A890" s="1" t="s">
        <v>1702</v>
      </c>
      <c r="B890" t="s">
        <v>1703</v>
      </c>
      <c r="C890" s="1" t="s">
        <v>1704</v>
      </c>
      <c r="D890" s="1" t="s">
        <v>1689</v>
      </c>
      <c r="E890" s="1" t="s">
        <v>1704</v>
      </c>
      <c r="F890" t="s">
        <v>1705</v>
      </c>
      <c r="G890" t="s">
        <v>1706</v>
      </c>
      <c r="H890" t="s">
        <v>49</v>
      </c>
      <c r="I890" t="s">
        <v>50</v>
      </c>
      <c r="J890">
        <v>460.35</v>
      </c>
      <c r="K890" t="e">
        <f>IF(COUNTIF(#REF!,Tabela2[[#This Row],[IdxWspolny]])&gt;0,"ELEM_lub_PRD","TECHN")</f>
        <v>#REF!</v>
      </c>
      <c r="L890" t="e">
        <f>IF(COUNTIF(#REF!,Tabela2[[#This Row],[KOD_PRODUKTU]])&gt;0,"ELEMENT","PRODUKT")</f>
        <v>#REF!</v>
      </c>
      <c r="M890" t="e">
        <f>COUNTIF(#REF!,Tabela2[[#This Row],[KOD_PRODUKTU]])</f>
        <v>#REF!</v>
      </c>
      <c r="N890" t="s">
        <v>55</v>
      </c>
    </row>
    <row r="891" spans="1:14" x14ac:dyDescent="0.25">
      <c r="A891" s="1" t="s">
        <v>1702</v>
      </c>
      <c r="B891" t="s">
        <v>1703</v>
      </c>
      <c r="C891" s="1" t="s">
        <v>7</v>
      </c>
      <c r="D891" s="1" t="s">
        <v>7</v>
      </c>
      <c r="E891" s="1" t="s">
        <v>7</v>
      </c>
      <c r="F891" t="s">
        <v>8</v>
      </c>
      <c r="G891" t="s">
        <v>9</v>
      </c>
      <c r="H891" t="s">
        <v>10</v>
      </c>
      <c r="I891" t="s">
        <v>1707</v>
      </c>
      <c r="J891">
        <v>34.65</v>
      </c>
      <c r="K891" t="e">
        <f>IF(COUNTIF(#REF!,Tabela2[[#This Row],[IdxWspolny]])&gt;0,"ELEM_lub_PRD","TECHN")</f>
        <v>#REF!</v>
      </c>
      <c r="L891" t="e">
        <f>IF(COUNTIF(#REF!,Tabela2[[#This Row],[KOD_PRODUKTU]])&gt;0,"ELEMENT","PRODUKT")</f>
        <v>#REF!</v>
      </c>
      <c r="M891" t="e">
        <f>COUNTIF(#REF!,Tabela2[[#This Row],[KOD_PRODUKTU]])</f>
        <v>#REF!</v>
      </c>
    </row>
    <row r="892" spans="1:14" x14ac:dyDescent="0.25">
      <c r="A892" s="1" t="s">
        <v>1708</v>
      </c>
      <c r="B892" t="s">
        <v>1709</v>
      </c>
      <c r="C892" s="1" t="s">
        <v>1710</v>
      </c>
      <c r="D892" s="1" t="s">
        <v>1689</v>
      </c>
      <c r="E892" s="1" t="s">
        <v>1710</v>
      </c>
      <c r="F892" t="s">
        <v>1711</v>
      </c>
      <c r="G892" t="s">
        <v>1712</v>
      </c>
      <c r="H892" t="s">
        <v>49</v>
      </c>
      <c r="I892" t="s">
        <v>50</v>
      </c>
      <c r="J892">
        <v>596.65</v>
      </c>
      <c r="K892" t="e">
        <f>IF(COUNTIF(#REF!,Tabela2[[#This Row],[IdxWspolny]])&gt;0,"ELEM_lub_PRD","TECHN")</f>
        <v>#REF!</v>
      </c>
      <c r="L892" t="e">
        <f>IF(COUNTIF(#REF!,Tabela2[[#This Row],[KOD_PRODUKTU]])&gt;0,"ELEMENT","PRODUKT")</f>
        <v>#REF!</v>
      </c>
      <c r="M892" t="e">
        <f>COUNTIF(#REF!,Tabela2[[#This Row],[KOD_PRODUKTU]])</f>
        <v>#REF!</v>
      </c>
      <c r="N892" t="s">
        <v>55</v>
      </c>
    </row>
    <row r="893" spans="1:14" x14ac:dyDescent="0.25">
      <c r="A893" s="1" t="s">
        <v>1708</v>
      </c>
      <c r="B893" t="s">
        <v>1709</v>
      </c>
      <c r="C893" s="1" t="s">
        <v>7</v>
      </c>
      <c r="D893" s="1" t="s">
        <v>7</v>
      </c>
      <c r="E893" s="1" t="s">
        <v>7</v>
      </c>
      <c r="F893" t="s">
        <v>8</v>
      </c>
      <c r="G893" t="s">
        <v>9</v>
      </c>
      <c r="H893" t="s">
        <v>10</v>
      </c>
      <c r="I893" t="s">
        <v>1713</v>
      </c>
      <c r="J893">
        <v>35.35</v>
      </c>
      <c r="K893" t="e">
        <f>IF(COUNTIF(#REF!,Tabela2[[#This Row],[IdxWspolny]])&gt;0,"ELEM_lub_PRD","TECHN")</f>
        <v>#REF!</v>
      </c>
      <c r="L893" t="e">
        <f>IF(COUNTIF(#REF!,Tabela2[[#This Row],[KOD_PRODUKTU]])&gt;0,"ELEMENT","PRODUKT")</f>
        <v>#REF!</v>
      </c>
      <c r="M893" t="e">
        <f>COUNTIF(#REF!,Tabela2[[#This Row],[KOD_PRODUKTU]])</f>
        <v>#REF!</v>
      </c>
    </row>
    <row r="894" spans="1:14" x14ac:dyDescent="0.25">
      <c r="A894" s="1" t="s">
        <v>1714</v>
      </c>
      <c r="B894" t="s">
        <v>1715</v>
      </c>
      <c r="C894" s="1" t="s">
        <v>1699</v>
      </c>
      <c r="D894" s="1" t="s">
        <v>1699</v>
      </c>
      <c r="E894" s="1" t="s">
        <v>1699</v>
      </c>
      <c r="F894" t="s">
        <v>1700</v>
      </c>
      <c r="G894" t="s">
        <v>1701</v>
      </c>
      <c r="H894" t="s">
        <v>17</v>
      </c>
      <c r="I894" t="s">
        <v>1141</v>
      </c>
      <c r="J894">
        <v>312.5</v>
      </c>
      <c r="K894" t="e">
        <f>IF(COUNTIF(#REF!,Tabela2[[#This Row],[IdxWspolny]])&gt;0,"ELEM_lub_PRD","TECHN")</f>
        <v>#REF!</v>
      </c>
      <c r="L894" t="e">
        <f>IF(COUNTIF(#REF!,Tabela2[[#This Row],[KOD_PRODUKTU]])&gt;0,"ELEMENT","PRODUKT")</f>
        <v>#REF!</v>
      </c>
      <c r="M894" t="e">
        <f>COUNTIF(#REF!,Tabela2[[#This Row],[KOD_PRODUKTU]])</f>
        <v>#REF!</v>
      </c>
    </row>
    <row r="895" spans="1:14" x14ac:dyDescent="0.25">
      <c r="A895" s="1" t="s">
        <v>1714</v>
      </c>
      <c r="B895" t="s">
        <v>1715</v>
      </c>
      <c r="C895" s="1" t="s">
        <v>7</v>
      </c>
      <c r="D895" s="1" t="s">
        <v>7</v>
      </c>
      <c r="E895" s="1" t="s">
        <v>7</v>
      </c>
      <c r="F895" t="s">
        <v>8</v>
      </c>
      <c r="G895" t="s">
        <v>9</v>
      </c>
      <c r="H895" t="s">
        <v>10</v>
      </c>
      <c r="I895" t="s">
        <v>594</v>
      </c>
      <c r="J895">
        <v>11.5</v>
      </c>
      <c r="K895" t="e">
        <f>IF(COUNTIF(#REF!,Tabela2[[#This Row],[IdxWspolny]])&gt;0,"ELEM_lub_PRD","TECHN")</f>
        <v>#REF!</v>
      </c>
      <c r="L895" t="e">
        <f>IF(COUNTIF(#REF!,Tabela2[[#This Row],[KOD_PRODUKTU]])&gt;0,"ELEMENT","PRODUKT")</f>
        <v>#REF!</v>
      </c>
      <c r="M895" t="e">
        <f>COUNTIF(#REF!,Tabela2[[#This Row],[KOD_PRODUKTU]])</f>
        <v>#REF!</v>
      </c>
    </row>
    <row r="896" spans="1:14" x14ac:dyDescent="0.25">
      <c r="A896" s="1" t="s">
        <v>1716</v>
      </c>
      <c r="B896" t="s">
        <v>1717</v>
      </c>
      <c r="C896" s="1" t="s">
        <v>970</v>
      </c>
      <c r="D896" s="1" t="s">
        <v>970</v>
      </c>
      <c r="E896" s="1" t="s">
        <v>970</v>
      </c>
      <c r="F896" t="s">
        <v>1718</v>
      </c>
      <c r="G896" t="s">
        <v>972</v>
      </c>
      <c r="H896" t="s">
        <v>17</v>
      </c>
      <c r="I896" t="s">
        <v>1719</v>
      </c>
      <c r="J896">
        <v>127.1</v>
      </c>
      <c r="K896" t="e">
        <f>IF(COUNTIF(#REF!,Tabela2[[#This Row],[IdxWspolny]])&gt;0,"ELEM_lub_PRD","TECHN")</f>
        <v>#REF!</v>
      </c>
      <c r="L896" t="e">
        <f>IF(COUNTIF(#REF!,Tabela2[[#This Row],[KOD_PRODUKTU]])&gt;0,"ELEMENT","PRODUKT")</f>
        <v>#REF!</v>
      </c>
      <c r="M896" t="e">
        <f>COUNTIF(#REF!,Tabela2[[#This Row],[KOD_PRODUKTU]])</f>
        <v>#REF!</v>
      </c>
    </row>
    <row r="897" spans="1:13" x14ac:dyDescent="0.25">
      <c r="A897" s="1" t="s">
        <v>1716</v>
      </c>
      <c r="B897" t="s">
        <v>1717</v>
      </c>
      <c r="C897" s="1" t="s">
        <v>7</v>
      </c>
      <c r="D897" s="1" t="s">
        <v>7</v>
      </c>
      <c r="E897" s="1" t="s">
        <v>7</v>
      </c>
      <c r="F897" t="s">
        <v>8</v>
      </c>
      <c r="G897" t="s">
        <v>9</v>
      </c>
      <c r="H897" t="s">
        <v>10</v>
      </c>
      <c r="I897" t="s">
        <v>601</v>
      </c>
      <c r="J897">
        <v>6.9</v>
      </c>
      <c r="K897" t="e">
        <f>IF(COUNTIF(#REF!,Tabela2[[#This Row],[IdxWspolny]])&gt;0,"ELEM_lub_PRD","TECHN")</f>
        <v>#REF!</v>
      </c>
      <c r="L897" t="e">
        <f>IF(COUNTIF(#REF!,Tabela2[[#This Row],[KOD_PRODUKTU]])&gt;0,"ELEMENT","PRODUKT")</f>
        <v>#REF!</v>
      </c>
      <c r="M897" t="e">
        <f>COUNTIF(#REF!,Tabela2[[#This Row],[KOD_PRODUKTU]])</f>
        <v>#REF!</v>
      </c>
    </row>
    <row r="898" spans="1:13" x14ac:dyDescent="0.25">
      <c r="A898" s="1" t="s">
        <v>1720</v>
      </c>
      <c r="B898" t="s">
        <v>1721</v>
      </c>
      <c r="C898" s="1" t="s">
        <v>1722</v>
      </c>
      <c r="D898" s="1" t="s">
        <v>1722</v>
      </c>
      <c r="E898" s="1" t="s">
        <v>1722</v>
      </c>
      <c r="F898" t="s">
        <v>1723</v>
      </c>
      <c r="G898" t="s">
        <v>1724</v>
      </c>
      <c r="H898" t="s">
        <v>17</v>
      </c>
      <c r="I898" t="s">
        <v>1725</v>
      </c>
      <c r="J898">
        <v>21.4</v>
      </c>
      <c r="K898" t="e">
        <f>IF(COUNTIF(#REF!,Tabela2[[#This Row],[IdxWspolny]])&gt;0,"ELEM_lub_PRD","TECHN")</f>
        <v>#REF!</v>
      </c>
      <c r="L898" t="e">
        <f>IF(COUNTIF(#REF!,Tabela2[[#This Row],[KOD_PRODUKTU]])&gt;0,"ELEMENT","PRODUKT")</f>
        <v>#REF!</v>
      </c>
      <c r="M898" t="e">
        <f>COUNTIF(#REF!,Tabela2[[#This Row],[KOD_PRODUKTU]])</f>
        <v>#REF!</v>
      </c>
    </row>
    <row r="899" spans="1:13" x14ac:dyDescent="0.25">
      <c r="A899" s="1" t="s">
        <v>1720</v>
      </c>
      <c r="B899" t="s">
        <v>1721</v>
      </c>
      <c r="C899" s="1" t="s">
        <v>7</v>
      </c>
      <c r="D899" s="1" t="s">
        <v>7</v>
      </c>
      <c r="E899" s="1" t="s">
        <v>7</v>
      </c>
      <c r="F899" t="s">
        <v>1031</v>
      </c>
      <c r="G899" t="s">
        <v>9</v>
      </c>
      <c r="H899" t="s">
        <v>10</v>
      </c>
      <c r="I899" t="s">
        <v>1726</v>
      </c>
      <c r="J899">
        <v>9.41</v>
      </c>
      <c r="K899" t="e">
        <f>IF(COUNTIF(#REF!,Tabela2[[#This Row],[IdxWspolny]])&gt;0,"ELEM_lub_PRD","TECHN")</f>
        <v>#REF!</v>
      </c>
      <c r="L899" t="e">
        <f>IF(COUNTIF(#REF!,Tabela2[[#This Row],[KOD_PRODUKTU]])&gt;0,"ELEMENT","PRODUKT")</f>
        <v>#REF!</v>
      </c>
      <c r="M899" t="e">
        <f>COUNTIF(#REF!,Tabela2[[#This Row],[KOD_PRODUKTU]])</f>
        <v>#REF!</v>
      </c>
    </row>
    <row r="900" spans="1:13" x14ac:dyDescent="0.25">
      <c r="A900" s="1" t="s">
        <v>1727</v>
      </c>
      <c r="B900" t="s">
        <v>1728</v>
      </c>
      <c r="C900" s="1" t="s">
        <v>1547</v>
      </c>
      <c r="D900" s="1" t="s">
        <v>1547</v>
      </c>
      <c r="E900" s="1" t="s">
        <v>1547</v>
      </c>
      <c r="F900" t="s">
        <v>1548</v>
      </c>
      <c r="G900" t="s">
        <v>216</v>
      </c>
      <c r="H900" t="s">
        <v>5</v>
      </c>
      <c r="I900" t="s">
        <v>1729</v>
      </c>
      <c r="J900">
        <v>1.1000000000000001</v>
      </c>
      <c r="K900" t="e">
        <f>IF(COUNTIF(#REF!,Tabela2[[#This Row],[IdxWspolny]])&gt;0,"ELEM_lub_PRD","TECHN")</f>
        <v>#REF!</v>
      </c>
      <c r="L900" t="e">
        <f>IF(COUNTIF(#REF!,Tabela2[[#This Row],[KOD_PRODUKTU]])&gt;0,"ELEMENT","PRODUKT")</f>
        <v>#REF!</v>
      </c>
      <c r="M900" t="e">
        <f>COUNTIF(#REF!,Tabela2[[#This Row],[KOD_PRODUKTU]])</f>
        <v>#REF!</v>
      </c>
    </row>
    <row r="901" spans="1:13" x14ac:dyDescent="0.25">
      <c r="A901" s="1" t="s">
        <v>1727</v>
      </c>
      <c r="B901" t="s">
        <v>1728</v>
      </c>
      <c r="C901" s="1" t="s">
        <v>7</v>
      </c>
      <c r="D901" s="1" t="s">
        <v>7</v>
      </c>
      <c r="E901" s="1" t="s">
        <v>7</v>
      </c>
      <c r="F901" t="s">
        <v>8</v>
      </c>
      <c r="G901" t="s">
        <v>9</v>
      </c>
      <c r="H901" t="s">
        <v>10</v>
      </c>
      <c r="I901" t="s">
        <v>1604</v>
      </c>
      <c r="J901">
        <v>9.6999999999999993</v>
      </c>
      <c r="K901" t="e">
        <f>IF(COUNTIF(#REF!,Tabela2[[#This Row],[IdxWspolny]])&gt;0,"ELEM_lub_PRD","TECHN")</f>
        <v>#REF!</v>
      </c>
      <c r="L901" t="e">
        <f>IF(COUNTIF(#REF!,Tabela2[[#This Row],[KOD_PRODUKTU]])&gt;0,"ELEMENT","PRODUKT")</f>
        <v>#REF!</v>
      </c>
      <c r="M901" t="e">
        <f>COUNTIF(#REF!,Tabela2[[#This Row],[KOD_PRODUKTU]])</f>
        <v>#REF!</v>
      </c>
    </row>
    <row r="902" spans="1:13" x14ac:dyDescent="0.25">
      <c r="A902" s="1" t="s">
        <v>1730</v>
      </c>
      <c r="B902" t="s">
        <v>1731</v>
      </c>
      <c r="C902" s="1" t="s">
        <v>1387</v>
      </c>
      <c r="D902" s="1" t="s">
        <v>1387</v>
      </c>
      <c r="E902" s="1" t="s">
        <v>1387</v>
      </c>
      <c r="F902" t="s">
        <v>1388</v>
      </c>
      <c r="G902" t="s">
        <v>879</v>
      </c>
      <c r="H902" t="s">
        <v>17</v>
      </c>
      <c r="I902" t="s">
        <v>1732</v>
      </c>
      <c r="J902">
        <v>0.5</v>
      </c>
      <c r="K902" t="e">
        <f>IF(COUNTIF(#REF!,Tabela2[[#This Row],[IdxWspolny]])&gt;0,"ELEM_lub_PRD","TECHN")</f>
        <v>#REF!</v>
      </c>
      <c r="L902" t="e">
        <f>IF(COUNTIF(#REF!,Tabela2[[#This Row],[KOD_PRODUKTU]])&gt;0,"ELEMENT","PRODUKT")</f>
        <v>#REF!</v>
      </c>
      <c r="M902" t="e">
        <f>COUNTIF(#REF!,Tabela2[[#This Row],[KOD_PRODUKTU]])</f>
        <v>#REF!</v>
      </c>
    </row>
    <row r="903" spans="1:13" x14ac:dyDescent="0.25">
      <c r="A903" s="1" t="s">
        <v>1730</v>
      </c>
      <c r="B903" t="s">
        <v>1731</v>
      </c>
      <c r="C903" s="1" t="s">
        <v>7</v>
      </c>
      <c r="D903" s="1" t="s">
        <v>7</v>
      </c>
      <c r="E903" s="1" t="s">
        <v>7</v>
      </c>
      <c r="F903" t="s">
        <v>8</v>
      </c>
      <c r="G903" t="s">
        <v>9</v>
      </c>
      <c r="H903" t="s">
        <v>10</v>
      </c>
      <c r="I903" t="s">
        <v>1733</v>
      </c>
      <c r="J903">
        <v>2.5</v>
      </c>
      <c r="K903" t="e">
        <f>IF(COUNTIF(#REF!,Tabela2[[#This Row],[IdxWspolny]])&gt;0,"ELEM_lub_PRD","TECHN")</f>
        <v>#REF!</v>
      </c>
      <c r="L903" t="e">
        <f>IF(COUNTIF(#REF!,Tabela2[[#This Row],[KOD_PRODUKTU]])&gt;0,"ELEMENT","PRODUKT")</f>
        <v>#REF!</v>
      </c>
      <c r="M903" t="e">
        <f>COUNTIF(#REF!,Tabela2[[#This Row],[KOD_PRODUKTU]])</f>
        <v>#REF!</v>
      </c>
    </row>
    <row r="904" spans="1:13" x14ac:dyDescent="0.25">
      <c r="A904" s="1" t="s">
        <v>1734</v>
      </c>
      <c r="B904" t="s">
        <v>1735</v>
      </c>
      <c r="C904" s="1" t="s">
        <v>1736</v>
      </c>
      <c r="D904" s="1" t="s">
        <v>1736</v>
      </c>
      <c r="E904" s="1" t="s">
        <v>1736</v>
      </c>
      <c r="F904" t="s">
        <v>1737</v>
      </c>
      <c r="G904" t="s">
        <v>1738</v>
      </c>
      <c r="H904" t="s">
        <v>49</v>
      </c>
      <c r="I904" t="s">
        <v>1739</v>
      </c>
      <c r="J904">
        <v>2.5</v>
      </c>
      <c r="K904" t="e">
        <f>IF(COUNTIF(#REF!,Tabela2[[#This Row],[IdxWspolny]])&gt;0,"ELEM_lub_PRD","TECHN")</f>
        <v>#REF!</v>
      </c>
      <c r="L904" t="e">
        <f>IF(COUNTIF(#REF!,Tabela2[[#This Row],[KOD_PRODUKTU]])&gt;0,"ELEMENT","PRODUKT")</f>
        <v>#REF!</v>
      </c>
      <c r="M904" t="e">
        <f>COUNTIF(#REF!,Tabela2[[#This Row],[KOD_PRODUKTU]])</f>
        <v>#REF!</v>
      </c>
    </row>
    <row r="905" spans="1:13" x14ac:dyDescent="0.25">
      <c r="A905" s="1" t="s">
        <v>1734</v>
      </c>
      <c r="B905" t="s">
        <v>1735</v>
      </c>
      <c r="C905" s="1" t="s">
        <v>7</v>
      </c>
      <c r="D905" s="1" t="s">
        <v>7</v>
      </c>
      <c r="E905" s="1" t="s">
        <v>7</v>
      </c>
      <c r="F905" t="s">
        <v>8</v>
      </c>
      <c r="G905" t="s">
        <v>9</v>
      </c>
      <c r="H905" t="s">
        <v>10</v>
      </c>
      <c r="I905" t="s">
        <v>1740</v>
      </c>
      <c r="J905">
        <v>3.7</v>
      </c>
      <c r="K905" t="e">
        <f>IF(COUNTIF(#REF!,Tabela2[[#This Row],[IdxWspolny]])&gt;0,"ELEM_lub_PRD","TECHN")</f>
        <v>#REF!</v>
      </c>
      <c r="L905" t="e">
        <f>IF(COUNTIF(#REF!,Tabela2[[#This Row],[KOD_PRODUKTU]])&gt;0,"ELEMENT","PRODUKT")</f>
        <v>#REF!</v>
      </c>
      <c r="M905" t="e">
        <f>COUNTIF(#REF!,Tabela2[[#This Row],[KOD_PRODUKTU]])</f>
        <v>#REF!</v>
      </c>
    </row>
    <row r="906" spans="1:13" x14ac:dyDescent="0.25">
      <c r="A906" s="1" t="s">
        <v>1741</v>
      </c>
      <c r="B906" t="s">
        <v>1742</v>
      </c>
      <c r="C906" s="1" t="s">
        <v>1743</v>
      </c>
      <c r="D906" s="1" t="s">
        <v>1743</v>
      </c>
      <c r="E906" s="1" t="s">
        <v>1743</v>
      </c>
      <c r="F906" t="s">
        <v>1744</v>
      </c>
      <c r="G906" t="s">
        <v>1354</v>
      </c>
      <c r="H906" t="s">
        <v>5</v>
      </c>
      <c r="I906" t="s">
        <v>1745</v>
      </c>
      <c r="J906">
        <v>9.4</v>
      </c>
      <c r="K906" t="e">
        <f>IF(COUNTIF(#REF!,Tabela2[[#This Row],[IdxWspolny]])&gt;0,"ELEM_lub_PRD","TECHN")</f>
        <v>#REF!</v>
      </c>
      <c r="L906" t="e">
        <f>IF(COUNTIF(#REF!,Tabela2[[#This Row],[KOD_PRODUKTU]])&gt;0,"ELEMENT","PRODUKT")</f>
        <v>#REF!</v>
      </c>
      <c r="M906" t="e">
        <f>COUNTIF(#REF!,Tabela2[[#This Row],[KOD_PRODUKTU]])</f>
        <v>#REF!</v>
      </c>
    </row>
    <row r="907" spans="1:13" x14ac:dyDescent="0.25">
      <c r="A907" s="1" t="s">
        <v>1741</v>
      </c>
      <c r="B907" t="s">
        <v>1742</v>
      </c>
      <c r="C907" s="1" t="s">
        <v>541</v>
      </c>
      <c r="D907" s="1" t="s">
        <v>541</v>
      </c>
      <c r="E907" s="1" t="s">
        <v>541</v>
      </c>
      <c r="F907" t="s">
        <v>542</v>
      </c>
      <c r="G907" t="s">
        <v>9</v>
      </c>
      <c r="H907" t="s">
        <v>10</v>
      </c>
      <c r="I907" t="s">
        <v>1746</v>
      </c>
      <c r="J907">
        <v>15.35</v>
      </c>
      <c r="K907" t="e">
        <f>IF(COUNTIF(#REF!,Tabela2[[#This Row],[IdxWspolny]])&gt;0,"ELEM_lub_PRD","TECHN")</f>
        <v>#REF!</v>
      </c>
      <c r="L907" t="e">
        <f>IF(COUNTIF(#REF!,Tabela2[[#This Row],[KOD_PRODUKTU]])&gt;0,"ELEMENT","PRODUKT")</f>
        <v>#REF!</v>
      </c>
      <c r="M907" t="e">
        <f>COUNTIF(#REF!,Tabela2[[#This Row],[KOD_PRODUKTU]])</f>
        <v>#REF!</v>
      </c>
    </row>
    <row r="908" spans="1:13" x14ac:dyDescent="0.25">
      <c r="A908" s="1" t="s">
        <v>1747</v>
      </c>
      <c r="B908" t="s">
        <v>1748</v>
      </c>
      <c r="C908" s="1" t="s">
        <v>1743</v>
      </c>
      <c r="D908" s="1" t="s">
        <v>1743</v>
      </c>
      <c r="E908" s="1" t="s">
        <v>1743</v>
      </c>
      <c r="F908" t="s">
        <v>1744</v>
      </c>
      <c r="G908" t="s">
        <v>1354</v>
      </c>
      <c r="H908" t="s">
        <v>5</v>
      </c>
      <c r="I908" t="s">
        <v>1745</v>
      </c>
      <c r="J908">
        <v>9.4</v>
      </c>
      <c r="K908" t="e">
        <f>IF(COUNTIF(#REF!,Tabela2[[#This Row],[IdxWspolny]])&gt;0,"ELEM_lub_PRD","TECHN")</f>
        <v>#REF!</v>
      </c>
      <c r="L908" t="e">
        <f>IF(COUNTIF(#REF!,Tabela2[[#This Row],[KOD_PRODUKTU]])&gt;0,"ELEMENT","PRODUKT")</f>
        <v>#REF!</v>
      </c>
      <c r="M908" t="e">
        <f>COUNTIF(#REF!,Tabela2[[#This Row],[KOD_PRODUKTU]])</f>
        <v>#REF!</v>
      </c>
    </row>
    <row r="909" spans="1:13" x14ac:dyDescent="0.25">
      <c r="A909" s="1" t="s">
        <v>1747</v>
      </c>
      <c r="B909" t="s">
        <v>1748</v>
      </c>
      <c r="C909" s="1" t="s">
        <v>541</v>
      </c>
      <c r="D909" s="1" t="s">
        <v>541</v>
      </c>
      <c r="E909" s="1" t="s">
        <v>541</v>
      </c>
      <c r="F909" t="s">
        <v>542</v>
      </c>
      <c r="G909" t="s">
        <v>9</v>
      </c>
      <c r="H909" t="s">
        <v>10</v>
      </c>
      <c r="I909" t="s">
        <v>1749</v>
      </c>
      <c r="J909">
        <v>18.149999999999999</v>
      </c>
      <c r="K909" t="e">
        <f>IF(COUNTIF(#REF!,Tabela2[[#This Row],[IdxWspolny]])&gt;0,"ELEM_lub_PRD","TECHN")</f>
        <v>#REF!</v>
      </c>
      <c r="L909" t="e">
        <f>IF(COUNTIF(#REF!,Tabela2[[#This Row],[KOD_PRODUKTU]])&gt;0,"ELEMENT","PRODUKT")</f>
        <v>#REF!</v>
      </c>
      <c r="M909" t="e">
        <f>COUNTIF(#REF!,Tabela2[[#This Row],[KOD_PRODUKTU]])</f>
        <v>#REF!</v>
      </c>
    </row>
    <row r="910" spans="1:13" x14ac:dyDescent="0.25">
      <c r="A910" s="1" t="s">
        <v>1750</v>
      </c>
      <c r="B910" t="s">
        <v>1751</v>
      </c>
      <c r="C910" s="1" t="s">
        <v>1752</v>
      </c>
      <c r="D910" s="1" t="s">
        <v>1752</v>
      </c>
      <c r="E910" s="1" t="s">
        <v>1752</v>
      </c>
      <c r="F910" t="s">
        <v>1753</v>
      </c>
      <c r="G910" t="s">
        <v>263</v>
      </c>
      <c r="H910" t="s">
        <v>17</v>
      </c>
      <c r="I910" t="s">
        <v>1754</v>
      </c>
      <c r="J910">
        <v>1.3</v>
      </c>
      <c r="K910" t="e">
        <f>IF(COUNTIF(#REF!,Tabela2[[#This Row],[IdxWspolny]])&gt;0,"ELEM_lub_PRD","TECHN")</f>
        <v>#REF!</v>
      </c>
      <c r="L910" t="e">
        <f>IF(COUNTIF(#REF!,Tabela2[[#This Row],[KOD_PRODUKTU]])&gt;0,"ELEMENT","PRODUKT")</f>
        <v>#REF!</v>
      </c>
      <c r="M910" t="e">
        <f>COUNTIF(#REF!,Tabela2[[#This Row],[KOD_PRODUKTU]])</f>
        <v>#REF!</v>
      </c>
    </row>
    <row r="911" spans="1:13" x14ac:dyDescent="0.25">
      <c r="A911" s="1" t="s">
        <v>1750</v>
      </c>
      <c r="B911" t="s">
        <v>1751</v>
      </c>
      <c r="C911" s="1" t="s">
        <v>7</v>
      </c>
      <c r="D911" s="1" t="s">
        <v>7</v>
      </c>
      <c r="E911" s="1" t="s">
        <v>7</v>
      </c>
      <c r="F911" t="s">
        <v>8</v>
      </c>
      <c r="G911" t="s">
        <v>9</v>
      </c>
      <c r="H911" t="s">
        <v>10</v>
      </c>
      <c r="I911" t="s">
        <v>1755</v>
      </c>
      <c r="J911">
        <v>7.15</v>
      </c>
      <c r="K911" t="e">
        <f>IF(COUNTIF(#REF!,Tabela2[[#This Row],[IdxWspolny]])&gt;0,"ELEM_lub_PRD","TECHN")</f>
        <v>#REF!</v>
      </c>
      <c r="L911" t="e">
        <f>IF(COUNTIF(#REF!,Tabela2[[#This Row],[KOD_PRODUKTU]])&gt;0,"ELEMENT","PRODUKT")</f>
        <v>#REF!</v>
      </c>
      <c r="M911" t="e">
        <f>COUNTIF(#REF!,Tabela2[[#This Row],[KOD_PRODUKTU]])</f>
        <v>#REF!</v>
      </c>
    </row>
    <row r="912" spans="1:13" x14ac:dyDescent="0.25">
      <c r="A912" s="1" t="s">
        <v>1756</v>
      </c>
      <c r="B912" t="s">
        <v>1757</v>
      </c>
      <c r="C912" s="1" t="s">
        <v>1022</v>
      </c>
      <c r="D912" s="1" t="s">
        <v>1022</v>
      </c>
      <c r="E912" s="1" t="s">
        <v>1022</v>
      </c>
      <c r="F912" t="s">
        <v>1023</v>
      </c>
      <c r="G912" t="s">
        <v>1024</v>
      </c>
      <c r="H912" t="s">
        <v>932</v>
      </c>
      <c r="I912" t="s">
        <v>1758</v>
      </c>
      <c r="J912">
        <v>52.1</v>
      </c>
      <c r="K912" t="e">
        <f>IF(COUNTIF(#REF!,Tabela2[[#This Row],[IdxWspolny]])&gt;0,"ELEM_lub_PRD","TECHN")</f>
        <v>#REF!</v>
      </c>
      <c r="L912" t="e">
        <f>IF(COUNTIF(#REF!,Tabela2[[#This Row],[KOD_PRODUKTU]])&gt;0,"ELEMENT","PRODUKT")</f>
        <v>#REF!</v>
      </c>
      <c r="M912" t="e">
        <f>COUNTIF(#REF!,Tabela2[[#This Row],[KOD_PRODUKTU]])</f>
        <v>#REF!</v>
      </c>
    </row>
    <row r="913" spans="1:14" x14ac:dyDescent="0.25">
      <c r="A913" s="1" t="s">
        <v>1756</v>
      </c>
      <c r="B913" t="s">
        <v>1757</v>
      </c>
      <c r="C913" s="1" t="s">
        <v>1759</v>
      </c>
      <c r="D913" s="1" t="s">
        <v>1759</v>
      </c>
      <c r="E913" s="1" t="s">
        <v>1759</v>
      </c>
      <c r="F913" t="s">
        <v>1760</v>
      </c>
      <c r="G913" t="s">
        <v>1761</v>
      </c>
      <c r="H913" t="s">
        <v>435</v>
      </c>
      <c r="I913" t="s">
        <v>1762</v>
      </c>
      <c r="J913">
        <v>2.85</v>
      </c>
      <c r="K913" t="e">
        <f>IF(COUNTIF(#REF!,Tabela2[[#This Row],[IdxWspolny]])&gt;0,"ELEM_lub_PRD","TECHN")</f>
        <v>#REF!</v>
      </c>
      <c r="L913" t="e">
        <f>IF(COUNTIF(#REF!,Tabela2[[#This Row],[KOD_PRODUKTU]])&gt;0,"ELEMENT","PRODUKT")</f>
        <v>#REF!</v>
      </c>
      <c r="M913" t="e">
        <f>COUNTIF(#REF!,Tabela2[[#This Row],[KOD_PRODUKTU]])</f>
        <v>#REF!</v>
      </c>
    </row>
    <row r="914" spans="1:14" x14ac:dyDescent="0.25">
      <c r="A914" s="1" t="s">
        <v>1756</v>
      </c>
      <c r="B914" t="s">
        <v>1757</v>
      </c>
      <c r="C914" s="1" t="s">
        <v>7</v>
      </c>
      <c r="D914" s="1" t="s">
        <v>7</v>
      </c>
      <c r="E914" s="1" t="s">
        <v>7</v>
      </c>
      <c r="F914" t="s">
        <v>8</v>
      </c>
      <c r="G914" t="s">
        <v>9</v>
      </c>
      <c r="H914" t="s">
        <v>10</v>
      </c>
      <c r="I914" t="s">
        <v>1763</v>
      </c>
      <c r="J914">
        <v>29.2</v>
      </c>
      <c r="K914" t="e">
        <f>IF(COUNTIF(#REF!,Tabela2[[#This Row],[IdxWspolny]])&gt;0,"ELEM_lub_PRD","TECHN")</f>
        <v>#REF!</v>
      </c>
      <c r="L914" t="e">
        <f>IF(COUNTIF(#REF!,Tabela2[[#This Row],[KOD_PRODUKTU]])&gt;0,"ELEMENT","PRODUKT")</f>
        <v>#REF!</v>
      </c>
      <c r="M914" t="e">
        <f>COUNTIF(#REF!,Tabela2[[#This Row],[KOD_PRODUKTU]])</f>
        <v>#REF!</v>
      </c>
    </row>
    <row r="915" spans="1:14" x14ac:dyDescent="0.25">
      <c r="A915" s="1" t="s">
        <v>1764</v>
      </c>
      <c r="B915" t="s">
        <v>1765</v>
      </c>
      <c r="C915" s="1" t="s">
        <v>1766</v>
      </c>
      <c r="D915" s="1" t="s">
        <v>1689</v>
      </c>
      <c r="E915" s="1" t="s">
        <v>1689</v>
      </c>
      <c r="F915" t="s">
        <v>1767</v>
      </c>
      <c r="G915" t="s">
        <v>1768</v>
      </c>
      <c r="H915" t="s">
        <v>49</v>
      </c>
      <c r="I915" t="s">
        <v>50</v>
      </c>
      <c r="J915">
        <v>0</v>
      </c>
      <c r="K915" t="e">
        <f>IF(COUNTIF(#REF!,Tabela2[[#This Row],[IdxWspolny]])&gt;0,"ELEM_lub_PRD","TECHN")</f>
        <v>#REF!</v>
      </c>
      <c r="L915" t="e">
        <f>IF(COUNTIF(#REF!,Tabela2[[#This Row],[KOD_PRODUKTU]])&gt;0,"ELEMENT","PRODUKT")</f>
        <v>#REF!</v>
      </c>
      <c r="M915" t="e">
        <f>COUNTIF(#REF!,Tabela2[[#This Row],[KOD_PRODUKTU]])</f>
        <v>#REF!</v>
      </c>
      <c r="N915" t="s">
        <v>51</v>
      </c>
    </row>
    <row r="916" spans="1:14" x14ac:dyDescent="0.25">
      <c r="A916" s="1" t="s">
        <v>1764</v>
      </c>
      <c r="B916" t="s">
        <v>1765</v>
      </c>
      <c r="C916" s="1" t="s">
        <v>7</v>
      </c>
      <c r="D916" s="1" t="s">
        <v>7</v>
      </c>
      <c r="E916" s="1" t="s">
        <v>7</v>
      </c>
      <c r="F916" t="s">
        <v>8</v>
      </c>
      <c r="G916" t="s">
        <v>9</v>
      </c>
      <c r="H916" t="s">
        <v>10</v>
      </c>
      <c r="I916" t="s">
        <v>19</v>
      </c>
      <c r="J916">
        <v>4.5999999999999996</v>
      </c>
      <c r="K916" t="e">
        <f>IF(COUNTIF(#REF!,Tabela2[[#This Row],[IdxWspolny]])&gt;0,"ELEM_lub_PRD","TECHN")</f>
        <v>#REF!</v>
      </c>
      <c r="L916" t="e">
        <f>IF(COUNTIF(#REF!,Tabela2[[#This Row],[KOD_PRODUKTU]])&gt;0,"ELEMENT","PRODUKT")</f>
        <v>#REF!</v>
      </c>
      <c r="M916" t="e">
        <f>COUNTIF(#REF!,Tabela2[[#This Row],[KOD_PRODUKTU]])</f>
        <v>#REF!</v>
      </c>
    </row>
    <row r="917" spans="1:14" x14ac:dyDescent="0.25">
      <c r="A917" s="1" t="s">
        <v>94</v>
      </c>
      <c r="B917" t="s">
        <v>95</v>
      </c>
      <c r="C917" s="1" t="s">
        <v>1769</v>
      </c>
      <c r="D917" s="1" t="s">
        <v>1769</v>
      </c>
      <c r="E917" s="1" t="s">
        <v>1769</v>
      </c>
      <c r="F917" t="s">
        <v>1770</v>
      </c>
      <c r="G917" t="s">
        <v>1771</v>
      </c>
      <c r="H917" t="s">
        <v>17</v>
      </c>
      <c r="I917" t="s">
        <v>1772</v>
      </c>
      <c r="J917">
        <v>0.35</v>
      </c>
      <c r="K917" t="e">
        <f>IF(COUNTIF(#REF!,Tabela2[[#This Row],[IdxWspolny]])&gt;0,"ELEM_lub_PRD","TECHN")</f>
        <v>#REF!</v>
      </c>
      <c r="L917" t="e">
        <f>IF(COUNTIF(#REF!,Tabela2[[#This Row],[KOD_PRODUKTU]])&gt;0,"ELEMENT","PRODUKT")</f>
        <v>#REF!</v>
      </c>
      <c r="M917" t="e">
        <f>COUNTIF(#REF!,Tabela2[[#This Row],[KOD_PRODUKTU]])</f>
        <v>#REF!</v>
      </c>
    </row>
    <row r="918" spans="1:14" x14ac:dyDescent="0.25">
      <c r="A918" s="1" t="s">
        <v>94</v>
      </c>
      <c r="B918" t="s">
        <v>95</v>
      </c>
      <c r="C918" s="1" t="s">
        <v>432</v>
      </c>
      <c r="D918" s="1" t="s">
        <v>432</v>
      </c>
      <c r="E918" s="1" t="s">
        <v>432</v>
      </c>
      <c r="F918" t="s">
        <v>433</v>
      </c>
      <c r="G918" t="s">
        <v>434</v>
      </c>
      <c r="H918" t="s">
        <v>435</v>
      </c>
      <c r="I918" t="s">
        <v>50</v>
      </c>
      <c r="J918">
        <v>1.1000000000000001</v>
      </c>
      <c r="K918" t="e">
        <f>IF(COUNTIF(#REF!,Tabela2[[#This Row],[IdxWspolny]])&gt;0,"ELEM_lub_PRD","TECHN")</f>
        <v>#REF!</v>
      </c>
      <c r="L918" t="e">
        <f>IF(COUNTIF(#REF!,Tabela2[[#This Row],[KOD_PRODUKTU]])&gt;0,"ELEMENT","PRODUKT")</f>
        <v>#REF!</v>
      </c>
      <c r="M918" t="e">
        <f>COUNTIF(#REF!,Tabela2[[#This Row],[KOD_PRODUKTU]])</f>
        <v>#REF!</v>
      </c>
    </row>
    <row r="919" spans="1:14" x14ac:dyDescent="0.25">
      <c r="A919" s="1" t="s">
        <v>94</v>
      </c>
      <c r="B919" t="s">
        <v>95</v>
      </c>
      <c r="C919" s="1" t="s">
        <v>7</v>
      </c>
      <c r="D919" s="1" t="s">
        <v>7</v>
      </c>
      <c r="E919" s="1" t="s">
        <v>7</v>
      </c>
      <c r="F919" t="s">
        <v>8</v>
      </c>
      <c r="G919" t="s">
        <v>9</v>
      </c>
      <c r="H919" t="s">
        <v>10</v>
      </c>
      <c r="I919" t="s">
        <v>1773</v>
      </c>
      <c r="J919">
        <v>3</v>
      </c>
      <c r="K919" t="e">
        <f>IF(COUNTIF(#REF!,Tabela2[[#This Row],[IdxWspolny]])&gt;0,"ELEM_lub_PRD","TECHN")</f>
        <v>#REF!</v>
      </c>
      <c r="L919" t="e">
        <f>IF(COUNTIF(#REF!,Tabela2[[#This Row],[KOD_PRODUKTU]])&gt;0,"ELEMENT","PRODUKT")</f>
        <v>#REF!</v>
      </c>
      <c r="M919" t="e">
        <f>COUNTIF(#REF!,Tabela2[[#This Row],[KOD_PRODUKTU]])</f>
        <v>#REF!</v>
      </c>
    </row>
    <row r="920" spans="1:14" x14ac:dyDescent="0.25">
      <c r="A920" s="1" t="s">
        <v>98</v>
      </c>
      <c r="B920" t="s">
        <v>99</v>
      </c>
      <c r="C920" s="1" t="s">
        <v>1774</v>
      </c>
      <c r="D920" s="1" t="s">
        <v>1774</v>
      </c>
      <c r="E920" s="1" t="s">
        <v>1774</v>
      </c>
      <c r="F920" t="s">
        <v>1775</v>
      </c>
      <c r="G920" t="s">
        <v>1776</v>
      </c>
      <c r="H920" t="s">
        <v>17</v>
      </c>
      <c r="I920" t="s">
        <v>1777</v>
      </c>
      <c r="J920">
        <v>0.45</v>
      </c>
      <c r="K920" t="e">
        <f>IF(COUNTIF(#REF!,Tabela2[[#This Row],[IdxWspolny]])&gt;0,"ELEM_lub_PRD","TECHN")</f>
        <v>#REF!</v>
      </c>
      <c r="L920" t="e">
        <f>IF(COUNTIF(#REF!,Tabela2[[#This Row],[KOD_PRODUKTU]])&gt;0,"ELEMENT","PRODUKT")</f>
        <v>#REF!</v>
      </c>
      <c r="M920" t="e">
        <f>COUNTIF(#REF!,Tabela2[[#This Row],[KOD_PRODUKTU]])</f>
        <v>#REF!</v>
      </c>
    </row>
    <row r="921" spans="1:14" x14ac:dyDescent="0.25">
      <c r="A921" s="1" t="s">
        <v>98</v>
      </c>
      <c r="B921" t="s">
        <v>99</v>
      </c>
      <c r="C921" s="1" t="s">
        <v>432</v>
      </c>
      <c r="D921" s="1" t="s">
        <v>432</v>
      </c>
      <c r="E921" s="1" t="s">
        <v>432</v>
      </c>
      <c r="F921" t="s">
        <v>433</v>
      </c>
      <c r="G921" t="s">
        <v>434</v>
      </c>
      <c r="H921" t="s">
        <v>435</v>
      </c>
      <c r="I921" t="s">
        <v>50</v>
      </c>
      <c r="J921">
        <v>1.1000000000000001</v>
      </c>
      <c r="K921" t="e">
        <f>IF(COUNTIF(#REF!,Tabela2[[#This Row],[IdxWspolny]])&gt;0,"ELEM_lub_PRD","TECHN")</f>
        <v>#REF!</v>
      </c>
      <c r="L921" t="e">
        <f>IF(COUNTIF(#REF!,Tabela2[[#This Row],[KOD_PRODUKTU]])&gt;0,"ELEMENT","PRODUKT")</f>
        <v>#REF!</v>
      </c>
      <c r="M921" t="e">
        <f>COUNTIF(#REF!,Tabela2[[#This Row],[KOD_PRODUKTU]])</f>
        <v>#REF!</v>
      </c>
    </row>
    <row r="922" spans="1:14" x14ac:dyDescent="0.25">
      <c r="A922" s="1" t="s">
        <v>98</v>
      </c>
      <c r="B922" t="s">
        <v>99</v>
      </c>
      <c r="C922" s="1" t="s">
        <v>7</v>
      </c>
      <c r="D922" s="1" t="s">
        <v>7</v>
      </c>
      <c r="E922" s="1" t="s">
        <v>7</v>
      </c>
      <c r="F922" t="s">
        <v>8</v>
      </c>
      <c r="G922" t="s">
        <v>9</v>
      </c>
      <c r="H922" t="s">
        <v>10</v>
      </c>
      <c r="I922" t="s">
        <v>1778</v>
      </c>
      <c r="J922">
        <v>2.1</v>
      </c>
      <c r="K922" t="e">
        <f>IF(COUNTIF(#REF!,Tabela2[[#This Row],[IdxWspolny]])&gt;0,"ELEM_lub_PRD","TECHN")</f>
        <v>#REF!</v>
      </c>
      <c r="L922" t="e">
        <f>IF(COUNTIF(#REF!,Tabela2[[#This Row],[KOD_PRODUKTU]])&gt;0,"ELEMENT","PRODUKT")</f>
        <v>#REF!</v>
      </c>
      <c r="M922" t="e">
        <f>COUNTIF(#REF!,Tabela2[[#This Row],[KOD_PRODUKTU]])</f>
        <v>#REF!</v>
      </c>
    </row>
    <row r="923" spans="1:14" x14ac:dyDescent="0.25">
      <c r="A923" s="1" t="s">
        <v>1779</v>
      </c>
      <c r="B923" t="s">
        <v>1780</v>
      </c>
      <c r="C923" s="1" t="s">
        <v>1774</v>
      </c>
      <c r="D923" s="1" t="s">
        <v>1774</v>
      </c>
      <c r="E923" s="1" t="s">
        <v>1774</v>
      </c>
      <c r="F923" t="s">
        <v>1775</v>
      </c>
      <c r="G923" t="s">
        <v>1776</v>
      </c>
      <c r="H923" t="s">
        <v>17</v>
      </c>
      <c r="I923" t="s">
        <v>1781</v>
      </c>
      <c r="J923">
        <v>0.35</v>
      </c>
      <c r="K923" t="e">
        <f>IF(COUNTIF(#REF!,Tabela2[[#This Row],[IdxWspolny]])&gt;0,"ELEM_lub_PRD","TECHN")</f>
        <v>#REF!</v>
      </c>
      <c r="L923" t="e">
        <f>IF(COUNTIF(#REF!,Tabela2[[#This Row],[KOD_PRODUKTU]])&gt;0,"ELEMENT","PRODUKT")</f>
        <v>#REF!</v>
      </c>
      <c r="M923" t="e">
        <f>COUNTIF(#REF!,Tabela2[[#This Row],[KOD_PRODUKTU]])</f>
        <v>#REF!</v>
      </c>
    </row>
    <row r="924" spans="1:14" x14ac:dyDescent="0.25">
      <c r="A924" s="1" t="s">
        <v>1779</v>
      </c>
      <c r="B924" t="s">
        <v>1780</v>
      </c>
      <c r="C924" s="1" t="s">
        <v>432</v>
      </c>
      <c r="D924" s="1" t="s">
        <v>432</v>
      </c>
      <c r="E924" s="1" t="s">
        <v>432</v>
      </c>
      <c r="F924" t="s">
        <v>433</v>
      </c>
      <c r="G924" t="s">
        <v>434</v>
      </c>
      <c r="H924" t="s">
        <v>435</v>
      </c>
      <c r="I924" t="s">
        <v>50</v>
      </c>
      <c r="J924">
        <v>1.1000000000000001</v>
      </c>
      <c r="K924" t="e">
        <f>IF(COUNTIF(#REF!,Tabela2[[#This Row],[IdxWspolny]])&gt;0,"ELEM_lub_PRD","TECHN")</f>
        <v>#REF!</v>
      </c>
      <c r="L924" t="e">
        <f>IF(COUNTIF(#REF!,Tabela2[[#This Row],[KOD_PRODUKTU]])&gt;0,"ELEMENT","PRODUKT")</f>
        <v>#REF!</v>
      </c>
      <c r="M924" t="e">
        <f>COUNTIF(#REF!,Tabela2[[#This Row],[KOD_PRODUKTU]])</f>
        <v>#REF!</v>
      </c>
    </row>
    <row r="925" spans="1:14" x14ac:dyDescent="0.25">
      <c r="A925" s="1" t="s">
        <v>1779</v>
      </c>
      <c r="B925" t="s">
        <v>1780</v>
      </c>
      <c r="C925" s="1" t="s">
        <v>7</v>
      </c>
      <c r="D925" s="1" t="s">
        <v>7</v>
      </c>
      <c r="E925" s="1" t="s">
        <v>7</v>
      </c>
      <c r="F925" t="s">
        <v>8</v>
      </c>
      <c r="G925" t="s">
        <v>9</v>
      </c>
      <c r="H925" t="s">
        <v>10</v>
      </c>
      <c r="I925" t="s">
        <v>71</v>
      </c>
      <c r="J925">
        <v>3.85</v>
      </c>
      <c r="K925" t="e">
        <f>IF(COUNTIF(#REF!,Tabela2[[#This Row],[IdxWspolny]])&gt;0,"ELEM_lub_PRD","TECHN")</f>
        <v>#REF!</v>
      </c>
      <c r="L925" t="e">
        <f>IF(COUNTIF(#REF!,Tabela2[[#This Row],[KOD_PRODUKTU]])&gt;0,"ELEMENT","PRODUKT")</f>
        <v>#REF!</v>
      </c>
      <c r="M925" t="e">
        <f>COUNTIF(#REF!,Tabela2[[#This Row],[KOD_PRODUKTU]])</f>
        <v>#REF!</v>
      </c>
    </row>
    <row r="926" spans="1:14" x14ac:dyDescent="0.25">
      <c r="A926" s="1" t="s">
        <v>1782</v>
      </c>
      <c r="B926" t="s">
        <v>1783</v>
      </c>
      <c r="C926" s="1" t="s">
        <v>1774</v>
      </c>
      <c r="D926" s="1" t="s">
        <v>1774</v>
      </c>
      <c r="E926" s="1" t="s">
        <v>1774</v>
      </c>
      <c r="F926" t="s">
        <v>1775</v>
      </c>
      <c r="G926" t="s">
        <v>1776</v>
      </c>
      <c r="H926" t="s">
        <v>17</v>
      </c>
      <c r="I926" t="s">
        <v>1784</v>
      </c>
      <c r="J926">
        <v>0.25</v>
      </c>
      <c r="K926" t="e">
        <f>IF(COUNTIF(#REF!,Tabela2[[#This Row],[IdxWspolny]])&gt;0,"ELEM_lub_PRD","TECHN")</f>
        <v>#REF!</v>
      </c>
      <c r="L926" t="e">
        <f>IF(COUNTIF(#REF!,Tabela2[[#This Row],[KOD_PRODUKTU]])&gt;0,"ELEMENT","PRODUKT")</f>
        <v>#REF!</v>
      </c>
      <c r="M926" t="e">
        <f>COUNTIF(#REF!,Tabela2[[#This Row],[KOD_PRODUKTU]])</f>
        <v>#REF!</v>
      </c>
    </row>
    <row r="927" spans="1:14" x14ac:dyDescent="0.25">
      <c r="A927" s="1" t="s">
        <v>1782</v>
      </c>
      <c r="B927" t="s">
        <v>1783</v>
      </c>
      <c r="C927" s="1" t="s">
        <v>432</v>
      </c>
      <c r="D927" s="1" t="s">
        <v>432</v>
      </c>
      <c r="E927" s="1" t="s">
        <v>432</v>
      </c>
      <c r="F927" t="s">
        <v>433</v>
      </c>
      <c r="G927" t="s">
        <v>434</v>
      </c>
      <c r="H927" t="s">
        <v>435</v>
      </c>
      <c r="I927" t="s">
        <v>50</v>
      </c>
      <c r="J927">
        <v>1.1000000000000001</v>
      </c>
      <c r="K927" t="e">
        <f>IF(COUNTIF(#REF!,Tabela2[[#This Row],[IdxWspolny]])&gt;0,"ELEM_lub_PRD","TECHN")</f>
        <v>#REF!</v>
      </c>
      <c r="L927" t="e">
        <f>IF(COUNTIF(#REF!,Tabela2[[#This Row],[KOD_PRODUKTU]])&gt;0,"ELEMENT","PRODUKT")</f>
        <v>#REF!</v>
      </c>
      <c r="M927" t="e">
        <f>COUNTIF(#REF!,Tabela2[[#This Row],[KOD_PRODUKTU]])</f>
        <v>#REF!</v>
      </c>
    </row>
    <row r="928" spans="1:14" x14ac:dyDescent="0.25">
      <c r="A928" s="1" t="s">
        <v>1782</v>
      </c>
      <c r="B928" t="s">
        <v>1783</v>
      </c>
      <c r="C928" s="1" t="s">
        <v>7</v>
      </c>
      <c r="D928" s="1" t="s">
        <v>7</v>
      </c>
      <c r="E928" s="1" t="s">
        <v>7</v>
      </c>
      <c r="F928" t="s">
        <v>8</v>
      </c>
      <c r="G928" t="s">
        <v>9</v>
      </c>
      <c r="H928" t="s">
        <v>10</v>
      </c>
      <c r="I928" t="s">
        <v>71</v>
      </c>
      <c r="J928">
        <v>3.85</v>
      </c>
      <c r="K928" t="e">
        <f>IF(COUNTIF(#REF!,Tabela2[[#This Row],[IdxWspolny]])&gt;0,"ELEM_lub_PRD","TECHN")</f>
        <v>#REF!</v>
      </c>
      <c r="L928" t="e">
        <f>IF(COUNTIF(#REF!,Tabela2[[#This Row],[KOD_PRODUKTU]])&gt;0,"ELEMENT","PRODUKT")</f>
        <v>#REF!</v>
      </c>
      <c r="M928" t="e">
        <f>COUNTIF(#REF!,Tabela2[[#This Row],[KOD_PRODUKTU]])</f>
        <v>#REF!</v>
      </c>
    </row>
    <row r="929" spans="1:13" x14ac:dyDescent="0.25">
      <c r="A929" s="1" t="s">
        <v>314</v>
      </c>
      <c r="B929" t="s">
        <v>315</v>
      </c>
      <c r="C929" s="1" t="s">
        <v>1785</v>
      </c>
      <c r="D929" s="1" t="s">
        <v>1785</v>
      </c>
      <c r="E929" s="1" t="s">
        <v>1785</v>
      </c>
      <c r="F929" t="s">
        <v>1786</v>
      </c>
      <c r="G929" t="s">
        <v>31</v>
      </c>
      <c r="H929" t="s">
        <v>5</v>
      </c>
      <c r="I929" t="s">
        <v>1787</v>
      </c>
      <c r="J929">
        <v>0.45</v>
      </c>
      <c r="K929" t="e">
        <f>IF(COUNTIF(#REF!,Tabela2[[#This Row],[IdxWspolny]])&gt;0,"ELEM_lub_PRD","TECHN")</f>
        <v>#REF!</v>
      </c>
      <c r="L929" t="e">
        <f>IF(COUNTIF(#REF!,Tabela2[[#This Row],[KOD_PRODUKTU]])&gt;0,"ELEMENT","PRODUKT")</f>
        <v>#REF!</v>
      </c>
      <c r="M929" t="e">
        <f>COUNTIF(#REF!,Tabela2[[#This Row],[KOD_PRODUKTU]])</f>
        <v>#REF!</v>
      </c>
    </row>
    <row r="930" spans="1:13" x14ac:dyDescent="0.25">
      <c r="A930" s="1" t="s">
        <v>314</v>
      </c>
      <c r="B930" t="s">
        <v>315</v>
      </c>
      <c r="C930" s="1" t="s">
        <v>432</v>
      </c>
      <c r="D930" s="1" t="s">
        <v>432</v>
      </c>
      <c r="E930" s="1" t="s">
        <v>432</v>
      </c>
      <c r="F930" t="s">
        <v>433</v>
      </c>
      <c r="G930" t="s">
        <v>434</v>
      </c>
      <c r="H930" t="s">
        <v>435</v>
      </c>
      <c r="I930" t="s">
        <v>50</v>
      </c>
      <c r="J930">
        <v>1.1000000000000001</v>
      </c>
      <c r="K930" t="e">
        <f>IF(COUNTIF(#REF!,Tabela2[[#This Row],[IdxWspolny]])&gt;0,"ELEM_lub_PRD","TECHN")</f>
        <v>#REF!</v>
      </c>
      <c r="L930" t="e">
        <f>IF(COUNTIF(#REF!,Tabela2[[#This Row],[KOD_PRODUKTU]])&gt;0,"ELEMENT","PRODUKT")</f>
        <v>#REF!</v>
      </c>
      <c r="M930" t="e">
        <f>COUNTIF(#REF!,Tabela2[[#This Row],[KOD_PRODUKTU]])</f>
        <v>#REF!</v>
      </c>
    </row>
    <row r="931" spans="1:13" x14ac:dyDescent="0.25">
      <c r="A931" s="1" t="s">
        <v>314</v>
      </c>
      <c r="B931" t="s">
        <v>315</v>
      </c>
      <c r="C931" s="1" t="s">
        <v>7</v>
      </c>
      <c r="D931" s="1" t="s">
        <v>7</v>
      </c>
      <c r="E931" s="1" t="s">
        <v>7</v>
      </c>
      <c r="F931" t="s">
        <v>8</v>
      </c>
      <c r="G931" t="s">
        <v>9</v>
      </c>
      <c r="H931" t="s">
        <v>10</v>
      </c>
      <c r="I931" t="s">
        <v>1044</v>
      </c>
      <c r="J931">
        <v>4.8</v>
      </c>
      <c r="K931" t="e">
        <f>IF(COUNTIF(#REF!,Tabela2[[#This Row],[IdxWspolny]])&gt;0,"ELEM_lub_PRD","TECHN")</f>
        <v>#REF!</v>
      </c>
      <c r="L931" t="e">
        <f>IF(COUNTIF(#REF!,Tabela2[[#This Row],[KOD_PRODUKTU]])&gt;0,"ELEMENT","PRODUKT")</f>
        <v>#REF!</v>
      </c>
      <c r="M931" t="e">
        <f>COUNTIF(#REF!,Tabela2[[#This Row],[KOD_PRODUKTU]])</f>
        <v>#REF!</v>
      </c>
    </row>
    <row r="932" spans="1:13" x14ac:dyDescent="0.25">
      <c r="A932" s="1" t="s">
        <v>221</v>
      </c>
      <c r="B932" t="s">
        <v>222</v>
      </c>
      <c r="C932" s="1" t="s">
        <v>1788</v>
      </c>
      <c r="D932" s="1" t="s">
        <v>1788</v>
      </c>
      <c r="E932" s="1" t="s">
        <v>1788</v>
      </c>
      <c r="F932" t="s">
        <v>1789</v>
      </c>
      <c r="G932" t="s">
        <v>1354</v>
      </c>
      <c r="H932" t="s">
        <v>5</v>
      </c>
      <c r="I932" t="s">
        <v>1790</v>
      </c>
      <c r="J932">
        <v>0.45</v>
      </c>
      <c r="K932" t="e">
        <f>IF(COUNTIF(#REF!,Tabela2[[#This Row],[IdxWspolny]])&gt;0,"ELEM_lub_PRD","TECHN")</f>
        <v>#REF!</v>
      </c>
      <c r="L932" t="e">
        <f>IF(COUNTIF(#REF!,Tabela2[[#This Row],[KOD_PRODUKTU]])&gt;0,"ELEMENT","PRODUKT")</f>
        <v>#REF!</v>
      </c>
      <c r="M932" t="e">
        <f>COUNTIF(#REF!,Tabela2[[#This Row],[KOD_PRODUKTU]])</f>
        <v>#REF!</v>
      </c>
    </row>
    <row r="933" spans="1:13" x14ac:dyDescent="0.25">
      <c r="A933" s="1" t="s">
        <v>221</v>
      </c>
      <c r="B933" t="s">
        <v>222</v>
      </c>
      <c r="C933" s="1" t="s">
        <v>7</v>
      </c>
      <c r="D933" s="1" t="s">
        <v>7</v>
      </c>
      <c r="E933" s="1" t="s">
        <v>7</v>
      </c>
      <c r="F933" t="s">
        <v>8</v>
      </c>
      <c r="G933" t="s">
        <v>9</v>
      </c>
      <c r="H933" t="s">
        <v>10</v>
      </c>
      <c r="I933" t="s">
        <v>1791</v>
      </c>
      <c r="J933">
        <v>2.4500000000000002</v>
      </c>
      <c r="K933" t="e">
        <f>IF(COUNTIF(#REF!,Tabela2[[#This Row],[IdxWspolny]])&gt;0,"ELEM_lub_PRD","TECHN")</f>
        <v>#REF!</v>
      </c>
      <c r="L933" t="e">
        <f>IF(COUNTIF(#REF!,Tabela2[[#This Row],[KOD_PRODUKTU]])&gt;0,"ELEMENT","PRODUKT")</f>
        <v>#REF!</v>
      </c>
      <c r="M933" t="e">
        <f>COUNTIF(#REF!,Tabela2[[#This Row],[KOD_PRODUKTU]])</f>
        <v>#REF!</v>
      </c>
    </row>
    <row r="934" spans="1:13" x14ac:dyDescent="0.25">
      <c r="A934" s="1" t="s">
        <v>1792</v>
      </c>
      <c r="B934" t="s">
        <v>1793</v>
      </c>
      <c r="C934" s="1" t="s">
        <v>1794</v>
      </c>
      <c r="D934" s="1" t="s">
        <v>1794</v>
      </c>
      <c r="E934" s="1" t="s">
        <v>1794</v>
      </c>
      <c r="F934" t="s">
        <v>1795</v>
      </c>
      <c r="G934" t="s">
        <v>1796</v>
      </c>
      <c r="H934" t="s">
        <v>17</v>
      </c>
      <c r="I934" t="s">
        <v>1428</v>
      </c>
      <c r="J934">
        <v>3.36</v>
      </c>
      <c r="K934" t="e">
        <f>IF(COUNTIF(#REF!,Tabela2[[#This Row],[IdxWspolny]])&gt;0,"ELEM_lub_PRD","TECHN")</f>
        <v>#REF!</v>
      </c>
      <c r="L934" t="e">
        <f>IF(COUNTIF(#REF!,Tabela2[[#This Row],[KOD_PRODUKTU]])&gt;0,"ELEMENT","PRODUKT")</f>
        <v>#REF!</v>
      </c>
      <c r="M934" t="e">
        <f>COUNTIF(#REF!,Tabela2[[#This Row],[KOD_PRODUKTU]])</f>
        <v>#REF!</v>
      </c>
    </row>
    <row r="935" spans="1:13" x14ac:dyDescent="0.25">
      <c r="A935" s="1" t="s">
        <v>1792</v>
      </c>
      <c r="B935" t="s">
        <v>1793</v>
      </c>
      <c r="C935" s="1" t="s">
        <v>7</v>
      </c>
      <c r="D935" s="1" t="s">
        <v>7</v>
      </c>
      <c r="E935" s="1" t="s">
        <v>7</v>
      </c>
      <c r="F935" t="s">
        <v>8</v>
      </c>
      <c r="G935" t="s">
        <v>9</v>
      </c>
      <c r="H935" t="s">
        <v>10</v>
      </c>
      <c r="I935" t="s">
        <v>1236</v>
      </c>
      <c r="J935">
        <v>5.52</v>
      </c>
      <c r="K935" t="e">
        <f>IF(COUNTIF(#REF!,Tabela2[[#This Row],[IdxWspolny]])&gt;0,"ELEM_lub_PRD","TECHN")</f>
        <v>#REF!</v>
      </c>
      <c r="L935" t="e">
        <f>IF(COUNTIF(#REF!,Tabela2[[#This Row],[KOD_PRODUKTU]])&gt;0,"ELEMENT","PRODUKT")</f>
        <v>#REF!</v>
      </c>
      <c r="M935" t="e">
        <f>COUNTIF(#REF!,Tabela2[[#This Row],[KOD_PRODUKTU]])</f>
        <v>#REF!</v>
      </c>
    </row>
    <row r="936" spans="1:13" x14ac:dyDescent="0.25">
      <c r="A936" s="1" t="s">
        <v>1797</v>
      </c>
      <c r="B936" t="s">
        <v>1798</v>
      </c>
      <c r="C936" s="1" t="s">
        <v>1249</v>
      </c>
      <c r="D936" s="1" t="s">
        <v>1249</v>
      </c>
      <c r="E936" s="1" t="s">
        <v>1249</v>
      </c>
      <c r="F936" t="s">
        <v>1250</v>
      </c>
      <c r="G936" t="s">
        <v>1251</v>
      </c>
      <c r="H936" t="s">
        <v>1252</v>
      </c>
      <c r="I936" t="s">
        <v>1799</v>
      </c>
      <c r="J936">
        <v>59.28</v>
      </c>
      <c r="K936" t="e">
        <f>IF(COUNTIF(#REF!,Tabela2[[#This Row],[IdxWspolny]])&gt;0,"ELEM_lub_PRD","TECHN")</f>
        <v>#REF!</v>
      </c>
      <c r="L936" t="e">
        <f>IF(COUNTIF(#REF!,Tabela2[[#This Row],[KOD_PRODUKTU]])&gt;0,"ELEMENT","PRODUKT")</f>
        <v>#REF!</v>
      </c>
      <c r="M936" t="e">
        <f>COUNTIF(#REF!,Tabela2[[#This Row],[KOD_PRODUKTU]])</f>
        <v>#REF!</v>
      </c>
    </row>
    <row r="937" spans="1:13" x14ac:dyDescent="0.25">
      <c r="A937" s="1" t="s">
        <v>1797</v>
      </c>
      <c r="B937" t="s">
        <v>1798</v>
      </c>
      <c r="C937" s="1" t="s">
        <v>541</v>
      </c>
      <c r="D937" s="1" t="s">
        <v>541</v>
      </c>
      <c r="E937" s="1" t="s">
        <v>541</v>
      </c>
      <c r="F937" t="s">
        <v>542</v>
      </c>
      <c r="G937" t="s">
        <v>9</v>
      </c>
      <c r="H937" t="s">
        <v>10</v>
      </c>
      <c r="I937" t="s">
        <v>860</v>
      </c>
      <c r="J937">
        <v>23</v>
      </c>
      <c r="K937" t="e">
        <f>IF(COUNTIF(#REF!,Tabela2[[#This Row],[IdxWspolny]])&gt;0,"ELEM_lub_PRD","TECHN")</f>
        <v>#REF!</v>
      </c>
      <c r="L937" t="e">
        <f>IF(COUNTIF(#REF!,Tabela2[[#This Row],[KOD_PRODUKTU]])&gt;0,"ELEMENT","PRODUKT")</f>
        <v>#REF!</v>
      </c>
      <c r="M937" t="e">
        <f>COUNTIF(#REF!,Tabela2[[#This Row],[KOD_PRODUKTU]])</f>
        <v>#REF!</v>
      </c>
    </row>
    <row r="938" spans="1:13" x14ac:dyDescent="0.25">
      <c r="A938" s="1" t="s">
        <v>1797</v>
      </c>
      <c r="B938" t="s">
        <v>1798</v>
      </c>
      <c r="C938" s="1" t="s">
        <v>7</v>
      </c>
      <c r="D938" s="1" t="s">
        <v>7</v>
      </c>
      <c r="E938" s="1" t="s">
        <v>7</v>
      </c>
      <c r="F938" t="s">
        <v>8</v>
      </c>
      <c r="G938" t="s">
        <v>9</v>
      </c>
      <c r="H938" t="s">
        <v>10</v>
      </c>
      <c r="I938" t="s">
        <v>1800</v>
      </c>
      <c r="J938">
        <v>132.74</v>
      </c>
      <c r="K938" t="e">
        <f>IF(COUNTIF(#REF!,Tabela2[[#This Row],[IdxWspolny]])&gt;0,"ELEM_lub_PRD","TECHN")</f>
        <v>#REF!</v>
      </c>
      <c r="L938" t="e">
        <f>IF(COUNTIF(#REF!,Tabela2[[#This Row],[KOD_PRODUKTU]])&gt;0,"ELEMENT","PRODUKT")</f>
        <v>#REF!</v>
      </c>
      <c r="M938" t="e">
        <f>COUNTIF(#REF!,Tabela2[[#This Row],[KOD_PRODUKTU]])</f>
        <v>#REF!</v>
      </c>
    </row>
    <row r="939" spans="1:13" x14ac:dyDescent="0.25">
      <c r="A939" s="1" t="s">
        <v>1801</v>
      </c>
      <c r="B939" t="s">
        <v>1802</v>
      </c>
      <c r="C939" s="1" t="s">
        <v>1249</v>
      </c>
      <c r="D939" s="1" t="s">
        <v>1249</v>
      </c>
      <c r="E939" s="1" t="s">
        <v>1249</v>
      </c>
      <c r="F939" t="s">
        <v>1250</v>
      </c>
      <c r="G939" t="s">
        <v>1251</v>
      </c>
      <c r="H939" t="s">
        <v>1252</v>
      </c>
      <c r="I939" t="s">
        <v>1803</v>
      </c>
      <c r="J939">
        <v>65.64</v>
      </c>
      <c r="K939" t="e">
        <f>IF(COUNTIF(#REF!,Tabela2[[#This Row],[IdxWspolny]])&gt;0,"ELEM_lub_PRD","TECHN")</f>
        <v>#REF!</v>
      </c>
      <c r="L939" t="e">
        <f>IF(COUNTIF(#REF!,Tabela2[[#This Row],[KOD_PRODUKTU]])&gt;0,"ELEMENT","PRODUKT")</f>
        <v>#REF!</v>
      </c>
      <c r="M939" t="e">
        <f>COUNTIF(#REF!,Tabela2[[#This Row],[KOD_PRODUKTU]])</f>
        <v>#REF!</v>
      </c>
    </row>
    <row r="940" spans="1:13" x14ac:dyDescent="0.25">
      <c r="A940" s="1" t="s">
        <v>1801</v>
      </c>
      <c r="B940" t="s">
        <v>1802</v>
      </c>
      <c r="C940" s="1" t="s">
        <v>541</v>
      </c>
      <c r="D940" s="1" t="s">
        <v>541</v>
      </c>
      <c r="E940" s="1" t="s">
        <v>541</v>
      </c>
      <c r="F940" t="s">
        <v>542</v>
      </c>
      <c r="G940" t="s">
        <v>9</v>
      </c>
      <c r="H940" t="s">
        <v>10</v>
      </c>
      <c r="I940" t="s">
        <v>860</v>
      </c>
      <c r="J940">
        <v>23</v>
      </c>
      <c r="K940" t="e">
        <f>IF(COUNTIF(#REF!,Tabela2[[#This Row],[IdxWspolny]])&gt;0,"ELEM_lub_PRD","TECHN")</f>
        <v>#REF!</v>
      </c>
      <c r="L940" t="e">
        <f>IF(COUNTIF(#REF!,Tabela2[[#This Row],[KOD_PRODUKTU]])&gt;0,"ELEMENT","PRODUKT")</f>
        <v>#REF!</v>
      </c>
      <c r="M940" t="e">
        <f>COUNTIF(#REF!,Tabela2[[#This Row],[KOD_PRODUKTU]])</f>
        <v>#REF!</v>
      </c>
    </row>
    <row r="941" spans="1:13" x14ac:dyDescent="0.25">
      <c r="A941" s="1" t="s">
        <v>1801</v>
      </c>
      <c r="B941" t="s">
        <v>1802</v>
      </c>
      <c r="C941" s="1" t="s">
        <v>7</v>
      </c>
      <c r="D941" s="1" t="s">
        <v>7</v>
      </c>
      <c r="E941" s="1" t="s">
        <v>7</v>
      </c>
      <c r="F941" t="s">
        <v>8</v>
      </c>
      <c r="G941" t="s">
        <v>9</v>
      </c>
      <c r="H941" t="s">
        <v>10</v>
      </c>
      <c r="I941" t="s">
        <v>1804</v>
      </c>
      <c r="J941">
        <v>166.32</v>
      </c>
      <c r="K941" t="e">
        <f>IF(COUNTIF(#REF!,Tabela2[[#This Row],[IdxWspolny]])&gt;0,"ELEM_lub_PRD","TECHN")</f>
        <v>#REF!</v>
      </c>
      <c r="L941" t="e">
        <f>IF(COUNTIF(#REF!,Tabela2[[#This Row],[KOD_PRODUKTU]])&gt;0,"ELEMENT","PRODUKT")</f>
        <v>#REF!</v>
      </c>
      <c r="M941" t="e">
        <f>COUNTIF(#REF!,Tabela2[[#This Row],[KOD_PRODUKTU]])</f>
        <v>#REF!</v>
      </c>
    </row>
    <row r="942" spans="1:13" x14ac:dyDescent="0.25">
      <c r="A942" s="1" t="s">
        <v>1805</v>
      </c>
      <c r="B942" t="s">
        <v>1806</v>
      </c>
      <c r="C942" s="1" t="s">
        <v>1249</v>
      </c>
      <c r="D942" s="1" t="s">
        <v>1249</v>
      </c>
      <c r="E942" s="1" t="s">
        <v>1249</v>
      </c>
      <c r="F942" t="s">
        <v>1250</v>
      </c>
      <c r="G942" t="s">
        <v>1251</v>
      </c>
      <c r="H942" t="s">
        <v>1252</v>
      </c>
      <c r="I942" t="s">
        <v>1807</v>
      </c>
      <c r="J942">
        <v>58.8</v>
      </c>
      <c r="K942" t="e">
        <f>IF(COUNTIF(#REF!,Tabela2[[#This Row],[IdxWspolny]])&gt;0,"ELEM_lub_PRD","TECHN")</f>
        <v>#REF!</v>
      </c>
      <c r="L942" t="e">
        <f>IF(COUNTIF(#REF!,Tabela2[[#This Row],[KOD_PRODUKTU]])&gt;0,"ELEMENT","PRODUKT")</f>
        <v>#REF!</v>
      </c>
      <c r="M942" t="e">
        <f>COUNTIF(#REF!,Tabela2[[#This Row],[KOD_PRODUKTU]])</f>
        <v>#REF!</v>
      </c>
    </row>
    <row r="943" spans="1:13" x14ac:dyDescent="0.25">
      <c r="A943" s="1" t="s">
        <v>1805</v>
      </c>
      <c r="B943" t="s">
        <v>1806</v>
      </c>
      <c r="C943" s="1" t="s">
        <v>541</v>
      </c>
      <c r="D943" s="1" t="s">
        <v>541</v>
      </c>
      <c r="E943" s="1" t="s">
        <v>541</v>
      </c>
      <c r="F943" t="s">
        <v>542</v>
      </c>
      <c r="G943" t="s">
        <v>9</v>
      </c>
      <c r="H943" t="s">
        <v>10</v>
      </c>
      <c r="I943" t="s">
        <v>860</v>
      </c>
      <c r="J943">
        <v>23</v>
      </c>
      <c r="K943" t="e">
        <f>IF(COUNTIF(#REF!,Tabela2[[#This Row],[IdxWspolny]])&gt;0,"ELEM_lub_PRD","TECHN")</f>
        <v>#REF!</v>
      </c>
      <c r="L943" t="e">
        <f>IF(COUNTIF(#REF!,Tabela2[[#This Row],[KOD_PRODUKTU]])&gt;0,"ELEMENT","PRODUKT")</f>
        <v>#REF!</v>
      </c>
      <c r="M943" t="e">
        <f>COUNTIF(#REF!,Tabela2[[#This Row],[KOD_PRODUKTU]])</f>
        <v>#REF!</v>
      </c>
    </row>
    <row r="944" spans="1:13" x14ac:dyDescent="0.25">
      <c r="A944" s="1" t="s">
        <v>1805</v>
      </c>
      <c r="B944" t="s">
        <v>1806</v>
      </c>
      <c r="C944" s="1" t="s">
        <v>7</v>
      </c>
      <c r="D944" s="1" t="s">
        <v>7</v>
      </c>
      <c r="E944" s="1" t="s">
        <v>7</v>
      </c>
      <c r="F944" t="s">
        <v>8</v>
      </c>
      <c r="G944" t="s">
        <v>9</v>
      </c>
      <c r="H944" t="s">
        <v>10</v>
      </c>
      <c r="I944" t="s">
        <v>1808</v>
      </c>
      <c r="J944">
        <v>132.51</v>
      </c>
      <c r="K944" t="e">
        <f>IF(COUNTIF(#REF!,Tabela2[[#This Row],[IdxWspolny]])&gt;0,"ELEM_lub_PRD","TECHN")</f>
        <v>#REF!</v>
      </c>
      <c r="L944" t="e">
        <f>IF(COUNTIF(#REF!,Tabela2[[#This Row],[KOD_PRODUKTU]])&gt;0,"ELEMENT","PRODUKT")</f>
        <v>#REF!</v>
      </c>
      <c r="M944" t="e">
        <f>COUNTIF(#REF!,Tabela2[[#This Row],[KOD_PRODUKTU]])</f>
        <v>#REF!</v>
      </c>
    </row>
    <row r="945" spans="1:13" x14ac:dyDescent="0.25">
      <c r="A945" s="1" t="s">
        <v>1809</v>
      </c>
      <c r="B945" t="s">
        <v>1810</v>
      </c>
      <c r="C945" s="1" t="s">
        <v>1249</v>
      </c>
      <c r="D945" s="1" t="s">
        <v>1249</v>
      </c>
      <c r="E945" s="1" t="s">
        <v>1249</v>
      </c>
      <c r="F945" t="s">
        <v>1250</v>
      </c>
      <c r="G945" t="s">
        <v>1251</v>
      </c>
      <c r="H945" t="s">
        <v>1252</v>
      </c>
      <c r="I945" t="s">
        <v>1811</v>
      </c>
      <c r="J945">
        <v>64.92</v>
      </c>
      <c r="K945" t="e">
        <f>IF(COUNTIF(#REF!,Tabela2[[#This Row],[IdxWspolny]])&gt;0,"ELEM_lub_PRD","TECHN")</f>
        <v>#REF!</v>
      </c>
      <c r="L945" t="e">
        <f>IF(COUNTIF(#REF!,Tabela2[[#This Row],[KOD_PRODUKTU]])&gt;0,"ELEMENT","PRODUKT")</f>
        <v>#REF!</v>
      </c>
      <c r="M945" t="e">
        <f>COUNTIF(#REF!,Tabela2[[#This Row],[KOD_PRODUKTU]])</f>
        <v>#REF!</v>
      </c>
    </row>
    <row r="946" spans="1:13" x14ac:dyDescent="0.25">
      <c r="A946" s="1" t="s">
        <v>1809</v>
      </c>
      <c r="B946" t="s">
        <v>1810</v>
      </c>
      <c r="C946" s="1" t="s">
        <v>541</v>
      </c>
      <c r="D946" s="1" t="s">
        <v>541</v>
      </c>
      <c r="E946" s="1" t="s">
        <v>541</v>
      </c>
      <c r="F946" t="s">
        <v>542</v>
      </c>
      <c r="G946" t="s">
        <v>9</v>
      </c>
      <c r="H946" t="s">
        <v>10</v>
      </c>
      <c r="I946" t="s">
        <v>860</v>
      </c>
      <c r="J946">
        <v>23</v>
      </c>
      <c r="K946" t="e">
        <f>IF(COUNTIF(#REF!,Tabela2[[#This Row],[IdxWspolny]])&gt;0,"ELEM_lub_PRD","TECHN")</f>
        <v>#REF!</v>
      </c>
      <c r="L946" t="e">
        <f>IF(COUNTIF(#REF!,Tabela2[[#This Row],[KOD_PRODUKTU]])&gt;0,"ELEMENT","PRODUKT")</f>
        <v>#REF!</v>
      </c>
      <c r="M946" t="e">
        <f>COUNTIF(#REF!,Tabela2[[#This Row],[KOD_PRODUKTU]])</f>
        <v>#REF!</v>
      </c>
    </row>
    <row r="947" spans="1:13" x14ac:dyDescent="0.25">
      <c r="A947" s="1" t="s">
        <v>1809</v>
      </c>
      <c r="B947" t="s">
        <v>1810</v>
      </c>
      <c r="C947" s="1" t="s">
        <v>7</v>
      </c>
      <c r="D947" s="1" t="s">
        <v>7</v>
      </c>
      <c r="E947" s="1" t="s">
        <v>7</v>
      </c>
      <c r="F947" t="s">
        <v>8</v>
      </c>
      <c r="G947" t="s">
        <v>9</v>
      </c>
      <c r="H947" t="s">
        <v>10</v>
      </c>
      <c r="I947" t="s">
        <v>1812</v>
      </c>
      <c r="J947">
        <v>164.71</v>
      </c>
      <c r="K947" t="e">
        <f>IF(COUNTIF(#REF!,Tabela2[[#This Row],[IdxWspolny]])&gt;0,"ELEM_lub_PRD","TECHN")</f>
        <v>#REF!</v>
      </c>
      <c r="L947" t="e">
        <f>IF(COUNTIF(#REF!,Tabela2[[#This Row],[KOD_PRODUKTU]])&gt;0,"ELEMENT","PRODUKT")</f>
        <v>#REF!</v>
      </c>
      <c r="M947" t="e">
        <f>COUNTIF(#REF!,Tabela2[[#This Row],[KOD_PRODUKTU]])</f>
        <v>#REF!</v>
      </c>
    </row>
    <row r="948" spans="1:13" x14ac:dyDescent="0.25">
      <c r="A948" s="1" t="s">
        <v>89</v>
      </c>
      <c r="B948" t="s">
        <v>90</v>
      </c>
      <c r="C948" s="1" t="s">
        <v>1813</v>
      </c>
      <c r="D948" s="1" t="s">
        <v>1813</v>
      </c>
      <c r="E948" s="1" t="s">
        <v>1813</v>
      </c>
      <c r="F948" t="s">
        <v>1814</v>
      </c>
      <c r="G948" t="s">
        <v>145</v>
      </c>
      <c r="H948" t="s">
        <v>5</v>
      </c>
      <c r="I948" t="s">
        <v>1815</v>
      </c>
      <c r="J948">
        <v>0.2</v>
      </c>
      <c r="K948" t="e">
        <f>IF(COUNTIF(#REF!,Tabela2[[#This Row],[IdxWspolny]])&gt;0,"ELEM_lub_PRD","TECHN")</f>
        <v>#REF!</v>
      </c>
      <c r="L948" t="e">
        <f>IF(COUNTIF(#REF!,Tabela2[[#This Row],[KOD_PRODUKTU]])&gt;0,"ELEMENT","PRODUKT")</f>
        <v>#REF!</v>
      </c>
      <c r="M948" t="e">
        <f>COUNTIF(#REF!,Tabela2[[#This Row],[KOD_PRODUKTU]])</f>
        <v>#REF!</v>
      </c>
    </row>
    <row r="949" spans="1:13" x14ac:dyDescent="0.25">
      <c r="A949" s="1" t="s">
        <v>89</v>
      </c>
      <c r="B949" t="s">
        <v>90</v>
      </c>
      <c r="C949" s="1" t="s">
        <v>432</v>
      </c>
      <c r="D949" s="1" t="s">
        <v>432</v>
      </c>
      <c r="E949" s="1" t="s">
        <v>432</v>
      </c>
      <c r="F949" t="s">
        <v>433</v>
      </c>
      <c r="G949" t="s">
        <v>434</v>
      </c>
      <c r="H949" t="s">
        <v>435</v>
      </c>
      <c r="I949" t="s">
        <v>50</v>
      </c>
      <c r="J949">
        <v>1.1000000000000001</v>
      </c>
      <c r="K949" t="e">
        <f>IF(COUNTIF(#REF!,Tabela2[[#This Row],[IdxWspolny]])&gt;0,"ELEM_lub_PRD","TECHN")</f>
        <v>#REF!</v>
      </c>
      <c r="L949" t="e">
        <f>IF(COUNTIF(#REF!,Tabela2[[#This Row],[KOD_PRODUKTU]])&gt;0,"ELEMENT","PRODUKT")</f>
        <v>#REF!</v>
      </c>
      <c r="M949" t="e">
        <f>COUNTIF(#REF!,Tabela2[[#This Row],[KOD_PRODUKTU]])</f>
        <v>#REF!</v>
      </c>
    </row>
    <row r="950" spans="1:13" x14ac:dyDescent="0.25">
      <c r="A950" s="1" t="s">
        <v>89</v>
      </c>
      <c r="B950" t="s">
        <v>90</v>
      </c>
      <c r="C950" s="1" t="s">
        <v>7</v>
      </c>
      <c r="D950" s="1" t="s">
        <v>7</v>
      </c>
      <c r="E950" s="1" t="s">
        <v>7</v>
      </c>
      <c r="F950" t="s">
        <v>8</v>
      </c>
      <c r="G950" t="s">
        <v>9</v>
      </c>
      <c r="H950" t="s">
        <v>10</v>
      </c>
      <c r="I950" t="s">
        <v>112</v>
      </c>
      <c r="J950">
        <v>3.9</v>
      </c>
      <c r="K950" t="e">
        <f>IF(COUNTIF(#REF!,Tabela2[[#This Row],[IdxWspolny]])&gt;0,"ELEM_lub_PRD","TECHN")</f>
        <v>#REF!</v>
      </c>
      <c r="L950" t="e">
        <f>IF(COUNTIF(#REF!,Tabela2[[#This Row],[KOD_PRODUKTU]])&gt;0,"ELEMENT","PRODUKT")</f>
        <v>#REF!</v>
      </c>
      <c r="M950" t="e">
        <f>COUNTIF(#REF!,Tabela2[[#This Row],[KOD_PRODUKTU]])</f>
        <v>#REF!</v>
      </c>
    </row>
    <row r="951" spans="1:13" x14ac:dyDescent="0.25">
      <c r="A951" s="1" t="s">
        <v>1816</v>
      </c>
      <c r="B951" t="s">
        <v>1817</v>
      </c>
      <c r="C951" s="1" t="s">
        <v>1447</v>
      </c>
      <c r="D951" s="1" t="s">
        <v>1447</v>
      </c>
      <c r="E951" s="1" t="s">
        <v>1447</v>
      </c>
      <c r="F951" t="s">
        <v>1448</v>
      </c>
      <c r="G951" t="s">
        <v>31</v>
      </c>
      <c r="H951" t="s">
        <v>5</v>
      </c>
      <c r="I951" t="s">
        <v>1818</v>
      </c>
      <c r="J951">
        <v>51.5</v>
      </c>
      <c r="K951" t="e">
        <f>IF(COUNTIF(#REF!,Tabela2[[#This Row],[IdxWspolny]])&gt;0,"ELEM_lub_PRD","TECHN")</f>
        <v>#REF!</v>
      </c>
      <c r="L951" t="e">
        <f>IF(COUNTIF(#REF!,Tabela2[[#This Row],[KOD_PRODUKTU]])&gt;0,"ELEMENT","PRODUKT")</f>
        <v>#REF!</v>
      </c>
      <c r="M951" t="e">
        <f>COUNTIF(#REF!,Tabela2[[#This Row],[KOD_PRODUKTU]])</f>
        <v>#REF!</v>
      </c>
    </row>
    <row r="952" spans="1:13" x14ac:dyDescent="0.25">
      <c r="A952" s="1" t="s">
        <v>1816</v>
      </c>
      <c r="B952" t="s">
        <v>1817</v>
      </c>
      <c r="C952" s="1" t="s">
        <v>7</v>
      </c>
      <c r="D952" s="1" t="s">
        <v>7</v>
      </c>
      <c r="E952" s="1" t="s">
        <v>7</v>
      </c>
      <c r="F952" t="s">
        <v>8</v>
      </c>
      <c r="G952" t="s">
        <v>9</v>
      </c>
      <c r="H952" t="s">
        <v>10</v>
      </c>
      <c r="I952" t="s">
        <v>1819</v>
      </c>
      <c r="J952">
        <v>35</v>
      </c>
      <c r="K952" t="e">
        <f>IF(COUNTIF(#REF!,Tabela2[[#This Row],[IdxWspolny]])&gt;0,"ELEM_lub_PRD","TECHN")</f>
        <v>#REF!</v>
      </c>
      <c r="L952" t="e">
        <f>IF(COUNTIF(#REF!,Tabela2[[#This Row],[KOD_PRODUKTU]])&gt;0,"ELEMENT","PRODUKT")</f>
        <v>#REF!</v>
      </c>
      <c r="M952" t="e">
        <f>COUNTIF(#REF!,Tabela2[[#This Row],[KOD_PRODUKTU]])</f>
        <v>#REF!</v>
      </c>
    </row>
    <row r="953" spans="1:13" x14ac:dyDescent="0.25">
      <c r="A953" s="1" t="s">
        <v>1820</v>
      </c>
      <c r="B953" t="s">
        <v>1821</v>
      </c>
      <c r="C953" s="1" t="s">
        <v>1447</v>
      </c>
      <c r="D953" s="1" t="s">
        <v>1447</v>
      </c>
      <c r="E953" s="1" t="s">
        <v>1447</v>
      </c>
      <c r="F953" t="s">
        <v>1448</v>
      </c>
      <c r="G953" t="s">
        <v>31</v>
      </c>
      <c r="H953" t="s">
        <v>5</v>
      </c>
      <c r="I953" t="s">
        <v>1822</v>
      </c>
      <c r="J953">
        <v>41</v>
      </c>
      <c r="K953" t="e">
        <f>IF(COUNTIF(#REF!,Tabela2[[#This Row],[IdxWspolny]])&gt;0,"ELEM_lub_PRD","TECHN")</f>
        <v>#REF!</v>
      </c>
      <c r="L953" t="e">
        <f>IF(COUNTIF(#REF!,Tabela2[[#This Row],[KOD_PRODUKTU]])&gt;0,"ELEMENT","PRODUKT")</f>
        <v>#REF!</v>
      </c>
      <c r="M953" t="e">
        <f>COUNTIF(#REF!,Tabela2[[#This Row],[KOD_PRODUKTU]])</f>
        <v>#REF!</v>
      </c>
    </row>
    <row r="954" spans="1:13" x14ac:dyDescent="0.25">
      <c r="A954" s="1" t="s">
        <v>1820</v>
      </c>
      <c r="B954" t="s">
        <v>1821</v>
      </c>
      <c r="C954" s="1" t="s">
        <v>7</v>
      </c>
      <c r="D954" s="1" t="s">
        <v>7</v>
      </c>
      <c r="E954" s="1" t="s">
        <v>7</v>
      </c>
      <c r="F954" t="s">
        <v>8</v>
      </c>
      <c r="G954" t="s">
        <v>9</v>
      </c>
      <c r="H954" t="s">
        <v>10</v>
      </c>
      <c r="I954" t="s">
        <v>1823</v>
      </c>
      <c r="J954">
        <v>30</v>
      </c>
      <c r="K954" t="e">
        <f>IF(COUNTIF(#REF!,Tabela2[[#This Row],[IdxWspolny]])&gt;0,"ELEM_lub_PRD","TECHN")</f>
        <v>#REF!</v>
      </c>
      <c r="L954" t="e">
        <f>IF(COUNTIF(#REF!,Tabela2[[#This Row],[KOD_PRODUKTU]])&gt;0,"ELEMENT","PRODUKT")</f>
        <v>#REF!</v>
      </c>
      <c r="M954" t="e">
        <f>COUNTIF(#REF!,Tabela2[[#This Row],[KOD_PRODUKTU]])</f>
        <v>#REF!</v>
      </c>
    </row>
    <row r="955" spans="1:13" x14ac:dyDescent="0.25">
      <c r="A955" s="1" t="s">
        <v>1824</v>
      </c>
      <c r="B955" t="s">
        <v>1825</v>
      </c>
      <c r="C955" s="1" t="s">
        <v>1022</v>
      </c>
      <c r="D955" s="1" t="s">
        <v>1022</v>
      </c>
      <c r="E955" s="1" t="s">
        <v>1022</v>
      </c>
      <c r="F955" t="s">
        <v>1023</v>
      </c>
      <c r="G955" t="s">
        <v>1024</v>
      </c>
      <c r="H955" t="s">
        <v>932</v>
      </c>
      <c r="I955" t="s">
        <v>1826</v>
      </c>
      <c r="J955">
        <v>9.4</v>
      </c>
      <c r="K955" t="e">
        <f>IF(COUNTIF(#REF!,Tabela2[[#This Row],[IdxWspolny]])&gt;0,"ELEM_lub_PRD","TECHN")</f>
        <v>#REF!</v>
      </c>
      <c r="L955" t="e">
        <f>IF(COUNTIF(#REF!,Tabela2[[#This Row],[KOD_PRODUKTU]])&gt;0,"ELEMENT","PRODUKT")</f>
        <v>#REF!</v>
      </c>
      <c r="M955" t="e">
        <f>COUNTIF(#REF!,Tabela2[[#This Row],[KOD_PRODUKTU]])</f>
        <v>#REF!</v>
      </c>
    </row>
    <row r="956" spans="1:13" x14ac:dyDescent="0.25">
      <c r="A956" s="1" t="s">
        <v>1824</v>
      </c>
      <c r="B956" t="s">
        <v>1825</v>
      </c>
      <c r="C956" s="1" t="s">
        <v>7</v>
      </c>
      <c r="D956" s="1" t="s">
        <v>7</v>
      </c>
      <c r="E956" s="1" t="s">
        <v>7</v>
      </c>
      <c r="F956" t="s">
        <v>1031</v>
      </c>
      <c r="G956" t="s">
        <v>9</v>
      </c>
      <c r="H956" t="s">
        <v>10</v>
      </c>
      <c r="I956" t="s">
        <v>1827</v>
      </c>
      <c r="J956">
        <v>28.2</v>
      </c>
      <c r="K956" t="e">
        <f>IF(COUNTIF(#REF!,Tabela2[[#This Row],[IdxWspolny]])&gt;0,"ELEM_lub_PRD","TECHN")</f>
        <v>#REF!</v>
      </c>
      <c r="L956" t="e">
        <f>IF(COUNTIF(#REF!,Tabela2[[#This Row],[KOD_PRODUKTU]])&gt;0,"ELEMENT","PRODUKT")</f>
        <v>#REF!</v>
      </c>
      <c r="M956" t="e">
        <f>COUNTIF(#REF!,Tabela2[[#This Row],[KOD_PRODUKTU]])</f>
        <v>#REF!</v>
      </c>
    </row>
    <row r="957" spans="1:13" x14ac:dyDescent="0.25">
      <c r="A957" s="1" t="s">
        <v>1828</v>
      </c>
      <c r="B957" t="s">
        <v>1829</v>
      </c>
      <c r="C957" s="1" t="s">
        <v>1022</v>
      </c>
      <c r="D957" s="1" t="s">
        <v>1022</v>
      </c>
      <c r="E957" s="1" t="s">
        <v>1022</v>
      </c>
      <c r="F957" t="s">
        <v>1023</v>
      </c>
      <c r="G957" t="s">
        <v>1024</v>
      </c>
      <c r="H957" t="s">
        <v>932</v>
      </c>
      <c r="I957" t="s">
        <v>1830</v>
      </c>
      <c r="J957">
        <v>9.3000000000000007</v>
      </c>
      <c r="K957" t="e">
        <f>IF(COUNTIF(#REF!,Tabela2[[#This Row],[IdxWspolny]])&gt;0,"ELEM_lub_PRD","TECHN")</f>
        <v>#REF!</v>
      </c>
      <c r="L957" t="e">
        <f>IF(COUNTIF(#REF!,Tabela2[[#This Row],[KOD_PRODUKTU]])&gt;0,"ELEMENT","PRODUKT")</f>
        <v>#REF!</v>
      </c>
      <c r="M957" t="e">
        <f>COUNTIF(#REF!,Tabela2[[#This Row],[KOD_PRODUKTU]])</f>
        <v>#REF!</v>
      </c>
    </row>
    <row r="958" spans="1:13" x14ac:dyDescent="0.25">
      <c r="A958" s="1" t="s">
        <v>1828</v>
      </c>
      <c r="B958" t="s">
        <v>1829</v>
      </c>
      <c r="C958" s="1" t="s">
        <v>7</v>
      </c>
      <c r="D958" s="1" t="s">
        <v>7</v>
      </c>
      <c r="E958" s="1" t="s">
        <v>7</v>
      </c>
      <c r="F958" t="s">
        <v>1031</v>
      </c>
      <c r="G958" t="s">
        <v>9</v>
      </c>
      <c r="H958" t="s">
        <v>10</v>
      </c>
      <c r="I958" t="s">
        <v>1831</v>
      </c>
      <c r="J958">
        <v>72.3</v>
      </c>
      <c r="K958" t="e">
        <f>IF(COUNTIF(#REF!,Tabela2[[#This Row],[IdxWspolny]])&gt;0,"ELEM_lub_PRD","TECHN")</f>
        <v>#REF!</v>
      </c>
      <c r="L958" t="e">
        <f>IF(COUNTIF(#REF!,Tabela2[[#This Row],[KOD_PRODUKTU]])&gt;0,"ELEMENT","PRODUKT")</f>
        <v>#REF!</v>
      </c>
      <c r="M958" t="e">
        <f>COUNTIF(#REF!,Tabela2[[#This Row],[KOD_PRODUKTU]])</f>
        <v>#REF!</v>
      </c>
    </row>
    <row r="959" spans="1:13" x14ac:dyDescent="0.25">
      <c r="A959" s="1" t="s">
        <v>1832</v>
      </c>
      <c r="B959" t="s">
        <v>1833</v>
      </c>
      <c r="C959" s="1" t="s">
        <v>1203</v>
      </c>
      <c r="D959" s="1" t="s">
        <v>1203</v>
      </c>
      <c r="E959" s="1" t="s">
        <v>1203</v>
      </c>
      <c r="F959" t="s">
        <v>1204</v>
      </c>
      <c r="G959" t="s">
        <v>216</v>
      </c>
      <c r="H959" t="s">
        <v>5</v>
      </c>
      <c r="I959" t="s">
        <v>1787</v>
      </c>
      <c r="J959">
        <v>0.3</v>
      </c>
      <c r="K959" t="e">
        <f>IF(COUNTIF(#REF!,Tabela2[[#This Row],[IdxWspolny]])&gt;0,"ELEM_lub_PRD","TECHN")</f>
        <v>#REF!</v>
      </c>
      <c r="L959" t="e">
        <f>IF(COUNTIF(#REF!,Tabela2[[#This Row],[KOD_PRODUKTU]])&gt;0,"ELEMENT","PRODUKT")</f>
        <v>#REF!</v>
      </c>
      <c r="M959" t="e">
        <f>COUNTIF(#REF!,Tabela2[[#This Row],[KOD_PRODUKTU]])</f>
        <v>#REF!</v>
      </c>
    </row>
    <row r="960" spans="1:13" x14ac:dyDescent="0.25">
      <c r="A960" s="1" t="s">
        <v>1832</v>
      </c>
      <c r="B960" t="s">
        <v>1833</v>
      </c>
      <c r="C960" s="1" t="s">
        <v>1834</v>
      </c>
      <c r="D960" s="1" t="s">
        <v>1834</v>
      </c>
      <c r="E960" s="1" t="s">
        <v>1834</v>
      </c>
      <c r="F960" t="s">
        <v>1835</v>
      </c>
      <c r="G960" t="s">
        <v>1836</v>
      </c>
      <c r="H960" t="s">
        <v>121</v>
      </c>
      <c r="I960" t="s">
        <v>50</v>
      </c>
      <c r="J960">
        <v>0.9</v>
      </c>
      <c r="K960" t="e">
        <f>IF(COUNTIF(#REF!,Tabela2[[#This Row],[IdxWspolny]])&gt;0,"ELEM_lub_PRD","TECHN")</f>
        <v>#REF!</v>
      </c>
      <c r="L960" t="e">
        <f>IF(COUNTIF(#REF!,Tabela2[[#This Row],[KOD_PRODUKTU]])&gt;0,"ELEMENT","PRODUKT")</f>
        <v>#REF!</v>
      </c>
      <c r="M960" t="e">
        <f>COUNTIF(#REF!,Tabela2[[#This Row],[KOD_PRODUKTU]])</f>
        <v>#REF!</v>
      </c>
    </row>
    <row r="961" spans="1:14" x14ac:dyDescent="0.25">
      <c r="A961" s="1" t="s">
        <v>1832</v>
      </c>
      <c r="B961" t="s">
        <v>1833</v>
      </c>
      <c r="C961" s="1" t="s">
        <v>432</v>
      </c>
      <c r="D961" s="1" t="s">
        <v>432</v>
      </c>
      <c r="E961" s="1" t="s">
        <v>432</v>
      </c>
      <c r="F961" t="s">
        <v>433</v>
      </c>
      <c r="G961" t="s">
        <v>434</v>
      </c>
      <c r="H961" t="s">
        <v>435</v>
      </c>
      <c r="I961" t="s">
        <v>50</v>
      </c>
      <c r="J961">
        <v>1.1000000000000001</v>
      </c>
      <c r="K961" t="e">
        <f>IF(COUNTIF(#REF!,Tabela2[[#This Row],[IdxWspolny]])&gt;0,"ELEM_lub_PRD","TECHN")</f>
        <v>#REF!</v>
      </c>
      <c r="L961" t="e">
        <f>IF(COUNTIF(#REF!,Tabela2[[#This Row],[KOD_PRODUKTU]])&gt;0,"ELEMENT","PRODUKT")</f>
        <v>#REF!</v>
      </c>
      <c r="M961" t="e">
        <f>COUNTIF(#REF!,Tabela2[[#This Row],[KOD_PRODUKTU]])</f>
        <v>#REF!</v>
      </c>
    </row>
    <row r="962" spans="1:14" x14ac:dyDescent="0.25">
      <c r="A962" s="1" t="s">
        <v>1832</v>
      </c>
      <c r="B962" t="s">
        <v>1833</v>
      </c>
      <c r="C962" s="1" t="s">
        <v>7</v>
      </c>
      <c r="D962" s="1" t="s">
        <v>7</v>
      </c>
      <c r="E962" s="1" t="s">
        <v>7</v>
      </c>
      <c r="F962" t="s">
        <v>8</v>
      </c>
      <c r="G962" t="s">
        <v>9</v>
      </c>
      <c r="H962" t="s">
        <v>10</v>
      </c>
      <c r="I962" t="s">
        <v>1371</v>
      </c>
      <c r="J962">
        <v>1.1499999999999999</v>
      </c>
      <c r="K962" t="e">
        <f>IF(COUNTIF(#REF!,Tabela2[[#This Row],[IdxWspolny]])&gt;0,"ELEM_lub_PRD","TECHN")</f>
        <v>#REF!</v>
      </c>
      <c r="L962" t="e">
        <f>IF(COUNTIF(#REF!,Tabela2[[#This Row],[KOD_PRODUKTU]])&gt;0,"ELEMENT","PRODUKT")</f>
        <v>#REF!</v>
      </c>
      <c r="M962" t="e">
        <f>COUNTIF(#REF!,Tabela2[[#This Row],[KOD_PRODUKTU]])</f>
        <v>#REF!</v>
      </c>
    </row>
    <row r="963" spans="1:14" x14ac:dyDescent="0.25">
      <c r="A963" s="1" t="s">
        <v>1832</v>
      </c>
      <c r="B963" t="s">
        <v>1833</v>
      </c>
      <c r="C963" s="1" t="s">
        <v>7</v>
      </c>
      <c r="D963" s="1" t="s">
        <v>7</v>
      </c>
      <c r="E963" s="1" t="s">
        <v>7</v>
      </c>
      <c r="F963" t="s">
        <v>8</v>
      </c>
      <c r="G963" t="s">
        <v>9</v>
      </c>
      <c r="H963" t="s">
        <v>10</v>
      </c>
      <c r="I963" t="s">
        <v>1837</v>
      </c>
      <c r="J963">
        <v>2</v>
      </c>
      <c r="K963" t="e">
        <f>IF(COUNTIF(#REF!,Tabela2[[#This Row],[IdxWspolny]])&gt;0,"ELEM_lub_PRD","TECHN")</f>
        <v>#REF!</v>
      </c>
      <c r="L963" t="e">
        <f>IF(COUNTIF(#REF!,Tabela2[[#This Row],[KOD_PRODUKTU]])&gt;0,"ELEMENT","PRODUKT")</f>
        <v>#REF!</v>
      </c>
      <c r="M963" t="e">
        <f>COUNTIF(#REF!,Tabela2[[#This Row],[KOD_PRODUKTU]])</f>
        <v>#REF!</v>
      </c>
    </row>
    <row r="964" spans="1:14" x14ac:dyDescent="0.25">
      <c r="A964" s="1" t="s">
        <v>1838</v>
      </c>
      <c r="B964" t="s">
        <v>1839</v>
      </c>
      <c r="C964" s="1" t="s">
        <v>1022</v>
      </c>
      <c r="D964" s="1" t="s">
        <v>1022</v>
      </c>
      <c r="E964" s="1" t="s">
        <v>1022</v>
      </c>
      <c r="F964" t="s">
        <v>1023</v>
      </c>
      <c r="G964" t="s">
        <v>1024</v>
      </c>
      <c r="H964" t="s">
        <v>932</v>
      </c>
      <c r="I964" t="s">
        <v>1840</v>
      </c>
      <c r="J964">
        <v>15</v>
      </c>
      <c r="K964" t="e">
        <f>IF(COUNTIF(#REF!,Tabela2[[#This Row],[IdxWspolny]])&gt;0,"ELEM_lub_PRD","TECHN")</f>
        <v>#REF!</v>
      </c>
      <c r="L964" t="e">
        <f>IF(COUNTIF(#REF!,Tabela2[[#This Row],[KOD_PRODUKTU]])&gt;0,"ELEMENT","PRODUKT")</f>
        <v>#REF!</v>
      </c>
      <c r="M964" t="e">
        <f>COUNTIF(#REF!,Tabela2[[#This Row],[KOD_PRODUKTU]])</f>
        <v>#REF!</v>
      </c>
    </row>
    <row r="965" spans="1:14" x14ac:dyDescent="0.25">
      <c r="A965" s="1" t="s">
        <v>1838</v>
      </c>
      <c r="B965" t="s">
        <v>1839</v>
      </c>
      <c r="C965" s="1" t="s">
        <v>7</v>
      </c>
      <c r="D965" s="1" t="s">
        <v>7</v>
      </c>
      <c r="E965" s="1" t="s">
        <v>7</v>
      </c>
      <c r="F965" t="s">
        <v>1031</v>
      </c>
      <c r="G965" t="s">
        <v>9</v>
      </c>
      <c r="H965" t="s">
        <v>10</v>
      </c>
      <c r="I965" t="s">
        <v>1841</v>
      </c>
      <c r="J965">
        <v>42.4</v>
      </c>
      <c r="K965" t="e">
        <f>IF(COUNTIF(#REF!,Tabela2[[#This Row],[IdxWspolny]])&gt;0,"ELEM_lub_PRD","TECHN")</f>
        <v>#REF!</v>
      </c>
      <c r="L965" t="e">
        <f>IF(COUNTIF(#REF!,Tabela2[[#This Row],[KOD_PRODUKTU]])&gt;0,"ELEMENT","PRODUKT")</f>
        <v>#REF!</v>
      </c>
      <c r="M965" t="e">
        <f>COUNTIF(#REF!,Tabela2[[#This Row],[KOD_PRODUKTU]])</f>
        <v>#REF!</v>
      </c>
    </row>
    <row r="966" spans="1:14" x14ac:dyDescent="0.25">
      <c r="A966" s="1" t="s">
        <v>1842</v>
      </c>
      <c r="B966" t="s">
        <v>1843</v>
      </c>
      <c r="C966" s="1" t="s">
        <v>1844</v>
      </c>
      <c r="D966" s="1" t="s">
        <v>1844</v>
      </c>
      <c r="E966" s="1" t="s">
        <v>1844</v>
      </c>
      <c r="F966" t="s">
        <v>1845</v>
      </c>
      <c r="G966" t="s">
        <v>1846</v>
      </c>
      <c r="H966" t="s">
        <v>121</v>
      </c>
      <c r="I966" t="s">
        <v>50</v>
      </c>
      <c r="J966">
        <v>15.52</v>
      </c>
      <c r="K966" t="e">
        <f>IF(COUNTIF(#REF!,Tabela2[[#This Row],[IdxWspolny]])&gt;0,"ELEM_lub_PRD","TECHN")</f>
        <v>#REF!</v>
      </c>
      <c r="L966" t="e">
        <f>IF(COUNTIF(#REF!,Tabela2[[#This Row],[KOD_PRODUKTU]])&gt;0,"ELEMENT","PRODUKT")</f>
        <v>#REF!</v>
      </c>
      <c r="M966" t="e">
        <f>COUNTIF(#REF!,Tabela2[[#This Row],[KOD_PRODUKTU]])</f>
        <v>#REF!</v>
      </c>
    </row>
    <row r="967" spans="1:14" x14ac:dyDescent="0.25">
      <c r="A967" s="1" t="s">
        <v>1842</v>
      </c>
      <c r="B967" t="s">
        <v>1843</v>
      </c>
      <c r="C967" s="1" t="s">
        <v>1847</v>
      </c>
      <c r="D967" s="1" t="s">
        <v>1847</v>
      </c>
      <c r="E967" s="1" t="s">
        <v>1847</v>
      </c>
      <c r="F967" t="s">
        <v>1848</v>
      </c>
      <c r="G967" t="s">
        <v>1849</v>
      </c>
      <c r="H967" t="s">
        <v>121</v>
      </c>
      <c r="I967" t="s">
        <v>50</v>
      </c>
      <c r="J967">
        <v>15.74</v>
      </c>
      <c r="K967" t="e">
        <f>IF(COUNTIF(#REF!,Tabela2[[#This Row],[IdxWspolny]])&gt;0,"ELEM_lub_PRD","TECHN")</f>
        <v>#REF!</v>
      </c>
      <c r="L967" t="e">
        <f>IF(COUNTIF(#REF!,Tabela2[[#This Row],[KOD_PRODUKTU]])&gt;0,"ELEMENT","PRODUKT")</f>
        <v>#REF!</v>
      </c>
      <c r="M967" t="e">
        <f>COUNTIF(#REF!,Tabela2[[#This Row],[KOD_PRODUKTU]])</f>
        <v>#REF!</v>
      </c>
    </row>
    <row r="968" spans="1:14" x14ac:dyDescent="0.25">
      <c r="A968" s="1" t="s">
        <v>1842</v>
      </c>
      <c r="B968" t="s">
        <v>1843</v>
      </c>
      <c r="C968" s="1" t="s">
        <v>41</v>
      </c>
      <c r="D968" s="1" t="s">
        <v>41</v>
      </c>
      <c r="E968" s="1" t="s">
        <v>41</v>
      </c>
      <c r="F968" t="s">
        <v>42</v>
      </c>
      <c r="G968" t="s">
        <v>513</v>
      </c>
      <c r="H968" t="s">
        <v>5</v>
      </c>
      <c r="I968" t="s">
        <v>1850</v>
      </c>
      <c r="J968">
        <v>0.12</v>
      </c>
      <c r="K968" t="e">
        <f>IF(COUNTIF(#REF!,Tabela2[[#This Row],[IdxWspolny]])&gt;0,"ELEM_lub_PRD","TECHN")</f>
        <v>#REF!</v>
      </c>
      <c r="L968" t="e">
        <f>IF(COUNTIF(#REF!,Tabela2[[#This Row],[KOD_PRODUKTU]])&gt;0,"ELEMENT","PRODUKT")</f>
        <v>#REF!</v>
      </c>
      <c r="M968" t="e">
        <f>COUNTIF(#REF!,Tabela2[[#This Row],[KOD_PRODUKTU]])</f>
        <v>#REF!</v>
      </c>
    </row>
    <row r="969" spans="1:14" x14ac:dyDescent="0.25">
      <c r="A969" s="1" t="s">
        <v>1842</v>
      </c>
      <c r="B969" t="s">
        <v>1843</v>
      </c>
      <c r="C969" s="1" t="s">
        <v>7</v>
      </c>
      <c r="D969" s="1" t="s">
        <v>7</v>
      </c>
      <c r="E969" s="1" t="s">
        <v>7</v>
      </c>
      <c r="F969" t="s">
        <v>8</v>
      </c>
      <c r="G969" t="s">
        <v>9</v>
      </c>
      <c r="H969" t="s">
        <v>10</v>
      </c>
      <c r="I969" t="s">
        <v>1851</v>
      </c>
      <c r="J969">
        <v>19.32</v>
      </c>
      <c r="K969" t="e">
        <f>IF(COUNTIF(#REF!,Tabela2[[#This Row],[IdxWspolny]])&gt;0,"ELEM_lub_PRD","TECHN")</f>
        <v>#REF!</v>
      </c>
      <c r="L969" t="e">
        <f>IF(COUNTIF(#REF!,Tabela2[[#This Row],[KOD_PRODUKTU]])&gt;0,"ELEMENT","PRODUKT")</f>
        <v>#REF!</v>
      </c>
      <c r="M969" t="e">
        <f>COUNTIF(#REF!,Tabela2[[#This Row],[KOD_PRODUKTU]])</f>
        <v>#REF!</v>
      </c>
    </row>
    <row r="970" spans="1:14" x14ac:dyDescent="0.25">
      <c r="A970" s="1" t="s">
        <v>1852</v>
      </c>
      <c r="B970" t="s">
        <v>1853</v>
      </c>
      <c r="C970" s="1" t="s">
        <v>1854</v>
      </c>
      <c r="D970" s="1" t="s">
        <v>1854</v>
      </c>
      <c r="E970" s="1" t="s">
        <v>1854</v>
      </c>
      <c r="F970" t="s">
        <v>1855</v>
      </c>
      <c r="G970" t="s">
        <v>1856</v>
      </c>
      <c r="H970" t="s">
        <v>1857</v>
      </c>
      <c r="I970" t="s">
        <v>1858</v>
      </c>
      <c r="J970">
        <v>0.04</v>
      </c>
      <c r="K970" t="e">
        <f>IF(COUNTIF(#REF!,Tabela2[[#This Row],[IdxWspolny]])&gt;0,"ELEM_lub_PRD","TECHN")</f>
        <v>#REF!</v>
      </c>
      <c r="L970" t="e">
        <f>IF(COUNTIF(#REF!,Tabela2[[#This Row],[KOD_PRODUKTU]])&gt;0,"ELEMENT","PRODUKT")</f>
        <v>#REF!</v>
      </c>
      <c r="M970" t="e">
        <f>COUNTIF(#REF!,Tabela2[[#This Row],[KOD_PRODUKTU]])</f>
        <v>#REF!</v>
      </c>
    </row>
    <row r="971" spans="1:14" x14ac:dyDescent="0.25">
      <c r="A971" s="1" t="s">
        <v>1852</v>
      </c>
      <c r="B971" t="s">
        <v>1853</v>
      </c>
      <c r="C971" s="1" t="s">
        <v>1859</v>
      </c>
      <c r="D971" s="1" t="s">
        <v>1859</v>
      </c>
      <c r="E971" s="1" t="s">
        <v>1859</v>
      </c>
      <c r="F971" t="s">
        <v>1860</v>
      </c>
      <c r="G971" t="s">
        <v>1861</v>
      </c>
      <c r="H971" t="s">
        <v>1857</v>
      </c>
      <c r="I971" t="s">
        <v>1253</v>
      </c>
      <c r="J971">
        <v>0.03</v>
      </c>
      <c r="K971" t="e">
        <f>IF(COUNTIF(#REF!,Tabela2[[#This Row],[IdxWspolny]])&gt;0,"ELEM_lub_PRD","TECHN")</f>
        <v>#REF!</v>
      </c>
      <c r="L971" t="e">
        <f>IF(COUNTIF(#REF!,Tabela2[[#This Row],[KOD_PRODUKTU]])&gt;0,"ELEMENT","PRODUKT")</f>
        <v>#REF!</v>
      </c>
      <c r="M971" t="e">
        <f>COUNTIF(#REF!,Tabela2[[#This Row],[KOD_PRODUKTU]])</f>
        <v>#REF!</v>
      </c>
    </row>
    <row r="972" spans="1:14" x14ac:dyDescent="0.25">
      <c r="A972" s="1" t="s">
        <v>1852</v>
      </c>
      <c r="B972" t="s">
        <v>1853</v>
      </c>
      <c r="C972" s="1" t="s">
        <v>1862</v>
      </c>
      <c r="D972" s="1" t="s">
        <v>1862</v>
      </c>
      <c r="E972" s="1" t="s">
        <v>1862</v>
      </c>
      <c r="F972" t="s">
        <v>1863</v>
      </c>
      <c r="G972" t="s">
        <v>1864</v>
      </c>
      <c r="H972" t="s">
        <v>121</v>
      </c>
      <c r="I972" t="s">
        <v>33</v>
      </c>
      <c r="J972">
        <v>0.57999999999999996</v>
      </c>
      <c r="K972" t="e">
        <f>IF(COUNTIF(#REF!,Tabela2[[#This Row],[IdxWspolny]])&gt;0,"ELEM_lub_PRD","TECHN")</f>
        <v>#REF!</v>
      </c>
      <c r="L972" t="e">
        <f>IF(COUNTIF(#REF!,Tabela2[[#This Row],[KOD_PRODUKTU]])&gt;0,"ELEMENT","PRODUKT")</f>
        <v>#REF!</v>
      </c>
      <c r="M972" t="e">
        <f>COUNTIF(#REF!,Tabela2[[#This Row],[KOD_PRODUKTU]])</f>
        <v>#REF!</v>
      </c>
    </row>
    <row r="973" spans="1:14" x14ac:dyDescent="0.25">
      <c r="A973" s="1" t="s">
        <v>1852</v>
      </c>
      <c r="B973" t="s">
        <v>1853</v>
      </c>
      <c r="C973" s="1" t="s">
        <v>584</v>
      </c>
      <c r="D973" s="1" t="s">
        <v>584</v>
      </c>
      <c r="E973" s="1" t="s">
        <v>584</v>
      </c>
      <c r="F973" t="s">
        <v>585</v>
      </c>
      <c r="G973" t="s">
        <v>606</v>
      </c>
      <c r="H973" t="s">
        <v>5</v>
      </c>
      <c r="I973" t="s">
        <v>1865</v>
      </c>
      <c r="J973">
        <v>7.0000000000000007E-2</v>
      </c>
      <c r="K973" t="e">
        <f>IF(COUNTIF(#REF!,Tabela2[[#This Row],[IdxWspolny]])&gt;0,"ELEM_lub_PRD","TECHN")</f>
        <v>#REF!</v>
      </c>
      <c r="L973" t="e">
        <f>IF(COUNTIF(#REF!,Tabela2[[#This Row],[KOD_PRODUKTU]])&gt;0,"ELEMENT","PRODUKT")</f>
        <v>#REF!</v>
      </c>
      <c r="M973" t="e">
        <f>COUNTIF(#REF!,Tabela2[[#This Row],[KOD_PRODUKTU]])</f>
        <v>#REF!</v>
      </c>
    </row>
    <row r="974" spans="1:14" x14ac:dyDescent="0.25">
      <c r="A974" s="1" t="s">
        <v>1852</v>
      </c>
      <c r="B974" t="s">
        <v>1853</v>
      </c>
      <c r="C974" s="1" t="s">
        <v>587</v>
      </c>
      <c r="D974" s="1" t="s">
        <v>587</v>
      </c>
      <c r="E974" s="1" t="s">
        <v>587</v>
      </c>
      <c r="F974" t="s">
        <v>588</v>
      </c>
      <c r="G974" t="s">
        <v>191</v>
      </c>
      <c r="H974" t="s">
        <v>5</v>
      </c>
      <c r="I974" t="s">
        <v>1866</v>
      </c>
      <c r="J974">
        <v>0.06</v>
      </c>
      <c r="K974" t="e">
        <f>IF(COUNTIF(#REF!,Tabela2[[#This Row],[IdxWspolny]])&gt;0,"ELEM_lub_PRD","TECHN")</f>
        <v>#REF!</v>
      </c>
      <c r="L974" t="e">
        <f>IF(COUNTIF(#REF!,Tabela2[[#This Row],[KOD_PRODUKTU]])&gt;0,"ELEMENT","PRODUKT")</f>
        <v>#REF!</v>
      </c>
      <c r="M974" t="e">
        <f>COUNTIF(#REF!,Tabela2[[#This Row],[KOD_PRODUKTU]])</f>
        <v>#REF!</v>
      </c>
    </row>
    <row r="975" spans="1:14" x14ac:dyDescent="0.25">
      <c r="A975" s="1" t="s">
        <v>1852</v>
      </c>
      <c r="B975" t="s">
        <v>1853</v>
      </c>
      <c r="C975" s="1" t="s">
        <v>41</v>
      </c>
      <c r="D975" s="1" t="s">
        <v>41</v>
      </c>
      <c r="E975" s="1" t="s">
        <v>41</v>
      </c>
      <c r="F975" t="s">
        <v>42</v>
      </c>
      <c r="G975" t="s">
        <v>43</v>
      </c>
      <c r="H975" t="s">
        <v>5</v>
      </c>
      <c r="I975" t="s">
        <v>1867</v>
      </c>
      <c r="J975">
        <v>0.03</v>
      </c>
      <c r="K975" t="e">
        <f>IF(COUNTIF(#REF!,Tabela2[[#This Row],[IdxWspolny]])&gt;0,"ELEM_lub_PRD","TECHN")</f>
        <v>#REF!</v>
      </c>
      <c r="L975" t="e">
        <f>IF(COUNTIF(#REF!,Tabela2[[#This Row],[KOD_PRODUKTU]])&gt;0,"ELEMENT","PRODUKT")</f>
        <v>#REF!</v>
      </c>
      <c r="M975" t="e">
        <f>COUNTIF(#REF!,Tabela2[[#This Row],[KOD_PRODUKTU]])</f>
        <v>#REF!</v>
      </c>
    </row>
    <row r="976" spans="1:14" x14ac:dyDescent="0.25">
      <c r="A976" s="1" t="s">
        <v>1852</v>
      </c>
      <c r="B976" t="s">
        <v>1853</v>
      </c>
      <c r="C976" s="1" t="s">
        <v>1868</v>
      </c>
      <c r="D976" s="1" t="s">
        <v>1868</v>
      </c>
      <c r="E976" s="1" t="s">
        <v>1868</v>
      </c>
      <c r="F976" t="s">
        <v>1869</v>
      </c>
      <c r="G976" t="s">
        <v>1870</v>
      </c>
      <c r="H976" t="s">
        <v>49</v>
      </c>
      <c r="I976" t="s">
        <v>50</v>
      </c>
      <c r="J976">
        <v>48.55</v>
      </c>
      <c r="K976" t="e">
        <f>IF(COUNTIF(#REF!,Tabela2[[#This Row],[IdxWspolny]])&gt;0,"ELEM_lub_PRD","TECHN")</f>
        <v>#REF!</v>
      </c>
      <c r="L976" t="e">
        <f>IF(COUNTIF(#REF!,Tabela2[[#This Row],[KOD_PRODUKTU]])&gt;0,"ELEMENT","PRODUKT")</f>
        <v>#REF!</v>
      </c>
      <c r="M976" t="e">
        <f>COUNTIF(#REF!,Tabela2[[#This Row],[KOD_PRODUKTU]])</f>
        <v>#REF!</v>
      </c>
      <c r="N976" t="s">
        <v>55</v>
      </c>
    </row>
    <row r="977" spans="1:14" hidden="1" x14ac:dyDescent="0.25">
      <c r="A977" s="1" t="s">
        <v>1852</v>
      </c>
      <c r="B977" t="s">
        <v>1853</v>
      </c>
      <c r="C977" s="1" t="s">
        <v>1871</v>
      </c>
      <c r="D977" s="1" t="s">
        <v>1734</v>
      </c>
      <c r="E977" s="1" t="s">
        <v>1734</v>
      </c>
      <c r="F977" t="s">
        <v>1735</v>
      </c>
      <c r="G977" t="s">
        <v>328</v>
      </c>
      <c r="H977" t="s">
        <v>49</v>
      </c>
      <c r="I977" t="s">
        <v>50</v>
      </c>
      <c r="J977">
        <v>6.2</v>
      </c>
      <c r="K977" t="e">
        <f>IF(COUNTIF(#REF!,Tabela2[[#This Row],[IdxWspolny]])&gt;0,"ELEM_lub_PRD","TECHN")</f>
        <v>#REF!</v>
      </c>
      <c r="L977" t="e">
        <f>IF(COUNTIF(#REF!,Tabela2[[#This Row],[KOD_PRODUKTU]])&gt;0,"ELEMENT","PRODUKT")</f>
        <v>#REF!</v>
      </c>
      <c r="M977" t="e">
        <f>COUNTIF(#REF!,Tabela2[[#This Row],[KOD_PRODUKTU]])</f>
        <v>#REF!</v>
      </c>
      <c r="N977" t="s">
        <v>51</v>
      </c>
    </row>
    <row r="978" spans="1:14" hidden="1" x14ac:dyDescent="0.25">
      <c r="A978" s="1" t="s">
        <v>1852</v>
      </c>
      <c r="B978" t="s">
        <v>1853</v>
      </c>
      <c r="C978" s="1" t="s">
        <v>1872</v>
      </c>
      <c r="D978" s="1" t="s">
        <v>1872</v>
      </c>
      <c r="E978" s="1" t="s">
        <v>1872</v>
      </c>
      <c r="F978" t="s">
        <v>1873</v>
      </c>
      <c r="G978" t="s">
        <v>1874</v>
      </c>
      <c r="H978" t="s">
        <v>49</v>
      </c>
      <c r="I978" t="s">
        <v>50</v>
      </c>
      <c r="J978">
        <v>35.799999999999997</v>
      </c>
      <c r="K978" t="e">
        <f>IF(COUNTIF(#REF!,Tabela2[[#This Row],[IdxWspolny]])&gt;0,"ELEM_lub_PRD","TECHN")</f>
        <v>#REF!</v>
      </c>
      <c r="L978" t="e">
        <f>IF(COUNTIF(#REF!,Tabela2[[#This Row],[KOD_PRODUKTU]])&gt;0,"ELEMENT","PRODUKT")</f>
        <v>#REF!</v>
      </c>
      <c r="M978" t="e">
        <f>COUNTIF(#REF!,Tabela2[[#This Row],[KOD_PRODUKTU]])</f>
        <v>#REF!</v>
      </c>
      <c r="N978" t="s">
        <v>55</v>
      </c>
    </row>
    <row r="979" spans="1:14" hidden="1" x14ac:dyDescent="0.25">
      <c r="A979" s="1" t="s">
        <v>1852</v>
      </c>
      <c r="B979" t="s">
        <v>1853</v>
      </c>
      <c r="C979" s="1" t="s">
        <v>1875</v>
      </c>
      <c r="D979" s="1" t="s">
        <v>1876</v>
      </c>
      <c r="E979" s="1" t="s">
        <v>1876</v>
      </c>
      <c r="F979" t="s">
        <v>1877</v>
      </c>
      <c r="G979" t="s">
        <v>1878</v>
      </c>
      <c r="H979" t="s">
        <v>49</v>
      </c>
      <c r="I979" t="s">
        <v>50</v>
      </c>
      <c r="J979">
        <v>169.16</v>
      </c>
      <c r="K979" t="e">
        <f>IF(COUNTIF(#REF!,Tabela2[[#This Row],[IdxWspolny]])&gt;0,"ELEM_lub_PRD","TECHN")</f>
        <v>#REF!</v>
      </c>
      <c r="L979" t="e">
        <f>IF(COUNTIF(#REF!,Tabela2[[#This Row],[KOD_PRODUKTU]])&gt;0,"ELEMENT","PRODUKT")</f>
        <v>#REF!</v>
      </c>
      <c r="M979" t="e">
        <f>COUNTIF(#REF!,Tabela2[[#This Row],[KOD_PRODUKTU]])</f>
        <v>#REF!</v>
      </c>
      <c r="N979" t="s">
        <v>51</v>
      </c>
    </row>
    <row r="980" spans="1:14" x14ac:dyDescent="0.25">
      <c r="A980" s="1" t="s">
        <v>1852</v>
      </c>
      <c r="B980" t="s">
        <v>1853</v>
      </c>
      <c r="C980" s="1" t="s">
        <v>7</v>
      </c>
      <c r="D980" s="1" t="s">
        <v>7</v>
      </c>
      <c r="E980" s="1" t="s">
        <v>7</v>
      </c>
      <c r="F980" t="s">
        <v>8</v>
      </c>
      <c r="G980" t="s">
        <v>9</v>
      </c>
      <c r="H980" t="s">
        <v>10</v>
      </c>
      <c r="I980" t="s">
        <v>1879</v>
      </c>
      <c r="J980">
        <v>8.3000000000000007</v>
      </c>
      <c r="K980" t="e">
        <f>IF(COUNTIF(#REF!,Tabela2[[#This Row],[IdxWspolny]])&gt;0,"ELEM_lub_PRD","TECHN")</f>
        <v>#REF!</v>
      </c>
      <c r="L980" t="e">
        <f>IF(COUNTIF(#REF!,Tabela2[[#This Row],[KOD_PRODUKTU]])&gt;0,"ELEMENT","PRODUKT")</f>
        <v>#REF!</v>
      </c>
      <c r="M980" t="e">
        <f>COUNTIF(#REF!,Tabela2[[#This Row],[KOD_PRODUKTU]])</f>
        <v>#REF!</v>
      </c>
    </row>
    <row r="981" spans="1:14" x14ac:dyDescent="0.25">
      <c r="A981" s="1" t="s">
        <v>1880</v>
      </c>
      <c r="B981" t="s">
        <v>1881</v>
      </c>
      <c r="C981" s="1" t="s">
        <v>1882</v>
      </c>
      <c r="D981" s="1" t="s">
        <v>1882</v>
      </c>
      <c r="E981" s="1" t="s">
        <v>1882</v>
      </c>
      <c r="F981" t="s">
        <v>1883</v>
      </c>
      <c r="G981" t="s">
        <v>1884</v>
      </c>
      <c r="H981" t="s">
        <v>5</v>
      </c>
      <c r="I981" t="s">
        <v>1885</v>
      </c>
      <c r="J981">
        <v>0.04</v>
      </c>
      <c r="K981" t="e">
        <f>IF(COUNTIF(#REF!,Tabela2[[#This Row],[IdxWspolny]])&gt;0,"ELEM_lub_PRD","TECHN")</f>
        <v>#REF!</v>
      </c>
      <c r="L981" t="e">
        <f>IF(COUNTIF(#REF!,Tabela2[[#This Row],[KOD_PRODUKTU]])&gt;0,"ELEMENT","PRODUKT")</f>
        <v>#REF!</v>
      </c>
      <c r="M981" t="e">
        <f>COUNTIF(#REF!,Tabela2[[#This Row],[KOD_PRODUKTU]])</f>
        <v>#REF!</v>
      </c>
    </row>
    <row r="982" spans="1:14" x14ac:dyDescent="0.25">
      <c r="A982" s="1" t="s">
        <v>1880</v>
      </c>
      <c r="B982" t="s">
        <v>1881</v>
      </c>
      <c r="C982" s="1" t="s">
        <v>1886</v>
      </c>
      <c r="D982" s="1" t="s">
        <v>1886</v>
      </c>
      <c r="E982" s="1" t="s">
        <v>1886</v>
      </c>
      <c r="F982" t="s">
        <v>1887</v>
      </c>
      <c r="G982" t="s">
        <v>1888</v>
      </c>
      <c r="H982" t="s">
        <v>5</v>
      </c>
      <c r="I982" t="s">
        <v>1889</v>
      </c>
      <c r="J982">
        <v>0.04</v>
      </c>
      <c r="K982" t="e">
        <f>IF(COUNTIF(#REF!,Tabela2[[#This Row],[IdxWspolny]])&gt;0,"ELEM_lub_PRD","TECHN")</f>
        <v>#REF!</v>
      </c>
      <c r="L982" t="e">
        <f>IF(COUNTIF(#REF!,Tabela2[[#This Row],[KOD_PRODUKTU]])&gt;0,"ELEMENT","PRODUKT")</f>
        <v>#REF!</v>
      </c>
      <c r="M982" t="e">
        <f>COUNTIF(#REF!,Tabela2[[#This Row],[KOD_PRODUKTU]])</f>
        <v>#REF!</v>
      </c>
    </row>
    <row r="983" spans="1:14" x14ac:dyDescent="0.25">
      <c r="A983" s="1" t="s">
        <v>1880</v>
      </c>
      <c r="B983" t="s">
        <v>1881</v>
      </c>
      <c r="C983" s="1" t="s">
        <v>1890</v>
      </c>
      <c r="D983" s="1" t="s">
        <v>1890</v>
      </c>
      <c r="E983" s="1" t="s">
        <v>1890</v>
      </c>
      <c r="F983" t="s">
        <v>1891</v>
      </c>
      <c r="G983" t="s">
        <v>1892</v>
      </c>
      <c r="H983" t="s">
        <v>5</v>
      </c>
      <c r="I983" t="s">
        <v>1893</v>
      </c>
      <c r="J983">
        <v>0.01</v>
      </c>
      <c r="K983" t="e">
        <f>IF(COUNTIF(#REF!,Tabela2[[#This Row],[IdxWspolny]])&gt;0,"ELEM_lub_PRD","TECHN")</f>
        <v>#REF!</v>
      </c>
      <c r="L983" t="e">
        <f>IF(COUNTIF(#REF!,Tabela2[[#This Row],[KOD_PRODUKTU]])&gt;0,"ELEMENT","PRODUKT")</f>
        <v>#REF!</v>
      </c>
      <c r="M983" t="e">
        <f>COUNTIF(#REF!,Tabela2[[#This Row],[KOD_PRODUKTU]])</f>
        <v>#REF!</v>
      </c>
    </row>
    <row r="984" spans="1:14" x14ac:dyDescent="0.25">
      <c r="A984" s="1" t="s">
        <v>1880</v>
      </c>
      <c r="B984" t="s">
        <v>1881</v>
      </c>
      <c r="C984" s="1" t="s">
        <v>1894</v>
      </c>
      <c r="D984" s="1" t="s">
        <v>1894</v>
      </c>
      <c r="E984" s="1" t="s">
        <v>1894</v>
      </c>
      <c r="F984" t="s">
        <v>1895</v>
      </c>
      <c r="G984" t="s">
        <v>1896</v>
      </c>
      <c r="H984" t="s">
        <v>5</v>
      </c>
      <c r="I984" t="s">
        <v>1897</v>
      </c>
      <c r="J984">
        <v>0.21</v>
      </c>
      <c r="K984" t="e">
        <f>IF(COUNTIF(#REF!,Tabela2[[#This Row],[IdxWspolny]])&gt;0,"ELEM_lub_PRD","TECHN")</f>
        <v>#REF!</v>
      </c>
      <c r="L984" t="e">
        <f>IF(COUNTIF(#REF!,Tabela2[[#This Row],[KOD_PRODUKTU]])&gt;0,"ELEMENT","PRODUKT")</f>
        <v>#REF!</v>
      </c>
      <c r="M984" t="e">
        <f>COUNTIF(#REF!,Tabela2[[#This Row],[KOD_PRODUKTU]])</f>
        <v>#REF!</v>
      </c>
    </row>
    <row r="985" spans="1:14" x14ac:dyDescent="0.25">
      <c r="A985" s="1" t="s">
        <v>1880</v>
      </c>
      <c r="B985" t="s">
        <v>1881</v>
      </c>
      <c r="C985" s="1" t="s">
        <v>1898</v>
      </c>
      <c r="D985" s="1" t="s">
        <v>1898</v>
      </c>
      <c r="E985" s="1" t="s">
        <v>1898</v>
      </c>
      <c r="F985" t="s">
        <v>1899</v>
      </c>
      <c r="G985" t="s">
        <v>669</v>
      </c>
      <c r="H985" t="s">
        <v>121</v>
      </c>
      <c r="I985" t="s">
        <v>50</v>
      </c>
      <c r="J985">
        <v>18.5</v>
      </c>
      <c r="K985" t="e">
        <f>IF(COUNTIF(#REF!,Tabela2[[#This Row],[IdxWspolny]])&gt;0,"ELEM_lub_PRD","TECHN")</f>
        <v>#REF!</v>
      </c>
      <c r="L985" t="e">
        <f>IF(COUNTIF(#REF!,Tabela2[[#This Row],[KOD_PRODUKTU]])&gt;0,"ELEMENT","PRODUKT")</f>
        <v>#REF!</v>
      </c>
      <c r="M985" t="e">
        <f>COUNTIF(#REF!,Tabela2[[#This Row],[KOD_PRODUKTU]])</f>
        <v>#REF!</v>
      </c>
    </row>
    <row r="986" spans="1:14" x14ac:dyDescent="0.25">
      <c r="A986" s="1" t="s">
        <v>1880</v>
      </c>
      <c r="B986" t="s">
        <v>1881</v>
      </c>
      <c r="C986" s="1" t="s">
        <v>41</v>
      </c>
      <c r="D986" s="1" t="s">
        <v>41</v>
      </c>
      <c r="E986" s="1" t="s">
        <v>41</v>
      </c>
      <c r="F986" t="s">
        <v>42</v>
      </c>
      <c r="G986" t="s">
        <v>43</v>
      </c>
      <c r="H986" t="s">
        <v>5</v>
      </c>
      <c r="I986" t="s">
        <v>1900</v>
      </c>
      <c r="J986">
        <v>0.03</v>
      </c>
      <c r="K986" t="e">
        <f>IF(COUNTIF(#REF!,Tabela2[[#This Row],[IdxWspolny]])&gt;0,"ELEM_lub_PRD","TECHN")</f>
        <v>#REF!</v>
      </c>
      <c r="L986" t="e">
        <f>IF(COUNTIF(#REF!,Tabela2[[#This Row],[KOD_PRODUKTU]])&gt;0,"ELEMENT","PRODUKT")</f>
        <v>#REF!</v>
      </c>
      <c r="M986" t="e">
        <f>COUNTIF(#REF!,Tabela2[[#This Row],[KOD_PRODUKTU]])</f>
        <v>#REF!</v>
      </c>
    </row>
    <row r="987" spans="1:14" hidden="1" x14ac:dyDescent="0.25">
      <c r="A987" s="1" t="s">
        <v>1880</v>
      </c>
      <c r="B987" t="s">
        <v>1881</v>
      </c>
      <c r="C987" s="1" t="s">
        <v>1901</v>
      </c>
      <c r="D987" s="1" t="s">
        <v>1902</v>
      </c>
      <c r="E987" s="1" t="s">
        <v>1902</v>
      </c>
      <c r="F987" t="s">
        <v>1903</v>
      </c>
      <c r="G987" t="s">
        <v>1904</v>
      </c>
      <c r="H987" t="s">
        <v>49</v>
      </c>
      <c r="I987" t="s">
        <v>50</v>
      </c>
      <c r="J987">
        <v>27.3</v>
      </c>
      <c r="K987" t="e">
        <f>IF(COUNTIF(#REF!,Tabela2[[#This Row],[IdxWspolny]])&gt;0,"ELEM_lub_PRD","TECHN")</f>
        <v>#REF!</v>
      </c>
      <c r="L987" t="e">
        <f>IF(COUNTIF(#REF!,Tabela2[[#This Row],[KOD_PRODUKTU]])&gt;0,"ELEMENT","PRODUKT")</f>
        <v>#REF!</v>
      </c>
      <c r="M987" t="e">
        <f>COUNTIF(#REF!,Tabela2[[#This Row],[KOD_PRODUKTU]])</f>
        <v>#REF!</v>
      </c>
      <c r="N987" t="s">
        <v>51</v>
      </c>
    </row>
    <row r="988" spans="1:14" x14ac:dyDescent="0.25">
      <c r="A988" s="1" t="s">
        <v>1880</v>
      </c>
      <c r="B988" t="s">
        <v>1881</v>
      </c>
      <c r="C988" s="1" t="s">
        <v>7</v>
      </c>
      <c r="D988" s="1" t="s">
        <v>7</v>
      </c>
      <c r="E988" s="1" t="s">
        <v>7</v>
      </c>
      <c r="F988" t="s">
        <v>8</v>
      </c>
      <c r="G988" t="s">
        <v>9</v>
      </c>
      <c r="H988" t="s">
        <v>10</v>
      </c>
      <c r="I988" t="s">
        <v>19</v>
      </c>
      <c r="J988">
        <v>4.5999999999999996</v>
      </c>
      <c r="K988" t="e">
        <f>IF(COUNTIF(#REF!,Tabela2[[#This Row],[IdxWspolny]])&gt;0,"ELEM_lub_PRD","TECHN")</f>
        <v>#REF!</v>
      </c>
      <c r="L988" t="e">
        <f>IF(COUNTIF(#REF!,Tabela2[[#This Row],[KOD_PRODUKTU]])&gt;0,"ELEMENT","PRODUKT")</f>
        <v>#REF!</v>
      </c>
      <c r="M988" t="e">
        <f>COUNTIF(#REF!,Tabela2[[#This Row],[KOD_PRODUKTU]])</f>
        <v>#REF!</v>
      </c>
    </row>
    <row r="989" spans="1:14" x14ac:dyDescent="0.25">
      <c r="A989" s="1" t="s">
        <v>1905</v>
      </c>
      <c r="B989" t="s">
        <v>1906</v>
      </c>
      <c r="C989" s="1" t="s">
        <v>1907</v>
      </c>
      <c r="D989" s="1" t="s">
        <v>1907</v>
      </c>
      <c r="E989" s="1" t="s">
        <v>1907</v>
      </c>
      <c r="F989" t="s">
        <v>1908</v>
      </c>
      <c r="G989" t="s">
        <v>1909</v>
      </c>
      <c r="H989" t="s">
        <v>39</v>
      </c>
      <c r="I989" t="s">
        <v>478</v>
      </c>
      <c r="J989">
        <v>0.91</v>
      </c>
      <c r="K989" t="e">
        <f>IF(COUNTIF(#REF!,Tabela2[[#This Row],[IdxWspolny]])&gt;0,"ELEM_lub_PRD","TECHN")</f>
        <v>#REF!</v>
      </c>
      <c r="L989" t="e">
        <f>IF(COUNTIF(#REF!,Tabela2[[#This Row],[KOD_PRODUKTU]])&gt;0,"ELEMENT","PRODUKT")</f>
        <v>#REF!</v>
      </c>
      <c r="M989" t="e">
        <f>COUNTIF(#REF!,Tabela2[[#This Row],[KOD_PRODUKTU]])</f>
        <v>#REF!</v>
      </c>
    </row>
    <row r="990" spans="1:14" x14ac:dyDescent="0.25">
      <c r="A990" s="1" t="s">
        <v>1905</v>
      </c>
      <c r="B990" t="s">
        <v>1906</v>
      </c>
      <c r="C990" s="1" t="s">
        <v>41</v>
      </c>
      <c r="D990" s="1" t="s">
        <v>41</v>
      </c>
      <c r="E990" s="1" t="s">
        <v>41</v>
      </c>
      <c r="F990" t="s">
        <v>42</v>
      </c>
      <c r="G990" t="s">
        <v>43</v>
      </c>
      <c r="H990" t="s">
        <v>5</v>
      </c>
      <c r="I990" t="s">
        <v>1910</v>
      </c>
      <c r="J990">
        <v>0.04</v>
      </c>
      <c r="K990" t="e">
        <f>IF(COUNTIF(#REF!,Tabela2[[#This Row],[IdxWspolny]])&gt;0,"ELEM_lub_PRD","TECHN")</f>
        <v>#REF!</v>
      </c>
      <c r="L990" t="e">
        <f>IF(COUNTIF(#REF!,Tabela2[[#This Row],[KOD_PRODUKTU]])&gt;0,"ELEMENT","PRODUKT")</f>
        <v>#REF!</v>
      </c>
      <c r="M990" t="e">
        <f>COUNTIF(#REF!,Tabela2[[#This Row],[KOD_PRODUKTU]])</f>
        <v>#REF!</v>
      </c>
    </row>
    <row r="991" spans="1:14" x14ac:dyDescent="0.25">
      <c r="A991" s="1" t="s">
        <v>1905</v>
      </c>
      <c r="B991" t="s">
        <v>1906</v>
      </c>
      <c r="C991" s="1" t="s">
        <v>1911</v>
      </c>
      <c r="D991" s="1" t="s">
        <v>1911</v>
      </c>
      <c r="E991" s="1" t="s">
        <v>1911</v>
      </c>
      <c r="F991" t="s">
        <v>1912</v>
      </c>
      <c r="G991" t="s">
        <v>1598</v>
      </c>
      <c r="H991" t="s">
        <v>49</v>
      </c>
      <c r="I991" t="s">
        <v>92</v>
      </c>
      <c r="J991">
        <v>58.5</v>
      </c>
      <c r="K991" t="e">
        <f>IF(COUNTIF(#REF!,Tabela2[[#This Row],[IdxWspolny]])&gt;0,"ELEM_lub_PRD","TECHN")</f>
        <v>#REF!</v>
      </c>
      <c r="L991" t="e">
        <f>IF(COUNTIF(#REF!,Tabela2[[#This Row],[KOD_PRODUKTU]])&gt;0,"ELEMENT","PRODUKT")</f>
        <v>#REF!</v>
      </c>
      <c r="M991" t="e">
        <f>COUNTIF(#REF!,Tabela2[[#This Row],[KOD_PRODUKTU]])</f>
        <v>#REF!</v>
      </c>
    </row>
    <row r="992" spans="1:14" x14ac:dyDescent="0.25">
      <c r="A992" s="1" t="s">
        <v>1905</v>
      </c>
      <c r="B992" t="s">
        <v>1906</v>
      </c>
      <c r="C992" s="1" t="s">
        <v>1913</v>
      </c>
      <c r="D992" s="1" t="s">
        <v>1913</v>
      </c>
      <c r="E992" s="1" t="s">
        <v>1913</v>
      </c>
      <c r="F992" t="s">
        <v>1914</v>
      </c>
      <c r="G992" t="s">
        <v>1588</v>
      </c>
      <c r="H992" t="s">
        <v>49</v>
      </c>
      <c r="I992" t="s">
        <v>50</v>
      </c>
      <c r="J992">
        <v>19.5</v>
      </c>
      <c r="K992" t="e">
        <f>IF(COUNTIF(#REF!,Tabela2[[#This Row],[IdxWspolny]])&gt;0,"ELEM_lub_PRD","TECHN")</f>
        <v>#REF!</v>
      </c>
      <c r="L992" t="e">
        <f>IF(COUNTIF(#REF!,Tabela2[[#This Row],[KOD_PRODUKTU]])&gt;0,"ELEMENT","PRODUKT")</f>
        <v>#REF!</v>
      </c>
      <c r="M992" t="e">
        <f>COUNTIF(#REF!,Tabela2[[#This Row],[KOD_PRODUKTU]])</f>
        <v>#REF!</v>
      </c>
    </row>
    <row r="993" spans="1:13" x14ac:dyDescent="0.25">
      <c r="A993" s="1" t="s">
        <v>1905</v>
      </c>
      <c r="B993" t="s">
        <v>1906</v>
      </c>
      <c r="C993" s="1" t="s">
        <v>1915</v>
      </c>
      <c r="D993" s="1" t="s">
        <v>1915</v>
      </c>
      <c r="E993" s="1" t="s">
        <v>1915</v>
      </c>
      <c r="F993" t="s">
        <v>1916</v>
      </c>
      <c r="G993" t="s">
        <v>1917</v>
      </c>
      <c r="H993" t="s">
        <v>49</v>
      </c>
      <c r="I993" t="s">
        <v>50</v>
      </c>
      <c r="J993">
        <v>4.75</v>
      </c>
      <c r="K993" t="e">
        <f>IF(COUNTIF(#REF!,Tabela2[[#This Row],[IdxWspolny]])&gt;0,"ELEM_lub_PRD","TECHN")</f>
        <v>#REF!</v>
      </c>
      <c r="L993" t="e">
        <f>IF(COUNTIF(#REF!,Tabela2[[#This Row],[KOD_PRODUKTU]])&gt;0,"ELEMENT","PRODUKT")</f>
        <v>#REF!</v>
      </c>
      <c r="M993" t="e">
        <f>COUNTIF(#REF!,Tabela2[[#This Row],[KOD_PRODUKTU]])</f>
        <v>#REF!</v>
      </c>
    </row>
    <row r="994" spans="1:13" x14ac:dyDescent="0.25">
      <c r="A994" s="1" t="s">
        <v>1905</v>
      </c>
      <c r="B994" t="s">
        <v>1906</v>
      </c>
      <c r="C994" s="1" t="s">
        <v>7</v>
      </c>
      <c r="D994" s="1" t="s">
        <v>7</v>
      </c>
      <c r="E994" s="1" t="s">
        <v>7</v>
      </c>
      <c r="F994" t="s">
        <v>8</v>
      </c>
      <c r="G994" t="s">
        <v>9</v>
      </c>
      <c r="H994" t="s">
        <v>10</v>
      </c>
      <c r="I994" t="s">
        <v>1918</v>
      </c>
      <c r="J994">
        <v>37</v>
      </c>
      <c r="K994" t="e">
        <f>IF(COUNTIF(#REF!,Tabela2[[#This Row],[IdxWspolny]])&gt;0,"ELEM_lub_PRD","TECHN")</f>
        <v>#REF!</v>
      </c>
      <c r="L994" t="e">
        <f>IF(COUNTIF(#REF!,Tabela2[[#This Row],[KOD_PRODUKTU]])&gt;0,"ELEMENT","PRODUKT")</f>
        <v>#REF!</v>
      </c>
      <c r="M994" t="e">
        <f>COUNTIF(#REF!,Tabela2[[#This Row],[KOD_PRODUKTU]])</f>
        <v>#REF!</v>
      </c>
    </row>
    <row r="995" spans="1:13" x14ac:dyDescent="0.25">
      <c r="A995" s="1" t="s">
        <v>1919</v>
      </c>
      <c r="B995" t="s">
        <v>1920</v>
      </c>
      <c r="C995" s="1" t="s">
        <v>1921</v>
      </c>
      <c r="D995" s="1" t="s">
        <v>1921</v>
      </c>
      <c r="E995" s="1" t="s">
        <v>1921</v>
      </c>
      <c r="F995" t="s">
        <v>1922</v>
      </c>
      <c r="G995" t="s">
        <v>1923</v>
      </c>
      <c r="H995" t="s">
        <v>39</v>
      </c>
      <c r="I995" t="s">
        <v>478</v>
      </c>
      <c r="J995">
        <v>1.87</v>
      </c>
      <c r="K995" t="e">
        <f>IF(COUNTIF(#REF!,Tabela2[[#This Row],[IdxWspolny]])&gt;0,"ELEM_lub_PRD","TECHN")</f>
        <v>#REF!</v>
      </c>
      <c r="L995" t="e">
        <f>IF(COUNTIF(#REF!,Tabela2[[#This Row],[KOD_PRODUKTU]])&gt;0,"ELEMENT","PRODUKT")</f>
        <v>#REF!</v>
      </c>
      <c r="M995" t="e">
        <f>COUNTIF(#REF!,Tabela2[[#This Row],[KOD_PRODUKTU]])</f>
        <v>#REF!</v>
      </c>
    </row>
    <row r="996" spans="1:13" x14ac:dyDescent="0.25">
      <c r="A996" s="1" t="s">
        <v>1919</v>
      </c>
      <c r="B996" t="s">
        <v>1920</v>
      </c>
      <c r="C996" s="1" t="s">
        <v>41</v>
      </c>
      <c r="D996" s="1" t="s">
        <v>41</v>
      </c>
      <c r="E996" s="1" t="s">
        <v>41</v>
      </c>
      <c r="F996" t="s">
        <v>42</v>
      </c>
      <c r="G996" t="s">
        <v>513</v>
      </c>
      <c r="H996" t="s">
        <v>5</v>
      </c>
      <c r="I996" t="s">
        <v>1900</v>
      </c>
      <c r="J996">
        <v>0.03</v>
      </c>
      <c r="K996" t="e">
        <f>IF(COUNTIF(#REF!,Tabela2[[#This Row],[IdxWspolny]])&gt;0,"ELEM_lub_PRD","TECHN")</f>
        <v>#REF!</v>
      </c>
      <c r="L996" t="e">
        <f>IF(COUNTIF(#REF!,Tabela2[[#This Row],[KOD_PRODUKTU]])&gt;0,"ELEMENT","PRODUKT")</f>
        <v>#REF!</v>
      </c>
      <c r="M996" t="e">
        <f>COUNTIF(#REF!,Tabela2[[#This Row],[KOD_PRODUKTU]])</f>
        <v>#REF!</v>
      </c>
    </row>
    <row r="997" spans="1:13" x14ac:dyDescent="0.25">
      <c r="A997" s="1" t="s">
        <v>1919</v>
      </c>
      <c r="B997" t="s">
        <v>1920</v>
      </c>
      <c r="C997" s="1" t="s">
        <v>1924</v>
      </c>
      <c r="D997" s="1" t="s">
        <v>1924</v>
      </c>
      <c r="E997" s="1" t="s">
        <v>1924</v>
      </c>
      <c r="F997" t="s">
        <v>1925</v>
      </c>
      <c r="G997" t="s">
        <v>1926</v>
      </c>
      <c r="H997" t="s">
        <v>121</v>
      </c>
      <c r="I997" t="s">
        <v>92</v>
      </c>
      <c r="J997">
        <v>51.7</v>
      </c>
      <c r="K997" t="e">
        <f>IF(COUNTIF(#REF!,Tabela2[[#This Row],[IdxWspolny]])&gt;0,"ELEM_lub_PRD","TECHN")</f>
        <v>#REF!</v>
      </c>
      <c r="L997" t="e">
        <f>IF(COUNTIF(#REF!,Tabela2[[#This Row],[KOD_PRODUKTU]])&gt;0,"ELEMENT","PRODUKT")</f>
        <v>#REF!</v>
      </c>
      <c r="M997" t="e">
        <f>COUNTIF(#REF!,Tabela2[[#This Row],[KOD_PRODUKTU]])</f>
        <v>#REF!</v>
      </c>
    </row>
    <row r="998" spans="1:13" x14ac:dyDescent="0.25">
      <c r="A998" s="1" t="s">
        <v>1919</v>
      </c>
      <c r="B998" t="s">
        <v>1920</v>
      </c>
      <c r="C998" s="1" t="s">
        <v>1927</v>
      </c>
      <c r="D998" s="1" t="s">
        <v>1927</v>
      </c>
      <c r="E998" s="1" t="s">
        <v>1927</v>
      </c>
      <c r="F998" t="s">
        <v>1928</v>
      </c>
      <c r="G998" t="s">
        <v>1929</v>
      </c>
      <c r="H998" t="s">
        <v>121</v>
      </c>
      <c r="I998" t="s">
        <v>50</v>
      </c>
      <c r="J998">
        <v>10.7</v>
      </c>
      <c r="K998" t="e">
        <f>IF(COUNTIF(#REF!,Tabela2[[#This Row],[IdxWspolny]])&gt;0,"ELEM_lub_PRD","TECHN")</f>
        <v>#REF!</v>
      </c>
      <c r="L998" t="e">
        <f>IF(COUNTIF(#REF!,Tabela2[[#This Row],[KOD_PRODUKTU]])&gt;0,"ELEMENT","PRODUKT")</f>
        <v>#REF!</v>
      </c>
      <c r="M998" t="e">
        <f>COUNTIF(#REF!,Tabela2[[#This Row],[KOD_PRODUKTU]])</f>
        <v>#REF!</v>
      </c>
    </row>
    <row r="999" spans="1:13" x14ac:dyDescent="0.25">
      <c r="A999" s="1" t="s">
        <v>1919</v>
      </c>
      <c r="B999" t="s">
        <v>1920</v>
      </c>
      <c r="C999" s="1" t="s">
        <v>1930</v>
      </c>
      <c r="D999" s="1" t="s">
        <v>1930</v>
      </c>
      <c r="E999" s="1" t="s">
        <v>1930</v>
      </c>
      <c r="F999" t="s">
        <v>1931</v>
      </c>
      <c r="G999" t="s">
        <v>1932</v>
      </c>
      <c r="H999" t="s">
        <v>121</v>
      </c>
      <c r="I999" t="s">
        <v>50</v>
      </c>
      <c r="J999">
        <v>1.85</v>
      </c>
      <c r="K999" t="e">
        <f>IF(COUNTIF(#REF!,Tabela2[[#This Row],[IdxWspolny]])&gt;0,"ELEM_lub_PRD","TECHN")</f>
        <v>#REF!</v>
      </c>
      <c r="L999" t="e">
        <f>IF(COUNTIF(#REF!,Tabela2[[#This Row],[KOD_PRODUKTU]])&gt;0,"ELEMENT","PRODUKT")</f>
        <v>#REF!</v>
      </c>
      <c r="M999" t="e">
        <f>COUNTIF(#REF!,Tabela2[[#This Row],[KOD_PRODUKTU]])</f>
        <v>#REF!</v>
      </c>
    </row>
    <row r="1000" spans="1:13" x14ac:dyDescent="0.25">
      <c r="A1000" s="1" t="s">
        <v>1919</v>
      </c>
      <c r="B1000" t="s">
        <v>1920</v>
      </c>
      <c r="C1000" s="1" t="s">
        <v>7</v>
      </c>
      <c r="D1000" s="1" t="s">
        <v>7</v>
      </c>
      <c r="E1000" s="1" t="s">
        <v>7</v>
      </c>
      <c r="F1000" t="s">
        <v>8</v>
      </c>
      <c r="G1000" t="s">
        <v>9</v>
      </c>
      <c r="H1000" t="s">
        <v>10</v>
      </c>
      <c r="I1000" t="s">
        <v>33</v>
      </c>
      <c r="J1000">
        <v>9.1999999999999993</v>
      </c>
      <c r="K1000" t="e">
        <f>IF(COUNTIF(#REF!,Tabela2[[#This Row],[IdxWspolny]])&gt;0,"ELEM_lub_PRD","TECHN")</f>
        <v>#REF!</v>
      </c>
      <c r="L1000" t="e">
        <f>IF(COUNTIF(#REF!,Tabela2[[#This Row],[KOD_PRODUKTU]])&gt;0,"ELEMENT","PRODUKT")</f>
        <v>#REF!</v>
      </c>
      <c r="M1000" t="e">
        <f>COUNTIF(#REF!,Tabela2[[#This Row],[KOD_PRODUKTU]])</f>
        <v>#REF!</v>
      </c>
    </row>
    <row r="1001" spans="1:13" x14ac:dyDescent="0.25">
      <c r="A1001" s="1" t="s">
        <v>1919</v>
      </c>
      <c r="B1001" t="s">
        <v>1920</v>
      </c>
      <c r="C1001" s="1" t="s">
        <v>7</v>
      </c>
      <c r="D1001" s="1" t="s">
        <v>7</v>
      </c>
      <c r="E1001" s="1" t="s">
        <v>7</v>
      </c>
      <c r="F1001" t="s">
        <v>8</v>
      </c>
      <c r="G1001" t="s">
        <v>9</v>
      </c>
      <c r="H1001" t="s">
        <v>10</v>
      </c>
      <c r="I1001" t="s">
        <v>367</v>
      </c>
      <c r="J1001">
        <v>2.2999999999999998</v>
      </c>
      <c r="K1001" t="e">
        <f>IF(COUNTIF(#REF!,Tabela2[[#This Row],[IdxWspolny]])&gt;0,"ELEM_lub_PRD","TECHN")</f>
        <v>#REF!</v>
      </c>
      <c r="L1001" t="e">
        <f>IF(COUNTIF(#REF!,Tabela2[[#This Row],[KOD_PRODUKTU]])&gt;0,"ELEMENT","PRODUKT")</f>
        <v>#REF!</v>
      </c>
      <c r="M1001" t="e">
        <f>COUNTIF(#REF!,Tabela2[[#This Row],[KOD_PRODUKTU]])</f>
        <v>#REF!</v>
      </c>
    </row>
    <row r="1002" spans="1:13" x14ac:dyDescent="0.25">
      <c r="A1002" s="1" t="s">
        <v>1933</v>
      </c>
      <c r="B1002" t="s">
        <v>1934</v>
      </c>
      <c r="C1002" s="1" t="s">
        <v>1921</v>
      </c>
      <c r="D1002" s="1" t="s">
        <v>1921</v>
      </c>
      <c r="E1002" s="1" t="s">
        <v>1921</v>
      </c>
      <c r="F1002" t="s">
        <v>1922</v>
      </c>
      <c r="G1002" t="s">
        <v>1923</v>
      </c>
      <c r="H1002" t="s">
        <v>39</v>
      </c>
      <c r="I1002" t="s">
        <v>478</v>
      </c>
      <c r="J1002">
        <v>1.87</v>
      </c>
      <c r="K1002" t="e">
        <f>IF(COUNTIF(#REF!,Tabela2[[#This Row],[IdxWspolny]])&gt;0,"ELEM_lub_PRD","TECHN")</f>
        <v>#REF!</v>
      </c>
      <c r="L1002" t="e">
        <f>IF(COUNTIF(#REF!,Tabela2[[#This Row],[KOD_PRODUKTU]])&gt;0,"ELEMENT","PRODUKT")</f>
        <v>#REF!</v>
      </c>
      <c r="M1002" t="e">
        <f>COUNTIF(#REF!,Tabela2[[#This Row],[KOD_PRODUKTU]])</f>
        <v>#REF!</v>
      </c>
    </row>
    <row r="1003" spans="1:13" x14ac:dyDescent="0.25">
      <c r="A1003" s="1" t="s">
        <v>1933</v>
      </c>
      <c r="B1003" t="s">
        <v>1934</v>
      </c>
      <c r="C1003" s="1" t="s">
        <v>41</v>
      </c>
      <c r="D1003" s="1" t="s">
        <v>41</v>
      </c>
      <c r="E1003" s="1" t="s">
        <v>41</v>
      </c>
      <c r="F1003" t="s">
        <v>42</v>
      </c>
      <c r="G1003" t="s">
        <v>513</v>
      </c>
      <c r="H1003" t="s">
        <v>5</v>
      </c>
      <c r="I1003" t="s">
        <v>1900</v>
      </c>
      <c r="J1003">
        <v>0.03</v>
      </c>
      <c r="K1003" t="e">
        <f>IF(COUNTIF(#REF!,Tabela2[[#This Row],[IdxWspolny]])&gt;0,"ELEM_lub_PRD","TECHN")</f>
        <v>#REF!</v>
      </c>
      <c r="L1003" t="e">
        <f>IF(COUNTIF(#REF!,Tabela2[[#This Row],[KOD_PRODUKTU]])&gt;0,"ELEMENT","PRODUKT")</f>
        <v>#REF!</v>
      </c>
      <c r="M1003" t="e">
        <f>COUNTIF(#REF!,Tabela2[[#This Row],[KOD_PRODUKTU]])</f>
        <v>#REF!</v>
      </c>
    </row>
    <row r="1004" spans="1:13" x14ac:dyDescent="0.25">
      <c r="A1004" s="1" t="s">
        <v>1933</v>
      </c>
      <c r="B1004" t="s">
        <v>1934</v>
      </c>
      <c r="C1004" s="1" t="s">
        <v>1935</v>
      </c>
      <c r="D1004" s="1" t="s">
        <v>1935</v>
      </c>
      <c r="E1004" s="1" t="s">
        <v>1935</v>
      </c>
      <c r="F1004" t="s">
        <v>1936</v>
      </c>
      <c r="G1004" t="s">
        <v>1937</v>
      </c>
      <c r="H1004" t="s">
        <v>121</v>
      </c>
      <c r="I1004" t="s">
        <v>92</v>
      </c>
      <c r="J1004">
        <v>45.6</v>
      </c>
      <c r="K1004" t="e">
        <f>IF(COUNTIF(#REF!,Tabela2[[#This Row],[IdxWspolny]])&gt;0,"ELEM_lub_PRD","TECHN")</f>
        <v>#REF!</v>
      </c>
      <c r="L1004" t="e">
        <f>IF(COUNTIF(#REF!,Tabela2[[#This Row],[KOD_PRODUKTU]])&gt;0,"ELEMENT","PRODUKT")</f>
        <v>#REF!</v>
      </c>
      <c r="M1004" t="e">
        <f>COUNTIF(#REF!,Tabela2[[#This Row],[KOD_PRODUKTU]])</f>
        <v>#REF!</v>
      </c>
    </row>
    <row r="1005" spans="1:13" x14ac:dyDescent="0.25">
      <c r="A1005" s="1" t="s">
        <v>1933</v>
      </c>
      <c r="B1005" t="s">
        <v>1934</v>
      </c>
      <c r="C1005" s="1" t="s">
        <v>1938</v>
      </c>
      <c r="D1005" s="1" t="s">
        <v>1938</v>
      </c>
      <c r="E1005" s="1" t="s">
        <v>1938</v>
      </c>
      <c r="F1005" t="s">
        <v>1939</v>
      </c>
      <c r="G1005" t="s">
        <v>1940</v>
      </c>
      <c r="H1005" t="s">
        <v>121</v>
      </c>
      <c r="I1005" t="s">
        <v>50</v>
      </c>
      <c r="J1005">
        <v>14.6</v>
      </c>
      <c r="K1005" t="e">
        <f>IF(COUNTIF(#REF!,Tabela2[[#This Row],[IdxWspolny]])&gt;0,"ELEM_lub_PRD","TECHN")</f>
        <v>#REF!</v>
      </c>
      <c r="L1005" t="e">
        <f>IF(COUNTIF(#REF!,Tabela2[[#This Row],[KOD_PRODUKTU]])&gt;0,"ELEMENT","PRODUKT")</f>
        <v>#REF!</v>
      </c>
      <c r="M1005" t="e">
        <f>COUNTIF(#REF!,Tabela2[[#This Row],[KOD_PRODUKTU]])</f>
        <v>#REF!</v>
      </c>
    </row>
    <row r="1006" spans="1:13" x14ac:dyDescent="0.25">
      <c r="A1006" s="1" t="s">
        <v>1933</v>
      </c>
      <c r="B1006" t="s">
        <v>1934</v>
      </c>
      <c r="C1006" s="1" t="s">
        <v>1941</v>
      </c>
      <c r="D1006" s="1" t="s">
        <v>1941</v>
      </c>
      <c r="E1006" s="1" t="s">
        <v>1941</v>
      </c>
      <c r="F1006" t="s">
        <v>1942</v>
      </c>
      <c r="G1006" t="s">
        <v>336</v>
      </c>
      <c r="H1006" t="s">
        <v>121</v>
      </c>
      <c r="I1006" t="s">
        <v>50</v>
      </c>
      <c r="J1006">
        <v>2.6</v>
      </c>
      <c r="K1006" t="e">
        <f>IF(COUNTIF(#REF!,Tabela2[[#This Row],[IdxWspolny]])&gt;0,"ELEM_lub_PRD","TECHN")</f>
        <v>#REF!</v>
      </c>
      <c r="L1006" t="e">
        <f>IF(COUNTIF(#REF!,Tabela2[[#This Row],[KOD_PRODUKTU]])&gt;0,"ELEMENT","PRODUKT")</f>
        <v>#REF!</v>
      </c>
      <c r="M1006" t="e">
        <f>COUNTIF(#REF!,Tabela2[[#This Row],[KOD_PRODUKTU]])</f>
        <v>#REF!</v>
      </c>
    </row>
    <row r="1007" spans="1:13" x14ac:dyDescent="0.25">
      <c r="A1007" s="1" t="s">
        <v>1933</v>
      </c>
      <c r="B1007" t="s">
        <v>1934</v>
      </c>
      <c r="C1007" s="1" t="s">
        <v>7</v>
      </c>
      <c r="D1007" s="1" t="s">
        <v>7</v>
      </c>
      <c r="E1007" s="1" t="s">
        <v>7</v>
      </c>
      <c r="F1007" t="s">
        <v>8</v>
      </c>
      <c r="G1007" t="s">
        <v>9</v>
      </c>
      <c r="H1007" t="s">
        <v>10</v>
      </c>
      <c r="I1007" t="s">
        <v>367</v>
      </c>
      <c r="J1007">
        <v>2.2999999999999998</v>
      </c>
      <c r="K1007" t="e">
        <f>IF(COUNTIF(#REF!,Tabela2[[#This Row],[IdxWspolny]])&gt;0,"ELEM_lub_PRD","TECHN")</f>
        <v>#REF!</v>
      </c>
      <c r="L1007" t="e">
        <f>IF(COUNTIF(#REF!,Tabela2[[#This Row],[KOD_PRODUKTU]])&gt;0,"ELEMENT","PRODUKT")</f>
        <v>#REF!</v>
      </c>
      <c r="M1007" t="e">
        <f>COUNTIF(#REF!,Tabela2[[#This Row],[KOD_PRODUKTU]])</f>
        <v>#REF!</v>
      </c>
    </row>
    <row r="1008" spans="1:13" x14ac:dyDescent="0.25">
      <c r="A1008" s="1" t="s">
        <v>1933</v>
      </c>
      <c r="B1008" t="s">
        <v>1934</v>
      </c>
      <c r="C1008" s="1" t="s">
        <v>7</v>
      </c>
      <c r="D1008" s="1" t="s">
        <v>7</v>
      </c>
      <c r="E1008" s="1" t="s">
        <v>7</v>
      </c>
      <c r="F1008" t="s">
        <v>8</v>
      </c>
      <c r="G1008" t="s">
        <v>9</v>
      </c>
      <c r="H1008" t="s">
        <v>10</v>
      </c>
      <c r="I1008" t="s">
        <v>33</v>
      </c>
      <c r="J1008">
        <v>9.1999999999999993</v>
      </c>
      <c r="K1008" t="e">
        <f>IF(COUNTIF(#REF!,Tabela2[[#This Row],[IdxWspolny]])&gt;0,"ELEM_lub_PRD","TECHN")</f>
        <v>#REF!</v>
      </c>
      <c r="L1008" t="e">
        <f>IF(COUNTIF(#REF!,Tabela2[[#This Row],[KOD_PRODUKTU]])&gt;0,"ELEMENT","PRODUKT")</f>
        <v>#REF!</v>
      </c>
      <c r="M1008" t="e">
        <f>COUNTIF(#REF!,Tabela2[[#This Row],[KOD_PRODUKTU]])</f>
        <v>#REF!</v>
      </c>
    </row>
    <row r="1009" spans="1:13" x14ac:dyDescent="0.25">
      <c r="A1009" s="1" t="s">
        <v>451</v>
      </c>
      <c r="B1009" t="s">
        <v>452</v>
      </c>
      <c r="C1009" s="1" t="s">
        <v>1094</v>
      </c>
      <c r="D1009" s="1" t="s">
        <v>1094</v>
      </c>
      <c r="E1009" s="1" t="s">
        <v>1094</v>
      </c>
      <c r="F1009" t="s">
        <v>1095</v>
      </c>
      <c r="G1009" t="s">
        <v>887</v>
      </c>
      <c r="H1009" t="s">
        <v>5</v>
      </c>
      <c r="I1009" t="s">
        <v>1254</v>
      </c>
      <c r="J1009">
        <v>9.8000000000000007</v>
      </c>
      <c r="K1009" t="e">
        <f>IF(COUNTIF(#REF!,Tabela2[[#This Row],[IdxWspolny]])&gt;0,"ELEM_lub_PRD","TECHN")</f>
        <v>#REF!</v>
      </c>
      <c r="L1009" t="e">
        <f>IF(COUNTIF(#REF!,Tabela2[[#This Row],[KOD_PRODUKTU]])&gt;0,"ELEMENT","PRODUKT")</f>
        <v>#REF!</v>
      </c>
      <c r="M1009" t="e">
        <f>COUNTIF(#REF!,Tabela2[[#This Row],[KOD_PRODUKTU]])</f>
        <v>#REF!</v>
      </c>
    </row>
    <row r="1010" spans="1:13" x14ac:dyDescent="0.25">
      <c r="A1010" s="1" t="s">
        <v>451</v>
      </c>
      <c r="B1010" t="s">
        <v>452</v>
      </c>
      <c r="C1010" s="1" t="s">
        <v>7</v>
      </c>
      <c r="D1010" s="1" t="s">
        <v>7</v>
      </c>
      <c r="E1010" s="1" t="s">
        <v>7</v>
      </c>
      <c r="F1010" t="s">
        <v>8</v>
      </c>
      <c r="G1010" t="s">
        <v>9</v>
      </c>
      <c r="H1010" t="s">
        <v>10</v>
      </c>
      <c r="I1010" t="s">
        <v>1943</v>
      </c>
      <c r="J1010">
        <v>7.1</v>
      </c>
      <c r="K1010" t="e">
        <f>IF(COUNTIF(#REF!,Tabela2[[#This Row],[IdxWspolny]])&gt;0,"ELEM_lub_PRD","TECHN")</f>
        <v>#REF!</v>
      </c>
      <c r="L1010" t="e">
        <f>IF(COUNTIF(#REF!,Tabela2[[#This Row],[KOD_PRODUKTU]])&gt;0,"ELEMENT","PRODUKT")</f>
        <v>#REF!</v>
      </c>
      <c r="M1010" t="e">
        <f>COUNTIF(#REF!,Tabela2[[#This Row],[KOD_PRODUKTU]])</f>
        <v>#REF!</v>
      </c>
    </row>
    <row r="1011" spans="1:13" x14ac:dyDescent="0.25">
      <c r="A1011" s="1" t="s">
        <v>1944</v>
      </c>
      <c r="B1011" t="s">
        <v>1945</v>
      </c>
      <c r="C1011" s="1" t="s">
        <v>1921</v>
      </c>
      <c r="D1011" s="1" t="s">
        <v>1921</v>
      </c>
      <c r="E1011" s="1" t="s">
        <v>1921</v>
      </c>
      <c r="F1011" t="s">
        <v>1922</v>
      </c>
      <c r="G1011" t="s">
        <v>1923</v>
      </c>
      <c r="H1011" t="s">
        <v>39</v>
      </c>
      <c r="I1011" t="s">
        <v>478</v>
      </c>
      <c r="J1011">
        <v>1.87</v>
      </c>
      <c r="K1011" t="e">
        <f>IF(COUNTIF(#REF!,Tabela2[[#This Row],[IdxWspolny]])&gt;0,"ELEM_lub_PRD","TECHN")</f>
        <v>#REF!</v>
      </c>
      <c r="L1011" t="e">
        <f>IF(COUNTIF(#REF!,Tabela2[[#This Row],[KOD_PRODUKTU]])&gt;0,"ELEMENT","PRODUKT")</f>
        <v>#REF!</v>
      </c>
      <c r="M1011" t="e">
        <f>COUNTIF(#REF!,Tabela2[[#This Row],[KOD_PRODUKTU]])</f>
        <v>#REF!</v>
      </c>
    </row>
    <row r="1012" spans="1:13" x14ac:dyDescent="0.25">
      <c r="A1012" s="1" t="s">
        <v>1944</v>
      </c>
      <c r="B1012" t="s">
        <v>1945</v>
      </c>
      <c r="C1012" s="1" t="s">
        <v>41</v>
      </c>
      <c r="D1012" s="1" t="s">
        <v>41</v>
      </c>
      <c r="E1012" s="1" t="s">
        <v>41</v>
      </c>
      <c r="F1012" t="s">
        <v>42</v>
      </c>
      <c r="G1012" t="s">
        <v>43</v>
      </c>
      <c r="H1012" t="s">
        <v>5</v>
      </c>
      <c r="I1012" t="s">
        <v>1946</v>
      </c>
      <c r="J1012">
        <v>0.04</v>
      </c>
      <c r="K1012" t="e">
        <f>IF(COUNTIF(#REF!,Tabela2[[#This Row],[IdxWspolny]])&gt;0,"ELEM_lub_PRD","TECHN")</f>
        <v>#REF!</v>
      </c>
      <c r="L1012" t="e">
        <f>IF(COUNTIF(#REF!,Tabela2[[#This Row],[KOD_PRODUKTU]])&gt;0,"ELEMENT","PRODUKT")</f>
        <v>#REF!</v>
      </c>
      <c r="M1012" t="e">
        <f>COUNTIF(#REF!,Tabela2[[#This Row],[KOD_PRODUKTU]])</f>
        <v>#REF!</v>
      </c>
    </row>
    <row r="1013" spans="1:13" x14ac:dyDescent="0.25">
      <c r="A1013" s="1" t="s">
        <v>1944</v>
      </c>
      <c r="B1013" t="s">
        <v>1945</v>
      </c>
      <c r="C1013" s="1" t="s">
        <v>1947</v>
      </c>
      <c r="D1013" s="1" t="s">
        <v>1947</v>
      </c>
      <c r="E1013" s="1" t="s">
        <v>1947</v>
      </c>
      <c r="F1013" t="s">
        <v>1948</v>
      </c>
      <c r="G1013" t="s">
        <v>1949</v>
      </c>
      <c r="H1013" t="s">
        <v>121</v>
      </c>
      <c r="I1013" t="s">
        <v>92</v>
      </c>
      <c r="J1013">
        <v>39.5</v>
      </c>
      <c r="K1013" t="e">
        <f>IF(COUNTIF(#REF!,Tabela2[[#This Row],[IdxWspolny]])&gt;0,"ELEM_lub_PRD","TECHN")</f>
        <v>#REF!</v>
      </c>
      <c r="L1013" t="e">
        <f>IF(COUNTIF(#REF!,Tabela2[[#This Row],[KOD_PRODUKTU]])&gt;0,"ELEMENT","PRODUKT")</f>
        <v>#REF!</v>
      </c>
      <c r="M1013" t="e">
        <f>COUNTIF(#REF!,Tabela2[[#This Row],[KOD_PRODUKTU]])</f>
        <v>#REF!</v>
      </c>
    </row>
    <row r="1014" spans="1:13" x14ac:dyDescent="0.25">
      <c r="A1014" s="1" t="s">
        <v>1944</v>
      </c>
      <c r="B1014" t="s">
        <v>1945</v>
      </c>
      <c r="C1014" s="1" t="s">
        <v>1950</v>
      </c>
      <c r="D1014" s="1" t="s">
        <v>1950</v>
      </c>
      <c r="E1014" s="1" t="s">
        <v>1950</v>
      </c>
      <c r="F1014" t="s">
        <v>1951</v>
      </c>
      <c r="G1014" t="s">
        <v>165</v>
      </c>
      <c r="H1014" t="s">
        <v>121</v>
      </c>
      <c r="I1014" t="s">
        <v>50</v>
      </c>
      <c r="J1014">
        <v>13.7</v>
      </c>
      <c r="K1014" t="e">
        <f>IF(COUNTIF(#REF!,Tabela2[[#This Row],[IdxWspolny]])&gt;0,"ELEM_lub_PRD","TECHN")</f>
        <v>#REF!</v>
      </c>
      <c r="L1014" t="e">
        <f>IF(COUNTIF(#REF!,Tabela2[[#This Row],[KOD_PRODUKTU]])&gt;0,"ELEMENT","PRODUKT")</f>
        <v>#REF!</v>
      </c>
      <c r="M1014" t="e">
        <f>COUNTIF(#REF!,Tabela2[[#This Row],[KOD_PRODUKTU]])</f>
        <v>#REF!</v>
      </c>
    </row>
    <row r="1015" spans="1:13" x14ac:dyDescent="0.25">
      <c r="A1015" s="1" t="s">
        <v>1944</v>
      </c>
      <c r="B1015" t="s">
        <v>1945</v>
      </c>
      <c r="C1015" s="1" t="s">
        <v>1952</v>
      </c>
      <c r="D1015" s="1" t="s">
        <v>1952</v>
      </c>
      <c r="E1015" s="1" t="s">
        <v>1952</v>
      </c>
      <c r="F1015" t="s">
        <v>1953</v>
      </c>
      <c r="G1015" t="s">
        <v>1884</v>
      </c>
      <c r="H1015" t="s">
        <v>121</v>
      </c>
      <c r="I1015" t="s">
        <v>50</v>
      </c>
      <c r="J1015">
        <v>9.6</v>
      </c>
      <c r="K1015" t="e">
        <f>IF(COUNTIF(#REF!,Tabela2[[#This Row],[IdxWspolny]])&gt;0,"ELEM_lub_PRD","TECHN")</f>
        <v>#REF!</v>
      </c>
      <c r="L1015" t="e">
        <f>IF(COUNTIF(#REF!,Tabela2[[#This Row],[KOD_PRODUKTU]])&gt;0,"ELEMENT","PRODUKT")</f>
        <v>#REF!</v>
      </c>
      <c r="M1015" t="e">
        <f>COUNTIF(#REF!,Tabela2[[#This Row],[KOD_PRODUKTU]])</f>
        <v>#REF!</v>
      </c>
    </row>
    <row r="1016" spans="1:13" x14ac:dyDescent="0.25">
      <c r="A1016" s="1" t="s">
        <v>1944</v>
      </c>
      <c r="B1016" t="s">
        <v>1945</v>
      </c>
      <c r="C1016" s="1" t="s">
        <v>7</v>
      </c>
      <c r="D1016" s="1" t="s">
        <v>7</v>
      </c>
      <c r="E1016" s="1" t="s">
        <v>7</v>
      </c>
      <c r="F1016" t="s">
        <v>8</v>
      </c>
      <c r="G1016" t="s">
        <v>9</v>
      </c>
      <c r="H1016" t="s">
        <v>10</v>
      </c>
      <c r="I1016" t="s">
        <v>33</v>
      </c>
      <c r="J1016">
        <v>9.1999999999999993</v>
      </c>
      <c r="K1016" t="e">
        <f>IF(COUNTIF(#REF!,Tabela2[[#This Row],[IdxWspolny]])&gt;0,"ELEM_lub_PRD","TECHN")</f>
        <v>#REF!</v>
      </c>
      <c r="L1016" t="e">
        <f>IF(COUNTIF(#REF!,Tabela2[[#This Row],[KOD_PRODUKTU]])&gt;0,"ELEMENT","PRODUKT")</f>
        <v>#REF!</v>
      </c>
      <c r="M1016" t="e">
        <f>COUNTIF(#REF!,Tabela2[[#This Row],[KOD_PRODUKTU]])</f>
        <v>#REF!</v>
      </c>
    </row>
    <row r="1017" spans="1:13" x14ac:dyDescent="0.25">
      <c r="A1017" s="1" t="s">
        <v>1944</v>
      </c>
      <c r="B1017" t="s">
        <v>1945</v>
      </c>
      <c r="C1017" s="1" t="s">
        <v>7</v>
      </c>
      <c r="D1017" s="1" t="s">
        <v>7</v>
      </c>
      <c r="E1017" s="1" t="s">
        <v>7</v>
      </c>
      <c r="F1017" t="s">
        <v>8</v>
      </c>
      <c r="G1017" t="s">
        <v>9</v>
      </c>
      <c r="H1017" t="s">
        <v>10</v>
      </c>
      <c r="I1017" t="s">
        <v>19</v>
      </c>
      <c r="J1017">
        <v>4.5999999999999996</v>
      </c>
      <c r="K1017" t="e">
        <f>IF(COUNTIF(#REF!,Tabela2[[#This Row],[IdxWspolny]])&gt;0,"ELEM_lub_PRD","TECHN")</f>
        <v>#REF!</v>
      </c>
      <c r="L1017" t="e">
        <f>IF(COUNTIF(#REF!,Tabela2[[#This Row],[KOD_PRODUKTU]])&gt;0,"ELEMENT","PRODUKT")</f>
        <v>#REF!</v>
      </c>
      <c r="M1017" t="e">
        <f>COUNTIF(#REF!,Tabela2[[#This Row],[KOD_PRODUKTU]])</f>
        <v>#REF!</v>
      </c>
    </row>
    <row r="1018" spans="1:13" x14ac:dyDescent="0.25">
      <c r="A1018" s="1" t="s">
        <v>1954</v>
      </c>
      <c r="B1018" t="s">
        <v>1955</v>
      </c>
      <c r="C1018" s="1" t="s">
        <v>1956</v>
      </c>
      <c r="D1018" s="1" t="s">
        <v>1956</v>
      </c>
      <c r="E1018" s="1" t="s">
        <v>1956</v>
      </c>
      <c r="F1018" t="s">
        <v>1957</v>
      </c>
      <c r="G1018" t="s">
        <v>1958</v>
      </c>
      <c r="H1018" t="s">
        <v>121</v>
      </c>
      <c r="I1018" t="s">
        <v>50</v>
      </c>
      <c r="J1018">
        <v>364</v>
      </c>
      <c r="K1018" t="e">
        <f>IF(COUNTIF(#REF!,Tabela2[[#This Row],[IdxWspolny]])&gt;0,"ELEM_lub_PRD","TECHN")</f>
        <v>#REF!</v>
      </c>
      <c r="L1018" t="e">
        <f>IF(COUNTIF(#REF!,Tabela2[[#This Row],[KOD_PRODUKTU]])&gt;0,"ELEMENT","PRODUKT")</f>
        <v>#REF!</v>
      </c>
      <c r="M1018" t="e">
        <f>COUNTIF(#REF!,Tabela2[[#This Row],[KOD_PRODUKTU]])</f>
        <v>#REF!</v>
      </c>
    </row>
    <row r="1019" spans="1:13" x14ac:dyDescent="0.25">
      <c r="A1019" s="1" t="s">
        <v>1954</v>
      </c>
      <c r="B1019" t="s">
        <v>1955</v>
      </c>
      <c r="C1019" s="1" t="s">
        <v>1074</v>
      </c>
      <c r="D1019" s="1" t="s">
        <v>1074</v>
      </c>
      <c r="E1019" s="1" t="s">
        <v>1074</v>
      </c>
      <c r="F1019" t="s">
        <v>1075</v>
      </c>
      <c r="G1019" t="s">
        <v>1076</v>
      </c>
      <c r="H1019" t="s">
        <v>5</v>
      </c>
      <c r="I1019" t="s">
        <v>605</v>
      </c>
      <c r="J1019">
        <v>0.27</v>
      </c>
      <c r="K1019" t="e">
        <f>IF(COUNTIF(#REF!,Tabela2[[#This Row],[IdxWspolny]])&gt;0,"ELEM_lub_PRD","TECHN")</f>
        <v>#REF!</v>
      </c>
      <c r="L1019" t="e">
        <f>IF(COUNTIF(#REF!,Tabela2[[#This Row],[KOD_PRODUKTU]])&gt;0,"ELEMENT","PRODUKT")</f>
        <v>#REF!</v>
      </c>
      <c r="M1019" t="e">
        <f>COUNTIF(#REF!,Tabela2[[#This Row],[KOD_PRODUKTU]])</f>
        <v>#REF!</v>
      </c>
    </row>
    <row r="1020" spans="1:13" x14ac:dyDescent="0.25">
      <c r="A1020" s="1" t="s">
        <v>1954</v>
      </c>
      <c r="B1020" t="s">
        <v>1955</v>
      </c>
      <c r="C1020" s="1" t="s">
        <v>1959</v>
      </c>
      <c r="D1020" s="1" t="s">
        <v>1959</v>
      </c>
      <c r="E1020" s="1" t="s">
        <v>1959</v>
      </c>
      <c r="F1020" t="s">
        <v>1960</v>
      </c>
      <c r="G1020" t="s">
        <v>131</v>
      </c>
      <c r="H1020" t="s">
        <v>5</v>
      </c>
      <c r="I1020" t="s">
        <v>1961</v>
      </c>
      <c r="J1020">
        <v>1.65</v>
      </c>
      <c r="K1020" t="e">
        <f>IF(COUNTIF(#REF!,Tabela2[[#This Row],[IdxWspolny]])&gt;0,"ELEM_lub_PRD","TECHN")</f>
        <v>#REF!</v>
      </c>
      <c r="L1020" t="e">
        <f>IF(COUNTIF(#REF!,Tabela2[[#This Row],[KOD_PRODUKTU]])&gt;0,"ELEMENT","PRODUKT")</f>
        <v>#REF!</v>
      </c>
      <c r="M1020" t="e">
        <f>COUNTIF(#REF!,Tabela2[[#This Row],[KOD_PRODUKTU]])</f>
        <v>#REF!</v>
      </c>
    </row>
    <row r="1021" spans="1:13" x14ac:dyDescent="0.25">
      <c r="A1021" s="1" t="s">
        <v>1954</v>
      </c>
      <c r="B1021" t="s">
        <v>1955</v>
      </c>
      <c r="C1021" s="1" t="s">
        <v>1962</v>
      </c>
      <c r="D1021" s="1" t="s">
        <v>1962</v>
      </c>
      <c r="E1021" s="1" t="s">
        <v>1962</v>
      </c>
      <c r="F1021" t="s">
        <v>1963</v>
      </c>
      <c r="G1021" t="s">
        <v>1964</v>
      </c>
      <c r="H1021" t="s">
        <v>1965</v>
      </c>
      <c r="I1021" t="s">
        <v>40</v>
      </c>
      <c r="J1021">
        <v>0.15</v>
      </c>
      <c r="K1021" t="e">
        <f>IF(COUNTIF(#REF!,Tabela2[[#This Row],[IdxWspolny]])&gt;0,"ELEM_lub_PRD","TECHN")</f>
        <v>#REF!</v>
      </c>
      <c r="L1021" t="e">
        <f>IF(COUNTIF(#REF!,Tabela2[[#This Row],[KOD_PRODUKTU]])&gt;0,"ELEMENT","PRODUKT")</f>
        <v>#REF!</v>
      </c>
      <c r="M1021" t="e">
        <f>COUNTIF(#REF!,Tabela2[[#This Row],[KOD_PRODUKTU]])</f>
        <v>#REF!</v>
      </c>
    </row>
    <row r="1022" spans="1:13" x14ac:dyDescent="0.25">
      <c r="A1022" s="1" t="s">
        <v>1954</v>
      </c>
      <c r="B1022" t="s">
        <v>1955</v>
      </c>
      <c r="C1022" s="1" t="s">
        <v>479</v>
      </c>
      <c r="D1022" s="1" t="s">
        <v>479</v>
      </c>
      <c r="E1022" s="1" t="s">
        <v>479</v>
      </c>
      <c r="F1022" t="s">
        <v>480</v>
      </c>
      <c r="G1022" t="s">
        <v>481</v>
      </c>
      <c r="H1022" t="s">
        <v>5</v>
      </c>
      <c r="I1022" t="s">
        <v>1966</v>
      </c>
      <c r="J1022">
        <v>0.33</v>
      </c>
      <c r="K1022" t="e">
        <f>IF(COUNTIF(#REF!,Tabela2[[#This Row],[IdxWspolny]])&gt;0,"ELEM_lub_PRD","TECHN")</f>
        <v>#REF!</v>
      </c>
      <c r="L1022" t="e">
        <f>IF(COUNTIF(#REF!,Tabela2[[#This Row],[KOD_PRODUKTU]])&gt;0,"ELEMENT","PRODUKT")</f>
        <v>#REF!</v>
      </c>
      <c r="M1022" t="e">
        <f>COUNTIF(#REF!,Tabela2[[#This Row],[KOD_PRODUKTU]])</f>
        <v>#REF!</v>
      </c>
    </row>
    <row r="1023" spans="1:13" x14ac:dyDescent="0.25">
      <c r="A1023" s="1" t="s">
        <v>1954</v>
      </c>
      <c r="B1023" t="s">
        <v>1955</v>
      </c>
      <c r="C1023" s="1" t="s">
        <v>628</v>
      </c>
      <c r="D1023" s="1" t="s">
        <v>628</v>
      </c>
      <c r="E1023" s="1" t="s">
        <v>628</v>
      </c>
      <c r="F1023" t="s">
        <v>629</v>
      </c>
      <c r="G1023" t="s">
        <v>698</v>
      </c>
      <c r="H1023" t="s">
        <v>5</v>
      </c>
      <c r="I1023" t="s">
        <v>1967</v>
      </c>
      <c r="J1023">
        <v>0.46</v>
      </c>
      <c r="K1023" t="e">
        <f>IF(COUNTIF(#REF!,Tabela2[[#This Row],[IdxWspolny]])&gt;0,"ELEM_lub_PRD","TECHN")</f>
        <v>#REF!</v>
      </c>
      <c r="L1023" t="e">
        <f>IF(COUNTIF(#REF!,Tabela2[[#This Row],[KOD_PRODUKTU]])&gt;0,"ELEMENT","PRODUKT")</f>
        <v>#REF!</v>
      </c>
      <c r="M1023" t="e">
        <f>COUNTIF(#REF!,Tabela2[[#This Row],[KOD_PRODUKTU]])</f>
        <v>#REF!</v>
      </c>
    </row>
    <row r="1024" spans="1:13" x14ac:dyDescent="0.25">
      <c r="A1024" s="1" t="s">
        <v>1954</v>
      </c>
      <c r="B1024" t="s">
        <v>1955</v>
      </c>
      <c r="C1024" s="1" t="s">
        <v>1968</v>
      </c>
      <c r="D1024" s="1" t="s">
        <v>1968</v>
      </c>
      <c r="E1024" s="1" t="s">
        <v>1968</v>
      </c>
      <c r="F1024" t="s">
        <v>1969</v>
      </c>
      <c r="G1024" t="s">
        <v>1970</v>
      </c>
      <c r="H1024" t="s">
        <v>5</v>
      </c>
      <c r="I1024" t="s">
        <v>40</v>
      </c>
      <c r="J1024">
        <v>0.13</v>
      </c>
      <c r="K1024" t="e">
        <f>IF(COUNTIF(#REF!,Tabela2[[#This Row],[IdxWspolny]])&gt;0,"ELEM_lub_PRD","TECHN")</f>
        <v>#REF!</v>
      </c>
      <c r="L1024" t="e">
        <f>IF(COUNTIF(#REF!,Tabela2[[#This Row],[KOD_PRODUKTU]])&gt;0,"ELEMENT","PRODUKT")</f>
        <v>#REF!</v>
      </c>
      <c r="M1024" t="e">
        <f>COUNTIF(#REF!,Tabela2[[#This Row],[KOD_PRODUKTU]])</f>
        <v>#REF!</v>
      </c>
    </row>
    <row r="1025" spans="1:14" x14ac:dyDescent="0.25">
      <c r="A1025" s="1" t="s">
        <v>1954</v>
      </c>
      <c r="B1025" t="s">
        <v>1955</v>
      </c>
      <c r="C1025" s="1" t="s">
        <v>1971</v>
      </c>
      <c r="D1025" s="1" t="s">
        <v>1971</v>
      </c>
      <c r="E1025" s="1" t="s">
        <v>1971</v>
      </c>
      <c r="F1025" t="s">
        <v>1972</v>
      </c>
      <c r="G1025" t="s">
        <v>1005</v>
      </c>
      <c r="H1025" t="s">
        <v>5</v>
      </c>
      <c r="I1025" t="s">
        <v>1973</v>
      </c>
      <c r="J1025">
        <v>1.42</v>
      </c>
      <c r="K1025" t="e">
        <f>IF(COUNTIF(#REF!,Tabela2[[#This Row],[IdxWspolny]])&gt;0,"ELEM_lub_PRD","TECHN")</f>
        <v>#REF!</v>
      </c>
      <c r="L1025" t="e">
        <f>IF(COUNTIF(#REF!,Tabela2[[#This Row],[KOD_PRODUKTU]])&gt;0,"ELEMENT","PRODUKT")</f>
        <v>#REF!</v>
      </c>
      <c r="M1025" t="e">
        <f>COUNTIF(#REF!,Tabela2[[#This Row],[KOD_PRODUKTU]])</f>
        <v>#REF!</v>
      </c>
    </row>
    <row r="1026" spans="1:14" x14ac:dyDescent="0.25">
      <c r="A1026" s="1" t="s">
        <v>1954</v>
      </c>
      <c r="B1026" t="s">
        <v>1955</v>
      </c>
      <c r="C1026" s="1" t="s">
        <v>1974</v>
      </c>
      <c r="D1026" s="1" t="s">
        <v>1974</v>
      </c>
      <c r="E1026" s="1" t="s">
        <v>1974</v>
      </c>
      <c r="F1026" t="s">
        <v>1975</v>
      </c>
      <c r="G1026" t="s">
        <v>1479</v>
      </c>
      <c r="H1026" t="s">
        <v>121</v>
      </c>
      <c r="I1026" t="s">
        <v>1976</v>
      </c>
      <c r="J1026">
        <v>4.3899999999999997</v>
      </c>
      <c r="K1026" t="e">
        <f>IF(COUNTIF(#REF!,Tabela2[[#This Row],[IdxWspolny]])&gt;0,"ELEM_lub_PRD","TECHN")</f>
        <v>#REF!</v>
      </c>
      <c r="L1026" t="e">
        <f>IF(COUNTIF(#REF!,Tabela2[[#This Row],[KOD_PRODUKTU]])&gt;0,"ELEMENT","PRODUKT")</f>
        <v>#REF!</v>
      </c>
      <c r="M1026" t="e">
        <f>COUNTIF(#REF!,Tabela2[[#This Row],[KOD_PRODUKTU]])</f>
        <v>#REF!</v>
      </c>
    </row>
    <row r="1027" spans="1:14" x14ac:dyDescent="0.25">
      <c r="A1027" s="1" t="s">
        <v>1954</v>
      </c>
      <c r="B1027" t="s">
        <v>1955</v>
      </c>
      <c r="C1027" s="1" t="s">
        <v>41</v>
      </c>
      <c r="D1027" s="1" t="s">
        <v>41</v>
      </c>
      <c r="E1027" s="1" t="s">
        <v>41</v>
      </c>
      <c r="F1027" t="s">
        <v>42</v>
      </c>
      <c r="G1027" t="s">
        <v>43</v>
      </c>
      <c r="H1027" t="s">
        <v>5</v>
      </c>
      <c r="I1027" t="s">
        <v>227</v>
      </c>
      <c r="J1027">
        <v>0.01</v>
      </c>
      <c r="K1027" t="e">
        <f>IF(COUNTIF(#REF!,Tabela2[[#This Row],[IdxWspolny]])&gt;0,"ELEM_lub_PRD","TECHN")</f>
        <v>#REF!</v>
      </c>
      <c r="L1027" t="e">
        <f>IF(COUNTIF(#REF!,Tabela2[[#This Row],[KOD_PRODUKTU]])&gt;0,"ELEMENT","PRODUKT")</f>
        <v>#REF!</v>
      </c>
      <c r="M1027" t="e">
        <f>COUNTIF(#REF!,Tabela2[[#This Row],[KOD_PRODUKTU]])</f>
        <v>#REF!</v>
      </c>
    </row>
    <row r="1028" spans="1:14" x14ac:dyDescent="0.25">
      <c r="A1028" s="1" t="s">
        <v>1954</v>
      </c>
      <c r="B1028" t="s">
        <v>1955</v>
      </c>
      <c r="C1028" s="1" t="s">
        <v>1977</v>
      </c>
      <c r="D1028" s="1" t="s">
        <v>1977</v>
      </c>
      <c r="E1028" s="1" t="s">
        <v>1977</v>
      </c>
      <c r="F1028" t="s">
        <v>1978</v>
      </c>
      <c r="G1028" t="s">
        <v>1090</v>
      </c>
      <c r="H1028" t="s">
        <v>121</v>
      </c>
      <c r="I1028" t="s">
        <v>50</v>
      </c>
      <c r="J1028">
        <v>0.1</v>
      </c>
      <c r="K1028" t="e">
        <f>IF(COUNTIF(#REF!,Tabela2[[#This Row],[IdxWspolny]])&gt;0,"ELEM_lub_PRD","TECHN")</f>
        <v>#REF!</v>
      </c>
      <c r="L1028" t="e">
        <f>IF(COUNTIF(#REF!,Tabela2[[#This Row],[KOD_PRODUKTU]])&gt;0,"ELEMENT","PRODUKT")</f>
        <v>#REF!</v>
      </c>
      <c r="M1028" t="e">
        <f>COUNTIF(#REF!,Tabela2[[#This Row],[KOD_PRODUKTU]])</f>
        <v>#REF!</v>
      </c>
    </row>
    <row r="1029" spans="1:14" x14ac:dyDescent="0.25">
      <c r="A1029" s="1" t="s">
        <v>1954</v>
      </c>
      <c r="B1029" t="s">
        <v>1955</v>
      </c>
      <c r="C1029" s="1" t="s">
        <v>1979</v>
      </c>
      <c r="D1029" s="1" t="s">
        <v>1979</v>
      </c>
      <c r="E1029" s="1" t="s">
        <v>1979</v>
      </c>
      <c r="F1029" t="s">
        <v>1978</v>
      </c>
      <c r="G1029" t="s">
        <v>1090</v>
      </c>
      <c r="H1029" t="s">
        <v>121</v>
      </c>
      <c r="I1029" t="s">
        <v>50</v>
      </c>
      <c r="J1029">
        <v>0.1</v>
      </c>
      <c r="K1029" t="e">
        <f>IF(COUNTIF(#REF!,Tabela2[[#This Row],[IdxWspolny]])&gt;0,"ELEM_lub_PRD","TECHN")</f>
        <v>#REF!</v>
      </c>
      <c r="L1029" t="e">
        <f>IF(COUNTIF(#REF!,Tabela2[[#This Row],[KOD_PRODUKTU]])&gt;0,"ELEMENT","PRODUKT")</f>
        <v>#REF!</v>
      </c>
      <c r="M1029" t="e">
        <f>COUNTIF(#REF!,Tabela2[[#This Row],[KOD_PRODUKTU]])</f>
        <v>#REF!</v>
      </c>
    </row>
    <row r="1030" spans="1:14" hidden="1" x14ac:dyDescent="0.25">
      <c r="A1030" s="1" t="s">
        <v>1954</v>
      </c>
      <c r="B1030" t="s">
        <v>1955</v>
      </c>
      <c r="C1030" s="1" t="s">
        <v>1980</v>
      </c>
      <c r="D1030" s="1" t="s">
        <v>1980</v>
      </c>
      <c r="E1030" s="1" t="s">
        <v>1980</v>
      </c>
      <c r="F1030" t="s">
        <v>1981</v>
      </c>
      <c r="G1030" t="s">
        <v>1982</v>
      </c>
      <c r="H1030" t="s">
        <v>49</v>
      </c>
      <c r="I1030" t="s">
        <v>50</v>
      </c>
      <c r="J1030">
        <v>115</v>
      </c>
      <c r="K1030" t="e">
        <f>IF(COUNTIF(#REF!,Tabela2[[#This Row],[IdxWspolny]])&gt;0,"ELEM_lub_PRD","TECHN")</f>
        <v>#REF!</v>
      </c>
      <c r="L1030" t="e">
        <f>IF(COUNTIF(#REF!,Tabela2[[#This Row],[KOD_PRODUKTU]])&gt;0,"ELEMENT","PRODUKT")</f>
        <v>#REF!</v>
      </c>
      <c r="M1030" t="e">
        <f>COUNTIF(#REF!,Tabela2[[#This Row],[KOD_PRODUKTU]])</f>
        <v>#REF!</v>
      </c>
      <c r="N1030" t="s">
        <v>55</v>
      </c>
    </row>
    <row r="1031" spans="1:14" hidden="1" x14ac:dyDescent="0.25">
      <c r="A1031" s="1" t="s">
        <v>1954</v>
      </c>
      <c r="B1031" t="s">
        <v>1955</v>
      </c>
      <c r="C1031" s="1" t="s">
        <v>1983</v>
      </c>
      <c r="D1031" s="1" t="s">
        <v>1983</v>
      </c>
      <c r="E1031" s="1" t="s">
        <v>1983</v>
      </c>
      <c r="F1031" t="s">
        <v>1984</v>
      </c>
      <c r="G1031" t="s">
        <v>1985</v>
      </c>
      <c r="H1031" t="s">
        <v>49</v>
      </c>
      <c r="I1031" t="s">
        <v>50</v>
      </c>
      <c r="J1031">
        <v>127</v>
      </c>
      <c r="K1031" t="e">
        <f>IF(COUNTIF(#REF!,Tabela2[[#This Row],[IdxWspolny]])&gt;0,"ELEM_lub_PRD","TECHN")</f>
        <v>#REF!</v>
      </c>
      <c r="L1031" t="e">
        <f>IF(COUNTIF(#REF!,Tabela2[[#This Row],[KOD_PRODUKTU]])&gt;0,"ELEMENT","PRODUKT")</f>
        <v>#REF!</v>
      </c>
      <c r="M1031" t="e">
        <f>COUNTIF(#REF!,Tabela2[[#This Row],[KOD_PRODUKTU]])</f>
        <v>#REF!</v>
      </c>
      <c r="N1031" t="s">
        <v>55</v>
      </c>
    </row>
    <row r="1032" spans="1:14" hidden="1" x14ac:dyDescent="0.25">
      <c r="A1032" s="1" t="s">
        <v>1954</v>
      </c>
      <c r="B1032" t="s">
        <v>1955</v>
      </c>
      <c r="C1032" s="1" t="s">
        <v>1986</v>
      </c>
      <c r="D1032" s="1" t="s">
        <v>1986</v>
      </c>
      <c r="E1032" s="1" t="s">
        <v>1986</v>
      </c>
      <c r="F1032" t="s">
        <v>1987</v>
      </c>
      <c r="G1032" t="s">
        <v>1988</v>
      </c>
      <c r="H1032" t="s">
        <v>49</v>
      </c>
      <c r="I1032" t="s">
        <v>50</v>
      </c>
      <c r="J1032">
        <v>114</v>
      </c>
      <c r="K1032" t="e">
        <f>IF(COUNTIF(#REF!,Tabela2[[#This Row],[IdxWspolny]])&gt;0,"ELEM_lub_PRD","TECHN")</f>
        <v>#REF!</v>
      </c>
      <c r="L1032" t="e">
        <f>IF(COUNTIF(#REF!,Tabela2[[#This Row],[KOD_PRODUKTU]])&gt;0,"ELEMENT","PRODUKT")</f>
        <v>#REF!</v>
      </c>
      <c r="M1032" t="e">
        <f>COUNTIF(#REF!,Tabela2[[#This Row],[KOD_PRODUKTU]])</f>
        <v>#REF!</v>
      </c>
      <c r="N1032" t="s">
        <v>55</v>
      </c>
    </row>
    <row r="1033" spans="1:14" x14ac:dyDescent="0.25">
      <c r="A1033" s="1" t="s">
        <v>1954</v>
      </c>
      <c r="B1033" t="s">
        <v>1955</v>
      </c>
      <c r="C1033" s="1" t="s">
        <v>1989</v>
      </c>
      <c r="D1033" s="1" t="s">
        <v>1989</v>
      </c>
      <c r="E1033" s="1" t="s">
        <v>1989</v>
      </c>
      <c r="F1033" t="s">
        <v>1990</v>
      </c>
      <c r="G1033" t="s">
        <v>1991</v>
      </c>
      <c r="H1033" t="s">
        <v>435</v>
      </c>
      <c r="I1033" t="s">
        <v>1992</v>
      </c>
      <c r="J1033">
        <v>26.4</v>
      </c>
      <c r="K1033" t="e">
        <f>IF(COUNTIF(#REF!,Tabela2[[#This Row],[IdxWspolny]])&gt;0,"ELEM_lub_PRD","TECHN")</f>
        <v>#REF!</v>
      </c>
      <c r="L1033" t="e">
        <f>IF(COUNTIF(#REF!,Tabela2[[#This Row],[KOD_PRODUKTU]])&gt;0,"ELEMENT","PRODUKT")</f>
        <v>#REF!</v>
      </c>
      <c r="M1033" t="e">
        <f>COUNTIF(#REF!,Tabela2[[#This Row],[KOD_PRODUKTU]])</f>
        <v>#REF!</v>
      </c>
    </row>
    <row r="1034" spans="1:14" x14ac:dyDescent="0.25">
      <c r="A1034" s="1" t="s">
        <v>1954</v>
      </c>
      <c r="B1034" t="s">
        <v>1955</v>
      </c>
      <c r="C1034" s="1" t="s">
        <v>7</v>
      </c>
      <c r="D1034" s="1" t="s">
        <v>7</v>
      </c>
      <c r="E1034" s="1" t="s">
        <v>7</v>
      </c>
      <c r="F1034" t="s">
        <v>8</v>
      </c>
      <c r="G1034" t="s">
        <v>9</v>
      </c>
      <c r="H1034" t="s">
        <v>10</v>
      </c>
      <c r="I1034" t="s">
        <v>1993</v>
      </c>
      <c r="J1034">
        <v>100</v>
      </c>
      <c r="K1034" t="e">
        <f>IF(COUNTIF(#REF!,Tabela2[[#This Row],[IdxWspolny]])&gt;0,"ELEM_lub_PRD","TECHN")</f>
        <v>#REF!</v>
      </c>
      <c r="L1034" t="e">
        <f>IF(COUNTIF(#REF!,Tabela2[[#This Row],[KOD_PRODUKTU]])&gt;0,"ELEMENT","PRODUKT")</f>
        <v>#REF!</v>
      </c>
      <c r="M1034" t="e">
        <f>COUNTIF(#REF!,Tabela2[[#This Row],[KOD_PRODUKTU]])</f>
        <v>#REF!</v>
      </c>
    </row>
    <row r="1035" spans="1:14" x14ac:dyDescent="0.25">
      <c r="A1035" s="1" t="s">
        <v>1994</v>
      </c>
      <c r="B1035" t="s">
        <v>1995</v>
      </c>
      <c r="C1035" s="1" t="s">
        <v>1996</v>
      </c>
      <c r="D1035" s="1" t="s">
        <v>1996</v>
      </c>
      <c r="E1035" s="1" t="s">
        <v>1996</v>
      </c>
      <c r="F1035" t="s">
        <v>1997</v>
      </c>
      <c r="G1035" t="s">
        <v>1998</v>
      </c>
      <c r="H1035" t="s">
        <v>49</v>
      </c>
      <c r="I1035" t="s">
        <v>50</v>
      </c>
      <c r="J1035">
        <v>680</v>
      </c>
      <c r="K1035" t="e">
        <f>IF(COUNTIF(#REF!,Tabela2[[#This Row],[IdxWspolny]])&gt;0,"ELEM_lub_PRD","TECHN")</f>
        <v>#REF!</v>
      </c>
      <c r="L1035" t="e">
        <f>IF(COUNTIF(#REF!,Tabela2[[#This Row],[KOD_PRODUKTU]])&gt;0,"ELEMENT","PRODUKT")</f>
        <v>#REF!</v>
      </c>
      <c r="M1035" t="e">
        <f>COUNTIF(#REF!,Tabela2[[#This Row],[KOD_PRODUKTU]])</f>
        <v>#REF!</v>
      </c>
    </row>
    <row r="1036" spans="1:14" x14ac:dyDescent="0.25">
      <c r="A1036" s="1" t="s">
        <v>1994</v>
      </c>
      <c r="B1036" t="s">
        <v>1995</v>
      </c>
      <c r="C1036" s="1" t="s">
        <v>1999</v>
      </c>
      <c r="D1036" s="1" t="s">
        <v>1999</v>
      </c>
      <c r="E1036" s="1" t="s">
        <v>1999</v>
      </c>
      <c r="F1036" t="s">
        <v>2000</v>
      </c>
      <c r="G1036" t="s">
        <v>2001</v>
      </c>
      <c r="H1036" t="s">
        <v>49</v>
      </c>
      <c r="I1036" t="s">
        <v>2002</v>
      </c>
      <c r="J1036">
        <v>0</v>
      </c>
      <c r="K1036" t="e">
        <f>IF(COUNTIF(#REF!,Tabela2[[#This Row],[IdxWspolny]])&gt;0,"ELEM_lub_PRD","TECHN")</f>
        <v>#REF!</v>
      </c>
      <c r="L1036" t="e">
        <f>IF(COUNTIF(#REF!,Tabela2[[#This Row],[KOD_PRODUKTU]])&gt;0,"ELEMENT","PRODUKT")</f>
        <v>#REF!</v>
      </c>
      <c r="M1036" t="e">
        <f>COUNTIF(#REF!,Tabela2[[#This Row],[KOD_PRODUKTU]])</f>
        <v>#REF!</v>
      </c>
    </row>
    <row r="1037" spans="1:14" x14ac:dyDescent="0.25">
      <c r="A1037" s="1" t="s">
        <v>1994</v>
      </c>
      <c r="B1037" t="s">
        <v>1995</v>
      </c>
      <c r="C1037" s="1" t="s">
        <v>623</v>
      </c>
      <c r="D1037" s="1" t="s">
        <v>623</v>
      </c>
      <c r="E1037" s="1" t="s">
        <v>623</v>
      </c>
      <c r="F1037" t="s">
        <v>624</v>
      </c>
      <c r="G1037" t="s">
        <v>589</v>
      </c>
      <c r="H1037" t="s">
        <v>5</v>
      </c>
      <c r="I1037" t="s">
        <v>2003</v>
      </c>
      <c r="J1037">
        <v>0.14000000000000001</v>
      </c>
      <c r="K1037" t="e">
        <f>IF(COUNTIF(#REF!,Tabela2[[#This Row],[IdxWspolny]])&gt;0,"ELEM_lub_PRD","TECHN")</f>
        <v>#REF!</v>
      </c>
      <c r="L1037" t="e">
        <f>IF(COUNTIF(#REF!,Tabela2[[#This Row],[KOD_PRODUKTU]])&gt;0,"ELEMENT","PRODUKT")</f>
        <v>#REF!</v>
      </c>
      <c r="M1037" t="e">
        <f>COUNTIF(#REF!,Tabela2[[#This Row],[KOD_PRODUKTU]])</f>
        <v>#REF!</v>
      </c>
    </row>
    <row r="1038" spans="1:14" x14ac:dyDescent="0.25">
      <c r="A1038" s="1" t="s">
        <v>1994</v>
      </c>
      <c r="B1038" t="s">
        <v>1995</v>
      </c>
      <c r="C1038" s="1" t="s">
        <v>2004</v>
      </c>
      <c r="D1038" s="1" t="s">
        <v>2004</v>
      </c>
      <c r="E1038" s="1" t="s">
        <v>2004</v>
      </c>
      <c r="F1038" t="s">
        <v>2005</v>
      </c>
      <c r="G1038" t="s">
        <v>2006</v>
      </c>
      <c r="H1038" t="s">
        <v>5</v>
      </c>
      <c r="I1038" t="s">
        <v>558</v>
      </c>
      <c r="J1038">
        <v>1.63</v>
      </c>
      <c r="K1038" t="e">
        <f>IF(COUNTIF(#REF!,Tabela2[[#This Row],[IdxWspolny]])&gt;0,"ELEM_lub_PRD","TECHN")</f>
        <v>#REF!</v>
      </c>
      <c r="L1038" t="e">
        <f>IF(COUNTIF(#REF!,Tabela2[[#This Row],[KOD_PRODUKTU]])&gt;0,"ELEMENT","PRODUKT")</f>
        <v>#REF!</v>
      </c>
      <c r="M1038" t="e">
        <f>COUNTIF(#REF!,Tabela2[[#This Row],[KOD_PRODUKTU]])</f>
        <v>#REF!</v>
      </c>
    </row>
    <row r="1039" spans="1:14" x14ac:dyDescent="0.25">
      <c r="A1039" s="1" t="s">
        <v>1994</v>
      </c>
      <c r="B1039" t="s">
        <v>1995</v>
      </c>
      <c r="C1039" s="1" t="s">
        <v>479</v>
      </c>
      <c r="D1039" s="1" t="s">
        <v>479</v>
      </c>
      <c r="E1039" s="1" t="s">
        <v>479</v>
      </c>
      <c r="F1039" t="s">
        <v>480</v>
      </c>
      <c r="G1039" t="s">
        <v>481</v>
      </c>
      <c r="H1039" t="s">
        <v>5</v>
      </c>
      <c r="I1039" t="s">
        <v>1119</v>
      </c>
      <c r="J1039">
        <v>0.35</v>
      </c>
      <c r="K1039" t="e">
        <f>IF(COUNTIF(#REF!,Tabela2[[#This Row],[IdxWspolny]])&gt;0,"ELEM_lub_PRD","TECHN")</f>
        <v>#REF!</v>
      </c>
      <c r="L1039" t="e">
        <f>IF(COUNTIF(#REF!,Tabela2[[#This Row],[KOD_PRODUKTU]])&gt;0,"ELEMENT","PRODUKT")</f>
        <v>#REF!</v>
      </c>
      <c r="M1039" t="e">
        <f>COUNTIF(#REF!,Tabela2[[#This Row],[KOD_PRODUKTU]])</f>
        <v>#REF!</v>
      </c>
    </row>
    <row r="1040" spans="1:14" x14ac:dyDescent="0.25">
      <c r="A1040" s="1" t="s">
        <v>1994</v>
      </c>
      <c r="B1040" t="s">
        <v>1995</v>
      </c>
      <c r="C1040" s="1" t="s">
        <v>2007</v>
      </c>
      <c r="D1040" s="1" t="s">
        <v>2007</v>
      </c>
      <c r="E1040" s="1" t="s">
        <v>2007</v>
      </c>
      <c r="F1040" t="s">
        <v>2008</v>
      </c>
      <c r="G1040" t="s">
        <v>417</v>
      </c>
      <c r="H1040" t="s">
        <v>5</v>
      </c>
      <c r="I1040" t="s">
        <v>25</v>
      </c>
      <c r="J1040">
        <v>0.44</v>
      </c>
      <c r="K1040" t="e">
        <f>IF(COUNTIF(#REF!,Tabela2[[#This Row],[IdxWspolny]])&gt;0,"ELEM_lub_PRD","TECHN")</f>
        <v>#REF!</v>
      </c>
      <c r="L1040" t="e">
        <f>IF(COUNTIF(#REF!,Tabela2[[#This Row],[KOD_PRODUKTU]])&gt;0,"ELEMENT","PRODUKT")</f>
        <v>#REF!</v>
      </c>
      <c r="M1040" t="e">
        <f>COUNTIF(#REF!,Tabela2[[#This Row],[KOD_PRODUKTU]])</f>
        <v>#REF!</v>
      </c>
    </row>
    <row r="1041" spans="1:14" x14ac:dyDescent="0.25">
      <c r="A1041" s="1" t="s">
        <v>1994</v>
      </c>
      <c r="B1041" t="s">
        <v>1995</v>
      </c>
      <c r="C1041" s="1" t="s">
        <v>2009</v>
      </c>
      <c r="D1041" s="1" t="s">
        <v>2009</v>
      </c>
      <c r="E1041" s="1" t="s">
        <v>2009</v>
      </c>
      <c r="F1041" t="s">
        <v>2010</v>
      </c>
      <c r="G1041" t="s">
        <v>274</v>
      </c>
      <c r="H1041" t="s">
        <v>5</v>
      </c>
      <c r="I1041" t="s">
        <v>2011</v>
      </c>
      <c r="J1041">
        <v>0.18</v>
      </c>
      <c r="K1041" t="e">
        <f>IF(COUNTIF(#REF!,Tabela2[[#This Row],[IdxWspolny]])&gt;0,"ELEM_lub_PRD","TECHN")</f>
        <v>#REF!</v>
      </c>
      <c r="L1041" t="e">
        <f>IF(COUNTIF(#REF!,Tabela2[[#This Row],[KOD_PRODUKTU]])&gt;0,"ELEMENT","PRODUKT")</f>
        <v>#REF!</v>
      </c>
      <c r="M1041" t="e">
        <f>COUNTIF(#REF!,Tabela2[[#This Row],[KOD_PRODUKTU]])</f>
        <v>#REF!</v>
      </c>
    </row>
    <row r="1042" spans="1:14" x14ac:dyDescent="0.25">
      <c r="A1042" s="1" t="s">
        <v>1994</v>
      </c>
      <c r="B1042" t="s">
        <v>1995</v>
      </c>
      <c r="C1042" s="1" t="s">
        <v>628</v>
      </c>
      <c r="D1042" s="1" t="s">
        <v>628</v>
      </c>
      <c r="E1042" s="1" t="s">
        <v>628</v>
      </c>
      <c r="F1042" t="s">
        <v>629</v>
      </c>
      <c r="G1042" t="s">
        <v>698</v>
      </c>
      <c r="H1042" t="s">
        <v>5</v>
      </c>
      <c r="I1042" t="s">
        <v>2012</v>
      </c>
      <c r="J1042">
        <v>0.48</v>
      </c>
      <c r="K1042" t="e">
        <f>IF(COUNTIF(#REF!,Tabela2[[#This Row],[IdxWspolny]])&gt;0,"ELEM_lub_PRD","TECHN")</f>
        <v>#REF!</v>
      </c>
      <c r="L1042" t="e">
        <f>IF(COUNTIF(#REF!,Tabela2[[#This Row],[KOD_PRODUKTU]])&gt;0,"ELEMENT","PRODUKT")</f>
        <v>#REF!</v>
      </c>
      <c r="M1042" t="e">
        <f>COUNTIF(#REF!,Tabela2[[#This Row],[KOD_PRODUKTU]])</f>
        <v>#REF!</v>
      </c>
    </row>
    <row r="1043" spans="1:14" x14ac:dyDescent="0.25">
      <c r="A1043" s="1" t="s">
        <v>1994</v>
      </c>
      <c r="B1043" t="s">
        <v>1995</v>
      </c>
      <c r="C1043" s="1" t="s">
        <v>1971</v>
      </c>
      <c r="D1043" s="1" t="s">
        <v>1971</v>
      </c>
      <c r="E1043" s="1" t="s">
        <v>1971</v>
      </c>
      <c r="F1043" t="s">
        <v>1972</v>
      </c>
      <c r="G1043" t="s">
        <v>1005</v>
      </c>
      <c r="H1043" t="s">
        <v>5</v>
      </c>
      <c r="I1043" t="s">
        <v>2013</v>
      </c>
      <c r="J1043">
        <v>1.5</v>
      </c>
      <c r="K1043" t="e">
        <f>IF(COUNTIF(#REF!,Tabela2[[#This Row],[IdxWspolny]])&gt;0,"ELEM_lub_PRD","TECHN")</f>
        <v>#REF!</v>
      </c>
      <c r="L1043" t="e">
        <f>IF(COUNTIF(#REF!,Tabela2[[#This Row],[KOD_PRODUKTU]])&gt;0,"ELEMENT","PRODUKT")</f>
        <v>#REF!</v>
      </c>
      <c r="M1043" t="e">
        <f>COUNTIF(#REF!,Tabela2[[#This Row],[KOD_PRODUKTU]])</f>
        <v>#REF!</v>
      </c>
    </row>
    <row r="1044" spans="1:14" x14ac:dyDescent="0.25">
      <c r="A1044" s="1" t="s">
        <v>1994</v>
      </c>
      <c r="B1044" t="s">
        <v>1995</v>
      </c>
      <c r="C1044" s="1" t="s">
        <v>1974</v>
      </c>
      <c r="D1044" s="1" t="s">
        <v>1974</v>
      </c>
      <c r="E1044" s="1" t="s">
        <v>1974</v>
      </c>
      <c r="F1044" t="s">
        <v>2014</v>
      </c>
      <c r="G1044" t="s">
        <v>1479</v>
      </c>
      <c r="H1044" t="s">
        <v>121</v>
      </c>
      <c r="I1044" t="s">
        <v>2015</v>
      </c>
      <c r="J1044">
        <v>3.28</v>
      </c>
      <c r="K1044" t="e">
        <f>IF(COUNTIF(#REF!,Tabela2[[#This Row],[IdxWspolny]])&gt;0,"ELEM_lub_PRD","TECHN")</f>
        <v>#REF!</v>
      </c>
      <c r="L1044" t="e">
        <f>IF(COUNTIF(#REF!,Tabela2[[#This Row],[KOD_PRODUKTU]])&gt;0,"ELEMENT","PRODUKT")</f>
        <v>#REF!</v>
      </c>
      <c r="M1044" t="e">
        <f>COUNTIF(#REF!,Tabela2[[#This Row],[KOD_PRODUKTU]])</f>
        <v>#REF!</v>
      </c>
    </row>
    <row r="1045" spans="1:14" x14ac:dyDescent="0.25">
      <c r="A1045" s="1" t="s">
        <v>1994</v>
      </c>
      <c r="B1045" t="s">
        <v>1995</v>
      </c>
      <c r="C1045" s="1" t="s">
        <v>41</v>
      </c>
      <c r="D1045" s="1" t="s">
        <v>41</v>
      </c>
      <c r="E1045" s="1" t="s">
        <v>41</v>
      </c>
      <c r="F1045" t="s">
        <v>42</v>
      </c>
      <c r="G1045" t="s">
        <v>43</v>
      </c>
      <c r="H1045" t="s">
        <v>5</v>
      </c>
      <c r="I1045" t="s">
        <v>227</v>
      </c>
      <c r="J1045">
        <v>0.01</v>
      </c>
      <c r="K1045" t="e">
        <f>IF(COUNTIF(#REF!,Tabela2[[#This Row],[IdxWspolny]])&gt;0,"ELEM_lub_PRD","TECHN")</f>
        <v>#REF!</v>
      </c>
      <c r="L1045" t="e">
        <f>IF(COUNTIF(#REF!,Tabela2[[#This Row],[KOD_PRODUKTU]])&gt;0,"ELEMENT","PRODUKT")</f>
        <v>#REF!</v>
      </c>
      <c r="M1045" t="e">
        <f>COUNTIF(#REF!,Tabela2[[#This Row],[KOD_PRODUKTU]])</f>
        <v>#REF!</v>
      </c>
    </row>
    <row r="1046" spans="1:14" x14ac:dyDescent="0.25">
      <c r="A1046" s="1" t="s">
        <v>1994</v>
      </c>
      <c r="B1046" t="s">
        <v>1995</v>
      </c>
      <c r="C1046" s="1" t="s">
        <v>1977</v>
      </c>
      <c r="D1046" s="1" t="s">
        <v>1977</v>
      </c>
      <c r="E1046" s="1" t="s">
        <v>1977</v>
      </c>
      <c r="F1046" t="s">
        <v>1978</v>
      </c>
      <c r="G1046" t="s">
        <v>1090</v>
      </c>
      <c r="H1046" t="s">
        <v>121</v>
      </c>
      <c r="I1046" t="s">
        <v>50</v>
      </c>
      <c r="J1046">
        <v>0.1</v>
      </c>
      <c r="K1046" t="e">
        <f>IF(COUNTIF(#REF!,Tabela2[[#This Row],[IdxWspolny]])&gt;0,"ELEM_lub_PRD","TECHN")</f>
        <v>#REF!</v>
      </c>
      <c r="L1046" t="e">
        <f>IF(COUNTIF(#REF!,Tabela2[[#This Row],[KOD_PRODUKTU]])&gt;0,"ELEMENT","PRODUKT")</f>
        <v>#REF!</v>
      </c>
      <c r="M1046" t="e">
        <f>COUNTIF(#REF!,Tabela2[[#This Row],[KOD_PRODUKTU]])</f>
        <v>#REF!</v>
      </c>
    </row>
    <row r="1047" spans="1:14" x14ac:dyDescent="0.25">
      <c r="A1047" s="1" t="s">
        <v>1994</v>
      </c>
      <c r="B1047" t="s">
        <v>1995</v>
      </c>
      <c r="C1047" s="1" t="s">
        <v>1979</v>
      </c>
      <c r="D1047" s="1" t="s">
        <v>1979</v>
      </c>
      <c r="E1047" s="1" t="s">
        <v>1979</v>
      </c>
      <c r="F1047" t="s">
        <v>1978</v>
      </c>
      <c r="G1047" t="s">
        <v>1090</v>
      </c>
      <c r="H1047" t="s">
        <v>121</v>
      </c>
      <c r="I1047" t="s">
        <v>50</v>
      </c>
      <c r="J1047">
        <v>0.1</v>
      </c>
      <c r="K1047" t="e">
        <f>IF(COUNTIF(#REF!,Tabela2[[#This Row],[IdxWspolny]])&gt;0,"ELEM_lub_PRD","TECHN")</f>
        <v>#REF!</v>
      </c>
      <c r="L1047" t="e">
        <f>IF(COUNTIF(#REF!,Tabela2[[#This Row],[KOD_PRODUKTU]])&gt;0,"ELEMENT","PRODUKT")</f>
        <v>#REF!</v>
      </c>
      <c r="M1047" t="e">
        <f>COUNTIF(#REF!,Tabela2[[#This Row],[KOD_PRODUKTU]])</f>
        <v>#REF!</v>
      </c>
    </row>
    <row r="1048" spans="1:14" hidden="1" x14ac:dyDescent="0.25">
      <c r="A1048" s="1" t="s">
        <v>1994</v>
      </c>
      <c r="B1048" t="s">
        <v>1995</v>
      </c>
      <c r="C1048" s="1" t="s">
        <v>2016</v>
      </c>
      <c r="D1048" s="1" t="s">
        <v>2016</v>
      </c>
      <c r="E1048" s="1" t="s">
        <v>2016</v>
      </c>
      <c r="F1048" t="s">
        <v>2017</v>
      </c>
      <c r="G1048" t="s">
        <v>2018</v>
      </c>
      <c r="H1048" t="s">
        <v>49</v>
      </c>
      <c r="I1048" t="s">
        <v>50</v>
      </c>
      <c r="J1048">
        <v>165</v>
      </c>
      <c r="K1048" t="e">
        <f>IF(COUNTIF(#REF!,Tabela2[[#This Row],[IdxWspolny]])&gt;0,"ELEM_lub_PRD","TECHN")</f>
        <v>#REF!</v>
      </c>
      <c r="L1048" t="e">
        <f>IF(COUNTIF(#REF!,Tabela2[[#This Row],[KOD_PRODUKTU]])&gt;0,"ELEMENT","PRODUKT")</f>
        <v>#REF!</v>
      </c>
      <c r="M1048" t="e">
        <f>COUNTIF(#REF!,Tabela2[[#This Row],[KOD_PRODUKTU]])</f>
        <v>#REF!</v>
      </c>
      <c r="N1048" t="s">
        <v>55</v>
      </c>
    </row>
    <row r="1049" spans="1:14" hidden="1" x14ac:dyDescent="0.25">
      <c r="A1049" s="1" t="s">
        <v>1994</v>
      </c>
      <c r="B1049" t="s">
        <v>1995</v>
      </c>
      <c r="C1049" s="1" t="s">
        <v>2019</v>
      </c>
      <c r="D1049" s="1" t="s">
        <v>2019</v>
      </c>
      <c r="E1049" s="1" t="s">
        <v>2019</v>
      </c>
      <c r="F1049" t="s">
        <v>2020</v>
      </c>
      <c r="G1049" t="s">
        <v>2021</v>
      </c>
      <c r="H1049" t="s">
        <v>49</v>
      </c>
      <c r="I1049" t="s">
        <v>50</v>
      </c>
      <c r="J1049">
        <v>188</v>
      </c>
      <c r="K1049" t="e">
        <f>IF(COUNTIF(#REF!,Tabela2[[#This Row],[IdxWspolny]])&gt;0,"ELEM_lub_PRD","TECHN")</f>
        <v>#REF!</v>
      </c>
      <c r="L1049" t="e">
        <f>IF(COUNTIF(#REF!,Tabela2[[#This Row],[KOD_PRODUKTU]])&gt;0,"ELEMENT","PRODUKT")</f>
        <v>#REF!</v>
      </c>
      <c r="M1049" t="e">
        <f>COUNTIF(#REF!,Tabela2[[#This Row],[KOD_PRODUKTU]])</f>
        <v>#REF!</v>
      </c>
      <c r="N1049" t="s">
        <v>55</v>
      </c>
    </row>
    <row r="1050" spans="1:14" hidden="1" x14ac:dyDescent="0.25">
      <c r="A1050" s="1" t="s">
        <v>1994</v>
      </c>
      <c r="B1050" t="s">
        <v>1995</v>
      </c>
      <c r="C1050" s="1" t="s">
        <v>2022</v>
      </c>
      <c r="D1050" s="1" t="s">
        <v>2022</v>
      </c>
      <c r="E1050" s="1" t="s">
        <v>2022</v>
      </c>
      <c r="F1050" t="s">
        <v>2023</v>
      </c>
      <c r="G1050" t="s">
        <v>2024</v>
      </c>
      <c r="H1050" t="s">
        <v>49</v>
      </c>
      <c r="I1050" t="s">
        <v>50</v>
      </c>
      <c r="J1050">
        <v>138</v>
      </c>
      <c r="K1050" t="e">
        <f>IF(COUNTIF(#REF!,Tabela2[[#This Row],[IdxWspolny]])&gt;0,"ELEM_lub_PRD","TECHN")</f>
        <v>#REF!</v>
      </c>
      <c r="L1050" t="e">
        <f>IF(COUNTIF(#REF!,Tabela2[[#This Row],[KOD_PRODUKTU]])&gt;0,"ELEMENT","PRODUKT")</f>
        <v>#REF!</v>
      </c>
      <c r="M1050" t="e">
        <f>COUNTIF(#REF!,Tabela2[[#This Row],[KOD_PRODUKTU]])</f>
        <v>#REF!</v>
      </c>
      <c r="N1050" t="s">
        <v>55</v>
      </c>
    </row>
    <row r="1051" spans="1:14" x14ac:dyDescent="0.25">
      <c r="A1051" s="1" t="s">
        <v>1994</v>
      </c>
      <c r="B1051" t="s">
        <v>1995</v>
      </c>
      <c r="C1051" s="1" t="s">
        <v>1989</v>
      </c>
      <c r="D1051" s="1" t="s">
        <v>1989</v>
      </c>
      <c r="E1051" s="1" t="s">
        <v>1989</v>
      </c>
      <c r="F1051" t="s">
        <v>1990</v>
      </c>
      <c r="G1051" t="s">
        <v>1991</v>
      </c>
      <c r="H1051" t="s">
        <v>435</v>
      </c>
      <c r="I1051" t="s">
        <v>2025</v>
      </c>
      <c r="J1051">
        <v>39.5</v>
      </c>
      <c r="K1051" t="e">
        <f>IF(COUNTIF(#REF!,Tabela2[[#This Row],[IdxWspolny]])&gt;0,"ELEM_lub_PRD","TECHN")</f>
        <v>#REF!</v>
      </c>
      <c r="L1051" t="e">
        <f>IF(COUNTIF(#REF!,Tabela2[[#This Row],[KOD_PRODUKTU]])&gt;0,"ELEMENT","PRODUKT")</f>
        <v>#REF!</v>
      </c>
      <c r="M1051" t="e">
        <f>COUNTIF(#REF!,Tabela2[[#This Row],[KOD_PRODUKTU]])</f>
        <v>#REF!</v>
      </c>
    </row>
    <row r="1052" spans="1:14" x14ac:dyDescent="0.25">
      <c r="A1052" s="1" t="s">
        <v>1994</v>
      </c>
      <c r="B1052" t="s">
        <v>1995</v>
      </c>
      <c r="C1052" s="1" t="s">
        <v>7</v>
      </c>
      <c r="D1052" s="1" t="s">
        <v>7</v>
      </c>
      <c r="E1052" s="1" t="s">
        <v>7</v>
      </c>
      <c r="F1052" t="s">
        <v>8</v>
      </c>
      <c r="G1052" t="s">
        <v>9</v>
      </c>
      <c r="H1052" t="s">
        <v>10</v>
      </c>
      <c r="I1052" t="s">
        <v>2026</v>
      </c>
      <c r="J1052">
        <v>122.5</v>
      </c>
      <c r="K1052" t="e">
        <f>IF(COUNTIF(#REF!,Tabela2[[#This Row],[IdxWspolny]])&gt;0,"ELEM_lub_PRD","TECHN")</f>
        <v>#REF!</v>
      </c>
      <c r="L1052" t="e">
        <f>IF(COUNTIF(#REF!,Tabela2[[#This Row],[KOD_PRODUKTU]])&gt;0,"ELEMENT","PRODUKT")</f>
        <v>#REF!</v>
      </c>
      <c r="M1052" t="e">
        <f>COUNTIF(#REF!,Tabela2[[#This Row],[KOD_PRODUKTU]])</f>
        <v>#REF!</v>
      </c>
    </row>
    <row r="1053" spans="1:14" x14ac:dyDescent="0.25">
      <c r="A1053" s="1" t="s">
        <v>2027</v>
      </c>
      <c r="B1053" t="s">
        <v>2028</v>
      </c>
      <c r="C1053" s="1" t="s">
        <v>2029</v>
      </c>
      <c r="D1053" s="1" t="s">
        <v>2029</v>
      </c>
      <c r="E1053" s="1" t="s">
        <v>2029</v>
      </c>
      <c r="F1053" t="s">
        <v>2030</v>
      </c>
      <c r="G1053" t="s">
        <v>2031</v>
      </c>
      <c r="H1053" t="s">
        <v>49</v>
      </c>
      <c r="I1053" t="s">
        <v>50</v>
      </c>
      <c r="J1053">
        <v>349.34</v>
      </c>
      <c r="K1053" t="e">
        <f>IF(COUNTIF(#REF!,Tabela2[[#This Row],[IdxWspolny]])&gt;0,"ELEM_lub_PRD","TECHN")</f>
        <v>#REF!</v>
      </c>
      <c r="L1053" t="e">
        <f>IF(COUNTIF(#REF!,Tabela2[[#This Row],[KOD_PRODUKTU]])&gt;0,"ELEMENT","PRODUKT")</f>
        <v>#REF!</v>
      </c>
      <c r="M1053" t="e">
        <f>COUNTIF(#REF!,Tabela2[[#This Row],[KOD_PRODUKTU]])</f>
        <v>#REF!</v>
      </c>
    </row>
    <row r="1054" spans="1:14" x14ac:dyDescent="0.25">
      <c r="A1054" s="1" t="s">
        <v>2027</v>
      </c>
      <c r="B1054" t="s">
        <v>2028</v>
      </c>
      <c r="C1054" s="1" t="s">
        <v>623</v>
      </c>
      <c r="D1054" s="1" t="s">
        <v>623</v>
      </c>
      <c r="E1054" s="1" t="s">
        <v>623</v>
      </c>
      <c r="F1054" t="s">
        <v>624</v>
      </c>
      <c r="G1054" t="s">
        <v>589</v>
      </c>
      <c r="H1054" t="s">
        <v>5</v>
      </c>
      <c r="I1054" t="s">
        <v>2003</v>
      </c>
      <c r="J1054">
        <v>0.14000000000000001</v>
      </c>
      <c r="K1054" t="e">
        <f>IF(COUNTIF(#REF!,Tabela2[[#This Row],[IdxWspolny]])&gt;0,"ELEM_lub_PRD","TECHN")</f>
        <v>#REF!</v>
      </c>
      <c r="L1054" t="e">
        <f>IF(COUNTIF(#REF!,Tabela2[[#This Row],[KOD_PRODUKTU]])&gt;0,"ELEMENT","PRODUKT")</f>
        <v>#REF!</v>
      </c>
      <c r="M1054" t="e">
        <f>COUNTIF(#REF!,Tabela2[[#This Row],[KOD_PRODUKTU]])</f>
        <v>#REF!</v>
      </c>
    </row>
    <row r="1055" spans="1:14" x14ac:dyDescent="0.25">
      <c r="A1055" s="1" t="s">
        <v>2027</v>
      </c>
      <c r="B1055" t="s">
        <v>2028</v>
      </c>
      <c r="C1055" s="1" t="s">
        <v>2004</v>
      </c>
      <c r="D1055" s="1" t="s">
        <v>2004</v>
      </c>
      <c r="E1055" s="1" t="s">
        <v>2004</v>
      </c>
      <c r="F1055" t="s">
        <v>2005</v>
      </c>
      <c r="G1055" t="s">
        <v>2006</v>
      </c>
      <c r="H1055" t="s">
        <v>5</v>
      </c>
      <c r="I1055" t="s">
        <v>558</v>
      </c>
      <c r="J1055">
        <v>1.63</v>
      </c>
      <c r="K1055" t="e">
        <f>IF(COUNTIF(#REF!,Tabela2[[#This Row],[IdxWspolny]])&gt;0,"ELEM_lub_PRD","TECHN")</f>
        <v>#REF!</v>
      </c>
      <c r="L1055" t="e">
        <f>IF(COUNTIF(#REF!,Tabela2[[#This Row],[KOD_PRODUKTU]])&gt;0,"ELEMENT","PRODUKT")</f>
        <v>#REF!</v>
      </c>
      <c r="M1055" t="e">
        <f>COUNTIF(#REF!,Tabela2[[#This Row],[KOD_PRODUKTU]])</f>
        <v>#REF!</v>
      </c>
    </row>
    <row r="1056" spans="1:14" x14ac:dyDescent="0.25">
      <c r="A1056" s="1" t="s">
        <v>2027</v>
      </c>
      <c r="B1056" t="s">
        <v>2028</v>
      </c>
      <c r="C1056" s="1" t="s">
        <v>479</v>
      </c>
      <c r="D1056" s="1" t="s">
        <v>479</v>
      </c>
      <c r="E1056" s="1" t="s">
        <v>479</v>
      </c>
      <c r="F1056" t="s">
        <v>480</v>
      </c>
      <c r="G1056" t="s">
        <v>481</v>
      </c>
      <c r="H1056" t="s">
        <v>5</v>
      </c>
      <c r="I1056" t="s">
        <v>1119</v>
      </c>
      <c r="J1056">
        <v>0.35</v>
      </c>
      <c r="K1056" t="e">
        <f>IF(COUNTIF(#REF!,Tabela2[[#This Row],[IdxWspolny]])&gt;0,"ELEM_lub_PRD","TECHN")</f>
        <v>#REF!</v>
      </c>
      <c r="L1056" t="e">
        <f>IF(COUNTIF(#REF!,Tabela2[[#This Row],[KOD_PRODUKTU]])&gt;0,"ELEMENT","PRODUKT")</f>
        <v>#REF!</v>
      </c>
      <c r="M1056" t="e">
        <f>COUNTIF(#REF!,Tabela2[[#This Row],[KOD_PRODUKTU]])</f>
        <v>#REF!</v>
      </c>
    </row>
    <row r="1057" spans="1:14" x14ac:dyDescent="0.25">
      <c r="A1057" s="1" t="s">
        <v>2027</v>
      </c>
      <c r="B1057" t="s">
        <v>2028</v>
      </c>
      <c r="C1057" s="1" t="s">
        <v>2007</v>
      </c>
      <c r="D1057" s="1" t="s">
        <v>2007</v>
      </c>
      <c r="E1057" s="1" t="s">
        <v>2007</v>
      </c>
      <c r="F1057" t="s">
        <v>2008</v>
      </c>
      <c r="G1057" t="s">
        <v>417</v>
      </c>
      <c r="H1057" t="s">
        <v>5</v>
      </c>
      <c r="I1057" t="s">
        <v>25</v>
      </c>
      <c r="J1057">
        <v>0.44</v>
      </c>
      <c r="K1057" t="e">
        <f>IF(COUNTIF(#REF!,Tabela2[[#This Row],[IdxWspolny]])&gt;0,"ELEM_lub_PRD","TECHN")</f>
        <v>#REF!</v>
      </c>
      <c r="L1057" t="e">
        <f>IF(COUNTIF(#REF!,Tabela2[[#This Row],[KOD_PRODUKTU]])&gt;0,"ELEMENT","PRODUKT")</f>
        <v>#REF!</v>
      </c>
      <c r="M1057" t="e">
        <f>COUNTIF(#REF!,Tabela2[[#This Row],[KOD_PRODUKTU]])</f>
        <v>#REF!</v>
      </c>
    </row>
    <row r="1058" spans="1:14" x14ac:dyDescent="0.25">
      <c r="A1058" s="1" t="s">
        <v>2027</v>
      </c>
      <c r="B1058" t="s">
        <v>2028</v>
      </c>
      <c r="C1058" s="1" t="s">
        <v>2009</v>
      </c>
      <c r="D1058" s="1" t="s">
        <v>2009</v>
      </c>
      <c r="E1058" s="1" t="s">
        <v>2009</v>
      </c>
      <c r="F1058" t="s">
        <v>2010</v>
      </c>
      <c r="G1058" t="s">
        <v>274</v>
      </c>
      <c r="H1058" t="s">
        <v>5</v>
      </c>
      <c r="I1058" t="s">
        <v>2011</v>
      </c>
      <c r="J1058">
        <v>0.18</v>
      </c>
      <c r="K1058" t="e">
        <f>IF(COUNTIF(#REF!,Tabela2[[#This Row],[IdxWspolny]])&gt;0,"ELEM_lub_PRD","TECHN")</f>
        <v>#REF!</v>
      </c>
      <c r="L1058" t="e">
        <f>IF(COUNTIF(#REF!,Tabela2[[#This Row],[KOD_PRODUKTU]])&gt;0,"ELEMENT","PRODUKT")</f>
        <v>#REF!</v>
      </c>
      <c r="M1058" t="e">
        <f>COUNTIF(#REF!,Tabela2[[#This Row],[KOD_PRODUKTU]])</f>
        <v>#REF!</v>
      </c>
    </row>
    <row r="1059" spans="1:14" x14ac:dyDescent="0.25">
      <c r="A1059" s="1" t="s">
        <v>2027</v>
      </c>
      <c r="B1059" t="s">
        <v>2028</v>
      </c>
      <c r="C1059" s="1" t="s">
        <v>628</v>
      </c>
      <c r="D1059" s="1" t="s">
        <v>628</v>
      </c>
      <c r="E1059" s="1" t="s">
        <v>628</v>
      </c>
      <c r="F1059" t="s">
        <v>629</v>
      </c>
      <c r="G1059" t="s">
        <v>698</v>
      </c>
      <c r="H1059" t="s">
        <v>5</v>
      </c>
      <c r="I1059" t="s">
        <v>2012</v>
      </c>
      <c r="J1059">
        <v>0.48</v>
      </c>
      <c r="K1059" t="e">
        <f>IF(COUNTIF(#REF!,Tabela2[[#This Row],[IdxWspolny]])&gt;0,"ELEM_lub_PRD","TECHN")</f>
        <v>#REF!</v>
      </c>
      <c r="L1059" t="e">
        <f>IF(COUNTIF(#REF!,Tabela2[[#This Row],[KOD_PRODUKTU]])&gt;0,"ELEMENT","PRODUKT")</f>
        <v>#REF!</v>
      </c>
      <c r="M1059" t="e">
        <f>COUNTIF(#REF!,Tabela2[[#This Row],[KOD_PRODUKTU]])</f>
        <v>#REF!</v>
      </c>
    </row>
    <row r="1060" spans="1:14" x14ac:dyDescent="0.25">
      <c r="A1060" s="1" t="s">
        <v>2027</v>
      </c>
      <c r="B1060" t="s">
        <v>2028</v>
      </c>
      <c r="C1060" s="1" t="s">
        <v>1971</v>
      </c>
      <c r="D1060" s="1" t="s">
        <v>1971</v>
      </c>
      <c r="E1060" s="1" t="s">
        <v>1971</v>
      </c>
      <c r="F1060" t="s">
        <v>1972</v>
      </c>
      <c r="G1060" t="s">
        <v>1005</v>
      </c>
      <c r="H1060" t="s">
        <v>5</v>
      </c>
      <c r="I1060" t="s">
        <v>2013</v>
      </c>
      <c r="J1060">
        <v>1.5</v>
      </c>
      <c r="K1060" t="e">
        <f>IF(COUNTIF(#REF!,Tabela2[[#This Row],[IdxWspolny]])&gt;0,"ELEM_lub_PRD","TECHN")</f>
        <v>#REF!</v>
      </c>
      <c r="L1060" t="e">
        <f>IF(COUNTIF(#REF!,Tabela2[[#This Row],[KOD_PRODUKTU]])&gt;0,"ELEMENT","PRODUKT")</f>
        <v>#REF!</v>
      </c>
      <c r="M1060" t="e">
        <f>COUNTIF(#REF!,Tabela2[[#This Row],[KOD_PRODUKTU]])</f>
        <v>#REF!</v>
      </c>
    </row>
    <row r="1061" spans="1:14" x14ac:dyDescent="0.25">
      <c r="A1061" s="1" t="s">
        <v>2027</v>
      </c>
      <c r="B1061" t="s">
        <v>2028</v>
      </c>
      <c r="C1061" s="1" t="s">
        <v>1974</v>
      </c>
      <c r="D1061" s="1" t="s">
        <v>1974</v>
      </c>
      <c r="E1061" s="1" t="s">
        <v>1974</v>
      </c>
      <c r="F1061" t="s">
        <v>2014</v>
      </c>
      <c r="G1061" t="s">
        <v>1479</v>
      </c>
      <c r="H1061" t="s">
        <v>121</v>
      </c>
      <c r="I1061" t="s">
        <v>2015</v>
      </c>
      <c r="J1061">
        <v>3.28</v>
      </c>
      <c r="K1061" t="e">
        <f>IF(COUNTIF(#REF!,Tabela2[[#This Row],[IdxWspolny]])&gt;0,"ELEM_lub_PRD","TECHN")</f>
        <v>#REF!</v>
      </c>
      <c r="L1061" t="e">
        <f>IF(COUNTIF(#REF!,Tabela2[[#This Row],[KOD_PRODUKTU]])&gt;0,"ELEMENT","PRODUKT")</f>
        <v>#REF!</v>
      </c>
      <c r="M1061" t="e">
        <f>COUNTIF(#REF!,Tabela2[[#This Row],[KOD_PRODUKTU]])</f>
        <v>#REF!</v>
      </c>
    </row>
    <row r="1062" spans="1:14" x14ac:dyDescent="0.25">
      <c r="A1062" s="1" t="s">
        <v>2027</v>
      </c>
      <c r="B1062" t="s">
        <v>2028</v>
      </c>
      <c r="C1062" s="1" t="s">
        <v>41</v>
      </c>
      <c r="D1062" s="1" t="s">
        <v>41</v>
      </c>
      <c r="E1062" s="1" t="s">
        <v>41</v>
      </c>
      <c r="F1062" t="s">
        <v>42</v>
      </c>
      <c r="G1062" t="s">
        <v>43</v>
      </c>
      <c r="H1062" t="s">
        <v>5</v>
      </c>
      <c r="I1062" t="s">
        <v>227</v>
      </c>
      <c r="J1062">
        <v>0.01</v>
      </c>
      <c r="K1062" t="e">
        <f>IF(COUNTIF(#REF!,Tabela2[[#This Row],[IdxWspolny]])&gt;0,"ELEM_lub_PRD","TECHN")</f>
        <v>#REF!</v>
      </c>
      <c r="L1062" t="e">
        <f>IF(COUNTIF(#REF!,Tabela2[[#This Row],[KOD_PRODUKTU]])&gt;0,"ELEMENT","PRODUKT")</f>
        <v>#REF!</v>
      </c>
      <c r="M1062" t="e">
        <f>COUNTIF(#REF!,Tabela2[[#This Row],[KOD_PRODUKTU]])</f>
        <v>#REF!</v>
      </c>
    </row>
    <row r="1063" spans="1:14" x14ac:dyDescent="0.25">
      <c r="A1063" s="1" t="s">
        <v>2027</v>
      </c>
      <c r="B1063" t="s">
        <v>2028</v>
      </c>
      <c r="C1063" s="1" t="s">
        <v>1977</v>
      </c>
      <c r="D1063" s="1" t="s">
        <v>1977</v>
      </c>
      <c r="E1063" s="1" t="s">
        <v>1977</v>
      </c>
      <c r="F1063" t="s">
        <v>1978</v>
      </c>
      <c r="G1063" t="s">
        <v>1090</v>
      </c>
      <c r="H1063" t="s">
        <v>121</v>
      </c>
      <c r="I1063" t="s">
        <v>50</v>
      </c>
      <c r="J1063">
        <v>0.1</v>
      </c>
      <c r="K1063" t="e">
        <f>IF(COUNTIF(#REF!,Tabela2[[#This Row],[IdxWspolny]])&gt;0,"ELEM_lub_PRD","TECHN")</f>
        <v>#REF!</v>
      </c>
      <c r="L1063" t="e">
        <f>IF(COUNTIF(#REF!,Tabela2[[#This Row],[KOD_PRODUKTU]])&gt;0,"ELEMENT","PRODUKT")</f>
        <v>#REF!</v>
      </c>
      <c r="M1063" t="e">
        <f>COUNTIF(#REF!,Tabela2[[#This Row],[KOD_PRODUKTU]])</f>
        <v>#REF!</v>
      </c>
    </row>
    <row r="1064" spans="1:14" x14ac:dyDescent="0.25">
      <c r="A1064" s="1" t="s">
        <v>2027</v>
      </c>
      <c r="B1064" t="s">
        <v>2028</v>
      </c>
      <c r="C1064" s="1" t="s">
        <v>1979</v>
      </c>
      <c r="D1064" s="1" t="s">
        <v>1979</v>
      </c>
      <c r="E1064" s="1" t="s">
        <v>1979</v>
      </c>
      <c r="F1064" t="s">
        <v>1978</v>
      </c>
      <c r="G1064" t="s">
        <v>1090</v>
      </c>
      <c r="H1064" t="s">
        <v>121</v>
      </c>
      <c r="I1064" t="s">
        <v>50</v>
      </c>
      <c r="J1064">
        <v>0.1</v>
      </c>
      <c r="K1064" t="e">
        <f>IF(COUNTIF(#REF!,Tabela2[[#This Row],[IdxWspolny]])&gt;0,"ELEM_lub_PRD","TECHN")</f>
        <v>#REF!</v>
      </c>
      <c r="L1064" t="e">
        <f>IF(COUNTIF(#REF!,Tabela2[[#This Row],[KOD_PRODUKTU]])&gt;0,"ELEMENT","PRODUKT")</f>
        <v>#REF!</v>
      </c>
      <c r="M1064" t="e">
        <f>COUNTIF(#REF!,Tabela2[[#This Row],[KOD_PRODUKTU]])</f>
        <v>#REF!</v>
      </c>
    </row>
    <row r="1065" spans="1:14" hidden="1" x14ac:dyDescent="0.25">
      <c r="A1065" s="1" t="s">
        <v>2027</v>
      </c>
      <c r="B1065" t="s">
        <v>2028</v>
      </c>
      <c r="C1065" s="1" t="s">
        <v>2016</v>
      </c>
      <c r="D1065" s="1" t="s">
        <v>2016</v>
      </c>
      <c r="E1065" s="1" t="s">
        <v>2016</v>
      </c>
      <c r="F1065" t="s">
        <v>2017</v>
      </c>
      <c r="G1065" t="s">
        <v>2018</v>
      </c>
      <c r="H1065" t="s">
        <v>49</v>
      </c>
      <c r="I1065" t="s">
        <v>50</v>
      </c>
      <c r="J1065">
        <v>165</v>
      </c>
      <c r="K1065" t="e">
        <f>IF(COUNTIF(#REF!,Tabela2[[#This Row],[IdxWspolny]])&gt;0,"ELEM_lub_PRD","TECHN")</f>
        <v>#REF!</v>
      </c>
      <c r="L1065" t="e">
        <f>IF(COUNTIF(#REF!,Tabela2[[#This Row],[KOD_PRODUKTU]])&gt;0,"ELEMENT","PRODUKT")</f>
        <v>#REF!</v>
      </c>
      <c r="M1065" t="e">
        <f>COUNTIF(#REF!,Tabela2[[#This Row],[KOD_PRODUKTU]])</f>
        <v>#REF!</v>
      </c>
      <c r="N1065" t="s">
        <v>55</v>
      </c>
    </row>
    <row r="1066" spans="1:14" hidden="1" x14ac:dyDescent="0.25">
      <c r="A1066" s="1" t="s">
        <v>2027</v>
      </c>
      <c r="B1066" t="s">
        <v>2028</v>
      </c>
      <c r="C1066" s="1" t="s">
        <v>2019</v>
      </c>
      <c r="D1066" s="1" t="s">
        <v>2019</v>
      </c>
      <c r="E1066" s="1" t="s">
        <v>2019</v>
      </c>
      <c r="F1066" t="s">
        <v>2020</v>
      </c>
      <c r="G1066" t="s">
        <v>2021</v>
      </c>
      <c r="H1066" t="s">
        <v>49</v>
      </c>
      <c r="I1066" t="s">
        <v>50</v>
      </c>
      <c r="J1066">
        <v>188</v>
      </c>
      <c r="K1066" t="e">
        <f>IF(COUNTIF(#REF!,Tabela2[[#This Row],[IdxWspolny]])&gt;0,"ELEM_lub_PRD","TECHN")</f>
        <v>#REF!</v>
      </c>
      <c r="L1066" t="e">
        <f>IF(COUNTIF(#REF!,Tabela2[[#This Row],[KOD_PRODUKTU]])&gt;0,"ELEMENT","PRODUKT")</f>
        <v>#REF!</v>
      </c>
      <c r="M1066" t="e">
        <f>COUNTIF(#REF!,Tabela2[[#This Row],[KOD_PRODUKTU]])</f>
        <v>#REF!</v>
      </c>
      <c r="N1066" t="s">
        <v>55</v>
      </c>
    </row>
    <row r="1067" spans="1:14" hidden="1" x14ac:dyDescent="0.25">
      <c r="A1067" s="1" t="s">
        <v>2027</v>
      </c>
      <c r="B1067" t="s">
        <v>2028</v>
      </c>
      <c r="C1067" s="1" t="s">
        <v>2022</v>
      </c>
      <c r="D1067" s="1" t="s">
        <v>2022</v>
      </c>
      <c r="E1067" s="1" t="s">
        <v>2022</v>
      </c>
      <c r="F1067" t="s">
        <v>2023</v>
      </c>
      <c r="G1067" t="s">
        <v>2024</v>
      </c>
      <c r="H1067" t="s">
        <v>49</v>
      </c>
      <c r="I1067" t="s">
        <v>50</v>
      </c>
      <c r="J1067">
        <v>138</v>
      </c>
      <c r="K1067" t="e">
        <f>IF(COUNTIF(#REF!,Tabela2[[#This Row],[IdxWspolny]])&gt;0,"ELEM_lub_PRD","TECHN")</f>
        <v>#REF!</v>
      </c>
      <c r="L1067" t="e">
        <f>IF(COUNTIF(#REF!,Tabela2[[#This Row],[KOD_PRODUKTU]])&gt;0,"ELEMENT","PRODUKT")</f>
        <v>#REF!</v>
      </c>
      <c r="M1067" t="e">
        <f>COUNTIF(#REF!,Tabela2[[#This Row],[KOD_PRODUKTU]])</f>
        <v>#REF!</v>
      </c>
      <c r="N1067" t="s">
        <v>55</v>
      </c>
    </row>
    <row r="1068" spans="1:14" x14ac:dyDescent="0.25">
      <c r="A1068" s="1" t="s">
        <v>2027</v>
      </c>
      <c r="B1068" t="s">
        <v>2028</v>
      </c>
      <c r="C1068" s="1" t="s">
        <v>1989</v>
      </c>
      <c r="D1068" s="1" t="s">
        <v>1989</v>
      </c>
      <c r="E1068" s="1" t="s">
        <v>1989</v>
      </c>
      <c r="F1068" t="s">
        <v>1990</v>
      </c>
      <c r="G1068" t="s">
        <v>1991</v>
      </c>
      <c r="H1068" t="s">
        <v>435</v>
      </c>
      <c r="I1068" t="s">
        <v>2025</v>
      </c>
      <c r="J1068">
        <v>39.5</v>
      </c>
      <c r="K1068" t="e">
        <f>IF(COUNTIF(#REF!,Tabela2[[#This Row],[IdxWspolny]])&gt;0,"ELEM_lub_PRD","TECHN")</f>
        <v>#REF!</v>
      </c>
      <c r="L1068" t="e">
        <f>IF(COUNTIF(#REF!,Tabela2[[#This Row],[KOD_PRODUKTU]])&gt;0,"ELEMENT","PRODUKT")</f>
        <v>#REF!</v>
      </c>
      <c r="M1068" t="e">
        <f>COUNTIF(#REF!,Tabela2[[#This Row],[KOD_PRODUKTU]])</f>
        <v>#REF!</v>
      </c>
    </row>
    <row r="1069" spans="1:14" x14ac:dyDescent="0.25">
      <c r="A1069" s="1" t="s">
        <v>2027</v>
      </c>
      <c r="B1069" t="s">
        <v>2028</v>
      </c>
      <c r="C1069" s="1" t="s">
        <v>7</v>
      </c>
      <c r="D1069" s="1" t="s">
        <v>7</v>
      </c>
      <c r="E1069" s="1" t="s">
        <v>7</v>
      </c>
      <c r="F1069" t="s">
        <v>8</v>
      </c>
      <c r="G1069" t="s">
        <v>9</v>
      </c>
      <c r="H1069" t="s">
        <v>10</v>
      </c>
      <c r="I1069" t="s">
        <v>2026</v>
      </c>
      <c r="J1069">
        <v>122.5</v>
      </c>
      <c r="K1069" t="e">
        <f>IF(COUNTIF(#REF!,Tabela2[[#This Row],[IdxWspolny]])&gt;0,"ELEM_lub_PRD","TECHN")</f>
        <v>#REF!</v>
      </c>
      <c r="L1069" t="e">
        <f>IF(COUNTIF(#REF!,Tabela2[[#This Row],[KOD_PRODUKTU]])&gt;0,"ELEMENT","PRODUKT")</f>
        <v>#REF!</v>
      </c>
      <c r="M1069" t="e">
        <f>COUNTIF(#REF!,Tabela2[[#This Row],[KOD_PRODUKTU]])</f>
        <v>#REF!</v>
      </c>
    </row>
    <row r="1070" spans="1:14" x14ac:dyDescent="0.25">
      <c r="A1070" s="1" t="s">
        <v>2032</v>
      </c>
      <c r="B1070" t="s">
        <v>2033</v>
      </c>
      <c r="C1070" s="1" t="s">
        <v>2034</v>
      </c>
      <c r="D1070" s="1" t="s">
        <v>2034</v>
      </c>
      <c r="E1070" s="1" t="s">
        <v>2034</v>
      </c>
      <c r="F1070" t="s">
        <v>2035</v>
      </c>
      <c r="G1070" t="s">
        <v>2036</v>
      </c>
      <c r="H1070" t="s">
        <v>121</v>
      </c>
      <c r="I1070" t="s">
        <v>50</v>
      </c>
      <c r="J1070">
        <v>0.8</v>
      </c>
      <c r="K1070" t="e">
        <f>IF(COUNTIF(#REF!,Tabela2[[#This Row],[IdxWspolny]])&gt;0,"ELEM_lub_PRD","TECHN")</f>
        <v>#REF!</v>
      </c>
      <c r="L1070" t="e">
        <f>IF(COUNTIF(#REF!,Tabela2[[#This Row],[KOD_PRODUKTU]])&gt;0,"ELEMENT","PRODUKT")</f>
        <v>#REF!</v>
      </c>
      <c r="M1070" t="e">
        <f>COUNTIF(#REF!,Tabela2[[#This Row],[KOD_PRODUKTU]])</f>
        <v>#REF!</v>
      </c>
    </row>
    <row r="1071" spans="1:14" x14ac:dyDescent="0.25">
      <c r="A1071" s="1" t="s">
        <v>2032</v>
      </c>
      <c r="B1071" t="s">
        <v>2033</v>
      </c>
      <c r="C1071" s="1" t="s">
        <v>432</v>
      </c>
      <c r="D1071" s="1" t="s">
        <v>432</v>
      </c>
      <c r="E1071" s="1" t="s">
        <v>432</v>
      </c>
      <c r="F1071" t="s">
        <v>433</v>
      </c>
      <c r="G1071" t="s">
        <v>434</v>
      </c>
      <c r="H1071" t="s">
        <v>435</v>
      </c>
      <c r="I1071" t="s">
        <v>50</v>
      </c>
      <c r="J1071">
        <v>1.1000000000000001</v>
      </c>
      <c r="K1071" t="e">
        <f>IF(COUNTIF(#REF!,Tabela2[[#This Row],[IdxWspolny]])&gt;0,"ELEM_lub_PRD","TECHN")</f>
        <v>#REF!</v>
      </c>
      <c r="L1071" t="e">
        <f>IF(COUNTIF(#REF!,Tabela2[[#This Row],[KOD_PRODUKTU]])&gt;0,"ELEMENT","PRODUKT")</f>
        <v>#REF!</v>
      </c>
      <c r="M1071" t="e">
        <f>COUNTIF(#REF!,Tabela2[[#This Row],[KOD_PRODUKTU]])</f>
        <v>#REF!</v>
      </c>
    </row>
    <row r="1072" spans="1:14" x14ac:dyDescent="0.25">
      <c r="A1072" s="1" t="s">
        <v>2032</v>
      </c>
      <c r="B1072" t="s">
        <v>2033</v>
      </c>
      <c r="C1072" s="1" t="s">
        <v>541</v>
      </c>
      <c r="D1072" s="1" t="s">
        <v>541</v>
      </c>
      <c r="E1072" s="1" t="s">
        <v>541</v>
      </c>
      <c r="F1072" t="s">
        <v>542</v>
      </c>
      <c r="G1072" t="s">
        <v>9</v>
      </c>
      <c r="H1072" t="s">
        <v>10</v>
      </c>
      <c r="I1072" t="s">
        <v>2037</v>
      </c>
      <c r="J1072">
        <v>1.3</v>
      </c>
      <c r="K1072" t="e">
        <f>IF(COUNTIF(#REF!,Tabela2[[#This Row],[IdxWspolny]])&gt;0,"ELEM_lub_PRD","TECHN")</f>
        <v>#REF!</v>
      </c>
      <c r="L1072" t="e">
        <f>IF(COUNTIF(#REF!,Tabela2[[#This Row],[KOD_PRODUKTU]])&gt;0,"ELEMENT","PRODUKT")</f>
        <v>#REF!</v>
      </c>
      <c r="M1072" t="e">
        <f>COUNTIF(#REF!,Tabela2[[#This Row],[KOD_PRODUKTU]])</f>
        <v>#REF!</v>
      </c>
    </row>
    <row r="1073" spans="1:14" x14ac:dyDescent="0.25">
      <c r="A1073" s="1" t="s">
        <v>2038</v>
      </c>
      <c r="B1073" t="s">
        <v>2039</v>
      </c>
      <c r="C1073" s="1" t="s">
        <v>248</v>
      </c>
      <c r="D1073" s="1" t="s">
        <v>248</v>
      </c>
      <c r="E1073" s="1" t="s">
        <v>248</v>
      </c>
      <c r="F1073" t="s">
        <v>249</v>
      </c>
      <c r="G1073" t="s">
        <v>70</v>
      </c>
      <c r="H1073" t="s">
        <v>39</v>
      </c>
      <c r="I1073" t="s">
        <v>40</v>
      </c>
      <c r="J1073">
        <v>0.05</v>
      </c>
      <c r="K1073" t="e">
        <f>IF(COUNTIF(#REF!,Tabela2[[#This Row],[IdxWspolny]])&gt;0,"ELEM_lub_PRD","TECHN")</f>
        <v>#REF!</v>
      </c>
      <c r="L1073" t="e">
        <f>IF(COUNTIF(#REF!,Tabela2[[#This Row],[KOD_PRODUKTU]])&gt;0,"ELEMENT","PRODUKT")</f>
        <v>#REF!</v>
      </c>
      <c r="M1073" t="e">
        <f>COUNTIF(#REF!,Tabela2[[#This Row],[KOD_PRODUKTU]])</f>
        <v>#REF!</v>
      </c>
    </row>
    <row r="1074" spans="1:14" hidden="1" x14ac:dyDescent="0.25">
      <c r="A1074" s="1" t="s">
        <v>2038</v>
      </c>
      <c r="B1074" t="s">
        <v>2039</v>
      </c>
      <c r="C1074" s="1" t="s">
        <v>242</v>
      </c>
      <c r="D1074" s="1" t="s">
        <v>242</v>
      </c>
      <c r="E1074" s="1" t="s">
        <v>242</v>
      </c>
      <c r="F1074" t="s">
        <v>243</v>
      </c>
      <c r="G1074" t="s">
        <v>244</v>
      </c>
      <c r="H1074" t="s">
        <v>49</v>
      </c>
      <c r="I1074" t="s">
        <v>50</v>
      </c>
      <c r="J1074">
        <v>3.1</v>
      </c>
      <c r="K1074" t="e">
        <f>IF(COUNTIF(#REF!,Tabela2[[#This Row],[IdxWspolny]])&gt;0,"ELEM_lub_PRD","TECHN")</f>
        <v>#REF!</v>
      </c>
      <c r="L1074" t="e">
        <f>IF(COUNTIF(#REF!,Tabela2[[#This Row],[KOD_PRODUKTU]])&gt;0,"ELEMENT","PRODUKT")</f>
        <v>#REF!</v>
      </c>
      <c r="M1074" t="e">
        <f>COUNTIF(#REF!,Tabela2[[#This Row],[KOD_PRODUKTU]])</f>
        <v>#REF!</v>
      </c>
      <c r="N1074" t="s">
        <v>55</v>
      </c>
    </row>
    <row r="1075" spans="1:14" hidden="1" x14ac:dyDescent="0.25">
      <c r="A1075" s="1" t="s">
        <v>2038</v>
      </c>
      <c r="B1075" t="s">
        <v>2039</v>
      </c>
      <c r="C1075" s="1" t="s">
        <v>2040</v>
      </c>
      <c r="D1075" s="1" t="s">
        <v>2040</v>
      </c>
      <c r="E1075" s="1" t="s">
        <v>2040</v>
      </c>
      <c r="F1075" t="s">
        <v>2041</v>
      </c>
      <c r="G1075" t="s">
        <v>2042</v>
      </c>
      <c r="H1075" t="s">
        <v>49</v>
      </c>
      <c r="I1075" t="s">
        <v>50</v>
      </c>
      <c r="J1075">
        <v>14.3</v>
      </c>
      <c r="K1075" t="e">
        <f>IF(COUNTIF(#REF!,Tabela2[[#This Row],[IdxWspolny]])&gt;0,"ELEM_lub_PRD","TECHN")</f>
        <v>#REF!</v>
      </c>
      <c r="L1075" t="e">
        <f>IF(COUNTIF(#REF!,Tabela2[[#This Row],[KOD_PRODUKTU]])&gt;0,"ELEMENT","PRODUKT")</f>
        <v>#REF!</v>
      </c>
      <c r="M1075" t="e">
        <f>COUNTIF(#REF!,Tabela2[[#This Row],[KOD_PRODUKTU]])</f>
        <v>#REF!</v>
      </c>
      <c r="N1075" t="s">
        <v>55</v>
      </c>
    </row>
    <row r="1076" spans="1:14" hidden="1" x14ac:dyDescent="0.25">
      <c r="A1076" s="1" t="s">
        <v>2038</v>
      </c>
      <c r="B1076" t="s">
        <v>2039</v>
      </c>
      <c r="C1076" s="1" t="s">
        <v>2043</v>
      </c>
      <c r="D1076" s="1" t="s">
        <v>2043</v>
      </c>
      <c r="E1076" s="1" t="s">
        <v>2043</v>
      </c>
      <c r="F1076" t="s">
        <v>2044</v>
      </c>
      <c r="G1076" t="s">
        <v>2045</v>
      </c>
      <c r="H1076" t="s">
        <v>49</v>
      </c>
      <c r="I1076" t="s">
        <v>50</v>
      </c>
      <c r="J1076">
        <v>2.73</v>
      </c>
      <c r="K1076" t="e">
        <f>IF(COUNTIF(#REF!,Tabela2[[#This Row],[IdxWspolny]])&gt;0,"ELEM_lub_PRD","TECHN")</f>
        <v>#REF!</v>
      </c>
      <c r="L1076" t="e">
        <f>IF(COUNTIF(#REF!,Tabela2[[#This Row],[KOD_PRODUKTU]])&gt;0,"ELEMENT","PRODUKT")</f>
        <v>#REF!</v>
      </c>
      <c r="M1076" t="e">
        <f>COUNTIF(#REF!,Tabela2[[#This Row],[KOD_PRODUKTU]])</f>
        <v>#REF!</v>
      </c>
      <c r="N1076" t="s">
        <v>55</v>
      </c>
    </row>
    <row r="1077" spans="1:14" x14ac:dyDescent="0.25">
      <c r="A1077" s="1" t="s">
        <v>2038</v>
      </c>
      <c r="B1077" t="s">
        <v>2039</v>
      </c>
      <c r="C1077" s="1" t="s">
        <v>7</v>
      </c>
      <c r="D1077" s="1" t="s">
        <v>7</v>
      </c>
      <c r="E1077" s="1" t="s">
        <v>7</v>
      </c>
      <c r="F1077" t="s">
        <v>8</v>
      </c>
      <c r="G1077" t="s">
        <v>9</v>
      </c>
      <c r="H1077" t="s">
        <v>10</v>
      </c>
      <c r="I1077" t="s">
        <v>2046</v>
      </c>
      <c r="J1077">
        <v>0.77</v>
      </c>
      <c r="K1077" t="e">
        <f>IF(COUNTIF(#REF!,Tabela2[[#This Row],[IdxWspolny]])&gt;0,"ELEM_lub_PRD","TECHN")</f>
        <v>#REF!</v>
      </c>
      <c r="L1077" t="e">
        <f>IF(COUNTIF(#REF!,Tabela2[[#This Row],[KOD_PRODUKTU]])&gt;0,"ELEMENT","PRODUKT")</f>
        <v>#REF!</v>
      </c>
      <c r="M1077" t="e">
        <f>COUNTIF(#REF!,Tabela2[[#This Row],[KOD_PRODUKTU]])</f>
        <v>#REF!</v>
      </c>
    </row>
    <row r="1078" spans="1:14" x14ac:dyDescent="0.25">
      <c r="A1078" s="1" t="s">
        <v>2047</v>
      </c>
      <c r="B1078" t="s">
        <v>2048</v>
      </c>
      <c r="C1078" s="1" t="s">
        <v>81</v>
      </c>
      <c r="D1078" s="1" t="s">
        <v>81</v>
      </c>
      <c r="E1078" s="1" t="s">
        <v>81</v>
      </c>
      <c r="F1078" t="s">
        <v>82</v>
      </c>
      <c r="G1078" t="s">
        <v>83</v>
      </c>
      <c r="H1078" t="s">
        <v>39</v>
      </c>
      <c r="I1078" t="s">
        <v>40</v>
      </c>
      <c r="J1078">
        <v>0.15</v>
      </c>
      <c r="K1078" t="e">
        <f>IF(COUNTIF(#REF!,Tabela2[[#This Row],[IdxWspolny]])&gt;0,"ELEM_lub_PRD","TECHN")</f>
        <v>#REF!</v>
      </c>
      <c r="L1078" t="e">
        <f>IF(COUNTIF(#REF!,Tabela2[[#This Row],[KOD_PRODUKTU]])&gt;0,"ELEMENT","PRODUKT")</f>
        <v>#REF!</v>
      </c>
      <c r="M1078" t="e">
        <f>COUNTIF(#REF!,Tabela2[[#This Row],[KOD_PRODUKTU]])</f>
        <v>#REF!</v>
      </c>
    </row>
    <row r="1079" spans="1:14" hidden="1" x14ac:dyDescent="0.25">
      <c r="A1079" s="1" t="s">
        <v>2047</v>
      </c>
      <c r="B1079" t="s">
        <v>2048</v>
      </c>
      <c r="C1079" s="1" t="s">
        <v>242</v>
      </c>
      <c r="D1079" s="1" t="s">
        <v>242</v>
      </c>
      <c r="E1079" s="1" t="s">
        <v>242</v>
      </c>
      <c r="F1079" t="s">
        <v>243</v>
      </c>
      <c r="G1079" t="s">
        <v>244</v>
      </c>
      <c r="H1079" t="s">
        <v>49</v>
      </c>
      <c r="I1079" t="s">
        <v>50</v>
      </c>
      <c r="J1079">
        <v>3.1</v>
      </c>
      <c r="K1079" t="e">
        <f>IF(COUNTIF(#REF!,Tabela2[[#This Row],[IdxWspolny]])&gt;0,"ELEM_lub_PRD","TECHN")</f>
        <v>#REF!</v>
      </c>
      <c r="L1079" t="e">
        <f>IF(COUNTIF(#REF!,Tabela2[[#This Row],[KOD_PRODUKTU]])&gt;0,"ELEMENT","PRODUKT")</f>
        <v>#REF!</v>
      </c>
      <c r="M1079" t="e">
        <f>COUNTIF(#REF!,Tabela2[[#This Row],[KOD_PRODUKTU]])</f>
        <v>#REF!</v>
      </c>
      <c r="N1079" t="s">
        <v>55</v>
      </c>
    </row>
    <row r="1080" spans="1:14" hidden="1" x14ac:dyDescent="0.25">
      <c r="A1080" s="1" t="s">
        <v>2047</v>
      </c>
      <c r="B1080" t="s">
        <v>2048</v>
      </c>
      <c r="C1080" s="1" t="s">
        <v>2040</v>
      </c>
      <c r="D1080" s="1" t="s">
        <v>2040</v>
      </c>
      <c r="E1080" s="1" t="s">
        <v>2040</v>
      </c>
      <c r="F1080" t="s">
        <v>2041</v>
      </c>
      <c r="G1080" t="s">
        <v>2042</v>
      </c>
      <c r="H1080" t="s">
        <v>49</v>
      </c>
      <c r="I1080" t="s">
        <v>50</v>
      </c>
      <c r="J1080">
        <v>14.3</v>
      </c>
      <c r="K1080" t="e">
        <f>IF(COUNTIF(#REF!,Tabela2[[#This Row],[IdxWspolny]])&gt;0,"ELEM_lub_PRD","TECHN")</f>
        <v>#REF!</v>
      </c>
      <c r="L1080" t="e">
        <f>IF(COUNTIF(#REF!,Tabela2[[#This Row],[KOD_PRODUKTU]])&gt;0,"ELEMENT","PRODUKT")</f>
        <v>#REF!</v>
      </c>
      <c r="M1080" t="e">
        <f>COUNTIF(#REF!,Tabela2[[#This Row],[KOD_PRODUKTU]])</f>
        <v>#REF!</v>
      </c>
      <c r="N1080" t="s">
        <v>55</v>
      </c>
    </row>
    <row r="1081" spans="1:14" hidden="1" x14ac:dyDescent="0.25">
      <c r="A1081" s="1" t="s">
        <v>2047</v>
      </c>
      <c r="B1081" t="s">
        <v>2048</v>
      </c>
      <c r="C1081" s="1" t="s">
        <v>2043</v>
      </c>
      <c r="D1081" s="1" t="s">
        <v>2043</v>
      </c>
      <c r="E1081" s="1" t="s">
        <v>2043</v>
      </c>
      <c r="F1081" t="s">
        <v>2044</v>
      </c>
      <c r="G1081" t="s">
        <v>2045</v>
      </c>
      <c r="H1081" t="s">
        <v>49</v>
      </c>
      <c r="I1081" t="s">
        <v>50</v>
      </c>
      <c r="J1081">
        <v>2.73</v>
      </c>
      <c r="K1081" t="e">
        <f>IF(COUNTIF(#REF!,Tabela2[[#This Row],[IdxWspolny]])&gt;0,"ELEM_lub_PRD","TECHN")</f>
        <v>#REF!</v>
      </c>
      <c r="L1081" t="e">
        <f>IF(COUNTIF(#REF!,Tabela2[[#This Row],[KOD_PRODUKTU]])&gt;0,"ELEMENT","PRODUKT")</f>
        <v>#REF!</v>
      </c>
      <c r="M1081" t="e">
        <f>COUNTIF(#REF!,Tabela2[[#This Row],[KOD_PRODUKTU]])</f>
        <v>#REF!</v>
      </c>
      <c r="N1081" t="s">
        <v>55</v>
      </c>
    </row>
    <row r="1082" spans="1:14" x14ac:dyDescent="0.25">
      <c r="A1082" s="1" t="s">
        <v>2047</v>
      </c>
      <c r="B1082" t="s">
        <v>2048</v>
      </c>
      <c r="C1082" s="1" t="s">
        <v>7</v>
      </c>
      <c r="D1082" s="1" t="s">
        <v>7</v>
      </c>
      <c r="E1082" s="1" t="s">
        <v>7</v>
      </c>
      <c r="F1082" t="s">
        <v>8</v>
      </c>
      <c r="G1082" t="s">
        <v>9</v>
      </c>
      <c r="H1082" t="s">
        <v>10</v>
      </c>
      <c r="I1082" t="s">
        <v>2046</v>
      </c>
      <c r="J1082">
        <v>0.77</v>
      </c>
      <c r="K1082" t="e">
        <f>IF(COUNTIF(#REF!,Tabela2[[#This Row],[IdxWspolny]])&gt;0,"ELEM_lub_PRD","TECHN")</f>
        <v>#REF!</v>
      </c>
      <c r="L1082" t="e">
        <f>IF(COUNTIF(#REF!,Tabela2[[#This Row],[KOD_PRODUKTU]])&gt;0,"ELEMENT","PRODUKT")</f>
        <v>#REF!</v>
      </c>
      <c r="M1082" t="e">
        <f>COUNTIF(#REF!,Tabela2[[#This Row],[KOD_PRODUKTU]])</f>
        <v>#REF!</v>
      </c>
    </row>
    <row r="1083" spans="1:14" x14ac:dyDescent="0.25">
      <c r="A1083" s="1" t="s">
        <v>2049</v>
      </c>
      <c r="B1083" t="s">
        <v>2050</v>
      </c>
      <c r="C1083" s="1" t="s">
        <v>248</v>
      </c>
      <c r="D1083" s="1" t="s">
        <v>248</v>
      </c>
      <c r="E1083" s="1" t="s">
        <v>248</v>
      </c>
      <c r="F1083" t="s">
        <v>249</v>
      </c>
      <c r="G1083" t="s">
        <v>70</v>
      </c>
      <c r="H1083" t="s">
        <v>39</v>
      </c>
      <c r="I1083" t="s">
        <v>40</v>
      </c>
      <c r="J1083">
        <v>0.05</v>
      </c>
      <c r="K1083" t="e">
        <f>IF(COUNTIF(#REF!,Tabela2[[#This Row],[IdxWspolny]])&gt;0,"ELEM_lub_PRD","TECHN")</f>
        <v>#REF!</v>
      </c>
      <c r="L1083" t="e">
        <f>IF(COUNTIF(#REF!,Tabela2[[#This Row],[KOD_PRODUKTU]])&gt;0,"ELEMENT","PRODUKT")</f>
        <v>#REF!</v>
      </c>
      <c r="M1083" t="e">
        <f>COUNTIF(#REF!,Tabela2[[#This Row],[KOD_PRODUKTU]])</f>
        <v>#REF!</v>
      </c>
    </row>
    <row r="1084" spans="1:14" hidden="1" x14ac:dyDescent="0.25">
      <c r="A1084" s="1" t="s">
        <v>2049</v>
      </c>
      <c r="B1084" t="s">
        <v>2050</v>
      </c>
      <c r="C1084" s="1" t="s">
        <v>2051</v>
      </c>
      <c r="D1084" s="1" t="s">
        <v>2052</v>
      </c>
      <c r="E1084" s="1" t="s">
        <v>2052</v>
      </c>
      <c r="F1084" t="s">
        <v>2053</v>
      </c>
      <c r="G1084" t="s">
        <v>2054</v>
      </c>
      <c r="H1084" t="s">
        <v>49</v>
      </c>
      <c r="I1084" t="s">
        <v>50</v>
      </c>
      <c r="J1084">
        <v>19.55</v>
      </c>
      <c r="K1084" t="e">
        <f>IF(COUNTIF(#REF!,Tabela2[[#This Row],[IdxWspolny]])&gt;0,"ELEM_lub_PRD","TECHN")</f>
        <v>#REF!</v>
      </c>
      <c r="L1084" t="e">
        <f>IF(COUNTIF(#REF!,Tabela2[[#This Row],[KOD_PRODUKTU]])&gt;0,"ELEMENT","PRODUKT")</f>
        <v>#REF!</v>
      </c>
      <c r="M1084" t="e">
        <f>COUNTIF(#REF!,Tabela2[[#This Row],[KOD_PRODUKTU]])</f>
        <v>#REF!</v>
      </c>
      <c r="N1084" t="s">
        <v>51</v>
      </c>
    </row>
    <row r="1085" spans="1:14" hidden="1" x14ac:dyDescent="0.25">
      <c r="A1085" s="1" t="s">
        <v>2049</v>
      </c>
      <c r="B1085" t="s">
        <v>2050</v>
      </c>
      <c r="C1085" s="1" t="s">
        <v>2055</v>
      </c>
      <c r="D1085" s="1" t="s">
        <v>2056</v>
      </c>
      <c r="E1085" s="1" t="s">
        <v>2056</v>
      </c>
      <c r="F1085" t="s">
        <v>2057</v>
      </c>
      <c r="G1085" t="s">
        <v>2058</v>
      </c>
      <c r="H1085" t="s">
        <v>49</v>
      </c>
      <c r="I1085" t="s">
        <v>50</v>
      </c>
      <c r="J1085">
        <v>4.3499999999999996</v>
      </c>
      <c r="K1085" t="e">
        <f>IF(COUNTIF(#REF!,Tabela2[[#This Row],[IdxWspolny]])&gt;0,"ELEM_lub_PRD","TECHN")</f>
        <v>#REF!</v>
      </c>
      <c r="L1085" t="e">
        <f>IF(COUNTIF(#REF!,Tabela2[[#This Row],[KOD_PRODUKTU]])&gt;0,"ELEMENT","PRODUKT")</f>
        <v>#REF!</v>
      </c>
      <c r="M1085" t="e">
        <f>COUNTIF(#REF!,Tabela2[[#This Row],[KOD_PRODUKTU]])</f>
        <v>#REF!</v>
      </c>
      <c r="N1085" t="s">
        <v>51</v>
      </c>
    </row>
    <row r="1086" spans="1:14" hidden="1" x14ac:dyDescent="0.25">
      <c r="A1086" s="1" t="s">
        <v>2049</v>
      </c>
      <c r="B1086" t="s">
        <v>2050</v>
      </c>
      <c r="C1086" s="1" t="s">
        <v>2059</v>
      </c>
      <c r="D1086" s="1" t="s">
        <v>2060</v>
      </c>
      <c r="E1086" s="1" t="s">
        <v>2060</v>
      </c>
      <c r="F1086" t="s">
        <v>2061</v>
      </c>
      <c r="G1086" t="s">
        <v>2062</v>
      </c>
      <c r="H1086" t="s">
        <v>49</v>
      </c>
      <c r="I1086" t="s">
        <v>50</v>
      </c>
      <c r="J1086">
        <v>17.149999999999999</v>
      </c>
      <c r="K1086" t="e">
        <f>IF(COUNTIF(#REF!,Tabela2[[#This Row],[IdxWspolny]])&gt;0,"ELEM_lub_PRD","TECHN")</f>
        <v>#REF!</v>
      </c>
      <c r="L1086" t="e">
        <f>IF(COUNTIF(#REF!,Tabela2[[#This Row],[KOD_PRODUKTU]])&gt;0,"ELEMENT","PRODUKT")</f>
        <v>#REF!</v>
      </c>
      <c r="M1086" t="e">
        <f>COUNTIF(#REF!,Tabela2[[#This Row],[KOD_PRODUKTU]])</f>
        <v>#REF!</v>
      </c>
      <c r="N1086" t="s">
        <v>51</v>
      </c>
    </row>
    <row r="1087" spans="1:14" hidden="1" x14ac:dyDescent="0.25">
      <c r="A1087" s="1" t="s">
        <v>2049</v>
      </c>
      <c r="B1087" t="s">
        <v>2050</v>
      </c>
      <c r="C1087" s="1" t="s">
        <v>2063</v>
      </c>
      <c r="D1087" s="1" t="s">
        <v>2064</v>
      </c>
      <c r="E1087" s="1" t="s">
        <v>2064</v>
      </c>
      <c r="F1087" t="s">
        <v>2065</v>
      </c>
      <c r="G1087" t="s">
        <v>2066</v>
      </c>
      <c r="H1087" t="s">
        <v>49</v>
      </c>
      <c r="I1087" t="s">
        <v>50</v>
      </c>
      <c r="J1087">
        <v>12.45</v>
      </c>
      <c r="K1087" t="e">
        <f>IF(COUNTIF(#REF!,Tabela2[[#This Row],[IdxWspolny]])&gt;0,"ELEM_lub_PRD","TECHN")</f>
        <v>#REF!</v>
      </c>
      <c r="L1087" t="e">
        <f>IF(COUNTIF(#REF!,Tabela2[[#This Row],[KOD_PRODUKTU]])&gt;0,"ELEMENT","PRODUKT")</f>
        <v>#REF!</v>
      </c>
      <c r="M1087" t="e">
        <f>COUNTIF(#REF!,Tabela2[[#This Row],[KOD_PRODUKTU]])</f>
        <v>#REF!</v>
      </c>
      <c r="N1087" t="s">
        <v>51</v>
      </c>
    </row>
    <row r="1088" spans="1:14" x14ac:dyDescent="0.25">
      <c r="A1088" s="1" t="s">
        <v>2049</v>
      </c>
      <c r="B1088" t="s">
        <v>2050</v>
      </c>
      <c r="C1088" s="1" t="s">
        <v>7</v>
      </c>
      <c r="D1088" s="1" t="s">
        <v>7</v>
      </c>
      <c r="E1088" s="1" t="s">
        <v>7</v>
      </c>
      <c r="F1088" t="s">
        <v>8</v>
      </c>
      <c r="G1088" t="s">
        <v>9</v>
      </c>
      <c r="H1088" t="s">
        <v>10</v>
      </c>
      <c r="I1088" t="s">
        <v>316</v>
      </c>
      <c r="J1088">
        <v>0.8</v>
      </c>
      <c r="K1088" t="e">
        <f>IF(COUNTIF(#REF!,Tabela2[[#This Row],[IdxWspolny]])&gt;0,"ELEM_lub_PRD","TECHN")</f>
        <v>#REF!</v>
      </c>
      <c r="L1088" t="e">
        <f>IF(COUNTIF(#REF!,Tabela2[[#This Row],[KOD_PRODUKTU]])&gt;0,"ELEMENT","PRODUKT")</f>
        <v>#REF!</v>
      </c>
      <c r="M1088" t="e">
        <f>COUNTIF(#REF!,Tabela2[[#This Row],[KOD_PRODUKTU]])</f>
        <v>#REF!</v>
      </c>
    </row>
    <row r="1089" spans="1:13" x14ac:dyDescent="0.25">
      <c r="A1089" s="1" t="s">
        <v>2067</v>
      </c>
      <c r="B1089" t="s">
        <v>2068</v>
      </c>
      <c r="C1089" s="1" t="s">
        <v>1547</v>
      </c>
      <c r="D1089" s="1" t="s">
        <v>1547</v>
      </c>
      <c r="E1089" s="1" t="s">
        <v>1547</v>
      </c>
      <c r="F1089" t="s">
        <v>1548</v>
      </c>
      <c r="G1089" t="s">
        <v>403</v>
      </c>
      <c r="H1089" t="s">
        <v>5</v>
      </c>
      <c r="I1089" t="s">
        <v>367</v>
      </c>
      <c r="J1089">
        <v>0.3</v>
      </c>
      <c r="K1089" t="e">
        <f>IF(COUNTIF(#REF!,Tabela2[[#This Row],[IdxWspolny]])&gt;0,"ELEM_lub_PRD","TECHN")</f>
        <v>#REF!</v>
      </c>
      <c r="L1089" t="e">
        <f>IF(COUNTIF(#REF!,Tabela2[[#This Row],[KOD_PRODUKTU]])&gt;0,"ELEMENT","PRODUKT")</f>
        <v>#REF!</v>
      </c>
      <c r="M1089" t="e">
        <f>COUNTIF(#REF!,Tabela2[[#This Row],[KOD_PRODUKTU]])</f>
        <v>#REF!</v>
      </c>
    </row>
    <row r="1090" spans="1:13" x14ac:dyDescent="0.25">
      <c r="A1090" s="1" t="s">
        <v>2067</v>
      </c>
      <c r="B1090" t="s">
        <v>2068</v>
      </c>
      <c r="C1090" s="1" t="s">
        <v>432</v>
      </c>
      <c r="D1090" s="1" t="s">
        <v>432</v>
      </c>
      <c r="E1090" s="1" t="s">
        <v>432</v>
      </c>
      <c r="F1090" t="s">
        <v>433</v>
      </c>
      <c r="G1090" t="s">
        <v>434</v>
      </c>
      <c r="H1090" t="s">
        <v>435</v>
      </c>
      <c r="I1090" t="s">
        <v>50</v>
      </c>
      <c r="J1090">
        <v>1.1000000000000001</v>
      </c>
      <c r="K1090" t="e">
        <f>IF(COUNTIF(#REF!,Tabela2[[#This Row],[IdxWspolny]])&gt;0,"ELEM_lub_PRD","TECHN")</f>
        <v>#REF!</v>
      </c>
      <c r="L1090" t="e">
        <f>IF(COUNTIF(#REF!,Tabela2[[#This Row],[KOD_PRODUKTU]])&gt;0,"ELEMENT","PRODUKT")</f>
        <v>#REF!</v>
      </c>
      <c r="M1090" t="e">
        <f>COUNTIF(#REF!,Tabela2[[#This Row],[KOD_PRODUKTU]])</f>
        <v>#REF!</v>
      </c>
    </row>
    <row r="1091" spans="1:13" x14ac:dyDescent="0.25">
      <c r="A1091" s="1" t="s">
        <v>2067</v>
      </c>
      <c r="B1091" t="s">
        <v>2068</v>
      </c>
      <c r="C1091" s="1" t="s">
        <v>7</v>
      </c>
      <c r="D1091" s="1" t="s">
        <v>7</v>
      </c>
      <c r="E1091" s="1" t="s">
        <v>7</v>
      </c>
      <c r="F1091" t="s">
        <v>8</v>
      </c>
      <c r="G1091" t="s">
        <v>9</v>
      </c>
      <c r="H1091" t="s">
        <v>10</v>
      </c>
      <c r="I1091" t="s">
        <v>2069</v>
      </c>
      <c r="J1091">
        <v>1.4</v>
      </c>
      <c r="K1091" t="e">
        <f>IF(COUNTIF(#REF!,Tabela2[[#This Row],[IdxWspolny]])&gt;0,"ELEM_lub_PRD","TECHN")</f>
        <v>#REF!</v>
      </c>
      <c r="L1091" t="e">
        <f>IF(COUNTIF(#REF!,Tabela2[[#This Row],[KOD_PRODUKTU]])&gt;0,"ELEMENT","PRODUKT")</f>
        <v>#REF!</v>
      </c>
      <c r="M1091" t="e">
        <f>COUNTIF(#REF!,Tabela2[[#This Row],[KOD_PRODUKTU]])</f>
        <v>#REF!</v>
      </c>
    </row>
    <row r="1092" spans="1:13" x14ac:dyDescent="0.25">
      <c r="A1092" s="1" t="s">
        <v>2070</v>
      </c>
      <c r="B1092" t="s">
        <v>2071</v>
      </c>
      <c r="C1092" s="1" t="s">
        <v>2072</v>
      </c>
      <c r="D1092" s="1" t="s">
        <v>2072</v>
      </c>
      <c r="E1092" s="1" t="s">
        <v>2072</v>
      </c>
      <c r="F1092" t="s">
        <v>2073</v>
      </c>
      <c r="G1092" t="s">
        <v>1354</v>
      </c>
      <c r="H1092" t="s">
        <v>5</v>
      </c>
      <c r="I1092" t="s">
        <v>2074</v>
      </c>
      <c r="J1092">
        <v>7.7</v>
      </c>
      <c r="K1092" t="e">
        <f>IF(COUNTIF(#REF!,Tabela2[[#This Row],[IdxWspolny]])&gt;0,"ELEM_lub_PRD","TECHN")</f>
        <v>#REF!</v>
      </c>
      <c r="L1092" t="e">
        <f>IF(COUNTIF(#REF!,Tabela2[[#This Row],[KOD_PRODUKTU]])&gt;0,"ELEMENT","PRODUKT")</f>
        <v>#REF!</v>
      </c>
      <c r="M1092" t="e">
        <f>COUNTIF(#REF!,Tabela2[[#This Row],[KOD_PRODUKTU]])</f>
        <v>#REF!</v>
      </c>
    </row>
    <row r="1093" spans="1:13" x14ac:dyDescent="0.25">
      <c r="A1093" s="1" t="s">
        <v>2070</v>
      </c>
      <c r="B1093" t="s">
        <v>2071</v>
      </c>
      <c r="C1093" s="1" t="s">
        <v>7</v>
      </c>
      <c r="D1093" s="1" t="s">
        <v>7</v>
      </c>
      <c r="E1093" s="1" t="s">
        <v>7</v>
      </c>
      <c r="F1093" t="s">
        <v>8</v>
      </c>
      <c r="G1093" t="s">
        <v>9</v>
      </c>
      <c r="H1093" t="s">
        <v>10</v>
      </c>
      <c r="I1093" t="s">
        <v>2075</v>
      </c>
      <c r="J1093">
        <v>1.25</v>
      </c>
      <c r="K1093" t="e">
        <f>IF(COUNTIF(#REF!,Tabela2[[#This Row],[IdxWspolny]])&gt;0,"ELEM_lub_PRD","TECHN")</f>
        <v>#REF!</v>
      </c>
      <c r="L1093" t="e">
        <f>IF(COUNTIF(#REF!,Tabela2[[#This Row],[KOD_PRODUKTU]])&gt;0,"ELEMENT","PRODUKT")</f>
        <v>#REF!</v>
      </c>
      <c r="M1093" t="e">
        <f>COUNTIF(#REF!,Tabela2[[#This Row],[KOD_PRODUKTU]])</f>
        <v>#REF!</v>
      </c>
    </row>
    <row r="1094" spans="1:13" x14ac:dyDescent="0.25">
      <c r="A1094" s="1" t="s">
        <v>2076</v>
      </c>
      <c r="B1094" t="s">
        <v>2077</v>
      </c>
      <c r="C1094" s="1" t="s">
        <v>2078</v>
      </c>
      <c r="D1094" s="1" t="s">
        <v>2078</v>
      </c>
      <c r="E1094" s="1" t="s">
        <v>2078</v>
      </c>
      <c r="F1094" t="s">
        <v>2079</v>
      </c>
      <c r="G1094" t="s">
        <v>1354</v>
      </c>
      <c r="H1094" t="s">
        <v>5</v>
      </c>
      <c r="I1094" t="s">
        <v>2080</v>
      </c>
      <c r="J1094">
        <v>13.75</v>
      </c>
      <c r="K1094" t="e">
        <f>IF(COUNTIF(#REF!,Tabela2[[#This Row],[IdxWspolny]])&gt;0,"ELEM_lub_PRD","TECHN")</f>
        <v>#REF!</v>
      </c>
      <c r="L1094" t="e">
        <f>IF(COUNTIF(#REF!,Tabela2[[#This Row],[KOD_PRODUKTU]])&gt;0,"ELEMENT","PRODUKT")</f>
        <v>#REF!</v>
      </c>
      <c r="M1094" t="e">
        <f>COUNTIF(#REF!,Tabela2[[#This Row],[KOD_PRODUKTU]])</f>
        <v>#REF!</v>
      </c>
    </row>
    <row r="1095" spans="1:13" x14ac:dyDescent="0.25">
      <c r="A1095" s="1" t="s">
        <v>2076</v>
      </c>
      <c r="B1095" t="s">
        <v>2077</v>
      </c>
      <c r="C1095" s="1" t="s">
        <v>7</v>
      </c>
      <c r="D1095" s="1" t="s">
        <v>7</v>
      </c>
      <c r="E1095" s="1" t="s">
        <v>7</v>
      </c>
      <c r="F1095" t="s">
        <v>8</v>
      </c>
      <c r="G1095" t="s">
        <v>9</v>
      </c>
      <c r="H1095" t="s">
        <v>10</v>
      </c>
      <c r="I1095" t="s">
        <v>1791</v>
      </c>
      <c r="J1095">
        <v>2.4500000000000002</v>
      </c>
      <c r="K1095" t="e">
        <f>IF(COUNTIF(#REF!,Tabela2[[#This Row],[IdxWspolny]])&gt;0,"ELEM_lub_PRD","TECHN")</f>
        <v>#REF!</v>
      </c>
      <c r="L1095" t="e">
        <f>IF(COUNTIF(#REF!,Tabela2[[#This Row],[KOD_PRODUKTU]])&gt;0,"ELEMENT","PRODUKT")</f>
        <v>#REF!</v>
      </c>
      <c r="M1095" t="e">
        <f>COUNTIF(#REF!,Tabela2[[#This Row],[KOD_PRODUKTU]])</f>
        <v>#REF!</v>
      </c>
    </row>
    <row r="1096" spans="1:13" x14ac:dyDescent="0.25">
      <c r="A1096" s="1" t="s">
        <v>2081</v>
      </c>
      <c r="B1096" t="s">
        <v>2082</v>
      </c>
      <c r="C1096" s="1" t="s">
        <v>2078</v>
      </c>
      <c r="D1096" s="1" t="s">
        <v>2078</v>
      </c>
      <c r="E1096" s="1" t="s">
        <v>2078</v>
      </c>
      <c r="F1096" t="s">
        <v>2079</v>
      </c>
      <c r="G1096" t="s">
        <v>1354</v>
      </c>
      <c r="H1096" t="s">
        <v>5</v>
      </c>
      <c r="I1096" t="s">
        <v>2083</v>
      </c>
      <c r="J1096">
        <v>8.9499999999999993</v>
      </c>
      <c r="K1096" t="e">
        <f>IF(COUNTIF(#REF!,Tabela2[[#This Row],[IdxWspolny]])&gt;0,"ELEM_lub_PRD","TECHN")</f>
        <v>#REF!</v>
      </c>
      <c r="L1096" t="e">
        <f>IF(COUNTIF(#REF!,Tabela2[[#This Row],[KOD_PRODUKTU]])&gt;0,"ELEMENT","PRODUKT")</f>
        <v>#REF!</v>
      </c>
      <c r="M1096" t="e">
        <f>COUNTIF(#REF!,Tabela2[[#This Row],[KOD_PRODUKTU]])</f>
        <v>#REF!</v>
      </c>
    </row>
    <row r="1097" spans="1:13" x14ac:dyDescent="0.25">
      <c r="A1097" s="1" t="s">
        <v>2081</v>
      </c>
      <c r="B1097" t="s">
        <v>2082</v>
      </c>
      <c r="C1097" s="1" t="s">
        <v>541</v>
      </c>
      <c r="D1097" s="1" t="s">
        <v>541</v>
      </c>
      <c r="E1097" s="1" t="s">
        <v>541</v>
      </c>
      <c r="F1097" t="s">
        <v>542</v>
      </c>
      <c r="G1097" t="s">
        <v>9</v>
      </c>
      <c r="H1097" t="s">
        <v>10</v>
      </c>
      <c r="I1097" t="s">
        <v>1236</v>
      </c>
      <c r="J1097">
        <v>5.52</v>
      </c>
      <c r="K1097" t="e">
        <f>IF(COUNTIF(#REF!,Tabela2[[#This Row],[IdxWspolny]])&gt;0,"ELEM_lub_PRD","TECHN")</f>
        <v>#REF!</v>
      </c>
      <c r="L1097" t="e">
        <f>IF(COUNTIF(#REF!,Tabela2[[#This Row],[KOD_PRODUKTU]])&gt;0,"ELEMENT","PRODUKT")</f>
        <v>#REF!</v>
      </c>
      <c r="M1097" t="e">
        <f>COUNTIF(#REF!,Tabela2[[#This Row],[KOD_PRODUKTU]])</f>
        <v>#REF!</v>
      </c>
    </row>
    <row r="1098" spans="1:13" x14ac:dyDescent="0.25">
      <c r="A1098" s="1" t="s">
        <v>2084</v>
      </c>
      <c r="B1098" t="s">
        <v>2085</v>
      </c>
      <c r="C1098" s="1" t="s">
        <v>2072</v>
      </c>
      <c r="D1098" s="1" t="s">
        <v>2072</v>
      </c>
      <c r="E1098" s="1" t="s">
        <v>2072</v>
      </c>
      <c r="F1098" t="s">
        <v>2073</v>
      </c>
      <c r="G1098" t="s">
        <v>1354</v>
      </c>
      <c r="H1098" t="s">
        <v>5</v>
      </c>
      <c r="I1098" t="s">
        <v>2086</v>
      </c>
      <c r="J1098">
        <v>4.4000000000000004</v>
      </c>
      <c r="K1098" t="e">
        <f>IF(COUNTIF(#REF!,Tabela2[[#This Row],[IdxWspolny]])&gt;0,"ELEM_lub_PRD","TECHN")</f>
        <v>#REF!</v>
      </c>
      <c r="L1098" t="e">
        <f>IF(COUNTIF(#REF!,Tabela2[[#This Row],[KOD_PRODUKTU]])&gt;0,"ELEMENT","PRODUKT")</f>
        <v>#REF!</v>
      </c>
      <c r="M1098" t="e">
        <f>COUNTIF(#REF!,Tabela2[[#This Row],[KOD_PRODUKTU]])</f>
        <v>#REF!</v>
      </c>
    </row>
    <row r="1099" spans="1:13" x14ac:dyDescent="0.25">
      <c r="A1099" s="1" t="s">
        <v>2084</v>
      </c>
      <c r="B1099" t="s">
        <v>2085</v>
      </c>
      <c r="C1099" s="1" t="s">
        <v>541</v>
      </c>
      <c r="D1099" s="1" t="s">
        <v>541</v>
      </c>
      <c r="E1099" s="1" t="s">
        <v>541</v>
      </c>
      <c r="F1099" t="s">
        <v>542</v>
      </c>
      <c r="G1099" t="s">
        <v>9</v>
      </c>
      <c r="H1099" t="s">
        <v>10</v>
      </c>
      <c r="I1099" t="s">
        <v>601</v>
      </c>
      <c r="J1099">
        <v>6.9</v>
      </c>
      <c r="K1099" t="e">
        <f>IF(COUNTIF(#REF!,Tabela2[[#This Row],[IdxWspolny]])&gt;0,"ELEM_lub_PRD","TECHN")</f>
        <v>#REF!</v>
      </c>
      <c r="L1099" t="e">
        <f>IF(COUNTIF(#REF!,Tabela2[[#This Row],[KOD_PRODUKTU]])&gt;0,"ELEMENT","PRODUKT")</f>
        <v>#REF!</v>
      </c>
      <c r="M1099" t="e">
        <f>COUNTIF(#REF!,Tabela2[[#This Row],[KOD_PRODUKTU]])</f>
        <v>#REF!</v>
      </c>
    </row>
    <row r="1100" spans="1:13" x14ac:dyDescent="0.25">
      <c r="A1100" s="1" t="s">
        <v>2087</v>
      </c>
      <c r="B1100" t="s">
        <v>2088</v>
      </c>
      <c r="C1100" s="1" t="s">
        <v>2078</v>
      </c>
      <c r="D1100" s="1" t="s">
        <v>2078</v>
      </c>
      <c r="E1100" s="1" t="s">
        <v>2078</v>
      </c>
      <c r="F1100" t="s">
        <v>2079</v>
      </c>
      <c r="G1100" t="s">
        <v>1354</v>
      </c>
      <c r="H1100" t="s">
        <v>5</v>
      </c>
      <c r="I1100" t="s">
        <v>2089</v>
      </c>
      <c r="J1100">
        <v>7.6</v>
      </c>
      <c r="K1100" t="e">
        <f>IF(COUNTIF(#REF!,Tabela2[[#This Row],[IdxWspolny]])&gt;0,"ELEM_lub_PRD","TECHN")</f>
        <v>#REF!</v>
      </c>
      <c r="L1100" t="e">
        <f>IF(COUNTIF(#REF!,Tabela2[[#This Row],[KOD_PRODUKTU]])&gt;0,"ELEMENT","PRODUKT")</f>
        <v>#REF!</v>
      </c>
      <c r="M1100" t="e">
        <f>COUNTIF(#REF!,Tabela2[[#This Row],[KOD_PRODUKTU]])</f>
        <v>#REF!</v>
      </c>
    </row>
    <row r="1101" spans="1:13" x14ac:dyDescent="0.25">
      <c r="A1101" s="1" t="s">
        <v>2087</v>
      </c>
      <c r="B1101" t="s">
        <v>2088</v>
      </c>
      <c r="C1101" s="1" t="s">
        <v>7</v>
      </c>
      <c r="D1101" s="1" t="s">
        <v>7</v>
      </c>
      <c r="E1101" s="1" t="s">
        <v>7</v>
      </c>
      <c r="F1101" t="s">
        <v>8</v>
      </c>
      <c r="G1101" t="s">
        <v>9</v>
      </c>
      <c r="H1101" t="s">
        <v>10</v>
      </c>
      <c r="I1101" t="s">
        <v>2090</v>
      </c>
      <c r="J1101">
        <v>7.3</v>
      </c>
      <c r="K1101" t="e">
        <f>IF(COUNTIF(#REF!,Tabela2[[#This Row],[IdxWspolny]])&gt;0,"ELEM_lub_PRD","TECHN")</f>
        <v>#REF!</v>
      </c>
      <c r="L1101" t="e">
        <f>IF(COUNTIF(#REF!,Tabela2[[#This Row],[KOD_PRODUKTU]])&gt;0,"ELEMENT","PRODUKT")</f>
        <v>#REF!</v>
      </c>
      <c r="M1101" t="e">
        <f>COUNTIF(#REF!,Tabela2[[#This Row],[KOD_PRODUKTU]])</f>
        <v>#REF!</v>
      </c>
    </row>
    <row r="1102" spans="1:13" x14ac:dyDescent="0.25">
      <c r="A1102" s="1" t="s">
        <v>2091</v>
      </c>
      <c r="B1102" t="s">
        <v>2092</v>
      </c>
      <c r="C1102" s="1" t="s">
        <v>1378</v>
      </c>
      <c r="D1102" s="1" t="s">
        <v>1378</v>
      </c>
      <c r="E1102" s="1" t="s">
        <v>1378</v>
      </c>
      <c r="F1102" t="s">
        <v>1379</v>
      </c>
      <c r="G1102" t="s">
        <v>1043</v>
      </c>
      <c r="H1102" t="s">
        <v>5</v>
      </c>
      <c r="I1102" t="s">
        <v>699</v>
      </c>
      <c r="J1102">
        <v>0.1</v>
      </c>
      <c r="K1102" t="e">
        <f>IF(COUNTIF(#REF!,Tabela2[[#This Row],[IdxWspolny]])&gt;0,"ELEM_lub_PRD","TECHN")</f>
        <v>#REF!</v>
      </c>
      <c r="L1102" t="e">
        <f>IF(COUNTIF(#REF!,Tabela2[[#This Row],[KOD_PRODUKTU]])&gt;0,"ELEMENT","PRODUKT")</f>
        <v>#REF!</v>
      </c>
      <c r="M1102" t="e">
        <f>COUNTIF(#REF!,Tabela2[[#This Row],[KOD_PRODUKTU]])</f>
        <v>#REF!</v>
      </c>
    </row>
    <row r="1103" spans="1:13" x14ac:dyDescent="0.25">
      <c r="A1103" s="1" t="s">
        <v>2091</v>
      </c>
      <c r="B1103" t="s">
        <v>2092</v>
      </c>
      <c r="C1103" s="1" t="s">
        <v>7</v>
      </c>
      <c r="D1103" s="1" t="s">
        <v>7</v>
      </c>
      <c r="E1103" s="1" t="s">
        <v>7</v>
      </c>
      <c r="F1103" t="s">
        <v>8</v>
      </c>
      <c r="G1103" t="s">
        <v>9</v>
      </c>
      <c r="H1103" t="s">
        <v>10</v>
      </c>
      <c r="I1103" t="s">
        <v>2093</v>
      </c>
      <c r="J1103">
        <v>1.7</v>
      </c>
      <c r="K1103" t="e">
        <f>IF(COUNTIF(#REF!,Tabela2[[#This Row],[IdxWspolny]])&gt;0,"ELEM_lub_PRD","TECHN")</f>
        <v>#REF!</v>
      </c>
      <c r="L1103" t="e">
        <f>IF(COUNTIF(#REF!,Tabela2[[#This Row],[KOD_PRODUKTU]])&gt;0,"ELEMENT","PRODUKT")</f>
        <v>#REF!</v>
      </c>
      <c r="M1103" t="e">
        <f>COUNTIF(#REF!,Tabela2[[#This Row],[KOD_PRODUKTU]])</f>
        <v>#REF!</v>
      </c>
    </row>
    <row r="1104" spans="1:13" x14ac:dyDescent="0.25">
      <c r="A1104" s="1" t="s">
        <v>2094</v>
      </c>
      <c r="B1104" t="s">
        <v>2095</v>
      </c>
      <c r="C1104" s="1" t="s">
        <v>1378</v>
      </c>
      <c r="D1104" s="1" t="s">
        <v>1378</v>
      </c>
      <c r="E1104" s="1" t="s">
        <v>1378</v>
      </c>
      <c r="F1104" t="s">
        <v>1379</v>
      </c>
      <c r="G1104" t="s">
        <v>1043</v>
      </c>
      <c r="H1104" t="s">
        <v>5</v>
      </c>
      <c r="I1104" t="s">
        <v>699</v>
      </c>
      <c r="J1104">
        <v>0.1</v>
      </c>
      <c r="K1104" t="e">
        <f>IF(COUNTIF(#REF!,Tabela2[[#This Row],[IdxWspolny]])&gt;0,"ELEM_lub_PRD","TECHN")</f>
        <v>#REF!</v>
      </c>
      <c r="L1104" t="e">
        <f>IF(COUNTIF(#REF!,Tabela2[[#This Row],[KOD_PRODUKTU]])&gt;0,"ELEMENT","PRODUKT")</f>
        <v>#REF!</v>
      </c>
      <c r="M1104" t="e">
        <f>COUNTIF(#REF!,Tabela2[[#This Row],[KOD_PRODUKTU]])</f>
        <v>#REF!</v>
      </c>
    </row>
    <row r="1105" spans="1:13" x14ac:dyDescent="0.25">
      <c r="A1105" s="1" t="s">
        <v>2094</v>
      </c>
      <c r="B1105" t="s">
        <v>2095</v>
      </c>
      <c r="C1105" s="1" t="s">
        <v>7</v>
      </c>
      <c r="D1105" s="1" t="s">
        <v>7</v>
      </c>
      <c r="E1105" s="1" t="s">
        <v>7</v>
      </c>
      <c r="F1105" t="s">
        <v>8</v>
      </c>
      <c r="G1105" t="s">
        <v>9</v>
      </c>
      <c r="H1105" t="s">
        <v>10</v>
      </c>
      <c r="I1105" t="s">
        <v>2096</v>
      </c>
      <c r="J1105">
        <v>1.7</v>
      </c>
      <c r="K1105" t="e">
        <f>IF(COUNTIF(#REF!,Tabela2[[#This Row],[IdxWspolny]])&gt;0,"ELEM_lub_PRD","TECHN")</f>
        <v>#REF!</v>
      </c>
      <c r="L1105" t="e">
        <f>IF(COUNTIF(#REF!,Tabela2[[#This Row],[KOD_PRODUKTU]])&gt;0,"ELEMENT","PRODUKT")</f>
        <v>#REF!</v>
      </c>
      <c r="M1105" t="e">
        <f>COUNTIF(#REF!,Tabela2[[#This Row],[KOD_PRODUKTU]])</f>
        <v>#REF!</v>
      </c>
    </row>
    <row r="1106" spans="1:13" x14ac:dyDescent="0.25">
      <c r="A1106" s="1" t="s">
        <v>2097</v>
      </c>
      <c r="B1106" t="s">
        <v>2098</v>
      </c>
      <c r="C1106" s="1" t="s">
        <v>1378</v>
      </c>
      <c r="D1106" s="1" t="s">
        <v>1378</v>
      </c>
      <c r="E1106" s="1" t="s">
        <v>1378</v>
      </c>
      <c r="F1106" t="s">
        <v>1379</v>
      </c>
      <c r="G1106" t="s">
        <v>1043</v>
      </c>
      <c r="H1106" t="s">
        <v>5</v>
      </c>
      <c r="I1106" t="s">
        <v>2099</v>
      </c>
      <c r="J1106">
        <v>0.1</v>
      </c>
      <c r="K1106" t="e">
        <f>IF(COUNTIF(#REF!,Tabela2[[#This Row],[IdxWspolny]])&gt;0,"ELEM_lub_PRD","TECHN")</f>
        <v>#REF!</v>
      </c>
      <c r="L1106" t="e">
        <f>IF(COUNTIF(#REF!,Tabela2[[#This Row],[KOD_PRODUKTU]])&gt;0,"ELEMENT","PRODUKT")</f>
        <v>#REF!</v>
      </c>
      <c r="M1106" t="e">
        <f>COUNTIF(#REF!,Tabela2[[#This Row],[KOD_PRODUKTU]])</f>
        <v>#REF!</v>
      </c>
    </row>
    <row r="1107" spans="1:13" x14ac:dyDescent="0.25">
      <c r="A1107" s="1" t="s">
        <v>2097</v>
      </c>
      <c r="B1107" t="s">
        <v>2098</v>
      </c>
      <c r="C1107" s="1" t="s">
        <v>541</v>
      </c>
      <c r="D1107" s="1" t="s">
        <v>541</v>
      </c>
      <c r="E1107" s="1" t="s">
        <v>541</v>
      </c>
      <c r="F1107" t="s">
        <v>542</v>
      </c>
      <c r="G1107" t="s">
        <v>9</v>
      </c>
      <c r="H1107" t="s">
        <v>10</v>
      </c>
      <c r="I1107" t="s">
        <v>2096</v>
      </c>
      <c r="J1107">
        <v>1.7</v>
      </c>
      <c r="K1107" t="e">
        <f>IF(COUNTIF(#REF!,Tabela2[[#This Row],[IdxWspolny]])&gt;0,"ELEM_lub_PRD","TECHN")</f>
        <v>#REF!</v>
      </c>
      <c r="L1107" t="e">
        <f>IF(COUNTIF(#REF!,Tabela2[[#This Row],[KOD_PRODUKTU]])&gt;0,"ELEMENT","PRODUKT")</f>
        <v>#REF!</v>
      </c>
      <c r="M1107" t="e">
        <f>COUNTIF(#REF!,Tabela2[[#This Row],[KOD_PRODUKTU]])</f>
        <v>#REF!</v>
      </c>
    </row>
    <row r="1108" spans="1:13" x14ac:dyDescent="0.25">
      <c r="A1108" s="1" t="s">
        <v>2100</v>
      </c>
      <c r="B1108" t="s">
        <v>2101</v>
      </c>
      <c r="C1108" s="1" t="s">
        <v>1378</v>
      </c>
      <c r="D1108" s="1" t="s">
        <v>1378</v>
      </c>
      <c r="E1108" s="1" t="s">
        <v>1378</v>
      </c>
      <c r="F1108" t="s">
        <v>1379</v>
      </c>
      <c r="G1108" t="s">
        <v>1043</v>
      </c>
      <c r="H1108" t="s">
        <v>5</v>
      </c>
      <c r="I1108" t="s">
        <v>2099</v>
      </c>
      <c r="J1108">
        <v>0.1</v>
      </c>
      <c r="K1108" t="e">
        <f>IF(COUNTIF(#REF!,Tabela2[[#This Row],[IdxWspolny]])&gt;0,"ELEM_lub_PRD","TECHN")</f>
        <v>#REF!</v>
      </c>
      <c r="L1108" t="e">
        <f>IF(COUNTIF(#REF!,Tabela2[[#This Row],[KOD_PRODUKTU]])&gt;0,"ELEMENT","PRODUKT")</f>
        <v>#REF!</v>
      </c>
      <c r="M1108" t="e">
        <f>COUNTIF(#REF!,Tabela2[[#This Row],[KOD_PRODUKTU]])</f>
        <v>#REF!</v>
      </c>
    </row>
    <row r="1109" spans="1:13" x14ac:dyDescent="0.25">
      <c r="A1109" s="1" t="s">
        <v>2100</v>
      </c>
      <c r="B1109" t="s">
        <v>2101</v>
      </c>
      <c r="C1109" s="1" t="s">
        <v>541</v>
      </c>
      <c r="D1109" s="1" t="s">
        <v>541</v>
      </c>
      <c r="E1109" s="1" t="s">
        <v>541</v>
      </c>
      <c r="F1109" t="s">
        <v>542</v>
      </c>
      <c r="G1109" t="s">
        <v>9</v>
      </c>
      <c r="H1109" t="s">
        <v>10</v>
      </c>
      <c r="I1109" t="s">
        <v>2096</v>
      </c>
      <c r="J1109">
        <v>1.7</v>
      </c>
      <c r="K1109" t="e">
        <f>IF(COUNTIF(#REF!,Tabela2[[#This Row],[IdxWspolny]])&gt;0,"ELEM_lub_PRD","TECHN")</f>
        <v>#REF!</v>
      </c>
      <c r="L1109" t="e">
        <f>IF(COUNTIF(#REF!,Tabela2[[#This Row],[KOD_PRODUKTU]])&gt;0,"ELEMENT","PRODUKT")</f>
        <v>#REF!</v>
      </c>
      <c r="M1109" t="e">
        <f>COUNTIF(#REF!,Tabela2[[#This Row],[KOD_PRODUKTU]])</f>
        <v>#REF!</v>
      </c>
    </row>
    <row r="1110" spans="1:13" x14ac:dyDescent="0.25">
      <c r="A1110" s="1" t="s">
        <v>2102</v>
      </c>
      <c r="B1110" t="s">
        <v>2103</v>
      </c>
      <c r="C1110" s="1" t="s">
        <v>1378</v>
      </c>
      <c r="D1110" s="1" t="s">
        <v>1378</v>
      </c>
      <c r="E1110" s="1" t="s">
        <v>1378</v>
      </c>
      <c r="F1110" t="s">
        <v>1379</v>
      </c>
      <c r="G1110" t="s">
        <v>1043</v>
      </c>
      <c r="H1110" t="s">
        <v>5</v>
      </c>
      <c r="I1110" t="s">
        <v>699</v>
      </c>
      <c r="J1110">
        <v>0.1</v>
      </c>
      <c r="K1110" t="e">
        <f>IF(COUNTIF(#REF!,Tabela2[[#This Row],[IdxWspolny]])&gt;0,"ELEM_lub_PRD","TECHN")</f>
        <v>#REF!</v>
      </c>
      <c r="L1110" t="e">
        <f>IF(COUNTIF(#REF!,Tabela2[[#This Row],[KOD_PRODUKTU]])&gt;0,"ELEMENT","PRODUKT")</f>
        <v>#REF!</v>
      </c>
      <c r="M1110" t="e">
        <f>COUNTIF(#REF!,Tabela2[[#This Row],[KOD_PRODUKTU]])</f>
        <v>#REF!</v>
      </c>
    </row>
    <row r="1111" spans="1:13" x14ac:dyDescent="0.25">
      <c r="A1111" s="1" t="s">
        <v>2102</v>
      </c>
      <c r="B1111" t="s">
        <v>2103</v>
      </c>
      <c r="C1111" s="1" t="s">
        <v>7</v>
      </c>
      <c r="D1111" s="1" t="s">
        <v>7</v>
      </c>
      <c r="E1111" s="1" t="s">
        <v>7</v>
      </c>
      <c r="F1111" t="s">
        <v>8</v>
      </c>
      <c r="G1111" t="s">
        <v>9</v>
      </c>
      <c r="H1111" t="s">
        <v>10</v>
      </c>
      <c r="I1111" t="s">
        <v>2096</v>
      </c>
      <c r="J1111">
        <v>1.7</v>
      </c>
      <c r="K1111" t="e">
        <f>IF(COUNTIF(#REF!,Tabela2[[#This Row],[IdxWspolny]])&gt;0,"ELEM_lub_PRD","TECHN")</f>
        <v>#REF!</v>
      </c>
      <c r="L1111" t="e">
        <f>IF(COUNTIF(#REF!,Tabela2[[#This Row],[KOD_PRODUKTU]])&gt;0,"ELEMENT","PRODUKT")</f>
        <v>#REF!</v>
      </c>
      <c r="M1111" t="e">
        <f>COUNTIF(#REF!,Tabela2[[#This Row],[KOD_PRODUKTU]])</f>
        <v>#REF!</v>
      </c>
    </row>
    <row r="1112" spans="1:13" x14ac:dyDescent="0.25">
      <c r="A1112" s="1" t="s">
        <v>2104</v>
      </c>
      <c r="B1112" t="s">
        <v>2105</v>
      </c>
      <c r="C1112" s="1" t="s">
        <v>1378</v>
      </c>
      <c r="D1112" s="1" t="s">
        <v>1378</v>
      </c>
      <c r="E1112" s="1" t="s">
        <v>1378</v>
      </c>
      <c r="F1112" t="s">
        <v>1379</v>
      </c>
      <c r="G1112" t="s">
        <v>1043</v>
      </c>
      <c r="H1112" t="s">
        <v>5</v>
      </c>
      <c r="I1112" t="s">
        <v>2106</v>
      </c>
      <c r="J1112">
        <v>0.3</v>
      </c>
      <c r="K1112" t="e">
        <f>IF(COUNTIF(#REF!,Tabela2[[#This Row],[IdxWspolny]])&gt;0,"ELEM_lub_PRD","TECHN")</f>
        <v>#REF!</v>
      </c>
      <c r="L1112" t="e">
        <f>IF(COUNTIF(#REF!,Tabela2[[#This Row],[KOD_PRODUKTU]])&gt;0,"ELEMENT","PRODUKT")</f>
        <v>#REF!</v>
      </c>
      <c r="M1112" t="e">
        <f>COUNTIF(#REF!,Tabela2[[#This Row],[KOD_PRODUKTU]])</f>
        <v>#REF!</v>
      </c>
    </row>
    <row r="1113" spans="1:13" x14ac:dyDescent="0.25">
      <c r="A1113" s="1" t="s">
        <v>2104</v>
      </c>
      <c r="B1113" t="s">
        <v>2105</v>
      </c>
      <c r="C1113" s="1" t="s">
        <v>541</v>
      </c>
      <c r="D1113" s="1" t="s">
        <v>541</v>
      </c>
      <c r="E1113" s="1" t="s">
        <v>541</v>
      </c>
      <c r="F1113" t="s">
        <v>542</v>
      </c>
      <c r="G1113" t="s">
        <v>9</v>
      </c>
      <c r="H1113" t="s">
        <v>10</v>
      </c>
      <c r="I1113" t="s">
        <v>2107</v>
      </c>
      <c r="J1113">
        <v>2.8</v>
      </c>
      <c r="K1113" t="e">
        <f>IF(COUNTIF(#REF!,Tabela2[[#This Row],[IdxWspolny]])&gt;0,"ELEM_lub_PRD","TECHN")</f>
        <v>#REF!</v>
      </c>
      <c r="L1113" t="e">
        <f>IF(COUNTIF(#REF!,Tabela2[[#This Row],[KOD_PRODUKTU]])&gt;0,"ELEMENT","PRODUKT")</f>
        <v>#REF!</v>
      </c>
      <c r="M1113" t="e">
        <f>COUNTIF(#REF!,Tabela2[[#This Row],[KOD_PRODUKTU]])</f>
        <v>#REF!</v>
      </c>
    </row>
    <row r="1114" spans="1:13" x14ac:dyDescent="0.25">
      <c r="A1114" s="1" t="s">
        <v>2108</v>
      </c>
      <c r="B1114" t="s">
        <v>2109</v>
      </c>
      <c r="C1114" s="1" t="s">
        <v>2110</v>
      </c>
      <c r="D1114" s="1" t="s">
        <v>2110</v>
      </c>
      <c r="E1114" s="1" t="s">
        <v>2110</v>
      </c>
      <c r="F1114" t="s">
        <v>2111</v>
      </c>
      <c r="G1114" t="s">
        <v>2112</v>
      </c>
      <c r="H1114" t="s">
        <v>17</v>
      </c>
      <c r="I1114" t="s">
        <v>2113</v>
      </c>
      <c r="J1114">
        <v>1.74</v>
      </c>
      <c r="K1114" t="e">
        <f>IF(COUNTIF(#REF!,Tabela2[[#This Row],[IdxWspolny]])&gt;0,"ELEM_lub_PRD","TECHN")</f>
        <v>#REF!</v>
      </c>
      <c r="L1114" t="e">
        <f>IF(COUNTIF(#REF!,Tabela2[[#This Row],[KOD_PRODUKTU]])&gt;0,"ELEMENT","PRODUKT")</f>
        <v>#REF!</v>
      </c>
      <c r="M1114" t="e">
        <f>COUNTIF(#REF!,Tabela2[[#This Row],[KOD_PRODUKTU]])</f>
        <v>#REF!</v>
      </c>
    </row>
    <row r="1115" spans="1:13" x14ac:dyDescent="0.25">
      <c r="A1115" s="1" t="s">
        <v>2108</v>
      </c>
      <c r="B1115" t="s">
        <v>2109</v>
      </c>
      <c r="C1115" s="1" t="s">
        <v>7</v>
      </c>
      <c r="D1115" s="1" t="s">
        <v>7</v>
      </c>
      <c r="E1115" s="1" t="s">
        <v>7</v>
      </c>
      <c r="F1115" t="s">
        <v>8</v>
      </c>
      <c r="G1115" t="s">
        <v>9</v>
      </c>
      <c r="H1115" t="s">
        <v>10</v>
      </c>
      <c r="I1115" t="s">
        <v>2114</v>
      </c>
      <c r="J1115">
        <v>15.18</v>
      </c>
      <c r="K1115" t="e">
        <f>IF(COUNTIF(#REF!,Tabela2[[#This Row],[IdxWspolny]])&gt;0,"ELEM_lub_PRD","TECHN")</f>
        <v>#REF!</v>
      </c>
      <c r="L1115" t="e">
        <f>IF(COUNTIF(#REF!,Tabela2[[#This Row],[KOD_PRODUKTU]])&gt;0,"ELEMENT","PRODUKT")</f>
        <v>#REF!</v>
      </c>
      <c r="M1115" t="e">
        <f>COUNTIF(#REF!,Tabela2[[#This Row],[KOD_PRODUKTU]])</f>
        <v>#REF!</v>
      </c>
    </row>
    <row r="1116" spans="1:13" x14ac:dyDescent="0.25">
      <c r="A1116" s="1" t="s">
        <v>2115</v>
      </c>
      <c r="B1116" t="s">
        <v>2116</v>
      </c>
      <c r="C1116" s="1" t="s">
        <v>2110</v>
      </c>
      <c r="D1116" s="1" t="s">
        <v>2110</v>
      </c>
      <c r="E1116" s="1" t="s">
        <v>2110</v>
      </c>
      <c r="F1116" t="s">
        <v>2111</v>
      </c>
      <c r="G1116" t="s">
        <v>2112</v>
      </c>
      <c r="H1116" t="s">
        <v>17</v>
      </c>
      <c r="I1116" t="s">
        <v>2117</v>
      </c>
      <c r="J1116">
        <v>0.2</v>
      </c>
      <c r="K1116" t="e">
        <f>IF(COUNTIF(#REF!,Tabela2[[#This Row],[IdxWspolny]])&gt;0,"ELEM_lub_PRD","TECHN")</f>
        <v>#REF!</v>
      </c>
      <c r="L1116" t="e">
        <f>IF(COUNTIF(#REF!,Tabela2[[#This Row],[KOD_PRODUKTU]])&gt;0,"ELEMENT","PRODUKT")</f>
        <v>#REF!</v>
      </c>
      <c r="M1116" t="e">
        <f>COUNTIF(#REF!,Tabela2[[#This Row],[KOD_PRODUKTU]])</f>
        <v>#REF!</v>
      </c>
    </row>
    <row r="1117" spans="1:13" x14ac:dyDescent="0.25">
      <c r="A1117" s="1" t="s">
        <v>2115</v>
      </c>
      <c r="B1117" t="s">
        <v>2116</v>
      </c>
      <c r="C1117" s="1" t="s">
        <v>7</v>
      </c>
      <c r="D1117" s="1" t="s">
        <v>7</v>
      </c>
      <c r="E1117" s="1" t="s">
        <v>7</v>
      </c>
      <c r="F1117" t="s">
        <v>8</v>
      </c>
      <c r="G1117" t="s">
        <v>9</v>
      </c>
      <c r="H1117" t="s">
        <v>10</v>
      </c>
      <c r="I1117" t="s">
        <v>367</v>
      </c>
      <c r="J1117">
        <v>2.2999999999999998</v>
      </c>
      <c r="K1117" t="e">
        <f>IF(COUNTIF(#REF!,Tabela2[[#This Row],[IdxWspolny]])&gt;0,"ELEM_lub_PRD","TECHN")</f>
        <v>#REF!</v>
      </c>
      <c r="L1117" t="e">
        <f>IF(COUNTIF(#REF!,Tabela2[[#This Row],[KOD_PRODUKTU]])&gt;0,"ELEMENT","PRODUKT")</f>
        <v>#REF!</v>
      </c>
      <c r="M1117" t="e">
        <f>COUNTIF(#REF!,Tabela2[[#This Row],[KOD_PRODUKTU]])</f>
        <v>#REF!</v>
      </c>
    </row>
    <row r="1118" spans="1:13" x14ac:dyDescent="0.25">
      <c r="A1118" s="1" t="s">
        <v>2118</v>
      </c>
      <c r="B1118" t="s">
        <v>2119</v>
      </c>
      <c r="C1118" s="1" t="s">
        <v>2110</v>
      </c>
      <c r="D1118" s="1" t="s">
        <v>2110</v>
      </c>
      <c r="E1118" s="1" t="s">
        <v>2110</v>
      </c>
      <c r="F1118" t="s">
        <v>2111</v>
      </c>
      <c r="G1118" t="s">
        <v>2112</v>
      </c>
      <c r="H1118" t="s">
        <v>17</v>
      </c>
      <c r="I1118" t="s">
        <v>2120</v>
      </c>
      <c r="J1118">
        <v>0.25</v>
      </c>
      <c r="K1118" t="e">
        <f>IF(COUNTIF(#REF!,Tabela2[[#This Row],[IdxWspolny]])&gt;0,"ELEM_lub_PRD","TECHN")</f>
        <v>#REF!</v>
      </c>
      <c r="L1118" t="e">
        <f>IF(COUNTIF(#REF!,Tabela2[[#This Row],[KOD_PRODUKTU]])&gt;0,"ELEMENT","PRODUKT")</f>
        <v>#REF!</v>
      </c>
      <c r="M1118" t="e">
        <f>COUNTIF(#REF!,Tabela2[[#This Row],[KOD_PRODUKTU]])</f>
        <v>#REF!</v>
      </c>
    </row>
    <row r="1119" spans="1:13" x14ac:dyDescent="0.25">
      <c r="A1119" s="1" t="s">
        <v>2118</v>
      </c>
      <c r="B1119" t="s">
        <v>2119</v>
      </c>
      <c r="C1119" s="1" t="s">
        <v>7</v>
      </c>
      <c r="D1119" s="1" t="s">
        <v>7</v>
      </c>
      <c r="E1119" s="1" t="s">
        <v>7</v>
      </c>
      <c r="F1119" t="s">
        <v>8</v>
      </c>
      <c r="G1119" t="s">
        <v>9</v>
      </c>
      <c r="H1119" t="s">
        <v>10</v>
      </c>
      <c r="I1119" t="s">
        <v>367</v>
      </c>
      <c r="J1119">
        <v>2.2999999999999998</v>
      </c>
      <c r="K1119" t="e">
        <f>IF(COUNTIF(#REF!,Tabela2[[#This Row],[IdxWspolny]])&gt;0,"ELEM_lub_PRD","TECHN")</f>
        <v>#REF!</v>
      </c>
      <c r="L1119" t="e">
        <f>IF(COUNTIF(#REF!,Tabela2[[#This Row],[KOD_PRODUKTU]])&gt;0,"ELEMENT","PRODUKT")</f>
        <v>#REF!</v>
      </c>
      <c r="M1119" t="e">
        <f>COUNTIF(#REF!,Tabela2[[#This Row],[KOD_PRODUKTU]])</f>
        <v>#REF!</v>
      </c>
    </row>
    <row r="1120" spans="1:13" x14ac:dyDescent="0.25">
      <c r="A1120" s="1" t="s">
        <v>2121</v>
      </c>
      <c r="B1120" t="s">
        <v>2122</v>
      </c>
      <c r="C1120" s="1" t="s">
        <v>2110</v>
      </c>
      <c r="D1120" s="1" t="s">
        <v>2110</v>
      </c>
      <c r="E1120" s="1" t="s">
        <v>2110</v>
      </c>
      <c r="F1120" t="s">
        <v>2111</v>
      </c>
      <c r="G1120" t="s">
        <v>2112</v>
      </c>
      <c r="H1120" t="s">
        <v>17</v>
      </c>
      <c r="I1120" t="s">
        <v>2123</v>
      </c>
      <c r="J1120">
        <v>0.3</v>
      </c>
      <c r="K1120" t="e">
        <f>IF(COUNTIF(#REF!,Tabela2[[#This Row],[IdxWspolny]])&gt;0,"ELEM_lub_PRD","TECHN")</f>
        <v>#REF!</v>
      </c>
      <c r="L1120" t="e">
        <f>IF(COUNTIF(#REF!,Tabela2[[#This Row],[KOD_PRODUKTU]])&gt;0,"ELEMENT","PRODUKT")</f>
        <v>#REF!</v>
      </c>
      <c r="M1120" t="e">
        <f>COUNTIF(#REF!,Tabela2[[#This Row],[KOD_PRODUKTU]])</f>
        <v>#REF!</v>
      </c>
    </row>
    <row r="1121" spans="1:13" x14ac:dyDescent="0.25">
      <c r="A1121" s="1" t="s">
        <v>2121</v>
      </c>
      <c r="B1121" t="s">
        <v>2122</v>
      </c>
      <c r="C1121" s="1" t="s">
        <v>7</v>
      </c>
      <c r="D1121" s="1" t="s">
        <v>7</v>
      </c>
      <c r="E1121" s="1" t="s">
        <v>7</v>
      </c>
      <c r="F1121" t="s">
        <v>8</v>
      </c>
      <c r="G1121" t="s">
        <v>9</v>
      </c>
      <c r="H1121" t="s">
        <v>10</v>
      </c>
      <c r="I1121" t="s">
        <v>367</v>
      </c>
      <c r="J1121">
        <v>2.2999999999999998</v>
      </c>
      <c r="K1121" t="e">
        <f>IF(COUNTIF(#REF!,Tabela2[[#This Row],[IdxWspolny]])&gt;0,"ELEM_lub_PRD","TECHN")</f>
        <v>#REF!</v>
      </c>
      <c r="L1121" t="e">
        <f>IF(COUNTIF(#REF!,Tabela2[[#This Row],[KOD_PRODUKTU]])&gt;0,"ELEMENT","PRODUKT")</f>
        <v>#REF!</v>
      </c>
      <c r="M1121" t="e">
        <f>COUNTIF(#REF!,Tabela2[[#This Row],[KOD_PRODUKTU]])</f>
        <v>#REF!</v>
      </c>
    </row>
    <row r="1122" spans="1:13" x14ac:dyDescent="0.25">
      <c r="A1122" s="1" t="s">
        <v>2124</v>
      </c>
      <c r="B1122" t="s">
        <v>2125</v>
      </c>
      <c r="C1122" s="1" t="s">
        <v>2110</v>
      </c>
      <c r="D1122" s="1" t="s">
        <v>2110</v>
      </c>
      <c r="E1122" s="1" t="s">
        <v>2110</v>
      </c>
      <c r="F1122" t="s">
        <v>2111</v>
      </c>
      <c r="G1122" t="s">
        <v>2112</v>
      </c>
      <c r="H1122" t="s">
        <v>17</v>
      </c>
      <c r="I1122" t="s">
        <v>2126</v>
      </c>
      <c r="J1122">
        <v>0.35</v>
      </c>
      <c r="K1122" t="e">
        <f>IF(COUNTIF(#REF!,Tabela2[[#This Row],[IdxWspolny]])&gt;0,"ELEM_lub_PRD","TECHN")</f>
        <v>#REF!</v>
      </c>
      <c r="L1122" t="e">
        <f>IF(COUNTIF(#REF!,Tabela2[[#This Row],[KOD_PRODUKTU]])&gt;0,"ELEMENT","PRODUKT")</f>
        <v>#REF!</v>
      </c>
      <c r="M1122" t="e">
        <f>COUNTIF(#REF!,Tabela2[[#This Row],[KOD_PRODUKTU]])</f>
        <v>#REF!</v>
      </c>
    </row>
    <row r="1123" spans="1:13" x14ac:dyDescent="0.25">
      <c r="A1123" s="1" t="s">
        <v>2124</v>
      </c>
      <c r="B1123" t="s">
        <v>2125</v>
      </c>
      <c r="C1123" s="1" t="s">
        <v>7</v>
      </c>
      <c r="D1123" s="1" t="s">
        <v>7</v>
      </c>
      <c r="E1123" s="1" t="s">
        <v>7</v>
      </c>
      <c r="F1123" t="s">
        <v>8</v>
      </c>
      <c r="G1123" t="s">
        <v>9</v>
      </c>
      <c r="H1123" t="s">
        <v>10</v>
      </c>
      <c r="I1123" t="s">
        <v>367</v>
      </c>
      <c r="J1123">
        <v>2.2999999999999998</v>
      </c>
      <c r="K1123" t="e">
        <f>IF(COUNTIF(#REF!,Tabela2[[#This Row],[IdxWspolny]])&gt;0,"ELEM_lub_PRD","TECHN")</f>
        <v>#REF!</v>
      </c>
      <c r="L1123" t="e">
        <f>IF(COUNTIF(#REF!,Tabela2[[#This Row],[KOD_PRODUKTU]])&gt;0,"ELEMENT","PRODUKT")</f>
        <v>#REF!</v>
      </c>
      <c r="M1123" t="e">
        <f>COUNTIF(#REF!,Tabela2[[#This Row],[KOD_PRODUKTU]])</f>
        <v>#REF!</v>
      </c>
    </row>
    <row r="1124" spans="1:13" x14ac:dyDescent="0.25">
      <c r="A1124" s="1" t="s">
        <v>46</v>
      </c>
      <c r="B1124" t="s">
        <v>47</v>
      </c>
      <c r="C1124" s="1" t="s">
        <v>1203</v>
      </c>
      <c r="D1124" s="1" t="s">
        <v>1203</v>
      </c>
      <c r="E1124" s="1" t="s">
        <v>1203</v>
      </c>
      <c r="F1124" t="s">
        <v>1204</v>
      </c>
      <c r="G1124" t="s">
        <v>1232</v>
      </c>
      <c r="H1124" t="s">
        <v>5</v>
      </c>
      <c r="I1124" t="s">
        <v>2127</v>
      </c>
      <c r="J1124">
        <v>0.5</v>
      </c>
      <c r="K1124" t="e">
        <f>IF(COUNTIF(#REF!,Tabela2[[#This Row],[IdxWspolny]])&gt;0,"ELEM_lub_PRD","TECHN")</f>
        <v>#REF!</v>
      </c>
      <c r="L1124" t="e">
        <f>IF(COUNTIF(#REF!,Tabela2[[#This Row],[KOD_PRODUKTU]])&gt;0,"ELEMENT","PRODUKT")</f>
        <v>#REF!</v>
      </c>
      <c r="M1124" t="e">
        <f>COUNTIF(#REF!,Tabela2[[#This Row],[KOD_PRODUKTU]])</f>
        <v>#REF!</v>
      </c>
    </row>
    <row r="1125" spans="1:13" x14ac:dyDescent="0.25">
      <c r="A1125" s="1" t="s">
        <v>46</v>
      </c>
      <c r="B1125" t="s">
        <v>47</v>
      </c>
      <c r="C1125" s="1" t="s">
        <v>432</v>
      </c>
      <c r="D1125" s="1" t="s">
        <v>432</v>
      </c>
      <c r="E1125" s="1" t="s">
        <v>432</v>
      </c>
      <c r="F1125" t="s">
        <v>433</v>
      </c>
      <c r="G1125" t="s">
        <v>434</v>
      </c>
      <c r="H1125" t="s">
        <v>435</v>
      </c>
      <c r="I1125" t="s">
        <v>92</v>
      </c>
      <c r="J1125">
        <v>2.2000000000000002</v>
      </c>
      <c r="K1125" t="e">
        <f>IF(COUNTIF(#REF!,Tabela2[[#This Row],[IdxWspolny]])&gt;0,"ELEM_lub_PRD","TECHN")</f>
        <v>#REF!</v>
      </c>
      <c r="L1125" t="e">
        <f>IF(COUNTIF(#REF!,Tabela2[[#This Row],[KOD_PRODUKTU]])&gt;0,"ELEMENT","PRODUKT")</f>
        <v>#REF!</v>
      </c>
      <c r="M1125" t="e">
        <f>COUNTIF(#REF!,Tabela2[[#This Row],[KOD_PRODUKTU]])</f>
        <v>#REF!</v>
      </c>
    </row>
    <row r="1126" spans="1:13" x14ac:dyDescent="0.25">
      <c r="A1126" s="1" t="s">
        <v>46</v>
      </c>
      <c r="B1126" t="s">
        <v>47</v>
      </c>
      <c r="C1126" s="1" t="s">
        <v>7</v>
      </c>
      <c r="D1126" s="1" t="s">
        <v>7</v>
      </c>
      <c r="E1126" s="1" t="s">
        <v>7</v>
      </c>
      <c r="F1126" t="s">
        <v>8</v>
      </c>
      <c r="G1126" t="s">
        <v>9</v>
      </c>
      <c r="H1126" t="s">
        <v>10</v>
      </c>
      <c r="I1126" t="s">
        <v>33</v>
      </c>
      <c r="J1126">
        <v>9.1999999999999993</v>
      </c>
      <c r="K1126" t="e">
        <f>IF(COUNTIF(#REF!,Tabela2[[#This Row],[IdxWspolny]])&gt;0,"ELEM_lub_PRD","TECHN")</f>
        <v>#REF!</v>
      </c>
      <c r="L1126" t="e">
        <f>IF(COUNTIF(#REF!,Tabela2[[#This Row],[KOD_PRODUKTU]])&gt;0,"ELEMENT","PRODUKT")</f>
        <v>#REF!</v>
      </c>
      <c r="M1126" t="e">
        <f>COUNTIF(#REF!,Tabela2[[#This Row],[KOD_PRODUKTU]])</f>
        <v>#REF!</v>
      </c>
    </row>
    <row r="1127" spans="1:13" x14ac:dyDescent="0.25">
      <c r="A1127" s="1" t="s">
        <v>2128</v>
      </c>
      <c r="B1127" t="s">
        <v>2129</v>
      </c>
      <c r="C1127" s="1" t="s">
        <v>1022</v>
      </c>
      <c r="D1127" s="1" t="s">
        <v>1022</v>
      </c>
      <c r="E1127" s="1" t="s">
        <v>1022</v>
      </c>
      <c r="F1127" t="s">
        <v>1023</v>
      </c>
      <c r="G1127" t="s">
        <v>1024</v>
      </c>
      <c r="H1127" t="s">
        <v>932</v>
      </c>
      <c r="I1127" t="s">
        <v>33</v>
      </c>
      <c r="J1127">
        <v>2.78</v>
      </c>
      <c r="K1127" t="e">
        <f>IF(COUNTIF(#REF!,Tabela2[[#This Row],[IdxWspolny]])&gt;0,"ELEM_lub_PRD","TECHN")</f>
        <v>#REF!</v>
      </c>
      <c r="L1127" t="e">
        <f>IF(COUNTIF(#REF!,Tabela2[[#This Row],[KOD_PRODUKTU]])&gt;0,"ELEMENT","PRODUKT")</f>
        <v>#REF!</v>
      </c>
      <c r="M1127" t="e">
        <f>COUNTIF(#REF!,Tabela2[[#This Row],[KOD_PRODUKTU]])</f>
        <v>#REF!</v>
      </c>
    </row>
    <row r="1128" spans="1:13" x14ac:dyDescent="0.25">
      <c r="A1128" s="1" t="s">
        <v>2128</v>
      </c>
      <c r="B1128" t="s">
        <v>2129</v>
      </c>
      <c r="C1128" s="1" t="s">
        <v>541</v>
      </c>
      <c r="D1128" s="1" t="s">
        <v>541</v>
      </c>
      <c r="E1128" s="1" t="s">
        <v>541</v>
      </c>
      <c r="F1128" t="s">
        <v>542</v>
      </c>
      <c r="G1128" t="s">
        <v>9</v>
      </c>
      <c r="H1128" t="s">
        <v>10</v>
      </c>
      <c r="I1128" t="s">
        <v>1141</v>
      </c>
      <c r="J1128">
        <v>5.75</v>
      </c>
      <c r="K1128" t="e">
        <f>IF(COUNTIF(#REF!,Tabela2[[#This Row],[IdxWspolny]])&gt;0,"ELEM_lub_PRD","TECHN")</f>
        <v>#REF!</v>
      </c>
      <c r="L1128" t="e">
        <f>IF(COUNTIF(#REF!,Tabela2[[#This Row],[KOD_PRODUKTU]])&gt;0,"ELEMENT","PRODUKT")</f>
        <v>#REF!</v>
      </c>
      <c r="M1128" t="e">
        <f>COUNTIF(#REF!,Tabela2[[#This Row],[KOD_PRODUKTU]])</f>
        <v>#REF!</v>
      </c>
    </row>
    <row r="1129" spans="1:13" x14ac:dyDescent="0.25">
      <c r="A1129" s="1" t="s">
        <v>2130</v>
      </c>
      <c r="B1129" t="s">
        <v>2131</v>
      </c>
      <c r="C1129" s="1" t="s">
        <v>1367</v>
      </c>
      <c r="D1129" s="1" t="s">
        <v>1367</v>
      </c>
      <c r="E1129" s="1" t="s">
        <v>1367</v>
      </c>
      <c r="F1129" t="s">
        <v>2132</v>
      </c>
      <c r="G1129" t="s">
        <v>1369</v>
      </c>
      <c r="H1129" t="s">
        <v>5</v>
      </c>
      <c r="I1129" t="s">
        <v>2133</v>
      </c>
      <c r="J1129">
        <v>4.3</v>
      </c>
      <c r="K1129" t="e">
        <f>IF(COUNTIF(#REF!,Tabela2[[#This Row],[IdxWspolny]])&gt;0,"ELEM_lub_PRD","TECHN")</f>
        <v>#REF!</v>
      </c>
      <c r="L1129" t="e">
        <f>IF(COUNTIF(#REF!,Tabela2[[#This Row],[KOD_PRODUKTU]])&gt;0,"ELEMENT","PRODUKT")</f>
        <v>#REF!</v>
      </c>
      <c r="M1129" t="e">
        <f>COUNTIF(#REF!,Tabela2[[#This Row],[KOD_PRODUKTU]])</f>
        <v>#REF!</v>
      </c>
    </row>
    <row r="1130" spans="1:13" x14ac:dyDescent="0.25">
      <c r="A1130" s="1" t="s">
        <v>2130</v>
      </c>
      <c r="B1130" t="s">
        <v>2131</v>
      </c>
      <c r="C1130" s="1" t="s">
        <v>7</v>
      </c>
      <c r="D1130" s="1" t="s">
        <v>7</v>
      </c>
      <c r="E1130" s="1" t="s">
        <v>7</v>
      </c>
      <c r="F1130" t="s">
        <v>8</v>
      </c>
      <c r="G1130" t="s">
        <v>9</v>
      </c>
      <c r="H1130" t="s">
        <v>10</v>
      </c>
      <c r="I1130" t="s">
        <v>2134</v>
      </c>
      <c r="J1130">
        <v>2.6</v>
      </c>
      <c r="K1130" t="e">
        <f>IF(COUNTIF(#REF!,Tabela2[[#This Row],[IdxWspolny]])&gt;0,"ELEM_lub_PRD","TECHN")</f>
        <v>#REF!</v>
      </c>
      <c r="L1130" t="e">
        <f>IF(COUNTIF(#REF!,Tabela2[[#This Row],[KOD_PRODUKTU]])&gt;0,"ELEMENT","PRODUKT")</f>
        <v>#REF!</v>
      </c>
      <c r="M1130" t="e">
        <f>COUNTIF(#REF!,Tabela2[[#This Row],[KOD_PRODUKTU]])</f>
        <v>#REF!</v>
      </c>
    </row>
    <row r="1131" spans="1:13" x14ac:dyDescent="0.25">
      <c r="A1131" s="1" t="s">
        <v>2135</v>
      </c>
      <c r="B1131" t="s">
        <v>2136</v>
      </c>
      <c r="C1131" s="1" t="s">
        <v>1367</v>
      </c>
      <c r="D1131" s="1" t="s">
        <v>1367</v>
      </c>
      <c r="E1131" s="1" t="s">
        <v>1367</v>
      </c>
      <c r="F1131" t="s">
        <v>2132</v>
      </c>
      <c r="G1131" t="s">
        <v>1369</v>
      </c>
      <c r="H1131" t="s">
        <v>5</v>
      </c>
      <c r="I1131" t="s">
        <v>2137</v>
      </c>
      <c r="J1131">
        <v>2.75</v>
      </c>
      <c r="K1131" t="e">
        <f>IF(COUNTIF(#REF!,Tabela2[[#This Row],[IdxWspolny]])&gt;0,"ELEM_lub_PRD","TECHN")</f>
        <v>#REF!</v>
      </c>
      <c r="L1131" t="e">
        <f>IF(COUNTIF(#REF!,Tabela2[[#This Row],[KOD_PRODUKTU]])&gt;0,"ELEMENT","PRODUKT")</f>
        <v>#REF!</v>
      </c>
      <c r="M1131" t="e">
        <f>COUNTIF(#REF!,Tabela2[[#This Row],[KOD_PRODUKTU]])</f>
        <v>#REF!</v>
      </c>
    </row>
    <row r="1132" spans="1:13" x14ac:dyDescent="0.25">
      <c r="A1132" s="1" t="s">
        <v>2135</v>
      </c>
      <c r="B1132" t="s">
        <v>2136</v>
      </c>
      <c r="C1132" s="1" t="s">
        <v>7</v>
      </c>
      <c r="D1132" s="1" t="s">
        <v>7</v>
      </c>
      <c r="E1132" s="1" t="s">
        <v>7</v>
      </c>
      <c r="F1132" t="s">
        <v>8</v>
      </c>
      <c r="G1132" t="s">
        <v>9</v>
      </c>
      <c r="H1132" t="s">
        <v>10</v>
      </c>
      <c r="I1132" t="s">
        <v>2138</v>
      </c>
      <c r="J1132">
        <v>2.5499999999999998</v>
      </c>
      <c r="K1132" t="e">
        <f>IF(COUNTIF(#REF!,Tabela2[[#This Row],[IdxWspolny]])&gt;0,"ELEM_lub_PRD","TECHN")</f>
        <v>#REF!</v>
      </c>
      <c r="L1132" t="e">
        <f>IF(COUNTIF(#REF!,Tabela2[[#This Row],[KOD_PRODUKTU]])&gt;0,"ELEMENT","PRODUKT")</f>
        <v>#REF!</v>
      </c>
      <c r="M1132" t="e">
        <f>COUNTIF(#REF!,Tabela2[[#This Row],[KOD_PRODUKTU]])</f>
        <v>#REF!</v>
      </c>
    </row>
    <row r="1133" spans="1:13" x14ac:dyDescent="0.25">
      <c r="A1133" s="1" t="s">
        <v>2139</v>
      </c>
      <c r="B1133" t="s">
        <v>2140</v>
      </c>
      <c r="C1133" s="1" t="s">
        <v>1345</v>
      </c>
      <c r="D1133" s="1" t="s">
        <v>1345</v>
      </c>
      <c r="E1133" s="1" t="s">
        <v>1345</v>
      </c>
      <c r="F1133" t="s">
        <v>1346</v>
      </c>
      <c r="G1133" t="s">
        <v>1369</v>
      </c>
      <c r="H1133" t="s">
        <v>5</v>
      </c>
      <c r="I1133" t="s">
        <v>2141</v>
      </c>
      <c r="J1133">
        <v>0.05</v>
      </c>
      <c r="K1133" t="e">
        <f>IF(COUNTIF(#REF!,Tabela2[[#This Row],[IdxWspolny]])&gt;0,"ELEM_lub_PRD","TECHN")</f>
        <v>#REF!</v>
      </c>
      <c r="L1133" t="e">
        <f>IF(COUNTIF(#REF!,Tabela2[[#This Row],[KOD_PRODUKTU]])&gt;0,"ELEMENT","PRODUKT")</f>
        <v>#REF!</v>
      </c>
      <c r="M1133" t="e">
        <f>COUNTIF(#REF!,Tabela2[[#This Row],[KOD_PRODUKTU]])</f>
        <v>#REF!</v>
      </c>
    </row>
    <row r="1134" spans="1:13" x14ac:dyDescent="0.25">
      <c r="A1134" s="1" t="s">
        <v>2139</v>
      </c>
      <c r="B1134" t="s">
        <v>2140</v>
      </c>
      <c r="C1134" s="1" t="s">
        <v>7</v>
      </c>
      <c r="D1134" s="1" t="s">
        <v>7</v>
      </c>
      <c r="E1134" s="1" t="s">
        <v>7</v>
      </c>
      <c r="F1134" t="s">
        <v>8</v>
      </c>
      <c r="G1134" t="s">
        <v>9</v>
      </c>
      <c r="H1134" t="s">
        <v>10</v>
      </c>
      <c r="I1134" t="s">
        <v>2142</v>
      </c>
      <c r="J1134">
        <v>0.95</v>
      </c>
      <c r="K1134" t="e">
        <f>IF(COUNTIF(#REF!,Tabela2[[#This Row],[IdxWspolny]])&gt;0,"ELEM_lub_PRD","TECHN")</f>
        <v>#REF!</v>
      </c>
      <c r="L1134" t="e">
        <f>IF(COUNTIF(#REF!,Tabela2[[#This Row],[KOD_PRODUKTU]])&gt;0,"ELEMENT","PRODUKT")</f>
        <v>#REF!</v>
      </c>
      <c r="M1134" t="e">
        <f>COUNTIF(#REF!,Tabela2[[#This Row],[KOD_PRODUKTU]])</f>
        <v>#REF!</v>
      </c>
    </row>
    <row r="1135" spans="1:13" x14ac:dyDescent="0.25">
      <c r="A1135" s="1" t="s">
        <v>2143</v>
      </c>
      <c r="B1135" t="s">
        <v>2144</v>
      </c>
      <c r="C1135" s="1" t="s">
        <v>1345</v>
      </c>
      <c r="D1135" s="1" t="s">
        <v>1345</v>
      </c>
      <c r="E1135" s="1" t="s">
        <v>1345</v>
      </c>
      <c r="F1135" t="s">
        <v>1346</v>
      </c>
      <c r="G1135" t="s">
        <v>1369</v>
      </c>
      <c r="H1135" t="s">
        <v>5</v>
      </c>
      <c r="I1135" t="s">
        <v>2145</v>
      </c>
      <c r="J1135">
        <v>0.75</v>
      </c>
      <c r="K1135" t="e">
        <f>IF(COUNTIF(#REF!,Tabela2[[#This Row],[IdxWspolny]])&gt;0,"ELEM_lub_PRD","TECHN")</f>
        <v>#REF!</v>
      </c>
      <c r="L1135" t="e">
        <f>IF(COUNTIF(#REF!,Tabela2[[#This Row],[KOD_PRODUKTU]])&gt;0,"ELEMENT","PRODUKT")</f>
        <v>#REF!</v>
      </c>
      <c r="M1135" t="e">
        <f>COUNTIF(#REF!,Tabela2[[#This Row],[KOD_PRODUKTU]])</f>
        <v>#REF!</v>
      </c>
    </row>
    <row r="1136" spans="1:13" x14ac:dyDescent="0.25">
      <c r="A1136" s="1" t="s">
        <v>2143</v>
      </c>
      <c r="B1136" t="s">
        <v>2144</v>
      </c>
      <c r="C1136" s="1" t="s">
        <v>7</v>
      </c>
      <c r="D1136" s="1" t="s">
        <v>7</v>
      </c>
      <c r="E1136" s="1" t="s">
        <v>7</v>
      </c>
      <c r="F1136" t="s">
        <v>8</v>
      </c>
      <c r="G1136" t="s">
        <v>9</v>
      </c>
      <c r="H1136" t="s">
        <v>10</v>
      </c>
      <c r="I1136" t="s">
        <v>2146</v>
      </c>
      <c r="J1136">
        <v>3.25</v>
      </c>
      <c r="K1136" t="e">
        <f>IF(COUNTIF(#REF!,Tabela2[[#This Row],[IdxWspolny]])&gt;0,"ELEM_lub_PRD","TECHN")</f>
        <v>#REF!</v>
      </c>
      <c r="L1136" t="e">
        <f>IF(COUNTIF(#REF!,Tabela2[[#This Row],[KOD_PRODUKTU]])&gt;0,"ELEMENT","PRODUKT")</f>
        <v>#REF!</v>
      </c>
      <c r="M1136" t="e">
        <f>COUNTIF(#REF!,Tabela2[[#This Row],[KOD_PRODUKTU]])</f>
        <v>#REF!</v>
      </c>
    </row>
    <row r="1137" spans="1:13" x14ac:dyDescent="0.25">
      <c r="A1137" s="1" t="s">
        <v>2147</v>
      </c>
      <c r="B1137" t="s">
        <v>2148</v>
      </c>
      <c r="C1137" s="1" t="s">
        <v>2149</v>
      </c>
      <c r="D1137" s="1" t="s">
        <v>2149</v>
      </c>
      <c r="E1137" s="1" t="s">
        <v>2149</v>
      </c>
      <c r="F1137" t="s">
        <v>2150</v>
      </c>
      <c r="G1137" t="s">
        <v>2151</v>
      </c>
      <c r="H1137" t="s">
        <v>49</v>
      </c>
      <c r="I1137" t="s">
        <v>605</v>
      </c>
      <c r="J1137">
        <v>8.61</v>
      </c>
      <c r="K1137" t="e">
        <f>IF(COUNTIF(#REF!,Tabela2[[#This Row],[IdxWspolny]])&gt;0,"ELEM_lub_PRD","TECHN")</f>
        <v>#REF!</v>
      </c>
      <c r="L1137" t="e">
        <f>IF(COUNTIF(#REF!,Tabela2[[#This Row],[KOD_PRODUKTU]])&gt;0,"ELEMENT","PRODUKT")</f>
        <v>#REF!</v>
      </c>
      <c r="M1137" t="e">
        <f>COUNTIF(#REF!,Tabela2[[#This Row],[KOD_PRODUKTU]])</f>
        <v>#REF!</v>
      </c>
    </row>
    <row r="1138" spans="1:13" x14ac:dyDescent="0.25">
      <c r="A1138" s="1" t="s">
        <v>2147</v>
      </c>
      <c r="B1138" t="s">
        <v>2148</v>
      </c>
      <c r="C1138" s="1" t="s">
        <v>541</v>
      </c>
      <c r="D1138" s="1" t="s">
        <v>541</v>
      </c>
      <c r="E1138" s="1" t="s">
        <v>541</v>
      </c>
      <c r="F1138" t="s">
        <v>542</v>
      </c>
      <c r="G1138" t="s">
        <v>9</v>
      </c>
      <c r="H1138" t="s">
        <v>10</v>
      </c>
      <c r="I1138" t="s">
        <v>478</v>
      </c>
      <c r="J1138">
        <v>3.68</v>
      </c>
      <c r="K1138" t="e">
        <f>IF(COUNTIF(#REF!,Tabela2[[#This Row],[IdxWspolny]])&gt;0,"ELEM_lub_PRD","TECHN")</f>
        <v>#REF!</v>
      </c>
      <c r="L1138" t="e">
        <f>IF(COUNTIF(#REF!,Tabela2[[#This Row],[KOD_PRODUKTU]])&gt;0,"ELEMENT","PRODUKT")</f>
        <v>#REF!</v>
      </c>
      <c r="M1138" t="e">
        <f>COUNTIF(#REF!,Tabela2[[#This Row],[KOD_PRODUKTU]])</f>
        <v>#REF!</v>
      </c>
    </row>
    <row r="1139" spans="1:13" x14ac:dyDescent="0.25">
      <c r="A1139" s="1" t="s">
        <v>2152</v>
      </c>
      <c r="B1139" t="s">
        <v>2153</v>
      </c>
      <c r="C1139" s="1" t="s">
        <v>1345</v>
      </c>
      <c r="D1139" s="1" t="s">
        <v>1345</v>
      </c>
      <c r="E1139" s="1" t="s">
        <v>1345</v>
      </c>
      <c r="F1139" t="s">
        <v>1346</v>
      </c>
      <c r="G1139" t="s">
        <v>1347</v>
      </c>
      <c r="H1139" t="s">
        <v>5</v>
      </c>
      <c r="I1139" t="s">
        <v>2154</v>
      </c>
      <c r="J1139">
        <v>0.66</v>
      </c>
      <c r="K1139" t="e">
        <f>IF(COUNTIF(#REF!,Tabela2[[#This Row],[IdxWspolny]])&gt;0,"ELEM_lub_PRD","TECHN")</f>
        <v>#REF!</v>
      </c>
      <c r="L1139" t="e">
        <f>IF(COUNTIF(#REF!,Tabela2[[#This Row],[KOD_PRODUKTU]])&gt;0,"ELEMENT","PRODUKT")</f>
        <v>#REF!</v>
      </c>
      <c r="M1139" t="e">
        <f>COUNTIF(#REF!,Tabela2[[#This Row],[KOD_PRODUKTU]])</f>
        <v>#REF!</v>
      </c>
    </row>
    <row r="1140" spans="1:13" x14ac:dyDescent="0.25">
      <c r="A1140" s="1" t="s">
        <v>2152</v>
      </c>
      <c r="B1140" t="s">
        <v>2153</v>
      </c>
      <c r="C1140" s="1" t="s">
        <v>7</v>
      </c>
      <c r="D1140" s="1" t="s">
        <v>7</v>
      </c>
      <c r="E1140" s="1" t="s">
        <v>7</v>
      </c>
      <c r="F1140" t="s">
        <v>8</v>
      </c>
      <c r="G1140" t="s">
        <v>9</v>
      </c>
      <c r="H1140" t="s">
        <v>10</v>
      </c>
      <c r="I1140" t="s">
        <v>2155</v>
      </c>
      <c r="J1140">
        <v>3.4</v>
      </c>
      <c r="K1140" t="e">
        <f>IF(COUNTIF(#REF!,Tabela2[[#This Row],[IdxWspolny]])&gt;0,"ELEM_lub_PRD","TECHN")</f>
        <v>#REF!</v>
      </c>
      <c r="L1140" t="e">
        <f>IF(COUNTIF(#REF!,Tabela2[[#This Row],[KOD_PRODUKTU]])&gt;0,"ELEMENT","PRODUKT")</f>
        <v>#REF!</v>
      </c>
      <c r="M1140" t="e">
        <f>COUNTIF(#REF!,Tabela2[[#This Row],[KOD_PRODUKTU]])</f>
        <v>#REF!</v>
      </c>
    </row>
    <row r="1141" spans="1:13" x14ac:dyDescent="0.25">
      <c r="A1141" s="1" t="s">
        <v>2156</v>
      </c>
      <c r="B1141" t="s">
        <v>2157</v>
      </c>
      <c r="C1141" s="1" t="s">
        <v>2149</v>
      </c>
      <c r="D1141" s="1" t="s">
        <v>2149</v>
      </c>
      <c r="E1141" s="1" t="s">
        <v>2149</v>
      </c>
      <c r="F1141" t="s">
        <v>2150</v>
      </c>
      <c r="G1141" t="s">
        <v>2151</v>
      </c>
      <c r="H1141" t="s">
        <v>49</v>
      </c>
      <c r="I1141" t="s">
        <v>605</v>
      </c>
      <c r="J1141">
        <v>8.61</v>
      </c>
      <c r="K1141" t="e">
        <f>IF(COUNTIF(#REF!,Tabela2[[#This Row],[IdxWspolny]])&gt;0,"ELEM_lub_PRD","TECHN")</f>
        <v>#REF!</v>
      </c>
      <c r="L1141" t="e">
        <f>IF(COUNTIF(#REF!,Tabela2[[#This Row],[KOD_PRODUKTU]])&gt;0,"ELEMENT","PRODUKT")</f>
        <v>#REF!</v>
      </c>
      <c r="M1141" t="e">
        <f>COUNTIF(#REF!,Tabela2[[#This Row],[KOD_PRODUKTU]])</f>
        <v>#REF!</v>
      </c>
    </row>
    <row r="1142" spans="1:13" x14ac:dyDescent="0.25">
      <c r="A1142" s="1" t="s">
        <v>2156</v>
      </c>
      <c r="B1142" t="s">
        <v>2157</v>
      </c>
      <c r="C1142" s="1" t="s">
        <v>541</v>
      </c>
      <c r="D1142" s="1" t="s">
        <v>541</v>
      </c>
      <c r="E1142" s="1" t="s">
        <v>541</v>
      </c>
      <c r="F1142" t="s">
        <v>542</v>
      </c>
      <c r="G1142" t="s">
        <v>9</v>
      </c>
      <c r="H1142" t="s">
        <v>10</v>
      </c>
      <c r="I1142" t="s">
        <v>2158</v>
      </c>
      <c r="J1142">
        <v>3.82</v>
      </c>
      <c r="K1142" t="e">
        <f>IF(COUNTIF(#REF!,Tabela2[[#This Row],[IdxWspolny]])&gt;0,"ELEM_lub_PRD","TECHN")</f>
        <v>#REF!</v>
      </c>
      <c r="L1142" t="e">
        <f>IF(COUNTIF(#REF!,Tabela2[[#This Row],[KOD_PRODUKTU]])&gt;0,"ELEMENT","PRODUKT")</f>
        <v>#REF!</v>
      </c>
      <c r="M1142" t="e">
        <f>COUNTIF(#REF!,Tabela2[[#This Row],[KOD_PRODUKTU]])</f>
        <v>#REF!</v>
      </c>
    </row>
    <row r="1143" spans="1:13" x14ac:dyDescent="0.25">
      <c r="A1143" s="1" t="s">
        <v>954</v>
      </c>
      <c r="B1143" t="s">
        <v>955</v>
      </c>
      <c r="C1143" s="1" t="s">
        <v>1367</v>
      </c>
      <c r="D1143" s="1" t="s">
        <v>1367</v>
      </c>
      <c r="E1143" s="1" t="s">
        <v>1367</v>
      </c>
      <c r="F1143" t="s">
        <v>2132</v>
      </c>
      <c r="G1143" t="s">
        <v>1347</v>
      </c>
      <c r="H1143" t="s">
        <v>5</v>
      </c>
      <c r="I1143" t="s">
        <v>2159</v>
      </c>
      <c r="J1143">
        <v>1.43</v>
      </c>
      <c r="K1143" t="e">
        <f>IF(COUNTIF(#REF!,Tabela2[[#This Row],[IdxWspolny]])&gt;0,"ELEM_lub_PRD","TECHN")</f>
        <v>#REF!</v>
      </c>
      <c r="L1143" t="e">
        <f>IF(COUNTIF(#REF!,Tabela2[[#This Row],[KOD_PRODUKTU]])&gt;0,"ELEMENT","PRODUKT")</f>
        <v>#REF!</v>
      </c>
      <c r="M1143" t="e">
        <f>COUNTIF(#REF!,Tabela2[[#This Row],[KOD_PRODUKTU]])</f>
        <v>#REF!</v>
      </c>
    </row>
    <row r="1144" spans="1:13" x14ac:dyDescent="0.25">
      <c r="A1144" s="1" t="s">
        <v>954</v>
      </c>
      <c r="B1144" t="s">
        <v>955</v>
      </c>
      <c r="C1144" s="1" t="s">
        <v>7</v>
      </c>
      <c r="D1144" s="1" t="s">
        <v>7</v>
      </c>
      <c r="E1144" s="1" t="s">
        <v>7</v>
      </c>
      <c r="F1144" t="s">
        <v>8</v>
      </c>
      <c r="G1144" t="s">
        <v>9</v>
      </c>
      <c r="H1144" t="s">
        <v>10</v>
      </c>
      <c r="I1144" t="s">
        <v>2160</v>
      </c>
      <c r="J1144">
        <v>1.42</v>
      </c>
      <c r="K1144" t="e">
        <f>IF(COUNTIF(#REF!,Tabela2[[#This Row],[IdxWspolny]])&gt;0,"ELEM_lub_PRD","TECHN")</f>
        <v>#REF!</v>
      </c>
      <c r="L1144" t="e">
        <f>IF(COUNTIF(#REF!,Tabela2[[#This Row],[KOD_PRODUKTU]])&gt;0,"ELEMENT","PRODUKT")</f>
        <v>#REF!</v>
      </c>
      <c r="M1144" t="e">
        <f>COUNTIF(#REF!,Tabela2[[#This Row],[KOD_PRODUKTU]])</f>
        <v>#REF!</v>
      </c>
    </row>
    <row r="1145" spans="1:13" x14ac:dyDescent="0.25">
      <c r="A1145" s="1" t="s">
        <v>958</v>
      </c>
      <c r="B1145" t="s">
        <v>959</v>
      </c>
      <c r="C1145" s="1" t="s">
        <v>2161</v>
      </c>
      <c r="D1145" s="1" t="s">
        <v>2161</v>
      </c>
      <c r="E1145" s="1" t="s">
        <v>2161</v>
      </c>
      <c r="F1145" t="s">
        <v>2162</v>
      </c>
      <c r="G1145" t="s">
        <v>1354</v>
      </c>
      <c r="H1145" t="s">
        <v>5</v>
      </c>
      <c r="I1145" t="s">
        <v>2163</v>
      </c>
      <c r="J1145">
        <v>0.35</v>
      </c>
      <c r="K1145" t="e">
        <f>IF(COUNTIF(#REF!,Tabela2[[#This Row],[IdxWspolny]])&gt;0,"ELEM_lub_PRD","TECHN")</f>
        <v>#REF!</v>
      </c>
      <c r="L1145" t="e">
        <f>IF(COUNTIF(#REF!,Tabela2[[#This Row],[KOD_PRODUKTU]])&gt;0,"ELEMENT","PRODUKT")</f>
        <v>#REF!</v>
      </c>
      <c r="M1145" t="e">
        <f>COUNTIF(#REF!,Tabela2[[#This Row],[KOD_PRODUKTU]])</f>
        <v>#REF!</v>
      </c>
    </row>
    <row r="1146" spans="1:13" x14ac:dyDescent="0.25">
      <c r="A1146" s="1" t="s">
        <v>958</v>
      </c>
      <c r="B1146" t="s">
        <v>959</v>
      </c>
      <c r="C1146" s="1" t="s">
        <v>7</v>
      </c>
      <c r="D1146" s="1" t="s">
        <v>7</v>
      </c>
      <c r="E1146" s="1" t="s">
        <v>7</v>
      </c>
      <c r="F1146" t="s">
        <v>8</v>
      </c>
      <c r="G1146" t="s">
        <v>9</v>
      </c>
      <c r="H1146" t="s">
        <v>10</v>
      </c>
      <c r="I1146" t="s">
        <v>1492</v>
      </c>
      <c r="J1146">
        <v>3.5</v>
      </c>
      <c r="K1146" t="e">
        <f>IF(COUNTIF(#REF!,Tabela2[[#This Row],[IdxWspolny]])&gt;0,"ELEM_lub_PRD","TECHN")</f>
        <v>#REF!</v>
      </c>
      <c r="L1146" t="e">
        <f>IF(COUNTIF(#REF!,Tabela2[[#This Row],[KOD_PRODUKTU]])&gt;0,"ELEMENT","PRODUKT")</f>
        <v>#REF!</v>
      </c>
      <c r="M1146" t="e">
        <f>COUNTIF(#REF!,Tabela2[[#This Row],[KOD_PRODUKTU]])</f>
        <v>#REF!</v>
      </c>
    </row>
    <row r="1147" spans="1:13" x14ac:dyDescent="0.25">
      <c r="A1147" s="1" t="s">
        <v>2164</v>
      </c>
      <c r="B1147" t="s">
        <v>2165</v>
      </c>
      <c r="C1147" s="1" t="s">
        <v>1345</v>
      </c>
      <c r="D1147" s="1" t="s">
        <v>1345</v>
      </c>
      <c r="E1147" s="1" t="s">
        <v>1345</v>
      </c>
      <c r="F1147" t="s">
        <v>1346</v>
      </c>
      <c r="G1147" t="s">
        <v>1369</v>
      </c>
      <c r="H1147" t="s">
        <v>5</v>
      </c>
      <c r="I1147" t="s">
        <v>2166</v>
      </c>
      <c r="J1147">
        <v>0.15</v>
      </c>
      <c r="K1147" t="e">
        <f>IF(COUNTIF(#REF!,Tabela2[[#This Row],[IdxWspolny]])&gt;0,"ELEM_lub_PRD","TECHN")</f>
        <v>#REF!</v>
      </c>
      <c r="L1147" t="e">
        <f>IF(COUNTIF(#REF!,Tabela2[[#This Row],[KOD_PRODUKTU]])&gt;0,"ELEMENT","PRODUKT")</f>
        <v>#REF!</v>
      </c>
      <c r="M1147" t="e">
        <f>COUNTIF(#REF!,Tabela2[[#This Row],[KOD_PRODUKTU]])</f>
        <v>#REF!</v>
      </c>
    </row>
    <row r="1148" spans="1:13" x14ac:dyDescent="0.25">
      <c r="A1148" s="1" t="s">
        <v>2164</v>
      </c>
      <c r="B1148" t="s">
        <v>2165</v>
      </c>
      <c r="C1148" s="1" t="s">
        <v>7</v>
      </c>
      <c r="D1148" s="1" t="s">
        <v>7</v>
      </c>
      <c r="E1148" s="1" t="s">
        <v>7</v>
      </c>
      <c r="F1148" t="s">
        <v>8</v>
      </c>
      <c r="G1148" t="s">
        <v>9</v>
      </c>
      <c r="H1148" t="s">
        <v>10</v>
      </c>
      <c r="I1148" t="s">
        <v>2142</v>
      </c>
      <c r="J1148">
        <v>0.95</v>
      </c>
      <c r="K1148" t="e">
        <f>IF(COUNTIF(#REF!,Tabela2[[#This Row],[IdxWspolny]])&gt;0,"ELEM_lub_PRD","TECHN")</f>
        <v>#REF!</v>
      </c>
      <c r="L1148" t="e">
        <f>IF(COUNTIF(#REF!,Tabela2[[#This Row],[KOD_PRODUKTU]])&gt;0,"ELEMENT","PRODUKT")</f>
        <v>#REF!</v>
      </c>
      <c r="M1148" t="e">
        <f>COUNTIF(#REF!,Tabela2[[#This Row],[KOD_PRODUKTU]])</f>
        <v>#REF!</v>
      </c>
    </row>
    <row r="1149" spans="1:13" x14ac:dyDescent="0.25">
      <c r="A1149" s="1" t="s">
        <v>2167</v>
      </c>
      <c r="B1149" t="s">
        <v>2168</v>
      </c>
      <c r="C1149" s="1" t="s">
        <v>2169</v>
      </c>
      <c r="D1149" s="1" t="s">
        <v>2169</v>
      </c>
      <c r="E1149" s="1" t="s">
        <v>2169</v>
      </c>
      <c r="F1149" t="s">
        <v>2170</v>
      </c>
      <c r="G1149" t="s">
        <v>2171</v>
      </c>
      <c r="H1149" t="s">
        <v>17</v>
      </c>
      <c r="I1149" t="s">
        <v>25</v>
      </c>
      <c r="J1149">
        <v>33</v>
      </c>
      <c r="K1149" t="e">
        <f>IF(COUNTIF(#REF!,Tabela2[[#This Row],[IdxWspolny]])&gt;0,"ELEM_lub_PRD","TECHN")</f>
        <v>#REF!</v>
      </c>
      <c r="L1149" t="e">
        <f>IF(COUNTIF(#REF!,Tabela2[[#This Row],[KOD_PRODUKTU]])&gt;0,"ELEMENT","PRODUKT")</f>
        <v>#REF!</v>
      </c>
      <c r="M1149" t="e">
        <f>COUNTIF(#REF!,Tabela2[[#This Row],[KOD_PRODUKTU]])</f>
        <v>#REF!</v>
      </c>
    </row>
    <row r="1150" spans="1:13" x14ac:dyDescent="0.25">
      <c r="A1150" s="1" t="s">
        <v>2167</v>
      </c>
      <c r="B1150" t="s">
        <v>2168</v>
      </c>
      <c r="C1150" s="1" t="s">
        <v>7</v>
      </c>
      <c r="D1150" s="1" t="s">
        <v>7</v>
      </c>
      <c r="E1150" s="1" t="s">
        <v>7</v>
      </c>
      <c r="F1150" t="s">
        <v>8</v>
      </c>
      <c r="G1150" t="s">
        <v>9</v>
      </c>
      <c r="H1150" t="s">
        <v>10</v>
      </c>
      <c r="I1150" t="s">
        <v>2172</v>
      </c>
      <c r="J1150">
        <v>24.1</v>
      </c>
      <c r="K1150" t="e">
        <f>IF(COUNTIF(#REF!,Tabela2[[#This Row],[IdxWspolny]])&gt;0,"ELEM_lub_PRD","TECHN")</f>
        <v>#REF!</v>
      </c>
      <c r="L1150" t="e">
        <f>IF(COUNTIF(#REF!,Tabela2[[#This Row],[KOD_PRODUKTU]])&gt;0,"ELEMENT","PRODUKT")</f>
        <v>#REF!</v>
      </c>
      <c r="M1150" t="e">
        <f>COUNTIF(#REF!,Tabela2[[#This Row],[KOD_PRODUKTU]])</f>
        <v>#REF!</v>
      </c>
    </row>
    <row r="1151" spans="1:13" x14ac:dyDescent="0.25">
      <c r="A1151" s="1" t="s">
        <v>2173</v>
      </c>
      <c r="B1151" t="s">
        <v>2174</v>
      </c>
      <c r="C1151" s="1" t="s">
        <v>2175</v>
      </c>
      <c r="D1151" s="1" t="s">
        <v>2175</v>
      </c>
      <c r="E1151" s="1" t="s">
        <v>2175</v>
      </c>
      <c r="F1151" t="s">
        <v>2176</v>
      </c>
      <c r="G1151" t="s">
        <v>1408</v>
      </c>
      <c r="H1151" t="s">
        <v>2177</v>
      </c>
      <c r="I1151" t="s">
        <v>2178</v>
      </c>
      <c r="J1151">
        <v>0.6</v>
      </c>
      <c r="K1151" t="e">
        <f>IF(COUNTIF(#REF!,Tabela2[[#This Row],[IdxWspolny]])&gt;0,"ELEM_lub_PRD","TECHN")</f>
        <v>#REF!</v>
      </c>
      <c r="L1151" t="e">
        <f>IF(COUNTIF(#REF!,Tabela2[[#This Row],[KOD_PRODUKTU]])&gt;0,"ELEMENT","PRODUKT")</f>
        <v>#REF!</v>
      </c>
      <c r="M1151" t="e">
        <f>COUNTIF(#REF!,Tabela2[[#This Row],[KOD_PRODUKTU]])</f>
        <v>#REF!</v>
      </c>
    </row>
    <row r="1152" spans="1:13" x14ac:dyDescent="0.25">
      <c r="A1152" s="1" t="s">
        <v>2173</v>
      </c>
      <c r="B1152" t="s">
        <v>2174</v>
      </c>
      <c r="C1152" s="1" t="s">
        <v>7</v>
      </c>
      <c r="D1152" s="1" t="s">
        <v>7</v>
      </c>
      <c r="E1152" s="1" t="s">
        <v>7</v>
      </c>
      <c r="F1152" t="s">
        <v>8</v>
      </c>
      <c r="G1152" t="s">
        <v>9</v>
      </c>
      <c r="H1152" t="s">
        <v>10</v>
      </c>
      <c r="I1152" t="s">
        <v>2179</v>
      </c>
      <c r="J1152">
        <v>1.9</v>
      </c>
      <c r="K1152" t="e">
        <f>IF(COUNTIF(#REF!,Tabela2[[#This Row],[IdxWspolny]])&gt;0,"ELEM_lub_PRD","TECHN")</f>
        <v>#REF!</v>
      </c>
      <c r="L1152" t="e">
        <f>IF(COUNTIF(#REF!,Tabela2[[#This Row],[KOD_PRODUKTU]])&gt;0,"ELEMENT","PRODUKT")</f>
        <v>#REF!</v>
      </c>
      <c r="M1152" t="e">
        <f>COUNTIF(#REF!,Tabela2[[#This Row],[KOD_PRODUKTU]])</f>
        <v>#REF!</v>
      </c>
    </row>
    <row r="1153" spans="1:13" x14ac:dyDescent="0.25">
      <c r="A1153" s="1" t="s">
        <v>2180</v>
      </c>
      <c r="B1153" t="s">
        <v>2181</v>
      </c>
      <c r="C1153" s="1" t="s">
        <v>2182</v>
      </c>
      <c r="D1153" s="1" t="s">
        <v>2182</v>
      </c>
      <c r="E1153" s="1" t="s">
        <v>2182</v>
      </c>
      <c r="F1153" t="s">
        <v>2183</v>
      </c>
      <c r="G1153" t="s">
        <v>2184</v>
      </c>
      <c r="H1153" t="s">
        <v>121</v>
      </c>
      <c r="I1153" t="s">
        <v>50</v>
      </c>
      <c r="J1153">
        <v>2.86</v>
      </c>
      <c r="K1153" t="e">
        <f>IF(COUNTIF(#REF!,Tabela2[[#This Row],[IdxWspolny]])&gt;0,"ELEM_lub_PRD","TECHN")</f>
        <v>#REF!</v>
      </c>
      <c r="L1153" t="e">
        <f>IF(COUNTIF(#REF!,Tabela2[[#This Row],[KOD_PRODUKTU]])&gt;0,"ELEMENT","PRODUKT")</f>
        <v>#REF!</v>
      </c>
      <c r="M1153" t="e">
        <f>COUNTIF(#REF!,Tabela2[[#This Row],[KOD_PRODUKTU]])</f>
        <v>#REF!</v>
      </c>
    </row>
    <row r="1154" spans="1:13" x14ac:dyDescent="0.25">
      <c r="A1154" s="1" t="s">
        <v>2180</v>
      </c>
      <c r="B1154" t="s">
        <v>2181</v>
      </c>
      <c r="C1154" s="1" t="s">
        <v>7</v>
      </c>
      <c r="D1154" s="1" t="s">
        <v>7</v>
      </c>
      <c r="E1154" s="1" t="s">
        <v>7</v>
      </c>
      <c r="F1154" t="s">
        <v>8</v>
      </c>
      <c r="G1154" t="s">
        <v>9</v>
      </c>
      <c r="H1154" t="s">
        <v>10</v>
      </c>
      <c r="I1154" t="s">
        <v>607</v>
      </c>
      <c r="J1154">
        <v>18.399999999999999</v>
      </c>
      <c r="K1154" t="e">
        <f>IF(COUNTIF(#REF!,Tabela2[[#This Row],[IdxWspolny]])&gt;0,"ELEM_lub_PRD","TECHN")</f>
        <v>#REF!</v>
      </c>
      <c r="L1154" t="e">
        <f>IF(COUNTIF(#REF!,Tabela2[[#This Row],[KOD_PRODUKTU]])&gt;0,"ELEMENT","PRODUKT")</f>
        <v>#REF!</v>
      </c>
      <c r="M1154" t="e">
        <f>COUNTIF(#REF!,Tabela2[[#This Row],[KOD_PRODUKTU]])</f>
        <v>#REF!</v>
      </c>
    </row>
    <row r="1155" spans="1:13" x14ac:dyDescent="0.25">
      <c r="A1155" s="1" t="s">
        <v>2185</v>
      </c>
      <c r="B1155" t="s">
        <v>2186</v>
      </c>
      <c r="C1155" s="1" t="s">
        <v>1249</v>
      </c>
      <c r="D1155" s="1" t="s">
        <v>1249</v>
      </c>
      <c r="E1155" s="1" t="s">
        <v>1249</v>
      </c>
      <c r="F1155" t="s">
        <v>1250</v>
      </c>
      <c r="G1155" t="s">
        <v>1251</v>
      </c>
      <c r="H1155" t="s">
        <v>1252</v>
      </c>
      <c r="I1155" t="s">
        <v>548</v>
      </c>
      <c r="J1155">
        <v>22.2</v>
      </c>
      <c r="K1155" t="e">
        <f>IF(COUNTIF(#REF!,Tabela2[[#This Row],[IdxWspolny]])&gt;0,"ELEM_lub_PRD","TECHN")</f>
        <v>#REF!</v>
      </c>
      <c r="L1155" t="e">
        <f>IF(COUNTIF(#REF!,Tabela2[[#This Row],[KOD_PRODUKTU]])&gt;0,"ELEMENT","PRODUKT")</f>
        <v>#REF!</v>
      </c>
      <c r="M1155" t="e">
        <f>COUNTIF(#REF!,Tabela2[[#This Row],[KOD_PRODUKTU]])</f>
        <v>#REF!</v>
      </c>
    </row>
    <row r="1156" spans="1:13" x14ac:dyDescent="0.25">
      <c r="A1156" s="1" t="s">
        <v>2185</v>
      </c>
      <c r="B1156" t="s">
        <v>2186</v>
      </c>
      <c r="C1156" s="1" t="s">
        <v>541</v>
      </c>
      <c r="D1156" s="1" t="s">
        <v>541</v>
      </c>
      <c r="E1156" s="1" t="s">
        <v>541</v>
      </c>
      <c r="F1156" t="s">
        <v>542</v>
      </c>
      <c r="G1156" t="s">
        <v>9</v>
      </c>
      <c r="H1156" t="s">
        <v>10</v>
      </c>
      <c r="I1156" t="s">
        <v>33</v>
      </c>
      <c r="J1156">
        <v>9.1999999999999993</v>
      </c>
      <c r="K1156" t="e">
        <f>IF(COUNTIF(#REF!,Tabela2[[#This Row],[IdxWspolny]])&gt;0,"ELEM_lub_PRD","TECHN")</f>
        <v>#REF!</v>
      </c>
      <c r="L1156" t="e">
        <f>IF(COUNTIF(#REF!,Tabela2[[#This Row],[KOD_PRODUKTU]])&gt;0,"ELEMENT","PRODUKT")</f>
        <v>#REF!</v>
      </c>
      <c r="M1156" t="e">
        <f>COUNTIF(#REF!,Tabela2[[#This Row],[KOD_PRODUKTU]])</f>
        <v>#REF!</v>
      </c>
    </row>
    <row r="1157" spans="1:13" x14ac:dyDescent="0.25">
      <c r="A1157" s="1" t="s">
        <v>2185</v>
      </c>
      <c r="B1157" t="s">
        <v>2186</v>
      </c>
      <c r="C1157" s="1" t="s">
        <v>541</v>
      </c>
      <c r="D1157" s="1" t="s">
        <v>541</v>
      </c>
      <c r="E1157" s="1" t="s">
        <v>541</v>
      </c>
      <c r="F1157" t="s">
        <v>542</v>
      </c>
      <c r="G1157" t="s">
        <v>9</v>
      </c>
      <c r="H1157" t="s">
        <v>10</v>
      </c>
      <c r="I1157" t="s">
        <v>2187</v>
      </c>
      <c r="J1157">
        <v>67.63</v>
      </c>
      <c r="K1157" t="e">
        <f>IF(COUNTIF(#REF!,Tabela2[[#This Row],[IdxWspolny]])&gt;0,"ELEM_lub_PRD","TECHN")</f>
        <v>#REF!</v>
      </c>
      <c r="L1157" t="e">
        <f>IF(COUNTIF(#REF!,Tabela2[[#This Row],[KOD_PRODUKTU]])&gt;0,"ELEMENT","PRODUKT")</f>
        <v>#REF!</v>
      </c>
      <c r="M1157" t="e">
        <f>COUNTIF(#REF!,Tabela2[[#This Row],[KOD_PRODUKTU]])</f>
        <v>#REF!</v>
      </c>
    </row>
    <row r="1158" spans="1:13" x14ac:dyDescent="0.25">
      <c r="A1158" s="1" t="s">
        <v>2188</v>
      </c>
      <c r="B1158" t="s">
        <v>2189</v>
      </c>
      <c r="C1158" s="1" t="s">
        <v>1047</v>
      </c>
      <c r="D1158" s="1" t="s">
        <v>1047</v>
      </c>
      <c r="E1158" s="1" t="s">
        <v>1047</v>
      </c>
      <c r="F1158" t="s">
        <v>1048</v>
      </c>
      <c r="G1158" t="s">
        <v>1434</v>
      </c>
      <c r="H1158" t="s">
        <v>17</v>
      </c>
      <c r="I1158" t="s">
        <v>2190</v>
      </c>
      <c r="J1158">
        <v>3.1</v>
      </c>
      <c r="K1158" t="e">
        <f>IF(COUNTIF(#REF!,Tabela2[[#This Row],[IdxWspolny]])&gt;0,"ELEM_lub_PRD","TECHN")</f>
        <v>#REF!</v>
      </c>
      <c r="L1158" t="e">
        <f>IF(COUNTIF(#REF!,Tabela2[[#This Row],[KOD_PRODUKTU]])&gt;0,"ELEMENT","PRODUKT")</f>
        <v>#REF!</v>
      </c>
      <c r="M1158" t="e">
        <f>COUNTIF(#REF!,Tabela2[[#This Row],[KOD_PRODUKTU]])</f>
        <v>#REF!</v>
      </c>
    </row>
    <row r="1159" spans="1:13" x14ac:dyDescent="0.25">
      <c r="A1159" s="1" t="s">
        <v>2188</v>
      </c>
      <c r="B1159" t="s">
        <v>2189</v>
      </c>
      <c r="C1159" s="1" t="s">
        <v>7</v>
      </c>
      <c r="D1159" s="1" t="s">
        <v>7</v>
      </c>
      <c r="E1159" s="1" t="s">
        <v>7</v>
      </c>
      <c r="F1159" t="s">
        <v>8</v>
      </c>
      <c r="G1159" t="s">
        <v>9</v>
      </c>
      <c r="H1159" t="s">
        <v>10</v>
      </c>
      <c r="I1159" t="s">
        <v>860</v>
      </c>
      <c r="J1159">
        <v>23</v>
      </c>
      <c r="K1159" t="e">
        <f>IF(COUNTIF(#REF!,Tabela2[[#This Row],[IdxWspolny]])&gt;0,"ELEM_lub_PRD","TECHN")</f>
        <v>#REF!</v>
      </c>
      <c r="L1159" t="e">
        <f>IF(COUNTIF(#REF!,Tabela2[[#This Row],[KOD_PRODUKTU]])&gt;0,"ELEMENT","PRODUKT")</f>
        <v>#REF!</v>
      </c>
      <c r="M1159" t="e">
        <f>COUNTIF(#REF!,Tabela2[[#This Row],[KOD_PRODUKTU]])</f>
        <v>#REF!</v>
      </c>
    </row>
    <row r="1160" spans="1:13" x14ac:dyDescent="0.25">
      <c r="A1160" s="1" t="s">
        <v>2191</v>
      </c>
      <c r="B1160" t="s">
        <v>2192</v>
      </c>
      <c r="C1160" s="1" t="s">
        <v>2</v>
      </c>
      <c r="D1160" s="1" t="s">
        <v>2</v>
      </c>
      <c r="E1160" s="1" t="s">
        <v>2</v>
      </c>
      <c r="F1160" t="s">
        <v>3</v>
      </c>
      <c r="G1160" t="s">
        <v>4</v>
      </c>
      <c r="H1160" t="s">
        <v>5</v>
      </c>
      <c r="I1160" t="s">
        <v>2193</v>
      </c>
      <c r="J1160">
        <v>0.45</v>
      </c>
      <c r="K1160" t="e">
        <f>IF(COUNTIF(#REF!,Tabela2[[#This Row],[IdxWspolny]])&gt;0,"ELEM_lub_PRD","TECHN")</f>
        <v>#REF!</v>
      </c>
      <c r="L1160" t="e">
        <f>IF(COUNTIF(#REF!,Tabela2[[#This Row],[KOD_PRODUKTU]])&gt;0,"ELEMENT","PRODUKT")</f>
        <v>#REF!</v>
      </c>
      <c r="M1160" t="e">
        <f>COUNTIF(#REF!,Tabela2[[#This Row],[KOD_PRODUKTU]])</f>
        <v>#REF!</v>
      </c>
    </row>
    <row r="1161" spans="1:13" x14ac:dyDescent="0.25">
      <c r="A1161" s="1" t="s">
        <v>2191</v>
      </c>
      <c r="B1161" t="s">
        <v>2192</v>
      </c>
      <c r="C1161" s="1" t="s">
        <v>541</v>
      </c>
      <c r="D1161" s="1" t="s">
        <v>541</v>
      </c>
      <c r="E1161" s="1" t="s">
        <v>541</v>
      </c>
      <c r="F1161" t="s">
        <v>542</v>
      </c>
      <c r="G1161" t="s">
        <v>9</v>
      </c>
      <c r="H1161" t="s">
        <v>10</v>
      </c>
      <c r="I1161" t="s">
        <v>2194</v>
      </c>
      <c r="J1161">
        <v>8.2799999999999994</v>
      </c>
      <c r="K1161" t="e">
        <f>IF(COUNTIF(#REF!,Tabela2[[#This Row],[IdxWspolny]])&gt;0,"ELEM_lub_PRD","TECHN")</f>
        <v>#REF!</v>
      </c>
      <c r="L1161" t="e">
        <f>IF(COUNTIF(#REF!,Tabela2[[#This Row],[KOD_PRODUKTU]])&gt;0,"ELEMENT","PRODUKT")</f>
        <v>#REF!</v>
      </c>
      <c r="M1161" t="e">
        <f>COUNTIF(#REF!,Tabela2[[#This Row],[KOD_PRODUKTU]])</f>
        <v>#REF!</v>
      </c>
    </row>
    <row r="1162" spans="1:13" x14ac:dyDescent="0.25">
      <c r="A1162" s="1" t="s">
        <v>2195</v>
      </c>
      <c r="B1162" t="s">
        <v>2196</v>
      </c>
      <c r="C1162" s="1" t="s">
        <v>2197</v>
      </c>
      <c r="D1162" s="1" t="s">
        <v>2197</v>
      </c>
      <c r="E1162" s="1" t="s">
        <v>2197</v>
      </c>
      <c r="F1162" t="s">
        <v>2198</v>
      </c>
      <c r="G1162" t="s">
        <v>1768</v>
      </c>
      <c r="H1162" t="s">
        <v>49</v>
      </c>
      <c r="I1162" t="s">
        <v>50</v>
      </c>
      <c r="J1162">
        <v>0</v>
      </c>
      <c r="K1162" t="e">
        <f>IF(COUNTIF(#REF!,Tabela2[[#This Row],[IdxWspolny]])&gt;0,"ELEM_lub_PRD","TECHN")</f>
        <v>#REF!</v>
      </c>
      <c r="L1162" t="e">
        <f>IF(COUNTIF(#REF!,Tabela2[[#This Row],[KOD_PRODUKTU]])&gt;0,"ELEMENT","PRODUKT")</f>
        <v>#REF!</v>
      </c>
      <c r="M1162" t="e">
        <f>COUNTIF(#REF!,Tabela2[[#This Row],[KOD_PRODUKTU]])</f>
        <v>#REF!</v>
      </c>
    </row>
    <row r="1163" spans="1:13" x14ac:dyDescent="0.25">
      <c r="A1163" s="1" t="s">
        <v>2195</v>
      </c>
      <c r="B1163" t="s">
        <v>2196</v>
      </c>
      <c r="C1163" s="1" t="s">
        <v>7</v>
      </c>
      <c r="D1163" s="1" t="s">
        <v>7</v>
      </c>
      <c r="E1163" s="1" t="s">
        <v>7</v>
      </c>
      <c r="F1163" t="s">
        <v>8</v>
      </c>
      <c r="G1163" t="s">
        <v>9</v>
      </c>
      <c r="H1163" t="s">
        <v>10</v>
      </c>
      <c r="I1163" t="s">
        <v>2199</v>
      </c>
      <c r="J1163">
        <v>2.3199999999999998</v>
      </c>
      <c r="K1163" t="e">
        <f>IF(COUNTIF(#REF!,Tabela2[[#This Row],[IdxWspolny]])&gt;0,"ELEM_lub_PRD","TECHN")</f>
        <v>#REF!</v>
      </c>
      <c r="L1163" t="e">
        <f>IF(COUNTIF(#REF!,Tabela2[[#This Row],[KOD_PRODUKTU]])&gt;0,"ELEMENT","PRODUKT")</f>
        <v>#REF!</v>
      </c>
      <c r="M1163" t="e">
        <f>COUNTIF(#REF!,Tabela2[[#This Row],[KOD_PRODUKTU]])</f>
        <v>#REF!</v>
      </c>
    </row>
    <row r="1164" spans="1:13" x14ac:dyDescent="0.25">
      <c r="A1164" s="1" t="s">
        <v>2200</v>
      </c>
      <c r="B1164" t="s">
        <v>2201</v>
      </c>
      <c r="C1164" s="1" t="s">
        <v>471</v>
      </c>
      <c r="D1164" s="1" t="s">
        <v>471</v>
      </c>
      <c r="E1164" s="1" t="s">
        <v>471</v>
      </c>
      <c r="F1164" t="s">
        <v>472</v>
      </c>
      <c r="G1164" t="s">
        <v>473</v>
      </c>
      <c r="H1164" t="s">
        <v>5</v>
      </c>
      <c r="I1164" t="s">
        <v>2202</v>
      </c>
      <c r="J1164">
        <v>12.8</v>
      </c>
      <c r="K1164" t="e">
        <f>IF(COUNTIF(#REF!,Tabela2[[#This Row],[IdxWspolny]])&gt;0,"ELEM_lub_PRD","TECHN")</f>
        <v>#REF!</v>
      </c>
      <c r="L1164" t="e">
        <f>IF(COUNTIF(#REF!,Tabela2[[#This Row],[KOD_PRODUKTU]])&gt;0,"ELEMENT","PRODUKT")</f>
        <v>#REF!</v>
      </c>
      <c r="M1164" t="e">
        <f>COUNTIF(#REF!,Tabela2[[#This Row],[KOD_PRODUKTU]])</f>
        <v>#REF!</v>
      </c>
    </row>
    <row r="1165" spans="1:13" x14ac:dyDescent="0.25">
      <c r="A1165" s="1" t="s">
        <v>2200</v>
      </c>
      <c r="B1165" t="s">
        <v>2201</v>
      </c>
      <c r="C1165" s="1" t="s">
        <v>475</v>
      </c>
      <c r="D1165" s="1" t="s">
        <v>475</v>
      </c>
      <c r="E1165" s="1" t="s">
        <v>475</v>
      </c>
      <c r="F1165" t="s">
        <v>476</v>
      </c>
      <c r="G1165" t="s">
        <v>477</v>
      </c>
      <c r="H1165" t="s">
        <v>39</v>
      </c>
      <c r="I1165" t="s">
        <v>478</v>
      </c>
      <c r="J1165">
        <v>0.41</v>
      </c>
      <c r="K1165" t="e">
        <f>IF(COUNTIF(#REF!,Tabela2[[#This Row],[IdxWspolny]])&gt;0,"ELEM_lub_PRD","TECHN")</f>
        <v>#REF!</v>
      </c>
      <c r="L1165" t="e">
        <f>IF(COUNTIF(#REF!,Tabela2[[#This Row],[KOD_PRODUKTU]])&gt;0,"ELEMENT","PRODUKT")</f>
        <v>#REF!</v>
      </c>
      <c r="M1165" t="e">
        <f>COUNTIF(#REF!,Tabela2[[#This Row],[KOD_PRODUKTU]])</f>
        <v>#REF!</v>
      </c>
    </row>
    <row r="1166" spans="1:13" x14ac:dyDescent="0.25">
      <c r="A1166" s="1" t="s">
        <v>2200</v>
      </c>
      <c r="B1166" t="s">
        <v>2201</v>
      </c>
      <c r="C1166" s="1" t="s">
        <v>479</v>
      </c>
      <c r="D1166" s="1" t="s">
        <v>479</v>
      </c>
      <c r="E1166" s="1" t="s">
        <v>479</v>
      </c>
      <c r="F1166" t="s">
        <v>480</v>
      </c>
      <c r="G1166" t="s">
        <v>481</v>
      </c>
      <c r="H1166" t="s">
        <v>5</v>
      </c>
      <c r="I1166" t="s">
        <v>2203</v>
      </c>
      <c r="J1166">
        <v>0.16</v>
      </c>
      <c r="K1166" t="e">
        <f>IF(COUNTIF(#REF!,Tabela2[[#This Row],[IdxWspolny]])&gt;0,"ELEM_lub_PRD","TECHN")</f>
        <v>#REF!</v>
      </c>
      <c r="L1166" t="e">
        <f>IF(COUNTIF(#REF!,Tabela2[[#This Row],[KOD_PRODUKTU]])&gt;0,"ELEMENT","PRODUKT")</f>
        <v>#REF!</v>
      </c>
      <c r="M1166" t="e">
        <f>COUNTIF(#REF!,Tabela2[[#This Row],[KOD_PRODUKTU]])</f>
        <v>#REF!</v>
      </c>
    </row>
    <row r="1167" spans="1:13" x14ac:dyDescent="0.25">
      <c r="A1167" s="1" t="s">
        <v>2200</v>
      </c>
      <c r="B1167" t="s">
        <v>2201</v>
      </c>
      <c r="C1167" s="1" t="s">
        <v>483</v>
      </c>
      <c r="D1167" s="1" t="s">
        <v>483</v>
      </c>
      <c r="E1167" s="1" t="s">
        <v>483</v>
      </c>
      <c r="F1167" t="s">
        <v>484</v>
      </c>
      <c r="G1167" t="s">
        <v>485</v>
      </c>
      <c r="H1167" t="s">
        <v>5</v>
      </c>
      <c r="I1167" t="s">
        <v>573</v>
      </c>
      <c r="J1167">
        <v>0.01</v>
      </c>
      <c r="K1167" t="e">
        <f>IF(COUNTIF(#REF!,Tabela2[[#This Row],[IdxWspolny]])&gt;0,"ELEM_lub_PRD","TECHN")</f>
        <v>#REF!</v>
      </c>
      <c r="L1167" t="e">
        <f>IF(COUNTIF(#REF!,Tabela2[[#This Row],[KOD_PRODUKTU]])&gt;0,"ELEMENT","PRODUKT")</f>
        <v>#REF!</v>
      </c>
      <c r="M1167" t="e">
        <f>COUNTIF(#REF!,Tabela2[[#This Row],[KOD_PRODUKTU]])</f>
        <v>#REF!</v>
      </c>
    </row>
    <row r="1168" spans="1:13" x14ac:dyDescent="0.25">
      <c r="A1168" s="1" t="s">
        <v>2200</v>
      </c>
      <c r="B1168" t="s">
        <v>2201</v>
      </c>
      <c r="C1168" s="1" t="s">
        <v>487</v>
      </c>
      <c r="D1168" s="1" t="s">
        <v>487</v>
      </c>
      <c r="E1168" s="1" t="s">
        <v>487</v>
      </c>
      <c r="F1168" t="s">
        <v>488</v>
      </c>
      <c r="G1168" t="s">
        <v>489</v>
      </c>
      <c r="H1168" t="s">
        <v>5</v>
      </c>
      <c r="I1168" t="s">
        <v>2204</v>
      </c>
      <c r="J1168">
        <v>0.36</v>
      </c>
      <c r="K1168" t="e">
        <f>IF(COUNTIF(#REF!,Tabela2[[#This Row],[IdxWspolny]])&gt;0,"ELEM_lub_PRD","TECHN")</f>
        <v>#REF!</v>
      </c>
      <c r="L1168" t="e">
        <f>IF(COUNTIF(#REF!,Tabela2[[#This Row],[KOD_PRODUKTU]])&gt;0,"ELEMENT","PRODUKT")</f>
        <v>#REF!</v>
      </c>
      <c r="M1168" t="e">
        <f>COUNTIF(#REF!,Tabela2[[#This Row],[KOD_PRODUKTU]])</f>
        <v>#REF!</v>
      </c>
    </row>
    <row r="1169" spans="1:14" x14ac:dyDescent="0.25">
      <c r="A1169" s="1" t="s">
        <v>2200</v>
      </c>
      <c r="B1169" t="s">
        <v>2201</v>
      </c>
      <c r="C1169" s="1" t="s">
        <v>41</v>
      </c>
      <c r="D1169" s="1" t="s">
        <v>41</v>
      </c>
      <c r="E1169" s="1" t="s">
        <v>41</v>
      </c>
      <c r="F1169" t="s">
        <v>42</v>
      </c>
      <c r="G1169" t="s">
        <v>43</v>
      </c>
      <c r="H1169" t="s">
        <v>5</v>
      </c>
      <c r="I1169" t="s">
        <v>227</v>
      </c>
      <c r="J1169">
        <v>0.01</v>
      </c>
      <c r="K1169" t="e">
        <f>IF(COUNTIF(#REF!,Tabela2[[#This Row],[IdxWspolny]])&gt;0,"ELEM_lub_PRD","TECHN")</f>
        <v>#REF!</v>
      </c>
      <c r="L1169" t="e">
        <f>IF(COUNTIF(#REF!,Tabela2[[#This Row],[KOD_PRODUKTU]])&gt;0,"ELEMENT","PRODUKT")</f>
        <v>#REF!</v>
      </c>
      <c r="M1169" t="e">
        <f>COUNTIF(#REF!,Tabela2[[#This Row],[KOD_PRODUKTU]])</f>
        <v>#REF!</v>
      </c>
    </row>
    <row r="1170" spans="1:14" x14ac:dyDescent="0.25">
      <c r="A1170" s="1" t="s">
        <v>2200</v>
      </c>
      <c r="B1170" t="s">
        <v>2201</v>
      </c>
      <c r="C1170" s="1" t="s">
        <v>491</v>
      </c>
      <c r="D1170" s="1" t="s">
        <v>491</v>
      </c>
      <c r="E1170" s="1" t="s">
        <v>491</v>
      </c>
      <c r="F1170" t="s">
        <v>492</v>
      </c>
      <c r="G1170" t="s">
        <v>493</v>
      </c>
      <c r="H1170" t="s">
        <v>121</v>
      </c>
      <c r="I1170" t="s">
        <v>92</v>
      </c>
      <c r="J1170">
        <v>13.7</v>
      </c>
      <c r="K1170" t="e">
        <f>IF(COUNTIF(#REF!,Tabela2[[#This Row],[IdxWspolny]])&gt;0,"ELEM_lub_PRD","TECHN")</f>
        <v>#REF!</v>
      </c>
      <c r="L1170" t="e">
        <f>IF(COUNTIF(#REF!,Tabela2[[#This Row],[KOD_PRODUKTU]])&gt;0,"ELEMENT","PRODUKT")</f>
        <v>#REF!</v>
      </c>
      <c r="M1170" t="e">
        <f>COUNTIF(#REF!,Tabela2[[#This Row],[KOD_PRODUKTU]])</f>
        <v>#REF!</v>
      </c>
    </row>
    <row r="1171" spans="1:14" x14ac:dyDescent="0.25">
      <c r="A1171" s="1" t="s">
        <v>2200</v>
      </c>
      <c r="B1171" t="s">
        <v>2201</v>
      </c>
      <c r="C1171" s="1" t="s">
        <v>494</v>
      </c>
      <c r="D1171" s="1" t="s">
        <v>494</v>
      </c>
      <c r="E1171" s="1" t="s">
        <v>494</v>
      </c>
      <c r="F1171" t="s">
        <v>495</v>
      </c>
      <c r="G1171" t="s">
        <v>496</v>
      </c>
      <c r="H1171" t="s">
        <v>121</v>
      </c>
      <c r="I1171" t="s">
        <v>50</v>
      </c>
      <c r="J1171">
        <v>17.45</v>
      </c>
      <c r="K1171" t="e">
        <f>IF(COUNTIF(#REF!,Tabela2[[#This Row],[IdxWspolny]])&gt;0,"ELEM_lub_PRD","TECHN")</f>
        <v>#REF!</v>
      </c>
      <c r="L1171" t="e">
        <f>IF(COUNTIF(#REF!,Tabela2[[#This Row],[KOD_PRODUKTU]])&gt;0,"ELEMENT","PRODUKT")</f>
        <v>#REF!</v>
      </c>
      <c r="M1171" t="e">
        <f>COUNTIF(#REF!,Tabela2[[#This Row],[KOD_PRODUKTU]])</f>
        <v>#REF!</v>
      </c>
    </row>
    <row r="1172" spans="1:14" x14ac:dyDescent="0.25">
      <c r="A1172" s="1" t="s">
        <v>2200</v>
      </c>
      <c r="B1172" t="s">
        <v>2201</v>
      </c>
      <c r="C1172" s="1" t="s">
        <v>497</v>
      </c>
      <c r="D1172" s="1" t="s">
        <v>497</v>
      </c>
      <c r="E1172" s="1" t="s">
        <v>497</v>
      </c>
      <c r="F1172" t="s">
        <v>498</v>
      </c>
      <c r="G1172" t="s">
        <v>496</v>
      </c>
      <c r="H1172" t="s">
        <v>121</v>
      </c>
      <c r="I1172" t="s">
        <v>50</v>
      </c>
      <c r="J1172">
        <v>17.45</v>
      </c>
      <c r="K1172" t="e">
        <f>IF(COUNTIF(#REF!,Tabela2[[#This Row],[IdxWspolny]])&gt;0,"ELEM_lub_PRD","TECHN")</f>
        <v>#REF!</v>
      </c>
      <c r="L1172" t="e">
        <f>IF(COUNTIF(#REF!,Tabela2[[#This Row],[KOD_PRODUKTU]])&gt;0,"ELEMENT","PRODUKT")</f>
        <v>#REF!</v>
      </c>
      <c r="M1172" t="e">
        <f>COUNTIF(#REF!,Tabela2[[#This Row],[KOD_PRODUKTU]])</f>
        <v>#REF!</v>
      </c>
    </row>
    <row r="1173" spans="1:14" x14ac:dyDescent="0.25">
      <c r="A1173" s="1" t="s">
        <v>2200</v>
      </c>
      <c r="B1173" t="s">
        <v>2201</v>
      </c>
      <c r="C1173" s="1" t="s">
        <v>499</v>
      </c>
      <c r="D1173" s="1" t="s">
        <v>499</v>
      </c>
      <c r="E1173" s="1" t="s">
        <v>499</v>
      </c>
      <c r="F1173" t="s">
        <v>500</v>
      </c>
      <c r="G1173" t="s">
        <v>501</v>
      </c>
      <c r="H1173" t="s">
        <v>121</v>
      </c>
      <c r="I1173" t="s">
        <v>50</v>
      </c>
      <c r="J1173">
        <v>4.5</v>
      </c>
      <c r="K1173" t="e">
        <f>IF(COUNTIF(#REF!,Tabela2[[#This Row],[IdxWspolny]])&gt;0,"ELEM_lub_PRD","TECHN")</f>
        <v>#REF!</v>
      </c>
      <c r="L1173" t="e">
        <f>IF(COUNTIF(#REF!,Tabela2[[#This Row],[KOD_PRODUKTU]])&gt;0,"ELEMENT","PRODUKT")</f>
        <v>#REF!</v>
      </c>
      <c r="M1173" t="e">
        <f>COUNTIF(#REF!,Tabela2[[#This Row],[KOD_PRODUKTU]])</f>
        <v>#REF!</v>
      </c>
    </row>
    <row r="1174" spans="1:14" hidden="1" x14ac:dyDescent="0.25">
      <c r="A1174" s="1" t="s">
        <v>2200</v>
      </c>
      <c r="B1174" t="s">
        <v>2201</v>
      </c>
      <c r="C1174" s="1" t="s">
        <v>502</v>
      </c>
      <c r="D1174" s="1" t="s">
        <v>502</v>
      </c>
      <c r="E1174" s="1" t="s">
        <v>502</v>
      </c>
      <c r="F1174" t="s">
        <v>503</v>
      </c>
      <c r="G1174" t="s">
        <v>31</v>
      </c>
      <c r="H1174" t="s">
        <v>121</v>
      </c>
      <c r="I1174" t="s">
        <v>50</v>
      </c>
      <c r="J1174">
        <v>10.6</v>
      </c>
      <c r="K1174" t="e">
        <f>IF(COUNTIF(#REF!,Tabela2[[#This Row],[IdxWspolny]])&gt;0,"ELEM_lub_PRD","TECHN")</f>
        <v>#REF!</v>
      </c>
      <c r="L1174" t="e">
        <f>IF(COUNTIF(#REF!,Tabela2[[#This Row],[KOD_PRODUKTU]])&gt;0,"ELEMENT","PRODUKT")</f>
        <v>#REF!</v>
      </c>
      <c r="M1174" t="e">
        <f>COUNTIF(#REF!,Tabela2[[#This Row],[KOD_PRODUKTU]])</f>
        <v>#REF!</v>
      </c>
      <c r="N1174" t="s">
        <v>55</v>
      </c>
    </row>
    <row r="1175" spans="1:14" x14ac:dyDescent="0.25">
      <c r="A1175" s="1" t="s">
        <v>2200</v>
      </c>
      <c r="B1175" t="s">
        <v>2201</v>
      </c>
      <c r="C1175" s="1" t="s">
        <v>7</v>
      </c>
      <c r="D1175" s="1" t="s">
        <v>7</v>
      </c>
      <c r="E1175" s="1" t="s">
        <v>7</v>
      </c>
      <c r="F1175" t="s">
        <v>8</v>
      </c>
      <c r="G1175" t="s">
        <v>9</v>
      </c>
      <c r="H1175" t="s">
        <v>10</v>
      </c>
      <c r="I1175" t="s">
        <v>2205</v>
      </c>
      <c r="J1175">
        <v>72.599999999999994</v>
      </c>
      <c r="K1175" t="e">
        <f>IF(COUNTIF(#REF!,Tabela2[[#This Row],[IdxWspolny]])&gt;0,"ELEM_lub_PRD","TECHN")</f>
        <v>#REF!</v>
      </c>
      <c r="L1175" t="e">
        <f>IF(COUNTIF(#REF!,Tabela2[[#This Row],[KOD_PRODUKTU]])&gt;0,"ELEMENT","PRODUKT")</f>
        <v>#REF!</v>
      </c>
      <c r="M1175" t="e">
        <f>COUNTIF(#REF!,Tabela2[[#This Row],[KOD_PRODUKTU]])</f>
        <v>#REF!</v>
      </c>
    </row>
    <row r="1176" spans="1:14" x14ac:dyDescent="0.25">
      <c r="A1176" s="1" t="s">
        <v>2206</v>
      </c>
      <c r="B1176" t="s">
        <v>2207</v>
      </c>
      <c r="C1176" s="1" t="s">
        <v>507</v>
      </c>
      <c r="D1176" s="1" t="s">
        <v>507</v>
      </c>
      <c r="E1176" s="1" t="s">
        <v>507</v>
      </c>
      <c r="F1176" t="s">
        <v>508</v>
      </c>
      <c r="G1176" t="s">
        <v>509</v>
      </c>
      <c r="H1176" t="s">
        <v>5</v>
      </c>
      <c r="I1176" t="s">
        <v>2208</v>
      </c>
      <c r="J1176">
        <v>3.15</v>
      </c>
      <c r="K1176" t="e">
        <f>IF(COUNTIF(#REF!,Tabela2[[#This Row],[IdxWspolny]])&gt;0,"ELEM_lub_PRD","TECHN")</f>
        <v>#REF!</v>
      </c>
      <c r="L1176" t="e">
        <f>IF(COUNTIF(#REF!,Tabela2[[#This Row],[KOD_PRODUKTU]])&gt;0,"ELEMENT","PRODUKT")</f>
        <v>#REF!</v>
      </c>
      <c r="M1176" t="e">
        <f>COUNTIF(#REF!,Tabela2[[#This Row],[KOD_PRODUKTU]])</f>
        <v>#REF!</v>
      </c>
    </row>
    <row r="1177" spans="1:14" x14ac:dyDescent="0.25">
      <c r="A1177" s="1" t="s">
        <v>2206</v>
      </c>
      <c r="B1177" t="s">
        <v>2207</v>
      </c>
      <c r="C1177" s="1" t="s">
        <v>511</v>
      </c>
      <c r="D1177" s="1" t="s">
        <v>511</v>
      </c>
      <c r="E1177" s="1" t="s">
        <v>511</v>
      </c>
      <c r="F1177" t="s">
        <v>512</v>
      </c>
      <c r="G1177" t="s">
        <v>513</v>
      </c>
      <c r="H1177" t="s">
        <v>39</v>
      </c>
      <c r="I1177" t="s">
        <v>1425</v>
      </c>
      <c r="J1177">
        <v>0.5</v>
      </c>
      <c r="K1177" t="e">
        <f>IF(COUNTIF(#REF!,Tabela2[[#This Row],[IdxWspolny]])&gt;0,"ELEM_lub_PRD","TECHN")</f>
        <v>#REF!</v>
      </c>
      <c r="L1177" t="e">
        <f>IF(COUNTIF(#REF!,Tabela2[[#This Row],[KOD_PRODUKTU]])&gt;0,"ELEMENT","PRODUKT")</f>
        <v>#REF!</v>
      </c>
      <c r="M1177" t="e">
        <f>COUNTIF(#REF!,Tabela2[[#This Row],[KOD_PRODUKTU]])</f>
        <v>#REF!</v>
      </c>
    </row>
    <row r="1178" spans="1:14" x14ac:dyDescent="0.25">
      <c r="A1178" s="1" t="s">
        <v>2206</v>
      </c>
      <c r="B1178" t="s">
        <v>2207</v>
      </c>
      <c r="C1178" s="1" t="s">
        <v>514</v>
      </c>
      <c r="D1178" s="1" t="s">
        <v>514</v>
      </c>
      <c r="E1178" s="1" t="s">
        <v>514</v>
      </c>
      <c r="F1178" t="s">
        <v>515</v>
      </c>
      <c r="G1178" t="s">
        <v>516</v>
      </c>
      <c r="H1178" t="s">
        <v>121</v>
      </c>
      <c r="I1178" t="s">
        <v>50</v>
      </c>
      <c r="J1178">
        <v>0.27</v>
      </c>
      <c r="K1178" t="e">
        <f>IF(COUNTIF(#REF!,Tabela2[[#This Row],[IdxWspolny]])&gt;0,"ELEM_lub_PRD","TECHN")</f>
        <v>#REF!</v>
      </c>
      <c r="L1178" t="e">
        <f>IF(COUNTIF(#REF!,Tabela2[[#This Row],[KOD_PRODUKTU]])&gt;0,"ELEMENT","PRODUKT")</f>
        <v>#REF!</v>
      </c>
      <c r="M1178" t="e">
        <f>COUNTIF(#REF!,Tabela2[[#This Row],[KOD_PRODUKTU]])</f>
        <v>#REF!</v>
      </c>
    </row>
    <row r="1179" spans="1:14" x14ac:dyDescent="0.25">
      <c r="A1179" s="1" t="s">
        <v>2206</v>
      </c>
      <c r="B1179" t="s">
        <v>2207</v>
      </c>
      <c r="C1179" s="1" t="s">
        <v>41</v>
      </c>
      <c r="D1179" s="1" t="s">
        <v>41</v>
      </c>
      <c r="E1179" s="1" t="s">
        <v>41</v>
      </c>
      <c r="F1179" t="s">
        <v>42</v>
      </c>
      <c r="G1179" t="s">
        <v>43</v>
      </c>
      <c r="H1179" t="s">
        <v>5</v>
      </c>
      <c r="I1179" t="s">
        <v>2209</v>
      </c>
      <c r="J1179">
        <v>0.03</v>
      </c>
      <c r="K1179" t="e">
        <f>IF(COUNTIF(#REF!,Tabela2[[#This Row],[IdxWspolny]])&gt;0,"ELEM_lub_PRD","TECHN")</f>
        <v>#REF!</v>
      </c>
      <c r="L1179" t="e">
        <f>IF(COUNTIF(#REF!,Tabela2[[#This Row],[KOD_PRODUKTU]])&gt;0,"ELEMENT","PRODUKT")</f>
        <v>#REF!</v>
      </c>
      <c r="M1179" t="e">
        <f>COUNTIF(#REF!,Tabela2[[#This Row],[KOD_PRODUKTU]])</f>
        <v>#REF!</v>
      </c>
    </row>
    <row r="1180" spans="1:14" x14ac:dyDescent="0.25">
      <c r="A1180" s="1" t="s">
        <v>2206</v>
      </c>
      <c r="B1180" t="s">
        <v>2207</v>
      </c>
      <c r="C1180" s="1" t="s">
        <v>517</v>
      </c>
      <c r="D1180" s="1" t="s">
        <v>517</v>
      </c>
      <c r="E1180" s="1" t="s">
        <v>517</v>
      </c>
      <c r="F1180" t="s">
        <v>518</v>
      </c>
      <c r="G1180" t="s">
        <v>519</v>
      </c>
      <c r="H1180" t="s">
        <v>121</v>
      </c>
      <c r="I1180" t="s">
        <v>92</v>
      </c>
      <c r="J1180">
        <v>11.1</v>
      </c>
      <c r="K1180" t="e">
        <f>IF(COUNTIF(#REF!,Tabela2[[#This Row],[IdxWspolny]])&gt;0,"ELEM_lub_PRD","TECHN")</f>
        <v>#REF!</v>
      </c>
      <c r="L1180" t="e">
        <f>IF(COUNTIF(#REF!,Tabela2[[#This Row],[KOD_PRODUKTU]])&gt;0,"ELEMENT","PRODUKT")</f>
        <v>#REF!</v>
      </c>
      <c r="M1180" t="e">
        <f>COUNTIF(#REF!,Tabela2[[#This Row],[KOD_PRODUKTU]])</f>
        <v>#REF!</v>
      </c>
    </row>
    <row r="1181" spans="1:14" x14ac:dyDescent="0.25">
      <c r="A1181" s="1" t="s">
        <v>2206</v>
      </c>
      <c r="B1181" t="s">
        <v>2207</v>
      </c>
      <c r="C1181" s="1" t="s">
        <v>520</v>
      </c>
      <c r="D1181" s="1" t="s">
        <v>520</v>
      </c>
      <c r="E1181" s="1" t="s">
        <v>520</v>
      </c>
      <c r="F1181" t="s">
        <v>521</v>
      </c>
      <c r="G1181" t="s">
        <v>522</v>
      </c>
      <c r="H1181" t="s">
        <v>121</v>
      </c>
      <c r="I1181" t="s">
        <v>50</v>
      </c>
      <c r="J1181">
        <v>3.45</v>
      </c>
      <c r="K1181" t="e">
        <f>IF(COUNTIF(#REF!,Tabela2[[#This Row],[IdxWspolny]])&gt;0,"ELEM_lub_PRD","TECHN")</f>
        <v>#REF!</v>
      </c>
      <c r="L1181" t="e">
        <f>IF(COUNTIF(#REF!,Tabela2[[#This Row],[KOD_PRODUKTU]])&gt;0,"ELEMENT","PRODUKT")</f>
        <v>#REF!</v>
      </c>
      <c r="M1181" t="e">
        <f>COUNTIF(#REF!,Tabela2[[#This Row],[KOD_PRODUKTU]])</f>
        <v>#REF!</v>
      </c>
    </row>
    <row r="1182" spans="1:14" x14ac:dyDescent="0.25">
      <c r="A1182" s="1" t="s">
        <v>2206</v>
      </c>
      <c r="B1182" t="s">
        <v>2207</v>
      </c>
      <c r="C1182" s="1" t="s">
        <v>7</v>
      </c>
      <c r="D1182" s="1" t="s">
        <v>7</v>
      </c>
      <c r="E1182" s="1" t="s">
        <v>7</v>
      </c>
      <c r="F1182" t="s">
        <v>8</v>
      </c>
      <c r="G1182" t="s">
        <v>9</v>
      </c>
      <c r="H1182" t="s">
        <v>10</v>
      </c>
      <c r="I1182" t="s">
        <v>504</v>
      </c>
      <c r="J1182">
        <v>32</v>
      </c>
      <c r="K1182" t="e">
        <f>IF(COUNTIF(#REF!,Tabela2[[#This Row],[IdxWspolny]])&gt;0,"ELEM_lub_PRD","TECHN")</f>
        <v>#REF!</v>
      </c>
      <c r="L1182" t="e">
        <f>IF(COUNTIF(#REF!,Tabela2[[#This Row],[KOD_PRODUKTU]])&gt;0,"ELEMENT","PRODUKT")</f>
        <v>#REF!</v>
      </c>
      <c r="M1182" t="e">
        <f>COUNTIF(#REF!,Tabela2[[#This Row],[KOD_PRODUKTU]])</f>
        <v>#REF!</v>
      </c>
    </row>
    <row r="1183" spans="1:14" x14ac:dyDescent="0.25">
      <c r="A1183" s="1" t="s">
        <v>2210</v>
      </c>
      <c r="B1183" t="s">
        <v>2211</v>
      </c>
      <c r="C1183" s="1" t="s">
        <v>471</v>
      </c>
      <c r="D1183" s="1" t="s">
        <v>471</v>
      </c>
      <c r="E1183" s="1" t="s">
        <v>471</v>
      </c>
      <c r="F1183" t="s">
        <v>472</v>
      </c>
      <c r="G1183" t="s">
        <v>526</v>
      </c>
      <c r="H1183" t="s">
        <v>5</v>
      </c>
      <c r="I1183" t="s">
        <v>2212</v>
      </c>
      <c r="J1183">
        <v>22.75</v>
      </c>
      <c r="K1183" t="e">
        <f>IF(COUNTIF(#REF!,Tabela2[[#This Row],[IdxWspolny]])&gt;0,"ELEM_lub_PRD","TECHN")</f>
        <v>#REF!</v>
      </c>
      <c r="L1183" t="e">
        <f>IF(COUNTIF(#REF!,Tabela2[[#This Row],[KOD_PRODUKTU]])&gt;0,"ELEMENT","PRODUKT")</f>
        <v>#REF!</v>
      </c>
      <c r="M1183" t="e">
        <f>COUNTIF(#REF!,Tabela2[[#This Row],[KOD_PRODUKTU]])</f>
        <v>#REF!</v>
      </c>
    </row>
    <row r="1184" spans="1:14" x14ac:dyDescent="0.25">
      <c r="A1184" s="1" t="s">
        <v>2210</v>
      </c>
      <c r="B1184" t="s">
        <v>2211</v>
      </c>
      <c r="C1184" s="1" t="s">
        <v>475</v>
      </c>
      <c r="D1184" s="1" t="s">
        <v>475</v>
      </c>
      <c r="E1184" s="1" t="s">
        <v>475</v>
      </c>
      <c r="F1184" t="s">
        <v>476</v>
      </c>
      <c r="G1184" t="s">
        <v>477</v>
      </c>
      <c r="H1184" t="s">
        <v>39</v>
      </c>
      <c r="I1184" t="s">
        <v>478</v>
      </c>
      <c r="J1184">
        <v>0.41</v>
      </c>
      <c r="K1184" t="e">
        <f>IF(COUNTIF(#REF!,Tabela2[[#This Row],[IdxWspolny]])&gt;0,"ELEM_lub_PRD","TECHN")</f>
        <v>#REF!</v>
      </c>
      <c r="L1184" t="e">
        <f>IF(COUNTIF(#REF!,Tabela2[[#This Row],[KOD_PRODUKTU]])&gt;0,"ELEMENT","PRODUKT")</f>
        <v>#REF!</v>
      </c>
      <c r="M1184" t="e">
        <f>COUNTIF(#REF!,Tabela2[[#This Row],[KOD_PRODUKTU]])</f>
        <v>#REF!</v>
      </c>
    </row>
    <row r="1185" spans="1:14" x14ac:dyDescent="0.25">
      <c r="A1185" s="1" t="s">
        <v>2210</v>
      </c>
      <c r="B1185" t="s">
        <v>2211</v>
      </c>
      <c r="C1185" s="1" t="s">
        <v>479</v>
      </c>
      <c r="D1185" s="1" t="s">
        <v>479</v>
      </c>
      <c r="E1185" s="1" t="s">
        <v>479</v>
      </c>
      <c r="F1185" t="s">
        <v>480</v>
      </c>
      <c r="G1185" t="s">
        <v>481</v>
      </c>
      <c r="H1185" t="s">
        <v>5</v>
      </c>
      <c r="I1185" t="s">
        <v>482</v>
      </c>
      <c r="J1185">
        <v>0.04</v>
      </c>
      <c r="K1185" t="e">
        <f>IF(COUNTIF(#REF!,Tabela2[[#This Row],[IdxWspolny]])&gt;0,"ELEM_lub_PRD","TECHN")</f>
        <v>#REF!</v>
      </c>
      <c r="L1185" t="e">
        <f>IF(COUNTIF(#REF!,Tabela2[[#This Row],[KOD_PRODUKTU]])&gt;0,"ELEMENT","PRODUKT")</f>
        <v>#REF!</v>
      </c>
      <c r="M1185" t="e">
        <f>COUNTIF(#REF!,Tabela2[[#This Row],[KOD_PRODUKTU]])</f>
        <v>#REF!</v>
      </c>
    </row>
    <row r="1186" spans="1:14" x14ac:dyDescent="0.25">
      <c r="A1186" s="1" t="s">
        <v>2210</v>
      </c>
      <c r="B1186" t="s">
        <v>2211</v>
      </c>
      <c r="C1186" s="1" t="s">
        <v>483</v>
      </c>
      <c r="D1186" s="1" t="s">
        <v>483</v>
      </c>
      <c r="E1186" s="1" t="s">
        <v>483</v>
      </c>
      <c r="F1186" t="s">
        <v>484</v>
      </c>
      <c r="G1186" t="s">
        <v>485</v>
      </c>
      <c r="H1186" t="s">
        <v>5</v>
      </c>
      <c r="I1186" t="s">
        <v>2213</v>
      </c>
      <c r="J1186">
        <v>0.01</v>
      </c>
      <c r="K1186" t="e">
        <f>IF(COUNTIF(#REF!,Tabela2[[#This Row],[IdxWspolny]])&gt;0,"ELEM_lub_PRD","TECHN")</f>
        <v>#REF!</v>
      </c>
      <c r="L1186" t="e">
        <f>IF(COUNTIF(#REF!,Tabela2[[#This Row],[KOD_PRODUKTU]])&gt;0,"ELEMENT","PRODUKT")</f>
        <v>#REF!</v>
      </c>
      <c r="M1186" t="e">
        <f>COUNTIF(#REF!,Tabela2[[#This Row],[KOD_PRODUKTU]])</f>
        <v>#REF!</v>
      </c>
    </row>
    <row r="1187" spans="1:14" x14ac:dyDescent="0.25">
      <c r="A1187" s="1" t="s">
        <v>2210</v>
      </c>
      <c r="B1187" t="s">
        <v>2211</v>
      </c>
      <c r="C1187" s="1" t="s">
        <v>487</v>
      </c>
      <c r="D1187" s="1" t="s">
        <v>487</v>
      </c>
      <c r="E1187" s="1" t="s">
        <v>487</v>
      </c>
      <c r="F1187" t="s">
        <v>488</v>
      </c>
      <c r="G1187" t="s">
        <v>489</v>
      </c>
      <c r="H1187" t="s">
        <v>5</v>
      </c>
      <c r="I1187" t="s">
        <v>490</v>
      </c>
      <c r="J1187">
        <v>0.28999999999999998</v>
      </c>
      <c r="K1187" t="e">
        <f>IF(COUNTIF(#REF!,Tabela2[[#This Row],[IdxWspolny]])&gt;0,"ELEM_lub_PRD","TECHN")</f>
        <v>#REF!</v>
      </c>
      <c r="L1187" t="e">
        <f>IF(COUNTIF(#REF!,Tabela2[[#This Row],[KOD_PRODUKTU]])&gt;0,"ELEMENT","PRODUKT")</f>
        <v>#REF!</v>
      </c>
      <c r="M1187" t="e">
        <f>COUNTIF(#REF!,Tabela2[[#This Row],[KOD_PRODUKTU]])</f>
        <v>#REF!</v>
      </c>
    </row>
    <row r="1188" spans="1:14" x14ac:dyDescent="0.25">
      <c r="A1188" s="1" t="s">
        <v>2210</v>
      </c>
      <c r="B1188" t="s">
        <v>2211</v>
      </c>
      <c r="C1188" s="1" t="s">
        <v>41</v>
      </c>
      <c r="D1188" s="1" t="s">
        <v>41</v>
      </c>
      <c r="E1188" s="1" t="s">
        <v>41</v>
      </c>
      <c r="F1188" t="s">
        <v>42</v>
      </c>
      <c r="G1188" t="s">
        <v>43</v>
      </c>
      <c r="H1188" t="s">
        <v>5</v>
      </c>
      <c r="I1188" t="s">
        <v>559</v>
      </c>
      <c r="J1188">
        <v>0.04</v>
      </c>
      <c r="K1188" t="e">
        <f>IF(COUNTIF(#REF!,Tabela2[[#This Row],[IdxWspolny]])&gt;0,"ELEM_lub_PRD","TECHN")</f>
        <v>#REF!</v>
      </c>
      <c r="L1188" t="e">
        <f>IF(COUNTIF(#REF!,Tabela2[[#This Row],[KOD_PRODUKTU]])&gt;0,"ELEMENT","PRODUKT")</f>
        <v>#REF!</v>
      </c>
      <c r="M1188" t="e">
        <f>COUNTIF(#REF!,Tabela2[[#This Row],[KOD_PRODUKTU]])</f>
        <v>#REF!</v>
      </c>
    </row>
    <row r="1189" spans="1:14" x14ac:dyDescent="0.25">
      <c r="A1189" s="1" t="s">
        <v>2210</v>
      </c>
      <c r="B1189" t="s">
        <v>2211</v>
      </c>
      <c r="C1189" s="1" t="s">
        <v>491</v>
      </c>
      <c r="D1189" s="1" t="s">
        <v>491</v>
      </c>
      <c r="E1189" s="1" t="s">
        <v>491</v>
      </c>
      <c r="F1189" t="s">
        <v>492</v>
      </c>
      <c r="G1189" t="s">
        <v>493</v>
      </c>
      <c r="H1189" t="s">
        <v>121</v>
      </c>
      <c r="I1189" t="s">
        <v>92</v>
      </c>
      <c r="J1189">
        <v>13.7</v>
      </c>
      <c r="K1189" t="e">
        <f>IF(COUNTIF(#REF!,Tabela2[[#This Row],[IdxWspolny]])&gt;0,"ELEM_lub_PRD","TECHN")</f>
        <v>#REF!</v>
      </c>
      <c r="L1189" t="e">
        <f>IF(COUNTIF(#REF!,Tabela2[[#This Row],[KOD_PRODUKTU]])&gt;0,"ELEMENT","PRODUKT")</f>
        <v>#REF!</v>
      </c>
      <c r="M1189" t="e">
        <f>COUNTIF(#REF!,Tabela2[[#This Row],[KOD_PRODUKTU]])</f>
        <v>#REF!</v>
      </c>
    </row>
    <row r="1190" spans="1:14" x14ac:dyDescent="0.25">
      <c r="A1190" s="1" t="s">
        <v>2210</v>
      </c>
      <c r="B1190" t="s">
        <v>2211</v>
      </c>
      <c r="C1190" s="1" t="s">
        <v>494</v>
      </c>
      <c r="D1190" s="1" t="s">
        <v>494</v>
      </c>
      <c r="E1190" s="1" t="s">
        <v>494</v>
      </c>
      <c r="F1190" t="s">
        <v>495</v>
      </c>
      <c r="G1190" t="s">
        <v>496</v>
      </c>
      <c r="H1190" t="s">
        <v>121</v>
      </c>
      <c r="I1190" t="s">
        <v>50</v>
      </c>
      <c r="J1190">
        <v>17.45</v>
      </c>
      <c r="K1190" t="e">
        <f>IF(COUNTIF(#REF!,Tabela2[[#This Row],[IdxWspolny]])&gt;0,"ELEM_lub_PRD","TECHN")</f>
        <v>#REF!</v>
      </c>
      <c r="L1190" t="e">
        <f>IF(COUNTIF(#REF!,Tabela2[[#This Row],[KOD_PRODUKTU]])&gt;0,"ELEMENT","PRODUKT")</f>
        <v>#REF!</v>
      </c>
      <c r="M1190" t="e">
        <f>COUNTIF(#REF!,Tabela2[[#This Row],[KOD_PRODUKTU]])</f>
        <v>#REF!</v>
      </c>
    </row>
    <row r="1191" spans="1:14" x14ac:dyDescent="0.25">
      <c r="A1191" s="1" t="s">
        <v>2210</v>
      </c>
      <c r="B1191" t="s">
        <v>2211</v>
      </c>
      <c r="C1191" s="1" t="s">
        <v>497</v>
      </c>
      <c r="D1191" s="1" t="s">
        <v>497</v>
      </c>
      <c r="E1191" s="1" t="s">
        <v>497</v>
      </c>
      <c r="F1191" t="s">
        <v>498</v>
      </c>
      <c r="G1191" t="s">
        <v>496</v>
      </c>
      <c r="H1191" t="s">
        <v>121</v>
      </c>
      <c r="I1191" t="s">
        <v>50</v>
      </c>
      <c r="J1191">
        <v>17.45</v>
      </c>
      <c r="K1191" t="e">
        <f>IF(COUNTIF(#REF!,Tabela2[[#This Row],[IdxWspolny]])&gt;0,"ELEM_lub_PRD","TECHN")</f>
        <v>#REF!</v>
      </c>
      <c r="L1191" t="e">
        <f>IF(COUNTIF(#REF!,Tabela2[[#This Row],[KOD_PRODUKTU]])&gt;0,"ELEMENT","PRODUKT")</f>
        <v>#REF!</v>
      </c>
      <c r="M1191" t="e">
        <f>COUNTIF(#REF!,Tabela2[[#This Row],[KOD_PRODUKTU]])</f>
        <v>#REF!</v>
      </c>
    </row>
    <row r="1192" spans="1:14" x14ac:dyDescent="0.25">
      <c r="A1192" s="1" t="s">
        <v>2210</v>
      </c>
      <c r="B1192" t="s">
        <v>2211</v>
      </c>
      <c r="C1192" s="1" t="s">
        <v>499</v>
      </c>
      <c r="D1192" s="1" t="s">
        <v>499</v>
      </c>
      <c r="E1192" s="1" t="s">
        <v>499</v>
      </c>
      <c r="F1192" t="s">
        <v>500</v>
      </c>
      <c r="G1192" t="s">
        <v>501</v>
      </c>
      <c r="H1192" t="s">
        <v>121</v>
      </c>
      <c r="I1192" t="s">
        <v>50</v>
      </c>
      <c r="J1192">
        <v>4.5</v>
      </c>
      <c r="K1192" t="e">
        <f>IF(COUNTIF(#REF!,Tabela2[[#This Row],[IdxWspolny]])&gt;0,"ELEM_lub_PRD","TECHN")</f>
        <v>#REF!</v>
      </c>
      <c r="L1192" t="e">
        <f>IF(COUNTIF(#REF!,Tabela2[[#This Row],[KOD_PRODUKTU]])&gt;0,"ELEMENT","PRODUKT")</f>
        <v>#REF!</v>
      </c>
      <c r="M1192" t="e">
        <f>COUNTIF(#REF!,Tabela2[[#This Row],[KOD_PRODUKTU]])</f>
        <v>#REF!</v>
      </c>
    </row>
    <row r="1193" spans="1:14" hidden="1" x14ac:dyDescent="0.25">
      <c r="A1193" s="1" t="s">
        <v>2210</v>
      </c>
      <c r="B1193" t="s">
        <v>2211</v>
      </c>
      <c r="C1193" s="1" t="s">
        <v>502</v>
      </c>
      <c r="D1193" s="1" t="s">
        <v>502</v>
      </c>
      <c r="E1193" s="1" t="s">
        <v>502</v>
      </c>
      <c r="F1193" t="s">
        <v>503</v>
      </c>
      <c r="G1193" t="s">
        <v>31</v>
      </c>
      <c r="H1193" t="s">
        <v>121</v>
      </c>
      <c r="I1193" t="s">
        <v>50</v>
      </c>
      <c r="J1193">
        <v>10.6</v>
      </c>
      <c r="K1193" t="e">
        <f>IF(COUNTIF(#REF!,Tabela2[[#This Row],[IdxWspolny]])&gt;0,"ELEM_lub_PRD","TECHN")</f>
        <v>#REF!</v>
      </c>
      <c r="L1193" t="e">
        <f>IF(COUNTIF(#REF!,Tabela2[[#This Row],[KOD_PRODUKTU]])&gt;0,"ELEMENT","PRODUKT")</f>
        <v>#REF!</v>
      </c>
      <c r="M1193" t="e">
        <f>COUNTIF(#REF!,Tabela2[[#This Row],[KOD_PRODUKTU]])</f>
        <v>#REF!</v>
      </c>
      <c r="N1193" t="s">
        <v>55</v>
      </c>
    </row>
    <row r="1194" spans="1:14" x14ac:dyDescent="0.25">
      <c r="A1194" s="1" t="s">
        <v>2210</v>
      </c>
      <c r="B1194" t="s">
        <v>2211</v>
      </c>
      <c r="C1194" s="1" t="s">
        <v>7</v>
      </c>
      <c r="D1194" s="1" t="s">
        <v>7</v>
      </c>
      <c r="E1194" s="1" t="s">
        <v>7</v>
      </c>
      <c r="F1194" t="s">
        <v>8</v>
      </c>
      <c r="G1194" t="s">
        <v>9</v>
      </c>
      <c r="H1194" t="s">
        <v>10</v>
      </c>
      <c r="I1194" t="s">
        <v>2214</v>
      </c>
      <c r="J1194">
        <v>36.799999999999997</v>
      </c>
      <c r="K1194" t="e">
        <f>IF(COUNTIF(#REF!,Tabela2[[#This Row],[IdxWspolny]])&gt;0,"ELEM_lub_PRD","TECHN")</f>
        <v>#REF!</v>
      </c>
      <c r="L1194" t="e">
        <f>IF(COUNTIF(#REF!,Tabela2[[#This Row],[KOD_PRODUKTU]])&gt;0,"ELEMENT","PRODUKT")</f>
        <v>#REF!</v>
      </c>
      <c r="M1194" t="e">
        <f>COUNTIF(#REF!,Tabela2[[#This Row],[KOD_PRODUKTU]])</f>
        <v>#REF!</v>
      </c>
    </row>
    <row r="1195" spans="1:14" x14ac:dyDescent="0.25">
      <c r="A1195" s="1" t="s">
        <v>2215</v>
      </c>
      <c r="B1195" t="s">
        <v>2216</v>
      </c>
      <c r="C1195" s="1" t="s">
        <v>507</v>
      </c>
      <c r="D1195" s="1" t="s">
        <v>507</v>
      </c>
      <c r="E1195" s="1" t="s">
        <v>507</v>
      </c>
      <c r="F1195" t="s">
        <v>508</v>
      </c>
      <c r="G1195" t="s">
        <v>578</v>
      </c>
      <c r="H1195" t="s">
        <v>5</v>
      </c>
      <c r="I1195" t="s">
        <v>2217</v>
      </c>
      <c r="J1195">
        <v>7.14</v>
      </c>
      <c r="K1195" t="e">
        <f>IF(COUNTIF(#REF!,Tabela2[[#This Row],[IdxWspolny]])&gt;0,"ELEM_lub_PRD","TECHN")</f>
        <v>#REF!</v>
      </c>
      <c r="L1195" t="e">
        <f>IF(COUNTIF(#REF!,Tabela2[[#This Row],[KOD_PRODUKTU]])&gt;0,"ELEMENT","PRODUKT")</f>
        <v>#REF!</v>
      </c>
      <c r="M1195" t="e">
        <f>COUNTIF(#REF!,Tabela2[[#This Row],[KOD_PRODUKTU]])</f>
        <v>#REF!</v>
      </c>
    </row>
    <row r="1196" spans="1:14" x14ac:dyDescent="0.25">
      <c r="A1196" s="1" t="s">
        <v>2215</v>
      </c>
      <c r="B1196" t="s">
        <v>2216</v>
      </c>
      <c r="C1196" s="1" t="s">
        <v>511</v>
      </c>
      <c r="D1196" s="1" t="s">
        <v>511</v>
      </c>
      <c r="E1196" s="1" t="s">
        <v>511</v>
      </c>
      <c r="F1196" t="s">
        <v>512</v>
      </c>
      <c r="G1196" t="s">
        <v>2218</v>
      </c>
      <c r="H1196" t="s">
        <v>39</v>
      </c>
      <c r="I1196" t="s">
        <v>478</v>
      </c>
      <c r="J1196">
        <v>0.6</v>
      </c>
      <c r="K1196" t="e">
        <f>IF(COUNTIF(#REF!,Tabela2[[#This Row],[IdxWspolny]])&gt;0,"ELEM_lub_PRD","TECHN")</f>
        <v>#REF!</v>
      </c>
      <c r="L1196" t="e">
        <f>IF(COUNTIF(#REF!,Tabela2[[#This Row],[KOD_PRODUKTU]])&gt;0,"ELEMENT","PRODUKT")</f>
        <v>#REF!</v>
      </c>
      <c r="M1196" t="e">
        <f>COUNTIF(#REF!,Tabela2[[#This Row],[KOD_PRODUKTU]])</f>
        <v>#REF!</v>
      </c>
    </row>
    <row r="1197" spans="1:14" x14ac:dyDescent="0.25">
      <c r="A1197" s="1" t="s">
        <v>2215</v>
      </c>
      <c r="B1197" t="s">
        <v>2216</v>
      </c>
      <c r="C1197" s="1" t="s">
        <v>514</v>
      </c>
      <c r="D1197" s="1" t="s">
        <v>514</v>
      </c>
      <c r="E1197" s="1" t="s">
        <v>514</v>
      </c>
      <c r="F1197" t="s">
        <v>515</v>
      </c>
      <c r="G1197" t="s">
        <v>516</v>
      </c>
      <c r="H1197" t="s">
        <v>121</v>
      </c>
      <c r="I1197" t="s">
        <v>50</v>
      </c>
      <c r="J1197">
        <v>0.27</v>
      </c>
      <c r="K1197" t="e">
        <f>IF(COUNTIF(#REF!,Tabela2[[#This Row],[IdxWspolny]])&gt;0,"ELEM_lub_PRD","TECHN")</f>
        <v>#REF!</v>
      </c>
      <c r="L1197" t="e">
        <f>IF(COUNTIF(#REF!,Tabela2[[#This Row],[KOD_PRODUKTU]])&gt;0,"ELEMENT","PRODUKT")</f>
        <v>#REF!</v>
      </c>
      <c r="M1197" t="e">
        <f>COUNTIF(#REF!,Tabela2[[#This Row],[KOD_PRODUKTU]])</f>
        <v>#REF!</v>
      </c>
    </row>
    <row r="1198" spans="1:14" x14ac:dyDescent="0.25">
      <c r="A1198" s="1" t="s">
        <v>2215</v>
      </c>
      <c r="B1198" t="s">
        <v>2216</v>
      </c>
      <c r="C1198" s="1" t="s">
        <v>41</v>
      </c>
      <c r="D1198" s="1" t="s">
        <v>41</v>
      </c>
      <c r="E1198" s="1" t="s">
        <v>41</v>
      </c>
      <c r="F1198" t="s">
        <v>42</v>
      </c>
      <c r="G1198" t="s">
        <v>43</v>
      </c>
      <c r="H1198" t="s">
        <v>5</v>
      </c>
      <c r="I1198" t="s">
        <v>736</v>
      </c>
      <c r="J1198">
        <v>0.04</v>
      </c>
      <c r="K1198" t="e">
        <f>IF(COUNTIF(#REF!,Tabela2[[#This Row],[IdxWspolny]])&gt;0,"ELEM_lub_PRD","TECHN")</f>
        <v>#REF!</v>
      </c>
      <c r="L1198" t="e">
        <f>IF(COUNTIF(#REF!,Tabela2[[#This Row],[KOD_PRODUKTU]])&gt;0,"ELEMENT","PRODUKT")</f>
        <v>#REF!</v>
      </c>
      <c r="M1198" t="e">
        <f>COUNTIF(#REF!,Tabela2[[#This Row],[KOD_PRODUKTU]])</f>
        <v>#REF!</v>
      </c>
    </row>
    <row r="1199" spans="1:14" x14ac:dyDescent="0.25">
      <c r="A1199" s="1" t="s">
        <v>2215</v>
      </c>
      <c r="B1199" t="s">
        <v>2216</v>
      </c>
      <c r="C1199" s="1" t="s">
        <v>517</v>
      </c>
      <c r="D1199" s="1" t="s">
        <v>517</v>
      </c>
      <c r="E1199" s="1" t="s">
        <v>517</v>
      </c>
      <c r="F1199" t="s">
        <v>518</v>
      </c>
      <c r="G1199" t="s">
        <v>519</v>
      </c>
      <c r="H1199" t="s">
        <v>121</v>
      </c>
      <c r="I1199" t="s">
        <v>92</v>
      </c>
      <c r="J1199">
        <v>11.1</v>
      </c>
      <c r="K1199" t="e">
        <f>IF(COUNTIF(#REF!,Tabela2[[#This Row],[IdxWspolny]])&gt;0,"ELEM_lub_PRD","TECHN")</f>
        <v>#REF!</v>
      </c>
      <c r="L1199" t="e">
        <f>IF(COUNTIF(#REF!,Tabela2[[#This Row],[KOD_PRODUKTU]])&gt;0,"ELEMENT","PRODUKT")</f>
        <v>#REF!</v>
      </c>
      <c r="M1199" t="e">
        <f>COUNTIF(#REF!,Tabela2[[#This Row],[KOD_PRODUKTU]])</f>
        <v>#REF!</v>
      </c>
    </row>
    <row r="1200" spans="1:14" x14ac:dyDescent="0.25">
      <c r="A1200" s="1" t="s">
        <v>2215</v>
      </c>
      <c r="B1200" t="s">
        <v>2216</v>
      </c>
      <c r="C1200" s="1" t="s">
        <v>520</v>
      </c>
      <c r="D1200" s="1" t="s">
        <v>520</v>
      </c>
      <c r="E1200" s="1" t="s">
        <v>520</v>
      </c>
      <c r="F1200" t="s">
        <v>521</v>
      </c>
      <c r="G1200" t="s">
        <v>522</v>
      </c>
      <c r="H1200" t="s">
        <v>121</v>
      </c>
      <c r="I1200" t="s">
        <v>50</v>
      </c>
      <c r="J1200">
        <v>3.45</v>
      </c>
      <c r="K1200" t="e">
        <f>IF(COUNTIF(#REF!,Tabela2[[#This Row],[IdxWspolny]])&gt;0,"ELEM_lub_PRD","TECHN")</f>
        <v>#REF!</v>
      </c>
      <c r="L1200" t="e">
        <f>IF(COUNTIF(#REF!,Tabela2[[#This Row],[KOD_PRODUKTU]])&gt;0,"ELEMENT","PRODUKT")</f>
        <v>#REF!</v>
      </c>
      <c r="M1200" t="e">
        <f>COUNTIF(#REF!,Tabela2[[#This Row],[KOD_PRODUKTU]])</f>
        <v>#REF!</v>
      </c>
    </row>
    <row r="1201" spans="1:14" x14ac:dyDescent="0.25">
      <c r="A1201" s="1" t="s">
        <v>2215</v>
      </c>
      <c r="B1201" t="s">
        <v>2216</v>
      </c>
      <c r="C1201" s="1" t="s">
        <v>7</v>
      </c>
      <c r="D1201" s="1" t="s">
        <v>7</v>
      </c>
      <c r="E1201" s="1" t="s">
        <v>7</v>
      </c>
      <c r="F1201" t="s">
        <v>8</v>
      </c>
      <c r="G1201" t="s">
        <v>9</v>
      </c>
      <c r="H1201" t="s">
        <v>10</v>
      </c>
      <c r="I1201" t="s">
        <v>690</v>
      </c>
      <c r="J1201">
        <v>20.7</v>
      </c>
      <c r="K1201" t="e">
        <f>IF(COUNTIF(#REF!,Tabela2[[#This Row],[IdxWspolny]])&gt;0,"ELEM_lub_PRD","TECHN")</f>
        <v>#REF!</v>
      </c>
      <c r="L1201" t="e">
        <f>IF(COUNTIF(#REF!,Tabela2[[#This Row],[KOD_PRODUKTU]])&gt;0,"ELEMENT","PRODUKT")</f>
        <v>#REF!</v>
      </c>
      <c r="M1201" t="e">
        <f>COUNTIF(#REF!,Tabela2[[#This Row],[KOD_PRODUKTU]])</f>
        <v>#REF!</v>
      </c>
    </row>
    <row r="1202" spans="1:14" x14ac:dyDescent="0.25">
      <c r="A1202" s="1" t="s">
        <v>2219</v>
      </c>
      <c r="B1202" t="s">
        <v>2220</v>
      </c>
      <c r="C1202" s="1" t="s">
        <v>471</v>
      </c>
      <c r="D1202" s="1" t="s">
        <v>471</v>
      </c>
      <c r="E1202" s="1" t="s">
        <v>471</v>
      </c>
      <c r="F1202" t="s">
        <v>472</v>
      </c>
      <c r="G1202" t="s">
        <v>473</v>
      </c>
      <c r="H1202" t="s">
        <v>5</v>
      </c>
      <c r="I1202" t="s">
        <v>2221</v>
      </c>
      <c r="J1202">
        <v>29</v>
      </c>
      <c r="K1202" t="e">
        <f>IF(COUNTIF(#REF!,Tabela2[[#This Row],[IdxWspolny]])&gt;0,"ELEM_lub_PRD","TECHN")</f>
        <v>#REF!</v>
      </c>
      <c r="L1202" t="e">
        <f>IF(COUNTIF(#REF!,Tabela2[[#This Row],[KOD_PRODUKTU]])&gt;0,"ELEMENT","PRODUKT")</f>
        <v>#REF!</v>
      </c>
      <c r="M1202" t="e">
        <f>COUNTIF(#REF!,Tabela2[[#This Row],[KOD_PRODUKTU]])</f>
        <v>#REF!</v>
      </c>
    </row>
    <row r="1203" spans="1:14" x14ac:dyDescent="0.25">
      <c r="A1203" s="1" t="s">
        <v>2219</v>
      </c>
      <c r="B1203" t="s">
        <v>2220</v>
      </c>
      <c r="C1203" s="1" t="s">
        <v>475</v>
      </c>
      <c r="D1203" s="1" t="s">
        <v>475</v>
      </c>
      <c r="E1203" s="1" t="s">
        <v>475</v>
      </c>
      <c r="F1203" t="s">
        <v>476</v>
      </c>
      <c r="G1203" t="s">
        <v>477</v>
      </c>
      <c r="H1203" t="s">
        <v>39</v>
      </c>
      <c r="I1203" t="s">
        <v>478</v>
      </c>
      <c r="J1203">
        <v>0.41</v>
      </c>
      <c r="K1203" t="e">
        <f>IF(COUNTIF(#REF!,Tabela2[[#This Row],[IdxWspolny]])&gt;0,"ELEM_lub_PRD","TECHN")</f>
        <v>#REF!</v>
      </c>
      <c r="L1203" t="e">
        <f>IF(COUNTIF(#REF!,Tabela2[[#This Row],[KOD_PRODUKTU]])&gt;0,"ELEMENT","PRODUKT")</f>
        <v>#REF!</v>
      </c>
      <c r="M1203" t="e">
        <f>COUNTIF(#REF!,Tabela2[[#This Row],[KOD_PRODUKTU]])</f>
        <v>#REF!</v>
      </c>
    </row>
    <row r="1204" spans="1:14" x14ac:dyDescent="0.25">
      <c r="A1204" s="1" t="s">
        <v>2219</v>
      </c>
      <c r="B1204" t="s">
        <v>2220</v>
      </c>
      <c r="C1204" s="1" t="s">
        <v>479</v>
      </c>
      <c r="D1204" s="1" t="s">
        <v>479</v>
      </c>
      <c r="E1204" s="1" t="s">
        <v>479</v>
      </c>
      <c r="F1204" t="s">
        <v>480</v>
      </c>
      <c r="G1204" t="s">
        <v>481</v>
      </c>
      <c r="H1204" t="s">
        <v>5</v>
      </c>
      <c r="I1204" t="s">
        <v>534</v>
      </c>
      <c r="J1204">
        <v>0.05</v>
      </c>
      <c r="K1204" t="e">
        <f>IF(COUNTIF(#REF!,Tabela2[[#This Row],[IdxWspolny]])&gt;0,"ELEM_lub_PRD","TECHN")</f>
        <v>#REF!</v>
      </c>
      <c r="L1204" t="e">
        <f>IF(COUNTIF(#REF!,Tabela2[[#This Row],[KOD_PRODUKTU]])&gt;0,"ELEMENT","PRODUKT")</f>
        <v>#REF!</v>
      </c>
      <c r="M1204" t="e">
        <f>COUNTIF(#REF!,Tabela2[[#This Row],[KOD_PRODUKTU]])</f>
        <v>#REF!</v>
      </c>
    </row>
    <row r="1205" spans="1:14" x14ac:dyDescent="0.25">
      <c r="A1205" s="1" t="s">
        <v>2219</v>
      </c>
      <c r="B1205" t="s">
        <v>2220</v>
      </c>
      <c r="C1205" s="1" t="s">
        <v>483</v>
      </c>
      <c r="D1205" s="1" t="s">
        <v>483</v>
      </c>
      <c r="E1205" s="1" t="s">
        <v>483</v>
      </c>
      <c r="F1205" t="s">
        <v>484</v>
      </c>
      <c r="G1205" t="s">
        <v>485</v>
      </c>
      <c r="H1205" t="s">
        <v>5</v>
      </c>
      <c r="I1205" t="s">
        <v>573</v>
      </c>
      <c r="J1205">
        <v>0.01</v>
      </c>
      <c r="K1205" t="e">
        <f>IF(COUNTIF(#REF!,Tabela2[[#This Row],[IdxWspolny]])&gt;0,"ELEM_lub_PRD","TECHN")</f>
        <v>#REF!</v>
      </c>
      <c r="L1205" t="e">
        <f>IF(COUNTIF(#REF!,Tabela2[[#This Row],[KOD_PRODUKTU]])&gt;0,"ELEMENT","PRODUKT")</f>
        <v>#REF!</v>
      </c>
      <c r="M1205" t="e">
        <f>COUNTIF(#REF!,Tabela2[[#This Row],[KOD_PRODUKTU]])</f>
        <v>#REF!</v>
      </c>
    </row>
    <row r="1206" spans="1:14" x14ac:dyDescent="0.25">
      <c r="A1206" s="1" t="s">
        <v>2219</v>
      </c>
      <c r="B1206" t="s">
        <v>2220</v>
      </c>
      <c r="C1206" s="1" t="s">
        <v>487</v>
      </c>
      <c r="D1206" s="1" t="s">
        <v>487</v>
      </c>
      <c r="E1206" s="1" t="s">
        <v>487</v>
      </c>
      <c r="F1206" t="s">
        <v>488</v>
      </c>
      <c r="G1206" t="s">
        <v>489</v>
      </c>
      <c r="H1206" t="s">
        <v>5</v>
      </c>
      <c r="I1206" t="s">
        <v>2222</v>
      </c>
      <c r="J1206">
        <v>0.32</v>
      </c>
      <c r="K1206" t="e">
        <f>IF(COUNTIF(#REF!,Tabela2[[#This Row],[IdxWspolny]])&gt;0,"ELEM_lub_PRD","TECHN")</f>
        <v>#REF!</v>
      </c>
      <c r="L1206" t="e">
        <f>IF(COUNTIF(#REF!,Tabela2[[#This Row],[KOD_PRODUKTU]])&gt;0,"ELEMENT","PRODUKT")</f>
        <v>#REF!</v>
      </c>
      <c r="M1206" t="e">
        <f>COUNTIF(#REF!,Tabela2[[#This Row],[KOD_PRODUKTU]])</f>
        <v>#REF!</v>
      </c>
    </row>
    <row r="1207" spans="1:14" x14ac:dyDescent="0.25">
      <c r="A1207" s="1" t="s">
        <v>2219</v>
      </c>
      <c r="B1207" t="s">
        <v>2220</v>
      </c>
      <c r="C1207" s="1" t="s">
        <v>41</v>
      </c>
      <c r="D1207" s="1" t="s">
        <v>41</v>
      </c>
      <c r="E1207" s="1" t="s">
        <v>41</v>
      </c>
      <c r="F1207" t="s">
        <v>42</v>
      </c>
      <c r="G1207" t="s">
        <v>43</v>
      </c>
      <c r="H1207" t="s">
        <v>5</v>
      </c>
      <c r="I1207" t="s">
        <v>227</v>
      </c>
      <c r="J1207">
        <v>0.01</v>
      </c>
      <c r="K1207" t="e">
        <f>IF(COUNTIF(#REF!,Tabela2[[#This Row],[IdxWspolny]])&gt;0,"ELEM_lub_PRD","TECHN")</f>
        <v>#REF!</v>
      </c>
      <c r="L1207" t="e">
        <f>IF(COUNTIF(#REF!,Tabela2[[#This Row],[KOD_PRODUKTU]])&gt;0,"ELEMENT","PRODUKT")</f>
        <v>#REF!</v>
      </c>
      <c r="M1207" t="e">
        <f>COUNTIF(#REF!,Tabela2[[#This Row],[KOD_PRODUKTU]])</f>
        <v>#REF!</v>
      </c>
    </row>
    <row r="1208" spans="1:14" x14ac:dyDescent="0.25">
      <c r="A1208" s="1" t="s">
        <v>2219</v>
      </c>
      <c r="B1208" t="s">
        <v>2220</v>
      </c>
      <c r="C1208" s="1" t="s">
        <v>491</v>
      </c>
      <c r="D1208" s="1" t="s">
        <v>491</v>
      </c>
      <c r="E1208" s="1" t="s">
        <v>491</v>
      </c>
      <c r="F1208" t="s">
        <v>492</v>
      </c>
      <c r="G1208" t="s">
        <v>493</v>
      </c>
      <c r="H1208" t="s">
        <v>121</v>
      </c>
      <c r="I1208" t="s">
        <v>92</v>
      </c>
      <c r="J1208">
        <v>13.7</v>
      </c>
      <c r="K1208" t="e">
        <f>IF(COUNTIF(#REF!,Tabela2[[#This Row],[IdxWspolny]])&gt;0,"ELEM_lub_PRD","TECHN")</f>
        <v>#REF!</v>
      </c>
      <c r="L1208" t="e">
        <f>IF(COUNTIF(#REF!,Tabela2[[#This Row],[KOD_PRODUKTU]])&gt;0,"ELEMENT","PRODUKT")</f>
        <v>#REF!</v>
      </c>
      <c r="M1208" t="e">
        <f>COUNTIF(#REF!,Tabela2[[#This Row],[KOD_PRODUKTU]])</f>
        <v>#REF!</v>
      </c>
    </row>
    <row r="1209" spans="1:14" x14ac:dyDescent="0.25">
      <c r="A1209" s="1" t="s">
        <v>2219</v>
      </c>
      <c r="B1209" t="s">
        <v>2220</v>
      </c>
      <c r="C1209" s="1" t="s">
        <v>494</v>
      </c>
      <c r="D1209" s="1" t="s">
        <v>494</v>
      </c>
      <c r="E1209" s="1" t="s">
        <v>494</v>
      </c>
      <c r="F1209" t="s">
        <v>495</v>
      </c>
      <c r="G1209" t="s">
        <v>496</v>
      </c>
      <c r="H1209" t="s">
        <v>121</v>
      </c>
      <c r="I1209" t="s">
        <v>50</v>
      </c>
      <c r="J1209">
        <v>17.45</v>
      </c>
      <c r="K1209" t="e">
        <f>IF(COUNTIF(#REF!,Tabela2[[#This Row],[IdxWspolny]])&gt;0,"ELEM_lub_PRD","TECHN")</f>
        <v>#REF!</v>
      </c>
      <c r="L1209" t="e">
        <f>IF(COUNTIF(#REF!,Tabela2[[#This Row],[KOD_PRODUKTU]])&gt;0,"ELEMENT","PRODUKT")</f>
        <v>#REF!</v>
      </c>
      <c r="M1209" t="e">
        <f>COUNTIF(#REF!,Tabela2[[#This Row],[KOD_PRODUKTU]])</f>
        <v>#REF!</v>
      </c>
    </row>
    <row r="1210" spans="1:14" x14ac:dyDescent="0.25">
      <c r="A1210" s="1" t="s">
        <v>2219</v>
      </c>
      <c r="B1210" t="s">
        <v>2220</v>
      </c>
      <c r="C1210" s="1" t="s">
        <v>497</v>
      </c>
      <c r="D1210" s="1" t="s">
        <v>497</v>
      </c>
      <c r="E1210" s="1" t="s">
        <v>497</v>
      </c>
      <c r="F1210" t="s">
        <v>498</v>
      </c>
      <c r="G1210" t="s">
        <v>496</v>
      </c>
      <c r="H1210" t="s">
        <v>121</v>
      </c>
      <c r="I1210" t="s">
        <v>50</v>
      </c>
      <c r="J1210">
        <v>17.45</v>
      </c>
      <c r="K1210" t="e">
        <f>IF(COUNTIF(#REF!,Tabela2[[#This Row],[IdxWspolny]])&gt;0,"ELEM_lub_PRD","TECHN")</f>
        <v>#REF!</v>
      </c>
      <c r="L1210" t="e">
        <f>IF(COUNTIF(#REF!,Tabela2[[#This Row],[KOD_PRODUKTU]])&gt;0,"ELEMENT","PRODUKT")</f>
        <v>#REF!</v>
      </c>
      <c r="M1210" t="e">
        <f>COUNTIF(#REF!,Tabela2[[#This Row],[KOD_PRODUKTU]])</f>
        <v>#REF!</v>
      </c>
    </row>
    <row r="1211" spans="1:14" x14ac:dyDescent="0.25">
      <c r="A1211" s="1" t="s">
        <v>2219</v>
      </c>
      <c r="B1211" t="s">
        <v>2220</v>
      </c>
      <c r="C1211" s="1" t="s">
        <v>499</v>
      </c>
      <c r="D1211" s="1" t="s">
        <v>499</v>
      </c>
      <c r="E1211" s="1" t="s">
        <v>499</v>
      </c>
      <c r="F1211" t="s">
        <v>500</v>
      </c>
      <c r="G1211" t="s">
        <v>501</v>
      </c>
      <c r="H1211" t="s">
        <v>121</v>
      </c>
      <c r="I1211" t="s">
        <v>50</v>
      </c>
      <c r="J1211">
        <v>4.5</v>
      </c>
      <c r="K1211" t="e">
        <f>IF(COUNTIF(#REF!,Tabela2[[#This Row],[IdxWspolny]])&gt;0,"ELEM_lub_PRD","TECHN")</f>
        <v>#REF!</v>
      </c>
      <c r="L1211" t="e">
        <f>IF(COUNTIF(#REF!,Tabela2[[#This Row],[KOD_PRODUKTU]])&gt;0,"ELEMENT","PRODUKT")</f>
        <v>#REF!</v>
      </c>
      <c r="M1211" t="e">
        <f>COUNTIF(#REF!,Tabela2[[#This Row],[KOD_PRODUKTU]])</f>
        <v>#REF!</v>
      </c>
    </row>
    <row r="1212" spans="1:14" hidden="1" x14ac:dyDescent="0.25">
      <c r="A1212" s="1" t="s">
        <v>2219</v>
      </c>
      <c r="B1212" t="s">
        <v>2220</v>
      </c>
      <c r="C1212" s="1" t="s">
        <v>502</v>
      </c>
      <c r="D1212" s="1" t="s">
        <v>502</v>
      </c>
      <c r="E1212" s="1" t="s">
        <v>502</v>
      </c>
      <c r="F1212" t="s">
        <v>503</v>
      </c>
      <c r="G1212" t="s">
        <v>31</v>
      </c>
      <c r="H1212" t="s">
        <v>121</v>
      </c>
      <c r="I1212" t="s">
        <v>50</v>
      </c>
      <c r="J1212">
        <v>10.6</v>
      </c>
      <c r="K1212" t="e">
        <f>IF(COUNTIF(#REF!,Tabela2[[#This Row],[IdxWspolny]])&gt;0,"ELEM_lub_PRD","TECHN")</f>
        <v>#REF!</v>
      </c>
      <c r="L1212" t="e">
        <f>IF(COUNTIF(#REF!,Tabela2[[#This Row],[KOD_PRODUKTU]])&gt;0,"ELEMENT","PRODUKT")</f>
        <v>#REF!</v>
      </c>
      <c r="M1212" t="e">
        <f>COUNTIF(#REF!,Tabela2[[#This Row],[KOD_PRODUKTU]])</f>
        <v>#REF!</v>
      </c>
      <c r="N1212" t="s">
        <v>55</v>
      </c>
    </row>
    <row r="1213" spans="1:14" x14ac:dyDescent="0.25">
      <c r="A1213" s="1" t="s">
        <v>2219</v>
      </c>
      <c r="B1213" t="s">
        <v>2220</v>
      </c>
      <c r="C1213" s="1" t="s">
        <v>7</v>
      </c>
      <c r="D1213" s="1" t="s">
        <v>7</v>
      </c>
      <c r="E1213" s="1" t="s">
        <v>7</v>
      </c>
      <c r="F1213" t="s">
        <v>8</v>
      </c>
      <c r="G1213" t="s">
        <v>9</v>
      </c>
      <c r="H1213" t="s">
        <v>10</v>
      </c>
      <c r="I1213" t="s">
        <v>2223</v>
      </c>
      <c r="J1213">
        <v>78.599999999999994</v>
      </c>
      <c r="K1213" t="e">
        <f>IF(COUNTIF(#REF!,Tabela2[[#This Row],[IdxWspolny]])&gt;0,"ELEM_lub_PRD","TECHN")</f>
        <v>#REF!</v>
      </c>
      <c r="L1213" t="e">
        <f>IF(COUNTIF(#REF!,Tabela2[[#This Row],[KOD_PRODUKTU]])&gt;0,"ELEMENT","PRODUKT")</f>
        <v>#REF!</v>
      </c>
      <c r="M1213" t="e">
        <f>COUNTIF(#REF!,Tabela2[[#This Row],[KOD_PRODUKTU]])</f>
        <v>#REF!</v>
      </c>
    </row>
    <row r="1214" spans="1:14" x14ac:dyDescent="0.25">
      <c r="A1214" s="1" t="s">
        <v>2224</v>
      </c>
      <c r="B1214" t="s">
        <v>2225</v>
      </c>
      <c r="C1214" s="1" t="s">
        <v>507</v>
      </c>
      <c r="D1214" s="1" t="s">
        <v>507</v>
      </c>
      <c r="E1214" s="1" t="s">
        <v>507</v>
      </c>
      <c r="F1214" t="s">
        <v>508</v>
      </c>
      <c r="G1214" t="s">
        <v>509</v>
      </c>
      <c r="H1214" t="s">
        <v>5</v>
      </c>
      <c r="I1214" t="s">
        <v>2226</v>
      </c>
      <c r="J1214">
        <v>6.85</v>
      </c>
      <c r="K1214" t="e">
        <f>IF(COUNTIF(#REF!,Tabela2[[#This Row],[IdxWspolny]])&gt;0,"ELEM_lub_PRD","TECHN")</f>
        <v>#REF!</v>
      </c>
      <c r="L1214" t="e">
        <f>IF(COUNTIF(#REF!,Tabela2[[#This Row],[KOD_PRODUKTU]])&gt;0,"ELEMENT","PRODUKT")</f>
        <v>#REF!</v>
      </c>
      <c r="M1214" t="e">
        <f>COUNTIF(#REF!,Tabela2[[#This Row],[KOD_PRODUKTU]])</f>
        <v>#REF!</v>
      </c>
    </row>
    <row r="1215" spans="1:14" x14ac:dyDescent="0.25">
      <c r="A1215" s="1" t="s">
        <v>2224</v>
      </c>
      <c r="B1215" t="s">
        <v>2225</v>
      </c>
      <c r="C1215" s="1" t="s">
        <v>511</v>
      </c>
      <c r="D1215" s="1" t="s">
        <v>511</v>
      </c>
      <c r="E1215" s="1" t="s">
        <v>511</v>
      </c>
      <c r="F1215" t="s">
        <v>512</v>
      </c>
      <c r="G1215" t="s">
        <v>513</v>
      </c>
      <c r="H1215" t="s">
        <v>39</v>
      </c>
      <c r="I1215" t="s">
        <v>1425</v>
      </c>
      <c r="J1215">
        <v>0.5</v>
      </c>
      <c r="K1215" t="e">
        <f>IF(COUNTIF(#REF!,Tabela2[[#This Row],[IdxWspolny]])&gt;0,"ELEM_lub_PRD","TECHN")</f>
        <v>#REF!</v>
      </c>
      <c r="L1215" t="e">
        <f>IF(COUNTIF(#REF!,Tabela2[[#This Row],[KOD_PRODUKTU]])&gt;0,"ELEMENT","PRODUKT")</f>
        <v>#REF!</v>
      </c>
      <c r="M1215" t="e">
        <f>COUNTIF(#REF!,Tabela2[[#This Row],[KOD_PRODUKTU]])</f>
        <v>#REF!</v>
      </c>
    </row>
    <row r="1216" spans="1:14" x14ac:dyDescent="0.25">
      <c r="A1216" s="1" t="s">
        <v>2224</v>
      </c>
      <c r="B1216" t="s">
        <v>2225</v>
      </c>
      <c r="C1216" s="1" t="s">
        <v>514</v>
      </c>
      <c r="D1216" s="1" t="s">
        <v>514</v>
      </c>
      <c r="E1216" s="1" t="s">
        <v>514</v>
      </c>
      <c r="F1216" t="s">
        <v>515</v>
      </c>
      <c r="G1216" t="s">
        <v>516</v>
      </c>
      <c r="H1216" t="s">
        <v>121</v>
      </c>
      <c r="I1216" t="s">
        <v>50</v>
      </c>
      <c r="J1216">
        <v>0.27</v>
      </c>
      <c r="K1216" t="e">
        <f>IF(COUNTIF(#REF!,Tabela2[[#This Row],[IdxWspolny]])&gt;0,"ELEM_lub_PRD","TECHN")</f>
        <v>#REF!</v>
      </c>
      <c r="L1216" t="e">
        <f>IF(COUNTIF(#REF!,Tabela2[[#This Row],[KOD_PRODUKTU]])&gt;0,"ELEMENT","PRODUKT")</f>
        <v>#REF!</v>
      </c>
      <c r="M1216" t="e">
        <f>COUNTIF(#REF!,Tabela2[[#This Row],[KOD_PRODUKTU]])</f>
        <v>#REF!</v>
      </c>
    </row>
    <row r="1217" spans="1:14" x14ac:dyDescent="0.25">
      <c r="A1217" s="1" t="s">
        <v>2224</v>
      </c>
      <c r="B1217" t="s">
        <v>2225</v>
      </c>
      <c r="C1217" s="1" t="s">
        <v>41</v>
      </c>
      <c r="D1217" s="1" t="s">
        <v>41</v>
      </c>
      <c r="E1217" s="1" t="s">
        <v>41</v>
      </c>
      <c r="F1217" t="s">
        <v>42</v>
      </c>
      <c r="G1217" t="s">
        <v>43</v>
      </c>
      <c r="H1217" t="s">
        <v>5</v>
      </c>
      <c r="I1217" t="s">
        <v>1900</v>
      </c>
      <c r="J1217">
        <v>0.03</v>
      </c>
      <c r="K1217" t="e">
        <f>IF(COUNTIF(#REF!,Tabela2[[#This Row],[IdxWspolny]])&gt;0,"ELEM_lub_PRD","TECHN")</f>
        <v>#REF!</v>
      </c>
      <c r="L1217" t="e">
        <f>IF(COUNTIF(#REF!,Tabela2[[#This Row],[KOD_PRODUKTU]])&gt;0,"ELEMENT","PRODUKT")</f>
        <v>#REF!</v>
      </c>
      <c r="M1217" t="e">
        <f>COUNTIF(#REF!,Tabela2[[#This Row],[KOD_PRODUKTU]])</f>
        <v>#REF!</v>
      </c>
    </row>
    <row r="1218" spans="1:14" x14ac:dyDescent="0.25">
      <c r="A1218" s="1" t="s">
        <v>2224</v>
      </c>
      <c r="B1218" t="s">
        <v>2225</v>
      </c>
      <c r="C1218" s="1" t="s">
        <v>517</v>
      </c>
      <c r="D1218" s="1" t="s">
        <v>517</v>
      </c>
      <c r="E1218" s="1" t="s">
        <v>517</v>
      </c>
      <c r="F1218" t="s">
        <v>518</v>
      </c>
      <c r="G1218" t="s">
        <v>519</v>
      </c>
      <c r="H1218" t="s">
        <v>121</v>
      </c>
      <c r="I1218" t="s">
        <v>92</v>
      </c>
      <c r="J1218">
        <v>11.1</v>
      </c>
      <c r="K1218" t="e">
        <f>IF(COUNTIF(#REF!,Tabela2[[#This Row],[IdxWspolny]])&gt;0,"ELEM_lub_PRD","TECHN")</f>
        <v>#REF!</v>
      </c>
      <c r="L1218" t="e">
        <f>IF(COUNTIF(#REF!,Tabela2[[#This Row],[KOD_PRODUKTU]])&gt;0,"ELEMENT","PRODUKT")</f>
        <v>#REF!</v>
      </c>
      <c r="M1218" t="e">
        <f>COUNTIF(#REF!,Tabela2[[#This Row],[KOD_PRODUKTU]])</f>
        <v>#REF!</v>
      </c>
    </row>
    <row r="1219" spans="1:14" x14ac:dyDescent="0.25">
      <c r="A1219" s="1" t="s">
        <v>2224</v>
      </c>
      <c r="B1219" t="s">
        <v>2225</v>
      </c>
      <c r="C1219" s="1" t="s">
        <v>520</v>
      </c>
      <c r="D1219" s="1" t="s">
        <v>520</v>
      </c>
      <c r="E1219" s="1" t="s">
        <v>520</v>
      </c>
      <c r="F1219" t="s">
        <v>521</v>
      </c>
      <c r="G1219" t="s">
        <v>522</v>
      </c>
      <c r="H1219" t="s">
        <v>121</v>
      </c>
      <c r="I1219" t="s">
        <v>50</v>
      </c>
      <c r="J1219">
        <v>3.45</v>
      </c>
      <c r="K1219" t="e">
        <f>IF(COUNTIF(#REF!,Tabela2[[#This Row],[IdxWspolny]])&gt;0,"ELEM_lub_PRD","TECHN")</f>
        <v>#REF!</v>
      </c>
      <c r="L1219" t="e">
        <f>IF(COUNTIF(#REF!,Tabela2[[#This Row],[KOD_PRODUKTU]])&gt;0,"ELEMENT","PRODUKT")</f>
        <v>#REF!</v>
      </c>
      <c r="M1219" t="e">
        <f>COUNTIF(#REF!,Tabela2[[#This Row],[KOD_PRODUKTU]])</f>
        <v>#REF!</v>
      </c>
    </row>
    <row r="1220" spans="1:14" x14ac:dyDescent="0.25">
      <c r="A1220" s="1" t="s">
        <v>2224</v>
      </c>
      <c r="B1220" t="s">
        <v>2225</v>
      </c>
      <c r="C1220" s="1" t="s">
        <v>7</v>
      </c>
      <c r="D1220" s="1" t="s">
        <v>7</v>
      </c>
      <c r="E1220" s="1" t="s">
        <v>7</v>
      </c>
      <c r="F1220" t="s">
        <v>8</v>
      </c>
      <c r="G1220" t="s">
        <v>9</v>
      </c>
      <c r="H1220" t="s">
        <v>10</v>
      </c>
      <c r="I1220" t="s">
        <v>504</v>
      </c>
      <c r="J1220">
        <v>32</v>
      </c>
      <c r="K1220" t="e">
        <f>IF(COUNTIF(#REF!,Tabela2[[#This Row],[IdxWspolny]])&gt;0,"ELEM_lub_PRD","TECHN")</f>
        <v>#REF!</v>
      </c>
      <c r="L1220" t="e">
        <f>IF(COUNTIF(#REF!,Tabela2[[#This Row],[KOD_PRODUKTU]])&gt;0,"ELEMENT","PRODUKT")</f>
        <v>#REF!</v>
      </c>
      <c r="M1220" t="e">
        <f>COUNTIF(#REF!,Tabela2[[#This Row],[KOD_PRODUKTU]])</f>
        <v>#REF!</v>
      </c>
    </row>
    <row r="1221" spans="1:14" x14ac:dyDescent="0.25">
      <c r="A1221" s="1" t="s">
        <v>2227</v>
      </c>
      <c r="B1221" t="s">
        <v>2228</v>
      </c>
      <c r="C1221" s="1" t="s">
        <v>471</v>
      </c>
      <c r="D1221" s="1" t="s">
        <v>471</v>
      </c>
      <c r="E1221" s="1" t="s">
        <v>471</v>
      </c>
      <c r="F1221" t="s">
        <v>472</v>
      </c>
      <c r="G1221" t="s">
        <v>473</v>
      </c>
      <c r="H1221" t="s">
        <v>5</v>
      </c>
      <c r="I1221" t="s">
        <v>2229</v>
      </c>
      <c r="J1221">
        <v>22.7</v>
      </c>
      <c r="K1221" t="e">
        <f>IF(COUNTIF(#REF!,Tabela2[[#This Row],[IdxWspolny]])&gt;0,"ELEM_lub_PRD","TECHN")</f>
        <v>#REF!</v>
      </c>
      <c r="L1221" t="e">
        <f>IF(COUNTIF(#REF!,Tabela2[[#This Row],[KOD_PRODUKTU]])&gt;0,"ELEMENT","PRODUKT")</f>
        <v>#REF!</v>
      </c>
      <c r="M1221" t="e">
        <f>COUNTIF(#REF!,Tabela2[[#This Row],[KOD_PRODUKTU]])</f>
        <v>#REF!</v>
      </c>
    </row>
    <row r="1222" spans="1:14" x14ac:dyDescent="0.25">
      <c r="A1222" s="1" t="s">
        <v>2227</v>
      </c>
      <c r="B1222" t="s">
        <v>2228</v>
      </c>
      <c r="C1222" s="1" t="s">
        <v>475</v>
      </c>
      <c r="D1222" s="1" t="s">
        <v>475</v>
      </c>
      <c r="E1222" s="1" t="s">
        <v>475</v>
      </c>
      <c r="F1222" t="s">
        <v>476</v>
      </c>
      <c r="G1222" t="s">
        <v>477</v>
      </c>
      <c r="H1222" t="s">
        <v>39</v>
      </c>
      <c r="I1222" t="s">
        <v>478</v>
      </c>
      <c r="J1222">
        <v>0.41</v>
      </c>
      <c r="K1222" t="e">
        <f>IF(COUNTIF(#REF!,Tabela2[[#This Row],[IdxWspolny]])&gt;0,"ELEM_lub_PRD","TECHN")</f>
        <v>#REF!</v>
      </c>
      <c r="L1222" t="e">
        <f>IF(COUNTIF(#REF!,Tabela2[[#This Row],[KOD_PRODUKTU]])&gt;0,"ELEMENT","PRODUKT")</f>
        <v>#REF!</v>
      </c>
      <c r="M1222" t="e">
        <f>COUNTIF(#REF!,Tabela2[[#This Row],[KOD_PRODUKTU]])</f>
        <v>#REF!</v>
      </c>
    </row>
    <row r="1223" spans="1:14" x14ac:dyDescent="0.25">
      <c r="A1223" s="1" t="s">
        <v>2227</v>
      </c>
      <c r="B1223" t="s">
        <v>2228</v>
      </c>
      <c r="C1223" s="1" t="s">
        <v>479</v>
      </c>
      <c r="D1223" s="1" t="s">
        <v>479</v>
      </c>
      <c r="E1223" s="1" t="s">
        <v>479</v>
      </c>
      <c r="F1223" t="s">
        <v>480</v>
      </c>
      <c r="G1223" t="s">
        <v>481</v>
      </c>
      <c r="H1223" t="s">
        <v>5</v>
      </c>
      <c r="I1223" t="s">
        <v>572</v>
      </c>
      <c r="J1223">
        <v>0.04</v>
      </c>
      <c r="K1223" t="e">
        <f>IF(COUNTIF(#REF!,Tabela2[[#This Row],[IdxWspolny]])&gt;0,"ELEM_lub_PRD","TECHN")</f>
        <v>#REF!</v>
      </c>
      <c r="L1223" t="e">
        <f>IF(COUNTIF(#REF!,Tabela2[[#This Row],[KOD_PRODUKTU]])&gt;0,"ELEMENT","PRODUKT")</f>
        <v>#REF!</v>
      </c>
      <c r="M1223" t="e">
        <f>COUNTIF(#REF!,Tabela2[[#This Row],[KOD_PRODUKTU]])</f>
        <v>#REF!</v>
      </c>
    </row>
    <row r="1224" spans="1:14" x14ac:dyDescent="0.25">
      <c r="A1224" s="1" t="s">
        <v>2227</v>
      </c>
      <c r="B1224" t="s">
        <v>2228</v>
      </c>
      <c r="C1224" s="1" t="s">
        <v>483</v>
      </c>
      <c r="D1224" s="1" t="s">
        <v>483</v>
      </c>
      <c r="E1224" s="1" t="s">
        <v>483</v>
      </c>
      <c r="F1224" t="s">
        <v>484</v>
      </c>
      <c r="G1224" t="s">
        <v>485</v>
      </c>
      <c r="H1224" t="s">
        <v>5</v>
      </c>
      <c r="I1224" t="s">
        <v>528</v>
      </c>
      <c r="J1224">
        <v>0.02</v>
      </c>
      <c r="K1224" t="e">
        <f>IF(COUNTIF(#REF!,Tabela2[[#This Row],[IdxWspolny]])&gt;0,"ELEM_lub_PRD","TECHN")</f>
        <v>#REF!</v>
      </c>
      <c r="L1224" t="e">
        <f>IF(COUNTIF(#REF!,Tabela2[[#This Row],[KOD_PRODUKTU]])&gt;0,"ELEMENT","PRODUKT")</f>
        <v>#REF!</v>
      </c>
      <c r="M1224" t="e">
        <f>COUNTIF(#REF!,Tabela2[[#This Row],[KOD_PRODUKTU]])</f>
        <v>#REF!</v>
      </c>
    </row>
    <row r="1225" spans="1:14" x14ac:dyDescent="0.25">
      <c r="A1225" s="1" t="s">
        <v>2227</v>
      </c>
      <c r="B1225" t="s">
        <v>2228</v>
      </c>
      <c r="C1225" s="1" t="s">
        <v>487</v>
      </c>
      <c r="D1225" s="1" t="s">
        <v>487</v>
      </c>
      <c r="E1225" s="1" t="s">
        <v>487</v>
      </c>
      <c r="F1225" t="s">
        <v>488</v>
      </c>
      <c r="G1225" t="s">
        <v>489</v>
      </c>
      <c r="H1225" t="s">
        <v>5</v>
      </c>
      <c r="I1225" t="s">
        <v>2230</v>
      </c>
      <c r="J1225">
        <v>0.28999999999999998</v>
      </c>
      <c r="K1225" t="e">
        <f>IF(COUNTIF(#REF!,Tabela2[[#This Row],[IdxWspolny]])&gt;0,"ELEM_lub_PRD","TECHN")</f>
        <v>#REF!</v>
      </c>
      <c r="L1225" t="e">
        <f>IF(COUNTIF(#REF!,Tabela2[[#This Row],[KOD_PRODUKTU]])&gt;0,"ELEMENT","PRODUKT")</f>
        <v>#REF!</v>
      </c>
      <c r="M1225" t="e">
        <f>COUNTIF(#REF!,Tabela2[[#This Row],[KOD_PRODUKTU]])</f>
        <v>#REF!</v>
      </c>
    </row>
    <row r="1226" spans="1:14" x14ac:dyDescent="0.25">
      <c r="A1226" s="1" t="s">
        <v>2227</v>
      </c>
      <c r="B1226" t="s">
        <v>2228</v>
      </c>
      <c r="C1226" s="1" t="s">
        <v>41</v>
      </c>
      <c r="D1226" s="1" t="s">
        <v>41</v>
      </c>
      <c r="E1226" s="1" t="s">
        <v>41</v>
      </c>
      <c r="F1226" t="s">
        <v>42</v>
      </c>
      <c r="G1226" t="s">
        <v>43</v>
      </c>
      <c r="H1226" t="s">
        <v>5</v>
      </c>
      <c r="I1226" t="s">
        <v>2231</v>
      </c>
      <c r="J1226">
        <v>0.04</v>
      </c>
      <c r="K1226" t="e">
        <f>IF(COUNTIF(#REF!,Tabela2[[#This Row],[IdxWspolny]])&gt;0,"ELEM_lub_PRD","TECHN")</f>
        <v>#REF!</v>
      </c>
      <c r="L1226" t="e">
        <f>IF(COUNTIF(#REF!,Tabela2[[#This Row],[KOD_PRODUKTU]])&gt;0,"ELEMENT","PRODUKT")</f>
        <v>#REF!</v>
      </c>
      <c r="M1226" t="e">
        <f>COUNTIF(#REF!,Tabela2[[#This Row],[KOD_PRODUKTU]])</f>
        <v>#REF!</v>
      </c>
    </row>
    <row r="1227" spans="1:14" x14ac:dyDescent="0.25">
      <c r="A1227" s="1" t="s">
        <v>2227</v>
      </c>
      <c r="B1227" t="s">
        <v>2228</v>
      </c>
      <c r="C1227" s="1" t="s">
        <v>491</v>
      </c>
      <c r="D1227" s="1" t="s">
        <v>491</v>
      </c>
      <c r="E1227" s="1" t="s">
        <v>491</v>
      </c>
      <c r="F1227" t="s">
        <v>492</v>
      </c>
      <c r="G1227" t="s">
        <v>493</v>
      </c>
      <c r="H1227" t="s">
        <v>121</v>
      </c>
      <c r="I1227" t="s">
        <v>92</v>
      </c>
      <c r="J1227">
        <v>13.7</v>
      </c>
      <c r="K1227" t="e">
        <f>IF(COUNTIF(#REF!,Tabela2[[#This Row],[IdxWspolny]])&gt;0,"ELEM_lub_PRD","TECHN")</f>
        <v>#REF!</v>
      </c>
      <c r="L1227" t="e">
        <f>IF(COUNTIF(#REF!,Tabela2[[#This Row],[KOD_PRODUKTU]])&gt;0,"ELEMENT","PRODUKT")</f>
        <v>#REF!</v>
      </c>
      <c r="M1227" t="e">
        <f>COUNTIF(#REF!,Tabela2[[#This Row],[KOD_PRODUKTU]])</f>
        <v>#REF!</v>
      </c>
    </row>
    <row r="1228" spans="1:14" x14ac:dyDescent="0.25">
      <c r="A1228" s="1" t="s">
        <v>2227</v>
      </c>
      <c r="B1228" t="s">
        <v>2228</v>
      </c>
      <c r="C1228" s="1" t="s">
        <v>494</v>
      </c>
      <c r="D1228" s="1" t="s">
        <v>494</v>
      </c>
      <c r="E1228" s="1" t="s">
        <v>494</v>
      </c>
      <c r="F1228" t="s">
        <v>495</v>
      </c>
      <c r="G1228" t="s">
        <v>496</v>
      </c>
      <c r="H1228" t="s">
        <v>121</v>
      </c>
      <c r="I1228" t="s">
        <v>50</v>
      </c>
      <c r="J1228">
        <v>17.45</v>
      </c>
      <c r="K1228" t="e">
        <f>IF(COUNTIF(#REF!,Tabela2[[#This Row],[IdxWspolny]])&gt;0,"ELEM_lub_PRD","TECHN")</f>
        <v>#REF!</v>
      </c>
      <c r="L1228" t="e">
        <f>IF(COUNTIF(#REF!,Tabela2[[#This Row],[KOD_PRODUKTU]])&gt;0,"ELEMENT","PRODUKT")</f>
        <v>#REF!</v>
      </c>
      <c r="M1228" t="e">
        <f>COUNTIF(#REF!,Tabela2[[#This Row],[KOD_PRODUKTU]])</f>
        <v>#REF!</v>
      </c>
    </row>
    <row r="1229" spans="1:14" x14ac:dyDescent="0.25">
      <c r="A1229" s="1" t="s">
        <v>2227</v>
      </c>
      <c r="B1229" t="s">
        <v>2228</v>
      </c>
      <c r="C1229" s="1" t="s">
        <v>497</v>
      </c>
      <c r="D1229" s="1" t="s">
        <v>497</v>
      </c>
      <c r="E1229" s="1" t="s">
        <v>497</v>
      </c>
      <c r="F1229" t="s">
        <v>498</v>
      </c>
      <c r="G1229" t="s">
        <v>496</v>
      </c>
      <c r="H1229" t="s">
        <v>121</v>
      </c>
      <c r="I1229" t="s">
        <v>50</v>
      </c>
      <c r="J1229">
        <v>17.45</v>
      </c>
      <c r="K1229" t="e">
        <f>IF(COUNTIF(#REF!,Tabela2[[#This Row],[IdxWspolny]])&gt;0,"ELEM_lub_PRD","TECHN")</f>
        <v>#REF!</v>
      </c>
      <c r="L1229" t="e">
        <f>IF(COUNTIF(#REF!,Tabela2[[#This Row],[KOD_PRODUKTU]])&gt;0,"ELEMENT","PRODUKT")</f>
        <v>#REF!</v>
      </c>
      <c r="M1229" t="e">
        <f>COUNTIF(#REF!,Tabela2[[#This Row],[KOD_PRODUKTU]])</f>
        <v>#REF!</v>
      </c>
    </row>
    <row r="1230" spans="1:14" x14ac:dyDescent="0.25">
      <c r="A1230" s="1" t="s">
        <v>2227</v>
      </c>
      <c r="B1230" t="s">
        <v>2228</v>
      </c>
      <c r="C1230" s="1" t="s">
        <v>499</v>
      </c>
      <c r="D1230" s="1" t="s">
        <v>499</v>
      </c>
      <c r="E1230" s="1" t="s">
        <v>499</v>
      </c>
      <c r="F1230" t="s">
        <v>500</v>
      </c>
      <c r="G1230" t="s">
        <v>501</v>
      </c>
      <c r="H1230" t="s">
        <v>121</v>
      </c>
      <c r="I1230" t="s">
        <v>50</v>
      </c>
      <c r="J1230">
        <v>4.5</v>
      </c>
      <c r="K1230" t="e">
        <f>IF(COUNTIF(#REF!,Tabela2[[#This Row],[IdxWspolny]])&gt;0,"ELEM_lub_PRD","TECHN")</f>
        <v>#REF!</v>
      </c>
      <c r="L1230" t="e">
        <f>IF(COUNTIF(#REF!,Tabela2[[#This Row],[KOD_PRODUKTU]])&gt;0,"ELEMENT","PRODUKT")</f>
        <v>#REF!</v>
      </c>
      <c r="M1230" t="e">
        <f>COUNTIF(#REF!,Tabela2[[#This Row],[KOD_PRODUKTU]])</f>
        <v>#REF!</v>
      </c>
    </row>
    <row r="1231" spans="1:14" hidden="1" x14ac:dyDescent="0.25">
      <c r="A1231" s="1" t="s">
        <v>2227</v>
      </c>
      <c r="B1231" t="s">
        <v>2228</v>
      </c>
      <c r="C1231" s="1" t="s">
        <v>502</v>
      </c>
      <c r="D1231" s="1" t="s">
        <v>502</v>
      </c>
      <c r="E1231" s="1" t="s">
        <v>502</v>
      </c>
      <c r="F1231" t="s">
        <v>503</v>
      </c>
      <c r="G1231" t="s">
        <v>31</v>
      </c>
      <c r="H1231" t="s">
        <v>121</v>
      </c>
      <c r="I1231" t="s">
        <v>50</v>
      </c>
      <c r="J1231">
        <v>10.6</v>
      </c>
      <c r="K1231" t="e">
        <f>IF(COUNTIF(#REF!,Tabela2[[#This Row],[IdxWspolny]])&gt;0,"ELEM_lub_PRD","TECHN")</f>
        <v>#REF!</v>
      </c>
      <c r="L1231" t="e">
        <f>IF(COUNTIF(#REF!,Tabela2[[#This Row],[KOD_PRODUKTU]])&gt;0,"ELEMENT","PRODUKT")</f>
        <v>#REF!</v>
      </c>
      <c r="M1231" t="e">
        <f>COUNTIF(#REF!,Tabela2[[#This Row],[KOD_PRODUKTU]])</f>
        <v>#REF!</v>
      </c>
      <c r="N1231" t="s">
        <v>55</v>
      </c>
    </row>
    <row r="1232" spans="1:14" x14ac:dyDescent="0.25">
      <c r="A1232" s="1" t="s">
        <v>2227</v>
      </c>
      <c r="B1232" t="s">
        <v>2228</v>
      </c>
      <c r="C1232" s="1" t="s">
        <v>7</v>
      </c>
      <c r="D1232" s="1" t="s">
        <v>7</v>
      </c>
      <c r="E1232" s="1" t="s">
        <v>7</v>
      </c>
      <c r="F1232" t="s">
        <v>8</v>
      </c>
      <c r="G1232" t="s">
        <v>9</v>
      </c>
      <c r="H1232" t="s">
        <v>10</v>
      </c>
      <c r="I1232" t="s">
        <v>2205</v>
      </c>
      <c r="J1232">
        <v>72.599999999999994</v>
      </c>
      <c r="K1232" t="e">
        <f>IF(COUNTIF(#REF!,Tabela2[[#This Row],[IdxWspolny]])&gt;0,"ELEM_lub_PRD","TECHN")</f>
        <v>#REF!</v>
      </c>
      <c r="L1232" t="e">
        <f>IF(COUNTIF(#REF!,Tabela2[[#This Row],[KOD_PRODUKTU]])&gt;0,"ELEMENT","PRODUKT")</f>
        <v>#REF!</v>
      </c>
      <c r="M1232" t="e">
        <f>COUNTIF(#REF!,Tabela2[[#This Row],[KOD_PRODUKTU]])</f>
        <v>#REF!</v>
      </c>
    </row>
    <row r="1233" spans="1:13" x14ac:dyDescent="0.25">
      <c r="A1233" s="1" t="s">
        <v>2232</v>
      </c>
      <c r="B1233" t="s">
        <v>2233</v>
      </c>
      <c r="C1233" s="1" t="s">
        <v>507</v>
      </c>
      <c r="D1233" s="1" t="s">
        <v>507</v>
      </c>
      <c r="E1233" s="1" t="s">
        <v>507</v>
      </c>
      <c r="F1233" t="s">
        <v>508</v>
      </c>
      <c r="G1233" t="s">
        <v>509</v>
      </c>
      <c r="H1233" t="s">
        <v>5</v>
      </c>
      <c r="I1233" t="s">
        <v>2234</v>
      </c>
      <c r="J1233">
        <v>5.0999999999999996</v>
      </c>
      <c r="K1233" t="e">
        <f>IF(COUNTIF(#REF!,Tabela2[[#This Row],[IdxWspolny]])&gt;0,"ELEM_lub_PRD","TECHN")</f>
        <v>#REF!</v>
      </c>
      <c r="L1233" t="e">
        <f>IF(COUNTIF(#REF!,Tabela2[[#This Row],[KOD_PRODUKTU]])&gt;0,"ELEMENT","PRODUKT")</f>
        <v>#REF!</v>
      </c>
      <c r="M1233" t="e">
        <f>COUNTIF(#REF!,Tabela2[[#This Row],[KOD_PRODUKTU]])</f>
        <v>#REF!</v>
      </c>
    </row>
    <row r="1234" spans="1:13" x14ac:dyDescent="0.25">
      <c r="A1234" s="1" t="s">
        <v>2232</v>
      </c>
      <c r="B1234" t="s">
        <v>2233</v>
      </c>
      <c r="C1234" s="1" t="s">
        <v>511</v>
      </c>
      <c r="D1234" s="1" t="s">
        <v>511</v>
      </c>
      <c r="E1234" s="1" t="s">
        <v>511</v>
      </c>
      <c r="F1234" t="s">
        <v>512</v>
      </c>
      <c r="G1234" t="s">
        <v>513</v>
      </c>
      <c r="H1234" t="s">
        <v>39</v>
      </c>
      <c r="I1234" t="s">
        <v>478</v>
      </c>
      <c r="J1234">
        <v>0.44</v>
      </c>
      <c r="K1234" t="e">
        <f>IF(COUNTIF(#REF!,Tabela2[[#This Row],[IdxWspolny]])&gt;0,"ELEM_lub_PRD","TECHN")</f>
        <v>#REF!</v>
      </c>
      <c r="L1234" t="e">
        <f>IF(COUNTIF(#REF!,Tabela2[[#This Row],[KOD_PRODUKTU]])&gt;0,"ELEMENT","PRODUKT")</f>
        <v>#REF!</v>
      </c>
      <c r="M1234" t="e">
        <f>COUNTIF(#REF!,Tabela2[[#This Row],[KOD_PRODUKTU]])</f>
        <v>#REF!</v>
      </c>
    </row>
    <row r="1235" spans="1:13" x14ac:dyDescent="0.25">
      <c r="A1235" s="1" t="s">
        <v>2232</v>
      </c>
      <c r="B1235" t="s">
        <v>2233</v>
      </c>
      <c r="C1235" s="1" t="s">
        <v>514</v>
      </c>
      <c r="D1235" s="1" t="s">
        <v>514</v>
      </c>
      <c r="E1235" s="1" t="s">
        <v>514</v>
      </c>
      <c r="F1235" t="s">
        <v>515</v>
      </c>
      <c r="G1235" t="s">
        <v>516</v>
      </c>
      <c r="H1235" t="s">
        <v>121</v>
      </c>
      <c r="I1235" t="s">
        <v>50</v>
      </c>
      <c r="J1235">
        <v>0.27</v>
      </c>
      <c r="K1235" t="e">
        <f>IF(COUNTIF(#REF!,Tabela2[[#This Row],[IdxWspolny]])&gt;0,"ELEM_lub_PRD","TECHN")</f>
        <v>#REF!</v>
      </c>
      <c r="L1235" t="e">
        <f>IF(COUNTIF(#REF!,Tabela2[[#This Row],[KOD_PRODUKTU]])&gt;0,"ELEMENT","PRODUKT")</f>
        <v>#REF!</v>
      </c>
      <c r="M1235" t="e">
        <f>COUNTIF(#REF!,Tabela2[[#This Row],[KOD_PRODUKTU]])</f>
        <v>#REF!</v>
      </c>
    </row>
    <row r="1236" spans="1:13" x14ac:dyDescent="0.25">
      <c r="A1236" s="1" t="s">
        <v>2232</v>
      </c>
      <c r="B1236" t="s">
        <v>2233</v>
      </c>
      <c r="C1236" s="1" t="s">
        <v>41</v>
      </c>
      <c r="D1236" s="1" t="s">
        <v>41</v>
      </c>
      <c r="E1236" s="1" t="s">
        <v>41</v>
      </c>
      <c r="F1236" t="s">
        <v>42</v>
      </c>
      <c r="G1236" t="s">
        <v>43</v>
      </c>
      <c r="H1236" t="s">
        <v>5</v>
      </c>
      <c r="I1236" t="s">
        <v>2231</v>
      </c>
      <c r="J1236">
        <v>0.04</v>
      </c>
      <c r="K1236" t="e">
        <f>IF(COUNTIF(#REF!,Tabela2[[#This Row],[IdxWspolny]])&gt;0,"ELEM_lub_PRD","TECHN")</f>
        <v>#REF!</v>
      </c>
      <c r="L1236" t="e">
        <f>IF(COUNTIF(#REF!,Tabela2[[#This Row],[KOD_PRODUKTU]])&gt;0,"ELEMENT","PRODUKT")</f>
        <v>#REF!</v>
      </c>
      <c r="M1236" t="e">
        <f>COUNTIF(#REF!,Tabela2[[#This Row],[KOD_PRODUKTU]])</f>
        <v>#REF!</v>
      </c>
    </row>
    <row r="1237" spans="1:13" x14ac:dyDescent="0.25">
      <c r="A1237" s="1" t="s">
        <v>2232</v>
      </c>
      <c r="B1237" t="s">
        <v>2233</v>
      </c>
      <c r="C1237" s="1" t="s">
        <v>517</v>
      </c>
      <c r="D1237" s="1" t="s">
        <v>517</v>
      </c>
      <c r="E1237" s="1" t="s">
        <v>517</v>
      </c>
      <c r="F1237" t="s">
        <v>518</v>
      </c>
      <c r="G1237" t="s">
        <v>519</v>
      </c>
      <c r="H1237" t="s">
        <v>121</v>
      </c>
      <c r="I1237" t="s">
        <v>92</v>
      </c>
      <c r="J1237">
        <v>11.1</v>
      </c>
      <c r="K1237" t="e">
        <f>IF(COUNTIF(#REF!,Tabela2[[#This Row],[IdxWspolny]])&gt;0,"ELEM_lub_PRD","TECHN")</f>
        <v>#REF!</v>
      </c>
      <c r="L1237" t="e">
        <f>IF(COUNTIF(#REF!,Tabela2[[#This Row],[KOD_PRODUKTU]])&gt;0,"ELEMENT","PRODUKT")</f>
        <v>#REF!</v>
      </c>
      <c r="M1237" t="e">
        <f>COUNTIF(#REF!,Tabela2[[#This Row],[KOD_PRODUKTU]])</f>
        <v>#REF!</v>
      </c>
    </row>
    <row r="1238" spans="1:13" x14ac:dyDescent="0.25">
      <c r="A1238" s="1" t="s">
        <v>2232</v>
      </c>
      <c r="B1238" t="s">
        <v>2233</v>
      </c>
      <c r="C1238" s="1" t="s">
        <v>520</v>
      </c>
      <c r="D1238" s="1" t="s">
        <v>520</v>
      </c>
      <c r="E1238" s="1" t="s">
        <v>520</v>
      </c>
      <c r="F1238" t="s">
        <v>521</v>
      </c>
      <c r="G1238" t="s">
        <v>522</v>
      </c>
      <c r="H1238" t="s">
        <v>121</v>
      </c>
      <c r="I1238" t="s">
        <v>50</v>
      </c>
      <c r="J1238">
        <v>3.45</v>
      </c>
      <c r="K1238" t="e">
        <f>IF(COUNTIF(#REF!,Tabela2[[#This Row],[IdxWspolny]])&gt;0,"ELEM_lub_PRD","TECHN")</f>
        <v>#REF!</v>
      </c>
      <c r="L1238" t="e">
        <f>IF(COUNTIF(#REF!,Tabela2[[#This Row],[KOD_PRODUKTU]])&gt;0,"ELEMENT","PRODUKT")</f>
        <v>#REF!</v>
      </c>
      <c r="M1238" t="e">
        <f>COUNTIF(#REF!,Tabela2[[#This Row],[KOD_PRODUKTU]])</f>
        <v>#REF!</v>
      </c>
    </row>
    <row r="1239" spans="1:13" x14ac:dyDescent="0.25">
      <c r="A1239" s="1" t="s">
        <v>2232</v>
      </c>
      <c r="B1239" t="s">
        <v>2233</v>
      </c>
      <c r="C1239" s="1" t="s">
        <v>7</v>
      </c>
      <c r="D1239" s="1" t="s">
        <v>7</v>
      </c>
      <c r="E1239" s="1" t="s">
        <v>7</v>
      </c>
      <c r="F1239" t="s">
        <v>8</v>
      </c>
      <c r="G1239" t="s">
        <v>9</v>
      </c>
      <c r="H1239" t="s">
        <v>10</v>
      </c>
      <c r="I1239" t="s">
        <v>2235</v>
      </c>
      <c r="J1239">
        <v>36</v>
      </c>
      <c r="K1239" t="e">
        <f>IF(COUNTIF(#REF!,Tabela2[[#This Row],[IdxWspolny]])&gt;0,"ELEM_lub_PRD","TECHN")</f>
        <v>#REF!</v>
      </c>
      <c r="L1239" t="e">
        <f>IF(COUNTIF(#REF!,Tabela2[[#This Row],[KOD_PRODUKTU]])&gt;0,"ELEMENT","PRODUKT")</f>
        <v>#REF!</v>
      </c>
      <c r="M1239" t="e">
        <f>COUNTIF(#REF!,Tabela2[[#This Row],[KOD_PRODUKTU]])</f>
        <v>#REF!</v>
      </c>
    </row>
    <row r="1240" spans="1:13" x14ac:dyDescent="0.25">
      <c r="A1240" s="1" t="s">
        <v>2236</v>
      </c>
      <c r="B1240" t="s">
        <v>2237</v>
      </c>
      <c r="C1240" s="1" t="s">
        <v>507</v>
      </c>
      <c r="D1240" s="1" t="s">
        <v>507</v>
      </c>
      <c r="E1240" s="1" t="s">
        <v>507</v>
      </c>
      <c r="F1240" t="s">
        <v>508</v>
      </c>
      <c r="G1240" t="s">
        <v>578</v>
      </c>
      <c r="H1240" t="s">
        <v>5</v>
      </c>
      <c r="I1240" t="s">
        <v>2238</v>
      </c>
      <c r="J1240">
        <v>2.73</v>
      </c>
      <c r="K1240" t="e">
        <f>IF(COUNTIF(#REF!,Tabela2[[#This Row],[IdxWspolny]])&gt;0,"ELEM_lub_PRD","TECHN")</f>
        <v>#REF!</v>
      </c>
      <c r="L1240" t="e">
        <f>IF(COUNTIF(#REF!,Tabela2[[#This Row],[KOD_PRODUKTU]])&gt;0,"ELEMENT","PRODUKT")</f>
        <v>#REF!</v>
      </c>
      <c r="M1240" t="e">
        <f>COUNTIF(#REF!,Tabela2[[#This Row],[KOD_PRODUKTU]])</f>
        <v>#REF!</v>
      </c>
    </row>
    <row r="1241" spans="1:13" x14ac:dyDescent="0.25">
      <c r="A1241" s="1" t="s">
        <v>2236</v>
      </c>
      <c r="B1241" t="s">
        <v>2237</v>
      </c>
      <c r="C1241" s="1" t="s">
        <v>511</v>
      </c>
      <c r="D1241" s="1" t="s">
        <v>511</v>
      </c>
      <c r="E1241" s="1" t="s">
        <v>511</v>
      </c>
      <c r="F1241" t="s">
        <v>512</v>
      </c>
      <c r="G1241" t="s">
        <v>580</v>
      </c>
      <c r="H1241" t="s">
        <v>39</v>
      </c>
      <c r="I1241" t="s">
        <v>478</v>
      </c>
      <c r="J1241">
        <v>0.6</v>
      </c>
      <c r="K1241" t="e">
        <f>IF(COUNTIF(#REF!,Tabela2[[#This Row],[IdxWspolny]])&gt;0,"ELEM_lub_PRD","TECHN")</f>
        <v>#REF!</v>
      </c>
      <c r="L1241" t="e">
        <f>IF(COUNTIF(#REF!,Tabela2[[#This Row],[KOD_PRODUKTU]])&gt;0,"ELEMENT","PRODUKT")</f>
        <v>#REF!</v>
      </c>
      <c r="M1241" t="e">
        <f>COUNTIF(#REF!,Tabela2[[#This Row],[KOD_PRODUKTU]])</f>
        <v>#REF!</v>
      </c>
    </row>
    <row r="1242" spans="1:13" x14ac:dyDescent="0.25">
      <c r="A1242" s="1" t="s">
        <v>2236</v>
      </c>
      <c r="B1242" t="s">
        <v>2237</v>
      </c>
      <c r="C1242" s="1" t="s">
        <v>514</v>
      </c>
      <c r="D1242" s="1" t="s">
        <v>514</v>
      </c>
      <c r="E1242" s="1" t="s">
        <v>514</v>
      </c>
      <c r="F1242" t="s">
        <v>515</v>
      </c>
      <c r="G1242" t="s">
        <v>516</v>
      </c>
      <c r="H1242" t="s">
        <v>121</v>
      </c>
      <c r="I1242" t="s">
        <v>50</v>
      </c>
      <c r="J1242">
        <v>0.27</v>
      </c>
      <c r="K1242" t="e">
        <f>IF(COUNTIF(#REF!,Tabela2[[#This Row],[IdxWspolny]])&gt;0,"ELEM_lub_PRD","TECHN")</f>
        <v>#REF!</v>
      </c>
      <c r="L1242" t="e">
        <f>IF(COUNTIF(#REF!,Tabela2[[#This Row],[KOD_PRODUKTU]])&gt;0,"ELEMENT","PRODUKT")</f>
        <v>#REF!</v>
      </c>
      <c r="M1242" t="e">
        <f>COUNTIF(#REF!,Tabela2[[#This Row],[KOD_PRODUKTU]])</f>
        <v>#REF!</v>
      </c>
    </row>
    <row r="1243" spans="1:13" x14ac:dyDescent="0.25">
      <c r="A1243" s="1" t="s">
        <v>2236</v>
      </c>
      <c r="B1243" t="s">
        <v>2237</v>
      </c>
      <c r="C1243" s="1" t="s">
        <v>517</v>
      </c>
      <c r="D1243" s="1" t="s">
        <v>517</v>
      </c>
      <c r="E1243" s="1" t="s">
        <v>517</v>
      </c>
      <c r="F1243" t="s">
        <v>518</v>
      </c>
      <c r="G1243" t="s">
        <v>519</v>
      </c>
      <c r="H1243" t="s">
        <v>121</v>
      </c>
      <c r="I1243" t="s">
        <v>92</v>
      </c>
      <c r="J1243">
        <v>11.1</v>
      </c>
      <c r="K1243" t="e">
        <f>IF(COUNTIF(#REF!,Tabela2[[#This Row],[IdxWspolny]])&gt;0,"ELEM_lub_PRD","TECHN")</f>
        <v>#REF!</v>
      </c>
      <c r="L1243" t="e">
        <f>IF(COUNTIF(#REF!,Tabela2[[#This Row],[KOD_PRODUKTU]])&gt;0,"ELEMENT","PRODUKT")</f>
        <v>#REF!</v>
      </c>
      <c r="M1243" t="e">
        <f>COUNTIF(#REF!,Tabela2[[#This Row],[KOD_PRODUKTU]])</f>
        <v>#REF!</v>
      </c>
    </row>
    <row r="1244" spans="1:13" x14ac:dyDescent="0.25">
      <c r="A1244" s="1" t="s">
        <v>2236</v>
      </c>
      <c r="B1244" t="s">
        <v>2237</v>
      </c>
      <c r="C1244" s="1" t="s">
        <v>520</v>
      </c>
      <c r="D1244" s="1" t="s">
        <v>520</v>
      </c>
      <c r="E1244" s="1" t="s">
        <v>520</v>
      </c>
      <c r="F1244" t="s">
        <v>521</v>
      </c>
      <c r="G1244" t="s">
        <v>522</v>
      </c>
      <c r="H1244" t="s">
        <v>121</v>
      </c>
      <c r="I1244" t="s">
        <v>50</v>
      </c>
      <c r="J1244">
        <v>3.45</v>
      </c>
      <c r="K1244" t="e">
        <f>IF(COUNTIF(#REF!,Tabela2[[#This Row],[IdxWspolny]])&gt;0,"ELEM_lub_PRD","TECHN")</f>
        <v>#REF!</v>
      </c>
      <c r="L1244" t="e">
        <f>IF(COUNTIF(#REF!,Tabela2[[#This Row],[KOD_PRODUKTU]])&gt;0,"ELEMENT","PRODUKT")</f>
        <v>#REF!</v>
      </c>
      <c r="M1244" t="e">
        <f>COUNTIF(#REF!,Tabela2[[#This Row],[KOD_PRODUKTU]])</f>
        <v>#REF!</v>
      </c>
    </row>
    <row r="1245" spans="1:13" x14ac:dyDescent="0.25">
      <c r="A1245" s="1" t="s">
        <v>2236</v>
      </c>
      <c r="B1245" t="s">
        <v>2237</v>
      </c>
      <c r="C1245" s="1" t="s">
        <v>541</v>
      </c>
      <c r="D1245" s="1" t="s">
        <v>541</v>
      </c>
      <c r="E1245" s="1" t="s">
        <v>541</v>
      </c>
      <c r="F1245" t="s">
        <v>542</v>
      </c>
      <c r="G1245" t="s">
        <v>9</v>
      </c>
      <c r="H1245" t="s">
        <v>10</v>
      </c>
      <c r="I1245" t="s">
        <v>607</v>
      </c>
      <c r="J1245">
        <v>18.399999999999999</v>
      </c>
      <c r="K1245" t="e">
        <f>IF(COUNTIF(#REF!,Tabela2[[#This Row],[IdxWspolny]])&gt;0,"ELEM_lub_PRD","TECHN")</f>
        <v>#REF!</v>
      </c>
      <c r="L1245" t="e">
        <f>IF(COUNTIF(#REF!,Tabela2[[#This Row],[KOD_PRODUKTU]])&gt;0,"ELEMENT","PRODUKT")</f>
        <v>#REF!</v>
      </c>
      <c r="M1245" t="e">
        <f>COUNTIF(#REF!,Tabela2[[#This Row],[KOD_PRODUKTU]])</f>
        <v>#REF!</v>
      </c>
    </row>
    <row r="1246" spans="1:13" x14ac:dyDescent="0.25">
      <c r="A1246" s="1" t="s">
        <v>2239</v>
      </c>
      <c r="B1246" t="s">
        <v>2240</v>
      </c>
      <c r="C1246" s="1" t="s">
        <v>507</v>
      </c>
      <c r="D1246" s="1" t="s">
        <v>507</v>
      </c>
      <c r="E1246" s="1" t="s">
        <v>507</v>
      </c>
      <c r="F1246" t="s">
        <v>508</v>
      </c>
      <c r="G1246" t="s">
        <v>578</v>
      </c>
      <c r="H1246" t="s">
        <v>5</v>
      </c>
      <c r="I1246" t="s">
        <v>2241</v>
      </c>
      <c r="J1246">
        <v>4.4000000000000004</v>
      </c>
      <c r="K1246" t="e">
        <f>IF(COUNTIF(#REF!,Tabela2[[#This Row],[IdxWspolny]])&gt;0,"ELEM_lub_PRD","TECHN")</f>
        <v>#REF!</v>
      </c>
      <c r="L1246" t="e">
        <f>IF(COUNTIF(#REF!,Tabela2[[#This Row],[KOD_PRODUKTU]])&gt;0,"ELEMENT","PRODUKT")</f>
        <v>#REF!</v>
      </c>
      <c r="M1246" t="e">
        <f>COUNTIF(#REF!,Tabela2[[#This Row],[KOD_PRODUKTU]])</f>
        <v>#REF!</v>
      </c>
    </row>
    <row r="1247" spans="1:13" x14ac:dyDescent="0.25">
      <c r="A1247" s="1" t="s">
        <v>2239</v>
      </c>
      <c r="B1247" t="s">
        <v>2240</v>
      </c>
      <c r="C1247" s="1" t="s">
        <v>1907</v>
      </c>
      <c r="D1247" s="1" t="s">
        <v>1907</v>
      </c>
      <c r="E1247" s="1" t="s">
        <v>1907</v>
      </c>
      <c r="F1247" t="s">
        <v>1908</v>
      </c>
      <c r="G1247" t="s">
        <v>1909</v>
      </c>
      <c r="H1247" t="s">
        <v>39</v>
      </c>
      <c r="I1247" t="s">
        <v>478</v>
      </c>
      <c r="J1247">
        <v>0.91</v>
      </c>
      <c r="K1247" t="e">
        <f>IF(COUNTIF(#REF!,Tabela2[[#This Row],[IdxWspolny]])&gt;0,"ELEM_lub_PRD","TECHN")</f>
        <v>#REF!</v>
      </c>
      <c r="L1247" t="e">
        <f>IF(COUNTIF(#REF!,Tabela2[[#This Row],[KOD_PRODUKTU]])&gt;0,"ELEMENT","PRODUKT")</f>
        <v>#REF!</v>
      </c>
      <c r="M1247" t="e">
        <f>COUNTIF(#REF!,Tabela2[[#This Row],[KOD_PRODUKTU]])</f>
        <v>#REF!</v>
      </c>
    </row>
    <row r="1248" spans="1:13" x14ac:dyDescent="0.25">
      <c r="A1248" s="1" t="s">
        <v>2239</v>
      </c>
      <c r="B1248" t="s">
        <v>2240</v>
      </c>
      <c r="C1248" s="1" t="s">
        <v>2242</v>
      </c>
      <c r="D1248" s="1" t="s">
        <v>2242</v>
      </c>
      <c r="E1248" s="1" t="s">
        <v>2242</v>
      </c>
      <c r="F1248" t="s">
        <v>2243</v>
      </c>
      <c r="G1248" t="s">
        <v>557</v>
      </c>
      <c r="H1248" t="s">
        <v>39</v>
      </c>
      <c r="I1248" t="s">
        <v>605</v>
      </c>
      <c r="J1248">
        <v>0.34</v>
      </c>
      <c r="K1248" t="e">
        <f>IF(COUNTIF(#REF!,Tabela2[[#This Row],[IdxWspolny]])&gt;0,"ELEM_lub_PRD","TECHN")</f>
        <v>#REF!</v>
      </c>
      <c r="L1248" t="e">
        <f>IF(COUNTIF(#REF!,Tabela2[[#This Row],[KOD_PRODUKTU]])&gt;0,"ELEMENT","PRODUKT")</f>
        <v>#REF!</v>
      </c>
      <c r="M1248" t="e">
        <f>COUNTIF(#REF!,Tabela2[[#This Row],[KOD_PRODUKTU]])</f>
        <v>#REF!</v>
      </c>
    </row>
    <row r="1249" spans="1:13" x14ac:dyDescent="0.25">
      <c r="A1249" s="1" t="s">
        <v>2239</v>
      </c>
      <c r="B1249" t="s">
        <v>2240</v>
      </c>
      <c r="C1249" s="1" t="s">
        <v>1971</v>
      </c>
      <c r="D1249" s="1" t="s">
        <v>1971</v>
      </c>
      <c r="E1249" s="1" t="s">
        <v>1971</v>
      </c>
      <c r="F1249" t="s">
        <v>1972</v>
      </c>
      <c r="G1249" t="s">
        <v>1964</v>
      </c>
      <c r="H1249" t="s">
        <v>5</v>
      </c>
      <c r="I1249" t="s">
        <v>2244</v>
      </c>
      <c r="J1249">
        <v>0.41</v>
      </c>
      <c r="K1249" t="e">
        <f>IF(COUNTIF(#REF!,Tabela2[[#This Row],[IdxWspolny]])&gt;0,"ELEM_lub_PRD","TECHN")</f>
        <v>#REF!</v>
      </c>
      <c r="L1249" t="e">
        <f>IF(COUNTIF(#REF!,Tabela2[[#This Row],[KOD_PRODUKTU]])&gt;0,"ELEMENT","PRODUKT")</f>
        <v>#REF!</v>
      </c>
      <c r="M1249" t="e">
        <f>COUNTIF(#REF!,Tabela2[[#This Row],[KOD_PRODUKTU]])</f>
        <v>#REF!</v>
      </c>
    </row>
    <row r="1250" spans="1:13" x14ac:dyDescent="0.25">
      <c r="A1250" s="1" t="s">
        <v>2239</v>
      </c>
      <c r="B1250" t="s">
        <v>2240</v>
      </c>
      <c r="C1250" s="1" t="s">
        <v>514</v>
      </c>
      <c r="D1250" s="1" t="s">
        <v>514</v>
      </c>
      <c r="E1250" s="1" t="s">
        <v>514</v>
      </c>
      <c r="F1250" t="s">
        <v>515</v>
      </c>
      <c r="G1250" t="s">
        <v>516</v>
      </c>
      <c r="H1250" t="s">
        <v>121</v>
      </c>
      <c r="I1250" t="s">
        <v>50</v>
      </c>
      <c r="J1250">
        <v>0.27</v>
      </c>
      <c r="K1250" t="e">
        <f>IF(COUNTIF(#REF!,Tabela2[[#This Row],[IdxWspolny]])&gt;0,"ELEM_lub_PRD","TECHN")</f>
        <v>#REF!</v>
      </c>
      <c r="L1250" t="e">
        <f>IF(COUNTIF(#REF!,Tabela2[[#This Row],[KOD_PRODUKTU]])&gt;0,"ELEMENT","PRODUKT")</f>
        <v>#REF!</v>
      </c>
      <c r="M1250" t="e">
        <f>COUNTIF(#REF!,Tabela2[[#This Row],[KOD_PRODUKTU]])</f>
        <v>#REF!</v>
      </c>
    </row>
    <row r="1251" spans="1:13" x14ac:dyDescent="0.25">
      <c r="A1251" s="1" t="s">
        <v>2239</v>
      </c>
      <c r="B1251" t="s">
        <v>2240</v>
      </c>
      <c r="C1251" s="1" t="s">
        <v>41</v>
      </c>
      <c r="D1251" s="1" t="s">
        <v>41</v>
      </c>
      <c r="E1251" s="1" t="s">
        <v>41</v>
      </c>
      <c r="F1251" t="s">
        <v>42</v>
      </c>
      <c r="G1251" t="s">
        <v>513</v>
      </c>
      <c r="H1251" t="s">
        <v>5</v>
      </c>
      <c r="I1251" t="s">
        <v>2245</v>
      </c>
      <c r="J1251">
        <v>0.04</v>
      </c>
      <c r="K1251" t="e">
        <f>IF(COUNTIF(#REF!,Tabela2[[#This Row],[IdxWspolny]])&gt;0,"ELEM_lub_PRD","TECHN")</f>
        <v>#REF!</v>
      </c>
      <c r="L1251" t="e">
        <f>IF(COUNTIF(#REF!,Tabela2[[#This Row],[KOD_PRODUKTU]])&gt;0,"ELEMENT","PRODUKT")</f>
        <v>#REF!</v>
      </c>
      <c r="M1251" t="e">
        <f>COUNTIF(#REF!,Tabela2[[#This Row],[KOD_PRODUKTU]])</f>
        <v>#REF!</v>
      </c>
    </row>
    <row r="1252" spans="1:13" x14ac:dyDescent="0.25">
      <c r="A1252" s="1" t="s">
        <v>2239</v>
      </c>
      <c r="B1252" t="s">
        <v>2240</v>
      </c>
      <c r="C1252" s="1" t="s">
        <v>2246</v>
      </c>
      <c r="D1252" s="1" t="s">
        <v>2246</v>
      </c>
      <c r="E1252" s="1" t="s">
        <v>2246</v>
      </c>
      <c r="F1252" t="s">
        <v>2247</v>
      </c>
      <c r="G1252" t="s">
        <v>2248</v>
      </c>
      <c r="H1252" t="s">
        <v>49</v>
      </c>
      <c r="I1252" t="s">
        <v>92</v>
      </c>
      <c r="J1252">
        <v>4.3</v>
      </c>
      <c r="K1252" t="e">
        <f>IF(COUNTIF(#REF!,Tabela2[[#This Row],[IdxWspolny]])&gt;0,"ELEM_lub_PRD","TECHN")</f>
        <v>#REF!</v>
      </c>
      <c r="L1252" t="e">
        <f>IF(COUNTIF(#REF!,Tabela2[[#This Row],[KOD_PRODUKTU]])&gt;0,"ELEMENT","PRODUKT")</f>
        <v>#REF!</v>
      </c>
      <c r="M1252" t="e">
        <f>COUNTIF(#REF!,Tabela2[[#This Row],[KOD_PRODUKTU]])</f>
        <v>#REF!</v>
      </c>
    </row>
    <row r="1253" spans="1:13" x14ac:dyDescent="0.25">
      <c r="A1253" s="1" t="s">
        <v>2239</v>
      </c>
      <c r="B1253" t="s">
        <v>2240</v>
      </c>
      <c r="C1253" s="1" t="s">
        <v>2249</v>
      </c>
      <c r="D1253" s="1" t="s">
        <v>2249</v>
      </c>
      <c r="E1253" s="1" t="s">
        <v>2249</v>
      </c>
      <c r="F1253" t="s">
        <v>2250</v>
      </c>
      <c r="G1253" t="s">
        <v>2251</v>
      </c>
      <c r="H1253" t="s">
        <v>49</v>
      </c>
      <c r="I1253" t="s">
        <v>50</v>
      </c>
      <c r="J1253">
        <v>6.39</v>
      </c>
      <c r="K1253" t="e">
        <f>IF(COUNTIF(#REF!,Tabela2[[#This Row],[IdxWspolny]])&gt;0,"ELEM_lub_PRD","TECHN")</f>
        <v>#REF!</v>
      </c>
      <c r="L1253" t="e">
        <f>IF(COUNTIF(#REF!,Tabela2[[#This Row],[KOD_PRODUKTU]])&gt;0,"ELEMENT","PRODUKT")</f>
        <v>#REF!</v>
      </c>
      <c r="M1253" t="e">
        <f>COUNTIF(#REF!,Tabela2[[#This Row],[KOD_PRODUKTU]])</f>
        <v>#REF!</v>
      </c>
    </row>
    <row r="1254" spans="1:13" x14ac:dyDescent="0.25">
      <c r="A1254" s="1" t="s">
        <v>2239</v>
      </c>
      <c r="B1254" t="s">
        <v>2240</v>
      </c>
      <c r="C1254" s="1" t="s">
        <v>2252</v>
      </c>
      <c r="D1254" s="1" t="s">
        <v>2252</v>
      </c>
      <c r="E1254" s="1" t="s">
        <v>2252</v>
      </c>
      <c r="F1254" t="s">
        <v>2253</v>
      </c>
      <c r="G1254" t="s">
        <v>2251</v>
      </c>
      <c r="H1254" t="s">
        <v>49</v>
      </c>
      <c r="I1254" t="s">
        <v>50</v>
      </c>
      <c r="J1254">
        <v>6.39</v>
      </c>
      <c r="K1254" t="e">
        <f>IF(COUNTIF(#REF!,Tabela2[[#This Row],[IdxWspolny]])&gt;0,"ELEM_lub_PRD","TECHN")</f>
        <v>#REF!</v>
      </c>
      <c r="L1254" t="e">
        <f>IF(COUNTIF(#REF!,Tabela2[[#This Row],[KOD_PRODUKTU]])&gt;0,"ELEMENT","PRODUKT")</f>
        <v>#REF!</v>
      </c>
      <c r="M1254" t="e">
        <f>COUNTIF(#REF!,Tabela2[[#This Row],[KOD_PRODUKTU]])</f>
        <v>#REF!</v>
      </c>
    </row>
    <row r="1255" spans="1:13" x14ac:dyDescent="0.25">
      <c r="A1255" s="1" t="s">
        <v>2239</v>
      </c>
      <c r="B1255" t="s">
        <v>2240</v>
      </c>
      <c r="C1255" s="1" t="s">
        <v>2254</v>
      </c>
      <c r="D1255" s="1" t="s">
        <v>2254</v>
      </c>
      <c r="E1255" s="1" t="s">
        <v>2254</v>
      </c>
      <c r="F1255" t="s">
        <v>2255</v>
      </c>
      <c r="G1255" t="s">
        <v>2256</v>
      </c>
      <c r="H1255" t="s">
        <v>49</v>
      </c>
      <c r="I1255" t="s">
        <v>50</v>
      </c>
      <c r="J1255">
        <v>2.25</v>
      </c>
      <c r="K1255" t="e">
        <f>IF(COUNTIF(#REF!,Tabela2[[#This Row],[IdxWspolny]])&gt;0,"ELEM_lub_PRD","TECHN")</f>
        <v>#REF!</v>
      </c>
      <c r="L1255" t="e">
        <f>IF(COUNTIF(#REF!,Tabela2[[#This Row],[KOD_PRODUKTU]])&gt;0,"ELEMENT","PRODUKT")</f>
        <v>#REF!</v>
      </c>
      <c r="M1255" t="e">
        <f>COUNTIF(#REF!,Tabela2[[#This Row],[KOD_PRODUKTU]])</f>
        <v>#REF!</v>
      </c>
    </row>
    <row r="1256" spans="1:13" x14ac:dyDescent="0.25">
      <c r="A1256" s="1" t="s">
        <v>2239</v>
      </c>
      <c r="B1256" t="s">
        <v>2240</v>
      </c>
      <c r="C1256" s="1" t="s">
        <v>541</v>
      </c>
      <c r="D1256" s="1" t="s">
        <v>541</v>
      </c>
      <c r="E1256" s="1" t="s">
        <v>541</v>
      </c>
      <c r="F1256" t="s">
        <v>542</v>
      </c>
      <c r="G1256" t="s">
        <v>9</v>
      </c>
      <c r="H1256" t="s">
        <v>10</v>
      </c>
      <c r="I1256" t="s">
        <v>2257</v>
      </c>
      <c r="J1256">
        <v>16.52</v>
      </c>
      <c r="K1256" t="e">
        <f>IF(COUNTIF(#REF!,Tabela2[[#This Row],[IdxWspolny]])&gt;0,"ELEM_lub_PRD","TECHN")</f>
        <v>#REF!</v>
      </c>
      <c r="L1256" t="e">
        <f>IF(COUNTIF(#REF!,Tabela2[[#This Row],[KOD_PRODUKTU]])&gt;0,"ELEMENT","PRODUKT")</f>
        <v>#REF!</v>
      </c>
      <c r="M1256" t="e">
        <f>COUNTIF(#REF!,Tabela2[[#This Row],[KOD_PRODUKTU]])</f>
        <v>#REF!</v>
      </c>
    </row>
    <row r="1257" spans="1:13" x14ac:dyDescent="0.25">
      <c r="A1257" s="1" t="s">
        <v>2258</v>
      </c>
      <c r="B1257" t="s">
        <v>2259</v>
      </c>
      <c r="C1257" s="1" t="s">
        <v>507</v>
      </c>
      <c r="D1257" s="1" t="s">
        <v>507</v>
      </c>
      <c r="E1257" s="1" t="s">
        <v>507</v>
      </c>
      <c r="F1257" t="s">
        <v>508</v>
      </c>
      <c r="G1257" t="s">
        <v>578</v>
      </c>
      <c r="H1257" t="s">
        <v>5</v>
      </c>
      <c r="I1257" t="s">
        <v>2260</v>
      </c>
      <c r="J1257">
        <v>8.1999999999999993</v>
      </c>
      <c r="K1257" t="e">
        <f>IF(COUNTIF(#REF!,Tabela2[[#This Row],[IdxWspolny]])&gt;0,"ELEM_lub_PRD","TECHN")</f>
        <v>#REF!</v>
      </c>
      <c r="L1257" t="e">
        <f>IF(COUNTIF(#REF!,Tabela2[[#This Row],[KOD_PRODUKTU]])&gt;0,"ELEMENT","PRODUKT")</f>
        <v>#REF!</v>
      </c>
      <c r="M1257" t="e">
        <f>COUNTIF(#REF!,Tabela2[[#This Row],[KOD_PRODUKTU]])</f>
        <v>#REF!</v>
      </c>
    </row>
    <row r="1258" spans="1:13" x14ac:dyDescent="0.25">
      <c r="A1258" s="1" t="s">
        <v>2258</v>
      </c>
      <c r="B1258" t="s">
        <v>2259</v>
      </c>
      <c r="C1258" s="1" t="s">
        <v>1907</v>
      </c>
      <c r="D1258" s="1" t="s">
        <v>1907</v>
      </c>
      <c r="E1258" s="1" t="s">
        <v>1907</v>
      </c>
      <c r="F1258" t="s">
        <v>1908</v>
      </c>
      <c r="G1258" t="s">
        <v>1909</v>
      </c>
      <c r="H1258" t="s">
        <v>39</v>
      </c>
      <c r="I1258" t="s">
        <v>2194</v>
      </c>
      <c r="J1258">
        <v>2.06</v>
      </c>
      <c r="K1258" t="e">
        <f>IF(COUNTIF(#REF!,Tabela2[[#This Row],[IdxWspolny]])&gt;0,"ELEM_lub_PRD","TECHN")</f>
        <v>#REF!</v>
      </c>
      <c r="L1258" t="e">
        <f>IF(COUNTIF(#REF!,Tabela2[[#This Row],[KOD_PRODUKTU]])&gt;0,"ELEMENT","PRODUKT")</f>
        <v>#REF!</v>
      </c>
      <c r="M1258" t="e">
        <f>COUNTIF(#REF!,Tabela2[[#This Row],[KOD_PRODUKTU]])</f>
        <v>#REF!</v>
      </c>
    </row>
    <row r="1259" spans="1:13" x14ac:dyDescent="0.25">
      <c r="A1259" s="1" t="s">
        <v>2258</v>
      </c>
      <c r="B1259" t="s">
        <v>2259</v>
      </c>
      <c r="C1259" s="1" t="s">
        <v>2242</v>
      </c>
      <c r="D1259" s="1" t="s">
        <v>2242</v>
      </c>
      <c r="E1259" s="1" t="s">
        <v>2242</v>
      </c>
      <c r="F1259" t="s">
        <v>2243</v>
      </c>
      <c r="G1259" t="s">
        <v>557</v>
      </c>
      <c r="H1259" t="s">
        <v>39</v>
      </c>
      <c r="I1259" t="s">
        <v>605</v>
      </c>
      <c r="J1259">
        <v>0.34</v>
      </c>
      <c r="K1259" t="e">
        <f>IF(COUNTIF(#REF!,Tabela2[[#This Row],[IdxWspolny]])&gt;0,"ELEM_lub_PRD","TECHN")</f>
        <v>#REF!</v>
      </c>
      <c r="L1259" t="e">
        <f>IF(COUNTIF(#REF!,Tabela2[[#This Row],[KOD_PRODUKTU]])&gt;0,"ELEMENT","PRODUKT")</f>
        <v>#REF!</v>
      </c>
      <c r="M1259" t="e">
        <f>COUNTIF(#REF!,Tabela2[[#This Row],[KOD_PRODUKTU]])</f>
        <v>#REF!</v>
      </c>
    </row>
    <row r="1260" spans="1:13" x14ac:dyDescent="0.25">
      <c r="A1260" s="1" t="s">
        <v>2258</v>
      </c>
      <c r="B1260" t="s">
        <v>2259</v>
      </c>
      <c r="C1260" s="1" t="s">
        <v>1971</v>
      </c>
      <c r="D1260" s="1" t="s">
        <v>1971</v>
      </c>
      <c r="E1260" s="1" t="s">
        <v>1971</v>
      </c>
      <c r="F1260" t="s">
        <v>1972</v>
      </c>
      <c r="G1260" t="s">
        <v>1964</v>
      </c>
      <c r="H1260" t="s">
        <v>5</v>
      </c>
      <c r="I1260" t="s">
        <v>2244</v>
      </c>
      <c r="J1260">
        <v>0.41</v>
      </c>
      <c r="K1260" t="e">
        <f>IF(COUNTIF(#REF!,Tabela2[[#This Row],[IdxWspolny]])&gt;0,"ELEM_lub_PRD","TECHN")</f>
        <v>#REF!</v>
      </c>
      <c r="L1260" t="e">
        <f>IF(COUNTIF(#REF!,Tabela2[[#This Row],[KOD_PRODUKTU]])&gt;0,"ELEMENT","PRODUKT")</f>
        <v>#REF!</v>
      </c>
      <c r="M1260" t="e">
        <f>COUNTIF(#REF!,Tabela2[[#This Row],[KOD_PRODUKTU]])</f>
        <v>#REF!</v>
      </c>
    </row>
    <row r="1261" spans="1:13" x14ac:dyDescent="0.25">
      <c r="A1261" s="1" t="s">
        <v>2258</v>
      </c>
      <c r="B1261" t="s">
        <v>2259</v>
      </c>
      <c r="C1261" s="1" t="s">
        <v>2261</v>
      </c>
      <c r="D1261" s="1" t="s">
        <v>2261</v>
      </c>
      <c r="E1261" s="1" t="s">
        <v>2261</v>
      </c>
      <c r="F1261" t="s">
        <v>2262</v>
      </c>
      <c r="G1261" t="s">
        <v>2263</v>
      </c>
      <c r="H1261" t="s">
        <v>49</v>
      </c>
      <c r="I1261" t="s">
        <v>92</v>
      </c>
      <c r="J1261">
        <v>22.54</v>
      </c>
      <c r="K1261" t="e">
        <f>IF(COUNTIF(#REF!,Tabela2[[#This Row],[IdxWspolny]])&gt;0,"ELEM_lub_PRD","TECHN")</f>
        <v>#REF!</v>
      </c>
      <c r="L1261" t="e">
        <f>IF(COUNTIF(#REF!,Tabela2[[#This Row],[KOD_PRODUKTU]])&gt;0,"ELEMENT","PRODUKT")</f>
        <v>#REF!</v>
      </c>
      <c r="M1261" t="e">
        <f>COUNTIF(#REF!,Tabela2[[#This Row],[KOD_PRODUKTU]])</f>
        <v>#REF!</v>
      </c>
    </row>
    <row r="1262" spans="1:13" x14ac:dyDescent="0.25">
      <c r="A1262" s="1" t="s">
        <v>2258</v>
      </c>
      <c r="B1262" t="s">
        <v>2259</v>
      </c>
      <c r="C1262" s="1" t="s">
        <v>2246</v>
      </c>
      <c r="D1262" s="1" t="s">
        <v>2246</v>
      </c>
      <c r="E1262" s="1" t="s">
        <v>2246</v>
      </c>
      <c r="F1262" t="s">
        <v>2247</v>
      </c>
      <c r="G1262" t="s">
        <v>2248</v>
      </c>
      <c r="H1262" t="s">
        <v>49</v>
      </c>
      <c r="I1262" t="s">
        <v>92</v>
      </c>
      <c r="J1262">
        <v>4.3</v>
      </c>
      <c r="K1262" t="e">
        <f>IF(COUNTIF(#REF!,Tabela2[[#This Row],[IdxWspolny]])&gt;0,"ELEM_lub_PRD","TECHN")</f>
        <v>#REF!</v>
      </c>
      <c r="L1262" t="e">
        <f>IF(COUNTIF(#REF!,Tabela2[[#This Row],[KOD_PRODUKTU]])&gt;0,"ELEMENT","PRODUKT")</f>
        <v>#REF!</v>
      </c>
      <c r="M1262" t="e">
        <f>COUNTIF(#REF!,Tabela2[[#This Row],[KOD_PRODUKTU]])</f>
        <v>#REF!</v>
      </c>
    </row>
    <row r="1263" spans="1:13" x14ac:dyDescent="0.25">
      <c r="A1263" s="1" t="s">
        <v>2258</v>
      </c>
      <c r="B1263" t="s">
        <v>2259</v>
      </c>
      <c r="C1263" s="1" t="s">
        <v>2249</v>
      </c>
      <c r="D1263" s="1" t="s">
        <v>2249</v>
      </c>
      <c r="E1263" s="1" t="s">
        <v>2249</v>
      </c>
      <c r="F1263" t="s">
        <v>2250</v>
      </c>
      <c r="G1263" t="s">
        <v>2251</v>
      </c>
      <c r="H1263" t="s">
        <v>49</v>
      </c>
      <c r="I1263" t="s">
        <v>50</v>
      </c>
      <c r="J1263">
        <v>6.39</v>
      </c>
      <c r="K1263" t="e">
        <f>IF(COUNTIF(#REF!,Tabela2[[#This Row],[IdxWspolny]])&gt;0,"ELEM_lub_PRD","TECHN")</f>
        <v>#REF!</v>
      </c>
      <c r="L1263" t="e">
        <f>IF(COUNTIF(#REF!,Tabela2[[#This Row],[KOD_PRODUKTU]])&gt;0,"ELEMENT","PRODUKT")</f>
        <v>#REF!</v>
      </c>
      <c r="M1263" t="e">
        <f>COUNTIF(#REF!,Tabela2[[#This Row],[KOD_PRODUKTU]])</f>
        <v>#REF!</v>
      </c>
    </row>
    <row r="1264" spans="1:13" x14ac:dyDescent="0.25">
      <c r="A1264" s="1" t="s">
        <v>2258</v>
      </c>
      <c r="B1264" t="s">
        <v>2259</v>
      </c>
      <c r="C1264" s="1" t="s">
        <v>2252</v>
      </c>
      <c r="D1264" s="1" t="s">
        <v>2252</v>
      </c>
      <c r="E1264" s="1" t="s">
        <v>2252</v>
      </c>
      <c r="F1264" t="s">
        <v>2253</v>
      </c>
      <c r="G1264" t="s">
        <v>2251</v>
      </c>
      <c r="H1264" t="s">
        <v>49</v>
      </c>
      <c r="I1264" t="s">
        <v>50</v>
      </c>
      <c r="J1264">
        <v>6.39</v>
      </c>
      <c r="K1264" t="e">
        <f>IF(COUNTIF(#REF!,Tabela2[[#This Row],[IdxWspolny]])&gt;0,"ELEM_lub_PRD","TECHN")</f>
        <v>#REF!</v>
      </c>
      <c r="L1264" t="e">
        <f>IF(COUNTIF(#REF!,Tabela2[[#This Row],[KOD_PRODUKTU]])&gt;0,"ELEMENT","PRODUKT")</f>
        <v>#REF!</v>
      </c>
      <c r="M1264" t="e">
        <f>COUNTIF(#REF!,Tabela2[[#This Row],[KOD_PRODUKTU]])</f>
        <v>#REF!</v>
      </c>
    </row>
    <row r="1265" spans="1:13" x14ac:dyDescent="0.25">
      <c r="A1265" s="1" t="s">
        <v>2258</v>
      </c>
      <c r="B1265" t="s">
        <v>2259</v>
      </c>
      <c r="C1265" s="1" t="s">
        <v>2254</v>
      </c>
      <c r="D1265" s="1" t="s">
        <v>2254</v>
      </c>
      <c r="E1265" s="1" t="s">
        <v>2254</v>
      </c>
      <c r="F1265" t="s">
        <v>2255</v>
      </c>
      <c r="G1265" t="s">
        <v>2256</v>
      </c>
      <c r="H1265" t="s">
        <v>49</v>
      </c>
      <c r="I1265" t="s">
        <v>92</v>
      </c>
      <c r="J1265">
        <v>4.5</v>
      </c>
      <c r="K1265" t="e">
        <f>IF(COUNTIF(#REF!,Tabela2[[#This Row],[IdxWspolny]])&gt;0,"ELEM_lub_PRD","TECHN")</f>
        <v>#REF!</v>
      </c>
      <c r="L1265" t="e">
        <f>IF(COUNTIF(#REF!,Tabela2[[#This Row],[KOD_PRODUKTU]])&gt;0,"ELEMENT","PRODUKT")</f>
        <v>#REF!</v>
      </c>
      <c r="M1265" t="e">
        <f>COUNTIF(#REF!,Tabela2[[#This Row],[KOD_PRODUKTU]])</f>
        <v>#REF!</v>
      </c>
    </row>
    <row r="1266" spans="1:13" x14ac:dyDescent="0.25">
      <c r="A1266" s="1" t="s">
        <v>2258</v>
      </c>
      <c r="B1266" t="s">
        <v>2259</v>
      </c>
      <c r="C1266" s="1" t="s">
        <v>541</v>
      </c>
      <c r="D1266" s="1" t="s">
        <v>541</v>
      </c>
      <c r="E1266" s="1" t="s">
        <v>541</v>
      </c>
      <c r="F1266" t="s">
        <v>542</v>
      </c>
      <c r="G1266" t="s">
        <v>9</v>
      </c>
      <c r="H1266" t="s">
        <v>10</v>
      </c>
      <c r="I1266" t="s">
        <v>2264</v>
      </c>
      <c r="J1266">
        <v>21.71</v>
      </c>
      <c r="K1266" t="e">
        <f>IF(COUNTIF(#REF!,Tabela2[[#This Row],[IdxWspolny]])&gt;0,"ELEM_lub_PRD","TECHN")</f>
        <v>#REF!</v>
      </c>
      <c r="L1266" t="e">
        <f>IF(COUNTIF(#REF!,Tabela2[[#This Row],[KOD_PRODUKTU]])&gt;0,"ELEMENT","PRODUKT")</f>
        <v>#REF!</v>
      </c>
      <c r="M1266" t="e">
        <f>COUNTIF(#REF!,Tabela2[[#This Row],[KOD_PRODUKTU]])</f>
        <v>#REF!</v>
      </c>
    </row>
    <row r="1267" spans="1:13" x14ac:dyDescent="0.25">
      <c r="A1267" s="1" t="s">
        <v>2265</v>
      </c>
      <c r="B1267" t="s">
        <v>2266</v>
      </c>
      <c r="C1267" s="1" t="s">
        <v>507</v>
      </c>
      <c r="D1267" s="1" t="s">
        <v>507</v>
      </c>
      <c r="E1267" s="1" t="s">
        <v>507</v>
      </c>
      <c r="F1267" t="s">
        <v>508</v>
      </c>
      <c r="G1267" t="s">
        <v>578</v>
      </c>
      <c r="H1267" t="s">
        <v>5</v>
      </c>
      <c r="I1267" t="s">
        <v>992</v>
      </c>
      <c r="J1267">
        <v>5.53</v>
      </c>
      <c r="K1267" t="e">
        <f>IF(COUNTIF(#REF!,Tabela2[[#This Row],[IdxWspolny]])&gt;0,"ELEM_lub_PRD","TECHN")</f>
        <v>#REF!</v>
      </c>
      <c r="L1267" t="e">
        <f>IF(COUNTIF(#REF!,Tabela2[[#This Row],[KOD_PRODUKTU]])&gt;0,"ELEMENT","PRODUKT")</f>
        <v>#REF!</v>
      </c>
      <c r="M1267" t="e">
        <f>COUNTIF(#REF!,Tabela2[[#This Row],[KOD_PRODUKTU]])</f>
        <v>#REF!</v>
      </c>
    </row>
    <row r="1268" spans="1:13" x14ac:dyDescent="0.25">
      <c r="A1268" s="1" t="s">
        <v>2265</v>
      </c>
      <c r="B1268" t="s">
        <v>2266</v>
      </c>
      <c r="C1268" s="1" t="s">
        <v>1907</v>
      </c>
      <c r="D1268" s="1" t="s">
        <v>1907</v>
      </c>
      <c r="E1268" s="1" t="s">
        <v>1907</v>
      </c>
      <c r="F1268" t="s">
        <v>1908</v>
      </c>
      <c r="G1268" t="s">
        <v>1909</v>
      </c>
      <c r="H1268" t="s">
        <v>39</v>
      </c>
      <c r="I1268" t="s">
        <v>478</v>
      </c>
      <c r="J1268">
        <v>0.91</v>
      </c>
      <c r="K1268" t="e">
        <f>IF(COUNTIF(#REF!,Tabela2[[#This Row],[IdxWspolny]])&gt;0,"ELEM_lub_PRD","TECHN")</f>
        <v>#REF!</v>
      </c>
      <c r="L1268" t="e">
        <f>IF(COUNTIF(#REF!,Tabela2[[#This Row],[KOD_PRODUKTU]])&gt;0,"ELEMENT","PRODUKT")</f>
        <v>#REF!</v>
      </c>
      <c r="M1268" t="e">
        <f>COUNTIF(#REF!,Tabela2[[#This Row],[KOD_PRODUKTU]])</f>
        <v>#REF!</v>
      </c>
    </row>
    <row r="1269" spans="1:13" x14ac:dyDescent="0.25">
      <c r="A1269" s="1" t="s">
        <v>2265</v>
      </c>
      <c r="B1269" t="s">
        <v>2266</v>
      </c>
      <c r="C1269" s="1" t="s">
        <v>2242</v>
      </c>
      <c r="D1269" s="1" t="s">
        <v>2242</v>
      </c>
      <c r="E1269" s="1" t="s">
        <v>2242</v>
      </c>
      <c r="F1269" t="s">
        <v>2243</v>
      </c>
      <c r="G1269" t="s">
        <v>557</v>
      </c>
      <c r="H1269" t="s">
        <v>39</v>
      </c>
      <c r="I1269" t="s">
        <v>605</v>
      </c>
      <c r="J1269">
        <v>0.34</v>
      </c>
      <c r="K1269" t="e">
        <f>IF(COUNTIF(#REF!,Tabela2[[#This Row],[IdxWspolny]])&gt;0,"ELEM_lub_PRD","TECHN")</f>
        <v>#REF!</v>
      </c>
      <c r="L1269" t="e">
        <f>IF(COUNTIF(#REF!,Tabela2[[#This Row],[KOD_PRODUKTU]])&gt;0,"ELEMENT","PRODUKT")</f>
        <v>#REF!</v>
      </c>
      <c r="M1269" t="e">
        <f>COUNTIF(#REF!,Tabela2[[#This Row],[KOD_PRODUKTU]])</f>
        <v>#REF!</v>
      </c>
    </row>
    <row r="1270" spans="1:13" x14ac:dyDescent="0.25">
      <c r="A1270" s="1" t="s">
        <v>2265</v>
      </c>
      <c r="B1270" t="s">
        <v>2266</v>
      </c>
      <c r="C1270" s="1" t="s">
        <v>514</v>
      </c>
      <c r="D1270" s="1" t="s">
        <v>514</v>
      </c>
      <c r="E1270" s="1" t="s">
        <v>514</v>
      </c>
      <c r="F1270" t="s">
        <v>515</v>
      </c>
      <c r="G1270" t="s">
        <v>516</v>
      </c>
      <c r="H1270" t="s">
        <v>121</v>
      </c>
      <c r="I1270" t="s">
        <v>50</v>
      </c>
      <c r="J1270">
        <v>0.27</v>
      </c>
      <c r="K1270" t="e">
        <f>IF(COUNTIF(#REF!,Tabela2[[#This Row],[IdxWspolny]])&gt;0,"ELEM_lub_PRD","TECHN")</f>
        <v>#REF!</v>
      </c>
      <c r="L1270" t="e">
        <f>IF(COUNTIF(#REF!,Tabela2[[#This Row],[KOD_PRODUKTU]])&gt;0,"ELEMENT","PRODUKT")</f>
        <v>#REF!</v>
      </c>
      <c r="M1270" t="e">
        <f>COUNTIF(#REF!,Tabela2[[#This Row],[KOD_PRODUKTU]])</f>
        <v>#REF!</v>
      </c>
    </row>
    <row r="1271" spans="1:13" x14ac:dyDescent="0.25">
      <c r="A1271" s="1" t="s">
        <v>2265</v>
      </c>
      <c r="B1271" t="s">
        <v>2266</v>
      </c>
      <c r="C1271" s="1" t="s">
        <v>41</v>
      </c>
      <c r="D1271" s="1" t="s">
        <v>41</v>
      </c>
      <c r="E1271" s="1" t="s">
        <v>41</v>
      </c>
      <c r="F1271" t="s">
        <v>42</v>
      </c>
      <c r="G1271" t="s">
        <v>513</v>
      </c>
      <c r="H1271" t="s">
        <v>5</v>
      </c>
      <c r="I1271" t="s">
        <v>2267</v>
      </c>
      <c r="J1271">
        <v>0.02</v>
      </c>
      <c r="K1271" t="e">
        <f>IF(COUNTIF(#REF!,Tabela2[[#This Row],[IdxWspolny]])&gt;0,"ELEM_lub_PRD","TECHN")</f>
        <v>#REF!</v>
      </c>
      <c r="L1271" t="e">
        <f>IF(COUNTIF(#REF!,Tabela2[[#This Row],[KOD_PRODUKTU]])&gt;0,"ELEMENT","PRODUKT")</f>
        <v>#REF!</v>
      </c>
      <c r="M1271" t="e">
        <f>COUNTIF(#REF!,Tabela2[[#This Row],[KOD_PRODUKTU]])</f>
        <v>#REF!</v>
      </c>
    </row>
    <row r="1272" spans="1:13" x14ac:dyDescent="0.25">
      <c r="A1272" s="1" t="s">
        <v>2265</v>
      </c>
      <c r="B1272" t="s">
        <v>2266</v>
      </c>
      <c r="C1272" s="1" t="s">
        <v>2246</v>
      </c>
      <c r="D1272" s="1" t="s">
        <v>2246</v>
      </c>
      <c r="E1272" s="1" t="s">
        <v>2246</v>
      </c>
      <c r="F1272" t="s">
        <v>2247</v>
      </c>
      <c r="G1272" t="s">
        <v>2248</v>
      </c>
      <c r="H1272" t="s">
        <v>49</v>
      </c>
      <c r="I1272" t="s">
        <v>92</v>
      </c>
      <c r="J1272">
        <v>4.3</v>
      </c>
      <c r="K1272" t="e">
        <f>IF(COUNTIF(#REF!,Tabela2[[#This Row],[IdxWspolny]])&gt;0,"ELEM_lub_PRD","TECHN")</f>
        <v>#REF!</v>
      </c>
      <c r="L1272" t="e">
        <f>IF(COUNTIF(#REF!,Tabela2[[#This Row],[KOD_PRODUKTU]])&gt;0,"ELEMENT","PRODUKT")</f>
        <v>#REF!</v>
      </c>
      <c r="M1272" t="e">
        <f>COUNTIF(#REF!,Tabela2[[#This Row],[KOD_PRODUKTU]])</f>
        <v>#REF!</v>
      </c>
    </row>
    <row r="1273" spans="1:13" x14ac:dyDescent="0.25">
      <c r="A1273" s="1" t="s">
        <v>2265</v>
      </c>
      <c r="B1273" t="s">
        <v>2266</v>
      </c>
      <c r="C1273" s="1" t="s">
        <v>2249</v>
      </c>
      <c r="D1273" s="1" t="s">
        <v>2249</v>
      </c>
      <c r="E1273" s="1" t="s">
        <v>2249</v>
      </c>
      <c r="F1273" t="s">
        <v>2250</v>
      </c>
      <c r="G1273" t="s">
        <v>2251</v>
      </c>
      <c r="H1273" t="s">
        <v>49</v>
      </c>
      <c r="I1273" t="s">
        <v>50</v>
      </c>
      <c r="J1273">
        <v>6.39</v>
      </c>
      <c r="K1273" t="e">
        <f>IF(COUNTIF(#REF!,Tabela2[[#This Row],[IdxWspolny]])&gt;0,"ELEM_lub_PRD","TECHN")</f>
        <v>#REF!</v>
      </c>
      <c r="L1273" t="e">
        <f>IF(COUNTIF(#REF!,Tabela2[[#This Row],[KOD_PRODUKTU]])&gt;0,"ELEMENT","PRODUKT")</f>
        <v>#REF!</v>
      </c>
      <c r="M1273" t="e">
        <f>COUNTIF(#REF!,Tabela2[[#This Row],[KOD_PRODUKTU]])</f>
        <v>#REF!</v>
      </c>
    </row>
    <row r="1274" spans="1:13" x14ac:dyDescent="0.25">
      <c r="A1274" s="1" t="s">
        <v>2265</v>
      </c>
      <c r="B1274" t="s">
        <v>2266</v>
      </c>
      <c r="C1274" s="1" t="s">
        <v>2252</v>
      </c>
      <c r="D1274" s="1" t="s">
        <v>2252</v>
      </c>
      <c r="E1274" s="1" t="s">
        <v>2252</v>
      </c>
      <c r="F1274" t="s">
        <v>2253</v>
      </c>
      <c r="G1274" t="s">
        <v>2251</v>
      </c>
      <c r="H1274" t="s">
        <v>49</v>
      </c>
      <c r="I1274" t="s">
        <v>50</v>
      </c>
      <c r="J1274">
        <v>6.39</v>
      </c>
      <c r="K1274" t="e">
        <f>IF(COUNTIF(#REF!,Tabela2[[#This Row],[IdxWspolny]])&gt;0,"ELEM_lub_PRD","TECHN")</f>
        <v>#REF!</v>
      </c>
      <c r="L1274" t="e">
        <f>IF(COUNTIF(#REF!,Tabela2[[#This Row],[KOD_PRODUKTU]])&gt;0,"ELEMENT","PRODUKT")</f>
        <v>#REF!</v>
      </c>
      <c r="M1274" t="e">
        <f>COUNTIF(#REF!,Tabela2[[#This Row],[KOD_PRODUKTU]])</f>
        <v>#REF!</v>
      </c>
    </row>
    <row r="1275" spans="1:13" x14ac:dyDescent="0.25">
      <c r="A1275" s="1" t="s">
        <v>2265</v>
      </c>
      <c r="B1275" t="s">
        <v>2266</v>
      </c>
      <c r="C1275" s="1" t="s">
        <v>2254</v>
      </c>
      <c r="D1275" s="1" t="s">
        <v>2254</v>
      </c>
      <c r="E1275" s="1" t="s">
        <v>2254</v>
      </c>
      <c r="F1275" t="s">
        <v>2255</v>
      </c>
      <c r="G1275" t="s">
        <v>2256</v>
      </c>
      <c r="H1275" t="s">
        <v>49</v>
      </c>
      <c r="I1275" t="s">
        <v>50</v>
      </c>
      <c r="J1275">
        <v>2.25</v>
      </c>
      <c r="K1275" t="e">
        <f>IF(COUNTIF(#REF!,Tabela2[[#This Row],[IdxWspolny]])&gt;0,"ELEM_lub_PRD","TECHN")</f>
        <v>#REF!</v>
      </c>
      <c r="L1275" t="e">
        <f>IF(COUNTIF(#REF!,Tabela2[[#This Row],[KOD_PRODUKTU]])&gt;0,"ELEMENT","PRODUKT")</f>
        <v>#REF!</v>
      </c>
      <c r="M1275" t="e">
        <f>COUNTIF(#REF!,Tabela2[[#This Row],[KOD_PRODUKTU]])</f>
        <v>#REF!</v>
      </c>
    </row>
    <row r="1276" spans="1:13" x14ac:dyDescent="0.25">
      <c r="A1276" s="1" t="s">
        <v>2265</v>
      </c>
      <c r="B1276" t="s">
        <v>2266</v>
      </c>
      <c r="C1276" s="1" t="s">
        <v>541</v>
      </c>
      <c r="D1276" s="1" t="s">
        <v>541</v>
      </c>
      <c r="E1276" s="1" t="s">
        <v>541</v>
      </c>
      <c r="F1276" t="s">
        <v>542</v>
      </c>
      <c r="G1276" t="s">
        <v>9</v>
      </c>
      <c r="H1276" t="s">
        <v>10</v>
      </c>
      <c r="I1276" t="s">
        <v>2257</v>
      </c>
      <c r="J1276">
        <v>16.52</v>
      </c>
      <c r="K1276" t="e">
        <f>IF(COUNTIF(#REF!,Tabela2[[#This Row],[IdxWspolny]])&gt;0,"ELEM_lub_PRD","TECHN")</f>
        <v>#REF!</v>
      </c>
      <c r="L1276" t="e">
        <f>IF(COUNTIF(#REF!,Tabela2[[#This Row],[KOD_PRODUKTU]])&gt;0,"ELEMENT","PRODUKT")</f>
        <v>#REF!</v>
      </c>
      <c r="M1276" t="e">
        <f>COUNTIF(#REF!,Tabela2[[#This Row],[KOD_PRODUKTU]])</f>
        <v>#REF!</v>
      </c>
    </row>
    <row r="1277" spans="1:13" x14ac:dyDescent="0.25">
      <c r="A1277" s="1" t="s">
        <v>2268</v>
      </c>
      <c r="B1277" t="s">
        <v>2269</v>
      </c>
      <c r="C1277" s="1" t="s">
        <v>507</v>
      </c>
      <c r="D1277" s="1" t="s">
        <v>507</v>
      </c>
      <c r="E1277" s="1" t="s">
        <v>507</v>
      </c>
      <c r="F1277" t="s">
        <v>508</v>
      </c>
      <c r="G1277" t="s">
        <v>578</v>
      </c>
      <c r="H1277" t="s">
        <v>5</v>
      </c>
      <c r="I1277" t="s">
        <v>2270</v>
      </c>
      <c r="J1277">
        <v>13.13</v>
      </c>
      <c r="K1277" t="e">
        <f>IF(COUNTIF(#REF!,Tabela2[[#This Row],[IdxWspolny]])&gt;0,"ELEM_lub_PRD","TECHN")</f>
        <v>#REF!</v>
      </c>
      <c r="L1277" t="e">
        <f>IF(COUNTIF(#REF!,Tabela2[[#This Row],[KOD_PRODUKTU]])&gt;0,"ELEMENT","PRODUKT")</f>
        <v>#REF!</v>
      </c>
      <c r="M1277" t="e">
        <f>COUNTIF(#REF!,Tabela2[[#This Row],[KOD_PRODUKTU]])</f>
        <v>#REF!</v>
      </c>
    </row>
    <row r="1278" spans="1:13" x14ac:dyDescent="0.25">
      <c r="A1278" s="1" t="s">
        <v>2268</v>
      </c>
      <c r="B1278" t="s">
        <v>2269</v>
      </c>
      <c r="C1278" s="1" t="s">
        <v>1907</v>
      </c>
      <c r="D1278" s="1" t="s">
        <v>1907</v>
      </c>
      <c r="E1278" s="1" t="s">
        <v>1907</v>
      </c>
      <c r="F1278" t="s">
        <v>1908</v>
      </c>
      <c r="G1278" t="s">
        <v>1909</v>
      </c>
      <c r="H1278" t="s">
        <v>39</v>
      </c>
      <c r="I1278" t="s">
        <v>2194</v>
      </c>
      <c r="J1278">
        <v>2.06</v>
      </c>
      <c r="K1278" t="e">
        <f>IF(COUNTIF(#REF!,Tabela2[[#This Row],[IdxWspolny]])&gt;0,"ELEM_lub_PRD","TECHN")</f>
        <v>#REF!</v>
      </c>
      <c r="L1278" t="e">
        <f>IF(COUNTIF(#REF!,Tabela2[[#This Row],[KOD_PRODUKTU]])&gt;0,"ELEMENT","PRODUKT")</f>
        <v>#REF!</v>
      </c>
      <c r="M1278" t="e">
        <f>COUNTIF(#REF!,Tabela2[[#This Row],[KOD_PRODUKTU]])</f>
        <v>#REF!</v>
      </c>
    </row>
    <row r="1279" spans="1:13" x14ac:dyDescent="0.25">
      <c r="A1279" s="1" t="s">
        <v>2268</v>
      </c>
      <c r="B1279" t="s">
        <v>2269</v>
      </c>
      <c r="C1279" s="1" t="s">
        <v>2242</v>
      </c>
      <c r="D1279" s="1" t="s">
        <v>2242</v>
      </c>
      <c r="E1279" s="1" t="s">
        <v>2242</v>
      </c>
      <c r="F1279" t="s">
        <v>2243</v>
      </c>
      <c r="G1279" t="s">
        <v>557</v>
      </c>
      <c r="H1279" t="s">
        <v>39</v>
      </c>
      <c r="I1279" t="s">
        <v>605</v>
      </c>
      <c r="J1279">
        <v>0.34</v>
      </c>
      <c r="K1279" t="e">
        <f>IF(COUNTIF(#REF!,Tabela2[[#This Row],[IdxWspolny]])&gt;0,"ELEM_lub_PRD","TECHN")</f>
        <v>#REF!</v>
      </c>
      <c r="L1279" t="e">
        <f>IF(COUNTIF(#REF!,Tabela2[[#This Row],[KOD_PRODUKTU]])&gt;0,"ELEMENT","PRODUKT")</f>
        <v>#REF!</v>
      </c>
      <c r="M1279" t="e">
        <f>COUNTIF(#REF!,Tabela2[[#This Row],[KOD_PRODUKTU]])</f>
        <v>#REF!</v>
      </c>
    </row>
    <row r="1280" spans="1:13" x14ac:dyDescent="0.25">
      <c r="A1280" s="1" t="s">
        <v>2268</v>
      </c>
      <c r="B1280" t="s">
        <v>2269</v>
      </c>
      <c r="C1280" s="1" t="s">
        <v>41</v>
      </c>
      <c r="D1280" s="1" t="s">
        <v>41</v>
      </c>
      <c r="E1280" s="1" t="s">
        <v>41</v>
      </c>
      <c r="F1280" t="s">
        <v>42</v>
      </c>
      <c r="G1280" t="s">
        <v>513</v>
      </c>
      <c r="H1280" t="s">
        <v>5</v>
      </c>
      <c r="I1280" t="s">
        <v>2271</v>
      </c>
      <c r="J1280">
        <v>0.08</v>
      </c>
      <c r="K1280" t="e">
        <f>IF(COUNTIF(#REF!,Tabela2[[#This Row],[IdxWspolny]])&gt;0,"ELEM_lub_PRD","TECHN")</f>
        <v>#REF!</v>
      </c>
      <c r="L1280" t="e">
        <f>IF(COUNTIF(#REF!,Tabela2[[#This Row],[KOD_PRODUKTU]])&gt;0,"ELEMENT","PRODUKT")</f>
        <v>#REF!</v>
      </c>
      <c r="M1280" t="e">
        <f>COUNTIF(#REF!,Tabela2[[#This Row],[KOD_PRODUKTU]])</f>
        <v>#REF!</v>
      </c>
    </row>
    <row r="1281" spans="1:13" x14ac:dyDescent="0.25">
      <c r="A1281" s="1" t="s">
        <v>2268</v>
      </c>
      <c r="B1281" t="s">
        <v>2269</v>
      </c>
      <c r="C1281" s="1" t="s">
        <v>2261</v>
      </c>
      <c r="D1281" s="1" t="s">
        <v>2261</v>
      </c>
      <c r="E1281" s="1" t="s">
        <v>2261</v>
      </c>
      <c r="F1281" t="s">
        <v>2262</v>
      </c>
      <c r="G1281" t="s">
        <v>2263</v>
      </c>
      <c r="H1281" t="s">
        <v>49</v>
      </c>
      <c r="I1281" t="s">
        <v>92</v>
      </c>
      <c r="J1281">
        <v>22.54</v>
      </c>
      <c r="K1281" t="e">
        <f>IF(COUNTIF(#REF!,Tabela2[[#This Row],[IdxWspolny]])&gt;0,"ELEM_lub_PRD","TECHN")</f>
        <v>#REF!</v>
      </c>
      <c r="L1281" t="e">
        <f>IF(COUNTIF(#REF!,Tabela2[[#This Row],[KOD_PRODUKTU]])&gt;0,"ELEMENT","PRODUKT")</f>
        <v>#REF!</v>
      </c>
      <c r="M1281" t="e">
        <f>COUNTIF(#REF!,Tabela2[[#This Row],[KOD_PRODUKTU]])</f>
        <v>#REF!</v>
      </c>
    </row>
    <row r="1282" spans="1:13" x14ac:dyDescent="0.25">
      <c r="A1282" s="1" t="s">
        <v>2268</v>
      </c>
      <c r="B1282" t="s">
        <v>2269</v>
      </c>
      <c r="C1282" s="1" t="s">
        <v>2246</v>
      </c>
      <c r="D1282" s="1" t="s">
        <v>2246</v>
      </c>
      <c r="E1282" s="1" t="s">
        <v>2246</v>
      </c>
      <c r="F1282" t="s">
        <v>2247</v>
      </c>
      <c r="G1282" t="s">
        <v>2248</v>
      </c>
      <c r="H1282" t="s">
        <v>49</v>
      </c>
      <c r="I1282" t="s">
        <v>92</v>
      </c>
      <c r="J1282">
        <v>4.3</v>
      </c>
      <c r="K1282" t="e">
        <f>IF(COUNTIF(#REF!,Tabela2[[#This Row],[IdxWspolny]])&gt;0,"ELEM_lub_PRD","TECHN")</f>
        <v>#REF!</v>
      </c>
      <c r="L1282" t="e">
        <f>IF(COUNTIF(#REF!,Tabela2[[#This Row],[KOD_PRODUKTU]])&gt;0,"ELEMENT","PRODUKT")</f>
        <v>#REF!</v>
      </c>
      <c r="M1282" t="e">
        <f>COUNTIF(#REF!,Tabela2[[#This Row],[KOD_PRODUKTU]])</f>
        <v>#REF!</v>
      </c>
    </row>
    <row r="1283" spans="1:13" x14ac:dyDescent="0.25">
      <c r="A1283" s="1" t="s">
        <v>2268</v>
      </c>
      <c r="B1283" t="s">
        <v>2269</v>
      </c>
      <c r="C1283" s="1" t="s">
        <v>2249</v>
      </c>
      <c r="D1283" s="1" t="s">
        <v>2249</v>
      </c>
      <c r="E1283" s="1" t="s">
        <v>2249</v>
      </c>
      <c r="F1283" t="s">
        <v>2250</v>
      </c>
      <c r="G1283" t="s">
        <v>2251</v>
      </c>
      <c r="H1283" t="s">
        <v>49</v>
      </c>
      <c r="I1283" t="s">
        <v>50</v>
      </c>
      <c r="J1283">
        <v>6.39</v>
      </c>
      <c r="K1283" t="e">
        <f>IF(COUNTIF(#REF!,Tabela2[[#This Row],[IdxWspolny]])&gt;0,"ELEM_lub_PRD","TECHN")</f>
        <v>#REF!</v>
      </c>
      <c r="L1283" t="e">
        <f>IF(COUNTIF(#REF!,Tabela2[[#This Row],[KOD_PRODUKTU]])&gt;0,"ELEMENT","PRODUKT")</f>
        <v>#REF!</v>
      </c>
      <c r="M1283" t="e">
        <f>COUNTIF(#REF!,Tabela2[[#This Row],[KOD_PRODUKTU]])</f>
        <v>#REF!</v>
      </c>
    </row>
    <row r="1284" spans="1:13" x14ac:dyDescent="0.25">
      <c r="A1284" s="1" t="s">
        <v>2268</v>
      </c>
      <c r="B1284" t="s">
        <v>2269</v>
      </c>
      <c r="C1284" s="1" t="s">
        <v>2252</v>
      </c>
      <c r="D1284" s="1" t="s">
        <v>2252</v>
      </c>
      <c r="E1284" s="1" t="s">
        <v>2252</v>
      </c>
      <c r="F1284" t="s">
        <v>2253</v>
      </c>
      <c r="G1284" t="s">
        <v>2251</v>
      </c>
      <c r="H1284" t="s">
        <v>49</v>
      </c>
      <c r="I1284" t="s">
        <v>50</v>
      </c>
      <c r="J1284">
        <v>6.39</v>
      </c>
      <c r="K1284" t="e">
        <f>IF(COUNTIF(#REF!,Tabela2[[#This Row],[IdxWspolny]])&gt;0,"ELEM_lub_PRD","TECHN")</f>
        <v>#REF!</v>
      </c>
      <c r="L1284" t="e">
        <f>IF(COUNTIF(#REF!,Tabela2[[#This Row],[KOD_PRODUKTU]])&gt;0,"ELEMENT","PRODUKT")</f>
        <v>#REF!</v>
      </c>
      <c r="M1284" t="e">
        <f>COUNTIF(#REF!,Tabela2[[#This Row],[KOD_PRODUKTU]])</f>
        <v>#REF!</v>
      </c>
    </row>
    <row r="1285" spans="1:13" x14ac:dyDescent="0.25">
      <c r="A1285" s="1" t="s">
        <v>2268</v>
      </c>
      <c r="B1285" t="s">
        <v>2269</v>
      </c>
      <c r="C1285" s="1" t="s">
        <v>2254</v>
      </c>
      <c r="D1285" s="1" t="s">
        <v>2254</v>
      </c>
      <c r="E1285" s="1" t="s">
        <v>2254</v>
      </c>
      <c r="F1285" t="s">
        <v>2255</v>
      </c>
      <c r="G1285" t="s">
        <v>2256</v>
      </c>
      <c r="H1285" t="s">
        <v>49</v>
      </c>
      <c r="I1285" t="s">
        <v>92</v>
      </c>
      <c r="J1285">
        <v>4.5</v>
      </c>
      <c r="K1285" t="e">
        <f>IF(COUNTIF(#REF!,Tabela2[[#This Row],[IdxWspolny]])&gt;0,"ELEM_lub_PRD","TECHN")</f>
        <v>#REF!</v>
      </c>
      <c r="L1285" t="e">
        <f>IF(COUNTIF(#REF!,Tabela2[[#This Row],[KOD_PRODUKTU]])&gt;0,"ELEMENT","PRODUKT")</f>
        <v>#REF!</v>
      </c>
      <c r="M1285" t="e">
        <f>COUNTIF(#REF!,Tabela2[[#This Row],[KOD_PRODUKTU]])</f>
        <v>#REF!</v>
      </c>
    </row>
    <row r="1286" spans="1:13" x14ac:dyDescent="0.25">
      <c r="A1286" s="1" t="s">
        <v>2268</v>
      </c>
      <c r="B1286" t="s">
        <v>2269</v>
      </c>
      <c r="C1286" s="1" t="s">
        <v>541</v>
      </c>
      <c r="D1286" s="1" t="s">
        <v>541</v>
      </c>
      <c r="E1286" s="1" t="s">
        <v>541</v>
      </c>
      <c r="F1286" t="s">
        <v>542</v>
      </c>
      <c r="G1286" t="s">
        <v>9</v>
      </c>
      <c r="H1286" t="s">
        <v>10</v>
      </c>
      <c r="I1286" t="s">
        <v>2272</v>
      </c>
      <c r="J1286">
        <v>21.68</v>
      </c>
      <c r="K1286" t="e">
        <f>IF(COUNTIF(#REF!,Tabela2[[#This Row],[IdxWspolny]])&gt;0,"ELEM_lub_PRD","TECHN")</f>
        <v>#REF!</v>
      </c>
      <c r="L1286" t="e">
        <f>IF(COUNTIF(#REF!,Tabela2[[#This Row],[KOD_PRODUKTU]])&gt;0,"ELEMENT","PRODUKT")</f>
        <v>#REF!</v>
      </c>
      <c r="M1286" t="e">
        <f>COUNTIF(#REF!,Tabela2[[#This Row],[KOD_PRODUKTU]])</f>
        <v>#REF!</v>
      </c>
    </row>
    <row r="1287" spans="1:13" x14ac:dyDescent="0.25">
      <c r="A1287" s="1" t="s">
        <v>2273</v>
      </c>
      <c r="B1287" t="s">
        <v>2274</v>
      </c>
      <c r="C1287" s="1" t="s">
        <v>507</v>
      </c>
      <c r="D1287" s="1" t="s">
        <v>507</v>
      </c>
      <c r="E1287" s="1" t="s">
        <v>507</v>
      </c>
      <c r="F1287" t="s">
        <v>508</v>
      </c>
      <c r="G1287" t="s">
        <v>578</v>
      </c>
      <c r="H1287" t="s">
        <v>5</v>
      </c>
      <c r="I1287" t="s">
        <v>2275</v>
      </c>
      <c r="J1287">
        <v>8.44</v>
      </c>
      <c r="K1287" t="e">
        <f>IF(COUNTIF(#REF!,Tabela2[[#This Row],[IdxWspolny]])&gt;0,"ELEM_lub_PRD","TECHN")</f>
        <v>#REF!</v>
      </c>
      <c r="L1287" t="e">
        <f>IF(COUNTIF(#REF!,Tabela2[[#This Row],[KOD_PRODUKTU]])&gt;0,"ELEMENT","PRODUKT")</f>
        <v>#REF!</v>
      </c>
      <c r="M1287" t="e">
        <f>COUNTIF(#REF!,Tabela2[[#This Row],[KOD_PRODUKTU]])</f>
        <v>#REF!</v>
      </c>
    </row>
    <row r="1288" spans="1:13" x14ac:dyDescent="0.25">
      <c r="A1288" s="1" t="s">
        <v>2273</v>
      </c>
      <c r="B1288" t="s">
        <v>2274</v>
      </c>
      <c r="C1288" s="1" t="s">
        <v>1907</v>
      </c>
      <c r="D1288" s="1" t="s">
        <v>1907</v>
      </c>
      <c r="E1288" s="1" t="s">
        <v>1907</v>
      </c>
      <c r="F1288" t="s">
        <v>1908</v>
      </c>
      <c r="G1288" t="s">
        <v>1909</v>
      </c>
      <c r="H1288" t="s">
        <v>39</v>
      </c>
      <c r="I1288" t="s">
        <v>478</v>
      </c>
      <c r="J1288">
        <v>0.91</v>
      </c>
      <c r="K1288" t="e">
        <f>IF(COUNTIF(#REF!,Tabela2[[#This Row],[IdxWspolny]])&gt;0,"ELEM_lub_PRD","TECHN")</f>
        <v>#REF!</v>
      </c>
      <c r="L1288" t="e">
        <f>IF(COUNTIF(#REF!,Tabela2[[#This Row],[KOD_PRODUKTU]])&gt;0,"ELEMENT","PRODUKT")</f>
        <v>#REF!</v>
      </c>
      <c r="M1288" t="e">
        <f>COUNTIF(#REF!,Tabela2[[#This Row],[KOD_PRODUKTU]])</f>
        <v>#REF!</v>
      </c>
    </row>
    <row r="1289" spans="1:13" x14ac:dyDescent="0.25">
      <c r="A1289" s="1" t="s">
        <v>2273</v>
      </c>
      <c r="B1289" t="s">
        <v>2274</v>
      </c>
      <c r="C1289" s="1" t="s">
        <v>2242</v>
      </c>
      <c r="D1289" s="1" t="s">
        <v>2242</v>
      </c>
      <c r="E1289" s="1" t="s">
        <v>2242</v>
      </c>
      <c r="F1289" t="s">
        <v>2243</v>
      </c>
      <c r="G1289" t="s">
        <v>557</v>
      </c>
      <c r="H1289" t="s">
        <v>39</v>
      </c>
      <c r="I1289" t="s">
        <v>605</v>
      </c>
      <c r="J1289">
        <v>0.34</v>
      </c>
      <c r="K1289" t="e">
        <f>IF(COUNTIF(#REF!,Tabela2[[#This Row],[IdxWspolny]])&gt;0,"ELEM_lub_PRD","TECHN")</f>
        <v>#REF!</v>
      </c>
      <c r="L1289" t="e">
        <f>IF(COUNTIF(#REF!,Tabela2[[#This Row],[KOD_PRODUKTU]])&gt;0,"ELEMENT","PRODUKT")</f>
        <v>#REF!</v>
      </c>
      <c r="M1289" t="e">
        <f>COUNTIF(#REF!,Tabela2[[#This Row],[KOD_PRODUKTU]])</f>
        <v>#REF!</v>
      </c>
    </row>
    <row r="1290" spans="1:13" x14ac:dyDescent="0.25">
      <c r="A1290" s="1" t="s">
        <v>2273</v>
      </c>
      <c r="B1290" t="s">
        <v>2274</v>
      </c>
      <c r="C1290" s="1" t="s">
        <v>514</v>
      </c>
      <c r="D1290" s="1" t="s">
        <v>514</v>
      </c>
      <c r="E1290" s="1" t="s">
        <v>514</v>
      </c>
      <c r="F1290" t="s">
        <v>515</v>
      </c>
      <c r="G1290" t="s">
        <v>516</v>
      </c>
      <c r="H1290" t="s">
        <v>121</v>
      </c>
      <c r="I1290" t="s">
        <v>50</v>
      </c>
      <c r="J1290">
        <v>0.27</v>
      </c>
      <c r="K1290" t="e">
        <f>IF(COUNTIF(#REF!,Tabela2[[#This Row],[IdxWspolny]])&gt;0,"ELEM_lub_PRD","TECHN")</f>
        <v>#REF!</v>
      </c>
      <c r="L1290" t="e">
        <f>IF(COUNTIF(#REF!,Tabela2[[#This Row],[KOD_PRODUKTU]])&gt;0,"ELEMENT","PRODUKT")</f>
        <v>#REF!</v>
      </c>
      <c r="M1290" t="e">
        <f>COUNTIF(#REF!,Tabela2[[#This Row],[KOD_PRODUKTU]])</f>
        <v>#REF!</v>
      </c>
    </row>
    <row r="1291" spans="1:13" x14ac:dyDescent="0.25">
      <c r="A1291" s="1" t="s">
        <v>2273</v>
      </c>
      <c r="B1291" t="s">
        <v>2274</v>
      </c>
      <c r="C1291" s="1" t="s">
        <v>2246</v>
      </c>
      <c r="D1291" s="1" t="s">
        <v>2246</v>
      </c>
      <c r="E1291" s="1" t="s">
        <v>2246</v>
      </c>
      <c r="F1291" t="s">
        <v>2247</v>
      </c>
      <c r="G1291" t="s">
        <v>2248</v>
      </c>
      <c r="H1291" t="s">
        <v>49</v>
      </c>
      <c r="I1291" t="s">
        <v>92</v>
      </c>
      <c r="J1291">
        <v>4.3</v>
      </c>
      <c r="K1291" t="e">
        <f>IF(COUNTIF(#REF!,Tabela2[[#This Row],[IdxWspolny]])&gt;0,"ELEM_lub_PRD","TECHN")</f>
        <v>#REF!</v>
      </c>
      <c r="L1291" t="e">
        <f>IF(COUNTIF(#REF!,Tabela2[[#This Row],[KOD_PRODUKTU]])&gt;0,"ELEMENT","PRODUKT")</f>
        <v>#REF!</v>
      </c>
      <c r="M1291" t="e">
        <f>COUNTIF(#REF!,Tabela2[[#This Row],[KOD_PRODUKTU]])</f>
        <v>#REF!</v>
      </c>
    </row>
    <row r="1292" spans="1:13" x14ac:dyDescent="0.25">
      <c r="A1292" s="1" t="s">
        <v>2273</v>
      </c>
      <c r="B1292" t="s">
        <v>2274</v>
      </c>
      <c r="C1292" s="1" t="s">
        <v>2249</v>
      </c>
      <c r="D1292" s="1" t="s">
        <v>2249</v>
      </c>
      <c r="E1292" s="1" t="s">
        <v>2249</v>
      </c>
      <c r="F1292" t="s">
        <v>2250</v>
      </c>
      <c r="G1292" t="s">
        <v>2251</v>
      </c>
      <c r="H1292" t="s">
        <v>49</v>
      </c>
      <c r="I1292" t="s">
        <v>50</v>
      </c>
      <c r="J1292">
        <v>6.39</v>
      </c>
      <c r="K1292" t="e">
        <f>IF(COUNTIF(#REF!,Tabela2[[#This Row],[IdxWspolny]])&gt;0,"ELEM_lub_PRD","TECHN")</f>
        <v>#REF!</v>
      </c>
      <c r="L1292" t="e">
        <f>IF(COUNTIF(#REF!,Tabela2[[#This Row],[KOD_PRODUKTU]])&gt;0,"ELEMENT","PRODUKT")</f>
        <v>#REF!</v>
      </c>
      <c r="M1292" t="e">
        <f>COUNTIF(#REF!,Tabela2[[#This Row],[KOD_PRODUKTU]])</f>
        <v>#REF!</v>
      </c>
    </row>
    <row r="1293" spans="1:13" x14ac:dyDescent="0.25">
      <c r="A1293" s="1" t="s">
        <v>2273</v>
      </c>
      <c r="B1293" t="s">
        <v>2274</v>
      </c>
      <c r="C1293" s="1" t="s">
        <v>2252</v>
      </c>
      <c r="D1293" s="1" t="s">
        <v>2252</v>
      </c>
      <c r="E1293" s="1" t="s">
        <v>2252</v>
      </c>
      <c r="F1293" t="s">
        <v>2253</v>
      </c>
      <c r="G1293" t="s">
        <v>2251</v>
      </c>
      <c r="H1293" t="s">
        <v>49</v>
      </c>
      <c r="I1293" t="s">
        <v>50</v>
      </c>
      <c r="J1293">
        <v>6.39</v>
      </c>
      <c r="K1293" t="e">
        <f>IF(COUNTIF(#REF!,Tabela2[[#This Row],[IdxWspolny]])&gt;0,"ELEM_lub_PRD","TECHN")</f>
        <v>#REF!</v>
      </c>
      <c r="L1293" t="e">
        <f>IF(COUNTIF(#REF!,Tabela2[[#This Row],[KOD_PRODUKTU]])&gt;0,"ELEMENT","PRODUKT")</f>
        <v>#REF!</v>
      </c>
      <c r="M1293" t="e">
        <f>COUNTIF(#REF!,Tabela2[[#This Row],[KOD_PRODUKTU]])</f>
        <v>#REF!</v>
      </c>
    </row>
    <row r="1294" spans="1:13" x14ac:dyDescent="0.25">
      <c r="A1294" s="1" t="s">
        <v>2273</v>
      </c>
      <c r="B1294" t="s">
        <v>2274</v>
      </c>
      <c r="C1294" s="1" t="s">
        <v>2254</v>
      </c>
      <c r="D1294" s="1" t="s">
        <v>2254</v>
      </c>
      <c r="E1294" s="1" t="s">
        <v>2254</v>
      </c>
      <c r="F1294" t="s">
        <v>2255</v>
      </c>
      <c r="G1294" t="s">
        <v>2256</v>
      </c>
      <c r="H1294" t="s">
        <v>49</v>
      </c>
      <c r="I1294" t="s">
        <v>50</v>
      </c>
      <c r="J1294">
        <v>2.25</v>
      </c>
      <c r="K1294" t="e">
        <f>IF(COUNTIF(#REF!,Tabela2[[#This Row],[IdxWspolny]])&gt;0,"ELEM_lub_PRD","TECHN")</f>
        <v>#REF!</v>
      </c>
      <c r="L1294" t="e">
        <f>IF(COUNTIF(#REF!,Tabela2[[#This Row],[KOD_PRODUKTU]])&gt;0,"ELEMENT","PRODUKT")</f>
        <v>#REF!</v>
      </c>
      <c r="M1294" t="e">
        <f>COUNTIF(#REF!,Tabela2[[#This Row],[KOD_PRODUKTU]])</f>
        <v>#REF!</v>
      </c>
    </row>
    <row r="1295" spans="1:13" x14ac:dyDescent="0.25">
      <c r="A1295" s="1" t="s">
        <v>2273</v>
      </c>
      <c r="B1295" t="s">
        <v>2274</v>
      </c>
      <c r="C1295" s="1" t="s">
        <v>541</v>
      </c>
      <c r="D1295" s="1" t="s">
        <v>541</v>
      </c>
      <c r="E1295" s="1" t="s">
        <v>541</v>
      </c>
      <c r="F1295" t="s">
        <v>542</v>
      </c>
      <c r="G1295" t="s">
        <v>9</v>
      </c>
      <c r="H1295" t="s">
        <v>10</v>
      </c>
      <c r="I1295" t="s">
        <v>2276</v>
      </c>
      <c r="J1295">
        <v>16.53</v>
      </c>
      <c r="K1295" t="e">
        <f>IF(COUNTIF(#REF!,Tabela2[[#This Row],[IdxWspolny]])&gt;0,"ELEM_lub_PRD","TECHN")</f>
        <v>#REF!</v>
      </c>
      <c r="L1295" t="e">
        <f>IF(COUNTIF(#REF!,Tabela2[[#This Row],[KOD_PRODUKTU]])&gt;0,"ELEMENT","PRODUKT")</f>
        <v>#REF!</v>
      </c>
      <c r="M1295" t="e">
        <f>COUNTIF(#REF!,Tabela2[[#This Row],[KOD_PRODUKTU]])</f>
        <v>#REF!</v>
      </c>
    </row>
    <row r="1296" spans="1:13" x14ac:dyDescent="0.25">
      <c r="A1296" s="1" t="s">
        <v>2277</v>
      </c>
      <c r="B1296" t="s">
        <v>2278</v>
      </c>
      <c r="C1296" s="1" t="s">
        <v>507</v>
      </c>
      <c r="D1296" s="1" t="s">
        <v>507</v>
      </c>
      <c r="E1296" s="1" t="s">
        <v>507</v>
      </c>
      <c r="F1296" t="s">
        <v>508</v>
      </c>
      <c r="G1296" t="s">
        <v>578</v>
      </c>
      <c r="H1296" t="s">
        <v>5</v>
      </c>
      <c r="I1296" t="s">
        <v>2279</v>
      </c>
      <c r="J1296">
        <v>16.64</v>
      </c>
      <c r="K1296" t="e">
        <f>IF(COUNTIF(#REF!,Tabela2[[#This Row],[IdxWspolny]])&gt;0,"ELEM_lub_PRD","TECHN")</f>
        <v>#REF!</v>
      </c>
      <c r="L1296" t="e">
        <f>IF(COUNTIF(#REF!,Tabela2[[#This Row],[KOD_PRODUKTU]])&gt;0,"ELEMENT","PRODUKT")</f>
        <v>#REF!</v>
      </c>
      <c r="M1296" t="e">
        <f>COUNTIF(#REF!,Tabela2[[#This Row],[KOD_PRODUKTU]])</f>
        <v>#REF!</v>
      </c>
    </row>
    <row r="1297" spans="1:13" x14ac:dyDescent="0.25">
      <c r="A1297" s="1" t="s">
        <v>2277</v>
      </c>
      <c r="B1297" t="s">
        <v>2278</v>
      </c>
      <c r="C1297" s="1" t="s">
        <v>1907</v>
      </c>
      <c r="D1297" s="1" t="s">
        <v>1907</v>
      </c>
      <c r="E1297" s="1" t="s">
        <v>1907</v>
      </c>
      <c r="F1297" t="s">
        <v>1908</v>
      </c>
      <c r="G1297" t="s">
        <v>1909</v>
      </c>
      <c r="H1297" t="s">
        <v>39</v>
      </c>
      <c r="I1297" t="s">
        <v>2194</v>
      </c>
      <c r="J1297">
        <v>2.06</v>
      </c>
      <c r="K1297" t="e">
        <f>IF(COUNTIF(#REF!,Tabela2[[#This Row],[IdxWspolny]])&gt;0,"ELEM_lub_PRD","TECHN")</f>
        <v>#REF!</v>
      </c>
      <c r="L1297" t="e">
        <f>IF(COUNTIF(#REF!,Tabela2[[#This Row],[KOD_PRODUKTU]])&gt;0,"ELEMENT","PRODUKT")</f>
        <v>#REF!</v>
      </c>
      <c r="M1297" t="e">
        <f>COUNTIF(#REF!,Tabela2[[#This Row],[KOD_PRODUKTU]])</f>
        <v>#REF!</v>
      </c>
    </row>
    <row r="1298" spans="1:13" x14ac:dyDescent="0.25">
      <c r="A1298" s="1" t="s">
        <v>2277</v>
      </c>
      <c r="B1298" t="s">
        <v>2278</v>
      </c>
      <c r="C1298" s="1" t="s">
        <v>2242</v>
      </c>
      <c r="D1298" s="1" t="s">
        <v>2242</v>
      </c>
      <c r="E1298" s="1" t="s">
        <v>2242</v>
      </c>
      <c r="F1298" t="s">
        <v>2243</v>
      </c>
      <c r="G1298" t="s">
        <v>557</v>
      </c>
      <c r="H1298" t="s">
        <v>39</v>
      </c>
      <c r="I1298" t="s">
        <v>605</v>
      </c>
      <c r="J1298">
        <v>0.34</v>
      </c>
      <c r="K1298" t="e">
        <f>IF(COUNTIF(#REF!,Tabela2[[#This Row],[IdxWspolny]])&gt;0,"ELEM_lub_PRD","TECHN")</f>
        <v>#REF!</v>
      </c>
      <c r="L1298" t="e">
        <f>IF(COUNTIF(#REF!,Tabela2[[#This Row],[KOD_PRODUKTU]])&gt;0,"ELEMENT","PRODUKT")</f>
        <v>#REF!</v>
      </c>
      <c r="M1298" t="e">
        <f>COUNTIF(#REF!,Tabela2[[#This Row],[KOD_PRODUKTU]])</f>
        <v>#REF!</v>
      </c>
    </row>
    <row r="1299" spans="1:13" x14ac:dyDescent="0.25">
      <c r="A1299" s="1" t="s">
        <v>2277</v>
      </c>
      <c r="B1299" t="s">
        <v>2278</v>
      </c>
      <c r="C1299" s="1" t="s">
        <v>2261</v>
      </c>
      <c r="D1299" s="1" t="s">
        <v>2261</v>
      </c>
      <c r="E1299" s="1" t="s">
        <v>2261</v>
      </c>
      <c r="F1299" t="s">
        <v>2262</v>
      </c>
      <c r="G1299" t="s">
        <v>2263</v>
      </c>
      <c r="H1299" t="s">
        <v>49</v>
      </c>
      <c r="I1299" t="s">
        <v>92</v>
      </c>
      <c r="J1299">
        <v>22.54</v>
      </c>
      <c r="K1299" t="e">
        <f>IF(COUNTIF(#REF!,Tabela2[[#This Row],[IdxWspolny]])&gt;0,"ELEM_lub_PRD","TECHN")</f>
        <v>#REF!</v>
      </c>
      <c r="L1299" t="e">
        <f>IF(COUNTIF(#REF!,Tabela2[[#This Row],[KOD_PRODUKTU]])&gt;0,"ELEMENT","PRODUKT")</f>
        <v>#REF!</v>
      </c>
      <c r="M1299" t="e">
        <f>COUNTIF(#REF!,Tabela2[[#This Row],[KOD_PRODUKTU]])</f>
        <v>#REF!</v>
      </c>
    </row>
    <row r="1300" spans="1:13" x14ac:dyDescent="0.25">
      <c r="A1300" s="1" t="s">
        <v>2277</v>
      </c>
      <c r="B1300" t="s">
        <v>2278</v>
      </c>
      <c r="C1300" s="1" t="s">
        <v>2246</v>
      </c>
      <c r="D1300" s="1" t="s">
        <v>2246</v>
      </c>
      <c r="E1300" s="1" t="s">
        <v>2246</v>
      </c>
      <c r="F1300" t="s">
        <v>2247</v>
      </c>
      <c r="G1300" t="s">
        <v>2248</v>
      </c>
      <c r="H1300" t="s">
        <v>49</v>
      </c>
      <c r="I1300" t="s">
        <v>92</v>
      </c>
      <c r="J1300">
        <v>4.3</v>
      </c>
      <c r="K1300" t="e">
        <f>IF(COUNTIF(#REF!,Tabela2[[#This Row],[IdxWspolny]])&gt;0,"ELEM_lub_PRD","TECHN")</f>
        <v>#REF!</v>
      </c>
      <c r="L1300" t="e">
        <f>IF(COUNTIF(#REF!,Tabela2[[#This Row],[KOD_PRODUKTU]])&gt;0,"ELEMENT","PRODUKT")</f>
        <v>#REF!</v>
      </c>
      <c r="M1300" t="e">
        <f>COUNTIF(#REF!,Tabela2[[#This Row],[KOD_PRODUKTU]])</f>
        <v>#REF!</v>
      </c>
    </row>
    <row r="1301" spans="1:13" x14ac:dyDescent="0.25">
      <c r="A1301" s="1" t="s">
        <v>2277</v>
      </c>
      <c r="B1301" t="s">
        <v>2278</v>
      </c>
      <c r="C1301" s="1" t="s">
        <v>2249</v>
      </c>
      <c r="D1301" s="1" t="s">
        <v>2249</v>
      </c>
      <c r="E1301" s="1" t="s">
        <v>2249</v>
      </c>
      <c r="F1301" t="s">
        <v>2250</v>
      </c>
      <c r="G1301" t="s">
        <v>2251</v>
      </c>
      <c r="H1301" t="s">
        <v>49</v>
      </c>
      <c r="I1301" t="s">
        <v>50</v>
      </c>
      <c r="J1301">
        <v>6.39</v>
      </c>
      <c r="K1301" t="e">
        <f>IF(COUNTIF(#REF!,Tabela2[[#This Row],[IdxWspolny]])&gt;0,"ELEM_lub_PRD","TECHN")</f>
        <v>#REF!</v>
      </c>
      <c r="L1301" t="e">
        <f>IF(COUNTIF(#REF!,Tabela2[[#This Row],[KOD_PRODUKTU]])&gt;0,"ELEMENT","PRODUKT")</f>
        <v>#REF!</v>
      </c>
      <c r="M1301" t="e">
        <f>COUNTIF(#REF!,Tabela2[[#This Row],[KOD_PRODUKTU]])</f>
        <v>#REF!</v>
      </c>
    </row>
    <row r="1302" spans="1:13" x14ac:dyDescent="0.25">
      <c r="A1302" s="1" t="s">
        <v>2277</v>
      </c>
      <c r="B1302" t="s">
        <v>2278</v>
      </c>
      <c r="C1302" s="1" t="s">
        <v>2252</v>
      </c>
      <c r="D1302" s="1" t="s">
        <v>2252</v>
      </c>
      <c r="E1302" s="1" t="s">
        <v>2252</v>
      </c>
      <c r="F1302" t="s">
        <v>2253</v>
      </c>
      <c r="G1302" t="s">
        <v>2251</v>
      </c>
      <c r="H1302" t="s">
        <v>49</v>
      </c>
      <c r="I1302" t="s">
        <v>50</v>
      </c>
      <c r="J1302">
        <v>6.39</v>
      </c>
      <c r="K1302" t="e">
        <f>IF(COUNTIF(#REF!,Tabela2[[#This Row],[IdxWspolny]])&gt;0,"ELEM_lub_PRD","TECHN")</f>
        <v>#REF!</v>
      </c>
      <c r="L1302" t="e">
        <f>IF(COUNTIF(#REF!,Tabela2[[#This Row],[KOD_PRODUKTU]])&gt;0,"ELEMENT","PRODUKT")</f>
        <v>#REF!</v>
      </c>
      <c r="M1302" t="e">
        <f>COUNTIF(#REF!,Tabela2[[#This Row],[KOD_PRODUKTU]])</f>
        <v>#REF!</v>
      </c>
    </row>
    <row r="1303" spans="1:13" x14ac:dyDescent="0.25">
      <c r="A1303" s="1" t="s">
        <v>2277</v>
      </c>
      <c r="B1303" t="s">
        <v>2278</v>
      </c>
      <c r="C1303" s="1" t="s">
        <v>2254</v>
      </c>
      <c r="D1303" s="1" t="s">
        <v>2254</v>
      </c>
      <c r="E1303" s="1" t="s">
        <v>2254</v>
      </c>
      <c r="F1303" t="s">
        <v>2255</v>
      </c>
      <c r="G1303" t="s">
        <v>2256</v>
      </c>
      <c r="H1303" t="s">
        <v>49</v>
      </c>
      <c r="I1303" t="s">
        <v>92</v>
      </c>
      <c r="J1303">
        <v>4.5</v>
      </c>
      <c r="K1303" t="e">
        <f>IF(COUNTIF(#REF!,Tabela2[[#This Row],[IdxWspolny]])&gt;0,"ELEM_lub_PRD","TECHN")</f>
        <v>#REF!</v>
      </c>
      <c r="L1303" t="e">
        <f>IF(COUNTIF(#REF!,Tabela2[[#This Row],[KOD_PRODUKTU]])&gt;0,"ELEMENT","PRODUKT")</f>
        <v>#REF!</v>
      </c>
      <c r="M1303" t="e">
        <f>COUNTIF(#REF!,Tabela2[[#This Row],[KOD_PRODUKTU]])</f>
        <v>#REF!</v>
      </c>
    </row>
    <row r="1304" spans="1:13" x14ac:dyDescent="0.25">
      <c r="A1304" s="1" t="s">
        <v>2277</v>
      </c>
      <c r="B1304" t="s">
        <v>2278</v>
      </c>
      <c r="C1304" s="1" t="s">
        <v>541</v>
      </c>
      <c r="D1304" s="1" t="s">
        <v>541</v>
      </c>
      <c r="E1304" s="1" t="s">
        <v>541</v>
      </c>
      <c r="F1304" t="s">
        <v>542</v>
      </c>
      <c r="G1304" t="s">
        <v>9</v>
      </c>
      <c r="H1304" t="s">
        <v>10</v>
      </c>
      <c r="I1304" t="s">
        <v>2264</v>
      </c>
      <c r="J1304">
        <v>21.71</v>
      </c>
      <c r="K1304" t="e">
        <f>IF(COUNTIF(#REF!,Tabela2[[#This Row],[IdxWspolny]])&gt;0,"ELEM_lub_PRD","TECHN")</f>
        <v>#REF!</v>
      </c>
      <c r="L1304" t="e">
        <f>IF(COUNTIF(#REF!,Tabela2[[#This Row],[KOD_PRODUKTU]])&gt;0,"ELEMENT","PRODUKT")</f>
        <v>#REF!</v>
      </c>
      <c r="M1304" t="e">
        <f>COUNTIF(#REF!,Tabela2[[#This Row],[KOD_PRODUKTU]])</f>
        <v>#REF!</v>
      </c>
    </row>
    <row r="1305" spans="1:13" x14ac:dyDescent="0.25">
      <c r="A1305" s="1" t="s">
        <v>2280</v>
      </c>
      <c r="B1305" t="s">
        <v>2281</v>
      </c>
      <c r="C1305" s="1" t="s">
        <v>507</v>
      </c>
      <c r="D1305" s="1" t="s">
        <v>507</v>
      </c>
      <c r="E1305" s="1" t="s">
        <v>507</v>
      </c>
      <c r="F1305" t="s">
        <v>508</v>
      </c>
      <c r="G1305" t="s">
        <v>578</v>
      </c>
      <c r="H1305" t="s">
        <v>5</v>
      </c>
      <c r="I1305" t="s">
        <v>2282</v>
      </c>
      <c r="J1305">
        <v>12.06</v>
      </c>
      <c r="K1305" t="e">
        <f>IF(COUNTIF(#REF!,Tabela2[[#This Row],[IdxWspolny]])&gt;0,"ELEM_lub_PRD","TECHN")</f>
        <v>#REF!</v>
      </c>
      <c r="L1305" t="e">
        <f>IF(COUNTIF(#REF!,Tabela2[[#This Row],[KOD_PRODUKTU]])&gt;0,"ELEMENT","PRODUKT")</f>
        <v>#REF!</v>
      </c>
      <c r="M1305" t="e">
        <f>COUNTIF(#REF!,Tabela2[[#This Row],[KOD_PRODUKTU]])</f>
        <v>#REF!</v>
      </c>
    </row>
    <row r="1306" spans="1:13" x14ac:dyDescent="0.25">
      <c r="A1306" s="1" t="s">
        <v>2280</v>
      </c>
      <c r="B1306" t="s">
        <v>2281</v>
      </c>
      <c r="C1306" s="1" t="s">
        <v>511</v>
      </c>
      <c r="D1306" s="1" t="s">
        <v>511</v>
      </c>
      <c r="E1306" s="1" t="s">
        <v>511</v>
      </c>
      <c r="F1306" t="s">
        <v>512</v>
      </c>
      <c r="G1306" t="s">
        <v>580</v>
      </c>
      <c r="H1306" t="s">
        <v>39</v>
      </c>
      <c r="I1306" t="s">
        <v>478</v>
      </c>
      <c r="J1306">
        <v>0.6</v>
      </c>
      <c r="K1306" t="e">
        <f>IF(COUNTIF(#REF!,Tabela2[[#This Row],[IdxWspolny]])&gt;0,"ELEM_lub_PRD","TECHN")</f>
        <v>#REF!</v>
      </c>
      <c r="L1306" t="e">
        <f>IF(COUNTIF(#REF!,Tabela2[[#This Row],[KOD_PRODUKTU]])&gt;0,"ELEMENT","PRODUKT")</f>
        <v>#REF!</v>
      </c>
      <c r="M1306" t="e">
        <f>COUNTIF(#REF!,Tabela2[[#This Row],[KOD_PRODUKTU]])</f>
        <v>#REF!</v>
      </c>
    </row>
    <row r="1307" spans="1:13" x14ac:dyDescent="0.25">
      <c r="A1307" s="1" t="s">
        <v>2280</v>
      </c>
      <c r="B1307" t="s">
        <v>2281</v>
      </c>
      <c r="C1307" s="1" t="s">
        <v>514</v>
      </c>
      <c r="D1307" s="1" t="s">
        <v>514</v>
      </c>
      <c r="E1307" s="1" t="s">
        <v>514</v>
      </c>
      <c r="F1307" t="s">
        <v>515</v>
      </c>
      <c r="G1307" t="s">
        <v>516</v>
      </c>
      <c r="H1307" t="s">
        <v>121</v>
      </c>
      <c r="I1307" t="s">
        <v>50</v>
      </c>
      <c r="J1307">
        <v>0.27</v>
      </c>
      <c r="K1307" t="e">
        <f>IF(COUNTIF(#REF!,Tabela2[[#This Row],[IdxWspolny]])&gt;0,"ELEM_lub_PRD","TECHN")</f>
        <v>#REF!</v>
      </c>
      <c r="L1307" t="e">
        <f>IF(COUNTIF(#REF!,Tabela2[[#This Row],[KOD_PRODUKTU]])&gt;0,"ELEMENT","PRODUKT")</f>
        <v>#REF!</v>
      </c>
      <c r="M1307" t="e">
        <f>COUNTIF(#REF!,Tabela2[[#This Row],[KOD_PRODUKTU]])</f>
        <v>#REF!</v>
      </c>
    </row>
    <row r="1308" spans="1:13" x14ac:dyDescent="0.25">
      <c r="A1308" s="1" t="s">
        <v>2280</v>
      </c>
      <c r="B1308" t="s">
        <v>2281</v>
      </c>
      <c r="C1308" s="1" t="s">
        <v>41</v>
      </c>
      <c r="D1308" s="1" t="s">
        <v>41</v>
      </c>
      <c r="E1308" s="1" t="s">
        <v>41</v>
      </c>
      <c r="F1308" t="s">
        <v>42</v>
      </c>
      <c r="G1308" t="s">
        <v>513</v>
      </c>
      <c r="H1308" t="s">
        <v>5</v>
      </c>
      <c r="I1308" t="s">
        <v>2283</v>
      </c>
      <c r="J1308">
        <v>0.06</v>
      </c>
      <c r="K1308" t="e">
        <f>IF(COUNTIF(#REF!,Tabela2[[#This Row],[IdxWspolny]])&gt;0,"ELEM_lub_PRD","TECHN")</f>
        <v>#REF!</v>
      </c>
      <c r="L1308" t="e">
        <f>IF(COUNTIF(#REF!,Tabela2[[#This Row],[KOD_PRODUKTU]])&gt;0,"ELEMENT","PRODUKT")</f>
        <v>#REF!</v>
      </c>
      <c r="M1308" t="e">
        <f>COUNTIF(#REF!,Tabela2[[#This Row],[KOD_PRODUKTU]])</f>
        <v>#REF!</v>
      </c>
    </row>
    <row r="1309" spans="1:13" x14ac:dyDescent="0.25">
      <c r="A1309" s="1" t="s">
        <v>2280</v>
      </c>
      <c r="B1309" t="s">
        <v>2281</v>
      </c>
      <c r="C1309" s="1" t="s">
        <v>517</v>
      </c>
      <c r="D1309" s="1" t="s">
        <v>517</v>
      </c>
      <c r="E1309" s="1" t="s">
        <v>517</v>
      </c>
      <c r="F1309" t="s">
        <v>518</v>
      </c>
      <c r="G1309" t="s">
        <v>519</v>
      </c>
      <c r="H1309" t="s">
        <v>121</v>
      </c>
      <c r="I1309" t="s">
        <v>92</v>
      </c>
      <c r="J1309">
        <v>11.1</v>
      </c>
      <c r="K1309" t="e">
        <f>IF(COUNTIF(#REF!,Tabela2[[#This Row],[IdxWspolny]])&gt;0,"ELEM_lub_PRD","TECHN")</f>
        <v>#REF!</v>
      </c>
      <c r="L1309" t="e">
        <f>IF(COUNTIF(#REF!,Tabela2[[#This Row],[KOD_PRODUKTU]])&gt;0,"ELEMENT","PRODUKT")</f>
        <v>#REF!</v>
      </c>
      <c r="M1309" t="e">
        <f>COUNTIF(#REF!,Tabela2[[#This Row],[KOD_PRODUKTU]])</f>
        <v>#REF!</v>
      </c>
    </row>
    <row r="1310" spans="1:13" x14ac:dyDescent="0.25">
      <c r="A1310" s="1" t="s">
        <v>2280</v>
      </c>
      <c r="B1310" t="s">
        <v>2281</v>
      </c>
      <c r="C1310" s="1" t="s">
        <v>520</v>
      </c>
      <c r="D1310" s="1" t="s">
        <v>520</v>
      </c>
      <c r="E1310" s="1" t="s">
        <v>520</v>
      </c>
      <c r="F1310" t="s">
        <v>521</v>
      </c>
      <c r="G1310" t="s">
        <v>522</v>
      </c>
      <c r="H1310" t="s">
        <v>121</v>
      </c>
      <c r="I1310" t="s">
        <v>50</v>
      </c>
      <c r="J1310">
        <v>3.45</v>
      </c>
      <c r="K1310" t="e">
        <f>IF(COUNTIF(#REF!,Tabela2[[#This Row],[IdxWspolny]])&gt;0,"ELEM_lub_PRD","TECHN")</f>
        <v>#REF!</v>
      </c>
      <c r="L1310" t="e">
        <f>IF(COUNTIF(#REF!,Tabela2[[#This Row],[KOD_PRODUKTU]])&gt;0,"ELEMENT","PRODUKT")</f>
        <v>#REF!</v>
      </c>
      <c r="M1310" t="e">
        <f>COUNTIF(#REF!,Tabela2[[#This Row],[KOD_PRODUKTU]])</f>
        <v>#REF!</v>
      </c>
    </row>
    <row r="1311" spans="1:13" x14ac:dyDescent="0.25">
      <c r="A1311" s="1" t="s">
        <v>2280</v>
      </c>
      <c r="B1311" t="s">
        <v>2281</v>
      </c>
      <c r="C1311" s="1" t="s">
        <v>541</v>
      </c>
      <c r="D1311" s="1" t="s">
        <v>541</v>
      </c>
      <c r="E1311" s="1" t="s">
        <v>541</v>
      </c>
      <c r="F1311" t="s">
        <v>542</v>
      </c>
      <c r="G1311" t="s">
        <v>9</v>
      </c>
      <c r="H1311" t="s">
        <v>10</v>
      </c>
      <c r="I1311" t="s">
        <v>2284</v>
      </c>
      <c r="J1311">
        <v>15.12</v>
      </c>
      <c r="K1311" t="e">
        <f>IF(COUNTIF(#REF!,Tabela2[[#This Row],[IdxWspolny]])&gt;0,"ELEM_lub_PRD","TECHN")</f>
        <v>#REF!</v>
      </c>
      <c r="L1311" t="e">
        <f>IF(COUNTIF(#REF!,Tabela2[[#This Row],[KOD_PRODUKTU]])&gt;0,"ELEMENT","PRODUKT")</f>
        <v>#REF!</v>
      </c>
      <c r="M1311" t="e">
        <f>COUNTIF(#REF!,Tabela2[[#This Row],[KOD_PRODUKTU]])</f>
        <v>#REF!</v>
      </c>
    </row>
    <row r="1312" spans="1:13" x14ac:dyDescent="0.25">
      <c r="A1312" s="1" t="s">
        <v>2285</v>
      </c>
      <c r="B1312" t="s">
        <v>2286</v>
      </c>
      <c r="C1312" s="1" t="s">
        <v>471</v>
      </c>
      <c r="D1312" s="1" t="s">
        <v>471</v>
      </c>
      <c r="E1312" s="1" t="s">
        <v>471</v>
      </c>
      <c r="F1312" t="s">
        <v>472</v>
      </c>
      <c r="G1312" t="s">
        <v>526</v>
      </c>
      <c r="H1312" t="s">
        <v>5</v>
      </c>
      <c r="I1312" t="s">
        <v>2287</v>
      </c>
      <c r="J1312">
        <v>32.94</v>
      </c>
      <c r="K1312" t="e">
        <f>IF(COUNTIF(#REF!,Tabela2[[#This Row],[IdxWspolny]])&gt;0,"ELEM_lub_PRD","TECHN")</f>
        <v>#REF!</v>
      </c>
      <c r="L1312" t="e">
        <f>IF(COUNTIF(#REF!,Tabela2[[#This Row],[KOD_PRODUKTU]])&gt;0,"ELEMENT","PRODUKT")</f>
        <v>#REF!</v>
      </c>
      <c r="M1312" t="e">
        <f>COUNTIF(#REF!,Tabela2[[#This Row],[KOD_PRODUKTU]])</f>
        <v>#REF!</v>
      </c>
    </row>
    <row r="1313" spans="1:14" x14ac:dyDescent="0.25">
      <c r="A1313" s="1" t="s">
        <v>2285</v>
      </c>
      <c r="B1313" t="s">
        <v>2286</v>
      </c>
      <c r="C1313" s="1" t="s">
        <v>475</v>
      </c>
      <c r="D1313" s="1" t="s">
        <v>475</v>
      </c>
      <c r="E1313" s="1" t="s">
        <v>475</v>
      </c>
      <c r="F1313" t="s">
        <v>476</v>
      </c>
      <c r="G1313" t="s">
        <v>477</v>
      </c>
      <c r="H1313" t="s">
        <v>39</v>
      </c>
      <c r="I1313" t="s">
        <v>478</v>
      </c>
      <c r="J1313">
        <v>0.41</v>
      </c>
      <c r="K1313" t="e">
        <f>IF(COUNTIF(#REF!,Tabela2[[#This Row],[IdxWspolny]])&gt;0,"ELEM_lub_PRD","TECHN")</f>
        <v>#REF!</v>
      </c>
      <c r="L1313" t="e">
        <f>IF(COUNTIF(#REF!,Tabela2[[#This Row],[KOD_PRODUKTU]])&gt;0,"ELEMENT","PRODUKT")</f>
        <v>#REF!</v>
      </c>
      <c r="M1313" t="e">
        <f>COUNTIF(#REF!,Tabela2[[#This Row],[KOD_PRODUKTU]])</f>
        <v>#REF!</v>
      </c>
    </row>
    <row r="1314" spans="1:14" x14ac:dyDescent="0.25">
      <c r="A1314" s="1" t="s">
        <v>2285</v>
      </c>
      <c r="B1314" t="s">
        <v>2286</v>
      </c>
      <c r="C1314" s="1" t="s">
        <v>479</v>
      </c>
      <c r="D1314" s="1" t="s">
        <v>479</v>
      </c>
      <c r="E1314" s="1" t="s">
        <v>479</v>
      </c>
      <c r="F1314" t="s">
        <v>480</v>
      </c>
      <c r="G1314" t="s">
        <v>481</v>
      </c>
      <c r="H1314" t="s">
        <v>5</v>
      </c>
      <c r="I1314" t="s">
        <v>534</v>
      </c>
      <c r="J1314">
        <v>0.05</v>
      </c>
      <c r="K1314" t="e">
        <f>IF(COUNTIF(#REF!,Tabela2[[#This Row],[IdxWspolny]])&gt;0,"ELEM_lub_PRD","TECHN")</f>
        <v>#REF!</v>
      </c>
      <c r="L1314" t="e">
        <f>IF(COUNTIF(#REF!,Tabela2[[#This Row],[KOD_PRODUKTU]])&gt;0,"ELEMENT","PRODUKT")</f>
        <v>#REF!</v>
      </c>
      <c r="M1314" t="e">
        <f>COUNTIF(#REF!,Tabela2[[#This Row],[KOD_PRODUKTU]])</f>
        <v>#REF!</v>
      </c>
    </row>
    <row r="1315" spans="1:14" x14ac:dyDescent="0.25">
      <c r="A1315" s="1" t="s">
        <v>2285</v>
      </c>
      <c r="B1315" t="s">
        <v>2286</v>
      </c>
      <c r="C1315" s="1" t="s">
        <v>483</v>
      </c>
      <c r="D1315" s="1" t="s">
        <v>483</v>
      </c>
      <c r="E1315" s="1" t="s">
        <v>483</v>
      </c>
      <c r="F1315" t="s">
        <v>484</v>
      </c>
      <c r="G1315" t="s">
        <v>485</v>
      </c>
      <c r="H1315" t="s">
        <v>5</v>
      </c>
      <c r="I1315" t="s">
        <v>573</v>
      </c>
      <c r="J1315">
        <v>0.01</v>
      </c>
      <c r="K1315" t="e">
        <f>IF(COUNTIF(#REF!,Tabela2[[#This Row],[IdxWspolny]])&gt;0,"ELEM_lub_PRD","TECHN")</f>
        <v>#REF!</v>
      </c>
      <c r="L1315" t="e">
        <f>IF(COUNTIF(#REF!,Tabela2[[#This Row],[KOD_PRODUKTU]])&gt;0,"ELEMENT","PRODUKT")</f>
        <v>#REF!</v>
      </c>
      <c r="M1315" t="e">
        <f>COUNTIF(#REF!,Tabela2[[#This Row],[KOD_PRODUKTU]])</f>
        <v>#REF!</v>
      </c>
    </row>
    <row r="1316" spans="1:14" x14ac:dyDescent="0.25">
      <c r="A1316" s="1" t="s">
        <v>2285</v>
      </c>
      <c r="B1316" t="s">
        <v>2286</v>
      </c>
      <c r="C1316" s="1" t="s">
        <v>487</v>
      </c>
      <c r="D1316" s="1" t="s">
        <v>487</v>
      </c>
      <c r="E1316" s="1" t="s">
        <v>487</v>
      </c>
      <c r="F1316" t="s">
        <v>488</v>
      </c>
      <c r="G1316" t="s">
        <v>489</v>
      </c>
      <c r="H1316" t="s">
        <v>5</v>
      </c>
      <c r="I1316" t="s">
        <v>2288</v>
      </c>
      <c r="J1316">
        <v>0.28999999999999998</v>
      </c>
      <c r="K1316" t="e">
        <f>IF(COUNTIF(#REF!,Tabela2[[#This Row],[IdxWspolny]])&gt;0,"ELEM_lub_PRD","TECHN")</f>
        <v>#REF!</v>
      </c>
      <c r="L1316" t="e">
        <f>IF(COUNTIF(#REF!,Tabela2[[#This Row],[KOD_PRODUKTU]])&gt;0,"ELEMENT","PRODUKT")</f>
        <v>#REF!</v>
      </c>
      <c r="M1316" t="e">
        <f>COUNTIF(#REF!,Tabela2[[#This Row],[KOD_PRODUKTU]])</f>
        <v>#REF!</v>
      </c>
    </row>
    <row r="1317" spans="1:14" x14ac:dyDescent="0.25">
      <c r="A1317" s="1" t="s">
        <v>2285</v>
      </c>
      <c r="B1317" t="s">
        <v>2286</v>
      </c>
      <c r="C1317" s="1" t="s">
        <v>41</v>
      </c>
      <c r="D1317" s="1" t="s">
        <v>41</v>
      </c>
      <c r="E1317" s="1" t="s">
        <v>41</v>
      </c>
      <c r="F1317" t="s">
        <v>42</v>
      </c>
      <c r="G1317" t="s">
        <v>43</v>
      </c>
      <c r="H1317" t="s">
        <v>5</v>
      </c>
      <c r="I1317" t="s">
        <v>1900</v>
      </c>
      <c r="J1317">
        <v>0.03</v>
      </c>
      <c r="K1317" t="e">
        <f>IF(COUNTIF(#REF!,Tabela2[[#This Row],[IdxWspolny]])&gt;0,"ELEM_lub_PRD","TECHN")</f>
        <v>#REF!</v>
      </c>
      <c r="L1317" t="e">
        <f>IF(COUNTIF(#REF!,Tabela2[[#This Row],[KOD_PRODUKTU]])&gt;0,"ELEMENT","PRODUKT")</f>
        <v>#REF!</v>
      </c>
      <c r="M1317" t="e">
        <f>COUNTIF(#REF!,Tabela2[[#This Row],[KOD_PRODUKTU]])</f>
        <v>#REF!</v>
      </c>
    </row>
    <row r="1318" spans="1:14" x14ac:dyDescent="0.25">
      <c r="A1318" s="1" t="s">
        <v>2285</v>
      </c>
      <c r="B1318" t="s">
        <v>2286</v>
      </c>
      <c r="C1318" s="1" t="s">
        <v>491</v>
      </c>
      <c r="D1318" s="1" t="s">
        <v>491</v>
      </c>
      <c r="E1318" s="1" t="s">
        <v>491</v>
      </c>
      <c r="F1318" t="s">
        <v>492</v>
      </c>
      <c r="G1318" t="s">
        <v>493</v>
      </c>
      <c r="H1318" t="s">
        <v>121</v>
      </c>
      <c r="I1318" t="s">
        <v>92</v>
      </c>
      <c r="J1318">
        <v>13.7</v>
      </c>
      <c r="K1318" t="e">
        <f>IF(COUNTIF(#REF!,Tabela2[[#This Row],[IdxWspolny]])&gt;0,"ELEM_lub_PRD","TECHN")</f>
        <v>#REF!</v>
      </c>
      <c r="L1318" t="e">
        <f>IF(COUNTIF(#REF!,Tabela2[[#This Row],[KOD_PRODUKTU]])&gt;0,"ELEMENT","PRODUKT")</f>
        <v>#REF!</v>
      </c>
      <c r="M1318" t="e">
        <f>COUNTIF(#REF!,Tabela2[[#This Row],[KOD_PRODUKTU]])</f>
        <v>#REF!</v>
      </c>
    </row>
    <row r="1319" spans="1:14" x14ac:dyDescent="0.25">
      <c r="A1319" s="1" t="s">
        <v>2285</v>
      </c>
      <c r="B1319" t="s">
        <v>2286</v>
      </c>
      <c r="C1319" s="1" t="s">
        <v>494</v>
      </c>
      <c r="D1319" s="1" t="s">
        <v>494</v>
      </c>
      <c r="E1319" s="1" t="s">
        <v>494</v>
      </c>
      <c r="F1319" t="s">
        <v>495</v>
      </c>
      <c r="G1319" t="s">
        <v>496</v>
      </c>
      <c r="H1319" t="s">
        <v>121</v>
      </c>
      <c r="I1319" t="s">
        <v>50</v>
      </c>
      <c r="J1319">
        <v>17.45</v>
      </c>
      <c r="K1319" t="e">
        <f>IF(COUNTIF(#REF!,Tabela2[[#This Row],[IdxWspolny]])&gt;0,"ELEM_lub_PRD","TECHN")</f>
        <v>#REF!</v>
      </c>
      <c r="L1319" t="e">
        <f>IF(COUNTIF(#REF!,Tabela2[[#This Row],[KOD_PRODUKTU]])&gt;0,"ELEMENT","PRODUKT")</f>
        <v>#REF!</v>
      </c>
      <c r="M1319" t="e">
        <f>COUNTIF(#REF!,Tabela2[[#This Row],[KOD_PRODUKTU]])</f>
        <v>#REF!</v>
      </c>
    </row>
    <row r="1320" spans="1:14" x14ac:dyDescent="0.25">
      <c r="A1320" s="1" t="s">
        <v>2285</v>
      </c>
      <c r="B1320" t="s">
        <v>2286</v>
      </c>
      <c r="C1320" s="1" t="s">
        <v>497</v>
      </c>
      <c r="D1320" s="1" t="s">
        <v>497</v>
      </c>
      <c r="E1320" s="1" t="s">
        <v>497</v>
      </c>
      <c r="F1320" t="s">
        <v>498</v>
      </c>
      <c r="G1320" t="s">
        <v>496</v>
      </c>
      <c r="H1320" t="s">
        <v>121</v>
      </c>
      <c r="I1320" t="s">
        <v>50</v>
      </c>
      <c r="J1320">
        <v>17.45</v>
      </c>
      <c r="K1320" t="e">
        <f>IF(COUNTIF(#REF!,Tabela2[[#This Row],[IdxWspolny]])&gt;0,"ELEM_lub_PRD","TECHN")</f>
        <v>#REF!</v>
      </c>
      <c r="L1320" t="e">
        <f>IF(COUNTIF(#REF!,Tabela2[[#This Row],[KOD_PRODUKTU]])&gt;0,"ELEMENT","PRODUKT")</f>
        <v>#REF!</v>
      </c>
      <c r="M1320" t="e">
        <f>COUNTIF(#REF!,Tabela2[[#This Row],[KOD_PRODUKTU]])</f>
        <v>#REF!</v>
      </c>
    </row>
    <row r="1321" spans="1:14" x14ac:dyDescent="0.25">
      <c r="A1321" s="1" t="s">
        <v>2285</v>
      </c>
      <c r="B1321" t="s">
        <v>2286</v>
      </c>
      <c r="C1321" s="1" t="s">
        <v>499</v>
      </c>
      <c r="D1321" s="1" t="s">
        <v>499</v>
      </c>
      <c r="E1321" s="1" t="s">
        <v>499</v>
      </c>
      <c r="F1321" t="s">
        <v>500</v>
      </c>
      <c r="G1321" t="s">
        <v>501</v>
      </c>
      <c r="H1321" t="s">
        <v>121</v>
      </c>
      <c r="I1321" t="s">
        <v>50</v>
      </c>
      <c r="J1321">
        <v>4.5</v>
      </c>
      <c r="K1321" t="e">
        <f>IF(COUNTIF(#REF!,Tabela2[[#This Row],[IdxWspolny]])&gt;0,"ELEM_lub_PRD","TECHN")</f>
        <v>#REF!</v>
      </c>
      <c r="L1321" t="e">
        <f>IF(COUNTIF(#REF!,Tabela2[[#This Row],[KOD_PRODUKTU]])&gt;0,"ELEMENT","PRODUKT")</f>
        <v>#REF!</v>
      </c>
      <c r="M1321" t="e">
        <f>COUNTIF(#REF!,Tabela2[[#This Row],[KOD_PRODUKTU]])</f>
        <v>#REF!</v>
      </c>
    </row>
    <row r="1322" spans="1:14" hidden="1" x14ac:dyDescent="0.25">
      <c r="A1322" s="1" t="s">
        <v>2285</v>
      </c>
      <c r="B1322" t="s">
        <v>2286</v>
      </c>
      <c r="C1322" s="1" t="s">
        <v>502</v>
      </c>
      <c r="D1322" s="1" t="s">
        <v>502</v>
      </c>
      <c r="E1322" s="1" t="s">
        <v>502</v>
      </c>
      <c r="F1322" t="s">
        <v>503</v>
      </c>
      <c r="G1322" t="s">
        <v>31</v>
      </c>
      <c r="H1322" t="s">
        <v>121</v>
      </c>
      <c r="I1322" t="s">
        <v>50</v>
      </c>
      <c r="J1322">
        <v>10.6</v>
      </c>
      <c r="K1322" t="e">
        <f>IF(COUNTIF(#REF!,Tabela2[[#This Row],[IdxWspolny]])&gt;0,"ELEM_lub_PRD","TECHN")</f>
        <v>#REF!</v>
      </c>
      <c r="L1322" t="e">
        <f>IF(COUNTIF(#REF!,Tabela2[[#This Row],[KOD_PRODUKTU]])&gt;0,"ELEMENT","PRODUKT")</f>
        <v>#REF!</v>
      </c>
      <c r="M1322" t="e">
        <f>COUNTIF(#REF!,Tabela2[[#This Row],[KOD_PRODUKTU]])</f>
        <v>#REF!</v>
      </c>
      <c r="N1322" t="s">
        <v>55</v>
      </c>
    </row>
    <row r="1323" spans="1:14" x14ac:dyDescent="0.25">
      <c r="A1323" s="1" t="s">
        <v>2285</v>
      </c>
      <c r="B1323" t="s">
        <v>2286</v>
      </c>
      <c r="C1323" s="1" t="s">
        <v>7</v>
      </c>
      <c r="D1323" s="1" t="s">
        <v>7</v>
      </c>
      <c r="E1323" s="1" t="s">
        <v>7</v>
      </c>
      <c r="F1323" t="s">
        <v>8</v>
      </c>
      <c r="G1323" t="s">
        <v>9</v>
      </c>
      <c r="H1323" t="s">
        <v>10</v>
      </c>
      <c r="I1323" t="s">
        <v>2289</v>
      </c>
      <c r="J1323">
        <v>44.2</v>
      </c>
      <c r="K1323" t="e">
        <f>IF(COUNTIF(#REF!,Tabela2[[#This Row],[IdxWspolny]])&gt;0,"ELEM_lub_PRD","TECHN")</f>
        <v>#REF!</v>
      </c>
      <c r="L1323" t="e">
        <f>IF(COUNTIF(#REF!,Tabela2[[#This Row],[KOD_PRODUKTU]])&gt;0,"ELEMENT","PRODUKT")</f>
        <v>#REF!</v>
      </c>
      <c r="M1323" t="e">
        <f>COUNTIF(#REF!,Tabela2[[#This Row],[KOD_PRODUKTU]])</f>
        <v>#REF!</v>
      </c>
    </row>
    <row r="1324" spans="1:14" x14ac:dyDescent="0.25">
      <c r="A1324" s="1" t="s">
        <v>2290</v>
      </c>
      <c r="B1324" t="s">
        <v>2291</v>
      </c>
      <c r="C1324" s="1" t="s">
        <v>2292</v>
      </c>
      <c r="D1324" s="1" t="s">
        <v>2292</v>
      </c>
      <c r="E1324" s="1" t="s">
        <v>2292</v>
      </c>
      <c r="F1324" t="s">
        <v>2293</v>
      </c>
      <c r="G1324" t="s">
        <v>2294</v>
      </c>
      <c r="H1324" t="s">
        <v>17</v>
      </c>
      <c r="I1324" t="s">
        <v>2295</v>
      </c>
      <c r="J1324">
        <v>18.600000000000001</v>
      </c>
      <c r="K1324" t="e">
        <f>IF(COUNTIF(#REF!,Tabela2[[#This Row],[IdxWspolny]])&gt;0,"ELEM_lub_PRD","TECHN")</f>
        <v>#REF!</v>
      </c>
      <c r="L1324" t="e">
        <f>IF(COUNTIF(#REF!,Tabela2[[#This Row],[KOD_PRODUKTU]])&gt;0,"ELEMENT","PRODUKT")</f>
        <v>#REF!</v>
      </c>
      <c r="M1324" t="e">
        <f>COUNTIF(#REF!,Tabela2[[#This Row],[KOD_PRODUKTU]])</f>
        <v>#REF!</v>
      </c>
    </row>
    <row r="1325" spans="1:14" x14ac:dyDescent="0.25">
      <c r="A1325" s="1" t="s">
        <v>2290</v>
      </c>
      <c r="B1325" t="s">
        <v>2291</v>
      </c>
      <c r="C1325" s="1" t="s">
        <v>2296</v>
      </c>
      <c r="D1325" s="1" t="s">
        <v>2296</v>
      </c>
      <c r="E1325" s="1" t="s">
        <v>2296</v>
      </c>
      <c r="F1325" t="s">
        <v>2297</v>
      </c>
      <c r="G1325" t="s">
        <v>2298</v>
      </c>
      <c r="H1325" t="s">
        <v>39</v>
      </c>
      <c r="I1325" t="s">
        <v>447</v>
      </c>
      <c r="J1325">
        <v>0.22</v>
      </c>
      <c r="K1325" t="e">
        <f>IF(COUNTIF(#REF!,Tabela2[[#This Row],[IdxWspolny]])&gt;0,"ELEM_lub_PRD","TECHN")</f>
        <v>#REF!</v>
      </c>
      <c r="L1325" t="e">
        <f>IF(COUNTIF(#REF!,Tabela2[[#This Row],[KOD_PRODUKTU]])&gt;0,"ELEMENT","PRODUKT")</f>
        <v>#REF!</v>
      </c>
      <c r="M1325" t="e">
        <f>COUNTIF(#REF!,Tabela2[[#This Row],[KOD_PRODUKTU]])</f>
        <v>#REF!</v>
      </c>
    </row>
    <row r="1326" spans="1:14" x14ac:dyDescent="0.25">
      <c r="A1326" s="1" t="s">
        <v>2290</v>
      </c>
      <c r="B1326" t="s">
        <v>2291</v>
      </c>
      <c r="C1326" s="1" t="s">
        <v>2299</v>
      </c>
      <c r="D1326" s="1" t="s">
        <v>2299</v>
      </c>
      <c r="E1326" s="1" t="s">
        <v>2299</v>
      </c>
      <c r="F1326" t="s">
        <v>2300</v>
      </c>
      <c r="G1326" t="s">
        <v>2301</v>
      </c>
      <c r="H1326" t="s">
        <v>1857</v>
      </c>
      <c r="I1326" t="s">
        <v>2302</v>
      </c>
      <c r="J1326">
        <v>2.2400000000000002</v>
      </c>
      <c r="K1326" t="e">
        <f>IF(COUNTIF(#REF!,Tabela2[[#This Row],[IdxWspolny]])&gt;0,"ELEM_lub_PRD","TECHN")</f>
        <v>#REF!</v>
      </c>
      <c r="L1326" t="e">
        <f>IF(COUNTIF(#REF!,Tabela2[[#This Row],[KOD_PRODUKTU]])&gt;0,"ELEMENT","PRODUKT")</f>
        <v>#REF!</v>
      </c>
      <c r="M1326" t="e">
        <f>COUNTIF(#REF!,Tabela2[[#This Row],[KOD_PRODUKTU]])</f>
        <v>#REF!</v>
      </c>
    </row>
    <row r="1327" spans="1:14" x14ac:dyDescent="0.25">
      <c r="A1327" s="1" t="s">
        <v>2290</v>
      </c>
      <c r="B1327" t="s">
        <v>2291</v>
      </c>
      <c r="C1327" s="1" t="s">
        <v>649</v>
      </c>
      <c r="D1327" s="1" t="s">
        <v>649</v>
      </c>
      <c r="E1327" s="1" t="s">
        <v>649</v>
      </c>
      <c r="F1327" t="s">
        <v>650</v>
      </c>
      <c r="G1327" t="s">
        <v>2303</v>
      </c>
      <c r="H1327" t="s">
        <v>39</v>
      </c>
      <c r="I1327" t="s">
        <v>447</v>
      </c>
      <c r="J1327">
        <v>0.18</v>
      </c>
      <c r="K1327" t="e">
        <f>IF(COUNTIF(#REF!,Tabela2[[#This Row],[IdxWspolny]])&gt;0,"ELEM_lub_PRD","TECHN")</f>
        <v>#REF!</v>
      </c>
      <c r="L1327" t="e">
        <f>IF(COUNTIF(#REF!,Tabela2[[#This Row],[KOD_PRODUKTU]])&gt;0,"ELEMENT","PRODUKT")</f>
        <v>#REF!</v>
      </c>
      <c r="M1327" t="e">
        <f>COUNTIF(#REF!,Tabela2[[#This Row],[KOD_PRODUKTU]])</f>
        <v>#REF!</v>
      </c>
    </row>
    <row r="1328" spans="1:14" x14ac:dyDescent="0.25">
      <c r="A1328" s="1" t="s">
        <v>2290</v>
      </c>
      <c r="B1328" t="s">
        <v>2291</v>
      </c>
      <c r="C1328" s="1" t="s">
        <v>898</v>
      </c>
      <c r="D1328" s="1" t="s">
        <v>898</v>
      </c>
      <c r="E1328" s="1" t="s">
        <v>898</v>
      </c>
      <c r="F1328" t="s">
        <v>865</v>
      </c>
      <c r="G1328" t="s">
        <v>866</v>
      </c>
      <c r="H1328" t="s">
        <v>39</v>
      </c>
      <c r="I1328" t="s">
        <v>605</v>
      </c>
      <c r="J1328">
        <v>0.12</v>
      </c>
      <c r="K1328" t="e">
        <f>IF(COUNTIF(#REF!,Tabela2[[#This Row],[IdxWspolny]])&gt;0,"ELEM_lub_PRD","TECHN")</f>
        <v>#REF!</v>
      </c>
      <c r="L1328" t="e">
        <f>IF(COUNTIF(#REF!,Tabela2[[#This Row],[KOD_PRODUKTU]])&gt;0,"ELEMENT","PRODUKT")</f>
        <v>#REF!</v>
      </c>
      <c r="M1328" t="e">
        <f>COUNTIF(#REF!,Tabela2[[#This Row],[KOD_PRODUKTU]])</f>
        <v>#REF!</v>
      </c>
    </row>
    <row r="1329" spans="1:13" x14ac:dyDescent="0.25">
      <c r="A1329" s="1" t="s">
        <v>2290</v>
      </c>
      <c r="B1329" t="s">
        <v>2291</v>
      </c>
      <c r="C1329" s="1" t="s">
        <v>2304</v>
      </c>
      <c r="D1329" s="1" t="s">
        <v>2304</v>
      </c>
      <c r="E1329" s="1" t="s">
        <v>2304</v>
      </c>
      <c r="F1329" t="s">
        <v>2305</v>
      </c>
      <c r="G1329" t="s">
        <v>2306</v>
      </c>
      <c r="H1329" t="s">
        <v>121</v>
      </c>
      <c r="I1329" t="s">
        <v>92</v>
      </c>
      <c r="J1329">
        <v>0.68</v>
      </c>
      <c r="K1329" t="e">
        <f>IF(COUNTIF(#REF!,Tabela2[[#This Row],[IdxWspolny]])&gt;0,"ELEM_lub_PRD","TECHN")</f>
        <v>#REF!</v>
      </c>
      <c r="L1329" t="e">
        <f>IF(COUNTIF(#REF!,Tabela2[[#This Row],[KOD_PRODUKTU]])&gt;0,"ELEMENT","PRODUKT")</f>
        <v>#REF!</v>
      </c>
      <c r="M1329" t="e">
        <f>COUNTIF(#REF!,Tabela2[[#This Row],[KOD_PRODUKTU]])</f>
        <v>#REF!</v>
      </c>
    </row>
    <row r="1330" spans="1:13" x14ac:dyDescent="0.25">
      <c r="A1330" s="1" t="s">
        <v>2290</v>
      </c>
      <c r="B1330" t="s">
        <v>2291</v>
      </c>
      <c r="C1330" s="1" t="s">
        <v>41</v>
      </c>
      <c r="D1330" s="1" t="s">
        <v>41</v>
      </c>
      <c r="E1330" s="1" t="s">
        <v>41</v>
      </c>
      <c r="F1330" t="s">
        <v>42</v>
      </c>
      <c r="G1330" t="s">
        <v>43</v>
      </c>
      <c r="H1330" t="s">
        <v>5</v>
      </c>
      <c r="I1330" t="s">
        <v>227</v>
      </c>
      <c r="J1330">
        <v>0.01</v>
      </c>
      <c r="K1330" t="e">
        <f>IF(COUNTIF(#REF!,Tabela2[[#This Row],[IdxWspolny]])&gt;0,"ELEM_lub_PRD","TECHN")</f>
        <v>#REF!</v>
      </c>
      <c r="L1330" t="e">
        <f>IF(COUNTIF(#REF!,Tabela2[[#This Row],[KOD_PRODUKTU]])&gt;0,"ELEMENT","PRODUKT")</f>
        <v>#REF!</v>
      </c>
      <c r="M1330" t="e">
        <f>COUNTIF(#REF!,Tabela2[[#This Row],[KOD_PRODUKTU]])</f>
        <v>#REF!</v>
      </c>
    </row>
    <row r="1331" spans="1:13" x14ac:dyDescent="0.25">
      <c r="A1331" s="1" t="s">
        <v>2290</v>
      </c>
      <c r="B1331" t="s">
        <v>2291</v>
      </c>
      <c r="C1331" s="1" t="s">
        <v>2307</v>
      </c>
      <c r="D1331" s="1" t="s">
        <v>2307</v>
      </c>
      <c r="E1331" s="1" t="s">
        <v>2307</v>
      </c>
      <c r="F1331" t="s">
        <v>2308</v>
      </c>
      <c r="G1331" t="s">
        <v>2309</v>
      </c>
      <c r="H1331" t="s">
        <v>121</v>
      </c>
      <c r="I1331" t="s">
        <v>92</v>
      </c>
      <c r="J1331">
        <v>19.5</v>
      </c>
      <c r="K1331" t="e">
        <f>IF(COUNTIF(#REF!,Tabela2[[#This Row],[IdxWspolny]])&gt;0,"ELEM_lub_PRD","TECHN")</f>
        <v>#REF!</v>
      </c>
      <c r="L1331" t="e">
        <f>IF(COUNTIF(#REF!,Tabela2[[#This Row],[KOD_PRODUKTU]])&gt;0,"ELEMENT","PRODUKT")</f>
        <v>#REF!</v>
      </c>
      <c r="M1331" t="e">
        <f>COUNTIF(#REF!,Tabela2[[#This Row],[KOD_PRODUKTU]])</f>
        <v>#REF!</v>
      </c>
    </row>
    <row r="1332" spans="1:13" x14ac:dyDescent="0.25">
      <c r="A1332" s="1" t="s">
        <v>2290</v>
      </c>
      <c r="B1332" t="s">
        <v>2291</v>
      </c>
      <c r="C1332" s="1" t="s">
        <v>2310</v>
      </c>
      <c r="D1332" s="1" t="s">
        <v>2310</v>
      </c>
      <c r="E1332" s="1" t="s">
        <v>2310</v>
      </c>
      <c r="F1332" t="s">
        <v>2311</v>
      </c>
      <c r="G1332" t="s">
        <v>2312</v>
      </c>
      <c r="H1332" t="s">
        <v>121</v>
      </c>
      <c r="I1332" t="s">
        <v>50</v>
      </c>
      <c r="J1332">
        <v>37.15</v>
      </c>
      <c r="K1332" t="e">
        <f>IF(COUNTIF(#REF!,Tabela2[[#This Row],[IdxWspolny]])&gt;0,"ELEM_lub_PRD","TECHN")</f>
        <v>#REF!</v>
      </c>
      <c r="L1332" t="e">
        <f>IF(COUNTIF(#REF!,Tabela2[[#This Row],[KOD_PRODUKTU]])&gt;0,"ELEMENT","PRODUKT")</f>
        <v>#REF!</v>
      </c>
      <c r="M1332" t="e">
        <f>COUNTIF(#REF!,Tabela2[[#This Row],[KOD_PRODUKTU]])</f>
        <v>#REF!</v>
      </c>
    </row>
    <row r="1333" spans="1:13" x14ac:dyDescent="0.25">
      <c r="A1333" s="1" t="s">
        <v>2290</v>
      </c>
      <c r="B1333" t="s">
        <v>2291</v>
      </c>
      <c r="C1333" s="1" t="s">
        <v>2313</v>
      </c>
      <c r="D1333" s="1" t="s">
        <v>2313</v>
      </c>
      <c r="E1333" s="1" t="s">
        <v>2313</v>
      </c>
      <c r="F1333" t="s">
        <v>2314</v>
      </c>
      <c r="G1333" t="s">
        <v>2312</v>
      </c>
      <c r="H1333" t="s">
        <v>121</v>
      </c>
      <c r="I1333" t="s">
        <v>50</v>
      </c>
      <c r="J1333">
        <v>37.15</v>
      </c>
      <c r="K1333" t="e">
        <f>IF(COUNTIF(#REF!,Tabela2[[#This Row],[IdxWspolny]])&gt;0,"ELEM_lub_PRD","TECHN")</f>
        <v>#REF!</v>
      </c>
      <c r="L1333" t="e">
        <f>IF(COUNTIF(#REF!,Tabela2[[#This Row],[KOD_PRODUKTU]])&gt;0,"ELEMENT","PRODUKT")</f>
        <v>#REF!</v>
      </c>
      <c r="M1333" t="e">
        <f>COUNTIF(#REF!,Tabela2[[#This Row],[KOD_PRODUKTU]])</f>
        <v>#REF!</v>
      </c>
    </row>
    <row r="1334" spans="1:13" x14ac:dyDescent="0.25">
      <c r="A1334" s="1" t="s">
        <v>2290</v>
      </c>
      <c r="B1334" t="s">
        <v>2291</v>
      </c>
      <c r="C1334" s="1" t="s">
        <v>7</v>
      </c>
      <c r="D1334" s="1" t="s">
        <v>7</v>
      </c>
      <c r="E1334" s="1" t="s">
        <v>7</v>
      </c>
      <c r="F1334" t="s">
        <v>8</v>
      </c>
      <c r="G1334" t="s">
        <v>9</v>
      </c>
      <c r="H1334" t="s">
        <v>10</v>
      </c>
      <c r="I1334" t="s">
        <v>2315</v>
      </c>
      <c r="J1334">
        <v>41.4</v>
      </c>
      <c r="K1334" t="e">
        <f>IF(COUNTIF(#REF!,Tabela2[[#This Row],[IdxWspolny]])&gt;0,"ELEM_lub_PRD","TECHN")</f>
        <v>#REF!</v>
      </c>
      <c r="L1334" t="e">
        <f>IF(COUNTIF(#REF!,Tabela2[[#This Row],[KOD_PRODUKTU]])&gt;0,"ELEMENT","PRODUKT")</f>
        <v>#REF!</v>
      </c>
      <c r="M1334" t="e">
        <f>COUNTIF(#REF!,Tabela2[[#This Row],[KOD_PRODUKTU]])</f>
        <v>#REF!</v>
      </c>
    </row>
    <row r="1335" spans="1:13" x14ac:dyDescent="0.25">
      <c r="A1335" s="1" t="s">
        <v>2316</v>
      </c>
      <c r="B1335" t="s">
        <v>2317</v>
      </c>
      <c r="C1335" s="1" t="s">
        <v>2318</v>
      </c>
      <c r="D1335" s="1" t="s">
        <v>2318</v>
      </c>
      <c r="E1335" s="1" t="s">
        <v>2318</v>
      </c>
      <c r="F1335" t="s">
        <v>2319</v>
      </c>
      <c r="G1335" t="s">
        <v>2320</v>
      </c>
      <c r="H1335" t="s">
        <v>17</v>
      </c>
      <c r="I1335" t="s">
        <v>2321</v>
      </c>
      <c r="J1335">
        <v>7.59</v>
      </c>
      <c r="K1335" t="e">
        <f>IF(COUNTIF(#REF!,Tabela2[[#This Row],[IdxWspolny]])&gt;0,"ELEM_lub_PRD","TECHN")</f>
        <v>#REF!</v>
      </c>
      <c r="L1335" t="e">
        <f>IF(COUNTIF(#REF!,Tabela2[[#This Row],[KOD_PRODUKTU]])&gt;0,"ELEMENT","PRODUKT")</f>
        <v>#REF!</v>
      </c>
      <c r="M1335" t="e">
        <f>COUNTIF(#REF!,Tabela2[[#This Row],[KOD_PRODUKTU]])</f>
        <v>#REF!</v>
      </c>
    </row>
    <row r="1336" spans="1:13" x14ac:dyDescent="0.25">
      <c r="A1336" s="1" t="s">
        <v>2316</v>
      </c>
      <c r="B1336" t="s">
        <v>2317</v>
      </c>
      <c r="C1336" s="1" t="s">
        <v>2322</v>
      </c>
      <c r="D1336" s="1" t="s">
        <v>2322</v>
      </c>
      <c r="E1336" s="1" t="s">
        <v>2322</v>
      </c>
      <c r="F1336" t="s">
        <v>2323</v>
      </c>
      <c r="G1336" t="s">
        <v>2324</v>
      </c>
      <c r="H1336" t="s">
        <v>39</v>
      </c>
      <c r="I1336" t="s">
        <v>478</v>
      </c>
      <c r="J1336">
        <v>2.96</v>
      </c>
      <c r="K1336" t="e">
        <f>IF(COUNTIF(#REF!,Tabela2[[#This Row],[IdxWspolny]])&gt;0,"ELEM_lub_PRD","TECHN")</f>
        <v>#REF!</v>
      </c>
      <c r="L1336" t="e">
        <f>IF(COUNTIF(#REF!,Tabela2[[#This Row],[KOD_PRODUKTU]])&gt;0,"ELEMENT","PRODUKT")</f>
        <v>#REF!</v>
      </c>
      <c r="M1336" t="e">
        <f>COUNTIF(#REF!,Tabela2[[#This Row],[KOD_PRODUKTU]])</f>
        <v>#REF!</v>
      </c>
    </row>
    <row r="1337" spans="1:13" x14ac:dyDescent="0.25">
      <c r="A1337" s="1" t="s">
        <v>2316</v>
      </c>
      <c r="B1337" t="s">
        <v>2317</v>
      </c>
      <c r="C1337" s="1" t="s">
        <v>514</v>
      </c>
      <c r="D1337" s="1" t="s">
        <v>514</v>
      </c>
      <c r="E1337" s="1" t="s">
        <v>514</v>
      </c>
      <c r="F1337" t="s">
        <v>515</v>
      </c>
      <c r="G1337" t="s">
        <v>516</v>
      </c>
      <c r="H1337" t="s">
        <v>121</v>
      </c>
      <c r="I1337" t="s">
        <v>92</v>
      </c>
      <c r="J1337">
        <v>0.54</v>
      </c>
      <c r="K1337" t="e">
        <f>IF(COUNTIF(#REF!,Tabela2[[#This Row],[IdxWspolny]])&gt;0,"ELEM_lub_PRD","TECHN")</f>
        <v>#REF!</v>
      </c>
      <c r="L1337" t="e">
        <f>IF(COUNTIF(#REF!,Tabela2[[#This Row],[KOD_PRODUKTU]])&gt;0,"ELEMENT","PRODUKT")</f>
        <v>#REF!</v>
      </c>
      <c r="M1337" t="e">
        <f>COUNTIF(#REF!,Tabela2[[#This Row],[KOD_PRODUKTU]])</f>
        <v>#REF!</v>
      </c>
    </row>
    <row r="1338" spans="1:13" x14ac:dyDescent="0.25">
      <c r="A1338" s="1" t="s">
        <v>2316</v>
      </c>
      <c r="B1338" t="s">
        <v>2317</v>
      </c>
      <c r="C1338" s="1" t="s">
        <v>41</v>
      </c>
      <c r="D1338" s="1" t="s">
        <v>41</v>
      </c>
      <c r="E1338" s="1" t="s">
        <v>41</v>
      </c>
      <c r="F1338" t="s">
        <v>42</v>
      </c>
      <c r="G1338" t="s">
        <v>43</v>
      </c>
      <c r="H1338" t="s">
        <v>5</v>
      </c>
      <c r="I1338" t="s">
        <v>227</v>
      </c>
      <c r="J1338">
        <v>0.01</v>
      </c>
      <c r="K1338" t="e">
        <f>IF(COUNTIF(#REF!,Tabela2[[#This Row],[IdxWspolny]])&gt;0,"ELEM_lub_PRD","TECHN")</f>
        <v>#REF!</v>
      </c>
      <c r="L1338" t="e">
        <f>IF(COUNTIF(#REF!,Tabela2[[#This Row],[KOD_PRODUKTU]])&gt;0,"ELEMENT","PRODUKT")</f>
        <v>#REF!</v>
      </c>
      <c r="M1338" t="e">
        <f>COUNTIF(#REF!,Tabela2[[#This Row],[KOD_PRODUKTU]])</f>
        <v>#REF!</v>
      </c>
    </row>
    <row r="1339" spans="1:13" x14ac:dyDescent="0.25">
      <c r="A1339" s="1" t="s">
        <v>2316</v>
      </c>
      <c r="B1339" t="s">
        <v>2317</v>
      </c>
      <c r="C1339" s="1" t="s">
        <v>2325</v>
      </c>
      <c r="D1339" s="1" t="s">
        <v>2325</v>
      </c>
      <c r="E1339" s="1" t="s">
        <v>2325</v>
      </c>
      <c r="F1339" t="s">
        <v>2326</v>
      </c>
      <c r="G1339" t="s">
        <v>580</v>
      </c>
      <c r="H1339" t="s">
        <v>121</v>
      </c>
      <c r="I1339" t="s">
        <v>92</v>
      </c>
      <c r="J1339">
        <v>14.9</v>
      </c>
      <c r="K1339" t="e">
        <f>IF(COUNTIF(#REF!,Tabela2[[#This Row],[IdxWspolny]])&gt;0,"ELEM_lub_PRD","TECHN")</f>
        <v>#REF!</v>
      </c>
      <c r="L1339" t="e">
        <f>IF(COUNTIF(#REF!,Tabela2[[#This Row],[KOD_PRODUKTU]])&gt;0,"ELEMENT","PRODUKT")</f>
        <v>#REF!</v>
      </c>
      <c r="M1339" t="e">
        <f>COUNTIF(#REF!,Tabela2[[#This Row],[KOD_PRODUKTU]])</f>
        <v>#REF!</v>
      </c>
    </row>
    <row r="1340" spans="1:13" x14ac:dyDescent="0.25">
      <c r="A1340" s="1" t="s">
        <v>2316</v>
      </c>
      <c r="B1340" t="s">
        <v>2317</v>
      </c>
      <c r="C1340" s="1" t="s">
        <v>2327</v>
      </c>
      <c r="D1340" s="1" t="s">
        <v>2327</v>
      </c>
      <c r="E1340" s="1" t="s">
        <v>2327</v>
      </c>
      <c r="F1340" t="s">
        <v>2328</v>
      </c>
      <c r="G1340" t="s">
        <v>2329</v>
      </c>
      <c r="H1340" t="s">
        <v>121</v>
      </c>
      <c r="I1340" t="s">
        <v>50</v>
      </c>
      <c r="J1340">
        <v>0.6</v>
      </c>
      <c r="K1340" t="e">
        <f>IF(COUNTIF(#REF!,Tabela2[[#This Row],[IdxWspolny]])&gt;0,"ELEM_lub_PRD","TECHN")</f>
        <v>#REF!</v>
      </c>
      <c r="L1340" t="e">
        <f>IF(COUNTIF(#REF!,Tabela2[[#This Row],[KOD_PRODUKTU]])&gt;0,"ELEMENT","PRODUKT")</f>
        <v>#REF!</v>
      </c>
      <c r="M1340" t="e">
        <f>COUNTIF(#REF!,Tabela2[[#This Row],[KOD_PRODUKTU]])</f>
        <v>#REF!</v>
      </c>
    </row>
    <row r="1341" spans="1:13" x14ac:dyDescent="0.25">
      <c r="A1341" s="1" t="s">
        <v>2316</v>
      </c>
      <c r="B1341" t="s">
        <v>2317</v>
      </c>
      <c r="C1341" s="1" t="s">
        <v>7</v>
      </c>
      <c r="D1341" s="1" t="s">
        <v>7</v>
      </c>
      <c r="E1341" s="1" t="s">
        <v>7</v>
      </c>
      <c r="F1341" t="s">
        <v>8</v>
      </c>
      <c r="G1341" t="s">
        <v>9</v>
      </c>
      <c r="H1341" t="s">
        <v>10</v>
      </c>
      <c r="I1341" t="s">
        <v>2330</v>
      </c>
      <c r="J1341">
        <v>25.3</v>
      </c>
      <c r="K1341" t="e">
        <f>IF(COUNTIF(#REF!,Tabela2[[#This Row],[IdxWspolny]])&gt;0,"ELEM_lub_PRD","TECHN")</f>
        <v>#REF!</v>
      </c>
      <c r="L1341" t="e">
        <f>IF(COUNTIF(#REF!,Tabela2[[#This Row],[KOD_PRODUKTU]])&gt;0,"ELEMENT","PRODUKT")</f>
        <v>#REF!</v>
      </c>
      <c r="M1341" t="e">
        <f>COUNTIF(#REF!,Tabela2[[#This Row],[KOD_PRODUKTU]])</f>
        <v>#REF!</v>
      </c>
    </row>
    <row r="1342" spans="1:13" x14ac:dyDescent="0.25">
      <c r="A1342" s="1" t="s">
        <v>2331</v>
      </c>
      <c r="B1342" t="s">
        <v>2332</v>
      </c>
      <c r="C1342" s="1" t="s">
        <v>2292</v>
      </c>
      <c r="D1342" s="1" t="s">
        <v>2292</v>
      </c>
      <c r="E1342" s="1" t="s">
        <v>2292</v>
      </c>
      <c r="F1342" t="s">
        <v>2293</v>
      </c>
      <c r="G1342" t="s">
        <v>2294</v>
      </c>
      <c r="H1342" t="s">
        <v>17</v>
      </c>
      <c r="I1342" t="s">
        <v>1338</v>
      </c>
      <c r="J1342">
        <v>32.49</v>
      </c>
      <c r="K1342" t="e">
        <f>IF(COUNTIF(#REF!,Tabela2[[#This Row],[IdxWspolny]])&gt;0,"ELEM_lub_PRD","TECHN")</f>
        <v>#REF!</v>
      </c>
      <c r="L1342" t="e">
        <f>IF(COUNTIF(#REF!,Tabela2[[#This Row],[KOD_PRODUKTU]])&gt;0,"ELEMENT","PRODUKT")</f>
        <v>#REF!</v>
      </c>
      <c r="M1342" t="e">
        <f>COUNTIF(#REF!,Tabela2[[#This Row],[KOD_PRODUKTU]])</f>
        <v>#REF!</v>
      </c>
    </row>
    <row r="1343" spans="1:13" x14ac:dyDescent="0.25">
      <c r="A1343" s="1" t="s">
        <v>2331</v>
      </c>
      <c r="B1343" t="s">
        <v>2332</v>
      </c>
      <c r="C1343" s="1" t="s">
        <v>2296</v>
      </c>
      <c r="D1343" s="1" t="s">
        <v>2296</v>
      </c>
      <c r="E1343" s="1" t="s">
        <v>2296</v>
      </c>
      <c r="F1343" t="s">
        <v>2297</v>
      </c>
      <c r="G1343" t="s">
        <v>2298</v>
      </c>
      <c r="H1343" t="s">
        <v>39</v>
      </c>
      <c r="I1343" t="s">
        <v>447</v>
      </c>
      <c r="J1343">
        <v>0.22</v>
      </c>
      <c r="K1343" t="e">
        <f>IF(COUNTIF(#REF!,Tabela2[[#This Row],[IdxWspolny]])&gt;0,"ELEM_lub_PRD","TECHN")</f>
        <v>#REF!</v>
      </c>
      <c r="L1343" t="e">
        <f>IF(COUNTIF(#REF!,Tabela2[[#This Row],[KOD_PRODUKTU]])&gt;0,"ELEMENT","PRODUKT")</f>
        <v>#REF!</v>
      </c>
      <c r="M1343" t="e">
        <f>COUNTIF(#REF!,Tabela2[[#This Row],[KOD_PRODUKTU]])</f>
        <v>#REF!</v>
      </c>
    </row>
    <row r="1344" spans="1:13" x14ac:dyDescent="0.25">
      <c r="A1344" s="1" t="s">
        <v>2331</v>
      </c>
      <c r="B1344" t="s">
        <v>2332</v>
      </c>
      <c r="C1344" s="1" t="s">
        <v>2299</v>
      </c>
      <c r="D1344" s="1" t="s">
        <v>2299</v>
      </c>
      <c r="E1344" s="1" t="s">
        <v>2299</v>
      </c>
      <c r="F1344" t="s">
        <v>2300</v>
      </c>
      <c r="G1344" t="s">
        <v>2301</v>
      </c>
      <c r="H1344" t="s">
        <v>1857</v>
      </c>
      <c r="I1344" t="s">
        <v>2302</v>
      </c>
      <c r="J1344">
        <v>2.2400000000000002</v>
      </c>
      <c r="K1344" t="e">
        <f>IF(COUNTIF(#REF!,Tabela2[[#This Row],[IdxWspolny]])&gt;0,"ELEM_lub_PRD","TECHN")</f>
        <v>#REF!</v>
      </c>
      <c r="L1344" t="e">
        <f>IF(COUNTIF(#REF!,Tabela2[[#This Row],[KOD_PRODUKTU]])&gt;0,"ELEMENT","PRODUKT")</f>
        <v>#REF!</v>
      </c>
      <c r="M1344" t="e">
        <f>COUNTIF(#REF!,Tabela2[[#This Row],[KOD_PRODUKTU]])</f>
        <v>#REF!</v>
      </c>
    </row>
    <row r="1345" spans="1:13" x14ac:dyDescent="0.25">
      <c r="A1345" s="1" t="s">
        <v>2331</v>
      </c>
      <c r="B1345" t="s">
        <v>2332</v>
      </c>
      <c r="C1345" s="1" t="s">
        <v>649</v>
      </c>
      <c r="D1345" s="1" t="s">
        <v>649</v>
      </c>
      <c r="E1345" s="1" t="s">
        <v>649</v>
      </c>
      <c r="F1345" t="s">
        <v>650</v>
      </c>
      <c r="G1345" t="s">
        <v>2303</v>
      </c>
      <c r="H1345" t="s">
        <v>39</v>
      </c>
      <c r="I1345" t="s">
        <v>447</v>
      </c>
      <c r="J1345">
        <v>0.18</v>
      </c>
      <c r="K1345" t="e">
        <f>IF(COUNTIF(#REF!,Tabela2[[#This Row],[IdxWspolny]])&gt;0,"ELEM_lub_PRD","TECHN")</f>
        <v>#REF!</v>
      </c>
      <c r="L1345" t="e">
        <f>IF(COUNTIF(#REF!,Tabela2[[#This Row],[KOD_PRODUKTU]])&gt;0,"ELEMENT","PRODUKT")</f>
        <v>#REF!</v>
      </c>
      <c r="M1345" t="e">
        <f>COUNTIF(#REF!,Tabela2[[#This Row],[KOD_PRODUKTU]])</f>
        <v>#REF!</v>
      </c>
    </row>
    <row r="1346" spans="1:13" x14ac:dyDescent="0.25">
      <c r="A1346" s="1" t="s">
        <v>2331</v>
      </c>
      <c r="B1346" t="s">
        <v>2332</v>
      </c>
      <c r="C1346" s="1" t="s">
        <v>864</v>
      </c>
      <c r="D1346" s="1" t="s">
        <v>864</v>
      </c>
      <c r="E1346" s="1" t="s">
        <v>864</v>
      </c>
      <c r="F1346" t="s">
        <v>865</v>
      </c>
      <c r="G1346" t="s">
        <v>866</v>
      </c>
      <c r="H1346" t="s">
        <v>39</v>
      </c>
      <c r="I1346" t="s">
        <v>447</v>
      </c>
      <c r="J1346">
        <v>0.06</v>
      </c>
      <c r="K1346" t="e">
        <f>IF(COUNTIF(#REF!,Tabela2[[#This Row],[IdxWspolny]])&gt;0,"ELEM_lub_PRD","TECHN")</f>
        <v>#REF!</v>
      </c>
      <c r="L1346" t="e">
        <f>IF(COUNTIF(#REF!,Tabela2[[#This Row],[KOD_PRODUKTU]])&gt;0,"ELEMENT","PRODUKT")</f>
        <v>#REF!</v>
      </c>
      <c r="M1346" t="e">
        <f>COUNTIF(#REF!,Tabela2[[#This Row],[KOD_PRODUKTU]])</f>
        <v>#REF!</v>
      </c>
    </row>
    <row r="1347" spans="1:13" x14ac:dyDescent="0.25">
      <c r="A1347" s="1" t="s">
        <v>2331</v>
      </c>
      <c r="B1347" t="s">
        <v>2332</v>
      </c>
      <c r="C1347" s="1" t="s">
        <v>2304</v>
      </c>
      <c r="D1347" s="1" t="s">
        <v>2304</v>
      </c>
      <c r="E1347" s="1" t="s">
        <v>2304</v>
      </c>
      <c r="F1347" t="s">
        <v>2305</v>
      </c>
      <c r="G1347" t="s">
        <v>2306</v>
      </c>
      <c r="H1347" t="s">
        <v>121</v>
      </c>
      <c r="I1347" t="s">
        <v>92</v>
      </c>
      <c r="J1347">
        <v>0.68</v>
      </c>
      <c r="K1347" t="e">
        <f>IF(COUNTIF(#REF!,Tabela2[[#This Row],[IdxWspolny]])&gt;0,"ELEM_lub_PRD","TECHN")</f>
        <v>#REF!</v>
      </c>
      <c r="L1347" t="e">
        <f>IF(COUNTIF(#REF!,Tabela2[[#This Row],[KOD_PRODUKTU]])&gt;0,"ELEMENT","PRODUKT")</f>
        <v>#REF!</v>
      </c>
      <c r="M1347" t="e">
        <f>COUNTIF(#REF!,Tabela2[[#This Row],[KOD_PRODUKTU]])</f>
        <v>#REF!</v>
      </c>
    </row>
    <row r="1348" spans="1:13" x14ac:dyDescent="0.25">
      <c r="A1348" s="1" t="s">
        <v>2331</v>
      </c>
      <c r="B1348" t="s">
        <v>2332</v>
      </c>
      <c r="C1348" s="1" t="s">
        <v>41</v>
      </c>
      <c r="D1348" s="1" t="s">
        <v>41</v>
      </c>
      <c r="E1348" s="1" t="s">
        <v>41</v>
      </c>
      <c r="F1348" t="s">
        <v>42</v>
      </c>
      <c r="G1348" t="s">
        <v>43</v>
      </c>
      <c r="H1348" t="s">
        <v>5</v>
      </c>
      <c r="I1348" t="s">
        <v>1867</v>
      </c>
      <c r="J1348">
        <v>0.03</v>
      </c>
      <c r="K1348" t="e">
        <f>IF(COUNTIF(#REF!,Tabela2[[#This Row],[IdxWspolny]])&gt;0,"ELEM_lub_PRD","TECHN")</f>
        <v>#REF!</v>
      </c>
      <c r="L1348" t="e">
        <f>IF(COUNTIF(#REF!,Tabela2[[#This Row],[KOD_PRODUKTU]])&gt;0,"ELEMENT","PRODUKT")</f>
        <v>#REF!</v>
      </c>
      <c r="M1348" t="e">
        <f>COUNTIF(#REF!,Tabela2[[#This Row],[KOD_PRODUKTU]])</f>
        <v>#REF!</v>
      </c>
    </row>
    <row r="1349" spans="1:13" x14ac:dyDescent="0.25">
      <c r="A1349" s="1" t="s">
        <v>2331</v>
      </c>
      <c r="B1349" t="s">
        <v>2332</v>
      </c>
      <c r="C1349" s="1" t="s">
        <v>2307</v>
      </c>
      <c r="D1349" s="1" t="s">
        <v>2307</v>
      </c>
      <c r="E1349" s="1" t="s">
        <v>2307</v>
      </c>
      <c r="F1349" t="s">
        <v>2308</v>
      </c>
      <c r="G1349" t="s">
        <v>2309</v>
      </c>
      <c r="H1349" t="s">
        <v>121</v>
      </c>
      <c r="I1349" t="s">
        <v>92</v>
      </c>
      <c r="J1349">
        <v>19.5</v>
      </c>
      <c r="K1349" t="e">
        <f>IF(COUNTIF(#REF!,Tabela2[[#This Row],[IdxWspolny]])&gt;0,"ELEM_lub_PRD","TECHN")</f>
        <v>#REF!</v>
      </c>
      <c r="L1349" t="e">
        <f>IF(COUNTIF(#REF!,Tabela2[[#This Row],[KOD_PRODUKTU]])&gt;0,"ELEMENT","PRODUKT")</f>
        <v>#REF!</v>
      </c>
      <c r="M1349" t="e">
        <f>COUNTIF(#REF!,Tabela2[[#This Row],[KOD_PRODUKTU]])</f>
        <v>#REF!</v>
      </c>
    </row>
    <row r="1350" spans="1:13" x14ac:dyDescent="0.25">
      <c r="A1350" s="1" t="s">
        <v>2331</v>
      </c>
      <c r="B1350" t="s">
        <v>2332</v>
      </c>
      <c r="C1350" s="1" t="s">
        <v>2310</v>
      </c>
      <c r="D1350" s="1" t="s">
        <v>2310</v>
      </c>
      <c r="E1350" s="1" t="s">
        <v>2310</v>
      </c>
      <c r="F1350" t="s">
        <v>2311</v>
      </c>
      <c r="G1350" t="s">
        <v>2312</v>
      </c>
      <c r="H1350" t="s">
        <v>121</v>
      </c>
      <c r="I1350" t="s">
        <v>50</v>
      </c>
      <c r="J1350">
        <v>37.15</v>
      </c>
      <c r="K1350" t="e">
        <f>IF(COUNTIF(#REF!,Tabela2[[#This Row],[IdxWspolny]])&gt;0,"ELEM_lub_PRD","TECHN")</f>
        <v>#REF!</v>
      </c>
      <c r="L1350" t="e">
        <f>IF(COUNTIF(#REF!,Tabela2[[#This Row],[KOD_PRODUKTU]])&gt;0,"ELEMENT","PRODUKT")</f>
        <v>#REF!</v>
      </c>
      <c r="M1350" t="e">
        <f>COUNTIF(#REF!,Tabela2[[#This Row],[KOD_PRODUKTU]])</f>
        <v>#REF!</v>
      </c>
    </row>
    <row r="1351" spans="1:13" x14ac:dyDescent="0.25">
      <c r="A1351" s="1" t="s">
        <v>2331</v>
      </c>
      <c r="B1351" t="s">
        <v>2332</v>
      </c>
      <c r="C1351" s="1" t="s">
        <v>2313</v>
      </c>
      <c r="D1351" s="1" t="s">
        <v>2313</v>
      </c>
      <c r="E1351" s="1" t="s">
        <v>2313</v>
      </c>
      <c r="F1351" t="s">
        <v>2314</v>
      </c>
      <c r="G1351" t="s">
        <v>2312</v>
      </c>
      <c r="H1351" t="s">
        <v>121</v>
      </c>
      <c r="I1351" t="s">
        <v>50</v>
      </c>
      <c r="J1351">
        <v>37.15</v>
      </c>
      <c r="K1351" t="e">
        <f>IF(COUNTIF(#REF!,Tabela2[[#This Row],[IdxWspolny]])&gt;0,"ELEM_lub_PRD","TECHN")</f>
        <v>#REF!</v>
      </c>
      <c r="L1351" t="e">
        <f>IF(COUNTIF(#REF!,Tabela2[[#This Row],[KOD_PRODUKTU]])&gt;0,"ELEMENT","PRODUKT")</f>
        <v>#REF!</v>
      </c>
      <c r="M1351" t="e">
        <f>COUNTIF(#REF!,Tabela2[[#This Row],[KOD_PRODUKTU]])</f>
        <v>#REF!</v>
      </c>
    </row>
    <row r="1352" spans="1:13" x14ac:dyDescent="0.25">
      <c r="A1352" s="1" t="s">
        <v>2331</v>
      </c>
      <c r="B1352" t="s">
        <v>2332</v>
      </c>
      <c r="C1352" s="1" t="s">
        <v>7</v>
      </c>
      <c r="D1352" s="1" t="s">
        <v>7</v>
      </c>
      <c r="E1352" s="1" t="s">
        <v>7</v>
      </c>
      <c r="F1352" t="s">
        <v>8</v>
      </c>
      <c r="G1352" t="s">
        <v>9</v>
      </c>
      <c r="H1352" t="s">
        <v>10</v>
      </c>
      <c r="I1352" t="s">
        <v>50</v>
      </c>
      <c r="J1352">
        <v>46</v>
      </c>
      <c r="K1352" t="e">
        <f>IF(COUNTIF(#REF!,Tabela2[[#This Row],[IdxWspolny]])&gt;0,"ELEM_lub_PRD","TECHN")</f>
        <v>#REF!</v>
      </c>
      <c r="L1352" t="e">
        <f>IF(COUNTIF(#REF!,Tabela2[[#This Row],[KOD_PRODUKTU]])&gt;0,"ELEMENT","PRODUKT")</f>
        <v>#REF!</v>
      </c>
      <c r="M1352" t="e">
        <f>COUNTIF(#REF!,Tabela2[[#This Row],[KOD_PRODUKTU]])</f>
        <v>#REF!</v>
      </c>
    </row>
    <row r="1353" spans="1:13" x14ac:dyDescent="0.25">
      <c r="A1353" s="1" t="s">
        <v>2333</v>
      </c>
      <c r="B1353" t="s">
        <v>2334</v>
      </c>
      <c r="C1353" s="1" t="s">
        <v>2318</v>
      </c>
      <c r="D1353" s="1" t="s">
        <v>2318</v>
      </c>
      <c r="E1353" s="1" t="s">
        <v>2318</v>
      </c>
      <c r="F1353" t="s">
        <v>2335</v>
      </c>
      <c r="G1353" t="s">
        <v>2336</v>
      </c>
      <c r="H1353" t="s">
        <v>17</v>
      </c>
      <c r="I1353" t="s">
        <v>2337</v>
      </c>
      <c r="J1353">
        <v>13.55</v>
      </c>
      <c r="K1353" t="e">
        <f>IF(COUNTIF(#REF!,Tabela2[[#This Row],[IdxWspolny]])&gt;0,"ELEM_lub_PRD","TECHN")</f>
        <v>#REF!</v>
      </c>
      <c r="L1353" t="e">
        <f>IF(COUNTIF(#REF!,Tabela2[[#This Row],[KOD_PRODUKTU]])&gt;0,"ELEMENT","PRODUKT")</f>
        <v>#REF!</v>
      </c>
      <c r="M1353" t="e">
        <f>COUNTIF(#REF!,Tabela2[[#This Row],[KOD_PRODUKTU]])</f>
        <v>#REF!</v>
      </c>
    </row>
    <row r="1354" spans="1:13" x14ac:dyDescent="0.25">
      <c r="A1354" s="1" t="s">
        <v>2333</v>
      </c>
      <c r="B1354" t="s">
        <v>2334</v>
      </c>
      <c r="C1354" s="1" t="s">
        <v>2322</v>
      </c>
      <c r="D1354" s="1" t="s">
        <v>2322</v>
      </c>
      <c r="E1354" s="1" t="s">
        <v>2322</v>
      </c>
      <c r="F1354" t="s">
        <v>2323</v>
      </c>
      <c r="G1354" t="s">
        <v>2324</v>
      </c>
      <c r="H1354" t="s">
        <v>39</v>
      </c>
      <c r="I1354" t="s">
        <v>478</v>
      </c>
      <c r="J1354">
        <v>2.96</v>
      </c>
      <c r="K1354" t="e">
        <f>IF(COUNTIF(#REF!,Tabela2[[#This Row],[IdxWspolny]])&gt;0,"ELEM_lub_PRD","TECHN")</f>
        <v>#REF!</v>
      </c>
      <c r="L1354" t="e">
        <f>IF(COUNTIF(#REF!,Tabela2[[#This Row],[KOD_PRODUKTU]])&gt;0,"ELEMENT","PRODUKT")</f>
        <v>#REF!</v>
      </c>
      <c r="M1354" t="e">
        <f>COUNTIF(#REF!,Tabela2[[#This Row],[KOD_PRODUKTU]])</f>
        <v>#REF!</v>
      </c>
    </row>
    <row r="1355" spans="1:13" x14ac:dyDescent="0.25">
      <c r="A1355" s="1" t="s">
        <v>2333</v>
      </c>
      <c r="B1355" t="s">
        <v>2334</v>
      </c>
      <c r="C1355" s="1" t="s">
        <v>514</v>
      </c>
      <c r="D1355" s="1" t="s">
        <v>514</v>
      </c>
      <c r="E1355" s="1" t="s">
        <v>514</v>
      </c>
      <c r="F1355" t="s">
        <v>515</v>
      </c>
      <c r="G1355" t="s">
        <v>516</v>
      </c>
      <c r="H1355" t="s">
        <v>121</v>
      </c>
      <c r="I1355" t="s">
        <v>92</v>
      </c>
      <c r="J1355">
        <v>0.54</v>
      </c>
      <c r="K1355" t="e">
        <f>IF(COUNTIF(#REF!,Tabela2[[#This Row],[IdxWspolny]])&gt;0,"ELEM_lub_PRD","TECHN")</f>
        <v>#REF!</v>
      </c>
      <c r="L1355" t="e">
        <f>IF(COUNTIF(#REF!,Tabela2[[#This Row],[KOD_PRODUKTU]])&gt;0,"ELEMENT","PRODUKT")</f>
        <v>#REF!</v>
      </c>
      <c r="M1355" t="e">
        <f>COUNTIF(#REF!,Tabela2[[#This Row],[KOD_PRODUKTU]])</f>
        <v>#REF!</v>
      </c>
    </row>
    <row r="1356" spans="1:13" x14ac:dyDescent="0.25">
      <c r="A1356" s="1" t="s">
        <v>2333</v>
      </c>
      <c r="B1356" t="s">
        <v>2334</v>
      </c>
      <c r="C1356" s="1" t="s">
        <v>41</v>
      </c>
      <c r="D1356" s="1" t="s">
        <v>41</v>
      </c>
      <c r="E1356" s="1" t="s">
        <v>41</v>
      </c>
      <c r="F1356" t="s">
        <v>42</v>
      </c>
      <c r="G1356" t="s">
        <v>43</v>
      </c>
      <c r="H1356" t="s">
        <v>5</v>
      </c>
      <c r="I1356" t="s">
        <v>550</v>
      </c>
      <c r="J1356">
        <v>0.02</v>
      </c>
      <c r="K1356" t="e">
        <f>IF(COUNTIF(#REF!,Tabela2[[#This Row],[IdxWspolny]])&gt;0,"ELEM_lub_PRD","TECHN")</f>
        <v>#REF!</v>
      </c>
      <c r="L1356" t="e">
        <f>IF(COUNTIF(#REF!,Tabela2[[#This Row],[KOD_PRODUKTU]])&gt;0,"ELEMENT","PRODUKT")</f>
        <v>#REF!</v>
      </c>
      <c r="M1356" t="e">
        <f>COUNTIF(#REF!,Tabela2[[#This Row],[KOD_PRODUKTU]])</f>
        <v>#REF!</v>
      </c>
    </row>
    <row r="1357" spans="1:13" x14ac:dyDescent="0.25">
      <c r="A1357" s="1" t="s">
        <v>2333</v>
      </c>
      <c r="B1357" t="s">
        <v>2334</v>
      </c>
      <c r="C1357" s="1" t="s">
        <v>2325</v>
      </c>
      <c r="D1357" s="1" t="s">
        <v>2325</v>
      </c>
      <c r="E1357" s="1" t="s">
        <v>2325</v>
      </c>
      <c r="F1357" t="s">
        <v>2326</v>
      </c>
      <c r="G1357" t="s">
        <v>580</v>
      </c>
      <c r="H1357" t="s">
        <v>121</v>
      </c>
      <c r="I1357" t="s">
        <v>92</v>
      </c>
      <c r="J1357">
        <v>14.9</v>
      </c>
      <c r="K1357" t="e">
        <f>IF(COUNTIF(#REF!,Tabela2[[#This Row],[IdxWspolny]])&gt;0,"ELEM_lub_PRD","TECHN")</f>
        <v>#REF!</v>
      </c>
      <c r="L1357" t="e">
        <f>IF(COUNTIF(#REF!,Tabela2[[#This Row],[KOD_PRODUKTU]])&gt;0,"ELEMENT","PRODUKT")</f>
        <v>#REF!</v>
      </c>
      <c r="M1357" t="e">
        <f>COUNTIF(#REF!,Tabela2[[#This Row],[KOD_PRODUKTU]])</f>
        <v>#REF!</v>
      </c>
    </row>
    <row r="1358" spans="1:13" x14ac:dyDescent="0.25">
      <c r="A1358" s="1" t="s">
        <v>2333</v>
      </c>
      <c r="B1358" t="s">
        <v>2334</v>
      </c>
      <c r="C1358" s="1" t="s">
        <v>2327</v>
      </c>
      <c r="D1358" s="1" t="s">
        <v>2327</v>
      </c>
      <c r="E1358" s="1" t="s">
        <v>2327</v>
      </c>
      <c r="F1358" t="s">
        <v>2328</v>
      </c>
      <c r="G1358" t="s">
        <v>2329</v>
      </c>
      <c r="H1358" t="s">
        <v>121</v>
      </c>
      <c r="I1358" t="s">
        <v>50</v>
      </c>
      <c r="J1358">
        <v>0.6</v>
      </c>
      <c r="K1358" t="e">
        <f>IF(COUNTIF(#REF!,Tabela2[[#This Row],[IdxWspolny]])&gt;0,"ELEM_lub_PRD","TECHN")</f>
        <v>#REF!</v>
      </c>
      <c r="L1358" t="e">
        <f>IF(COUNTIF(#REF!,Tabela2[[#This Row],[KOD_PRODUKTU]])&gt;0,"ELEMENT","PRODUKT")</f>
        <v>#REF!</v>
      </c>
      <c r="M1358" t="e">
        <f>COUNTIF(#REF!,Tabela2[[#This Row],[KOD_PRODUKTU]])</f>
        <v>#REF!</v>
      </c>
    </row>
    <row r="1359" spans="1:13" x14ac:dyDescent="0.25">
      <c r="A1359" s="1" t="s">
        <v>2333</v>
      </c>
      <c r="B1359" t="s">
        <v>2334</v>
      </c>
      <c r="C1359" s="1" t="s">
        <v>7</v>
      </c>
      <c r="D1359" s="1" t="s">
        <v>7</v>
      </c>
      <c r="E1359" s="1" t="s">
        <v>7</v>
      </c>
      <c r="F1359" t="s">
        <v>8</v>
      </c>
      <c r="G1359" t="s">
        <v>9</v>
      </c>
      <c r="H1359" t="s">
        <v>10</v>
      </c>
      <c r="I1359" t="s">
        <v>2338</v>
      </c>
      <c r="J1359">
        <v>26.68</v>
      </c>
      <c r="K1359" t="e">
        <f>IF(COUNTIF(#REF!,Tabela2[[#This Row],[IdxWspolny]])&gt;0,"ELEM_lub_PRD","TECHN")</f>
        <v>#REF!</v>
      </c>
      <c r="L1359" t="e">
        <f>IF(COUNTIF(#REF!,Tabela2[[#This Row],[KOD_PRODUKTU]])&gt;0,"ELEMENT","PRODUKT")</f>
        <v>#REF!</v>
      </c>
      <c r="M1359" t="e">
        <f>COUNTIF(#REF!,Tabela2[[#This Row],[KOD_PRODUKTU]])</f>
        <v>#REF!</v>
      </c>
    </row>
    <row r="1360" spans="1:13" x14ac:dyDescent="0.25">
      <c r="A1360" s="1" t="s">
        <v>2339</v>
      </c>
      <c r="B1360" t="s">
        <v>2340</v>
      </c>
      <c r="C1360" s="1" t="s">
        <v>2296</v>
      </c>
      <c r="D1360" s="1" t="s">
        <v>2296</v>
      </c>
      <c r="E1360" s="1" t="s">
        <v>2296</v>
      </c>
      <c r="F1360" t="s">
        <v>2297</v>
      </c>
      <c r="G1360" t="s">
        <v>2341</v>
      </c>
      <c r="H1360" t="s">
        <v>39</v>
      </c>
      <c r="I1360" t="s">
        <v>447</v>
      </c>
      <c r="J1360">
        <v>0.27</v>
      </c>
      <c r="K1360" t="e">
        <f>IF(COUNTIF(#REF!,Tabela2[[#This Row],[IdxWspolny]])&gt;0,"ELEM_lub_PRD","TECHN")</f>
        <v>#REF!</v>
      </c>
      <c r="L1360" t="e">
        <f>IF(COUNTIF(#REF!,Tabela2[[#This Row],[KOD_PRODUKTU]])&gt;0,"ELEMENT","PRODUKT")</f>
        <v>#REF!</v>
      </c>
      <c r="M1360" t="e">
        <f>COUNTIF(#REF!,Tabela2[[#This Row],[KOD_PRODUKTU]])</f>
        <v>#REF!</v>
      </c>
    </row>
    <row r="1361" spans="1:14" x14ac:dyDescent="0.25">
      <c r="A1361" s="1" t="s">
        <v>2339</v>
      </c>
      <c r="B1361" t="s">
        <v>2340</v>
      </c>
      <c r="C1361" s="1" t="s">
        <v>2299</v>
      </c>
      <c r="D1361" s="1" t="s">
        <v>2299</v>
      </c>
      <c r="E1361" s="1" t="s">
        <v>2299</v>
      </c>
      <c r="F1361" t="s">
        <v>2300</v>
      </c>
      <c r="G1361" t="s">
        <v>2342</v>
      </c>
      <c r="H1361" t="s">
        <v>1857</v>
      </c>
      <c r="I1361" t="s">
        <v>2302</v>
      </c>
      <c r="J1361">
        <v>2.16</v>
      </c>
      <c r="K1361" t="e">
        <f>IF(COUNTIF(#REF!,Tabela2[[#This Row],[IdxWspolny]])&gt;0,"ELEM_lub_PRD","TECHN")</f>
        <v>#REF!</v>
      </c>
      <c r="L1361" t="e">
        <f>IF(COUNTIF(#REF!,Tabela2[[#This Row],[KOD_PRODUKTU]])&gt;0,"ELEMENT","PRODUKT")</f>
        <v>#REF!</v>
      </c>
      <c r="M1361" t="e">
        <f>COUNTIF(#REF!,Tabela2[[#This Row],[KOD_PRODUKTU]])</f>
        <v>#REF!</v>
      </c>
    </row>
    <row r="1362" spans="1:14" x14ac:dyDescent="0.25">
      <c r="A1362" s="1" t="s">
        <v>2339</v>
      </c>
      <c r="B1362" t="s">
        <v>2340</v>
      </c>
      <c r="C1362" s="1" t="s">
        <v>649</v>
      </c>
      <c r="D1362" s="1" t="s">
        <v>649</v>
      </c>
      <c r="E1362" s="1" t="s">
        <v>649</v>
      </c>
      <c r="F1362" t="s">
        <v>650</v>
      </c>
      <c r="G1362" t="s">
        <v>651</v>
      </c>
      <c r="H1362" t="s">
        <v>39</v>
      </c>
      <c r="I1362" t="s">
        <v>447</v>
      </c>
      <c r="J1362">
        <v>0.16</v>
      </c>
      <c r="K1362" t="e">
        <f>IF(COUNTIF(#REF!,Tabela2[[#This Row],[IdxWspolny]])&gt;0,"ELEM_lub_PRD","TECHN")</f>
        <v>#REF!</v>
      </c>
      <c r="L1362" t="e">
        <f>IF(COUNTIF(#REF!,Tabela2[[#This Row],[KOD_PRODUKTU]])&gt;0,"ELEMENT","PRODUKT")</f>
        <v>#REF!</v>
      </c>
      <c r="M1362" t="e">
        <f>COUNTIF(#REF!,Tabela2[[#This Row],[KOD_PRODUKTU]])</f>
        <v>#REF!</v>
      </c>
    </row>
    <row r="1363" spans="1:14" x14ac:dyDescent="0.25">
      <c r="A1363" s="1" t="s">
        <v>2339</v>
      </c>
      <c r="B1363" t="s">
        <v>2340</v>
      </c>
      <c r="C1363" s="1" t="s">
        <v>2343</v>
      </c>
      <c r="D1363" s="1" t="s">
        <v>2343</v>
      </c>
      <c r="E1363" s="1" t="s">
        <v>2343</v>
      </c>
      <c r="F1363" t="s">
        <v>2344</v>
      </c>
      <c r="G1363" t="s">
        <v>2345</v>
      </c>
      <c r="H1363" t="s">
        <v>39</v>
      </c>
      <c r="I1363" t="s">
        <v>447</v>
      </c>
      <c r="J1363">
        <v>0.1</v>
      </c>
      <c r="K1363" t="e">
        <f>IF(COUNTIF(#REF!,Tabela2[[#This Row],[IdxWspolny]])&gt;0,"ELEM_lub_PRD","TECHN")</f>
        <v>#REF!</v>
      </c>
      <c r="L1363" t="e">
        <f>IF(COUNTIF(#REF!,Tabela2[[#This Row],[KOD_PRODUKTU]])&gt;0,"ELEMENT","PRODUKT")</f>
        <v>#REF!</v>
      </c>
      <c r="M1363" t="e">
        <f>COUNTIF(#REF!,Tabela2[[#This Row],[KOD_PRODUKTU]])</f>
        <v>#REF!</v>
      </c>
    </row>
    <row r="1364" spans="1:14" x14ac:dyDescent="0.25">
      <c r="A1364" s="1" t="s">
        <v>2339</v>
      </c>
      <c r="B1364" t="s">
        <v>2340</v>
      </c>
      <c r="C1364" s="1" t="s">
        <v>898</v>
      </c>
      <c r="D1364" s="1" t="s">
        <v>898</v>
      </c>
      <c r="E1364" s="1" t="s">
        <v>898</v>
      </c>
      <c r="F1364" t="s">
        <v>865</v>
      </c>
      <c r="G1364" t="s">
        <v>866</v>
      </c>
      <c r="H1364" t="s">
        <v>39</v>
      </c>
      <c r="I1364" t="s">
        <v>447</v>
      </c>
      <c r="J1364">
        <v>0.06</v>
      </c>
      <c r="K1364" t="e">
        <f>IF(COUNTIF(#REF!,Tabela2[[#This Row],[IdxWspolny]])&gt;0,"ELEM_lub_PRD","TECHN")</f>
        <v>#REF!</v>
      </c>
      <c r="L1364" t="e">
        <f>IF(COUNTIF(#REF!,Tabela2[[#This Row],[KOD_PRODUKTU]])&gt;0,"ELEMENT","PRODUKT")</f>
        <v>#REF!</v>
      </c>
      <c r="M1364" t="e">
        <f>COUNTIF(#REF!,Tabela2[[#This Row],[KOD_PRODUKTU]])</f>
        <v>#REF!</v>
      </c>
    </row>
    <row r="1365" spans="1:14" x14ac:dyDescent="0.25">
      <c r="A1365" s="1" t="s">
        <v>2339</v>
      </c>
      <c r="B1365" t="s">
        <v>2340</v>
      </c>
      <c r="C1365" s="1" t="s">
        <v>2304</v>
      </c>
      <c r="D1365" s="1" t="s">
        <v>2304</v>
      </c>
      <c r="E1365" s="1" t="s">
        <v>2304</v>
      </c>
      <c r="F1365" t="s">
        <v>2305</v>
      </c>
      <c r="G1365" t="s">
        <v>2346</v>
      </c>
      <c r="H1365" t="s">
        <v>121</v>
      </c>
      <c r="I1365" t="s">
        <v>92</v>
      </c>
      <c r="J1365">
        <v>0.9</v>
      </c>
      <c r="K1365" t="e">
        <f>IF(COUNTIF(#REF!,Tabela2[[#This Row],[IdxWspolny]])&gt;0,"ELEM_lub_PRD","TECHN")</f>
        <v>#REF!</v>
      </c>
      <c r="L1365" t="e">
        <f>IF(COUNTIF(#REF!,Tabela2[[#This Row],[KOD_PRODUKTU]])&gt;0,"ELEMENT","PRODUKT")</f>
        <v>#REF!</v>
      </c>
      <c r="M1365" t="e">
        <f>COUNTIF(#REF!,Tabela2[[#This Row],[KOD_PRODUKTU]])</f>
        <v>#REF!</v>
      </c>
    </row>
    <row r="1366" spans="1:14" x14ac:dyDescent="0.25">
      <c r="A1366" s="1" t="s">
        <v>2339</v>
      </c>
      <c r="B1366" t="s">
        <v>2340</v>
      </c>
      <c r="C1366" s="1" t="s">
        <v>2307</v>
      </c>
      <c r="D1366" s="1" t="s">
        <v>2307</v>
      </c>
      <c r="E1366" s="1" t="s">
        <v>2307</v>
      </c>
      <c r="F1366" t="s">
        <v>2308</v>
      </c>
      <c r="G1366" t="s">
        <v>2309</v>
      </c>
      <c r="H1366" t="s">
        <v>121</v>
      </c>
      <c r="I1366" t="s">
        <v>92</v>
      </c>
      <c r="J1366">
        <v>19.5</v>
      </c>
      <c r="K1366" t="e">
        <f>IF(COUNTIF(#REF!,Tabela2[[#This Row],[IdxWspolny]])&gt;0,"ELEM_lub_PRD","TECHN")</f>
        <v>#REF!</v>
      </c>
      <c r="L1366" t="e">
        <f>IF(COUNTIF(#REF!,Tabela2[[#This Row],[KOD_PRODUKTU]])&gt;0,"ELEMENT","PRODUKT")</f>
        <v>#REF!</v>
      </c>
      <c r="M1366" t="e">
        <f>COUNTIF(#REF!,Tabela2[[#This Row],[KOD_PRODUKTU]])</f>
        <v>#REF!</v>
      </c>
    </row>
    <row r="1367" spans="1:14" x14ac:dyDescent="0.25">
      <c r="A1367" s="1" t="s">
        <v>2339</v>
      </c>
      <c r="B1367" t="s">
        <v>2340</v>
      </c>
      <c r="C1367" s="1" t="s">
        <v>2347</v>
      </c>
      <c r="D1367" s="1" t="s">
        <v>2347</v>
      </c>
      <c r="E1367" s="1" t="s">
        <v>2347</v>
      </c>
      <c r="F1367" t="s">
        <v>2348</v>
      </c>
      <c r="G1367" t="s">
        <v>2329</v>
      </c>
      <c r="H1367" t="s">
        <v>121</v>
      </c>
      <c r="I1367" t="s">
        <v>319</v>
      </c>
      <c r="J1367">
        <v>3.6</v>
      </c>
      <c r="K1367" t="e">
        <f>IF(COUNTIF(#REF!,Tabela2[[#This Row],[IdxWspolny]])&gt;0,"ELEM_lub_PRD","TECHN")</f>
        <v>#REF!</v>
      </c>
      <c r="L1367" t="e">
        <f>IF(COUNTIF(#REF!,Tabela2[[#This Row],[KOD_PRODUKTU]])&gt;0,"ELEMENT","PRODUKT")</f>
        <v>#REF!</v>
      </c>
      <c r="M1367" t="e">
        <f>COUNTIF(#REF!,Tabela2[[#This Row],[KOD_PRODUKTU]])</f>
        <v>#REF!</v>
      </c>
    </row>
    <row r="1368" spans="1:14" x14ac:dyDescent="0.25">
      <c r="A1368" s="1" t="s">
        <v>2339</v>
      </c>
      <c r="B1368" t="s">
        <v>2340</v>
      </c>
      <c r="C1368" s="1" t="s">
        <v>2310</v>
      </c>
      <c r="D1368" s="1" t="s">
        <v>2310</v>
      </c>
      <c r="E1368" s="1" t="s">
        <v>2310</v>
      </c>
      <c r="F1368" t="s">
        <v>2311</v>
      </c>
      <c r="G1368" t="s">
        <v>2312</v>
      </c>
      <c r="H1368" t="s">
        <v>121</v>
      </c>
      <c r="I1368" t="s">
        <v>50</v>
      </c>
      <c r="J1368">
        <v>37.15</v>
      </c>
      <c r="K1368" t="e">
        <f>IF(COUNTIF(#REF!,Tabela2[[#This Row],[IdxWspolny]])&gt;0,"ELEM_lub_PRD","TECHN")</f>
        <v>#REF!</v>
      </c>
      <c r="L1368" t="e">
        <f>IF(COUNTIF(#REF!,Tabela2[[#This Row],[KOD_PRODUKTU]])&gt;0,"ELEMENT","PRODUKT")</f>
        <v>#REF!</v>
      </c>
      <c r="M1368" t="e">
        <f>COUNTIF(#REF!,Tabela2[[#This Row],[KOD_PRODUKTU]])</f>
        <v>#REF!</v>
      </c>
    </row>
    <row r="1369" spans="1:14" x14ac:dyDescent="0.25">
      <c r="A1369" s="1" t="s">
        <v>2339</v>
      </c>
      <c r="B1369" t="s">
        <v>2340</v>
      </c>
      <c r="C1369" s="1" t="s">
        <v>2313</v>
      </c>
      <c r="D1369" s="1" t="s">
        <v>2313</v>
      </c>
      <c r="E1369" s="1" t="s">
        <v>2313</v>
      </c>
      <c r="F1369" t="s">
        <v>2314</v>
      </c>
      <c r="G1369" t="s">
        <v>2312</v>
      </c>
      <c r="H1369" t="s">
        <v>121</v>
      </c>
      <c r="I1369" t="s">
        <v>50</v>
      </c>
      <c r="J1369">
        <v>37.15</v>
      </c>
      <c r="K1369" t="e">
        <f>IF(COUNTIF(#REF!,Tabela2[[#This Row],[IdxWspolny]])&gt;0,"ELEM_lub_PRD","TECHN")</f>
        <v>#REF!</v>
      </c>
      <c r="L1369" t="e">
        <f>IF(COUNTIF(#REF!,Tabela2[[#This Row],[KOD_PRODUKTU]])&gt;0,"ELEMENT","PRODUKT")</f>
        <v>#REF!</v>
      </c>
      <c r="M1369" t="e">
        <f>COUNTIF(#REF!,Tabela2[[#This Row],[KOD_PRODUKTU]])</f>
        <v>#REF!</v>
      </c>
    </row>
    <row r="1370" spans="1:14" x14ac:dyDescent="0.25">
      <c r="A1370" s="1" t="s">
        <v>2339</v>
      </c>
      <c r="B1370" t="s">
        <v>2340</v>
      </c>
      <c r="C1370" s="1" t="s">
        <v>2349</v>
      </c>
      <c r="D1370" s="1" t="s">
        <v>2349</v>
      </c>
      <c r="E1370" s="1" t="s">
        <v>2349</v>
      </c>
      <c r="F1370" t="s">
        <v>2350</v>
      </c>
      <c r="G1370" t="s">
        <v>2351</v>
      </c>
      <c r="H1370" t="s">
        <v>49</v>
      </c>
      <c r="I1370" t="s">
        <v>50</v>
      </c>
      <c r="J1370">
        <v>73.8</v>
      </c>
      <c r="K1370" t="e">
        <f>IF(COUNTIF(#REF!,Tabela2[[#This Row],[IdxWspolny]])&gt;0,"ELEM_lub_PRD","TECHN")</f>
        <v>#REF!</v>
      </c>
      <c r="L1370" t="e">
        <f>IF(COUNTIF(#REF!,Tabela2[[#This Row],[KOD_PRODUKTU]])&gt;0,"ELEMENT","PRODUKT")</f>
        <v>#REF!</v>
      </c>
      <c r="M1370" t="e">
        <f>COUNTIF(#REF!,Tabela2[[#This Row],[KOD_PRODUKTU]])</f>
        <v>#REF!</v>
      </c>
      <c r="N1370" t="s">
        <v>55</v>
      </c>
    </row>
    <row r="1371" spans="1:14" x14ac:dyDescent="0.25">
      <c r="A1371" s="1" t="s">
        <v>2339</v>
      </c>
      <c r="B1371" t="s">
        <v>2340</v>
      </c>
      <c r="C1371" s="1" t="s">
        <v>7</v>
      </c>
      <c r="D1371" s="1" t="s">
        <v>7</v>
      </c>
      <c r="E1371" s="1" t="s">
        <v>7</v>
      </c>
      <c r="F1371" t="s">
        <v>8</v>
      </c>
      <c r="G1371" t="s">
        <v>9</v>
      </c>
      <c r="H1371" t="s">
        <v>10</v>
      </c>
      <c r="I1371" t="s">
        <v>1027</v>
      </c>
      <c r="J1371">
        <v>52.9</v>
      </c>
      <c r="K1371" t="e">
        <f>IF(COUNTIF(#REF!,Tabela2[[#This Row],[IdxWspolny]])&gt;0,"ELEM_lub_PRD","TECHN")</f>
        <v>#REF!</v>
      </c>
      <c r="L1371" t="e">
        <f>IF(COUNTIF(#REF!,Tabela2[[#This Row],[KOD_PRODUKTU]])&gt;0,"ELEMENT","PRODUKT")</f>
        <v>#REF!</v>
      </c>
      <c r="M1371" t="e">
        <f>COUNTIF(#REF!,Tabela2[[#This Row],[KOD_PRODUKTU]])</f>
        <v>#REF!</v>
      </c>
    </row>
    <row r="1372" spans="1:14" x14ac:dyDescent="0.25">
      <c r="A1372" s="1" t="s">
        <v>2352</v>
      </c>
      <c r="B1372" t="s">
        <v>2353</v>
      </c>
      <c r="C1372" s="1" t="s">
        <v>2322</v>
      </c>
      <c r="D1372" s="1" t="s">
        <v>2322</v>
      </c>
      <c r="E1372" s="1" t="s">
        <v>2322</v>
      </c>
      <c r="F1372" t="s">
        <v>2323</v>
      </c>
      <c r="G1372" t="s">
        <v>2324</v>
      </c>
      <c r="H1372" t="s">
        <v>39</v>
      </c>
      <c r="I1372" t="s">
        <v>478</v>
      </c>
      <c r="J1372">
        <v>2.96</v>
      </c>
      <c r="K1372" t="e">
        <f>IF(COUNTIF(#REF!,Tabela2[[#This Row],[IdxWspolny]])&gt;0,"ELEM_lub_PRD","TECHN")</f>
        <v>#REF!</v>
      </c>
      <c r="L1372" t="e">
        <f>IF(COUNTIF(#REF!,Tabela2[[#This Row],[KOD_PRODUKTU]])&gt;0,"ELEMENT","PRODUKT")</f>
        <v>#REF!</v>
      </c>
      <c r="M1372" t="e">
        <f>COUNTIF(#REF!,Tabela2[[#This Row],[KOD_PRODUKTU]])</f>
        <v>#REF!</v>
      </c>
    </row>
    <row r="1373" spans="1:14" x14ac:dyDescent="0.25">
      <c r="A1373" s="1" t="s">
        <v>2352</v>
      </c>
      <c r="B1373" t="s">
        <v>2353</v>
      </c>
      <c r="C1373" s="1" t="s">
        <v>514</v>
      </c>
      <c r="D1373" s="1" t="s">
        <v>514</v>
      </c>
      <c r="E1373" s="1" t="s">
        <v>514</v>
      </c>
      <c r="F1373" t="s">
        <v>515</v>
      </c>
      <c r="G1373" t="s">
        <v>516</v>
      </c>
      <c r="H1373" t="s">
        <v>121</v>
      </c>
      <c r="I1373" t="s">
        <v>92</v>
      </c>
      <c r="J1373">
        <v>0.54</v>
      </c>
      <c r="K1373" t="e">
        <f>IF(COUNTIF(#REF!,Tabela2[[#This Row],[IdxWspolny]])&gt;0,"ELEM_lub_PRD","TECHN")</f>
        <v>#REF!</v>
      </c>
      <c r="L1373" t="e">
        <f>IF(COUNTIF(#REF!,Tabela2[[#This Row],[KOD_PRODUKTU]])&gt;0,"ELEMENT","PRODUKT")</f>
        <v>#REF!</v>
      </c>
      <c r="M1373" t="e">
        <f>COUNTIF(#REF!,Tabela2[[#This Row],[KOD_PRODUKTU]])</f>
        <v>#REF!</v>
      </c>
    </row>
    <row r="1374" spans="1:14" x14ac:dyDescent="0.25">
      <c r="A1374" s="1" t="s">
        <v>2352</v>
      </c>
      <c r="B1374" t="s">
        <v>2353</v>
      </c>
      <c r="C1374" s="1" t="s">
        <v>2325</v>
      </c>
      <c r="D1374" s="1" t="s">
        <v>2325</v>
      </c>
      <c r="E1374" s="1" t="s">
        <v>2325</v>
      </c>
      <c r="F1374" t="s">
        <v>2326</v>
      </c>
      <c r="G1374" t="s">
        <v>580</v>
      </c>
      <c r="H1374" t="s">
        <v>121</v>
      </c>
      <c r="I1374" t="s">
        <v>92</v>
      </c>
      <c r="J1374">
        <v>14.9</v>
      </c>
      <c r="K1374" t="e">
        <f>IF(COUNTIF(#REF!,Tabela2[[#This Row],[IdxWspolny]])&gt;0,"ELEM_lub_PRD","TECHN")</f>
        <v>#REF!</v>
      </c>
      <c r="L1374" t="e">
        <f>IF(COUNTIF(#REF!,Tabela2[[#This Row],[KOD_PRODUKTU]])&gt;0,"ELEMENT","PRODUKT")</f>
        <v>#REF!</v>
      </c>
      <c r="M1374" t="e">
        <f>COUNTIF(#REF!,Tabela2[[#This Row],[KOD_PRODUKTU]])</f>
        <v>#REF!</v>
      </c>
    </row>
    <row r="1375" spans="1:14" x14ac:dyDescent="0.25">
      <c r="A1375" s="1" t="s">
        <v>2352</v>
      </c>
      <c r="B1375" t="s">
        <v>2353</v>
      </c>
      <c r="C1375" s="1" t="s">
        <v>2327</v>
      </c>
      <c r="D1375" s="1" t="s">
        <v>2327</v>
      </c>
      <c r="E1375" s="1" t="s">
        <v>2327</v>
      </c>
      <c r="F1375" t="s">
        <v>2328</v>
      </c>
      <c r="G1375" t="s">
        <v>2329</v>
      </c>
      <c r="H1375" t="s">
        <v>121</v>
      </c>
      <c r="I1375" t="s">
        <v>50</v>
      </c>
      <c r="J1375">
        <v>0.6</v>
      </c>
      <c r="K1375" t="e">
        <f>IF(COUNTIF(#REF!,Tabela2[[#This Row],[IdxWspolny]])&gt;0,"ELEM_lub_PRD","TECHN")</f>
        <v>#REF!</v>
      </c>
      <c r="L1375" t="e">
        <f>IF(COUNTIF(#REF!,Tabela2[[#This Row],[KOD_PRODUKTU]])&gt;0,"ELEMENT","PRODUKT")</f>
        <v>#REF!</v>
      </c>
      <c r="M1375" t="e">
        <f>COUNTIF(#REF!,Tabela2[[#This Row],[KOD_PRODUKTU]])</f>
        <v>#REF!</v>
      </c>
    </row>
    <row r="1376" spans="1:14" x14ac:dyDescent="0.25">
      <c r="A1376" s="1" t="s">
        <v>2352</v>
      </c>
      <c r="B1376" t="s">
        <v>2353</v>
      </c>
      <c r="C1376" s="1" t="s">
        <v>2354</v>
      </c>
      <c r="D1376" s="1" t="s">
        <v>2354</v>
      </c>
      <c r="E1376" s="1" t="s">
        <v>2354</v>
      </c>
      <c r="F1376" t="s">
        <v>2355</v>
      </c>
      <c r="G1376" t="s">
        <v>2356</v>
      </c>
      <c r="H1376" t="s">
        <v>49</v>
      </c>
      <c r="I1376" t="s">
        <v>50</v>
      </c>
      <c r="J1376">
        <v>50</v>
      </c>
      <c r="K1376" t="e">
        <f>IF(COUNTIF(#REF!,Tabela2[[#This Row],[IdxWspolny]])&gt;0,"ELEM_lub_PRD","TECHN")</f>
        <v>#REF!</v>
      </c>
      <c r="L1376" t="e">
        <f>IF(COUNTIF(#REF!,Tabela2[[#This Row],[KOD_PRODUKTU]])&gt;0,"ELEMENT","PRODUKT")</f>
        <v>#REF!</v>
      </c>
      <c r="M1376" t="e">
        <f>COUNTIF(#REF!,Tabela2[[#This Row],[KOD_PRODUKTU]])</f>
        <v>#REF!</v>
      </c>
      <c r="N1376" t="s">
        <v>55</v>
      </c>
    </row>
    <row r="1377" spans="1:14" x14ac:dyDescent="0.25">
      <c r="A1377" s="1" t="s">
        <v>2352</v>
      </c>
      <c r="B1377" t="s">
        <v>2353</v>
      </c>
      <c r="C1377" s="1" t="s">
        <v>7</v>
      </c>
      <c r="D1377" s="1" t="s">
        <v>7</v>
      </c>
      <c r="E1377" s="1" t="s">
        <v>7</v>
      </c>
      <c r="F1377" t="s">
        <v>8</v>
      </c>
      <c r="G1377" t="s">
        <v>9</v>
      </c>
      <c r="H1377" t="s">
        <v>10</v>
      </c>
      <c r="I1377" t="s">
        <v>2357</v>
      </c>
      <c r="J1377">
        <v>29</v>
      </c>
      <c r="K1377" t="e">
        <f>IF(COUNTIF(#REF!,Tabela2[[#This Row],[IdxWspolny]])&gt;0,"ELEM_lub_PRD","TECHN")</f>
        <v>#REF!</v>
      </c>
      <c r="L1377" t="e">
        <f>IF(COUNTIF(#REF!,Tabela2[[#This Row],[KOD_PRODUKTU]])&gt;0,"ELEMENT","PRODUKT")</f>
        <v>#REF!</v>
      </c>
      <c r="M1377" t="e">
        <f>COUNTIF(#REF!,Tabela2[[#This Row],[KOD_PRODUKTU]])</f>
        <v>#REF!</v>
      </c>
    </row>
    <row r="1378" spans="1:14" x14ac:dyDescent="0.25">
      <c r="A1378" s="1" t="s">
        <v>2358</v>
      </c>
      <c r="B1378" t="s">
        <v>2359</v>
      </c>
      <c r="C1378" s="1" t="s">
        <v>471</v>
      </c>
      <c r="D1378" s="1" t="s">
        <v>471</v>
      </c>
      <c r="E1378" s="1" t="s">
        <v>471</v>
      </c>
      <c r="F1378" t="s">
        <v>472</v>
      </c>
      <c r="G1378" t="s">
        <v>526</v>
      </c>
      <c r="H1378" t="s">
        <v>5</v>
      </c>
      <c r="I1378" t="s">
        <v>2360</v>
      </c>
      <c r="J1378">
        <v>31.36</v>
      </c>
      <c r="K1378" t="e">
        <f>IF(COUNTIF(#REF!,Tabela2[[#This Row],[IdxWspolny]])&gt;0,"ELEM_lub_PRD","TECHN")</f>
        <v>#REF!</v>
      </c>
      <c r="L1378" t="e">
        <f>IF(COUNTIF(#REF!,Tabela2[[#This Row],[KOD_PRODUKTU]])&gt;0,"ELEMENT","PRODUKT")</f>
        <v>#REF!</v>
      </c>
      <c r="M1378" t="e">
        <f>COUNTIF(#REF!,Tabela2[[#This Row],[KOD_PRODUKTU]])</f>
        <v>#REF!</v>
      </c>
    </row>
    <row r="1379" spans="1:14" x14ac:dyDescent="0.25">
      <c r="A1379" s="1" t="s">
        <v>2358</v>
      </c>
      <c r="B1379" t="s">
        <v>2359</v>
      </c>
      <c r="C1379" s="1" t="s">
        <v>475</v>
      </c>
      <c r="D1379" s="1" t="s">
        <v>475</v>
      </c>
      <c r="E1379" s="1" t="s">
        <v>475</v>
      </c>
      <c r="F1379" t="s">
        <v>476</v>
      </c>
      <c r="G1379" t="s">
        <v>477</v>
      </c>
      <c r="H1379" t="s">
        <v>39</v>
      </c>
      <c r="I1379" t="s">
        <v>478</v>
      </c>
      <c r="J1379">
        <v>0.41</v>
      </c>
      <c r="K1379" t="e">
        <f>IF(COUNTIF(#REF!,Tabela2[[#This Row],[IdxWspolny]])&gt;0,"ELEM_lub_PRD","TECHN")</f>
        <v>#REF!</v>
      </c>
      <c r="L1379" t="e">
        <f>IF(COUNTIF(#REF!,Tabela2[[#This Row],[KOD_PRODUKTU]])&gt;0,"ELEMENT","PRODUKT")</f>
        <v>#REF!</v>
      </c>
      <c r="M1379" t="e">
        <f>COUNTIF(#REF!,Tabela2[[#This Row],[KOD_PRODUKTU]])</f>
        <v>#REF!</v>
      </c>
    </row>
    <row r="1380" spans="1:14" x14ac:dyDescent="0.25">
      <c r="A1380" s="1" t="s">
        <v>2358</v>
      </c>
      <c r="B1380" t="s">
        <v>2359</v>
      </c>
      <c r="C1380" s="1" t="s">
        <v>479</v>
      </c>
      <c r="D1380" s="1" t="s">
        <v>479</v>
      </c>
      <c r="E1380" s="1" t="s">
        <v>479</v>
      </c>
      <c r="F1380" t="s">
        <v>480</v>
      </c>
      <c r="G1380" t="s">
        <v>481</v>
      </c>
      <c r="H1380" t="s">
        <v>5</v>
      </c>
      <c r="I1380" t="s">
        <v>534</v>
      </c>
      <c r="J1380">
        <v>0.05</v>
      </c>
      <c r="K1380" t="e">
        <f>IF(COUNTIF(#REF!,Tabela2[[#This Row],[IdxWspolny]])&gt;0,"ELEM_lub_PRD","TECHN")</f>
        <v>#REF!</v>
      </c>
      <c r="L1380" t="e">
        <f>IF(COUNTIF(#REF!,Tabela2[[#This Row],[KOD_PRODUKTU]])&gt;0,"ELEMENT","PRODUKT")</f>
        <v>#REF!</v>
      </c>
      <c r="M1380" t="e">
        <f>COUNTIF(#REF!,Tabela2[[#This Row],[KOD_PRODUKTU]])</f>
        <v>#REF!</v>
      </c>
    </row>
    <row r="1381" spans="1:14" x14ac:dyDescent="0.25">
      <c r="A1381" s="1" t="s">
        <v>2358</v>
      </c>
      <c r="B1381" t="s">
        <v>2359</v>
      </c>
      <c r="C1381" s="1" t="s">
        <v>483</v>
      </c>
      <c r="D1381" s="1" t="s">
        <v>483</v>
      </c>
      <c r="E1381" s="1" t="s">
        <v>483</v>
      </c>
      <c r="F1381" t="s">
        <v>484</v>
      </c>
      <c r="G1381" t="s">
        <v>485</v>
      </c>
      <c r="H1381" t="s">
        <v>5</v>
      </c>
      <c r="I1381" t="s">
        <v>573</v>
      </c>
      <c r="J1381">
        <v>0.01</v>
      </c>
      <c r="K1381" t="e">
        <f>IF(COUNTIF(#REF!,Tabela2[[#This Row],[IdxWspolny]])&gt;0,"ELEM_lub_PRD","TECHN")</f>
        <v>#REF!</v>
      </c>
      <c r="L1381" t="e">
        <f>IF(COUNTIF(#REF!,Tabela2[[#This Row],[KOD_PRODUKTU]])&gt;0,"ELEMENT","PRODUKT")</f>
        <v>#REF!</v>
      </c>
      <c r="M1381" t="e">
        <f>COUNTIF(#REF!,Tabela2[[#This Row],[KOD_PRODUKTU]])</f>
        <v>#REF!</v>
      </c>
    </row>
    <row r="1382" spans="1:14" x14ac:dyDescent="0.25">
      <c r="A1382" s="1" t="s">
        <v>2358</v>
      </c>
      <c r="B1382" t="s">
        <v>2359</v>
      </c>
      <c r="C1382" s="1" t="s">
        <v>487</v>
      </c>
      <c r="D1382" s="1" t="s">
        <v>487</v>
      </c>
      <c r="E1382" s="1" t="s">
        <v>487</v>
      </c>
      <c r="F1382" t="s">
        <v>488</v>
      </c>
      <c r="G1382" t="s">
        <v>489</v>
      </c>
      <c r="H1382" t="s">
        <v>5</v>
      </c>
      <c r="I1382" t="s">
        <v>2361</v>
      </c>
      <c r="J1382">
        <v>0.31</v>
      </c>
      <c r="K1382" t="e">
        <f>IF(COUNTIF(#REF!,Tabela2[[#This Row],[IdxWspolny]])&gt;0,"ELEM_lub_PRD","TECHN")</f>
        <v>#REF!</v>
      </c>
      <c r="L1382" t="e">
        <f>IF(COUNTIF(#REF!,Tabela2[[#This Row],[KOD_PRODUKTU]])&gt;0,"ELEMENT","PRODUKT")</f>
        <v>#REF!</v>
      </c>
      <c r="M1382" t="e">
        <f>COUNTIF(#REF!,Tabela2[[#This Row],[KOD_PRODUKTU]])</f>
        <v>#REF!</v>
      </c>
    </row>
    <row r="1383" spans="1:14" x14ac:dyDescent="0.25">
      <c r="A1383" s="1" t="s">
        <v>2358</v>
      </c>
      <c r="B1383" t="s">
        <v>2359</v>
      </c>
      <c r="C1383" s="1" t="s">
        <v>41</v>
      </c>
      <c r="D1383" s="1" t="s">
        <v>41</v>
      </c>
      <c r="E1383" s="1" t="s">
        <v>41</v>
      </c>
      <c r="F1383" t="s">
        <v>42</v>
      </c>
      <c r="G1383" t="s">
        <v>43</v>
      </c>
      <c r="H1383" t="s">
        <v>5</v>
      </c>
      <c r="I1383" t="s">
        <v>1900</v>
      </c>
      <c r="J1383">
        <v>0.03</v>
      </c>
      <c r="K1383" t="e">
        <f>IF(COUNTIF(#REF!,Tabela2[[#This Row],[IdxWspolny]])&gt;0,"ELEM_lub_PRD","TECHN")</f>
        <v>#REF!</v>
      </c>
      <c r="L1383" t="e">
        <f>IF(COUNTIF(#REF!,Tabela2[[#This Row],[KOD_PRODUKTU]])&gt;0,"ELEMENT","PRODUKT")</f>
        <v>#REF!</v>
      </c>
      <c r="M1383" t="e">
        <f>COUNTIF(#REF!,Tabela2[[#This Row],[KOD_PRODUKTU]])</f>
        <v>#REF!</v>
      </c>
    </row>
    <row r="1384" spans="1:14" x14ac:dyDescent="0.25">
      <c r="A1384" s="1" t="s">
        <v>2358</v>
      </c>
      <c r="B1384" t="s">
        <v>2359</v>
      </c>
      <c r="C1384" s="1" t="s">
        <v>491</v>
      </c>
      <c r="D1384" s="1" t="s">
        <v>491</v>
      </c>
      <c r="E1384" s="1" t="s">
        <v>491</v>
      </c>
      <c r="F1384" t="s">
        <v>492</v>
      </c>
      <c r="G1384" t="s">
        <v>493</v>
      </c>
      <c r="H1384" t="s">
        <v>121</v>
      </c>
      <c r="I1384" t="s">
        <v>92</v>
      </c>
      <c r="J1384">
        <v>13.7</v>
      </c>
      <c r="K1384" t="e">
        <f>IF(COUNTIF(#REF!,Tabela2[[#This Row],[IdxWspolny]])&gt;0,"ELEM_lub_PRD","TECHN")</f>
        <v>#REF!</v>
      </c>
      <c r="L1384" t="e">
        <f>IF(COUNTIF(#REF!,Tabela2[[#This Row],[KOD_PRODUKTU]])&gt;0,"ELEMENT","PRODUKT")</f>
        <v>#REF!</v>
      </c>
      <c r="M1384" t="e">
        <f>COUNTIF(#REF!,Tabela2[[#This Row],[KOD_PRODUKTU]])</f>
        <v>#REF!</v>
      </c>
    </row>
    <row r="1385" spans="1:14" x14ac:dyDescent="0.25">
      <c r="A1385" s="1" t="s">
        <v>2358</v>
      </c>
      <c r="B1385" t="s">
        <v>2359</v>
      </c>
      <c r="C1385" s="1" t="s">
        <v>499</v>
      </c>
      <c r="D1385" s="1" t="s">
        <v>499</v>
      </c>
      <c r="E1385" s="1" t="s">
        <v>499</v>
      </c>
      <c r="F1385" t="s">
        <v>500</v>
      </c>
      <c r="G1385" t="s">
        <v>501</v>
      </c>
      <c r="H1385" t="s">
        <v>121</v>
      </c>
      <c r="I1385" t="s">
        <v>50</v>
      </c>
      <c r="J1385">
        <v>4.5</v>
      </c>
      <c r="K1385" t="e">
        <f>IF(COUNTIF(#REF!,Tabela2[[#This Row],[IdxWspolny]])&gt;0,"ELEM_lub_PRD","TECHN")</f>
        <v>#REF!</v>
      </c>
      <c r="L1385" t="e">
        <f>IF(COUNTIF(#REF!,Tabela2[[#This Row],[KOD_PRODUKTU]])&gt;0,"ELEMENT","PRODUKT")</f>
        <v>#REF!</v>
      </c>
      <c r="M1385" t="e">
        <f>COUNTIF(#REF!,Tabela2[[#This Row],[KOD_PRODUKTU]])</f>
        <v>#REF!</v>
      </c>
    </row>
    <row r="1386" spans="1:14" x14ac:dyDescent="0.25">
      <c r="A1386" s="1" t="s">
        <v>2358</v>
      </c>
      <c r="B1386" t="s">
        <v>2359</v>
      </c>
      <c r="C1386" s="1" t="s">
        <v>536</v>
      </c>
      <c r="D1386" s="1" t="s">
        <v>536</v>
      </c>
      <c r="E1386" s="1" t="s">
        <v>536</v>
      </c>
      <c r="F1386" t="s">
        <v>537</v>
      </c>
      <c r="G1386" t="s">
        <v>538</v>
      </c>
      <c r="H1386" t="s">
        <v>121</v>
      </c>
      <c r="I1386" t="s">
        <v>50</v>
      </c>
      <c r="J1386">
        <v>15.7</v>
      </c>
      <c r="K1386" t="e">
        <f>IF(COUNTIF(#REF!,Tabela2[[#This Row],[IdxWspolny]])&gt;0,"ELEM_lub_PRD","TECHN")</f>
        <v>#REF!</v>
      </c>
      <c r="L1386" t="e">
        <f>IF(COUNTIF(#REF!,Tabela2[[#This Row],[KOD_PRODUKTU]])&gt;0,"ELEMENT","PRODUKT")</f>
        <v>#REF!</v>
      </c>
      <c r="M1386" t="e">
        <f>COUNTIF(#REF!,Tabela2[[#This Row],[KOD_PRODUKTU]])</f>
        <v>#REF!</v>
      </c>
    </row>
    <row r="1387" spans="1:14" x14ac:dyDescent="0.25">
      <c r="A1387" s="1" t="s">
        <v>2358</v>
      </c>
      <c r="B1387" t="s">
        <v>2359</v>
      </c>
      <c r="C1387" s="1" t="s">
        <v>539</v>
      </c>
      <c r="D1387" s="1" t="s">
        <v>539</v>
      </c>
      <c r="E1387" s="1" t="s">
        <v>539</v>
      </c>
      <c r="F1387" t="s">
        <v>540</v>
      </c>
      <c r="G1387" t="s">
        <v>538</v>
      </c>
      <c r="H1387" t="s">
        <v>121</v>
      </c>
      <c r="I1387" t="s">
        <v>50</v>
      </c>
      <c r="J1387">
        <v>15.7</v>
      </c>
      <c r="K1387" t="e">
        <f>IF(COUNTIF(#REF!,Tabela2[[#This Row],[IdxWspolny]])&gt;0,"ELEM_lub_PRD","TECHN")</f>
        <v>#REF!</v>
      </c>
      <c r="L1387" t="e">
        <f>IF(COUNTIF(#REF!,Tabela2[[#This Row],[KOD_PRODUKTU]])&gt;0,"ELEMENT","PRODUKT")</f>
        <v>#REF!</v>
      </c>
      <c r="M1387" t="e">
        <f>COUNTIF(#REF!,Tabela2[[#This Row],[KOD_PRODUKTU]])</f>
        <v>#REF!</v>
      </c>
    </row>
    <row r="1388" spans="1:14" hidden="1" x14ac:dyDescent="0.25">
      <c r="A1388" s="1" t="s">
        <v>2358</v>
      </c>
      <c r="B1388" t="s">
        <v>2359</v>
      </c>
      <c r="C1388" s="1" t="s">
        <v>502</v>
      </c>
      <c r="D1388" s="1" t="s">
        <v>502</v>
      </c>
      <c r="E1388" s="1" t="s">
        <v>502</v>
      </c>
      <c r="F1388" t="s">
        <v>503</v>
      </c>
      <c r="G1388" t="s">
        <v>31</v>
      </c>
      <c r="H1388" t="s">
        <v>121</v>
      </c>
      <c r="I1388" t="s">
        <v>50</v>
      </c>
      <c r="J1388">
        <v>10.6</v>
      </c>
      <c r="K1388" t="e">
        <f>IF(COUNTIF(#REF!,Tabela2[[#This Row],[IdxWspolny]])&gt;0,"ELEM_lub_PRD","TECHN")</f>
        <v>#REF!</v>
      </c>
      <c r="L1388" t="e">
        <f>IF(COUNTIF(#REF!,Tabela2[[#This Row],[KOD_PRODUKTU]])&gt;0,"ELEMENT","PRODUKT")</f>
        <v>#REF!</v>
      </c>
      <c r="M1388" t="e">
        <f>COUNTIF(#REF!,Tabela2[[#This Row],[KOD_PRODUKTU]])</f>
        <v>#REF!</v>
      </c>
      <c r="N1388" t="s">
        <v>55</v>
      </c>
    </row>
    <row r="1389" spans="1:14" x14ac:dyDescent="0.25">
      <c r="A1389" s="1" t="s">
        <v>2358</v>
      </c>
      <c r="B1389" t="s">
        <v>2359</v>
      </c>
      <c r="C1389" s="1" t="s">
        <v>7</v>
      </c>
      <c r="D1389" s="1" t="s">
        <v>7</v>
      </c>
      <c r="E1389" s="1" t="s">
        <v>7</v>
      </c>
      <c r="F1389" t="s">
        <v>8</v>
      </c>
      <c r="G1389" t="s">
        <v>9</v>
      </c>
      <c r="H1389" t="s">
        <v>10</v>
      </c>
      <c r="I1389" t="s">
        <v>2362</v>
      </c>
      <c r="J1389">
        <v>40.25</v>
      </c>
      <c r="K1389" t="e">
        <f>IF(COUNTIF(#REF!,Tabela2[[#This Row],[IdxWspolny]])&gt;0,"ELEM_lub_PRD","TECHN")</f>
        <v>#REF!</v>
      </c>
      <c r="L1389" t="e">
        <f>IF(COUNTIF(#REF!,Tabela2[[#This Row],[KOD_PRODUKTU]])&gt;0,"ELEMENT","PRODUKT")</f>
        <v>#REF!</v>
      </c>
      <c r="M1389" t="e">
        <f>COUNTIF(#REF!,Tabela2[[#This Row],[KOD_PRODUKTU]])</f>
        <v>#REF!</v>
      </c>
    </row>
    <row r="1390" spans="1:14" x14ac:dyDescent="0.25">
      <c r="A1390" s="1" t="s">
        <v>2363</v>
      </c>
      <c r="B1390" t="s">
        <v>2364</v>
      </c>
      <c r="C1390" s="1" t="s">
        <v>2292</v>
      </c>
      <c r="D1390" s="1" t="s">
        <v>2292</v>
      </c>
      <c r="E1390" s="1" t="s">
        <v>2292</v>
      </c>
      <c r="F1390" t="s">
        <v>2293</v>
      </c>
      <c r="G1390" t="s">
        <v>2365</v>
      </c>
      <c r="H1390" t="s">
        <v>17</v>
      </c>
      <c r="I1390" t="s">
        <v>1338</v>
      </c>
      <c r="J1390">
        <v>34.5</v>
      </c>
      <c r="K1390" t="e">
        <f>IF(COUNTIF(#REF!,Tabela2[[#This Row],[IdxWspolny]])&gt;0,"ELEM_lub_PRD","TECHN")</f>
        <v>#REF!</v>
      </c>
      <c r="L1390" t="e">
        <f>IF(COUNTIF(#REF!,Tabela2[[#This Row],[KOD_PRODUKTU]])&gt;0,"ELEMENT","PRODUKT")</f>
        <v>#REF!</v>
      </c>
      <c r="M1390" t="e">
        <f>COUNTIF(#REF!,Tabela2[[#This Row],[KOD_PRODUKTU]])</f>
        <v>#REF!</v>
      </c>
    </row>
    <row r="1391" spans="1:14" x14ac:dyDescent="0.25">
      <c r="A1391" s="1" t="s">
        <v>2363</v>
      </c>
      <c r="B1391" t="s">
        <v>2364</v>
      </c>
      <c r="C1391" s="1" t="s">
        <v>2296</v>
      </c>
      <c r="D1391" s="1" t="s">
        <v>2296</v>
      </c>
      <c r="E1391" s="1" t="s">
        <v>2296</v>
      </c>
      <c r="F1391" t="s">
        <v>2297</v>
      </c>
      <c r="G1391" t="s">
        <v>2341</v>
      </c>
      <c r="H1391" t="s">
        <v>39</v>
      </c>
      <c r="I1391" t="s">
        <v>447</v>
      </c>
      <c r="J1391">
        <v>0.27</v>
      </c>
      <c r="K1391" t="e">
        <f>IF(COUNTIF(#REF!,Tabela2[[#This Row],[IdxWspolny]])&gt;0,"ELEM_lub_PRD","TECHN")</f>
        <v>#REF!</v>
      </c>
      <c r="L1391" t="e">
        <f>IF(COUNTIF(#REF!,Tabela2[[#This Row],[KOD_PRODUKTU]])&gt;0,"ELEMENT","PRODUKT")</f>
        <v>#REF!</v>
      </c>
      <c r="M1391" t="e">
        <f>COUNTIF(#REF!,Tabela2[[#This Row],[KOD_PRODUKTU]])</f>
        <v>#REF!</v>
      </c>
    </row>
    <row r="1392" spans="1:14" x14ac:dyDescent="0.25">
      <c r="A1392" s="1" t="s">
        <v>2363</v>
      </c>
      <c r="B1392" t="s">
        <v>2364</v>
      </c>
      <c r="C1392" s="1" t="s">
        <v>2299</v>
      </c>
      <c r="D1392" s="1" t="s">
        <v>2299</v>
      </c>
      <c r="E1392" s="1" t="s">
        <v>2299</v>
      </c>
      <c r="F1392" t="s">
        <v>2300</v>
      </c>
      <c r="G1392" t="s">
        <v>2342</v>
      </c>
      <c r="H1392" t="s">
        <v>1857</v>
      </c>
      <c r="I1392" t="s">
        <v>2302</v>
      </c>
      <c r="J1392">
        <v>2.16</v>
      </c>
      <c r="K1392" t="e">
        <f>IF(COUNTIF(#REF!,Tabela2[[#This Row],[IdxWspolny]])&gt;0,"ELEM_lub_PRD","TECHN")</f>
        <v>#REF!</v>
      </c>
      <c r="L1392" t="e">
        <f>IF(COUNTIF(#REF!,Tabela2[[#This Row],[KOD_PRODUKTU]])&gt;0,"ELEMENT","PRODUKT")</f>
        <v>#REF!</v>
      </c>
      <c r="M1392" t="e">
        <f>COUNTIF(#REF!,Tabela2[[#This Row],[KOD_PRODUKTU]])</f>
        <v>#REF!</v>
      </c>
    </row>
    <row r="1393" spans="1:13" x14ac:dyDescent="0.25">
      <c r="A1393" s="1" t="s">
        <v>2363</v>
      </c>
      <c r="B1393" t="s">
        <v>2364</v>
      </c>
      <c r="C1393" s="1" t="s">
        <v>649</v>
      </c>
      <c r="D1393" s="1" t="s">
        <v>649</v>
      </c>
      <c r="E1393" s="1" t="s">
        <v>649</v>
      </c>
      <c r="F1393" t="s">
        <v>650</v>
      </c>
      <c r="G1393" t="s">
        <v>651</v>
      </c>
      <c r="H1393" t="s">
        <v>39</v>
      </c>
      <c r="I1393" t="s">
        <v>447</v>
      </c>
      <c r="J1393">
        <v>0.16</v>
      </c>
      <c r="K1393" t="e">
        <f>IF(COUNTIF(#REF!,Tabela2[[#This Row],[IdxWspolny]])&gt;0,"ELEM_lub_PRD","TECHN")</f>
        <v>#REF!</v>
      </c>
      <c r="L1393" t="e">
        <f>IF(COUNTIF(#REF!,Tabela2[[#This Row],[KOD_PRODUKTU]])&gt;0,"ELEMENT","PRODUKT")</f>
        <v>#REF!</v>
      </c>
      <c r="M1393" t="e">
        <f>COUNTIF(#REF!,Tabela2[[#This Row],[KOD_PRODUKTU]])</f>
        <v>#REF!</v>
      </c>
    </row>
    <row r="1394" spans="1:13" x14ac:dyDescent="0.25">
      <c r="A1394" s="1" t="s">
        <v>2363</v>
      </c>
      <c r="B1394" t="s">
        <v>2364</v>
      </c>
      <c r="C1394" s="1" t="s">
        <v>864</v>
      </c>
      <c r="D1394" s="1" t="s">
        <v>864</v>
      </c>
      <c r="E1394" s="1" t="s">
        <v>864</v>
      </c>
      <c r="F1394" t="s">
        <v>865</v>
      </c>
      <c r="G1394" t="s">
        <v>866</v>
      </c>
      <c r="H1394" t="s">
        <v>39</v>
      </c>
      <c r="I1394" t="s">
        <v>447</v>
      </c>
      <c r="J1394">
        <v>0.06</v>
      </c>
      <c r="K1394" t="e">
        <f>IF(COUNTIF(#REF!,Tabela2[[#This Row],[IdxWspolny]])&gt;0,"ELEM_lub_PRD","TECHN")</f>
        <v>#REF!</v>
      </c>
      <c r="L1394" t="e">
        <f>IF(COUNTIF(#REF!,Tabela2[[#This Row],[KOD_PRODUKTU]])&gt;0,"ELEMENT","PRODUKT")</f>
        <v>#REF!</v>
      </c>
      <c r="M1394" t="e">
        <f>COUNTIF(#REF!,Tabela2[[#This Row],[KOD_PRODUKTU]])</f>
        <v>#REF!</v>
      </c>
    </row>
    <row r="1395" spans="1:13" x14ac:dyDescent="0.25">
      <c r="A1395" s="1" t="s">
        <v>2363</v>
      </c>
      <c r="B1395" t="s">
        <v>2364</v>
      </c>
      <c r="C1395" s="1" t="s">
        <v>2304</v>
      </c>
      <c r="D1395" s="1" t="s">
        <v>2304</v>
      </c>
      <c r="E1395" s="1" t="s">
        <v>2304</v>
      </c>
      <c r="F1395" t="s">
        <v>2305</v>
      </c>
      <c r="G1395" t="s">
        <v>2306</v>
      </c>
      <c r="H1395" t="s">
        <v>121</v>
      </c>
      <c r="I1395" t="s">
        <v>92</v>
      </c>
      <c r="J1395">
        <v>0.68</v>
      </c>
      <c r="K1395" t="e">
        <f>IF(COUNTIF(#REF!,Tabela2[[#This Row],[IdxWspolny]])&gt;0,"ELEM_lub_PRD","TECHN")</f>
        <v>#REF!</v>
      </c>
      <c r="L1395" t="e">
        <f>IF(COUNTIF(#REF!,Tabela2[[#This Row],[KOD_PRODUKTU]])&gt;0,"ELEMENT","PRODUKT")</f>
        <v>#REF!</v>
      </c>
      <c r="M1395" t="e">
        <f>COUNTIF(#REF!,Tabela2[[#This Row],[KOD_PRODUKTU]])</f>
        <v>#REF!</v>
      </c>
    </row>
    <row r="1396" spans="1:13" x14ac:dyDescent="0.25">
      <c r="A1396" s="1" t="s">
        <v>2363</v>
      </c>
      <c r="B1396" t="s">
        <v>2364</v>
      </c>
      <c r="C1396" s="1" t="s">
        <v>41</v>
      </c>
      <c r="D1396" s="1" t="s">
        <v>41</v>
      </c>
      <c r="E1396" s="1" t="s">
        <v>41</v>
      </c>
      <c r="F1396" t="s">
        <v>42</v>
      </c>
      <c r="G1396" t="s">
        <v>43</v>
      </c>
      <c r="H1396" t="s">
        <v>5</v>
      </c>
      <c r="I1396" t="s">
        <v>1867</v>
      </c>
      <c r="J1396">
        <v>0.03</v>
      </c>
      <c r="K1396" t="e">
        <f>IF(COUNTIF(#REF!,Tabela2[[#This Row],[IdxWspolny]])&gt;0,"ELEM_lub_PRD","TECHN")</f>
        <v>#REF!</v>
      </c>
      <c r="L1396" t="e">
        <f>IF(COUNTIF(#REF!,Tabela2[[#This Row],[KOD_PRODUKTU]])&gt;0,"ELEMENT","PRODUKT")</f>
        <v>#REF!</v>
      </c>
      <c r="M1396" t="e">
        <f>COUNTIF(#REF!,Tabela2[[#This Row],[KOD_PRODUKTU]])</f>
        <v>#REF!</v>
      </c>
    </row>
    <row r="1397" spans="1:13" x14ac:dyDescent="0.25">
      <c r="A1397" s="1" t="s">
        <v>2363</v>
      </c>
      <c r="B1397" t="s">
        <v>2364</v>
      </c>
      <c r="C1397" s="1" t="s">
        <v>2307</v>
      </c>
      <c r="D1397" s="1" t="s">
        <v>2307</v>
      </c>
      <c r="E1397" s="1" t="s">
        <v>2307</v>
      </c>
      <c r="F1397" t="s">
        <v>2308</v>
      </c>
      <c r="G1397" t="s">
        <v>2309</v>
      </c>
      <c r="H1397" t="s">
        <v>121</v>
      </c>
      <c r="I1397" t="s">
        <v>92</v>
      </c>
      <c r="J1397">
        <v>19.5</v>
      </c>
      <c r="K1397" t="e">
        <f>IF(COUNTIF(#REF!,Tabela2[[#This Row],[IdxWspolny]])&gt;0,"ELEM_lub_PRD","TECHN")</f>
        <v>#REF!</v>
      </c>
      <c r="L1397" t="e">
        <f>IF(COUNTIF(#REF!,Tabela2[[#This Row],[KOD_PRODUKTU]])&gt;0,"ELEMENT","PRODUKT")</f>
        <v>#REF!</v>
      </c>
      <c r="M1397" t="e">
        <f>COUNTIF(#REF!,Tabela2[[#This Row],[KOD_PRODUKTU]])</f>
        <v>#REF!</v>
      </c>
    </row>
    <row r="1398" spans="1:13" x14ac:dyDescent="0.25">
      <c r="A1398" s="1" t="s">
        <v>2363</v>
      </c>
      <c r="B1398" t="s">
        <v>2364</v>
      </c>
      <c r="C1398" s="1" t="s">
        <v>2310</v>
      </c>
      <c r="D1398" s="1" t="s">
        <v>2310</v>
      </c>
      <c r="E1398" s="1" t="s">
        <v>2310</v>
      </c>
      <c r="F1398" t="s">
        <v>2311</v>
      </c>
      <c r="G1398" t="s">
        <v>2312</v>
      </c>
      <c r="H1398" t="s">
        <v>121</v>
      </c>
      <c r="I1398" t="s">
        <v>50</v>
      </c>
      <c r="J1398">
        <v>37.15</v>
      </c>
      <c r="K1398" t="e">
        <f>IF(COUNTIF(#REF!,Tabela2[[#This Row],[IdxWspolny]])&gt;0,"ELEM_lub_PRD","TECHN")</f>
        <v>#REF!</v>
      </c>
      <c r="L1398" t="e">
        <f>IF(COUNTIF(#REF!,Tabela2[[#This Row],[KOD_PRODUKTU]])&gt;0,"ELEMENT","PRODUKT")</f>
        <v>#REF!</v>
      </c>
      <c r="M1398" t="e">
        <f>COUNTIF(#REF!,Tabela2[[#This Row],[KOD_PRODUKTU]])</f>
        <v>#REF!</v>
      </c>
    </row>
    <row r="1399" spans="1:13" x14ac:dyDescent="0.25">
      <c r="A1399" s="1" t="s">
        <v>2363</v>
      </c>
      <c r="B1399" t="s">
        <v>2364</v>
      </c>
      <c r="C1399" s="1" t="s">
        <v>2313</v>
      </c>
      <c r="D1399" s="1" t="s">
        <v>2313</v>
      </c>
      <c r="E1399" s="1" t="s">
        <v>2313</v>
      </c>
      <c r="F1399" t="s">
        <v>2314</v>
      </c>
      <c r="G1399" t="s">
        <v>2312</v>
      </c>
      <c r="H1399" t="s">
        <v>121</v>
      </c>
      <c r="I1399" t="s">
        <v>50</v>
      </c>
      <c r="J1399">
        <v>37.15</v>
      </c>
      <c r="K1399" t="e">
        <f>IF(COUNTIF(#REF!,Tabela2[[#This Row],[IdxWspolny]])&gt;0,"ELEM_lub_PRD","TECHN")</f>
        <v>#REF!</v>
      </c>
      <c r="L1399" t="e">
        <f>IF(COUNTIF(#REF!,Tabela2[[#This Row],[KOD_PRODUKTU]])&gt;0,"ELEMENT","PRODUKT")</f>
        <v>#REF!</v>
      </c>
      <c r="M1399" t="e">
        <f>COUNTIF(#REF!,Tabela2[[#This Row],[KOD_PRODUKTU]])</f>
        <v>#REF!</v>
      </c>
    </row>
    <row r="1400" spans="1:13" x14ac:dyDescent="0.25">
      <c r="A1400" s="1" t="s">
        <v>2363</v>
      </c>
      <c r="B1400" t="s">
        <v>2364</v>
      </c>
      <c r="C1400" s="1" t="s">
        <v>7</v>
      </c>
      <c r="D1400" s="1" t="s">
        <v>7</v>
      </c>
      <c r="E1400" s="1" t="s">
        <v>7</v>
      </c>
      <c r="F1400" t="s">
        <v>8</v>
      </c>
      <c r="G1400" t="s">
        <v>9</v>
      </c>
      <c r="H1400" t="s">
        <v>10</v>
      </c>
      <c r="I1400" t="s">
        <v>50</v>
      </c>
      <c r="J1400">
        <v>46</v>
      </c>
      <c r="K1400" t="e">
        <f>IF(COUNTIF(#REF!,Tabela2[[#This Row],[IdxWspolny]])&gt;0,"ELEM_lub_PRD","TECHN")</f>
        <v>#REF!</v>
      </c>
      <c r="L1400" t="e">
        <f>IF(COUNTIF(#REF!,Tabela2[[#This Row],[KOD_PRODUKTU]])&gt;0,"ELEMENT","PRODUKT")</f>
        <v>#REF!</v>
      </c>
      <c r="M1400" t="e">
        <f>COUNTIF(#REF!,Tabela2[[#This Row],[KOD_PRODUKTU]])</f>
        <v>#REF!</v>
      </c>
    </row>
    <row r="1401" spans="1:13" x14ac:dyDescent="0.25">
      <c r="A1401" s="1" t="s">
        <v>2366</v>
      </c>
      <c r="B1401" t="s">
        <v>2367</v>
      </c>
      <c r="C1401" s="1" t="s">
        <v>2318</v>
      </c>
      <c r="D1401" s="1" t="s">
        <v>2318</v>
      </c>
      <c r="E1401" s="1" t="s">
        <v>2318</v>
      </c>
      <c r="F1401" t="s">
        <v>2319</v>
      </c>
      <c r="G1401" t="s">
        <v>2336</v>
      </c>
      <c r="H1401" t="s">
        <v>17</v>
      </c>
      <c r="I1401" t="s">
        <v>2368</v>
      </c>
      <c r="J1401">
        <v>13.55</v>
      </c>
      <c r="K1401" t="e">
        <f>IF(COUNTIF(#REF!,Tabela2[[#This Row],[IdxWspolny]])&gt;0,"ELEM_lub_PRD","TECHN")</f>
        <v>#REF!</v>
      </c>
      <c r="L1401" t="e">
        <f>IF(COUNTIF(#REF!,Tabela2[[#This Row],[KOD_PRODUKTU]])&gt;0,"ELEMENT","PRODUKT")</f>
        <v>#REF!</v>
      </c>
      <c r="M1401" t="e">
        <f>COUNTIF(#REF!,Tabela2[[#This Row],[KOD_PRODUKTU]])</f>
        <v>#REF!</v>
      </c>
    </row>
    <row r="1402" spans="1:13" x14ac:dyDescent="0.25">
      <c r="A1402" s="1" t="s">
        <v>2366</v>
      </c>
      <c r="B1402" t="s">
        <v>2367</v>
      </c>
      <c r="C1402" s="1" t="s">
        <v>2322</v>
      </c>
      <c r="D1402" s="1" t="s">
        <v>2322</v>
      </c>
      <c r="E1402" s="1" t="s">
        <v>2322</v>
      </c>
      <c r="F1402" t="s">
        <v>2323</v>
      </c>
      <c r="G1402" t="s">
        <v>2324</v>
      </c>
      <c r="H1402" t="s">
        <v>39</v>
      </c>
      <c r="I1402" t="s">
        <v>478</v>
      </c>
      <c r="J1402">
        <v>2.96</v>
      </c>
      <c r="K1402" t="e">
        <f>IF(COUNTIF(#REF!,Tabela2[[#This Row],[IdxWspolny]])&gt;0,"ELEM_lub_PRD","TECHN")</f>
        <v>#REF!</v>
      </c>
      <c r="L1402" t="e">
        <f>IF(COUNTIF(#REF!,Tabela2[[#This Row],[KOD_PRODUKTU]])&gt;0,"ELEMENT","PRODUKT")</f>
        <v>#REF!</v>
      </c>
      <c r="M1402" t="e">
        <f>COUNTIF(#REF!,Tabela2[[#This Row],[KOD_PRODUKTU]])</f>
        <v>#REF!</v>
      </c>
    </row>
    <row r="1403" spans="1:13" x14ac:dyDescent="0.25">
      <c r="A1403" s="1" t="s">
        <v>2366</v>
      </c>
      <c r="B1403" t="s">
        <v>2367</v>
      </c>
      <c r="C1403" s="1" t="s">
        <v>514</v>
      </c>
      <c r="D1403" s="1" t="s">
        <v>514</v>
      </c>
      <c r="E1403" s="1" t="s">
        <v>514</v>
      </c>
      <c r="F1403" t="s">
        <v>515</v>
      </c>
      <c r="G1403" t="s">
        <v>516</v>
      </c>
      <c r="H1403" t="s">
        <v>121</v>
      </c>
      <c r="I1403" t="s">
        <v>92</v>
      </c>
      <c r="J1403">
        <v>0.54</v>
      </c>
      <c r="K1403" t="e">
        <f>IF(COUNTIF(#REF!,Tabela2[[#This Row],[IdxWspolny]])&gt;0,"ELEM_lub_PRD","TECHN")</f>
        <v>#REF!</v>
      </c>
      <c r="L1403" t="e">
        <f>IF(COUNTIF(#REF!,Tabela2[[#This Row],[KOD_PRODUKTU]])&gt;0,"ELEMENT","PRODUKT")</f>
        <v>#REF!</v>
      </c>
      <c r="M1403" t="e">
        <f>COUNTIF(#REF!,Tabela2[[#This Row],[KOD_PRODUKTU]])</f>
        <v>#REF!</v>
      </c>
    </row>
    <row r="1404" spans="1:13" x14ac:dyDescent="0.25">
      <c r="A1404" s="1" t="s">
        <v>2366</v>
      </c>
      <c r="B1404" t="s">
        <v>2367</v>
      </c>
      <c r="C1404" s="1" t="s">
        <v>41</v>
      </c>
      <c r="D1404" s="1" t="s">
        <v>41</v>
      </c>
      <c r="E1404" s="1" t="s">
        <v>41</v>
      </c>
      <c r="F1404" t="s">
        <v>42</v>
      </c>
      <c r="G1404" t="s">
        <v>43</v>
      </c>
      <c r="H1404" t="s">
        <v>5</v>
      </c>
      <c r="I1404" t="s">
        <v>550</v>
      </c>
      <c r="J1404">
        <v>0.02</v>
      </c>
      <c r="K1404" t="e">
        <f>IF(COUNTIF(#REF!,Tabela2[[#This Row],[IdxWspolny]])&gt;0,"ELEM_lub_PRD","TECHN")</f>
        <v>#REF!</v>
      </c>
      <c r="L1404" t="e">
        <f>IF(COUNTIF(#REF!,Tabela2[[#This Row],[KOD_PRODUKTU]])&gt;0,"ELEMENT","PRODUKT")</f>
        <v>#REF!</v>
      </c>
      <c r="M1404" t="e">
        <f>COUNTIF(#REF!,Tabela2[[#This Row],[KOD_PRODUKTU]])</f>
        <v>#REF!</v>
      </c>
    </row>
    <row r="1405" spans="1:13" x14ac:dyDescent="0.25">
      <c r="A1405" s="1" t="s">
        <v>2366</v>
      </c>
      <c r="B1405" t="s">
        <v>2367</v>
      </c>
      <c r="C1405" s="1" t="s">
        <v>2325</v>
      </c>
      <c r="D1405" s="1" t="s">
        <v>2325</v>
      </c>
      <c r="E1405" s="1" t="s">
        <v>2325</v>
      </c>
      <c r="F1405" t="s">
        <v>2326</v>
      </c>
      <c r="G1405" t="s">
        <v>580</v>
      </c>
      <c r="H1405" t="s">
        <v>121</v>
      </c>
      <c r="I1405" t="s">
        <v>92</v>
      </c>
      <c r="J1405">
        <v>14.9</v>
      </c>
      <c r="K1405" t="e">
        <f>IF(COUNTIF(#REF!,Tabela2[[#This Row],[IdxWspolny]])&gt;0,"ELEM_lub_PRD","TECHN")</f>
        <v>#REF!</v>
      </c>
      <c r="L1405" t="e">
        <f>IF(COUNTIF(#REF!,Tabela2[[#This Row],[KOD_PRODUKTU]])&gt;0,"ELEMENT","PRODUKT")</f>
        <v>#REF!</v>
      </c>
      <c r="M1405" t="e">
        <f>COUNTIF(#REF!,Tabela2[[#This Row],[KOD_PRODUKTU]])</f>
        <v>#REF!</v>
      </c>
    </row>
    <row r="1406" spans="1:13" x14ac:dyDescent="0.25">
      <c r="A1406" s="1" t="s">
        <v>2366</v>
      </c>
      <c r="B1406" t="s">
        <v>2367</v>
      </c>
      <c r="C1406" s="1" t="s">
        <v>2327</v>
      </c>
      <c r="D1406" s="1" t="s">
        <v>2327</v>
      </c>
      <c r="E1406" s="1" t="s">
        <v>2327</v>
      </c>
      <c r="F1406" t="s">
        <v>2328</v>
      </c>
      <c r="G1406" t="s">
        <v>2329</v>
      </c>
      <c r="H1406" t="s">
        <v>121</v>
      </c>
      <c r="I1406" t="s">
        <v>50</v>
      </c>
      <c r="J1406">
        <v>0.6</v>
      </c>
      <c r="K1406" t="e">
        <f>IF(COUNTIF(#REF!,Tabela2[[#This Row],[IdxWspolny]])&gt;0,"ELEM_lub_PRD","TECHN")</f>
        <v>#REF!</v>
      </c>
      <c r="L1406" t="e">
        <f>IF(COUNTIF(#REF!,Tabela2[[#This Row],[KOD_PRODUKTU]])&gt;0,"ELEMENT","PRODUKT")</f>
        <v>#REF!</v>
      </c>
      <c r="M1406" t="e">
        <f>COUNTIF(#REF!,Tabela2[[#This Row],[KOD_PRODUKTU]])</f>
        <v>#REF!</v>
      </c>
    </row>
    <row r="1407" spans="1:13" x14ac:dyDescent="0.25">
      <c r="A1407" s="1" t="s">
        <v>2366</v>
      </c>
      <c r="B1407" t="s">
        <v>2367</v>
      </c>
      <c r="C1407" s="1" t="s">
        <v>7</v>
      </c>
      <c r="D1407" s="1" t="s">
        <v>7</v>
      </c>
      <c r="E1407" s="1" t="s">
        <v>7</v>
      </c>
      <c r="F1407" t="s">
        <v>8</v>
      </c>
      <c r="G1407" t="s">
        <v>9</v>
      </c>
      <c r="H1407" t="s">
        <v>10</v>
      </c>
      <c r="I1407" t="s">
        <v>2338</v>
      </c>
      <c r="J1407">
        <v>26.68</v>
      </c>
      <c r="K1407" t="e">
        <f>IF(COUNTIF(#REF!,Tabela2[[#This Row],[IdxWspolny]])&gt;0,"ELEM_lub_PRD","TECHN")</f>
        <v>#REF!</v>
      </c>
      <c r="L1407" t="e">
        <f>IF(COUNTIF(#REF!,Tabela2[[#This Row],[KOD_PRODUKTU]])&gt;0,"ELEMENT","PRODUKT")</f>
        <v>#REF!</v>
      </c>
      <c r="M1407" t="e">
        <f>COUNTIF(#REF!,Tabela2[[#This Row],[KOD_PRODUKTU]])</f>
        <v>#REF!</v>
      </c>
    </row>
    <row r="1408" spans="1:13" x14ac:dyDescent="0.25">
      <c r="A1408" s="1" t="s">
        <v>2369</v>
      </c>
      <c r="B1408" t="s">
        <v>2370</v>
      </c>
      <c r="C1408" s="1" t="s">
        <v>2296</v>
      </c>
      <c r="D1408" s="1" t="s">
        <v>2296</v>
      </c>
      <c r="E1408" s="1" t="s">
        <v>2296</v>
      </c>
      <c r="F1408" t="s">
        <v>2297</v>
      </c>
      <c r="G1408" t="s">
        <v>2341</v>
      </c>
      <c r="H1408" t="s">
        <v>39</v>
      </c>
      <c r="I1408" t="s">
        <v>605</v>
      </c>
      <c r="J1408">
        <v>0.55000000000000004</v>
      </c>
      <c r="K1408" t="e">
        <f>IF(COUNTIF(#REF!,Tabela2[[#This Row],[IdxWspolny]])&gt;0,"ELEM_lub_PRD","TECHN")</f>
        <v>#REF!</v>
      </c>
      <c r="L1408" t="e">
        <f>IF(COUNTIF(#REF!,Tabela2[[#This Row],[KOD_PRODUKTU]])&gt;0,"ELEMENT","PRODUKT")</f>
        <v>#REF!</v>
      </c>
      <c r="M1408" t="e">
        <f>COUNTIF(#REF!,Tabela2[[#This Row],[KOD_PRODUKTU]])</f>
        <v>#REF!</v>
      </c>
    </row>
    <row r="1409" spans="1:14" x14ac:dyDescent="0.25">
      <c r="A1409" s="1" t="s">
        <v>2369</v>
      </c>
      <c r="B1409" t="s">
        <v>2370</v>
      </c>
      <c r="C1409" s="1" t="s">
        <v>2371</v>
      </c>
      <c r="D1409" s="1" t="s">
        <v>2371</v>
      </c>
      <c r="E1409" s="1" t="s">
        <v>2371</v>
      </c>
      <c r="F1409" t="s">
        <v>2372</v>
      </c>
      <c r="G1409" t="s">
        <v>185</v>
      </c>
      <c r="H1409" t="s">
        <v>49</v>
      </c>
      <c r="I1409" t="s">
        <v>1130</v>
      </c>
      <c r="J1409">
        <v>2.93</v>
      </c>
      <c r="K1409" t="e">
        <f>IF(COUNTIF(#REF!,Tabela2[[#This Row],[IdxWspolny]])&gt;0,"ELEM_lub_PRD","TECHN")</f>
        <v>#REF!</v>
      </c>
      <c r="L1409" t="e">
        <f>IF(COUNTIF(#REF!,Tabela2[[#This Row],[KOD_PRODUKTU]])&gt;0,"ELEMENT","PRODUKT")</f>
        <v>#REF!</v>
      </c>
      <c r="M1409" t="e">
        <f>COUNTIF(#REF!,Tabela2[[#This Row],[KOD_PRODUKTU]])</f>
        <v>#REF!</v>
      </c>
    </row>
    <row r="1410" spans="1:14" x14ac:dyDescent="0.25">
      <c r="A1410" s="1" t="s">
        <v>2369</v>
      </c>
      <c r="B1410" t="s">
        <v>2370</v>
      </c>
      <c r="C1410" s="1" t="s">
        <v>2373</v>
      </c>
      <c r="D1410" s="1" t="s">
        <v>2373</v>
      </c>
      <c r="E1410" s="1" t="s">
        <v>2373</v>
      </c>
      <c r="F1410" t="s">
        <v>2374</v>
      </c>
      <c r="G1410" t="s">
        <v>2112</v>
      </c>
      <c r="H1410" t="s">
        <v>49</v>
      </c>
      <c r="I1410" t="s">
        <v>319</v>
      </c>
      <c r="J1410">
        <v>93</v>
      </c>
      <c r="K1410" t="e">
        <f>IF(COUNTIF(#REF!,Tabela2[[#This Row],[IdxWspolny]])&gt;0,"ELEM_lub_PRD","TECHN")</f>
        <v>#REF!</v>
      </c>
      <c r="L1410" t="e">
        <f>IF(COUNTIF(#REF!,Tabela2[[#This Row],[KOD_PRODUKTU]])&gt;0,"ELEMENT","PRODUKT")</f>
        <v>#REF!</v>
      </c>
      <c r="M1410" t="e">
        <f>COUNTIF(#REF!,Tabela2[[#This Row],[KOD_PRODUKTU]])</f>
        <v>#REF!</v>
      </c>
    </row>
    <row r="1411" spans="1:14" x14ac:dyDescent="0.25">
      <c r="A1411" s="1" t="s">
        <v>2369</v>
      </c>
      <c r="B1411" t="s">
        <v>2370</v>
      </c>
      <c r="C1411" s="1" t="s">
        <v>2375</v>
      </c>
      <c r="D1411" s="1" t="s">
        <v>2375</v>
      </c>
      <c r="E1411" s="1" t="s">
        <v>2375</v>
      </c>
      <c r="F1411" t="s">
        <v>2376</v>
      </c>
      <c r="G1411" t="s">
        <v>2377</v>
      </c>
      <c r="H1411" t="s">
        <v>2378</v>
      </c>
      <c r="I1411" t="s">
        <v>50</v>
      </c>
      <c r="J1411">
        <v>45.89</v>
      </c>
      <c r="K1411" t="e">
        <f>IF(COUNTIF(#REF!,Tabela2[[#This Row],[IdxWspolny]])&gt;0,"ELEM_lub_PRD","TECHN")</f>
        <v>#REF!</v>
      </c>
      <c r="L1411" t="e">
        <f>IF(COUNTIF(#REF!,Tabela2[[#This Row],[KOD_PRODUKTU]])&gt;0,"ELEMENT","PRODUKT")</f>
        <v>#REF!</v>
      </c>
      <c r="M1411" t="e">
        <f>COUNTIF(#REF!,Tabela2[[#This Row],[KOD_PRODUKTU]])</f>
        <v>#REF!</v>
      </c>
    </row>
    <row r="1412" spans="1:14" x14ac:dyDescent="0.25">
      <c r="A1412" s="1" t="s">
        <v>2369</v>
      </c>
      <c r="B1412" t="s">
        <v>2370</v>
      </c>
      <c r="C1412" s="1" t="s">
        <v>2379</v>
      </c>
      <c r="D1412" s="1" t="s">
        <v>2379</v>
      </c>
      <c r="E1412" s="1" t="s">
        <v>2379</v>
      </c>
      <c r="F1412" t="s">
        <v>2380</v>
      </c>
      <c r="G1412" t="s">
        <v>580</v>
      </c>
      <c r="H1412" t="s">
        <v>121</v>
      </c>
      <c r="I1412" t="s">
        <v>319</v>
      </c>
      <c r="J1412">
        <v>44.7</v>
      </c>
      <c r="K1412" t="e">
        <f>IF(COUNTIF(#REF!,Tabela2[[#This Row],[IdxWspolny]])&gt;0,"ELEM_lub_PRD","TECHN")</f>
        <v>#REF!</v>
      </c>
      <c r="L1412" t="e">
        <f>IF(COUNTIF(#REF!,Tabela2[[#This Row],[KOD_PRODUKTU]])&gt;0,"ELEMENT","PRODUKT")</f>
        <v>#REF!</v>
      </c>
      <c r="M1412" t="e">
        <f>COUNTIF(#REF!,Tabela2[[#This Row],[KOD_PRODUKTU]])</f>
        <v>#REF!</v>
      </c>
    </row>
    <row r="1413" spans="1:14" x14ac:dyDescent="0.25">
      <c r="A1413" s="1" t="s">
        <v>2369</v>
      </c>
      <c r="B1413" t="s">
        <v>2370</v>
      </c>
      <c r="C1413" s="1" t="s">
        <v>41</v>
      </c>
      <c r="D1413" s="1" t="s">
        <v>41</v>
      </c>
      <c r="E1413" s="1" t="s">
        <v>41</v>
      </c>
      <c r="F1413" t="s">
        <v>42</v>
      </c>
      <c r="G1413" t="s">
        <v>43</v>
      </c>
      <c r="H1413" t="s">
        <v>5</v>
      </c>
      <c r="I1413" t="s">
        <v>1867</v>
      </c>
      <c r="J1413">
        <v>0.03</v>
      </c>
      <c r="K1413" t="e">
        <f>IF(COUNTIF(#REF!,Tabela2[[#This Row],[IdxWspolny]])&gt;0,"ELEM_lub_PRD","TECHN")</f>
        <v>#REF!</v>
      </c>
      <c r="L1413" t="e">
        <f>IF(COUNTIF(#REF!,Tabela2[[#This Row],[KOD_PRODUKTU]])&gt;0,"ELEMENT","PRODUKT")</f>
        <v>#REF!</v>
      </c>
      <c r="M1413" t="e">
        <f>COUNTIF(#REF!,Tabela2[[#This Row],[KOD_PRODUKTU]])</f>
        <v>#REF!</v>
      </c>
    </row>
    <row r="1414" spans="1:14" x14ac:dyDescent="0.25">
      <c r="A1414" s="1" t="s">
        <v>2369</v>
      </c>
      <c r="B1414" t="s">
        <v>2370</v>
      </c>
      <c r="C1414" s="1" t="s">
        <v>2381</v>
      </c>
      <c r="D1414" s="1" t="s">
        <v>2381</v>
      </c>
      <c r="E1414" s="1" t="s">
        <v>2381</v>
      </c>
      <c r="F1414" t="s">
        <v>2382</v>
      </c>
      <c r="G1414" t="s">
        <v>2383</v>
      </c>
      <c r="H1414" t="s">
        <v>49</v>
      </c>
      <c r="I1414" t="s">
        <v>2384</v>
      </c>
      <c r="J1414">
        <v>0.6</v>
      </c>
      <c r="K1414" t="e">
        <f>IF(COUNTIF(#REF!,Tabela2[[#This Row],[IdxWspolny]])&gt;0,"ELEM_lub_PRD","TECHN")</f>
        <v>#REF!</v>
      </c>
      <c r="L1414" t="e">
        <f>IF(COUNTIF(#REF!,Tabela2[[#This Row],[KOD_PRODUKTU]])&gt;0,"ELEMENT","PRODUKT")</f>
        <v>#REF!</v>
      </c>
      <c r="M1414" t="e">
        <f>COUNTIF(#REF!,Tabela2[[#This Row],[KOD_PRODUKTU]])</f>
        <v>#REF!</v>
      </c>
    </row>
    <row r="1415" spans="1:14" hidden="1" x14ac:dyDescent="0.25">
      <c r="A1415" s="1" t="s">
        <v>2369</v>
      </c>
      <c r="B1415" t="s">
        <v>2370</v>
      </c>
      <c r="C1415" s="1" t="s">
        <v>2385</v>
      </c>
      <c r="D1415" s="1" t="s">
        <v>2385</v>
      </c>
      <c r="E1415" s="1" t="s">
        <v>2385</v>
      </c>
      <c r="F1415" t="s">
        <v>2386</v>
      </c>
      <c r="G1415" t="s">
        <v>2387</v>
      </c>
      <c r="H1415" t="s">
        <v>49</v>
      </c>
      <c r="I1415" t="s">
        <v>50</v>
      </c>
      <c r="J1415">
        <v>152.9</v>
      </c>
      <c r="K1415" t="e">
        <f>IF(COUNTIF(#REF!,Tabela2[[#This Row],[IdxWspolny]])&gt;0,"ELEM_lub_PRD","TECHN")</f>
        <v>#REF!</v>
      </c>
      <c r="L1415" t="e">
        <f>IF(COUNTIF(#REF!,Tabela2[[#This Row],[KOD_PRODUKTU]])&gt;0,"ELEMENT","PRODUKT")</f>
        <v>#REF!</v>
      </c>
      <c r="M1415" t="e">
        <f>COUNTIF(#REF!,Tabela2[[#This Row],[KOD_PRODUKTU]])</f>
        <v>#REF!</v>
      </c>
      <c r="N1415" t="s">
        <v>55</v>
      </c>
    </row>
    <row r="1416" spans="1:14" hidden="1" x14ac:dyDescent="0.25">
      <c r="A1416" s="1" t="s">
        <v>2369</v>
      </c>
      <c r="B1416" t="s">
        <v>2370</v>
      </c>
      <c r="C1416" s="1" t="s">
        <v>2388</v>
      </c>
      <c r="D1416" s="1" t="s">
        <v>2388</v>
      </c>
      <c r="E1416" s="1" t="s">
        <v>2388</v>
      </c>
      <c r="F1416" t="s">
        <v>2389</v>
      </c>
      <c r="G1416" t="s">
        <v>2390</v>
      </c>
      <c r="H1416" t="s">
        <v>49</v>
      </c>
      <c r="I1416" t="s">
        <v>50</v>
      </c>
      <c r="J1416">
        <v>73.5</v>
      </c>
      <c r="K1416" t="e">
        <f>IF(COUNTIF(#REF!,Tabela2[[#This Row],[IdxWspolny]])&gt;0,"ELEM_lub_PRD","TECHN")</f>
        <v>#REF!</v>
      </c>
      <c r="L1416" t="e">
        <f>IF(COUNTIF(#REF!,Tabela2[[#This Row],[KOD_PRODUKTU]])&gt;0,"ELEMENT","PRODUKT")</f>
        <v>#REF!</v>
      </c>
      <c r="M1416" t="e">
        <f>COUNTIF(#REF!,Tabela2[[#This Row],[KOD_PRODUKTU]])</f>
        <v>#REF!</v>
      </c>
      <c r="N1416" t="s">
        <v>55</v>
      </c>
    </row>
    <row r="1417" spans="1:14" hidden="1" x14ac:dyDescent="0.25">
      <c r="A1417" s="1" t="s">
        <v>2369</v>
      </c>
      <c r="B1417" t="s">
        <v>2370</v>
      </c>
      <c r="C1417" s="1" t="s">
        <v>2391</v>
      </c>
      <c r="D1417" s="1" t="s">
        <v>2391</v>
      </c>
      <c r="E1417" s="1" t="s">
        <v>2391</v>
      </c>
      <c r="F1417" t="s">
        <v>2392</v>
      </c>
      <c r="G1417" t="s">
        <v>2393</v>
      </c>
      <c r="H1417" t="s">
        <v>49</v>
      </c>
      <c r="I1417" t="s">
        <v>50</v>
      </c>
      <c r="J1417">
        <v>75.150000000000006</v>
      </c>
      <c r="K1417" t="e">
        <f>IF(COUNTIF(#REF!,Tabela2[[#This Row],[IdxWspolny]])&gt;0,"ELEM_lub_PRD","TECHN")</f>
        <v>#REF!</v>
      </c>
      <c r="L1417" t="e">
        <f>IF(COUNTIF(#REF!,Tabela2[[#This Row],[KOD_PRODUKTU]])&gt;0,"ELEMENT","PRODUKT")</f>
        <v>#REF!</v>
      </c>
      <c r="M1417" t="e">
        <f>COUNTIF(#REF!,Tabela2[[#This Row],[KOD_PRODUKTU]])</f>
        <v>#REF!</v>
      </c>
      <c r="N1417" t="s">
        <v>55</v>
      </c>
    </row>
    <row r="1418" spans="1:14" hidden="1" x14ac:dyDescent="0.25">
      <c r="A1418" s="1" t="s">
        <v>2369</v>
      </c>
      <c r="B1418" t="s">
        <v>2370</v>
      </c>
      <c r="C1418" s="1" t="s">
        <v>2394</v>
      </c>
      <c r="D1418" s="1" t="s">
        <v>2394</v>
      </c>
      <c r="E1418" s="1" t="s">
        <v>2394</v>
      </c>
      <c r="F1418" t="s">
        <v>2395</v>
      </c>
      <c r="G1418" t="s">
        <v>990</v>
      </c>
      <c r="H1418" t="s">
        <v>49</v>
      </c>
      <c r="I1418" t="s">
        <v>268</v>
      </c>
      <c r="J1418">
        <v>13.2</v>
      </c>
      <c r="K1418" t="e">
        <f>IF(COUNTIF(#REF!,Tabela2[[#This Row],[IdxWspolny]])&gt;0,"ELEM_lub_PRD","TECHN")</f>
        <v>#REF!</v>
      </c>
      <c r="L1418" t="e">
        <f>IF(COUNTIF(#REF!,Tabela2[[#This Row],[KOD_PRODUKTU]])&gt;0,"ELEMENT","PRODUKT")</f>
        <v>#REF!</v>
      </c>
      <c r="M1418" t="e">
        <f>COUNTIF(#REF!,Tabela2[[#This Row],[KOD_PRODUKTU]])</f>
        <v>#REF!</v>
      </c>
      <c r="N1418" t="s">
        <v>55</v>
      </c>
    </row>
    <row r="1419" spans="1:14" x14ac:dyDescent="0.25">
      <c r="A1419" s="1" t="s">
        <v>2369</v>
      </c>
      <c r="B1419" t="s">
        <v>2370</v>
      </c>
      <c r="C1419" s="1" t="s">
        <v>2396</v>
      </c>
      <c r="D1419" s="1" t="s">
        <v>2396</v>
      </c>
      <c r="E1419" s="1" t="s">
        <v>2396</v>
      </c>
      <c r="F1419" t="s">
        <v>2397</v>
      </c>
      <c r="G1419" t="s">
        <v>111</v>
      </c>
      <c r="H1419" t="s">
        <v>49</v>
      </c>
      <c r="I1419" t="s">
        <v>50</v>
      </c>
      <c r="J1419">
        <v>17.8</v>
      </c>
      <c r="K1419" t="e">
        <f>IF(COUNTIF(#REF!,Tabela2[[#This Row],[IdxWspolny]])&gt;0,"ELEM_lub_PRD","TECHN")</f>
        <v>#REF!</v>
      </c>
      <c r="L1419" t="e">
        <f>IF(COUNTIF(#REF!,Tabela2[[#This Row],[KOD_PRODUKTU]])&gt;0,"ELEMENT","PRODUKT")</f>
        <v>#REF!</v>
      </c>
      <c r="M1419" t="e">
        <f>COUNTIF(#REF!,Tabela2[[#This Row],[KOD_PRODUKTU]])</f>
        <v>#REF!</v>
      </c>
    </row>
    <row r="1420" spans="1:14" x14ac:dyDescent="0.25">
      <c r="A1420" s="1" t="s">
        <v>2369</v>
      </c>
      <c r="B1420" t="s">
        <v>2370</v>
      </c>
      <c r="C1420" s="1" t="s">
        <v>7</v>
      </c>
      <c r="D1420" s="1" t="s">
        <v>7</v>
      </c>
      <c r="E1420" s="1" t="s">
        <v>7</v>
      </c>
      <c r="F1420" t="s">
        <v>8</v>
      </c>
      <c r="G1420" t="s">
        <v>9</v>
      </c>
      <c r="H1420" t="s">
        <v>10</v>
      </c>
      <c r="I1420" t="s">
        <v>861</v>
      </c>
      <c r="J1420">
        <v>103.5</v>
      </c>
      <c r="K1420" t="e">
        <f>IF(COUNTIF(#REF!,Tabela2[[#This Row],[IdxWspolny]])&gt;0,"ELEM_lub_PRD","TECHN")</f>
        <v>#REF!</v>
      </c>
      <c r="L1420" t="e">
        <f>IF(COUNTIF(#REF!,Tabela2[[#This Row],[KOD_PRODUKTU]])&gt;0,"ELEMENT","PRODUKT")</f>
        <v>#REF!</v>
      </c>
      <c r="M1420" t="e">
        <f>COUNTIF(#REF!,Tabela2[[#This Row],[KOD_PRODUKTU]])</f>
        <v>#REF!</v>
      </c>
    </row>
    <row r="1421" spans="1:14" x14ac:dyDescent="0.25">
      <c r="A1421" s="1" t="s">
        <v>2398</v>
      </c>
      <c r="B1421" t="s">
        <v>2399</v>
      </c>
      <c r="C1421" s="1" t="s">
        <v>2296</v>
      </c>
      <c r="D1421" s="1" t="s">
        <v>2296</v>
      </c>
      <c r="E1421" s="1" t="s">
        <v>2296</v>
      </c>
      <c r="F1421" t="s">
        <v>2297</v>
      </c>
      <c r="G1421" t="s">
        <v>2341</v>
      </c>
      <c r="H1421" t="s">
        <v>39</v>
      </c>
      <c r="I1421" t="s">
        <v>605</v>
      </c>
      <c r="J1421">
        <v>0.55000000000000004</v>
      </c>
      <c r="K1421" t="e">
        <f>IF(COUNTIF(#REF!,Tabela2[[#This Row],[IdxWspolny]])&gt;0,"ELEM_lub_PRD","TECHN")</f>
        <v>#REF!</v>
      </c>
      <c r="L1421" t="e">
        <f>IF(COUNTIF(#REF!,Tabela2[[#This Row],[KOD_PRODUKTU]])&gt;0,"ELEMENT","PRODUKT")</f>
        <v>#REF!</v>
      </c>
      <c r="M1421" t="e">
        <f>COUNTIF(#REF!,Tabela2[[#This Row],[KOD_PRODUKTU]])</f>
        <v>#REF!</v>
      </c>
    </row>
    <row r="1422" spans="1:14" x14ac:dyDescent="0.25">
      <c r="A1422" s="1" t="s">
        <v>2398</v>
      </c>
      <c r="B1422" t="s">
        <v>2399</v>
      </c>
      <c r="C1422" s="1" t="s">
        <v>2371</v>
      </c>
      <c r="D1422" s="1" t="s">
        <v>2371</v>
      </c>
      <c r="E1422" s="1" t="s">
        <v>2371</v>
      </c>
      <c r="F1422" t="s">
        <v>2372</v>
      </c>
      <c r="G1422" t="s">
        <v>185</v>
      </c>
      <c r="H1422" t="s">
        <v>49</v>
      </c>
      <c r="I1422" t="s">
        <v>1130</v>
      </c>
      <c r="J1422">
        <v>2.93</v>
      </c>
      <c r="K1422" t="e">
        <f>IF(COUNTIF(#REF!,Tabela2[[#This Row],[IdxWspolny]])&gt;0,"ELEM_lub_PRD","TECHN")</f>
        <v>#REF!</v>
      </c>
      <c r="L1422" t="e">
        <f>IF(COUNTIF(#REF!,Tabela2[[#This Row],[KOD_PRODUKTU]])&gt;0,"ELEMENT","PRODUKT")</f>
        <v>#REF!</v>
      </c>
      <c r="M1422" t="e">
        <f>COUNTIF(#REF!,Tabela2[[#This Row],[KOD_PRODUKTU]])</f>
        <v>#REF!</v>
      </c>
    </row>
    <row r="1423" spans="1:14" x14ac:dyDescent="0.25">
      <c r="A1423" s="1" t="s">
        <v>2398</v>
      </c>
      <c r="B1423" t="s">
        <v>2399</v>
      </c>
      <c r="C1423" s="1" t="s">
        <v>2373</v>
      </c>
      <c r="D1423" s="1" t="s">
        <v>2373</v>
      </c>
      <c r="E1423" s="1" t="s">
        <v>2373</v>
      </c>
      <c r="F1423" t="s">
        <v>2374</v>
      </c>
      <c r="G1423" t="s">
        <v>2112</v>
      </c>
      <c r="H1423" t="s">
        <v>49</v>
      </c>
      <c r="I1423" t="s">
        <v>319</v>
      </c>
      <c r="J1423">
        <v>93</v>
      </c>
      <c r="K1423" t="e">
        <f>IF(COUNTIF(#REF!,Tabela2[[#This Row],[IdxWspolny]])&gt;0,"ELEM_lub_PRD","TECHN")</f>
        <v>#REF!</v>
      </c>
      <c r="L1423" t="e">
        <f>IF(COUNTIF(#REF!,Tabela2[[#This Row],[KOD_PRODUKTU]])&gt;0,"ELEMENT","PRODUKT")</f>
        <v>#REF!</v>
      </c>
      <c r="M1423" t="e">
        <f>COUNTIF(#REF!,Tabela2[[#This Row],[KOD_PRODUKTU]])</f>
        <v>#REF!</v>
      </c>
    </row>
    <row r="1424" spans="1:14" x14ac:dyDescent="0.25">
      <c r="A1424" s="1" t="s">
        <v>2398</v>
      </c>
      <c r="B1424" t="s">
        <v>2399</v>
      </c>
      <c r="C1424" s="1" t="s">
        <v>2375</v>
      </c>
      <c r="D1424" s="1" t="s">
        <v>2375</v>
      </c>
      <c r="E1424" s="1" t="s">
        <v>2375</v>
      </c>
      <c r="F1424" t="s">
        <v>2376</v>
      </c>
      <c r="G1424" t="s">
        <v>2377</v>
      </c>
      <c r="H1424" t="s">
        <v>2378</v>
      </c>
      <c r="I1424" t="s">
        <v>50</v>
      </c>
      <c r="J1424">
        <v>45.89</v>
      </c>
      <c r="K1424" t="e">
        <f>IF(COUNTIF(#REF!,Tabela2[[#This Row],[IdxWspolny]])&gt;0,"ELEM_lub_PRD","TECHN")</f>
        <v>#REF!</v>
      </c>
      <c r="L1424" t="e">
        <f>IF(COUNTIF(#REF!,Tabela2[[#This Row],[KOD_PRODUKTU]])&gt;0,"ELEMENT","PRODUKT")</f>
        <v>#REF!</v>
      </c>
      <c r="M1424" t="e">
        <f>COUNTIF(#REF!,Tabela2[[#This Row],[KOD_PRODUKTU]])</f>
        <v>#REF!</v>
      </c>
    </row>
    <row r="1425" spans="1:14" x14ac:dyDescent="0.25">
      <c r="A1425" s="1" t="s">
        <v>2398</v>
      </c>
      <c r="B1425" t="s">
        <v>2399</v>
      </c>
      <c r="C1425" s="1" t="s">
        <v>2379</v>
      </c>
      <c r="D1425" s="1" t="s">
        <v>2379</v>
      </c>
      <c r="E1425" s="1" t="s">
        <v>2379</v>
      </c>
      <c r="F1425" t="s">
        <v>2380</v>
      </c>
      <c r="G1425" t="s">
        <v>580</v>
      </c>
      <c r="H1425" t="s">
        <v>121</v>
      </c>
      <c r="I1425" t="s">
        <v>319</v>
      </c>
      <c r="J1425">
        <v>44.7</v>
      </c>
      <c r="K1425" t="e">
        <f>IF(COUNTIF(#REF!,Tabela2[[#This Row],[IdxWspolny]])&gt;0,"ELEM_lub_PRD","TECHN")</f>
        <v>#REF!</v>
      </c>
      <c r="L1425" t="e">
        <f>IF(COUNTIF(#REF!,Tabela2[[#This Row],[KOD_PRODUKTU]])&gt;0,"ELEMENT","PRODUKT")</f>
        <v>#REF!</v>
      </c>
      <c r="M1425" t="e">
        <f>COUNTIF(#REF!,Tabela2[[#This Row],[KOD_PRODUKTU]])</f>
        <v>#REF!</v>
      </c>
    </row>
    <row r="1426" spans="1:14" x14ac:dyDescent="0.25">
      <c r="A1426" s="1" t="s">
        <v>2398</v>
      </c>
      <c r="B1426" t="s">
        <v>2399</v>
      </c>
      <c r="C1426" s="1" t="s">
        <v>41</v>
      </c>
      <c r="D1426" s="1" t="s">
        <v>41</v>
      </c>
      <c r="E1426" s="1" t="s">
        <v>41</v>
      </c>
      <c r="F1426" t="s">
        <v>42</v>
      </c>
      <c r="G1426" t="s">
        <v>43</v>
      </c>
      <c r="H1426" t="s">
        <v>5</v>
      </c>
      <c r="I1426" t="s">
        <v>1867</v>
      </c>
      <c r="J1426">
        <v>0.03</v>
      </c>
      <c r="K1426" t="e">
        <f>IF(COUNTIF(#REF!,Tabela2[[#This Row],[IdxWspolny]])&gt;0,"ELEM_lub_PRD","TECHN")</f>
        <v>#REF!</v>
      </c>
      <c r="L1426" t="e">
        <f>IF(COUNTIF(#REF!,Tabela2[[#This Row],[KOD_PRODUKTU]])&gt;0,"ELEMENT","PRODUKT")</f>
        <v>#REF!</v>
      </c>
      <c r="M1426" t="e">
        <f>COUNTIF(#REF!,Tabela2[[#This Row],[KOD_PRODUKTU]])</f>
        <v>#REF!</v>
      </c>
    </row>
    <row r="1427" spans="1:14" x14ac:dyDescent="0.25">
      <c r="A1427" s="1" t="s">
        <v>2398</v>
      </c>
      <c r="B1427" t="s">
        <v>2399</v>
      </c>
      <c r="C1427" s="1" t="s">
        <v>2381</v>
      </c>
      <c r="D1427" s="1" t="s">
        <v>2381</v>
      </c>
      <c r="E1427" s="1" t="s">
        <v>2381</v>
      </c>
      <c r="F1427" t="s">
        <v>2382</v>
      </c>
      <c r="G1427" t="s">
        <v>2383</v>
      </c>
      <c r="H1427" t="s">
        <v>49</v>
      </c>
      <c r="I1427" t="s">
        <v>2384</v>
      </c>
      <c r="J1427">
        <v>0.6</v>
      </c>
      <c r="K1427" t="e">
        <f>IF(COUNTIF(#REF!,Tabela2[[#This Row],[IdxWspolny]])&gt;0,"ELEM_lub_PRD","TECHN")</f>
        <v>#REF!</v>
      </c>
      <c r="L1427" t="e">
        <f>IF(COUNTIF(#REF!,Tabela2[[#This Row],[KOD_PRODUKTU]])&gt;0,"ELEMENT","PRODUKT")</f>
        <v>#REF!</v>
      </c>
      <c r="M1427" t="e">
        <f>COUNTIF(#REF!,Tabela2[[#This Row],[KOD_PRODUKTU]])</f>
        <v>#REF!</v>
      </c>
    </row>
    <row r="1428" spans="1:14" hidden="1" x14ac:dyDescent="0.25">
      <c r="A1428" s="1" t="s">
        <v>2398</v>
      </c>
      <c r="B1428" t="s">
        <v>2399</v>
      </c>
      <c r="C1428" s="1" t="s">
        <v>2385</v>
      </c>
      <c r="D1428" s="1" t="s">
        <v>2385</v>
      </c>
      <c r="E1428" s="1" t="s">
        <v>2385</v>
      </c>
      <c r="F1428" t="s">
        <v>2386</v>
      </c>
      <c r="G1428" t="s">
        <v>2387</v>
      </c>
      <c r="H1428" t="s">
        <v>49</v>
      </c>
      <c r="I1428" t="s">
        <v>50</v>
      </c>
      <c r="J1428">
        <v>152.9</v>
      </c>
      <c r="K1428" t="e">
        <f>IF(COUNTIF(#REF!,Tabela2[[#This Row],[IdxWspolny]])&gt;0,"ELEM_lub_PRD","TECHN")</f>
        <v>#REF!</v>
      </c>
      <c r="L1428" t="e">
        <f>IF(COUNTIF(#REF!,Tabela2[[#This Row],[KOD_PRODUKTU]])&gt;0,"ELEMENT","PRODUKT")</f>
        <v>#REF!</v>
      </c>
      <c r="M1428" t="e">
        <f>COUNTIF(#REF!,Tabela2[[#This Row],[KOD_PRODUKTU]])</f>
        <v>#REF!</v>
      </c>
      <c r="N1428" t="s">
        <v>55</v>
      </c>
    </row>
    <row r="1429" spans="1:14" hidden="1" x14ac:dyDescent="0.25">
      <c r="A1429" s="1" t="s">
        <v>2398</v>
      </c>
      <c r="B1429" t="s">
        <v>2399</v>
      </c>
      <c r="C1429" s="1" t="s">
        <v>2388</v>
      </c>
      <c r="D1429" s="1" t="s">
        <v>2388</v>
      </c>
      <c r="E1429" s="1" t="s">
        <v>2388</v>
      </c>
      <c r="F1429" t="s">
        <v>2389</v>
      </c>
      <c r="G1429" t="s">
        <v>2390</v>
      </c>
      <c r="H1429" t="s">
        <v>49</v>
      </c>
      <c r="I1429" t="s">
        <v>50</v>
      </c>
      <c r="J1429">
        <v>73.5</v>
      </c>
      <c r="K1429" t="e">
        <f>IF(COUNTIF(#REF!,Tabela2[[#This Row],[IdxWspolny]])&gt;0,"ELEM_lub_PRD","TECHN")</f>
        <v>#REF!</v>
      </c>
      <c r="L1429" t="e">
        <f>IF(COUNTIF(#REF!,Tabela2[[#This Row],[KOD_PRODUKTU]])&gt;0,"ELEMENT","PRODUKT")</f>
        <v>#REF!</v>
      </c>
      <c r="M1429" t="e">
        <f>COUNTIF(#REF!,Tabela2[[#This Row],[KOD_PRODUKTU]])</f>
        <v>#REF!</v>
      </c>
      <c r="N1429" t="s">
        <v>55</v>
      </c>
    </row>
    <row r="1430" spans="1:14" hidden="1" x14ac:dyDescent="0.25">
      <c r="A1430" s="1" t="s">
        <v>2398</v>
      </c>
      <c r="B1430" t="s">
        <v>2399</v>
      </c>
      <c r="C1430" s="1" t="s">
        <v>2391</v>
      </c>
      <c r="D1430" s="1" t="s">
        <v>2391</v>
      </c>
      <c r="E1430" s="1" t="s">
        <v>2391</v>
      </c>
      <c r="F1430" t="s">
        <v>2392</v>
      </c>
      <c r="G1430" t="s">
        <v>2393</v>
      </c>
      <c r="H1430" t="s">
        <v>49</v>
      </c>
      <c r="I1430" t="s">
        <v>50</v>
      </c>
      <c r="J1430">
        <v>75.150000000000006</v>
      </c>
      <c r="K1430" t="e">
        <f>IF(COUNTIF(#REF!,Tabela2[[#This Row],[IdxWspolny]])&gt;0,"ELEM_lub_PRD","TECHN")</f>
        <v>#REF!</v>
      </c>
      <c r="L1430" t="e">
        <f>IF(COUNTIF(#REF!,Tabela2[[#This Row],[KOD_PRODUKTU]])&gt;0,"ELEMENT","PRODUKT")</f>
        <v>#REF!</v>
      </c>
      <c r="M1430" t="e">
        <f>COUNTIF(#REF!,Tabela2[[#This Row],[KOD_PRODUKTU]])</f>
        <v>#REF!</v>
      </c>
      <c r="N1430" t="s">
        <v>55</v>
      </c>
    </row>
    <row r="1431" spans="1:14" hidden="1" x14ac:dyDescent="0.25">
      <c r="A1431" s="1" t="s">
        <v>2398</v>
      </c>
      <c r="B1431" t="s">
        <v>2399</v>
      </c>
      <c r="C1431" s="1" t="s">
        <v>2394</v>
      </c>
      <c r="D1431" s="1" t="s">
        <v>2394</v>
      </c>
      <c r="E1431" s="1" t="s">
        <v>2394</v>
      </c>
      <c r="F1431" t="s">
        <v>2395</v>
      </c>
      <c r="G1431" t="s">
        <v>990</v>
      </c>
      <c r="H1431" t="s">
        <v>49</v>
      </c>
      <c r="I1431" t="s">
        <v>268</v>
      </c>
      <c r="J1431">
        <v>13.2</v>
      </c>
      <c r="K1431" t="e">
        <f>IF(COUNTIF(#REF!,Tabela2[[#This Row],[IdxWspolny]])&gt;0,"ELEM_lub_PRD","TECHN")</f>
        <v>#REF!</v>
      </c>
      <c r="L1431" t="e">
        <f>IF(COUNTIF(#REF!,Tabela2[[#This Row],[KOD_PRODUKTU]])&gt;0,"ELEMENT","PRODUKT")</f>
        <v>#REF!</v>
      </c>
      <c r="M1431" t="e">
        <f>COUNTIF(#REF!,Tabela2[[#This Row],[KOD_PRODUKTU]])</f>
        <v>#REF!</v>
      </c>
      <c r="N1431" t="s">
        <v>55</v>
      </c>
    </row>
    <row r="1432" spans="1:14" x14ac:dyDescent="0.25">
      <c r="A1432" s="1" t="s">
        <v>2398</v>
      </c>
      <c r="B1432" t="s">
        <v>2399</v>
      </c>
      <c r="C1432" s="1" t="s">
        <v>2396</v>
      </c>
      <c r="D1432" s="1" t="s">
        <v>2396</v>
      </c>
      <c r="E1432" s="1" t="s">
        <v>2396</v>
      </c>
      <c r="F1432" t="s">
        <v>2397</v>
      </c>
      <c r="G1432" t="s">
        <v>111</v>
      </c>
      <c r="H1432" t="s">
        <v>49</v>
      </c>
      <c r="I1432" t="s">
        <v>50</v>
      </c>
      <c r="J1432">
        <v>17.8</v>
      </c>
      <c r="K1432" t="e">
        <f>IF(COUNTIF(#REF!,Tabela2[[#This Row],[IdxWspolny]])&gt;0,"ELEM_lub_PRD","TECHN")</f>
        <v>#REF!</v>
      </c>
      <c r="L1432" t="e">
        <f>IF(COUNTIF(#REF!,Tabela2[[#This Row],[KOD_PRODUKTU]])&gt;0,"ELEMENT","PRODUKT")</f>
        <v>#REF!</v>
      </c>
      <c r="M1432" t="e">
        <f>COUNTIF(#REF!,Tabela2[[#This Row],[KOD_PRODUKTU]])</f>
        <v>#REF!</v>
      </c>
    </row>
    <row r="1433" spans="1:14" x14ac:dyDescent="0.25">
      <c r="A1433" s="1" t="s">
        <v>2398</v>
      </c>
      <c r="B1433" t="s">
        <v>2399</v>
      </c>
      <c r="C1433" s="1" t="s">
        <v>7</v>
      </c>
      <c r="D1433" s="1" t="s">
        <v>7</v>
      </c>
      <c r="E1433" s="1" t="s">
        <v>7</v>
      </c>
      <c r="F1433" t="s">
        <v>8</v>
      </c>
      <c r="G1433" t="s">
        <v>9</v>
      </c>
      <c r="H1433" t="s">
        <v>10</v>
      </c>
      <c r="I1433" t="s">
        <v>861</v>
      </c>
      <c r="J1433">
        <v>103.5</v>
      </c>
      <c r="K1433" t="e">
        <f>IF(COUNTIF(#REF!,Tabela2[[#This Row],[IdxWspolny]])&gt;0,"ELEM_lub_PRD","TECHN")</f>
        <v>#REF!</v>
      </c>
      <c r="L1433" t="e">
        <f>IF(COUNTIF(#REF!,Tabela2[[#This Row],[KOD_PRODUKTU]])&gt;0,"ELEMENT","PRODUKT")</f>
        <v>#REF!</v>
      </c>
      <c r="M1433" t="e">
        <f>COUNTIF(#REF!,Tabela2[[#This Row],[KOD_PRODUKTU]])</f>
        <v>#REF!</v>
      </c>
    </row>
    <row r="1434" spans="1:14" x14ac:dyDescent="0.25">
      <c r="A1434" s="1" t="s">
        <v>2400</v>
      </c>
      <c r="B1434" t="s">
        <v>2401</v>
      </c>
      <c r="C1434" s="1" t="s">
        <v>22</v>
      </c>
      <c r="D1434" s="1" t="s">
        <v>22</v>
      </c>
      <c r="E1434" s="1" t="s">
        <v>22</v>
      </c>
      <c r="F1434" t="s">
        <v>23</v>
      </c>
      <c r="G1434" t="s">
        <v>24</v>
      </c>
      <c r="H1434" t="s">
        <v>17</v>
      </c>
      <c r="I1434" t="s">
        <v>2402</v>
      </c>
      <c r="J1434">
        <v>63.3</v>
      </c>
      <c r="K1434" t="e">
        <f>IF(COUNTIF(#REF!,Tabela2[[#This Row],[IdxWspolny]])&gt;0,"ELEM_lub_PRD","TECHN")</f>
        <v>#REF!</v>
      </c>
      <c r="L1434" t="e">
        <f>IF(COUNTIF(#REF!,Tabela2[[#This Row],[KOD_PRODUKTU]])&gt;0,"ELEMENT","PRODUKT")</f>
        <v>#REF!</v>
      </c>
      <c r="M1434" t="e">
        <f>COUNTIF(#REF!,Tabela2[[#This Row],[KOD_PRODUKTU]])</f>
        <v>#REF!</v>
      </c>
    </row>
    <row r="1435" spans="1:14" x14ac:dyDescent="0.25">
      <c r="A1435" s="1" t="s">
        <v>2400</v>
      </c>
      <c r="B1435" t="s">
        <v>2401</v>
      </c>
      <c r="C1435" s="1" t="s">
        <v>7</v>
      </c>
      <c r="D1435" s="1" t="s">
        <v>7</v>
      </c>
      <c r="E1435" s="1" t="s">
        <v>7</v>
      </c>
      <c r="F1435" t="s">
        <v>8</v>
      </c>
      <c r="G1435" t="s">
        <v>9</v>
      </c>
      <c r="H1435" t="s">
        <v>10</v>
      </c>
      <c r="I1435" t="s">
        <v>601</v>
      </c>
      <c r="J1435">
        <v>6.9</v>
      </c>
      <c r="K1435" t="e">
        <f>IF(COUNTIF(#REF!,Tabela2[[#This Row],[IdxWspolny]])&gt;0,"ELEM_lub_PRD","TECHN")</f>
        <v>#REF!</v>
      </c>
      <c r="L1435" t="e">
        <f>IF(COUNTIF(#REF!,Tabela2[[#This Row],[KOD_PRODUKTU]])&gt;0,"ELEMENT","PRODUKT")</f>
        <v>#REF!</v>
      </c>
      <c r="M1435" t="e">
        <f>COUNTIF(#REF!,Tabela2[[#This Row],[KOD_PRODUKTU]])</f>
        <v>#REF!</v>
      </c>
    </row>
    <row r="1436" spans="1:14" x14ac:dyDescent="0.25">
      <c r="A1436" s="1" t="s">
        <v>2403</v>
      </c>
      <c r="B1436" t="s">
        <v>2404</v>
      </c>
      <c r="C1436" s="1" t="s">
        <v>2405</v>
      </c>
      <c r="D1436" s="1" t="s">
        <v>2405</v>
      </c>
      <c r="E1436" s="1" t="s">
        <v>2405</v>
      </c>
      <c r="F1436" t="s">
        <v>2406</v>
      </c>
      <c r="G1436" t="s">
        <v>1768</v>
      </c>
      <c r="H1436" t="s">
        <v>17</v>
      </c>
      <c r="I1436" t="s">
        <v>478</v>
      </c>
      <c r="J1436">
        <v>0</v>
      </c>
      <c r="K1436" t="e">
        <f>IF(COUNTIF(#REF!,Tabela2[[#This Row],[IdxWspolny]])&gt;0,"ELEM_lub_PRD","TECHN")</f>
        <v>#REF!</v>
      </c>
      <c r="L1436" t="e">
        <f>IF(COUNTIF(#REF!,Tabela2[[#This Row],[KOD_PRODUKTU]])&gt;0,"ELEMENT","PRODUKT")</f>
        <v>#REF!</v>
      </c>
      <c r="M1436" t="e">
        <f>COUNTIF(#REF!,Tabela2[[#This Row],[KOD_PRODUKTU]])</f>
        <v>#REF!</v>
      </c>
    </row>
    <row r="1437" spans="1:14" x14ac:dyDescent="0.25">
      <c r="A1437" s="1" t="s">
        <v>2403</v>
      </c>
      <c r="B1437" t="s">
        <v>2404</v>
      </c>
      <c r="C1437" s="1" t="s">
        <v>7</v>
      </c>
      <c r="D1437" s="1" t="s">
        <v>7</v>
      </c>
      <c r="E1437" s="1" t="s">
        <v>7</v>
      </c>
      <c r="F1437" t="s">
        <v>8</v>
      </c>
      <c r="G1437" t="s">
        <v>9</v>
      </c>
      <c r="H1437" t="s">
        <v>10</v>
      </c>
      <c r="I1437" t="s">
        <v>2407</v>
      </c>
      <c r="J1437">
        <v>5.55</v>
      </c>
      <c r="K1437" t="e">
        <f>IF(COUNTIF(#REF!,Tabela2[[#This Row],[IdxWspolny]])&gt;0,"ELEM_lub_PRD","TECHN")</f>
        <v>#REF!</v>
      </c>
      <c r="L1437" t="e">
        <f>IF(COUNTIF(#REF!,Tabela2[[#This Row],[KOD_PRODUKTU]])&gt;0,"ELEMENT","PRODUKT")</f>
        <v>#REF!</v>
      </c>
      <c r="M1437" t="e">
        <f>COUNTIF(#REF!,Tabela2[[#This Row],[KOD_PRODUKTU]])</f>
        <v>#REF!</v>
      </c>
    </row>
    <row r="1438" spans="1:14" x14ac:dyDescent="0.25">
      <c r="A1438" s="1" t="s">
        <v>2408</v>
      </c>
      <c r="B1438" t="s">
        <v>2409</v>
      </c>
      <c r="C1438" s="1" t="s">
        <v>2197</v>
      </c>
      <c r="D1438" s="1" t="s">
        <v>2197</v>
      </c>
      <c r="E1438" s="1" t="s">
        <v>2197</v>
      </c>
      <c r="F1438" t="s">
        <v>2198</v>
      </c>
      <c r="G1438" t="s">
        <v>1768</v>
      </c>
      <c r="H1438" t="s">
        <v>49</v>
      </c>
      <c r="I1438" t="s">
        <v>50</v>
      </c>
      <c r="J1438">
        <v>0</v>
      </c>
      <c r="K1438" t="e">
        <f>IF(COUNTIF(#REF!,Tabela2[[#This Row],[IdxWspolny]])&gt;0,"ELEM_lub_PRD","TECHN")</f>
        <v>#REF!</v>
      </c>
      <c r="L1438" t="e">
        <f>IF(COUNTIF(#REF!,Tabela2[[#This Row],[KOD_PRODUKTU]])&gt;0,"ELEMENT","PRODUKT")</f>
        <v>#REF!</v>
      </c>
      <c r="M1438" t="e">
        <f>COUNTIF(#REF!,Tabela2[[#This Row],[KOD_PRODUKTU]])</f>
        <v>#REF!</v>
      </c>
    </row>
    <row r="1439" spans="1:14" x14ac:dyDescent="0.25">
      <c r="A1439" s="1" t="s">
        <v>2408</v>
      </c>
      <c r="B1439" t="s">
        <v>2409</v>
      </c>
      <c r="C1439" s="1" t="s">
        <v>41</v>
      </c>
      <c r="D1439" s="1" t="s">
        <v>41</v>
      </c>
      <c r="E1439" s="1" t="s">
        <v>41</v>
      </c>
      <c r="F1439" t="s">
        <v>42</v>
      </c>
      <c r="G1439" t="s">
        <v>43</v>
      </c>
      <c r="H1439" t="s">
        <v>5</v>
      </c>
      <c r="I1439" t="s">
        <v>550</v>
      </c>
      <c r="J1439">
        <v>0.02</v>
      </c>
      <c r="K1439" t="e">
        <f>IF(COUNTIF(#REF!,Tabela2[[#This Row],[IdxWspolny]])&gt;0,"ELEM_lub_PRD","TECHN")</f>
        <v>#REF!</v>
      </c>
      <c r="L1439" t="e">
        <f>IF(COUNTIF(#REF!,Tabela2[[#This Row],[KOD_PRODUKTU]])&gt;0,"ELEMENT","PRODUKT")</f>
        <v>#REF!</v>
      </c>
      <c r="M1439" t="e">
        <f>COUNTIF(#REF!,Tabela2[[#This Row],[KOD_PRODUKTU]])</f>
        <v>#REF!</v>
      </c>
    </row>
    <row r="1440" spans="1:14" x14ac:dyDescent="0.25">
      <c r="A1440" s="1" t="s">
        <v>2408</v>
      </c>
      <c r="B1440" t="s">
        <v>2409</v>
      </c>
      <c r="C1440" s="1" t="s">
        <v>7</v>
      </c>
      <c r="D1440" s="1" t="s">
        <v>7</v>
      </c>
      <c r="E1440" s="1" t="s">
        <v>7</v>
      </c>
      <c r="F1440" t="s">
        <v>8</v>
      </c>
      <c r="G1440" t="s">
        <v>9</v>
      </c>
      <c r="H1440" t="s">
        <v>10</v>
      </c>
      <c r="I1440" t="s">
        <v>33</v>
      </c>
      <c r="J1440">
        <v>9.1999999999999993</v>
      </c>
      <c r="K1440" t="e">
        <f>IF(COUNTIF(#REF!,Tabela2[[#This Row],[IdxWspolny]])&gt;0,"ELEM_lub_PRD","TECHN")</f>
        <v>#REF!</v>
      </c>
      <c r="L1440" t="e">
        <f>IF(COUNTIF(#REF!,Tabela2[[#This Row],[KOD_PRODUKTU]])&gt;0,"ELEMENT","PRODUKT")</f>
        <v>#REF!</v>
      </c>
      <c r="M1440" t="e">
        <f>COUNTIF(#REF!,Tabela2[[#This Row],[KOD_PRODUKTU]])</f>
        <v>#REF!</v>
      </c>
    </row>
    <row r="1441" spans="1:13" x14ac:dyDescent="0.25">
      <c r="A1441" s="1" t="s">
        <v>2410</v>
      </c>
      <c r="B1441" t="s">
        <v>2411</v>
      </c>
      <c r="C1441" s="1" t="s">
        <v>2412</v>
      </c>
      <c r="D1441" s="1" t="s">
        <v>2412</v>
      </c>
      <c r="E1441" s="1" t="s">
        <v>2412</v>
      </c>
      <c r="F1441" t="s">
        <v>2413</v>
      </c>
      <c r="G1441" t="s">
        <v>302</v>
      </c>
      <c r="H1441" t="s">
        <v>121</v>
      </c>
      <c r="I1441" t="s">
        <v>50</v>
      </c>
      <c r="J1441">
        <v>4.5999999999999996</v>
      </c>
      <c r="K1441" t="e">
        <f>IF(COUNTIF(#REF!,Tabela2[[#This Row],[IdxWspolny]])&gt;0,"ELEM_lub_PRD","TECHN")</f>
        <v>#REF!</v>
      </c>
      <c r="L1441" t="e">
        <f>IF(COUNTIF(#REF!,Tabela2[[#This Row],[KOD_PRODUKTU]])&gt;0,"ELEMENT","PRODUKT")</f>
        <v>#REF!</v>
      </c>
      <c r="M1441" t="e">
        <f>COUNTIF(#REF!,Tabela2[[#This Row],[KOD_PRODUKTU]])</f>
        <v>#REF!</v>
      </c>
    </row>
    <row r="1442" spans="1:13" x14ac:dyDescent="0.25">
      <c r="A1442" s="1" t="s">
        <v>2410</v>
      </c>
      <c r="B1442" t="s">
        <v>2411</v>
      </c>
      <c r="C1442" s="1" t="s">
        <v>684</v>
      </c>
      <c r="D1442" s="1" t="s">
        <v>684</v>
      </c>
      <c r="E1442" s="1" t="s">
        <v>684</v>
      </c>
      <c r="F1442" t="s">
        <v>685</v>
      </c>
      <c r="G1442" t="s">
        <v>686</v>
      </c>
      <c r="H1442" t="s">
        <v>49</v>
      </c>
      <c r="I1442" t="s">
        <v>2414</v>
      </c>
      <c r="J1442">
        <v>31.4</v>
      </c>
      <c r="K1442" t="e">
        <f>IF(COUNTIF(#REF!,Tabela2[[#This Row],[IdxWspolny]])&gt;0,"ELEM_lub_PRD","TECHN")</f>
        <v>#REF!</v>
      </c>
      <c r="L1442" t="e">
        <f>IF(COUNTIF(#REF!,Tabela2[[#This Row],[KOD_PRODUKTU]])&gt;0,"ELEMENT","PRODUKT")</f>
        <v>#REF!</v>
      </c>
      <c r="M1442" t="e">
        <f>COUNTIF(#REF!,Tabela2[[#This Row],[KOD_PRODUKTU]])</f>
        <v>#REF!</v>
      </c>
    </row>
    <row r="1443" spans="1:13" x14ac:dyDescent="0.25">
      <c r="A1443" s="1" t="s">
        <v>2410</v>
      </c>
      <c r="B1443" t="s">
        <v>2411</v>
      </c>
      <c r="C1443" s="1" t="s">
        <v>7</v>
      </c>
      <c r="D1443" s="1" t="s">
        <v>7</v>
      </c>
      <c r="E1443" s="1" t="s">
        <v>7</v>
      </c>
      <c r="F1443" t="s">
        <v>8</v>
      </c>
      <c r="G1443" t="s">
        <v>9</v>
      </c>
      <c r="H1443" t="s">
        <v>10</v>
      </c>
      <c r="I1443" t="s">
        <v>2415</v>
      </c>
      <c r="J1443">
        <v>12</v>
      </c>
      <c r="K1443" t="e">
        <f>IF(COUNTIF(#REF!,Tabela2[[#This Row],[IdxWspolny]])&gt;0,"ELEM_lub_PRD","TECHN")</f>
        <v>#REF!</v>
      </c>
      <c r="L1443" t="e">
        <f>IF(COUNTIF(#REF!,Tabela2[[#This Row],[KOD_PRODUKTU]])&gt;0,"ELEMENT","PRODUKT")</f>
        <v>#REF!</v>
      </c>
      <c r="M1443" t="e">
        <f>COUNTIF(#REF!,Tabela2[[#This Row],[KOD_PRODUKTU]])</f>
        <v>#REF!</v>
      </c>
    </row>
    <row r="1444" spans="1:13" x14ac:dyDescent="0.25">
      <c r="A1444" s="1" t="s">
        <v>2416</v>
      </c>
      <c r="B1444" t="s">
        <v>2417</v>
      </c>
      <c r="C1444" s="1" t="s">
        <v>2418</v>
      </c>
      <c r="D1444" s="1" t="s">
        <v>2418</v>
      </c>
      <c r="E1444" s="1" t="s">
        <v>2418</v>
      </c>
      <c r="F1444" t="s">
        <v>2419</v>
      </c>
      <c r="G1444" t="s">
        <v>2420</v>
      </c>
      <c r="H1444" t="s">
        <v>49</v>
      </c>
      <c r="I1444" t="s">
        <v>50</v>
      </c>
      <c r="J1444">
        <v>3.26</v>
      </c>
      <c r="K1444" t="e">
        <f>IF(COUNTIF(#REF!,Tabela2[[#This Row],[IdxWspolny]])&gt;0,"ELEM_lub_PRD","TECHN")</f>
        <v>#REF!</v>
      </c>
      <c r="L1444" t="e">
        <f>IF(COUNTIF(#REF!,Tabela2[[#This Row],[KOD_PRODUKTU]])&gt;0,"ELEMENT","PRODUKT")</f>
        <v>#REF!</v>
      </c>
      <c r="M1444" t="e">
        <f>COUNTIF(#REF!,Tabela2[[#This Row],[KOD_PRODUKTU]])</f>
        <v>#REF!</v>
      </c>
    </row>
    <row r="1445" spans="1:13" x14ac:dyDescent="0.25">
      <c r="A1445" s="1" t="s">
        <v>2416</v>
      </c>
      <c r="B1445" t="s">
        <v>2417</v>
      </c>
      <c r="C1445" s="1" t="s">
        <v>41</v>
      </c>
      <c r="D1445" s="1" t="s">
        <v>41</v>
      </c>
      <c r="E1445" s="1" t="s">
        <v>41</v>
      </c>
      <c r="F1445" t="s">
        <v>42</v>
      </c>
      <c r="G1445" t="s">
        <v>513</v>
      </c>
      <c r="H1445" t="s">
        <v>5</v>
      </c>
      <c r="I1445" t="s">
        <v>559</v>
      </c>
      <c r="J1445">
        <v>0.04</v>
      </c>
      <c r="K1445" t="e">
        <f>IF(COUNTIF(#REF!,Tabela2[[#This Row],[IdxWspolny]])&gt;0,"ELEM_lub_PRD","TECHN")</f>
        <v>#REF!</v>
      </c>
      <c r="L1445" t="e">
        <f>IF(COUNTIF(#REF!,Tabela2[[#This Row],[KOD_PRODUKTU]])&gt;0,"ELEMENT","PRODUKT")</f>
        <v>#REF!</v>
      </c>
      <c r="M1445" t="e">
        <f>COUNTIF(#REF!,Tabela2[[#This Row],[KOD_PRODUKTU]])</f>
        <v>#REF!</v>
      </c>
    </row>
    <row r="1446" spans="1:13" x14ac:dyDescent="0.25">
      <c r="A1446" s="1" t="s">
        <v>2416</v>
      </c>
      <c r="B1446" t="s">
        <v>2417</v>
      </c>
      <c r="C1446" s="1" t="s">
        <v>7</v>
      </c>
      <c r="D1446" s="1" t="s">
        <v>7</v>
      </c>
      <c r="E1446" s="1" t="s">
        <v>7</v>
      </c>
      <c r="F1446" t="s">
        <v>8</v>
      </c>
      <c r="G1446" t="s">
        <v>9</v>
      </c>
      <c r="H1446" t="s">
        <v>10</v>
      </c>
      <c r="I1446" t="s">
        <v>367</v>
      </c>
      <c r="J1446">
        <v>2.2999999999999998</v>
      </c>
      <c r="K1446" t="e">
        <f>IF(COUNTIF(#REF!,Tabela2[[#This Row],[IdxWspolny]])&gt;0,"ELEM_lub_PRD","TECHN")</f>
        <v>#REF!</v>
      </c>
      <c r="L1446" t="e">
        <f>IF(COUNTIF(#REF!,Tabela2[[#This Row],[KOD_PRODUKTU]])&gt;0,"ELEMENT","PRODUKT")</f>
        <v>#REF!</v>
      </c>
      <c r="M1446" t="e">
        <f>COUNTIF(#REF!,Tabela2[[#This Row],[KOD_PRODUKTU]])</f>
        <v>#REF!</v>
      </c>
    </row>
    <row r="1447" spans="1:13" x14ac:dyDescent="0.25">
      <c r="A1447" s="1" t="s">
        <v>2421</v>
      </c>
      <c r="B1447" t="s">
        <v>2422</v>
      </c>
      <c r="C1447" s="1" t="s">
        <v>649</v>
      </c>
      <c r="D1447" s="1" t="s">
        <v>649</v>
      </c>
      <c r="E1447" s="1" t="s">
        <v>649</v>
      </c>
      <c r="F1447" t="s">
        <v>650</v>
      </c>
      <c r="G1447" t="s">
        <v>2303</v>
      </c>
      <c r="H1447" t="s">
        <v>39</v>
      </c>
      <c r="I1447" t="s">
        <v>605</v>
      </c>
      <c r="J1447">
        <v>0.35</v>
      </c>
      <c r="K1447" t="e">
        <f>IF(COUNTIF(#REF!,Tabela2[[#This Row],[IdxWspolny]])&gt;0,"ELEM_lub_PRD","TECHN")</f>
        <v>#REF!</v>
      </c>
      <c r="L1447" t="e">
        <f>IF(COUNTIF(#REF!,Tabela2[[#This Row],[KOD_PRODUKTU]])&gt;0,"ELEMENT","PRODUKT")</f>
        <v>#REF!</v>
      </c>
      <c r="M1447" t="e">
        <f>COUNTIF(#REF!,Tabela2[[#This Row],[KOD_PRODUKTU]])</f>
        <v>#REF!</v>
      </c>
    </row>
    <row r="1448" spans="1:13" x14ac:dyDescent="0.25">
      <c r="A1448" s="1" t="s">
        <v>2421</v>
      </c>
      <c r="B1448" t="s">
        <v>2422</v>
      </c>
      <c r="C1448" s="1" t="s">
        <v>2343</v>
      </c>
      <c r="D1448" s="1" t="s">
        <v>2343</v>
      </c>
      <c r="E1448" s="1" t="s">
        <v>2343</v>
      </c>
      <c r="F1448" t="s">
        <v>2344</v>
      </c>
      <c r="G1448" t="s">
        <v>2345</v>
      </c>
      <c r="H1448" t="s">
        <v>39</v>
      </c>
      <c r="I1448" t="s">
        <v>605</v>
      </c>
      <c r="J1448">
        <v>0.19</v>
      </c>
      <c r="K1448" t="e">
        <f>IF(COUNTIF(#REF!,Tabela2[[#This Row],[IdxWspolny]])&gt;0,"ELEM_lub_PRD","TECHN")</f>
        <v>#REF!</v>
      </c>
      <c r="L1448" t="e">
        <f>IF(COUNTIF(#REF!,Tabela2[[#This Row],[KOD_PRODUKTU]])&gt;0,"ELEMENT","PRODUKT")</f>
        <v>#REF!</v>
      </c>
      <c r="M1448" t="e">
        <f>COUNTIF(#REF!,Tabela2[[#This Row],[KOD_PRODUKTU]])</f>
        <v>#REF!</v>
      </c>
    </row>
    <row r="1449" spans="1:13" x14ac:dyDescent="0.25">
      <c r="A1449" s="1" t="s">
        <v>2421</v>
      </c>
      <c r="B1449" t="s">
        <v>2422</v>
      </c>
      <c r="C1449" s="1" t="s">
        <v>2423</v>
      </c>
      <c r="D1449" s="1" t="s">
        <v>2423</v>
      </c>
      <c r="E1449" s="1" t="s">
        <v>2423</v>
      </c>
      <c r="F1449" t="s">
        <v>2424</v>
      </c>
      <c r="G1449" t="s">
        <v>2425</v>
      </c>
      <c r="H1449" t="s">
        <v>39</v>
      </c>
      <c r="I1449" t="s">
        <v>605</v>
      </c>
      <c r="J1449">
        <v>1.19</v>
      </c>
      <c r="K1449" t="e">
        <f>IF(COUNTIF(#REF!,Tabela2[[#This Row],[IdxWspolny]])&gt;0,"ELEM_lub_PRD","TECHN")</f>
        <v>#REF!</v>
      </c>
      <c r="L1449" t="e">
        <f>IF(COUNTIF(#REF!,Tabela2[[#This Row],[KOD_PRODUKTU]])&gt;0,"ELEMENT","PRODUKT")</f>
        <v>#REF!</v>
      </c>
      <c r="M1449" t="e">
        <f>COUNTIF(#REF!,Tabela2[[#This Row],[KOD_PRODUKTU]])</f>
        <v>#REF!</v>
      </c>
    </row>
    <row r="1450" spans="1:13" x14ac:dyDescent="0.25">
      <c r="A1450" s="1" t="s">
        <v>2421</v>
      </c>
      <c r="B1450" t="s">
        <v>2422</v>
      </c>
      <c r="C1450" s="1" t="s">
        <v>2426</v>
      </c>
      <c r="D1450" s="1" t="s">
        <v>2426</v>
      </c>
      <c r="E1450" s="1" t="s">
        <v>2426</v>
      </c>
      <c r="F1450" t="s">
        <v>2427</v>
      </c>
      <c r="G1450" t="s">
        <v>2428</v>
      </c>
      <c r="H1450" t="s">
        <v>121</v>
      </c>
      <c r="I1450" t="s">
        <v>92</v>
      </c>
      <c r="J1450">
        <v>2.66</v>
      </c>
      <c r="K1450" t="e">
        <f>IF(COUNTIF(#REF!,Tabela2[[#This Row],[IdxWspolny]])&gt;0,"ELEM_lub_PRD","TECHN")</f>
        <v>#REF!</v>
      </c>
      <c r="L1450" t="e">
        <f>IF(COUNTIF(#REF!,Tabela2[[#This Row],[KOD_PRODUKTU]])&gt;0,"ELEMENT","PRODUKT")</f>
        <v>#REF!</v>
      </c>
      <c r="M1450" t="e">
        <f>COUNTIF(#REF!,Tabela2[[#This Row],[KOD_PRODUKTU]])</f>
        <v>#REF!</v>
      </c>
    </row>
    <row r="1451" spans="1:13" x14ac:dyDescent="0.25">
      <c r="A1451" s="1" t="s">
        <v>2421</v>
      </c>
      <c r="B1451" t="s">
        <v>2422</v>
      </c>
      <c r="C1451" s="1" t="s">
        <v>2379</v>
      </c>
      <c r="D1451" s="1" t="s">
        <v>2379</v>
      </c>
      <c r="E1451" s="1" t="s">
        <v>2379</v>
      </c>
      <c r="F1451" t="s">
        <v>2380</v>
      </c>
      <c r="G1451" t="s">
        <v>580</v>
      </c>
      <c r="H1451" t="s">
        <v>121</v>
      </c>
      <c r="I1451" t="s">
        <v>92</v>
      </c>
      <c r="J1451">
        <v>14.9</v>
      </c>
      <c r="K1451" t="e">
        <f>IF(COUNTIF(#REF!,Tabela2[[#This Row],[IdxWspolny]])&gt;0,"ELEM_lub_PRD","TECHN")</f>
        <v>#REF!</v>
      </c>
      <c r="L1451" t="e">
        <f>IF(COUNTIF(#REF!,Tabela2[[#This Row],[KOD_PRODUKTU]])&gt;0,"ELEMENT","PRODUKT")</f>
        <v>#REF!</v>
      </c>
      <c r="M1451" t="e">
        <f>COUNTIF(#REF!,Tabela2[[#This Row],[KOD_PRODUKTU]])</f>
        <v>#REF!</v>
      </c>
    </row>
    <row r="1452" spans="1:13" x14ac:dyDescent="0.25">
      <c r="A1452" s="1" t="s">
        <v>2421</v>
      </c>
      <c r="B1452" t="s">
        <v>2422</v>
      </c>
      <c r="C1452" s="1" t="s">
        <v>2429</v>
      </c>
      <c r="D1452" s="1" t="s">
        <v>2429</v>
      </c>
      <c r="E1452" s="1" t="s">
        <v>2429</v>
      </c>
      <c r="F1452" t="s">
        <v>2430</v>
      </c>
      <c r="G1452" t="s">
        <v>2431</v>
      </c>
      <c r="H1452" t="s">
        <v>121</v>
      </c>
      <c r="I1452" t="s">
        <v>50</v>
      </c>
      <c r="J1452">
        <v>31.3</v>
      </c>
      <c r="K1452" t="e">
        <f>IF(COUNTIF(#REF!,Tabela2[[#This Row],[IdxWspolny]])&gt;0,"ELEM_lub_PRD","TECHN")</f>
        <v>#REF!</v>
      </c>
      <c r="L1452" t="e">
        <f>IF(COUNTIF(#REF!,Tabela2[[#This Row],[KOD_PRODUKTU]])&gt;0,"ELEMENT","PRODUKT")</f>
        <v>#REF!</v>
      </c>
      <c r="M1452" t="e">
        <f>COUNTIF(#REF!,Tabela2[[#This Row],[KOD_PRODUKTU]])</f>
        <v>#REF!</v>
      </c>
    </row>
    <row r="1453" spans="1:13" x14ac:dyDescent="0.25">
      <c r="A1453" s="1" t="s">
        <v>2421</v>
      </c>
      <c r="B1453" t="s">
        <v>2422</v>
      </c>
      <c r="C1453" s="1" t="s">
        <v>2432</v>
      </c>
      <c r="D1453" s="1" t="s">
        <v>2432</v>
      </c>
      <c r="E1453" s="1" t="s">
        <v>2432</v>
      </c>
      <c r="F1453" t="s">
        <v>2433</v>
      </c>
      <c r="G1453" t="s">
        <v>2434</v>
      </c>
      <c r="H1453" t="s">
        <v>121</v>
      </c>
      <c r="I1453" t="s">
        <v>50</v>
      </c>
      <c r="J1453">
        <v>31.8</v>
      </c>
      <c r="K1453" t="e">
        <f>IF(COUNTIF(#REF!,Tabela2[[#This Row],[IdxWspolny]])&gt;0,"ELEM_lub_PRD","TECHN")</f>
        <v>#REF!</v>
      </c>
      <c r="L1453" t="e">
        <f>IF(COUNTIF(#REF!,Tabela2[[#This Row],[KOD_PRODUKTU]])&gt;0,"ELEMENT","PRODUKT")</f>
        <v>#REF!</v>
      </c>
      <c r="M1453" t="e">
        <f>COUNTIF(#REF!,Tabela2[[#This Row],[KOD_PRODUKTU]])</f>
        <v>#REF!</v>
      </c>
    </row>
    <row r="1454" spans="1:13" x14ac:dyDescent="0.25">
      <c r="A1454" s="1" t="s">
        <v>2421</v>
      </c>
      <c r="B1454" t="s">
        <v>2422</v>
      </c>
      <c r="C1454" s="1" t="s">
        <v>2435</v>
      </c>
      <c r="D1454" s="1" t="s">
        <v>2435</v>
      </c>
      <c r="E1454" s="1" t="s">
        <v>2435</v>
      </c>
      <c r="F1454" t="s">
        <v>2436</v>
      </c>
      <c r="G1454" t="s">
        <v>70</v>
      </c>
      <c r="H1454" t="s">
        <v>121</v>
      </c>
      <c r="I1454" t="s">
        <v>50</v>
      </c>
      <c r="J1454">
        <v>5</v>
      </c>
      <c r="K1454" t="e">
        <f>IF(COUNTIF(#REF!,Tabela2[[#This Row],[IdxWspolny]])&gt;0,"ELEM_lub_PRD","TECHN")</f>
        <v>#REF!</v>
      </c>
      <c r="L1454" t="e">
        <f>IF(COUNTIF(#REF!,Tabela2[[#This Row],[KOD_PRODUKTU]])&gt;0,"ELEMENT","PRODUKT")</f>
        <v>#REF!</v>
      </c>
      <c r="M1454" t="e">
        <f>COUNTIF(#REF!,Tabela2[[#This Row],[KOD_PRODUKTU]])</f>
        <v>#REF!</v>
      </c>
    </row>
    <row r="1455" spans="1:13" x14ac:dyDescent="0.25">
      <c r="A1455" s="1" t="s">
        <v>2421</v>
      </c>
      <c r="B1455" t="s">
        <v>2422</v>
      </c>
      <c r="C1455" s="1" t="s">
        <v>684</v>
      </c>
      <c r="D1455" s="1" t="s">
        <v>684</v>
      </c>
      <c r="E1455" s="1" t="s">
        <v>684</v>
      </c>
      <c r="F1455" t="s">
        <v>685</v>
      </c>
      <c r="G1455" t="s">
        <v>686</v>
      </c>
      <c r="H1455" t="s">
        <v>49</v>
      </c>
      <c r="I1455" t="s">
        <v>2437</v>
      </c>
      <c r="J1455">
        <v>13.5</v>
      </c>
      <c r="K1455" t="e">
        <f>IF(COUNTIF(#REF!,Tabela2[[#This Row],[IdxWspolny]])&gt;0,"ELEM_lub_PRD","TECHN")</f>
        <v>#REF!</v>
      </c>
      <c r="L1455" t="e">
        <f>IF(COUNTIF(#REF!,Tabela2[[#This Row],[KOD_PRODUKTU]])&gt;0,"ELEMENT","PRODUKT")</f>
        <v>#REF!</v>
      </c>
      <c r="M1455" t="e">
        <f>COUNTIF(#REF!,Tabela2[[#This Row],[KOD_PRODUKTU]])</f>
        <v>#REF!</v>
      </c>
    </row>
    <row r="1456" spans="1:13" x14ac:dyDescent="0.25">
      <c r="A1456" s="1" t="s">
        <v>2421</v>
      </c>
      <c r="B1456" t="s">
        <v>2422</v>
      </c>
      <c r="C1456" s="1" t="s">
        <v>688</v>
      </c>
      <c r="D1456" s="1" t="s">
        <v>688</v>
      </c>
      <c r="E1456" s="1" t="s">
        <v>688</v>
      </c>
      <c r="F1456" t="s">
        <v>810</v>
      </c>
      <c r="G1456" t="s">
        <v>9</v>
      </c>
      <c r="H1456" t="s">
        <v>10</v>
      </c>
      <c r="I1456" t="s">
        <v>224</v>
      </c>
      <c r="J1456">
        <v>6</v>
      </c>
      <c r="K1456" t="e">
        <f>IF(COUNTIF(#REF!,Tabela2[[#This Row],[IdxWspolny]])&gt;0,"ELEM_lub_PRD","TECHN")</f>
        <v>#REF!</v>
      </c>
      <c r="L1456" t="e">
        <f>IF(COUNTIF(#REF!,Tabela2[[#This Row],[KOD_PRODUKTU]])&gt;0,"ELEMENT","PRODUKT")</f>
        <v>#REF!</v>
      </c>
      <c r="M1456" t="e">
        <f>COUNTIF(#REF!,Tabela2[[#This Row],[KOD_PRODUKTU]])</f>
        <v>#REF!</v>
      </c>
    </row>
    <row r="1457" spans="1:13" x14ac:dyDescent="0.25">
      <c r="A1457" s="1" t="s">
        <v>2421</v>
      </c>
      <c r="B1457" t="s">
        <v>2422</v>
      </c>
      <c r="C1457" s="1" t="s">
        <v>7</v>
      </c>
      <c r="D1457" s="1" t="s">
        <v>7</v>
      </c>
      <c r="E1457" s="1" t="s">
        <v>7</v>
      </c>
      <c r="F1457" t="s">
        <v>8</v>
      </c>
      <c r="G1457" t="s">
        <v>9</v>
      </c>
      <c r="H1457" t="s">
        <v>10</v>
      </c>
      <c r="I1457" t="s">
        <v>2438</v>
      </c>
      <c r="J1457">
        <v>42.16</v>
      </c>
      <c r="K1457" t="e">
        <f>IF(COUNTIF(#REF!,Tabela2[[#This Row],[IdxWspolny]])&gt;0,"ELEM_lub_PRD","TECHN")</f>
        <v>#REF!</v>
      </c>
      <c r="L1457" t="e">
        <f>IF(COUNTIF(#REF!,Tabela2[[#This Row],[KOD_PRODUKTU]])&gt;0,"ELEMENT","PRODUKT")</f>
        <v>#REF!</v>
      </c>
      <c r="M1457" t="e">
        <f>COUNTIF(#REF!,Tabela2[[#This Row],[KOD_PRODUKTU]])</f>
        <v>#REF!</v>
      </c>
    </row>
    <row r="1458" spans="1:13" x14ac:dyDescent="0.25">
      <c r="A1458" s="1" t="s">
        <v>2439</v>
      </c>
      <c r="B1458" t="s">
        <v>2440</v>
      </c>
      <c r="C1458" s="1" t="s">
        <v>1447</v>
      </c>
      <c r="D1458" s="1" t="s">
        <v>1447</v>
      </c>
      <c r="E1458" s="1" t="s">
        <v>1447</v>
      </c>
      <c r="F1458" t="s">
        <v>1448</v>
      </c>
      <c r="G1458" t="s">
        <v>31</v>
      </c>
      <c r="H1458" t="s">
        <v>5</v>
      </c>
      <c r="I1458" t="s">
        <v>2441</v>
      </c>
      <c r="J1458">
        <v>59.7</v>
      </c>
      <c r="K1458" t="e">
        <f>IF(COUNTIF(#REF!,Tabela2[[#This Row],[IdxWspolny]])&gt;0,"ELEM_lub_PRD","TECHN")</f>
        <v>#REF!</v>
      </c>
      <c r="L1458" t="e">
        <f>IF(COUNTIF(#REF!,Tabela2[[#This Row],[KOD_PRODUKTU]])&gt;0,"ELEMENT","PRODUKT")</f>
        <v>#REF!</v>
      </c>
      <c r="M1458" t="e">
        <f>COUNTIF(#REF!,Tabela2[[#This Row],[KOD_PRODUKTU]])</f>
        <v>#REF!</v>
      </c>
    </row>
    <row r="1459" spans="1:13" x14ac:dyDescent="0.25">
      <c r="A1459" s="1" t="s">
        <v>2439</v>
      </c>
      <c r="B1459" t="s">
        <v>2440</v>
      </c>
      <c r="C1459" s="1" t="s">
        <v>541</v>
      </c>
      <c r="D1459" s="1" t="s">
        <v>541</v>
      </c>
      <c r="E1459" s="1" t="s">
        <v>541</v>
      </c>
      <c r="F1459" t="s">
        <v>542</v>
      </c>
      <c r="G1459" t="s">
        <v>9</v>
      </c>
      <c r="H1459" t="s">
        <v>10</v>
      </c>
      <c r="I1459" t="s">
        <v>1130</v>
      </c>
      <c r="J1459">
        <v>34.5</v>
      </c>
      <c r="K1459" t="e">
        <f>IF(COUNTIF(#REF!,Tabela2[[#This Row],[IdxWspolny]])&gt;0,"ELEM_lub_PRD","TECHN")</f>
        <v>#REF!</v>
      </c>
      <c r="L1459" t="e">
        <f>IF(COUNTIF(#REF!,Tabela2[[#This Row],[KOD_PRODUKTU]])&gt;0,"ELEMENT","PRODUKT")</f>
        <v>#REF!</v>
      </c>
      <c r="M1459" t="e">
        <f>COUNTIF(#REF!,Tabela2[[#This Row],[KOD_PRODUKTU]])</f>
        <v>#REF!</v>
      </c>
    </row>
    <row r="1460" spans="1:13" x14ac:dyDescent="0.25">
      <c r="A1460" s="1" t="s">
        <v>2442</v>
      </c>
      <c r="B1460" t="s">
        <v>2443</v>
      </c>
      <c r="C1460" s="1" t="s">
        <v>1447</v>
      </c>
      <c r="D1460" s="1" t="s">
        <v>1447</v>
      </c>
      <c r="E1460" s="1" t="s">
        <v>1447</v>
      </c>
      <c r="F1460" t="s">
        <v>1448</v>
      </c>
      <c r="G1460" t="s">
        <v>31</v>
      </c>
      <c r="H1460" t="s">
        <v>5</v>
      </c>
      <c r="I1460" t="s">
        <v>2444</v>
      </c>
      <c r="J1460">
        <v>53.9</v>
      </c>
      <c r="K1460" t="e">
        <f>IF(COUNTIF(#REF!,Tabela2[[#This Row],[IdxWspolny]])&gt;0,"ELEM_lub_PRD","TECHN")</f>
        <v>#REF!</v>
      </c>
      <c r="L1460" t="e">
        <f>IF(COUNTIF(#REF!,Tabela2[[#This Row],[KOD_PRODUKTU]])&gt;0,"ELEMENT","PRODUKT")</f>
        <v>#REF!</v>
      </c>
      <c r="M1460" t="e">
        <f>COUNTIF(#REF!,Tabela2[[#This Row],[KOD_PRODUKTU]])</f>
        <v>#REF!</v>
      </c>
    </row>
    <row r="1461" spans="1:13" x14ac:dyDescent="0.25">
      <c r="A1461" s="1" t="s">
        <v>2442</v>
      </c>
      <c r="B1461" t="s">
        <v>2443</v>
      </c>
      <c r="C1461" s="1" t="s">
        <v>541</v>
      </c>
      <c r="D1461" s="1" t="s">
        <v>541</v>
      </c>
      <c r="E1461" s="1" t="s">
        <v>541</v>
      </c>
      <c r="F1461" t="s">
        <v>542</v>
      </c>
      <c r="G1461" t="s">
        <v>9</v>
      </c>
      <c r="H1461" t="s">
        <v>10</v>
      </c>
      <c r="I1461" t="s">
        <v>1254</v>
      </c>
      <c r="J1461">
        <v>16.100000000000001</v>
      </c>
      <c r="K1461" t="e">
        <f>IF(COUNTIF(#REF!,Tabela2[[#This Row],[IdxWspolny]])&gt;0,"ELEM_lub_PRD","TECHN")</f>
        <v>#REF!</v>
      </c>
      <c r="L1461" t="e">
        <f>IF(COUNTIF(#REF!,Tabela2[[#This Row],[KOD_PRODUKTU]])&gt;0,"ELEMENT","PRODUKT")</f>
        <v>#REF!</v>
      </c>
      <c r="M1461" t="e">
        <f>COUNTIF(#REF!,Tabela2[[#This Row],[KOD_PRODUKTU]])</f>
        <v>#REF!</v>
      </c>
    </row>
    <row r="1462" spans="1:13" x14ac:dyDescent="0.25">
      <c r="A1462" s="1" t="s">
        <v>2445</v>
      </c>
      <c r="B1462" t="s">
        <v>2446</v>
      </c>
      <c r="C1462" s="1" t="s">
        <v>29</v>
      </c>
      <c r="D1462" s="1" t="s">
        <v>29</v>
      </c>
      <c r="E1462" s="1" t="s">
        <v>29</v>
      </c>
      <c r="F1462" t="s">
        <v>30</v>
      </c>
      <c r="G1462" t="s">
        <v>31</v>
      </c>
      <c r="H1462" t="s">
        <v>5</v>
      </c>
      <c r="I1462" t="s">
        <v>2447</v>
      </c>
      <c r="J1462">
        <v>6.55</v>
      </c>
      <c r="K1462" t="e">
        <f>IF(COUNTIF(#REF!,Tabela2[[#This Row],[IdxWspolny]])&gt;0,"ELEM_lub_PRD","TECHN")</f>
        <v>#REF!</v>
      </c>
      <c r="L1462" t="e">
        <f>IF(COUNTIF(#REF!,Tabela2[[#This Row],[KOD_PRODUKTU]])&gt;0,"ELEMENT","PRODUKT")</f>
        <v>#REF!</v>
      </c>
      <c r="M1462" t="e">
        <f>COUNTIF(#REF!,Tabela2[[#This Row],[KOD_PRODUKTU]])</f>
        <v>#REF!</v>
      </c>
    </row>
    <row r="1463" spans="1:13" x14ac:dyDescent="0.25">
      <c r="A1463" s="1" t="s">
        <v>2445</v>
      </c>
      <c r="B1463" t="s">
        <v>2446</v>
      </c>
      <c r="C1463" s="1" t="s">
        <v>541</v>
      </c>
      <c r="D1463" s="1" t="s">
        <v>541</v>
      </c>
      <c r="E1463" s="1" t="s">
        <v>541</v>
      </c>
      <c r="F1463" t="s">
        <v>542</v>
      </c>
      <c r="G1463" t="s">
        <v>9</v>
      </c>
      <c r="H1463" t="s">
        <v>10</v>
      </c>
      <c r="I1463" t="s">
        <v>1254</v>
      </c>
      <c r="J1463">
        <v>16.100000000000001</v>
      </c>
      <c r="K1463" t="e">
        <f>IF(COUNTIF(#REF!,Tabela2[[#This Row],[IdxWspolny]])&gt;0,"ELEM_lub_PRD","TECHN")</f>
        <v>#REF!</v>
      </c>
      <c r="L1463" t="e">
        <f>IF(COUNTIF(#REF!,Tabela2[[#This Row],[KOD_PRODUKTU]])&gt;0,"ELEMENT","PRODUKT")</f>
        <v>#REF!</v>
      </c>
      <c r="M1463" t="e">
        <f>COUNTIF(#REF!,Tabela2[[#This Row],[KOD_PRODUKTU]])</f>
        <v>#REF!</v>
      </c>
    </row>
    <row r="1464" spans="1:13" x14ac:dyDescent="0.25">
      <c r="A1464" s="1" t="s">
        <v>2448</v>
      </c>
      <c r="B1464" t="s">
        <v>2449</v>
      </c>
      <c r="C1464" s="1" t="s">
        <v>2450</v>
      </c>
      <c r="D1464" s="1" t="s">
        <v>2450</v>
      </c>
      <c r="E1464" s="1" t="s">
        <v>2450</v>
      </c>
      <c r="F1464" t="s">
        <v>2451</v>
      </c>
      <c r="G1464" t="s">
        <v>31</v>
      </c>
      <c r="H1464" t="s">
        <v>5</v>
      </c>
      <c r="I1464" t="s">
        <v>2452</v>
      </c>
      <c r="J1464">
        <v>11.55</v>
      </c>
      <c r="K1464" t="e">
        <f>IF(COUNTIF(#REF!,Tabela2[[#This Row],[IdxWspolny]])&gt;0,"ELEM_lub_PRD","TECHN")</f>
        <v>#REF!</v>
      </c>
      <c r="L1464" t="e">
        <f>IF(COUNTIF(#REF!,Tabela2[[#This Row],[KOD_PRODUKTU]])&gt;0,"ELEMENT","PRODUKT")</f>
        <v>#REF!</v>
      </c>
      <c r="M1464" t="e">
        <f>COUNTIF(#REF!,Tabela2[[#This Row],[KOD_PRODUKTU]])</f>
        <v>#REF!</v>
      </c>
    </row>
    <row r="1465" spans="1:13" x14ac:dyDescent="0.25">
      <c r="A1465" s="1" t="s">
        <v>2448</v>
      </c>
      <c r="B1465" t="s">
        <v>2449</v>
      </c>
      <c r="C1465" s="1" t="s">
        <v>541</v>
      </c>
      <c r="D1465" s="1" t="s">
        <v>541</v>
      </c>
      <c r="E1465" s="1" t="s">
        <v>541</v>
      </c>
      <c r="F1465" t="s">
        <v>542</v>
      </c>
      <c r="G1465" t="s">
        <v>9</v>
      </c>
      <c r="H1465" t="s">
        <v>10</v>
      </c>
      <c r="I1465" t="s">
        <v>1254</v>
      </c>
      <c r="J1465">
        <v>16.100000000000001</v>
      </c>
      <c r="K1465" t="e">
        <f>IF(COUNTIF(#REF!,Tabela2[[#This Row],[IdxWspolny]])&gt;0,"ELEM_lub_PRD","TECHN")</f>
        <v>#REF!</v>
      </c>
      <c r="L1465" t="e">
        <f>IF(COUNTIF(#REF!,Tabela2[[#This Row],[KOD_PRODUKTU]])&gt;0,"ELEMENT","PRODUKT")</f>
        <v>#REF!</v>
      </c>
      <c r="M1465" t="e">
        <f>COUNTIF(#REF!,Tabela2[[#This Row],[KOD_PRODUKTU]])</f>
        <v>#REF!</v>
      </c>
    </row>
    <row r="1466" spans="1:13" x14ac:dyDescent="0.25">
      <c r="A1466" s="1" t="s">
        <v>2453</v>
      </c>
      <c r="B1466" t="s">
        <v>2454</v>
      </c>
      <c r="C1466" s="1" t="s">
        <v>29</v>
      </c>
      <c r="D1466" s="1" t="s">
        <v>29</v>
      </c>
      <c r="E1466" s="1" t="s">
        <v>29</v>
      </c>
      <c r="F1466" t="s">
        <v>30</v>
      </c>
      <c r="G1466" t="s">
        <v>31</v>
      </c>
      <c r="H1466" t="s">
        <v>5</v>
      </c>
      <c r="I1466" t="s">
        <v>2455</v>
      </c>
      <c r="J1466">
        <v>5.85</v>
      </c>
      <c r="K1466" t="e">
        <f>IF(COUNTIF(#REF!,Tabela2[[#This Row],[IdxWspolny]])&gt;0,"ELEM_lub_PRD","TECHN")</f>
        <v>#REF!</v>
      </c>
      <c r="L1466" t="e">
        <f>IF(COUNTIF(#REF!,Tabela2[[#This Row],[KOD_PRODUKTU]])&gt;0,"ELEMENT","PRODUKT")</f>
        <v>#REF!</v>
      </c>
      <c r="M1466" t="e">
        <f>COUNTIF(#REF!,Tabela2[[#This Row],[KOD_PRODUKTU]])</f>
        <v>#REF!</v>
      </c>
    </row>
    <row r="1467" spans="1:13" x14ac:dyDescent="0.25">
      <c r="A1467" s="1" t="s">
        <v>2453</v>
      </c>
      <c r="B1467" t="s">
        <v>2454</v>
      </c>
      <c r="C1467" s="1" t="s">
        <v>7</v>
      </c>
      <c r="D1467" s="1" t="s">
        <v>7</v>
      </c>
      <c r="E1467" s="1" t="s">
        <v>7</v>
      </c>
      <c r="F1467" t="s">
        <v>8</v>
      </c>
      <c r="G1467" t="s">
        <v>9</v>
      </c>
      <c r="H1467" t="s">
        <v>10</v>
      </c>
      <c r="I1467" t="s">
        <v>1254</v>
      </c>
      <c r="J1467">
        <v>16.100000000000001</v>
      </c>
      <c r="K1467" t="e">
        <f>IF(COUNTIF(#REF!,Tabela2[[#This Row],[IdxWspolny]])&gt;0,"ELEM_lub_PRD","TECHN")</f>
        <v>#REF!</v>
      </c>
      <c r="L1467" t="e">
        <f>IF(COUNTIF(#REF!,Tabela2[[#This Row],[KOD_PRODUKTU]])&gt;0,"ELEMENT","PRODUKT")</f>
        <v>#REF!</v>
      </c>
      <c r="M1467" t="e">
        <f>COUNTIF(#REF!,Tabela2[[#This Row],[KOD_PRODUKTU]])</f>
        <v>#REF!</v>
      </c>
    </row>
    <row r="1468" spans="1:13" x14ac:dyDescent="0.25">
      <c r="A1468" s="1" t="s">
        <v>2456</v>
      </c>
      <c r="B1468" t="s">
        <v>2457</v>
      </c>
      <c r="C1468" s="1" t="s">
        <v>2458</v>
      </c>
      <c r="D1468" s="1" t="s">
        <v>2458</v>
      </c>
      <c r="E1468" s="1" t="s">
        <v>2458</v>
      </c>
      <c r="F1468" t="s">
        <v>2459</v>
      </c>
      <c r="G1468" t="s">
        <v>384</v>
      </c>
      <c r="H1468" t="s">
        <v>5</v>
      </c>
      <c r="I1468" t="s">
        <v>2460</v>
      </c>
      <c r="J1468">
        <v>2.4</v>
      </c>
      <c r="K1468" t="e">
        <f>IF(COUNTIF(#REF!,Tabela2[[#This Row],[IdxWspolny]])&gt;0,"ELEM_lub_PRD","TECHN")</f>
        <v>#REF!</v>
      </c>
      <c r="L1468" t="e">
        <f>IF(COUNTIF(#REF!,Tabela2[[#This Row],[KOD_PRODUKTU]])&gt;0,"ELEMENT","PRODUKT")</f>
        <v>#REF!</v>
      </c>
      <c r="M1468" t="e">
        <f>COUNTIF(#REF!,Tabela2[[#This Row],[KOD_PRODUKTU]])</f>
        <v>#REF!</v>
      </c>
    </row>
    <row r="1469" spans="1:13" x14ac:dyDescent="0.25">
      <c r="A1469" s="1" t="s">
        <v>2456</v>
      </c>
      <c r="B1469" t="s">
        <v>2457</v>
      </c>
      <c r="C1469" s="1" t="s">
        <v>7</v>
      </c>
      <c r="D1469" s="1" t="s">
        <v>7</v>
      </c>
      <c r="E1469" s="1" t="s">
        <v>7</v>
      </c>
      <c r="F1469" t="s">
        <v>8</v>
      </c>
      <c r="G1469" t="s">
        <v>9</v>
      </c>
      <c r="H1469" t="s">
        <v>10</v>
      </c>
      <c r="I1469" t="s">
        <v>19</v>
      </c>
      <c r="J1469">
        <v>4.5999999999999996</v>
      </c>
      <c r="K1469" t="e">
        <f>IF(COUNTIF(#REF!,Tabela2[[#This Row],[IdxWspolny]])&gt;0,"ELEM_lub_PRD","TECHN")</f>
        <v>#REF!</v>
      </c>
      <c r="L1469" t="e">
        <f>IF(COUNTIF(#REF!,Tabela2[[#This Row],[KOD_PRODUKTU]])&gt;0,"ELEMENT","PRODUKT")</f>
        <v>#REF!</v>
      </c>
      <c r="M1469" t="e">
        <f>COUNTIF(#REF!,Tabela2[[#This Row],[KOD_PRODUKTU]])</f>
        <v>#REF!</v>
      </c>
    </row>
    <row r="1470" spans="1:13" x14ac:dyDescent="0.25">
      <c r="A1470" s="1" t="s">
        <v>2461</v>
      </c>
      <c r="B1470" t="s">
        <v>2462</v>
      </c>
      <c r="C1470" s="1" t="s">
        <v>2463</v>
      </c>
      <c r="D1470" s="1" t="s">
        <v>2463</v>
      </c>
      <c r="E1470" s="1" t="s">
        <v>2463</v>
      </c>
      <c r="F1470" t="s">
        <v>2464</v>
      </c>
      <c r="G1470" t="s">
        <v>216</v>
      </c>
      <c r="H1470" t="s">
        <v>5</v>
      </c>
      <c r="I1470" t="s">
        <v>1199</v>
      </c>
      <c r="J1470">
        <v>5</v>
      </c>
      <c r="K1470" t="e">
        <f>IF(COUNTIF(#REF!,Tabela2[[#This Row],[IdxWspolny]])&gt;0,"ELEM_lub_PRD","TECHN")</f>
        <v>#REF!</v>
      </c>
      <c r="L1470" t="e">
        <f>IF(COUNTIF(#REF!,Tabela2[[#This Row],[KOD_PRODUKTU]])&gt;0,"ELEMENT","PRODUKT")</f>
        <v>#REF!</v>
      </c>
      <c r="M1470" t="e">
        <f>COUNTIF(#REF!,Tabela2[[#This Row],[KOD_PRODUKTU]])</f>
        <v>#REF!</v>
      </c>
    </row>
    <row r="1471" spans="1:13" x14ac:dyDescent="0.25">
      <c r="A1471" s="1" t="s">
        <v>2461</v>
      </c>
      <c r="B1471" t="s">
        <v>2462</v>
      </c>
      <c r="C1471" s="1" t="s">
        <v>432</v>
      </c>
      <c r="D1471" s="1" t="s">
        <v>432</v>
      </c>
      <c r="E1471" s="1" t="s">
        <v>432</v>
      </c>
      <c r="F1471" t="s">
        <v>433</v>
      </c>
      <c r="G1471" t="s">
        <v>434</v>
      </c>
      <c r="H1471" t="s">
        <v>435</v>
      </c>
      <c r="I1471" t="s">
        <v>50</v>
      </c>
      <c r="J1471">
        <v>1.1000000000000001</v>
      </c>
      <c r="K1471" t="e">
        <f>IF(COUNTIF(#REF!,Tabela2[[#This Row],[IdxWspolny]])&gt;0,"ELEM_lub_PRD","TECHN")</f>
        <v>#REF!</v>
      </c>
      <c r="L1471" t="e">
        <f>IF(COUNTIF(#REF!,Tabela2[[#This Row],[KOD_PRODUKTU]])&gt;0,"ELEMENT","PRODUKT")</f>
        <v>#REF!</v>
      </c>
      <c r="M1471" t="e">
        <f>COUNTIF(#REF!,Tabela2[[#This Row],[KOD_PRODUKTU]])</f>
        <v>#REF!</v>
      </c>
    </row>
    <row r="1472" spans="1:13" x14ac:dyDescent="0.25">
      <c r="A1472" s="1" t="s">
        <v>2461</v>
      </c>
      <c r="B1472" t="s">
        <v>2462</v>
      </c>
      <c r="C1472" s="1" t="s">
        <v>541</v>
      </c>
      <c r="D1472" s="1" t="s">
        <v>541</v>
      </c>
      <c r="E1472" s="1" t="s">
        <v>541</v>
      </c>
      <c r="F1472" t="s">
        <v>542</v>
      </c>
      <c r="G1472" t="s">
        <v>9</v>
      </c>
      <c r="H1472" t="s">
        <v>10</v>
      </c>
      <c r="I1472" t="s">
        <v>33</v>
      </c>
      <c r="J1472">
        <v>9.1999999999999993</v>
      </c>
      <c r="K1472" t="e">
        <f>IF(COUNTIF(#REF!,Tabela2[[#This Row],[IdxWspolny]])&gt;0,"ELEM_lub_PRD","TECHN")</f>
        <v>#REF!</v>
      </c>
      <c r="L1472" t="e">
        <f>IF(COUNTIF(#REF!,Tabela2[[#This Row],[KOD_PRODUKTU]])&gt;0,"ELEMENT","PRODUKT")</f>
        <v>#REF!</v>
      </c>
      <c r="M1472" t="e">
        <f>COUNTIF(#REF!,Tabela2[[#This Row],[KOD_PRODUKTU]])</f>
        <v>#REF!</v>
      </c>
    </row>
    <row r="1473" spans="1:13" x14ac:dyDescent="0.25">
      <c r="A1473" s="1" t="s">
        <v>2465</v>
      </c>
      <c r="B1473" t="s">
        <v>2466</v>
      </c>
      <c r="C1473" s="1" t="s">
        <v>2467</v>
      </c>
      <c r="D1473" s="1" t="s">
        <v>2467</v>
      </c>
      <c r="E1473" s="1" t="s">
        <v>2467</v>
      </c>
      <c r="F1473" t="s">
        <v>2468</v>
      </c>
      <c r="G1473" t="s">
        <v>2469</v>
      </c>
      <c r="H1473" t="s">
        <v>5</v>
      </c>
      <c r="I1473" t="s">
        <v>2470</v>
      </c>
      <c r="J1473">
        <v>8.3000000000000007</v>
      </c>
      <c r="K1473" t="e">
        <f>IF(COUNTIF(#REF!,Tabela2[[#This Row],[IdxWspolny]])&gt;0,"ELEM_lub_PRD","TECHN")</f>
        <v>#REF!</v>
      </c>
      <c r="L1473" t="e">
        <f>IF(COUNTIF(#REF!,Tabela2[[#This Row],[KOD_PRODUKTU]])&gt;0,"ELEMENT","PRODUKT")</f>
        <v>#REF!</v>
      </c>
      <c r="M1473" t="e">
        <f>COUNTIF(#REF!,Tabela2[[#This Row],[KOD_PRODUKTU]])</f>
        <v>#REF!</v>
      </c>
    </row>
    <row r="1474" spans="1:13" x14ac:dyDescent="0.25">
      <c r="A1474" s="1" t="s">
        <v>2465</v>
      </c>
      <c r="B1474" t="s">
        <v>2466</v>
      </c>
      <c r="C1474" s="1" t="s">
        <v>7</v>
      </c>
      <c r="D1474" s="1" t="s">
        <v>7</v>
      </c>
      <c r="E1474" s="1" t="s">
        <v>7</v>
      </c>
      <c r="F1474" t="s">
        <v>8</v>
      </c>
      <c r="G1474" t="s">
        <v>9</v>
      </c>
      <c r="H1474" t="s">
        <v>10</v>
      </c>
      <c r="I1474" t="s">
        <v>2471</v>
      </c>
      <c r="J1474">
        <v>12.1</v>
      </c>
      <c r="K1474" t="e">
        <f>IF(COUNTIF(#REF!,Tabela2[[#This Row],[IdxWspolny]])&gt;0,"ELEM_lub_PRD","TECHN")</f>
        <v>#REF!</v>
      </c>
      <c r="L1474" t="e">
        <f>IF(COUNTIF(#REF!,Tabela2[[#This Row],[KOD_PRODUKTU]])&gt;0,"ELEMENT","PRODUKT")</f>
        <v>#REF!</v>
      </c>
      <c r="M1474" t="e">
        <f>COUNTIF(#REF!,Tabela2[[#This Row],[KOD_PRODUKTU]])</f>
        <v>#REF!</v>
      </c>
    </row>
    <row r="1475" spans="1:13" x14ac:dyDescent="0.25">
      <c r="A1475" s="1" t="s">
        <v>2472</v>
      </c>
      <c r="B1475" t="s">
        <v>2473</v>
      </c>
      <c r="C1475" s="1" t="s">
        <v>2474</v>
      </c>
      <c r="D1475" s="1" t="s">
        <v>2474</v>
      </c>
      <c r="E1475" s="1" t="s">
        <v>2474</v>
      </c>
      <c r="F1475" t="s">
        <v>2475</v>
      </c>
      <c r="G1475" t="s">
        <v>2469</v>
      </c>
      <c r="H1475" t="s">
        <v>5</v>
      </c>
      <c r="I1475" t="s">
        <v>2476</v>
      </c>
      <c r="J1475">
        <v>1.7</v>
      </c>
      <c r="K1475" t="e">
        <f>IF(COUNTIF(#REF!,Tabela2[[#This Row],[IdxWspolny]])&gt;0,"ELEM_lub_PRD","TECHN")</f>
        <v>#REF!</v>
      </c>
      <c r="L1475" t="e">
        <f>IF(COUNTIF(#REF!,Tabela2[[#This Row],[KOD_PRODUKTU]])&gt;0,"ELEMENT","PRODUKT")</f>
        <v>#REF!</v>
      </c>
      <c r="M1475" t="e">
        <f>COUNTIF(#REF!,Tabela2[[#This Row],[KOD_PRODUKTU]])</f>
        <v>#REF!</v>
      </c>
    </row>
    <row r="1476" spans="1:13" x14ac:dyDescent="0.25">
      <c r="A1476" s="1" t="s">
        <v>2472</v>
      </c>
      <c r="B1476" t="s">
        <v>2473</v>
      </c>
      <c r="C1476" s="1" t="s">
        <v>432</v>
      </c>
      <c r="D1476" s="1" t="s">
        <v>432</v>
      </c>
      <c r="E1476" s="1" t="s">
        <v>432</v>
      </c>
      <c r="F1476" t="s">
        <v>433</v>
      </c>
      <c r="G1476" t="s">
        <v>434</v>
      </c>
      <c r="H1476" t="s">
        <v>435</v>
      </c>
      <c r="I1476" t="s">
        <v>50</v>
      </c>
      <c r="J1476">
        <v>1.1000000000000001</v>
      </c>
      <c r="K1476" t="e">
        <f>IF(COUNTIF(#REF!,Tabela2[[#This Row],[IdxWspolny]])&gt;0,"ELEM_lub_PRD","TECHN")</f>
        <v>#REF!</v>
      </c>
      <c r="L1476" t="e">
        <f>IF(COUNTIF(#REF!,Tabela2[[#This Row],[KOD_PRODUKTU]])&gt;0,"ELEMENT","PRODUKT")</f>
        <v>#REF!</v>
      </c>
      <c r="M1476" t="e">
        <f>COUNTIF(#REF!,Tabela2[[#This Row],[KOD_PRODUKTU]])</f>
        <v>#REF!</v>
      </c>
    </row>
    <row r="1477" spans="1:13" x14ac:dyDescent="0.25">
      <c r="A1477" s="1" t="s">
        <v>2472</v>
      </c>
      <c r="B1477" t="s">
        <v>2473</v>
      </c>
      <c r="C1477" s="1" t="s">
        <v>7</v>
      </c>
      <c r="D1477" s="1" t="s">
        <v>7</v>
      </c>
      <c r="E1477" s="1" t="s">
        <v>7</v>
      </c>
      <c r="F1477" t="s">
        <v>8</v>
      </c>
      <c r="G1477" t="s">
        <v>9</v>
      </c>
      <c r="H1477" t="s">
        <v>10</v>
      </c>
      <c r="I1477" t="s">
        <v>1211</v>
      </c>
      <c r="J1477">
        <v>8.15</v>
      </c>
      <c r="K1477" t="e">
        <f>IF(COUNTIF(#REF!,Tabela2[[#This Row],[IdxWspolny]])&gt;0,"ELEM_lub_PRD","TECHN")</f>
        <v>#REF!</v>
      </c>
      <c r="L1477" t="e">
        <f>IF(COUNTIF(#REF!,Tabela2[[#This Row],[KOD_PRODUKTU]])&gt;0,"ELEMENT","PRODUKT")</f>
        <v>#REF!</v>
      </c>
      <c r="M1477" t="e">
        <f>COUNTIF(#REF!,Tabela2[[#This Row],[KOD_PRODUKTU]])</f>
        <v>#REF!</v>
      </c>
    </row>
    <row r="1478" spans="1:13" x14ac:dyDescent="0.25">
      <c r="A1478" s="1" t="s">
        <v>2477</v>
      </c>
      <c r="B1478" t="s">
        <v>2478</v>
      </c>
      <c r="C1478" s="1" t="s">
        <v>2479</v>
      </c>
      <c r="D1478" s="1" t="s">
        <v>2479</v>
      </c>
      <c r="E1478" s="1" t="s">
        <v>2479</v>
      </c>
      <c r="F1478" t="s">
        <v>2480</v>
      </c>
      <c r="G1478" t="s">
        <v>2469</v>
      </c>
      <c r="H1478" t="s">
        <v>5</v>
      </c>
      <c r="I1478" t="s">
        <v>2481</v>
      </c>
      <c r="J1478">
        <v>1.1000000000000001</v>
      </c>
      <c r="K1478" t="e">
        <f>IF(COUNTIF(#REF!,Tabela2[[#This Row],[IdxWspolny]])&gt;0,"ELEM_lub_PRD","TECHN")</f>
        <v>#REF!</v>
      </c>
      <c r="L1478" t="e">
        <f>IF(COUNTIF(#REF!,Tabela2[[#This Row],[KOD_PRODUKTU]])&gt;0,"ELEMENT","PRODUKT")</f>
        <v>#REF!</v>
      </c>
      <c r="M1478" t="e">
        <f>COUNTIF(#REF!,Tabela2[[#This Row],[KOD_PRODUKTU]])</f>
        <v>#REF!</v>
      </c>
    </row>
    <row r="1479" spans="1:13" x14ac:dyDescent="0.25">
      <c r="A1479" s="1" t="s">
        <v>2477</v>
      </c>
      <c r="B1479" t="s">
        <v>2478</v>
      </c>
      <c r="C1479" s="1" t="s">
        <v>432</v>
      </c>
      <c r="D1479" s="1" t="s">
        <v>432</v>
      </c>
      <c r="E1479" s="1" t="s">
        <v>432</v>
      </c>
      <c r="F1479" t="s">
        <v>433</v>
      </c>
      <c r="G1479" t="s">
        <v>434</v>
      </c>
      <c r="H1479" t="s">
        <v>435</v>
      </c>
      <c r="I1479" t="s">
        <v>50</v>
      </c>
      <c r="J1479">
        <v>1.1000000000000001</v>
      </c>
      <c r="K1479" t="e">
        <f>IF(COUNTIF(#REF!,Tabela2[[#This Row],[IdxWspolny]])&gt;0,"ELEM_lub_PRD","TECHN")</f>
        <v>#REF!</v>
      </c>
      <c r="L1479" t="e">
        <f>IF(COUNTIF(#REF!,Tabela2[[#This Row],[KOD_PRODUKTU]])&gt;0,"ELEMENT","PRODUKT")</f>
        <v>#REF!</v>
      </c>
      <c r="M1479" t="e">
        <f>COUNTIF(#REF!,Tabela2[[#This Row],[KOD_PRODUKTU]])</f>
        <v>#REF!</v>
      </c>
    </row>
    <row r="1480" spans="1:13" x14ac:dyDescent="0.25">
      <c r="A1480" s="1" t="s">
        <v>2477</v>
      </c>
      <c r="B1480" t="s">
        <v>2478</v>
      </c>
      <c r="C1480" s="1" t="s">
        <v>7</v>
      </c>
      <c r="D1480" s="1" t="s">
        <v>7</v>
      </c>
      <c r="E1480" s="1" t="s">
        <v>7</v>
      </c>
      <c r="F1480" t="s">
        <v>8</v>
      </c>
      <c r="G1480" t="s">
        <v>9</v>
      </c>
      <c r="H1480" t="s">
        <v>10</v>
      </c>
      <c r="I1480" t="s">
        <v>2482</v>
      </c>
      <c r="J1480">
        <v>5.3</v>
      </c>
      <c r="K1480" t="e">
        <f>IF(COUNTIF(#REF!,Tabela2[[#This Row],[IdxWspolny]])&gt;0,"ELEM_lub_PRD","TECHN")</f>
        <v>#REF!</v>
      </c>
      <c r="L1480" t="e">
        <f>IF(COUNTIF(#REF!,Tabela2[[#This Row],[KOD_PRODUKTU]])&gt;0,"ELEMENT","PRODUKT")</f>
        <v>#REF!</v>
      </c>
      <c r="M1480" t="e">
        <f>COUNTIF(#REF!,Tabela2[[#This Row],[KOD_PRODUKTU]])</f>
        <v>#REF!</v>
      </c>
    </row>
    <row r="1481" spans="1:13" x14ac:dyDescent="0.25">
      <c r="A1481" s="1" t="s">
        <v>2483</v>
      </c>
      <c r="B1481" t="s">
        <v>2484</v>
      </c>
      <c r="C1481" s="1" t="s">
        <v>2467</v>
      </c>
      <c r="D1481" s="1" t="s">
        <v>2467</v>
      </c>
      <c r="E1481" s="1" t="s">
        <v>2467</v>
      </c>
      <c r="F1481" t="s">
        <v>2468</v>
      </c>
      <c r="G1481" t="s">
        <v>2469</v>
      </c>
      <c r="H1481" t="s">
        <v>5</v>
      </c>
      <c r="I1481" t="s">
        <v>2315</v>
      </c>
      <c r="J1481">
        <v>10.79</v>
      </c>
      <c r="K1481" t="e">
        <f>IF(COUNTIF(#REF!,Tabela2[[#This Row],[IdxWspolny]])&gt;0,"ELEM_lub_PRD","TECHN")</f>
        <v>#REF!</v>
      </c>
      <c r="L1481" t="e">
        <f>IF(COUNTIF(#REF!,Tabela2[[#This Row],[KOD_PRODUKTU]])&gt;0,"ELEMENT","PRODUKT")</f>
        <v>#REF!</v>
      </c>
      <c r="M1481" t="e">
        <f>COUNTIF(#REF!,Tabela2[[#This Row],[KOD_PRODUKTU]])</f>
        <v>#REF!</v>
      </c>
    </row>
    <row r="1482" spans="1:13" x14ac:dyDescent="0.25">
      <c r="A1482" s="1" t="s">
        <v>2483</v>
      </c>
      <c r="B1482" t="s">
        <v>2484</v>
      </c>
      <c r="C1482" s="1" t="s">
        <v>2485</v>
      </c>
      <c r="D1482" s="1" t="s">
        <v>2485</v>
      </c>
      <c r="E1482" s="1" t="s">
        <v>2485</v>
      </c>
      <c r="F1482" t="s">
        <v>2486</v>
      </c>
      <c r="G1482" t="s">
        <v>2487</v>
      </c>
      <c r="H1482" t="s">
        <v>121</v>
      </c>
      <c r="I1482" t="s">
        <v>50</v>
      </c>
      <c r="J1482">
        <v>23.45</v>
      </c>
      <c r="K1482" t="e">
        <f>IF(COUNTIF(#REF!,Tabela2[[#This Row],[IdxWspolny]])&gt;0,"ELEM_lub_PRD","TECHN")</f>
        <v>#REF!</v>
      </c>
      <c r="L1482" t="e">
        <f>IF(COUNTIF(#REF!,Tabela2[[#This Row],[KOD_PRODUKTU]])&gt;0,"ELEMENT","PRODUKT")</f>
        <v>#REF!</v>
      </c>
      <c r="M1482" t="e">
        <f>COUNTIF(#REF!,Tabela2[[#This Row],[KOD_PRODUKTU]])</f>
        <v>#REF!</v>
      </c>
    </row>
    <row r="1483" spans="1:13" x14ac:dyDescent="0.25">
      <c r="A1483" s="1" t="s">
        <v>2483</v>
      </c>
      <c r="B1483" t="s">
        <v>2484</v>
      </c>
      <c r="C1483" s="1" t="s">
        <v>432</v>
      </c>
      <c r="D1483" s="1" t="s">
        <v>432</v>
      </c>
      <c r="E1483" s="1" t="s">
        <v>432</v>
      </c>
      <c r="F1483" t="s">
        <v>433</v>
      </c>
      <c r="G1483" t="s">
        <v>434</v>
      </c>
      <c r="H1483" t="s">
        <v>435</v>
      </c>
      <c r="I1483" t="s">
        <v>2488</v>
      </c>
      <c r="J1483">
        <v>8.5500000000000007</v>
      </c>
      <c r="K1483" t="e">
        <f>IF(COUNTIF(#REF!,Tabela2[[#This Row],[IdxWspolny]])&gt;0,"ELEM_lub_PRD","TECHN")</f>
        <v>#REF!</v>
      </c>
      <c r="L1483" t="e">
        <f>IF(COUNTIF(#REF!,Tabela2[[#This Row],[KOD_PRODUKTU]])&gt;0,"ELEMENT","PRODUKT")</f>
        <v>#REF!</v>
      </c>
      <c r="M1483" t="e">
        <f>COUNTIF(#REF!,Tabela2[[#This Row],[KOD_PRODUKTU]])</f>
        <v>#REF!</v>
      </c>
    </row>
    <row r="1484" spans="1:13" x14ac:dyDescent="0.25">
      <c r="A1484" s="1" t="s">
        <v>2483</v>
      </c>
      <c r="B1484" t="s">
        <v>2484</v>
      </c>
      <c r="C1484" s="1" t="s">
        <v>7</v>
      </c>
      <c r="D1484" s="1" t="s">
        <v>7</v>
      </c>
      <c r="E1484" s="1" t="s">
        <v>7</v>
      </c>
      <c r="F1484" t="s">
        <v>8</v>
      </c>
      <c r="G1484" t="s">
        <v>9</v>
      </c>
      <c r="H1484" t="s">
        <v>10</v>
      </c>
      <c r="I1484" t="s">
        <v>2489</v>
      </c>
      <c r="J1484">
        <v>12.13</v>
      </c>
      <c r="K1484" t="e">
        <f>IF(COUNTIF(#REF!,Tabela2[[#This Row],[IdxWspolny]])&gt;0,"ELEM_lub_PRD","TECHN")</f>
        <v>#REF!</v>
      </c>
      <c r="L1484" t="e">
        <f>IF(COUNTIF(#REF!,Tabela2[[#This Row],[KOD_PRODUKTU]])&gt;0,"ELEMENT","PRODUKT")</f>
        <v>#REF!</v>
      </c>
      <c r="M1484" t="e">
        <f>COUNTIF(#REF!,Tabela2[[#This Row],[KOD_PRODUKTU]])</f>
        <v>#REF!</v>
      </c>
    </row>
    <row r="1485" spans="1:13" x14ac:dyDescent="0.25">
      <c r="A1485" s="1" t="s">
        <v>2490</v>
      </c>
      <c r="B1485" t="s">
        <v>2491</v>
      </c>
      <c r="C1485" s="1" t="s">
        <v>2467</v>
      </c>
      <c r="D1485" s="1" t="s">
        <v>2467</v>
      </c>
      <c r="E1485" s="1" t="s">
        <v>2467</v>
      </c>
      <c r="F1485" t="s">
        <v>2468</v>
      </c>
      <c r="G1485" t="s">
        <v>2469</v>
      </c>
      <c r="H1485" t="s">
        <v>5</v>
      </c>
      <c r="I1485" t="s">
        <v>2315</v>
      </c>
      <c r="J1485">
        <v>10.79</v>
      </c>
      <c r="K1485" t="e">
        <f>IF(COUNTIF(#REF!,Tabela2[[#This Row],[IdxWspolny]])&gt;0,"ELEM_lub_PRD","TECHN")</f>
        <v>#REF!</v>
      </c>
      <c r="L1485" t="e">
        <f>IF(COUNTIF(#REF!,Tabela2[[#This Row],[KOD_PRODUKTU]])&gt;0,"ELEMENT","PRODUKT")</f>
        <v>#REF!</v>
      </c>
      <c r="M1485" t="e">
        <f>COUNTIF(#REF!,Tabela2[[#This Row],[KOD_PRODUKTU]])</f>
        <v>#REF!</v>
      </c>
    </row>
    <row r="1486" spans="1:13" x14ac:dyDescent="0.25">
      <c r="A1486" s="1" t="s">
        <v>2490</v>
      </c>
      <c r="B1486" t="s">
        <v>2491</v>
      </c>
      <c r="C1486" s="1" t="s">
        <v>2492</v>
      </c>
      <c r="D1486" s="1" t="s">
        <v>2492</v>
      </c>
      <c r="E1486" s="1" t="s">
        <v>2492</v>
      </c>
      <c r="F1486" t="s">
        <v>2493</v>
      </c>
      <c r="G1486" t="s">
        <v>2494</v>
      </c>
      <c r="H1486" t="s">
        <v>121</v>
      </c>
      <c r="I1486" t="s">
        <v>50</v>
      </c>
      <c r="J1486">
        <v>23.4</v>
      </c>
      <c r="K1486" t="e">
        <f>IF(COUNTIF(#REF!,Tabela2[[#This Row],[IdxWspolny]])&gt;0,"ELEM_lub_PRD","TECHN")</f>
        <v>#REF!</v>
      </c>
      <c r="L1486" t="e">
        <f>IF(COUNTIF(#REF!,Tabela2[[#This Row],[KOD_PRODUKTU]])&gt;0,"ELEMENT","PRODUKT")</f>
        <v>#REF!</v>
      </c>
      <c r="M1486" t="e">
        <f>COUNTIF(#REF!,Tabela2[[#This Row],[KOD_PRODUKTU]])</f>
        <v>#REF!</v>
      </c>
    </row>
    <row r="1487" spans="1:13" x14ac:dyDescent="0.25">
      <c r="A1487" s="1" t="s">
        <v>2490</v>
      </c>
      <c r="B1487" t="s">
        <v>2491</v>
      </c>
      <c r="C1487" s="1" t="s">
        <v>432</v>
      </c>
      <c r="D1487" s="1" t="s">
        <v>432</v>
      </c>
      <c r="E1487" s="1" t="s">
        <v>432</v>
      </c>
      <c r="F1487" t="s">
        <v>433</v>
      </c>
      <c r="G1487" t="s">
        <v>434</v>
      </c>
      <c r="H1487" t="s">
        <v>435</v>
      </c>
      <c r="I1487" t="s">
        <v>2495</v>
      </c>
      <c r="J1487">
        <v>8.43</v>
      </c>
      <c r="K1487" t="e">
        <f>IF(COUNTIF(#REF!,Tabela2[[#This Row],[IdxWspolny]])&gt;0,"ELEM_lub_PRD","TECHN")</f>
        <v>#REF!</v>
      </c>
      <c r="L1487" t="e">
        <f>IF(COUNTIF(#REF!,Tabela2[[#This Row],[KOD_PRODUKTU]])&gt;0,"ELEMENT","PRODUKT")</f>
        <v>#REF!</v>
      </c>
      <c r="M1487" t="e">
        <f>COUNTIF(#REF!,Tabela2[[#This Row],[KOD_PRODUKTU]])</f>
        <v>#REF!</v>
      </c>
    </row>
    <row r="1488" spans="1:13" x14ac:dyDescent="0.25">
      <c r="A1488" s="1" t="s">
        <v>2490</v>
      </c>
      <c r="B1488" t="s">
        <v>2491</v>
      </c>
      <c r="C1488" s="1" t="s">
        <v>7</v>
      </c>
      <c r="D1488" s="1" t="s">
        <v>7</v>
      </c>
      <c r="E1488" s="1" t="s">
        <v>7</v>
      </c>
      <c r="F1488" t="s">
        <v>8</v>
      </c>
      <c r="G1488" t="s">
        <v>9</v>
      </c>
      <c r="H1488" t="s">
        <v>10</v>
      </c>
      <c r="I1488" t="s">
        <v>2496</v>
      </c>
      <c r="J1488">
        <v>14.95</v>
      </c>
      <c r="K1488" t="e">
        <f>IF(COUNTIF(#REF!,Tabela2[[#This Row],[IdxWspolny]])&gt;0,"ELEM_lub_PRD","TECHN")</f>
        <v>#REF!</v>
      </c>
      <c r="L1488" t="e">
        <f>IF(COUNTIF(#REF!,Tabela2[[#This Row],[KOD_PRODUKTU]])&gt;0,"ELEMENT","PRODUKT")</f>
        <v>#REF!</v>
      </c>
      <c r="M1488" t="e">
        <f>COUNTIF(#REF!,Tabela2[[#This Row],[KOD_PRODUKTU]])</f>
        <v>#REF!</v>
      </c>
    </row>
    <row r="1489" spans="1:13" hidden="1" x14ac:dyDescent="0.25">
      <c r="A1489" s="1" t="s">
        <v>2497</v>
      </c>
      <c r="B1489" t="s">
        <v>2498</v>
      </c>
      <c r="C1489" s="1" t="s">
        <v>2465</v>
      </c>
      <c r="D1489" s="1" t="s">
        <v>2465</v>
      </c>
      <c r="E1489" s="1" t="s">
        <v>2465</v>
      </c>
      <c r="F1489" t="s">
        <v>2466</v>
      </c>
      <c r="G1489" t="s">
        <v>2499</v>
      </c>
      <c r="H1489" t="s">
        <v>121</v>
      </c>
      <c r="I1489" t="s">
        <v>50</v>
      </c>
      <c r="J1489">
        <v>17.95</v>
      </c>
      <c r="K1489" t="e">
        <f>IF(COUNTIF(#REF!,Tabela2[[#This Row],[IdxWspolny]])&gt;0,"ELEM_lub_PRD","TECHN")</f>
        <v>#REF!</v>
      </c>
      <c r="L1489" t="e">
        <f>IF(COUNTIF(#REF!,Tabela2[[#This Row],[KOD_PRODUKTU]])&gt;0,"ELEMENT","PRODUKT")</f>
        <v>#REF!</v>
      </c>
      <c r="M1489" t="e">
        <f>COUNTIF(#REF!,Tabela2[[#This Row],[KOD_PRODUKTU]])</f>
        <v>#REF!</v>
      </c>
    </row>
    <row r="1490" spans="1:13" x14ac:dyDescent="0.25">
      <c r="A1490" s="1" t="s">
        <v>2497</v>
      </c>
      <c r="B1490" t="s">
        <v>2498</v>
      </c>
      <c r="C1490" s="1" t="s">
        <v>2492</v>
      </c>
      <c r="D1490" s="1" t="s">
        <v>2492</v>
      </c>
      <c r="E1490" s="1" t="s">
        <v>2492</v>
      </c>
      <c r="F1490" t="s">
        <v>2493</v>
      </c>
      <c r="G1490" t="s">
        <v>2494</v>
      </c>
      <c r="H1490" t="s">
        <v>121</v>
      </c>
      <c r="I1490" t="s">
        <v>50</v>
      </c>
      <c r="J1490">
        <v>23.4</v>
      </c>
      <c r="K1490" t="e">
        <f>IF(COUNTIF(#REF!,Tabela2[[#This Row],[IdxWspolny]])&gt;0,"ELEM_lub_PRD","TECHN")</f>
        <v>#REF!</v>
      </c>
      <c r="L1490" t="e">
        <f>IF(COUNTIF(#REF!,Tabela2[[#This Row],[KOD_PRODUKTU]])&gt;0,"ELEMENT","PRODUKT")</f>
        <v>#REF!</v>
      </c>
      <c r="M1490" t="e">
        <f>COUNTIF(#REF!,Tabela2[[#This Row],[KOD_PRODUKTU]])</f>
        <v>#REF!</v>
      </c>
    </row>
    <row r="1491" spans="1:13" x14ac:dyDescent="0.25">
      <c r="A1491" s="1" t="s">
        <v>2497</v>
      </c>
      <c r="B1491" t="s">
        <v>2498</v>
      </c>
      <c r="C1491" s="1" t="s">
        <v>857</v>
      </c>
      <c r="D1491" s="1" t="s">
        <v>857</v>
      </c>
      <c r="E1491" s="1" t="s">
        <v>857</v>
      </c>
      <c r="F1491" t="s">
        <v>858</v>
      </c>
      <c r="G1491" t="s">
        <v>686</v>
      </c>
      <c r="H1491" t="s">
        <v>49</v>
      </c>
      <c r="I1491" t="s">
        <v>2500</v>
      </c>
      <c r="J1491">
        <v>5</v>
      </c>
      <c r="K1491" t="e">
        <f>IF(COUNTIF(#REF!,Tabela2[[#This Row],[IdxWspolny]])&gt;0,"ELEM_lub_PRD","TECHN")</f>
        <v>#REF!</v>
      </c>
      <c r="L1491" t="e">
        <f>IF(COUNTIF(#REF!,Tabela2[[#This Row],[KOD_PRODUKTU]])&gt;0,"ELEMENT","PRODUKT")</f>
        <v>#REF!</v>
      </c>
      <c r="M1491" t="e">
        <f>COUNTIF(#REF!,Tabela2[[#This Row],[KOD_PRODUKTU]])</f>
        <v>#REF!</v>
      </c>
    </row>
    <row r="1492" spans="1:13" x14ac:dyDescent="0.25">
      <c r="A1492" s="1" t="s">
        <v>2497</v>
      </c>
      <c r="B1492" t="s">
        <v>2498</v>
      </c>
      <c r="C1492" s="1" t="s">
        <v>432</v>
      </c>
      <c r="D1492" s="1" t="s">
        <v>432</v>
      </c>
      <c r="E1492" s="1" t="s">
        <v>432</v>
      </c>
      <c r="F1492" t="s">
        <v>433</v>
      </c>
      <c r="G1492" t="s">
        <v>434</v>
      </c>
      <c r="H1492" t="s">
        <v>435</v>
      </c>
      <c r="I1492" t="s">
        <v>2501</v>
      </c>
      <c r="J1492">
        <v>7.25</v>
      </c>
      <c r="K1492" t="e">
        <f>IF(COUNTIF(#REF!,Tabela2[[#This Row],[IdxWspolny]])&gt;0,"ELEM_lub_PRD","TECHN")</f>
        <v>#REF!</v>
      </c>
      <c r="L1492" t="e">
        <f>IF(COUNTIF(#REF!,Tabela2[[#This Row],[KOD_PRODUKTU]])&gt;0,"ELEMENT","PRODUKT")</f>
        <v>#REF!</v>
      </c>
      <c r="M1492" t="e">
        <f>COUNTIF(#REF!,Tabela2[[#This Row],[KOD_PRODUKTU]])</f>
        <v>#REF!</v>
      </c>
    </row>
    <row r="1493" spans="1:13" x14ac:dyDescent="0.25">
      <c r="A1493" s="1" t="s">
        <v>2497</v>
      </c>
      <c r="B1493" t="s">
        <v>2498</v>
      </c>
      <c r="C1493" s="1" t="s">
        <v>688</v>
      </c>
      <c r="D1493" s="1" t="s">
        <v>688</v>
      </c>
      <c r="E1493" s="1" t="s">
        <v>688</v>
      </c>
      <c r="F1493" t="s">
        <v>810</v>
      </c>
      <c r="G1493" t="s">
        <v>811</v>
      </c>
      <c r="H1493" t="s">
        <v>10</v>
      </c>
      <c r="I1493" t="s">
        <v>2502</v>
      </c>
      <c r="J1493">
        <v>19.100000000000001</v>
      </c>
      <c r="K1493" t="e">
        <f>IF(COUNTIF(#REF!,Tabela2[[#This Row],[IdxWspolny]])&gt;0,"ELEM_lub_PRD","TECHN")</f>
        <v>#REF!</v>
      </c>
      <c r="L1493" t="e">
        <f>IF(COUNTIF(#REF!,Tabela2[[#This Row],[KOD_PRODUKTU]])&gt;0,"ELEMENT","PRODUKT")</f>
        <v>#REF!</v>
      </c>
      <c r="M1493" t="e">
        <f>COUNTIF(#REF!,Tabela2[[#This Row],[KOD_PRODUKTU]])</f>
        <v>#REF!</v>
      </c>
    </row>
    <row r="1494" spans="1:13" x14ac:dyDescent="0.25">
      <c r="A1494" s="1" t="s">
        <v>2497</v>
      </c>
      <c r="B1494" t="s">
        <v>2498</v>
      </c>
      <c r="C1494" s="1" t="s">
        <v>7</v>
      </c>
      <c r="D1494" s="1" t="s">
        <v>7</v>
      </c>
      <c r="E1494" s="1" t="s">
        <v>7</v>
      </c>
      <c r="F1494" t="s">
        <v>8</v>
      </c>
      <c r="G1494" t="s">
        <v>9</v>
      </c>
      <c r="H1494" t="s">
        <v>10</v>
      </c>
      <c r="I1494" t="s">
        <v>2471</v>
      </c>
      <c r="J1494">
        <v>12.1</v>
      </c>
      <c r="K1494" t="e">
        <f>IF(COUNTIF(#REF!,Tabela2[[#This Row],[IdxWspolny]])&gt;0,"ELEM_lub_PRD","TECHN")</f>
        <v>#REF!</v>
      </c>
      <c r="L1494" t="e">
        <f>IF(COUNTIF(#REF!,Tabela2[[#This Row],[KOD_PRODUKTU]])&gt;0,"ELEMENT","PRODUKT")</f>
        <v>#REF!</v>
      </c>
      <c r="M1494" t="e">
        <f>COUNTIF(#REF!,Tabela2[[#This Row],[KOD_PRODUKTU]])</f>
        <v>#REF!</v>
      </c>
    </row>
    <row r="1495" spans="1:13" x14ac:dyDescent="0.25">
      <c r="A1495" s="1" t="s">
        <v>2503</v>
      </c>
      <c r="B1495" t="s">
        <v>2504</v>
      </c>
      <c r="C1495" s="1" t="s">
        <v>2467</v>
      </c>
      <c r="D1495" s="1" t="s">
        <v>2467</v>
      </c>
      <c r="E1495" s="1" t="s">
        <v>2467</v>
      </c>
      <c r="F1495" t="s">
        <v>2468</v>
      </c>
      <c r="G1495" t="s">
        <v>2469</v>
      </c>
      <c r="H1495" t="s">
        <v>5</v>
      </c>
      <c r="I1495" t="s">
        <v>2505</v>
      </c>
      <c r="J1495">
        <v>11.35</v>
      </c>
      <c r="K1495" t="e">
        <f>IF(COUNTIF(#REF!,Tabela2[[#This Row],[IdxWspolny]])&gt;0,"ELEM_lub_PRD","TECHN")</f>
        <v>#REF!</v>
      </c>
      <c r="L1495" t="e">
        <f>IF(COUNTIF(#REF!,Tabela2[[#This Row],[KOD_PRODUKTU]])&gt;0,"ELEMENT","PRODUKT")</f>
        <v>#REF!</v>
      </c>
      <c r="M1495" t="e">
        <f>COUNTIF(#REF!,Tabela2[[#This Row],[KOD_PRODUKTU]])</f>
        <v>#REF!</v>
      </c>
    </row>
    <row r="1496" spans="1:13" x14ac:dyDescent="0.25">
      <c r="A1496" s="1" t="s">
        <v>2503</v>
      </c>
      <c r="B1496" t="s">
        <v>2504</v>
      </c>
      <c r="C1496" s="1" t="s">
        <v>7</v>
      </c>
      <c r="D1496" s="1" t="s">
        <v>7</v>
      </c>
      <c r="E1496" s="1" t="s">
        <v>7</v>
      </c>
      <c r="F1496" t="s">
        <v>8</v>
      </c>
      <c r="G1496" t="s">
        <v>9</v>
      </c>
      <c r="H1496" t="s">
        <v>10</v>
      </c>
      <c r="I1496" t="s">
        <v>2506</v>
      </c>
      <c r="J1496">
        <v>7.75</v>
      </c>
      <c r="K1496" t="e">
        <f>IF(COUNTIF(#REF!,Tabela2[[#This Row],[IdxWspolny]])&gt;0,"ELEM_lub_PRD","TECHN")</f>
        <v>#REF!</v>
      </c>
      <c r="L1496" t="e">
        <f>IF(COUNTIF(#REF!,Tabela2[[#This Row],[KOD_PRODUKTU]])&gt;0,"ELEMENT","PRODUKT")</f>
        <v>#REF!</v>
      </c>
      <c r="M1496" t="e">
        <f>COUNTIF(#REF!,Tabela2[[#This Row],[KOD_PRODUKTU]])</f>
        <v>#REF!</v>
      </c>
    </row>
    <row r="1497" spans="1:13" x14ac:dyDescent="0.25">
      <c r="A1497" s="1" t="s">
        <v>2507</v>
      </c>
      <c r="B1497" t="s">
        <v>2508</v>
      </c>
      <c r="C1497" s="1" t="s">
        <v>2509</v>
      </c>
      <c r="D1497" s="1" t="s">
        <v>2509</v>
      </c>
      <c r="E1497" s="1" t="s">
        <v>2509</v>
      </c>
      <c r="F1497" t="s">
        <v>2510</v>
      </c>
      <c r="G1497" t="s">
        <v>31</v>
      </c>
      <c r="H1497" t="s">
        <v>5</v>
      </c>
      <c r="I1497" t="s">
        <v>50</v>
      </c>
      <c r="J1497">
        <v>10.6</v>
      </c>
      <c r="K1497" t="e">
        <f>IF(COUNTIF(#REF!,Tabela2[[#This Row],[IdxWspolny]])&gt;0,"ELEM_lub_PRD","TECHN")</f>
        <v>#REF!</v>
      </c>
      <c r="L1497" t="e">
        <f>IF(COUNTIF(#REF!,Tabela2[[#This Row],[KOD_PRODUKTU]])&gt;0,"ELEMENT","PRODUKT")</f>
        <v>#REF!</v>
      </c>
      <c r="M1497" t="e">
        <f>COUNTIF(#REF!,Tabela2[[#This Row],[KOD_PRODUKTU]])</f>
        <v>#REF!</v>
      </c>
    </row>
    <row r="1498" spans="1:13" x14ac:dyDescent="0.25">
      <c r="A1498" s="1" t="s">
        <v>2507</v>
      </c>
      <c r="B1498" t="s">
        <v>2508</v>
      </c>
      <c r="C1498" s="1" t="s">
        <v>7</v>
      </c>
      <c r="D1498" s="1" t="s">
        <v>7</v>
      </c>
      <c r="E1498" s="1" t="s">
        <v>7</v>
      </c>
      <c r="F1498" t="s">
        <v>8</v>
      </c>
      <c r="G1498" t="s">
        <v>9</v>
      </c>
      <c r="H1498" t="s">
        <v>10</v>
      </c>
      <c r="I1498" t="s">
        <v>1505</v>
      </c>
      <c r="J1498">
        <v>11.95</v>
      </c>
      <c r="K1498" t="e">
        <f>IF(COUNTIF(#REF!,Tabela2[[#This Row],[IdxWspolny]])&gt;0,"ELEM_lub_PRD","TECHN")</f>
        <v>#REF!</v>
      </c>
      <c r="L1498" t="e">
        <f>IF(COUNTIF(#REF!,Tabela2[[#This Row],[KOD_PRODUKTU]])&gt;0,"ELEMENT","PRODUKT")</f>
        <v>#REF!</v>
      </c>
      <c r="M1498" t="e">
        <f>COUNTIF(#REF!,Tabela2[[#This Row],[KOD_PRODUKTU]])</f>
        <v>#REF!</v>
      </c>
    </row>
    <row r="1499" spans="1:13" x14ac:dyDescent="0.25">
      <c r="A1499" s="1" t="s">
        <v>2060</v>
      </c>
      <c r="B1499" t="s">
        <v>2061</v>
      </c>
      <c r="C1499" s="1" t="s">
        <v>2511</v>
      </c>
      <c r="D1499" s="1" t="s">
        <v>2511</v>
      </c>
      <c r="E1499" s="1" t="s">
        <v>2511</v>
      </c>
      <c r="F1499" t="s">
        <v>2512</v>
      </c>
      <c r="G1499" t="s">
        <v>2513</v>
      </c>
      <c r="H1499" t="s">
        <v>17</v>
      </c>
      <c r="I1499" t="s">
        <v>2514</v>
      </c>
      <c r="J1499">
        <v>1.05</v>
      </c>
      <c r="K1499" t="e">
        <f>IF(COUNTIF(#REF!,Tabela2[[#This Row],[IdxWspolny]])&gt;0,"ELEM_lub_PRD","TECHN")</f>
        <v>#REF!</v>
      </c>
      <c r="L1499" t="e">
        <f>IF(COUNTIF(#REF!,Tabela2[[#This Row],[KOD_PRODUKTU]])&gt;0,"ELEMENT","PRODUKT")</f>
        <v>#REF!</v>
      </c>
      <c r="M1499" t="e">
        <f>COUNTIF(#REF!,Tabela2[[#This Row],[KOD_PRODUKTU]])</f>
        <v>#REF!</v>
      </c>
    </row>
    <row r="1500" spans="1:13" x14ac:dyDescent="0.25">
      <c r="A1500" s="1" t="s">
        <v>2060</v>
      </c>
      <c r="B1500" t="s">
        <v>2061</v>
      </c>
      <c r="C1500" s="1" t="s">
        <v>7</v>
      </c>
      <c r="D1500" s="1" t="s">
        <v>7</v>
      </c>
      <c r="E1500" s="1" t="s">
        <v>7</v>
      </c>
      <c r="F1500" t="s">
        <v>8</v>
      </c>
      <c r="G1500" t="s">
        <v>9</v>
      </c>
      <c r="H1500" t="s">
        <v>10</v>
      </c>
      <c r="I1500" t="s">
        <v>1254</v>
      </c>
      <c r="J1500">
        <v>16.100000000000001</v>
      </c>
      <c r="K1500" t="e">
        <f>IF(COUNTIF(#REF!,Tabela2[[#This Row],[IdxWspolny]])&gt;0,"ELEM_lub_PRD","TECHN")</f>
        <v>#REF!</v>
      </c>
      <c r="L1500" t="e">
        <f>IF(COUNTIF(#REF!,Tabela2[[#This Row],[KOD_PRODUKTU]])&gt;0,"ELEMENT","PRODUKT")</f>
        <v>#REF!</v>
      </c>
      <c r="M1500" t="e">
        <f>COUNTIF(#REF!,Tabela2[[#This Row],[KOD_PRODUKTU]])</f>
        <v>#REF!</v>
      </c>
    </row>
    <row r="1501" spans="1:13" x14ac:dyDescent="0.25">
      <c r="A1501" s="1" t="s">
        <v>2064</v>
      </c>
      <c r="B1501" t="s">
        <v>2065</v>
      </c>
      <c r="C1501" s="1" t="s">
        <v>2511</v>
      </c>
      <c r="D1501" s="1" t="s">
        <v>2511</v>
      </c>
      <c r="E1501" s="1" t="s">
        <v>2511</v>
      </c>
      <c r="F1501" t="s">
        <v>2512</v>
      </c>
      <c r="G1501" t="s">
        <v>2513</v>
      </c>
      <c r="H1501" t="s">
        <v>17</v>
      </c>
      <c r="I1501" t="s">
        <v>2515</v>
      </c>
      <c r="J1501">
        <v>0.95</v>
      </c>
      <c r="K1501" t="e">
        <f>IF(COUNTIF(#REF!,Tabela2[[#This Row],[IdxWspolny]])&gt;0,"ELEM_lub_PRD","TECHN")</f>
        <v>#REF!</v>
      </c>
      <c r="L1501" t="e">
        <f>IF(COUNTIF(#REF!,Tabela2[[#This Row],[KOD_PRODUKTU]])&gt;0,"ELEMENT","PRODUKT")</f>
        <v>#REF!</v>
      </c>
      <c r="M1501" t="e">
        <f>COUNTIF(#REF!,Tabela2[[#This Row],[KOD_PRODUKTU]])</f>
        <v>#REF!</v>
      </c>
    </row>
    <row r="1502" spans="1:13" x14ac:dyDescent="0.25">
      <c r="A1502" s="1" t="s">
        <v>2064</v>
      </c>
      <c r="B1502" t="s">
        <v>2065</v>
      </c>
      <c r="C1502" s="1" t="s">
        <v>7</v>
      </c>
      <c r="D1502" s="1" t="s">
        <v>7</v>
      </c>
      <c r="E1502" s="1" t="s">
        <v>7</v>
      </c>
      <c r="F1502" t="s">
        <v>8</v>
      </c>
      <c r="G1502" t="s">
        <v>9</v>
      </c>
      <c r="H1502" t="s">
        <v>10</v>
      </c>
      <c r="I1502" t="s">
        <v>594</v>
      </c>
      <c r="J1502">
        <v>11.5</v>
      </c>
      <c r="K1502" t="e">
        <f>IF(COUNTIF(#REF!,Tabela2[[#This Row],[IdxWspolny]])&gt;0,"ELEM_lub_PRD","TECHN")</f>
        <v>#REF!</v>
      </c>
      <c r="L1502" t="e">
        <f>IF(COUNTIF(#REF!,Tabela2[[#This Row],[KOD_PRODUKTU]])&gt;0,"ELEMENT","PRODUKT")</f>
        <v>#REF!</v>
      </c>
      <c r="M1502" t="e">
        <f>COUNTIF(#REF!,Tabela2[[#This Row],[KOD_PRODUKTU]])</f>
        <v>#REF!</v>
      </c>
    </row>
    <row r="1503" spans="1:13" x14ac:dyDescent="0.25">
      <c r="A1503" s="1" t="s">
        <v>2052</v>
      </c>
      <c r="B1503" t="s">
        <v>2053</v>
      </c>
      <c r="C1503" s="1" t="s">
        <v>2516</v>
      </c>
      <c r="D1503" s="1" t="s">
        <v>2516</v>
      </c>
      <c r="E1503" s="1" t="s">
        <v>2516</v>
      </c>
      <c r="F1503" t="s">
        <v>2517</v>
      </c>
      <c r="G1503" t="s">
        <v>1110</v>
      </c>
      <c r="H1503" t="s">
        <v>17</v>
      </c>
      <c r="I1503" t="s">
        <v>1254</v>
      </c>
      <c r="J1503">
        <v>17.149999999999999</v>
      </c>
      <c r="K1503" t="e">
        <f>IF(COUNTIF(#REF!,Tabela2[[#This Row],[IdxWspolny]])&gt;0,"ELEM_lub_PRD","TECHN")</f>
        <v>#REF!</v>
      </c>
      <c r="L1503" t="e">
        <f>IF(COUNTIF(#REF!,Tabela2[[#This Row],[KOD_PRODUKTU]])&gt;0,"ELEMENT","PRODUKT")</f>
        <v>#REF!</v>
      </c>
      <c r="M1503" t="e">
        <f>COUNTIF(#REF!,Tabela2[[#This Row],[KOD_PRODUKTU]])</f>
        <v>#REF!</v>
      </c>
    </row>
    <row r="1504" spans="1:13" x14ac:dyDescent="0.25">
      <c r="A1504" s="1" t="s">
        <v>2052</v>
      </c>
      <c r="B1504" t="s">
        <v>2053</v>
      </c>
      <c r="C1504" s="1" t="s">
        <v>7</v>
      </c>
      <c r="D1504" s="1" t="s">
        <v>7</v>
      </c>
      <c r="E1504" s="1" t="s">
        <v>7</v>
      </c>
      <c r="F1504" t="s">
        <v>8</v>
      </c>
      <c r="G1504" t="s">
        <v>9</v>
      </c>
      <c r="H1504" t="s">
        <v>10</v>
      </c>
      <c r="I1504" t="s">
        <v>2518</v>
      </c>
      <c r="J1504">
        <v>2.4</v>
      </c>
      <c r="K1504" t="e">
        <f>IF(COUNTIF(#REF!,Tabela2[[#This Row],[IdxWspolny]])&gt;0,"ELEM_lub_PRD","TECHN")</f>
        <v>#REF!</v>
      </c>
      <c r="L1504" t="e">
        <f>IF(COUNTIF(#REF!,Tabela2[[#This Row],[KOD_PRODUKTU]])&gt;0,"ELEMENT","PRODUKT")</f>
        <v>#REF!</v>
      </c>
      <c r="M1504" t="e">
        <f>COUNTIF(#REF!,Tabela2[[#This Row],[KOD_PRODUKTU]])</f>
        <v>#REF!</v>
      </c>
    </row>
    <row r="1505" spans="1:13" x14ac:dyDescent="0.25">
      <c r="A1505" s="1" t="s">
        <v>2056</v>
      </c>
      <c r="B1505" t="s">
        <v>2057</v>
      </c>
      <c r="C1505" s="1" t="s">
        <v>2516</v>
      </c>
      <c r="D1505" s="1" t="s">
        <v>2516</v>
      </c>
      <c r="E1505" s="1" t="s">
        <v>2516</v>
      </c>
      <c r="F1505" t="s">
        <v>2517</v>
      </c>
      <c r="G1505" t="s">
        <v>1110</v>
      </c>
      <c r="H1505" t="s">
        <v>17</v>
      </c>
      <c r="I1505" t="s">
        <v>2519</v>
      </c>
      <c r="J1505">
        <v>1.95</v>
      </c>
      <c r="K1505" t="e">
        <f>IF(COUNTIF(#REF!,Tabela2[[#This Row],[IdxWspolny]])&gt;0,"ELEM_lub_PRD","TECHN")</f>
        <v>#REF!</v>
      </c>
      <c r="L1505" t="e">
        <f>IF(COUNTIF(#REF!,Tabela2[[#This Row],[KOD_PRODUKTU]])&gt;0,"ELEMENT","PRODUKT")</f>
        <v>#REF!</v>
      </c>
      <c r="M1505" t="e">
        <f>COUNTIF(#REF!,Tabela2[[#This Row],[KOD_PRODUKTU]])</f>
        <v>#REF!</v>
      </c>
    </row>
    <row r="1506" spans="1:13" x14ac:dyDescent="0.25">
      <c r="A1506" s="1" t="s">
        <v>2056</v>
      </c>
      <c r="B1506" t="s">
        <v>2057</v>
      </c>
      <c r="C1506" s="1" t="s">
        <v>7</v>
      </c>
      <c r="D1506" s="1" t="s">
        <v>7</v>
      </c>
      <c r="E1506" s="1" t="s">
        <v>7</v>
      </c>
      <c r="F1506" t="s">
        <v>8</v>
      </c>
      <c r="G1506" t="s">
        <v>9</v>
      </c>
      <c r="H1506" t="s">
        <v>10</v>
      </c>
      <c r="I1506" t="s">
        <v>2518</v>
      </c>
      <c r="J1506">
        <v>2.4</v>
      </c>
      <c r="K1506" t="e">
        <f>IF(COUNTIF(#REF!,Tabela2[[#This Row],[IdxWspolny]])&gt;0,"ELEM_lub_PRD","TECHN")</f>
        <v>#REF!</v>
      </c>
      <c r="L1506" t="e">
        <f>IF(COUNTIF(#REF!,Tabela2[[#This Row],[KOD_PRODUKTU]])&gt;0,"ELEMENT","PRODUKT")</f>
        <v>#REF!</v>
      </c>
      <c r="M1506" t="e">
        <f>COUNTIF(#REF!,Tabela2[[#This Row],[KOD_PRODUKTU]])</f>
        <v>#REF!</v>
      </c>
    </row>
    <row r="1507" spans="1:13" x14ac:dyDescent="0.25">
      <c r="A1507" s="1" t="s">
        <v>2520</v>
      </c>
      <c r="B1507" t="s">
        <v>2521</v>
      </c>
      <c r="C1507" s="1" t="s">
        <v>2522</v>
      </c>
      <c r="D1507" s="1" t="s">
        <v>2522</v>
      </c>
      <c r="E1507" s="1" t="s">
        <v>2522</v>
      </c>
      <c r="F1507" t="s">
        <v>2523</v>
      </c>
      <c r="G1507" t="s">
        <v>1354</v>
      </c>
      <c r="H1507" t="s">
        <v>5</v>
      </c>
      <c r="I1507" t="s">
        <v>40</v>
      </c>
      <c r="J1507">
        <v>0.71</v>
      </c>
      <c r="K1507" t="e">
        <f>IF(COUNTIF(#REF!,Tabela2[[#This Row],[IdxWspolny]])&gt;0,"ELEM_lub_PRD","TECHN")</f>
        <v>#REF!</v>
      </c>
      <c r="L1507" t="e">
        <f>IF(COUNTIF(#REF!,Tabela2[[#This Row],[KOD_PRODUKTU]])&gt;0,"ELEMENT","PRODUKT")</f>
        <v>#REF!</v>
      </c>
      <c r="M1507" t="e">
        <f>COUNTIF(#REF!,Tabela2[[#This Row],[KOD_PRODUKTU]])</f>
        <v>#REF!</v>
      </c>
    </row>
    <row r="1508" spans="1:13" x14ac:dyDescent="0.25">
      <c r="A1508" s="1" t="s">
        <v>2520</v>
      </c>
      <c r="B1508" t="s">
        <v>2521</v>
      </c>
      <c r="C1508" s="1" t="s">
        <v>7</v>
      </c>
      <c r="D1508" s="1" t="s">
        <v>7</v>
      </c>
      <c r="E1508" s="1" t="s">
        <v>7</v>
      </c>
      <c r="F1508" t="s">
        <v>8</v>
      </c>
      <c r="G1508" t="s">
        <v>9</v>
      </c>
      <c r="H1508" t="s">
        <v>10</v>
      </c>
      <c r="I1508" t="s">
        <v>1791</v>
      </c>
      <c r="J1508">
        <v>2.4500000000000002</v>
      </c>
      <c r="K1508" t="e">
        <f>IF(COUNTIF(#REF!,Tabela2[[#This Row],[IdxWspolny]])&gt;0,"ELEM_lub_PRD","TECHN")</f>
        <v>#REF!</v>
      </c>
      <c r="L1508" t="e">
        <f>IF(COUNTIF(#REF!,Tabela2[[#This Row],[KOD_PRODUKTU]])&gt;0,"ELEMENT","PRODUKT")</f>
        <v>#REF!</v>
      </c>
      <c r="M1508" t="e">
        <f>COUNTIF(#REF!,Tabela2[[#This Row],[KOD_PRODUKTU]])</f>
        <v>#REF!</v>
      </c>
    </row>
    <row r="1509" spans="1:13" x14ac:dyDescent="0.25">
      <c r="A1509" s="1" t="s">
        <v>2524</v>
      </c>
      <c r="B1509" t="s">
        <v>2525</v>
      </c>
      <c r="C1509" s="1" t="s">
        <v>2522</v>
      </c>
      <c r="D1509" s="1" t="s">
        <v>2522</v>
      </c>
      <c r="E1509" s="1" t="s">
        <v>2522</v>
      </c>
      <c r="F1509" t="s">
        <v>2523</v>
      </c>
      <c r="G1509" t="s">
        <v>1354</v>
      </c>
      <c r="H1509" t="s">
        <v>5</v>
      </c>
      <c r="I1509" t="s">
        <v>40</v>
      </c>
      <c r="J1509">
        <v>0.71</v>
      </c>
      <c r="K1509" t="e">
        <f>IF(COUNTIF(#REF!,Tabela2[[#This Row],[IdxWspolny]])&gt;0,"ELEM_lub_PRD","TECHN")</f>
        <v>#REF!</v>
      </c>
      <c r="L1509" t="e">
        <f>IF(COUNTIF(#REF!,Tabela2[[#This Row],[KOD_PRODUKTU]])&gt;0,"ELEMENT","PRODUKT")</f>
        <v>#REF!</v>
      </c>
      <c r="M1509" t="e">
        <f>COUNTIF(#REF!,Tabela2[[#This Row],[KOD_PRODUKTU]])</f>
        <v>#REF!</v>
      </c>
    </row>
    <row r="1510" spans="1:13" x14ac:dyDescent="0.25">
      <c r="A1510" s="1" t="s">
        <v>2524</v>
      </c>
      <c r="B1510" t="s">
        <v>2525</v>
      </c>
      <c r="C1510" s="1" t="s">
        <v>7</v>
      </c>
      <c r="D1510" s="1" t="s">
        <v>7</v>
      </c>
      <c r="E1510" s="1" t="s">
        <v>7</v>
      </c>
      <c r="F1510" t="s">
        <v>8</v>
      </c>
      <c r="G1510" t="s">
        <v>9</v>
      </c>
      <c r="H1510" t="s">
        <v>10</v>
      </c>
      <c r="I1510" t="s">
        <v>1791</v>
      </c>
      <c r="J1510">
        <v>2.4500000000000002</v>
      </c>
      <c r="K1510" t="e">
        <f>IF(COUNTIF(#REF!,Tabela2[[#This Row],[IdxWspolny]])&gt;0,"ELEM_lub_PRD","TECHN")</f>
        <v>#REF!</v>
      </c>
      <c r="L1510" t="e">
        <f>IF(COUNTIF(#REF!,Tabela2[[#This Row],[KOD_PRODUKTU]])&gt;0,"ELEMENT","PRODUKT")</f>
        <v>#REF!</v>
      </c>
      <c r="M1510" t="e">
        <f>COUNTIF(#REF!,Tabela2[[#This Row],[KOD_PRODUKTU]])</f>
        <v>#REF!</v>
      </c>
    </row>
    <row r="1511" spans="1:13" x14ac:dyDescent="0.25">
      <c r="A1511" s="1" t="s">
        <v>950</v>
      </c>
      <c r="B1511" t="s">
        <v>951</v>
      </c>
      <c r="C1511" s="1" t="s">
        <v>1785</v>
      </c>
      <c r="D1511" s="1" t="s">
        <v>1785</v>
      </c>
      <c r="E1511" s="1" t="s">
        <v>1785</v>
      </c>
      <c r="F1511" t="s">
        <v>1786</v>
      </c>
      <c r="G1511" t="s">
        <v>31</v>
      </c>
      <c r="H1511" t="s">
        <v>5</v>
      </c>
      <c r="I1511" t="s">
        <v>2526</v>
      </c>
      <c r="J1511">
        <v>1</v>
      </c>
      <c r="K1511" t="e">
        <f>IF(COUNTIF(#REF!,Tabela2[[#This Row],[IdxWspolny]])&gt;0,"ELEM_lub_PRD","TECHN")</f>
        <v>#REF!</v>
      </c>
      <c r="L1511" t="e">
        <f>IF(COUNTIF(#REF!,Tabela2[[#This Row],[KOD_PRODUKTU]])&gt;0,"ELEMENT","PRODUKT")</f>
        <v>#REF!</v>
      </c>
      <c r="M1511" t="e">
        <f>COUNTIF(#REF!,Tabela2[[#This Row],[KOD_PRODUKTU]])</f>
        <v>#REF!</v>
      </c>
    </row>
    <row r="1512" spans="1:13" x14ac:dyDescent="0.25">
      <c r="A1512" s="1" t="s">
        <v>950</v>
      </c>
      <c r="B1512" t="s">
        <v>951</v>
      </c>
      <c r="C1512" s="1" t="s">
        <v>432</v>
      </c>
      <c r="D1512" s="1" t="s">
        <v>432</v>
      </c>
      <c r="E1512" s="1" t="s">
        <v>432</v>
      </c>
      <c r="F1512" t="s">
        <v>433</v>
      </c>
      <c r="G1512" t="s">
        <v>434</v>
      </c>
      <c r="H1512" t="s">
        <v>435</v>
      </c>
      <c r="I1512" t="s">
        <v>50</v>
      </c>
      <c r="J1512">
        <v>1.1000000000000001</v>
      </c>
      <c r="K1512" t="e">
        <f>IF(COUNTIF(#REF!,Tabela2[[#This Row],[IdxWspolny]])&gt;0,"ELEM_lub_PRD","TECHN")</f>
        <v>#REF!</v>
      </c>
      <c r="L1512" t="e">
        <f>IF(COUNTIF(#REF!,Tabela2[[#This Row],[KOD_PRODUKTU]])&gt;0,"ELEMENT","PRODUKT")</f>
        <v>#REF!</v>
      </c>
      <c r="M1512" t="e">
        <f>COUNTIF(#REF!,Tabela2[[#This Row],[KOD_PRODUKTU]])</f>
        <v>#REF!</v>
      </c>
    </row>
    <row r="1513" spans="1:13" x14ac:dyDescent="0.25">
      <c r="A1513" s="1" t="s">
        <v>950</v>
      </c>
      <c r="B1513" t="s">
        <v>951</v>
      </c>
      <c r="C1513" s="1" t="s">
        <v>7</v>
      </c>
      <c r="D1513" s="1" t="s">
        <v>7</v>
      </c>
      <c r="E1513" s="1" t="s">
        <v>7</v>
      </c>
      <c r="F1513" t="s">
        <v>8</v>
      </c>
      <c r="G1513" t="s">
        <v>9</v>
      </c>
      <c r="H1513" t="s">
        <v>10</v>
      </c>
      <c r="I1513" t="s">
        <v>998</v>
      </c>
      <c r="J1513">
        <v>27.6</v>
      </c>
      <c r="K1513" t="e">
        <f>IF(COUNTIF(#REF!,Tabela2[[#This Row],[IdxWspolny]])&gt;0,"ELEM_lub_PRD","TECHN")</f>
        <v>#REF!</v>
      </c>
      <c r="L1513" t="e">
        <f>IF(COUNTIF(#REF!,Tabela2[[#This Row],[KOD_PRODUKTU]])&gt;0,"ELEMENT","PRODUKT")</f>
        <v>#REF!</v>
      </c>
      <c r="M1513" t="e">
        <f>COUNTIF(#REF!,Tabela2[[#This Row],[KOD_PRODUKTU]])</f>
        <v>#REF!</v>
      </c>
    </row>
    <row r="1514" spans="1:13" x14ac:dyDescent="0.25">
      <c r="A1514" s="1" t="s">
        <v>2527</v>
      </c>
      <c r="B1514" t="s">
        <v>2528</v>
      </c>
      <c r="C1514" s="1" t="s">
        <v>2529</v>
      </c>
      <c r="D1514" s="1" t="s">
        <v>2529</v>
      </c>
      <c r="E1514" s="1" t="s">
        <v>2529</v>
      </c>
      <c r="F1514" t="s">
        <v>2530</v>
      </c>
      <c r="G1514" t="s">
        <v>2469</v>
      </c>
      <c r="H1514" t="s">
        <v>5</v>
      </c>
      <c r="I1514" t="s">
        <v>478</v>
      </c>
      <c r="J1514">
        <v>0.96</v>
      </c>
      <c r="K1514" t="e">
        <f>IF(COUNTIF(#REF!,Tabela2[[#This Row],[IdxWspolny]])&gt;0,"ELEM_lub_PRD","TECHN")</f>
        <v>#REF!</v>
      </c>
      <c r="L1514" t="e">
        <f>IF(COUNTIF(#REF!,Tabela2[[#This Row],[KOD_PRODUKTU]])&gt;0,"ELEMENT","PRODUKT")</f>
        <v>#REF!</v>
      </c>
      <c r="M1514" t="e">
        <f>COUNTIF(#REF!,Tabela2[[#This Row],[KOD_PRODUKTU]])</f>
        <v>#REF!</v>
      </c>
    </row>
    <row r="1515" spans="1:13" x14ac:dyDescent="0.25">
      <c r="A1515" s="1" t="s">
        <v>2527</v>
      </c>
      <c r="B1515" t="s">
        <v>2528</v>
      </c>
      <c r="C1515" s="1" t="s">
        <v>432</v>
      </c>
      <c r="D1515" s="1" t="s">
        <v>432</v>
      </c>
      <c r="E1515" s="1" t="s">
        <v>432</v>
      </c>
      <c r="F1515" t="s">
        <v>433</v>
      </c>
      <c r="G1515" t="s">
        <v>434</v>
      </c>
      <c r="H1515" t="s">
        <v>435</v>
      </c>
      <c r="I1515" t="s">
        <v>50</v>
      </c>
      <c r="J1515">
        <v>1.1000000000000001</v>
      </c>
      <c r="K1515" t="e">
        <f>IF(COUNTIF(#REF!,Tabela2[[#This Row],[IdxWspolny]])&gt;0,"ELEM_lub_PRD","TECHN")</f>
        <v>#REF!</v>
      </c>
      <c r="L1515" t="e">
        <f>IF(COUNTIF(#REF!,Tabela2[[#This Row],[KOD_PRODUKTU]])&gt;0,"ELEMENT","PRODUKT")</f>
        <v>#REF!</v>
      </c>
      <c r="M1515" t="e">
        <f>COUNTIF(#REF!,Tabela2[[#This Row],[KOD_PRODUKTU]])</f>
        <v>#REF!</v>
      </c>
    </row>
    <row r="1516" spans="1:13" x14ac:dyDescent="0.25">
      <c r="A1516" s="1" t="s">
        <v>2527</v>
      </c>
      <c r="B1516" t="s">
        <v>2528</v>
      </c>
      <c r="C1516" s="1" t="s">
        <v>7</v>
      </c>
      <c r="D1516" s="1" t="s">
        <v>7</v>
      </c>
      <c r="E1516" s="1" t="s">
        <v>7</v>
      </c>
      <c r="F1516" t="s">
        <v>8</v>
      </c>
      <c r="G1516" t="s">
        <v>9</v>
      </c>
      <c r="H1516" t="s">
        <v>10</v>
      </c>
      <c r="I1516" t="s">
        <v>2531</v>
      </c>
      <c r="J1516">
        <v>4.82</v>
      </c>
      <c r="K1516" t="e">
        <f>IF(COUNTIF(#REF!,Tabela2[[#This Row],[IdxWspolny]])&gt;0,"ELEM_lub_PRD","TECHN")</f>
        <v>#REF!</v>
      </c>
      <c r="L1516" t="e">
        <f>IF(COUNTIF(#REF!,Tabela2[[#This Row],[KOD_PRODUKTU]])&gt;0,"ELEMENT","PRODUKT")</f>
        <v>#REF!</v>
      </c>
      <c r="M1516" t="e">
        <f>COUNTIF(#REF!,Tabela2[[#This Row],[KOD_PRODUKTU]])</f>
        <v>#REF!</v>
      </c>
    </row>
    <row r="1517" spans="1:13" x14ac:dyDescent="0.25">
      <c r="A1517" s="1" t="s">
        <v>2532</v>
      </c>
      <c r="B1517" t="s">
        <v>2533</v>
      </c>
      <c r="C1517" s="1" t="s">
        <v>2479</v>
      </c>
      <c r="D1517" s="1" t="s">
        <v>2479</v>
      </c>
      <c r="E1517" s="1" t="s">
        <v>2479</v>
      </c>
      <c r="F1517" t="s">
        <v>2480</v>
      </c>
      <c r="G1517" t="s">
        <v>2469</v>
      </c>
      <c r="H1517" t="s">
        <v>5</v>
      </c>
      <c r="I1517" t="s">
        <v>2481</v>
      </c>
      <c r="J1517">
        <v>1.1000000000000001</v>
      </c>
      <c r="K1517" t="e">
        <f>IF(COUNTIF(#REF!,Tabela2[[#This Row],[IdxWspolny]])&gt;0,"ELEM_lub_PRD","TECHN")</f>
        <v>#REF!</v>
      </c>
      <c r="L1517" t="e">
        <f>IF(COUNTIF(#REF!,Tabela2[[#This Row],[KOD_PRODUKTU]])&gt;0,"ELEMENT","PRODUKT")</f>
        <v>#REF!</v>
      </c>
      <c r="M1517" t="e">
        <f>COUNTIF(#REF!,Tabela2[[#This Row],[KOD_PRODUKTU]])</f>
        <v>#REF!</v>
      </c>
    </row>
    <row r="1518" spans="1:13" x14ac:dyDescent="0.25">
      <c r="A1518" s="1" t="s">
        <v>2532</v>
      </c>
      <c r="B1518" t="s">
        <v>2533</v>
      </c>
      <c r="C1518" s="1" t="s">
        <v>432</v>
      </c>
      <c r="D1518" s="1" t="s">
        <v>432</v>
      </c>
      <c r="E1518" s="1" t="s">
        <v>432</v>
      </c>
      <c r="F1518" t="s">
        <v>433</v>
      </c>
      <c r="G1518" t="s">
        <v>434</v>
      </c>
      <c r="H1518" t="s">
        <v>435</v>
      </c>
      <c r="I1518" t="s">
        <v>50</v>
      </c>
      <c r="J1518">
        <v>1.1000000000000001</v>
      </c>
      <c r="K1518" t="e">
        <f>IF(COUNTIF(#REF!,Tabela2[[#This Row],[IdxWspolny]])&gt;0,"ELEM_lub_PRD","TECHN")</f>
        <v>#REF!</v>
      </c>
      <c r="L1518" t="e">
        <f>IF(COUNTIF(#REF!,Tabela2[[#This Row],[KOD_PRODUKTU]])&gt;0,"ELEMENT","PRODUKT")</f>
        <v>#REF!</v>
      </c>
      <c r="M1518" t="e">
        <f>COUNTIF(#REF!,Tabela2[[#This Row],[KOD_PRODUKTU]])</f>
        <v>#REF!</v>
      </c>
    </row>
    <row r="1519" spans="1:13" x14ac:dyDescent="0.25">
      <c r="A1519" s="1" t="s">
        <v>2532</v>
      </c>
      <c r="B1519" t="s">
        <v>2533</v>
      </c>
      <c r="C1519" s="1" t="s">
        <v>7</v>
      </c>
      <c r="D1519" s="1" t="s">
        <v>7</v>
      </c>
      <c r="E1519" s="1" t="s">
        <v>7</v>
      </c>
      <c r="F1519" t="s">
        <v>8</v>
      </c>
      <c r="G1519" t="s">
        <v>9</v>
      </c>
      <c r="H1519" t="s">
        <v>10</v>
      </c>
      <c r="I1519" t="s">
        <v>2482</v>
      </c>
      <c r="J1519">
        <v>5.3</v>
      </c>
      <c r="K1519" t="e">
        <f>IF(COUNTIF(#REF!,Tabela2[[#This Row],[IdxWspolny]])&gt;0,"ELEM_lub_PRD","TECHN")</f>
        <v>#REF!</v>
      </c>
      <c r="L1519" t="e">
        <f>IF(COUNTIF(#REF!,Tabela2[[#This Row],[KOD_PRODUKTU]])&gt;0,"ELEMENT","PRODUKT")</f>
        <v>#REF!</v>
      </c>
      <c r="M1519" t="e">
        <f>COUNTIF(#REF!,Tabela2[[#This Row],[KOD_PRODUKTU]])</f>
        <v>#REF!</v>
      </c>
    </row>
    <row r="1520" spans="1:13" x14ac:dyDescent="0.25">
      <c r="A1520" s="1" t="s">
        <v>2534</v>
      </c>
      <c r="B1520" t="s">
        <v>2535</v>
      </c>
      <c r="C1520" s="1" t="s">
        <v>2</v>
      </c>
      <c r="D1520" s="1" t="s">
        <v>2</v>
      </c>
      <c r="E1520" s="1" t="s">
        <v>2</v>
      </c>
      <c r="F1520" t="s">
        <v>3</v>
      </c>
      <c r="G1520" t="s">
        <v>4</v>
      </c>
      <c r="H1520" t="s">
        <v>5</v>
      </c>
      <c r="I1520" t="s">
        <v>2536</v>
      </c>
      <c r="J1520">
        <v>1.72</v>
      </c>
      <c r="K1520" t="e">
        <f>IF(COUNTIF(#REF!,Tabela2[[#This Row],[IdxWspolny]])&gt;0,"ELEM_lub_PRD","TECHN")</f>
        <v>#REF!</v>
      </c>
      <c r="L1520" t="e">
        <f>IF(COUNTIF(#REF!,Tabela2[[#This Row],[KOD_PRODUKTU]])&gt;0,"ELEMENT","PRODUKT")</f>
        <v>#REF!</v>
      </c>
      <c r="M1520" t="e">
        <f>COUNTIF(#REF!,Tabela2[[#This Row],[KOD_PRODUKTU]])</f>
        <v>#REF!</v>
      </c>
    </row>
    <row r="1521" spans="1:14" x14ac:dyDescent="0.25">
      <c r="A1521" s="1" t="s">
        <v>2534</v>
      </c>
      <c r="B1521" t="s">
        <v>2535</v>
      </c>
      <c r="C1521" s="1" t="s">
        <v>432</v>
      </c>
      <c r="D1521" s="1" t="s">
        <v>432</v>
      </c>
      <c r="E1521" s="1" t="s">
        <v>432</v>
      </c>
      <c r="F1521" t="s">
        <v>433</v>
      </c>
      <c r="G1521" t="s">
        <v>434</v>
      </c>
      <c r="H1521" t="s">
        <v>435</v>
      </c>
      <c r="I1521" t="s">
        <v>50</v>
      </c>
      <c r="J1521">
        <v>1.1000000000000001</v>
      </c>
      <c r="K1521" t="e">
        <f>IF(COUNTIF(#REF!,Tabela2[[#This Row],[IdxWspolny]])&gt;0,"ELEM_lub_PRD","TECHN")</f>
        <v>#REF!</v>
      </c>
      <c r="L1521" t="e">
        <f>IF(COUNTIF(#REF!,Tabela2[[#This Row],[KOD_PRODUKTU]])&gt;0,"ELEMENT","PRODUKT")</f>
        <v>#REF!</v>
      </c>
      <c r="M1521" t="e">
        <f>COUNTIF(#REF!,Tabela2[[#This Row],[KOD_PRODUKTU]])</f>
        <v>#REF!</v>
      </c>
    </row>
    <row r="1522" spans="1:14" x14ac:dyDescent="0.25">
      <c r="A1522" s="1" t="s">
        <v>2534</v>
      </c>
      <c r="B1522" t="s">
        <v>2535</v>
      </c>
      <c r="C1522" s="1" t="s">
        <v>7</v>
      </c>
      <c r="D1522" s="1" t="s">
        <v>7</v>
      </c>
      <c r="E1522" s="1" t="s">
        <v>7</v>
      </c>
      <c r="F1522" t="s">
        <v>8</v>
      </c>
      <c r="G1522" t="s">
        <v>9</v>
      </c>
      <c r="H1522" t="s">
        <v>10</v>
      </c>
      <c r="I1522" t="s">
        <v>2537</v>
      </c>
      <c r="J1522">
        <v>7.19</v>
      </c>
      <c r="K1522" t="e">
        <f>IF(COUNTIF(#REF!,Tabela2[[#This Row],[IdxWspolny]])&gt;0,"ELEM_lub_PRD","TECHN")</f>
        <v>#REF!</v>
      </c>
      <c r="L1522" t="e">
        <f>IF(COUNTIF(#REF!,Tabela2[[#This Row],[KOD_PRODUKTU]])&gt;0,"ELEMENT","PRODUKT")</f>
        <v>#REF!</v>
      </c>
      <c r="M1522" t="e">
        <f>COUNTIF(#REF!,Tabela2[[#This Row],[KOD_PRODUKTU]])</f>
        <v>#REF!</v>
      </c>
    </row>
    <row r="1523" spans="1:14" x14ac:dyDescent="0.25">
      <c r="A1523" s="1" t="s">
        <v>2538</v>
      </c>
      <c r="B1523" t="s">
        <v>2539</v>
      </c>
      <c r="C1523" s="1" t="s">
        <v>2529</v>
      </c>
      <c r="D1523" s="1" t="s">
        <v>2529</v>
      </c>
      <c r="E1523" s="1" t="s">
        <v>2529</v>
      </c>
      <c r="F1523" t="s">
        <v>2530</v>
      </c>
      <c r="G1523" t="s">
        <v>2469</v>
      </c>
      <c r="H1523" t="s">
        <v>5</v>
      </c>
      <c r="I1523" t="s">
        <v>2540</v>
      </c>
      <c r="J1523">
        <v>1</v>
      </c>
      <c r="K1523" t="e">
        <f>IF(COUNTIF(#REF!,Tabela2[[#This Row],[IdxWspolny]])&gt;0,"ELEM_lub_PRD","TECHN")</f>
        <v>#REF!</v>
      </c>
      <c r="L1523" t="e">
        <f>IF(COUNTIF(#REF!,Tabela2[[#This Row],[KOD_PRODUKTU]])&gt;0,"ELEMENT","PRODUKT")</f>
        <v>#REF!</v>
      </c>
      <c r="M1523" t="e">
        <f>COUNTIF(#REF!,Tabela2[[#This Row],[KOD_PRODUKTU]])</f>
        <v>#REF!</v>
      </c>
    </row>
    <row r="1524" spans="1:14" x14ac:dyDescent="0.25">
      <c r="A1524" s="1" t="s">
        <v>2538</v>
      </c>
      <c r="B1524" t="s">
        <v>2539</v>
      </c>
      <c r="C1524" s="1" t="s">
        <v>432</v>
      </c>
      <c r="D1524" s="1" t="s">
        <v>432</v>
      </c>
      <c r="E1524" s="1" t="s">
        <v>432</v>
      </c>
      <c r="F1524" t="s">
        <v>433</v>
      </c>
      <c r="G1524" t="s">
        <v>434</v>
      </c>
      <c r="H1524" t="s">
        <v>435</v>
      </c>
      <c r="I1524" t="s">
        <v>50</v>
      </c>
      <c r="J1524">
        <v>1.1000000000000001</v>
      </c>
      <c r="K1524" t="e">
        <f>IF(COUNTIF(#REF!,Tabela2[[#This Row],[IdxWspolny]])&gt;0,"ELEM_lub_PRD","TECHN")</f>
        <v>#REF!</v>
      </c>
      <c r="L1524" t="e">
        <f>IF(COUNTIF(#REF!,Tabela2[[#This Row],[KOD_PRODUKTU]])&gt;0,"ELEMENT","PRODUKT")</f>
        <v>#REF!</v>
      </c>
      <c r="M1524" t="e">
        <f>COUNTIF(#REF!,Tabela2[[#This Row],[KOD_PRODUKTU]])</f>
        <v>#REF!</v>
      </c>
    </row>
    <row r="1525" spans="1:14" x14ac:dyDescent="0.25">
      <c r="A1525" s="1" t="s">
        <v>2538</v>
      </c>
      <c r="B1525" t="s">
        <v>2539</v>
      </c>
      <c r="C1525" s="1" t="s">
        <v>7</v>
      </c>
      <c r="D1525" s="1" t="s">
        <v>7</v>
      </c>
      <c r="E1525" s="1" t="s">
        <v>7</v>
      </c>
      <c r="F1525" t="s">
        <v>8</v>
      </c>
      <c r="G1525" t="s">
        <v>9</v>
      </c>
      <c r="H1525" t="s">
        <v>10</v>
      </c>
      <c r="I1525" t="s">
        <v>11</v>
      </c>
      <c r="J1525">
        <v>4.8</v>
      </c>
      <c r="K1525" t="e">
        <f>IF(COUNTIF(#REF!,Tabela2[[#This Row],[IdxWspolny]])&gt;0,"ELEM_lub_PRD","TECHN")</f>
        <v>#REF!</v>
      </c>
      <c r="L1525" t="e">
        <f>IF(COUNTIF(#REF!,Tabela2[[#This Row],[KOD_PRODUKTU]])&gt;0,"ELEMENT","PRODUKT")</f>
        <v>#REF!</v>
      </c>
      <c r="M1525" t="e">
        <f>COUNTIF(#REF!,Tabela2[[#This Row],[KOD_PRODUKTU]])</f>
        <v>#REF!</v>
      </c>
    </row>
    <row r="1526" spans="1:14" x14ac:dyDescent="0.25">
      <c r="A1526" s="1" t="s">
        <v>2541</v>
      </c>
      <c r="B1526" t="s">
        <v>2542</v>
      </c>
      <c r="C1526" s="1" t="s">
        <v>2529</v>
      </c>
      <c r="D1526" s="1" t="s">
        <v>2529</v>
      </c>
      <c r="E1526" s="1" t="s">
        <v>2529</v>
      </c>
      <c r="F1526" t="s">
        <v>2530</v>
      </c>
      <c r="G1526" t="s">
        <v>2469</v>
      </c>
      <c r="H1526" t="s">
        <v>5</v>
      </c>
      <c r="I1526" t="s">
        <v>2543</v>
      </c>
      <c r="J1526">
        <v>1.45</v>
      </c>
      <c r="K1526" t="e">
        <f>IF(COUNTIF(#REF!,Tabela2[[#This Row],[IdxWspolny]])&gt;0,"ELEM_lub_PRD","TECHN")</f>
        <v>#REF!</v>
      </c>
      <c r="L1526" t="e">
        <f>IF(COUNTIF(#REF!,Tabela2[[#This Row],[KOD_PRODUKTU]])&gt;0,"ELEMENT","PRODUKT")</f>
        <v>#REF!</v>
      </c>
      <c r="M1526" t="e">
        <f>COUNTIF(#REF!,Tabela2[[#This Row],[KOD_PRODUKTU]])</f>
        <v>#REF!</v>
      </c>
    </row>
    <row r="1527" spans="1:14" x14ac:dyDescent="0.25">
      <c r="A1527" s="1" t="s">
        <v>2541</v>
      </c>
      <c r="B1527" t="s">
        <v>2542</v>
      </c>
      <c r="C1527" s="1" t="s">
        <v>432</v>
      </c>
      <c r="D1527" s="1" t="s">
        <v>432</v>
      </c>
      <c r="E1527" s="1" t="s">
        <v>432</v>
      </c>
      <c r="F1527" t="s">
        <v>433</v>
      </c>
      <c r="G1527" t="s">
        <v>434</v>
      </c>
      <c r="H1527" t="s">
        <v>435</v>
      </c>
      <c r="I1527" t="s">
        <v>50</v>
      </c>
      <c r="J1527">
        <v>1.1000000000000001</v>
      </c>
      <c r="K1527" t="e">
        <f>IF(COUNTIF(#REF!,Tabela2[[#This Row],[IdxWspolny]])&gt;0,"ELEM_lub_PRD","TECHN")</f>
        <v>#REF!</v>
      </c>
      <c r="L1527" t="e">
        <f>IF(COUNTIF(#REF!,Tabela2[[#This Row],[KOD_PRODUKTU]])&gt;0,"ELEMENT","PRODUKT")</f>
        <v>#REF!</v>
      </c>
      <c r="M1527" t="e">
        <f>COUNTIF(#REF!,Tabela2[[#This Row],[KOD_PRODUKTU]])</f>
        <v>#REF!</v>
      </c>
    </row>
    <row r="1528" spans="1:14" x14ac:dyDescent="0.25">
      <c r="A1528" s="1" t="s">
        <v>2541</v>
      </c>
      <c r="B1528" t="s">
        <v>2542</v>
      </c>
      <c r="C1528" s="1" t="s">
        <v>7</v>
      </c>
      <c r="D1528" s="1" t="s">
        <v>7</v>
      </c>
      <c r="E1528" s="1" t="s">
        <v>7</v>
      </c>
      <c r="F1528" t="s">
        <v>8</v>
      </c>
      <c r="G1528" t="s">
        <v>9</v>
      </c>
      <c r="H1528" t="s">
        <v>10</v>
      </c>
      <c r="I1528" t="s">
        <v>2544</v>
      </c>
      <c r="J1528">
        <v>4.9000000000000004</v>
      </c>
      <c r="K1528" t="e">
        <f>IF(COUNTIF(#REF!,Tabela2[[#This Row],[IdxWspolny]])&gt;0,"ELEM_lub_PRD","TECHN")</f>
        <v>#REF!</v>
      </c>
      <c r="L1528" t="e">
        <f>IF(COUNTIF(#REF!,Tabela2[[#This Row],[KOD_PRODUKTU]])&gt;0,"ELEMENT","PRODUKT")</f>
        <v>#REF!</v>
      </c>
      <c r="M1528" t="e">
        <f>COUNTIF(#REF!,Tabela2[[#This Row],[KOD_PRODUKTU]])</f>
        <v>#REF!</v>
      </c>
    </row>
    <row r="1529" spans="1:14" x14ac:dyDescent="0.25">
      <c r="A1529" s="1" t="s">
        <v>2545</v>
      </c>
      <c r="B1529" t="s">
        <v>2546</v>
      </c>
      <c r="C1529" s="1" t="s">
        <v>2547</v>
      </c>
      <c r="D1529" s="1" t="s">
        <v>1689</v>
      </c>
      <c r="E1529" s="1" t="s">
        <v>2547</v>
      </c>
      <c r="F1529" t="s">
        <v>2548</v>
      </c>
      <c r="G1529" t="s">
        <v>1768</v>
      </c>
      <c r="H1529" t="s">
        <v>49</v>
      </c>
      <c r="I1529" t="s">
        <v>50</v>
      </c>
      <c r="J1529">
        <v>0</v>
      </c>
      <c r="K1529" t="e">
        <f>IF(COUNTIF(#REF!,Tabela2[[#This Row],[IdxWspolny]])&gt;0,"ELEM_lub_PRD","TECHN")</f>
        <v>#REF!</v>
      </c>
      <c r="L1529" t="e">
        <f>IF(COUNTIF(#REF!,Tabela2[[#This Row],[KOD_PRODUKTU]])&gt;0,"ELEMENT","PRODUKT")</f>
        <v>#REF!</v>
      </c>
      <c r="M1529" t="e">
        <f>COUNTIF(#REF!,Tabela2[[#This Row],[KOD_PRODUKTU]])</f>
        <v>#REF!</v>
      </c>
      <c r="N1529" t="s">
        <v>55</v>
      </c>
    </row>
    <row r="1530" spans="1:14" x14ac:dyDescent="0.25">
      <c r="A1530" s="1" t="s">
        <v>2545</v>
      </c>
      <c r="B1530" t="s">
        <v>2546</v>
      </c>
      <c r="C1530" s="1" t="s">
        <v>541</v>
      </c>
      <c r="D1530" s="1" t="s">
        <v>541</v>
      </c>
      <c r="E1530" s="1" t="s">
        <v>541</v>
      </c>
      <c r="F1530" t="s">
        <v>542</v>
      </c>
      <c r="G1530" t="s">
        <v>9</v>
      </c>
      <c r="H1530" t="s">
        <v>10</v>
      </c>
      <c r="I1530" t="s">
        <v>33</v>
      </c>
      <c r="J1530">
        <v>9.1999999999999993</v>
      </c>
      <c r="K1530" t="e">
        <f>IF(COUNTIF(#REF!,Tabela2[[#This Row],[IdxWspolny]])&gt;0,"ELEM_lub_PRD","TECHN")</f>
        <v>#REF!</v>
      </c>
      <c r="L1530" t="e">
        <f>IF(COUNTIF(#REF!,Tabela2[[#This Row],[KOD_PRODUKTU]])&gt;0,"ELEMENT","PRODUKT")</f>
        <v>#REF!</v>
      </c>
      <c r="M1530" t="e">
        <f>COUNTIF(#REF!,Tabela2[[#This Row],[KOD_PRODUKTU]])</f>
        <v>#REF!</v>
      </c>
    </row>
    <row r="1531" spans="1:14" x14ac:dyDescent="0.25">
      <c r="A1531" s="1" t="s">
        <v>2549</v>
      </c>
      <c r="B1531" t="s">
        <v>2550</v>
      </c>
      <c r="C1531" s="1" t="s">
        <v>2551</v>
      </c>
      <c r="D1531" s="1" t="s">
        <v>1689</v>
      </c>
      <c r="E1531" s="1" t="s">
        <v>2551</v>
      </c>
      <c r="F1531" t="s">
        <v>2552</v>
      </c>
      <c r="G1531" t="s">
        <v>1768</v>
      </c>
      <c r="H1531" t="s">
        <v>49</v>
      </c>
      <c r="I1531" t="s">
        <v>50</v>
      </c>
      <c r="J1531">
        <v>0</v>
      </c>
      <c r="K1531" t="e">
        <f>IF(COUNTIF(#REF!,Tabela2[[#This Row],[IdxWspolny]])&gt;0,"ELEM_lub_PRD","TECHN")</f>
        <v>#REF!</v>
      </c>
      <c r="L1531" t="e">
        <f>IF(COUNTIF(#REF!,Tabela2[[#This Row],[KOD_PRODUKTU]])&gt;0,"ELEMENT","PRODUKT")</f>
        <v>#REF!</v>
      </c>
      <c r="M1531" t="e">
        <f>COUNTIF(#REF!,Tabela2[[#This Row],[KOD_PRODUKTU]])</f>
        <v>#REF!</v>
      </c>
      <c r="N1531" t="s">
        <v>55</v>
      </c>
    </row>
    <row r="1532" spans="1:14" x14ac:dyDescent="0.25">
      <c r="A1532" s="1" t="s">
        <v>2549</v>
      </c>
      <c r="B1532" t="s">
        <v>2550</v>
      </c>
      <c r="C1532" s="1" t="s">
        <v>541</v>
      </c>
      <c r="D1532" s="1" t="s">
        <v>541</v>
      </c>
      <c r="E1532" s="1" t="s">
        <v>541</v>
      </c>
      <c r="F1532" t="s">
        <v>542</v>
      </c>
      <c r="G1532" t="s">
        <v>9</v>
      </c>
      <c r="H1532" t="s">
        <v>10</v>
      </c>
      <c r="I1532" t="s">
        <v>33</v>
      </c>
      <c r="J1532">
        <v>9.1999999999999993</v>
      </c>
      <c r="K1532" t="e">
        <f>IF(COUNTIF(#REF!,Tabela2[[#This Row],[IdxWspolny]])&gt;0,"ELEM_lub_PRD","TECHN")</f>
        <v>#REF!</v>
      </c>
      <c r="L1532" t="e">
        <f>IF(COUNTIF(#REF!,Tabela2[[#This Row],[KOD_PRODUKTU]])&gt;0,"ELEMENT","PRODUKT")</f>
        <v>#REF!</v>
      </c>
      <c r="M1532" t="e">
        <f>COUNTIF(#REF!,Tabela2[[#This Row],[KOD_PRODUKTU]])</f>
        <v>#REF!</v>
      </c>
    </row>
    <row r="1533" spans="1:14" x14ac:dyDescent="0.25">
      <c r="A1533" s="1" t="s">
        <v>2553</v>
      </c>
      <c r="B1533" t="s">
        <v>2554</v>
      </c>
      <c r="C1533" s="1" t="s">
        <v>2555</v>
      </c>
      <c r="D1533" s="1" t="s">
        <v>2555</v>
      </c>
      <c r="E1533" s="1" t="s">
        <v>2555</v>
      </c>
      <c r="F1533" t="s">
        <v>2556</v>
      </c>
      <c r="G1533" t="s">
        <v>2557</v>
      </c>
      <c r="H1533" t="s">
        <v>49</v>
      </c>
      <c r="I1533" t="s">
        <v>50</v>
      </c>
      <c r="J1533">
        <v>2100</v>
      </c>
      <c r="K1533" t="e">
        <f>IF(COUNTIF(#REF!,Tabela2[[#This Row],[IdxWspolny]])&gt;0,"ELEM_lub_PRD","TECHN")</f>
        <v>#REF!</v>
      </c>
      <c r="L1533" t="e">
        <f>IF(COUNTIF(#REF!,Tabela2[[#This Row],[KOD_PRODUKTU]])&gt;0,"ELEMENT","PRODUKT")</f>
        <v>#REF!</v>
      </c>
      <c r="M1533" t="e">
        <f>COUNTIF(#REF!,Tabela2[[#This Row],[KOD_PRODUKTU]])</f>
        <v>#REF!</v>
      </c>
    </row>
    <row r="1534" spans="1:14" x14ac:dyDescent="0.25">
      <c r="A1534" s="1" t="s">
        <v>2553</v>
      </c>
      <c r="B1534" t="s">
        <v>2554</v>
      </c>
      <c r="C1534" s="1" t="s">
        <v>2558</v>
      </c>
      <c r="D1534" s="1" t="s">
        <v>2558</v>
      </c>
      <c r="E1534" s="1" t="s">
        <v>2558</v>
      </c>
      <c r="F1534" t="s">
        <v>2559</v>
      </c>
      <c r="G1534" t="s">
        <v>1796</v>
      </c>
      <c r="H1534" t="s">
        <v>121</v>
      </c>
      <c r="I1534" t="s">
        <v>2560</v>
      </c>
      <c r="J1534">
        <v>41.5</v>
      </c>
      <c r="K1534" t="e">
        <f>IF(COUNTIF(#REF!,Tabela2[[#This Row],[IdxWspolny]])&gt;0,"ELEM_lub_PRD","TECHN")</f>
        <v>#REF!</v>
      </c>
      <c r="L1534" t="e">
        <f>IF(COUNTIF(#REF!,Tabela2[[#This Row],[KOD_PRODUKTU]])&gt;0,"ELEMENT","PRODUKT")</f>
        <v>#REF!</v>
      </c>
      <c r="M1534" t="e">
        <f>COUNTIF(#REF!,Tabela2[[#This Row],[KOD_PRODUKTU]])</f>
        <v>#REF!</v>
      </c>
    </row>
    <row r="1535" spans="1:14" x14ac:dyDescent="0.25">
      <c r="A1535" s="1" t="s">
        <v>2553</v>
      </c>
      <c r="B1535" t="s">
        <v>2554</v>
      </c>
      <c r="C1535" s="1" t="s">
        <v>7</v>
      </c>
      <c r="D1535" s="1" t="s">
        <v>7</v>
      </c>
      <c r="E1535" s="1" t="s">
        <v>7</v>
      </c>
      <c r="F1535" t="s">
        <v>8</v>
      </c>
      <c r="G1535" t="s">
        <v>9</v>
      </c>
      <c r="H1535" t="s">
        <v>10</v>
      </c>
      <c r="I1535" t="s">
        <v>2561</v>
      </c>
      <c r="J1535">
        <v>106.11</v>
      </c>
      <c r="K1535" t="e">
        <f>IF(COUNTIF(#REF!,Tabela2[[#This Row],[IdxWspolny]])&gt;0,"ELEM_lub_PRD","TECHN")</f>
        <v>#REF!</v>
      </c>
      <c r="L1535" t="e">
        <f>IF(COUNTIF(#REF!,Tabela2[[#This Row],[KOD_PRODUKTU]])&gt;0,"ELEMENT","PRODUKT")</f>
        <v>#REF!</v>
      </c>
      <c r="M1535" t="e">
        <f>COUNTIF(#REF!,Tabela2[[#This Row],[KOD_PRODUKTU]])</f>
        <v>#REF!</v>
      </c>
    </row>
    <row r="1536" spans="1:14" x14ac:dyDescent="0.25">
      <c r="A1536" s="1" t="s">
        <v>2562</v>
      </c>
      <c r="B1536" t="s">
        <v>2563</v>
      </c>
      <c r="C1536" s="1" t="s">
        <v>2555</v>
      </c>
      <c r="D1536" s="1" t="s">
        <v>2555</v>
      </c>
      <c r="E1536" s="1" t="s">
        <v>2555</v>
      </c>
      <c r="F1536" t="s">
        <v>2556</v>
      </c>
      <c r="G1536" t="s">
        <v>2557</v>
      </c>
      <c r="H1536" t="s">
        <v>49</v>
      </c>
      <c r="I1536" t="s">
        <v>50</v>
      </c>
      <c r="J1536">
        <v>2100</v>
      </c>
      <c r="K1536" t="e">
        <f>IF(COUNTIF(#REF!,Tabela2[[#This Row],[IdxWspolny]])&gt;0,"ELEM_lub_PRD","TECHN")</f>
        <v>#REF!</v>
      </c>
      <c r="L1536" t="e">
        <f>IF(COUNTIF(#REF!,Tabela2[[#This Row],[KOD_PRODUKTU]])&gt;0,"ELEMENT","PRODUKT")</f>
        <v>#REF!</v>
      </c>
      <c r="M1536" t="e">
        <f>COUNTIF(#REF!,Tabela2[[#This Row],[KOD_PRODUKTU]])</f>
        <v>#REF!</v>
      </c>
    </row>
    <row r="1537" spans="1:13" x14ac:dyDescent="0.25">
      <c r="A1537" s="1" t="s">
        <v>2562</v>
      </c>
      <c r="B1537" t="s">
        <v>2563</v>
      </c>
      <c r="C1537" s="1" t="s">
        <v>2558</v>
      </c>
      <c r="D1537" s="1" t="s">
        <v>2558</v>
      </c>
      <c r="E1537" s="1" t="s">
        <v>2558</v>
      </c>
      <c r="F1537" t="s">
        <v>2559</v>
      </c>
      <c r="G1537" t="s">
        <v>1796</v>
      </c>
      <c r="H1537" t="s">
        <v>121</v>
      </c>
      <c r="I1537" t="s">
        <v>2560</v>
      </c>
      <c r="J1537">
        <v>41.5</v>
      </c>
      <c r="K1537" t="e">
        <f>IF(COUNTIF(#REF!,Tabela2[[#This Row],[IdxWspolny]])&gt;0,"ELEM_lub_PRD","TECHN")</f>
        <v>#REF!</v>
      </c>
      <c r="L1537" t="e">
        <f>IF(COUNTIF(#REF!,Tabela2[[#This Row],[KOD_PRODUKTU]])&gt;0,"ELEMENT","PRODUKT")</f>
        <v>#REF!</v>
      </c>
      <c r="M1537" t="e">
        <f>COUNTIF(#REF!,Tabela2[[#This Row],[KOD_PRODUKTU]])</f>
        <v>#REF!</v>
      </c>
    </row>
    <row r="1538" spans="1:13" x14ac:dyDescent="0.25">
      <c r="A1538" s="1" t="s">
        <v>2562</v>
      </c>
      <c r="B1538" t="s">
        <v>2563</v>
      </c>
      <c r="C1538" s="1" t="s">
        <v>7</v>
      </c>
      <c r="D1538" s="1" t="s">
        <v>7</v>
      </c>
      <c r="E1538" s="1" t="s">
        <v>7</v>
      </c>
      <c r="F1538" t="s">
        <v>8</v>
      </c>
      <c r="G1538" t="s">
        <v>9</v>
      </c>
      <c r="H1538" t="s">
        <v>10</v>
      </c>
      <c r="I1538" t="s">
        <v>2561</v>
      </c>
      <c r="J1538">
        <v>106.11</v>
      </c>
      <c r="K1538" t="e">
        <f>IF(COUNTIF(#REF!,Tabela2[[#This Row],[IdxWspolny]])&gt;0,"ELEM_lub_PRD","TECHN")</f>
        <v>#REF!</v>
      </c>
      <c r="L1538" t="e">
        <f>IF(COUNTIF(#REF!,Tabela2[[#This Row],[KOD_PRODUKTU]])&gt;0,"ELEMENT","PRODUKT")</f>
        <v>#REF!</v>
      </c>
      <c r="M1538" t="e">
        <f>COUNTIF(#REF!,Tabela2[[#This Row],[KOD_PRODUKTU]])</f>
        <v>#REF!</v>
      </c>
    </row>
    <row r="1539" spans="1:13" x14ac:dyDescent="0.25">
      <c r="A1539" s="1" t="s">
        <v>2564</v>
      </c>
      <c r="B1539" t="s">
        <v>2565</v>
      </c>
      <c r="C1539" s="1" t="s">
        <v>2566</v>
      </c>
      <c r="D1539" s="1" t="s">
        <v>2566</v>
      </c>
      <c r="E1539" s="1" t="s">
        <v>2566</v>
      </c>
      <c r="F1539" t="s">
        <v>2567</v>
      </c>
      <c r="G1539" t="s">
        <v>2568</v>
      </c>
      <c r="H1539" t="s">
        <v>49</v>
      </c>
      <c r="I1539" t="s">
        <v>50</v>
      </c>
      <c r="J1539">
        <v>3550</v>
      </c>
      <c r="K1539" t="e">
        <f>IF(COUNTIF(#REF!,Tabela2[[#This Row],[IdxWspolny]])&gt;0,"ELEM_lub_PRD","TECHN")</f>
        <v>#REF!</v>
      </c>
      <c r="L1539" t="e">
        <f>IF(COUNTIF(#REF!,Tabela2[[#This Row],[KOD_PRODUKTU]])&gt;0,"ELEMENT","PRODUKT")</f>
        <v>#REF!</v>
      </c>
      <c r="M1539" t="e">
        <f>COUNTIF(#REF!,Tabela2[[#This Row],[KOD_PRODUKTU]])</f>
        <v>#REF!</v>
      </c>
    </row>
    <row r="1540" spans="1:13" x14ac:dyDescent="0.25">
      <c r="A1540" s="1" t="s">
        <v>2564</v>
      </c>
      <c r="B1540" t="s">
        <v>2565</v>
      </c>
      <c r="C1540" s="1" t="s">
        <v>2558</v>
      </c>
      <c r="D1540" s="1" t="s">
        <v>2558</v>
      </c>
      <c r="E1540" s="1" t="s">
        <v>2558</v>
      </c>
      <c r="F1540" t="s">
        <v>2559</v>
      </c>
      <c r="G1540" t="s">
        <v>1796</v>
      </c>
      <c r="H1540" t="s">
        <v>121</v>
      </c>
      <c r="I1540" t="s">
        <v>2569</v>
      </c>
      <c r="J1540">
        <v>60</v>
      </c>
      <c r="K1540" t="e">
        <f>IF(COUNTIF(#REF!,Tabela2[[#This Row],[IdxWspolny]])&gt;0,"ELEM_lub_PRD","TECHN")</f>
        <v>#REF!</v>
      </c>
      <c r="L1540" t="e">
        <f>IF(COUNTIF(#REF!,Tabela2[[#This Row],[KOD_PRODUKTU]])&gt;0,"ELEMENT","PRODUKT")</f>
        <v>#REF!</v>
      </c>
      <c r="M1540" t="e">
        <f>COUNTIF(#REF!,Tabela2[[#This Row],[KOD_PRODUKTU]])</f>
        <v>#REF!</v>
      </c>
    </row>
    <row r="1541" spans="1:13" x14ac:dyDescent="0.25">
      <c r="A1541" s="1" t="s">
        <v>2564</v>
      </c>
      <c r="B1541" t="s">
        <v>2565</v>
      </c>
      <c r="C1541" s="1" t="s">
        <v>7</v>
      </c>
      <c r="D1541" s="1" t="s">
        <v>7</v>
      </c>
      <c r="E1541" s="1" t="s">
        <v>7</v>
      </c>
      <c r="F1541" t="s">
        <v>8</v>
      </c>
      <c r="G1541" t="s">
        <v>9</v>
      </c>
      <c r="H1541" t="s">
        <v>10</v>
      </c>
      <c r="I1541" t="s">
        <v>2570</v>
      </c>
      <c r="J1541">
        <v>170.4</v>
      </c>
      <c r="K1541" t="e">
        <f>IF(COUNTIF(#REF!,Tabela2[[#This Row],[IdxWspolny]])&gt;0,"ELEM_lub_PRD","TECHN")</f>
        <v>#REF!</v>
      </c>
      <c r="L1541" t="e">
        <f>IF(COUNTIF(#REF!,Tabela2[[#This Row],[KOD_PRODUKTU]])&gt;0,"ELEMENT","PRODUKT")</f>
        <v>#REF!</v>
      </c>
      <c r="M1541" t="e">
        <f>COUNTIF(#REF!,Tabela2[[#This Row],[KOD_PRODUKTU]])</f>
        <v>#REF!</v>
      </c>
    </row>
    <row r="1542" spans="1:13" x14ac:dyDescent="0.25">
      <c r="A1542" s="1" t="s">
        <v>2571</v>
      </c>
      <c r="B1542" t="s">
        <v>2572</v>
      </c>
      <c r="C1542" s="1" t="s">
        <v>2573</v>
      </c>
      <c r="D1542" s="1" t="s">
        <v>2573</v>
      </c>
      <c r="E1542" s="1" t="s">
        <v>2573</v>
      </c>
      <c r="F1542" t="s">
        <v>2574</v>
      </c>
      <c r="G1542" t="s">
        <v>2575</v>
      </c>
      <c r="H1542" t="s">
        <v>49</v>
      </c>
      <c r="I1542" t="s">
        <v>50</v>
      </c>
      <c r="J1542">
        <v>3800</v>
      </c>
      <c r="K1542" t="e">
        <f>IF(COUNTIF(#REF!,Tabela2[[#This Row],[IdxWspolny]])&gt;0,"ELEM_lub_PRD","TECHN")</f>
        <v>#REF!</v>
      </c>
      <c r="L1542" t="e">
        <f>IF(COUNTIF(#REF!,Tabela2[[#This Row],[KOD_PRODUKTU]])&gt;0,"ELEMENT","PRODUKT")</f>
        <v>#REF!</v>
      </c>
      <c r="M1542" t="e">
        <f>COUNTIF(#REF!,Tabela2[[#This Row],[KOD_PRODUKTU]])</f>
        <v>#REF!</v>
      </c>
    </row>
    <row r="1543" spans="1:13" x14ac:dyDescent="0.25">
      <c r="A1543" s="1" t="s">
        <v>2571</v>
      </c>
      <c r="B1543" t="s">
        <v>2572</v>
      </c>
      <c r="C1543" s="1" t="s">
        <v>2558</v>
      </c>
      <c r="D1543" s="1" t="s">
        <v>2558</v>
      </c>
      <c r="E1543" s="1" t="s">
        <v>2558</v>
      </c>
      <c r="F1543" t="s">
        <v>2559</v>
      </c>
      <c r="G1543" t="s">
        <v>1796</v>
      </c>
      <c r="H1543" t="s">
        <v>121</v>
      </c>
      <c r="I1543" t="s">
        <v>2576</v>
      </c>
      <c r="J1543">
        <v>129</v>
      </c>
      <c r="K1543" t="e">
        <f>IF(COUNTIF(#REF!,Tabela2[[#This Row],[IdxWspolny]])&gt;0,"ELEM_lub_PRD","TECHN")</f>
        <v>#REF!</v>
      </c>
      <c r="L1543" t="e">
        <f>IF(COUNTIF(#REF!,Tabela2[[#This Row],[KOD_PRODUKTU]])&gt;0,"ELEMENT","PRODUKT")</f>
        <v>#REF!</v>
      </c>
      <c r="M1543" t="e">
        <f>COUNTIF(#REF!,Tabela2[[#This Row],[KOD_PRODUKTU]])</f>
        <v>#REF!</v>
      </c>
    </row>
    <row r="1544" spans="1:13" x14ac:dyDescent="0.25">
      <c r="A1544" s="1" t="s">
        <v>2571</v>
      </c>
      <c r="B1544" t="s">
        <v>2572</v>
      </c>
      <c r="C1544" s="1" t="s">
        <v>2577</v>
      </c>
      <c r="D1544" s="1" t="s">
        <v>2577</v>
      </c>
      <c r="E1544" s="1" t="s">
        <v>2577</v>
      </c>
      <c r="F1544" t="s">
        <v>2578</v>
      </c>
      <c r="G1544" t="s">
        <v>686</v>
      </c>
      <c r="H1544" t="s">
        <v>49</v>
      </c>
      <c r="I1544" t="s">
        <v>2579</v>
      </c>
      <c r="J1544">
        <v>500</v>
      </c>
      <c r="K1544" t="e">
        <f>IF(COUNTIF(#REF!,Tabela2[[#This Row],[IdxWspolny]])&gt;0,"ELEM_lub_PRD","TECHN")</f>
        <v>#REF!</v>
      </c>
      <c r="L1544" t="e">
        <f>IF(COUNTIF(#REF!,Tabela2[[#This Row],[KOD_PRODUKTU]])&gt;0,"ELEMENT","PRODUKT")</f>
        <v>#REF!</v>
      </c>
      <c r="M1544" t="e">
        <f>COUNTIF(#REF!,Tabela2[[#This Row],[KOD_PRODUKTU]])</f>
        <v>#REF!</v>
      </c>
    </row>
    <row r="1545" spans="1:13" x14ac:dyDescent="0.25">
      <c r="A1545" s="1" t="s">
        <v>2571</v>
      </c>
      <c r="B1545" t="s">
        <v>2572</v>
      </c>
      <c r="C1545" s="1" t="s">
        <v>7</v>
      </c>
      <c r="D1545" s="1" t="s">
        <v>7</v>
      </c>
      <c r="E1545" s="1" t="s">
        <v>7</v>
      </c>
      <c r="F1545" t="s">
        <v>8</v>
      </c>
      <c r="G1545" t="s">
        <v>9</v>
      </c>
      <c r="H1545" t="s">
        <v>10</v>
      </c>
      <c r="I1545" t="s">
        <v>2580</v>
      </c>
      <c r="J1545">
        <v>156.82</v>
      </c>
      <c r="K1545" t="e">
        <f>IF(COUNTIF(#REF!,Tabela2[[#This Row],[IdxWspolny]])&gt;0,"ELEM_lub_PRD","TECHN")</f>
        <v>#REF!</v>
      </c>
      <c r="L1545" t="e">
        <f>IF(COUNTIF(#REF!,Tabela2[[#This Row],[KOD_PRODUKTU]])&gt;0,"ELEMENT","PRODUKT")</f>
        <v>#REF!</v>
      </c>
      <c r="M1545" t="e">
        <f>COUNTIF(#REF!,Tabela2[[#This Row],[KOD_PRODUKTU]])</f>
        <v>#REF!</v>
      </c>
    </row>
    <row r="1546" spans="1:13" x14ac:dyDescent="0.25">
      <c r="A1546" s="1" t="s">
        <v>2581</v>
      </c>
      <c r="B1546" t="s">
        <v>2582</v>
      </c>
      <c r="C1546" s="1" t="s">
        <v>2566</v>
      </c>
      <c r="D1546" s="1" t="s">
        <v>2566</v>
      </c>
      <c r="E1546" s="1" t="s">
        <v>2566</v>
      </c>
      <c r="F1546" t="s">
        <v>2567</v>
      </c>
      <c r="G1546" t="s">
        <v>2568</v>
      </c>
      <c r="H1546" t="s">
        <v>49</v>
      </c>
      <c r="I1546" t="s">
        <v>50</v>
      </c>
      <c r="J1546">
        <v>3550</v>
      </c>
      <c r="K1546" t="e">
        <f>IF(COUNTIF(#REF!,Tabela2[[#This Row],[IdxWspolny]])&gt;0,"ELEM_lub_PRD","TECHN")</f>
        <v>#REF!</v>
      </c>
      <c r="L1546" t="e">
        <f>IF(COUNTIF(#REF!,Tabela2[[#This Row],[KOD_PRODUKTU]])&gt;0,"ELEMENT","PRODUKT")</f>
        <v>#REF!</v>
      </c>
      <c r="M1546" t="e">
        <f>COUNTIF(#REF!,Tabela2[[#This Row],[KOD_PRODUKTU]])</f>
        <v>#REF!</v>
      </c>
    </row>
    <row r="1547" spans="1:13" x14ac:dyDescent="0.25">
      <c r="A1547" s="1" t="s">
        <v>2581</v>
      </c>
      <c r="B1547" t="s">
        <v>2582</v>
      </c>
      <c r="C1547" s="1" t="s">
        <v>2558</v>
      </c>
      <c r="D1547" s="1" t="s">
        <v>2558</v>
      </c>
      <c r="E1547" s="1" t="s">
        <v>2558</v>
      </c>
      <c r="F1547" t="s">
        <v>2559</v>
      </c>
      <c r="G1547" t="s">
        <v>1796</v>
      </c>
      <c r="H1547" t="s">
        <v>121</v>
      </c>
      <c r="I1547" t="s">
        <v>2583</v>
      </c>
      <c r="J1547">
        <v>105.9</v>
      </c>
      <c r="K1547" t="e">
        <f>IF(COUNTIF(#REF!,Tabela2[[#This Row],[IdxWspolny]])&gt;0,"ELEM_lub_PRD","TECHN")</f>
        <v>#REF!</v>
      </c>
      <c r="L1547" t="e">
        <f>IF(COUNTIF(#REF!,Tabela2[[#This Row],[KOD_PRODUKTU]])&gt;0,"ELEMENT","PRODUKT")</f>
        <v>#REF!</v>
      </c>
      <c r="M1547" t="e">
        <f>COUNTIF(#REF!,Tabela2[[#This Row],[KOD_PRODUKTU]])</f>
        <v>#REF!</v>
      </c>
    </row>
    <row r="1548" spans="1:13" x14ac:dyDescent="0.25">
      <c r="A1548" s="1" t="s">
        <v>2581</v>
      </c>
      <c r="B1548" t="s">
        <v>2582</v>
      </c>
      <c r="C1548" s="1" t="s">
        <v>2577</v>
      </c>
      <c r="D1548" s="1" t="s">
        <v>2577</v>
      </c>
      <c r="E1548" s="1" t="s">
        <v>2577</v>
      </c>
      <c r="F1548" t="s">
        <v>2578</v>
      </c>
      <c r="G1548" t="s">
        <v>686</v>
      </c>
      <c r="H1548" t="s">
        <v>49</v>
      </c>
      <c r="I1548" t="s">
        <v>2584</v>
      </c>
      <c r="J1548">
        <v>1568</v>
      </c>
      <c r="K1548" t="e">
        <f>IF(COUNTIF(#REF!,Tabela2[[#This Row],[IdxWspolny]])&gt;0,"ELEM_lub_PRD","TECHN")</f>
        <v>#REF!</v>
      </c>
      <c r="L1548" t="e">
        <f>IF(COUNTIF(#REF!,Tabela2[[#This Row],[KOD_PRODUKTU]])&gt;0,"ELEMENT","PRODUKT")</f>
        <v>#REF!</v>
      </c>
      <c r="M1548" t="e">
        <f>COUNTIF(#REF!,Tabela2[[#This Row],[KOD_PRODUKTU]])</f>
        <v>#REF!</v>
      </c>
    </row>
    <row r="1549" spans="1:13" x14ac:dyDescent="0.25">
      <c r="A1549" s="1" t="s">
        <v>2581</v>
      </c>
      <c r="B1549" t="s">
        <v>2582</v>
      </c>
      <c r="C1549" s="1" t="s">
        <v>7</v>
      </c>
      <c r="D1549" s="1" t="s">
        <v>7</v>
      </c>
      <c r="E1549" s="1" t="s">
        <v>7</v>
      </c>
      <c r="F1549" t="s">
        <v>8</v>
      </c>
      <c r="G1549" t="s">
        <v>9</v>
      </c>
      <c r="H1549" t="s">
        <v>10</v>
      </c>
      <c r="I1549" t="s">
        <v>2585</v>
      </c>
      <c r="J1549">
        <v>159.22</v>
      </c>
      <c r="K1549" t="e">
        <f>IF(COUNTIF(#REF!,Tabela2[[#This Row],[IdxWspolny]])&gt;0,"ELEM_lub_PRD","TECHN")</f>
        <v>#REF!</v>
      </c>
      <c r="L1549" t="e">
        <f>IF(COUNTIF(#REF!,Tabela2[[#This Row],[KOD_PRODUKTU]])&gt;0,"ELEMENT","PRODUKT")</f>
        <v>#REF!</v>
      </c>
      <c r="M1549" t="e">
        <f>COUNTIF(#REF!,Tabela2[[#This Row],[KOD_PRODUKTU]])</f>
        <v>#REF!</v>
      </c>
    </row>
    <row r="1550" spans="1:13" x14ac:dyDescent="0.25">
      <c r="A1550" s="1" t="s">
        <v>2586</v>
      </c>
      <c r="B1550" t="s">
        <v>2587</v>
      </c>
      <c r="C1550" s="1" t="s">
        <v>2588</v>
      </c>
      <c r="D1550" s="1" t="s">
        <v>2588</v>
      </c>
      <c r="E1550" s="1" t="s">
        <v>2588</v>
      </c>
      <c r="F1550" t="s">
        <v>2589</v>
      </c>
      <c r="G1550" t="s">
        <v>2590</v>
      </c>
      <c r="H1550" t="s">
        <v>49</v>
      </c>
      <c r="I1550" t="s">
        <v>50</v>
      </c>
      <c r="J1550">
        <v>6950</v>
      </c>
      <c r="K1550" t="e">
        <f>IF(COUNTIF(#REF!,Tabela2[[#This Row],[IdxWspolny]])&gt;0,"ELEM_lub_PRD","TECHN")</f>
        <v>#REF!</v>
      </c>
      <c r="L1550" t="e">
        <f>IF(COUNTIF(#REF!,Tabela2[[#This Row],[KOD_PRODUKTU]])&gt;0,"ELEMENT","PRODUKT")</f>
        <v>#REF!</v>
      </c>
      <c r="M1550" t="e">
        <f>COUNTIF(#REF!,Tabela2[[#This Row],[KOD_PRODUKTU]])</f>
        <v>#REF!</v>
      </c>
    </row>
    <row r="1551" spans="1:13" x14ac:dyDescent="0.25">
      <c r="A1551" s="1" t="s">
        <v>2586</v>
      </c>
      <c r="B1551" t="s">
        <v>2587</v>
      </c>
      <c r="C1551" s="1" t="s">
        <v>2558</v>
      </c>
      <c r="D1551" s="1" t="s">
        <v>2558</v>
      </c>
      <c r="E1551" s="1" t="s">
        <v>2558</v>
      </c>
      <c r="F1551" t="s">
        <v>2559</v>
      </c>
      <c r="G1551" t="s">
        <v>1796</v>
      </c>
      <c r="H1551" t="s">
        <v>121</v>
      </c>
      <c r="I1551" t="s">
        <v>2591</v>
      </c>
      <c r="J1551">
        <v>100</v>
      </c>
      <c r="K1551" t="e">
        <f>IF(COUNTIF(#REF!,Tabela2[[#This Row],[IdxWspolny]])&gt;0,"ELEM_lub_PRD","TECHN")</f>
        <v>#REF!</v>
      </c>
      <c r="L1551" t="e">
        <f>IF(COUNTIF(#REF!,Tabela2[[#This Row],[KOD_PRODUKTU]])&gt;0,"ELEMENT","PRODUKT")</f>
        <v>#REF!</v>
      </c>
      <c r="M1551" t="e">
        <f>COUNTIF(#REF!,Tabela2[[#This Row],[KOD_PRODUKTU]])</f>
        <v>#REF!</v>
      </c>
    </row>
    <row r="1552" spans="1:13" x14ac:dyDescent="0.25">
      <c r="A1552" s="1" t="s">
        <v>2586</v>
      </c>
      <c r="B1552" t="s">
        <v>2587</v>
      </c>
      <c r="C1552" s="1" t="s">
        <v>541</v>
      </c>
      <c r="D1552" s="1" t="s">
        <v>541</v>
      </c>
      <c r="E1552" s="1" t="s">
        <v>541</v>
      </c>
      <c r="F1552" t="s">
        <v>542</v>
      </c>
      <c r="G1552" t="s">
        <v>9</v>
      </c>
      <c r="H1552" t="s">
        <v>10</v>
      </c>
      <c r="I1552" t="s">
        <v>2592</v>
      </c>
      <c r="J1552">
        <v>234</v>
      </c>
      <c r="K1552" t="e">
        <f>IF(COUNTIF(#REF!,Tabela2[[#This Row],[IdxWspolny]])&gt;0,"ELEM_lub_PRD","TECHN")</f>
        <v>#REF!</v>
      </c>
      <c r="L1552" t="e">
        <f>IF(COUNTIF(#REF!,Tabela2[[#This Row],[KOD_PRODUKTU]])&gt;0,"ELEMENT","PRODUKT")</f>
        <v>#REF!</v>
      </c>
      <c r="M1552" t="e">
        <f>COUNTIF(#REF!,Tabela2[[#This Row],[KOD_PRODUKTU]])</f>
        <v>#REF!</v>
      </c>
    </row>
    <row r="1553" spans="1:13" x14ac:dyDescent="0.25">
      <c r="A1553" s="1" t="s">
        <v>2593</v>
      </c>
      <c r="B1553" t="s">
        <v>2594</v>
      </c>
      <c r="C1553" s="1" t="s">
        <v>2555</v>
      </c>
      <c r="D1553" s="1" t="s">
        <v>2555</v>
      </c>
      <c r="E1553" s="1" t="s">
        <v>2555</v>
      </c>
      <c r="F1553" t="s">
        <v>2595</v>
      </c>
      <c r="G1553" t="s">
        <v>2557</v>
      </c>
      <c r="H1553" t="s">
        <v>49</v>
      </c>
      <c r="I1553" t="s">
        <v>50</v>
      </c>
      <c r="J1553">
        <v>2100</v>
      </c>
      <c r="K1553" t="e">
        <f>IF(COUNTIF(#REF!,Tabela2[[#This Row],[IdxWspolny]])&gt;0,"ELEM_lub_PRD","TECHN")</f>
        <v>#REF!</v>
      </c>
      <c r="L1553" t="e">
        <f>IF(COUNTIF(#REF!,Tabela2[[#This Row],[KOD_PRODUKTU]])&gt;0,"ELEMENT","PRODUKT")</f>
        <v>#REF!</v>
      </c>
      <c r="M1553" t="e">
        <f>COUNTIF(#REF!,Tabela2[[#This Row],[KOD_PRODUKTU]])</f>
        <v>#REF!</v>
      </c>
    </row>
    <row r="1554" spans="1:13" x14ac:dyDescent="0.25">
      <c r="A1554" s="1" t="s">
        <v>2593</v>
      </c>
      <c r="B1554" t="s">
        <v>2594</v>
      </c>
      <c r="C1554" s="1" t="s">
        <v>2558</v>
      </c>
      <c r="D1554" s="1" t="s">
        <v>2558</v>
      </c>
      <c r="E1554" s="1" t="s">
        <v>2558</v>
      </c>
      <c r="F1554" t="s">
        <v>2559</v>
      </c>
      <c r="G1554" t="s">
        <v>1796</v>
      </c>
      <c r="H1554" t="s">
        <v>121</v>
      </c>
      <c r="I1554" t="s">
        <v>2596</v>
      </c>
      <c r="J1554">
        <v>40</v>
      </c>
      <c r="K1554" t="e">
        <f>IF(COUNTIF(#REF!,Tabela2[[#This Row],[IdxWspolny]])&gt;0,"ELEM_lub_PRD","TECHN")</f>
        <v>#REF!</v>
      </c>
      <c r="L1554" t="e">
        <f>IF(COUNTIF(#REF!,Tabela2[[#This Row],[KOD_PRODUKTU]])&gt;0,"ELEMENT","PRODUKT")</f>
        <v>#REF!</v>
      </c>
      <c r="M1554" t="e">
        <f>COUNTIF(#REF!,Tabela2[[#This Row],[KOD_PRODUKTU]])</f>
        <v>#REF!</v>
      </c>
    </row>
    <row r="1555" spans="1:13" x14ac:dyDescent="0.25">
      <c r="A1555" s="1" t="s">
        <v>2593</v>
      </c>
      <c r="B1555" t="s">
        <v>2594</v>
      </c>
      <c r="C1555" s="1" t="s">
        <v>541</v>
      </c>
      <c r="D1555" s="1" t="s">
        <v>541</v>
      </c>
      <c r="E1555" s="1" t="s">
        <v>541</v>
      </c>
      <c r="F1555" t="s">
        <v>542</v>
      </c>
      <c r="G1555" t="s">
        <v>9</v>
      </c>
      <c r="H1555" t="s">
        <v>10</v>
      </c>
      <c r="I1555" t="s">
        <v>2597</v>
      </c>
      <c r="J1555">
        <v>167.3</v>
      </c>
      <c r="K1555" t="e">
        <f>IF(COUNTIF(#REF!,Tabela2[[#This Row],[IdxWspolny]])&gt;0,"ELEM_lub_PRD","TECHN")</f>
        <v>#REF!</v>
      </c>
      <c r="L1555" t="e">
        <f>IF(COUNTIF(#REF!,Tabela2[[#This Row],[KOD_PRODUKTU]])&gt;0,"ELEMENT","PRODUKT")</f>
        <v>#REF!</v>
      </c>
      <c r="M1555" t="e">
        <f>COUNTIF(#REF!,Tabela2[[#This Row],[KOD_PRODUKTU]])</f>
        <v>#REF!</v>
      </c>
    </row>
    <row r="1556" spans="1:13" x14ac:dyDescent="0.25">
      <c r="A1556" s="1" t="s">
        <v>2598</v>
      </c>
      <c r="B1556" t="s">
        <v>2599</v>
      </c>
      <c r="C1556" s="1" t="s">
        <v>2467</v>
      </c>
      <c r="D1556" s="1" t="s">
        <v>2467</v>
      </c>
      <c r="E1556" s="1" t="s">
        <v>2467</v>
      </c>
      <c r="F1556" t="s">
        <v>2468</v>
      </c>
      <c r="G1556" t="s">
        <v>2469</v>
      </c>
      <c r="H1556" t="s">
        <v>5</v>
      </c>
      <c r="I1556" t="s">
        <v>2600</v>
      </c>
      <c r="J1556">
        <v>16.190000000000001</v>
      </c>
      <c r="K1556" t="e">
        <f>IF(COUNTIF(#REF!,Tabela2[[#This Row],[IdxWspolny]])&gt;0,"ELEM_lub_PRD","TECHN")</f>
        <v>#REF!</v>
      </c>
      <c r="L1556" t="e">
        <f>IF(COUNTIF(#REF!,Tabela2[[#This Row],[KOD_PRODUKTU]])&gt;0,"ELEMENT","PRODUKT")</f>
        <v>#REF!</v>
      </c>
      <c r="M1556" t="e">
        <f>COUNTIF(#REF!,Tabela2[[#This Row],[KOD_PRODUKTU]])</f>
        <v>#REF!</v>
      </c>
    </row>
    <row r="1557" spans="1:13" x14ac:dyDescent="0.25">
      <c r="A1557" s="1" t="s">
        <v>2598</v>
      </c>
      <c r="B1557" t="s">
        <v>2599</v>
      </c>
      <c r="C1557" s="1" t="s">
        <v>2601</v>
      </c>
      <c r="D1557" s="1" t="s">
        <v>2601</v>
      </c>
      <c r="E1557" s="1" t="s">
        <v>2601</v>
      </c>
      <c r="F1557" t="s">
        <v>2602</v>
      </c>
      <c r="G1557" t="s">
        <v>651</v>
      </c>
      <c r="H1557" t="s">
        <v>5</v>
      </c>
      <c r="I1557" t="s">
        <v>2603</v>
      </c>
      <c r="J1557">
        <v>0.28000000000000003</v>
      </c>
      <c r="K1557" t="e">
        <f>IF(COUNTIF(#REF!,Tabela2[[#This Row],[IdxWspolny]])&gt;0,"ELEM_lub_PRD","TECHN")</f>
        <v>#REF!</v>
      </c>
      <c r="L1557" t="e">
        <f>IF(COUNTIF(#REF!,Tabela2[[#This Row],[KOD_PRODUKTU]])&gt;0,"ELEMENT","PRODUKT")</f>
        <v>#REF!</v>
      </c>
      <c r="M1557" t="e">
        <f>COUNTIF(#REF!,Tabela2[[#This Row],[KOD_PRODUKTU]])</f>
        <v>#REF!</v>
      </c>
    </row>
    <row r="1558" spans="1:13" x14ac:dyDescent="0.25">
      <c r="A1558" s="1" t="s">
        <v>2598</v>
      </c>
      <c r="B1558" t="s">
        <v>2599</v>
      </c>
      <c r="C1558" s="1" t="s">
        <v>2604</v>
      </c>
      <c r="D1558" s="1" t="s">
        <v>2604</v>
      </c>
      <c r="E1558" s="1" t="s">
        <v>2604</v>
      </c>
      <c r="F1558" t="s">
        <v>2605</v>
      </c>
      <c r="G1558" t="s">
        <v>1768</v>
      </c>
      <c r="H1558" t="s">
        <v>39</v>
      </c>
      <c r="I1558" t="s">
        <v>605</v>
      </c>
      <c r="J1558">
        <v>0</v>
      </c>
      <c r="K1558" t="e">
        <f>IF(COUNTIF(#REF!,Tabela2[[#This Row],[IdxWspolny]])&gt;0,"ELEM_lub_PRD","TECHN")</f>
        <v>#REF!</v>
      </c>
      <c r="L1558" t="e">
        <f>IF(COUNTIF(#REF!,Tabela2[[#This Row],[KOD_PRODUKTU]])&gt;0,"ELEMENT","PRODUKT")</f>
        <v>#REF!</v>
      </c>
      <c r="M1558" t="e">
        <f>COUNTIF(#REF!,Tabela2[[#This Row],[KOD_PRODUKTU]])</f>
        <v>#REF!</v>
      </c>
    </row>
    <row r="1559" spans="1:13" x14ac:dyDescent="0.25">
      <c r="A1559" s="1" t="s">
        <v>2598</v>
      </c>
      <c r="B1559" t="s">
        <v>2599</v>
      </c>
      <c r="C1559" s="1" t="s">
        <v>628</v>
      </c>
      <c r="D1559" s="1" t="s">
        <v>628</v>
      </c>
      <c r="E1559" s="1" t="s">
        <v>628</v>
      </c>
      <c r="F1559" t="s">
        <v>629</v>
      </c>
      <c r="G1559" t="s">
        <v>630</v>
      </c>
      <c r="H1559" t="s">
        <v>5</v>
      </c>
      <c r="I1559" t="s">
        <v>2606</v>
      </c>
      <c r="J1559">
        <v>0.22</v>
      </c>
      <c r="K1559" t="e">
        <f>IF(COUNTIF(#REF!,Tabela2[[#This Row],[IdxWspolny]])&gt;0,"ELEM_lub_PRD","TECHN")</f>
        <v>#REF!</v>
      </c>
      <c r="L1559" t="e">
        <f>IF(COUNTIF(#REF!,Tabela2[[#This Row],[KOD_PRODUKTU]])&gt;0,"ELEMENT","PRODUKT")</f>
        <v>#REF!</v>
      </c>
      <c r="M1559" t="e">
        <f>COUNTIF(#REF!,Tabela2[[#This Row],[KOD_PRODUKTU]])</f>
        <v>#REF!</v>
      </c>
    </row>
    <row r="1560" spans="1:13" x14ac:dyDescent="0.25">
      <c r="A1560" s="1" t="s">
        <v>2598</v>
      </c>
      <c r="B1560" t="s">
        <v>2599</v>
      </c>
      <c r="C1560" s="1" t="s">
        <v>1971</v>
      </c>
      <c r="D1560" s="1" t="s">
        <v>1971</v>
      </c>
      <c r="E1560" s="1" t="s">
        <v>1971</v>
      </c>
      <c r="F1560" t="s">
        <v>1972</v>
      </c>
      <c r="G1560" t="s">
        <v>1964</v>
      </c>
      <c r="H1560" t="s">
        <v>5</v>
      </c>
      <c r="I1560" t="s">
        <v>2607</v>
      </c>
      <c r="J1560">
        <v>1.67</v>
      </c>
      <c r="K1560" t="e">
        <f>IF(COUNTIF(#REF!,Tabela2[[#This Row],[IdxWspolny]])&gt;0,"ELEM_lub_PRD","TECHN")</f>
        <v>#REF!</v>
      </c>
      <c r="L1560" t="e">
        <f>IF(COUNTIF(#REF!,Tabela2[[#This Row],[KOD_PRODUKTU]])&gt;0,"ELEMENT","PRODUKT")</f>
        <v>#REF!</v>
      </c>
      <c r="M1560" t="e">
        <f>COUNTIF(#REF!,Tabela2[[#This Row],[KOD_PRODUKTU]])</f>
        <v>#REF!</v>
      </c>
    </row>
    <row r="1561" spans="1:13" x14ac:dyDescent="0.25">
      <c r="A1561" s="1" t="s">
        <v>2598</v>
      </c>
      <c r="B1561" t="s">
        <v>2599</v>
      </c>
      <c r="C1561" s="1" t="s">
        <v>1974</v>
      </c>
      <c r="D1561" s="1" t="s">
        <v>1974</v>
      </c>
      <c r="E1561" s="1" t="s">
        <v>1974</v>
      </c>
      <c r="F1561" t="s">
        <v>1975</v>
      </c>
      <c r="G1561" t="s">
        <v>879</v>
      </c>
      <c r="H1561" t="s">
        <v>121</v>
      </c>
      <c r="I1561" t="s">
        <v>601</v>
      </c>
      <c r="J1561">
        <v>2.1</v>
      </c>
      <c r="K1561" t="e">
        <f>IF(COUNTIF(#REF!,Tabela2[[#This Row],[IdxWspolny]])&gt;0,"ELEM_lub_PRD","TECHN")</f>
        <v>#REF!</v>
      </c>
      <c r="L1561" t="e">
        <f>IF(COUNTIF(#REF!,Tabela2[[#This Row],[KOD_PRODUKTU]])&gt;0,"ELEMENT","PRODUKT")</f>
        <v>#REF!</v>
      </c>
      <c r="M1561" t="e">
        <f>COUNTIF(#REF!,Tabela2[[#This Row],[KOD_PRODUKTU]])</f>
        <v>#REF!</v>
      </c>
    </row>
    <row r="1562" spans="1:13" x14ac:dyDescent="0.25">
      <c r="A1562" s="1" t="s">
        <v>2598</v>
      </c>
      <c r="B1562" t="s">
        <v>2599</v>
      </c>
      <c r="C1562" s="1" t="s">
        <v>2608</v>
      </c>
      <c r="D1562" s="1" t="s">
        <v>2608</v>
      </c>
      <c r="E1562" s="1" t="s">
        <v>2608</v>
      </c>
      <c r="F1562" t="s">
        <v>2609</v>
      </c>
      <c r="G1562" t="s">
        <v>2610</v>
      </c>
      <c r="H1562" t="s">
        <v>121</v>
      </c>
      <c r="I1562" t="s">
        <v>50</v>
      </c>
      <c r="J1562">
        <v>74.8</v>
      </c>
      <c r="K1562" t="e">
        <f>IF(COUNTIF(#REF!,Tabela2[[#This Row],[IdxWspolny]])&gt;0,"ELEM_lub_PRD","TECHN")</f>
        <v>#REF!</v>
      </c>
      <c r="L1562" t="e">
        <f>IF(COUNTIF(#REF!,Tabela2[[#This Row],[KOD_PRODUKTU]])&gt;0,"ELEMENT","PRODUKT")</f>
        <v>#REF!</v>
      </c>
      <c r="M1562" t="e">
        <f>COUNTIF(#REF!,Tabela2[[#This Row],[KOD_PRODUKTU]])</f>
        <v>#REF!</v>
      </c>
    </row>
    <row r="1563" spans="1:13" x14ac:dyDescent="0.25">
      <c r="A1563" s="1" t="s">
        <v>2598</v>
      </c>
      <c r="B1563" t="s">
        <v>2599</v>
      </c>
      <c r="C1563" s="1" t="s">
        <v>2611</v>
      </c>
      <c r="D1563" s="1" t="s">
        <v>2611</v>
      </c>
      <c r="E1563" s="1" t="s">
        <v>2611</v>
      </c>
      <c r="F1563" t="s">
        <v>2612</v>
      </c>
      <c r="G1563" t="s">
        <v>2613</v>
      </c>
      <c r="H1563" t="s">
        <v>121</v>
      </c>
      <c r="I1563" t="s">
        <v>50</v>
      </c>
      <c r="J1563">
        <v>17.59</v>
      </c>
      <c r="K1563" t="e">
        <f>IF(COUNTIF(#REF!,Tabela2[[#This Row],[IdxWspolny]])&gt;0,"ELEM_lub_PRD","TECHN")</f>
        <v>#REF!</v>
      </c>
      <c r="L1563" t="e">
        <f>IF(COUNTIF(#REF!,Tabela2[[#This Row],[KOD_PRODUKTU]])&gt;0,"ELEMENT","PRODUKT")</f>
        <v>#REF!</v>
      </c>
      <c r="M1563" t="e">
        <f>COUNTIF(#REF!,Tabela2[[#This Row],[KOD_PRODUKTU]])</f>
        <v>#REF!</v>
      </c>
    </row>
    <row r="1564" spans="1:13" x14ac:dyDescent="0.25">
      <c r="A1564" s="1" t="s">
        <v>2598</v>
      </c>
      <c r="B1564" t="s">
        <v>2599</v>
      </c>
      <c r="C1564" s="1" t="s">
        <v>2614</v>
      </c>
      <c r="D1564" s="1" t="s">
        <v>2614</v>
      </c>
      <c r="E1564" s="1" t="s">
        <v>2614</v>
      </c>
      <c r="F1564" t="s">
        <v>2615</v>
      </c>
      <c r="G1564" t="s">
        <v>1761</v>
      </c>
      <c r="H1564" t="s">
        <v>121</v>
      </c>
      <c r="I1564" t="s">
        <v>50</v>
      </c>
      <c r="J1564">
        <v>0.55000000000000004</v>
      </c>
      <c r="K1564" t="e">
        <f>IF(COUNTIF(#REF!,Tabela2[[#This Row],[IdxWspolny]])&gt;0,"ELEM_lub_PRD","TECHN")</f>
        <v>#REF!</v>
      </c>
      <c r="L1564" t="e">
        <f>IF(COUNTIF(#REF!,Tabela2[[#This Row],[KOD_PRODUKTU]])&gt;0,"ELEMENT","PRODUKT")</f>
        <v>#REF!</v>
      </c>
      <c r="M1564" t="e">
        <f>COUNTIF(#REF!,Tabela2[[#This Row],[KOD_PRODUKTU]])</f>
        <v>#REF!</v>
      </c>
    </row>
    <row r="1565" spans="1:13" x14ac:dyDescent="0.25">
      <c r="A1565" s="1" t="s">
        <v>2598</v>
      </c>
      <c r="B1565" t="s">
        <v>2599</v>
      </c>
      <c r="C1565" s="1" t="s">
        <v>2616</v>
      </c>
      <c r="D1565" s="1" t="s">
        <v>2616</v>
      </c>
      <c r="E1565" s="1" t="s">
        <v>2616</v>
      </c>
      <c r="F1565" t="s">
        <v>2617</v>
      </c>
      <c r="G1565" t="s">
        <v>288</v>
      </c>
      <c r="H1565" t="s">
        <v>39</v>
      </c>
      <c r="I1565" t="s">
        <v>40</v>
      </c>
      <c r="J1565">
        <v>0.03</v>
      </c>
      <c r="K1565" t="e">
        <f>IF(COUNTIF(#REF!,Tabela2[[#This Row],[IdxWspolny]])&gt;0,"ELEM_lub_PRD","TECHN")</f>
        <v>#REF!</v>
      </c>
      <c r="L1565" t="e">
        <f>IF(COUNTIF(#REF!,Tabela2[[#This Row],[KOD_PRODUKTU]])&gt;0,"ELEMENT","PRODUKT")</f>
        <v>#REF!</v>
      </c>
      <c r="M1565" t="e">
        <f>COUNTIF(#REF!,Tabela2[[#This Row],[KOD_PRODUKTU]])</f>
        <v>#REF!</v>
      </c>
    </row>
    <row r="1566" spans="1:13" x14ac:dyDescent="0.25">
      <c r="A1566" s="1" t="s">
        <v>2598</v>
      </c>
      <c r="B1566" t="s">
        <v>2599</v>
      </c>
      <c r="C1566" s="1" t="s">
        <v>2618</v>
      </c>
      <c r="D1566" s="1" t="s">
        <v>2618</v>
      </c>
      <c r="E1566" s="1" t="s">
        <v>2618</v>
      </c>
      <c r="F1566" t="s">
        <v>2619</v>
      </c>
      <c r="G1566" t="s">
        <v>1768</v>
      </c>
      <c r="H1566" t="s">
        <v>39</v>
      </c>
      <c r="I1566" t="s">
        <v>40</v>
      </c>
      <c r="J1566">
        <v>0</v>
      </c>
      <c r="K1566" t="e">
        <f>IF(COUNTIF(#REF!,Tabela2[[#This Row],[IdxWspolny]])&gt;0,"ELEM_lub_PRD","TECHN")</f>
        <v>#REF!</v>
      </c>
      <c r="L1566" t="e">
        <f>IF(COUNTIF(#REF!,Tabela2[[#This Row],[KOD_PRODUKTU]])&gt;0,"ELEMENT","PRODUKT")</f>
        <v>#REF!</v>
      </c>
      <c r="M1566" t="e">
        <f>COUNTIF(#REF!,Tabela2[[#This Row],[KOD_PRODUKTU]])</f>
        <v>#REF!</v>
      </c>
    </row>
    <row r="1567" spans="1:13" x14ac:dyDescent="0.25">
      <c r="A1567" s="1" t="s">
        <v>2598</v>
      </c>
      <c r="B1567" t="s">
        <v>2599</v>
      </c>
      <c r="C1567" s="1" t="s">
        <v>2620</v>
      </c>
      <c r="D1567" s="1" t="s">
        <v>2620</v>
      </c>
      <c r="E1567" s="1" t="s">
        <v>2620</v>
      </c>
      <c r="F1567" t="s">
        <v>2621</v>
      </c>
      <c r="G1567" t="s">
        <v>2622</v>
      </c>
      <c r="H1567" t="s">
        <v>121</v>
      </c>
      <c r="I1567" t="s">
        <v>50</v>
      </c>
      <c r="J1567">
        <v>1.08</v>
      </c>
      <c r="K1567" t="e">
        <f>IF(COUNTIF(#REF!,Tabela2[[#This Row],[IdxWspolny]])&gt;0,"ELEM_lub_PRD","TECHN")</f>
        <v>#REF!</v>
      </c>
      <c r="L1567" t="e">
        <f>IF(COUNTIF(#REF!,Tabela2[[#This Row],[KOD_PRODUKTU]])&gt;0,"ELEMENT","PRODUKT")</f>
        <v>#REF!</v>
      </c>
      <c r="M1567" t="e">
        <f>COUNTIF(#REF!,Tabela2[[#This Row],[KOD_PRODUKTU]])</f>
        <v>#REF!</v>
      </c>
    </row>
    <row r="1568" spans="1:13" x14ac:dyDescent="0.25">
      <c r="A1568" s="1" t="s">
        <v>2598</v>
      </c>
      <c r="B1568" t="s">
        <v>2599</v>
      </c>
      <c r="C1568" s="1" t="s">
        <v>2623</v>
      </c>
      <c r="D1568" s="1" t="s">
        <v>2623</v>
      </c>
      <c r="E1568" s="1" t="s">
        <v>2623</v>
      </c>
      <c r="F1568" t="s">
        <v>2624</v>
      </c>
      <c r="G1568" t="s">
        <v>2625</v>
      </c>
      <c r="H1568" t="s">
        <v>121</v>
      </c>
      <c r="I1568" t="s">
        <v>50</v>
      </c>
      <c r="J1568">
        <v>9.99</v>
      </c>
      <c r="K1568" t="e">
        <f>IF(COUNTIF(#REF!,Tabela2[[#This Row],[IdxWspolny]])&gt;0,"ELEM_lub_PRD","TECHN")</f>
        <v>#REF!</v>
      </c>
      <c r="L1568" t="e">
        <f>IF(COUNTIF(#REF!,Tabela2[[#This Row],[KOD_PRODUKTU]])&gt;0,"ELEMENT","PRODUKT")</f>
        <v>#REF!</v>
      </c>
      <c r="M1568" t="e">
        <f>COUNTIF(#REF!,Tabela2[[#This Row],[KOD_PRODUKTU]])</f>
        <v>#REF!</v>
      </c>
    </row>
    <row r="1569" spans="1:14" x14ac:dyDescent="0.25">
      <c r="A1569" s="1" t="s">
        <v>2598</v>
      </c>
      <c r="B1569" t="s">
        <v>2599</v>
      </c>
      <c r="C1569" s="1" t="s">
        <v>2626</v>
      </c>
      <c r="D1569" s="1" t="s">
        <v>2626</v>
      </c>
      <c r="E1569" s="1" t="s">
        <v>2626</v>
      </c>
      <c r="F1569" t="s">
        <v>2627</v>
      </c>
      <c r="G1569" t="s">
        <v>2628</v>
      </c>
      <c r="H1569" t="s">
        <v>121</v>
      </c>
      <c r="I1569" t="s">
        <v>50</v>
      </c>
      <c r="J1569">
        <v>0.21</v>
      </c>
      <c r="K1569" t="e">
        <f>IF(COUNTIF(#REF!,Tabela2[[#This Row],[IdxWspolny]])&gt;0,"ELEM_lub_PRD","TECHN")</f>
        <v>#REF!</v>
      </c>
      <c r="L1569" t="e">
        <f>IF(COUNTIF(#REF!,Tabela2[[#This Row],[KOD_PRODUKTU]])&gt;0,"ELEMENT","PRODUKT")</f>
        <v>#REF!</v>
      </c>
      <c r="M1569" t="e">
        <f>COUNTIF(#REF!,Tabela2[[#This Row],[KOD_PRODUKTU]])</f>
        <v>#REF!</v>
      </c>
    </row>
    <row r="1570" spans="1:14" x14ac:dyDescent="0.25">
      <c r="A1570" s="1" t="s">
        <v>2598</v>
      </c>
      <c r="B1570" t="s">
        <v>2599</v>
      </c>
      <c r="C1570" s="1" t="s">
        <v>2629</v>
      </c>
      <c r="D1570" s="1" t="s">
        <v>2629</v>
      </c>
      <c r="E1570" s="1" t="s">
        <v>2629</v>
      </c>
      <c r="F1570" t="s">
        <v>2630</v>
      </c>
      <c r="G1570" t="s">
        <v>2631</v>
      </c>
      <c r="H1570" t="s">
        <v>121</v>
      </c>
      <c r="I1570" t="s">
        <v>50</v>
      </c>
      <c r="J1570">
        <v>178.33</v>
      </c>
      <c r="K1570" t="e">
        <f>IF(COUNTIF(#REF!,Tabela2[[#This Row],[IdxWspolny]])&gt;0,"ELEM_lub_PRD","TECHN")</f>
        <v>#REF!</v>
      </c>
      <c r="L1570" t="e">
        <f>IF(COUNTIF(#REF!,Tabela2[[#This Row],[KOD_PRODUKTU]])&gt;0,"ELEMENT","PRODUKT")</f>
        <v>#REF!</v>
      </c>
      <c r="M1570" t="e">
        <f>COUNTIF(#REF!,Tabela2[[#This Row],[KOD_PRODUKTU]])</f>
        <v>#REF!</v>
      </c>
      <c r="N1570" t="s">
        <v>55</v>
      </c>
    </row>
    <row r="1571" spans="1:14" hidden="1" x14ac:dyDescent="0.25">
      <c r="A1571" s="1" t="s">
        <v>2598</v>
      </c>
      <c r="B1571" t="s">
        <v>2599</v>
      </c>
      <c r="C1571" s="1" t="s">
        <v>2632</v>
      </c>
      <c r="D1571" s="1" t="s">
        <v>2632</v>
      </c>
      <c r="E1571" s="1" t="s">
        <v>2632</v>
      </c>
      <c r="F1571" t="s">
        <v>2633</v>
      </c>
      <c r="G1571" t="s">
        <v>2634</v>
      </c>
      <c r="H1571" t="s">
        <v>121</v>
      </c>
      <c r="I1571" t="s">
        <v>50</v>
      </c>
      <c r="J1571">
        <v>258.06</v>
      </c>
      <c r="K1571" t="e">
        <f>IF(COUNTIF(#REF!,Tabela2[[#This Row],[IdxWspolny]])&gt;0,"ELEM_lub_PRD","TECHN")</f>
        <v>#REF!</v>
      </c>
      <c r="L1571" t="e">
        <f>IF(COUNTIF(#REF!,Tabela2[[#This Row],[KOD_PRODUKTU]])&gt;0,"ELEMENT","PRODUKT")</f>
        <v>#REF!</v>
      </c>
      <c r="M1571" t="e">
        <f>COUNTIF(#REF!,Tabela2[[#This Row],[KOD_PRODUKTU]])</f>
        <v>#REF!</v>
      </c>
      <c r="N1571" t="s">
        <v>55</v>
      </c>
    </row>
    <row r="1572" spans="1:14" hidden="1" x14ac:dyDescent="0.25">
      <c r="A1572" s="1" t="s">
        <v>2598</v>
      </c>
      <c r="B1572" t="s">
        <v>2599</v>
      </c>
      <c r="C1572" s="1" t="s">
        <v>2635</v>
      </c>
      <c r="D1572" s="1" t="s">
        <v>2635</v>
      </c>
      <c r="E1572" s="1" t="s">
        <v>2635</v>
      </c>
      <c r="F1572" t="s">
        <v>2636</v>
      </c>
      <c r="G1572" t="s">
        <v>2637</v>
      </c>
      <c r="H1572" t="s">
        <v>121</v>
      </c>
      <c r="I1572" t="s">
        <v>50</v>
      </c>
      <c r="J1572">
        <v>176.5</v>
      </c>
      <c r="K1572" t="e">
        <f>IF(COUNTIF(#REF!,Tabela2[[#This Row],[IdxWspolny]])&gt;0,"ELEM_lub_PRD","TECHN")</f>
        <v>#REF!</v>
      </c>
      <c r="L1572" t="e">
        <f>IF(COUNTIF(#REF!,Tabela2[[#This Row],[KOD_PRODUKTU]])&gt;0,"ELEMENT","PRODUKT")</f>
        <v>#REF!</v>
      </c>
      <c r="M1572" t="e">
        <f>COUNTIF(#REF!,Tabela2[[#This Row],[KOD_PRODUKTU]])</f>
        <v>#REF!</v>
      </c>
      <c r="N1572" t="s">
        <v>55</v>
      </c>
    </row>
    <row r="1573" spans="1:14" hidden="1" x14ac:dyDescent="0.25">
      <c r="A1573" s="1" t="s">
        <v>2598</v>
      </c>
      <c r="B1573" t="s">
        <v>2599</v>
      </c>
      <c r="C1573" s="1" t="s">
        <v>2638</v>
      </c>
      <c r="D1573" s="1" t="s">
        <v>2638</v>
      </c>
      <c r="E1573" s="1" t="s">
        <v>2638</v>
      </c>
      <c r="F1573" t="s">
        <v>2639</v>
      </c>
      <c r="G1573" t="s">
        <v>2640</v>
      </c>
      <c r="H1573" t="s">
        <v>121</v>
      </c>
      <c r="I1573" t="s">
        <v>50</v>
      </c>
      <c r="J1573">
        <v>115.95</v>
      </c>
      <c r="K1573" t="e">
        <f>IF(COUNTIF(#REF!,Tabela2[[#This Row],[IdxWspolny]])&gt;0,"ELEM_lub_PRD","TECHN")</f>
        <v>#REF!</v>
      </c>
      <c r="L1573" t="e">
        <f>IF(COUNTIF(#REF!,Tabela2[[#This Row],[KOD_PRODUKTU]])&gt;0,"ELEMENT","PRODUKT")</f>
        <v>#REF!</v>
      </c>
      <c r="M1573" t="e">
        <f>COUNTIF(#REF!,Tabela2[[#This Row],[KOD_PRODUKTU]])</f>
        <v>#REF!</v>
      </c>
      <c r="N1573" t="s">
        <v>55</v>
      </c>
    </row>
    <row r="1574" spans="1:14" x14ac:dyDescent="0.25">
      <c r="A1574" s="1" t="s">
        <v>2598</v>
      </c>
      <c r="B1574" t="s">
        <v>2599</v>
      </c>
      <c r="C1574" s="1" t="s">
        <v>684</v>
      </c>
      <c r="D1574" s="1" t="s">
        <v>684</v>
      </c>
      <c r="E1574" s="1" t="s">
        <v>684</v>
      </c>
      <c r="F1574" t="s">
        <v>685</v>
      </c>
      <c r="G1574" t="s">
        <v>686</v>
      </c>
      <c r="H1574" t="s">
        <v>49</v>
      </c>
      <c r="I1574" t="s">
        <v>50</v>
      </c>
      <c r="J1574">
        <v>0.01</v>
      </c>
      <c r="K1574" t="e">
        <f>IF(COUNTIF(#REF!,Tabela2[[#This Row],[IdxWspolny]])&gt;0,"ELEM_lub_PRD","TECHN")</f>
        <v>#REF!</v>
      </c>
      <c r="L1574" t="e">
        <f>IF(COUNTIF(#REF!,Tabela2[[#This Row],[KOD_PRODUKTU]])&gt;0,"ELEMENT","PRODUKT")</f>
        <v>#REF!</v>
      </c>
      <c r="M1574" t="e">
        <f>COUNTIF(#REF!,Tabela2[[#This Row],[KOD_PRODUKTU]])</f>
        <v>#REF!</v>
      </c>
    </row>
    <row r="1575" spans="1:14" x14ac:dyDescent="0.25">
      <c r="A1575" s="1" t="s">
        <v>2598</v>
      </c>
      <c r="B1575" t="s">
        <v>2599</v>
      </c>
      <c r="C1575" s="1" t="s">
        <v>684</v>
      </c>
      <c r="D1575" s="1" t="s">
        <v>684</v>
      </c>
      <c r="E1575" s="1" t="s">
        <v>684</v>
      </c>
      <c r="F1575" t="s">
        <v>685</v>
      </c>
      <c r="G1575" t="s">
        <v>686</v>
      </c>
      <c r="H1575" t="s">
        <v>49</v>
      </c>
      <c r="I1575" t="s">
        <v>2641</v>
      </c>
      <c r="J1575">
        <v>9</v>
      </c>
      <c r="K1575" t="e">
        <f>IF(COUNTIF(#REF!,Tabela2[[#This Row],[IdxWspolny]])&gt;0,"ELEM_lub_PRD","TECHN")</f>
        <v>#REF!</v>
      </c>
      <c r="L1575" t="e">
        <f>IF(COUNTIF(#REF!,Tabela2[[#This Row],[KOD_PRODUKTU]])&gt;0,"ELEMENT","PRODUKT")</f>
        <v>#REF!</v>
      </c>
      <c r="M1575" t="e">
        <f>COUNTIF(#REF!,Tabela2[[#This Row],[KOD_PRODUKTU]])</f>
        <v>#REF!</v>
      </c>
    </row>
    <row r="1576" spans="1:14" x14ac:dyDescent="0.25">
      <c r="A1576" s="1" t="s">
        <v>2598</v>
      </c>
      <c r="B1576" t="s">
        <v>2599</v>
      </c>
      <c r="C1576" s="1" t="s">
        <v>684</v>
      </c>
      <c r="D1576" s="1" t="s">
        <v>684</v>
      </c>
      <c r="E1576" s="1" t="s">
        <v>684</v>
      </c>
      <c r="F1576" t="s">
        <v>685</v>
      </c>
      <c r="G1576" t="s">
        <v>686</v>
      </c>
      <c r="H1576" t="s">
        <v>49</v>
      </c>
      <c r="I1576" t="s">
        <v>2642</v>
      </c>
      <c r="J1576">
        <v>0.34</v>
      </c>
      <c r="K1576" t="e">
        <f>IF(COUNTIF(#REF!,Tabela2[[#This Row],[IdxWspolny]])&gt;0,"ELEM_lub_PRD","TECHN")</f>
        <v>#REF!</v>
      </c>
      <c r="L1576" t="e">
        <f>IF(COUNTIF(#REF!,Tabela2[[#This Row],[KOD_PRODUKTU]])&gt;0,"ELEMENT","PRODUKT")</f>
        <v>#REF!</v>
      </c>
      <c r="M1576" t="e">
        <f>COUNTIF(#REF!,Tabela2[[#This Row],[KOD_PRODUKTU]])</f>
        <v>#REF!</v>
      </c>
    </row>
    <row r="1577" spans="1:14" x14ac:dyDescent="0.25">
      <c r="A1577" s="1" t="s">
        <v>2598</v>
      </c>
      <c r="B1577" t="s">
        <v>2599</v>
      </c>
      <c r="C1577" s="1" t="s">
        <v>541</v>
      </c>
      <c r="D1577" s="1" t="s">
        <v>541</v>
      </c>
      <c r="E1577" s="1" t="s">
        <v>541</v>
      </c>
      <c r="F1577" t="s">
        <v>542</v>
      </c>
      <c r="G1577" t="s">
        <v>9</v>
      </c>
      <c r="H1577" t="s">
        <v>10</v>
      </c>
      <c r="I1577" t="s">
        <v>2643</v>
      </c>
      <c r="J1577">
        <v>72.45</v>
      </c>
      <c r="K1577" t="e">
        <f>IF(COUNTIF(#REF!,Tabela2[[#This Row],[IdxWspolny]])&gt;0,"ELEM_lub_PRD","TECHN")</f>
        <v>#REF!</v>
      </c>
      <c r="L1577" t="e">
        <f>IF(COUNTIF(#REF!,Tabela2[[#This Row],[KOD_PRODUKTU]])&gt;0,"ELEMENT","PRODUKT")</f>
        <v>#REF!</v>
      </c>
      <c r="M1577" t="e">
        <f>COUNTIF(#REF!,Tabela2[[#This Row],[KOD_PRODUKTU]])</f>
        <v>#REF!</v>
      </c>
    </row>
    <row r="1578" spans="1:14" x14ac:dyDescent="0.25">
      <c r="A1578" s="1" t="s">
        <v>2598</v>
      </c>
      <c r="B1578" t="s">
        <v>2599</v>
      </c>
      <c r="C1578" s="1" t="s">
        <v>541</v>
      </c>
      <c r="D1578" s="1" t="s">
        <v>541</v>
      </c>
      <c r="E1578" s="1" t="s">
        <v>541</v>
      </c>
      <c r="F1578" t="s">
        <v>542</v>
      </c>
      <c r="G1578" t="s">
        <v>9</v>
      </c>
      <c r="H1578" t="s">
        <v>10</v>
      </c>
      <c r="I1578" t="s">
        <v>1511</v>
      </c>
      <c r="J1578">
        <v>33.81</v>
      </c>
      <c r="K1578" t="e">
        <f>IF(COUNTIF(#REF!,Tabela2[[#This Row],[IdxWspolny]])&gt;0,"ELEM_lub_PRD","TECHN")</f>
        <v>#REF!</v>
      </c>
      <c r="L1578" t="e">
        <f>IF(COUNTIF(#REF!,Tabela2[[#This Row],[KOD_PRODUKTU]])&gt;0,"ELEMENT","PRODUKT")</f>
        <v>#REF!</v>
      </c>
      <c r="M1578" t="e">
        <f>COUNTIF(#REF!,Tabela2[[#This Row],[KOD_PRODUKTU]])</f>
        <v>#REF!</v>
      </c>
    </row>
    <row r="1579" spans="1:14" x14ac:dyDescent="0.25">
      <c r="A1579" s="1" t="s">
        <v>2598</v>
      </c>
      <c r="B1579" t="s">
        <v>2599</v>
      </c>
      <c r="C1579" s="1" t="s">
        <v>541</v>
      </c>
      <c r="D1579" s="1" t="s">
        <v>541</v>
      </c>
      <c r="E1579" s="1" t="s">
        <v>541</v>
      </c>
      <c r="F1579" t="s">
        <v>542</v>
      </c>
      <c r="G1579" t="s">
        <v>9</v>
      </c>
      <c r="H1579" t="s">
        <v>10</v>
      </c>
      <c r="I1579" t="s">
        <v>2315</v>
      </c>
      <c r="J1579">
        <v>41.4</v>
      </c>
      <c r="K1579" t="e">
        <f>IF(COUNTIF(#REF!,Tabela2[[#This Row],[IdxWspolny]])&gt;0,"ELEM_lub_PRD","TECHN")</f>
        <v>#REF!</v>
      </c>
      <c r="L1579" t="e">
        <f>IF(COUNTIF(#REF!,Tabela2[[#This Row],[KOD_PRODUKTU]])&gt;0,"ELEMENT","PRODUKT")</f>
        <v>#REF!</v>
      </c>
      <c r="M1579" t="e">
        <f>COUNTIF(#REF!,Tabela2[[#This Row],[KOD_PRODUKTU]])</f>
        <v>#REF!</v>
      </c>
    </row>
    <row r="1580" spans="1:14" x14ac:dyDescent="0.25">
      <c r="A1580" s="1" t="s">
        <v>2598</v>
      </c>
      <c r="B1580" t="s">
        <v>2599</v>
      </c>
      <c r="C1580" s="1" t="s">
        <v>541</v>
      </c>
      <c r="D1580" s="1" t="s">
        <v>541</v>
      </c>
      <c r="E1580" s="1" t="s">
        <v>541</v>
      </c>
      <c r="F1580" t="s">
        <v>542</v>
      </c>
      <c r="G1580" t="s">
        <v>9</v>
      </c>
      <c r="H1580" t="s">
        <v>10</v>
      </c>
      <c r="I1580" t="s">
        <v>33</v>
      </c>
      <c r="J1580">
        <v>9.1999999999999993</v>
      </c>
      <c r="K1580" t="e">
        <f>IF(COUNTIF(#REF!,Tabela2[[#This Row],[IdxWspolny]])&gt;0,"ELEM_lub_PRD","TECHN")</f>
        <v>#REF!</v>
      </c>
      <c r="L1580" t="e">
        <f>IF(COUNTIF(#REF!,Tabela2[[#This Row],[KOD_PRODUKTU]])&gt;0,"ELEMENT","PRODUKT")</f>
        <v>#REF!</v>
      </c>
      <c r="M1580" t="e">
        <f>COUNTIF(#REF!,Tabela2[[#This Row],[KOD_PRODUKTU]])</f>
        <v>#REF!</v>
      </c>
    </row>
    <row r="1581" spans="1:14" x14ac:dyDescent="0.25">
      <c r="A1581" s="1" t="s">
        <v>2644</v>
      </c>
      <c r="B1581" t="s">
        <v>2645</v>
      </c>
      <c r="C1581" s="1" t="s">
        <v>1249</v>
      </c>
      <c r="D1581" s="1" t="s">
        <v>1249</v>
      </c>
      <c r="E1581" s="1" t="s">
        <v>1249</v>
      </c>
      <c r="F1581" t="s">
        <v>1250</v>
      </c>
      <c r="G1581" t="s">
        <v>1251</v>
      </c>
      <c r="H1581" t="s">
        <v>1252</v>
      </c>
      <c r="I1581" t="s">
        <v>2646</v>
      </c>
      <c r="J1581">
        <v>462</v>
      </c>
      <c r="K1581" t="e">
        <f>IF(COUNTIF(#REF!,Tabela2[[#This Row],[IdxWspolny]])&gt;0,"ELEM_lub_PRD","TECHN")</f>
        <v>#REF!</v>
      </c>
      <c r="L1581" t="e">
        <f>IF(COUNTIF(#REF!,Tabela2[[#This Row],[KOD_PRODUKTU]])&gt;0,"ELEMENT","PRODUKT")</f>
        <v>#REF!</v>
      </c>
      <c r="M1581" t="e">
        <f>COUNTIF(#REF!,Tabela2[[#This Row],[KOD_PRODUKTU]])</f>
        <v>#REF!</v>
      </c>
    </row>
    <row r="1582" spans="1:14" x14ac:dyDescent="0.25">
      <c r="A1582" s="1" t="s">
        <v>2644</v>
      </c>
      <c r="B1582" t="s">
        <v>2645</v>
      </c>
      <c r="C1582" s="1" t="s">
        <v>541</v>
      </c>
      <c r="D1582" s="1" t="s">
        <v>541</v>
      </c>
      <c r="E1582" s="1" t="s">
        <v>541</v>
      </c>
      <c r="F1582" t="s">
        <v>542</v>
      </c>
      <c r="G1582" t="s">
        <v>9</v>
      </c>
      <c r="H1582" t="s">
        <v>10</v>
      </c>
      <c r="I1582" t="s">
        <v>2647</v>
      </c>
      <c r="J1582">
        <v>663.71</v>
      </c>
      <c r="K1582" t="e">
        <f>IF(COUNTIF(#REF!,Tabela2[[#This Row],[IdxWspolny]])&gt;0,"ELEM_lub_PRD","TECHN")</f>
        <v>#REF!</v>
      </c>
      <c r="L1582" t="e">
        <f>IF(COUNTIF(#REF!,Tabela2[[#This Row],[KOD_PRODUKTU]])&gt;0,"ELEMENT","PRODUKT")</f>
        <v>#REF!</v>
      </c>
      <c r="M1582" t="e">
        <f>COUNTIF(#REF!,Tabela2[[#This Row],[KOD_PRODUKTU]])</f>
        <v>#REF!</v>
      </c>
    </row>
    <row r="1583" spans="1:14" x14ac:dyDescent="0.25">
      <c r="A1583" s="1" t="s">
        <v>2644</v>
      </c>
      <c r="B1583" t="s">
        <v>2645</v>
      </c>
      <c r="C1583" s="1" t="s">
        <v>7</v>
      </c>
      <c r="D1583" s="1" t="s">
        <v>7</v>
      </c>
      <c r="E1583" s="1" t="s">
        <v>7</v>
      </c>
      <c r="F1583" t="s">
        <v>8</v>
      </c>
      <c r="G1583" t="s">
        <v>9</v>
      </c>
      <c r="H1583" t="s">
        <v>10</v>
      </c>
      <c r="I1583" t="s">
        <v>2648</v>
      </c>
      <c r="J1583">
        <v>104.62</v>
      </c>
      <c r="K1583" t="e">
        <f>IF(COUNTIF(#REF!,Tabela2[[#This Row],[IdxWspolny]])&gt;0,"ELEM_lub_PRD","TECHN")</f>
        <v>#REF!</v>
      </c>
      <c r="L1583" t="e">
        <f>IF(COUNTIF(#REF!,Tabela2[[#This Row],[KOD_PRODUKTU]])&gt;0,"ELEMENT","PRODUKT")</f>
        <v>#REF!</v>
      </c>
      <c r="M1583" t="e">
        <f>COUNTIF(#REF!,Tabela2[[#This Row],[KOD_PRODUKTU]])</f>
        <v>#REF!</v>
      </c>
    </row>
    <row r="1584" spans="1:14" x14ac:dyDescent="0.25">
      <c r="A1584" s="1" t="s">
        <v>2649</v>
      </c>
      <c r="B1584" t="s">
        <v>2650</v>
      </c>
      <c r="C1584" s="1" t="s">
        <v>1249</v>
      </c>
      <c r="D1584" s="1" t="s">
        <v>1249</v>
      </c>
      <c r="E1584" s="1" t="s">
        <v>1249</v>
      </c>
      <c r="F1584" t="s">
        <v>1250</v>
      </c>
      <c r="G1584" t="s">
        <v>1251</v>
      </c>
      <c r="H1584" t="s">
        <v>1252</v>
      </c>
      <c r="I1584" t="s">
        <v>2651</v>
      </c>
      <c r="J1584">
        <v>564.36</v>
      </c>
      <c r="K1584" t="e">
        <f>IF(COUNTIF(#REF!,Tabela2[[#This Row],[IdxWspolny]])&gt;0,"ELEM_lub_PRD","TECHN")</f>
        <v>#REF!</v>
      </c>
      <c r="L1584" t="e">
        <f>IF(COUNTIF(#REF!,Tabela2[[#This Row],[KOD_PRODUKTU]])&gt;0,"ELEMENT","PRODUKT")</f>
        <v>#REF!</v>
      </c>
      <c r="M1584" t="e">
        <f>COUNTIF(#REF!,Tabela2[[#This Row],[KOD_PRODUKTU]])</f>
        <v>#REF!</v>
      </c>
    </row>
    <row r="1585" spans="1:13" x14ac:dyDescent="0.25">
      <c r="A1585" s="1" t="s">
        <v>2649</v>
      </c>
      <c r="B1585" t="s">
        <v>2650</v>
      </c>
      <c r="C1585" s="1" t="s">
        <v>7</v>
      </c>
      <c r="D1585" s="1" t="s">
        <v>7</v>
      </c>
      <c r="E1585" s="1" t="s">
        <v>7</v>
      </c>
      <c r="F1585" t="s">
        <v>8</v>
      </c>
      <c r="G1585" t="s">
        <v>9</v>
      </c>
      <c r="H1585" t="s">
        <v>10</v>
      </c>
      <c r="I1585" t="s">
        <v>2652</v>
      </c>
      <c r="J1585">
        <v>160.30000000000001</v>
      </c>
      <c r="K1585" t="e">
        <f>IF(COUNTIF(#REF!,Tabela2[[#This Row],[IdxWspolny]])&gt;0,"ELEM_lub_PRD","TECHN")</f>
        <v>#REF!</v>
      </c>
      <c r="L1585" t="e">
        <f>IF(COUNTIF(#REF!,Tabela2[[#This Row],[KOD_PRODUKTU]])&gt;0,"ELEMENT","PRODUKT")</f>
        <v>#REF!</v>
      </c>
      <c r="M1585" t="e">
        <f>COUNTIF(#REF!,Tabela2[[#This Row],[KOD_PRODUKTU]])</f>
        <v>#REF!</v>
      </c>
    </row>
    <row r="1586" spans="1:13" x14ac:dyDescent="0.25">
      <c r="A1586" s="1" t="s">
        <v>2649</v>
      </c>
      <c r="B1586" t="s">
        <v>2650</v>
      </c>
      <c r="C1586" s="1" t="s">
        <v>7</v>
      </c>
      <c r="D1586" s="1" t="s">
        <v>7</v>
      </c>
      <c r="E1586" s="1" t="s">
        <v>7</v>
      </c>
      <c r="F1586" t="s">
        <v>8</v>
      </c>
      <c r="G1586" t="s">
        <v>9</v>
      </c>
      <c r="H1586" t="s">
        <v>10</v>
      </c>
      <c r="I1586" t="s">
        <v>2653</v>
      </c>
      <c r="J1586">
        <v>1052.3499999999999</v>
      </c>
      <c r="K1586" t="e">
        <f>IF(COUNTIF(#REF!,Tabela2[[#This Row],[IdxWspolny]])&gt;0,"ELEM_lub_PRD","TECHN")</f>
        <v>#REF!</v>
      </c>
      <c r="L1586" t="e">
        <f>IF(COUNTIF(#REF!,Tabela2[[#This Row],[KOD_PRODUKTU]])&gt;0,"ELEMENT","PRODUKT")</f>
        <v>#REF!</v>
      </c>
      <c r="M1586" t="e">
        <f>COUNTIF(#REF!,Tabela2[[#This Row],[KOD_PRODUKTU]])</f>
        <v>#REF!</v>
      </c>
    </row>
    <row r="1587" spans="1:13" x14ac:dyDescent="0.25">
      <c r="A1587" s="1" t="s">
        <v>2654</v>
      </c>
      <c r="B1587" t="s">
        <v>2655</v>
      </c>
      <c r="C1587" s="1" t="s">
        <v>1249</v>
      </c>
      <c r="D1587" s="1" t="s">
        <v>1249</v>
      </c>
      <c r="E1587" s="1" t="s">
        <v>1249</v>
      </c>
      <c r="F1587" t="s">
        <v>1250</v>
      </c>
      <c r="G1587" t="s">
        <v>1251</v>
      </c>
      <c r="H1587" t="s">
        <v>1252</v>
      </c>
      <c r="I1587" t="s">
        <v>2646</v>
      </c>
      <c r="J1587">
        <v>462</v>
      </c>
      <c r="K1587" t="e">
        <f>IF(COUNTIF(#REF!,Tabela2[[#This Row],[IdxWspolny]])&gt;0,"ELEM_lub_PRD","TECHN")</f>
        <v>#REF!</v>
      </c>
      <c r="L1587" t="e">
        <f>IF(COUNTIF(#REF!,Tabela2[[#This Row],[KOD_PRODUKTU]])&gt;0,"ELEMENT","PRODUKT")</f>
        <v>#REF!</v>
      </c>
      <c r="M1587" t="e">
        <f>COUNTIF(#REF!,Tabela2[[#This Row],[KOD_PRODUKTU]])</f>
        <v>#REF!</v>
      </c>
    </row>
    <row r="1588" spans="1:13" x14ac:dyDescent="0.25">
      <c r="A1588" s="1" t="s">
        <v>2654</v>
      </c>
      <c r="B1588" t="s">
        <v>2655</v>
      </c>
      <c r="C1588" s="1" t="s">
        <v>7</v>
      </c>
      <c r="D1588" s="1" t="s">
        <v>7</v>
      </c>
      <c r="E1588" s="1" t="s">
        <v>7</v>
      </c>
      <c r="F1588" t="s">
        <v>8</v>
      </c>
      <c r="G1588" t="s">
        <v>9</v>
      </c>
      <c r="H1588" t="s">
        <v>10</v>
      </c>
      <c r="I1588" t="s">
        <v>2656</v>
      </c>
      <c r="J1588">
        <v>104.81</v>
      </c>
      <c r="K1588" t="e">
        <f>IF(COUNTIF(#REF!,Tabela2[[#This Row],[IdxWspolny]])&gt;0,"ELEM_lub_PRD","TECHN")</f>
        <v>#REF!</v>
      </c>
      <c r="L1588" t="e">
        <f>IF(COUNTIF(#REF!,Tabela2[[#This Row],[KOD_PRODUKTU]])&gt;0,"ELEMENT","PRODUKT")</f>
        <v>#REF!</v>
      </c>
      <c r="M1588" t="e">
        <f>COUNTIF(#REF!,Tabela2[[#This Row],[KOD_PRODUKTU]])</f>
        <v>#REF!</v>
      </c>
    </row>
    <row r="1589" spans="1:13" x14ac:dyDescent="0.25">
      <c r="A1589" s="1" t="s">
        <v>2654</v>
      </c>
      <c r="B1589" t="s">
        <v>2655</v>
      </c>
      <c r="C1589" s="1" t="s">
        <v>7</v>
      </c>
      <c r="D1589" s="1" t="s">
        <v>7</v>
      </c>
      <c r="E1589" s="1" t="s">
        <v>7</v>
      </c>
      <c r="F1589" t="s">
        <v>8</v>
      </c>
      <c r="G1589" t="s">
        <v>9</v>
      </c>
      <c r="H1589" t="s">
        <v>10</v>
      </c>
      <c r="I1589" t="s">
        <v>2657</v>
      </c>
      <c r="J1589">
        <v>664.11</v>
      </c>
      <c r="K1589" t="e">
        <f>IF(COUNTIF(#REF!,Tabela2[[#This Row],[IdxWspolny]])&gt;0,"ELEM_lub_PRD","TECHN")</f>
        <v>#REF!</v>
      </c>
      <c r="L1589" t="e">
        <f>IF(COUNTIF(#REF!,Tabela2[[#This Row],[KOD_PRODUKTU]])&gt;0,"ELEMENT","PRODUKT")</f>
        <v>#REF!</v>
      </c>
      <c r="M1589" t="e">
        <f>COUNTIF(#REF!,Tabela2[[#This Row],[KOD_PRODUKTU]])</f>
        <v>#REF!</v>
      </c>
    </row>
    <row r="1590" spans="1:13" x14ac:dyDescent="0.25">
      <c r="A1590" s="1" t="s">
        <v>2658</v>
      </c>
      <c r="B1590" t="s">
        <v>2659</v>
      </c>
      <c r="C1590" s="1" t="s">
        <v>1249</v>
      </c>
      <c r="D1590" s="1" t="s">
        <v>1249</v>
      </c>
      <c r="E1590" s="1" t="s">
        <v>1249</v>
      </c>
      <c r="F1590" t="s">
        <v>1250</v>
      </c>
      <c r="G1590" t="s">
        <v>1251</v>
      </c>
      <c r="H1590" t="s">
        <v>1252</v>
      </c>
      <c r="I1590" t="s">
        <v>2660</v>
      </c>
      <c r="J1590">
        <v>572.28</v>
      </c>
      <c r="K1590" t="e">
        <f>IF(COUNTIF(#REF!,Tabela2[[#This Row],[IdxWspolny]])&gt;0,"ELEM_lub_PRD","TECHN")</f>
        <v>#REF!</v>
      </c>
      <c r="L1590" t="e">
        <f>IF(COUNTIF(#REF!,Tabela2[[#This Row],[KOD_PRODUKTU]])&gt;0,"ELEMENT","PRODUKT")</f>
        <v>#REF!</v>
      </c>
      <c r="M1590" t="e">
        <f>COUNTIF(#REF!,Tabela2[[#This Row],[KOD_PRODUKTU]])</f>
        <v>#REF!</v>
      </c>
    </row>
    <row r="1591" spans="1:13" x14ac:dyDescent="0.25">
      <c r="A1591" s="1" t="s">
        <v>2658</v>
      </c>
      <c r="B1591" t="s">
        <v>2659</v>
      </c>
      <c r="C1591" s="1" t="s">
        <v>7</v>
      </c>
      <c r="D1591" s="1" t="s">
        <v>7</v>
      </c>
      <c r="E1591" s="1" t="s">
        <v>7</v>
      </c>
      <c r="F1591" t="s">
        <v>8</v>
      </c>
      <c r="G1591" t="s">
        <v>9</v>
      </c>
      <c r="H1591" t="s">
        <v>10</v>
      </c>
      <c r="I1591" t="s">
        <v>2661</v>
      </c>
      <c r="J1591">
        <v>149.5</v>
      </c>
      <c r="K1591" t="e">
        <f>IF(COUNTIF(#REF!,Tabela2[[#This Row],[IdxWspolny]])&gt;0,"ELEM_lub_PRD","TECHN")</f>
        <v>#REF!</v>
      </c>
      <c r="L1591" t="e">
        <f>IF(COUNTIF(#REF!,Tabela2[[#This Row],[KOD_PRODUKTU]])&gt;0,"ELEMENT","PRODUKT")</f>
        <v>#REF!</v>
      </c>
      <c r="M1591" t="e">
        <f>COUNTIF(#REF!,Tabela2[[#This Row],[KOD_PRODUKTU]])</f>
        <v>#REF!</v>
      </c>
    </row>
    <row r="1592" spans="1:13" x14ac:dyDescent="0.25">
      <c r="A1592" s="1" t="s">
        <v>2658</v>
      </c>
      <c r="B1592" t="s">
        <v>2659</v>
      </c>
      <c r="C1592" s="1" t="s">
        <v>7</v>
      </c>
      <c r="D1592" s="1" t="s">
        <v>7</v>
      </c>
      <c r="E1592" s="1" t="s">
        <v>7</v>
      </c>
      <c r="F1592" t="s">
        <v>8</v>
      </c>
      <c r="G1592" t="s">
        <v>9</v>
      </c>
      <c r="H1592" t="s">
        <v>10</v>
      </c>
      <c r="I1592" t="s">
        <v>2662</v>
      </c>
      <c r="J1592">
        <v>1058.33</v>
      </c>
      <c r="K1592" t="e">
        <f>IF(COUNTIF(#REF!,Tabela2[[#This Row],[IdxWspolny]])&gt;0,"ELEM_lub_PRD","TECHN")</f>
        <v>#REF!</v>
      </c>
      <c r="L1592" t="e">
        <f>IF(COUNTIF(#REF!,Tabela2[[#This Row],[KOD_PRODUKTU]])&gt;0,"ELEMENT","PRODUKT")</f>
        <v>#REF!</v>
      </c>
      <c r="M1592" t="e">
        <f>COUNTIF(#REF!,Tabela2[[#This Row],[KOD_PRODUKTU]])</f>
        <v>#REF!</v>
      </c>
    </row>
    <row r="1593" spans="1:13" x14ac:dyDescent="0.25">
      <c r="A1593" s="1" t="s">
        <v>2663</v>
      </c>
      <c r="B1593" t="s">
        <v>2664</v>
      </c>
      <c r="C1593" s="1" t="s">
        <v>1249</v>
      </c>
      <c r="D1593" s="1" t="s">
        <v>1249</v>
      </c>
      <c r="E1593" s="1" t="s">
        <v>1249</v>
      </c>
      <c r="F1593" t="s">
        <v>1250</v>
      </c>
      <c r="G1593" t="s">
        <v>1251</v>
      </c>
      <c r="H1593" t="s">
        <v>1252</v>
      </c>
      <c r="I1593" t="s">
        <v>2660</v>
      </c>
      <c r="J1593">
        <v>572.28</v>
      </c>
      <c r="K1593" t="e">
        <f>IF(COUNTIF(#REF!,Tabela2[[#This Row],[IdxWspolny]])&gt;0,"ELEM_lub_PRD","TECHN")</f>
        <v>#REF!</v>
      </c>
      <c r="L1593" t="e">
        <f>IF(COUNTIF(#REF!,Tabela2[[#This Row],[KOD_PRODUKTU]])&gt;0,"ELEMENT","PRODUKT")</f>
        <v>#REF!</v>
      </c>
      <c r="M1593" t="e">
        <f>COUNTIF(#REF!,Tabela2[[#This Row],[KOD_PRODUKTU]])</f>
        <v>#REF!</v>
      </c>
    </row>
    <row r="1594" spans="1:13" x14ac:dyDescent="0.25">
      <c r="A1594" s="1" t="s">
        <v>2663</v>
      </c>
      <c r="B1594" t="s">
        <v>2664</v>
      </c>
      <c r="C1594" s="1" t="s">
        <v>541</v>
      </c>
      <c r="D1594" s="1" t="s">
        <v>541</v>
      </c>
      <c r="E1594" s="1" t="s">
        <v>541</v>
      </c>
      <c r="F1594" t="s">
        <v>542</v>
      </c>
      <c r="G1594" t="s">
        <v>9</v>
      </c>
      <c r="H1594" t="s">
        <v>10</v>
      </c>
      <c r="I1594" t="s">
        <v>2662</v>
      </c>
      <c r="J1594">
        <v>1058.33</v>
      </c>
      <c r="K1594" t="e">
        <f>IF(COUNTIF(#REF!,Tabela2[[#This Row],[IdxWspolny]])&gt;0,"ELEM_lub_PRD","TECHN")</f>
        <v>#REF!</v>
      </c>
      <c r="L1594" t="e">
        <f>IF(COUNTIF(#REF!,Tabela2[[#This Row],[KOD_PRODUKTU]])&gt;0,"ELEMENT","PRODUKT")</f>
        <v>#REF!</v>
      </c>
      <c r="M1594" t="e">
        <f>COUNTIF(#REF!,Tabela2[[#This Row],[KOD_PRODUKTU]])</f>
        <v>#REF!</v>
      </c>
    </row>
    <row r="1595" spans="1:13" x14ac:dyDescent="0.25">
      <c r="A1595" s="1" t="s">
        <v>2663</v>
      </c>
      <c r="B1595" t="s">
        <v>2664</v>
      </c>
      <c r="C1595" s="1" t="s">
        <v>541</v>
      </c>
      <c r="D1595" s="1" t="s">
        <v>541</v>
      </c>
      <c r="E1595" s="1" t="s">
        <v>541</v>
      </c>
      <c r="F1595" t="s">
        <v>542</v>
      </c>
      <c r="G1595" t="s">
        <v>9</v>
      </c>
      <c r="H1595" t="s">
        <v>10</v>
      </c>
      <c r="I1595" t="s">
        <v>2665</v>
      </c>
      <c r="J1595">
        <v>156.6</v>
      </c>
      <c r="K1595" t="e">
        <f>IF(COUNTIF(#REF!,Tabela2[[#This Row],[IdxWspolny]])&gt;0,"ELEM_lub_PRD","TECHN")</f>
        <v>#REF!</v>
      </c>
      <c r="L1595" t="e">
        <f>IF(COUNTIF(#REF!,Tabela2[[#This Row],[KOD_PRODUKTU]])&gt;0,"ELEMENT","PRODUKT")</f>
        <v>#REF!</v>
      </c>
      <c r="M1595" t="e">
        <f>COUNTIF(#REF!,Tabela2[[#This Row],[KOD_PRODUKTU]])</f>
        <v>#REF!</v>
      </c>
    </row>
    <row r="1596" spans="1:13" x14ac:dyDescent="0.25">
      <c r="A1596" s="1" t="s">
        <v>2666</v>
      </c>
      <c r="B1596" t="s">
        <v>2667</v>
      </c>
      <c r="C1596" s="1" t="s">
        <v>2668</v>
      </c>
      <c r="D1596" s="1" t="s">
        <v>2668</v>
      </c>
      <c r="E1596" s="1" t="s">
        <v>2668</v>
      </c>
      <c r="F1596" t="s">
        <v>2669</v>
      </c>
      <c r="G1596" t="s">
        <v>2670</v>
      </c>
      <c r="H1596" t="s">
        <v>5</v>
      </c>
      <c r="I1596" t="s">
        <v>2671</v>
      </c>
      <c r="J1596">
        <v>4.75</v>
      </c>
      <c r="K1596" t="e">
        <f>IF(COUNTIF(#REF!,Tabela2[[#This Row],[IdxWspolny]])&gt;0,"ELEM_lub_PRD","TECHN")</f>
        <v>#REF!</v>
      </c>
      <c r="L1596" t="e">
        <f>IF(COUNTIF(#REF!,Tabela2[[#This Row],[KOD_PRODUKTU]])&gt;0,"ELEMENT","PRODUKT")</f>
        <v>#REF!</v>
      </c>
      <c r="M1596" t="e">
        <f>COUNTIF(#REF!,Tabela2[[#This Row],[KOD_PRODUKTU]])</f>
        <v>#REF!</v>
      </c>
    </row>
    <row r="1597" spans="1:13" x14ac:dyDescent="0.25">
      <c r="A1597" s="1" t="s">
        <v>2666</v>
      </c>
      <c r="B1597" t="s">
        <v>2667</v>
      </c>
      <c r="C1597" s="1" t="s">
        <v>2672</v>
      </c>
      <c r="D1597" s="1" t="s">
        <v>2672</v>
      </c>
      <c r="E1597" s="1" t="s">
        <v>2672</v>
      </c>
      <c r="F1597" t="s">
        <v>2673</v>
      </c>
      <c r="G1597" t="s">
        <v>2674</v>
      </c>
      <c r="H1597" t="s">
        <v>121</v>
      </c>
      <c r="I1597" t="s">
        <v>50</v>
      </c>
      <c r="J1597">
        <v>56</v>
      </c>
      <c r="K1597" t="e">
        <f>IF(COUNTIF(#REF!,Tabela2[[#This Row],[IdxWspolny]])&gt;0,"ELEM_lub_PRD","TECHN")</f>
        <v>#REF!</v>
      </c>
      <c r="L1597" t="e">
        <f>IF(COUNTIF(#REF!,Tabela2[[#This Row],[KOD_PRODUKTU]])&gt;0,"ELEMENT","PRODUKT")</f>
        <v>#REF!</v>
      </c>
      <c r="M1597" t="e">
        <f>COUNTIF(#REF!,Tabela2[[#This Row],[KOD_PRODUKTU]])</f>
        <v>#REF!</v>
      </c>
    </row>
    <row r="1598" spans="1:13" x14ac:dyDescent="0.25">
      <c r="A1598" s="1" t="s">
        <v>2666</v>
      </c>
      <c r="B1598" t="s">
        <v>2667</v>
      </c>
      <c r="C1598" s="1" t="s">
        <v>432</v>
      </c>
      <c r="D1598" s="1" t="s">
        <v>432</v>
      </c>
      <c r="E1598" s="1" t="s">
        <v>432</v>
      </c>
      <c r="F1598" t="s">
        <v>433</v>
      </c>
      <c r="G1598" t="s">
        <v>434</v>
      </c>
      <c r="H1598" t="s">
        <v>435</v>
      </c>
      <c r="I1598" t="s">
        <v>50</v>
      </c>
      <c r="J1598">
        <v>1.1000000000000001</v>
      </c>
      <c r="K1598" t="e">
        <f>IF(COUNTIF(#REF!,Tabela2[[#This Row],[IdxWspolny]])&gt;0,"ELEM_lub_PRD","TECHN")</f>
        <v>#REF!</v>
      </c>
      <c r="L1598" t="e">
        <f>IF(COUNTIF(#REF!,Tabela2[[#This Row],[KOD_PRODUKTU]])&gt;0,"ELEMENT","PRODUKT")</f>
        <v>#REF!</v>
      </c>
      <c r="M1598" t="e">
        <f>COUNTIF(#REF!,Tabela2[[#This Row],[KOD_PRODUKTU]])</f>
        <v>#REF!</v>
      </c>
    </row>
    <row r="1599" spans="1:13" x14ac:dyDescent="0.25">
      <c r="A1599" s="1" t="s">
        <v>2666</v>
      </c>
      <c r="B1599" t="s">
        <v>2667</v>
      </c>
      <c r="C1599" s="1" t="s">
        <v>7</v>
      </c>
      <c r="D1599" s="1" t="s">
        <v>7</v>
      </c>
      <c r="E1599" s="1" t="s">
        <v>7</v>
      </c>
      <c r="F1599" t="s">
        <v>8</v>
      </c>
      <c r="G1599" t="s">
        <v>9</v>
      </c>
      <c r="H1599" t="s">
        <v>10</v>
      </c>
      <c r="I1599" t="s">
        <v>2675</v>
      </c>
      <c r="J1599">
        <v>8.1999999999999993</v>
      </c>
      <c r="K1599" t="e">
        <f>IF(COUNTIF(#REF!,Tabela2[[#This Row],[IdxWspolny]])&gt;0,"ELEM_lub_PRD","TECHN")</f>
        <v>#REF!</v>
      </c>
      <c r="L1599" t="e">
        <f>IF(COUNTIF(#REF!,Tabela2[[#This Row],[KOD_PRODUKTU]])&gt;0,"ELEMENT","PRODUKT")</f>
        <v>#REF!</v>
      </c>
      <c r="M1599" t="e">
        <f>COUNTIF(#REF!,Tabela2[[#This Row],[KOD_PRODUKTU]])</f>
        <v>#REF!</v>
      </c>
    </row>
    <row r="1600" spans="1:13" x14ac:dyDescent="0.25">
      <c r="A1600" s="1" t="s">
        <v>2666</v>
      </c>
      <c r="B1600" t="s">
        <v>2667</v>
      </c>
      <c r="C1600" s="1" t="s">
        <v>7</v>
      </c>
      <c r="D1600" s="1" t="s">
        <v>7</v>
      </c>
      <c r="E1600" s="1" t="s">
        <v>7</v>
      </c>
      <c r="F1600" t="s">
        <v>8</v>
      </c>
      <c r="G1600" t="s">
        <v>9</v>
      </c>
      <c r="H1600" t="s">
        <v>10</v>
      </c>
      <c r="I1600" t="s">
        <v>2235</v>
      </c>
      <c r="J1600">
        <v>36</v>
      </c>
      <c r="K1600" t="e">
        <f>IF(COUNTIF(#REF!,Tabela2[[#This Row],[IdxWspolny]])&gt;0,"ELEM_lub_PRD","TECHN")</f>
        <v>#REF!</v>
      </c>
      <c r="L1600" t="e">
        <f>IF(COUNTIF(#REF!,Tabela2[[#This Row],[KOD_PRODUKTU]])&gt;0,"ELEMENT","PRODUKT")</f>
        <v>#REF!</v>
      </c>
      <c r="M1600" t="e">
        <f>COUNTIF(#REF!,Tabela2[[#This Row],[KOD_PRODUKTU]])</f>
        <v>#REF!</v>
      </c>
    </row>
    <row r="1601" spans="1:14" x14ac:dyDescent="0.25">
      <c r="A1601" s="1" t="s">
        <v>1902</v>
      </c>
      <c r="B1601" t="s">
        <v>1903</v>
      </c>
      <c r="C1601" s="1" t="s">
        <v>2668</v>
      </c>
      <c r="D1601" s="1" t="s">
        <v>2668</v>
      </c>
      <c r="E1601" s="1" t="s">
        <v>2668</v>
      </c>
      <c r="F1601" t="s">
        <v>2669</v>
      </c>
      <c r="G1601" t="s">
        <v>2670</v>
      </c>
      <c r="H1601" t="s">
        <v>5</v>
      </c>
      <c r="I1601" t="s">
        <v>2676</v>
      </c>
      <c r="J1601">
        <v>2.7</v>
      </c>
      <c r="K1601" t="e">
        <f>IF(COUNTIF(#REF!,Tabela2[[#This Row],[IdxWspolny]])&gt;0,"ELEM_lub_PRD","TECHN")</f>
        <v>#REF!</v>
      </c>
      <c r="L1601" t="e">
        <f>IF(COUNTIF(#REF!,Tabela2[[#This Row],[KOD_PRODUKTU]])&gt;0,"ELEMENT","PRODUKT")</f>
        <v>#REF!</v>
      </c>
      <c r="M1601" t="e">
        <f>COUNTIF(#REF!,Tabela2[[#This Row],[KOD_PRODUKTU]])</f>
        <v>#REF!</v>
      </c>
    </row>
    <row r="1602" spans="1:14" x14ac:dyDescent="0.25">
      <c r="A1602" s="1" t="s">
        <v>1902</v>
      </c>
      <c r="B1602" t="s">
        <v>1903</v>
      </c>
      <c r="C1602" s="1" t="s">
        <v>1234</v>
      </c>
      <c r="D1602" s="1" t="s">
        <v>1234</v>
      </c>
      <c r="E1602" s="1" t="s">
        <v>1234</v>
      </c>
      <c r="F1602" t="s">
        <v>1235</v>
      </c>
      <c r="G1602" t="s">
        <v>108</v>
      </c>
      <c r="H1602" t="s">
        <v>932</v>
      </c>
      <c r="I1602" t="s">
        <v>2677</v>
      </c>
      <c r="J1602">
        <v>1.8</v>
      </c>
      <c r="K1602" t="e">
        <f>IF(COUNTIF(#REF!,Tabela2[[#This Row],[IdxWspolny]])&gt;0,"ELEM_lub_PRD","TECHN")</f>
        <v>#REF!</v>
      </c>
      <c r="L1602" t="e">
        <f>IF(COUNTIF(#REF!,Tabela2[[#This Row],[KOD_PRODUKTU]])&gt;0,"ELEMENT","PRODUKT")</f>
        <v>#REF!</v>
      </c>
      <c r="M1602" t="e">
        <f>COUNTIF(#REF!,Tabela2[[#This Row],[KOD_PRODUKTU]])</f>
        <v>#REF!</v>
      </c>
    </row>
    <row r="1603" spans="1:14" x14ac:dyDescent="0.25">
      <c r="A1603" s="1" t="s">
        <v>1902</v>
      </c>
      <c r="B1603" t="s">
        <v>1903</v>
      </c>
      <c r="C1603" s="1" t="s">
        <v>7</v>
      </c>
      <c r="D1603" s="1" t="s">
        <v>7</v>
      </c>
      <c r="E1603" s="1" t="s">
        <v>7</v>
      </c>
      <c r="F1603" t="s">
        <v>8</v>
      </c>
      <c r="G1603" t="s">
        <v>9</v>
      </c>
      <c r="H1603" t="s">
        <v>10</v>
      </c>
      <c r="I1603" t="s">
        <v>2678</v>
      </c>
      <c r="J1603">
        <v>8.35</v>
      </c>
      <c r="K1603" t="e">
        <f>IF(COUNTIF(#REF!,Tabela2[[#This Row],[IdxWspolny]])&gt;0,"ELEM_lub_PRD","TECHN")</f>
        <v>#REF!</v>
      </c>
      <c r="L1603" t="e">
        <f>IF(COUNTIF(#REF!,Tabela2[[#This Row],[KOD_PRODUKTU]])&gt;0,"ELEMENT","PRODUKT")</f>
        <v>#REF!</v>
      </c>
      <c r="M1603" t="e">
        <f>COUNTIF(#REF!,Tabela2[[#This Row],[KOD_PRODUKTU]])</f>
        <v>#REF!</v>
      </c>
    </row>
    <row r="1604" spans="1:14" x14ac:dyDescent="0.25">
      <c r="A1604" s="1" t="s">
        <v>1902</v>
      </c>
      <c r="B1604" t="s">
        <v>1903</v>
      </c>
      <c r="C1604" s="1" t="s">
        <v>7</v>
      </c>
      <c r="D1604" s="1" t="s">
        <v>7</v>
      </c>
      <c r="E1604" s="1" t="s">
        <v>7</v>
      </c>
      <c r="F1604" t="s">
        <v>8</v>
      </c>
      <c r="G1604" t="s">
        <v>9</v>
      </c>
      <c r="H1604" t="s">
        <v>10</v>
      </c>
      <c r="I1604" t="s">
        <v>2679</v>
      </c>
      <c r="J1604">
        <v>14.45</v>
      </c>
      <c r="K1604" t="e">
        <f>IF(COUNTIF(#REF!,Tabela2[[#This Row],[IdxWspolny]])&gt;0,"ELEM_lub_PRD","TECHN")</f>
        <v>#REF!</v>
      </c>
      <c r="L1604" t="e">
        <f>IF(COUNTIF(#REF!,Tabela2[[#This Row],[KOD_PRODUKTU]])&gt;0,"ELEMENT","PRODUKT")</f>
        <v>#REF!</v>
      </c>
      <c r="M1604" t="e">
        <f>COUNTIF(#REF!,Tabela2[[#This Row],[KOD_PRODUKTU]])</f>
        <v>#REF!</v>
      </c>
    </row>
    <row r="1605" spans="1:14" x14ac:dyDescent="0.25">
      <c r="A1605" s="1" t="s">
        <v>1876</v>
      </c>
      <c r="B1605" t="s">
        <v>1877</v>
      </c>
      <c r="C1605" s="1" t="s">
        <v>1854</v>
      </c>
      <c r="D1605" s="1" t="s">
        <v>1854</v>
      </c>
      <c r="E1605" s="1" t="s">
        <v>1854</v>
      </c>
      <c r="F1605" t="s">
        <v>1855</v>
      </c>
      <c r="G1605" t="s">
        <v>1856</v>
      </c>
      <c r="H1605" t="s">
        <v>1857</v>
      </c>
      <c r="I1605" t="s">
        <v>1253</v>
      </c>
      <c r="J1605">
        <v>0.02</v>
      </c>
      <c r="K1605" t="e">
        <f>IF(COUNTIF(#REF!,Tabela2[[#This Row],[IdxWspolny]])&gt;0,"ELEM_lub_PRD","TECHN")</f>
        <v>#REF!</v>
      </c>
      <c r="L1605" t="e">
        <f>IF(COUNTIF(#REF!,Tabela2[[#This Row],[KOD_PRODUKTU]])&gt;0,"ELEMENT","PRODUKT")</f>
        <v>#REF!</v>
      </c>
      <c r="M1605" t="e">
        <f>COUNTIF(#REF!,Tabela2[[#This Row],[KOD_PRODUKTU]])</f>
        <v>#REF!</v>
      </c>
    </row>
    <row r="1606" spans="1:14" x14ac:dyDescent="0.25">
      <c r="A1606" s="1" t="s">
        <v>1876</v>
      </c>
      <c r="B1606" t="s">
        <v>1877</v>
      </c>
      <c r="C1606" s="1" t="s">
        <v>1859</v>
      </c>
      <c r="D1606" s="1" t="s">
        <v>1859</v>
      </c>
      <c r="E1606" s="1" t="s">
        <v>1859</v>
      </c>
      <c r="F1606" t="s">
        <v>1860</v>
      </c>
      <c r="G1606" t="s">
        <v>1861</v>
      </c>
      <c r="H1606" t="s">
        <v>1857</v>
      </c>
      <c r="I1606" t="s">
        <v>1253</v>
      </c>
      <c r="J1606">
        <v>0.03</v>
      </c>
      <c r="K1606" t="e">
        <f>IF(COUNTIF(#REF!,Tabela2[[#This Row],[IdxWspolny]])&gt;0,"ELEM_lub_PRD","TECHN")</f>
        <v>#REF!</v>
      </c>
      <c r="L1606" t="e">
        <f>IF(COUNTIF(#REF!,Tabela2[[#This Row],[KOD_PRODUKTU]])&gt;0,"ELEMENT","PRODUKT")</f>
        <v>#REF!</v>
      </c>
      <c r="M1606" t="e">
        <f>COUNTIF(#REF!,Tabela2[[#This Row],[KOD_PRODUKTU]])</f>
        <v>#REF!</v>
      </c>
    </row>
    <row r="1607" spans="1:14" x14ac:dyDescent="0.25">
      <c r="A1607" s="1" t="s">
        <v>1876</v>
      </c>
      <c r="B1607" t="s">
        <v>1877</v>
      </c>
      <c r="C1607" s="1" t="s">
        <v>41</v>
      </c>
      <c r="D1607" s="1" t="s">
        <v>41</v>
      </c>
      <c r="E1607" s="1" t="s">
        <v>41</v>
      </c>
      <c r="F1607" t="s">
        <v>42</v>
      </c>
      <c r="G1607" t="s">
        <v>43</v>
      </c>
      <c r="H1607" t="s">
        <v>5</v>
      </c>
      <c r="I1607" t="s">
        <v>227</v>
      </c>
      <c r="J1607">
        <v>0.01</v>
      </c>
      <c r="K1607" t="e">
        <f>IF(COUNTIF(#REF!,Tabela2[[#This Row],[IdxWspolny]])&gt;0,"ELEM_lub_PRD","TECHN")</f>
        <v>#REF!</v>
      </c>
      <c r="L1607" t="e">
        <f>IF(COUNTIF(#REF!,Tabela2[[#This Row],[KOD_PRODUKTU]])&gt;0,"ELEMENT","PRODUKT")</f>
        <v>#REF!</v>
      </c>
      <c r="M1607" t="e">
        <f>COUNTIF(#REF!,Tabela2[[#This Row],[KOD_PRODUKTU]])</f>
        <v>#REF!</v>
      </c>
    </row>
    <row r="1608" spans="1:14" hidden="1" x14ac:dyDescent="0.25">
      <c r="A1608" s="1" t="s">
        <v>1876</v>
      </c>
      <c r="B1608" t="s">
        <v>1877</v>
      </c>
      <c r="C1608" s="1" t="s">
        <v>2680</v>
      </c>
      <c r="D1608" s="1" t="s">
        <v>2666</v>
      </c>
      <c r="E1608" s="1" t="s">
        <v>2666</v>
      </c>
      <c r="F1608" t="s">
        <v>2667</v>
      </c>
      <c r="G1608" t="s">
        <v>2681</v>
      </c>
      <c r="H1608" t="s">
        <v>49</v>
      </c>
      <c r="I1608" t="s">
        <v>50</v>
      </c>
      <c r="J1608">
        <v>106.05</v>
      </c>
      <c r="K1608" t="e">
        <f>IF(COUNTIF(#REF!,Tabela2[[#This Row],[IdxWspolny]])&gt;0,"ELEM_lub_PRD","TECHN")</f>
        <v>#REF!</v>
      </c>
      <c r="L1608" t="e">
        <f>IF(COUNTIF(#REF!,Tabela2[[#This Row],[KOD_PRODUKTU]])&gt;0,"ELEMENT","PRODUKT")</f>
        <v>#REF!</v>
      </c>
      <c r="M1608" t="e">
        <f>COUNTIF(#REF!,Tabela2[[#This Row],[KOD_PRODUKTU]])</f>
        <v>#REF!</v>
      </c>
      <c r="N1608" t="s">
        <v>51</v>
      </c>
    </row>
    <row r="1609" spans="1:14" hidden="1" x14ac:dyDescent="0.25">
      <c r="A1609" s="1" t="s">
        <v>1876</v>
      </c>
      <c r="B1609" t="s">
        <v>1877</v>
      </c>
      <c r="C1609" s="1" t="s">
        <v>2682</v>
      </c>
      <c r="D1609" s="1" t="s">
        <v>2682</v>
      </c>
      <c r="E1609" s="1" t="s">
        <v>2682</v>
      </c>
      <c r="F1609" t="s">
        <v>2683</v>
      </c>
      <c r="G1609" t="s">
        <v>2684</v>
      </c>
      <c r="H1609" t="s">
        <v>49</v>
      </c>
      <c r="I1609" t="s">
        <v>50</v>
      </c>
      <c r="J1609">
        <v>59</v>
      </c>
      <c r="K1609" t="e">
        <f>IF(COUNTIF(#REF!,Tabela2[[#This Row],[IdxWspolny]])&gt;0,"ELEM_lub_PRD","TECHN")</f>
        <v>#REF!</v>
      </c>
      <c r="L1609" t="e">
        <f>IF(COUNTIF(#REF!,Tabela2[[#This Row],[KOD_PRODUKTU]])&gt;0,"ELEMENT","PRODUKT")</f>
        <v>#REF!</v>
      </c>
      <c r="M1609" t="e">
        <f>COUNTIF(#REF!,Tabela2[[#This Row],[KOD_PRODUKTU]])</f>
        <v>#REF!</v>
      </c>
      <c r="N1609" t="s">
        <v>55</v>
      </c>
    </row>
    <row r="1610" spans="1:14" x14ac:dyDescent="0.25">
      <c r="A1610" s="1" t="s">
        <v>1876</v>
      </c>
      <c r="B1610" t="s">
        <v>1877</v>
      </c>
      <c r="C1610" s="1" t="s">
        <v>7</v>
      </c>
      <c r="D1610" s="1" t="s">
        <v>7</v>
      </c>
      <c r="E1610" s="1" t="s">
        <v>7</v>
      </c>
      <c r="F1610" t="s">
        <v>8</v>
      </c>
      <c r="G1610" t="s">
        <v>9</v>
      </c>
      <c r="H1610" t="s">
        <v>10</v>
      </c>
      <c r="I1610" t="s">
        <v>2685</v>
      </c>
      <c r="J1610">
        <v>4.05</v>
      </c>
      <c r="K1610" t="e">
        <f>IF(COUNTIF(#REF!,Tabela2[[#This Row],[IdxWspolny]])&gt;0,"ELEM_lub_PRD","TECHN")</f>
        <v>#REF!</v>
      </c>
      <c r="L1610" t="e">
        <f>IF(COUNTIF(#REF!,Tabela2[[#This Row],[KOD_PRODUKTU]])&gt;0,"ELEMENT","PRODUKT")</f>
        <v>#REF!</v>
      </c>
      <c r="M1610" t="e">
        <f>COUNTIF(#REF!,Tabela2[[#This Row],[KOD_PRODUKTU]])</f>
        <v>#REF!</v>
      </c>
    </row>
    <row r="1611" spans="1:14" x14ac:dyDescent="0.25">
      <c r="A1611" s="1" t="s">
        <v>2686</v>
      </c>
      <c r="B1611" t="s">
        <v>2687</v>
      </c>
      <c r="C1611" s="1" t="s">
        <v>2296</v>
      </c>
      <c r="D1611" s="1" t="s">
        <v>2296</v>
      </c>
      <c r="E1611" s="1" t="s">
        <v>2296</v>
      </c>
      <c r="F1611" t="s">
        <v>2297</v>
      </c>
      <c r="G1611" t="s">
        <v>2341</v>
      </c>
      <c r="H1611" t="s">
        <v>39</v>
      </c>
      <c r="I1611" t="s">
        <v>605</v>
      </c>
      <c r="J1611">
        <v>0.55000000000000004</v>
      </c>
      <c r="K1611" t="e">
        <f>IF(COUNTIF(#REF!,Tabela2[[#This Row],[IdxWspolny]])&gt;0,"ELEM_lub_PRD","TECHN")</f>
        <v>#REF!</v>
      </c>
      <c r="L1611" t="e">
        <f>IF(COUNTIF(#REF!,Tabela2[[#This Row],[KOD_PRODUKTU]])&gt;0,"ELEMENT","PRODUKT")</f>
        <v>#REF!</v>
      </c>
      <c r="M1611" t="e">
        <f>COUNTIF(#REF!,Tabela2[[#This Row],[KOD_PRODUKTU]])</f>
        <v>#REF!</v>
      </c>
    </row>
    <row r="1612" spans="1:14" x14ac:dyDescent="0.25">
      <c r="A1612" s="1" t="s">
        <v>2686</v>
      </c>
      <c r="B1612" t="s">
        <v>2687</v>
      </c>
      <c r="C1612" s="1" t="s">
        <v>2688</v>
      </c>
      <c r="D1612" s="1" t="s">
        <v>2688</v>
      </c>
      <c r="E1612" s="1" t="s">
        <v>2688</v>
      </c>
      <c r="F1612" t="s">
        <v>2689</v>
      </c>
      <c r="G1612" t="s">
        <v>2690</v>
      </c>
      <c r="H1612" t="s">
        <v>39</v>
      </c>
      <c r="I1612" t="s">
        <v>447</v>
      </c>
      <c r="J1612">
        <v>0.33</v>
      </c>
      <c r="K1612" t="e">
        <f>IF(COUNTIF(#REF!,Tabela2[[#This Row],[IdxWspolny]])&gt;0,"ELEM_lub_PRD","TECHN")</f>
        <v>#REF!</v>
      </c>
      <c r="L1612" t="e">
        <f>IF(COUNTIF(#REF!,Tabela2[[#This Row],[KOD_PRODUKTU]])&gt;0,"ELEMENT","PRODUKT")</f>
        <v>#REF!</v>
      </c>
      <c r="M1612" t="e">
        <f>COUNTIF(#REF!,Tabela2[[#This Row],[KOD_PRODUKTU]])</f>
        <v>#REF!</v>
      </c>
    </row>
    <row r="1613" spans="1:14" x14ac:dyDescent="0.25">
      <c r="A1613" s="1" t="s">
        <v>2686</v>
      </c>
      <c r="B1613" t="s">
        <v>2687</v>
      </c>
      <c r="C1613" s="1" t="s">
        <v>649</v>
      </c>
      <c r="D1613" s="1" t="s">
        <v>649</v>
      </c>
      <c r="E1613" s="1" t="s">
        <v>649</v>
      </c>
      <c r="F1613" t="s">
        <v>650</v>
      </c>
      <c r="G1613" t="s">
        <v>651</v>
      </c>
      <c r="H1613" t="s">
        <v>39</v>
      </c>
      <c r="I1613" t="s">
        <v>40</v>
      </c>
      <c r="J1613">
        <v>0.08</v>
      </c>
      <c r="K1613" t="e">
        <f>IF(COUNTIF(#REF!,Tabela2[[#This Row],[IdxWspolny]])&gt;0,"ELEM_lub_PRD","TECHN")</f>
        <v>#REF!</v>
      </c>
      <c r="L1613" t="e">
        <f>IF(COUNTIF(#REF!,Tabela2[[#This Row],[KOD_PRODUKTU]])&gt;0,"ELEMENT","PRODUKT")</f>
        <v>#REF!</v>
      </c>
      <c r="M1613" t="e">
        <f>COUNTIF(#REF!,Tabela2[[#This Row],[KOD_PRODUKTU]])</f>
        <v>#REF!</v>
      </c>
    </row>
    <row r="1614" spans="1:14" x14ac:dyDescent="0.25">
      <c r="A1614" s="1" t="s">
        <v>2686</v>
      </c>
      <c r="B1614" t="s">
        <v>2687</v>
      </c>
      <c r="C1614" s="1" t="s">
        <v>2691</v>
      </c>
      <c r="D1614" s="1" t="s">
        <v>2691</v>
      </c>
      <c r="E1614" s="1" t="s">
        <v>2691</v>
      </c>
      <c r="F1614" t="s">
        <v>2692</v>
      </c>
      <c r="G1614" t="s">
        <v>2693</v>
      </c>
      <c r="H1614" t="s">
        <v>1965</v>
      </c>
      <c r="I1614" t="s">
        <v>40</v>
      </c>
      <c r="J1614">
        <v>0.03</v>
      </c>
      <c r="K1614" t="e">
        <f>IF(COUNTIF(#REF!,Tabela2[[#This Row],[IdxWspolny]])&gt;0,"ELEM_lub_PRD","TECHN")</f>
        <v>#REF!</v>
      </c>
      <c r="L1614" t="e">
        <f>IF(COUNTIF(#REF!,Tabela2[[#This Row],[KOD_PRODUKTU]])&gt;0,"ELEMENT","PRODUKT")</f>
        <v>#REF!</v>
      </c>
      <c r="M1614" t="e">
        <f>COUNTIF(#REF!,Tabela2[[#This Row],[KOD_PRODUKTU]])</f>
        <v>#REF!</v>
      </c>
    </row>
    <row r="1615" spans="1:14" x14ac:dyDescent="0.25">
      <c r="A1615" s="1" t="s">
        <v>2686</v>
      </c>
      <c r="B1615" t="s">
        <v>2687</v>
      </c>
      <c r="C1615" s="1" t="s">
        <v>2694</v>
      </c>
      <c r="D1615" s="1" t="s">
        <v>2694</v>
      </c>
      <c r="E1615" s="1" t="s">
        <v>2694</v>
      </c>
      <c r="F1615" t="s">
        <v>2695</v>
      </c>
      <c r="G1615" t="s">
        <v>2112</v>
      </c>
      <c r="H1615" t="s">
        <v>39</v>
      </c>
      <c r="I1615" t="s">
        <v>40</v>
      </c>
      <c r="J1615">
        <v>0.16</v>
      </c>
      <c r="K1615" t="e">
        <f>IF(COUNTIF(#REF!,Tabela2[[#This Row],[IdxWspolny]])&gt;0,"ELEM_lub_PRD","TECHN")</f>
        <v>#REF!</v>
      </c>
      <c r="L1615" t="e">
        <f>IF(COUNTIF(#REF!,Tabela2[[#This Row],[KOD_PRODUKTU]])&gt;0,"ELEMENT","PRODUKT")</f>
        <v>#REF!</v>
      </c>
      <c r="M1615" t="e">
        <f>COUNTIF(#REF!,Tabela2[[#This Row],[KOD_PRODUKTU]])</f>
        <v>#REF!</v>
      </c>
    </row>
    <row r="1616" spans="1:14" x14ac:dyDescent="0.25">
      <c r="A1616" s="1" t="s">
        <v>2686</v>
      </c>
      <c r="B1616" t="s">
        <v>2687</v>
      </c>
      <c r="C1616" s="1" t="s">
        <v>2343</v>
      </c>
      <c r="D1616" s="1" t="s">
        <v>2343</v>
      </c>
      <c r="E1616" s="1" t="s">
        <v>2343</v>
      </c>
      <c r="F1616" t="s">
        <v>2344</v>
      </c>
      <c r="G1616" t="s">
        <v>2345</v>
      </c>
      <c r="H1616" t="s">
        <v>39</v>
      </c>
      <c r="I1616" t="s">
        <v>2696</v>
      </c>
      <c r="J1616">
        <v>0.63</v>
      </c>
      <c r="K1616" t="e">
        <f>IF(COUNTIF(#REF!,Tabela2[[#This Row],[IdxWspolny]])&gt;0,"ELEM_lub_PRD","TECHN")</f>
        <v>#REF!</v>
      </c>
      <c r="L1616" t="e">
        <f>IF(COUNTIF(#REF!,Tabela2[[#This Row],[KOD_PRODUKTU]])&gt;0,"ELEMENT","PRODUKT")</f>
        <v>#REF!</v>
      </c>
      <c r="M1616" t="e">
        <f>COUNTIF(#REF!,Tabela2[[#This Row],[KOD_PRODUKTU]])</f>
        <v>#REF!</v>
      </c>
    </row>
    <row r="1617" spans="1:14" x14ac:dyDescent="0.25">
      <c r="A1617" s="1" t="s">
        <v>2686</v>
      </c>
      <c r="B1617" t="s">
        <v>2687</v>
      </c>
      <c r="C1617" s="1" t="s">
        <v>2697</v>
      </c>
      <c r="D1617" s="1" t="s">
        <v>2697</v>
      </c>
      <c r="E1617" s="1" t="s">
        <v>2697</v>
      </c>
      <c r="F1617" t="s">
        <v>2698</v>
      </c>
      <c r="G1617" t="s">
        <v>2699</v>
      </c>
      <c r="H1617" t="s">
        <v>39</v>
      </c>
      <c r="I1617" t="s">
        <v>605</v>
      </c>
      <c r="J1617">
        <v>1.41</v>
      </c>
      <c r="K1617" t="e">
        <f>IF(COUNTIF(#REF!,Tabela2[[#This Row],[IdxWspolny]])&gt;0,"ELEM_lub_PRD","TECHN")</f>
        <v>#REF!</v>
      </c>
      <c r="L1617" t="e">
        <f>IF(COUNTIF(#REF!,Tabela2[[#This Row],[KOD_PRODUKTU]])&gt;0,"ELEMENT","PRODUKT")</f>
        <v>#REF!</v>
      </c>
      <c r="M1617" t="e">
        <f>COUNTIF(#REF!,Tabela2[[#This Row],[KOD_PRODUKTU]])</f>
        <v>#REF!</v>
      </c>
    </row>
    <row r="1618" spans="1:14" x14ac:dyDescent="0.25">
      <c r="A1618" s="1" t="s">
        <v>2686</v>
      </c>
      <c r="B1618" t="s">
        <v>2687</v>
      </c>
      <c r="C1618" s="1" t="s">
        <v>2700</v>
      </c>
      <c r="D1618" s="1" t="s">
        <v>2700</v>
      </c>
      <c r="E1618" s="1" t="s">
        <v>2700</v>
      </c>
      <c r="F1618" t="s">
        <v>2701</v>
      </c>
      <c r="G1618" t="s">
        <v>2702</v>
      </c>
      <c r="H1618" t="s">
        <v>121</v>
      </c>
      <c r="I1618" t="s">
        <v>1130</v>
      </c>
      <c r="J1618">
        <v>1.54</v>
      </c>
      <c r="K1618" t="e">
        <f>IF(COUNTIF(#REF!,Tabela2[[#This Row],[IdxWspolny]])&gt;0,"ELEM_lub_PRD","TECHN")</f>
        <v>#REF!</v>
      </c>
      <c r="L1618" t="e">
        <f>IF(COUNTIF(#REF!,Tabela2[[#This Row],[KOD_PRODUKTU]])&gt;0,"ELEMENT","PRODUKT")</f>
        <v>#REF!</v>
      </c>
      <c r="M1618" t="e">
        <f>COUNTIF(#REF!,Tabela2[[#This Row],[KOD_PRODUKTU]])</f>
        <v>#REF!</v>
      </c>
    </row>
    <row r="1619" spans="1:14" x14ac:dyDescent="0.25">
      <c r="A1619" s="1" t="s">
        <v>2686</v>
      </c>
      <c r="B1619" t="s">
        <v>2687</v>
      </c>
      <c r="C1619" s="1" t="s">
        <v>1345</v>
      </c>
      <c r="D1619" s="1" t="s">
        <v>1345</v>
      </c>
      <c r="E1619" s="1" t="s">
        <v>1345</v>
      </c>
      <c r="F1619" t="s">
        <v>1346</v>
      </c>
      <c r="G1619" t="s">
        <v>1369</v>
      </c>
      <c r="H1619" t="s">
        <v>5</v>
      </c>
      <c r="I1619" t="s">
        <v>447</v>
      </c>
      <c r="J1619">
        <v>1.95</v>
      </c>
      <c r="K1619" t="e">
        <f>IF(COUNTIF(#REF!,Tabela2[[#This Row],[IdxWspolny]])&gt;0,"ELEM_lub_PRD","TECHN")</f>
        <v>#REF!</v>
      </c>
      <c r="L1619" t="e">
        <f>IF(COUNTIF(#REF!,Tabela2[[#This Row],[KOD_PRODUKTU]])&gt;0,"ELEMENT","PRODUKT")</f>
        <v>#REF!</v>
      </c>
      <c r="M1619" t="e">
        <f>COUNTIF(#REF!,Tabela2[[#This Row],[KOD_PRODUKTU]])</f>
        <v>#REF!</v>
      </c>
    </row>
    <row r="1620" spans="1:14" x14ac:dyDescent="0.25">
      <c r="A1620" s="1" t="s">
        <v>2686</v>
      </c>
      <c r="B1620" t="s">
        <v>2687</v>
      </c>
      <c r="C1620" s="1" t="s">
        <v>2373</v>
      </c>
      <c r="D1620" s="1" t="s">
        <v>2373</v>
      </c>
      <c r="E1620" s="1" t="s">
        <v>2373</v>
      </c>
      <c r="F1620" t="s">
        <v>2374</v>
      </c>
      <c r="G1620" t="s">
        <v>2112</v>
      </c>
      <c r="H1620" t="s">
        <v>49</v>
      </c>
      <c r="I1620" t="s">
        <v>319</v>
      </c>
      <c r="J1620">
        <v>93</v>
      </c>
      <c r="K1620" t="e">
        <f>IF(COUNTIF(#REF!,Tabela2[[#This Row],[IdxWspolny]])&gt;0,"ELEM_lub_PRD","TECHN")</f>
        <v>#REF!</v>
      </c>
      <c r="L1620" t="e">
        <f>IF(COUNTIF(#REF!,Tabela2[[#This Row],[KOD_PRODUKTU]])&gt;0,"ELEMENT","PRODUKT")</f>
        <v>#REF!</v>
      </c>
      <c r="M1620" t="e">
        <f>COUNTIF(#REF!,Tabela2[[#This Row],[KOD_PRODUKTU]])</f>
        <v>#REF!</v>
      </c>
    </row>
    <row r="1621" spans="1:14" x14ac:dyDescent="0.25">
      <c r="A1621" s="1" t="s">
        <v>2686</v>
      </c>
      <c r="B1621" t="s">
        <v>2687</v>
      </c>
      <c r="C1621" s="1" t="s">
        <v>2703</v>
      </c>
      <c r="D1621" s="1" t="s">
        <v>2703</v>
      </c>
      <c r="E1621" s="1" t="s">
        <v>2703</v>
      </c>
      <c r="F1621" t="s">
        <v>2704</v>
      </c>
      <c r="G1621" t="s">
        <v>216</v>
      </c>
      <c r="H1621" t="s">
        <v>17</v>
      </c>
      <c r="I1621" t="s">
        <v>2607</v>
      </c>
      <c r="J1621">
        <v>0.77</v>
      </c>
      <c r="K1621" t="e">
        <f>IF(COUNTIF(#REF!,Tabela2[[#This Row],[IdxWspolny]])&gt;0,"ELEM_lub_PRD","TECHN")</f>
        <v>#REF!</v>
      </c>
      <c r="L1621" t="e">
        <f>IF(COUNTIF(#REF!,Tabela2[[#This Row],[KOD_PRODUKTU]])&gt;0,"ELEMENT","PRODUKT")</f>
        <v>#REF!</v>
      </c>
      <c r="M1621" t="e">
        <f>COUNTIF(#REF!,Tabela2[[#This Row],[KOD_PRODUKTU]])</f>
        <v>#REF!</v>
      </c>
    </row>
    <row r="1622" spans="1:14" x14ac:dyDescent="0.25">
      <c r="A1622" s="1" t="s">
        <v>2686</v>
      </c>
      <c r="B1622" t="s">
        <v>2687</v>
      </c>
      <c r="C1622" s="1" t="s">
        <v>2375</v>
      </c>
      <c r="D1622" s="1" t="s">
        <v>2375</v>
      </c>
      <c r="E1622" s="1" t="s">
        <v>2375</v>
      </c>
      <c r="F1622" t="s">
        <v>2376</v>
      </c>
      <c r="G1622" t="s">
        <v>2377</v>
      </c>
      <c r="H1622" t="s">
        <v>2378</v>
      </c>
      <c r="I1622" t="s">
        <v>50</v>
      </c>
      <c r="J1622">
        <v>45.89</v>
      </c>
      <c r="K1622" t="e">
        <f>IF(COUNTIF(#REF!,Tabela2[[#This Row],[IdxWspolny]])&gt;0,"ELEM_lub_PRD","TECHN")</f>
        <v>#REF!</v>
      </c>
      <c r="L1622" t="e">
        <f>IF(COUNTIF(#REF!,Tabela2[[#This Row],[KOD_PRODUKTU]])&gt;0,"ELEMENT","PRODUKT")</f>
        <v>#REF!</v>
      </c>
      <c r="M1622" t="e">
        <f>COUNTIF(#REF!,Tabela2[[#This Row],[KOD_PRODUKTU]])</f>
        <v>#REF!</v>
      </c>
    </row>
    <row r="1623" spans="1:14" x14ac:dyDescent="0.25">
      <c r="A1623" s="1" t="s">
        <v>2686</v>
      </c>
      <c r="B1623" t="s">
        <v>2687</v>
      </c>
      <c r="C1623" s="1" t="s">
        <v>2379</v>
      </c>
      <c r="D1623" s="1" t="s">
        <v>2379</v>
      </c>
      <c r="E1623" s="1" t="s">
        <v>2379</v>
      </c>
      <c r="F1623" t="s">
        <v>2380</v>
      </c>
      <c r="G1623" t="s">
        <v>580</v>
      </c>
      <c r="H1623" t="s">
        <v>121</v>
      </c>
      <c r="I1623" t="s">
        <v>319</v>
      </c>
      <c r="J1623">
        <v>44.7</v>
      </c>
      <c r="K1623" t="e">
        <f>IF(COUNTIF(#REF!,Tabela2[[#This Row],[IdxWspolny]])&gt;0,"ELEM_lub_PRD","TECHN")</f>
        <v>#REF!</v>
      </c>
      <c r="L1623" t="e">
        <f>IF(COUNTIF(#REF!,Tabela2[[#This Row],[KOD_PRODUKTU]])&gt;0,"ELEMENT","PRODUKT")</f>
        <v>#REF!</v>
      </c>
      <c r="M1623" t="e">
        <f>COUNTIF(#REF!,Tabela2[[#This Row],[KOD_PRODUKTU]])</f>
        <v>#REF!</v>
      </c>
    </row>
    <row r="1624" spans="1:14" x14ac:dyDescent="0.25">
      <c r="A1624" s="1" t="s">
        <v>2686</v>
      </c>
      <c r="B1624" t="s">
        <v>2687</v>
      </c>
      <c r="C1624" s="1" t="s">
        <v>2705</v>
      </c>
      <c r="D1624" s="1" t="s">
        <v>2705</v>
      </c>
      <c r="E1624" s="1" t="s">
        <v>2705</v>
      </c>
      <c r="F1624" t="s">
        <v>2706</v>
      </c>
      <c r="G1624" t="s">
        <v>2707</v>
      </c>
      <c r="H1624" t="s">
        <v>49</v>
      </c>
      <c r="I1624" t="s">
        <v>50</v>
      </c>
      <c r="J1624">
        <v>67</v>
      </c>
      <c r="K1624" t="e">
        <f>IF(COUNTIF(#REF!,Tabela2[[#This Row],[IdxWspolny]])&gt;0,"ELEM_lub_PRD","TECHN")</f>
        <v>#REF!</v>
      </c>
      <c r="L1624" t="e">
        <f>IF(COUNTIF(#REF!,Tabela2[[#This Row],[KOD_PRODUKTU]])&gt;0,"ELEMENT","PRODUKT")</f>
        <v>#REF!</v>
      </c>
      <c r="M1624" t="e">
        <f>COUNTIF(#REF!,Tabela2[[#This Row],[KOD_PRODUKTU]])</f>
        <v>#REF!</v>
      </c>
    </row>
    <row r="1625" spans="1:14" x14ac:dyDescent="0.25">
      <c r="A1625" s="1" t="s">
        <v>2686</v>
      </c>
      <c r="B1625" t="s">
        <v>2687</v>
      </c>
      <c r="C1625" s="1" t="s">
        <v>41</v>
      </c>
      <c r="D1625" s="1" t="s">
        <v>41</v>
      </c>
      <c r="E1625" s="1" t="s">
        <v>41</v>
      </c>
      <c r="F1625" t="s">
        <v>42</v>
      </c>
      <c r="G1625" t="s">
        <v>43</v>
      </c>
      <c r="H1625" t="s">
        <v>5</v>
      </c>
      <c r="I1625" t="s">
        <v>44</v>
      </c>
      <c r="J1625">
        <v>0.01</v>
      </c>
      <c r="K1625" t="e">
        <f>IF(COUNTIF(#REF!,Tabela2[[#This Row],[IdxWspolny]])&gt;0,"ELEM_lub_PRD","TECHN")</f>
        <v>#REF!</v>
      </c>
      <c r="L1625" t="e">
        <f>IF(COUNTIF(#REF!,Tabela2[[#This Row],[KOD_PRODUKTU]])&gt;0,"ELEMENT","PRODUKT")</f>
        <v>#REF!</v>
      </c>
      <c r="M1625" t="e">
        <f>COUNTIF(#REF!,Tabela2[[#This Row],[KOD_PRODUKTU]])</f>
        <v>#REF!</v>
      </c>
    </row>
    <row r="1626" spans="1:14" x14ac:dyDescent="0.25">
      <c r="A1626" s="1" t="s">
        <v>2686</v>
      </c>
      <c r="B1626" t="s">
        <v>2687</v>
      </c>
      <c r="C1626" s="1" t="s">
        <v>2381</v>
      </c>
      <c r="D1626" s="1" t="s">
        <v>2381</v>
      </c>
      <c r="E1626" s="1" t="s">
        <v>2381</v>
      </c>
      <c r="F1626" t="s">
        <v>2382</v>
      </c>
      <c r="G1626" t="s">
        <v>2383</v>
      </c>
      <c r="H1626" t="s">
        <v>49</v>
      </c>
      <c r="I1626" t="s">
        <v>2384</v>
      </c>
      <c r="J1626">
        <v>0.6</v>
      </c>
      <c r="K1626" t="e">
        <f>IF(COUNTIF(#REF!,Tabela2[[#This Row],[IdxWspolny]])&gt;0,"ELEM_lub_PRD","TECHN")</f>
        <v>#REF!</v>
      </c>
      <c r="L1626" t="e">
        <f>IF(COUNTIF(#REF!,Tabela2[[#This Row],[KOD_PRODUKTU]])&gt;0,"ELEMENT","PRODUKT")</f>
        <v>#REF!</v>
      </c>
      <c r="M1626" t="e">
        <f>COUNTIF(#REF!,Tabela2[[#This Row],[KOD_PRODUKTU]])</f>
        <v>#REF!</v>
      </c>
    </row>
    <row r="1627" spans="1:14" hidden="1" x14ac:dyDescent="0.25">
      <c r="A1627" s="1" t="s">
        <v>2686</v>
      </c>
      <c r="B1627" t="s">
        <v>2687</v>
      </c>
      <c r="C1627" s="1" t="s">
        <v>2385</v>
      </c>
      <c r="D1627" s="1" t="s">
        <v>2385</v>
      </c>
      <c r="E1627" s="1" t="s">
        <v>2385</v>
      </c>
      <c r="F1627" t="s">
        <v>2386</v>
      </c>
      <c r="G1627" t="s">
        <v>2387</v>
      </c>
      <c r="H1627" t="s">
        <v>49</v>
      </c>
      <c r="I1627" t="s">
        <v>50</v>
      </c>
      <c r="J1627">
        <v>152.9</v>
      </c>
      <c r="K1627" t="e">
        <f>IF(COUNTIF(#REF!,Tabela2[[#This Row],[IdxWspolny]])&gt;0,"ELEM_lub_PRD","TECHN")</f>
        <v>#REF!</v>
      </c>
      <c r="L1627" t="e">
        <f>IF(COUNTIF(#REF!,Tabela2[[#This Row],[KOD_PRODUKTU]])&gt;0,"ELEMENT","PRODUKT")</f>
        <v>#REF!</v>
      </c>
      <c r="M1627" t="e">
        <f>COUNTIF(#REF!,Tabela2[[#This Row],[KOD_PRODUKTU]])</f>
        <v>#REF!</v>
      </c>
      <c r="N1627" t="s">
        <v>55</v>
      </c>
    </row>
    <row r="1628" spans="1:14" hidden="1" x14ac:dyDescent="0.25">
      <c r="A1628" s="1" t="s">
        <v>2686</v>
      </c>
      <c r="B1628" t="s">
        <v>2687</v>
      </c>
      <c r="C1628" s="1" t="s">
        <v>2391</v>
      </c>
      <c r="D1628" s="1" t="s">
        <v>2391</v>
      </c>
      <c r="E1628" s="1" t="s">
        <v>2391</v>
      </c>
      <c r="F1628" t="s">
        <v>2392</v>
      </c>
      <c r="G1628" t="s">
        <v>2393</v>
      </c>
      <c r="H1628" t="s">
        <v>49</v>
      </c>
      <c r="I1628" t="s">
        <v>50</v>
      </c>
      <c r="J1628">
        <v>75.150000000000006</v>
      </c>
      <c r="K1628" t="e">
        <f>IF(COUNTIF(#REF!,Tabela2[[#This Row],[IdxWspolny]])&gt;0,"ELEM_lub_PRD","TECHN")</f>
        <v>#REF!</v>
      </c>
      <c r="L1628" t="e">
        <f>IF(COUNTIF(#REF!,Tabela2[[#This Row],[KOD_PRODUKTU]])&gt;0,"ELEMENT","PRODUKT")</f>
        <v>#REF!</v>
      </c>
      <c r="M1628" t="e">
        <f>COUNTIF(#REF!,Tabela2[[#This Row],[KOD_PRODUKTU]])</f>
        <v>#REF!</v>
      </c>
      <c r="N1628" t="s">
        <v>55</v>
      </c>
    </row>
    <row r="1629" spans="1:14" x14ac:dyDescent="0.25">
      <c r="A1629" s="1" t="s">
        <v>2686</v>
      </c>
      <c r="B1629" t="s">
        <v>2687</v>
      </c>
      <c r="C1629" s="1" t="s">
        <v>2708</v>
      </c>
      <c r="D1629" s="1" t="s">
        <v>2708</v>
      </c>
      <c r="E1629" s="1" t="s">
        <v>2708</v>
      </c>
      <c r="F1629" t="s">
        <v>2709</v>
      </c>
      <c r="G1629" t="s">
        <v>2710</v>
      </c>
      <c r="H1629" t="s">
        <v>121</v>
      </c>
      <c r="I1629" t="s">
        <v>50</v>
      </c>
      <c r="J1629">
        <v>8.75</v>
      </c>
      <c r="K1629" t="e">
        <f>IF(COUNTIF(#REF!,Tabela2[[#This Row],[IdxWspolny]])&gt;0,"ELEM_lub_PRD","TECHN")</f>
        <v>#REF!</v>
      </c>
      <c r="L1629" t="e">
        <f>IF(COUNTIF(#REF!,Tabela2[[#This Row],[KOD_PRODUKTU]])&gt;0,"ELEMENT","PRODUKT")</f>
        <v>#REF!</v>
      </c>
      <c r="M1629" t="e">
        <f>COUNTIF(#REF!,Tabela2[[#This Row],[KOD_PRODUKTU]])</f>
        <v>#REF!</v>
      </c>
    </row>
    <row r="1630" spans="1:14" x14ac:dyDescent="0.25">
      <c r="A1630" s="1" t="s">
        <v>2686</v>
      </c>
      <c r="B1630" t="s">
        <v>2687</v>
      </c>
      <c r="C1630" s="1" t="s">
        <v>684</v>
      </c>
      <c r="D1630" s="1" t="s">
        <v>684</v>
      </c>
      <c r="E1630" s="1" t="s">
        <v>684</v>
      </c>
      <c r="F1630" t="s">
        <v>685</v>
      </c>
      <c r="G1630" t="s">
        <v>686</v>
      </c>
      <c r="H1630" t="s">
        <v>49</v>
      </c>
      <c r="I1630" t="s">
        <v>2711</v>
      </c>
      <c r="J1630">
        <v>192.45</v>
      </c>
      <c r="K1630" t="e">
        <f>IF(COUNTIF(#REF!,Tabela2[[#This Row],[IdxWspolny]])&gt;0,"ELEM_lub_PRD","TECHN")</f>
        <v>#REF!</v>
      </c>
      <c r="L1630" t="e">
        <f>IF(COUNTIF(#REF!,Tabela2[[#This Row],[KOD_PRODUKTU]])&gt;0,"ELEMENT","PRODUKT")</f>
        <v>#REF!</v>
      </c>
      <c r="M1630" t="e">
        <f>COUNTIF(#REF!,Tabela2[[#This Row],[KOD_PRODUKTU]])</f>
        <v>#REF!</v>
      </c>
    </row>
    <row r="1631" spans="1:14" x14ac:dyDescent="0.25">
      <c r="A1631" s="1" t="s">
        <v>2686</v>
      </c>
      <c r="B1631" t="s">
        <v>2687</v>
      </c>
      <c r="C1631" s="1" t="s">
        <v>684</v>
      </c>
      <c r="D1631" s="1" t="s">
        <v>684</v>
      </c>
      <c r="E1631" s="1" t="s">
        <v>684</v>
      </c>
      <c r="F1631" t="s">
        <v>685</v>
      </c>
      <c r="G1631" t="s">
        <v>686</v>
      </c>
      <c r="H1631" t="s">
        <v>49</v>
      </c>
      <c r="I1631" t="s">
        <v>2712</v>
      </c>
      <c r="J1631">
        <v>204</v>
      </c>
      <c r="K1631" t="e">
        <f>IF(COUNTIF(#REF!,Tabela2[[#This Row],[IdxWspolny]])&gt;0,"ELEM_lub_PRD","TECHN")</f>
        <v>#REF!</v>
      </c>
      <c r="L1631" t="e">
        <f>IF(COUNTIF(#REF!,Tabela2[[#This Row],[KOD_PRODUKTU]])&gt;0,"ELEMENT","PRODUKT")</f>
        <v>#REF!</v>
      </c>
      <c r="M1631" t="e">
        <f>COUNTIF(#REF!,Tabela2[[#This Row],[KOD_PRODUKTU]])</f>
        <v>#REF!</v>
      </c>
    </row>
    <row r="1632" spans="1:14" x14ac:dyDescent="0.25">
      <c r="A1632" s="1" t="s">
        <v>2686</v>
      </c>
      <c r="B1632" t="s">
        <v>2687</v>
      </c>
      <c r="C1632" s="1" t="s">
        <v>541</v>
      </c>
      <c r="D1632" s="1" t="s">
        <v>541</v>
      </c>
      <c r="E1632" s="1" t="s">
        <v>541</v>
      </c>
      <c r="F1632" t="s">
        <v>542</v>
      </c>
      <c r="G1632" t="s">
        <v>811</v>
      </c>
      <c r="H1632" t="s">
        <v>10</v>
      </c>
      <c r="I1632" t="s">
        <v>861</v>
      </c>
      <c r="J1632">
        <v>286.88</v>
      </c>
      <c r="K1632" t="e">
        <f>IF(COUNTIF(#REF!,Tabela2[[#This Row],[IdxWspolny]])&gt;0,"ELEM_lub_PRD","TECHN")</f>
        <v>#REF!</v>
      </c>
      <c r="L1632" t="e">
        <f>IF(COUNTIF(#REF!,Tabela2[[#This Row],[KOD_PRODUKTU]])&gt;0,"ELEMENT","PRODUKT")</f>
        <v>#REF!</v>
      </c>
      <c r="M1632" t="e">
        <f>COUNTIF(#REF!,Tabela2[[#This Row],[KOD_PRODUKTU]])</f>
        <v>#REF!</v>
      </c>
    </row>
    <row r="1633" spans="1:13" x14ac:dyDescent="0.25">
      <c r="A1633" s="1" t="s">
        <v>2713</v>
      </c>
      <c r="B1633" t="s">
        <v>2714</v>
      </c>
      <c r="C1633" s="1" t="s">
        <v>2715</v>
      </c>
      <c r="D1633" s="1" t="s">
        <v>2715</v>
      </c>
      <c r="E1633" s="1" t="s">
        <v>2715</v>
      </c>
      <c r="F1633" t="s">
        <v>2716</v>
      </c>
      <c r="G1633" t="s">
        <v>2717</v>
      </c>
      <c r="H1633" t="s">
        <v>121</v>
      </c>
      <c r="I1633" t="s">
        <v>50</v>
      </c>
      <c r="J1633">
        <v>0.7</v>
      </c>
      <c r="K1633" t="e">
        <f>IF(COUNTIF(#REF!,Tabela2[[#This Row],[IdxWspolny]])&gt;0,"ELEM_lub_PRD","TECHN")</f>
        <v>#REF!</v>
      </c>
      <c r="L1633" t="e">
        <f>IF(COUNTIF(#REF!,Tabela2[[#This Row],[KOD_PRODUKTU]])&gt;0,"ELEMENT","PRODUKT")</f>
        <v>#REF!</v>
      </c>
      <c r="M1633" t="e">
        <f>COUNTIF(#REF!,Tabela2[[#This Row],[KOD_PRODUKTU]])</f>
        <v>#REF!</v>
      </c>
    </row>
    <row r="1634" spans="1:13" x14ac:dyDescent="0.25">
      <c r="A1634" s="1" t="s">
        <v>2713</v>
      </c>
      <c r="B1634" t="s">
        <v>2714</v>
      </c>
      <c r="C1634" s="1" t="s">
        <v>684</v>
      </c>
      <c r="D1634" s="1" t="s">
        <v>684</v>
      </c>
      <c r="E1634" s="1" t="s">
        <v>684</v>
      </c>
      <c r="F1634" t="s">
        <v>685</v>
      </c>
      <c r="G1634" t="s">
        <v>686</v>
      </c>
      <c r="H1634" t="s">
        <v>49</v>
      </c>
      <c r="I1634" t="s">
        <v>2718</v>
      </c>
      <c r="J1634">
        <v>12</v>
      </c>
      <c r="K1634" t="e">
        <f>IF(COUNTIF(#REF!,Tabela2[[#This Row],[IdxWspolny]])&gt;0,"ELEM_lub_PRD","TECHN")</f>
        <v>#REF!</v>
      </c>
      <c r="L1634" t="e">
        <f>IF(COUNTIF(#REF!,Tabela2[[#This Row],[KOD_PRODUKTU]])&gt;0,"ELEMENT","PRODUKT")</f>
        <v>#REF!</v>
      </c>
      <c r="M1634" t="e">
        <f>COUNTIF(#REF!,Tabela2[[#This Row],[KOD_PRODUKTU]])</f>
        <v>#REF!</v>
      </c>
    </row>
    <row r="1635" spans="1:13" x14ac:dyDescent="0.25">
      <c r="A1635" s="1" t="s">
        <v>2713</v>
      </c>
      <c r="B1635" t="s">
        <v>2714</v>
      </c>
      <c r="C1635" s="1" t="s">
        <v>541</v>
      </c>
      <c r="D1635" s="1" t="s">
        <v>541</v>
      </c>
      <c r="E1635" s="1" t="s">
        <v>541</v>
      </c>
      <c r="F1635" t="s">
        <v>542</v>
      </c>
      <c r="G1635" t="s">
        <v>811</v>
      </c>
      <c r="H1635" t="s">
        <v>10</v>
      </c>
      <c r="I1635" t="s">
        <v>992</v>
      </c>
      <c r="J1635">
        <v>38.25</v>
      </c>
      <c r="K1635" t="e">
        <f>IF(COUNTIF(#REF!,Tabela2[[#This Row],[IdxWspolny]])&gt;0,"ELEM_lub_PRD","TECHN")</f>
        <v>#REF!</v>
      </c>
      <c r="L1635" t="e">
        <f>IF(COUNTIF(#REF!,Tabela2[[#This Row],[KOD_PRODUKTU]])&gt;0,"ELEMENT","PRODUKT")</f>
        <v>#REF!</v>
      </c>
      <c r="M1635" t="e">
        <f>COUNTIF(#REF!,Tabela2[[#This Row],[KOD_PRODUKTU]])</f>
        <v>#REF!</v>
      </c>
    </row>
    <row r="1636" spans="1:13" x14ac:dyDescent="0.25">
      <c r="A1636" s="1" t="s">
        <v>2719</v>
      </c>
      <c r="B1636" t="s">
        <v>2720</v>
      </c>
      <c r="C1636" s="1" t="s">
        <v>2412</v>
      </c>
      <c r="D1636" s="1" t="s">
        <v>2412</v>
      </c>
      <c r="E1636" s="1" t="s">
        <v>2412</v>
      </c>
      <c r="F1636" t="s">
        <v>2413</v>
      </c>
      <c r="G1636" t="s">
        <v>423</v>
      </c>
      <c r="H1636" t="s">
        <v>121</v>
      </c>
      <c r="I1636" t="s">
        <v>50</v>
      </c>
      <c r="J1636">
        <v>2.8</v>
      </c>
      <c r="K1636" t="e">
        <f>IF(COUNTIF(#REF!,Tabela2[[#This Row],[IdxWspolny]])&gt;0,"ELEM_lub_PRD","TECHN")</f>
        <v>#REF!</v>
      </c>
      <c r="L1636" t="e">
        <f>IF(COUNTIF(#REF!,Tabela2[[#This Row],[KOD_PRODUKTU]])&gt;0,"ELEMENT","PRODUKT")</f>
        <v>#REF!</v>
      </c>
      <c r="M1636" t="e">
        <f>COUNTIF(#REF!,Tabela2[[#This Row],[KOD_PRODUKTU]])</f>
        <v>#REF!</v>
      </c>
    </row>
    <row r="1637" spans="1:13" x14ac:dyDescent="0.25">
      <c r="A1637" s="1" t="s">
        <v>2719</v>
      </c>
      <c r="B1637" t="s">
        <v>2720</v>
      </c>
      <c r="C1637" s="1" t="s">
        <v>684</v>
      </c>
      <c r="D1637" s="1" t="s">
        <v>684</v>
      </c>
      <c r="E1637" s="1" t="s">
        <v>684</v>
      </c>
      <c r="F1637" t="s">
        <v>685</v>
      </c>
      <c r="G1637" t="s">
        <v>686</v>
      </c>
      <c r="H1637" t="s">
        <v>49</v>
      </c>
      <c r="I1637" t="s">
        <v>2721</v>
      </c>
      <c r="J1637">
        <v>20.100000000000001</v>
      </c>
      <c r="K1637" t="e">
        <f>IF(COUNTIF(#REF!,Tabela2[[#This Row],[IdxWspolny]])&gt;0,"ELEM_lub_PRD","TECHN")</f>
        <v>#REF!</v>
      </c>
      <c r="L1637" t="e">
        <f>IF(COUNTIF(#REF!,Tabela2[[#This Row],[KOD_PRODUKTU]])&gt;0,"ELEMENT","PRODUKT")</f>
        <v>#REF!</v>
      </c>
      <c r="M1637" t="e">
        <f>COUNTIF(#REF!,Tabela2[[#This Row],[KOD_PRODUKTU]])</f>
        <v>#REF!</v>
      </c>
    </row>
    <row r="1638" spans="1:13" x14ac:dyDescent="0.25">
      <c r="A1638" s="1" t="s">
        <v>2719</v>
      </c>
      <c r="B1638" t="s">
        <v>2720</v>
      </c>
      <c r="C1638" s="1" t="s">
        <v>541</v>
      </c>
      <c r="D1638" s="1" t="s">
        <v>541</v>
      </c>
      <c r="E1638" s="1" t="s">
        <v>541</v>
      </c>
      <c r="F1638" t="s">
        <v>542</v>
      </c>
      <c r="G1638" t="s">
        <v>9</v>
      </c>
      <c r="H1638" t="s">
        <v>10</v>
      </c>
      <c r="I1638" t="s">
        <v>2471</v>
      </c>
      <c r="J1638">
        <v>12.1</v>
      </c>
      <c r="K1638" t="e">
        <f>IF(COUNTIF(#REF!,Tabela2[[#This Row],[IdxWspolny]])&gt;0,"ELEM_lub_PRD","TECHN")</f>
        <v>#REF!</v>
      </c>
      <c r="L1638" t="e">
        <f>IF(COUNTIF(#REF!,Tabela2[[#This Row],[KOD_PRODUKTU]])&gt;0,"ELEMENT","PRODUKT")</f>
        <v>#REF!</v>
      </c>
      <c r="M1638" t="e">
        <f>COUNTIF(#REF!,Tabela2[[#This Row],[KOD_PRODUKTU]])</f>
        <v>#REF!</v>
      </c>
    </row>
    <row r="1639" spans="1:13" x14ac:dyDescent="0.25">
      <c r="A1639" s="1" t="s">
        <v>2722</v>
      </c>
      <c r="B1639" t="s">
        <v>2723</v>
      </c>
      <c r="C1639" s="1" t="s">
        <v>2724</v>
      </c>
      <c r="D1639" s="1" t="s">
        <v>2724</v>
      </c>
      <c r="E1639" s="1" t="s">
        <v>2724</v>
      </c>
      <c r="F1639" t="s">
        <v>2725</v>
      </c>
      <c r="G1639" t="s">
        <v>343</v>
      </c>
      <c r="H1639" t="s">
        <v>121</v>
      </c>
      <c r="I1639" t="s">
        <v>50</v>
      </c>
      <c r="J1639">
        <v>3.4</v>
      </c>
      <c r="K1639" t="e">
        <f>IF(COUNTIF(#REF!,Tabela2[[#This Row],[IdxWspolny]])&gt;0,"ELEM_lub_PRD","TECHN")</f>
        <v>#REF!</v>
      </c>
      <c r="L1639" t="e">
        <f>IF(COUNTIF(#REF!,Tabela2[[#This Row],[KOD_PRODUKTU]])&gt;0,"ELEMENT","PRODUKT")</f>
        <v>#REF!</v>
      </c>
      <c r="M1639" t="e">
        <f>COUNTIF(#REF!,Tabela2[[#This Row],[KOD_PRODUKTU]])</f>
        <v>#REF!</v>
      </c>
    </row>
    <row r="1640" spans="1:13" x14ac:dyDescent="0.25">
      <c r="A1640" s="1" t="s">
        <v>2722</v>
      </c>
      <c r="B1640" t="s">
        <v>2723</v>
      </c>
      <c r="C1640" s="1" t="s">
        <v>684</v>
      </c>
      <c r="D1640" s="1" t="s">
        <v>684</v>
      </c>
      <c r="E1640" s="1" t="s">
        <v>684</v>
      </c>
      <c r="F1640" t="s">
        <v>685</v>
      </c>
      <c r="G1640" t="s">
        <v>686</v>
      </c>
      <c r="H1640" t="s">
        <v>49</v>
      </c>
      <c r="I1640" t="s">
        <v>983</v>
      </c>
      <c r="J1640">
        <v>18.100000000000001</v>
      </c>
      <c r="K1640" t="e">
        <f>IF(COUNTIF(#REF!,Tabela2[[#This Row],[IdxWspolny]])&gt;0,"ELEM_lub_PRD","TECHN")</f>
        <v>#REF!</v>
      </c>
      <c r="L1640" t="e">
        <f>IF(COUNTIF(#REF!,Tabela2[[#This Row],[KOD_PRODUKTU]])&gt;0,"ELEMENT","PRODUKT")</f>
        <v>#REF!</v>
      </c>
      <c r="M1640" t="e">
        <f>COUNTIF(#REF!,Tabela2[[#This Row],[KOD_PRODUKTU]])</f>
        <v>#REF!</v>
      </c>
    </row>
    <row r="1641" spans="1:13" x14ac:dyDescent="0.25">
      <c r="A1641" s="1" t="s">
        <v>2722</v>
      </c>
      <c r="B1641" t="s">
        <v>2723</v>
      </c>
      <c r="C1641" s="1" t="s">
        <v>541</v>
      </c>
      <c r="D1641" s="1" t="s">
        <v>541</v>
      </c>
      <c r="E1641" s="1" t="s">
        <v>541</v>
      </c>
      <c r="F1641" t="s">
        <v>542</v>
      </c>
      <c r="G1641" t="s">
        <v>811</v>
      </c>
      <c r="H1641" t="s">
        <v>10</v>
      </c>
      <c r="I1641" t="s">
        <v>992</v>
      </c>
      <c r="J1641">
        <v>38.25</v>
      </c>
      <c r="K1641" t="e">
        <f>IF(COUNTIF(#REF!,Tabela2[[#This Row],[IdxWspolny]])&gt;0,"ELEM_lub_PRD","TECHN")</f>
        <v>#REF!</v>
      </c>
      <c r="L1641" t="e">
        <f>IF(COUNTIF(#REF!,Tabela2[[#This Row],[KOD_PRODUKTU]])&gt;0,"ELEMENT","PRODUKT")</f>
        <v>#REF!</v>
      </c>
      <c r="M1641" t="e">
        <f>COUNTIF(#REF!,Tabela2[[#This Row],[KOD_PRODUKTU]])</f>
        <v>#REF!</v>
      </c>
    </row>
    <row r="1642" spans="1:13" x14ac:dyDescent="0.25">
      <c r="A1642" s="1" t="s">
        <v>2726</v>
      </c>
      <c r="B1642" t="s">
        <v>2727</v>
      </c>
      <c r="C1642" s="1" t="s">
        <v>1890</v>
      </c>
      <c r="D1642" s="1" t="s">
        <v>1890</v>
      </c>
      <c r="E1642" s="1" t="s">
        <v>1890</v>
      </c>
      <c r="F1642" t="s">
        <v>1891</v>
      </c>
      <c r="G1642" t="s">
        <v>2728</v>
      </c>
      <c r="H1642" t="s">
        <v>5</v>
      </c>
      <c r="I1642" t="s">
        <v>2729</v>
      </c>
      <c r="J1642">
        <v>0.02</v>
      </c>
      <c r="K1642" t="e">
        <f>IF(COUNTIF(#REF!,Tabela2[[#This Row],[IdxWspolny]])&gt;0,"ELEM_lub_PRD","TECHN")</f>
        <v>#REF!</v>
      </c>
      <c r="L1642" t="e">
        <f>IF(COUNTIF(#REF!,Tabela2[[#This Row],[KOD_PRODUKTU]])&gt;0,"ELEMENT","PRODUKT")</f>
        <v>#REF!</v>
      </c>
      <c r="M1642" t="e">
        <f>COUNTIF(#REF!,Tabela2[[#This Row],[KOD_PRODUKTU]])</f>
        <v>#REF!</v>
      </c>
    </row>
    <row r="1643" spans="1:13" x14ac:dyDescent="0.25">
      <c r="A1643" s="1" t="s">
        <v>2726</v>
      </c>
      <c r="B1643" t="s">
        <v>2727</v>
      </c>
      <c r="C1643" s="1" t="s">
        <v>2730</v>
      </c>
      <c r="D1643" s="1" t="s">
        <v>2730</v>
      </c>
      <c r="E1643" s="1" t="s">
        <v>2730</v>
      </c>
      <c r="F1643" t="s">
        <v>2731</v>
      </c>
      <c r="G1643" t="s">
        <v>2732</v>
      </c>
      <c r="H1643" t="s">
        <v>5</v>
      </c>
      <c r="I1643" t="s">
        <v>598</v>
      </c>
      <c r="J1643">
        <v>0.23</v>
      </c>
      <c r="K1643" t="e">
        <f>IF(COUNTIF(#REF!,Tabela2[[#This Row],[IdxWspolny]])&gt;0,"ELEM_lub_PRD","TECHN")</f>
        <v>#REF!</v>
      </c>
      <c r="L1643" t="e">
        <f>IF(COUNTIF(#REF!,Tabela2[[#This Row],[KOD_PRODUKTU]])&gt;0,"ELEMENT","PRODUKT")</f>
        <v>#REF!</v>
      </c>
      <c r="M1643" t="e">
        <f>COUNTIF(#REF!,Tabela2[[#This Row],[KOD_PRODUKTU]])</f>
        <v>#REF!</v>
      </c>
    </row>
    <row r="1644" spans="1:13" x14ac:dyDescent="0.25">
      <c r="A1644" s="1" t="s">
        <v>2726</v>
      </c>
      <c r="B1644" t="s">
        <v>2727</v>
      </c>
      <c r="C1644" s="1" t="s">
        <v>2733</v>
      </c>
      <c r="D1644" s="1" t="s">
        <v>2733</v>
      </c>
      <c r="E1644" s="1" t="s">
        <v>2733</v>
      </c>
      <c r="F1644" t="s">
        <v>2734</v>
      </c>
      <c r="G1644" t="s">
        <v>990</v>
      </c>
      <c r="H1644" t="s">
        <v>39</v>
      </c>
      <c r="I1644" t="s">
        <v>605</v>
      </c>
      <c r="J1644">
        <v>0.18</v>
      </c>
      <c r="K1644" t="e">
        <f>IF(COUNTIF(#REF!,Tabela2[[#This Row],[IdxWspolny]])&gt;0,"ELEM_lub_PRD","TECHN")</f>
        <v>#REF!</v>
      </c>
      <c r="L1644" t="e">
        <f>IF(COUNTIF(#REF!,Tabela2[[#This Row],[KOD_PRODUKTU]])&gt;0,"ELEMENT","PRODUKT")</f>
        <v>#REF!</v>
      </c>
      <c r="M1644" t="e">
        <f>COUNTIF(#REF!,Tabela2[[#This Row],[KOD_PRODUKTU]])</f>
        <v>#REF!</v>
      </c>
    </row>
    <row r="1645" spans="1:13" x14ac:dyDescent="0.25">
      <c r="A1645" s="1" t="s">
        <v>2726</v>
      </c>
      <c r="B1645" t="s">
        <v>2727</v>
      </c>
      <c r="C1645" s="1" t="s">
        <v>2735</v>
      </c>
      <c r="D1645" s="1" t="s">
        <v>2735</v>
      </c>
      <c r="E1645" s="1" t="s">
        <v>2735</v>
      </c>
      <c r="F1645" t="s">
        <v>2736</v>
      </c>
      <c r="G1645" t="s">
        <v>2737</v>
      </c>
      <c r="H1645" t="s">
        <v>121</v>
      </c>
      <c r="I1645" t="s">
        <v>319</v>
      </c>
      <c r="J1645">
        <v>4.62</v>
      </c>
      <c r="K1645" t="e">
        <f>IF(COUNTIF(#REF!,Tabela2[[#This Row],[IdxWspolny]])&gt;0,"ELEM_lub_PRD","TECHN")</f>
        <v>#REF!</v>
      </c>
      <c r="L1645" t="e">
        <f>IF(COUNTIF(#REF!,Tabela2[[#This Row],[KOD_PRODUKTU]])&gt;0,"ELEMENT","PRODUKT")</f>
        <v>#REF!</v>
      </c>
      <c r="M1645" t="e">
        <f>COUNTIF(#REF!,Tabela2[[#This Row],[KOD_PRODUKTU]])</f>
        <v>#REF!</v>
      </c>
    </row>
    <row r="1646" spans="1:13" x14ac:dyDescent="0.25">
      <c r="A1646" s="1" t="s">
        <v>2726</v>
      </c>
      <c r="B1646" t="s">
        <v>2727</v>
      </c>
      <c r="C1646" s="1" t="s">
        <v>2738</v>
      </c>
      <c r="D1646" s="1" t="s">
        <v>2738</v>
      </c>
      <c r="E1646" s="1" t="s">
        <v>2738</v>
      </c>
      <c r="F1646" t="s">
        <v>2739</v>
      </c>
      <c r="G1646" t="s">
        <v>168</v>
      </c>
      <c r="H1646" t="s">
        <v>121</v>
      </c>
      <c r="I1646" t="s">
        <v>2740</v>
      </c>
      <c r="J1646">
        <v>0.53</v>
      </c>
      <c r="K1646" t="e">
        <f>IF(COUNTIF(#REF!,Tabela2[[#This Row],[IdxWspolny]])&gt;0,"ELEM_lub_PRD","TECHN")</f>
        <v>#REF!</v>
      </c>
      <c r="L1646" t="e">
        <f>IF(COUNTIF(#REF!,Tabela2[[#This Row],[KOD_PRODUKTU]])&gt;0,"ELEMENT","PRODUKT")</f>
        <v>#REF!</v>
      </c>
      <c r="M1646" t="e">
        <f>COUNTIF(#REF!,Tabela2[[#This Row],[KOD_PRODUKTU]])</f>
        <v>#REF!</v>
      </c>
    </row>
    <row r="1647" spans="1:13" x14ac:dyDescent="0.25">
      <c r="A1647" s="1" t="s">
        <v>2726</v>
      </c>
      <c r="B1647" t="s">
        <v>2727</v>
      </c>
      <c r="C1647" s="1" t="s">
        <v>2741</v>
      </c>
      <c r="D1647" s="1" t="s">
        <v>2741</v>
      </c>
      <c r="E1647" s="1" t="s">
        <v>2741</v>
      </c>
      <c r="F1647" t="s">
        <v>2742</v>
      </c>
      <c r="G1647" t="s">
        <v>2743</v>
      </c>
      <c r="H1647" t="s">
        <v>121</v>
      </c>
      <c r="I1647" t="s">
        <v>122</v>
      </c>
      <c r="J1647">
        <v>0.36</v>
      </c>
      <c r="K1647" t="e">
        <f>IF(COUNTIF(#REF!,Tabela2[[#This Row],[IdxWspolny]])&gt;0,"ELEM_lub_PRD","TECHN")</f>
        <v>#REF!</v>
      </c>
      <c r="L1647" t="e">
        <f>IF(COUNTIF(#REF!,Tabela2[[#This Row],[KOD_PRODUKTU]])&gt;0,"ELEMENT","PRODUKT")</f>
        <v>#REF!</v>
      </c>
      <c r="M1647" t="e">
        <f>COUNTIF(#REF!,Tabela2[[#This Row],[KOD_PRODUKTU]])</f>
        <v>#REF!</v>
      </c>
    </row>
    <row r="1648" spans="1:13" x14ac:dyDescent="0.25">
      <c r="A1648" s="1" t="s">
        <v>2726</v>
      </c>
      <c r="B1648" t="s">
        <v>2727</v>
      </c>
      <c r="C1648" s="1" t="s">
        <v>41</v>
      </c>
      <c r="D1648" s="1" t="s">
        <v>41</v>
      </c>
      <c r="E1648" s="1" t="s">
        <v>41</v>
      </c>
      <c r="F1648" t="s">
        <v>42</v>
      </c>
      <c r="G1648" t="s">
        <v>513</v>
      </c>
      <c r="H1648" t="s">
        <v>5</v>
      </c>
      <c r="I1648" t="s">
        <v>1543</v>
      </c>
      <c r="J1648">
        <v>0.02</v>
      </c>
      <c r="K1648" t="e">
        <f>IF(COUNTIF(#REF!,Tabela2[[#This Row],[IdxWspolny]])&gt;0,"ELEM_lub_PRD","TECHN")</f>
        <v>#REF!</v>
      </c>
      <c r="L1648" t="e">
        <f>IF(COUNTIF(#REF!,Tabela2[[#This Row],[KOD_PRODUKTU]])&gt;0,"ELEMENT","PRODUKT")</f>
        <v>#REF!</v>
      </c>
      <c r="M1648" t="e">
        <f>COUNTIF(#REF!,Tabela2[[#This Row],[KOD_PRODUKTU]])</f>
        <v>#REF!</v>
      </c>
    </row>
    <row r="1649" spans="1:14" x14ac:dyDescent="0.25">
      <c r="A1649" s="1" t="s">
        <v>2726</v>
      </c>
      <c r="B1649" t="s">
        <v>2727</v>
      </c>
      <c r="C1649" s="1" t="s">
        <v>2744</v>
      </c>
      <c r="D1649" s="1" t="s">
        <v>2744</v>
      </c>
      <c r="E1649" s="1" t="s">
        <v>2744</v>
      </c>
      <c r="F1649" t="s">
        <v>2745</v>
      </c>
      <c r="G1649" t="s">
        <v>1675</v>
      </c>
      <c r="H1649" t="s">
        <v>49</v>
      </c>
      <c r="I1649" t="s">
        <v>50</v>
      </c>
      <c r="J1649">
        <v>20.8</v>
      </c>
      <c r="K1649" t="e">
        <f>IF(COUNTIF(#REF!,Tabela2[[#This Row],[IdxWspolny]])&gt;0,"ELEM_lub_PRD","TECHN")</f>
        <v>#REF!</v>
      </c>
      <c r="L1649" t="e">
        <f>IF(COUNTIF(#REF!,Tabela2[[#This Row],[KOD_PRODUKTU]])&gt;0,"ELEMENT","PRODUKT")</f>
        <v>#REF!</v>
      </c>
      <c r="M1649" t="e">
        <f>COUNTIF(#REF!,Tabela2[[#This Row],[KOD_PRODUKTU]])</f>
        <v>#REF!</v>
      </c>
    </row>
    <row r="1650" spans="1:14" x14ac:dyDescent="0.25">
      <c r="A1650" s="1" t="s">
        <v>2726</v>
      </c>
      <c r="B1650" t="s">
        <v>2727</v>
      </c>
      <c r="C1650" s="1" t="s">
        <v>2746</v>
      </c>
      <c r="D1650" s="1" t="s">
        <v>2746</v>
      </c>
      <c r="E1650" s="1" t="s">
        <v>2746</v>
      </c>
      <c r="F1650" t="s">
        <v>2747</v>
      </c>
      <c r="G1650" t="s">
        <v>876</v>
      </c>
      <c r="H1650" t="s">
        <v>49</v>
      </c>
      <c r="I1650" t="s">
        <v>92</v>
      </c>
      <c r="J1650">
        <v>24</v>
      </c>
      <c r="K1650" t="e">
        <f>IF(COUNTIF(#REF!,Tabela2[[#This Row],[IdxWspolny]])&gt;0,"ELEM_lub_PRD","TECHN")</f>
        <v>#REF!</v>
      </c>
      <c r="L1650" t="e">
        <f>IF(COUNTIF(#REF!,Tabela2[[#This Row],[KOD_PRODUKTU]])&gt;0,"ELEMENT","PRODUKT")</f>
        <v>#REF!</v>
      </c>
      <c r="M1650" t="e">
        <f>COUNTIF(#REF!,Tabela2[[#This Row],[KOD_PRODUKTU]])</f>
        <v>#REF!</v>
      </c>
    </row>
    <row r="1651" spans="1:14" x14ac:dyDescent="0.25">
      <c r="A1651" s="1" t="s">
        <v>2726</v>
      </c>
      <c r="B1651" t="s">
        <v>2727</v>
      </c>
      <c r="C1651" s="1" t="s">
        <v>2748</v>
      </c>
      <c r="D1651" s="1" t="s">
        <v>2748</v>
      </c>
      <c r="E1651" s="1" t="s">
        <v>2748</v>
      </c>
      <c r="F1651" t="s">
        <v>2749</v>
      </c>
      <c r="G1651" t="s">
        <v>2750</v>
      </c>
      <c r="H1651" t="s">
        <v>49</v>
      </c>
      <c r="I1651" t="s">
        <v>122</v>
      </c>
      <c r="J1651">
        <v>62.4</v>
      </c>
      <c r="K1651" t="e">
        <f>IF(COUNTIF(#REF!,Tabela2[[#This Row],[IdxWspolny]])&gt;0,"ELEM_lub_PRD","TECHN")</f>
        <v>#REF!</v>
      </c>
      <c r="L1651" t="e">
        <f>IF(COUNTIF(#REF!,Tabela2[[#This Row],[KOD_PRODUKTU]])&gt;0,"ELEMENT","PRODUKT")</f>
        <v>#REF!</v>
      </c>
      <c r="M1651" t="e">
        <f>COUNTIF(#REF!,Tabela2[[#This Row],[KOD_PRODUKTU]])</f>
        <v>#REF!</v>
      </c>
    </row>
    <row r="1652" spans="1:14" x14ac:dyDescent="0.25">
      <c r="A1652" s="1" t="s">
        <v>2726</v>
      </c>
      <c r="B1652" t="s">
        <v>2727</v>
      </c>
      <c r="C1652" s="1" t="s">
        <v>2751</v>
      </c>
      <c r="D1652" s="1" t="s">
        <v>2751</v>
      </c>
      <c r="E1652" s="1" t="s">
        <v>2751</v>
      </c>
      <c r="F1652" t="s">
        <v>2752</v>
      </c>
      <c r="G1652" t="s">
        <v>2036</v>
      </c>
      <c r="H1652" t="s">
        <v>49</v>
      </c>
      <c r="I1652" t="s">
        <v>122</v>
      </c>
      <c r="J1652">
        <v>3.2</v>
      </c>
      <c r="K1652" t="e">
        <f>IF(COUNTIF(#REF!,Tabela2[[#This Row],[IdxWspolny]])&gt;0,"ELEM_lub_PRD","TECHN")</f>
        <v>#REF!</v>
      </c>
      <c r="L1652" t="e">
        <f>IF(COUNTIF(#REF!,Tabela2[[#This Row],[KOD_PRODUKTU]])&gt;0,"ELEMENT","PRODUKT")</f>
        <v>#REF!</v>
      </c>
      <c r="M1652" t="e">
        <f>COUNTIF(#REF!,Tabela2[[#This Row],[KOD_PRODUKTU]])</f>
        <v>#REF!</v>
      </c>
    </row>
    <row r="1653" spans="1:14" hidden="1" x14ac:dyDescent="0.25">
      <c r="A1653" s="1" t="s">
        <v>2726</v>
      </c>
      <c r="B1653" t="s">
        <v>2727</v>
      </c>
      <c r="C1653" s="1" t="s">
        <v>2753</v>
      </c>
      <c r="D1653" s="1" t="s">
        <v>2753</v>
      </c>
      <c r="E1653" s="1" t="s">
        <v>2753</v>
      </c>
      <c r="F1653" t="s">
        <v>2754</v>
      </c>
      <c r="G1653" t="s">
        <v>2755</v>
      </c>
      <c r="H1653" t="s">
        <v>49</v>
      </c>
      <c r="I1653" t="s">
        <v>50</v>
      </c>
      <c r="J1653">
        <v>15.15</v>
      </c>
      <c r="K1653" t="e">
        <f>IF(COUNTIF(#REF!,Tabela2[[#This Row],[IdxWspolny]])&gt;0,"ELEM_lub_PRD","TECHN")</f>
        <v>#REF!</v>
      </c>
      <c r="L1653" t="e">
        <f>IF(COUNTIF(#REF!,Tabela2[[#This Row],[KOD_PRODUKTU]])&gt;0,"ELEMENT","PRODUKT")</f>
        <v>#REF!</v>
      </c>
      <c r="M1653" t="e">
        <f>COUNTIF(#REF!,Tabela2[[#This Row],[KOD_PRODUKTU]])</f>
        <v>#REF!</v>
      </c>
      <c r="N1653" t="s">
        <v>55</v>
      </c>
    </row>
    <row r="1654" spans="1:14" x14ac:dyDescent="0.25">
      <c r="A1654" s="1" t="s">
        <v>2726</v>
      </c>
      <c r="B1654" t="s">
        <v>2727</v>
      </c>
      <c r="C1654" s="1" t="s">
        <v>1989</v>
      </c>
      <c r="D1654" s="1" t="s">
        <v>1989</v>
      </c>
      <c r="E1654" s="1" t="s">
        <v>1989</v>
      </c>
      <c r="F1654" t="s">
        <v>1990</v>
      </c>
      <c r="G1654" t="s">
        <v>1991</v>
      </c>
      <c r="H1654" t="s">
        <v>435</v>
      </c>
      <c r="I1654" t="s">
        <v>1359</v>
      </c>
      <c r="J1654">
        <v>13.8</v>
      </c>
      <c r="K1654" t="e">
        <f>IF(COUNTIF(#REF!,Tabela2[[#This Row],[IdxWspolny]])&gt;0,"ELEM_lub_PRD","TECHN")</f>
        <v>#REF!</v>
      </c>
      <c r="L1654" t="e">
        <f>IF(COUNTIF(#REF!,Tabela2[[#This Row],[KOD_PRODUKTU]])&gt;0,"ELEMENT","PRODUKT")</f>
        <v>#REF!</v>
      </c>
      <c r="M1654" t="e">
        <f>COUNTIF(#REF!,Tabela2[[#This Row],[KOD_PRODUKTU]])</f>
        <v>#REF!</v>
      </c>
    </row>
    <row r="1655" spans="1:14" x14ac:dyDescent="0.25">
      <c r="A1655" s="1" t="s">
        <v>2726</v>
      </c>
      <c r="B1655" t="s">
        <v>2727</v>
      </c>
      <c r="C1655" s="1" t="s">
        <v>541</v>
      </c>
      <c r="D1655" s="1" t="s">
        <v>541</v>
      </c>
      <c r="E1655" s="1" t="s">
        <v>541</v>
      </c>
      <c r="F1655" t="s">
        <v>542</v>
      </c>
      <c r="G1655" t="s">
        <v>9</v>
      </c>
      <c r="H1655" t="s">
        <v>10</v>
      </c>
      <c r="I1655" t="s">
        <v>2756</v>
      </c>
      <c r="J1655">
        <v>5.85</v>
      </c>
      <c r="K1655" t="e">
        <f>IF(COUNTIF(#REF!,Tabela2[[#This Row],[IdxWspolny]])&gt;0,"ELEM_lub_PRD","TECHN")</f>
        <v>#REF!</v>
      </c>
      <c r="L1655" t="e">
        <f>IF(COUNTIF(#REF!,Tabela2[[#This Row],[KOD_PRODUKTU]])&gt;0,"ELEMENT","PRODUKT")</f>
        <v>#REF!</v>
      </c>
      <c r="M1655" t="e">
        <f>COUNTIF(#REF!,Tabela2[[#This Row],[KOD_PRODUKTU]])</f>
        <v>#REF!</v>
      </c>
    </row>
    <row r="1656" spans="1:14" x14ac:dyDescent="0.25">
      <c r="A1656" s="1" t="s">
        <v>2726</v>
      </c>
      <c r="B1656" t="s">
        <v>2727</v>
      </c>
      <c r="C1656" s="1" t="s">
        <v>541</v>
      </c>
      <c r="D1656" s="1" t="s">
        <v>541</v>
      </c>
      <c r="E1656" s="1" t="s">
        <v>541</v>
      </c>
      <c r="F1656" t="s">
        <v>542</v>
      </c>
      <c r="G1656" t="s">
        <v>9</v>
      </c>
      <c r="H1656" t="s">
        <v>10</v>
      </c>
      <c r="I1656" t="s">
        <v>2757</v>
      </c>
      <c r="J1656">
        <v>15.97</v>
      </c>
      <c r="K1656" t="e">
        <f>IF(COUNTIF(#REF!,Tabela2[[#This Row],[IdxWspolny]])&gt;0,"ELEM_lub_PRD","TECHN")</f>
        <v>#REF!</v>
      </c>
      <c r="L1656" t="e">
        <f>IF(COUNTIF(#REF!,Tabela2[[#This Row],[KOD_PRODUKTU]])&gt;0,"ELEMENT","PRODUKT")</f>
        <v>#REF!</v>
      </c>
      <c r="M1656" t="e">
        <f>COUNTIF(#REF!,Tabela2[[#This Row],[KOD_PRODUKTU]])</f>
        <v>#REF!</v>
      </c>
    </row>
    <row r="1657" spans="1:14" x14ac:dyDescent="0.25">
      <c r="A1657" s="1" t="s">
        <v>2758</v>
      </c>
      <c r="B1657" t="s">
        <v>2759</v>
      </c>
      <c r="C1657" s="1" t="s">
        <v>2760</v>
      </c>
      <c r="D1657" s="1" t="s">
        <v>2760</v>
      </c>
      <c r="E1657" s="1" t="s">
        <v>2760</v>
      </c>
      <c r="F1657" t="s">
        <v>2761</v>
      </c>
      <c r="G1657" t="s">
        <v>1768</v>
      </c>
      <c r="H1657" t="s">
        <v>121</v>
      </c>
      <c r="I1657" t="s">
        <v>50</v>
      </c>
      <c r="J1657">
        <v>0</v>
      </c>
      <c r="K1657" t="e">
        <f>IF(COUNTIF(#REF!,Tabela2[[#This Row],[IdxWspolny]])&gt;0,"ELEM_lub_PRD","TECHN")</f>
        <v>#REF!</v>
      </c>
      <c r="L1657" t="e">
        <f>IF(COUNTIF(#REF!,Tabela2[[#This Row],[KOD_PRODUKTU]])&gt;0,"ELEMENT","PRODUKT")</f>
        <v>#REF!</v>
      </c>
      <c r="M1657" t="e">
        <f>COUNTIF(#REF!,Tabela2[[#This Row],[KOD_PRODUKTU]])</f>
        <v>#REF!</v>
      </c>
    </row>
    <row r="1658" spans="1:14" x14ac:dyDescent="0.25">
      <c r="A1658" s="1" t="s">
        <v>2758</v>
      </c>
      <c r="B1658" t="s">
        <v>2759</v>
      </c>
      <c r="C1658" s="1" t="s">
        <v>2762</v>
      </c>
      <c r="D1658" s="1" t="s">
        <v>2762</v>
      </c>
      <c r="E1658" s="1" t="s">
        <v>2762</v>
      </c>
      <c r="F1658" t="s">
        <v>2763</v>
      </c>
      <c r="G1658" t="s">
        <v>311</v>
      </c>
      <c r="H1658" t="s">
        <v>5</v>
      </c>
      <c r="I1658" t="s">
        <v>2764</v>
      </c>
      <c r="J1658">
        <v>18.850000000000001</v>
      </c>
      <c r="K1658" t="e">
        <f>IF(COUNTIF(#REF!,Tabela2[[#This Row],[IdxWspolny]])&gt;0,"ELEM_lub_PRD","TECHN")</f>
        <v>#REF!</v>
      </c>
      <c r="L1658" t="e">
        <f>IF(COUNTIF(#REF!,Tabela2[[#This Row],[KOD_PRODUKTU]])&gt;0,"ELEMENT","PRODUKT")</f>
        <v>#REF!</v>
      </c>
      <c r="M1658" t="e">
        <f>COUNTIF(#REF!,Tabela2[[#This Row],[KOD_PRODUKTU]])</f>
        <v>#REF!</v>
      </c>
    </row>
    <row r="1659" spans="1:14" x14ac:dyDescent="0.25">
      <c r="A1659" s="1" t="s">
        <v>2758</v>
      </c>
      <c r="B1659" t="s">
        <v>2759</v>
      </c>
      <c r="C1659" s="1" t="s">
        <v>2765</v>
      </c>
      <c r="D1659" s="1" t="s">
        <v>2765</v>
      </c>
      <c r="E1659" s="1" t="s">
        <v>2765</v>
      </c>
      <c r="F1659" t="s">
        <v>2766</v>
      </c>
      <c r="G1659" t="s">
        <v>2767</v>
      </c>
      <c r="H1659" t="s">
        <v>121</v>
      </c>
      <c r="I1659" t="s">
        <v>50</v>
      </c>
      <c r="J1659">
        <v>349</v>
      </c>
      <c r="K1659" t="e">
        <f>IF(COUNTIF(#REF!,Tabela2[[#This Row],[IdxWspolny]])&gt;0,"ELEM_lub_PRD","TECHN")</f>
        <v>#REF!</v>
      </c>
      <c r="L1659" t="e">
        <f>IF(COUNTIF(#REF!,Tabela2[[#This Row],[KOD_PRODUKTU]])&gt;0,"ELEMENT","PRODUKT")</f>
        <v>#REF!</v>
      </c>
      <c r="M1659" t="e">
        <f>COUNTIF(#REF!,Tabela2[[#This Row],[KOD_PRODUKTU]])</f>
        <v>#REF!</v>
      </c>
    </row>
    <row r="1660" spans="1:14" x14ac:dyDescent="0.25">
      <c r="A1660" s="1" t="s">
        <v>2758</v>
      </c>
      <c r="B1660" t="s">
        <v>2759</v>
      </c>
      <c r="C1660" s="1" t="s">
        <v>2768</v>
      </c>
      <c r="D1660" s="1" t="s">
        <v>2768</v>
      </c>
      <c r="E1660" s="1" t="s">
        <v>2768</v>
      </c>
      <c r="F1660" t="s">
        <v>2769</v>
      </c>
      <c r="G1660" t="s">
        <v>311</v>
      </c>
      <c r="H1660" t="s">
        <v>5</v>
      </c>
      <c r="I1660" t="s">
        <v>2770</v>
      </c>
      <c r="J1660">
        <v>0.03</v>
      </c>
      <c r="K1660" t="e">
        <f>IF(COUNTIF(#REF!,Tabela2[[#This Row],[IdxWspolny]])&gt;0,"ELEM_lub_PRD","TECHN")</f>
        <v>#REF!</v>
      </c>
      <c r="L1660" t="e">
        <f>IF(COUNTIF(#REF!,Tabela2[[#This Row],[KOD_PRODUKTU]])&gt;0,"ELEMENT","PRODUKT")</f>
        <v>#REF!</v>
      </c>
      <c r="M1660" t="e">
        <f>COUNTIF(#REF!,Tabela2[[#This Row],[KOD_PRODUKTU]])</f>
        <v>#REF!</v>
      </c>
    </row>
    <row r="1661" spans="1:14" x14ac:dyDescent="0.25">
      <c r="A1661" s="1" t="s">
        <v>2758</v>
      </c>
      <c r="B1661" t="s">
        <v>2759</v>
      </c>
      <c r="C1661" s="1" t="s">
        <v>2771</v>
      </c>
      <c r="D1661" s="1" t="s">
        <v>2771</v>
      </c>
      <c r="E1661" s="1" t="s">
        <v>2771</v>
      </c>
      <c r="F1661" t="s">
        <v>2772</v>
      </c>
      <c r="G1661" t="s">
        <v>1964</v>
      </c>
      <c r="H1661" t="s">
        <v>5</v>
      </c>
      <c r="I1661" t="s">
        <v>2773</v>
      </c>
      <c r="J1661">
        <v>0.53</v>
      </c>
      <c r="K1661" t="e">
        <f>IF(COUNTIF(#REF!,Tabela2[[#This Row],[IdxWspolny]])&gt;0,"ELEM_lub_PRD","TECHN")</f>
        <v>#REF!</v>
      </c>
      <c r="L1661" t="e">
        <f>IF(COUNTIF(#REF!,Tabela2[[#This Row],[KOD_PRODUKTU]])&gt;0,"ELEMENT","PRODUKT")</f>
        <v>#REF!</v>
      </c>
      <c r="M1661" t="e">
        <f>COUNTIF(#REF!,Tabela2[[#This Row],[KOD_PRODUKTU]])</f>
        <v>#REF!</v>
      </c>
    </row>
    <row r="1662" spans="1:14" x14ac:dyDescent="0.25">
      <c r="A1662" s="1" t="s">
        <v>2758</v>
      </c>
      <c r="B1662" t="s">
        <v>2759</v>
      </c>
      <c r="C1662" s="1" t="s">
        <v>2774</v>
      </c>
      <c r="D1662" s="1" t="s">
        <v>2774</v>
      </c>
      <c r="E1662" s="1" t="s">
        <v>2774</v>
      </c>
      <c r="F1662" t="s">
        <v>2775</v>
      </c>
      <c r="G1662" t="s">
        <v>2776</v>
      </c>
      <c r="H1662" t="s">
        <v>5</v>
      </c>
      <c r="I1662" t="s">
        <v>2777</v>
      </c>
      <c r="J1662">
        <v>0.38</v>
      </c>
      <c r="K1662" t="e">
        <f>IF(COUNTIF(#REF!,Tabela2[[#This Row],[IdxWspolny]])&gt;0,"ELEM_lub_PRD","TECHN")</f>
        <v>#REF!</v>
      </c>
      <c r="L1662" t="e">
        <f>IF(COUNTIF(#REF!,Tabela2[[#This Row],[KOD_PRODUKTU]])&gt;0,"ELEMENT","PRODUKT")</f>
        <v>#REF!</v>
      </c>
      <c r="M1662" t="e">
        <f>COUNTIF(#REF!,Tabela2[[#This Row],[KOD_PRODUKTU]])</f>
        <v>#REF!</v>
      </c>
    </row>
    <row r="1663" spans="1:14" x14ac:dyDescent="0.25">
      <c r="A1663" s="1" t="s">
        <v>2758</v>
      </c>
      <c r="B1663" t="s">
        <v>2759</v>
      </c>
      <c r="C1663" s="1" t="s">
        <v>2778</v>
      </c>
      <c r="D1663" s="1" t="s">
        <v>2778</v>
      </c>
      <c r="E1663" s="1" t="s">
        <v>2778</v>
      </c>
      <c r="F1663" t="s">
        <v>2779</v>
      </c>
      <c r="G1663" t="s">
        <v>2780</v>
      </c>
      <c r="H1663" t="s">
        <v>1965</v>
      </c>
      <c r="I1663" t="s">
        <v>605</v>
      </c>
      <c r="J1663">
        <v>1.87</v>
      </c>
      <c r="K1663" t="e">
        <f>IF(COUNTIF(#REF!,Tabela2[[#This Row],[IdxWspolny]])&gt;0,"ELEM_lub_PRD","TECHN")</f>
        <v>#REF!</v>
      </c>
      <c r="L1663" t="e">
        <f>IF(COUNTIF(#REF!,Tabela2[[#This Row],[KOD_PRODUKTU]])&gt;0,"ELEMENT","PRODUKT")</f>
        <v>#REF!</v>
      </c>
      <c r="M1663" t="e">
        <f>COUNTIF(#REF!,Tabela2[[#This Row],[KOD_PRODUKTU]])</f>
        <v>#REF!</v>
      </c>
    </row>
    <row r="1664" spans="1:14" x14ac:dyDescent="0.25">
      <c r="A1664" s="1" t="s">
        <v>2758</v>
      </c>
      <c r="B1664" t="s">
        <v>2759</v>
      </c>
      <c r="C1664" s="1" t="s">
        <v>2781</v>
      </c>
      <c r="D1664" s="1" t="s">
        <v>2781</v>
      </c>
      <c r="E1664" s="1" t="s">
        <v>2781</v>
      </c>
      <c r="F1664" t="s">
        <v>2782</v>
      </c>
      <c r="G1664" t="s">
        <v>2783</v>
      </c>
      <c r="H1664" t="s">
        <v>1965</v>
      </c>
      <c r="I1664" t="s">
        <v>605</v>
      </c>
      <c r="J1664">
        <v>1.1200000000000001</v>
      </c>
      <c r="K1664" t="e">
        <f>IF(COUNTIF(#REF!,Tabela2[[#This Row],[IdxWspolny]])&gt;0,"ELEM_lub_PRD","TECHN")</f>
        <v>#REF!</v>
      </c>
      <c r="L1664" t="e">
        <f>IF(COUNTIF(#REF!,Tabela2[[#This Row],[KOD_PRODUKTU]])&gt;0,"ELEMENT","PRODUKT")</f>
        <v>#REF!</v>
      </c>
      <c r="M1664" t="e">
        <f>COUNTIF(#REF!,Tabela2[[#This Row],[KOD_PRODUKTU]])</f>
        <v>#REF!</v>
      </c>
    </row>
    <row r="1665" spans="1:14" x14ac:dyDescent="0.25">
      <c r="A1665" s="1" t="s">
        <v>2758</v>
      </c>
      <c r="B1665" t="s">
        <v>2759</v>
      </c>
      <c r="C1665" s="1" t="s">
        <v>2784</v>
      </c>
      <c r="D1665" s="1" t="s">
        <v>2784</v>
      </c>
      <c r="E1665" s="1" t="s">
        <v>2784</v>
      </c>
      <c r="F1665" t="s">
        <v>2785</v>
      </c>
      <c r="G1665" t="s">
        <v>2786</v>
      </c>
      <c r="H1665" t="s">
        <v>5</v>
      </c>
      <c r="I1665" t="s">
        <v>2787</v>
      </c>
      <c r="J1665">
        <v>1.01</v>
      </c>
      <c r="K1665" t="e">
        <f>IF(COUNTIF(#REF!,Tabela2[[#This Row],[IdxWspolny]])&gt;0,"ELEM_lub_PRD","TECHN")</f>
        <v>#REF!</v>
      </c>
      <c r="L1665" t="e">
        <f>IF(COUNTIF(#REF!,Tabela2[[#This Row],[KOD_PRODUKTU]])&gt;0,"ELEMENT","PRODUKT")</f>
        <v>#REF!</v>
      </c>
      <c r="M1665" t="e">
        <f>COUNTIF(#REF!,Tabela2[[#This Row],[KOD_PRODUKTU]])</f>
        <v>#REF!</v>
      </c>
    </row>
    <row r="1666" spans="1:14" x14ac:dyDescent="0.25">
      <c r="A1666" s="1" t="s">
        <v>2758</v>
      </c>
      <c r="B1666" t="s">
        <v>2759</v>
      </c>
      <c r="C1666" s="1" t="s">
        <v>628</v>
      </c>
      <c r="D1666" s="1" t="s">
        <v>628</v>
      </c>
      <c r="E1666" s="1" t="s">
        <v>628</v>
      </c>
      <c r="F1666" t="s">
        <v>629</v>
      </c>
      <c r="G1666" t="s">
        <v>630</v>
      </c>
      <c r="H1666" t="s">
        <v>5</v>
      </c>
      <c r="I1666" t="s">
        <v>2788</v>
      </c>
      <c r="J1666">
        <v>0.08</v>
      </c>
      <c r="K1666" t="e">
        <f>IF(COUNTIF(#REF!,Tabela2[[#This Row],[IdxWspolny]])&gt;0,"ELEM_lub_PRD","TECHN")</f>
        <v>#REF!</v>
      </c>
      <c r="L1666" t="e">
        <f>IF(COUNTIF(#REF!,Tabela2[[#This Row],[KOD_PRODUKTU]])&gt;0,"ELEMENT","PRODUKT")</f>
        <v>#REF!</v>
      </c>
      <c r="M1666" t="e">
        <f>COUNTIF(#REF!,Tabela2[[#This Row],[KOD_PRODUKTU]])</f>
        <v>#REF!</v>
      </c>
    </row>
    <row r="1667" spans="1:14" x14ac:dyDescent="0.25">
      <c r="A1667" s="1" t="s">
        <v>2758</v>
      </c>
      <c r="B1667" t="s">
        <v>2759</v>
      </c>
      <c r="C1667" s="1" t="s">
        <v>483</v>
      </c>
      <c r="D1667" s="1" t="s">
        <v>483</v>
      </c>
      <c r="E1667" s="1" t="s">
        <v>483</v>
      </c>
      <c r="F1667" t="s">
        <v>484</v>
      </c>
      <c r="G1667" t="s">
        <v>2789</v>
      </c>
      <c r="H1667" t="s">
        <v>5</v>
      </c>
      <c r="I1667" t="s">
        <v>615</v>
      </c>
      <c r="J1667">
        <v>0.08</v>
      </c>
      <c r="K1667" t="e">
        <f>IF(COUNTIF(#REF!,Tabela2[[#This Row],[IdxWspolny]])&gt;0,"ELEM_lub_PRD","TECHN")</f>
        <v>#REF!</v>
      </c>
      <c r="L1667" t="e">
        <f>IF(COUNTIF(#REF!,Tabela2[[#This Row],[KOD_PRODUKTU]])&gt;0,"ELEMENT","PRODUKT")</f>
        <v>#REF!</v>
      </c>
      <c r="M1667" t="e">
        <f>COUNTIF(#REF!,Tabela2[[#This Row],[KOD_PRODUKTU]])</f>
        <v>#REF!</v>
      </c>
    </row>
    <row r="1668" spans="1:14" x14ac:dyDescent="0.25">
      <c r="A1668" s="1" t="s">
        <v>2758</v>
      </c>
      <c r="B1668" t="s">
        <v>2759</v>
      </c>
      <c r="C1668" s="1" t="s">
        <v>1971</v>
      </c>
      <c r="D1668" s="1" t="s">
        <v>1971</v>
      </c>
      <c r="E1668" s="1" t="s">
        <v>1971</v>
      </c>
      <c r="F1668" t="s">
        <v>1972</v>
      </c>
      <c r="G1668" t="s">
        <v>1964</v>
      </c>
      <c r="H1668" t="s">
        <v>5</v>
      </c>
      <c r="I1668" t="s">
        <v>2790</v>
      </c>
      <c r="J1668">
        <v>0.1</v>
      </c>
      <c r="K1668" t="e">
        <f>IF(COUNTIF(#REF!,Tabela2[[#This Row],[IdxWspolny]])&gt;0,"ELEM_lub_PRD","TECHN")</f>
        <v>#REF!</v>
      </c>
      <c r="L1668" t="e">
        <f>IF(COUNTIF(#REF!,Tabela2[[#This Row],[KOD_PRODUKTU]])&gt;0,"ELEMENT","PRODUKT")</f>
        <v>#REF!</v>
      </c>
      <c r="M1668" t="e">
        <f>COUNTIF(#REF!,Tabela2[[#This Row],[KOD_PRODUKTU]])</f>
        <v>#REF!</v>
      </c>
    </row>
    <row r="1669" spans="1:14" x14ac:dyDescent="0.25">
      <c r="A1669" s="1" t="s">
        <v>2758</v>
      </c>
      <c r="B1669" t="s">
        <v>2759</v>
      </c>
      <c r="C1669" s="1" t="s">
        <v>2791</v>
      </c>
      <c r="D1669" s="1" t="s">
        <v>2791</v>
      </c>
      <c r="E1669" s="1" t="s">
        <v>2791</v>
      </c>
      <c r="F1669" t="s">
        <v>2792</v>
      </c>
      <c r="G1669" t="s">
        <v>2793</v>
      </c>
      <c r="H1669" t="s">
        <v>121</v>
      </c>
      <c r="I1669" t="s">
        <v>367</v>
      </c>
      <c r="J1669">
        <v>0.94</v>
      </c>
      <c r="K1669" t="e">
        <f>IF(COUNTIF(#REF!,Tabela2[[#This Row],[IdxWspolny]])&gt;0,"ELEM_lub_PRD","TECHN")</f>
        <v>#REF!</v>
      </c>
      <c r="L1669" t="e">
        <f>IF(COUNTIF(#REF!,Tabela2[[#This Row],[KOD_PRODUKTU]])&gt;0,"ELEMENT","PRODUKT")</f>
        <v>#REF!</v>
      </c>
      <c r="M1669" t="e">
        <f>COUNTIF(#REF!,Tabela2[[#This Row],[KOD_PRODUKTU]])</f>
        <v>#REF!</v>
      </c>
    </row>
    <row r="1670" spans="1:14" x14ac:dyDescent="0.25">
      <c r="A1670" s="1" t="s">
        <v>2758</v>
      </c>
      <c r="B1670" t="s">
        <v>2759</v>
      </c>
      <c r="C1670" s="1" t="s">
        <v>2738</v>
      </c>
      <c r="D1670" s="1" t="s">
        <v>2738</v>
      </c>
      <c r="E1670" s="1" t="s">
        <v>2738</v>
      </c>
      <c r="F1670" t="s">
        <v>2739</v>
      </c>
      <c r="G1670" t="s">
        <v>168</v>
      </c>
      <c r="H1670" t="s">
        <v>121</v>
      </c>
      <c r="I1670" t="s">
        <v>1371</v>
      </c>
      <c r="J1670">
        <v>0.21</v>
      </c>
      <c r="K1670" t="e">
        <f>IF(COUNTIF(#REF!,Tabela2[[#This Row],[IdxWspolny]])&gt;0,"ELEM_lub_PRD","TECHN")</f>
        <v>#REF!</v>
      </c>
      <c r="L1670" t="e">
        <f>IF(COUNTIF(#REF!,Tabela2[[#This Row],[KOD_PRODUKTU]])&gt;0,"ELEMENT","PRODUKT")</f>
        <v>#REF!</v>
      </c>
      <c r="M1670" t="e">
        <f>COUNTIF(#REF!,Tabela2[[#This Row],[KOD_PRODUKTU]])</f>
        <v>#REF!</v>
      </c>
    </row>
    <row r="1671" spans="1:14" x14ac:dyDescent="0.25">
      <c r="A1671" s="1" t="s">
        <v>2758</v>
      </c>
      <c r="B1671" t="s">
        <v>2759</v>
      </c>
      <c r="C1671" s="1" t="s">
        <v>2794</v>
      </c>
      <c r="D1671" s="1" t="s">
        <v>2794</v>
      </c>
      <c r="E1671" s="1" t="s">
        <v>2794</v>
      </c>
      <c r="F1671" t="s">
        <v>2795</v>
      </c>
      <c r="G1671" t="s">
        <v>712</v>
      </c>
      <c r="H1671" t="s">
        <v>121</v>
      </c>
      <c r="I1671" t="s">
        <v>594</v>
      </c>
      <c r="J1671">
        <v>6.25</v>
      </c>
      <c r="K1671" t="e">
        <f>IF(COUNTIF(#REF!,Tabela2[[#This Row],[IdxWspolny]])&gt;0,"ELEM_lub_PRD","TECHN")</f>
        <v>#REF!</v>
      </c>
      <c r="L1671" t="e">
        <f>IF(COUNTIF(#REF!,Tabela2[[#This Row],[KOD_PRODUKTU]])&gt;0,"ELEMENT","PRODUKT")</f>
        <v>#REF!</v>
      </c>
      <c r="M1671" t="e">
        <f>COUNTIF(#REF!,Tabela2[[#This Row],[KOD_PRODUKTU]])</f>
        <v>#REF!</v>
      </c>
    </row>
    <row r="1672" spans="1:14" x14ac:dyDescent="0.25">
      <c r="A1672" s="1" t="s">
        <v>2758</v>
      </c>
      <c r="B1672" t="s">
        <v>2759</v>
      </c>
      <c r="C1672" s="1" t="s">
        <v>41</v>
      </c>
      <c r="D1672" s="1" t="s">
        <v>41</v>
      </c>
      <c r="E1672" s="1" t="s">
        <v>41</v>
      </c>
      <c r="F1672" t="s">
        <v>42</v>
      </c>
      <c r="G1672" t="s">
        <v>513</v>
      </c>
      <c r="H1672" t="s">
        <v>5</v>
      </c>
      <c r="I1672" t="s">
        <v>2796</v>
      </c>
      <c r="J1672">
        <v>0.3</v>
      </c>
      <c r="K1672" t="e">
        <f>IF(COUNTIF(#REF!,Tabela2[[#This Row],[IdxWspolny]])&gt;0,"ELEM_lub_PRD","TECHN")</f>
        <v>#REF!</v>
      </c>
      <c r="L1672" t="e">
        <f>IF(COUNTIF(#REF!,Tabela2[[#This Row],[KOD_PRODUKTU]])&gt;0,"ELEMENT","PRODUKT")</f>
        <v>#REF!</v>
      </c>
      <c r="M1672" t="e">
        <f>COUNTIF(#REF!,Tabela2[[#This Row],[KOD_PRODUKTU]])</f>
        <v>#REF!</v>
      </c>
    </row>
    <row r="1673" spans="1:14" x14ac:dyDescent="0.25">
      <c r="A1673" s="1" t="s">
        <v>2758</v>
      </c>
      <c r="B1673" t="s">
        <v>2759</v>
      </c>
      <c r="C1673" s="1" t="s">
        <v>2797</v>
      </c>
      <c r="D1673" s="1" t="s">
        <v>2797</v>
      </c>
      <c r="E1673" s="1" t="s">
        <v>2797</v>
      </c>
      <c r="F1673" t="s">
        <v>2798</v>
      </c>
      <c r="G1673" t="s">
        <v>2799</v>
      </c>
      <c r="H1673" t="s">
        <v>121</v>
      </c>
      <c r="I1673" t="s">
        <v>50</v>
      </c>
      <c r="J1673">
        <v>2.41</v>
      </c>
      <c r="K1673" t="e">
        <f>IF(COUNTIF(#REF!,Tabela2[[#This Row],[IdxWspolny]])&gt;0,"ELEM_lub_PRD","TECHN")</f>
        <v>#REF!</v>
      </c>
      <c r="L1673" t="e">
        <f>IF(COUNTIF(#REF!,Tabela2[[#This Row],[KOD_PRODUKTU]])&gt;0,"ELEMENT","PRODUKT")</f>
        <v>#REF!</v>
      </c>
      <c r="M1673" t="e">
        <f>COUNTIF(#REF!,Tabela2[[#This Row],[KOD_PRODUKTU]])</f>
        <v>#REF!</v>
      </c>
    </row>
    <row r="1674" spans="1:14" hidden="1" x14ac:dyDescent="0.25">
      <c r="A1674" s="1" t="s">
        <v>2758</v>
      </c>
      <c r="B1674" t="s">
        <v>2759</v>
      </c>
      <c r="C1674" s="1" t="s">
        <v>2800</v>
      </c>
      <c r="D1674" s="1" t="s">
        <v>2800</v>
      </c>
      <c r="E1674" s="1" t="s">
        <v>2800</v>
      </c>
      <c r="F1674" t="s">
        <v>2801</v>
      </c>
      <c r="G1674" t="s">
        <v>2802</v>
      </c>
      <c r="H1674" t="s">
        <v>121</v>
      </c>
      <c r="I1674" t="s">
        <v>50</v>
      </c>
      <c r="J1674">
        <v>157.28</v>
      </c>
      <c r="K1674" t="e">
        <f>IF(COUNTIF(#REF!,Tabela2[[#This Row],[IdxWspolny]])&gt;0,"ELEM_lub_PRD","TECHN")</f>
        <v>#REF!</v>
      </c>
      <c r="L1674" t="e">
        <f>IF(COUNTIF(#REF!,Tabela2[[#This Row],[KOD_PRODUKTU]])&gt;0,"ELEMENT","PRODUKT")</f>
        <v>#REF!</v>
      </c>
      <c r="M1674" t="e">
        <f>COUNTIF(#REF!,Tabela2[[#This Row],[KOD_PRODUKTU]])</f>
        <v>#REF!</v>
      </c>
      <c r="N1674" t="s">
        <v>55</v>
      </c>
    </row>
    <row r="1675" spans="1:14" hidden="1" x14ac:dyDescent="0.25">
      <c r="A1675" s="1" t="s">
        <v>2758</v>
      </c>
      <c r="B1675" t="s">
        <v>2759</v>
      </c>
      <c r="C1675" s="1" t="s">
        <v>2803</v>
      </c>
      <c r="D1675" s="1" t="s">
        <v>2803</v>
      </c>
      <c r="E1675" s="1" t="s">
        <v>2803</v>
      </c>
      <c r="F1675" t="s">
        <v>2804</v>
      </c>
      <c r="G1675" t="s">
        <v>2805</v>
      </c>
      <c r="H1675" t="s">
        <v>121</v>
      </c>
      <c r="I1675" t="s">
        <v>50</v>
      </c>
      <c r="J1675">
        <v>122.15</v>
      </c>
      <c r="K1675" t="e">
        <f>IF(COUNTIF(#REF!,Tabela2[[#This Row],[IdxWspolny]])&gt;0,"ELEM_lub_PRD","TECHN")</f>
        <v>#REF!</v>
      </c>
      <c r="L1675" t="e">
        <f>IF(COUNTIF(#REF!,Tabela2[[#This Row],[KOD_PRODUKTU]])&gt;0,"ELEMENT","PRODUKT")</f>
        <v>#REF!</v>
      </c>
      <c r="M1675" t="e">
        <f>COUNTIF(#REF!,Tabela2[[#This Row],[KOD_PRODUKTU]])</f>
        <v>#REF!</v>
      </c>
      <c r="N1675" t="s">
        <v>55</v>
      </c>
    </row>
    <row r="1676" spans="1:14" hidden="1" x14ac:dyDescent="0.25">
      <c r="A1676" s="1" t="s">
        <v>2758</v>
      </c>
      <c r="B1676" t="s">
        <v>2759</v>
      </c>
      <c r="C1676" s="1" t="s">
        <v>2806</v>
      </c>
      <c r="D1676" s="1" t="s">
        <v>2806</v>
      </c>
      <c r="E1676" s="1" t="s">
        <v>2806</v>
      </c>
      <c r="F1676" t="s">
        <v>2807</v>
      </c>
      <c r="G1676" t="s">
        <v>2808</v>
      </c>
      <c r="H1676" t="s">
        <v>121</v>
      </c>
      <c r="I1676" t="s">
        <v>50</v>
      </c>
      <c r="J1676">
        <v>178.11</v>
      </c>
      <c r="K1676" t="e">
        <f>IF(COUNTIF(#REF!,Tabela2[[#This Row],[IdxWspolny]])&gt;0,"ELEM_lub_PRD","TECHN")</f>
        <v>#REF!</v>
      </c>
      <c r="L1676" t="e">
        <f>IF(COUNTIF(#REF!,Tabela2[[#This Row],[KOD_PRODUKTU]])&gt;0,"ELEMENT","PRODUKT")</f>
        <v>#REF!</v>
      </c>
      <c r="M1676" t="e">
        <f>COUNTIF(#REF!,Tabela2[[#This Row],[KOD_PRODUKTU]])</f>
        <v>#REF!</v>
      </c>
      <c r="N1676" t="s">
        <v>55</v>
      </c>
    </row>
    <row r="1677" spans="1:14" hidden="1" x14ac:dyDescent="0.25">
      <c r="A1677" s="1" t="s">
        <v>2758</v>
      </c>
      <c r="B1677" t="s">
        <v>2759</v>
      </c>
      <c r="C1677" s="1" t="s">
        <v>2809</v>
      </c>
      <c r="D1677" s="1" t="s">
        <v>2809</v>
      </c>
      <c r="E1677" s="1" t="s">
        <v>2809</v>
      </c>
      <c r="F1677" t="s">
        <v>2810</v>
      </c>
      <c r="G1677" t="s">
        <v>2811</v>
      </c>
      <c r="H1677" t="s">
        <v>121</v>
      </c>
      <c r="I1677" t="s">
        <v>50</v>
      </c>
      <c r="J1677">
        <v>74.95</v>
      </c>
      <c r="K1677" t="e">
        <f>IF(COUNTIF(#REF!,Tabela2[[#This Row],[IdxWspolny]])&gt;0,"ELEM_lub_PRD","TECHN")</f>
        <v>#REF!</v>
      </c>
      <c r="L1677" t="e">
        <f>IF(COUNTIF(#REF!,Tabela2[[#This Row],[KOD_PRODUKTU]])&gt;0,"ELEMENT","PRODUKT")</f>
        <v>#REF!</v>
      </c>
      <c r="M1677" t="e">
        <f>COUNTIF(#REF!,Tabela2[[#This Row],[KOD_PRODUKTU]])</f>
        <v>#REF!</v>
      </c>
      <c r="N1677" t="s">
        <v>55</v>
      </c>
    </row>
    <row r="1678" spans="1:14" hidden="1" x14ac:dyDescent="0.25">
      <c r="A1678" s="1" t="s">
        <v>2758</v>
      </c>
      <c r="B1678" t="s">
        <v>2759</v>
      </c>
      <c r="C1678" s="1" t="s">
        <v>2812</v>
      </c>
      <c r="D1678" s="1" t="s">
        <v>2812</v>
      </c>
      <c r="E1678" s="1" t="s">
        <v>2812</v>
      </c>
      <c r="F1678" t="s">
        <v>2813</v>
      </c>
      <c r="G1678" t="s">
        <v>2814</v>
      </c>
      <c r="H1678" t="s">
        <v>121</v>
      </c>
      <c r="I1678" t="s">
        <v>50</v>
      </c>
      <c r="J1678">
        <v>6.78</v>
      </c>
      <c r="K1678" t="e">
        <f>IF(COUNTIF(#REF!,Tabela2[[#This Row],[IdxWspolny]])&gt;0,"ELEM_lub_PRD","TECHN")</f>
        <v>#REF!</v>
      </c>
      <c r="L1678" t="e">
        <f>IF(COUNTIF(#REF!,Tabela2[[#This Row],[KOD_PRODUKTU]])&gt;0,"ELEMENT","PRODUKT")</f>
        <v>#REF!</v>
      </c>
      <c r="M1678" t="e">
        <f>COUNTIF(#REF!,Tabela2[[#This Row],[KOD_PRODUKTU]])</f>
        <v>#REF!</v>
      </c>
      <c r="N1678" t="s">
        <v>55</v>
      </c>
    </row>
    <row r="1679" spans="1:14" hidden="1" x14ac:dyDescent="0.25">
      <c r="A1679" s="1" t="s">
        <v>2758</v>
      </c>
      <c r="B1679" t="s">
        <v>2759</v>
      </c>
      <c r="C1679" s="1" t="s">
        <v>2815</v>
      </c>
      <c r="D1679" s="1" t="s">
        <v>2815</v>
      </c>
      <c r="E1679" s="1" t="s">
        <v>2815</v>
      </c>
      <c r="F1679" t="s">
        <v>2816</v>
      </c>
      <c r="G1679" t="s">
        <v>2817</v>
      </c>
      <c r="H1679" t="s">
        <v>121</v>
      </c>
      <c r="I1679" t="s">
        <v>92</v>
      </c>
      <c r="J1679">
        <v>79.319999999999993</v>
      </c>
      <c r="K1679" t="e">
        <f>IF(COUNTIF(#REF!,Tabela2[[#This Row],[IdxWspolny]])&gt;0,"ELEM_lub_PRD","TECHN")</f>
        <v>#REF!</v>
      </c>
      <c r="L1679" t="e">
        <f>IF(COUNTIF(#REF!,Tabela2[[#This Row],[KOD_PRODUKTU]])&gt;0,"ELEMENT","PRODUKT")</f>
        <v>#REF!</v>
      </c>
      <c r="M1679" t="e">
        <f>COUNTIF(#REF!,Tabela2[[#This Row],[KOD_PRODUKTU]])</f>
        <v>#REF!</v>
      </c>
      <c r="N1679" t="s">
        <v>55</v>
      </c>
    </row>
    <row r="1680" spans="1:14" hidden="1" x14ac:dyDescent="0.25">
      <c r="A1680" s="1" t="s">
        <v>2758</v>
      </c>
      <c r="B1680" t="s">
        <v>2759</v>
      </c>
      <c r="C1680" s="1" t="s">
        <v>2818</v>
      </c>
      <c r="D1680" s="1" t="s">
        <v>2818</v>
      </c>
      <c r="E1680" s="1" t="s">
        <v>2818</v>
      </c>
      <c r="F1680" t="s">
        <v>2819</v>
      </c>
      <c r="G1680" t="s">
        <v>2820</v>
      </c>
      <c r="H1680" t="s">
        <v>121</v>
      </c>
      <c r="I1680" t="s">
        <v>92</v>
      </c>
      <c r="J1680">
        <v>89.9</v>
      </c>
      <c r="K1680" t="e">
        <f>IF(COUNTIF(#REF!,Tabela2[[#This Row],[IdxWspolny]])&gt;0,"ELEM_lub_PRD","TECHN")</f>
        <v>#REF!</v>
      </c>
      <c r="L1680" t="e">
        <f>IF(COUNTIF(#REF!,Tabela2[[#This Row],[KOD_PRODUKTU]])&gt;0,"ELEMENT","PRODUKT")</f>
        <v>#REF!</v>
      </c>
      <c r="M1680" t="e">
        <f>COUNTIF(#REF!,Tabela2[[#This Row],[KOD_PRODUKTU]])</f>
        <v>#REF!</v>
      </c>
      <c r="N1680" t="s">
        <v>55</v>
      </c>
    </row>
    <row r="1681" spans="1:13" x14ac:dyDescent="0.25">
      <c r="A1681" s="1" t="s">
        <v>2758</v>
      </c>
      <c r="B1681" t="s">
        <v>2759</v>
      </c>
      <c r="C1681" s="1" t="s">
        <v>684</v>
      </c>
      <c r="D1681" s="1" t="s">
        <v>684</v>
      </c>
      <c r="E1681" s="1" t="s">
        <v>684</v>
      </c>
      <c r="F1681" t="s">
        <v>685</v>
      </c>
      <c r="G1681" t="s">
        <v>686</v>
      </c>
      <c r="H1681" t="s">
        <v>49</v>
      </c>
      <c r="I1681" t="s">
        <v>2821</v>
      </c>
      <c r="J1681">
        <v>8.75</v>
      </c>
      <c r="K1681" t="e">
        <f>IF(COUNTIF(#REF!,Tabela2[[#This Row],[IdxWspolny]])&gt;0,"ELEM_lub_PRD","TECHN")</f>
        <v>#REF!</v>
      </c>
      <c r="L1681" t="e">
        <f>IF(COUNTIF(#REF!,Tabela2[[#This Row],[KOD_PRODUKTU]])&gt;0,"ELEMENT","PRODUKT")</f>
        <v>#REF!</v>
      </c>
      <c r="M1681" t="e">
        <f>COUNTIF(#REF!,Tabela2[[#This Row],[KOD_PRODUKTU]])</f>
        <v>#REF!</v>
      </c>
    </row>
    <row r="1682" spans="1:13" x14ac:dyDescent="0.25">
      <c r="A1682" s="1" t="s">
        <v>2758</v>
      </c>
      <c r="B1682" t="s">
        <v>2759</v>
      </c>
      <c r="C1682" s="1" t="s">
        <v>684</v>
      </c>
      <c r="D1682" s="1" t="s">
        <v>684</v>
      </c>
      <c r="E1682" s="1" t="s">
        <v>684</v>
      </c>
      <c r="F1682" t="s">
        <v>685</v>
      </c>
      <c r="G1682" t="s">
        <v>686</v>
      </c>
      <c r="H1682" t="s">
        <v>49</v>
      </c>
      <c r="I1682" t="s">
        <v>2822</v>
      </c>
      <c r="J1682">
        <v>3.03</v>
      </c>
      <c r="K1682" t="e">
        <f>IF(COUNTIF(#REF!,Tabela2[[#This Row],[IdxWspolny]])&gt;0,"ELEM_lub_PRD","TECHN")</f>
        <v>#REF!</v>
      </c>
      <c r="L1682" t="e">
        <f>IF(COUNTIF(#REF!,Tabela2[[#This Row],[KOD_PRODUKTU]])&gt;0,"ELEMENT","PRODUKT")</f>
        <v>#REF!</v>
      </c>
      <c r="M1682" t="e">
        <f>COUNTIF(#REF!,Tabela2[[#This Row],[KOD_PRODUKTU]])</f>
        <v>#REF!</v>
      </c>
    </row>
    <row r="1683" spans="1:13" x14ac:dyDescent="0.25">
      <c r="A1683" s="1" t="s">
        <v>2758</v>
      </c>
      <c r="B1683" t="s">
        <v>2759</v>
      </c>
      <c r="C1683" s="1" t="s">
        <v>684</v>
      </c>
      <c r="D1683" s="1" t="s">
        <v>684</v>
      </c>
      <c r="E1683" s="1" t="s">
        <v>684</v>
      </c>
      <c r="F1683" t="s">
        <v>685</v>
      </c>
      <c r="G1683" t="s">
        <v>686</v>
      </c>
      <c r="H1683" t="s">
        <v>49</v>
      </c>
      <c r="I1683" t="s">
        <v>2823</v>
      </c>
      <c r="J1683">
        <v>1.95</v>
      </c>
      <c r="K1683" t="e">
        <f>IF(COUNTIF(#REF!,Tabela2[[#This Row],[IdxWspolny]])&gt;0,"ELEM_lub_PRD","TECHN")</f>
        <v>#REF!</v>
      </c>
      <c r="L1683" t="e">
        <f>IF(COUNTIF(#REF!,Tabela2[[#This Row],[KOD_PRODUKTU]])&gt;0,"ELEMENT","PRODUKT")</f>
        <v>#REF!</v>
      </c>
      <c r="M1683" t="e">
        <f>COUNTIF(#REF!,Tabela2[[#This Row],[KOD_PRODUKTU]])</f>
        <v>#REF!</v>
      </c>
    </row>
    <row r="1684" spans="1:13" x14ac:dyDescent="0.25">
      <c r="A1684" s="1" t="s">
        <v>2758</v>
      </c>
      <c r="B1684" t="s">
        <v>2759</v>
      </c>
      <c r="C1684" s="1" t="s">
        <v>541</v>
      </c>
      <c r="D1684" s="1" t="s">
        <v>541</v>
      </c>
      <c r="E1684" s="1" t="s">
        <v>541</v>
      </c>
      <c r="F1684" t="s">
        <v>542</v>
      </c>
      <c r="G1684" t="s">
        <v>9</v>
      </c>
      <c r="H1684" t="s">
        <v>10</v>
      </c>
      <c r="I1684" t="s">
        <v>2824</v>
      </c>
      <c r="J1684">
        <v>120.52</v>
      </c>
      <c r="K1684" t="e">
        <f>IF(COUNTIF(#REF!,Tabela2[[#This Row],[IdxWspolny]])&gt;0,"ELEM_lub_PRD","TECHN")</f>
        <v>#REF!</v>
      </c>
      <c r="L1684" t="e">
        <f>IF(COUNTIF(#REF!,Tabela2[[#This Row],[KOD_PRODUKTU]])&gt;0,"ELEMENT","PRODUKT")</f>
        <v>#REF!</v>
      </c>
      <c r="M1684" t="e">
        <f>COUNTIF(#REF!,Tabela2[[#This Row],[KOD_PRODUKTU]])</f>
        <v>#REF!</v>
      </c>
    </row>
    <row r="1685" spans="1:13" x14ac:dyDescent="0.25">
      <c r="A1685" s="1" t="s">
        <v>2758</v>
      </c>
      <c r="B1685" t="s">
        <v>2759</v>
      </c>
      <c r="C1685" s="1" t="s">
        <v>541</v>
      </c>
      <c r="D1685" s="1" t="s">
        <v>541</v>
      </c>
      <c r="E1685" s="1" t="s">
        <v>541</v>
      </c>
      <c r="F1685" t="s">
        <v>542</v>
      </c>
      <c r="G1685" t="s">
        <v>9</v>
      </c>
      <c r="H1685" t="s">
        <v>10</v>
      </c>
      <c r="I1685" t="s">
        <v>2825</v>
      </c>
      <c r="J1685">
        <v>24.15</v>
      </c>
      <c r="K1685" t="e">
        <f>IF(COUNTIF(#REF!,Tabela2[[#This Row],[IdxWspolny]])&gt;0,"ELEM_lub_PRD","TECHN")</f>
        <v>#REF!</v>
      </c>
      <c r="L1685" t="e">
        <f>IF(COUNTIF(#REF!,Tabela2[[#This Row],[KOD_PRODUKTU]])&gt;0,"ELEMENT","PRODUKT")</f>
        <v>#REF!</v>
      </c>
      <c r="M1685" t="e">
        <f>COUNTIF(#REF!,Tabela2[[#This Row],[KOD_PRODUKTU]])</f>
        <v>#REF!</v>
      </c>
    </row>
    <row r="1686" spans="1:13" x14ac:dyDescent="0.25">
      <c r="A1686" s="1" t="s">
        <v>2758</v>
      </c>
      <c r="B1686" t="s">
        <v>2759</v>
      </c>
      <c r="C1686" s="1" t="s">
        <v>541</v>
      </c>
      <c r="D1686" s="1" t="s">
        <v>541</v>
      </c>
      <c r="E1686" s="1" t="s">
        <v>541</v>
      </c>
      <c r="F1686" t="s">
        <v>542</v>
      </c>
      <c r="G1686" t="s">
        <v>9</v>
      </c>
      <c r="H1686" t="s">
        <v>10</v>
      </c>
      <c r="I1686" t="s">
        <v>2826</v>
      </c>
      <c r="J1686">
        <v>16.79</v>
      </c>
      <c r="K1686" t="e">
        <f>IF(COUNTIF(#REF!,Tabela2[[#This Row],[IdxWspolny]])&gt;0,"ELEM_lub_PRD","TECHN")</f>
        <v>#REF!</v>
      </c>
      <c r="L1686" t="e">
        <f>IF(COUNTIF(#REF!,Tabela2[[#This Row],[KOD_PRODUKTU]])&gt;0,"ELEMENT","PRODUKT")</f>
        <v>#REF!</v>
      </c>
      <c r="M1686" t="e">
        <f>COUNTIF(#REF!,Tabela2[[#This Row],[KOD_PRODUKTU]])</f>
        <v>#REF!</v>
      </c>
    </row>
    <row r="1687" spans="1:13" x14ac:dyDescent="0.25">
      <c r="A1687" s="1" t="s">
        <v>2827</v>
      </c>
      <c r="B1687" t="s">
        <v>2828</v>
      </c>
      <c r="C1687" s="1" t="s">
        <v>2760</v>
      </c>
      <c r="D1687" s="1" t="s">
        <v>2760</v>
      </c>
      <c r="E1687" s="1" t="s">
        <v>2760</v>
      </c>
      <c r="F1687" t="s">
        <v>2761</v>
      </c>
      <c r="G1687" t="s">
        <v>1768</v>
      </c>
      <c r="H1687" t="s">
        <v>121</v>
      </c>
      <c r="I1687" t="s">
        <v>50</v>
      </c>
      <c r="J1687">
        <v>0</v>
      </c>
      <c r="K1687" t="e">
        <f>IF(COUNTIF(#REF!,Tabela2[[#This Row],[IdxWspolny]])&gt;0,"ELEM_lub_PRD","TECHN")</f>
        <v>#REF!</v>
      </c>
      <c r="L1687" t="e">
        <f>IF(COUNTIF(#REF!,Tabela2[[#This Row],[KOD_PRODUKTU]])&gt;0,"ELEMENT","PRODUKT")</f>
        <v>#REF!</v>
      </c>
      <c r="M1687" t="e">
        <f>COUNTIF(#REF!,Tabela2[[#This Row],[KOD_PRODUKTU]])</f>
        <v>#REF!</v>
      </c>
    </row>
    <row r="1688" spans="1:13" x14ac:dyDescent="0.25">
      <c r="A1688" s="1" t="s">
        <v>2827</v>
      </c>
      <c r="B1688" t="s">
        <v>2828</v>
      </c>
      <c r="C1688" s="1" t="s">
        <v>2762</v>
      </c>
      <c r="D1688" s="1" t="s">
        <v>2762</v>
      </c>
      <c r="E1688" s="1" t="s">
        <v>2762</v>
      </c>
      <c r="F1688" t="s">
        <v>2763</v>
      </c>
      <c r="G1688" t="s">
        <v>311</v>
      </c>
      <c r="H1688" t="s">
        <v>5</v>
      </c>
      <c r="I1688" t="s">
        <v>2764</v>
      </c>
      <c r="J1688">
        <v>18.850000000000001</v>
      </c>
      <c r="K1688" t="e">
        <f>IF(COUNTIF(#REF!,Tabela2[[#This Row],[IdxWspolny]])&gt;0,"ELEM_lub_PRD","TECHN")</f>
        <v>#REF!</v>
      </c>
      <c r="L1688" t="e">
        <f>IF(COUNTIF(#REF!,Tabela2[[#This Row],[KOD_PRODUKTU]])&gt;0,"ELEMENT","PRODUKT")</f>
        <v>#REF!</v>
      </c>
      <c r="M1688" t="e">
        <f>COUNTIF(#REF!,Tabela2[[#This Row],[KOD_PRODUKTU]])</f>
        <v>#REF!</v>
      </c>
    </row>
    <row r="1689" spans="1:13" x14ac:dyDescent="0.25">
      <c r="A1689" s="1" t="s">
        <v>2827</v>
      </c>
      <c r="B1689" t="s">
        <v>2828</v>
      </c>
      <c r="C1689" s="1" t="s">
        <v>2765</v>
      </c>
      <c r="D1689" s="1" t="s">
        <v>2765</v>
      </c>
      <c r="E1689" s="1" t="s">
        <v>2765</v>
      </c>
      <c r="F1689" t="s">
        <v>2766</v>
      </c>
      <c r="G1689" t="s">
        <v>2767</v>
      </c>
      <c r="H1689" t="s">
        <v>121</v>
      </c>
      <c r="I1689" t="s">
        <v>50</v>
      </c>
      <c r="J1689">
        <v>349</v>
      </c>
      <c r="K1689" t="e">
        <f>IF(COUNTIF(#REF!,Tabela2[[#This Row],[IdxWspolny]])&gt;0,"ELEM_lub_PRD","TECHN")</f>
        <v>#REF!</v>
      </c>
      <c r="L1689" t="e">
        <f>IF(COUNTIF(#REF!,Tabela2[[#This Row],[KOD_PRODUKTU]])&gt;0,"ELEMENT","PRODUKT")</f>
        <v>#REF!</v>
      </c>
      <c r="M1689" t="e">
        <f>COUNTIF(#REF!,Tabela2[[#This Row],[KOD_PRODUKTU]])</f>
        <v>#REF!</v>
      </c>
    </row>
    <row r="1690" spans="1:13" x14ac:dyDescent="0.25">
      <c r="A1690" s="1" t="s">
        <v>2827</v>
      </c>
      <c r="B1690" t="s">
        <v>2828</v>
      </c>
      <c r="C1690" s="1" t="s">
        <v>2768</v>
      </c>
      <c r="D1690" s="1" t="s">
        <v>2768</v>
      </c>
      <c r="E1690" s="1" t="s">
        <v>2768</v>
      </c>
      <c r="F1690" t="s">
        <v>2769</v>
      </c>
      <c r="G1690" t="s">
        <v>311</v>
      </c>
      <c r="H1690" t="s">
        <v>5</v>
      </c>
      <c r="I1690" t="s">
        <v>2770</v>
      </c>
      <c r="J1690">
        <v>0.03</v>
      </c>
      <c r="K1690" t="e">
        <f>IF(COUNTIF(#REF!,Tabela2[[#This Row],[IdxWspolny]])&gt;0,"ELEM_lub_PRD","TECHN")</f>
        <v>#REF!</v>
      </c>
      <c r="L1690" t="e">
        <f>IF(COUNTIF(#REF!,Tabela2[[#This Row],[KOD_PRODUKTU]])&gt;0,"ELEMENT","PRODUKT")</f>
        <v>#REF!</v>
      </c>
      <c r="M1690" t="e">
        <f>COUNTIF(#REF!,Tabela2[[#This Row],[KOD_PRODUKTU]])</f>
        <v>#REF!</v>
      </c>
    </row>
    <row r="1691" spans="1:13" x14ac:dyDescent="0.25">
      <c r="A1691" s="1" t="s">
        <v>2827</v>
      </c>
      <c r="B1691" t="s">
        <v>2828</v>
      </c>
      <c r="C1691" s="1" t="s">
        <v>2771</v>
      </c>
      <c r="D1691" s="1" t="s">
        <v>2771</v>
      </c>
      <c r="E1691" s="1" t="s">
        <v>2771</v>
      </c>
      <c r="F1691" t="s">
        <v>2772</v>
      </c>
      <c r="G1691" t="s">
        <v>1964</v>
      </c>
      <c r="H1691" t="s">
        <v>5</v>
      </c>
      <c r="I1691" t="s">
        <v>2773</v>
      </c>
      <c r="J1691">
        <v>0.53</v>
      </c>
      <c r="K1691" t="e">
        <f>IF(COUNTIF(#REF!,Tabela2[[#This Row],[IdxWspolny]])&gt;0,"ELEM_lub_PRD","TECHN")</f>
        <v>#REF!</v>
      </c>
      <c r="L1691" t="e">
        <f>IF(COUNTIF(#REF!,Tabela2[[#This Row],[KOD_PRODUKTU]])&gt;0,"ELEMENT","PRODUKT")</f>
        <v>#REF!</v>
      </c>
      <c r="M1691" t="e">
        <f>COUNTIF(#REF!,Tabela2[[#This Row],[KOD_PRODUKTU]])</f>
        <v>#REF!</v>
      </c>
    </row>
    <row r="1692" spans="1:13" x14ac:dyDescent="0.25">
      <c r="A1692" s="1" t="s">
        <v>2827</v>
      </c>
      <c r="B1692" t="s">
        <v>2828</v>
      </c>
      <c r="C1692" s="1" t="s">
        <v>2774</v>
      </c>
      <c r="D1692" s="1" t="s">
        <v>2774</v>
      </c>
      <c r="E1692" s="1" t="s">
        <v>2774</v>
      </c>
      <c r="F1692" t="s">
        <v>2775</v>
      </c>
      <c r="G1692" t="s">
        <v>2776</v>
      </c>
      <c r="H1692" t="s">
        <v>5</v>
      </c>
      <c r="I1692" t="s">
        <v>2777</v>
      </c>
      <c r="J1692">
        <v>0.38</v>
      </c>
      <c r="K1692" t="e">
        <f>IF(COUNTIF(#REF!,Tabela2[[#This Row],[IdxWspolny]])&gt;0,"ELEM_lub_PRD","TECHN")</f>
        <v>#REF!</v>
      </c>
      <c r="L1692" t="e">
        <f>IF(COUNTIF(#REF!,Tabela2[[#This Row],[KOD_PRODUKTU]])&gt;0,"ELEMENT","PRODUKT")</f>
        <v>#REF!</v>
      </c>
      <c r="M1692" t="e">
        <f>COUNTIF(#REF!,Tabela2[[#This Row],[KOD_PRODUKTU]])</f>
        <v>#REF!</v>
      </c>
    </row>
    <row r="1693" spans="1:13" x14ac:dyDescent="0.25">
      <c r="A1693" s="1" t="s">
        <v>2827</v>
      </c>
      <c r="B1693" t="s">
        <v>2828</v>
      </c>
      <c r="C1693" s="1" t="s">
        <v>2778</v>
      </c>
      <c r="D1693" s="1" t="s">
        <v>2778</v>
      </c>
      <c r="E1693" s="1" t="s">
        <v>2778</v>
      </c>
      <c r="F1693" t="s">
        <v>2779</v>
      </c>
      <c r="G1693" t="s">
        <v>2780</v>
      </c>
      <c r="H1693" t="s">
        <v>1965</v>
      </c>
      <c r="I1693" t="s">
        <v>605</v>
      </c>
      <c r="J1693">
        <v>1.87</v>
      </c>
      <c r="K1693" t="e">
        <f>IF(COUNTIF(#REF!,Tabela2[[#This Row],[IdxWspolny]])&gt;0,"ELEM_lub_PRD","TECHN")</f>
        <v>#REF!</v>
      </c>
      <c r="L1693" t="e">
        <f>IF(COUNTIF(#REF!,Tabela2[[#This Row],[KOD_PRODUKTU]])&gt;0,"ELEMENT","PRODUKT")</f>
        <v>#REF!</v>
      </c>
      <c r="M1693" t="e">
        <f>COUNTIF(#REF!,Tabela2[[#This Row],[KOD_PRODUKTU]])</f>
        <v>#REF!</v>
      </c>
    </row>
    <row r="1694" spans="1:13" x14ac:dyDescent="0.25">
      <c r="A1694" s="1" t="s">
        <v>2827</v>
      </c>
      <c r="B1694" t="s">
        <v>2828</v>
      </c>
      <c r="C1694" s="1" t="s">
        <v>2781</v>
      </c>
      <c r="D1694" s="1" t="s">
        <v>2781</v>
      </c>
      <c r="E1694" s="1" t="s">
        <v>2781</v>
      </c>
      <c r="F1694" t="s">
        <v>2782</v>
      </c>
      <c r="G1694" t="s">
        <v>2783</v>
      </c>
      <c r="H1694" t="s">
        <v>1965</v>
      </c>
      <c r="I1694" t="s">
        <v>605</v>
      </c>
      <c r="J1694">
        <v>1.1200000000000001</v>
      </c>
      <c r="K1694" t="e">
        <f>IF(COUNTIF(#REF!,Tabela2[[#This Row],[IdxWspolny]])&gt;0,"ELEM_lub_PRD","TECHN")</f>
        <v>#REF!</v>
      </c>
      <c r="L1694" t="e">
        <f>IF(COUNTIF(#REF!,Tabela2[[#This Row],[KOD_PRODUKTU]])&gt;0,"ELEMENT","PRODUKT")</f>
        <v>#REF!</v>
      </c>
      <c r="M1694" t="e">
        <f>COUNTIF(#REF!,Tabela2[[#This Row],[KOD_PRODUKTU]])</f>
        <v>#REF!</v>
      </c>
    </row>
    <row r="1695" spans="1:13" x14ac:dyDescent="0.25">
      <c r="A1695" s="1" t="s">
        <v>2827</v>
      </c>
      <c r="B1695" t="s">
        <v>2828</v>
      </c>
      <c r="C1695" s="1" t="s">
        <v>2784</v>
      </c>
      <c r="D1695" s="1" t="s">
        <v>2784</v>
      </c>
      <c r="E1695" s="1" t="s">
        <v>2784</v>
      </c>
      <c r="F1695" t="s">
        <v>2785</v>
      </c>
      <c r="G1695" t="s">
        <v>2786</v>
      </c>
      <c r="H1695" t="s">
        <v>5</v>
      </c>
      <c r="I1695" t="s">
        <v>2787</v>
      </c>
      <c r="J1695">
        <v>1.01</v>
      </c>
      <c r="K1695" t="e">
        <f>IF(COUNTIF(#REF!,Tabela2[[#This Row],[IdxWspolny]])&gt;0,"ELEM_lub_PRD","TECHN")</f>
        <v>#REF!</v>
      </c>
      <c r="L1695" t="e">
        <f>IF(COUNTIF(#REF!,Tabela2[[#This Row],[KOD_PRODUKTU]])&gt;0,"ELEMENT","PRODUKT")</f>
        <v>#REF!</v>
      </c>
      <c r="M1695" t="e">
        <f>COUNTIF(#REF!,Tabela2[[#This Row],[KOD_PRODUKTU]])</f>
        <v>#REF!</v>
      </c>
    </row>
    <row r="1696" spans="1:13" x14ac:dyDescent="0.25">
      <c r="A1696" s="1" t="s">
        <v>2827</v>
      </c>
      <c r="B1696" t="s">
        <v>2828</v>
      </c>
      <c r="C1696" s="1" t="s">
        <v>628</v>
      </c>
      <c r="D1696" s="1" t="s">
        <v>628</v>
      </c>
      <c r="E1696" s="1" t="s">
        <v>628</v>
      </c>
      <c r="F1696" t="s">
        <v>629</v>
      </c>
      <c r="G1696" t="s">
        <v>630</v>
      </c>
      <c r="H1696" t="s">
        <v>5</v>
      </c>
      <c r="I1696" t="s">
        <v>2788</v>
      </c>
      <c r="J1696">
        <v>0.08</v>
      </c>
      <c r="K1696" t="e">
        <f>IF(COUNTIF(#REF!,Tabela2[[#This Row],[IdxWspolny]])&gt;0,"ELEM_lub_PRD","TECHN")</f>
        <v>#REF!</v>
      </c>
      <c r="L1696" t="e">
        <f>IF(COUNTIF(#REF!,Tabela2[[#This Row],[KOD_PRODUKTU]])&gt;0,"ELEMENT","PRODUKT")</f>
        <v>#REF!</v>
      </c>
      <c r="M1696" t="e">
        <f>COUNTIF(#REF!,Tabela2[[#This Row],[KOD_PRODUKTU]])</f>
        <v>#REF!</v>
      </c>
    </row>
    <row r="1697" spans="1:14" x14ac:dyDescent="0.25">
      <c r="A1697" s="1" t="s">
        <v>2827</v>
      </c>
      <c r="B1697" t="s">
        <v>2828</v>
      </c>
      <c r="C1697" s="1" t="s">
        <v>483</v>
      </c>
      <c r="D1697" s="1" t="s">
        <v>483</v>
      </c>
      <c r="E1697" s="1" t="s">
        <v>483</v>
      </c>
      <c r="F1697" t="s">
        <v>484</v>
      </c>
      <c r="G1697" t="s">
        <v>2789</v>
      </c>
      <c r="H1697" t="s">
        <v>5</v>
      </c>
      <c r="I1697" t="s">
        <v>615</v>
      </c>
      <c r="J1697">
        <v>0.08</v>
      </c>
      <c r="K1697" t="e">
        <f>IF(COUNTIF(#REF!,Tabela2[[#This Row],[IdxWspolny]])&gt;0,"ELEM_lub_PRD","TECHN")</f>
        <v>#REF!</v>
      </c>
      <c r="L1697" t="e">
        <f>IF(COUNTIF(#REF!,Tabela2[[#This Row],[KOD_PRODUKTU]])&gt;0,"ELEMENT","PRODUKT")</f>
        <v>#REF!</v>
      </c>
      <c r="M1697" t="e">
        <f>COUNTIF(#REF!,Tabela2[[#This Row],[KOD_PRODUKTU]])</f>
        <v>#REF!</v>
      </c>
    </row>
    <row r="1698" spans="1:14" x14ac:dyDescent="0.25">
      <c r="A1698" s="1" t="s">
        <v>2827</v>
      </c>
      <c r="B1698" t="s">
        <v>2828</v>
      </c>
      <c r="C1698" s="1" t="s">
        <v>1971</v>
      </c>
      <c r="D1698" s="1" t="s">
        <v>1971</v>
      </c>
      <c r="E1698" s="1" t="s">
        <v>1971</v>
      </c>
      <c r="F1698" t="s">
        <v>1972</v>
      </c>
      <c r="G1698" t="s">
        <v>1964</v>
      </c>
      <c r="H1698" t="s">
        <v>5</v>
      </c>
      <c r="I1698" t="s">
        <v>2790</v>
      </c>
      <c r="J1698">
        <v>0.1</v>
      </c>
      <c r="K1698" t="e">
        <f>IF(COUNTIF(#REF!,Tabela2[[#This Row],[IdxWspolny]])&gt;0,"ELEM_lub_PRD","TECHN")</f>
        <v>#REF!</v>
      </c>
      <c r="L1698" t="e">
        <f>IF(COUNTIF(#REF!,Tabela2[[#This Row],[KOD_PRODUKTU]])&gt;0,"ELEMENT","PRODUKT")</f>
        <v>#REF!</v>
      </c>
      <c r="M1698" t="e">
        <f>COUNTIF(#REF!,Tabela2[[#This Row],[KOD_PRODUKTU]])</f>
        <v>#REF!</v>
      </c>
    </row>
    <row r="1699" spans="1:14" x14ac:dyDescent="0.25">
      <c r="A1699" s="1" t="s">
        <v>2827</v>
      </c>
      <c r="B1699" t="s">
        <v>2828</v>
      </c>
      <c r="C1699" s="1" t="s">
        <v>2791</v>
      </c>
      <c r="D1699" s="1" t="s">
        <v>2791</v>
      </c>
      <c r="E1699" s="1" t="s">
        <v>2791</v>
      </c>
      <c r="F1699" t="s">
        <v>2792</v>
      </c>
      <c r="G1699" t="s">
        <v>2793</v>
      </c>
      <c r="H1699" t="s">
        <v>121</v>
      </c>
      <c r="I1699" t="s">
        <v>367</v>
      </c>
      <c r="J1699">
        <v>0.94</v>
      </c>
      <c r="K1699" t="e">
        <f>IF(COUNTIF(#REF!,Tabela2[[#This Row],[IdxWspolny]])&gt;0,"ELEM_lub_PRD","TECHN")</f>
        <v>#REF!</v>
      </c>
      <c r="L1699" t="e">
        <f>IF(COUNTIF(#REF!,Tabela2[[#This Row],[KOD_PRODUKTU]])&gt;0,"ELEMENT","PRODUKT")</f>
        <v>#REF!</v>
      </c>
      <c r="M1699" t="e">
        <f>COUNTIF(#REF!,Tabela2[[#This Row],[KOD_PRODUKTU]])</f>
        <v>#REF!</v>
      </c>
    </row>
    <row r="1700" spans="1:14" x14ac:dyDescent="0.25">
      <c r="A1700" s="1" t="s">
        <v>2827</v>
      </c>
      <c r="B1700" t="s">
        <v>2828</v>
      </c>
      <c r="C1700" s="1" t="s">
        <v>2738</v>
      </c>
      <c r="D1700" s="1" t="s">
        <v>2738</v>
      </c>
      <c r="E1700" s="1" t="s">
        <v>2738</v>
      </c>
      <c r="F1700" t="s">
        <v>2739</v>
      </c>
      <c r="G1700" t="s">
        <v>168</v>
      </c>
      <c r="H1700" t="s">
        <v>121</v>
      </c>
      <c r="I1700" t="s">
        <v>1371</v>
      </c>
      <c r="J1700">
        <v>0.21</v>
      </c>
      <c r="K1700" t="e">
        <f>IF(COUNTIF(#REF!,Tabela2[[#This Row],[IdxWspolny]])&gt;0,"ELEM_lub_PRD","TECHN")</f>
        <v>#REF!</v>
      </c>
      <c r="L1700" t="e">
        <f>IF(COUNTIF(#REF!,Tabela2[[#This Row],[KOD_PRODUKTU]])&gt;0,"ELEMENT","PRODUKT")</f>
        <v>#REF!</v>
      </c>
      <c r="M1700" t="e">
        <f>COUNTIF(#REF!,Tabela2[[#This Row],[KOD_PRODUKTU]])</f>
        <v>#REF!</v>
      </c>
    </row>
    <row r="1701" spans="1:14" x14ac:dyDescent="0.25">
      <c r="A1701" s="1" t="s">
        <v>2827</v>
      </c>
      <c r="B1701" t="s">
        <v>2828</v>
      </c>
      <c r="C1701" s="1" t="s">
        <v>2794</v>
      </c>
      <c r="D1701" s="1" t="s">
        <v>2794</v>
      </c>
      <c r="E1701" s="1" t="s">
        <v>2794</v>
      </c>
      <c r="F1701" t="s">
        <v>2795</v>
      </c>
      <c r="G1701" t="s">
        <v>712</v>
      </c>
      <c r="H1701" t="s">
        <v>121</v>
      </c>
      <c r="I1701" t="s">
        <v>594</v>
      </c>
      <c r="J1701">
        <v>6.25</v>
      </c>
      <c r="K1701" t="e">
        <f>IF(COUNTIF(#REF!,Tabela2[[#This Row],[IdxWspolny]])&gt;0,"ELEM_lub_PRD","TECHN")</f>
        <v>#REF!</v>
      </c>
      <c r="L1701" t="e">
        <f>IF(COUNTIF(#REF!,Tabela2[[#This Row],[KOD_PRODUKTU]])&gt;0,"ELEMENT","PRODUKT")</f>
        <v>#REF!</v>
      </c>
      <c r="M1701" t="e">
        <f>COUNTIF(#REF!,Tabela2[[#This Row],[KOD_PRODUKTU]])</f>
        <v>#REF!</v>
      </c>
    </row>
    <row r="1702" spans="1:14" x14ac:dyDescent="0.25">
      <c r="A1702" s="1" t="s">
        <v>2827</v>
      </c>
      <c r="B1702" t="s">
        <v>2828</v>
      </c>
      <c r="C1702" s="1" t="s">
        <v>41</v>
      </c>
      <c r="D1702" s="1" t="s">
        <v>41</v>
      </c>
      <c r="E1702" s="1" t="s">
        <v>41</v>
      </c>
      <c r="F1702" t="s">
        <v>42</v>
      </c>
      <c r="G1702" t="s">
        <v>513</v>
      </c>
      <c r="H1702" t="s">
        <v>5</v>
      </c>
      <c r="I1702" t="s">
        <v>2796</v>
      </c>
      <c r="J1702">
        <v>0.3</v>
      </c>
      <c r="K1702" t="e">
        <f>IF(COUNTIF(#REF!,Tabela2[[#This Row],[IdxWspolny]])&gt;0,"ELEM_lub_PRD","TECHN")</f>
        <v>#REF!</v>
      </c>
      <c r="L1702" t="e">
        <f>IF(COUNTIF(#REF!,Tabela2[[#This Row],[KOD_PRODUKTU]])&gt;0,"ELEMENT","PRODUKT")</f>
        <v>#REF!</v>
      </c>
      <c r="M1702" t="e">
        <f>COUNTIF(#REF!,Tabela2[[#This Row],[KOD_PRODUKTU]])</f>
        <v>#REF!</v>
      </c>
    </row>
    <row r="1703" spans="1:14" x14ac:dyDescent="0.25">
      <c r="A1703" s="1" t="s">
        <v>2827</v>
      </c>
      <c r="B1703" t="s">
        <v>2828</v>
      </c>
      <c r="C1703" s="1" t="s">
        <v>2797</v>
      </c>
      <c r="D1703" s="1" t="s">
        <v>2797</v>
      </c>
      <c r="E1703" s="1" t="s">
        <v>2797</v>
      </c>
      <c r="F1703" t="s">
        <v>2798</v>
      </c>
      <c r="G1703" t="s">
        <v>2799</v>
      </c>
      <c r="H1703" t="s">
        <v>121</v>
      </c>
      <c r="I1703" t="s">
        <v>50</v>
      </c>
      <c r="J1703">
        <v>2.41</v>
      </c>
      <c r="K1703" t="e">
        <f>IF(COUNTIF(#REF!,Tabela2[[#This Row],[IdxWspolny]])&gt;0,"ELEM_lub_PRD","TECHN")</f>
        <v>#REF!</v>
      </c>
      <c r="L1703" t="e">
        <f>IF(COUNTIF(#REF!,Tabela2[[#This Row],[KOD_PRODUKTU]])&gt;0,"ELEMENT","PRODUKT")</f>
        <v>#REF!</v>
      </c>
      <c r="M1703" t="e">
        <f>COUNTIF(#REF!,Tabela2[[#This Row],[KOD_PRODUKTU]])</f>
        <v>#REF!</v>
      </c>
    </row>
    <row r="1704" spans="1:14" hidden="1" x14ac:dyDescent="0.25">
      <c r="A1704" s="1" t="s">
        <v>2827</v>
      </c>
      <c r="B1704" t="s">
        <v>2828</v>
      </c>
      <c r="C1704" s="1" t="s">
        <v>2800</v>
      </c>
      <c r="D1704" s="1" t="s">
        <v>2800</v>
      </c>
      <c r="E1704" s="1" t="s">
        <v>2800</v>
      </c>
      <c r="F1704" t="s">
        <v>2801</v>
      </c>
      <c r="G1704" t="s">
        <v>2802</v>
      </c>
      <c r="H1704" t="s">
        <v>121</v>
      </c>
      <c r="I1704" t="s">
        <v>50</v>
      </c>
      <c r="J1704">
        <v>157.28</v>
      </c>
      <c r="K1704" t="e">
        <f>IF(COUNTIF(#REF!,Tabela2[[#This Row],[IdxWspolny]])&gt;0,"ELEM_lub_PRD","TECHN")</f>
        <v>#REF!</v>
      </c>
      <c r="L1704" t="e">
        <f>IF(COUNTIF(#REF!,Tabela2[[#This Row],[KOD_PRODUKTU]])&gt;0,"ELEMENT","PRODUKT")</f>
        <v>#REF!</v>
      </c>
      <c r="M1704" t="e">
        <f>COUNTIF(#REF!,Tabela2[[#This Row],[KOD_PRODUKTU]])</f>
        <v>#REF!</v>
      </c>
      <c r="N1704" t="s">
        <v>55</v>
      </c>
    </row>
    <row r="1705" spans="1:14" hidden="1" x14ac:dyDescent="0.25">
      <c r="A1705" s="1" t="s">
        <v>2827</v>
      </c>
      <c r="B1705" t="s">
        <v>2828</v>
      </c>
      <c r="C1705" s="1" t="s">
        <v>2803</v>
      </c>
      <c r="D1705" s="1" t="s">
        <v>2803</v>
      </c>
      <c r="E1705" s="1" t="s">
        <v>2803</v>
      </c>
      <c r="F1705" t="s">
        <v>2804</v>
      </c>
      <c r="G1705" t="s">
        <v>2805</v>
      </c>
      <c r="H1705" t="s">
        <v>121</v>
      </c>
      <c r="I1705" t="s">
        <v>50</v>
      </c>
      <c r="J1705">
        <v>122.15</v>
      </c>
      <c r="K1705" t="e">
        <f>IF(COUNTIF(#REF!,Tabela2[[#This Row],[IdxWspolny]])&gt;0,"ELEM_lub_PRD","TECHN")</f>
        <v>#REF!</v>
      </c>
      <c r="L1705" t="e">
        <f>IF(COUNTIF(#REF!,Tabela2[[#This Row],[KOD_PRODUKTU]])&gt;0,"ELEMENT","PRODUKT")</f>
        <v>#REF!</v>
      </c>
      <c r="M1705" t="e">
        <f>COUNTIF(#REF!,Tabela2[[#This Row],[KOD_PRODUKTU]])</f>
        <v>#REF!</v>
      </c>
      <c r="N1705" t="s">
        <v>55</v>
      </c>
    </row>
    <row r="1706" spans="1:14" hidden="1" x14ac:dyDescent="0.25">
      <c r="A1706" s="1" t="s">
        <v>2827</v>
      </c>
      <c r="B1706" t="s">
        <v>2828</v>
      </c>
      <c r="C1706" s="1" t="s">
        <v>2806</v>
      </c>
      <c r="D1706" s="1" t="s">
        <v>2806</v>
      </c>
      <c r="E1706" s="1" t="s">
        <v>2806</v>
      </c>
      <c r="F1706" t="s">
        <v>2807</v>
      </c>
      <c r="G1706" t="s">
        <v>2808</v>
      </c>
      <c r="H1706" t="s">
        <v>121</v>
      </c>
      <c r="I1706" t="s">
        <v>50</v>
      </c>
      <c r="J1706">
        <v>178.11</v>
      </c>
      <c r="K1706" t="e">
        <f>IF(COUNTIF(#REF!,Tabela2[[#This Row],[IdxWspolny]])&gt;0,"ELEM_lub_PRD","TECHN")</f>
        <v>#REF!</v>
      </c>
      <c r="L1706" t="e">
        <f>IF(COUNTIF(#REF!,Tabela2[[#This Row],[KOD_PRODUKTU]])&gt;0,"ELEMENT","PRODUKT")</f>
        <v>#REF!</v>
      </c>
      <c r="M1706" t="e">
        <f>COUNTIF(#REF!,Tabela2[[#This Row],[KOD_PRODUKTU]])</f>
        <v>#REF!</v>
      </c>
      <c r="N1706" t="s">
        <v>55</v>
      </c>
    </row>
    <row r="1707" spans="1:14" hidden="1" x14ac:dyDescent="0.25">
      <c r="A1707" s="1" t="s">
        <v>2827</v>
      </c>
      <c r="B1707" t="s">
        <v>2828</v>
      </c>
      <c r="C1707" s="1" t="s">
        <v>2809</v>
      </c>
      <c r="D1707" s="1" t="s">
        <v>2809</v>
      </c>
      <c r="E1707" s="1" t="s">
        <v>2809</v>
      </c>
      <c r="F1707" t="s">
        <v>2810</v>
      </c>
      <c r="G1707" t="s">
        <v>2811</v>
      </c>
      <c r="H1707" t="s">
        <v>121</v>
      </c>
      <c r="I1707" t="s">
        <v>50</v>
      </c>
      <c r="J1707">
        <v>74.95</v>
      </c>
      <c r="K1707" t="e">
        <f>IF(COUNTIF(#REF!,Tabela2[[#This Row],[IdxWspolny]])&gt;0,"ELEM_lub_PRD","TECHN")</f>
        <v>#REF!</v>
      </c>
      <c r="L1707" t="e">
        <f>IF(COUNTIF(#REF!,Tabela2[[#This Row],[KOD_PRODUKTU]])&gt;0,"ELEMENT","PRODUKT")</f>
        <v>#REF!</v>
      </c>
      <c r="M1707" t="e">
        <f>COUNTIF(#REF!,Tabela2[[#This Row],[KOD_PRODUKTU]])</f>
        <v>#REF!</v>
      </c>
      <c r="N1707" t="s">
        <v>55</v>
      </c>
    </row>
    <row r="1708" spans="1:14" hidden="1" x14ac:dyDescent="0.25">
      <c r="A1708" s="1" t="s">
        <v>2827</v>
      </c>
      <c r="B1708" t="s">
        <v>2828</v>
      </c>
      <c r="C1708" s="1" t="s">
        <v>2812</v>
      </c>
      <c r="D1708" s="1" t="s">
        <v>2812</v>
      </c>
      <c r="E1708" s="1" t="s">
        <v>2812</v>
      </c>
      <c r="F1708" t="s">
        <v>2813</v>
      </c>
      <c r="G1708" t="s">
        <v>2814</v>
      </c>
      <c r="H1708" t="s">
        <v>121</v>
      </c>
      <c r="I1708" t="s">
        <v>50</v>
      </c>
      <c r="J1708">
        <v>6.78</v>
      </c>
      <c r="K1708" t="e">
        <f>IF(COUNTIF(#REF!,Tabela2[[#This Row],[IdxWspolny]])&gt;0,"ELEM_lub_PRD","TECHN")</f>
        <v>#REF!</v>
      </c>
      <c r="L1708" t="e">
        <f>IF(COUNTIF(#REF!,Tabela2[[#This Row],[KOD_PRODUKTU]])&gt;0,"ELEMENT","PRODUKT")</f>
        <v>#REF!</v>
      </c>
      <c r="M1708" t="e">
        <f>COUNTIF(#REF!,Tabela2[[#This Row],[KOD_PRODUKTU]])</f>
        <v>#REF!</v>
      </c>
      <c r="N1708" t="s">
        <v>55</v>
      </c>
    </row>
    <row r="1709" spans="1:14" hidden="1" x14ac:dyDescent="0.25">
      <c r="A1709" s="1" t="s">
        <v>2827</v>
      </c>
      <c r="B1709" t="s">
        <v>2828</v>
      </c>
      <c r="C1709" s="1" t="s">
        <v>2815</v>
      </c>
      <c r="D1709" s="1" t="s">
        <v>2815</v>
      </c>
      <c r="E1709" s="1" t="s">
        <v>2815</v>
      </c>
      <c r="F1709" t="s">
        <v>2816</v>
      </c>
      <c r="G1709" t="s">
        <v>2817</v>
      </c>
      <c r="H1709" t="s">
        <v>121</v>
      </c>
      <c r="I1709" t="s">
        <v>92</v>
      </c>
      <c r="J1709">
        <v>79.319999999999993</v>
      </c>
      <c r="K1709" t="e">
        <f>IF(COUNTIF(#REF!,Tabela2[[#This Row],[IdxWspolny]])&gt;0,"ELEM_lub_PRD","TECHN")</f>
        <v>#REF!</v>
      </c>
      <c r="L1709" t="e">
        <f>IF(COUNTIF(#REF!,Tabela2[[#This Row],[KOD_PRODUKTU]])&gt;0,"ELEMENT","PRODUKT")</f>
        <v>#REF!</v>
      </c>
      <c r="M1709" t="e">
        <f>COUNTIF(#REF!,Tabela2[[#This Row],[KOD_PRODUKTU]])</f>
        <v>#REF!</v>
      </c>
      <c r="N1709" t="s">
        <v>55</v>
      </c>
    </row>
    <row r="1710" spans="1:14" hidden="1" x14ac:dyDescent="0.25">
      <c r="A1710" s="1" t="s">
        <v>2827</v>
      </c>
      <c r="B1710" t="s">
        <v>2828</v>
      </c>
      <c r="C1710" s="1" t="s">
        <v>2818</v>
      </c>
      <c r="D1710" s="1" t="s">
        <v>2818</v>
      </c>
      <c r="E1710" s="1" t="s">
        <v>2818</v>
      </c>
      <c r="F1710" t="s">
        <v>2819</v>
      </c>
      <c r="G1710" t="s">
        <v>2820</v>
      </c>
      <c r="H1710" t="s">
        <v>121</v>
      </c>
      <c r="I1710" t="s">
        <v>92</v>
      </c>
      <c r="J1710">
        <v>89.9</v>
      </c>
      <c r="K1710" t="e">
        <f>IF(COUNTIF(#REF!,Tabela2[[#This Row],[IdxWspolny]])&gt;0,"ELEM_lub_PRD","TECHN")</f>
        <v>#REF!</v>
      </c>
      <c r="L1710" t="e">
        <f>IF(COUNTIF(#REF!,Tabela2[[#This Row],[KOD_PRODUKTU]])&gt;0,"ELEMENT","PRODUKT")</f>
        <v>#REF!</v>
      </c>
      <c r="M1710" t="e">
        <f>COUNTIF(#REF!,Tabela2[[#This Row],[KOD_PRODUKTU]])</f>
        <v>#REF!</v>
      </c>
      <c r="N1710" t="s">
        <v>55</v>
      </c>
    </row>
    <row r="1711" spans="1:14" x14ac:dyDescent="0.25">
      <c r="A1711" s="1" t="s">
        <v>2827</v>
      </c>
      <c r="B1711" t="s">
        <v>2828</v>
      </c>
      <c r="C1711" s="1" t="s">
        <v>684</v>
      </c>
      <c r="D1711" s="1" t="s">
        <v>684</v>
      </c>
      <c r="E1711" s="1" t="s">
        <v>684</v>
      </c>
      <c r="F1711" t="s">
        <v>685</v>
      </c>
      <c r="G1711" t="s">
        <v>686</v>
      </c>
      <c r="H1711" t="s">
        <v>49</v>
      </c>
      <c r="I1711" t="s">
        <v>2821</v>
      </c>
      <c r="J1711">
        <v>8.75</v>
      </c>
      <c r="K1711" t="e">
        <f>IF(COUNTIF(#REF!,Tabela2[[#This Row],[IdxWspolny]])&gt;0,"ELEM_lub_PRD","TECHN")</f>
        <v>#REF!</v>
      </c>
      <c r="L1711" t="e">
        <f>IF(COUNTIF(#REF!,Tabela2[[#This Row],[KOD_PRODUKTU]])&gt;0,"ELEMENT","PRODUKT")</f>
        <v>#REF!</v>
      </c>
      <c r="M1711" t="e">
        <f>COUNTIF(#REF!,Tabela2[[#This Row],[KOD_PRODUKTU]])</f>
        <v>#REF!</v>
      </c>
    </row>
    <row r="1712" spans="1:14" x14ac:dyDescent="0.25">
      <c r="A1712" s="1" t="s">
        <v>2827</v>
      </c>
      <c r="B1712" t="s">
        <v>2828</v>
      </c>
      <c r="C1712" s="1" t="s">
        <v>684</v>
      </c>
      <c r="D1712" s="1" t="s">
        <v>684</v>
      </c>
      <c r="E1712" s="1" t="s">
        <v>684</v>
      </c>
      <c r="F1712" t="s">
        <v>685</v>
      </c>
      <c r="G1712" t="s">
        <v>686</v>
      </c>
      <c r="H1712" t="s">
        <v>49</v>
      </c>
      <c r="I1712" t="s">
        <v>2822</v>
      </c>
      <c r="J1712">
        <v>3.03</v>
      </c>
      <c r="K1712" t="e">
        <f>IF(COUNTIF(#REF!,Tabela2[[#This Row],[IdxWspolny]])&gt;0,"ELEM_lub_PRD","TECHN")</f>
        <v>#REF!</v>
      </c>
      <c r="L1712" t="e">
        <f>IF(COUNTIF(#REF!,Tabela2[[#This Row],[KOD_PRODUKTU]])&gt;0,"ELEMENT","PRODUKT")</f>
        <v>#REF!</v>
      </c>
      <c r="M1712" t="e">
        <f>COUNTIF(#REF!,Tabela2[[#This Row],[KOD_PRODUKTU]])</f>
        <v>#REF!</v>
      </c>
    </row>
    <row r="1713" spans="1:13" x14ac:dyDescent="0.25">
      <c r="A1713" s="1" t="s">
        <v>2827</v>
      </c>
      <c r="B1713" t="s">
        <v>2828</v>
      </c>
      <c r="C1713" s="1" t="s">
        <v>684</v>
      </c>
      <c r="D1713" s="1" t="s">
        <v>684</v>
      </c>
      <c r="E1713" s="1" t="s">
        <v>684</v>
      </c>
      <c r="F1713" t="s">
        <v>685</v>
      </c>
      <c r="G1713" t="s">
        <v>686</v>
      </c>
      <c r="H1713" t="s">
        <v>49</v>
      </c>
      <c r="I1713" t="s">
        <v>2823</v>
      </c>
      <c r="J1713">
        <v>1.95</v>
      </c>
      <c r="K1713" t="e">
        <f>IF(COUNTIF(#REF!,Tabela2[[#This Row],[IdxWspolny]])&gt;0,"ELEM_lub_PRD","TECHN")</f>
        <v>#REF!</v>
      </c>
      <c r="L1713" t="e">
        <f>IF(COUNTIF(#REF!,Tabela2[[#This Row],[KOD_PRODUKTU]])&gt;0,"ELEMENT","PRODUKT")</f>
        <v>#REF!</v>
      </c>
      <c r="M1713" t="e">
        <f>COUNTIF(#REF!,Tabela2[[#This Row],[KOD_PRODUKTU]])</f>
        <v>#REF!</v>
      </c>
    </row>
    <row r="1714" spans="1:13" x14ac:dyDescent="0.25">
      <c r="A1714" s="1" t="s">
        <v>2827</v>
      </c>
      <c r="B1714" t="s">
        <v>2828</v>
      </c>
      <c r="C1714" s="1" t="s">
        <v>541</v>
      </c>
      <c r="D1714" s="1" t="s">
        <v>541</v>
      </c>
      <c r="E1714" s="1" t="s">
        <v>541</v>
      </c>
      <c r="F1714" t="s">
        <v>542</v>
      </c>
      <c r="G1714" t="s">
        <v>9</v>
      </c>
      <c r="H1714" t="s">
        <v>10</v>
      </c>
      <c r="I1714" t="s">
        <v>2829</v>
      </c>
      <c r="J1714">
        <v>120.58</v>
      </c>
      <c r="K1714" t="e">
        <f>IF(COUNTIF(#REF!,Tabela2[[#This Row],[IdxWspolny]])&gt;0,"ELEM_lub_PRD","TECHN")</f>
        <v>#REF!</v>
      </c>
      <c r="L1714" t="e">
        <f>IF(COUNTIF(#REF!,Tabela2[[#This Row],[KOD_PRODUKTU]])&gt;0,"ELEMENT","PRODUKT")</f>
        <v>#REF!</v>
      </c>
      <c r="M1714" t="e">
        <f>COUNTIF(#REF!,Tabela2[[#This Row],[KOD_PRODUKTU]])</f>
        <v>#REF!</v>
      </c>
    </row>
    <row r="1715" spans="1:13" x14ac:dyDescent="0.25">
      <c r="A1715" s="1" t="s">
        <v>2827</v>
      </c>
      <c r="B1715" t="s">
        <v>2828</v>
      </c>
      <c r="C1715" s="1" t="s">
        <v>541</v>
      </c>
      <c r="D1715" s="1" t="s">
        <v>541</v>
      </c>
      <c r="E1715" s="1" t="s">
        <v>541</v>
      </c>
      <c r="F1715" t="s">
        <v>542</v>
      </c>
      <c r="G1715" t="s">
        <v>9</v>
      </c>
      <c r="H1715" t="s">
        <v>10</v>
      </c>
      <c r="I1715" t="s">
        <v>2825</v>
      </c>
      <c r="J1715">
        <v>24.15</v>
      </c>
      <c r="K1715" t="e">
        <f>IF(COUNTIF(#REF!,Tabela2[[#This Row],[IdxWspolny]])&gt;0,"ELEM_lub_PRD","TECHN")</f>
        <v>#REF!</v>
      </c>
      <c r="L1715" t="e">
        <f>IF(COUNTIF(#REF!,Tabela2[[#This Row],[KOD_PRODUKTU]])&gt;0,"ELEMENT","PRODUKT")</f>
        <v>#REF!</v>
      </c>
      <c r="M1715" t="e">
        <f>COUNTIF(#REF!,Tabela2[[#This Row],[KOD_PRODUKTU]])</f>
        <v>#REF!</v>
      </c>
    </row>
    <row r="1716" spans="1:13" x14ac:dyDescent="0.25">
      <c r="A1716" s="1" t="s">
        <v>2827</v>
      </c>
      <c r="B1716" t="s">
        <v>2828</v>
      </c>
      <c r="C1716" s="1" t="s">
        <v>541</v>
      </c>
      <c r="D1716" s="1" t="s">
        <v>541</v>
      </c>
      <c r="E1716" s="1" t="s">
        <v>541</v>
      </c>
      <c r="F1716" t="s">
        <v>542</v>
      </c>
      <c r="G1716" t="s">
        <v>9</v>
      </c>
      <c r="H1716" t="s">
        <v>10</v>
      </c>
      <c r="I1716" t="s">
        <v>2826</v>
      </c>
      <c r="J1716">
        <v>16.79</v>
      </c>
      <c r="K1716" t="e">
        <f>IF(COUNTIF(#REF!,Tabela2[[#This Row],[IdxWspolny]])&gt;0,"ELEM_lub_PRD","TECHN")</f>
        <v>#REF!</v>
      </c>
      <c r="L1716" t="e">
        <f>IF(COUNTIF(#REF!,Tabela2[[#This Row],[KOD_PRODUKTU]])&gt;0,"ELEMENT","PRODUKT")</f>
        <v>#REF!</v>
      </c>
      <c r="M1716" t="e">
        <f>COUNTIF(#REF!,Tabela2[[#This Row],[KOD_PRODUKTU]])</f>
        <v>#REF!</v>
      </c>
    </row>
    <row r="1717" spans="1:13" x14ac:dyDescent="0.25">
      <c r="A1717" s="1" t="s">
        <v>2830</v>
      </c>
      <c r="B1717" t="s">
        <v>2831</v>
      </c>
      <c r="C1717" s="1" t="s">
        <v>2832</v>
      </c>
      <c r="D1717" s="1" t="s">
        <v>2832</v>
      </c>
      <c r="E1717" s="1" t="s">
        <v>2832</v>
      </c>
      <c r="F1717" t="s">
        <v>2833</v>
      </c>
      <c r="G1717" t="s">
        <v>2834</v>
      </c>
      <c r="H1717" t="s">
        <v>121</v>
      </c>
      <c r="I1717" t="s">
        <v>50</v>
      </c>
      <c r="J1717">
        <v>592</v>
      </c>
      <c r="K1717" t="e">
        <f>IF(COUNTIF(#REF!,Tabela2[[#This Row],[IdxWspolny]])&gt;0,"ELEM_lub_PRD","TECHN")</f>
        <v>#REF!</v>
      </c>
      <c r="L1717" t="e">
        <f>IF(COUNTIF(#REF!,Tabela2[[#This Row],[KOD_PRODUKTU]])&gt;0,"ELEMENT","PRODUKT")</f>
        <v>#REF!</v>
      </c>
      <c r="M1717" t="e">
        <f>COUNTIF(#REF!,Tabela2[[#This Row],[KOD_PRODUKTU]])</f>
        <v>#REF!</v>
      </c>
    </row>
    <row r="1718" spans="1:13" x14ac:dyDescent="0.25">
      <c r="A1718" s="1" t="s">
        <v>2830</v>
      </c>
      <c r="B1718" t="s">
        <v>2831</v>
      </c>
      <c r="C1718" s="1" t="s">
        <v>2835</v>
      </c>
      <c r="D1718" s="1" t="s">
        <v>2835</v>
      </c>
      <c r="E1718" s="1" t="s">
        <v>2835</v>
      </c>
      <c r="F1718" t="s">
        <v>2836</v>
      </c>
      <c r="G1718" t="s">
        <v>2837</v>
      </c>
      <c r="H1718" t="s">
        <v>5</v>
      </c>
      <c r="I1718" t="s">
        <v>2838</v>
      </c>
      <c r="J1718">
        <v>2.35</v>
      </c>
      <c r="K1718" t="e">
        <f>IF(COUNTIF(#REF!,Tabela2[[#This Row],[IdxWspolny]])&gt;0,"ELEM_lub_PRD","TECHN")</f>
        <v>#REF!</v>
      </c>
      <c r="L1718" t="e">
        <f>IF(COUNTIF(#REF!,Tabela2[[#This Row],[KOD_PRODUKTU]])&gt;0,"ELEMENT","PRODUKT")</f>
        <v>#REF!</v>
      </c>
      <c r="M1718" t="e">
        <f>COUNTIF(#REF!,Tabela2[[#This Row],[KOD_PRODUKTU]])</f>
        <v>#REF!</v>
      </c>
    </row>
    <row r="1719" spans="1:13" x14ac:dyDescent="0.25">
      <c r="A1719" s="1" t="s">
        <v>2830</v>
      </c>
      <c r="B1719" t="s">
        <v>2831</v>
      </c>
      <c r="C1719" s="1" t="s">
        <v>2839</v>
      </c>
      <c r="D1719" s="1" t="s">
        <v>2839</v>
      </c>
      <c r="E1719" s="1" t="s">
        <v>2839</v>
      </c>
      <c r="F1719" t="s">
        <v>2840</v>
      </c>
      <c r="G1719" t="s">
        <v>2841</v>
      </c>
      <c r="H1719" t="s">
        <v>5</v>
      </c>
      <c r="I1719" t="s">
        <v>1428</v>
      </c>
      <c r="J1719">
        <v>1.1399999999999999</v>
      </c>
      <c r="K1719" t="e">
        <f>IF(COUNTIF(#REF!,Tabela2[[#This Row],[IdxWspolny]])&gt;0,"ELEM_lub_PRD","TECHN")</f>
        <v>#REF!</v>
      </c>
      <c r="L1719" t="e">
        <f>IF(COUNTIF(#REF!,Tabela2[[#This Row],[KOD_PRODUKTU]])&gt;0,"ELEMENT","PRODUKT")</f>
        <v>#REF!</v>
      </c>
      <c r="M1719" t="e">
        <f>COUNTIF(#REF!,Tabela2[[#This Row],[KOD_PRODUKTU]])</f>
        <v>#REF!</v>
      </c>
    </row>
    <row r="1720" spans="1:13" x14ac:dyDescent="0.25">
      <c r="A1720" s="1" t="s">
        <v>2830</v>
      </c>
      <c r="B1720" t="s">
        <v>2831</v>
      </c>
      <c r="C1720" s="1" t="s">
        <v>2842</v>
      </c>
      <c r="D1720" s="1" t="s">
        <v>2842</v>
      </c>
      <c r="E1720" s="1" t="s">
        <v>2842</v>
      </c>
      <c r="F1720" t="s">
        <v>2843</v>
      </c>
      <c r="G1720" t="s">
        <v>1768</v>
      </c>
      <c r="H1720" t="s">
        <v>1965</v>
      </c>
      <c r="I1720" t="s">
        <v>605</v>
      </c>
      <c r="J1720">
        <v>0</v>
      </c>
      <c r="K1720" t="e">
        <f>IF(COUNTIF(#REF!,Tabela2[[#This Row],[IdxWspolny]])&gt;0,"ELEM_lub_PRD","TECHN")</f>
        <v>#REF!</v>
      </c>
      <c r="L1720" t="e">
        <f>IF(COUNTIF(#REF!,Tabela2[[#This Row],[KOD_PRODUKTU]])&gt;0,"ELEMENT","PRODUKT")</f>
        <v>#REF!</v>
      </c>
      <c r="M1720" t="e">
        <f>COUNTIF(#REF!,Tabela2[[#This Row],[KOD_PRODUKTU]])</f>
        <v>#REF!</v>
      </c>
    </row>
    <row r="1721" spans="1:13" x14ac:dyDescent="0.25">
      <c r="A1721" s="1" t="s">
        <v>2830</v>
      </c>
      <c r="B1721" t="s">
        <v>2831</v>
      </c>
      <c r="C1721" s="1" t="s">
        <v>628</v>
      </c>
      <c r="D1721" s="1" t="s">
        <v>628</v>
      </c>
      <c r="E1721" s="1" t="s">
        <v>628</v>
      </c>
      <c r="F1721" t="s">
        <v>629</v>
      </c>
      <c r="G1721" t="s">
        <v>630</v>
      </c>
      <c r="H1721" t="s">
        <v>5</v>
      </c>
      <c r="I1721" t="s">
        <v>2788</v>
      </c>
      <c r="J1721">
        <v>0.08</v>
      </c>
      <c r="K1721" t="e">
        <f>IF(COUNTIF(#REF!,Tabela2[[#This Row],[IdxWspolny]])&gt;0,"ELEM_lub_PRD","TECHN")</f>
        <v>#REF!</v>
      </c>
      <c r="L1721" t="e">
        <f>IF(COUNTIF(#REF!,Tabela2[[#This Row],[KOD_PRODUKTU]])&gt;0,"ELEMENT","PRODUKT")</f>
        <v>#REF!</v>
      </c>
      <c r="M1721" t="e">
        <f>COUNTIF(#REF!,Tabela2[[#This Row],[KOD_PRODUKTU]])</f>
        <v>#REF!</v>
      </c>
    </row>
    <row r="1722" spans="1:13" x14ac:dyDescent="0.25">
      <c r="A1722" s="1" t="s">
        <v>2830</v>
      </c>
      <c r="B1722" t="s">
        <v>2831</v>
      </c>
      <c r="C1722" s="1" t="s">
        <v>483</v>
      </c>
      <c r="D1722" s="1" t="s">
        <v>483</v>
      </c>
      <c r="E1722" s="1" t="s">
        <v>483</v>
      </c>
      <c r="F1722" t="s">
        <v>484</v>
      </c>
      <c r="G1722" t="s">
        <v>2789</v>
      </c>
      <c r="H1722" t="s">
        <v>5</v>
      </c>
      <c r="I1722" t="s">
        <v>615</v>
      </c>
      <c r="J1722">
        <v>0.08</v>
      </c>
      <c r="K1722" t="e">
        <f>IF(COUNTIF(#REF!,Tabela2[[#This Row],[IdxWspolny]])&gt;0,"ELEM_lub_PRD","TECHN")</f>
        <v>#REF!</v>
      </c>
      <c r="L1722" t="e">
        <f>IF(COUNTIF(#REF!,Tabela2[[#This Row],[KOD_PRODUKTU]])&gt;0,"ELEMENT","PRODUKT")</f>
        <v>#REF!</v>
      </c>
      <c r="M1722" t="e">
        <f>COUNTIF(#REF!,Tabela2[[#This Row],[KOD_PRODUKTU]])</f>
        <v>#REF!</v>
      </c>
    </row>
    <row r="1723" spans="1:13" x14ac:dyDescent="0.25">
      <c r="A1723" s="1" t="s">
        <v>2830</v>
      </c>
      <c r="B1723" t="s">
        <v>2831</v>
      </c>
      <c r="C1723" s="1" t="s">
        <v>2844</v>
      </c>
      <c r="D1723" s="1" t="s">
        <v>2844</v>
      </c>
      <c r="E1723" s="1" t="s">
        <v>2844</v>
      </c>
      <c r="F1723" t="s">
        <v>2845</v>
      </c>
      <c r="G1723" t="s">
        <v>2846</v>
      </c>
      <c r="H1723" t="s">
        <v>5</v>
      </c>
      <c r="I1723" t="s">
        <v>2847</v>
      </c>
      <c r="J1723">
        <v>0.11</v>
      </c>
      <c r="K1723" t="e">
        <f>IF(COUNTIF(#REF!,Tabela2[[#This Row],[IdxWspolny]])&gt;0,"ELEM_lub_PRD","TECHN")</f>
        <v>#REF!</v>
      </c>
      <c r="L1723" t="e">
        <f>IF(COUNTIF(#REF!,Tabela2[[#This Row],[KOD_PRODUKTU]])&gt;0,"ELEMENT","PRODUKT")</f>
        <v>#REF!</v>
      </c>
      <c r="M1723" t="e">
        <f>COUNTIF(#REF!,Tabela2[[#This Row],[KOD_PRODUKTU]])</f>
        <v>#REF!</v>
      </c>
    </row>
    <row r="1724" spans="1:13" x14ac:dyDescent="0.25">
      <c r="A1724" s="1" t="s">
        <v>2830</v>
      </c>
      <c r="B1724" t="s">
        <v>2831</v>
      </c>
      <c r="C1724" s="1" t="s">
        <v>1971</v>
      </c>
      <c r="D1724" s="1" t="s">
        <v>1971</v>
      </c>
      <c r="E1724" s="1" t="s">
        <v>1971</v>
      </c>
      <c r="F1724" t="s">
        <v>1972</v>
      </c>
      <c r="G1724" t="s">
        <v>1964</v>
      </c>
      <c r="H1724" t="s">
        <v>5</v>
      </c>
      <c r="I1724" t="s">
        <v>605</v>
      </c>
      <c r="J1724">
        <v>0.61</v>
      </c>
      <c r="K1724" t="e">
        <f>IF(COUNTIF(#REF!,Tabela2[[#This Row],[IdxWspolny]])&gt;0,"ELEM_lub_PRD","TECHN")</f>
        <v>#REF!</v>
      </c>
      <c r="L1724" t="e">
        <f>IF(COUNTIF(#REF!,Tabela2[[#This Row],[KOD_PRODUKTU]])&gt;0,"ELEMENT","PRODUKT")</f>
        <v>#REF!</v>
      </c>
      <c r="M1724" t="e">
        <f>COUNTIF(#REF!,Tabela2[[#This Row],[KOD_PRODUKTU]])</f>
        <v>#REF!</v>
      </c>
    </row>
    <row r="1725" spans="1:13" x14ac:dyDescent="0.25">
      <c r="A1725" s="1" t="s">
        <v>2830</v>
      </c>
      <c r="B1725" t="s">
        <v>2831</v>
      </c>
      <c r="C1725" s="1" t="s">
        <v>2848</v>
      </c>
      <c r="D1725" s="1" t="s">
        <v>2848</v>
      </c>
      <c r="E1725" s="1" t="s">
        <v>2848</v>
      </c>
      <c r="F1725" t="s">
        <v>2849</v>
      </c>
      <c r="G1725" t="s">
        <v>879</v>
      </c>
      <c r="H1725" t="s">
        <v>5</v>
      </c>
      <c r="I1725" t="s">
        <v>2850</v>
      </c>
      <c r="J1725">
        <v>0.19</v>
      </c>
      <c r="K1725" t="e">
        <f>IF(COUNTIF(#REF!,Tabela2[[#This Row],[IdxWspolny]])&gt;0,"ELEM_lub_PRD","TECHN")</f>
        <v>#REF!</v>
      </c>
      <c r="L1725" t="e">
        <f>IF(COUNTIF(#REF!,Tabela2[[#This Row],[KOD_PRODUKTU]])&gt;0,"ELEMENT","PRODUKT")</f>
        <v>#REF!</v>
      </c>
      <c r="M1725" t="e">
        <f>COUNTIF(#REF!,Tabela2[[#This Row],[KOD_PRODUKTU]])</f>
        <v>#REF!</v>
      </c>
    </row>
    <row r="1726" spans="1:13" x14ac:dyDescent="0.25">
      <c r="A1726" s="1" t="s">
        <v>2830</v>
      </c>
      <c r="B1726" t="s">
        <v>2831</v>
      </c>
      <c r="C1726" s="1" t="s">
        <v>1974</v>
      </c>
      <c r="D1726" s="1" t="s">
        <v>1974</v>
      </c>
      <c r="E1726" s="1" t="s">
        <v>1974</v>
      </c>
      <c r="F1726" t="s">
        <v>1975</v>
      </c>
      <c r="G1726" t="s">
        <v>879</v>
      </c>
      <c r="H1726" t="s">
        <v>121</v>
      </c>
      <c r="I1726" t="s">
        <v>2851</v>
      </c>
      <c r="J1726">
        <v>0.78</v>
      </c>
      <c r="K1726" t="e">
        <f>IF(COUNTIF(#REF!,Tabela2[[#This Row],[IdxWspolny]])&gt;0,"ELEM_lub_PRD","TECHN")</f>
        <v>#REF!</v>
      </c>
      <c r="L1726" t="e">
        <f>IF(COUNTIF(#REF!,Tabela2[[#This Row],[KOD_PRODUKTU]])&gt;0,"ELEMENT","PRODUKT")</f>
        <v>#REF!</v>
      </c>
      <c r="M1726" t="e">
        <f>COUNTIF(#REF!,Tabela2[[#This Row],[KOD_PRODUKTU]])</f>
        <v>#REF!</v>
      </c>
    </row>
    <row r="1727" spans="1:13" x14ac:dyDescent="0.25">
      <c r="A1727" s="1" t="s">
        <v>2830</v>
      </c>
      <c r="B1727" t="s">
        <v>2831</v>
      </c>
      <c r="C1727" s="1" t="s">
        <v>2738</v>
      </c>
      <c r="D1727" s="1" t="s">
        <v>2738</v>
      </c>
      <c r="E1727" s="1" t="s">
        <v>2738</v>
      </c>
      <c r="F1727" t="s">
        <v>2739</v>
      </c>
      <c r="G1727" t="s">
        <v>168</v>
      </c>
      <c r="H1727" t="s">
        <v>121</v>
      </c>
      <c r="I1727" t="s">
        <v>1371</v>
      </c>
      <c r="J1727">
        <v>0.21</v>
      </c>
      <c r="K1727" t="e">
        <f>IF(COUNTIF(#REF!,Tabela2[[#This Row],[IdxWspolny]])&gt;0,"ELEM_lub_PRD","TECHN")</f>
        <v>#REF!</v>
      </c>
      <c r="L1727" t="e">
        <f>IF(COUNTIF(#REF!,Tabela2[[#This Row],[KOD_PRODUKTU]])&gt;0,"ELEMENT","PRODUKT")</f>
        <v>#REF!</v>
      </c>
      <c r="M1727" t="e">
        <f>COUNTIF(#REF!,Tabela2[[#This Row],[KOD_PRODUKTU]])</f>
        <v>#REF!</v>
      </c>
    </row>
    <row r="1728" spans="1:13" x14ac:dyDescent="0.25">
      <c r="A1728" s="1" t="s">
        <v>2830</v>
      </c>
      <c r="B1728" t="s">
        <v>2831</v>
      </c>
      <c r="C1728" s="1" t="s">
        <v>2852</v>
      </c>
      <c r="D1728" s="1" t="s">
        <v>2852</v>
      </c>
      <c r="E1728" s="1" t="s">
        <v>2852</v>
      </c>
      <c r="F1728" t="s">
        <v>2853</v>
      </c>
      <c r="G1728" t="s">
        <v>2854</v>
      </c>
      <c r="H1728" t="s">
        <v>49</v>
      </c>
      <c r="I1728" t="s">
        <v>50</v>
      </c>
      <c r="J1728">
        <v>16</v>
      </c>
      <c r="K1728" t="e">
        <f>IF(COUNTIF(#REF!,Tabela2[[#This Row],[IdxWspolny]])&gt;0,"ELEM_lub_PRD","TECHN")</f>
        <v>#REF!</v>
      </c>
      <c r="L1728" t="e">
        <f>IF(COUNTIF(#REF!,Tabela2[[#This Row],[KOD_PRODUKTU]])&gt;0,"ELEMENT","PRODUKT")</f>
        <v>#REF!</v>
      </c>
      <c r="M1728" t="e">
        <f>COUNTIF(#REF!,Tabela2[[#This Row],[KOD_PRODUKTU]])</f>
        <v>#REF!</v>
      </c>
    </row>
    <row r="1729" spans="1:14" x14ac:dyDescent="0.25">
      <c r="A1729" s="1" t="s">
        <v>2830</v>
      </c>
      <c r="B1729" t="s">
        <v>2831</v>
      </c>
      <c r="C1729" s="1" t="s">
        <v>2797</v>
      </c>
      <c r="D1729" s="1" t="s">
        <v>2797</v>
      </c>
      <c r="E1729" s="1" t="s">
        <v>2797</v>
      </c>
      <c r="F1729" t="s">
        <v>2798</v>
      </c>
      <c r="G1729" t="s">
        <v>2799</v>
      </c>
      <c r="H1729" t="s">
        <v>121</v>
      </c>
      <c r="I1729" t="s">
        <v>50</v>
      </c>
      <c r="J1729">
        <v>2.41</v>
      </c>
      <c r="K1729" t="e">
        <f>IF(COUNTIF(#REF!,Tabela2[[#This Row],[IdxWspolny]])&gt;0,"ELEM_lub_PRD","TECHN")</f>
        <v>#REF!</v>
      </c>
      <c r="L1729" t="e">
        <f>IF(COUNTIF(#REF!,Tabela2[[#This Row],[KOD_PRODUKTU]])&gt;0,"ELEMENT","PRODUKT")</f>
        <v>#REF!</v>
      </c>
      <c r="M1729" t="e">
        <f>COUNTIF(#REF!,Tabela2[[#This Row],[KOD_PRODUKTU]])</f>
        <v>#REF!</v>
      </c>
    </row>
    <row r="1730" spans="1:14" hidden="1" x14ac:dyDescent="0.25">
      <c r="A1730" s="1" t="s">
        <v>2830</v>
      </c>
      <c r="B1730" t="s">
        <v>2831</v>
      </c>
      <c r="C1730" s="1" t="s">
        <v>2855</v>
      </c>
      <c r="D1730" s="1" t="s">
        <v>2855</v>
      </c>
      <c r="E1730" s="1" t="s">
        <v>2855</v>
      </c>
      <c r="F1730" t="s">
        <v>2856</v>
      </c>
      <c r="G1730" t="s">
        <v>2857</v>
      </c>
      <c r="H1730" t="s">
        <v>121</v>
      </c>
      <c r="I1730" t="s">
        <v>50</v>
      </c>
      <c r="J1730">
        <v>5.94</v>
      </c>
      <c r="K1730" t="e">
        <f>IF(COUNTIF(#REF!,Tabela2[[#This Row],[IdxWspolny]])&gt;0,"ELEM_lub_PRD","TECHN")</f>
        <v>#REF!</v>
      </c>
      <c r="L1730" t="e">
        <f>IF(COUNTIF(#REF!,Tabela2[[#This Row],[KOD_PRODUKTU]])&gt;0,"ELEMENT","PRODUKT")</f>
        <v>#REF!</v>
      </c>
      <c r="M1730" t="e">
        <f>COUNTIF(#REF!,Tabela2[[#This Row],[KOD_PRODUKTU]])</f>
        <v>#REF!</v>
      </c>
      <c r="N1730" t="s">
        <v>55</v>
      </c>
    </row>
    <row r="1731" spans="1:14" hidden="1" x14ac:dyDescent="0.25">
      <c r="A1731" s="1" t="s">
        <v>2830</v>
      </c>
      <c r="B1731" t="s">
        <v>2831</v>
      </c>
      <c r="C1731" s="1" t="s">
        <v>2858</v>
      </c>
      <c r="D1731" s="1" t="s">
        <v>2858</v>
      </c>
      <c r="E1731" s="1" t="s">
        <v>2858</v>
      </c>
      <c r="F1731" t="s">
        <v>2859</v>
      </c>
      <c r="G1731" t="s">
        <v>2860</v>
      </c>
      <c r="H1731" t="s">
        <v>49</v>
      </c>
      <c r="I1731" t="s">
        <v>50</v>
      </c>
      <c r="J1731">
        <v>283.45999999999998</v>
      </c>
      <c r="K1731" t="e">
        <f>IF(COUNTIF(#REF!,Tabela2[[#This Row],[IdxWspolny]])&gt;0,"ELEM_lub_PRD","TECHN")</f>
        <v>#REF!</v>
      </c>
      <c r="L1731" t="e">
        <f>IF(COUNTIF(#REF!,Tabela2[[#This Row],[KOD_PRODUKTU]])&gt;0,"ELEMENT","PRODUKT")</f>
        <v>#REF!</v>
      </c>
      <c r="M1731" t="e">
        <f>COUNTIF(#REF!,Tabela2[[#This Row],[KOD_PRODUKTU]])</f>
        <v>#REF!</v>
      </c>
      <c r="N1731" t="s">
        <v>55</v>
      </c>
    </row>
    <row r="1732" spans="1:14" hidden="1" x14ac:dyDescent="0.25">
      <c r="A1732" s="1" t="s">
        <v>2830</v>
      </c>
      <c r="B1732" t="s">
        <v>2831</v>
      </c>
      <c r="C1732" s="1" t="s">
        <v>2861</v>
      </c>
      <c r="D1732" s="1" t="s">
        <v>2861</v>
      </c>
      <c r="E1732" s="1" t="s">
        <v>2861</v>
      </c>
      <c r="F1732" t="s">
        <v>2862</v>
      </c>
      <c r="G1732" t="s">
        <v>2863</v>
      </c>
      <c r="H1732" t="s">
        <v>49</v>
      </c>
      <c r="I1732" t="s">
        <v>50</v>
      </c>
      <c r="J1732">
        <v>243.97</v>
      </c>
      <c r="K1732" t="e">
        <f>IF(COUNTIF(#REF!,Tabela2[[#This Row],[IdxWspolny]])&gt;0,"ELEM_lub_PRD","TECHN")</f>
        <v>#REF!</v>
      </c>
      <c r="L1732" t="e">
        <f>IF(COUNTIF(#REF!,Tabela2[[#This Row],[KOD_PRODUKTU]])&gt;0,"ELEMENT","PRODUKT")</f>
        <v>#REF!</v>
      </c>
      <c r="M1732" t="e">
        <f>COUNTIF(#REF!,Tabela2[[#This Row],[KOD_PRODUKTU]])</f>
        <v>#REF!</v>
      </c>
      <c r="N1732" t="s">
        <v>55</v>
      </c>
    </row>
    <row r="1733" spans="1:14" hidden="1" x14ac:dyDescent="0.25">
      <c r="A1733" s="1" t="s">
        <v>2830</v>
      </c>
      <c r="B1733" t="s">
        <v>2831</v>
      </c>
      <c r="C1733" s="1" t="s">
        <v>2864</v>
      </c>
      <c r="D1733" s="1" t="s">
        <v>2864</v>
      </c>
      <c r="E1733" s="1" t="s">
        <v>2864</v>
      </c>
      <c r="F1733" t="s">
        <v>2865</v>
      </c>
      <c r="G1733" t="s">
        <v>2866</v>
      </c>
      <c r="H1733" t="s">
        <v>49</v>
      </c>
      <c r="I1733" t="s">
        <v>50</v>
      </c>
      <c r="J1733">
        <v>437.95</v>
      </c>
      <c r="K1733" t="e">
        <f>IF(COUNTIF(#REF!,Tabela2[[#This Row],[IdxWspolny]])&gt;0,"ELEM_lub_PRD","TECHN")</f>
        <v>#REF!</v>
      </c>
      <c r="L1733" t="e">
        <f>IF(COUNTIF(#REF!,Tabela2[[#This Row],[KOD_PRODUKTU]])&gt;0,"ELEMENT","PRODUKT")</f>
        <v>#REF!</v>
      </c>
      <c r="M1733" t="e">
        <f>COUNTIF(#REF!,Tabela2[[#This Row],[KOD_PRODUKTU]])</f>
        <v>#REF!</v>
      </c>
      <c r="N1733" t="s">
        <v>55</v>
      </c>
    </row>
    <row r="1734" spans="1:14" hidden="1" x14ac:dyDescent="0.25">
      <c r="A1734" s="1" t="s">
        <v>2830</v>
      </c>
      <c r="B1734" t="s">
        <v>2831</v>
      </c>
      <c r="C1734" s="1" t="s">
        <v>2867</v>
      </c>
      <c r="D1734" s="1" t="s">
        <v>2867</v>
      </c>
      <c r="E1734" s="1" t="s">
        <v>2867</v>
      </c>
      <c r="F1734" t="s">
        <v>2868</v>
      </c>
      <c r="G1734" t="s">
        <v>2869</v>
      </c>
      <c r="H1734" t="s">
        <v>49</v>
      </c>
      <c r="I1734" t="s">
        <v>50</v>
      </c>
      <c r="J1734">
        <v>58.26</v>
      </c>
      <c r="K1734" t="e">
        <f>IF(COUNTIF(#REF!,Tabela2[[#This Row],[IdxWspolny]])&gt;0,"ELEM_lub_PRD","TECHN")</f>
        <v>#REF!</v>
      </c>
      <c r="L1734" t="e">
        <f>IF(COUNTIF(#REF!,Tabela2[[#This Row],[KOD_PRODUKTU]])&gt;0,"ELEMENT","PRODUKT")</f>
        <v>#REF!</v>
      </c>
      <c r="M1734" t="e">
        <f>COUNTIF(#REF!,Tabela2[[#This Row],[KOD_PRODUKTU]])</f>
        <v>#REF!</v>
      </c>
      <c r="N1734" t="s">
        <v>55</v>
      </c>
    </row>
    <row r="1735" spans="1:14" hidden="1" x14ac:dyDescent="0.25">
      <c r="A1735" s="1" t="s">
        <v>2830</v>
      </c>
      <c r="B1735" t="s">
        <v>2831</v>
      </c>
      <c r="C1735" s="1" t="s">
        <v>2870</v>
      </c>
      <c r="D1735" s="1" t="s">
        <v>2870</v>
      </c>
      <c r="E1735" s="1" t="s">
        <v>2870</v>
      </c>
      <c r="F1735" t="s">
        <v>2871</v>
      </c>
      <c r="G1735" t="s">
        <v>2872</v>
      </c>
      <c r="H1735" t="s">
        <v>49</v>
      </c>
      <c r="I1735" t="s">
        <v>92</v>
      </c>
      <c r="J1735">
        <v>305.27999999999997</v>
      </c>
      <c r="K1735" t="e">
        <f>IF(COUNTIF(#REF!,Tabela2[[#This Row],[IdxWspolny]])&gt;0,"ELEM_lub_PRD","TECHN")</f>
        <v>#REF!</v>
      </c>
      <c r="L1735" t="e">
        <f>IF(COUNTIF(#REF!,Tabela2[[#This Row],[KOD_PRODUKTU]])&gt;0,"ELEMENT","PRODUKT")</f>
        <v>#REF!</v>
      </c>
      <c r="M1735" t="e">
        <f>COUNTIF(#REF!,Tabela2[[#This Row],[KOD_PRODUKTU]])</f>
        <v>#REF!</v>
      </c>
      <c r="N1735" t="s">
        <v>55</v>
      </c>
    </row>
    <row r="1736" spans="1:14" x14ac:dyDescent="0.25">
      <c r="A1736" s="1" t="s">
        <v>2830</v>
      </c>
      <c r="B1736" t="s">
        <v>2831</v>
      </c>
      <c r="C1736" s="1" t="s">
        <v>541</v>
      </c>
      <c r="D1736" s="1" t="s">
        <v>541</v>
      </c>
      <c r="E1736" s="1" t="s">
        <v>541</v>
      </c>
      <c r="F1736" t="s">
        <v>542</v>
      </c>
      <c r="G1736" t="s">
        <v>9</v>
      </c>
      <c r="H1736" t="s">
        <v>10</v>
      </c>
      <c r="I1736" t="s">
        <v>2873</v>
      </c>
      <c r="J1736">
        <v>16.75</v>
      </c>
      <c r="K1736" t="e">
        <f>IF(COUNTIF(#REF!,Tabela2[[#This Row],[IdxWspolny]])&gt;0,"ELEM_lub_PRD","TECHN")</f>
        <v>#REF!</v>
      </c>
      <c r="L1736" t="e">
        <f>IF(COUNTIF(#REF!,Tabela2[[#This Row],[KOD_PRODUKTU]])&gt;0,"ELEMENT","PRODUKT")</f>
        <v>#REF!</v>
      </c>
      <c r="M1736" t="e">
        <f>COUNTIF(#REF!,Tabela2[[#This Row],[KOD_PRODUKTU]])</f>
        <v>#REF!</v>
      </c>
    </row>
    <row r="1737" spans="1:14" x14ac:dyDescent="0.25">
      <c r="A1737" s="1" t="s">
        <v>2830</v>
      </c>
      <c r="B1737" t="s">
        <v>2831</v>
      </c>
      <c r="C1737" s="1" t="s">
        <v>541</v>
      </c>
      <c r="D1737" s="1" t="s">
        <v>541</v>
      </c>
      <c r="E1737" s="1" t="s">
        <v>541</v>
      </c>
      <c r="F1737" t="s">
        <v>542</v>
      </c>
      <c r="G1737" t="s">
        <v>9</v>
      </c>
      <c r="H1737" t="s">
        <v>10</v>
      </c>
      <c r="I1737" t="s">
        <v>2874</v>
      </c>
      <c r="J1737">
        <v>128.33000000000001</v>
      </c>
      <c r="K1737" t="e">
        <f>IF(COUNTIF(#REF!,Tabela2[[#This Row],[IdxWspolny]])&gt;0,"ELEM_lub_PRD","TECHN")</f>
        <v>#REF!</v>
      </c>
      <c r="L1737" t="e">
        <f>IF(COUNTIF(#REF!,Tabela2[[#This Row],[KOD_PRODUKTU]])&gt;0,"ELEMENT","PRODUKT")</f>
        <v>#REF!</v>
      </c>
      <c r="M1737" t="e">
        <f>COUNTIF(#REF!,Tabela2[[#This Row],[KOD_PRODUKTU]])</f>
        <v>#REF!</v>
      </c>
    </row>
    <row r="1738" spans="1:14" x14ac:dyDescent="0.25">
      <c r="A1738" s="1" t="s">
        <v>2875</v>
      </c>
      <c r="B1738" t="s">
        <v>2876</v>
      </c>
      <c r="C1738" s="1" t="s">
        <v>2877</v>
      </c>
      <c r="D1738" s="1" t="s">
        <v>2877</v>
      </c>
      <c r="E1738" s="1" t="s">
        <v>2877</v>
      </c>
      <c r="F1738" t="s">
        <v>2878</v>
      </c>
      <c r="G1738" t="s">
        <v>2879</v>
      </c>
      <c r="H1738" t="s">
        <v>121</v>
      </c>
      <c r="I1738" t="s">
        <v>50</v>
      </c>
      <c r="J1738">
        <v>1482</v>
      </c>
      <c r="K1738" t="e">
        <f>IF(COUNTIF(#REF!,Tabela2[[#This Row],[IdxWspolny]])&gt;0,"ELEM_lub_PRD","TECHN")</f>
        <v>#REF!</v>
      </c>
      <c r="L1738" t="e">
        <f>IF(COUNTIF(#REF!,Tabela2[[#This Row],[KOD_PRODUKTU]])&gt;0,"ELEMENT","PRODUKT")</f>
        <v>#REF!</v>
      </c>
      <c r="M1738" t="e">
        <f>COUNTIF(#REF!,Tabela2[[#This Row],[KOD_PRODUKTU]])</f>
        <v>#REF!</v>
      </c>
    </row>
    <row r="1739" spans="1:14" x14ac:dyDescent="0.25">
      <c r="A1739" s="1" t="s">
        <v>2875</v>
      </c>
      <c r="B1739" t="s">
        <v>2876</v>
      </c>
      <c r="C1739" s="1" t="s">
        <v>2771</v>
      </c>
      <c r="D1739" s="1" t="s">
        <v>2771</v>
      </c>
      <c r="E1739" s="1" t="s">
        <v>2771</v>
      </c>
      <c r="F1739" t="s">
        <v>2772</v>
      </c>
      <c r="G1739" t="s">
        <v>1964</v>
      </c>
      <c r="H1739" t="s">
        <v>5</v>
      </c>
      <c r="I1739" t="s">
        <v>2880</v>
      </c>
      <c r="J1739">
        <v>0.61</v>
      </c>
      <c r="K1739" t="e">
        <f>IF(COUNTIF(#REF!,Tabela2[[#This Row],[IdxWspolny]])&gt;0,"ELEM_lub_PRD","TECHN")</f>
        <v>#REF!</v>
      </c>
      <c r="L1739" t="e">
        <f>IF(COUNTIF(#REF!,Tabela2[[#This Row],[KOD_PRODUKTU]])&gt;0,"ELEMENT","PRODUKT")</f>
        <v>#REF!</v>
      </c>
      <c r="M1739" t="e">
        <f>COUNTIF(#REF!,Tabela2[[#This Row],[KOD_PRODUKTU]])</f>
        <v>#REF!</v>
      </c>
    </row>
    <row r="1740" spans="1:14" x14ac:dyDescent="0.25">
      <c r="A1740" s="1" t="s">
        <v>2875</v>
      </c>
      <c r="B1740" t="s">
        <v>2876</v>
      </c>
      <c r="C1740" s="1" t="s">
        <v>2881</v>
      </c>
      <c r="D1740" s="1" t="s">
        <v>2881</v>
      </c>
      <c r="E1740" s="1" t="s">
        <v>2881</v>
      </c>
      <c r="F1740" t="s">
        <v>2882</v>
      </c>
      <c r="G1740" t="s">
        <v>2883</v>
      </c>
      <c r="H1740" t="s">
        <v>5</v>
      </c>
      <c r="I1740" t="s">
        <v>2884</v>
      </c>
      <c r="J1740">
        <v>0.33</v>
      </c>
      <c r="K1740" t="e">
        <f>IF(COUNTIF(#REF!,Tabela2[[#This Row],[IdxWspolny]])&gt;0,"ELEM_lub_PRD","TECHN")</f>
        <v>#REF!</v>
      </c>
      <c r="L1740" t="e">
        <f>IF(COUNTIF(#REF!,Tabela2[[#This Row],[KOD_PRODUKTU]])&gt;0,"ELEMENT","PRODUKT")</f>
        <v>#REF!</v>
      </c>
      <c r="M1740" t="e">
        <f>COUNTIF(#REF!,Tabela2[[#This Row],[KOD_PRODUKTU]])</f>
        <v>#REF!</v>
      </c>
    </row>
    <row r="1741" spans="1:14" x14ac:dyDescent="0.25">
      <c r="A1741" s="1" t="s">
        <v>2875</v>
      </c>
      <c r="B1741" t="s">
        <v>2876</v>
      </c>
      <c r="C1741" s="1" t="s">
        <v>2885</v>
      </c>
      <c r="D1741" s="1" t="s">
        <v>2885</v>
      </c>
      <c r="E1741" s="1" t="s">
        <v>2885</v>
      </c>
      <c r="F1741" t="s">
        <v>2886</v>
      </c>
      <c r="G1741" t="s">
        <v>879</v>
      </c>
      <c r="H1741" t="s">
        <v>5</v>
      </c>
      <c r="I1741" t="s">
        <v>1236</v>
      </c>
      <c r="J1741">
        <v>1.68</v>
      </c>
      <c r="K1741" t="e">
        <f>IF(COUNTIF(#REF!,Tabela2[[#This Row],[IdxWspolny]])&gt;0,"ELEM_lub_PRD","TECHN")</f>
        <v>#REF!</v>
      </c>
      <c r="L1741" t="e">
        <f>IF(COUNTIF(#REF!,Tabela2[[#This Row],[KOD_PRODUKTU]])&gt;0,"ELEMENT","PRODUKT")</f>
        <v>#REF!</v>
      </c>
      <c r="M1741" t="e">
        <f>COUNTIF(#REF!,Tabela2[[#This Row],[KOD_PRODUKTU]])</f>
        <v>#REF!</v>
      </c>
    </row>
    <row r="1742" spans="1:14" x14ac:dyDescent="0.25">
      <c r="A1742" s="1" t="s">
        <v>2875</v>
      </c>
      <c r="B1742" t="s">
        <v>2876</v>
      </c>
      <c r="C1742" s="1" t="s">
        <v>2835</v>
      </c>
      <c r="D1742" s="1" t="s">
        <v>2835</v>
      </c>
      <c r="E1742" s="1" t="s">
        <v>2835</v>
      </c>
      <c r="F1742" t="s">
        <v>2836</v>
      </c>
      <c r="G1742" t="s">
        <v>2837</v>
      </c>
      <c r="H1742" t="s">
        <v>5</v>
      </c>
      <c r="I1742" t="s">
        <v>2838</v>
      </c>
      <c r="J1742">
        <v>2.35</v>
      </c>
      <c r="K1742" t="e">
        <f>IF(COUNTIF(#REF!,Tabela2[[#This Row],[IdxWspolny]])&gt;0,"ELEM_lub_PRD","TECHN")</f>
        <v>#REF!</v>
      </c>
      <c r="L1742" t="e">
        <f>IF(COUNTIF(#REF!,Tabela2[[#This Row],[KOD_PRODUKTU]])&gt;0,"ELEMENT","PRODUKT")</f>
        <v>#REF!</v>
      </c>
      <c r="M1742" t="e">
        <f>COUNTIF(#REF!,Tabela2[[#This Row],[KOD_PRODUKTU]])</f>
        <v>#REF!</v>
      </c>
    </row>
    <row r="1743" spans="1:14" x14ac:dyDescent="0.25">
      <c r="A1743" s="1" t="s">
        <v>2875</v>
      </c>
      <c r="B1743" t="s">
        <v>2876</v>
      </c>
      <c r="C1743" s="1" t="s">
        <v>2887</v>
      </c>
      <c r="D1743" s="1" t="s">
        <v>2887</v>
      </c>
      <c r="E1743" s="1" t="s">
        <v>2887</v>
      </c>
      <c r="F1743" t="s">
        <v>2888</v>
      </c>
      <c r="G1743" t="s">
        <v>2889</v>
      </c>
      <c r="H1743" t="s">
        <v>39</v>
      </c>
      <c r="I1743" t="s">
        <v>605</v>
      </c>
      <c r="J1743">
        <v>0.83</v>
      </c>
      <c r="K1743" t="e">
        <f>IF(COUNTIF(#REF!,Tabela2[[#This Row],[IdxWspolny]])&gt;0,"ELEM_lub_PRD","TECHN")</f>
        <v>#REF!</v>
      </c>
      <c r="L1743" t="e">
        <f>IF(COUNTIF(#REF!,Tabela2[[#This Row],[KOD_PRODUKTU]])&gt;0,"ELEMENT","PRODUKT")</f>
        <v>#REF!</v>
      </c>
      <c r="M1743" t="e">
        <f>COUNTIF(#REF!,Tabela2[[#This Row],[KOD_PRODUKTU]])</f>
        <v>#REF!</v>
      </c>
    </row>
    <row r="1744" spans="1:14" x14ac:dyDescent="0.25">
      <c r="A1744" s="1" t="s">
        <v>2875</v>
      </c>
      <c r="B1744" t="s">
        <v>2876</v>
      </c>
      <c r="C1744" s="1" t="s">
        <v>628</v>
      </c>
      <c r="D1744" s="1" t="s">
        <v>628</v>
      </c>
      <c r="E1744" s="1" t="s">
        <v>628</v>
      </c>
      <c r="F1744" t="s">
        <v>629</v>
      </c>
      <c r="G1744" t="s">
        <v>630</v>
      </c>
      <c r="H1744" t="s">
        <v>5</v>
      </c>
      <c r="I1744" t="s">
        <v>2788</v>
      </c>
      <c r="J1744">
        <v>0.08</v>
      </c>
      <c r="K1744" t="e">
        <f>IF(COUNTIF(#REF!,Tabela2[[#This Row],[IdxWspolny]])&gt;0,"ELEM_lub_PRD","TECHN")</f>
        <v>#REF!</v>
      </c>
      <c r="L1744" t="e">
        <f>IF(COUNTIF(#REF!,Tabela2[[#This Row],[KOD_PRODUKTU]])&gt;0,"ELEMENT","PRODUKT")</f>
        <v>#REF!</v>
      </c>
      <c r="M1744" t="e">
        <f>COUNTIF(#REF!,Tabela2[[#This Row],[KOD_PRODUKTU]])</f>
        <v>#REF!</v>
      </c>
    </row>
    <row r="1745" spans="1:14" x14ac:dyDescent="0.25">
      <c r="A1745" s="1" t="s">
        <v>2875</v>
      </c>
      <c r="B1745" t="s">
        <v>2876</v>
      </c>
      <c r="C1745" s="1" t="s">
        <v>483</v>
      </c>
      <c r="D1745" s="1" t="s">
        <v>483</v>
      </c>
      <c r="E1745" s="1" t="s">
        <v>483</v>
      </c>
      <c r="F1745" t="s">
        <v>484</v>
      </c>
      <c r="G1745" t="s">
        <v>2789</v>
      </c>
      <c r="H1745" t="s">
        <v>5</v>
      </c>
      <c r="I1745" t="s">
        <v>2890</v>
      </c>
      <c r="J1745">
        <v>1.23</v>
      </c>
      <c r="K1745" t="e">
        <f>IF(COUNTIF(#REF!,Tabela2[[#This Row],[IdxWspolny]])&gt;0,"ELEM_lub_PRD","TECHN")</f>
        <v>#REF!</v>
      </c>
      <c r="L1745" t="e">
        <f>IF(COUNTIF(#REF!,Tabela2[[#This Row],[KOD_PRODUKTU]])&gt;0,"ELEMENT","PRODUKT")</f>
        <v>#REF!</v>
      </c>
      <c r="M1745" t="e">
        <f>COUNTIF(#REF!,Tabela2[[#This Row],[KOD_PRODUKTU]])</f>
        <v>#REF!</v>
      </c>
    </row>
    <row r="1746" spans="1:14" x14ac:dyDescent="0.25">
      <c r="A1746" s="1" t="s">
        <v>2875</v>
      </c>
      <c r="B1746" t="s">
        <v>2876</v>
      </c>
      <c r="C1746" s="1" t="s">
        <v>1968</v>
      </c>
      <c r="D1746" s="1" t="s">
        <v>1968</v>
      </c>
      <c r="E1746" s="1" t="s">
        <v>1968</v>
      </c>
      <c r="F1746" t="s">
        <v>1969</v>
      </c>
      <c r="G1746" t="s">
        <v>485</v>
      </c>
      <c r="H1746" t="s">
        <v>5</v>
      </c>
      <c r="I1746" t="s">
        <v>1889</v>
      </c>
      <c r="J1746">
        <v>0.03</v>
      </c>
      <c r="K1746" t="e">
        <f>IF(COUNTIF(#REF!,Tabela2[[#This Row],[IdxWspolny]])&gt;0,"ELEM_lub_PRD","TECHN")</f>
        <v>#REF!</v>
      </c>
      <c r="L1746" t="e">
        <f>IF(COUNTIF(#REF!,Tabela2[[#This Row],[KOD_PRODUKTU]])&gt;0,"ELEMENT","PRODUKT")</f>
        <v>#REF!</v>
      </c>
      <c r="M1746" t="e">
        <f>COUNTIF(#REF!,Tabela2[[#This Row],[KOD_PRODUKTU]])</f>
        <v>#REF!</v>
      </c>
    </row>
    <row r="1747" spans="1:14" x14ac:dyDescent="0.25">
      <c r="A1747" s="1" t="s">
        <v>2875</v>
      </c>
      <c r="B1747" t="s">
        <v>2876</v>
      </c>
      <c r="C1747" s="1" t="s">
        <v>2791</v>
      </c>
      <c r="D1747" s="1" t="s">
        <v>2791</v>
      </c>
      <c r="E1747" s="1" t="s">
        <v>2791</v>
      </c>
      <c r="F1747" t="s">
        <v>2792</v>
      </c>
      <c r="G1747" t="s">
        <v>2793</v>
      </c>
      <c r="H1747" t="s">
        <v>121</v>
      </c>
      <c r="I1747" t="s">
        <v>2891</v>
      </c>
      <c r="J1747">
        <v>2.72</v>
      </c>
      <c r="K1747" t="e">
        <f>IF(COUNTIF(#REF!,Tabela2[[#This Row],[IdxWspolny]])&gt;0,"ELEM_lub_PRD","TECHN")</f>
        <v>#REF!</v>
      </c>
      <c r="L1747" t="e">
        <f>IF(COUNTIF(#REF!,Tabela2[[#This Row],[KOD_PRODUKTU]])&gt;0,"ELEMENT","PRODUKT")</f>
        <v>#REF!</v>
      </c>
      <c r="M1747" t="e">
        <f>COUNTIF(#REF!,Tabela2[[#This Row],[KOD_PRODUKTU]])</f>
        <v>#REF!</v>
      </c>
    </row>
    <row r="1748" spans="1:14" x14ac:dyDescent="0.25">
      <c r="A1748" s="1" t="s">
        <v>2875</v>
      </c>
      <c r="B1748" t="s">
        <v>2876</v>
      </c>
      <c r="C1748" s="1" t="s">
        <v>2738</v>
      </c>
      <c r="D1748" s="1" t="s">
        <v>2738</v>
      </c>
      <c r="E1748" s="1" t="s">
        <v>2738</v>
      </c>
      <c r="F1748" t="s">
        <v>2739</v>
      </c>
      <c r="G1748" t="s">
        <v>168</v>
      </c>
      <c r="H1748" t="s">
        <v>121</v>
      </c>
      <c r="I1748" t="s">
        <v>1371</v>
      </c>
      <c r="J1748">
        <v>0.21</v>
      </c>
      <c r="K1748" t="e">
        <f>IF(COUNTIF(#REF!,Tabela2[[#This Row],[IdxWspolny]])&gt;0,"ELEM_lub_PRD","TECHN")</f>
        <v>#REF!</v>
      </c>
      <c r="L1748" t="e">
        <f>IF(COUNTIF(#REF!,Tabela2[[#This Row],[KOD_PRODUKTU]])&gt;0,"ELEMENT","PRODUKT")</f>
        <v>#REF!</v>
      </c>
      <c r="M1748" t="e">
        <f>COUNTIF(#REF!,Tabela2[[#This Row],[KOD_PRODUKTU]])</f>
        <v>#REF!</v>
      </c>
    </row>
    <row r="1749" spans="1:14" x14ac:dyDescent="0.25">
      <c r="A1749" s="1" t="s">
        <v>2875</v>
      </c>
      <c r="B1749" t="s">
        <v>2876</v>
      </c>
      <c r="C1749" s="1" t="s">
        <v>2852</v>
      </c>
      <c r="D1749" s="1" t="s">
        <v>2852</v>
      </c>
      <c r="E1749" s="1" t="s">
        <v>2852</v>
      </c>
      <c r="F1749" t="s">
        <v>2853</v>
      </c>
      <c r="G1749" t="s">
        <v>2854</v>
      </c>
      <c r="H1749" t="s">
        <v>49</v>
      </c>
      <c r="I1749" t="s">
        <v>50</v>
      </c>
      <c r="J1749">
        <v>16</v>
      </c>
      <c r="K1749" t="e">
        <f>IF(COUNTIF(#REF!,Tabela2[[#This Row],[IdxWspolny]])&gt;0,"ELEM_lub_PRD","TECHN")</f>
        <v>#REF!</v>
      </c>
      <c r="L1749" t="e">
        <f>IF(COUNTIF(#REF!,Tabela2[[#This Row],[KOD_PRODUKTU]])&gt;0,"ELEMENT","PRODUKT")</f>
        <v>#REF!</v>
      </c>
      <c r="M1749" t="e">
        <f>COUNTIF(#REF!,Tabela2[[#This Row],[KOD_PRODUKTU]])</f>
        <v>#REF!</v>
      </c>
    </row>
    <row r="1750" spans="1:14" x14ac:dyDescent="0.25">
      <c r="A1750" s="1" t="s">
        <v>2875</v>
      </c>
      <c r="B1750" t="s">
        <v>2876</v>
      </c>
      <c r="C1750" s="1" t="s">
        <v>41</v>
      </c>
      <c r="D1750" s="1" t="s">
        <v>41</v>
      </c>
      <c r="E1750" s="1" t="s">
        <v>41</v>
      </c>
      <c r="F1750" t="s">
        <v>42</v>
      </c>
      <c r="G1750" t="s">
        <v>513</v>
      </c>
      <c r="H1750" t="s">
        <v>5</v>
      </c>
      <c r="I1750" t="s">
        <v>598</v>
      </c>
      <c r="J1750">
        <v>0.04</v>
      </c>
      <c r="K1750" t="e">
        <f>IF(COUNTIF(#REF!,Tabela2[[#This Row],[IdxWspolny]])&gt;0,"ELEM_lub_PRD","TECHN")</f>
        <v>#REF!</v>
      </c>
      <c r="L1750" t="e">
        <f>IF(COUNTIF(#REF!,Tabela2[[#This Row],[KOD_PRODUKTU]])&gt;0,"ELEMENT","PRODUKT")</f>
        <v>#REF!</v>
      </c>
      <c r="M1750" t="e">
        <f>COUNTIF(#REF!,Tabela2[[#This Row],[KOD_PRODUKTU]])</f>
        <v>#REF!</v>
      </c>
    </row>
    <row r="1751" spans="1:14" x14ac:dyDescent="0.25">
      <c r="A1751" s="1" t="s">
        <v>2875</v>
      </c>
      <c r="B1751" t="s">
        <v>2876</v>
      </c>
      <c r="C1751" s="1" t="s">
        <v>2892</v>
      </c>
      <c r="D1751" s="1" t="s">
        <v>2892</v>
      </c>
      <c r="E1751" s="1" t="s">
        <v>2892</v>
      </c>
      <c r="F1751" t="s">
        <v>2893</v>
      </c>
      <c r="G1751" t="s">
        <v>336</v>
      </c>
      <c r="H1751" t="s">
        <v>121</v>
      </c>
      <c r="I1751" t="s">
        <v>50</v>
      </c>
      <c r="J1751">
        <v>2.6</v>
      </c>
      <c r="K1751" t="e">
        <f>IF(COUNTIF(#REF!,Tabela2[[#This Row],[IdxWspolny]])&gt;0,"ELEM_lub_PRD","TECHN")</f>
        <v>#REF!</v>
      </c>
      <c r="L1751" t="e">
        <f>IF(COUNTIF(#REF!,Tabela2[[#This Row],[KOD_PRODUKTU]])&gt;0,"ELEMENT","PRODUKT")</f>
        <v>#REF!</v>
      </c>
      <c r="M1751" t="e">
        <f>COUNTIF(#REF!,Tabela2[[#This Row],[KOD_PRODUKTU]])</f>
        <v>#REF!</v>
      </c>
    </row>
    <row r="1752" spans="1:14" hidden="1" x14ac:dyDescent="0.25">
      <c r="A1752" s="1" t="s">
        <v>2875</v>
      </c>
      <c r="B1752" t="s">
        <v>2876</v>
      </c>
      <c r="C1752" s="1" t="s">
        <v>2894</v>
      </c>
      <c r="D1752" s="1" t="s">
        <v>2894</v>
      </c>
      <c r="E1752" s="1" t="s">
        <v>2894</v>
      </c>
      <c r="F1752" t="s">
        <v>2895</v>
      </c>
      <c r="G1752" t="s">
        <v>2896</v>
      </c>
      <c r="H1752" t="s">
        <v>49</v>
      </c>
      <c r="I1752" t="s">
        <v>50</v>
      </c>
      <c r="J1752">
        <v>414.36</v>
      </c>
      <c r="K1752" t="e">
        <f>IF(COUNTIF(#REF!,Tabela2[[#This Row],[IdxWspolny]])&gt;0,"ELEM_lub_PRD","TECHN")</f>
        <v>#REF!</v>
      </c>
      <c r="L1752" t="e">
        <f>IF(COUNTIF(#REF!,Tabela2[[#This Row],[KOD_PRODUKTU]])&gt;0,"ELEMENT","PRODUKT")</f>
        <v>#REF!</v>
      </c>
      <c r="M1752" t="e">
        <f>COUNTIF(#REF!,Tabela2[[#This Row],[KOD_PRODUKTU]])</f>
        <v>#REF!</v>
      </c>
      <c r="N1752" t="s">
        <v>55</v>
      </c>
    </row>
    <row r="1753" spans="1:14" hidden="1" x14ac:dyDescent="0.25">
      <c r="A1753" s="1" t="s">
        <v>2875</v>
      </c>
      <c r="B1753" t="s">
        <v>2876</v>
      </c>
      <c r="C1753" s="1" t="s">
        <v>2897</v>
      </c>
      <c r="D1753" s="1" t="s">
        <v>2897</v>
      </c>
      <c r="E1753" s="1" t="s">
        <v>2897</v>
      </c>
      <c r="F1753" t="s">
        <v>2898</v>
      </c>
      <c r="G1753" t="s">
        <v>2899</v>
      </c>
      <c r="H1753" t="s">
        <v>49</v>
      </c>
      <c r="I1753" t="s">
        <v>50</v>
      </c>
      <c r="J1753">
        <v>402.56</v>
      </c>
      <c r="K1753" t="e">
        <f>IF(COUNTIF(#REF!,Tabela2[[#This Row],[IdxWspolny]])&gt;0,"ELEM_lub_PRD","TECHN")</f>
        <v>#REF!</v>
      </c>
      <c r="L1753" t="e">
        <f>IF(COUNTIF(#REF!,Tabela2[[#This Row],[KOD_PRODUKTU]])&gt;0,"ELEMENT","PRODUKT")</f>
        <v>#REF!</v>
      </c>
      <c r="M1753" t="e">
        <f>COUNTIF(#REF!,Tabela2[[#This Row],[KOD_PRODUKTU]])</f>
        <v>#REF!</v>
      </c>
      <c r="N1753" t="s">
        <v>55</v>
      </c>
    </row>
    <row r="1754" spans="1:14" hidden="1" x14ac:dyDescent="0.25">
      <c r="A1754" s="1" t="s">
        <v>2875</v>
      </c>
      <c r="B1754" t="s">
        <v>2876</v>
      </c>
      <c r="C1754" s="1" t="s">
        <v>2900</v>
      </c>
      <c r="D1754" s="1" t="s">
        <v>2900</v>
      </c>
      <c r="E1754" s="1" t="s">
        <v>2900</v>
      </c>
      <c r="F1754" t="s">
        <v>2901</v>
      </c>
      <c r="G1754" t="s">
        <v>2902</v>
      </c>
      <c r="H1754" t="s">
        <v>49</v>
      </c>
      <c r="I1754" t="s">
        <v>50</v>
      </c>
      <c r="J1754">
        <v>69.44</v>
      </c>
      <c r="K1754" t="e">
        <f>IF(COUNTIF(#REF!,Tabela2[[#This Row],[IdxWspolny]])&gt;0,"ELEM_lub_PRD","TECHN")</f>
        <v>#REF!</v>
      </c>
      <c r="L1754" t="e">
        <f>IF(COUNTIF(#REF!,Tabela2[[#This Row],[KOD_PRODUKTU]])&gt;0,"ELEMENT","PRODUKT")</f>
        <v>#REF!</v>
      </c>
      <c r="M1754" t="e">
        <f>COUNTIF(#REF!,Tabela2[[#This Row],[KOD_PRODUKTU]])</f>
        <v>#REF!</v>
      </c>
      <c r="N1754" t="s">
        <v>55</v>
      </c>
    </row>
    <row r="1755" spans="1:14" hidden="1" x14ac:dyDescent="0.25">
      <c r="A1755" s="1" t="s">
        <v>2875</v>
      </c>
      <c r="B1755" t="s">
        <v>2876</v>
      </c>
      <c r="C1755" s="1" t="s">
        <v>2903</v>
      </c>
      <c r="D1755" s="1" t="s">
        <v>2903</v>
      </c>
      <c r="E1755" s="1" t="s">
        <v>2903</v>
      </c>
      <c r="F1755" t="s">
        <v>2904</v>
      </c>
      <c r="G1755" t="s">
        <v>2905</v>
      </c>
      <c r="H1755" t="s">
        <v>49</v>
      </c>
      <c r="I1755" t="s">
        <v>50</v>
      </c>
      <c r="J1755">
        <v>490.26</v>
      </c>
      <c r="K1755" t="e">
        <f>IF(COUNTIF(#REF!,Tabela2[[#This Row],[IdxWspolny]])&gt;0,"ELEM_lub_PRD","TECHN")</f>
        <v>#REF!</v>
      </c>
      <c r="L1755" t="e">
        <f>IF(COUNTIF(#REF!,Tabela2[[#This Row],[KOD_PRODUKTU]])&gt;0,"ELEMENT","PRODUKT")</f>
        <v>#REF!</v>
      </c>
      <c r="M1755" t="e">
        <f>COUNTIF(#REF!,Tabela2[[#This Row],[KOD_PRODUKTU]])</f>
        <v>#REF!</v>
      </c>
      <c r="N1755" t="s">
        <v>55</v>
      </c>
    </row>
    <row r="1756" spans="1:14" hidden="1" x14ac:dyDescent="0.25">
      <c r="A1756" s="1" t="s">
        <v>2875</v>
      </c>
      <c r="B1756" t="s">
        <v>2876</v>
      </c>
      <c r="C1756" s="1" t="s">
        <v>2906</v>
      </c>
      <c r="D1756" s="1" t="s">
        <v>2906</v>
      </c>
      <c r="E1756" s="1" t="s">
        <v>2906</v>
      </c>
      <c r="F1756" t="s">
        <v>2907</v>
      </c>
      <c r="G1756" t="s">
        <v>2908</v>
      </c>
      <c r="H1756" t="s">
        <v>49</v>
      </c>
      <c r="I1756" t="s">
        <v>92</v>
      </c>
      <c r="J1756">
        <v>383.84</v>
      </c>
      <c r="K1756" t="e">
        <f>IF(COUNTIF(#REF!,Tabela2[[#This Row],[IdxWspolny]])&gt;0,"ELEM_lub_PRD","TECHN")</f>
        <v>#REF!</v>
      </c>
      <c r="L1756" t="e">
        <f>IF(COUNTIF(#REF!,Tabela2[[#This Row],[KOD_PRODUKTU]])&gt;0,"ELEMENT","PRODUKT")</f>
        <v>#REF!</v>
      </c>
      <c r="M1756" t="e">
        <f>COUNTIF(#REF!,Tabela2[[#This Row],[KOD_PRODUKTU]])</f>
        <v>#REF!</v>
      </c>
      <c r="N1756" t="s">
        <v>55</v>
      </c>
    </row>
    <row r="1757" spans="1:14" hidden="1" x14ac:dyDescent="0.25">
      <c r="A1757" s="1" t="s">
        <v>2875</v>
      </c>
      <c r="B1757" t="s">
        <v>2876</v>
      </c>
      <c r="C1757" s="1" t="s">
        <v>2909</v>
      </c>
      <c r="D1757" s="1" t="s">
        <v>2909</v>
      </c>
      <c r="E1757" s="1" t="s">
        <v>2909</v>
      </c>
      <c r="F1757" t="s">
        <v>2910</v>
      </c>
      <c r="G1757" t="s">
        <v>2857</v>
      </c>
      <c r="H1757" t="s">
        <v>49</v>
      </c>
      <c r="I1757" t="s">
        <v>50</v>
      </c>
      <c r="J1757">
        <v>5.94</v>
      </c>
      <c r="K1757" t="e">
        <f>IF(COUNTIF(#REF!,Tabela2[[#This Row],[IdxWspolny]])&gt;0,"ELEM_lub_PRD","TECHN")</f>
        <v>#REF!</v>
      </c>
      <c r="L1757" t="e">
        <f>IF(COUNTIF(#REF!,Tabela2[[#This Row],[KOD_PRODUKTU]])&gt;0,"ELEMENT","PRODUKT")</f>
        <v>#REF!</v>
      </c>
      <c r="M1757" t="e">
        <f>COUNTIF(#REF!,Tabela2[[#This Row],[KOD_PRODUKTU]])</f>
        <v>#REF!</v>
      </c>
      <c r="N1757" t="s">
        <v>55</v>
      </c>
    </row>
    <row r="1758" spans="1:14" x14ac:dyDescent="0.25">
      <c r="A1758" s="1" t="s">
        <v>2875</v>
      </c>
      <c r="B1758" t="s">
        <v>2876</v>
      </c>
      <c r="C1758" s="1" t="s">
        <v>541</v>
      </c>
      <c r="D1758" s="1" t="s">
        <v>541</v>
      </c>
      <c r="E1758" s="1" t="s">
        <v>541</v>
      </c>
      <c r="F1758" t="s">
        <v>542</v>
      </c>
      <c r="G1758" t="s">
        <v>9</v>
      </c>
      <c r="H1758" t="s">
        <v>10</v>
      </c>
      <c r="I1758" t="s">
        <v>860</v>
      </c>
      <c r="J1758">
        <v>23</v>
      </c>
      <c r="K1758" t="e">
        <f>IF(COUNTIF(#REF!,Tabela2[[#This Row],[IdxWspolny]])&gt;0,"ELEM_lub_PRD","TECHN")</f>
        <v>#REF!</v>
      </c>
      <c r="L1758" t="e">
        <f>IF(COUNTIF(#REF!,Tabela2[[#This Row],[KOD_PRODUKTU]])&gt;0,"ELEMENT","PRODUKT")</f>
        <v>#REF!</v>
      </c>
      <c r="M1758" t="e">
        <f>COUNTIF(#REF!,Tabela2[[#This Row],[KOD_PRODUKTU]])</f>
        <v>#REF!</v>
      </c>
    </row>
    <row r="1759" spans="1:14" x14ac:dyDescent="0.25">
      <c r="A1759" s="1" t="s">
        <v>2875</v>
      </c>
      <c r="B1759" t="s">
        <v>2876</v>
      </c>
      <c r="C1759" s="1" t="s">
        <v>541</v>
      </c>
      <c r="D1759" s="1" t="s">
        <v>541</v>
      </c>
      <c r="E1759" s="1" t="s">
        <v>541</v>
      </c>
      <c r="F1759" t="s">
        <v>542</v>
      </c>
      <c r="G1759" t="s">
        <v>9</v>
      </c>
      <c r="H1759" t="s">
        <v>10</v>
      </c>
      <c r="I1759" t="s">
        <v>2911</v>
      </c>
      <c r="J1759">
        <v>137.22999999999999</v>
      </c>
      <c r="K1759" t="e">
        <f>IF(COUNTIF(#REF!,Tabela2[[#This Row],[IdxWspolny]])&gt;0,"ELEM_lub_PRD","TECHN")</f>
        <v>#REF!</v>
      </c>
      <c r="L1759" t="e">
        <f>IF(COUNTIF(#REF!,Tabela2[[#This Row],[KOD_PRODUKTU]])&gt;0,"ELEMENT","PRODUKT")</f>
        <v>#REF!</v>
      </c>
      <c r="M1759" t="e">
        <f>COUNTIF(#REF!,Tabela2[[#This Row],[KOD_PRODUKTU]])</f>
        <v>#REF!</v>
      </c>
    </row>
    <row r="1760" spans="1:14" x14ac:dyDescent="0.25">
      <c r="A1760" s="1" t="s">
        <v>2912</v>
      </c>
      <c r="B1760" t="s">
        <v>2392</v>
      </c>
      <c r="C1760" s="1" t="s">
        <v>2913</v>
      </c>
      <c r="D1760" s="1" t="s">
        <v>2913</v>
      </c>
      <c r="E1760" s="1" t="s">
        <v>2913</v>
      </c>
      <c r="F1760" t="s">
        <v>2914</v>
      </c>
      <c r="G1760" t="s">
        <v>2915</v>
      </c>
      <c r="H1760" t="s">
        <v>1857</v>
      </c>
      <c r="I1760" t="s">
        <v>1253</v>
      </c>
      <c r="J1760">
        <v>0.03</v>
      </c>
      <c r="K1760" t="e">
        <f>IF(COUNTIF(#REF!,Tabela2[[#This Row],[IdxWspolny]])&gt;0,"ELEM_lub_PRD","TECHN")</f>
        <v>#REF!</v>
      </c>
      <c r="L1760" t="e">
        <f>IF(COUNTIF(#REF!,Tabela2[[#This Row],[KOD_PRODUKTU]])&gt;0,"ELEMENT","PRODUKT")</f>
        <v>#REF!</v>
      </c>
      <c r="M1760" t="e">
        <f>COUNTIF(#REF!,Tabela2[[#This Row],[KOD_PRODUKTU]])</f>
        <v>#REF!</v>
      </c>
    </row>
    <row r="1761" spans="1:14" x14ac:dyDescent="0.25">
      <c r="A1761" s="1" t="s">
        <v>2912</v>
      </c>
      <c r="B1761" t="s">
        <v>2392</v>
      </c>
      <c r="C1761" s="1" t="s">
        <v>2688</v>
      </c>
      <c r="D1761" s="1" t="s">
        <v>2688</v>
      </c>
      <c r="E1761" s="1" t="s">
        <v>2688</v>
      </c>
      <c r="F1761" t="s">
        <v>2689</v>
      </c>
      <c r="G1761" t="s">
        <v>2690</v>
      </c>
      <c r="H1761" t="s">
        <v>39</v>
      </c>
      <c r="I1761" t="s">
        <v>447</v>
      </c>
      <c r="J1761">
        <v>0.33</v>
      </c>
      <c r="K1761" t="e">
        <f>IF(COUNTIF(#REF!,Tabela2[[#This Row],[IdxWspolny]])&gt;0,"ELEM_lub_PRD","TECHN")</f>
        <v>#REF!</v>
      </c>
      <c r="L1761" t="e">
        <f>IF(COUNTIF(#REF!,Tabela2[[#This Row],[KOD_PRODUKTU]])&gt;0,"ELEMENT","PRODUKT")</f>
        <v>#REF!</v>
      </c>
      <c r="M1761" t="e">
        <f>COUNTIF(#REF!,Tabela2[[#This Row],[KOD_PRODUKTU]])</f>
        <v>#REF!</v>
      </c>
    </row>
    <row r="1762" spans="1:14" x14ac:dyDescent="0.25">
      <c r="A1762" s="1" t="s">
        <v>2912</v>
      </c>
      <c r="B1762" t="s">
        <v>2392</v>
      </c>
      <c r="C1762" s="1" t="s">
        <v>649</v>
      </c>
      <c r="D1762" s="1" t="s">
        <v>649</v>
      </c>
      <c r="E1762" s="1" t="s">
        <v>649</v>
      </c>
      <c r="F1762" t="s">
        <v>650</v>
      </c>
      <c r="G1762" t="s">
        <v>2303</v>
      </c>
      <c r="H1762" t="s">
        <v>39</v>
      </c>
      <c r="I1762" t="s">
        <v>40</v>
      </c>
      <c r="J1762">
        <v>0.09</v>
      </c>
      <c r="K1762" t="e">
        <f>IF(COUNTIF(#REF!,Tabela2[[#This Row],[IdxWspolny]])&gt;0,"ELEM_lub_PRD","TECHN")</f>
        <v>#REF!</v>
      </c>
      <c r="L1762" t="e">
        <f>IF(COUNTIF(#REF!,Tabela2[[#This Row],[KOD_PRODUKTU]])&gt;0,"ELEMENT","PRODUKT")</f>
        <v>#REF!</v>
      </c>
      <c r="M1762" t="e">
        <f>COUNTIF(#REF!,Tabela2[[#This Row],[KOD_PRODUKTU]])</f>
        <v>#REF!</v>
      </c>
    </row>
    <row r="1763" spans="1:14" x14ac:dyDescent="0.25">
      <c r="A1763" s="1" t="s">
        <v>2912</v>
      </c>
      <c r="B1763" t="s">
        <v>2392</v>
      </c>
      <c r="C1763" s="1" t="s">
        <v>2691</v>
      </c>
      <c r="D1763" s="1" t="s">
        <v>2691</v>
      </c>
      <c r="E1763" s="1" t="s">
        <v>2691</v>
      </c>
      <c r="F1763" t="s">
        <v>2692</v>
      </c>
      <c r="G1763" t="s">
        <v>2916</v>
      </c>
      <c r="H1763" t="s">
        <v>1965</v>
      </c>
      <c r="I1763" t="s">
        <v>40</v>
      </c>
      <c r="J1763">
        <v>0.03</v>
      </c>
      <c r="K1763" t="e">
        <f>IF(COUNTIF(#REF!,Tabela2[[#This Row],[IdxWspolny]])&gt;0,"ELEM_lub_PRD","TECHN")</f>
        <v>#REF!</v>
      </c>
      <c r="L1763" t="e">
        <f>IF(COUNTIF(#REF!,Tabela2[[#This Row],[KOD_PRODUKTU]])&gt;0,"ELEMENT","PRODUKT")</f>
        <v>#REF!</v>
      </c>
      <c r="M1763" t="e">
        <f>COUNTIF(#REF!,Tabela2[[#This Row],[KOD_PRODUKTU]])</f>
        <v>#REF!</v>
      </c>
    </row>
    <row r="1764" spans="1:14" x14ac:dyDescent="0.25">
      <c r="A1764" s="1" t="s">
        <v>2912</v>
      </c>
      <c r="B1764" t="s">
        <v>2392</v>
      </c>
      <c r="C1764" s="1" t="s">
        <v>2694</v>
      </c>
      <c r="D1764" s="1" t="s">
        <v>2694</v>
      </c>
      <c r="E1764" s="1" t="s">
        <v>2694</v>
      </c>
      <c r="F1764" t="s">
        <v>2695</v>
      </c>
      <c r="G1764" t="s">
        <v>2112</v>
      </c>
      <c r="H1764" t="s">
        <v>39</v>
      </c>
      <c r="I1764" t="s">
        <v>40</v>
      </c>
      <c r="J1764">
        <v>0.16</v>
      </c>
      <c r="K1764" t="e">
        <f>IF(COUNTIF(#REF!,Tabela2[[#This Row],[IdxWspolny]])&gt;0,"ELEM_lub_PRD","TECHN")</f>
        <v>#REF!</v>
      </c>
      <c r="L1764" t="e">
        <f>IF(COUNTIF(#REF!,Tabela2[[#This Row],[KOD_PRODUKTU]])&gt;0,"ELEMENT","PRODUKT")</f>
        <v>#REF!</v>
      </c>
      <c r="M1764" t="e">
        <f>COUNTIF(#REF!,Tabela2[[#This Row],[KOD_PRODUKTU]])</f>
        <v>#REF!</v>
      </c>
    </row>
    <row r="1765" spans="1:14" x14ac:dyDescent="0.25">
      <c r="A1765" s="1" t="s">
        <v>2912</v>
      </c>
      <c r="B1765" t="s">
        <v>2392</v>
      </c>
      <c r="C1765" s="1" t="s">
        <v>2343</v>
      </c>
      <c r="D1765" s="1" t="s">
        <v>2343</v>
      </c>
      <c r="E1765" s="1" t="s">
        <v>2343</v>
      </c>
      <c r="F1765" t="s">
        <v>2344</v>
      </c>
      <c r="G1765" t="s">
        <v>2345</v>
      </c>
      <c r="H1765" t="s">
        <v>39</v>
      </c>
      <c r="I1765" t="s">
        <v>40</v>
      </c>
      <c r="J1765">
        <v>0.05</v>
      </c>
      <c r="K1765" t="e">
        <f>IF(COUNTIF(#REF!,Tabela2[[#This Row],[IdxWspolny]])&gt;0,"ELEM_lub_PRD","TECHN")</f>
        <v>#REF!</v>
      </c>
      <c r="L1765" t="e">
        <f>IF(COUNTIF(#REF!,Tabela2[[#This Row],[KOD_PRODUKTU]])&gt;0,"ELEMENT","PRODUKT")</f>
        <v>#REF!</v>
      </c>
      <c r="M1765" t="e">
        <f>COUNTIF(#REF!,Tabela2[[#This Row],[KOD_PRODUKTU]])</f>
        <v>#REF!</v>
      </c>
    </row>
    <row r="1766" spans="1:14" x14ac:dyDescent="0.25">
      <c r="A1766" s="1" t="s">
        <v>2912</v>
      </c>
      <c r="B1766" t="s">
        <v>2392</v>
      </c>
      <c r="C1766" s="1" t="s">
        <v>2917</v>
      </c>
      <c r="D1766" s="1" t="s">
        <v>2917</v>
      </c>
      <c r="E1766" s="1" t="s">
        <v>2917</v>
      </c>
      <c r="F1766" t="s">
        <v>2918</v>
      </c>
      <c r="G1766" t="s">
        <v>2346</v>
      </c>
      <c r="H1766" t="s">
        <v>121</v>
      </c>
      <c r="I1766" t="s">
        <v>50</v>
      </c>
      <c r="J1766">
        <v>0.45</v>
      </c>
      <c r="K1766" t="e">
        <f>IF(COUNTIF(#REF!,Tabela2[[#This Row],[IdxWspolny]])&gt;0,"ELEM_lub_PRD","TECHN")</f>
        <v>#REF!</v>
      </c>
      <c r="L1766" t="e">
        <f>IF(COUNTIF(#REF!,Tabela2[[#This Row],[KOD_PRODUKTU]])&gt;0,"ELEMENT","PRODUKT")</f>
        <v>#REF!</v>
      </c>
      <c r="M1766" t="e">
        <f>COUNTIF(#REF!,Tabela2[[#This Row],[KOD_PRODUKTU]])</f>
        <v>#REF!</v>
      </c>
    </row>
    <row r="1767" spans="1:14" x14ac:dyDescent="0.25">
      <c r="A1767" s="1" t="s">
        <v>2912</v>
      </c>
      <c r="B1767" t="s">
        <v>2392</v>
      </c>
      <c r="C1767" s="1" t="s">
        <v>2919</v>
      </c>
      <c r="D1767" s="1" t="s">
        <v>2919</v>
      </c>
      <c r="E1767" s="1" t="s">
        <v>2919</v>
      </c>
      <c r="F1767" t="s">
        <v>2920</v>
      </c>
      <c r="G1767" t="s">
        <v>2921</v>
      </c>
      <c r="H1767" t="s">
        <v>49</v>
      </c>
      <c r="I1767" t="s">
        <v>50</v>
      </c>
      <c r="J1767">
        <v>1.9</v>
      </c>
      <c r="K1767" t="e">
        <f>IF(COUNTIF(#REF!,Tabela2[[#This Row],[IdxWspolny]])&gt;0,"ELEM_lub_PRD","TECHN")</f>
        <v>#REF!</v>
      </c>
      <c r="L1767" t="e">
        <f>IF(COUNTIF(#REF!,Tabela2[[#This Row],[KOD_PRODUKTU]])&gt;0,"ELEMENT","PRODUKT")</f>
        <v>#REF!</v>
      </c>
      <c r="M1767" t="e">
        <f>COUNTIF(#REF!,Tabela2[[#This Row],[KOD_PRODUKTU]])</f>
        <v>#REF!</v>
      </c>
    </row>
    <row r="1768" spans="1:14" x14ac:dyDescent="0.25">
      <c r="A1768" s="1" t="s">
        <v>2912</v>
      </c>
      <c r="B1768" t="s">
        <v>2392</v>
      </c>
      <c r="C1768" s="1" t="s">
        <v>2922</v>
      </c>
      <c r="D1768" s="1" t="s">
        <v>2922</v>
      </c>
      <c r="E1768" s="1" t="s">
        <v>2922</v>
      </c>
      <c r="F1768" t="s">
        <v>2923</v>
      </c>
      <c r="G1768" t="s">
        <v>1009</v>
      </c>
      <c r="H1768" t="s">
        <v>49</v>
      </c>
      <c r="I1768" t="s">
        <v>50</v>
      </c>
      <c r="J1768">
        <v>0.25</v>
      </c>
      <c r="K1768" t="e">
        <f>IF(COUNTIF(#REF!,Tabela2[[#This Row],[IdxWspolny]])&gt;0,"ELEM_lub_PRD","TECHN")</f>
        <v>#REF!</v>
      </c>
      <c r="L1768" t="e">
        <f>IF(COUNTIF(#REF!,Tabela2[[#This Row],[KOD_PRODUKTU]])&gt;0,"ELEMENT","PRODUKT")</f>
        <v>#REF!</v>
      </c>
      <c r="M1768" t="e">
        <f>COUNTIF(#REF!,Tabela2[[#This Row],[KOD_PRODUKTU]])</f>
        <v>#REF!</v>
      </c>
    </row>
    <row r="1769" spans="1:14" x14ac:dyDescent="0.25">
      <c r="A1769" s="1" t="s">
        <v>2912</v>
      </c>
      <c r="B1769" t="s">
        <v>2392</v>
      </c>
      <c r="C1769" s="1" t="s">
        <v>2922</v>
      </c>
      <c r="D1769" s="1" t="s">
        <v>2922</v>
      </c>
      <c r="E1769" s="1" t="s">
        <v>2922</v>
      </c>
      <c r="F1769" t="s">
        <v>2923</v>
      </c>
      <c r="G1769" t="s">
        <v>1009</v>
      </c>
      <c r="H1769" t="s">
        <v>49</v>
      </c>
      <c r="I1769" t="s">
        <v>50</v>
      </c>
      <c r="J1769">
        <v>0.25</v>
      </c>
      <c r="K1769" t="e">
        <f>IF(COUNTIF(#REF!,Tabela2[[#This Row],[IdxWspolny]])&gt;0,"ELEM_lub_PRD","TECHN")</f>
        <v>#REF!</v>
      </c>
      <c r="L1769" t="e">
        <f>IF(COUNTIF(#REF!,Tabela2[[#This Row],[KOD_PRODUKTU]])&gt;0,"ELEMENT","PRODUKT")</f>
        <v>#REF!</v>
      </c>
      <c r="M1769" t="e">
        <f>COUNTIF(#REF!,Tabela2[[#This Row],[KOD_PRODUKTU]])</f>
        <v>#REF!</v>
      </c>
    </row>
    <row r="1770" spans="1:14" hidden="1" x14ac:dyDescent="0.25">
      <c r="A1770" s="1" t="s">
        <v>2912</v>
      </c>
      <c r="B1770" t="s">
        <v>2392</v>
      </c>
      <c r="C1770" s="1" t="s">
        <v>2055</v>
      </c>
      <c r="D1770" s="1" t="s">
        <v>2056</v>
      </c>
      <c r="E1770" s="1" t="s">
        <v>2056</v>
      </c>
      <c r="F1770" t="s">
        <v>2057</v>
      </c>
      <c r="G1770" t="s">
        <v>2058</v>
      </c>
      <c r="H1770" t="s">
        <v>49</v>
      </c>
      <c r="I1770" t="s">
        <v>50</v>
      </c>
      <c r="J1770">
        <v>4.3499999999999996</v>
      </c>
      <c r="K1770" t="e">
        <f>IF(COUNTIF(#REF!,Tabela2[[#This Row],[IdxWspolny]])&gt;0,"ELEM_lub_PRD","TECHN")</f>
        <v>#REF!</v>
      </c>
      <c r="L1770" t="e">
        <f>IF(COUNTIF(#REF!,Tabela2[[#This Row],[KOD_PRODUKTU]])&gt;0,"ELEMENT","PRODUKT")</f>
        <v>#REF!</v>
      </c>
      <c r="M1770" t="e">
        <f>COUNTIF(#REF!,Tabela2[[#This Row],[KOD_PRODUKTU]])</f>
        <v>#REF!</v>
      </c>
      <c r="N1770" t="s">
        <v>51</v>
      </c>
    </row>
    <row r="1771" spans="1:14" hidden="1" x14ac:dyDescent="0.25">
      <c r="A1771" s="1" t="s">
        <v>2912</v>
      </c>
      <c r="B1771" t="s">
        <v>2392</v>
      </c>
      <c r="C1771" s="1" t="s">
        <v>2059</v>
      </c>
      <c r="D1771" s="1" t="s">
        <v>2060</v>
      </c>
      <c r="E1771" s="1" t="s">
        <v>2060</v>
      </c>
      <c r="F1771" t="s">
        <v>2061</v>
      </c>
      <c r="G1771" t="s">
        <v>2062</v>
      </c>
      <c r="H1771" t="s">
        <v>49</v>
      </c>
      <c r="I1771" t="s">
        <v>50</v>
      </c>
      <c r="J1771">
        <v>17.149999999999999</v>
      </c>
      <c r="K1771" t="e">
        <f>IF(COUNTIF(#REF!,Tabela2[[#This Row],[IdxWspolny]])&gt;0,"ELEM_lub_PRD","TECHN")</f>
        <v>#REF!</v>
      </c>
      <c r="L1771" t="e">
        <f>IF(COUNTIF(#REF!,Tabela2[[#This Row],[KOD_PRODUKTU]])&gt;0,"ELEMENT","PRODUKT")</f>
        <v>#REF!</v>
      </c>
      <c r="M1771" t="e">
        <f>COUNTIF(#REF!,Tabela2[[#This Row],[KOD_PRODUKTU]])</f>
        <v>#REF!</v>
      </c>
      <c r="N1771" t="s">
        <v>51</v>
      </c>
    </row>
    <row r="1772" spans="1:14" x14ac:dyDescent="0.25">
      <c r="A1772" s="1" t="s">
        <v>2912</v>
      </c>
      <c r="B1772" t="s">
        <v>2392</v>
      </c>
      <c r="C1772" s="1" t="s">
        <v>7</v>
      </c>
      <c r="D1772" s="1" t="s">
        <v>7</v>
      </c>
      <c r="E1772" s="1" t="s">
        <v>7</v>
      </c>
      <c r="F1772" t="s">
        <v>8</v>
      </c>
      <c r="G1772" t="s">
        <v>9</v>
      </c>
      <c r="H1772" t="s">
        <v>10</v>
      </c>
      <c r="I1772" t="s">
        <v>607</v>
      </c>
      <c r="J1772">
        <v>18.399999999999999</v>
      </c>
      <c r="K1772" t="e">
        <f>IF(COUNTIF(#REF!,Tabela2[[#This Row],[IdxWspolny]])&gt;0,"ELEM_lub_PRD","TECHN")</f>
        <v>#REF!</v>
      </c>
      <c r="L1772" t="e">
        <f>IF(COUNTIF(#REF!,Tabela2[[#This Row],[KOD_PRODUKTU]])&gt;0,"ELEMENT","PRODUKT")</f>
        <v>#REF!</v>
      </c>
      <c r="M1772" t="e">
        <f>COUNTIF(#REF!,Tabela2[[#This Row],[KOD_PRODUKTU]])</f>
        <v>#REF!</v>
      </c>
    </row>
    <row r="1773" spans="1:14" x14ac:dyDescent="0.25">
      <c r="A1773" s="1" t="s">
        <v>2924</v>
      </c>
      <c r="B1773" t="s">
        <v>2925</v>
      </c>
      <c r="C1773" s="1" t="s">
        <v>1047</v>
      </c>
      <c r="D1773" s="1" t="s">
        <v>1047</v>
      </c>
      <c r="E1773" s="1" t="s">
        <v>1047</v>
      </c>
      <c r="F1773" t="s">
        <v>1048</v>
      </c>
      <c r="G1773" t="s">
        <v>1434</v>
      </c>
      <c r="H1773" t="s">
        <v>17</v>
      </c>
      <c r="I1773" t="s">
        <v>2926</v>
      </c>
      <c r="J1773">
        <v>20.81</v>
      </c>
      <c r="K1773" t="e">
        <f>IF(COUNTIF(#REF!,Tabela2[[#This Row],[IdxWspolny]])&gt;0,"ELEM_lub_PRD","TECHN")</f>
        <v>#REF!</v>
      </c>
      <c r="L1773" t="e">
        <f>IF(COUNTIF(#REF!,Tabela2[[#This Row],[KOD_PRODUKTU]])&gt;0,"ELEMENT","PRODUKT")</f>
        <v>#REF!</v>
      </c>
      <c r="M1773" t="e">
        <f>COUNTIF(#REF!,Tabela2[[#This Row],[KOD_PRODUKTU]])</f>
        <v>#REF!</v>
      </c>
    </row>
    <row r="1774" spans="1:14" x14ac:dyDescent="0.25">
      <c r="A1774" s="1" t="s">
        <v>2924</v>
      </c>
      <c r="B1774" t="s">
        <v>2925</v>
      </c>
      <c r="C1774" s="1" t="s">
        <v>7</v>
      </c>
      <c r="D1774" s="1" t="s">
        <v>7</v>
      </c>
      <c r="E1774" s="1" t="s">
        <v>7</v>
      </c>
      <c r="F1774" t="s">
        <v>8</v>
      </c>
      <c r="G1774" t="s">
        <v>9</v>
      </c>
      <c r="H1774" t="s">
        <v>10</v>
      </c>
      <c r="I1774" t="s">
        <v>19</v>
      </c>
      <c r="J1774">
        <v>4.5999999999999996</v>
      </c>
      <c r="K1774" t="e">
        <f>IF(COUNTIF(#REF!,Tabela2[[#This Row],[IdxWspolny]])&gt;0,"ELEM_lub_PRD","TECHN")</f>
        <v>#REF!</v>
      </c>
      <c r="L1774" t="e">
        <f>IF(COUNTIF(#REF!,Tabela2[[#This Row],[KOD_PRODUKTU]])&gt;0,"ELEMENT","PRODUKT")</f>
        <v>#REF!</v>
      </c>
      <c r="M1774" t="e">
        <f>COUNTIF(#REF!,Tabela2[[#This Row],[KOD_PRODUKTU]])</f>
        <v>#REF!</v>
      </c>
    </row>
    <row r="1775" spans="1:14" x14ac:dyDescent="0.25">
      <c r="A1775" s="1" t="s">
        <v>2927</v>
      </c>
      <c r="B1775" t="s">
        <v>2928</v>
      </c>
      <c r="C1775" s="1" t="s">
        <v>1047</v>
      </c>
      <c r="D1775" s="1" t="s">
        <v>1047</v>
      </c>
      <c r="E1775" s="1" t="s">
        <v>1047</v>
      </c>
      <c r="F1775" t="s">
        <v>1048</v>
      </c>
      <c r="G1775" t="s">
        <v>1434</v>
      </c>
      <c r="H1775" t="s">
        <v>17</v>
      </c>
      <c r="I1775" t="s">
        <v>2929</v>
      </c>
      <c r="J1775">
        <v>16.77</v>
      </c>
      <c r="K1775" t="e">
        <f>IF(COUNTIF(#REF!,Tabela2[[#This Row],[IdxWspolny]])&gt;0,"ELEM_lub_PRD","TECHN")</f>
        <v>#REF!</v>
      </c>
      <c r="L1775" t="e">
        <f>IF(COUNTIF(#REF!,Tabela2[[#This Row],[KOD_PRODUKTU]])&gt;0,"ELEMENT","PRODUKT")</f>
        <v>#REF!</v>
      </c>
      <c r="M1775" t="e">
        <f>COUNTIF(#REF!,Tabela2[[#This Row],[KOD_PRODUKTU]])</f>
        <v>#REF!</v>
      </c>
    </row>
    <row r="1776" spans="1:14" x14ac:dyDescent="0.25">
      <c r="A1776" s="1" t="s">
        <v>2927</v>
      </c>
      <c r="B1776" t="s">
        <v>2928</v>
      </c>
      <c r="C1776" s="1" t="s">
        <v>7</v>
      </c>
      <c r="D1776" s="1" t="s">
        <v>7</v>
      </c>
      <c r="E1776" s="1" t="s">
        <v>7</v>
      </c>
      <c r="F1776" t="s">
        <v>8</v>
      </c>
      <c r="G1776" t="s">
        <v>9</v>
      </c>
      <c r="H1776" t="s">
        <v>10</v>
      </c>
      <c r="I1776" t="s">
        <v>19</v>
      </c>
      <c r="J1776">
        <v>4.5999999999999996</v>
      </c>
      <c r="K1776" t="e">
        <f>IF(COUNTIF(#REF!,Tabela2[[#This Row],[IdxWspolny]])&gt;0,"ELEM_lub_PRD","TECHN")</f>
        <v>#REF!</v>
      </c>
      <c r="L1776" t="e">
        <f>IF(COUNTIF(#REF!,Tabela2[[#This Row],[KOD_PRODUKTU]])&gt;0,"ELEMENT","PRODUKT")</f>
        <v>#REF!</v>
      </c>
      <c r="M1776" t="e">
        <f>COUNTIF(#REF!,Tabela2[[#This Row],[KOD_PRODUKTU]])</f>
        <v>#REF!</v>
      </c>
    </row>
    <row r="1777" spans="1:13" x14ac:dyDescent="0.25">
      <c r="A1777" s="1" t="s">
        <v>2930</v>
      </c>
      <c r="B1777" t="s">
        <v>2931</v>
      </c>
      <c r="C1777" s="1" t="s">
        <v>1047</v>
      </c>
      <c r="D1777" s="1" t="s">
        <v>1047</v>
      </c>
      <c r="E1777" s="1" t="s">
        <v>1047</v>
      </c>
      <c r="F1777" t="s">
        <v>1048</v>
      </c>
      <c r="G1777" t="s">
        <v>1434</v>
      </c>
      <c r="H1777" t="s">
        <v>17</v>
      </c>
      <c r="I1777" t="s">
        <v>2932</v>
      </c>
      <c r="J1777">
        <v>3.47</v>
      </c>
      <c r="K1777" t="e">
        <f>IF(COUNTIF(#REF!,Tabela2[[#This Row],[IdxWspolny]])&gt;0,"ELEM_lub_PRD","TECHN")</f>
        <v>#REF!</v>
      </c>
      <c r="L1777" t="e">
        <f>IF(COUNTIF(#REF!,Tabela2[[#This Row],[KOD_PRODUKTU]])&gt;0,"ELEMENT","PRODUKT")</f>
        <v>#REF!</v>
      </c>
      <c r="M1777" t="e">
        <f>COUNTIF(#REF!,Tabela2[[#This Row],[KOD_PRODUKTU]])</f>
        <v>#REF!</v>
      </c>
    </row>
    <row r="1778" spans="1:13" x14ac:dyDescent="0.25">
      <c r="A1778" s="1" t="s">
        <v>2930</v>
      </c>
      <c r="B1778" t="s">
        <v>2931</v>
      </c>
      <c r="C1778" s="1" t="s">
        <v>7</v>
      </c>
      <c r="D1778" s="1" t="s">
        <v>7</v>
      </c>
      <c r="E1778" s="1" t="s">
        <v>7</v>
      </c>
      <c r="F1778" t="s">
        <v>8</v>
      </c>
      <c r="G1778" t="s">
        <v>9</v>
      </c>
      <c r="H1778" t="s">
        <v>10</v>
      </c>
      <c r="I1778" t="s">
        <v>19</v>
      </c>
      <c r="J1778">
        <v>4.5999999999999996</v>
      </c>
      <c r="K1778" t="e">
        <f>IF(COUNTIF(#REF!,Tabela2[[#This Row],[IdxWspolny]])&gt;0,"ELEM_lub_PRD","TECHN")</f>
        <v>#REF!</v>
      </c>
      <c r="L1778" t="e">
        <f>IF(COUNTIF(#REF!,Tabela2[[#This Row],[KOD_PRODUKTU]])&gt;0,"ELEMENT","PRODUKT")</f>
        <v>#REF!</v>
      </c>
      <c r="M1778" t="e">
        <f>COUNTIF(#REF!,Tabela2[[#This Row],[KOD_PRODUKTU]])</f>
        <v>#REF!</v>
      </c>
    </row>
    <row r="1779" spans="1:13" x14ac:dyDescent="0.25">
      <c r="A1779" s="1" t="s">
        <v>2933</v>
      </c>
      <c r="B1779" t="s">
        <v>2934</v>
      </c>
      <c r="C1779" s="1" t="s">
        <v>1743</v>
      </c>
      <c r="D1779" s="1" t="s">
        <v>1743</v>
      </c>
      <c r="E1779" s="1" t="s">
        <v>1743</v>
      </c>
      <c r="F1779" t="s">
        <v>1744</v>
      </c>
      <c r="G1779" t="s">
        <v>1354</v>
      </c>
      <c r="H1779" t="s">
        <v>5</v>
      </c>
      <c r="I1779" t="s">
        <v>2935</v>
      </c>
      <c r="J1779">
        <v>9.1</v>
      </c>
      <c r="K1779" t="e">
        <f>IF(COUNTIF(#REF!,Tabela2[[#This Row],[IdxWspolny]])&gt;0,"ELEM_lub_PRD","TECHN")</f>
        <v>#REF!</v>
      </c>
      <c r="L1779" t="e">
        <f>IF(COUNTIF(#REF!,Tabela2[[#This Row],[KOD_PRODUKTU]])&gt;0,"ELEMENT","PRODUKT")</f>
        <v>#REF!</v>
      </c>
      <c r="M1779" t="e">
        <f>COUNTIF(#REF!,Tabela2[[#This Row],[KOD_PRODUKTU]])</f>
        <v>#REF!</v>
      </c>
    </row>
    <row r="1780" spans="1:13" x14ac:dyDescent="0.25">
      <c r="A1780" s="1" t="s">
        <v>2933</v>
      </c>
      <c r="B1780" t="s">
        <v>2934</v>
      </c>
      <c r="C1780" s="1" t="s">
        <v>7</v>
      </c>
      <c r="D1780" s="1" t="s">
        <v>7</v>
      </c>
      <c r="E1780" s="1" t="s">
        <v>7</v>
      </c>
      <c r="F1780" t="s">
        <v>8</v>
      </c>
      <c r="G1780" t="s">
        <v>9</v>
      </c>
      <c r="H1780" t="s">
        <v>10</v>
      </c>
      <c r="I1780" t="s">
        <v>523</v>
      </c>
      <c r="J1780">
        <v>17</v>
      </c>
      <c r="K1780" t="e">
        <f>IF(COUNTIF(#REF!,Tabela2[[#This Row],[IdxWspolny]])&gt;0,"ELEM_lub_PRD","TECHN")</f>
        <v>#REF!</v>
      </c>
      <c r="L1780" t="e">
        <f>IF(COUNTIF(#REF!,Tabela2[[#This Row],[KOD_PRODUKTU]])&gt;0,"ELEMENT","PRODUKT")</f>
        <v>#REF!</v>
      </c>
      <c r="M1780" t="e">
        <f>COUNTIF(#REF!,Tabela2[[#This Row],[KOD_PRODUKTU]])</f>
        <v>#REF!</v>
      </c>
    </row>
    <row r="1781" spans="1:13" x14ac:dyDescent="0.25">
      <c r="A1781" s="1" t="s">
        <v>2936</v>
      </c>
      <c r="B1781" t="s">
        <v>2937</v>
      </c>
      <c r="C1781" s="1" t="s">
        <v>1743</v>
      </c>
      <c r="D1781" s="1" t="s">
        <v>1743</v>
      </c>
      <c r="E1781" s="1" t="s">
        <v>1743</v>
      </c>
      <c r="F1781" t="s">
        <v>1744</v>
      </c>
      <c r="G1781" t="s">
        <v>1354</v>
      </c>
      <c r="H1781" t="s">
        <v>5</v>
      </c>
      <c r="I1781" t="s">
        <v>2938</v>
      </c>
      <c r="J1781">
        <v>10.5</v>
      </c>
      <c r="K1781" t="e">
        <f>IF(COUNTIF(#REF!,Tabela2[[#This Row],[IdxWspolny]])&gt;0,"ELEM_lub_PRD","TECHN")</f>
        <v>#REF!</v>
      </c>
      <c r="L1781" t="e">
        <f>IF(COUNTIF(#REF!,Tabela2[[#This Row],[KOD_PRODUKTU]])&gt;0,"ELEMENT","PRODUKT")</f>
        <v>#REF!</v>
      </c>
      <c r="M1781" t="e">
        <f>COUNTIF(#REF!,Tabela2[[#This Row],[KOD_PRODUKTU]])</f>
        <v>#REF!</v>
      </c>
    </row>
    <row r="1782" spans="1:13" x14ac:dyDescent="0.25">
      <c r="A1782" s="1" t="s">
        <v>2936</v>
      </c>
      <c r="B1782" t="s">
        <v>2937</v>
      </c>
      <c r="C1782" s="1" t="s">
        <v>7</v>
      </c>
      <c r="D1782" s="1" t="s">
        <v>7</v>
      </c>
      <c r="E1782" s="1" t="s">
        <v>7</v>
      </c>
      <c r="F1782" t="s">
        <v>8</v>
      </c>
      <c r="G1782" t="s">
        <v>9</v>
      </c>
      <c r="H1782" t="s">
        <v>10</v>
      </c>
      <c r="I1782" t="s">
        <v>860</v>
      </c>
      <c r="J1782">
        <v>23</v>
      </c>
      <c r="K1782" t="e">
        <f>IF(COUNTIF(#REF!,Tabela2[[#This Row],[IdxWspolny]])&gt;0,"ELEM_lub_PRD","TECHN")</f>
        <v>#REF!</v>
      </c>
      <c r="L1782" t="e">
        <f>IF(COUNTIF(#REF!,Tabela2[[#This Row],[KOD_PRODUKTU]])&gt;0,"ELEMENT","PRODUKT")</f>
        <v>#REF!</v>
      </c>
      <c r="M1782" t="e">
        <f>COUNTIF(#REF!,Tabela2[[#This Row],[KOD_PRODUKTU]])</f>
        <v>#REF!</v>
      </c>
    </row>
    <row r="1783" spans="1:13" x14ac:dyDescent="0.25">
      <c r="A1783" s="1" t="s">
        <v>2939</v>
      </c>
      <c r="B1783" t="s">
        <v>2940</v>
      </c>
      <c r="C1783" s="1" t="s">
        <v>2941</v>
      </c>
      <c r="D1783" s="1" t="s">
        <v>2941</v>
      </c>
      <c r="E1783" s="1" t="s">
        <v>2941</v>
      </c>
      <c r="F1783" t="s">
        <v>2942</v>
      </c>
      <c r="G1783" t="s">
        <v>1394</v>
      </c>
      <c r="H1783" t="s">
        <v>5</v>
      </c>
      <c r="I1783" t="s">
        <v>2943</v>
      </c>
      <c r="J1783">
        <v>0.95</v>
      </c>
      <c r="K1783" t="e">
        <f>IF(COUNTIF(#REF!,Tabela2[[#This Row],[IdxWspolny]])&gt;0,"ELEM_lub_PRD","TECHN")</f>
        <v>#REF!</v>
      </c>
      <c r="L1783" t="e">
        <f>IF(COUNTIF(#REF!,Tabela2[[#This Row],[KOD_PRODUKTU]])&gt;0,"ELEMENT","PRODUKT")</f>
        <v>#REF!</v>
      </c>
      <c r="M1783" t="e">
        <f>COUNTIF(#REF!,Tabela2[[#This Row],[KOD_PRODUKTU]])</f>
        <v>#REF!</v>
      </c>
    </row>
    <row r="1784" spans="1:13" x14ac:dyDescent="0.25">
      <c r="A1784" s="1" t="s">
        <v>2939</v>
      </c>
      <c r="B1784" t="s">
        <v>2940</v>
      </c>
      <c r="C1784" s="1" t="s">
        <v>541</v>
      </c>
      <c r="D1784" s="1" t="s">
        <v>541</v>
      </c>
      <c r="E1784" s="1" t="s">
        <v>541</v>
      </c>
      <c r="F1784" t="s">
        <v>542</v>
      </c>
      <c r="G1784" t="s">
        <v>9</v>
      </c>
      <c r="H1784" t="s">
        <v>10</v>
      </c>
      <c r="I1784" t="s">
        <v>2944</v>
      </c>
      <c r="J1784">
        <v>7.58</v>
      </c>
      <c r="K1784" t="e">
        <f>IF(COUNTIF(#REF!,Tabela2[[#This Row],[IdxWspolny]])&gt;0,"ELEM_lub_PRD","TECHN")</f>
        <v>#REF!</v>
      </c>
      <c r="L1784" t="e">
        <f>IF(COUNTIF(#REF!,Tabela2[[#This Row],[KOD_PRODUKTU]])&gt;0,"ELEMENT","PRODUKT")</f>
        <v>#REF!</v>
      </c>
      <c r="M1784" t="e">
        <f>COUNTIF(#REF!,Tabela2[[#This Row],[KOD_PRODUKTU]])</f>
        <v>#REF!</v>
      </c>
    </row>
    <row r="1785" spans="1:13" x14ac:dyDescent="0.25">
      <c r="A1785" s="1" t="s">
        <v>2945</v>
      </c>
      <c r="B1785" t="s">
        <v>2946</v>
      </c>
      <c r="C1785" s="1" t="s">
        <v>2947</v>
      </c>
      <c r="D1785" s="1" t="s">
        <v>2947</v>
      </c>
      <c r="E1785" s="1" t="s">
        <v>2947</v>
      </c>
      <c r="F1785" t="s">
        <v>2948</v>
      </c>
      <c r="G1785" t="s">
        <v>70</v>
      </c>
      <c r="H1785" t="s">
        <v>5</v>
      </c>
      <c r="I1785" t="s">
        <v>2949</v>
      </c>
      <c r="J1785">
        <v>1.4</v>
      </c>
      <c r="K1785" t="e">
        <f>IF(COUNTIF(#REF!,Tabela2[[#This Row],[IdxWspolny]])&gt;0,"ELEM_lub_PRD","TECHN")</f>
        <v>#REF!</v>
      </c>
      <c r="L1785" t="e">
        <f>IF(COUNTIF(#REF!,Tabela2[[#This Row],[KOD_PRODUKTU]])&gt;0,"ELEMENT","PRODUKT")</f>
        <v>#REF!</v>
      </c>
      <c r="M1785" t="e">
        <f>COUNTIF(#REF!,Tabela2[[#This Row],[KOD_PRODUKTU]])</f>
        <v>#REF!</v>
      </c>
    </row>
    <row r="1786" spans="1:13" x14ac:dyDescent="0.25">
      <c r="A1786" s="1" t="s">
        <v>2945</v>
      </c>
      <c r="B1786" t="s">
        <v>2946</v>
      </c>
      <c r="C1786" s="1" t="s">
        <v>7</v>
      </c>
      <c r="D1786" s="1" t="s">
        <v>7</v>
      </c>
      <c r="E1786" s="1" t="s">
        <v>7</v>
      </c>
      <c r="F1786" t="s">
        <v>8</v>
      </c>
      <c r="G1786" t="s">
        <v>9</v>
      </c>
      <c r="H1786" t="s">
        <v>10</v>
      </c>
      <c r="I1786" t="s">
        <v>2950</v>
      </c>
      <c r="J1786">
        <v>7.74</v>
      </c>
      <c r="K1786" t="e">
        <f>IF(COUNTIF(#REF!,Tabela2[[#This Row],[IdxWspolny]])&gt;0,"ELEM_lub_PRD","TECHN")</f>
        <v>#REF!</v>
      </c>
      <c r="L1786" t="e">
        <f>IF(COUNTIF(#REF!,Tabela2[[#This Row],[KOD_PRODUKTU]])&gt;0,"ELEMENT","PRODUKT")</f>
        <v>#REF!</v>
      </c>
      <c r="M1786" t="e">
        <f>COUNTIF(#REF!,Tabela2[[#This Row],[KOD_PRODUKTU]])</f>
        <v>#REF!</v>
      </c>
    </row>
    <row r="1787" spans="1:13" x14ac:dyDescent="0.25">
      <c r="A1787" s="1" t="s">
        <v>2951</v>
      </c>
      <c r="B1787" t="s">
        <v>2952</v>
      </c>
      <c r="C1787" s="1" t="s">
        <v>2474</v>
      </c>
      <c r="D1787" s="1" t="s">
        <v>2474</v>
      </c>
      <c r="E1787" s="1" t="s">
        <v>2474</v>
      </c>
      <c r="F1787" t="s">
        <v>2475</v>
      </c>
      <c r="G1787" t="s">
        <v>2469</v>
      </c>
      <c r="H1787" t="s">
        <v>5</v>
      </c>
      <c r="I1787" t="s">
        <v>1026</v>
      </c>
      <c r="J1787">
        <v>7.79</v>
      </c>
      <c r="K1787" t="e">
        <f>IF(COUNTIF(#REF!,Tabela2[[#This Row],[IdxWspolny]])&gt;0,"ELEM_lub_PRD","TECHN")</f>
        <v>#REF!</v>
      </c>
      <c r="L1787" t="e">
        <f>IF(COUNTIF(#REF!,Tabela2[[#This Row],[KOD_PRODUKTU]])&gt;0,"ELEMENT","PRODUKT")</f>
        <v>#REF!</v>
      </c>
      <c r="M1787" t="e">
        <f>COUNTIF(#REF!,Tabela2[[#This Row],[KOD_PRODUKTU]])</f>
        <v>#REF!</v>
      </c>
    </row>
    <row r="1788" spans="1:13" x14ac:dyDescent="0.25">
      <c r="A1788" s="1" t="s">
        <v>2951</v>
      </c>
      <c r="B1788" t="s">
        <v>2952</v>
      </c>
      <c r="C1788" s="1" t="s">
        <v>7</v>
      </c>
      <c r="D1788" s="1" t="s">
        <v>7</v>
      </c>
      <c r="E1788" s="1" t="s">
        <v>7</v>
      </c>
      <c r="F1788" t="s">
        <v>8</v>
      </c>
      <c r="G1788" t="s">
        <v>9</v>
      </c>
      <c r="H1788" t="s">
        <v>10</v>
      </c>
      <c r="I1788" t="s">
        <v>2944</v>
      </c>
      <c r="J1788">
        <v>7.58</v>
      </c>
      <c r="K1788" t="e">
        <f>IF(COUNTIF(#REF!,Tabela2[[#This Row],[IdxWspolny]])&gt;0,"ELEM_lub_PRD","TECHN")</f>
        <v>#REF!</v>
      </c>
      <c r="L1788" t="e">
        <f>IF(COUNTIF(#REF!,Tabela2[[#This Row],[KOD_PRODUKTU]])&gt;0,"ELEMENT","PRODUKT")</f>
        <v>#REF!</v>
      </c>
      <c r="M1788" t="e">
        <f>COUNTIF(#REF!,Tabela2[[#This Row],[KOD_PRODUKTU]])</f>
        <v>#REF!</v>
      </c>
    </row>
    <row r="1789" spans="1:13" x14ac:dyDescent="0.25">
      <c r="A1789" s="1" t="s">
        <v>2953</v>
      </c>
      <c r="B1789" t="s">
        <v>2954</v>
      </c>
      <c r="C1789" s="1" t="s">
        <v>2955</v>
      </c>
      <c r="D1789" s="1" t="s">
        <v>2955</v>
      </c>
      <c r="E1789" s="1" t="s">
        <v>2955</v>
      </c>
      <c r="F1789" t="s">
        <v>2956</v>
      </c>
      <c r="G1789" t="s">
        <v>311</v>
      </c>
      <c r="H1789" t="s">
        <v>17</v>
      </c>
      <c r="I1789" t="s">
        <v>2957</v>
      </c>
      <c r="J1789">
        <v>0.3</v>
      </c>
      <c r="K1789" t="e">
        <f>IF(COUNTIF(#REF!,Tabela2[[#This Row],[IdxWspolny]])&gt;0,"ELEM_lub_PRD","TECHN")</f>
        <v>#REF!</v>
      </c>
      <c r="L1789" t="e">
        <f>IF(COUNTIF(#REF!,Tabela2[[#This Row],[KOD_PRODUKTU]])&gt;0,"ELEMENT","PRODUKT")</f>
        <v>#REF!</v>
      </c>
      <c r="M1789" t="e">
        <f>COUNTIF(#REF!,Tabela2[[#This Row],[KOD_PRODUKTU]])</f>
        <v>#REF!</v>
      </c>
    </row>
    <row r="1790" spans="1:13" x14ac:dyDescent="0.25">
      <c r="A1790" s="1" t="s">
        <v>2953</v>
      </c>
      <c r="B1790" t="s">
        <v>2954</v>
      </c>
      <c r="C1790" s="1" t="s">
        <v>7</v>
      </c>
      <c r="D1790" s="1" t="s">
        <v>7</v>
      </c>
      <c r="E1790" s="1" t="s">
        <v>7</v>
      </c>
      <c r="F1790" t="s">
        <v>8</v>
      </c>
      <c r="G1790" t="s">
        <v>9</v>
      </c>
      <c r="H1790" t="s">
        <v>10</v>
      </c>
      <c r="I1790" t="s">
        <v>2958</v>
      </c>
      <c r="J1790">
        <v>3.97</v>
      </c>
      <c r="K1790" t="e">
        <f>IF(COUNTIF(#REF!,Tabela2[[#This Row],[IdxWspolny]])&gt;0,"ELEM_lub_PRD","TECHN")</f>
        <v>#REF!</v>
      </c>
      <c r="L1790" t="e">
        <f>IF(COUNTIF(#REF!,Tabela2[[#This Row],[KOD_PRODUKTU]])&gt;0,"ELEMENT","PRODUKT")</f>
        <v>#REF!</v>
      </c>
      <c r="M1790" t="e">
        <f>COUNTIF(#REF!,Tabela2[[#This Row],[KOD_PRODUKTU]])</f>
        <v>#REF!</v>
      </c>
    </row>
    <row r="1791" spans="1:13" x14ac:dyDescent="0.25">
      <c r="A1791" s="1" t="s">
        <v>2959</v>
      </c>
      <c r="B1791" t="s">
        <v>2960</v>
      </c>
      <c r="C1791" s="1" t="s">
        <v>2961</v>
      </c>
      <c r="D1791" s="1" t="s">
        <v>2961</v>
      </c>
      <c r="E1791" s="1" t="s">
        <v>2961</v>
      </c>
      <c r="F1791" t="s">
        <v>2962</v>
      </c>
      <c r="G1791" t="s">
        <v>2963</v>
      </c>
      <c r="H1791" t="s">
        <v>5</v>
      </c>
      <c r="I1791" t="s">
        <v>2964</v>
      </c>
      <c r="J1791">
        <v>0.25</v>
      </c>
      <c r="K1791" t="e">
        <f>IF(COUNTIF(#REF!,Tabela2[[#This Row],[IdxWspolny]])&gt;0,"ELEM_lub_PRD","TECHN")</f>
        <v>#REF!</v>
      </c>
      <c r="L1791" t="e">
        <f>IF(COUNTIF(#REF!,Tabela2[[#This Row],[KOD_PRODUKTU]])&gt;0,"ELEMENT","PRODUKT")</f>
        <v>#REF!</v>
      </c>
      <c r="M1791" t="e">
        <f>COUNTIF(#REF!,Tabela2[[#This Row],[KOD_PRODUKTU]])</f>
        <v>#REF!</v>
      </c>
    </row>
    <row r="1792" spans="1:13" x14ac:dyDescent="0.25">
      <c r="A1792" s="1" t="s">
        <v>2959</v>
      </c>
      <c r="B1792" t="s">
        <v>2960</v>
      </c>
      <c r="C1792" s="1" t="s">
        <v>7</v>
      </c>
      <c r="D1792" s="1" t="s">
        <v>7</v>
      </c>
      <c r="E1792" s="1" t="s">
        <v>7</v>
      </c>
      <c r="F1792" t="s">
        <v>8</v>
      </c>
      <c r="G1792" t="s">
        <v>9</v>
      </c>
      <c r="H1792" t="s">
        <v>10</v>
      </c>
      <c r="I1792" t="s">
        <v>1200</v>
      </c>
      <c r="J1792">
        <v>3.87</v>
      </c>
      <c r="K1792" t="e">
        <f>IF(COUNTIF(#REF!,Tabela2[[#This Row],[IdxWspolny]])&gt;0,"ELEM_lub_PRD","TECHN")</f>
        <v>#REF!</v>
      </c>
      <c r="L1792" t="e">
        <f>IF(COUNTIF(#REF!,Tabela2[[#This Row],[KOD_PRODUKTU]])&gt;0,"ELEMENT","PRODUKT")</f>
        <v>#REF!</v>
      </c>
      <c r="M1792" t="e">
        <f>COUNTIF(#REF!,Tabela2[[#This Row],[KOD_PRODUKTU]])</f>
        <v>#REF!</v>
      </c>
    </row>
    <row r="1793" spans="1:13" x14ac:dyDescent="0.25">
      <c r="A1793" s="1" t="s">
        <v>2965</v>
      </c>
      <c r="B1793" t="s">
        <v>2966</v>
      </c>
      <c r="C1793" s="1" t="s">
        <v>2967</v>
      </c>
      <c r="D1793" s="1" t="s">
        <v>2967</v>
      </c>
      <c r="E1793" s="1" t="s">
        <v>2967</v>
      </c>
      <c r="F1793" t="s">
        <v>2968</v>
      </c>
      <c r="G1793" t="s">
        <v>2969</v>
      </c>
      <c r="H1793" t="s">
        <v>49</v>
      </c>
      <c r="I1793" t="s">
        <v>2970</v>
      </c>
      <c r="J1793">
        <v>37</v>
      </c>
      <c r="K1793" t="e">
        <f>IF(COUNTIF(#REF!,Tabela2[[#This Row],[IdxWspolny]])&gt;0,"ELEM_lub_PRD","TECHN")</f>
        <v>#REF!</v>
      </c>
      <c r="L1793" t="e">
        <f>IF(COUNTIF(#REF!,Tabela2[[#This Row],[KOD_PRODUKTU]])&gt;0,"ELEMENT","PRODUKT")</f>
        <v>#REF!</v>
      </c>
      <c r="M1793" t="e">
        <f>COUNTIF(#REF!,Tabela2[[#This Row],[KOD_PRODUKTU]])</f>
        <v>#REF!</v>
      </c>
    </row>
    <row r="1794" spans="1:13" x14ac:dyDescent="0.25">
      <c r="A1794" s="1" t="s">
        <v>2965</v>
      </c>
      <c r="B1794" t="s">
        <v>2966</v>
      </c>
      <c r="C1794" s="1" t="s">
        <v>7</v>
      </c>
      <c r="D1794" s="1" t="s">
        <v>7</v>
      </c>
      <c r="E1794" s="1" t="s">
        <v>7</v>
      </c>
      <c r="F1794" t="s">
        <v>8</v>
      </c>
      <c r="G1794" t="s">
        <v>9</v>
      </c>
      <c r="H1794" t="s">
        <v>10</v>
      </c>
      <c r="I1794" t="s">
        <v>2971</v>
      </c>
      <c r="J1794">
        <v>21.95</v>
      </c>
      <c r="K1794" t="e">
        <f>IF(COUNTIF(#REF!,Tabela2[[#This Row],[IdxWspolny]])&gt;0,"ELEM_lub_PRD","TECHN")</f>
        <v>#REF!</v>
      </c>
      <c r="L1794" t="e">
        <f>IF(COUNTIF(#REF!,Tabela2[[#This Row],[KOD_PRODUKTU]])&gt;0,"ELEMENT","PRODUKT")</f>
        <v>#REF!</v>
      </c>
      <c r="M1794" t="e">
        <f>COUNTIF(#REF!,Tabela2[[#This Row],[KOD_PRODUKTU]])</f>
        <v>#REF!</v>
      </c>
    </row>
    <row r="1795" spans="1:13" x14ac:dyDescent="0.25">
      <c r="A1795" s="1" t="s">
        <v>2972</v>
      </c>
      <c r="B1795" t="s">
        <v>2973</v>
      </c>
      <c r="C1795" s="1" t="s">
        <v>2967</v>
      </c>
      <c r="D1795" s="1" t="s">
        <v>2967</v>
      </c>
      <c r="E1795" s="1" t="s">
        <v>2967</v>
      </c>
      <c r="F1795" t="s">
        <v>2968</v>
      </c>
      <c r="G1795" t="s">
        <v>2969</v>
      </c>
      <c r="H1795" t="s">
        <v>49</v>
      </c>
      <c r="I1795" t="s">
        <v>50</v>
      </c>
      <c r="J1795">
        <v>73.92</v>
      </c>
      <c r="K1795" t="e">
        <f>IF(COUNTIF(#REF!,Tabela2[[#This Row],[IdxWspolny]])&gt;0,"ELEM_lub_PRD","TECHN")</f>
        <v>#REF!</v>
      </c>
      <c r="L1795" t="e">
        <f>IF(COUNTIF(#REF!,Tabela2[[#This Row],[KOD_PRODUKTU]])&gt;0,"ELEMENT","PRODUKT")</f>
        <v>#REF!</v>
      </c>
      <c r="M1795" t="e">
        <f>COUNTIF(#REF!,Tabela2[[#This Row],[KOD_PRODUKTU]])</f>
        <v>#REF!</v>
      </c>
    </row>
    <row r="1796" spans="1:13" x14ac:dyDescent="0.25">
      <c r="A1796" s="1" t="s">
        <v>2972</v>
      </c>
      <c r="B1796" t="s">
        <v>2973</v>
      </c>
      <c r="C1796" s="1" t="s">
        <v>41</v>
      </c>
      <c r="D1796" s="1" t="s">
        <v>41</v>
      </c>
      <c r="E1796" s="1" t="s">
        <v>41</v>
      </c>
      <c r="F1796" t="s">
        <v>42</v>
      </c>
      <c r="G1796" t="s">
        <v>513</v>
      </c>
      <c r="H1796" t="s">
        <v>5</v>
      </c>
      <c r="I1796" t="s">
        <v>2974</v>
      </c>
      <c r="J1796">
        <v>0.03</v>
      </c>
      <c r="K1796" t="e">
        <f>IF(COUNTIF(#REF!,Tabela2[[#This Row],[IdxWspolny]])&gt;0,"ELEM_lub_PRD","TECHN")</f>
        <v>#REF!</v>
      </c>
      <c r="L1796" t="e">
        <f>IF(COUNTIF(#REF!,Tabela2[[#This Row],[KOD_PRODUKTU]])&gt;0,"ELEMENT","PRODUKT")</f>
        <v>#REF!</v>
      </c>
      <c r="M1796" t="e">
        <f>COUNTIF(#REF!,Tabela2[[#This Row],[KOD_PRODUKTU]])</f>
        <v>#REF!</v>
      </c>
    </row>
    <row r="1797" spans="1:13" x14ac:dyDescent="0.25">
      <c r="A1797" s="1" t="s">
        <v>2972</v>
      </c>
      <c r="B1797" t="s">
        <v>2973</v>
      </c>
      <c r="C1797" s="1" t="s">
        <v>7</v>
      </c>
      <c r="D1797" s="1" t="s">
        <v>7</v>
      </c>
      <c r="E1797" s="1" t="s">
        <v>7</v>
      </c>
      <c r="F1797" t="s">
        <v>8</v>
      </c>
      <c r="G1797" t="s">
        <v>9</v>
      </c>
      <c r="H1797" t="s">
        <v>10</v>
      </c>
      <c r="I1797" t="s">
        <v>2975</v>
      </c>
      <c r="J1797">
        <v>15.68</v>
      </c>
      <c r="K1797" t="e">
        <f>IF(COUNTIF(#REF!,Tabela2[[#This Row],[IdxWspolny]])&gt;0,"ELEM_lub_PRD","TECHN")</f>
        <v>#REF!</v>
      </c>
      <c r="L1797" t="e">
        <f>IF(COUNTIF(#REF!,Tabela2[[#This Row],[KOD_PRODUKTU]])&gt;0,"ELEMENT","PRODUKT")</f>
        <v>#REF!</v>
      </c>
      <c r="M1797" t="e">
        <f>COUNTIF(#REF!,Tabela2[[#This Row],[KOD_PRODUKTU]])</f>
        <v>#REF!</v>
      </c>
    </row>
    <row r="1798" spans="1:13" x14ac:dyDescent="0.25">
      <c r="A1798" s="1" t="s">
        <v>2976</v>
      </c>
      <c r="B1798" t="s">
        <v>2977</v>
      </c>
      <c r="C1798" s="1" t="s">
        <v>2941</v>
      </c>
      <c r="D1798" s="1" t="s">
        <v>2941</v>
      </c>
      <c r="E1798" s="1" t="s">
        <v>2941</v>
      </c>
      <c r="F1798" t="s">
        <v>2942</v>
      </c>
      <c r="G1798" t="s">
        <v>1394</v>
      </c>
      <c r="H1798" t="s">
        <v>5</v>
      </c>
      <c r="I1798" t="s">
        <v>601</v>
      </c>
      <c r="J1798">
        <v>0.6</v>
      </c>
      <c r="K1798" t="e">
        <f>IF(COUNTIF(#REF!,Tabela2[[#This Row],[IdxWspolny]])&gt;0,"ELEM_lub_PRD","TECHN")</f>
        <v>#REF!</v>
      </c>
      <c r="L1798" t="e">
        <f>IF(COUNTIF(#REF!,Tabela2[[#This Row],[KOD_PRODUKTU]])&gt;0,"ELEMENT","PRODUKT")</f>
        <v>#REF!</v>
      </c>
      <c r="M1798" t="e">
        <f>COUNTIF(#REF!,Tabela2[[#This Row],[KOD_PRODUKTU]])</f>
        <v>#REF!</v>
      </c>
    </row>
    <row r="1799" spans="1:13" x14ac:dyDescent="0.25">
      <c r="A1799" s="1" t="s">
        <v>2976</v>
      </c>
      <c r="B1799" t="s">
        <v>2977</v>
      </c>
      <c r="C1799" s="1" t="s">
        <v>7</v>
      </c>
      <c r="D1799" s="1" t="s">
        <v>7</v>
      </c>
      <c r="E1799" s="1" t="s">
        <v>7</v>
      </c>
      <c r="F1799" t="s">
        <v>8</v>
      </c>
      <c r="G1799" t="s">
        <v>9</v>
      </c>
      <c r="H1799" t="s">
        <v>10</v>
      </c>
      <c r="I1799" t="s">
        <v>2978</v>
      </c>
      <c r="J1799">
        <v>21.28</v>
      </c>
      <c r="K1799" t="e">
        <f>IF(COUNTIF(#REF!,Tabela2[[#This Row],[IdxWspolny]])&gt;0,"ELEM_lub_PRD","TECHN")</f>
        <v>#REF!</v>
      </c>
      <c r="L1799" t="e">
        <f>IF(COUNTIF(#REF!,Tabela2[[#This Row],[KOD_PRODUKTU]])&gt;0,"ELEMENT","PRODUKT")</f>
        <v>#REF!</v>
      </c>
      <c r="M1799" t="e">
        <f>COUNTIF(#REF!,Tabela2[[#This Row],[KOD_PRODUKTU]])</f>
        <v>#REF!</v>
      </c>
    </row>
    <row r="1800" spans="1:13" x14ac:dyDescent="0.25">
      <c r="A1800" s="1" t="s">
        <v>2979</v>
      </c>
      <c r="B1800" t="s">
        <v>2980</v>
      </c>
      <c r="C1800" s="1" t="s">
        <v>2981</v>
      </c>
      <c r="D1800" s="1" t="s">
        <v>2981</v>
      </c>
      <c r="E1800" s="1" t="s">
        <v>2981</v>
      </c>
      <c r="F1800" t="s">
        <v>2982</v>
      </c>
      <c r="G1800" t="s">
        <v>2983</v>
      </c>
      <c r="H1800" t="s">
        <v>49</v>
      </c>
      <c r="I1800" t="s">
        <v>50</v>
      </c>
      <c r="J1800">
        <v>8.58</v>
      </c>
      <c r="K1800" t="e">
        <f>IF(COUNTIF(#REF!,Tabela2[[#This Row],[IdxWspolny]])&gt;0,"ELEM_lub_PRD","TECHN")</f>
        <v>#REF!</v>
      </c>
      <c r="L1800" t="e">
        <f>IF(COUNTIF(#REF!,Tabela2[[#This Row],[KOD_PRODUKTU]])&gt;0,"ELEMENT","PRODUKT")</f>
        <v>#REF!</v>
      </c>
      <c r="M1800" t="e">
        <f>COUNTIF(#REF!,Tabela2[[#This Row],[KOD_PRODUKTU]])</f>
        <v>#REF!</v>
      </c>
    </row>
    <row r="1801" spans="1:13" x14ac:dyDescent="0.25">
      <c r="A1801" s="1" t="s">
        <v>2979</v>
      </c>
      <c r="B1801" t="s">
        <v>2980</v>
      </c>
      <c r="C1801" s="1" t="s">
        <v>7</v>
      </c>
      <c r="D1801" s="1" t="s">
        <v>7</v>
      </c>
      <c r="E1801" s="1" t="s">
        <v>7</v>
      </c>
      <c r="F1801" t="s">
        <v>8</v>
      </c>
      <c r="G1801" t="s">
        <v>9</v>
      </c>
      <c r="H1801" t="s">
        <v>10</v>
      </c>
      <c r="I1801" t="s">
        <v>2984</v>
      </c>
      <c r="J1801">
        <v>3.88</v>
      </c>
      <c r="K1801" t="e">
        <f>IF(COUNTIF(#REF!,Tabela2[[#This Row],[IdxWspolny]])&gt;0,"ELEM_lub_PRD","TECHN")</f>
        <v>#REF!</v>
      </c>
      <c r="L1801" t="e">
        <f>IF(COUNTIF(#REF!,Tabela2[[#This Row],[KOD_PRODUKTU]])&gt;0,"ELEMENT","PRODUKT")</f>
        <v>#REF!</v>
      </c>
      <c r="M1801" t="e">
        <f>COUNTIF(#REF!,Tabela2[[#This Row],[KOD_PRODUKTU]])</f>
        <v>#REF!</v>
      </c>
    </row>
    <row r="1802" spans="1:13" x14ac:dyDescent="0.25">
      <c r="A1802" s="1" t="s">
        <v>2985</v>
      </c>
      <c r="B1802" t="s">
        <v>2986</v>
      </c>
      <c r="C1802" s="1" t="s">
        <v>2987</v>
      </c>
      <c r="D1802" s="1" t="s">
        <v>2987</v>
      </c>
      <c r="E1802" s="1" t="s">
        <v>2987</v>
      </c>
      <c r="F1802" t="s">
        <v>2988</v>
      </c>
      <c r="G1802" t="s">
        <v>2989</v>
      </c>
      <c r="H1802" t="s">
        <v>49</v>
      </c>
      <c r="I1802" t="s">
        <v>50</v>
      </c>
      <c r="J1802">
        <v>1.56</v>
      </c>
      <c r="K1802" t="e">
        <f>IF(COUNTIF(#REF!,Tabela2[[#This Row],[IdxWspolny]])&gt;0,"ELEM_lub_PRD","TECHN")</f>
        <v>#REF!</v>
      </c>
      <c r="L1802" t="e">
        <f>IF(COUNTIF(#REF!,Tabela2[[#This Row],[KOD_PRODUKTU]])&gt;0,"ELEMENT","PRODUKT")</f>
        <v>#REF!</v>
      </c>
      <c r="M1802" t="e">
        <f>COUNTIF(#REF!,Tabela2[[#This Row],[KOD_PRODUKTU]])</f>
        <v>#REF!</v>
      </c>
    </row>
    <row r="1803" spans="1:13" x14ac:dyDescent="0.25">
      <c r="A1803" s="1" t="s">
        <v>2985</v>
      </c>
      <c r="B1803" t="s">
        <v>2986</v>
      </c>
      <c r="C1803" s="1" t="s">
        <v>7</v>
      </c>
      <c r="D1803" s="1" t="s">
        <v>7</v>
      </c>
      <c r="E1803" s="1" t="s">
        <v>7</v>
      </c>
      <c r="F1803" t="s">
        <v>8</v>
      </c>
      <c r="G1803" t="s">
        <v>9</v>
      </c>
      <c r="H1803" t="s">
        <v>10</v>
      </c>
      <c r="I1803" t="s">
        <v>2984</v>
      </c>
      <c r="J1803">
        <v>3.88</v>
      </c>
      <c r="K1803" t="e">
        <f>IF(COUNTIF(#REF!,Tabela2[[#This Row],[IdxWspolny]])&gt;0,"ELEM_lub_PRD","TECHN")</f>
        <v>#REF!</v>
      </c>
      <c r="L1803" t="e">
        <f>IF(COUNTIF(#REF!,Tabela2[[#This Row],[KOD_PRODUKTU]])&gt;0,"ELEMENT","PRODUKT")</f>
        <v>#REF!</v>
      </c>
      <c r="M1803" t="e">
        <f>COUNTIF(#REF!,Tabela2[[#This Row],[KOD_PRODUKTU]])</f>
        <v>#REF!</v>
      </c>
    </row>
    <row r="1804" spans="1:13" x14ac:dyDescent="0.25">
      <c r="A1804" s="1" t="s">
        <v>2990</v>
      </c>
      <c r="B1804" t="s">
        <v>2991</v>
      </c>
      <c r="C1804" s="1" t="s">
        <v>2992</v>
      </c>
      <c r="D1804" s="1" t="s">
        <v>2992</v>
      </c>
      <c r="E1804" s="1" t="s">
        <v>2992</v>
      </c>
      <c r="F1804" t="s">
        <v>2993</v>
      </c>
      <c r="G1804" t="s">
        <v>2994</v>
      </c>
      <c r="H1804" t="s">
        <v>49</v>
      </c>
      <c r="I1804" t="s">
        <v>50</v>
      </c>
      <c r="J1804">
        <v>17.899999999999999</v>
      </c>
      <c r="K1804" t="e">
        <f>IF(COUNTIF(#REF!,Tabela2[[#This Row],[IdxWspolny]])&gt;0,"ELEM_lub_PRD","TECHN")</f>
        <v>#REF!</v>
      </c>
      <c r="L1804" t="e">
        <f>IF(COUNTIF(#REF!,Tabela2[[#This Row],[KOD_PRODUKTU]])&gt;0,"ELEMENT","PRODUKT")</f>
        <v>#REF!</v>
      </c>
      <c r="M1804" t="e">
        <f>COUNTIF(#REF!,Tabela2[[#This Row],[KOD_PRODUKTU]])</f>
        <v>#REF!</v>
      </c>
    </row>
    <row r="1805" spans="1:13" x14ac:dyDescent="0.25">
      <c r="A1805" s="1" t="s">
        <v>2990</v>
      </c>
      <c r="B1805" t="s">
        <v>2991</v>
      </c>
      <c r="C1805" s="1" t="s">
        <v>541</v>
      </c>
      <c r="D1805" s="1" t="s">
        <v>541</v>
      </c>
      <c r="E1805" s="1" t="s">
        <v>541</v>
      </c>
      <c r="F1805" t="s">
        <v>542</v>
      </c>
      <c r="G1805" t="s">
        <v>9</v>
      </c>
      <c r="H1805" t="s">
        <v>10</v>
      </c>
      <c r="I1805" t="s">
        <v>1349</v>
      </c>
      <c r="J1805">
        <v>3.45</v>
      </c>
      <c r="K1805" t="e">
        <f>IF(COUNTIF(#REF!,Tabela2[[#This Row],[IdxWspolny]])&gt;0,"ELEM_lub_PRD","TECHN")</f>
        <v>#REF!</v>
      </c>
      <c r="L1805" t="e">
        <f>IF(COUNTIF(#REF!,Tabela2[[#This Row],[KOD_PRODUKTU]])&gt;0,"ELEMENT","PRODUKT")</f>
        <v>#REF!</v>
      </c>
      <c r="M1805" t="e">
        <f>COUNTIF(#REF!,Tabela2[[#This Row],[KOD_PRODUKTU]])</f>
        <v>#REF!</v>
      </c>
    </row>
    <row r="1806" spans="1:13" x14ac:dyDescent="0.25">
      <c r="A1806" s="1" t="s">
        <v>2995</v>
      </c>
      <c r="B1806" t="s">
        <v>2996</v>
      </c>
      <c r="C1806" s="1" t="s">
        <v>2997</v>
      </c>
      <c r="D1806" s="1" t="s">
        <v>2997</v>
      </c>
      <c r="E1806" s="1" t="s">
        <v>2997</v>
      </c>
      <c r="F1806" t="s">
        <v>2998</v>
      </c>
      <c r="G1806" t="s">
        <v>2994</v>
      </c>
      <c r="H1806" t="s">
        <v>49</v>
      </c>
      <c r="I1806" t="s">
        <v>50</v>
      </c>
      <c r="J1806">
        <v>17.899999999999999</v>
      </c>
      <c r="K1806" t="e">
        <f>IF(COUNTIF(#REF!,Tabela2[[#This Row],[IdxWspolny]])&gt;0,"ELEM_lub_PRD","TECHN")</f>
        <v>#REF!</v>
      </c>
      <c r="L1806" t="e">
        <f>IF(COUNTIF(#REF!,Tabela2[[#This Row],[KOD_PRODUKTU]])&gt;0,"ELEMENT","PRODUKT")</f>
        <v>#REF!</v>
      </c>
      <c r="M1806" t="e">
        <f>COUNTIF(#REF!,Tabela2[[#This Row],[KOD_PRODUKTU]])</f>
        <v>#REF!</v>
      </c>
    </row>
    <row r="1807" spans="1:13" x14ac:dyDescent="0.25">
      <c r="A1807" s="1" t="s">
        <v>2995</v>
      </c>
      <c r="B1807" t="s">
        <v>2996</v>
      </c>
      <c r="C1807" s="1" t="s">
        <v>541</v>
      </c>
      <c r="D1807" s="1" t="s">
        <v>541</v>
      </c>
      <c r="E1807" s="1" t="s">
        <v>541</v>
      </c>
      <c r="F1807" t="s">
        <v>542</v>
      </c>
      <c r="G1807" t="s">
        <v>9</v>
      </c>
      <c r="H1807" t="s">
        <v>10</v>
      </c>
      <c r="I1807" t="s">
        <v>1349</v>
      </c>
      <c r="J1807">
        <v>3.45</v>
      </c>
      <c r="K1807" t="e">
        <f>IF(COUNTIF(#REF!,Tabela2[[#This Row],[IdxWspolny]])&gt;0,"ELEM_lub_PRD","TECHN")</f>
        <v>#REF!</v>
      </c>
      <c r="L1807" t="e">
        <f>IF(COUNTIF(#REF!,Tabela2[[#This Row],[KOD_PRODUKTU]])&gt;0,"ELEMENT","PRODUKT")</f>
        <v>#REF!</v>
      </c>
      <c r="M1807" t="e">
        <f>COUNTIF(#REF!,Tabela2[[#This Row],[KOD_PRODUKTU]])</f>
        <v>#REF!</v>
      </c>
    </row>
    <row r="1808" spans="1:13" x14ac:dyDescent="0.25">
      <c r="A1808" s="1" t="s">
        <v>2999</v>
      </c>
      <c r="B1808" t="s">
        <v>3000</v>
      </c>
      <c r="C1808" s="1" t="s">
        <v>2458</v>
      </c>
      <c r="D1808" s="1" t="s">
        <v>2458</v>
      </c>
      <c r="E1808" s="1" t="s">
        <v>2458</v>
      </c>
      <c r="F1808" t="s">
        <v>2459</v>
      </c>
      <c r="G1808" t="s">
        <v>384</v>
      </c>
      <c r="H1808" t="s">
        <v>5</v>
      </c>
      <c r="I1808" t="s">
        <v>860</v>
      </c>
      <c r="J1808">
        <v>5.45</v>
      </c>
      <c r="K1808" t="e">
        <f>IF(COUNTIF(#REF!,Tabela2[[#This Row],[IdxWspolny]])&gt;0,"ELEM_lub_PRD","TECHN")</f>
        <v>#REF!</v>
      </c>
      <c r="L1808" t="e">
        <f>IF(COUNTIF(#REF!,Tabela2[[#This Row],[KOD_PRODUKTU]])&gt;0,"ELEMENT","PRODUKT")</f>
        <v>#REF!</v>
      </c>
      <c r="M1808" t="e">
        <f>COUNTIF(#REF!,Tabela2[[#This Row],[KOD_PRODUKTU]])</f>
        <v>#REF!</v>
      </c>
    </row>
    <row r="1809" spans="1:13" x14ac:dyDescent="0.25">
      <c r="A1809" s="1" t="s">
        <v>2999</v>
      </c>
      <c r="B1809" t="s">
        <v>3000</v>
      </c>
      <c r="C1809" s="1" t="s">
        <v>7</v>
      </c>
      <c r="D1809" s="1" t="s">
        <v>7</v>
      </c>
      <c r="E1809" s="1" t="s">
        <v>7</v>
      </c>
      <c r="F1809" t="s">
        <v>8</v>
      </c>
      <c r="G1809" t="s">
        <v>9</v>
      </c>
      <c r="H1809" t="s">
        <v>10</v>
      </c>
      <c r="I1809" t="s">
        <v>3001</v>
      </c>
      <c r="J1809">
        <v>2.67</v>
      </c>
      <c r="K1809" t="e">
        <f>IF(COUNTIF(#REF!,Tabela2[[#This Row],[IdxWspolny]])&gt;0,"ELEM_lub_PRD","TECHN")</f>
        <v>#REF!</v>
      </c>
      <c r="L1809" t="e">
        <f>IF(COUNTIF(#REF!,Tabela2[[#This Row],[KOD_PRODUKTU]])&gt;0,"ELEMENT","PRODUKT")</f>
        <v>#REF!</v>
      </c>
      <c r="M1809" t="e">
        <f>COUNTIF(#REF!,Tabela2[[#This Row],[KOD_PRODUKTU]])</f>
        <v>#REF!</v>
      </c>
    </row>
    <row r="1810" spans="1:13" x14ac:dyDescent="0.25">
      <c r="A1810" s="1" t="s">
        <v>3002</v>
      </c>
      <c r="B1810" t="s">
        <v>3003</v>
      </c>
      <c r="C1810" s="1" t="s">
        <v>29</v>
      </c>
      <c r="D1810" s="1" t="s">
        <v>29</v>
      </c>
      <c r="E1810" s="1" t="s">
        <v>29</v>
      </c>
      <c r="F1810" t="s">
        <v>30</v>
      </c>
      <c r="G1810" t="s">
        <v>31</v>
      </c>
      <c r="H1810" t="s">
        <v>5</v>
      </c>
      <c r="I1810" t="s">
        <v>3004</v>
      </c>
      <c r="J1810">
        <v>2.95</v>
      </c>
      <c r="K1810" t="e">
        <f>IF(COUNTIF(#REF!,Tabela2[[#This Row],[IdxWspolny]])&gt;0,"ELEM_lub_PRD","TECHN")</f>
        <v>#REF!</v>
      </c>
      <c r="L1810" t="e">
        <f>IF(COUNTIF(#REF!,Tabela2[[#This Row],[KOD_PRODUKTU]])&gt;0,"ELEMENT","PRODUKT")</f>
        <v>#REF!</v>
      </c>
      <c r="M1810" t="e">
        <f>COUNTIF(#REF!,Tabela2[[#This Row],[KOD_PRODUKTU]])</f>
        <v>#REF!</v>
      </c>
    </row>
    <row r="1811" spans="1:13" x14ac:dyDescent="0.25">
      <c r="A1811" s="1" t="s">
        <v>3002</v>
      </c>
      <c r="B1811" t="s">
        <v>3003</v>
      </c>
      <c r="C1811" s="1" t="s">
        <v>432</v>
      </c>
      <c r="D1811" s="1" t="s">
        <v>432</v>
      </c>
      <c r="E1811" s="1" t="s">
        <v>432</v>
      </c>
      <c r="F1811" t="s">
        <v>433</v>
      </c>
      <c r="G1811" t="s">
        <v>434</v>
      </c>
      <c r="H1811" t="s">
        <v>435</v>
      </c>
      <c r="I1811" t="s">
        <v>50</v>
      </c>
      <c r="J1811">
        <v>1.1000000000000001</v>
      </c>
      <c r="K1811" t="e">
        <f>IF(COUNTIF(#REF!,Tabela2[[#This Row],[IdxWspolny]])&gt;0,"ELEM_lub_PRD","TECHN")</f>
        <v>#REF!</v>
      </c>
      <c r="L1811" t="e">
        <f>IF(COUNTIF(#REF!,Tabela2[[#This Row],[KOD_PRODUKTU]])&gt;0,"ELEMENT","PRODUKT")</f>
        <v>#REF!</v>
      </c>
      <c r="M1811" t="e">
        <f>COUNTIF(#REF!,Tabela2[[#This Row],[KOD_PRODUKTU]])</f>
        <v>#REF!</v>
      </c>
    </row>
    <row r="1812" spans="1:13" x14ac:dyDescent="0.25">
      <c r="A1812" s="1" t="s">
        <v>3002</v>
      </c>
      <c r="B1812" t="s">
        <v>3003</v>
      </c>
      <c r="C1812" s="1" t="s">
        <v>541</v>
      </c>
      <c r="D1812" s="1" t="s">
        <v>541</v>
      </c>
      <c r="E1812" s="1" t="s">
        <v>541</v>
      </c>
      <c r="F1812" t="s">
        <v>542</v>
      </c>
      <c r="G1812" t="s">
        <v>9</v>
      </c>
      <c r="H1812" t="s">
        <v>10</v>
      </c>
      <c r="I1812" t="s">
        <v>1435</v>
      </c>
      <c r="J1812">
        <v>6.31</v>
      </c>
      <c r="K1812" t="e">
        <f>IF(COUNTIF(#REF!,Tabela2[[#This Row],[IdxWspolny]])&gt;0,"ELEM_lub_PRD","TECHN")</f>
        <v>#REF!</v>
      </c>
      <c r="L1812" t="e">
        <f>IF(COUNTIF(#REF!,Tabela2[[#This Row],[KOD_PRODUKTU]])&gt;0,"ELEMENT","PRODUKT")</f>
        <v>#REF!</v>
      </c>
      <c r="M1812" t="e">
        <f>COUNTIF(#REF!,Tabela2[[#This Row],[KOD_PRODUKTU]])</f>
        <v>#REF!</v>
      </c>
    </row>
    <row r="1813" spans="1:13" x14ac:dyDescent="0.25">
      <c r="A1813" s="1" t="s">
        <v>3005</v>
      </c>
      <c r="B1813" t="s">
        <v>3006</v>
      </c>
      <c r="C1813" s="1" t="s">
        <v>3007</v>
      </c>
      <c r="D1813" s="1" t="s">
        <v>3007</v>
      </c>
      <c r="E1813" s="1" t="s">
        <v>3007</v>
      </c>
      <c r="F1813" t="s">
        <v>3008</v>
      </c>
      <c r="G1813" t="s">
        <v>70</v>
      </c>
      <c r="H1813" t="s">
        <v>5</v>
      </c>
      <c r="I1813" t="s">
        <v>2214</v>
      </c>
      <c r="J1813">
        <v>4</v>
      </c>
      <c r="K1813" t="e">
        <f>IF(COUNTIF(#REF!,Tabela2[[#This Row],[IdxWspolny]])&gt;0,"ELEM_lub_PRD","TECHN")</f>
        <v>#REF!</v>
      </c>
      <c r="L1813" t="e">
        <f>IF(COUNTIF(#REF!,Tabela2[[#This Row],[KOD_PRODUKTU]])&gt;0,"ELEMENT","PRODUKT")</f>
        <v>#REF!</v>
      </c>
      <c r="M1813" t="e">
        <f>COUNTIF(#REF!,Tabela2[[#This Row],[KOD_PRODUKTU]])</f>
        <v>#REF!</v>
      </c>
    </row>
    <row r="1814" spans="1:13" x14ac:dyDescent="0.25">
      <c r="A1814" s="1" t="s">
        <v>3005</v>
      </c>
      <c r="B1814" t="s">
        <v>3006</v>
      </c>
      <c r="C1814" s="1" t="s">
        <v>432</v>
      </c>
      <c r="D1814" s="1" t="s">
        <v>432</v>
      </c>
      <c r="E1814" s="1" t="s">
        <v>432</v>
      </c>
      <c r="F1814" t="s">
        <v>433</v>
      </c>
      <c r="G1814" t="s">
        <v>434</v>
      </c>
      <c r="H1814" t="s">
        <v>435</v>
      </c>
      <c r="I1814" t="s">
        <v>50</v>
      </c>
      <c r="J1814">
        <v>1.1000000000000001</v>
      </c>
      <c r="K1814" t="e">
        <f>IF(COUNTIF(#REF!,Tabela2[[#This Row],[IdxWspolny]])&gt;0,"ELEM_lub_PRD","TECHN")</f>
        <v>#REF!</v>
      </c>
      <c r="L1814" t="e">
        <f>IF(COUNTIF(#REF!,Tabela2[[#This Row],[KOD_PRODUKTU]])&gt;0,"ELEMENT","PRODUKT")</f>
        <v>#REF!</v>
      </c>
      <c r="M1814" t="e">
        <f>COUNTIF(#REF!,Tabela2[[#This Row],[KOD_PRODUKTU]])</f>
        <v>#REF!</v>
      </c>
    </row>
    <row r="1815" spans="1:13" x14ac:dyDescent="0.25">
      <c r="A1815" s="1" t="s">
        <v>3005</v>
      </c>
      <c r="B1815" t="s">
        <v>3006</v>
      </c>
      <c r="C1815" s="1" t="s">
        <v>541</v>
      </c>
      <c r="D1815" s="1" t="s">
        <v>541</v>
      </c>
      <c r="E1815" s="1" t="s">
        <v>541</v>
      </c>
      <c r="F1815" t="s">
        <v>542</v>
      </c>
      <c r="G1815" t="s">
        <v>9</v>
      </c>
      <c r="H1815" t="s">
        <v>10</v>
      </c>
      <c r="I1815" t="s">
        <v>33</v>
      </c>
      <c r="J1815">
        <v>9.1999999999999993</v>
      </c>
      <c r="K1815" t="e">
        <f>IF(COUNTIF(#REF!,Tabela2[[#This Row],[IdxWspolny]])&gt;0,"ELEM_lub_PRD","TECHN")</f>
        <v>#REF!</v>
      </c>
      <c r="L1815" t="e">
        <f>IF(COUNTIF(#REF!,Tabela2[[#This Row],[KOD_PRODUKTU]])&gt;0,"ELEMENT","PRODUKT")</f>
        <v>#REF!</v>
      </c>
      <c r="M1815" t="e">
        <f>COUNTIF(#REF!,Tabela2[[#This Row],[KOD_PRODUKTU]])</f>
        <v>#REF!</v>
      </c>
    </row>
    <row r="1816" spans="1:13" x14ac:dyDescent="0.25">
      <c r="A1816" s="1" t="s">
        <v>3009</v>
      </c>
      <c r="B1816" t="s">
        <v>3010</v>
      </c>
      <c r="C1816" s="1" t="s">
        <v>3011</v>
      </c>
      <c r="D1816" s="1" t="s">
        <v>3011</v>
      </c>
      <c r="E1816" s="1" t="s">
        <v>3011</v>
      </c>
      <c r="F1816" t="s">
        <v>3012</v>
      </c>
      <c r="G1816" t="s">
        <v>1394</v>
      </c>
      <c r="H1816" t="s">
        <v>932</v>
      </c>
      <c r="I1816" t="s">
        <v>860</v>
      </c>
      <c r="J1816">
        <v>2</v>
      </c>
      <c r="K1816" t="e">
        <f>IF(COUNTIF(#REF!,Tabela2[[#This Row],[IdxWspolny]])&gt;0,"ELEM_lub_PRD","TECHN")</f>
        <v>#REF!</v>
      </c>
      <c r="L1816" t="e">
        <f>IF(COUNTIF(#REF!,Tabela2[[#This Row],[KOD_PRODUKTU]])&gt;0,"ELEMENT","PRODUKT")</f>
        <v>#REF!</v>
      </c>
      <c r="M1816" t="e">
        <f>COUNTIF(#REF!,Tabela2[[#This Row],[KOD_PRODUKTU]])</f>
        <v>#REF!</v>
      </c>
    </row>
    <row r="1817" spans="1:13" x14ac:dyDescent="0.25">
      <c r="A1817" s="1" t="s">
        <v>3009</v>
      </c>
      <c r="B1817" t="s">
        <v>3010</v>
      </c>
      <c r="C1817" s="1" t="s">
        <v>541</v>
      </c>
      <c r="D1817" s="1" t="s">
        <v>541</v>
      </c>
      <c r="E1817" s="1" t="s">
        <v>541</v>
      </c>
      <c r="F1817" t="s">
        <v>542</v>
      </c>
      <c r="G1817" t="s">
        <v>9</v>
      </c>
      <c r="H1817" t="s">
        <v>10</v>
      </c>
      <c r="I1817" t="s">
        <v>367</v>
      </c>
      <c r="J1817">
        <v>2.2999999999999998</v>
      </c>
      <c r="K1817" t="e">
        <f>IF(COUNTIF(#REF!,Tabela2[[#This Row],[IdxWspolny]])&gt;0,"ELEM_lub_PRD","TECHN")</f>
        <v>#REF!</v>
      </c>
      <c r="L1817" t="e">
        <f>IF(COUNTIF(#REF!,Tabela2[[#This Row],[KOD_PRODUKTU]])&gt;0,"ELEMENT","PRODUKT")</f>
        <v>#REF!</v>
      </c>
      <c r="M1817" t="e">
        <f>COUNTIF(#REF!,Tabela2[[#This Row],[KOD_PRODUKTU]])</f>
        <v>#REF!</v>
      </c>
    </row>
    <row r="1818" spans="1:13" x14ac:dyDescent="0.25">
      <c r="A1818" s="1" t="s">
        <v>3013</v>
      </c>
      <c r="B1818" t="s">
        <v>3014</v>
      </c>
      <c r="C1818" s="1" t="s">
        <v>3015</v>
      </c>
      <c r="D1818" s="1" t="s">
        <v>3015</v>
      </c>
      <c r="E1818" s="1" t="s">
        <v>3015</v>
      </c>
      <c r="F1818" t="s">
        <v>3016</v>
      </c>
      <c r="G1818" t="s">
        <v>3017</v>
      </c>
      <c r="H1818" t="s">
        <v>49</v>
      </c>
      <c r="I1818" t="s">
        <v>50</v>
      </c>
      <c r="J1818">
        <v>8.36</v>
      </c>
      <c r="K1818" t="e">
        <f>IF(COUNTIF(#REF!,Tabela2[[#This Row],[IdxWspolny]])&gt;0,"ELEM_lub_PRD","TECHN")</f>
        <v>#REF!</v>
      </c>
      <c r="L1818" t="e">
        <f>IF(COUNTIF(#REF!,Tabela2[[#This Row],[KOD_PRODUKTU]])&gt;0,"ELEMENT","PRODUKT")</f>
        <v>#REF!</v>
      </c>
      <c r="M1818" t="e">
        <f>COUNTIF(#REF!,Tabela2[[#This Row],[KOD_PRODUKTU]])</f>
        <v>#REF!</v>
      </c>
    </row>
    <row r="1819" spans="1:13" x14ac:dyDescent="0.25">
      <c r="A1819" s="1" t="s">
        <v>3013</v>
      </c>
      <c r="B1819" t="s">
        <v>3014</v>
      </c>
      <c r="C1819" s="1" t="s">
        <v>541</v>
      </c>
      <c r="D1819" s="1" t="s">
        <v>541</v>
      </c>
      <c r="E1819" s="1" t="s">
        <v>541</v>
      </c>
      <c r="F1819" t="s">
        <v>542</v>
      </c>
      <c r="G1819" t="s">
        <v>9</v>
      </c>
      <c r="H1819" t="s">
        <v>10</v>
      </c>
      <c r="I1819" t="s">
        <v>19</v>
      </c>
      <c r="J1819">
        <v>4.5999999999999996</v>
      </c>
      <c r="K1819" t="e">
        <f>IF(COUNTIF(#REF!,Tabela2[[#This Row],[IdxWspolny]])&gt;0,"ELEM_lub_PRD","TECHN")</f>
        <v>#REF!</v>
      </c>
      <c r="L1819" t="e">
        <f>IF(COUNTIF(#REF!,Tabela2[[#This Row],[KOD_PRODUKTU]])&gt;0,"ELEMENT","PRODUKT")</f>
        <v>#REF!</v>
      </c>
      <c r="M1819" t="e">
        <f>COUNTIF(#REF!,Tabela2[[#This Row],[KOD_PRODUKTU]])</f>
        <v>#REF!</v>
      </c>
    </row>
    <row r="1820" spans="1:13" x14ac:dyDescent="0.25">
      <c r="A1820" s="1" t="s">
        <v>3018</v>
      </c>
      <c r="B1820" t="s">
        <v>3019</v>
      </c>
      <c r="C1820" s="1" t="s">
        <v>3011</v>
      </c>
      <c r="D1820" s="1" t="s">
        <v>3011</v>
      </c>
      <c r="E1820" s="1" t="s">
        <v>3011</v>
      </c>
      <c r="F1820" t="s">
        <v>3012</v>
      </c>
      <c r="G1820" t="s">
        <v>1394</v>
      </c>
      <c r="H1820" t="s">
        <v>932</v>
      </c>
      <c r="I1820" t="s">
        <v>607</v>
      </c>
      <c r="J1820">
        <v>1.6</v>
      </c>
      <c r="K1820" t="e">
        <f>IF(COUNTIF(#REF!,Tabela2[[#This Row],[IdxWspolny]])&gt;0,"ELEM_lub_PRD","TECHN")</f>
        <v>#REF!</v>
      </c>
      <c r="L1820" t="e">
        <f>IF(COUNTIF(#REF!,Tabela2[[#This Row],[KOD_PRODUKTU]])&gt;0,"ELEMENT","PRODUKT")</f>
        <v>#REF!</v>
      </c>
      <c r="M1820" t="e">
        <f>COUNTIF(#REF!,Tabela2[[#This Row],[KOD_PRODUKTU]])</f>
        <v>#REF!</v>
      </c>
    </row>
    <row r="1821" spans="1:13" x14ac:dyDescent="0.25">
      <c r="A1821" s="1" t="s">
        <v>3018</v>
      </c>
      <c r="B1821" t="s">
        <v>3019</v>
      </c>
      <c r="C1821" s="1" t="s">
        <v>541</v>
      </c>
      <c r="D1821" s="1" t="s">
        <v>541</v>
      </c>
      <c r="E1821" s="1" t="s">
        <v>541</v>
      </c>
      <c r="F1821" t="s">
        <v>542</v>
      </c>
      <c r="G1821" t="s">
        <v>9</v>
      </c>
      <c r="H1821" t="s">
        <v>10</v>
      </c>
      <c r="I1821" t="s">
        <v>367</v>
      </c>
      <c r="J1821">
        <v>2.2999999999999998</v>
      </c>
      <c r="K1821" t="e">
        <f>IF(COUNTIF(#REF!,Tabela2[[#This Row],[IdxWspolny]])&gt;0,"ELEM_lub_PRD","TECHN")</f>
        <v>#REF!</v>
      </c>
      <c r="L1821" t="e">
        <f>IF(COUNTIF(#REF!,Tabela2[[#This Row],[KOD_PRODUKTU]])&gt;0,"ELEMENT","PRODUKT")</f>
        <v>#REF!</v>
      </c>
      <c r="M1821" t="e">
        <f>COUNTIF(#REF!,Tabela2[[#This Row],[KOD_PRODUKTU]])</f>
        <v>#REF!</v>
      </c>
    </row>
    <row r="1822" spans="1:13" x14ac:dyDescent="0.25">
      <c r="A1822" s="1" t="s">
        <v>3020</v>
      </c>
      <c r="B1822" t="s">
        <v>3021</v>
      </c>
      <c r="C1822" s="1" t="s">
        <v>3022</v>
      </c>
      <c r="D1822" s="1" t="s">
        <v>3022</v>
      </c>
      <c r="E1822" s="1" t="s">
        <v>3022</v>
      </c>
      <c r="F1822" t="s">
        <v>3023</v>
      </c>
      <c r="G1822" t="s">
        <v>2309</v>
      </c>
      <c r="H1822" t="s">
        <v>49</v>
      </c>
      <c r="I1822" t="s">
        <v>50</v>
      </c>
      <c r="J1822">
        <v>9.75</v>
      </c>
      <c r="K1822" t="e">
        <f>IF(COUNTIF(#REF!,Tabela2[[#This Row],[IdxWspolny]])&gt;0,"ELEM_lub_PRD","TECHN")</f>
        <v>#REF!</v>
      </c>
      <c r="L1822" t="e">
        <f>IF(COUNTIF(#REF!,Tabela2[[#This Row],[KOD_PRODUKTU]])&gt;0,"ELEMENT","PRODUKT")</f>
        <v>#REF!</v>
      </c>
      <c r="M1822" t="e">
        <f>COUNTIF(#REF!,Tabela2[[#This Row],[KOD_PRODUKTU]])</f>
        <v>#REF!</v>
      </c>
    </row>
    <row r="1823" spans="1:13" x14ac:dyDescent="0.25">
      <c r="A1823" s="1" t="s">
        <v>3020</v>
      </c>
      <c r="B1823" t="s">
        <v>3021</v>
      </c>
      <c r="C1823" s="1" t="s">
        <v>541</v>
      </c>
      <c r="D1823" s="1" t="s">
        <v>541</v>
      </c>
      <c r="E1823" s="1" t="s">
        <v>541</v>
      </c>
      <c r="F1823" t="s">
        <v>542</v>
      </c>
      <c r="G1823" t="s">
        <v>9</v>
      </c>
      <c r="H1823" t="s">
        <v>10</v>
      </c>
      <c r="I1823" t="s">
        <v>19</v>
      </c>
      <c r="J1823">
        <v>4.5999999999999996</v>
      </c>
      <c r="K1823" t="e">
        <f>IF(COUNTIF(#REF!,Tabela2[[#This Row],[IdxWspolny]])&gt;0,"ELEM_lub_PRD","TECHN")</f>
        <v>#REF!</v>
      </c>
      <c r="L1823" t="e">
        <f>IF(COUNTIF(#REF!,Tabela2[[#This Row],[KOD_PRODUKTU]])&gt;0,"ELEMENT","PRODUKT")</f>
        <v>#REF!</v>
      </c>
      <c r="M1823" t="e">
        <f>COUNTIF(#REF!,Tabela2[[#This Row],[KOD_PRODUKTU]])</f>
        <v>#REF!</v>
      </c>
    </row>
    <row r="1824" spans="1:13" x14ac:dyDescent="0.25">
      <c r="A1824" s="1" t="s">
        <v>3024</v>
      </c>
      <c r="B1824" t="s">
        <v>3025</v>
      </c>
      <c r="C1824" s="1" t="s">
        <v>3026</v>
      </c>
      <c r="D1824" s="1" t="s">
        <v>3026</v>
      </c>
      <c r="E1824" s="1" t="s">
        <v>3026</v>
      </c>
      <c r="F1824" t="s">
        <v>3027</v>
      </c>
      <c r="G1824" t="s">
        <v>70</v>
      </c>
      <c r="H1824" t="s">
        <v>5</v>
      </c>
      <c r="I1824" t="s">
        <v>3028</v>
      </c>
      <c r="J1824">
        <v>1.6</v>
      </c>
      <c r="K1824" t="e">
        <f>IF(COUNTIF(#REF!,Tabela2[[#This Row],[IdxWspolny]])&gt;0,"ELEM_lub_PRD","TECHN")</f>
        <v>#REF!</v>
      </c>
      <c r="L1824" t="e">
        <f>IF(COUNTIF(#REF!,Tabela2[[#This Row],[KOD_PRODUKTU]])&gt;0,"ELEMENT","PRODUKT")</f>
        <v>#REF!</v>
      </c>
      <c r="M1824" t="e">
        <f>COUNTIF(#REF!,Tabela2[[#This Row],[KOD_PRODUKTU]])</f>
        <v>#REF!</v>
      </c>
    </row>
    <row r="1825" spans="1:13" x14ac:dyDescent="0.25">
      <c r="A1825" s="1" t="s">
        <v>3024</v>
      </c>
      <c r="B1825" t="s">
        <v>3025</v>
      </c>
      <c r="C1825" s="1" t="s">
        <v>541</v>
      </c>
      <c r="D1825" s="1" t="s">
        <v>541</v>
      </c>
      <c r="E1825" s="1" t="s">
        <v>541</v>
      </c>
      <c r="F1825" t="s">
        <v>542</v>
      </c>
      <c r="G1825" t="s">
        <v>9</v>
      </c>
      <c r="H1825" t="s">
        <v>10</v>
      </c>
      <c r="I1825" t="s">
        <v>33</v>
      </c>
      <c r="J1825">
        <v>9.1999999999999993</v>
      </c>
      <c r="K1825" t="e">
        <f>IF(COUNTIF(#REF!,Tabela2[[#This Row],[IdxWspolny]])&gt;0,"ELEM_lub_PRD","TECHN")</f>
        <v>#REF!</v>
      </c>
      <c r="L1825" t="e">
        <f>IF(COUNTIF(#REF!,Tabela2[[#This Row],[KOD_PRODUKTU]])&gt;0,"ELEMENT","PRODUKT")</f>
        <v>#REF!</v>
      </c>
      <c r="M1825" t="e">
        <f>COUNTIF(#REF!,Tabela2[[#This Row],[KOD_PRODUKTU]])</f>
        <v>#REF!</v>
      </c>
    </row>
    <row r="1826" spans="1:13" x14ac:dyDescent="0.25">
      <c r="A1826" s="1" t="s">
        <v>3029</v>
      </c>
      <c r="B1826" t="s">
        <v>3030</v>
      </c>
      <c r="C1826" s="1" t="s">
        <v>29</v>
      </c>
      <c r="D1826" s="1" t="s">
        <v>29</v>
      </c>
      <c r="E1826" s="1" t="s">
        <v>29</v>
      </c>
      <c r="F1826" t="s">
        <v>30</v>
      </c>
      <c r="G1826" t="s">
        <v>31</v>
      </c>
      <c r="H1826" t="s">
        <v>5</v>
      </c>
      <c r="I1826" t="s">
        <v>3031</v>
      </c>
      <c r="J1826">
        <v>3.6</v>
      </c>
      <c r="K1826" t="e">
        <f>IF(COUNTIF(#REF!,Tabela2[[#This Row],[IdxWspolny]])&gt;0,"ELEM_lub_PRD","TECHN")</f>
        <v>#REF!</v>
      </c>
      <c r="L1826" t="e">
        <f>IF(COUNTIF(#REF!,Tabela2[[#This Row],[KOD_PRODUKTU]])&gt;0,"ELEMENT","PRODUKT")</f>
        <v>#REF!</v>
      </c>
      <c r="M1826" t="e">
        <f>COUNTIF(#REF!,Tabela2[[#This Row],[KOD_PRODUKTU]])</f>
        <v>#REF!</v>
      </c>
    </row>
    <row r="1827" spans="1:13" x14ac:dyDescent="0.25">
      <c r="A1827" s="1" t="s">
        <v>3029</v>
      </c>
      <c r="B1827" t="s">
        <v>3030</v>
      </c>
      <c r="C1827" s="1" t="s">
        <v>541</v>
      </c>
      <c r="D1827" s="1" t="s">
        <v>541</v>
      </c>
      <c r="E1827" s="1" t="s">
        <v>541</v>
      </c>
      <c r="F1827" t="s">
        <v>542</v>
      </c>
      <c r="G1827" t="s">
        <v>9</v>
      </c>
      <c r="H1827" t="s">
        <v>10</v>
      </c>
      <c r="I1827" t="s">
        <v>1435</v>
      </c>
      <c r="J1827">
        <v>6.31</v>
      </c>
      <c r="K1827" t="e">
        <f>IF(COUNTIF(#REF!,Tabela2[[#This Row],[IdxWspolny]])&gt;0,"ELEM_lub_PRD","TECHN")</f>
        <v>#REF!</v>
      </c>
      <c r="L1827" t="e">
        <f>IF(COUNTIF(#REF!,Tabela2[[#This Row],[KOD_PRODUKTU]])&gt;0,"ELEMENT","PRODUKT")</f>
        <v>#REF!</v>
      </c>
      <c r="M1827" t="e">
        <f>COUNTIF(#REF!,Tabela2[[#This Row],[KOD_PRODUKTU]])</f>
        <v>#REF!</v>
      </c>
    </row>
    <row r="1828" spans="1:13" x14ac:dyDescent="0.25">
      <c r="A1828" s="1" t="s">
        <v>3032</v>
      </c>
      <c r="B1828" t="s">
        <v>3033</v>
      </c>
      <c r="C1828" s="1" t="s">
        <v>3034</v>
      </c>
      <c r="D1828" s="1" t="s">
        <v>3034</v>
      </c>
      <c r="E1828" s="1" t="s">
        <v>3034</v>
      </c>
      <c r="F1828" t="s">
        <v>3035</v>
      </c>
      <c r="G1828" t="s">
        <v>83</v>
      </c>
      <c r="H1828" t="s">
        <v>17</v>
      </c>
      <c r="I1828" t="s">
        <v>3036</v>
      </c>
      <c r="J1828">
        <v>3.8</v>
      </c>
      <c r="K1828" t="e">
        <f>IF(COUNTIF(#REF!,Tabela2[[#This Row],[IdxWspolny]])&gt;0,"ELEM_lub_PRD","TECHN")</f>
        <v>#REF!</v>
      </c>
      <c r="L1828" t="e">
        <f>IF(COUNTIF(#REF!,Tabela2[[#This Row],[KOD_PRODUKTU]])&gt;0,"ELEMENT","PRODUKT")</f>
        <v>#REF!</v>
      </c>
      <c r="M1828" t="e">
        <f>COUNTIF(#REF!,Tabela2[[#This Row],[KOD_PRODUKTU]])</f>
        <v>#REF!</v>
      </c>
    </row>
    <row r="1829" spans="1:13" x14ac:dyDescent="0.25">
      <c r="A1829" s="1" t="s">
        <v>3032</v>
      </c>
      <c r="B1829" t="s">
        <v>3033</v>
      </c>
      <c r="C1829" s="1" t="s">
        <v>541</v>
      </c>
      <c r="D1829" s="1" t="s">
        <v>541</v>
      </c>
      <c r="E1829" s="1" t="s">
        <v>541</v>
      </c>
      <c r="F1829" t="s">
        <v>542</v>
      </c>
      <c r="G1829" t="s">
        <v>9</v>
      </c>
      <c r="H1829" t="s">
        <v>10</v>
      </c>
      <c r="I1829" t="s">
        <v>3037</v>
      </c>
      <c r="J1829">
        <v>3.83</v>
      </c>
      <c r="K1829" t="e">
        <f>IF(COUNTIF(#REF!,Tabela2[[#This Row],[IdxWspolny]])&gt;0,"ELEM_lub_PRD","TECHN")</f>
        <v>#REF!</v>
      </c>
      <c r="L1829" t="e">
        <f>IF(COUNTIF(#REF!,Tabela2[[#This Row],[KOD_PRODUKTU]])&gt;0,"ELEMENT","PRODUKT")</f>
        <v>#REF!</v>
      </c>
      <c r="M1829" t="e">
        <f>COUNTIF(#REF!,Tabela2[[#This Row],[KOD_PRODUKTU]])</f>
        <v>#REF!</v>
      </c>
    </row>
    <row r="1830" spans="1:13" x14ac:dyDescent="0.25">
      <c r="A1830" s="1" t="s">
        <v>3038</v>
      </c>
      <c r="B1830" t="s">
        <v>3039</v>
      </c>
      <c r="C1830" s="1" t="s">
        <v>2463</v>
      </c>
      <c r="D1830" s="1" t="s">
        <v>2463</v>
      </c>
      <c r="E1830" s="1" t="s">
        <v>2463</v>
      </c>
      <c r="F1830" t="s">
        <v>2464</v>
      </c>
      <c r="G1830" t="s">
        <v>216</v>
      </c>
      <c r="H1830" t="s">
        <v>5</v>
      </c>
      <c r="I1830" t="s">
        <v>3040</v>
      </c>
      <c r="J1830">
        <v>4.97</v>
      </c>
      <c r="K1830" t="e">
        <f>IF(COUNTIF(#REF!,Tabela2[[#This Row],[IdxWspolny]])&gt;0,"ELEM_lub_PRD","TECHN")</f>
        <v>#REF!</v>
      </c>
      <c r="L1830" t="e">
        <f>IF(COUNTIF(#REF!,Tabela2[[#This Row],[KOD_PRODUKTU]])&gt;0,"ELEMENT","PRODUKT")</f>
        <v>#REF!</v>
      </c>
      <c r="M1830" t="e">
        <f>COUNTIF(#REF!,Tabela2[[#This Row],[KOD_PRODUKTU]])</f>
        <v>#REF!</v>
      </c>
    </row>
    <row r="1831" spans="1:13" x14ac:dyDescent="0.25">
      <c r="A1831" s="1" t="s">
        <v>3038</v>
      </c>
      <c r="B1831" t="s">
        <v>3039</v>
      </c>
      <c r="C1831" s="1" t="s">
        <v>541</v>
      </c>
      <c r="D1831" s="1" t="s">
        <v>541</v>
      </c>
      <c r="E1831" s="1" t="s">
        <v>541</v>
      </c>
      <c r="F1831" t="s">
        <v>542</v>
      </c>
      <c r="G1831" t="s">
        <v>9</v>
      </c>
      <c r="H1831" t="s">
        <v>10</v>
      </c>
      <c r="I1831" t="s">
        <v>3041</v>
      </c>
      <c r="J1831">
        <v>9.69</v>
      </c>
      <c r="K1831" t="e">
        <f>IF(COUNTIF(#REF!,Tabela2[[#This Row],[IdxWspolny]])&gt;0,"ELEM_lub_PRD","TECHN")</f>
        <v>#REF!</v>
      </c>
      <c r="L1831" t="e">
        <f>IF(COUNTIF(#REF!,Tabela2[[#This Row],[KOD_PRODUKTU]])&gt;0,"ELEMENT","PRODUKT")</f>
        <v>#REF!</v>
      </c>
      <c r="M1831" t="e">
        <f>COUNTIF(#REF!,Tabela2[[#This Row],[KOD_PRODUKTU]])</f>
        <v>#REF!</v>
      </c>
    </row>
    <row r="1832" spans="1:13" x14ac:dyDescent="0.25">
      <c r="A1832" s="1" t="s">
        <v>3042</v>
      </c>
      <c r="B1832" t="s">
        <v>3043</v>
      </c>
      <c r="C1832" s="1" t="s">
        <v>429</v>
      </c>
      <c r="D1832" s="1" t="s">
        <v>429</v>
      </c>
      <c r="E1832" s="1" t="s">
        <v>429</v>
      </c>
      <c r="F1832" t="s">
        <v>430</v>
      </c>
      <c r="G1832" t="s">
        <v>145</v>
      </c>
      <c r="H1832" t="s">
        <v>5</v>
      </c>
      <c r="I1832" t="s">
        <v>3044</v>
      </c>
      <c r="J1832">
        <v>13.4</v>
      </c>
      <c r="K1832" t="e">
        <f>IF(COUNTIF(#REF!,Tabela2[[#This Row],[IdxWspolny]])&gt;0,"ELEM_lub_PRD","TECHN")</f>
        <v>#REF!</v>
      </c>
      <c r="L1832" t="e">
        <f>IF(COUNTIF(#REF!,Tabela2[[#This Row],[KOD_PRODUKTU]])&gt;0,"ELEMENT","PRODUKT")</f>
        <v>#REF!</v>
      </c>
      <c r="M1832" t="e">
        <f>COUNTIF(#REF!,Tabela2[[#This Row],[KOD_PRODUKTU]])</f>
        <v>#REF!</v>
      </c>
    </row>
    <row r="1833" spans="1:13" x14ac:dyDescent="0.25">
      <c r="A1833" s="1" t="s">
        <v>3042</v>
      </c>
      <c r="B1833" t="s">
        <v>3043</v>
      </c>
      <c r="C1833" s="1" t="s">
        <v>7</v>
      </c>
      <c r="D1833" s="1" t="s">
        <v>7</v>
      </c>
      <c r="E1833" s="1" t="s">
        <v>7</v>
      </c>
      <c r="F1833" t="s">
        <v>8</v>
      </c>
      <c r="G1833" t="s">
        <v>9</v>
      </c>
      <c r="H1833" t="s">
        <v>10</v>
      </c>
      <c r="I1833" t="s">
        <v>2471</v>
      </c>
      <c r="J1833">
        <v>12.1</v>
      </c>
      <c r="K1833" t="e">
        <f>IF(COUNTIF(#REF!,Tabela2[[#This Row],[IdxWspolny]])&gt;0,"ELEM_lub_PRD","TECHN")</f>
        <v>#REF!</v>
      </c>
      <c r="L1833" t="e">
        <f>IF(COUNTIF(#REF!,Tabela2[[#This Row],[KOD_PRODUKTU]])&gt;0,"ELEMENT","PRODUKT")</f>
        <v>#REF!</v>
      </c>
      <c r="M1833" t="e">
        <f>COUNTIF(#REF!,Tabela2[[#This Row],[KOD_PRODUKTU]])</f>
        <v>#REF!</v>
      </c>
    </row>
    <row r="1834" spans="1:13" x14ac:dyDescent="0.25">
      <c r="A1834" s="1" t="s">
        <v>3045</v>
      </c>
      <c r="B1834" t="s">
        <v>3046</v>
      </c>
      <c r="C1834" s="1" t="s">
        <v>7</v>
      </c>
      <c r="D1834" s="1" t="s">
        <v>7</v>
      </c>
      <c r="E1834" s="1" t="s">
        <v>7</v>
      </c>
      <c r="F1834" t="s">
        <v>8</v>
      </c>
      <c r="G1834" t="s">
        <v>9</v>
      </c>
      <c r="H1834" t="s">
        <v>10</v>
      </c>
      <c r="I1834" t="s">
        <v>3047</v>
      </c>
      <c r="J1834">
        <v>4.83</v>
      </c>
      <c r="K1834" t="e">
        <f>IF(COUNTIF(#REF!,Tabela2[[#This Row],[IdxWspolny]])&gt;0,"ELEM_lub_PRD","TECHN")</f>
        <v>#REF!</v>
      </c>
      <c r="L1834" t="e">
        <f>IF(COUNTIF(#REF!,Tabela2[[#This Row],[KOD_PRODUKTU]])&gt;0,"ELEMENT","PRODUKT")</f>
        <v>#REF!</v>
      </c>
      <c r="M1834" t="e">
        <f>COUNTIF(#REF!,Tabela2[[#This Row],[KOD_PRODUKTU]])</f>
        <v>#REF!</v>
      </c>
    </row>
    <row r="1835" spans="1:13" x14ac:dyDescent="0.25">
      <c r="A1835" s="1" t="s">
        <v>3048</v>
      </c>
      <c r="B1835" t="s">
        <v>3049</v>
      </c>
      <c r="C1835" s="1" t="s">
        <v>22</v>
      </c>
      <c r="D1835" s="1" t="s">
        <v>22</v>
      </c>
      <c r="E1835" s="1" t="s">
        <v>22</v>
      </c>
      <c r="F1835" t="s">
        <v>23</v>
      </c>
      <c r="G1835" t="s">
        <v>3050</v>
      </c>
      <c r="H1835" t="s">
        <v>17</v>
      </c>
      <c r="I1835" t="s">
        <v>3051</v>
      </c>
      <c r="J1835">
        <v>40.049999999999997</v>
      </c>
      <c r="K1835" t="e">
        <f>IF(COUNTIF(#REF!,Tabela2[[#This Row],[IdxWspolny]])&gt;0,"ELEM_lub_PRD","TECHN")</f>
        <v>#REF!</v>
      </c>
      <c r="L1835" t="e">
        <f>IF(COUNTIF(#REF!,Tabela2[[#This Row],[KOD_PRODUKTU]])&gt;0,"ELEMENT","PRODUKT")</f>
        <v>#REF!</v>
      </c>
      <c r="M1835" t="e">
        <f>COUNTIF(#REF!,Tabela2[[#This Row],[KOD_PRODUKTU]])</f>
        <v>#REF!</v>
      </c>
    </row>
    <row r="1836" spans="1:13" x14ac:dyDescent="0.25">
      <c r="A1836" s="1" t="s">
        <v>3048</v>
      </c>
      <c r="B1836" t="s">
        <v>3049</v>
      </c>
      <c r="C1836" s="1" t="s">
        <v>7</v>
      </c>
      <c r="D1836" s="1" t="s">
        <v>7</v>
      </c>
      <c r="E1836" s="1" t="s">
        <v>7</v>
      </c>
      <c r="F1836" t="s">
        <v>8</v>
      </c>
      <c r="G1836" t="s">
        <v>9</v>
      </c>
      <c r="H1836" t="s">
        <v>10</v>
      </c>
      <c r="I1836" t="s">
        <v>2756</v>
      </c>
      <c r="J1836">
        <v>5.85</v>
      </c>
      <c r="K1836" t="e">
        <f>IF(COUNTIF(#REF!,Tabela2[[#This Row],[IdxWspolny]])&gt;0,"ELEM_lub_PRD","TECHN")</f>
        <v>#REF!</v>
      </c>
      <c r="L1836" t="e">
        <f>IF(COUNTIF(#REF!,Tabela2[[#This Row],[KOD_PRODUKTU]])&gt;0,"ELEMENT","PRODUKT")</f>
        <v>#REF!</v>
      </c>
      <c r="M1836" t="e">
        <f>COUNTIF(#REF!,Tabela2[[#This Row],[KOD_PRODUKTU]])</f>
        <v>#REF!</v>
      </c>
    </row>
    <row r="1837" spans="1:13" x14ac:dyDescent="0.25">
      <c r="A1837" s="1" t="s">
        <v>2632</v>
      </c>
      <c r="B1837" t="s">
        <v>2633</v>
      </c>
      <c r="C1837" s="1" t="s">
        <v>1249</v>
      </c>
      <c r="D1837" s="1" t="s">
        <v>1249</v>
      </c>
      <c r="E1837" s="1" t="s">
        <v>1249</v>
      </c>
      <c r="F1837" t="s">
        <v>1250</v>
      </c>
      <c r="G1837" t="s">
        <v>1251</v>
      </c>
      <c r="H1837" t="s">
        <v>1252</v>
      </c>
      <c r="I1837" t="s">
        <v>1772</v>
      </c>
      <c r="J1837">
        <v>180</v>
      </c>
      <c r="K1837" t="e">
        <f>IF(COUNTIF(#REF!,Tabela2[[#This Row],[IdxWspolny]])&gt;0,"ELEM_lub_PRD","TECHN")</f>
        <v>#REF!</v>
      </c>
      <c r="L1837" t="e">
        <f>IF(COUNTIF(#REF!,Tabela2[[#This Row],[KOD_PRODUKTU]])&gt;0,"ELEMENT","PRODUKT")</f>
        <v>#REF!</v>
      </c>
      <c r="M1837" t="e">
        <f>COUNTIF(#REF!,Tabela2[[#This Row],[KOD_PRODUKTU]])</f>
        <v>#REF!</v>
      </c>
    </row>
    <row r="1838" spans="1:13" x14ac:dyDescent="0.25">
      <c r="A1838" s="1" t="s">
        <v>2632</v>
      </c>
      <c r="B1838" t="s">
        <v>2633</v>
      </c>
      <c r="C1838" s="1" t="s">
        <v>7</v>
      </c>
      <c r="D1838" s="1" t="s">
        <v>7</v>
      </c>
      <c r="E1838" s="1" t="s">
        <v>7</v>
      </c>
      <c r="F1838" t="s">
        <v>8</v>
      </c>
      <c r="G1838" t="s">
        <v>9</v>
      </c>
      <c r="H1838" t="s">
        <v>10</v>
      </c>
      <c r="I1838" t="s">
        <v>3052</v>
      </c>
      <c r="J1838">
        <v>78.06</v>
      </c>
      <c r="K1838" t="e">
        <f>IF(COUNTIF(#REF!,Tabela2[[#This Row],[IdxWspolny]])&gt;0,"ELEM_lub_PRD","TECHN")</f>
        <v>#REF!</v>
      </c>
      <c r="L1838" t="e">
        <f>IF(COUNTIF(#REF!,Tabela2[[#This Row],[KOD_PRODUKTU]])&gt;0,"ELEMENT","PRODUKT")</f>
        <v>#REF!</v>
      </c>
      <c r="M1838" t="e">
        <f>COUNTIF(#REF!,Tabela2[[#This Row],[KOD_PRODUKTU]])</f>
        <v>#REF!</v>
      </c>
    </row>
    <row r="1839" spans="1:13" x14ac:dyDescent="0.25">
      <c r="A1839" s="1" t="s">
        <v>2635</v>
      </c>
      <c r="B1839" t="s">
        <v>3053</v>
      </c>
      <c r="C1839" s="1" t="s">
        <v>1249</v>
      </c>
      <c r="D1839" s="1" t="s">
        <v>1249</v>
      </c>
      <c r="E1839" s="1" t="s">
        <v>1249</v>
      </c>
      <c r="F1839" t="s">
        <v>1250</v>
      </c>
      <c r="G1839" t="s">
        <v>1251</v>
      </c>
      <c r="H1839" t="s">
        <v>1252</v>
      </c>
      <c r="I1839" t="s">
        <v>2302</v>
      </c>
      <c r="J1839">
        <v>96</v>
      </c>
      <c r="K1839" t="e">
        <f>IF(COUNTIF(#REF!,Tabela2[[#This Row],[IdxWspolny]])&gt;0,"ELEM_lub_PRD","TECHN")</f>
        <v>#REF!</v>
      </c>
      <c r="L1839" t="e">
        <f>IF(COUNTIF(#REF!,Tabela2[[#This Row],[KOD_PRODUKTU]])&gt;0,"ELEMENT","PRODUKT")</f>
        <v>#REF!</v>
      </c>
      <c r="M1839" t="e">
        <f>COUNTIF(#REF!,Tabela2[[#This Row],[KOD_PRODUKTU]])</f>
        <v>#REF!</v>
      </c>
    </row>
    <row r="1840" spans="1:13" x14ac:dyDescent="0.25">
      <c r="A1840" s="1" t="s">
        <v>2635</v>
      </c>
      <c r="B1840" t="s">
        <v>3053</v>
      </c>
      <c r="C1840" s="1" t="s">
        <v>7</v>
      </c>
      <c r="D1840" s="1" t="s">
        <v>7</v>
      </c>
      <c r="E1840" s="1" t="s">
        <v>7</v>
      </c>
      <c r="F1840" t="s">
        <v>8</v>
      </c>
      <c r="G1840" t="s">
        <v>9</v>
      </c>
      <c r="H1840" t="s">
        <v>10</v>
      </c>
      <c r="I1840" t="s">
        <v>3054</v>
      </c>
      <c r="J1840">
        <v>80.5</v>
      </c>
      <c r="K1840" t="e">
        <f>IF(COUNTIF(#REF!,Tabela2[[#This Row],[IdxWspolny]])&gt;0,"ELEM_lub_PRD","TECHN")</f>
        <v>#REF!</v>
      </c>
      <c r="L1840" t="e">
        <f>IF(COUNTIF(#REF!,Tabela2[[#This Row],[KOD_PRODUKTU]])&gt;0,"ELEMENT","PRODUKT")</f>
        <v>#REF!</v>
      </c>
      <c r="M1840" t="e">
        <f>COUNTIF(#REF!,Tabela2[[#This Row],[KOD_PRODUKTU]])</f>
        <v>#REF!</v>
      </c>
    </row>
    <row r="1841" spans="1:13" x14ac:dyDescent="0.25">
      <c r="A1841" s="1" t="s">
        <v>2638</v>
      </c>
      <c r="B1841" t="s">
        <v>3055</v>
      </c>
      <c r="C1841" s="1" t="s">
        <v>1249</v>
      </c>
      <c r="D1841" s="1" t="s">
        <v>1249</v>
      </c>
      <c r="E1841" s="1" t="s">
        <v>1249</v>
      </c>
      <c r="F1841" t="s">
        <v>1250</v>
      </c>
      <c r="G1841" t="s">
        <v>1251</v>
      </c>
      <c r="H1841" t="s">
        <v>1252</v>
      </c>
      <c r="I1841" t="s">
        <v>3056</v>
      </c>
      <c r="J1841">
        <v>78</v>
      </c>
      <c r="K1841" t="e">
        <f>IF(COUNTIF(#REF!,Tabela2[[#This Row],[IdxWspolny]])&gt;0,"ELEM_lub_PRD","TECHN")</f>
        <v>#REF!</v>
      </c>
      <c r="L1841" t="e">
        <f>IF(COUNTIF(#REF!,Tabela2[[#This Row],[KOD_PRODUKTU]])&gt;0,"ELEMENT","PRODUKT")</f>
        <v>#REF!</v>
      </c>
      <c r="M1841" t="e">
        <f>COUNTIF(#REF!,Tabela2[[#This Row],[KOD_PRODUKTU]])</f>
        <v>#REF!</v>
      </c>
    </row>
    <row r="1842" spans="1:13" x14ac:dyDescent="0.25">
      <c r="A1842" s="1" t="s">
        <v>2638</v>
      </c>
      <c r="B1842" t="s">
        <v>3055</v>
      </c>
      <c r="C1842" s="1" t="s">
        <v>7</v>
      </c>
      <c r="D1842" s="1" t="s">
        <v>7</v>
      </c>
      <c r="E1842" s="1" t="s">
        <v>7</v>
      </c>
      <c r="F1842" t="s">
        <v>8</v>
      </c>
      <c r="G1842" t="s">
        <v>9</v>
      </c>
      <c r="H1842" t="s">
        <v>10</v>
      </c>
      <c r="I1842" t="s">
        <v>3057</v>
      </c>
      <c r="J1842">
        <v>37.950000000000003</v>
      </c>
      <c r="K1842" t="e">
        <f>IF(COUNTIF(#REF!,Tabela2[[#This Row],[IdxWspolny]])&gt;0,"ELEM_lub_PRD","TECHN")</f>
        <v>#REF!</v>
      </c>
      <c r="L1842" t="e">
        <f>IF(COUNTIF(#REF!,Tabela2[[#This Row],[KOD_PRODUKTU]])&gt;0,"ELEMENT","PRODUKT")</f>
        <v>#REF!</v>
      </c>
      <c r="M1842" t="e">
        <f>COUNTIF(#REF!,Tabela2[[#This Row],[KOD_PRODUKTU]])</f>
        <v>#REF!</v>
      </c>
    </row>
    <row r="1843" spans="1:13" x14ac:dyDescent="0.25">
      <c r="A1843" s="1" t="s">
        <v>3058</v>
      </c>
      <c r="B1843" t="s">
        <v>3059</v>
      </c>
      <c r="C1843" s="1" t="s">
        <v>1249</v>
      </c>
      <c r="D1843" s="1" t="s">
        <v>1249</v>
      </c>
      <c r="E1843" s="1" t="s">
        <v>1249</v>
      </c>
      <c r="F1843" t="s">
        <v>1250</v>
      </c>
      <c r="G1843" t="s">
        <v>1251</v>
      </c>
      <c r="H1843" t="s">
        <v>1252</v>
      </c>
      <c r="I1843" t="s">
        <v>3060</v>
      </c>
      <c r="J1843">
        <v>7.32</v>
      </c>
      <c r="K1843" t="e">
        <f>IF(COUNTIF(#REF!,Tabela2[[#This Row],[IdxWspolny]])&gt;0,"ELEM_lub_PRD","TECHN")</f>
        <v>#REF!</v>
      </c>
      <c r="L1843" t="e">
        <f>IF(COUNTIF(#REF!,Tabela2[[#This Row],[KOD_PRODUKTU]])&gt;0,"ELEMENT","PRODUKT")</f>
        <v>#REF!</v>
      </c>
      <c r="M1843" t="e">
        <f>COUNTIF(#REF!,Tabela2[[#This Row],[KOD_PRODUKTU]])</f>
        <v>#REF!</v>
      </c>
    </row>
    <row r="1844" spans="1:13" x14ac:dyDescent="0.25">
      <c r="A1844" s="1" t="s">
        <v>3058</v>
      </c>
      <c r="B1844" t="s">
        <v>3059</v>
      </c>
      <c r="C1844" s="1" t="s">
        <v>1022</v>
      </c>
      <c r="D1844" s="1" t="s">
        <v>1022</v>
      </c>
      <c r="E1844" s="1" t="s">
        <v>1022</v>
      </c>
      <c r="F1844" t="s">
        <v>1023</v>
      </c>
      <c r="G1844" t="s">
        <v>1024</v>
      </c>
      <c r="H1844" t="s">
        <v>932</v>
      </c>
      <c r="I1844" t="s">
        <v>3061</v>
      </c>
      <c r="J1844">
        <v>4.57</v>
      </c>
      <c r="K1844" t="e">
        <f>IF(COUNTIF(#REF!,Tabela2[[#This Row],[IdxWspolny]])&gt;0,"ELEM_lub_PRD","TECHN")</f>
        <v>#REF!</v>
      </c>
      <c r="L1844" t="e">
        <f>IF(COUNTIF(#REF!,Tabela2[[#This Row],[KOD_PRODUKTU]])&gt;0,"ELEMENT","PRODUKT")</f>
        <v>#REF!</v>
      </c>
      <c r="M1844" t="e">
        <f>COUNTIF(#REF!,Tabela2[[#This Row],[KOD_PRODUKTU]])</f>
        <v>#REF!</v>
      </c>
    </row>
    <row r="1845" spans="1:13" x14ac:dyDescent="0.25">
      <c r="A1845" s="1" t="s">
        <v>3058</v>
      </c>
      <c r="B1845" t="s">
        <v>3059</v>
      </c>
      <c r="C1845" s="1" t="s">
        <v>7</v>
      </c>
      <c r="D1845" s="1" t="s">
        <v>7</v>
      </c>
      <c r="E1845" s="1" t="s">
        <v>7</v>
      </c>
      <c r="F1845" t="s">
        <v>8</v>
      </c>
      <c r="G1845" t="s">
        <v>9</v>
      </c>
      <c r="H1845" t="s">
        <v>10</v>
      </c>
      <c r="I1845" t="s">
        <v>607</v>
      </c>
      <c r="J1845">
        <v>18.399999999999999</v>
      </c>
      <c r="K1845" t="e">
        <f>IF(COUNTIF(#REF!,Tabela2[[#This Row],[IdxWspolny]])&gt;0,"ELEM_lub_PRD","TECHN")</f>
        <v>#REF!</v>
      </c>
      <c r="L1845" t="e">
        <f>IF(COUNTIF(#REF!,Tabela2[[#This Row],[KOD_PRODUKTU]])&gt;0,"ELEMENT","PRODUKT")</f>
        <v>#REF!</v>
      </c>
      <c r="M1845" t="e">
        <f>COUNTIF(#REF!,Tabela2[[#This Row],[KOD_PRODUKTU]])</f>
        <v>#REF!</v>
      </c>
    </row>
    <row r="1846" spans="1:13" x14ac:dyDescent="0.25">
      <c r="A1846" s="1" t="s">
        <v>1091</v>
      </c>
      <c r="B1846" t="s">
        <v>3062</v>
      </c>
      <c r="C1846" s="1" t="s">
        <v>3063</v>
      </c>
      <c r="D1846" s="1" t="s">
        <v>3063</v>
      </c>
      <c r="E1846" s="1" t="s">
        <v>3063</v>
      </c>
      <c r="F1846" t="s">
        <v>3064</v>
      </c>
      <c r="G1846" t="s">
        <v>1017</v>
      </c>
      <c r="H1846" t="s">
        <v>5</v>
      </c>
      <c r="I1846" t="s">
        <v>3065</v>
      </c>
      <c r="J1846">
        <v>4.3499999999999996</v>
      </c>
      <c r="K1846" t="e">
        <f>IF(COUNTIF(#REF!,Tabela2[[#This Row],[IdxWspolny]])&gt;0,"ELEM_lub_PRD","TECHN")</f>
        <v>#REF!</v>
      </c>
      <c r="L1846" t="e">
        <f>IF(COUNTIF(#REF!,Tabela2[[#This Row],[KOD_PRODUKTU]])&gt;0,"ELEMENT","PRODUKT")</f>
        <v>#REF!</v>
      </c>
      <c r="M1846" t="e">
        <f>COUNTIF(#REF!,Tabela2[[#This Row],[KOD_PRODUKTU]])</f>
        <v>#REF!</v>
      </c>
    </row>
    <row r="1847" spans="1:13" x14ac:dyDescent="0.25">
      <c r="A1847" s="1" t="s">
        <v>1091</v>
      </c>
      <c r="B1847" t="s">
        <v>3062</v>
      </c>
      <c r="C1847" s="1" t="s">
        <v>7</v>
      </c>
      <c r="D1847" s="1" t="s">
        <v>7</v>
      </c>
      <c r="E1847" s="1" t="s">
        <v>7</v>
      </c>
      <c r="F1847" t="s">
        <v>8</v>
      </c>
      <c r="G1847" t="s">
        <v>9</v>
      </c>
      <c r="H1847" t="s">
        <v>10</v>
      </c>
      <c r="I1847" t="s">
        <v>1254</v>
      </c>
      <c r="J1847">
        <v>16.100000000000001</v>
      </c>
      <c r="K1847" t="e">
        <f>IF(COUNTIF(#REF!,Tabela2[[#This Row],[IdxWspolny]])&gt;0,"ELEM_lub_PRD","TECHN")</f>
        <v>#REF!</v>
      </c>
      <c r="L1847" t="e">
        <f>IF(COUNTIF(#REF!,Tabela2[[#This Row],[KOD_PRODUKTU]])&gt;0,"ELEMENT","PRODUKT")</f>
        <v>#REF!</v>
      </c>
      <c r="M1847" t="e">
        <f>COUNTIF(#REF!,Tabela2[[#This Row],[KOD_PRODUKTU]])</f>
        <v>#REF!</v>
      </c>
    </row>
    <row r="1848" spans="1:13" x14ac:dyDescent="0.25">
      <c r="A1848" s="1" t="s">
        <v>3066</v>
      </c>
      <c r="B1848" t="s">
        <v>3067</v>
      </c>
      <c r="C1848" s="1" t="s">
        <v>2479</v>
      </c>
      <c r="D1848" s="1" t="s">
        <v>2479</v>
      </c>
      <c r="E1848" s="1" t="s">
        <v>2479</v>
      </c>
      <c r="F1848" t="s">
        <v>2480</v>
      </c>
      <c r="G1848" t="s">
        <v>2469</v>
      </c>
      <c r="H1848" t="s">
        <v>5</v>
      </c>
      <c r="I1848" t="s">
        <v>3068</v>
      </c>
      <c r="J1848">
        <v>1.2</v>
      </c>
      <c r="K1848" t="e">
        <f>IF(COUNTIF(#REF!,Tabela2[[#This Row],[IdxWspolny]])&gt;0,"ELEM_lub_PRD","TECHN")</f>
        <v>#REF!</v>
      </c>
      <c r="L1848" t="e">
        <f>IF(COUNTIF(#REF!,Tabela2[[#This Row],[KOD_PRODUKTU]])&gt;0,"ELEMENT","PRODUKT")</f>
        <v>#REF!</v>
      </c>
      <c r="M1848" t="e">
        <f>COUNTIF(#REF!,Tabela2[[#This Row],[KOD_PRODUKTU]])</f>
        <v>#REF!</v>
      </c>
    </row>
    <row r="1849" spans="1:13" x14ac:dyDescent="0.25">
      <c r="A1849" s="1" t="s">
        <v>3066</v>
      </c>
      <c r="B1849" t="s">
        <v>3067</v>
      </c>
      <c r="C1849" s="1" t="s">
        <v>541</v>
      </c>
      <c r="D1849" s="1" t="s">
        <v>541</v>
      </c>
      <c r="E1849" s="1" t="s">
        <v>541</v>
      </c>
      <c r="F1849" t="s">
        <v>542</v>
      </c>
      <c r="G1849" t="s">
        <v>9</v>
      </c>
      <c r="H1849" t="s">
        <v>10</v>
      </c>
      <c r="I1849" t="s">
        <v>1729</v>
      </c>
      <c r="J1849">
        <v>7.23</v>
      </c>
      <c r="K1849" t="e">
        <f>IF(COUNTIF(#REF!,Tabela2[[#This Row],[IdxWspolny]])&gt;0,"ELEM_lub_PRD","TECHN")</f>
        <v>#REF!</v>
      </c>
      <c r="L1849" t="e">
        <f>IF(COUNTIF(#REF!,Tabela2[[#This Row],[KOD_PRODUKTU]])&gt;0,"ELEMENT","PRODUKT")</f>
        <v>#REF!</v>
      </c>
      <c r="M1849" t="e">
        <f>COUNTIF(#REF!,Tabela2[[#This Row],[KOD_PRODUKTU]])</f>
        <v>#REF!</v>
      </c>
    </row>
    <row r="1850" spans="1:13" x14ac:dyDescent="0.25">
      <c r="A1850" s="1" t="s">
        <v>3069</v>
      </c>
      <c r="B1850" t="s">
        <v>3070</v>
      </c>
      <c r="C1850" s="1" t="s">
        <v>3071</v>
      </c>
      <c r="D1850" s="1" t="s">
        <v>3071</v>
      </c>
      <c r="E1850" s="1" t="s">
        <v>3071</v>
      </c>
      <c r="F1850" t="s">
        <v>3072</v>
      </c>
      <c r="G1850" t="s">
        <v>879</v>
      </c>
      <c r="H1850" t="s">
        <v>17</v>
      </c>
      <c r="I1850" t="s">
        <v>3073</v>
      </c>
      <c r="J1850">
        <v>0.65</v>
      </c>
      <c r="K1850" t="e">
        <f>IF(COUNTIF(#REF!,Tabela2[[#This Row],[IdxWspolny]])&gt;0,"ELEM_lub_PRD","TECHN")</f>
        <v>#REF!</v>
      </c>
      <c r="L1850" t="e">
        <f>IF(COUNTIF(#REF!,Tabela2[[#This Row],[KOD_PRODUKTU]])&gt;0,"ELEMENT","PRODUKT")</f>
        <v>#REF!</v>
      </c>
      <c r="M1850" t="e">
        <f>COUNTIF(#REF!,Tabela2[[#This Row],[KOD_PRODUKTU]])</f>
        <v>#REF!</v>
      </c>
    </row>
    <row r="1851" spans="1:13" x14ac:dyDescent="0.25">
      <c r="A1851" s="1" t="s">
        <v>3069</v>
      </c>
      <c r="B1851" t="s">
        <v>3070</v>
      </c>
      <c r="C1851" s="1" t="s">
        <v>541</v>
      </c>
      <c r="D1851" s="1" t="s">
        <v>541</v>
      </c>
      <c r="E1851" s="1" t="s">
        <v>541</v>
      </c>
      <c r="F1851" t="s">
        <v>542</v>
      </c>
      <c r="G1851" t="s">
        <v>9</v>
      </c>
      <c r="H1851" t="s">
        <v>10</v>
      </c>
      <c r="I1851" t="s">
        <v>3074</v>
      </c>
      <c r="J1851">
        <v>7.67</v>
      </c>
      <c r="K1851" t="e">
        <f>IF(COUNTIF(#REF!,Tabela2[[#This Row],[IdxWspolny]])&gt;0,"ELEM_lub_PRD","TECHN")</f>
        <v>#REF!</v>
      </c>
      <c r="L1851" t="e">
        <f>IF(COUNTIF(#REF!,Tabela2[[#This Row],[KOD_PRODUKTU]])&gt;0,"ELEMENT","PRODUKT")</f>
        <v>#REF!</v>
      </c>
      <c r="M1851" t="e">
        <f>COUNTIF(#REF!,Tabela2[[#This Row],[KOD_PRODUKTU]])</f>
        <v>#REF!</v>
      </c>
    </row>
    <row r="1852" spans="1:13" x14ac:dyDescent="0.25">
      <c r="A1852" s="1" t="s">
        <v>3075</v>
      </c>
      <c r="B1852" t="s">
        <v>3076</v>
      </c>
      <c r="C1852" s="1" t="s">
        <v>3077</v>
      </c>
      <c r="D1852" s="1" t="s">
        <v>3077</v>
      </c>
      <c r="E1852" s="1" t="s">
        <v>3077</v>
      </c>
      <c r="F1852" t="s">
        <v>3078</v>
      </c>
      <c r="G1852" t="s">
        <v>2883</v>
      </c>
      <c r="H1852" t="s">
        <v>5</v>
      </c>
      <c r="I1852" t="s">
        <v>3079</v>
      </c>
      <c r="J1852">
        <v>2.1800000000000002</v>
      </c>
      <c r="K1852" t="e">
        <f>IF(COUNTIF(#REF!,Tabela2[[#This Row],[IdxWspolny]])&gt;0,"ELEM_lub_PRD","TECHN")</f>
        <v>#REF!</v>
      </c>
      <c r="L1852" t="e">
        <f>IF(COUNTIF(#REF!,Tabela2[[#This Row],[KOD_PRODUKTU]])&gt;0,"ELEMENT","PRODUKT")</f>
        <v>#REF!</v>
      </c>
      <c r="M1852" t="e">
        <f>COUNTIF(#REF!,Tabela2[[#This Row],[KOD_PRODUKTU]])</f>
        <v>#REF!</v>
      </c>
    </row>
    <row r="1853" spans="1:13" x14ac:dyDescent="0.25">
      <c r="A1853" s="1" t="s">
        <v>3075</v>
      </c>
      <c r="B1853" t="s">
        <v>3076</v>
      </c>
      <c r="C1853" s="1" t="s">
        <v>41</v>
      </c>
      <c r="D1853" s="1" t="s">
        <v>41</v>
      </c>
      <c r="E1853" s="1" t="s">
        <v>41</v>
      </c>
      <c r="F1853" t="s">
        <v>42</v>
      </c>
      <c r="G1853" t="s">
        <v>43</v>
      </c>
      <c r="H1853" t="s">
        <v>5</v>
      </c>
      <c r="I1853" t="s">
        <v>550</v>
      </c>
      <c r="J1853">
        <v>0.02</v>
      </c>
      <c r="K1853" t="e">
        <f>IF(COUNTIF(#REF!,Tabela2[[#This Row],[IdxWspolny]])&gt;0,"ELEM_lub_PRD","TECHN")</f>
        <v>#REF!</v>
      </c>
      <c r="L1853" t="e">
        <f>IF(COUNTIF(#REF!,Tabela2[[#This Row],[KOD_PRODUKTU]])&gt;0,"ELEMENT","PRODUKT")</f>
        <v>#REF!</v>
      </c>
      <c r="M1853" t="e">
        <f>COUNTIF(#REF!,Tabela2[[#This Row],[KOD_PRODUKTU]])</f>
        <v>#REF!</v>
      </c>
    </row>
    <row r="1854" spans="1:13" x14ac:dyDescent="0.25">
      <c r="A1854" s="1" t="s">
        <v>3075</v>
      </c>
      <c r="B1854" t="s">
        <v>3076</v>
      </c>
      <c r="C1854" s="1" t="s">
        <v>7</v>
      </c>
      <c r="D1854" s="1" t="s">
        <v>7</v>
      </c>
      <c r="E1854" s="1" t="s">
        <v>7</v>
      </c>
      <c r="F1854" t="s">
        <v>8</v>
      </c>
      <c r="G1854" t="s">
        <v>9</v>
      </c>
      <c r="H1854" t="s">
        <v>10</v>
      </c>
      <c r="I1854" t="s">
        <v>2482</v>
      </c>
      <c r="J1854">
        <v>5.3</v>
      </c>
      <c r="K1854" t="e">
        <f>IF(COUNTIF(#REF!,Tabela2[[#This Row],[IdxWspolny]])&gt;0,"ELEM_lub_PRD","TECHN")</f>
        <v>#REF!</v>
      </c>
      <c r="L1854" t="e">
        <f>IF(COUNTIF(#REF!,Tabela2[[#This Row],[KOD_PRODUKTU]])&gt;0,"ELEMENT","PRODUKT")</f>
        <v>#REF!</v>
      </c>
      <c r="M1854" t="e">
        <f>COUNTIF(#REF!,Tabela2[[#This Row],[KOD_PRODUKTU]])</f>
        <v>#REF!</v>
      </c>
    </row>
    <row r="1855" spans="1:13" x14ac:dyDescent="0.25">
      <c r="A1855" s="1" t="s">
        <v>3080</v>
      </c>
      <c r="B1855" t="s">
        <v>3081</v>
      </c>
      <c r="C1855" s="1" t="s">
        <v>3082</v>
      </c>
      <c r="D1855" s="1" t="s">
        <v>3082</v>
      </c>
      <c r="E1855" s="1" t="s">
        <v>3082</v>
      </c>
      <c r="F1855" t="s">
        <v>3083</v>
      </c>
      <c r="G1855" t="s">
        <v>1110</v>
      </c>
      <c r="H1855" t="s">
        <v>17</v>
      </c>
      <c r="I1855" t="s">
        <v>367</v>
      </c>
      <c r="J1855">
        <v>2.4500000000000002</v>
      </c>
      <c r="K1855" t="e">
        <f>IF(COUNTIF(#REF!,Tabela2[[#This Row],[IdxWspolny]])&gt;0,"ELEM_lub_PRD","TECHN")</f>
        <v>#REF!</v>
      </c>
      <c r="L1855" t="e">
        <f>IF(COUNTIF(#REF!,Tabela2[[#This Row],[KOD_PRODUKTU]])&gt;0,"ELEMENT","PRODUKT")</f>
        <v>#REF!</v>
      </c>
      <c r="M1855" t="e">
        <f>COUNTIF(#REF!,Tabela2[[#This Row],[KOD_PRODUKTU]])</f>
        <v>#REF!</v>
      </c>
    </row>
    <row r="1856" spans="1:13" x14ac:dyDescent="0.25">
      <c r="A1856" s="1" t="s">
        <v>3080</v>
      </c>
      <c r="B1856" t="s">
        <v>3081</v>
      </c>
      <c r="C1856" s="1" t="s">
        <v>7</v>
      </c>
      <c r="D1856" s="1" t="s">
        <v>7</v>
      </c>
      <c r="E1856" s="1" t="s">
        <v>7</v>
      </c>
      <c r="F1856" t="s">
        <v>8</v>
      </c>
      <c r="G1856" t="s">
        <v>9</v>
      </c>
      <c r="H1856" t="s">
        <v>10</v>
      </c>
      <c r="I1856" t="s">
        <v>3084</v>
      </c>
      <c r="J1856">
        <v>7.65</v>
      </c>
      <c r="K1856" t="e">
        <f>IF(COUNTIF(#REF!,Tabela2[[#This Row],[IdxWspolny]])&gt;0,"ELEM_lub_PRD","TECHN")</f>
        <v>#REF!</v>
      </c>
      <c r="L1856" t="e">
        <f>IF(COUNTIF(#REF!,Tabela2[[#This Row],[KOD_PRODUKTU]])&gt;0,"ELEMENT","PRODUKT")</f>
        <v>#REF!</v>
      </c>
      <c r="M1856" t="e">
        <f>COUNTIF(#REF!,Tabela2[[#This Row],[KOD_PRODUKTU]])</f>
        <v>#REF!</v>
      </c>
    </row>
    <row r="1857" spans="1:13" x14ac:dyDescent="0.25">
      <c r="A1857" s="1" t="s">
        <v>3085</v>
      </c>
      <c r="B1857" t="s">
        <v>3086</v>
      </c>
      <c r="C1857" s="1" t="s">
        <v>3087</v>
      </c>
      <c r="D1857" s="1" t="s">
        <v>3087</v>
      </c>
      <c r="E1857" s="1" t="s">
        <v>3087</v>
      </c>
      <c r="F1857" t="s">
        <v>3088</v>
      </c>
      <c r="G1857" t="s">
        <v>3089</v>
      </c>
      <c r="H1857" t="s">
        <v>17</v>
      </c>
      <c r="I1857" t="s">
        <v>3090</v>
      </c>
      <c r="J1857">
        <v>12.4</v>
      </c>
      <c r="K1857" t="e">
        <f>IF(COUNTIF(#REF!,Tabela2[[#This Row],[IdxWspolny]])&gt;0,"ELEM_lub_PRD","TECHN")</f>
        <v>#REF!</v>
      </c>
      <c r="L1857" t="e">
        <f>IF(COUNTIF(#REF!,Tabela2[[#This Row],[KOD_PRODUKTU]])&gt;0,"ELEMENT","PRODUKT")</f>
        <v>#REF!</v>
      </c>
      <c r="M1857" t="e">
        <f>COUNTIF(#REF!,Tabela2[[#This Row],[KOD_PRODUKTU]])</f>
        <v>#REF!</v>
      </c>
    </row>
    <row r="1858" spans="1:13" x14ac:dyDescent="0.25">
      <c r="A1858" s="1" t="s">
        <v>3085</v>
      </c>
      <c r="B1858" t="s">
        <v>3086</v>
      </c>
      <c r="C1858" s="1" t="s">
        <v>7</v>
      </c>
      <c r="D1858" s="1" t="s">
        <v>7</v>
      </c>
      <c r="E1858" s="1" t="s">
        <v>7</v>
      </c>
      <c r="F1858" t="s">
        <v>8</v>
      </c>
      <c r="G1858" t="s">
        <v>9</v>
      </c>
      <c r="H1858" t="s">
        <v>10</v>
      </c>
      <c r="I1858" t="s">
        <v>3091</v>
      </c>
      <c r="J1858">
        <v>8.6</v>
      </c>
      <c r="K1858" t="e">
        <f>IF(COUNTIF(#REF!,Tabela2[[#This Row],[IdxWspolny]])&gt;0,"ELEM_lub_PRD","TECHN")</f>
        <v>#REF!</v>
      </c>
      <c r="L1858" t="e">
        <f>IF(COUNTIF(#REF!,Tabela2[[#This Row],[KOD_PRODUKTU]])&gt;0,"ELEMENT","PRODUKT")</f>
        <v>#REF!</v>
      </c>
      <c r="M1858" t="e">
        <f>COUNTIF(#REF!,Tabela2[[#This Row],[KOD_PRODUKTU]])</f>
        <v>#REF!</v>
      </c>
    </row>
    <row r="1859" spans="1:13" x14ac:dyDescent="0.25">
      <c r="A1859" s="1" t="s">
        <v>3092</v>
      </c>
      <c r="B1859" t="s">
        <v>3093</v>
      </c>
      <c r="C1859" s="1" t="s">
        <v>3094</v>
      </c>
      <c r="D1859" s="1" t="s">
        <v>3094</v>
      </c>
      <c r="E1859" s="1" t="s">
        <v>3094</v>
      </c>
      <c r="F1859" t="s">
        <v>3095</v>
      </c>
      <c r="G1859" t="s">
        <v>3096</v>
      </c>
      <c r="H1859" t="s">
        <v>17</v>
      </c>
      <c r="I1859" t="s">
        <v>3097</v>
      </c>
      <c r="J1859">
        <v>60.5</v>
      </c>
      <c r="K1859" t="e">
        <f>IF(COUNTIF(#REF!,Tabela2[[#This Row],[IdxWspolny]])&gt;0,"ELEM_lub_PRD","TECHN")</f>
        <v>#REF!</v>
      </c>
      <c r="L1859" t="e">
        <f>IF(COUNTIF(#REF!,Tabela2[[#This Row],[KOD_PRODUKTU]])&gt;0,"ELEMENT","PRODUKT")</f>
        <v>#REF!</v>
      </c>
      <c r="M1859" t="e">
        <f>COUNTIF(#REF!,Tabela2[[#This Row],[KOD_PRODUKTU]])</f>
        <v>#REF!</v>
      </c>
    </row>
    <row r="1860" spans="1:13" x14ac:dyDescent="0.25">
      <c r="A1860" s="1" t="s">
        <v>3092</v>
      </c>
      <c r="B1860" t="s">
        <v>3093</v>
      </c>
      <c r="C1860" s="1" t="s">
        <v>7</v>
      </c>
      <c r="D1860" s="1" t="s">
        <v>7</v>
      </c>
      <c r="E1860" s="1" t="s">
        <v>7</v>
      </c>
      <c r="F1860" t="s">
        <v>8</v>
      </c>
      <c r="G1860" t="s">
        <v>9</v>
      </c>
      <c r="H1860" t="s">
        <v>10</v>
      </c>
      <c r="I1860" t="s">
        <v>3098</v>
      </c>
      <c r="J1860">
        <v>12.3</v>
      </c>
      <c r="K1860" t="e">
        <f>IF(COUNTIF(#REF!,Tabela2[[#This Row],[IdxWspolny]])&gt;0,"ELEM_lub_PRD","TECHN")</f>
        <v>#REF!</v>
      </c>
      <c r="L1860" t="e">
        <f>IF(COUNTIF(#REF!,Tabela2[[#This Row],[KOD_PRODUKTU]])&gt;0,"ELEMENT","PRODUKT")</f>
        <v>#REF!</v>
      </c>
      <c r="M1860" t="e">
        <f>COUNTIF(#REF!,Tabela2[[#This Row],[KOD_PRODUKTU]])</f>
        <v>#REF!</v>
      </c>
    </row>
    <row r="1861" spans="1:13" x14ac:dyDescent="0.25">
      <c r="A1861" s="1" t="s">
        <v>3099</v>
      </c>
      <c r="B1861" t="s">
        <v>3100</v>
      </c>
      <c r="C1861" s="1" t="s">
        <v>1041</v>
      </c>
      <c r="D1861" s="1" t="s">
        <v>1041</v>
      </c>
      <c r="E1861" s="1" t="s">
        <v>1041</v>
      </c>
      <c r="F1861" t="s">
        <v>1042</v>
      </c>
      <c r="G1861" t="s">
        <v>712</v>
      </c>
      <c r="H1861" t="s">
        <v>17</v>
      </c>
      <c r="I1861" t="s">
        <v>3101</v>
      </c>
      <c r="J1861">
        <v>2.2000000000000002</v>
      </c>
      <c r="K1861" t="e">
        <f>IF(COUNTIF(#REF!,Tabela2[[#This Row],[IdxWspolny]])&gt;0,"ELEM_lub_PRD","TECHN")</f>
        <v>#REF!</v>
      </c>
      <c r="L1861" t="e">
        <f>IF(COUNTIF(#REF!,Tabela2[[#This Row],[KOD_PRODUKTU]])&gt;0,"ELEMENT","PRODUKT")</f>
        <v>#REF!</v>
      </c>
      <c r="M1861" t="e">
        <f>COUNTIF(#REF!,Tabela2[[#This Row],[KOD_PRODUKTU]])</f>
        <v>#REF!</v>
      </c>
    </row>
    <row r="1862" spans="1:13" x14ac:dyDescent="0.25">
      <c r="A1862" s="1" t="s">
        <v>3099</v>
      </c>
      <c r="B1862" t="s">
        <v>3100</v>
      </c>
      <c r="C1862" s="1" t="s">
        <v>7</v>
      </c>
      <c r="D1862" s="1" t="s">
        <v>7</v>
      </c>
      <c r="E1862" s="1" t="s">
        <v>7</v>
      </c>
      <c r="F1862" t="s">
        <v>8</v>
      </c>
      <c r="G1862" t="s">
        <v>9</v>
      </c>
      <c r="H1862" t="s">
        <v>10</v>
      </c>
      <c r="I1862" t="s">
        <v>3102</v>
      </c>
      <c r="J1862">
        <v>4.95</v>
      </c>
      <c r="K1862" t="e">
        <f>IF(COUNTIF(#REF!,Tabela2[[#This Row],[IdxWspolny]])&gt;0,"ELEM_lub_PRD","TECHN")</f>
        <v>#REF!</v>
      </c>
      <c r="L1862" t="e">
        <f>IF(COUNTIF(#REF!,Tabela2[[#This Row],[KOD_PRODUKTU]])&gt;0,"ELEMENT","PRODUKT")</f>
        <v>#REF!</v>
      </c>
      <c r="M1862" t="e">
        <f>COUNTIF(#REF!,Tabela2[[#This Row],[KOD_PRODUKTU]])</f>
        <v>#REF!</v>
      </c>
    </row>
    <row r="1863" spans="1:13" x14ac:dyDescent="0.25">
      <c r="A1863" s="1" t="s">
        <v>3103</v>
      </c>
      <c r="B1863" t="s">
        <v>3104</v>
      </c>
      <c r="C1863" s="1" t="s">
        <v>1041</v>
      </c>
      <c r="D1863" s="1" t="s">
        <v>1041</v>
      </c>
      <c r="E1863" s="1" t="s">
        <v>1041</v>
      </c>
      <c r="F1863" t="s">
        <v>1042</v>
      </c>
      <c r="G1863" t="s">
        <v>712</v>
      </c>
      <c r="H1863" t="s">
        <v>17</v>
      </c>
      <c r="I1863" t="s">
        <v>3105</v>
      </c>
      <c r="J1863">
        <v>1.1499999999999999</v>
      </c>
      <c r="K1863" t="e">
        <f>IF(COUNTIF(#REF!,Tabela2[[#This Row],[IdxWspolny]])&gt;0,"ELEM_lub_PRD","TECHN")</f>
        <v>#REF!</v>
      </c>
      <c r="L1863" t="e">
        <f>IF(COUNTIF(#REF!,Tabela2[[#This Row],[KOD_PRODUKTU]])&gt;0,"ELEMENT","PRODUKT")</f>
        <v>#REF!</v>
      </c>
      <c r="M1863" t="e">
        <f>COUNTIF(#REF!,Tabela2[[#This Row],[KOD_PRODUKTU]])</f>
        <v>#REF!</v>
      </c>
    </row>
    <row r="1864" spans="1:13" x14ac:dyDescent="0.25">
      <c r="A1864" s="1" t="s">
        <v>3103</v>
      </c>
      <c r="B1864" t="s">
        <v>3104</v>
      </c>
      <c r="C1864" s="1" t="s">
        <v>541</v>
      </c>
      <c r="D1864" s="1" t="s">
        <v>541</v>
      </c>
      <c r="E1864" s="1" t="s">
        <v>541</v>
      </c>
      <c r="F1864" t="s">
        <v>542</v>
      </c>
      <c r="G1864" t="s">
        <v>9</v>
      </c>
      <c r="H1864" t="s">
        <v>10</v>
      </c>
      <c r="I1864" t="s">
        <v>3106</v>
      </c>
      <c r="J1864">
        <v>4.42</v>
      </c>
      <c r="K1864" t="e">
        <f>IF(COUNTIF(#REF!,Tabela2[[#This Row],[IdxWspolny]])&gt;0,"ELEM_lub_PRD","TECHN")</f>
        <v>#REF!</v>
      </c>
      <c r="L1864" t="e">
        <f>IF(COUNTIF(#REF!,Tabela2[[#This Row],[KOD_PRODUKTU]])&gt;0,"ELEMENT","PRODUKT")</f>
        <v>#REF!</v>
      </c>
      <c r="M1864" t="e">
        <f>COUNTIF(#REF!,Tabela2[[#This Row],[KOD_PRODUKTU]])</f>
        <v>#REF!</v>
      </c>
    </row>
    <row r="1865" spans="1:13" x14ac:dyDescent="0.25">
      <c r="A1865" s="1" t="s">
        <v>3107</v>
      </c>
      <c r="B1865" t="s">
        <v>3108</v>
      </c>
      <c r="C1865" s="1" t="s">
        <v>3109</v>
      </c>
      <c r="D1865" s="1" t="s">
        <v>3109</v>
      </c>
      <c r="E1865" s="1" t="s">
        <v>3109</v>
      </c>
      <c r="F1865" t="s">
        <v>3110</v>
      </c>
      <c r="G1865" t="s">
        <v>43</v>
      </c>
      <c r="H1865" t="s">
        <v>5</v>
      </c>
      <c r="I1865" t="s">
        <v>367</v>
      </c>
      <c r="J1865">
        <v>0.28999999999999998</v>
      </c>
      <c r="K1865" t="e">
        <f>IF(COUNTIF(#REF!,Tabela2[[#This Row],[IdxWspolny]])&gt;0,"ELEM_lub_PRD","TECHN")</f>
        <v>#REF!</v>
      </c>
      <c r="L1865" t="e">
        <f>IF(COUNTIF(#REF!,Tabela2[[#This Row],[KOD_PRODUKTU]])&gt;0,"ELEMENT","PRODUKT")</f>
        <v>#REF!</v>
      </c>
      <c r="M1865" t="e">
        <f>COUNTIF(#REF!,Tabela2[[#This Row],[KOD_PRODUKTU]])</f>
        <v>#REF!</v>
      </c>
    </row>
    <row r="1866" spans="1:13" x14ac:dyDescent="0.25">
      <c r="A1866" s="1" t="s">
        <v>3107</v>
      </c>
      <c r="B1866" t="s">
        <v>3108</v>
      </c>
      <c r="C1866" s="1" t="s">
        <v>541</v>
      </c>
      <c r="D1866" s="1" t="s">
        <v>541</v>
      </c>
      <c r="E1866" s="1" t="s">
        <v>541</v>
      </c>
      <c r="F1866" t="s">
        <v>542</v>
      </c>
      <c r="G1866" t="s">
        <v>9</v>
      </c>
      <c r="H1866" t="s">
        <v>10</v>
      </c>
      <c r="I1866" t="s">
        <v>3111</v>
      </c>
      <c r="J1866">
        <v>5.58</v>
      </c>
      <c r="K1866" t="e">
        <f>IF(COUNTIF(#REF!,Tabela2[[#This Row],[IdxWspolny]])&gt;0,"ELEM_lub_PRD","TECHN")</f>
        <v>#REF!</v>
      </c>
      <c r="L1866" t="e">
        <f>IF(COUNTIF(#REF!,Tabela2[[#This Row],[KOD_PRODUKTU]])&gt;0,"ELEMENT","PRODUKT")</f>
        <v>#REF!</v>
      </c>
      <c r="M1866" t="e">
        <f>COUNTIF(#REF!,Tabela2[[#This Row],[KOD_PRODUKTU]])</f>
        <v>#REF!</v>
      </c>
    </row>
    <row r="1867" spans="1:13" x14ac:dyDescent="0.25">
      <c r="A1867" s="1" t="s">
        <v>3112</v>
      </c>
      <c r="B1867" t="s">
        <v>3108</v>
      </c>
      <c r="C1867" s="1" t="s">
        <v>3109</v>
      </c>
      <c r="D1867" s="1" t="s">
        <v>3109</v>
      </c>
      <c r="E1867" s="1" t="s">
        <v>3109</v>
      </c>
      <c r="F1867" t="s">
        <v>3110</v>
      </c>
      <c r="G1867" t="s">
        <v>43</v>
      </c>
      <c r="H1867" t="s">
        <v>5</v>
      </c>
      <c r="I1867" t="s">
        <v>3113</v>
      </c>
      <c r="J1867">
        <v>0.35</v>
      </c>
      <c r="K1867" t="e">
        <f>IF(COUNTIF(#REF!,Tabela2[[#This Row],[IdxWspolny]])&gt;0,"ELEM_lub_PRD","TECHN")</f>
        <v>#REF!</v>
      </c>
      <c r="L1867" t="e">
        <f>IF(COUNTIF(#REF!,Tabela2[[#This Row],[KOD_PRODUKTU]])&gt;0,"ELEMENT","PRODUKT")</f>
        <v>#REF!</v>
      </c>
      <c r="M1867" t="e">
        <f>COUNTIF(#REF!,Tabela2[[#This Row],[KOD_PRODUKTU]])</f>
        <v>#REF!</v>
      </c>
    </row>
    <row r="1868" spans="1:13" x14ac:dyDescent="0.25">
      <c r="A1868" s="1" t="s">
        <v>3112</v>
      </c>
      <c r="B1868" t="s">
        <v>3108</v>
      </c>
      <c r="C1868" s="1" t="s">
        <v>7</v>
      </c>
      <c r="D1868" s="1" t="s">
        <v>7</v>
      </c>
      <c r="E1868" s="1" t="s">
        <v>7</v>
      </c>
      <c r="F1868" t="s">
        <v>8</v>
      </c>
      <c r="G1868" t="s">
        <v>9</v>
      </c>
      <c r="H1868" t="s">
        <v>10</v>
      </c>
      <c r="I1868" t="s">
        <v>3114</v>
      </c>
      <c r="J1868">
        <v>6.25</v>
      </c>
      <c r="K1868" t="e">
        <f>IF(COUNTIF(#REF!,Tabela2[[#This Row],[IdxWspolny]])&gt;0,"ELEM_lub_PRD","TECHN")</f>
        <v>#REF!</v>
      </c>
      <c r="L1868" t="e">
        <f>IF(COUNTIF(#REF!,Tabela2[[#This Row],[KOD_PRODUKTU]])&gt;0,"ELEMENT","PRODUKT")</f>
        <v>#REF!</v>
      </c>
      <c r="M1868" t="e">
        <f>COUNTIF(#REF!,Tabela2[[#This Row],[KOD_PRODUKTU]])</f>
        <v>#REF!</v>
      </c>
    </row>
    <row r="1869" spans="1:13" x14ac:dyDescent="0.25">
      <c r="A1869" s="1" t="s">
        <v>3115</v>
      </c>
      <c r="B1869" t="s">
        <v>3116</v>
      </c>
      <c r="C1869" s="1" t="s">
        <v>3117</v>
      </c>
      <c r="D1869" s="1" t="s">
        <v>3117</v>
      </c>
      <c r="E1869" s="1" t="s">
        <v>3117</v>
      </c>
      <c r="F1869" t="s">
        <v>3118</v>
      </c>
      <c r="G1869" t="s">
        <v>3119</v>
      </c>
      <c r="H1869" t="s">
        <v>17</v>
      </c>
      <c r="I1869" t="s">
        <v>992</v>
      </c>
      <c r="J1869">
        <v>58.5</v>
      </c>
      <c r="K1869" t="e">
        <f>IF(COUNTIF(#REF!,Tabela2[[#This Row],[IdxWspolny]])&gt;0,"ELEM_lub_PRD","TECHN")</f>
        <v>#REF!</v>
      </c>
      <c r="L1869" t="e">
        <f>IF(COUNTIF(#REF!,Tabela2[[#This Row],[KOD_PRODUKTU]])&gt;0,"ELEMENT","PRODUKT")</f>
        <v>#REF!</v>
      </c>
      <c r="M1869" t="e">
        <f>COUNTIF(#REF!,Tabela2[[#This Row],[KOD_PRODUKTU]])</f>
        <v>#REF!</v>
      </c>
    </row>
    <row r="1870" spans="1:13" x14ac:dyDescent="0.25">
      <c r="A1870" s="1" t="s">
        <v>3115</v>
      </c>
      <c r="B1870" t="s">
        <v>3116</v>
      </c>
      <c r="C1870" s="1" t="s">
        <v>541</v>
      </c>
      <c r="D1870" s="1" t="s">
        <v>541</v>
      </c>
      <c r="E1870" s="1" t="s">
        <v>541</v>
      </c>
      <c r="F1870" t="s">
        <v>542</v>
      </c>
      <c r="G1870" t="s">
        <v>9</v>
      </c>
      <c r="H1870" t="s">
        <v>10</v>
      </c>
      <c r="I1870" t="s">
        <v>594</v>
      </c>
      <c r="J1870">
        <v>11.5</v>
      </c>
      <c r="K1870" t="e">
        <f>IF(COUNTIF(#REF!,Tabela2[[#This Row],[IdxWspolny]])&gt;0,"ELEM_lub_PRD","TECHN")</f>
        <v>#REF!</v>
      </c>
      <c r="L1870" t="e">
        <f>IF(COUNTIF(#REF!,Tabela2[[#This Row],[KOD_PRODUKTU]])&gt;0,"ELEMENT","PRODUKT")</f>
        <v>#REF!</v>
      </c>
      <c r="M1870" t="e">
        <f>COUNTIF(#REF!,Tabela2[[#This Row],[KOD_PRODUKTU]])</f>
        <v>#REF!</v>
      </c>
    </row>
    <row r="1871" spans="1:13" x14ac:dyDescent="0.25">
      <c r="A1871" s="1" t="s">
        <v>3120</v>
      </c>
      <c r="B1871" t="s">
        <v>3121</v>
      </c>
      <c r="C1871" s="1" t="s">
        <v>3122</v>
      </c>
      <c r="D1871" s="1" t="s">
        <v>3122</v>
      </c>
      <c r="E1871" s="1" t="s">
        <v>3122</v>
      </c>
      <c r="F1871" t="s">
        <v>3123</v>
      </c>
      <c r="G1871" t="s">
        <v>3124</v>
      </c>
      <c r="H1871" t="s">
        <v>17</v>
      </c>
      <c r="I1871" t="s">
        <v>3125</v>
      </c>
      <c r="J1871">
        <v>24.3</v>
      </c>
      <c r="K1871" t="e">
        <f>IF(COUNTIF(#REF!,Tabela2[[#This Row],[IdxWspolny]])&gt;0,"ELEM_lub_PRD","TECHN")</f>
        <v>#REF!</v>
      </c>
      <c r="L1871" t="e">
        <f>IF(COUNTIF(#REF!,Tabela2[[#This Row],[KOD_PRODUKTU]])&gt;0,"ELEMENT","PRODUKT")</f>
        <v>#REF!</v>
      </c>
      <c r="M1871" t="e">
        <f>COUNTIF(#REF!,Tabela2[[#This Row],[KOD_PRODUKTU]])</f>
        <v>#REF!</v>
      </c>
    </row>
    <row r="1872" spans="1:13" x14ac:dyDescent="0.25">
      <c r="A1872" s="1" t="s">
        <v>3120</v>
      </c>
      <c r="B1872" t="s">
        <v>3121</v>
      </c>
      <c r="C1872" s="1" t="s">
        <v>3126</v>
      </c>
      <c r="D1872" s="1" t="s">
        <v>3126</v>
      </c>
      <c r="E1872" s="1" t="s">
        <v>3126</v>
      </c>
      <c r="F1872" t="s">
        <v>3127</v>
      </c>
      <c r="G1872" t="s">
        <v>3128</v>
      </c>
      <c r="H1872" t="s">
        <v>49</v>
      </c>
      <c r="I1872" t="s">
        <v>50</v>
      </c>
      <c r="J1872">
        <v>96.2</v>
      </c>
      <c r="K1872" t="e">
        <f>IF(COUNTIF(#REF!,Tabela2[[#This Row],[IdxWspolny]])&gt;0,"ELEM_lub_PRD","TECHN")</f>
        <v>#REF!</v>
      </c>
      <c r="L1872" t="e">
        <f>IF(COUNTIF(#REF!,Tabela2[[#This Row],[KOD_PRODUKTU]])&gt;0,"ELEMENT","PRODUKT")</f>
        <v>#REF!</v>
      </c>
      <c r="M1872" t="e">
        <f>COUNTIF(#REF!,Tabela2[[#This Row],[KOD_PRODUKTU]])</f>
        <v>#REF!</v>
      </c>
    </row>
    <row r="1873" spans="1:14" x14ac:dyDescent="0.25">
      <c r="A1873" s="1" t="s">
        <v>3120</v>
      </c>
      <c r="B1873" t="s">
        <v>3121</v>
      </c>
      <c r="C1873" s="1" t="s">
        <v>3129</v>
      </c>
      <c r="D1873" s="1" t="s">
        <v>3129</v>
      </c>
      <c r="E1873" s="1" t="s">
        <v>3129</v>
      </c>
      <c r="F1873" t="s">
        <v>3130</v>
      </c>
      <c r="G1873" t="s">
        <v>3131</v>
      </c>
      <c r="H1873" t="s">
        <v>49</v>
      </c>
      <c r="I1873" t="s">
        <v>50</v>
      </c>
      <c r="J1873">
        <v>91</v>
      </c>
      <c r="K1873" t="e">
        <f>IF(COUNTIF(#REF!,Tabela2[[#This Row],[IdxWspolny]])&gt;0,"ELEM_lub_PRD","TECHN")</f>
        <v>#REF!</v>
      </c>
      <c r="L1873" t="e">
        <f>IF(COUNTIF(#REF!,Tabela2[[#This Row],[KOD_PRODUKTU]])&gt;0,"ELEMENT","PRODUKT")</f>
        <v>#REF!</v>
      </c>
      <c r="M1873" t="e">
        <f>COUNTIF(#REF!,Tabela2[[#This Row],[KOD_PRODUKTU]])</f>
        <v>#REF!</v>
      </c>
    </row>
    <row r="1874" spans="1:14" x14ac:dyDescent="0.25">
      <c r="A1874" s="1" t="s">
        <v>3120</v>
      </c>
      <c r="B1874" t="s">
        <v>3121</v>
      </c>
      <c r="C1874" s="1" t="s">
        <v>1989</v>
      </c>
      <c r="D1874" s="1" t="s">
        <v>1989</v>
      </c>
      <c r="E1874" s="1" t="s">
        <v>1989</v>
      </c>
      <c r="F1874" t="s">
        <v>1990</v>
      </c>
      <c r="G1874" t="s">
        <v>1991</v>
      </c>
      <c r="H1874" t="s">
        <v>435</v>
      </c>
      <c r="I1874" t="s">
        <v>3132</v>
      </c>
      <c r="J1874">
        <v>15.3</v>
      </c>
      <c r="K1874" t="e">
        <f>IF(COUNTIF(#REF!,Tabela2[[#This Row],[IdxWspolny]])&gt;0,"ELEM_lub_PRD","TECHN")</f>
        <v>#REF!</v>
      </c>
      <c r="L1874" t="e">
        <f>IF(COUNTIF(#REF!,Tabela2[[#This Row],[KOD_PRODUKTU]])&gt;0,"ELEMENT","PRODUKT")</f>
        <v>#REF!</v>
      </c>
      <c r="M1874" t="e">
        <f>COUNTIF(#REF!,Tabela2[[#This Row],[KOD_PRODUKTU]])</f>
        <v>#REF!</v>
      </c>
    </row>
    <row r="1875" spans="1:14" x14ac:dyDescent="0.25">
      <c r="A1875" s="1" t="s">
        <v>3120</v>
      </c>
      <c r="B1875" t="s">
        <v>3121</v>
      </c>
      <c r="C1875" s="1" t="s">
        <v>688</v>
      </c>
      <c r="D1875" s="1" t="s">
        <v>688</v>
      </c>
      <c r="E1875" s="1" t="s">
        <v>688</v>
      </c>
      <c r="F1875" t="s">
        <v>689</v>
      </c>
      <c r="G1875" t="s">
        <v>9</v>
      </c>
      <c r="H1875" t="s">
        <v>10</v>
      </c>
      <c r="I1875" t="s">
        <v>3133</v>
      </c>
      <c r="J1875">
        <v>23.85</v>
      </c>
      <c r="K1875" t="e">
        <f>IF(COUNTIF(#REF!,Tabela2[[#This Row],[IdxWspolny]])&gt;0,"ELEM_lub_PRD","TECHN")</f>
        <v>#REF!</v>
      </c>
      <c r="L1875" t="e">
        <f>IF(COUNTIF(#REF!,Tabela2[[#This Row],[KOD_PRODUKTU]])&gt;0,"ELEMENT","PRODUKT")</f>
        <v>#REF!</v>
      </c>
      <c r="M1875" t="e">
        <f>COUNTIF(#REF!,Tabela2[[#This Row],[KOD_PRODUKTU]])</f>
        <v>#REF!</v>
      </c>
    </row>
    <row r="1876" spans="1:14" x14ac:dyDescent="0.25">
      <c r="A1876" s="1" t="s">
        <v>3134</v>
      </c>
      <c r="B1876" t="s">
        <v>3135</v>
      </c>
      <c r="C1876" s="1" t="s">
        <v>3136</v>
      </c>
      <c r="D1876" s="1" t="s">
        <v>3136</v>
      </c>
      <c r="E1876" s="1" t="s">
        <v>3136</v>
      </c>
      <c r="F1876" t="s">
        <v>3137</v>
      </c>
      <c r="G1876" t="s">
        <v>3138</v>
      </c>
      <c r="H1876" t="s">
        <v>39</v>
      </c>
      <c r="I1876" t="s">
        <v>478</v>
      </c>
      <c r="J1876">
        <v>6.32</v>
      </c>
      <c r="K1876" t="e">
        <f>IF(COUNTIF(#REF!,Tabela2[[#This Row],[IdxWspolny]])&gt;0,"ELEM_lub_PRD","TECHN")</f>
        <v>#REF!</v>
      </c>
      <c r="L1876" t="e">
        <f>IF(COUNTIF(#REF!,Tabela2[[#This Row],[KOD_PRODUKTU]])&gt;0,"ELEMENT","PRODUKT")</f>
        <v>#REF!</v>
      </c>
      <c r="M1876" t="e">
        <f>COUNTIF(#REF!,Tabela2[[#This Row],[KOD_PRODUKTU]])</f>
        <v>#REF!</v>
      </c>
    </row>
    <row r="1877" spans="1:14" x14ac:dyDescent="0.25">
      <c r="A1877" s="1" t="s">
        <v>3134</v>
      </c>
      <c r="B1877" t="s">
        <v>3135</v>
      </c>
      <c r="C1877" s="1" t="s">
        <v>41</v>
      </c>
      <c r="D1877" s="1" t="s">
        <v>41</v>
      </c>
      <c r="E1877" s="1" t="s">
        <v>41</v>
      </c>
      <c r="F1877" t="s">
        <v>42</v>
      </c>
      <c r="G1877" t="s">
        <v>43</v>
      </c>
      <c r="H1877" t="s">
        <v>5</v>
      </c>
      <c r="I1877" t="s">
        <v>1867</v>
      </c>
      <c r="J1877">
        <v>0.03</v>
      </c>
      <c r="K1877" t="e">
        <f>IF(COUNTIF(#REF!,Tabela2[[#This Row],[IdxWspolny]])&gt;0,"ELEM_lub_PRD","TECHN")</f>
        <v>#REF!</v>
      </c>
      <c r="L1877" t="e">
        <f>IF(COUNTIF(#REF!,Tabela2[[#This Row],[KOD_PRODUKTU]])&gt;0,"ELEMENT","PRODUKT")</f>
        <v>#REF!</v>
      </c>
      <c r="M1877" t="e">
        <f>COUNTIF(#REF!,Tabela2[[#This Row],[KOD_PRODUKTU]])</f>
        <v>#REF!</v>
      </c>
    </row>
    <row r="1878" spans="1:14" x14ac:dyDescent="0.25">
      <c r="A1878" s="1" t="s">
        <v>3134</v>
      </c>
      <c r="B1878" t="s">
        <v>3135</v>
      </c>
      <c r="C1878" s="1" t="s">
        <v>3139</v>
      </c>
      <c r="D1878" s="1" t="s">
        <v>3139</v>
      </c>
      <c r="E1878" s="1" t="s">
        <v>3139</v>
      </c>
      <c r="F1878" t="s">
        <v>3140</v>
      </c>
      <c r="G1878" t="s">
        <v>3141</v>
      </c>
      <c r="H1878" t="s">
        <v>49</v>
      </c>
      <c r="I1878" t="s">
        <v>50</v>
      </c>
      <c r="J1878">
        <v>45.35</v>
      </c>
      <c r="K1878" t="e">
        <f>IF(COUNTIF(#REF!,Tabela2[[#This Row],[IdxWspolny]])&gt;0,"ELEM_lub_PRD","TECHN")</f>
        <v>#REF!</v>
      </c>
      <c r="L1878" t="e">
        <f>IF(COUNTIF(#REF!,Tabela2[[#This Row],[KOD_PRODUKTU]])&gt;0,"ELEMENT","PRODUKT")</f>
        <v>#REF!</v>
      </c>
      <c r="M1878" t="e">
        <f>COUNTIF(#REF!,Tabela2[[#This Row],[KOD_PRODUKTU]])</f>
        <v>#REF!</v>
      </c>
    </row>
    <row r="1879" spans="1:14" x14ac:dyDescent="0.25">
      <c r="A1879" s="1" t="s">
        <v>3134</v>
      </c>
      <c r="B1879" t="s">
        <v>3135</v>
      </c>
      <c r="C1879" s="1" t="s">
        <v>3142</v>
      </c>
      <c r="D1879" s="1" t="s">
        <v>3142</v>
      </c>
      <c r="E1879" s="1" t="s">
        <v>3142</v>
      </c>
      <c r="F1879" t="s">
        <v>3143</v>
      </c>
      <c r="G1879" t="s">
        <v>3144</v>
      </c>
      <c r="H1879" t="s">
        <v>49</v>
      </c>
      <c r="I1879" t="s">
        <v>50</v>
      </c>
      <c r="J1879">
        <v>57.2</v>
      </c>
      <c r="K1879" t="e">
        <f>IF(COUNTIF(#REF!,Tabela2[[#This Row],[IdxWspolny]])&gt;0,"ELEM_lub_PRD","TECHN")</f>
        <v>#REF!</v>
      </c>
      <c r="L1879" t="e">
        <f>IF(COUNTIF(#REF!,Tabela2[[#This Row],[KOD_PRODUKTU]])&gt;0,"ELEMENT","PRODUKT")</f>
        <v>#REF!</v>
      </c>
      <c r="M1879" t="e">
        <f>COUNTIF(#REF!,Tabela2[[#This Row],[KOD_PRODUKTU]])</f>
        <v>#REF!</v>
      </c>
    </row>
    <row r="1880" spans="1:14" x14ac:dyDescent="0.25">
      <c r="A1880" s="1" t="s">
        <v>3134</v>
      </c>
      <c r="B1880" t="s">
        <v>3135</v>
      </c>
      <c r="C1880" s="1" t="s">
        <v>3145</v>
      </c>
      <c r="D1880" s="1" t="s">
        <v>3145</v>
      </c>
      <c r="E1880" s="1" t="s">
        <v>3145</v>
      </c>
      <c r="F1880" t="s">
        <v>3146</v>
      </c>
      <c r="G1880" t="s">
        <v>3147</v>
      </c>
      <c r="H1880" t="s">
        <v>49</v>
      </c>
      <c r="I1880" t="s">
        <v>50</v>
      </c>
      <c r="J1880">
        <v>124.5</v>
      </c>
      <c r="K1880" t="e">
        <f>IF(COUNTIF(#REF!,Tabela2[[#This Row],[IdxWspolny]])&gt;0,"ELEM_lub_PRD","TECHN")</f>
        <v>#REF!</v>
      </c>
      <c r="L1880" t="e">
        <f>IF(COUNTIF(#REF!,Tabela2[[#This Row],[KOD_PRODUKTU]])&gt;0,"ELEMENT","PRODUKT")</f>
        <v>#REF!</v>
      </c>
      <c r="M1880" t="e">
        <f>COUNTIF(#REF!,Tabela2[[#This Row],[KOD_PRODUKTU]])</f>
        <v>#REF!</v>
      </c>
    </row>
    <row r="1881" spans="1:14" hidden="1" x14ac:dyDescent="0.25">
      <c r="A1881" s="1" t="s">
        <v>3134</v>
      </c>
      <c r="B1881" t="s">
        <v>3135</v>
      </c>
      <c r="C1881" s="1" t="s">
        <v>3085</v>
      </c>
      <c r="D1881" s="1" t="s">
        <v>3085</v>
      </c>
      <c r="E1881" s="1" t="s">
        <v>3085</v>
      </c>
      <c r="F1881" t="s">
        <v>3086</v>
      </c>
      <c r="G1881" t="s">
        <v>928</v>
      </c>
      <c r="H1881" t="s">
        <v>49</v>
      </c>
      <c r="I1881" t="s">
        <v>92</v>
      </c>
      <c r="J1881">
        <v>42</v>
      </c>
      <c r="K1881" t="e">
        <f>IF(COUNTIF(#REF!,Tabela2[[#This Row],[IdxWspolny]])&gt;0,"ELEM_lub_PRD","TECHN")</f>
        <v>#REF!</v>
      </c>
      <c r="L1881" t="e">
        <f>IF(COUNTIF(#REF!,Tabela2[[#This Row],[KOD_PRODUKTU]])&gt;0,"ELEMENT","PRODUKT")</f>
        <v>#REF!</v>
      </c>
      <c r="M1881" t="e">
        <f>COUNTIF(#REF!,Tabela2[[#This Row],[KOD_PRODUKTU]])</f>
        <v>#REF!</v>
      </c>
      <c r="N1881" t="s">
        <v>55</v>
      </c>
    </row>
    <row r="1882" spans="1:14" x14ac:dyDescent="0.25">
      <c r="A1882" s="1" t="s">
        <v>3134</v>
      </c>
      <c r="B1882" t="s">
        <v>3135</v>
      </c>
      <c r="C1882" s="1" t="s">
        <v>857</v>
      </c>
      <c r="D1882" s="1" t="s">
        <v>857</v>
      </c>
      <c r="E1882" s="1" t="s">
        <v>857</v>
      </c>
      <c r="F1882" t="s">
        <v>858</v>
      </c>
      <c r="G1882" t="s">
        <v>686</v>
      </c>
      <c r="H1882" t="s">
        <v>49</v>
      </c>
      <c r="I1882" t="s">
        <v>3148</v>
      </c>
      <c r="J1882">
        <v>2</v>
      </c>
      <c r="K1882" t="e">
        <f>IF(COUNTIF(#REF!,Tabela2[[#This Row],[IdxWspolny]])&gt;0,"ELEM_lub_PRD","TECHN")</f>
        <v>#REF!</v>
      </c>
      <c r="L1882" t="e">
        <f>IF(COUNTIF(#REF!,Tabela2[[#This Row],[KOD_PRODUKTU]])&gt;0,"ELEMENT","PRODUKT")</f>
        <v>#REF!</v>
      </c>
      <c r="M1882" t="e">
        <f>COUNTIF(#REF!,Tabela2[[#This Row],[KOD_PRODUKTU]])</f>
        <v>#REF!</v>
      </c>
    </row>
    <row r="1883" spans="1:14" x14ac:dyDescent="0.25">
      <c r="A1883" s="1" t="s">
        <v>3134</v>
      </c>
      <c r="B1883" t="s">
        <v>3135</v>
      </c>
      <c r="C1883" s="1" t="s">
        <v>688</v>
      </c>
      <c r="D1883" s="1" t="s">
        <v>688</v>
      </c>
      <c r="E1883" s="1" t="s">
        <v>688</v>
      </c>
      <c r="F1883" t="s">
        <v>689</v>
      </c>
      <c r="G1883" t="s">
        <v>9</v>
      </c>
      <c r="H1883" t="s">
        <v>10</v>
      </c>
      <c r="I1883" t="s">
        <v>3149</v>
      </c>
      <c r="J1883">
        <v>27.1</v>
      </c>
      <c r="K1883" t="e">
        <f>IF(COUNTIF(#REF!,Tabela2[[#This Row],[IdxWspolny]])&gt;0,"ELEM_lub_PRD","TECHN")</f>
        <v>#REF!</v>
      </c>
      <c r="L1883" t="e">
        <f>IF(COUNTIF(#REF!,Tabela2[[#This Row],[KOD_PRODUKTU]])&gt;0,"ELEMENT","PRODUKT")</f>
        <v>#REF!</v>
      </c>
      <c r="M1883" t="e">
        <f>COUNTIF(#REF!,Tabela2[[#This Row],[KOD_PRODUKTU]])</f>
        <v>#REF!</v>
      </c>
    </row>
    <row r="1884" spans="1:14" x14ac:dyDescent="0.25">
      <c r="A1884" s="1" t="s">
        <v>3150</v>
      </c>
      <c r="B1884" t="s">
        <v>3151</v>
      </c>
      <c r="C1884" s="1" t="s">
        <v>3122</v>
      </c>
      <c r="D1884" s="1" t="s">
        <v>3122</v>
      </c>
      <c r="E1884" s="1" t="s">
        <v>3122</v>
      </c>
      <c r="F1884" t="s">
        <v>3123</v>
      </c>
      <c r="G1884" t="s">
        <v>3124</v>
      </c>
      <c r="H1884" t="s">
        <v>17</v>
      </c>
      <c r="I1884" t="s">
        <v>3152</v>
      </c>
      <c r="J1884">
        <v>10.65</v>
      </c>
      <c r="K1884" t="e">
        <f>IF(COUNTIF(#REF!,Tabela2[[#This Row],[IdxWspolny]])&gt;0,"ELEM_lub_PRD","TECHN")</f>
        <v>#REF!</v>
      </c>
      <c r="L1884" t="e">
        <f>IF(COUNTIF(#REF!,Tabela2[[#This Row],[KOD_PRODUKTU]])&gt;0,"ELEMENT","PRODUKT")</f>
        <v>#REF!</v>
      </c>
      <c r="M1884" t="e">
        <f>COUNTIF(#REF!,Tabela2[[#This Row],[KOD_PRODUKTU]])</f>
        <v>#REF!</v>
      </c>
    </row>
    <row r="1885" spans="1:14" x14ac:dyDescent="0.25">
      <c r="A1885" s="1" t="s">
        <v>3150</v>
      </c>
      <c r="B1885" t="s">
        <v>3151</v>
      </c>
      <c r="C1885" s="1" t="s">
        <v>3153</v>
      </c>
      <c r="D1885" s="1" t="s">
        <v>3153</v>
      </c>
      <c r="E1885" s="1" t="s">
        <v>3153</v>
      </c>
      <c r="F1885" t="s">
        <v>3154</v>
      </c>
      <c r="G1885" t="s">
        <v>3155</v>
      </c>
      <c r="H1885" t="s">
        <v>49</v>
      </c>
      <c r="I1885" t="s">
        <v>50</v>
      </c>
      <c r="J1885">
        <v>35</v>
      </c>
      <c r="K1885" t="e">
        <f>IF(COUNTIF(#REF!,Tabela2[[#This Row],[IdxWspolny]])&gt;0,"ELEM_lub_PRD","TECHN")</f>
        <v>#REF!</v>
      </c>
      <c r="L1885" t="e">
        <f>IF(COUNTIF(#REF!,Tabela2[[#This Row],[KOD_PRODUKTU]])&gt;0,"ELEMENT","PRODUKT")</f>
        <v>#REF!</v>
      </c>
      <c r="M1885" t="e">
        <f>COUNTIF(#REF!,Tabela2[[#This Row],[KOD_PRODUKTU]])</f>
        <v>#REF!</v>
      </c>
    </row>
    <row r="1886" spans="1:14" x14ac:dyDescent="0.25">
      <c r="A1886" s="1" t="s">
        <v>3150</v>
      </c>
      <c r="B1886" t="s">
        <v>3151</v>
      </c>
      <c r="C1886" s="1" t="s">
        <v>3126</v>
      </c>
      <c r="D1886" s="1" t="s">
        <v>3126</v>
      </c>
      <c r="E1886" s="1" t="s">
        <v>3126</v>
      </c>
      <c r="F1886" t="s">
        <v>3127</v>
      </c>
      <c r="G1886" t="s">
        <v>3128</v>
      </c>
      <c r="H1886" t="s">
        <v>49</v>
      </c>
      <c r="I1886" t="s">
        <v>50</v>
      </c>
      <c r="J1886">
        <v>96.2</v>
      </c>
      <c r="K1886" t="e">
        <f>IF(COUNTIF(#REF!,Tabela2[[#This Row],[IdxWspolny]])&gt;0,"ELEM_lub_PRD","TECHN")</f>
        <v>#REF!</v>
      </c>
      <c r="L1886" t="e">
        <f>IF(COUNTIF(#REF!,Tabela2[[#This Row],[KOD_PRODUKTU]])&gt;0,"ELEMENT","PRODUKT")</f>
        <v>#REF!</v>
      </c>
      <c r="M1886" t="e">
        <f>COUNTIF(#REF!,Tabela2[[#This Row],[KOD_PRODUKTU]])</f>
        <v>#REF!</v>
      </c>
    </row>
    <row r="1887" spans="1:14" x14ac:dyDescent="0.25">
      <c r="A1887" s="1" t="s">
        <v>3150</v>
      </c>
      <c r="B1887" t="s">
        <v>3151</v>
      </c>
      <c r="C1887" s="1" t="s">
        <v>857</v>
      </c>
      <c r="D1887" s="1" t="s">
        <v>857</v>
      </c>
      <c r="E1887" s="1" t="s">
        <v>857</v>
      </c>
      <c r="F1887" t="s">
        <v>858</v>
      </c>
      <c r="G1887" t="s">
        <v>686</v>
      </c>
      <c r="H1887" t="s">
        <v>49</v>
      </c>
      <c r="I1887" t="s">
        <v>3156</v>
      </c>
      <c r="J1887">
        <v>8</v>
      </c>
      <c r="K1887" t="e">
        <f>IF(COUNTIF(#REF!,Tabela2[[#This Row],[IdxWspolny]])&gt;0,"ELEM_lub_PRD","TECHN")</f>
        <v>#REF!</v>
      </c>
      <c r="L1887" t="e">
        <f>IF(COUNTIF(#REF!,Tabela2[[#This Row],[KOD_PRODUKTU]])&gt;0,"ELEMENT","PRODUKT")</f>
        <v>#REF!</v>
      </c>
      <c r="M1887" t="e">
        <f>COUNTIF(#REF!,Tabela2[[#This Row],[KOD_PRODUKTU]])</f>
        <v>#REF!</v>
      </c>
    </row>
    <row r="1888" spans="1:14" x14ac:dyDescent="0.25">
      <c r="A1888" s="1" t="s">
        <v>3150</v>
      </c>
      <c r="B1888" t="s">
        <v>3151</v>
      </c>
      <c r="C1888" s="1" t="s">
        <v>688</v>
      </c>
      <c r="D1888" s="1" t="s">
        <v>688</v>
      </c>
      <c r="E1888" s="1" t="s">
        <v>688</v>
      </c>
      <c r="F1888" t="s">
        <v>689</v>
      </c>
      <c r="G1888" t="s">
        <v>9</v>
      </c>
      <c r="H1888" t="s">
        <v>10</v>
      </c>
      <c r="I1888" t="s">
        <v>3157</v>
      </c>
      <c r="J1888">
        <v>14.2</v>
      </c>
      <c r="K1888" t="e">
        <f>IF(COUNTIF(#REF!,Tabela2[[#This Row],[IdxWspolny]])&gt;0,"ELEM_lub_PRD","TECHN")</f>
        <v>#REF!</v>
      </c>
      <c r="L1888" t="e">
        <f>IF(COUNTIF(#REF!,Tabela2[[#This Row],[KOD_PRODUKTU]])&gt;0,"ELEMENT","PRODUKT")</f>
        <v>#REF!</v>
      </c>
      <c r="M1888" t="e">
        <f>COUNTIF(#REF!,Tabela2[[#This Row],[KOD_PRODUKTU]])</f>
        <v>#REF!</v>
      </c>
    </row>
    <row r="1889" spans="1:14" x14ac:dyDescent="0.25">
      <c r="A1889" s="1" t="s">
        <v>3150</v>
      </c>
      <c r="B1889" t="s">
        <v>3151</v>
      </c>
      <c r="C1889" s="1" t="s">
        <v>7</v>
      </c>
      <c r="D1889" s="1" t="s">
        <v>7</v>
      </c>
      <c r="E1889" s="1" t="s">
        <v>7</v>
      </c>
      <c r="F1889" t="s">
        <v>8</v>
      </c>
      <c r="G1889" t="s">
        <v>9</v>
      </c>
      <c r="H1889" t="s">
        <v>10</v>
      </c>
      <c r="I1889" t="s">
        <v>3158</v>
      </c>
      <c r="J1889">
        <v>9.85</v>
      </c>
      <c r="K1889" t="e">
        <f>IF(COUNTIF(#REF!,Tabela2[[#This Row],[IdxWspolny]])&gt;0,"ELEM_lub_PRD","TECHN")</f>
        <v>#REF!</v>
      </c>
      <c r="L1889" t="e">
        <f>IF(COUNTIF(#REF!,Tabela2[[#This Row],[KOD_PRODUKTU]])&gt;0,"ELEMENT","PRODUKT")</f>
        <v>#REF!</v>
      </c>
      <c r="M1889" t="e">
        <f>COUNTIF(#REF!,Tabela2[[#This Row],[KOD_PRODUKTU]])</f>
        <v>#REF!</v>
      </c>
    </row>
    <row r="1890" spans="1:14" x14ac:dyDescent="0.25">
      <c r="A1890" s="1" t="s">
        <v>3159</v>
      </c>
      <c r="B1890" t="s">
        <v>3160</v>
      </c>
      <c r="C1890" s="1" t="s">
        <v>3161</v>
      </c>
      <c r="D1890" s="1" t="s">
        <v>3161</v>
      </c>
      <c r="E1890" s="1" t="s">
        <v>3161</v>
      </c>
      <c r="F1890" t="s">
        <v>3162</v>
      </c>
      <c r="G1890" t="s">
        <v>3163</v>
      </c>
      <c r="H1890" t="s">
        <v>17</v>
      </c>
      <c r="I1890" t="s">
        <v>992</v>
      </c>
      <c r="J1890">
        <v>96</v>
      </c>
      <c r="K1890" t="e">
        <f>IF(COUNTIF(#REF!,Tabela2[[#This Row],[IdxWspolny]])&gt;0,"ELEM_lub_PRD","TECHN")</f>
        <v>#REF!</v>
      </c>
      <c r="L1890" t="e">
        <f>IF(COUNTIF(#REF!,Tabela2[[#This Row],[KOD_PRODUKTU]])&gt;0,"ELEMENT","PRODUKT")</f>
        <v>#REF!</v>
      </c>
      <c r="M1890" t="e">
        <f>COUNTIF(#REF!,Tabela2[[#This Row],[KOD_PRODUKTU]])</f>
        <v>#REF!</v>
      </c>
    </row>
    <row r="1891" spans="1:14" x14ac:dyDescent="0.25">
      <c r="A1891" s="1" t="s">
        <v>3159</v>
      </c>
      <c r="B1891" t="s">
        <v>3160</v>
      </c>
      <c r="C1891" s="1" t="s">
        <v>7</v>
      </c>
      <c r="D1891" s="1" t="s">
        <v>7</v>
      </c>
      <c r="E1891" s="1" t="s">
        <v>7</v>
      </c>
      <c r="F1891" t="s">
        <v>8</v>
      </c>
      <c r="G1891" t="s">
        <v>9</v>
      </c>
      <c r="H1891" t="s">
        <v>10</v>
      </c>
      <c r="I1891" t="s">
        <v>3164</v>
      </c>
      <c r="J1891">
        <v>29.5</v>
      </c>
      <c r="K1891" t="e">
        <f>IF(COUNTIF(#REF!,Tabela2[[#This Row],[IdxWspolny]])&gt;0,"ELEM_lub_PRD","TECHN")</f>
        <v>#REF!</v>
      </c>
      <c r="L1891" t="e">
        <f>IF(COUNTIF(#REF!,Tabela2[[#This Row],[KOD_PRODUKTU]])&gt;0,"ELEMENT","PRODUKT")</f>
        <v>#REF!</v>
      </c>
      <c r="M1891" t="e">
        <f>COUNTIF(#REF!,Tabela2[[#This Row],[KOD_PRODUKTU]])</f>
        <v>#REF!</v>
      </c>
    </row>
    <row r="1892" spans="1:14" x14ac:dyDescent="0.25">
      <c r="A1892" s="1" t="s">
        <v>3165</v>
      </c>
      <c r="B1892" t="s">
        <v>3166</v>
      </c>
      <c r="C1892" s="1" t="s">
        <v>3167</v>
      </c>
      <c r="D1892" s="1" t="s">
        <v>3167</v>
      </c>
      <c r="E1892" s="1" t="s">
        <v>3167</v>
      </c>
      <c r="F1892" t="s">
        <v>3168</v>
      </c>
      <c r="G1892" t="s">
        <v>111</v>
      </c>
      <c r="H1892" t="s">
        <v>17</v>
      </c>
      <c r="I1892" t="s">
        <v>860</v>
      </c>
      <c r="J1892">
        <v>8.9</v>
      </c>
      <c r="K1892" t="e">
        <f>IF(COUNTIF(#REF!,Tabela2[[#This Row],[IdxWspolny]])&gt;0,"ELEM_lub_PRD","TECHN")</f>
        <v>#REF!</v>
      </c>
      <c r="L1892" t="e">
        <f>IF(COUNTIF(#REF!,Tabela2[[#This Row],[KOD_PRODUKTU]])&gt;0,"ELEMENT","PRODUKT")</f>
        <v>#REF!</v>
      </c>
      <c r="M1892" t="e">
        <f>COUNTIF(#REF!,Tabela2[[#This Row],[KOD_PRODUKTU]])</f>
        <v>#REF!</v>
      </c>
    </row>
    <row r="1893" spans="1:14" x14ac:dyDescent="0.25">
      <c r="A1893" s="1" t="s">
        <v>3165</v>
      </c>
      <c r="B1893" t="s">
        <v>3166</v>
      </c>
      <c r="C1893" s="1" t="s">
        <v>3169</v>
      </c>
      <c r="D1893" s="1" t="s">
        <v>3169</v>
      </c>
      <c r="E1893" s="1" t="s">
        <v>3169</v>
      </c>
      <c r="F1893" t="s">
        <v>3170</v>
      </c>
      <c r="G1893" t="s">
        <v>4</v>
      </c>
      <c r="H1893" t="s">
        <v>121</v>
      </c>
      <c r="I1893" t="s">
        <v>50</v>
      </c>
      <c r="J1893">
        <v>9.59</v>
      </c>
      <c r="K1893" t="e">
        <f>IF(COUNTIF(#REF!,Tabela2[[#This Row],[IdxWspolny]])&gt;0,"ELEM_lub_PRD","TECHN")</f>
        <v>#REF!</v>
      </c>
      <c r="L1893" t="e">
        <f>IF(COUNTIF(#REF!,Tabela2[[#This Row],[KOD_PRODUKTU]])&gt;0,"ELEMENT","PRODUKT")</f>
        <v>#REF!</v>
      </c>
      <c r="M1893" t="e">
        <f>COUNTIF(#REF!,Tabela2[[#This Row],[KOD_PRODUKTU]])</f>
        <v>#REF!</v>
      </c>
    </row>
    <row r="1894" spans="1:14" x14ac:dyDescent="0.25">
      <c r="A1894" s="1" t="s">
        <v>3165</v>
      </c>
      <c r="B1894" t="s">
        <v>3166</v>
      </c>
      <c r="C1894" s="1" t="s">
        <v>3171</v>
      </c>
      <c r="D1894" s="1" t="s">
        <v>3171</v>
      </c>
      <c r="E1894" s="1" t="s">
        <v>3171</v>
      </c>
      <c r="F1894" t="s">
        <v>3172</v>
      </c>
      <c r="G1894" t="s">
        <v>1087</v>
      </c>
      <c r="H1894" t="s">
        <v>121</v>
      </c>
      <c r="I1894" t="s">
        <v>50</v>
      </c>
      <c r="J1894">
        <v>0.17</v>
      </c>
      <c r="K1894" t="e">
        <f>IF(COUNTIF(#REF!,Tabela2[[#This Row],[IdxWspolny]])&gt;0,"ELEM_lub_PRD","TECHN")</f>
        <v>#REF!</v>
      </c>
      <c r="L1894" t="e">
        <f>IF(COUNTIF(#REF!,Tabela2[[#This Row],[KOD_PRODUKTU]])&gt;0,"ELEMENT","PRODUKT")</f>
        <v>#REF!</v>
      </c>
      <c r="M1894" t="e">
        <f>COUNTIF(#REF!,Tabela2[[#This Row],[KOD_PRODUKTU]])</f>
        <v>#REF!</v>
      </c>
    </row>
    <row r="1895" spans="1:14" x14ac:dyDescent="0.25">
      <c r="A1895" s="1" t="s">
        <v>3165</v>
      </c>
      <c r="B1895" t="s">
        <v>3166</v>
      </c>
      <c r="C1895" s="1" t="s">
        <v>3173</v>
      </c>
      <c r="D1895" s="1" t="s">
        <v>3173</v>
      </c>
      <c r="E1895" s="1" t="s">
        <v>3173</v>
      </c>
      <c r="F1895" t="s">
        <v>3174</v>
      </c>
      <c r="G1895" t="s">
        <v>3175</v>
      </c>
      <c r="H1895" t="s">
        <v>121</v>
      </c>
      <c r="I1895" t="s">
        <v>50</v>
      </c>
      <c r="J1895">
        <v>8.81</v>
      </c>
      <c r="K1895" t="e">
        <f>IF(COUNTIF(#REF!,Tabela2[[#This Row],[IdxWspolny]])&gt;0,"ELEM_lub_PRD","TECHN")</f>
        <v>#REF!</v>
      </c>
      <c r="L1895" t="e">
        <f>IF(COUNTIF(#REF!,Tabela2[[#This Row],[KOD_PRODUKTU]])&gt;0,"ELEMENT","PRODUKT")</f>
        <v>#REF!</v>
      </c>
      <c r="M1895" t="e">
        <f>COUNTIF(#REF!,Tabela2[[#This Row],[KOD_PRODUKTU]])</f>
        <v>#REF!</v>
      </c>
    </row>
    <row r="1896" spans="1:14" x14ac:dyDescent="0.25">
      <c r="A1896" s="1" t="s">
        <v>3165</v>
      </c>
      <c r="B1896" t="s">
        <v>3166</v>
      </c>
      <c r="C1896" s="1" t="s">
        <v>3176</v>
      </c>
      <c r="D1896" s="1" t="s">
        <v>3176</v>
      </c>
      <c r="E1896" s="1" t="s">
        <v>3176</v>
      </c>
      <c r="F1896" t="s">
        <v>3177</v>
      </c>
      <c r="G1896" t="s">
        <v>3178</v>
      </c>
      <c r="H1896" t="s">
        <v>121</v>
      </c>
      <c r="I1896" t="s">
        <v>50</v>
      </c>
      <c r="J1896">
        <v>10.52</v>
      </c>
      <c r="K1896" t="e">
        <f>IF(COUNTIF(#REF!,Tabela2[[#This Row],[IdxWspolny]])&gt;0,"ELEM_lub_PRD","TECHN")</f>
        <v>#REF!</v>
      </c>
      <c r="L1896" t="e">
        <f>IF(COUNTIF(#REF!,Tabela2[[#This Row],[KOD_PRODUKTU]])&gt;0,"ELEMENT","PRODUKT")</f>
        <v>#REF!</v>
      </c>
      <c r="M1896" t="e">
        <f>COUNTIF(#REF!,Tabela2[[#This Row],[KOD_PRODUKTU]])</f>
        <v>#REF!</v>
      </c>
    </row>
    <row r="1897" spans="1:14" x14ac:dyDescent="0.25">
      <c r="A1897" s="1" t="s">
        <v>3165</v>
      </c>
      <c r="B1897" t="s">
        <v>3166</v>
      </c>
      <c r="C1897" s="1" t="s">
        <v>3179</v>
      </c>
      <c r="D1897" s="1" t="s">
        <v>3179</v>
      </c>
      <c r="E1897" s="1" t="s">
        <v>3179</v>
      </c>
      <c r="F1897" t="s">
        <v>3180</v>
      </c>
      <c r="G1897" t="s">
        <v>3181</v>
      </c>
      <c r="H1897" t="s">
        <v>121</v>
      </c>
      <c r="I1897" t="s">
        <v>50</v>
      </c>
      <c r="J1897">
        <v>4.16</v>
      </c>
      <c r="K1897" t="e">
        <f>IF(COUNTIF(#REF!,Tabela2[[#This Row],[IdxWspolny]])&gt;0,"ELEM_lub_PRD","TECHN")</f>
        <v>#REF!</v>
      </c>
      <c r="L1897" t="e">
        <f>IF(COUNTIF(#REF!,Tabela2[[#This Row],[KOD_PRODUKTU]])&gt;0,"ELEMENT","PRODUKT")</f>
        <v>#REF!</v>
      </c>
      <c r="M1897" t="e">
        <f>COUNTIF(#REF!,Tabela2[[#This Row],[KOD_PRODUKTU]])</f>
        <v>#REF!</v>
      </c>
    </row>
    <row r="1898" spans="1:14" x14ac:dyDescent="0.25">
      <c r="A1898" s="1" t="s">
        <v>3165</v>
      </c>
      <c r="B1898" t="s">
        <v>3166</v>
      </c>
      <c r="C1898" s="1" t="s">
        <v>3182</v>
      </c>
      <c r="D1898" s="1" t="s">
        <v>3182</v>
      </c>
      <c r="E1898" s="1" t="s">
        <v>3182</v>
      </c>
      <c r="F1898" t="s">
        <v>3183</v>
      </c>
      <c r="G1898" t="s">
        <v>3184</v>
      </c>
      <c r="H1898" t="s">
        <v>121</v>
      </c>
      <c r="I1898" t="s">
        <v>50</v>
      </c>
      <c r="J1898">
        <v>0.15</v>
      </c>
      <c r="K1898" t="e">
        <f>IF(COUNTIF(#REF!,Tabela2[[#This Row],[IdxWspolny]])&gt;0,"ELEM_lub_PRD","TECHN")</f>
        <v>#REF!</v>
      </c>
      <c r="L1898" t="e">
        <f>IF(COUNTIF(#REF!,Tabela2[[#This Row],[KOD_PRODUKTU]])&gt;0,"ELEMENT","PRODUKT")</f>
        <v>#REF!</v>
      </c>
      <c r="M1898" t="e">
        <f>COUNTIF(#REF!,Tabela2[[#This Row],[KOD_PRODUKTU]])</f>
        <v>#REF!</v>
      </c>
    </row>
    <row r="1899" spans="1:14" x14ac:dyDescent="0.25">
      <c r="A1899" s="1" t="s">
        <v>3165</v>
      </c>
      <c r="B1899" t="s">
        <v>3166</v>
      </c>
      <c r="C1899" s="1" t="s">
        <v>3185</v>
      </c>
      <c r="D1899" s="1" t="s">
        <v>3185</v>
      </c>
      <c r="E1899" s="1" t="s">
        <v>3185</v>
      </c>
      <c r="F1899" t="s">
        <v>3186</v>
      </c>
      <c r="G1899" t="s">
        <v>979</v>
      </c>
      <c r="H1899" t="s">
        <v>121</v>
      </c>
      <c r="I1899" t="s">
        <v>50</v>
      </c>
      <c r="J1899">
        <v>0.52</v>
      </c>
      <c r="K1899" t="e">
        <f>IF(COUNTIF(#REF!,Tabela2[[#This Row],[IdxWspolny]])&gt;0,"ELEM_lub_PRD","TECHN")</f>
        <v>#REF!</v>
      </c>
      <c r="L1899" t="e">
        <f>IF(COUNTIF(#REF!,Tabela2[[#This Row],[KOD_PRODUKTU]])&gt;0,"ELEMENT","PRODUKT")</f>
        <v>#REF!</v>
      </c>
      <c r="M1899" t="e">
        <f>COUNTIF(#REF!,Tabela2[[#This Row],[KOD_PRODUKTU]])</f>
        <v>#REF!</v>
      </c>
    </row>
    <row r="1900" spans="1:14" hidden="1" x14ac:dyDescent="0.25">
      <c r="A1900" s="1" t="s">
        <v>3165</v>
      </c>
      <c r="B1900" t="s">
        <v>3166</v>
      </c>
      <c r="C1900" s="1" t="s">
        <v>3187</v>
      </c>
      <c r="D1900" s="1" t="s">
        <v>3187</v>
      </c>
      <c r="E1900" s="1" t="s">
        <v>3187</v>
      </c>
      <c r="F1900" t="s">
        <v>3188</v>
      </c>
      <c r="G1900" t="s">
        <v>3189</v>
      </c>
      <c r="H1900" t="s">
        <v>121</v>
      </c>
      <c r="I1900" t="s">
        <v>50</v>
      </c>
      <c r="J1900">
        <v>36</v>
      </c>
      <c r="K1900" t="e">
        <f>IF(COUNTIF(#REF!,Tabela2[[#This Row],[IdxWspolny]])&gt;0,"ELEM_lub_PRD","TECHN")</f>
        <v>#REF!</v>
      </c>
      <c r="L1900" t="e">
        <f>IF(COUNTIF(#REF!,Tabela2[[#This Row],[KOD_PRODUKTU]])&gt;0,"ELEMENT","PRODUKT")</f>
        <v>#REF!</v>
      </c>
      <c r="M1900" t="e">
        <f>COUNTIF(#REF!,Tabela2[[#This Row],[KOD_PRODUKTU]])</f>
        <v>#REF!</v>
      </c>
      <c r="N1900" t="s">
        <v>55</v>
      </c>
    </row>
    <row r="1901" spans="1:14" x14ac:dyDescent="0.25">
      <c r="A1901" s="1" t="s">
        <v>3165</v>
      </c>
      <c r="B1901" t="s">
        <v>3166</v>
      </c>
      <c r="C1901" s="1" t="s">
        <v>3190</v>
      </c>
      <c r="D1901" s="1" t="s">
        <v>3190</v>
      </c>
      <c r="E1901" s="1" t="s">
        <v>3190</v>
      </c>
      <c r="F1901" t="s">
        <v>3191</v>
      </c>
      <c r="G1901" t="s">
        <v>3192</v>
      </c>
      <c r="H1901" t="s">
        <v>121</v>
      </c>
      <c r="I1901" t="s">
        <v>50</v>
      </c>
      <c r="J1901">
        <v>41.79</v>
      </c>
      <c r="K1901" t="e">
        <f>IF(COUNTIF(#REF!,Tabela2[[#This Row],[IdxWspolny]])&gt;0,"ELEM_lub_PRD","TECHN")</f>
        <v>#REF!</v>
      </c>
      <c r="L1901" t="e">
        <f>IF(COUNTIF(#REF!,Tabela2[[#This Row],[KOD_PRODUKTU]])&gt;0,"ELEMENT","PRODUKT")</f>
        <v>#REF!</v>
      </c>
      <c r="M1901" t="e">
        <f>COUNTIF(#REF!,Tabela2[[#This Row],[KOD_PRODUKTU]])</f>
        <v>#REF!</v>
      </c>
      <c r="N1901" t="s">
        <v>55</v>
      </c>
    </row>
    <row r="1902" spans="1:14" hidden="1" x14ac:dyDescent="0.25">
      <c r="A1902" s="1" t="s">
        <v>3165</v>
      </c>
      <c r="B1902" t="s">
        <v>3166</v>
      </c>
      <c r="C1902" s="1" t="s">
        <v>3193</v>
      </c>
      <c r="D1902" s="1" t="s">
        <v>1126</v>
      </c>
      <c r="E1902" s="1" t="s">
        <v>1126</v>
      </c>
      <c r="F1902" t="s">
        <v>3194</v>
      </c>
      <c r="G1902" t="s">
        <v>3195</v>
      </c>
      <c r="H1902" t="s">
        <v>121</v>
      </c>
      <c r="I1902" t="s">
        <v>50</v>
      </c>
      <c r="J1902">
        <v>27.9</v>
      </c>
      <c r="K1902" t="e">
        <f>IF(COUNTIF(#REF!,Tabela2[[#This Row],[IdxWspolny]])&gt;0,"ELEM_lub_PRD","TECHN")</f>
        <v>#REF!</v>
      </c>
      <c r="L1902" t="e">
        <f>IF(COUNTIF(#REF!,Tabela2[[#This Row],[KOD_PRODUKTU]])&gt;0,"ELEMENT","PRODUKT")</f>
        <v>#REF!</v>
      </c>
      <c r="M1902" t="e">
        <f>COUNTIF(#REF!,Tabela2[[#This Row],[KOD_PRODUKTU]])</f>
        <v>#REF!</v>
      </c>
      <c r="N1902" t="s">
        <v>51</v>
      </c>
    </row>
    <row r="1903" spans="1:14" x14ac:dyDescent="0.25">
      <c r="A1903" s="1" t="s">
        <v>3165</v>
      </c>
      <c r="B1903" t="s">
        <v>3166</v>
      </c>
      <c r="C1903" s="1" t="s">
        <v>857</v>
      </c>
      <c r="D1903" s="1" t="s">
        <v>857</v>
      </c>
      <c r="E1903" s="1" t="s">
        <v>857</v>
      </c>
      <c r="F1903" t="s">
        <v>858</v>
      </c>
      <c r="G1903" t="s">
        <v>686</v>
      </c>
      <c r="H1903" t="s">
        <v>49</v>
      </c>
      <c r="I1903" t="s">
        <v>3196</v>
      </c>
      <c r="J1903">
        <v>2.5499999999999998</v>
      </c>
      <c r="K1903" t="e">
        <f>IF(COUNTIF(#REF!,Tabela2[[#This Row],[IdxWspolny]])&gt;0,"ELEM_lub_PRD","TECHN")</f>
        <v>#REF!</v>
      </c>
      <c r="L1903" t="e">
        <f>IF(COUNTIF(#REF!,Tabela2[[#This Row],[KOD_PRODUKTU]])&gt;0,"ELEMENT","PRODUKT")</f>
        <v>#REF!</v>
      </c>
      <c r="M1903" t="e">
        <f>COUNTIF(#REF!,Tabela2[[#This Row],[KOD_PRODUKTU]])</f>
        <v>#REF!</v>
      </c>
    </row>
    <row r="1904" spans="1:14" x14ac:dyDescent="0.25">
      <c r="A1904" s="1" t="s">
        <v>3165</v>
      </c>
      <c r="B1904" t="s">
        <v>3166</v>
      </c>
      <c r="C1904" s="1" t="s">
        <v>541</v>
      </c>
      <c r="D1904" s="1" t="s">
        <v>541</v>
      </c>
      <c r="E1904" s="1" t="s">
        <v>541</v>
      </c>
      <c r="F1904" t="s">
        <v>542</v>
      </c>
      <c r="G1904" t="s">
        <v>9</v>
      </c>
      <c r="H1904" t="s">
        <v>10</v>
      </c>
      <c r="I1904" t="s">
        <v>3197</v>
      </c>
      <c r="J1904">
        <v>10.32</v>
      </c>
      <c r="K1904" t="e">
        <f>IF(COUNTIF(#REF!,Tabela2[[#This Row],[IdxWspolny]])&gt;0,"ELEM_lub_PRD","TECHN")</f>
        <v>#REF!</v>
      </c>
      <c r="L1904" t="e">
        <f>IF(COUNTIF(#REF!,Tabela2[[#This Row],[KOD_PRODUKTU]])&gt;0,"ELEMENT","PRODUKT")</f>
        <v>#REF!</v>
      </c>
      <c r="M1904" t="e">
        <f>COUNTIF(#REF!,Tabela2[[#This Row],[KOD_PRODUKTU]])</f>
        <v>#REF!</v>
      </c>
    </row>
    <row r="1905" spans="1:14" x14ac:dyDescent="0.25">
      <c r="A1905" s="1" t="s">
        <v>3187</v>
      </c>
      <c r="B1905" t="s">
        <v>3198</v>
      </c>
      <c r="C1905" s="1" t="s">
        <v>2078</v>
      </c>
      <c r="D1905" s="1" t="s">
        <v>2078</v>
      </c>
      <c r="E1905" s="1" t="s">
        <v>2078</v>
      </c>
      <c r="F1905" t="s">
        <v>2079</v>
      </c>
      <c r="G1905" t="s">
        <v>1354</v>
      </c>
      <c r="H1905" t="s">
        <v>5</v>
      </c>
      <c r="I1905" t="s">
        <v>992</v>
      </c>
      <c r="J1905">
        <v>21.15</v>
      </c>
      <c r="K1905" t="e">
        <f>IF(COUNTIF(#REF!,Tabela2[[#This Row],[IdxWspolny]])&gt;0,"ELEM_lub_PRD","TECHN")</f>
        <v>#REF!</v>
      </c>
      <c r="L1905" t="e">
        <f>IF(COUNTIF(#REF!,Tabela2[[#This Row],[KOD_PRODUKTU]])&gt;0,"ELEMENT","PRODUKT")</f>
        <v>#REF!</v>
      </c>
      <c r="M1905" t="e">
        <f>COUNTIF(#REF!,Tabela2[[#This Row],[KOD_PRODUKTU]])</f>
        <v>#REF!</v>
      </c>
    </row>
    <row r="1906" spans="1:14" x14ac:dyDescent="0.25">
      <c r="A1906" s="1" t="s">
        <v>3187</v>
      </c>
      <c r="B1906" t="s">
        <v>3198</v>
      </c>
      <c r="C1906" s="1" t="s">
        <v>541</v>
      </c>
      <c r="D1906" s="1" t="s">
        <v>541</v>
      </c>
      <c r="E1906" s="1" t="s">
        <v>541</v>
      </c>
      <c r="F1906" t="s">
        <v>542</v>
      </c>
      <c r="G1906" t="s">
        <v>9</v>
      </c>
      <c r="H1906" t="s">
        <v>10</v>
      </c>
      <c r="I1906" t="s">
        <v>3199</v>
      </c>
      <c r="J1906">
        <v>14.85</v>
      </c>
      <c r="K1906" t="e">
        <f>IF(COUNTIF(#REF!,Tabela2[[#This Row],[IdxWspolny]])&gt;0,"ELEM_lub_PRD","TECHN")</f>
        <v>#REF!</v>
      </c>
      <c r="L1906" t="e">
        <f>IF(COUNTIF(#REF!,Tabela2[[#This Row],[KOD_PRODUKTU]])&gt;0,"ELEMENT","PRODUKT")</f>
        <v>#REF!</v>
      </c>
      <c r="M1906" t="e">
        <f>COUNTIF(#REF!,Tabela2[[#This Row],[KOD_PRODUKTU]])</f>
        <v>#REF!</v>
      </c>
    </row>
    <row r="1907" spans="1:14" x14ac:dyDescent="0.25">
      <c r="A1907" s="1" t="s">
        <v>3200</v>
      </c>
      <c r="B1907" t="s">
        <v>3201</v>
      </c>
      <c r="C1907" s="1" t="s">
        <v>3202</v>
      </c>
      <c r="D1907" s="1" t="s">
        <v>3202</v>
      </c>
      <c r="E1907" s="1" t="s">
        <v>3202</v>
      </c>
      <c r="F1907" t="s">
        <v>3203</v>
      </c>
      <c r="G1907" t="s">
        <v>3204</v>
      </c>
      <c r="H1907" t="s">
        <v>1857</v>
      </c>
      <c r="I1907" t="s">
        <v>1006</v>
      </c>
      <c r="J1907">
        <v>0.3</v>
      </c>
      <c r="K1907" t="e">
        <f>IF(COUNTIF(#REF!,Tabela2[[#This Row],[IdxWspolny]])&gt;0,"ELEM_lub_PRD","TECHN")</f>
        <v>#REF!</v>
      </c>
      <c r="L1907" t="e">
        <f>IF(COUNTIF(#REF!,Tabela2[[#This Row],[KOD_PRODUKTU]])&gt;0,"ELEMENT","PRODUKT")</f>
        <v>#REF!</v>
      </c>
      <c r="M1907" t="e">
        <f>COUNTIF(#REF!,Tabela2[[#This Row],[KOD_PRODUKTU]])</f>
        <v>#REF!</v>
      </c>
    </row>
    <row r="1908" spans="1:14" x14ac:dyDescent="0.25">
      <c r="A1908" s="1" t="s">
        <v>3200</v>
      </c>
      <c r="B1908" t="s">
        <v>3201</v>
      </c>
      <c r="C1908" s="1" t="s">
        <v>1890</v>
      </c>
      <c r="D1908" s="1" t="s">
        <v>1890</v>
      </c>
      <c r="E1908" s="1" t="s">
        <v>1890</v>
      </c>
      <c r="F1908" t="s">
        <v>1891</v>
      </c>
      <c r="G1908" t="s">
        <v>2728</v>
      </c>
      <c r="H1908" t="s">
        <v>5</v>
      </c>
      <c r="I1908" t="s">
        <v>3205</v>
      </c>
      <c r="J1908">
        <v>0.04</v>
      </c>
      <c r="K1908" t="e">
        <f>IF(COUNTIF(#REF!,Tabela2[[#This Row],[IdxWspolny]])&gt;0,"ELEM_lub_PRD","TECHN")</f>
        <v>#REF!</v>
      </c>
      <c r="L1908" t="e">
        <f>IF(COUNTIF(#REF!,Tabela2[[#This Row],[KOD_PRODUKTU]])&gt;0,"ELEMENT","PRODUKT")</f>
        <v>#REF!</v>
      </c>
      <c r="M1908" t="e">
        <f>COUNTIF(#REF!,Tabela2[[#This Row],[KOD_PRODUKTU]])</f>
        <v>#REF!</v>
      </c>
    </row>
    <row r="1909" spans="1:14" x14ac:dyDescent="0.25">
      <c r="A1909" s="1" t="s">
        <v>3200</v>
      </c>
      <c r="B1909" t="s">
        <v>3201</v>
      </c>
      <c r="C1909" s="1" t="s">
        <v>3206</v>
      </c>
      <c r="D1909" s="1" t="s">
        <v>3206</v>
      </c>
      <c r="E1909" s="1" t="s">
        <v>3206</v>
      </c>
      <c r="F1909" t="s">
        <v>3207</v>
      </c>
      <c r="G1909" t="s">
        <v>2750</v>
      </c>
      <c r="H1909" t="s">
        <v>5</v>
      </c>
      <c r="I1909" t="s">
        <v>1858</v>
      </c>
      <c r="J1909">
        <v>0.03</v>
      </c>
      <c r="K1909" t="e">
        <f>IF(COUNTIF(#REF!,Tabela2[[#This Row],[IdxWspolny]])&gt;0,"ELEM_lub_PRD","TECHN")</f>
        <v>#REF!</v>
      </c>
      <c r="L1909" t="e">
        <f>IF(COUNTIF(#REF!,Tabela2[[#This Row],[KOD_PRODUKTU]])&gt;0,"ELEMENT","PRODUKT")</f>
        <v>#REF!</v>
      </c>
      <c r="M1909" t="e">
        <f>COUNTIF(#REF!,Tabela2[[#This Row],[KOD_PRODUKTU]])</f>
        <v>#REF!</v>
      </c>
    </row>
    <row r="1910" spans="1:14" x14ac:dyDescent="0.25">
      <c r="A1910" s="1" t="s">
        <v>3200</v>
      </c>
      <c r="B1910" t="s">
        <v>3201</v>
      </c>
      <c r="C1910" s="1" t="s">
        <v>1894</v>
      </c>
      <c r="D1910" s="1" t="s">
        <v>1894</v>
      </c>
      <c r="E1910" s="1" t="s">
        <v>1894</v>
      </c>
      <c r="F1910" t="s">
        <v>3208</v>
      </c>
      <c r="G1910" t="s">
        <v>83</v>
      </c>
      <c r="H1910" t="s">
        <v>5</v>
      </c>
      <c r="I1910" t="s">
        <v>1772</v>
      </c>
      <c r="J1910">
        <v>0.23</v>
      </c>
      <c r="K1910" t="e">
        <f>IF(COUNTIF(#REF!,Tabela2[[#This Row],[IdxWspolny]])&gt;0,"ELEM_lub_PRD","TECHN")</f>
        <v>#REF!</v>
      </c>
      <c r="L1910" t="e">
        <f>IF(COUNTIF(#REF!,Tabela2[[#This Row],[KOD_PRODUKTU]])&gt;0,"ELEMENT","PRODUKT")</f>
        <v>#REF!</v>
      </c>
      <c r="M1910" t="e">
        <f>COUNTIF(#REF!,Tabela2[[#This Row],[KOD_PRODUKTU]])</f>
        <v>#REF!</v>
      </c>
    </row>
    <row r="1911" spans="1:14" x14ac:dyDescent="0.25">
      <c r="A1911" s="1" t="s">
        <v>3200</v>
      </c>
      <c r="B1911" t="s">
        <v>3201</v>
      </c>
      <c r="C1911" s="1" t="s">
        <v>628</v>
      </c>
      <c r="D1911" s="1" t="s">
        <v>628</v>
      </c>
      <c r="E1911" s="1" t="s">
        <v>628</v>
      </c>
      <c r="F1911" t="s">
        <v>629</v>
      </c>
      <c r="G1911" t="s">
        <v>630</v>
      </c>
      <c r="H1911" t="s">
        <v>5</v>
      </c>
      <c r="I1911" t="s">
        <v>3209</v>
      </c>
      <c r="J1911">
        <v>7.0000000000000007E-2</v>
      </c>
      <c r="K1911" t="e">
        <f>IF(COUNTIF(#REF!,Tabela2[[#This Row],[IdxWspolny]])&gt;0,"ELEM_lub_PRD","TECHN")</f>
        <v>#REF!</v>
      </c>
      <c r="L1911" t="e">
        <f>IF(COUNTIF(#REF!,Tabela2[[#This Row],[KOD_PRODUKTU]])&gt;0,"ELEMENT","PRODUKT")</f>
        <v>#REF!</v>
      </c>
      <c r="M1911" t="e">
        <f>COUNTIF(#REF!,Tabela2[[#This Row],[KOD_PRODUKTU]])</f>
        <v>#REF!</v>
      </c>
    </row>
    <row r="1912" spans="1:14" x14ac:dyDescent="0.25">
      <c r="A1912" s="1" t="s">
        <v>3200</v>
      </c>
      <c r="B1912" t="s">
        <v>3201</v>
      </c>
      <c r="C1912" s="1" t="s">
        <v>3210</v>
      </c>
      <c r="D1912" s="1" t="s">
        <v>3210</v>
      </c>
      <c r="E1912" s="1" t="s">
        <v>3210</v>
      </c>
      <c r="F1912" t="s">
        <v>3211</v>
      </c>
      <c r="G1912" t="s">
        <v>3212</v>
      </c>
      <c r="H1912" t="s">
        <v>17</v>
      </c>
      <c r="I1912" t="s">
        <v>50</v>
      </c>
      <c r="J1912">
        <v>1.49</v>
      </c>
      <c r="K1912" t="e">
        <f>IF(COUNTIF(#REF!,Tabela2[[#This Row],[IdxWspolny]])&gt;0,"ELEM_lub_PRD","TECHN")</f>
        <v>#REF!</v>
      </c>
      <c r="L1912" t="e">
        <f>IF(COUNTIF(#REF!,Tabela2[[#This Row],[KOD_PRODUKTU]])&gt;0,"ELEMENT","PRODUKT")</f>
        <v>#REF!</v>
      </c>
      <c r="M1912" t="e">
        <f>COUNTIF(#REF!,Tabela2[[#This Row],[KOD_PRODUKTU]])</f>
        <v>#REF!</v>
      </c>
    </row>
    <row r="1913" spans="1:14" x14ac:dyDescent="0.25">
      <c r="A1913" s="1" t="s">
        <v>3200</v>
      </c>
      <c r="B1913" t="s">
        <v>3201</v>
      </c>
      <c r="C1913" s="1" t="s">
        <v>3213</v>
      </c>
      <c r="D1913" s="1" t="s">
        <v>3213</v>
      </c>
      <c r="E1913" s="1" t="s">
        <v>3213</v>
      </c>
      <c r="F1913" t="s">
        <v>3214</v>
      </c>
      <c r="G1913" t="s">
        <v>2693</v>
      </c>
      <c r="H1913" t="s">
        <v>121</v>
      </c>
      <c r="I1913" t="s">
        <v>92</v>
      </c>
      <c r="J1913">
        <v>5</v>
      </c>
      <c r="K1913" t="e">
        <f>IF(COUNTIF(#REF!,Tabela2[[#This Row],[IdxWspolny]])&gt;0,"ELEM_lub_PRD","TECHN")</f>
        <v>#REF!</v>
      </c>
      <c r="L1913" t="e">
        <f>IF(COUNTIF(#REF!,Tabela2[[#This Row],[KOD_PRODUKTU]])&gt;0,"ELEMENT","PRODUKT")</f>
        <v>#REF!</v>
      </c>
      <c r="M1913" t="e">
        <f>COUNTIF(#REF!,Tabela2[[#This Row],[KOD_PRODUKTU]])</f>
        <v>#REF!</v>
      </c>
    </row>
    <row r="1914" spans="1:14" x14ac:dyDescent="0.25">
      <c r="A1914" s="1" t="s">
        <v>3200</v>
      </c>
      <c r="B1914" t="s">
        <v>3201</v>
      </c>
      <c r="C1914" s="1" t="s">
        <v>3215</v>
      </c>
      <c r="D1914" s="1" t="s">
        <v>3215</v>
      </c>
      <c r="E1914" s="1" t="s">
        <v>3215</v>
      </c>
      <c r="F1914" t="s">
        <v>3216</v>
      </c>
      <c r="G1914" t="s">
        <v>3217</v>
      </c>
      <c r="H1914" t="s">
        <v>121</v>
      </c>
      <c r="I1914" t="s">
        <v>50</v>
      </c>
      <c r="J1914">
        <v>36.479999999999997</v>
      </c>
      <c r="K1914" t="e">
        <f>IF(COUNTIF(#REF!,Tabela2[[#This Row],[IdxWspolny]])&gt;0,"ELEM_lub_PRD","TECHN")</f>
        <v>#REF!</v>
      </c>
      <c r="L1914" t="e">
        <f>IF(COUNTIF(#REF!,Tabela2[[#This Row],[KOD_PRODUKTU]])&gt;0,"ELEMENT","PRODUKT")</f>
        <v>#REF!</v>
      </c>
      <c r="M1914" t="e">
        <f>COUNTIF(#REF!,Tabela2[[#This Row],[KOD_PRODUKTU]])</f>
        <v>#REF!</v>
      </c>
    </row>
    <row r="1915" spans="1:14" hidden="1" x14ac:dyDescent="0.25">
      <c r="A1915" s="1" t="s">
        <v>3200</v>
      </c>
      <c r="B1915" t="s">
        <v>3201</v>
      </c>
      <c r="C1915" s="1" t="s">
        <v>3218</v>
      </c>
      <c r="D1915" s="1" t="s">
        <v>3218</v>
      </c>
      <c r="E1915" s="1" t="s">
        <v>3218</v>
      </c>
      <c r="F1915" t="s">
        <v>3219</v>
      </c>
      <c r="G1915" t="s">
        <v>3220</v>
      </c>
      <c r="H1915" t="s">
        <v>121</v>
      </c>
      <c r="I1915" t="s">
        <v>50</v>
      </c>
      <c r="J1915">
        <v>414.04</v>
      </c>
      <c r="K1915" t="e">
        <f>IF(COUNTIF(#REF!,Tabela2[[#This Row],[IdxWspolny]])&gt;0,"ELEM_lub_PRD","TECHN")</f>
        <v>#REF!</v>
      </c>
      <c r="L1915" t="e">
        <f>IF(COUNTIF(#REF!,Tabela2[[#This Row],[KOD_PRODUKTU]])&gt;0,"ELEMENT","PRODUKT")</f>
        <v>#REF!</v>
      </c>
      <c r="M1915" t="e">
        <f>COUNTIF(#REF!,Tabela2[[#This Row],[KOD_PRODUKTU]])</f>
        <v>#REF!</v>
      </c>
      <c r="N1915" t="s">
        <v>55</v>
      </c>
    </row>
    <row r="1916" spans="1:14" x14ac:dyDescent="0.25">
      <c r="A1916" s="1" t="s">
        <v>3200</v>
      </c>
      <c r="B1916" t="s">
        <v>3201</v>
      </c>
      <c r="C1916" s="1" t="s">
        <v>1989</v>
      </c>
      <c r="D1916" s="1" t="s">
        <v>1989</v>
      </c>
      <c r="E1916" s="1" t="s">
        <v>1989</v>
      </c>
      <c r="F1916" t="s">
        <v>1990</v>
      </c>
      <c r="G1916" t="s">
        <v>1991</v>
      </c>
      <c r="H1916" t="s">
        <v>435</v>
      </c>
      <c r="I1916" t="s">
        <v>3221</v>
      </c>
      <c r="J1916">
        <v>11.5</v>
      </c>
      <c r="K1916" t="e">
        <f>IF(COUNTIF(#REF!,Tabela2[[#This Row],[IdxWspolny]])&gt;0,"ELEM_lub_PRD","TECHN")</f>
        <v>#REF!</v>
      </c>
      <c r="L1916" t="e">
        <f>IF(COUNTIF(#REF!,Tabela2[[#This Row],[KOD_PRODUKTU]])&gt;0,"ELEMENT","PRODUKT")</f>
        <v>#REF!</v>
      </c>
      <c r="M1916" t="e">
        <f>COUNTIF(#REF!,Tabela2[[#This Row],[KOD_PRODUKTU]])</f>
        <v>#REF!</v>
      </c>
    </row>
    <row r="1917" spans="1:14" x14ac:dyDescent="0.25">
      <c r="A1917" s="1" t="s">
        <v>3200</v>
      </c>
      <c r="B1917" t="s">
        <v>3201</v>
      </c>
      <c r="C1917" s="1" t="s">
        <v>541</v>
      </c>
      <c r="D1917" s="1" t="s">
        <v>541</v>
      </c>
      <c r="E1917" s="1" t="s">
        <v>541</v>
      </c>
      <c r="F1917" t="s">
        <v>542</v>
      </c>
      <c r="G1917" t="s">
        <v>9</v>
      </c>
      <c r="H1917" t="s">
        <v>10</v>
      </c>
      <c r="I1917" t="s">
        <v>3222</v>
      </c>
      <c r="J1917">
        <v>9.5500000000000007</v>
      </c>
      <c r="K1917" t="e">
        <f>IF(COUNTIF(#REF!,Tabela2[[#This Row],[IdxWspolny]])&gt;0,"ELEM_lub_PRD","TECHN")</f>
        <v>#REF!</v>
      </c>
      <c r="L1917" t="e">
        <f>IF(COUNTIF(#REF!,Tabela2[[#This Row],[KOD_PRODUKTU]])&gt;0,"ELEMENT","PRODUKT")</f>
        <v>#REF!</v>
      </c>
      <c r="M1917" t="e">
        <f>COUNTIF(#REF!,Tabela2[[#This Row],[KOD_PRODUKTU]])</f>
        <v>#REF!</v>
      </c>
    </row>
    <row r="1918" spans="1:14" x14ac:dyDescent="0.25">
      <c r="A1918" s="1" t="s">
        <v>3218</v>
      </c>
      <c r="B1918" t="s">
        <v>3223</v>
      </c>
      <c r="C1918" s="1" t="s">
        <v>3167</v>
      </c>
      <c r="D1918" s="1" t="s">
        <v>3167</v>
      </c>
      <c r="E1918" s="1" t="s">
        <v>3167</v>
      </c>
      <c r="F1918" t="s">
        <v>3168</v>
      </c>
      <c r="G1918" t="s">
        <v>111</v>
      </c>
      <c r="H1918" t="s">
        <v>17</v>
      </c>
      <c r="I1918" t="s">
        <v>3224</v>
      </c>
      <c r="J1918">
        <v>5.8</v>
      </c>
      <c r="K1918" t="e">
        <f>IF(COUNTIF(#REF!,Tabela2[[#This Row],[IdxWspolny]])&gt;0,"ELEM_lub_PRD","TECHN")</f>
        <v>#REF!</v>
      </c>
      <c r="L1918" t="e">
        <f>IF(COUNTIF(#REF!,Tabela2[[#This Row],[KOD_PRODUKTU]])&gt;0,"ELEMENT","PRODUKT")</f>
        <v>#REF!</v>
      </c>
      <c r="M1918" t="e">
        <f>COUNTIF(#REF!,Tabela2[[#This Row],[KOD_PRODUKTU]])</f>
        <v>#REF!</v>
      </c>
    </row>
    <row r="1919" spans="1:14" x14ac:dyDescent="0.25">
      <c r="A1919" s="1" t="s">
        <v>3218</v>
      </c>
      <c r="B1919" t="s">
        <v>3223</v>
      </c>
      <c r="C1919" s="1" t="s">
        <v>3225</v>
      </c>
      <c r="D1919" s="1" t="s">
        <v>3225</v>
      </c>
      <c r="E1919" s="1" t="s">
        <v>3225</v>
      </c>
      <c r="F1919" t="s">
        <v>3226</v>
      </c>
      <c r="G1919" t="s">
        <v>3227</v>
      </c>
      <c r="H1919" t="s">
        <v>121</v>
      </c>
      <c r="I1919" t="s">
        <v>50</v>
      </c>
      <c r="J1919">
        <v>15.93</v>
      </c>
      <c r="K1919" t="e">
        <f>IF(COUNTIF(#REF!,Tabela2[[#This Row],[IdxWspolny]])&gt;0,"ELEM_lub_PRD","TECHN")</f>
        <v>#REF!</v>
      </c>
      <c r="L1919" t="e">
        <f>IF(COUNTIF(#REF!,Tabela2[[#This Row],[KOD_PRODUKTU]])&gt;0,"ELEMENT","PRODUKT")</f>
        <v>#REF!</v>
      </c>
      <c r="M1919" t="e">
        <f>COUNTIF(#REF!,Tabela2[[#This Row],[KOD_PRODUKTU]])</f>
        <v>#REF!</v>
      </c>
    </row>
    <row r="1920" spans="1:14" x14ac:dyDescent="0.25">
      <c r="A1920" s="1" t="s">
        <v>3218</v>
      </c>
      <c r="B1920" t="s">
        <v>3223</v>
      </c>
      <c r="C1920" s="1" t="s">
        <v>3228</v>
      </c>
      <c r="D1920" s="1" t="s">
        <v>3228</v>
      </c>
      <c r="E1920" s="1" t="s">
        <v>3228</v>
      </c>
      <c r="F1920" t="s">
        <v>3229</v>
      </c>
      <c r="G1920" t="s">
        <v>3230</v>
      </c>
      <c r="H1920" t="s">
        <v>121</v>
      </c>
      <c r="I1920" t="s">
        <v>50</v>
      </c>
      <c r="J1920">
        <v>171.3</v>
      </c>
      <c r="K1920" t="e">
        <f>IF(COUNTIF(#REF!,Tabela2[[#This Row],[IdxWspolny]])&gt;0,"ELEM_lub_PRD","TECHN")</f>
        <v>#REF!</v>
      </c>
      <c r="L1920" t="e">
        <f>IF(COUNTIF(#REF!,Tabela2[[#This Row],[KOD_PRODUKTU]])&gt;0,"ELEMENT","PRODUKT")</f>
        <v>#REF!</v>
      </c>
      <c r="M1920" t="e">
        <f>COUNTIF(#REF!,Tabela2[[#This Row],[KOD_PRODUKTU]])</f>
        <v>#REF!</v>
      </c>
    </row>
    <row r="1921" spans="1:14" x14ac:dyDescent="0.25">
      <c r="A1921" s="1" t="s">
        <v>3218</v>
      </c>
      <c r="B1921" t="s">
        <v>3223</v>
      </c>
      <c r="C1921" s="1" t="s">
        <v>3231</v>
      </c>
      <c r="D1921" s="1" t="s">
        <v>3231</v>
      </c>
      <c r="E1921" s="1" t="s">
        <v>3231</v>
      </c>
      <c r="F1921" t="s">
        <v>3232</v>
      </c>
      <c r="G1921" t="s">
        <v>3233</v>
      </c>
      <c r="H1921" t="s">
        <v>121</v>
      </c>
      <c r="I1921" t="s">
        <v>122</v>
      </c>
      <c r="J1921">
        <v>23.32</v>
      </c>
      <c r="K1921" t="e">
        <f>IF(COUNTIF(#REF!,Tabela2[[#This Row],[IdxWspolny]])&gt;0,"ELEM_lub_PRD","TECHN")</f>
        <v>#REF!</v>
      </c>
      <c r="L1921" t="e">
        <f>IF(COUNTIF(#REF!,Tabela2[[#This Row],[KOD_PRODUKTU]])&gt;0,"ELEMENT","PRODUKT")</f>
        <v>#REF!</v>
      </c>
      <c r="M1921" t="e">
        <f>COUNTIF(#REF!,Tabela2[[#This Row],[KOD_PRODUKTU]])</f>
        <v>#REF!</v>
      </c>
    </row>
    <row r="1922" spans="1:14" x14ac:dyDescent="0.25">
      <c r="A1922" s="1" t="s">
        <v>3218</v>
      </c>
      <c r="B1922" t="s">
        <v>3223</v>
      </c>
      <c r="C1922" s="1" t="s">
        <v>3173</v>
      </c>
      <c r="D1922" s="1" t="s">
        <v>3173</v>
      </c>
      <c r="E1922" s="1" t="s">
        <v>3173</v>
      </c>
      <c r="F1922" t="s">
        <v>3174</v>
      </c>
      <c r="G1922" t="s">
        <v>3234</v>
      </c>
      <c r="H1922" t="s">
        <v>121</v>
      </c>
      <c r="I1922" t="s">
        <v>50</v>
      </c>
      <c r="J1922">
        <v>7.01</v>
      </c>
      <c r="K1922" t="e">
        <f>IF(COUNTIF(#REF!,Tabela2[[#This Row],[IdxWspolny]])&gt;0,"ELEM_lub_PRD","TECHN")</f>
        <v>#REF!</v>
      </c>
      <c r="L1922" t="e">
        <f>IF(COUNTIF(#REF!,Tabela2[[#This Row],[KOD_PRODUKTU]])&gt;0,"ELEMENT","PRODUKT")</f>
        <v>#REF!</v>
      </c>
      <c r="M1922" t="e">
        <f>COUNTIF(#REF!,Tabela2[[#This Row],[KOD_PRODUKTU]])</f>
        <v>#REF!</v>
      </c>
    </row>
    <row r="1923" spans="1:14" x14ac:dyDescent="0.25">
      <c r="A1923" s="1" t="s">
        <v>3218</v>
      </c>
      <c r="B1923" t="s">
        <v>3223</v>
      </c>
      <c r="C1923" s="1" t="s">
        <v>3179</v>
      </c>
      <c r="D1923" s="1" t="s">
        <v>3179</v>
      </c>
      <c r="E1923" s="1" t="s">
        <v>3179</v>
      </c>
      <c r="F1923" t="s">
        <v>3180</v>
      </c>
      <c r="G1923" t="s">
        <v>151</v>
      </c>
      <c r="H1923" t="s">
        <v>121</v>
      </c>
      <c r="I1923" t="s">
        <v>92</v>
      </c>
      <c r="J1923">
        <v>4</v>
      </c>
      <c r="K1923" t="e">
        <f>IF(COUNTIF(#REF!,Tabela2[[#This Row],[IdxWspolny]])&gt;0,"ELEM_lub_PRD","TECHN")</f>
        <v>#REF!</v>
      </c>
      <c r="L1923" t="e">
        <f>IF(COUNTIF(#REF!,Tabela2[[#This Row],[KOD_PRODUKTU]])&gt;0,"ELEMENT","PRODUKT")</f>
        <v>#REF!</v>
      </c>
      <c r="M1923" t="e">
        <f>COUNTIF(#REF!,Tabela2[[#This Row],[KOD_PRODUKTU]])</f>
        <v>#REF!</v>
      </c>
    </row>
    <row r="1924" spans="1:14" x14ac:dyDescent="0.25">
      <c r="A1924" s="1" t="s">
        <v>3218</v>
      </c>
      <c r="B1924" t="s">
        <v>3223</v>
      </c>
      <c r="C1924" s="1" t="s">
        <v>3235</v>
      </c>
      <c r="D1924" s="1" t="s">
        <v>3235</v>
      </c>
      <c r="E1924" s="1" t="s">
        <v>3235</v>
      </c>
      <c r="F1924" t="s">
        <v>3236</v>
      </c>
      <c r="G1924" t="s">
        <v>3237</v>
      </c>
      <c r="H1924" t="s">
        <v>121</v>
      </c>
      <c r="I1924" t="s">
        <v>92</v>
      </c>
      <c r="J1924">
        <v>10.46</v>
      </c>
      <c r="K1924" t="e">
        <f>IF(COUNTIF(#REF!,Tabela2[[#This Row],[IdxWspolny]])&gt;0,"ELEM_lub_PRD","TECHN")</f>
        <v>#REF!</v>
      </c>
      <c r="L1924" t="e">
        <f>IF(COUNTIF(#REF!,Tabela2[[#This Row],[KOD_PRODUKTU]])&gt;0,"ELEMENT","PRODUKT")</f>
        <v>#REF!</v>
      </c>
      <c r="M1924" t="e">
        <f>COUNTIF(#REF!,Tabela2[[#This Row],[KOD_PRODUKTU]])</f>
        <v>#REF!</v>
      </c>
    </row>
    <row r="1925" spans="1:14" x14ac:dyDescent="0.25">
      <c r="A1925" s="1" t="s">
        <v>3218</v>
      </c>
      <c r="B1925" t="s">
        <v>3223</v>
      </c>
      <c r="C1925" s="1" t="s">
        <v>3182</v>
      </c>
      <c r="D1925" s="1" t="s">
        <v>3182</v>
      </c>
      <c r="E1925" s="1" t="s">
        <v>3182</v>
      </c>
      <c r="F1925" t="s">
        <v>3183</v>
      </c>
      <c r="G1925" t="s">
        <v>3184</v>
      </c>
      <c r="H1925" t="s">
        <v>121</v>
      </c>
      <c r="I1925" t="s">
        <v>50</v>
      </c>
      <c r="J1925">
        <v>0.15</v>
      </c>
      <c r="K1925" t="e">
        <f>IF(COUNTIF(#REF!,Tabela2[[#This Row],[IdxWspolny]])&gt;0,"ELEM_lub_PRD","TECHN")</f>
        <v>#REF!</v>
      </c>
      <c r="L1925" t="e">
        <f>IF(COUNTIF(#REF!,Tabela2[[#This Row],[KOD_PRODUKTU]])&gt;0,"ELEMENT","PRODUKT")</f>
        <v>#REF!</v>
      </c>
      <c r="M1925" t="e">
        <f>COUNTIF(#REF!,Tabela2[[#This Row],[KOD_PRODUKTU]])</f>
        <v>#REF!</v>
      </c>
    </row>
    <row r="1926" spans="1:14" x14ac:dyDescent="0.25">
      <c r="A1926" s="1" t="s">
        <v>3218</v>
      </c>
      <c r="B1926" t="s">
        <v>3223</v>
      </c>
      <c r="C1926" s="1" t="s">
        <v>3185</v>
      </c>
      <c r="D1926" s="1" t="s">
        <v>3185</v>
      </c>
      <c r="E1926" s="1" t="s">
        <v>3185</v>
      </c>
      <c r="F1926" t="s">
        <v>3186</v>
      </c>
      <c r="G1926" t="s">
        <v>979</v>
      </c>
      <c r="H1926" t="s">
        <v>121</v>
      </c>
      <c r="I1926" t="s">
        <v>50</v>
      </c>
      <c r="J1926">
        <v>0.52</v>
      </c>
      <c r="K1926" t="e">
        <f>IF(COUNTIF(#REF!,Tabela2[[#This Row],[IdxWspolny]])&gt;0,"ELEM_lub_PRD","TECHN")</f>
        <v>#REF!</v>
      </c>
      <c r="L1926" t="e">
        <f>IF(COUNTIF(#REF!,Tabela2[[#This Row],[KOD_PRODUKTU]])&gt;0,"ELEMENT","PRODUKT")</f>
        <v>#REF!</v>
      </c>
      <c r="M1926" t="e">
        <f>COUNTIF(#REF!,Tabela2[[#This Row],[KOD_PRODUKTU]])</f>
        <v>#REF!</v>
      </c>
    </row>
    <row r="1927" spans="1:14" hidden="1" x14ac:dyDescent="0.25">
      <c r="A1927" s="1" t="s">
        <v>3218</v>
      </c>
      <c r="B1927" t="s">
        <v>3223</v>
      </c>
      <c r="C1927" s="1" t="s">
        <v>3238</v>
      </c>
      <c r="D1927" s="1" t="s">
        <v>3238</v>
      </c>
      <c r="E1927" s="1" t="s">
        <v>3238</v>
      </c>
      <c r="F1927" t="s">
        <v>3239</v>
      </c>
      <c r="G1927" t="s">
        <v>3240</v>
      </c>
      <c r="H1927" t="s">
        <v>121</v>
      </c>
      <c r="I1927" t="s">
        <v>268</v>
      </c>
      <c r="J1927">
        <v>86.73</v>
      </c>
      <c r="K1927" t="e">
        <f>IF(COUNTIF(#REF!,Tabela2[[#This Row],[IdxWspolny]])&gt;0,"ELEM_lub_PRD","TECHN")</f>
        <v>#REF!</v>
      </c>
      <c r="L1927" t="e">
        <f>IF(COUNTIF(#REF!,Tabela2[[#This Row],[KOD_PRODUKTU]])&gt;0,"ELEMENT","PRODUKT")</f>
        <v>#REF!</v>
      </c>
      <c r="M1927" t="e">
        <f>COUNTIF(#REF!,Tabela2[[#This Row],[KOD_PRODUKTU]])</f>
        <v>#REF!</v>
      </c>
      <c r="N1927" t="s">
        <v>55</v>
      </c>
    </row>
    <row r="1928" spans="1:14" hidden="1" x14ac:dyDescent="0.25">
      <c r="A1928" s="1" t="s">
        <v>3218</v>
      </c>
      <c r="B1928" t="s">
        <v>3223</v>
      </c>
      <c r="C1928" s="1" t="s">
        <v>3241</v>
      </c>
      <c r="D1928" s="1" t="s">
        <v>3241</v>
      </c>
      <c r="E1928" s="1" t="s">
        <v>3241</v>
      </c>
      <c r="F1928" t="s">
        <v>3242</v>
      </c>
      <c r="G1928" t="s">
        <v>336</v>
      </c>
      <c r="H1928" t="s">
        <v>121</v>
      </c>
      <c r="I1928" t="s">
        <v>92</v>
      </c>
      <c r="J1928">
        <v>5.2</v>
      </c>
      <c r="K1928" t="e">
        <f>IF(COUNTIF(#REF!,Tabela2[[#This Row],[IdxWspolny]])&gt;0,"ELEM_lub_PRD","TECHN")</f>
        <v>#REF!</v>
      </c>
      <c r="L1928" t="e">
        <f>IF(COUNTIF(#REF!,Tabela2[[#This Row],[KOD_PRODUKTU]])&gt;0,"ELEMENT","PRODUKT")</f>
        <v>#REF!</v>
      </c>
      <c r="M1928" t="e">
        <f>COUNTIF(#REF!,Tabela2[[#This Row],[KOD_PRODUKTU]])</f>
        <v>#REF!</v>
      </c>
      <c r="N1928" t="s">
        <v>55</v>
      </c>
    </row>
    <row r="1929" spans="1:14" hidden="1" x14ac:dyDescent="0.25">
      <c r="A1929" s="1" t="s">
        <v>3218</v>
      </c>
      <c r="B1929" t="s">
        <v>3223</v>
      </c>
      <c r="C1929" s="1" t="s">
        <v>3243</v>
      </c>
      <c r="D1929" s="1" t="s">
        <v>3243</v>
      </c>
      <c r="E1929" s="1" t="s">
        <v>3243</v>
      </c>
      <c r="F1929" t="s">
        <v>3244</v>
      </c>
      <c r="G1929" t="s">
        <v>3245</v>
      </c>
      <c r="H1929" t="s">
        <v>121</v>
      </c>
      <c r="I1929" t="s">
        <v>50</v>
      </c>
      <c r="J1929">
        <v>37.979999999999997</v>
      </c>
      <c r="K1929" t="e">
        <f>IF(COUNTIF(#REF!,Tabela2[[#This Row],[IdxWspolny]])&gt;0,"ELEM_lub_PRD","TECHN")</f>
        <v>#REF!</v>
      </c>
      <c r="L1929" t="e">
        <f>IF(COUNTIF(#REF!,Tabela2[[#This Row],[KOD_PRODUKTU]])&gt;0,"ELEMENT","PRODUKT")</f>
        <v>#REF!</v>
      </c>
      <c r="M1929" t="e">
        <f>COUNTIF(#REF!,Tabela2[[#This Row],[KOD_PRODUKTU]])</f>
        <v>#REF!</v>
      </c>
      <c r="N1929" t="s">
        <v>55</v>
      </c>
    </row>
    <row r="1930" spans="1:14" hidden="1" x14ac:dyDescent="0.25">
      <c r="A1930" s="1" t="s">
        <v>3218</v>
      </c>
      <c r="B1930" t="s">
        <v>3223</v>
      </c>
      <c r="C1930" s="1" t="s">
        <v>3246</v>
      </c>
      <c r="D1930" s="1" t="s">
        <v>3246</v>
      </c>
      <c r="E1930" s="1" t="s">
        <v>3246</v>
      </c>
      <c r="F1930" t="s">
        <v>3247</v>
      </c>
      <c r="G1930" t="s">
        <v>3248</v>
      </c>
      <c r="H1930" t="s">
        <v>121</v>
      </c>
      <c r="I1930" t="s">
        <v>50</v>
      </c>
      <c r="J1930">
        <v>15.4</v>
      </c>
      <c r="K1930" t="e">
        <f>IF(COUNTIF(#REF!,Tabela2[[#This Row],[IdxWspolny]])&gt;0,"ELEM_lub_PRD","TECHN")</f>
        <v>#REF!</v>
      </c>
      <c r="L1930" t="e">
        <f>IF(COUNTIF(#REF!,Tabela2[[#This Row],[KOD_PRODUKTU]])&gt;0,"ELEMENT","PRODUKT")</f>
        <v>#REF!</v>
      </c>
      <c r="M1930" t="e">
        <f>COUNTIF(#REF!,Tabela2[[#This Row],[KOD_PRODUKTU]])</f>
        <v>#REF!</v>
      </c>
      <c r="N1930" t="s">
        <v>55</v>
      </c>
    </row>
    <row r="1931" spans="1:14" x14ac:dyDescent="0.25">
      <c r="A1931" s="1" t="s">
        <v>3218</v>
      </c>
      <c r="B1931" t="s">
        <v>3223</v>
      </c>
      <c r="C1931" s="1" t="s">
        <v>857</v>
      </c>
      <c r="D1931" s="1" t="s">
        <v>857</v>
      </c>
      <c r="E1931" s="1" t="s">
        <v>857</v>
      </c>
      <c r="F1931" t="s">
        <v>858</v>
      </c>
      <c r="G1931" t="s">
        <v>686</v>
      </c>
      <c r="H1931" t="s">
        <v>49</v>
      </c>
      <c r="I1931" t="s">
        <v>3249</v>
      </c>
      <c r="J1931">
        <v>2.5</v>
      </c>
      <c r="K1931" t="e">
        <f>IF(COUNTIF(#REF!,Tabela2[[#This Row],[IdxWspolny]])&gt;0,"ELEM_lub_PRD","TECHN")</f>
        <v>#REF!</v>
      </c>
      <c r="L1931" t="e">
        <f>IF(COUNTIF(#REF!,Tabela2[[#This Row],[KOD_PRODUKTU]])&gt;0,"ELEMENT","PRODUKT")</f>
        <v>#REF!</v>
      </c>
      <c r="M1931" t="e">
        <f>COUNTIF(#REF!,Tabela2[[#This Row],[KOD_PRODUKTU]])</f>
        <v>#REF!</v>
      </c>
    </row>
    <row r="1932" spans="1:14" x14ac:dyDescent="0.25">
      <c r="A1932" s="1" t="s">
        <v>3218</v>
      </c>
      <c r="B1932" t="s">
        <v>3223</v>
      </c>
      <c r="C1932" s="1" t="s">
        <v>541</v>
      </c>
      <c r="D1932" s="1" t="s">
        <v>541</v>
      </c>
      <c r="E1932" s="1" t="s">
        <v>541</v>
      </c>
      <c r="F1932" t="s">
        <v>542</v>
      </c>
      <c r="G1932" t="s">
        <v>9</v>
      </c>
      <c r="H1932" t="s">
        <v>10</v>
      </c>
      <c r="I1932" t="s">
        <v>3250</v>
      </c>
      <c r="J1932">
        <v>27.74</v>
      </c>
      <c r="K1932" t="e">
        <f>IF(COUNTIF(#REF!,Tabela2[[#This Row],[IdxWspolny]])&gt;0,"ELEM_lub_PRD","TECHN")</f>
        <v>#REF!</v>
      </c>
      <c r="L1932" t="e">
        <f>IF(COUNTIF(#REF!,Tabela2[[#This Row],[KOD_PRODUKTU]])&gt;0,"ELEMENT","PRODUKT")</f>
        <v>#REF!</v>
      </c>
      <c r="M1932" t="e">
        <f>COUNTIF(#REF!,Tabela2[[#This Row],[KOD_PRODUKTU]])</f>
        <v>#REF!</v>
      </c>
    </row>
    <row r="1933" spans="1:14" x14ac:dyDescent="0.25">
      <c r="A1933" s="1" t="s">
        <v>3238</v>
      </c>
      <c r="B1933" t="s">
        <v>3251</v>
      </c>
      <c r="C1933" s="1" t="s">
        <v>3231</v>
      </c>
      <c r="D1933" s="1" t="s">
        <v>3231</v>
      </c>
      <c r="E1933" s="1" t="s">
        <v>3231</v>
      </c>
      <c r="F1933" t="s">
        <v>3232</v>
      </c>
      <c r="G1933" t="s">
        <v>3233</v>
      </c>
      <c r="H1933" t="s">
        <v>121</v>
      </c>
      <c r="I1933" t="s">
        <v>50</v>
      </c>
      <c r="J1933">
        <v>5.83</v>
      </c>
      <c r="K1933" t="e">
        <f>IF(COUNTIF(#REF!,Tabela2[[#This Row],[IdxWspolny]])&gt;0,"ELEM_lub_PRD","TECHN")</f>
        <v>#REF!</v>
      </c>
      <c r="L1933" t="e">
        <f>IF(COUNTIF(#REF!,Tabela2[[#This Row],[KOD_PRODUKTU]])&gt;0,"ELEMENT","PRODUKT")</f>
        <v>#REF!</v>
      </c>
      <c r="M1933" t="e">
        <f>COUNTIF(#REF!,Tabela2[[#This Row],[KOD_PRODUKTU]])</f>
        <v>#REF!</v>
      </c>
    </row>
    <row r="1934" spans="1:14" x14ac:dyDescent="0.25">
      <c r="A1934" s="1" t="s">
        <v>3238</v>
      </c>
      <c r="B1934" t="s">
        <v>3251</v>
      </c>
      <c r="C1934" s="1" t="s">
        <v>3235</v>
      </c>
      <c r="D1934" s="1" t="s">
        <v>3235</v>
      </c>
      <c r="E1934" s="1" t="s">
        <v>3235</v>
      </c>
      <c r="F1934" t="s">
        <v>3236</v>
      </c>
      <c r="G1934" t="s">
        <v>3237</v>
      </c>
      <c r="H1934" t="s">
        <v>121</v>
      </c>
      <c r="I1934" t="s">
        <v>92</v>
      </c>
      <c r="J1934">
        <v>10.46</v>
      </c>
      <c r="K1934" t="e">
        <f>IF(COUNTIF(#REF!,Tabela2[[#This Row],[IdxWspolny]])&gt;0,"ELEM_lub_PRD","TECHN")</f>
        <v>#REF!</v>
      </c>
      <c r="L1934" t="e">
        <f>IF(COUNTIF(#REF!,Tabela2[[#This Row],[KOD_PRODUKTU]])&gt;0,"ELEMENT","PRODUKT")</f>
        <v>#REF!</v>
      </c>
      <c r="M1934" t="e">
        <f>COUNTIF(#REF!,Tabela2[[#This Row],[KOD_PRODUKTU]])</f>
        <v>#REF!</v>
      </c>
    </row>
    <row r="1935" spans="1:14" hidden="1" x14ac:dyDescent="0.25">
      <c r="A1935" s="1" t="s">
        <v>3238</v>
      </c>
      <c r="B1935" t="s">
        <v>3251</v>
      </c>
      <c r="C1935" s="1" t="s">
        <v>3241</v>
      </c>
      <c r="D1935" s="1" t="s">
        <v>3241</v>
      </c>
      <c r="E1935" s="1" t="s">
        <v>3241</v>
      </c>
      <c r="F1935" t="s">
        <v>3242</v>
      </c>
      <c r="G1935" t="s">
        <v>336</v>
      </c>
      <c r="H1935" t="s">
        <v>121</v>
      </c>
      <c r="I1935" t="s">
        <v>92</v>
      </c>
      <c r="J1935">
        <v>5.2</v>
      </c>
      <c r="K1935" t="e">
        <f>IF(COUNTIF(#REF!,Tabela2[[#This Row],[IdxWspolny]])&gt;0,"ELEM_lub_PRD","TECHN")</f>
        <v>#REF!</v>
      </c>
      <c r="L1935" t="e">
        <f>IF(COUNTIF(#REF!,Tabela2[[#This Row],[KOD_PRODUKTU]])&gt;0,"ELEMENT","PRODUKT")</f>
        <v>#REF!</v>
      </c>
      <c r="M1935" t="e">
        <f>COUNTIF(#REF!,Tabela2[[#This Row],[KOD_PRODUKTU]])</f>
        <v>#REF!</v>
      </c>
      <c r="N1935" t="s">
        <v>55</v>
      </c>
    </row>
    <row r="1936" spans="1:14" x14ac:dyDescent="0.25">
      <c r="A1936" s="1" t="s">
        <v>3238</v>
      </c>
      <c r="B1936" t="s">
        <v>3251</v>
      </c>
      <c r="C1936" s="1" t="s">
        <v>857</v>
      </c>
      <c r="D1936" s="1" t="s">
        <v>857</v>
      </c>
      <c r="E1936" s="1" t="s">
        <v>857</v>
      </c>
      <c r="F1936" t="s">
        <v>858</v>
      </c>
      <c r="G1936" t="s">
        <v>686</v>
      </c>
      <c r="H1936" t="s">
        <v>49</v>
      </c>
      <c r="I1936" t="s">
        <v>3252</v>
      </c>
      <c r="J1936">
        <v>1.7</v>
      </c>
      <c r="K1936" t="e">
        <f>IF(COUNTIF(#REF!,Tabela2[[#This Row],[IdxWspolny]])&gt;0,"ELEM_lub_PRD","TECHN")</f>
        <v>#REF!</v>
      </c>
      <c r="L1936" t="e">
        <f>IF(COUNTIF(#REF!,Tabela2[[#This Row],[KOD_PRODUKTU]])&gt;0,"ELEMENT","PRODUKT")</f>
        <v>#REF!</v>
      </c>
      <c r="M1936" t="e">
        <f>COUNTIF(#REF!,Tabela2[[#This Row],[KOD_PRODUKTU]])</f>
        <v>#REF!</v>
      </c>
    </row>
    <row r="1937" spans="1:13" x14ac:dyDescent="0.25">
      <c r="A1937" s="1" t="s">
        <v>3238</v>
      </c>
      <c r="B1937" t="s">
        <v>3251</v>
      </c>
      <c r="C1937" s="1" t="s">
        <v>541</v>
      </c>
      <c r="D1937" s="1" t="s">
        <v>541</v>
      </c>
      <c r="E1937" s="1" t="s">
        <v>541</v>
      </c>
      <c r="F1937" t="s">
        <v>542</v>
      </c>
      <c r="G1937" t="s">
        <v>9</v>
      </c>
      <c r="H1937" t="s">
        <v>10</v>
      </c>
      <c r="I1937" t="s">
        <v>3253</v>
      </c>
      <c r="J1937">
        <v>5.72</v>
      </c>
      <c r="K1937" t="e">
        <f>IF(COUNTIF(#REF!,Tabela2[[#This Row],[IdxWspolny]])&gt;0,"ELEM_lub_PRD","TECHN")</f>
        <v>#REF!</v>
      </c>
      <c r="L1937" t="e">
        <f>IF(COUNTIF(#REF!,Tabela2[[#This Row],[KOD_PRODUKTU]])&gt;0,"ELEMENT","PRODUKT")</f>
        <v>#REF!</v>
      </c>
      <c r="M1937" t="e">
        <f>COUNTIF(#REF!,Tabela2[[#This Row],[KOD_PRODUKTU]])</f>
        <v>#REF!</v>
      </c>
    </row>
    <row r="1938" spans="1:13" x14ac:dyDescent="0.25">
      <c r="A1938" s="1" t="s">
        <v>3241</v>
      </c>
      <c r="B1938" t="s">
        <v>3254</v>
      </c>
      <c r="C1938" s="1" t="s">
        <v>3255</v>
      </c>
      <c r="D1938" s="1" t="s">
        <v>3255</v>
      </c>
      <c r="E1938" s="1" t="s">
        <v>3255</v>
      </c>
      <c r="F1938" t="s">
        <v>3256</v>
      </c>
      <c r="G1938" t="s">
        <v>1017</v>
      </c>
      <c r="H1938" t="s">
        <v>5</v>
      </c>
      <c r="I1938" t="s">
        <v>1210</v>
      </c>
      <c r="J1938">
        <v>0.3</v>
      </c>
      <c r="K1938" t="e">
        <f>IF(COUNTIF(#REF!,Tabela2[[#This Row],[IdxWspolny]])&gt;0,"ELEM_lub_PRD","TECHN")</f>
        <v>#REF!</v>
      </c>
      <c r="L1938" t="e">
        <f>IF(COUNTIF(#REF!,Tabela2[[#This Row],[KOD_PRODUKTU]])&gt;0,"ELEMENT","PRODUKT")</f>
        <v>#REF!</v>
      </c>
      <c r="M1938" t="e">
        <f>COUNTIF(#REF!,Tabela2[[#This Row],[KOD_PRODUKTU]])</f>
        <v>#REF!</v>
      </c>
    </row>
    <row r="1939" spans="1:13" x14ac:dyDescent="0.25">
      <c r="A1939" s="1" t="s">
        <v>3241</v>
      </c>
      <c r="B1939" t="s">
        <v>3254</v>
      </c>
      <c r="C1939" s="1" t="s">
        <v>541</v>
      </c>
      <c r="D1939" s="1" t="s">
        <v>541</v>
      </c>
      <c r="E1939" s="1" t="s">
        <v>541</v>
      </c>
      <c r="F1939" t="s">
        <v>542</v>
      </c>
      <c r="G1939" t="s">
        <v>9</v>
      </c>
      <c r="H1939" t="s">
        <v>10</v>
      </c>
      <c r="I1939" t="s">
        <v>367</v>
      </c>
      <c r="J1939">
        <v>2.2999999999999998</v>
      </c>
      <c r="K1939" t="e">
        <f>IF(COUNTIF(#REF!,Tabela2[[#This Row],[IdxWspolny]])&gt;0,"ELEM_lub_PRD","TECHN")</f>
        <v>#REF!</v>
      </c>
      <c r="L1939" t="e">
        <f>IF(COUNTIF(#REF!,Tabela2[[#This Row],[KOD_PRODUKTU]])&gt;0,"ELEMENT","PRODUKT")</f>
        <v>#REF!</v>
      </c>
      <c r="M1939" t="e">
        <f>COUNTIF(#REF!,Tabela2[[#This Row],[KOD_PRODUKTU]])</f>
        <v>#REF!</v>
      </c>
    </row>
    <row r="1940" spans="1:13" x14ac:dyDescent="0.25">
      <c r="A1940" s="1" t="s">
        <v>3243</v>
      </c>
      <c r="B1940" t="s">
        <v>3257</v>
      </c>
      <c r="C1940" s="1" t="s">
        <v>3258</v>
      </c>
      <c r="D1940" s="1" t="s">
        <v>3258</v>
      </c>
      <c r="E1940" s="1" t="s">
        <v>3258</v>
      </c>
      <c r="F1940" t="s">
        <v>3259</v>
      </c>
      <c r="G1940" t="s">
        <v>70</v>
      </c>
      <c r="H1940" t="s">
        <v>5</v>
      </c>
      <c r="I1940" t="s">
        <v>3260</v>
      </c>
      <c r="J1940">
        <v>14</v>
      </c>
      <c r="K1940" t="e">
        <f>IF(COUNTIF(#REF!,Tabela2[[#This Row],[IdxWspolny]])&gt;0,"ELEM_lub_PRD","TECHN")</f>
        <v>#REF!</v>
      </c>
      <c r="L1940" t="e">
        <f>IF(COUNTIF(#REF!,Tabela2[[#This Row],[KOD_PRODUKTU]])&gt;0,"ELEMENT","PRODUKT")</f>
        <v>#REF!</v>
      </c>
      <c r="M1940" t="e">
        <f>COUNTIF(#REF!,Tabela2[[#This Row],[KOD_PRODUKTU]])</f>
        <v>#REF!</v>
      </c>
    </row>
    <row r="1941" spans="1:13" x14ac:dyDescent="0.25">
      <c r="A1941" s="1" t="s">
        <v>3243</v>
      </c>
      <c r="B1941" t="s">
        <v>3257</v>
      </c>
      <c r="C1941" s="1" t="s">
        <v>541</v>
      </c>
      <c r="D1941" s="1" t="s">
        <v>541</v>
      </c>
      <c r="E1941" s="1" t="s">
        <v>541</v>
      </c>
      <c r="F1941" t="s">
        <v>542</v>
      </c>
      <c r="G1941" t="s">
        <v>9</v>
      </c>
      <c r="H1941" t="s">
        <v>10</v>
      </c>
      <c r="I1941" t="s">
        <v>3261</v>
      </c>
      <c r="J1941">
        <v>23.98</v>
      </c>
      <c r="K1941" t="e">
        <f>IF(COUNTIF(#REF!,Tabela2[[#This Row],[IdxWspolny]])&gt;0,"ELEM_lub_PRD","TECHN")</f>
        <v>#REF!</v>
      </c>
      <c r="L1941" t="e">
        <f>IF(COUNTIF(#REF!,Tabela2[[#This Row],[KOD_PRODUKTU]])&gt;0,"ELEMENT","PRODUKT")</f>
        <v>#REF!</v>
      </c>
      <c r="M1941" t="e">
        <f>COUNTIF(#REF!,Tabela2[[#This Row],[KOD_PRODUKTU]])</f>
        <v>#REF!</v>
      </c>
    </row>
    <row r="1942" spans="1:13" x14ac:dyDescent="0.25">
      <c r="A1942" s="1" t="s">
        <v>3246</v>
      </c>
      <c r="B1942" t="s">
        <v>3262</v>
      </c>
      <c r="C1942" s="1" t="s">
        <v>2941</v>
      </c>
      <c r="D1942" s="1" t="s">
        <v>2941</v>
      </c>
      <c r="E1942" s="1" t="s">
        <v>2941</v>
      </c>
      <c r="F1942" t="s">
        <v>2942</v>
      </c>
      <c r="G1942" t="s">
        <v>1394</v>
      </c>
      <c r="H1942" t="s">
        <v>5</v>
      </c>
      <c r="I1942" t="s">
        <v>607</v>
      </c>
      <c r="J1942">
        <v>1.6</v>
      </c>
      <c r="K1942" t="e">
        <f>IF(COUNTIF(#REF!,Tabela2[[#This Row],[IdxWspolny]])&gt;0,"ELEM_lub_PRD","TECHN")</f>
        <v>#REF!</v>
      </c>
      <c r="L1942" t="e">
        <f>IF(COUNTIF(#REF!,Tabela2[[#This Row],[KOD_PRODUKTU]])&gt;0,"ELEMENT","PRODUKT")</f>
        <v>#REF!</v>
      </c>
      <c r="M1942" t="e">
        <f>COUNTIF(#REF!,Tabela2[[#This Row],[KOD_PRODUKTU]])</f>
        <v>#REF!</v>
      </c>
    </row>
    <row r="1943" spans="1:13" x14ac:dyDescent="0.25">
      <c r="A1943" s="1" t="s">
        <v>3246</v>
      </c>
      <c r="B1943" t="s">
        <v>3262</v>
      </c>
      <c r="C1943" s="1" t="s">
        <v>541</v>
      </c>
      <c r="D1943" s="1" t="s">
        <v>541</v>
      </c>
      <c r="E1943" s="1" t="s">
        <v>541</v>
      </c>
      <c r="F1943" t="s">
        <v>542</v>
      </c>
      <c r="G1943" t="s">
        <v>9</v>
      </c>
      <c r="H1943" t="s">
        <v>10</v>
      </c>
      <c r="I1943" t="s">
        <v>992</v>
      </c>
      <c r="J1943">
        <v>13.8</v>
      </c>
      <c r="K1943" t="e">
        <f>IF(COUNTIF(#REF!,Tabela2[[#This Row],[IdxWspolny]])&gt;0,"ELEM_lub_PRD","TECHN")</f>
        <v>#REF!</v>
      </c>
      <c r="L1943" t="e">
        <f>IF(COUNTIF(#REF!,Tabela2[[#This Row],[KOD_PRODUKTU]])&gt;0,"ELEMENT","PRODUKT")</f>
        <v>#REF!</v>
      </c>
      <c r="M1943" t="e">
        <f>COUNTIF(#REF!,Tabela2[[#This Row],[KOD_PRODUKTU]])</f>
        <v>#REF!</v>
      </c>
    </row>
    <row r="1944" spans="1:13" x14ac:dyDescent="0.25">
      <c r="A1944" s="1" t="s">
        <v>3263</v>
      </c>
      <c r="B1944" t="s">
        <v>3264</v>
      </c>
      <c r="C1944" s="1" t="s">
        <v>3265</v>
      </c>
      <c r="D1944" s="1" t="s">
        <v>3265</v>
      </c>
      <c r="E1944" s="1" t="s">
        <v>3265</v>
      </c>
      <c r="F1944" t="s">
        <v>3266</v>
      </c>
      <c r="G1944" t="s">
        <v>311</v>
      </c>
      <c r="H1944" t="s">
        <v>17</v>
      </c>
      <c r="I1944" t="s">
        <v>3047</v>
      </c>
      <c r="J1944">
        <v>1.37</v>
      </c>
      <c r="K1944" t="e">
        <f>IF(COUNTIF(#REF!,Tabela2[[#This Row],[IdxWspolny]])&gt;0,"ELEM_lub_PRD","TECHN")</f>
        <v>#REF!</v>
      </c>
      <c r="L1944" t="e">
        <f>IF(COUNTIF(#REF!,Tabela2[[#This Row],[KOD_PRODUKTU]])&gt;0,"ELEMENT","PRODUKT")</f>
        <v>#REF!</v>
      </c>
      <c r="M1944" t="e">
        <f>COUNTIF(#REF!,Tabela2[[#This Row],[KOD_PRODUKTU]])</f>
        <v>#REF!</v>
      </c>
    </row>
    <row r="1945" spans="1:13" x14ac:dyDescent="0.25">
      <c r="A1945" s="1" t="s">
        <v>3263</v>
      </c>
      <c r="B1945" t="s">
        <v>3264</v>
      </c>
      <c r="C1945" s="1" t="s">
        <v>541</v>
      </c>
      <c r="D1945" s="1" t="s">
        <v>541</v>
      </c>
      <c r="E1945" s="1" t="s">
        <v>541</v>
      </c>
      <c r="F1945" t="s">
        <v>542</v>
      </c>
      <c r="G1945" t="s">
        <v>9</v>
      </c>
      <c r="H1945" t="s">
        <v>10</v>
      </c>
      <c r="I1945" t="s">
        <v>3267</v>
      </c>
      <c r="J1945">
        <v>3.73</v>
      </c>
      <c r="K1945" t="e">
        <f>IF(COUNTIF(#REF!,Tabela2[[#This Row],[IdxWspolny]])&gt;0,"ELEM_lub_PRD","TECHN")</f>
        <v>#REF!</v>
      </c>
      <c r="L1945" t="e">
        <f>IF(COUNTIF(#REF!,Tabela2[[#This Row],[KOD_PRODUKTU]])&gt;0,"ELEMENT","PRODUKT")</f>
        <v>#REF!</v>
      </c>
      <c r="M1945" t="e">
        <f>COUNTIF(#REF!,Tabela2[[#This Row],[KOD_PRODUKTU]])</f>
        <v>#REF!</v>
      </c>
    </row>
    <row r="1946" spans="1:13" x14ac:dyDescent="0.25">
      <c r="A1946" s="1" t="s">
        <v>3268</v>
      </c>
      <c r="B1946" t="s">
        <v>3269</v>
      </c>
      <c r="C1946" s="1" t="s">
        <v>2458</v>
      </c>
      <c r="D1946" s="1" t="s">
        <v>2458</v>
      </c>
      <c r="E1946" s="1" t="s">
        <v>2458</v>
      </c>
      <c r="F1946" t="s">
        <v>2459</v>
      </c>
      <c r="G1946" t="s">
        <v>384</v>
      </c>
      <c r="H1946" t="s">
        <v>5</v>
      </c>
      <c r="I1946" t="s">
        <v>3270</v>
      </c>
      <c r="J1946">
        <v>2.7</v>
      </c>
      <c r="K1946" t="e">
        <f>IF(COUNTIF(#REF!,Tabela2[[#This Row],[IdxWspolny]])&gt;0,"ELEM_lub_PRD","TECHN")</f>
        <v>#REF!</v>
      </c>
      <c r="L1946" t="e">
        <f>IF(COUNTIF(#REF!,Tabela2[[#This Row],[KOD_PRODUKTU]])&gt;0,"ELEMENT","PRODUKT")</f>
        <v>#REF!</v>
      </c>
      <c r="M1946" t="e">
        <f>COUNTIF(#REF!,Tabela2[[#This Row],[KOD_PRODUKTU]])</f>
        <v>#REF!</v>
      </c>
    </row>
    <row r="1947" spans="1:13" x14ac:dyDescent="0.25">
      <c r="A1947" s="1" t="s">
        <v>3268</v>
      </c>
      <c r="B1947" t="s">
        <v>3269</v>
      </c>
      <c r="C1947" s="1" t="s">
        <v>541</v>
      </c>
      <c r="D1947" s="1" t="s">
        <v>541</v>
      </c>
      <c r="E1947" s="1" t="s">
        <v>541</v>
      </c>
      <c r="F1947" t="s">
        <v>542</v>
      </c>
      <c r="G1947" t="s">
        <v>811</v>
      </c>
      <c r="H1947" t="s">
        <v>10</v>
      </c>
      <c r="I1947" t="s">
        <v>19</v>
      </c>
      <c r="J1947">
        <v>12.75</v>
      </c>
      <c r="K1947" t="e">
        <f>IF(COUNTIF(#REF!,Tabela2[[#This Row],[IdxWspolny]])&gt;0,"ELEM_lub_PRD","TECHN")</f>
        <v>#REF!</v>
      </c>
      <c r="L1947" t="e">
        <f>IF(COUNTIF(#REF!,Tabela2[[#This Row],[KOD_PRODUKTU]])&gt;0,"ELEMENT","PRODUKT")</f>
        <v>#REF!</v>
      </c>
      <c r="M1947" t="e">
        <f>COUNTIF(#REF!,Tabela2[[#This Row],[KOD_PRODUKTU]])</f>
        <v>#REF!</v>
      </c>
    </row>
    <row r="1948" spans="1:13" x14ac:dyDescent="0.25">
      <c r="A1948" s="1" t="s">
        <v>3271</v>
      </c>
      <c r="B1948" t="s">
        <v>3272</v>
      </c>
      <c r="C1948" s="1" t="s">
        <v>7</v>
      </c>
      <c r="D1948" s="1" t="s">
        <v>7</v>
      </c>
      <c r="E1948" s="1" t="s">
        <v>7</v>
      </c>
      <c r="F1948" t="s">
        <v>8</v>
      </c>
      <c r="G1948" t="s">
        <v>9</v>
      </c>
      <c r="H1948" t="s">
        <v>10</v>
      </c>
      <c r="I1948" t="s">
        <v>3273</v>
      </c>
      <c r="J1948">
        <v>11.35</v>
      </c>
      <c r="K1948" t="e">
        <f>IF(COUNTIF(#REF!,Tabela2[[#This Row],[IdxWspolny]])&gt;0,"ELEM_lub_PRD","TECHN")</f>
        <v>#REF!</v>
      </c>
      <c r="L1948" t="e">
        <f>IF(COUNTIF(#REF!,Tabela2[[#This Row],[KOD_PRODUKTU]])&gt;0,"ELEMENT","PRODUKT")</f>
        <v>#REF!</v>
      </c>
      <c r="M1948" t="e">
        <f>COUNTIF(#REF!,Tabela2[[#This Row],[KOD_PRODUKTU]])</f>
        <v>#REF!</v>
      </c>
    </row>
    <row r="1949" spans="1:13" x14ac:dyDescent="0.25">
      <c r="A1949" s="1" t="s">
        <v>3274</v>
      </c>
      <c r="B1949" t="s">
        <v>3275</v>
      </c>
      <c r="C1949" s="1" t="s">
        <v>1487</v>
      </c>
      <c r="D1949" s="1" t="s">
        <v>1487</v>
      </c>
      <c r="E1949" s="1" t="s">
        <v>1487</v>
      </c>
      <c r="F1949" t="s">
        <v>1488</v>
      </c>
      <c r="G1949" t="s">
        <v>31</v>
      </c>
      <c r="H1949" t="s">
        <v>5</v>
      </c>
      <c r="I1949" t="s">
        <v>3276</v>
      </c>
      <c r="J1949">
        <v>2.2999999999999998</v>
      </c>
      <c r="K1949" t="e">
        <f>IF(COUNTIF(#REF!,Tabela2[[#This Row],[IdxWspolny]])&gt;0,"ELEM_lub_PRD","TECHN")</f>
        <v>#REF!</v>
      </c>
      <c r="L1949" t="e">
        <f>IF(COUNTIF(#REF!,Tabela2[[#This Row],[KOD_PRODUKTU]])&gt;0,"ELEMENT","PRODUKT")</f>
        <v>#REF!</v>
      </c>
      <c r="M1949" t="e">
        <f>COUNTIF(#REF!,Tabela2[[#This Row],[KOD_PRODUKTU]])</f>
        <v>#REF!</v>
      </c>
    </row>
    <row r="1950" spans="1:13" x14ac:dyDescent="0.25">
      <c r="A1950" s="1" t="s">
        <v>3274</v>
      </c>
      <c r="B1950" t="s">
        <v>3275</v>
      </c>
      <c r="C1950" s="1" t="s">
        <v>7</v>
      </c>
      <c r="D1950" s="1" t="s">
        <v>7</v>
      </c>
      <c r="E1950" s="1" t="s">
        <v>7</v>
      </c>
      <c r="F1950" t="s">
        <v>8</v>
      </c>
      <c r="G1950" t="s">
        <v>9</v>
      </c>
      <c r="H1950" t="s">
        <v>10</v>
      </c>
      <c r="I1950" t="s">
        <v>3277</v>
      </c>
      <c r="J1950">
        <v>9.67</v>
      </c>
      <c r="K1950" t="e">
        <f>IF(COUNTIF(#REF!,Tabela2[[#This Row],[IdxWspolny]])&gt;0,"ELEM_lub_PRD","TECHN")</f>
        <v>#REF!</v>
      </c>
      <c r="L1950" t="e">
        <f>IF(COUNTIF(#REF!,Tabela2[[#This Row],[KOD_PRODUKTU]])&gt;0,"ELEMENT","PRODUKT")</f>
        <v>#REF!</v>
      </c>
      <c r="M1950" t="e">
        <f>COUNTIF(#REF!,Tabela2[[#This Row],[KOD_PRODUKTU]])</f>
        <v>#REF!</v>
      </c>
    </row>
    <row r="1951" spans="1:13" x14ac:dyDescent="0.25">
      <c r="A1951" s="1" t="s">
        <v>3278</v>
      </c>
      <c r="B1951" t="s">
        <v>3279</v>
      </c>
      <c r="C1951" s="1" t="s">
        <v>3280</v>
      </c>
      <c r="D1951" s="1" t="s">
        <v>3280</v>
      </c>
      <c r="E1951" s="1" t="s">
        <v>3280</v>
      </c>
      <c r="F1951" t="s">
        <v>3281</v>
      </c>
      <c r="G1951" t="s">
        <v>876</v>
      </c>
      <c r="H1951" t="s">
        <v>5</v>
      </c>
      <c r="I1951" t="s">
        <v>2330</v>
      </c>
      <c r="J1951">
        <v>6.6</v>
      </c>
      <c r="K1951" t="e">
        <f>IF(COUNTIF(#REF!,Tabela2[[#This Row],[IdxWspolny]])&gt;0,"ELEM_lub_PRD","TECHN")</f>
        <v>#REF!</v>
      </c>
      <c r="L1951" t="e">
        <f>IF(COUNTIF(#REF!,Tabela2[[#This Row],[KOD_PRODUKTU]])&gt;0,"ELEMENT","PRODUKT")</f>
        <v>#REF!</v>
      </c>
      <c r="M1951" t="e">
        <f>COUNTIF(#REF!,Tabela2[[#This Row],[KOD_PRODUKTU]])</f>
        <v>#REF!</v>
      </c>
    </row>
    <row r="1952" spans="1:13" x14ac:dyDescent="0.25">
      <c r="A1952" s="1" t="s">
        <v>3278</v>
      </c>
      <c r="B1952" t="s">
        <v>3279</v>
      </c>
      <c r="C1952" s="1" t="s">
        <v>7</v>
      </c>
      <c r="D1952" s="1" t="s">
        <v>7</v>
      </c>
      <c r="E1952" s="1" t="s">
        <v>7</v>
      </c>
      <c r="F1952" t="s">
        <v>8</v>
      </c>
      <c r="G1952" t="s">
        <v>9</v>
      </c>
      <c r="H1952" t="s">
        <v>10</v>
      </c>
      <c r="I1952" t="s">
        <v>3277</v>
      </c>
      <c r="J1952">
        <v>9.67</v>
      </c>
      <c r="K1952" t="e">
        <f>IF(COUNTIF(#REF!,Tabela2[[#This Row],[IdxWspolny]])&gt;0,"ELEM_lub_PRD","TECHN")</f>
        <v>#REF!</v>
      </c>
      <c r="L1952" t="e">
        <f>IF(COUNTIF(#REF!,Tabela2[[#This Row],[KOD_PRODUKTU]])&gt;0,"ELEMENT","PRODUKT")</f>
        <v>#REF!</v>
      </c>
      <c r="M1952" t="e">
        <f>COUNTIF(#REF!,Tabela2[[#This Row],[KOD_PRODUKTU]])</f>
        <v>#REF!</v>
      </c>
    </row>
    <row r="1953" spans="1:13" x14ac:dyDescent="0.25">
      <c r="A1953" s="1" t="s">
        <v>3282</v>
      </c>
      <c r="B1953" t="s">
        <v>3283</v>
      </c>
      <c r="C1953" s="1" t="s">
        <v>1487</v>
      </c>
      <c r="D1953" s="1" t="s">
        <v>1487</v>
      </c>
      <c r="E1953" s="1" t="s">
        <v>1487</v>
      </c>
      <c r="F1953" t="s">
        <v>1488</v>
      </c>
      <c r="G1953" t="s">
        <v>31</v>
      </c>
      <c r="H1953" t="s">
        <v>5</v>
      </c>
      <c r="I1953" t="s">
        <v>3284</v>
      </c>
      <c r="J1953">
        <v>2.5499999999999998</v>
      </c>
      <c r="K1953" t="e">
        <f>IF(COUNTIF(#REF!,Tabela2[[#This Row],[IdxWspolny]])&gt;0,"ELEM_lub_PRD","TECHN")</f>
        <v>#REF!</v>
      </c>
      <c r="L1953" t="e">
        <f>IF(COUNTIF(#REF!,Tabela2[[#This Row],[KOD_PRODUKTU]])&gt;0,"ELEMENT","PRODUKT")</f>
        <v>#REF!</v>
      </c>
      <c r="M1953" t="e">
        <f>COUNTIF(#REF!,Tabela2[[#This Row],[KOD_PRODUKTU]])</f>
        <v>#REF!</v>
      </c>
    </row>
    <row r="1954" spans="1:13" x14ac:dyDescent="0.25">
      <c r="A1954" s="1" t="s">
        <v>3282</v>
      </c>
      <c r="B1954" t="s">
        <v>3283</v>
      </c>
      <c r="C1954" s="1" t="s">
        <v>7</v>
      </c>
      <c r="D1954" s="1" t="s">
        <v>7</v>
      </c>
      <c r="E1954" s="1" t="s">
        <v>7</v>
      </c>
      <c r="F1954" t="s">
        <v>8</v>
      </c>
      <c r="G1954" t="s">
        <v>9</v>
      </c>
      <c r="H1954" t="s">
        <v>10</v>
      </c>
      <c r="I1954" t="s">
        <v>3285</v>
      </c>
      <c r="J1954">
        <v>9.5500000000000007</v>
      </c>
      <c r="K1954" t="e">
        <f>IF(COUNTIF(#REF!,Tabela2[[#This Row],[IdxWspolny]])&gt;0,"ELEM_lub_PRD","TECHN")</f>
        <v>#REF!</v>
      </c>
      <c r="L1954" t="e">
        <f>IF(COUNTIF(#REF!,Tabela2[[#This Row],[KOD_PRODUKTU]])&gt;0,"ELEMENT","PRODUKT")</f>
        <v>#REF!</v>
      </c>
      <c r="M1954" t="e">
        <f>COUNTIF(#REF!,Tabela2[[#This Row],[KOD_PRODUKTU]])</f>
        <v>#REF!</v>
      </c>
    </row>
    <row r="1955" spans="1:13" x14ac:dyDescent="0.25">
      <c r="A1955" s="1" t="s">
        <v>3286</v>
      </c>
      <c r="B1955" t="s">
        <v>3287</v>
      </c>
      <c r="C1955" s="1" t="s">
        <v>3288</v>
      </c>
      <c r="D1955" s="1" t="s">
        <v>3288</v>
      </c>
      <c r="E1955" s="1" t="s">
        <v>3288</v>
      </c>
      <c r="F1955" t="s">
        <v>3289</v>
      </c>
      <c r="G1955" t="s">
        <v>1970</v>
      </c>
      <c r="H1955" t="s">
        <v>5</v>
      </c>
      <c r="I1955" t="s">
        <v>478</v>
      </c>
      <c r="J1955">
        <v>1.01</v>
      </c>
      <c r="K1955" t="e">
        <f>IF(COUNTIF(#REF!,Tabela2[[#This Row],[IdxWspolny]])&gt;0,"ELEM_lub_PRD","TECHN")</f>
        <v>#REF!</v>
      </c>
      <c r="L1955" t="e">
        <f>IF(COUNTIF(#REF!,Tabela2[[#This Row],[KOD_PRODUKTU]])&gt;0,"ELEMENT","PRODUKT")</f>
        <v>#REF!</v>
      </c>
      <c r="M1955" t="e">
        <f>COUNTIF(#REF!,Tabela2[[#This Row],[KOD_PRODUKTU]])</f>
        <v>#REF!</v>
      </c>
    </row>
    <row r="1956" spans="1:13" x14ac:dyDescent="0.25">
      <c r="A1956" s="1" t="s">
        <v>3286</v>
      </c>
      <c r="B1956" t="s">
        <v>3287</v>
      </c>
      <c r="C1956" s="1" t="s">
        <v>541</v>
      </c>
      <c r="D1956" s="1" t="s">
        <v>541</v>
      </c>
      <c r="E1956" s="1" t="s">
        <v>541</v>
      </c>
      <c r="F1956" t="s">
        <v>542</v>
      </c>
      <c r="G1956" t="s">
        <v>9</v>
      </c>
      <c r="H1956" t="s">
        <v>10</v>
      </c>
      <c r="I1956" t="s">
        <v>2230</v>
      </c>
      <c r="J1956">
        <v>0.99</v>
      </c>
      <c r="K1956" t="e">
        <f>IF(COUNTIF(#REF!,Tabela2[[#This Row],[IdxWspolny]])&gt;0,"ELEM_lub_PRD","TECHN")</f>
        <v>#REF!</v>
      </c>
      <c r="L1956" t="e">
        <f>IF(COUNTIF(#REF!,Tabela2[[#This Row],[KOD_PRODUKTU]])&gt;0,"ELEMENT","PRODUKT")</f>
        <v>#REF!</v>
      </c>
      <c r="M1956" t="e">
        <f>COUNTIF(#REF!,Tabela2[[#This Row],[KOD_PRODUKTU]])</f>
        <v>#REF!</v>
      </c>
    </row>
    <row r="1957" spans="1:13" x14ac:dyDescent="0.25">
      <c r="A1957" s="1" t="s">
        <v>3290</v>
      </c>
      <c r="B1957" t="s">
        <v>3291</v>
      </c>
      <c r="C1957" s="1" t="s">
        <v>2961</v>
      </c>
      <c r="D1957" s="1" t="s">
        <v>2961</v>
      </c>
      <c r="E1957" s="1" t="s">
        <v>2961</v>
      </c>
      <c r="F1957" t="s">
        <v>2962</v>
      </c>
      <c r="G1957" t="s">
        <v>2963</v>
      </c>
      <c r="H1957" t="s">
        <v>5</v>
      </c>
      <c r="I1957" t="s">
        <v>3292</v>
      </c>
      <c r="J1957">
        <v>0.7</v>
      </c>
      <c r="K1957" t="e">
        <f>IF(COUNTIF(#REF!,Tabela2[[#This Row],[IdxWspolny]])&gt;0,"ELEM_lub_PRD","TECHN")</f>
        <v>#REF!</v>
      </c>
      <c r="L1957" t="e">
        <f>IF(COUNTIF(#REF!,Tabela2[[#This Row],[KOD_PRODUKTU]])&gt;0,"ELEMENT","PRODUKT")</f>
        <v>#REF!</v>
      </c>
      <c r="M1957" t="e">
        <f>COUNTIF(#REF!,Tabela2[[#This Row],[KOD_PRODUKTU]])</f>
        <v>#REF!</v>
      </c>
    </row>
    <row r="1958" spans="1:13" x14ac:dyDescent="0.25">
      <c r="A1958" s="1" t="s">
        <v>3290</v>
      </c>
      <c r="B1958" t="s">
        <v>3291</v>
      </c>
      <c r="C1958" s="1" t="s">
        <v>2379</v>
      </c>
      <c r="D1958" s="1" t="s">
        <v>2379</v>
      </c>
      <c r="E1958" s="1" t="s">
        <v>2379</v>
      </c>
      <c r="F1958" t="s">
        <v>2380</v>
      </c>
      <c r="G1958" t="s">
        <v>328</v>
      </c>
      <c r="H1958" t="s">
        <v>121</v>
      </c>
      <c r="I1958" t="s">
        <v>50</v>
      </c>
      <c r="J1958">
        <v>6.2</v>
      </c>
      <c r="K1958" t="e">
        <f>IF(COUNTIF(#REF!,Tabela2[[#This Row],[IdxWspolny]])&gt;0,"ELEM_lub_PRD","TECHN")</f>
        <v>#REF!</v>
      </c>
      <c r="L1958" t="e">
        <f>IF(COUNTIF(#REF!,Tabela2[[#This Row],[KOD_PRODUKTU]])&gt;0,"ELEMENT","PRODUKT")</f>
        <v>#REF!</v>
      </c>
      <c r="M1958" t="e">
        <f>COUNTIF(#REF!,Tabela2[[#This Row],[KOD_PRODUKTU]])</f>
        <v>#REF!</v>
      </c>
    </row>
    <row r="1959" spans="1:13" x14ac:dyDescent="0.25">
      <c r="A1959" s="1" t="s">
        <v>3290</v>
      </c>
      <c r="B1959" t="s">
        <v>3291</v>
      </c>
      <c r="C1959" s="1" t="s">
        <v>7</v>
      </c>
      <c r="D1959" s="1" t="s">
        <v>7</v>
      </c>
      <c r="E1959" s="1" t="s">
        <v>7</v>
      </c>
      <c r="F1959" t="s">
        <v>8</v>
      </c>
      <c r="G1959" t="s">
        <v>9</v>
      </c>
      <c r="H1959" t="s">
        <v>10</v>
      </c>
      <c r="I1959" t="s">
        <v>3293</v>
      </c>
      <c r="J1959">
        <v>9.25</v>
      </c>
      <c r="K1959" t="e">
        <f>IF(COUNTIF(#REF!,Tabela2[[#This Row],[IdxWspolny]])&gt;0,"ELEM_lub_PRD","TECHN")</f>
        <v>#REF!</v>
      </c>
      <c r="L1959" t="e">
        <f>IF(COUNTIF(#REF!,Tabela2[[#This Row],[KOD_PRODUKTU]])&gt;0,"ELEMENT","PRODUKT")</f>
        <v>#REF!</v>
      </c>
      <c r="M1959" t="e">
        <f>COUNTIF(#REF!,Tabela2[[#This Row],[KOD_PRODUKTU]])</f>
        <v>#REF!</v>
      </c>
    </row>
    <row r="1960" spans="1:13" x14ac:dyDescent="0.25">
      <c r="A1960" s="1" t="s">
        <v>3294</v>
      </c>
      <c r="B1960" t="s">
        <v>3295</v>
      </c>
      <c r="C1960" s="1" t="s">
        <v>1249</v>
      </c>
      <c r="D1960" s="1" t="s">
        <v>1249</v>
      </c>
      <c r="E1960" s="1" t="s">
        <v>1249</v>
      </c>
      <c r="F1960" t="s">
        <v>3296</v>
      </c>
      <c r="G1960" t="s">
        <v>1251</v>
      </c>
      <c r="H1960" t="s">
        <v>1252</v>
      </c>
      <c r="I1960" t="s">
        <v>3297</v>
      </c>
      <c r="J1960">
        <v>2.04</v>
      </c>
      <c r="K1960" t="e">
        <f>IF(COUNTIF(#REF!,Tabela2[[#This Row],[IdxWspolny]])&gt;0,"ELEM_lub_PRD","TECHN")</f>
        <v>#REF!</v>
      </c>
      <c r="L1960" t="e">
        <f>IF(COUNTIF(#REF!,Tabela2[[#This Row],[KOD_PRODUKTU]])&gt;0,"ELEMENT","PRODUKT")</f>
        <v>#REF!</v>
      </c>
      <c r="M1960" t="e">
        <f>COUNTIF(#REF!,Tabela2[[#This Row],[KOD_PRODUKTU]])</f>
        <v>#REF!</v>
      </c>
    </row>
    <row r="1961" spans="1:13" x14ac:dyDescent="0.25">
      <c r="A1961" s="1" t="s">
        <v>3294</v>
      </c>
      <c r="B1961" t="s">
        <v>3295</v>
      </c>
      <c r="C1961" s="1" t="s">
        <v>3298</v>
      </c>
      <c r="D1961" s="1" t="s">
        <v>3298</v>
      </c>
      <c r="E1961" s="1" t="s">
        <v>3298</v>
      </c>
      <c r="F1961" t="s">
        <v>3299</v>
      </c>
      <c r="G1961" t="s">
        <v>3300</v>
      </c>
      <c r="H1961" t="s">
        <v>435</v>
      </c>
      <c r="I1961" t="s">
        <v>92</v>
      </c>
      <c r="J1961">
        <v>1.5</v>
      </c>
      <c r="K1961" t="e">
        <f>IF(COUNTIF(#REF!,Tabela2[[#This Row],[IdxWspolny]])&gt;0,"ELEM_lub_PRD","TECHN")</f>
        <v>#REF!</v>
      </c>
      <c r="L1961" t="e">
        <f>IF(COUNTIF(#REF!,Tabela2[[#This Row],[KOD_PRODUKTU]])&gt;0,"ELEMENT","PRODUKT")</f>
        <v>#REF!</v>
      </c>
      <c r="M1961" t="e">
        <f>COUNTIF(#REF!,Tabela2[[#This Row],[KOD_PRODUKTU]])</f>
        <v>#REF!</v>
      </c>
    </row>
    <row r="1962" spans="1:13" x14ac:dyDescent="0.25">
      <c r="A1962" s="1" t="s">
        <v>3294</v>
      </c>
      <c r="B1962" t="s">
        <v>3295</v>
      </c>
      <c r="C1962" s="1" t="s">
        <v>541</v>
      </c>
      <c r="D1962" s="1" t="s">
        <v>541</v>
      </c>
      <c r="E1962" s="1" t="s">
        <v>541</v>
      </c>
      <c r="F1962" t="s">
        <v>542</v>
      </c>
      <c r="G1962" t="s">
        <v>9</v>
      </c>
      <c r="H1962" t="s">
        <v>10</v>
      </c>
      <c r="I1962" t="s">
        <v>3301</v>
      </c>
      <c r="J1962">
        <v>5.54</v>
      </c>
      <c r="K1962" t="e">
        <f>IF(COUNTIF(#REF!,Tabela2[[#This Row],[IdxWspolny]])&gt;0,"ELEM_lub_PRD","TECHN")</f>
        <v>#REF!</v>
      </c>
      <c r="L1962" t="e">
        <f>IF(COUNTIF(#REF!,Tabela2[[#This Row],[KOD_PRODUKTU]])&gt;0,"ELEMENT","PRODUKT")</f>
        <v>#REF!</v>
      </c>
      <c r="M1962" t="e">
        <f>COUNTIF(#REF!,Tabela2[[#This Row],[KOD_PRODUKTU]])</f>
        <v>#REF!</v>
      </c>
    </row>
    <row r="1963" spans="1:13" x14ac:dyDescent="0.25">
      <c r="A1963" s="1" t="s">
        <v>3302</v>
      </c>
      <c r="B1963" t="s">
        <v>3303</v>
      </c>
      <c r="C1963" s="1" t="s">
        <v>1249</v>
      </c>
      <c r="D1963" s="1" t="s">
        <v>1249</v>
      </c>
      <c r="E1963" s="1" t="s">
        <v>1249</v>
      </c>
      <c r="F1963" t="s">
        <v>3296</v>
      </c>
      <c r="G1963" t="s">
        <v>1251</v>
      </c>
      <c r="H1963" t="s">
        <v>1252</v>
      </c>
      <c r="I1963" t="s">
        <v>3304</v>
      </c>
      <c r="J1963">
        <v>0.96</v>
      </c>
      <c r="K1963" t="e">
        <f>IF(COUNTIF(#REF!,Tabela2[[#This Row],[IdxWspolny]])&gt;0,"ELEM_lub_PRD","TECHN")</f>
        <v>#REF!</v>
      </c>
      <c r="L1963" t="e">
        <f>IF(COUNTIF(#REF!,Tabela2[[#This Row],[KOD_PRODUKTU]])&gt;0,"ELEMENT","PRODUKT")</f>
        <v>#REF!</v>
      </c>
      <c r="M1963" t="e">
        <f>COUNTIF(#REF!,Tabela2[[#This Row],[KOD_PRODUKTU]])</f>
        <v>#REF!</v>
      </c>
    </row>
    <row r="1964" spans="1:13" x14ac:dyDescent="0.25">
      <c r="A1964" s="1" t="s">
        <v>3302</v>
      </c>
      <c r="B1964" t="s">
        <v>3303</v>
      </c>
      <c r="C1964" s="1" t="s">
        <v>3298</v>
      </c>
      <c r="D1964" s="1" t="s">
        <v>3298</v>
      </c>
      <c r="E1964" s="1" t="s">
        <v>3298</v>
      </c>
      <c r="F1964" t="s">
        <v>3299</v>
      </c>
      <c r="G1964" t="s">
        <v>3300</v>
      </c>
      <c r="H1964" t="s">
        <v>435</v>
      </c>
      <c r="I1964" t="s">
        <v>50</v>
      </c>
      <c r="J1964">
        <v>0.75</v>
      </c>
      <c r="K1964" t="e">
        <f>IF(COUNTIF(#REF!,Tabela2[[#This Row],[IdxWspolny]])&gt;0,"ELEM_lub_PRD","TECHN")</f>
        <v>#REF!</v>
      </c>
      <c r="L1964" t="e">
        <f>IF(COUNTIF(#REF!,Tabela2[[#This Row],[KOD_PRODUKTU]])&gt;0,"ELEMENT","PRODUKT")</f>
        <v>#REF!</v>
      </c>
      <c r="M1964" t="e">
        <f>COUNTIF(#REF!,Tabela2[[#This Row],[KOD_PRODUKTU]])</f>
        <v>#REF!</v>
      </c>
    </row>
    <row r="1965" spans="1:13" x14ac:dyDescent="0.25">
      <c r="A1965" s="1" t="s">
        <v>3302</v>
      </c>
      <c r="B1965" t="s">
        <v>3303</v>
      </c>
      <c r="C1965" s="1" t="s">
        <v>541</v>
      </c>
      <c r="D1965" s="1" t="s">
        <v>541</v>
      </c>
      <c r="E1965" s="1" t="s">
        <v>541</v>
      </c>
      <c r="F1965" t="s">
        <v>542</v>
      </c>
      <c r="G1965" t="s">
        <v>9</v>
      </c>
      <c r="H1965" t="s">
        <v>10</v>
      </c>
      <c r="I1965" t="s">
        <v>19</v>
      </c>
      <c r="J1965">
        <v>4.5999999999999996</v>
      </c>
      <c r="K1965" t="e">
        <f>IF(COUNTIF(#REF!,Tabela2[[#This Row],[IdxWspolny]])&gt;0,"ELEM_lub_PRD","TECHN")</f>
        <v>#REF!</v>
      </c>
      <c r="L1965" t="e">
        <f>IF(COUNTIF(#REF!,Tabela2[[#This Row],[KOD_PRODUKTU]])&gt;0,"ELEMENT","PRODUKT")</f>
        <v>#REF!</v>
      </c>
      <c r="M1965" t="e">
        <f>COUNTIF(#REF!,Tabela2[[#This Row],[KOD_PRODUKTU]])</f>
        <v>#REF!</v>
      </c>
    </row>
    <row r="1966" spans="1:13" x14ac:dyDescent="0.25">
      <c r="A1966" s="1" t="s">
        <v>3305</v>
      </c>
      <c r="B1966" t="s">
        <v>3306</v>
      </c>
      <c r="C1966" s="1" t="s">
        <v>1249</v>
      </c>
      <c r="D1966" s="1" t="s">
        <v>1249</v>
      </c>
      <c r="E1966" s="1" t="s">
        <v>1249</v>
      </c>
      <c r="F1966" t="s">
        <v>3296</v>
      </c>
      <c r="G1966" t="s">
        <v>1251</v>
      </c>
      <c r="H1966" t="s">
        <v>1252</v>
      </c>
      <c r="I1966" t="s">
        <v>3304</v>
      </c>
      <c r="J1966">
        <v>0.96</v>
      </c>
      <c r="K1966" t="e">
        <f>IF(COUNTIF(#REF!,Tabela2[[#This Row],[IdxWspolny]])&gt;0,"ELEM_lub_PRD","TECHN")</f>
        <v>#REF!</v>
      </c>
      <c r="L1966" t="e">
        <f>IF(COUNTIF(#REF!,Tabela2[[#This Row],[KOD_PRODUKTU]])&gt;0,"ELEMENT","PRODUKT")</f>
        <v>#REF!</v>
      </c>
      <c r="M1966" t="e">
        <f>COUNTIF(#REF!,Tabela2[[#This Row],[KOD_PRODUKTU]])</f>
        <v>#REF!</v>
      </c>
    </row>
    <row r="1967" spans="1:13" x14ac:dyDescent="0.25">
      <c r="A1967" s="1" t="s">
        <v>3305</v>
      </c>
      <c r="B1967" t="s">
        <v>3306</v>
      </c>
      <c r="C1967" s="1" t="s">
        <v>1989</v>
      </c>
      <c r="D1967" s="1" t="s">
        <v>1989</v>
      </c>
      <c r="E1967" s="1" t="s">
        <v>1989</v>
      </c>
      <c r="F1967" t="s">
        <v>1990</v>
      </c>
      <c r="G1967" t="s">
        <v>1991</v>
      </c>
      <c r="H1967" t="s">
        <v>435</v>
      </c>
      <c r="I1967" t="s">
        <v>3307</v>
      </c>
      <c r="J1967">
        <v>0.55000000000000004</v>
      </c>
      <c r="K1967" t="e">
        <f>IF(COUNTIF(#REF!,Tabela2[[#This Row],[IdxWspolny]])&gt;0,"ELEM_lub_PRD","TECHN")</f>
        <v>#REF!</v>
      </c>
      <c r="L1967" t="e">
        <f>IF(COUNTIF(#REF!,Tabela2[[#This Row],[KOD_PRODUKTU]])&gt;0,"ELEMENT","PRODUKT")</f>
        <v>#REF!</v>
      </c>
      <c r="M1967" t="e">
        <f>COUNTIF(#REF!,Tabela2[[#This Row],[KOD_PRODUKTU]])</f>
        <v>#REF!</v>
      </c>
    </row>
    <row r="1968" spans="1:13" x14ac:dyDescent="0.25">
      <c r="A1968" s="1" t="s">
        <v>3305</v>
      </c>
      <c r="B1968" t="s">
        <v>3306</v>
      </c>
      <c r="C1968" s="1" t="s">
        <v>541</v>
      </c>
      <c r="D1968" s="1" t="s">
        <v>541</v>
      </c>
      <c r="E1968" s="1" t="s">
        <v>541</v>
      </c>
      <c r="F1968" t="s">
        <v>542</v>
      </c>
      <c r="G1968" t="s">
        <v>9</v>
      </c>
      <c r="H1968" t="s">
        <v>10</v>
      </c>
      <c r="I1968" t="s">
        <v>3301</v>
      </c>
      <c r="J1968">
        <v>5.54</v>
      </c>
      <c r="K1968" t="e">
        <f>IF(COUNTIF(#REF!,Tabela2[[#This Row],[IdxWspolny]])&gt;0,"ELEM_lub_PRD","TECHN")</f>
        <v>#REF!</v>
      </c>
      <c r="L1968" t="e">
        <f>IF(COUNTIF(#REF!,Tabela2[[#This Row],[KOD_PRODUKTU]])&gt;0,"ELEMENT","PRODUKT")</f>
        <v>#REF!</v>
      </c>
      <c r="M1968" t="e">
        <f>COUNTIF(#REF!,Tabela2[[#This Row],[KOD_PRODUKTU]])</f>
        <v>#REF!</v>
      </c>
    </row>
    <row r="1969" spans="1:13" x14ac:dyDescent="0.25">
      <c r="A1969" s="1" t="s">
        <v>3308</v>
      </c>
      <c r="B1969" t="s">
        <v>3309</v>
      </c>
      <c r="C1969" s="1" t="s">
        <v>1249</v>
      </c>
      <c r="D1969" s="1" t="s">
        <v>1249</v>
      </c>
      <c r="E1969" s="1" t="s">
        <v>1249</v>
      </c>
      <c r="F1969" t="s">
        <v>3296</v>
      </c>
      <c r="G1969" t="s">
        <v>1251</v>
      </c>
      <c r="H1969" t="s">
        <v>1252</v>
      </c>
      <c r="I1969" t="s">
        <v>3304</v>
      </c>
      <c r="J1969">
        <v>0.96</v>
      </c>
      <c r="K1969" t="e">
        <f>IF(COUNTIF(#REF!,Tabela2[[#This Row],[IdxWspolny]])&gt;0,"ELEM_lub_PRD","TECHN")</f>
        <v>#REF!</v>
      </c>
      <c r="L1969" t="e">
        <f>IF(COUNTIF(#REF!,Tabela2[[#This Row],[KOD_PRODUKTU]])&gt;0,"ELEMENT","PRODUKT")</f>
        <v>#REF!</v>
      </c>
      <c r="M1969" t="e">
        <f>COUNTIF(#REF!,Tabela2[[#This Row],[KOD_PRODUKTU]])</f>
        <v>#REF!</v>
      </c>
    </row>
    <row r="1970" spans="1:13" x14ac:dyDescent="0.25">
      <c r="A1970" s="1" t="s">
        <v>3308</v>
      </c>
      <c r="B1970" t="s">
        <v>3309</v>
      </c>
      <c r="C1970" s="1" t="s">
        <v>3298</v>
      </c>
      <c r="D1970" s="1" t="s">
        <v>3298</v>
      </c>
      <c r="E1970" s="1" t="s">
        <v>3298</v>
      </c>
      <c r="F1970" t="s">
        <v>3299</v>
      </c>
      <c r="G1970" t="s">
        <v>3300</v>
      </c>
      <c r="H1970" t="s">
        <v>435</v>
      </c>
      <c r="I1970" t="s">
        <v>3310</v>
      </c>
      <c r="J1970">
        <v>0.35</v>
      </c>
      <c r="K1970" t="e">
        <f>IF(COUNTIF(#REF!,Tabela2[[#This Row],[IdxWspolny]])&gt;0,"ELEM_lub_PRD","TECHN")</f>
        <v>#REF!</v>
      </c>
      <c r="L1970" t="e">
        <f>IF(COUNTIF(#REF!,Tabela2[[#This Row],[KOD_PRODUKTU]])&gt;0,"ELEMENT","PRODUKT")</f>
        <v>#REF!</v>
      </c>
      <c r="M1970" t="e">
        <f>COUNTIF(#REF!,Tabela2[[#This Row],[KOD_PRODUKTU]])</f>
        <v>#REF!</v>
      </c>
    </row>
    <row r="1971" spans="1:13" x14ac:dyDescent="0.25">
      <c r="A1971" s="1" t="s">
        <v>3308</v>
      </c>
      <c r="B1971" t="s">
        <v>3309</v>
      </c>
      <c r="C1971" s="1" t="s">
        <v>541</v>
      </c>
      <c r="D1971" s="1" t="s">
        <v>541</v>
      </c>
      <c r="E1971" s="1" t="s">
        <v>541</v>
      </c>
      <c r="F1971" t="s">
        <v>542</v>
      </c>
      <c r="G1971" t="s">
        <v>9</v>
      </c>
      <c r="H1971" t="s">
        <v>10</v>
      </c>
      <c r="I1971" t="s">
        <v>594</v>
      </c>
      <c r="J1971">
        <v>11.5</v>
      </c>
      <c r="K1971" t="e">
        <f>IF(COUNTIF(#REF!,Tabela2[[#This Row],[IdxWspolny]])&gt;0,"ELEM_lub_PRD","TECHN")</f>
        <v>#REF!</v>
      </c>
      <c r="L1971" t="e">
        <f>IF(COUNTIF(#REF!,Tabela2[[#This Row],[KOD_PRODUKTU]])&gt;0,"ELEMENT","PRODUKT")</f>
        <v>#REF!</v>
      </c>
      <c r="M1971" t="e">
        <f>COUNTIF(#REF!,Tabela2[[#This Row],[KOD_PRODUKTU]])</f>
        <v>#REF!</v>
      </c>
    </row>
    <row r="1972" spans="1:13" x14ac:dyDescent="0.25">
      <c r="A1972" s="1" t="s">
        <v>3311</v>
      </c>
      <c r="B1972" t="s">
        <v>3312</v>
      </c>
      <c r="C1972" s="1" t="s">
        <v>1249</v>
      </c>
      <c r="D1972" s="1" t="s">
        <v>1249</v>
      </c>
      <c r="E1972" s="1" t="s">
        <v>1249</v>
      </c>
      <c r="F1972" t="s">
        <v>3296</v>
      </c>
      <c r="G1972" t="s">
        <v>1251</v>
      </c>
      <c r="H1972" t="s">
        <v>1252</v>
      </c>
      <c r="I1972" t="s">
        <v>3304</v>
      </c>
      <c r="J1972">
        <v>0.96</v>
      </c>
      <c r="K1972" t="e">
        <f>IF(COUNTIF(#REF!,Tabela2[[#This Row],[IdxWspolny]])&gt;0,"ELEM_lub_PRD","TECHN")</f>
        <v>#REF!</v>
      </c>
      <c r="L1972" t="e">
        <f>IF(COUNTIF(#REF!,Tabela2[[#This Row],[KOD_PRODUKTU]])&gt;0,"ELEMENT","PRODUKT")</f>
        <v>#REF!</v>
      </c>
      <c r="M1972" t="e">
        <f>COUNTIF(#REF!,Tabela2[[#This Row],[KOD_PRODUKTU]])</f>
        <v>#REF!</v>
      </c>
    </row>
    <row r="1973" spans="1:13" x14ac:dyDescent="0.25">
      <c r="A1973" s="1" t="s">
        <v>3311</v>
      </c>
      <c r="B1973" t="s">
        <v>3312</v>
      </c>
      <c r="C1973" s="1" t="s">
        <v>3298</v>
      </c>
      <c r="D1973" s="1" t="s">
        <v>3298</v>
      </c>
      <c r="E1973" s="1" t="s">
        <v>3298</v>
      </c>
      <c r="F1973" t="s">
        <v>3299</v>
      </c>
      <c r="G1973" t="s">
        <v>3300</v>
      </c>
      <c r="H1973" t="s">
        <v>435</v>
      </c>
      <c r="I1973" t="s">
        <v>3313</v>
      </c>
      <c r="J1973">
        <v>0.4</v>
      </c>
      <c r="K1973" t="e">
        <f>IF(COUNTIF(#REF!,Tabela2[[#This Row],[IdxWspolny]])&gt;0,"ELEM_lub_PRD","TECHN")</f>
        <v>#REF!</v>
      </c>
      <c r="L1973" t="e">
        <f>IF(COUNTIF(#REF!,Tabela2[[#This Row],[KOD_PRODUKTU]])&gt;0,"ELEMENT","PRODUKT")</f>
        <v>#REF!</v>
      </c>
      <c r="M1973" t="e">
        <f>COUNTIF(#REF!,Tabela2[[#This Row],[KOD_PRODUKTU]])</f>
        <v>#REF!</v>
      </c>
    </row>
    <row r="1974" spans="1:13" x14ac:dyDescent="0.25">
      <c r="A1974" s="1" t="s">
        <v>3311</v>
      </c>
      <c r="B1974" t="s">
        <v>3312</v>
      </c>
      <c r="C1974" s="1" t="s">
        <v>541</v>
      </c>
      <c r="D1974" s="1" t="s">
        <v>541</v>
      </c>
      <c r="E1974" s="1" t="s">
        <v>541</v>
      </c>
      <c r="F1974" t="s">
        <v>542</v>
      </c>
      <c r="G1974" t="s">
        <v>9</v>
      </c>
      <c r="H1974" t="s">
        <v>10</v>
      </c>
      <c r="I1974" t="s">
        <v>3314</v>
      </c>
      <c r="J1974">
        <v>7.79</v>
      </c>
      <c r="K1974" t="e">
        <f>IF(COUNTIF(#REF!,Tabela2[[#This Row],[IdxWspolny]])&gt;0,"ELEM_lub_PRD","TECHN")</f>
        <v>#REF!</v>
      </c>
      <c r="L1974" t="e">
        <f>IF(COUNTIF(#REF!,Tabela2[[#This Row],[KOD_PRODUKTU]])&gt;0,"ELEMENT","PRODUKT")</f>
        <v>#REF!</v>
      </c>
      <c r="M1974" t="e">
        <f>COUNTIF(#REF!,Tabela2[[#This Row],[KOD_PRODUKTU]])</f>
        <v>#REF!</v>
      </c>
    </row>
    <row r="1975" spans="1:13" x14ac:dyDescent="0.25">
      <c r="A1975" s="1" t="s">
        <v>3315</v>
      </c>
      <c r="B1975" t="s">
        <v>3316</v>
      </c>
      <c r="C1975" s="1" t="s">
        <v>3317</v>
      </c>
      <c r="D1975" s="1" t="s">
        <v>3317</v>
      </c>
      <c r="E1975" s="1" t="s">
        <v>3317</v>
      </c>
      <c r="F1975" t="s">
        <v>3318</v>
      </c>
      <c r="G1975" t="s">
        <v>1017</v>
      </c>
      <c r="H1975" t="s">
        <v>5</v>
      </c>
      <c r="I1975" t="s">
        <v>1209</v>
      </c>
      <c r="J1975">
        <v>0.25</v>
      </c>
      <c r="K1975" t="e">
        <f>IF(COUNTIF(#REF!,Tabela2[[#This Row],[IdxWspolny]])&gt;0,"ELEM_lub_PRD","TECHN")</f>
        <v>#REF!</v>
      </c>
      <c r="L1975" t="e">
        <f>IF(COUNTIF(#REF!,Tabela2[[#This Row],[KOD_PRODUKTU]])&gt;0,"ELEMENT","PRODUKT")</f>
        <v>#REF!</v>
      </c>
      <c r="M1975" t="e">
        <f>COUNTIF(#REF!,Tabela2[[#This Row],[KOD_PRODUKTU]])</f>
        <v>#REF!</v>
      </c>
    </row>
    <row r="1976" spans="1:13" x14ac:dyDescent="0.25">
      <c r="A1976" s="1" t="s">
        <v>3315</v>
      </c>
      <c r="B1976" t="s">
        <v>3316</v>
      </c>
      <c r="C1976" s="1" t="s">
        <v>541</v>
      </c>
      <c r="D1976" s="1" t="s">
        <v>541</v>
      </c>
      <c r="E1976" s="1" t="s">
        <v>541</v>
      </c>
      <c r="F1976" t="s">
        <v>542</v>
      </c>
      <c r="G1976" t="s">
        <v>9</v>
      </c>
      <c r="H1976" t="s">
        <v>10</v>
      </c>
      <c r="I1976" t="s">
        <v>3319</v>
      </c>
      <c r="J1976">
        <v>4.76</v>
      </c>
      <c r="K1976" t="e">
        <f>IF(COUNTIF(#REF!,Tabela2[[#This Row],[IdxWspolny]])&gt;0,"ELEM_lub_PRD","TECHN")</f>
        <v>#REF!</v>
      </c>
      <c r="L1976" t="e">
        <f>IF(COUNTIF(#REF!,Tabela2[[#This Row],[KOD_PRODUKTU]])&gt;0,"ELEMENT","PRODUKT")</f>
        <v>#REF!</v>
      </c>
      <c r="M1976" t="e">
        <f>COUNTIF(#REF!,Tabela2[[#This Row],[KOD_PRODUKTU]])</f>
        <v>#REF!</v>
      </c>
    </row>
    <row r="1977" spans="1:13" x14ac:dyDescent="0.25">
      <c r="A1977" s="1" t="s">
        <v>3320</v>
      </c>
      <c r="B1977" t="s">
        <v>3321</v>
      </c>
      <c r="C1977" s="1" t="s">
        <v>1249</v>
      </c>
      <c r="D1977" s="1" t="s">
        <v>1249</v>
      </c>
      <c r="E1977" s="1" t="s">
        <v>1249</v>
      </c>
      <c r="F1977" t="s">
        <v>3296</v>
      </c>
      <c r="G1977" t="s">
        <v>1251</v>
      </c>
      <c r="H1977" t="s">
        <v>1252</v>
      </c>
      <c r="I1977" t="s">
        <v>3297</v>
      </c>
      <c r="J1977">
        <v>2.04</v>
      </c>
      <c r="K1977" t="e">
        <f>IF(COUNTIF(#REF!,Tabela2[[#This Row],[IdxWspolny]])&gt;0,"ELEM_lub_PRD","TECHN")</f>
        <v>#REF!</v>
      </c>
      <c r="L1977" t="e">
        <f>IF(COUNTIF(#REF!,Tabela2[[#This Row],[KOD_PRODUKTU]])&gt;0,"ELEMENT","PRODUKT")</f>
        <v>#REF!</v>
      </c>
      <c r="M1977" t="e">
        <f>COUNTIF(#REF!,Tabela2[[#This Row],[KOD_PRODUKTU]])</f>
        <v>#REF!</v>
      </c>
    </row>
    <row r="1978" spans="1:13" x14ac:dyDescent="0.25">
      <c r="A1978" s="1" t="s">
        <v>3320</v>
      </c>
      <c r="B1978" t="s">
        <v>3321</v>
      </c>
      <c r="C1978" s="1" t="s">
        <v>541</v>
      </c>
      <c r="D1978" s="1" t="s">
        <v>541</v>
      </c>
      <c r="E1978" s="1" t="s">
        <v>541</v>
      </c>
      <c r="F1978" t="s">
        <v>542</v>
      </c>
      <c r="G1978" t="s">
        <v>9</v>
      </c>
      <c r="H1978" t="s">
        <v>10</v>
      </c>
      <c r="I1978" t="s">
        <v>3322</v>
      </c>
      <c r="J1978">
        <v>5.65</v>
      </c>
      <c r="K1978" t="e">
        <f>IF(COUNTIF(#REF!,Tabela2[[#This Row],[IdxWspolny]])&gt;0,"ELEM_lub_PRD","TECHN")</f>
        <v>#REF!</v>
      </c>
      <c r="L1978" t="e">
        <f>IF(COUNTIF(#REF!,Tabela2[[#This Row],[KOD_PRODUKTU]])&gt;0,"ELEMENT","PRODUKT")</f>
        <v>#REF!</v>
      </c>
      <c r="M1978" t="e">
        <f>COUNTIF(#REF!,Tabela2[[#This Row],[KOD_PRODUKTU]])</f>
        <v>#REF!</v>
      </c>
    </row>
    <row r="1979" spans="1:13" x14ac:dyDescent="0.25">
      <c r="A1979" s="1" t="s">
        <v>3323</v>
      </c>
      <c r="B1979" t="s">
        <v>3324</v>
      </c>
      <c r="C1979" s="1" t="s">
        <v>1249</v>
      </c>
      <c r="D1979" s="1" t="s">
        <v>1249</v>
      </c>
      <c r="E1979" s="1" t="s">
        <v>1249</v>
      </c>
      <c r="F1979" t="s">
        <v>3296</v>
      </c>
      <c r="G1979" t="s">
        <v>1251</v>
      </c>
      <c r="H1979" t="s">
        <v>1252</v>
      </c>
      <c r="I1979" t="s">
        <v>3297</v>
      </c>
      <c r="J1979">
        <v>2.04</v>
      </c>
      <c r="K1979" t="e">
        <f>IF(COUNTIF(#REF!,Tabela2[[#This Row],[IdxWspolny]])&gt;0,"ELEM_lub_PRD","TECHN")</f>
        <v>#REF!</v>
      </c>
      <c r="L1979" t="e">
        <f>IF(COUNTIF(#REF!,Tabela2[[#This Row],[KOD_PRODUKTU]])&gt;0,"ELEMENT","PRODUKT")</f>
        <v>#REF!</v>
      </c>
      <c r="M1979" t="e">
        <f>COUNTIF(#REF!,Tabela2[[#This Row],[KOD_PRODUKTU]])</f>
        <v>#REF!</v>
      </c>
    </row>
    <row r="1980" spans="1:13" x14ac:dyDescent="0.25">
      <c r="A1980" s="1" t="s">
        <v>3323</v>
      </c>
      <c r="B1980" t="s">
        <v>3324</v>
      </c>
      <c r="C1980" s="1" t="s">
        <v>541</v>
      </c>
      <c r="D1980" s="1" t="s">
        <v>541</v>
      </c>
      <c r="E1980" s="1" t="s">
        <v>541</v>
      </c>
      <c r="F1980" t="s">
        <v>542</v>
      </c>
      <c r="G1980" t="s">
        <v>9</v>
      </c>
      <c r="H1980" t="s">
        <v>10</v>
      </c>
      <c r="I1980" t="s">
        <v>3325</v>
      </c>
      <c r="J1980">
        <v>5.12</v>
      </c>
      <c r="K1980" t="e">
        <f>IF(COUNTIF(#REF!,Tabela2[[#This Row],[IdxWspolny]])&gt;0,"ELEM_lub_PRD","TECHN")</f>
        <v>#REF!</v>
      </c>
      <c r="L1980" t="e">
        <f>IF(COUNTIF(#REF!,Tabela2[[#This Row],[KOD_PRODUKTU]])&gt;0,"ELEMENT","PRODUKT")</f>
        <v>#REF!</v>
      </c>
      <c r="M1980" t="e">
        <f>COUNTIF(#REF!,Tabela2[[#This Row],[KOD_PRODUKTU]])</f>
        <v>#REF!</v>
      </c>
    </row>
    <row r="1981" spans="1:13" x14ac:dyDescent="0.25">
      <c r="A1981" s="1" t="s">
        <v>3326</v>
      </c>
      <c r="B1981" t="s">
        <v>3327</v>
      </c>
      <c r="C1981" s="1" t="s">
        <v>1162</v>
      </c>
      <c r="D1981" s="1" t="s">
        <v>1162</v>
      </c>
      <c r="E1981" s="1" t="s">
        <v>1162</v>
      </c>
      <c r="F1981" t="s">
        <v>1163</v>
      </c>
      <c r="G1981" t="s">
        <v>1164</v>
      </c>
      <c r="H1981" t="s">
        <v>5</v>
      </c>
      <c r="I1981" t="s">
        <v>3328</v>
      </c>
      <c r="J1981">
        <v>0.7</v>
      </c>
      <c r="K1981" t="e">
        <f>IF(COUNTIF(#REF!,Tabela2[[#This Row],[IdxWspolny]])&gt;0,"ELEM_lub_PRD","TECHN")</f>
        <v>#REF!</v>
      </c>
      <c r="L1981" t="e">
        <f>IF(COUNTIF(#REF!,Tabela2[[#This Row],[KOD_PRODUKTU]])&gt;0,"ELEMENT","PRODUKT")</f>
        <v>#REF!</v>
      </c>
      <c r="M1981" t="e">
        <f>COUNTIF(#REF!,Tabela2[[#This Row],[KOD_PRODUKTU]])</f>
        <v>#REF!</v>
      </c>
    </row>
    <row r="1982" spans="1:13" x14ac:dyDescent="0.25">
      <c r="A1982" s="1" t="s">
        <v>3326</v>
      </c>
      <c r="B1982" t="s">
        <v>3327</v>
      </c>
      <c r="C1982" s="1" t="s">
        <v>7</v>
      </c>
      <c r="D1982" s="1" t="s">
        <v>7</v>
      </c>
      <c r="E1982" s="1" t="s">
        <v>7</v>
      </c>
      <c r="F1982" t="s">
        <v>8</v>
      </c>
      <c r="G1982" t="s">
        <v>9</v>
      </c>
      <c r="H1982" t="s">
        <v>10</v>
      </c>
      <c r="I1982" t="s">
        <v>305</v>
      </c>
      <c r="J1982">
        <v>4</v>
      </c>
      <c r="K1982" t="e">
        <f>IF(COUNTIF(#REF!,Tabela2[[#This Row],[IdxWspolny]])&gt;0,"ELEM_lub_PRD","TECHN")</f>
        <v>#REF!</v>
      </c>
      <c r="L1982" t="e">
        <f>IF(COUNTIF(#REF!,Tabela2[[#This Row],[KOD_PRODUKTU]])&gt;0,"ELEMENT","PRODUKT")</f>
        <v>#REF!</v>
      </c>
      <c r="M1982" t="e">
        <f>COUNTIF(#REF!,Tabela2[[#This Row],[KOD_PRODUKTU]])</f>
        <v>#REF!</v>
      </c>
    </row>
    <row r="1983" spans="1:13" x14ac:dyDescent="0.25">
      <c r="A1983" s="1" t="s">
        <v>3329</v>
      </c>
      <c r="B1983" t="s">
        <v>3330</v>
      </c>
      <c r="C1983" s="1" t="s">
        <v>1785</v>
      </c>
      <c r="D1983" s="1" t="s">
        <v>1785</v>
      </c>
      <c r="E1983" s="1" t="s">
        <v>1785</v>
      </c>
      <c r="F1983" t="s">
        <v>1786</v>
      </c>
      <c r="G1983" t="s">
        <v>216</v>
      </c>
      <c r="H1983" t="s">
        <v>5</v>
      </c>
      <c r="I1983" t="s">
        <v>367</v>
      </c>
      <c r="J1983">
        <v>0.35</v>
      </c>
      <c r="K1983" t="e">
        <f>IF(COUNTIF(#REF!,Tabela2[[#This Row],[IdxWspolny]])&gt;0,"ELEM_lub_PRD","TECHN")</f>
        <v>#REF!</v>
      </c>
      <c r="L1983" t="e">
        <f>IF(COUNTIF(#REF!,Tabela2[[#This Row],[KOD_PRODUKTU]])&gt;0,"ELEMENT","PRODUKT")</f>
        <v>#REF!</v>
      </c>
      <c r="M1983" t="e">
        <f>COUNTIF(#REF!,Tabela2[[#This Row],[KOD_PRODUKTU]])</f>
        <v>#REF!</v>
      </c>
    </row>
    <row r="1984" spans="1:13" x14ac:dyDescent="0.25">
      <c r="A1984" s="1" t="s">
        <v>3329</v>
      </c>
      <c r="B1984" t="s">
        <v>3330</v>
      </c>
      <c r="C1984" s="1" t="s">
        <v>541</v>
      </c>
      <c r="D1984" s="1" t="s">
        <v>541</v>
      </c>
      <c r="E1984" s="1" t="s">
        <v>541</v>
      </c>
      <c r="F1984" t="s">
        <v>542</v>
      </c>
      <c r="G1984" t="s">
        <v>9</v>
      </c>
      <c r="H1984" t="s">
        <v>10</v>
      </c>
      <c r="I1984" t="s">
        <v>601</v>
      </c>
      <c r="J1984">
        <v>6.9</v>
      </c>
      <c r="K1984" t="e">
        <f>IF(COUNTIF(#REF!,Tabela2[[#This Row],[IdxWspolny]])&gt;0,"ELEM_lub_PRD","TECHN")</f>
        <v>#REF!</v>
      </c>
      <c r="L1984" t="e">
        <f>IF(COUNTIF(#REF!,Tabela2[[#This Row],[KOD_PRODUKTU]])&gt;0,"ELEMENT","PRODUKT")</f>
        <v>#REF!</v>
      </c>
      <c r="M1984" t="e">
        <f>COUNTIF(#REF!,Tabela2[[#This Row],[KOD_PRODUKTU]])</f>
        <v>#REF!</v>
      </c>
    </row>
    <row r="1985" spans="1:13" x14ac:dyDescent="0.25">
      <c r="A1985" s="1" t="s">
        <v>3331</v>
      </c>
      <c r="B1985" t="s">
        <v>3332</v>
      </c>
      <c r="C1985" s="1" t="s">
        <v>3333</v>
      </c>
      <c r="D1985" s="1" t="s">
        <v>3333</v>
      </c>
      <c r="E1985" s="1" t="s">
        <v>3333</v>
      </c>
      <c r="F1985" t="s">
        <v>3334</v>
      </c>
      <c r="G1985" t="s">
        <v>140</v>
      </c>
      <c r="H1985" t="s">
        <v>49</v>
      </c>
      <c r="I1985" t="s">
        <v>50</v>
      </c>
      <c r="J1985">
        <v>10.75</v>
      </c>
      <c r="K1985" t="e">
        <f>IF(COUNTIF(#REF!,Tabela2[[#This Row],[IdxWspolny]])&gt;0,"ELEM_lub_PRD","TECHN")</f>
        <v>#REF!</v>
      </c>
      <c r="L1985" t="e">
        <f>IF(COUNTIF(#REF!,Tabela2[[#This Row],[KOD_PRODUKTU]])&gt;0,"ELEMENT","PRODUKT")</f>
        <v>#REF!</v>
      </c>
      <c r="M1985" t="e">
        <f>COUNTIF(#REF!,Tabela2[[#This Row],[KOD_PRODUKTU]])</f>
        <v>#REF!</v>
      </c>
    </row>
    <row r="1986" spans="1:13" x14ac:dyDescent="0.25">
      <c r="A1986" s="1" t="s">
        <v>3331</v>
      </c>
      <c r="B1986" t="s">
        <v>3332</v>
      </c>
      <c r="C1986" s="1" t="s">
        <v>7</v>
      </c>
      <c r="D1986" s="1" t="s">
        <v>7</v>
      </c>
      <c r="E1986" s="1" t="s">
        <v>7</v>
      </c>
      <c r="F1986" t="s">
        <v>8</v>
      </c>
      <c r="G1986" t="s">
        <v>9</v>
      </c>
      <c r="H1986" t="s">
        <v>10</v>
      </c>
      <c r="I1986" t="s">
        <v>3335</v>
      </c>
      <c r="J1986">
        <v>26.83</v>
      </c>
      <c r="K1986" t="e">
        <f>IF(COUNTIF(#REF!,Tabela2[[#This Row],[IdxWspolny]])&gt;0,"ELEM_lub_PRD","TECHN")</f>
        <v>#REF!</v>
      </c>
      <c r="L1986" t="e">
        <f>IF(COUNTIF(#REF!,Tabela2[[#This Row],[KOD_PRODUKTU]])&gt;0,"ELEMENT","PRODUKT")</f>
        <v>#REF!</v>
      </c>
      <c r="M1986" t="e">
        <f>COUNTIF(#REF!,Tabela2[[#This Row],[KOD_PRODUKTU]])</f>
        <v>#REF!</v>
      </c>
    </row>
    <row r="1987" spans="1:13" x14ac:dyDescent="0.25">
      <c r="A1987" s="1" t="s">
        <v>3336</v>
      </c>
      <c r="B1987" t="s">
        <v>3337</v>
      </c>
      <c r="C1987" s="1" t="s">
        <v>3280</v>
      </c>
      <c r="D1987" s="1" t="s">
        <v>3280</v>
      </c>
      <c r="E1987" s="1" t="s">
        <v>3280</v>
      </c>
      <c r="F1987" t="s">
        <v>3281</v>
      </c>
      <c r="G1987" t="s">
        <v>876</v>
      </c>
      <c r="H1987" t="s">
        <v>5</v>
      </c>
      <c r="I1987" t="s">
        <v>3338</v>
      </c>
      <c r="J1987">
        <v>7.45</v>
      </c>
      <c r="K1987" t="e">
        <f>IF(COUNTIF(#REF!,Tabela2[[#This Row],[IdxWspolny]])&gt;0,"ELEM_lub_PRD","TECHN")</f>
        <v>#REF!</v>
      </c>
      <c r="L1987" t="e">
        <f>IF(COUNTIF(#REF!,Tabela2[[#This Row],[KOD_PRODUKTU]])&gt;0,"ELEMENT","PRODUKT")</f>
        <v>#REF!</v>
      </c>
      <c r="M1987" t="e">
        <f>COUNTIF(#REF!,Tabela2[[#This Row],[KOD_PRODUKTU]])</f>
        <v>#REF!</v>
      </c>
    </row>
    <row r="1988" spans="1:13" x14ac:dyDescent="0.25">
      <c r="A1988" s="1" t="s">
        <v>3336</v>
      </c>
      <c r="B1988" t="s">
        <v>3337</v>
      </c>
      <c r="C1988" s="1" t="s">
        <v>7</v>
      </c>
      <c r="D1988" s="1" t="s">
        <v>7</v>
      </c>
      <c r="E1988" s="1" t="s">
        <v>7</v>
      </c>
      <c r="F1988" t="s">
        <v>8</v>
      </c>
      <c r="G1988" t="s">
        <v>9</v>
      </c>
      <c r="H1988" t="s">
        <v>10</v>
      </c>
      <c r="I1988" t="s">
        <v>3339</v>
      </c>
      <c r="J1988">
        <v>11.85</v>
      </c>
      <c r="K1988" t="e">
        <f>IF(COUNTIF(#REF!,Tabela2[[#This Row],[IdxWspolny]])&gt;0,"ELEM_lub_PRD","TECHN")</f>
        <v>#REF!</v>
      </c>
      <c r="L1988" t="e">
        <f>IF(COUNTIF(#REF!,Tabela2[[#This Row],[KOD_PRODUKTU]])&gt;0,"ELEMENT","PRODUKT")</f>
        <v>#REF!</v>
      </c>
      <c r="M1988" t="e">
        <f>COUNTIF(#REF!,Tabela2[[#This Row],[KOD_PRODUKTU]])</f>
        <v>#REF!</v>
      </c>
    </row>
    <row r="1989" spans="1:13" x14ac:dyDescent="0.25">
      <c r="A1989" s="1" t="s">
        <v>3340</v>
      </c>
      <c r="B1989" t="s">
        <v>3341</v>
      </c>
      <c r="C1989" s="1" t="s">
        <v>3342</v>
      </c>
      <c r="D1989" s="1" t="s">
        <v>3342</v>
      </c>
      <c r="E1989" s="1" t="s">
        <v>3342</v>
      </c>
      <c r="F1989" t="s">
        <v>3343</v>
      </c>
      <c r="G1989" t="s">
        <v>3344</v>
      </c>
      <c r="H1989" t="s">
        <v>5</v>
      </c>
      <c r="I1989" t="s">
        <v>3345</v>
      </c>
      <c r="J1989">
        <v>11.5</v>
      </c>
      <c r="K1989" t="e">
        <f>IF(COUNTIF(#REF!,Tabela2[[#This Row],[IdxWspolny]])&gt;0,"ELEM_lub_PRD","TECHN")</f>
        <v>#REF!</v>
      </c>
      <c r="L1989" t="e">
        <f>IF(COUNTIF(#REF!,Tabela2[[#This Row],[KOD_PRODUKTU]])&gt;0,"ELEMENT","PRODUKT")</f>
        <v>#REF!</v>
      </c>
      <c r="M1989" t="e">
        <f>COUNTIF(#REF!,Tabela2[[#This Row],[KOD_PRODUKTU]])</f>
        <v>#REF!</v>
      </c>
    </row>
    <row r="1990" spans="1:13" x14ac:dyDescent="0.25">
      <c r="A1990" s="1" t="s">
        <v>3340</v>
      </c>
      <c r="B1990" t="s">
        <v>3341</v>
      </c>
      <c r="C1990" s="1" t="s">
        <v>7</v>
      </c>
      <c r="D1990" s="1" t="s">
        <v>7</v>
      </c>
      <c r="E1990" s="1" t="s">
        <v>7</v>
      </c>
      <c r="F1990" t="s">
        <v>8</v>
      </c>
      <c r="G1990" t="s">
        <v>9</v>
      </c>
      <c r="H1990" t="s">
        <v>10</v>
      </c>
      <c r="I1990" t="s">
        <v>3346</v>
      </c>
      <c r="J1990">
        <v>11.19</v>
      </c>
      <c r="K1990" t="e">
        <f>IF(COUNTIF(#REF!,Tabela2[[#This Row],[IdxWspolny]])&gt;0,"ELEM_lub_PRD","TECHN")</f>
        <v>#REF!</v>
      </c>
      <c r="L1990" t="e">
        <f>IF(COUNTIF(#REF!,Tabela2[[#This Row],[KOD_PRODUKTU]])&gt;0,"ELEMENT","PRODUKT")</f>
        <v>#REF!</v>
      </c>
      <c r="M1990" t="e">
        <f>COUNTIF(#REF!,Tabela2[[#This Row],[KOD_PRODUKTU]])</f>
        <v>#REF!</v>
      </c>
    </row>
    <row r="1991" spans="1:13" x14ac:dyDescent="0.25">
      <c r="A1991" s="1" t="s">
        <v>3347</v>
      </c>
      <c r="B1991" t="s">
        <v>3348</v>
      </c>
      <c r="C1991" s="1" t="s">
        <v>1249</v>
      </c>
      <c r="D1991" s="1" t="s">
        <v>1249</v>
      </c>
      <c r="E1991" s="1" t="s">
        <v>1249</v>
      </c>
      <c r="F1991" t="s">
        <v>1250</v>
      </c>
      <c r="G1991" t="s">
        <v>1251</v>
      </c>
      <c r="H1991" t="s">
        <v>1252</v>
      </c>
      <c r="I1991" t="s">
        <v>1253</v>
      </c>
      <c r="J1991">
        <v>12</v>
      </c>
      <c r="K1991" t="e">
        <f>IF(COUNTIF(#REF!,Tabela2[[#This Row],[IdxWspolny]])&gt;0,"ELEM_lub_PRD","TECHN")</f>
        <v>#REF!</v>
      </c>
      <c r="L1991" t="e">
        <f>IF(COUNTIF(#REF!,Tabela2[[#This Row],[KOD_PRODUKTU]])&gt;0,"ELEMENT","PRODUKT")</f>
        <v>#REF!</v>
      </c>
      <c r="M1991" t="e">
        <f>COUNTIF(#REF!,Tabela2[[#This Row],[KOD_PRODUKTU]])</f>
        <v>#REF!</v>
      </c>
    </row>
    <row r="1992" spans="1:13" x14ac:dyDescent="0.25">
      <c r="A1992" s="1" t="s">
        <v>3347</v>
      </c>
      <c r="B1992" t="s">
        <v>3348</v>
      </c>
      <c r="C1992" s="1" t="s">
        <v>7</v>
      </c>
      <c r="D1992" s="1" t="s">
        <v>7</v>
      </c>
      <c r="E1992" s="1" t="s">
        <v>7</v>
      </c>
      <c r="F1992" t="s">
        <v>8</v>
      </c>
      <c r="G1992" t="s">
        <v>9</v>
      </c>
      <c r="H1992" t="s">
        <v>10</v>
      </c>
      <c r="I1992" t="s">
        <v>33</v>
      </c>
      <c r="J1992">
        <v>9.1999999999999993</v>
      </c>
      <c r="K1992" t="e">
        <f>IF(COUNTIF(#REF!,Tabela2[[#This Row],[IdxWspolny]])&gt;0,"ELEM_lub_PRD","TECHN")</f>
        <v>#REF!</v>
      </c>
      <c r="L1992" t="e">
        <f>IF(COUNTIF(#REF!,Tabela2[[#This Row],[KOD_PRODUKTU]])&gt;0,"ELEMENT","PRODUKT")</f>
        <v>#REF!</v>
      </c>
      <c r="M1992" t="e">
        <f>COUNTIF(#REF!,Tabela2[[#This Row],[KOD_PRODUKTU]])</f>
        <v>#REF!</v>
      </c>
    </row>
    <row r="1993" spans="1:13" x14ac:dyDescent="0.25">
      <c r="A1993" s="1" t="s">
        <v>3347</v>
      </c>
      <c r="B1993" t="s">
        <v>3348</v>
      </c>
      <c r="C1993" s="1" t="s">
        <v>7</v>
      </c>
      <c r="D1993" s="1" t="s">
        <v>7</v>
      </c>
      <c r="E1993" s="1" t="s">
        <v>7</v>
      </c>
      <c r="F1993" t="s">
        <v>8</v>
      </c>
      <c r="G1993" t="s">
        <v>9</v>
      </c>
      <c r="H1993" t="s">
        <v>10</v>
      </c>
      <c r="I1993" t="s">
        <v>594</v>
      </c>
      <c r="J1993">
        <v>11.5</v>
      </c>
      <c r="K1993" t="e">
        <f>IF(COUNTIF(#REF!,Tabela2[[#This Row],[IdxWspolny]])&gt;0,"ELEM_lub_PRD","TECHN")</f>
        <v>#REF!</v>
      </c>
      <c r="L1993" t="e">
        <f>IF(COUNTIF(#REF!,Tabela2[[#This Row],[KOD_PRODUKTU]])&gt;0,"ELEMENT","PRODUKT")</f>
        <v>#REF!</v>
      </c>
      <c r="M1993" t="e">
        <f>COUNTIF(#REF!,Tabela2[[#This Row],[KOD_PRODUKTU]])</f>
        <v>#REF!</v>
      </c>
    </row>
    <row r="1994" spans="1:13" x14ac:dyDescent="0.25">
      <c r="A1994" s="1" t="s">
        <v>3349</v>
      </c>
      <c r="B1994" t="s">
        <v>3350</v>
      </c>
      <c r="C1994" s="1" t="s">
        <v>3280</v>
      </c>
      <c r="D1994" s="1" t="s">
        <v>3280</v>
      </c>
      <c r="E1994" s="1" t="s">
        <v>3280</v>
      </c>
      <c r="F1994" t="s">
        <v>3281</v>
      </c>
      <c r="G1994" t="s">
        <v>876</v>
      </c>
      <c r="H1994" t="s">
        <v>5</v>
      </c>
      <c r="I1994" t="s">
        <v>3351</v>
      </c>
      <c r="J1994">
        <v>7.55</v>
      </c>
      <c r="K1994" t="e">
        <f>IF(COUNTIF(#REF!,Tabela2[[#This Row],[IdxWspolny]])&gt;0,"ELEM_lub_PRD","TECHN")</f>
        <v>#REF!</v>
      </c>
      <c r="L1994" t="e">
        <f>IF(COUNTIF(#REF!,Tabela2[[#This Row],[KOD_PRODUKTU]])&gt;0,"ELEMENT","PRODUKT")</f>
        <v>#REF!</v>
      </c>
      <c r="M1994" t="e">
        <f>COUNTIF(#REF!,Tabela2[[#This Row],[KOD_PRODUKTU]])</f>
        <v>#REF!</v>
      </c>
    </row>
    <row r="1995" spans="1:13" x14ac:dyDescent="0.25">
      <c r="A1995" s="1" t="s">
        <v>3349</v>
      </c>
      <c r="B1995" t="s">
        <v>3350</v>
      </c>
      <c r="C1995" s="1" t="s">
        <v>7</v>
      </c>
      <c r="D1995" s="1" t="s">
        <v>7</v>
      </c>
      <c r="E1995" s="1" t="s">
        <v>7</v>
      </c>
      <c r="F1995" t="s">
        <v>8</v>
      </c>
      <c r="G1995" t="s">
        <v>9</v>
      </c>
      <c r="H1995" t="s">
        <v>10</v>
      </c>
      <c r="I1995" t="s">
        <v>3352</v>
      </c>
      <c r="J1995">
        <v>11.87</v>
      </c>
      <c r="K1995" t="e">
        <f>IF(COUNTIF(#REF!,Tabela2[[#This Row],[IdxWspolny]])&gt;0,"ELEM_lub_PRD","TECHN")</f>
        <v>#REF!</v>
      </c>
      <c r="L1995" t="e">
        <f>IF(COUNTIF(#REF!,Tabela2[[#This Row],[KOD_PRODUKTU]])&gt;0,"ELEMENT","PRODUKT")</f>
        <v>#REF!</v>
      </c>
      <c r="M1995" t="e">
        <f>COUNTIF(#REF!,Tabela2[[#This Row],[KOD_PRODUKTU]])</f>
        <v>#REF!</v>
      </c>
    </row>
    <row r="1996" spans="1:13" x14ac:dyDescent="0.25">
      <c r="A1996" s="1" t="s">
        <v>3353</v>
      </c>
      <c r="B1996" t="s">
        <v>3354</v>
      </c>
      <c r="C1996" s="1" t="s">
        <v>3355</v>
      </c>
      <c r="D1996" s="1" t="s">
        <v>3355</v>
      </c>
      <c r="E1996" s="1" t="s">
        <v>3355</v>
      </c>
      <c r="F1996" t="s">
        <v>3356</v>
      </c>
      <c r="G1996" t="s">
        <v>70</v>
      </c>
      <c r="H1996" t="s">
        <v>5</v>
      </c>
      <c r="I1996" t="s">
        <v>3357</v>
      </c>
      <c r="J1996">
        <v>2.35</v>
      </c>
      <c r="K1996" t="e">
        <f>IF(COUNTIF(#REF!,Tabela2[[#This Row],[IdxWspolny]])&gt;0,"ELEM_lub_PRD","TECHN")</f>
        <v>#REF!</v>
      </c>
      <c r="L1996" t="e">
        <f>IF(COUNTIF(#REF!,Tabela2[[#This Row],[KOD_PRODUKTU]])&gt;0,"ELEMENT","PRODUKT")</f>
        <v>#REF!</v>
      </c>
      <c r="M1996" t="e">
        <f>COUNTIF(#REF!,Tabela2[[#This Row],[KOD_PRODUKTU]])</f>
        <v>#REF!</v>
      </c>
    </row>
    <row r="1997" spans="1:13" x14ac:dyDescent="0.25">
      <c r="A1997" s="1" t="s">
        <v>3353</v>
      </c>
      <c r="B1997" t="s">
        <v>3354</v>
      </c>
      <c r="C1997" s="1" t="s">
        <v>541</v>
      </c>
      <c r="D1997" s="1" t="s">
        <v>541</v>
      </c>
      <c r="E1997" s="1" t="s">
        <v>541</v>
      </c>
      <c r="F1997" t="s">
        <v>542</v>
      </c>
      <c r="G1997" t="s">
        <v>811</v>
      </c>
      <c r="H1997" t="s">
        <v>10</v>
      </c>
      <c r="I1997" t="s">
        <v>607</v>
      </c>
      <c r="J1997">
        <v>51</v>
      </c>
      <c r="K1997" t="e">
        <f>IF(COUNTIF(#REF!,Tabela2[[#This Row],[IdxWspolny]])&gt;0,"ELEM_lub_PRD","TECHN")</f>
        <v>#REF!</v>
      </c>
      <c r="L1997" t="e">
        <f>IF(COUNTIF(#REF!,Tabela2[[#This Row],[KOD_PRODUKTU]])&gt;0,"ELEMENT","PRODUKT")</f>
        <v>#REF!</v>
      </c>
      <c r="M1997" t="e">
        <f>COUNTIF(#REF!,Tabela2[[#This Row],[KOD_PRODUKTU]])</f>
        <v>#REF!</v>
      </c>
    </row>
    <row r="1998" spans="1:13" x14ac:dyDescent="0.25">
      <c r="A1998" s="1" t="s">
        <v>3358</v>
      </c>
      <c r="B1998" t="s">
        <v>3359</v>
      </c>
      <c r="C1998" s="1" t="s">
        <v>1487</v>
      </c>
      <c r="D1998" s="1" t="s">
        <v>1487</v>
      </c>
      <c r="E1998" s="1" t="s">
        <v>1487</v>
      </c>
      <c r="F1998" t="s">
        <v>1488</v>
      </c>
      <c r="G1998" t="s">
        <v>31</v>
      </c>
      <c r="H1998" t="s">
        <v>5</v>
      </c>
      <c r="I1998" t="s">
        <v>3360</v>
      </c>
      <c r="J1998">
        <v>1.2</v>
      </c>
      <c r="K1998" t="e">
        <f>IF(COUNTIF(#REF!,Tabela2[[#This Row],[IdxWspolny]])&gt;0,"ELEM_lub_PRD","TECHN")</f>
        <v>#REF!</v>
      </c>
      <c r="L1998" t="e">
        <f>IF(COUNTIF(#REF!,Tabela2[[#This Row],[KOD_PRODUKTU]])&gt;0,"ELEMENT","PRODUKT")</f>
        <v>#REF!</v>
      </c>
      <c r="M1998" t="e">
        <f>COUNTIF(#REF!,Tabela2[[#This Row],[KOD_PRODUKTU]])</f>
        <v>#REF!</v>
      </c>
    </row>
    <row r="1999" spans="1:13" x14ac:dyDescent="0.25">
      <c r="A1999" s="1" t="s">
        <v>3358</v>
      </c>
      <c r="B1999" t="s">
        <v>3359</v>
      </c>
      <c r="C1999" s="1" t="s">
        <v>432</v>
      </c>
      <c r="D1999" s="1" t="s">
        <v>432</v>
      </c>
      <c r="E1999" s="1" t="s">
        <v>432</v>
      </c>
      <c r="F1999" t="s">
        <v>433</v>
      </c>
      <c r="G1999" t="s">
        <v>434</v>
      </c>
      <c r="H1999" t="s">
        <v>435</v>
      </c>
      <c r="I1999" t="s">
        <v>50</v>
      </c>
      <c r="J1999">
        <v>1.1000000000000001</v>
      </c>
      <c r="K1999" t="e">
        <f>IF(COUNTIF(#REF!,Tabela2[[#This Row],[IdxWspolny]])&gt;0,"ELEM_lub_PRD","TECHN")</f>
        <v>#REF!</v>
      </c>
      <c r="L1999" t="e">
        <f>IF(COUNTIF(#REF!,Tabela2[[#This Row],[KOD_PRODUKTU]])&gt;0,"ELEMENT","PRODUKT")</f>
        <v>#REF!</v>
      </c>
      <c r="M1999" t="e">
        <f>COUNTIF(#REF!,Tabela2[[#This Row],[KOD_PRODUKTU]])</f>
        <v>#REF!</v>
      </c>
    </row>
    <row r="2000" spans="1:13" x14ac:dyDescent="0.25">
      <c r="A2000" s="1" t="s">
        <v>3358</v>
      </c>
      <c r="B2000" t="s">
        <v>3359</v>
      </c>
      <c r="C2000" s="1" t="s">
        <v>541</v>
      </c>
      <c r="D2000" s="1" t="s">
        <v>541</v>
      </c>
      <c r="E2000" s="1" t="s">
        <v>541</v>
      </c>
      <c r="F2000" t="s">
        <v>542</v>
      </c>
      <c r="G2000" t="s">
        <v>811</v>
      </c>
      <c r="H2000" t="s">
        <v>10</v>
      </c>
      <c r="I2000" t="s">
        <v>3277</v>
      </c>
      <c r="J2000">
        <v>26.81</v>
      </c>
      <c r="K2000" t="e">
        <f>IF(COUNTIF(#REF!,Tabela2[[#This Row],[IdxWspolny]])&gt;0,"ELEM_lub_PRD","TECHN")</f>
        <v>#REF!</v>
      </c>
      <c r="L2000" t="e">
        <f>IF(COUNTIF(#REF!,Tabela2[[#This Row],[KOD_PRODUKTU]])&gt;0,"ELEMENT","PRODUKT")</f>
        <v>#REF!</v>
      </c>
      <c r="M2000" t="e">
        <f>COUNTIF(#REF!,Tabela2[[#This Row],[KOD_PRODUKTU]])</f>
        <v>#REF!</v>
      </c>
    </row>
    <row r="2001" spans="1:13" x14ac:dyDescent="0.25">
      <c r="A2001" s="1" t="s">
        <v>3361</v>
      </c>
      <c r="B2001" t="s">
        <v>3362</v>
      </c>
      <c r="C2001" s="1" t="s">
        <v>3363</v>
      </c>
      <c r="D2001" s="1" t="s">
        <v>3363</v>
      </c>
      <c r="E2001" s="1" t="s">
        <v>3363</v>
      </c>
      <c r="F2001" t="s">
        <v>3364</v>
      </c>
      <c r="G2001" t="s">
        <v>3365</v>
      </c>
      <c r="H2001" t="s">
        <v>17</v>
      </c>
      <c r="I2001" t="s">
        <v>3366</v>
      </c>
      <c r="J2001">
        <v>4.1500000000000004</v>
      </c>
      <c r="K2001" t="e">
        <f>IF(COUNTIF(#REF!,Tabela2[[#This Row],[IdxWspolny]])&gt;0,"ELEM_lub_PRD","TECHN")</f>
        <v>#REF!</v>
      </c>
      <c r="L2001" t="e">
        <f>IF(COUNTIF(#REF!,Tabela2[[#This Row],[KOD_PRODUKTU]])&gt;0,"ELEMENT","PRODUKT")</f>
        <v>#REF!</v>
      </c>
      <c r="M2001" t="e">
        <f>COUNTIF(#REF!,Tabela2[[#This Row],[KOD_PRODUKTU]])</f>
        <v>#REF!</v>
      </c>
    </row>
    <row r="2002" spans="1:13" x14ac:dyDescent="0.25">
      <c r="A2002" s="1" t="s">
        <v>3361</v>
      </c>
      <c r="B2002" t="s">
        <v>3362</v>
      </c>
      <c r="C2002" s="1" t="s">
        <v>541</v>
      </c>
      <c r="D2002" s="1" t="s">
        <v>541</v>
      </c>
      <c r="E2002" s="1" t="s">
        <v>541</v>
      </c>
      <c r="F2002" t="s">
        <v>542</v>
      </c>
      <c r="G2002" t="s">
        <v>9</v>
      </c>
      <c r="H2002" t="s">
        <v>10</v>
      </c>
      <c r="I2002" t="s">
        <v>3074</v>
      </c>
      <c r="J2002">
        <v>7.67</v>
      </c>
      <c r="K2002" t="e">
        <f>IF(COUNTIF(#REF!,Tabela2[[#This Row],[IdxWspolny]])&gt;0,"ELEM_lub_PRD","TECHN")</f>
        <v>#REF!</v>
      </c>
      <c r="L2002" t="e">
        <f>IF(COUNTIF(#REF!,Tabela2[[#This Row],[KOD_PRODUKTU]])&gt;0,"ELEMENT","PRODUKT")</f>
        <v>#REF!</v>
      </c>
      <c r="M2002" t="e">
        <f>COUNTIF(#REF!,Tabela2[[#This Row],[KOD_PRODUKTU]])</f>
        <v>#REF!</v>
      </c>
    </row>
    <row r="2003" spans="1:13" hidden="1" x14ac:dyDescent="0.25">
      <c r="A2003" s="1" t="s">
        <v>3367</v>
      </c>
      <c r="B2003" t="s">
        <v>3368</v>
      </c>
      <c r="C2003" s="1" t="s">
        <v>2553</v>
      </c>
      <c r="D2003" s="1" t="s">
        <v>2553</v>
      </c>
      <c r="E2003" s="1" t="s">
        <v>2553</v>
      </c>
      <c r="F2003" t="s">
        <v>3369</v>
      </c>
      <c r="G2003" t="s">
        <v>3370</v>
      </c>
      <c r="H2003" t="s">
        <v>49</v>
      </c>
      <c r="I2003" t="s">
        <v>50</v>
      </c>
      <c r="J2003">
        <v>143</v>
      </c>
      <c r="K2003" t="e">
        <f>IF(COUNTIF(#REF!,Tabela2[[#This Row],[IdxWspolny]])&gt;0,"ELEM_lub_PRD","TECHN")</f>
        <v>#REF!</v>
      </c>
      <c r="L2003" t="e">
        <f>IF(COUNTIF(#REF!,Tabela2[[#This Row],[KOD_PRODUKTU]])&gt;0,"ELEMENT","PRODUKT")</f>
        <v>#REF!</v>
      </c>
      <c r="M2003" t="e">
        <f>COUNTIF(#REF!,Tabela2[[#This Row],[KOD_PRODUKTU]])</f>
        <v>#REF!</v>
      </c>
    </row>
    <row r="2004" spans="1:13" x14ac:dyDescent="0.25">
      <c r="A2004" s="1" t="s">
        <v>3367</v>
      </c>
      <c r="B2004" t="s">
        <v>3368</v>
      </c>
      <c r="C2004" s="1" t="s">
        <v>541</v>
      </c>
      <c r="D2004" s="1" t="s">
        <v>541</v>
      </c>
      <c r="E2004" s="1" t="s">
        <v>541</v>
      </c>
      <c r="F2004" t="s">
        <v>542</v>
      </c>
      <c r="G2004" t="s">
        <v>9</v>
      </c>
      <c r="H2004" t="s">
        <v>10</v>
      </c>
      <c r="I2004" t="s">
        <v>3371</v>
      </c>
      <c r="J2004">
        <v>58.97</v>
      </c>
      <c r="K2004" t="e">
        <f>IF(COUNTIF(#REF!,Tabela2[[#This Row],[IdxWspolny]])&gt;0,"ELEM_lub_PRD","TECHN")</f>
        <v>#REF!</v>
      </c>
      <c r="L2004" t="e">
        <f>IF(COUNTIF(#REF!,Tabela2[[#This Row],[KOD_PRODUKTU]])&gt;0,"ELEMENT","PRODUKT")</f>
        <v>#REF!</v>
      </c>
      <c r="M2004" t="e">
        <f>COUNTIF(#REF!,Tabela2[[#This Row],[KOD_PRODUKTU]])</f>
        <v>#REF!</v>
      </c>
    </row>
    <row r="2005" spans="1:13" hidden="1" x14ac:dyDescent="0.25">
      <c r="A2005" s="1" t="s">
        <v>3372</v>
      </c>
      <c r="B2005" t="s">
        <v>3373</v>
      </c>
      <c r="C2005" s="1" t="s">
        <v>2564</v>
      </c>
      <c r="D2005" s="1" t="s">
        <v>2564</v>
      </c>
      <c r="E2005" s="1" t="s">
        <v>2564</v>
      </c>
      <c r="F2005" t="s">
        <v>3374</v>
      </c>
      <c r="G2005" t="s">
        <v>3375</v>
      </c>
      <c r="H2005" t="s">
        <v>49</v>
      </c>
      <c r="I2005" t="s">
        <v>50</v>
      </c>
      <c r="J2005">
        <v>3780.4</v>
      </c>
      <c r="K2005" t="e">
        <f>IF(COUNTIF(#REF!,Tabela2[[#This Row],[IdxWspolny]])&gt;0,"ELEM_lub_PRD","TECHN")</f>
        <v>#REF!</v>
      </c>
      <c r="L2005" t="e">
        <f>IF(COUNTIF(#REF!,Tabela2[[#This Row],[KOD_PRODUKTU]])&gt;0,"ELEMENT","PRODUKT")</f>
        <v>#REF!</v>
      </c>
      <c r="M2005" t="e">
        <f>COUNTIF(#REF!,Tabela2[[#This Row],[KOD_PRODUKTU]])</f>
        <v>#REF!</v>
      </c>
    </row>
    <row r="2006" spans="1:13" x14ac:dyDescent="0.25">
      <c r="A2006" s="1" t="s">
        <v>3372</v>
      </c>
      <c r="B2006" t="s">
        <v>3373</v>
      </c>
      <c r="C2006" s="1" t="s">
        <v>541</v>
      </c>
      <c r="D2006" s="1" t="s">
        <v>541</v>
      </c>
      <c r="E2006" s="1" t="s">
        <v>541</v>
      </c>
      <c r="F2006" t="s">
        <v>542</v>
      </c>
      <c r="G2006" t="s">
        <v>9</v>
      </c>
      <c r="H2006" t="s">
        <v>10</v>
      </c>
      <c r="I2006" t="s">
        <v>3371</v>
      </c>
      <c r="J2006">
        <v>58.97</v>
      </c>
      <c r="K2006" t="e">
        <f>IF(COUNTIF(#REF!,Tabela2[[#This Row],[IdxWspolny]])&gt;0,"ELEM_lub_PRD","TECHN")</f>
        <v>#REF!</v>
      </c>
      <c r="L2006" t="e">
        <f>IF(COUNTIF(#REF!,Tabela2[[#This Row],[KOD_PRODUKTU]])&gt;0,"ELEMENT","PRODUKT")</f>
        <v>#REF!</v>
      </c>
      <c r="M2006" t="e">
        <f>COUNTIF(#REF!,Tabela2[[#This Row],[KOD_PRODUKTU]])</f>
        <v>#REF!</v>
      </c>
    </row>
    <row r="2007" spans="1:13" x14ac:dyDescent="0.25">
      <c r="A2007" s="1" t="s">
        <v>3376</v>
      </c>
      <c r="B2007" t="s">
        <v>3377</v>
      </c>
      <c r="C2007" s="1" t="s">
        <v>684</v>
      </c>
      <c r="D2007" s="1" t="s">
        <v>684</v>
      </c>
      <c r="E2007" s="1" t="s">
        <v>684</v>
      </c>
      <c r="F2007" t="s">
        <v>685</v>
      </c>
      <c r="G2007" t="s">
        <v>686</v>
      </c>
      <c r="H2007" t="s">
        <v>49</v>
      </c>
      <c r="I2007" t="s">
        <v>3378</v>
      </c>
      <c r="J2007">
        <v>173.4</v>
      </c>
      <c r="K2007" t="e">
        <f>IF(COUNTIF(#REF!,Tabela2[[#This Row],[IdxWspolny]])&gt;0,"ELEM_lub_PRD","TECHN")</f>
        <v>#REF!</v>
      </c>
      <c r="L2007" t="e">
        <f>IF(COUNTIF(#REF!,Tabela2[[#This Row],[KOD_PRODUKTU]])&gt;0,"ELEMENT","PRODUKT")</f>
        <v>#REF!</v>
      </c>
      <c r="M2007" t="e">
        <f>COUNTIF(#REF!,Tabela2[[#This Row],[KOD_PRODUKTU]])</f>
        <v>#REF!</v>
      </c>
    </row>
    <row r="2008" spans="1:13" x14ac:dyDescent="0.25">
      <c r="A2008" s="1" t="s">
        <v>3376</v>
      </c>
      <c r="B2008" t="s">
        <v>3377</v>
      </c>
      <c r="C2008" s="1" t="s">
        <v>7</v>
      </c>
      <c r="D2008" s="1" t="s">
        <v>7</v>
      </c>
      <c r="E2008" s="1" t="s">
        <v>7</v>
      </c>
      <c r="F2008" t="s">
        <v>8</v>
      </c>
      <c r="G2008" t="s">
        <v>9</v>
      </c>
      <c r="H2008" t="s">
        <v>10</v>
      </c>
      <c r="I2008" t="s">
        <v>3379</v>
      </c>
      <c r="J2008">
        <v>241.5</v>
      </c>
      <c r="K2008" t="e">
        <f>IF(COUNTIF(#REF!,Tabela2[[#This Row],[IdxWspolny]])&gt;0,"ELEM_lub_PRD","TECHN")</f>
        <v>#REF!</v>
      </c>
      <c r="L2008" t="e">
        <f>IF(COUNTIF(#REF!,Tabela2[[#This Row],[KOD_PRODUKTU]])&gt;0,"ELEMENT","PRODUKT")</f>
        <v>#REF!</v>
      </c>
      <c r="M2008" t="e">
        <f>COUNTIF(#REF!,Tabela2[[#This Row],[KOD_PRODUKTU]])</f>
        <v>#REF!</v>
      </c>
    </row>
    <row r="2009" spans="1:13" x14ac:dyDescent="0.25">
      <c r="A2009" s="1" t="s">
        <v>3380</v>
      </c>
      <c r="B2009" t="s">
        <v>3381</v>
      </c>
      <c r="C2009" s="1" t="s">
        <v>1074</v>
      </c>
      <c r="D2009" s="1" t="s">
        <v>1074</v>
      </c>
      <c r="E2009" s="1" t="s">
        <v>1074</v>
      </c>
      <c r="F2009" t="s">
        <v>1075</v>
      </c>
      <c r="G2009" t="s">
        <v>1076</v>
      </c>
      <c r="H2009" t="s">
        <v>5</v>
      </c>
      <c r="I2009" t="s">
        <v>1077</v>
      </c>
      <c r="J2009">
        <v>0.13</v>
      </c>
      <c r="K2009" t="e">
        <f>IF(COUNTIF(#REF!,Tabela2[[#This Row],[IdxWspolny]])&gt;0,"ELEM_lub_PRD","TECHN")</f>
        <v>#REF!</v>
      </c>
      <c r="L2009" t="e">
        <f>IF(COUNTIF(#REF!,Tabela2[[#This Row],[KOD_PRODUKTU]])&gt;0,"ELEMENT","PRODUKT")</f>
        <v>#REF!</v>
      </c>
      <c r="M2009" t="e">
        <f>COUNTIF(#REF!,Tabela2[[#This Row],[KOD_PRODUKTU]])</f>
        <v>#REF!</v>
      </c>
    </row>
    <row r="2010" spans="1:13" x14ac:dyDescent="0.25">
      <c r="A2010" s="1" t="s">
        <v>3380</v>
      </c>
      <c r="B2010" t="s">
        <v>3381</v>
      </c>
      <c r="C2010" s="1" t="s">
        <v>3382</v>
      </c>
      <c r="D2010" s="1" t="s">
        <v>3382</v>
      </c>
      <c r="E2010" s="1" t="s">
        <v>3382</v>
      </c>
      <c r="F2010" t="s">
        <v>3383</v>
      </c>
      <c r="G2010" t="s">
        <v>3384</v>
      </c>
      <c r="H2010" t="s">
        <v>5</v>
      </c>
      <c r="I2010" t="s">
        <v>3385</v>
      </c>
      <c r="J2010">
        <v>0.31</v>
      </c>
      <c r="K2010" t="e">
        <f>IF(COUNTIF(#REF!,Tabela2[[#This Row],[IdxWspolny]])&gt;0,"ELEM_lub_PRD","TECHN")</f>
        <v>#REF!</v>
      </c>
      <c r="L2010" t="e">
        <f>IF(COUNTIF(#REF!,Tabela2[[#This Row],[KOD_PRODUKTU]])&gt;0,"ELEMENT","PRODUKT")</f>
        <v>#REF!</v>
      </c>
      <c r="M2010" t="e">
        <f>COUNTIF(#REF!,Tabela2[[#This Row],[KOD_PRODUKTU]])</f>
        <v>#REF!</v>
      </c>
    </row>
    <row r="2011" spans="1:13" x14ac:dyDescent="0.25">
      <c r="A2011" s="1" t="s">
        <v>3380</v>
      </c>
      <c r="B2011" t="s">
        <v>3381</v>
      </c>
      <c r="C2011" s="1" t="s">
        <v>1078</v>
      </c>
      <c r="D2011" s="1" t="s">
        <v>1078</v>
      </c>
      <c r="E2011" s="1" t="s">
        <v>1078</v>
      </c>
      <c r="F2011" t="s">
        <v>1079</v>
      </c>
      <c r="G2011" t="s">
        <v>1080</v>
      </c>
      <c r="H2011" t="s">
        <v>5</v>
      </c>
      <c r="I2011" t="s">
        <v>3386</v>
      </c>
      <c r="J2011">
        <v>0.51</v>
      </c>
      <c r="K2011" t="e">
        <f>IF(COUNTIF(#REF!,Tabela2[[#This Row],[IdxWspolny]])&gt;0,"ELEM_lub_PRD","TECHN")</f>
        <v>#REF!</v>
      </c>
      <c r="L2011" t="e">
        <f>IF(COUNTIF(#REF!,Tabela2[[#This Row],[KOD_PRODUKTU]])&gt;0,"ELEMENT","PRODUKT")</f>
        <v>#REF!</v>
      </c>
      <c r="M2011" t="e">
        <f>COUNTIF(#REF!,Tabela2[[#This Row],[KOD_PRODUKTU]])</f>
        <v>#REF!</v>
      </c>
    </row>
    <row r="2012" spans="1:13" x14ac:dyDescent="0.25">
      <c r="A2012" s="1" t="s">
        <v>3380</v>
      </c>
      <c r="B2012" t="s">
        <v>3381</v>
      </c>
      <c r="C2012" s="1" t="s">
        <v>3387</v>
      </c>
      <c r="D2012" s="1" t="s">
        <v>3387</v>
      </c>
      <c r="E2012" s="1" t="s">
        <v>3387</v>
      </c>
      <c r="F2012" t="s">
        <v>3388</v>
      </c>
      <c r="G2012" t="s">
        <v>2383</v>
      </c>
      <c r="H2012" t="s">
        <v>49</v>
      </c>
      <c r="I2012" t="s">
        <v>92</v>
      </c>
      <c r="J2012">
        <v>0.1</v>
      </c>
      <c r="K2012" t="e">
        <f>IF(COUNTIF(#REF!,Tabela2[[#This Row],[IdxWspolny]])&gt;0,"ELEM_lub_PRD","TECHN")</f>
        <v>#REF!</v>
      </c>
      <c r="L2012" t="e">
        <f>IF(COUNTIF(#REF!,Tabela2[[#This Row],[KOD_PRODUKTU]])&gt;0,"ELEMENT","PRODUKT")</f>
        <v>#REF!</v>
      </c>
      <c r="M2012" t="e">
        <f>COUNTIF(#REF!,Tabela2[[#This Row],[KOD_PRODUKTU]])</f>
        <v>#REF!</v>
      </c>
    </row>
    <row r="2013" spans="1:13" x14ac:dyDescent="0.25">
      <c r="A2013" s="1" t="s">
        <v>3380</v>
      </c>
      <c r="B2013" t="s">
        <v>3381</v>
      </c>
      <c r="C2013" s="1" t="s">
        <v>3389</v>
      </c>
      <c r="D2013" s="1" t="s">
        <v>3389</v>
      </c>
      <c r="E2013" s="1" t="s">
        <v>3389</v>
      </c>
      <c r="F2013" t="s">
        <v>3390</v>
      </c>
      <c r="G2013" t="s">
        <v>3391</v>
      </c>
      <c r="H2013" t="s">
        <v>49</v>
      </c>
      <c r="I2013" t="s">
        <v>92</v>
      </c>
      <c r="J2013">
        <v>0.04</v>
      </c>
      <c r="K2013" t="e">
        <f>IF(COUNTIF(#REF!,Tabela2[[#This Row],[IdxWspolny]])&gt;0,"ELEM_lub_PRD","TECHN")</f>
        <v>#REF!</v>
      </c>
      <c r="L2013" t="e">
        <f>IF(COUNTIF(#REF!,Tabela2[[#This Row],[KOD_PRODUKTU]])&gt;0,"ELEMENT","PRODUKT")</f>
        <v>#REF!</v>
      </c>
      <c r="M2013" t="e">
        <f>COUNTIF(#REF!,Tabela2[[#This Row],[KOD_PRODUKTU]])</f>
        <v>#REF!</v>
      </c>
    </row>
    <row r="2014" spans="1:13" x14ac:dyDescent="0.25">
      <c r="A2014" s="1" t="s">
        <v>3380</v>
      </c>
      <c r="B2014" t="s">
        <v>3381</v>
      </c>
      <c r="C2014" s="1" t="s">
        <v>1082</v>
      </c>
      <c r="D2014" s="1" t="s">
        <v>1082</v>
      </c>
      <c r="E2014" s="1" t="s">
        <v>1082</v>
      </c>
      <c r="F2014" t="s">
        <v>1083</v>
      </c>
      <c r="G2014" t="s">
        <v>1084</v>
      </c>
      <c r="H2014" t="s">
        <v>121</v>
      </c>
      <c r="I2014" t="s">
        <v>50</v>
      </c>
      <c r="J2014">
        <v>0.84</v>
      </c>
      <c r="K2014" t="e">
        <f>IF(COUNTIF(#REF!,Tabela2[[#This Row],[IdxWspolny]])&gt;0,"ELEM_lub_PRD","TECHN")</f>
        <v>#REF!</v>
      </c>
      <c r="L2014" t="e">
        <f>IF(COUNTIF(#REF!,Tabela2[[#This Row],[KOD_PRODUKTU]])&gt;0,"ELEMENT","PRODUKT")</f>
        <v>#REF!</v>
      </c>
      <c r="M2014" t="e">
        <f>COUNTIF(#REF!,Tabela2[[#This Row],[KOD_PRODUKTU]])</f>
        <v>#REF!</v>
      </c>
    </row>
    <row r="2015" spans="1:13" x14ac:dyDescent="0.25">
      <c r="A2015" s="1" t="s">
        <v>3380</v>
      </c>
      <c r="B2015" t="s">
        <v>3381</v>
      </c>
      <c r="C2015" s="1" t="s">
        <v>1085</v>
      </c>
      <c r="D2015" s="1" t="s">
        <v>1085</v>
      </c>
      <c r="E2015" s="1" t="s">
        <v>1085</v>
      </c>
      <c r="F2015" t="s">
        <v>1086</v>
      </c>
      <c r="G2015" t="s">
        <v>1087</v>
      </c>
      <c r="H2015" t="s">
        <v>121</v>
      </c>
      <c r="I2015" t="s">
        <v>50</v>
      </c>
      <c r="J2015">
        <v>0.17</v>
      </c>
      <c r="K2015" t="e">
        <f>IF(COUNTIF(#REF!,Tabela2[[#This Row],[IdxWspolny]])&gt;0,"ELEM_lub_PRD","TECHN")</f>
        <v>#REF!</v>
      </c>
      <c r="L2015" t="e">
        <f>IF(COUNTIF(#REF!,Tabela2[[#This Row],[KOD_PRODUKTU]])&gt;0,"ELEMENT","PRODUKT")</f>
        <v>#REF!</v>
      </c>
      <c r="M2015" t="e">
        <f>COUNTIF(#REF!,Tabela2[[#This Row],[KOD_PRODUKTU]])</f>
        <v>#REF!</v>
      </c>
    </row>
    <row r="2016" spans="1:13" x14ac:dyDescent="0.25">
      <c r="A2016" s="1" t="s">
        <v>3380</v>
      </c>
      <c r="B2016" t="s">
        <v>3381</v>
      </c>
      <c r="C2016" s="1" t="s">
        <v>41</v>
      </c>
      <c r="D2016" s="1" t="s">
        <v>41</v>
      </c>
      <c r="E2016" s="1" t="s">
        <v>41</v>
      </c>
      <c r="F2016" t="s">
        <v>42</v>
      </c>
      <c r="G2016" t="s">
        <v>43</v>
      </c>
      <c r="H2016" t="s">
        <v>5</v>
      </c>
      <c r="I2016" t="s">
        <v>3392</v>
      </c>
      <c r="J2016">
        <v>0.09</v>
      </c>
      <c r="K2016" t="e">
        <f>IF(COUNTIF(#REF!,Tabela2[[#This Row],[IdxWspolny]])&gt;0,"ELEM_lub_PRD","TECHN")</f>
        <v>#REF!</v>
      </c>
      <c r="L2016" t="e">
        <f>IF(COUNTIF(#REF!,Tabela2[[#This Row],[KOD_PRODUKTU]])&gt;0,"ELEMENT","PRODUKT")</f>
        <v>#REF!</v>
      </c>
      <c r="M2016" t="e">
        <f>COUNTIF(#REF!,Tabela2[[#This Row],[KOD_PRODUKTU]])</f>
        <v>#REF!</v>
      </c>
    </row>
    <row r="2017" spans="1:14" x14ac:dyDescent="0.25">
      <c r="A2017" s="1" t="s">
        <v>3380</v>
      </c>
      <c r="B2017" t="s">
        <v>3381</v>
      </c>
      <c r="C2017" s="1" t="s">
        <v>1088</v>
      </c>
      <c r="D2017" s="1" t="s">
        <v>1088</v>
      </c>
      <c r="E2017" s="1" t="s">
        <v>1088</v>
      </c>
      <c r="F2017" t="s">
        <v>1089</v>
      </c>
      <c r="G2017" t="s">
        <v>1090</v>
      </c>
      <c r="H2017" t="s">
        <v>121</v>
      </c>
      <c r="I2017" t="s">
        <v>50</v>
      </c>
      <c r="J2017">
        <v>0.1</v>
      </c>
      <c r="K2017" t="e">
        <f>IF(COUNTIF(#REF!,Tabela2[[#This Row],[IdxWspolny]])&gt;0,"ELEM_lub_PRD","TECHN")</f>
        <v>#REF!</v>
      </c>
      <c r="L2017" t="e">
        <f>IF(COUNTIF(#REF!,Tabela2[[#This Row],[KOD_PRODUKTU]])&gt;0,"ELEMENT","PRODUKT")</f>
        <v>#REF!</v>
      </c>
      <c r="M2017" t="e">
        <f>COUNTIF(#REF!,Tabela2[[#This Row],[KOD_PRODUKTU]])</f>
        <v>#REF!</v>
      </c>
    </row>
    <row r="2018" spans="1:14" hidden="1" x14ac:dyDescent="0.25">
      <c r="A2018" s="1" t="s">
        <v>3380</v>
      </c>
      <c r="B2018" t="s">
        <v>3381</v>
      </c>
      <c r="C2018" s="1" t="s">
        <v>1091</v>
      </c>
      <c r="D2018" s="1" t="s">
        <v>1091</v>
      </c>
      <c r="E2018" s="1" t="s">
        <v>1091</v>
      </c>
      <c r="F2018" t="s">
        <v>1092</v>
      </c>
      <c r="G2018" t="s">
        <v>1093</v>
      </c>
      <c r="H2018" t="s">
        <v>121</v>
      </c>
      <c r="I2018" t="s">
        <v>50</v>
      </c>
      <c r="J2018">
        <v>20.45</v>
      </c>
      <c r="K2018" t="e">
        <f>IF(COUNTIF(#REF!,Tabela2[[#This Row],[IdxWspolny]])&gt;0,"ELEM_lub_PRD","TECHN")</f>
        <v>#REF!</v>
      </c>
      <c r="L2018" t="e">
        <f>IF(COUNTIF(#REF!,Tabela2[[#This Row],[KOD_PRODUKTU]])&gt;0,"ELEMENT","PRODUKT")</f>
        <v>#REF!</v>
      </c>
      <c r="M2018" t="e">
        <f>COUNTIF(#REF!,Tabela2[[#This Row],[KOD_PRODUKTU]])</f>
        <v>#REF!</v>
      </c>
      <c r="N2018" t="s">
        <v>55</v>
      </c>
    </row>
    <row r="2019" spans="1:14" x14ac:dyDescent="0.25">
      <c r="A2019" s="1" t="s">
        <v>3380</v>
      </c>
      <c r="B2019" t="s">
        <v>3381</v>
      </c>
      <c r="C2019" s="1" t="s">
        <v>7</v>
      </c>
      <c r="D2019" s="1" t="s">
        <v>7</v>
      </c>
      <c r="E2019" s="1" t="s">
        <v>7</v>
      </c>
      <c r="F2019" t="s">
        <v>8</v>
      </c>
      <c r="G2019" t="s">
        <v>9</v>
      </c>
      <c r="H2019" t="s">
        <v>10</v>
      </c>
      <c r="I2019" t="s">
        <v>3393</v>
      </c>
      <c r="J2019">
        <v>2.4300000000000002</v>
      </c>
      <c r="K2019" t="e">
        <f>IF(COUNTIF(#REF!,Tabela2[[#This Row],[IdxWspolny]])&gt;0,"ELEM_lub_PRD","TECHN")</f>
        <v>#REF!</v>
      </c>
      <c r="L2019" t="e">
        <f>IF(COUNTIF(#REF!,Tabela2[[#This Row],[KOD_PRODUKTU]])&gt;0,"ELEMENT","PRODUKT")</f>
        <v>#REF!</v>
      </c>
      <c r="M2019" t="e">
        <f>COUNTIF(#REF!,Tabela2[[#This Row],[KOD_PRODUKTU]])</f>
        <v>#REF!</v>
      </c>
    </row>
    <row r="2020" spans="1:14" x14ac:dyDescent="0.25">
      <c r="A2020" s="1" t="s">
        <v>3394</v>
      </c>
      <c r="B2020" t="s">
        <v>3395</v>
      </c>
      <c r="C2020" s="1" t="s">
        <v>1123</v>
      </c>
      <c r="D2020" s="1" t="s">
        <v>1123</v>
      </c>
      <c r="E2020" s="1" t="s">
        <v>1123</v>
      </c>
      <c r="F2020" t="s">
        <v>1124</v>
      </c>
      <c r="G2020" t="s">
        <v>70</v>
      </c>
      <c r="H2020" t="s">
        <v>5</v>
      </c>
      <c r="I2020" t="s">
        <v>3396</v>
      </c>
      <c r="J2020">
        <v>1.3</v>
      </c>
      <c r="K2020" t="e">
        <f>IF(COUNTIF(#REF!,Tabela2[[#This Row],[IdxWspolny]])&gt;0,"ELEM_lub_PRD","TECHN")</f>
        <v>#REF!</v>
      </c>
      <c r="L2020" t="e">
        <f>IF(COUNTIF(#REF!,Tabela2[[#This Row],[KOD_PRODUKTU]])&gt;0,"ELEMENT","PRODUKT")</f>
        <v>#REF!</v>
      </c>
      <c r="M2020" t="e">
        <f>COUNTIF(#REF!,Tabela2[[#This Row],[KOD_PRODUKTU]])</f>
        <v>#REF!</v>
      </c>
    </row>
    <row r="2021" spans="1:14" x14ac:dyDescent="0.25">
      <c r="A2021" s="1" t="s">
        <v>3394</v>
      </c>
      <c r="B2021" t="s">
        <v>3395</v>
      </c>
      <c r="C2021" s="1" t="s">
        <v>541</v>
      </c>
      <c r="D2021" s="1" t="s">
        <v>541</v>
      </c>
      <c r="E2021" s="1" t="s">
        <v>541</v>
      </c>
      <c r="F2021" t="s">
        <v>542</v>
      </c>
      <c r="G2021" t="s">
        <v>9</v>
      </c>
      <c r="H2021" t="s">
        <v>10</v>
      </c>
      <c r="I2021" t="s">
        <v>3397</v>
      </c>
      <c r="J2021">
        <v>5.96</v>
      </c>
      <c r="K2021" t="e">
        <f>IF(COUNTIF(#REF!,Tabela2[[#This Row],[IdxWspolny]])&gt;0,"ELEM_lub_PRD","TECHN")</f>
        <v>#REF!</v>
      </c>
      <c r="L2021" t="e">
        <f>IF(COUNTIF(#REF!,Tabela2[[#This Row],[KOD_PRODUKTU]])&gt;0,"ELEMENT","PRODUKT")</f>
        <v>#REF!</v>
      </c>
      <c r="M2021" t="e">
        <f>COUNTIF(#REF!,Tabela2[[#This Row],[KOD_PRODUKTU]])</f>
        <v>#REF!</v>
      </c>
    </row>
    <row r="2022" spans="1:14" x14ac:dyDescent="0.25">
      <c r="A2022" s="1" t="s">
        <v>3398</v>
      </c>
      <c r="B2022" t="s">
        <v>3399</v>
      </c>
      <c r="C2022" s="1" t="s">
        <v>1547</v>
      </c>
      <c r="D2022" s="1" t="s">
        <v>1547</v>
      </c>
      <c r="E2022" s="1" t="s">
        <v>1547</v>
      </c>
      <c r="F2022" t="s">
        <v>1548</v>
      </c>
      <c r="G2022" t="s">
        <v>216</v>
      </c>
      <c r="H2022" t="s">
        <v>5</v>
      </c>
      <c r="I2022" t="s">
        <v>3400</v>
      </c>
      <c r="J2022">
        <v>2.15</v>
      </c>
      <c r="K2022" t="e">
        <f>IF(COUNTIF(#REF!,Tabela2[[#This Row],[IdxWspolny]])&gt;0,"ELEM_lub_PRD","TECHN")</f>
        <v>#REF!</v>
      </c>
      <c r="L2022" t="e">
        <f>IF(COUNTIF(#REF!,Tabela2[[#This Row],[KOD_PRODUKTU]])&gt;0,"ELEMENT","PRODUKT")</f>
        <v>#REF!</v>
      </c>
      <c r="M2022" t="e">
        <f>COUNTIF(#REF!,Tabela2[[#This Row],[KOD_PRODUKTU]])</f>
        <v>#REF!</v>
      </c>
    </row>
    <row r="2023" spans="1:14" x14ac:dyDescent="0.25">
      <c r="A2023" s="1" t="s">
        <v>3398</v>
      </c>
      <c r="B2023" t="s">
        <v>3399</v>
      </c>
      <c r="C2023" s="1" t="s">
        <v>7</v>
      </c>
      <c r="D2023" s="1" t="s">
        <v>7</v>
      </c>
      <c r="E2023" s="1" t="s">
        <v>7</v>
      </c>
      <c r="F2023" t="s">
        <v>8</v>
      </c>
      <c r="G2023" t="s">
        <v>9</v>
      </c>
      <c r="H2023" t="s">
        <v>10</v>
      </c>
      <c r="I2023" t="s">
        <v>3401</v>
      </c>
      <c r="J2023">
        <v>5.91</v>
      </c>
      <c r="K2023" t="e">
        <f>IF(COUNTIF(#REF!,Tabela2[[#This Row],[IdxWspolny]])&gt;0,"ELEM_lub_PRD","TECHN")</f>
        <v>#REF!</v>
      </c>
      <c r="L2023" t="e">
        <f>IF(COUNTIF(#REF!,Tabela2[[#This Row],[KOD_PRODUKTU]])&gt;0,"ELEMENT","PRODUKT")</f>
        <v>#REF!</v>
      </c>
      <c r="M2023" t="e">
        <f>COUNTIF(#REF!,Tabela2[[#This Row],[KOD_PRODUKTU]])</f>
        <v>#REF!</v>
      </c>
    </row>
    <row r="2024" spans="1:14" x14ac:dyDescent="0.25">
      <c r="A2024" s="1" t="s">
        <v>3402</v>
      </c>
      <c r="B2024" t="s">
        <v>3403</v>
      </c>
      <c r="C2024" s="1" t="s">
        <v>1123</v>
      </c>
      <c r="D2024" s="1" t="s">
        <v>1123</v>
      </c>
      <c r="E2024" s="1" t="s">
        <v>1123</v>
      </c>
      <c r="F2024" t="s">
        <v>1124</v>
      </c>
      <c r="G2024" t="s">
        <v>70</v>
      </c>
      <c r="H2024" t="s">
        <v>5</v>
      </c>
      <c r="I2024" t="s">
        <v>3404</v>
      </c>
      <c r="J2024">
        <v>1.1000000000000001</v>
      </c>
      <c r="K2024" t="e">
        <f>IF(COUNTIF(#REF!,Tabela2[[#This Row],[IdxWspolny]])&gt;0,"ELEM_lub_PRD","TECHN")</f>
        <v>#REF!</v>
      </c>
      <c r="L2024" t="e">
        <f>IF(COUNTIF(#REF!,Tabela2[[#This Row],[KOD_PRODUKTU]])&gt;0,"ELEMENT","PRODUKT")</f>
        <v>#REF!</v>
      </c>
      <c r="M2024" t="e">
        <f>COUNTIF(#REF!,Tabela2[[#This Row],[KOD_PRODUKTU]])</f>
        <v>#REF!</v>
      </c>
    </row>
    <row r="2025" spans="1:14" x14ac:dyDescent="0.25">
      <c r="A2025" s="1" t="s">
        <v>3402</v>
      </c>
      <c r="B2025" t="s">
        <v>3403</v>
      </c>
      <c r="C2025" s="1" t="s">
        <v>7</v>
      </c>
      <c r="D2025" s="1" t="s">
        <v>7</v>
      </c>
      <c r="E2025" s="1" t="s">
        <v>7</v>
      </c>
      <c r="F2025" t="s">
        <v>8</v>
      </c>
      <c r="G2025" t="s">
        <v>9</v>
      </c>
      <c r="H2025" t="s">
        <v>10</v>
      </c>
      <c r="I2025" t="s">
        <v>3397</v>
      </c>
      <c r="J2025">
        <v>5.96</v>
      </c>
      <c r="K2025" t="e">
        <f>IF(COUNTIF(#REF!,Tabela2[[#This Row],[IdxWspolny]])&gt;0,"ELEM_lub_PRD","TECHN")</f>
        <v>#REF!</v>
      </c>
      <c r="L2025" t="e">
        <f>IF(COUNTIF(#REF!,Tabela2[[#This Row],[KOD_PRODUKTU]])&gt;0,"ELEMENT","PRODUKT")</f>
        <v>#REF!</v>
      </c>
      <c r="M2025" t="e">
        <f>COUNTIF(#REF!,Tabela2[[#This Row],[KOD_PRODUKTU]])</f>
        <v>#REF!</v>
      </c>
    </row>
    <row r="2026" spans="1:14" x14ac:dyDescent="0.25">
      <c r="A2026" s="1" t="s">
        <v>3405</v>
      </c>
      <c r="B2026" t="s">
        <v>3406</v>
      </c>
      <c r="C2026" s="1" t="s">
        <v>3407</v>
      </c>
      <c r="D2026" s="1" t="s">
        <v>3407</v>
      </c>
      <c r="E2026" s="1" t="s">
        <v>3407</v>
      </c>
      <c r="F2026" t="s">
        <v>3408</v>
      </c>
      <c r="G2026" t="s">
        <v>70</v>
      </c>
      <c r="H2026" t="s">
        <v>5</v>
      </c>
      <c r="I2026" t="s">
        <v>447</v>
      </c>
      <c r="J2026">
        <v>0.1</v>
      </c>
      <c r="K2026" t="e">
        <f>IF(COUNTIF(#REF!,Tabela2[[#This Row],[IdxWspolny]])&gt;0,"ELEM_lub_PRD","TECHN")</f>
        <v>#REF!</v>
      </c>
      <c r="L2026" t="e">
        <f>IF(COUNTIF(#REF!,Tabela2[[#This Row],[KOD_PRODUKTU]])&gt;0,"ELEMENT","PRODUKT")</f>
        <v>#REF!</v>
      </c>
      <c r="M2026" t="e">
        <f>COUNTIF(#REF!,Tabela2[[#This Row],[KOD_PRODUKTU]])</f>
        <v>#REF!</v>
      </c>
    </row>
    <row r="2027" spans="1:14" x14ac:dyDescent="0.25">
      <c r="A2027" s="1" t="s">
        <v>3405</v>
      </c>
      <c r="B2027" t="s">
        <v>3406</v>
      </c>
      <c r="C2027" s="1" t="s">
        <v>7</v>
      </c>
      <c r="D2027" s="1" t="s">
        <v>7</v>
      </c>
      <c r="E2027" s="1" t="s">
        <v>7</v>
      </c>
      <c r="F2027" t="s">
        <v>8</v>
      </c>
      <c r="G2027" t="s">
        <v>9</v>
      </c>
      <c r="H2027" t="s">
        <v>10</v>
      </c>
      <c r="I2027" t="s">
        <v>3409</v>
      </c>
      <c r="J2027">
        <v>5.91</v>
      </c>
      <c r="K2027" t="e">
        <f>IF(COUNTIF(#REF!,Tabela2[[#This Row],[IdxWspolny]])&gt;0,"ELEM_lub_PRD","TECHN")</f>
        <v>#REF!</v>
      </c>
      <c r="L2027" t="e">
        <f>IF(COUNTIF(#REF!,Tabela2[[#This Row],[KOD_PRODUKTU]])&gt;0,"ELEMENT","PRODUKT")</f>
        <v>#REF!</v>
      </c>
      <c r="M2027" t="e">
        <f>COUNTIF(#REF!,Tabela2[[#This Row],[KOD_PRODUKTU]])</f>
        <v>#REF!</v>
      </c>
    </row>
    <row r="2028" spans="1:14" x14ac:dyDescent="0.25">
      <c r="A2028" s="1" t="s">
        <v>3410</v>
      </c>
      <c r="B2028" t="s">
        <v>3411</v>
      </c>
      <c r="C2028" s="1" t="s">
        <v>29</v>
      </c>
      <c r="D2028" s="1" t="s">
        <v>29</v>
      </c>
      <c r="E2028" s="1" t="s">
        <v>29</v>
      </c>
      <c r="F2028" t="s">
        <v>30</v>
      </c>
      <c r="G2028" t="s">
        <v>31</v>
      </c>
      <c r="H2028" t="s">
        <v>5</v>
      </c>
      <c r="I2028" t="s">
        <v>32</v>
      </c>
      <c r="J2028">
        <v>0.75</v>
      </c>
      <c r="K2028" t="e">
        <f>IF(COUNTIF(#REF!,Tabela2[[#This Row],[IdxWspolny]])&gt;0,"ELEM_lub_PRD","TECHN")</f>
        <v>#REF!</v>
      </c>
      <c r="L2028" t="e">
        <f>IF(COUNTIF(#REF!,Tabela2[[#This Row],[KOD_PRODUKTU]])&gt;0,"ELEMENT","PRODUKT")</f>
        <v>#REF!</v>
      </c>
      <c r="M2028" t="e">
        <f>COUNTIF(#REF!,Tabela2[[#This Row],[KOD_PRODUKTU]])</f>
        <v>#REF!</v>
      </c>
    </row>
    <row r="2029" spans="1:14" x14ac:dyDescent="0.25">
      <c r="A2029" s="1" t="s">
        <v>3410</v>
      </c>
      <c r="B2029" t="s">
        <v>3411</v>
      </c>
      <c r="C2029" s="1" t="s">
        <v>7</v>
      </c>
      <c r="D2029" s="1" t="s">
        <v>7</v>
      </c>
      <c r="E2029" s="1" t="s">
        <v>7</v>
      </c>
      <c r="F2029" t="s">
        <v>8</v>
      </c>
      <c r="G2029" t="s">
        <v>9</v>
      </c>
      <c r="H2029" t="s">
        <v>10</v>
      </c>
      <c r="I2029" t="s">
        <v>3401</v>
      </c>
      <c r="J2029">
        <v>5.91</v>
      </c>
      <c r="K2029" t="e">
        <f>IF(COUNTIF(#REF!,Tabela2[[#This Row],[IdxWspolny]])&gt;0,"ELEM_lub_PRD","TECHN")</f>
        <v>#REF!</v>
      </c>
      <c r="L2029" t="e">
        <f>IF(COUNTIF(#REF!,Tabela2[[#This Row],[KOD_PRODUKTU]])&gt;0,"ELEMENT","PRODUKT")</f>
        <v>#REF!</v>
      </c>
      <c r="M2029" t="e">
        <f>COUNTIF(#REF!,Tabela2[[#This Row],[KOD_PRODUKTU]])</f>
        <v>#REF!</v>
      </c>
    </row>
    <row r="2030" spans="1:14" x14ac:dyDescent="0.25">
      <c r="A2030" s="1" t="s">
        <v>3412</v>
      </c>
      <c r="B2030" t="s">
        <v>3413</v>
      </c>
      <c r="C2030" s="1" t="s">
        <v>1487</v>
      </c>
      <c r="D2030" s="1" t="s">
        <v>1487</v>
      </c>
      <c r="E2030" s="1" t="s">
        <v>1487</v>
      </c>
      <c r="F2030" t="s">
        <v>1488</v>
      </c>
      <c r="G2030" t="s">
        <v>31</v>
      </c>
      <c r="H2030" t="s">
        <v>5</v>
      </c>
      <c r="I2030" t="s">
        <v>1851</v>
      </c>
      <c r="J2030">
        <v>4.45</v>
      </c>
      <c r="K2030" t="e">
        <f>IF(COUNTIF(#REF!,Tabela2[[#This Row],[IdxWspolny]])&gt;0,"ELEM_lub_PRD","TECHN")</f>
        <v>#REF!</v>
      </c>
      <c r="L2030" t="e">
        <f>IF(COUNTIF(#REF!,Tabela2[[#This Row],[KOD_PRODUKTU]])&gt;0,"ELEMENT","PRODUKT")</f>
        <v>#REF!</v>
      </c>
      <c r="M2030" t="e">
        <f>COUNTIF(#REF!,Tabela2[[#This Row],[KOD_PRODUKTU]])</f>
        <v>#REF!</v>
      </c>
    </row>
    <row r="2031" spans="1:14" x14ac:dyDescent="0.25">
      <c r="A2031" s="1" t="s">
        <v>3412</v>
      </c>
      <c r="B2031" t="s">
        <v>3413</v>
      </c>
      <c r="C2031" s="1" t="s">
        <v>432</v>
      </c>
      <c r="D2031" s="1" t="s">
        <v>432</v>
      </c>
      <c r="E2031" s="1" t="s">
        <v>432</v>
      </c>
      <c r="F2031" t="s">
        <v>433</v>
      </c>
      <c r="G2031" t="s">
        <v>434</v>
      </c>
      <c r="H2031" t="s">
        <v>435</v>
      </c>
      <c r="I2031" t="s">
        <v>50</v>
      </c>
      <c r="J2031">
        <v>1.1000000000000001</v>
      </c>
      <c r="K2031" t="e">
        <f>IF(COUNTIF(#REF!,Tabela2[[#This Row],[IdxWspolny]])&gt;0,"ELEM_lub_PRD","TECHN")</f>
        <v>#REF!</v>
      </c>
      <c r="L2031" t="e">
        <f>IF(COUNTIF(#REF!,Tabela2[[#This Row],[KOD_PRODUKTU]])&gt;0,"ELEMENT","PRODUKT")</f>
        <v>#REF!</v>
      </c>
      <c r="M2031" t="e">
        <f>COUNTIF(#REF!,Tabela2[[#This Row],[KOD_PRODUKTU]])</f>
        <v>#REF!</v>
      </c>
    </row>
    <row r="2032" spans="1:14" x14ac:dyDescent="0.25">
      <c r="A2032" s="1" t="s">
        <v>3412</v>
      </c>
      <c r="B2032" t="s">
        <v>3413</v>
      </c>
      <c r="C2032" s="1" t="s">
        <v>541</v>
      </c>
      <c r="D2032" s="1" t="s">
        <v>541</v>
      </c>
      <c r="E2032" s="1" t="s">
        <v>541</v>
      </c>
      <c r="F2032" t="s">
        <v>542</v>
      </c>
      <c r="G2032" t="s">
        <v>9</v>
      </c>
      <c r="H2032" t="s">
        <v>10</v>
      </c>
      <c r="I2032" t="s">
        <v>2537</v>
      </c>
      <c r="J2032">
        <v>7.19</v>
      </c>
      <c r="K2032" t="e">
        <f>IF(COUNTIF(#REF!,Tabela2[[#This Row],[IdxWspolny]])&gt;0,"ELEM_lub_PRD","TECHN")</f>
        <v>#REF!</v>
      </c>
      <c r="L2032" t="e">
        <f>IF(COUNTIF(#REF!,Tabela2[[#This Row],[KOD_PRODUKTU]])&gt;0,"ELEMENT","PRODUKT")</f>
        <v>#REF!</v>
      </c>
      <c r="M2032" t="e">
        <f>COUNTIF(#REF!,Tabela2[[#This Row],[KOD_PRODUKTU]])</f>
        <v>#REF!</v>
      </c>
    </row>
    <row r="2033" spans="1:13" x14ac:dyDescent="0.25">
      <c r="A2033" s="1" t="s">
        <v>3414</v>
      </c>
      <c r="B2033" t="s">
        <v>3415</v>
      </c>
      <c r="C2033" s="1" t="s">
        <v>2961</v>
      </c>
      <c r="D2033" s="1" t="s">
        <v>2961</v>
      </c>
      <c r="E2033" s="1" t="s">
        <v>2961</v>
      </c>
      <c r="F2033" t="s">
        <v>2962</v>
      </c>
      <c r="G2033" t="s">
        <v>2963</v>
      </c>
      <c r="H2033" t="s">
        <v>5</v>
      </c>
      <c r="I2033" t="s">
        <v>601</v>
      </c>
      <c r="J2033">
        <v>1.58</v>
      </c>
      <c r="K2033" t="e">
        <f>IF(COUNTIF(#REF!,Tabela2[[#This Row],[IdxWspolny]])&gt;0,"ELEM_lub_PRD","TECHN")</f>
        <v>#REF!</v>
      </c>
      <c r="L2033" t="e">
        <f>IF(COUNTIF(#REF!,Tabela2[[#This Row],[KOD_PRODUKTU]])&gt;0,"ELEMENT","PRODUKT")</f>
        <v>#REF!</v>
      </c>
      <c r="M2033" t="e">
        <f>COUNTIF(#REF!,Tabela2[[#This Row],[KOD_PRODUKTU]])</f>
        <v>#REF!</v>
      </c>
    </row>
    <row r="2034" spans="1:13" x14ac:dyDescent="0.25">
      <c r="A2034" s="1" t="s">
        <v>3414</v>
      </c>
      <c r="B2034" t="s">
        <v>3415</v>
      </c>
      <c r="C2034" s="1" t="s">
        <v>432</v>
      </c>
      <c r="D2034" s="1" t="s">
        <v>432</v>
      </c>
      <c r="E2034" s="1" t="s">
        <v>432</v>
      </c>
      <c r="F2034" t="s">
        <v>433</v>
      </c>
      <c r="G2034" t="s">
        <v>434</v>
      </c>
      <c r="H2034" t="s">
        <v>435</v>
      </c>
      <c r="I2034" t="s">
        <v>3416</v>
      </c>
      <c r="J2034">
        <v>1.34</v>
      </c>
      <c r="K2034" t="e">
        <f>IF(COUNTIF(#REF!,Tabela2[[#This Row],[IdxWspolny]])&gt;0,"ELEM_lub_PRD","TECHN")</f>
        <v>#REF!</v>
      </c>
      <c r="L2034" t="e">
        <f>IF(COUNTIF(#REF!,Tabela2[[#This Row],[KOD_PRODUKTU]])&gt;0,"ELEMENT","PRODUKT")</f>
        <v>#REF!</v>
      </c>
      <c r="M2034" t="e">
        <f>COUNTIF(#REF!,Tabela2[[#This Row],[KOD_PRODUKTU]])</f>
        <v>#REF!</v>
      </c>
    </row>
    <row r="2035" spans="1:13" x14ac:dyDescent="0.25">
      <c r="A2035" s="1" t="s">
        <v>3414</v>
      </c>
      <c r="B2035" t="s">
        <v>3415</v>
      </c>
      <c r="C2035" s="1" t="s">
        <v>541</v>
      </c>
      <c r="D2035" s="1" t="s">
        <v>541</v>
      </c>
      <c r="E2035" s="1" t="s">
        <v>541</v>
      </c>
      <c r="F2035" t="s">
        <v>542</v>
      </c>
      <c r="G2035" t="s">
        <v>9</v>
      </c>
      <c r="H2035" t="s">
        <v>10</v>
      </c>
      <c r="I2035" t="s">
        <v>3417</v>
      </c>
      <c r="J2035">
        <v>1.25</v>
      </c>
      <c r="K2035" t="e">
        <f>IF(COUNTIF(#REF!,Tabela2[[#This Row],[IdxWspolny]])&gt;0,"ELEM_lub_PRD","TECHN")</f>
        <v>#REF!</v>
      </c>
      <c r="L2035" t="e">
        <f>IF(COUNTIF(#REF!,Tabela2[[#This Row],[KOD_PRODUKTU]])&gt;0,"ELEMENT","PRODUKT")</f>
        <v>#REF!</v>
      </c>
      <c r="M2035" t="e">
        <f>COUNTIF(#REF!,Tabela2[[#This Row],[KOD_PRODUKTU]])</f>
        <v>#REF!</v>
      </c>
    </row>
    <row r="2036" spans="1:13" x14ac:dyDescent="0.25">
      <c r="A2036" s="1" t="s">
        <v>3418</v>
      </c>
      <c r="B2036" t="s">
        <v>3419</v>
      </c>
      <c r="C2036" s="1" t="s">
        <v>1367</v>
      </c>
      <c r="D2036" s="1" t="s">
        <v>1367</v>
      </c>
      <c r="E2036" s="1" t="s">
        <v>1367</v>
      </c>
      <c r="F2036" t="s">
        <v>1368</v>
      </c>
      <c r="G2036" t="s">
        <v>1347</v>
      </c>
      <c r="H2036" t="s">
        <v>121</v>
      </c>
      <c r="I2036" t="s">
        <v>3420</v>
      </c>
      <c r="J2036">
        <v>0.08</v>
      </c>
      <c r="K2036" t="e">
        <f>IF(COUNTIF(#REF!,Tabela2[[#This Row],[IdxWspolny]])&gt;0,"ELEM_lub_PRD","TECHN")</f>
        <v>#REF!</v>
      </c>
      <c r="L2036" t="e">
        <f>IF(COUNTIF(#REF!,Tabela2[[#This Row],[KOD_PRODUKTU]])&gt;0,"ELEMENT","PRODUKT")</f>
        <v>#REF!</v>
      </c>
      <c r="M2036" t="e">
        <f>COUNTIF(#REF!,Tabela2[[#This Row],[KOD_PRODUKTU]])</f>
        <v>#REF!</v>
      </c>
    </row>
    <row r="2037" spans="1:13" x14ac:dyDescent="0.25">
      <c r="A2037" s="1" t="s">
        <v>3418</v>
      </c>
      <c r="B2037" t="s">
        <v>3419</v>
      </c>
      <c r="C2037" s="1" t="s">
        <v>7</v>
      </c>
      <c r="D2037" s="1" t="s">
        <v>7</v>
      </c>
      <c r="E2037" s="1" t="s">
        <v>7</v>
      </c>
      <c r="F2037" t="s">
        <v>8</v>
      </c>
      <c r="G2037" t="s">
        <v>9</v>
      </c>
      <c r="H2037" t="s">
        <v>10</v>
      </c>
      <c r="I2037" t="s">
        <v>3421</v>
      </c>
      <c r="J2037">
        <v>1.1200000000000001</v>
      </c>
      <c r="K2037" t="e">
        <f>IF(COUNTIF(#REF!,Tabela2[[#This Row],[IdxWspolny]])&gt;0,"ELEM_lub_PRD","TECHN")</f>
        <v>#REF!</v>
      </c>
      <c r="L2037" t="e">
        <f>IF(COUNTIF(#REF!,Tabela2[[#This Row],[KOD_PRODUKTU]])&gt;0,"ELEMENT","PRODUKT")</f>
        <v>#REF!</v>
      </c>
      <c r="M2037" t="e">
        <f>COUNTIF(#REF!,Tabela2[[#This Row],[KOD_PRODUKTU]])</f>
        <v>#REF!</v>
      </c>
    </row>
    <row r="2038" spans="1:13" x14ac:dyDescent="0.25">
      <c r="A2038" s="1" t="s">
        <v>3422</v>
      </c>
      <c r="B2038" t="s">
        <v>3423</v>
      </c>
      <c r="C2038" s="1" t="s">
        <v>1367</v>
      </c>
      <c r="D2038" s="1" t="s">
        <v>1367</v>
      </c>
      <c r="E2038" s="1" t="s">
        <v>1367</v>
      </c>
      <c r="F2038" t="s">
        <v>1368</v>
      </c>
      <c r="G2038" t="s">
        <v>1347</v>
      </c>
      <c r="H2038" t="s">
        <v>121</v>
      </c>
      <c r="I2038" t="s">
        <v>3424</v>
      </c>
      <c r="J2038">
        <v>0.03</v>
      </c>
      <c r="K2038" t="e">
        <f>IF(COUNTIF(#REF!,Tabela2[[#This Row],[IdxWspolny]])&gt;0,"ELEM_lub_PRD","TECHN")</f>
        <v>#REF!</v>
      </c>
      <c r="L2038" t="e">
        <f>IF(COUNTIF(#REF!,Tabela2[[#This Row],[KOD_PRODUKTU]])&gt;0,"ELEMENT","PRODUKT")</f>
        <v>#REF!</v>
      </c>
      <c r="M2038" t="e">
        <f>COUNTIF(#REF!,Tabela2[[#This Row],[KOD_PRODUKTU]])</f>
        <v>#REF!</v>
      </c>
    </row>
    <row r="2039" spans="1:13" x14ac:dyDescent="0.25">
      <c r="A2039" s="1" t="s">
        <v>3422</v>
      </c>
      <c r="B2039" t="s">
        <v>3423</v>
      </c>
      <c r="C2039" s="1" t="s">
        <v>541</v>
      </c>
      <c r="D2039" s="1" t="s">
        <v>541</v>
      </c>
      <c r="E2039" s="1" t="s">
        <v>541</v>
      </c>
      <c r="F2039" t="s">
        <v>542</v>
      </c>
      <c r="G2039" t="s">
        <v>9</v>
      </c>
      <c r="H2039" t="s">
        <v>10</v>
      </c>
      <c r="I2039" t="s">
        <v>1371</v>
      </c>
      <c r="J2039">
        <v>1.1499999999999999</v>
      </c>
      <c r="K2039" t="e">
        <f>IF(COUNTIF(#REF!,Tabela2[[#This Row],[IdxWspolny]])&gt;0,"ELEM_lub_PRD","TECHN")</f>
        <v>#REF!</v>
      </c>
      <c r="L2039" t="e">
        <f>IF(COUNTIF(#REF!,Tabela2[[#This Row],[KOD_PRODUKTU]])&gt;0,"ELEMENT","PRODUKT")</f>
        <v>#REF!</v>
      </c>
      <c r="M2039" t="e">
        <f>COUNTIF(#REF!,Tabela2[[#This Row],[KOD_PRODUKTU]])</f>
        <v>#REF!</v>
      </c>
    </row>
    <row r="2040" spans="1:13" x14ac:dyDescent="0.25">
      <c r="A2040" s="1" t="s">
        <v>3425</v>
      </c>
      <c r="B2040" t="s">
        <v>3426</v>
      </c>
      <c r="C2040" s="1" t="s">
        <v>1785</v>
      </c>
      <c r="D2040" s="1" t="s">
        <v>1785</v>
      </c>
      <c r="E2040" s="1" t="s">
        <v>1785</v>
      </c>
      <c r="F2040" t="s">
        <v>1786</v>
      </c>
      <c r="G2040" t="s">
        <v>216</v>
      </c>
      <c r="H2040" t="s">
        <v>5</v>
      </c>
      <c r="I2040" t="s">
        <v>3427</v>
      </c>
      <c r="J2040">
        <v>1.47</v>
      </c>
      <c r="K2040" t="e">
        <f>IF(COUNTIF(#REF!,Tabela2[[#This Row],[IdxWspolny]])&gt;0,"ELEM_lub_PRD","TECHN")</f>
        <v>#REF!</v>
      </c>
      <c r="L2040" t="e">
        <f>IF(COUNTIF(#REF!,Tabela2[[#This Row],[KOD_PRODUKTU]])&gt;0,"ELEMENT","PRODUKT")</f>
        <v>#REF!</v>
      </c>
      <c r="M2040" t="e">
        <f>COUNTIF(#REF!,Tabela2[[#This Row],[KOD_PRODUKTU]])</f>
        <v>#REF!</v>
      </c>
    </row>
    <row r="2041" spans="1:13" x14ac:dyDescent="0.25">
      <c r="A2041" s="1" t="s">
        <v>3425</v>
      </c>
      <c r="B2041" t="s">
        <v>3426</v>
      </c>
      <c r="C2041" s="1" t="s">
        <v>541</v>
      </c>
      <c r="D2041" s="1" t="s">
        <v>541</v>
      </c>
      <c r="E2041" s="1" t="s">
        <v>541</v>
      </c>
      <c r="F2041" t="s">
        <v>542</v>
      </c>
      <c r="G2041" t="s">
        <v>9</v>
      </c>
      <c r="H2041" t="s">
        <v>10</v>
      </c>
      <c r="I2041" t="s">
        <v>3428</v>
      </c>
      <c r="J2041">
        <v>6.51</v>
      </c>
      <c r="K2041" t="e">
        <f>IF(COUNTIF(#REF!,Tabela2[[#This Row],[IdxWspolny]])&gt;0,"ELEM_lub_PRD","TECHN")</f>
        <v>#REF!</v>
      </c>
      <c r="L2041" t="e">
        <f>IF(COUNTIF(#REF!,Tabela2[[#This Row],[KOD_PRODUKTU]])&gt;0,"ELEMENT","PRODUKT")</f>
        <v>#REF!</v>
      </c>
      <c r="M2041" t="e">
        <f>COUNTIF(#REF!,Tabela2[[#This Row],[KOD_PRODUKTU]])</f>
        <v>#REF!</v>
      </c>
    </row>
    <row r="2042" spans="1:13" x14ac:dyDescent="0.25">
      <c r="A2042" s="1" t="s">
        <v>3429</v>
      </c>
      <c r="B2042" t="s">
        <v>3430</v>
      </c>
      <c r="C2042" s="1" t="s">
        <v>3431</v>
      </c>
      <c r="D2042" s="1" t="s">
        <v>3431</v>
      </c>
      <c r="E2042" s="1" t="s">
        <v>3431</v>
      </c>
      <c r="F2042" t="s">
        <v>3432</v>
      </c>
      <c r="G2042" t="s">
        <v>1354</v>
      </c>
      <c r="H2042" t="s">
        <v>5</v>
      </c>
      <c r="I2042" t="s">
        <v>3433</v>
      </c>
      <c r="J2042">
        <v>1.18</v>
      </c>
      <c r="K2042" t="e">
        <f>IF(COUNTIF(#REF!,Tabela2[[#This Row],[IdxWspolny]])&gt;0,"ELEM_lub_PRD","TECHN")</f>
        <v>#REF!</v>
      </c>
      <c r="L2042" t="e">
        <f>IF(COUNTIF(#REF!,Tabela2[[#This Row],[KOD_PRODUKTU]])&gt;0,"ELEMENT","PRODUKT")</f>
        <v>#REF!</v>
      </c>
      <c r="M2042" t="e">
        <f>COUNTIF(#REF!,Tabela2[[#This Row],[KOD_PRODUKTU]])</f>
        <v>#REF!</v>
      </c>
    </row>
    <row r="2043" spans="1:13" x14ac:dyDescent="0.25">
      <c r="A2043" s="1" t="s">
        <v>3429</v>
      </c>
      <c r="B2043" t="s">
        <v>3430</v>
      </c>
      <c r="C2043" s="1" t="s">
        <v>7</v>
      </c>
      <c r="D2043" s="1" t="s">
        <v>7</v>
      </c>
      <c r="E2043" s="1" t="s">
        <v>7</v>
      </c>
      <c r="F2043" t="s">
        <v>8</v>
      </c>
      <c r="G2043" t="s">
        <v>9</v>
      </c>
      <c r="H2043" t="s">
        <v>10</v>
      </c>
      <c r="I2043" t="s">
        <v>3434</v>
      </c>
      <c r="J2043">
        <v>8.5399999999999991</v>
      </c>
      <c r="K2043" t="e">
        <f>IF(COUNTIF(#REF!,Tabela2[[#This Row],[IdxWspolny]])&gt;0,"ELEM_lub_PRD","TECHN")</f>
        <v>#REF!</v>
      </c>
      <c r="L2043" t="e">
        <f>IF(COUNTIF(#REF!,Tabela2[[#This Row],[KOD_PRODUKTU]])&gt;0,"ELEMENT","PRODUKT")</f>
        <v>#REF!</v>
      </c>
      <c r="M2043" t="e">
        <f>COUNTIF(#REF!,Tabela2[[#This Row],[KOD_PRODUKTU]])</f>
        <v>#REF!</v>
      </c>
    </row>
    <row r="2044" spans="1:13" x14ac:dyDescent="0.25">
      <c r="A2044" s="1" t="s">
        <v>3435</v>
      </c>
      <c r="B2044" t="s">
        <v>3436</v>
      </c>
      <c r="C2044" s="1" t="s">
        <v>2161</v>
      </c>
      <c r="D2044" s="1" t="s">
        <v>2161</v>
      </c>
      <c r="E2044" s="1" t="s">
        <v>2161</v>
      </c>
      <c r="F2044" t="s">
        <v>2162</v>
      </c>
      <c r="G2044" t="s">
        <v>1354</v>
      </c>
      <c r="H2044" t="s">
        <v>5</v>
      </c>
      <c r="I2044" t="s">
        <v>3437</v>
      </c>
      <c r="J2044">
        <v>0.1</v>
      </c>
      <c r="K2044" t="e">
        <f>IF(COUNTIF(#REF!,Tabela2[[#This Row],[IdxWspolny]])&gt;0,"ELEM_lub_PRD","TECHN")</f>
        <v>#REF!</v>
      </c>
      <c r="L2044" t="e">
        <f>IF(COUNTIF(#REF!,Tabela2[[#This Row],[KOD_PRODUKTU]])&gt;0,"ELEMENT","PRODUKT")</f>
        <v>#REF!</v>
      </c>
      <c r="M2044" t="e">
        <f>COUNTIF(#REF!,Tabela2[[#This Row],[KOD_PRODUKTU]])</f>
        <v>#REF!</v>
      </c>
    </row>
    <row r="2045" spans="1:13" x14ac:dyDescent="0.25">
      <c r="A2045" s="1" t="s">
        <v>3435</v>
      </c>
      <c r="B2045" t="s">
        <v>3436</v>
      </c>
      <c r="C2045" s="1" t="s">
        <v>7</v>
      </c>
      <c r="D2045" s="1" t="s">
        <v>7</v>
      </c>
      <c r="E2045" s="1" t="s">
        <v>7</v>
      </c>
      <c r="F2045" t="s">
        <v>8</v>
      </c>
      <c r="G2045" t="s">
        <v>9</v>
      </c>
      <c r="H2045" t="s">
        <v>10</v>
      </c>
      <c r="I2045" t="s">
        <v>3438</v>
      </c>
      <c r="J2045">
        <v>1.8</v>
      </c>
      <c r="K2045" t="e">
        <f>IF(COUNTIF(#REF!,Tabela2[[#This Row],[IdxWspolny]])&gt;0,"ELEM_lub_PRD","TECHN")</f>
        <v>#REF!</v>
      </c>
      <c r="L2045" t="e">
        <f>IF(COUNTIF(#REF!,Tabela2[[#This Row],[KOD_PRODUKTU]])&gt;0,"ELEMENT","PRODUKT")</f>
        <v>#REF!</v>
      </c>
      <c r="M2045" t="e">
        <f>COUNTIF(#REF!,Tabela2[[#This Row],[KOD_PRODUKTU]])</f>
        <v>#REF!</v>
      </c>
    </row>
    <row r="2046" spans="1:13" x14ac:dyDescent="0.25">
      <c r="A2046" s="1" t="s">
        <v>3439</v>
      </c>
      <c r="B2046" t="s">
        <v>3440</v>
      </c>
      <c r="C2046" s="1" t="s">
        <v>1345</v>
      </c>
      <c r="D2046" s="1" t="s">
        <v>1345</v>
      </c>
      <c r="E2046" s="1" t="s">
        <v>1345</v>
      </c>
      <c r="F2046" t="s">
        <v>1346</v>
      </c>
      <c r="G2046" t="s">
        <v>1347</v>
      </c>
      <c r="H2046" t="s">
        <v>5</v>
      </c>
      <c r="I2046" t="s">
        <v>3441</v>
      </c>
      <c r="J2046">
        <v>7.0000000000000007E-2</v>
      </c>
      <c r="K2046" t="e">
        <f>IF(COUNTIF(#REF!,Tabela2[[#This Row],[IdxWspolny]])&gt;0,"ELEM_lub_PRD","TECHN")</f>
        <v>#REF!</v>
      </c>
      <c r="L2046" t="e">
        <f>IF(COUNTIF(#REF!,Tabela2[[#This Row],[KOD_PRODUKTU]])&gt;0,"ELEMENT","PRODUKT")</f>
        <v>#REF!</v>
      </c>
      <c r="M2046" t="e">
        <f>COUNTIF(#REF!,Tabela2[[#This Row],[KOD_PRODUKTU]])</f>
        <v>#REF!</v>
      </c>
    </row>
    <row r="2047" spans="1:13" x14ac:dyDescent="0.25">
      <c r="A2047" s="1" t="s">
        <v>3439</v>
      </c>
      <c r="B2047" t="s">
        <v>3440</v>
      </c>
      <c r="C2047" s="1" t="s">
        <v>7</v>
      </c>
      <c r="D2047" s="1" t="s">
        <v>7</v>
      </c>
      <c r="E2047" s="1" t="s">
        <v>7</v>
      </c>
      <c r="F2047" t="s">
        <v>8</v>
      </c>
      <c r="G2047" t="s">
        <v>9</v>
      </c>
      <c r="H2047" t="s">
        <v>10</v>
      </c>
      <c r="I2047" t="s">
        <v>40</v>
      </c>
      <c r="J2047">
        <v>0.46</v>
      </c>
      <c r="K2047" t="e">
        <f>IF(COUNTIF(#REF!,Tabela2[[#This Row],[IdxWspolny]])&gt;0,"ELEM_lub_PRD","TECHN")</f>
        <v>#REF!</v>
      </c>
      <c r="L2047" t="e">
        <f>IF(COUNTIF(#REF!,Tabela2[[#This Row],[KOD_PRODUKTU]])&gt;0,"ELEMENT","PRODUKT")</f>
        <v>#REF!</v>
      </c>
      <c r="M2047" t="e">
        <f>COUNTIF(#REF!,Tabela2[[#This Row],[KOD_PRODUKTU]])</f>
        <v>#REF!</v>
      </c>
    </row>
    <row r="2048" spans="1:13" x14ac:dyDescent="0.25">
      <c r="A2048" s="1" t="s">
        <v>3442</v>
      </c>
      <c r="B2048" t="s">
        <v>3443</v>
      </c>
      <c r="C2048" s="1" t="s">
        <v>1345</v>
      </c>
      <c r="D2048" s="1" t="s">
        <v>1345</v>
      </c>
      <c r="E2048" s="1" t="s">
        <v>1345</v>
      </c>
      <c r="F2048" t="s">
        <v>1346</v>
      </c>
      <c r="G2048" t="s">
        <v>1347</v>
      </c>
      <c r="H2048" t="s">
        <v>5</v>
      </c>
      <c r="I2048" t="s">
        <v>3441</v>
      </c>
      <c r="J2048">
        <v>7.0000000000000007E-2</v>
      </c>
      <c r="K2048" t="e">
        <f>IF(COUNTIF(#REF!,Tabela2[[#This Row],[IdxWspolny]])&gt;0,"ELEM_lub_PRD","TECHN")</f>
        <v>#REF!</v>
      </c>
      <c r="L2048" t="e">
        <f>IF(COUNTIF(#REF!,Tabela2[[#This Row],[KOD_PRODUKTU]])&gt;0,"ELEMENT","PRODUKT")</f>
        <v>#REF!</v>
      </c>
      <c r="M2048" t="e">
        <f>COUNTIF(#REF!,Tabela2[[#This Row],[KOD_PRODUKTU]])</f>
        <v>#REF!</v>
      </c>
    </row>
    <row r="2049" spans="1:13" x14ac:dyDescent="0.25">
      <c r="A2049" s="1" t="s">
        <v>3442</v>
      </c>
      <c r="B2049" t="s">
        <v>3443</v>
      </c>
      <c r="C2049" s="1" t="s">
        <v>7</v>
      </c>
      <c r="D2049" s="1" t="s">
        <v>7</v>
      </c>
      <c r="E2049" s="1" t="s">
        <v>7</v>
      </c>
      <c r="F2049" t="s">
        <v>8</v>
      </c>
      <c r="G2049" t="s">
        <v>9</v>
      </c>
      <c r="H2049" t="s">
        <v>10</v>
      </c>
      <c r="I2049" t="s">
        <v>40</v>
      </c>
      <c r="J2049">
        <v>0.46</v>
      </c>
      <c r="K2049" t="e">
        <f>IF(COUNTIF(#REF!,Tabela2[[#This Row],[IdxWspolny]])&gt;0,"ELEM_lub_PRD","TECHN")</f>
        <v>#REF!</v>
      </c>
      <c r="L2049" t="e">
        <f>IF(COUNTIF(#REF!,Tabela2[[#This Row],[KOD_PRODUKTU]])&gt;0,"ELEMENT","PRODUKT")</f>
        <v>#REF!</v>
      </c>
      <c r="M2049" t="e">
        <f>COUNTIF(#REF!,Tabela2[[#This Row],[KOD_PRODUKTU]])</f>
        <v>#REF!</v>
      </c>
    </row>
    <row r="2050" spans="1:13" x14ac:dyDescent="0.25">
      <c r="A2050" s="1" t="s">
        <v>3444</v>
      </c>
      <c r="B2050" t="s">
        <v>3445</v>
      </c>
      <c r="C2050" s="1" t="s">
        <v>2458</v>
      </c>
      <c r="D2050" s="1" t="s">
        <v>2458</v>
      </c>
      <c r="E2050" s="1" t="s">
        <v>2458</v>
      </c>
      <c r="F2050" t="s">
        <v>2459</v>
      </c>
      <c r="G2050" t="s">
        <v>384</v>
      </c>
      <c r="H2050" t="s">
        <v>5</v>
      </c>
      <c r="I2050" t="s">
        <v>3270</v>
      </c>
      <c r="J2050">
        <v>2.7</v>
      </c>
      <c r="K2050" t="e">
        <f>IF(COUNTIF(#REF!,Tabela2[[#This Row],[IdxWspolny]])&gt;0,"ELEM_lub_PRD","TECHN")</f>
        <v>#REF!</v>
      </c>
      <c r="L2050" t="e">
        <f>IF(COUNTIF(#REF!,Tabela2[[#This Row],[KOD_PRODUKTU]])&gt;0,"ELEMENT","PRODUKT")</f>
        <v>#REF!</v>
      </c>
      <c r="M2050" t="e">
        <f>COUNTIF(#REF!,Tabela2[[#This Row],[KOD_PRODUKTU]])</f>
        <v>#REF!</v>
      </c>
    </row>
    <row r="2051" spans="1:13" x14ac:dyDescent="0.25">
      <c r="A2051" s="1" t="s">
        <v>3444</v>
      </c>
      <c r="B2051" t="s">
        <v>3445</v>
      </c>
      <c r="C2051" s="1" t="s">
        <v>432</v>
      </c>
      <c r="D2051" s="1" t="s">
        <v>432</v>
      </c>
      <c r="E2051" s="1" t="s">
        <v>432</v>
      </c>
      <c r="F2051" t="s">
        <v>433</v>
      </c>
      <c r="G2051" t="s">
        <v>434</v>
      </c>
      <c r="H2051" t="s">
        <v>435</v>
      </c>
      <c r="I2051" t="s">
        <v>50</v>
      </c>
      <c r="J2051">
        <v>1.1000000000000001</v>
      </c>
      <c r="K2051" t="e">
        <f>IF(COUNTIF(#REF!,Tabela2[[#This Row],[IdxWspolny]])&gt;0,"ELEM_lub_PRD","TECHN")</f>
        <v>#REF!</v>
      </c>
      <c r="L2051" t="e">
        <f>IF(COUNTIF(#REF!,Tabela2[[#This Row],[KOD_PRODUKTU]])&gt;0,"ELEMENT","PRODUKT")</f>
        <v>#REF!</v>
      </c>
      <c r="M2051" t="e">
        <f>COUNTIF(#REF!,Tabela2[[#This Row],[KOD_PRODUKTU]])</f>
        <v>#REF!</v>
      </c>
    </row>
    <row r="2052" spans="1:13" x14ac:dyDescent="0.25">
      <c r="A2052" s="1" t="s">
        <v>3444</v>
      </c>
      <c r="B2052" t="s">
        <v>3445</v>
      </c>
      <c r="C2052" s="1" t="s">
        <v>541</v>
      </c>
      <c r="D2052" s="1" t="s">
        <v>541</v>
      </c>
      <c r="E2052" s="1" t="s">
        <v>541</v>
      </c>
      <c r="F2052" t="s">
        <v>542</v>
      </c>
      <c r="G2052" t="s">
        <v>9</v>
      </c>
      <c r="H2052" t="s">
        <v>10</v>
      </c>
      <c r="I2052" t="s">
        <v>3446</v>
      </c>
      <c r="J2052">
        <v>4.91</v>
      </c>
      <c r="K2052" t="e">
        <f>IF(COUNTIF(#REF!,Tabela2[[#This Row],[IdxWspolny]])&gt;0,"ELEM_lub_PRD","TECHN")</f>
        <v>#REF!</v>
      </c>
      <c r="L2052" t="e">
        <f>IF(COUNTIF(#REF!,Tabela2[[#This Row],[KOD_PRODUKTU]])&gt;0,"ELEMENT","PRODUKT")</f>
        <v>#REF!</v>
      </c>
      <c r="M2052" t="e">
        <f>COUNTIF(#REF!,Tabela2[[#This Row],[KOD_PRODUKTU]])</f>
        <v>#REF!</v>
      </c>
    </row>
    <row r="2053" spans="1:13" x14ac:dyDescent="0.25">
      <c r="A2053" s="1" t="s">
        <v>3447</v>
      </c>
      <c r="B2053" t="s">
        <v>3448</v>
      </c>
      <c r="C2053" s="1" t="s">
        <v>3449</v>
      </c>
      <c r="D2053" s="1" t="s">
        <v>3449</v>
      </c>
      <c r="E2053" s="1" t="s">
        <v>3449</v>
      </c>
      <c r="F2053" t="s">
        <v>3450</v>
      </c>
      <c r="G2053" t="s">
        <v>3451</v>
      </c>
      <c r="H2053" t="s">
        <v>17</v>
      </c>
      <c r="I2053" t="s">
        <v>33</v>
      </c>
      <c r="J2053">
        <v>1.74</v>
      </c>
      <c r="K2053" t="e">
        <f>IF(COUNTIF(#REF!,Tabela2[[#This Row],[IdxWspolny]])&gt;0,"ELEM_lub_PRD","TECHN")</f>
        <v>#REF!</v>
      </c>
      <c r="L2053" t="e">
        <f>IF(COUNTIF(#REF!,Tabela2[[#This Row],[KOD_PRODUKTU]])&gt;0,"ELEMENT","PRODUKT")</f>
        <v>#REF!</v>
      </c>
      <c r="M2053" t="e">
        <f>COUNTIF(#REF!,Tabela2[[#This Row],[KOD_PRODUKTU]])</f>
        <v>#REF!</v>
      </c>
    </row>
    <row r="2054" spans="1:13" x14ac:dyDescent="0.25">
      <c r="A2054" s="1" t="s">
        <v>3447</v>
      </c>
      <c r="B2054" t="s">
        <v>3448</v>
      </c>
      <c r="C2054" s="1" t="s">
        <v>2765</v>
      </c>
      <c r="D2054" s="1" t="s">
        <v>2765</v>
      </c>
      <c r="E2054" s="1" t="s">
        <v>2765</v>
      </c>
      <c r="F2054" t="s">
        <v>2766</v>
      </c>
      <c r="G2054" t="s">
        <v>2767</v>
      </c>
      <c r="H2054" t="s">
        <v>121</v>
      </c>
      <c r="I2054" t="s">
        <v>50</v>
      </c>
      <c r="J2054">
        <v>349</v>
      </c>
      <c r="K2054" t="e">
        <f>IF(COUNTIF(#REF!,Tabela2[[#This Row],[IdxWspolny]])&gt;0,"ELEM_lub_PRD","TECHN")</f>
        <v>#REF!</v>
      </c>
      <c r="L2054" t="e">
        <f>IF(COUNTIF(#REF!,Tabela2[[#This Row],[KOD_PRODUKTU]])&gt;0,"ELEMENT","PRODUKT")</f>
        <v>#REF!</v>
      </c>
      <c r="M2054" t="e">
        <f>COUNTIF(#REF!,Tabela2[[#This Row],[KOD_PRODUKTU]])</f>
        <v>#REF!</v>
      </c>
    </row>
    <row r="2055" spans="1:13" x14ac:dyDescent="0.25">
      <c r="A2055" s="1" t="s">
        <v>3447</v>
      </c>
      <c r="B2055" t="s">
        <v>3448</v>
      </c>
      <c r="C2055" s="1" t="s">
        <v>3452</v>
      </c>
      <c r="D2055" s="1" t="s">
        <v>3452</v>
      </c>
      <c r="E2055" s="1" t="s">
        <v>3452</v>
      </c>
      <c r="F2055" t="s">
        <v>3453</v>
      </c>
      <c r="G2055" t="s">
        <v>1588</v>
      </c>
      <c r="H2055" t="s">
        <v>39</v>
      </c>
      <c r="I2055" t="s">
        <v>478</v>
      </c>
      <c r="J2055">
        <v>1.56</v>
      </c>
      <c r="K2055" t="e">
        <f>IF(COUNTIF(#REF!,Tabela2[[#This Row],[IdxWspolny]])&gt;0,"ELEM_lub_PRD","TECHN")</f>
        <v>#REF!</v>
      </c>
      <c r="L2055" t="e">
        <f>IF(COUNTIF(#REF!,Tabela2[[#This Row],[KOD_PRODUKTU]])&gt;0,"ELEMENT","PRODUKT")</f>
        <v>#REF!</v>
      </c>
      <c r="M2055" t="e">
        <f>COUNTIF(#REF!,Tabela2[[#This Row],[KOD_PRODUKTU]])</f>
        <v>#REF!</v>
      </c>
    </row>
    <row r="2056" spans="1:13" x14ac:dyDescent="0.25">
      <c r="A2056" s="1" t="s">
        <v>3447</v>
      </c>
      <c r="B2056" t="s">
        <v>3448</v>
      </c>
      <c r="C2056" s="1" t="s">
        <v>2835</v>
      </c>
      <c r="D2056" s="1" t="s">
        <v>2835</v>
      </c>
      <c r="E2056" s="1" t="s">
        <v>2835</v>
      </c>
      <c r="F2056" t="s">
        <v>2836</v>
      </c>
      <c r="G2056" t="s">
        <v>2837</v>
      </c>
      <c r="H2056" t="s">
        <v>5</v>
      </c>
      <c r="I2056" t="s">
        <v>3454</v>
      </c>
      <c r="J2056">
        <v>1.89</v>
      </c>
      <c r="K2056" t="e">
        <f>IF(COUNTIF(#REF!,Tabela2[[#This Row],[IdxWspolny]])&gt;0,"ELEM_lub_PRD","TECHN")</f>
        <v>#REF!</v>
      </c>
      <c r="L2056" t="e">
        <f>IF(COUNTIF(#REF!,Tabela2[[#This Row],[KOD_PRODUKTU]])&gt;0,"ELEMENT","PRODUKT")</f>
        <v>#REF!</v>
      </c>
      <c r="M2056" t="e">
        <f>COUNTIF(#REF!,Tabela2[[#This Row],[KOD_PRODUKTU]])</f>
        <v>#REF!</v>
      </c>
    </row>
    <row r="2057" spans="1:13" x14ac:dyDescent="0.25">
      <c r="A2057" s="1" t="s">
        <v>3447</v>
      </c>
      <c r="B2057" t="s">
        <v>3448</v>
      </c>
      <c r="C2057" s="1" t="s">
        <v>2839</v>
      </c>
      <c r="D2057" s="1" t="s">
        <v>2839</v>
      </c>
      <c r="E2057" s="1" t="s">
        <v>2839</v>
      </c>
      <c r="F2057" t="s">
        <v>2840</v>
      </c>
      <c r="G2057" t="s">
        <v>2841</v>
      </c>
      <c r="H2057" t="s">
        <v>5</v>
      </c>
      <c r="I2057" t="s">
        <v>3455</v>
      </c>
      <c r="J2057">
        <v>1</v>
      </c>
      <c r="K2057" t="e">
        <f>IF(COUNTIF(#REF!,Tabela2[[#This Row],[IdxWspolny]])&gt;0,"ELEM_lub_PRD","TECHN")</f>
        <v>#REF!</v>
      </c>
      <c r="L2057" t="e">
        <f>IF(COUNTIF(#REF!,Tabela2[[#This Row],[KOD_PRODUKTU]])&gt;0,"ELEMENT","PRODUKT")</f>
        <v>#REF!</v>
      </c>
      <c r="M2057" t="e">
        <f>COUNTIF(#REF!,Tabela2[[#This Row],[KOD_PRODUKTU]])</f>
        <v>#REF!</v>
      </c>
    </row>
    <row r="2058" spans="1:13" x14ac:dyDescent="0.25">
      <c r="A2058" s="1" t="s">
        <v>3447</v>
      </c>
      <c r="B2058" t="s">
        <v>3448</v>
      </c>
      <c r="C2058" s="1" t="s">
        <v>3456</v>
      </c>
      <c r="D2058" s="1" t="s">
        <v>3456</v>
      </c>
      <c r="E2058" s="1" t="s">
        <v>3456</v>
      </c>
      <c r="F2058" t="s">
        <v>3457</v>
      </c>
      <c r="G2058" t="s">
        <v>3458</v>
      </c>
      <c r="H2058" t="s">
        <v>39</v>
      </c>
      <c r="I2058" t="s">
        <v>605</v>
      </c>
      <c r="J2058">
        <v>0.66</v>
      </c>
      <c r="K2058" t="e">
        <f>IF(COUNTIF(#REF!,Tabela2[[#This Row],[IdxWspolny]])&gt;0,"ELEM_lub_PRD","TECHN")</f>
        <v>#REF!</v>
      </c>
      <c r="L2058" t="e">
        <f>IF(COUNTIF(#REF!,Tabela2[[#This Row],[KOD_PRODUKTU]])&gt;0,"ELEMENT","PRODUKT")</f>
        <v>#REF!</v>
      </c>
      <c r="M2058" t="e">
        <f>COUNTIF(#REF!,Tabela2[[#This Row],[KOD_PRODUKTU]])</f>
        <v>#REF!</v>
      </c>
    </row>
    <row r="2059" spans="1:13" x14ac:dyDescent="0.25">
      <c r="A2059" s="1" t="s">
        <v>3447</v>
      </c>
      <c r="B2059" t="s">
        <v>3448</v>
      </c>
      <c r="C2059" s="1" t="s">
        <v>628</v>
      </c>
      <c r="D2059" s="1" t="s">
        <v>628</v>
      </c>
      <c r="E2059" s="1" t="s">
        <v>628</v>
      </c>
      <c r="F2059" t="s">
        <v>629</v>
      </c>
      <c r="G2059" t="s">
        <v>630</v>
      </c>
      <c r="H2059" t="s">
        <v>5</v>
      </c>
      <c r="I2059" t="s">
        <v>598</v>
      </c>
      <c r="J2059">
        <v>0.08</v>
      </c>
      <c r="K2059" t="e">
        <f>IF(COUNTIF(#REF!,Tabela2[[#This Row],[IdxWspolny]])&gt;0,"ELEM_lub_PRD","TECHN")</f>
        <v>#REF!</v>
      </c>
      <c r="L2059" t="e">
        <f>IF(COUNTIF(#REF!,Tabela2[[#This Row],[KOD_PRODUKTU]])&gt;0,"ELEMENT","PRODUKT")</f>
        <v>#REF!</v>
      </c>
      <c r="M2059" t="e">
        <f>COUNTIF(#REF!,Tabela2[[#This Row],[KOD_PRODUKTU]])</f>
        <v>#REF!</v>
      </c>
    </row>
    <row r="2060" spans="1:13" x14ac:dyDescent="0.25">
      <c r="A2060" s="1" t="s">
        <v>3447</v>
      </c>
      <c r="B2060" t="s">
        <v>3448</v>
      </c>
      <c r="C2060" s="1" t="s">
        <v>483</v>
      </c>
      <c r="D2060" s="1" t="s">
        <v>483</v>
      </c>
      <c r="E2060" s="1" t="s">
        <v>483</v>
      </c>
      <c r="F2060" t="s">
        <v>484</v>
      </c>
      <c r="G2060" t="s">
        <v>2789</v>
      </c>
      <c r="H2060" t="s">
        <v>5</v>
      </c>
      <c r="I2060" t="s">
        <v>3459</v>
      </c>
      <c r="J2060">
        <v>7.0000000000000007E-2</v>
      </c>
      <c r="K2060" t="e">
        <f>IF(COUNTIF(#REF!,Tabela2[[#This Row],[IdxWspolny]])&gt;0,"ELEM_lub_PRD","TECHN")</f>
        <v>#REF!</v>
      </c>
      <c r="L2060" t="e">
        <f>IF(COUNTIF(#REF!,Tabela2[[#This Row],[KOD_PRODUKTU]])&gt;0,"ELEMENT","PRODUKT")</f>
        <v>#REF!</v>
      </c>
      <c r="M2060" t="e">
        <f>COUNTIF(#REF!,Tabela2[[#This Row],[KOD_PRODUKTU]])</f>
        <v>#REF!</v>
      </c>
    </row>
    <row r="2061" spans="1:13" x14ac:dyDescent="0.25">
      <c r="A2061" s="1" t="s">
        <v>3447</v>
      </c>
      <c r="B2061" t="s">
        <v>3448</v>
      </c>
      <c r="C2061" s="1" t="s">
        <v>2844</v>
      </c>
      <c r="D2061" s="1" t="s">
        <v>2844</v>
      </c>
      <c r="E2061" s="1" t="s">
        <v>2844</v>
      </c>
      <c r="F2061" t="s">
        <v>2845</v>
      </c>
      <c r="G2061" t="s">
        <v>2846</v>
      </c>
      <c r="H2061" t="s">
        <v>5</v>
      </c>
      <c r="I2061" t="s">
        <v>2847</v>
      </c>
      <c r="J2061">
        <v>0.11</v>
      </c>
      <c r="K2061" t="e">
        <f>IF(COUNTIF(#REF!,Tabela2[[#This Row],[IdxWspolny]])&gt;0,"ELEM_lub_PRD","TECHN")</f>
        <v>#REF!</v>
      </c>
      <c r="L2061" t="e">
        <f>IF(COUNTIF(#REF!,Tabela2[[#This Row],[KOD_PRODUKTU]])&gt;0,"ELEMENT","PRODUKT")</f>
        <v>#REF!</v>
      </c>
      <c r="M2061" t="e">
        <f>COUNTIF(#REF!,Tabela2[[#This Row],[KOD_PRODUKTU]])</f>
        <v>#REF!</v>
      </c>
    </row>
    <row r="2062" spans="1:13" x14ac:dyDescent="0.25">
      <c r="A2062" s="1" t="s">
        <v>3447</v>
      </c>
      <c r="B2062" t="s">
        <v>3448</v>
      </c>
      <c r="C2062" s="1" t="s">
        <v>1971</v>
      </c>
      <c r="D2062" s="1" t="s">
        <v>1971</v>
      </c>
      <c r="E2062" s="1" t="s">
        <v>1971</v>
      </c>
      <c r="F2062" t="s">
        <v>1972</v>
      </c>
      <c r="G2062" t="s">
        <v>1964</v>
      </c>
      <c r="H2062" t="s">
        <v>5</v>
      </c>
      <c r="I2062" t="s">
        <v>3460</v>
      </c>
      <c r="J2062">
        <v>0.62</v>
      </c>
      <c r="K2062" t="e">
        <f>IF(COUNTIF(#REF!,Tabela2[[#This Row],[IdxWspolny]])&gt;0,"ELEM_lub_PRD","TECHN")</f>
        <v>#REF!</v>
      </c>
      <c r="L2062" t="e">
        <f>IF(COUNTIF(#REF!,Tabela2[[#This Row],[KOD_PRODUKTU]])&gt;0,"ELEMENT","PRODUKT")</f>
        <v>#REF!</v>
      </c>
      <c r="M2062" t="e">
        <f>COUNTIF(#REF!,Tabela2[[#This Row],[KOD_PRODUKTU]])</f>
        <v>#REF!</v>
      </c>
    </row>
    <row r="2063" spans="1:13" x14ac:dyDescent="0.25">
      <c r="A2063" s="1" t="s">
        <v>3447</v>
      </c>
      <c r="B2063" t="s">
        <v>3448</v>
      </c>
      <c r="C2063" s="1" t="s">
        <v>2848</v>
      </c>
      <c r="D2063" s="1" t="s">
        <v>2848</v>
      </c>
      <c r="E2063" s="1" t="s">
        <v>2848</v>
      </c>
      <c r="F2063" t="s">
        <v>2849</v>
      </c>
      <c r="G2063" t="s">
        <v>879</v>
      </c>
      <c r="H2063" t="s">
        <v>5</v>
      </c>
      <c r="I2063" t="s">
        <v>3461</v>
      </c>
      <c r="J2063">
        <v>0.19</v>
      </c>
      <c r="K2063" t="e">
        <f>IF(COUNTIF(#REF!,Tabela2[[#This Row],[IdxWspolny]])&gt;0,"ELEM_lub_PRD","TECHN")</f>
        <v>#REF!</v>
      </c>
      <c r="L2063" t="e">
        <f>IF(COUNTIF(#REF!,Tabela2[[#This Row],[KOD_PRODUKTU]])&gt;0,"ELEMENT","PRODUKT")</f>
        <v>#REF!</v>
      </c>
      <c r="M2063" t="e">
        <f>COUNTIF(#REF!,Tabela2[[#This Row],[KOD_PRODUKTU]])</f>
        <v>#REF!</v>
      </c>
    </row>
    <row r="2064" spans="1:13" x14ac:dyDescent="0.25">
      <c r="A2064" s="1" t="s">
        <v>3447</v>
      </c>
      <c r="B2064" t="s">
        <v>3448</v>
      </c>
      <c r="C2064" s="1" t="s">
        <v>1974</v>
      </c>
      <c r="D2064" s="1" t="s">
        <v>1974</v>
      </c>
      <c r="E2064" s="1" t="s">
        <v>1974</v>
      </c>
      <c r="F2064" t="s">
        <v>1975</v>
      </c>
      <c r="G2064" t="s">
        <v>879</v>
      </c>
      <c r="H2064" t="s">
        <v>121</v>
      </c>
      <c r="I2064" t="s">
        <v>3462</v>
      </c>
      <c r="J2064">
        <v>2.74</v>
      </c>
      <c r="K2064" t="e">
        <f>IF(COUNTIF(#REF!,Tabela2[[#This Row],[IdxWspolny]])&gt;0,"ELEM_lub_PRD","TECHN")</f>
        <v>#REF!</v>
      </c>
      <c r="L2064" t="e">
        <f>IF(COUNTIF(#REF!,Tabela2[[#This Row],[KOD_PRODUKTU]])&gt;0,"ELEMENT","PRODUKT")</f>
        <v>#REF!</v>
      </c>
      <c r="M2064" t="e">
        <f>COUNTIF(#REF!,Tabela2[[#This Row],[KOD_PRODUKTU]])</f>
        <v>#REF!</v>
      </c>
    </row>
    <row r="2065" spans="1:14" x14ac:dyDescent="0.25">
      <c r="A2065" s="1" t="s">
        <v>3447</v>
      </c>
      <c r="B2065" t="s">
        <v>3448</v>
      </c>
      <c r="C2065" s="1" t="s">
        <v>3463</v>
      </c>
      <c r="D2065" s="1" t="s">
        <v>3463</v>
      </c>
      <c r="E2065" s="1" t="s">
        <v>3463</v>
      </c>
      <c r="F2065" t="s">
        <v>3464</v>
      </c>
      <c r="G2065" t="s">
        <v>1768</v>
      </c>
      <c r="H2065" t="s">
        <v>121</v>
      </c>
      <c r="I2065" t="s">
        <v>268</v>
      </c>
      <c r="J2065">
        <v>0</v>
      </c>
      <c r="K2065" t="e">
        <f>IF(COUNTIF(#REF!,Tabela2[[#This Row],[IdxWspolny]])&gt;0,"ELEM_lub_PRD","TECHN")</f>
        <v>#REF!</v>
      </c>
      <c r="L2065" t="e">
        <f>IF(COUNTIF(#REF!,Tabela2[[#This Row],[KOD_PRODUKTU]])&gt;0,"ELEMENT","PRODUKT")</f>
        <v>#REF!</v>
      </c>
      <c r="M2065" t="e">
        <f>COUNTIF(#REF!,Tabela2[[#This Row],[KOD_PRODUKTU]])</f>
        <v>#REF!</v>
      </c>
    </row>
    <row r="2066" spans="1:14" x14ac:dyDescent="0.25">
      <c r="A2066" s="1" t="s">
        <v>3447</v>
      </c>
      <c r="B2066" t="s">
        <v>3448</v>
      </c>
      <c r="C2066" s="1" t="s">
        <v>3465</v>
      </c>
      <c r="D2066" s="1" t="s">
        <v>3465</v>
      </c>
      <c r="E2066" s="1" t="s">
        <v>3465</v>
      </c>
      <c r="F2066" t="s">
        <v>3466</v>
      </c>
      <c r="G2066" t="s">
        <v>1768</v>
      </c>
      <c r="H2066" t="s">
        <v>121</v>
      </c>
      <c r="I2066" t="s">
        <v>605</v>
      </c>
      <c r="J2066">
        <v>0</v>
      </c>
      <c r="K2066" t="e">
        <f>IF(COUNTIF(#REF!,Tabela2[[#This Row],[IdxWspolny]])&gt;0,"ELEM_lub_PRD","TECHN")</f>
        <v>#REF!</v>
      </c>
      <c r="L2066" t="e">
        <f>IF(COUNTIF(#REF!,Tabela2[[#This Row],[KOD_PRODUKTU]])&gt;0,"ELEMENT","PRODUKT")</f>
        <v>#REF!</v>
      </c>
      <c r="M2066" t="e">
        <f>COUNTIF(#REF!,Tabela2[[#This Row],[KOD_PRODUKTU]])</f>
        <v>#REF!</v>
      </c>
    </row>
    <row r="2067" spans="1:14" x14ac:dyDescent="0.25">
      <c r="A2067" s="1" t="s">
        <v>3447</v>
      </c>
      <c r="B2067" t="s">
        <v>3448</v>
      </c>
      <c r="C2067" s="1" t="s">
        <v>3467</v>
      </c>
      <c r="D2067" s="1" t="s">
        <v>3467</v>
      </c>
      <c r="E2067" s="1" t="s">
        <v>3467</v>
      </c>
      <c r="F2067" t="s">
        <v>3468</v>
      </c>
      <c r="G2067" t="s">
        <v>1768</v>
      </c>
      <c r="H2067" t="s">
        <v>121</v>
      </c>
      <c r="I2067" t="s">
        <v>50</v>
      </c>
      <c r="J2067">
        <v>0</v>
      </c>
      <c r="K2067" t="e">
        <f>IF(COUNTIF(#REF!,Tabela2[[#This Row],[IdxWspolny]])&gt;0,"ELEM_lub_PRD","TECHN")</f>
        <v>#REF!</v>
      </c>
      <c r="L2067" t="e">
        <f>IF(COUNTIF(#REF!,Tabela2[[#This Row],[KOD_PRODUKTU]])&gt;0,"ELEMENT","PRODUKT")</f>
        <v>#REF!</v>
      </c>
      <c r="M2067" t="e">
        <f>COUNTIF(#REF!,Tabela2[[#This Row],[KOD_PRODUKTU]])</f>
        <v>#REF!</v>
      </c>
    </row>
    <row r="2068" spans="1:14" x14ac:dyDescent="0.25">
      <c r="A2068" s="1" t="s">
        <v>3447</v>
      </c>
      <c r="B2068" t="s">
        <v>3448</v>
      </c>
      <c r="C2068" s="1" t="s">
        <v>3469</v>
      </c>
      <c r="D2068" s="1" t="s">
        <v>3469</v>
      </c>
      <c r="E2068" s="1" t="s">
        <v>3469</v>
      </c>
      <c r="F2068" t="s">
        <v>3470</v>
      </c>
      <c r="G2068" t="s">
        <v>1768</v>
      </c>
      <c r="H2068" t="s">
        <v>121</v>
      </c>
      <c r="I2068" t="s">
        <v>50</v>
      </c>
      <c r="J2068">
        <v>0</v>
      </c>
      <c r="K2068" t="e">
        <f>IF(COUNTIF(#REF!,Tabela2[[#This Row],[IdxWspolny]])&gt;0,"ELEM_lub_PRD","TECHN")</f>
        <v>#REF!</v>
      </c>
      <c r="L2068" t="e">
        <f>IF(COUNTIF(#REF!,Tabela2[[#This Row],[KOD_PRODUKTU]])&gt;0,"ELEMENT","PRODUKT")</f>
        <v>#REF!</v>
      </c>
      <c r="M2068" t="e">
        <f>COUNTIF(#REF!,Tabela2[[#This Row],[KOD_PRODUKTU]])</f>
        <v>#REF!</v>
      </c>
    </row>
    <row r="2069" spans="1:14" x14ac:dyDescent="0.25">
      <c r="A2069" s="1" t="s">
        <v>3447</v>
      </c>
      <c r="B2069" t="s">
        <v>3448</v>
      </c>
      <c r="C2069" s="1" t="s">
        <v>3471</v>
      </c>
      <c r="D2069" s="1" t="s">
        <v>3471</v>
      </c>
      <c r="E2069" s="1" t="s">
        <v>3471</v>
      </c>
      <c r="F2069" t="s">
        <v>3472</v>
      </c>
      <c r="G2069" t="s">
        <v>1768</v>
      </c>
      <c r="H2069" t="s">
        <v>121</v>
      </c>
      <c r="I2069" t="s">
        <v>40</v>
      </c>
      <c r="J2069">
        <v>0</v>
      </c>
      <c r="K2069" t="e">
        <f>IF(COUNTIF(#REF!,Tabela2[[#This Row],[IdxWspolny]])&gt;0,"ELEM_lub_PRD","TECHN")</f>
        <v>#REF!</v>
      </c>
      <c r="L2069" t="e">
        <f>IF(COUNTIF(#REF!,Tabela2[[#This Row],[KOD_PRODUKTU]])&gt;0,"ELEMENT","PRODUKT")</f>
        <v>#REF!</v>
      </c>
      <c r="M2069" t="e">
        <f>COUNTIF(#REF!,Tabela2[[#This Row],[KOD_PRODUKTU]])</f>
        <v>#REF!</v>
      </c>
    </row>
    <row r="2070" spans="1:14" x14ac:dyDescent="0.25">
      <c r="A2070" s="1" t="s">
        <v>3447</v>
      </c>
      <c r="B2070" t="s">
        <v>3448</v>
      </c>
      <c r="C2070" s="1" t="s">
        <v>41</v>
      </c>
      <c r="D2070" s="1" t="s">
        <v>41</v>
      </c>
      <c r="E2070" s="1" t="s">
        <v>41</v>
      </c>
      <c r="F2070" t="s">
        <v>42</v>
      </c>
      <c r="G2070" t="s">
        <v>513</v>
      </c>
      <c r="H2070" t="s">
        <v>5</v>
      </c>
      <c r="I2070" t="s">
        <v>3473</v>
      </c>
      <c r="J2070">
        <v>0.89</v>
      </c>
      <c r="K2070" t="e">
        <f>IF(COUNTIF(#REF!,Tabela2[[#This Row],[IdxWspolny]])&gt;0,"ELEM_lub_PRD","TECHN")</f>
        <v>#REF!</v>
      </c>
      <c r="L2070" t="e">
        <f>IF(COUNTIF(#REF!,Tabela2[[#This Row],[KOD_PRODUKTU]])&gt;0,"ELEMENT","PRODUKT")</f>
        <v>#REF!</v>
      </c>
      <c r="M2070" t="e">
        <f>COUNTIF(#REF!,Tabela2[[#This Row],[KOD_PRODUKTU]])</f>
        <v>#REF!</v>
      </c>
    </row>
    <row r="2071" spans="1:14" x14ac:dyDescent="0.25">
      <c r="A2071" s="1" t="s">
        <v>3447</v>
      </c>
      <c r="B2071" t="s">
        <v>3448</v>
      </c>
      <c r="C2071" s="1" t="s">
        <v>2797</v>
      </c>
      <c r="D2071" s="1" t="s">
        <v>2797</v>
      </c>
      <c r="E2071" s="1" t="s">
        <v>2797</v>
      </c>
      <c r="F2071" t="s">
        <v>2798</v>
      </c>
      <c r="G2071" t="s">
        <v>2799</v>
      </c>
      <c r="H2071" t="s">
        <v>121</v>
      </c>
      <c r="I2071" t="s">
        <v>50</v>
      </c>
      <c r="J2071">
        <v>2.41</v>
      </c>
      <c r="K2071" t="e">
        <f>IF(COUNTIF(#REF!,Tabela2[[#This Row],[IdxWspolny]])&gt;0,"ELEM_lub_PRD","TECHN")</f>
        <v>#REF!</v>
      </c>
      <c r="L2071" t="e">
        <f>IF(COUNTIF(#REF!,Tabela2[[#This Row],[KOD_PRODUKTU]])&gt;0,"ELEMENT","PRODUKT")</f>
        <v>#REF!</v>
      </c>
      <c r="M2071" t="e">
        <f>COUNTIF(#REF!,Tabela2[[#This Row],[KOD_PRODUKTU]])</f>
        <v>#REF!</v>
      </c>
    </row>
    <row r="2072" spans="1:14" hidden="1" x14ac:dyDescent="0.25">
      <c r="A2072" s="1" t="s">
        <v>3447</v>
      </c>
      <c r="B2072" t="s">
        <v>3448</v>
      </c>
      <c r="C2072" s="1" t="s">
        <v>3474</v>
      </c>
      <c r="D2072" s="1" t="s">
        <v>3474</v>
      </c>
      <c r="E2072" s="1" t="s">
        <v>3474</v>
      </c>
      <c r="F2072" t="s">
        <v>3475</v>
      </c>
      <c r="G2072" t="s">
        <v>3476</v>
      </c>
      <c r="H2072" t="s">
        <v>17</v>
      </c>
      <c r="I2072" t="s">
        <v>50</v>
      </c>
      <c r="J2072">
        <v>50.16</v>
      </c>
      <c r="K2072" t="e">
        <f>IF(COUNTIF(#REF!,Tabela2[[#This Row],[IdxWspolny]])&gt;0,"ELEM_lub_PRD","TECHN")</f>
        <v>#REF!</v>
      </c>
      <c r="L2072" t="e">
        <f>IF(COUNTIF(#REF!,Tabela2[[#This Row],[KOD_PRODUKTU]])&gt;0,"ELEMENT","PRODUKT")</f>
        <v>#REF!</v>
      </c>
      <c r="M2072" t="e">
        <f>COUNTIF(#REF!,Tabela2[[#This Row],[KOD_PRODUKTU]])</f>
        <v>#REF!</v>
      </c>
      <c r="N2072" t="s">
        <v>55</v>
      </c>
    </row>
    <row r="2073" spans="1:14" hidden="1" x14ac:dyDescent="0.25">
      <c r="A2073" s="1" t="s">
        <v>3447</v>
      </c>
      <c r="B2073" t="s">
        <v>3448</v>
      </c>
      <c r="C2073" s="1" t="s">
        <v>2800</v>
      </c>
      <c r="D2073" s="1" t="s">
        <v>2800</v>
      </c>
      <c r="E2073" s="1" t="s">
        <v>2800</v>
      </c>
      <c r="F2073" t="s">
        <v>2801</v>
      </c>
      <c r="G2073" t="s">
        <v>2802</v>
      </c>
      <c r="H2073" t="s">
        <v>121</v>
      </c>
      <c r="I2073" t="s">
        <v>50</v>
      </c>
      <c r="J2073">
        <v>157.28</v>
      </c>
      <c r="K2073" t="e">
        <f>IF(COUNTIF(#REF!,Tabela2[[#This Row],[IdxWspolny]])&gt;0,"ELEM_lub_PRD","TECHN")</f>
        <v>#REF!</v>
      </c>
      <c r="L2073" t="e">
        <f>IF(COUNTIF(#REF!,Tabela2[[#This Row],[KOD_PRODUKTU]])&gt;0,"ELEMENT","PRODUKT")</f>
        <v>#REF!</v>
      </c>
      <c r="M2073" t="e">
        <f>COUNTIF(#REF!,Tabela2[[#This Row],[KOD_PRODUKTU]])</f>
        <v>#REF!</v>
      </c>
      <c r="N2073" t="s">
        <v>55</v>
      </c>
    </row>
    <row r="2074" spans="1:14" hidden="1" x14ac:dyDescent="0.25">
      <c r="A2074" s="1" t="s">
        <v>3447</v>
      </c>
      <c r="B2074" t="s">
        <v>3448</v>
      </c>
      <c r="C2074" s="1" t="s">
        <v>2803</v>
      </c>
      <c r="D2074" s="1" t="s">
        <v>2803</v>
      </c>
      <c r="E2074" s="1" t="s">
        <v>2803</v>
      </c>
      <c r="F2074" t="s">
        <v>2804</v>
      </c>
      <c r="G2074" t="s">
        <v>2805</v>
      </c>
      <c r="H2074" t="s">
        <v>121</v>
      </c>
      <c r="I2074" t="s">
        <v>50</v>
      </c>
      <c r="J2074">
        <v>122.15</v>
      </c>
      <c r="K2074" t="e">
        <f>IF(COUNTIF(#REF!,Tabela2[[#This Row],[IdxWspolny]])&gt;0,"ELEM_lub_PRD","TECHN")</f>
        <v>#REF!</v>
      </c>
      <c r="L2074" t="e">
        <f>IF(COUNTIF(#REF!,Tabela2[[#This Row],[KOD_PRODUKTU]])&gt;0,"ELEMENT","PRODUKT")</f>
        <v>#REF!</v>
      </c>
      <c r="M2074" t="e">
        <f>COUNTIF(#REF!,Tabela2[[#This Row],[KOD_PRODUKTU]])</f>
        <v>#REF!</v>
      </c>
      <c r="N2074" t="s">
        <v>55</v>
      </c>
    </row>
    <row r="2075" spans="1:14" hidden="1" x14ac:dyDescent="0.25">
      <c r="A2075" s="1" t="s">
        <v>3447</v>
      </c>
      <c r="B2075" t="s">
        <v>3448</v>
      </c>
      <c r="C2075" s="1" t="s">
        <v>2806</v>
      </c>
      <c r="D2075" s="1" t="s">
        <v>2806</v>
      </c>
      <c r="E2075" s="1" t="s">
        <v>2806</v>
      </c>
      <c r="F2075" t="s">
        <v>2807</v>
      </c>
      <c r="G2075" t="s">
        <v>2808</v>
      </c>
      <c r="H2075" t="s">
        <v>121</v>
      </c>
      <c r="I2075" t="s">
        <v>50</v>
      </c>
      <c r="J2075">
        <v>178.11</v>
      </c>
      <c r="K2075" t="e">
        <f>IF(COUNTIF(#REF!,Tabela2[[#This Row],[IdxWspolny]])&gt;0,"ELEM_lub_PRD","TECHN")</f>
        <v>#REF!</v>
      </c>
      <c r="L2075" t="e">
        <f>IF(COUNTIF(#REF!,Tabela2[[#This Row],[KOD_PRODUKTU]])&gt;0,"ELEMENT","PRODUKT")</f>
        <v>#REF!</v>
      </c>
      <c r="M2075" t="e">
        <f>COUNTIF(#REF!,Tabela2[[#This Row],[KOD_PRODUKTU]])</f>
        <v>#REF!</v>
      </c>
      <c r="N2075" t="s">
        <v>55</v>
      </c>
    </row>
    <row r="2076" spans="1:14" hidden="1" x14ac:dyDescent="0.25">
      <c r="A2076" s="1" t="s">
        <v>3447</v>
      </c>
      <c r="B2076" t="s">
        <v>3448</v>
      </c>
      <c r="C2076" s="1" t="s">
        <v>2809</v>
      </c>
      <c r="D2076" s="1" t="s">
        <v>2809</v>
      </c>
      <c r="E2076" s="1" t="s">
        <v>2809</v>
      </c>
      <c r="F2076" t="s">
        <v>2810</v>
      </c>
      <c r="G2076" t="s">
        <v>2811</v>
      </c>
      <c r="H2076" t="s">
        <v>121</v>
      </c>
      <c r="I2076" t="s">
        <v>50</v>
      </c>
      <c r="J2076">
        <v>74.95</v>
      </c>
      <c r="K2076" t="e">
        <f>IF(COUNTIF(#REF!,Tabela2[[#This Row],[IdxWspolny]])&gt;0,"ELEM_lub_PRD","TECHN")</f>
        <v>#REF!</v>
      </c>
      <c r="L2076" t="e">
        <f>IF(COUNTIF(#REF!,Tabela2[[#This Row],[KOD_PRODUKTU]])&gt;0,"ELEMENT","PRODUKT")</f>
        <v>#REF!</v>
      </c>
      <c r="M2076" t="e">
        <f>COUNTIF(#REF!,Tabela2[[#This Row],[KOD_PRODUKTU]])</f>
        <v>#REF!</v>
      </c>
      <c r="N2076" t="s">
        <v>55</v>
      </c>
    </row>
    <row r="2077" spans="1:14" x14ac:dyDescent="0.25">
      <c r="A2077" s="1" t="s">
        <v>3447</v>
      </c>
      <c r="B2077" t="s">
        <v>3448</v>
      </c>
      <c r="C2077" s="1" t="s">
        <v>684</v>
      </c>
      <c r="D2077" s="1" t="s">
        <v>684</v>
      </c>
      <c r="E2077" s="1" t="s">
        <v>684</v>
      </c>
      <c r="F2077" t="s">
        <v>685</v>
      </c>
      <c r="G2077" t="s">
        <v>686</v>
      </c>
      <c r="H2077" t="s">
        <v>49</v>
      </c>
      <c r="I2077" t="s">
        <v>1363</v>
      </c>
      <c r="J2077">
        <v>0.45</v>
      </c>
      <c r="K2077" t="e">
        <f>IF(COUNTIF(#REF!,Tabela2[[#This Row],[IdxWspolny]])&gt;0,"ELEM_lub_PRD","TECHN")</f>
        <v>#REF!</v>
      </c>
      <c r="L2077" t="e">
        <f>IF(COUNTIF(#REF!,Tabela2[[#This Row],[KOD_PRODUKTU]])&gt;0,"ELEMENT","PRODUKT")</f>
        <v>#REF!</v>
      </c>
      <c r="M2077" t="e">
        <f>COUNTIF(#REF!,Tabela2[[#This Row],[KOD_PRODUKTU]])</f>
        <v>#REF!</v>
      </c>
    </row>
    <row r="2078" spans="1:14" x14ac:dyDescent="0.25">
      <c r="A2078" s="1" t="s">
        <v>3447</v>
      </c>
      <c r="B2078" t="s">
        <v>3448</v>
      </c>
      <c r="C2078" s="1" t="s">
        <v>684</v>
      </c>
      <c r="D2078" s="1" t="s">
        <v>684</v>
      </c>
      <c r="E2078" s="1" t="s">
        <v>684</v>
      </c>
      <c r="F2078" t="s">
        <v>685</v>
      </c>
      <c r="G2078" t="s">
        <v>686</v>
      </c>
      <c r="H2078" t="s">
        <v>49</v>
      </c>
      <c r="I2078" t="s">
        <v>2822</v>
      </c>
      <c r="J2078">
        <v>3.03</v>
      </c>
      <c r="K2078" t="e">
        <f>IF(COUNTIF(#REF!,Tabela2[[#This Row],[IdxWspolny]])&gt;0,"ELEM_lub_PRD","TECHN")</f>
        <v>#REF!</v>
      </c>
      <c r="L2078" t="e">
        <f>IF(COUNTIF(#REF!,Tabela2[[#This Row],[KOD_PRODUKTU]])&gt;0,"ELEMENT","PRODUKT")</f>
        <v>#REF!</v>
      </c>
      <c r="M2078" t="e">
        <f>COUNTIF(#REF!,Tabela2[[#This Row],[KOD_PRODUKTU]])</f>
        <v>#REF!</v>
      </c>
    </row>
    <row r="2079" spans="1:14" x14ac:dyDescent="0.25">
      <c r="A2079" s="1" t="s">
        <v>3447</v>
      </c>
      <c r="B2079" t="s">
        <v>3448</v>
      </c>
      <c r="C2079" s="1" t="s">
        <v>684</v>
      </c>
      <c r="D2079" s="1" t="s">
        <v>684</v>
      </c>
      <c r="E2079" s="1" t="s">
        <v>684</v>
      </c>
      <c r="F2079" t="s">
        <v>685</v>
      </c>
      <c r="G2079" t="s">
        <v>686</v>
      </c>
      <c r="H2079" t="s">
        <v>49</v>
      </c>
      <c r="I2079" t="s">
        <v>3477</v>
      </c>
      <c r="J2079">
        <v>4.1399999999999997</v>
      </c>
      <c r="K2079" t="e">
        <f>IF(COUNTIF(#REF!,Tabela2[[#This Row],[IdxWspolny]])&gt;0,"ELEM_lub_PRD","TECHN")</f>
        <v>#REF!</v>
      </c>
      <c r="L2079" t="e">
        <f>IF(COUNTIF(#REF!,Tabela2[[#This Row],[KOD_PRODUKTU]])&gt;0,"ELEMENT","PRODUKT")</f>
        <v>#REF!</v>
      </c>
      <c r="M2079" t="e">
        <f>COUNTIF(#REF!,Tabela2[[#This Row],[KOD_PRODUKTU]])</f>
        <v>#REF!</v>
      </c>
    </row>
    <row r="2080" spans="1:14" x14ac:dyDescent="0.25">
      <c r="A2080" s="1" t="s">
        <v>3447</v>
      </c>
      <c r="B2080" t="s">
        <v>3448</v>
      </c>
      <c r="C2080" s="1" t="s">
        <v>684</v>
      </c>
      <c r="D2080" s="1" t="s">
        <v>684</v>
      </c>
      <c r="E2080" s="1" t="s">
        <v>684</v>
      </c>
      <c r="F2080" t="s">
        <v>685</v>
      </c>
      <c r="G2080" t="s">
        <v>686</v>
      </c>
      <c r="H2080" t="s">
        <v>49</v>
      </c>
      <c r="I2080" t="s">
        <v>3478</v>
      </c>
      <c r="J2080">
        <v>16.8</v>
      </c>
      <c r="K2080" t="e">
        <f>IF(COUNTIF(#REF!,Tabela2[[#This Row],[IdxWspolny]])&gt;0,"ELEM_lub_PRD","TECHN")</f>
        <v>#REF!</v>
      </c>
      <c r="L2080" t="e">
        <f>IF(COUNTIF(#REF!,Tabela2[[#This Row],[KOD_PRODUKTU]])&gt;0,"ELEMENT","PRODUKT")</f>
        <v>#REF!</v>
      </c>
      <c r="M2080" t="e">
        <f>COUNTIF(#REF!,Tabela2[[#This Row],[KOD_PRODUKTU]])</f>
        <v>#REF!</v>
      </c>
    </row>
    <row r="2081" spans="1:13" x14ac:dyDescent="0.25">
      <c r="A2081" s="1" t="s">
        <v>3447</v>
      </c>
      <c r="B2081" t="s">
        <v>3448</v>
      </c>
      <c r="C2081" s="1" t="s">
        <v>684</v>
      </c>
      <c r="D2081" s="1" t="s">
        <v>684</v>
      </c>
      <c r="E2081" s="1" t="s">
        <v>684</v>
      </c>
      <c r="F2081" t="s">
        <v>685</v>
      </c>
      <c r="G2081" t="s">
        <v>686</v>
      </c>
      <c r="H2081" t="s">
        <v>49</v>
      </c>
      <c r="I2081" t="s">
        <v>3479</v>
      </c>
      <c r="J2081">
        <v>52.2</v>
      </c>
      <c r="K2081" t="e">
        <f>IF(COUNTIF(#REF!,Tabela2[[#This Row],[IdxWspolny]])&gt;0,"ELEM_lub_PRD","TECHN")</f>
        <v>#REF!</v>
      </c>
      <c r="L2081" t="e">
        <f>IF(COUNTIF(#REF!,Tabela2[[#This Row],[KOD_PRODUKTU]])&gt;0,"ELEMENT","PRODUKT")</f>
        <v>#REF!</v>
      </c>
      <c r="M2081" t="e">
        <f>COUNTIF(#REF!,Tabela2[[#This Row],[KOD_PRODUKTU]])</f>
        <v>#REF!</v>
      </c>
    </row>
    <row r="2082" spans="1:13" x14ac:dyDescent="0.25">
      <c r="A2082" s="1" t="s">
        <v>3447</v>
      </c>
      <c r="B2082" t="s">
        <v>3448</v>
      </c>
      <c r="C2082" s="1" t="s">
        <v>684</v>
      </c>
      <c r="D2082" s="1" t="s">
        <v>684</v>
      </c>
      <c r="E2082" s="1" t="s">
        <v>684</v>
      </c>
      <c r="F2082" t="s">
        <v>685</v>
      </c>
      <c r="G2082" t="s">
        <v>686</v>
      </c>
      <c r="H2082" t="s">
        <v>49</v>
      </c>
      <c r="I2082" t="s">
        <v>3480</v>
      </c>
      <c r="J2082">
        <v>4.1500000000000004</v>
      </c>
      <c r="K2082" t="e">
        <f>IF(COUNTIF(#REF!,Tabela2[[#This Row],[IdxWspolny]])&gt;0,"ELEM_lub_PRD","TECHN")</f>
        <v>#REF!</v>
      </c>
      <c r="L2082" t="e">
        <f>IF(COUNTIF(#REF!,Tabela2[[#This Row],[KOD_PRODUKTU]])&gt;0,"ELEMENT","PRODUKT")</f>
        <v>#REF!</v>
      </c>
      <c r="M2082" t="e">
        <f>COUNTIF(#REF!,Tabela2[[#This Row],[KOD_PRODUKTU]])</f>
        <v>#REF!</v>
      </c>
    </row>
    <row r="2083" spans="1:13" x14ac:dyDescent="0.25">
      <c r="A2083" s="1" t="s">
        <v>3447</v>
      </c>
      <c r="B2083" t="s">
        <v>3448</v>
      </c>
      <c r="C2083" s="1" t="s">
        <v>541</v>
      </c>
      <c r="D2083" s="1" t="s">
        <v>541</v>
      </c>
      <c r="E2083" s="1" t="s">
        <v>541</v>
      </c>
      <c r="F2083" t="s">
        <v>542</v>
      </c>
      <c r="G2083" t="s">
        <v>9</v>
      </c>
      <c r="H2083" t="s">
        <v>10</v>
      </c>
      <c r="I2083" t="s">
        <v>3481</v>
      </c>
      <c r="J2083">
        <v>145.49</v>
      </c>
      <c r="K2083" t="e">
        <f>IF(COUNTIF(#REF!,Tabela2[[#This Row],[IdxWspolny]])&gt;0,"ELEM_lub_PRD","TECHN")</f>
        <v>#REF!</v>
      </c>
      <c r="L2083" t="e">
        <f>IF(COUNTIF(#REF!,Tabela2[[#This Row],[KOD_PRODUKTU]])&gt;0,"ELEMENT","PRODUKT")</f>
        <v>#REF!</v>
      </c>
      <c r="M2083" t="e">
        <f>COUNTIF(#REF!,Tabela2[[#This Row],[KOD_PRODUKTU]])</f>
        <v>#REF!</v>
      </c>
    </row>
    <row r="2084" spans="1:13" x14ac:dyDescent="0.25">
      <c r="A2084" s="1" t="s">
        <v>3447</v>
      </c>
      <c r="B2084" t="s">
        <v>3448</v>
      </c>
      <c r="C2084" s="1" t="s">
        <v>541</v>
      </c>
      <c r="D2084" s="1" t="s">
        <v>541</v>
      </c>
      <c r="E2084" s="1" t="s">
        <v>541</v>
      </c>
      <c r="F2084" t="s">
        <v>542</v>
      </c>
      <c r="G2084" t="s">
        <v>9</v>
      </c>
      <c r="H2084" t="s">
        <v>10</v>
      </c>
      <c r="I2084" t="s">
        <v>3482</v>
      </c>
      <c r="J2084">
        <v>16.91</v>
      </c>
      <c r="K2084" t="e">
        <f>IF(COUNTIF(#REF!,Tabela2[[#This Row],[IdxWspolny]])&gt;0,"ELEM_lub_PRD","TECHN")</f>
        <v>#REF!</v>
      </c>
      <c r="L2084" t="e">
        <f>IF(COUNTIF(#REF!,Tabela2[[#This Row],[KOD_PRODUKTU]])&gt;0,"ELEMENT","PRODUKT")</f>
        <v>#REF!</v>
      </c>
      <c r="M2084" t="e">
        <f>COUNTIF(#REF!,Tabela2[[#This Row],[KOD_PRODUKTU]])</f>
        <v>#REF!</v>
      </c>
    </row>
    <row r="2085" spans="1:13" x14ac:dyDescent="0.25">
      <c r="A2085" s="1" t="s">
        <v>3447</v>
      </c>
      <c r="B2085" t="s">
        <v>3448</v>
      </c>
      <c r="C2085" s="1" t="s">
        <v>541</v>
      </c>
      <c r="D2085" s="1" t="s">
        <v>541</v>
      </c>
      <c r="E2085" s="1" t="s">
        <v>541</v>
      </c>
      <c r="F2085" t="s">
        <v>542</v>
      </c>
      <c r="G2085" t="s">
        <v>9</v>
      </c>
      <c r="H2085" t="s">
        <v>10</v>
      </c>
      <c r="I2085" t="s">
        <v>2825</v>
      </c>
      <c r="J2085">
        <v>24.15</v>
      </c>
      <c r="K2085" t="e">
        <f>IF(COUNTIF(#REF!,Tabela2[[#This Row],[IdxWspolny]])&gt;0,"ELEM_lub_PRD","TECHN")</f>
        <v>#REF!</v>
      </c>
      <c r="L2085" t="e">
        <f>IF(COUNTIF(#REF!,Tabela2[[#This Row],[KOD_PRODUKTU]])&gt;0,"ELEMENT","PRODUKT")</f>
        <v>#REF!</v>
      </c>
      <c r="M2085" t="e">
        <f>COUNTIF(#REF!,Tabela2[[#This Row],[KOD_PRODUKTU]])</f>
        <v>#REF!</v>
      </c>
    </row>
    <row r="2086" spans="1:13" x14ac:dyDescent="0.25">
      <c r="A2086" s="1" t="s">
        <v>3474</v>
      </c>
      <c r="B2086" t="s">
        <v>3483</v>
      </c>
      <c r="C2086" s="1" t="s">
        <v>22</v>
      </c>
      <c r="D2086" s="1" t="s">
        <v>22</v>
      </c>
      <c r="E2086" s="1" t="s">
        <v>22</v>
      </c>
      <c r="F2086" t="s">
        <v>23</v>
      </c>
      <c r="G2086" t="s">
        <v>3050</v>
      </c>
      <c r="H2086" t="s">
        <v>17</v>
      </c>
      <c r="I2086" t="s">
        <v>3484</v>
      </c>
      <c r="J2086">
        <v>15.9</v>
      </c>
      <c r="K2086" t="e">
        <f>IF(COUNTIF(#REF!,Tabela2[[#This Row],[IdxWspolny]])&gt;0,"ELEM_lub_PRD","TECHN")</f>
        <v>#REF!</v>
      </c>
      <c r="L2086" t="e">
        <f>IF(COUNTIF(#REF!,Tabela2[[#This Row],[KOD_PRODUKTU]])&gt;0,"ELEMENT","PRODUKT")</f>
        <v>#REF!</v>
      </c>
      <c r="M2086" t="e">
        <f>COUNTIF(#REF!,Tabela2[[#This Row],[KOD_PRODUKTU]])</f>
        <v>#REF!</v>
      </c>
    </row>
    <row r="2087" spans="1:13" x14ac:dyDescent="0.25">
      <c r="A2087" s="1" t="s">
        <v>3474</v>
      </c>
      <c r="B2087" t="s">
        <v>3483</v>
      </c>
      <c r="C2087" s="1" t="s">
        <v>3485</v>
      </c>
      <c r="D2087" s="1" t="s">
        <v>3485</v>
      </c>
      <c r="E2087" s="1" t="s">
        <v>3485</v>
      </c>
      <c r="F2087" t="s">
        <v>3486</v>
      </c>
      <c r="G2087" t="s">
        <v>3487</v>
      </c>
      <c r="H2087" t="s">
        <v>121</v>
      </c>
      <c r="I2087" t="s">
        <v>50</v>
      </c>
      <c r="J2087">
        <v>3.47</v>
      </c>
      <c r="K2087" t="e">
        <f>IF(COUNTIF(#REF!,Tabela2[[#This Row],[IdxWspolny]])&gt;0,"ELEM_lub_PRD","TECHN")</f>
        <v>#REF!</v>
      </c>
      <c r="L2087" t="e">
        <f>IF(COUNTIF(#REF!,Tabela2[[#This Row],[KOD_PRODUKTU]])&gt;0,"ELEMENT","PRODUKT")</f>
        <v>#REF!</v>
      </c>
      <c r="M2087" t="e">
        <f>COUNTIF(#REF!,Tabela2[[#This Row],[KOD_PRODUKTU]])</f>
        <v>#REF!</v>
      </c>
    </row>
    <row r="2088" spans="1:13" x14ac:dyDescent="0.25">
      <c r="A2088" s="1" t="s">
        <v>3474</v>
      </c>
      <c r="B2088" t="s">
        <v>3483</v>
      </c>
      <c r="C2088" s="1" t="s">
        <v>3488</v>
      </c>
      <c r="D2088" s="1" t="s">
        <v>3488</v>
      </c>
      <c r="E2088" s="1" t="s">
        <v>3488</v>
      </c>
      <c r="F2088" t="s">
        <v>3489</v>
      </c>
      <c r="G2088" t="s">
        <v>3490</v>
      </c>
      <c r="H2088" t="s">
        <v>121</v>
      </c>
      <c r="I2088" t="s">
        <v>50</v>
      </c>
      <c r="J2088">
        <v>7.81</v>
      </c>
      <c r="K2088" t="e">
        <f>IF(COUNTIF(#REF!,Tabela2[[#This Row],[IdxWspolny]])&gt;0,"ELEM_lub_PRD","TECHN")</f>
        <v>#REF!</v>
      </c>
      <c r="L2088" t="e">
        <f>IF(COUNTIF(#REF!,Tabela2[[#This Row],[KOD_PRODUKTU]])&gt;0,"ELEMENT","PRODUKT")</f>
        <v>#REF!</v>
      </c>
      <c r="M2088" t="e">
        <f>COUNTIF(#REF!,Tabela2[[#This Row],[KOD_PRODUKTU]])</f>
        <v>#REF!</v>
      </c>
    </row>
    <row r="2089" spans="1:13" x14ac:dyDescent="0.25">
      <c r="A2089" s="1" t="s">
        <v>3474</v>
      </c>
      <c r="B2089" t="s">
        <v>3483</v>
      </c>
      <c r="C2089" s="1" t="s">
        <v>857</v>
      </c>
      <c r="D2089" s="1" t="s">
        <v>857</v>
      </c>
      <c r="E2089" s="1" t="s">
        <v>857</v>
      </c>
      <c r="F2089" t="s">
        <v>858</v>
      </c>
      <c r="G2089" t="s">
        <v>686</v>
      </c>
      <c r="H2089" t="s">
        <v>49</v>
      </c>
      <c r="I2089" t="s">
        <v>3491</v>
      </c>
      <c r="J2089">
        <v>1.25</v>
      </c>
      <c r="K2089" t="e">
        <f>IF(COUNTIF(#REF!,Tabela2[[#This Row],[IdxWspolny]])&gt;0,"ELEM_lub_PRD","TECHN")</f>
        <v>#REF!</v>
      </c>
      <c r="L2089" t="e">
        <f>IF(COUNTIF(#REF!,Tabela2[[#This Row],[KOD_PRODUKTU]])&gt;0,"ELEMENT","PRODUKT")</f>
        <v>#REF!</v>
      </c>
      <c r="M2089" t="e">
        <f>COUNTIF(#REF!,Tabela2[[#This Row],[KOD_PRODUKTU]])</f>
        <v>#REF!</v>
      </c>
    </row>
    <row r="2090" spans="1:13" x14ac:dyDescent="0.25">
      <c r="A2090" s="1" t="s">
        <v>3474</v>
      </c>
      <c r="B2090" t="s">
        <v>3483</v>
      </c>
      <c r="C2090" s="1" t="s">
        <v>541</v>
      </c>
      <c r="D2090" s="1" t="s">
        <v>541</v>
      </c>
      <c r="E2090" s="1" t="s">
        <v>541</v>
      </c>
      <c r="F2090" t="s">
        <v>542</v>
      </c>
      <c r="G2090" t="s">
        <v>9</v>
      </c>
      <c r="H2090" t="s">
        <v>10</v>
      </c>
      <c r="I2090" t="s">
        <v>2890</v>
      </c>
      <c r="J2090">
        <v>2.42</v>
      </c>
      <c r="K2090" t="e">
        <f>IF(COUNTIF(#REF!,Tabela2[[#This Row],[IdxWspolny]])&gt;0,"ELEM_lub_PRD","TECHN")</f>
        <v>#REF!</v>
      </c>
      <c r="L2090" t="e">
        <f>IF(COUNTIF(#REF!,Tabela2[[#This Row],[KOD_PRODUKTU]])&gt;0,"ELEMENT","PRODUKT")</f>
        <v>#REF!</v>
      </c>
      <c r="M2090" t="e">
        <f>COUNTIF(#REF!,Tabela2[[#This Row],[KOD_PRODUKTU]])</f>
        <v>#REF!</v>
      </c>
    </row>
    <row r="2091" spans="1:13" x14ac:dyDescent="0.25">
      <c r="A2091" s="1" t="s">
        <v>3474</v>
      </c>
      <c r="B2091" t="s">
        <v>3483</v>
      </c>
      <c r="C2091" s="1" t="s">
        <v>541</v>
      </c>
      <c r="D2091" s="1" t="s">
        <v>541</v>
      </c>
      <c r="E2091" s="1" t="s">
        <v>541</v>
      </c>
      <c r="F2091" t="s">
        <v>542</v>
      </c>
      <c r="G2091" t="s">
        <v>9</v>
      </c>
      <c r="H2091" t="s">
        <v>10</v>
      </c>
      <c r="I2091" t="s">
        <v>3427</v>
      </c>
      <c r="J2091">
        <v>9.66</v>
      </c>
      <c r="K2091" t="e">
        <f>IF(COUNTIF(#REF!,Tabela2[[#This Row],[IdxWspolny]])&gt;0,"ELEM_lub_PRD","TECHN")</f>
        <v>#REF!</v>
      </c>
      <c r="L2091" t="e">
        <f>IF(COUNTIF(#REF!,Tabela2[[#This Row],[KOD_PRODUKTU]])&gt;0,"ELEMENT","PRODUKT")</f>
        <v>#REF!</v>
      </c>
      <c r="M2091" t="e">
        <f>COUNTIF(#REF!,Tabela2[[#This Row],[KOD_PRODUKTU]])</f>
        <v>#REF!</v>
      </c>
    </row>
    <row r="2092" spans="1:13" x14ac:dyDescent="0.25">
      <c r="A2092" s="1" t="s">
        <v>3474</v>
      </c>
      <c r="B2092" t="s">
        <v>3483</v>
      </c>
      <c r="C2092" s="1" t="s">
        <v>541</v>
      </c>
      <c r="D2092" s="1" t="s">
        <v>541</v>
      </c>
      <c r="E2092" s="1" t="s">
        <v>541</v>
      </c>
      <c r="F2092" t="s">
        <v>542</v>
      </c>
      <c r="G2092" t="s">
        <v>9</v>
      </c>
      <c r="H2092" t="s">
        <v>10</v>
      </c>
      <c r="I2092" t="s">
        <v>3047</v>
      </c>
      <c r="J2092">
        <v>4.83</v>
      </c>
      <c r="K2092" t="e">
        <f>IF(COUNTIF(#REF!,Tabela2[[#This Row],[IdxWspolny]])&gt;0,"ELEM_lub_PRD","TECHN")</f>
        <v>#REF!</v>
      </c>
      <c r="L2092" t="e">
        <f>IF(COUNTIF(#REF!,Tabela2[[#This Row],[KOD_PRODUKTU]])&gt;0,"ELEMENT","PRODUKT")</f>
        <v>#REF!</v>
      </c>
      <c r="M2092" t="e">
        <f>COUNTIF(#REF!,Tabela2[[#This Row],[KOD_PRODUKTU]])</f>
        <v>#REF!</v>
      </c>
    </row>
    <row r="2093" spans="1:13" x14ac:dyDescent="0.25">
      <c r="A2093" s="1" t="s">
        <v>3474</v>
      </c>
      <c r="B2093" t="s">
        <v>3483</v>
      </c>
      <c r="C2093" s="1" t="s">
        <v>541</v>
      </c>
      <c r="D2093" s="1" t="s">
        <v>541</v>
      </c>
      <c r="E2093" s="1" t="s">
        <v>541</v>
      </c>
      <c r="F2093" t="s">
        <v>542</v>
      </c>
      <c r="G2093" t="s">
        <v>9</v>
      </c>
      <c r="H2093" t="s">
        <v>10</v>
      </c>
      <c r="I2093" t="s">
        <v>3047</v>
      </c>
      <c r="J2093">
        <v>4.83</v>
      </c>
      <c r="K2093" t="e">
        <f>IF(COUNTIF(#REF!,Tabela2[[#This Row],[IdxWspolny]])&gt;0,"ELEM_lub_PRD","TECHN")</f>
        <v>#REF!</v>
      </c>
      <c r="L2093" t="e">
        <f>IF(COUNTIF(#REF!,Tabela2[[#This Row],[KOD_PRODUKTU]])&gt;0,"ELEMENT","PRODUKT")</f>
        <v>#REF!</v>
      </c>
      <c r="M2093" t="e">
        <f>COUNTIF(#REF!,Tabela2[[#This Row],[KOD_PRODUKTU]])</f>
        <v>#REF!</v>
      </c>
    </row>
    <row r="2094" spans="1:13" x14ac:dyDescent="0.25">
      <c r="A2094" s="1" t="s">
        <v>3492</v>
      </c>
      <c r="B2094" t="s">
        <v>3493</v>
      </c>
      <c r="C2094" s="1" t="s">
        <v>3494</v>
      </c>
      <c r="D2094" s="1" t="s">
        <v>3494</v>
      </c>
      <c r="E2094" s="1" t="s">
        <v>3494</v>
      </c>
      <c r="F2094" t="s">
        <v>3495</v>
      </c>
      <c r="G2094" t="s">
        <v>3344</v>
      </c>
      <c r="H2094" t="s">
        <v>17</v>
      </c>
      <c r="I2094" t="s">
        <v>3496</v>
      </c>
      <c r="J2094">
        <v>3</v>
      </c>
      <c r="K2094" t="e">
        <f>IF(COUNTIF(#REF!,Tabela2[[#This Row],[IdxWspolny]])&gt;0,"ELEM_lub_PRD","TECHN")</f>
        <v>#REF!</v>
      </c>
      <c r="L2094" t="e">
        <f>IF(COUNTIF(#REF!,Tabela2[[#This Row],[KOD_PRODUKTU]])&gt;0,"ELEMENT","PRODUKT")</f>
        <v>#REF!</v>
      </c>
      <c r="M2094" t="e">
        <f>COUNTIF(#REF!,Tabela2[[#This Row],[KOD_PRODUKTU]])</f>
        <v>#REF!</v>
      </c>
    </row>
    <row r="2095" spans="1:13" x14ac:dyDescent="0.25">
      <c r="A2095" s="1" t="s">
        <v>3492</v>
      </c>
      <c r="B2095" t="s">
        <v>3493</v>
      </c>
      <c r="C2095" s="1" t="s">
        <v>3497</v>
      </c>
      <c r="D2095" s="1" t="s">
        <v>3497</v>
      </c>
      <c r="E2095" s="1" t="s">
        <v>3497</v>
      </c>
      <c r="F2095" t="s">
        <v>3498</v>
      </c>
      <c r="G2095" t="s">
        <v>3490</v>
      </c>
      <c r="H2095" t="s">
        <v>121</v>
      </c>
      <c r="I2095" t="s">
        <v>50</v>
      </c>
      <c r="J2095">
        <v>7.81</v>
      </c>
      <c r="K2095" t="e">
        <f>IF(COUNTIF(#REF!,Tabela2[[#This Row],[IdxWspolny]])&gt;0,"ELEM_lub_PRD","TECHN")</f>
        <v>#REF!</v>
      </c>
      <c r="L2095" t="e">
        <f>IF(COUNTIF(#REF!,Tabela2[[#This Row],[KOD_PRODUKTU]])&gt;0,"ELEMENT","PRODUKT")</f>
        <v>#REF!</v>
      </c>
      <c r="M2095" t="e">
        <f>COUNTIF(#REF!,Tabela2[[#This Row],[KOD_PRODUKTU]])</f>
        <v>#REF!</v>
      </c>
    </row>
    <row r="2096" spans="1:13" x14ac:dyDescent="0.25">
      <c r="A2096" s="1" t="s">
        <v>3492</v>
      </c>
      <c r="B2096" t="s">
        <v>3493</v>
      </c>
      <c r="C2096" s="1" t="s">
        <v>432</v>
      </c>
      <c r="D2096" s="1" t="s">
        <v>432</v>
      </c>
      <c r="E2096" s="1" t="s">
        <v>432</v>
      </c>
      <c r="F2096" t="s">
        <v>433</v>
      </c>
      <c r="G2096" t="s">
        <v>434</v>
      </c>
      <c r="H2096" t="s">
        <v>435</v>
      </c>
      <c r="I2096" t="s">
        <v>122</v>
      </c>
      <c r="J2096">
        <v>4.4000000000000004</v>
      </c>
      <c r="K2096" t="e">
        <f>IF(COUNTIF(#REF!,Tabela2[[#This Row],[IdxWspolny]])&gt;0,"ELEM_lub_PRD","TECHN")</f>
        <v>#REF!</v>
      </c>
      <c r="L2096" t="e">
        <f>IF(COUNTIF(#REF!,Tabela2[[#This Row],[KOD_PRODUKTU]])&gt;0,"ELEMENT","PRODUKT")</f>
        <v>#REF!</v>
      </c>
      <c r="M2096" t="e">
        <f>COUNTIF(#REF!,Tabela2[[#This Row],[KOD_PRODUKTU]])</f>
        <v>#REF!</v>
      </c>
    </row>
    <row r="2097" spans="1:13" x14ac:dyDescent="0.25">
      <c r="A2097" s="1" t="s">
        <v>3492</v>
      </c>
      <c r="B2097" t="s">
        <v>3493</v>
      </c>
      <c r="C2097" s="1" t="s">
        <v>541</v>
      </c>
      <c r="D2097" s="1" t="s">
        <v>541</v>
      </c>
      <c r="E2097" s="1" t="s">
        <v>541</v>
      </c>
      <c r="F2097" t="s">
        <v>542</v>
      </c>
      <c r="G2097" t="s">
        <v>9</v>
      </c>
      <c r="H2097" t="s">
        <v>10</v>
      </c>
      <c r="I2097" t="s">
        <v>3499</v>
      </c>
      <c r="J2097">
        <v>9.0299999999999994</v>
      </c>
      <c r="K2097" t="e">
        <f>IF(COUNTIF(#REF!,Tabela2[[#This Row],[IdxWspolny]])&gt;0,"ELEM_lub_PRD","TECHN")</f>
        <v>#REF!</v>
      </c>
      <c r="L2097" t="e">
        <f>IF(COUNTIF(#REF!,Tabela2[[#This Row],[KOD_PRODUKTU]])&gt;0,"ELEMENT","PRODUKT")</f>
        <v>#REF!</v>
      </c>
      <c r="M2097" t="e">
        <f>COUNTIF(#REF!,Tabela2[[#This Row],[KOD_PRODUKTU]])</f>
        <v>#REF!</v>
      </c>
    </row>
    <row r="2098" spans="1:13" x14ac:dyDescent="0.25">
      <c r="A2098" s="1" t="s">
        <v>3500</v>
      </c>
      <c r="B2098" t="s">
        <v>3501</v>
      </c>
      <c r="C2098" s="1" t="s">
        <v>684</v>
      </c>
      <c r="D2098" s="1" t="s">
        <v>684</v>
      </c>
      <c r="E2098" s="1" t="s">
        <v>684</v>
      </c>
      <c r="F2098" t="s">
        <v>685</v>
      </c>
      <c r="G2098" t="s">
        <v>686</v>
      </c>
      <c r="H2098" t="s">
        <v>49</v>
      </c>
      <c r="I2098" t="s">
        <v>3502</v>
      </c>
      <c r="J2098">
        <v>7.2</v>
      </c>
      <c r="K2098" t="e">
        <f>IF(COUNTIF(#REF!,Tabela2[[#This Row],[IdxWspolny]])&gt;0,"ELEM_lub_PRD","TECHN")</f>
        <v>#REF!</v>
      </c>
      <c r="L2098" t="e">
        <f>IF(COUNTIF(#REF!,Tabela2[[#This Row],[KOD_PRODUKTU]])&gt;0,"ELEMENT","PRODUKT")</f>
        <v>#REF!</v>
      </c>
      <c r="M2098" t="e">
        <f>COUNTIF(#REF!,Tabela2[[#This Row],[KOD_PRODUKTU]])</f>
        <v>#REF!</v>
      </c>
    </row>
    <row r="2099" spans="1:13" x14ac:dyDescent="0.25">
      <c r="A2099" s="1" t="s">
        <v>3500</v>
      </c>
      <c r="B2099" t="s">
        <v>3501</v>
      </c>
      <c r="C2099" s="1" t="s">
        <v>541</v>
      </c>
      <c r="D2099" s="1" t="s">
        <v>541</v>
      </c>
      <c r="E2099" s="1" t="s">
        <v>541</v>
      </c>
      <c r="F2099" t="s">
        <v>542</v>
      </c>
      <c r="G2099" t="s">
        <v>9</v>
      </c>
      <c r="H2099" t="s">
        <v>10</v>
      </c>
      <c r="I2099" t="s">
        <v>3503</v>
      </c>
      <c r="J2099">
        <v>10.35</v>
      </c>
      <c r="K2099" t="e">
        <f>IF(COUNTIF(#REF!,Tabela2[[#This Row],[IdxWspolny]])&gt;0,"ELEM_lub_PRD","TECHN")</f>
        <v>#REF!</v>
      </c>
      <c r="L2099" t="e">
        <f>IF(COUNTIF(#REF!,Tabela2[[#This Row],[KOD_PRODUKTU]])&gt;0,"ELEMENT","PRODUKT")</f>
        <v>#REF!</v>
      </c>
      <c r="M2099" t="e">
        <f>COUNTIF(#REF!,Tabela2[[#This Row],[KOD_PRODUKTU]])</f>
        <v>#REF!</v>
      </c>
    </row>
    <row r="2100" spans="1:13" x14ac:dyDescent="0.25">
      <c r="A2100" s="1" t="s">
        <v>3504</v>
      </c>
      <c r="B2100" t="s">
        <v>3505</v>
      </c>
      <c r="C2100" s="1" t="s">
        <v>3506</v>
      </c>
      <c r="D2100" s="1" t="s">
        <v>3506</v>
      </c>
      <c r="E2100" s="1" t="s">
        <v>3506</v>
      </c>
      <c r="F2100" t="s">
        <v>3507</v>
      </c>
      <c r="G2100" t="s">
        <v>1394</v>
      </c>
      <c r="H2100" t="s">
        <v>5</v>
      </c>
      <c r="I2100" t="s">
        <v>2214</v>
      </c>
      <c r="J2100">
        <v>3.2</v>
      </c>
      <c r="K2100" t="e">
        <f>IF(COUNTIF(#REF!,Tabela2[[#This Row],[IdxWspolny]])&gt;0,"ELEM_lub_PRD","TECHN")</f>
        <v>#REF!</v>
      </c>
      <c r="L2100" t="e">
        <f>IF(COUNTIF(#REF!,Tabela2[[#This Row],[KOD_PRODUKTU]])&gt;0,"ELEMENT","PRODUKT")</f>
        <v>#REF!</v>
      </c>
      <c r="M2100" t="e">
        <f>COUNTIF(#REF!,Tabela2[[#This Row],[KOD_PRODUKTU]])</f>
        <v>#REF!</v>
      </c>
    </row>
    <row r="2101" spans="1:13" x14ac:dyDescent="0.25">
      <c r="A2101" s="1" t="s">
        <v>3504</v>
      </c>
      <c r="B2101" t="s">
        <v>3505</v>
      </c>
      <c r="C2101" s="1" t="s">
        <v>432</v>
      </c>
      <c r="D2101" s="1" t="s">
        <v>432</v>
      </c>
      <c r="E2101" s="1" t="s">
        <v>432</v>
      </c>
      <c r="F2101" t="s">
        <v>433</v>
      </c>
      <c r="G2101" t="s">
        <v>434</v>
      </c>
      <c r="H2101" t="s">
        <v>435</v>
      </c>
      <c r="I2101" t="s">
        <v>92</v>
      </c>
      <c r="J2101">
        <v>2.2000000000000002</v>
      </c>
      <c r="K2101" t="e">
        <f>IF(COUNTIF(#REF!,Tabela2[[#This Row],[IdxWspolny]])&gt;0,"ELEM_lub_PRD","TECHN")</f>
        <v>#REF!</v>
      </c>
      <c r="L2101" t="e">
        <f>IF(COUNTIF(#REF!,Tabela2[[#This Row],[KOD_PRODUKTU]])&gt;0,"ELEMENT","PRODUKT")</f>
        <v>#REF!</v>
      </c>
      <c r="M2101" t="e">
        <f>COUNTIF(#REF!,Tabela2[[#This Row],[KOD_PRODUKTU]])</f>
        <v>#REF!</v>
      </c>
    </row>
    <row r="2102" spans="1:13" x14ac:dyDescent="0.25">
      <c r="A2102" s="1" t="s">
        <v>3504</v>
      </c>
      <c r="B2102" t="s">
        <v>3505</v>
      </c>
      <c r="C2102" s="1" t="s">
        <v>541</v>
      </c>
      <c r="D2102" s="1" t="s">
        <v>541</v>
      </c>
      <c r="E2102" s="1" t="s">
        <v>541</v>
      </c>
      <c r="F2102" t="s">
        <v>542</v>
      </c>
      <c r="G2102" t="s">
        <v>9</v>
      </c>
      <c r="H2102" t="s">
        <v>10</v>
      </c>
      <c r="I2102" t="s">
        <v>601</v>
      </c>
      <c r="J2102">
        <v>6.9</v>
      </c>
      <c r="K2102" t="e">
        <f>IF(COUNTIF(#REF!,Tabela2[[#This Row],[IdxWspolny]])&gt;0,"ELEM_lub_PRD","TECHN")</f>
        <v>#REF!</v>
      </c>
      <c r="L2102" t="e">
        <f>IF(COUNTIF(#REF!,Tabela2[[#This Row],[KOD_PRODUKTU]])&gt;0,"ELEMENT","PRODUKT")</f>
        <v>#REF!</v>
      </c>
      <c r="M2102" t="e">
        <f>COUNTIF(#REF!,Tabela2[[#This Row],[KOD_PRODUKTU]])</f>
        <v>#REF!</v>
      </c>
    </row>
    <row r="2103" spans="1:13" x14ac:dyDescent="0.25">
      <c r="A2103" s="1" t="s">
        <v>3508</v>
      </c>
      <c r="B2103" t="s">
        <v>3509</v>
      </c>
      <c r="C2103" s="1" t="s">
        <v>3510</v>
      </c>
      <c r="D2103" s="1" t="s">
        <v>3510</v>
      </c>
      <c r="E2103" s="1" t="s">
        <v>3510</v>
      </c>
      <c r="F2103" t="s">
        <v>3511</v>
      </c>
      <c r="G2103" t="s">
        <v>1017</v>
      </c>
      <c r="H2103" t="s">
        <v>5</v>
      </c>
      <c r="I2103" t="s">
        <v>558</v>
      </c>
      <c r="J2103">
        <v>4.32</v>
      </c>
      <c r="K2103" t="e">
        <f>IF(COUNTIF(#REF!,Tabela2[[#This Row],[IdxWspolny]])&gt;0,"ELEM_lub_PRD","TECHN")</f>
        <v>#REF!</v>
      </c>
      <c r="L2103" t="e">
        <f>IF(COUNTIF(#REF!,Tabela2[[#This Row],[KOD_PRODUKTU]])&gt;0,"ELEMENT","PRODUKT")</f>
        <v>#REF!</v>
      </c>
      <c r="M2103" t="e">
        <f>COUNTIF(#REF!,Tabela2[[#This Row],[KOD_PRODUKTU]])</f>
        <v>#REF!</v>
      </c>
    </row>
    <row r="2104" spans="1:13" x14ac:dyDescent="0.25">
      <c r="A2104" s="1" t="s">
        <v>3508</v>
      </c>
      <c r="B2104" t="s">
        <v>3509</v>
      </c>
      <c r="C2104" s="1" t="s">
        <v>541</v>
      </c>
      <c r="D2104" s="1" t="s">
        <v>541</v>
      </c>
      <c r="E2104" s="1" t="s">
        <v>541</v>
      </c>
      <c r="F2104" t="s">
        <v>542</v>
      </c>
      <c r="G2104" t="s">
        <v>9</v>
      </c>
      <c r="H2104" t="s">
        <v>10</v>
      </c>
      <c r="I2104" t="s">
        <v>33</v>
      </c>
      <c r="J2104">
        <v>9.1999999999999993</v>
      </c>
      <c r="K2104" t="e">
        <f>IF(COUNTIF(#REF!,Tabela2[[#This Row],[IdxWspolny]])&gt;0,"ELEM_lub_PRD","TECHN")</f>
        <v>#REF!</v>
      </c>
      <c r="L2104" t="e">
        <f>IF(COUNTIF(#REF!,Tabela2[[#This Row],[KOD_PRODUKTU]])&gt;0,"ELEMENT","PRODUKT")</f>
        <v>#REF!</v>
      </c>
      <c r="M2104" t="e">
        <f>COUNTIF(#REF!,Tabela2[[#This Row],[KOD_PRODUKTU]])</f>
        <v>#REF!</v>
      </c>
    </row>
    <row r="2105" spans="1:13" x14ac:dyDescent="0.25">
      <c r="A2105" s="1" t="s">
        <v>3512</v>
      </c>
      <c r="B2105" t="s">
        <v>3513</v>
      </c>
      <c r="C2105" s="1" t="s">
        <v>1203</v>
      </c>
      <c r="D2105" s="1" t="s">
        <v>1203</v>
      </c>
      <c r="E2105" s="1" t="s">
        <v>1203</v>
      </c>
      <c r="F2105" t="s">
        <v>1204</v>
      </c>
      <c r="G2105" t="s">
        <v>216</v>
      </c>
      <c r="H2105" t="s">
        <v>5</v>
      </c>
      <c r="I2105" t="s">
        <v>1236</v>
      </c>
      <c r="J2105">
        <v>0.84</v>
      </c>
      <c r="K2105" t="e">
        <f>IF(COUNTIF(#REF!,Tabela2[[#This Row],[IdxWspolny]])&gt;0,"ELEM_lub_PRD","TECHN")</f>
        <v>#REF!</v>
      </c>
      <c r="L2105" t="e">
        <f>IF(COUNTIF(#REF!,Tabela2[[#This Row],[KOD_PRODUKTU]])&gt;0,"ELEMENT","PRODUKT")</f>
        <v>#REF!</v>
      </c>
      <c r="M2105" t="e">
        <f>COUNTIF(#REF!,Tabela2[[#This Row],[KOD_PRODUKTU]])</f>
        <v>#REF!</v>
      </c>
    </row>
    <row r="2106" spans="1:13" x14ac:dyDescent="0.25">
      <c r="A2106" s="1" t="s">
        <v>3512</v>
      </c>
      <c r="B2106" t="s">
        <v>3513</v>
      </c>
      <c r="C2106" s="1" t="s">
        <v>541</v>
      </c>
      <c r="D2106" s="1" t="s">
        <v>541</v>
      </c>
      <c r="E2106" s="1" t="s">
        <v>541</v>
      </c>
      <c r="F2106" t="s">
        <v>542</v>
      </c>
      <c r="G2106" t="s">
        <v>9</v>
      </c>
      <c r="H2106" t="s">
        <v>10</v>
      </c>
      <c r="I2106" t="s">
        <v>3514</v>
      </c>
      <c r="J2106">
        <v>4.8499999999999996</v>
      </c>
      <c r="K2106" t="e">
        <f>IF(COUNTIF(#REF!,Tabela2[[#This Row],[IdxWspolny]])&gt;0,"ELEM_lub_PRD","TECHN")</f>
        <v>#REF!</v>
      </c>
      <c r="L2106" t="e">
        <f>IF(COUNTIF(#REF!,Tabela2[[#This Row],[KOD_PRODUKTU]])&gt;0,"ELEMENT","PRODUKT")</f>
        <v>#REF!</v>
      </c>
      <c r="M2106" t="e">
        <f>COUNTIF(#REF!,Tabela2[[#This Row],[KOD_PRODUKTU]])</f>
        <v>#REF!</v>
      </c>
    </row>
    <row r="2107" spans="1:13" x14ac:dyDescent="0.25">
      <c r="A2107" s="1" t="s">
        <v>3515</v>
      </c>
      <c r="B2107" t="s">
        <v>3516</v>
      </c>
      <c r="C2107" s="1" t="s">
        <v>3517</v>
      </c>
      <c r="D2107" s="1" t="s">
        <v>3517</v>
      </c>
      <c r="E2107" s="1" t="s">
        <v>3517</v>
      </c>
      <c r="F2107" t="s">
        <v>3518</v>
      </c>
      <c r="G2107" t="s">
        <v>3519</v>
      </c>
      <c r="H2107" t="s">
        <v>17</v>
      </c>
      <c r="I2107" t="s">
        <v>3520</v>
      </c>
      <c r="J2107">
        <v>14.76</v>
      </c>
      <c r="K2107" t="e">
        <f>IF(COUNTIF(#REF!,Tabela2[[#This Row],[IdxWspolny]])&gt;0,"ELEM_lub_PRD","TECHN")</f>
        <v>#REF!</v>
      </c>
      <c r="L2107" t="e">
        <f>IF(COUNTIF(#REF!,Tabela2[[#This Row],[KOD_PRODUKTU]])&gt;0,"ELEMENT","PRODUKT")</f>
        <v>#REF!</v>
      </c>
      <c r="M2107" t="e">
        <f>COUNTIF(#REF!,Tabela2[[#This Row],[KOD_PRODUKTU]])</f>
        <v>#REF!</v>
      </c>
    </row>
    <row r="2108" spans="1:13" x14ac:dyDescent="0.25">
      <c r="A2108" s="1" t="s">
        <v>3515</v>
      </c>
      <c r="B2108" t="s">
        <v>3516</v>
      </c>
      <c r="C2108" s="1" t="s">
        <v>3521</v>
      </c>
      <c r="D2108" s="1" t="s">
        <v>3521</v>
      </c>
      <c r="E2108" s="1" t="s">
        <v>3521</v>
      </c>
      <c r="F2108" t="s">
        <v>3522</v>
      </c>
      <c r="G2108" t="s">
        <v>1768</v>
      </c>
      <c r="H2108" t="s">
        <v>121</v>
      </c>
      <c r="I2108" t="s">
        <v>50</v>
      </c>
      <c r="J2108">
        <v>0</v>
      </c>
      <c r="K2108" t="e">
        <f>IF(COUNTIF(#REF!,Tabela2[[#This Row],[IdxWspolny]])&gt;0,"ELEM_lub_PRD","TECHN")</f>
        <v>#REF!</v>
      </c>
      <c r="L2108" t="e">
        <f>IF(COUNTIF(#REF!,Tabela2[[#This Row],[KOD_PRODUKTU]])&gt;0,"ELEMENT","PRODUKT")</f>
        <v>#REF!</v>
      </c>
      <c r="M2108" t="e">
        <f>COUNTIF(#REF!,Tabela2[[#This Row],[KOD_PRODUKTU]])</f>
        <v>#REF!</v>
      </c>
    </row>
    <row r="2109" spans="1:13" x14ac:dyDescent="0.25">
      <c r="A2109" s="1" t="s">
        <v>3515</v>
      </c>
      <c r="B2109" t="s">
        <v>3516</v>
      </c>
      <c r="C2109" s="1" t="s">
        <v>3521</v>
      </c>
      <c r="D2109" s="1" t="s">
        <v>3521</v>
      </c>
      <c r="E2109" s="1" t="s">
        <v>3521</v>
      </c>
      <c r="F2109" t="s">
        <v>3522</v>
      </c>
      <c r="G2109" t="s">
        <v>1768</v>
      </c>
      <c r="H2109" t="s">
        <v>121</v>
      </c>
      <c r="I2109" t="s">
        <v>50</v>
      </c>
      <c r="J2109">
        <v>0</v>
      </c>
      <c r="K2109" t="e">
        <f>IF(COUNTIF(#REF!,Tabela2[[#This Row],[IdxWspolny]])&gt;0,"ELEM_lub_PRD","TECHN")</f>
        <v>#REF!</v>
      </c>
      <c r="L2109" t="e">
        <f>IF(COUNTIF(#REF!,Tabela2[[#This Row],[KOD_PRODUKTU]])&gt;0,"ELEMENT","PRODUKT")</f>
        <v>#REF!</v>
      </c>
      <c r="M2109" t="e">
        <f>COUNTIF(#REF!,Tabela2[[#This Row],[KOD_PRODUKTU]])</f>
        <v>#REF!</v>
      </c>
    </row>
    <row r="2110" spans="1:13" x14ac:dyDescent="0.25">
      <c r="A2110" s="1" t="s">
        <v>3515</v>
      </c>
      <c r="B2110" t="s">
        <v>3516</v>
      </c>
      <c r="C2110" s="1" t="s">
        <v>3523</v>
      </c>
      <c r="D2110" s="1" t="s">
        <v>3523</v>
      </c>
      <c r="E2110" s="1" t="s">
        <v>3523</v>
      </c>
      <c r="F2110" t="s">
        <v>3524</v>
      </c>
      <c r="G2110" t="s">
        <v>3525</v>
      </c>
      <c r="H2110" t="s">
        <v>49</v>
      </c>
      <c r="I2110" t="s">
        <v>50</v>
      </c>
      <c r="J2110">
        <v>449.19</v>
      </c>
      <c r="K2110" t="e">
        <f>IF(COUNTIF(#REF!,Tabela2[[#This Row],[IdxWspolny]])&gt;0,"ELEM_lub_PRD","TECHN")</f>
        <v>#REF!</v>
      </c>
      <c r="L2110" t="e">
        <f>IF(COUNTIF(#REF!,Tabela2[[#This Row],[KOD_PRODUKTU]])&gt;0,"ELEMENT","PRODUKT")</f>
        <v>#REF!</v>
      </c>
      <c r="M2110" t="e">
        <f>COUNTIF(#REF!,Tabela2[[#This Row],[KOD_PRODUKTU]])</f>
        <v>#REF!</v>
      </c>
    </row>
    <row r="2111" spans="1:13" x14ac:dyDescent="0.25">
      <c r="A2111" s="1" t="s">
        <v>3515</v>
      </c>
      <c r="B2111" t="s">
        <v>3516</v>
      </c>
      <c r="C2111" s="1" t="s">
        <v>3526</v>
      </c>
      <c r="D2111" s="1" t="s">
        <v>3526</v>
      </c>
      <c r="E2111" s="1" t="s">
        <v>3526</v>
      </c>
      <c r="F2111" t="s">
        <v>3527</v>
      </c>
      <c r="G2111" t="s">
        <v>3528</v>
      </c>
      <c r="H2111" t="s">
        <v>121</v>
      </c>
      <c r="I2111" t="s">
        <v>2002</v>
      </c>
      <c r="J2111">
        <v>0</v>
      </c>
      <c r="K2111" t="e">
        <f>IF(COUNTIF(#REF!,Tabela2[[#This Row],[IdxWspolny]])&gt;0,"ELEM_lub_PRD","TECHN")</f>
        <v>#REF!</v>
      </c>
      <c r="L2111" t="e">
        <f>IF(COUNTIF(#REF!,Tabela2[[#This Row],[KOD_PRODUKTU]])&gt;0,"ELEMENT","PRODUKT")</f>
        <v>#REF!</v>
      </c>
      <c r="M2111" t="e">
        <f>COUNTIF(#REF!,Tabela2[[#This Row],[KOD_PRODUKTU]])</f>
        <v>#REF!</v>
      </c>
    </row>
    <row r="2112" spans="1:13" x14ac:dyDescent="0.25">
      <c r="A2112" s="1" t="s">
        <v>3515</v>
      </c>
      <c r="B2112" t="s">
        <v>3516</v>
      </c>
      <c r="C2112" s="1" t="s">
        <v>3452</v>
      </c>
      <c r="D2112" s="1" t="s">
        <v>3452</v>
      </c>
      <c r="E2112" s="1" t="s">
        <v>3452</v>
      </c>
      <c r="F2112" t="s">
        <v>3453</v>
      </c>
      <c r="G2112" t="s">
        <v>1588</v>
      </c>
      <c r="H2112" t="s">
        <v>39</v>
      </c>
      <c r="I2112" t="s">
        <v>1236</v>
      </c>
      <c r="J2112">
        <v>2.34</v>
      </c>
      <c r="K2112" t="e">
        <f>IF(COUNTIF(#REF!,Tabela2[[#This Row],[IdxWspolny]])&gt;0,"ELEM_lub_PRD","TECHN")</f>
        <v>#REF!</v>
      </c>
      <c r="L2112" t="e">
        <f>IF(COUNTIF(#REF!,Tabela2[[#This Row],[KOD_PRODUKTU]])&gt;0,"ELEMENT","PRODUKT")</f>
        <v>#REF!</v>
      </c>
      <c r="M2112" t="e">
        <f>COUNTIF(#REF!,Tabela2[[#This Row],[KOD_PRODUKTU]])</f>
        <v>#REF!</v>
      </c>
    </row>
    <row r="2113" spans="1:14" x14ac:dyDescent="0.25">
      <c r="A2113" s="1" t="s">
        <v>3515</v>
      </c>
      <c r="B2113" t="s">
        <v>3516</v>
      </c>
      <c r="C2113" s="1" t="s">
        <v>2835</v>
      </c>
      <c r="D2113" s="1" t="s">
        <v>2835</v>
      </c>
      <c r="E2113" s="1" t="s">
        <v>2835</v>
      </c>
      <c r="F2113" t="s">
        <v>2836</v>
      </c>
      <c r="G2113" t="s">
        <v>2837</v>
      </c>
      <c r="H2113" t="s">
        <v>5</v>
      </c>
      <c r="I2113" t="s">
        <v>3454</v>
      </c>
      <c r="J2113">
        <v>1.89</v>
      </c>
      <c r="K2113" t="e">
        <f>IF(COUNTIF(#REF!,Tabela2[[#This Row],[IdxWspolny]])&gt;0,"ELEM_lub_PRD","TECHN")</f>
        <v>#REF!</v>
      </c>
      <c r="L2113" t="e">
        <f>IF(COUNTIF(#REF!,Tabela2[[#This Row],[KOD_PRODUKTU]])&gt;0,"ELEMENT","PRODUKT")</f>
        <v>#REF!</v>
      </c>
      <c r="M2113" t="e">
        <f>COUNTIF(#REF!,Tabela2[[#This Row],[KOD_PRODUKTU]])</f>
        <v>#REF!</v>
      </c>
    </row>
    <row r="2114" spans="1:14" x14ac:dyDescent="0.25">
      <c r="A2114" s="1" t="s">
        <v>3515</v>
      </c>
      <c r="B2114" t="s">
        <v>3516</v>
      </c>
      <c r="C2114" s="1" t="s">
        <v>3456</v>
      </c>
      <c r="D2114" s="1" t="s">
        <v>3456</v>
      </c>
      <c r="E2114" s="1" t="s">
        <v>3456</v>
      </c>
      <c r="F2114" t="s">
        <v>3457</v>
      </c>
      <c r="G2114" t="s">
        <v>3458</v>
      </c>
      <c r="H2114" t="s">
        <v>39</v>
      </c>
      <c r="I2114" t="s">
        <v>605</v>
      </c>
      <c r="J2114">
        <v>0.66</v>
      </c>
      <c r="K2114" t="e">
        <f>IF(COUNTIF(#REF!,Tabela2[[#This Row],[IdxWspolny]])&gt;0,"ELEM_lub_PRD","TECHN")</f>
        <v>#REF!</v>
      </c>
      <c r="L2114" t="e">
        <f>IF(COUNTIF(#REF!,Tabela2[[#This Row],[KOD_PRODUKTU]])&gt;0,"ELEMENT","PRODUKT")</f>
        <v>#REF!</v>
      </c>
      <c r="M2114" t="e">
        <f>COUNTIF(#REF!,Tabela2[[#This Row],[KOD_PRODUKTU]])</f>
        <v>#REF!</v>
      </c>
    </row>
    <row r="2115" spans="1:14" x14ac:dyDescent="0.25">
      <c r="A2115" s="1" t="s">
        <v>3515</v>
      </c>
      <c r="B2115" t="s">
        <v>3516</v>
      </c>
      <c r="C2115" s="1" t="s">
        <v>3529</v>
      </c>
      <c r="D2115" s="1" t="s">
        <v>3529</v>
      </c>
      <c r="E2115" s="1" t="s">
        <v>3529</v>
      </c>
      <c r="F2115" t="s">
        <v>3530</v>
      </c>
      <c r="G2115" t="s">
        <v>1888</v>
      </c>
      <c r="H2115" t="s">
        <v>5</v>
      </c>
      <c r="I2115" t="s">
        <v>2302</v>
      </c>
      <c r="J2115">
        <v>0.18</v>
      </c>
      <c r="K2115" t="e">
        <f>IF(COUNTIF(#REF!,Tabela2[[#This Row],[IdxWspolny]])&gt;0,"ELEM_lub_PRD","TECHN")</f>
        <v>#REF!</v>
      </c>
      <c r="L2115" t="e">
        <f>IF(COUNTIF(#REF!,Tabela2[[#This Row],[KOD_PRODUKTU]])&gt;0,"ELEMENT","PRODUKT")</f>
        <v>#REF!</v>
      </c>
      <c r="M2115" t="e">
        <f>COUNTIF(#REF!,Tabela2[[#This Row],[KOD_PRODUKTU]])</f>
        <v>#REF!</v>
      </c>
    </row>
    <row r="2116" spans="1:14" x14ac:dyDescent="0.25">
      <c r="A2116" s="1" t="s">
        <v>3515</v>
      </c>
      <c r="B2116" t="s">
        <v>3516</v>
      </c>
      <c r="C2116" s="1" t="s">
        <v>628</v>
      </c>
      <c r="D2116" s="1" t="s">
        <v>628</v>
      </c>
      <c r="E2116" s="1" t="s">
        <v>628</v>
      </c>
      <c r="F2116" t="s">
        <v>629</v>
      </c>
      <c r="G2116" t="s">
        <v>630</v>
      </c>
      <c r="H2116" t="s">
        <v>5</v>
      </c>
      <c r="I2116" t="s">
        <v>598</v>
      </c>
      <c r="J2116">
        <v>0.08</v>
      </c>
      <c r="K2116" t="e">
        <f>IF(COUNTIF(#REF!,Tabela2[[#This Row],[IdxWspolny]])&gt;0,"ELEM_lub_PRD","TECHN")</f>
        <v>#REF!</v>
      </c>
      <c r="L2116" t="e">
        <f>IF(COUNTIF(#REF!,Tabela2[[#This Row],[KOD_PRODUKTU]])&gt;0,"ELEMENT","PRODUKT")</f>
        <v>#REF!</v>
      </c>
      <c r="M2116" t="e">
        <f>COUNTIF(#REF!,Tabela2[[#This Row],[KOD_PRODUKTU]])</f>
        <v>#REF!</v>
      </c>
    </row>
    <row r="2117" spans="1:14" x14ac:dyDescent="0.25">
      <c r="A2117" s="1" t="s">
        <v>3515</v>
      </c>
      <c r="B2117" t="s">
        <v>3516</v>
      </c>
      <c r="C2117" s="1" t="s">
        <v>483</v>
      </c>
      <c r="D2117" s="1" t="s">
        <v>483</v>
      </c>
      <c r="E2117" s="1" t="s">
        <v>483</v>
      </c>
      <c r="F2117" t="s">
        <v>484</v>
      </c>
      <c r="G2117" t="s">
        <v>2789</v>
      </c>
      <c r="H2117" t="s">
        <v>5</v>
      </c>
      <c r="I2117" t="s">
        <v>3531</v>
      </c>
      <c r="J2117">
        <v>0.11</v>
      </c>
      <c r="K2117" t="e">
        <f>IF(COUNTIF(#REF!,Tabela2[[#This Row],[IdxWspolny]])&gt;0,"ELEM_lub_PRD","TECHN")</f>
        <v>#REF!</v>
      </c>
      <c r="L2117" t="e">
        <f>IF(COUNTIF(#REF!,Tabela2[[#This Row],[KOD_PRODUKTU]])&gt;0,"ELEMENT","PRODUKT")</f>
        <v>#REF!</v>
      </c>
      <c r="M2117" t="e">
        <f>COUNTIF(#REF!,Tabela2[[#This Row],[KOD_PRODUKTU]])</f>
        <v>#REF!</v>
      </c>
    </row>
    <row r="2118" spans="1:14" x14ac:dyDescent="0.25">
      <c r="A2118" s="1" t="s">
        <v>3515</v>
      </c>
      <c r="B2118" t="s">
        <v>3516</v>
      </c>
      <c r="C2118" s="1" t="s">
        <v>2844</v>
      </c>
      <c r="D2118" s="1" t="s">
        <v>2844</v>
      </c>
      <c r="E2118" s="1" t="s">
        <v>2844</v>
      </c>
      <c r="F2118" t="s">
        <v>2845</v>
      </c>
      <c r="G2118" t="s">
        <v>2846</v>
      </c>
      <c r="H2118" t="s">
        <v>5</v>
      </c>
      <c r="I2118" t="s">
        <v>2213</v>
      </c>
      <c r="J2118">
        <v>0.01</v>
      </c>
      <c r="K2118" t="e">
        <f>IF(COUNTIF(#REF!,Tabela2[[#This Row],[IdxWspolny]])&gt;0,"ELEM_lub_PRD","TECHN")</f>
        <v>#REF!</v>
      </c>
      <c r="L2118" t="e">
        <f>IF(COUNTIF(#REF!,Tabela2[[#This Row],[KOD_PRODUKTU]])&gt;0,"ELEMENT","PRODUKT")</f>
        <v>#REF!</v>
      </c>
      <c r="M2118" t="e">
        <f>COUNTIF(#REF!,Tabela2[[#This Row],[KOD_PRODUKTU]])</f>
        <v>#REF!</v>
      </c>
    </row>
    <row r="2119" spans="1:14" x14ac:dyDescent="0.25">
      <c r="A2119" s="1" t="s">
        <v>3515</v>
      </c>
      <c r="B2119" t="s">
        <v>3516</v>
      </c>
      <c r="C2119" s="1" t="s">
        <v>1971</v>
      </c>
      <c r="D2119" s="1" t="s">
        <v>1971</v>
      </c>
      <c r="E2119" s="1" t="s">
        <v>1971</v>
      </c>
      <c r="F2119" t="s">
        <v>1972</v>
      </c>
      <c r="G2119" t="s">
        <v>1964</v>
      </c>
      <c r="H2119" t="s">
        <v>5</v>
      </c>
      <c r="I2119" t="s">
        <v>3460</v>
      </c>
      <c r="J2119">
        <v>0.62</v>
      </c>
      <c r="K2119" t="e">
        <f>IF(COUNTIF(#REF!,Tabela2[[#This Row],[IdxWspolny]])&gt;0,"ELEM_lub_PRD","TECHN")</f>
        <v>#REF!</v>
      </c>
      <c r="L2119" t="e">
        <f>IF(COUNTIF(#REF!,Tabela2[[#This Row],[KOD_PRODUKTU]])&gt;0,"ELEMENT","PRODUKT")</f>
        <v>#REF!</v>
      </c>
      <c r="M2119" t="e">
        <f>COUNTIF(#REF!,Tabela2[[#This Row],[KOD_PRODUKTU]])</f>
        <v>#REF!</v>
      </c>
    </row>
    <row r="2120" spans="1:14" x14ac:dyDescent="0.25">
      <c r="A2120" s="1" t="s">
        <v>3515</v>
      </c>
      <c r="B2120" t="s">
        <v>3516</v>
      </c>
      <c r="C2120" s="1" t="s">
        <v>2848</v>
      </c>
      <c r="D2120" s="1" t="s">
        <v>2848</v>
      </c>
      <c r="E2120" s="1" t="s">
        <v>2848</v>
      </c>
      <c r="F2120" t="s">
        <v>2849</v>
      </c>
      <c r="G2120" t="s">
        <v>879</v>
      </c>
      <c r="H2120" t="s">
        <v>5</v>
      </c>
      <c r="I2120" t="s">
        <v>3461</v>
      </c>
      <c r="J2120">
        <v>0.19</v>
      </c>
      <c r="K2120" t="e">
        <f>IF(COUNTIF(#REF!,Tabela2[[#This Row],[IdxWspolny]])&gt;0,"ELEM_lub_PRD","TECHN")</f>
        <v>#REF!</v>
      </c>
      <c r="L2120" t="e">
        <f>IF(COUNTIF(#REF!,Tabela2[[#This Row],[KOD_PRODUKTU]])&gt;0,"ELEMENT","PRODUKT")</f>
        <v>#REF!</v>
      </c>
      <c r="M2120" t="e">
        <f>COUNTIF(#REF!,Tabela2[[#This Row],[KOD_PRODUKTU]])</f>
        <v>#REF!</v>
      </c>
    </row>
    <row r="2121" spans="1:14" x14ac:dyDescent="0.25">
      <c r="A2121" s="1" t="s">
        <v>3515</v>
      </c>
      <c r="B2121" t="s">
        <v>3516</v>
      </c>
      <c r="C2121" s="1" t="s">
        <v>1974</v>
      </c>
      <c r="D2121" s="1" t="s">
        <v>1974</v>
      </c>
      <c r="E2121" s="1" t="s">
        <v>1974</v>
      </c>
      <c r="F2121" t="s">
        <v>1975</v>
      </c>
      <c r="G2121" t="s">
        <v>879</v>
      </c>
      <c r="H2121" t="s">
        <v>121</v>
      </c>
      <c r="I2121" t="s">
        <v>367</v>
      </c>
      <c r="J2121">
        <v>0.7</v>
      </c>
      <c r="K2121" t="e">
        <f>IF(COUNTIF(#REF!,Tabela2[[#This Row],[IdxWspolny]])&gt;0,"ELEM_lub_PRD","TECHN")</f>
        <v>#REF!</v>
      </c>
      <c r="L2121" t="e">
        <f>IF(COUNTIF(#REF!,Tabela2[[#This Row],[KOD_PRODUKTU]])&gt;0,"ELEMENT","PRODUKT")</f>
        <v>#REF!</v>
      </c>
      <c r="M2121" t="e">
        <f>COUNTIF(#REF!,Tabela2[[#This Row],[KOD_PRODUKTU]])</f>
        <v>#REF!</v>
      </c>
    </row>
    <row r="2122" spans="1:14" x14ac:dyDescent="0.25">
      <c r="A2122" s="1" t="s">
        <v>3515</v>
      </c>
      <c r="B2122" t="s">
        <v>3516</v>
      </c>
      <c r="C2122" s="1" t="s">
        <v>41</v>
      </c>
      <c r="D2122" s="1" t="s">
        <v>41</v>
      </c>
      <c r="E2122" s="1" t="s">
        <v>41</v>
      </c>
      <c r="F2122" t="s">
        <v>42</v>
      </c>
      <c r="G2122" t="s">
        <v>513</v>
      </c>
      <c r="H2122" t="s">
        <v>5</v>
      </c>
      <c r="I2122" t="s">
        <v>19</v>
      </c>
      <c r="J2122">
        <v>0.55000000000000004</v>
      </c>
      <c r="K2122" t="e">
        <f>IF(COUNTIF(#REF!,Tabela2[[#This Row],[IdxWspolny]])&gt;0,"ELEM_lub_PRD","TECHN")</f>
        <v>#REF!</v>
      </c>
      <c r="L2122" t="e">
        <f>IF(COUNTIF(#REF!,Tabela2[[#This Row],[KOD_PRODUKTU]])&gt;0,"ELEMENT","PRODUKT")</f>
        <v>#REF!</v>
      </c>
      <c r="M2122" t="e">
        <f>COUNTIF(#REF!,Tabela2[[#This Row],[KOD_PRODUKTU]])</f>
        <v>#REF!</v>
      </c>
    </row>
    <row r="2123" spans="1:14" x14ac:dyDescent="0.25">
      <c r="A2123" s="1" t="s">
        <v>3515</v>
      </c>
      <c r="B2123" t="s">
        <v>3516</v>
      </c>
      <c r="C2123" s="1" t="s">
        <v>2797</v>
      </c>
      <c r="D2123" s="1" t="s">
        <v>2797</v>
      </c>
      <c r="E2123" s="1" t="s">
        <v>2797</v>
      </c>
      <c r="F2123" t="s">
        <v>2798</v>
      </c>
      <c r="G2123" t="s">
        <v>2799</v>
      </c>
      <c r="H2123" t="s">
        <v>121</v>
      </c>
      <c r="I2123" t="s">
        <v>50</v>
      </c>
      <c r="J2123">
        <v>2.41</v>
      </c>
      <c r="K2123" t="e">
        <f>IF(COUNTIF(#REF!,Tabela2[[#This Row],[IdxWspolny]])&gt;0,"ELEM_lub_PRD","TECHN")</f>
        <v>#REF!</v>
      </c>
      <c r="L2123" t="e">
        <f>IF(COUNTIF(#REF!,Tabela2[[#This Row],[KOD_PRODUKTU]])&gt;0,"ELEMENT","PRODUKT")</f>
        <v>#REF!</v>
      </c>
      <c r="M2123" t="e">
        <f>COUNTIF(#REF!,Tabela2[[#This Row],[KOD_PRODUKTU]])</f>
        <v>#REF!</v>
      </c>
    </row>
    <row r="2124" spans="1:14" hidden="1" x14ac:dyDescent="0.25">
      <c r="A2124" s="1" t="s">
        <v>3515</v>
      </c>
      <c r="B2124" t="s">
        <v>3516</v>
      </c>
      <c r="C2124" s="1" t="s">
        <v>3532</v>
      </c>
      <c r="D2124" s="1" t="s">
        <v>3532</v>
      </c>
      <c r="E2124" s="1" t="s">
        <v>3532</v>
      </c>
      <c r="F2124" t="s">
        <v>3533</v>
      </c>
      <c r="G2124" t="s">
        <v>3534</v>
      </c>
      <c r="H2124" t="s">
        <v>121</v>
      </c>
      <c r="I2124" t="s">
        <v>50</v>
      </c>
      <c r="J2124">
        <v>30.13</v>
      </c>
      <c r="K2124" t="e">
        <f>IF(COUNTIF(#REF!,Tabela2[[#This Row],[IdxWspolny]])&gt;0,"ELEM_lub_PRD","TECHN")</f>
        <v>#REF!</v>
      </c>
      <c r="L2124" t="e">
        <f>IF(COUNTIF(#REF!,Tabela2[[#This Row],[KOD_PRODUKTU]])&gt;0,"ELEMENT","PRODUKT")</f>
        <v>#REF!</v>
      </c>
      <c r="M2124" t="e">
        <f>COUNTIF(#REF!,Tabela2[[#This Row],[KOD_PRODUKTU]])</f>
        <v>#REF!</v>
      </c>
      <c r="N2124" t="s">
        <v>55</v>
      </c>
    </row>
    <row r="2125" spans="1:14" hidden="1" x14ac:dyDescent="0.25">
      <c r="A2125" s="1" t="s">
        <v>3515</v>
      </c>
      <c r="B2125" t="s">
        <v>3516</v>
      </c>
      <c r="C2125" s="1" t="s">
        <v>2800</v>
      </c>
      <c r="D2125" s="1" t="s">
        <v>2800</v>
      </c>
      <c r="E2125" s="1" t="s">
        <v>2800</v>
      </c>
      <c r="F2125" t="s">
        <v>2801</v>
      </c>
      <c r="G2125" t="s">
        <v>2802</v>
      </c>
      <c r="H2125" t="s">
        <v>121</v>
      </c>
      <c r="I2125" t="s">
        <v>50</v>
      </c>
      <c r="J2125">
        <v>157.28</v>
      </c>
      <c r="K2125" t="e">
        <f>IF(COUNTIF(#REF!,Tabela2[[#This Row],[IdxWspolny]])&gt;0,"ELEM_lub_PRD","TECHN")</f>
        <v>#REF!</v>
      </c>
      <c r="L2125" t="e">
        <f>IF(COUNTIF(#REF!,Tabela2[[#This Row],[KOD_PRODUKTU]])&gt;0,"ELEMENT","PRODUKT")</f>
        <v>#REF!</v>
      </c>
      <c r="M2125" t="e">
        <f>COUNTIF(#REF!,Tabela2[[#This Row],[KOD_PRODUKTU]])</f>
        <v>#REF!</v>
      </c>
      <c r="N2125" t="s">
        <v>55</v>
      </c>
    </row>
    <row r="2126" spans="1:14" hidden="1" x14ac:dyDescent="0.25">
      <c r="A2126" s="1" t="s">
        <v>3515</v>
      </c>
      <c r="B2126" t="s">
        <v>3516</v>
      </c>
      <c r="C2126" s="1" t="s">
        <v>2803</v>
      </c>
      <c r="D2126" s="1" t="s">
        <v>2803</v>
      </c>
      <c r="E2126" s="1" t="s">
        <v>2803</v>
      </c>
      <c r="F2126" t="s">
        <v>2804</v>
      </c>
      <c r="G2126" t="s">
        <v>2805</v>
      </c>
      <c r="H2126" t="s">
        <v>121</v>
      </c>
      <c r="I2126" t="s">
        <v>50</v>
      </c>
      <c r="J2126">
        <v>122.15</v>
      </c>
      <c r="K2126" t="e">
        <f>IF(COUNTIF(#REF!,Tabela2[[#This Row],[IdxWspolny]])&gt;0,"ELEM_lub_PRD","TECHN")</f>
        <v>#REF!</v>
      </c>
      <c r="L2126" t="e">
        <f>IF(COUNTIF(#REF!,Tabela2[[#This Row],[KOD_PRODUKTU]])&gt;0,"ELEMENT","PRODUKT")</f>
        <v>#REF!</v>
      </c>
      <c r="M2126" t="e">
        <f>COUNTIF(#REF!,Tabela2[[#This Row],[KOD_PRODUKTU]])</f>
        <v>#REF!</v>
      </c>
      <c r="N2126" t="s">
        <v>55</v>
      </c>
    </row>
    <row r="2127" spans="1:14" hidden="1" x14ac:dyDescent="0.25">
      <c r="A2127" s="1" t="s">
        <v>3515</v>
      </c>
      <c r="B2127" t="s">
        <v>3516</v>
      </c>
      <c r="C2127" s="1" t="s">
        <v>2806</v>
      </c>
      <c r="D2127" s="1" t="s">
        <v>2806</v>
      </c>
      <c r="E2127" s="1" t="s">
        <v>2806</v>
      </c>
      <c r="F2127" t="s">
        <v>2807</v>
      </c>
      <c r="G2127" t="s">
        <v>2808</v>
      </c>
      <c r="H2127" t="s">
        <v>121</v>
      </c>
      <c r="I2127" t="s">
        <v>50</v>
      </c>
      <c r="J2127">
        <v>178.11</v>
      </c>
      <c r="K2127" t="e">
        <f>IF(COUNTIF(#REF!,Tabela2[[#This Row],[IdxWspolny]])&gt;0,"ELEM_lub_PRD","TECHN")</f>
        <v>#REF!</v>
      </c>
      <c r="L2127" t="e">
        <f>IF(COUNTIF(#REF!,Tabela2[[#This Row],[KOD_PRODUKTU]])&gt;0,"ELEMENT","PRODUKT")</f>
        <v>#REF!</v>
      </c>
      <c r="M2127" t="e">
        <f>COUNTIF(#REF!,Tabela2[[#This Row],[KOD_PRODUKTU]])</f>
        <v>#REF!</v>
      </c>
      <c r="N2127" t="s">
        <v>55</v>
      </c>
    </row>
    <row r="2128" spans="1:14" hidden="1" x14ac:dyDescent="0.25">
      <c r="A2128" s="1" t="s">
        <v>3515</v>
      </c>
      <c r="B2128" t="s">
        <v>3516</v>
      </c>
      <c r="C2128" s="1" t="s">
        <v>2809</v>
      </c>
      <c r="D2128" s="1" t="s">
        <v>2809</v>
      </c>
      <c r="E2128" s="1" t="s">
        <v>2809</v>
      </c>
      <c r="F2128" t="s">
        <v>2810</v>
      </c>
      <c r="G2128" t="s">
        <v>2811</v>
      </c>
      <c r="H2128" t="s">
        <v>121</v>
      </c>
      <c r="I2128" t="s">
        <v>50</v>
      </c>
      <c r="J2128">
        <v>74.95</v>
      </c>
      <c r="K2128" t="e">
        <f>IF(COUNTIF(#REF!,Tabela2[[#This Row],[IdxWspolny]])&gt;0,"ELEM_lub_PRD","TECHN")</f>
        <v>#REF!</v>
      </c>
      <c r="L2128" t="e">
        <f>IF(COUNTIF(#REF!,Tabela2[[#This Row],[KOD_PRODUKTU]])&gt;0,"ELEMENT","PRODUKT")</f>
        <v>#REF!</v>
      </c>
      <c r="M2128" t="e">
        <f>COUNTIF(#REF!,Tabela2[[#This Row],[KOD_PRODUKTU]])</f>
        <v>#REF!</v>
      </c>
      <c r="N2128" t="s">
        <v>55</v>
      </c>
    </row>
    <row r="2129" spans="1:14" hidden="1" x14ac:dyDescent="0.25">
      <c r="A2129" s="1" t="s">
        <v>3515</v>
      </c>
      <c r="B2129" t="s">
        <v>3516</v>
      </c>
      <c r="C2129" s="1" t="s">
        <v>2815</v>
      </c>
      <c r="D2129" s="1" t="s">
        <v>2815</v>
      </c>
      <c r="E2129" s="1" t="s">
        <v>2815</v>
      </c>
      <c r="F2129" t="s">
        <v>2816</v>
      </c>
      <c r="G2129" t="s">
        <v>2817</v>
      </c>
      <c r="H2129" t="s">
        <v>121</v>
      </c>
      <c r="I2129" t="s">
        <v>50</v>
      </c>
      <c r="J2129">
        <v>39.659999999999997</v>
      </c>
      <c r="K2129" t="e">
        <f>IF(COUNTIF(#REF!,Tabela2[[#This Row],[IdxWspolny]])&gt;0,"ELEM_lub_PRD","TECHN")</f>
        <v>#REF!</v>
      </c>
      <c r="L2129" t="e">
        <f>IF(COUNTIF(#REF!,Tabela2[[#This Row],[KOD_PRODUKTU]])&gt;0,"ELEMENT","PRODUKT")</f>
        <v>#REF!</v>
      </c>
      <c r="M2129" t="e">
        <f>COUNTIF(#REF!,Tabela2[[#This Row],[KOD_PRODUKTU]])</f>
        <v>#REF!</v>
      </c>
      <c r="N2129" t="s">
        <v>55</v>
      </c>
    </row>
    <row r="2130" spans="1:14" hidden="1" x14ac:dyDescent="0.25">
      <c r="A2130" s="1" t="s">
        <v>3515</v>
      </c>
      <c r="B2130" t="s">
        <v>3516</v>
      </c>
      <c r="C2130" s="1" t="s">
        <v>2818</v>
      </c>
      <c r="D2130" s="1" t="s">
        <v>2818</v>
      </c>
      <c r="E2130" s="1" t="s">
        <v>2818</v>
      </c>
      <c r="F2130" t="s">
        <v>2819</v>
      </c>
      <c r="G2130" t="s">
        <v>2820</v>
      </c>
      <c r="H2130" t="s">
        <v>121</v>
      </c>
      <c r="I2130" t="s">
        <v>92</v>
      </c>
      <c r="J2130">
        <v>89.9</v>
      </c>
      <c r="K2130" t="e">
        <f>IF(COUNTIF(#REF!,Tabela2[[#This Row],[IdxWspolny]])&gt;0,"ELEM_lub_PRD","TECHN")</f>
        <v>#REF!</v>
      </c>
      <c r="L2130" t="e">
        <f>IF(COUNTIF(#REF!,Tabela2[[#This Row],[KOD_PRODUKTU]])&gt;0,"ELEMENT","PRODUKT")</f>
        <v>#REF!</v>
      </c>
      <c r="M2130" t="e">
        <f>COUNTIF(#REF!,Tabela2[[#This Row],[KOD_PRODUKTU]])</f>
        <v>#REF!</v>
      </c>
      <c r="N2130" t="s">
        <v>55</v>
      </c>
    </row>
    <row r="2131" spans="1:14" x14ac:dyDescent="0.25">
      <c r="A2131" s="1" t="s">
        <v>3515</v>
      </c>
      <c r="B2131" t="s">
        <v>3516</v>
      </c>
      <c r="C2131" s="1" t="s">
        <v>2577</v>
      </c>
      <c r="D2131" s="1" t="s">
        <v>2577</v>
      </c>
      <c r="E2131" s="1" t="s">
        <v>2577</v>
      </c>
      <c r="F2131" t="s">
        <v>2578</v>
      </c>
      <c r="G2131" t="s">
        <v>686</v>
      </c>
      <c r="H2131" t="s">
        <v>49</v>
      </c>
      <c r="I2131" t="s">
        <v>3535</v>
      </c>
      <c r="J2131">
        <v>388.96</v>
      </c>
      <c r="K2131" t="e">
        <f>IF(COUNTIF(#REF!,Tabela2[[#This Row],[IdxWspolny]])&gt;0,"ELEM_lub_PRD","TECHN")</f>
        <v>#REF!</v>
      </c>
      <c r="L2131" t="e">
        <f>IF(COUNTIF(#REF!,Tabela2[[#This Row],[KOD_PRODUKTU]])&gt;0,"ELEMENT","PRODUKT")</f>
        <v>#REF!</v>
      </c>
      <c r="M2131" t="e">
        <f>COUNTIF(#REF!,Tabela2[[#This Row],[KOD_PRODUKTU]])</f>
        <v>#REF!</v>
      </c>
    </row>
    <row r="2132" spans="1:14" x14ac:dyDescent="0.25">
      <c r="A2132" s="1" t="s">
        <v>3515</v>
      </c>
      <c r="B2132" t="s">
        <v>3516</v>
      </c>
      <c r="C2132" s="1" t="s">
        <v>684</v>
      </c>
      <c r="D2132" s="1" t="s">
        <v>684</v>
      </c>
      <c r="E2132" s="1" t="s">
        <v>684</v>
      </c>
      <c r="F2132" t="s">
        <v>685</v>
      </c>
      <c r="G2132" t="s">
        <v>686</v>
      </c>
      <c r="H2132" t="s">
        <v>49</v>
      </c>
      <c r="I2132" t="s">
        <v>3536</v>
      </c>
      <c r="J2132">
        <v>1.01</v>
      </c>
      <c r="K2132" t="e">
        <f>IF(COUNTIF(#REF!,Tabela2[[#This Row],[IdxWspolny]])&gt;0,"ELEM_lub_PRD","TECHN")</f>
        <v>#REF!</v>
      </c>
      <c r="L2132" t="e">
        <f>IF(COUNTIF(#REF!,Tabela2[[#This Row],[KOD_PRODUKTU]])&gt;0,"ELEMENT","PRODUKT")</f>
        <v>#REF!</v>
      </c>
      <c r="M2132" t="e">
        <f>COUNTIF(#REF!,Tabela2[[#This Row],[KOD_PRODUKTU]])</f>
        <v>#REF!</v>
      </c>
    </row>
    <row r="2133" spans="1:14" x14ac:dyDescent="0.25">
      <c r="A2133" s="1" t="s">
        <v>3515</v>
      </c>
      <c r="B2133" t="s">
        <v>3516</v>
      </c>
      <c r="C2133" s="1" t="s">
        <v>684</v>
      </c>
      <c r="D2133" s="1" t="s">
        <v>684</v>
      </c>
      <c r="E2133" s="1" t="s">
        <v>684</v>
      </c>
      <c r="F2133" t="s">
        <v>685</v>
      </c>
      <c r="G2133" t="s">
        <v>686</v>
      </c>
      <c r="H2133" t="s">
        <v>49</v>
      </c>
      <c r="I2133" t="s">
        <v>3537</v>
      </c>
      <c r="J2133">
        <v>2.02</v>
      </c>
      <c r="K2133" t="e">
        <f>IF(COUNTIF(#REF!,Tabela2[[#This Row],[IdxWspolny]])&gt;0,"ELEM_lub_PRD","TECHN")</f>
        <v>#REF!</v>
      </c>
      <c r="L2133" t="e">
        <f>IF(COUNTIF(#REF!,Tabela2[[#This Row],[KOD_PRODUKTU]])&gt;0,"ELEMENT","PRODUKT")</f>
        <v>#REF!</v>
      </c>
      <c r="M2133" t="e">
        <f>COUNTIF(#REF!,Tabela2[[#This Row],[KOD_PRODUKTU]])</f>
        <v>#REF!</v>
      </c>
    </row>
    <row r="2134" spans="1:14" x14ac:dyDescent="0.25">
      <c r="A2134" s="1" t="s">
        <v>3515</v>
      </c>
      <c r="B2134" t="s">
        <v>3516</v>
      </c>
      <c r="C2134" s="1" t="s">
        <v>684</v>
      </c>
      <c r="D2134" s="1" t="s">
        <v>684</v>
      </c>
      <c r="E2134" s="1" t="s">
        <v>684</v>
      </c>
      <c r="F2134" t="s">
        <v>685</v>
      </c>
      <c r="G2134" t="s">
        <v>686</v>
      </c>
      <c r="H2134" t="s">
        <v>49</v>
      </c>
      <c r="I2134" t="s">
        <v>3538</v>
      </c>
      <c r="J2134">
        <v>1.96</v>
      </c>
      <c r="K2134" t="e">
        <f>IF(COUNTIF(#REF!,Tabela2[[#This Row],[IdxWspolny]])&gt;0,"ELEM_lub_PRD","TECHN")</f>
        <v>#REF!</v>
      </c>
      <c r="L2134" t="e">
        <f>IF(COUNTIF(#REF!,Tabela2[[#This Row],[KOD_PRODUKTU]])&gt;0,"ELEMENT","PRODUKT")</f>
        <v>#REF!</v>
      </c>
      <c r="M2134" t="e">
        <f>COUNTIF(#REF!,Tabela2[[#This Row],[KOD_PRODUKTU]])</f>
        <v>#REF!</v>
      </c>
    </row>
    <row r="2135" spans="1:14" x14ac:dyDescent="0.25">
      <c r="A2135" s="1" t="s">
        <v>3515</v>
      </c>
      <c r="B2135" t="s">
        <v>3516</v>
      </c>
      <c r="C2135" s="1" t="s">
        <v>541</v>
      </c>
      <c r="D2135" s="1" t="s">
        <v>541</v>
      </c>
      <c r="E2135" s="1" t="s">
        <v>541</v>
      </c>
      <c r="F2135" t="s">
        <v>542</v>
      </c>
      <c r="G2135" t="s">
        <v>9</v>
      </c>
      <c r="H2135" t="s">
        <v>10</v>
      </c>
      <c r="I2135" t="s">
        <v>3482</v>
      </c>
      <c r="J2135">
        <v>16.91</v>
      </c>
      <c r="K2135" t="e">
        <f>IF(COUNTIF(#REF!,Tabela2[[#This Row],[IdxWspolny]])&gt;0,"ELEM_lub_PRD","TECHN")</f>
        <v>#REF!</v>
      </c>
      <c r="L2135" t="e">
        <f>IF(COUNTIF(#REF!,Tabela2[[#This Row],[KOD_PRODUKTU]])&gt;0,"ELEMENT","PRODUKT")</f>
        <v>#REF!</v>
      </c>
      <c r="M2135" t="e">
        <f>COUNTIF(#REF!,Tabela2[[#This Row],[KOD_PRODUKTU]])</f>
        <v>#REF!</v>
      </c>
    </row>
    <row r="2136" spans="1:14" x14ac:dyDescent="0.25">
      <c r="A2136" s="1" t="s">
        <v>3515</v>
      </c>
      <c r="B2136" t="s">
        <v>3516</v>
      </c>
      <c r="C2136" s="1" t="s">
        <v>541</v>
      </c>
      <c r="D2136" s="1" t="s">
        <v>541</v>
      </c>
      <c r="E2136" s="1" t="s">
        <v>541</v>
      </c>
      <c r="F2136" t="s">
        <v>542</v>
      </c>
      <c r="G2136" t="s">
        <v>9</v>
      </c>
      <c r="H2136" t="s">
        <v>10</v>
      </c>
      <c r="I2136" t="s">
        <v>3539</v>
      </c>
      <c r="J2136">
        <v>166.64</v>
      </c>
      <c r="K2136" t="e">
        <f>IF(COUNTIF(#REF!,Tabela2[[#This Row],[IdxWspolny]])&gt;0,"ELEM_lub_PRD","TECHN")</f>
        <v>#REF!</v>
      </c>
      <c r="L2136" t="e">
        <f>IF(COUNTIF(#REF!,Tabela2[[#This Row],[KOD_PRODUKTU]])&gt;0,"ELEMENT","PRODUKT")</f>
        <v>#REF!</v>
      </c>
      <c r="M2136" t="e">
        <f>COUNTIF(#REF!,Tabela2[[#This Row],[KOD_PRODUKTU]])</f>
        <v>#REF!</v>
      </c>
    </row>
    <row r="2137" spans="1:14" x14ac:dyDescent="0.25">
      <c r="A2137" s="1" t="s">
        <v>3515</v>
      </c>
      <c r="B2137" t="s">
        <v>3516</v>
      </c>
      <c r="C2137" s="1" t="s">
        <v>541</v>
      </c>
      <c r="D2137" s="1" t="s">
        <v>541</v>
      </c>
      <c r="E2137" s="1" t="s">
        <v>541</v>
      </c>
      <c r="F2137" t="s">
        <v>542</v>
      </c>
      <c r="G2137" t="s">
        <v>9</v>
      </c>
      <c r="H2137" t="s">
        <v>10</v>
      </c>
      <c r="I2137" t="s">
        <v>3540</v>
      </c>
      <c r="J2137">
        <v>7.25</v>
      </c>
      <c r="K2137" t="e">
        <f>IF(COUNTIF(#REF!,Tabela2[[#This Row],[IdxWspolny]])&gt;0,"ELEM_lub_PRD","TECHN")</f>
        <v>#REF!</v>
      </c>
      <c r="L2137" t="e">
        <f>IF(COUNTIF(#REF!,Tabela2[[#This Row],[KOD_PRODUKTU]])&gt;0,"ELEMENT","PRODUKT")</f>
        <v>#REF!</v>
      </c>
      <c r="M2137" t="e">
        <f>COUNTIF(#REF!,Tabela2[[#This Row],[KOD_PRODUKTU]])</f>
        <v>#REF!</v>
      </c>
    </row>
    <row r="2138" spans="1:14" x14ac:dyDescent="0.25">
      <c r="A2138" s="1" t="s">
        <v>3541</v>
      </c>
      <c r="B2138" t="s">
        <v>3542</v>
      </c>
      <c r="C2138" s="1" t="s">
        <v>1794</v>
      </c>
      <c r="D2138" s="1" t="s">
        <v>1794</v>
      </c>
      <c r="E2138" s="1" t="s">
        <v>1794</v>
      </c>
      <c r="F2138" t="s">
        <v>1795</v>
      </c>
      <c r="G2138" t="s">
        <v>117</v>
      </c>
      <c r="H2138" t="s">
        <v>17</v>
      </c>
      <c r="I2138" t="s">
        <v>1425</v>
      </c>
      <c r="J2138">
        <v>1.8</v>
      </c>
      <c r="K2138" t="e">
        <f>IF(COUNTIF(#REF!,Tabela2[[#This Row],[IdxWspolny]])&gt;0,"ELEM_lub_PRD","TECHN")</f>
        <v>#REF!</v>
      </c>
      <c r="L2138" t="e">
        <f>IF(COUNTIF(#REF!,Tabela2[[#This Row],[KOD_PRODUKTU]])&gt;0,"ELEMENT","PRODUKT")</f>
        <v>#REF!</v>
      </c>
      <c r="M2138" t="e">
        <f>COUNTIF(#REF!,Tabela2[[#This Row],[KOD_PRODUKTU]])</f>
        <v>#REF!</v>
      </c>
    </row>
    <row r="2139" spans="1:14" x14ac:dyDescent="0.25">
      <c r="A2139" s="1" t="s">
        <v>3541</v>
      </c>
      <c r="B2139" t="s">
        <v>3542</v>
      </c>
      <c r="C2139" s="1" t="s">
        <v>541</v>
      </c>
      <c r="D2139" s="1" t="s">
        <v>541</v>
      </c>
      <c r="E2139" s="1" t="s">
        <v>541</v>
      </c>
      <c r="F2139" t="s">
        <v>542</v>
      </c>
      <c r="G2139" t="s">
        <v>9</v>
      </c>
      <c r="H2139" t="s">
        <v>10</v>
      </c>
      <c r="I2139" t="s">
        <v>3514</v>
      </c>
      <c r="J2139">
        <v>4.8499999999999996</v>
      </c>
      <c r="K2139" t="e">
        <f>IF(COUNTIF(#REF!,Tabela2[[#This Row],[IdxWspolny]])&gt;0,"ELEM_lub_PRD","TECHN")</f>
        <v>#REF!</v>
      </c>
      <c r="L2139" t="e">
        <f>IF(COUNTIF(#REF!,Tabela2[[#This Row],[KOD_PRODUKTU]])&gt;0,"ELEMENT","PRODUKT")</f>
        <v>#REF!</v>
      </c>
      <c r="M2139" t="e">
        <f>COUNTIF(#REF!,Tabela2[[#This Row],[KOD_PRODUKTU]])</f>
        <v>#REF!</v>
      </c>
    </row>
    <row r="2140" spans="1:14" x14ac:dyDescent="0.25">
      <c r="A2140" s="1" t="s">
        <v>3543</v>
      </c>
      <c r="B2140" t="s">
        <v>3544</v>
      </c>
      <c r="C2140" s="1" t="s">
        <v>3363</v>
      </c>
      <c r="D2140" s="1" t="s">
        <v>3363</v>
      </c>
      <c r="E2140" s="1" t="s">
        <v>3363</v>
      </c>
      <c r="F2140" t="s">
        <v>3364</v>
      </c>
      <c r="G2140" t="s">
        <v>3365</v>
      </c>
      <c r="H2140" t="s">
        <v>17</v>
      </c>
      <c r="I2140" t="s">
        <v>3545</v>
      </c>
      <c r="J2140">
        <v>3.15</v>
      </c>
      <c r="K2140" t="e">
        <f>IF(COUNTIF(#REF!,Tabela2[[#This Row],[IdxWspolny]])&gt;0,"ELEM_lub_PRD","TECHN")</f>
        <v>#REF!</v>
      </c>
      <c r="L2140" t="e">
        <f>IF(COUNTIF(#REF!,Tabela2[[#This Row],[KOD_PRODUKTU]])&gt;0,"ELEMENT","PRODUKT")</f>
        <v>#REF!</v>
      </c>
      <c r="M2140" t="e">
        <f>COUNTIF(#REF!,Tabela2[[#This Row],[KOD_PRODUKTU]])</f>
        <v>#REF!</v>
      </c>
    </row>
    <row r="2141" spans="1:14" x14ac:dyDescent="0.25">
      <c r="A2141" s="1" t="s">
        <v>3543</v>
      </c>
      <c r="B2141" t="s">
        <v>3544</v>
      </c>
      <c r="C2141" s="1" t="s">
        <v>541</v>
      </c>
      <c r="D2141" s="1" t="s">
        <v>541</v>
      </c>
      <c r="E2141" s="1" t="s">
        <v>541</v>
      </c>
      <c r="F2141" t="s">
        <v>542</v>
      </c>
      <c r="G2141" t="s">
        <v>9</v>
      </c>
      <c r="H2141" t="s">
        <v>10</v>
      </c>
      <c r="I2141" t="s">
        <v>3546</v>
      </c>
      <c r="J2141">
        <v>4.8099999999999996</v>
      </c>
      <c r="K2141" t="e">
        <f>IF(COUNTIF(#REF!,Tabela2[[#This Row],[IdxWspolny]])&gt;0,"ELEM_lub_PRD","TECHN")</f>
        <v>#REF!</v>
      </c>
      <c r="L2141" t="e">
        <f>IF(COUNTIF(#REF!,Tabela2[[#This Row],[KOD_PRODUKTU]])&gt;0,"ELEMENT","PRODUKT")</f>
        <v>#REF!</v>
      </c>
      <c r="M2141" t="e">
        <f>COUNTIF(#REF!,Tabela2[[#This Row],[KOD_PRODUKTU]])</f>
        <v>#REF!</v>
      </c>
    </row>
    <row r="2142" spans="1:14" x14ac:dyDescent="0.25">
      <c r="A2142" s="1" t="s">
        <v>3547</v>
      </c>
      <c r="B2142" t="s">
        <v>3548</v>
      </c>
      <c r="C2142" s="1" t="s">
        <v>1862</v>
      </c>
      <c r="D2142" s="1" t="s">
        <v>1862</v>
      </c>
      <c r="E2142" s="1" t="s">
        <v>1862</v>
      </c>
      <c r="F2142" t="s">
        <v>1863</v>
      </c>
      <c r="G2142" t="s">
        <v>3549</v>
      </c>
      <c r="H2142" t="s">
        <v>121</v>
      </c>
      <c r="I2142" t="s">
        <v>860</v>
      </c>
      <c r="J2142">
        <v>2.38</v>
      </c>
      <c r="K2142" t="e">
        <f>IF(COUNTIF(#REF!,Tabela2[[#This Row],[IdxWspolny]])&gt;0,"ELEM_lub_PRD","TECHN")</f>
        <v>#REF!</v>
      </c>
      <c r="L2142" t="e">
        <f>IF(COUNTIF(#REF!,Tabela2[[#This Row],[KOD_PRODUKTU]])&gt;0,"ELEMENT","PRODUKT")</f>
        <v>#REF!</v>
      </c>
      <c r="M2142" t="e">
        <f>COUNTIF(#REF!,Tabela2[[#This Row],[KOD_PRODUKTU]])</f>
        <v>#REF!</v>
      </c>
    </row>
    <row r="2143" spans="1:14" x14ac:dyDescent="0.25">
      <c r="A2143" s="1" t="s">
        <v>3547</v>
      </c>
      <c r="B2143" t="s">
        <v>3548</v>
      </c>
      <c r="C2143" s="1" t="s">
        <v>7</v>
      </c>
      <c r="D2143" s="1" t="s">
        <v>7</v>
      </c>
      <c r="E2143" s="1" t="s">
        <v>7</v>
      </c>
      <c r="F2143" t="s">
        <v>8</v>
      </c>
      <c r="G2143" t="s">
        <v>9</v>
      </c>
      <c r="H2143" t="s">
        <v>10</v>
      </c>
      <c r="I2143" t="s">
        <v>1371</v>
      </c>
      <c r="J2143">
        <v>1.1499999999999999</v>
      </c>
      <c r="K2143" t="e">
        <f>IF(COUNTIF(#REF!,Tabela2[[#This Row],[IdxWspolny]])&gt;0,"ELEM_lub_PRD","TECHN")</f>
        <v>#REF!</v>
      </c>
      <c r="L2143" t="e">
        <f>IF(COUNTIF(#REF!,Tabela2[[#This Row],[KOD_PRODUKTU]])&gt;0,"ELEMENT","PRODUKT")</f>
        <v>#REF!</v>
      </c>
      <c r="M2143" t="e">
        <f>COUNTIF(#REF!,Tabela2[[#This Row],[KOD_PRODUKTU]])</f>
        <v>#REF!</v>
      </c>
    </row>
    <row r="2144" spans="1:14" x14ac:dyDescent="0.25">
      <c r="A2144" s="1" t="s">
        <v>3550</v>
      </c>
      <c r="B2144" t="s">
        <v>3551</v>
      </c>
      <c r="C2144" s="1" t="s">
        <v>3552</v>
      </c>
      <c r="D2144" s="1" t="s">
        <v>3552</v>
      </c>
      <c r="E2144" s="1" t="s">
        <v>3552</v>
      </c>
      <c r="F2144" t="s">
        <v>3553</v>
      </c>
      <c r="G2144" t="s">
        <v>3554</v>
      </c>
      <c r="H2144" t="s">
        <v>17</v>
      </c>
      <c r="I2144" t="s">
        <v>3555</v>
      </c>
      <c r="J2144">
        <v>1.58</v>
      </c>
      <c r="K2144" t="e">
        <f>IF(COUNTIF(#REF!,Tabela2[[#This Row],[IdxWspolny]])&gt;0,"ELEM_lub_PRD","TECHN")</f>
        <v>#REF!</v>
      </c>
      <c r="L2144" t="e">
        <f>IF(COUNTIF(#REF!,Tabela2[[#This Row],[KOD_PRODUKTU]])&gt;0,"ELEMENT","PRODUKT")</f>
        <v>#REF!</v>
      </c>
      <c r="M2144" t="e">
        <f>COUNTIF(#REF!,Tabela2[[#This Row],[KOD_PRODUKTU]])</f>
        <v>#REF!</v>
      </c>
    </row>
    <row r="2145" spans="1:13" x14ac:dyDescent="0.25">
      <c r="A2145" s="1" t="s">
        <v>3550</v>
      </c>
      <c r="B2145" t="s">
        <v>3551</v>
      </c>
      <c r="C2145" s="1" t="s">
        <v>541</v>
      </c>
      <c r="D2145" s="1" t="s">
        <v>541</v>
      </c>
      <c r="E2145" s="1" t="s">
        <v>541</v>
      </c>
      <c r="F2145" t="s">
        <v>542</v>
      </c>
      <c r="G2145" t="s">
        <v>9</v>
      </c>
      <c r="H2145" t="s">
        <v>10</v>
      </c>
      <c r="I2145" t="s">
        <v>3556</v>
      </c>
      <c r="J2145">
        <v>1.71</v>
      </c>
      <c r="K2145" t="e">
        <f>IF(COUNTIF(#REF!,Tabela2[[#This Row],[IdxWspolny]])&gt;0,"ELEM_lub_PRD","TECHN")</f>
        <v>#REF!</v>
      </c>
      <c r="L2145" t="e">
        <f>IF(COUNTIF(#REF!,Tabela2[[#This Row],[KOD_PRODUKTU]])&gt;0,"ELEMENT","PRODUKT")</f>
        <v>#REF!</v>
      </c>
      <c r="M2145" t="e">
        <f>COUNTIF(#REF!,Tabela2[[#This Row],[KOD_PRODUKTU]])</f>
        <v>#REF!</v>
      </c>
    </row>
    <row r="2146" spans="1:13" x14ac:dyDescent="0.25">
      <c r="A2146" s="1" t="s">
        <v>3557</v>
      </c>
      <c r="B2146" t="s">
        <v>3558</v>
      </c>
      <c r="C2146" s="1" t="s">
        <v>541</v>
      </c>
      <c r="D2146" s="1" t="s">
        <v>541</v>
      </c>
      <c r="E2146" s="1" t="s">
        <v>541</v>
      </c>
      <c r="F2146" t="s">
        <v>542</v>
      </c>
      <c r="G2146" t="s">
        <v>9</v>
      </c>
      <c r="H2146" t="s">
        <v>10</v>
      </c>
      <c r="I2146" t="s">
        <v>2890</v>
      </c>
      <c r="J2146">
        <v>2.42</v>
      </c>
      <c r="K2146" t="e">
        <f>IF(COUNTIF(#REF!,Tabela2[[#This Row],[IdxWspolny]])&gt;0,"ELEM_lub_PRD","TECHN")</f>
        <v>#REF!</v>
      </c>
      <c r="L2146" t="e">
        <f>IF(COUNTIF(#REF!,Tabela2[[#This Row],[KOD_PRODUKTU]])&gt;0,"ELEMENT","PRODUKT")</f>
        <v>#REF!</v>
      </c>
      <c r="M2146" t="e">
        <f>COUNTIF(#REF!,Tabela2[[#This Row],[KOD_PRODUKTU]])</f>
        <v>#REF!</v>
      </c>
    </row>
    <row r="2147" spans="1:13" x14ac:dyDescent="0.25">
      <c r="A2147" s="1" t="s">
        <v>3559</v>
      </c>
      <c r="B2147" t="s">
        <v>3560</v>
      </c>
      <c r="C2147" s="1" t="s">
        <v>1794</v>
      </c>
      <c r="D2147" s="1" t="s">
        <v>1794</v>
      </c>
      <c r="E2147" s="1" t="s">
        <v>1794</v>
      </c>
      <c r="F2147" t="s">
        <v>1795</v>
      </c>
      <c r="G2147" t="s">
        <v>117</v>
      </c>
      <c r="H2147" t="s">
        <v>17</v>
      </c>
      <c r="I2147" t="s">
        <v>25</v>
      </c>
      <c r="J2147">
        <v>1.2</v>
      </c>
      <c r="K2147" t="e">
        <f>IF(COUNTIF(#REF!,Tabela2[[#This Row],[IdxWspolny]])&gt;0,"ELEM_lub_PRD","TECHN")</f>
        <v>#REF!</v>
      </c>
      <c r="L2147" t="e">
        <f>IF(COUNTIF(#REF!,Tabela2[[#This Row],[KOD_PRODUKTU]])&gt;0,"ELEMENT","PRODUKT")</f>
        <v>#REF!</v>
      </c>
      <c r="M2147" t="e">
        <f>COUNTIF(#REF!,Tabela2[[#This Row],[KOD_PRODUKTU]])</f>
        <v>#REF!</v>
      </c>
    </row>
    <row r="2148" spans="1:13" x14ac:dyDescent="0.25">
      <c r="A2148" s="1" t="s">
        <v>3559</v>
      </c>
      <c r="B2148" t="s">
        <v>3560</v>
      </c>
      <c r="C2148" s="1" t="s">
        <v>541</v>
      </c>
      <c r="D2148" s="1" t="s">
        <v>541</v>
      </c>
      <c r="E2148" s="1" t="s">
        <v>541</v>
      </c>
      <c r="F2148" t="s">
        <v>542</v>
      </c>
      <c r="G2148" t="s">
        <v>9</v>
      </c>
      <c r="H2148" t="s">
        <v>10</v>
      </c>
      <c r="I2148" t="s">
        <v>3514</v>
      </c>
      <c r="J2148">
        <v>4.8499999999999996</v>
      </c>
      <c r="K2148" t="e">
        <f>IF(COUNTIF(#REF!,Tabela2[[#This Row],[IdxWspolny]])&gt;0,"ELEM_lub_PRD","TECHN")</f>
        <v>#REF!</v>
      </c>
      <c r="L2148" t="e">
        <f>IF(COUNTIF(#REF!,Tabela2[[#This Row],[KOD_PRODUKTU]])&gt;0,"ELEMENT","PRODUKT")</f>
        <v>#REF!</v>
      </c>
      <c r="M2148" t="e">
        <f>COUNTIF(#REF!,Tabela2[[#This Row],[KOD_PRODUKTU]])</f>
        <v>#REF!</v>
      </c>
    </row>
    <row r="2149" spans="1:13" x14ac:dyDescent="0.25">
      <c r="A2149" s="1" t="s">
        <v>3561</v>
      </c>
      <c r="B2149" t="s">
        <v>3562</v>
      </c>
      <c r="C2149" s="1" t="s">
        <v>1794</v>
      </c>
      <c r="D2149" s="1" t="s">
        <v>1794</v>
      </c>
      <c r="E2149" s="1" t="s">
        <v>1794</v>
      </c>
      <c r="F2149" t="s">
        <v>1795</v>
      </c>
      <c r="G2149" t="s">
        <v>117</v>
      </c>
      <c r="H2149" t="s">
        <v>17</v>
      </c>
      <c r="I2149" t="s">
        <v>25</v>
      </c>
      <c r="J2149">
        <v>1.2</v>
      </c>
      <c r="K2149" t="e">
        <f>IF(COUNTIF(#REF!,Tabela2[[#This Row],[IdxWspolny]])&gt;0,"ELEM_lub_PRD","TECHN")</f>
        <v>#REF!</v>
      </c>
      <c r="L2149" t="e">
        <f>IF(COUNTIF(#REF!,Tabela2[[#This Row],[KOD_PRODUKTU]])&gt;0,"ELEMENT","PRODUKT")</f>
        <v>#REF!</v>
      </c>
      <c r="M2149" t="e">
        <f>COUNTIF(#REF!,Tabela2[[#This Row],[KOD_PRODUKTU]])</f>
        <v>#REF!</v>
      </c>
    </row>
    <row r="2150" spans="1:13" x14ac:dyDescent="0.25">
      <c r="A2150" s="1" t="s">
        <v>3561</v>
      </c>
      <c r="B2150" t="s">
        <v>3562</v>
      </c>
      <c r="C2150" s="1" t="s">
        <v>541</v>
      </c>
      <c r="D2150" s="1" t="s">
        <v>541</v>
      </c>
      <c r="E2150" s="1" t="s">
        <v>541</v>
      </c>
      <c r="F2150" t="s">
        <v>542</v>
      </c>
      <c r="G2150" t="s">
        <v>9</v>
      </c>
      <c r="H2150" t="s">
        <v>10</v>
      </c>
      <c r="I2150" t="s">
        <v>3514</v>
      </c>
      <c r="J2150">
        <v>4.8499999999999996</v>
      </c>
      <c r="K2150" t="e">
        <f>IF(COUNTIF(#REF!,Tabela2[[#This Row],[IdxWspolny]])&gt;0,"ELEM_lub_PRD","TECHN")</f>
        <v>#REF!</v>
      </c>
      <c r="L2150" t="e">
        <f>IF(COUNTIF(#REF!,Tabela2[[#This Row],[KOD_PRODUKTU]])&gt;0,"ELEMENT","PRODUKT")</f>
        <v>#REF!</v>
      </c>
      <c r="M2150" t="e">
        <f>COUNTIF(#REF!,Tabela2[[#This Row],[KOD_PRODUKTU]])</f>
        <v>#REF!</v>
      </c>
    </row>
    <row r="2151" spans="1:13" x14ac:dyDescent="0.25">
      <c r="A2151" s="1" t="s">
        <v>407</v>
      </c>
      <c r="B2151" t="s">
        <v>408</v>
      </c>
      <c r="C2151" s="1" t="s">
        <v>3288</v>
      </c>
      <c r="D2151" s="1" t="s">
        <v>3288</v>
      </c>
      <c r="E2151" s="1" t="s">
        <v>3288</v>
      </c>
      <c r="F2151" t="s">
        <v>3289</v>
      </c>
      <c r="G2151" t="s">
        <v>1970</v>
      </c>
      <c r="H2151" t="s">
        <v>5</v>
      </c>
      <c r="I2151" t="s">
        <v>3563</v>
      </c>
      <c r="J2151">
        <v>0.1</v>
      </c>
      <c r="K2151" t="e">
        <f>IF(COUNTIF(#REF!,Tabela2[[#This Row],[IdxWspolny]])&gt;0,"ELEM_lub_PRD","TECHN")</f>
        <v>#REF!</v>
      </c>
      <c r="L2151" t="e">
        <f>IF(COUNTIF(#REF!,Tabela2[[#This Row],[KOD_PRODUKTU]])&gt;0,"ELEMENT","PRODUKT")</f>
        <v>#REF!</v>
      </c>
      <c r="M2151" t="e">
        <f>COUNTIF(#REF!,Tabela2[[#This Row],[KOD_PRODUKTU]])</f>
        <v>#REF!</v>
      </c>
    </row>
    <row r="2152" spans="1:13" x14ac:dyDescent="0.25">
      <c r="A2152" s="1" t="s">
        <v>407</v>
      </c>
      <c r="B2152" t="s">
        <v>408</v>
      </c>
      <c r="C2152" s="1" t="s">
        <v>7</v>
      </c>
      <c r="D2152" s="1" t="s">
        <v>7</v>
      </c>
      <c r="E2152" s="1" t="s">
        <v>7</v>
      </c>
      <c r="F2152" t="s">
        <v>8</v>
      </c>
      <c r="G2152" t="s">
        <v>9</v>
      </c>
      <c r="H2152" t="s">
        <v>10</v>
      </c>
      <c r="I2152" t="s">
        <v>1371</v>
      </c>
      <c r="J2152">
        <v>1.1499999999999999</v>
      </c>
      <c r="K2152" t="e">
        <f>IF(COUNTIF(#REF!,Tabela2[[#This Row],[IdxWspolny]])&gt;0,"ELEM_lub_PRD","TECHN")</f>
        <v>#REF!</v>
      </c>
      <c r="L2152" t="e">
        <f>IF(COUNTIF(#REF!,Tabela2[[#This Row],[KOD_PRODUKTU]])&gt;0,"ELEMENT","PRODUKT")</f>
        <v>#REF!</v>
      </c>
      <c r="M2152" t="e">
        <f>COUNTIF(#REF!,Tabela2[[#This Row],[KOD_PRODUKTU]])</f>
        <v>#REF!</v>
      </c>
    </row>
    <row r="2153" spans="1:13" x14ac:dyDescent="0.25">
      <c r="A2153" s="1" t="s">
        <v>410</v>
      </c>
      <c r="B2153" t="s">
        <v>411</v>
      </c>
      <c r="C2153" s="1" t="s">
        <v>3288</v>
      </c>
      <c r="D2153" s="1" t="s">
        <v>3288</v>
      </c>
      <c r="E2153" s="1" t="s">
        <v>3288</v>
      </c>
      <c r="F2153" t="s">
        <v>3289</v>
      </c>
      <c r="G2153" t="s">
        <v>1970</v>
      </c>
      <c r="H2153" t="s">
        <v>5</v>
      </c>
      <c r="I2153" t="s">
        <v>3564</v>
      </c>
      <c r="J2153">
        <v>0.1</v>
      </c>
      <c r="K2153" t="e">
        <f>IF(COUNTIF(#REF!,Tabela2[[#This Row],[IdxWspolny]])&gt;0,"ELEM_lub_PRD","TECHN")</f>
        <v>#REF!</v>
      </c>
      <c r="L2153" t="e">
        <f>IF(COUNTIF(#REF!,Tabela2[[#This Row],[KOD_PRODUKTU]])&gt;0,"ELEMENT","PRODUKT")</f>
        <v>#REF!</v>
      </c>
      <c r="M2153" t="e">
        <f>COUNTIF(#REF!,Tabela2[[#This Row],[KOD_PRODUKTU]])</f>
        <v>#REF!</v>
      </c>
    </row>
    <row r="2154" spans="1:13" x14ac:dyDescent="0.25">
      <c r="A2154" s="1" t="s">
        <v>410</v>
      </c>
      <c r="B2154" t="s">
        <v>411</v>
      </c>
      <c r="C2154" s="1" t="s">
        <v>7</v>
      </c>
      <c r="D2154" s="1" t="s">
        <v>7</v>
      </c>
      <c r="E2154" s="1" t="s">
        <v>7</v>
      </c>
      <c r="F2154" t="s">
        <v>8</v>
      </c>
      <c r="G2154" t="s">
        <v>9</v>
      </c>
      <c r="H2154" t="s">
        <v>10</v>
      </c>
      <c r="I2154" t="s">
        <v>1371</v>
      </c>
      <c r="J2154">
        <v>1.1499999999999999</v>
      </c>
      <c r="K2154" t="e">
        <f>IF(COUNTIF(#REF!,Tabela2[[#This Row],[IdxWspolny]])&gt;0,"ELEM_lub_PRD","TECHN")</f>
        <v>#REF!</v>
      </c>
      <c r="L2154" t="e">
        <f>IF(COUNTIF(#REF!,Tabela2[[#This Row],[KOD_PRODUKTU]])&gt;0,"ELEMENT","PRODUKT")</f>
        <v>#REF!</v>
      </c>
      <c r="M2154" t="e">
        <f>COUNTIF(#REF!,Tabela2[[#This Row],[KOD_PRODUKTU]])</f>
        <v>#REF!</v>
      </c>
    </row>
    <row r="2155" spans="1:13" x14ac:dyDescent="0.25">
      <c r="A2155" s="1" t="s">
        <v>412</v>
      </c>
      <c r="B2155" t="s">
        <v>413</v>
      </c>
      <c r="C2155" s="1" t="s">
        <v>3565</v>
      </c>
      <c r="D2155" s="1" t="s">
        <v>3565</v>
      </c>
      <c r="E2155" s="1" t="s">
        <v>3565</v>
      </c>
      <c r="F2155" t="s">
        <v>3566</v>
      </c>
      <c r="G2155" t="s">
        <v>1017</v>
      </c>
      <c r="H2155" t="s">
        <v>5</v>
      </c>
      <c r="I2155" t="s">
        <v>3567</v>
      </c>
      <c r="J2155">
        <v>9.9</v>
      </c>
      <c r="K2155" t="e">
        <f>IF(COUNTIF(#REF!,Tabela2[[#This Row],[IdxWspolny]])&gt;0,"ELEM_lub_PRD","TECHN")</f>
        <v>#REF!</v>
      </c>
      <c r="L2155" t="e">
        <f>IF(COUNTIF(#REF!,Tabela2[[#This Row],[KOD_PRODUKTU]])&gt;0,"ELEMENT","PRODUKT")</f>
        <v>#REF!</v>
      </c>
      <c r="M2155" t="e">
        <f>COUNTIF(#REF!,Tabela2[[#This Row],[KOD_PRODUKTU]])</f>
        <v>#REF!</v>
      </c>
    </row>
    <row r="2156" spans="1:13" x14ac:dyDescent="0.25">
      <c r="A2156" s="1" t="s">
        <v>412</v>
      </c>
      <c r="B2156" t="s">
        <v>413</v>
      </c>
      <c r="C2156" s="1" t="s">
        <v>541</v>
      </c>
      <c r="D2156" s="1" t="s">
        <v>541</v>
      </c>
      <c r="E2156" s="1" t="s">
        <v>541</v>
      </c>
      <c r="F2156" t="s">
        <v>542</v>
      </c>
      <c r="G2156" t="s">
        <v>9</v>
      </c>
      <c r="H2156" t="s">
        <v>10</v>
      </c>
      <c r="I2156" t="s">
        <v>594</v>
      </c>
      <c r="J2156">
        <v>11.5</v>
      </c>
      <c r="K2156" t="e">
        <f>IF(COUNTIF(#REF!,Tabela2[[#This Row],[IdxWspolny]])&gt;0,"ELEM_lub_PRD","TECHN")</f>
        <v>#REF!</v>
      </c>
      <c r="L2156" t="e">
        <f>IF(COUNTIF(#REF!,Tabela2[[#This Row],[KOD_PRODUKTU]])&gt;0,"ELEMENT","PRODUKT")</f>
        <v>#REF!</v>
      </c>
      <c r="M2156" t="e">
        <f>COUNTIF(#REF!,Tabela2[[#This Row],[KOD_PRODUKTU]])</f>
        <v>#REF!</v>
      </c>
    </row>
    <row r="2157" spans="1:13" x14ac:dyDescent="0.25">
      <c r="A2157" s="1" t="s">
        <v>415</v>
      </c>
      <c r="B2157" t="s">
        <v>416</v>
      </c>
      <c r="C2157" s="1" t="s">
        <v>3568</v>
      </c>
      <c r="D2157" s="1" t="s">
        <v>3568</v>
      </c>
      <c r="E2157" s="1" t="s">
        <v>3568</v>
      </c>
      <c r="F2157" t="s">
        <v>3569</v>
      </c>
      <c r="G2157" t="s">
        <v>3570</v>
      </c>
      <c r="H2157" t="s">
        <v>17</v>
      </c>
      <c r="I2157" t="s">
        <v>3571</v>
      </c>
      <c r="J2157">
        <v>1.61</v>
      </c>
      <c r="K2157" t="e">
        <f>IF(COUNTIF(#REF!,Tabela2[[#This Row],[IdxWspolny]])&gt;0,"ELEM_lub_PRD","TECHN")</f>
        <v>#REF!</v>
      </c>
      <c r="L2157" t="e">
        <f>IF(COUNTIF(#REF!,Tabela2[[#This Row],[KOD_PRODUKTU]])&gt;0,"ELEMENT","PRODUKT")</f>
        <v>#REF!</v>
      </c>
      <c r="M2157" t="e">
        <f>COUNTIF(#REF!,Tabela2[[#This Row],[KOD_PRODUKTU]])</f>
        <v>#REF!</v>
      </c>
    </row>
    <row r="2158" spans="1:13" x14ac:dyDescent="0.25">
      <c r="A2158" s="1" t="s">
        <v>415</v>
      </c>
      <c r="B2158" t="s">
        <v>416</v>
      </c>
      <c r="C2158" s="1" t="s">
        <v>541</v>
      </c>
      <c r="D2158" s="1" t="s">
        <v>541</v>
      </c>
      <c r="E2158" s="1" t="s">
        <v>541</v>
      </c>
      <c r="F2158" t="s">
        <v>542</v>
      </c>
      <c r="G2158" t="s">
        <v>9</v>
      </c>
      <c r="H2158" t="s">
        <v>10</v>
      </c>
      <c r="I2158" t="s">
        <v>1141</v>
      </c>
      <c r="J2158">
        <v>5.75</v>
      </c>
      <c r="K2158" t="e">
        <f>IF(COUNTIF(#REF!,Tabela2[[#This Row],[IdxWspolny]])&gt;0,"ELEM_lub_PRD","TECHN")</f>
        <v>#REF!</v>
      </c>
      <c r="L2158" t="e">
        <f>IF(COUNTIF(#REF!,Tabela2[[#This Row],[KOD_PRODUKTU]])&gt;0,"ELEMENT","PRODUKT")</f>
        <v>#REF!</v>
      </c>
      <c r="M2158" t="e">
        <f>COUNTIF(#REF!,Tabela2[[#This Row],[KOD_PRODUKTU]])</f>
        <v>#REF!</v>
      </c>
    </row>
    <row r="2159" spans="1:13" x14ac:dyDescent="0.25">
      <c r="A2159" s="1" t="s">
        <v>418</v>
      </c>
      <c r="B2159" t="s">
        <v>419</v>
      </c>
      <c r="C2159" s="1" t="s">
        <v>3568</v>
      </c>
      <c r="D2159" s="1" t="s">
        <v>3568</v>
      </c>
      <c r="E2159" s="1" t="s">
        <v>3568</v>
      </c>
      <c r="F2159" t="s">
        <v>3569</v>
      </c>
      <c r="G2159" t="s">
        <v>3570</v>
      </c>
      <c r="H2159" t="s">
        <v>17</v>
      </c>
      <c r="I2159" t="s">
        <v>3572</v>
      </c>
      <c r="J2159">
        <v>4.24</v>
      </c>
      <c r="K2159" t="e">
        <f>IF(COUNTIF(#REF!,Tabela2[[#This Row],[IdxWspolny]])&gt;0,"ELEM_lub_PRD","TECHN")</f>
        <v>#REF!</v>
      </c>
      <c r="L2159" t="e">
        <f>IF(COUNTIF(#REF!,Tabela2[[#This Row],[KOD_PRODUKTU]])&gt;0,"ELEMENT","PRODUKT")</f>
        <v>#REF!</v>
      </c>
      <c r="M2159" t="e">
        <f>COUNTIF(#REF!,Tabela2[[#This Row],[KOD_PRODUKTU]])</f>
        <v>#REF!</v>
      </c>
    </row>
    <row r="2160" spans="1:13" x14ac:dyDescent="0.25">
      <c r="A2160" s="1" t="s">
        <v>418</v>
      </c>
      <c r="B2160" t="s">
        <v>419</v>
      </c>
      <c r="C2160" s="1" t="s">
        <v>541</v>
      </c>
      <c r="D2160" s="1" t="s">
        <v>541</v>
      </c>
      <c r="E2160" s="1" t="s">
        <v>541</v>
      </c>
      <c r="F2160" t="s">
        <v>542</v>
      </c>
      <c r="G2160" t="s">
        <v>9</v>
      </c>
      <c r="H2160" t="s">
        <v>10</v>
      </c>
      <c r="I2160" t="s">
        <v>3573</v>
      </c>
      <c r="J2160">
        <v>8.1</v>
      </c>
      <c r="K2160" t="e">
        <f>IF(COUNTIF(#REF!,Tabela2[[#This Row],[IdxWspolny]])&gt;0,"ELEM_lub_PRD","TECHN")</f>
        <v>#REF!</v>
      </c>
      <c r="L2160" t="e">
        <f>IF(COUNTIF(#REF!,Tabela2[[#This Row],[KOD_PRODUKTU]])&gt;0,"ELEMENT","PRODUKT")</f>
        <v>#REF!</v>
      </c>
      <c r="M2160" t="e">
        <f>COUNTIF(#REF!,Tabela2[[#This Row],[KOD_PRODUKTU]])</f>
        <v>#REF!</v>
      </c>
    </row>
    <row r="2161" spans="1:14" x14ac:dyDescent="0.25">
      <c r="A2161" s="1" t="s">
        <v>421</v>
      </c>
      <c r="B2161" t="s">
        <v>422</v>
      </c>
      <c r="C2161" s="1" t="s">
        <v>3574</v>
      </c>
      <c r="D2161" s="1" t="s">
        <v>3574</v>
      </c>
      <c r="E2161" s="1" t="s">
        <v>3574</v>
      </c>
      <c r="F2161" t="s">
        <v>3575</v>
      </c>
      <c r="G2161" t="s">
        <v>1354</v>
      </c>
      <c r="H2161" t="s">
        <v>5</v>
      </c>
      <c r="I2161" t="s">
        <v>3576</v>
      </c>
      <c r="J2161">
        <v>0.5</v>
      </c>
      <c r="K2161" t="e">
        <f>IF(COUNTIF(#REF!,Tabela2[[#This Row],[IdxWspolny]])&gt;0,"ELEM_lub_PRD","TECHN")</f>
        <v>#REF!</v>
      </c>
      <c r="L2161" t="e">
        <f>IF(COUNTIF(#REF!,Tabela2[[#This Row],[KOD_PRODUKTU]])&gt;0,"ELEMENT","PRODUKT")</f>
        <v>#REF!</v>
      </c>
      <c r="M2161" t="e">
        <f>COUNTIF(#REF!,Tabela2[[#This Row],[KOD_PRODUKTU]])</f>
        <v>#REF!</v>
      </c>
    </row>
    <row r="2162" spans="1:14" x14ac:dyDescent="0.25">
      <c r="A2162" s="1" t="s">
        <v>421</v>
      </c>
      <c r="B2162" t="s">
        <v>422</v>
      </c>
      <c r="C2162" s="1" t="s">
        <v>7</v>
      </c>
      <c r="D2162" s="1" t="s">
        <v>7</v>
      </c>
      <c r="E2162" s="1" t="s">
        <v>7</v>
      </c>
      <c r="F2162" t="s">
        <v>8</v>
      </c>
      <c r="G2162" t="s">
        <v>9</v>
      </c>
      <c r="H2162" t="s">
        <v>10</v>
      </c>
      <c r="I2162" t="s">
        <v>367</v>
      </c>
      <c r="J2162">
        <v>2.2999999999999998</v>
      </c>
      <c r="K2162" t="e">
        <f>IF(COUNTIF(#REF!,Tabela2[[#This Row],[IdxWspolny]])&gt;0,"ELEM_lub_PRD","TECHN")</f>
        <v>#REF!</v>
      </c>
      <c r="L2162" t="e">
        <f>IF(COUNTIF(#REF!,Tabela2[[#This Row],[KOD_PRODUKTU]])&gt;0,"ELEMENT","PRODUKT")</f>
        <v>#REF!</v>
      </c>
      <c r="M2162" t="e">
        <f>COUNTIF(#REF!,Tabela2[[#This Row],[KOD_PRODUKTU]])</f>
        <v>#REF!</v>
      </c>
    </row>
    <row r="2163" spans="1:14" x14ac:dyDescent="0.25">
      <c r="A2163" s="1" t="s">
        <v>424</v>
      </c>
      <c r="B2163" t="s">
        <v>425</v>
      </c>
      <c r="C2163" s="1" t="s">
        <v>3167</v>
      </c>
      <c r="D2163" s="1" t="s">
        <v>3167</v>
      </c>
      <c r="E2163" s="1" t="s">
        <v>3167</v>
      </c>
      <c r="F2163" t="s">
        <v>3168</v>
      </c>
      <c r="G2163" t="s">
        <v>111</v>
      </c>
      <c r="H2163" t="s">
        <v>17</v>
      </c>
      <c r="I2163" t="s">
        <v>3577</v>
      </c>
      <c r="J2163">
        <v>1.1000000000000001</v>
      </c>
      <c r="K2163" t="e">
        <f>IF(COUNTIF(#REF!,Tabela2[[#This Row],[IdxWspolny]])&gt;0,"ELEM_lub_PRD","TECHN")</f>
        <v>#REF!</v>
      </c>
      <c r="L2163" t="e">
        <f>IF(COUNTIF(#REF!,Tabela2[[#This Row],[KOD_PRODUKTU]])&gt;0,"ELEMENT","PRODUKT")</f>
        <v>#REF!</v>
      </c>
      <c r="M2163" t="e">
        <f>COUNTIF(#REF!,Tabela2[[#This Row],[KOD_PRODUKTU]])</f>
        <v>#REF!</v>
      </c>
    </row>
    <row r="2164" spans="1:14" x14ac:dyDescent="0.25">
      <c r="A2164" s="1" t="s">
        <v>424</v>
      </c>
      <c r="B2164" t="s">
        <v>425</v>
      </c>
      <c r="C2164" s="1" t="s">
        <v>3231</v>
      </c>
      <c r="D2164" s="1" t="s">
        <v>3231</v>
      </c>
      <c r="E2164" s="1" t="s">
        <v>3231</v>
      </c>
      <c r="F2164" t="s">
        <v>3232</v>
      </c>
      <c r="G2164" t="s">
        <v>3233</v>
      </c>
      <c r="H2164" t="s">
        <v>121</v>
      </c>
      <c r="I2164" t="s">
        <v>268</v>
      </c>
      <c r="J2164">
        <v>17.489999999999998</v>
      </c>
      <c r="K2164" t="e">
        <f>IF(COUNTIF(#REF!,Tabela2[[#This Row],[IdxWspolny]])&gt;0,"ELEM_lub_PRD","TECHN")</f>
        <v>#REF!</v>
      </c>
      <c r="L2164" t="e">
        <f>IF(COUNTIF(#REF!,Tabela2[[#This Row],[KOD_PRODUKTU]])&gt;0,"ELEMENT","PRODUKT")</f>
        <v>#REF!</v>
      </c>
      <c r="M2164" t="e">
        <f>COUNTIF(#REF!,Tabela2[[#This Row],[KOD_PRODUKTU]])</f>
        <v>#REF!</v>
      </c>
    </row>
    <row r="2165" spans="1:14" x14ac:dyDescent="0.25">
      <c r="A2165" s="1" t="s">
        <v>424</v>
      </c>
      <c r="B2165" t="s">
        <v>425</v>
      </c>
      <c r="C2165" s="1" t="s">
        <v>3179</v>
      </c>
      <c r="D2165" s="1" t="s">
        <v>3179</v>
      </c>
      <c r="E2165" s="1" t="s">
        <v>3179</v>
      </c>
      <c r="F2165" t="s">
        <v>3180</v>
      </c>
      <c r="G2165" t="s">
        <v>151</v>
      </c>
      <c r="H2165" t="s">
        <v>121</v>
      </c>
      <c r="I2165" t="s">
        <v>50</v>
      </c>
      <c r="J2165">
        <v>2</v>
      </c>
      <c r="K2165" t="e">
        <f>IF(COUNTIF(#REF!,Tabela2[[#This Row],[IdxWspolny]])&gt;0,"ELEM_lub_PRD","TECHN")</f>
        <v>#REF!</v>
      </c>
      <c r="L2165" t="e">
        <f>IF(COUNTIF(#REF!,Tabela2[[#This Row],[KOD_PRODUKTU]])&gt;0,"ELEMENT","PRODUKT")</f>
        <v>#REF!</v>
      </c>
      <c r="M2165" t="e">
        <f>COUNTIF(#REF!,Tabela2[[#This Row],[KOD_PRODUKTU]])</f>
        <v>#REF!</v>
      </c>
    </row>
    <row r="2166" spans="1:14" x14ac:dyDescent="0.25">
      <c r="A2166" s="1" t="s">
        <v>424</v>
      </c>
      <c r="B2166" t="s">
        <v>425</v>
      </c>
      <c r="C2166" s="1" t="s">
        <v>3235</v>
      </c>
      <c r="D2166" s="1" t="s">
        <v>3235</v>
      </c>
      <c r="E2166" s="1" t="s">
        <v>3235</v>
      </c>
      <c r="F2166" t="s">
        <v>3236</v>
      </c>
      <c r="G2166" t="s">
        <v>3237</v>
      </c>
      <c r="H2166" t="s">
        <v>121</v>
      </c>
      <c r="I2166" t="s">
        <v>122</v>
      </c>
      <c r="J2166">
        <v>20.92</v>
      </c>
      <c r="K2166" t="e">
        <f>IF(COUNTIF(#REF!,Tabela2[[#This Row],[IdxWspolny]])&gt;0,"ELEM_lub_PRD","TECHN")</f>
        <v>#REF!</v>
      </c>
      <c r="L2166" t="e">
        <f>IF(COUNTIF(#REF!,Tabela2[[#This Row],[KOD_PRODUKTU]])&gt;0,"ELEMENT","PRODUKT")</f>
        <v>#REF!</v>
      </c>
      <c r="M2166" t="e">
        <f>COUNTIF(#REF!,Tabela2[[#This Row],[KOD_PRODUKTU]])</f>
        <v>#REF!</v>
      </c>
    </row>
    <row r="2167" spans="1:14" x14ac:dyDescent="0.25">
      <c r="A2167" s="1" t="s">
        <v>424</v>
      </c>
      <c r="B2167" t="s">
        <v>425</v>
      </c>
      <c r="C2167" s="1" t="s">
        <v>3182</v>
      </c>
      <c r="D2167" s="1" t="s">
        <v>3182</v>
      </c>
      <c r="E2167" s="1" t="s">
        <v>3182</v>
      </c>
      <c r="F2167" t="s">
        <v>3183</v>
      </c>
      <c r="G2167" t="s">
        <v>3184</v>
      </c>
      <c r="H2167" t="s">
        <v>121</v>
      </c>
      <c r="I2167" t="s">
        <v>50</v>
      </c>
      <c r="J2167">
        <v>0.15</v>
      </c>
      <c r="K2167" t="e">
        <f>IF(COUNTIF(#REF!,Tabela2[[#This Row],[IdxWspolny]])&gt;0,"ELEM_lub_PRD","TECHN")</f>
        <v>#REF!</v>
      </c>
      <c r="L2167" t="e">
        <f>IF(COUNTIF(#REF!,Tabela2[[#This Row],[KOD_PRODUKTU]])&gt;0,"ELEMENT","PRODUKT")</f>
        <v>#REF!</v>
      </c>
      <c r="M2167" t="e">
        <f>COUNTIF(#REF!,Tabela2[[#This Row],[KOD_PRODUKTU]])</f>
        <v>#REF!</v>
      </c>
    </row>
    <row r="2168" spans="1:14" x14ac:dyDescent="0.25">
      <c r="A2168" s="1" t="s">
        <v>424</v>
      </c>
      <c r="B2168" t="s">
        <v>425</v>
      </c>
      <c r="C2168" s="1" t="s">
        <v>3185</v>
      </c>
      <c r="D2168" s="1" t="s">
        <v>3185</v>
      </c>
      <c r="E2168" s="1" t="s">
        <v>3185</v>
      </c>
      <c r="F2168" t="s">
        <v>3186</v>
      </c>
      <c r="G2168" t="s">
        <v>979</v>
      </c>
      <c r="H2168" t="s">
        <v>121</v>
      </c>
      <c r="I2168" t="s">
        <v>50</v>
      </c>
      <c r="J2168">
        <v>0.52</v>
      </c>
      <c r="K2168" t="e">
        <f>IF(COUNTIF(#REF!,Tabela2[[#This Row],[IdxWspolny]])&gt;0,"ELEM_lub_PRD","TECHN")</f>
        <v>#REF!</v>
      </c>
      <c r="L2168" t="e">
        <f>IF(COUNTIF(#REF!,Tabela2[[#This Row],[KOD_PRODUKTU]])&gt;0,"ELEMENT","PRODUKT")</f>
        <v>#REF!</v>
      </c>
      <c r="M2168" t="e">
        <f>COUNTIF(#REF!,Tabela2[[#This Row],[KOD_PRODUKTU]])</f>
        <v>#REF!</v>
      </c>
    </row>
    <row r="2169" spans="1:14" x14ac:dyDescent="0.25">
      <c r="A2169" s="1" t="s">
        <v>424</v>
      </c>
      <c r="B2169" t="s">
        <v>425</v>
      </c>
      <c r="C2169" s="1" t="s">
        <v>41</v>
      </c>
      <c r="D2169" s="1" t="s">
        <v>41</v>
      </c>
      <c r="E2169" s="1" t="s">
        <v>41</v>
      </c>
      <c r="F2169" t="s">
        <v>42</v>
      </c>
      <c r="G2169" t="s">
        <v>513</v>
      </c>
      <c r="H2169" t="s">
        <v>5</v>
      </c>
      <c r="I2169" t="s">
        <v>736</v>
      </c>
      <c r="J2169">
        <v>0.04</v>
      </c>
      <c r="K2169" t="e">
        <f>IF(COUNTIF(#REF!,Tabela2[[#This Row],[IdxWspolny]])&gt;0,"ELEM_lub_PRD","TECHN")</f>
        <v>#REF!</v>
      </c>
      <c r="L2169" t="e">
        <f>IF(COUNTIF(#REF!,Tabela2[[#This Row],[KOD_PRODUKTU]])&gt;0,"ELEMENT","PRODUKT")</f>
        <v>#REF!</v>
      </c>
      <c r="M2169" t="e">
        <f>COUNTIF(#REF!,Tabela2[[#This Row],[KOD_PRODUKTU]])</f>
        <v>#REF!</v>
      </c>
    </row>
    <row r="2170" spans="1:14" hidden="1" x14ac:dyDescent="0.25">
      <c r="A2170" s="1" t="s">
        <v>424</v>
      </c>
      <c r="B2170" t="s">
        <v>425</v>
      </c>
      <c r="C2170" s="1" t="s">
        <v>3578</v>
      </c>
      <c r="D2170" s="1" t="s">
        <v>3578</v>
      </c>
      <c r="E2170" s="1" t="s">
        <v>3578</v>
      </c>
      <c r="F2170" t="s">
        <v>3579</v>
      </c>
      <c r="G2170" t="s">
        <v>3580</v>
      </c>
      <c r="H2170" t="s">
        <v>121</v>
      </c>
      <c r="I2170" t="s">
        <v>122</v>
      </c>
      <c r="J2170">
        <v>12.24</v>
      </c>
      <c r="K2170" t="e">
        <f>IF(COUNTIF(#REF!,Tabela2[[#This Row],[IdxWspolny]])&gt;0,"ELEM_lub_PRD","TECHN")</f>
        <v>#REF!</v>
      </c>
      <c r="L2170" t="e">
        <f>IF(COUNTIF(#REF!,Tabela2[[#This Row],[KOD_PRODUKTU]])&gt;0,"ELEMENT","PRODUKT")</f>
        <v>#REF!</v>
      </c>
      <c r="M2170" t="e">
        <f>COUNTIF(#REF!,Tabela2[[#This Row],[KOD_PRODUKTU]])</f>
        <v>#REF!</v>
      </c>
      <c r="N2170" t="s">
        <v>55</v>
      </c>
    </row>
    <row r="2171" spans="1:14" hidden="1" x14ac:dyDescent="0.25">
      <c r="A2171" s="1" t="s">
        <v>424</v>
      </c>
      <c r="B2171" t="s">
        <v>425</v>
      </c>
      <c r="C2171" s="1" t="s">
        <v>3581</v>
      </c>
      <c r="D2171" s="1" t="s">
        <v>3581</v>
      </c>
      <c r="E2171" s="1" t="s">
        <v>3581</v>
      </c>
      <c r="F2171" t="s">
        <v>3582</v>
      </c>
      <c r="G2171" t="s">
        <v>3583</v>
      </c>
      <c r="H2171" t="s">
        <v>121</v>
      </c>
      <c r="I2171" t="s">
        <v>50</v>
      </c>
      <c r="J2171">
        <v>20.9</v>
      </c>
      <c r="K2171" t="e">
        <f>IF(COUNTIF(#REF!,Tabela2[[#This Row],[IdxWspolny]])&gt;0,"ELEM_lub_PRD","TECHN")</f>
        <v>#REF!</v>
      </c>
      <c r="L2171" t="e">
        <f>IF(COUNTIF(#REF!,Tabela2[[#This Row],[KOD_PRODUKTU]])&gt;0,"ELEMENT","PRODUKT")</f>
        <v>#REF!</v>
      </c>
      <c r="M2171" t="e">
        <f>COUNTIF(#REF!,Tabela2[[#This Row],[KOD_PRODUKTU]])</f>
        <v>#REF!</v>
      </c>
      <c r="N2171" t="s">
        <v>55</v>
      </c>
    </row>
    <row r="2172" spans="1:14" hidden="1" x14ac:dyDescent="0.25">
      <c r="A2172" s="1" t="s">
        <v>424</v>
      </c>
      <c r="B2172" t="s">
        <v>425</v>
      </c>
      <c r="C2172" s="1" t="s">
        <v>3584</v>
      </c>
      <c r="D2172" s="1" t="s">
        <v>1121</v>
      </c>
      <c r="E2172" s="1" t="s">
        <v>1121</v>
      </c>
      <c r="F2172" t="s">
        <v>3585</v>
      </c>
      <c r="G2172" t="s">
        <v>3586</v>
      </c>
      <c r="H2172" t="s">
        <v>121</v>
      </c>
      <c r="I2172" t="s">
        <v>50</v>
      </c>
      <c r="J2172">
        <v>12.4</v>
      </c>
      <c r="K2172" t="e">
        <f>IF(COUNTIF(#REF!,Tabela2[[#This Row],[IdxWspolny]])&gt;0,"ELEM_lub_PRD","TECHN")</f>
        <v>#REF!</v>
      </c>
      <c r="L2172" t="e">
        <f>IF(COUNTIF(#REF!,Tabela2[[#This Row],[KOD_PRODUKTU]])&gt;0,"ELEMENT","PRODUKT")</f>
        <v>#REF!</v>
      </c>
      <c r="M2172" t="e">
        <f>COUNTIF(#REF!,Tabela2[[#This Row],[KOD_PRODUKTU]])</f>
        <v>#REF!</v>
      </c>
      <c r="N2172" t="s">
        <v>51</v>
      </c>
    </row>
    <row r="2173" spans="1:14" x14ac:dyDescent="0.25">
      <c r="A2173" s="1" t="s">
        <v>424</v>
      </c>
      <c r="B2173" t="s">
        <v>425</v>
      </c>
      <c r="C2173" s="1" t="s">
        <v>541</v>
      </c>
      <c r="D2173" s="1" t="s">
        <v>541</v>
      </c>
      <c r="E2173" s="1" t="s">
        <v>541</v>
      </c>
      <c r="F2173" t="s">
        <v>542</v>
      </c>
      <c r="G2173" t="s">
        <v>9</v>
      </c>
      <c r="H2173" t="s">
        <v>10</v>
      </c>
      <c r="I2173" t="s">
        <v>1178</v>
      </c>
      <c r="J2173">
        <v>10.45</v>
      </c>
      <c r="K2173" t="e">
        <f>IF(COUNTIF(#REF!,Tabela2[[#This Row],[IdxWspolny]])&gt;0,"ELEM_lub_PRD","TECHN")</f>
        <v>#REF!</v>
      </c>
      <c r="L2173" t="e">
        <f>IF(COUNTIF(#REF!,Tabela2[[#This Row],[KOD_PRODUKTU]])&gt;0,"ELEMENT","PRODUKT")</f>
        <v>#REF!</v>
      </c>
      <c r="M2173" t="e">
        <f>COUNTIF(#REF!,Tabela2[[#This Row],[KOD_PRODUKTU]])</f>
        <v>#REF!</v>
      </c>
    </row>
    <row r="2174" spans="1:14" x14ac:dyDescent="0.25">
      <c r="A2174" s="1" t="s">
        <v>3578</v>
      </c>
      <c r="B2174" t="s">
        <v>3587</v>
      </c>
      <c r="C2174" s="1" t="s">
        <v>3255</v>
      </c>
      <c r="D2174" s="1" t="s">
        <v>3255</v>
      </c>
      <c r="E2174" s="1" t="s">
        <v>3255</v>
      </c>
      <c r="F2174" t="s">
        <v>3256</v>
      </c>
      <c r="G2174" t="s">
        <v>1017</v>
      </c>
      <c r="H2174" t="s">
        <v>5</v>
      </c>
      <c r="I2174" t="s">
        <v>3433</v>
      </c>
      <c r="J2174">
        <v>0.45</v>
      </c>
      <c r="K2174" t="e">
        <f>IF(COUNTIF(#REF!,Tabela2[[#This Row],[IdxWspolny]])&gt;0,"ELEM_lub_PRD","TECHN")</f>
        <v>#REF!</v>
      </c>
      <c r="L2174" t="e">
        <f>IF(COUNTIF(#REF!,Tabela2[[#This Row],[KOD_PRODUKTU]])&gt;0,"ELEMENT","PRODUKT")</f>
        <v>#REF!</v>
      </c>
      <c r="M2174" t="e">
        <f>COUNTIF(#REF!,Tabela2[[#This Row],[KOD_PRODUKTU]])</f>
        <v>#REF!</v>
      </c>
    </row>
    <row r="2175" spans="1:14" x14ac:dyDescent="0.25">
      <c r="A2175" s="1" t="s">
        <v>3578</v>
      </c>
      <c r="B2175" t="s">
        <v>3587</v>
      </c>
      <c r="C2175" s="1" t="s">
        <v>541</v>
      </c>
      <c r="D2175" s="1" t="s">
        <v>541</v>
      </c>
      <c r="E2175" s="1" t="s">
        <v>541</v>
      </c>
      <c r="F2175" t="s">
        <v>542</v>
      </c>
      <c r="G2175" t="s">
        <v>9</v>
      </c>
      <c r="H2175" t="s">
        <v>10</v>
      </c>
      <c r="I2175" t="s">
        <v>3588</v>
      </c>
      <c r="J2175">
        <v>2.61</v>
      </c>
      <c r="K2175" t="e">
        <f>IF(COUNTIF(#REF!,Tabela2[[#This Row],[IdxWspolny]])&gt;0,"ELEM_lub_PRD","TECHN")</f>
        <v>#REF!</v>
      </c>
      <c r="L2175" t="e">
        <f>IF(COUNTIF(#REF!,Tabela2[[#This Row],[KOD_PRODUKTU]])&gt;0,"ELEMENT","PRODUKT")</f>
        <v>#REF!</v>
      </c>
      <c r="M2175" t="e">
        <f>COUNTIF(#REF!,Tabela2[[#This Row],[KOD_PRODUKTU]])</f>
        <v>#REF!</v>
      </c>
    </row>
    <row r="2176" spans="1:14" x14ac:dyDescent="0.25">
      <c r="A2176" s="1" t="s">
        <v>3581</v>
      </c>
      <c r="B2176" t="s">
        <v>3589</v>
      </c>
      <c r="C2176" s="1" t="s">
        <v>1447</v>
      </c>
      <c r="D2176" s="1" t="s">
        <v>1447</v>
      </c>
      <c r="E2176" s="1" t="s">
        <v>1447</v>
      </c>
      <c r="F2176" t="s">
        <v>1448</v>
      </c>
      <c r="G2176" t="s">
        <v>779</v>
      </c>
      <c r="H2176" t="s">
        <v>5</v>
      </c>
      <c r="I2176" t="s">
        <v>3590</v>
      </c>
      <c r="J2176">
        <v>4.8</v>
      </c>
      <c r="K2176" t="e">
        <f>IF(COUNTIF(#REF!,Tabela2[[#This Row],[IdxWspolny]])&gt;0,"ELEM_lub_PRD","TECHN")</f>
        <v>#REF!</v>
      </c>
      <c r="L2176" t="e">
        <f>IF(COUNTIF(#REF!,Tabela2[[#This Row],[KOD_PRODUKTU]])&gt;0,"ELEMENT","PRODUKT")</f>
        <v>#REF!</v>
      </c>
      <c r="M2176" t="e">
        <f>COUNTIF(#REF!,Tabela2[[#This Row],[KOD_PRODUKTU]])</f>
        <v>#REF!</v>
      </c>
    </row>
    <row r="2177" spans="1:13" x14ac:dyDescent="0.25">
      <c r="A2177" s="1" t="s">
        <v>3581</v>
      </c>
      <c r="B2177" t="s">
        <v>3589</v>
      </c>
      <c r="C2177" s="1" t="s">
        <v>541</v>
      </c>
      <c r="D2177" s="1" t="s">
        <v>541</v>
      </c>
      <c r="E2177" s="1" t="s">
        <v>541</v>
      </c>
      <c r="F2177" t="s">
        <v>542</v>
      </c>
      <c r="G2177" t="s">
        <v>9</v>
      </c>
      <c r="H2177" t="s">
        <v>10</v>
      </c>
      <c r="I2177" t="s">
        <v>1254</v>
      </c>
      <c r="J2177">
        <v>16.100000000000001</v>
      </c>
      <c r="K2177" t="e">
        <f>IF(COUNTIF(#REF!,Tabela2[[#This Row],[IdxWspolny]])&gt;0,"ELEM_lub_PRD","TECHN")</f>
        <v>#REF!</v>
      </c>
      <c r="L2177" t="e">
        <f>IF(COUNTIF(#REF!,Tabela2[[#This Row],[KOD_PRODUKTU]])&gt;0,"ELEMENT","PRODUKT")</f>
        <v>#REF!</v>
      </c>
      <c r="M2177" t="e">
        <f>COUNTIF(#REF!,Tabela2[[#This Row],[KOD_PRODUKTU]])</f>
        <v>#REF!</v>
      </c>
    </row>
    <row r="2178" spans="1:13" x14ac:dyDescent="0.25">
      <c r="A2178" s="1" t="s">
        <v>3591</v>
      </c>
      <c r="B2178" t="s">
        <v>3592</v>
      </c>
      <c r="C2178" s="1" t="s">
        <v>1188</v>
      </c>
      <c r="D2178" s="1" t="s">
        <v>1188</v>
      </c>
      <c r="E2178" s="1" t="s">
        <v>1188</v>
      </c>
      <c r="F2178" t="s">
        <v>1189</v>
      </c>
      <c r="G2178" t="s">
        <v>1190</v>
      </c>
      <c r="H2178" t="s">
        <v>5</v>
      </c>
      <c r="I2178" t="s">
        <v>3593</v>
      </c>
      <c r="J2178">
        <v>1.0900000000000001</v>
      </c>
      <c r="K2178" t="e">
        <f>IF(COUNTIF(#REF!,Tabela2[[#This Row],[IdxWspolny]])&gt;0,"ELEM_lub_PRD","TECHN")</f>
        <v>#REF!</v>
      </c>
      <c r="L2178" t="e">
        <f>IF(COUNTIF(#REF!,Tabela2[[#This Row],[KOD_PRODUKTU]])&gt;0,"ELEMENT","PRODUKT")</f>
        <v>#REF!</v>
      </c>
      <c r="M2178" t="e">
        <f>COUNTIF(#REF!,Tabela2[[#This Row],[KOD_PRODUKTU]])</f>
        <v>#REF!</v>
      </c>
    </row>
    <row r="2179" spans="1:13" x14ac:dyDescent="0.25">
      <c r="A2179" s="1" t="s">
        <v>3591</v>
      </c>
      <c r="B2179" t="s">
        <v>3592</v>
      </c>
      <c r="C2179" s="1" t="s">
        <v>541</v>
      </c>
      <c r="D2179" s="1" t="s">
        <v>541</v>
      </c>
      <c r="E2179" s="1" t="s">
        <v>541</v>
      </c>
      <c r="F2179" t="s">
        <v>542</v>
      </c>
      <c r="G2179" t="s">
        <v>9</v>
      </c>
      <c r="H2179" t="s">
        <v>10</v>
      </c>
      <c r="I2179" t="s">
        <v>3594</v>
      </c>
      <c r="J2179">
        <v>7.53</v>
      </c>
      <c r="K2179" t="e">
        <f>IF(COUNTIF(#REF!,Tabela2[[#This Row],[IdxWspolny]])&gt;0,"ELEM_lub_PRD","TECHN")</f>
        <v>#REF!</v>
      </c>
      <c r="L2179" t="e">
        <f>IF(COUNTIF(#REF!,Tabela2[[#This Row],[KOD_PRODUKTU]])&gt;0,"ELEMENT","PRODUKT")</f>
        <v>#REF!</v>
      </c>
      <c r="M2179" t="e">
        <f>COUNTIF(#REF!,Tabela2[[#This Row],[KOD_PRODUKTU]])</f>
        <v>#REF!</v>
      </c>
    </row>
    <row r="2180" spans="1:13" x14ac:dyDescent="0.25">
      <c r="A2180" s="1" t="s">
        <v>3595</v>
      </c>
      <c r="B2180" t="s">
        <v>3596</v>
      </c>
      <c r="C2180" s="1" t="s">
        <v>3288</v>
      </c>
      <c r="D2180" s="1" t="s">
        <v>3288</v>
      </c>
      <c r="E2180" s="1" t="s">
        <v>3288</v>
      </c>
      <c r="F2180" t="s">
        <v>3289</v>
      </c>
      <c r="G2180" t="s">
        <v>1970</v>
      </c>
      <c r="H2180" t="s">
        <v>5</v>
      </c>
      <c r="I2180" t="s">
        <v>2847</v>
      </c>
      <c r="J2180">
        <v>0.08</v>
      </c>
      <c r="K2180" t="e">
        <f>IF(COUNTIF(#REF!,Tabela2[[#This Row],[IdxWspolny]])&gt;0,"ELEM_lub_PRD","TECHN")</f>
        <v>#REF!</v>
      </c>
      <c r="L2180" t="e">
        <f>IF(COUNTIF(#REF!,Tabela2[[#This Row],[KOD_PRODUKTU]])&gt;0,"ELEMENT","PRODUKT")</f>
        <v>#REF!</v>
      </c>
      <c r="M2180" t="e">
        <f>COUNTIF(#REF!,Tabela2[[#This Row],[KOD_PRODUKTU]])</f>
        <v>#REF!</v>
      </c>
    </row>
    <row r="2181" spans="1:13" x14ac:dyDescent="0.25">
      <c r="A2181" s="1" t="s">
        <v>3595</v>
      </c>
      <c r="B2181" t="s">
        <v>3596</v>
      </c>
      <c r="C2181" s="1" t="s">
        <v>7</v>
      </c>
      <c r="D2181" s="1" t="s">
        <v>7</v>
      </c>
      <c r="E2181" s="1" t="s">
        <v>7</v>
      </c>
      <c r="F2181" t="s">
        <v>8</v>
      </c>
      <c r="G2181" t="s">
        <v>9</v>
      </c>
      <c r="H2181" t="s">
        <v>10</v>
      </c>
      <c r="I2181" t="s">
        <v>3597</v>
      </c>
      <c r="J2181">
        <v>1.08</v>
      </c>
      <c r="K2181" t="e">
        <f>IF(COUNTIF(#REF!,Tabela2[[#This Row],[IdxWspolny]])&gt;0,"ELEM_lub_PRD","TECHN")</f>
        <v>#REF!</v>
      </c>
      <c r="L2181" t="e">
        <f>IF(COUNTIF(#REF!,Tabela2[[#This Row],[KOD_PRODUKTU]])&gt;0,"ELEMENT","PRODUKT")</f>
        <v>#REF!</v>
      </c>
      <c r="M2181" t="e">
        <f>COUNTIF(#REF!,Tabela2[[#This Row],[KOD_PRODUKTU]])</f>
        <v>#REF!</v>
      </c>
    </row>
    <row r="2182" spans="1:13" x14ac:dyDescent="0.25">
      <c r="A2182" s="1" t="s">
        <v>3598</v>
      </c>
      <c r="B2182" t="s">
        <v>3599</v>
      </c>
      <c r="C2182" s="1" t="s">
        <v>3600</v>
      </c>
      <c r="D2182" s="1" t="s">
        <v>3600</v>
      </c>
      <c r="E2182" s="1" t="s">
        <v>3600</v>
      </c>
      <c r="F2182" t="s">
        <v>3601</v>
      </c>
      <c r="G2182" t="s">
        <v>887</v>
      </c>
      <c r="H2182" t="s">
        <v>17</v>
      </c>
      <c r="I2182" t="s">
        <v>3602</v>
      </c>
      <c r="J2182">
        <v>10.5</v>
      </c>
      <c r="K2182" t="e">
        <f>IF(COUNTIF(#REF!,Tabela2[[#This Row],[IdxWspolny]])&gt;0,"ELEM_lub_PRD","TECHN")</f>
        <v>#REF!</v>
      </c>
      <c r="L2182" t="e">
        <f>IF(COUNTIF(#REF!,Tabela2[[#This Row],[KOD_PRODUKTU]])&gt;0,"ELEMENT","PRODUKT")</f>
        <v>#REF!</v>
      </c>
      <c r="M2182" t="e">
        <f>COUNTIF(#REF!,Tabela2[[#This Row],[KOD_PRODUKTU]])</f>
        <v>#REF!</v>
      </c>
    </row>
    <row r="2183" spans="1:13" x14ac:dyDescent="0.25">
      <c r="A2183" s="1" t="s">
        <v>3598</v>
      </c>
      <c r="B2183" t="s">
        <v>3599</v>
      </c>
      <c r="C2183" s="1" t="s">
        <v>7</v>
      </c>
      <c r="D2183" s="1" t="s">
        <v>7</v>
      </c>
      <c r="E2183" s="1" t="s">
        <v>7</v>
      </c>
      <c r="F2183" t="s">
        <v>8</v>
      </c>
      <c r="G2183" t="s">
        <v>9</v>
      </c>
      <c r="H2183" t="s">
        <v>10</v>
      </c>
      <c r="I2183" t="s">
        <v>607</v>
      </c>
      <c r="J2183">
        <v>18.399999999999999</v>
      </c>
      <c r="K2183" t="e">
        <f>IF(COUNTIF(#REF!,Tabela2[[#This Row],[IdxWspolny]])&gt;0,"ELEM_lub_PRD","TECHN")</f>
        <v>#REF!</v>
      </c>
      <c r="L2183" t="e">
        <f>IF(COUNTIF(#REF!,Tabela2[[#This Row],[KOD_PRODUKTU]])&gt;0,"ELEMENT","PRODUKT")</f>
        <v>#REF!</v>
      </c>
      <c r="M2183" t="e">
        <f>COUNTIF(#REF!,Tabela2[[#This Row],[KOD_PRODUKTU]])</f>
        <v>#REF!</v>
      </c>
    </row>
    <row r="2184" spans="1:13" x14ac:dyDescent="0.25">
      <c r="A2184" s="1" t="s">
        <v>3603</v>
      </c>
      <c r="B2184" t="s">
        <v>3604</v>
      </c>
      <c r="C2184" s="1" t="s">
        <v>7</v>
      </c>
      <c r="D2184" s="1" t="s">
        <v>7</v>
      </c>
      <c r="E2184" s="1" t="s">
        <v>7</v>
      </c>
      <c r="F2184" t="s">
        <v>8</v>
      </c>
      <c r="G2184" t="s">
        <v>9</v>
      </c>
      <c r="H2184" t="s">
        <v>10</v>
      </c>
      <c r="I2184" t="s">
        <v>3605</v>
      </c>
      <c r="J2184">
        <v>3.86</v>
      </c>
      <c r="K2184" t="e">
        <f>IF(COUNTIF(#REF!,Tabela2[[#This Row],[IdxWspolny]])&gt;0,"ELEM_lub_PRD","TECHN")</f>
        <v>#REF!</v>
      </c>
      <c r="L2184" t="e">
        <f>IF(COUNTIF(#REF!,Tabela2[[#This Row],[KOD_PRODUKTU]])&gt;0,"ELEMENT","PRODUKT")</f>
        <v>#REF!</v>
      </c>
      <c r="M2184" t="e">
        <f>COUNTIF(#REF!,Tabela2[[#This Row],[KOD_PRODUKTU]])</f>
        <v>#REF!</v>
      </c>
    </row>
    <row r="2185" spans="1:13" x14ac:dyDescent="0.25">
      <c r="A2185" s="1" t="s">
        <v>3606</v>
      </c>
      <c r="B2185" t="s">
        <v>3607</v>
      </c>
      <c r="C2185" s="1" t="s">
        <v>3280</v>
      </c>
      <c r="D2185" s="1" t="s">
        <v>3280</v>
      </c>
      <c r="E2185" s="1" t="s">
        <v>3280</v>
      </c>
      <c r="F2185" t="s">
        <v>3281</v>
      </c>
      <c r="G2185" t="s">
        <v>876</v>
      </c>
      <c r="H2185" t="s">
        <v>5</v>
      </c>
      <c r="I2185" t="s">
        <v>50</v>
      </c>
      <c r="J2185">
        <v>12</v>
      </c>
      <c r="K2185" t="e">
        <f>IF(COUNTIF(#REF!,Tabela2[[#This Row],[IdxWspolny]])&gt;0,"ELEM_lub_PRD","TECHN")</f>
        <v>#REF!</v>
      </c>
      <c r="L2185" t="e">
        <f>IF(COUNTIF(#REF!,Tabela2[[#This Row],[KOD_PRODUKTU]])&gt;0,"ELEMENT","PRODUKT")</f>
        <v>#REF!</v>
      </c>
      <c r="M2185" t="e">
        <f>COUNTIF(#REF!,Tabela2[[#This Row],[KOD_PRODUKTU]])</f>
        <v>#REF!</v>
      </c>
    </row>
    <row r="2186" spans="1:13" x14ac:dyDescent="0.25">
      <c r="A2186" s="1" t="s">
        <v>3606</v>
      </c>
      <c r="B2186" t="s">
        <v>3607</v>
      </c>
      <c r="C2186" s="1" t="s">
        <v>541</v>
      </c>
      <c r="D2186" s="1" t="s">
        <v>541</v>
      </c>
      <c r="E2186" s="1" t="s">
        <v>541</v>
      </c>
      <c r="F2186" t="s">
        <v>542</v>
      </c>
      <c r="G2186" t="s">
        <v>9</v>
      </c>
      <c r="H2186" t="s">
        <v>10</v>
      </c>
      <c r="I2186" t="s">
        <v>3608</v>
      </c>
      <c r="J2186">
        <v>11.97</v>
      </c>
      <c r="K2186" t="e">
        <f>IF(COUNTIF(#REF!,Tabela2[[#This Row],[IdxWspolny]])&gt;0,"ELEM_lub_PRD","TECHN")</f>
        <v>#REF!</v>
      </c>
      <c r="L2186" t="e">
        <f>IF(COUNTIF(#REF!,Tabela2[[#This Row],[KOD_PRODUKTU]])&gt;0,"ELEMENT","PRODUKT")</f>
        <v>#REF!</v>
      </c>
      <c r="M2186" t="e">
        <f>COUNTIF(#REF!,Tabela2[[#This Row],[KOD_PRODUKTU]])</f>
        <v>#REF!</v>
      </c>
    </row>
    <row r="2187" spans="1:13" x14ac:dyDescent="0.25">
      <c r="A2187" s="1" t="s">
        <v>3609</v>
      </c>
      <c r="B2187" t="s">
        <v>3610</v>
      </c>
      <c r="C2187" s="1" t="s">
        <v>432</v>
      </c>
      <c r="D2187" s="1" t="s">
        <v>432</v>
      </c>
      <c r="E2187" s="1" t="s">
        <v>432</v>
      </c>
      <c r="F2187" t="s">
        <v>433</v>
      </c>
      <c r="G2187" t="s">
        <v>434</v>
      </c>
      <c r="H2187" t="s">
        <v>435</v>
      </c>
      <c r="I2187" t="s">
        <v>50</v>
      </c>
      <c r="J2187">
        <v>1.1000000000000001</v>
      </c>
      <c r="K2187" t="e">
        <f>IF(COUNTIF(#REF!,Tabela2[[#This Row],[IdxWspolny]])&gt;0,"ELEM_lub_PRD","TECHN")</f>
        <v>#REF!</v>
      </c>
      <c r="L2187" t="e">
        <f>IF(COUNTIF(#REF!,Tabela2[[#This Row],[KOD_PRODUKTU]])&gt;0,"ELEMENT","PRODUKT")</f>
        <v>#REF!</v>
      </c>
      <c r="M2187" t="e">
        <f>COUNTIF(#REF!,Tabela2[[#This Row],[KOD_PRODUKTU]])</f>
        <v>#REF!</v>
      </c>
    </row>
    <row r="2188" spans="1:13" x14ac:dyDescent="0.25">
      <c r="A2188" s="1" t="s">
        <v>3609</v>
      </c>
      <c r="B2188" t="s">
        <v>3610</v>
      </c>
      <c r="C2188" s="1" t="s">
        <v>7</v>
      </c>
      <c r="D2188" s="1" t="s">
        <v>7</v>
      </c>
      <c r="E2188" s="1" t="s">
        <v>7</v>
      </c>
      <c r="F2188" t="s">
        <v>8</v>
      </c>
      <c r="G2188" t="s">
        <v>9</v>
      </c>
      <c r="H2188" t="s">
        <v>10</v>
      </c>
      <c r="I2188" t="s">
        <v>3611</v>
      </c>
      <c r="J2188">
        <v>8.2100000000000009</v>
      </c>
      <c r="K2188" t="e">
        <f>IF(COUNTIF(#REF!,Tabela2[[#This Row],[IdxWspolny]])&gt;0,"ELEM_lub_PRD","TECHN")</f>
        <v>#REF!</v>
      </c>
      <c r="L2188" t="e">
        <f>IF(COUNTIF(#REF!,Tabela2[[#This Row],[KOD_PRODUKTU]])&gt;0,"ELEMENT","PRODUKT")</f>
        <v>#REF!</v>
      </c>
      <c r="M2188" t="e">
        <f>COUNTIF(#REF!,Tabela2[[#This Row],[KOD_PRODUKTU]])</f>
        <v>#REF!</v>
      </c>
    </row>
    <row r="2189" spans="1:13" x14ac:dyDescent="0.25">
      <c r="A2189" s="1" t="s">
        <v>3612</v>
      </c>
      <c r="B2189" t="s">
        <v>3613</v>
      </c>
      <c r="C2189" s="1" t="s">
        <v>432</v>
      </c>
      <c r="D2189" s="1" t="s">
        <v>432</v>
      </c>
      <c r="E2189" s="1" t="s">
        <v>432</v>
      </c>
      <c r="F2189" t="s">
        <v>433</v>
      </c>
      <c r="G2189" t="s">
        <v>434</v>
      </c>
      <c r="H2189" t="s">
        <v>435</v>
      </c>
      <c r="I2189" t="s">
        <v>50</v>
      </c>
      <c r="J2189">
        <v>1.1000000000000001</v>
      </c>
      <c r="K2189" t="e">
        <f>IF(COUNTIF(#REF!,Tabela2[[#This Row],[IdxWspolny]])&gt;0,"ELEM_lub_PRD","TECHN")</f>
        <v>#REF!</v>
      </c>
      <c r="L2189" t="e">
        <f>IF(COUNTIF(#REF!,Tabela2[[#This Row],[KOD_PRODUKTU]])&gt;0,"ELEMENT","PRODUKT")</f>
        <v>#REF!</v>
      </c>
      <c r="M2189" t="e">
        <f>COUNTIF(#REF!,Tabela2[[#This Row],[KOD_PRODUKTU]])</f>
        <v>#REF!</v>
      </c>
    </row>
    <row r="2190" spans="1:13" x14ac:dyDescent="0.25">
      <c r="A2190" s="1" t="s">
        <v>3612</v>
      </c>
      <c r="B2190" t="s">
        <v>3613</v>
      </c>
      <c r="C2190" s="1" t="s">
        <v>7</v>
      </c>
      <c r="D2190" s="1" t="s">
        <v>7</v>
      </c>
      <c r="E2190" s="1" t="s">
        <v>7</v>
      </c>
      <c r="F2190" t="s">
        <v>8</v>
      </c>
      <c r="G2190" t="s">
        <v>9</v>
      </c>
      <c r="H2190" t="s">
        <v>10</v>
      </c>
      <c r="I2190" t="s">
        <v>3611</v>
      </c>
      <c r="J2190">
        <v>8.2100000000000009</v>
      </c>
      <c r="K2190" t="e">
        <f>IF(COUNTIF(#REF!,Tabela2[[#This Row],[IdxWspolny]])&gt;0,"ELEM_lub_PRD","TECHN")</f>
        <v>#REF!</v>
      </c>
      <c r="L2190" t="e">
        <f>IF(COUNTIF(#REF!,Tabela2[[#This Row],[KOD_PRODUKTU]])&gt;0,"ELEMENT","PRODUKT")</f>
        <v>#REF!</v>
      </c>
      <c r="M2190" t="e">
        <f>COUNTIF(#REF!,Tabela2[[#This Row],[KOD_PRODUKTU]])</f>
        <v>#REF!</v>
      </c>
    </row>
    <row r="2191" spans="1:13" x14ac:dyDescent="0.25">
      <c r="A2191" s="1" t="s">
        <v>3614</v>
      </c>
      <c r="B2191" t="s">
        <v>3615</v>
      </c>
      <c r="C2191" s="1" t="s">
        <v>3616</v>
      </c>
      <c r="D2191" s="1" t="s">
        <v>3616</v>
      </c>
      <c r="E2191" s="1" t="s">
        <v>3616</v>
      </c>
      <c r="F2191" t="s">
        <v>3617</v>
      </c>
      <c r="G2191" t="s">
        <v>3618</v>
      </c>
      <c r="H2191" t="s">
        <v>121</v>
      </c>
      <c r="I2191" t="s">
        <v>50</v>
      </c>
      <c r="J2191">
        <v>3.79</v>
      </c>
      <c r="K2191" t="e">
        <f>IF(COUNTIF(#REF!,Tabela2[[#This Row],[IdxWspolny]])&gt;0,"ELEM_lub_PRD","TECHN")</f>
        <v>#REF!</v>
      </c>
      <c r="L2191" t="e">
        <f>IF(COUNTIF(#REF!,Tabela2[[#This Row],[KOD_PRODUKTU]])&gt;0,"ELEMENT","PRODUKT")</f>
        <v>#REF!</v>
      </c>
      <c r="M2191" t="e">
        <f>COUNTIF(#REF!,Tabela2[[#This Row],[KOD_PRODUKTU]])</f>
        <v>#REF!</v>
      </c>
    </row>
    <row r="2192" spans="1:13" x14ac:dyDescent="0.25">
      <c r="A2192" s="1" t="s">
        <v>3614</v>
      </c>
      <c r="B2192" t="s">
        <v>3615</v>
      </c>
      <c r="C2192" s="1" t="s">
        <v>41</v>
      </c>
      <c r="D2192" s="1" t="s">
        <v>41</v>
      </c>
      <c r="E2192" s="1" t="s">
        <v>41</v>
      </c>
      <c r="F2192" t="s">
        <v>42</v>
      </c>
      <c r="G2192" t="s">
        <v>513</v>
      </c>
      <c r="H2192" t="s">
        <v>5</v>
      </c>
      <c r="I2192" t="s">
        <v>3619</v>
      </c>
      <c r="J2192">
        <v>0.01</v>
      </c>
      <c r="K2192" t="e">
        <f>IF(COUNTIF(#REF!,Tabela2[[#This Row],[IdxWspolny]])&gt;0,"ELEM_lub_PRD","TECHN")</f>
        <v>#REF!</v>
      </c>
      <c r="L2192" t="e">
        <f>IF(COUNTIF(#REF!,Tabela2[[#This Row],[KOD_PRODUKTU]])&gt;0,"ELEMENT","PRODUKT")</f>
        <v>#REF!</v>
      </c>
      <c r="M2192" t="e">
        <f>COUNTIF(#REF!,Tabela2[[#This Row],[KOD_PRODUKTU]])</f>
        <v>#REF!</v>
      </c>
    </row>
    <row r="2193" spans="1:14" hidden="1" x14ac:dyDescent="0.25">
      <c r="A2193" s="1" t="s">
        <v>3614</v>
      </c>
      <c r="B2193" t="s">
        <v>3615</v>
      </c>
      <c r="C2193" s="1" t="s">
        <v>3620</v>
      </c>
      <c r="D2193" s="1" t="s">
        <v>3620</v>
      </c>
      <c r="E2193" s="1" t="s">
        <v>3620</v>
      </c>
      <c r="F2193" t="s">
        <v>3621</v>
      </c>
      <c r="G2193" t="s">
        <v>3622</v>
      </c>
      <c r="H2193" t="s">
        <v>121</v>
      </c>
      <c r="I2193" t="s">
        <v>50</v>
      </c>
      <c r="J2193">
        <v>7.67</v>
      </c>
      <c r="K2193" t="e">
        <f>IF(COUNTIF(#REF!,Tabela2[[#This Row],[IdxWspolny]])&gt;0,"ELEM_lub_PRD","TECHN")</f>
        <v>#REF!</v>
      </c>
      <c r="L2193" t="e">
        <f>IF(COUNTIF(#REF!,Tabela2[[#This Row],[KOD_PRODUKTU]])&gt;0,"ELEMENT","PRODUKT")</f>
        <v>#REF!</v>
      </c>
      <c r="M2193" t="e">
        <f>COUNTIF(#REF!,Tabela2[[#This Row],[KOD_PRODUKTU]])</f>
        <v>#REF!</v>
      </c>
      <c r="N2193" t="s">
        <v>55</v>
      </c>
    </row>
    <row r="2194" spans="1:14" x14ac:dyDescent="0.25">
      <c r="A2194" s="1" t="s">
        <v>3614</v>
      </c>
      <c r="B2194" t="s">
        <v>3615</v>
      </c>
      <c r="C2194" s="1" t="s">
        <v>7</v>
      </c>
      <c r="D2194" s="1" t="s">
        <v>7</v>
      </c>
      <c r="E2194" s="1" t="s">
        <v>7</v>
      </c>
      <c r="F2194" t="s">
        <v>8</v>
      </c>
      <c r="G2194" t="s">
        <v>9</v>
      </c>
      <c r="H2194" t="s">
        <v>10</v>
      </c>
      <c r="I2194" t="s">
        <v>1200</v>
      </c>
      <c r="J2194">
        <v>3.87</v>
      </c>
      <c r="K2194" t="e">
        <f>IF(COUNTIF(#REF!,Tabela2[[#This Row],[IdxWspolny]])&gt;0,"ELEM_lub_PRD","TECHN")</f>
        <v>#REF!</v>
      </c>
      <c r="L2194" t="e">
        <f>IF(COUNTIF(#REF!,Tabela2[[#This Row],[KOD_PRODUKTU]])&gt;0,"ELEMENT","PRODUKT")</f>
        <v>#REF!</v>
      </c>
      <c r="M2194" t="e">
        <f>COUNTIF(#REF!,Tabela2[[#This Row],[KOD_PRODUKTU]])</f>
        <v>#REF!</v>
      </c>
    </row>
    <row r="2195" spans="1:14" x14ac:dyDescent="0.25">
      <c r="A2195" s="1" t="s">
        <v>3614</v>
      </c>
      <c r="B2195" t="s">
        <v>3615</v>
      </c>
      <c r="C2195" s="1" t="s">
        <v>7</v>
      </c>
      <c r="D2195" s="1" t="s">
        <v>7</v>
      </c>
      <c r="E2195" s="1" t="s">
        <v>7</v>
      </c>
      <c r="F2195" t="s">
        <v>8</v>
      </c>
      <c r="G2195" t="s">
        <v>9</v>
      </c>
      <c r="H2195" t="s">
        <v>10</v>
      </c>
      <c r="I2195" t="s">
        <v>3623</v>
      </c>
      <c r="J2195">
        <v>7.16</v>
      </c>
      <c r="K2195" t="e">
        <f>IF(COUNTIF(#REF!,Tabela2[[#This Row],[IdxWspolny]])&gt;0,"ELEM_lub_PRD","TECHN")</f>
        <v>#REF!</v>
      </c>
      <c r="L2195" t="e">
        <f>IF(COUNTIF(#REF!,Tabela2[[#This Row],[KOD_PRODUKTU]])&gt;0,"ELEMENT","PRODUKT")</f>
        <v>#REF!</v>
      </c>
      <c r="M2195" t="e">
        <f>COUNTIF(#REF!,Tabela2[[#This Row],[KOD_PRODUKTU]])</f>
        <v>#REF!</v>
      </c>
    </row>
    <row r="2196" spans="1:14" x14ac:dyDescent="0.25">
      <c r="A2196" s="1" t="s">
        <v>3624</v>
      </c>
      <c r="B2196" t="s">
        <v>3625</v>
      </c>
      <c r="C2196" s="1" t="s">
        <v>7</v>
      </c>
      <c r="D2196" s="1" t="s">
        <v>7</v>
      </c>
      <c r="E2196" s="1" t="s">
        <v>7</v>
      </c>
      <c r="F2196" t="s">
        <v>8</v>
      </c>
      <c r="G2196" t="s">
        <v>9</v>
      </c>
      <c r="H2196" t="s">
        <v>10</v>
      </c>
      <c r="I2196" t="s">
        <v>3047</v>
      </c>
      <c r="J2196">
        <v>4.83</v>
      </c>
      <c r="K2196" t="e">
        <f>IF(COUNTIF(#REF!,Tabela2[[#This Row],[IdxWspolny]])&gt;0,"ELEM_lub_PRD","TECHN")</f>
        <v>#REF!</v>
      </c>
      <c r="L2196" t="e">
        <f>IF(COUNTIF(#REF!,Tabela2[[#This Row],[KOD_PRODUKTU]])&gt;0,"ELEMENT","PRODUKT")</f>
        <v>#REF!</v>
      </c>
      <c r="M2196" t="e">
        <f>COUNTIF(#REF!,Tabela2[[#This Row],[KOD_PRODUKTU]])</f>
        <v>#REF!</v>
      </c>
    </row>
    <row r="2197" spans="1:14" x14ac:dyDescent="0.25">
      <c r="A2197" s="1" t="s">
        <v>3620</v>
      </c>
      <c r="B2197" t="s">
        <v>3626</v>
      </c>
      <c r="C2197" s="1" t="s">
        <v>1249</v>
      </c>
      <c r="D2197" s="1" t="s">
        <v>1249</v>
      </c>
      <c r="E2197" s="1" t="s">
        <v>1249</v>
      </c>
      <c r="F2197" t="s">
        <v>1250</v>
      </c>
      <c r="G2197" t="s">
        <v>1251</v>
      </c>
      <c r="H2197" t="s">
        <v>1252</v>
      </c>
      <c r="I2197" t="s">
        <v>3627</v>
      </c>
      <c r="J2197">
        <v>3.6</v>
      </c>
      <c r="K2197" t="e">
        <f>IF(COUNTIF(#REF!,Tabela2[[#This Row],[IdxWspolny]])&gt;0,"ELEM_lub_PRD","TECHN")</f>
        <v>#REF!</v>
      </c>
      <c r="L2197" t="e">
        <f>IF(COUNTIF(#REF!,Tabela2[[#This Row],[KOD_PRODUKTU]])&gt;0,"ELEMENT","PRODUKT")</f>
        <v>#REF!</v>
      </c>
      <c r="M2197" t="e">
        <f>COUNTIF(#REF!,Tabela2[[#This Row],[KOD_PRODUKTU]])</f>
        <v>#REF!</v>
      </c>
    </row>
    <row r="2198" spans="1:14" x14ac:dyDescent="0.25">
      <c r="A2198" s="1" t="s">
        <v>3620</v>
      </c>
      <c r="B2198" t="s">
        <v>3626</v>
      </c>
      <c r="C2198" s="1" t="s">
        <v>7</v>
      </c>
      <c r="D2198" s="1" t="s">
        <v>7</v>
      </c>
      <c r="E2198" s="1" t="s">
        <v>7</v>
      </c>
      <c r="F2198" t="s">
        <v>8</v>
      </c>
      <c r="G2198" t="s">
        <v>9</v>
      </c>
      <c r="H2198" t="s">
        <v>10</v>
      </c>
      <c r="I2198" t="s">
        <v>3628</v>
      </c>
      <c r="J2198">
        <v>4.07</v>
      </c>
      <c r="K2198" t="e">
        <f>IF(COUNTIF(#REF!,Tabela2[[#This Row],[IdxWspolny]])&gt;0,"ELEM_lub_PRD","TECHN")</f>
        <v>#REF!</v>
      </c>
      <c r="L2198" t="e">
        <f>IF(COUNTIF(#REF!,Tabela2[[#This Row],[KOD_PRODUKTU]])&gt;0,"ELEMENT","PRODUKT")</f>
        <v>#REF!</v>
      </c>
      <c r="M2198" t="e">
        <f>COUNTIF(#REF!,Tabela2[[#This Row],[KOD_PRODUKTU]])</f>
        <v>#REF!</v>
      </c>
    </row>
    <row r="2199" spans="1:14" x14ac:dyDescent="0.25">
      <c r="A2199" s="1" t="s">
        <v>3629</v>
      </c>
      <c r="B2199" t="s">
        <v>3630</v>
      </c>
      <c r="C2199" s="1" t="s">
        <v>432</v>
      </c>
      <c r="D2199" s="1" t="s">
        <v>432</v>
      </c>
      <c r="E2199" s="1" t="s">
        <v>432</v>
      </c>
      <c r="F2199" t="s">
        <v>433</v>
      </c>
      <c r="G2199" t="s">
        <v>434</v>
      </c>
      <c r="H2199" t="s">
        <v>435</v>
      </c>
      <c r="I2199" t="s">
        <v>50</v>
      </c>
      <c r="J2199">
        <v>1.1000000000000001</v>
      </c>
      <c r="K2199" t="e">
        <f>IF(COUNTIF(#REF!,Tabela2[[#This Row],[IdxWspolny]])&gt;0,"ELEM_lub_PRD","TECHN")</f>
        <v>#REF!</v>
      </c>
      <c r="L2199" t="e">
        <f>IF(COUNTIF(#REF!,Tabela2[[#This Row],[KOD_PRODUKTU]])&gt;0,"ELEMENT","PRODUKT")</f>
        <v>#REF!</v>
      </c>
      <c r="M2199" t="e">
        <f>COUNTIF(#REF!,Tabela2[[#This Row],[KOD_PRODUKTU]])</f>
        <v>#REF!</v>
      </c>
    </row>
    <row r="2200" spans="1:14" x14ac:dyDescent="0.25">
      <c r="A2200" s="1" t="s">
        <v>3629</v>
      </c>
      <c r="B2200" t="s">
        <v>3630</v>
      </c>
      <c r="C2200" s="1" t="s">
        <v>7</v>
      </c>
      <c r="D2200" s="1" t="s">
        <v>7</v>
      </c>
      <c r="E2200" s="1" t="s">
        <v>7</v>
      </c>
      <c r="F2200" t="s">
        <v>8</v>
      </c>
      <c r="G2200" t="s">
        <v>9</v>
      </c>
      <c r="H2200" t="s">
        <v>10</v>
      </c>
      <c r="I2200" t="s">
        <v>3631</v>
      </c>
      <c r="J2200">
        <v>8.66</v>
      </c>
      <c r="K2200" t="e">
        <f>IF(COUNTIF(#REF!,Tabela2[[#This Row],[IdxWspolny]])&gt;0,"ELEM_lub_PRD","TECHN")</f>
        <v>#REF!</v>
      </c>
      <c r="L2200" t="e">
        <f>IF(COUNTIF(#REF!,Tabela2[[#This Row],[KOD_PRODUKTU]])&gt;0,"ELEMENT","PRODUKT")</f>
        <v>#REF!</v>
      </c>
      <c r="M2200" t="e">
        <f>COUNTIF(#REF!,Tabela2[[#This Row],[KOD_PRODUKTU]])</f>
        <v>#REF!</v>
      </c>
    </row>
    <row r="2201" spans="1:14" x14ac:dyDescent="0.25">
      <c r="A2201" s="1" t="s">
        <v>3632</v>
      </c>
      <c r="B2201" t="s">
        <v>3633</v>
      </c>
      <c r="C2201" s="1" t="s">
        <v>3288</v>
      </c>
      <c r="D2201" s="1" t="s">
        <v>3288</v>
      </c>
      <c r="E2201" s="1" t="s">
        <v>3288</v>
      </c>
      <c r="F2201" t="s">
        <v>3289</v>
      </c>
      <c r="G2201" t="s">
        <v>1970</v>
      </c>
      <c r="H2201" t="s">
        <v>5</v>
      </c>
      <c r="I2201" t="s">
        <v>3564</v>
      </c>
      <c r="J2201">
        <v>0.1</v>
      </c>
      <c r="K2201" t="e">
        <f>IF(COUNTIF(#REF!,Tabela2[[#This Row],[IdxWspolny]])&gt;0,"ELEM_lub_PRD","TECHN")</f>
        <v>#REF!</v>
      </c>
      <c r="L2201" t="e">
        <f>IF(COUNTIF(#REF!,Tabela2[[#This Row],[KOD_PRODUKTU]])&gt;0,"ELEMENT","PRODUKT")</f>
        <v>#REF!</v>
      </c>
      <c r="M2201" t="e">
        <f>COUNTIF(#REF!,Tabela2[[#This Row],[KOD_PRODUKTU]])</f>
        <v>#REF!</v>
      </c>
    </row>
    <row r="2202" spans="1:14" x14ac:dyDescent="0.25">
      <c r="A2202" s="1" t="s">
        <v>3632</v>
      </c>
      <c r="B2202" t="s">
        <v>3633</v>
      </c>
      <c r="C2202" s="1" t="s">
        <v>7</v>
      </c>
      <c r="D2202" s="1" t="s">
        <v>7</v>
      </c>
      <c r="E2202" s="1" t="s">
        <v>7</v>
      </c>
      <c r="F2202" t="s">
        <v>8</v>
      </c>
      <c r="G2202" t="s">
        <v>9</v>
      </c>
      <c r="H2202" t="s">
        <v>10</v>
      </c>
      <c r="I2202" t="s">
        <v>2230</v>
      </c>
      <c r="J2202">
        <v>0.99</v>
      </c>
      <c r="K2202" t="e">
        <f>IF(COUNTIF(#REF!,Tabela2[[#This Row],[IdxWspolny]])&gt;0,"ELEM_lub_PRD","TECHN")</f>
        <v>#REF!</v>
      </c>
      <c r="L2202" t="e">
        <f>IF(COUNTIF(#REF!,Tabela2[[#This Row],[KOD_PRODUKTU]])&gt;0,"ELEMENT","PRODUKT")</f>
        <v>#REF!</v>
      </c>
      <c r="M2202" t="e">
        <f>COUNTIF(#REF!,Tabela2[[#This Row],[KOD_PRODUKTU]])</f>
        <v>#REF!</v>
      </c>
    </row>
    <row r="2203" spans="1:14" x14ac:dyDescent="0.25">
      <c r="A2203" s="1" t="s">
        <v>3634</v>
      </c>
      <c r="B2203" t="s">
        <v>3635</v>
      </c>
      <c r="C2203" s="1" t="s">
        <v>1249</v>
      </c>
      <c r="D2203" s="1" t="s">
        <v>1249</v>
      </c>
      <c r="E2203" s="1" t="s">
        <v>1249</v>
      </c>
      <c r="F2203" t="s">
        <v>1250</v>
      </c>
      <c r="G2203" t="s">
        <v>1251</v>
      </c>
      <c r="H2203" t="s">
        <v>1252</v>
      </c>
      <c r="I2203" t="s">
        <v>3636</v>
      </c>
      <c r="J2203">
        <v>8.2799999999999994</v>
      </c>
      <c r="K2203" t="e">
        <f>IF(COUNTIF(#REF!,Tabela2[[#This Row],[IdxWspolny]])&gt;0,"ELEM_lub_PRD","TECHN")</f>
        <v>#REF!</v>
      </c>
      <c r="L2203" t="e">
        <f>IF(COUNTIF(#REF!,Tabela2[[#This Row],[KOD_PRODUKTU]])&gt;0,"ELEMENT","PRODUKT")</f>
        <v>#REF!</v>
      </c>
      <c r="M2203" t="e">
        <f>COUNTIF(#REF!,Tabela2[[#This Row],[KOD_PRODUKTU]])</f>
        <v>#REF!</v>
      </c>
    </row>
    <row r="2204" spans="1:14" x14ac:dyDescent="0.25">
      <c r="A2204" s="1" t="s">
        <v>3634</v>
      </c>
      <c r="B2204" t="s">
        <v>3635</v>
      </c>
      <c r="C2204" s="1" t="s">
        <v>541</v>
      </c>
      <c r="D2204" s="1" t="s">
        <v>541</v>
      </c>
      <c r="E2204" s="1" t="s">
        <v>541</v>
      </c>
      <c r="F2204" t="s">
        <v>542</v>
      </c>
      <c r="G2204" t="s">
        <v>9</v>
      </c>
      <c r="H2204" t="s">
        <v>10</v>
      </c>
      <c r="I2204" t="s">
        <v>3637</v>
      </c>
      <c r="J2204">
        <v>33.729999999999997</v>
      </c>
      <c r="K2204" t="e">
        <f>IF(COUNTIF(#REF!,Tabela2[[#This Row],[IdxWspolny]])&gt;0,"ELEM_lub_PRD","TECHN")</f>
        <v>#REF!</v>
      </c>
      <c r="L2204" t="e">
        <f>IF(COUNTIF(#REF!,Tabela2[[#This Row],[KOD_PRODUKTU]])&gt;0,"ELEMENT","PRODUKT")</f>
        <v>#REF!</v>
      </c>
      <c r="M2204" t="e">
        <f>COUNTIF(#REF!,Tabela2[[#This Row],[KOD_PRODUKTU]])</f>
        <v>#REF!</v>
      </c>
    </row>
    <row r="2205" spans="1:14" x14ac:dyDescent="0.25">
      <c r="A2205" s="1" t="s">
        <v>3638</v>
      </c>
      <c r="B2205" t="s">
        <v>3639</v>
      </c>
      <c r="C2205" s="1" t="s">
        <v>1249</v>
      </c>
      <c r="D2205" s="1" t="s">
        <v>1249</v>
      </c>
      <c r="E2205" s="1" t="s">
        <v>1249</v>
      </c>
      <c r="F2205" t="s">
        <v>1250</v>
      </c>
      <c r="G2205" t="s">
        <v>1251</v>
      </c>
      <c r="H2205" t="s">
        <v>1252</v>
      </c>
      <c r="I2205" t="s">
        <v>3640</v>
      </c>
      <c r="J2205">
        <v>216</v>
      </c>
      <c r="K2205" t="e">
        <f>IF(COUNTIF(#REF!,Tabela2[[#This Row],[IdxWspolny]])&gt;0,"ELEM_lub_PRD","TECHN")</f>
        <v>#REF!</v>
      </c>
      <c r="L2205" t="e">
        <f>IF(COUNTIF(#REF!,Tabela2[[#This Row],[KOD_PRODUKTU]])&gt;0,"ELEMENT","PRODUKT")</f>
        <v>#REF!</v>
      </c>
      <c r="M2205" t="e">
        <f>COUNTIF(#REF!,Tabela2[[#This Row],[KOD_PRODUKTU]])</f>
        <v>#REF!</v>
      </c>
    </row>
    <row r="2206" spans="1:14" x14ac:dyDescent="0.25">
      <c r="A2206" s="1" t="s">
        <v>3638</v>
      </c>
      <c r="B2206" t="s">
        <v>3639</v>
      </c>
      <c r="C2206" s="1" t="s">
        <v>541</v>
      </c>
      <c r="D2206" s="1" t="s">
        <v>541</v>
      </c>
      <c r="E2206" s="1" t="s">
        <v>541</v>
      </c>
      <c r="F2206" t="s">
        <v>542</v>
      </c>
      <c r="G2206" t="s">
        <v>9</v>
      </c>
      <c r="H2206" t="s">
        <v>10</v>
      </c>
      <c r="I2206" t="s">
        <v>3641</v>
      </c>
      <c r="J2206">
        <v>84.18</v>
      </c>
      <c r="K2206" t="e">
        <f>IF(COUNTIF(#REF!,Tabela2[[#This Row],[IdxWspolny]])&gt;0,"ELEM_lub_PRD","TECHN")</f>
        <v>#REF!</v>
      </c>
      <c r="L2206" t="e">
        <f>IF(COUNTIF(#REF!,Tabela2[[#This Row],[KOD_PRODUKTU]])&gt;0,"ELEMENT","PRODUKT")</f>
        <v>#REF!</v>
      </c>
      <c r="M2206" t="e">
        <f>COUNTIF(#REF!,Tabela2[[#This Row],[KOD_PRODUKTU]])</f>
        <v>#REF!</v>
      </c>
    </row>
    <row r="2207" spans="1:14" x14ac:dyDescent="0.25">
      <c r="A2207" s="1" t="s">
        <v>3638</v>
      </c>
      <c r="B2207" t="s">
        <v>3639</v>
      </c>
      <c r="C2207" s="1" t="s">
        <v>7</v>
      </c>
      <c r="D2207" s="1" t="s">
        <v>7</v>
      </c>
      <c r="E2207" s="1" t="s">
        <v>7</v>
      </c>
      <c r="F2207" t="s">
        <v>8</v>
      </c>
      <c r="G2207" t="s">
        <v>9</v>
      </c>
      <c r="H2207" t="s">
        <v>10</v>
      </c>
      <c r="I2207" t="s">
        <v>3642</v>
      </c>
      <c r="J2207">
        <v>32.200000000000003</v>
      </c>
      <c r="K2207" t="e">
        <f>IF(COUNTIF(#REF!,Tabela2[[#This Row],[IdxWspolny]])&gt;0,"ELEM_lub_PRD","TECHN")</f>
        <v>#REF!</v>
      </c>
      <c r="L2207" t="e">
        <f>IF(COUNTIF(#REF!,Tabela2[[#This Row],[KOD_PRODUKTU]])&gt;0,"ELEMENT","PRODUKT")</f>
        <v>#REF!</v>
      </c>
      <c r="M2207" t="e">
        <f>COUNTIF(#REF!,Tabela2[[#This Row],[KOD_PRODUKTU]])</f>
        <v>#REF!</v>
      </c>
    </row>
    <row r="2208" spans="1:14" x14ac:dyDescent="0.25">
      <c r="A2208" s="1" t="s">
        <v>3643</v>
      </c>
      <c r="B2208" t="s">
        <v>3644</v>
      </c>
      <c r="C2208" s="1" t="s">
        <v>1249</v>
      </c>
      <c r="D2208" s="1" t="s">
        <v>1249</v>
      </c>
      <c r="E2208" s="1" t="s">
        <v>1249</v>
      </c>
      <c r="F2208" t="s">
        <v>1250</v>
      </c>
      <c r="G2208" t="s">
        <v>1251</v>
      </c>
      <c r="H2208" t="s">
        <v>1252</v>
      </c>
      <c r="I2208" t="s">
        <v>3645</v>
      </c>
      <c r="J2208">
        <v>108</v>
      </c>
      <c r="K2208" t="e">
        <f>IF(COUNTIF(#REF!,Tabela2[[#This Row],[IdxWspolny]])&gt;0,"ELEM_lub_PRD","TECHN")</f>
        <v>#REF!</v>
      </c>
      <c r="L2208" t="e">
        <f>IF(COUNTIF(#REF!,Tabela2[[#This Row],[KOD_PRODUKTU]])&gt;0,"ELEMENT","PRODUKT")</f>
        <v>#REF!</v>
      </c>
      <c r="M2208" t="e">
        <f>COUNTIF(#REF!,Tabela2[[#This Row],[KOD_PRODUKTU]])</f>
        <v>#REF!</v>
      </c>
    </row>
    <row r="2209" spans="1:13" x14ac:dyDescent="0.25">
      <c r="A2209" s="1" t="s">
        <v>3643</v>
      </c>
      <c r="B2209" t="s">
        <v>3644</v>
      </c>
      <c r="C2209" s="1" t="s">
        <v>7</v>
      </c>
      <c r="D2209" s="1" t="s">
        <v>7</v>
      </c>
      <c r="E2209" s="1" t="s">
        <v>7</v>
      </c>
      <c r="F2209" t="s">
        <v>8</v>
      </c>
      <c r="G2209" t="s">
        <v>9</v>
      </c>
      <c r="H2209" t="s">
        <v>10</v>
      </c>
      <c r="I2209" t="s">
        <v>3646</v>
      </c>
      <c r="J2209">
        <v>126.5</v>
      </c>
      <c r="K2209" t="e">
        <f>IF(COUNTIF(#REF!,Tabela2[[#This Row],[IdxWspolny]])&gt;0,"ELEM_lub_PRD","TECHN")</f>
        <v>#REF!</v>
      </c>
      <c r="L2209" t="e">
        <f>IF(COUNTIF(#REF!,Tabela2[[#This Row],[KOD_PRODUKTU]])&gt;0,"ELEMENT","PRODUKT")</f>
        <v>#REF!</v>
      </c>
      <c r="M2209" t="e">
        <f>COUNTIF(#REF!,Tabela2[[#This Row],[KOD_PRODUKTU]])</f>
        <v>#REF!</v>
      </c>
    </row>
    <row r="2210" spans="1:13" x14ac:dyDescent="0.25">
      <c r="A2210" s="1" t="s">
        <v>3643</v>
      </c>
      <c r="B2210" t="s">
        <v>3644</v>
      </c>
      <c r="C2210" s="1" t="s">
        <v>7</v>
      </c>
      <c r="D2210" s="1" t="s">
        <v>7</v>
      </c>
      <c r="E2210" s="1" t="s">
        <v>7</v>
      </c>
      <c r="F2210" t="s">
        <v>8</v>
      </c>
      <c r="G2210" t="s">
        <v>9</v>
      </c>
      <c r="H2210" t="s">
        <v>10</v>
      </c>
      <c r="I2210" t="s">
        <v>3647</v>
      </c>
      <c r="J2210">
        <v>67.62</v>
      </c>
      <c r="K2210" t="e">
        <f>IF(COUNTIF(#REF!,Tabela2[[#This Row],[IdxWspolny]])&gt;0,"ELEM_lub_PRD","TECHN")</f>
        <v>#REF!</v>
      </c>
      <c r="L2210" t="e">
        <f>IF(COUNTIF(#REF!,Tabela2[[#This Row],[KOD_PRODUKTU]])&gt;0,"ELEMENT","PRODUKT")</f>
        <v>#REF!</v>
      </c>
      <c r="M2210" t="e">
        <f>COUNTIF(#REF!,Tabela2[[#This Row],[KOD_PRODUKTU]])</f>
        <v>#REF!</v>
      </c>
    </row>
    <row r="2211" spans="1:13" x14ac:dyDescent="0.25">
      <c r="A2211" s="1" t="s">
        <v>3648</v>
      </c>
      <c r="B2211" t="s">
        <v>3649</v>
      </c>
      <c r="C2211" s="1" t="s">
        <v>1249</v>
      </c>
      <c r="D2211" s="1" t="s">
        <v>1249</v>
      </c>
      <c r="E2211" s="1" t="s">
        <v>1249</v>
      </c>
      <c r="F2211" t="s">
        <v>1250</v>
      </c>
      <c r="G2211" t="s">
        <v>1251</v>
      </c>
      <c r="H2211" t="s">
        <v>1252</v>
      </c>
      <c r="I2211" t="s">
        <v>3650</v>
      </c>
      <c r="J2211">
        <v>7.2</v>
      </c>
      <c r="K2211" t="e">
        <f>IF(COUNTIF(#REF!,Tabela2[[#This Row],[IdxWspolny]])&gt;0,"ELEM_lub_PRD","TECHN")</f>
        <v>#REF!</v>
      </c>
      <c r="L2211" t="e">
        <f>IF(COUNTIF(#REF!,Tabela2[[#This Row],[KOD_PRODUKTU]])&gt;0,"ELEMENT","PRODUKT")</f>
        <v>#REF!</v>
      </c>
      <c r="M2211" t="e">
        <f>COUNTIF(#REF!,Tabela2[[#This Row],[KOD_PRODUKTU]])</f>
        <v>#REF!</v>
      </c>
    </row>
    <row r="2212" spans="1:13" x14ac:dyDescent="0.25">
      <c r="A2212" s="1" t="s">
        <v>3648</v>
      </c>
      <c r="B2212" t="s">
        <v>3649</v>
      </c>
      <c r="C2212" s="1" t="s">
        <v>7</v>
      </c>
      <c r="D2212" s="1" t="s">
        <v>7</v>
      </c>
      <c r="E2212" s="1" t="s">
        <v>7</v>
      </c>
      <c r="F2212" t="s">
        <v>8</v>
      </c>
      <c r="G2212" t="s">
        <v>9</v>
      </c>
      <c r="H2212" t="s">
        <v>10</v>
      </c>
      <c r="I2212" t="s">
        <v>1130</v>
      </c>
      <c r="J2212">
        <v>34.5</v>
      </c>
      <c r="K2212" t="e">
        <f>IF(COUNTIF(#REF!,Tabela2[[#This Row],[IdxWspolny]])&gt;0,"ELEM_lub_PRD","TECHN")</f>
        <v>#REF!</v>
      </c>
      <c r="L2212" t="e">
        <f>IF(COUNTIF(#REF!,Tabela2[[#This Row],[KOD_PRODUKTU]])&gt;0,"ELEMENT","PRODUKT")</f>
        <v>#REF!</v>
      </c>
      <c r="M2212" t="e">
        <f>COUNTIF(#REF!,Tabela2[[#This Row],[KOD_PRODUKTU]])</f>
        <v>#REF!</v>
      </c>
    </row>
    <row r="2213" spans="1:13" x14ac:dyDescent="0.25">
      <c r="A2213" s="1" t="s">
        <v>3651</v>
      </c>
      <c r="B2213" t="s">
        <v>3652</v>
      </c>
      <c r="C2213" s="1" t="s">
        <v>1487</v>
      </c>
      <c r="D2213" s="1" t="s">
        <v>1487</v>
      </c>
      <c r="E2213" s="1" t="s">
        <v>1487</v>
      </c>
      <c r="F2213" t="s">
        <v>1488</v>
      </c>
      <c r="G2213" t="s">
        <v>31</v>
      </c>
      <c r="H2213" t="s">
        <v>5</v>
      </c>
      <c r="I2213" t="s">
        <v>3653</v>
      </c>
      <c r="J2213">
        <v>1.4</v>
      </c>
      <c r="K2213" t="e">
        <f>IF(COUNTIF(#REF!,Tabela2[[#This Row],[IdxWspolny]])&gt;0,"ELEM_lub_PRD","TECHN")</f>
        <v>#REF!</v>
      </c>
      <c r="L2213" t="e">
        <f>IF(COUNTIF(#REF!,Tabela2[[#This Row],[KOD_PRODUKTU]])&gt;0,"ELEMENT","PRODUKT")</f>
        <v>#REF!</v>
      </c>
      <c r="M2213" t="e">
        <f>COUNTIF(#REF!,Tabela2[[#This Row],[KOD_PRODUKTU]])</f>
        <v>#REF!</v>
      </c>
    </row>
    <row r="2214" spans="1:13" x14ac:dyDescent="0.25">
      <c r="A2214" s="1" t="s">
        <v>3651</v>
      </c>
      <c r="B2214" t="s">
        <v>3652</v>
      </c>
      <c r="C2214" s="1" t="s">
        <v>541</v>
      </c>
      <c r="D2214" s="1" t="s">
        <v>541</v>
      </c>
      <c r="E2214" s="1" t="s">
        <v>541</v>
      </c>
      <c r="F2214" t="s">
        <v>542</v>
      </c>
      <c r="G2214" t="s">
        <v>9</v>
      </c>
      <c r="H2214" t="s">
        <v>10</v>
      </c>
      <c r="I2214" t="s">
        <v>2958</v>
      </c>
      <c r="J2214">
        <v>3.97</v>
      </c>
      <c r="K2214" t="e">
        <f>IF(COUNTIF(#REF!,Tabela2[[#This Row],[IdxWspolny]])&gt;0,"ELEM_lub_PRD","TECHN")</f>
        <v>#REF!</v>
      </c>
      <c r="L2214" t="e">
        <f>IF(COUNTIF(#REF!,Tabela2[[#This Row],[KOD_PRODUKTU]])&gt;0,"ELEMENT","PRODUKT")</f>
        <v>#REF!</v>
      </c>
      <c r="M2214" t="e">
        <f>COUNTIF(#REF!,Tabela2[[#This Row],[KOD_PRODUKTU]])</f>
        <v>#REF!</v>
      </c>
    </row>
    <row r="2215" spans="1:13" x14ac:dyDescent="0.25">
      <c r="A2215" s="1" t="s">
        <v>3654</v>
      </c>
      <c r="B2215" t="s">
        <v>3655</v>
      </c>
      <c r="C2215" s="1" t="s">
        <v>1162</v>
      </c>
      <c r="D2215" s="1" t="s">
        <v>1162</v>
      </c>
      <c r="E2215" s="1" t="s">
        <v>1162</v>
      </c>
      <c r="F2215" t="s">
        <v>1163</v>
      </c>
      <c r="G2215" t="s">
        <v>1164</v>
      </c>
      <c r="H2215" t="s">
        <v>5</v>
      </c>
      <c r="I2215" t="s">
        <v>3656</v>
      </c>
      <c r="J2215">
        <v>0.24</v>
      </c>
      <c r="K2215" t="e">
        <f>IF(COUNTIF(#REF!,Tabela2[[#This Row],[IdxWspolny]])&gt;0,"ELEM_lub_PRD","TECHN")</f>
        <v>#REF!</v>
      </c>
      <c r="L2215" t="e">
        <f>IF(COUNTIF(#REF!,Tabela2[[#This Row],[KOD_PRODUKTU]])&gt;0,"ELEMENT","PRODUKT")</f>
        <v>#REF!</v>
      </c>
      <c r="M2215" t="e">
        <f>COUNTIF(#REF!,Tabela2[[#This Row],[KOD_PRODUKTU]])</f>
        <v>#REF!</v>
      </c>
    </row>
    <row r="2216" spans="1:13" x14ac:dyDescent="0.25">
      <c r="A2216" s="1" t="s">
        <v>3654</v>
      </c>
      <c r="B2216" t="s">
        <v>3655</v>
      </c>
      <c r="C2216" s="1" t="s">
        <v>541</v>
      </c>
      <c r="D2216" s="1" t="s">
        <v>541</v>
      </c>
      <c r="E2216" s="1" t="s">
        <v>541</v>
      </c>
      <c r="F2216" t="s">
        <v>542</v>
      </c>
      <c r="G2216" t="s">
        <v>9</v>
      </c>
      <c r="H2216" t="s">
        <v>10</v>
      </c>
      <c r="I2216" t="s">
        <v>1200</v>
      </c>
      <c r="J2216">
        <v>3.87</v>
      </c>
      <c r="K2216" t="e">
        <f>IF(COUNTIF(#REF!,Tabela2[[#This Row],[IdxWspolny]])&gt;0,"ELEM_lub_PRD","TECHN")</f>
        <v>#REF!</v>
      </c>
      <c r="L2216" t="e">
        <f>IF(COUNTIF(#REF!,Tabela2[[#This Row],[KOD_PRODUKTU]])&gt;0,"ELEMENT","PRODUKT")</f>
        <v>#REF!</v>
      </c>
      <c r="M2216" t="e">
        <f>COUNTIF(#REF!,Tabela2[[#This Row],[KOD_PRODUKTU]])</f>
        <v>#REF!</v>
      </c>
    </row>
    <row r="2217" spans="1:13" x14ac:dyDescent="0.25">
      <c r="A2217" s="1" t="s">
        <v>3657</v>
      </c>
      <c r="B2217" t="s">
        <v>3658</v>
      </c>
      <c r="C2217" s="1" t="s">
        <v>1162</v>
      </c>
      <c r="D2217" s="1" t="s">
        <v>1162</v>
      </c>
      <c r="E2217" s="1" t="s">
        <v>1162</v>
      </c>
      <c r="F2217" t="s">
        <v>1163</v>
      </c>
      <c r="G2217" t="s">
        <v>1164</v>
      </c>
      <c r="H2217" t="s">
        <v>5</v>
      </c>
      <c r="I2217" t="s">
        <v>3659</v>
      </c>
      <c r="J2217">
        <v>0.54</v>
      </c>
      <c r="K2217" t="e">
        <f>IF(COUNTIF(#REF!,Tabela2[[#This Row],[IdxWspolny]])&gt;0,"ELEM_lub_PRD","TECHN")</f>
        <v>#REF!</v>
      </c>
      <c r="L2217" t="e">
        <f>IF(COUNTIF(#REF!,Tabela2[[#This Row],[KOD_PRODUKTU]])&gt;0,"ELEMENT","PRODUKT")</f>
        <v>#REF!</v>
      </c>
      <c r="M2217" t="e">
        <f>COUNTIF(#REF!,Tabela2[[#This Row],[KOD_PRODUKTU]])</f>
        <v>#REF!</v>
      </c>
    </row>
    <row r="2218" spans="1:13" x14ac:dyDescent="0.25">
      <c r="A2218" s="1" t="s">
        <v>3657</v>
      </c>
      <c r="B2218" t="s">
        <v>3658</v>
      </c>
      <c r="C2218" s="1" t="s">
        <v>541</v>
      </c>
      <c r="D2218" s="1" t="s">
        <v>541</v>
      </c>
      <c r="E2218" s="1" t="s">
        <v>541</v>
      </c>
      <c r="F2218" t="s">
        <v>542</v>
      </c>
      <c r="G2218" t="s">
        <v>9</v>
      </c>
      <c r="H2218" t="s">
        <v>10</v>
      </c>
      <c r="I2218" t="s">
        <v>19</v>
      </c>
      <c r="J2218">
        <v>4.5999999999999996</v>
      </c>
      <c r="K2218" t="e">
        <f>IF(COUNTIF(#REF!,Tabela2[[#This Row],[IdxWspolny]])&gt;0,"ELEM_lub_PRD","TECHN")</f>
        <v>#REF!</v>
      </c>
      <c r="L2218" t="e">
        <f>IF(COUNTIF(#REF!,Tabela2[[#This Row],[KOD_PRODUKTU]])&gt;0,"ELEMENT","PRODUKT")</f>
        <v>#REF!</v>
      </c>
      <c r="M2218" t="e">
        <f>COUNTIF(#REF!,Tabela2[[#This Row],[KOD_PRODUKTU]])</f>
        <v>#REF!</v>
      </c>
    </row>
    <row r="2219" spans="1:13" x14ac:dyDescent="0.25">
      <c r="A2219" s="1" t="s">
        <v>3660</v>
      </c>
      <c r="B2219" t="s">
        <v>3661</v>
      </c>
      <c r="C2219" s="1" t="s">
        <v>1508</v>
      </c>
      <c r="D2219" s="1" t="s">
        <v>1508</v>
      </c>
      <c r="E2219" s="1" t="s">
        <v>1508</v>
      </c>
      <c r="F2219" t="s">
        <v>1509</v>
      </c>
      <c r="G2219" t="s">
        <v>1017</v>
      </c>
      <c r="H2219" t="s">
        <v>5</v>
      </c>
      <c r="I2219" t="s">
        <v>3662</v>
      </c>
      <c r="J2219">
        <v>4.2</v>
      </c>
      <c r="K2219" t="e">
        <f>IF(COUNTIF(#REF!,Tabela2[[#This Row],[IdxWspolny]])&gt;0,"ELEM_lub_PRD","TECHN")</f>
        <v>#REF!</v>
      </c>
      <c r="L2219" t="e">
        <f>IF(COUNTIF(#REF!,Tabela2[[#This Row],[KOD_PRODUKTU]])&gt;0,"ELEMENT","PRODUKT")</f>
        <v>#REF!</v>
      </c>
      <c r="M2219" t="e">
        <f>COUNTIF(#REF!,Tabela2[[#This Row],[KOD_PRODUKTU]])</f>
        <v>#REF!</v>
      </c>
    </row>
    <row r="2220" spans="1:13" x14ac:dyDescent="0.25">
      <c r="A2220" s="1" t="s">
        <v>3660</v>
      </c>
      <c r="B2220" t="s">
        <v>3661</v>
      </c>
      <c r="C2220" s="1" t="s">
        <v>7</v>
      </c>
      <c r="D2220" s="1" t="s">
        <v>7</v>
      </c>
      <c r="E2220" s="1" t="s">
        <v>7</v>
      </c>
      <c r="F2220" t="s">
        <v>8</v>
      </c>
      <c r="G2220" t="s">
        <v>9</v>
      </c>
      <c r="H2220" t="s">
        <v>10</v>
      </c>
      <c r="I2220" t="s">
        <v>1254</v>
      </c>
      <c r="J2220">
        <v>16.100000000000001</v>
      </c>
      <c r="K2220" t="e">
        <f>IF(COUNTIF(#REF!,Tabela2[[#This Row],[IdxWspolny]])&gt;0,"ELEM_lub_PRD","TECHN")</f>
        <v>#REF!</v>
      </c>
      <c r="L2220" t="e">
        <f>IF(COUNTIF(#REF!,Tabela2[[#This Row],[KOD_PRODUKTU]])&gt;0,"ELEMENT","PRODUKT")</f>
        <v>#REF!</v>
      </c>
      <c r="M2220" t="e">
        <f>COUNTIF(#REF!,Tabela2[[#This Row],[KOD_PRODUKTU]])</f>
        <v>#REF!</v>
      </c>
    </row>
    <row r="2221" spans="1:13" x14ac:dyDescent="0.25">
      <c r="A2221" s="1" t="s">
        <v>3663</v>
      </c>
      <c r="B2221" t="s">
        <v>3664</v>
      </c>
      <c r="C2221" s="1" t="s">
        <v>3665</v>
      </c>
      <c r="D2221" s="1" t="s">
        <v>3665</v>
      </c>
      <c r="E2221" s="1" t="s">
        <v>3665</v>
      </c>
      <c r="F2221" t="s">
        <v>3666</v>
      </c>
      <c r="G2221" t="s">
        <v>83</v>
      </c>
      <c r="H2221" t="s">
        <v>17</v>
      </c>
      <c r="I2221" t="s">
        <v>3267</v>
      </c>
      <c r="J2221">
        <v>1.22</v>
      </c>
      <c r="K2221" t="e">
        <f>IF(COUNTIF(#REF!,Tabela2[[#This Row],[IdxWspolny]])&gt;0,"ELEM_lub_PRD","TECHN")</f>
        <v>#REF!</v>
      </c>
      <c r="L2221" t="e">
        <f>IF(COUNTIF(#REF!,Tabela2[[#This Row],[KOD_PRODUKTU]])&gt;0,"ELEMENT","PRODUKT")</f>
        <v>#REF!</v>
      </c>
      <c r="M2221" t="e">
        <f>COUNTIF(#REF!,Tabela2[[#This Row],[KOD_PRODUKTU]])</f>
        <v>#REF!</v>
      </c>
    </row>
    <row r="2222" spans="1:13" x14ac:dyDescent="0.25">
      <c r="A2222" s="1" t="s">
        <v>3663</v>
      </c>
      <c r="B2222" t="s">
        <v>3664</v>
      </c>
      <c r="C2222" s="1" t="s">
        <v>432</v>
      </c>
      <c r="D2222" s="1" t="s">
        <v>432</v>
      </c>
      <c r="E2222" s="1" t="s">
        <v>432</v>
      </c>
      <c r="F2222" t="s">
        <v>433</v>
      </c>
      <c r="G2222" t="s">
        <v>434</v>
      </c>
      <c r="H2222" t="s">
        <v>435</v>
      </c>
      <c r="I2222" t="s">
        <v>92</v>
      </c>
      <c r="J2222">
        <v>2.2000000000000002</v>
      </c>
      <c r="K2222" t="e">
        <f>IF(COUNTIF(#REF!,Tabela2[[#This Row],[IdxWspolny]])&gt;0,"ELEM_lub_PRD","TECHN")</f>
        <v>#REF!</v>
      </c>
      <c r="L2222" t="e">
        <f>IF(COUNTIF(#REF!,Tabela2[[#This Row],[KOD_PRODUKTU]])&gt;0,"ELEMENT","PRODUKT")</f>
        <v>#REF!</v>
      </c>
      <c r="M2222" t="e">
        <f>COUNTIF(#REF!,Tabela2[[#This Row],[KOD_PRODUKTU]])</f>
        <v>#REF!</v>
      </c>
    </row>
    <row r="2223" spans="1:13" x14ac:dyDescent="0.25">
      <c r="A2223" s="1" t="s">
        <v>3663</v>
      </c>
      <c r="B2223" t="s">
        <v>3664</v>
      </c>
      <c r="C2223" s="1" t="s">
        <v>541</v>
      </c>
      <c r="D2223" s="1" t="s">
        <v>541</v>
      </c>
      <c r="E2223" s="1" t="s">
        <v>541</v>
      </c>
      <c r="F2223" t="s">
        <v>542</v>
      </c>
      <c r="G2223" t="s">
        <v>9</v>
      </c>
      <c r="H2223" t="s">
        <v>10</v>
      </c>
      <c r="I2223" t="s">
        <v>3427</v>
      </c>
      <c r="J2223">
        <v>9.66</v>
      </c>
      <c r="K2223" t="e">
        <f>IF(COUNTIF(#REF!,Tabela2[[#This Row],[IdxWspolny]])&gt;0,"ELEM_lub_PRD","TECHN")</f>
        <v>#REF!</v>
      </c>
      <c r="L2223" t="e">
        <f>IF(COUNTIF(#REF!,Tabela2[[#This Row],[KOD_PRODUKTU]])&gt;0,"ELEMENT","PRODUKT")</f>
        <v>#REF!</v>
      </c>
      <c r="M2223" t="e">
        <f>COUNTIF(#REF!,Tabela2[[#This Row],[KOD_PRODUKTU]])</f>
        <v>#REF!</v>
      </c>
    </row>
    <row r="2224" spans="1:13" x14ac:dyDescent="0.25">
      <c r="A2224" s="1" t="s">
        <v>3667</v>
      </c>
      <c r="B2224" t="s">
        <v>3668</v>
      </c>
      <c r="C2224" s="1" t="s">
        <v>3669</v>
      </c>
      <c r="D2224" s="1" t="s">
        <v>3669</v>
      </c>
      <c r="E2224" s="1" t="s">
        <v>3669</v>
      </c>
      <c r="F2224" t="s">
        <v>3670</v>
      </c>
      <c r="G2224" t="s">
        <v>2854</v>
      </c>
      <c r="H2224" t="s">
        <v>5</v>
      </c>
      <c r="I2224" t="s">
        <v>3671</v>
      </c>
      <c r="J2224">
        <v>0.42</v>
      </c>
      <c r="K2224" t="e">
        <f>IF(COUNTIF(#REF!,Tabela2[[#This Row],[IdxWspolny]])&gt;0,"ELEM_lub_PRD","TECHN")</f>
        <v>#REF!</v>
      </c>
      <c r="L2224" t="e">
        <f>IF(COUNTIF(#REF!,Tabela2[[#This Row],[KOD_PRODUKTU]])&gt;0,"ELEMENT","PRODUKT")</f>
        <v>#REF!</v>
      </c>
      <c r="M2224" t="e">
        <f>COUNTIF(#REF!,Tabela2[[#This Row],[KOD_PRODUKTU]])</f>
        <v>#REF!</v>
      </c>
    </row>
    <row r="2225" spans="1:13" x14ac:dyDescent="0.25">
      <c r="A2225" s="1" t="s">
        <v>3667</v>
      </c>
      <c r="B2225" t="s">
        <v>3668</v>
      </c>
      <c r="C2225" s="1" t="s">
        <v>541</v>
      </c>
      <c r="D2225" s="1" t="s">
        <v>541</v>
      </c>
      <c r="E2225" s="1" t="s">
        <v>541</v>
      </c>
      <c r="F2225" t="s">
        <v>542</v>
      </c>
      <c r="G2225" t="s">
        <v>9</v>
      </c>
      <c r="H2225" t="s">
        <v>10</v>
      </c>
      <c r="I2225" t="s">
        <v>3047</v>
      </c>
      <c r="J2225">
        <v>4.83</v>
      </c>
      <c r="K2225" t="e">
        <f>IF(COUNTIF(#REF!,Tabela2[[#This Row],[IdxWspolny]])&gt;0,"ELEM_lub_PRD","TECHN")</f>
        <v>#REF!</v>
      </c>
      <c r="L2225" t="e">
        <f>IF(COUNTIF(#REF!,Tabela2[[#This Row],[KOD_PRODUKTU]])&gt;0,"ELEMENT","PRODUKT")</f>
        <v>#REF!</v>
      </c>
      <c r="M2225" t="e">
        <f>COUNTIF(#REF!,Tabela2[[#This Row],[KOD_PRODUKTU]])</f>
        <v>#REF!</v>
      </c>
    </row>
    <row r="2226" spans="1:13" x14ac:dyDescent="0.25">
      <c r="A2226" s="1" t="s">
        <v>3672</v>
      </c>
      <c r="B2226" t="s">
        <v>3673</v>
      </c>
      <c r="C2226" s="1" t="s">
        <v>1862</v>
      </c>
      <c r="D2226" s="1" t="s">
        <v>1862</v>
      </c>
      <c r="E2226" s="1" t="s">
        <v>1862</v>
      </c>
      <c r="F2226" t="s">
        <v>1863</v>
      </c>
      <c r="G2226" t="s">
        <v>3549</v>
      </c>
      <c r="H2226" t="s">
        <v>121</v>
      </c>
      <c r="I2226" t="s">
        <v>3674</v>
      </c>
      <c r="J2226">
        <v>2.42</v>
      </c>
      <c r="K2226" t="e">
        <f>IF(COUNTIF(#REF!,Tabela2[[#This Row],[IdxWspolny]])&gt;0,"ELEM_lub_PRD","TECHN")</f>
        <v>#REF!</v>
      </c>
      <c r="L2226" t="e">
        <f>IF(COUNTIF(#REF!,Tabela2[[#This Row],[KOD_PRODUKTU]])&gt;0,"ELEMENT","PRODUKT")</f>
        <v>#REF!</v>
      </c>
      <c r="M2226" t="e">
        <f>COUNTIF(#REF!,Tabela2[[#This Row],[KOD_PRODUKTU]])</f>
        <v>#REF!</v>
      </c>
    </row>
    <row r="2227" spans="1:13" x14ac:dyDescent="0.25">
      <c r="A2227" s="1" t="s">
        <v>3672</v>
      </c>
      <c r="B2227" t="s">
        <v>3673</v>
      </c>
      <c r="C2227" s="1" t="s">
        <v>432</v>
      </c>
      <c r="D2227" s="1" t="s">
        <v>432</v>
      </c>
      <c r="E2227" s="1" t="s">
        <v>432</v>
      </c>
      <c r="F2227" t="s">
        <v>433</v>
      </c>
      <c r="G2227" t="s">
        <v>434</v>
      </c>
      <c r="H2227" t="s">
        <v>435</v>
      </c>
      <c r="I2227" t="s">
        <v>50</v>
      </c>
      <c r="J2227">
        <v>1.1000000000000001</v>
      </c>
      <c r="K2227" t="e">
        <f>IF(COUNTIF(#REF!,Tabela2[[#This Row],[IdxWspolny]])&gt;0,"ELEM_lub_PRD","TECHN")</f>
        <v>#REF!</v>
      </c>
      <c r="L2227" t="e">
        <f>IF(COUNTIF(#REF!,Tabela2[[#This Row],[KOD_PRODUKTU]])&gt;0,"ELEMENT","PRODUKT")</f>
        <v>#REF!</v>
      </c>
      <c r="M2227" t="e">
        <f>COUNTIF(#REF!,Tabela2[[#This Row],[KOD_PRODUKTU]])</f>
        <v>#REF!</v>
      </c>
    </row>
    <row r="2228" spans="1:13" x14ac:dyDescent="0.25">
      <c r="A2228" s="1" t="s">
        <v>3672</v>
      </c>
      <c r="B2228" t="s">
        <v>3673</v>
      </c>
      <c r="C2228" s="1" t="s">
        <v>541</v>
      </c>
      <c r="D2228" s="1" t="s">
        <v>541</v>
      </c>
      <c r="E2228" s="1" t="s">
        <v>541</v>
      </c>
      <c r="F2228" t="s">
        <v>542</v>
      </c>
      <c r="G2228" t="s">
        <v>9</v>
      </c>
      <c r="H2228" t="s">
        <v>10</v>
      </c>
      <c r="I2228" t="s">
        <v>3675</v>
      </c>
      <c r="J2228">
        <v>2.4500000000000002</v>
      </c>
      <c r="K2228" t="e">
        <f>IF(COUNTIF(#REF!,Tabela2[[#This Row],[IdxWspolny]])&gt;0,"ELEM_lub_PRD","TECHN")</f>
        <v>#REF!</v>
      </c>
      <c r="L2228" t="e">
        <f>IF(COUNTIF(#REF!,Tabela2[[#This Row],[KOD_PRODUKTU]])&gt;0,"ELEMENT","PRODUKT")</f>
        <v>#REF!</v>
      </c>
      <c r="M2228" t="e">
        <f>COUNTIF(#REF!,Tabela2[[#This Row],[KOD_PRODUKTU]])</f>
        <v>#REF!</v>
      </c>
    </row>
    <row r="2229" spans="1:13" x14ac:dyDescent="0.25">
      <c r="A2229" s="1" t="s">
        <v>3676</v>
      </c>
      <c r="B2229" t="s">
        <v>3677</v>
      </c>
      <c r="C2229" s="1" t="s">
        <v>3678</v>
      </c>
      <c r="D2229" s="1" t="s">
        <v>3678</v>
      </c>
      <c r="E2229" s="1" t="s">
        <v>3678</v>
      </c>
      <c r="F2229" t="s">
        <v>3679</v>
      </c>
      <c r="G2229" t="s">
        <v>3365</v>
      </c>
      <c r="H2229" t="s">
        <v>17</v>
      </c>
      <c r="I2229" t="s">
        <v>3680</v>
      </c>
      <c r="J2229">
        <v>3.17</v>
      </c>
      <c r="K2229" t="e">
        <f>IF(COUNTIF(#REF!,Tabela2[[#This Row],[IdxWspolny]])&gt;0,"ELEM_lub_PRD","TECHN")</f>
        <v>#REF!</v>
      </c>
      <c r="L2229" t="e">
        <f>IF(COUNTIF(#REF!,Tabela2[[#This Row],[KOD_PRODUKTU]])&gt;0,"ELEMENT","PRODUKT")</f>
        <v>#REF!</v>
      </c>
      <c r="M2229" t="e">
        <f>COUNTIF(#REF!,Tabela2[[#This Row],[KOD_PRODUKTU]])</f>
        <v>#REF!</v>
      </c>
    </row>
    <row r="2230" spans="1:13" x14ac:dyDescent="0.25">
      <c r="A2230" s="1" t="s">
        <v>3676</v>
      </c>
      <c r="B2230" t="s">
        <v>3677</v>
      </c>
      <c r="C2230" s="1" t="s">
        <v>432</v>
      </c>
      <c r="D2230" s="1" t="s">
        <v>432</v>
      </c>
      <c r="E2230" s="1" t="s">
        <v>432</v>
      </c>
      <c r="F2230" t="s">
        <v>433</v>
      </c>
      <c r="G2230" t="s">
        <v>434</v>
      </c>
      <c r="H2230" t="s">
        <v>435</v>
      </c>
      <c r="I2230" t="s">
        <v>50</v>
      </c>
      <c r="J2230">
        <v>1.1000000000000001</v>
      </c>
      <c r="K2230" t="e">
        <f>IF(COUNTIF(#REF!,Tabela2[[#This Row],[IdxWspolny]])&gt;0,"ELEM_lub_PRD","TECHN")</f>
        <v>#REF!</v>
      </c>
      <c r="L2230" t="e">
        <f>IF(COUNTIF(#REF!,Tabela2[[#This Row],[KOD_PRODUKTU]])&gt;0,"ELEMENT","PRODUKT")</f>
        <v>#REF!</v>
      </c>
      <c r="M2230" t="e">
        <f>COUNTIF(#REF!,Tabela2[[#This Row],[KOD_PRODUKTU]])</f>
        <v>#REF!</v>
      </c>
    </row>
    <row r="2231" spans="1:13" x14ac:dyDescent="0.25">
      <c r="A2231" s="1" t="s">
        <v>3676</v>
      </c>
      <c r="B2231" t="s">
        <v>3677</v>
      </c>
      <c r="C2231" s="1" t="s">
        <v>541</v>
      </c>
      <c r="D2231" s="1" t="s">
        <v>541</v>
      </c>
      <c r="E2231" s="1" t="s">
        <v>541</v>
      </c>
      <c r="F2231" t="s">
        <v>542</v>
      </c>
      <c r="G2231" t="s">
        <v>9</v>
      </c>
      <c r="H2231" t="s">
        <v>10</v>
      </c>
      <c r="I2231" t="s">
        <v>3681</v>
      </c>
      <c r="J2231">
        <v>7.22</v>
      </c>
      <c r="K2231" t="e">
        <f>IF(COUNTIF(#REF!,Tabela2[[#This Row],[IdxWspolny]])&gt;0,"ELEM_lub_PRD","TECHN")</f>
        <v>#REF!</v>
      </c>
      <c r="L2231" t="e">
        <f>IF(COUNTIF(#REF!,Tabela2[[#This Row],[KOD_PRODUKTU]])&gt;0,"ELEMENT","PRODUKT")</f>
        <v>#REF!</v>
      </c>
      <c r="M2231" t="e">
        <f>COUNTIF(#REF!,Tabela2[[#This Row],[KOD_PRODUKTU]])</f>
        <v>#REF!</v>
      </c>
    </row>
    <row r="2232" spans="1:13" x14ac:dyDescent="0.25">
      <c r="A2232" s="1" t="s">
        <v>3682</v>
      </c>
      <c r="B2232" t="s">
        <v>3683</v>
      </c>
      <c r="C2232" s="1" t="s">
        <v>3684</v>
      </c>
      <c r="D2232" s="1" t="s">
        <v>3684</v>
      </c>
      <c r="E2232" s="1" t="s">
        <v>3684</v>
      </c>
      <c r="F2232" t="s">
        <v>3685</v>
      </c>
      <c r="G2232" t="s">
        <v>1768</v>
      </c>
      <c r="H2232" t="s">
        <v>5</v>
      </c>
      <c r="I2232" t="s">
        <v>860</v>
      </c>
      <c r="J2232">
        <v>0</v>
      </c>
      <c r="K2232" t="e">
        <f>IF(COUNTIF(#REF!,Tabela2[[#This Row],[IdxWspolny]])&gt;0,"ELEM_lub_PRD","TECHN")</f>
        <v>#REF!</v>
      </c>
      <c r="L2232" t="e">
        <f>IF(COUNTIF(#REF!,Tabela2[[#This Row],[KOD_PRODUKTU]])&gt;0,"ELEMENT","PRODUKT")</f>
        <v>#REF!</v>
      </c>
      <c r="M2232" t="e">
        <f>COUNTIF(#REF!,Tabela2[[#This Row],[KOD_PRODUKTU]])</f>
        <v>#REF!</v>
      </c>
    </row>
    <row r="2233" spans="1:13" x14ac:dyDescent="0.25">
      <c r="A2233" s="1" t="s">
        <v>3682</v>
      </c>
      <c r="B2233" t="s">
        <v>3683</v>
      </c>
      <c r="C2233" s="1" t="s">
        <v>3686</v>
      </c>
      <c r="D2233" s="1" t="s">
        <v>3686</v>
      </c>
      <c r="E2233" s="1" t="s">
        <v>3686</v>
      </c>
      <c r="F2233" t="s">
        <v>3687</v>
      </c>
      <c r="G2233" t="s">
        <v>1768</v>
      </c>
      <c r="H2233" t="s">
        <v>5</v>
      </c>
      <c r="I2233" t="s">
        <v>478</v>
      </c>
      <c r="J2233">
        <v>0</v>
      </c>
      <c r="K2233" t="e">
        <f>IF(COUNTIF(#REF!,Tabela2[[#This Row],[IdxWspolny]])&gt;0,"ELEM_lub_PRD","TECHN")</f>
        <v>#REF!</v>
      </c>
      <c r="L2233" t="e">
        <f>IF(COUNTIF(#REF!,Tabela2[[#This Row],[KOD_PRODUKTU]])&gt;0,"ELEMENT","PRODUKT")</f>
        <v>#REF!</v>
      </c>
      <c r="M2233" t="e">
        <f>COUNTIF(#REF!,Tabela2[[#This Row],[KOD_PRODUKTU]])</f>
        <v>#REF!</v>
      </c>
    </row>
    <row r="2234" spans="1:13" x14ac:dyDescent="0.25">
      <c r="A2234" s="1" t="s">
        <v>3682</v>
      </c>
      <c r="B2234" t="s">
        <v>3683</v>
      </c>
      <c r="C2234" s="1" t="s">
        <v>3688</v>
      </c>
      <c r="D2234" s="1" t="s">
        <v>3688</v>
      </c>
      <c r="E2234" s="1" t="s">
        <v>3688</v>
      </c>
      <c r="F2234" t="s">
        <v>3689</v>
      </c>
      <c r="G2234" t="s">
        <v>1768</v>
      </c>
      <c r="H2234" t="s">
        <v>5</v>
      </c>
      <c r="I2234" t="s">
        <v>605</v>
      </c>
      <c r="J2234">
        <v>0</v>
      </c>
      <c r="K2234" t="e">
        <f>IF(COUNTIF(#REF!,Tabela2[[#This Row],[IdxWspolny]])&gt;0,"ELEM_lub_PRD","TECHN")</f>
        <v>#REF!</v>
      </c>
      <c r="L2234" t="e">
        <f>IF(COUNTIF(#REF!,Tabela2[[#This Row],[KOD_PRODUKTU]])&gt;0,"ELEMENT","PRODUKT")</f>
        <v>#REF!</v>
      </c>
      <c r="M2234" t="e">
        <f>COUNTIF(#REF!,Tabela2[[#This Row],[KOD_PRODUKTU]])</f>
        <v>#REF!</v>
      </c>
    </row>
    <row r="2235" spans="1:13" x14ac:dyDescent="0.25">
      <c r="A2235" s="1" t="s">
        <v>3682</v>
      </c>
      <c r="B2235" t="s">
        <v>3683</v>
      </c>
      <c r="C2235" s="1" t="s">
        <v>7</v>
      </c>
      <c r="D2235" s="1" t="s">
        <v>7</v>
      </c>
      <c r="E2235" s="1" t="s">
        <v>7</v>
      </c>
      <c r="F2235" t="s">
        <v>8</v>
      </c>
      <c r="G2235" t="s">
        <v>9</v>
      </c>
      <c r="H2235" t="s">
        <v>10</v>
      </c>
      <c r="I2235" t="s">
        <v>3690</v>
      </c>
      <c r="J2235">
        <v>3.8</v>
      </c>
      <c r="K2235" t="e">
        <f>IF(COUNTIF(#REF!,Tabela2[[#This Row],[IdxWspolny]])&gt;0,"ELEM_lub_PRD","TECHN")</f>
        <v>#REF!</v>
      </c>
      <c r="L2235" t="e">
        <f>IF(COUNTIF(#REF!,Tabela2[[#This Row],[KOD_PRODUKTU]])&gt;0,"ELEMENT","PRODUKT")</f>
        <v>#REF!</v>
      </c>
      <c r="M2235" t="e">
        <f>COUNTIF(#REF!,Tabela2[[#This Row],[KOD_PRODUKTU]])</f>
        <v>#REF!</v>
      </c>
    </row>
    <row r="2236" spans="1:13" x14ac:dyDescent="0.25">
      <c r="A2236" s="1" t="s">
        <v>3682</v>
      </c>
      <c r="B2236" t="s">
        <v>3683</v>
      </c>
      <c r="C2236" s="1" t="s">
        <v>7</v>
      </c>
      <c r="D2236" s="1" t="s">
        <v>7</v>
      </c>
      <c r="E2236" s="1" t="s">
        <v>7</v>
      </c>
      <c r="F2236" t="s">
        <v>8</v>
      </c>
      <c r="G2236" t="s">
        <v>9</v>
      </c>
      <c r="H2236" t="s">
        <v>10</v>
      </c>
      <c r="I2236" t="s">
        <v>1851</v>
      </c>
      <c r="J2236">
        <v>19.32</v>
      </c>
      <c r="K2236" t="e">
        <f>IF(COUNTIF(#REF!,Tabela2[[#This Row],[IdxWspolny]])&gt;0,"ELEM_lub_PRD","TECHN")</f>
        <v>#REF!</v>
      </c>
      <c r="L2236" t="e">
        <f>IF(COUNTIF(#REF!,Tabela2[[#This Row],[KOD_PRODUKTU]])&gt;0,"ELEMENT","PRODUKT")</f>
        <v>#REF!</v>
      </c>
      <c r="M2236" t="e">
        <f>COUNTIF(#REF!,Tabela2[[#This Row],[KOD_PRODUKTU]])</f>
        <v>#REF!</v>
      </c>
    </row>
    <row r="2237" spans="1:13" x14ac:dyDescent="0.25">
      <c r="A2237" s="1" t="s">
        <v>3682</v>
      </c>
      <c r="B2237" t="s">
        <v>3683</v>
      </c>
      <c r="C2237" s="1" t="s">
        <v>7</v>
      </c>
      <c r="D2237" s="1" t="s">
        <v>7</v>
      </c>
      <c r="E2237" s="1" t="s">
        <v>7</v>
      </c>
      <c r="F2237" t="s">
        <v>8</v>
      </c>
      <c r="G2237" t="s">
        <v>9</v>
      </c>
      <c r="H2237" t="s">
        <v>10</v>
      </c>
      <c r="I2237" t="s">
        <v>3427</v>
      </c>
      <c r="J2237">
        <v>9.66</v>
      </c>
      <c r="K2237" t="e">
        <f>IF(COUNTIF(#REF!,Tabela2[[#This Row],[IdxWspolny]])&gt;0,"ELEM_lub_PRD","TECHN")</f>
        <v>#REF!</v>
      </c>
      <c r="L2237" t="e">
        <f>IF(COUNTIF(#REF!,Tabela2[[#This Row],[KOD_PRODUKTU]])&gt;0,"ELEMENT","PRODUKT")</f>
        <v>#REF!</v>
      </c>
      <c r="M2237" t="e">
        <f>COUNTIF(#REF!,Tabela2[[#This Row],[KOD_PRODUKTU]])</f>
        <v>#REF!</v>
      </c>
    </row>
    <row r="2238" spans="1:13" x14ac:dyDescent="0.25">
      <c r="A2238" s="1" t="s">
        <v>3691</v>
      </c>
      <c r="B2238" t="s">
        <v>3692</v>
      </c>
      <c r="C2238" s="1" t="s">
        <v>3693</v>
      </c>
      <c r="D2238" s="1" t="s">
        <v>3693</v>
      </c>
      <c r="E2238" s="1" t="s">
        <v>3693</v>
      </c>
      <c r="F2238" t="s">
        <v>3694</v>
      </c>
      <c r="G2238" t="s">
        <v>1394</v>
      </c>
      <c r="H2238" t="s">
        <v>5</v>
      </c>
      <c r="I2238" t="s">
        <v>992</v>
      </c>
      <c r="J2238">
        <v>1.2</v>
      </c>
      <c r="K2238" t="e">
        <f>IF(COUNTIF(#REF!,Tabela2[[#This Row],[IdxWspolny]])&gt;0,"ELEM_lub_PRD","TECHN")</f>
        <v>#REF!</v>
      </c>
      <c r="L2238" t="e">
        <f>IF(COUNTIF(#REF!,Tabela2[[#This Row],[KOD_PRODUKTU]])&gt;0,"ELEMENT","PRODUKT")</f>
        <v>#REF!</v>
      </c>
      <c r="M2238" t="e">
        <f>COUNTIF(#REF!,Tabela2[[#This Row],[KOD_PRODUKTU]])</f>
        <v>#REF!</v>
      </c>
    </row>
    <row r="2239" spans="1:13" x14ac:dyDescent="0.25">
      <c r="A2239" s="1" t="s">
        <v>3691</v>
      </c>
      <c r="B2239" t="s">
        <v>3692</v>
      </c>
      <c r="C2239" s="1" t="s">
        <v>541</v>
      </c>
      <c r="D2239" s="1" t="s">
        <v>541</v>
      </c>
      <c r="E2239" s="1" t="s">
        <v>541</v>
      </c>
      <c r="F2239" t="s">
        <v>542</v>
      </c>
      <c r="G2239" t="s">
        <v>9</v>
      </c>
      <c r="H2239" t="s">
        <v>10</v>
      </c>
      <c r="I2239" t="s">
        <v>3695</v>
      </c>
      <c r="J2239">
        <v>12.08</v>
      </c>
      <c r="K2239" t="e">
        <f>IF(COUNTIF(#REF!,Tabela2[[#This Row],[IdxWspolny]])&gt;0,"ELEM_lub_PRD","TECHN")</f>
        <v>#REF!</v>
      </c>
      <c r="L2239" t="e">
        <f>IF(COUNTIF(#REF!,Tabela2[[#This Row],[KOD_PRODUKTU]])&gt;0,"ELEMENT","PRODUKT")</f>
        <v>#REF!</v>
      </c>
      <c r="M2239" t="e">
        <f>COUNTIF(#REF!,Tabela2[[#This Row],[KOD_PRODUKTU]])</f>
        <v>#REF!</v>
      </c>
    </row>
    <row r="2240" spans="1:13" x14ac:dyDescent="0.25">
      <c r="A2240" s="1" t="s">
        <v>3696</v>
      </c>
      <c r="B2240" t="s">
        <v>3697</v>
      </c>
      <c r="C2240" s="1" t="s">
        <v>3698</v>
      </c>
      <c r="D2240" s="1" t="s">
        <v>3698</v>
      </c>
      <c r="E2240" s="1" t="s">
        <v>3698</v>
      </c>
      <c r="F2240" t="s">
        <v>3699</v>
      </c>
      <c r="G2240" t="s">
        <v>1768</v>
      </c>
      <c r="H2240" t="s">
        <v>5</v>
      </c>
      <c r="I2240" t="s">
        <v>3700</v>
      </c>
      <c r="J2240">
        <v>0</v>
      </c>
      <c r="K2240" t="e">
        <f>IF(COUNTIF(#REF!,Tabela2[[#This Row],[IdxWspolny]])&gt;0,"ELEM_lub_PRD","TECHN")</f>
        <v>#REF!</v>
      </c>
      <c r="L2240" t="e">
        <f>IF(COUNTIF(#REF!,Tabela2[[#This Row],[KOD_PRODUKTU]])&gt;0,"ELEMENT","PRODUKT")</f>
        <v>#REF!</v>
      </c>
      <c r="M2240" t="e">
        <f>COUNTIF(#REF!,Tabela2[[#This Row],[KOD_PRODUKTU]])</f>
        <v>#REF!</v>
      </c>
    </row>
    <row r="2241" spans="1:13" x14ac:dyDescent="0.25">
      <c r="A2241" s="1" t="s">
        <v>3696</v>
      </c>
      <c r="B2241" t="s">
        <v>3697</v>
      </c>
      <c r="C2241" s="1" t="s">
        <v>541</v>
      </c>
      <c r="D2241" s="1" t="s">
        <v>541</v>
      </c>
      <c r="E2241" s="1" t="s">
        <v>541</v>
      </c>
      <c r="F2241" t="s">
        <v>542</v>
      </c>
      <c r="G2241" t="s">
        <v>9</v>
      </c>
      <c r="H2241" t="s">
        <v>10</v>
      </c>
      <c r="I2241" t="s">
        <v>3701</v>
      </c>
      <c r="J2241">
        <v>7.2</v>
      </c>
      <c r="K2241" t="e">
        <f>IF(COUNTIF(#REF!,Tabela2[[#This Row],[IdxWspolny]])&gt;0,"ELEM_lub_PRD","TECHN")</f>
        <v>#REF!</v>
      </c>
      <c r="L2241" t="e">
        <f>IF(COUNTIF(#REF!,Tabela2[[#This Row],[KOD_PRODUKTU]])&gt;0,"ELEMENT","PRODUKT")</f>
        <v>#REF!</v>
      </c>
      <c r="M2241" t="e">
        <f>COUNTIF(#REF!,Tabela2[[#This Row],[KOD_PRODUKTU]])</f>
        <v>#REF!</v>
      </c>
    </row>
    <row r="2242" spans="1:13" x14ac:dyDescent="0.25">
      <c r="A2242" s="1" t="s">
        <v>3702</v>
      </c>
      <c r="B2242" t="s">
        <v>3703</v>
      </c>
      <c r="C2242" s="1" t="s">
        <v>1162</v>
      </c>
      <c r="D2242" s="1" t="s">
        <v>1162</v>
      </c>
      <c r="E2242" s="1" t="s">
        <v>1162</v>
      </c>
      <c r="F2242" t="s">
        <v>1163</v>
      </c>
      <c r="G2242" t="s">
        <v>1164</v>
      </c>
      <c r="H2242" t="s">
        <v>5</v>
      </c>
      <c r="I2242" t="s">
        <v>3704</v>
      </c>
      <c r="J2242">
        <v>1.74</v>
      </c>
      <c r="K2242" t="e">
        <f>IF(COUNTIF(#REF!,Tabela2[[#This Row],[IdxWspolny]])&gt;0,"ELEM_lub_PRD","TECHN")</f>
        <v>#REF!</v>
      </c>
      <c r="L2242" t="e">
        <f>IF(COUNTIF(#REF!,Tabela2[[#This Row],[KOD_PRODUKTU]])&gt;0,"ELEMENT","PRODUKT")</f>
        <v>#REF!</v>
      </c>
      <c r="M2242" t="e">
        <f>COUNTIF(#REF!,Tabela2[[#This Row],[KOD_PRODUKTU]])</f>
        <v>#REF!</v>
      </c>
    </row>
    <row r="2243" spans="1:13" x14ac:dyDescent="0.25">
      <c r="A2243" s="1" t="s">
        <v>3702</v>
      </c>
      <c r="B2243" t="s">
        <v>3703</v>
      </c>
      <c r="C2243" s="1" t="s">
        <v>541</v>
      </c>
      <c r="D2243" s="1" t="s">
        <v>541</v>
      </c>
      <c r="E2243" s="1" t="s">
        <v>541</v>
      </c>
      <c r="F2243" t="s">
        <v>542</v>
      </c>
      <c r="G2243" t="s">
        <v>9</v>
      </c>
      <c r="H2243" t="s">
        <v>10</v>
      </c>
      <c r="I2243" t="s">
        <v>3705</v>
      </c>
      <c r="J2243">
        <v>2.4300000000000002</v>
      </c>
      <c r="K2243" t="e">
        <f>IF(COUNTIF(#REF!,Tabela2[[#This Row],[IdxWspolny]])&gt;0,"ELEM_lub_PRD","TECHN")</f>
        <v>#REF!</v>
      </c>
      <c r="L2243" t="e">
        <f>IF(COUNTIF(#REF!,Tabela2[[#This Row],[KOD_PRODUKTU]])&gt;0,"ELEMENT","PRODUKT")</f>
        <v>#REF!</v>
      </c>
      <c r="M2243" t="e">
        <f>COUNTIF(#REF!,Tabela2[[#This Row],[KOD_PRODUKTU]])</f>
        <v>#REF!</v>
      </c>
    </row>
    <row r="2244" spans="1:13" x14ac:dyDescent="0.25">
      <c r="A2244" s="1" t="s">
        <v>3706</v>
      </c>
      <c r="B2244" t="s">
        <v>3707</v>
      </c>
      <c r="C2244" s="1" t="s">
        <v>429</v>
      </c>
      <c r="D2244" s="1" t="s">
        <v>429</v>
      </c>
      <c r="E2244" s="1" t="s">
        <v>429</v>
      </c>
      <c r="F2244" t="s">
        <v>430</v>
      </c>
      <c r="G2244" t="s">
        <v>145</v>
      </c>
      <c r="H2244" t="s">
        <v>5</v>
      </c>
      <c r="I2244" t="s">
        <v>3708</v>
      </c>
      <c r="J2244">
        <v>4.03</v>
      </c>
      <c r="K2244" t="e">
        <f>IF(COUNTIF(#REF!,Tabela2[[#This Row],[IdxWspolny]])&gt;0,"ELEM_lub_PRD","TECHN")</f>
        <v>#REF!</v>
      </c>
      <c r="L2244" t="e">
        <f>IF(COUNTIF(#REF!,Tabela2[[#This Row],[KOD_PRODUKTU]])&gt;0,"ELEMENT","PRODUKT")</f>
        <v>#REF!</v>
      </c>
      <c r="M2244" t="e">
        <f>COUNTIF(#REF!,Tabela2[[#This Row],[KOD_PRODUKTU]])</f>
        <v>#REF!</v>
      </c>
    </row>
    <row r="2245" spans="1:13" x14ac:dyDescent="0.25">
      <c r="A2245" s="1" t="s">
        <v>3706</v>
      </c>
      <c r="B2245" t="s">
        <v>3707</v>
      </c>
      <c r="C2245" s="1" t="s">
        <v>541</v>
      </c>
      <c r="D2245" s="1" t="s">
        <v>541</v>
      </c>
      <c r="E2245" s="1" t="s">
        <v>541</v>
      </c>
      <c r="F2245" t="s">
        <v>542</v>
      </c>
      <c r="G2245" t="s">
        <v>9</v>
      </c>
      <c r="H2245" t="s">
        <v>10</v>
      </c>
      <c r="I2245" t="s">
        <v>3709</v>
      </c>
      <c r="J2245">
        <v>5.92</v>
      </c>
      <c r="K2245" t="e">
        <f>IF(COUNTIF(#REF!,Tabela2[[#This Row],[IdxWspolny]])&gt;0,"ELEM_lub_PRD","TECHN")</f>
        <v>#REF!</v>
      </c>
      <c r="L2245" t="e">
        <f>IF(COUNTIF(#REF!,Tabela2[[#This Row],[KOD_PRODUKTU]])&gt;0,"ELEMENT","PRODUKT")</f>
        <v>#REF!</v>
      </c>
      <c r="M2245" t="e">
        <f>COUNTIF(#REF!,Tabela2[[#This Row],[KOD_PRODUKTU]])</f>
        <v>#REF!</v>
      </c>
    </row>
    <row r="2246" spans="1:13" x14ac:dyDescent="0.25">
      <c r="A2246" s="1" t="s">
        <v>3710</v>
      </c>
      <c r="B2246" t="s">
        <v>3711</v>
      </c>
      <c r="C2246" s="1" t="s">
        <v>7</v>
      </c>
      <c r="D2246" s="1" t="s">
        <v>7</v>
      </c>
      <c r="E2246" s="1" t="s">
        <v>7</v>
      </c>
      <c r="F2246" t="s">
        <v>8</v>
      </c>
      <c r="G2246" t="s">
        <v>9</v>
      </c>
      <c r="H2246" t="s">
        <v>10</v>
      </c>
      <c r="I2246" t="s">
        <v>3712</v>
      </c>
      <c r="J2246">
        <v>0.99</v>
      </c>
      <c r="K2246" t="e">
        <f>IF(COUNTIF(#REF!,Tabela2[[#This Row],[IdxWspolny]])&gt;0,"ELEM_lub_PRD","TECHN")</f>
        <v>#REF!</v>
      </c>
      <c r="L2246" t="e">
        <f>IF(COUNTIF(#REF!,Tabela2[[#This Row],[KOD_PRODUKTU]])&gt;0,"ELEMENT","PRODUKT")</f>
        <v>#REF!</v>
      </c>
      <c r="M2246" t="e">
        <f>COUNTIF(#REF!,Tabela2[[#This Row],[KOD_PRODUKTU]])</f>
        <v>#REF!</v>
      </c>
    </row>
    <row r="2247" spans="1:13" x14ac:dyDescent="0.25">
      <c r="A2247" s="1" t="s">
        <v>3713</v>
      </c>
      <c r="B2247" t="s">
        <v>3714</v>
      </c>
      <c r="C2247" s="1" t="s">
        <v>7</v>
      </c>
      <c r="D2247" s="1" t="s">
        <v>7</v>
      </c>
      <c r="E2247" s="1" t="s">
        <v>7</v>
      </c>
      <c r="F2247" t="s">
        <v>8</v>
      </c>
      <c r="G2247" t="s">
        <v>9</v>
      </c>
      <c r="H2247" t="s">
        <v>10</v>
      </c>
      <c r="I2247" t="s">
        <v>3712</v>
      </c>
      <c r="J2247">
        <v>0.99</v>
      </c>
      <c r="K2247" t="e">
        <f>IF(COUNTIF(#REF!,Tabela2[[#This Row],[IdxWspolny]])&gt;0,"ELEM_lub_PRD","TECHN")</f>
        <v>#REF!</v>
      </c>
      <c r="L2247" t="e">
        <f>IF(COUNTIF(#REF!,Tabela2[[#This Row],[KOD_PRODUKTU]])&gt;0,"ELEMENT","PRODUKT")</f>
        <v>#REF!</v>
      </c>
      <c r="M2247" t="e">
        <f>COUNTIF(#REF!,Tabela2[[#This Row],[KOD_PRODUKTU]])</f>
        <v>#REF!</v>
      </c>
    </row>
    <row r="2248" spans="1:13" x14ac:dyDescent="0.25">
      <c r="A2248" s="1" t="s">
        <v>158</v>
      </c>
      <c r="B2248" t="s">
        <v>159</v>
      </c>
      <c r="C2248" s="1" t="s">
        <v>3715</v>
      </c>
      <c r="D2248" s="1" t="s">
        <v>3715</v>
      </c>
      <c r="E2248" s="1" t="s">
        <v>3715</v>
      </c>
      <c r="F2248" t="s">
        <v>3716</v>
      </c>
      <c r="G2248" t="s">
        <v>3189</v>
      </c>
      <c r="H2248" t="s">
        <v>17</v>
      </c>
      <c r="I2248" t="s">
        <v>3717</v>
      </c>
      <c r="J2248">
        <v>0.45</v>
      </c>
      <c r="K2248" t="e">
        <f>IF(COUNTIF(#REF!,Tabela2[[#This Row],[IdxWspolny]])&gt;0,"ELEM_lub_PRD","TECHN")</f>
        <v>#REF!</v>
      </c>
      <c r="L2248" t="e">
        <f>IF(COUNTIF(#REF!,Tabela2[[#This Row],[KOD_PRODUKTU]])&gt;0,"ELEMENT","PRODUKT")</f>
        <v>#REF!</v>
      </c>
      <c r="M2248" t="e">
        <f>COUNTIF(#REF!,Tabela2[[#This Row],[KOD_PRODUKTU]])</f>
        <v>#REF!</v>
      </c>
    </row>
    <row r="2249" spans="1:13" x14ac:dyDescent="0.25">
      <c r="A2249" s="1" t="s">
        <v>158</v>
      </c>
      <c r="B2249" t="s">
        <v>159</v>
      </c>
      <c r="C2249" s="1" t="s">
        <v>7</v>
      </c>
      <c r="D2249" s="1" t="s">
        <v>7</v>
      </c>
      <c r="E2249" s="1" t="s">
        <v>7</v>
      </c>
      <c r="F2249" t="s">
        <v>8</v>
      </c>
      <c r="G2249" t="s">
        <v>9</v>
      </c>
      <c r="H2249" t="s">
        <v>10</v>
      </c>
      <c r="I2249" t="s">
        <v>1740</v>
      </c>
      <c r="J2249">
        <v>3.7</v>
      </c>
      <c r="K2249" t="e">
        <f>IF(COUNTIF(#REF!,Tabela2[[#This Row],[IdxWspolny]])&gt;0,"ELEM_lub_PRD","TECHN")</f>
        <v>#REF!</v>
      </c>
      <c r="L2249" t="e">
        <f>IF(COUNTIF(#REF!,Tabela2[[#This Row],[KOD_PRODUKTU]])&gt;0,"ELEMENT","PRODUKT")</f>
        <v>#REF!</v>
      </c>
      <c r="M2249" t="e">
        <f>COUNTIF(#REF!,Tabela2[[#This Row],[KOD_PRODUKTU]])</f>
        <v>#REF!</v>
      </c>
    </row>
    <row r="2250" spans="1:13" x14ac:dyDescent="0.25">
      <c r="A2250" s="1" t="s">
        <v>161</v>
      </c>
      <c r="B2250" t="s">
        <v>162</v>
      </c>
      <c r="C2250" s="1" t="s">
        <v>3715</v>
      </c>
      <c r="D2250" s="1" t="s">
        <v>3715</v>
      </c>
      <c r="E2250" s="1" t="s">
        <v>3715</v>
      </c>
      <c r="F2250" t="s">
        <v>3716</v>
      </c>
      <c r="G2250" t="s">
        <v>3189</v>
      </c>
      <c r="H2250" t="s">
        <v>17</v>
      </c>
      <c r="I2250" t="s">
        <v>3717</v>
      </c>
      <c r="J2250">
        <v>0.45</v>
      </c>
      <c r="K2250" t="e">
        <f>IF(COUNTIF(#REF!,Tabela2[[#This Row],[IdxWspolny]])&gt;0,"ELEM_lub_PRD","TECHN")</f>
        <v>#REF!</v>
      </c>
      <c r="L2250" t="e">
        <f>IF(COUNTIF(#REF!,Tabela2[[#This Row],[KOD_PRODUKTU]])&gt;0,"ELEMENT","PRODUKT")</f>
        <v>#REF!</v>
      </c>
      <c r="M2250" t="e">
        <f>COUNTIF(#REF!,Tabela2[[#This Row],[KOD_PRODUKTU]])</f>
        <v>#REF!</v>
      </c>
    </row>
    <row r="2251" spans="1:13" x14ac:dyDescent="0.25">
      <c r="A2251" s="1" t="s">
        <v>161</v>
      </c>
      <c r="B2251" t="s">
        <v>162</v>
      </c>
      <c r="C2251" s="1" t="s">
        <v>7</v>
      </c>
      <c r="D2251" s="1" t="s">
        <v>7</v>
      </c>
      <c r="E2251" s="1" t="s">
        <v>7</v>
      </c>
      <c r="F2251" t="s">
        <v>8</v>
      </c>
      <c r="G2251" t="s">
        <v>9</v>
      </c>
      <c r="H2251" t="s">
        <v>10</v>
      </c>
      <c r="I2251" t="s">
        <v>1740</v>
      </c>
      <c r="J2251">
        <v>3.7</v>
      </c>
      <c r="K2251" t="e">
        <f>IF(COUNTIF(#REF!,Tabela2[[#This Row],[IdxWspolny]])&gt;0,"ELEM_lub_PRD","TECHN")</f>
        <v>#REF!</v>
      </c>
      <c r="L2251" t="e">
        <f>IF(COUNTIF(#REF!,Tabela2[[#This Row],[KOD_PRODUKTU]])&gt;0,"ELEMENT","PRODUKT")</f>
        <v>#REF!</v>
      </c>
      <c r="M2251" t="e">
        <f>COUNTIF(#REF!,Tabela2[[#This Row],[KOD_PRODUKTU]])</f>
        <v>#REF!</v>
      </c>
    </row>
    <row r="2252" spans="1:13" x14ac:dyDescent="0.25">
      <c r="A2252" s="1" t="s">
        <v>3718</v>
      </c>
      <c r="B2252" t="s">
        <v>3719</v>
      </c>
      <c r="C2252" s="1" t="s">
        <v>29</v>
      </c>
      <c r="D2252" s="1" t="s">
        <v>29</v>
      </c>
      <c r="E2252" s="1" t="s">
        <v>29</v>
      </c>
      <c r="F2252" t="s">
        <v>30</v>
      </c>
      <c r="G2252" t="s">
        <v>31</v>
      </c>
      <c r="H2252" t="s">
        <v>5</v>
      </c>
      <c r="I2252" t="s">
        <v>860</v>
      </c>
      <c r="J2252">
        <v>5.3</v>
      </c>
      <c r="K2252" t="e">
        <f>IF(COUNTIF(#REF!,Tabela2[[#This Row],[IdxWspolny]])&gt;0,"ELEM_lub_PRD","TECHN")</f>
        <v>#REF!</v>
      </c>
      <c r="L2252" t="e">
        <f>IF(COUNTIF(#REF!,Tabela2[[#This Row],[KOD_PRODUKTU]])&gt;0,"ELEMENT","PRODUKT")</f>
        <v>#REF!</v>
      </c>
      <c r="M2252" t="e">
        <f>COUNTIF(#REF!,Tabela2[[#This Row],[KOD_PRODUKTU]])</f>
        <v>#REF!</v>
      </c>
    </row>
    <row r="2253" spans="1:13" x14ac:dyDescent="0.25">
      <c r="A2253" s="1" t="s">
        <v>3718</v>
      </c>
      <c r="B2253" t="s">
        <v>3719</v>
      </c>
      <c r="C2253" s="1" t="s">
        <v>541</v>
      </c>
      <c r="D2253" s="1" t="s">
        <v>541</v>
      </c>
      <c r="E2253" s="1" t="s">
        <v>541</v>
      </c>
      <c r="F2253" t="s">
        <v>542</v>
      </c>
      <c r="G2253" t="s">
        <v>9</v>
      </c>
      <c r="H2253" t="s">
        <v>10</v>
      </c>
      <c r="I2253" t="s">
        <v>1755</v>
      </c>
      <c r="J2253">
        <v>7.15</v>
      </c>
      <c r="K2253" t="e">
        <f>IF(COUNTIF(#REF!,Tabela2[[#This Row],[IdxWspolny]])&gt;0,"ELEM_lub_PRD","TECHN")</f>
        <v>#REF!</v>
      </c>
      <c r="L2253" t="e">
        <f>IF(COUNTIF(#REF!,Tabela2[[#This Row],[KOD_PRODUKTU]])&gt;0,"ELEMENT","PRODUKT")</f>
        <v>#REF!</v>
      </c>
      <c r="M2253" t="e">
        <f>COUNTIF(#REF!,Tabela2[[#This Row],[KOD_PRODUKTU]])</f>
        <v>#REF!</v>
      </c>
    </row>
    <row r="2254" spans="1:13" x14ac:dyDescent="0.25">
      <c r="A2254" s="1" t="s">
        <v>3720</v>
      </c>
      <c r="B2254" t="s">
        <v>3721</v>
      </c>
      <c r="C2254" s="1" t="s">
        <v>1335</v>
      </c>
      <c r="D2254" s="1" t="s">
        <v>1335</v>
      </c>
      <c r="E2254" s="1" t="s">
        <v>1335</v>
      </c>
      <c r="F2254" t="s">
        <v>1336</v>
      </c>
      <c r="G2254" t="s">
        <v>3722</v>
      </c>
      <c r="H2254" t="s">
        <v>49</v>
      </c>
      <c r="I2254" t="s">
        <v>50</v>
      </c>
      <c r="J2254">
        <v>34</v>
      </c>
      <c r="K2254" t="e">
        <f>IF(COUNTIF(#REF!,Tabela2[[#This Row],[IdxWspolny]])&gt;0,"ELEM_lub_PRD","TECHN")</f>
        <v>#REF!</v>
      </c>
      <c r="L2254" t="e">
        <f>IF(COUNTIF(#REF!,Tabela2[[#This Row],[KOD_PRODUKTU]])&gt;0,"ELEMENT","PRODUKT")</f>
        <v>#REF!</v>
      </c>
      <c r="M2254" t="e">
        <f>COUNTIF(#REF!,Tabela2[[#This Row],[KOD_PRODUKTU]])</f>
        <v>#REF!</v>
      </c>
    </row>
    <row r="2255" spans="1:13" x14ac:dyDescent="0.25">
      <c r="A2255" s="1" t="s">
        <v>3720</v>
      </c>
      <c r="B2255" t="s">
        <v>3721</v>
      </c>
      <c r="C2255" s="1" t="s">
        <v>541</v>
      </c>
      <c r="D2255" s="1" t="s">
        <v>541</v>
      </c>
      <c r="E2255" s="1" t="s">
        <v>541</v>
      </c>
      <c r="F2255" t="s">
        <v>542</v>
      </c>
      <c r="G2255" t="s">
        <v>9</v>
      </c>
      <c r="H2255" t="s">
        <v>10</v>
      </c>
      <c r="I2255" t="s">
        <v>998</v>
      </c>
      <c r="J2255">
        <v>27.6</v>
      </c>
      <c r="K2255" t="e">
        <f>IF(COUNTIF(#REF!,Tabela2[[#This Row],[IdxWspolny]])&gt;0,"ELEM_lub_PRD","TECHN")</f>
        <v>#REF!</v>
      </c>
      <c r="L2255" t="e">
        <f>IF(COUNTIF(#REF!,Tabela2[[#This Row],[KOD_PRODUKTU]])&gt;0,"ELEMENT","PRODUKT")</f>
        <v>#REF!</v>
      </c>
      <c r="M2255" t="e">
        <f>COUNTIF(#REF!,Tabela2[[#This Row],[KOD_PRODUKTU]])</f>
        <v>#REF!</v>
      </c>
    </row>
    <row r="2256" spans="1:13" x14ac:dyDescent="0.25">
      <c r="A2256" s="1" t="s">
        <v>3723</v>
      </c>
      <c r="B2256" t="s">
        <v>3724</v>
      </c>
      <c r="C2256" s="1" t="s">
        <v>1335</v>
      </c>
      <c r="D2256" s="1" t="s">
        <v>1335</v>
      </c>
      <c r="E2256" s="1" t="s">
        <v>1335</v>
      </c>
      <c r="F2256" t="s">
        <v>1336</v>
      </c>
      <c r="G2256" t="s">
        <v>3722</v>
      </c>
      <c r="H2256" t="s">
        <v>49</v>
      </c>
      <c r="I2256" t="s">
        <v>50</v>
      </c>
      <c r="J2256">
        <v>34</v>
      </c>
      <c r="K2256" t="e">
        <f>IF(COUNTIF(#REF!,Tabela2[[#This Row],[IdxWspolny]])&gt;0,"ELEM_lub_PRD","TECHN")</f>
        <v>#REF!</v>
      </c>
      <c r="L2256" t="e">
        <f>IF(COUNTIF(#REF!,Tabela2[[#This Row],[KOD_PRODUKTU]])&gt;0,"ELEMENT","PRODUKT")</f>
        <v>#REF!</v>
      </c>
      <c r="M2256" t="e">
        <f>COUNTIF(#REF!,Tabela2[[#This Row],[KOD_PRODUKTU]])</f>
        <v>#REF!</v>
      </c>
    </row>
    <row r="2257" spans="1:13" x14ac:dyDescent="0.25">
      <c r="A2257" s="1" t="s">
        <v>3723</v>
      </c>
      <c r="B2257" t="s">
        <v>3724</v>
      </c>
      <c r="C2257" s="1" t="s">
        <v>541</v>
      </c>
      <c r="D2257" s="1" t="s">
        <v>541</v>
      </c>
      <c r="E2257" s="1" t="s">
        <v>541</v>
      </c>
      <c r="F2257" t="s">
        <v>542</v>
      </c>
      <c r="G2257" t="s">
        <v>9</v>
      </c>
      <c r="H2257" t="s">
        <v>10</v>
      </c>
      <c r="I2257" t="s">
        <v>998</v>
      </c>
      <c r="J2257">
        <v>27.6</v>
      </c>
      <c r="K2257" t="e">
        <f>IF(COUNTIF(#REF!,Tabela2[[#This Row],[IdxWspolny]])&gt;0,"ELEM_lub_PRD","TECHN")</f>
        <v>#REF!</v>
      </c>
      <c r="L2257" t="e">
        <f>IF(COUNTIF(#REF!,Tabela2[[#This Row],[KOD_PRODUKTU]])&gt;0,"ELEMENT","PRODUKT")</f>
        <v>#REF!</v>
      </c>
      <c r="M2257" t="e">
        <f>COUNTIF(#REF!,Tabela2[[#This Row],[KOD_PRODUKTU]])</f>
        <v>#REF!</v>
      </c>
    </row>
    <row r="2258" spans="1:13" x14ac:dyDescent="0.25">
      <c r="A2258" s="1" t="s">
        <v>3725</v>
      </c>
      <c r="B2258" t="s">
        <v>3726</v>
      </c>
      <c r="C2258" s="1" t="s">
        <v>1327</v>
      </c>
      <c r="D2258" s="1" t="s">
        <v>1327</v>
      </c>
      <c r="E2258" s="1" t="s">
        <v>1327</v>
      </c>
      <c r="F2258" t="s">
        <v>3727</v>
      </c>
      <c r="G2258" t="s">
        <v>1329</v>
      </c>
      <c r="H2258" t="s">
        <v>49</v>
      </c>
      <c r="I2258" t="s">
        <v>50</v>
      </c>
      <c r="J2258">
        <v>220</v>
      </c>
      <c r="K2258" t="e">
        <f>IF(COUNTIF(#REF!,Tabela2[[#This Row],[IdxWspolny]])&gt;0,"ELEM_lub_PRD","TECHN")</f>
        <v>#REF!</v>
      </c>
      <c r="L2258" t="e">
        <f>IF(COUNTIF(#REF!,Tabela2[[#This Row],[KOD_PRODUKTU]])&gt;0,"ELEMENT","PRODUKT")</f>
        <v>#REF!</v>
      </c>
      <c r="M2258" t="e">
        <f>COUNTIF(#REF!,Tabela2[[#This Row],[KOD_PRODUKTU]])</f>
        <v>#REF!</v>
      </c>
    </row>
    <row r="2259" spans="1:13" x14ac:dyDescent="0.25">
      <c r="A2259" s="1" t="s">
        <v>3725</v>
      </c>
      <c r="B2259" t="s">
        <v>3726</v>
      </c>
      <c r="C2259" s="1" t="s">
        <v>541</v>
      </c>
      <c r="D2259" s="1" t="s">
        <v>541</v>
      </c>
      <c r="E2259" s="1" t="s">
        <v>541</v>
      </c>
      <c r="F2259" t="s">
        <v>542</v>
      </c>
      <c r="G2259" t="s">
        <v>9</v>
      </c>
      <c r="H2259" t="s">
        <v>10</v>
      </c>
      <c r="I2259" t="s">
        <v>3728</v>
      </c>
      <c r="J2259">
        <v>39.5</v>
      </c>
      <c r="K2259" t="e">
        <f>IF(COUNTIF(#REF!,Tabela2[[#This Row],[IdxWspolny]])&gt;0,"ELEM_lub_PRD","TECHN")</f>
        <v>#REF!</v>
      </c>
      <c r="L2259" t="e">
        <f>IF(COUNTIF(#REF!,Tabela2[[#This Row],[KOD_PRODUKTU]])&gt;0,"ELEMENT","PRODUKT")</f>
        <v>#REF!</v>
      </c>
      <c r="M2259" t="e">
        <f>COUNTIF(#REF!,Tabela2[[#This Row],[KOD_PRODUKTU]])</f>
        <v>#REF!</v>
      </c>
    </row>
    <row r="2260" spans="1:13" x14ac:dyDescent="0.25">
      <c r="A2260" s="1" t="s">
        <v>3729</v>
      </c>
      <c r="B2260" t="s">
        <v>3730</v>
      </c>
      <c r="C2260" s="1" t="s">
        <v>1447</v>
      </c>
      <c r="D2260" s="1" t="s">
        <v>1447</v>
      </c>
      <c r="E2260" s="1" t="s">
        <v>1447</v>
      </c>
      <c r="F2260" t="s">
        <v>1448</v>
      </c>
      <c r="G2260" t="s">
        <v>779</v>
      </c>
      <c r="H2260" t="s">
        <v>5</v>
      </c>
      <c r="I2260" t="s">
        <v>3731</v>
      </c>
      <c r="J2260">
        <v>37.799999999999997</v>
      </c>
      <c r="K2260" t="e">
        <f>IF(COUNTIF(#REF!,Tabela2[[#This Row],[IdxWspolny]])&gt;0,"ELEM_lub_PRD","TECHN")</f>
        <v>#REF!</v>
      </c>
      <c r="L2260" t="e">
        <f>IF(COUNTIF(#REF!,Tabela2[[#This Row],[KOD_PRODUKTU]])&gt;0,"ELEMENT","PRODUKT")</f>
        <v>#REF!</v>
      </c>
      <c r="M2260" t="e">
        <f>COUNTIF(#REF!,Tabela2[[#This Row],[KOD_PRODUKTU]])</f>
        <v>#REF!</v>
      </c>
    </row>
    <row r="2261" spans="1:13" x14ac:dyDescent="0.25">
      <c r="A2261" s="1" t="s">
        <v>3729</v>
      </c>
      <c r="B2261" t="s">
        <v>3730</v>
      </c>
      <c r="C2261" s="1" t="s">
        <v>541</v>
      </c>
      <c r="D2261" s="1" t="s">
        <v>541</v>
      </c>
      <c r="E2261" s="1" t="s">
        <v>541</v>
      </c>
      <c r="F2261" t="s">
        <v>542</v>
      </c>
      <c r="G2261" t="s">
        <v>9</v>
      </c>
      <c r="H2261" t="s">
        <v>10</v>
      </c>
      <c r="I2261" t="s">
        <v>3732</v>
      </c>
      <c r="J2261">
        <v>8.99</v>
      </c>
      <c r="K2261" t="e">
        <f>IF(COUNTIF(#REF!,Tabela2[[#This Row],[IdxWspolny]])&gt;0,"ELEM_lub_PRD","TECHN")</f>
        <v>#REF!</v>
      </c>
      <c r="L2261" t="e">
        <f>IF(COUNTIF(#REF!,Tabela2[[#This Row],[KOD_PRODUKTU]])&gt;0,"ELEMENT","PRODUKT")</f>
        <v>#REF!</v>
      </c>
      <c r="M2261" t="e">
        <f>COUNTIF(#REF!,Tabela2[[#This Row],[KOD_PRODUKTU]])</f>
        <v>#REF!</v>
      </c>
    </row>
    <row r="2262" spans="1:13" x14ac:dyDescent="0.25">
      <c r="A2262" s="1" t="s">
        <v>3733</v>
      </c>
      <c r="B2262" t="s">
        <v>3734</v>
      </c>
      <c r="C2262" s="1" t="s">
        <v>1327</v>
      </c>
      <c r="D2262" s="1" t="s">
        <v>1327</v>
      </c>
      <c r="E2262" s="1" t="s">
        <v>1327</v>
      </c>
      <c r="F2262" t="s">
        <v>3727</v>
      </c>
      <c r="G2262" t="s">
        <v>1329</v>
      </c>
      <c r="H2262" t="s">
        <v>49</v>
      </c>
      <c r="I2262" t="s">
        <v>50</v>
      </c>
      <c r="J2262">
        <v>220</v>
      </c>
      <c r="K2262" t="e">
        <f>IF(COUNTIF(#REF!,Tabela2[[#This Row],[IdxWspolny]])&gt;0,"ELEM_lub_PRD","TECHN")</f>
        <v>#REF!</v>
      </c>
      <c r="L2262" t="e">
        <f>IF(COUNTIF(#REF!,Tabela2[[#This Row],[KOD_PRODUKTU]])&gt;0,"ELEMENT","PRODUKT")</f>
        <v>#REF!</v>
      </c>
      <c r="M2262" t="e">
        <f>COUNTIF(#REF!,Tabela2[[#This Row],[KOD_PRODUKTU]])</f>
        <v>#REF!</v>
      </c>
    </row>
    <row r="2263" spans="1:13" x14ac:dyDescent="0.25">
      <c r="A2263" s="1" t="s">
        <v>3733</v>
      </c>
      <c r="B2263" t="s">
        <v>3734</v>
      </c>
      <c r="C2263" s="1" t="s">
        <v>541</v>
      </c>
      <c r="D2263" s="1" t="s">
        <v>541</v>
      </c>
      <c r="E2263" s="1" t="s">
        <v>541</v>
      </c>
      <c r="F2263" t="s">
        <v>542</v>
      </c>
      <c r="G2263" t="s">
        <v>9</v>
      </c>
      <c r="H2263" t="s">
        <v>10</v>
      </c>
      <c r="I2263" t="s">
        <v>268</v>
      </c>
      <c r="J2263">
        <v>138</v>
      </c>
      <c r="K2263" t="e">
        <f>IF(COUNTIF(#REF!,Tabela2[[#This Row],[IdxWspolny]])&gt;0,"ELEM_lub_PRD","TECHN")</f>
        <v>#REF!</v>
      </c>
      <c r="L2263" t="e">
        <f>IF(COUNTIF(#REF!,Tabela2[[#This Row],[KOD_PRODUKTU]])&gt;0,"ELEMENT","PRODUKT")</f>
        <v>#REF!</v>
      </c>
      <c r="M2263" t="e">
        <f>COUNTIF(#REF!,Tabela2[[#This Row],[KOD_PRODUKTU]])</f>
        <v>#REF!</v>
      </c>
    </row>
    <row r="2264" spans="1:13" x14ac:dyDescent="0.25">
      <c r="A2264" s="1" t="s">
        <v>3735</v>
      </c>
      <c r="B2264" t="s">
        <v>3736</v>
      </c>
      <c r="C2264" s="1" t="s">
        <v>29</v>
      </c>
      <c r="D2264" s="1" t="s">
        <v>29</v>
      </c>
      <c r="E2264" s="1" t="s">
        <v>29</v>
      </c>
      <c r="F2264" t="s">
        <v>30</v>
      </c>
      <c r="G2264" t="s">
        <v>31</v>
      </c>
      <c r="H2264" t="s">
        <v>5</v>
      </c>
      <c r="I2264" t="s">
        <v>3737</v>
      </c>
      <c r="J2264">
        <v>4.75</v>
      </c>
      <c r="K2264" t="e">
        <f>IF(COUNTIF(#REF!,Tabela2[[#This Row],[IdxWspolny]])&gt;0,"ELEM_lub_PRD","TECHN")</f>
        <v>#REF!</v>
      </c>
      <c r="L2264" t="e">
        <f>IF(COUNTIF(#REF!,Tabela2[[#This Row],[KOD_PRODUKTU]])&gt;0,"ELEMENT","PRODUKT")</f>
        <v>#REF!</v>
      </c>
      <c r="M2264" t="e">
        <f>COUNTIF(#REF!,Tabela2[[#This Row],[KOD_PRODUKTU]])</f>
        <v>#REF!</v>
      </c>
    </row>
    <row r="2265" spans="1:13" x14ac:dyDescent="0.25">
      <c r="A2265" s="1" t="s">
        <v>3735</v>
      </c>
      <c r="B2265" t="s">
        <v>3736</v>
      </c>
      <c r="C2265" s="1" t="s">
        <v>1989</v>
      </c>
      <c r="D2265" s="1" t="s">
        <v>1989</v>
      </c>
      <c r="E2265" s="1" t="s">
        <v>1989</v>
      </c>
      <c r="F2265" t="s">
        <v>1990</v>
      </c>
      <c r="G2265" t="s">
        <v>1991</v>
      </c>
      <c r="H2265" t="s">
        <v>435</v>
      </c>
      <c r="I2265" t="s">
        <v>3738</v>
      </c>
      <c r="J2265">
        <v>1.32</v>
      </c>
      <c r="K2265" t="e">
        <f>IF(COUNTIF(#REF!,Tabela2[[#This Row],[IdxWspolny]])&gt;0,"ELEM_lub_PRD","TECHN")</f>
        <v>#REF!</v>
      </c>
      <c r="L2265" t="e">
        <f>IF(COUNTIF(#REF!,Tabela2[[#This Row],[KOD_PRODUKTU]])&gt;0,"ELEMENT","PRODUKT")</f>
        <v>#REF!</v>
      </c>
      <c r="M2265" t="e">
        <f>COUNTIF(#REF!,Tabela2[[#This Row],[KOD_PRODUKTU]])</f>
        <v>#REF!</v>
      </c>
    </row>
    <row r="2266" spans="1:13" x14ac:dyDescent="0.25">
      <c r="A2266" s="1" t="s">
        <v>3735</v>
      </c>
      <c r="B2266" t="s">
        <v>3736</v>
      </c>
      <c r="C2266" s="1" t="s">
        <v>541</v>
      </c>
      <c r="D2266" s="1" t="s">
        <v>541</v>
      </c>
      <c r="E2266" s="1" t="s">
        <v>541</v>
      </c>
      <c r="F2266" t="s">
        <v>542</v>
      </c>
      <c r="G2266" t="s">
        <v>9</v>
      </c>
      <c r="H2266" t="s">
        <v>10</v>
      </c>
      <c r="I2266" t="s">
        <v>2537</v>
      </c>
      <c r="J2266">
        <v>7.19</v>
      </c>
      <c r="K2266" t="e">
        <f>IF(COUNTIF(#REF!,Tabela2[[#This Row],[IdxWspolny]])&gt;0,"ELEM_lub_PRD","TECHN")</f>
        <v>#REF!</v>
      </c>
      <c r="L2266" t="e">
        <f>IF(COUNTIF(#REF!,Tabela2[[#This Row],[KOD_PRODUKTU]])&gt;0,"ELEMENT","PRODUKT")</f>
        <v>#REF!</v>
      </c>
      <c r="M2266" t="e">
        <f>COUNTIF(#REF!,Tabela2[[#This Row],[KOD_PRODUKTU]])</f>
        <v>#REF!</v>
      </c>
    </row>
    <row r="2267" spans="1:13" x14ac:dyDescent="0.25">
      <c r="A2267" s="1" t="s">
        <v>3739</v>
      </c>
      <c r="B2267" t="s">
        <v>3740</v>
      </c>
      <c r="C2267" s="1" t="s">
        <v>29</v>
      </c>
      <c r="D2267" s="1" t="s">
        <v>29</v>
      </c>
      <c r="E2267" s="1" t="s">
        <v>29</v>
      </c>
      <c r="F2267" t="s">
        <v>30</v>
      </c>
      <c r="G2267" t="s">
        <v>31</v>
      </c>
      <c r="H2267" t="s">
        <v>5</v>
      </c>
      <c r="I2267" t="s">
        <v>3741</v>
      </c>
      <c r="J2267">
        <v>4.8</v>
      </c>
      <c r="K2267" t="e">
        <f>IF(COUNTIF(#REF!,Tabela2[[#This Row],[IdxWspolny]])&gt;0,"ELEM_lub_PRD","TECHN")</f>
        <v>#REF!</v>
      </c>
      <c r="L2267" t="e">
        <f>IF(COUNTIF(#REF!,Tabela2[[#This Row],[KOD_PRODUKTU]])&gt;0,"ELEMENT","PRODUKT")</f>
        <v>#REF!</v>
      </c>
      <c r="M2267" t="e">
        <f>COUNTIF(#REF!,Tabela2[[#This Row],[KOD_PRODUKTU]])</f>
        <v>#REF!</v>
      </c>
    </row>
    <row r="2268" spans="1:13" x14ac:dyDescent="0.25">
      <c r="A2268" s="1" t="s">
        <v>3739</v>
      </c>
      <c r="B2268" t="s">
        <v>3740</v>
      </c>
      <c r="C2268" s="1" t="s">
        <v>541</v>
      </c>
      <c r="D2268" s="1" t="s">
        <v>541</v>
      </c>
      <c r="E2268" s="1" t="s">
        <v>541</v>
      </c>
      <c r="F2268" t="s">
        <v>542</v>
      </c>
      <c r="G2268" t="s">
        <v>9</v>
      </c>
      <c r="H2268" t="s">
        <v>10</v>
      </c>
      <c r="I2268" t="s">
        <v>2537</v>
      </c>
      <c r="J2268">
        <v>7.19</v>
      </c>
      <c r="K2268" t="e">
        <f>IF(COUNTIF(#REF!,Tabela2[[#This Row],[IdxWspolny]])&gt;0,"ELEM_lub_PRD","TECHN")</f>
        <v>#REF!</v>
      </c>
      <c r="L2268" t="e">
        <f>IF(COUNTIF(#REF!,Tabela2[[#This Row],[KOD_PRODUKTU]])&gt;0,"ELEMENT","PRODUKT")</f>
        <v>#REF!</v>
      </c>
      <c r="M2268" t="e">
        <f>COUNTIF(#REF!,Tabela2[[#This Row],[KOD_PRODUKTU]])</f>
        <v>#REF!</v>
      </c>
    </row>
    <row r="2269" spans="1:13" x14ac:dyDescent="0.25">
      <c r="A2269" s="1" t="s">
        <v>3742</v>
      </c>
      <c r="B2269" t="s">
        <v>3743</v>
      </c>
      <c r="C2269" s="1" t="s">
        <v>2516</v>
      </c>
      <c r="D2269" s="1" t="s">
        <v>2516</v>
      </c>
      <c r="E2269" s="1" t="s">
        <v>2516</v>
      </c>
      <c r="F2269" t="s">
        <v>2517</v>
      </c>
      <c r="G2269" t="s">
        <v>1110</v>
      </c>
      <c r="H2269" t="s">
        <v>17</v>
      </c>
      <c r="I2269" t="s">
        <v>3744</v>
      </c>
      <c r="J2269">
        <v>33.9</v>
      </c>
      <c r="K2269" t="e">
        <f>IF(COUNTIF(#REF!,Tabela2[[#This Row],[IdxWspolny]])&gt;0,"ELEM_lub_PRD","TECHN")</f>
        <v>#REF!</v>
      </c>
      <c r="L2269" t="e">
        <f>IF(COUNTIF(#REF!,Tabela2[[#This Row],[KOD_PRODUKTU]])&gt;0,"ELEMENT","PRODUKT")</f>
        <v>#REF!</v>
      </c>
      <c r="M2269" t="e">
        <f>COUNTIF(#REF!,Tabela2[[#This Row],[KOD_PRODUKTU]])</f>
        <v>#REF!</v>
      </c>
    </row>
    <row r="2270" spans="1:13" x14ac:dyDescent="0.25">
      <c r="A2270" s="1" t="s">
        <v>3742</v>
      </c>
      <c r="B2270" t="s">
        <v>3743</v>
      </c>
      <c r="C2270" s="1" t="s">
        <v>541</v>
      </c>
      <c r="D2270" s="1" t="s">
        <v>541</v>
      </c>
      <c r="E2270" s="1" t="s">
        <v>541</v>
      </c>
      <c r="F2270" t="s">
        <v>542</v>
      </c>
      <c r="G2270" t="s">
        <v>9</v>
      </c>
      <c r="H2270" t="s">
        <v>10</v>
      </c>
      <c r="I2270" t="s">
        <v>2537</v>
      </c>
      <c r="J2270">
        <v>7.19</v>
      </c>
      <c r="K2270" t="e">
        <f>IF(COUNTIF(#REF!,Tabela2[[#This Row],[IdxWspolny]])&gt;0,"ELEM_lub_PRD","TECHN")</f>
        <v>#REF!</v>
      </c>
      <c r="L2270" t="e">
        <f>IF(COUNTIF(#REF!,Tabela2[[#This Row],[KOD_PRODUKTU]])&gt;0,"ELEMENT","PRODUKT")</f>
        <v>#REF!</v>
      </c>
      <c r="M2270" t="e">
        <f>COUNTIF(#REF!,Tabela2[[#This Row],[KOD_PRODUKTU]])</f>
        <v>#REF!</v>
      </c>
    </row>
    <row r="2271" spans="1:13" x14ac:dyDescent="0.25">
      <c r="A2271" s="1" t="s">
        <v>370</v>
      </c>
      <c r="B2271" t="s">
        <v>371</v>
      </c>
      <c r="C2271" s="1" t="s">
        <v>684</v>
      </c>
      <c r="D2271" s="1" t="s">
        <v>684</v>
      </c>
      <c r="E2271" s="1" t="s">
        <v>684</v>
      </c>
      <c r="F2271" t="s">
        <v>685</v>
      </c>
      <c r="G2271" t="s">
        <v>686</v>
      </c>
      <c r="H2271" t="s">
        <v>49</v>
      </c>
      <c r="I2271" t="s">
        <v>3745</v>
      </c>
      <c r="J2271">
        <v>71.05</v>
      </c>
      <c r="K2271" t="e">
        <f>IF(COUNTIF(#REF!,Tabela2[[#This Row],[IdxWspolny]])&gt;0,"ELEM_lub_PRD","TECHN")</f>
        <v>#REF!</v>
      </c>
      <c r="L2271" t="e">
        <f>IF(COUNTIF(#REF!,Tabela2[[#This Row],[KOD_PRODUKTU]])&gt;0,"ELEMENT","PRODUKT")</f>
        <v>#REF!</v>
      </c>
      <c r="M2271" t="e">
        <f>COUNTIF(#REF!,Tabela2[[#This Row],[KOD_PRODUKTU]])</f>
        <v>#REF!</v>
      </c>
    </row>
    <row r="2272" spans="1:13" x14ac:dyDescent="0.25">
      <c r="A2272" s="1" t="s">
        <v>370</v>
      </c>
      <c r="B2272" t="s">
        <v>371</v>
      </c>
      <c r="C2272" s="1" t="s">
        <v>7</v>
      </c>
      <c r="D2272" s="1" t="s">
        <v>7</v>
      </c>
      <c r="E2272" s="1" t="s">
        <v>7</v>
      </c>
      <c r="F2272" t="s">
        <v>8</v>
      </c>
      <c r="G2272" t="s">
        <v>9</v>
      </c>
      <c r="H2272" t="s">
        <v>10</v>
      </c>
      <c r="I2272" t="s">
        <v>860</v>
      </c>
      <c r="J2272">
        <v>23</v>
      </c>
      <c r="K2272" t="e">
        <f>IF(COUNTIF(#REF!,Tabela2[[#This Row],[IdxWspolny]])&gt;0,"ELEM_lub_PRD","TECHN")</f>
        <v>#REF!</v>
      </c>
      <c r="L2272" t="e">
        <f>IF(COUNTIF(#REF!,Tabela2[[#This Row],[KOD_PRODUKTU]])&gt;0,"ELEMENT","PRODUKT")</f>
        <v>#REF!</v>
      </c>
      <c r="M2272" t="e">
        <f>COUNTIF(#REF!,Tabela2[[#This Row],[KOD_PRODUKTU]])</f>
        <v>#REF!</v>
      </c>
    </row>
    <row r="2273" spans="1:13" x14ac:dyDescent="0.25">
      <c r="A2273" s="1" t="s">
        <v>373</v>
      </c>
      <c r="B2273" t="s">
        <v>374</v>
      </c>
      <c r="C2273" s="1" t="s">
        <v>429</v>
      </c>
      <c r="D2273" s="1" t="s">
        <v>429</v>
      </c>
      <c r="E2273" s="1" t="s">
        <v>429</v>
      </c>
      <c r="F2273" t="s">
        <v>430</v>
      </c>
      <c r="G2273" t="s">
        <v>145</v>
      </c>
      <c r="H2273" t="s">
        <v>5</v>
      </c>
      <c r="I2273" t="s">
        <v>3746</v>
      </c>
      <c r="J2273">
        <v>1.2</v>
      </c>
      <c r="K2273" t="e">
        <f>IF(COUNTIF(#REF!,Tabela2[[#This Row],[IdxWspolny]])&gt;0,"ELEM_lub_PRD","TECHN")</f>
        <v>#REF!</v>
      </c>
      <c r="L2273" t="e">
        <f>IF(COUNTIF(#REF!,Tabela2[[#This Row],[KOD_PRODUKTU]])&gt;0,"ELEMENT","PRODUKT")</f>
        <v>#REF!</v>
      </c>
      <c r="M2273" t="e">
        <f>COUNTIF(#REF!,Tabela2[[#This Row],[KOD_PRODUKTU]])</f>
        <v>#REF!</v>
      </c>
    </row>
    <row r="2274" spans="1:13" x14ac:dyDescent="0.25">
      <c r="A2274" s="1" t="s">
        <v>373</v>
      </c>
      <c r="B2274" t="s">
        <v>374</v>
      </c>
      <c r="C2274" s="1" t="s">
        <v>432</v>
      </c>
      <c r="D2274" s="1" t="s">
        <v>432</v>
      </c>
      <c r="E2274" s="1" t="s">
        <v>432</v>
      </c>
      <c r="F2274" t="s">
        <v>433</v>
      </c>
      <c r="G2274" t="s">
        <v>434</v>
      </c>
      <c r="H2274" t="s">
        <v>435</v>
      </c>
      <c r="I2274" t="s">
        <v>50</v>
      </c>
      <c r="J2274">
        <v>1.1000000000000001</v>
      </c>
      <c r="K2274" t="e">
        <f>IF(COUNTIF(#REF!,Tabela2[[#This Row],[IdxWspolny]])&gt;0,"ELEM_lub_PRD","TECHN")</f>
        <v>#REF!</v>
      </c>
      <c r="L2274" t="e">
        <f>IF(COUNTIF(#REF!,Tabela2[[#This Row],[KOD_PRODUKTU]])&gt;0,"ELEMENT","PRODUKT")</f>
        <v>#REF!</v>
      </c>
      <c r="M2274" t="e">
        <f>COUNTIF(#REF!,Tabela2[[#This Row],[KOD_PRODUKTU]])</f>
        <v>#REF!</v>
      </c>
    </row>
    <row r="2275" spans="1:13" x14ac:dyDescent="0.25">
      <c r="A2275" s="1" t="s">
        <v>373</v>
      </c>
      <c r="B2275" t="s">
        <v>374</v>
      </c>
      <c r="C2275" s="1" t="s">
        <v>7</v>
      </c>
      <c r="D2275" s="1" t="s">
        <v>7</v>
      </c>
      <c r="E2275" s="1" t="s">
        <v>7</v>
      </c>
      <c r="F2275" t="s">
        <v>8</v>
      </c>
      <c r="G2275" t="s">
        <v>9</v>
      </c>
      <c r="H2275" t="s">
        <v>10</v>
      </c>
      <c r="I2275" t="s">
        <v>1130</v>
      </c>
      <c r="J2275">
        <v>34.5</v>
      </c>
      <c r="K2275" t="e">
        <f>IF(COUNTIF(#REF!,Tabela2[[#This Row],[IdxWspolny]])&gt;0,"ELEM_lub_PRD","TECHN")</f>
        <v>#REF!</v>
      </c>
      <c r="L2275" t="e">
        <f>IF(COUNTIF(#REF!,Tabela2[[#This Row],[KOD_PRODUKTU]])&gt;0,"ELEMENT","PRODUKT")</f>
        <v>#REF!</v>
      </c>
      <c r="M2275" t="e">
        <f>COUNTIF(#REF!,Tabela2[[#This Row],[KOD_PRODUKTU]])</f>
        <v>#REF!</v>
      </c>
    </row>
    <row r="2276" spans="1:13" x14ac:dyDescent="0.25">
      <c r="A2276" s="1" t="s">
        <v>376</v>
      </c>
      <c r="B2276" t="s">
        <v>377</v>
      </c>
      <c r="C2276" s="1" t="s">
        <v>684</v>
      </c>
      <c r="D2276" s="1" t="s">
        <v>684</v>
      </c>
      <c r="E2276" s="1" t="s">
        <v>684</v>
      </c>
      <c r="F2276" t="s">
        <v>685</v>
      </c>
      <c r="G2276" t="s">
        <v>686</v>
      </c>
      <c r="H2276" t="s">
        <v>49</v>
      </c>
      <c r="I2276" t="s">
        <v>3747</v>
      </c>
      <c r="J2276">
        <v>1.1499999999999999</v>
      </c>
      <c r="K2276" t="e">
        <f>IF(COUNTIF(#REF!,Tabela2[[#This Row],[IdxWspolny]])&gt;0,"ELEM_lub_PRD","TECHN")</f>
        <v>#REF!</v>
      </c>
      <c r="L2276" t="e">
        <f>IF(COUNTIF(#REF!,Tabela2[[#This Row],[KOD_PRODUKTU]])&gt;0,"ELEMENT","PRODUKT")</f>
        <v>#REF!</v>
      </c>
      <c r="M2276" t="e">
        <f>COUNTIF(#REF!,Tabela2[[#This Row],[KOD_PRODUKTU]])</f>
        <v>#REF!</v>
      </c>
    </row>
    <row r="2277" spans="1:13" x14ac:dyDescent="0.25">
      <c r="A2277" s="1" t="s">
        <v>236</v>
      </c>
      <c r="B2277" t="s">
        <v>237</v>
      </c>
      <c r="C2277" s="1" t="s">
        <v>2161</v>
      </c>
      <c r="D2277" s="1" t="s">
        <v>2161</v>
      </c>
      <c r="E2277" s="1" t="s">
        <v>2161</v>
      </c>
      <c r="F2277" t="s">
        <v>2162</v>
      </c>
      <c r="G2277" t="s">
        <v>1354</v>
      </c>
      <c r="H2277" t="s">
        <v>5</v>
      </c>
      <c r="I2277" t="s">
        <v>3748</v>
      </c>
      <c r="J2277">
        <v>4.9000000000000004</v>
      </c>
      <c r="K2277" t="e">
        <f>IF(COUNTIF(#REF!,Tabela2[[#This Row],[IdxWspolny]])&gt;0,"ELEM_lub_PRD","TECHN")</f>
        <v>#REF!</v>
      </c>
      <c r="L2277" t="e">
        <f>IF(COUNTIF(#REF!,Tabela2[[#This Row],[KOD_PRODUKTU]])&gt;0,"ELEMENT","PRODUKT")</f>
        <v>#REF!</v>
      </c>
      <c r="M2277" t="e">
        <f>COUNTIF(#REF!,Tabela2[[#This Row],[KOD_PRODUKTU]])</f>
        <v>#REF!</v>
      </c>
    </row>
    <row r="2278" spans="1:13" x14ac:dyDescent="0.25">
      <c r="A2278" s="1" t="s">
        <v>236</v>
      </c>
      <c r="B2278" t="s">
        <v>237</v>
      </c>
      <c r="C2278" s="1" t="s">
        <v>7</v>
      </c>
      <c r="D2278" s="1" t="s">
        <v>7</v>
      </c>
      <c r="E2278" s="1" t="s">
        <v>7</v>
      </c>
      <c r="F2278" t="s">
        <v>8</v>
      </c>
      <c r="G2278" t="s">
        <v>9</v>
      </c>
      <c r="H2278" t="s">
        <v>10</v>
      </c>
      <c r="I2278" t="s">
        <v>1649</v>
      </c>
      <c r="J2278">
        <v>9.65</v>
      </c>
      <c r="K2278" t="e">
        <f>IF(COUNTIF(#REF!,Tabela2[[#This Row],[IdxWspolny]])&gt;0,"ELEM_lub_PRD","TECHN")</f>
        <v>#REF!</v>
      </c>
      <c r="L2278" t="e">
        <f>IF(COUNTIF(#REF!,Tabela2[[#This Row],[KOD_PRODUKTU]])&gt;0,"ELEMENT","PRODUKT")</f>
        <v>#REF!</v>
      </c>
      <c r="M2278" t="e">
        <f>COUNTIF(#REF!,Tabela2[[#This Row],[KOD_PRODUKTU]])</f>
        <v>#REF!</v>
      </c>
    </row>
    <row r="2279" spans="1:13" x14ac:dyDescent="0.25">
      <c r="A2279" s="1" t="s">
        <v>239</v>
      </c>
      <c r="B2279" t="s">
        <v>240</v>
      </c>
      <c r="C2279" s="1" t="s">
        <v>2161</v>
      </c>
      <c r="D2279" s="1" t="s">
        <v>2161</v>
      </c>
      <c r="E2279" s="1" t="s">
        <v>2161</v>
      </c>
      <c r="F2279" t="s">
        <v>2162</v>
      </c>
      <c r="G2279" t="s">
        <v>1354</v>
      </c>
      <c r="H2279" t="s">
        <v>5</v>
      </c>
      <c r="I2279" t="s">
        <v>3749</v>
      </c>
      <c r="J2279">
        <v>0.7</v>
      </c>
      <c r="K2279" t="e">
        <f>IF(COUNTIF(#REF!,Tabela2[[#This Row],[IdxWspolny]])&gt;0,"ELEM_lub_PRD","TECHN")</f>
        <v>#REF!</v>
      </c>
      <c r="L2279" t="e">
        <f>IF(COUNTIF(#REF!,Tabela2[[#This Row],[KOD_PRODUKTU]])&gt;0,"ELEMENT","PRODUKT")</f>
        <v>#REF!</v>
      </c>
      <c r="M2279" t="e">
        <f>COUNTIF(#REF!,Tabela2[[#This Row],[KOD_PRODUKTU]])</f>
        <v>#REF!</v>
      </c>
    </row>
    <row r="2280" spans="1:13" x14ac:dyDescent="0.25">
      <c r="A2280" s="1" t="s">
        <v>239</v>
      </c>
      <c r="B2280" t="s">
        <v>240</v>
      </c>
      <c r="C2280" s="1" t="s">
        <v>7</v>
      </c>
      <c r="D2280" s="1" t="s">
        <v>7</v>
      </c>
      <c r="E2280" s="1" t="s">
        <v>7</v>
      </c>
      <c r="F2280" t="s">
        <v>8</v>
      </c>
      <c r="G2280" t="s">
        <v>9</v>
      </c>
      <c r="H2280" t="s">
        <v>10</v>
      </c>
      <c r="I2280" t="s">
        <v>601</v>
      </c>
      <c r="J2280">
        <v>6.9</v>
      </c>
      <c r="K2280" t="e">
        <f>IF(COUNTIF(#REF!,Tabela2[[#This Row],[IdxWspolny]])&gt;0,"ELEM_lub_PRD","TECHN")</f>
        <v>#REF!</v>
      </c>
      <c r="L2280" t="e">
        <f>IF(COUNTIF(#REF!,Tabela2[[#This Row],[KOD_PRODUKTU]])&gt;0,"ELEMENT","PRODUKT")</f>
        <v>#REF!</v>
      </c>
      <c r="M2280" t="e">
        <f>COUNTIF(#REF!,Tabela2[[#This Row],[KOD_PRODUKTU]])</f>
        <v>#REF!</v>
      </c>
    </row>
    <row r="2281" spans="1:13" x14ac:dyDescent="0.25">
      <c r="A2281" s="1" t="s">
        <v>3750</v>
      </c>
      <c r="B2281" t="s">
        <v>3751</v>
      </c>
      <c r="C2281" s="1" t="s">
        <v>2467</v>
      </c>
      <c r="D2281" s="1" t="s">
        <v>2467</v>
      </c>
      <c r="E2281" s="1" t="s">
        <v>2467</v>
      </c>
      <c r="F2281" t="s">
        <v>2468</v>
      </c>
      <c r="G2281" t="s">
        <v>2469</v>
      </c>
      <c r="H2281" t="s">
        <v>5</v>
      </c>
      <c r="I2281" t="s">
        <v>3752</v>
      </c>
      <c r="J2281">
        <v>8.6300000000000008</v>
      </c>
      <c r="K2281" t="e">
        <f>IF(COUNTIF(#REF!,Tabela2[[#This Row],[IdxWspolny]])&gt;0,"ELEM_lub_PRD","TECHN")</f>
        <v>#REF!</v>
      </c>
      <c r="L2281" t="e">
        <f>IF(COUNTIF(#REF!,Tabela2[[#This Row],[KOD_PRODUKTU]])&gt;0,"ELEMENT","PRODUKT")</f>
        <v>#REF!</v>
      </c>
      <c r="M2281" t="e">
        <f>COUNTIF(#REF!,Tabela2[[#This Row],[KOD_PRODUKTU]])</f>
        <v>#REF!</v>
      </c>
    </row>
    <row r="2282" spans="1:13" x14ac:dyDescent="0.25">
      <c r="A2282" s="1" t="s">
        <v>3750</v>
      </c>
      <c r="B2282" t="s">
        <v>3751</v>
      </c>
      <c r="C2282" s="1" t="s">
        <v>2492</v>
      </c>
      <c r="D2282" s="1" t="s">
        <v>2492</v>
      </c>
      <c r="E2282" s="1" t="s">
        <v>2492</v>
      </c>
      <c r="F2282" t="s">
        <v>2493</v>
      </c>
      <c r="G2282" t="s">
        <v>2494</v>
      </c>
      <c r="H2282" t="s">
        <v>121</v>
      </c>
      <c r="I2282" t="s">
        <v>50</v>
      </c>
      <c r="J2282">
        <v>23.4</v>
      </c>
      <c r="K2282" t="e">
        <f>IF(COUNTIF(#REF!,Tabela2[[#This Row],[IdxWspolny]])&gt;0,"ELEM_lub_PRD","TECHN")</f>
        <v>#REF!</v>
      </c>
      <c r="L2282" t="e">
        <f>IF(COUNTIF(#REF!,Tabela2[[#This Row],[KOD_PRODUKTU]])&gt;0,"ELEMENT","PRODUKT")</f>
        <v>#REF!</v>
      </c>
      <c r="M2282" t="e">
        <f>COUNTIF(#REF!,Tabela2[[#This Row],[KOD_PRODUKTU]])</f>
        <v>#REF!</v>
      </c>
    </row>
    <row r="2283" spans="1:13" x14ac:dyDescent="0.25">
      <c r="A2283" s="1" t="s">
        <v>3750</v>
      </c>
      <c r="B2283" t="s">
        <v>3751</v>
      </c>
      <c r="C2283" s="1" t="s">
        <v>432</v>
      </c>
      <c r="D2283" s="1" t="s">
        <v>432</v>
      </c>
      <c r="E2283" s="1" t="s">
        <v>432</v>
      </c>
      <c r="F2283" t="s">
        <v>433</v>
      </c>
      <c r="G2283" t="s">
        <v>434</v>
      </c>
      <c r="H2283" t="s">
        <v>435</v>
      </c>
      <c r="I2283" t="s">
        <v>3753</v>
      </c>
      <c r="J2283">
        <v>7.27</v>
      </c>
      <c r="K2283" t="e">
        <f>IF(COUNTIF(#REF!,Tabela2[[#This Row],[IdxWspolny]])&gt;0,"ELEM_lub_PRD","TECHN")</f>
        <v>#REF!</v>
      </c>
      <c r="L2283" t="e">
        <f>IF(COUNTIF(#REF!,Tabela2[[#This Row],[KOD_PRODUKTU]])&gt;0,"ELEMENT","PRODUKT")</f>
        <v>#REF!</v>
      </c>
      <c r="M2283" t="e">
        <f>COUNTIF(#REF!,Tabela2[[#This Row],[KOD_PRODUKTU]])</f>
        <v>#REF!</v>
      </c>
    </row>
    <row r="2284" spans="1:13" x14ac:dyDescent="0.25">
      <c r="A2284" s="1" t="s">
        <v>3750</v>
      </c>
      <c r="B2284" t="s">
        <v>3751</v>
      </c>
      <c r="C2284" s="1" t="s">
        <v>7</v>
      </c>
      <c r="D2284" s="1" t="s">
        <v>7</v>
      </c>
      <c r="E2284" s="1" t="s">
        <v>7</v>
      </c>
      <c r="F2284" t="s">
        <v>8</v>
      </c>
      <c r="G2284" t="s">
        <v>9</v>
      </c>
      <c r="H2284" t="s">
        <v>10</v>
      </c>
      <c r="I2284" t="s">
        <v>3695</v>
      </c>
      <c r="J2284">
        <v>12.08</v>
      </c>
      <c r="K2284" t="e">
        <f>IF(COUNTIF(#REF!,Tabela2[[#This Row],[IdxWspolny]])&gt;0,"ELEM_lub_PRD","TECHN")</f>
        <v>#REF!</v>
      </c>
      <c r="L2284" t="e">
        <f>IF(COUNTIF(#REF!,Tabela2[[#This Row],[KOD_PRODUKTU]])&gt;0,"ELEMENT","PRODUKT")</f>
        <v>#REF!</v>
      </c>
      <c r="M2284" t="e">
        <f>COUNTIF(#REF!,Tabela2[[#This Row],[KOD_PRODUKTU]])</f>
        <v>#REF!</v>
      </c>
    </row>
    <row r="2285" spans="1:13" x14ac:dyDescent="0.25">
      <c r="A2285" s="1" t="s">
        <v>1156</v>
      </c>
      <c r="B2285" t="s">
        <v>1157</v>
      </c>
      <c r="C2285" s="1" t="s">
        <v>1249</v>
      </c>
      <c r="D2285" s="1" t="s">
        <v>1249</v>
      </c>
      <c r="E2285" s="1" t="s">
        <v>1249</v>
      </c>
      <c r="F2285" t="s">
        <v>1250</v>
      </c>
      <c r="G2285" t="s">
        <v>1251</v>
      </c>
      <c r="H2285" t="s">
        <v>1252</v>
      </c>
      <c r="I2285" t="s">
        <v>3754</v>
      </c>
      <c r="J2285">
        <v>50.4</v>
      </c>
      <c r="K2285" t="e">
        <f>IF(COUNTIF(#REF!,Tabela2[[#This Row],[IdxWspolny]])&gt;0,"ELEM_lub_PRD","TECHN")</f>
        <v>#REF!</v>
      </c>
      <c r="L2285" t="e">
        <f>IF(COUNTIF(#REF!,Tabela2[[#This Row],[KOD_PRODUKTU]])&gt;0,"ELEMENT","PRODUKT")</f>
        <v>#REF!</v>
      </c>
      <c r="M2285" t="e">
        <f>COUNTIF(#REF!,Tabela2[[#This Row],[KOD_PRODUKTU]])</f>
        <v>#REF!</v>
      </c>
    </row>
    <row r="2286" spans="1:13" x14ac:dyDescent="0.25">
      <c r="A2286" s="1" t="s">
        <v>1156</v>
      </c>
      <c r="B2286" t="s">
        <v>1157</v>
      </c>
      <c r="C2286" s="1" t="s">
        <v>7</v>
      </c>
      <c r="D2286" s="1" t="s">
        <v>7</v>
      </c>
      <c r="E2286" s="1" t="s">
        <v>7</v>
      </c>
      <c r="F2286" t="s">
        <v>8</v>
      </c>
      <c r="G2286" t="s">
        <v>9</v>
      </c>
      <c r="H2286" t="s">
        <v>10</v>
      </c>
      <c r="I2286" t="s">
        <v>3755</v>
      </c>
      <c r="J2286">
        <v>149.6</v>
      </c>
      <c r="K2286" t="e">
        <f>IF(COUNTIF(#REF!,Tabela2[[#This Row],[IdxWspolny]])&gt;0,"ELEM_lub_PRD","TECHN")</f>
        <v>#REF!</v>
      </c>
      <c r="L2286" t="e">
        <f>IF(COUNTIF(#REF!,Tabela2[[#This Row],[KOD_PRODUKTU]])&gt;0,"ELEMENT","PRODUKT")</f>
        <v>#REF!</v>
      </c>
      <c r="M2286" t="e">
        <f>COUNTIF(#REF!,Tabela2[[#This Row],[KOD_PRODUKTU]])</f>
        <v>#REF!</v>
      </c>
    </row>
    <row r="2287" spans="1:13" x14ac:dyDescent="0.25">
      <c r="A2287" s="1" t="s">
        <v>118</v>
      </c>
      <c r="B2287" t="s">
        <v>119</v>
      </c>
      <c r="C2287" s="1" t="s">
        <v>3317</v>
      </c>
      <c r="D2287" s="1" t="s">
        <v>3317</v>
      </c>
      <c r="E2287" s="1" t="s">
        <v>3317</v>
      </c>
      <c r="F2287" t="s">
        <v>3318</v>
      </c>
      <c r="G2287" t="s">
        <v>3756</v>
      </c>
      <c r="H2287" t="s">
        <v>5</v>
      </c>
      <c r="I2287" t="s">
        <v>19</v>
      </c>
      <c r="J2287">
        <v>3.95</v>
      </c>
      <c r="K2287" t="e">
        <f>IF(COUNTIF(#REF!,Tabela2[[#This Row],[IdxWspolny]])&gt;0,"ELEM_lub_PRD","TECHN")</f>
        <v>#REF!</v>
      </c>
      <c r="L2287" t="e">
        <f>IF(COUNTIF(#REF!,Tabela2[[#This Row],[KOD_PRODUKTU]])&gt;0,"ELEMENT","PRODUKT")</f>
        <v>#REF!</v>
      </c>
      <c r="M2287" t="e">
        <f>COUNTIF(#REF!,Tabela2[[#This Row],[KOD_PRODUKTU]])</f>
        <v>#REF!</v>
      </c>
    </row>
    <row r="2288" spans="1:13" x14ac:dyDescent="0.25">
      <c r="A2288" s="1" t="s">
        <v>118</v>
      </c>
      <c r="B2288" t="s">
        <v>119</v>
      </c>
      <c r="C2288" s="1" t="s">
        <v>7</v>
      </c>
      <c r="D2288" s="1" t="s">
        <v>7</v>
      </c>
      <c r="E2288" s="1" t="s">
        <v>7</v>
      </c>
      <c r="F2288" t="s">
        <v>8</v>
      </c>
      <c r="G2288" t="s">
        <v>9</v>
      </c>
      <c r="H2288" t="s">
        <v>10</v>
      </c>
      <c r="I2288" t="s">
        <v>3757</v>
      </c>
      <c r="J2288">
        <v>12</v>
      </c>
      <c r="K2288" t="e">
        <f>IF(COUNTIF(#REF!,Tabela2[[#This Row],[IdxWspolny]])&gt;0,"ELEM_lub_PRD","TECHN")</f>
        <v>#REF!</v>
      </c>
      <c r="L2288" t="e">
        <f>IF(COUNTIF(#REF!,Tabela2[[#This Row],[KOD_PRODUKTU]])&gt;0,"ELEMENT","PRODUKT")</f>
        <v>#REF!</v>
      </c>
      <c r="M2288" t="e">
        <f>COUNTIF(#REF!,Tabela2[[#This Row],[KOD_PRODUKTU]])</f>
        <v>#REF!</v>
      </c>
    </row>
    <row r="2289" spans="1:13" x14ac:dyDescent="0.25">
      <c r="A2289" s="1" t="s">
        <v>123</v>
      </c>
      <c r="B2289" t="s">
        <v>3758</v>
      </c>
      <c r="C2289" s="1" t="s">
        <v>2</v>
      </c>
      <c r="D2289" s="1" t="s">
        <v>2</v>
      </c>
      <c r="E2289" s="1" t="s">
        <v>2</v>
      </c>
      <c r="F2289" t="s">
        <v>3</v>
      </c>
      <c r="G2289" t="s">
        <v>4</v>
      </c>
      <c r="H2289" t="s">
        <v>5</v>
      </c>
      <c r="I2289" t="s">
        <v>3759</v>
      </c>
      <c r="J2289">
        <v>1.1499999999999999</v>
      </c>
      <c r="K2289" t="e">
        <f>IF(COUNTIF(#REF!,Tabela2[[#This Row],[IdxWspolny]])&gt;0,"ELEM_lub_PRD","TECHN")</f>
        <v>#REF!</v>
      </c>
      <c r="L2289" t="e">
        <f>IF(COUNTIF(#REF!,Tabela2[[#This Row],[KOD_PRODUKTU]])&gt;0,"ELEMENT","PRODUKT")</f>
        <v>#REF!</v>
      </c>
      <c r="M2289" t="e">
        <f>COUNTIF(#REF!,Tabela2[[#This Row],[KOD_PRODUKTU]])</f>
        <v>#REF!</v>
      </c>
    </row>
    <row r="2290" spans="1:13" x14ac:dyDescent="0.25">
      <c r="A2290" s="1" t="s">
        <v>123</v>
      </c>
      <c r="B2290" t="s">
        <v>3758</v>
      </c>
      <c r="C2290" s="1" t="s">
        <v>432</v>
      </c>
      <c r="D2290" s="1" t="s">
        <v>432</v>
      </c>
      <c r="E2290" s="1" t="s">
        <v>432</v>
      </c>
      <c r="F2290" t="s">
        <v>433</v>
      </c>
      <c r="G2290" t="s">
        <v>434</v>
      </c>
      <c r="H2290" t="s">
        <v>435</v>
      </c>
      <c r="I2290" t="s">
        <v>50</v>
      </c>
      <c r="J2290">
        <v>1.1000000000000001</v>
      </c>
      <c r="K2290" t="e">
        <f>IF(COUNTIF(#REF!,Tabela2[[#This Row],[IdxWspolny]])&gt;0,"ELEM_lub_PRD","TECHN")</f>
        <v>#REF!</v>
      </c>
      <c r="L2290" t="e">
        <f>IF(COUNTIF(#REF!,Tabela2[[#This Row],[KOD_PRODUKTU]])&gt;0,"ELEMENT","PRODUKT")</f>
        <v>#REF!</v>
      </c>
      <c r="M2290" t="e">
        <f>COUNTIF(#REF!,Tabela2[[#This Row],[KOD_PRODUKTU]])</f>
        <v>#REF!</v>
      </c>
    </row>
    <row r="2291" spans="1:13" x14ac:dyDescent="0.25">
      <c r="A2291" s="1" t="s">
        <v>123</v>
      </c>
      <c r="B2291" t="s">
        <v>3758</v>
      </c>
      <c r="C2291" s="1" t="s">
        <v>7</v>
      </c>
      <c r="D2291" s="1" t="s">
        <v>7</v>
      </c>
      <c r="E2291" s="1" t="s">
        <v>7</v>
      </c>
      <c r="F2291" t="s">
        <v>8</v>
      </c>
      <c r="G2291" t="s">
        <v>9</v>
      </c>
      <c r="H2291" t="s">
        <v>10</v>
      </c>
      <c r="I2291" t="s">
        <v>3760</v>
      </c>
      <c r="J2291">
        <v>11.6</v>
      </c>
      <c r="K2291" t="e">
        <f>IF(COUNTIF(#REF!,Tabela2[[#This Row],[IdxWspolny]])&gt;0,"ELEM_lub_PRD","TECHN")</f>
        <v>#REF!</v>
      </c>
      <c r="L2291" t="e">
        <f>IF(COUNTIF(#REF!,Tabela2[[#This Row],[KOD_PRODUKTU]])&gt;0,"ELEMENT","PRODUKT")</f>
        <v>#REF!</v>
      </c>
      <c r="M2291" t="e">
        <f>COUNTIF(#REF!,Tabela2[[#This Row],[KOD_PRODUKTU]])</f>
        <v>#REF!</v>
      </c>
    </row>
    <row r="2292" spans="1:13" x14ac:dyDescent="0.25">
      <c r="A2292" s="1" t="s">
        <v>126</v>
      </c>
      <c r="B2292" t="s">
        <v>127</v>
      </c>
      <c r="C2292" s="1" t="s">
        <v>3317</v>
      </c>
      <c r="D2292" s="1" t="s">
        <v>3317</v>
      </c>
      <c r="E2292" s="1" t="s">
        <v>3317</v>
      </c>
      <c r="F2292" t="s">
        <v>3318</v>
      </c>
      <c r="G2292" t="s">
        <v>3756</v>
      </c>
      <c r="H2292" t="s">
        <v>5</v>
      </c>
      <c r="I2292" t="s">
        <v>3761</v>
      </c>
      <c r="J2292">
        <v>3.65</v>
      </c>
      <c r="K2292" t="e">
        <f>IF(COUNTIF(#REF!,Tabela2[[#This Row],[IdxWspolny]])&gt;0,"ELEM_lub_PRD","TECHN")</f>
        <v>#REF!</v>
      </c>
      <c r="L2292" t="e">
        <f>IF(COUNTIF(#REF!,Tabela2[[#This Row],[KOD_PRODUKTU]])&gt;0,"ELEMENT","PRODUKT")</f>
        <v>#REF!</v>
      </c>
      <c r="M2292" t="e">
        <f>COUNTIF(#REF!,Tabela2[[#This Row],[KOD_PRODUKTU]])</f>
        <v>#REF!</v>
      </c>
    </row>
    <row r="2293" spans="1:13" x14ac:dyDescent="0.25">
      <c r="A2293" s="1" t="s">
        <v>126</v>
      </c>
      <c r="B2293" t="s">
        <v>127</v>
      </c>
      <c r="C2293" s="1" t="s">
        <v>7</v>
      </c>
      <c r="D2293" s="1" t="s">
        <v>7</v>
      </c>
      <c r="E2293" s="1" t="s">
        <v>7</v>
      </c>
      <c r="F2293" t="s">
        <v>8</v>
      </c>
      <c r="G2293" t="s">
        <v>9</v>
      </c>
      <c r="H2293" t="s">
        <v>10</v>
      </c>
      <c r="I2293" t="s">
        <v>3757</v>
      </c>
      <c r="J2293">
        <v>12</v>
      </c>
      <c r="K2293" t="e">
        <f>IF(COUNTIF(#REF!,Tabela2[[#This Row],[IdxWspolny]])&gt;0,"ELEM_lub_PRD","TECHN")</f>
        <v>#REF!</v>
      </c>
      <c r="L2293" t="e">
        <f>IF(COUNTIF(#REF!,Tabela2[[#This Row],[KOD_PRODUKTU]])&gt;0,"ELEMENT","PRODUKT")</f>
        <v>#REF!</v>
      </c>
      <c r="M2293" t="e">
        <f>COUNTIF(#REF!,Tabela2[[#This Row],[KOD_PRODUKTU]])</f>
        <v>#REF!</v>
      </c>
    </row>
    <row r="2294" spans="1:13" x14ac:dyDescent="0.25">
      <c r="A2294" s="1" t="s">
        <v>129</v>
      </c>
      <c r="B2294" t="s">
        <v>3762</v>
      </c>
      <c r="C2294" s="1" t="s">
        <v>1188</v>
      </c>
      <c r="D2294" s="1" t="s">
        <v>1188</v>
      </c>
      <c r="E2294" s="1" t="s">
        <v>1188</v>
      </c>
      <c r="F2294" t="s">
        <v>1189</v>
      </c>
      <c r="G2294" t="s">
        <v>1190</v>
      </c>
      <c r="H2294" t="s">
        <v>5</v>
      </c>
      <c r="I2294" t="s">
        <v>3763</v>
      </c>
      <c r="J2294">
        <v>1.1000000000000001</v>
      </c>
      <c r="K2294" t="e">
        <f>IF(COUNTIF(#REF!,Tabela2[[#This Row],[IdxWspolny]])&gt;0,"ELEM_lub_PRD","TECHN")</f>
        <v>#REF!</v>
      </c>
      <c r="L2294" t="e">
        <f>IF(COUNTIF(#REF!,Tabela2[[#This Row],[KOD_PRODUKTU]])&gt;0,"ELEMENT","PRODUKT")</f>
        <v>#REF!</v>
      </c>
      <c r="M2294" t="e">
        <f>COUNTIF(#REF!,Tabela2[[#This Row],[KOD_PRODUKTU]])</f>
        <v>#REF!</v>
      </c>
    </row>
    <row r="2295" spans="1:13" x14ac:dyDescent="0.25">
      <c r="A2295" s="1" t="s">
        <v>129</v>
      </c>
      <c r="B2295" t="s">
        <v>3762</v>
      </c>
      <c r="C2295" s="1" t="s">
        <v>432</v>
      </c>
      <c r="D2295" s="1" t="s">
        <v>432</v>
      </c>
      <c r="E2295" s="1" t="s">
        <v>432</v>
      </c>
      <c r="F2295" t="s">
        <v>433</v>
      </c>
      <c r="G2295" t="s">
        <v>434</v>
      </c>
      <c r="H2295" t="s">
        <v>435</v>
      </c>
      <c r="I2295" t="s">
        <v>50</v>
      </c>
      <c r="J2295">
        <v>1.1000000000000001</v>
      </c>
      <c r="K2295" t="e">
        <f>IF(COUNTIF(#REF!,Tabela2[[#This Row],[IdxWspolny]])&gt;0,"ELEM_lub_PRD","TECHN")</f>
        <v>#REF!</v>
      </c>
      <c r="L2295" t="e">
        <f>IF(COUNTIF(#REF!,Tabela2[[#This Row],[KOD_PRODUKTU]])&gt;0,"ELEMENT","PRODUKT")</f>
        <v>#REF!</v>
      </c>
      <c r="M2295" t="e">
        <f>COUNTIF(#REF!,Tabela2[[#This Row],[KOD_PRODUKTU]])</f>
        <v>#REF!</v>
      </c>
    </row>
    <row r="2296" spans="1:13" x14ac:dyDescent="0.25">
      <c r="A2296" s="1" t="s">
        <v>129</v>
      </c>
      <c r="B2296" t="s">
        <v>3762</v>
      </c>
      <c r="C2296" s="1" t="s">
        <v>7</v>
      </c>
      <c r="D2296" s="1" t="s">
        <v>7</v>
      </c>
      <c r="E2296" s="1" t="s">
        <v>7</v>
      </c>
      <c r="F2296" t="s">
        <v>8</v>
      </c>
      <c r="G2296" t="s">
        <v>9</v>
      </c>
      <c r="H2296" t="s">
        <v>10</v>
      </c>
      <c r="I2296" t="s">
        <v>2415</v>
      </c>
      <c r="J2296">
        <v>12</v>
      </c>
      <c r="K2296" t="e">
        <f>IF(COUNTIF(#REF!,Tabela2[[#This Row],[IdxWspolny]])&gt;0,"ELEM_lub_PRD","TECHN")</f>
        <v>#REF!</v>
      </c>
      <c r="L2296" t="e">
        <f>IF(COUNTIF(#REF!,Tabela2[[#This Row],[KOD_PRODUKTU]])&gt;0,"ELEMENT","PRODUKT")</f>
        <v>#REF!</v>
      </c>
      <c r="M2296" t="e">
        <f>COUNTIF(#REF!,Tabela2[[#This Row],[KOD_PRODUKTU]])</f>
        <v>#REF!</v>
      </c>
    </row>
    <row r="2297" spans="1:13" x14ac:dyDescent="0.25">
      <c r="A2297" s="1" t="s">
        <v>135</v>
      </c>
      <c r="B2297" t="s">
        <v>136</v>
      </c>
      <c r="C2297" s="1" t="s">
        <v>3764</v>
      </c>
      <c r="D2297" s="1" t="s">
        <v>3764</v>
      </c>
      <c r="E2297" s="1" t="s">
        <v>3764</v>
      </c>
      <c r="F2297" t="s">
        <v>3765</v>
      </c>
      <c r="G2297" t="s">
        <v>2883</v>
      </c>
      <c r="H2297" t="s">
        <v>5</v>
      </c>
      <c r="I2297" t="s">
        <v>3766</v>
      </c>
      <c r="J2297">
        <v>1.3</v>
      </c>
      <c r="K2297" t="e">
        <f>IF(COUNTIF(#REF!,Tabela2[[#This Row],[IdxWspolny]])&gt;0,"ELEM_lub_PRD","TECHN")</f>
        <v>#REF!</v>
      </c>
      <c r="L2297" t="e">
        <f>IF(COUNTIF(#REF!,Tabela2[[#This Row],[KOD_PRODUKTU]])&gt;0,"ELEMENT","PRODUKT")</f>
        <v>#REF!</v>
      </c>
      <c r="M2297" t="e">
        <f>COUNTIF(#REF!,Tabela2[[#This Row],[KOD_PRODUKTU]])</f>
        <v>#REF!</v>
      </c>
    </row>
    <row r="2298" spans="1:13" x14ac:dyDescent="0.25">
      <c r="A2298" s="1" t="s">
        <v>135</v>
      </c>
      <c r="B2298" t="s">
        <v>136</v>
      </c>
      <c r="C2298" s="1" t="s">
        <v>432</v>
      </c>
      <c r="D2298" s="1" t="s">
        <v>432</v>
      </c>
      <c r="E2298" s="1" t="s">
        <v>432</v>
      </c>
      <c r="F2298" t="s">
        <v>433</v>
      </c>
      <c r="G2298" t="s">
        <v>434</v>
      </c>
      <c r="H2298" t="s">
        <v>435</v>
      </c>
      <c r="I2298" t="s">
        <v>50</v>
      </c>
      <c r="J2298">
        <v>1.1000000000000001</v>
      </c>
      <c r="K2298" t="e">
        <f>IF(COUNTIF(#REF!,Tabela2[[#This Row],[IdxWspolny]])&gt;0,"ELEM_lub_PRD","TECHN")</f>
        <v>#REF!</v>
      </c>
      <c r="L2298" t="e">
        <f>IF(COUNTIF(#REF!,Tabela2[[#This Row],[KOD_PRODUKTU]])&gt;0,"ELEMENT","PRODUKT")</f>
        <v>#REF!</v>
      </c>
      <c r="M2298" t="e">
        <f>COUNTIF(#REF!,Tabela2[[#This Row],[KOD_PRODUKTU]])</f>
        <v>#REF!</v>
      </c>
    </row>
    <row r="2299" spans="1:13" x14ac:dyDescent="0.25">
      <c r="A2299" s="1" t="s">
        <v>135</v>
      </c>
      <c r="B2299" t="s">
        <v>136</v>
      </c>
      <c r="C2299" s="1" t="s">
        <v>7</v>
      </c>
      <c r="D2299" s="1" t="s">
        <v>7</v>
      </c>
      <c r="E2299" s="1" t="s">
        <v>7</v>
      </c>
      <c r="F2299" t="s">
        <v>8</v>
      </c>
      <c r="G2299" t="s">
        <v>9</v>
      </c>
      <c r="H2299" t="s">
        <v>10</v>
      </c>
      <c r="I2299" t="s">
        <v>33</v>
      </c>
      <c r="J2299">
        <v>9.1999999999999993</v>
      </c>
      <c r="K2299" t="e">
        <f>IF(COUNTIF(#REF!,Tabela2[[#This Row],[IdxWspolny]])&gt;0,"ELEM_lub_PRD","TECHN")</f>
        <v>#REF!</v>
      </c>
      <c r="L2299" t="e">
        <f>IF(COUNTIF(#REF!,Tabela2[[#This Row],[KOD_PRODUKTU]])&gt;0,"ELEMENT","PRODUKT")</f>
        <v>#REF!</v>
      </c>
      <c r="M2299" t="e">
        <f>COUNTIF(#REF!,Tabela2[[#This Row],[KOD_PRODUKTU]])</f>
        <v>#REF!</v>
      </c>
    </row>
    <row r="2300" spans="1:13" x14ac:dyDescent="0.25">
      <c r="A2300" s="1" t="s">
        <v>138</v>
      </c>
      <c r="B2300" t="s">
        <v>139</v>
      </c>
      <c r="C2300" s="1" t="s">
        <v>3767</v>
      </c>
      <c r="D2300" s="1" t="s">
        <v>3767</v>
      </c>
      <c r="E2300" s="1" t="s">
        <v>3767</v>
      </c>
      <c r="F2300" t="s">
        <v>3768</v>
      </c>
      <c r="G2300" t="s">
        <v>1101</v>
      </c>
      <c r="H2300" t="s">
        <v>5</v>
      </c>
      <c r="I2300" t="s">
        <v>3769</v>
      </c>
      <c r="J2300">
        <v>0.45</v>
      </c>
      <c r="K2300" t="e">
        <f>IF(COUNTIF(#REF!,Tabela2[[#This Row],[IdxWspolny]])&gt;0,"ELEM_lub_PRD","TECHN")</f>
        <v>#REF!</v>
      </c>
      <c r="L2300" t="e">
        <f>IF(COUNTIF(#REF!,Tabela2[[#This Row],[KOD_PRODUKTU]])&gt;0,"ELEMENT","PRODUKT")</f>
        <v>#REF!</v>
      </c>
      <c r="M2300" t="e">
        <f>COUNTIF(#REF!,Tabela2[[#This Row],[KOD_PRODUKTU]])</f>
        <v>#REF!</v>
      </c>
    </row>
    <row r="2301" spans="1:13" x14ac:dyDescent="0.25">
      <c r="A2301" s="1" t="s">
        <v>138</v>
      </c>
      <c r="B2301" t="s">
        <v>139</v>
      </c>
      <c r="C2301" s="1" t="s">
        <v>432</v>
      </c>
      <c r="D2301" s="1" t="s">
        <v>432</v>
      </c>
      <c r="E2301" s="1" t="s">
        <v>432</v>
      </c>
      <c r="F2301" t="s">
        <v>433</v>
      </c>
      <c r="G2301" t="s">
        <v>434</v>
      </c>
      <c r="H2301" t="s">
        <v>435</v>
      </c>
      <c r="I2301" t="s">
        <v>50</v>
      </c>
      <c r="J2301">
        <v>1.1000000000000001</v>
      </c>
      <c r="K2301" t="e">
        <f>IF(COUNTIF(#REF!,Tabela2[[#This Row],[IdxWspolny]])&gt;0,"ELEM_lub_PRD","TECHN")</f>
        <v>#REF!</v>
      </c>
      <c r="L2301" t="e">
        <f>IF(COUNTIF(#REF!,Tabela2[[#This Row],[KOD_PRODUKTU]])&gt;0,"ELEMENT","PRODUKT")</f>
        <v>#REF!</v>
      </c>
      <c r="M2301" t="e">
        <f>COUNTIF(#REF!,Tabela2[[#This Row],[KOD_PRODUKTU]])</f>
        <v>#REF!</v>
      </c>
    </row>
    <row r="2302" spans="1:13" x14ac:dyDescent="0.25">
      <c r="A2302" s="1" t="s">
        <v>138</v>
      </c>
      <c r="B2302" t="s">
        <v>139</v>
      </c>
      <c r="C2302" s="1" t="s">
        <v>7</v>
      </c>
      <c r="D2302" s="1" t="s">
        <v>7</v>
      </c>
      <c r="E2302" s="1" t="s">
        <v>7</v>
      </c>
      <c r="F2302" t="s">
        <v>8</v>
      </c>
      <c r="G2302" t="s">
        <v>9</v>
      </c>
      <c r="H2302" t="s">
        <v>10</v>
      </c>
      <c r="I2302" t="s">
        <v>33</v>
      </c>
      <c r="J2302">
        <v>9.1999999999999993</v>
      </c>
      <c r="K2302" t="e">
        <f>IF(COUNTIF(#REF!,Tabela2[[#This Row],[IdxWspolny]])&gt;0,"ELEM_lub_PRD","TECHN")</f>
        <v>#REF!</v>
      </c>
      <c r="L2302" t="e">
        <f>IF(COUNTIF(#REF!,Tabela2[[#This Row],[KOD_PRODUKTU]])&gt;0,"ELEMENT","PRODUKT")</f>
        <v>#REF!</v>
      </c>
      <c r="M2302" t="e">
        <f>COUNTIF(#REF!,Tabela2[[#This Row],[KOD_PRODUKTU]])</f>
        <v>#REF!</v>
      </c>
    </row>
    <row r="2303" spans="1:13" x14ac:dyDescent="0.25">
      <c r="A2303" s="1" t="s">
        <v>141</v>
      </c>
      <c r="B2303" t="s">
        <v>142</v>
      </c>
      <c r="C2303" s="1" t="s">
        <v>3764</v>
      </c>
      <c r="D2303" s="1" t="s">
        <v>3764</v>
      </c>
      <c r="E2303" s="1" t="s">
        <v>3764</v>
      </c>
      <c r="F2303" t="s">
        <v>3765</v>
      </c>
      <c r="G2303" t="s">
        <v>2883</v>
      </c>
      <c r="H2303" t="s">
        <v>5</v>
      </c>
      <c r="I2303" t="s">
        <v>2607</v>
      </c>
      <c r="J2303">
        <v>1.6</v>
      </c>
      <c r="K2303" t="e">
        <f>IF(COUNTIF(#REF!,Tabela2[[#This Row],[IdxWspolny]])&gt;0,"ELEM_lub_PRD","TECHN")</f>
        <v>#REF!</v>
      </c>
      <c r="L2303" t="e">
        <f>IF(COUNTIF(#REF!,Tabela2[[#This Row],[KOD_PRODUKTU]])&gt;0,"ELEMENT","PRODUKT")</f>
        <v>#REF!</v>
      </c>
      <c r="M2303" t="e">
        <f>COUNTIF(#REF!,Tabela2[[#This Row],[KOD_PRODUKTU]])</f>
        <v>#REF!</v>
      </c>
    </row>
    <row r="2304" spans="1:13" x14ac:dyDescent="0.25">
      <c r="A2304" s="1" t="s">
        <v>141</v>
      </c>
      <c r="B2304" t="s">
        <v>142</v>
      </c>
      <c r="C2304" s="1" t="s">
        <v>432</v>
      </c>
      <c r="D2304" s="1" t="s">
        <v>432</v>
      </c>
      <c r="E2304" s="1" t="s">
        <v>432</v>
      </c>
      <c r="F2304" t="s">
        <v>433</v>
      </c>
      <c r="G2304" t="s">
        <v>434</v>
      </c>
      <c r="H2304" t="s">
        <v>435</v>
      </c>
      <c r="I2304" t="s">
        <v>50</v>
      </c>
      <c r="J2304">
        <v>1.1000000000000001</v>
      </c>
      <c r="K2304" t="e">
        <f>IF(COUNTIF(#REF!,Tabela2[[#This Row],[IdxWspolny]])&gt;0,"ELEM_lub_PRD","TECHN")</f>
        <v>#REF!</v>
      </c>
      <c r="L2304" t="e">
        <f>IF(COUNTIF(#REF!,Tabela2[[#This Row],[KOD_PRODUKTU]])&gt;0,"ELEMENT","PRODUKT")</f>
        <v>#REF!</v>
      </c>
      <c r="M2304" t="e">
        <f>COUNTIF(#REF!,Tabela2[[#This Row],[KOD_PRODUKTU]])</f>
        <v>#REF!</v>
      </c>
    </row>
    <row r="2305" spans="1:13" x14ac:dyDescent="0.25">
      <c r="A2305" s="1" t="s">
        <v>141</v>
      </c>
      <c r="B2305" t="s">
        <v>142</v>
      </c>
      <c r="C2305" s="1" t="s">
        <v>7</v>
      </c>
      <c r="D2305" s="1" t="s">
        <v>7</v>
      </c>
      <c r="E2305" s="1" t="s">
        <v>7</v>
      </c>
      <c r="F2305" t="s">
        <v>8</v>
      </c>
      <c r="G2305" t="s">
        <v>9</v>
      </c>
      <c r="H2305" t="s">
        <v>10</v>
      </c>
      <c r="I2305" t="s">
        <v>33</v>
      </c>
      <c r="J2305">
        <v>9.1999999999999993</v>
      </c>
      <c r="K2305" t="e">
        <f>IF(COUNTIF(#REF!,Tabela2[[#This Row],[IdxWspolny]])&gt;0,"ELEM_lub_PRD","TECHN")</f>
        <v>#REF!</v>
      </c>
      <c r="L2305" t="e">
        <f>IF(COUNTIF(#REF!,Tabela2[[#This Row],[KOD_PRODUKTU]])&gt;0,"ELEMENT","PRODUKT")</f>
        <v>#REF!</v>
      </c>
      <c r="M2305" t="e">
        <f>COUNTIF(#REF!,Tabela2[[#This Row],[KOD_PRODUKTU]])</f>
        <v>#REF!</v>
      </c>
    </row>
    <row r="2306" spans="1:13" x14ac:dyDescent="0.25">
      <c r="A2306" s="1" t="s">
        <v>143</v>
      </c>
      <c r="B2306" t="s">
        <v>144</v>
      </c>
      <c r="C2306" s="1" t="s">
        <v>3770</v>
      </c>
      <c r="D2306" s="1" t="s">
        <v>3770</v>
      </c>
      <c r="E2306" s="1" t="s">
        <v>3770</v>
      </c>
      <c r="F2306" t="s">
        <v>3771</v>
      </c>
      <c r="G2306" t="s">
        <v>216</v>
      </c>
      <c r="H2306" t="s">
        <v>5</v>
      </c>
      <c r="I2306" t="s">
        <v>3772</v>
      </c>
      <c r="J2306">
        <v>0.9</v>
      </c>
      <c r="K2306" t="e">
        <f>IF(COUNTIF(#REF!,Tabela2[[#This Row],[IdxWspolny]])&gt;0,"ELEM_lub_PRD","TECHN")</f>
        <v>#REF!</v>
      </c>
      <c r="L2306" t="e">
        <f>IF(COUNTIF(#REF!,Tabela2[[#This Row],[KOD_PRODUKTU]])&gt;0,"ELEMENT","PRODUKT")</f>
        <v>#REF!</v>
      </c>
      <c r="M2306" t="e">
        <f>COUNTIF(#REF!,Tabela2[[#This Row],[KOD_PRODUKTU]])</f>
        <v>#REF!</v>
      </c>
    </row>
    <row r="2307" spans="1:13" x14ac:dyDescent="0.25">
      <c r="A2307" s="1" t="s">
        <v>143</v>
      </c>
      <c r="B2307" t="s">
        <v>144</v>
      </c>
      <c r="C2307" s="1" t="s">
        <v>432</v>
      </c>
      <c r="D2307" s="1" t="s">
        <v>432</v>
      </c>
      <c r="E2307" s="1" t="s">
        <v>432</v>
      </c>
      <c r="F2307" t="s">
        <v>433</v>
      </c>
      <c r="G2307" t="s">
        <v>434</v>
      </c>
      <c r="H2307" t="s">
        <v>435</v>
      </c>
      <c r="I2307" t="s">
        <v>50</v>
      </c>
      <c r="J2307">
        <v>1.1000000000000001</v>
      </c>
      <c r="K2307" t="e">
        <f>IF(COUNTIF(#REF!,Tabela2[[#This Row],[IdxWspolny]])&gt;0,"ELEM_lub_PRD","TECHN")</f>
        <v>#REF!</v>
      </c>
      <c r="L2307" t="e">
        <f>IF(COUNTIF(#REF!,Tabela2[[#This Row],[KOD_PRODUKTU]])&gt;0,"ELEMENT","PRODUKT")</f>
        <v>#REF!</v>
      </c>
      <c r="M2307" t="e">
        <f>COUNTIF(#REF!,Tabela2[[#This Row],[KOD_PRODUKTU]])</f>
        <v>#REF!</v>
      </c>
    </row>
    <row r="2308" spans="1:13" x14ac:dyDescent="0.25">
      <c r="A2308" s="1" t="s">
        <v>143</v>
      </c>
      <c r="B2308" t="s">
        <v>144</v>
      </c>
      <c r="C2308" s="1" t="s">
        <v>7</v>
      </c>
      <c r="D2308" s="1" t="s">
        <v>7</v>
      </c>
      <c r="E2308" s="1" t="s">
        <v>7</v>
      </c>
      <c r="F2308" t="s">
        <v>8</v>
      </c>
      <c r="G2308" t="s">
        <v>9</v>
      </c>
      <c r="H2308" t="s">
        <v>10</v>
      </c>
      <c r="I2308" t="s">
        <v>33</v>
      </c>
      <c r="J2308">
        <v>9.1999999999999993</v>
      </c>
      <c r="K2308" t="e">
        <f>IF(COUNTIF(#REF!,Tabela2[[#This Row],[IdxWspolny]])&gt;0,"ELEM_lub_PRD","TECHN")</f>
        <v>#REF!</v>
      </c>
      <c r="L2308" t="e">
        <f>IF(COUNTIF(#REF!,Tabela2[[#This Row],[KOD_PRODUKTU]])&gt;0,"ELEMENT","PRODUKT")</f>
        <v>#REF!</v>
      </c>
      <c r="M2308" t="e">
        <f>COUNTIF(#REF!,Tabela2[[#This Row],[KOD_PRODUKTU]])</f>
        <v>#REF!</v>
      </c>
    </row>
    <row r="2309" spans="1:13" x14ac:dyDescent="0.25">
      <c r="A2309" s="1" t="s">
        <v>146</v>
      </c>
      <c r="B2309" t="s">
        <v>147</v>
      </c>
      <c r="C2309" s="1" t="s">
        <v>3255</v>
      </c>
      <c r="D2309" s="1" t="s">
        <v>3255</v>
      </c>
      <c r="E2309" s="1" t="s">
        <v>3255</v>
      </c>
      <c r="F2309" t="s">
        <v>3256</v>
      </c>
      <c r="G2309" t="s">
        <v>3756</v>
      </c>
      <c r="H2309" t="s">
        <v>5</v>
      </c>
      <c r="I2309" t="s">
        <v>992</v>
      </c>
      <c r="J2309">
        <v>11.85</v>
      </c>
      <c r="K2309" t="e">
        <f>IF(COUNTIF(#REF!,Tabela2[[#This Row],[IdxWspolny]])&gt;0,"ELEM_lub_PRD","TECHN")</f>
        <v>#REF!</v>
      </c>
      <c r="L2309" t="e">
        <f>IF(COUNTIF(#REF!,Tabela2[[#This Row],[KOD_PRODUKTU]])&gt;0,"ELEMENT","PRODUKT")</f>
        <v>#REF!</v>
      </c>
      <c r="M2309" t="e">
        <f>COUNTIF(#REF!,Tabela2[[#This Row],[KOD_PRODUKTU]])</f>
        <v>#REF!</v>
      </c>
    </row>
    <row r="2310" spans="1:13" x14ac:dyDescent="0.25">
      <c r="A2310" s="1" t="s">
        <v>146</v>
      </c>
      <c r="B2310" t="s">
        <v>147</v>
      </c>
      <c r="C2310" s="1" t="s">
        <v>7</v>
      </c>
      <c r="D2310" s="1" t="s">
        <v>7</v>
      </c>
      <c r="E2310" s="1" t="s">
        <v>7</v>
      </c>
      <c r="F2310" t="s">
        <v>8</v>
      </c>
      <c r="G2310" t="s">
        <v>9</v>
      </c>
      <c r="H2310" t="s">
        <v>10</v>
      </c>
      <c r="I2310" t="s">
        <v>3773</v>
      </c>
      <c r="J2310">
        <v>16.600000000000001</v>
      </c>
      <c r="K2310" t="e">
        <f>IF(COUNTIF(#REF!,Tabela2[[#This Row],[IdxWspolny]])&gt;0,"ELEM_lub_PRD","TECHN")</f>
        <v>#REF!</v>
      </c>
      <c r="L2310" t="e">
        <f>IF(COUNTIF(#REF!,Tabela2[[#This Row],[KOD_PRODUKTU]])&gt;0,"ELEMENT","PRODUKT")</f>
        <v>#REF!</v>
      </c>
      <c r="M2310" t="e">
        <f>COUNTIF(#REF!,Tabela2[[#This Row],[KOD_PRODUKTU]])</f>
        <v>#REF!</v>
      </c>
    </row>
    <row r="2311" spans="1:13" x14ac:dyDescent="0.25">
      <c r="A2311" s="1" t="s">
        <v>149</v>
      </c>
      <c r="B2311" t="s">
        <v>150</v>
      </c>
      <c r="C2311" s="1" t="s">
        <v>3774</v>
      </c>
      <c r="D2311" s="1" t="s">
        <v>3774</v>
      </c>
      <c r="E2311" s="1" t="s">
        <v>3774</v>
      </c>
      <c r="F2311" t="s">
        <v>3775</v>
      </c>
      <c r="G2311" t="s">
        <v>191</v>
      </c>
      <c r="H2311" t="s">
        <v>5</v>
      </c>
      <c r="I2311" t="s">
        <v>3776</v>
      </c>
      <c r="J2311">
        <v>0.15</v>
      </c>
      <c r="K2311" t="e">
        <f>IF(COUNTIF(#REF!,Tabela2[[#This Row],[IdxWspolny]])&gt;0,"ELEM_lub_PRD","TECHN")</f>
        <v>#REF!</v>
      </c>
      <c r="L2311" t="e">
        <f>IF(COUNTIF(#REF!,Tabela2[[#This Row],[KOD_PRODUKTU]])&gt;0,"ELEMENT","PRODUKT")</f>
        <v>#REF!</v>
      </c>
      <c r="M2311" t="e">
        <f>COUNTIF(#REF!,Tabela2[[#This Row],[KOD_PRODUKTU]])</f>
        <v>#REF!</v>
      </c>
    </row>
    <row r="2312" spans="1:13" x14ac:dyDescent="0.25">
      <c r="A2312" s="1" t="s">
        <v>149</v>
      </c>
      <c r="B2312" t="s">
        <v>150</v>
      </c>
      <c r="C2312" s="1" t="s">
        <v>7</v>
      </c>
      <c r="D2312" s="1" t="s">
        <v>7</v>
      </c>
      <c r="E2312" s="1" t="s">
        <v>7</v>
      </c>
      <c r="F2312" t="s">
        <v>8</v>
      </c>
      <c r="G2312" t="s">
        <v>9</v>
      </c>
      <c r="H2312" t="s">
        <v>10</v>
      </c>
      <c r="I2312" t="s">
        <v>3777</v>
      </c>
      <c r="J2312">
        <v>1.85</v>
      </c>
      <c r="K2312" t="e">
        <f>IF(COUNTIF(#REF!,Tabela2[[#This Row],[IdxWspolny]])&gt;0,"ELEM_lub_PRD","TECHN")</f>
        <v>#REF!</v>
      </c>
      <c r="L2312" t="e">
        <f>IF(COUNTIF(#REF!,Tabela2[[#This Row],[KOD_PRODUKTU]])&gt;0,"ELEMENT","PRODUKT")</f>
        <v>#REF!</v>
      </c>
      <c r="M2312" t="e">
        <f>COUNTIF(#REF!,Tabela2[[#This Row],[KOD_PRODUKTU]])</f>
        <v>#REF!</v>
      </c>
    </row>
    <row r="2313" spans="1:13" x14ac:dyDescent="0.25">
      <c r="A2313" s="1" t="s">
        <v>163</v>
      </c>
      <c r="B2313" t="s">
        <v>164</v>
      </c>
      <c r="C2313" s="1" t="s">
        <v>1487</v>
      </c>
      <c r="D2313" s="1" t="s">
        <v>1487</v>
      </c>
      <c r="E2313" s="1" t="s">
        <v>1487</v>
      </c>
      <c r="F2313" t="s">
        <v>1488</v>
      </c>
      <c r="G2313" t="s">
        <v>31</v>
      </c>
      <c r="H2313" t="s">
        <v>5</v>
      </c>
      <c r="I2313" t="s">
        <v>3778</v>
      </c>
      <c r="J2313">
        <v>1.1000000000000001</v>
      </c>
      <c r="K2313" t="e">
        <f>IF(COUNTIF(#REF!,Tabela2[[#This Row],[IdxWspolny]])&gt;0,"ELEM_lub_PRD","TECHN")</f>
        <v>#REF!</v>
      </c>
      <c r="L2313" t="e">
        <f>IF(COUNTIF(#REF!,Tabela2[[#This Row],[KOD_PRODUKTU]])&gt;0,"ELEMENT","PRODUKT")</f>
        <v>#REF!</v>
      </c>
      <c r="M2313" t="e">
        <f>COUNTIF(#REF!,Tabela2[[#This Row],[KOD_PRODUKTU]])</f>
        <v>#REF!</v>
      </c>
    </row>
    <row r="2314" spans="1:13" x14ac:dyDescent="0.25">
      <c r="A2314" s="1" t="s">
        <v>163</v>
      </c>
      <c r="B2314" t="s">
        <v>164</v>
      </c>
      <c r="C2314" s="1" t="s">
        <v>432</v>
      </c>
      <c r="D2314" s="1" t="s">
        <v>432</v>
      </c>
      <c r="E2314" s="1" t="s">
        <v>432</v>
      </c>
      <c r="F2314" t="s">
        <v>433</v>
      </c>
      <c r="G2314" t="s">
        <v>434</v>
      </c>
      <c r="H2314" t="s">
        <v>435</v>
      </c>
      <c r="I2314" t="s">
        <v>50</v>
      </c>
      <c r="J2314">
        <v>1.1000000000000001</v>
      </c>
      <c r="K2314" t="e">
        <f>IF(COUNTIF(#REF!,Tabela2[[#This Row],[IdxWspolny]])&gt;0,"ELEM_lub_PRD","TECHN")</f>
        <v>#REF!</v>
      </c>
      <c r="L2314" t="e">
        <f>IF(COUNTIF(#REF!,Tabela2[[#This Row],[KOD_PRODUKTU]])&gt;0,"ELEMENT","PRODUKT")</f>
        <v>#REF!</v>
      </c>
      <c r="M2314" t="e">
        <f>COUNTIF(#REF!,Tabela2[[#This Row],[KOD_PRODUKTU]])</f>
        <v>#REF!</v>
      </c>
    </row>
    <row r="2315" spans="1:13" x14ac:dyDescent="0.25">
      <c r="A2315" s="1" t="s">
        <v>163</v>
      </c>
      <c r="B2315" t="s">
        <v>164</v>
      </c>
      <c r="C2315" s="1" t="s">
        <v>7</v>
      </c>
      <c r="D2315" s="1" t="s">
        <v>7</v>
      </c>
      <c r="E2315" s="1" t="s">
        <v>7</v>
      </c>
      <c r="F2315" t="s">
        <v>1031</v>
      </c>
      <c r="G2315" t="s">
        <v>9</v>
      </c>
      <c r="H2315" t="s">
        <v>10</v>
      </c>
      <c r="I2315" t="s">
        <v>594</v>
      </c>
      <c r="J2315">
        <v>11.5</v>
      </c>
      <c r="K2315" t="e">
        <f>IF(COUNTIF(#REF!,Tabela2[[#This Row],[IdxWspolny]])&gt;0,"ELEM_lub_PRD","TECHN")</f>
        <v>#REF!</v>
      </c>
      <c r="L2315" t="e">
        <f>IF(COUNTIF(#REF!,Tabela2[[#This Row],[KOD_PRODUKTU]])&gt;0,"ELEMENT","PRODUKT")</f>
        <v>#REF!</v>
      </c>
      <c r="M2315" t="e">
        <f>COUNTIF(#REF!,Tabela2[[#This Row],[KOD_PRODUKTU]])</f>
        <v>#REF!</v>
      </c>
    </row>
    <row r="2316" spans="1:13" x14ac:dyDescent="0.25">
      <c r="A2316" s="1" t="s">
        <v>166</v>
      </c>
      <c r="B2316" t="s">
        <v>167</v>
      </c>
      <c r="C2316" s="1" t="s">
        <v>1203</v>
      </c>
      <c r="D2316" s="1" t="s">
        <v>1203</v>
      </c>
      <c r="E2316" s="1" t="s">
        <v>1203</v>
      </c>
      <c r="F2316" t="s">
        <v>1204</v>
      </c>
      <c r="G2316" t="s">
        <v>1232</v>
      </c>
      <c r="H2316" t="s">
        <v>5</v>
      </c>
      <c r="I2316" t="s">
        <v>2127</v>
      </c>
      <c r="J2316">
        <v>0.5</v>
      </c>
      <c r="K2316" t="e">
        <f>IF(COUNTIF(#REF!,Tabela2[[#This Row],[IdxWspolny]])&gt;0,"ELEM_lub_PRD","TECHN")</f>
        <v>#REF!</v>
      </c>
      <c r="L2316" t="e">
        <f>IF(COUNTIF(#REF!,Tabela2[[#This Row],[KOD_PRODUKTU]])&gt;0,"ELEMENT","PRODUKT")</f>
        <v>#REF!</v>
      </c>
      <c r="M2316" t="e">
        <f>COUNTIF(#REF!,Tabela2[[#This Row],[KOD_PRODUKTU]])</f>
        <v>#REF!</v>
      </c>
    </row>
    <row r="2317" spans="1:13" x14ac:dyDescent="0.25">
      <c r="A2317" s="1" t="s">
        <v>166</v>
      </c>
      <c r="B2317" t="s">
        <v>167</v>
      </c>
      <c r="C2317" s="1" t="s">
        <v>432</v>
      </c>
      <c r="D2317" s="1" t="s">
        <v>432</v>
      </c>
      <c r="E2317" s="1" t="s">
        <v>432</v>
      </c>
      <c r="F2317" t="s">
        <v>433</v>
      </c>
      <c r="G2317" t="s">
        <v>434</v>
      </c>
      <c r="H2317" t="s">
        <v>435</v>
      </c>
      <c r="I2317" t="s">
        <v>50</v>
      </c>
      <c r="J2317">
        <v>1.1000000000000001</v>
      </c>
      <c r="K2317" t="e">
        <f>IF(COUNTIF(#REF!,Tabela2[[#This Row],[IdxWspolny]])&gt;0,"ELEM_lub_PRD","TECHN")</f>
        <v>#REF!</v>
      </c>
      <c r="L2317" t="e">
        <f>IF(COUNTIF(#REF!,Tabela2[[#This Row],[KOD_PRODUKTU]])&gt;0,"ELEMENT","PRODUKT")</f>
        <v>#REF!</v>
      </c>
      <c r="M2317" t="e">
        <f>COUNTIF(#REF!,Tabela2[[#This Row],[KOD_PRODUKTU]])</f>
        <v>#REF!</v>
      </c>
    </row>
    <row r="2318" spans="1:13" x14ac:dyDescent="0.25">
      <c r="A2318" s="1" t="s">
        <v>166</v>
      </c>
      <c r="B2318" t="s">
        <v>167</v>
      </c>
      <c r="C2318" s="1" t="s">
        <v>7</v>
      </c>
      <c r="D2318" s="1" t="s">
        <v>7</v>
      </c>
      <c r="E2318" s="1" t="s">
        <v>7</v>
      </c>
      <c r="F2318" t="s">
        <v>8</v>
      </c>
      <c r="G2318" t="s">
        <v>9</v>
      </c>
      <c r="H2318" t="s">
        <v>10</v>
      </c>
      <c r="I2318" t="s">
        <v>3779</v>
      </c>
      <c r="J2318">
        <v>6.75</v>
      </c>
      <c r="K2318" t="e">
        <f>IF(COUNTIF(#REF!,Tabela2[[#This Row],[IdxWspolny]])&gt;0,"ELEM_lub_PRD","TECHN")</f>
        <v>#REF!</v>
      </c>
      <c r="L2318" t="e">
        <f>IF(COUNTIF(#REF!,Tabela2[[#This Row],[KOD_PRODUKTU]])&gt;0,"ELEMENT","PRODUKT")</f>
        <v>#REF!</v>
      </c>
      <c r="M2318" t="e">
        <f>COUNTIF(#REF!,Tabela2[[#This Row],[KOD_PRODUKTU]])</f>
        <v>#REF!</v>
      </c>
    </row>
    <row r="2319" spans="1:13" x14ac:dyDescent="0.25">
      <c r="A2319" s="1" t="s">
        <v>169</v>
      </c>
      <c r="B2319" t="s">
        <v>170</v>
      </c>
      <c r="C2319" s="1" t="s">
        <v>3780</v>
      </c>
      <c r="D2319" s="1" t="s">
        <v>3780</v>
      </c>
      <c r="E2319" s="1" t="s">
        <v>3780</v>
      </c>
      <c r="F2319" t="s">
        <v>3781</v>
      </c>
      <c r="G2319" t="s">
        <v>3586</v>
      </c>
      <c r="H2319" t="s">
        <v>5</v>
      </c>
      <c r="I2319" t="s">
        <v>3782</v>
      </c>
      <c r="J2319">
        <v>1.3</v>
      </c>
      <c r="K2319" t="e">
        <f>IF(COUNTIF(#REF!,Tabela2[[#This Row],[IdxWspolny]])&gt;0,"ELEM_lub_PRD","TECHN")</f>
        <v>#REF!</v>
      </c>
      <c r="L2319" t="e">
        <f>IF(COUNTIF(#REF!,Tabela2[[#This Row],[KOD_PRODUKTU]])&gt;0,"ELEMENT","PRODUKT")</f>
        <v>#REF!</v>
      </c>
      <c r="M2319" t="e">
        <f>COUNTIF(#REF!,Tabela2[[#This Row],[KOD_PRODUKTU]])</f>
        <v>#REF!</v>
      </c>
    </row>
    <row r="2320" spans="1:13" x14ac:dyDescent="0.25">
      <c r="A2320" s="1" t="s">
        <v>169</v>
      </c>
      <c r="B2320" t="s">
        <v>170</v>
      </c>
      <c r="C2320" s="1" t="s">
        <v>432</v>
      </c>
      <c r="D2320" s="1" t="s">
        <v>432</v>
      </c>
      <c r="E2320" s="1" t="s">
        <v>432</v>
      </c>
      <c r="F2320" t="s">
        <v>433</v>
      </c>
      <c r="G2320" t="s">
        <v>434</v>
      </c>
      <c r="H2320" t="s">
        <v>435</v>
      </c>
      <c r="I2320" t="s">
        <v>50</v>
      </c>
      <c r="J2320">
        <v>1.1000000000000001</v>
      </c>
      <c r="K2320" t="e">
        <f>IF(COUNTIF(#REF!,Tabela2[[#This Row],[IdxWspolny]])&gt;0,"ELEM_lub_PRD","TECHN")</f>
        <v>#REF!</v>
      </c>
      <c r="L2320" t="e">
        <f>IF(COUNTIF(#REF!,Tabela2[[#This Row],[KOD_PRODUKTU]])&gt;0,"ELEMENT","PRODUKT")</f>
        <v>#REF!</v>
      </c>
      <c r="M2320" t="e">
        <f>COUNTIF(#REF!,Tabela2[[#This Row],[KOD_PRODUKTU]])</f>
        <v>#REF!</v>
      </c>
    </row>
    <row r="2321" spans="1:13" x14ac:dyDescent="0.25">
      <c r="A2321" s="1" t="s">
        <v>169</v>
      </c>
      <c r="B2321" t="s">
        <v>170</v>
      </c>
      <c r="C2321" s="1" t="s">
        <v>7</v>
      </c>
      <c r="D2321" s="1" t="s">
        <v>7</v>
      </c>
      <c r="E2321" s="1" t="s">
        <v>7</v>
      </c>
      <c r="F2321" t="s">
        <v>8</v>
      </c>
      <c r="G2321" t="s">
        <v>9</v>
      </c>
      <c r="H2321" t="s">
        <v>10</v>
      </c>
      <c r="I2321" t="s">
        <v>3783</v>
      </c>
      <c r="J2321">
        <v>14.55</v>
      </c>
      <c r="K2321" t="e">
        <f>IF(COUNTIF(#REF!,Tabela2[[#This Row],[IdxWspolny]])&gt;0,"ELEM_lub_PRD","TECHN")</f>
        <v>#REF!</v>
      </c>
      <c r="L2321" t="e">
        <f>IF(COUNTIF(#REF!,Tabela2[[#This Row],[KOD_PRODUKTU]])&gt;0,"ELEMENT","PRODUKT")</f>
        <v>#REF!</v>
      </c>
      <c r="M2321" t="e">
        <f>COUNTIF(#REF!,Tabela2[[#This Row],[KOD_PRODUKTU]])</f>
        <v>#REF!</v>
      </c>
    </row>
    <row r="2322" spans="1:13" x14ac:dyDescent="0.25">
      <c r="A2322" s="1" t="s">
        <v>172</v>
      </c>
      <c r="B2322" t="s">
        <v>173</v>
      </c>
      <c r="C2322" s="1" t="s">
        <v>2</v>
      </c>
      <c r="D2322" s="1" t="s">
        <v>2</v>
      </c>
      <c r="E2322" s="1" t="s">
        <v>2</v>
      </c>
      <c r="F2322" t="s">
        <v>3</v>
      </c>
      <c r="G2322" t="s">
        <v>4</v>
      </c>
      <c r="H2322" t="s">
        <v>5</v>
      </c>
      <c r="I2322" t="s">
        <v>3784</v>
      </c>
      <c r="J2322">
        <v>0.5</v>
      </c>
      <c r="K2322" t="e">
        <f>IF(COUNTIF(#REF!,Tabela2[[#This Row],[IdxWspolny]])&gt;0,"ELEM_lub_PRD","TECHN")</f>
        <v>#REF!</v>
      </c>
      <c r="L2322" t="e">
        <f>IF(COUNTIF(#REF!,Tabela2[[#This Row],[KOD_PRODUKTU]])&gt;0,"ELEMENT","PRODUKT")</f>
        <v>#REF!</v>
      </c>
      <c r="M2322" t="e">
        <f>COUNTIF(#REF!,Tabela2[[#This Row],[KOD_PRODUKTU]])</f>
        <v>#REF!</v>
      </c>
    </row>
    <row r="2323" spans="1:13" x14ac:dyDescent="0.25">
      <c r="A2323" s="1" t="s">
        <v>172</v>
      </c>
      <c r="B2323" t="s">
        <v>173</v>
      </c>
      <c r="C2323" s="1" t="s">
        <v>432</v>
      </c>
      <c r="D2323" s="1" t="s">
        <v>432</v>
      </c>
      <c r="E2323" s="1" t="s">
        <v>432</v>
      </c>
      <c r="F2323" t="s">
        <v>433</v>
      </c>
      <c r="G2323" t="s">
        <v>434</v>
      </c>
      <c r="H2323" t="s">
        <v>435</v>
      </c>
      <c r="I2323" t="s">
        <v>50</v>
      </c>
      <c r="J2323">
        <v>1.1000000000000001</v>
      </c>
      <c r="K2323" t="e">
        <f>IF(COUNTIF(#REF!,Tabela2[[#This Row],[IdxWspolny]])&gt;0,"ELEM_lub_PRD","TECHN")</f>
        <v>#REF!</v>
      </c>
      <c r="L2323" t="e">
        <f>IF(COUNTIF(#REF!,Tabela2[[#This Row],[KOD_PRODUKTU]])&gt;0,"ELEMENT","PRODUKT")</f>
        <v>#REF!</v>
      </c>
      <c r="M2323" t="e">
        <f>COUNTIF(#REF!,Tabela2[[#This Row],[KOD_PRODUKTU]])</f>
        <v>#REF!</v>
      </c>
    </row>
    <row r="2324" spans="1:13" x14ac:dyDescent="0.25">
      <c r="A2324" s="1" t="s">
        <v>172</v>
      </c>
      <c r="B2324" t="s">
        <v>173</v>
      </c>
      <c r="C2324" s="1" t="s">
        <v>7</v>
      </c>
      <c r="D2324" s="1" t="s">
        <v>7</v>
      </c>
      <c r="E2324" s="1" t="s">
        <v>7</v>
      </c>
      <c r="F2324" t="s">
        <v>8</v>
      </c>
      <c r="G2324" t="s">
        <v>9</v>
      </c>
      <c r="H2324" t="s">
        <v>10</v>
      </c>
      <c r="I2324" t="s">
        <v>1384</v>
      </c>
      <c r="J2324">
        <v>4.8499999999999996</v>
      </c>
      <c r="K2324" t="e">
        <f>IF(COUNTIF(#REF!,Tabela2[[#This Row],[IdxWspolny]])&gt;0,"ELEM_lub_PRD","TECHN")</f>
        <v>#REF!</v>
      </c>
      <c r="L2324" t="e">
        <f>IF(COUNTIF(#REF!,Tabela2[[#This Row],[KOD_PRODUKTU]])&gt;0,"ELEMENT","PRODUKT")</f>
        <v>#REF!</v>
      </c>
      <c r="M2324" t="e">
        <f>COUNTIF(#REF!,Tabela2[[#This Row],[KOD_PRODUKTU]])</f>
        <v>#REF!</v>
      </c>
    </row>
    <row r="2325" spans="1:13" x14ac:dyDescent="0.25">
      <c r="A2325" s="1" t="s">
        <v>172</v>
      </c>
      <c r="B2325" t="s">
        <v>173</v>
      </c>
      <c r="C2325" s="1" t="s">
        <v>7</v>
      </c>
      <c r="D2325" s="1" t="s">
        <v>7</v>
      </c>
      <c r="E2325" s="1" t="s">
        <v>7</v>
      </c>
      <c r="F2325" t="s">
        <v>8</v>
      </c>
      <c r="G2325" t="s">
        <v>9</v>
      </c>
      <c r="H2325" t="s">
        <v>10</v>
      </c>
      <c r="I2325" t="s">
        <v>1791</v>
      </c>
      <c r="J2325">
        <v>2.4500000000000002</v>
      </c>
      <c r="K2325" t="e">
        <f>IF(COUNTIF(#REF!,Tabela2[[#This Row],[IdxWspolny]])&gt;0,"ELEM_lub_PRD","TECHN")</f>
        <v>#REF!</v>
      </c>
      <c r="L2325" t="e">
        <f>IF(COUNTIF(#REF!,Tabela2[[#This Row],[KOD_PRODUKTU]])&gt;0,"ELEMENT","PRODUKT")</f>
        <v>#REF!</v>
      </c>
      <c r="M2325" t="e">
        <f>COUNTIF(#REF!,Tabela2[[#This Row],[KOD_PRODUKTU]])</f>
        <v>#REF!</v>
      </c>
    </row>
    <row r="2326" spans="1:13" x14ac:dyDescent="0.25">
      <c r="A2326" s="1" t="s">
        <v>174</v>
      </c>
      <c r="B2326" t="s">
        <v>175</v>
      </c>
      <c r="C2326" s="1" t="s">
        <v>1203</v>
      </c>
      <c r="D2326" s="1" t="s">
        <v>1203</v>
      </c>
      <c r="E2326" s="1" t="s">
        <v>1203</v>
      </c>
      <c r="F2326" t="s">
        <v>1204</v>
      </c>
      <c r="G2326" t="s">
        <v>1232</v>
      </c>
      <c r="H2326" t="s">
        <v>5</v>
      </c>
      <c r="I2326" t="s">
        <v>3785</v>
      </c>
      <c r="J2326">
        <v>0.2</v>
      </c>
      <c r="K2326" t="e">
        <f>IF(COUNTIF(#REF!,Tabela2[[#This Row],[IdxWspolny]])&gt;0,"ELEM_lub_PRD","TECHN")</f>
        <v>#REF!</v>
      </c>
      <c r="L2326" t="e">
        <f>IF(COUNTIF(#REF!,Tabela2[[#This Row],[KOD_PRODUKTU]])&gt;0,"ELEMENT","PRODUKT")</f>
        <v>#REF!</v>
      </c>
      <c r="M2326" t="e">
        <f>COUNTIF(#REF!,Tabela2[[#This Row],[KOD_PRODUKTU]])</f>
        <v>#REF!</v>
      </c>
    </row>
    <row r="2327" spans="1:13" x14ac:dyDescent="0.25">
      <c r="A2327" s="1" t="s">
        <v>174</v>
      </c>
      <c r="B2327" t="s">
        <v>175</v>
      </c>
      <c r="C2327" s="1" t="s">
        <v>432</v>
      </c>
      <c r="D2327" s="1" t="s">
        <v>432</v>
      </c>
      <c r="E2327" s="1" t="s">
        <v>432</v>
      </c>
      <c r="F2327" t="s">
        <v>433</v>
      </c>
      <c r="G2327" t="s">
        <v>434</v>
      </c>
      <c r="H2327" t="s">
        <v>435</v>
      </c>
      <c r="I2327" t="s">
        <v>50</v>
      </c>
      <c r="J2327">
        <v>1.1000000000000001</v>
      </c>
      <c r="K2327" t="e">
        <f>IF(COUNTIF(#REF!,Tabela2[[#This Row],[IdxWspolny]])&gt;0,"ELEM_lub_PRD","TECHN")</f>
        <v>#REF!</v>
      </c>
      <c r="L2327" t="e">
        <f>IF(COUNTIF(#REF!,Tabela2[[#This Row],[KOD_PRODUKTU]])&gt;0,"ELEMENT","PRODUKT")</f>
        <v>#REF!</v>
      </c>
      <c r="M2327" t="e">
        <f>COUNTIF(#REF!,Tabela2[[#This Row],[KOD_PRODUKTU]])</f>
        <v>#REF!</v>
      </c>
    </row>
    <row r="2328" spans="1:13" x14ac:dyDescent="0.25">
      <c r="A2328" s="1" t="s">
        <v>174</v>
      </c>
      <c r="B2328" t="s">
        <v>175</v>
      </c>
      <c r="C2328" s="1" t="s">
        <v>7</v>
      </c>
      <c r="D2328" s="1" t="s">
        <v>7</v>
      </c>
      <c r="E2328" s="1" t="s">
        <v>7</v>
      </c>
      <c r="F2328" t="s">
        <v>8</v>
      </c>
      <c r="G2328" t="s">
        <v>9</v>
      </c>
      <c r="H2328" t="s">
        <v>10</v>
      </c>
      <c r="I2328" t="s">
        <v>367</v>
      </c>
      <c r="J2328">
        <v>2.2999999999999998</v>
      </c>
      <c r="K2328" t="e">
        <f>IF(COUNTIF(#REF!,Tabela2[[#This Row],[IdxWspolny]])&gt;0,"ELEM_lub_PRD","TECHN")</f>
        <v>#REF!</v>
      </c>
      <c r="L2328" t="e">
        <f>IF(COUNTIF(#REF!,Tabela2[[#This Row],[KOD_PRODUKTU]])&gt;0,"ELEMENT","PRODUKT")</f>
        <v>#REF!</v>
      </c>
      <c r="M2328" t="e">
        <f>COUNTIF(#REF!,Tabela2[[#This Row],[KOD_PRODUKTU]])</f>
        <v>#REF!</v>
      </c>
    </row>
    <row r="2329" spans="1:13" x14ac:dyDescent="0.25">
      <c r="A2329" s="1" t="s">
        <v>177</v>
      </c>
      <c r="B2329" t="s">
        <v>178</v>
      </c>
      <c r="C2329" s="1" t="s">
        <v>3786</v>
      </c>
      <c r="D2329" s="1" t="s">
        <v>3786</v>
      </c>
      <c r="E2329" s="1" t="s">
        <v>3786</v>
      </c>
      <c r="F2329" t="s">
        <v>3787</v>
      </c>
      <c r="G2329" t="s">
        <v>117</v>
      </c>
      <c r="H2329" t="s">
        <v>5</v>
      </c>
      <c r="I2329" t="s">
        <v>1772</v>
      </c>
      <c r="J2329">
        <v>0.3</v>
      </c>
      <c r="K2329" t="e">
        <f>IF(COUNTIF(#REF!,Tabela2[[#This Row],[IdxWspolny]])&gt;0,"ELEM_lub_PRD","TECHN")</f>
        <v>#REF!</v>
      </c>
      <c r="L2329" t="e">
        <f>IF(COUNTIF(#REF!,Tabela2[[#This Row],[KOD_PRODUKTU]])&gt;0,"ELEMENT","PRODUKT")</f>
        <v>#REF!</v>
      </c>
      <c r="M2329" t="e">
        <f>COUNTIF(#REF!,Tabela2[[#This Row],[KOD_PRODUKTU]])</f>
        <v>#REF!</v>
      </c>
    </row>
    <row r="2330" spans="1:13" x14ac:dyDescent="0.25">
      <c r="A2330" s="1" t="s">
        <v>177</v>
      </c>
      <c r="B2330" t="s">
        <v>178</v>
      </c>
      <c r="C2330" s="1" t="s">
        <v>7</v>
      </c>
      <c r="D2330" s="1" t="s">
        <v>7</v>
      </c>
      <c r="E2330" s="1" t="s">
        <v>7</v>
      </c>
      <c r="F2330" t="s">
        <v>8</v>
      </c>
      <c r="G2330" t="s">
        <v>9</v>
      </c>
      <c r="H2330" t="s">
        <v>10</v>
      </c>
      <c r="I2330" t="s">
        <v>3788</v>
      </c>
      <c r="J2330">
        <v>2.35</v>
      </c>
      <c r="K2330" t="e">
        <f>IF(COUNTIF(#REF!,Tabela2[[#This Row],[IdxWspolny]])&gt;0,"ELEM_lub_PRD","TECHN")</f>
        <v>#REF!</v>
      </c>
      <c r="L2330" t="e">
        <f>IF(COUNTIF(#REF!,Tabela2[[#This Row],[KOD_PRODUKTU]])&gt;0,"ELEMENT","PRODUKT")</f>
        <v>#REF!</v>
      </c>
      <c r="M2330" t="e">
        <f>COUNTIF(#REF!,Tabela2[[#This Row],[KOD_PRODUKTU]])</f>
        <v>#REF!</v>
      </c>
    </row>
    <row r="2331" spans="1:13" x14ac:dyDescent="0.25">
      <c r="A2331" s="1" t="s">
        <v>180</v>
      </c>
      <c r="B2331" t="s">
        <v>181</v>
      </c>
      <c r="C2331" s="1" t="s">
        <v>3510</v>
      </c>
      <c r="D2331" s="1" t="s">
        <v>3510</v>
      </c>
      <c r="E2331" s="1" t="s">
        <v>3510</v>
      </c>
      <c r="F2331" t="s">
        <v>3511</v>
      </c>
      <c r="G2331" t="s">
        <v>1017</v>
      </c>
      <c r="H2331" t="s">
        <v>5</v>
      </c>
      <c r="I2331" t="s">
        <v>3789</v>
      </c>
      <c r="J2331">
        <v>4.0999999999999996</v>
      </c>
      <c r="K2331" t="e">
        <f>IF(COUNTIF(#REF!,Tabela2[[#This Row],[IdxWspolny]])&gt;0,"ELEM_lub_PRD","TECHN")</f>
        <v>#REF!</v>
      </c>
      <c r="L2331" t="e">
        <f>IF(COUNTIF(#REF!,Tabela2[[#This Row],[KOD_PRODUKTU]])&gt;0,"ELEMENT","PRODUKT")</f>
        <v>#REF!</v>
      </c>
      <c r="M2331" t="e">
        <f>COUNTIF(#REF!,Tabela2[[#This Row],[KOD_PRODUKTU]])</f>
        <v>#REF!</v>
      </c>
    </row>
    <row r="2332" spans="1:13" x14ac:dyDescent="0.25">
      <c r="A2332" s="1" t="s">
        <v>180</v>
      </c>
      <c r="B2332" t="s">
        <v>181</v>
      </c>
      <c r="C2332" s="1" t="s">
        <v>7</v>
      </c>
      <c r="D2332" s="1" t="s">
        <v>7</v>
      </c>
      <c r="E2332" s="1" t="s">
        <v>7</v>
      </c>
      <c r="F2332" t="s">
        <v>8</v>
      </c>
      <c r="G2332" t="s">
        <v>9</v>
      </c>
      <c r="H2332" t="s">
        <v>10</v>
      </c>
      <c r="I2332" t="s">
        <v>1604</v>
      </c>
      <c r="J2332">
        <v>9.6999999999999993</v>
      </c>
      <c r="K2332" t="e">
        <f>IF(COUNTIF(#REF!,Tabela2[[#This Row],[IdxWspolny]])&gt;0,"ELEM_lub_PRD","TECHN")</f>
        <v>#REF!</v>
      </c>
      <c r="L2332" t="e">
        <f>IF(COUNTIF(#REF!,Tabela2[[#This Row],[KOD_PRODUKTU]])&gt;0,"ELEMENT","PRODUKT")</f>
        <v>#REF!</v>
      </c>
      <c r="M2332" t="e">
        <f>COUNTIF(#REF!,Tabela2[[#This Row],[KOD_PRODUKTU]])</f>
        <v>#REF!</v>
      </c>
    </row>
    <row r="2333" spans="1:13" x14ac:dyDescent="0.25">
      <c r="A2333" s="1" t="s">
        <v>183</v>
      </c>
      <c r="B2333" t="s">
        <v>184</v>
      </c>
      <c r="C2333" s="1" t="s">
        <v>3790</v>
      </c>
      <c r="D2333" s="1" t="s">
        <v>3790</v>
      </c>
      <c r="E2333" s="1" t="s">
        <v>3790</v>
      </c>
      <c r="F2333" t="s">
        <v>3791</v>
      </c>
      <c r="G2333" t="s">
        <v>1017</v>
      </c>
      <c r="H2333" t="s">
        <v>5</v>
      </c>
      <c r="I2333" t="s">
        <v>3792</v>
      </c>
      <c r="J2333">
        <v>1.5</v>
      </c>
      <c r="K2333" t="e">
        <f>IF(COUNTIF(#REF!,Tabela2[[#This Row],[IdxWspolny]])&gt;0,"ELEM_lub_PRD","TECHN")</f>
        <v>#REF!</v>
      </c>
      <c r="L2333" t="e">
        <f>IF(COUNTIF(#REF!,Tabela2[[#This Row],[KOD_PRODUKTU]])&gt;0,"ELEMENT","PRODUKT")</f>
        <v>#REF!</v>
      </c>
      <c r="M2333" t="e">
        <f>COUNTIF(#REF!,Tabela2[[#This Row],[KOD_PRODUKTU]])</f>
        <v>#REF!</v>
      </c>
    </row>
    <row r="2334" spans="1:13" x14ac:dyDescent="0.25">
      <c r="A2334" s="1" t="s">
        <v>183</v>
      </c>
      <c r="B2334" t="s">
        <v>184</v>
      </c>
      <c r="C2334" s="1" t="s">
        <v>7</v>
      </c>
      <c r="D2334" s="1" t="s">
        <v>7</v>
      </c>
      <c r="E2334" s="1" t="s">
        <v>7</v>
      </c>
      <c r="F2334" t="s">
        <v>8</v>
      </c>
      <c r="G2334" t="s">
        <v>9</v>
      </c>
      <c r="H2334" t="s">
        <v>10</v>
      </c>
      <c r="I2334" t="s">
        <v>2518</v>
      </c>
      <c r="J2334">
        <v>2.4</v>
      </c>
      <c r="K2334" t="e">
        <f>IF(COUNTIF(#REF!,Tabela2[[#This Row],[IdxWspolny]])&gt;0,"ELEM_lub_PRD","TECHN")</f>
        <v>#REF!</v>
      </c>
      <c r="L2334" t="e">
        <f>IF(COUNTIF(#REF!,Tabela2[[#This Row],[KOD_PRODUKTU]])&gt;0,"ELEMENT","PRODUKT")</f>
        <v>#REF!</v>
      </c>
      <c r="M2334" t="e">
        <f>COUNTIF(#REF!,Tabela2[[#This Row],[KOD_PRODUKTU]])</f>
        <v>#REF!</v>
      </c>
    </row>
    <row r="2335" spans="1:13" x14ac:dyDescent="0.25">
      <c r="A2335" s="1" t="s">
        <v>186</v>
      </c>
      <c r="B2335" t="s">
        <v>187</v>
      </c>
      <c r="C2335" s="1" t="s">
        <v>3793</v>
      </c>
      <c r="D2335" s="1" t="s">
        <v>3793</v>
      </c>
      <c r="E2335" s="1" t="s">
        <v>3793</v>
      </c>
      <c r="F2335" t="s">
        <v>3794</v>
      </c>
      <c r="G2335" t="s">
        <v>3795</v>
      </c>
      <c r="H2335" t="s">
        <v>5</v>
      </c>
      <c r="I2335" t="s">
        <v>3796</v>
      </c>
      <c r="J2335">
        <v>1.1499999999999999</v>
      </c>
      <c r="K2335" t="e">
        <f>IF(COUNTIF(#REF!,Tabela2[[#This Row],[IdxWspolny]])&gt;0,"ELEM_lub_PRD","TECHN")</f>
        <v>#REF!</v>
      </c>
      <c r="L2335" t="e">
        <f>IF(COUNTIF(#REF!,Tabela2[[#This Row],[KOD_PRODUKTU]])&gt;0,"ELEMENT","PRODUKT")</f>
        <v>#REF!</v>
      </c>
      <c r="M2335" t="e">
        <f>COUNTIF(#REF!,Tabela2[[#This Row],[KOD_PRODUKTU]])</f>
        <v>#REF!</v>
      </c>
    </row>
    <row r="2336" spans="1:13" x14ac:dyDescent="0.25">
      <c r="A2336" s="1" t="s">
        <v>186</v>
      </c>
      <c r="B2336" t="s">
        <v>187</v>
      </c>
      <c r="C2336" s="1" t="s">
        <v>7</v>
      </c>
      <c r="D2336" s="1" t="s">
        <v>7</v>
      </c>
      <c r="E2336" s="1" t="s">
        <v>7</v>
      </c>
      <c r="F2336" t="s">
        <v>8</v>
      </c>
      <c r="G2336" t="s">
        <v>9</v>
      </c>
      <c r="H2336" t="s">
        <v>10</v>
      </c>
      <c r="I2336" t="s">
        <v>3797</v>
      </c>
      <c r="J2336">
        <v>7.25</v>
      </c>
      <c r="K2336" t="e">
        <f>IF(COUNTIF(#REF!,Tabela2[[#This Row],[IdxWspolny]])&gt;0,"ELEM_lub_PRD","TECHN")</f>
        <v>#REF!</v>
      </c>
      <c r="L2336" t="e">
        <f>IF(COUNTIF(#REF!,Tabela2[[#This Row],[KOD_PRODUKTU]])&gt;0,"ELEMENT","PRODUKT")</f>
        <v>#REF!</v>
      </c>
      <c r="M2336" t="e">
        <f>COUNTIF(#REF!,Tabela2[[#This Row],[KOD_PRODUKTU]])</f>
        <v>#REF!</v>
      </c>
    </row>
    <row r="2337" spans="1:13" x14ac:dyDescent="0.25">
      <c r="A2337" s="1" t="s">
        <v>189</v>
      </c>
      <c r="B2337" t="s">
        <v>190</v>
      </c>
      <c r="C2337" s="1" t="s">
        <v>1743</v>
      </c>
      <c r="D2337" s="1" t="s">
        <v>1743</v>
      </c>
      <c r="E2337" s="1" t="s">
        <v>1743</v>
      </c>
      <c r="F2337" t="s">
        <v>1744</v>
      </c>
      <c r="G2337" t="s">
        <v>1354</v>
      </c>
      <c r="H2337" t="s">
        <v>5</v>
      </c>
      <c r="I2337" t="s">
        <v>3798</v>
      </c>
      <c r="J2337">
        <v>5.65</v>
      </c>
      <c r="K2337" t="e">
        <f>IF(COUNTIF(#REF!,Tabela2[[#This Row],[IdxWspolny]])&gt;0,"ELEM_lub_PRD","TECHN")</f>
        <v>#REF!</v>
      </c>
      <c r="L2337" t="e">
        <f>IF(COUNTIF(#REF!,Tabela2[[#This Row],[KOD_PRODUKTU]])&gt;0,"ELEMENT","PRODUKT")</f>
        <v>#REF!</v>
      </c>
      <c r="M2337" t="e">
        <f>COUNTIF(#REF!,Tabela2[[#This Row],[KOD_PRODUKTU]])</f>
        <v>#REF!</v>
      </c>
    </row>
    <row r="2338" spans="1:13" x14ac:dyDescent="0.25">
      <c r="A2338" s="1" t="s">
        <v>189</v>
      </c>
      <c r="B2338" t="s">
        <v>190</v>
      </c>
      <c r="C2338" s="1" t="s">
        <v>7</v>
      </c>
      <c r="D2338" s="1" t="s">
        <v>7</v>
      </c>
      <c r="E2338" s="1" t="s">
        <v>7</v>
      </c>
      <c r="F2338" t="s">
        <v>8</v>
      </c>
      <c r="G2338" t="s">
        <v>9</v>
      </c>
      <c r="H2338" t="s">
        <v>10</v>
      </c>
      <c r="I2338" t="s">
        <v>1755</v>
      </c>
      <c r="J2338">
        <v>7.15</v>
      </c>
      <c r="K2338" t="e">
        <f>IF(COUNTIF(#REF!,Tabela2[[#This Row],[IdxWspolny]])&gt;0,"ELEM_lub_PRD","TECHN")</f>
        <v>#REF!</v>
      </c>
      <c r="L2338" t="e">
        <f>IF(COUNTIF(#REF!,Tabela2[[#This Row],[KOD_PRODUKTU]])&gt;0,"ELEMENT","PRODUKT")</f>
        <v>#REF!</v>
      </c>
      <c r="M2338" t="e">
        <f>COUNTIF(#REF!,Tabela2[[#This Row],[KOD_PRODUKTU]])</f>
        <v>#REF!</v>
      </c>
    </row>
    <row r="2339" spans="1:13" x14ac:dyDescent="0.25">
      <c r="A2339" s="1" t="s">
        <v>3799</v>
      </c>
      <c r="B2339" t="s">
        <v>3800</v>
      </c>
      <c r="C2339" s="1" t="s">
        <v>1203</v>
      </c>
      <c r="D2339" s="1" t="s">
        <v>1203</v>
      </c>
      <c r="E2339" s="1" t="s">
        <v>1203</v>
      </c>
      <c r="F2339" t="s">
        <v>1204</v>
      </c>
      <c r="G2339" t="s">
        <v>216</v>
      </c>
      <c r="H2339" t="s">
        <v>5</v>
      </c>
      <c r="I2339" t="s">
        <v>3801</v>
      </c>
      <c r="J2339">
        <v>0.15</v>
      </c>
      <c r="K2339" t="e">
        <f>IF(COUNTIF(#REF!,Tabela2[[#This Row],[IdxWspolny]])&gt;0,"ELEM_lub_PRD","TECHN")</f>
        <v>#REF!</v>
      </c>
      <c r="L2339" t="e">
        <f>IF(COUNTIF(#REF!,Tabela2[[#This Row],[KOD_PRODUKTU]])&gt;0,"ELEMENT","PRODUKT")</f>
        <v>#REF!</v>
      </c>
      <c r="M2339" t="e">
        <f>COUNTIF(#REF!,Tabela2[[#This Row],[KOD_PRODUKTU]])</f>
        <v>#REF!</v>
      </c>
    </row>
    <row r="2340" spans="1:13" x14ac:dyDescent="0.25">
      <c r="A2340" s="1" t="s">
        <v>3799</v>
      </c>
      <c r="B2340" t="s">
        <v>3800</v>
      </c>
      <c r="C2340" s="1" t="s">
        <v>432</v>
      </c>
      <c r="D2340" s="1" t="s">
        <v>432</v>
      </c>
      <c r="E2340" s="1" t="s">
        <v>432</v>
      </c>
      <c r="F2340" t="s">
        <v>433</v>
      </c>
      <c r="G2340" t="s">
        <v>434</v>
      </c>
      <c r="H2340" t="s">
        <v>435</v>
      </c>
      <c r="I2340" t="s">
        <v>50</v>
      </c>
      <c r="J2340">
        <v>1.1000000000000001</v>
      </c>
      <c r="K2340" t="e">
        <f>IF(COUNTIF(#REF!,Tabela2[[#This Row],[IdxWspolny]])&gt;0,"ELEM_lub_PRD","TECHN")</f>
        <v>#REF!</v>
      </c>
      <c r="L2340" t="e">
        <f>IF(COUNTIF(#REF!,Tabela2[[#This Row],[KOD_PRODUKTU]])&gt;0,"ELEMENT","PRODUKT")</f>
        <v>#REF!</v>
      </c>
      <c r="M2340" t="e">
        <f>COUNTIF(#REF!,Tabela2[[#This Row],[KOD_PRODUKTU]])</f>
        <v>#REF!</v>
      </c>
    </row>
    <row r="2341" spans="1:13" x14ac:dyDescent="0.25">
      <c r="A2341" s="1" t="s">
        <v>3799</v>
      </c>
      <c r="B2341" t="s">
        <v>3800</v>
      </c>
      <c r="C2341" s="1" t="s">
        <v>7</v>
      </c>
      <c r="D2341" s="1" t="s">
        <v>7</v>
      </c>
      <c r="E2341" s="1" t="s">
        <v>7</v>
      </c>
      <c r="F2341" t="s">
        <v>8</v>
      </c>
      <c r="G2341" t="s">
        <v>9</v>
      </c>
      <c r="H2341" t="s">
        <v>10</v>
      </c>
      <c r="I2341" t="s">
        <v>367</v>
      </c>
      <c r="J2341">
        <v>2.2999999999999998</v>
      </c>
      <c r="K2341" t="e">
        <f>IF(COUNTIF(#REF!,Tabela2[[#This Row],[IdxWspolny]])&gt;0,"ELEM_lub_PRD","TECHN")</f>
        <v>#REF!</v>
      </c>
      <c r="L2341" t="e">
        <f>IF(COUNTIF(#REF!,Tabela2[[#This Row],[KOD_PRODUKTU]])&gt;0,"ELEMENT","PRODUKT")</f>
        <v>#REF!</v>
      </c>
      <c r="M2341" t="e">
        <f>COUNTIF(#REF!,Tabela2[[#This Row],[KOD_PRODUKTU]])</f>
        <v>#REF!</v>
      </c>
    </row>
    <row r="2342" spans="1:13" x14ac:dyDescent="0.25">
      <c r="A2342" s="1" t="s">
        <v>192</v>
      </c>
      <c r="B2342" t="s">
        <v>193</v>
      </c>
      <c r="C2342" s="1" t="s">
        <v>1128</v>
      </c>
      <c r="D2342" s="1" t="s">
        <v>1128</v>
      </c>
      <c r="E2342" s="1" t="s">
        <v>1128</v>
      </c>
      <c r="F2342" t="s">
        <v>1129</v>
      </c>
      <c r="G2342" t="s">
        <v>31</v>
      </c>
      <c r="H2342" t="s">
        <v>5</v>
      </c>
      <c r="I2342" t="s">
        <v>3802</v>
      </c>
      <c r="J2342">
        <v>4</v>
      </c>
      <c r="K2342" t="e">
        <f>IF(COUNTIF(#REF!,Tabela2[[#This Row],[IdxWspolny]])&gt;0,"ELEM_lub_PRD","TECHN")</f>
        <v>#REF!</v>
      </c>
      <c r="L2342" t="e">
        <f>IF(COUNTIF(#REF!,Tabela2[[#This Row],[KOD_PRODUKTU]])&gt;0,"ELEMENT","PRODUKT")</f>
        <v>#REF!</v>
      </c>
      <c r="M2342" t="e">
        <f>COUNTIF(#REF!,Tabela2[[#This Row],[KOD_PRODUKTU]])</f>
        <v>#REF!</v>
      </c>
    </row>
    <row r="2343" spans="1:13" x14ac:dyDescent="0.25">
      <c r="A2343" s="1" t="s">
        <v>192</v>
      </c>
      <c r="B2343" t="s">
        <v>193</v>
      </c>
      <c r="C2343" s="1" t="s">
        <v>3803</v>
      </c>
      <c r="D2343" s="1" t="s">
        <v>3803</v>
      </c>
      <c r="E2343" s="1" t="s">
        <v>3803</v>
      </c>
      <c r="F2343" t="s">
        <v>3804</v>
      </c>
      <c r="G2343" t="s">
        <v>3805</v>
      </c>
      <c r="H2343" t="s">
        <v>932</v>
      </c>
      <c r="I2343" t="s">
        <v>3806</v>
      </c>
      <c r="J2343">
        <v>0.84</v>
      </c>
      <c r="K2343" t="e">
        <f>IF(COUNTIF(#REF!,Tabela2[[#This Row],[IdxWspolny]])&gt;0,"ELEM_lub_PRD","TECHN")</f>
        <v>#REF!</v>
      </c>
      <c r="L2343" t="e">
        <f>IF(COUNTIF(#REF!,Tabela2[[#This Row],[KOD_PRODUKTU]])&gt;0,"ELEMENT","PRODUKT")</f>
        <v>#REF!</v>
      </c>
      <c r="M2343" t="e">
        <f>COUNTIF(#REF!,Tabela2[[#This Row],[KOD_PRODUKTU]])</f>
        <v>#REF!</v>
      </c>
    </row>
    <row r="2344" spans="1:13" x14ac:dyDescent="0.25">
      <c r="A2344" s="1" t="s">
        <v>192</v>
      </c>
      <c r="B2344" t="s">
        <v>193</v>
      </c>
      <c r="C2344" s="1" t="s">
        <v>41</v>
      </c>
      <c r="D2344" s="1" t="s">
        <v>41</v>
      </c>
      <c r="E2344" s="1" t="s">
        <v>41</v>
      </c>
      <c r="F2344" t="s">
        <v>42</v>
      </c>
      <c r="G2344" t="s">
        <v>513</v>
      </c>
      <c r="H2344" t="s">
        <v>5</v>
      </c>
      <c r="I2344" t="s">
        <v>44</v>
      </c>
      <c r="J2344">
        <v>0.01</v>
      </c>
      <c r="K2344" t="e">
        <f>IF(COUNTIF(#REF!,Tabela2[[#This Row],[IdxWspolny]])&gt;0,"ELEM_lub_PRD","TECHN")</f>
        <v>#REF!</v>
      </c>
      <c r="L2344" t="e">
        <f>IF(COUNTIF(#REF!,Tabela2[[#This Row],[KOD_PRODUKTU]])&gt;0,"ELEMENT","PRODUKT")</f>
        <v>#REF!</v>
      </c>
      <c r="M2344" t="e">
        <f>COUNTIF(#REF!,Tabela2[[#This Row],[KOD_PRODUKTU]])</f>
        <v>#REF!</v>
      </c>
    </row>
    <row r="2345" spans="1:13" x14ac:dyDescent="0.25">
      <c r="A2345" s="1" t="s">
        <v>192</v>
      </c>
      <c r="B2345" t="s">
        <v>193</v>
      </c>
      <c r="C2345" s="1" t="s">
        <v>432</v>
      </c>
      <c r="D2345" s="1" t="s">
        <v>432</v>
      </c>
      <c r="E2345" s="1" t="s">
        <v>432</v>
      </c>
      <c r="F2345" t="s">
        <v>433</v>
      </c>
      <c r="G2345" t="s">
        <v>434</v>
      </c>
      <c r="H2345" t="s">
        <v>435</v>
      </c>
      <c r="I2345" t="s">
        <v>50</v>
      </c>
      <c r="J2345">
        <v>1.1000000000000001</v>
      </c>
      <c r="K2345" t="e">
        <f>IF(COUNTIF(#REF!,Tabela2[[#This Row],[IdxWspolny]])&gt;0,"ELEM_lub_PRD","TECHN")</f>
        <v>#REF!</v>
      </c>
      <c r="L2345" t="e">
        <f>IF(COUNTIF(#REF!,Tabela2[[#This Row],[KOD_PRODUKTU]])&gt;0,"ELEMENT","PRODUKT")</f>
        <v>#REF!</v>
      </c>
      <c r="M2345" t="e">
        <f>COUNTIF(#REF!,Tabela2[[#This Row],[KOD_PRODUKTU]])</f>
        <v>#REF!</v>
      </c>
    </row>
    <row r="2346" spans="1:13" x14ac:dyDescent="0.25">
      <c r="A2346" s="1" t="s">
        <v>192</v>
      </c>
      <c r="B2346" t="s">
        <v>193</v>
      </c>
      <c r="C2346" s="1" t="s">
        <v>7</v>
      </c>
      <c r="D2346" s="1" t="s">
        <v>7</v>
      </c>
      <c r="E2346" s="1" t="s">
        <v>7</v>
      </c>
      <c r="F2346" t="s">
        <v>8</v>
      </c>
      <c r="G2346" t="s">
        <v>9</v>
      </c>
      <c r="H2346" t="s">
        <v>10</v>
      </c>
      <c r="I2346" t="s">
        <v>3807</v>
      </c>
      <c r="J2346">
        <v>14.9</v>
      </c>
      <c r="K2346" t="e">
        <f>IF(COUNTIF(#REF!,Tabela2[[#This Row],[IdxWspolny]])&gt;0,"ELEM_lub_PRD","TECHN")</f>
        <v>#REF!</v>
      </c>
      <c r="L2346" t="e">
        <f>IF(COUNTIF(#REF!,Tabela2[[#This Row],[KOD_PRODUKTU]])&gt;0,"ELEMENT","PRODUKT")</f>
        <v>#REF!</v>
      </c>
      <c r="M2346" t="e">
        <f>COUNTIF(#REF!,Tabela2[[#This Row],[KOD_PRODUKTU]])</f>
        <v>#REF!</v>
      </c>
    </row>
    <row r="2347" spans="1:13" x14ac:dyDescent="0.25">
      <c r="A2347" s="1" t="s">
        <v>195</v>
      </c>
      <c r="B2347" t="s">
        <v>196</v>
      </c>
      <c r="C2347" s="1" t="s">
        <v>3808</v>
      </c>
      <c r="D2347" s="1" t="s">
        <v>3808</v>
      </c>
      <c r="E2347" s="1" t="s">
        <v>3808</v>
      </c>
      <c r="F2347" t="s">
        <v>3809</v>
      </c>
      <c r="G2347" t="s">
        <v>3795</v>
      </c>
      <c r="H2347" t="s">
        <v>5</v>
      </c>
      <c r="I2347" t="s">
        <v>25</v>
      </c>
      <c r="J2347">
        <v>2.4</v>
      </c>
      <c r="K2347" t="e">
        <f>IF(COUNTIF(#REF!,Tabela2[[#This Row],[IdxWspolny]])&gt;0,"ELEM_lub_PRD","TECHN")</f>
        <v>#REF!</v>
      </c>
      <c r="L2347" t="e">
        <f>IF(COUNTIF(#REF!,Tabela2[[#This Row],[KOD_PRODUKTU]])&gt;0,"ELEMENT","PRODUKT")</f>
        <v>#REF!</v>
      </c>
      <c r="M2347" t="e">
        <f>COUNTIF(#REF!,Tabela2[[#This Row],[KOD_PRODUKTU]])</f>
        <v>#REF!</v>
      </c>
    </row>
    <row r="2348" spans="1:13" x14ac:dyDescent="0.25">
      <c r="A2348" s="1" t="s">
        <v>195</v>
      </c>
      <c r="B2348" t="s">
        <v>196</v>
      </c>
      <c r="C2348" s="1" t="s">
        <v>7</v>
      </c>
      <c r="D2348" s="1" t="s">
        <v>7</v>
      </c>
      <c r="E2348" s="1" t="s">
        <v>7</v>
      </c>
      <c r="F2348" t="s">
        <v>8</v>
      </c>
      <c r="G2348" t="s">
        <v>9</v>
      </c>
      <c r="H2348" t="s">
        <v>10</v>
      </c>
      <c r="I2348" t="s">
        <v>3810</v>
      </c>
      <c r="J2348">
        <v>9.5500000000000007</v>
      </c>
      <c r="K2348" t="e">
        <f>IF(COUNTIF(#REF!,Tabela2[[#This Row],[IdxWspolny]])&gt;0,"ELEM_lub_PRD","TECHN")</f>
        <v>#REF!</v>
      </c>
      <c r="L2348" t="e">
        <f>IF(COUNTIF(#REF!,Tabela2[[#This Row],[KOD_PRODUKTU]])&gt;0,"ELEMENT","PRODUKT")</f>
        <v>#REF!</v>
      </c>
      <c r="M2348" t="e">
        <f>COUNTIF(#REF!,Tabela2[[#This Row],[KOD_PRODUKTU]])</f>
        <v>#REF!</v>
      </c>
    </row>
    <row r="2349" spans="1:13" x14ac:dyDescent="0.25">
      <c r="A2349" s="1" t="s">
        <v>3811</v>
      </c>
      <c r="B2349" t="s">
        <v>3812</v>
      </c>
      <c r="C2349" s="1" t="s">
        <v>3456</v>
      </c>
      <c r="D2349" s="1" t="s">
        <v>3456</v>
      </c>
      <c r="E2349" s="1" t="s">
        <v>3456</v>
      </c>
      <c r="F2349" t="s">
        <v>3457</v>
      </c>
      <c r="G2349" t="s">
        <v>3458</v>
      </c>
      <c r="H2349" t="s">
        <v>39</v>
      </c>
      <c r="I2349" t="s">
        <v>40</v>
      </c>
      <c r="J2349">
        <v>0.17</v>
      </c>
      <c r="K2349" t="e">
        <f>IF(COUNTIF(#REF!,Tabela2[[#This Row],[IdxWspolny]])&gt;0,"ELEM_lub_PRD","TECHN")</f>
        <v>#REF!</v>
      </c>
      <c r="L2349" t="e">
        <f>IF(COUNTIF(#REF!,Tabela2[[#This Row],[KOD_PRODUKTU]])&gt;0,"ELEMENT","PRODUKT")</f>
        <v>#REF!</v>
      </c>
      <c r="M2349" t="e">
        <f>COUNTIF(#REF!,Tabela2[[#This Row],[KOD_PRODUKTU]])</f>
        <v>#REF!</v>
      </c>
    </row>
    <row r="2350" spans="1:13" x14ac:dyDescent="0.25">
      <c r="A2350" s="1" t="s">
        <v>3811</v>
      </c>
      <c r="B2350" t="s">
        <v>3812</v>
      </c>
      <c r="C2350" s="1" t="s">
        <v>41</v>
      </c>
      <c r="D2350" s="1" t="s">
        <v>41</v>
      </c>
      <c r="E2350" s="1" t="s">
        <v>41</v>
      </c>
      <c r="F2350" t="s">
        <v>42</v>
      </c>
      <c r="G2350" t="s">
        <v>513</v>
      </c>
      <c r="H2350" t="s">
        <v>5</v>
      </c>
      <c r="I2350" t="s">
        <v>3813</v>
      </c>
      <c r="J2350">
        <v>0.02</v>
      </c>
      <c r="K2350" t="e">
        <f>IF(COUNTIF(#REF!,Tabela2[[#This Row],[IdxWspolny]])&gt;0,"ELEM_lub_PRD","TECHN")</f>
        <v>#REF!</v>
      </c>
      <c r="L2350" t="e">
        <f>IF(COUNTIF(#REF!,Tabela2[[#This Row],[KOD_PRODUKTU]])&gt;0,"ELEMENT","PRODUKT")</f>
        <v>#REF!</v>
      </c>
      <c r="M2350" t="e">
        <f>COUNTIF(#REF!,Tabela2[[#This Row],[KOD_PRODUKTU]])</f>
        <v>#REF!</v>
      </c>
    </row>
    <row r="2351" spans="1:13" x14ac:dyDescent="0.25">
      <c r="A2351" s="1" t="s">
        <v>3811</v>
      </c>
      <c r="B2351" t="s">
        <v>3812</v>
      </c>
      <c r="C2351" s="1" t="s">
        <v>7</v>
      </c>
      <c r="D2351" s="1" t="s">
        <v>7</v>
      </c>
      <c r="E2351" s="1" t="s">
        <v>7</v>
      </c>
      <c r="F2351" t="s">
        <v>8</v>
      </c>
      <c r="G2351" t="s">
        <v>9</v>
      </c>
      <c r="H2351" t="s">
        <v>10</v>
      </c>
      <c r="I2351" t="s">
        <v>3814</v>
      </c>
      <c r="J2351">
        <v>2.37</v>
      </c>
      <c r="K2351" t="e">
        <f>IF(COUNTIF(#REF!,Tabela2[[#This Row],[IdxWspolny]])&gt;0,"ELEM_lub_PRD","TECHN")</f>
        <v>#REF!</v>
      </c>
      <c r="L2351" t="e">
        <f>IF(COUNTIF(#REF!,Tabela2[[#This Row],[KOD_PRODUKTU]])&gt;0,"ELEMENT","PRODUKT")</f>
        <v>#REF!</v>
      </c>
      <c r="M2351" t="e">
        <f>COUNTIF(#REF!,Tabela2[[#This Row],[KOD_PRODUKTU]])</f>
        <v>#REF!</v>
      </c>
    </row>
    <row r="2352" spans="1:13" x14ac:dyDescent="0.25">
      <c r="A2352" s="1" t="s">
        <v>198</v>
      </c>
      <c r="B2352" t="s">
        <v>199</v>
      </c>
      <c r="C2352" s="1" t="s">
        <v>3431</v>
      </c>
      <c r="D2352" s="1" t="s">
        <v>3431</v>
      </c>
      <c r="E2352" s="1" t="s">
        <v>3431</v>
      </c>
      <c r="F2352" t="s">
        <v>3432</v>
      </c>
      <c r="G2352" t="s">
        <v>1354</v>
      </c>
      <c r="H2352" t="s">
        <v>5</v>
      </c>
      <c r="I2352" t="s">
        <v>3815</v>
      </c>
      <c r="J2352">
        <v>0.25</v>
      </c>
      <c r="K2352" t="e">
        <f>IF(COUNTIF(#REF!,Tabela2[[#This Row],[IdxWspolny]])&gt;0,"ELEM_lub_PRD","TECHN")</f>
        <v>#REF!</v>
      </c>
      <c r="L2352" t="e">
        <f>IF(COUNTIF(#REF!,Tabela2[[#This Row],[KOD_PRODUKTU]])&gt;0,"ELEMENT","PRODUKT")</f>
        <v>#REF!</v>
      </c>
      <c r="M2352" t="e">
        <f>COUNTIF(#REF!,Tabela2[[#This Row],[KOD_PRODUKTU]])</f>
        <v>#REF!</v>
      </c>
    </row>
    <row r="2353" spans="1:13" x14ac:dyDescent="0.25">
      <c r="A2353" s="1" t="s">
        <v>198</v>
      </c>
      <c r="B2353" t="s">
        <v>199</v>
      </c>
      <c r="C2353" s="1" t="s">
        <v>7</v>
      </c>
      <c r="D2353" s="1" t="s">
        <v>7</v>
      </c>
      <c r="E2353" s="1" t="s">
        <v>7</v>
      </c>
      <c r="F2353" t="s">
        <v>8</v>
      </c>
      <c r="G2353" t="s">
        <v>9</v>
      </c>
      <c r="H2353" t="s">
        <v>10</v>
      </c>
      <c r="I2353" t="s">
        <v>2518</v>
      </c>
      <c r="J2353">
        <v>2.4</v>
      </c>
      <c r="K2353" t="e">
        <f>IF(COUNTIF(#REF!,Tabela2[[#This Row],[IdxWspolny]])&gt;0,"ELEM_lub_PRD","TECHN")</f>
        <v>#REF!</v>
      </c>
      <c r="L2353" t="e">
        <f>IF(COUNTIF(#REF!,Tabela2[[#This Row],[KOD_PRODUKTU]])&gt;0,"ELEMENT","PRODUKT")</f>
        <v>#REF!</v>
      </c>
      <c r="M2353" t="e">
        <f>COUNTIF(#REF!,Tabela2[[#This Row],[KOD_PRODUKTU]])</f>
        <v>#REF!</v>
      </c>
    </row>
    <row r="2354" spans="1:13" x14ac:dyDescent="0.25">
      <c r="A2354" s="1" t="s">
        <v>200</v>
      </c>
      <c r="B2354" t="s">
        <v>201</v>
      </c>
      <c r="C2354" s="1" t="s">
        <v>1743</v>
      </c>
      <c r="D2354" s="1" t="s">
        <v>1743</v>
      </c>
      <c r="E2354" s="1" t="s">
        <v>1743</v>
      </c>
      <c r="F2354" t="s">
        <v>1744</v>
      </c>
      <c r="G2354" t="s">
        <v>1354</v>
      </c>
      <c r="H2354" t="s">
        <v>5</v>
      </c>
      <c r="I2354" t="s">
        <v>3816</v>
      </c>
      <c r="J2354">
        <v>4.95</v>
      </c>
      <c r="K2354" t="e">
        <f>IF(COUNTIF(#REF!,Tabela2[[#This Row],[IdxWspolny]])&gt;0,"ELEM_lub_PRD","TECHN")</f>
        <v>#REF!</v>
      </c>
      <c r="L2354" t="e">
        <f>IF(COUNTIF(#REF!,Tabela2[[#This Row],[KOD_PRODUKTU]])&gt;0,"ELEMENT","PRODUKT")</f>
        <v>#REF!</v>
      </c>
      <c r="M2354" t="e">
        <f>COUNTIF(#REF!,Tabela2[[#This Row],[KOD_PRODUKTU]])</f>
        <v>#REF!</v>
      </c>
    </row>
    <row r="2355" spans="1:13" x14ac:dyDescent="0.25">
      <c r="A2355" s="1" t="s">
        <v>200</v>
      </c>
      <c r="B2355" t="s">
        <v>201</v>
      </c>
      <c r="C2355" s="1" t="s">
        <v>7</v>
      </c>
      <c r="D2355" s="1" t="s">
        <v>7</v>
      </c>
      <c r="E2355" s="1" t="s">
        <v>7</v>
      </c>
      <c r="F2355" t="s">
        <v>8</v>
      </c>
      <c r="G2355" t="s">
        <v>9</v>
      </c>
      <c r="H2355" t="s">
        <v>10</v>
      </c>
      <c r="I2355" t="s">
        <v>1755</v>
      </c>
      <c r="J2355">
        <v>7.15</v>
      </c>
      <c r="K2355" t="e">
        <f>IF(COUNTIF(#REF!,Tabela2[[#This Row],[IdxWspolny]])&gt;0,"ELEM_lub_PRD","TECHN")</f>
        <v>#REF!</v>
      </c>
      <c r="L2355" t="e">
        <f>IF(COUNTIF(#REF!,Tabela2[[#This Row],[KOD_PRODUKTU]])&gt;0,"ELEMENT","PRODUKT")</f>
        <v>#REF!</v>
      </c>
      <c r="M2355" t="e">
        <f>COUNTIF(#REF!,Tabela2[[#This Row],[KOD_PRODUKTU]])</f>
        <v>#REF!</v>
      </c>
    </row>
    <row r="2356" spans="1:13" x14ac:dyDescent="0.25">
      <c r="A2356" s="1" t="s">
        <v>203</v>
      </c>
      <c r="B2356" t="s">
        <v>204</v>
      </c>
      <c r="C2356" s="1" t="s">
        <v>2</v>
      </c>
      <c r="D2356" s="1" t="s">
        <v>2</v>
      </c>
      <c r="E2356" s="1" t="s">
        <v>2</v>
      </c>
      <c r="F2356" t="s">
        <v>3</v>
      </c>
      <c r="G2356" t="s">
        <v>4</v>
      </c>
      <c r="H2356" t="s">
        <v>5</v>
      </c>
      <c r="I2356" t="s">
        <v>3817</v>
      </c>
      <c r="J2356">
        <v>0.4</v>
      </c>
      <c r="K2356" t="e">
        <f>IF(COUNTIF(#REF!,Tabela2[[#This Row],[IdxWspolny]])&gt;0,"ELEM_lub_PRD","TECHN")</f>
        <v>#REF!</v>
      </c>
      <c r="L2356" t="e">
        <f>IF(COUNTIF(#REF!,Tabela2[[#This Row],[KOD_PRODUKTU]])&gt;0,"ELEMENT","PRODUKT")</f>
        <v>#REF!</v>
      </c>
      <c r="M2356" t="e">
        <f>COUNTIF(#REF!,Tabela2[[#This Row],[KOD_PRODUKTU]])</f>
        <v>#REF!</v>
      </c>
    </row>
    <row r="2357" spans="1:13" x14ac:dyDescent="0.25">
      <c r="A2357" s="1" t="s">
        <v>203</v>
      </c>
      <c r="B2357" t="s">
        <v>204</v>
      </c>
      <c r="C2357" s="1" t="s">
        <v>432</v>
      </c>
      <c r="D2357" s="1" t="s">
        <v>432</v>
      </c>
      <c r="E2357" s="1" t="s">
        <v>432</v>
      </c>
      <c r="F2357" t="s">
        <v>433</v>
      </c>
      <c r="G2357" t="s">
        <v>434</v>
      </c>
      <c r="H2357" t="s">
        <v>435</v>
      </c>
      <c r="I2357" t="s">
        <v>50</v>
      </c>
      <c r="J2357">
        <v>1.1000000000000001</v>
      </c>
      <c r="K2357" t="e">
        <f>IF(COUNTIF(#REF!,Tabela2[[#This Row],[IdxWspolny]])&gt;0,"ELEM_lub_PRD","TECHN")</f>
        <v>#REF!</v>
      </c>
      <c r="L2357" t="e">
        <f>IF(COUNTIF(#REF!,Tabela2[[#This Row],[KOD_PRODUKTU]])&gt;0,"ELEMENT","PRODUKT")</f>
        <v>#REF!</v>
      </c>
      <c r="M2357" t="e">
        <f>COUNTIF(#REF!,Tabela2[[#This Row],[KOD_PRODUKTU]])</f>
        <v>#REF!</v>
      </c>
    </row>
    <row r="2358" spans="1:13" x14ac:dyDescent="0.25">
      <c r="A2358" s="1" t="s">
        <v>203</v>
      </c>
      <c r="B2358" t="s">
        <v>204</v>
      </c>
      <c r="C2358" s="1" t="s">
        <v>7</v>
      </c>
      <c r="D2358" s="1" t="s">
        <v>7</v>
      </c>
      <c r="E2358" s="1" t="s">
        <v>7</v>
      </c>
      <c r="F2358" t="s">
        <v>8</v>
      </c>
      <c r="G2358" t="s">
        <v>9</v>
      </c>
      <c r="H2358" t="s">
        <v>10</v>
      </c>
      <c r="I2358" t="s">
        <v>1384</v>
      </c>
      <c r="J2358">
        <v>4.8499999999999996</v>
      </c>
      <c r="K2358" t="e">
        <f>IF(COUNTIF(#REF!,Tabela2[[#This Row],[IdxWspolny]])&gt;0,"ELEM_lub_PRD","TECHN")</f>
        <v>#REF!</v>
      </c>
      <c r="L2358" t="e">
        <f>IF(COUNTIF(#REF!,Tabela2[[#This Row],[KOD_PRODUKTU]])&gt;0,"ELEMENT","PRODUKT")</f>
        <v>#REF!</v>
      </c>
      <c r="M2358" t="e">
        <f>COUNTIF(#REF!,Tabela2[[#This Row],[KOD_PRODUKTU]])</f>
        <v>#REF!</v>
      </c>
    </row>
    <row r="2359" spans="1:13" x14ac:dyDescent="0.25">
      <c r="A2359" s="1" t="s">
        <v>206</v>
      </c>
      <c r="B2359" t="s">
        <v>207</v>
      </c>
      <c r="C2359" s="1" t="s">
        <v>3818</v>
      </c>
      <c r="D2359" s="1" t="s">
        <v>3818</v>
      </c>
      <c r="E2359" s="1" t="s">
        <v>3818</v>
      </c>
      <c r="F2359" t="s">
        <v>3819</v>
      </c>
      <c r="G2359" t="s">
        <v>3820</v>
      </c>
      <c r="H2359" t="s">
        <v>5</v>
      </c>
      <c r="I2359" t="s">
        <v>3821</v>
      </c>
      <c r="J2359">
        <v>5</v>
      </c>
      <c r="K2359" t="e">
        <f>IF(COUNTIF(#REF!,Tabela2[[#This Row],[IdxWspolny]])&gt;0,"ELEM_lub_PRD","TECHN")</f>
        <v>#REF!</v>
      </c>
      <c r="L2359" t="e">
        <f>IF(COUNTIF(#REF!,Tabela2[[#This Row],[KOD_PRODUKTU]])&gt;0,"ELEMENT","PRODUKT")</f>
        <v>#REF!</v>
      </c>
      <c r="M2359" t="e">
        <f>COUNTIF(#REF!,Tabela2[[#This Row],[KOD_PRODUKTU]])</f>
        <v>#REF!</v>
      </c>
    </row>
    <row r="2360" spans="1:13" x14ac:dyDescent="0.25">
      <c r="A2360" s="1" t="s">
        <v>206</v>
      </c>
      <c r="B2360" t="s">
        <v>207</v>
      </c>
      <c r="C2360" s="1" t="s">
        <v>7</v>
      </c>
      <c r="D2360" s="1" t="s">
        <v>7</v>
      </c>
      <c r="E2360" s="1" t="s">
        <v>7</v>
      </c>
      <c r="F2360" t="s">
        <v>8</v>
      </c>
      <c r="G2360" t="s">
        <v>9</v>
      </c>
      <c r="H2360" t="s">
        <v>10</v>
      </c>
      <c r="I2360" t="s">
        <v>3822</v>
      </c>
      <c r="J2360">
        <v>7.2</v>
      </c>
      <c r="K2360" t="e">
        <f>IF(COUNTIF(#REF!,Tabela2[[#This Row],[IdxWspolny]])&gt;0,"ELEM_lub_PRD","TECHN")</f>
        <v>#REF!</v>
      </c>
      <c r="L2360" t="e">
        <f>IF(COUNTIF(#REF!,Tabela2[[#This Row],[KOD_PRODUKTU]])&gt;0,"ELEMENT","PRODUKT")</f>
        <v>#REF!</v>
      </c>
      <c r="M2360" t="e">
        <f>COUNTIF(#REF!,Tabela2[[#This Row],[KOD_PRODUKTU]])</f>
        <v>#REF!</v>
      </c>
    </row>
    <row r="2361" spans="1:13" x14ac:dyDescent="0.25">
      <c r="A2361" s="1" t="s">
        <v>209</v>
      </c>
      <c r="B2361" t="s">
        <v>210</v>
      </c>
      <c r="C2361" s="1" t="s">
        <v>3790</v>
      </c>
      <c r="D2361" s="1" t="s">
        <v>3790</v>
      </c>
      <c r="E2361" s="1" t="s">
        <v>3790</v>
      </c>
      <c r="F2361" t="s">
        <v>3791</v>
      </c>
      <c r="G2361" t="s">
        <v>1017</v>
      </c>
      <c r="H2361" t="s">
        <v>5</v>
      </c>
      <c r="I2361" t="s">
        <v>3823</v>
      </c>
      <c r="J2361">
        <v>1.4</v>
      </c>
      <c r="K2361" t="e">
        <f>IF(COUNTIF(#REF!,Tabela2[[#This Row],[IdxWspolny]])&gt;0,"ELEM_lub_PRD","TECHN")</f>
        <v>#REF!</v>
      </c>
      <c r="L2361" t="e">
        <f>IF(COUNTIF(#REF!,Tabela2[[#This Row],[KOD_PRODUKTU]])&gt;0,"ELEMENT","PRODUKT")</f>
        <v>#REF!</v>
      </c>
      <c r="M2361" t="e">
        <f>COUNTIF(#REF!,Tabela2[[#This Row],[KOD_PRODUKTU]])</f>
        <v>#REF!</v>
      </c>
    </row>
    <row r="2362" spans="1:13" x14ac:dyDescent="0.25">
      <c r="A2362" s="1" t="s">
        <v>209</v>
      </c>
      <c r="B2362" t="s">
        <v>210</v>
      </c>
      <c r="C2362" s="1" t="s">
        <v>7</v>
      </c>
      <c r="D2362" s="1" t="s">
        <v>7</v>
      </c>
      <c r="E2362" s="1" t="s">
        <v>7</v>
      </c>
      <c r="F2362" t="s">
        <v>8</v>
      </c>
      <c r="G2362" t="s">
        <v>9</v>
      </c>
      <c r="H2362" t="s">
        <v>10</v>
      </c>
      <c r="I2362" t="s">
        <v>33</v>
      </c>
      <c r="J2362">
        <v>9.1999999999999993</v>
      </c>
      <c r="K2362" t="e">
        <f>IF(COUNTIF(#REF!,Tabela2[[#This Row],[IdxWspolny]])&gt;0,"ELEM_lub_PRD","TECHN")</f>
        <v>#REF!</v>
      </c>
      <c r="L2362" t="e">
        <f>IF(COUNTIF(#REF!,Tabela2[[#This Row],[KOD_PRODUKTU]])&gt;0,"ELEMENT","PRODUKT")</f>
        <v>#REF!</v>
      </c>
      <c r="M2362" t="e">
        <f>COUNTIF(#REF!,Tabela2[[#This Row],[KOD_PRODUKTU]])</f>
        <v>#REF!</v>
      </c>
    </row>
    <row r="2363" spans="1:13" x14ac:dyDescent="0.25">
      <c r="A2363" s="1" t="s">
        <v>211</v>
      </c>
      <c r="B2363" t="s">
        <v>212</v>
      </c>
      <c r="C2363" s="1" t="s">
        <v>3824</v>
      </c>
      <c r="D2363" s="1" t="s">
        <v>3824</v>
      </c>
      <c r="E2363" s="1" t="s">
        <v>3824</v>
      </c>
      <c r="F2363" t="s">
        <v>3825</v>
      </c>
      <c r="G2363" t="s">
        <v>216</v>
      </c>
      <c r="H2363" t="s">
        <v>5</v>
      </c>
      <c r="I2363" t="s">
        <v>1338</v>
      </c>
      <c r="J2363">
        <v>10.5</v>
      </c>
      <c r="K2363" t="e">
        <f>IF(COUNTIF(#REF!,Tabela2[[#This Row],[IdxWspolny]])&gt;0,"ELEM_lub_PRD","TECHN")</f>
        <v>#REF!</v>
      </c>
      <c r="L2363" t="e">
        <f>IF(COUNTIF(#REF!,Tabela2[[#This Row],[KOD_PRODUKTU]])&gt;0,"ELEMENT","PRODUKT")</f>
        <v>#REF!</v>
      </c>
      <c r="M2363" t="e">
        <f>COUNTIF(#REF!,Tabela2[[#This Row],[KOD_PRODUKTU]])</f>
        <v>#REF!</v>
      </c>
    </row>
    <row r="2364" spans="1:13" x14ac:dyDescent="0.25">
      <c r="A2364" s="1" t="s">
        <v>211</v>
      </c>
      <c r="B2364" t="s">
        <v>212</v>
      </c>
      <c r="C2364" s="1" t="s">
        <v>432</v>
      </c>
      <c r="D2364" s="1" t="s">
        <v>432</v>
      </c>
      <c r="E2364" s="1" t="s">
        <v>432</v>
      </c>
      <c r="F2364" t="s">
        <v>433</v>
      </c>
      <c r="G2364" t="s">
        <v>434</v>
      </c>
      <c r="H2364" t="s">
        <v>435</v>
      </c>
      <c r="I2364" t="s">
        <v>1414</v>
      </c>
      <c r="J2364">
        <v>1.6</v>
      </c>
      <c r="K2364" t="e">
        <f>IF(COUNTIF(#REF!,Tabela2[[#This Row],[IdxWspolny]])&gt;0,"ELEM_lub_PRD","TECHN")</f>
        <v>#REF!</v>
      </c>
      <c r="L2364" t="e">
        <f>IF(COUNTIF(#REF!,Tabela2[[#This Row],[KOD_PRODUKTU]])&gt;0,"ELEMENT","PRODUKT")</f>
        <v>#REF!</v>
      </c>
      <c r="M2364" t="e">
        <f>COUNTIF(#REF!,Tabela2[[#This Row],[KOD_PRODUKTU]])</f>
        <v>#REF!</v>
      </c>
    </row>
    <row r="2365" spans="1:13" x14ac:dyDescent="0.25">
      <c r="A2365" s="1" t="s">
        <v>211</v>
      </c>
      <c r="B2365" t="s">
        <v>212</v>
      </c>
      <c r="C2365" s="1" t="s">
        <v>7</v>
      </c>
      <c r="D2365" s="1" t="s">
        <v>7</v>
      </c>
      <c r="E2365" s="1" t="s">
        <v>7</v>
      </c>
      <c r="F2365" t="s">
        <v>8</v>
      </c>
      <c r="G2365" t="s">
        <v>9</v>
      </c>
      <c r="H2365" t="s">
        <v>10</v>
      </c>
      <c r="I2365" t="s">
        <v>2825</v>
      </c>
      <c r="J2365">
        <v>24.15</v>
      </c>
      <c r="K2365" t="e">
        <f>IF(COUNTIF(#REF!,Tabela2[[#This Row],[IdxWspolny]])&gt;0,"ELEM_lub_PRD","TECHN")</f>
        <v>#REF!</v>
      </c>
      <c r="L2365" t="e">
        <f>IF(COUNTIF(#REF!,Tabela2[[#This Row],[KOD_PRODUKTU]])&gt;0,"ELEMENT","PRODUKT")</f>
        <v>#REF!</v>
      </c>
      <c r="M2365" t="e">
        <f>COUNTIF(#REF!,Tabela2[[#This Row],[KOD_PRODUKTU]])</f>
        <v>#REF!</v>
      </c>
    </row>
    <row r="2366" spans="1:13" x14ac:dyDescent="0.25">
      <c r="A2366" s="1" t="s">
        <v>214</v>
      </c>
      <c r="B2366" t="s">
        <v>215</v>
      </c>
      <c r="C2366" s="1" t="s">
        <v>3824</v>
      </c>
      <c r="D2366" s="1" t="s">
        <v>3824</v>
      </c>
      <c r="E2366" s="1" t="s">
        <v>3824</v>
      </c>
      <c r="F2366" t="s">
        <v>3825</v>
      </c>
      <c r="G2366" t="s">
        <v>216</v>
      </c>
      <c r="H2366" t="s">
        <v>5</v>
      </c>
      <c r="I2366" t="s">
        <v>601</v>
      </c>
      <c r="J2366">
        <v>1.05</v>
      </c>
      <c r="K2366" t="e">
        <f>IF(COUNTIF(#REF!,Tabela2[[#This Row],[IdxWspolny]])&gt;0,"ELEM_lub_PRD","TECHN")</f>
        <v>#REF!</v>
      </c>
      <c r="L2366" t="e">
        <f>IF(COUNTIF(#REF!,Tabela2[[#This Row],[KOD_PRODUKTU]])&gt;0,"ELEMENT","PRODUKT")</f>
        <v>#REF!</v>
      </c>
      <c r="M2366" t="e">
        <f>COUNTIF(#REF!,Tabela2[[#This Row],[KOD_PRODUKTU]])</f>
        <v>#REF!</v>
      </c>
    </row>
    <row r="2367" spans="1:13" x14ac:dyDescent="0.25">
      <c r="A2367" s="1" t="s">
        <v>214</v>
      </c>
      <c r="B2367" t="s">
        <v>215</v>
      </c>
      <c r="C2367" s="1" t="s">
        <v>432</v>
      </c>
      <c r="D2367" s="1" t="s">
        <v>432</v>
      </c>
      <c r="E2367" s="1" t="s">
        <v>432</v>
      </c>
      <c r="F2367" t="s">
        <v>433</v>
      </c>
      <c r="G2367" t="s">
        <v>434</v>
      </c>
      <c r="H2367" t="s">
        <v>435</v>
      </c>
      <c r="I2367" t="s">
        <v>50</v>
      </c>
      <c r="J2367">
        <v>1.1000000000000001</v>
      </c>
      <c r="K2367" t="e">
        <f>IF(COUNTIF(#REF!,Tabela2[[#This Row],[IdxWspolny]])&gt;0,"ELEM_lub_PRD","TECHN")</f>
        <v>#REF!</v>
      </c>
      <c r="L2367" t="e">
        <f>IF(COUNTIF(#REF!,Tabela2[[#This Row],[KOD_PRODUKTU]])&gt;0,"ELEMENT","PRODUKT")</f>
        <v>#REF!</v>
      </c>
      <c r="M2367" t="e">
        <f>COUNTIF(#REF!,Tabela2[[#This Row],[KOD_PRODUKTU]])</f>
        <v>#REF!</v>
      </c>
    </row>
    <row r="2368" spans="1:13" x14ac:dyDescent="0.25">
      <c r="A2368" s="1" t="s">
        <v>214</v>
      </c>
      <c r="B2368" t="s">
        <v>215</v>
      </c>
      <c r="C2368" s="1" t="s">
        <v>7</v>
      </c>
      <c r="D2368" s="1" t="s">
        <v>7</v>
      </c>
      <c r="E2368" s="1" t="s">
        <v>7</v>
      </c>
      <c r="F2368" t="s">
        <v>8</v>
      </c>
      <c r="G2368" t="s">
        <v>9</v>
      </c>
      <c r="H2368" t="s">
        <v>10</v>
      </c>
      <c r="I2368" t="s">
        <v>1384</v>
      </c>
      <c r="J2368">
        <v>4.8499999999999996</v>
      </c>
      <c r="K2368" t="e">
        <f>IF(COUNTIF(#REF!,Tabela2[[#This Row],[IdxWspolny]])&gt;0,"ELEM_lub_PRD","TECHN")</f>
        <v>#REF!</v>
      </c>
      <c r="L2368" t="e">
        <f>IF(COUNTIF(#REF!,Tabela2[[#This Row],[KOD_PRODUKTU]])&gt;0,"ELEMENT","PRODUKT")</f>
        <v>#REF!</v>
      </c>
      <c r="M2368" t="e">
        <f>COUNTIF(#REF!,Tabela2[[#This Row],[KOD_PRODUKTU]])</f>
        <v>#REF!</v>
      </c>
    </row>
    <row r="2369" spans="1:13" x14ac:dyDescent="0.25">
      <c r="A2369" s="1" t="s">
        <v>217</v>
      </c>
      <c r="B2369" t="s">
        <v>218</v>
      </c>
      <c r="C2369" s="1" t="s">
        <v>3824</v>
      </c>
      <c r="D2369" s="1" t="s">
        <v>3824</v>
      </c>
      <c r="E2369" s="1" t="s">
        <v>3824</v>
      </c>
      <c r="F2369" t="s">
        <v>3825</v>
      </c>
      <c r="G2369" t="s">
        <v>216</v>
      </c>
      <c r="H2369" t="s">
        <v>5</v>
      </c>
      <c r="I2369" t="s">
        <v>33</v>
      </c>
      <c r="J2369">
        <v>1.4</v>
      </c>
      <c r="K2369" t="e">
        <f>IF(COUNTIF(#REF!,Tabela2[[#This Row],[IdxWspolny]])&gt;0,"ELEM_lub_PRD","TECHN")</f>
        <v>#REF!</v>
      </c>
      <c r="L2369" t="e">
        <f>IF(COUNTIF(#REF!,Tabela2[[#This Row],[KOD_PRODUKTU]])&gt;0,"ELEMENT","PRODUKT")</f>
        <v>#REF!</v>
      </c>
      <c r="M2369" t="e">
        <f>COUNTIF(#REF!,Tabela2[[#This Row],[KOD_PRODUKTU]])</f>
        <v>#REF!</v>
      </c>
    </row>
    <row r="2370" spans="1:13" x14ac:dyDescent="0.25">
      <c r="A2370" s="1" t="s">
        <v>217</v>
      </c>
      <c r="B2370" t="s">
        <v>218</v>
      </c>
      <c r="C2370" s="1" t="s">
        <v>432</v>
      </c>
      <c r="D2370" s="1" t="s">
        <v>432</v>
      </c>
      <c r="E2370" s="1" t="s">
        <v>432</v>
      </c>
      <c r="F2370" t="s">
        <v>433</v>
      </c>
      <c r="G2370" t="s">
        <v>434</v>
      </c>
      <c r="H2370" t="s">
        <v>435</v>
      </c>
      <c r="I2370" t="s">
        <v>50</v>
      </c>
      <c r="J2370">
        <v>1.1000000000000001</v>
      </c>
      <c r="K2370" t="e">
        <f>IF(COUNTIF(#REF!,Tabela2[[#This Row],[IdxWspolny]])&gt;0,"ELEM_lub_PRD","TECHN")</f>
        <v>#REF!</v>
      </c>
      <c r="L2370" t="e">
        <f>IF(COUNTIF(#REF!,Tabela2[[#This Row],[KOD_PRODUKTU]])&gt;0,"ELEMENT","PRODUKT")</f>
        <v>#REF!</v>
      </c>
      <c r="M2370" t="e">
        <f>COUNTIF(#REF!,Tabela2[[#This Row],[KOD_PRODUKTU]])</f>
        <v>#REF!</v>
      </c>
    </row>
    <row r="2371" spans="1:13" x14ac:dyDescent="0.25">
      <c r="A2371" s="1" t="s">
        <v>217</v>
      </c>
      <c r="B2371" t="s">
        <v>218</v>
      </c>
      <c r="C2371" s="1" t="s">
        <v>7</v>
      </c>
      <c r="D2371" s="1" t="s">
        <v>7</v>
      </c>
      <c r="E2371" s="1" t="s">
        <v>7</v>
      </c>
      <c r="F2371" t="s">
        <v>8</v>
      </c>
      <c r="G2371" t="s">
        <v>9</v>
      </c>
      <c r="H2371" t="s">
        <v>10</v>
      </c>
      <c r="I2371" t="s">
        <v>1755</v>
      </c>
      <c r="J2371">
        <v>7.15</v>
      </c>
      <c r="K2371" t="e">
        <f>IF(COUNTIF(#REF!,Tabela2[[#This Row],[IdxWspolny]])&gt;0,"ELEM_lub_PRD","TECHN")</f>
        <v>#REF!</v>
      </c>
      <c r="L2371" t="e">
        <f>IF(COUNTIF(#REF!,Tabela2[[#This Row],[KOD_PRODUKTU]])&gt;0,"ELEMENT","PRODUKT")</f>
        <v>#REF!</v>
      </c>
      <c r="M2371" t="e">
        <f>COUNTIF(#REF!,Tabela2[[#This Row],[KOD_PRODUKTU]])</f>
        <v>#REF!</v>
      </c>
    </row>
    <row r="2372" spans="1:13" x14ac:dyDescent="0.25">
      <c r="A2372" s="1" t="s">
        <v>3826</v>
      </c>
      <c r="B2372" t="s">
        <v>3827</v>
      </c>
      <c r="C2372" s="1" t="s">
        <v>3828</v>
      </c>
      <c r="D2372" s="1" t="s">
        <v>3828</v>
      </c>
      <c r="E2372" s="1" t="s">
        <v>3828</v>
      </c>
      <c r="F2372" t="s">
        <v>3829</v>
      </c>
      <c r="G2372" t="s">
        <v>87</v>
      </c>
      <c r="H2372" t="s">
        <v>5</v>
      </c>
      <c r="I2372" t="s">
        <v>3830</v>
      </c>
      <c r="J2372">
        <v>3.58</v>
      </c>
      <c r="K2372" t="e">
        <f>IF(COUNTIF(#REF!,Tabela2[[#This Row],[IdxWspolny]])&gt;0,"ELEM_lub_PRD","TECHN")</f>
        <v>#REF!</v>
      </c>
      <c r="L2372" t="e">
        <f>IF(COUNTIF(#REF!,Tabela2[[#This Row],[KOD_PRODUKTU]])&gt;0,"ELEMENT","PRODUKT")</f>
        <v>#REF!</v>
      </c>
      <c r="M2372" t="e">
        <f>COUNTIF(#REF!,Tabela2[[#This Row],[KOD_PRODUKTU]])</f>
        <v>#REF!</v>
      </c>
    </row>
    <row r="2373" spans="1:13" x14ac:dyDescent="0.25">
      <c r="A2373" s="1" t="s">
        <v>3826</v>
      </c>
      <c r="B2373" t="s">
        <v>3827</v>
      </c>
      <c r="C2373" s="1" t="s">
        <v>7</v>
      </c>
      <c r="D2373" s="1" t="s">
        <v>7</v>
      </c>
      <c r="E2373" s="1" t="s">
        <v>7</v>
      </c>
      <c r="F2373" t="s">
        <v>8</v>
      </c>
      <c r="G2373" t="s">
        <v>9</v>
      </c>
      <c r="H2373" t="s">
        <v>10</v>
      </c>
      <c r="I2373" t="s">
        <v>3831</v>
      </c>
      <c r="J2373">
        <v>9.6199999999999992</v>
      </c>
      <c r="K2373" t="e">
        <f>IF(COUNTIF(#REF!,Tabela2[[#This Row],[IdxWspolny]])&gt;0,"ELEM_lub_PRD","TECHN")</f>
        <v>#REF!</v>
      </c>
      <c r="L2373" t="e">
        <f>IF(COUNTIF(#REF!,Tabela2[[#This Row],[KOD_PRODUKTU]])&gt;0,"ELEMENT","PRODUKT")</f>
        <v>#REF!</v>
      </c>
      <c r="M2373" t="e">
        <f>COUNTIF(#REF!,Tabela2[[#This Row],[KOD_PRODUKTU]])</f>
        <v>#REF!</v>
      </c>
    </row>
    <row r="2374" spans="1:13" x14ac:dyDescent="0.25">
      <c r="A2374" s="1" t="s">
        <v>3832</v>
      </c>
      <c r="B2374" t="s">
        <v>3833</v>
      </c>
      <c r="C2374" s="1" t="s">
        <v>3834</v>
      </c>
      <c r="D2374" s="1" t="s">
        <v>3834</v>
      </c>
      <c r="E2374" s="1" t="s">
        <v>3834</v>
      </c>
      <c r="F2374" t="s">
        <v>3835</v>
      </c>
      <c r="G2374" t="s">
        <v>3836</v>
      </c>
      <c r="H2374" t="s">
        <v>5</v>
      </c>
      <c r="I2374" t="s">
        <v>992</v>
      </c>
      <c r="J2374">
        <v>2.82</v>
      </c>
      <c r="K2374" t="e">
        <f>IF(COUNTIF(#REF!,Tabela2[[#This Row],[IdxWspolny]])&gt;0,"ELEM_lub_PRD","TECHN")</f>
        <v>#REF!</v>
      </c>
      <c r="L2374" t="e">
        <f>IF(COUNTIF(#REF!,Tabela2[[#This Row],[KOD_PRODUKTU]])&gt;0,"ELEMENT","PRODUKT")</f>
        <v>#REF!</v>
      </c>
      <c r="M2374" t="e">
        <f>COUNTIF(#REF!,Tabela2[[#This Row],[KOD_PRODUKTU]])</f>
        <v>#REF!</v>
      </c>
    </row>
    <row r="2375" spans="1:13" x14ac:dyDescent="0.25">
      <c r="A2375" s="1" t="s">
        <v>3832</v>
      </c>
      <c r="B2375" t="s">
        <v>3833</v>
      </c>
      <c r="C2375" s="1" t="s">
        <v>3837</v>
      </c>
      <c r="D2375" s="1" t="s">
        <v>3837</v>
      </c>
      <c r="E2375" s="1" t="s">
        <v>3837</v>
      </c>
      <c r="F2375" t="s">
        <v>3838</v>
      </c>
      <c r="G2375" t="s">
        <v>2963</v>
      </c>
      <c r="H2375" t="s">
        <v>17</v>
      </c>
      <c r="I2375" t="s">
        <v>19</v>
      </c>
      <c r="J2375">
        <v>1.05</v>
      </c>
      <c r="K2375" t="e">
        <f>IF(COUNTIF(#REF!,Tabela2[[#This Row],[IdxWspolny]])&gt;0,"ELEM_lub_PRD","TECHN")</f>
        <v>#REF!</v>
      </c>
      <c r="L2375" t="e">
        <f>IF(COUNTIF(#REF!,Tabela2[[#This Row],[KOD_PRODUKTU]])&gt;0,"ELEMENT","PRODUKT")</f>
        <v>#REF!</v>
      </c>
      <c r="M2375" t="e">
        <f>COUNTIF(#REF!,Tabela2[[#This Row],[KOD_PRODUKTU]])</f>
        <v>#REF!</v>
      </c>
    </row>
    <row r="2376" spans="1:13" x14ac:dyDescent="0.25">
      <c r="A2376" s="1" t="s">
        <v>3832</v>
      </c>
      <c r="B2376" t="s">
        <v>3833</v>
      </c>
      <c r="C2376" s="1" t="s">
        <v>7</v>
      </c>
      <c r="D2376" s="1" t="s">
        <v>7</v>
      </c>
      <c r="E2376" s="1" t="s">
        <v>7</v>
      </c>
      <c r="F2376" t="s">
        <v>8</v>
      </c>
      <c r="G2376" t="s">
        <v>9</v>
      </c>
      <c r="H2376" t="s">
        <v>10</v>
      </c>
      <c r="I2376" t="s">
        <v>3839</v>
      </c>
      <c r="J2376">
        <v>36.17</v>
      </c>
      <c r="K2376" t="e">
        <f>IF(COUNTIF(#REF!,Tabela2[[#This Row],[IdxWspolny]])&gt;0,"ELEM_lub_PRD","TECHN")</f>
        <v>#REF!</v>
      </c>
      <c r="L2376" t="e">
        <f>IF(COUNTIF(#REF!,Tabela2[[#This Row],[KOD_PRODUKTU]])&gt;0,"ELEMENT","PRODUKT")</f>
        <v>#REF!</v>
      </c>
      <c r="M2376" t="e">
        <f>COUNTIF(#REF!,Tabela2[[#This Row],[KOD_PRODUKTU]])</f>
        <v>#REF!</v>
      </c>
    </row>
    <row r="2377" spans="1:13" x14ac:dyDescent="0.25">
      <c r="A2377" s="1" t="s">
        <v>3840</v>
      </c>
      <c r="B2377" t="s">
        <v>3841</v>
      </c>
      <c r="C2377" s="1" t="s">
        <v>2668</v>
      </c>
      <c r="D2377" s="1" t="s">
        <v>2668</v>
      </c>
      <c r="E2377" s="1" t="s">
        <v>2668</v>
      </c>
      <c r="F2377" t="s">
        <v>2669</v>
      </c>
      <c r="G2377" t="s">
        <v>2670</v>
      </c>
      <c r="H2377" t="s">
        <v>5</v>
      </c>
      <c r="I2377" t="s">
        <v>3842</v>
      </c>
      <c r="J2377">
        <v>4.8</v>
      </c>
      <c r="K2377" t="e">
        <f>IF(COUNTIF(#REF!,Tabela2[[#This Row],[IdxWspolny]])&gt;0,"ELEM_lub_PRD","TECHN")</f>
        <v>#REF!</v>
      </c>
      <c r="L2377" t="e">
        <f>IF(COUNTIF(#REF!,Tabela2[[#This Row],[KOD_PRODUKTU]])&gt;0,"ELEMENT","PRODUKT")</f>
        <v>#REF!</v>
      </c>
      <c r="M2377" t="e">
        <f>COUNTIF(#REF!,Tabela2[[#This Row],[KOD_PRODUKTU]])</f>
        <v>#REF!</v>
      </c>
    </row>
    <row r="2378" spans="1:13" x14ac:dyDescent="0.25">
      <c r="A2378" s="1" t="s">
        <v>3840</v>
      </c>
      <c r="B2378" t="s">
        <v>3841</v>
      </c>
      <c r="C2378" s="1" t="s">
        <v>1234</v>
      </c>
      <c r="D2378" s="1" t="s">
        <v>1234</v>
      </c>
      <c r="E2378" s="1" t="s">
        <v>1234</v>
      </c>
      <c r="F2378" t="s">
        <v>1235</v>
      </c>
      <c r="G2378" t="s">
        <v>108</v>
      </c>
      <c r="H2378" t="s">
        <v>932</v>
      </c>
      <c r="I2378" t="s">
        <v>2677</v>
      </c>
      <c r="J2378">
        <v>1.8</v>
      </c>
      <c r="K2378" t="e">
        <f>IF(COUNTIF(#REF!,Tabela2[[#This Row],[IdxWspolny]])&gt;0,"ELEM_lub_PRD","TECHN")</f>
        <v>#REF!</v>
      </c>
      <c r="L2378" t="e">
        <f>IF(COUNTIF(#REF!,Tabela2[[#This Row],[KOD_PRODUKTU]])&gt;0,"ELEMENT","PRODUKT")</f>
        <v>#REF!</v>
      </c>
      <c r="M2378" t="e">
        <f>COUNTIF(#REF!,Tabela2[[#This Row],[KOD_PRODUKTU]])</f>
        <v>#REF!</v>
      </c>
    </row>
    <row r="2379" spans="1:13" x14ac:dyDescent="0.25">
      <c r="A2379" s="1" t="s">
        <v>3840</v>
      </c>
      <c r="B2379" t="s">
        <v>3841</v>
      </c>
      <c r="C2379" s="1" t="s">
        <v>684</v>
      </c>
      <c r="D2379" s="1" t="s">
        <v>684</v>
      </c>
      <c r="E2379" s="1" t="s">
        <v>684</v>
      </c>
      <c r="F2379" t="s">
        <v>685</v>
      </c>
      <c r="G2379" t="s">
        <v>686</v>
      </c>
      <c r="H2379" t="s">
        <v>49</v>
      </c>
      <c r="I2379" t="s">
        <v>3843</v>
      </c>
      <c r="J2379">
        <v>10</v>
      </c>
      <c r="K2379" t="e">
        <f>IF(COUNTIF(#REF!,Tabela2[[#This Row],[IdxWspolny]])&gt;0,"ELEM_lub_PRD","TECHN")</f>
        <v>#REF!</v>
      </c>
      <c r="L2379" t="e">
        <f>IF(COUNTIF(#REF!,Tabela2[[#This Row],[KOD_PRODUKTU]])&gt;0,"ELEMENT","PRODUKT")</f>
        <v>#REF!</v>
      </c>
      <c r="M2379" t="e">
        <f>COUNTIF(#REF!,Tabela2[[#This Row],[KOD_PRODUKTU]])</f>
        <v>#REF!</v>
      </c>
    </row>
    <row r="2380" spans="1:13" x14ac:dyDescent="0.25">
      <c r="A2380" s="1" t="s">
        <v>3840</v>
      </c>
      <c r="B2380" t="s">
        <v>3841</v>
      </c>
      <c r="C2380" s="1" t="s">
        <v>684</v>
      </c>
      <c r="D2380" s="1" t="s">
        <v>684</v>
      </c>
      <c r="E2380" s="1" t="s">
        <v>684</v>
      </c>
      <c r="F2380" t="s">
        <v>685</v>
      </c>
      <c r="G2380" t="s">
        <v>686</v>
      </c>
      <c r="H2380" t="s">
        <v>49</v>
      </c>
      <c r="I2380" t="s">
        <v>3844</v>
      </c>
      <c r="J2380">
        <v>28.75</v>
      </c>
      <c r="K2380" t="e">
        <f>IF(COUNTIF(#REF!,Tabela2[[#This Row],[IdxWspolny]])&gt;0,"ELEM_lub_PRD","TECHN")</f>
        <v>#REF!</v>
      </c>
      <c r="L2380" t="e">
        <f>IF(COUNTIF(#REF!,Tabela2[[#This Row],[KOD_PRODUKTU]])&gt;0,"ELEMENT","PRODUKT")</f>
        <v>#REF!</v>
      </c>
      <c r="M2380" t="e">
        <f>COUNTIF(#REF!,Tabela2[[#This Row],[KOD_PRODUKTU]])</f>
        <v>#REF!</v>
      </c>
    </row>
    <row r="2381" spans="1:13" x14ac:dyDescent="0.25">
      <c r="A2381" s="1" t="s">
        <v>3840</v>
      </c>
      <c r="B2381" t="s">
        <v>3841</v>
      </c>
      <c r="C2381" s="1" t="s">
        <v>7</v>
      </c>
      <c r="D2381" s="1" t="s">
        <v>7</v>
      </c>
      <c r="E2381" s="1" t="s">
        <v>7</v>
      </c>
      <c r="F2381" t="s">
        <v>8</v>
      </c>
      <c r="G2381" t="s">
        <v>9</v>
      </c>
      <c r="H2381" t="s">
        <v>10</v>
      </c>
      <c r="I2381" t="s">
        <v>3845</v>
      </c>
      <c r="J2381">
        <v>36.33</v>
      </c>
      <c r="K2381" t="e">
        <f>IF(COUNTIF(#REF!,Tabela2[[#This Row],[IdxWspolny]])&gt;0,"ELEM_lub_PRD","TECHN")</f>
        <v>#REF!</v>
      </c>
      <c r="L2381" t="e">
        <f>IF(COUNTIF(#REF!,Tabela2[[#This Row],[KOD_PRODUKTU]])&gt;0,"ELEMENT","PRODUKT")</f>
        <v>#REF!</v>
      </c>
      <c r="M2381" t="e">
        <f>COUNTIF(#REF!,Tabela2[[#This Row],[KOD_PRODUKTU]])</f>
        <v>#REF!</v>
      </c>
    </row>
    <row r="2382" spans="1:13" x14ac:dyDescent="0.25">
      <c r="A2382" s="1" t="s">
        <v>3840</v>
      </c>
      <c r="B2382" t="s">
        <v>3841</v>
      </c>
      <c r="C2382" s="1" t="s">
        <v>7</v>
      </c>
      <c r="D2382" s="1" t="s">
        <v>7</v>
      </c>
      <c r="E2382" s="1" t="s">
        <v>7</v>
      </c>
      <c r="F2382" t="s">
        <v>8</v>
      </c>
      <c r="G2382" t="s">
        <v>9</v>
      </c>
      <c r="H2382" t="s">
        <v>10</v>
      </c>
      <c r="I2382" t="s">
        <v>3846</v>
      </c>
      <c r="J2382">
        <v>8.43</v>
      </c>
      <c r="K2382" t="e">
        <f>IF(COUNTIF(#REF!,Tabela2[[#This Row],[IdxWspolny]])&gt;0,"ELEM_lub_PRD","TECHN")</f>
        <v>#REF!</v>
      </c>
      <c r="L2382" t="e">
        <f>IF(COUNTIF(#REF!,Tabela2[[#This Row],[KOD_PRODUKTU]])&gt;0,"ELEMENT","PRODUKT")</f>
        <v>#REF!</v>
      </c>
      <c r="M2382" t="e">
        <f>COUNTIF(#REF!,Tabela2[[#This Row],[KOD_PRODUKTU]])</f>
        <v>#REF!</v>
      </c>
    </row>
    <row r="2383" spans="1:13" x14ac:dyDescent="0.25">
      <c r="A2383" s="1" t="s">
        <v>3847</v>
      </c>
      <c r="B2383" t="s">
        <v>3848</v>
      </c>
      <c r="C2383" s="1" t="s">
        <v>2668</v>
      </c>
      <c r="D2383" s="1" t="s">
        <v>2668</v>
      </c>
      <c r="E2383" s="1" t="s">
        <v>2668</v>
      </c>
      <c r="F2383" t="s">
        <v>2669</v>
      </c>
      <c r="G2383" t="s">
        <v>2670</v>
      </c>
      <c r="H2383" t="s">
        <v>5</v>
      </c>
      <c r="I2383" t="s">
        <v>3849</v>
      </c>
      <c r="J2383">
        <v>3.15</v>
      </c>
      <c r="K2383" t="e">
        <f>IF(COUNTIF(#REF!,Tabela2[[#This Row],[IdxWspolny]])&gt;0,"ELEM_lub_PRD","TECHN")</f>
        <v>#REF!</v>
      </c>
      <c r="L2383" t="e">
        <f>IF(COUNTIF(#REF!,Tabela2[[#This Row],[KOD_PRODUKTU]])&gt;0,"ELEMENT","PRODUKT")</f>
        <v>#REF!</v>
      </c>
      <c r="M2383" t="e">
        <f>COUNTIF(#REF!,Tabela2[[#This Row],[KOD_PRODUKTU]])</f>
        <v>#REF!</v>
      </c>
    </row>
    <row r="2384" spans="1:13" x14ac:dyDescent="0.25">
      <c r="A2384" s="1" t="s">
        <v>3847</v>
      </c>
      <c r="B2384" t="s">
        <v>3848</v>
      </c>
      <c r="C2384" s="1" t="s">
        <v>1234</v>
      </c>
      <c r="D2384" s="1" t="s">
        <v>1234</v>
      </c>
      <c r="E2384" s="1" t="s">
        <v>1234</v>
      </c>
      <c r="F2384" t="s">
        <v>1235</v>
      </c>
      <c r="G2384" t="s">
        <v>108</v>
      </c>
      <c r="H2384" t="s">
        <v>932</v>
      </c>
      <c r="I2384" t="s">
        <v>2677</v>
      </c>
      <c r="J2384">
        <v>1.8</v>
      </c>
      <c r="K2384" t="e">
        <f>IF(COUNTIF(#REF!,Tabela2[[#This Row],[IdxWspolny]])&gt;0,"ELEM_lub_PRD","TECHN")</f>
        <v>#REF!</v>
      </c>
      <c r="L2384" t="e">
        <f>IF(COUNTIF(#REF!,Tabela2[[#This Row],[KOD_PRODUKTU]])&gt;0,"ELEMENT","PRODUKT")</f>
        <v>#REF!</v>
      </c>
      <c r="M2384" t="e">
        <f>COUNTIF(#REF!,Tabela2[[#This Row],[KOD_PRODUKTU]])</f>
        <v>#REF!</v>
      </c>
    </row>
    <row r="2385" spans="1:13" x14ac:dyDescent="0.25">
      <c r="A2385" s="1" t="s">
        <v>3847</v>
      </c>
      <c r="B2385" t="s">
        <v>3848</v>
      </c>
      <c r="C2385" s="1" t="s">
        <v>684</v>
      </c>
      <c r="D2385" s="1" t="s">
        <v>684</v>
      </c>
      <c r="E2385" s="1" t="s">
        <v>684</v>
      </c>
      <c r="F2385" t="s">
        <v>685</v>
      </c>
      <c r="G2385" t="s">
        <v>686</v>
      </c>
      <c r="H2385" t="s">
        <v>49</v>
      </c>
      <c r="I2385" t="s">
        <v>2500</v>
      </c>
      <c r="J2385">
        <v>5</v>
      </c>
      <c r="K2385" t="e">
        <f>IF(COUNTIF(#REF!,Tabela2[[#This Row],[IdxWspolny]])&gt;0,"ELEM_lub_PRD","TECHN")</f>
        <v>#REF!</v>
      </c>
      <c r="L2385" t="e">
        <f>IF(COUNTIF(#REF!,Tabela2[[#This Row],[KOD_PRODUKTU]])&gt;0,"ELEMENT","PRODUKT")</f>
        <v>#REF!</v>
      </c>
      <c r="M2385" t="e">
        <f>COUNTIF(#REF!,Tabela2[[#This Row],[KOD_PRODUKTU]])</f>
        <v>#REF!</v>
      </c>
    </row>
    <row r="2386" spans="1:13" x14ac:dyDescent="0.25">
      <c r="A2386" s="1" t="s">
        <v>3847</v>
      </c>
      <c r="B2386" t="s">
        <v>3848</v>
      </c>
      <c r="C2386" s="1" t="s">
        <v>7</v>
      </c>
      <c r="D2386" s="1" t="s">
        <v>7</v>
      </c>
      <c r="E2386" s="1" t="s">
        <v>7</v>
      </c>
      <c r="F2386" t="s">
        <v>8</v>
      </c>
      <c r="G2386" t="s">
        <v>9</v>
      </c>
      <c r="H2386" t="s">
        <v>10</v>
      </c>
      <c r="I2386" t="s">
        <v>3850</v>
      </c>
      <c r="J2386">
        <v>8.3699999999999992</v>
      </c>
      <c r="K2386" t="e">
        <f>IF(COUNTIF(#REF!,Tabela2[[#This Row],[IdxWspolny]])&gt;0,"ELEM_lub_PRD","TECHN")</f>
        <v>#REF!</v>
      </c>
      <c r="L2386" t="e">
        <f>IF(COUNTIF(#REF!,Tabela2[[#This Row],[KOD_PRODUKTU]])&gt;0,"ELEMENT","PRODUKT")</f>
        <v>#REF!</v>
      </c>
      <c r="M2386" t="e">
        <f>COUNTIF(#REF!,Tabela2[[#This Row],[KOD_PRODUKTU]])</f>
        <v>#REF!</v>
      </c>
    </row>
    <row r="2387" spans="1:13" x14ac:dyDescent="0.25">
      <c r="A2387" s="1" t="s">
        <v>3847</v>
      </c>
      <c r="B2387" t="s">
        <v>3848</v>
      </c>
      <c r="C2387" s="1" t="s">
        <v>7</v>
      </c>
      <c r="D2387" s="1" t="s">
        <v>7</v>
      </c>
      <c r="E2387" s="1" t="s">
        <v>7</v>
      </c>
      <c r="F2387" t="s">
        <v>8</v>
      </c>
      <c r="G2387" t="s">
        <v>9</v>
      </c>
      <c r="H2387" t="s">
        <v>10</v>
      </c>
      <c r="I2387" t="s">
        <v>3851</v>
      </c>
      <c r="J2387">
        <v>14.33</v>
      </c>
      <c r="K2387" t="e">
        <f>IF(COUNTIF(#REF!,Tabela2[[#This Row],[IdxWspolny]])&gt;0,"ELEM_lub_PRD","TECHN")</f>
        <v>#REF!</v>
      </c>
      <c r="L2387" t="e">
        <f>IF(COUNTIF(#REF!,Tabela2[[#This Row],[KOD_PRODUKTU]])&gt;0,"ELEMENT","PRODUKT")</f>
        <v>#REF!</v>
      </c>
      <c r="M2387" t="e">
        <f>COUNTIF(#REF!,Tabela2[[#This Row],[KOD_PRODUKTU]])</f>
        <v>#REF!</v>
      </c>
    </row>
    <row r="2388" spans="1:13" x14ac:dyDescent="0.25">
      <c r="A2388" s="1" t="s">
        <v>3852</v>
      </c>
      <c r="B2388" t="s">
        <v>3853</v>
      </c>
      <c r="C2388" s="1" t="s">
        <v>684</v>
      </c>
      <c r="D2388" s="1" t="s">
        <v>684</v>
      </c>
      <c r="E2388" s="1" t="s">
        <v>684</v>
      </c>
      <c r="F2388" t="s">
        <v>685</v>
      </c>
      <c r="G2388" t="s">
        <v>686</v>
      </c>
      <c r="H2388" t="s">
        <v>49</v>
      </c>
      <c r="I2388" t="s">
        <v>3854</v>
      </c>
      <c r="J2388">
        <v>52.5</v>
      </c>
      <c r="K2388" t="e">
        <f>IF(COUNTIF(#REF!,Tabela2[[#This Row],[IdxWspolny]])&gt;0,"ELEM_lub_PRD","TECHN")</f>
        <v>#REF!</v>
      </c>
      <c r="L2388" t="e">
        <f>IF(COUNTIF(#REF!,Tabela2[[#This Row],[KOD_PRODUKTU]])&gt;0,"ELEMENT","PRODUKT")</f>
        <v>#REF!</v>
      </c>
      <c r="M2388" t="e">
        <f>COUNTIF(#REF!,Tabela2[[#This Row],[KOD_PRODUKTU]])</f>
        <v>#REF!</v>
      </c>
    </row>
    <row r="2389" spans="1:13" x14ac:dyDescent="0.25">
      <c r="A2389" s="1" t="s">
        <v>3852</v>
      </c>
      <c r="B2389" t="s">
        <v>3853</v>
      </c>
      <c r="C2389" s="1" t="s">
        <v>541</v>
      </c>
      <c r="D2389" s="1" t="s">
        <v>541</v>
      </c>
      <c r="E2389" s="1" t="s">
        <v>541</v>
      </c>
      <c r="F2389" t="s">
        <v>542</v>
      </c>
      <c r="G2389" t="s">
        <v>9</v>
      </c>
      <c r="H2389" t="s">
        <v>10</v>
      </c>
      <c r="I2389" t="s">
        <v>3855</v>
      </c>
      <c r="J2389">
        <v>96.6</v>
      </c>
      <c r="K2389" t="e">
        <f>IF(COUNTIF(#REF!,Tabela2[[#This Row],[IdxWspolny]])&gt;0,"ELEM_lub_PRD","TECHN")</f>
        <v>#REF!</v>
      </c>
      <c r="L2389" t="e">
        <f>IF(COUNTIF(#REF!,Tabela2[[#This Row],[KOD_PRODUKTU]])&gt;0,"ELEMENT","PRODUKT")</f>
        <v>#REF!</v>
      </c>
      <c r="M2389" t="e">
        <f>COUNTIF(#REF!,Tabela2[[#This Row],[KOD_PRODUKTU]])</f>
        <v>#REF!</v>
      </c>
    </row>
    <row r="2390" spans="1:13" x14ac:dyDescent="0.25">
      <c r="A2390" s="1" t="s">
        <v>3856</v>
      </c>
      <c r="B2390" t="s">
        <v>3857</v>
      </c>
      <c r="C2390" s="1" t="s">
        <v>2</v>
      </c>
      <c r="D2390" s="1" t="s">
        <v>2</v>
      </c>
      <c r="E2390" s="1" t="s">
        <v>2</v>
      </c>
      <c r="F2390" t="s">
        <v>3</v>
      </c>
      <c r="G2390" t="s">
        <v>4</v>
      </c>
      <c r="H2390" t="s">
        <v>5</v>
      </c>
      <c r="I2390" t="s">
        <v>3817</v>
      </c>
      <c r="J2390">
        <v>0.4</v>
      </c>
      <c r="K2390" t="e">
        <f>IF(COUNTIF(#REF!,Tabela2[[#This Row],[IdxWspolny]])&gt;0,"ELEM_lub_PRD","TECHN")</f>
        <v>#REF!</v>
      </c>
      <c r="L2390" t="e">
        <f>IF(COUNTIF(#REF!,Tabela2[[#This Row],[KOD_PRODUKTU]])&gt;0,"ELEMENT","PRODUKT")</f>
        <v>#REF!</v>
      </c>
      <c r="M2390" t="e">
        <f>COUNTIF(#REF!,Tabela2[[#This Row],[KOD_PRODUKTU]])</f>
        <v>#REF!</v>
      </c>
    </row>
    <row r="2391" spans="1:13" x14ac:dyDescent="0.25">
      <c r="A2391" s="1" t="s">
        <v>3856</v>
      </c>
      <c r="B2391" t="s">
        <v>3857</v>
      </c>
      <c r="C2391" s="1" t="s">
        <v>432</v>
      </c>
      <c r="D2391" s="1" t="s">
        <v>432</v>
      </c>
      <c r="E2391" s="1" t="s">
        <v>432</v>
      </c>
      <c r="F2391" t="s">
        <v>433</v>
      </c>
      <c r="G2391" t="s">
        <v>434</v>
      </c>
      <c r="H2391" t="s">
        <v>435</v>
      </c>
      <c r="I2391" t="s">
        <v>50</v>
      </c>
      <c r="J2391">
        <v>1.1000000000000001</v>
      </c>
      <c r="K2391" t="e">
        <f>IF(COUNTIF(#REF!,Tabela2[[#This Row],[IdxWspolny]])&gt;0,"ELEM_lub_PRD","TECHN")</f>
        <v>#REF!</v>
      </c>
      <c r="L2391" t="e">
        <f>IF(COUNTIF(#REF!,Tabela2[[#This Row],[KOD_PRODUKTU]])&gt;0,"ELEMENT","PRODUKT")</f>
        <v>#REF!</v>
      </c>
      <c r="M2391" t="e">
        <f>COUNTIF(#REF!,Tabela2[[#This Row],[KOD_PRODUKTU]])</f>
        <v>#REF!</v>
      </c>
    </row>
    <row r="2392" spans="1:13" x14ac:dyDescent="0.25">
      <c r="A2392" s="1" t="s">
        <v>3856</v>
      </c>
      <c r="B2392" t="s">
        <v>3857</v>
      </c>
      <c r="C2392" s="1" t="s">
        <v>541</v>
      </c>
      <c r="D2392" s="1" t="s">
        <v>541</v>
      </c>
      <c r="E2392" s="1" t="s">
        <v>541</v>
      </c>
      <c r="F2392" t="s">
        <v>542</v>
      </c>
      <c r="G2392" t="s">
        <v>9</v>
      </c>
      <c r="H2392" t="s">
        <v>10</v>
      </c>
      <c r="I2392" t="s">
        <v>1225</v>
      </c>
      <c r="J2392">
        <v>2.5</v>
      </c>
      <c r="K2392" t="e">
        <f>IF(COUNTIF(#REF!,Tabela2[[#This Row],[IdxWspolny]])&gt;0,"ELEM_lub_PRD","TECHN")</f>
        <v>#REF!</v>
      </c>
      <c r="L2392" t="e">
        <f>IF(COUNTIF(#REF!,Tabela2[[#This Row],[KOD_PRODUKTU]])&gt;0,"ELEMENT","PRODUKT")</f>
        <v>#REF!</v>
      </c>
      <c r="M2392" t="e">
        <f>COUNTIF(#REF!,Tabela2[[#This Row],[KOD_PRODUKTU]])</f>
        <v>#REF!</v>
      </c>
    </row>
    <row r="2393" spans="1:13" x14ac:dyDescent="0.25">
      <c r="A2393" s="1" t="s">
        <v>3856</v>
      </c>
      <c r="B2393" t="s">
        <v>3857</v>
      </c>
      <c r="C2393" s="1" t="s">
        <v>7</v>
      </c>
      <c r="D2393" s="1" t="s">
        <v>7</v>
      </c>
      <c r="E2393" s="1" t="s">
        <v>7</v>
      </c>
      <c r="F2393" t="s">
        <v>8</v>
      </c>
      <c r="G2393" t="s">
        <v>9</v>
      </c>
      <c r="H2393" t="s">
        <v>10</v>
      </c>
      <c r="I2393" t="s">
        <v>1044</v>
      </c>
      <c r="J2393">
        <v>4.8</v>
      </c>
      <c r="K2393" t="e">
        <f>IF(COUNTIF(#REF!,Tabela2[[#This Row],[IdxWspolny]])&gt;0,"ELEM_lub_PRD","TECHN")</f>
        <v>#REF!</v>
      </c>
      <c r="L2393" t="e">
        <f>IF(COUNTIF(#REF!,Tabela2[[#This Row],[KOD_PRODUKTU]])&gt;0,"ELEMENT","PRODUKT")</f>
        <v>#REF!</v>
      </c>
      <c r="M2393" t="e">
        <f>COUNTIF(#REF!,Tabela2[[#This Row],[KOD_PRODUKTU]])</f>
        <v>#REF!</v>
      </c>
    </row>
    <row r="2394" spans="1:13" x14ac:dyDescent="0.25">
      <c r="A2394" s="1" t="s">
        <v>3858</v>
      </c>
      <c r="B2394" t="s">
        <v>3859</v>
      </c>
      <c r="C2394" s="1" t="s">
        <v>3407</v>
      </c>
      <c r="D2394" s="1" t="s">
        <v>3407</v>
      </c>
      <c r="E2394" s="1" t="s">
        <v>3407</v>
      </c>
      <c r="F2394" t="s">
        <v>3408</v>
      </c>
      <c r="G2394" t="s">
        <v>70</v>
      </c>
      <c r="H2394" t="s">
        <v>5</v>
      </c>
      <c r="I2394" t="s">
        <v>367</v>
      </c>
      <c r="J2394">
        <v>0.25</v>
      </c>
      <c r="K2394" t="e">
        <f>IF(COUNTIF(#REF!,Tabela2[[#This Row],[IdxWspolny]])&gt;0,"ELEM_lub_PRD","TECHN")</f>
        <v>#REF!</v>
      </c>
      <c r="L2394" t="e">
        <f>IF(COUNTIF(#REF!,Tabela2[[#This Row],[KOD_PRODUKTU]])&gt;0,"ELEMENT","PRODUKT")</f>
        <v>#REF!</v>
      </c>
      <c r="M2394" t="e">
        <f>COUNTIF(#REF!,Tabela2[[#This Row],[KOD_PRODUKTU]])</f>
        <v>#REF!</v>
      </c>
    </row>
    <row r="2395" spans="1:13" x14ac:dyDescent="0.25">
      <c r="A2395" s="1" t="s">
        <v>3858</v>
      </c>
      <c r="B2395" t="s">
        <v>3859</v>
      </c>
      <c r="C2395" s="1" t="s">
        <v>432</v>
      </c>
      <c r="D2395" s="1" t="s">
        <v>432</v>
      </c>
      <c r="E2395" s="1" t="s">
        <v>432</v>
      </c>
      <c r="F2395" t="s">
        <v>433</v>
      </c>
      <c r="G2395" t="s">
        <v>434</v>
      </c>
      <c r="H2395" t="s">
        <v>435</v>
      </c>
      <c r="I2395" t="s">
        <v>50</v>
      </c>
      <c r="J2395">
        <v>1.1000000000000001</v>
      </c>
      <c r="K2395" t="e">
        <f>IF(COUNTIF(#REF!,Tabela2[[#This Row],[IdxWspolny]])&gt;0,"ELEM_lub_PRD","TECHN")</f>
        <v>#REF!</v>
      </c>
      <c r="L2395" t="e">
        <f>IF(COUNTIF(#REF!,Tabela2[[#This Row],[KOD_PRODUKTU]])&gt;0,"ELEMENT","PRODUKT")</f>
        <v>#REF!</v>
      </c>
      <c r="M2395" t="e">
        <f>COUNTIF(#REF!,Tabela2[[#This Row],[KOD_PRODUKTU]])</f>
        <v>#REF!</v>
      </c>
    </row>
    <row r="2396" spans="1:13" x14ac:dyDescent="0.25">
      <c r="A2396" s="1" t="s">
        <v>3858</v>
      </c>
      <c r="B2396" t="s">
        <v>3859</v>
      </c>
      <c r="C2396" s="1" t="s">
        <v>7</v>
      </c>
      <c r="D2396" s="1" t="s">
        <v>7</v>
      </c>
      <c r="E2396" s="1" t="s">
        <v>7</v>
      </c>
      <c r="F2396" t="s">
        <v>8</v>
      </c>
      <c r="G2396" t="s">
        <v>9</v>
      </c>
      <c r="H2396" t="s">
        <v>10</v>
      </c>
      <c r="I2396" t="s">
        <v>367</v>
      </c>
      <c r="J2396">
        <v>2.2999999999999998</v>
      </c>
      <c r="K2396" t="e">
        <f>IF(COUNTIF(#REF!,Tabela2[[#This Row],[IdxWspolny]])&gt;0,"ELEM_lub_PRD","TECHN")</f>
        <v>#REF!</v>
      </c>
      <c r="L2396" t="e">
        <f>IF(COUNTIF(#REF!,Tabela2[[#This Row],[KOD_PRODUKTU]])&gt;0,"ELEMENT","PRODUKT")</f>
        <v>#REF!</v>
      </c>
      <c r="M2396" t="e">
        <f>COUNTIF(#REF!,Tabela2[[#This Row],[KOD_PRODUKTU]])</f>
        <v>#REF!</v>
      </c>
    </row>
    <row r="2397" spans="1:13" x14ac:dyDescent="0.25">
      <c r="A2397" s="1" t="s">
        <v>3860</v>
      </c>
      <c r="B2397" t="s">
        <v>3861</v>
      </c>
      <c r="C2397" s="1" t="s">
        <v>1495</v>
      </c>
      <c r="D2397" s="1" t="s">
        <v>1495</v>
      </c>
      <c r="E2397" s="1" t="s">
        <v>1495</v>
      </c>
      <c r="F2397" t="s">
        <v>1496</v>
      </c>
      <c r="G2397" t="s">
        <v>1017</v>
      </c>
      <c r="H2397" t="s">
        <v>5</v>
      </c>
      <c r="I2397" t="s">
        <v>601</v>
      </c>
      <c r="J2397">
        <v>4.05</v>
      </c>
      <c r="K2397" t="e">
        <f>IF(COUNTIF(#REF!,Tabela2[[#This Row],[IdxWspolny]])&gt;0,"ELEM_lub_PRD","TECHN")</f>
        <v>#REF!</v>
      </c>
      <c r="L2397" t="e">
        <f>IF(COUNTIF(#REF!,Tabela2[[#This Row],[KOD_PRODUKTU]])&gt;0,"ELEMENT","PRODUKT")</f>
        <v>#REF!</v>
      </c>
      <c r="M2397" t="e">
        <f>COUNTIF(#REF!,Tabela2[[#This Row],[KOD_PRODUKTU]])</f>
        <v>#REF!</v>
      </c>
    </row>
    <row r="2398" spans="1:13" x14ac:dyDescent="0.25">
      <c r="A2398" s="1" t="s">
        <v>3860</v>
      </c>
      <c r="B2398" t="s">
        <v>3861</v>
      </c>
      <c r="C2398" s="1" t="s">
        <v>7</v>
      </c>
      <c r="D2398" s="1" t="s">
        <v>7</v>
      </c>
      <c r="E2398" s="1" t="s">
        <v>7</v>
      </c>
      <c r="F2398" t="s">
        <v>8</v>
      </c>
      <c r="G2398" t="s">
        <v>9</v>
      </c>
      <c r="H2398" t="s">
        <v>10</v>
      </c>
      <c r="I2398" t="s">
        <v>3862</v>
      </c>
      <c r="J2398">
        <v>9.3000000000000007</v>
      </c>
      <c r="K2398" t="e">
        <f>IF(COUNTIF(#REF!,Tabela2[[#This Row],[IdxWspolny]])&gt;0,"ELEM_lub_PRD","TECHN")</f>
        <v>#REF!</v>
      </c>
      <c r="L2398" t="e">
        <f>IF(COUNTIF(#REF!,Tabela2[[#This Row],[KOD_PRODUKTU]])&gt;0,"ELEMENT","PRODUKT")</f>
        <v>#REF!</v>
      </c>
      <c r="M2398" t="e">
        <f>COUNTIF(#REF!,Tabela2[[#This Row],[KOD_PRODUKTU]])</f>
        <v>#REF!</v>
      </c>
    </row>
    <row r="2399" spans="1:13" x14ac:dyDescent="0.25">
      <c r="A2399" s="1" t="s">
        <v>3863</v>
      </c>
      <c r="B2399" t="s">
        <v>3864</v>
      </c>
      <c r="C2399" s="1" t="s">
        <v>3865</v>
      </c>
      <c r="D2399" s="1" t="s">
        <v>3865</v>
      </c>
      <c r="E2399" s="1" t="s">
        <v>3865</v>
      </c>
      <c r="F2399" t="s">
        <v>3866</v>
      </c>
      <c r="G2399" t="s">
        <v>403</v>
      </c>
      <c r="H2399" t="s">
        <v>17</v>
      </c>
      <c r="I2399" t="s">
        <v>3433</v>
      </c>
      <c r="J2399">
        <v>0.1</v>
      </c>
      <c r="K2399" t="e">
        <f>IF(COUNTIF(#REF!,Tabela2[[#This Row],[IdxWspolny]])&gt;0,"ELEM_lub_PRD","TECHN")</f>
        <v>#REF!</v>
      </c>
      <c r="L2399" t="e">
        <f>IF(COUNTIF(#REF!,Tabela2[[#This Row],[KOD_PRODUKTU]])&gt;0,"ELEMENT","PRODUKT")</f>
        <v>#REF!</v>
      </c>
      <c r="M2399" t="e">
        <f>COUNTIF(#REF!,Tabela2[[#This Row],[KOD_PRODUKTU]])</f>
        <v>#REF!</v>
      </c>
    </row>
    <row r="2400" spans="1:13" x14ac:dyDescent="0.25">
      <c r="A2400" s="1" t="s">
        <v>3863</v>
      </c>
      <c r="B2400" t="s">
        <v>3864</v>
      </c>
      <c r="C2400" s="1" t="s">
        <v>432</v>
      </c>
      <c r="D2400" s="1" t="s">
        <v>432</v>
      </c>
      <c r="E2400" s="1" t="s">
        <v>432</v>
      </c>
      <c r="F2400" t="s">
        <v>433</v>
      </c>
      <c r="G2400" t="s">
        <v>434</v>
      </c>
      <c r="H2400" t="s">
        <v>435</v>
      </c>
      <c r="I2400" t="s">
        <v>50</v>
      </c>
      <c r="J2400">
        <v>1.1000000000000001</v>
      </c>
      <c r="K2400" t="e">
        <f>IF(COUNTIF(#REF!,Tabela2[[#This Row],[IdxWspolny]])&gt;0,"ELEM_lub_PRD","TECHN")</f>
        <v>#REF!</v>
      </c>
      <c r="L2400" t="e">
        <f>IF(COUNTIF(#REF!,Tabela2[[#This Row],[KOD_PRODUKTU]])&gt;0,"ELEMENT","PRODUKT")</f>
        <v>#REF!</v>
      </c>
      <c r="M2400" t="e">
        <f>COUNTIF(#REF!,Tabela2[[#This Row],[KOD_PRODUKTU]])</f>
        <v>#REF!</v>
      </c>
    </row>
    <row r="2401" spans="1:13" x14ac:dyDescent="0.25">
      <c r="A2401" s="1" t="s">
        <v>3863</v>
      </c>
      <c r="B2401" t="s">
        <v>3864</v>
      </c>
      <c r="C2401" s="1" t="s">
        <v>7</v>
      </c>
      <c r="D2401" s="1" t="s">
        <v>7</v>
      </c>
      <c r="E2401" s="1" t="s">
        <v>7</v>
      </c>
      <c r="F2401" t="s">
        <v>8</v>
      </c>
      <c r="G2401" t="s">
        <v>9</v>
      </c>
      <c r="H2401" t="s">
        <v>10</v>
      </c>
      <c r="I2401" t="s">
        <v>3867</v>
      </c>
      <c r="J2401">
        <v>2.4500000000000002</v>
      </c>
      <c r="K2401" t="e">
        <f>IF(COUNTIF(#REF!,Tabela2[[#This Row],[IdxWspolny]])&gt;0,"ELEM_lub_PRD","TECHN")</f>
        <v>#REF!</v>
      </c>
      <c r="L2401" t="e">
        <f>IF(COUNTIF(#REF!,Tabela2[[#This Row],[KOD_PRODUKTU]])&gt;0,"ELEMENT","PRODUKT")</f>
        <v>#REF!</v>
      </c>
      <c r="M2401" t="e">
        <f>COUNTIF(#REF!,Tabela2[[#This Row],[KOD_PRODUKTU]])</f>
        <v>#REF!</v>
      </c>
    </row>
    <row r="2402" spans="1:13" x14ac:dyDescent="0.25">
      <c r="A2402" s="1" t="s">
        <v>3868</v>
      </c>
      <c r="B2402" t="s">
        <v>3869</v>
      </c>
      <c r="C2402" s="1" t="s">
        <v>3510</v>
      </c>
      <c r="D2402" s="1" t="s">
        <v>3510</v>
      </c>
      <c r="E2402" s="1" t="s">
        <v>3510</v>
      </c>
      <c r="F2402" t="s">
        <v>3511</v>
      </c>
      <c r="G2402" t="s">
        <v>1017</v>
      </c>
      <c r="H2402" t="s">
        <v>5</v>
      </c>
      <c r="I2402" t="s">
        <v>19</v>
      </c>
      <c r="J2402">
        <v>2.7</v>
      </c>
      <c r="K2402" t="e">
        <f>IF(COUNTIF(#REF!,Tabela2[[#This Row],[IdxWspolny]])&gt;0,"ELEM_lub_PRD","TECHN")</f>
        <v>#REF!</v>
      </c>
      <c r="L2402" t="e">
        <f>IF(COUNTIF(#REF!,Tabela2[[#This Row],[KOD_PRODUKTU]])&gt;0,"ELEMENT","PRODUKT")</f>
        <v>#REF!</v>
      </c>
      <c r="M2402" t="e">
        <f>COUNTIF(#REF!,Tabela2[[#This Row],[KOD_PRODUKTU]])</f>
        <v>#REF!</v>
      </c>
    </row>
    <row r="2403" spans="1:13" x14ac:dyDescent="0.25">
      <c r="A2403" s="1" t="s">
        <v>3868</v>
      </c>
      <c r="B2403" t="s">
        <v>3869</v>
      </c>
      <c r="C2403" s="1" t="s">
        <v>541</v>
      </c>
      <c r="D2403" s="1" t="s">
        <v>541</v>
      </c>
      <c r="E2403" s="1" t="s">
        <v>541</v>
      </c>
      <c r="F2403" t="s">
        <v>542</v>
      </c>
      <c r="G2403" t="s">
        <v>9</v>
      </c>
      <c r="H2403" t="s">
        <v>10</v>
      </c>
      <c r="I2403" t="s">
        <v>3870</v>
      </c>
      <c r="J2403">
        <v>9.61</v>
      </c>
      <c r="K2403" t="e">
        <f>IF(COUNTIF(#REF!,Tabela2[[#This Row],[IdxWspolny]])&gt;0,"ELEM_lub_PRD","TECHN")</f>
        <v>#REF!</v>
      </c>
      <c r="L2403" t="e">
        <f>IF(COUNTIF(#REF!,Tabela2[[#This Row],[KOD_PRODUKTU]])&gt;0,"ELEMENT","PRODUKT")</f>
        <v>#REF!</v>
      </c>
      <c r="M2403" t="e">
        <f>COUNTIF(#REF!,Tabela2[[#This Row],[KOD_PRODUKTU]])</f>
        <v>#REF!</v>
      </c>
    </row>
    <row r="2404" spans="1:13" x14ac:dyDescent="0.25">
      <c r="A2404" s="1" t="s">
        <v>3871</v>
      </c>
      <c r="B2404" t="s">
        <v>3872</v>
      </c>
      <c r="C2404" s="1" t="s">
        <v>3873</v>
      </c>
      <c r="D2404" s="1" t="s">
        <v>3873</v>
      </c>
      <c r="E2404" s="1" t="s">
        <v>3873</v>
      </c>
      <c r="F2404" t="s">
        <v>3874</v>
      </c>
      <c r="G2404" t="s">
        <v>1892</v>
      </c>
      <c r="H2404" t="s">
        <v>17</v>
      </c>
      <c r="I2404" t="s">
        <v>19</v>
      </c>
      <c r="J2404">
        <v>1</v>
      </c>
      <c r="K2404" t="e">
        <f>IF(COUNTIF(#REF!,Tabela2[[#This Row],[IdxWspolny]])&gt;0,"ELEM_lub_PRD","TECHN")</f>
        <v>#REF!</v>
      </c>
      <c r="L2404" t="e">
        <f>IF(COUNTIF(#REF!,Tabela2[[#This Row],[KOD_PRODUKTU]])&gt;0,"ELEMENT","PRODUKT")</f>
        <v>#REF!</v>
      </c>
      <c r="M2404" t="e">
        <f>COUNTIF(#REF!,Tabela2[[#This Row],[KOD_PRODUKTU]])</f>
        <v>#REF!</v>
      </c>
    </row>
    <row r="2405" spans="1:13" x14ac:dyDescent="0.25">
      <c r="A2405" s="1" t="s">
        <v>3871</v>
      </c>
      <c r="B2405" t="s">
        <v>3872</v>
      </c>
      <c r="C2405" s="1" t="s">
        <v>432</v>
      </c>
      <c r="D2405" s="1" t="s">
        <v>432</v>
      </c>
      <c r="E2405" s="1" t="s">
        <v>432</v>
      </c>
      <c r="F2405" t="s">
        <v>433</v>
      </c>
      <c r="G2405" t="s">
        <v>434</v>
      </c>
      <c r="H2405" t="s">
        <v>435</v>
      </c>
      <c r="I2405" t="s">
        <v>50</v>
      </c>
      <c r="J2405">
        <v>1.1000000000000001</v>
      </c>
      <c r="K2405" t="e">
        <f>IF(COUNTIF(#REF!,Tabela2[[#This Row],[IdxWspolny]])&gt;0,"ELEM_lub_PRD","TECHN")</f>
        <v>#REF!</v>
      </c>
      <c r="L2405" t="e">
        <f>IF(COUNTIF(#REF!,Tabela2[[#This Row],[KOD_PRODUKTU]])&gt;0,"ELEMENT","PRODUKT")</f>
        <v>#REF!</v>
      </c>
      <c r="M2405" t="e">
        <f>COUNTIF(#REF!,Tabela2[[#This Row],[KOD_PRODUKTU]])</f>
        <v>#REF!</v>
      </c>
    </row>
    <row r="2406" spans="1:13" x14ac:dyDescent="0.25">
      <c r="A2406" s="1" t="s">
        <v>3871</v>
      </c>
      <c r="B2406" t="s">
        <v>3872</v>
      </c>
      <c r="C2406" s="1" t="s">
        <v>541</v>
      </c>
      <c r="D2406" s="1" t="s">
        <v>541</v>
      </c>
      <c r="E2406" s="1" t="s">
        <v>541</v>
      </c>
      <c r="F2406" t="s">
        <v>542</v>
      </c>
      <c r="G2406" t="s">
        <v>9</v>
      </c>
      <c r="H2406" t="s">
        <v>10</v>
      </c>
      <c r="I2406" t="s">
        <v>3867</v>
      </c>
      <c r="J2406">
        <v>2.4500000000000002</v>
      </c>
      <c r="K2406" t="e">
        <f>IF(COUNTIF(#REF!,Tabela2[[#This Row],[IdxWspolny]])&gt;0,"ELEM_lub_PRD","TECHN")</f>
        <v>#REF!</v>
      </c>
      <c r="L2406" t="e">
        <f>IF(COUNTIF(#REF!,Tabela2[[#This Row],[KOD_PRODUKTU]])&gt;0,"ELEMENT","PRODUKT")</f>
        <v>#REF!</v>
      </c>
      <c r="M2406" t="e">
        <f>COUNTIF(#REF!,Tabela2[[#This Row],[KOD_PRODUKTU]])</f>
        <v>#REF!</v>
      </c>
    </row>
    <row r="2407" spans="1:13" x14ac:dyDescent="0.25">
      <c r="A2407" s="1" t="s">
        <v>3875</v>
      </c>
      <c r="B2407" t="s">
        <v>3876</v>
      </c>
      <c r="C2407" s="1" t="s">
        <v>1188</v>
      </c>
      <c r="D2407" s="1" t="s">
        <v>1188</v>
      </c>
      <c r="E2407" s="1" t="s">
        <v>1188</v>
      </c>
      <c r="F2407" t="s">
        <v>1189</v>
      </c>
      <c r="G2407" t="s">
        <v>1190</v>
      </c>
      <c r="H2407" t="s">
        <v>5</v>
      </c>
      <c r="I2407" t="s">
        <v>652</v>
      </c>
      <c r="J2407">
        <v>0.28999999999999998</v>
      </c>
      <c r="K2407" t="e">
        <f>IF(COUNTIF(#REF!,Tabela2[[#This Row],[IdxWspolny]])&gt;0,"ELEM_lub_PRD","TECHN")</f>
        <v>#REF!</v>
      </c>
      <c r="L2407" t="e">
        <f>IF(COUNTIF(#REF!,Tabela2[[#This Row],[KOD_PRODUKTU]])&gt;0,"ELEMENT","PRODUKT")</f>
        <v>#REF!</v>
      </c>
      <c r="M2407" t="e">
        <f>COUNTIF(#REF!,Tabela2[[#This Row],[KOD_PRODUKTU]])</f>
        <v>#REF!</v>
      </c>
    </row>
    <row r="2408" spans="1:13" x14ac:dyDescent="0.25">
      <c r="A2408" s="1" t="s">
        <v>3875</v>
      </c>
      <c r="B2408" t="s">
        <v>3876</v>
      </c>
      <c r="C2408" s="1" t="s">
        <v>432</v>
      </c>
      <c r="D2408" s="1" t="s">
        <v>432</v>
      </c>
      <c r="E2408" s="1" t="s">
        <v>432</v>
      </c>
      <c r="F2408" t="s">
        <v>433</v>
      </c>
      <c r="G2408" t="s">
        <v>434</v>
      </c>
      <c r="H2408" t="s">
        <v>435</v>
      </c>
      <c r="I2408" t="s">
        <v>50</v>
      </c>
      <c r="J2408">
        <v>1.1000000000000001</v>
      </c>
      <c r="K2408" t="e">
        <f>IF(COUNTIF(#REF!,Tabela2[[#This Row],[IdxWspolny]])&gt;0,"ELEM_lub_PRD","TECHN")</f>
        <v>#REF!</v>
      </c>
      <c r="L2408" t="e">
        <f>IF(COUNTIF(#REF!,Tabela2[[#This Row],[KOD_PRODUKTU]])&gt;0,"ELEMENT","PRODUKT")</f>
        <v>#REF!</v>
      </c>
      <c r="M2408" t="e">
        <f>COUNTIF(#REF!,Tabela2[[#This Row],[KOD_PRODUKTU]])</f>
        <v>#REF!</v>
      </c>
    </row>
    <row r="2409" spans="1:13" x14ac:dyDescent="0.25">
      <c r="A2409" s="1" t="s">
        <v>3875</v>
      </c>
      <c r="B2409" t="s">
        <v>3876</v>
      </c>
      <c r="C2409" s="1" t="s">
        <v>541</v>
      </c>
      <c r="D2409" s="1" t="s">
        <v>541</v>
      </c>
      <c r="E2409" s="1" t="s">
        <v>541</v>
      </c>
      <c r="F2409" t="s">
        <v>542</v>
      </c>
      <c r="G2409" t="s">
        <v>9</v>
      </c>
      <c r="H2409" t="s">
        <v>10</v>
      </c>
      <c r="I2409" t="s">
        <v>367</v>
      </c>
      <c r="J2409">
        <v>2.2999999999999998</v>
      </c>
      <c r="K2409" t="e">
        <f>IF(COUNTIF(#REF!,Tabela2[[#This Row],[IdxWspolny]])&gt;0,"ELEM_lub_PRD","TECHN")</f>
        <v>#REF!</v>
      </c>
      <c r="L2409" t="e">
        <f>IF(COUNTIF(#REF!,Tabela2[[#This Row],[KOD_PRODUKTU]])&gt;0,"ELEMENT","PRODUKT")</f>
        <v>#REF!</v>
      </c>
      <c r="M2409" t="e">
        <f>COUNTIF(#REF!,Tabela2[[#This Row],[KOD_PRODUKTU]])</f>
        <v>#REF!</v>
      </c>
    </row>
    <row r="2410" spans="1:13" x14ac:dyDescent="0.25">
      <c r="A2410" s="1" t="s">
        <v>3877</v>
      </c>
      <c r="B2410" t="s">
        <v>3878</v>
      </c>
      <c r="C2410" s="1" t="s">
        <v>3879</v>
      </c>
      <c r="D2410" s="1" t="s">
        <v>3879</v>
      </c>
      <c r="E2410" s="1" t="s">
        <v>3879</v>
      </c>
      <c r="F2410" t="s">
        <v>3880</v>
      </c>
      <c r="G2410" t="s">
        <v>1888</v>
      </c>
      <c r="H2410" t="s">
        <v>5</v>
      </c>
      <c r="I2410" t="s">
        <v>652</v>
      </c>
      <c r="J2410">
        <v>0.66</v>
      </c>
      <c r="K2410" t="e">
        <f>IF(COUNTIF(#REF!,Tabela2[[#This Row],[IdxWspolny]])&gt;0,"ELEM_lub_PRD","TECHN")</f>
        <v>#REF!</v>
      </c>
      <c r="L2410" t="e">
        <f>IF(COUNTIF(#REF!,Tabela2[[#This Row],[KOD_PRODUKTU]])&gt;0,"ELEMENT","PRODUKT")</f>
        <v>#REF!</v>
      </c>
      <c r="M2410" t="e">
        <f>COUNTIF(#REF!,Tabela2[[#This Row],[KOD_PRODUKTU]])</f>
        <v>#REF!</v>
      </c>
    </row>
    <row r="2411" spans="1:13" x14ac:dyDescent="0.25">
      <c r="A2411" s="1" t="s">
        <v>3877</v>
      </c>
      <c r="B2411" t="s">
        <v>3878</v>
      </c>
      <c r="C2411" s="1" t="s">
        <v>541</v>
      </c>
      <c r="D2411" s="1" t="s">
        <v>541</v>
      </c>
      <c r="E2411" s="1" t="s">
        <v>541</v>
      </c>
      <c r="F2411" t="s">
        <v>542</v>
      </c>
      <c r="G2411" t="s">
        <v>9</v>
      </c>
      <c r="H2411" t="s">
        <v>10</v>
      </c>
      <c r="I2411" t="s">
        <v>3047</v>
      </c>
      <c r="J2411">
        <v>4.83</v>
      </c>
      <c r="K2411" t="e">
        <f>IF(COUNTIF(#REF!,Tabela2[[#This Row],[IdxWspolny]])&gt;0,"ELEM_lub_PRD","TECHN")</f>
        <v>#REF!</v>
      </c>
      <c r="L2411" t="e">
        <f>IF(COUNTIF(#REF!,Tabela2[[#This Row],[KOD_PRODUKTU]])&gt;0,"ELEMENT","PRODUKT")</f>
        <v>#REF!</v>
      </c>
      <c r="M2411" t="e">
        <f>COUNTIF(#REF!,Tabela2[[#This Row],[KOD_PRODUKTU]])</f>
        <v>#REF!</v>
      </c>
    </row>
    <row r="2412" spans="1:13" x14ac:dyDescent="0.25">
      <c r="A2412" s="1" t="s">
        <v>3881</v>
      </c>
      <c r="B2412" t="s">
        <v>3882</v>
      </c>
      <c r="C2412" s="1" t="s">
        <v>2</v>
      </c>
      <c r="D2412" s="1" t="s">
        <v>2</v>
      </c>
      <c r="E2412" s="1" t="s">
        <v>2</v>
      </c>
      <c r="F2412" t="s">
        <v>3</v>
      </c>
      <c r="G2412" t="s">
        <v>4</v>
      </c>
      <c r="H2412" t="s">
        <v>5</v>
      </c>
      <c r="I2412" t="s">
        <v>478</v>
      </c>
      <c r="J2412">
        <v>0.77</v>
      </c>
      <c r="K2412" t="e">
        <f>IF(COUNTIF(#REF!,Tabela2[[#This Row],[IdxWspolny]])&gt;0,"ELEM_lub_PRD","TECHN")</f>
        <v>#REF!</v>
      </c>
      <c r="L2412" t="e">
        <f>IF(COUNTIF(#REF!,Tabela2[[#This Row],[KOD_PRODUKTU]])&gt;0,"ELEMENT","PRODUKT")</f>
        <v>#REF!</v>
      </c>
      <c r="M2412" t="e">
        <f>COUNTIF(#REF!,Tabela2[[#This Row],[KOD_PRODUKTU]])</f>
        <v>#REF!</v>
      </c>
    </row>
    <row r="2413" spans="1:13" x14ac:dyDescent="0.25">
      <c r="A2413" s="1" t="s">
        <v>3881</v>
      </c>
      <c r="B2413" t="s">
        <v>3882</v>
      </c>
      <c r="C2413" s="1" t="s">
        <v>432</v>
      </c>
      <c r="D2413" s="1" t="s">
        <v>432</v>
      </c>
      <c r="E2413" s="1" t="s">
        <v>432</v>
      </c>
      <c r="F2413" t="s">
        <v>433</v>
      </c>
      <c r="G2413" t="s">
        <v>434</v>
      </c>
      <c r="H2413" t="s">
        <v>435</v>
      </c>
      <c r="I2413" t="s">
        <v>50</v>
      </c>
      <c r="J2413">
        <v>1.1000000000000001</v>
      </c>
      <c r="K2413" t="e">
        <f>IF(COUNTIF(#REF!,Tabela2[[#This Row],[IdxWspolny]])&gt;0,"ELEM_lub_PRD","TECHN")</f>
        <v>#REF!</v>
      </c>
      <c r="L2413" t="e">
        <f>IF(COUNTIF(#REF!,Tabela2[[#This Row],[KOD_PRODUKTU]])&gt;0,"ELEMENT","PRODUKT")</f>
        <v>#REF!</v>
      </c>
      <c r="M2413" t="e">
        <f>COUNTIF(#REF!,Tabela2[[#This Row],[KOD_PRODUKTU]])</f>
        <v>#REF!</v>
      </c>
    </row>
    <row r="2414" spans="1:13" x14ac:dyDescent="0.25">
      <c r="A2414" s="1" t="s">
        <v>3881</v>
      </c>
      <c r="B2414" t="s">
        <v>3882</v>
      </c>
      <c r="C2414" s="1" t="s">
        <v>541</v>
      </c>
      <c r="D2414" s="1" t="s">
        <v>541</v>
      </c>
      <c r="E2414" s="1" t="s">
        <v>541</v>
      </c>
      <c r="F2414" t="s">
        <v>542</v>
      </c>
      <c r="G2414" t="s">
        <v>9</v>
      </c>
      <c r="H2414" t="s">
        <v>10</v>
      </c>
      <c r="I2414" t="s">
        <v>19</v>
      </c>
      <c r="J2414">
        <v>4.5999999999999996</v>
      </c>
      <c r="K2414" t="e">
        <f>IF(COUNTIF(#REF!,Tabela2[[#This Row],[IdxWspolny]])&gt;0,"ELEM_lub_PRD","TECHN")</f>
        <v>#REF!</v>
      </c>
      <c r="L2414" t="e">
        <f>IF(COUNTIF(#REF!,Tabela2[[#This Row],[KOD_PRODUKTU]])&gt;0,"ELEMENT","PRODUKT")</f>
        <v>#REF!</v>
      </c>
      <c r="M2414" t="e">
        <f>COUNTIF(#REF!,Tabela2[[#This Row],[KOD_PRODUKTU]])</f>
        <v>#REF!</v>
      </c>
    </row>
    <row r="2415" spans="1:13" x14ac:dyDescent="0.25">
      <c r="A2415" s="1" t="s">
        <v>3883</v>
      </c>
      <c r="B2415" t="s">
        <v>3884</v>
      </c>
      <c r="C2415" s="1" t="s">
        <v>1447</v>
      </c>
      <c r="D2415" s="1" t="s">
        <v>1447</v>
      </c>
      <c r="E2415" s="1" t="s">
        <v>1447</v>
      </c>
      <c r="F2415" t="s">
        <v>1448</v>
      </c>
      <c r="G2415" t="s">
        <v>779</v>
      </c>
      <c r="H2415" t="s">
        <v>5</v>
      </c>
      <c r="I2415" t="s">
        <v>3885</v>
      </c>
      <c r="J2415">
        <v>5.4</v>
      </c>
      <c r="K2415" t="e">
        <f>IF(COUNTIF(#REF!,Tabela2[[#This Row],[IdxWspolny]])&gt;0,"ELEM_lub_PRD","TECHN")</f>
        <v>#REF!</v>
      </c>
      <c r="L2415" t="e">
        <f>IF(COUNTIF(#REF!,Tabela2[[#This Row],[KOD_PRODUKTU]])&gt;0,"ELEMENT","PRODUKT")</f>
        <v>#REF!</v>
      </c>
      <c r="M2415" t="e">
        <f>COUNTIF(#REF!,Tabela2[[#This Row],[KOD_PRODUKTU]])</f>
        <v>#REF!</v>
      </c>
    </row>
    <row r="2416" spans="1:13" x14ac:dyDescent="0.25">
      <c r="A2416" s="1" t="s">
        <v>3883</v>
      </c>
      <c r="B2416" t="s">
        <v>3884</v>
      </c>
      <c r="C2416" s="1" t="s">
        <v>432</v>
      </c>
      <c r="D2416" s="1" t="s">
        <v>432</v>
      </c>
      <c r="E2416" s="1" t="s">
        <v>432</v>
      </c>
      <c r="F2416" t="s">
        <v>433</v>
      </c>
      <c r="G2416" t="s">
        <v>434</v>
      </c>
      <c r="H2416" t="s">
        <v>435</v>
      </c>
      <c r="I2416" t="s">
        <v>3886</v>
      </c>
      <c r="J2416">
        <v>1.7</v>
      </c>
      <c r="K2416" t="e">
        <f>IF(COUNTIF(#REF!,Tabela2[[#This Row],[IdxWspolny]])&gt;0,"ELEM_lub_PRD","TECHN")</f>
        <v>#REF!</v>
      </c>
      <c r="L2416" t="e">
        <f>IF(COUNTIF(#REF!,Tabela2[[#This Row],[KOD_PRODUKTU]])&gt;0,"ELEMENT","PRODUKT")</f>
        <v>#REF!</v>
      </c>
      <c r="M2416" t="e">
        <f>COUNTIF(#REF!,Tabela2[[#This Row],[KOD_PRODUKTU]])</f>
        <v>#REF!</v>
      </c>
    </row>
    <row r="2417" spans="1:13" x14ac:dyDescent="0.25">
      <c r="A2417" s="1" t="s">
        <v>3883</v>
      </c>
      <c r="B2417" t="s">
        <v>3884</v>
      </c>
      <c r="C2417" s="1" t="s">
        <v>541</v>
      </c>
      <c r="D2417" s="1" t="s">
        <v>541</v>
      </c>
      <c r="E2417" s="1" t="s">
        <v>541</v>
      </c>
      <c r="F2417" t="s">
        <v>542</v>
      </c>
      <c r="G2417" t="s">
        <v>9</v>
      </c>
      <c r="H2417" t="s">
        <v>10</v>
      </c>
      <c r="I2417" t="s">
        <v>3887</v>
      </c>
      <c r="J2417">
        <v>14.43</v>
      </c>
      <c r="K2417" t="e">
        <f>IF(COUNTIF(#REF!,Tabela2[[#This Row],[IdxWspolny]])&gt;0,"ELEM_lub_PRD","TECHN")</f>
        <v>#REF!</v>
      </c>
      <c r="L2417" t="e">
        <f>IF(COUNTIF(#REF!,Tabela2[[#This Row],[KOD_PRODUKTU]])&gt;0,"ELEMENT","PRODUKT")</f>
        <v>#REF!</v>
      </c>
      <c r="M2417" t="e">
        <f>COUNTIF(#REF!,Tabela2[[#This Row],[KOD_PRODUKTU]])</f>
        <v>#REF!</v>
      </c>
    </row>
    <row r="2418" spans="1:13" x14ac:dyDescent="0.25">
      <c r="A2418" s="1" t="s">
        <v>3888</v>
      </c>
      <c r="B2418" t="s">
        <v>3889</v>
      </c>
      <c r="C2418" s="1" t="s">
        <v>1502</v>
      </c>
      <c r="D2418" s="1" t="s">
        <v>1502</v>
      </c>
      <c r="E2418" s="1" t="s">
        <v>1502</v>
      </c>
      <c r="F2418" t="s">
        <v>1503</v>
      </c>
      <c r="G2418" t="s">
        <v>1017</v>
      </c>
      <c r="H2418" t="s">
        <v>5</v>
      </c>
      <c r="I2418" t="s">
        <v>1254</v>
      </c>
      <c r="J2418">
        <v>9.4499999999999993</v>
      </c>
      <c r="K2418" t="e">
        <f>IF(COUNTIF(#REF!,Tabela2[[#This Row],[IdxWspolny]])&gt;0,"ELEM_lub_PRD","TECHN")</f>
        <v>#REF!</v>
      </c>
      <c r="L2418" t="e">
        <f>IF(COUNTIF(#REF!,Tabela2[[#This Row],[KOD_PRODUKTU]])&gt;0,"ELEMENT","PRODUKT")</f>
        <v>#REF!</v>
      </c>
      <c r="M2418" t="e">
        <f>COUNTIF(#REF!,Tabela2[[#This Row],[KOD_PRODUKTU]])</f>
        <v>#REF!</v>
      </c>
    </row>
    <row r="2419" spans="1:13" x14ac:dyDescent="0.25">
      <c r="A2419" s="1" t="s">
        <v>3888</v>
      </c>
      <c r="B2419" t="s">
        <v>3889</v>
      </c>
      <c r="C2419" s="1" t="s">
        <v>541</v>
      </c>
      <c r="D2419" s="1" t="s">
        <v>541</v>
      </c>
      <c r="E2419" s="1" t="s">
        <v>541</v>
      </c>
      <c r="F2419" t="s">
        <v>542</v>
      </c>
      <c r="G2419" t="s">
        <v>9</v>
      </c>
      <c r="H2419" t="s">
        <v>10</v>
      </c>
      <c r="I2419" t="s">
        <v>3890</v>
      </c>
      <c r="J2419">
        <v>36.21</v>
      </c>
      <c r="K2419" t="e">
        <f>IF(COUNTIF(#REF!,Tabela2[[#This Row],[IdxWspolny]])&gt;0,"ELEM_lub_PRD","TECHN")</f>
        <v>#REF!</v>
      </c>
      <c r="L2419" t="e">
        <f>IF(COUNTIF(#REF!,Tabela2[[#This Row],[KOD_PRODUKTU]])&gt;0,"ELEMENT","PRODUKT")</f>
        <v>#REF!</v>
      </c>
      <c r="M2419" t="e">
        <f>COUNTIF(#REF!,Tabela2[[#This Row],[KOD_PRODUKTU]])</f>
        <v>#REF!</v>
      </c>
    </row>
    <row r="2420" spans="1:13" x14ac:dyDescent="0.25">
      <c r="A2420" s="1" t="s">
        <v>3891</v>
      </c>
      <c r="B2420" t="s">
        <v>3892</v>
      </c>
      <c r="C2420" s="1" t="s">
        <v>3893</v>
      </c>
      <c r="D2420" s="1" t="s">
        <v>3893</v>
      </c>
      <c r="E2420" s="1" t="s">
        <v>3893</v>
      </c>
      <c r="F2420" t="s">
        <v>3894</v>
      </c>
      <c r="G2420" t="s">
        <v>70</v>
      </c>
      <c r="H2420" t="s">
        <v>932</v>
      </c>
      <c r="I2420" t="s">
        <v>3895</v>
      </c>
      <c r="J2420">
        <v>18.75</v>
      </c>
      <c r="K2420" t="e">
        <f>IF(COUNTIF(#REF!,Tabela2[[#This Row],[IdxWspolny]])&gt;0,"ELEM_lub_PRD","TECHN")</f>
        <v>#REF!</v>
      </c>
      <c r="L2420" t="e">
        <f>IF(COUNTIF(#REF!,Tabela2[[#This Row],[KOD_PRODUKTU]])&gt;0,"ELEMENT","PRODUKT")</f>
        <v>#REF!</v>
      </c>
      <c r="M2420" t="e">
        <f>COUNTIF(#REF!,Tabela2[[#This Row],[KOD_PRODUKTU]])</f>
        <v>#REF!</v>
      </c>
    </row>
    <row r="2421" spans="1:13" x14ac:dyDescent="0.25">
      <c r="A2421" s="1" t="s">
        <v>3891</v>
      </c>
      <c r="B2421" t="s">
        <v>3892</v>
      </c>
      <c r="C2421" s="1" t="s">
        <v>432</v>
      </c>
      <c r="D2421" s="1" t="s">
        <v>432</v>
      </c>
      <c r="E2421" s="1" t="s">
        <v>432</v>
      </c>
      <c r="F2421" t="s">
        <v>433</v>
      </c>
      <c r="G2421" t="s">
        <v>434</v>
      </c>
      <c r="H2421" t="s">
        <v>435</v>
      </c>
      <c r="I2421" t="s">
        <v>50</v>
      </c>
      <c r="J2421">
        <v>1.1000000000000001</v>
      </c>
      <c r="K2421" t="e">
        <f>IF(COUNTIF(#REF!,Tabela2[[#This Row],[IdxWspolny]])&gt;0,"ELEM_lub_PRD","TECHN")</f>
        <v>#REF!</v>
      </c>
      <c r="L2421" t="e">
        <f>IF(COUNTIF(#REF!,Tabela2[[#This Row],[KOD_PRODUKTU]])&gt;0,"ELEMENT","PRODUKT")</f>
        <v>#REF!</v>
      </c>
      <c r="M2421" t="e">
        <f>COUNTIF(#REF!,Tabela2[[#This Row],[KOD_PRODUKTU]])</f>
        <v>#REF!</v>
      </c>
    </row>
    <row r="2422" spans="1:13" x14ac:dyDescent="0.25">
      <c r="A2422" s="1" t="s">
        <v>3891</v>
      </c>
      <c r="B2422" t="s">
        <v>3892</v>
      </c>
      <c r="C2422" s="1" t="s">
        <v>541</v>
      </c>
      <c r="D2422" s="1" t="s">
        <v>541</v>
      </c>
      <c r="E2422" s="1" t="s">
        <v>541</v>
      </c>
      <c r="F2422" t="s">
        <v>542</v>
      </c>
      <c r="G2422" t="s">
        <v>9</v>
      </c>
      <c r="H2422" t="s">
        <v>10</v>
      </c>
      <c r="I2422" t="s">
        <v>594</v>
      </c>
      <c r="J2422">
        <v>11.5</v>
      </c>
      <c r="K2422" t="e">
        <f>IF(COUNTIF(#REF!,Tabela2[[#This Row],[IdxWspolny]])&gt;0,"ELEM_lub_PRD","TECHN")</f>
        <v>#REF!</v>
      </c>
      <c r="L2422" t="e">
        <f>IF(COUNTIF(#REF!,Tabela2[[#This Row],[KOD_PRODUKTU]])&gt;0,"ELEMENT","PRODUKT")</f>
        <v>#REF!</v>
      </c>
      <c r="M2422" t="e">
        <f>COUNTIF(#REF!,Tabela2[[#This Row],[KOD_PRODUKTU]])</f>
        <v>#REF!</v>
      </c>
    </row>
    <row r="2423" spans="1:13" x14ac:dyDescent="0.25">
      <c r="A2423" s="1" t="s">
        <v>3896</v>
      </c>
      <c r="B2423" t="s">
        <v>3897</v>
      </c>
      <c r="C2423" s="1" t="s">
        <v>1487</v>
      </c>
      <c r="D2423" s="1" t="s">
        <v>1487</v>
      </c>
      <c r="E2423" s="1" t="s">
        <v>1487</v>
      </c>
      <c r="F2423" t="s">
        <v>1488</v>
      </c>
      <c r="G2423" t="s">
        <v>31</v>
      </c>
      <c r="H2423" t="s">
        <v>5</v>
      </c>
      <c r="I2423" t="s">
        <v>3898</v>
      </c>
      <c r="J2423">
        <v>0.3</v>
      </c>
      <c r="K2423" t="e">
        <f>IF(COUNTIF(#REF!,Tabela2[[#This Row],[IdxWspolny]])&gt;0,"ELEM_lub_PRD","TECHN")</f>
        <v>#REF!</v>
      </c>
      <c r="L2423" t="e">
        <f>IF(COUNTIF(#REF!,Tabela2[[#This Row],[KOD_PRODUKTU]])&gt;0,"ELEMENT","PRODUKT")</f>
        <v>#REF!</v>
      </c>
      <c r="M2423" t="e">
        <f>COUNTIF(#REF!,Tabela2[[#This Row],[KOD_PRODUKTU]])</f>
        <v>#REF!</v>
      </c>
    </row>
    <row r="2424" spans="1:13" x14ac:dyDescent="0.25">
      <c r="A2424" s="1" t="s">
        <v>3896</v>
      </c>
      <c r="B2424" t="s">
        <v>3897</v>
      </c>
      <c r="C2424" s="1" t="s">
        <v>1128</v>
      </c>
      <c r="D2424" s="1" t="s">
        <v>1128</v>
      </c>
      <c r="E2424" s="1" t="s">
        <v>1128</v>
      </c>
      <c r="F2424" t="s">
        <v>1129</v>
      </c>
      <c r="G2424" t="s">
        <v>31</v>
      </c>
      <c r="H2424" t="s">
        <v>5</v>
      </c>
      <c r="I2424" t="s">
        <v>3899</v>
      </c>
      <c r="J2424">
        <v>4.2</v>
      </c>
      <c r="K2424" t="e">
        <f>IF(COUNTIF(#REF!,Tabela2[[#This Row],[IdxWspolny]])&gt;0,"ELEM_lub_PRD","TECHN")</f>
        <v>#REF!</v>
      </c>
      <c r="L2424" t="e">
        <f>IF(COUNTIF(#REF!,Tabela2[[#This Row],[KOD_PRODUKTU]])&gt;0,"ELEMENT","PRODUKT")</f>
        <v>#REF!</v>
      </c>
      <c r="M2424" t="e">
        <f>COUNTIF(#REF!,Tabela2[[#This Row],[KOD_PRODUKTU]])</f>
        <v>#REF!</v>
      </c>
    </row>
    <row r="2425" spans="1:13" x14ac:dyDescent="0.25">
      <c r="A2425" s="1" t="s">
        <v>3896</v>
      </c>
      <c r="B2425" t="s">
        <v>3897</v>
      </c>
      <c r="C2425" s="1" t="s">
        <v>1117</v>
      </c>
      <c r="D2425" s="1" t="s">
        <v>1117</v>
      </c>
      <c r="E2425" s="1" t="s">
        <v>1117</v>
      </c>
      <c r="F2425" t="s">
        <v>1118</v>
      </c>
      <c r="G2425" t="s">
        <v>876</v>
      </c>
      <c r="H2425" t="s">
        <v>5</v>
      </c>
      <c r="I2425" t="s">
        <v>3900</v>
      </c>
      <c r="J2425">
        <v>2.4500000000000002</v>
      </c>
      <c r="K2425" t="e">
        <f>IF(COUNTIF(#REF!,Tabela2[[#This Row],[IdxWspolny]])&gt;0,"ELEM_lub_PRD","TECHN")</f>
        <v>#REF!</v>
      </c>
      <c r="L2425" t="e">
        <f>IF(COUNTIF(#REF!,Tabela2[[#This Row],[KOD_PRODUKTU]])&gt;0,"ELEMENT","PRODUKT")</f>
        <v>#REF!</v>
      </c>
      <c r="M2425" t="e">
        <f>COUNTIF(#REF!,Tabela2[[#This Row],[KOD_PRODUKTU]])</f>
        <v>#REF!</v>
      </c>
    </row>
    <row r="2426" spans="1:13" x14ac:dyDescent="0.25">
      <c r="A2426" s="1" t="s">
        <v>3896</v>
      </c>
      <c r="B2426" t="s">
        <v>3897</v>
      </c>
      <c r="C2426" s="1" t="s">
        <v>432</v>
      </c>
      <c r="D2426" s="1" t="s">
        <v>432</v>
      </c>
      <c r="E2426" s="1" t="s">
        <v>432</v>
      </c>
      <c r="F2426" t="s">
        <v>433</v>
      </c>
      <c r="G2426" t="s">
        <v>434</v>
      </c>
      <c r="H2426" t="s">
        <v>435</v>
      </c>
      <c r="I2426" t="s">
        <v>50</v>
      </c>
      <c r="J2426">
        <v>1.1000000000000001</v>
      </c>
      <c r="K2426" t="e">
        <f>IF(COUNTIF(#REF!,Tabela2[[#This Row],[IdxWspolny]])&gt;0,"ELEM_lub_PRD","TECHN")</f>
        <v>#REF!</v>
      </c>
      <c r="L2426" t="e">
        <f>IF(COUNTIF(#REF!,Tabela2[[#This Row],[KOD_PRODUKTU]])&gt;0,"ELEMENT","PRODUKT")</f>
        <v>#REF!</v>
      </c>
      <c r="M2426" t="e">
        <f>COUNTIF(#REF!,Tabela2[[#This Row],[KOD_PRODUKTU]])</f>
        <v>#REF!</v>
      </c>
    </row>
    <row r="2427" spans="1:13" x14ac:dyDescent="0.25">
      <c r="A2427" s="1" t="s">
        <v>3896</v>
      </c>
      <c r="B2427" t="s">
        <v>3897</v>
      </c>
      <c r="C2427" s="1" t="s">
        <v>541</v>
      </c>
      <c r="D2427" s="1" t="s">
        <v>541</v>
      </c>
      <c r="E2427" s="1" t="s">
        <v>541</v>
      </c>
      <c r="F2427" t="s">
        <v>542</v>
      </c>
      <c r="G2427" t="s">
        <v>9</v>
      </c>
      <c r="H2427" t="s">
        <v>10</v>
      </c>
      <c r="I2427" t="s">
        <v>3901</v>
      </c>
      <c r="J2427">
        <v>24.24</v>
      </c>
      <c r="K2427" t="e">
        <f>IF(COUNTIF(#REF!,Tabela2[[#This Row],[IdxWspolny]])&gt;0,"ELEM_lub_PRD","TECHN")</f>
        <v>#REF!</v>
      </c>
      <c r="L2427" t="e">
        <f>IF(COUNTIF(#REF!,Tabela2[[#This Row],[KOD_PRODUKTU]])&gt;0,"ELEMENT","PRODUKT")</f>
        <v>#REF!</v>
      </c>
      <c r="M2427" t="e">
        <f>COUNTIF(#REF!,Tabela2[[#This Row],[KOD_PRODUKTU]])</f>
        <v>#REF!</v>
      </c>
    </row>
    <row r="2428" spans="1:13" x14ac:dyDescent="0.25">
      <c r="A2428" s="1" t="s">
        <v>3902</v>
      </c>
      <c r="B2428" t="s">
        <v>3903</v>
      </c>
      <c r="C2428" s="1" t="s">
        <v>1547</v>
      </c>
      <c r="D2428" s="1" t="s">
        <v>1547</v>
      </c>
      <c r="E2428" s="1" t="s">
        <v>1547</v>
      </c>
      <c r="F2428" t="s">
        <v>1548</v>
      </c>
      <c r="G2428" t="s">
        <v>216</v>
      </c>
      <c r="H2428" t="s">
        <v>5</v>
      </c>
      <c r="I2428" t="s">
        <v>3904</v>
      </c>
      <c r="J2428">
        <v>0.95</v>
      </c>
      <c r="K2428" t="e">
        <f>IF(COUNTIF(#REF!,Tabela2[[#This Row],[IdxWspolny]])&gt;0,"ELEM_lub_PRD","TECHN")</f>
        <v>#REF!</v>
      </c>
      <c r="L2428" t="e">
        <f>IF(COUNTIF(#REF!,Tabela2[[#This Row],[KOD_PRODUKTU]])&gt;0,"ELEMENT","PRODUKT")</f>
        <v>#REF!</v>
      </c>
      <c r="M2428" t="e">
        <f>COUNTIF(#REF!,Tabela2[[#This Row],[KOD_PRODUKTU]])</f>
        <v>#REF!</v>
      </c>
    </row>
    <row r="2429" spans="1:13" x14ac:dyDescent="0.25">
      <c r="A2429" s="1" t="s">
        <v>3902</v>
      </c>
      <c r="B2429" t="s">
        <v>3903</v>
      </c>
      <c r="C2429" s="1" t="s">
        <v>541</v>
      </c>
      <c r="D2429" s="1" t="s">
        <v>541</v>
      </c>
      <c r="E2429" s="1" t="s">
        <v>541</v>
      </c>
      <c r="F2429" t="s">
        <v>542</v>
      </c>
      <c r="G2429" t="s">
        <v>9</v>
      </c>
      <c r="H2429" t="s">
        <v>10</v>
      </c>
      <c r="I2429" t="s">
        <v>3905</v>
      </c>
      <c r="J2429">
        <v>5.07</v>
      </c>
      <c r="K2429" t="e">
        <f>IF(COUNTIF(#REF!,Tabela2[[#This Row],[IdxWspolny]])&gt;0,"ELEM_lub_PRD","TECHN")</f>
        <v>#REF!</v>
      </c>
      <c r="L2429" t="e">
        <f>IF(COUNTIF(#REF!,Tabela2[[#This Row],[KOD_PRODUKTU]])&gt;0,"ELEMENT","PRODUKT")</f>
        <v>#REF!</v>
      </c>
      <c r="M2429" t="e">
        <f>COUNTIF(#REF!,Tabela2[[#This Row],[KOD_PRODUKTU]])</f>
        <v>#REF!</v>
      </c>
    </row>
    <row r="2430" spans="1:13" x14ac:dyDescent="0.25">
      <c r="A2430" s="1" t="s">
        <v>3902</v>
      </c>
      <c r="B2430" t="s">
        <v>3903</v>
      </c>
      <c r="C2430" s="1" t="s">
        <v>541</v>
      </c>
      <c r="D2430" s="1" t="s">
        <v>541</v>
      </c>
      <c r="E2430" s="1" t="s">
        <v>541</v>
      </c>
      <c r="F2430" t="s">
        <v>542</v>
      </c>
      <c r="G2430" t="s">
        <v>9</v>
      </c>
      <c r="H2430" t="s">
        <v>10</v>
      </c>
      <c r="I2430" t="s">
        <v>3906</v>
      </c>
      <c r="J2430">
        <v>14.45</v>
      </c>
      <c r="K2430" t="e">
        <f>IF(COUNTIF(#REF!,Tabela2[[#This Row],[IdxWspolny]])&gt;0,"ELEM_lub_PRD","TECHN")</f>
        <v>#REF!</v>
      </c>
      <c r="L2430" t="e">
        <f>IF(COUNTIF(#REF!,Tabela2[[#This Row],[KOD_PRODUKTU]])&gt;0,"ELEMENT","PRODUKT")</f>
        <v>#REF!</v>
      </c>
      <c r="M2430" t="e">
        <f>COUNTIF(#REF!,Tabela2[[#This Row],[KOD_PRODUKTU]])</f>
        <v>#REF!</v>
      </c>
    </row>
    <row r="2431" spans="1:13" x14ac:dyDescent="0.25">
      <c r="A2431" s="1" t="s">
        <v>3907</v>
      </c>
      <c r="B2431" t="s">
        <v>3908</v>
      </c>
      <c r="C2431" s="1" t="s">
        <v>3824</v>
      </c>
      <c r="D2431" s="1" t="s">
        <v>3824</v>
      </c>
      <c r="E2431" s="1" t="s">
        <v>3824</v>
      </c>
      <c r="F2431" t="s">
        <v>3825</v>
      </c>
      <c r="G2431" t="s">
        <v>216</v>
      </c>
      <c r="H2431" t="s">
        <v>5</v>
      </c>
      <c r="I2431" t="s">
        <v>19</v>
      </c>
      <c r="J2431">
        <v>0.7</v>
      </c>
      <c r="K2431" t="e">
        <f>IF(COUNTIF(#REF!,Tabela2[[#This Row],[IdxWspolny]])&gt;0,"ELEM_lub_PRD","TECHN")</f>
        <v>#REF!</v>
      </c>
      <c r="L2431" t="e">
        <f>IF(COUNTIF(#REF!,Tabela2[[#This Row],[KOD_PRODUKTU]])&gt;0,"ELEMENT","PRODUKT")</f>
        <v>#REF!</v>
      </c>
      <c r="M2431" t="e">
        <f>COUNTIF(#REF!,Tabela2[[#This Row],[KOD_PRODUKTU]])</f>
        <v>#REF!</v>
      </c>
    </row>
    <row r="2432" spans="1:13" x14ac:dyDescent="0.25">
      <c r="A2432" s="1" t="s">
        <v>3907</v>
      </c>
      <c r="B2432" t="s">
        <v>3908</v>
      </c>
      <c r="C2432" s="1" t="s">
        <v>432</v>
      </c>
      <c r="D2432" s="1" t="s">
        <v>432</v>
      </c>
      <c r="E2432" s="1" t="s">
        <v>432</v>
      </c>
      <c r="F2432" t="s">
        <v>433</v>
      </c>
      <c r="G2432" t="s">
        <v>434</v>
      </c>
      <c r="H2432" t="s">
        <v>435</v>
      </c>
      <c r="I2432" t="s">
        <v>50</v>
      </c>
      <c r="J2432">
        <v>1.1000000000000001</v>
      </c>
      <c r="K2432" t="e">
        <f>IF(COUNTIF(#REF!,Tabela2[[#This Row],[IdxWspolny]])&gt;0,"ELEM_lub_PRD","TECHN")</f>
        <v>#REF!</v>
      </c>
      <c r="L2432" t="e">
        <f>IF(COUNTIF(#REF!,Tabela2[[#This Row],[KOD_PRODUKTU]])&gt;0,"ELEMENT","PRODUKT")</f>
        <v>#REF!</v>
      </c>
      <c r="M2432" t="e">
        <f>COUNTIF(#REF!,Tabela2[[#This Row],[KOD_PRODUKTU]])</f>
        <v>#REF!</v>
      </c>
    </row>
    <row r="2433" spans="1:13" x14ac:dyDescent="0.25">
      <c r="A2433" s="1" t="s">
        <v>3907</v>
      </c>
      <c r="B2433" t="s">
        <v>3908</v>
      </c>
      <c r="C2433" s="1" t="s">
        <v>541</v>
      </c>
      <c r="D2433" s="1" t="s">
        <v>541</v>
      </c>
      <c r="E2433" s="1" t="s">
        <v>541</v>
      </c>
      <c r="F2433" t="s">
        <v>542</v>
      </c>
      <c r="G2433" t="s">
        <v>9</v>
      </c>
      <c r="H2433" t="s">
        <v>10</v>
      </c>
      <c r="I2433" t="s">
        <v>367</v>
      </c>
      <c r="J2433">
        <v>2.2999999999999998</v>
      </c>
      <c r="K2433" t="e">
        <f>IF(COUNTIF(#REF!,Tabela2[[#This Row],[IdxWspolny]])&gt;0,"ELEM_lub_PRD","TECHN")</f>
        <v>#REF!</v>
      </c>
      <c r="L2433" t="e">
        <f>IF(COUNTIF(#REF!,Tabela2[[#This Row],[KOD_PRODUKTU]])&gt;0,"ELEMENT","PRODUKT")</f>
        <v>#REF!</v>
      </c>
      <c r="M2433" t="e">
        <f>COUNTIF(#REF!,Tabela2[[#This Row],[KOD_PRODUKTU]])</f>
        <v>#REF!</v>
      </c>
    </row>
    <row r="2434" spans="1:13" x14ac:dyDescent="0.25">
      <c r="A2434" s="1" t="s">
        <v>3909</v>
      </c>
      <c r="B2434" t="s">
        <v>3910</v>
      </c>
      <c r="C2434" s="1" t="s">
        <v>3007</v>
      </c>
      <c r="D2434" s="1" t="s">
        <v>3007</v>
      </c>
      <c r="E2434" s="1" t="s">
        <v>3007</v>
      </c>
      <c r="F2434" t="s">
        <v>3008</v>
      </c>
      <c r="G2434" t="s">
        <v>70</v>
      </c>
      <c r="H2434" t="s">
        <v>5</v>
      </c>
      <c r="I2434" t="s">
        <v>992</v>
      </c>
      <c r="J2434">
        <v>1.5</v>
      </c>
      <c r="K2434" t="e">
        <f>IF(COUNTIF(#REF!,Tabela2[[#This Row],[IdxWspolny]])&gt;0,"ELEM_lub_PRD","TECHN")</f>
        <v>#REF!</v>
      </c>
      <c r="L2434" t="e">
        <f>IF(COUNTIF(#REF!,Tabela2[[#This Row],[KOD_PRODUKTU]])&gt;0,"ELEMENT","PRODUKT")</f>
        <v>#REF!</v>
      </c>
      <c r="M2434" t="e">
        <f>COUNTIF(#REF!,Tabela2[[#This Row],[KOD_PRODUKTU]])</f>
        <v>#REF!</v>
      </c>
    </row>
    <row r="2435" spans="1:13" x14ac:dyDescent="0.25">
      <c r="A2435" s="1" t="s">
        <v>3909</v>
      </c>
      <c r="B2435" t="s">
        <v>3910</v>
      </c>
      <c r="C2435" s="1" t="s">
        <v>432</v>
      </c>
      <c r="D2435" s="1" t="s">
        <v>432</v>
      </c>
      <c r="E2435" s="1" t="s">
        <v>432</v>
      </c>
      <c r="F2435" t="s">
        <v>433</v>
      </c>
      <c r="G2435" t="s">
        <v>434</v>
      </c>
      <c r="H2435" t="s">
        <v>435</v>
      </c>
      <c r="I2435" t="s">
        <v>50</v>
      </c>
      <c r="J2435">
        <v>1.1000000000000001</v>
      </c>
      <c r="K2435" t="e">
        <f>IF(COUNTIF(#REF!,Tabela2[[#This Row],[IdxWspolny]])&gt;0,"ELEM_lub_PRD","TECHN")</f>
        <v>#REF!</v>
      </c>
      <c r="L2435" t="e">
        <f>IF(COUNTIF(#REF!,Tabela2[[#This Row],[KOD_PRODUKTU]])&gt;0,"ELEMENT","PRODUKT")</f>
        <v>#REF!</v>
      </c>
      <c r="M2435" t="e">
        <f>COUNTIF(#REF!,Tabela2[[#This Row],[KOD_PRODUKTU]])</f>
        <v>#REF!</v>
      </c>
    </row>
    <row r="2436" spans="1:13" x14ac:dyDescent="0.25">
      <c r="A2436" s="1" t="s">
        <v>3909</v>
      </c>
      <c r="B2436" t="s">
        <v>3910</v>
      </c>
      <c r="C2436" s="1" t="s">
        <v>541</v>
      </c>
      <c r="D2436" s="1" t="s">
        <v>541</v>
      </c>
      <c r="E2436" s="1" t="s">
        <v>541</v>
      </c>
      <c r="F2436" t="s">
        <v>542</v>
      </c>
      <c r="G2436" t="s">
        <v>9</v>
      </c>
      <c r="H2436" t="s">
        <v>10</v>
      </c>
      <c r="I2436" t="s">
        <v>594</v>
      </c>
      <c r="J2436">
        <v>11.5</v>
      </c>
      <c r="K2436" t="e">
        <f>IF(COUNTIF(#REF!,Tabela2[[#This Row],[IdxWspolny]])&gt;0,"ELEM_lub_PRD","TECHN")</f>
        <v>#REF!</v>
      </c>
      <c r="L2436" t="e">
        <f>IF(COUNTIF(#REF!,Tabela2[[#This Row],[KOD_PRODUKTU]])&gt;0,"ELEMENT","PRODUKT")</f>
        <v>#REF!</v>
      </c>
      <c r="M2436" t="e">
        <f>COUNTIF(#REF!,Tabela2[[#This Row],[KOD_PRODUKTU]])</f>
        <v>#REF!</v>
      </c>
    </row>
    <row r="2437" spans="1:13" x14ac:dyDescent="0.25">
      <c r="A2437" s="1" t="s">
        <v>3911</v>
      </c>
      <c r="B2437" t="s">
        <v>3912</v>
      </c>
      <c r="C2437" s="1" t="s">
        <v>1296</v>
      </c>
      <c r="D2437" s="1" t="s">
        <v>1296</v>
      </c>
      <c r="E2437" s="1" t="s">
        <v>1296</v>
      </c>
      <c r="F2437" t="s">
        <v>1297</v>
      </c>
      <c r="G2437" t="s">
        <v>1017</v>
      </c>
      <c r="H2437" t="s">
        <v>5</v>
      </c>
      <c r="I2437" t="s">
        <v>1210</v>
      </c>
      <c r="J2437">
        <v>0.3</v>
      </c>
      <c r="K2437" t="e">
        <f>IF(COUNTIF(#REF!,Tabela2[[#This Row],[IdxWspolny]])&gt;0,"ELEM_lub_PRD","TECHN")</f>
        <v>#REF!</v>
      </c>
      <c r="L2437" t="e">
        <f>IF(COUNTIF(#REF!,Tabela2[[#This Row],[KOD_PRODUKTU]])&gt;0,"ELEMENT","PRODUKT")</f>
        <v>#REF!</v>
      </c>
      <c r="M2437" t="e">
        <f>COUNTIF(#REF!,Tabela2[[#This Row],[KOD_PRODUKTU]])</f>
        <v>#REF!</v>
      </c>
    </row>
    <row r="2438" spans="1:13" x14ac:dyDescent="0.25">
      <c r="A2438" s="1" t="s">
        <v>3911</v>
      </c>
      <c r="B2438" t="s">
        <v>3912</v>
      </c>
      <c r="C2438" s="1" t="s">
        <v>541</v>
      </c>
      <c r="D2438" s="1" t="s">
        <v>541</v>
      </c>
      <c r="E2438" s="1" t="s">
        <v>541</v>
      </c>
      <c r="F2438" t="s">
        <v>542</v>
      </c>
      <c r="G2438" t="s">
        <v>9</v>
      </c>
      <c r="H2438" t="s">
        <v>10</v>
      </c>
      <c r="I2438" t="s">
        <v>3913</v>
      </c>
      <c r="J2438">
        <v>2.48</v>
      </c>
      <c r="K2438" t="e">
        <f>IF(COUNTIF(#REF!,Tabela2[[#This Row],[IdxWspolny]])&gt;0,"ELEM_lub_PRD","TECHN")</f>
        <v>#REF!</v>
      </c>
      <c r="L2438" t="e">
        <f>IF(COUNTIF(#REF!,Tabela2[[#This Row],[KOD_PRODUKTU]])&gt;0,"ELEMENT","PRODUKT")</f>
        <v>#REF!</v>
      </c>
      <c r="M2438" t="e">
        <f>COUNTIF(#REF!,Tabela2[[#This Row],[KOD_PRODUKTU]])</f>
        <v>#REF!</v>
      </c>
    </row>
    <row r="2439" spans="1:13" x14ac:dyDescent="0.25">
      <c r="A2439" s="1" t="s">
        <v>2682</v>
      </c>
      <c r="B2439" t="s">
        <v>2683</v>
      </c>
      <c r="C2439" s="1" t="s">
        <v>3914</v>
      </c>
      <c r="D2439" s="1" t="s">
        <v>3914</v>
      </c>
      <c r="E2439" s="1" t="s">
        <v>3914</v>
      </c>
      <c r="F2439" t="s">
        <v>3915</v>
      </c>
      <c r="G2439" t="s">
        <v>3916</v>
      </c>
      <c r="H2439" t="s">
        <v>5</v>
      </c>
      <c r="I2439" t="s">
        <v>3917</v>
      </c>
      <c r="J2439">
        <v>29.35</v>
      </c>
      <c r="K2439" t="e">
        <f>IF(COUNTIF(#REF!,Tabela2[[#This Row],[IdxWspolny]])&gt;0,"ELEM_lub_PRD","TECHN")</f>
        <v>#REF!</v>
      </c>
      <c r="L2439" t="e">
        <f>IF(COUNTIF(#REF!,Tabela2[[#This Row],[KOD_PRODUKTU]])&gt;0,"ELEMENT","PRODUKT")</f>
        <v>#REF!</v>
      </c>
      <c r="M2439" t="e">
        <f>COUNTIF(#REF!,Tabela2[[#This Row],[KOD_PRODUKTU]])</f>
        <v>#REF!</v>
      </c>
    </row>
    <row r="2440" spans="1:13" x14ac:dyDescent="0.25">
      <c r="A2440" s="1" t="s">
        <v>2682</v>
      </c>
      <c r="B2440" t="s">
        <v>2683</v>
      </c>
      <c r="C2440" s="1" t="s">
        <v>7</v>
      </c>
      <c r="D2440" s="1" t="s">
        <v>7</v>
      </c>
      <c r="E2440" s="1" t="s">
        <v>7</v>
      </c>
      <c r="F2440" t="s">
        <v>8</v>
      </c>
      <c r="G2440" t="s">
        <v>9</v>
      </c>
      <c r="H2440" t="s">
        <v>10</v>
      </c>
      <c r="I2440" t="s">
        <v>3918</v>
      </c>
      <c r="J2440">
        <v>29.65</v>
      </c>
      <c r="K2440" t="e">
        <f>IF(COUNTIF(#REF!,Tabela2[[#This Row],[IdxWspolny]])&gt;0,"ELEM_lub_PRD","TECHN")</f>
        <v>#REF!</v>
      </c>
      <c r="L2440" t="e">
        <f>IF(COUNTIF(#REF!,Tabela2[[#This Row],[KOD_PRODUKTU]])&gt;0,"ELEMENT","PRODUKT")</f>
        <v>#REF!</v>
      </c>
      <c r="M2440" t="e">
        <f>COUNTIF(#REF!,Tabela2[[#This Row],[KOD_PRODUKTU]])</f>
        <v>#REF!</v>
      </c>
    </row>
    <row r="2441" spans="1:13" x14ac:dyDescent="0.25">
      <c r="A2441" s="1" t="s">
        <v>1872</v>
      </c>
      <c r="B2441" t="s">
        <v>1873</v>
      </c>
      <c r="C2441" s="1" t="s">
        <v>3919</v>
      </c>
      <c r="D2441" s="1" t="s">
        <v>3919</v>
      </c>
      <c r="E2441" s="1" t="s">
        <v>3919</v>
      </c>
      <c r="F2441" t="s">
        <v>3920</v>
      </c>
      <c r="G2441" t="s">
        <v>1888</v>
      </c>
      <c r="H2441" t="s">
        <v>3921</v>
      </c>
      <c r="I2441" t="s">
        <v>50</v>
      </c>
      <c r="J2441">
        <v>22</v>
      </c>
      <c r="K2441" t="e">
        <f>IF(COUNTIF(#REF!,Tabela2[[#This Row],[IdxWspolny]])&gt;0,"ELEM_lub_PRD","TECHN")</f>
        <v>#REF!</v>
      </c>
      <c r="L2441" t="e">
        <f>IF(COUNTIF(#REF!,Tabela2[[#This Row],[KOD_PRODUKTU]])&gt;0,"ELEMENT","PRODUKT")</f>
        <v>#REF!</v>
      </c>
      <c r="M2441" t="e">
        <f>COUNTIF(#REF!,Tabela2[[#This Row],[KOD_PRODUKTU]])</f>
        <v>#REF!</v>
      </c>
    </row>
    <row r="2442" spans="1:13" x14ac:dyDescent="0.25">
      <c r="A2442" s="1" t="s">
        <v>1872</v>
      </c>
      <c r="B2442" t="s">
        <v>1873</v>
      </c>
      <c r="C2442" s="1" t="s">
        <v>7</v>
      </c>
      <c r="D2442" s="1" t="s">
        <v>7</v>
      </c>
      <c r="E2442" s="1" t="s">
        <v>7</v>
      </c>
      <c r="F2442" t="s">
        <v>8</v>
      </c>
      <c r="G2442" t="s">
        <v>9</v>
      </c>
      <c r="H2442" t="s">
        <v>10</v>
      </c>
      <c r="I2442" t="s">
        <v>992</v>
      </c>
      <c r="J2442">
        <v>13.8</v>
      </c>
      <c r="K2442" t="e">
        <f>IF(COUNTIF(#REF!,Tabela2[[#This Row],[IdxWspolny]])&gt;0,"ELEM_lub_PRD","TECHN")</f>
        <v>#REF!</v>
      </c>
      <c r="L2442" t="e">
        <f>IF(COUNTIF(#REF!,Tabela2[[#This Row],[KOD_PRODUKTU]])&gt;0,"ELEMENT","PRODUKT")</f>
        <v>#REF!</v>
      </c>
      <c r="M2442" t="e">
        <f>COUNTIF(#REF!,Tabela2[[#This Row],[KOD_PRODUKTU]])</f>
        <v>#REF!</v>
      </c>
    </row>
    <row r="2443" spans="1:13" x14ac:dyDescent="0.25">
      <c r="A2443" s="1" t="s">
        <v>3922</v>
      </c>
      <c r="B2443" t="s">
        <v>3923</v>
      </c>
      <c r="C2443" s="1" t="s">
        <v>1844</v>
      </c>
      <c r="D2443" s="1" t="s">
        <v>1844</v>
      </c>
      <c r="E2443" s="1" t="s">
        <v>1844</v>
      </c>
      <c r="F2443" t="s">
        <v>1845</v>
      </c>
      <c r="G2443" t="s">
        <v>1846</v>
      </c>
      <c r="H2443" t="s">
        <v>121</v>
      </c>
      <c r="I2443" t="s">
        <v>50</v>
      </c>
      <c r="J2443">
        <v>15.52</v>
      </c>
      <c r="K2443" t="e">
        <f>IF(COUNTIF(#REF!,Tabela2[[#This Row],[IdxWspolny]])&gt;0,"ELEM_lub_PRD","TECHN")</f>
        <v>#REF!</v>
      </c>
      <c r="L2443" t="e">
        <f>IF(COUNTIF(#REF!,Tabela2[[#This Row],[KOD_PRODUKTU]])&gt;0,"ELEMENT","PRODUKT")</f>
        <v>#REF!</v>
      </c>
      <c r="M2443" t="e">
        <f>COUNTIF(#REF!,Tabela2[[#This Row],[KOD_PRODUKTU]])</f>
        <v>#REF!</v>
      </c>
    </row>
    <row r="2444" spans="1:13" x14ac:dyDescent="0.25">
      <c r="A2444" s="1" t="s">
        <v>3922</v>
      </c>
      <c r="B2444" t="s">
        <v>3923</v>
      </c>
      <c r="C2444" s="1" t="s">
        <v>41</v>
      </c>
      <c r="D2444" s="1" t="s">
        <v>41</v>
      </c>
      <c r="E2444" s="1" t="s">
        <v>41</v>
      </c>
      <c r="F2444" t="s">
        <v>42</v>
      </c>
      <c r="G2444" t="s">
        <v>513</v>
      </c>
      <c r="H2444" t="s">
        <v>5</v>
      </c>
      <c r="I2444" t="s">
        <v>1900</v>
      </c>
      <c r="J2444">
        <v>0.03</v>
      </c>
      <c r="K2444" t="e">
        <f>IF(COUNTIF(#REF!,Tabela2[[#This Row],[IdxWspolny]])&gt;0,"ELEM_lub_PRD","TECHN")</f>
        <v>#REF!</v>
      </c>
      <c r="L2444" t="e">
        <f>IF(COUNTIF(#REF!,Tabela2[[#This Row],[KOD_PRODUKTU]])&gt;0,"ELEMENT","PRODUKT")</f>
        <v>#REF!</v>
      </c>
      <c r="M2444" t="e">
        <f>COUNTIF(#REF!,Tabela2[[#This Row],[KOD_PRODUKTU]])</f>
        <v>#REF!</v>
      </c>
    </row>
    <row r="2445" spans="1:13" x14ac:dyDescent="0.25">
      <c r="A2445" s="1" t="s">
        <v>3922</v>
      </c>
      <c r="B2445" t="s">
        <v>3923</v>
      </c>
      <c r="C2445" s="1" t="s">
        <v>7</v>
      </c>
      <c r="D2445" s="1" t="s">
        <v>7</v>
      </c>
      <c r="E2445" s="1" t="s">
        <v>7</v>
      </c>
      <c r="F2445" t="s">
        <v>8</v>
      </c>
      <c r="G2445" t="s">
        <v>9</v>
      </c>
      <c r="H2445" t="s">
        <v>10</v>
      </c>
      <c r="I2445" t="s">
        <v>3924</v>
      </c>
      <c r="J2445">
        <v>9.8000000000000007</v>
      </c>
      <c r="K2445" t="e">
        <f>IF(COUNTIF(#REF!,Tabela2[[#This Row],[IdxWspolny]])&gt;0,"ELEM_lub_PRD","TECHN")</f>
        <v>#REF!</v>
      </c>
      <c r="L2445" t="e">
        <f>IF(COUNTIF(#REF!,Tabela2[[#This Row],[KOD_PRODUKTU]])&gt;0,"ELEMENT","PRODUKT")</f>
        <v>#REF!</v>
      </c>
      <c r="M2445" t="e">
        <f>COUNTIF(#REF!,Tabela2[[#This Row],[KOD_PRODUKTU]])</f>
        <v>#REF!</v>
      </c>
    </row>
    <row r="2446" spans="1:13" x14ac:dyDescent="0.25">
      <c r="A2446" s="1" t="s">
        <v>3925</v>
      </c>
      <c r="B2446" t="s">
        <v>3926</v>
      </c>
      <c r="C2446" s="1" t="s">
        <v>1847</v>
      </c>
      <c r="D2446" s="1" t="s">
        <v>1847</v>
      </c>
      <c r="E2446" s="1" t="s">
        <v>1847</v>
      </c>
      <c r="F2446" t="s">
        <v>1848</v>
      </c>
      <c r="G2446" t="s">
        <v>1849</v>
      </c>
      <c r="H2446" t="s">
        <v>121</v>
      </c>
      <c r="I2446" t="s">
        <v>50</v>
      </c>
      <c r="J2446">
        <v>15.74</v>
      </c>
      <c r="K2446" t="e">
        <f>IF(COUNTIF(#REF!,Tabela2[[#This Row],[IdxWspolny]])&gt;0,"ELEM_lub_PRD","TECHN")</f>
        <v>#REF!</v>
      </c>
      <c r="L2446" t="e">
        <f>IF(COUNTIF(#REF!,Tabela2[[#This Row],[KOD_PRODUKTU]])&gt;0,"ELEMENT","PRODUKT")</f>
        <v>#REF!</v>
      </c>
      <c r="M2446" t="e">
        <f>COUNTIF(#REF!,Tabela2[[#This Row],[KOD_PRODUKTU]])</f>
        <v>#REF!</v>
      </c>
    </row>
    <row r="2447" spans="1:13" x14ac:dyDescent="0.25">
      <c r="A2447" s="1" t="s">
        <v>3925</v>
      </c>
      <c r="B2447" t="s">
        <v>3926</v>
      </c>
      <c r="C2447" s="1" t="s">
        <v>41</v>
      </c>
      <c r="D2447" s="1" t="s">
        <v>41</v>
      </c>
      <c r="E2447" s="1" t="s">
        <v>41</v>
      </c>
      <c r="F2447" t="s">
        <v>42</v>
      </c>
      <c r="G2447" t="s">
        <v>513</v>
      </c>
      <c r="H2447" t="s">
        <v>5</v>
      </c>
      <c r="I2447" t="s">
        <v>44</v>
      </c>
      <c r="J2447">
        <v>0.01</v>
      </c>
      <c r="K2447" t="e">
        <f>IF(COUNTIF(#REF!,Tabela2[[#This Row],[IdxWspolny]])&gt;0,"ELEM_lub_PRD","TECHN")</f>
        <v>#REF!</v>
      </c>
      <c r="L2447" t="e">
        <f>IF(COUNTIF(#REF!,Tabela2[[#This Row],[KOD_PRODUKTU]])&gt;0,"ELEMENT","PRODUKT")</f>
        <v>#REF!</v>
      </c>
      <c r="M2447" t="e">
        <f>COUNTIF(#REF!,Tabela2[[#This Row],[KOD_PRODUKTU]])</f>
        <v>#REF!</v>
      </c>
    </row>
    <row r="2448" spans="1:13" x14ac:dyDescent="0.25">
      <c r="A2448" s="1" t="s">
        <v>3925</v>
      </c>
      <c r="B2448" t="s">
        <v>3926</v>
      </c>
      <c r="C2448" s="1" t="s">
        <v>7</v>
      </c>
      <c r="D2448" s="1" t="s">
        <v>7</v>
      </c>
      <c r="E2448" s="1" t="s">
        <v>7</v>
      </c>
      <c r="F2448" t="s">
        <v>8</v>
      </c>
      <c r="G2448" t="s">
        <v>9</v>
      </c>
      <c r="H2448" t="s">
        <v>10</v>
      </c>
      <c r="I2448" t="s">
        <v>3924</v>
      </c>
      <c r="J2448">
        <v>9.8000000000000007</v>
      </c>
      <c r="K2448" t="e">
        <f>IF(COUNTIF(#REF!,Tabela2[[#This Row],[IdxWspolny]])&gt;0,"ELEM_lub_PRD","TECHN")</f>
        <v>#REF!</v>
      </c>
      <c r="L2448" t="e">
        <f>IF(COUNTIF(#REF!,Tabela2[[#This Row],[KOD_PRODUKTU]])&gt;0,"ELEMENT","PRODUKT")</f>
        <v>#REF!</v>
      </c>
      <c r="M2448" t="e">
        <f>COUNTIF(#REF!,Tabela2[[#This Row],[KOD_PRODUKTU]])</f>
        <v>#REF!</v>
      </c>
    </row>
    <row r="2449" spans="1:13" x14ac:dyDescent="0.25">
      <c r="A2449" s="1" t="s">
        <v>3927</v>
      </c>
      <c r="B2449" t="s">
        <v>3928</v>
      </c>
      <c r="C2449" s="1" t="s">
        <v>1736</v>
      </c>
      <c r="D2449" s="1" t="s">
        <v>1736</v>
      </c>
      <c r="E2449" s="1" t="s">
        <v>1736</v>
      </c>
      <c r="F2449" t="s">
        <v>3929</v>
      </c>
      <c r="G2449" t="s">
        <v>3930</v>
      </c>
      <c r="H2449" t="s">
        <v>49</v>
      </c>
      <c r="I2449" t="s">
        <v>1777</v>
      </c>
      <c r="J2449">
        <v>2.77</v>
      </c>
      <c r="K2449" t="e">
        <f>IF(COUNTIF(#REF!,Tabela2[[#This Row],[IdxWspolny]])&gt;0,"ELEM_lub_PRD","TECHN")</f>
        <v>#REF!</v>
      </c>
      <c r="L2449" t="e">
        <f>IF(COUNTIF(#REF!,Tabela2[[#This Row],[KOD_PRODUKTU]])&gt;0,"ELEMENT","PRODUKT")</f>
        <v>#REF!</v>
      </c>
      <c r="M2449" t="e">
        <f>COUNTIF(#REF!,Tabela2[[#This Row],[KOD_PRODUKTU]])</f>
        <v>#REF!</v>
      </c>
    </row>
    <row r="2450" spans="1:13" x14ac:dyDescent="0.25">
      <c r="A2450" s="1" t="s">
        <v>3927</v>
      </c>
      <c r="B2450" t="s">
        <v>3928</v>
      </c>
      <c r="C2450" s="1" t="s">
        <v>541</v>
      </c>
      <c r="D2450" s="1" t="s">
        <v>541</v>
      </c>
      <c r="E2450" s="1" t="s">
        <v>541</v>
      </c>
      <c r="F2450" t="s">
        <v>542</v>
      </c>
      <c r="G2450" t="s">
        <v>9</v>
      </c>
      <c r="H2450" t="s">
        <v>10</v>
      </c>
      <c r="I2450" t="s">
        <v>3931</v>
      </c>
      <c r="J2450">
        <v>3.73</v>
      </c>
      <c r="K2450" t="e">
        <f>IF(COUNTIF(#REF!,Tabela2[[#This Row],[IdxWspolny]])&gt;0,"ELEM_lub_PRD","TECHN")</f>
        <v>#REF!</v>
      </c>
      <c r="L2450" t="e">
        <f>IF(COUNTIF(#REF!,Tabela2[[#This Row],[KOD_PRODUKTU]])&gt;0,"ELEMENT","PRODUKT")</f>
        <v>#REF!</v>
      </c>
      <c r="M2450" t="e">
        <f>COUNTIF(#REF!,Tabela2[[#This Row],[KOD_PRODUKTU]])</f>
        <v>#REF!</v>
      </c>
    </row>
    <row r="2451" spans="1:13" x14ac:dyDescent="0.25">
      <c r="A2451" s="1" t="s">
        <v>3932</v>
      </c>
      <c r="B2451" t="s">
        <v>3933</v>
      </c>
      <c r="C2451" s="1" t="s">
        <v>3919</v>
      </c>
      <c r="D2451" s="1" t="s">
        <v>3919</v>
      </c>
      <c r="E2451" s="1" t="s">
        <v>3919</v>
      </c>
      <c r="F2451" t="s">
        <v>3920</v>
      </c>
      <c r="G2451" t="s">
        <v>311</v>
      </c>
      <c r="H2451" t="s">
        <v>3921</v>
      </c>
      <c r="I2451" t="s">
        <v>50</v>
      </c>
      <c r="J2451">
        <v>13</v>
      </c>
      <c r="K2451" t="e">
        <f>IF(COUNTIF(#REF!,Tabela2[[#This Row],[IdxWspolny]])&gt;0,"ELEM_lub_PRD","TECHN")</f>
        <v>#REF!</v>
      </c>
      <c r="L2451" t="e">
        <f>IF(COUNTIF(#REF!,Tabela2[[#This Row],[KOD_PRODUKTU]])&gt;0,"ELEMENT","PRODUKT")</f>
        <v>#REF!</v>
      </c>
      <c r="M2451" t="e">
        <f>COUNTIF(#REF!,Tabela2[[#This Row],[KOD_PRODUKTU]])</f>
        <v>#REF!</v>
      </c>
    </row>
    <row r="2452" spans="1:13" x14ac:dyDescent="0.25">
      <c r="A2452" s="1" t="s">
        <v>3932</v>
      </c>
      <c r="B2452" t="s">
        <v>3933</v>
      </c>
      <c r="C2452" s="1" t="s">
        <v>7</v>
      </c>
      <c r="D2452" s="1" t="s">
        <v>7</v>
      </c>
      <c r="E2452" s="1" t="s">
        <v>7</v>
      </c>
      <c r="F2452" t="s">
        <v>8</v>
      </c>
      <c r="G2452" t="s">
        <v>9</v>
      </c>
      <c r="H2452" t="s">
        <v>10</v>
      </c>
      <c r="I2452" t="s">
        <v>3934</v>
      </c>
      <c r="J2452">
        <v>13.92</v>
      </c>
      <c r="K2452" t="e">
        <f>IF(COUNTIF(#REF!,Tabela2[[#This Row],[IdxWspolny]])&gt;0,"ELEM_lub_PRD","TECHN")</f>
        <v>#REF!</v>
      </c>
      <c r="L2452" t="e">
        <f>IF(COUNTIF(#REF!,Tabela2[[#This Row],[KOD_PRODUKTU]])&gt;0,"ELEMENT","PRODUKT")</f>
        <v>#REF!</v>
      </c>
      <c r="M2452" t="e">
        <f>COUNTIF(#REF!,Tabela2[[#This Row],[KOD_PRODUKTU]])</f>
        <v>#REF!</v>
      </c>
    </row>
    <row r="2453" spans="1:13" x14ac:dyDescent="0.25">
      <c r="A2453" s="1" t="s">
        <v>3935</v>
      </c>
      <c r="B2453" t="s">
        <v>3936</v>
      </c>
      <c r="C2453" s="1" t="s">
        <v>3937</v>
      </c>
      <c r="D2453" s="1" t="s">
        <v>3937</v>
      </c>
      <c r="E2453" s="1" t="s">
        <v>3937</v>
      </c>
      <c r="F2453" t="s">
        <v>3938</v>
      </c>
      <c r="G2453" t="s">
        <v>1896</v>
      </c>
      <c r="H2453" t="s">
        <v>5</v>
      </c>
      <c r="I2453" t="s">
        <v>50</v>
      </c>
      <c r="J2453">
        <v>16.5</v>
      </c>
      <c r="K2453" t="e">
        <f>IF(COUNTIF(#REF!,Tabela2[[#This Row],[IdxWspolny]])&gt;0,"ELEM_lub_PRD","TECHN")</f>
        <v>#REF!</v>
      </c>
      <c r="L2453" t="e">
        <f>IF(COUNTIF(#REF!,Tabela2[[#This Row],[KOD_PRODUKTU]])&gt;0,"ELEMENT","PRODUKT")</f>
        <v>#REF!</v>
      </c>
      <c r="M2453" t="e">
        <f>COUNTIF(#REF!,Tabela2[[#This Row],[KOD_PRODUKTU]])</f>
        <v>#REF!</v>
      </c>
    </row>
    <row r="2454" spans="1:13" x14ac:dyDescent="0.25">
      <c r="A2454" s="1" t="s">
        <v>3935</v>
      </c>
      <c r="B2454" t="s">
        <v>3936</v>
      </c>
      <c r="C2454" s="1" t="s">
        <v>7</v>
      </c>
      <c r="D2454" s="1" t="s">
        <v>7</v>
      </c>
      <c r="E2454" s="1" t="s">
        <v>7</v>
      </c>
      <c r="F2454" t="s">
        <v>8</v>
      </c>
      <c r="G2454" t="s">
        <v>9</v>
      </c>
      <c r="H2454" t="s">
        <v>10</v>
      </c>
      <c r="I2454" t="s">
        <v>3074</v>
      </c>
      <c r="J2454">
        <v>7.67</v>
      </c>
      <c r="K2454" t="e">
        <f>IF(COUNTIF(#REF!,Tabela2[[#This Row],[IdxWspolny]])&gt;0,"ELEM_lub_PRD","TECHN")</f>
        <v>#REF!</v>
      </c>
      <c r="L2454" t="e">
        <f>IF(COUNTIF(#REF!,Tabela2[[#This Row],[KOD_PRODUKTU]])&gt;0,"ELEMENT","PRODUKT")</f>
        <v>#REF!</v>
      </c>
      <c r="M2454" t="e">
        <f>COUNTIF(#REF!,Tabela2[[#This Row],[KOD_PRODUKTU]])</f>
        <v>#REF!</v>
      </c>
    </row>
    <row r="2455" spans="1:13" x14ac:dyDescent="0.25">
      <c r="A2455" s="1" t="s">
        <v>3939</v>
      </c>
      <c r="B2455" t="s">
        <v>3940</v>
      </c>
      <c r="C2455" s="1" t="s">
        <v>3941</v>
      </c>
      <c r="D2455" s="1" t="s">
        <v>3941</v>
      </c>
      <c r="E2455" s="1" t="s">
        <v>3941</v>
      </c>
      <c r="F2455" t="s">
        <v>3942</v>
      </c>
      <c r="G2455" t="s">
        <v>311</v>
      </c>
      <c r="H2455" t="s">
        <v>5</v>
      </c>
      <c r="I2455" t="s">
        <v>3943</v>
      </c>
      <c r="J2455">
        <v>0.75</v>
      </c>
      <c r="K2455" t="e">
        <f>IF(COUNTIF(#REF!,Tabela2[[#This Row],[IdxWspolny]])&gt;0,"ELEM_lub_PRD","TECHN")</f>
        <v>#REF!</v>
      </c>
      <c r="L2455" t="e">
        <f>IF(COUNTIF(#REF!,Tabela2[[#This Row],[KOD_PRODUKTU]])&gt;0,"ELEMENT","PRODUKT")</f>
        <v>#REF!</v>
      </c>
      <c r="M2455" t="e">
        <f>COUNTIF(#REF!,Tabela2[[#This Row],[KOD_PRODUKTU]])</f>
        <v>#REF!</v>
      </c>
    </row>
    <row r="2456" spans="1:13" x14ac:dyDescent="0.25">
      <c r="A2456" s="1" t="s">
        <v>3939</v>
      </c>
      <c r="B2456" t="s">
        <v>3940</v>
      </c>
      <c r="C2456" s="1" t="s">
        <v>7</v>
      </c>
      <c r="D2456" s="1" t="s">
        <v>7</v>
      </c>
      <c r="E2456" s="1" t="s">
        <v>7</v>
      </c>
      <c r="F2456" t="s">
        <v>8</v>
      </c>
      <c r="G2456" t="s">
        <v>9</v>
      </c>
      <c r="H2456" t="s">
        <v>10</v>
      </c>
      <c r="I2456" t="s">
        <v>3074</v>
      </c>
      <c r="J2456">
        <v>7.67</v>
      </c>
      <c r="K2456" t="e">
        <f>IF(COUNTIF(#REF!,Tabela2[[#This Row],[IdxWspolny]])&gt;0,"ELEM_lub_PRD","TECHN")</f>
        <v>#REF!</v>
      </c>
      <c r="L2456" t="e">
        <f>IF(COUNTIF(#REF!,Tabela2[[#This Row],[KOD_PRODUKTU]])&gt;0,"ELEMENT","PRODUKT")</f>
        <v>#REF!</v>
      </c>
      <c r="M2456" t="e">
        <f>COUNTIF(#REF!,Tabela2[[#This Row],[KOD_PRODUKTU]])</f>
        <v>#REF!</v>
      </c>
    </row>
    <row r="2457" spans="1:13" x14ac:dyDescent="0.25">
      <c r="A2457" s="1" t="s">
        <v>3944</v>
      </c>
      <c r="B2457" t="s">
        <v>3945</v>
      </c>
      <c r="C2457" s="1" t="s">
        <v>3946</v>
      </c>
      <c r="D2457" s="1" t="s">
        <v>3946</v>
      </c>
      <c r="E2457" s="1" t="s">
        <v>3946</v>
      </c>
      <c r="F2457" t="s">
        <v>3947</v>
      </c>
      <c r="G2457" t="s">
        <v>3948</v>
      </c>
      <c r="H2457" t="s">
        <v>49</v>
      </c>
      <c r="I2457" t="s">
        <v>50</v>
      </c>
      <c r="J2457">
        <v>8.41</v>
      </c>
      <c r="K2457" t="e">
        <f>IF(COUNTIF(#REF!,Tabela2[[#This Row],[IdxWspolny]])&gt;0,"ELEM_lub_PRD","TECHN")</f>
        <v>#REF!</v>
      </c>
      <c r="L2457" t="e">
        <f>IF(COUNTIF(#REF!,Tabela2[[#This Row],[KOD_PRODUKTU]])&gt;0,"ELEMENT","PRODUKT")</f>
        <v>#REF!</v>
      </c>
      <c r="M2457" t="e">
        <f>COUNTIF(#REF!,Tabela2[[#This Row],[KOD_PRODUKTU]])</f>
        <v>#REF!</v>
      </c>
    </row>
    <row r="2458" spans="1:13" x14ac:dyDescent="0.25">
      <c r="A2458" s="1" t="s">
        <v>3944</v>
      </c>
      <c r="B2458" t="s">
        <v>3945</v>
      </c>
      <c r="C2458" s="1" t="s">
        <v>3949</v>
      </c>
      <c r="D2458" s="1" t="s">
        <v>3949</v>
      </c>
      <c r="E2458" s="1" t="s">
        <v>3949</v>
      </c>
      <c r="F2458" t="s">
        <v>3950</v>
      </c>
      <c r="G2458" t="s">
        <v>3951</v>
      </c>
      <c r="H2458" t="s">
        <v>39</v>
      </c>
      <c r="I2458" t="s">
        <v>605</v>
      </c>
      <c r="J2458">
        <v>0.81</v>
      </c>
      <c r="K2458" t="e">
        <f>IF(COUNTIF(#REF!,Tabela2[[#This Row],[IdxWspolny]])&gt;0,"ELEM_lub_PRD","TECHN")</f>
        <v>#REF!</v>
      </c>
      <c r="L2458" t="e">
        <f>IF(COUNTIF(#REF!,Tabela2[[#This Row],[KOD_PRODUKTU]])&gt;0,"ELEMENT","PRODUKT")</f>
        <v>#REF!</v>
      </c>
      <c r="M2458" t="e">
        <f>COUNTIF(#REF!,Tabela2[[#This Row],[KOD_PRODUKTU]])</f>
        <v>#REF!</v>
      </c>
    </row>
    <row r="2459" spans="1:13" x14ac:dyDescent="0.25">
      <c r="A2459" s="1" t="s">
        <v>3944</v>
      </c>
      <c r="B2459" t="s">
        <v>3945</v>
      </c>
      <c r="C2459" s="1" t="s">
        <v>1854</v>
      </c>
      <c r="D2459" s="1" t="s">
        <v>1854</v>
      </c>
      <c r="E2459" s="1" t="s">
        <v>1854</v>
      </c>
      <c r="F2459" t="s">
        <v>1855</v>
      </c>
      <c r="G2459" t="s">
        <v>1856</v>
      </c>
      <c r="H2459" t="s">
        <v>1857</v>
      </c>
      <c r="I2459" t="s">
        <v>1253</v>
      </c>
      <c r="J2459">
        <v>0.02</v>
      </c>
      <c r="K2459" t="e">
        <f>IF(COUNTIF(#REF!,Tabela2[[#This Row],[IdxWspolny]])&gt;0,"ELEM_lub_PRD","TECHN")</f>
        <v>#REF!</v>
      </c>
      <c r="L2459" t="e">
        <f>IF(COUNTIF(#REF!,Tabela2[[#This Row],[KOD_PRODUKTU]])&gt;0,"ELEMENT","PRODUKT")</f>
        <v>#REF!</v>
      </c>
      <c r="M2459" t="e">
        <f>COUNTIF(#REF!,Tabela2[[#This Row],[KOD_PRODUKTU]])</f>
        <v>#REF!</v>
      </c>
    </row>
    <row r="2460" spans="1:13" x14ac:dyDescent="0.25">
      <c r="A2460" s="1" t="s">
        <v>3944</v>
      </c>
      <c r="B2460" t="s">
        <v>3945</v>
      </c>
      <c r="C2460" s="1" t="s">
        <v>3952</v>
      </c>
      <c r="D2460" s="1" t="s">
        <v>3952</v>
      </c>
      <c r="E2460" s="1" t="s">
        <v>3952</v>
      </c>
      <c r="F2460" t="s">
        <v>3953</v>
      </c>
      <c r="G2460" t="s">
        <v>216</v>
      </c>
      <c r="H2460" t="s">
        <v>5</v>
      </c>
      <c r="I2460" t="s">
        <v>3954</v>
      </c>
      <c r="J2460">
        <v>0.02</v>
      </c>
      <c r="K2460" t="e">
        <f>IF(COUNTIF(#REF!,Tabela2[[#This Row],[IdxWspolny]])&gt;0,"ELEM_lub_PRD","TECHN")</f>
        <v>#REF!</v>
      </c>
      <c r="L2460" t="e">
        <f>IF(COUNTIF(#REF!,Tabela2[[#This Row],[KOD_PRODUKTU]])&gt;0,"ELEMENT","PRODUKT")</f>
        <v>#REF!</v>
      </c>
      <c r="M2460" t="e">
        <f>COUNTIF(#REF!,Tabela2[[#This Row],[KOD_PRODUKTU]])</f>
        <v>#REF!</v>
      </c>
    </row>
    <row r="2461" spans="1:13" x14ac:dyDescent="0.25">
      <c r="A2461" s="1" t="s">
        <v>3944</v>
      </c>
      <c r="B2461" t="s">
        <v>3945</v>
      </c>
      <c r="C2461" s="1" t="s">
        <v>3955</v>
      </c>
      <c r="D2461" s="1" t="s">
        <v>3955</v>
      </c>
      <c r="E2461" s="1" t="s">
        <v>3955</v>
      </c>
      <c r="F2461" t="s">
        <v>3956</v>
      </c>
      <c r="G2461" t="s">
        <v>3957</v>
      </c>
      <c r="H2461" t="s">
        <v>39</v>
      </c>
      <c r="I2461" t="s">
        <v>605</v>
      </c>
      <c r="J2461">
        <v>0.75</v>
      </c>
      <c r="K2461" t="e">
        <f>IF(COUNTIF(#REF!,Tabela2[[#This Row],[IdxWspolny]])&gt;0,"ELEM_lub_PRD","TECHN")</f>
        <v>#REF!</v>
      </c>
      <c r="L2461" t="e">
        <f>IF(COUNTIF(#REF!,Tabela2[[#This Row],[KOD_PRODUKTU]])&gt;0,"ELEMENT","PRODUKT")</f>
        <v>#REF!</v>
      </c>
      <c r="M2461" t="e">
        <f>COUNTIF(#REF!,Tabela2[[#This Row],[KOD_PRODUKTU]])</f>
        <v>#REF!</v>
      </c>
    </row>
    <row r="2462" spans="1:13" x14ac:dyDescent="0.25">
      <c r="A2462" s="1" t="s">
        <v>3944</v>
      </c>
      <c r="B2462" t="s">
        <v>3945</v>
      </c>
      <c r="C2462" s="1" t="s">
        <v>587</v>
      </c>
      <c r="D2462" s="1" t="s">
        <v>587</v>
      </c>
      <c r="E2462" s="1" t="s">
        <v>587</v>
      </c>
      <c r="F2462" t="s">
        <v>588</v>
      </c>
      <c r="G2462" t="s">
        <v>191</v>
      </c>
      <c r="H2462" t="s">
        <v>5</v>
      </c>
      <c r="I2462" t="s">
        <v>3958</v>
      </c>
      <c r="J2462">
        <v>0.03</v>
      </c>
      <c r="K2462" t="e">
        <f>IF(COUNTIF(#REF!,Tabela2[[#This Row],[IdxWspolny]])&gt;0,"ELEM_lub_PRD","TECHN")</f>
        <v>#REF!</v>
      </c>
      <c r="L2462" t="e">
        <f>IF(COUNTIF(#REF!,Tabela2[[#This Row],[KOD_PRODUKTU]])&gt;0,"ELEMENT","PRODUKT")</f>
        <v>#REF!</v>
      </c>
      <c r="M2462" t="e">
        <f>COUNTIF(#REF!,Tabela2[[#This Row],[KOD_PRODUKTU]])</f>
        <v>#REF!</v>
      </c>
    </row>
    <row r="2463" spans="1:13" x14ac:dyDescent="0.25">
      <c r="A2463" s="1" t="s">
        <v>3944</v>
      </c>
      <c r="B2463" t="s">
        <v>3945</v>
      </c>
      <c r="C2463" s="1" t="s">
        <v>2844</v>
      </c>
      <c r="D2463" s="1" t="s">
        <v>2844</v>
      </c>
      <c r="E2463" s="1" t="s">
        <v>2844</v>
      </c>
      <c r="F2463" t="s">
        <v>2845</v>
      </c>
      <c r="G2463" t="s">
        <v>1005</v>
      </c>
      <c r="H2463" t="s">
        <v>5</v>
      </c>
      <c r="I2463" t="s">
        <v>2213</v>
      </c>
      <c r="J2463">
        <v>0.01</v>
      </c>
      <c r="K2463" t="e">
        <f>IF(COUNTIF(#REF!,Tabela2[[#This Row],[IdxWspolny]])&gt;0,"ELEM_lub_PRD","TECHN")</f>
        <v>#REF!</v>
      </c>
      <c r="L2463" t="e">
        <f>IF(COUNTIF(#REF!,Tabela2[[#This Row],[KOD_PRODUKTU]])&gt;0,"ELEMENT","PRODUKT")</f>
        <v>#REF!</v>
      </c>
      <c r="M2463" t="e">
        <f>COUNTIF(#REF!,Tabela2[[#This Row],[KOD_PRODUKTU]])</f>
        <v>#REF!</v>
      </c>
    </row>
    <row r="2464" spans="1:13" x14ac:dyDescent="0.25">
      <c r="A2464" s="1" t="s">
        <v>3944</v>
      </c>
      <c r="B2464" t="s">
        <v>3945</v>
      </c>
      <c r="C2464" s="1" t="s">
        <v>3959</v>
      </c>
      <c r="D2464" s="1" t="s">
        <v>3959</v>
      </c>
      <c r="E2464" s="1" t="s">
        <v>3959</v>
      </c>
      <c r="F2464" t="s">
        <v>3960</v>
      </c>
      <c r="G2464" t="s">
        <v>3961</v>
      </c>
      <c r="H2464" t="s">
        <v>39</v>
      </c>
      <c r="I2464" t="s">
        <v>605</v>
      </c>
      <c r="J2464">
        <v>0.14000000000000001</v>
      </c>
      <c r="K2464" t="e">
        <f>IF(COUNTIF(#REF!,Tabela2[[#This Row],[IdxWspolny]])&gt;0,"ELEM_lub_PRD","TECHN")</f>
        <v>#REF!</v>
      </c>
      <c r="L2464" t="e">
        <f>IF(COUNTIF(#REF!,Tabela2[[#This Row],[KOD_PRODUKTU]])&gt;0,"ELEMENT","PRODUKT")</f>
        <v>#REF!</v>
      </c>
      <c r="M2464" t="e">
        <f>COUNTIF(#REF!,Tabela2[[#This Row],[KOD_PRODUKTU]])</f>
        <v>#REF!</v>
      </c>
    </row>
    <row r="2465" spans="1:14" x14ac:dyDescent="0.25">
      <c r="A2465" s="1" t="s">
        <v>3944</v>
      </c>
      <c r="B2465" t="s">
        <v>3945</v>
      </c>
      <c r="C2465" s="1" t="s">
        <v>41</v>
      </c>
      <c r="D2465" s="1" t="s">
        <v>41</v>
      </c>
      <c r="E2465" s="1" t="s">
        <v>41</v>
      </c>
      <c r="F2465" t="s">
        <v>42</v>
      </c>
      <c r="G2465" t="s">
        <v>43</v>
      </c>
      <c r="H2465" t="s">
        <v>5</v>
      </c>
      <c r="I2465" t="s">
        <v>3962</v>
      </c>
      <c r="J2465">
        <v>0.06</v>
      </c>
      <c r="K2465" t="e">
        <f>IF(COUNTIF(#REF!,Tabela2[[#This Row],[IdxWspolny]])&gt;0,"ELEM_lub_PRD","TECHN")</f>
        <v>#REF!</v>
      </c>
      <c r="L2465" t="e">
        <f>IF(COUNTIF(#REF!,Tabela2[[#This Row],[KOD_PRODUKTU]])&gt;0,"ELEMENT","PRODUKT")</f>
        <v>#REF!</v>
      </c>
      <c r="M2465" t="e">
        <f>COUNTIF(#REF!,Tabela2[[#This Row],[KOD_PRODUKTU]])</f>
        <v>#REF!</v>
      </c>
    </row>
    <row r="2466" spans="1:14" x14ac:dyDescent="0.25">
      <c r="A2466" s="1" t="s">
        <v>3944</v>
      </c>
      <c r="B2466" t="s">
        <v>3945</v>
      </c>
      <c r="C2466" s="1" t="s">
        <v>3963</v>
      </c>
      <c r="D2466" s="1" t="s">
        <v>3963</v>
      </c>
      <c r="E2466" s="1" t="s">
        <v>3963</v>
      </c>
      <c r="F2466" t="s">
        <v>3964</v>
      </c>
      <c r="G2466" t="s">
        <v>54</v>
      </c>
      <c r="H2466" t="s">
        <v>49</v>
      </c>
      <c r="I2466" t="s">
        <v>50</v>
      </c>
      <c r="J2466">
        <v>3.8</v>
      </c>
      <c r="K2466" t="e">
        <f>IF(COUNTIF(#REF!,Tabela2[[#This Row],[IdxWspolny]])&gt;0,"ELEM_lub_PRD","TECHN")</f>
        <v>#REF!</v>
      </c>
      <c r="L2466" t="e">
        <f>IF(COUNTIF(#REF!,Tabela2[[#This Row],[KOD_PRODUKTU]])&gt;0,"ELEMENT","PRODUKT")</f>
        <v>#REF!</v>
      </c>
      <c r="M2466" t="e">
        <f>COUNTIF(#REF!,Tabela2[[#This Row],[KOD_PRODUKTU]])</f>
        <v>#REF!</v>
      </c>
    </row>
    <row r="2467" spans="1:14" hidden="1" x14ac:dyDescent="0.25">
      <c r="A2467" s="1" t="s">
        <v>3944</v>
      </c>
      <c r="B2467" t="s">
        <v>3945</v>
      </c>
      <c r="C2467" s="1" t="s">
        <v>2680</v>
      </c>
      <c r="D2467" s="1" t="s">
        <v>2666</v>
      </c>
      <c r="E2467" s="1" t="s">
        <v>2666</v>
      </c>
      <c r="F2467" t="s">
        <v>2667</v>
      </c>
      <c r="G2467" t="s">
        <v>2681</v>
      </c>
      <c r="H2467" t="s">
        <v>49</v>
      </c>
      <c r="I2467" t="s">
        <v>50</v>
      </c>
      <c r="J2467">
        <v>106.05</v>
      </c>
      <c r="K2467" t="e">
        <f>IF(COUNTIF(#REF!,Tabela2[[#This Row],[IdxWspolny]])&gt;0,"ELEM_lub_PRD","TECHN")</f>
        <v>#REF!</v>
      </c>
      <c r="L2467" t="e">
        <f>IF(COUNTIF(#REF!,Tabela2[[#This Row],[KOD_PRODUKTU]])&gt;0,"ELEMENT","PRODUKT")</f>
        <v>#REF!</v>
      </c>
      <c r="M2467" t="e">
        <f>COUNTIF(#REF!,Tabela2[[#This Row],[KOD_PRODUKTU]])</f>
        <v>#REF!</v>
      </c>
      <c r="N2467" t="s">
        <v>51</v>
      </c>
    </row>
    <row r="2468" spans="1:14" hidden="1" x14ac:dyDescent="0.25">
      <c r="A2468" s="1" t="s">
        <v>3944</v>
      </c>
      <c r="B2468" t="s">
        <v>3945</v>
      </c>
      <c r="C2468" s="1" t="s">
        <v>3932</v>
      </c>
      <c r="D2468" s="1" t="s">
        <v>3932</v>
      </c>
      <c r="E2468" s="1" t="s">
        <v>3932</v>
      </c>
      <c r="F2468" t="s">
        <v>3933</v>
      </c>
      <c r="G2468" t="s">
        <v>3965</v>
      </c>
      <c r="H2468" t="s">
        <v>49</v>
      </c>
      <c r="I2468" t="s">
        <v>50</v>
      </c>
      <c r="J2468">
        <v>26.92</v>
      </c>
      <c r="K2468" t="e">
        <f>IF(COUNTIF(#REF!,Tabela2[[#This Row],[IdxWspolny]])&gt;0,"ELEM_lub_PRD","TECHN")</f>
        <v>#REF!</v>
      </c>
      <c r="L2468" t="e">
        <f>IF(COUNTIF(#REF!,Tabela2[[#This Row],[KOD_PRODUKTU]])&gt;0,"ELEMENT","PRODUKT")</f>
        <v>#REF!</v>
      </c>
      <c r="M2468" t="e">
        <f>COUNTIF(#REF!,Tabela2[[#This Row],[KOD_PRODUKTU]])</f>
        <v>#REF!</v>
      </c>
      <c r="N2468" t="s">
        <v>55</v>
      </c>
    </row>
    <row r="2469" spans="1:14" x14ac:dyDescent="0.25">
      <c r="A2469" s="1" t="s">
        <v>3944</v>
      </c>
      <c r="B2469" t="s">
        <v>3945</v>
      </c>
      <c r="C2469" s="1" t="s">
        <v>7</v>
      </c>
      <c r="D2469" s="1" t="s">
        <v>7</v>
      </c>
      <c r="E2469" s="1" t="s">
        <v>7</v>
      </c>
      <c r="F2469" t="s">
        <v>8</v>
      </c>
      <c r="G2469" t="s">
        <v>9</v>
      </c>
      <c r="H2469" t="s">
        <v>10</v>
      </c>
      <c r="I2469" t="s">
        <v>3966</v>
      </c>
      <c r="J2469">
        <v>6.07</v>
      </c>
      <c r="K2469" t="e">
        <f>IF(COUNTIF(#REF!,Tabela2[[#This Row],[IdxWspolny]])&gt;0,"ELEM_lub_PRD","TECHN")</f>
        <v>#REF!</v>
      </c>
      <c r="L2469" t="e">
        <f>IF(COUNTIF(#REF!,Tabela2[[#This Row],[KOD_PRODUKTU]])&gt;0,"ELEMENT","PRODUKT")</f>
        <v>#REF!</v>
      </c>
      <c r="M2469" t="e">
        <f>COUNTIF(#REF!,Tabela2[[#This Row],[KOD_PRODUKTU]])</f>
        <v>#REF!</v>
      </c>
    </row>
    <row r="2470" spans="1:14" x14ac:dyDescent="0.25">
      <c r="A2470" s="1" t="s">
        <v>3967</v>
      </c>
      <c r="B2470" t="s">
        <v>3968</v>
      </c>
      <c r="C2470" s="1" t="s">
        <v>2458</v>
      </c>
      <c r="D2470" s="1" t="s">
        <v>2458</v>
      </c>
      <c r="E2470" s="1" t="s">
        <v>2458</v>
      </c>
      <c r="F2470" t="s">
        <v>2459</v>
      </c>
      <c r="G2470" t="s">
        <v>384</v>
      </c>
      <c r="H2470" t="s">
        <v>5</v>
      </c>
      <c r="I2470" t="s">
        <v>367</v>
      </c>
      <c r="J2470">
        <v>0.55000000000000004</v>
      </c>
      <c r="K2470" t="e">
        <f>IF(COUNTIF(#REF!,Tabela2[[#This Row],[IdxWspolny]])&gt;0,"ELEM_lub_PRD","TECHN")</f>
        <v>#REF!</v>
      </c>
      <c r="L2470" t="e">
        <f>IF(COUNTIF(#REF!,Tabela2[[#This Row],[KOD_PRODUKTU]])&gt;0,"ELEMENT","PRODUKT")</f>
        <v>#REF!</v>
      </c>
      <c r="M2470" t="e">
        <f>COUNTIF(#REF!,Tabela2[[#This Row],[KOD_PRODUKTU]])</f>
        <v>#REF!</v>
      </c>
    </row>
    <row r="2471" spans="1:14" x14ac:dyDescent="0.25">
      <c r="A2471" s="1" t="s">
        <v>3967</v>
      </c>
      <c r="B2471" t="s">
        <v>3968</v>
      </c>
      <c r="C2471" s="1" t="s">
        <v>432</v>
      </c>
      <c r="D2471" s="1" t="s">
        <v>432</v>
      </c>
      <c r="E2471" s="1" t="s">
        <v>432</v>
      </c>
      <c r="F2471" t="s">
        <v>433</v>
      </c>
      <c r="G2471" t="s">
        <v>434</v>
      </c>
      <c r="H2471" t="s">
        <v>435</v>
      </c>
      <c r="I2471" t="s">
        <v>50</v>
      </c>
      <c r="J2471">
        <v>1.1000000000000001</v>
      </c>
      <c r="K2471" t="e">
        <f>IF(COUNTIF(#REF!,Tabela2[[#This Row],[IdxWspolny]])&gt;0,"ELEM_lub_PRD","TECHN")</f>
        <v>#REF!</v>
      </c>
      <c r="L2471" t="e">
        <f>IF(COUNTIF(#REF!,Tabela2[[#This Row],[KOD_PRODUKTU]])&gt;0,"ELEMENT","PRODUKT")</f>
        <v>#REF!</v>
      </c>
      <c r="M2471" t="e">
        <f>COUNTIF(#REF!,Tabela2[[#This Row],[KOD_PRODUKTU]])</f>
        <v>#REF!</v>
      </c>
    </row>
    <row r="2472" spans="1:14" x14ac:dyDescent="0.25">
      <c r="A2472" s="1" t="s">
        <v>3967</v>
      </c>
      <c r="B2472" t="s">
        <v>3968</v>
      </c>
      <c r="C2472" s="1" t="s">
        <v>7</v>
      </c>
      <c r="D2472" s="1" t="s">
        <v>7</v>
      </c>
      <c r="E2472" s="1" t="s">
        <v>7</v>
      </c>
      <c r="F2472" t="s">
        <v>8</v>
      </c>
      <c r="G2472" t="s">
        <v>9</v>
      </c>
      <c r="H2472" t="s">
        <v>10</v>
      </c>
      <c r="I2472" t="s">
        <v>601</v>
      </c>
      <c r="J2472">
        <v>6.9</v>
      </c>
      <c r="K2472" t="e">
        <f>IF(COUNTIF(#REF!,Tabela2[[#This Row],[IdxWspolny]])&gt;0,"ELEM_lub_PRD","TECHN")</f>
        <v>#REF!</v>
      </c>
      <c r="L2472" t="e">
        <f>IF(COUNTIF(#REF!,Tabela2[[#This Row],[KOD_PRODUKTU]])&gt;0,"ELEMENT","PRODUKT")</f>
        <v>#REF!</v>
      </c>
      <c r="M2472" t="e">
        <f>COUNTIF(#REF!,Tabela2[[#This Row],[KOD_PRODUKTU]])</f>
        <v>#REF!</v>
      </c>
    </row>
    <row r="2473" spans="1:14" x14ac:dyDescent="0.25">
      <c r="A2473" s="1" t="s">
        <v>3969</v>
      </c>
      <c r="B2473" t="s">
        <v>3970</v>
      </c>
      <c r="C2473" s="1" t="s">
        <v>1203</v>
      </c>
      <c r="D2473" s="1" t="s">
        <v>1203</v>
      </c>
      <c r="E2473" s="1" t="s">
        <v>1203</v>
      </c>
      <c r="F2473" t="s">
        <v>1204</v>
      </c>
      <c r="G2473" t="s">
        <v>216</v>
      </c>
      <c r="H2473" t="s">
        <v>5</v>
      </c>
      <c r="I2473" t="s">
        <v>3971</v>
      </c>
      <c r="J2473">
        <v>0.45</v>
      </c>
      <c r="K2473" t="e">
        <f>IF(COUNTIF(#REF!,Tabela2[[#This Row],[IdxWspolny]])&gt;0,"ELEM_lub_PRD","TECHN")</f>
        <v>#REF!</v>
      </c>
      <c r="L2473" t="e">
        <f>IF(COUNTIF(#REF!,Tabela2[[#This Row],[KOD_PRODUKTU]])&gt;0,"ELEMENT","PRODUKT")</f>
        <v>#REF!</v>
      </c>
      <c r="M2473" t="e">
        <f>COUNTIF(#REF!,Tabela2[[#This Row],[KOD_PRODUKTU]])</f>
        <v>#REF!</v>
      </c>
    </row>
    <row r="2474" spans="1:14" x14ac:dyDescent="0.25">
      <c r="A2474" s="1" t="s">
        <v>3969</v>
      </c>
      <c r="B2474" t="s">
        <v>3970</v>
      </c>
      <c r="C2474" s="1" t="s">
        <v>432</v>
      </c>
      <c r="D2474" s="1" t="s">
        <v>432</v>
      </c>
      <c r="E2474" s="1" t="s">
        <v>432</v>
      </c>
      <c r="F2474" t="s">
        <v>433</v>
      </c>
      <c r="G2474" t="s">
        <v>434</v>
      </c>
      <c r="H2474" t="s">
        <v>435</v>
      </c>
      <c r="I2474" t="s">
        <v>50</v>
      </c>
      <c r="J2474">
        <v>1.1000000000000001</v>
      </c>
      <c r="K2474" t="e">
        <f>IF(COUNTIF(#REF!,Tabela2[[#This Row],[IdxWspolny]])&gt;0,"ELEM_lub_PRD","TECHN")</f>
        <v>#REF!</v>
      </c>
      <c r="L2474" t="e">
        <f>IF(COUNTIF(#REF!,Tabela2[[#This Row],[KOD_PRODUKTU]])&gt;0,"ELEMENT","PRODUKT")</f>
        <v>#REF!</v>
      </c>
      <c r="M2474" t="e">
        <f>COUNTIF(#REF!,Tabela2[[#This Row],[KOD_PRODUKTU]])</f>
        <v>#REF!</v>
      </c>
    </row>
    <row r="2475" spans="1:14" x14ac:dyDescent="0.25">
      <c r="A2475" s="1" t="s">
        <v>3969</v>
      </c>
      <c r="B2475" t="s">
        <v>3970</v>
      </c>
      <c r="C2475" s="1" t="s">
        <v>7</v>
      </c>
      <c r="D2475" s="1" t="s">
        <v>7</v>
      </c>
      <c r="E2475" s="1" t="s">
        <v>7</v>
      </c>
      <c r="F2475" t="s">
        <v>8</v>
      </c>
      <c r="G2475" t="s">
        <v>9</v>
      </c>
      <c r="H2475" t="s">
        <v>10</v>
      </c>
      <c r="I2475" t="s">
        <v>33</v>
      </c>
      <c r="J2475">
        <v>9.1999999999999993</v>
      </c>
      <c r="K2475" t="e">
        <f>IF(COUNTIF(#REF!,Tabela2[[#This Row],[IdxWspolny]])&gt;0,"ELEM_lub_PRD","TECHN")</f>
        <v>#REF!</v>
      </c>
      <c r="L2475" t="e">
        <f>IF(COUNTIF(#REF!,Tabela2[[#This Row],[KOD_PRODUKTU]])&gt;0,"ELEMENT","PRODUKT")</f>
        <v>#REF!</v>
      </c>
      <c r="M2475" t="e">
        <f>COUNTIF(#REF!,Tabela2[[#This Row],[KOD_PRODUKTU]])</f>
        <v>#REF!</v>
      </c>
    </row>
    <row r="2476" spans="1:14" x14ac:dyDescent="0.25">
      <c r="A2476" s="1" t="s">
        <v>3972</v>
      </c>
      <c r="B2476" t="s">
        <v>3973</v>
      </c>
      <c r="C2476" s="1" t="s">
        <v>3974</v>
      </c>
      <c r="D2476" s="1" t="s">
        <v>3974</v>
      </c>
      <c r="E2476" s="1" t="s">
        <v>3974</v>
      </c>
      <c r="F2476" t="s">
        <v>3975</v>
      </c>
      <c r="G2476" t="s">
        <v>3976</v>
      </c>
      <c r="H2476" t="s">
        <v>121</v>
      </c>
      <c r="I2476" t="s">
        <v>50</v>
      </c>
      <c r="J2476">
        <v>2.2000000000000002</v>
      </c>
      <c r="K2476" t="e">
        <f>IF(COUNTIF(#REF!,Tabela2[[#This Row],[IdxWspolny]])&gt;0,"ELEM_lub_PRD","TECHN")</f>
        <v>#REF!</v>
      </c>
      <c r="L2476" t="e">
        <f>IF(COUNTIF(#REF!,Tabela2[[#This Row],[KOD_PRODUKTU]])&gt;0,"ELEMENT","PRODUKT")</f>
        <v>#REF!</v>
      </c>
      <c r="M2476" t="e">
        <f>COUNTIF(#REF!,Tabela2[[#This Row],[KOD_PRODUKTU]])</f>
        <v>#REF!</v>
      </c>
    </row>
    <row r="2477" spans="1:14" x14ac:dyDescent="0.25">
      <c r="A2477" s="1" t="s">
        <v>3972</v>
      </c>
      <c r="B2477" t="s">
        <v>3973</v>
      </c>
      <c r="C2477" s="1" t="s">
        <v>3977</v>
      </c>
      <c r="D2477" s="1" t="s">
        <v>3977</v>
      </c>
      <c r="E2477" s="1" t="s">
        <v>3977</v>
      </c>
      <c r="F2477" t="s">
        <v>3978</v>
      </c>
      <c r="G2477" t="s">
        <v>3976</v>
      </c>
      <c r="H2477" t="s">
        <v>121</v>
      </c>
      <c r="I2477" t="s">
        <v>50</v>
      </c>
      <c r="J2477">
        <v>2.2000000000000002</v>
      </c>
      <c r="K2477" t="e">
        <f>IF(COUNTIF(#REF!,Tabela2[[#This Row],[IdxWspolny]])&gt;0,"ELEM_lub_PRD","TECHN")</f>
        <v>#REF!</v>
      </c>
      <c r="L2477" t="e">
        <f>IF(COUNTIF(#REF!,Tabela2[[#This Row],[KOD_PRODUKTU]])&gt;0,"ELEMENT","PRODUKT")</f>
        <v>#REF!</v>
      </c>
      <c r="M2477" t="e">
        <f>COUNTIF(#REF!,Tabela2[[#This Row],[KOD_PRODUKTU]])</f>
        <v>#REF!</v>
      </c>
    </row>
    <row r="2478" spans="1:14" x14ac:dyDescent="0.25">
      <c r="A2478" s="1" t="s">
        <v>3972</v>
      </c>
      <c r="B2478" t="s">
        <v>3973</v>
      </c>
      <c r="C2478" s="1" t="s">
        <v>7</v>
      </c>
      <c r="D2478" s="1" t="s">
        <v>7</v>
      </c>
      <c r="E2478" s="1" t="s">
        <v>7</v>
      </c>
      <c r="F2478" t="s">
        <v>8</v>
      </c>
      <c r="G2478" t="s">
        <v>9</v>
      </c>
      <c r="H2478" t="s">
        <v>10</v>
      </c>
      <c r="I2478" t="s">
        <v>3979</v>
      </c>
      <c r="J2478">
        <v>19.100000000000001</v>
      </c>
      <c r="K2478" t="e">
        <f>IF(COUNTIF(#REF!,Tabela2[[#This Row],[IdxWspolny]])&gt;0,"ELEM_lub_PRD","TECHN")</f>
        <v>#REF!</v>
      </c>
      <c r="L2478" t="e">
        <f>IF(COUNTIF(#REF!,Tabela2[[#This Row],[KOD_PRODUKTU]])&gt;0,"ELEMENT","PRODUKT")</f>
        <v>#REF!</v>
      </c>
      <c r="M2478" t="e">
        <f>COUNTIF(#REF!,Tabela2[[#This Row],[KOD_PRODUKTU]])</f>
        <v>#REF!</v>
      </c>
    </row>
    <row r="2479" spans="1:14" x14ac:dyDescent="0.25">
      <c r="A2479" s="1" t="s">
        <v>385</v>
      </c>
      <c r="B2479" t="s">
        <v>386</v>
      </c>
      <c r="C2479" s="1" t="s">
        <v>1203</v>
      </c>
      <c r="D2479" s="1" t="s">
        <v>1203</v>
      </c>
      <c r="E2479" s="1" t="s">
        <v>1203</v>
      </c>
      <c r="F2479" t="s">
        <v>1204</v>
      </c>
      <c r="G2479" t="s">
        <v>1232</v>
      </c>
      <c r="H2479" t="s">
        <v>5</v>
      </c>
      <c r="I2479" t="s">
        <v>3785</v>
      </c>
      <c r="J2479">
        <v>0.2</v>
      </c>
      <c r="K2479" t="e">
        <f>IF(COUNTIF(#REF!,Tabela2[[#This Row],[IdxWspolny]])&gt;0,"ELEM_lub_PRD","TECHN")</f>
        <v>#REF!</v>
      </c>
      <c r="L2479" t="e">
        <f>IF(COUNTIF(#REF!,Tabela2[[#This Row],[KOD_PRODUKTU]])&gt;0,"ELEMENT","PRODUKT")</f>
        <v>#REF!</v>
      </c>
      <c r="M2479" t="e">
        <f>COUNTIF(#REF!,Tabela2[[#This Row],[KOD_PRODUKTU]])</f>
        <v>#REF!</v>
      </c>
    </row>
    <row r="2480" spans="1:14" x14ac:dyDescent="0.25">
      <c r="A2480" s="1" t="s">
        <v>385</v>
      </c>
      <c r="B2480" t="s">
        <v>386</v>
      </c>
      <c r="C2480" s="1" t="s">
        <v>432</v>
      </c>
      <c r="D2480" s="1" t="s">
        <v>432</v>
      </c>
      <c r="E2480" s="1" t="s">
        <v>432</v>
      </c>
      <c r="F2480" t="s">
        <v>433</v>
      </c>
      <c r="G2480" t="s">
        <v>434</v>
      </c>
      <c r="H2480" t="s">
        <v>435</v>
      </c>
      <c r="I2480" t="s">
        <v>50</v>
      </c>
      <c r="J2480">
        <v>1.1000000000000001</v>
      </c>
      <c r="K2480" t="e">
        <f>IF(COUNTIF(#REF!,Tabela2[[#This Row],[IdxWspolny]])&gt;0,"ELEM_lub_PRD","TECHN")</f>
        <v>#REF!</v>
      </c>
      <c r="L2480" t="e">
        <f>IF(COUNTIF(#REF!,Tabela2[[#This Row],[KOD_PRODUKTU]])&gt;0,"ELEMENT","PRODUKT")</f>
        <v>#REF!</v>
      </c>
      <c r="M2480" t="e">
        <f>COUNTIF(#REF!,Tabela2[[#This Row],[KOD_PRODUKTU]])</f>
        <v>#REF!</v>
      </c>
    </row>
    <row r="2481" spans="1:13" x14ac:dyDescent="0.25">
      <c r="A2481" s="1" t="s">
        <v>385</v>
      </c>
      <c r="B2481" t="s">
        <v>386</v>
      </c>
      <c r="C2481" s="1" t="s">
        <v>7</v>
      </c>
      <c r="D2481" s="1" t="s">
        <v>7</v>
      </c>
      <c r="E2481" s="1" t="s">
        <v>7</v>
      </c>
      <c r="F2481" t="s">
        <v>8</v>
      </c>
      <c r="G2481" t="s">
        <v>9</v>
      </c>
      <c r="H2481" t="s">
        <v>10</v>
      </c>
      <c r="I2481" t="s">
        <v>594</v>
      </c>
      <c r="J2481">
        <v>11.5</v>
      </c>
      <c r="K2481" t="e">
        <f>IF(COUNTIF(#REF!,Tabela2[[#This Row],[IdxWspolny]])&gt;0,"ELEM_lub_PRD","TECHN")</f>
        <v>#REF!</v>
      </c>
      <c r="L2481" t="e">
        <f>IF(COUNTIF(#REF!,Tabela2[[#This Row],[KOD_PRODUKTU]])&gt;0,"ELEMENT","PRODUKT")</f>
        <v>#REF!</v>
      </c>
      <c r="M2481" t="e">
        <f>COUNTIF(#REF!,Tabela2[[#This Row],[KOD_PRODUKTU]])</f>
        <v>#REF!</v>
      </c>
    </row>
    <row r="2482" spans="1:13" x14ac:dyDescent="0.25">
      <c r="A2482" s="1" t="s">
        <v>387</v>
      </c>
      <c r="B2482" t="s">
        <v>388</v>
      </c>
      <c r="C2482" s="1" t="s">
        <v>1162</v>
      </c>
      <c r="D2482" s="1" t="s">
        <v>1162</v>
      </c>
      <c r="E2482" s="1" t="s">
        <v>1162</v>
      </c>
      <c r="F2482" t="s">
        <v>1163</v>
      </c>
      <c r="G2482" t="s">
        <v>1164</v>
      </c>
      <c r="H2482" t="s">
        <v>5</v>
      </c>
      <c r="I2482" t="s">
        <v>3980</v>
      </c>
      <c r="J2482">
        <v>0.25</v>
      </c>
      <c r="K2482" t="e">
        <f>IF(COUNTIF(#REF!,Tabela2[[#This Row],[IdxWspolny]])&gt;0,"ELEM_lub_PRD","TECHN")</f>
        <v>#REF!</v>
      </c>
      <c r="L2482" t="e">
        <f>IF(COUNTIF(#REF!,Tabela2[[#This Row],[KOD_PRODUKTU]])&gt;0,"ELEMENT","PRODUKT")</f>
        <v>#REF!</v>
      </c>
      <c r="M2482" t="e">
        <f>COUNTIF(#REF!,Tabela2[[#This Row],[KOD_PRODUKTU]])</f>
        <v>#REF!</v>
      </c>
    </row>
    <row r="2483" spans="1:13" x14ac:dyDescent="0.25">
      <c r="A2483" s="1" t="s">
        <v>387</v>
      </c>
      <c r="B2483" t="s">
        <v>388</v>
      </c>
      <c r="C2483" s="1" t="s">
        <v>3981</v>
      </c>
      <c r="D2483" s="1" t="s">
        <v>3981</v>
      </c>
      <c r="E2483" s="1" t="s">
        <v>3981</v>
      </c>
      <c r="F2483" t="s">
        <v>3982</v>
      </c>
      <c r="G2483" t="s">
        <v>3983</v>
      </c>
      <c r="H2483" t="s">
        <v>5</v>
      </c>
      <c r="I2483" t="s">
        <v>3984</v>
      </c>
      <c r="J2483">
        <v>0.15</v>
      </c>
      <c r="K2483" t="e">
        <f>IF(COUNTIF(#REF!,Tabela2[[#This Row],[IdxWspolny]])&gt;0,"ELEM_lub_PRD","TECHN")</f>
        <v>#REF!</v>
      </c>
      <c r="L2483" t="e">
        <f>IF(COUNTIF(#REF!,Tabela2[[#This Row],[KOD_PRODUKTU]])&gt;0,"ELEMENT","PRODUKT")</f>
        <v>#REF!</v>
      </c>
      <c r="M2483" t="e">
        <f>COUNTIF(#REF!,Tabela2[[#This Row],[KOD_PRODUKTU]])</f>
        <v>#REF!</v>
      </c>
    </row>
    <row r="2484" spans="1:13" x14ac:dyDescent="0.25">
      <c r="A2484" s="1" t="s">
        <v>387</v>
      </c>
      <c r="B2484" t="s">
        <v>388</v>
      </c>
      <c r="C2484" s="1" t="s">
        <v>432</v>
      </c>
      <c r="D2484" s="1" t="s">
        <v>432</v>
      </c>
      <c r="E2484" s="1" t="s">
        <v>432</v>
      </c>
      <c r="F2484" t="s">
        <v>433</v>
      </c>
      <c r="G2484" t="s">
        <v>434</v>
      </c>
      <c r="H2484" t="s">
        <v>435</v>
      </c>
      <c r="I2484" t="s">
        <v>50</v>
      </c>
      <c r="J2484">
        <v>1.1000000000000001</v>
      </c>
      <c r="K2484" t="e">
        <f>IF(COUNTIF(#REF!,Tabela2[[#This Row],[IdxWspolny]])&gt;0,"ELEM_lub_PRD","TECHN")</f>
        <v>#REF!</v>
      </c>
      <c r="L2484" t="e">
        <f>IF(COUNTIF(#REF!,Tabela2[[#This Row],[KOD_PRODUKTU]])&gt;0,"ELEMENT","PRODUKT")</f>
        <v>#REF!</v>
      </c>
      <c r="M2484" t="e">
        <f>COUNTIF(#REF!,Tabela2[[#This Row],[KOD_PRODUKTU]])</f>
        <v>#REF!</v>
      </c>
    </row>
    <row r="2485" spans="1:13" x14ac:dyDescent="0.25">
      <c r="A2485" s="1" t="s">
        <v>387</v>
      </c>
      <c r="B2485" t="s">
        <v>388</v>
      </c>
      <c r="C2485" s="1" t="s">
        <v>7</v>
      </c>
      <c r="D2485" s="1" t="s">
        <v>7</v>
      </c>
      <c r="E2485" s="1" t="s">
        <v>7</v>
      </c>
      <c r="F2485" t="s">
        <v>8</v>
      </c>
      <c r="G2485" t="s">
        <v>9</v>
      </c>
      <c r="H2485" t="s">
        <v>10</v>
      </c>
      <c r="I2485" t="s">
        <v>3985</v>
      </c>
      <c r="J2485">
        <v>7.4</v>
      </c>
      <c r="K2485" t="e">
        <f>IF(COUNTIF(#REF!,Tabela2[[#This Row],[IdxWspolny]])&gt;0,"ELEM_lub_PRD","TECHN")</f>
        <v>#REF!</v>
      </c>
      <c r="L2485" t="e">
        <f>IF(COUNTIF(#REF!,Tabela2[[#This Row],[KOD_PRODUKTU]])&gt;0,"ELEMENT","PRODUKT")</f>
        <v>#REF!</v>
      </c>
      <c r="M2485" t="e">
        <f>COUNTIF(#REF!,Tabela2[[#This Row],[KOD_PRODUKTU]])</f>
        <v>#REF!</v>
      </c>
    </row>
    <row r="2486" spans="1:13" x14ac:dyDescent="0.25">
      <c r="A2486" s="1" t="s">
        <v>389</v>
      </c>
      <c r="B2486" t="s">
        <v>390</v>
      </c>
      <c r="C2486" s="1" t="s">
        <v>3986</v>
      </c>
      <c r="D2486" s="1" t="s">
        <v>3986</v>
      </c>
      <c r="E2486" s="1" t="s">
        <v>3986</v>
      </c>
      <c r="F2486" t="s">
        <v>3987</v>
      </c>
      <c r="G2486" t="s">
        <v>3988</v>
      </c>
      <c r="H2486" t="s">
        <v>5</v>
      </c>
      <c r="I2486" t="s">
        <v>3989</v>
      </c>
      <c r="J2486">
        <v>1.25</v>
      </c>
      <c r="K2486" t="e">
        <f>IF(COUNTIF(#REF!,Tabela2[[#This Row],[IdxWspolny]])&gt;0,"ELEM_lub_PRD","TECHN")</f>
        <v>#REF!</v>
      </c>
      <c r="L2486" t="e">
        <f>IF(COUNTIF(#REF!,Tabela2[[#This Row],[KOD_PRODUKTU]])&gt;0,"ELEMENT","PRODUKT")</f>
        <v>#REF!</v>
      </c>
      <c r="M2486" t="e">
        <f>COUNTIF(#REF!,Tabela2[[#This Row],[KOD_PRODUKTU]])</f>
        <v>#REF!</v>
      </c>
    </row>
    <row r="2487" spans="1:13" x14ac:dyDescent="0.25">
      <c r="A2487" s="1" t="s">
        <v>389</v>
      </c>
      <c r="B2487" t="s">
        <v>390</v>
      </c>
      <c r="C2487" s="1" t="s">
        <v>432</v>
      </c>
      <c r="D2487" s="1" t="s">
        <v>432</v>
      </c>
      <c r="E2487" s="1" t="s">
        <v>432</v>
      </c>
      <c r="F2487" t="s">
        <v>433</v>
      </c>
      <c r="G2487" t="s">
        <v>434</v>
      </c>
      <c r="H2487" t="s">
        <v>435</v>
      </c>
      <c r="I2487" t="s">
        <v>50</v>
      </c>
      <c r="J2487">
        <v>1.1000000000000001</v>
      </c>
      <c r="K2487" t="e">
        <f>IF(COUNTIF(#REF!,Tabela2[[#This Row],[IdxWspolny]])&gt;0,"ELEM_lub_PRD","TECHN")</f>
        <v>#REF!</v>
      </c>
      <c r="L2487" t="e">
        <f>IF(COUNTIF(#REF!,Tabela2[[#This Row],[KOD_PRODUKTU]])&gt;0,"ELEMENT","PRODUKT")</f>
        <v>#REF!</v>
      </c>
      <c r="M2487" t="e">
        <f>COUNTIF(#REF!,Tabela2[[#This Row],[KOD_PRODUKTU]])</f>
        <v>#REF!</v>
      </c>
    </row>
    <row r="2488" spans="1:13" x14ac:dyDescent="0.25">
      <c r="A2488" s="1" t="s">
        <v>389</v>
      </c>
      <c r="B2488" t="s">
        <v>390</v>
      </c>
      <c r="C2488" s="1" t="s">
        <v>7</v>
      </c>
      <c r="D2488" s="1" t="s">
        <v>7</v>
      </c>
      <c r="E2488" s="1" t="s">
        <v>7</v>
      </c>
      <c r="F2488" t="s">
        <v>8</v>
      </c>
      <c r="G2488" t="s">
        <v>9</v>
      </c>
      <c r="H2488" t="s">
        <v>10</v>
      </c>
      <c r="I2488" t="s">
        <v>3990</v>
      </c>
      <c r="J2488">
        <v>9.4</v>
      </c>
      <c r="K2488" t="e">
        <f>IF(COUNTIF(#REF!,Tabela2[[#This Row],[IdxWspolny]])&gt;0,"ELEM_lub_PRD","TECHN")</f>
        <v>#REF!</v>
      </c>
      <c r="L2488" t="e">
        <f>IF(COUNTIF(#REF!,Tabela2[[#This Row],[KOD_PRODUKTU]])&gt;0,"ELEMENT","PRODUKT")</f>
        <v>#REF!</v>
      </c>
      <c r="M2488" t="e">
        <f>COUNTIF(#REF!,Tabela2[[#This Row],[KOD_PRODUKTU]])</f>
        <v>#REF!</v>
      </c>
    </row>
    <row r="2489" spans="1:13" x14ac:dyDescent="0.25">
      <c r="A2489" s="1" t="s">
        <v>392</v>
      </c>
      <c r="B2489" t="s">
        <v>393</v>
      </c>
      <c r="C2489" s="1" t="s">
        <v>1074</v>
      </c>
      <c r="D2489" s="1" t="s">
        <v>1074</v>
      </c>
      <c r="E2489" s="1" t="s">
        <v>1074</v>
      </c>
      <c r="F2489" t="s">
        <v>1075</v>
      </c>
      <c r="G2489" t="s">
        <v>1884</v>
      </c>
      <c r="H2489" t="s">
        <v>5</v>
      </c>
      <c r="I2489" t="s">
        <v>1070</v>
      </c>
      <c r="J2489">
        <v>0.1</v>
      </c>
      <c r="K2489" t="e">
        <f>IF(COUNTIF(#REF!,Tabela2[[#This Row],[IdxWspolny]])&gt;0,"ELEM_lub_PRD","TECHN")</f>
        <v>#REF!</v>
      </c>
      <c r="L2489" t="e">
        <f>IF(COUNTIF(#REF!,Tabela2[[#This Row],[KOD_PRODUKTU]])&gt;0,"ELEMENT","PRODUKT")</f>
        <v>#REF!</v>
      </c>
      <c r="M2489" t="e">
        <f>COUNTIF(#REF!,Tabela2[[#This Row],[KOD_PRODUKTU]])</f>
        <v>#REF!</v>
      </c>
    </row>
    <row r="2490" spans="1:13" x14ac:dyDescent="0.25">
      <c r="A2490" s="1" t="s">
        <v>392</v>
      </c>
      <c r="B2490" t="s">
        <v>393</v>
      </c>
      <c r="C2490" s="1" t="s">
        <v>7</v>
      </c>
      <c r="D2490" s="1" t="s">
        <v>7</v>
      </c>
      <c r="E2490" s="1" t="s">
        <v>7</v>
      </c>
      <c r="F2490" t="s">
        <v>8</v>
      </c>
      <c r="G2490" t="s">
        <v>9</v>
      </c>
      <c r="H2490" t="s">
        <v>10</v>
      </c>
      <c r="I2490" t="s">
        <v>1141</v>
      </c>
      <c r="J2490">
        <v>5.75</v>
      </c>
      <c r="K2490" t="e">
        <f>IF(COUNTIF(#REF!,Tabela2[[#This Row],[IdxWspolny]])&gt;0,"ELEM_lub_PRD","TECHN")</f>
        <v>#REF!</v>
      </c>
      <c r="L2490" t="e">
        <f>IF(COUNTIF(#REF!,Tabela2[[#This Row],[KOD_PRODUKTU]])&gt;0,"ELEMENT","PRODUKT")</f>
        <v>#REF!</v>
      </c>
      <c r="M2490" t="e">
        <f>COUNTIF(#REF!,Tabela2[[#This Row],[KOD_PRODUKTU]])</f>
        <v>#REF!</v>
      </c>
    </row>
    <row r="2491" spans="1:13" x14ac:dyDescent="0.25">
      <c r="A2491" s="1" t="s">
        <v>395</v>
      </c>
      <c r="B2491" t="s">
        <v>396</v>
      </c>
      <c r="C2491" s="1" t="s">
        <v>1074</v>
      </c>
      <c r="D2491" s="1" t="s">
        <v>1074</v>
      </c>
      <c r="E2491" s="1" t="s">
        <v>1074</v>
      </c>
      <c r="F2491" t="s">
        <v>1075</v>
      </c>
      <c r="G2491" t="s">
        <v>1884</v>
      </c>
      <c r="H2491" t="s">
        <v>5</v>
      </c>
      <c r="I2491" t="s">
        <v>1070</v>
      </c>
      <c r="J2491">
        <v>0.1</v>
      </c>
      <c r="K2491" t="e">
        <f>IF(COUNTIF(#REF!,Tabela2[[#This Row],[IdxWspolny]])&gt;0,"ELEM_lub_PRD","TECHN")</f>
        <v>#REF!</v>
      </c>
      <c r="L2491" t="e">
        <f>IF(COUNTIF(#REF!,Tabela2[[#This Row],[KOD_PRODUKTU]])&gt;0,"ELEMENT","PRODUKT")</f>
        <v>#REF!</v>
      </c>
      <c r="M2491" t="e">
        <f>COUNTIF(#REF!,Tabela2[[#This Row],[KOD_PRODUKTU]])</f>
        <v>#REF!</v>
      </c>
    </row>
    <row r="2492" spans="1:13" x14ac:dyDescent="0.25">
      <c r="A2492" s="1" t="s">
        <v>395</v>
      </c>
      <c r="B2492" t="s">
        <v>396</v>
      </c>
      <c r="C2492" s="1" t="s">
        <v>7</v>
      </c>
      <c r="D2492" s="1" t="s">
        <v>7</v>
      </c>
      <c r="E2492" s="1" t="s">
        <v>7</v>
      </c>
      <c r="F2492" t="s">
        <v>8</v>
      </c>
      <c r="G2492" t="s">
        <v>9</v>
      </c>
      <c r="H2492" t="s">
        <v>10</v>
      </c>
      <c r="I2492" t="s">
        <v>1096</v>
      </c>
      <c r="J2492">
        <v>4.7</v>
      </c>
      <c r="K2492" t="e">
        <f>IF(COUNTIF(#REF!,Tabela2[[#This Row],[IdxWspolny]])&gt;0,"ELEM_lub_PRD","TECHN")</f>
        <v>#REF!</v>
      </c>
      <c r="L2492" t="e">
        <f>IF(COUNTIF(#REF!,Tabela2[[#This Row],[KOD_PRODUKTU]])&gt;0,"ELEMENT","PRODUKT")</f>
        <v>#REF!</v>
      </c>
      <c r="M2492" t="e">
        <f>COUNTIF(#REF!,Tabela2[[#This Row],[KOD_PRODUKTU]])</f>
        <v>#REF!</v>
      </c>
    </row>
    <row r="2493" spans="1:13" x14ac:dyDescent="0.25">
      <c r="A2493" s="1" t="s">
        <v>398</v>
      </c>
      <c r="B2493" t="s">
        <v>399</v>
      </c>
      <c r="C2493" s="1" t="s">
        <v>1117</v>
      </c>
      <c r="D2493" s="1" t="s">
        <v>1117</v>
      </c>
      <c r="E2493" s="1" t="s">
        <v>1117</v>
      </c>
      <c r="F2493" t="s">
        <v>1118</v>
      </c>
      <c r="G2493" t="s">
        <v>876</v>
      </c>
      <c r="H2493" t="s">
        <v>5</v>
      </c>
      <c r="I2493" t="s">
        <v>3991</v>
      </c>
      <c r="J2493">
        <v>0.85</v>
      </c>
      <c r="K2493" t="e">
        <f>IF(COUNTIF(#REF!,Tabela2[[#This Row],[IdxWspolny]])&gt;0,"ELEM_lub_PRD","TECHN")</f>
        <v>#REF!</v>
      </c>
      <c r="L2493" t="e">
        <f>IF(COUNTIF(#REF!,Tabela2[[#This Row],[KOD_PRODUKTU]])&gt;0,"ELEMENT","PRODUKT")</f>
        <v>#REF!</v>
      </c>
      <c r="M2493" t="e">
        <f>COUNTIF(#REF!,Tabela2[[#This Row],[KOD_PRODUKTU]])</f>
        <v>#REF!</v>
      </c>
    </row>
    <row r="2494" spans="1:13" x14ac:dyDescent="0.25">
      <c r="A2494" s="1" t="s">
        <v>398</v>
      </c>
      <c r="B2494" t="s">
        <v>399</v>
      </c>
      <c r="C2494" s="1" t="s">
        <v>432</v>
      </c>
      <c r="D2494" s="1" t="s">
        <v>432</v>
      </c>
      <c r="E2494" s="1" t="s">
        <v>432</v>
      </c>
      <c r="F2494" t="s">
        <v>433</v>
      </c>
      <c r="G2494" t="s">
        <v>434</v>
      </c>
      <c r="H2494" t="s">
        <v>435</v>
      </c>
      <c r="I2494" t="s">
        <v>50</v>
      </c>
      <c r="J2494">
        <v>1.1000000000000001</v>
      </c>
      <c r="K2494" t="e">
        <f>IF(COUNTIF(#REF!,Tabela2[[#This Row],[IdxWspolny]])&gt;0,"ELEM_lub_PRD","TECHN")</f>
        <v>#REF!</v>
      </c>
      <c r="L2494" t="e">
        <f>IF(COUNTIF(#REF!,Tabela2[[#This Row],[KOD_PRODUKTU]])&gt;0,"ELEMENT","PRODUKT")</f>
        <v>#REF!</v>
      </c>
      <c r="M2494" t="e">
        <f>COUNTIF(#REF!,Tabela2[[#This Row],[KOD_PRODUKTU]])</f>
        <v>#REF!</v>
      </c>
    </row>
    <row r="2495" spans="1:13" x14ac:dyDescent="0.25">
      <c r="A2495" s="1" t="s">
        <v>398</v>
      </c>
      <c r="B2495" t="s">
        <v>399</v>
      </c>
      <c r="C2495" s="1" t="s">
        <v>7</v>
      </c>
      <c r="D2495" s="1" t="s">
        <v>7</v>
      </c>
      <c r="E2495" s="1" t="s">
        <v>7</v>
      </c>
      <c r="F2495" t="s">
        <v>8</v>
      </c>
      <c r="G2495" t="s">
        <v>9</v>
      </c>
      <c r="H2495" t="s">
        <v>10</v>
      </c>
      <c r="I2495" t="s">
        <v>1071</v>
      </c>
      <c r="J2495">
        <v>3.95</v>
      </c>
      <c r="K2495" t="e">
        <f>IF(COUNTIF(#REF!,Tabela2[[#This Row],[IdxWspolny]])&gt;0,"ELEM_lub_PRD","TECHN")</f>
        <v>#REF!</v>
      </c>
      <c r="L2495" t="e">
        <f>IF(COUNTIF(#REF!,Tabela2[[#This Row],[KOD_PRODUKTU]])&gt;0,"ELEMENT","PRODUKT")</f>
        <v>#REF!</v>
      </c>
      <c r="M2495" t="e">
        <f>COUNTIF(#REF!,Tabela2[[#This Row],[KOD_PRODUKTU]])</f>
        <v>#REF!</v>
      </c>
    </row>
    <row r="2496" spans="1:13" x14ac:dyDescent="0.25">
      <c r="A2496" s="1" t="s">
        <v>401</v>
      </c>
      <c r="B2496" t="s">
        <v>402</v>
      </c>
      <c r="C2496" s="1" t="s">
        <v>1117</v>
      </c>
      <c r="D2496" s="1" t="s">
        <v>1117</v>
      </c>
      <c r="E2496" s="1" t="s">
        <v>1117</v>
      </c>
      <c r="F2496" t="s">
        <v>1118</v>
      </c>
      <c r="G2496" t="s">
        <v>876</v>
      </c>
      <c r="H2496" t="s">
        <v>5</v>
      </c>
      <c r="I2496" t="s">
        <v>367</v>
      </c>
      <c r="J2496">
        <v>0.6</v>
      </c>
      <c r="K2496" t="e">
        <f>IF(COUNTIF(#REF!,Tabela2[[#This Row],[IdxWspolny]])&gt;0,"ELEM_lub_PRD","TECHN")</f>
        <v>#REF!</v>
      </c>
      <c r="L2496" t="e">
        <f>IF(COUNTIF(#REF!,Tabela2[[#This Row],[KOD_PRODUKTU]])&gt;0,"ELEMENT","PRODUKT")</f>
        <v>#REF!</v>
      </c>
      <c r="M2496" t="e">
        <f>COUNTIF(#REF!,Tabela2[[#This Row],[KOD_PRODUKTU]])</f>
        <v>#REF!</v>
      </c>
    </row>
    <row r="2497" spans="1:13" x14ac:dyDescent="0.25">
      <c r="A2497" s="1" t="s">
        <v>401</v>
      </c>
      <c r="B2497" t="s">
        <v>402</v>
      </c>
      <c r="C2497" s="1" t="s">
        <v>432</v>
      </c>
      <c r="D2497" s="1" t="s">
        <v>432</v>
      </c>
      <c r="E2497" s="1" t="s">
        <v>432</v>
      </c>
      <c r="F2497" t="s">
        <v>433</v>
      </c>
      <c r="G2497" t="s">
        <v>434</v>
      </c>
      <c r="H2497" t="s">
        <v>435</v>
      </c>
      <c r="I2497" t="s">
        <v>50</v>
      </c>
      <c r="J2497">
        <v>1.1000000000000001</v>
      </c>
      <c r="K2497" t="e">
        <f>IF(COUNTIF(#REF!,Tabela2[[#This Row],[IdxWspolny]])&gt;0,"ELEM_lub_PRD","TECHN")</f>
        <v>#REF!</v>
      </c>
      <c r="L2497" t="e">
        <f>IF(COUNTIF(#REF!,Tabela2[[#This Row],[KOD_PRODUKTU]])&gt;0,"ELEMENT","PRODUKT")</f>
        <v>#REF!</v>
      </c>
      <c r="M2497" t="e">
        <f>COUNTIF(#REF!,Tabela2[[#This Row],[KOD_PRODUKTU]])</f>
        <v>#REF!</v>
      </c>
    </row>
    <row r="2498" spans="1:13" x14ac:dyDescent="0.25">
      <c r="A2498" s="1" t="s">
        <v>401</v>
      </c>
      <c r="B2498" t="s">
        <v>402</v>
      </c>
      <c r="C2498" s="1" t="s">
        <v>7</v>
      </c>
      <c r="D2498" s="1" t="s">
        <v>7</v>
      </c>
      <c r="E2498" s="1" t="s">
        <v>7</v>
      </c>
      <c r="F2498" t="s">
        <v>8</v>
      </c>
      <c r="G2498" t="s">
        <v>9</v>
      </c>
      <c r="H2498" t="s">
        <v>10</v>
      </c>
      <c r="I2498" t="s">
        <v>3992</v>
      </c>
      <c r="J2498">
        <v>4.3</v>
      </c>
      <c r="K2498" t="e">
        <f>IF(COUNTIF(#REF!,Tabela2[[#This Row],[IdxWspolny]])&gt;0,"ELEM_lub_PRD","TECHN")</f>
        <v>#REF!</v>
      </c>
      <c r="L2498" t="e">
        <f>IF(COUNTIF(#REF!,Tabela2[[#This Row],[KOD_PRODUKTU]])&gt;0,"ELEMENT","PRODUKT")</f>
        <v>#REF!</v>
      </c>
      <c r="M2498" t="e">
        <f>COUNTIF(#REF!,Tabela2[[#This Row],[KOD_PRODUKTU]])</f>
        <v>#REF!</v>
      </c>
    </row>
    <row r="2499" spans="1:13" x14ac:dyDescent="0.25">
      <c r="A2499" s="1" t="s">
        <v>3993</v>
      </c>
      <c r="B2499" t="s">
        <v>3994</v>
      </c>
      <c r="C2499" s="1" t="s">
        <v>7</v>
      </c>
      <c r="D2499" s="1" t="s">
        <v>7</v>
      </c>
      <c r="E2499" s="1" t="s">
        <v>7</v>
      </c>
      <c r="F2499" t="s">
        <v>8</v>
      </c>
      <c r="G2499" t="s">
        <v>9</v>
      </c>
      <c r="H2499" t="s">
        <v>10</v>
      </c>
      <c r="I2499" t="s">
        <v>19</v>
      </c>
      <c r="J2499">
        <v>4.5999999999999996</v>
      </c>
      <c r="K2499" t="e">
        <f>IF(COUNTIF(#REF!,Tabela2[[#This Row],[IdxWspolny]])&gt;0,"ELEM_lub_PRD","TECHN")</f>
        <v>#REF!</v>
      </c>
      <c r="L2499" t="e">
        <f>IF(COUNTIF(#REF!,Tabela2[[#This Row],[KOD_PRODUKTU]])&gt;0,"ELEMENT","PRODUKT")</f>
        <v>#REF!</v>
      </c>
      <c r="M2499" t="e">
        <f>COUNTIF(#REF!,Tabela2[[#This Row],[KOD_PRODUKTU]])</f>
        <v>#REF!</v>
      </c>
    </row>
    <row r="2500" spans="1:13" x14ac:dyDescent="0.25">
      <c r="A2500" s="1" t="s">
        <v>269</v>
      </c>
      <c r="B2500" t="s">
        <v>270</v>
      </c>
      <c r="C2500" s="1" t="s">
        <v>1487</v>
      </c>
      <c r="D2500" s="1" t="s">
        <v>1487</v>
      </c>
      <c r="E2500" s="1" t="s">
        <v>1487</v>
      </c>
      <c r="F2500" t="s">
        <v>1488</v>
      </c>
      <c r="G2500" t="s">
        <v>31</v>
      </c>
      <c r="H2500" t="s">
        <v>5</v>
      </c>
      <c r="I2500" t="s">
        <v>594</v>
      </c>
      <c r="J2500">
        <v>2.65</v>
      </c>
      <c r="K2500" t="e">
        <f>IF(COUNTIF(#REF!,Tabela2[[#This Row],[IdxWspolny]])&gt;0,"ELEM_lub_PRD","TECHN")</f>
        <v>#REF!</v>
      </c>
      <c r="L2500" t="e">
        <f>IF(COUNTIF(#REF!,Tabela2[[#This Row],[KOD_PRODUKTU]])&gt;0,"ELEMENT","PRODUKT")</f>
        <v>#REF!</v>
      </c>
      <c r="M2500" t="e">
        <f>COUNTIF(#REF!,Tabela2[[#This Row],[KOD_PRODUKTU]])</f>
        <v>#REF!</v>
      </c>
    </row>
    <row r="2501" spans="1:13" x14ac:dyDescent="0.25">
      <c r="A2501" s="1" t="s">
        <v>269</v>
      </c>
      <c r="B2501" t="s">
        <v>270</v>
      </c>
      <c r="C2501" s="1" t="s">
        <v>432</v>
      </c>
      <c r="D2501" s="1" t="s">
        <v>432</v>
      </c>
      <c r="E2501" s="1" t="s">
        <v>432</v>
      </c>
      <c r="F2501" t="s">
        <v>433</v>
      </c>
      <c r="G2501" t="s">
        <v>434</v>
      </c>
      <c r="H2501" t="s">
        <v>435</v>
      </c>
      <c r="I2501" t="s">
        <v>50</v>
      </c>
      <c r="J2501">
        <v>1.1000000000000001</v>
      </c>
      <c r="K2501" t="e">
        <f>IF(COUNTIF(#REF!,Tabela2[[#This Row],[IdxWspolny]])&gt;0,"ELEM_lub_PRD","TECHN")</f>
        <v>#REF!</v>
      </c>
      <c r="L2501" t="e">
        <f>IF(COUNTIF(#REF!,Tabela2[[#This Row],[KOD_PRODUKTU]])&gt;0,"ELEMENT","PRODUKT")</f>
        <v>#REF!</v>
      </c>
      <c r="M2501" t="e">
        <f>COUNTIF(#REF!,Tabela2[[#This Row],[KOD_PRODUKTU]])</f>
        <v>#REF!</v>
      </c>
    </row>
    <row r="2502" spans="1:13" x14ac:dyDescent="0.25">
      <c r="A2502" s="1" t="s">
        <v>269</v>
      </c>
      <c r="B2502" t="s">
        <v>270</v>
      </c>
      <c r="C2502" s="1" t="s">
        <v>7</v>
      </c>
      <c r="D2502" s="1" t="s">
        <v>7</v>
      </c>
      <c r="E2502" s="1" t="s">
        <v>7</v>
      </c>
      <c r="F2502" t="s">
        <v>8</v>
      </c>
      <c r="G2502" t="s">
        <v>9</v>
      </c>
      <c r="H2502" t="s">
        <v>10</v>
      </c>
      <c r="I2502" t="s">
        <v>3995</v>
      </c>
      <c r="J2502">
        <v>9.5500000000000007</v>
      </c>
      <c r="K2502" t="e">
        <f>IF(COUNTIF(#REF!,Tabela2[[#This Row],[IdxWspolny]])&gt;0,"ELEM_lub_PRD","TECHN")</f>
        <v>#REF!</v>
      </c>
      <c r="L2502" t="e">
        <f>IF(COUNTIF(#REF!,Tabela2[[#This Row],[KOD_PRODUKTU]])&gt;0,"ELEMENT","PRODUKT")</f>
        <v>#REF!</v>
      </c>
      <c r="M2502" t="e">
        <f>COUNTIF(#REF!,Tabela2[[#This Row],[KOD_PRODUKTU]])</f>
        <v>#REF!</v>
      </c>
    </row>
    <row r="2503" spans="1:13" x14ac:dyDescent="0.25">
      <c r="A2503" s="1" t="s">
        <v>272</v>
      </c>
      <c r="B2503" t="s">
        <v>273</v>
      </c>
      <c r="C2503" s="1" t="s">
        <v>1487</v>
      </c>
      <c r="D2503" s="1" t="s">
        <v>1487</v>
      </c>
      <c r="E2503" s="1" t="s">
        <v>1487</v>
      </c>
      <c r="F2503" t="s">
        <v>1488</v>
      </c>
      <c r="G2503" t="s">
        <v>31</v>
      </c>
      <c r="H2503" t="s">
        <v>5</v>
      </c>
      <c r="I2503" t="s">
        <v>3996</v>
      </c>
      <c r="J2503">
        <v>2.15</v>
      </c>
      <c r="K2503" t="e">
        <f>IF(COUNTIF(#REF!,Tabela2[[#This Row],[IdxWspolny]])&gt;0,"ELEM_lub_PRD","TECHN")</f>
        <v>#REF!</v>
      </c>
      <c r="L2503" t="e">
        <f>IF(COUNTIF(#REF!,Tabela2[[#This Row],[KOD_PRODUKTU]])&gt;0,"ELEMENT","PRODUKT")</f>
        <v>#REF!</v>
      </c>
      <c r="M2503" t="e">
        <f>COUNTIF(#REF!,Tabela2[[#This Row],[KOD_PRODUKTU]])</f>
        <v>#REF!</v>
      </c>
    </row>
    <row r="2504" spans="1:13" x14ac:dyDescent="0.25">
      <c r="A2504" s="1" t="s">
        <v>272</v>
      </c>
      <c r="B2504" t="s">
        <v>273</v>
      </c>
      <c r="C2504" s="1" t="s">
        <v>432</v>
      </c>
      <c r="D2504" s="1" t="s">
        <v>432</v>
      </c>
      <c r="E2504" s="1" t="s">
        <v>432</v>
      </c>
      <c r="F2504" t="s">
        <v>433</v>
      </c>
      <c r="G2504" t="s">
        <v>434</v>
      </c>
      <c r="H2504" t="s">
        <v>435</v>
      </c>
      <c r="I2504" t="s">
        <v>50</v>
      </c>
      <c r="J2504">
        <v>1.1000000000000001</v>
      </c>
      <c r="K2504" t="e">
        <f>IF(COUNTIF(#REF!,Tabela2[[#This Row],[IdxWspolny]])&gt;0,"ELEM_lub_PRD","TECHN")</f>
        <v>#REF!</v>
      </c>
      <c r="L2504" t="e">
        <f>IF(COUNTIF(#REF!,Tabela2[[#This Row],[KOD_PRODUKTU]])&gt;0,"ELEMENT","PRODUKT")</f>
        <v>#REF!</v>
      </c>
      <c r="M2504" t="e">
        <f>COUNTIF(#REF!,Tabela2[[#This Row],[KOD_PRODUKTU]])</f>
        <v>#REF!</v>
      </c>
    </row>
    <row r="2505" spans="1:13" x14ac:dyDescent="0.25">
      <c r="A2505" s="1" t="s">
        <v>272</v>
      </c>
      <c r="B2505" t="s">
        <v>273</v>
      </c>
      <c r="C2505" s="1" t="s">
        <v>7</v>
      </c>
      <c r="D2505" s="1" t="s">
        <v>7</v>
      </c>
      <c r="E2505" s="1" t="s">
        <v>7</v>
      </c>
      <c r="F2505" t="s">
        <v>8</v>
      </c>
      <c r="G2505" t="s">
        <v>9</v>
      </c>
      <c r="H2505" t="s">
        <v>10</v>
      </c>
      <c r="I2505" t="s">
        <v>1649</v>
      </c>
      <c r="J2505">
        <v>9.65</v>
      </c>
      <c r="K2505" t="e">
        <f>IF(COUNTIF(#REF!,Tabela2[[#This Row],[IdxWspolny]])&gt;0,"ELEM_lub_PRD","TECHN")</f>
        <v>#REF!</v>
      </c>
      <c r="L2505" t="e">
        <f>IF(COUNTIF(#REF!,Tabela2[[#This Row],[KOD_PRODUKTU]])&gt;0,"ELEMENT","PRODUKT")</f>
        <v>#REF!</v>
      </c>
      <c r="M2505" t="e">
        <f>COUNTIF(#REF!,Tabela2[[#This Row],[KOD_PRODUKTU]])</f>
        <v>#REF!</v>
      </c>
    </row>
    <row r="2506" spans="1:13" x14ac:dyDescent="0.25">
      <c r="A2506" s="1" t="s">
        <v>275</v>
      </c>
      <c r="B2506" t="s">
        <v>276</v>
      </c>
      <c r="C2506" s="1" t="s">
        <v>29</v>
      </c>
      <c r="D2506" s="1" t="s">
        <v>29</v>
      </c>
      <c r="E2506" s="1" t="s">
        <v>29</v>
      </c>
      <c r="F2506" t="s">
        <v>30</v>
      </c>
      <c r="G2506" t="s">
        <v>31</v>
      </c>
      <c r="H2506" t="s">
        <v>5</v>
      </c>
      <c r="I2506" t="s">
        <v>3997</v>
      </c>
      <c r="J2506">
        <v>1.05</v>
      </c>
      <c r="K2506" t="e">
        <f>IF(COUNTIF(#REF!,Tabela2[[#This Row],[IdxWspolny]])&gt;0,"ELEM_lub_PRD","TECHN")</f>
        <v>#REF!</v>
      </c>
      <c r="L2506" t="e">
        <f>IF(COUNTIF(#REF!,Tabela2[[#This Row],[KOD_PRODUKTU]])&gt;0,"ELEMENT","PRODUKT")</f>
        <v>#REF!</v>
      </c>
      <c r="M2506" t="e">
        <f>COUNTIF(#REF!,Tabela2[[#This Row],[KOD_PRODUKTU]])</f>
        <v>#REF!</v>
      </c>
    </row>
    <row r="2507" spans="1:13" x14ac:dyDescent="0.25">
      <c r="A2507" s="1" t="s">
        <v>275</v>
      </c>
      <c r="B2507" t="s">
        <v>276</v>
      </c>
      <c r="C2507" s="1" t="s">
        <v>432</v>
      </c>
      <c r="D2507" s="1" t="s">
        <v>432</v>
      </c>
      <c r="E2507" s="1" t="s">
        <v>432</v>
      </c>
      <c r="F2507" t="s">
        <v>433</v>
      </c>
      <c r="G2507" t="s">
        <v>434</v>
      </c>
      <c r="H2507" t="s">
        <v>435</v>
      </c>
      <c r="I2507" t="s">
        <v>50</v>
      </c>
      <c r="J2507">
        <v>1.1000000000000001</v>
      </c>
      <c r="K2507" t="e">
        <f>IF(COUNTIF(#REF!,Tabela2[[#This Row],[IdxWspolny]])&gt;0,"ELEM_lub_PRD","TECHN")</f>
        <v>#REF!</v>
      </c>
      <c r="L2507" t="e">
        <f>IF(COUNTIF(#REF!,Tabela2[[#This Row],[KOD_PRODUKTU]])&gt;0,"ELEMENT","PRODUKT")</f>
        <v>#REF!</v>
      </c>
      <c r="M2507" t="e">
        <f>COUNTIF(#REF!,Tabela2[[#This Row],[KOD_PRODUKTU]])</f>
        <v>#REF!</v>
      </c>
    </row>
    <row r="2508" spans="1:13" x14ac:dyDescent="0.25">
      <c r="A2508" s="1" t="s">
        <v>275</v>
      </c>
      <c r="B2508" t="s">
        <v>276</v>
      </c>
      <c r="C2508" s="1" t="s">
        <v>7</v>
      </c>
      <c r="D2508" s="1" t="s">
        <v>7</v>
      </c>
      <c r="E2508" s="1" t="s">
        <v>7</v>
      </c>
      <c r="F2508" t="s">
        <v>8</v>
      </c>
      <c r="G2508" t="s">
        <v>9</v>
      </c>
      <c r="H2508" t="s">
        <v>10</v>
      </c>
      <c r="I2508" t="s">
        <v>2544</v>
      </c>
      <c r="J2508">
        <v>4.9000000000000004</v>
      </c>
      <c r="K2508" t="e">
        <f>IF(COUNTIF(#REF!,Tabela2[[#This Row],[IdxWspolny]])&gt;0,"ELEM_lub_PRD","TECHN")</f>
        <v>#REF!</v>
      </c>
      <c r="L2508" t="e">
        <f>IF(COUNTIF(#REF!,Tabela2[[#This Row],[KOD_PRODUKTU]])&gt;0,"ELEMENT","PRODUKT")</f>
        <v>#REF!</v>
      </c>
      <c r="M2508" t="e">
        <f>COUNTIF(#REF!,Tabela2[[#This Row],[KOD_PRODUKTU]])</f>
        <v>#REF!</v>
      </c>
    </row>
    <row r="2509" spans="1:13" x14ac:dyDescent="0.25">
      <c r="A2509" s="1" t="s">
        <v>278</v>
      </c>
      <c r="B2509" t="s">
        <v>279</v>
      </c>
      <c r="C2509" s="1" t="s">
        <v>3998</v>
      </c>
      <c r="D2509" s="1" t="s">
        <v>3998</v>
      </c>
      <c r="E2509" s="1" t="s">
        <v>3998</v>
      </c>
      <c r="F2509" t="s">
        <v>3999</v>
      </c>
      <c r="G2509" t="s">
        <v>1354</v>
      </c>
      <c r="H2509" t="s">
        <v>5</v>
      </c>
      <c r="I2509" t="s">
        <v>4000</v>
      </c>
      <c r="J2509">
        <v>2.85</v>
      </c>
      <c r="K2509" t="e">
        <f>IF(COUNTIF(#REF!,Tabela2[[#This Row],[IdxWspolny]])&gt;0,"ELEM_lub_PRD","TECHN")</f>
        <v>#REF!</v>
      </c>
      <c r="L2509" t="e">
        <f>IF(COUNTIF(#REF!,Tabela2[[#This Row],[KOD_PRODUKTU]])&gt;0,"ELEMENT","PRODUKT")</f>
        <v>#REF!</v>
      </c>
      <c r="M2509" t="e">
        <f>COUNTIF(#REF!,Tabela2[[#This Row],[KOD_PRODUKTU]])</f>
        <v>#REF!</v>
      </c>
    </row>
    <row r="2510" spans="1:13" x14ac:dyDescent="0.25">
      <c r="A2510" s="1" t="s">
        <v>278</v>
      </c>
      <c r="B2510" t="s">
        <v>279</v>
      </c>
      <c r="C2510" s="1" t="s">
        <v>7</v>
      </c>
      <c r="D2510" s="1" t="s">
        <v>7</v>
      </c>
      <c r="E2510" s="1" t="s">
        <v>7</v>
      </c>
      <c r="F2510" t="s">
        <v>8</v>
      </c>
      <c r="G2510" t="s">
        <v>9</v>
      </c>
      <c r="H2510" t="s">
        <v>10</v>
      </c>
      <c r="I2510" t="s">
        <v>2138</v>
      </c>
      <c r="J2510">
        <v>2.5499999999999998</v>
      </c>
      <c r="K2510" t="e">
        <f>IF(COUNTIF(#REF!,Tabela2[[#This Row],[IdxWspolny]])&gt;0,"ELEM_lub_PRD","TECHN")</f>
        <v>#REF!</v>
      </c>
      <c r="L2510" t="e">
        <f>IF(COUNTIF(#REF!,Tabela2[[#This Row],[KOD_PRODUKTU]])&gt;0,"ELEMENT","PRODUKT")</f>
        <v>#REF!</v>
      </c>
      <c r="M2510" t="e">
        <f>COUNTIF(#REF!,Tabela2[[#This Row],[KOD_PRODUKTU]])</f>
        <v>#REF!</v>
      </c>
    </row>
    <row r="2511" spans="1:13" x14ac:dyDescent="0.25">
      <c r="A2511" s="1" t="s">
        <v>280</v>
      </c>
      <c r="B2511" t="s">
        <v>281</v>
      </c>
      <c r="C2511" s="1" t="s">
        <v>3998</v>
      </c>
      <c r="D2511" s="1" t="s">
        <v>3998</v>
      </c>
      <c r="E2511" s="1" t="s">
        <v>3998</v>
      </c>
      <c r="F2511" t="s">
        <v>3999</v>
      </c>
      <c r="G2511" t="s">
        <v>1354</v>
      </c>
      <c r="H2511" t="s">
        <v>5</v>
      </c>
      <c r="I2511" t="s">
        <v>4000</v>
      </c>
      <c r="J2511">
        <v>2.85</v>
      </c>
      <c r="K2511" t="e">
        <f>IF(COUNTIF(#REF!,Tabela2[[#This Row],[IdxWspolny]])&gt;0,"ELEM_lub_PRD","TECHN")</f>
        <v>#REF!</v>
      </c>
      <c r="L2511" t="e">
        <f>IF(COUNTIF(#REF!,Tabela2[[#This Row],[KOD_PRODUKTU]])&gt;0,"ELEMENT","PRODUKT")</f>
        <v>#REF!</v>
      </c>
      <c r="M2511" t="e">
        <f>COUNTIF(#REF!,Tabela2[[#This Row],[KOD_PRODUKTU]])</f>
        <v>#REF!</v>
      </c>
    </row>
    <row r="2512" spans="1:13" x14ac:dyDescent="0.25">
      <c r="A2512" s="1" t="s">
        <v>280</v>
      </c>
      <c r="B2512" t="s">
        <v>281</v>
      </c>
      <c r="C2512" s="1" t="s">
        <v>7</v>
      </c>
      <c r="D2512" s="1" t="s">
        <v>7</v>
      </c>
      <c r="E2512" s="1" t="s">
        <v>7</v>
      </c>
      <c r="F2512" t="s">
        <v>8</v>
      </c>
      <c r="G2512" t="s">
        <v>9</v>
      </c>
      <c r="H2512" t="s">
        <v>10</v>
      </c>
      <c r="I2512" t="s">
        <v>2138</v>
      </c>
      <c r="J2512">
        <v>2.5499999999999998</v>
      </c>
      <c r="K2512" t="e">
        <f>IF(COUNTIF(#REF!,Tabela2[[#This Row],[IdxWspolny]])&gt;0,"ELEM_lub_PRD","TECHN")</f>
        <v>#REF!</v>
      </c>
      <c r="L2512" t="e">
        <f>IF(COUNTIF(#REF!,Tabela2[[#This Row],[KOD_PRODUKTU]])&gt;0,"ELEMENT","PRODUKT")</f>
        <v>#REF!</v>
      </c>
      <c r="M2512" t="e">
        <f>COUNTIF(#REF!,Tabela2[[#This Row],[KOD_PRODUKTU]])</f>
        <v>#REF!</v>
      </c>
    </row>
    <row r="2513" spans="1:13" x14ac:dyDescent="0.25">
      <c r="A2513" s="1" t="s">
        <v>282</v>
      </c>
      <c r="B2513" t="s">
        <v>283</v>
      </c>
      <c r="C2513" s="1" t="s">
        <v>1188</v>
      </c>
      <c r="D2513" s="1" t="s">
        <v>1188</v>
      </c>
      <c r="E2513" s="1" t="s">
        <v>1188</v>
      </c>
      <c r="F2513" t="s">
        <v>1189</v>
      </c>
      <c r="G2513" t="s">
        <v>1190</v>
      </c>
      <c r="H2513" t="s">
        <v>5</v>
      </c>
      <c r="I2513" t="s">
        <v>992</v>
      </c>
      <c r="J2513">
        <v>2.85</v>
      </c>
      <c r="K2513" t="e">
        <f>IF(COUNTIF(#REF!,Tabela2[[#This Row],[IdxWspolny]])&gt;0,"ELEM_lub_PRD","TECHN")</f>
        <v>#REF!</v>
      </c>
      <c r="L2513" t="e">
        <f>IF(COUNTIF(#REF!,Tabela2[[#This Row],[KOD_PRODUKTU]])&gt;0,"ELEMENT","PRODUKT")</f>
        <v>#REF!</v>
      </c>
      <c r="M2513" t="e">
        <f>COUNTIF(#REF!,Tabela2[[#This Row],[KOD_PRODUKTU]])</f>
        <v>#REF!</v>
      </c>
    </row>
    <row r="2514" spans="1:13" x14ac:dyDescent="0.25">
      <c r="A2514" s="1" t="s">
        <v>282</v>
      </c>
      <c r="B2514" t="s">
        <v>283</v>
      </c>
      <c r="C2514" s="1" t="s">
        <v>432</v>
      </c>
      <c r="D2514" s="1" t="s">
        <v>432</v>
      </c>
      <c r="E2514" s="1" t="s">
        <v>432</v>
      </c>
      <c r="F2514" t="s">
        <v>433</v>
      </c>
      <c r="G2514" t="s">
        <v>434</v>
      </c>
      <c r="H2514" t="s">
        <v>435</v>
      </c>
      <c r="I2514" t="s">
        <v>50</v>
      </c>
      <c r="J2514">
        <v>1.1000000000000001</v>
      </c>
      <c r="K2514" t="e">
        <f>IF(COUNTIF(#REF!,Tabela2[[#This Row],[IdxWspolny]])&gt;0,"ELEM_lub_PRD","TECHN")</f>
        <v>#REF!</v>
      </c>
      <c r="L2514" t="e">
        <f>IF(COUNTIF(#REF!,Tabela2[[#This Row],[KOD_PRODUKTU]])&gt;0,"ELEMENT","PRODUKT")</f>
        <v>#REF!</v>
      </c>
      <c r="M2514" t="e">
        <f>COUNTIF(#REF!,Tabela2[[#This Row],[KOD_PRODUKTU]])</f>
        <v>#REF!</v>
      </c>
    </row>
    <row r="2515" spans="1:13" x14ac:dyDescent="0.25">
      <c r="A2515" s="1" t="s">
        <v>282</v>
      </c>
      <c r="B2515" t="s">
        <v>283</v>
      </c>
      <c r="C2515" s="1" t="s">
        <v>7</v>
      </c>
      <c r="D2515" s="1" t="s">
        <v>7</v>
      </c>
      <c r="E2515" s="1" t="s">
        <v>7</v>
      </c>
      <c r="F2515" t="s">
        <v>8</v>
      </c>
      <c r="G2515" t="s">
        <v>9</v>
      </c>
      <c r="H2515" t="s">
        <v>10</v>
      </c>
      <c r="I2515" t="s">
        <v>1473</v>
      </c>
      <c r="J2515">
        <v>7.25</v>
      </c>
      <c r="K2515" t="e">
        <f>IF(COUNTIF(#REF!,Tabela2[[#This Row],[IdxWspolny]])&gt;0,"ELEM_lub_PRD","TECHN")</f>
        <v>#REF!</v>
      </c>
      <c r="L2515" t="e">
        <f>IF(COUNTIF(#REF!,Tabela2[[#This Row],[KOD_PRODUKTU]])&gt;0,"ELEMENT","PRODUKT")</f>
        <v>#REF!</v>
      </c>
      <c r="M2515" t="e">
        <f>COUNTIF(#REF!,Tabela2[[#This Row],[KOD_PRODUKTU]])</f>
        <v>#REF!</v>
      </c>
    </row>
    <row r="2516" spans="1:13" x14ac:dyDescent="0.25">
      <c r="A2516" s="1" t="s">
        <v>284</v>
      </c>
      <c r="B2516" t="s">
        <v>285</v>
      </c>
      <c r="C2516" s="1" t="s">
        <v>2</v>
      </c>
      <c r="D2516" s="1" t="s">
        <v>2</v>
      </c>
      <c r="E2516" s="1" t="s">
        <v>2</v>
      </c>
      <c r="F2516" t="s">
        <v>3</v>
      </c>
      <c r="G2516" t="s">
        <v>4</v>
      </c>
      <c r="H2516" t="s">
        <v>5</v>
      </c>
      <c r="I2516" t="s">
        <v>4001</v>
      </c>
      <c r="J2516">
        <v>0.35</v>
      </c>
      <c r="K2516" t="e">
        <f>IF(COUNTIF(#REF!,Tabela2[[#This Row],[IdxWspolny]])&gt;0,"ELEM_lub_PRD","TECHN")</f>
        <v>#REF!</v>
      </c>
      <c r="L2516" t="e">
        <f>IF(COUNTIF(#REF!,Tabela2[[#This Row],[KOD_PRODUKTU]])&gt;0,"ELEMENT","PRODUKT")</f>
        <v>#REF!</v>
      </c>
      <c r="M2516" t="e">
        <f>COUNTIF(#REF!,Tabela2[[#This Row],[KOD_PRODUKTU]])</f>
        <v>#REF!</v>
      </c>
    </row>
    <row r="2517" spans="1:13" x14ac:dyDescent="0.25">
      <c r="A2517" s="1" t="s">
        <v>284</v>
      </c>
      <c r="B2517" t="s">
        <v>285</v>
      </c>
      <c r="C2517" s="1" t="s">
        <v>432</v>
      </c>
      <c r="D2517" s="1" t="s">
        <v>432</v>
      </c>
      <c r="E2517" s="1" t="s">
        <v>432</v>
      </c>
      <c r="F2517" t="s">
        <v>433</v>
      </c>
      <c r="G2517" t="s">
        <v>434</v>
      </c>
      <c r="H2517" t="s">
        <v>435</v>
      </c>
      <c r="I2517" t="s">
        <v>50</v>
      </c>
      <c r="J2517">
        <v>1.1000000000000001</v>
      </c>
      <c r="K2517" t="e">
        <f>IF(COUNTIF(#REF!,Tabela2[[#This Row],[IdxWspolny]])&gt;0,"ELEM_lub_PRD","TECHN")</f>
        <v>#REF!</v>
      </c>
      <c r="L2517" t="e">
        <f>IF(COUNTIF(#REF!,Tabela2[[#This Row],[KOD_PRODUKTU]])&gt;0,"ELEMENT","PRODUKT")</f>
        <v>#REF!</v>
      </c>
      <c r="M2517" t="e">
        <f>COUNTIF(#REF!,Tabela2[[#This Row],[KOD_PRODUKTU]])</f>
        <v>#REF!</v>
      </c>
    </row>
    <row r="2518" spans="1:13" x14ac:dyDescent="0.25">
      <c r="A2518" s="1" t="s">
        <v>284</v>
      </c>
      <c r="B2518" t="s">
        <v>285</v>
      </c>
      <c r="C2518" s="1" t="s">
        <v>7</v>
      </c>
      <c r="D2518" s="1" t="s">
        <v>7</v>
      </c>
      <c r="E2518" s="1" t="s">
        <v>7</v>
      </c>
      <c r="F2518" t="s">
        <v>8</v>
      </c>
      <c r="G2518" t="s">
        <v>9</v>
      </c>
      <c r="H2518" t="s">
        <v>10</v>
      </c>
      <c r="I2518" t="s">
        <v>1384</v>
      </c>
      <c r="J2518">
        <v>4.8499999999999996</v>
      </c>
      <c r="K2518" t="e">
        <f>IF(COUNTIF(#REF!,Tabela2[[#This Row],[IdxWspolny]])&gt;0,"ELEM_lub_PRD","TECHN")</f>
        <v>#REF!</v>
      </c>
      <c r="L2518" t="e">
        <f>IF(COUNTIF(#REF!,Tabela2[[#This Row],[KOD_PRODUKTU]])&gt;0,"ELEMENT","PRODUKT")</f>
        <v>#REF!</v>
      </c>
      <c r="M2518" t="e">
        <f>COUNTIF(#REF!,Tabela2[[#This Row],[KOD_PRODUKTU]])</f>
        <v>#REF!</v>
      </c>
    </row>
    <row r="2519" spans="1:13" x14ac:dyDescent="0.25">
      <c r="A2519" s="1" t="s">
        <v>286</v>
      </c>
      <c r="B2519" t="s">
        <v>287</v>
      </c>
      <c r="C2519" s="1" t="s">
        <v>1487</v>
      </c>
      <c r="D2519" s="1" t="s">
        <v>1487</v>
      </c>
      <c r="E2519" s="1" t="s">
        <v>1487</v>
      </c>
      <c r="F2519" t="s">
        <v>1488</v>
      </c>
      <c r="G2519" t="s">
        <v>31</v>
      </c>
      <c r="H2519" t="s">
        <v>5</v>
      </c>
      <c r="I2519" t="s">
        <v>4002</v>
      </c>
      <c r="J2519">
        <v>0.35</v>
      </c>
      <c r="K2519" t="e">
        <f>IF(COUNTIF(#REF!,Tabela2[[#This Row],[IdxWspolny]])&gt;0,"ELEM_lub_PRD","TECHN")</f>
        <v>#REF!</v>
      </c>
      <c r="L2519" t="e">
        <f>IF(COUNTIF(#REF!,Tabela2[[#This Row],[KOD_PRODUKTU]])&gt;0,"ELEMENT","PRODUKT")</f>
        <v>#REF!</v>
      </c>
      <c r="M2519" t="e">
        <f>COUNTIF(#REF!,Tabela2[[#This Row],[KOD_PRODUKTU]])</f>
        <v>#REF!</v>
      </c>
    </row>
    <row r="2520" spans="1:13" x14ac:dyDescent="0.25">
      <c r="A2520" s="1" t="s">
        <v>286</v>
      </c>
      <c r="B2520" t="s">
        <v>287</v>
      </c>
      <c r="C2520" s="1" t="s">
        <v>432</v>
      </c>
      <c r="D2520" s="1" t="s">
        <v>432</v>
      </c>
      <c r="E2520" s="1" t="s">
        <v>432</v>
      </c>
      <c r="F2520" t="s">
        <v>433</v>
      </c>
      <c r="G2520" t="s">
        <v>434</v>
      </c>
      <c r="H2520" t="s">
        <v>435</v>
      </c>
      <c r="I2520" t="s">
        <v>50</v>
      </c>
      <c r="J2520">
        <v>1.1000000000000001</v>
      </c>
      <c r="K2520" t="e">
        <f>IF(COUNTIF(#REF!,Tabela2[[#This Row],[IdxWspolny]])&gt;0,"ELEM_lub_PRD","TECHN")</f>
        <v>#REF!</v>
      </c>
      <c r="L2520" t="e">
        <f>IF(COUNTIF(#REF!,Tabela2[[#This Row],[KOD_PRODUKTU]])&gt;0,"ELEMENT","PRODUKT")</f>
        <v>#REF!</v>
      </c>
      <c r="M2520" t="e">
        <f>COUNTIF(#REF!,Tabela2[[#This Row],[KOD_PRODUKTU]])</f>
        <v>#REF!</v>
      </c>
    </row>
    <row r="2521" spans="1:13" x14ac:dyDescent="0.25">
      <c r="A2521" s="1" t="s">
        <v>286</v>
      </c>
      <c r="B2521" t="s">
        <v>287</v>
      </c>
      <c r="C2521" s="1" t="s">
        <v>7</v>
      </c>
      <c r="D2521" s="1" t="s">
        <v>7</v>
      </c>
      <c r="E2521" s="1" t="s">
        <v>7</v>
      </c>
      <c r="F2521" t="s">
        <v>8</v>
      </c>
      <c r="G2521" t="s">
        <v>9</v>
      </c>
      <c r="H2521" t="s">
        <v>10</v>
      </c>
      <c r="I2521" t="s">
        <v>4003</v>
      </c>
      <c r="J2521">
        <v>1.75</v>
      </c>
      <c r="K2521" t="e">
        <f>IF(COUNTIF(#REF!,Tabela2[[#This Row],[IdxWspolny]])&gt;0,"ELEM_lub_PRD","TECHN")</f>
        <v>#REF!</v>
      </c>
      <c r="L2521" t="e">
        <f>IF(COUNTIF(#REF!,Tabela2[[#This Row],[KOD_PRODUKTU]])&gt;0,"ELEMENT","PRODUKT")</f>
        <v>#REF!</v>
      </c>
      <c r="M2521" t="e">
        <f>COUNTIF(#REF!,Tabela2[[#This Row],[KOD_PRODUKTU]])</f>
        <v>#REF!</v>
      </c>
    </row>
    <row r="2522" spans="1:13" x14ac:dyDescent="0.25">
      <c r="A2522" s="1" t="s">
        <v>289</v>
      </c>
      <c r="B2522" t="s">
        <v>290</v>
      </c>
      <c r="C2522" s="1" t="s">
        <v>1487</v>
      </c>
      <c r="D2522" s="1" t="s">
        <v>1487</v>
      </c>
      <c r="E2522" s="1" t="s">
        <v>1487</v>
      </c>
      <c r="F2522" t="s">
        <v>1488</v>
      </c>
      <c r="G2522" t="s">
        <v>31</v>
      </c>
      <c r="H2522" t="s">
        <v>5</v>
      </c>
      <c r="I2522" t="s">
        <v>4004</v>
      </c>
      <c r="J2522">
        <v>0.65</v>
      </c>
      <c r="K2522" t="e">
        <f>IF(COUNTIF(#REF!,Tabela2[[#This Row],[IdxWspolny]])&gt;0,"ELEM_lub_PRD","TECHN")</f>
        <v>#REF!</v>
      </c>
      <c r="L2522" t="e">
        <f>IF(COUNTIF(#REF!,Tabela2[[#This Row],[KOD_PRODUKTU]])&gt;0,"ELEMENT","PRODUKT")</f>
        <v>#REF!</v>
      </c>
      <c r="M2522" t="e">
        <f>COUNTIF(#REF!,Tabela2[[#This Row],[KOD_PRODUKTU]])</f>
        <v>#REF!</v>
      </c>
    </row>
    <row r="2523" spans="1:13" x14ac:dyDescent="0.25">
      <c r="A2523" s="1" t="s">
        <v>289</v>
      </c>
      <c r="B2523" t="s">
        <v>290</v>
      </c>
      <c r="C2523" s="1" t="s">
        <v>432</v>
      </c>
      <c r="D2523" s="1" t="s">
        <v>432</v>
      </c>
      <c r="E2523" s="1" t="s">
        <v>432</v>
      </c>
      <c r="F2523" t="s">
        <v>433</v>
      </c>
      <c r="G2523" t="s">
        <v>434</v>
      </c>
      <c r="H2523" t="s">
        <v>435</v>
      </c>
      <c r="I2523" t="s">
        <v>50</v>
      </c>
      <c r="J2523">
        <v>1.1000000000000001</v>
      </c>
      <c r="K2523" t="e">
        <f>IF(COUNTIF(#REF!,Tabela2[[#This Row],[IdxWspolny]])&gt;0,"ELEM_lub_PRD","TECHN")</f>
        <v>#REF!</v>
      </c>
      <c r="L2523" t="e">
        <f>IF(COUNTIF(#REF!,Tabela2[[#This Row],[KOD_PRODUKTU]])&gt;0,"ELEMENT","PRODUKT")</f>
        <v>#REF!</v>
      </c>
      <c r="M2523" t="e">
        <f>COUNTIF(#REF!,Tabela2[[#This Row],[KOD_PRODUKTU]])</f>
        <v>#REF!</v>
      </c>
    </row>
    <row r="2524" spans="1:13" x14ac:dyDescent="0.25">
      <c r="A2524" s="1" t="s">
        <v>289</v>
      </c>
      <c r="B2524" t="s">
        <v>290</v>
      </c>
      <c r="C2524" s="1" t="s">
        <v>7</v>
      </c>
      <c r="D2524" s="1" t="s">
        <v>7</v>
      </c>
      <c r="E2524" s="1" t="s">
        <v>7</v>
      </c>
      <c r="F2524" t="s">
        <v>8</v>
      </c>
      <c r="G2524" t="s">
        <v>9</v>
      </c>
      <c r="H2524" t="s">
        <v>10</v>
      </c>
      <c r="I2524" t="s">
        <v>2544</v>
      </c>
      <c r="J2524">
        <v>4.9000000000000004</v>
      </c>
      <c r="K2524" t="e">
        <f>IF(COUNTIF(#REF!,Tabela2[[#This Row],[IdxWspolny]])&gt;0,"ELEM_lub_PRD","TECHN")</f>
        <v>#REF!</v>
      </c>
      <c r="L2524" t="e">
        <f>IF(COUNTIF(#REF!,Tabela2[[#This Row],[KOD_PRODUKTU]])&gt;0,"ELEMENT","PRODUKT")</f>
        <v>#REF!</v>
      </c>
      <c r="M2524" t="e">
        <f>COUNTIF(#REF!,Tabela2[[#This Row],[KOD_PRODUKTU]])</f>
        <v>#REF!</v>
      </c>
    </row>
    <row r="2525" spans="1:13" x14ac:dyDescent="0.25">
      <c r="A2525" s="1" t="s">
        <v>292</v>
      </c>
      <c r="B2525" t="s">
        <v>293</v>
      </c>
      <c r="C2525" s="1" t="s">
        <v>1188</v>
      </c>
      <c r="D2525" s="1" t="s">
        <v>1188</v>
      </c>
      <c r="E2525" s="1" t="s">
        <v>1188</v>
      </c>
      <c r="F2525" t="s">
        <v>1189</v>
      </c>
      <c r="G2525" t="s">
        <v>1190</v>
      </c>
      <c r="H2525" t="s">
        <v>5</v>
      </c>
      <c r="I2525" t="s">
        <v>4005</v>
      </c>
      <c r="J2525">
        <v>0.35</v>
      </c>
      <c r="K2525" t="e">
        <f>IF(COUNTIF(#REF!,Tabela2[[#This Row],[IdxWspolny]])&gt;0,"ELEM_lub_PRD","TECHN")</f>
        <v>#REF!</v>
      </c>
      <c r="L2525" t="e">
        <f>IF(COUNTIF(#REF!,Tabela2[[#This Row],[KOD_PRODUKTU]])&gt;0,"ELEMENT","PRODUKT")</f>
        <v>#REF!</v>
      </c>
      <c r="M2525" t="e">
        <f>COUNTIF(#REF!,Tabela2[[#This Row],[KOD_PRODUKTU]])</f>
        <v>#REF!</v>
      </c>
    </row>
    <row r="2526" spans="1:13" x14ac:dyDescent="0.25">
      <c r="A2526" s="1" t="s">
        <v>292</v>
      </c>
      <c r="B2526" t="s">
        <v>293</v>
      </c>
      <c r="C2526" s="1" t="s">
        <v>432</v>
      </c>
      <c r="D2526" s="1" t="s">
        <v>432</v>
      </c>
      <c r="E2526" s="1" t="s">
        <v>432</v>
      </c>
      <c r="F2526" t="s">
        <v>433</v>
      </c>
      <c r="G2526" t="s">
        <v>434</v>
      </c>
      <c r="H2526" t="s">
        <v>435</v>
      </c>
      <c r="I2526" t="s">
        <v>50</v>
      </c>
      <c r="J2526">
        <v>1.1000000000000001</v>
      </c>
      <c r="K2526" t="e">
        <f>IF(COUNTIF(#REF!,Tabela2[[#This Row],[IdxWspolny]])&gt;0,"ELEM_lub_PRD","TECHN")</f>
        <v>#REF!</v>
      </c>
      <c r="L2526" t="e">
        <f>IF(COUNTIF(#REF!,Tabela2[[#This Row],[KOD_PRODUKTU]])&gt;0,"ELEMENT","PRODUKT")</f>
        <v>#REF!</v>
      </c>
      <c r="M2526" t="e">
        <f>COUNTIF(#REF!,Tabela2[[#This Row],[KOD_PRODUKTU]])</f>
        <v>#REF!</v>
      </c>
    </row>
    <row r="2527" spans="1:13" x14ac:dyDescent="0.25">
      <c r="A2527" s="1" t="s">
        <v>292</v>
      </c>
      <c r="B2527" t="s">
        <v>293</v>
      </c>
      <c r="C2527" s="1" t="s">
        <v>7</v>
      </c>
      <c r="D2527" s="1" t="s">
        <v>7</v>
      </c>
      <c r="E2527" s="1" t="s">
        <v>7</v>
      </c>
      <c r="F2527" t="s">
        <v>8</v>
      </c>
      <c r="G2527" t="s">
        <v>9</v>
      </c>
      <c r="H2527" t="s">
        <v>10</v>
      </c>
      <c r="I2527" t="s">
        <v>1791</v>
      </c>
      <c r="J2527">
        <v>2.4500000000000002</v>
      </c>
      <c r="K2527" t="e">
        <f>IF(COUNTIF(#REF!,Tabela2[[#This Row],[IdxWspolny]])&gt;0,"ELEM_lub_PRD","TECHN")</f>
        <v>#REF!</v>
      </c>
      <c r="L2527" t="e">
        <f>IF(COUNTIF(#REF!,Tabela2[[#This Row],[KOD_PRODUKTU]])&gt;0,"ELEMENT","PRODUKT")</f>
        <v>#REF!</v>
      </c>
      <c r="M2527" t="e">
        <f>COUNTIF(#REF!,Tabela2[[#This Row],[KOD_PRODUKTU]])</f>
        <v>#REF!</v>
      </c>
    </row>
    <row r="2528" spans="1:13" x14ac:dyDescent="0.25">
      <c r="A2528" s="1" t="s">
        <v>294</v>
      </c>
      <c r="B2528" t="s">
        <v>295</v>
      </c>
      <c r="C2528" s="1" t="s">
        <v>2</v>
      </c>
      <c r="D2528" s="1" t="s">
        <v>2</v>
      </c>
      <c r="E2528" s="1" t="s">
        <v>2</v>
      </c>
      <c r="F2528" t="s">
        <v>3</v>
      </c>
      <c r="G2528" t="s">
        <v>4</v>
      </c>
      <c r="H2528" t="s">
        <v>5</v>
      </c>
      <c r="I2528" t="s">
        <v>3737</v>
      </c>
      <c r="J2528">
        <v>4.3</v>
      </c>
      <c r="K2528" t="e">
        <f>IF(COUNTIF(#REF!,Tabela2[[#This Row],[IdxWspolny]])&gt;0,"ELEM_lub_PRD","TECHN")</f>
        <v>#REF!</v>
      </c>
      <c r="L2528" t="e">
        <f>IF(COUNTIF(#REF!,Tabela2[[#This Row],[KOD_PRODUKTU]])&gt;0,"ELEMENT","PRODUKT")</f>
        <v>#REF!</v>
      </c>
      <c r="M2528" t="e">
        <f>COUNTIF(#REF!,Tabela2[[#This Row],[KOD_PRODUKTU]])</f>
        <v>#REF!</v>
      </c>
    </row>
    <row r="2529" spans="1:13" x14ac:dyDescent="0.25">
      <c r="A2529" s="1" t="s">
        <v>294</v>
      </c>
      <c r="B2529" t="s">
        <v>295</v>
      </c>
      <c r="C2529" s="1" t="s">
        <v>432</v>
      </c>
      <c r="D2529" s="1" t="s">
        <v>432</v>
      </c>
      <c r="E2529" s="1" t="s">
        <v>432</v>
      </c>
      <c r="F2529" t="s">
        <v>433</v>
      </c>
      <c r="G2529" t="s">
        <v>434</v>
      </c>
      <c r="H2529" t="s">
        <v>435</v>
      </c>
      <c r="I2529" t="s">
        <v>50</v>
      </c>
      <c r="J2529">
        <v>1.1000000000000001</v>
      </c>
      <c r="K2529" t="e">
        <f>IF(COUNTIF(#REF!,Tabela2[[#This Row],[IdxWspolny]])&gt;0,"ELEM_lub_PRD","TECHN")</f>
        <v>#REF!</v>
      </c>
      <c r="L2529" t="e">
        <f>IF(COUNTIF(#REF!,Tabela2[[#This Row],[KOD_PRODUKTU]])&gt;0,"ELEMENT","PRODUKT")</f>
        <v>#REF!</v>
      </c>
      <c r="M2529" t="e">
        <f>COUNTIF(#REF!,Tabela2[[#This Row],[KOD_PRODUKTU]])</f>
        <v>#REF!</v>
      </c>
    </row>
    <row r="2530" spans="1:13" x14ac:dyDescent="0.25">
      <c r="A2530" s="1" t="s">
        <v>294</v>
      </c>
      <c r="B2530" t="s">
        <v>295</v>
      </c>
      <c r="C2530" s="1" t="s">
        <v>7</v>
      </c>
      <c r="D2530" s="1" t="s">
        <v>7</v>
      </c>
      <c r="E2530" s="1" t="s">
        <v>7</v>
      </c>
      <c r="F2530" t="s">
        <v>8</v>
      </c>
      <c r="G2530" t="s">
        <v>9</v>
      </c>
      <c r="H2530" t="s">
        <v>10</v>
      </c>
      <c r="I2530" t="s">
        <v>1469</v>
      </c>
      <c r="J2530">
        <v>7.25</v>
      </c>
      <c r="K2530" t="e">
        <f>IF(COUNTIF(#REF!,Tabela2[[#This Row],[IdxWspolny]])&gt;0,"ELEM_lub_PRD","TECHN")</f>
        <v>#REF!</v>
      </c>
      <c r="L2530" t="e">
        <f>IF(COUNTIF(#REF!,Tabela2[[#This Row],[KOD_PRODUKTU]])&gt;0,"ELEMENT","PRODUKT")</f>
        <v>#REF!</v>
      </c>
      <c r="M2530" t="e">
        <f>COUNTIF(#REF!,Tabela2[[#This Row],[KOD_PRODUKTU]])</f>
        <v>#REF!</v>
      </c>
    </row>
    <row r="2531" spans="1:13" x14ac:dyDescent="0.25">
      <c r="A2531" s="1" t="s">
        <v>297</v>
      </c>
      <c r="B2531" t="s">
        <v>298</v>
      </c>
      <c r="C2531" s="1" t="s">
        <v>1387</v>
      </c>
      <c r="D2531" s="1" t="s">
        <v>1387</v>
      </c>
      <c r="E2531" s="1" t="s">
        <v>1387</v>
      </c>
      <c r="F2531" t="s">
        <v>1388</v>
      </c>
      <c r="G2531" t="s">
        <v>879</v>
      </c>
      <c r="H2531" t="s">
        <v>17</v>
      </c>
      <c r="I2531" t="s">
        <v>601</v>
      </c>
      <c r="J2531">
        <v>2.1</v>
      </c>
      <c r="K2531" t="e">
        <f>IF(COUNTIF(#REF!,Tabela2[[#This Row],[IdxWspolny]])&gt;0,"ELEM_lub_PRD","TECHN")</f>
        <v>#REF!</v>
      </c>
      <c r="L2531" t="e">
        <f>IF(COUNTIF(#REF!,Tabela2[[#This Row],[KOD_PRODUKTU]])&gt;0,"ELEMENT","PRODUKT")</f>
        <v>#REF!</v>
      </c>
      <c r="M2531" t="e">
        <f>COUNTIF(#REF!,Tabela2[[#This Row],[KOD_PRODUKTU]])</f>
        <v>#REF!</v>
      </c>
    </row>
    <row r="2532" spans="1:13" x14ac:dyDescent="0.25">
      <c r="A2532" s="1" t="s">
        <v>297</v>
      </c>
      <c r="B2532" t="s">
        <v>298</v>
      </c>
      <c r="C2532" s="1" t="s">
        <v>7</v>
      </c>
      <c r="D2532" s="1" t="s">
        <v>7</v>
      </c>
      <c r="E2532" s="1" t="s">
        <v>7</v>
      </c>
      <c r="F2532" t="s">
        <v>8</v>
      </c>
      <c r="G2532" t="s">
        <v>9</v>
      </c>
      <c r="H2532" t="s">
        <v>10</v>
      </c>
      <c r="I2532" t="s">
        <v>2138</v>
      </c>
      <c r="J2532">
        <v>2.5499999999999998</v>
      </c>
      <c r="K2532" t="e">
        <f>IF(COUNTIF(#REF!,Tabela2[[#This Row],[IdxWspolny]])&gt;0,"ELEM_lub_PRD","TECHN")</f>
        <v>#REF!</v>
      </c>
      <c r="L2532" t="e">
        <f>IF(COUNTIF(#REF!,Tabela2[[#This Row],[KOD_PRODUKTU]])&gt;0,"ELEMENT","PRODUKT")</f>
        <v>#REF!</v>
      </c>
      <c r="M2532" t="e">
        <f>COUNTIF(#REF!,Tabela2[[#This Row],[KOD_PRODUKTU]])</f>
        <v>#REF!</v>
      </c>
    </row>
    <row r="2533" spans="1:13" x14ac:dyDescent="0.25">
      <c r="A2533" s="1" t="s">
        <v>300</v>
      </c>
      <c r="B2533" t="s">
        <v>301</v>
      </c>
      <c r="C2533" s="1" t="s">
        <v>1010</v>
      </c>
      <c r="D2533" s="1" t="s">
        <v>1010</v>
      </c>
      <c r="E2533" s="1" t="s">
        <v>1010</v>
      </c>
      <c r="F2533" t="s">
        <v>1011</v>
      </c>
      <c r="G2533" t="s">
        <v>1354</v>
      </c>
      <c r="H2533" t="s">
        <v>5</v>
      </c>
      <c r="I2533" t="s">
        <v>18</v>
      </c>
      <c r="J2533">
        <v>2.1</v>
      </c>
      <c r="K2533" t="e">
        <f>IF(COUNTIF(#REF!,Tabela2[[#This Row],[IdxWspolny]])&gt;0,"ELEM_lub_PRD","TECHN")</f>
        <v>#REF!</v>
      </c>
      <c r="L2533" t="e">
        <f>IF(COUNTIF(#REF!,Tabela2[[#This Row],[KOD_PRODUKTU]])&gt;0,"ELEMENT","PRODUKT")</f>
        <v>#REF!</v>
      </c>
      <c r="M2533" t="e">
        <f>COUNTIF(#REF!,Tabela2[[#This Row],[KOD_PRODUKTU]])</f>
        <v>#REF!</v>
      </c>
    </row>
    <row r="2534" spans="1:13" x14ac:dyDescent="0.25">
      <c r="A2534" s="1" t="s">
        <v>300</v>
      </c>
      <c r="B2534" t="s">
        <v>301</v>
      </c>
      <c r="C2534" s="1" t="s">
        <v>7</v>
      </c>
      <c r="D2534" s="1" t="s">
        <v>7</v>
      </c>
      <c r="E2534" s="1" t="s">
        <v>7</v>
      </c>
      <c r="F2534" t="s">
        <v>8</v>
      </c>
      <c r="G2534" t="s">
        <v>9</v>
      </c>
      <c r="H2534" t="s">
        <v>10</v>
      </c>
      <c r="I2534" t="s">
        <v>1225</v>
      </c>
      <c r="J2534">
        <v>2.5</v>
      </c>
      <c r="K2534" t="e">
        <f>IF(COUNTIF(#REF!,Tabela2[[#This Row],[IdxWspolny]])&gt;0,"ELEM_lub_PRD","TECHN")</f>
        <v>#REF!</v>
      </c>
      <c r="L2534" t="e">
        <f>IF(COUNTIF(#REF!,Tabela2[[#This Row],[KOD_PRODUKTU]])&gt;0,"ELEMENT","PRODUKT")</f>
        <v>#REF!</v>
      </c>
      <c r="M2534" t="e">
        <f>COUNTIF(#REF!,Tabela2[[#This Row],[KOD_PRODUKTU]])</f>
        <v>#REF!</v>
      </c>
    </row>
    <row r="2535" spans="1:13" x14ac:dyDescent="0.25">
      <c r="A2535" s="1" t="s">
        <v>303</v>
      </c>
      <c r="B2535" t="s">
        <v>304</v>
      </c>
      <c r="C2535" s="1" t="s">
        <v>1387</v>
      </c>
      <c r="D2535" s="1" t="s">
        <v>1387</v>
      </c>
      <c r="E2535" s="1" t="s">
        <v>1387</v>
      </c>
      <c r="F2535" t="s">
        <v>1388</v>
      </c>
      <c r="G2535" t="s">
        <v>879</v>
      </c>
      <c r="H2535" t="s">
        <v>17</v>
      </c>
      <c r="I2535" t="s">
        <v>601</v>
      </c>
      <c r="J2535">
        <v>2.1</v>
      </c>
      <c r="K2535" t="e">
        <f>IF(COUNTIF(#REF!,Tabela2[[#This Row],[IdxWspolny]])&gt;0,"ELEM_lub_PRD","TECHN")</f>
        <v>#REF!</v>
      </c>
      <c r="L2535" t="e">
        <f>IF(COUNTIF(#REF!,Tabela2[[#This Row],[KOD_PRODUKTU]])&gt;0,"ELEMENT","PRODUKT")</f>
        <v>#REF!</v>
      </c>
      <c r="M2535" t="e">
        <f>COUNTIF(#REF!,Tabela2[[#This Row],[KOD_PRODUKTU]])</f>
        <v>#REF!</v>
      </c>
    </row>
    <row r="2536" spans="1:13" x14ac:dyDescent="0.25">
      <c r="A2536" s="1" t="s">
        <v>303</v>
      </c>
      <c r="B2536" t="s">
        <v>304</v>
      </c>
      <c r="C2536" s="1" t="s">
        <v>7</v>
      </c>
      <c r="D2536" s="1" t="s">
        <v>7</v>
      </c>
      <c r="E2536" s="1" t="s">
        <v>7</v>
      </c>
      <c r="F2536" t="s">
        <v>8</v>
      </c>
      <c r="G2536" t="s">
        <v>9</v>
      </c>
      <c r="H2536" t="s">
        <v>10</v>
      </c>
      <c r="I2536" t="s">
        <v>2544</v>
      </c>
      <c r="J2536">
        <v>4.9000000000000004</v>
      </c>
      <c r="K2536" t="e">
        <f>IF(COUNTIF(#REF!,Tabela2[[#This Row],[IdxWspolny]])&gt;0,"ELEM_lub_PRD","TECHN")</f>
        <v>#REF!</v>
      </c>
      <c r="L2536" t="e">
        <f>IF(COUNTIF(#REF!,Tabela2[[#This Row],[KOD_PRODUKTU]])&gt;0,"ELEMENT","PRODUKT")</f>
        <v>#REF!</v>
      </c>
      <c r="M2536" t="e">
        <f>COUNTIF(#REF!,Tabela2[[#This Row],[KOD_PRODUKTU]])</f>
        <v>#REF!</v>
      </c>
    </row>
    <row r="2537" spans="1:13" x14ac:dyDescent="0.25">
      <c r="A2537" s="1" t="s">
        <v>4006</v>
      </c>
      <c r="B2537" t="s">
        <v>4007</v>
      </c>
      <c r="C2537" s="1" t="s">
        <v>4008</v>
      </c>
      <c r="D2537" s="1" t="s">
        <v>4008</v>
      </c>
      <c r="E2537" s="1" t="s">
        <v>4008</v>
      </c>
      <c r="F2537" t="s">
        <v>4009</v>
      </c>
      <c r="G2537" t="s">
        <v>4010</v>
      </c>
      <c r="H2537" t="s">
        <v>5</v>
      </c>
      <c r="I2537" t="s">
        <v>4011</v>
      </c>
      <c r="J2537">
        <v>19.3</v>
      </c>
      <c r="K2537" t="e">
        <f>IF(COUNTIF(#REF!,Tabela2[[#This Row],[IdxWspolny]])&gt;0,"ELEM_lub_PRD","TECHN")</f>
        <v>#REF!</v>
      </c>
      <c r="L2537" t="e">
        <f>IF(COUNTIF(#REF!,Tabela2[[#This Row],[KOD_PRODUKTU]])&gt;0,"ELEMENT","PRODUKT")</f>
        <v>#REF!</v>
      </c>
      <c r="M2537" t="e">
        <f>COUNTIF(#REF!,Tabela2[[#This Row],[KOD_PRODUKTU]])</f>
        <v>#REF!</v>
      </c>
    </row>
    <row r="2538" spans="1:13" x14ac:dyDescent="0.25">
      <c r="A2538" s="1" t="s">
        <v>4006</v>
      </c>
      <c r="B2538" t="s">
        <v>4007</v>
      </c>
      <c r="C2538" s="1" t="s">
        <v>541</v>
      </c>
      <c r="D2538" s="1" t="s">
        <v>541</v>
      </c>
      <c r="E2538" s="1" t="s">
        <v>541</v>
      </c>
      <c r="F2538" t="s">
        <v>542</v>
      </c>
      <c r="G2538" t="s">
        <v>9</v>
      </c>
      <c r="H2538" t="s">
        <v>10</v>
      </c>
      <c r="I2538" t="s">
        <v>33</v>
      </c>
      <c r="J2538">
        <v>9.1999999999999993</v>
      </c>
      <c r="K2538" t="e">
        <f>IF(COUNTIF(#REF!,Tabela2[[#This Row],[IdxWspolny]])&gt;0,"ELEM_lub_PRD","TECHN")</f>
        <v>#REF!</v>
      </c>
      <c r="L2538" t="e">
        <f>IF(COUNTIF(#REF!,Tabela2[[#This Row],[KOD_PRODUKTU]])&gt;0,"ELEMENT","PRODUKT")</f>
        <v>#REF!</v>
      </c>
      <c r="M2538" t="e">
        <f>COUNTIF(#REF!,Tabela2[[#This Row],[KOD_PRODUKTU]])</f>
        <v>#REF!</v>
      </c>
    </row>
    <row r="2539" spans="1:13" x14ac:dyDescent="0.25">
      <c r="A2539" s="1" t="s">
        <v>4006</v>
      </c>
      <c r="B2539" t="s">
        <v>4007</v>
      </c>
      <c r="C2539" s="1" t="s">
        <v>7</v>
      </c>
      <c r="D2539" s="1" t="s">
        <v>7</v>
      </c>
      <c r="E2539" s="1" t="s">
        <v>7</v>
      </c>
      <c r="F2539" t="s">
        <v>8</v>
      </c>
      <c r="G2539" t="s">
        <v>9</v>
      </c>
      <c r="H2539" t="s">
        <v>10</v>
      </c>
      <c r="I2539" t="s">
        <v>4012</v>
      </c>
      <c r="J2539">
        <v>1.3</v>
      </c>
      <c r="K2539" t="e">
        <f>IF(COUNTIF(#REF!,Tabela2[[#This Row],[IdxWspolny]])&gt;0,"ELEM_lub_PRD","TECHN")</f>
        <v>#REF!</v>
      </c>
      <c r="L2539" t="e">
        <f>IF(COUNTIF(#REF!,Tabela2[[#This Row],[KOD_PRODUKTU]])&gt;0,"ELEMENT","PRODUKT")</f>
        <v>#REF!</v>
      </c>
      <c r="M2539" t="e">
        <f>COUNTIF(#REF!,Tabela2[[#This Row],[KOD_PRODUKTU]])</f>
        <v>#REF!</v>
      </c>
    </row>
    <row r="2540" spans="1:13" x14ac:dyDescent="0.25">
      <c r="A2540" s="1" t="s">
        <v>4013</v>
      </c>
      <c r="B2540" t="s">
        <v>4014</v>
      </c>
      <c r="C2540" s="1" t="s">
        <v>1047</v>
      </c>
      <c r="D2540" s="1" t="s">
        <v>1047</v>
      </c>
      <c r="E2540" s="1" t="s">
        <v>1047</v>
      </c>
      <c r="F2540" t="s">
        <v>1048</v>
      </c>
      <c r="G2540" t="s">
        <v>1434</v>
      </c>
      <c r="H2540" t="s">
        <v>17</v>
      </c>
      <c r="I2540" t="s">
        <v>4015</v>
      </c>
      <c r="J2540">
        <v>13.1</v>
      </c>
      <c r="K2540" t="e">
        <f>IF(COUNTIF(#REF!,Tabela2[[#This Row],[IdxWspolny]])&gt;0,"ELEM_lub_PRD","TECHN")</f>
        <v>#REF!</v>
      </c>
      <c r="L2540" t="e">
        <f>IF(COUNTIF(#REF!,Tabela2[[#This Row],[KOD_PRODUKTU]])&gt;0,"ELEMENT","PRODUKT")</f>
        <v>#REF!</v>
      </c>
      <c r="M2540" t="e">
        <f>COUNTIF(#REF!,Tabela2[[#This Row],[KOD_PRODUKTU]])</f>
        <v>#REF!</v>
      </c>
    </row>
    <row r="2541" spans="1:13" x14ac:dyDescent="0.25">
      <c r="A2541" s="1" t="s">
        <v>4013</v>
      </c>
      <c r="B2541" t="s">
        <v>4014</v>
      </c>
      <c r="C2541" s="1" t="s">
        <v>541</v>
      </c>
      <c r="D2541" s="1" t="s">
        <v>541</v>
      </c>
      <c r="E2541" s="1" t="s">
        <v>541</v>
      </c>
      <c r="F2541" t="s">
        <v>542</v>
      </c>
      <c r="G2541" t="s">
        <v>9</v>
      </c>
      <c r="H2541" t="s">
        <v>10</v>
      </c>
      <c r="I2541" t="s">
        <v>3514</v>
      </c>
      <c r="J2541">
        <v>4.8499999999999996</v>
      </c>
      <c r="K2541" t="e">
        <f>IF(COUNTIF(#REF!,Tabela2[[#This Row],[IdxWspolny]])&gt;0,"ELEM_lub_PRD","TECHN")</f>
        <v>#REF!</v>
      </c>
      <c r="L2541" t="e">
        <f>IF(COUNTIF(#REF!,Tabela2[[#This Row],[KOD_PRODUKTU]])&gt;0,"ELEMENT","PRODUKT")</f>
        <v>#REF!</v>
      </c>
      <c r="M2541" t="e">
        <f>COUNTIF(#REF!,Tabela2[[#This Row],[KOD_PRODUKTU]])</f>
        <v>#REF!</v>
      </c>
    </row>
    <row r="2542" spans="1:13" x14ac:dyDescent="0.25">
      <c r="A2542" s="1" t="s">
        <v>4016</v>
      </c>
      <c r="B2542" t="s">
        <v>4017</v>
      </c>
      <c r="C2542" s="1" t="s">
        <v>1047</v>
      </c>
      <c r="D2542" s="1" t="s">
        <v>1047</v>
      </c>
      <c r="E2542" s="1" t="s">
        <v>1047</v>
      </c>
      <c r="F2542" t="s">
        <v>1048</v>
      </c>
      <c r="G2542" t="s">
        <v>1434</v>
      </c>
      <c r="H2542" t="s">
        <v>17</v>
      </c>
      <c r="I2542" t="s">
        <v>4018</v>
      </c>
      <c r="J2542">
        <v>3.96</v>
      </c>
      <c r="K2542" t="e">
        <f>IF(COUNTIF(#REF!,Tabela2[[#This Row],[IdxWspolny]])&gt;0,"ELEM_lub_PRD","TECHN")</f>
        <v>#REF!</v>
      </c>
      <c r="L2542" t="e">
        <f>IF(COUNTIF(#REF!,Tabela2[[#This Row],[KOD_PRODUKTU]])&gt;0,"ELEMENT","PRODUKT")</f>
        <v>#REF!</v>
      </c>
      <c r="M2542" t="e">
        <f>COUNTIF(#REF!,Tabela2[[#This Row],[KOD_PRODUKTU]])</f>
        <v>#REF!</v>
      </c>
    </row>
    <row r="2543" spans="1:13" x14ac:dyDescent="0.25">
      <c r="A2543" s="1" t="s">
        <v>4016</v>
      </c>
      <c r="B2543" t="s">
        <v>4017</v>
      </c>
      <c r="C2543" s="1" t="s">
        <v>541</v>
      </c>
      <c r="D2543" s="1" t="s">
        <v>541</v>
      </c>
      <c r="E2543" s="1" t="s">
        <v>541</v>
      </c>
      <c r="F2543" t="s">
        <v>542</v>
      </c>
      <c r="G2543" t="s">
        <v>9</v>
      </c>
      <c r="H2543" t="s">
        <v>10</v>
      </c>
      <c r="I2543" t="s">
        <v>3047</v>
      </c>
      <c r="J2543">
        <v>4.83</v>
      </c>
      <c r="K2543" t="e">
        <f>IF(COUNTIF(#REF!,Tabela2[[#This Row],[IdxWspolny]])&gt;0,"ELEM_lub_PRD","TECHN")</f>
        <v>#REF!</v>
      </c>
      <c r="L2543" t="e">
        <f>IF(COUNTIF(#REF!,Tabela2[[#This Row],[KOD_PRODUKTU]])&gt;0,"ELEMENT","PRODUKT")</f>
        <v>#REF!</v>
      </c>
      <c r="M2543" t="e">
        <f>COUNTIF(#REF!,Tabela2[[#This Row],[KOD_PRODUKTU]])</f>
        <v>#REF!</v>
      </c>
    </row>
    <row r="2544" spans="1:13" x14ac:dyDescent="0.25">
      <c r="A2544" s="1" t="s">
        <v>4019</v>
      </c>
      <c r="B2544" t="s">
        <v>4020</v>
      </c>
      <c r="C2544" s="1" t="s">
        <v>1047</v>
      </c>
      <c r="D2544" s="1" t="s">
        <v>1047</v>
      </c>
      <c r="E2544" s="1" t="s">
        <v>1047</v>
      </c>
      <c r="F2544" t="s">
        <v>1048</v>
      </c>
      <c r="G2544" t="s">
        <v>1434</v>
      </c>
      <c r="H2544" t="s">
        <v>17</v>
      </c>
      <c r="I2544" t="s">
        <v>594</v>
      </c>
      <c r="J2544">
        <v>10.3</v>
      </c>
      <c r="K2544" t="e">
        <f>IF(COUNTIF(#REF!,Tabela2[[#This Row],[IdxWspolny]])&gt;0,"ELEM_lub_PRD","TECHN")</f>
        <v>#REF!</v>
      </c>
      <c r="L2544" t="e">
        <f>IF(COUNTIF(#REF!,Tabela2[[#This Row],[KOD_PRODUKTU]])&gt;0,"ELEMENT","PRODUKT")</f>
        <v>#REF!</v>
      </c>
      <c r="M2544" t="e">
        <f>COUNTIF(#REF!,Tabela2[[#This Row],[KOD_PRODUKTU]])</f>
        <v>#REF!</v>
      </c>
    </row>
    <row r="2545" spans="1:13" x14ac:dyDescent="0.25">
      <c r="A2545" s="1" t="s">
        <v>4019</v>
      </c>
      <c r="B2545" t="s">
        <v>4020</v>
      </c>
      <c r="C2545" s="1" t="s">
        <v>541</v>
      </c>
      <c r="D2545" s="1" t="s">
        <v>541</v>
      </c>
      <c r="E2545" s="1" t="s">
        <v>541</v>
      </c>
      <c r="F2545" t="s">
        <v>542</v>
      </c>
      <c r="G2545" t="s">
        <v>9</v>
      </c>
      <c r="H2545" t="s">
        <v>10</v>
      </c>
      <c r="I2545" t="s">
        <v>3514</v>
      </c>
      <c r="J2545">
        <v>4.8499999999999996</v>
      </c>
      <c r="K2545" t="e">
        <f>IF(COUNTIF(#REF!,Tabela2[[#This Row],[IdxWspolny]])&gt;0,"ELEM_lub_PRD","TECHN")</f>
        <v>#REF!</v>
      </c>
      <c r="L2545" t="e">
        <f>IF(COUNTIF(#REF!,Tabela2[[#This Row],[KOD_PRODUKTU]])&gt;0,"ELEMENT","PRODUKT")</f>
        <v>#REF!</v>
      </c>
      <c r="M2545" t="e">
        <f>COUNTIF(#REF!,Tabela2[[#This Row],[KOD_PRODUKTU]])</f>
        <v>#REF!</v>
      </c>
    </row>
    <row r="2546" spans="1:13" x14ac:dyDescent="0.25">
      <c r="A2546" s="1" t="s">
        <v>4021</v>
      </c>
      <c r="B2546" t="s">
        <v>4022</v>
      </c>
      <c r="C2546" s="1" t="s">
        <v>1099</v>
      </c>
      <c r="D2546" s="1" t="s">
        <v>1099</v>
      </c>
      <c r="E2546" s="1" t="s">
        <v>1099</v>
      </c>
      <c r="F2546" t="s">
        <v>1100</v>
      </c>
      <c r="G2546" t="s">
        <v>1101</v>
      </c>
      <c r="H2546" t="s">
        <v>49</v>
      </c>
      <c r="I2546" t="s">
        <v>4023</v>
      </c>
      <c r="J2546">
        <v>2</v>
      </c>
      <c r="K2546" t="e">
        <f>IF(COUNTIF(#REF!,Tabela2[[#This Row],[IdxWspolny]])&gt;0,"ELEM_lub_PRD","TECHN")</f>
        <v>#REF!</v>
      </c>
      <c r="L2546" t="e">
        <f>IF(COUNTIF(#REF!,Tabela2[[#This Row],[KOD_PRODUKTU]])&gt;0,"ELEMENT","PRODUKT")</f>
        <v>#REF!</v>
      </c>
      <c r="M2546" t="e">
        <f>COUNTIF(#REF!,Tabela2[[#This Row],[KOD_PRODUKTU]])</f>
        <v>#REF!</v>
      </c>
    </row>
    <row r="2547" spans="1:13" x14ac:dyDescent="0.25">
      <c r="A2547" s="1" t="s">
        <v>4021</v>
      </c>
      <c r="B2547" t="s">
        <v>4022</v>
      </c>
      <c r="C2547" s="1" t="s">
        <v>432</v>
      </c>
      <c r="D2547" s="1" t="s">
        <v>432</v>
      </c>
      <c r="E2547" s="1" t="s">
        <v>432</v>
      </c>
      <c r="F2547" t="s">
        <v>433</v>
      </c>
      <c r="G2547" t="s">
        <v>434</v>
      </c>
      <c r="H2547" t="s">
        <v>435</v>
      </c>
      <c r="I2547" t="s">
        <v>4024</v>
      </c>
      <c r="J2547">
        <v>1.59</v>
      </c>
      <c r="K2547" t="e">
        <f>IF(COUNTIF(#REF!,Tabela2[[#This Row],[IdxWspolny]])&gt;0,"ELEM_lub_PRD","TECHN")</f>
        <v>#REF!</v>
      </c>
      <c r="L2547" t="e">
        <f>IF(COUNTIF(#REF!,Tabela2[[#This Row],[KOD_PRODUKTU]])&gt;0,"ELEMENT","PRODUKT")</f>
        <v>#REF!</v>
      </c>
      <c r="M2547" t="e">
        <f>COUNTIF(#REF!,Tabela2[[#This Row],[KOD_PRODUKTU]])</f>
        <v>#REF!</v>
      </c>
    </row>
    <row r="2548" spans="1:13" x14ac:dyDescent="0.25">
      <c r="A2548" s="1" t="s">
        <v>4021</v>
      </c>
      <c r="B2548" t="s">
        <v>4022</v>
      </c>
      <c r="C2548" s="1" t="s">
        <v>7</v>
      </c>
      <c r="D2548" s="1" t="s">
        <v>7</v>
      </c>
      <c r="E2548" s="1" t="s">
        <v>7</v>
      </c>
      <c r="F2548" t="s">
        <v>8</v>
      </c>
      <c r="G2548" t="s">
        <v>9</v>
      </c>
      <c r="H2548" t="s">
        <v>10</v>
      </c>
      <c r="I2548" t="s">
        <v>4025</v>
      </c>
      <c r="J2548">
        <v>16.73</v>
      </c>
      <c r="K2548" t="e">
        <f>IF(COUNTIF(#REF!,Tabela2[[#This Row],[IdxWspolny]])&gt;0,"ELEM_lub_PRD","TECHN")</f>
        <v>#REF!</v>
      </c>
      <c r="L2548" t="e">
        <f>IF(COUNTIF(#REF!,Tabela2[[#This Row],[KOD_PRODUKTU]])&gt;0,"ELEMENT","PRODUKT")</f>
        <v>#REF!</v>
      </c>
      <c r="M2548" t="e">
        <f>COUNTIF(#REF!,Tabela2[[#This Row],[KOD_PRODUKTU]])</f>
        <v>#REF!</v>
      </c>
    </row>
    <row r="2549" spans="1:13" x14ac:dyDescent="0.25">
      <c r="A2549" s="1" t="s">
        <v>4026</v>
      </c>
      <c r="B2549" t="s">
        <v>4027</v>
      </c>
      <c r="C2549" s="1" t="s">
        <v>1203</v>
      </c>
      <c r="D2549" s="1" t="s">
        <v>1203</v>
      </c>
      <c r="E2549" s="1" t="s">
        <v>1203</v>
      </c>
      <c r="F2549" t="s">
        <v>1204</v>
      </c>
      <c r="G2549" t="s">
        <v>216</v>
      </c>
      <c r="H2549" t="s">
        <v>5</v>
      </c>
      <c r="I2549" t="s">
        <v>1732</v>
      </c>
      <c r="J2549">
        <v>0.25</v>
      </c>
      <c r="K2549" t="e">
        <f>IF(COUNTIF(#REF!,Tabela2[[#This Row],[IdxWspolny]])&gt;0,"ELEM_lub_PRD","TECHN")</f>
        <v>#REF!</v>
      </c>
      <c r="L2549" t="e">
        <f>IF(COUNTIF(#REF!,Tabela2[[#This Row],[KOD_PRODUKTU]])&gt;0,"ELEMENT","PRODUKT")</f>
        <v>#REF!</v>
      </c>
      <c r="M2549" t="e">
        <f>COUNTIF(#REF!,Tabela2[[#This Row],[KOD_PRODUKTU]])</f>
        <v>#REF!</v>
      </c>
    </row>
    <row r="2550" spans="1:13" x14ac:dyDescent="0.25">
      <c r="A2550" s="1" t="s">
        <v>4026</v>
      </c>
      <c r="B2550" t="s">
        <v>4027</v>
      </c>
      <c r="C2550" s="1" t="s">
        <v>4028</v>
      </c>
      <c r="D2550" s="1" t="s">
        <v>4028</v>
      </c>
      <c r="E2550" s="1" t="s">
        <v>4028</v>
      </c>
      <c r="F2550" t="s">
        <v>4029</v>
      </c>
      <c r="G2550" t="s">
        <v>4030</v>
      </c>
      <c r="H2550" t="s">
        <v>121</v>
      </c>
      <c r="I2550" t="s">
        <v>50</v>
      </c>
      <c r="J2550">
        <v>0.85</v>
      </c>
      <c r="K2550" t="e">
        <f>IF(COUNTIF(#REF!,Tabela2[[#This Row],[IdxWspolny]])&gt;0,"ELEM_lub_PRD","TECHN")</f>
        <v>#REF!</v>
      </c>
      <c r="L2550" t="e">
        <f>IF(COUNTIF(#REF!,Tabela2[[#This Row],[KOD_PRODUKTU]])&gt;0,"ELEMENT","PRODUKT")</f>
        <v>#REF!</v>
      </c>
      <c r="M2550" t="e">
        <f>COUNTIF(#REF!,Tabela2[[#This Row],[KOD_PRODUKTU]])</f>
        <v>#REF!</v>
      </c>
    </row>
    <row r="2551" spans="1:13" x14ac:dyDescent="0.25">
      <c r="A2551" s="1" t="s">
        <v>4026</v>
      </c>
      <c r="B2551" t="s">
        <v>4027</v>
      </c>
      <c r="C2551" s="1" t="s">
        <v>432</v>
      </c>
      <c r="D2551" s="1" t="s">
        <v>432</v>
      </c>
      <c r="E2551" s="1" t="s">
        <v>432</v>
      </c>
      <c r="F2551" t="s">
        <v>433</v>
      </c>
      <c r="G2551" t="s">
        <v>434</v>
      </c>
      <c r="H2551" t="s">
        <v>435</v>
      </c>
      <c r="I2551" t="s">
        <v>50</v>
      </c>
      <c r="J2551">
        <v>1.1000000000000001</v>
      </c>
      <c r="K2551" t="e">
        <f>IF(COUNTIF(#REF!,Tabela2[[#This Row],[IdxWspolny]])&gt;0,"ELEM_lub_PRD","TECHN")</f>
        <v>#REF!</v>
      </c>
      <c r="L2551" t="e">
        <f>IF(COUNTIF(#REF!,Tabela2[[#This Row],[KOD_PRODUKTU]])&gt;0,"ELEMENT","PRODUKT")</f>
        <v>#REF!</v>
      </c>
      <c r="M2551" t="e">
        <f>COUNTIF(#REF!,Tabela2[[#This Row],[KOD_PRODUKTU]])</f>
        <v>#REF!</v>
      </c>
    </row>
    <row r="2552" spans="1:13" x14ac:dyDescent="0.25">
      <c r="A2552" s="1" t="s">
        <v>4026</v>
      </c>
      <c r="B2552" t="s">
        <v>4027</v>
      </c>
      <c r="C2552" s="1" t="s">
        <v>688</v>
      </c>
      <c r="D2552" s="1" t="s">
        <v>688</v>
      </c>
      <c r="E2552" s="1" t="s">
        <v>688</v>
      </c>
      <c r="F2552" t="s">
        <v>810</v>
      </c>
      <c r="G2552" t="s">
        <v>9</v>
      </c>
      <c r="H2552" t="s">
        <v>10</v>
      </c>
      <c r="I2552" t="s">
        <v>4031</v>
      </c>
      <c r="J2552">
        <v>0.85</v>
      </c>
      <c r="K2552" t="e">
        <f>IF(COUNTIF(#REF!,Tabela2[[#This Row],[IdxWspolny]])&gt;0,"ELEM_lub_PRD","TECHN")</f>
        <v>#REF!</v>
      </c>
      <c r="L2552" t="e">
        <f>IF(COUNTIF(#REF!,Tabela2[[#This Row],[KOD_PRODUKTU]])&gt;0,"ELEMENT","PRODUKT")</f>
        <v>#REF!</v>
      </c>
      <c r="M2552" t="e">
        <f>COUNTIF(#REF!,Tabela2[[#This Row],[KOD_PRODUKTU]])</f>
        <v>#REF!</v>
      </c>
    </row>
    <row r="2553" spans="1:13" x14ac:dyDescent="0.25">
      <c r="A2553" s="1" t="s">
        <v>4026</v>
      </c>
      <c r="B2553" t="s">
        <v>4027</v>
      </c>
      <c r="C2553" s="1" t="s">
        <v>7</v>
      </c>
      <c r="D2553" s="1" t="s">
        <v>7</v>
      </c>
      <c r="E2553" s="1" t="s">
        <v>7</v>
      </c>
      <c r="F2553" t="s">
        <v>8</v>
      </c>
      <c r="G2553" t="s">
        <v>9</v>
      </c>
      <c r="H2553" t="s">
        <v>10</v>
      </c>
      <c r="I2553" t="s">
        <v>4032</v>
      </c>
      <c r="J2553">
        <v>1.95</v>
      </c>
      <c r="K2553" t="e">
        <f>IF(COUNTIF(#REF!,Tabela2[[#This Row],[IdxWspolny]])&gt;0,"ELEM_lub_PRD","TECHN")</f>
        <v>#REF!</v>
      </c>
      <c r="L2553" t="e">
        <f>IF(COUNTIF(#REF!,Tabela2[[#This Row],[KOD_PRODUKTU]])&gt;0,"ELEMENT","PRODUKT")</f>
        <v>#REF!</v>
      </c>
      <c r="M2553" t="e">
        <f>COUNTIF(#REF!,Tabela2[[#This Row],[KOD_PRODUKTU]])</f>
        <v>#REF!</v>
      </c>
    </row>
    <row r="2554" spans="1:13" x14ac:dyDescent="0.25">
      <c r="A2554" s="1" t="s">
        <v>4033</v>
      </c>
      <c r="B2554" t="s">
        <v>4034</v>
      </c>
      <c r="C2554" s="1" t="s">
        <v>1487</v>
      </c>
      <c r="D2554" s="1" t="s">
        <v>1487</v>
      </c>
      <c r="E2554" s="1" t="s">
        <v>1487</v>
      </c>
      <c r="F2554" t="s">
        <v>1488</v>
      </c>
      <c r="G2554" t="s">
        <v>31</v>
      </c>
      <c r="H2554" t="s">
        <v>5</v>
      </c>
      <c r="I2554" t="s">
        <v>4035</v>
      </c>
      <c r="J2554">
        <v>2.4500000000000002</v>
      </c>
      <c r="K2554" t="e">
        <f>IF(COUNTIF(#REF!,Tabela2[[#This Row],[IdxWspolny]])&gt;0,"ELEM_lub_PRD","TECHN")</f>
        <v>#REF!</v>
      </c>
      <c r="L2554" t="e">
        <f>IF(COUNTIF(#REF!,Tabela2[[#This Row],[KOD_PRODUKTU]])&gt;0,"ELEMENT","PRODUKT")</f>
        <v>#REF!</v>
      </c>
      <c r="M2554" t="e">
        <f>COUNTIF(#REF!,Tabela2[[#This Row],[KOD_PRODUKTU]])</f>
        <v>#REF!</v>
      </c>
    </row>
    <row r="2555" spans="1:13" x14ac:dyDescent="0.25">
      <c r="A2555" s="1" t="s">
        <v>4033</v>
      </c>
      <c r="B2555" t="s">
        <v>4034</v>
      </c>
      <c r="C2555" s="1" t="s">
        <v>432</v>
      </c>
      <c r="D2555" s="1" t="s">
        <v>432</v>
      </c>
      <c r="E2555" s="1" t="s">
        <v>432</v>
      </c>
      <c r="F2555" t="s">
        <v>433</v>
      </c>
      <c r="G2555" t="s">
        <v>434</v>
      </c>
      <c r="H2555" t="s">
        <v>435</v>
      </c>
      <c r="I2555" t="s">
        <v>50</v>
      </c>
      <c r="J2555">
        <v>1.1000000000000001</v>
      </c>
      <c r="K2555" t="e">
        <f>IF(COUNTIF(#REF!,Tabela2[[#This Row],[IdxWspolny]])&gt;0,"ELEM_lub_PRD","TECHN")</f>
        <v>#REF!</v>
      </c>
      <c r="L2555" t="e">
        <f>IF(COUNTIF(#REF!,Tabela2[[#This Row],[KOD_PRODUKTU]])&gt;0,"ELEMENT","PRODUKT")</f>
        <v>#REF!</v>
      </c>
      <c r="M2555" t="e">
        <f>COUNTIF(#REF!,Tabela2[[#This Row],[KOD_PRODUKTU]])</f>
        <v>#REF!</v>
      </c>
    </row>
    <row r="2556" spans="1:13" x14ac:dyDescent="0.25">
      <c r="A2556" s="1" t="s">
        <v>4033</v>
      </c>
      <c r="B2556" t="s">
        <v>4034</v>
      </c>
      <c r="C2556" s="1" t="s">
        <v>541</v>
      </c>
      <c r="D2556" s="1" t="s">
        <v>541</v>
      </c>
      <c r="E2556" s="1" t="s">
        <v>541</v>
      </c>
      <c r="F2556" t="s">
        <v>542</v>
      </c>
      <c r="G2556" t="s">
        <v>9</v>
      </c>
      <c r="H2556" t="s">
        <v>10</v>
      </c>
      <c r="I2556" t="s">
        <v>4036</v>
      </c>
      <c r="J2556">
        <v>4.84</v>
      </c>
      <c r="K2556" t="e">
        <f>IF(COUNTIF(#REF!,Tabela2[[#This Row],[IdxWspolny]])&gt;0,"ELEM_lub_PRD","TECHN")</f>
        <v>#REF!</v>
      </c>
      <c r="L2556" t="e">
        <f>IF(COUNTIF(#REF!,Tabela2[[#This Row],[KOD_PRODUKTU]])&gt;0,"ELEMENT","PRODUKT")</f>
        <v>#REF!</v>
      </c>
      <c r="M2556" t="e">
        <f>COUNTIF(#REF!,Tabela2[[#This Row],[KOD_PRODUKTU]])</f>
        <v>#REF!</v>
      </c>
    </row>
    <row r="2557" spans="1:13" x14ac:dyDescent="0.25">
      <c r="A2557" s="1" t="s">
        <v>4037</v>
      </c>
      <c r="B2557" t="s">
        <v>4038</v>
      </c>
      <c r="C2557" s="1" t="s">
        <v>4039</v>
      </c>
      <c r="D2557" s="1" t="s">
        <v>4039</v>
      </c>
      <c r="E2557" s="1" t="s">
        <v>4039</v>
      </c>
      <c r="F2557" t="s">
        <v>4040</v>
      </c>
      <c r="G2557" t="s">
        <v>216</v>
      </c>
      <c r="H2557" t="s">
        <v>17</v>
      </c>
      <c r="I2557" t="s">
        <v>1254</v>
      </c>
      <c r="J2557">
        <v>2.4500000000000002</v>
      </c>
      <c r="K2557" t="e">
        <f>IF(COUNTIF(#REF!,Tabela2[[#This Row],[IdxWspolny]])&gt;0,"ELEM_lub_PRD","TECHN")</f>
        <v>#REF!</v>
      </c>
      <c r="L2557" t="e">
        <f>IF(COUNTIF(#REF!,Tabela2[[#This Row],[KOD_PRODUKTU]])&gt;0,"ELEMENT","PRODUKT")</f>
        <v>#REF!</v>
      </c>
      <c r="M2557" t="e">
        <f>COUNTIF(#REF!,Tabela2[[#This Row],[KOD_PRODUKTU]])</f>
        <v>#REF!</v>
      </c>
    </row>
    <row r="2558" spans="1:13" x14ac:dyDescent="0.25">
      <c r="A2558" s="1" t="s">
        <v>4037</v>
      </c>
      <c r="B2558" t="s">
        <v>4038</v>
      </c>
      <c r="C2558" s="1" t="s">
        <v>541</v>
      </c>
      <c r="D2558" s="1" t="s">
        <v>541</v>
      </c>
      <c r="E2558" s="1" t="s">
        <v>541</v>
      </c>
      <c r="F2558" t="s">
        <v>542</v>
      </c>
      <c r="G2558" t="s">
        <v>9</v>
      </c>
      <c r="H2558" t="s">
        <v>10</v>
      </c>
      <c r="I2558" t="s">
        <v>3514</v>
      </c>
      <c r="J2558">
        <v>4.8499999999999996</v>
      </c>
      <c r="K2558" t="e">
        <f>IF(COUNTIF(#REF!,Tabela2[[#This Row],[IdxWspolny]])&gt;0,"ELEM_lub_PRD","TECHN")</f>
        <v>#REF!</v>
      </c>
      <c r="L2558" t="e">
        <f>IF(COUNTIF(#REF!,Tabela2[[#This Row],[KOD_PRODUKTU]])&gt;0,"ELEMENT","PRODUKT")</f>
        <v>#REF!</v>
      </c>
      <c r="M2558" t="e">
        <f>COUNTIF(#REF!,Tabela2[[#This Row],[KOD_PRODUKTU]])</f>
        <v>#REF!</v>
      </c>
    </row>
    <row r="2559" spans="1:13" x14ac:dyDescent="0.25">
      <c r="A2559" s="1" t="s">
        <v>4041</v>
      </c>
      <c r="B2559" t="s">
        <v>4042</v>
      </c>
      <c r="C2559" s="1" t="s">
        <v>4039</v>
      </c>
      <c r="D2559" s="1" t="s">
        <v>4039</v>
      </c>
      <c r="E2559" s="1" t="s">
        <v>4039</v>
      </c>
      <c r="F2559" t="s">
        <v>4040</v>
      </c>
      <c r="G2559" t="s">
        <v>216</v>
      </c>
      <c r="H2559" t="s">
        <v>17</v>
      </c>
      <c r="I2559" t="s">
        <v>33</v>
      </c>
      <c r="J2559">
        <v>1.4</v>
      </c>
      <c r="K2559" t="e">
        <f>IF(COUNTIF(#REF!,Tabela2[[#This Row],[IdxWspolny]])&gt;0,"ELEM_lub_PRD","TECHN")</f>
        <v>#REF!</v>
      </c>
      <c r="L2559" t="e">
        <f>IF(COUNTIF(#REF!,Tabela2[[#This Row],[KOD_PRODUKTU]])&gt;0,"ELEMENT","PRODUKT")</f>
        <v>#REF!</v>
      </c>
      <c r="M2559" t="e">
        <f>COUNTIF(#REF!,Tabela2[[#This Row],[KOD_PRODUKTU]])</f>
        <v>#REF!</v>
      </c>
    </row>
    <row r="2560" spans="1:13" x14ac:dyDescent="0.25">
      <c r="A2560" s="1" t="s">
        <v>4041</v>
      </c>
      <c r="B2560" t="s">
        <v>4042</v>
      </c>
      <c r="C2560" s="1" t="s">
        <v>541</v>
      </c>
      <c r="D2560" s="1" t="s">
        <v>541</v>
      </c>
      <c r="E2560" s="1" t="s">
        <v>541</v>
      </c>
      <c r="F2560" t="s">
        <v>542</v>
      </c>
      <c r="G2560" t="s">
        <v>9</v>
      </c>
      <c r="H2560" t="s">
        <v>10</v>
      </c>
      <c r="I2560" t="s">
        <v>3514</v>
      </c>
      <c r="J2560">
        <v>4.8499999999999996</v>
      </c>
      <c r="K2560" t="e">
        <f>IF(COUNTIF(#REF!,Tabela2[[#This Row],[IdxWspolny]])&gt;0,"ELEM_lub_PRD","TECHN")</f>
        <v>#REF!</v>
      </c>
      <c r="L2560" t="e">
        <f>IF(COUNTIF(#REF!,Tabela2[[#This Row],[KOD_PRODUKTU]])&gt;0,"ELEMENT","PRODUKT")</f>
        <v>#REF!</v>
      </c>
      <c r="M2560" t="e">
        <f>COUNTIF(#REF!,Tabela2[[#This Row],[KOD_PRODUKTU]])</f>
        <v>#REF!</v>
      </c>
    </row>
    <row r="2561" spans="1:13" x14ac:dyDescent="0.25">
      <c r="A2561" s="1" t="s">
        <v>4043</v>
      </c>
      <c r="B2561" t="s">
        <v>4044</v>
      </c>
      <c r="C2561" s="1" t="s">
        <v>4039</v>
      </c>
      <c r="D2561" s="1" t="s">
        <v>4039</v>
      </c>
      <c r="E2561" s="1" t="s">
        <v>4039</v>
      </c>
      <c r="F2561" t="s">
        <v>4040</v>
      </c>
      <c r="G2561" t="s">
        <v>216</v>
      </c>
      <c r="H2561" t="s">
        <v>17</v>
      </c>
      <c r="I2561" t="s">
        <v>992</v>
      </c>
      <c r="J2561">
        <v>2.1</v>
      </c>
      <c r="K2561" t="e">
        <f>IF(COUNTIF(#REF!,Tabela2[[#This Row],[IdxWspolny]])&gt;0,"ELEM_lub_PRD","TECHN")</f>
        <v>#REF!</v>
      </c>
      <c r="L2561" t="e">
        <f>IF(COUNTIF(#REF!,Tabela2[[#This Row],[KOD_PRODUKTU]])&gt;0,"ELEMENT","PRODUKT")</f>
        <v>#REF!</v>
      </c>
      <c r="M2561" t="e">
        <f>COUNTIF(#REF!,Tabela2[[#This Row],[KOD_PRODUKTU]])</f>
        <v>#REF!</v>
      </c>
    </row>
    <row r="2562" spans="1:13" x14ac:dyDescent="0.25">
      <c r="A2562" s="1" t="s">
        <v>4043</v>
      </c>
      <c r="B2562" t="s">
        <v>4044</v>
      </c>
      <c r="C2562" s="1" t="s">
        <v>541</v>
      </c>
      <c r="D2562" s="1" t="s">
        <v>541</v>
      </c>
      <c r="E2562" s="1" t="s">
        <v>541</v>
      </c>
      <c r="F2562" t="s">
        <v>542</v>
      </c>
      <c r="G2562" t="s">
        <v>9</v>
      </c>
      <c r="H2562" t="s">
        <v>10</v>
      </c>
      <c r="I2562" t="s">
        <v>3514</v>
      </c>
      <c r="J2562">
        <v>4.8499999999999996</v>
      </c>
      <c r="K2562" t="e">
        <f>IF(COUNTIF(#REF!,Tabela2[[#This Row],[IdxWspolny]])&gt;0,"ELEM_lub_PRD","TECHN")</f>
        <v>#REF!</v>
      </c>
      <c r="L2562" t="e">
        <f>IF(COUNTIF(#REF!,Tabela2[[#This Row],[KOD_PRODUKTU]])&gt;0,"ELEMENT","PRODUKT")</f>
        <v>#REF!</v>
      </c>
      <c r="M2562" t="e">
        <f>COUNTIF(#REF!,Tabela2[[#This Row],[KOD_PRODUKTU]])</f>
        <v>#REF!</v>
      </c>
    </row>
    <row r="2563" spans="1:13" x14ac:dyDescent="0.25">
      <c r="A2563" s="1" t="s">
        <v>4045</v>
      </c>
      <c r="B2563" t="s">
        <v>4046</v>
      </c>
      <c r="C2563" s="1" t="s">
        <v>1047</v>
      </c>
      <c r="D2563" s="1" t="s">
        <v>1047</v>
      </c>
      <c r="E2563" s="1" t="s">
        <v>1047</v>
      </c>
      <c r="F2563" t="s">
        <v>1048</v>
      </c>
      <c r="G2563" t="s">
        <v>1434</v>
      </c>
      <c r="H2563" t="s">
        <v>17</v>
      </c>
      <c r="I2563" t="s">
        <v>4047</v>
      </c>
      <c r="J2563">
        <v>12.57</v>
      </c>
      <c r="K2563" t="e">
        <f>IF(COUNTIF(#REF!,Tabela2[[#This Row],[IdxWspolny]])&gt;0,"ELEM_lub_PRD","TECHN")</f>
        <v>#REF!</v>
      </c>
      <c r="L2563" t="e">
        <f>IF(COUNTIF(#REF!,Tabela2[[#This Row],[KOD_PRODUKTU]])&gt;0,"ELEMENT","PRODUKT")</f>
        <v>#REF!</v>
      </c>
      <c r="M2563" t="e">
        <f>COUNTIF(#REF!,Tabela2[[#This Row],[KOD_PRODUKTU]])</f>
        <v>#REF!</v>
      </c>
    </row>
    <row r="2564" spans="1:13" x14ac:dyDescent="0.25">
      <c r="A2564" s="1" t="s">
        <v>4045</v>
      </c>
      <c r="B2564" t="s">
        <v>4046</v>
      </c>
      <c r="C2564" s="1" t="s">
        <v>541</v>
      </c>
      <c r="D2564" s="1" t="s">
        <v>541</v>
      </c>
      <c r="E2564" s="1" t="s">
        <v>541</v>
      </c>
      <c r="F2564" t="s">
        <v>542</v>
      </c>
      <c r="G2564" t="s">
        <v>9</v>
      </c>
      <c r="H2564" t="s">
        <v>10</v>
      </c>
      <c r="I2564" t="s">
        <v>4048</v>
      </c>
      <c r="J2564">
        <v>5.6</v>
      </c>
      <c r="K2564" t="e">
        <f>IF(COUNTIF(#REF!,Tabela2[[#This Row],[IdxWspolny]])&gt;0,"ELEM_lub_PRD","TECHN")</f>
        <v>#REF!</v>
      </c>
      <c r="L2564" t="e">
        <f>IF(COUNTIF(#REF!,Tabela2[[#This Row],[KOD_PRODUKTU]])&gt;0,"ELEMENT","PRODUKT")</f>
        <v>#REF!</v>
      </c>
      <c r="M2564" t="e">
        <f>COUNTIF(#REF!,Tabela2[[#This Row],[KOD_PRODUKTU]])</f>
        <v>#REF!</v>
      </c>
    </row>
    <row r="2565" spans="1:13" x14ac:dyDescent="0.25">
      <c r="A2565" s="1" t="s">
        <v>4049</v>
      </c>
      <c r="B2565" t="s">
        <v>4050</v>
      </c>
      <c r="C2565" s="1" t="s">
        <v>1047</v>
      </c>
      <c r="D2565" s="1" t="s">
        <v>1047</v>
      </c>
      <c r="E2565" s="1" t="s">
        <v>1047</v>
      </c>
      <c r="F2565" t="s">
        <v>1048</v>
      </c>
      <c r="G2565" t="s">
        <v>1434</v>
      </c>
      <c r="H2565" t="s">
        <v>17</v>
      </c>
      <c r="I2565" t="s">
        <v>3047</v>
      </c>
      <c r="J2565">
        <v>4.33</v>
      </c>
      <c r="K2565" t="e">
        <f>IF(COUNTIF(#REF!,Tabela2[[#This Row],[IdxWspolny]])&gt;0,"ELEM_lub_PRD","TECHN")</f>
        <v>#REF!</v>
      </c>
      <c r="L2565" t="e">
        <f>IF(COUNTIF(#REF!,Tabela2[[#This Row],[KOD_PRODUKTU]])&gt;0,"ELEMENT","PRODUKT")</f>
        <v>#REF!</v>
      </c>
      <c r="M2565" t="e">
        <f>COUNTIF(#REF!,Tabela2[[#This Row],[KOD_PRODUKTU]])</f>
        <v>#REF!</v>
      </c>
    </row>
    <row r="2566" spans="1:13" x14ac:dyDescent="0.25">
      <c r="A2566" s="1" t="s">
        <v>4049</v>
      </c>
      <c r="B2566" t="s">
        <v>4050</v>
      </c>
      <c r="C2566" s="1" t="s">
        <v>541</v>
      </c>
      <c r="D2566" s="1" t="s">
        <v>541</v>
      </c>
      <c r="E2566" s="1" t="s">
        <v>541</v>
      </c>
      <c r="F2566" t="s">
        <v>542</v>
      </c>
      <c r="G2566" t="s">
        <v>9</v>
      </c>
      <c r="H2566" t="s">
        <v>10</v>
      </c>
      <c r="I2566" t="s">
        <v>3047</v>
      </c>
      <c r="J2566">
        <v>4.83</v>
      </c>
      <c r="K2566" t="e">
        <f>IF(COUNTIF(#REF!,Tabela2[[#This Row],[IdxWspolny]])&gt;0,"ELEM_lub_PRD","TECHN")</f>
        <v>#REF!</v>
      </c>
      <c r="L2566" t="e">
        <f>IF(COUNTIF(#REF!,Tabela2[[#This Row],[KOD_PRODUKTU]])&gt;0,"ELEMENT","PRODUKT")</f>
        <v>#REF!</v>
      </c>
      <c r="M2566" t="e">
        <f>COUNTIF(#REF!,Tabela2[[#This Row],[KOD_PRODUKTU]])</f>
        <v>#REF!</v>
      </c>
    </row>
    <row r="2567" spans="1:13" x14ac:dyDescent="0.25">
      <c r="A2567" s="1" t="s">
        <v>4051</v>
      </c>
      <c r="B2567" t="s">
        <v>4052</v>
      </c>
      <c r="C2567" s="1" t="s">
        <v>1047</v>
      </c>
      <c r="D2567" s="1" t="s">
        <v>1047</v>
      </c>
      <c r="E2567" s="1" t="s">
        <v>1047</v>
      </c>
      <c r="F2567" t="s">
        <v>1048</v>
      </c>
      <c r="G2567" t="s">
        <v>1434</v>
      </c>
      <c r="H2567" t="s">
        <v>17</v>
      </c>
      <c r="I2567" t="s">
        <v>4053</v>
      </c>
      <c r="J2567">
        <v>16.05</v>
      </c>
      <c r="K2567" t="e">
        <f>IF(COUNTIF(#REF!,Tabela2[[#This Row],[IdxWspolny]])&gt;0,"ELEM_lub_PRD","TECHN")</f>
        <v>#REF!</v>
      </c>
      <c r="L2567" t="e">
        <f>IF(COUNTIF(#REF!,Tabela2[[#This Row],[KOD_PRODUKTU]])&gt;0,"ELEMENT","PRODUKT")</f>
        <v>#REF!</v>
      </c>
      <c r="M2567" t="e">
        <f>COUNTIF(#REF!,Tabela2[[#This Row],[KOD_PRODUKTU]])</f>
        <v>#REF!</v>
      </c>
    </row>
    <row r="2568" spans="1:13" x14ac:dyDescent="0.25">
      <c r="A2568" s="1" t="s">
        <v>4051</v>
      </c>
      <c r="B2568" t="s">
        <v>4052</v>
      </c>
      <c r="C2568" s="1" t="s">
        <v>541</v>
      </c>
      <c r="D2568" s="1" t="s">
        <v>541</v>
      </c>
      <c r="E2568" s="1" t="s">
        <v>541</v>
      </c>
      <c r="F2568" t="s">
        <v>542</v>
      </c>
      <c r="G2568" t="s">
        <v>9</v>
      </c>
      <c r="H2568" t="s">
        <v>10</v>
      </c>
      <c r="I2568" t="s">
        <v>3047</v>
      </c>
      <c r="J2568">
        <v>4.83</v>
      </c>
      <c r="K2568" t="e">
        <f>IF(COUNTIF(#REF!,Tabela2[[#This Row],[IdxWspolny]])&gt;0,"ELEM_lub_PRD","TECHN")</f>
        <v>#REF!</v>
      </c>
      <c r="L2568" t="e">
        <f>IF(COUNTIF(#REF!,Tabela2[[#This Row],[KOD_PRODUKTU]])&gt;0,"ELEMENT","PRODUKT")</f>
        <v>#REF!</v>
      </c>
      <c r="M2568" t="e">
        <f>COUNTIF(#REF!,Tabela2[[#This Row],[KOD_PRODUKTU]])</f>
        <v>#REF!</v>
      </c>
    </row>
    <row r="2569" spans="1:13" x14ac:dyDescent="0.25">
      <c r="A2569" s="1" t="s">
        <v>4054</v>
      </c>
      <c r="B2569" t="s">
        <v>4055</v>
      </c>
      <c r="C2569" s="1" t="s">
        <v>1047</v>
      </c>
      <c r="D2569" s="1" t="s">
        <v>1047</v>
      </c>
      <c r="E2569" s="1" t="s">
        <v>1047</v>
      </c>
      <c r="F2569" t="s">
        <v>1048</v>
      </c>
      <c r="G2569" t="s">
        <v>1434</v>
      </c>
      <c r="H2569" t="s">
        <v>17</v>
      </c>
      <c r="I2569" t="s">
        <v>4056</v>
      </c>
      <c r="J2569">
        <v>6.07</v>
      </c>
      <c r="K2569" t="e">
        <f>IF(COUNTIF(#REF!,Tabela2[[#This Row],[IdxWspolny]])&gt;0,"ELEM_lub_PRD","TECHN")</f>
        <v>#REF!</v>
      </c>
      <c r="L2569" t="e">
        <f>IF(COUNTIF(#REF!,Tabela2[[#This Row],[KOD_PRODUKTU]])&gt;0,"ELEMENT","PRODUKT")</f>
        <v>#REF!</v>
      </c>
      <c r="M2569" t="e">
        <f>COUNTIF(#REF!,Tabela2[[#This Row],[KOD_PRODUKTU]])</f>
        <v>#REF!</v>
      </c>
    </row>
    <row r="2570" spans="1:13" x14ac:dyDescent="0.25">
      <c r="A2570" s="1" t="s">
        <v>4054</v>
      </c>
      <c r="B2570" t="s">
        <v>4055</v>
      </c>
      <c r="C2570" s="1" t="s">
        <v>541</v>
      </c>
      <c r="D2570" s="1" t="s">
        <v>541</v>
      </c>
      <c r="E2570" s="1" t="s">
        <v>541</v>
      </c>
      <c r="F2570" t="s">
        <v>542</v>
      </c>
      <c r="G2570" t="s">
        <v>9</v>
      </c>
      <c r="H2570" t="s">
        <v>10</v>
      </c>
      <c r="I2570" t="s">
        <v>3047</v>
      </c>
      <c r="J2570">
        <v>4.83</v>
      </c>
      <c r="K2570" t="e">
        <f>IF(COUNTIF(#REF!,Tabela2[[#This Row],[IdxWspolny]])&gt;0,"ELEM_lub_PRD","TECHN")</f>
        <v>#REF!</v>
      </c>
      <c r="L2570" t="e">
        <f>IF(COUNTIF(#REF!,Tabela2[[#This Row],[KOD_PRODUKTU]])&gt;0,"ELEMENT","PRODUKT")</f>
        <v>#REF!</v>
      </c>
      <c r="M2570" t="e">
        <f>COUNTIF(#REF!,Tabela2[[#This Row],[KOD_PRODUKTU]])</f>
        <v>#REF!</v>
      </c>
    </row>
    <row r="2571" spans="1:13" x14ac:dyDescent="0.25">
      <c r="A2571" s="1" t="s">
        <v>4057</v>
      </c>
      <c r="B2571" t="s">
        <v>4058</v>
      </c>
      <c r="C2571" s="1" t="s">
        <v>1047</v>
      </c>
      <c r="D2571" s="1" t="s">
        <v>1047</v>
      </c>
      <c r="E2571" s="1" t="s">
        <v>1047</v>
      </c>
      <c r="F2571" t="s">
        <v>1048</v>
      </c>
      <c r="G2571" t="s">
        <v>1434</v>
      </c>
      <c r="H2571" t="s">
        <v>17</v>
      </c>
      <c r="I2571" t="s">
        <v>4059</v>
      </c>
      <c r="J2571">
        <v>2.68</v>
      </c>
      <c r="K2571" t="e">
        <f>IF(COUNTIF(#REF!,Tabela2[[#This Row],[IdxWspolny]])&gt;0,"ELEM_lub_PRD","TECHN")</f>
        <v>#REF!</v>
      </c>
      <c r="L2571" t="e">
        <f>IF(COUNTIF(#REF!,Tabela2[[#This Row],[KOD_PRODUKTU]])&gt;0,"ELEMENT","PRODUKT")</f>
        <v>#REF!</v>
      </c>
      <c r="M2571" t="e">
        <f>COUNTIF(#REF!,Tabela2[[#This Row],[KOD_PRODUKTU]])</f>
        <v>#REF!</v>
      </c>
    </row>
    <row r="2572" spans="1:13" x14ac:dyDescent="0.25">
      <c r="A2572" s="1" t="s">
        <v>4057</v>
      </c>
      <c r="B2572" t="s">
        <v>4058</v>
      </c>
      <c r="C2572" s="1" t="s">
        <v>541</v>
      </c>
      <c r="D2572" s="1" t="s">
        <v>541</v>
      </c>
      <c r="E2572" s="1" t="s">
        <v>541</v>
      </c>
      <c r="F2572" t="s">
        <v>542</v>
      </c>
      <c r="G2572" t="s">
        <v>9</v>
      </c>
      <c r="H2572" t="s">
        <v>10</v>
      </c>
      <c r="I2572" t="s">
        <v>4060</v>
      </c>
      <c r="J2572">
        <v>5.55</v>
      </c>
      <c r="K2572" t="e">
        <f>IF(COUNTIF(#REF!,Tabela2[[#This Row],[IdxWspolny]])&gt;0,"ELEM_lub_PRD","TECHN")</f>
        <v>#REF!</v>
      </c>
      <c r="L2572" t="e">
        <f>IF(COUNTIF(#REF!,Tabela2[[#This Row],[KOD_PRODUKTU]])&gt;0,"ELEMENT","PRODUKT")</f>
        <v>#REF!</v>
      </c>
      <c r="M2572" t="e">
        <f>COUNTIF(#REF!,Tabela2[[#This Row],[KOD_PRODUKTU]])</f>
        <v>#REF!</v>
      </c>
    </row>
    <row r="2573" spans="1:13" x14ac:dyDescent="0.25">
      <c r="A2573" s="1" t="s">
        <v>4061</v>
      </c>
      <c r="B2573" t="s">
        <v>4062</v>
      </c>
      <c r="C2573" s="1" t="s">
        <v>1094</v>
      </c>
      <c r="D2573" s="1" t="s">
        <v>1094</v>
      </c>
      <c r="E2573" s="1" t="s">
        <v>1094</v>
      </c>
      <c r="F2573" t="s">
        <v>1095</v>
      </c>
      <c r="G2573" t="s">
        <v>887</v>
      </c>
      <c r="H2573" t="s">
        <v>5</v>
      </c>
      <c r="I2573" t="s">
        <v>1125</v>
      </c>
      <c r="J2573">
        <v>5.03</v>
      </c>
      <c r="K2573" t="e">
        <f>IF(COUNTIF(#REF!,Tabela2[[#This Row],[IdxWspolny]])&gt;0,"ELEM_lub_PRD","TECHN")</f>
        <v>#REF!</v>
      </c>
      <c r="L2573" t="e">
        <f>IF(COUNTIF(#REF!,Tabela2[[#This Row],[KOD_PRODUKTU]])&gt;0,"ELEMENT","PRODUKT")</f>
        <v>#REF!</v>
      </c>
      <c r="M2573" t="e">
        <f>COUNTIF(#REF!,Tabela2[[#This Row],[KOD_PRODUKTU]])</f>
        <v>#REF!</v>
      </c>
    </row>
    <row r="2574" spans="1:13" x14ac:dyDescent="0.25">
      <c r="A2574" s="1" t="s">
        <v>4061</v>
      </c>
      <c r="B2574" t="s">
        <v>4062</v>
      </c>
      <c r="C2574" s="1" t="s">
        <v>541</v>
      </c>
      <c r="D2574" s="1" t="s">
        <v>541</v>
      </c>
      <c r="E2574" s="1" t="s">
        <v>541</v>
      </c>
      <c r="F2574" t="s">
        <v>542</v>
      </c>
      <c r="G2574" t="s">
        <v>9</v>
      </c>
      <c r="H2574" t="s">
        <v>10</v>
      </c>
      <c r="I2574" t="s">
        <v>3681</v>
      </c>
      <c r="J2574">
        <v>7.22</v>
      </c>
      <c r="K2574" t="e">
        <f>IF(COUNTIF(#REF!,Tabela2[[#This Row],[IdxWspolny]])&gt;0,"ELEM_lub_PRD","TECHN")</f>
        <v>#REF!</v>
      </c>
      <c r="L2574" t="e">
        <f>IF(COUNTIF(#REF!,Tabela2[[#This Row],[KOD_PRODUKTU]])&gt;0,"ELEMENT","PRODUKT")</f>
        <v>#REF!</v>
      </c>
      <c r="M2574" t="e">
        <f>COUNTIF(#REF!,Tabela2[[#This Row],[KOD_PRODUKTU]])</f>
        <v>#REF!</v>
      </c>
    </row>
    <row r="2575" spans="1:13" x14ac:dyDescent="0.25">
      <c r="A2575" s="1" t="s">
        <v>4063</v>
      </c>
      <c r="B2575" t="s">
        <v>4064</v>
      </c>
      <c r="C2575" s="1" t="s">
        <v>1099</v>
      </c>
      <c r="D2575" s="1" t="s">
        <v>1099</v>
      </c>
      <c r="E2575" s="1" t="s">
        <v>1099</v>
      </c>
      <c r="F2575" t="s">
        <v>1100</v>
      </c>
      <c r="G2575" t="s">
        <v>1101</v>
      </c>
      <c r="H2575" t="s">
        <v>932</v>
      </c>
      <c r="I2575" t="s">
        <v>4065</v>
      </c>
      <c r="J2575">
        <v>3.2</v>
      </c>
      <c r="K2575" t="e">
        <f>IF(COUNTIF(#REF!,Tabela2[[#This Row],[IdxWspolny]])&gt;0,"ELEM_lub_PRD","TECHN")</f>
        <v>#REF!</v>
      </c>
      <c r="L2575" t="e">
        <f>IF(COUNTIF(#REF!,Tabela2[[#This Row],[KOD_PRODUKTU]])&gt;0,"ELEMENT","PRODUKT")</f>
        <v>#REF!</v>
      </c>
      <c r="M2575" t="e">
        <f>COUNTIF(#REF!,Tabela2[[#This Row],[KOD_PRODUKTU]])</f>
        <v>#REF!</v>
      </c>
    </row>
    <row r="2576" spans="1:13" x14ac:dyDescent="0.25">
      <c r="A2576" s="1" t="s">
        <v>4063</v>
      </c>
      <c r="B2576" t="s">
        <v>4064</v>
      </c>
      <c r="C2576" s="1" t="s">
        <v>432</v>
      </c>
      <c r="D2576" s="1" t="s">
        <v>432</v>
      </c>
      <c r="E2576" s="1" t="s">
        <v>432</v>
      </c>
      <c r="F2576" t="s">
        <v>433</v>
      </c>
      <c r="G2576" t="s">
        <v>434</v>
      </c>
      <c r="H2576" t="s">
        <v>435</v>
      </c>
      <c r="I2576" t="s">
        <v>50</v>
      </c>
      <c r="J2576">
        <v>1.1000000000000001</v>
      </c>
      <c r="K2576" t="e">
        <f>IF(COUNTIF(#REF!,Tabela2[[#This Row],[IdxWspolny]])&gt;0,"ELEM_lub_PRD","TECHN")</f>
        <v>#REF!</v>
      </c>
      <c r="L2576" t="e">
        <f>IF(COUNTIF(#REF!,Tabela2[[#This Row],[KOD_PRODUKTU]])&gt;0,"ELEMENT","PRODUKT")</f>
        <v>#REF!</v>
      </c>
      <c r="M2576" t="e">
        <f>COUNTIF(#REF!,Tabela2[[#This Row],[KOD_PRODUKTU]])</f>
        <v>#REF!</v>
      </c>
    </row>
    <row r="2577" spans="1:14" x14ac:dyDescent="0.25">
      <c r="A2577" s="1" t="s">
        <v>4063</v>
      </c>
      <c r="B2577" t="s">
        <v>4064</v>
      </c>
      <c r="C2577" s="1" t="s">
        <v>541</v>
      </c>
      <c r="D2577" s="1" t="s">
        <v>541</v>
      </c>
      <c r="E2577" s="1" t="s">
        <v>541</v>
      </c>
      <c r="F2577" t="s">
        <v>542</v>
      </c>
      <c r="G2577" t="s">
        <v>9</v>
      </c>
      <c r="H2577" t="s">
        <v>10</v>
      </c>
      <c r="I2577" t="s">
        <v>3567</v>
      </c>
      <c r="J2577">
        <v>16.87</v>
      </c>
      <c r="K2577" t="e">
        <f>IF(COUNTIF(#REF!,Tabela2[[#This Row],[IdxWspolny]])&gt;0,"ELEM_lub_PRD","TECHN")</f>
        <v>#REF!</v>
      </c>
      <c r="L2577" t="e">
        <f>IF(COUNTIF(#REF!,Tabela2[[#This Row],[KOD_PRODUKTU]])&gt;0,"ELEMENT","PRODUKT")</f>
        <v>#REF!</v>
      </c>
      <c r="M2577" t="e">
        <f>COUNTIF(#REF!,Tabela2[[#This Row],[KOD_PRODUKTU]])</f>
        <v>#REF!</v>
      </c>
    </row>
    <row r="2578" spans="1:14" x14ac:dyDescent="0.25">
      <c r="A2578" s="1" t="s">
        <v>4066</v>
      </c>
      <c r="B2578" t="s">
        <v>4067</v>
      </c>
      <c r="C2578" s="1" t="s">
        <v>1047</v>
      </c>
      <c r="D2578" s="1" t="s">
        <v>1047</v>
      </c>
      <c r="E2578" s="1" t="s">
        <v>1047</v>
      </c>
      <c r="F2578" t="s">
        <v>1048</v>
      </c>
      <c r="G2578" t="s">
        <v>1434</v>
      </c>
      <c r="H2578" t="s">
        <v>17</v>
      </c>
      <c r="I2578" t="s">
        <v>2696</v>
      </c>
      <c r="J2578">
        <v>5.36</v>
      </c>
      <c r="K2578" t="e">
        <f>IF(COUNTIF(#REF!,Tabela2[[#This Row],[IdxWspolny]])&gt;0,"ELEM_lub_PRD","TECHN")</f>
        <v>#REF!</v>
      </c>
      <c r="L2578" t="e">
        <f>IF(COUNTIF(#REF!,Tabela2[[#This Row],[KOD_PRODUKTU]])&gt;0,"ELEMENT","PRODUKT")</f>
        <v>#REF!</v>
      </c>
      <c r="M2578" t="e">
        <f>COUNTIF(#REF!,Tabela2[[#This Row],[KOD_PRODUKTU]])</f>
        <v>#REF!</v>
      </c>
    </row>
    <row r="2579" spans="1:14" x14ac:dyDescent="0.25">
      <c r="A2579" s="1" t="s">
        <v>4066</v>
      </c>
      <c r="B2579" t="s">
        <v>4067</v>
      </c>
      <c r="C2579" s="1" t="s">
        <v>541</v>
      </c>
      <c r="D2579" s="1" t="s">
        <v>541</v>
      </c>
      <c r="E2579" s="1" t="s">
        <v>541</v>
      </c>
      <c r="F2579" t="s">
        <v>542</v>
      </c>
      <c r="G2579" t="s">
        <v>9</v>
      </c>
      <c r="H2579" t="s">
        <v>10</v>
      </c>
      <c r="I2579" t="s">
        <v>4068</v>
      </c>
      <c r="J2579">
        <v>5.6</v>
      </c>
      <c r="K2579" t="e">
        <f>IF(COUNTIF(#REF!,Tabela2[[#This Row],[IdxWspolny]])&gt;0,"ELEM_lub_PRD","TECHN")</f>
        <v>#REF!</v>
      </c>
      <c r="L2579" t="e">
        <f>IF(COUNTIF(#REF!,Tabela2[[#This Row],[KOD_PRODUKTU]])&gt;0,"ELEMENT","PRODUKT")</f>
        <v>#REF!</v>
      </c>
      <c r="M2579" t="e">
        <f>COUNTIF(#REF!,Tabela2[[#This Row],[KOD_PRODUKTU]])</f>
        <v>#REF!</v>
      </c>
    </row>
    <row r="2580" spans="1:14" x14ac:dyDescent="0.25">
      <c r="A2580" s="1" t="s">
        <v>4069</v>
      </c>
      <c r="B2580" t="s">
        <v>4070</v>
      </c>
      <c r="C2580" s="1" t="s">
        <v>4071</v>
      </c>
      <c r="D2580" s="1" t="s">
        <v>4071</v>
      </c>
      <c r="E2580" s="1" t="s">
        <v>4071</v>
      </c>
      <c r="F2580" t="s">
        <v>4072</v>
      </c>
      <c r="G2580" t="s">
        <v>2963</v>
      </c>
      <c r="H2580" t="s">
        <v>121</v>
      </c>
      <c r="I2580" t="s">
        <v>50</v>
      </c>
      <c r="J2580">
        <v>10.5</v>
      </c>
      <c r="K2580" t="e">
        <f>IF(COUNTIF(#REF!,Tabela2[[#This Row],[IdxWspolny]])&gt;0,"ELEM_lub_PRD","TECHN")</f>
        <v>#REF!</v>
      </c>
      <c r="L2580" t="e">
        <f>IF(COUNTIF(#REF!,Tabela2[[#This Row],[KOD_PRODUKTU]])&gt;0,"ELEMENT","PRODUKT")</f>
        <v>#REF!</v>
      </c>
      <c r="M2580" t="e">
        <f>COUNTIF(#REF!,Tabela2[[#This Row],[KOD_PRODUKTU]])</f>
        <v>#REF!</v>
      </c>
    </row>
    <row r="2581" spans="1:14" x14ac:dyDescent="0.25">
      <c r="A2581" s="1" t="s">
        <v>4069</v>
      </c>
      <c r="B2581" t="s">
        <v>4070</v>
      </c>
      <c r="C2581" s="1" t="s">
        <v>4073</v>
      </c>
      <c r="D2581" s="1" t="s">
        <v>4073</v>
      </c>
      <c r="E2581" s="1" t="s">
        <v>4073</v>
      </c>
      <c r="F2581" t="s">
        <v>4074</v>
      </c>
      <c r="G2581" t="s">
        <v>4075</v>
      </c>
      <c r="H2581" t="s">
        <v>49</v>
      </c>
      <c r="I2581" t="s">
        <v>50</v>
      </c>
      <c r="J2581">
        <v>13.89</v>
      </c>
      <c r="K2581" t="e">
        <f>IF(COUNTIF(#REF!,Tabela2[[#This Row],[IdxWspolny]])&gt;0,"ELEM_lub_PRD","TECHN")</f>
        <v>#REF!</v>
      </c>
      <c r="L2581" t="e">
        <f>IF(COUNTIF(#REF!,Tabela2[[#This Row],[KOD_PRODUKTU]])&gt;0,"ELEMENT","PRODUKT")</f>
        <v>#REF!</v>
      </c>
      <c r="M2581" t="e">
        <f>COUNTIF(#REF!,Tabela2[[#This Row],[KOD_PRODUKTU]])</f>
        <v>#REF!</v>
      </c>
    </row>
    <row r="2582" spans="1:14" x14ac:dyDescent="0.25">
      <c r="A2582" s="1" t="s">
        <v>4069</v>
      </c>
      <c r="B2582" t="s">
        <v>4070</v>
      </c>
      <c r="C2582" s="1" t="s">
        <v>4076</v>
      </c>
      <c r="D2582" s="1" t="s">
        <v>4076</v>
      </c>
      <c r="E2582" s="1" t="s">
        <v>4076</v>
      </c>
      <c r="F2582" t="s">
        <v>4077</v>
      </c>
      <c r="G2582" t="s">
        <v>394</v>
      </c>
      <c r="H2582" t="s">
        <v>49</v>
      </c>
      <c r="I2582" t="s">
        <v>122</v>
      </c>
      <c r="J2582">
        <v>23.4</v>
      </c>
      <c r="K2582" t="e">
        <f>IF(COUNTIF(#REF!,Tabela2[[#This Row],[IdxWspolny]])&gt;0,"ELEM_lub_PRD","TECHN")</f>
        <v>#REF!</v>
      </c>
      <c r="L2582" t="e">
        <f>IF(COUNTIF(#REF!,Tabela2[[#This Row],[KOD_PRODUKTU]])&gt;0,"ELEMENT","PRODUKT")</f>
        <v>#REF!</v>
      </c>
      <c r="M2582" t="e">
        <f>COUNTIF(#REF!,Tabela2[[#This Row],[KOD_PRODUKTU]])</f>
        <v>#REF!</v>
      </c>
    </row>
    <row r="2583" spans="1:14" hidden="1" x14ac:dyDescent="0.25">
      <c r="A2583" s="1" t="s">
        <v>4069</v>
      </c>
      <c r="B2583" t="s">
        <v>4070</v>
      </c>
      <c r="C2583" s="1" t="s">
        <v>4078</v>
      </c>
      <c r="D2583" s="1" t="s">
        <v>4078</v>
      </c>
      <c r="E2583" s="1" t="s">
        <v>4078</v>
      </c>
      <c r="F2583" t="s">
        <v>4079</v>
      </c>
      <c r="G2583" t="s">
        <v>4080</v>
      </c>
      <c r="H2583" t="s">
        <v>49</v>
      </c>
      <c r="I2583" t="s">
        <v>50</v>
      </c>
      <c r="J2583">
        <v>18.13</v>
      </c>
      <c r="K2583" t="e">
        <f>IF(COUNTIF(#REF!,Tabela2[[#This Row],[IdxWspolny]])&gt;0,"ELEM_lub_PRD","TECHN")</f>
        <v>#REF!</v>
      </c>
      <c r="L2583" t="e">
        <f>IF(COUNTIF(#REF!,Tabela2[[#This Row],[KOD_PRODUKTU]])&gt;0,"ELEMENT","PRODUKT")</f>
        <v>#REF!</v>
      </c>
      <c r="M2583" t="e">
        <f>COUNTIF(#REF!,Tabela2[[#This Row],[KOD_PRODUKTU]])</f>
        <v>#REF!</v>
      </c>
      <c r="N2583" t="s">
        <v>55</v>
      </c>
    </row>
    <row r="2584" spans="1:14" x14ac:dyDescent="0.25">
      <c r="A2584" s="1" t="s">
        <v>4069</v>
      </c>
      <c r="B2584" t="s">
        <v>4070</v>
      </c>
      <c r="C2584" s="1" t="s">
        <v>1989</v>
      </c>
      <c r="D2584" s="1" t="s">
        <v>1989</v>
      </c>
      <c r="E2584" s="1" t="s">
        <v>1989</v>
      </c>
      <c r="F2584" t="s">
        <v>1990</v>
      </c>
      <c r="G2584" t="s">
        <v>1991</v>
      </c>
      <c r="H2584" t="s">
        <v>435</v>
      </c>
      <c r="I2584" t="s">
        <v>4081</v>
      </c>
      <c r="J2584">
        <v>1.1200000000000001</v>
      </c>
      <c r="K2584" t="e">
        <f>IF(COUNTIF(#REF!,Tabela2[[#This Row],[IdxWspolny]])&gt;0,"ELEM_lub_PRD","TECHN")</f>
        <v>#REF!</v>
      </c>
      <c r="L2584" t="e">
        <f>IF(COUNTIF(#REF!,Tabela2[[#This Row],[KOD_PRODUKTU]])&gt;0,"ELEMENT","PRODUKT")</f>
        <v>#REF!</v>
      </c>
      <c r="M2584" t="e">
        <f>COUNTIF(#REF!,Tabela2[[#This Row],[KOD_PRODUKTU]])</f>
        <v>#REF!</v>
      </c>
    </row>
    <row r="2585" spans="1:14" x14ac:dyDescent="0.25">
      <c r="A2585" s="1" t="s">
        <v>4069</v>
      </c>
      <c r="B2585" t="s">
        <v>4070</v>
      </c>
      <c r="C2585" s="1" t="s">
        <v>2577</v>
      </c>
      <c r="D2585" s="1" t="s">
        <v>2577</v>
      </c>
      <c r="E2585" s="1" t="s">
        <v>2577</v>
      </c>
      <c r="F2585" t="s">
        <v>2578</v>
      </c>
      <c r="G2585" t="s">
        <v>686</v>
      </c>
      <c r="H2585" t="s">
        <v>49</v>
      </c>
      <c r="I2585" t="s">
        <v>4082</v>
      </c>
      <c r="J2585">
        <v>2.8</v>
      </c>
      <c r="K2585" t="e">
        <f>IF(COUNTIF(#REF!,Tabela2[[#This Row],[IdxWspolny]])&gt;0,"ELEM_lub_PRD","TECHN")</f>
        <v>#REF!</v>
      </c>
      <c r="L2585" t="e">
        <f>IF(COUNTIF(#REF!,Tabela2[[#This Row],[KOD_PRODUKTU]])&gt;0,"ELEMENT","PRODUKT")</f>
        <v>#REF!</v>
      </c>
      <c r="M2585" t="e">
        <f>COUNTIF(#REF!,Tabela2[[#This Row],[KOD_PRODUKTU]])</f>
        <v>#REF!</v>
      </c>
    </row>
    <row r="2586" spans="1:14" x14ac:dyDescent="0.25">
      <c r="A2586" s="1" t="s">
        <v>4069</v>
      </c>
      <c r="B2586" t="s">
        <v>4070</v>
      </c>
      <c r="C2586" s="1" t="s">
        <v>7</v>
      </c>
      <c r="D2586" s="1" t="s">
        <v>7</v>
      </c>
      <c r="E2586" s="1" t="s">
        <v>7</v>
      </c>
      <c r="F2586" t="s">
        <v>8</v>
      </c>
      <c r="G2586" t="s">
        <v>9</v>
      </c>
      <c r="H2586" t="s">
        <v>10</v>
      </c>
      <c r="I2586" t="s">
        <v>4083</v>
      </c>
      <c r="J2586">
        <v>2.37</v>
      </c>
      <c r="K2586" t="e">
        <f>IF(COUNTIF(#REF!,Tabela2[[#This Row],[IdxWspolny]])&gt;0,"ELEM_lub_PRD","TECHN")</f>
        <v>#REF!</v>
      </c>
      <c r="L2586" t="e">
        <f>IF(COUNTIF(#REF!,Tabela2[[#This Row],[KOD_PRODUKTU]])&gt;0,"ELEMENT","PRODUKT")</f>
        <v>#REF!</v>
      </c>
      <c r="M2586" t="e">
        <f>COUNTIF(#REF!,Tabela2[[#This Row],[KOD_PRODUKTU]])</f>
        <v>#REF!</v>
      </c>
    </row>
    <row r="2587" spans="1:14" x14ac:dyDescent="0.25">
      <c r="A2587" s="1" t="s">
        <v>4069</v>
      </c>
      <c r="B2587" t="s">
        <v>4070</v>
      </c>
      <c r="C2587" s="1" t="s">
        <v>7</v>
      </c>
      <c r="D2587" s="1" t="s">
        <v>7</v>
      </c>
      <c r="E2587" s="1" t="s">
        <v>7</v>
      </c>
      <c r="F2587" t="s">
        <v>8</v>
      </c>
      <c r="G2587" t="s">
        <v>9</v>
      </c>
      <c r="H2587" t="s">
        <v>10</v>
      </c>
      <c r="I2587" t="s">
        <v>4084</v>
      </c>
      <c r="J2587">
        <v>4.18</v>
      </c>
      <c r="K2587" t="e">
        <f>IF(COUNTIF(#REF!,Tabela2[[#This Row],[IdxWspolny]])&gt;0,"ELEM_lub_PRD","TECHN")</f>
        <v>#REF!</v>
      </c>
      <c r="L2587" t="e">
        <f>IF(COUNTIF(#REF!,Tabela2[[#This Row],[KOD_PRODUKTU]])&gt;0,"ELEMENT","PRODUKT")</f>
        <v>#REF!</v>
      </c>
      <c r="M2587" t="e">
        <f>COUNTIF(#REF!,Tabela2[[#This Row],[KOD_PRODUKTU]])</f>
        <v>#REF!</v>
      </c>
    </row>
    <row r="2588" spans="1:14" x14ac:dyDescent="0.25">
      <c r="A2588" s="1" t="s">
        <v>4078</v>
      </c>
      <c r="B2588" t="s">
        <v>4079</v>
      </c>
      <c r="C2588" s="1" t="s">
        <v>4085</v>
      </c>
      <c r="D2588" s="1" t="s">
        <v>4085</v>
      </c>
      <c r="E2588" s="1" t="s">
        <v>4085</v>
      </c>
      <c r="F2588" t="s">
        <v>4086</v>
      </c>
      <c r="G2588" t="s">
        <v>1394</v>
      </c>
      <c r="H2588" t="s">
        <v>5</v>
      </c>
      <c r="I2588" t="s">
        <v>3642</v>
      </c>
      <c r="J2588">
        <v>2.8</v>
      </c>
      <c r="K2588" t="e">
        <f>IF(COUNTIF(#REF!,Tabela2[[#This Row],[IdxWspolny]])&gt;0,"ELEM_lub_PRD","TECHN")</f>
        <v>#REF!</v>
      </c>
      <c r="L2588" t="e">
        <f>IF(COUNTIF(#REF!,Tabela2[[#This Row],[KOD_PRODUKTU]])&gt;0,"ELEMENT","PRODUKT")</f>
        <v>#REF!</v>
      </c>
      <c r="M2588" t="e">
        <f>COUNTIF(#REF!,Tabela2[[#This Row],[KOD_PRODUKTU]])</f>
        <v>#REF!</v>
      </c>
    </row>
    <row r="2589" spans="1:14" x14ac:dyDescent="0.25">
      <c r="A2589" s="1" t="s">
        <v>4078</v>
      </c>
      <c r="B2589" t="s">
        <v>4079</v>
      </c>
      <c r="C2589" s="1" t="s">
        <v>7</v>
      </c>
      <c r="D2589" s="1" t="s">
        <v>7</v>
      </c>
      <c r="E2589" s="1" t="s">
        <v>7</v>
      </c>
      <c r="F2589" t="s">
        <v>8</v>
      </c>
      <c r="G2589" t="s">
        <v>9</v>
      </c>
      <c r="H2589" t="s">
        <v>10</v>
      </c>
      <c r="I2589" t="s">
        <v>4087</v>
      </c>
      <c r="J2589">
        <v>15.33</v>
      </c>
      <c r="K2589" t="e">
        <f>IF(COUNTIF(#REF!,Tabela2[[#This Row],[IdxWspolny]])&gt;0,"ELEM_lub_PRD","TECHN")</f>
        <v>#REF!</v>
      </c>
      <c r="L2589" t="e">
        <f>IF(COUNTIF(#REF!,Tabela2[[#This Row],[KOD_PRODUKTU]])&gt;0,"ELEMENT","PRODUKT")</f>
        <v>#REF!</v>
      </c>
      <c r="M2589" t="e">
        <f>COUNTIF(#REF!,Tabela2[[#This Row],[KOD_PRODUKTU]])</f>
        <v>#REF!</v>
      </c>
    </row>
    <row r="2590" spans="1:14" x14ac:dyDescent="0.25">
      <c r="A2590" s="1" t="s">
        <v>4088</v>
      </c>
      <c r="B2590" t="s">
        <v>4089</v>
      </c>
      <c r="C2590" s="1" t="s">
        <v>1047</v>
      </c>
      <c r="D2590" s="1" t="s">
        <v>1047</v>
      </c>
      <c r="E2590" s="1" t="s">
        <v>1047</v>
      </c>
      <c r="F2590" t="s">
        <v>1048</v>
      </c>
      <c r="G2590" t="s">
        <v>1434</v>
      </c>
      <c r="H2590" t="s">
        <v>17</v>
      </c>
      <c r="I2590" t="s">
        <v>4059</v>
      </c>
      <c r="J2590">
        <v>2.68</v>
      </c>
      <c r="K2590" t="e">
        <f>IF(COUNTIF(#REF!,Tabela2[[#This Row],[IdxWspolny]])&gt;0,"ELEM_lub_PRD","TECHN")</f>
        <v>#REF!</v>
      </c>
      <c r="L2590" t="e">
        <f>IF(COUNTIF(#REF!,Tabela2[[#This Row],[KOD_PRODUKTU]])&gt;0,"ELEMENT","PRODUKT")</f>
        <v>#REF!</v>
      </c>
      <c r="M2590" t="e">
        <f>COUNTIF(#REF!,Tabela2[[#This Row],[KOD_PRODUKTU]])</f>
        <v>#REF!</v>
      </c>
    </row>
    <row r="2591" spans="1:14" x14ac:dyDescent="0.25">
      <c r="A2591" s="1" t="s">
        <v>4088</v>
      </c>
      <c r="B2591" t="s">
        <v>4089</v>
      </c>
      <c r="C2591" s="1" t="s">
        <v>541</v>
      </c>
      <c r="D2591" s="1" t="s">
        <v>541</v>
      </c>
      <c r="E2591" s="1" t="s">
        <v>541</v>
      </c>
      <c r="F2591" t="s">
        <v>542</v>
      </c>
      <c r="G2591" t="s">
        <v>9</v>
      </c>
      <c r="H2591" t="s">
        <v>10</v>
      </c>
      <c r="I2591" t="s">
        <v>4060</v>
      </c>
      <c r="J2591">
        <v>5.55</v>
      </c>
      <c r="K2591" t="e">
        <f>IF(COUNTIF(#REF!,Tabela2[[#This Row],[IdxWspolny]])&gt;0,"ELEM_lub_PRD","TECHN")</f>
        <v>#REF!</v>
      </c>
      <c r="L2591" t="e">
        <f>IF(COUNTIF(#REF!,Tabela2[[#This Row],[KOD_PRODUKTU]])&gt;0,"ELEMENT","PRODUKT")</f>
        <v>#REF!</v>
      </c>
      <c r="M2591" t="e">
        <f>COUNTIF(#REF!,Tabela2[[#This Row],[KOD_PRODUKTU]])</f>
        <v>#REF!</v>
      </c>
    </row>
    <row r="2592" spans="1:14" x14ac:dyDescent="0.25">
      <c r="A2592" s="1" t="s">
        <v>4090</v>
      </c>
      <c r="B2592" t="s">
        <v>4091</v>
      </c>
      <c r="C2592" s="1" t="s">
        <v>1094</v>
      </c>
      <c r="D2592" s="1" t="s">
        <v>1094</v>
      </c>
      <c r="E2592" s="1" t="s">
        <v>1094</v>
      </c>
      <c r="F2592" t="s">
        <v>1095</v>
      </c>
      <c r="G2592" t="s">
        <v>887</v>
      </c>
      <c r="H2592" t="s">
        <v>5</v>
      </c>
      <c r="I2592" t="s">
        <v>1125</v>
      </c>
      <c r="J2592">
        <v>5.03</v>
      </c>
      <c r="K2592" t="e">
        <f>IF(COUNTIF(#REF!,Tabela2[[#This Row],[IdxWspolny]])&gt;0,"ELEM_lub_PRD","TECHN")</f>
        <v>#REF!</v>
      </c>
      <c r="L2592" t="e">
        <f>IF(COUNTIF(#REF!,Tabela2[[#This Row],[KOD_PRODUKTU]])&gt;0,"ELEMENT","PRODUKT")</f>
        <v>#REF!</v>
      </c>
      <c r="M2592" t="e">
        <f>COUNTIF(#REF!,Tabela2[[#This Row],[KOD_PRODUKTU]])</f>
        <v>#REF!</v>
      </c>
    </row>
    <row r="2593" spans="1:13" x14ac:dyDescent="0.25">
      <c r="A2593" s="1" t="s">
        <v>4090</v>
      </c>
      <c r="B2593" t="s">
        <v>4091</v>
      </c>
      <c r="C2593" s="1" t="s">
        <v>541</v>
      </c>
      <c r="D2593" s="1" t="s">
        <v>541</v>
      </c>
      <c r="E2593" s="1" t="s">
        <v>541</v>
      </c>
      <c r="F2593" t="s">
        <v>542</v>
      </c>
      <c r="G2593" t="s">
        <v>9</v>
      </c>
      <c r="H2593" t="s">
        <v>10</v>
      </c>
      <c r="I2593" t="s">
        <v>3681</v>
      </c>
      <c r="J2593">
        <v>7.22</v>
      </c>
      <c r="K2593" t="e">
        <f>IF(COUNTIF(#REF!,Tabela2[[#This Row],[IdxWspolny]])&gt;0,"ELEM_lub_PRD","TECHN")</f>
        <v>#REF!</v>
      </c>
      <c r="L2593" t="e">
        <f>IF(COUNTIF(#REF!,Tabela2[[#This Row],[KOD_PRODUKTU]])&gt;0,"ELEMENT","PRODUKT")</f>
        <v>#REF!</v>
      </c>
      <c r="M2593" t="e">
        <f>COUNTIF(#REF!,Tabela2[[#This Row],[KOD_PRODUKTU]])</f>
        <v>#REF!</v>
      </c>
    </row>
    <row r="2594" spans="1:13" x14ac:dyDescent="0.25">
      <c r="A2594" s="1" t="s">
        <v>4092</v>
      </c>
      <c r="B2594" t="s">
        <v>4093</v>
      </c>
      <c r="C2594" s="1" t="s">
        <v>1099</v>
      </c>
      <c r="D2594" s="1" t="s">
        <v>1099</v>
      </c>
      <c r="E2594" s="1" t="s">
        <v>1099</v>
      </c>
      <c r="F2594" t="s">
        <v>1100</v>
      </c>
      <c r="G2594" t="s">
        <v>1101</v>
      </c>
      <c r="H2594" t="s">
        <v>49</v>
      </c>
      <c r="I2594" t="s">
        <v>4065</v>
      </c>
      <c r="J2594">
        <v>3.2</v>
      </c>
      <c r="K2594" t="e">
        <f>IF(COUNTIF(#REF!,Tabela2[[#This Row],[IdxWspolny]])&gt;0,"ELEM_lub_PRD","TECHN")</f>
        <v>#REF!</v>
      </c>
      <c r="L2594" t="e">
        <f>IF(COUNTIF(#REF!,Tabela2[[#This Row],[KOD_PRODUKTU]])&gt;0,"ELEMENT","PRODUKT")</f>
        <v>#REF!</v>
      </c>
      <c r="M2594" t="e">
        <f>COUNTIF(#REF!,Tabela2[[#This Row],[KOD_PRODUKTU]])</f>
        <v>#REF!</v>
      </c>
    </row>
    <row r="2595" spans="1:13" x14ac:dyDescent="0.25">
      <c r="A2595" s="1" t="s">
        <v>4092</v>
      </c>
      <c r="B2595" t="s">
        <v>4093</v>
      </c>
      <c r="C2595" s="1" t="s">
        <v>432</v>
      </c>
      <c r="D2595" s="1" t="s">
        <v>432</v>
      </c>
      <c r="E2595" s="1" t="s">
        <v>432</v>
      </c>
      <c r="F2595" t="s">
        <v>433</v>
      </c>
      <c r="G2595" t="s">
        <v>434</v>
      </c>
      <c r="H2595" t="s">
        <v>435</v>
      </c>
      <c r="I2595" t="s">
        <v>50</v>
      </c>
      <c r="J2595">
        <v>1.1000000000000001</v>
      </c>
      <c r="K2595" t="e">
        <f>IF(COUNTIF(#REF!,Tabela2[[#This Row],[IdxWspolny]])&gt;0,"ELEM_lub_PRD","TECHN")</f>
        <v>#REF!</v>
      </c>
      <c r="L2595" t="e">
        <f>IF(COUNTIF(#REF!,Tabela2[[#This Row],[KOD_PRODUKTU]])&gt;0,"ELEMENT","PRODUKT")</f>
        <v>#REF!</v>
      </c>
      <c r="M2595" t="e">
        <f>COUNTIF(#REF!,Tabela2[[#This Row],[KOD_PRODUKTU]])</f>
        <v>#REF!</v>
      </c>
    </row>
    <row r="2596" spans="1:13" x14ac:dyDescent="0.25">
      <c r="A2596" s="1" t="s">
        <v>4092</v>
      </c>
      <c r="B2596" t="s">
        <v>4093</v>
      </c>
      <c r="C2596" s="1" t="s">
        <v>541</v>
      </c>
      <c r="D2596" s="1" t="s">
        <v>541</v>
      </c>
      <c r="E2596" s="1" t="s">
        <v>541</v>
      </c>
      <c r="F2596" t="s">
        <v>542</v>
      </c>
      <c r="G2596" t="s">
        <v>9</v>
      </c>
      <c r="H2596" t="s">
        <v>10</v>
      </c>
      <c r="I2596" t="s">
        <v>3567</v>
      </c>
      <c r="J2596">
        <v>16.87</v>
      </c>
      <c r="K2596" t="e">
        <f>IF(COUNTIF(#REF!,Tabela2[[#This Row],[IdxWspolny]])&gt;0,"ELEM_lub_PRD","TECHN")</f>
        <v>#REF!</v>
      </c>
      <c r="L2596" t="e">
        <f>IF(COUNTIF(#REF!,Tabela2[[#This Row],[KOD_PRODUKTU]])&gt;0,"ELEMENT","PRODUKT")</f>
        <v>#REF!</v>
      </c>
      <c r="M2596" t="e">
        <f>COUNTIF(#REF!,Tabela2[[#This Row],[KOD_PRODUKTU]])</f>
        <v>#REF!</v>
      </c>
    </row>
    <row r="2597" spans="1:13" x14ac:dyDescent="0.25">
      <c r="A2597" s="1" t="s">
        <v>4094</v>
      </c>
      <c r="B2597" t="s">
        <v>4095</v>
      </c>
      <c r="C2597" s="1" t="s">
        <v>3087</v>
      </c>
      <c r="D2597" s="1" t="s">
        <v>3087</v>
      </c>
      <c r="E2597" s="1" t="s">
        <v>3087</v>
      </c>
      <c r="F2597" t="s">
        <v>3088</v>
      </c>
      <c r="G2597" t="s">
        <v>3089</v>
      </c>
      <c r="H2597" t="s">
        <v>17</v>
      </c>
      <c r="I2597" t="s">
        <v>1338</v>
      </c>
      <c r="J2597">
        <v>110.55</v>
      </c>
      <c r="K2597" t="e">
        <f>IF(COUNTIF(#REF!,Tabela2[[#This Row],[IdxWspolny]])&gt;0,"ELEM_lub_PRD","TECHN")</f>
        <v>#REF!</v>
      </c>
      <c r="L2597" t="e">
        <f>IF(COUNTIF(#REF!,Tabela2[[#This Row],[KOD_PRODUKTU]])&gt;0,"ELEMENT","PRODUKT")</f>
        <v>#REF!</v>
      </c>
      <c r="M2597" t="e">
        <f>COUNTIF(#REF!,Tabela2[[#This Row],[KOD_PRODUKTU]])</f>
        <v>#REF!</v>
      </c>
    </row>
    <row r="2598" spans="1:13" x14ac:dyDescent="0.25">
      <c r="A2598" s="1" t="s">
        <v>4094</v>
      </c>
      <c r="B2598" t="s">
        <v>4095</v>
      </c>
      <c r="C2598" s="1" t="s">
        <v>7</v>
      </c>
      <c r="D2598" s="1" t="s">
        <v>7</v>
      </c>
      <c r="E2598" s="1" t="s">
        <v>7</v>
      </c>
      <c r="F2598" t="s">
        <v>8</v>
      </c>
      <c r="G2598" t="s">
        <v>9</v>
      </c>
      <c r="H2598" t="s">
        <v>10</v>
      </c>
      <c r="I2598" t="s">
        <v>4096</v>
      </c>
      <c r="J2598">
        <v>11.71</v>
      </c>
      <c r="K2598" t="e">
        <f>IF(COUNTIF(#REF!,Tabela2[[#This Row],[IdxWspolny]])&gt;0,"ELEM_lub_PRD","TECHN")</f>
        <v>#REF!</v>
      </c>
      <c r="L2598" t="e">
        <f>IF(COUNTIF(#REF!,Tabela2[[#This Row],[KOD_PRODUKTU]])&gt;0,"ELEMENT","PRODUKT")</f>
        <v>#REF!</v>
      </c>
      <c r="M2598" t="e">
        <f>COUNTIF(#REF!,Tabela2[[#This Row],[KOD_PRODUKTU]])</f>
        <v>#REF!</v>
      </c>
    </row>
    <row r="2599" spans="1:13" x14ac:dyDescent="0.25">
      <c r="A2599" s="1" t="s">
        <v>4097</v>
      </c>
      <c r="B2599" t="s">
        <v>4098</v>
      </c>
      <c r="C2599" s="1" t="s">
        <v>1041</v>
      </c>
      <c r="D2599" s="1" t="s">
        <v>1041</v>
      </c>
      <c r="E2599" s="1" t="s">
        <v>1041</v>
      </c>
      <c r="F2599" t="s">
        <v>1042</v>
      </c>
      <c r="G2599" t="s">
        <v>712</v>
      </c>
      <c r="H2599" t="s">
        <v>17</v>
      </c>
      <c r="I2599" t="s">
        <v>860</v>
      </c>
      <c r="J2599">
        <v>12.5</v>
      </c>
      <c r="K2599" t="e">
        <f>IF(COUNTIF(#REF!,Tabela2[[#This Row],[IdxWspolny]])&gt;0,"ELEM_lub_PRD","TECHN")</f>
        <v>#REF!</v>
      </c>
      <c r="L2599" t="e">
        <f>IF(COUNTIF(#REF!,Tabela2[[#This Row],[KOD_PRODUKTU]])&gt;0,"ELEMENT","PRODUKT")</f>
        <v>#REF!</v>
      </c>
      <c r="M2599" t="e">
        <f>COUNTIF(#REF!,Tabela2[[#This Row],[KOD_PRODUKTU]])</f>
        <v>#REF!</v>
      </c>
    </row>
    <row r="2600" spans="1:13" x14ac:dyDescent="0.25">
      <c r="A2600" s="1" t="s">
        <v>4097</v>
      </c>
      <c r="B2600" t="s">
        <v>4098</v>
      </c>
      <c r="C2600" s="1" t="s">
        <v>541</v>
      </c>
      <c r="D2600" s="1" t="s">
        <v>541</v>
      </c>
      <c r="E2600" s="1" t="s">
        <v>541</v>
      </c>
      <c r="F2600" t="s">
        <v>542</v>
      </c>
      <c r="G2600" t="s">
        <v>9</v>
      </c>
      <c r="H2600" t="s">
        <v>10</v>
      </c>
      <c r="I2600" t="s">
        <v>4099</v>
      </c>
      <c r="J2600">
        <v>4.8899999999999997</v>
      </c>
      <c r="K2600" t="e">
        <f>IF(COUNTIF(#REF!,Tabela2[[#This Row],[IdxWspolny]])&gt;0,"ELEM_lub_PRD","TECHN")</f>
        <v>#REF!</v>
      </c>
      <c r="L2600" t="e">
        <f>IF(COUNTIF(#REF!,Tabela2[[#This Row],[KOD_PRODUKTU]])&gt;0,"ELEMENT","PRODUKT")</f>
        <v>#REF!</v>
      </c>
      <c r="M2600" t="e">
        <f>COUNTIF(#REF!,Tabela2[[#This Row],[KOD_PRODUKTU]])</f>
        <v>#REF!</v>
      </c>
    </row>
    <row r="2601" spans="1:13" x14ac:dyDescent="0.25">
      <c r="A2601" s="1" t="s">
        <v>4100</v>
      </c>
      <c r="B2601" t="s">
        <v>4101</v>
      </c>
      <c r="C2601" s="1" t="s">
        <v>1041</v>
      </c>
      <c r="D2601" s="1" t="s">
        <v>1041</v>
      </c>
      <c r="E2601" s="1" t="s">
        <v>1041</v>
      </c>
      <c r="F2601" t="s">
        <v>1042</v>
      </c>
      <c r="G2601" t="s">
        <v>712</v>
      </c>
      <c r="H2601" t="s">
        <v>17</v>
      </c>
      <c r="I2601" t="s">
        <v>4102</v>
      </c>
      <c r="J2601">
        <v>1.8</v>
      </c>
      <c r="K2601" t="e">
        <f>IF(COUNTIF(#REF!,Tabela2[[#This Row],[IdxWspolny]])&gt;0,"ELEM_lub_PRD","TECHN")</f>
        <v>#REF!</v>
      </c>
      <c r="L2601" t="e">
        <f>IF(COUNTIF(#REF!,Tabela2[[#This Row],[KOD_PRODUKTU]])&gt;0,"ELEMENT","PRODUKT")</f>
        <v>#REF!</v>
      </c>
      <c r="M2601" t="e">
        <f>COUNTIF(#REF!,Tabela2[[#This Row],[KOD_PRODUKTU]])</f>
        <v>#REF!</v>
      </c>
    </row>
    <row r="2602" spans="1:13" x14ac:dyDescent="0.25">
      <c r="A2602" s="1" t="s">
        <v>4100</v>
      </c>
      <c r="B2602" t="s">
        <v>4101</v>
      </c>
      <c r="C2602" s="1" t="s">
        <v>541</v>
      </c>
      <c r="D2602" s="1" t="s">
        <v>541</v>
      </c>
      <c r="E2602" s="1" t="s">
        <v>541</v>
      </c>
      <c r="F2602" t="s">
        <v>542</v>
      </c>
      <c r="G2602" t="s">
        <v>9</v>
      </c>
      <c r="H2602" t="s">
        <v>10</v>
      </c>
      <c r="I2602" t="s">
        <v>4099</v>
      </c>
      <c r="J2602">
        <v>4.8899999999999997</v>
      </c>
      <c r="K2602" t="e">
        <f>IF(COUNTIF(#REF!,Tabela2[[#This Row],[IdxWspolny]])&gt;0,"ELEM_lub_PRD","TECHN")</f>
        <v>#REF!</v>
      </c>
      <c r="L2602" t="e">
        <f>IF(COUNTIF(#REF!,Tabela2[[#This Row],[KOD_PRODUKTU]])&gt;0,"ELEMENT","PRODUKT")</f>
        <v>#REF!</v>
      </c>
      <c r="M2602" t="e">
        <f>COUNTIF(#REF!,Tabela2[[#This Row],[KOD_PRODUKTU]])</f>
        <v>#REF!</v>
      </c>
    </row>
    <row r="2603" spans="1:13" x14ac:dyDescent="0.25">
      <c r="A2603" s="1" t="s">
        <v>4103</v>
      </c>
      <c r="B2603" t="s">
        <v>4104</v>
      </c>
      <c r="C2603" s="1" t="s">
        <v>1041</v>
      </c>
      <c r="D2603" s="1" t="s">
        <v>1041</v>
      </c>
      <c r="E2603" s="1" t="s">
        <v>1041</v>
      </c>
      <c r="F2603" t="s">
        <v>1042</v>
      </c>
      <c r="G2603" t="s">
        <v>712</v>
      </c>
      <c r="H2603" t="s">
        <v>17</v>
      </c>
      <c r="I2603" t="s">
        <v>4105</v>
      </c>
      <c r="J2603">
        <v>5.0999999999999996</v>
      </c>
      <c r="K2603" t="e">
        <f>IF(COUNTIF(#REF!,Tabela2[[#This Row],[IdxWspolny]])&gt;0,"ELEM_lub_PRD","TECHN")</f>
        <v>#REF!</v>
      </c>
      <c r="L2603" t="e">
        <f>IF(COUNTIF(#REF!,Tabela2[[#This Row],[KOD_PRODUKTU]])&gt;0,"ELEMENT","PRODUKT")</f>
        <v>#REF!</v>
      </c>
      <c r="M2603" t="e">
        <f>COUNTIF(#REF!,Tabela2[[#This Row],[KOD_PRODUKTU]])</f>
        <v>#REF!</v>
      </c>
    </row>
    <row r="2604" spans="1:13" x14ac:dyDescent="0.25">
      <c r="A2604" s="1" t="s">
        <v>4103</v>
      </c>
      <c r="B2604" t="s">
        <v>4104</v>
      </c>
      <c r="C2604" s="1" t="s">
        <v>541</v>
      </c>
      <c r="D2604" s="1" t="s">
        <v>541</v>
      </c>
      <c r="E2604" s="1" t="s">
        <v>541</v>
      </c>
      <c r="F2604" t="s">
        <v>542</v>
      </c>
      <c r="G2604" t="s">
        <v>9</v>
      </c>
      <c r="H2604" t="s">
        <v>10</v>
      </c>
      <c r="I2604" t="s">
        <v>4099</v>
      </c>
      <c r="J2604">
        <v>4.8899999999999997</v>
      </c>
      <c r="K2604" t="e">
        <f>IF(COUNTIF(#REF!,Tabela2[[#This Row],[IdxWspolny]])&gt;0,"ELEM_lub_PRD","TECHN")</f>
        <v>#REF!</v>
      </c>
      <c r="L2604" t="e">
        <f>IF(COUNTIF(#REF!,Tabela2[[#This Row],[KOD_PRODUKTU]])&gt;0,"ELEMENT","PRODUKT")</f>
        <v>#REF!</v>
      </c>
      <c r="M2604" t="e">
        <f>COUNTIF(#REF!,Tabela2[[#This Row],[KOD_PRODUKTU]])</f>
        <v>#REF!</v>
      </c>
    </row>
    <row r="2605" spans="1:13" x14ac:dyDescent="0.25">
      <c r="A2605" s="1" t="s">
        <v>4106</v>
      </c>
      <c r="B2605" t="s">
        <v>4107</v>
      </c>
      <c r="C2605" s="1" t="s">
        <v>1041</v>
      </c>
      <c r="D2605" s="1" t="s">
        <v>1041</v>
      </c>
      <c r="E2605" s="1" t="s">
        <v>1041</v>
      </c>
      <c r="F2605" t="s">
        <v>1042</v>
      </c>
      <c r="G2605" t="s">
        <v>712</v>
      </c>
      <c r="H2605" t="s">
        <v>17</v>
      </c>
      <c r="I2605" t="s">
        <v>4108</v>
      </c>
      <c r="J2605">
        <v>6.35</v>
      </c>
      <c r="K2605" t="e">
        <f>IF(COUNTIF(#REF!,Tabela2[[#This Row],[IdxWspolny]])&gt;0,"ELEM_lub_PRD","TECHN")</f>
        <v>#REF!</v>
      </c>
      <c r="L2605" t="e">
        <f>IF(COUNTIF(#REF!,Tabela2[[#This Row],[KOD_PRODUKTU]])&gt;0,"ELEMENT","PRODUKT")</f>
        <v>#REF!</v>
      </c>
      <c r="M2605" t="e">
        <f>COUNTIF(#REF!,Tabela2[[#This Row],[KOD_PRODUKTU]])</f>
        <v>#REF!</v>
      </c>
    </row>
    <row r="2606" spans="1:13" x14ac:dyDescent="0.25">
      <c r="A2606" s="1" t="s">
        <v>4106</v>
      </c>
      <c r="B2606" t="s">
        <v>4107</v>
      </c>
      <c r="C2606" s="1" t="s">
        <v>541</v>
      </c>
      <c r="D2606" s="1" t="s">
        <v>541</v>
      </c>
      <c r="E2606" s="1" t="s">
        <v>541</v>
      </c>
      <c r="F2606" t="s">
        <v>542</v>
      </c>
      <c r="G2606" t="s">
        <v>9</v>
      </c>
      <c r="H2606" t="s">
        <v>10</v>
      </c>
      <c r="I2606" t="s">
        <v>4099</v>
      </c>
      <c r="J2606">
        <v>4.8899999999999997</v>
      </c>
      <c r="K2606" t="e">
        <f>IF(COUNTIF(#REF!,Tabela2[[#This Row],[IdxWspolny]])&gt;0,"ELEM_lub_PRD","TECHN")</f>
        <v>#REF!</v>
      </c>
      <c r="L2606" t="e">
        <f>IF(COUNTIF(#REF!,Tabela2[[#This Row],[KOD_PRODUKTU]])&gt;0,"ELEMENT","PRODUKT")</f>
        <v>#REF!</v>
      </c>
      <c r="M2606" t="e">
        <f>COUNTIF(#REF!,Tabela2[[#This Row],[KOD_PRODUKTU]])</f>
        <v>#REF!</v>
      </c>
    </row>
    <row r="2607" spans="1:13" x14ac:dyDescent="0.25">
      <c r="A2607" s="1" t="s">
        <v>4109</v>
      </c>
      <c r="B2607" t="s">
        <v>4110</v>
      </c>
      <c r="C2607" s="1" t="s">
        <v>1203</v>
      </c>
      <c r="D2607" s="1" t="s">
        <v>1203</v>
      </c>
      <c r="E2607" s="1" t="s">
        <v>1203</v>
      </c>
      <c r="F2607" t="s">
        <v>1204</v>
      </c>
      <c r="G2607" t="s">
        <v>216</v>
      </c>
      <c r="H2607" t="s">
        <v>5</v>
      </c>
      <c r="I2607" t="s">
        <v>4111</v>
      </c>
      <c r="J2607">
        <v>0.3</v>
      </c>
      <c r="K2607" t="e">
        <f>IF(COUNTIF(#REF!,Tabela2[[#This Row],[IdxWspolny]])&gt;0,"ELEM_lub_PRD","TECHN")</f>
        <v>#REF!</v>
      </c>
      <c r="L2607" t="e">
        <f>IF(COUNTIF(#REF!,Tabela2[[#This Row],[KOD_PRODUKTU]])&gt;0,"ELEMENT","PRODUKT")</f>
        <v>#REF!</v>
      </c>
      <c r="M2607" t="e">
        <f>COUNTIF(#REF!,Tabela2[[#This Row],[KOD_PRODUKTU]])</f>
        <v>#REF!</v>
      </c>
    </row>
    <row r="2608" spans="1:13" x14ac:dyDescent="0.25">
      <c r="A2608" s="1" t="s">
        <v>4109</v>
      </c>
      <c r="B2608" t="s">
        <v>4110</v>
      </c>
      <c r="C2608" s="1" t="s">
        <v>432</v>
      </c>
      <c r="D2608" s="1" t="s">
        <v>432</v>
      </c>
      <c r="E2608" s="1" t="s">
        <v>432</v>
      </c>
      <c r="F2608" t="s">
        <v>433</v>
      </c>
      <c r="G2608" t="s">
        <v>434</v>
      </c>
      <c r="H2608" t="s">
        <v>435</v>
      </c>
      <c r="I2608" t="s">
        <v>50</v>
      </c>
      <c r="J2608">
        <v>1.1000000000000001</v>
      </c>
      <c r="K2608" t="e">
        <f>IF(COUNTIF(#REF!,Tabela2[[#This Row],[IdxWspolny]])&gt;0,"ELEM_lub_PRD","TECHN")</f>
        <v>#REF!</v>
      </c>
      <c r="L2608" t="e">
        <f>IF(COUNTIF(#REF!,Tabela2[[#This Row],[KOD_PRODUKTU]])&gt;0,"ELEMENT","PRODUKT")</f>
        <v>#REF!</v>
      </c>
      <c r="M2608" t="e">
        <f>COUNTIF(#REF!,Tabela2[[#This Row],[KOD_PRODUKTU]])</f>
        <v>#REF!</v>
      </c>
    </row>
    <row r="2609" spans="1:13" x14ac:dyDescent="0.25">
      <c r="A2609" s="1" t="s">
        <v>4109</v>
      </c>
      <c r="B2609" t="s">
        <v>4110</v>
      </c>
      <c r="C2609" s="1" t="s">
        <v>541</v>
      </c>
      <c r="D2609" s="1" t="s">
        <v>541</v>
      </c>
      <c r="E2609" s="1" t="s">
        <v>541</v>
      </c>
      <c r="F2609" t="s">
        <v>542</v>
      </c>
      <c r="G2609" t="s">
        <v>9</v>
      </c>
      <c r="H2609" t="s">
        <v>10</v>
      </c>
      <c r="I2609" t="s">
        <v>4112</v>
      </c>
      <c r="J2609">
        <v>11.18</v>
      </c>
      <c r="K2609" t="e">
        <f>IF(COUNTIF(#REF!,Tabela2[[#This Row],[IdxWspolny]])&gt;0,"ELEM_lub_PRD","TECHN")</f>
        <v>#REF!</v>
      </c>
      <c r="L2609" t="e">
        <f>IF(COUNTIF(#REF!,Tabela2[[#This Row],[KOD_PRODUKTU]])&gt;0,"ELEMENT","PRODUKT")</f>
        <v>#REF!</v>
      </c>
      <c r="M2609" t="e">
        <f>COUNTIF(#REF!,Tabela2[[#This Row],[KOD_PRODUKTU]])</f>
        <v>#REF!</v>
      </c>
    </row>
    <row r="2610" spans="1:13" x14ac:dyDescent="0.25">
      <c r="A2610" s="1" t="s">
        <v>4113</v>
      </c>
      <c r="B2610" t="s">
        <v>4114</v>
      </c>
      <c r="C2610" s="1" t="s">
        <v>2463</v>
      </c>
      <c r="D2610" s="1" t="s">
        <v>2463</v>
      </c>
      <c r="E2610" s="1" t="s">
        <v>2463</v>
      </c>
      <c r="F2610" t="s">
        <v>2464</v>
      </c>
      <c r="G2610" t="s">
        <v>216</v>
      </c>
      <c r="H2610" t="s">
        <v>5</v>
      </c>
      <c r="I2610" t="s">
        <v>3040</v>
      </c>
      <c r="J2610">
        <v>4.97</v>
      </c>
      <c r="K2610" t="e">
        <f>IF(COUNTIF(#REF!,Tabela2[[#This Row],[IdxWspolny]])&gt;0,"ELEM_lub_PRD","TECHN")</f>
        <v>#REF!</v>
      </c>
      <c r="L2610" t="e">
        <f>IF(COUNTIF(#REF!,Tabela2[[#This Row],[KOD_PRODUKTU]])&gt;0,"ELEMENT","PRODUKT")</f>
        <v>#REF!</v>
      </c>
      <c r="M2610" t="e">
        <f>COUNTIF(#REF!,Tabela2[[#This Row],[KOD_PRODUKTU]])</f>
        <v>#REF!</v>
      </c>
    </row>
    <row r="2611" spans="1:13" x14ac:dyDescent="0.25">
      <c r="A2611" s="1" t="s">
        <v>4113</v>
      </c>
      <c r="B2611" t="s">
        <v>4114</v>
      </c>
      <c r="C2611" s="1" t="s">
        <v>541</v>
      </c>
      <c r="D2611" s="1" t="s">
        <v>541</v>
      </c>
      <c r="E2611" s="1" t="s">
        <v>541</v>
      </c>
      <c r="F2611" t="s">
        <v>542</v>
      </c>
      <c r="G2611" t="s">
        <v>9</v>
      </c>
      <c r="H2611" t="s">
        <v>10</v>
      </c>
      <c r="I2611" t="s">
        <v>4115</v>
      </c>
      <c r="J2611">
        <v>9.27</v>
      </c>
      <c r="K2611" t="e">
        <f>IF(COUNTIF(#REF!,Tabela2[[#This Row],[IdxWspolny]])&gt;0,"ELEM_lub_PRD","TECHN")</f>
        <v>#REF!</v>
      </c>
      <c r="L2611" t="e">
        <f>IF(COUNTIF(#REF!,Tabela2[[#This Row],[KOD_PRODUKTU]])&gt;0,"ELEMENT","PRODUKT")</f>
        <v>#REF!</v>
      </c>
      <c r="M2611" t="e">
        <f>COUNTIF(#REF!,Tabela2[[#This Row],[KOD_PRODUKTU]])</f>
        <v>#REF!</v>
      </c>
    </row>
    <row r="2612" spans="1:13" x14ac:dyDescent="0.25">
      <c r="A2612" s="1" t="s">
        <v>4116</v>
      </c>
      <c r="B2612" t="s">
        <v>4117</v>
      </c>
      <c r="C2612" s="1" t="s">
        <v>1203</v>
      </c>
      <c r="D2612" s="1" t="s">
        <v>1203</v>
      </c>
      <c r="E2612" s="1" t="s">
        <v>1203</v>
      </c>
      <c r="F2612" t="s">
        <v>1204</v>
      </c>
      <c r="G2612" t="s">
        <v>216</v>
      </c>
      <c r="H2612" t="s">
        <v>5</v>
      </c>
      <c r="I2612" t="s">
        <v>4118</v>
      </c>
      <c r="J2612">
        <v>3.22</v>
      </c>
      <c r="K2612" t="e">
        <f>IF(COUNTIF(#REF!,Tabela2[[#This Row],[IdxWspolny]])&gt;0,"ELEM_lub_PRD","TECHN")</f>
        <v>#REF!</v>
      </c>
      <c r="L2612" t="e">
        <f>IF(COUNTIF(#REF!,Tabela2[[#This Row],[KOD_PRODUKTU]])&gt;0,"ELEMENT","PRODUKT")</f>
        <v>#REF!</v>
      </c>
      <c r="M2612" t="e">
        <f>COUNTIF(#REF!,Tabela2[[#This Row],[KOD_PRODUKTU]])</f>
        <v>#REF!</v>
      </c>
    </row>
    <row r="2613" spans="1:13" x14ac:dyDescent="0.25">
      <c r="A2613" s="1" t="s">
        <v>4116</v>
      </c>
      <c r="B2613" t="s">
        <v>4117</v>
      </c>
      <c r="C2613" s="1" t="s">
        <v>7</v>
      </c>
      <c r="D2613" s="1" t="s">
        <v>7</v>
      </c>
      <c r="E2613" s="1" t="s">
        <v>7</v>
      </c>
      <c r="F2613" t="s">
        <v>8</v>
      </c>
      <c r="G2613" t="s">
        <v>9</v>
      </c>
      <c r="H2613" t="s">
        <v>10</v>
      </c>
      <c r="I2613" t="s">
        <v>4119</v>
      </c>
      <c r="J2613">
        <v>3.18</v>
      </c>
      <c r="K2613" t="e">
        <f>IF(COUNTIF(#REF!,Tabela2[[#This Row],[IdxWspolny]])&gt;0,"ELEM_lub_PRD","TECHN")</f>
        <v>#REF!</v>
      </c>
      <c r="L2613" t="e">
        <f>IF(COUNTIF(#REF!,Tabela2[[#This Row],[KOD_PRODUKTU]])&gt;0,"ELEMENT","PRODUKT")</f>
        <v>#REF!</v>
      </c>
      <c r="M2613" t="e">
        <f>COUNTIF(#REF!,Tabela2[[#This Row],[KOD_PRODUKTU]])</f>
        <v>#REF!</v>
      </c>
    </row>
    <row r="2614" spans="1:13" x14ac:dyDescent="0.25">
      <c r="A2614" s="1" t="s">
        <v>4120</v>
      </c>
      <c r="B2614" t="s">
        <v>4121</v>
      </c>
      <c r="C2614" s="1" t="s">
        <v>2458</v>
      </c>
      <c r="D2614" s="1" t="s">
        <v>2458</v>
      </c>
      <c r="E2614" s="1" t="s">
        <v>2458</v>
      </c>
      <c r="F2614" t="s">
        <v>2459</v>
      </c>
      <c r="G2614" t="s">
        <v>384</v>
      </c>
      <c r="H2614" t="s">
        <v>5</v>
      </c>
      <c r="I2614" t="s">
        <v>3270</v>
      </c>
      <c r="J2614">
        <v>2.7</v>
      </c>
      <c r="K2614" t="e">
        <f>IF(COUNTIF(#REF!,Tabela2[[#This Row],[IdxWspolny]])&gt;0,"ELEM_lub_PRD","TECHN")</f>
        <v>#REF!</v>
      </c>
      <c r="L2614" t="e">
        <f>IF(COUNTIF(#REF!,Tabela2[[#This Row],[KOD_PRODUKTU]])&gt;0,"ELEMENT","PRODUKT")</f>
        <v>#REF!</v>
      </c>
      <c r="M2614" t="e">
        <f>COUNTIF(#REF!,Tabela2[[#This Row],[KOD_PRODUKTU]])</f>
        <v>#REF!</v>
      </c>
    </row>
    <row r="2615" spans="1:13" x14ac:dyDescent="0.25">
      <c r="A2615" s="1" t="s">
        <v>4120</v>
      </c>
      <c r="B2615" t="s">
        <v>4121</v>
      </c>
      <c r="C2615" s="1" t="s">
        <v>541</v>
      </c>
      <c r="D2615" s="1" t="s">
        <v>541</v>
      </c>
      <c r="E2615" s="1" t="s">
        <v>541</v>
      </c>
      <c r="F2615" t="s">
        <v>542</v>
      </c>
      <c r="G2615" t="s">
        <v>9</v>
      </c>
      <c r="H2615" t="s">
        <v>10</v>
      </c>
      <c r="I2615" t="s">
        <v>601</v>
      </c>
      <c r="J2615">
        <v>6.9</v>
      </c>
      <c r="K2615" t="e">
        <f>IF(COUNTIF(#REF!,Tabela2[[#This Row],[IdxWspolny]])&gt;0,"ELEM_lub_PRD","TECHN")</f>
        <v>#REF!</v>
      </c>
      <c r="L2615" t="e">
        <f>IF(COUNTIF(#REF!,Tabela2[[#This Row],[KOD_PRODUKTU]])&gt;0,"ELEMENT","PRODUKT")</f>
        <v>#REF!</v>
      </c>
      <c r="M2615" t="e">
        <f>COUNTIF(#REF!,Tabela2[[#This Row],[KOD_PRODUKTU]])</f>
        <v>#REF!</v>
      </c>
    </row>
    <row r="2616" spans="1:13" x14ac:dyDescent="0.25">
      <c r="A2616" s="1" t="s">
        <v>441</v>
      </c>
      <c r="B2616" t="s">
        <v>442</v>
      </c>
      <c r="C2616" s="1" t="s">
        <v>4122</v>
      </c>
      <c r="D2616" s="1" t="s">
        <v>4122</v>
      </c>
      <c r="E2616" s="1" t="s">
        <v>4122</v>
      </c>
      <c r="F2616" t="s">
        <v>4123</v>
      </c>
      <c r="G2616" t="s">
        <v>4124</v>
      </c>
      <c r="H2616" t="s">
        <v>17</v>
      </c>
      <c r="I2616" t="s">
        <v>4125</v>
      </c>
      <c r="J2616">
        <v>5.98</v>
      </c>
      <c r="K2616" t="e">
        <f>IF(COUNTIF(#REF!,Tabela2[[#This Row],[IdxWspolny]])&gt;0,"ELEM_lub_PRD","TECHN")</f>
        <v>#REF!</v>
      </c>
      <c r="L2616" t="e">
        <f>IF(COUNTIF(#REF!,Tabela2[[#This Row],[KOD_PRODUKTU]])&gt;0,"ELEMENT","PRODUKT")</f>
        <v>#REF!</v>
      </c>
      <c r="M2616" t="e">
        <f>COUNTIF(#REF!,Tabela2[[#This Row],[KOD_PRODUKTU]])</f>
        <v>#REF!</v>
      </c>
    </row>
    <row r="2617" spans="1:13" x14ac:dyDescent="0.25">
      <c r="A2617" s="1" t="s">
        <v>441</v>
      </c>
      <c r="B2617" t="s">
        <v>442</v>
      </c>
      <c r="C2617" s="1" t="s">
        <v>7</v>
      </c>
      <c r="D2617" s="1" t="s">
        <v>7</v>
      </c>
      <c r="E2617" s="1" t="s">
        <v>7</v>
      </c>
      <c r="F2617" t="s">
        <v>8</v>
      </c>
      <c r="G2617" t="s">
        <v>9</v>
      </c>
      <c r="H2617" t="s">
        <v>10</v>
      </c>
      <c r="I2617" t="s">
        <v>33</v>
      </c>
      <c r="J2617">
        <v>9.1999999999999993</v>
      </c>
      <c r="K2617" t="e">
        <f>IF(COUNTIF(#REF!,Tabela2[[#This Row],[IdxWspolny]])&gt;0,"ELEM_lub_PRD","TECHN")</f>
        <v>#REF!</v>
      </c>
      <c r="L2617" t="e">
        <f>IF(COUNTIF(#REF!,Tabela2[[#This Row],[KOD_PRODUKTU]])&gt;0,"ELEMENT","PRODUKT")</f>
        <v>#REF!</v>
      </c>
      <c r="M2617" t="e">
        <f>COUNTIF(#REF!,Tabela2[[#This Row],[KOD_PRODUKTU]])</f>
        <v>#REF!</v>
      </c>
    </row>
    <row r="2618" spans="1:13" x14ac:dyDescent="0.25">
      <c r="A2618" s="1" t="s">
        <v>444</v>
      </c>
      <c r="B2618" t="s">
        <v>445</v>
      </c>
      <c r="C2618" s="1" t="s">
        <v>4122</v>
      </c>
      <c r="D2618" s="1" t="s">
        <v>4122</v>
      </c>
      <c r="E2618" s="1" t="s">
        <v>4122</v>
      </c>
      <c r="F2618" t="s">
        <v>4123</v>
      </c>
      <c r="G2618" t="s">
        <v>4124</v>
      </c>
      <c r="H2618" t="s">
        <v>17</v>
      </c>
      <c r="I2618" t="s">
        <v>4126</v>
      </c>
      <c r="J2618">
        <v>14.1</v>
      </c>
      <c r="K2618" t="e">
        <f>IF(COUNTIF(#REF!,Tabela2[[#This Row],[IdxWspolny]])&gt;0,"ELEM_lub_PRD","TECHN")</f>
        <v>#REF!</v>
      </c>
      <c r="L2618" t="e">
        <f>IF(COUNTIF(#REF!,Tabela2[[#This Row],[KOD_PRODUKTU]])&gt;0,"ELEMENT","PRODUKT")</f>
        <v>#REF!</v>
      </c>
      <c r="M2618" t="e">
        <f>COUNTIF(#REF!,Tabela2[[#This Row],[KOD_PRODUKTU]])</f>
        <v>#REF!</v>
      </c>
    </row>
    <row r="2619" spans="1:13" x14ac:dyDescent="0.25">
      <c r="A2619" s="1" t="s">
        <v>444</v>
      </c>
      <c r="B2619" t="s">
        <v>445</v>
      </c>
      <c r="C2619" s="1" t="s">
        <v>7</v>
      </c>
      <c r="D2619" s="1" t="s">
        <v>7</v>
      </c>
      <c r="E2619" s="1" t="s">
        <v>7</v>
      </c>
      <c r="F2619" t="s">
        <v>8</v>
      </c>
      <c r="G2619" t="s">
        <v>9</v>
      </c>
      <c r="H2619" t="s">
        <v>10</v>
      </c>
      <c r="I2619" t="s">
        <v>2315</v>
      </c>
      <c r="J2619">
        <v>41.4</v>
      </c>
      <c r="K2619" t="e">
        <f>IF(COUNTIF(#REF!,Tabela2[[#This Row],[IdxWspolny]])&gt;0,"ELEM_lub_PRD","TECHN")</f>
        <v>#REF!</v>
      </c>
      <c r="L2619" t="e">
        <f>IF(COUNTIF(#REF!,Tabela2[[#This Row],[KOD_PRODUKTU]])&gt;0,"ELEMENT","PRODUKT")</f>
        <v>#REF!</v>
      </c>
      <c r="M2619" t="e">
        <f>COUNTIF(#REF!,Tabela2[[#This Row],[KOD_PRODUKTU]])</f>
        <v>#REF!</v>
      </c>
    </row>
    <row r="2620" spans="1:13" x14ac:dyDescent="0.25">
      <c r="A2620" s="1" t="s">
        <v>4127</v>
      </c>
      <c r="B2620" t="s">
        <v>4128</v>
      </c>
      <c r="C2620" s="1" t="s">
        <v>1188</v>
      </c>
      <c r="D2620" s="1" t="s">
        <v>1188</v>
      </c>
      <c r="E2620" s="1" t="s">
        <v>1188</v>
      </c>
      <c r="F2620" t="s">
        <v>1189</v>
      </c>
      <c r="G2620" t="s">
        <v>1190</v>
      </c>
      <c r="H2620" t="s">
        <v>5</v>
      </c>
      <c r="I2620" t="s">
        <v>1026</v>
      </c>
      <c r="J2620">
        <v>6.18</v>
      </c>
      <c r="K2620" t="e">
        <f>IF(COUNTIF(#REF!,Tabela2[[#This Row],[IdxWspolny]])&gt;0,"ELEM_lub_PRD","TECHN")</f>
        <v>#REF!</v>
      </c>
      <c r="L2620" t="e">
        <f>IF(COUNTIF(#REF!,Tabela2[[#This Row],[KOD_PRODUKTU]])&gt;0,"ELEMENT","PRODUKT")</f>
        <v>#REF!</v>
      </c>
      <c r="M2620" t="e">
        <f>COUNTIF(#REF!,Tabela2[[#This Row],[KOD_PRODUKTU]])</f>
        <v>#REF!</v>
      </c>
    </row>
    <row r="2621" spans="1:13" x14ac:dyDescent="0.25">
      <c r="A2621" s="1" t="s">
        <v>4127</v>
      </c>
      <c r="B2621" t="s">
        <v>4128</v>
      </c>
      <c r="C2621" s="1" t="s">
        <v>541</v>
      </c>
      <c r="D2621" s="1" t="s">
        <v>541</v>
      </c>
      <c r="E2621" s="1" t="s">
        <v>541</v>
      </c>
      <c r="F2621" t="s">
        <v>542</v>
      </c>
      <c r="G2621" t="s">
        <v>9</v>
      </c>
      <c r="H2621" t="s">
        <v>10</v>
      </c>
      <c r="I2621" t="s">
        <v>3540</v>
      </c>
      <c r="J2621">
        <v>7.25</v>
      </c>
      <c r="K2621" t="e">
        <f>IF(COUNTIF(#REF!,Tabela2[[#This Row],[IdxWspolny]])&gt;0,"ELEM_lub_PRD","TECHN")</f>
        <v>#REF!</v>
      </c>
      <c r="L2621" t="e">
        <f>IF(COUNTIF(#REF!,Tabela2[[#This Row],[KOD_PRODUKTU]])&gt;0,"ELEMENT","PRODUKT")</f>
        <v>#REF!</v>
      </c>
      <c r="M2621" t="e">
        <f>COUNTIF(#REF!,Tabela2[[#This Row],[KOD_PRODUKTU]])</f>
        <v>#REF!</v>
      </c>
    </row>
    <row r="2622" spans="1:13" x14ac:dyDescent="0.25">
      <c r="A2622" s="1" t="s">
        <v>4129</v>
      </c>
      <c r="B2622" t="s">
        <v>4130</v>
      </c>
      <c r="C2622" s="1" t="s">
        <v>1785</v>
      </c>
      <c r="D2622" s="1" t="s">
        <v>1785</v>
      </c>
      <c r="E2622" s="1" t="s">
        <v>1785</v>
      </c>
      <c r="F2622" t="s">
        <v>1786</v>
      </c>
      <c r="G2622" t="s">
        <v>216</v>
      </c>
      <c r="H2622" t="s">
        <v>5</v>
      </c>
      <c r="I2622" t="s">
        <v>33</v>
      </c>
      <c r="J2622">
        <v>1.4</v>
      </c>
      <c r="K2622" t="e">
        <f>IF(COUNTIF(#REF!,Tabela2[[#This Row],[IdxWspolny]])&gt;0,"ELEM_lub_PRD","TECHN")</f>
        <v>#REF!</v>
      </c>
      <c r="L2622" t="e">
        <f>IF(COUNTIF(#REF!,Tabela2[[#This Row],[KOD_PRODUKTU]])&gt;0,"ELEMENT","PRODUKT")</f>
        <v>#REF!</v>
      </c>
      <c r="M2622" t="e">
        <f>COUNTIF(#REF!,Tabela2[[#This Row],[KOD_PRODUKTU]])</f>
        <v>#REF!</v>
      </c>
    </row>
    <row r="2623" spans="1:13" x14ac:dyDescent="0.25">
      <c r="A2623" s="1" t="s">
        <v>4129</v>
      </c>
      <c r="B2623" t="s">
        <v>4130</v>
      </c>
      <c r="C2623" s="1" t="s">
        <v>432</v>
      </c>
      <c r="D2623" s="1" t="s">
        <v>432</v>
      </c>
      <c r="E2623" s="1" t="s">
        <v>432</v>
      </c>
      <c r="F2623" t="s">
        <v>433</v>
      </c>
      <c r="G2623" t="s">
        <v>434</v>
      </c>
      <c r="H2623" t="s">
        <v>435</v>
      </c>
      <c r="I2623" t="s">
        <v>50</v>
      </c>
      <c r="J2623">
        <v>1.1000000000000001</v>
      </c>
      <c r="K2623" t="e">
        <f>IF(COUNTIF(#REF!,Tabela2[[#This Row],[IdxWspolny]])&gt;0,"ELEM_lub_PRD","TECHN")</f>
        <v>#REF!</v>
      </c>
      <c r="L2623" t="e">
        <f>IF(COUNTIF(#REF!,Tabela2[[#This Row],[KOD_PRODUKTU]])&gt;0,"ELEMENT","PRODUKT")</f>
        <v>#REF!</v>
      </c>
      <c r="M2623" t="e">
        <f>COUNTIF(#REF!,Tabela2[[#This Row],[KOD_PRODUKTU]])</f>
        <v>#REF!</v>
      </c>
    </row>
    <row r="2624" spans="1:13" x14ac:dyDescent="0.25">
      <c r="A2624" s="1" t="s">
        <v>4129</v>
      </c>
      <c r="B2624" t="s">
        <v>4130</v>
      </c>
      <c r="C2624" s="1" t="s">
        <v>541</v>
      </c>
      <c r="D2624" s="1" t="s">
        <v>541</v>
      </c>
      <c r="E2624" s="1" t="s">
        <v>541</v>
      </c>
      <c r="F2624" t="s">
        <v>542</v>
      </c>
      <c r="G2624" t="s">
        <v>9</v>
      </c>
      <c r="H2624" t="s">
        <v>10</v>
      </c>
      <c r="I2624" t="s">
        <v>3041</v>
      </c>
      <c r="J2624">
        <v>9.69</v>
      </c>
      <c r="K2624" t="e">
        <f>IF(COUNTIF(#REF!,Tabela2[[#This Row],[IdxWspolny]])&gt;0,"ELEM_lub_PRD","TECHN")</f>
        <v>#REF!</v>
      </c>
      <c r="L2624" t="e">
        <f>IF(COUNTIF(#REF!,Tabela2[[#This Row],[KOD_PRODUKTU]])&gt;0,"ELEMENT","PRODUKT")</f>
        <v>#REF!</v>
      </c>
      <c r="M2624" t="e">
        <f>COUNTIF(#REF!,Tabela2[[#This Row],[KOD_PRODUKTU]])</f>
        <v>#REF!</v>
      </c>
    </row>
    <row r="2625" spans="1:13" x14ac:dyDescent="0.25">
      <c r="A2625" s="1" t="s">
        <v>4131</v>
      </c>
      <c r="B2625" t="s">
        <v>4132</v>
      </c>
      <c r="C2625" s="1" t="s">
        <v>1188</v>
      </c>
      <c r="D2625" s="1" t="s">
        <v>1188</v>
      </c>
      <c r="E2625" s="1" t="s">
        <v>1188</v>
      </c>
      <c r="F2625" t="s">
        <v>1189</v>
      </c>
      <c r="G2625" t="s">
        <v>1190</v>
      </c>
      <c r="H2625" t="s">
        <v>5</v>
      </c>
      <c r="I2625" t="s">
        <v>1026</v>
      </c>
      <c r="J2625">
        <v>6.18</v>
      </c>
      <c r="K2625" t="e">
        <f>IF(COUNTIF(#REF!,Tabela2[[#This Row],[IdxWspolny]])&gt;0,"ELEM_lub_PRD","TECHN")</f>
        <v>#REF!</v>
      </c>
      <c r="L2625" t="e">
        <f>IF(COUNTIF(#REF!,Tabela2[[#This Row],[KOD_PRODUKTU]])&gt;0,"ELEMENT","PRODUKT")</f>
        <v>#REF!</v>
      </c>
      <c r="M2625" t="e">
        <f>COUNTIF(#REF!,Tabela2[[#This Row],[KOD_PRODUKTU]])</f>
        <v>#REF!</v>
      </c>
    </row>
    <row r="2626" spans="1:13" x14ac:dyDescent="0.25">
      <c r="A2626" s="1" t="s">
        <v>4131</v>
      </c>
      <c r="B2626" t="s">
        <v>4132</v>
      </c>
      <c r="C2626" s="1" t="s">
        <v>541</v>
      </c>
      <c r="D2626" s="1" t="s">
        <v>541</v>
      </c>
      <c r="E2626" s="1" t="s">
        <v>541</v>
      </c>
      <c r="F2626" t="s">
        <v>542</v>
      </c>
      <c r="G2626" t="s">
        <v>9</v>
      </c>
      <c r="H2626" t="s">
        <v>10</v>
      </c>
      <c r="I2626" t="s">
        <v>2890</v>
      </c>
      <c r="J2626">
        <v>2.42</v>
      </c>
      <c r="K2626" t="e">
        <f>IF(COUNTIF(#REF!,Tabela2[[#This Row],[IdxWspolny]])&gt;0,"ELEM_lub_PRD","TECHN")</f>
        <v>#REF!</v>
      </c>
      <c r="L2626" t="e">
        <f>IF(COUNTIF(#REF!,Tabela2[[#This Row],[KOD_PRODUKTU]])&gt;0,"ELEMENT","PRODUKT")</f>
        <v>#REF!</v>
      </c>
      <c r="M2626" t="e">
        <f>COUNTIF(#REF!,Tabela2[[#This Row],[KOD_PRODUKTU]])</f>
        <v>#REF!</v>
      </c>
    </row>
    <row r="2627" spans="1:13" x14ac:dyDescent="0.25">
      <c r="A2627" s="1" t="s">
        <v>4131</v>
      </c>
      <c r="B2627" t="s">
        <v>4132</v>
      </c>
      <c r="C2627" s="1" t="s">
        <v>541</v>
      </c>
      <c r="D2627" s="1" t="s">
        <v>541</v>
      </c>
      <c r="E2627" s="1" t="s">
        <v>541</v>
      </c>
      <c r="F2627" t="s">
        <v>542</v>
      </c>
      <c r="G2627" t="s">
        <v>9</v>
      </c>
      <c r="H2627" t="s">
        <v>10</v>
      </c>
      <c r="I2627" t="s">
        <v>3047</v>
      </c>
      <c r="J2627">
        <v>4.83</v>
      </c>
      <c r="K2627" t="e">
        <f>IF(COUNTIF(#REF!,Tabela2[[#This Row],[IdxWspolny]])&gt;0,"ELEM_lub_PRD","TECHN")</f>
        <v>#REF!</v>
      </c>
      <c r="L2627" t="e">
        <f>IF(COUNTIF(#REF!,Tabela2[[#This Row],[KOD_PRODUKTU]])&gt;0,"ELEMENT","PRODUKT")</f>
        <v>#REF!</v>
      </c>
      <c r="M2627" t="e">
        <f>COUNTIF(#REF!,Tabela2[[#This Row],[KOD_PRODUKTU]])</f>
        <v>#REF!</v>
      </c>
    </row>
    <row r="2628" spans="1:13" x14ac:dyDescent="0.25">
      <c r="A2628" s="1" t="s">
        <v>4133</v>
      </c>
      <c r="B2628" t="s">
        <v>4134</v>
      </c>
      <c r="C2628" s="1" t="s">
        <v>1188</v>
      </c>
      <c r="D2628" s="1" t="s">
        <v>1188</v>
      </c>
      <c r="E2628" s="1" t="s">
        <v>1188</v>
      </c>
      <c r="F2628" t="s">
        <v>1189</v>
      </c>
      <c r="G2628" t="s">
        <v>1190</v>
      </c>
      <c r="H2628" t="s">
        <v>5</v>
      </c>
      <c r="I2628" t="s">
        <v>1026</v>
      </c>
      <c r="J2628">
        <v>6.18</v>
      </c>
      <c r="K2628" t="e">
        <f>IF(COUNTIF(#REF!,Tabela2[[#This Row],[IdxWspolny]])&gt;0,"ELEM_lub_PRD","TECHN")</f>
        <v>#REF!</v>
      </c>
      <c r="L2628" t="e">
        <f>IF(COUNTIF(#REF!,Tabela2[[#This Row],[KOD_PRODUKTU]])&gt;0,"ELEMENT","PRODUKT")</f>
        <v>#REF!</v>
      </c>
      <c r="M2628" t="e">
        <f>COUNTIF(#REF!,Tabela2[[#This Row],[KOD_PRODUKTU]])</f>
        <v>#REF!</v>
      </c>
    </row>
    <row r="2629" spans="1:13" x14ac:dyDescent="0.25">
      <c r="A2629" s="1" t="s">
        <v>4133</v>
      </c>
      <c r="B2629" t="s">
        <v>4134</v>
      </c>
      <c r="C2629" s="1" t="s">
        <v>541</v>
      </c>
      <c r="D2629" s="1" t="s">
        <v>541</v>
      </c>
      <c r="E2629" s="1" t="s">
        <v>541</v>
      </c>
      <c r="F2629" t="s">
        <v>542</v>
      </c>
      <c r="G2629" t="s">
        <v>9</v>
      </c>
      <c r="H2629" t="s">
        <v>10</v>
      </c>
      <c r="I2629" t="s">
        <v>3047</v>
      </c>
      <c r="J2629">
        <v>4.83</v>
      </c>
      <c r="K2629" t="e">
        <f>IF(COUNTIF(#REF!,Tabela2[[#This Row],[IdxWspolny]])&gt;0,"ELEM_lub_PRD","TECHN")</f>
        <v>#REF!</v>
      </c>
      <c r="L2629" t="e">
        <f>IF(COUNTIF(#REF!,Tabela2[[#This Row],[KOD_PRODUKTU]])&gt;0,"ELEMENT","PRODUKT")</f>
        <v>#REF!</v>
      </c>
      <c r="M2629" t="e">
        <f>COUNTIF(#REF!,Tabela2[[#This Row],[KOD_PRODUKTU]])</f>
        <v>#REF!</v>
      </c>
    </row>
    <row r="2630" spans="1:13" x14ac:dyDescent="0.25">
      <c r="A2630" s="1" t="s">
        <v>4133</v>
      </c>
      <c r="B2630" t="s">
        <v>4134</v>
      </c>
      <c r="C2630" s="1" t="s">
        <v>541</v>
      </c>
      <c r="D2630" s="1" t="s">
        <v>541</v>
      </c>
      <c r="E2630" s="1" t="s">
        <v>541</v>
      </c>
      <c r="F2630" t="s">
        <v>542</v>
      </c>
      <c r="G2630" t="s">
        <v>9</v>
      </c>
      <c r="H2630" t="s">
        <v>10</v>
      </c>
      <c r="I2630" t="s">
        <v>2890</v>
      </c>
      <c r="J2630">
        <v>2.42</v>
      </c>
      <c r="K2630" t="e">
        <f>IF(COUNTIF(#REF!,Tabela2[[#This Row],[IdxWspolny]])&gt;0,"ELEM_lub_PRD","TECHN")</f>
        <v>#REF!</v>
      </c>
      <c r="L2630" t="e">
        <f>IF(COUNTIF(#REF!,Tabela2[[#This Row],[KOD_PRODUKTU]])&gt;0,"ELEMENT","PRODUKT")</f>
        <v>#REF!</v>
      </c>
      <c r="M2630" t="e">
        <f>COUNTIF(#REF!,Tabela2[[#This Row],[KOD_PRODUKTU]])</f>
        <v>#REF!</v>
      </c>
    </row>
    <row r="2631" spans="1:13" x14ac:dyDescent="0.25">
      <c r="A2631" s="1" t="s">
        <v>4135</v>
      </c>
      <c r="B2631" t="s">
        <v>4136</v>
      </c>
      <c r="C2631" s="1" t="s">
        <v>2</v>
      </c>
      <c r="D2631" s="1" t="s">
        <v>2</v>
      </c>
      <c r="E2631" s="1" t="s">
        <v>2</v>
      </c>
      <c r="F2631" t="s">
        <v>3</v>
      </c>
      <c r="G2631" t="s">
        <v>4</v>
      </c>
      <c r="H2631" t="s">
        <v>5</v>
      </c>
      <c r="I2631" t="s">
        <v>4137</v>
      </c>
      <c r="J2631">
        <v>6.06</v>
      </c>
      <c r="K2631" t="e">
        <f>IF(COUNTIF(#REF!,Tabela2[[#This Row],[IdxWspolny]])&gt;0,"ELEM_lub_PRD","TECHN")</f>
        <v>#REF!</v>
      </c>
      <c r="L2631" t="e">
        <f>IF(COUNTIF(#REF!,Tabela2[[#This Row],[KOD_PRODUKTU]])&gt;0,"ELEMENT","PRODUKT")</f>
        <v>#REF!</v>
      </c>
      <c r="M2631" t="e">
        <f>COUNTIF(#REF!,Tabela2[[#This Row],[KOD_PRODUKTU]])</f>
        <v>#REF!</v>
      </c>
    </row>
    <row r="2632" spans="1:13" x14ac:dyDescent="0.25">
      <c r="A2632" s="1" t="s">
        <v>4135</v>
      </c>
      <c r="B2632" t="s">
        <v>4136</v>
      </c>
      <c r="C2632" s="1" t="s">
        <v>541</v>
      </c>
      <c r="D2632" s="1" t="s">
        <v>541</v>
      </c>
      <c r="E2632" s="1" t="s">
        <v>541</v>
      </c>
      <c r="F2632" t="s">
        <v>542</v>
      </c>
      <c r="G2632" t="s">
        <v>9</v>
      </c>
      <c r="H2632" t="s">
        <v>10</v>
      </c>
      <c r="I2632" t="s">
        <v>3913</v>
      </c>
      <c r="J2632">
        <v>2.48</v>
      </c>
      <c r="K2632" t="e">
        <f>IF(COUNTIF(#REF!,Tabela2[[#This Row],[IdxWspolny]])&gt;0,"ELEM_lub_PRD","TECHN")</f>
        <v>#REF!</v>
      </c>
      <c r="L2632" t="e">
        <f>IF(COUNTIF(#REF!,Tabela2[[#This Row],[KOD_PRODUKTU]])&gt;0,"ELEMENT","PRODUKT")</f>
        <v>#REF!</v>
      </c>
      <c r="M2632" t="e">
        <f>COUNTIF(#REF!,Tabela2[[#This Row],[KOD_PRODUKTU]])</f>
        <v>#REF!</v>
      </c>
    </row>
    <row r="2633" spans="1:13" x14ac:dyDescent="0.25">
      <c r="A2633" s="1" t="s">
        <v>4138</v>
      </c>
      <c r="B2633" t="s">
        <v>4139</v>
      </c>
      <c r="C2633" s="1" t="s">
        <v>1047</v>
      </c>
      <c r="D2633" s="1" t="s">
        <v>1047</v>
      </c>
      <c r="E2633" s="1" t="s">
        <v>1047</v>
      </c>
      <c r="F2633" t="s">
        <v>1048</v>
      </c>
      <c r="G2633" t="s">
        <v>1434</v>
      </c>
      <c r="H2633" t="s">
        <v>17</v>
      </c>
      <c r="I2633" t="s">
        <v>4140</v>
      </c>
      <c r="J2633">
        <v>7.48</v>
      </c>
      <c r="K2633" t="e">
        <f>IF(COUNTIF(#REF!,Tabela2[[#This Row],[IdxWspolny]])&gt;0,"ELEM_lub_PRD","TECHN")</f>
        <v>#REF!</v>
      </c>
      <c r="L2633" t="e">
        <f>IF(COUNTIF(#REF!,Tabela2[[#This Row],[KOD_PRODUKTU]])&gt;0,"ELEMENT","PRODUKT")</f>
        <v>#REF!</v>
      </c>
      <c r="M2633" t="e">
        <f>COUNTIF(#REF!,Tabela2[[#This Row],[KOD_PRODUKTU]])</f>
        <v>#REF!</v>
      </c>
    </row>
    <row r="2634" spans="1:13" x14ac:dyDescent="0.25">
      <c r="A2634" s="1" t="s">
        <v>4138</v>
      </c>
      <c r="B2634" t="s">
        <v>4139</v>
      </c>
      <c r="C2634" s="1" t="s">
        <v>7</v>
      </c>
      <c r="D2634" s="1" t="s">
        <v>7</v>
      </c>
      <c r="E2634" s="1" t="s">
        <v>7</v>
      </c>
      <c r="F2634" t="s">
        <v>8</v>
      </c>
      <c r="G2634" t="s">
        <v>9</v>
      </c>
      <c r="H2634" t="s">
        <v>10</v>
      </c>
      <c r="I2634" t="s">
        <v>4141</v>
      </c>
      <c r="J2634">
        <v>4.92</v>
      </c>
      <c r="K2634" t="e">
        <f>IF(COUNTIF(#REF!,Tabela2[[#This Row],[IdxWspolny]])&gt;0,"ELEM_lub_PRD","TECHN")</f>
        <v>#REF!</v>
      </c>
      <c r="L2634" t="e">
        <f>IF(COUNTIF(#REF!,Tabela2[[#This Row],[KOD_PRODUKTU]])&gt;0,"ELEMENT","PRODUKT")</f>
        <v>#REF!</v>
      </c>
      <c r="M2634" t="e">
        <f>COUNTIF(#REF!,Tabela2[[#This Row],[KOD_PRODUKTU]])</f>
        <v>#REF!</v>
      </c>
    </row>
    <row r="2635" spans="1:13" x14ac:dyDescent="0.25">
      <c r="A2635" s="1" t="s">
        <v>4142</v>
      </c>
      <c r="B2635" t="s">
        <v>4143</v>
      </c>
      <c r="C2635" s="1" t="s">
        <v>1047</v>
      </c>
      <c r="D2635" s="1" t="s">
        <v>1047</v>
      </c>
      <c r="E2635" s="1" t="s">
        <v>1047</v>
      </c>
      <c r="F2635" t="s">
        <v>1048</v>
      </c>
      <c r="G2635" t="s">
        <v>1434</v>
      </c>
      <c r="H2635" t="s">
        <v>17</v>
      </c>
      <c r="I2635" t="s">
        <v>4144</v>
      </c>
      <c r="J2635">
        <v>8.49</v>
      </c>
      <c r="K2635" t="e">
        <f>IF(COUNTIF(#REF!,Tabela2[[#This Row],[IdxWspolny]])&gt;0,"ELEM_lub_PRD","TECHN")</f>
        <v>#REF!</v>
      </c>
      <c r="L2635" t="e">
        <f>IF(COUNTIF(#REF!,Tabela2[[#This Row],[KOD_PRODUKTU]])&gt;0,"ELEMENT","PRODUKT")</f>
        <v>#REF!</v>
      </c>
      <c r="M2635" t="e">
        <f>COUNTIF(#REF!,Tabela2[[#This Row],[KOD_PRODUKTU]])</f>
        <v>#REF!</v>
      </c>
    </row>
    <row r="2636" spans="1:13" x14ac:dyDescent="0.25">
      <c r="A2636" s="1" t="s">
        <v>4142</v>
      </c>
      <c r="B2636" t="s">
        <v>4143</v>
      </c>
      <c r="C2636" s="1" t="s">
        <v>7</v>
      </c>
      <c r="D2636" s="1" t="s">
        <v>7</v>
      </c>
      <c r="E2636" s="1" t="s">
        <v>7</v>
      </c>
      <c r="F2636" t="s">
        <v>8</v>
      </c>
      <c r="G2636" t="s">
        <v>9</v>
      </c>
      <c r="H2636" t="s">
        <v>10</v>
      </c>
      <c r="I2636" t="s">
        <v>4145</v>
      </c>
      <c r="J2636">
        <v>4.8099999999999996</v>
      </c>
      <c r="K2636" t="e">
        <f>IF(COUNTIF(#REF!,Tabela2[[#This Row],[IdxWspolny]])&gt;0,"ELEM_lub_PRD","TECHN")</f>
        <v>#REF!</v>
      </c>
      <c r="L2636" t="e">
        <f>IF(COUNTIF(#REF!,Tabela2[[#This Row],[KOD_PRODUKTU]])&gt;0,"ELEMENT","PRODUKT")</f>
        <v>#REF!</v>
      </c>
      <c r="M2636" t="e">
        <f>COUNTIF(#REF!,Tabela2[[#This Row],[KOD_PRODUKTU]])</f>
        <v>#REF!</v>
      </c>
    </row>
    <row r="2637" spans="1:13" x14ac:dyDescent="0.25">
      <c r="A2637" s="1" t="s">
        <v>4146</v>
      </c>
      <c r="B2637" t="s">
        <v>4147</v>
      </c>
      <c r="C2637" s="1" t="s">
        <v>1041</v>
      </c>
      <c r="D2637" s="1" t="s">
        <v>1041</v>
      </c>
      <c r="E2637" s="1" t="s">
        <v>1041</v>
      </c>
      <c r="F2637" t="s">
        <v>1042</v>
      </c>
      <c r="G2637" t="s">
        <v>712</v>
      </c>
      <c r="H2637" t="s">
        <v>17</v>
      </c>
      <c r="I2637" t="s">
        <v>4148</v>
      </c>
      <c r="J2637">
        <v>3.95</v>
      </c>
      <c r="K2637" t="e">
        <f>IF(COUNTIF(#REF!,Tabela2[[#This Row],[IdxWspolny]])&gt;0,"ELEM_lub_PRD","TECHN")</f>
        <v>#REF!</v>
      </c>
      <c r="L2637" t="e">
        <f>IF(COUNTIF(#REF!,Tabela2[[#This Row],[KOD_PRODUKTU]])&gt;0,"ELEMENT","PRODUKT")</f>
        <v>#REF!</v>
      </c>
      <c r="M2637" t="e">
        <f>COUNTIF(#REF!,Tabela2[[#This Row],[KOD_PRODUKTU]])</f>
        <v>#REF!</v>
      </c>
    </row>
    <row r="2638" spans="1:13" x14ac:dyDescent="0.25">
      <c r="A2638" s="1" t="s">
        <v>4146</v>
      </c>
      <c r="B2638" t="s">
        <v>4147</v>
      </c>
      <c r="C2638" s="1" t="s">
        <v>7</v>
      </c>
      <c r="D2638" s="1" t="s">
        <v>7</v>
      </c>
      <c r="E2638" s="1" t="s">
        <v>7</v>
      </c>
      <c r="F2638" t="s">
        <v>8</v>
      </c>
      <c r="G2638" t="s">
        <v>9</v>
      </c>
      <c r="H2638" t="s">
        <v>10</v>
      </c>
      <c r="I2638" t="s">
        <v>4099</v>
      </c>
      <c r="J2638">
        <v>4.8899999999999997</v>
      </c>
      <c r="K2638" t="e">
        <f>IF(COUNTIF(#REF!,Tabela2[[#This Row],[IdxWspolny]])&gt;0,"ELEM_lub_PRD","TECHN")</f>
        <v>#REF!</v>
      </c>
      <c r="L2638" t="e">
        <f>IF(COUNTIF(#REF!,Tabela2[[#This Row],[KOD_PRODUKTU]])&gt;0,"ELEMENT","PRODUKT")</f>
        <v>#REF!</v>
      </c>
      <c r="M2638" t="e">
        <f>COUNTIF(#REF!,Tabela2[[#This Row],[KOD_PRODUKTU]])</f>
        <v>#REF!</v>
      </c>
    </row>
    <row r="2639" spans="1:13" x14ac:dyDescent="0.25">
      <c r="A2639" s="1" t="s">
        <v>4149</v>
      </c>
      <c r="B2639" t="s">
        <v>4150</v>
      </c>
      <c r="C2639" s="1" t="s">
        <v>1041</v>
      </c>
      <c r="D2639" s="1" t="s">
        <v>1041</v>
      </c>
      <c r="E2639" s="1" t="s">
        <v>1041</v>
      </c>
      <c r="F2639" t="s">
        <v>1042</v>
      </c>
      <c r="G2639" t="s">
        <v>712</v>
      </c>
      <c r="H2639" t="s">
        <v>17</v>
      </c>
      <c r="I2639" t="s">
        <v>4151</v>
      </c>
      <c r="J2639">
        <v>3.15</v>
      </c>
      <c r="K2639" t="e">
        <f>IF(COUNTIF(#REF!,Tabela2[[#This Row],[IdxWspolny]])&gt;0,"ELEM_lub_PRD","TECHN")</f>
        <v>#REF!</v>
      </c>
      <c r="L2639" t="e">
        <f>IF(COUNTIF(#REF!,Tabela2[[#This Row],[KOD_PRODUKTU]])&gt;0,"ELEMENT","PRODUKT")</f>
        <v>#REF!</v>
      </c>
      <c r="M2639" t="e">
        <f>COUNTIF(#REF!,Tabela2[[#This Row],[KOD_PRODUKTU]])</f>
        <v>#REF!</v>
      </c>
    </row>
    <row r="2640" spans="1:13" x14ac:dyDescent="0.25">
      <c r="A2640" s="1" t="s">
        <v>4149</v>
      </c>
      <c r="B2640" t="s">
        <v>4150</v>
      </c>
      <c r="C2640" s="1" t="s">
        <v>541</v>
      </c>
      <c r="D2640" s="1" t="s">
        <v>541</v>
      </c>
      <c r="E2640" s="1" t="s">
        <v>541</v>
      </c>
      <c r="F2640" t="s">
        <v>542</v>
      </c>
      <c r="G2640" t="s">
        <v>9</v>
      </c>
      <c r="H2640" t="s">
        <v>10</v>
      </c>
      <c r="I2640" t="s">
        <v>4099</v>
      </c>
      <c r="J2640">
        <v>4.8899999999999997</v>
      </c>
      <c r="K2640" t="e">
        <f>IF(COUNTIF(#REF!,Tabela2[[#This Row],[IdxWspolny]])&gt;0,"ELEM_lub_PRD","TECHN")</f>
        <v>#REF!</v>
      </c>
      <c r="L2640" t="e">
        <f>IF(COUNTIF(#REF!,Tabela2[[#This Row],[KOD_PRODUKTU]])&gt;0,"ELEMENT","PRODUKT")</f>
        <v>#REF!</v>
      </c>
      <c r="M2640" t="e">
        <f>COUNTIF(#REF!,Tabela2[[#This Row],[KOD_PRODUKTU]])</f>
        <v>#REF!</v>
      </c>
    </row>
    <row r="2641" spans="1:13" x14ac:dyDescent="0.25">
      <c r="A2641" s="1" t="s">
        <v>4152</v>
      </c>
      <c r="B2641" t="s">
        <v>4153</v>
      </c>
      <c r="C2641" s="1" t="s">
        <v>1041</v>
      </c>
      <c r="D2641" s="1" t="s">
        <v>1041</v>
      </c>
      <c r="E2641" s="1" t="s">
        <v>1041</v>
      </c>
      <c r="F2641" t="s">
        <v>1042</v>
      </c>
      <c r="G2641" t="s">
        <v>712</v>
      </c>
      <c r="H2641" t="s">
        <v>17</v>
      </c>
      <c r="I2641" t="s">
        <v>4154</v>
      </c>
      <c r="J2641">
        <v>3.95</v>
      </c>
      <c r="K2641" t="e">
        <f>IF(COUNTIF(#REF!,Tabela2[[#This Row],[IdxWspolny]])&gt;0,"ELEM_lub_PRD","TECHN")</f>
        <v>#REF!</v>
      </c>
      <c r="L2641" t="e">
        <f>IF(COUNTIF(#REF!,Tabela2[[#This Row],[KOD_PRODUKTU]])&gt;0,"ELEMENT","PRODUKT")</f>
        <v>#REF!</v>
      </c>
      <c r="M2641" t="e">
        <f>COUNTIF(#REF!,Tabela2[[#This Row],[KOD_PRODUKTU]])</f>
        <v>#REF!</v>
      </c>
    </row>
    <row r="2642" spans="1:13" x14ac:dyDescent="0.25">
      <c r="A2642" s="1" t="s">
        <v>4152</v>
      </c>
      <c r="B2642" t="s">
        <v>4153</v>
      </c>
      <c r="C2642" s="1" t="s">
        <v>541</v>
      </c>
      <c r="D2642" s="1" t="s">
        <v>541</v>
      </c>
      <c r="E2642" s="1" t="s">
        <v>541</v>
      </c>
      <c r="F2642" t="s">
        <v>542</v>
      </c>
      <c r="G2642" t="s">
        <v>9</v>
      </c>
      <c r="H2642" t="s">
        <v>10</v>
      </c>
      <c r="I2642" t="s">
        <v>4099</v>
      </c>
      <c r="J2642">
        <v>4.8899999999999997</v>
      </c>
      <c r="K2642" t="e">
        <f>IF(COUNTIF(#REF!,Tabela2[[#This Row],[IdxWspolny]])&gt;0,"ELEM_lub_PRD","TECHN")</f>
        <v>#REF!</v>
      </c>
      <c r="L2642" t="e">
        <f>IF(COUNTIF(#REF!,Tabela2[[#This Row],[KOD_PRODUKTU]])&gt;0,"ELEMENT","PRODUKT")</f>
        <v>#REF!</v>
      </c>
      <c r="M2642" t="e">
        <f>COUNTIF(#REF!,Tabela2[[#This Row],[KOD_PRODUKTU]])</f>
        <v>#REF!</v>
      </c>
    </row>
    <row r="2643" spans="1:13" x14ac:dyDescent="0.25">
      <c r="A2643" s="1" t="s">
        <v>4155</v>
      </c>
      <c r="B2643" t="s">
        <v>4156</v>
      </c>
      <c r="C2643" s="1" t="s">
        <v>2458</v>
      </c>
      <c r="D2643" s="1" t="s">
        <v>2458</v>
      </c>
      <c r="E2643" s="1" t="s">
        <v>2458</v>
      </c>
      <c r="F2643" t="s">
        <v>2459</v>
      </c>
      <c r="G2643" t="s">
        <v>384</v>
      </c>
      <c r="H2643" t="s">
        <v>5</v>
      </c>
      <c r="I2643" t="s">
        <v>4157</v>
      </c>
      <c r="J2643">
        <v>2.2999999999999998</v>
      </c>
      <c r="K2643" t="e">
        <f>IF(COUNTIF(#REF!,Tabela2[[#This Row],[IdxWspolny]])&gt;0,"ELEM_lub_PRD","TECHN")</f>
        <v>#REF!</v>
      </c>
      <c r="L2643" t="e">
        <f>IF(COUNTIF(#REF!,Tabela2[[#This Row],[KOD_PRODUKTU]])&gt;0,"ELEMENT","PRODUKT")</f>
        <v>#REF!</v>
      </c>
      <c r="M2643" t="e">
        <f>COUNTIF(#REF!,Tabela2[[#This Row],[KOD_PRODUKTU]])</f>
        <v>#REF!</v>
      </c>
    </row>
    <row r="2644" spans="1:13" x14ac:dyDescent="0.25">
      <c r="A2644" s="1" t="s">
        <v>4155</v>
      </c>
      <c r="B2644" t="s">
        <v>4156</v>
      </c>
      <c r="C2644" s="1" t="s">
        <v>541</v>
      </c>
      <c r="D2644" s="1" t="s">
        <v>541</v>
      </c>
      <c r="E2644" s="1" t="s">
        <v>541</v>
      </c>
      <c r="F2644" t="s">
        <v>542</v>
      </c>
      <c r="G2644" t="s">
        <v>9</v>
      </c>
      <c r="H2644" t="s">
        <v>10</v>
      </c>
      <c r="I2644" t="s">
        <v>3546</v>
      </c>
      <c r="J2644">
        <v>4.8099999999999996</v>
      </c>
      <c r="K2644" t="e">
        <f>IF(COUNTIF(#REF!,Tabela2[[#This Row],[IdxWspolny]])&gt;0,"ELEM_lub_PRD","TECHN")</f>
        <v>#REF!</v>
      </c>
      <c r="L2644" t="e">
        <f>IF(COUNTIF(#REF!,Tabela2[[#This Row],[KOD_PRODUKTU]])&gt;0,"ELEMENT","PRODUKT")</f>
        <v>#REF!</v>
      </c>
      <c r="M2644" t="e">
        <f>COUNTIF(#REF!,Tabela2[[#This Row],[KOD_PRODUKTU]])</f>
        <v>#REF!</v>
      </c>
    </row>
    <row r="2645" spans="1:13" x14ac:dyDescent="0.25">
      <c r="A2645" s="1" t="s">
        <v>4158</v>
      </c>
      <c r="B2645" t="s">
        <v>4159</v>
      </c>
      <c r="C2645" s="1" t="s">
        <v>1041</v>
      </c>
      <c r="D2645" s="1" t="s">
        <v>1041</v>
      </c>
      <c r="E2645" s="1" t="s">
        <v>1041</v>
      </c>
      <c r="F2645" t="s">
        <v>1042</v>
      </c>
      <c r="G2645" t="s">
        <v>712</v>
      </c>
      <c r="H2645" t="s">
        <v>17</v>
      </c>
      <c r="I2645" t="s">
        <v>2949</v>
      </c>
      <c r="J2645">
        <v>7</v>
      </c>
      <c r="K2645" t="e">
        <f>IF(COUNTIF(#REF!,Tabela2[[#This Row],[IdxWspolny]])&gt;0,"ELEM_lub_PRD","TECHN")</f>
        <v>#REF!</v>
      </c>
      <c r="L2645" t="e">
        <f>IF(COUNTIF(#REF!,Tabela2[[#This Row],[KOD_PRODUKTU]])&gt;0,"ELEMENT","PRODUKT")</f>
        <v>#REF!</v>
      </c>
      <c r="M2645" t="e">
        <f>COUNTIF(#REF!,Tabela2[[#This Row],[KOD_PRODUKTU]])</f>
        <v>#REF!</v>
      </c>
    </row>
    <row r="2646" spans="1:13" x14ac:dyDescent="0.25">
      <c r="A2646" s="1" t="s">
        <v>4158</v>
      </c>
      <c r="B2646" t="s">
        <v>4159</v>
      </c>
      <c r="C2646" s="1" t="s">
        <v>541</v>
      </c>
      <c r="D2646" s="1" t="s">
        <v>541</v>
      </c>
      <c r="E2646" s="1" t="s">
        <v>541</v>
      </c>
      <c r="F2646" t="s">
        <v>542</v>
      </c>
      <c r="G2646" t="s">
        <v>9</v>
      </c>
      <c r="H2646" t="s">
        <v>10</v>
      </c>
      <c r="I2646" t="s">
        <v>4099</v>
      </c>
      <c r="J2646">
        <v>4.8899999999999997</v>
      </c>
      <c r="K2646" t="e">
        <f>IF(COUNTIF(#REF!,Tabela2[[#This Row],[IdxWspolny]])&gt;0,"ELEM_lub_PRD","TECHN")</f>
        <v>#REF!</v>
      </c>
      <c r="L2646" t="e">
        <f>IF(COUNTIF(#REF!,Tabela2[[#This Row],[KOD_PRODUKTU]])&gt;0,"ELEMENT","PRODUKT")</f>
        <v>#REF!</v>
      </c>
      <c r="M2646" t="e">
        <f>COUNTIF(#REF!,Tabela2[[#This Row],[KOD_PRODUKTU]])</f>
        <v>#REF!</v>
      </c>
    </row>
    <row r="2647" spans="1:13" x14ac:dyDescent="0.25">
      <c r="A2647" s="1" t="s">
        <v>4160</v>
      </c>
      <c r="B2647" t="s">
        <v>4161</v>
      </c>
      <c r="C2647" s="1" t="s">
        <v>1047</v>
      </c>
      <c r="D2647" s="1" t="s">
        <v>1047</v>
      </c>
      <c r="E2647" s="1" t="s">
        <v>1047</v>
      </c>
      <c r="F2647" t="s">
        <v>1048</v>
      </c>
      <c r="G2647" t="s">
        <v>1434</v>
      </c>
      <c r="H2647" t="s">
        <v>17</v>
      </c>
      <c r="I2647" t="s">
        <v>4162</v>
      </c>
      <c r="J2647">
        <v>11.87</v>
      </c>
      <c r="K2647" t="e">
        <f>IF(COUNTIF(#REF!,Tabela2[[#This Row],[IdxWspolny]])&gt;0,"ELEM_lub_PRD","TECHN")</f>
        <v>#REF!</v>
      </c>
      <c r="L2647" t="e">
        <f>IF(COUNTIF(#REF!,Tabela2[[#This Row],[KOD_PRODUKTU]])&gt;0,"ELEMENT","PRODUKT")</f>
        <v>#REF!</v>
      </c>
      <c r="M2647" t="e">
        <f>COUNTIF(#REF!,Tabela2[[#This Row],[KOD_PRODUKTU]])</f>
        <v>#REF!</v>
      </c>
    </row>
    <row r="2648" spans="1:13" x14ac:dyDescent="0.25">
      <c r="A2648" s="1" t="s">
        <v>4160</v>
      </c>
      <c r="B2648" t="s">
        <v>4161</v>
      </c>
      <c r="C2648" s="1" t="s">
        <v>7</v>
      </c>
      <c r="D2648" s="1" t="s">
        <v>7</v>
      </c>
      <c r="E2648" s="1" t="s">
        <v>7</v>
      </c>
      <c r="F2648" t="s">
        <v>8</v>
      </c>
      <c r="G2648" t="s">
        <v>9</v>
      </c>
      <c r="H2648" t="s">
        <v>10</v>
      </c>
      <c r="I2648" t="s">
        <v>4163</v>
      </c>
      <c r="J2648">
        <v>4.88</v>
      </c>
      <c r="K2648" t="e">
        <f>IF(COUNTIF(#REF!,Tabela2[[#This Row],[IdxWspolny]])&gt;0,"ELEM_lub_PRD","TECHN")</f>
        <v>#REF!</v>
      </c>
      <c r="L2648" t="e">
        <f>IF(COUNTIF(#REF!,Tabela2[[#This Row],[KOD_PRODUKTU]])&gt;0,"ELEMENT","PRODUKT")</f>
        <v>#REF!</v>
      </c>
      <c r="M2648" t="e">
        <f>COUNTIF(#REF!,Tabela2[[#This Row],[KOD_PRODUKTU]])</f>
        <v>#REF!</v>
      </c>
    </row>
    <row r="2649" spans="1:13" x14ac:dyDescent="0.25">
      <c r="A2649" s="1" t="s">
        <v>4164</v>
      </c>
      <c r="B2649" t="s">
        <v>4165</v>
      </c>
      <c r="C2649" s="1" t="s">
        <v>1188</v>
      </c>
      <c r="D2649" s="1" t="s">
        <v>1188</v>
      </c>
      <c r="E2649" s="1" t="s">
        <v>1188</v>
      </c>
      <c r="F2649" t="s">
        <v>1189</v>
      </c>
      <c r="G2649" t="s">
        <v>1190</v>
      </c>
      <c r="H2649" t="s">
        <v>5</v>
      </c>
      <c r="I2649" t="s">
        <v>601</v>
      </c>
      <c r="J2649">
        <v>1.43</v>
      </c>
      <c r="K2649" t="e">
        <f>IF(COUNTIF(#REF!,Tabela2[[#This Row],[IdxWspolny]])&gt;0,"ELEM_lub_PRD","TECHN")</f>
        <v>#REF!</v>
      </c>
      <c r="L2649" t="e">
        <f>IF(COUNTIF(#REF!,Tabela2[[#This Row],[KOD_PRODUKTU]])&gt;0,"ELEMENT","PRODUKT")</f>
        <v>#REF!</v>
      </c>
      <c r="M2649" t="e">
        <f>COUNTIF(#REF!,Tabela2[[#This Row],[KOD_PRODUKTU]])</f>
        <v>#REF!</v>
      </c>
    </row>
    <row r="2650" spans="1:13" x14ac:dyDescent="0.25">
      <c r="A2650" s="1" t="s">
        <v>4164</v>
      </c>
      <c r="B2650" t="s">
        <v>4165</v>
      </c>
      <c r="C2650" s="1" t="s">
        <v>432</v>
      </c>
      <c r="D2650" s="1" t="s">
        <v>432</v>
      </c>
      <c r="E2650" s="1" t="s">
        <v>432</v>
      </c>
      <c r="F2650" t="s">
        <v>433</v>
      </c>
      <c r="G2650" t="s">
        <v>434</v>
      </c>
      <c r="H2650" t="s">
        <v>435</v>
      </c>
      <c r="I2650" t="s">
        <v>50</v>
      </c>
      <c r="J2650">
        <v>1.1000000000000001</v>
      </c>
      <c r="K2650" t="e">
        <f>IF(COUNTIF(#REF!,Tabela2[[#This Row],[IdxWspolny]])&gt;0,"ELEM_lub_PRD","TECHN")</f>
        <v>#REF!</v>
      </c>
      <c r="L2650" t="e">
        <f>IF(COUNTIF(#REF!,Tabela2[[#This Row],[KOD_PRODUKTU]])&gt;0,"ELEMENT","PRODUKT")</f>
        <v>#REF!</v>
      </c>
      <c r="M2650" t="e">
        <f>COUNTIF(#REF!,Tabela2[[#This Row],[KOD_PRODUKTU]])</f>
        <v>#REF!</v>
      </c>
    </row>
    <row r="2651" spans="1:13" x14ac:dyDescent="0.25">
      <c r="A2651" s="1" t="s">
        <v>4164</v>
      </c>
      <c r="B2651" t="s">
        <v>4165</v>
      </c>
      <c r="C2651" s="1" t="s">
        <v>541</v>
      </c>
      <c r="D2651" s="1" t="s">
        <v>541</v>
      </c>
      <c r="E2651" s="1" t="s">
        <v>541</v>
      </c>
      <c r="F2651" t="s">
        <v>542</v>
      </c>
      <c r="G2651" t="s">
        <v>9</v>
      </c>
      <c r="H2651" t="s">
        <v>10</v>
      </c>
      <c r="I2651" t="s">
        <v>3675</v>
      </c>
      <c r="J2651">
        <v>2.4500000000000002</v>
      </c>
      <c r="K2651" t="e">
        <f>IF(COUNTIF(#REF!,Tabela2[[#This Row],[IdxWspolny]])&gt;0,"ELEM_lub_PRD","TECHN")</f>
        <v>#REF!</v>
      </c>
      <c r="L2651" t="e">
        <f>IF(COUNTIF(#REF!,Tabela2[[#This Row],[KOD_PRODUKTU]])&gt;0,"ELEMENT","PRODUKT")</f>
        <v>#REF!</v>
      </c>
      <c r="M2651" t="e">
        <f>COUNTIF(#REF!,Tabela2[[#This Row],[KOD_PRODUKTU]])</f>
        <v>#REF!</v>
      </c>
    </row>
    <row r="2652" spans="1:13" x14ac:dyDescent="0.25">
      <c r="A2652" s="1" t="s">
        <v>4166</v>
      </c>
      <c r="B2652" t="s">
        <v>4167</v>
      </c>
      <c r="C2652" s="1" t="s">
        <v>4168</v>
      </c>
      <c r="D2652" s="1" t="s">
        <v>4168</v>
      </c>
      <c r="E2652" s="1" t="s">
        <v>4168</v>
      </c>
      <c r="F2652" t="s">
        <v>4169</v>
      </c>
      <c r="G2652" t="s">
        <v>70</v>
      </c>
      <c r="H2652" t="s">
        <v>5</v>
      </c>
      <c r="I2652" t="s">
        <v>860</v>
      </c>
      <c r="J2652">
        <v>2.5</v>
      </c>
      <c r="K2652" t="e">
        <f>IF(COUNTIF(#REF!,Tabela2[[#This Row],[IdxWspolny]])&gt;0,"ELEM_lub_PRD","TECHN")</f>
        <v>#REF!</v>
      </c>
      <c r="L2652" t="e">
        <f>IF(COUNTIF(#REF!,Tabela2[[#This Row],[KOD_PRODUKTU]])&gt;0,"ELEMENT","PRODUKT")</f>
        <v>#REF!</v>
      </c>
      <c r="M2652" t="e">
        <f>COUNTIF(#REF!,Tabela2[[#This Row],[KOD_PRODUKTU]])</f>
        <v>#REF!</v>
      </c>
    </row>
    <row r="2653" spans="1:13" x14ac:dyDescent="0.25">
      <c r="A2653" s="1" t="s">
        <v>4166</v>
      </c>
      <c r="B2653" t="s">
        <v>4167</v>
      </c>
      <c r="C2653" s="1" t="s">
        <v>432</v>
      </c>
      <c r="D2653" s="1" t="s">
        <v>432</v>
      </c>
      <c r="E2653" s="1" t="s">
        <v>432</v>
      </c>
      <c r="F2653" t="s">
        <v>433</v>
      </c>
      <c r="G2653" t="s">
        <v>434</v>
      </c>
      <c r="H2653" t="s">
        <v>435</v>
      </c>
      <c r="I2653" t="s">
        <v>50</v>
      </c>
      <c r="J2653">
        <v>1.1000000000000001</v>
      </c>
      <c r="K2653" t="e">
        <f>IF(COUNTIF(#REF!,Tabela2[[#This Row],[IdxWspolny]])&gt;0,"ELEM_lub_PRD","TECHN")</f>
        <v>#REF!</v>
      </c>
      <c r="L2653" t="e">
        <f>IF(COUNTIF(#REF!,Tabela2[[#This Row],[KOD_PRODUKTU]])&gt;0,"ELEMENT","PRODUKT")</f>
        <v>#REF!</v>
      </c>
      <c r="M2653" t="e">
        <f>COUNTIF(#REF!,Tabela2[[#This Row],[KOD_PRODUKTU]])</f>
        <v>#REF!</v>
      </c>
    </row>
    <row r="2654" spans="1:13" x14ac:dyDescent="0.25">
      <c r="A2654" s="1" t="s">
        <v>4166</v>
      </c>
      <c r="B2654" t="s">
        <v>4167</v>
      </c>
      <c r="C2654" s="1" t="s">
        <v>541</v>
      </c>
      <c r="D2654" s="1" t="s">
        <v>541</v>
      </c>
      <c r="E2654" s="1" t="s">
        <v>541</v>
      </c>
      <c r="F2654" t="s">
        <v>542</v>
      </c>
      <c r="G2654" t="s">
        <v>9</v>
      </c>
      <c r="H2654" t="s">
        <v>10</v>
      </c>
      <c r="I2654" t="s">
        <v>4170</v>
      </c>
      <c r="J2654">
        <v>17.28</v>
      </c>
      <c r="K2654" t="e">
        <f>IF(COUNTIF(#REF!,Tabela2[[#This Row],[IdxWspolny]])&gt;0,"ELEM_lub_PRD","TECHN")</f>
        <v>#REF!</v>
      </c>
      <c r="L2654" t="e">
        <f>IF(COUNTIF(#REF!,Tabela2[[#This Row],[KOD_PRODUKTU]])&gt;0,"ELEMENT","PRODUKT")</f>
        <v>#REF!</v>
      </c>
      <c r="M2654" t="e">
        <f>COUNTIF(#REF!,Tabela2[[#This Row],[KOD_PRODUKTU]])</f>
        <v>#REF!</v>
      </c>
    </row>
    <row r="2655" spans="1:13" x14ac:dyDescent="0.25">
      <c r="A2655" s="1" t="s">
        <v>4171</v>
      </c>
      <c r="B2655" t="s">
        <v>4172</v>
      </c>
      <c r="C2655" s="1" t="s">
        <v>1041</v>
      </c>
      <c r="D2655" s="1" t="s">
        <v>1041</v>
      </c>
      <c r="E2655" s="1" t="s">
        <v>1041</v>
      </c>
      <c r="F2655" t="s">
        <v>1042</v>
      </c>
      <c r="G2655" t="s">
        <v>712</v>
      </c>
      <c r="H2655" t="s">
        <v>17</v>
      </c>
      <c r="I2655" t="s">
        <v>4173</v>
      </c>
      <c r="J2655">
        <v>4.2</v>
      </c>
      <c r="K2655" t="e">
        <f>IF(COUNTIF(#REF!,Tabela2[[#This Row],[IdxWspolny]])&gt;0,"ELEM_lub_PRD","TECHN")</f>
        <v>#REF!</v>
      </c>
      <c r="L2655" t="e">
        <f>IF(COUNTIF(#REF!,Tabela2[[#This Row],[KOD_PRODUKTU]])&gt;0,"ELEMENT","PRODUKT")</f>
        <v>#REF!</v>
      </c>
      <c r="M2655" t="e">
        <f>COUNTIF(#REF!,Tabela2[[#This Row],[KOD_PRODUKTU]])</f>
        <v>#REF!</v>
      </c>
    </row>
    <row r="2656" spans="1:13" x14ac:dyDescent="0.25">
      <c r="A2656" s="1" t="s">
        <v>4171</v>
      </c>
      <c r="B2656" t="s">
        <v>4172</v>
      </c>
      <c r="C2656" s="1" t="s">
        <v>7</v>
      </c>
      <c r="D2656" s="1" t="s">
        <v>7</v>
      </c>
      <c r="E2656" s="1" t="s">
        <v>7</v>
      </c>
      <c r="F2656" t="s">
        <v>8</v>
      </c>
      <c r="G2656" t="s">
        <v>9</v>
      </c>
      <c r="H2656" t="s">
        <v>10</v>
      </c>
      <c r="I2656" t="s">
        <v>4099</v>
      </c>
      <c r="J2656">
        <v>4.8899999999999997</v>
      </c>
      <c r="K2656" t="e">
        <f>IF(COUNTIF(#REF!,Tabela2[[#This Row],[IdxWspolny]])&gt;0,"ELEM_lub_PRD","TECHN")</f>
        <v>#REF!</v>
      </c>
      <c r="L2656" t="e">
        <f>IF(COUNTIF(#REF!,Tabela2[[#This Row],[KOD_PRODUKTU]])&gt;0,"ELEMENT","PRODUKT")</f>
        <v>#REF!</v>
      </c>
      <c r="M2656" t="e">
        <f>COUNTIF(#REF!,Tabela2[[#This Row],[KOD_PRODUKTU]])</f>
        <v>#REF!</v>
      </c>
    </row>
    <row r="2657" spans="1:13" x14ac:dyDescent="0.25">
      <c r="A2657" s="1" t="s">
        <v>4174</v>
      </c>
      <c r="B2657" t="s">
        <v>4175</v>
      </c>
      <c r="C2657" s="1" t="s">
        <v>1041</v>
      </c>
      <c r="D2657" s="1" t="s">
        <v>1041</v>
      </c>
      <c r="E2657" s="1" t="s">
        <v>1041</v>
      </c>
      <c r="F2657" t="s">
        <v>1042</v>
      </c>
      <c r="G2657" t="s">
        <v>712</v>
      </c>
      <c r="H2657" t="s">
        <v>17</v>
      </c>
      <c r="I2657" t="s">
        <v>4176</v>
      </c>
      <c r="J2657">
        <v>4.25</v>
      </c>
      <c r="K2657" t="e">
        <f>IF(COUNTIF(#REF!,Tabela2[[#This Row],[IdxWspolny]])&gt;0,"ELEM_lub_PRD","TECHN")</f>
        <v>#REF!</v>
      </c>
      <c r="L2657" t="e">
        <f>IF(COUNTIF(#REF!,Tabela2[[#This Row],[KOD_PRODUKTU]])&gt;0,"ELEMENT","PRODUKT")</f>
        <v>#REF!</v>
      </c>
      <c r="M2657" t="e">
        <f>COUNTIF(#REF!,Tabela2[[#This Row],[KOD_PRODUKTU]])</f>
        <v>#REF!</v>
      </c>
    </row>
    <row r="2658" spans="1:13" x14ac:dyDescent="0.25">
      <c r="A2658" s="1" t="s">
        <v>4174</v>
      </c>
      <c r="B2658" t="s">
        <v>4175</v>
      </c>
      <c r="C2658" s="1" t="s">
        <v>7</v>
      </c>
      <c r="D2658" s="1" t="s">
        <v>7</v>
      </c>
      <c r="E2658" s="1" t="s">
        <v>7</v>
      </c>
      <c r="F2658" t="s">
        <v>8</v>
      </c>
      <c r="G2658" t="s">
        <v>9</v>
      </c>
      <c r="H2658" t="s">
        <v>10</v>
      </c>
      <c r="I2658" t="s">
        <v>4099</v>
      </c>
      <c r="J2658">
        <v>4.8899999999999997</v>
      </c>
      <c r="K2658" t="e">
        <f>IF(COUNTIF(#REF!,Tabela2[[#This Row],[IdxWspolny]])&gt;0,"ELEM_lub_PRD","TECHN")</f>
        <v>#REF!</v>
      </c>
      <c r="L2658" t="e">
        <f>IF(COUNTIF(#REF!,Tabela2[[#This Row],[KOD_PRODUKTU]])&gt;0,"ELEMENT","PRODUKT")</f>
        <v>#REF!</v>
      </c>
      <c r="M2658" t="e">
        <f>COUNTIF(#REF!,Tabela2[[#This Row],[KOD_PRODUKTU]])</f>
        <v>#REF!</v>
      </c>
    </row>
    <row r="2659" spans="1:13" x14ac:dyDescent="0.25">
      <c r="A2659" s="1" t="s">
        <v>4177</v>
      </c>
      <c r="B2659" t="s">
        <v>4178</v>
      </c>
      <c r="C2659" s="1" t="s">
        <v>1047</v>
      </c>
      <c r="D2659" s="1" t="s">
        <v>1047</v>
      </c>
      <c r="E2659" s="1" t="s">
        <v>1047</v>
      </c>
      <c r="F2659" t="s">
        <v>1048</v>
      </c>
      <c r="G2659" t="s">
        <v>1434</v>
      </c>
      <c r="H2659" t="s">
        <v>17</v>
      </c>
      <c r="I2659" t="s">
        <v>4179</v>
      </c>
      <c r="J2659">
        <v>2.99</v>
      </c>
      <c r="K2659" t="e">
        <f>IF(COUNTIF(#REF!,Tabela2[[#This Row],[IdxWspolny]])&gt;0,"ELEM_lub_PRD","TECHN")</f>
        <v>#REF!</v>
      </c>
      <c r="L2659" t="e">
        <f>IF(COUNTIF(#REF!,Tabela2[[#This Row],[KOD_PRODUKTU]])&gt;0,"ELEMENT","PRODUKT")</f>
        <v>#REF!</v>
      </c>
      <c r="M2659" t="e">
        <f>COUNTIF(#REF!,Tabela2[[#This Row],[KOD_PRODUKTU]])</f>
        <v>#REF!</v>
      </c>
    </row>
    <row r="2660" spans="1:13" x14ac:dyDescent="0.25">
      <c r="A2660" s="1" t="s">
        <v>4177</v>
      </c>
      <c r="B2660" t="s">
        <v>4178</v>
      </c>
      <c r="C2660" s="1" t="s">
        <v>541</v>
      </c>
      <c r="D2660" s="1" t="s">
        <v>541</v>
      </c>
      <c r="E2660" s="1" t="s">
        <v>541</v>
      </c>
      <c r="F2660" t="s">
        <v>542</v>
      </c>
      <c r="G2660" t="s">
        <v>9</v>
      </c>
      <c r="H2660" t="s">
        <v>10</v>
      </c>
      <c r="I2660" t="s">
        <v>3514</v>
      </c>
      <c r="J2660">
        <v>4.8499999999999996</v>
      </c>
      <c r="K2660" t="e">
        <f>IF(COUNTIF(#REF!,Tabela2[[#This Row],[IdxWspolny]])&gt;0,"ELEM_lub_PRD","TECHN")</f>
        <v>#REF!</v>
      </c>
      <c r="L2660" t="e">
        <f>IF(COUNTIF(#REF!,Tabela2[[#This Row],[KOD_PRODUKTU]])&gt;0,"ELEMENT","PRODUKT")</f>
        <v>#REF!</v>
      </c>
      <c r="M2660" t="e">
        <f>COUNTIF(#REF!,Tabela2[[#This Row],[KOD_PRODUKTU]])</f>
        <v>#REF!</v>
      </c>
    </row>
    <row r="2661" spans="1:13" x14ac:dyDescent="0.25">
      <c r="A2661" s="1" t="s">
        <v>4180</v>
      </c>
      <c r="B2661" t="s">
        <v>4181</v>
      </c>
      <c r="C2661" s="1" t="s">
        <v>1047</v>
      </c>
      <c r="D2661" s="1" t="s">
        <v>1047</v>
      </c>
      <c r="E2661" s="1" t="s">
        <v>1047</v>
      </c>
      <c r="F2661" t="s">
        <v>1048</v>
      </c>
      <c r="G2661" t="s">
        <v>1434</v>
      </c>
      <c r="H2661" t="s">
        <v>17</v>
      </c>
      <c r="I2661" t="s">
        <v>4173</v>
      </c>
      <c r="J2661">
        <v>6.92</v>
      </c>
      <c r="K2661" t="e">
        <f>IF(COUNTIF(#REF!,Tabela2[[#This Row],[IdxWspolny]])&gt;0,"ELEM_lub_PRD","TECHN")</f>
        <v>#REF!</v>
      </c>
      <c r="L2661" t="e">
        <f>IF(COUNTIF(#REF!,Tabela2[[#This Row],[KOD_PRODUKTU]])&gt;0,"ELEMENT","PRODUKT")</f>
        <v>#REF!</v>
      </c>
      <c r="M2661" t="e">
        <f>COUNTIF(#REF!,Tabela2[[#This Row],[KOD_PRODUKTU]])</f>
        <v>#REF!</v>
      </c>
    </row>
    <row r="2662" spans="1:13" x14ac:dyDescent="0.25">
      <c r="A2662" s="1" t="s">
        <v>4180</v>
      </c>
      <c r="B2662" t="s">
        <v>4181</v>
      </c>
      <c r="C2662" s="1" t="s">
        <v>541</v>
      </c>
      <c r="D2662" s="1" t="s">
        <v>541</v>
      </c>
      <c r="E2662" s="1" t="s">
        <v>541</v>
      </c>
      <c r="F2662" t="s">
        <v>542</v>
      </c>
      <c r="G2662" t="s">
        <v>9</v>
      </c>
      <c r="H2662" t="s">
        <v>10</v>
      </c>
      <c r="I2662" t="s">
        <v>3514</v>
      </c>
      <c r="J2662">
        <v>4.8499999999999996</v>
      </c>
      <c r="K2662" t="e">
        <f>IF(COUNTIF(#REF!,Tabela2[[#This Row],[IdxWspolny]])&gt;0,"ELEM_lub_PRD","TECHN")</f>
        <v>#REF!</v>
      </c>
      <c r="L2662" t="e">
        <f>IF(COUNTIF(#REF!,Tabela2[[#This Row],[KOD_PRODUKTU]])&gt;0,"ELEMENT","PRODUKT")</f>
        <v>#REF!</v>
      </c>
      <c r="M2662" t="e">
        <f>COUNTIF(#REF!,Tabela2[[#This Row],[KOD_PRODUKTU]])</f>
        <v>#REF!</v>
      </c>
    </row>
    <row r="2663" spans="1:13" x14ac:dyDescent="0.25">
      <c r="A2663" s="1" t="s">
        <v>4182</v>
      </c>
      <c r="B2663" t="s">
        <v>4183</v>
      </c>
      <c r="C2663" s="1" t="s">
        <v>1099</v>
      </c>
      <c r="D2663" s="1" t="s">
        <v>1099</v>
      </c>
      <c r="E2663" s="1" t="s">
        <v>1099</v>
      </c>
      <c r="F2663" t="s">
        <v>1100</v>
      </c>
      <c r="G2663" t="s">
        <v>1101</v>
      </c>
      <c r="H2663" t="s">
        <v>932</v>
      </c>
      <c r="I2663" t="s">
        <v>4184</v>
      </c>
      <c r="J2663">
        <v>2.7</v>
      </c>
      <c r="K2663" t="e">
        <f>IF(COUNTIF(#REF!,Tabela2[[#This Row],[IdxWspolny]])&gt;0,"ELEM_lub_PRD","TECHN")</f>
        <v>#REF!</v>
      </c>
      <c r="L2663" t="e">
        <f>IF(COUNTIF(#REF!,Tabela2[[#This Row],[KOD_PRODUKTU]])&gt;0,"ELEMENT","PRODUKT")</f>
        <v>#REF!</v>
      </c>
      <c r="M2663" t="e">
        <f>COUNTIF(#REF!,Tabela2[[#This Row],[KOD_PRODUKTU]])</f>
        <v>#REF!</v>
      </c>
    </row>
    <row r="2664" spans="1:13" x14ac:dyDescent="0.25">
      <c r="A2664" s="1" t="s">
        <v>4182</v>
      </c>
      <c r="B2664" t="s">
        <v>4183</v>
      </c>
      <c r="C2664" s="1" t="s">
        <v>432</v>
      </c>
      <c r="D2664" s="1" t="s">
        <v>432</v>
      </c>
      <c r="E2664" s="1" t="s">
        <v>432</v>
      </c>
      <c r="F2664" t="s">
        <v>433</v>
      </c>
      <c r="G2664" t="s">
        <v>434</v>
      </c>
      <c r="H2664" t="s">
        <v>435</v>
      </c>
      <c r="I2664" t="s">
        <v>50</v>
      </c>
      <c r="J2664">
        <v>1.1000000000000001</v>
      </c>
      <c r="K2664" t="e">
        <f>IF(COUNTIF(#REF!,Tabela2[[#This Row],[IdxWspolny]])&gt;0,"ELEM_lub_PRD","TECHN")</f>
        <v>#REF!</v>
      </c>
      <c r="L2664" t="e">
        <f>IF(COUNTIF(#REF!,Tabela2[[#This Row],[KOD_PRODUKTU]])&gt;0,"ELEMENT","PRODUKT")</f>
        <v>#REF!</v>
      </c>
      <c r="M2664" t="e">
        <f>COUNTIF(#REF!,Tabela2[[#This Row],[KOD_PRODUKTU]])</f>
        <v>#REF!</v>
      </c>
    </row>
    <row r="2665" spans="1:13" x14ac:dyDescent="0.25">
      <c r="A2665" s="1" t="s">
        <v>4182</v>
      </c>
      <c r="B2665" t="s">
        <v>4183</v>
      </c>
      <c r="C2665" s="1" t="s">
        <v>7</v>
      </c>
      <c r="D2665" s="1" t="s">
        <v>7</v>
      </c>
      <c r="E2665" s="1" t="s">
        <v>7</v>
      </c>
      <c r="F2665" t="s">
        <v>8</v>
      </c>
      <c r="G2665" t="s">
        <v>9</v>
      </c>
      <c r="H2665" t="s">
        <v>10</v>
      </c>
      <c r="I2665" t="s">
        <v>594</v>
      </c>
      <c r="J2665">
        <v>11.5</v>
      </c>
      <c r="K2665" t="e">
        <f>IF(COUNTIF(#REF!,Tabela2[[#This Row],[IdxWspolny]])&gt;0,"ELEM_lub_PRD","TECHN")</f>
        <v>#REF!</v>
      </c>
      <c r="L2665" t="e">
        <f>IF(COUNTIF(#REF!,Tabela2[[#This Row],[KOD_PRODUKTU]])&gt;0,"ELEMENT","PRODUKT")</f>
        <v>#REF!</v>
      </c>
      <c r="M2665" t="e">
        <f>COUNTIF(#REF!,Tabela2[[#This Row],[KOD_PRODUKTU]])</f>
        <v>#REF!</v>
      </c>
    </row>
    <row r="2666" spans="1:13" x14ac:dyDescent="0.25">
      <c r="A2666" s="1" t="s">
        <v>4185</v>
      </c>
      <c r="B2666" t="s">
        <v>4186</v>
      </c>
      <c r="C2666" s="1" t="s">
        <v>3834</v>
      </c>
      <c r="D2666" s="1" t="s">
        <v>3834</v>
      </c>
      <c r="E2666" s="1" t="s">
        <v>3834</v>
      </c>
      <c r="F2666" t="s">
        <v>3835</v>
      </c>
      <c r="G2666" t="s">
        <v>3836</v>
      </c>
      <c r="H2666" t="s">
        <v>5</v>
      </c>
      <c r="I2666" t="s">
        <v>367</v>
      </c>
      <c r="J2666">
        <v>0.47</v>
      </c>
      <c r="K2666" t="e">
        <f>IF(COUNTIF(#REF!,Tabela2[[#This Row],[IdxWspolny]])&gt;0,"ELEM_lub_PRD","TECHN")</f>
        <v>#REF!</v>
      </c>
      <c r="L2666" t="e">
        <f>IF(COUNTIF(#REF!,Tabela2[[#This Row],[KOD_PRODUKTU]])&gt;0,"ELEMENT","PRODUKT")</f>
        <v>#REF!</v>
      </c>
      <c r="M2666" t="e">
        <f>COUNTIF(#REF!,Tabela2[[#This Row],[KOD_PRODUKTU]])</f>
        <v>#REF!</v>
      </c>
    </row>
    <row r="2667" spans="1:13" x14ac:dyDescent="0.25">
      <c r="A2667" s="1" t="s">
        <v>4185</v>
      </c>
      <c r="B2667" t="s">
        <v>4186</v>
      </c>
      <c r="C2667" s="1" t="s">
        <v>7</v>
      </c>
      <c r="D2667" s="1" t="s">
        <v>7</v>
      </c>
      <c r="E2667" s="1" t="s">
        <v>7</v>
      </c>
      <c r="F2667" t="s">
        <v>8</v>
      </c>
      <c r="G2667" t="s">
        <v>9</v>
      </c>
      <c r="H2667" t="s">
        <v>10</v>
      </c>
      <c r="I2667" t="s">
        <v>4187</v>
      </c>
      <c r="J2667">
        <v>2.88</v>
      </c>
      <c r="K2667" t="e">
        <f>IF(COUNTIF(#REF!,Tabela2[[#This Row],[IdxWspolny]])&gt;0,"ELEM_lub_PRD","TECHN")</f>
        <v>#REF!</v>
      </c>
      <c r="L2667" t="e">
        <f>IF(COUNTIF(#REF!,Tabela2[[#This Row],[KOD_PRODUKTU]])&gt;0,"ELEMENT","PRODUKT")</f>
        <v>#REF!</v>
      </c>
      <c r="M2667" t="e">
        <f>COUNTIF(#REF!,Tabela2[[#This Row],[KOD_PRODUKTU]])</f>
        <v>#REF!</v>
      </c>
    </row>
    <row r="2668" spans="1:13" x14ac:dyDescent="0.25">
      <c r="A2668" s="1" t="s">
        <v>4188</v>
      </c>
      <c r="B2668" t="s">
        <v>4189</v>
      </c>
      <c r="C2668" s="1" t="s">
        <v>1099</v>
      </c>
      <c r="D2668" s="1" t="s">
        <v>1099</v>
      </c>
      <c r="E2668" s="1" t="s">
        <v>1099</v>
      </c>
      <c r="F2668" t="s">
        <v>1100</v>
      </c>
      <c r="G2668" t="s">
        <v>1101</v>
      </c>
      <c r="H2668" t="s">
        <v>49</v>
      </c>
      <c r="I2668" t="s">
        <v>4190</v>
      </c>
      <c r="J2668">
        <v>2.15</v>
      </c>
      <c r="K2668" t="e">
        <f>IF(COUNTIF(#REF!,Tabela2[[#This Row],[IdxWspolny]])&gt;0,"ELEM_lub_PRD","TECHN")</f>
        <v>#REF!</v>
      </c>
      <c r="L2668" t="e">
        <f>IF(COUNTIF(#REF!,Tabela2[[#This Row],[KOD_PRODUKTU]])&gt;0,"ELEMENT","PRODUKT")</f>
        <v>#REF!</v>
      </c>
      <c r="M2668" t="e">
        <f>COUNTIF(#REF!,Tabela2[[#This Row],[KOD_PRODUKTU]])</f>
        <v>#REF!</v>
      </c>
    </row>
    <row r="2669" spans="1:13" x14ac:dyDescent="0.25">
      <c r="A2669" s="1" t="s">
        <v>4188</v>
      </c>
      <c r="B2669" t="s">
        <v>4189</v>
      </c>
      <c r="C2669" s="1" t="s">
        <v>857</v>
      </c>
      <c r="D2669" s="1" t="s">
        <v>857</v>
      </c>
      <c r="E2669" s="1" t="s">
        <v>857</v>
      </c>
      <c r="F2669" t="s">
        <v>858</v>
      </c>
      <c r="G2669" t="s">
        <v>686</v>
      </c>
      <c r="H2669" t="s">
        <v>49</v>
      </c>
      <c r="I2669" t="s">
        <v>4191</v>
      </c>
      <c r="J2669">
        <v>0.85</v>
      </c>
      <c r="K2669" t="e">
        <f>IF(COUNTIF(#REF!,Tabela2[[#This Row],[IdxWspolny]])&gt;0,"ELEM_lub_PRD","TECHN")</f>
        <v>#REF!</v>
      </c>
      <c r="L2669" t="e">
        <f>IF(COUNTIF(#REF!,Tabela2[[#This Row],[KOD_PRODUKTU]])&gt;0,"ELEMENT","PRODUKT")</f>
        <v>#REF!</v>
      </c>
      <c r="M2669" t="e">
        <f>COUNTIF(#REF!,Tabela2[[#This Row],[KOD_PRODUKTU]])</f>
        <v>#REF!</v>
      </c>
    </row>
    <row r="2670" spans="1:13" x14ac:dyDescent="0.25">
      <c r="A2670" s="1" t="s">
        <v>4188</v>
      </c>
      <c r="B2670" t="s">
        <v>4189</v>
      </c>
      <c r="C2670" s="1" t="s">
        <v>432</v>
      </c>
      <c r="D2670" s="1" t="s">
        <v>432</v>
      </c>
      <c r="E2670" s="1" t="s">
        <v>432</v>
      </c>
      <c r="F2670" t="s">
        <v>433</v>
      </c>
      <c r="G2670" t="s">
        <v>434</v>
      </c>
      <c r="H2670" t="s">
        <v>435</v>
      </c>
      <c r="I2670" t="s">
        <v>50</v>
      </c>
      <c r="J2670">
        <v>1.1000000000000001</v>
      </c>
      <c r="K2670" t="e">
        <f>IF(COUNTIF(#REF!,Tabela2[[#This Row],[IdxWspolny]])&gt;0,"ELEM_lub_PRD","TECHN")</f>
        <v>#REF!</v>
      </c>
      <c r="L2670" t="e">
        <f>IF(COUNTIF(#REF!,Tabela2[[#This Row],[KOD_PRODUKTU]])&gt;0,"ELEMENT","PRODUKT")</f>
        <v>#REF!</v>
      </c>
      <c r="M2670" t="e">
        <f>COUNTIF(#REF!,Tabela2[[#This Row],[KOD_PRODUKTU]])</f>
        <v>#REF!</v>
      </c>
    </row>
    <row r="2671" spans="1:13" x14ac:dyDescent="0.25">
      <c r="A2671" s="1" t="s">
        <v>4188</v>
      </c>
      <c r="B2671" t="s">
        <v>4189</v>
      </c>
      <c r="C2671" s="1" t="s">
        <v>541</v>
      </c>
      <c r="D2671" s="1" t="s">
        <v>541</v>
      </c>
      <c r="E2671" s="1" t="s">
        <v>541</v>
      </c>
      <c r="F2671" t="s">
        <v>542</v>
      </c>
      <c r="G2671" t="s">
        <v>9</v>
      </c>
      <c r="H2671" t="s">
        <v>10</v>
      </c>
      <c r="I2671" t="s">
        <v>601</v>
      </c>
      <c r="J2671">
        <v>6.9</v>
      </c>
      <c r="K2671" t="e">
        <f>IF(COUNTIF(#REF!,Tabela2[[#This Row],[IdxWspolny]])&gt;0,"ELEM_lub_PRD","TECHN")</f>
        <v>#REF!</v>
      </c>
      <c r="L2671" t="e">
        <f>IF(COUNTIF(#REF!,Tabela2[[#This Row],[KOD_PRODUKTU]])&gt;0,"ELEMENT","PRODUKT")</f>
        <v>#REF!</v>
      </c>
      <c r="M2671" t="e">
        <f>COUNTIF(#REF!,Tabela2[[#This Row],[KOD_PRODUKTU]])</f>
        <v>#REF!</v>
      </c>
    </row>
    <row r="2672" spans="1:13" x14ac:dyDescent="0.25">
      <c r="A2672" s="1" t="s">
        <v>4192</v>
      </c>
      <c r="B2672" t="s">
        <v>4193</v>
      </c>
      <c r="C2672" s="1" t="s">
        <v>1487</v>
      </c>
      <c r="D2672" s="1" t="s">
        <v>1487</v>
      </c>
      <c r="E2672" s="1" t="s">
        <v>1487</v>
      </c>
      <c r="F2672" t="s">
        <v>1488</v>
      </c>
      <c r="G2672" t="s">
        <v>31</v>
      </c>
      <c r="H2672" t="s">
        <v>5</v>
      </c>
      <c r="I2672" t="s">
        <v>594</v>
      </c>
      <c r="J2672">
        <v>2.65</v>
      </c>
      <c r="K2672" t="e">
        <f>IF(COUNTIF(#REF!,Tabela2[[#This Row],[IdxWspolny]])&gt;0,"ELEM_lub_PRD","TECHN")</f>
        <v>#REF!</v>
      </c>
      <c r="L2672" t="e">
        <f>IF(COUNTIF(#REF!,Tabela2[[#This Row],[KOD_PRODUKTU]])&gt;0,"ELEMENT","PRODUKT")</f>
        <v>#REF!</v>
      </c>
      <c r="M2672" t="e">
        <f>COUNTIF(#REF!,Tabela2[[#This Row],[KOD_PRODUKTU]])</f>
        <v>#REF!</v>
      </c>
    </row>
    <row r="2673" spans="1:13" x14ac:dyDescent="0.25">
      <c r="A2673" s="1" t="s">
        <v>4192</v>
      </c>
      <c r="B2673" t="s">
        <v>4193</v>
      </c>
      <c r="C2673" s="1" t="s">
        <v>432</v>
      </c>
      <c r="D2673" s="1" t="s">
        <v>432</v>
      </c>
      <c r="E2673" s="1" t="s">
        <v>432</v>
      </c>
      <c r="F2673" t="s">
        <v>433</v>
      </c>
      <c r="G2673" t="s">
        <v>434</v>
      </c>
      <c r="H2673" t="s">
        <v>435</v>
      </c>
      <c r="I2673" t="s">
        <v>50</v>
      </c>
      <c r="J2673">
        <v>1.1000000000000001</v>
      </c>
      <c r="K2673" t="e">
        <f>IF(COUNTIF(#REF!,Tabela2[[#This Row],[IdxWspolny]])&gt;0,"ELEM_lub_PRD","TECHN")</f>
        <v>#REF!</v>
      </c>
      <c r="L2673" t="e">
        <f>IF(COUNTIF(#REF!,Tabela2[[#This Row],[KOD_PRODUKTU]])&gt;0,"ELEMENT","PRODUKT")</f>
        <v>#REF!</v>
      </c>
      <c r="M2673" t="e">
        <f>COUNTIF(#REF!,Tabela2[[#This Row],[KOD_PRODUKTU]])</f>
        <v>#REF!</v>
      </c>
    </row>
    <row r="2674" spans="1:13" x14ac:dyDescent="0.25">
      <c r="A2674" s="1" t="s">
        <v>4192</v>
      </c>
      <c r="B2674" t="s">
        <v>4193</v>
      </c>
      <c r="C2674" s="1" t="s">
        <v>541</v>
      </c>
      <c r="D2674" s="1" t="s">
        <v>541</v>
      </c>
      <c r="E2674" s="1" t="s">
        <v>541</v>
      </c>
      <c r="F2674" t="s">
        <v>542</v>
      </c>
      <c r="G2674" t="s">
        <v>9</v>
      </c>
      <c r="H2674" t="s">
        <v>10</v>
      </c>
      <c r="I2674" t="s">
        <v>4194</v>
      </c>
      <c r="J2674">
        <v>4.72</v>
      </c>
      <c r="K2674" t="e">
        <f>IF(COUNTIF(#REF!,Tabela2[[#This Row],[IdxWspolny]])&gt;0,"ELEM_lub_PRD","TECHN")</f>
        <v>#REF!</v>
      </c>
      <c r="L2674" t="e">
        <f>IF(COUNTIF(#REF!,Tabela2[[#This Row],[KOD_PRODUKTU]])&gt;0,"ELEMENT","PRODUKT")</f>
        <v>#REF!</v>
      </c>
      <c r="M2674" t="e">
        <f>COUNTIF(#REF!,Tabela2[[#This Row],[KOD_PRODUKTU]])</f>
        <v>#REF!</v>
      </c>
    </row>
    <row r="2675" spans="1:13" x14ac:dyDescent="0.25">
      <c r="A2675" s="1" t="s">
        <v>4195</v>
      </c>
      <c r="B2675" t="s">
        <v>4196</v>
      </c>
      <c r="C2675" s="1" t="s">
        <v>1487</v>
      </c>
      <c r="D2675" s="1" t="s">
        <v>1487</v>
      </c>
      <c r="E2675" s="1" t="s">
        <v>1487</v>
      </c>
      <c r="F2675" t="s">
        <v>1488</v>
      </c>
      <c r="G2675" t="s">
        <v>31</v>
      </c>
      <c r="H2675" t="s">
        <v>5</v>
      </c>
      <c r="I2675" t="s">
        <v>1491</v>
      </c>
      <c r="J2675">
        <v>1.3</v>
      </c>
      <c r="K2675" t="e">
        <f>IF(COUNTIF(#REF!,Tabela2[[#This Row],[IdxWspolny]])&gt;0,"ELEM_lub_PRD","TECHN")</f>
        <v>#REF!</v>
      </c>
      <c r="L2675" t="e">
        <f>IF(COUNTIF(#REF!,Tabela2[[#This Row],[KOD_PRODUKTU]])&gt;0,"ELEMENT","PRODUKT")</f>
        <v>#REF!</v>
      </c>
      <c r="M2675" t="e">
        <f>COUNTIF(#REF!,Tabela2[[#This Row],[KOD_PRODUKTU]])</f>
        <v>#REF!</v>
      </c>
    </row>
    <row r="2676" spans="1:13" x14ac:dyDescent="0.25">
      <c r="A2676" s="1" t="s">
        <v>4195</v>
      </c>
      <c r="B2676" t="s">
        <v>4196</v>
      </c>
      <c r="C2676" s="1" t="s">
        <v>432</v>
      </c>
      <c r="D2676" s="1" t="s">
        <v>432</v>
      </c>
      <c r="E2676" s="1" t="s">
        <v>432</v>
      </c>
      <c r="F2676" t="s">
        <v>433</v>
      </c>
      <c r="G2676" t="s">
        <v>434</v>
      </c>
      <c r="H2676" t="s">
        <v>435</v>
      </c>
      <c r="I2676" t="s">
        <v>50</v>
      </c>
      <c r="J2676">
        <v>1.1000000000000001</v>
      </c>
      <c r="K2676" t="e">
        <f>IF(COUNTIF(#REF!,Tabela2[[#This Row],[IdxWspolny]])&gt;0,"ELEM_lub_PRD","TECHN")</f>
        <v>#REF!</v>
      </c>
      <c r="L2676" t="e">
        <f>IF(COUNTIF(#REF!,Tabela2[[#This Row],[KOD_PRODUKTU]])&gt;0,"ELEMENT","PRODUKT")</f>
        <v>#REF!</v>
      </c>
      <c r="M2676" t="e">
        <f>COUNTIF(#REF!,Tabela2[[#This Row],[KOD_PRODUKTU]])</f>
        <v>#REF!</v>
      </c>
    </row>
    <row r="2677" spans="1:13" x14ac:dyDescent="0.25">
      <c r="A2677" s="1" t="s">
        <v>4195</v>
      </c>
      <c r="B2677" t="s">
        <v>4196</v>
      </c>
      <c r="C2677" s="1" t="s">
        <v>541</v>
      </c>
      <c r="D2677" s="1" t="s">
        <v>541</v>
      </c>
      <c r="E2677" s="1" t="s">
        <v>541</v>
      </c>
      <c r="F2677" t="s">
        <v>542</v>
      </c>
      <c r="G2677" t="s">
        <v>9</v>
      </c>
      <c r="H2677" t="s">
        <v>10</v>
      </c>
      <c r="I2677" t="s">
        <v>4197</v>
      </c>
      <c r="J2677">
        <v>3.89</v>
      </c>
      <c r="K2677" t="e">
        <f>IF(COUNTIF(#REF!,Tabela2[[#This Row],[IdxWspolny]])&gt;0,"ELEM_lub_PRD","TECHN")</f>
        <v>#REF!</v>
      </c>
      <c r="L2677" t="e">
        <f>IF(COUNTIF(#REF!,Tabela2[[#This Row],[KOD_PRODUKTU]])&gt;0,"ELEMENT","PRODUKT")</f>
        <v>#REF!</v>
      </c>
      <c r="M2677" t="e">
        <f>COUNTIF(#REF!,Tabela2[[#This Row],[KOD_PRODUKTU]])</f>
        <v>#REF!</v>
      </c>
    </row>
    <row r="2678" spans="1:13" x14ac:dyDescent="0.25">
      <c r="A2678" s="1" t="s">
        <v>4198</v>
      </c>
      <c r="B2678" t="s">
        <v>4199</v>
      </c>
      <c r="C2678" s="1" t="s">
        <v>4200</v>
      </c>
      <c r="D2678" s="1" t="s">
        <v>4200</v>
      </c>
      <c r="E2678" s="1" t="s">
        <v>4200</v>
      </c>
      <c r="F2678" t="s">
        <v>4201</v>
      </c>
      <c r="G2678" t="s">
        <v>1768</v>
      </c>
      <c r="H2678" t="s">
        <v>5</v>
      </c>
      <c r="I2678" t="s">
        <v>4202</v>
      </c>
      <c r="J2678">
        <v>0</v>
      </c>
      <c r="K2678" t="e">
        <f>IF(COUNTIF(#REF!,Tabela2[[#This Row],[IdxWspolny]])&gt;0,"ELEM_lub_PRD","TECHN")</f>
        <v>#REF!</v>
      </c>
      <c r="L2678" t="e">
        <f>IF(COUNTIF(#REF!,Tabela2[[#This Row],[KOD_PRODUKTU]])&gt;0,"ELEMENT","PRODUKT")</f>
        <v>#REF!</v>
      </c>
      <c r="M2678" t="e">
        <f>COUNTIF(#REF!,Tabela2[[#This Row],[KOD_PRODUKTU]])</f>
        <v>#REF!</v>
      </c>
    </row>
    <row r="2679" spans="1:13" x14ac:dyDescent="0.25">
      <c r="A2679" s="1" t="s">
        <v>4198</v>
      </c>
      <c r="B2679" t="s">
        <v>4199</v>
      </c>
      <c r="C2679" s="1" t="s">
        <v>541</v>
      </c>
      <c r="D2679" s="1" t="s">
        <v>541</v>
      </c>
      <c r="E2679" s="1" t="s">
        <v>541</v>
      </c>
      <c r="F2679" t="s">
        <v>542</v>
      </c>
      <c r="G2679" t="s">
        <v>9</v>
      </c>
      <c r="H2679" t="s">
        <v>10</v>
      </c>
      <c r="I2679" t="s">
        <v>4203</v>
      </c>
      <c r="J2679">
        <v>7.23</v>
      </c>
      <c r="K2679" t="e">
        <f>IF(COUNTIF(#REF!,Tabela2[[#This Row],[IdxWspolny]])&gt;0,"ELEM_lub_PRD","TECHN")</f>
        <v>#REF!</v>
      </c>
      <c r="L2679" t="e">
        <f>IF(COUNTIF(#REF!,Tabela2[[#This Row],[KOD_PRODUKTU]])&gt;0,"ELEMENT","PRODUKT")</f>
        <v>#REF!</v>
      </c>
      <c r="M2679" t="e">
        <f>COUNTIF(#REF!,Tabela2[[#This Row],[KOD_PRODUKTU]])</f>
        <v>#REF!</v>
      </c>
    </row>
    <row r="2680" spans="1:13" x14ac:dyDescent="0.25">
      <c r="A2680" s="1" t="s">
        <v>4204</v>
      </c>
      <c r="B2680" t="s">
        <v>4205</v>
      </c>
      <c r="C2680" s="1" t="s">
        <v>1099</v>
      </c>
      <c r="D2680" s="1" t="s">
        <v>1099</v>
      </c>
      <c r="E2680" s="1" t="s">
        <v>1099</v>
      </c>
      <c r="F2680" t="s">
        <v>1100</v>
      </c>
      <c r="G2680" t="s">
        <v>1101</v>
      </c>
      <c r="H2680" t="s">
        <v>49</v>
      </c>
      <c r="I2680" t="s">
        <v>4206</v>
      </c>
      <c r="J2680">
        <v>3.75</v>
      </c>
      <c r="K2680" t="e">
        <f>IF(COUNTIF(#REF!,Tabela2[[#This Row],[IdxWspolny]])&gt;0,"ELEM_lub_PRD","TECHN")</f>
        <v>#REF!</v>
      </c>
      <c r="L2680" t="e">
        <f>IF(COUNTIF(#REF!,Tabela2[[#This Row],[KOD_PRODUKTU]])&gt;0,"ELEMENT","PRODUKT")</f>
        <v>#REF!</v>
      </c>
      <c r="M2680" t="e">
        <f>COUNTIF(#REF!,Tabela2[[#This Row],[KOD_PRODUKTU]])</f>
        <v>#REF!</v>
      </c>
    </row>
    <row r="2681" spans="1:13" x14ac:dyDescent="0.25">
      <c r="A2681" s="1" t="s">
        <v>4204</v>
      </c>
      <c r="B2681" t="s">
        <v>4205</v>
      </c>
      <c r="C2681" s="1" t="s">
        <v>432</v>
      </c>
      <c r="D2681" s="1" t="s">
        <v>432</v>
      </c>
      <c r="E2681" s="1" t="s">
        <v>432</v>
      </c>
      <c r="F2681" t="s">
        <v>433</v>
      </c>
      <c r="G2681" t="s">
        <v>434</v>
      </c>
      <c r="H2681" t="s">
        <v>435</v>
      </c>
      <c r="I2681" t="s">
        <v>50</v>
      </c>
      <c r="J2681">
        <v>1.1000000000000001</v>
      </c>
      <c r="K2681" t="e">
        <f>IF(COUNTIF(#REF!,Tabela2[[#This Row],[IdxWspolny]])&gt;0,"ELEM_lub_PRD","TECHN")</f>
        <v>#REF!</v>
      </c>
      <c r="L2681" t="e">
        <f>IF(COUNTIF(#REF!,Tabela2[[#This Row],[KOD_PRODUKTU]])&gt;0,"ELEMENT","PRODUKT")</f>
        <v>#REF!</v>
      </c>
      <c r="M2681" t="e">
        <f>COUNTIF(#REF!,Tabela2[[#This Row],[KOD_PRODUKTU]])</f>
        <v>#REF!</v>
      </c>
    </row>
    <row r="2682" spans="1:13" x14ac:dyDescent="0.25">
      <c r="A2682" s="1" t="s">
        <v>4204</v>
      </c>
      <c r="B2682" t="s">
        <v>4205</v>
      </c>
      <c r="C2682" s="1" t="s">
        <v>541</v>
      </c>
      <c r="D2682" s="1" t="s">
        <v>541</v>
      </c>
      <c r="E2682" s="1" t="s">
        <v>541</v>
      </c>
      <c r="F2682" t="s">
        <v>542</v>
      </c>
      <c r="G2682" t="s">
        <v>9</v>
      </c>
      <c r="H2682" t="s">
        <v>10</v>
      </c>
      <c r="I2682" t="s">
        <v>4207</v>
      </c>
      <c r="J2682">
        <v>7.14</v>
      </c>
      <c r="K2682" t="e">
        <f>IF(COUNTIF(#REF!,Tabela2[[#This Row],[IdxWspolny]])&gt;0,"ELEM_lub_PRD","TECHN")</f>
        <v>#REF!</v>
      </c>
      <c r="L2682" t="e">
        <f>IF(COUNTIF(#REF!,Tabela2[[#This Row],[KOD_PRODUKTU]])&gt;0,"ELEMENT","PRODUKT")</f>
        <v>#REF!</v>
      </c>
      <c r="M2682" t="e">
        <f>COUNTIF(#REF!,Tabela2[[#This Row],[KOD_PRODUKTU]])</f>
        <v>#REF!</v>
      </c>
    </row>
    <row r="2683" spans="1:13" x14ac:dyDescent="0.25">
      <c r="A2683" s="1" t="s">
        <v>4208</v>
      </c>
      <c r="B2683" t="s">
        <v>4209</v>
      </c>
      <c r="C2683" s="1" t="s">
        <v>1047</v>
      </c>
      <c r="D2683" s="1" t="s">
        <v>1047</v>
      </c>
      <c r="E2683" s="1" t="s">
        <v>1047</v>
      </c>
      <c r="F2683" t="s">
        <v>1048</v>
      </c>
      <c r="G2683" t="s">
        <v>1434</v>
      </c>
      <c r="H2683" t="s">
        <v>17</v>
      </c>
      <c r="I2683" t="s">
        <v>4210</v>
      </c>
      <c r="J2683">
        <v>8.82</v>
      </c>
      <c r="K2683" t="e">
        <f>IF(COUNTIF(#REF!,Tabela2[[#This Row],[IdxWspolny]])&gt;0,"ELEM_lub_PRD","TECHN")</f>
        <v>#REF!</v>
      </c>
      <c r="L2683" t="e">
        <f>IF(COUNTIF(#REF!,Tabela2[[#This Row],[KOD_PRODUKTU]])&gt;0,"ELEMENT","PRODUKT")</f>
        <v>#REF!</v>
      </c>
      <c r="M2683" t="e">
        <f>COUNTIF(#REF!,Tabela2[[#This Row],[KOD_PRODUKTU]])</f>
        <v>#REF!</v>
      </c>
    </row>
    <row r="2684" spans="1:13" x14ac:dyDescent="0.25">
      <c r="A2684" s="1" t="s">
        <v>4208</v>
      </c>
      <c r="B2684" t="s">
        <v>4209</v>
      </c>
      <c r="C2684" s="1" t="s">
        <v>541</v>
      </c>
      <c r="D2684" s="1" t="s">
        <v>541</v>
      </c>
      <c r="E2684" s="1" t="s">
        <v>541</v>
      </c>
      <c r="F2684" t="s">
        <v>542</v>
      </c>
      <c r="G2684" t="s">
        <v>9</v>
      </c>
      <c r="H2684" t="s">
        <v>10</v>
      </c>
      <c r="I2684" t="s">
        <v>4211</v>
      </c>
      <c r="J2684">
        <v>4.87</v>
      </c>
      <c r="K2684" t="e">
        <f>IF(COUNTIF(#REF!,Tabela2[[#This Row],[IdxWspolny]])&gt;0,"ELEM_lub_PRD","TECHN")</f>
        <v>#REF!</v>
      </c>
      <c r="L2684" t="e">
        <f>IF(COUNTIF(#REF!,Tabela2[[#This Row],[KOD_PRODUKTU]])&gt;0,"ELEMENT","PRODUKT")</f>
        <v>#REF!</v>
      </c>
      <c r="M2684" t="e">
        <f>COUNTIF(#REF!,Tabela2[[#This Row],[KOD_PRODUKTU]])</f>
        <v>#REF!</v>
      </c>
    </row>
    <row r="2685" spans="1:13" x14ac:dyDescent="0.25">
      <c r="A2685" s="1" t="s">
        <v>4212</v>
      </c>
      <c r="B2685" t="s">
        <v>4213</v>
      </c>
      <c r="C2685" s="1" t="s">
        <v>1047</v>
      </c>
      <c r="D2685" s="1" t="s">
        <v>1047</v>
      </c>
      <c r="E2685" s="1" t="s">
        <v>1047</v>
      </c>
      <c r="F2685" t="s">
        <v>1048</v>
      </c>
      <c r="G2685" t="s">
        <v>1434</v>
      </c>
      <c r="H2685" t="s">
        <v>17</v>
      </c>
      <c r="I2685" t="s">
        <v>4214</v>
      </c>
      <c r="J2685">
        <v>12.87</v>
      </c>
      <c r="K2685" t="e">
        <f>IF(COUNTIF(#REF!,Tabela2[[#This Row],[IdxWspolny]])&gt;0,"ELEM_lub_PRD","TECHN")</f>
        <v>#REF!</v>
      </c>
      <c r="L2685" t="e">
        <f>IF(COUNTIF(#REF!,Tabela2[[#This Row],[KOD_PRODUKTU]])&gt;0,"ELEMENT","PRODUKT")</f>
        <v>#REF!</v>
      </c>
      <c r="M2685" t="e">
        <f>COUNTIF(#REF!,Tabela2[[#This Row],[KOD_PRODUKTU]])</f>
        <v>#REF!</v>
      </c>
    </row>
    <row r="2686" spans="1:13" x14ac:dyDescent="0.25">
      <c r="A2686" s="1" t="s">
        <v>4212</v>
      </c>
      <c r="B2686" t="s">
        <v>4213</v>
      </c>
      <c r="C2686" s="1" t="s">
        <v>541</v>
      </c>
      <c r="D2686" s="1" t="s">
        <v>541</v>
      </c>
      <c r="E2686" s="1" t="s">
        <v>541</v>
      </c>
      <c r="F2686" t="s">
        <v>542</v>
      </c>
      <c r="G2686" t="s">
        <v>9</v>
      </c>
      <c r="H2686" t="s">
        <v>10</v>
      </c>
      <c r="I2686" t="s">
        <v>4163</v>
      </c>
      <c r="J2686">
        <v>4.88</v>
      </c>
      <c r="K2686" t="e">
        <f>IF(COUNTIF(#REF!,Tabela2[[#This Row],[IdxWspolny]])&gt;0,"ELEM_lub_PRD","TECHN")</f>
        <v>#REF!</v>
      </c>
      <c r="L2686" t="e">
        <f>IF(COUNTIF(#REF!,Tabela2[[#This Row],[KOD_PRODUKTU]])&gt;0,"ELEMENT","PRODUKT")</f>
        <v>#REF!</v>
      </c>
      <c r="M2686" t="e">
        <f>COUNTIF(#REF!,Tabela2[[#This Row],[KOD_PRODUKTU]])</f>
        <v>#REF!</v>
      </c>
    </row>
    <row r="2687" spans="1:13" x14ac:dyDescent="0.25">
      <c r="A2687" s="1" t="s">
        <v>4215</v>
      </c>
      <c r="B2687" t="s">
        <v>4216</v>
      </c>
      <c r="C2687" s="1" t="s">
        <v>1547</v>
      </c>
      <c r="D2687" s="1" t="s">
        <v>1547</v>
      </c>
      <c r="E2687" s="1" t="s">
        <v>1547</v>
      </c>
      <c r="F2687" t="s">
        <v>1548</v>
      </c>
      <c r="G2687" t="s">
        <v>216</v>
      </c>
      <c r="H2687" t="s">
        <v>5</v>
      </c>
      <c r="I2687" t="s">
        <v>4217</v>
      </c>
      <c r="J2687">
        <v>8.1999999999999993</v>
      </c>
      <c r="K2687" t="e">
        <f>IF(COUNTIF(#REF!,Tabela2[[#This Row],[IdxWspolny]])&gt;0,"ELEM_lub_PRD","TECHN")</f>
        <v>#REF!</v>
      </c>
      <c r="L2687" t="e">
        <f>IF(COUNTIF(#REF!,Tabela2[[#This Row],[KOD_PRODUKTU]])&gt;0,"ELEMENT","PRODUKT")</f>
        <v>#REF!</v>
      </c>
      <c r="M2687" t="e">
        <f>COUNTIF(#REF!,Tabela2[[#This Row],[KOD_PRODUKTU]])</f>
        <v>#REF!</v>
      </c>
    </row>
    <row r="2688" spans="1:13" x14ac:dyDescent="0.25">
      <c r="A2688" s="1" t="s">
        <v>4215</v>
      </c>
      <c r="B2688" t="s">
        <v>4216</v>
      </c>
      <c r="C2688" s="1" t="s">
        <v>432</v>
      </c>
      <c r="D2688" s="1" t="s">
        <v>432</v>
      </c>
      <c r="E2688" s="1" t="s">
        <v>432</v>
      </c>
      <c r="F2688" t="s">
        <v>433</v>
      </c>
      <c r="G2688" t="s">
        <v>434</v>
      </c>
      <c r="H2688" t="s">
        <v>435</v>
      </c>
      <c r="I2688" t="s">
        <v>4218</v>
      </c>
      <c r="J2688">
        <v>1.75</v>
      </c>
      <c r="K2688" t="e">
        <f>IF(COUNTIF(#REF!,Tabela2[[#This Row],[IdxWspolny]])&gt;0,"ELEM_lub_PRD","TECHN")</f>
        <v>#REF!</v>
      </c>
      <c r="L2688" t="e">
        <f>IF(COUNTIF(#REF!,Tabela2[[#This Row],[KOD_PRODUKTU]])&gt;0,"ELEMENT","PRODUKT")</f>
        <v>#REF!</v>
      </c>
      <c r="M2688" t="e">
        <f>COUNTIF(#REF!,Tabela2[[#This Row],[KOD_PRODUKTU]])</f>
        <v>#REF!</v>
      </c>
    </row>
    <row r="2689" spans="1:13" x14ac:dyDescent="0.25">
      <c r="A2689" s="1" t="s">
        <v>4215</v>
      </c>
      <c r="B2689" t="s">
        <v>4216</v>
      </c>
      <c r="C2689" s="1" t="s">
        <v>541</v>
      </c>
      <c r="D2689" s="1" t="s">
        <v>541</v>
      </c>
      <c r="E2689" s="1" t="s">
        <v>541</v>
      </c>
      <c r="F2689" t="s">
        <v>542</v>
      </c>
      <c r="G2689" t="s">
        <v>9</v>
      </c>
      <c r="H2689" t="s">
        <v>10</v>
      </c>
      <c r="I2689" t="s">
        <v>2537</v>
      </c>
      <c r="J2689">
        <v>7.19</v>
      </c>
      <c r="K2689" t="e">
        <f>IF(COUNTIF(#REF!,Tabela2[[#This Row],[IdxWspolny]])&gt;0,"ELEM_lub_PRD","TECHN")</f>
        <v>#REF!</v>
      </c>
      <c r="L2689" t="e">
        <f>IF(COUNTIF(#REF!,Tabela2[[#This Row],[KOD_PRODUKTU]])&gt;0,"ELEMENT","PRODUKT")</f>
        <v>#REF!</v>
      </c>
      <c r="M2689" t="e">
        <f>COUNTIF(#REF!,Tabela2[[#This Row],[KOD_PRODUKTU]])</f>
        <v>#REF!</v>
      </c>
    </row>
    <row r="2690" spans="1:13" x14ac:dyDescent="0.25">
      <c r="A2690" s="1" t="s">
        <v>4219</v>
      </c>
      <c r="B2690" t="s">
        <v>4220</v>
      </c>
      <c r="C2690" s="1" t="s">
        <v>1547</v>
      </c>
      <c r="D2690" s="1" t="s">
        <v>1547</v>
      </c>
      <c r="E2690" s="1" t="s">
        <v>1547</v>
      </c>
      <c r="F2690" t="s">
        <v>1548</v>
      </c>
      <c r="G2690" t="s">
        <v>216</v>
      </c>
      <c r="H2690" t="s">
        <v>5</v>
      </c>
      <c r="I2690" t="s">
        <v>4221</v>
      </c>
      <c r="J2690">
        <v>9.35</v>
      </c>
      <c r="K2690" t="e">
        <f>IF(COUNTIF(#REF!,Tabela2[[#This Row],[IdxWspolny]])&gt;0,"ELEM_lub_PRD","TECHN")</f>
        <v>#REF!</v>
      </c>
      <c r="L2690" t="e">
        <f>IF(COUNTIF(#REF!,Tabela2[[#This Row],[KOD_PRODUKTU]])&gt;0,"ELEMENT","PRODUKT")</f>
        <v>#REF!</v>
      </c>
      <c r="M2690" t="e">
        <f>COUNTIF(#REF!,Tabela2[[#This Row],[KOD_PRODUKTU]])</f>
        <v>#REF!</v>
      </c>
    </row>
    <row r="2691" spans="1:13" x14ac:dyDescent="0.25">
      <c r="A2691" s="1" t="s">
        <v>4219</v>
      </c>
      <c r="B2691" t="s">
        <v>4220</v>
      </c>
      <c r="C2691" s="1" t="s">
        <v>432</v>
      </c>
      <c r="D2691" s="1" t="s">
        <v>432</v>
      </c>
      <c r="E2691" s="1" t="s">
        <v>432</v>
      </c>
      <c r="F2691" t="s">
        <v>433</v>
      </c>
      <c r="G2691" t="s">
        <v>434</v>
      </c>
      <c r="H2691" t="s">
        <v>435</v>
      </c>
      <c r="I2691" t="s">
        <v>4222</v>
      </c>
      <c r="J2691">
        <v>2.0499999999999998</v>
      </c>
      <c r="K2691" t="e">
        <f>IF(COUNTIF(#REF!,Tabela2[[#This Row],[IdxWspolny]])&gt;0,"ELEM_lub_PRD","TECHN")</f>
        <v>#REF!</v>
      </c>
      <c r="L2691" t="e">
        <f>IF(COUNTIF(#REF!,Tabela2[[#This Row],[KOD_PRODUKTU]])&gt;0,"ELEMENT","PRODUKT")</f>
        <v>#REF!</v>
      </c>
      <c r="M2691" t="e">
        <f>COUNTIF(#REF!,Tabela2[[#This Row],[KOD_PRODUKTU]])</f>
        <v>#REF!</v>
      </c>
    </row>
    <row r="2692" spans="1:13" x14ac:dyDescent="0.25">
      <c r="A2692" s="1" t="s">
        <v>4219</v>
      </c>
      <c r="B2692" t="s">
        <v>4220</v>
      </c>
      <c r="C2692" s="1" t="s">
        <v>541</v>
      </c>
      <c r="D2692" s="1" t="s">
        <v>541</v>
      </c>
      <c r="E2692" s="1" t="s">
        <v>541</v>
      </c>
      <c r="F2692" t="s">
        <v>542</v>
      </c>
      <c r="G2692" t="s">
        <v>9</v>
      </c>
      <c r="H2692" t="s">
        <v>10</v>
      </c>
      <c r="I2692" t="s">
        <v>2537</v>
      </c>
      <c r="J2692">
        <v>7.19</v>
      </c>
      <c r="K2692" t="e">
        <f>IF(COUNTIF(#REF!,Tabela2[[#This Row],[IdxWspolny]])&gt;0,"ELEM_lub_PRD","TECHN")</f>
        <v>#REF!</v>
      </c>
      <c r="L2692" t="e">
        <f>IF(COUNTIF(#REF!,Tabela2[[#This Row],[KOD_PRODUKTU]])&gt;0,"ELEMENT","PRODUKT")</f>
        <v>#REF!</v>
      </c>
      <c r="M2692" t="e">
        <f>COUNTIF(#REF!,Tabela2[[#This Row],[KOD_PRODUKTU]])</f>
        <v>#REF!</v>
      </c>
    </row>
    <row r="2693" spans="1:13" x14ac:dyDescent="0.25">
      <c r="A2693" s="1" t="s">
        <v>4223</v>
      </c>
      <c r="B2693" t="s">
        <v>4224</v>
      </c>
      <c r="C2693" s="1" t="s">
        <v>684</v>
      </c>
      <c r="D2693" s="1" t="s">
        <v>684</v>
      </c>
      <c r="E2693" s="1" t="s">
        <v>684</v>
      </c>
      <c r="F2693" t="s">
        <v>685</v>
      </c>
      <c r="G2693" t="s">
        <v>686</v>
      </c>
      <c r="H2693" t="s">
        <v>49</v>
      </c>
      <c r="I2693" t="s">
        <v>4225</v>
      </c>
      <c r="J2693">
        <v>53</v>
      </c>
      <c r="K2693" t="e">
        <f>IF(COUNTIF(#REF!,Tabela2[[#This Row],[IdxWspolny]])&gt;0,"ELEM_lub_PRD","TECHN")</f>
        <v>#REF!</v>
      </c>
      <c r="L2693" t="e">
        <f>IF(COUNTIF(#REF!,Tabela2[[#This Row],[KOD_PRODUKTU]])&gt;0,"ELEMENT","PRODUKT")</f>
        <v>#REF!</v>
      </c>
      <c r="M2693" t="e">
        <f>COUNTIF(#REF!,Tabela2[[#This Row],[KOD_PRODUKTU]])</f>
        <v>#REF!</v>
      </c>
    </row>
    <row r="2694" spans="1:13" x14ac:dyDescent="0.25">
      <c r="A2694" s="1" t="s">
        <v>4223</v>
      </c>
      <c r="B2694" t="s">
        <v>4224</v>
      </c>
      <c r="C2694" s="1" t="s">
        <v>541</v>
      </c>
      <c r="D2694" s="1" t="s">
        <v>541</v>
      </c>
      <c r="E2694" s="1" t="s">
        <v>541</v>
      </c>
      <c r="F2694" t="s">
        <v>542</v>
      </c>
      <c r="G2694" t="s">
        <v>9</v>
      </c>
      <c r="H2694" t="s">
        <v>10</v>
      </c>
      <c r="I2694" t="s">
        <v>4226</v>
      </c>
      <c r="J2694">
        <v>58.49</v>
      </c>
      <c r="K2694" t="e">
        <f>IF(COUNTIF(#REF!,Tabela2[[#This Row],[IdxWspolny]])&gt;0,"ELEM_lub_PRD","TECHN")</f>
        <v>#REF!</v>
      </c>
      <c r="L2694" t="e">
        <f>IF(COUNTIF(#REF!,Tabela2[[#This Row],[KOD_PRODUKTU]])&gt;0,"ELEMENT","PRODUKT")</f>
        <v>#REF!</v>
      </c>
      <c r="M2694" t="e">
        <f>COUNTIF(#REF!,Tabela2[[#This Row],[KOD_PRODUKTU]])</f>
        <v>#REF!</v>
      </c>
    </row>
    <row r="2695" spans="1:13" x14ac:dyDescent="0.25">
      <c r="A2695" s="1" t="s">
        <v>4223</v>
      </c>
      <c r="B2695" t="s">
        <v>4224</v>
      </c>
      <c r="C2695" s="1" t="s">
        <v>541</v>
      </c>
      <c r="D2695" s="1" t="s">
        <v>541</v>
      </c>
      <c r="E2695" s="1" t="s">
        <v>541</v>
      </c>
      <c r="F2695" t="s">
        <v>542</v>
      </c>
      <c r="G2695" t="s">
        <v>9</v>
      </c>
      <c r="H2695" t="s">
        <v>10</v>
      </c>
      <c r="I2695" t="s">
        <v>2315</v>
      </c>
      <c r="J2695">
        <v>41.4</v>
      </c>
      <c r="K2695" t="e">
        <f>IF(COUNTIF(#REF!,Tabela2[[#This Row],[IdxWspolny]])&gt;0,"ELEM_lub_PRD","TECHN")</f>
        <v>#REF!</v>
      </c>
      <c r="L2695" t="e">
        <f>IF(COUNTIF(#REF!,Tabela2[[#This Row],[KOD_PRODUKTU]])&gt;0,"ELEMENT","PRODUKT")</f>
        <v>#REF!</v>
      </c>
      <c r="M2695" t="e">
        <f>COUNTIF(#REF!,Tabela2[[#This Row],[KOD_PRODUKTU]])</f>
        <v>#REF!</v>
      </c>
    </row>
    <row r="2696" spans="1:13" x14ac:dyDescent="0.25">
      <c r="A2696" s="1" t="s">
        <v>4223</v>
      </c>
      <c r="B2696" t="s">
        <v>4224</v>
      </c>
      <c r="C2696" s="1" t="s">
        <v>541</v>
      </c>
      <c r="D2696" s="1" t="s">
        <v>541</v>
      </c>
      <c r="E2696" s="1" t="s">
        <v>541</v>
      </c>
      <c r="F2696" t="s">
        <v>542</v>
      </c>
      <c r="G2696" t="s">
        <v>9</v>
      </c>
      <c r="H2696" t="s">
        <v>10</v>
      </c>
      <c r="I2696" t="s">
        <v>367</v>
      </c>
      <c r="J2696">
        <v>2.2999999999999998</v>
      </c>
      <c r="K2696" t="e">
        <f>IF(COUNTIF(#REF!,Tabela2[[#This Row],[IdxWspolny]])&gt;0,"ELEM_lub_PRD","TECHN")</f>
        <v>#REF!</v>
      </c>
      <c r="L2696" t="e">
        <f>IF(COUNTIF(#REF!,Tabela2[[#This Row],[KOD_PRODUKTU]])&gt;0,"ELEMENT","PRODUKT")</f>
        <v>#REF!</v>
      </c>
      <c r="M2696" t="e">
        <f>COUNTIF(#REF!,Tabela2[[#This Row],[KOD_PRODUKTU]])</f>
        <v>#REF!</v>
      </c>
    </row>
    <row r="2697" spans="1:13" x14ac:dyDescent="0.25">
      <c r="A2697" s="1" t="s">
        <v>4227</v>
      </c>
      <c r="B2697" t="s">
        <v>4228</v>
      </c>
      <c r="C2697" s="1" t="s">
        <v>4229</v>
      </c>
      <c r="D2697" s="1" t="s">
        <v>4229</v>
      </c>
      <c r="E2697" s="1" t="s">
        <v>4229</v>
      </c>
      <c r="F2697" t="s">
        <v>4230</v>
      </c>
      <c r="G2697" t="s">
        <v>4231</v>
      </c>
      <c r="H2697" t="s">
        <v>5</v>
      </c>
      <c r="I2697" t="s">
        <v>4232</v>
      </c>
      <c r="J2697">
        <v>17.100000000000001</v>
      </c>
      <c r="K2697" t="e">
        <f>IF(COUNTIF(#REF!,Tabela2[[#This Row],[IdxWspolny]])&gt;0,"ELEM_lub_PRD","TECHN")</f>
        <v>#REF!</v>
      </c>
      <c r="L2697" t="e">
        <f>IF(COUNTIF(#REF!,Tabela2[[#This Row],[KOD_PRODUKTU]])&gt;0,"ELEMENT","PRODUKT")</f>
        <v>#REF!</v>
      </c>
      <c r="M2697" t="e">
        <f>COUNTIF(#REF!,Tabela2[[#This Row],[KOD_PRODUKTU]])</f>
        <v>#REF!</v>
      </c>
    </row>
    <row r="2698" spans="1:13" x14ac:dyDescent="0.25">
      <c r="A2698" s="1" t="s">
        <v>4227</v>
      </c>
      <c r="B2698" t="s">
        <v>4228</v>
      </c>
      <c r="C2698" s="1" t="s">
        <v>4233</v>
      </c>
      <c r="D2698" s="1" t="s">
        <v>4233</v>
      </c>
      <c r="E2698" s="1" t="s">
        <v>4233</v>
      </c>
      <c r="F2698" t="s">
        <v>4234</v>
      </c>
      <c r="G2698" t="s">
        <v>4235</v>
      </c>
      <c r="H2698" t="s">
        <v>121</v>
      </c>
      <c r="I2698" t="s">
        <v>50</v>
      </c>
      <c r="J2698">
        <v>62.99</v>
      </c>
      <c r="K2698" t="e">
        <f>IF(COUNTIF(#REF!,Tabela2[[#This Row],[IdxWspolny]])&gt;0,"ELEM_lub_PRD","TECHN")</f>
        <v>#REF!</v>
      </c>
      <c r="L2698" t="e">
        <f>IF(COUNTIF(#REF!,Tabela2[[#This Row],[KOD_PRODUKTU]])&gt;0,"ELEMENT","PRODUKT")</f>
        <v>#REF!</v>
      </c>
      <c r="M2698" t="e">
        <f>COUNTIF(#REF!,Tabela2[[#This Row],[KOD_PRODUKTU]])</f>
        <v>#REF!</v>
      </c>
    </row>
    <row r="2699" spans="1:13" x14ac:dyDescent="0.25">
      <c r="A2699" s="1" t="s">
        <v>4227</v>
      </c>
      <c r="B2699" t="s">
        <v>4228</v>
      </c>
      <c r="C2699" s="1" t="s">
        <v>857</v>
      </c>
      <c r="D2699" s="1" t="s">
        <v>857</v>
      </c>
      <c r="E2699" s="1" t="s">
        <v>857</v>
      </c>
      <c r="F2699" t="s">
        <v>858</v>
      </c>
      <c r="G2699" t="s">
        <v>686</v>
      </c>
      <c r="H2699" t="s">
        <v>49</v>
      </c>
      <c r="I2699" t="s">
        <v>4236</v>
      </c>
      <c r="J2699">
        <v>3.02</v>
      </c>
      <c r="K2699" t="e">
        <f>IF(COUNTIF(#REF!,Tabela2[[#This Row],[IdxWspolny]])&gt;0,"ELEM_lub_PRD","TECHN")</f>
        <v>#REF!</v>
      </c>
      <c r="L2699" t="e">
        <f>IF(COUNTIF(#REF!,Tabela2[[#This Row],[KOD_PRODUKTU]])&gt;0,"ELEMENT","PRODUKT")</f>
        <v>#REF!</v>
      </c>
      <c r="M2699" t="e">
        <f>COUNTIF(#REF!,Tabela2[[#This Row],[KOD_PRODUKTU]])</f>
        <v>#REF!</v>
      </c>
    </row>
    <row r="2700" spans="1:13" x14ac:dyDescent="0.25">
      <c r="A2700" s="1" t="s">
        <v>4227</v>
      </c>
      <c r="B2700" t="s">
        <v>4228</v>
      </c>
      <c r="C2700" s="1" t="s">
        <v>541</v>
      </c>
      <c r="D2700" s="1" t="s">
        <v>541</v>
      </c>
      <c r="E2700" s="1" t="s">
        <v>541</v>
      </c>
      <c r="F2700" t="s">
        <v>542</v>
      </c>
      <c r="G2700" t="s">
        <v>9</v>
      </c>
      <c r="H2700" t="s">
        <v>10</v>
      </c>
      <c r="I2700" t="s">
        <v>3427</v>
      </c>
      <c r="J2700">
        <v>9.66</v>
      </c>
      <c r="K2700" t="e">
        <f>IF(COUNTIF(#REF!,Tabela2[[#This Row],[IdxWspolny]])&gt;0,"ELEM_lub_PRD","TECHN")</f>
        <v>#REF!</v>
      </c>
      <c r="L2700" t="e">
        <f>IF(COUNTIF(#REF!,Tabela2[[#This Row],[KOD_PRODUKTU]])&gt;0,"ELEMENT","PRODUKT")</f>
        <v>#REF!</v>
      </c>
      <c r="M2700" t="e">
        <f>COUNTIF(#REF!,Tabela2[[#This Row],[KOD_PRODUKTU]])</f>
        <v>#REF!</v>
      </c>
    </row>
    <row r="2701" spans="1:13" x14ac:dyDescent="0.25">
      <c r="A2701" s="1" t="s">
        <v>4227</v>
      </c>
      <c r="B2701" t="s">
        <v>4228</v>
      </c>
      <c r="C2701" s="1" t="s">
        <v>541</v>
      </c>
      <c r="D2701" s="1" t="s">
        <v>541</v>
      </c>
      <c r="E2701" s="1" t="s">
        <v>541</v>
      </c>
      <c r="F2701" t="s">
        <v>542</v>
      </c>
      <c r="G2701" t="s">
        <v>9</v>
      </c>
      <c r="H2701" t="s">
        <v>10</v>
      </c>
      <c r="I2701" t="s">
        <v>3427</v>
      </c>
      <c r="J2701">
        <v>9.66</v>
      </c>
      <c r="K2701" t="e">
        <f>IF(COUNTIF(#REF!,Tabela2[[#This Row],[IdxWspolny]])&gt;0,"ELEM_lub_PRD","TECHN")</f>
        <v>#REF!</v>
      </c>
      <c r="L2701" t="e">
        <f>IF(COUNTIF(#REF!,Tabela2[[#This Row],[KOD_PRODUKTU]])&gt;0,"ELEMENT","PRODUKT")</f>
        <v>#REF!</v>
      </c>
      <c r="M2701" t="e">
        <f>COUNTIF(#REF!,Tabela2[[#This Row],[KOD_PRODUKTU]])</f>
        <v>#REF!</v>
      </c>
    </row>
    <row r="2702" spans="1:13" x14ac:dyDescent="0.25">
      <c r="A2702" s="1" t="s">
        <v>4227</v>
      </c>
      <c r="B2702" t="s">
        <v>4228</v>
      </c>
      <c r="C2702" s="1" t="s">
        <v>541</v>
      </c>
      <c r="D2702" s="1" t="s">
        <v>541</v>
      </c>
      <c r="E2702" s="1" t="s">
        <v>541</v>
      </c>
      <c r="F2702" t="s">
        <v>542</v>
      </c>
      <c r="G2702" t="s">
        <v>9</v>
      </c>
      <c r="H2702" t="s">
        <v>10</v>
      </c>
      <c r="I2702" t="s">
        <v>4237</v>
      </c>
      <c r="J2702">
        <v>41.08</v>
      </c>
      <c r="K2702" t="e">
        <f>IF(COUNTIF(#REF!,Tabela2[[#This Row],[IdxWspolny]])&gt;0,"ELEM_lub_PRD","TECHN")</f>
        <v>#REF!</v>
      </c>
      <c r="L2702" t="e">
        <f>IF(COUNTIF(#REF!,Tabela2[[#This Row],[KOD_PRODUKTU]])&gt;0,"ELEMENT","PRODUKT")</f>
        <v>#REF!</v>
      </c>
      <c r="M2702" t="e">
        <f>COUNTIF(#REF!,Tabela2[[#This Row],[KOD_PRODUKTU]])</f>
        <v>#REF!</v>
      </c>
    </row>
    <row r="2703" spans="1:13" x14ac:dyDescent="0.25">
      <c r="A2703" s="1" t="s">
        <v>4227</v>
      </c>
      <c r="B2703" t="s">
        <v>4228</v>
      </c>
      <c r="C2703" s="1" t="s">
        <v>541</v>
      </c>
      <c r="D2703" s="1" t="s">
        <v>541</v>
      </c>
      <c r="E2703" s="1" t="s">
        <v>541</v>
      </c>
      <c r="F2703" t="s">
        <v>542</v>
      </c>
      <c r="G2703" t="s">
        <v>9</v>
      </c>
      <c r="H2703" t="s">
        <v>10</v>
      </c>
      <c r="I2703" t="s">
        <v>2890</v>
      </c>
      <c r="J2703">
        <v>2.42</v>
      </c>
      <c r="K2703" t="e">
        <f>IF(COUNTIF(#REF!,Tabela2[[#This Row],[IdxWspolny]])&gt;0,"ELEM_lub_PRD","TECHN")</f>
        <v>#REF!</v>
      </c>
      <c r="L2703" t="e">
        <f>IF(COUNTIF(#REF!,Tabela2[[#This Row],[KOD_PRODUKTU]])&gt;0,"ELEMENT","PRODUKT")</f>
        <v>#REF!</v>
      </c>
      <c r="M2703" t="e">
        <f>COUNTIF(#REF!,Tabela2[[#This Row],[KOD_PRODUKTU]])</f>
        <v>#REF!</v>
      </c>
    </row>
    <row r="2704" spans="1:13" x14ac:dyDescent="0.25">
      <c r="A2704" s="1" t="s">
        <v>4227</v>
      </c>
      <c r="B2704" t="s">
        <v>4228</v>
      </c>
      <c r="C2704" s="1" t="s">
        <v>7</v>
      </c>
      <c r="D2704" s="1" t="s">
        <v>7</v>
      </c>
      <c r="E2704" s="1" t="s">
        <v>7</v>
      </c>
      <c r="F2704" t="s">
        <v>8</v>
      </c>
      <c r="G2704" t="s">
        <v>9</v>
      </c>
      <c r="H2704" t="s">
        <v>10</v>
      </c>
      <c r="I2704" t="s">
        <v>4238</v>
      </c>
      <c r="J2704">
        <v>60.38</v>
      </c>
      <c r="K2704" t="e">
        <f>IF(COUNTIF(#REF!,Tabela2[[#This Row],[IdxWspolny]])&gt;0,"ELEM_lub_PRD","TECHN")</f>
        <v>#REF!</v>
      </c>
      <c r="L2704" t="e">
        <f>IF(COUNTIF(#REF!,Tabela2[[#This Row],[KOD_PRODUKTU]])&gt;0,"ELEMENT","PRODUKT")</f>
        <v>#REF!</v>
      </c>
      <c r="M2704" t="e">
        <f>COUNTIF(#REF!,Tabela2[[#This Row],[KOD_PRODUKTU]])</f>
        <v>#REF!</v>
      </c>
    </row>
    <row r="2705" spans="1:13" x14ac:dyDescent="0.25">
      <c r="A2705" s="1" t="s">
        <v>4239</v>
      </c>
      <c r="B2705" t="s">
        <v>4240</v>
      </c>
      <c r="C2705" s="1" t="s">
        <v>3688</v>
      </c>
      <c r="D2705" s="1" t="s">
        <v>3688</v>
      </c>
      <c r="E2705" s="1" t="s">
        <v>3688</v>
      </c>
      <c r="F2705" t="s">
        <v>3689</v>
      </c>
      <c r="G2705" t="s">
        <v>1768</v>
      </c>
      <c r="H2705" t="s">
        <v>5</v>
      </c>
      <c r="I2705" t="s">
        <v>4241</v>
      </c>
      <c r="J2705">
        <v>0</v>
      </c>
      <c r="K2705" t="e">
        <f>IF(COUNTIF(#REF!,Tabela2[[#This Row],[IdxWspolny]])&gt;0,"ELEM_lub_PRD","TECHN")</f>
        <v>#REF!</v>
      </c>
      <c r="L2705" t="e">
        <f>IF(COUNTIF(#REF!,Tabela2[[#This Row],[KOD_PRODUKTU]])&gt;0,"ELEMENT","PRODUKT")</f>
        <v>#REF!</v>
      </c>
      <c r="M2705" t="e">
        <f>COUNTIF(#REF!,Tabela2[[#This Row],[KOD_PRODUKTU]])</f>
        <v>#REF!</v>
      </c>
    </row>
    <row r="2706" spans="1:13" x14ac:dyDescent="0.25">
      <c r="A2706" s="1" t="s">
        <v>4239</v>
      </c>
      <c r="B2706" t="s">
        <v>4240</v>
      </c>
      <c r="C2706" s="1" t="s">
        <v>541</v>
      </c>
      <c r="D2706" s="1" t="s">
        <v>541</v>
      </c>
      <c r="E2706" s="1" t="s">
        <v>541</v>
      </c>
      <c r="F2706" t="s">
        <v>542</v>
      </c>
      <c r="G2706" t="s">
        <v>9</v>
      </c>
      <c r="H2706" t="s">
        <v>10</v>
      </c>
      <c r="I2706" t="s">
        <v>3514</v>
      </c>
      <c r="J2706">
        <v>4.8499999999999996</v>
      </c>
      <c r="K2706" t="e">
        <f>IF(COUNTIF(#REF!,Tabela2[[#This Row],[IdxWspolny]])&gt;0,"ELEM_lub_PRD","TECHN")</f>
        <v>#REF!</v>
      </c>
      <c r="L2706" t="e">
        <f>IF(COUNTIF(#REF!,Tabela2[[#This Row],[KOD_PRODUKTU]])&gt;0,"ELEMENT","PRODUKT")</f>
        <v>#REF!</v>
      </c>
      <c r="M2706" t="e">
        <f>COUNTIF(#REF!,Tabela2[[#This Row],[KOD_PRODUKTU]])</f>
        <v>#REF!</v>
      </c>
    </row>
    <row r="2707" spans="1:13" x14ac:dyDescent="0.25">
      <c r="A2707" s="1" t="s">
        <v>4242</v>
      </c>
      <c r="B2707" t="s">
        <v>4243</v>
      </c>
      <c r="C2707" s="1" t="s">
        <v>684</v>
      </c>
      <c r="D2707" s="1" t="s">
        <v>684</v>
      </c>
      <c r="E2707" s="1" t="s">
        <v>684</v>
      </c>
      <c r="F2707" t="s">
        <v>685</v>
      </c>
      <c r="G2707" t="s">
        <v>686</v>
      </c>
      <c r="H2707" t="s">
        <v>49</v>
      </c>
      <c r="I2707" t="s">
        <v>4244</v>
      </c>
      <c r="J2707">
        <v>55.5</v>
      </c>
      <c r="K2707" t="e">
        <f>IF(COUNTIF(#REF!,Tabela2[[#This Row],[IdxWspolny]])&gt;0,"ELEM_lub_PRD","TECHN")</f>
        <v>#REF!</v>
      </c>
      <c r="L2707" t="e">
        <f>IF(COUNTIF(#REF!,Tabela2[[#This Row],[KOD_PRODUKTU]])&gt;0,"ELEMENT","PRODUKT")</f>
        <v>#REF!</v>
      </c>
      <c r="M2707" t="e">
        <f>COUNTIF(#REF!,Tabela2[[#This Row],[KOD_PRODUKTU]])</f>
        <v>#REF!</v>
      </c>
    </row>
    <row r="2708" spans="1:13" x14ac:dyDescent="0.25">
      <c r="A2708" s="1" t="s">
        <v>4242</v>
      </c>
      <c r="B2708" t="s">
        <v>4243</v>
      </c>
      <c r="C2708" s="1" t="s">
        <v>541</v>
      </c>
      <c r="D2708" s="1" t="s">
        <v>541</v>
      </c>
      <c r="E2708" s="1" t="s">
        <v>541</v>
      </c>
      <c r="F2708" t="s">
        <v>542</v>
      </c>
      <c r="G2708" t="s">
        <v>9</v>
      </c>
      <c r="H2708" t="s">
        <v>10</v>
      </c>
      <c r="I2708" t="s">
        <v>2315</v>
      </c>
      <c r="J2708">
        <v>41.4</v>
      </c>
      <c r="K2708" t="e">
        <f>IF(COUNTIF(#REF!,Tabela2[[#This Row],[IdxWspolny]])&gt;0,"ELEM_lub_PRD","TECHN")</f>
        <v>#REF!</v>
      </c>
      <c r="L2708" t="e">
        <f>IF(COUNTIF(#REF!,Tabela2[[#This Row],[KOD_PRODUKTU]])&gt;0,"ELEMENT","PRODUKT")</f>
        <v>#REF!</v>
      </c>
      <c r="M2708" t="e">
        <f>COUNTIF(#REF!,Tabela2[[#This Row],[KOD_PRODUKTU]])</f>
        <v>#REF!</v>
      </c>
    </row>
    <row r="2709" spans="1:13" x14ac:dyDescent="0.25">
      <c r="A2709" s="1" t="s">
        <v>4242</v>
      </c>
      <c r="B2709" t="s">
        <v>4243</v>
      </c>
      <c r="C2709" s="1" t="s">
        <v>541</v>
      </c>
      <c r="D2709" s="1" t="s">
        <v>541</v>
      </c>
      <c r="E2709" s="1" t="s">
        <v>541</v>
      </c>
      <c r="F2709" t="s">
        <v>542</v>
      </c>
      <c r="G2709" t="s">
        <v>9</v>
      </c>
      <c r="H2709" t="s">
        <v>10</v>
      </c>
      <c r="I2709" t="s">
        <v>4245</v>
      </c>
      <c r="J2709">
        <v>60.72</v>
      </c>
      <c r="K2709" t="e">
        <f>IF(COUNTIF(#REF!,Tabela2[[#This Row],[IdxWspolny]])&gt;0,"ELEM_lub_PRD","TECHN")</f>
        <v>#REF!</v>
      </c>
      <c r="L2709" t="e">
        <f>IF(COUNTIF(#REF!,Tabela2[[#This Row],[KOD_PRODUKTU]])&gt;0,"ELEMENT","PRODUKT")</f>
        <v>#REF!</v>
      </c>
      <c r="M2709" t="e">
        <f>COUNTIF(#REF!,Tabela2[[#This Row],[KOD_PRODUKTU]])</f>
        <v>#REF!</v>
      </c>
    </row>
    <row r="2710" spans="1:13" x14ac:dyDescent="0.25">
      <c r="A2710" s="1" t="s">
        <v>4242</v>
      </c>
      <c r="B2710" t="s">
        <v>4243</v>
      </c>
      <c r="C2710" s="1" t="s">
        <v>541</v>
      </c>
      <c r="D2710" s="1" t="s">
        <v>541</v>
      </c>
      <c r="E2710" s="1" t="s">
        <v>541</v>
      </c>
      <c r="F2710" t="s">
        <v>542</v>
      </c>
      <c r="G2710" t="s">
        <v>9</v>
      </c>
      <c r="H2710" t="s">
        <v>10</v>
      </c>
      <c r="I2710" t="s">
        <v>367</v>
      </c>
      <c r="J2710">
        <v>2.2999999999999998</v>
      </c>
      <c r="K2710" t="e">
        <f>IF(COUNTIF(#REF!,Tabela2[[#This Row],[IdxWspolny]])&gt;0,"ELEM_lub_PRD","TECHN")</f>
        <v>#REF!</v>
      </c>
      <c r="L2710" t="e">
        <f>IF(COUNTIF(#REF!,Tabela2[[#This Row],[KOD_PRODUKTU]])&gt;0,"ELEMENT","PRODUKT")</f>
        <v>#REF!</v>
      </c>
      <c r="M2710" t="e">
        <f>COUNTIF(#REF!,Tabela2[[#This Row],[KOD_PRODUKTU]])</f>
        <v>#REF!</v>
      </c>
    </row>
    <row r="2711" spans="1:13" x14ac:dyDescent="0.25">
      <c r="A2711" s="1" t="s">
        <v>4246</v>
      </c>
      <c r="B2711" t="s">
        <v>4247</v>
      </c>
      <c r="C2711" s="1" t="s">
        <v>1099</v>
      </c>
      <c r="D2711" s="1" t="s">
        <v>1099</v>
      </c>
      <c r="E2711" s="1" t="s">
        <v>1099</v>
      </c>
      <c r="F2711" t="s">
        <v>1100</v>
      </c>
      <c r="G2711" t="s">
        <v>1101</v>
      </c>
      <c r="H2711" t="s">
        <v>932</v>
      </c>
      <c r="I2711" t="s">
        <v>4248</v>
      </c>
      <c r="J2711">
        <v>2.1</v>
      </c>
      <c r="K2711" t="e">
        <f>IF(COUNTIF(#REF!,Tabela2[[#This Row],[IdxWspolny]])&gt;0,"ELEM_lub_PRD","TECHN")</f>
        <v>#REF!</v>
      </c>
      <c r="L2711" t="e">
        <f>IF(COUNTIF(#REF!,Tabela2[[#This Row],[KOD_PRODUKTU]])&gt;0,"ELEMENT","PRODUKT")</f>
        <v>#REF!</v>
      </c>
      <c r="M2711" t="e">
        <f>COUNTIF(#REF!,Tabela2[[#This Row],[KOD_PRODUKTU]])</f>
        <v>#REF!</v>
      </c>
    </row>
    <row r="2712" spans="1:13" x14ac:dyDescent="0.25">
      <c r="A2712" s="1" t="s">
        <v>4246</v>
      </c>
      <c r="B2712" t="s">
        <v>4247</v>
      </c>
      <c r="C2712" s="1" t="s">
        <v>432</v>
      </c>
      <c r="D2712" s="1" t="s">
        <v>432</v>
      </c>
      <c r="E2712" s="1" t="s">
        <v>432</v>
      </c>
      <c r="F2712" t="s">
        <v>433</v>
      </c>
      <c r="G2712" t="s">
        <v>434</v>
      </c>
      <c r="H2712" t="s">
        <v>435</v>
      </c>
      <c r="I2712" t="s">
        <v>50</v>
      </c>
      <c r="J2712">
        <v>1.1000000000000001</v>
      </c>
      <c r="K2712" t="e">
        <f>IF(COUNTIF(#REF!,Tabela2[[#This Row],[IdxWspolny]])&gt;0,"ELEM_lub_PRD","TECHN")</f>
        <v>#REF!</v>
      </c>
      <c r="L2712" t="e">
        <f>IF(COUNTIF(#REF!,Tabela2[[#This Row],[KOD_PRODUKTU]])&gt;0,"ELEMENT","PRODUKT")</f>
        <v>#REF!</v>
      </c>
      <c r="M2712" t="e">
        <f>COUNTIF(#REF!,Tabela2[[#This Row],[KOD_PRODUKTU]])</f>
        <v>#REF!</v>
      </c>
    </row>
    <row r="2713" spans="1:13" x14ac:dyDescent="0.25">
      <c r="A2713" s="1" t="s">
        <v>4246</v>
      </c>
      <c r="B2713" t="s">
        <v>4247</v>
      </c>
      <c r="C2713" s="1" t="s">
        <v>541</v>
      </c>
      <c r="D2713" s="1" t="s">
        <v>541</v>
      </c>
      <c r="E2713" s="1" t="s">
        <v>541</v>
      </c>
      <c r="F2713" t="s">
        <v>542</v>
      </c>
      <c r="G2713" t="s">
        <v>9</v>
      </c>
      <c r="H2713" t="s">
        <v>10</v>
      </c>
      <c r="I2713" t="s">
        <v>33</v>
      </c>
      <c r="J2713">
        <v>9.1999999999999993</v>
      </c>
      <c r="K2713" t="e">
        <f>IF(COUNTIF(#REF!,Tabela2[[#This Row],[IdxWspolny]])&gt;0,"ELEM_lub_PRD","TECHN")</f>
        <v>#REF!</v>
      </c>
      <c r="L2713" t="e">
        <f>IF(COUNTIF(#REF!,Tabela2[[#This Row],[KOD_PRODUKTU]])&gt;0,"ELEMENT","PRODUKT")</f>
        <v>#REF!</v>
      </c>
      <c r="M2713" t="e">
        <f>COUNTIF(#REF!,Tabela2[[#This Row],[KOD_PRODUKTU]])</f>
        <v>#REF!</v>
      </c>
    </row>
    <row r="2714" spans="1:13" x14ac:dyDescent="0.25">
      <c r="A2714" s="1" t="s">
        <v>4249</v>
      </c>
      <c r="B2714" t="s">
        <v>4250</v>
      </c>
      <c r="C2714" s="1" t="s">
        <v>1047</v>
      </c>
      <c r="D2714" s="1" t="s">
        <v>1047</v>
      </c>
      <c r="E2714" s="1" t="s">
        <v>1047</v>
      </c>
      <c r="F2714" t="s">
        <v>1048</v>
      </c>
      <c r="G2714" t="s">
        <v>1434</v>
      </c>
      <c r="H2714" t="s">
        <v>17</v>
      </c>
      <c r="I2714" t="s">
        <v>4251</v>
      </c>
      <c r="J2714">
        <v>7.83</v>
      </c>
      <c r="K2714" t="e">
        <f>IF(COUNTIF(#REF!,Tabela2[[#This Row],[IdxWspolny]])&gt;0,"ELEM_lub_PRD","TECHN")</f>
        <v>#REF!</v>
      </c>
      <c r="L2714" t="e">
        <f>IF(COUNTIF(#REF!,Tabela2[[#This Row],[KOD_PRODUKTU]])&gt;0,"ELEMENT","PRODUKT")</f>
        <v>#REF!</v>
      </c>
      <c r="M2714" t="e">
        <f>COUNTIF(#REF!,Tabela2[[#This Row],[KOD_PRODUKTU]])</f>
        <v>#REF!</v>
      </c>
    </row>
    <row r="2715" spans="1:13" x14ac:dyDescent="0.25">
      <c r="A2715" s="1" t="s">
        <v>4249</v>
      </c>
      <c r="B2715" t="s">
        <v>4250</v>
      </c>
      <c r="C2715" s="1" t="s">
        <v>7</v>
      </c>
      <c r="D2715" s="1" t="s">
        <v>7</v>
      </c>
      <c r="E2715" s="1" t="s">
        <v>7</v>
      </c>
      <c r="F2715" t="s">
        <v>8</v>
      </c>
      <c r="G2715" t="s">
        <v>9</v>
      </c>
      <c r="H2715" t="s">
        <v>10</v>
      </c>
      <c r="I2715" t="s">
        <v>19</v>
      </c>
      <c r="J2715">
        <v>4.5999999999999996</v>
      </c>
      <c r="K2715" t="e">
        <f>IF(COUNTIF(#REF!,Tabela2[[#This Row],[IdxWspolny]])&gt;0,"ELEM_lub_PRD","TECHN")</f>
        <v>#REF!</v>
      </c>
      <c r="L2715" t="e">
        <f>IF(COUNTIF(#REF!,Tabela2[[#This Row],[KOD_PRODUKTU]])&gt;0,"ELEMENT","PRODUKT")</f>
        <v>#REF!</v>
      </c>
      <c r="M2715" t="e">
        <f>COUNTIF(#REF!,Tabela2[[#This Row],[KOD_PRODUKTU]])</f>
        <v>#REF!</v>
      </c>
    </row>
    <row r="2716" spans="1:13" x14ac:dyDescent="0.25">
      <c r="A2716" s="1" t="s">
        <v>4252</v>
      </c>
      <c r="B2716" t="s">
        <v>4253</v>
      </c>
      <c r="C2716" s="1" t="s">
        <v>1047</v>
      </c>
      <c r="D2716" s="1" t="s">
        <v>1047</v>
      </c>
      <c r="E2716" s="1" t="s">
        <v>1047</v>
      </c>
      <c r="F2716" t="s">
        <v>1048</v>
      </c>
      <c r="G2716" t="s">
        <v>1434</v>
      </c>
      <c r="H2716" t="s">
        <v>17</v>
      </c>
      <c r="I2716" t="s">
        <v>4254</v>
      </c>
      <c r="J2716">
        <v>5.58</v>
      </c>
      <c r="K2716" t="e">
        <f>IF(COUNTIF(#REF!,Tabela2[[#This Row],[IdxWspolny]])&gt;0,"ELEM_lub_PRD","TECHN")</f>
        <v>#REF!</v>
      </c>
      <c r="L2716" t="e">
        <f>IF(COUNTIF(#REF!,Tabela2[[#This Row],[KOD_PRODUKTU]])&gt;0,"ELEMENT","PRODUKT")</f>
        <v>#REF!</v>
      </c>
      <c r="M2716" t="e">
        <f>COUNTIF(#REF!,Tabela2[[#This Row],[KOD_PRODUKTU]])</f>
        <v>#REF!</v>
      </c>
    </row>
    <row r="2717" spans="1:13" x14ac:dyDescent="0.25">
      <c r="A2717" s="1" t="s">
        <v>4252</v>
      </c>
      <c r="B2717" t="s">
        <v>4253</v>
      </c>
      <c r="C2717" s="1" t="s">
        <v>7</v>
      </c>
      <c r="D2717" s="1" t="s">
        <v>7</v>
      </c>
      <c r="E2717" s="1" t="s">
        <v>7</v>
      </c>
      <c r="F2717" t="s">
        <v>8</v>
      </c>
      <c r="G2717" t="s">
        <v>9</v>
      </c>
      <c r="H2717" t="s">
        <v>10</v>
      </c>
      <c r="I2717" t="s">
        <v>19</v>
      </c>
      <c r="J2717">
        <v>4.5999999999999996</v>
      </c>
      <c r="K2717" t="e">
        <f>IF(COUNTIF(#REF!,Tabela2[[#This Row],[IdxWspolny]])&gt;0,"ELEM_lub_PRD","TECHN")</f>
        <v>#REF!</v>
      </c>
      <c r="L2717" t="e">
        <f>IF(COUNTIF(#REF!,Tabela2[[#This Row],[KOD_PRODUKTU]])&gt;0,"ELEMENT","PRODUKT")</f>
        <v>#REF!</v>
      </c>
      <c r="M2717" t="e">
        <f>COUNTIF(#REF!,Tabela2[[#This Row],[KOD_PRODUKTU]])</f>
        <v>#REF!</v>
      </c>
    </row>
    <row r="2718" spans="1:13" x14ac:dyDescent="0.25">
      <c r="A2718" s="1" t="s">
        <v>4255</v>
      </c>
      <c r="B2718" t="s">
        <v>4256</v>
      </c>
      <c r="C2718" s="1" t="s">
        <v>1041</v>
      </c>
      <c r="D2718" s="1" t="s">
        <v>1041</v>
      </c>
      <c r="E2718" s="1" t="s">
        <v>1041</v>
      </c>
      <c r="F2718" t="s">
        <v>1042</v>
      </c>
      <c r="G2718" t="s">
        <v>712</v>
      </c>
      <c r="H2718" t="s">
        <v>17</v>
      </c>
      <c r="I2718" t="s">
        <v>4257</v>
      </c>
      <c r="J2718">
        <v>2.65</v>
      </c>
      <c r="K2718" t="e">
        <f>IF(COUNTIF(#REF!,Tabela2[[#This Row],[IdxWspolny]])&gt;0,"ELEM_lub_PRD","TECHN")</f>
        <v>#REF!</v>
      </c>
      <c r="L2718" t="e">
        <f>IF(COUNTIF(#REF!,Tabela2[[#This Row],[KOD_PRODUKTU]])&gt;0,"ELEMENT","PRODUKT")</f>
        <v>#REF!</v>
      </c>
      <c r="M2718" t="e">
        <f>COUNTIF(#REF!,Tabela2[[#This Row],[KOD_PRODUKTU]])</f>
        <v>#REF!</v>
      </c>
    </row>
    <row r="2719" spans="1:13" x14ac:dyDescent="0.25">
      <c r="A2719" s="1" t="s">
        <v>4255</v>
      </c>
      <c r="B2719" t="s">
        <v>4256</v>
      </c>
      <c r="C2719" s="1" t="s">
        <v>432</v>
      </c>
      <c r="D2719" s="1" t="s">
        <v>432</v>
      </c>
      <c r="E2719" s="1" t="s">
        <v>432</v>
      </c>
      <c r="F2719" t="s">
        <v>433</v>
      </c>
      <c r="G2719" t="s">
        <v>434</v>
      </c>
      <c r="H2719" t="s">
        <v>435</v>
      </c>
      <c r="I2719" t="s">
        <v>92</v>
      </c>
      <c r="J2719">
        <v>2.2000000000000002</v>
      </c>
      <c r="K2719" t="e">
        <f>IF(COUNTIF(#REF!,Tabela2[[#This Row],[IdxWspolny]])&gt;0,"ELEM_lub_PRD","TECHN")</f>
        <v>#REF!</v>
      </c>
      <c r="L2719" t="e">
        <f>IF(COUNTIF(#REF!,Tabela2[[#This Row],[KOD_PRODUKTU]])&gt;0,"ELEMENT","PRODUKT")</f>
        <v>#REF!</v>
      </c>
      <c r="M2719" t="e">
        <f>COUNTIF(#REF!,Tabela2[[#This Row],[KOD_PRODUKTU]])</f>
        <v>#REF!</v>
      </c>
    </row>
    <row r="2720" spans="1:13" x14ac:dyDescent="0.25">
      <c r="A2720" s="1" t="s">
        <v>4255</v>
      </c>
      <c r="B2720" t="s">
        <v>4256</v>
      </c>
      <c r="C2720" s="1" t="s">
        <v>7</v>
      </c>
      <c r="D2720" s="1" t="s">
        <v>7</v>
      </c>
      <c r="E2720" s="1" t="s">
        <v>7</v>
      </c>
      <c r="F2720" t="s">
        <v>8</v>
      </c>
      <c r="G2720" t="s">
        <v>9</v>
      </c>
      <c r="H2720" t="s">
        <v>10</v>
      </c>
      <c r="I2720" t="s">
        <v>601</v>
      </c>
      <c r="J2720">
        <v>6.9</v>
      </c>
      <c r="K2720" t="e">
        <f>IF(COUNTIF(#REF!,Tabela2[[#This Row],[IdxWspolny]])&gt;0,"ELEM_lub_PRD","TECHN")</f>
        <v>#REF!</v>
      </c>
      <c r="L2720" t="e">
        <f>IF(COUNTIF(#REF!,Tabela2[[#This Row],[KOD_PRODUKTU]])&gt;0,"ELEMENT","PRODUKT")</f>
        <v>#REF!</v>
      </c>
      <c r="M2720" t="e">
        <f>COUNTIF(#REF!,Tabela2[[#This Row],[KOD_PRODUKTU]])</f>
        <v>#REF!</v>
      </c>
    </row>
    <row r="2721" spans="1:14" x14ac:dyDescent="0.25">
      <c r="A2721" s="1" t="s">
        <v>4258</v>
      </c>
      <c r="B2721" t="s">
        <v>4259</v>
      </c>
      <c r="C2721" s="1" t="s">
        <v>4260</v>
      </c>
      <c r="D2721" s="1" t="s">
        <v>4260</v>
      </c>
      <c r="E2721" s="1" t="s">
        <v>4260</v>
      </c>
      <c r="F2721" t="s">
        <v>4261</v>
      </c>
      <c r="G2721" t="s">
        <v>4262</v>
      </c>
      <c r="H2721" t="s">
        <v>121</v>
      </c>
      <c r="I2721" t="s">
        <v>25</v>
      </c>
      <c r="J2721">
        <v>4.5</v>
      </c>
      <c r="K2721" t="e">
        <f>IF(COUNTIF(#REF!,Tabela2[[#This Row],[IdxWspolny]])&gt;0,"ELEM_lub_PRD","TECHN")</f>
        <v>#REF!</v>
      </c>
      <c r="L2721" t="e">
        <f>IF(COUNTIF(#REF!,Tabela2[[#This Row],[KOD_PRODUKTU]])&gt;0,"ELEMENT","PRODUKT")</f>
        <v>#REF!</v>
      </c>
      <c r="M2721" t="e">
        <f>COUNTIF(#REF!,Tabela2[[#This Row],[KOD_PRODUKTU]])</f>
        <v>#REF!</v>
      </c>
    </row>
    <row r="2722" spans="1:14" x14ac:dyDescent="0.25">
      <c r="A2722" s="1" t="s">
        <v>4258</v>
      </c>
      <c r="B2722" t="s">
        <v>4259</v>
      </c>
      <c r="C2722" s="1" t="s">
        <v>4263</v>
      </c>
      <c r="D2722" s="1" t="s">
        <v>4263</v>
      </c>
      <c r="E2722" s="1" t="s">
        <v>4263</v>
      </c>
      <c r="F2722" t="s">
        <v>4264</v>
      </c>
      <c r="G2722" t="s">
        <v>1603</v>
      </c>
      <c r="H2722" t="s">
        <v>49</v>
      </c>
      <c r="I2722" t="s">
        <v>92</v>
      </c>
      <c r="J2722">
        <v>78</v>
      </c>
      <c r="K2722" t="e">
        <f>IF(COUNTIF(#REF!,Tabela2[[#This Row],[IdxWspolny]])&gt;0,"ELEM_lub_PRD","TECHN")</f>
        <v>#REF!</v>
      </c>
      <c r="L2722" t="e">
        <f>IF(COUNTIF(#REF!,Tabela2[[#This Row],[KOD_PRODUKTU]])&gt;0,"ELEMENT","PRODUKT")</f>
        <v>#REF!</v>
      </c>
      <c r="M2722" t="e">
        <f>COUNTIF(#REF!,Tabela2[[#This Row],[KOD_PRODUKTU]])</f>
        <v>#REF!</v>
      </c>
    </row>
    <row r="2723" spans="1:14" x14ac:dyDescent="0.25">
      <c r="A2723" s="1" t="s">
        <v>4258</v>
      </c>
      <c r="B2723" t="s">
        <v>4259</v>
      </c>
      <c r="C2723" s="1" t="s">
        <v>4265</v>
      </c>
      <c r="D2723" s="1" t="s">
        <v>4265</v>
      </c>
      <c r="E2723" s="1" t="s">
        <v>4265</v>
      </c>
      <c r="F2723" t="s">
        <v>4266</v>
      </c>
      <c r="G2723" t="s">
        <v>1904</v>
      </c>
      <c r="H2723" t="s">
        <v>49</v>
      </c>
      <c r="I2723" t="s">
        <v>50</v>
      </c>
      <c r="J2723">
        <v>27.3</v>
      </c>
      <c r="K2723" t="e">
        <f>IF(COUNTIF(#REF!,Tabela2[[#This Row],[IdxWspolny]])&gt;0,"ELEM_lub_PRD","TECHN")</f>
        <v>#REF!</v>
      </c>
      <c r="L2723" t="e">
        <f>IF(COUNTIF(#REF!,Tabela2[[#This Row],[KOD_PRODUKTU]])&gt;0,"ELEMENT","PRODUKT")</f>
        <v>#REF!</v>
      </c>
      <c r="M2723" t="e">
        <f>COUNTIF(#REF!,Tabela2[[#This Row],[KOD_PRODUKTU]])</f>
        <v>#REF!</v>
      </c>
    </row>
    <row r="2724" spans="1:14" x14ac:dyDescent="0.25">
      <c r="A2724" s="1" t="s">
        <v>4258</v>
      </c>
      <c r="B2724" t="s">
        <v>4259</v>
      </c>
      <c r="C2724" s="1" t="s">
        <v>4267</v>
      </c>
      <c r="D2724" s="1" t="s">
        <v>4267</v>
      </c>
      <c r="E2724" s="1" t="s">
        <v>4267</v>
      </c>
      <c r="F2724" t="s">
        <v>4268</v>
      </c>
      <c r="G2724" t="s">
        <v>311</v>
      </c>
      <c r="H2724" t="s">
        <v>49</v>
      </c>
      <c r="I2724" t="s">
        <v>50</v>
      </c>
      <c r="J2724">
        <v>13</v>
      </c>
      <c r="K2724" t="e">
        <f>IF(COUNTIF(#REF!,Tabela2[[#This Row],[IdxWspolny]])&gt;0,"ELEM_lub_PRD","TECHN")</f>
        <v>#REF!</v>
      </c>
      <c r="L2724" t="e">
        <f>IF(COUNTIF(#REF!,Tabela2[[#This Row],[KOD_PRODUKTU]])&gt;0,"ELEMENT","PRODUKT")</f>
        <v>#REF!</v>
      </c>
      <c r="M2724" t="e">
        <f>COUNTIF(#REF!,Tabela2[[#This Row],[KOD_PRODUKTU]])</f>
        <v>#REF!</v>
      </c>
    </row>
    <row r="2725" spans="1:14" x14ac:dyDescent="0.25">
      <c r="A2725" s="1" t="s">
        <v>4258</v>
      </c>
      <c r="B2725" t="s">
        <v>4259</v>
      </c>
      <c r="C2725" s="1" t="s">
        <v>4269</v>
      </c>
      <c r="D2725" s="1" t="s">
        <v>4269</v>
      </c>
      <c r="E2725" s="1" t="s">
        <v>4269</v>
      </c>
      <c r="F2725" t="s">
        <v>4270</v>
      </c>
      <c r="G2725" t="s">
        <v>4271</v>
      </c>
      <c r="H2725" t="s">
        <v>49</v>
      </c>
      <c r="I2725" t="s">
        <v>92</v>
      </c>
      <c r="J2725">
        <v>39.520000000000003</v>
      </c>
      <c r="K2725" t="e">
        <f>IF(COUNTIF(#REF!,Tabela2[[#This Row],[IdxWspolny]])&gt;0,"ELEM_lub_PRD","TECHN")</f>
        <v>#REF!</v>
      </c>
      <c r="L2725" t="e">
        <f>IF(COUNTIF(#REF!,Tabela2[[#This Row],[KOD_PRODUKTU]])&gt;0,"ELEMENT","PRODUKT")</f>
        <v>#REF!</v>
      </c>
      <c r="M2725" t="e">
        <f>COUNTIF(#REF!,Tabela2[[#This Row],[KOD_PRODUKTU]])</f>
        <v>#REF!</v>
      </c>
    </row>
    <row r="2726" spans="1:14" x14ac:dyDescent="0.25">
      <c r="A2726" s="1" t="s">
        <v>4258</v>
      </c>
      <c r="B2726" t="s">
        <v>4259</v>
      </c>
      <c r="C2726" s="1" t="s">
        <v>4272</v>
      </c>
      <c r="D2726" s="1" t="s">
        <v>4272</v>
      </c>
      <c r="E2726" s="1" t="s">
        <v>4272</v>
      </c>
      <c r="F2726" t="s">
        <v>4273</v>
      </c>
      <c r="G2726" t="s">
        <v>4274</v>
      </c>
      <c r="H2726" t="s">
        <v>49</v>
      </c>
      <c r="I2726" t="s">
        <v>92</v>
      </c>
      <c r="J2726">
        <v>22.88</v>
      </c>
      <c r="K2726" t="e">
        <f>IF(COUNTIF(#REF!,Tabela2[[#This Row],[IdxWspolny]])&gt;0,"ELEM_lub_PRD","TECHN")</f>
        <v>#REF!</v>
      </c>
      <c r="L2726" t="e">
        <f>IF(COUNTIF(#REF!,Tabela2[[#This Row],[KOD_PRODUKTU]])&gt;0,"ELEMENT","PRODUKT")</f>
        <v>#REF!</v>
      </c>
      <c r="M2726" t="e">
        <f>COUNTIF(#REF!,Tabela2[[#This Row],[KOD_PRODUKTU]])</f>
        <v>#REF!</v>
      </c>
    </row>
    <row r="2727" spans="1:14" x14ac:dyDescent="0.25">
      <c r="A2727" s="1" t="s">
        <v>4258</v>
      </c>
      <c r="B2727" t="s">
        <v>4259</v>
      </c>
      <c r="C2727" s="1" t="s">
        <v>4275</v>
      </c>
      <c r="D2727" s="1" t="s">
        <v>4275</v>
      </c>
      <c r="E2727" s="1" t="s">
        <v>4275</v>
      </c>
      <c r="F2727" t="s">
        <v>4276</v>
      </c>
      <c r="G2727" t="s">
        <v>4277</v>
      </c>
      <c r="H2727" t="s">
        <v>49</v>
      </c>
      <c r="I2727" t="s">
        <v>50</v>
      </c>
      <c r="J2727">
        <v>29.38</v>
      </c>
      <c r="K2727" t="e">
        <f>IF(COUNTIF(#REF!,Tabela2[[#This Row],[IdxWspolny]])&gt;0,"ELEM_lub_PRD","TECHN")</f>
        <v>#REF!</v>
      </c>
      <c r="L2727" t="e">
        <f>IF(COUNTIF(#REF!,Tabela2[[#This Row],[KOD_PRODUKTU]])&gt;0,"ELEMENT","PRODUKT")</f>
        <v>#REF!</v>
      </c>
      <c r="M2727" t="e">
        <f>COUNTIF(#REF!,Tabela2[[#This Row],[KOD_PRODUKTU]])</f>
        <v>#REF!</v>
      </c>
    </row>
    <row r="2728" spans="1:14" hidden="1" x14ac:dyDescent="0.25">
      <c r="A2728" s="1" t="s">
        <v>4258</v>
      </c>
      <c r="B2728" t="s">
        <v>4259</v>
      </c>
      <c r="C2728" s="1" t="s">
        <v>4278</v>
      </c>
      <c r="D2728" s="1" t="s">
        <v>4278</v>
      </c>
      <c r="E2728" s="1" t="s">
        <v>4278</v>
      </c>
      <c r="F2728" t="s">
        <v>4279</v>
      </c>
      <c r="G2728" t="s">
        <v>4280</v>
      </c>
      <c r="H2728" t="s">
        <v>49</v>
      </c>
      <c r="I2728" t="s">
        <v>50</v>
      </c>
      <c r="J2728">
        <v>179.1</v>
      </c>
      <c r="K2728" t="e">
        <f>IF(COUNTIF(#REF!,Tabela2[[#This Row],[IdxWspolny]])&gt;0,"ELEM_lub_PRD","TECHN")</f>
        <v>#REF!</v>
      </c>
      <c r="L2728" t="e">
        <f>IF(COUNTIF(#REF!,Tabela2[[#This Row],[KOD_PRODUKTU]])&gt;0,"ELEMENT","PRODUKT")</f>
        <v>#REF!</v>
      </c>
      <c r="M2728" t="e">
        <f>COUNTIF(#REF!,Tabela2[[#This Row],[KOD_PRODUKTU]])</f>
        <v>#REF!</v>
      </c>
      <c r="N2728" t="s">
        <v>55</v>
      </c>
    </row>
    <row r="2729" spans="1:14" x14ac:dyDescent="0.25">
      <c r="A2729" s="1" t="s">
        <v>4258</v>
      </c>
      <c r="B2729" t="s">
        <v>4259</v>
      </c>
      <c r="C2729" s="1" t="s">
        <v>1989</v>
      </c>
      <c r="D2729" s="1" t="s">
        <v>1989</v>
      </c>
      <c r="E2729" s="1" t="s">
        <v>1989</v>
      </c>
      <c r="F2729" t="s">
        <v>1990</v>
      </c>
      <c r="G2729" t="s">
        <v>1991</v>
      </c>
      <c r="H2729" t="s">
        <v>435</v>
      </c>
      <c r="I2729" t="s">
        <v>4281</v>
      </c>
      <c r="J2729">
        <v>31.19</v>
      </c>
      <c r="K2729" t="e">
        <f>IF(COUNTIF(#REF!,Tabela2[[#This Row],[IdxWspolny]])&gt;0,"ELEM_lub_PRD","TECHN")</f>
        <v>#REF!</v>
      </c>
      <c r="L2729" t="e">
        <f>IF(COUNTIF(#REF!,Tabela2[[#This Row],[KOD_PRODUKTU]])&gt;0,"ELEMENT","PRODUKT")</f>
        <v>#REF!</v>
      </c>
      <c r="M2729" t="e">
        <f>COUNTIF(#REF!,Tabela2[[#This Row],[KOD_PRODUKTU]])</f>
        <v>#REF!</v>
      </c>
    </row>
    <row r="2730" spans="1:14" x14ac:dyDescent="0.25">
      <c r="A2730" s="1" t="s">
        <v>4258</v>
      </c>
      <c r="B2730" t="s">
        <v>4259</v>
      </c>
      <c r="C2730" s="1" t="s">
        <v>7</v>
      </c>
      <c r="D2730" s="1" t="s">
        <v>7</v>
      </c>
      <c r="E2730" s="1" t="s">
        <v>7</v>
      </c>
      <c r="F2730" t="s">
        <v>8</v>
      </c>
      <c r="G2730" t="s">
        <v>9</v>
      </c>
      <c r="H2730" t="s">
        <v>10</v>
      </c>
      <c r="I2730" t="s">
        <v>1563</v>
      </c>
      <c r="J2730">
        <v>43.7</v>
      </c>
      <c r="K2730" t="e">
        <f>IF(COUNTIF(#REF!,Tabela2[[#This Row],[IdxWspolny]])&gt;0,"ELEM_lub_PRD","TECHN")</f>
        <v>#REF!</v>
      </c>
      <c r="L2730" t="e">
        <f>IF(COUNTIF(#REF!,Tabela2[[#This Row],[KOD_PRODUKTU]])&gt;0,"ELEMENT","PRODUKT")</f>
        <v>#REF!</v>
      </c>
      <c r="M2730" t="e">
        <f>COUNTIF(#REF!,Tabela2[[#This Row],[KOD_PRODUKTU]])</f>
        <v>#REF!</v>
      </c>
    </row>
    <row r="2731" spans="1:14" x14ac:dyDescent="0.25">
      <c r="A2731" s="1" t="s">
        <v>4258</v>
      </c>
      <c r="B2731" t="s">
        <v>4259</v>
      </c>
      <c r="C2731" s="1" t="s">
        <v>7</v>
      </c>
      <c r="D2731" s="1" t="s">
        <v>7</v>
      </c>
      <c r="E2731" s="1" t="s">
        <v>7</v>
      </c>
      <c r="F2731" t="s">
        <v>8</v>
      </c>
      <c r="G2731" t="s">
        <v>9</v>
      </c>
      <c r="H2731" t="s">
        <v>10</v>
      </c>
      <c r="I2731" t="s">
        <v>4282</v>
      </c>
      <c r="J2731">
        <v>121.9</v>
      </c>
      <c r="K2731" t="e">
        <f>IF(COUNTIF(#REF!,Tabela2[[#This Row],[IdxWspolny]])&gt;0,"ELEM_lub_PRD","TECHN")</f>
        <v>#REF!</v>
      </c>
      <c r="L2731" t="e">
        <f>IF(COUNTIF(#REF!,Tabela2[[#This Row],[KOD_PRODUKTU]])&gt;0,"ELEMENT","PRODUKT")</f>
        <v>#REF!</v>
      </c>
      <c r="M2731" t="e">
        <f>COUNTIF(#REF!,Tabela2[[#This Row],[KOD_PRODUKTU]])</f>
        <v>#REF!</v>
      </c>
    </row>
    <row r="2732" spans="1:14" x14ac:dyDescent="0.25">
      <c r="A2732" s="1" t="s">
        <v>4258</v>
      </c>
      <c r="B2732" t="s">
        <v>4259</v>
      </c>
      <c r="C2732" s="1" t="s">
        <v>7</v>
      </c>
      <c r="D2732" s="1" t="s">
        <v>7</v>
      </c>
      <c r="E2732" s="1" t="s">
        <v>7</v>
      </c>
      <c r="F2732" t="s">
        <v>8</v>
      </c>
      <c r="G2732" t="s">
        <v>9</v>
      </c>
      <c r="H2732" t="s">
        <v>10</v>
      </c>
      <c r="I2732" t="s">
        <v>4283</v>
      </c>
      <c r="J2732">
        <v>39.1</v>
      </c>
      <c r="K2732" t="e">
        <f>IF(COUNTIF(#REF!,Tabela2[[#This Row],[IdxWspolny]])&gt;0,"ELEM_lub_PRD","TECHN")</f>
        <v>#REF!</v>
      </c>
      <c r="L2732" t="e">
        <f>IF(COUNTIF(#REF!,Tabela2[[#This Row],[KOD_PRODUKTU]])&gt;0,"ELEMENT","PRODUKT")</f>
        <v>#REF!</v>
      </c>
      <c r="M2732" t="e">
        <f>COUNTIF(#REF!,Tabela2[[#This Row],[KOD_PRODUKTU]])</f>
        <v>#REF!</v>
      </c>
    </row>
    <row r="2733" spans="1:14" x14ac:dyDescent="0.25">
      <c r="A2733" s="1" t="s">
        <v>4258</v>
      </c>
      <c r="B2733" t="s">
        <v>4259</v>
      </c>
      <c r="C2733" s="1" t="s">
        <v>7</v>
      </c>
      <c r="D2733" s="1" t="s">
        <v>7</v>
      </c>
      <c r="E2733" s="1" t="s">
        <v>7</v>
      </c>
      <c r="F2733" t="s">
        <v>8</v>
      </c>
      <c r="G2733" t="s">
        <v>9</v>
      </c>
      <c r="H2733" t="s">
        <v>10</v>
      </c>
      <c r="I2733" t="s">
        <v>992</v>
      </c>
      <c r="J2733">
        <v>13.8</v>
      </c>
      <c r="K2733" t="e">
        <f>IF(COUNTIF(#REF!,Tabela2[[#This Row],[IdxWspolny]])&gt;0,"ELEM_lub_PRD","TECHN")</f>
        <v>#REF!</v>
      </c>
      <c r="L2733" t="e">
        <f>IF(COUNTIF(#REF!,Tabela2[[#This Row],[KOD_PRODUKTU]])&gt;0,"ELEMENT","PRODUKT")</f>
        <v>#REF!</v>
      </c>
      <c r="M2733" t="e">
        <f>COUNTIF(#REF!,Tabela2[[#This Row],[KOD_PRODUKTU]])</f>
        <v>#REF!</v>
      </c>
    </row>
    <row r="2734" spans="1:14" x14ac:dyDescent="0.25">
      <c r="A2734" s="1" t="s">
        <v>4278</v>
      </c>
      <c r="B2734" t="s">
        <v>4279</v>
      </c>
      <c r="C2734" s="1" t="s">
        <v>4284</v>
      </c>
      <c r="D2734" s="1" t="s">
        <v>4284</v>
      </c>
      <c r="E2734" s="1" t="s">
        <v>4284</v>
      </c>
      <c r="F2734" t="s">
        <v>4285</v>
      </c>
      <c r="G2734" t="s">
        <v>4286</v>
      </c>
      <c r="H2734" t="s">
        <v>17</v>
      </c>
      <c r="I2734" t="s">
        <v>3520</v>
      </c>
      <c r="J2734">
        <v>117</v>
      </c>
      <c r="K2734" t="e">
        <f>IF(COUNTIF(#REF!,Tabela2[[#This Row],[IdxWspolny]])&gt;0,"ELEM_lub_PRD","TECHN")</f>
        <v>#REF!</v>
      </c>
      <c r="L2734" t="e">
        <f>IF(COUNTIF(#REF!,Tabela2[[#This Row],[KOD_PRODUKTU]])&gt;0,"ELEMENT","PRODUKT")</f>
        <v>#REF!</v>
      </c>
      <c r="M2734" t="e">
        <f>COUNTIF(#REF!,Tabela2[[#This Row],[KOD_PRODUKTU]])</f>
        <v>#REF!</v>
      </c>
    </row>
    <row r="2735" spans="1:14" x14ac:dyDescent="0.25">
      <c r="A2735" s="1" t="s">
        <v>4278</v>
      </c>
      <c r="B2735" t="s">
        <v>4279</v>
      </c>
      <c r="C2735" s="1" t="s">
        <v>7</v>
      </c>
      <c r="D2735" s="1" t="s">
        <v>7</v>
      </c>
      <c r="E2735" s="1" t="s">
        <v>7</v>
      </c>
      <c r="F2735" t="s">
        <v>8</v>
      </c>
      <c r="G2735" t="s">
        <v>9</v>
      </c>
      <c r="H2735" t="s">
        <v>10</v>
      </c>
      <c r="I2735" t="s">
        <v>860</v>
      </c>
      <c r="J2735">
        <v>23</v>
      </c>
      <c r="K2735" t="e">
        <f>IF(COUNTIF(#REF!,Tabela2[[#This Row],[IdxWspolny]])&gt;0,"ELEM_lub_PRD","TECHN")</f>
        <v>#REF!</v>
      </c>
      <c r="L2735" t="e">
        <f>IF(COUNTIF(#REF!,Tabela2[[#This Row],[KOD_PRODUKTU]])&gt;0,"ELEMENT","PRODUKT")</f>
        <v>#REF!</v>
      </c>
      <c r="M2735" t="e">
        <f>COUNTIF(#REF!,Tabela2[[#This Row],[KOD_PRODUKTU]])</f>
        <v>#REF!</v>
      </c>
    </row>
    <row r="2736" spans="1:14" x14ac:dyDescent="0.25">
      <c r="A2736" s="1" t="s">
        <v>4278</v>
      </c>
      <c r="B2736" t="s">
        <v>4279</v>
      </c>
      <c r="C2736" s="1" t="s">
        <v>7</v>
      </c>
      <c r="D2736" s="1" t="s">
        <v>7</v>
      </c>
      <c r="E2736" s="1" t="s">
        <v>7</v>
      </c>
      <c r="F2736" t="s">
        <v>8</v>
      </c>
      <c r="G2736" t="s">
        <v>9</v>
      </c>
      <c r="H2736" t="s">
        <v>10</v>
      </c>
      <c r="I2736" t="s">
        <v>4283</v>
      </c>
      <c r="J2736">
        <v>39.1</v>
      </c>
      <c r="K2736" t="e">
        <f>IF(COUNTIF(#REF!,Tabela2[[#This Row],[IdxWspolny]])&gt;0,"ELEM_lub_PRD","TECHN")</f>
        <v>#REF!</v>
      </c>
      <c r="L2736" t="e">
        <f>IF(COUNTIF(#REF!,Tabela2[[#This Row],[KOD_PRODUKTU]])&gt;0,"ELEMENT","PRODUKT")</f>
        <v>#REF!</v>
      </c>
      <c r="M2736" t="e">
        <f>COUNTIF(#REF!,Tabela2[[#This Row],[KOD_PRODUKTU]])</f>
        <v>#REF!</v>
      </c>
    </row>
    <row r="2737" spans="1:14" x14ac:dyDescent="0.25">
      <c r="A2737" s="1" t="s">
        <v>4287</v>
      </c>
      <c r="B2737" t="s">
        <v>4288</v>
      </c>
      <c r="C2737" s="1" t="s">
        <v>4289</v>
      </c>
      <c r="D2737" s="1" t="s">
        <v>4289</v>
      </c>
      <c r="E2737" s="1" t="s">
        <v>4289</v>
      </c>
      <c r="F2737" t="s">
        <v>4290</v>
      </c>
      <c r="G2737" t="s">
        <v>3144</v>
      </c>
      <c r="H2737" t="s">
        <v>49</v>
      </c>
      <c r="I2737" t="s">
        <v>92</v>
      </c>
      <c r="J2737">
        <v>114.4</v>
      </c>
      <c r="K2737" t="e">
        <f>IF(COUNTIF(#REF!,Tabela2[[#This Row],[IdxWspolny]])&gt;0,"ELEM_lub_PRD","TECHN")</f>
        <v>#REF!</v>
      </c>
      <c r="L2737" t="e">
        <f>IF(COUNTIF(#REF!,Tabela2[[#This Row],[KOD_PRODUKTU]])&gt;0,"ELEMENT","PRODUKT")</f>
        <v>#REF!</v>
      </c>
      <c r="M2737" t="e">
        <f>COUNTIF(#REF!,Tabela2[[#This Row],[KOD_PRODUKTU]])</f>
        <v>#REF!</v>
      </c>
    </row>
    <row r="2738" spans="1:14" x14ac:dyDescent="0.25">
      <c r="A2738" s="1" t="s">
        <v>4287</v>
      </c>
      <c r="B2738" t="s">
        <v>4288</v>
      </c>
      <c r="C2738" s="1" t="s">
        <v>4291</v>
      </c>
      <c r="D2738" s="1" t="s">
        <v>4291</v>
      </c>
      <c r="E2738" s="1" t="s">
        <v>4291</v>
      </c>
      <c r="F2738" t="s">
        <v>4292</v>
      </c>
      <c r="G2738" t="s">
        <v>4293</v>
      </c>
      <c r="H2738" t="s">
        <v>49</v>
      </c>
      <c r="I2738" t="s">
        <v>312</v>
      </c>
      <c r="J2738">
        <v>176.8</v>
      </c>
      <c r="K2738" t="e">
        <f>IF(COUNTIF(#REF!,Tabela2[[#This Row],[IdxWspolny]])&gt;0,"ELEM_lub_PRD","TECHN")</f>
        <v>#REF!</v>
      </c>
      <c r="L2738" t="e">
        <f>IF(COUNTIF(#REF!,Tabela2[[#This Row],[KOD_PRODUKTU]])&gt;0,"ELEMENT","PRODUKT")</f>
        <v>#REF!</v>
      </c>
      <c r="M2738" t="e">
        <f>COUNTIF(#REF!,Tabela2[[#This Row],[KOD_PRODUKTU]])</f>
        <v>#REF!</v>
      </c>
    </row>
    <row r="2739" spans="1:14" hidden="1" x14ac:dyDescent="0.25">
      <c r="A2739" s="1" t="s">
        <v>4287</v>
      </c>
      <c r="B2739" t="s">
        <v>4288</v>
      </c>
      <c r="C2739" s="1" t="s">
        <v>4294</v>
      </c>
      <c r="D2739" s="1" t="s">
        <v>4294</v>
      </c>
      <c r="E2739" s="1" t="s">
        <v>4294</v>
      </c>
      <c r="F2739" t="s">
        <v>4295</v>
      </c>
      <c r="G2739" t="s">
        <v>4296</v>
      </c>
      <c r="H2739" t="s">
        <v>49</v>
      </c>
      <c r="I2739" t="s">
        <v>50</v>
      </c>
      <c r="J2739">
        <v>74.900000000000006</v>
      </c>
      <c r="K2739" t="e">
        <f>IF(COUNTIF(#REF!,Tabela2[[#This Row],[IdxWspolny]])&gt;0,"ELEM_lub_PRD","TECHN")</f>
        <v>#REF!</v>
      </c>
      <c r="L2739" t="e">
        <f>IF(COUNTIF(#REF!,Tabela2[[#This Row],[KOD_PRODUKTU]])&gt;0,"ELEMENT","PRODUKT")</f>
        <v>#REF!</v>
      </c>
      <c r="M2739" t="e">
        <f>COUNTIF(#REF!,Tabela2[[#This Row],[KOD_PRODUKTU]])</f>
        <v>#REF!</v>
      </c>
      <c r="N2739" t="s">
        <v>55</v>
      </c>
    </row>
    <row r="2740" spans="1:14" x14ac:dyDescent="0.25">
      <c r="A2740" s="1" t="s">
        <v>4287</v>
      </c>
      <c r="B2740" t="s">
        <v>4288</v>
      </c>
      <c r="C2740" s="1" t="s">
        <v>857</v>
      </c>
      <c r="D2740" s="1" t="s">
        <v>857</v>
      </c>
      <c r="E2740" s="1" t="s">
        <v>857</v>
      </c>
      <c r="F2740" t="s">
        <v>858</v>
      </c>
      <c r="G2740" t="s">
        <v>686</v>
      </c>
      <c r="H2740" t="s">
        <v>49</v>
      </c>
      <c r="I2740" t="s">
        <v>4297</v>
      </c>
      <c r="J2740">
        <v>7.5</v>
      </c>
      <c r="K2740" t="e">
        <f>IF(COUNTIF(#REF!,Tabela2[[#This Row],[IdxWspolny]])&gt;0,"ELEM_lub_PRD","TECHN")</f>
        <v>#REF!</v>
      </c>
      <c r="L2740" t="e">
        <f>IF(COUNTIF(#REF!,Tabela2[[#This Row],[KOD_PRODUKTU]])&gt;0,"ELEMENT","PRODUKT")</f>
        <v>#REF!</v>
      </c>
      <c r="M2740" t="e">
        <f>COUNTIF(#REF!,Tabela2[[#This Row],[KOD_PRODUKTU]])</f>
        <v>#REF!</v>
      </c>
    </row>
    <row r="2741" spans="1:14" x14ac:dyDescent="0.25">
      <c r="A2741" s="1" t="s">
        <v>4287</v>
      </c>
      <c r="B2741" t="s">
        <v>4288</v>
      </c>
      <c r="C2741" s="1" t="s">
        <v>7</v>
      </c>
      <c r="D2741" s="1" t="s">
        <v>7</v>
      </c>
      <c r="E2741" s="1" t="s">
        <v>7</v>
      </c>
      <c r="F2741" t="s">
        <v>8</v>
      </c>
      <c r="G2741" t="s">
        <v>9</v>
      </c>
      <c r="H2741" t="s">
        <v>10</v>
      </c>
      <c r="I2741" t="s">
        <v>2330</v>
      </c>
      <c r="J2741">
        <v>25.3</v>
      </c>
      <c r="K2741" t="e">
        <f>IF(COUNTIF(#REF!,Tabela2[[#This Row],[IdxWspolny]])&gt;0,"ELEM_lub_PRD","TECHN")</f>
        <v>#REF!</v>
      </c>
      <c r="L2741" t="e">
        <f>IF(COUNTIF(#REF!,Tabela2[[#This Row],[KOD_PRODUKTU]])&gt;0,"ELEMENT","PRODUKT")</f>
        <v>#REF!</v>
      </c>
      <c r="M2741" t="e">
        <f>COUNTIF(#REF!,Tabela2[[#This Row],[KOD_PRODUKTU]])</f>
        <v>#REF!</v>
      </c>
    </row>
    <row r="2742" spans="1:14" x14ac:dyDescent="0.25">
      <c r="A2742" s="1" t="s">
        <v>4287</v>
      </c>
      <c r="B2742" t="s">
        <v>4288</v>
      </c>
      <c r="C2742" s="1" t="s">
        <v>7</v>
      </c>
      <c r="D2742" s="1" t="s">
        <v>7</v>
      </c>
      <c r="E2742" s="1" t="s">
        <v>7</v>
      </c>
      <c r="F2742" t="s">
        <v>8</v>
      </c>
      <c r="G2742" t="s">
        <v>9</v>
      </c>
      <c r="H2742" t="s">
        <v>10</v>
      </c>
      <c r="I2742" t="s">
        <v>3307</v>
      </c>
      <c r="J2742">
        <v>55.2</v>
      </c>
      <c r="K2742" t="e">
        <f>IF(COUNTIF(#REF!,Tabela2[[#This Row],[IdxWspolny]])&gt;0,"ELEM_lub_PRD","TECHN")</f>
        <v>#REF!</v>
      </c>
      <c r="L2742" t="e">
        <f>IF(COUNTIF(#REF!,Tabela2[[#This Row],[KOD_PRODUKTU]])&gt;0,"ELEMENT","PRODUKT")</f>
        <v>#REF!</v>
      </c>
      <c r="M2742" t="e">
        <f>COUNTIF(#REF!,Tabela2[[#This Row],[KOD_PRODUKTU]])</f>
        <v>#REF!</v>
      </c>
    </row>
    <row r="2743" spans="1:14" x14ac:dyDescent="0.25">
      <c r="A2743" s="1" t="s">
        <v>4294</v>
      </c>
      <c r="B2743" t="s">
        <v>4295</v>
      </c>
      <c r="C2743" s="1" t="s">
        <v>2509</v>
      </c>
      <c r="D2743" s="1" t="s">
        <v>2509</v>
      </c>
      <c r="E2743" s="1" t="s">
        <v>2509</v>
      </c>
      <c r="F2743" t="s">
        <v>2510</v>
      </c>
      <c r="G2743" t="s">
        <v>216</v>
      </c>
      <c r="H2743" t="s">
        <v>5</v>
      </c>
      <c r="I2743" t="s">
        <v>4298</v>
      </c>
      <c r="J2743">
        <v>40.4</v>
      </c>
      <c r="K2743" t="e">
        <f>IF(COUNTIF(#REF!,Tabela2[[#This Row],[IdxWspolny]])&gt;0,"ELEM_lub_PRD","TECHN")</f>
        <v>#REF!</v>
      </c>
      <c r="L2743" t="e">
        <f>IF(COUNTIF(#REF!,Tabela2[[#This Row],[KOD_PRODUKTU]])&gt;0,"ELEMENT","PRODUKT")</f>
        <v>#REF!</v>
      </c>
      <c r="M2743" t="e">
        <f>COUNTIF(#REF!,Tabela2[[#This Row],[KOD_PRODUKTU]])</f>
        <v>#REF!</v>
      </c>
    </row>
    <row r="2744" spans="1:14" x14ac:dyDescent="0.25">
      <c r="A2744" s="1" t="s">
        <v>4294</v>
      </c>
      <c r="B2744" t="s">
        <v>4295</v>
      </c>
      <c r="C2744" s="1" t="s">
        <v>7</v>
      </c>
      <c r="D2744" s="1" t="s">
        <v>7</v>
      </c>
      <c r="E2744" s="1" t="s">
        <v>7</v>
      </c>
      <c r="F2744" t="s">
        <v>8</v>
      </c>
      <c r="G2744" t="s">
        <v>9</v>
      </c>
      <c r="H2744" t="s">
        <v>10</v>
      </c>
      <c r="I2744" t="s">
        <v>1130</v>
      </c>
      <c r="J2744">
        <v>34.5</v>
      </c>
      <c r="K2744" t="e">
        <f>IF(COUNTIF(#REF!,Tabela2[[#This Row],[IdxWspolny]])&gt;0,"ELEM_lub_PRD","TECHN")</f>
        <v>#REF!</v>
      </c>
      <c r="L2744" t="e">
        <f>IF(COUNTIF(#REF!,Tabela2[[#This Row],[KOD_PRODUKTU]])&gt;0,"ELEMENT","PRODUKT")</f>
        <v>#REF!</v>
      </c>
      <c r="M2744" t="e">
        <f>COUNTIF(#REF!,Tabela2[[#This Row],[KOD_PRODUKTU]])</f>
        <v>#REF!</v>
      </c>
    </row>
    <row r="2745" spans="1:14" x14ac:dyDescent="0.25">
      <c r="A2745" s="1" t="s">
        <v>4299</v>
      </c>
      <c r="B2745" t="s">
        <v>4300</v>
      </c>
      <c r="C2745" s="1" t="s">
        <v>3007</v>
      </c>
      <c r="D2745" s="1" t="s">
        <v>3007</v>
      </c>
      <c r="E2745" s="1" t="s">
        <v>3007</v>
      </c>
      <c r="F2745" t="s">
        <v>3008</v>
      </c>
      <c r="G2745" t="s">
        <v>70</v>
      </c>
      <c r="H2745" t="s">
        <v>5</v>
      </c>
      <c r="I2745" t="s">
        <v>3031</v>
      </c>
      <c r="J2745">
        <v>1.7</v>
      </c>
      <c r="K2745" t="e">
        <f>IF(COUNTIF(#REF!,Tabela2[[#This Row],[IdxWspolny]])&gt;0,"ELEM_lub_PRD","TECHN")</f>
        <v>#REF!</v>
      </c>
      <c r="L2745" t="e">
        <f>IF(COUNTIF(#REF!,Tabela2[[#This Row],[KOD_PRODUKTU]])&gt;0,"ELEMENT","PRODUKT")</f>
        <v>#REF!</v>
      </c>
      <c r="M2745" t="e">
        <f>COUNTIF(#REF!,Tabela2[[#This Row],[KOD_PRODUKTU]])</f>
        <v>#REF!</v>
      </c>
    </row>
    <row r="2746" spans="1:14" x14ac:dyDescent="0.25">
      <c r="A2746" s="1" t="s">
        <v>4299</v>
      </c>
      <c r="B2746" t="s">
        <v>4300</v>
      </c>
      <c r="C2746" s="1" t="s">
        <v>7</v>
      </c>
      <c r="D2746" s="1" t="s">
        <v>7</v>
      </c>
      <c r="E2746" s="1" t="s">
        <v>7</v>
      </c>
      <c r="F2746" t="s">
        <v>8</v>
      </c>
      <c r="G2746" t="s">
        <v>9</v>
      </c>
      <c r="H2746" t="s">
        <v>10</v>
      </c>
      <c r="I2746" t="s">
        <v>1236</v>
      </c>
      <c r="J2746">
        <v>5.52</v>
      </c>
      <c r="K2746" t="e">
        <f>IF(COUNTIF(#REF!,Tabela2[[#This Row],[IdxWspolny]])&gt;0,"ELEM_lub_PRD","TECHN")</f>
        <v>#REF!</v>
      </c>
      <c r="L2746" t="e">
        <f>IF(COUNTIF(#REF!,Tabela2[[#This Row],[KOD_PRODUKTU]])&gt;0,"ELEMENT","PRODUKT")</f>
        <v>#REF!</v>
      </c>
      <c r="M2746" t="e">
        <f>COUNTIF(#REF!,Tabela2[[#This Row],[KOD_PRODUKTU]])</f>
        <v>#REF!</v>
      </c>
    </row>
    <row r="2747" spans="1:14" x14ac:dyDescent="0.25">
      <c r="A2747" s="1" t="s">
        <v>4301</v>
      </c>
      <c r="B2747" t="s">
        <v>4302</v>
      </c>
      <c r="C2747" s="1" t="s">
        <v>4303</v>
      </c>
      <c r="D2747" s="1" t="s">
        <v>4303</v>
      </c>
      <c r="E2747" s="1" t="s">
        <v>4303</v>
      </c>
      <c r="F2747" t="s">
        <v>4304</v>
      </c>
      <c r="G2747" t="s">
        <v>4305</v>
      </c>
      <c r="H2747" t="s">
        <v>49</v>
      </c>
      <c r="I2747" t="s">
        <v>50</v>
      </c>
      <c r="J2747">
        <v>15.86</v>
      </c>
      <c r="K2747" t="e">
        <f>IF(COUNTIF(#REF!,Tabela2[[#This Row],[IdxWspolny]])&gt;0,"ELEM_lub_PRD","TECHN")</f>
        <v>#REF!</v>
      </c>
      <c r="L2747" t="e">
        <f>IF(COUNTIF(#REF!,Tabela2[[#This Row],[KOD_PRODUKTU]])&gt;0,"ELEMENT","PRODUKT")</f>
        <v>#REF!</v>
      </c>
      <c r="M2747" t="e">
        <f>COUNTIF(#REF!,Tabela2[[#This Row],[KOD_PRODUKTU]])</f>
        <v>#REF!</v>
      </c>
    </row>
    <row r="2748" spans="1:14" hidden="1" x14ac:dyDescent="0.25">
      <c r="A2748" s="1" t="s">
        <v>4301</v>
      </c>
      <c r="B2748" t="s">
        <v>4302</v>
      </c>
      <c r="C2748" s="1" t="s">
        <v>4306</v>
      </c>
      <c r="D2748" s="1" t="s">
        <v>4306</v>
      </c>
      <c r="E2748" s="1" t="s">
        <v>4306</v>
      </c>
      <c r="F2748" t="s">
        <v>4307</v>
      </c>
      <c r="G2748" t="s">
        <v>4308</v>
      </c>
      <c r="H2748" t="s">
        <v>49</v>
      </c>
      <c r="I2748" t="s">
        <v>50</v>
      </c>
      <c r="J2748">
        <v>4.0199999999999996</v>
      </c>
      <c r="K2748" t="e">
        <f>IF(COUNTIF(#REF!,Tabela2[[#This Row],[IdxWspolny]])&gt;0,"ELEM_lub_PRD","TECHN")</f>
        <v>#REF!</v>
      </c>
      <c r="L2748" t="e">
        <f>IF(COUNTIF(#REF!,Tabela2[[#This Row],[KOD_PRODUKTU]])&gt;0,"ELEMENT","PRODUKT")</f>
        <v>#REF!</v>
      </c>
      <c r="M2748" t="e">
        <f>COUNTIF(#REF!,Tabela2[[#This Row],[KOD_PRODUKTU]])</f>
        <v>#REF!</v>
      </c>
      <c r="N2748" t="s">
        <v>55</v>
      </c>
    </row>
    <row r="2749" spans="1:14" x14ac:dyDescent="0.25">
      <c r="A2749" s="1" t="s">
        <v>4301</v>
      </c>
      <c r="B2749" t="s">
        <v>4302</v>
      </c>
      <c r="C2749" s="1" t="s">
        <v>432</v>
      </c>
      <c r="D2749" s="1" t="s">
        <v>432</v>
      </c>
      <c r="E2749" s="1" t="s">
        <v>432</v>
      </c>
      <c r="F2749" t="s">
        <v>433</v>
      </c>
      <c r="G2749" t="s">
        <v>434</v>
      </c>
      <c r="H2749" t="s">
        <v>435</v>
      </c>
      <c r="I2749" t="s">
        <v>50</v>
      </c>
      <c r="J2749">
        <v>1.1000000000000001</v>
      </c>
      <c r="K2749" t="e">
        <f>IF(COUNTIF(#REF!,Tabela2[[#This Row],[IdxWspolny]])&gt;0,"ELEM_lub_PRD","TECHN")</f>
        <v>#REF!</v>
      </c>
      <c r="L2749" t="e">
        <f>IF(COUNTIF(#REF!,Tabela2[[#This Row],[KOD_PRODUKTU]])&gt;0,"ELEMENT","PRODUKT")</f>
        <v>#REF!</v>
      </c>
      <c r="M2749" t="e">
        <f>COUNTIF(#REF!,Tabela2[[#This Row],[KOD_PRODUKTU]])</f>
        <v>#REF!</v>
      </c>
    </row>
    <row r="2750" spans="1:14" x14ac:dyDescent="0.25">
      <c r="A2750" s="1" t="s">
        <v>4301</v>
      </c>
      <c r="B2750" t="s">
        <v>4302</v>
      </c>
      <c r="C2750" s="1" t="s">
        <v>7</v>
      </c>
      <c r="D2750" s="1" t="s">
        <v>7</v>
      </c>
      <c r="E2750" s="1" t="s">
        <v>7</v>
      </c>
      <c r="F2750" t="s">
        <v>8</v>
      </c>
      <c r="G2750" t="s">
        <v>9</v>
      </c>
      <c r="H2750" t="s">
        <v>10</v>
      </c>
      <c r="I2750" t="s">
        <v>19</v>
      </c>
      <c r="J2750">
        <v>4.5999999999999996</v>
      </c>
      <c r="K2750" t="e">
        <f>IF(COUNTIF(#REF!,Tabela2[[#This Row],[IdxWspolny]])&gt;0,"ELEM_lub_PRD","TECHN")</f>
        <v>#REF!</v>
      </c>
      <c r="L2750" t="e">
        <f>IF(COUNTIF(#REF!,Tabela2[[#This Row],[KOD_PRODUKTU]])&gt;0,"ELEMENT","PRODUKT")</f>
        <v>#REF!</v>
      </c>
      <c r="M2750" t="e">
        <f>COUNTIF(#REF!,Tabela2[[#This Row],[KOD_PRODUKTU]])</f>
        <v>#REF!</v>
      </c>
    </row>
    <row r="2751" spans="1:14" x14ac:dyDescent="0.25">
      <c r="A2751" s="1" t="s">
        <v>4301</v>
      </c>
      <c r="B2751" t="s">
        <v>4302</v>
      </c>
      <c r="C2751" s="1" t="s">
        <v>7</v>
      </c>
      <c r="D2751" s="1" t="s">
        <v>7</v>
      </c>
      <c r="E2751" s="1" t="s">
        <v>7</v>
      </c>
      <c r="F2751" t="s">
        <v>8</v>
      </c>
      <c r="G2751" t="s">
        <v>9</v>
      </c>
      <c r="H2751" t="s">
        <v>10</v>
      </c>
      <c r="I2751" t="s">
        <v>447</v>
      </c>
      <c r="J2751">
        <v>0.92</v>
      </c>
      <c r="K2751" t="e">
        <f>IF(COUNTIF(#REF!,Tabela2[[#This Row],[IdxWspolny]])&gt;0,"ELEM_lub_PRD","TECHN")</f>
        <v>#REF!</v>
      </c>
      <c r="L2751" t="e">
        <f>IF(COUNTIF(#REF!,Tabela2[[#This Row],[KOD_PRODUKTU]])&gt;0,"ELEMENT","PRODUKT")</f>
        <v>#REF!</v>
      </c>
      <c r="M2751" t="e">
        <f>COUNTIF(#REF!,Tabela2[[#This Row],[KOD_PRODUKTU]])</f>
        <v>#REF!</v>
      </c>
    </row>
    <row r="2752" spans="1:14" x14ac:dyDescent="0.25">
      <c r="A2752" s="1" t="s">
        <v>4301</v>
      </c>
      <c r="B2752" t="s">
        <v>4302</v>
      </c>
      <c r="C2752" s="1" t="s">
        <v>7</v>
      </c>
      <c r="D2752" s="1" t="s">
        <v>7</v>
      </c>
      <c r="E2752" s="1" t="s">
        <v>7</v>
      </c>
      <c r="F2752" t="s">
        <v>8</v>
      </c>
      <c r="G2752" t="s">
        <v>9</v>
      </c>
      <c r="H2752" t="s">
        <v>10</v>
      </c>
      <c r="I2752" t="s">
        <v>367</v>
      </c>
      <c r="J2752">
        <v>2.2999999999999998</v>
      </c>
      <c r="K2752" t="e">
        <f>IF(COUNTIF(#REF!,Tabela2[[#This Row],[IdxWspolny]])&gt;0,"ELEM_lub_PRD","TECHN")</f>
        <v>#REF!</v>
      </c>
      <c r="L2752" t="e">
        <f>IF(COUNTIF(#REF!,Tabela2[[#This Row],[KOD_PRODUKTU]])&gt;0,"ELEMENT","PRODUKT")</f>
        <v>#REF!</v>
      </c>
      <c r="M2752" t="e">
        <f>COUNTIF(#REF!,Tabela2[[#This Row],[KOD_PRODUKTU]])</f>
        <v>#REF!</v>
      </c>
    </row>
    <row r="2753" spans="1:14" x14ac:dyDescent="0.25">
      <c r="A2753" s="1" t="s">
        <v>4306</v>
      </c>
      <c r="B2753" t="s">
        <v>4307</v>
      </c>
      <c r="C2753" s="1" t="s">
        <v>3011</v>
      </c>
      <c r="D2753" s="1" t="s">
        <v>3011</v>
      </c>
      <c r="E2753" s="1" t="s">
        <v>3011</v>
      </c>
      <c r="F2753" t="s">
        <v>4309</v>
      </c>
      <c r="G2753" t="s">
        <v>1394</v>
      </c>
      <c r="H2753" t="s">
        <v>932</v>
      </c>
      <c r="I2753" t="s">
        <v>33</v>
      </c>
      <c r="J2753">
        <v>0.8</v>
      </c>
      <c r="K2753" t="e">
        <f>IF(COUNTIF(#REF!,Tabela2[[#This Row],[IdxWspolny]])&gt;0,"ELEM_lub_PRD","TECHN")</f>
        <v>#REF!</v>
      </c>
      <c r="L2753" t="e">
        <f>IF(COUNTIF(#REF!,Tabela2[[#This Row],[KOD_PRODUKTU]])&gt;0,"ELEMENT","PRODUKT")</f>
        <v>#REF!</v>
      </c>
      <c r="M2753" t="e">
        <f>COUNTIF(#REF!,Tabela2[[#This Row],[KOD_PRODUKTU]])</f>
        <v>#REF!</v>
      </c>
    </row>
    <row r="2754" spans="1:14" x14ac:dyDescent="0.25">
      <c r="A2754" s="1" t="s">
        <v>4306</v>
      </c>
      <c r="B2754" t="s">
        <v>4307</v>
      </c>
      <c r="C2754" s="1" t="s">
        <v>7</v>
      </c>
      <c r="D2754" s="1" t="s">
        <v>7</v>
      </c>
      <c r="E2754" s="1" t="s">
        <v>7</v>
      </c>
      <c r="F2754" t="s">
        <v>8</v>
      </c>
      <c r="G2754" t="s">
        <v>9</v>
      </c>
      <c r="H2754" t="s">
        <v>10</v>
      </c>
      <c r="I2754" t="s">
        <v>1428</v>
      </c>
      <c r="J2754">
        <v>3.22</v>
      </c>
      <c r="K2754" t="e">
        <f>IF(COUNTIF(#REF!,Tabela2[[#This Row],[IdxWspolny]])&gt;0,"ELEM_lub_PRD","TECHN")</f>
        <v>#REF!</v>
      </c>
      <c r="L2754" t="e">
        <f>IF(COUNTIF(#REF!,Tabela2[[#This Row],[KOD_PRODUKTU]])&gt;0,"ELEMENT","PRODUKT")</f>
        <v>#REF!</v>
      </c>
      <c r="M2754" t="e">
        <f>COUNTIF(#REF!,Tabela2[[#This Row],[KOD_PRODUKTU]])</f>
        <v>#REF!</v>
      </c>
    </row>
    <row r="2755" spans="1:14" x14ac:dyDescent="0.25">
      <c r="A2755" s="1" t="s">
        <v>4310</v>
      </c>
      <c r="B2755" t="s">
        <v>4311</v>
      </c>
      <c r="C2755" s="1" t="s">
        <v>4312</v>
      </c>
      <c r="D2755" s="1" t="s">
        <v>4312</v>
      </c>
      <c r="E2755" s="1" t="s">
        <v>4312</v>
      </c>
      <c r="F2755" t="s">
        <v>4313</v>
      </c>
      <c r="G2755" t="s">
        <v>131</v>
      </c>
      <c r="H2755" t="s">
        <v>5</v>
      </c>
      <c r="I2755" t="s">
        <v>1254</v>
      </c>
      <c r="J2755">
        <v>4.97</v>
      </c>
      <c r="K2755" t="e">
        <f>IF(COUNTIF(#REF!,Tabela2[[#This Row],[IdxWspolny]])&gt;0,"ELEM_lub_PRD","TECHN")</f>
        <v>#REF!</v>
      </c>
      <c r="L2755" t="e">
        <f>IF(COUNTIF(#REF!,Tabela2[[#This Row],[KOD_PRODUKTU]])&gt;0,"ELEMENT","PRODUKT")</f>
        <v>#REF!</v>
      </c>
      <c r="M2755" t="e">
        <f>COUNTIF(#REF!,Tabela2[[#This Row],[KOD_PRODUKTU]])</f>
        <v>#REF!</v>
      </c>
    </row>
    <row r="2756" spans="1:14" x14ac:dyDescent="0.25">
      <c r="A2756" s="1" t="s">
        <v>4310</v>
      </c>
      <c r="B2756" t="s">
        <v>4311</v>
      </c>
      <c r="C2756" s="1" t="s">
        <v>432</v>
      </c>
      <c r="D2756" s="1" t="s">
        <v>432</v>
      </c>
      <c r="E2756" s="1" t="s">
        <v>432</v>
      </c>
      <c r="F2756" t="s">
        <v>433</v>
      </c>
      <c r="G2756" t="s">
        <v>434</v>
      </c>
      <c r="H2756" t="s">
        <v>435</v>
      </c>
      <c r="I2756" t="s">
        <v>50</v>
      </c>
      <c r="J2756">
        <v>1.1000000000000001</v>
      </c>
      <c r="K2756" t="e">
        <f>IF(COUNTIF(#REF!,Tabela2[[#This Row],[IdxWspolny]])&gt;0,"ELEM_lub_PRD","TECHN")</f>
        <v>#REF!</v>
      </c>
      <c r="L2756" t="e">
        <f>IF(COUNTIF(#REF!,Tabela2[[#This Row],[KOD_PRODUKTU]])&gt;0,"ELEMENT","PRODUKT")</f>
        <v>#REF!</v>
      </c>
      <c r="M2756" t="e">
        <f>COUNTIF(#REF!,Tabela2[[#This Row],[KOD_PRODUKTU]])</f>
        <v>#REF!</v>
      </c>
    </row>
    <row r="2757" spans="1:14" x14ac:dyDescent="0.25">
      <c r="A2757" s="1" t="s">
        <v>4310</v>
      </c>
      <c r="B2757" t="s">
        <v>4311</v>
      </c>
      <c r="C2757" s="1" t="s">
        <v>7</v>
      </c>
      <c r="D2757" s="1" t="s">
        <v>7</v>
      </c>
      <c r="E2757" s="1" t="s">
        <v>7</v>
      </c>
      <c r="F2757" t="s">
        <v>8</v>
      </c>
      <c r="G2757" t="s">
        <v>9</v>
      </c>
      <c r="H2757" t="s">
        <v>10</v>
      </c>
      <c r="I2757" t="s">
        <v>478</v>
      </c>
      <c r="J2757">
        <v>3.68</v>
      </c>
      <c r="K2757" t="e">
        <f>IF(COUNTIF(#REF!,Tabela2[[#This Row],[IdxWspolny]])&gt;0,"ELEM_lub_PRD","TECHN")</f>
        <v>#REF!</v>
      </c>
      <c r="L2757" t="e">
        <f>IF(COUNTIF(#REF!,Tabela2[[#This Row],[KOD_PRODUKTU]])&gt;0,"ELEMENT","PRODUKT")</f>
        <v>#REF!</v>
      </c>
      <c r="M2757" t="e">
        <f>COUNTIF(#REF!,Tabela2[[#This Row],[KOD_PRODUKTU]])</f>
        <v>#REF!</v>
      </c>
    </row>
    <row r="2758" spans="1:14" x14ac:dyDescent="0.25">
      <c r="A2758" s="1" t="s">
        <v>4314</v>
      </c>
      <c r="B2758" t="s">
        <v>4315</v>
      </c>
      <c r="C2758" s="1" t="s">
        <v>4316</v>
      </c>
      <c r="D2758" s="1" t="s">
        <v>4316</v>
      </c>
      <c r="E2758" s="1" t="s">
        <v>4316</v>
      </c>
      <c r="F2758" t="s">
        <v>4317</v>
      </c>
      <c r="G2758" t="s">
        <v>1394</v>
      </c>
      <c r="H2758" t="s">
        <v>5</v>
      </c>
      <c r="I2758" t="s">
        <v>3717</v>
      </c>
      <c r="J2758">
        <v>0.05</v>
      </c>
      <c r="K2758" t="e">
        <f>IF(COUNTIF(#REF!,Tabela2[[#This Row],[IdxWspolny]])&gt;0,"ELEM_lub_PRD","TECHN")</f>
        <v>#REF!</v>
      </c>
      <c r="L2758" t="e">
        <f>IF(COUNTIF(#REF!,Tabela2[[#This Row],[KOD_PRODUKTU]])&gt;0,"ELEMENT","PRODUKT")</f>
        <v>#REF!</v>
      </c>
      <c r="M2758" t="e">
        <f>COUNTIF(#REF!,Tabela2[[#This Row],[KOD_PRODUKTU]])</f>
        <v>#REF!</v>
      </c>
    </row>
    <row r="2759" spans="1:14" x14ac:dyDescent="0.25">
      <c r="A2759" s="1" t="s">
        <v>4314</v>
      </c>
      <c r="B2759" t="s">
        <v>4315</v>
      </c>
      <c r="C2759" s="1" t="s">
        <v>4318</v>
      </c>
      <c r="D2759" s="1" t="s">
        <v>4318</v>
      </c>
      <c r="E2759" s="1" t="s">
        <v>4318</v>
      </c>
      <c r="F2759" t="s">
        <v>4319</v>
      </c>
      <c r="G2759" t="s">
        <v>4320</v>
      </c>
      <c r="H2759" t="s">
        <v>49</v>
      </c>
      <c r="I2759" t="s">
        <v>50</v>
      </c>
      <c r="J2759">
        <v>1.24</v>
      </c>
      <c r="K2759" t="e">
        <f>IF(COUNTIF(#REF!,Tabela2[[#This Row],[IdxWspolny]])&gt;0,"ELEM_lub_PRD","TECHN")</f>
        <v>#REF!</v>
      </c>
      <c r="L2759" t="e">
        <f>IF(COUNTIF(#REF!,Tabela2[[#This Row],[KOD_PRODUKTU]])&gt;0,"ELEMENT","PRODUKT")</f>
        <v>#REF!</v>
      </c>
      <c r="M2759" t="e">
        <f>COUNTIF(#REF!,Tabela2[[#This Row],[KOD_PRODUKTU]])</f>
        <v>#REF!</v>
      </c>
    </row>
    <row r="2760" spans="1:14" hidden="1" x14ac:dyDescent="0.25">
      <c r="A2760" s="1" t="s">
        <v>4314</v>
      </c>
      <c r="B2760" t="s">
        <v>4315</v>
      </c>
      <c r="C2760" s="1" t="s">
        <v>4321</v>
      </c>
      <c r="D2760" s="1" t="s">
        <v>4321</v>
      </c>
      <c r="E2760" s="1" t="s">
        <v>4321</v>
      </c>
      <c r="F2760" t="s">
        <v>4322</v>
      </c>
      <c r="G2760" t="s">
        <v>4323</v>
      </c>
      <c r="H2760" t="s">
        <v>49</v>
      </c>
      <c r="I2760" t="s">
        <v>92</v>
      </c>
      <c r="J2760">
        <v>7.72</v>
      </c>
      <c r="K2760" t="e">
        <f>IF(COUNTIF(#REF!,Tabela2[[#This Row],[IdxWspolny]])&gt;0,"ELEM_lub_PRD","TECHN")</f>
        <v>#REF!</v>
      </c>
      <c r="L2760" t="e">
        <f>IF(COUNTIF(#REF!,Tabela2[[#This Row],[KOD_PRODUKTU]])&gt;0,"ELEMENT","PRODUKT")</f>
        <v>#REF!</v>
      </c>
      <c r="M2760" t="e">
        <f>COUNTIF(#REF!,Tabela2[[#This Row],[KOD_PRODUKTU]])</f>
        <v>#REF!</v>
      </c>
      <c r="N2760" t="s">
        <v>55</v>
      </c>
    </row>
    <row r="2761" spans="1:14" hidden="1" x14ac:dyDescent="0.25">
      <c r="A2761" s="1" t="s">
        <v>4314</v>
      </c>
      <c r="B2761" t="s">
        <v>4315</v>
      </c>
      <c r="C2761" s="1" t="s">
        <v>4324</v>
      </c>
      <c r="D2761" s="1" t="s">
        <v>4324</v>
      </c>
      <c r="E2761" s="1" t="s">
        <v>4324</v>
      </c>
      <c r="F2761" t="s">
        <v>4325</v>
      </c>
      <c r="G2761" t="s">
        <v>658</v>
      </c>
      <c r="H2761" t="s">
        <v>49</v>
      </c>
      <c r="I2761" t="s">
        <v>50</v>
      </c>
      <c r="J2761">
        <v>5.6</v>
      </c>
      <c r="K2761" t="e">
        <f>IF(COUNTIF(#REF!,Tabela2[[#This Row],[IdxWspolny]])&gt;0,"ELEM_lub_PRD","TECHN")</f>
        <v>#REF!</v>
      </c>
      <c r="L2761" t="e">
        <f>IF(COUNTIF(#REF!,Tabela2[[#This Row],[KOD_PRODUKTU]])&gt;0,"ELEMENT","PRODUKT")</f>
        <v>#REF!</v>
      </c>
      <c r="M2761" t="e">
        <f>COUNTIF(#REF!,Tabela2[[#This Row],[KOD_PRODUKTU]])</f>
        <v>#REF!</v>
      </c>
      <c r="N2761" t="s">
        <v>55</v>
      </c>
    </row>
    <row r="2762" spans="1:14" hidden="1" x14ac:dyDescent="0.25">
      <c r="A2762" s="1" t="s">
        <v>4314</v>
      </c>
      <c r="B2762" t="s">
        <v>4315</v>
      </c>
      <c r="C2762" s="1" t="s">
        <v>4326</v>
      </c>
      <c r="D2762" s="1" t="s">
        <v>4326</v>
      </c>
      <c r="E2762" s="1" t="s">
        <v>4326</v>
      </c>
      <c r="F2762" t="s">
        <v>4327</v>
      </c>
      <c r="G2762" t="s">
        <v>1675</v>
      </c>
      <c r="H2762" t="s">
        <v>49</v>
      </c>
      <c r="I2762" t="s">
        <v>50</v>
      </c>
      <c r="J2762">
        <v>20.8</v>
      </c>
      <c r="K2762" t="e">
        <f>IF(COUNTIF(#REF!,Tabela2[[#This Row],[IdxWspolny]])&gt;0,"ELEM_lub_PRD","TECHN")</f>
        <v>#REF!</v>
      </c>
      <c r="L2762" t="e">
        <f>IF(COUNTIF(#REF!,Tabela2[[#This Row],[KOD_PRODUKTU]])&gt;0,"ELEMENT","PRODUKT")</f>
        <v>#REF!</v>
      </c>
      <c r="M2762" t="e">
        <f>COUNTIF(#REF!,Tabela2[[#This Row],[KOD_PRODUKTU]])</f>
        <v>#REF!</v>
      </c>
      <c r="N2762" t="s">
        <v>55</v>
      </c>
    </row>
    <row r="2763" spans="1:14" hidden="1" x14ac:dyDescent="0.25">
      <c r="A2763" s="1" t="s">
        <v>4314</v>
      </c>
      <c r="B2763" t="s">
        <v>4315</v>
      </c>
      <c r="C2763" s="1" t="s">
        <v>4328</v>
      </c>
      <c r="D2763" s="1" t="s">
        <v>4328</v>
      </c>
      <c r="E2763" s="1" t="s">
        <v>4328</v>
      </c>
      <c r="F2763" t="s">
        <v>4329</v>
      </c>
      <c r="G2763" t="s">
        <v>4330</v>
      </c>
      <c r="H2763" t="s">
        <v>49</v>
      </c>
      <c r="I2763" t="s">
        <v>50</v>
      </c>
      <c r="J2763">
        <v>135.99</v>
      </c>
      <c r="K2763" t="e">
        <f>IF(COUNTIF(#REF!,Tabela2[[#This Row],[IdxWspolny]])&gt;0,"ELEM_lub_PRD","TECHN")</f>
        <v>#REF!</v>
      </c>
      <c r="L2763" t="e">
        <f>IF(COUNTIF(#REF!,Tabela2[[#This Row],[KOD_PRODUKTU]])&gt;0,"ELEMENT","PRODUKT")</f>
        <v>#REF!</v>
      </c>
      <c r="M2763" t="e">
        <f>COUNTIF(#REF!,Tabela2[[#This Row],[KOD_PRODUKTU]])</f>
        <v>#REF!</v>
      </c>
      <c r="N2763" t="s">
        <v>55</v>
      </c>
    </row>
    <row r="2764" spans="1:14" x14ac:dyDescent="0.25">
      <c r="A2764" s="1" t="s">
        <v>4314</v>
      </c>
      <c r="B2764" t="s">
        <v>4315</v>
      </c>
      <c r="C2764" s="1" t="s">
        <v>7</v>
      </c>
      <c r="D2764" s="1" t="s">
        <v>7</v>
      </c>
      <c r="E2764" s="1" t="s">
        <v>7</v>
      </c>
      <c r="F2764" t="s">
        <v>8</v>
      </c>
      <c r="G2764" t="s">
        <v>9</v>
      </c>
      <c r="H2764" t="s">
        <v>10</v>
      </c>
      <c r="I2764" t="s">
        <v>367</v>
      </c>
      <c r="J2764">
        <v>2.2999999999999998</v>
      </c>
      <c r="K2764" t="e">
        <f>IF(COUNTIF(#REF!,Tabela2[[#This Row],[IdxWspolny]])&gt;0,"ELEM_lub_PRD","TECHN")</f>
        <v>#REF!</v>
      </c>
      <c r="L2764" t="e">
        <f>IF(COUNTIF(#REF!,Tabela2[[#This Row],[KOD_PRODUKTU]])&gt;0,"ELEMENT","PRODUKT")</f>
        <v>#REF!</v>
      </c>
      <c r="M2764" t="e">
        <f>COUNTIF(#REF!,Tabela2[[#This Row],[KOD_PRODUKTU]])</f>
        <v>#REF!</v>
      </c>
    </row>
    <row r="2765" spans="1:14" x14ac:dyDescent="0.25">
      <c r="A2765" s="1" t="s">
        <v>4314</v>
      </c>
      <c r="B2765" t="s">
        <v>4315</v>
      </c>
      <c r="C2765" s="1" t="s">
        <v>7</v>
      </c>
      <c r="D2765" s="1" t="s">
        <v>7</v>
      </c>
      <c r="E2765" s="1" t="s">
        <v>7</v>
      </c>
      <c r="F2765" t="s">
        <v>8</v>
      </c>
      <c r="G2765" t="s">
        <v>9</v>
      </c>
      <c r="H2765" t="s">
        <v>10</v>
      </c>
      <c r="I2765" t="s">
        <v>1254</v>
      </c>
      <c r="J2765">
        <v>16.100000000000001</v>
      </c>
      <c r="K2765" t="e">
        <f>IF(COUNTIF(#REF!,Tabela2[[#This Row],[IdxWspolny]])&gt;0,"ELEM_lub_PRD","TECHN")</f>
        <v>#REF!</v>
      </c>
      <c r="L2765" t="e">
        <f>IF(COUNTIF(#REF!,Tabela2[[#This Row],[KOD_PRODUKTU]])&gt;0,"ELEMENT","PRODUKT")</f>
        <v>#REF!</v>
      </c>
      <c r="M2765" t="e">
        <f>COUNTIF(#REF!,Tabela2[[#This Row],[KOD_PRODUKTU]])</f>
        <v>#REF!</v>
      </c>
    </row>
    <row r="2766" spans="1:14" x14ac:dyDescent="0.25">
      <c r="A2766" s="1" t="s">
        <v>4321</v>
      </c>
      <c r="B2766" t="s">
        <v>4322</v>
      </c>
      <c r="C2766" s="1" t="s">
        <v>4331</v>
      </c>
      <c r="D2766" s="1" t="s">
        <v>4331</v>
      </c>
      <c r="E2766" s="1" t="s">
        <v>4331</v>
      </c>
      <c r="F2766" t="s">
        <v>4332</v>
      </c>
      <c r="G2766" t="s">
        <v>712</v>
      </c>
      <c r="H2766" t="s">
        <v>5</v>
      </c>
      <c r="I2766" t="s">
        <v>4333</v>
      </c>
      <c r="J2766">
        <v>1.1000000000000001</v>
      </c>
      <c r="K2766" t="e">
        <f>IF(COUNTIF(#REF!,Tabela2[[#This Row],[IdxWspolny]])&gt;0,"ELEM_lub_PRD","TECHN")</f>
        <v>#REF!</v>
      </c>
      <c r="L2766" t="e">
        <f>IF(COUNTIF(#REF!,Tabela2[[#This Row],[KOD_PRODUKTU]])&gt;0,"ELEMENT","PRODUKT")</f>
        <v>#REF!</v>
      </c>
      <c r="M2766" t="e">
        <f>COUNTIF(#REF!,Tabela2[[#This Row],[KOD_PRODUKTU]])</f>
        <v>#REF!</v>
      </c>
    </row>
    <row r="2767" spans="1:14" x14ac:dyDescent="0.25">
      <c r="A2767" s="1" t="s">
        <v>4321</v>
      </c>
      <c r="B2767" t="s">
        <v>4322</v>
      </c>
      <c r="C2767" s="1" t="s">
        <v>7</v>
      </c>
      <c r="D2767" s="1" t="s">
        <v>7</v>
      </c>
      <c r="E2767" s="1" t="s">
        <v>7</v>
      </c>
      <c r="F2767" t="s">
        <v>8</v>
      </c>
      <c r="G2767" t="s">
        <v>9</v>
      </c>
      <c r="H2767" t="s">
        <v>10</v>
      </c>
      <c r="I2767" t="s">
        <v>25</v>
      </c>
      <c r="J2767">
        <v>2.76</v>
      </c>
      <c r="K2767" t="e">
        <f>IF(COUNTIF(#REF!,Tabela2[[#This Row],[IdxWspolny]])&gt;0,"ELEM_lub_PRD","TECHN")</f>
        <v>#REF!</v>
      </c>
      <c r="L2767" t="e">
        <f>IF(COUNTIF(#REF!,Tabela2[[#This Row],[KOD_PRODUKTU]])&gt;0,"ELEMENT","PRODUKT")</f>
        <v>#REF!</v>
      </c>
      <c r="M2767" t="e">
        <f>COUNTIF(#REF!,Tabela2[[#This Row],[KOD_PRODUKTU]])</f>
        <v>#REF!</v>
      </c>
    </row>
    <row r="2768" spans="1:14" x14ac:dyDescent="0.25">
      <c r="A2768" s="1" t="s">
        <v>4324</v>
      </c>
      <c r="B2768" t="s">
        <v>4325</v>
      </c>
      <c r="C2768" s="1" t="s">
        <v>2529</v>
      </c>
      <c r="D2768" s="1" t="s">
        <v>2529</v>
      </c>
      <c r="E2768" s="1" t="s">
        <v>2529</v>
      </c>
      <c r="F2768" t="s">
        <v>2530</v>
      </c>
      <c r="G2768" t="s">
        <v>2469</v>
      </c>
      <c r="H2768" t="s">
        <v>5</v>
      </c>
      <c r="I2768" t="s">
        <v>652</v>
      </c>
      <c r="J2768">
        <v>0.36</v>
      </c>
      <c r="K2768" t="e">
        <f>IF(COUNTIF(#REF!,Tabela2[[#This Row],[IdxWspolny]])&gt;0,"ELEM_lub_PRD","TECHN")</f>
        <v>#REF!</v>
      </c>
      <c r="L2768" t="e">
        <f>IF(COUNTIF(#REF!,Tabela2[[#This Row],[KOD_PRODUKTU]])&gt;0,"ELEMENT","PRODUKT")</f>
        <v>#REF!</v>
      </c>
      <c r="M2768" t="e">
        <f>COUNTIF(#REF!,Tabela2[[#This Row],[KOD_PRODUKTU]])</f>
        <v>#REF!</v>
      </c>
    </row>
    <row r="2769" spans="1:13" x14ac:dyDescent="0.25">
      <c r="A2769" s="1" t="s">
        <v>4324</v>
      </c>
      <c r="B2769" t="s">
        <v>4325</v>
      </c>
      <c r="C2769" s="1" t="s">
        <v>432</v>
      </c>
      <c r="D2769" s="1" t="s">
        <v>432</v>
      </c>
      <c r="E2769" s="1" t="s">
        <v>432</v>
      </c>
      <c r="F2769" t="s">
        <v>433</v>
      </c>
      <c r="G2769" t="s">
        <v>434</v>
      </c>
      <c r="H2769" t="s">
        <v>435</v>
      </c>
      <c r="I2769" t="s">
        <v>50</v>
      </c>
      <c r="J2769">
        <v>1.1000000000000001</v>
      </c>
      <c r="K2769" t="e">
        <f>IF(COUNTIF(#REF!,Tabela2[[#This Row],[IdxWspolny]])&gt;0,"ELEM_lub_PRD","TECHN")</f>
        <v>#REF!</v>
      </c>
      <c r="L2769" t="e">
        <f>IF(COUNTIF(#REF!,Tabela2[[#This Row],[KOD_PRODUKTU]])&gt;0,"ELEMENT","PRODUKT")</f>
        <v>#REF!</v>
      </c>
      <c r="M2769" t="e">
        <f>COUNTIF(#REF!,Tabela2[[#This Row],[KOD_PRODUKTU]])</f>
        <v>#REF!</v>
      </c>
    </row>
    <row r="2770" spans="1:13" x14ac:dyDescent="0.25">
      <c r="A2770" s="1" t="s">
        <v>4324</v>
      </c>
      <c r="B2770" t="s">
        <v>4325</v>
      </c>
      <c r="C2770" s="1" t="s">
        <v>7</v>
      </c>
      <c r="D2770" s="1" t="s">
        <v>7</v>
      </c>
      <c r="E2770" s="1" t="s">
        <v>7</v>
      </c>
      <c r="F2770" t="s">
        <v>8</v>
      </c>
      <c r="G2770" t="s">
        <v>9</v>
      </c>
      <c r="H2770" t="s">
        <v>10</v>
      </c>
      <c r="I2770" t="s">
        <v>1425</v>
      </c>
      <c r="J2770">
        <v>4.1399999999999997</v>
      </c>
      <c r="K2770" t="e">
        <f>IF(COUNTIF(#REF!,Tabela2[[#This Row],[IdxWspolny]])&gt;0,"ELEM_lub_PRD","TECHN")</f>
        <v>#REF!</v>
      </c>
      <c r="L2770" t="e">
        <f>IF(COUNTIF(#REF!,Tabela2[[#This Row],[KOD_PRODUKTU]])&gt;0,"ELEMENT","PRODUKT")</f>
        <v>#REF!</v>
      </c>
      <c r="M2770" t="e">
        <f>COUNTIF(#REF!,Tabela2[[#This Row],[KOD_PRODUKTU]])</f>
        <v>#REF!</v>
      </c>
    </row>
    <row r="2771" spans="1:13" x14ac:dyDescent="0.25">
      <c r="A2771" s="1" t="s">
        <v>4326</v>
      </c>
      <c r="B2771" t="s">
        <v>4327</v>
      </c>
      <c r="C2771" s="1" t="s">
        <v>1487</v>
      </c>
      <c r="D2771" s="1" t="s">
        <v>1487</v>
      </c>
      <c r="E2771" s="1" t="s">
        <v>1487</v>
      </c>
      <c r="F2771" t="s">
        <v>1488</v>
      </c>
      <c r="G2771" t="s">
        <v>31</v>
      </c>
      <c r="H2771" t="s">
        <v>5</v>
      </c>
      <c r="I2771" t="s">
        <v>1491</v>
      </c>
      <c r="J2771">
        <v>1.3</v>
      </c>
      <c r="K2771" t="e">
        <f>IF(COUNTIF(#REF!,Tabela2[[#This Row],[IdxWspolny]])&gt;0,"ELEM_lub_PRD","TECHN")</f>
        <v>#REF!</v>
      </c>
      <c r="L2771" t="e">
        <f>IF(COUNTIF(#REF!,Tabela2[[#This Row],[KOD_PRODUKTU]])&gt;0,"ELEMENT","PRODUKT")</f>
        <v>#REF!</v>
      </c>
      <c r="M2771" t="e">
        <f>COUNTIF(#REF!,Tabela2[[#This Row],[KOD_PRODUKTU]])</f>
        <v>#REF!</v>
      </c>
    </row>
    <row r="2772" spans="1:13" x14ac:dyDescent="0.25">
      <c r="A2772" s="1" t="s">
        <v>4326</v>
      </c>
      <c r="B2772" t="s">
        <v>4327</v>
      </c>
      <c r="C2772" s="1" t="s">
        <v>432</v>
      </c>
      <c r="D2772" s="1" t="s">
        <v>432</v>
      </c>
      <c r="E2772" s="1" t="s">
        <v>432</v>
      </c>
      <c r="F2772" t="s">
        <v>433</v>
      </c>
      <c r="G2772" t="s">
        <v>434</v>
      </c>
      <c r="H2772" t="s">
        <v>435</v>
      </c>
      <c r="I2772" t="s">
        <v>50</v>
      </c>
      <c r="J2772">
        <v>1.1000000000000001</v>
      </c>
      <c r="K2772" t="e">
        <f>IF(COUNTIF(#REF!,Tabela2[[#This Row],[IdxWspolny]])&gt;0,"ELEM_lub_PRD","TECHN")</f>
        <v>#REF!</v>
      </c>
      <c r="L2772" t="e">
        <f>IF(COUNTIF(#REF!,Tabela2[[#This Row],[KOD_PRODUKTU]])&gt;0,"ELEMENT","PRODUKT")</f>
        <v>#REF!</v>
      </c>
      <c r="M2772" t="e">
        <f>COUNTIF(#REF!,Tabela2[[#This Row],[KOD_PRODUKTU]])</f>
        <v>#REF!</v>
      </c>
    </row>
    <row r="2773" spans="1:13" x14ac:dyDescent="0.25">
      <c r="A2773" s="1" t="s">
        <v>4326</v>
      </c>
      <c r="B2773" t="s">
        <v>4327</v>
      </c>
      <c r="C2773" s="1" t="s">
        <v>7</v>
      </c>
      <c r="D2773" s="1" t="s">
        <v>7</v>
      </c>
      <c r="E2773" s="1" t="s">
        <v>7</v>
      </c>
      <c r="F2773" t="s">
        <v>8</v>
      </c>
      <c r="G2773" t="s">
        <v>9</v>
      </c>
      <c r="H2773" t="s">
        <v>10</v>
      </c>
      <c r="I2773" t="s">
        <v>607</v>
      </c>
      <c r="J2773">
        <v>18.399999999999999</v>
      </c>
      <c r="K2773" t="e">
        <f>IF(COUNTIF(#REF!,Tabela2[[#This Row],[IdxWspolny]])&gt;0,"ELEM_lub_PRD","TECHN")</f>
        <v>#REF!</v>
      </c>
      <c r="L2773" t="e">
        <f>IF(COUNTIF(#REF!,Tabela2[[#This Row],[KOD_PRODUKTU]])&gt;0,"ELEMENT","PRODUKT")</f>
        <v>#REF!</v>
      </c>
      <c r="M2773" t="e">
        <f>COUNTIF(#REF!,Tabela2[[#This Row],[KOD_PRODUKTU]])</f>
        <v>#REF!</v>
      </c>
    </row>
    <row r="2774" spans="1:13" x14ac:dyDescent="0.25">
      <c r="A2774" s="1" t="s">
        <v>4328</v>
      </c>
      <c r="B2774" t="s">
        <v>4329</v>
      </c>
      <c r="C2774" s="1" t="s">
        <v>2668</v>
      </c>
      <c r="D2774" s="1" t="s">
        <v>2668</v>
      </c>
      <c r="E2774" s="1" t="s">
        <v>2668</v>
      </c>
      <c r="F2774" t="s">
        <v>2669</v>
      </c>
      <c r="G2774" t="s">
        <v>2670</v>
      </c>
      <c r="H2774" t="s">
        <v>5</v>
      </c>
      <c r="I2774" t="s">
        <v>4334</v>
      </c>
      <c r="J2774">
        <v>7.1</v>
      </c>
      <c r="K2774" t="e">
        <f>IF(COUNTIF(#REF!,Tabela2[[#This Row],[IdxWspolny]])&gt;0,"ELEM_lub_PRD","TECHN")</f>
        <v>#REF!</v>
      </c>
      <c r="L2774" t="e">
        <f>IF(COUNTIF(#REF!,Tabela2[[#This Row],[KOD_PRODUKTU]])&gt;0,"ELEMENT","PRODUKT")</f>
        <v>#REF!</v>
      </c>
      <c r="M2774" t="e">
        <f>COUNTIF(#REF!,Tabela2[[#This Row],[KOD_PRODUKTU]])</f>
        <v>#REF!</v>
      </c>
    </row>
    <row r="2775" spans="1:13" x14ac:dyDescent="0.25">
      <c r="A2775" s="1" t="s">
        <v>4328</v>
      </c>
      <c r="B2775" t="s">
        <v>4329</v>
      </c>
      <c r="C2775" s="1" t="s">
        <v>2668</v>
      </c>
      <c r="D2775" s="1" t="s">
        <v>2668</v>
      </c>
      <c r="E2775" s="1" t="s">
        <v>2668</v>
      </c>
      <c r="F2775" t="s">
        <v>2669</v>
      </c>
      <c r="G2775" t="s">
        <v>2670</v>
      </c>
      <c r="H2775" t="s">
        <v>5</v>
      </c>
      <c r="I2775" t="s">
        <v>4335</v>
      </c>
      <c r="J2775">
        <v>18.149999999999999</v>
      </c>
      <c r="K2775" t="e">
        <f>IF(COUNTIF(#REF!,Tabela2[[#This Row],[IdxWspolny]])&gt;0,"ELEM_lub_PRD","TECHN")</f>
        <v>#REF!</v>
      </c>
      <c r="L2775" t="e">
        <f>IF(COUNTIF(#REF!,Tabela2[[#This Row],[KOD_PRODUKTU]])&gt;0,"ELEMENT","PRODUKT")</f>
        <v>#REF!</v>
      </c>
      <c r="M2775" t="e">
        <f>COUNTIF(#REF!,Tabela2[[#This Row],[KOD_PRODUKTU]])</f>
        <v>#REF!</v>
      </c>
    </row>
    <row r="2776" spans="1:13" x14ac:dyDescent="0.25">
      <c r="A2776" s="1" t="s">
        <v>4328</v>
      </c>
      <c r="B2776" t="s">
        <v>4329</v>
      </c>
      <c r="C2776" s="1" t="s">
        <v>857</v>
      </c>
      <c r="D2776" s="1" t="s">
        <v>857</v>
      </c>
      <c r="E2776" s="1" t="s">
        <v>857</v>
      </c>
      <c r="F2776" t="s">
        <v>858</v>
      </c>
      <c r="G2776" t="s">
        <v>686</v>
      </c>
      <c r="H2776" t="s">
        <v>49</v>
      </c>
      <c r="I2776" t="s">
        <v>4336</v>
      </c>
      <c r="J2776">
        <v>0.15</v>
      </c>
      <c r="K2776" t="e">
        <f>IF(COUNTIF(#REF!,Tabela2[[#This Row],[IdxWspolny]])&gt;0,"ELEM_lub_PRD","TECHN")</f>
        <v>#REF!</v>
      </c>
      <c r="L2776" t="e">
        <f>IF(COUNTIF(#REF!,Tabela2[[#This Row],[KOD_PRODUKTU]])&gt;0,"ELEMENT","PRODUKT")</f>
        <v>#REF!</v>
      </c>
      <c r="M2776" t="e">
        <f>COUNTIF(#REF!,Tabela2[[#This Row],[KOD_PRODUKTU]])</f>
        <v>#REF!</v>
      </c>
    </row>
    <row r="2777" spans="1:13" x14ac:dyDescent="0.25">
      <c r="A2777" s="1" t="s">
        <v>4328</v>
      </c>
      <c r="B2777" t="s">
        <v>4329</v>
      </c>
      <c r="C2777" s="1" t="s">
        <v>432</v>
      </c>
      <c r="D2777" s="1" t="s">
        <v>432</v>
      </c>
      <c r="E2777" s="1" t="s">
        <v>432</v>
      </c>
      <c r="F2777" t="s">
        <v>433</v>
      </c>
      <c r="G2777" t="s">
        <v>434</v>
      </c>
      <c r="H2777" t="s">
        <v>435</v>
      </c>
      <c r="I2777" t="s">
        <v>1300</v>
      </c>
      <c r="J2777">
        <v>5.5</v>
      </c>
      <c r="K2777" t="e">
        <f>IF(COUNTIF(#REF!,Tabela2[[#This Row],[IdxWspolny]])&gt;0,"ELEM_lub_PRD","TECHN")</f>
        <v>#REF!</v>
      </c>
      <c r="L2777" t="e">
        <f>IF(COUNTIF(#REF!,Tabela2[[#This Row],[KOD_PRODUKTU]])&gt;0,"ELEMENT","PRODUKT")</f>
        <v>#REF!</v>
      </c>
      <c r="M2777" t="e">
        <f>COUNTIF(#REF!,Tabela2[[#This Row],[KOD_PRODUKTU]])</f>
        <v>#REF!</v>
      </c>
    </row>
    <row r="2778" spans="1:13" x14ac:dyDescent="0.25">
      <c r="A2778" s="1" t="s">
        <v>4328</v>
      </c>
      <c r="B2778" t="s">
        <v>4329</v>
      </c>
      <c r="C2778" s="1" t="s">
        <v>7</v>
      </c>
      <c r="D2778" s="1" t="s">
        <v>7</v>
      </c>
      <c r="E2778" s="1" t="s">
        <v>7</v>
      </c>
      <c r="F2778" t="s">
        <v>8</v>
      </c>
      <c r="G2778" t="s">
        <v>9</v>
      </c>
      <c r="H2778" t="s">
        <v>10</v>
      </c>
      <c r="I2778" t="s">
        <v>2600</v>
      </c>
      <c r="J2778">
        <v>62.1</v>
      </c>
      <c r="K2778" t="e">
        <f>IF(COUNTIF(#REF!,Tabela2[[#This Row],[IdxWspolny]])&gt;0,"ELEM_lub_PRD","TECHN")</f>
        <v>#REF!</v>
      </c>
      <c r="L2778" t="e">
        <f>IF(COUNTIF(#REF!,Tabela2[[#This Row],[KOD_PRODUKTU]])&gt;0,"ELEMENT","PRODUKT")</f>
        <v>#REF!</v>
      </c>
      <c r="M2778" t="e">
        <f>COUNTIF(#REF!,Tabela2[[#This Row],[KOD_PRODUKTU]])</f>
        <v>#REF!</v>
      </c>
    </row>
    <row r="2779" spans="1:13" x14ac:dyDescent="0.25">
      <c r="A2779" s="1" t="s">
        <v>4328</v>
      </c>
      <c r="B2779" t="s">
        <v>4329</v>
      </c>
      <c r="C2779" s="1" t="s">
        <v>7</v>
      </c>
      <c r="D2779" s="1" t="s">
        <v>7</v>
      </c>
      <c r="E2779" s="1" t="s">
        <v>7</v>
      </c>
      <c r="F2779" t="s">
        <v>8</v>
      </c>
      <c r="G2779" t="s">
        <v>9</v>
      </c>
      <c r="H2779" t="s">
        <v>10</v>
      </c>
      <c r="I2779" t="s">
        <v>4197</v>
      </c>
      <c r="J2779">
        <v>3.89</v>
      </c>
      <c r="K2779" t="e">
        <f>IF(COUNTIF(#REF!,Tabela2[[#This Row],[IdxWspolny]])&gt;0,"ELEM_lub_PRD","TECHN")</f>
        <v>#REF!</v>
      </c>
      <c r="L2779" t="e">
        <f>IF(COUNTIF(#REF!,Tabela2[[#This Row],[KOD_PRODUKTU]])&gt;0,"ELEMENT","PRODUKT")</f>
        <v>#REF!</v>
      </c>
      <c r="M2779" t="e">
        <f>COUNTIF(#REF!,Tabela2[[#This Row],[KOD_PRODUKTU]])</f>
        <v>#REF!</v>
      </c>
    </row>
    <row r="2780" spans="1:13" x14ac:dyDescent="0.25">
      <c r="A2780" s="1" t="s">
        <v>4328</v>
      </c>
      <c r="B2780" t="s">
        <v>4329</v>
      </c>
      <c r="C2780" s="1" t="s">
        <v>7</v>
      </c>
      <c r="D2780" s="1" t="s">
        <v>7</v>
      </c>
      <c r="E2780" s="1" t="s">
        <v>7</v>
      </c>
      <c r="F2780" t="s">
        <v>8</v>
      </c>
      <c r="G2780" t="s">
        <v>9</v>
      </c>
      <c r="H2780" t="s">
        <v>10</v>
      </c>
      <c r="I2780" t="s">
        <v>992</v>
      </c>
      <c r="J2780">
        <v>13.8</v>
      </c>
      <c r="K2780" t="e">
        <f>IF(COUNTIF(#REF!,Tabela2[[#This Row],[IdxWspolny]])&gt;0,"ELEM_lub_PRD","TECHN")</f>
        <v>#REF!</v>
      </c>
      <c r="L2780" t="e">
        <f>IF(COUNTIF(#REF!,Tabela2[[#This Row],[KOD_PRODUKTU]])&gt;0,"ELEMENT","PRODUKT")</f>
        <v>#REF!</v>
      </c>
      <c r="M2780" t="e">
        <f>COUNTIF(#REF!,Tabela2[[#This Row],[KOD_PRODUKTU]])</f>
        <v>#REF!</v>
      </c>
    </row>
    <row r="2781" spans="1:13" x14ac:dyDescent="0.25">
      <c r="A2781" s="1" t="s">
        <v>4328</v>
      </c>
      <c r="B2781" t="s">
        <v>4329</v>
      </c>
      <c r="C2781" s="1" t="s">
        <v>7</v>
      </c>
      <c r="D2781" s="1" t="s">
        <v>7</v>
      </c>
      <c r="E2781" s="1" t="s">
        <v>7</v>
      </c>
      <c r="F2781" t="s">
        <v>8</v>
      </c>
      <c r="G2781" t="s">
        <v>9</v>
      </c>
      <c r="H2781" t="s">
        <v>10</v>
      </c>
      <c r="I2781" t="s">
        <v>2330</v>
      </c>
      <c r="J2781">
        <v>25.3</v>
      </c>
      <c r="K2781" t="e">
        <f>IF(COUNTIF(#REF!,Tabela2[[#This Row],[IdxWspolny]])&gt;0,"ELEM_lub_PRD","TECHN")</f>
        <v>#REF!</v>
      </c>
      <c r="L2781" t="e">
        <f>IF(COUNTIF(#REF!,Tabela2[[#This Row],[KOD_PRODUKTU]])&gt;0,"ELEMENT","PRODUKT")</f>
        <v>#REF!</v>
      </c>
      <c r="M2781" t="e">
        <f>COUNTIF(#REF!,Tabela2[[#This Row],[KOD_PRODUKTU]])</f>
        <v>#REF!</v>
      </c>
    </row>
    <row r="2782" spans="1:13" x14ac:dyDescent="0.25">
      <c r="A2782" s="1" t="s">
        <v>4337</v>
      </c>
      <c r="B2782" t="s">
        <v>4338</v>
      </c>
      <c r="C2782" s="1" t="s">
        <v>1249</v>
      </c>
      <c r="D2782" s="1" t="s">
        <v>1249</v>
      </c>
      <c r="E2782" s="1" t="s">
        <v>1249</v>
      </c>
      <c r="F2782" t="s">
        <v>1250</v>
      </c>
      <c r="G2782" t="s">
        <v>1251</v>
      </c>
      <c r="H2782" t="s">
        <v>1252</v>
      </c>
      <c r="I2782" t="s">
        <v>4339</v>
      </c>
      <c r="J2782">
        <v>17.28</v>
      </c>
      <c r="K2782" t="e">
        <f>IF(COUNTIF(#REF!,Tabela2[[#This Row],[IdxWspolny]])&gt;0,"ELEM_lub_PRD","TECHN")</f>
        <v>#REF!</v>
      </c>
      <c r="L2782" t="e">
        <f>IF(COUNTIF(#REF!,Tabela2[[#This Row],[KOD_PRODUKTU]])&gt;0,"ELEMENT","PRODUKT")</f>
        <v>#REF!</v>
      </c>
      <c r="M2782" t="e">
        <f>COUNTIF(#REF!,Tabela2[[#This Row],[KOD_PRODUKTU]])</f>
        <v>#REF!</v>
      </c>
    </row>
    <row r="2783" spans="1:13" x14ac:dyDescent="0.25">
      <c r="A2783" s="1" t="s">
        <v>4337</v>
      </c>
      <c r="B2783" t="s">
        <v>4338</v>
      </c>
      <c r="C2783" s="1" t="s">
        <v>7</v>
      </c>
      <c r="D2783" s="1" t="s">
        <v>7</v>
      </c>
      <c r="E2783" s="1" t="s">
        <v>7</v>
      </c>
      <c r="F2783" t="s">
        <v>8</v>
      </c>
      <c r="G2783" t="s">
        <v>9</v>
      </c>
      <c r="H2783" t="s">
        <v>10</v>
      </c>
      <c r="I2783" t="s">
        <v>1254</v>
      </c>
      <c r="J2783">
        <v>16.100000000000001</v>
      </c>
      <c r="K2783" t="e">
        <f>IF(COUNTIF(#REF!,Tabela2[[#This Row],[IdxWspolny]])&gt;0,"ELEM_lub_PRD","TECHN")</f>
        <v>#REF!</v>
      </c>
      <c r="L2783" t="e">
        <f>IF(COUNTIF(#REF!,Tabela2[[#This Row],[KOD_PRODUKTU]])&gt;0,"ELEMENT","PRODUKT")</f>
        <v>#REF!</v>
      </c>
      <c r="M2783" t="e">
        <f>COUNTIF(#REF!,Tabela2[[#This Row],[KOD_PRODUKTU]])</f>
        <v>#REF!</v>
      </c>
    </row>
    <row r="2784" spans="1:13" x14ac:dyDescent="0.25">
      <c r="A2784" s="1" t="s">
        <v>4337</v>
      </c>
      <c r="B2784" t="s">
        <v>4338</v>
      </c>
      <c r="C2784" s="1" t="s">
        <v>7</v>
      </c>
      <c r="D2784" s="1" t="s">
        <v>7</v>
      </c>
      <c r="E2784" s="1" t="s">
        <v>7</v>
      </c>
      <c r="F2784" t="s">
        <v>8</v>
      </c>
      <c r="G2784" t="s">
        <v>9</v>
      </c>
      <c r="H2784" t="s">
        <v>10</v>
      </c>
      <c r="I2784" t="s">
        <v>601</v>
      </c>
      <c r="J2784">
        <v>6.9</v>
      </c>
      <c r="K2784" t="e">
        <f>IF(COUNTIF(#REF!,Tabela2[[#This Row],[IdxWspolny]])&gt;0,"ELEM_lub_PRD","TECHN")</f>
        <v>#REF!</v>
      </c>
      <c r="L2784" t="e">
        <f>IF(COUNTIF(#REF!,Tabela2[[#This Row],[KOD_PRODUKTU]])&gt;0,"ELEMENT","PRODUKT")</f>
        <v>#REF!</v>
      </c>
      <c r="M2784" t="e">
        <f>COUNTIF(#REF!,Tabela2[[#This Row],[KOD_PRODUKTU]])</f>
        <v>#REF!</v>
      </c>
    </row>
    <row r="2785" spans="1:13" x14ac:dyDescent="0.25">
      <c r="A2785" s="1" t="s">
        <v>4340</v>
      </c>
      <c r="B2785" t="s">
        <v>4341</v>
      </c>
      <c r="C2785" s="1" t="s">
        <v>4342</v>
      </c>
      <c r="D2785" s="1" t="s">
        <v>4342</v>
      </c>
      <c r="E2785" s="1" t="s">
        <v>4342</v>
      </c>
      <c r="F2785" t="s">
        <v>4343</v>
      </c>
      <c r="G2785" t="s">
        <v>70</v>
      </c>
      <c r="H2785" t="s">
        <v>5</v>
      </c>
      <c r="I2785" t="s">
        <v>4344</v>
      </c>
      <c r="J2785">
        <v>0.05</v>
      </c>
      <c r="K2785" t="e">
        <f>IF(COUNTIF(#REF!,Tabela2[[#This Row],[IdxWspolny]])&gt;0,"ELEM_lub_PRD","TECHN")</f>
        <v>#REF!</v>
      </c>
      <c r="L2785" t="e">
        <f>IF(COUNTIF(#REF!,Tabela2[[#This Row],[KOD_PRODUKTU]])&gt;0,"ELEMENT","PRODUKT")</f>
        <v>#REF!</v>
      </c>
      <c r="M2785" t="e">
        <f>COUNTIF(#REF!,Tabela2[[#This Row],[KOD_PRODUKTU]])</f>
        <v>#REF!</v>
      </c>
    </row>
    <row r="2786" spans="1:13" x14ac:dyDescent="0.25">
      <c r="A2786" s="1" t="s">
        <v>4340</v>
      </c>
      <c r="B2786" t="s">
        <v>4341</v>
      </c>
      <c r="C2786" s="1" t="s">
        <v>541</v>
      </c>
      <c r="D2786" s="1" t="s">
        <v>541</v>
      </c>
      <c r="E2786" s="1" t="s">
        <v>541</v>
      </c>
      <c r="F2786" t="s">
        <v>542</v>
      </c>
      <c r="G2786" t="s">
        <v>9</v>
      </c>
      <c r="H2786" t="s">
        <v>10</v>
      </c>
      <c r="I2786" t="s">
        <v>19</v>
      </c>
      <c r="J2786">
        <v>4.5999999999999996</v>
      </c>
      <c r="K2786" t="e">
        <f>IF(COUNTIF(#REF!,Tabela2[[#This Row],[IdxWspolny]])&gt;0,"ELEM_lub_PRD","TECHN")</f>
        <v>#REF!</v>
      </c>
      <c r="L2786" t="e">
        <f>IF(COUNTIF(#REF!,Tabela2[[#This Row],[KOD_PRODUKTU]])&gt;0,"ELEMENT","PRODUKT")</f>
        <v>#REF!</v>
      </c>
      <c r="M2786" t="e">
        <f>COUNTIF(#REF!,Tabela2[[#This Row],[KOD_PRODUKTU]])</f>
        <v>#REF!</v>
      </c>
    </row>
    <row r="2787" spans="1:13" x14ac:dyDescent="0.25">
      <c r="A2787" s="1" t="s">
        <v>4345</v>
      </c>
      <c r="B2787" t="s">
        <v>4346</v>
      </c>
      <c r="C2787" s="1" t="s">
        <v>1345</v>
      </c>
      <c r="D2787" s="1" t="s">
        <v>1345</v>
      </c>
      <c r="E2787" s="1" t="s">
        <v>1345</v>
      </c>
      <c r="F2787" t="s">
        <v>1346</v>
      </c>
      <c r="G2787" t="s">
        <v>1347</v>
      </c>
      <c r="H2787" t="s">
        <v>5</v>
      </c>
      <c r="I2787" t="s">
        <v>40</v>
      </c>
      <c r="J2787">
        <v>0.65</v>
      </c>
      <c r="K2787" t="e">
        <f>IF(COUNTIF(#REF!,Tabela2[[#This Row],[IdxWspolny]])&gt;0,"ELEM_lub_PRD","TECHN")</f>
        <v>#REF!</v>
      </c>
      <c r="L2787" t="e">
        <f>IF(COUNTIF(#REF!,Tabela2[[#This Row],[KOD_PRODUKTU]])&gt;0,"ELEMENT","PRODUKT")</f>
        <v>#REF!</v>
      </c>
      <c r="M2787" t="e">
        <f>COUNTIF(#REF!,Tabela2[[#This Row],[KOD_PRODUKTU]])</f>
        <v>#REF!</v>
      </c>
    </row>
    <row r="2788" spans="1:13" x14ac:dyDescent="0.25">
      <c r="A2788" s="1" t="s">
        <v>4345</v>
      </c>
      <c r="B2788" t="s">
        <v>4346</v>
      </c>
      <c r="C2788" s="1" t="s">
        <v>541</v>
      </c>
      <c r="D2788" s="1" t="s">
        <v>541</v>
      </c>
      <c r="E2788" s="1" t="s">
        <v>541</v>
      </c>
      <c r="F2788" t="s">
        <v>542</v>
      </c>
      <c r="G2788" t="s">
        <v>9</v>
      </c>
      <c r="H2788" t="s">
        <v>10</v>
      </c>
      <c r="I2788" t="s">
        <v>4347</v>
      </c>
      <c r="J2788">
        <v>3.37</v>
      </c>
      <c r="K2788" t="e">
        <f>IF(COUNTIF(#REF!,Tabela2[[#This Row],[IdxWspolny]])&gt;0,"ELEM_lub_PRD","TECHN")</f>
        <v>#REF!</v>
      </c>
      <c r="L2788" t="e">
        <f>IF(COUNTIF(#REF!,Tabela2[[#This Row],[KOD_PRODUKTU]])&gt;0,"ELEMENT","PRODUKT")</f>
        <v>#REF!</v>
      </c>
      <c r="M2788" t="e">
        <f>COUNTIF(#REF!,Tabela2[[#This Row],[KOD_PRODUKTU]])</f>
        <v>#REF!</v>
      </c>
    </row>
    <row r="2789" spans="1:13" x14ac:dyDescent="0.25">
      <c r="A2789" s="1" t="s">
        <v>4348</v>
      </c>
      <c r="B2789" t="s">
        <v>4349</v>
      </c>
      <c r="C2789" s="1" t="s">
        <v>2072</v>
      </c>
      <c r="D2789" s="1" t="s">
        <v>2072</v>
      </c>
      <c r="E2789" s="1" t="s">
        <v>2072</v>
      </c>
      <c r="F2789" t="s">
        <v>2073</v>
      </c>
      <c r="G2789" t="s">
        <v>1354</v>
      </c>
      <c r="H2789" t="s">
        <v>5</v>
      </c>
      <c r="I2789" t="s">
        <v>607</v>
      </c>
      <c r="J2789">
        <v>28.2</v>
      </c>
      <c r="K2789" t="e">
        <f>IF(COUNTIF(#REF!,Tabela2[[#This Row],[IdxWspolny]])&gt;0,"ELEM_lub_PRD","TECHN")</f>
        <v>#REF!</v>
      </c>
      <c r="L2789" t="e">
        <f>IF(COUNTIF(#REF!,Tabela2[[#This Row],[KOD_PRODUKTU]])&gt;0,"ELEMENT","PRODUKT")</f>
        <v>#REF!</v>
      </c>
      <c r="M2789" t="e">
        <f>COUNTIF(#REF!,Tabela2[[#This Row],[KOD_PRODUKTU]])</f>
        <v>#REF!</v>
      </c>
    </row>
    <row r="2790" spans="1:13" x14ac:dyDescent="0.25">
      <c r="A2790" s="1" t="s">
        <v>4348</v>
      </c>
      <c r="B2790" t="s">
        <v>4349</v>
      </c>
      <c r="C2790" s="1" t="s">
        <v>541</v>
      </c>
      <c r="D2790" s="1" t="s">
        <v>541</v>
      </c>
      <c r="E2790" s="1" t="s">
        <v>541</v>
      </c>
      <c r="F2790" t="s">
        <v>542</v>
      </c>
      <c r="G2790" t="s">
        <v>9</v>
      </c>
      <c r="H2790" t="s">
        <v>10</v>
      </c>
      <c r="I2790" t="s">
        <v>4350</v>
      </c>
      <c r="J2790">
        <v>8.0500000000000007</v>
      </c>
      <c r="K2790" t="e">
        <f>IF(COUNTIF(#REF!,Tabela2[[#This Row],[IdxWspolny]])&gt;0,"ELEM_lub_PRD","TECHN")</f>
        <v>#REF!</v>
      </c>
      <c r="L2790" t="e">
        <f>IF(COUNTIF(#REF!,Tabela2[[#This Row],[KOD_PRODUKTU]])&gt;0,"ELEMENT","PRODUKT")</f>
        <v>#REF!</v>
      </c>
      <c r="M2790" t="e">
        <f>COUNTIF(#REF!,Tabela2[[#This Row],[KOD_PRODUKTU]])</f>
        <v>#REF!</v>
      </c>
    </row>
    <row r="2791" spans="1:13" x14ac:dyDescent="0.25">
      <c r="A2791" s="1" t="s">
        <v>4351</v>
      </c>
      <c r="B2791" t="s">
        <v>4352</v>
      </c>
      <c r="C2791" s="1" t="s">
        <v>3255</v>
      </c>
      <c r="D2791" s="1" t="s">
        <v>3255</v>
      </c>
      <c r="E2791" s="1" t="s">
        <v>3255</v>
      </c>
      <c r="F2791" t="s">
        <v>3256</v>
      </c>
      <c r="G2791" t="s">
        <v>3756</v>
      </c>
      <c r="H2791" t="s">
        <v>5</v>
      </c>
      <c r="I2791" t="s">
        <v>1210</v>
      </c>
      <c r="J2791">
        <v>0.44</v>
      </c>
      <c r="K2791" t="e">
        <f>IF(COUNTIF(#REF!,Tabela2[[#This Row],[IdxWspolny]])&gt;0,"ELEM_lub_PRD","TECHN")</f>
        <v>#REF!</v>
      </c>
      <c r="L2791" t="e">
        <f>IF(COUNTIF(#REF!,Tabela2[[#This Row],[KOD_PRODUKTU]])&gt;0,"ELEMENT","PRODUKT")</f>
        <v>#REF!</v>
      </c>
      <c r="M2791" t="e">
        <f>COUNTIF(#REF!,Tabela2[[#This Row],[KOD_PRODUKTU]])</f>
        <v>#REF!</v>
      </c>
    </row>
    <row r="2792" spans="1:13" x14ac:dyDescent="0.25">
      <c r="A2792" s="1" t="s">
        <v>4351</v>
      </c>
      <c r="B2792" t="s">
        <v>4352</v>
      </c>
      <c r="C2792" s="1" t="s">
        <v>541</v>
      </c>
      <c r="D2792" s="1" t="s">
        <v>541</v>
      </c>
      <c r="E2792" s="1" t="s">
        <v>541</v>
      </c>
      <c r="F2792" t="s">
        <v>542</v>
      </c>
      <c r="G2792" t="s">
        <v>9</v>
      </c>
      <c r="H2792" t="s">
        <v>10</v>
      </c>
      <c r="I2792" t="s">
        <v>19</v>
      </c>
      <c r="J2792">
        <v>4.5999999999999996</v>
      </c>
      <c r="K2792" t="e">
        <f>IF(COUNTIF(#REF!,Tabela2[[#This Row],[IdxWspolny]])&gt;0,"ELEM_lub_PRD","TECHN")</f>
        <v>#REF!</v>
      </c>
      <c r="L2792" t="e">
        <f>IF(COUNTIF(#REF!,Tabela2[[#This Row],[KOD_PRODUKTU]])&gt;0,"ELEMENT","PRODUKT")</f>
        <v>#REF!</v>
      </c>
      <c r="M2792" t="e">
        <f>COUNTIF(#REF!,Tabela2[[#This Row],[KOD_PRODUKTU]])</f>
        <v>#REF!</v>
      </c>
    </row>
    <row r="2793" spans="1:13" x14ac:dyDescent="0.25">
      <c r="A2793" s="1" t="s">
        <v>1980</v>
      </c>
      <c r="B2793" t="s">
        <v>1981</v>
      </c>
      <c r="C2793" s="1" t="s">
        <v>1022</v>
      </c>
      <c r="D2793" s="1" t="s">
        <v>1022</v>
      </c>
      <c r="E2793" s="1" t="s">
        <v>1022</v>
      </c>
      <c r="F2793" t="s">
        <v>1023</v>
      </c>
      <c r="G2793" t="s">
        <v>1024</v>
      </c>
      <c r="H2793" t="s">
        <v>932</v>
      </c>
      <c r="I2793" t="s">
        <v>4353</v>
      </c>
      <c r="J2793">
        <v>49</v>
      </c>
      <c r="K2793" t="e">
        <f>IF(COUNTIF(#REF!,Tabela2[[#This Row],[IdxWspolny]])&gt;0,"ELEM_lub_PRD","TECHN")</f>
        <v>#REF!</v>
      </c>
      <c r="L2793" t="e">
        <f>IF(COUNTIF(#REF!,Tabela2[[#This Row],[KOD_PRODUKTU]])&gt;0,"ELEMENT","PRODUKT")</f>
        <v>#REF!</v>
      </c>
      <c r="M2793" t="e">
        <f>COUNTIF(#REF!,Tabela2[[#This Row],[KOD_PRODUKTU]])</f>
        <v>#REF!</v>
      </c>
    </row>
    <row r="2794" spans="1:13" x14ac:dyDescent="0.25">
      <c r="A2794" s="1" t="s">
        <v>1980</v>
      </c>
      <c r="B2794" t="s">
        <v>1981</v>
      </c>
      <c r="C2794" s="1" t="s">
        <v>7</v>
      </c>
      <c r="D2794" s="1" t="s">
        <v>7</v>
      </c>
      <c r="E2794" s="1" t="s">
        <v>7</v>
      </c>
      <c r="F2794" t="s">
        <v>8</v>
      </c>
      <c r="G2794" t="s">
        <v>9</v>
      </c>
      <c r="H2794" t="s">
        <v>10</v>
      </c>
      <c r="I2794" t="s">
        <v>4354</v>
      </c>
      <c r="J2794">
        <v>66</v>
      </c>
      <c r="K2794" t="e">
        <f>IF(COUNTIF(#REF!,Tabela2[[#This Row],[IdxWspolny]])&gt;0,"ELEM_lub_PRD","TECHN")</f>
        <v>#REF!</v>
      </c>
      <c r="L2794" t="e">
        <f>IF(COUNTIF(#REF!,Tabela2[[#This Row],[KOD_PRODUKTU]])&gt;0,"ELEMENT","PRODUKT")</f>
        <v>#REF!</v>
      </c>
      <c r="M2794" t="e">
        <f>COUNTIF(#REF!,Tabela2[[#This Row],[KOD_PRODUKTU]])</f>
        <v>#REF!</v>
      </c>
    </row>
    <row r="2795" spans="1:13" x14ac:dyDescent="0.25">
      <c r="A2795" s="1" t="s">
        <v>1983</v>
      </c>
      <c r="B2795" t="s">
        <v>1984</v>
      </c>
      <c r="C2795" s="1" t="s">
        <v>1022</v>
      </c>
      <c r="D2795" s="1" t="s">
        <v>1022</v>
      </c>
      <c r="E2795" s="1" t="s">
        <v>1022</v>
      </c>
      <c r="F2795" t="s">
        <v>1023</v>
      </c>
      <c r="G2795" t="s">
        <v>1024</v>
      </c>
      <c r="H2795" t="s">
        <v>932</v>
      </c>
      <c r="I2795" t="s">
        <v>4355</v>
      </c>
      <c r="J2795">
        <v>52</v>
      </c>
      <c r="K2795" t="e">
        <f>IF(COUNTIF(#REF!,Tabela2[[#This Row],[IdxWspolny]])&gt;0,"ELEM_lub_PRD","TECHN")</f>
        <v>#REF!</v>
      </c>
      <c r="L2795" t="e">
        <f>IF(COUNTIF(#REF!,Tabela2[[#This Row],[KOD_PRODUKTU]])&gt;0,"ELEMENT","PRODUKT")</f>
        <v>#REF!</v>
      </c>
      <c r="M2795" t="e">
        <f>COUNTIF(#REF!,Tabela2[[#This Row],[KOD_PRODUKTU]])</f>
        <v>#REF!</v>
      </c>
    </row>
    <row r="2796" spans="1:13" x14ac:dyDescent="0.25">
      <c r="A2796" s="1" t="s">
        <v>1983</v>
      </c>
      <c r="B2796" t="s">
        <v>1984</v>
      </c>
      <c r="C2796" s="1" t="s">
        <v>7</v>
      </c>
      <c r="D2796" s="1" t="s">
        <v>7</v>
      </c>
      <c r="E2796" s="1" t="s">
        <v>7</v>
      </c>
      <c r="F2796" t="s">
        <v>8</v>
      </c>
      <c r="G2796" t="s">
        <v>9</v>
      </c>
      <c r="H2796" t="s">
        <v>10</v>
      </c>
      <c r="I2796" t="s">
        <v>4356</v>
      </c>
      <c r="J2796">
        <v>75</v>
      </c>
      <c r="K2796" t="e">
        <f>IF(COUNTIF(#REF!,Tabela2[[#This Row],[IdxWspolny]])&gt;0,"ELEM_lub_PRD","TECHN")</f>
        <v>#REF!</v>
      </c>
      <c r="L2796" t="e">
        <f>IF(COUNTIF(#REF!,Tabela2[[#This Row],[KOD_PRODUKTU]])&gt;0,"ELEMENT","PRODUKT")</f>
        <v>#REF!</v>
      </c>
      <c r="M2796" t="e">
        <f>COUNTIF(#REF!,Tabela2[[#This Row],[KOD_PRODUKTU]])</f>
        <v>#REF!</v>
      </c>
    </row>
    <row r="2797" spans="1:13" x14ac:dyDescent="0.25">
      <c r="A2797" s="1" t="s">
        <v>1986</v>
      </c>
      <c r="B2797" t="s">
        <v>1987</v>
      </c>
      <c r="C2797" s="1" t="s">
        <v>1022</v>
      </c>
      <c r="D2797" s="1" t="s">
        <v>1022</v>
      </c>
      <c r="E2797" s="1" t="s">
        <v>1022</v>
      </c>
      <c r="F2797" t="s">
        <v>1023</v>
      </c>
      <c r="G2797" t="s">
        <v>1024</v>
      </c>
      <c r="H2797" t="s">
        <v>932</v>
      </c>
      <c r="I2797" t="s">
        <v>4357</v>
      </c>
      <c r="J2797">
        <v>47</v>
      </c>
      <c r="K2797" t="e">
        <f>IF(COUNTIF(#REF!,Tabela2[[#This Row],[IdxWspolny]])&gt;0,"ELEM_lub_PRD","TECHN")</f>
        <v>#REF!</v>
      </c>
      <c r="L2797" t="e">
        <f>IF(COUNTIF(#REF!,Tabela2[[#This Row],[KOD_PRODUKTU]])&gt;0,"ELEMENT","PRODUKT")</f>
        <v>#REF!</v>
      </c>
      <c r="M2797" t="e">
        <f>COUNTIF(#REF!,Tabela2[[#This Row],[KOD_PRODUKTU]])</f>
        <v>#REF!</v>
      </c>
    </row>
    <row r="2798" spans="1:13" x14ac:dyDescent="0.25">
      <c r="A2798" s="1" t="s">
        <v>1986</v>
      </c>
      <c r="B2798" t="s">
        <v>1987</v>
      </c>
      <c r="C2798" s="1" t="s">
        <v>7</v>
      </c>
      <c r="D2798" s="1" t="s">
        <v>7</v>
      </c>
      <c r="E2798" s="1" t="s">
        <v>7</v>
      </c>
      <c r="F2798" t="s">
        <v>8</v>
      </c>
      <c r="G2798" t="s">
        <v>9</v>
      </c>
      <c r="H2798" t="s">
        <v>10</v>
      </c>
      <c r="I2798" t="s">
        <v>4358</v>
      </c>
      <c r="J2798">
        <v>67</v>
      </c>
      <c r="K2798" t="e">
        <f>IF(COUNTIF(#REF!,Tabela2[[#This Row],[IdxWspolny]])&gt;0,"ELEM_lub_PRD","TECHN")</f>
        <v>#REF!</v>
      </c>
      <c r="L2798" t="e">
        <f>IF(COUNTIF(#REF!,Tabela2[[#This Row],[KOD_PRODUKTU]])&gt;0,"ELEMENT","PRODUKT")</f>
        <v>#REF!</v>
      </c>
      <c r="M2798" t="e">
        <f>COUNTIF(#REF!,Tabela2[[#This Row],[KOD_PRODUKTU]])</f>
        <v>#REF!</v>
      </c>
    </row>
    <row r="2799" spans="1:13" x14ac:dyDescent="0.25">
      <c r="A2799" s="1" t="s">
        <v>2016</v>
      </c>
      <c r="B2799" t="s">
        <v>2017</v>
      </c>
      <c r="C2799" s="1" t="s">
        <v>1022</v>
      </c>
      <c r="D2799" s="1" t="s">
        <v>1022</v>
      </c>
      <c r="E2799" s="1" t="s">
        <v>1022</v>
      </c>
      <c r="F2799" t="s">
        <v>1023</v>
      </c>
      <c r="G2799" t="s">
        <v>1024</v>
      </c>
      <c r="H2799" t="s">
        <v>932</v>
      </c>
      <c r="I2799" t="s">
        <v>4359</v>
      </c>
      <c r="J2799">
        <v>69</v>
      </c>
      <c r="K2799" t="e">
        <f>IF(COUNTIF(#REF!,Tabela2[[#This Row],[IdxWspolny]])&gt;0,"ELEM_lub_PRD","TECHN")</f>
        <v>#REF!</v>
      </c>
      <c r="L2799" t="e">
        <f>IF(COUNTIF(#REF!,Tabela2[[#This Row],[KOD_PRODUKTU]])&gt;0,"ELEMENT","PRODUKT")</f>
        <v>#REF!</v>
      </c>
      <c r="M2799" t="e">
        <f>COUNTIF(#REF!,Tabela2[[#This Row],[KOD_PRODUKTU]])</f>
        <v>#REF!</v>
      </c>
    </row>
    <row r="2800" spans="1:13" x14ac:dyDescent="0.25">
      <c r="A2800" s="1" t="s">
        <v>2016</v>
      </c>
      <c r="B2800" t="s">
        <v>2017</v>
      </c>
      <c r="C2800" s="1" t="s">
        <v>7</v>
      </c>
      <c r="D2800" s="1" t="s">
        <v>7</v>
      </c>
      <c r="E2800" s="1" t="s">
        <v>7</v>
      </c>
      <c r="F2800" t="s">
        <v>8</v>
      </c>
      <c r="G2800" t="s">
        <v>9</v>
      </c>
      <c r="H2800" t="s">
        <v>10</v>
      </c>
      <c r="I2800" t="s">
        <v>4360</v>
      </c>
      <c r="J2800">
        <v>96</v>
      </c>
      <c r="K2800" t="e">
        <f>IF(COUNTIF(#REF!,Tabela2[[#This Row],[IdxWspolny]])&gt;0,"ELEM_lub_PRD","TECHN")</f>
        <v>#REF!</v>
      </c>
      <c r="L2800" t="e">
        <f>IF(COUNTIF(#REF!,Tabela2[[#This Row],[KOD_PRODUKTU]])&gt;0,"ELEMENT","PRODUKT")</f>
        <v>#REF!</v>
      </c>
      <c r="M2800" t="e">
        <f>COUNTIF(#REF!,Tabela2[[#This Row],[KOD_PRODUKTU]])</f>
        <v>#REF!</v>
      </c>
    </row>
    <row r="2801" spans="1:14" x14ac:dyDescent="0.25">
      <c r="A2801" s="1" t="s">
        <v>2019</v>
      </c>
      <c r="B2801" t="s">
        <v>2020</v>
      </c>
      <c r="C2801" s="1" t="s">
        <v>1022</v>
      </c>
      <c r="D2801" s="1" t="s">
        <v>1022</v>
      </c>
      <c r="E2801" s="1" t="s">
        <v>1022</v>
      </c>
      <c r="F2801" t="s">
        <v>1023</v>
      </c>
      <c r="G2801" t="s">
        <v>1024</v>
      </c>
      <c r="H2801" t="s">
        <v>932</v>
      </c>
      <c r="I2801" t="s">
        <v>4361</v>
      </c>
      <c r="J2801">
        <v>81</v>
      </c>
      <c r="K2801" t="e">
        <f>IF(COUNTIF(#REF!,Tabela2[[#This Row],[IdxWspolny]])&gt;0,"ELEM_lub_PRD","TECHN")</f>
        <v>#REF!</v>
      </c>
      <c r="L2801" t="e">
        <f>IF(COUNTIF(#REF!,Tabela2[[#This Row],[KOD_PRODUKTU]])&gt;0,"ELEMENT","PRODUKT")</f>
        <v>#REF!</v>
      </c>
      <c r="M2801" t="e">
        <f>COUNTIF(#REF!,Tabela2[[#This Row],[KOD_PRODUKTU]])</f>
        <v>#REF!</v>
      </c>
    </row>
    <row r="2802" spans="1:14" x14ac:dyDescent="0.25">
      <c r="A2802" s="1" t="s">
        <v>2019</v>
      </c>
      <c r="B2802" t="s">
        <v>2020</v>
      </c>
      <c r="C2802" s="1" t="s">
        <v>7</v>
      </c>
      <c r="D2802" s="1" t="s">
        <v>7</v>
      </c>
      <c r="E2802" s="1" t="s">
        <v>7</v>
      </c>
      <c r="F2802" t="s">
        <v>8</v>
      </c>
      <c r="G2802" t="s">
        <v>9</v>
      </c>
      <c r="H2802" t="s">
        <v>10</v>
      </c>
      <c r="I2802" t="s">
        <v>4362</v>
      </c>
      <c r="J2802">
        <v>107</v>
      </c>
      <c r="K2802" t="e">
        <f>IF(COUNTIF(#REF!,Tabela2[[#This Row],[IdxWspolny]])&gt;0,"ELEM_lub_PRD","TECHN")</f>
        <v>#REF!</v>
      </c>
      <c r="L2802" t="e">
        <f>IF(COUNTIF(#REF!,Tabela2[[#This Row],[KOD_PRODUKTU]])&gt;0,"ELEMENT","PRODUKT")</f>
        <v>#REF!</v>
      </c>
      <c r="M2802" t="e">
        <f>COUNTIF(#REF!,Tabela2[[#This Row],[KOD_PRODUKTU]])</f>
        <v>#REF!</v>
      </c>
    </row>
    <row r="2803" spans="1:14" x14ac:dyDescent="0.25">
      <c r="A2803" s="1" t="s">
        <v>2022</v>
      </c>
      <c r="B2803" t="s">
        <v>2023</v>
      </c>
      <c r="C2803" s="1" t="s">
        <v>1022</v>
      </c>
      <c r="D2803" s="1" t="s">
        <v>1022</v>
      </c>
      <c r="E2803" s="1" t="s">
        <v>1022</v>
      </c>
      <c r="F2803" t="s">
        <v>1023</v>
      </c>
      <c r="G2803" t="s">
        <v>1024</v>
      </c>
      <c r="H2803" t="s">
        <v>932</v>
      </c>
      <c r="I2803" t="s">
        <v>4363</v>
      </c>
      <c r="J2803">
        <v>62</v>
      </c>
      <c r="K2803" t="e">
        <f>IF(COUNTIF(#REF!,Tabela2[[#This Row],[IdxWspolny]])&gt;0,"ELEM_lub_PRD","TECHN")</f>
        <v>#REF!</v>
      </c>
      <c r="L2803" t="e">
        <f>IF(COUNTIF(#REF!,Tabela2[[#This Row],[KOD_PRODUKTU]])&gt;0,"ELEMENT","PRODUKT")</f>
        <v>#REF!</v>
      </c>
      <c r="M2803" t="e">
        <f>COUNTIF(#REF!,Tabela2[[#This Row],[KOD_PRODUKTU]])</f>
        <v>#REF!</v>
      </c>
    </row>
    <row r="2804" spans="1:14" x14ac:dyDescent="0.25">
      <c r="A2804" s="1" t="s">
        <v>2022</v>
      </c>
      <c r="B2804" t="s">
        <v>2023</v>
      </c>
      <c r="C2804" s="1" t="s">
        <v>7</v>
      </c>
      <c r="D2804" s="1" t="s">
        <v>7</v>
      </c>
      <c r="E2804" s="1" t="s">
        <v>7</v>
      </c>
      <c r="F2804" t="s">
        <v>8</v>
      </c>
      <c r="G2804" t="s">
        <v>9</v>
      </c>
      <c r="H2804" t="s">
        <v>10</v>
      </c>
      <c r="I2804" t="s">
        <v>4364</v>
      </c>
      <c r="J2804">
        <v>76</v>
      </c>
      <c r="K2804" t="e">
        <f>IF(COUNTIF(#REF!,Tabela2[[#This Row],[IdxWspolny]])&gt;0,"ELEM_lub_PRD","TECHN")</f>
        <v>#REF!</v>
      </c>
      <c r="L2804" t="e">
        <f>IF(COUNTIF(#REF!,Tabela2[[#This Row],[KOD_PRODUKTU]])&gt;0,"ELEMENT","PRODUKT")</f>
        <v>#REF!</v>
      </c>
      <c r="M2804" t="e">
        <f>COUNTIF(#REF!,Tabela2[[#This Row],[KOD_PRODUKTU]])</f>
        <v>#REF!</v>
      </c>
    </row>
    <row r="2805" spans="1:14" x14ac:dyDescent="0.25">
      <c r="A2805" s="1" t="s">
        <v>4365</v>
      </c>
      <c r="B2805" t="s">
        <v>4366</v>
      </c>
      <c r="C2805" s="1" t="s">
        <v>4229</v>
      </c>
      <c r="D2805" s="1" t="s">
        <v>4229</v>
      </c>
      <c r="E2805" s="1" t="s">
        <v>4229</v>
      </c>
      <c r="F2805" t="s">
        <v>4230</v>
      </c>
      <c r="G2805" t="s">
        <v>4231</v>
      </c>
      <c r="H2805" t="s">
        <v>5</v>
      </c>
      <c r="I2805" t="s">
        <v>4367</v>
      </c>
      <c r="J2805">
        <v>12.75</v>
      </c>
      <c r="K2805" t="e">
        <f>IF(COUNTIF(#REF!,Tabela2[[#This Row],[IdxWspolny]])&gt;0,"ELEM_lub_PRD","TECHN")</f>
        <v>#REF!</v>
      </c>
      <c r="L2805" t="e">
        <f>IF(COUNTIF(#REF!,Tabela2[[#This Row],[KOD_PRODUKTU]])&gt;0,"ELEMENT","PRODUKT")</f>
        <v>#REF!</v>
      </c>
      <c r="M2805" t="e">
        <f>COUNTIF(#REF!,Tabela2[[#This Row],[KOD_PRODUKTU]])</f>
        <v>#REF!</v>
      </c>
    </row>
    <row r="2806" spans="1:14" x14ac:dyDescent="0.25">
      <c r="A2806" s="1" t="s">
        <v>4365</v>
      </c>
      <c r="B2806" t="s">
        <v>4366</v>
      </c>
      <c r="C2806" s="1" t="s">
        <v>857</v>
      </c>
      <c r="D2806" s="1" t="s">
        <v>857</v>
      </c>
      <c r="E2806" s="1" t="s">
        <v>857</v>
      </c>
      <c r="F2806" t="s">
        <v>858</v>
      </c>
      <c r="G2806" t="s">
        <v>686</v>
      </c>
      <c r="H2806" t="s">
        <v>49</v>
      </c>
      <c r="I2806" t="s">
        <v>4368</v>
      </c>
      <c r="J2806">
        <v>1.89</v>
      </c>
      <c r="K2806" t="e">
        <f>IF(COUNTIF(#REF!,Tabela2[[#This Row],[IdxWspolny]])&gt;0,"ELEM_lub_PRD","TECHN")</f>
        <v>#REF!</v>
      </c>
      <c r="L2806" t="e">
        <f>IF(COUNTIF(#REF!,Tabela2[[#This Row],[KOD_PRODUKTU]])&gt;0,"ELEMENT","PRODUKT")</f>
        <v>#REF!</v>
      </c>
      <c r="M2806" t="e">
        <f>COUNTIF(#REF!,Tabela2[[#This Row],[KOD_PRODUKTU]])</f>
        <v>#REF!</v>
      </c>
    </row>
    <row r="2807" spans="1:14" x14ac:dyDescent="0.25">
      <c r="A2807" s="1" t="s">
        <v>4365</v>
      </c>
      <c r="B2807" t="s">
        <v>4366</v>
      </c>
      <c r="C2807" s="1" t="s">
        <v>541</v>
      </c>
      <c r="D2807" s="1" t="s">
        <v>541</v>
      </c>
      <c r="E2807" s="1" t="s">
        <v>541</v>
      </c>
      <c r="F2807" t="s">
        <v>542</v>
      </c>
      <c r="G2807" t="s">
        <v>9</v>
      </c>
      <c r="H2807" t="s">
        <v>10</v>
      </c>
      <c r="I2807" t="s">
        <v>3427</v>
      </c>
      <c r="J2807">
        <v>9.66</v>
      </c>
      <c r="K2807" t="e">
        <f>IF(COUNTIF(#REF!,Tabela2[[#This Row],[IdxWspolny]])&gt;0,"ELEM_lub_PRD","TECHN")</f>
        <v>#REF!</v>
      </c>
      <c r="L2807" t="e">
        <f>IF(COUNTIF(#REF!,Tabela2[[#This Row],[KOD_PRODUKTU]])&gt;0,"ELEMENT","PRODUKT")</f>
        <v>#REF!</v>
      </c>
      <c r="M2807" t="e">
        <f>COUNTIF(#REF!,Tabela2[[#This Row],[KOD_PRODUKTU]])</f>
        <v>#REF!</v>
      </c>
    </row>
    <row r="2808" spans="1:14" x14ac:dyDescent="0.25">
      <c r="A2808" s="1" t="s">
        <v>4365</v>
      </c>
      <c r="B2808" t="s">
        <v>4366</v>
      </c>
      <c r="C2808" s="1" t="s">
        <v>541</v>
      </c>
      <c r="D2808" s="1" t="s">
        <v>541</v>
      </c>
      <c r="E2808" s="1" t="s">
        <v>541</v>
      </c>
      <c r="F2808" t="s">
        <v>542</v>
      </c>
      <c r="G2808" t="s">
        <v>9</v>
      </c>
      <c r="H2808" t="s">
        <v>10</v>
      </c>
      <c r="I2808" t="s">
        <v>2890</v>
      </c>
      <c r="J2808">
        <v>2.42</v>
      </c>
      <c r="K2808" t="e">
        <f>IF(COUNTIF(#REF!,Tabela2[[#This Row],[IdxWspolny]])&gt;0,"ELEM_lub_PRD","TECHN")</f>
        <v>#REF!</v>
      </c>
      <c r="L2808" t="e">
        <f>IF(COUNTIF(#REF!,Tabela2[[#This Row],[KOD_PRODUKTU]])&gt;0,"ELEMENT","PRODUKT")</f>
        <v>#REF!</v>
      </c>
      <c r="M2808" t="e">
        <f>COUNTIF(#REF!,Tabela2[[#This Row],[KOD_PRODUKTU]])</f>
        <v>#REF!</v>
      </c>
    </row>
    <row r="2809" spans="1:14" x14ac:dyDescent="0.25">
      <c r="A2809" s="1" t="s">
        <v>4365</v>
      </c>
      <c r="B2809" t="s">
        <v>4366</v>
      </c>
      <c r="C2809" s="1" t="s">
        <v>541</v>
      </c>
      <c r="D2809" s="1" t="s">
        <v>541</v>
      </c>
      <c r="E2809" s="1" t="s">
        <v>541</v>
      </c>
      <c r="F2809" t="s">
        <v>542</v>
      </c>
      <c r="G2809" t="s">
        <v>9</v>
      </c>
      <c r="H2809" t="s">
        <v>10</v>
      </c>
      <c r="I2809" t="s">
        <v>4369</v>
      </c>
      <c r="J2809">
        <v>41.07</v>
      </c>
      <c r="K2809" t="e">
        <f>IF(COUNTIF(#REF!,Tabela2[[#This Row],[IdxWspolny]])&gt;0,"ELEM_lub_PRD","TECHN")</f>
        <v>#REF!</v>
      </c>
      <c r="L2809" t="e">
        <f>IF(COUNTIF(#REF!,Tabela2[[#This Row],[KOD_PRODUKTU]])&gt;0,"ELEMENT","PRODUKT")</f>
        <v>#REF!</v>
      </c>
      <c r="M2809" t="e">
        <f>COUNTIF(#REF!,Tabela2[[#This Row],[KOD_PRODUKTU]])</f>
        <v>#REF!</v>
      </c>
    </row>
    <row r="2810" spans="1:14" x14ac:dyDescent="0.25">
      <c r="A2810" s="1" t="s">
        <v>4365</v>
      </c>
      <c r="B2810" t="s">
        <v>4366</v>
      </c>
      <c r="C2810" s="1" t="s">
        <v>541</v>
      </c>
      <c r="D2810" s="1" t="s">
        <v>541</v>
      </c>
      <c r="E2810" s="1" t="s">
        <v>541</v>
      </c>
      <c r="F2810" t="s">
        <v>542</v>
      </c>
      <c r="G2810" t="s">
        <v>9</v>
      </c>
      <c r="H2810" t="s">
        <v>10</v>
      </c>
      <c r="I2810" t="s">
        <v>3427</v>
      </c>
      <c r="J2810">
        <v>9.66</v>
      </c>
      <c r="K2810" t="e">
        <f>IF(COUNTIF(#REF!,Tabela2[[#This Row],[IdxWspolny]])&gt;0,"ELEM_lub_PRD","TECHN")</f>
        <v>#REF!</v>
      </c>
      <c r="L2810" t="e">
        <f>IF(COUNTIF(#REF!,Tabela2[[#This Row],[KOD_PRODUKTU]])&gt;0,"ELEMENT","PRODUKT")</f>
        <v>#REF!</v>
      </c>
      <c r="M2810" t="e">
        <f>COUNTIF(#REF!,Tabela2[[#This Row],[KOD_PRODUKTU]])</f>
        <v>#REF!</v>
      </c>
    </row>
    <row r="2811" spans="1:14" x14ac:dyDescent="0.25">
      <c r="A2811" s="1" t="s">
        <v>4365</v>
      </c>
      <c r="B2811" t="s">
        <v>4366</v>
      </c>
      <c r="C2811" s="1" t="s">
        <v>7</v>
      </c>
      <c r="D2811" s="1" t="s">
        <v>7</v>
      </c>
      <c r="E2811" s="1" t="s">
        <v>7</v>
      </c>
      <c r="F2811" t="s">
        <v>8</v>
      </c>
      <c r="G2811" t="s">
        <v>9</v>
      </c>
      <c r="H2811" t="s">
        <v>10</v>
      </c>
      <c r="I2811" t="s">
        <v>4370</v>
      </c>
      <c r="J2811">
        <v>57.96</v>
      </c>
      <c r="K2811" t="e">
        <f>IF(COUNTIF(#REF!,Tabela2[[#This Row],[IdxWspolny]])&gt;0,"ELEM_lub_PRD","TECHN")</f>
        <v>#REF!</v>
      </c>
      <c r="L2811" t="e">
        <f>IF(COUNTIF(#REF!,Tabela2[[#This Row],[KOD_PRODUKTU]])&gt;0,"ELEMENT","PRODUKT")</f>
        <v>#REF!</v>
      </c>
      <c r="M2811" t="e">
        <f>COUNTIF(#REF!,Tabela2[[#This Row],[KOD_PRODUKTU]])</f>
        <v>#REF!</v>
      </c>
    </row>
    <row r="2812" spans="1:14" x14ac:dyDescent="0.25">
      <c r="A2812" s="1" t="s">
        <v>4371</v>
      </c>
      <c r="B2812" t="s">
        <v>4372</v>
      </c>
      <c r="C2812" s="1" t="s">
        <v>36</v>
      </c>
      <c r="D2812" s="1" t="s">
        <v>36</v>
      </c>
      <c r="E2812" s="1" t="s">
        <v>36</v>
      </c>
      <c r="F2812" t="s">
        <v>37</v>
      </c>
      <c r="G2812" t="s">
        <v>38</v>
      </c>
      <c r="H2812" t="s">
        <v>39</v>
      </c>
      <c r="I2812" t="s">
        <v>40</v>
      </c>
      <c r="J2812">
        <v>0.19</v>
      </c>
      <c r="K2812" t="e">
        <f>IF(COUNTIF(#REF!,Tabela2[[#This Row],[IdxWspolny]])&gt;0,"ELEM_lub_PRD","TECHN")</f>
        <v>#REF!</v>
      </c>
      <c r="L2812" t="e">
        <f>IF(COUNTIF(#REF!,Tabela2[[#This Row],[KOD_PRODUKTU]])&gt;0,"ELEMENT","PRODUKT")</f>
        <v>#REF!</v>
      </c>
      <c r="M2812" t="e">
        <f>COUNTIF(#REF!,Tabela2[[#This Row],[KOD_PRODUKTU]])</f>
        <v>#REF!</v>
      </c>
    </row>
    <row r="2813" spans="1:14" x14ac:dyDescent="0.25">
      <c r="A2813" s="1" t="s">
        <v>4371</v>
      </c>
      <c r="B2813" t="s">
        <v>4372</v>
      </c>
      <c r="C2813" s="1" t="s">
        <v>41</v>
      </c>
      <c r="D2813" s="1" t="s">
        <v>41</v>
      </c>
      <c r="E2813" s="1" t="s">
        <v>41</v>
      </c>
      <c r="F2813" t="s">
        <v>42</v>
      </c>
      <c r="G2813" t="s">
        <v>43</v>
      </c>
      <c r="H2813" t="s">
        <v>5</v>
      </c>
      <c r="I2813" t="s">
        <v>227</v>
      </c>
      <c r="J2813">
        <v>0.01</v>
      </c>
      <c r="K2813" t="e">
        <f>IF(COUNTIF(#REF!,Tabela2[[#This Row],[IdxWspolny]])&gt;0,"ELEM_lub_PRD","TECHN")</f>
        <v>#REF!</v>
      </c>
      <c r="L2813" t="e">
        <f>IF(COUNTIF(#REF!,Tabela2[[#This Row],[KOD_PRODUKTU]])&gt;0,"ELEMENT","PRODUKT")</f>
        <v>#REF!</v>
      </c>
      <c r="M2813" t="e">
        <f>COUNTIF(#REF!,Tabela2[[#This Row],[KOD_PRODUKTU]])</f>
        <v>#REF!</v>
      </c>
    </row>
    <row r="2814" spans="1:14" hidden="1" x14ac:dyDescent="0.25">
      <c r="A2814" s="1" t="s">
        <v>4371</v>
      </c>
      <c r="B2814" t="s">
        <v>4372</v>
      </c>
      <c r="C2814" s="1" t="s">
        <v>228</v>
      </c>
      <c r="D2814" s="1" t="s">
        <v>229</v>
      </c>
      <c r="E2814" s="1" t="s">
        <v>229</v>
      </c>
      <c r="F2814" t="s">
        <v>230</v>
      </c>
      <c r="G2814" t="s">
        <v>231</v>
      </c>
      <c r="H2814" t="s">
        <v>49</v>
      </c>
      <c r="I2814" t="s">
        <v>50</v>
      </c>
      <c r="J2814">
        <v>5.25</v>
      </c>
      <c r="K2814" t="e">
        <f>IF(COUNTIF(#REF!,Tabela2[[#This Row],[IdxWspolny]])&gt;0,"ELEM_lub_PRD","TECHN")</f>
        <v>#REF!</v>
      </c>
      <c r="L2814" t="e">
        <f>IF(COUNTIF(#REF!,Tabela2[[#This Row],[KOD_PRODUKTU]])&gt;0,"ELEMENT","PRODUKT")</f>
        <v>#REF!</v>
      </c>
      <c r="M2814" t="e">
        <f>COUNTIF(#REF!,Tabela2[[#This Row],[KOD_PRODUKTU]])</f>
        <v>#REF!</v>
      </c>
      <c r="N2814" t="s">
        <v>51</v>
      </c>
    </row>
    <row r="2815" spans="1:14" hidden="1" x14ac:dyDescent="0.25">
      <c r="A2815" s="1" t="s">
        <v>4371</v>
      </c>
      <c r="B2815" t="s">
        <v>4372</v>
      </c>
      <c r="C2815" s="1" t="s">
        <v>232</v>
      </c>
      <c r="D2815" s="1" t="s">
        <v>233</v>
      </c>
      <c r="E2815" s="1" t="s">
        <v>233</v>
      </c>
      <c r="F2815" t="s">
        <v>234</v>
      </c>
      <c r="G2815" t="s">
        <v>235</v>
      </c>
      <c r="H2815" t="s">
        <v>49</v>
      </c>
      <c r="I2815" t="s">
        <v>50</v>
      </c>
      <c r="J2815">
        <v>8.4499999999999993</v>
      </c>
      <c r="K2815" t="e">
        <f>IF(COUNTIF(#REF!,Tabela2[[#This Row],[IdxWspolny]])&gt;0,"ELEM_lub_PRD","TECHN")</f>
        <v>#REF!</v>
      </c>
      <c r="L2815" t="e">
        <f>IF(COUNTIF(#REF!,Tabela2[[#This Row],[KOD_PRODUKTU]])&gt;0,"ELEMENT","PRODUKT")</f>
        <v>#REF!</v>
      </c>
      <c r="M2815" t="e">
        <f>COUNTIF(#REF!,Tabela2[[#This Row],[KOD_PRODUKTU]])</f>
        <v>#REF!</v>
      </c>
      <c r="N2815" t="s">
        <v>51</v>
      </c>
    </row>
    <row r="2816" spans="1:14" hidden="1" x14ac:dyDescent="0.25">
      <c r="A2816" s="1" t="s">
        <v>4371</v>
      </c>
      <c r="B2816" t="s">
        <v>4372</v>
      </c>
      <c r="C2816" s="1" t="s">
        <v>236</v>
      </c>
      <c r="D2816" s="1" t="s">
        <v>236</v>
      </c>
      <c r="E2816" s="1" t="s">
        <v>236</v>
      </c>
      <c r="F2816" t="s">
        <v>237</v>
      </c>
      <c r="G2816" t="s">
        <v>238</v>
      </c>
      <c r="H2816" t="s">
        <v>49</v>
      </c>
      <c r="I2816" t="s">
        <v>50</v>
      </c>
      <c r="J2816">
        <v>14.55</v>
      </c>
      <c r="K2816" t="e">
        <f>IF(COUNTIF(#REF!,Tabela2[[#This Row],[IdxWspolny]])&gt;0,"ELEM_lub_PRD","TECHN")</f>
        <v>#REF!</v>
      </c>
      <c r="L2816" t="e">
        <f>IF(COUNTIF(#REF!,Tabela2[[#This Row],[KOD_PRODUKTU]])&gt;0,"ELEMENT","PRODUKT")</f>
        <v>#REF!</v>
      </c>
      <c r="M2816" t="e">
        <f>COUNTIF(#REF!,Tabela2[[#This Row],[KOD_PRODUKTU]])</f>
        <v>#REF!</v>
      </c>
      <c r="N2816" t="s">
        <v>55</v>
      </c>
    </row>
    <row r="2817" spans="1:14" hidden="1" x14ac:dyDescent="0.25">
      <c r="A2817" s="1" t="s">
        <v>4371</v>
      </c>
      <c r="B2817" t="s">
        <v>4372</v>
      </c>
      <c r="C2817" s="1" t="s">
        <v>239</v>
      </c>
      <c r="D2817" s="1" t="s">
        <v>239</v>
      </c>
      <c r="E2817" s="1" t="s">
        <v>239</v>
      </c>
      <c r="F2817" t="s">
        <v>240</v>
      </c>
      <c r="G2817" t="s">
        <v>241</v>
      </c>
      <c r="H2817" t="s">
        <v>49</v>
      </c>
      <c r="I2817" t="s">
        <v>50</v>
      </c>
      <c r="J2817">
        <v>7.6</v>
      </c>
      <c r="K2817" t="e">
        <f>IF(COUNTIF(#REF!,Tabela2[[#This Row],[IdxWspolny]])&gt;0,"ELEM_lub_PRD","TECHN")</f>
        <v>#REF!</v>
      </c>
      <c r="L2817" t="e">
        <f>IF(COUNTIF(#REF!,Tabela2[[#This Row],[KOD_PRODUKTU]])&gt;0,"ELEMENT","PRODUKT")</f>
        <v>#REF!</v>
      </c>
      <c r="M2817" t="e">
        <f>COUNTIF(#REF!,Tabela2[[#This Row],[KOD_PRODUKTU]])</f>
        <v>#REF!</v>
      </c>
      <c r="N2817" t="s">
        <v>55</v>
      </c>
    </row>
    <row r="2818" spans="1:14" hidden="1" x14ac:dyDescent="0.25">
      <c r="A2818" s="1" t="s">
        <v>4371</v>
      </c>
      <c r="B2818" t="s">
        <v>4372</v>
      </c>
      <c r="C2818" s="1" t="s">
        <v>242</v>
      </c>
      <c r="D2818" s="1" t="s">
        <v>242</v>
      </c>
      <c r="E2818" s="1" t="s">
        <v>242</v>
      </c>
      <c r="F2818" t="s">
        <v>243</v>
      </c>
      <c r="G2818" t="s">
        <v>244</v>
      </c>
      <c r="H2818" t="s">
        <v>49</v>
      </c>
      <c r="I2818" t="s">
        <v>92</v>
      </c>
      <c r="J2818">
        <v>6.2</v>
      </c>
      <c r="K2818" t="e">
        <f>IF(COUNTIF(#REF!,Tabela2[[#This Row],[IdxWspolny]])&gt;0,"ELEM_lub_PRD","TECHN")</f>
        <v>#REF!</v>
      </c>
      <c r="L2818" t="e">
        <f>IF(COUNTIF(#REF!,Tabela2[[#This Row],[KOD_PRODUKTU]])&gt;0,"ELEMENT","PRODUKT")</f>
        <v>#REF!</v>
      </c>
      <c r="M2818" t="e">
        <f>COUNTIF(#REF!,Tabela2[[#This Row],[KOD_PRODUKTU]])</f>
        <v>#REF!</v>
      </c>
      <c r="N2818" t="s">
        <v>55</v>
      </c>
    </row>
    <row r="2819" spans="1:14" x14ac:dyDescent="0.25">
      <c r="A2819" s="1" t="s">
        <v>4371</v>
      </c>
      <c r="B2819" t="s">
        <v>4372</v>
      </c>
      <c r="C2819" s="1" t="s">
        <v>7</v>
      </c>
      <c r="D2819" s="1" t="s">
        <v>7</v>
      </c>
      <c r="E2819" s="1" t="s">
        <v>7</v>
      </c>
      <c r="F2819" t="s">
        <v>8</v>
      </c>
      <c r="G2819" t="s">
        <v>9</v>
      </c>
      <c r="H2819" t="s">
        <v>10</v>
      </c>
      <c r="I2819" t="s">
        <v>245</v>
      </c>
      <c r="J2819">
        <v>4</v>
      </c>
      <c r="K2819" t="e">
        <f>IF(COUNTIF(#REF!,Tabela2[[#This Row],[IdxWspolny]])&gt;0,"ELEM_lub_PRD","TECHN")</f>
        <v>#REF!</v>
      </c>
      <c r="L2819" t="e">
        <f>IF(COUNTIF(#REF!,Tabela2[[#This Row],[KOD_PRODUKTU]])&gt;0,"ELEMENT","PRODUKT")</f>
        <v>#REF!</v>
      </c>
      <c r="M2819" t="e">
        <f>COUNTIF(#REF!,Tabela2[[#This Row],[KOD_PRODUKTU]])</f>
        <v>#REF!</v>
      </c>
    </row>
    <row r="2820" spans="1:14" x14ac:dyDescent="0.25">
      <c r="A2820" s="1" t="s">
        <v>4373</v>
      </c>
      <c r="B2820" t="s">
        <v>4374</v>
      </c>
      <c r="C2820" s="1" t="s">
        <v>4375</v>
      </c>
      <c r="D2820" s="1" t="s">
        <v>4375</v>
      </c>
      <c r="E2820" s="1" t="s">
        <v>4375</v>
      </c>
      <c r="F2820" t="s">
        <v>4376</v>
      </c>
      <c r="G2820" t="s">
        <v>1017</v>
      </c>
      <c r="H2820" t="s">
        <v>5</v>
      </c>
      <c r="I2820" t="s">
        <v>4377</v>
      </c>
      <c r="J2820">
        <v>24</v>
      </c>
      <c r="K2820" t="e">
        <f>IF(COUNTIF(#REF!,Tabela2[[#This Row],[IdxWspolny]])&gt;0,"ELEM_lub_PRD","TECHN")</f>
        <v>#REF!</v>
      </c>
      <c r="L2820" t="e">
        <f>IF(COUNTIF(#REF!,Tabela2[[#This Row],[KOD_PRODUKTU]])&gt;0,"ELEMENT","PRODUKT")</f>
        <v>#REF!</v>
      </c>
      <c r="M2820" t="e">
        <f>COUNTIF(#REF!,Tabela2[[#This Row],[KOD_PRODUKTU]])</f>
        <v>#REF!</v>
      </c>
    </row>
    <row r="2821" spans="1:14" x14ac:dyDescent="0.25">
      <c r="A2821" s="1" t="s">
        <v>4373</v>
      </c>
      <c r="B2821" t="s">
        <v>4374</v>
      </c>
      <c r="C2821" s="1" t="s">
        <v>7</v>
      </c>
      <c r="D2821" s="1" t="s">
        <v>7</v>
      </c>
      <c r="E2821" s="1" t="s">
        <v>7</v>
      </c>
      <c r="F2821" t="s">
        <v>8</v>
      </c>
      <c r="G2821" t="s">
        <v>9</v>
      </c>
      <c r="H2821" t="s">
        <v>10</v>
      </c>
      <c r="I2821" t="s">
        <v>4378</v>
      </c>
      <c r="J2821">
        <v>27.13</v>
      </c>
      <c r="K2821" t="e">
        <f>IF(COUNTIF(#REF!,Tabela2[[#This Row],[IdxWspolny]])&gt;0,"ELEM_lub_PRD","TECHN")</f>
        <v>#REF!</v>
      </c>
      <c r="L2821" t="e">
        <f>IF(COUNTIF(#REF!,Tabela2[[#This Row],[KOD_PRODUKTU]])&gt;0,"ELEMENT","PRODUKT")</f>
        <v>#REF!</v>
      </c>
      <c r="M2821" t="e">
        <f>COUNTIF(#REF!,Tabela2[[#This Row],[KOD_PRODUKTU]])</f>
        <v>#REF!</v>
      </c>
    </row>
    <row r="2822" spans="1:14" x14ac:dyDescent="0.25">
      <c r="A2822" s="1" t="s">
        <v>4379</v>
      </c>
      <c r="B2822" t="s">
        <v>4380</v>
      </c>
      <c r="C2822" s="1" t="s">
        <v>2774</v>
      </c>
      <c r="D2822" s="1" t="s">
        <v>2774</v>
      </c>
      <c r="E2822" s="1" t="s">
        <v>2774</v>
      </c>
      <c r="F2822" t="s">
        <v>2775</v>
      </c>
      <c r="G2822" t="s">
        <v>2776</v>
      </c>
      <c r="H2822" t="s">
        <v>5</v>
      </c>
      <c r="I2822" t="s">
        <v>4381</v>
      </c>
      <c r="J2822">
        <v>0.94</v>
      </c>
      <c r="K2822" t="e">
        <f>IF(COUNTIF(#REF!,Tabela2[[#This Row],[IdxWspolny]])&gt;0,"ELEM_lub_PRD","TECHN")</f>
        <v>#REF!</v>
      </c>
      <c r="L2822" t="e">
        <f>IF(COUNTIF(#REF!,Tabela2[[#This Row],[KOD_PRODUKTU]])&gt;0,"ELEMENT","PRODUKT")</f>
        <v>#REF!</v>
      </c>
      <c r="M2822" t="e">
        <f>COUNTIF(#REF!,Tabela2[[#This Row],[KOD_PRODUKTU]])</f>
        <v>#REF!</v>
      </c>
    </row>
    <row r="2823" spans="1:14" x14ac:dyDescent="0.25">
      <c r="A2823" s="1" t="s">
        <v>4379</v>
      </c>
      <c r="B2823" t="s">
        <v>4380</v>
      </c>
      <c r="C2823" s="1" t="s">
        <v>4382</v>
      </c>
      <c r="D2823" s="1" t="s">
        <v>4382</v>
      </c>
      <c r="E2823" s="1" t="s">
        <v>4382</v>
      </c>
      <c r="F2823" t="s">
        <v>4383</v>
      </c>
      <c r="G2823" t="s">
        <v>1768</v>
      </c>
      <c r="H2823" t="s">
        <v>49</v>
      </c>
      <c r="I2823" t="s">
        <v>92</v>
      </c>
      <c r="J2823">
        <v>0</v>
      </c>
      <c r="K2823" t="e">
        <f>IF(COUNTIF(#REF!,Tabela2[[#This Row],[IdxWspolny]])&gt;0,"ELEM_lub_PRD","TECHN")</f>
        <v>#REF!</v>
      </c>
      <c r="L2823" t="e">
        <f>IF(COUNTIF(#REF!,Tabela2[[#This Row],[KOD_PRODUKTU]])&gt;0,"ELEMENT","PRODUKT")</f>
        <v>#REF!</v>
      </c>
      <c r="M2823" t="e">
        <f>COUNTIF(#REF!,Tabela2[[#This Row],[KOD_PRODUKTU]])</f>
        <v>#REF!</v>
      </c>
    </row>
    <row r="2824" spans="1:14" x14ac:dyDescent="0.25">
      <c r="A2824" s="1" t="s">
        <v>4379</v>
      </c>
      <c r="B2824" t="s">
        <v>4380</v>
      </c>
      <c r="C2824" s="1" t="s">
        <v>41</v>
      </c>
      <c r="D2824" s="1" t="s">
        <v>41</v>
      </c>
      <c r="E2824" s="1" t="s">
        <v>41</v>
      </c>
      <c r="F2824" t="s">
        <v>42</v>
      </c>
      <c r="G2824" t="s">
        <v>513</v>
      </c>
      <c r="H2824" t="s">
        <v>5</v>
      </c>
      <c r="I2824" t="s">
        <v>2245</v>
      </c>
      <c r="J2824">
        <v>0.04</v>
      </c>
      <c r="K2824" t="e">
        <f>IF(COUNTIF(#REF!,Tabela2[[#This Row],[IdxWspolny]])&gt;0,"ELEM_lub_PRD","TECHN")</f>
        <v>#REF!</v>
      </c>
      <c r="L2824" t="e">
        <f>IF(COUNTIF(#REF!,Tabela2[[#This Row],[KOD_PRODUKTU]])&gt;0,"ELEMENT","PRODUKT")</f>
        <v>#REF!</v>
      </c>
      <c r="M2824" t="e">
        <f>COUNTIF(#REF!,Tabela2[[#This Row],[KOD_PRODUKTU]])</f>
        <v>#REF!</v>
      </c>
    </row>
    <row r="2825" spans="1:14" hidden="1" x14ac:dyDescent="0.25">
      <c r="A2825" s="1" t="s">
        <v>4379</v>
      </c>
      <c r="B2825" t="s">
        <v>4380</v>
      </c>
      <c r="C2825" s="1" t="s">
        <v>4384</v>
      </c>
      <c r="D2825" s="1" t="s">
        <v>4384</v>
      </c>
      <c r="E2825" s="1" t="s">
        <v>4384</v>
      </c>
      <c r="F2825" t="s">
        <v>4385</v>
      </c>
      <c r="G2825" t="s">
        <v>4386</v>
      </c>
      <c r="H2825" t="s">
        <v>49</v>
      </c>
      <c r="I2825" t="s">
        <v>50</v>
      </c>
      <c r="J2825">
        <v>89.23</v>
      </c>
      <c r="K2825" t="e">
        <f>IF(COUNTIF(#REF!,Tabela2[[#This Row],[IdxWspolny]])&gt;0,"ELEM_lub_PRD","TECHN")</f>
        <v>#REF!</v>
      </c>
      <c r="L2825" t="e">
        <f>IF(COUNTIF(#REF!,Tabela2[[#This Row],[KOD_PRODUKTU]])&gt;0,"ELEMENT","PRODUKT")</f>
        <v>#REF!</v>
      </c>
      <c r="M2825" t="e">
        <f>COUNTIF(#REF!,Tabela2[[#This Row],[KOD_PRODUKTU]])</f>
        <v>#REF!</v>
      </c>
      <c r="N2825" t="s">
        <v>55</v>
      </c>
    </row>
    <row r="2826" spans="1:14" hidden="1" x14ac:dyDescent="0.25">
      <c r="A2826" s="1" t="s">
        <v>4379</v>
      </c>
      <c r="B2826" t="s">
        <v>4380</v>
      </c>
      <c r="C2826" s="1" t="s">
        <v>4387</v>
      </c>
      <c r="D2826" s="1" t="s">
        <v>4387</v>
      </c>
      <c r="E2826" s="1" t="s">
        <v>4387</v>
      </c>
      <c r="F2826" t="s">
        <v>4388</v>
      </c>
      <c r="G2826" t="s">
        <v>4389</v>
      </c>
      <c r="H2826" t="s">
        <v>49</v>
      </c>
      <c r="I2826" t="s">
        <v>92</v>
      </c>
      <c r="J2826">
        <v>27.42</v>
      </c>
      <c r="K2826" t="e">
        <f>IF(COUNTIF(#REF!,Tabela2[[#This Row],[IdxWspolny]])&gt;0,"ELEM_lub_PRD","TECHN")</f>
        <v>#REF!</v>
      </c>
      <c r="L2826" t="e">
        <f>IF(COUNTIF(#REF!,Tabela2[[#This Row],[KOD_PRODUKTU]])&gt;0,"ELEMENT","PRODUKT")</f>
        <v>#REF!</v>
      </c>
      <c r="M2826" t="e">
        <f>COUNTIF(#REF!,Tabela2[[#This Row],[KOD_PRODUKTU]])</f>
        <v>#REF!</v>
      </c>
      <c r="N2826" t="s">
        <v>55</v>
      </c>
    </row>
    <row r="2827" spans="1:14" hidden="1" x14ac:dyDescent="0.25">
      <c r="A2827" s="1" t="s">
        <v>4379</v>
      </c>
      <c r="B2827" t="s">
        <v>4380</v>
      </c>
      <c r="C2827" s="1" t="s">
        <v>4390</v>
      </c>
      <c r="D2827" s="1" t="s">
        <v>4390</v>
      </c>
      <c r="E2827" s="1" t="s">
        <v>4390</v>
      </c>
      <c r="F2827" t="s">
        <v>4391</v>
      </c>
      <c r="G2827" t="s">
        <v>457</v>
      </c>
      <c r="H2827" t="s">
        <v>49</v>
      </c>
      <c r="I2827" t="s">
        <v>50</v>
      </c>
      <c r="J2827">
        <v>6.1</v>
      </c>
      <c r="K2827" t="e">
        <f>IF(COUNTIF(#REF!,Tabela2[[#This Row],[IdxWspolny]])&gt;0,"ELEM_lub_PRD","TECHN")</f>
        <v>#REF!</v>
      </c>
      <c r="L2827" t="e">
        <f>IF(COUNTIF(#REF!,Tabela2[[#This Row],[KOD_PRODUKTU]])&gt;0,"ELEMENT","PRODUKT")</f>
        <v>#REF!</v>
      </c>
      <c r="M2827" t="e">
        <f>COUNTIF(#REF!,Tabela2[[#This Row],[KOD_PRODUKTU]])</f>
        <v>#REF!</v>
      </c>
      <c r="N2827" t="s">
        <v>55</v>
      </c>
    </row>
    <row r="2828" spans="1:14" x14ac:dyDescent="0.25">
      <c r="A2828" s="1" t="s">
        <v>4379</v>
      </c>
      <c r="B2828" t="s">
        <v>4380</v>
      </c>
      <c r="C2828" s="1" t="s">
        <v>2577</v>
      </c>
      <c r="D2828" s="1" t="s">
        <v>2577</v>
      </c>
      <c r="E2828" s="1" t="s">
        <v>2577</v>
      </c>
      <c r="F2828" t="s">
        <v>2578</v>
      </c>
      <c r="G2828" t="s">
        <v>686</v>
      </c>
      <c r="H2828" t="s">
        <v>49</v>
      </c>
      <c r="I2828" t="s">
        <v>4392</v>
      </c>
      <c r="J2828">
        <v>14</v>
      </c>
      <c r="K2828" t="e">
        <f>IF(COUNTIF(#REF!,Tabela2[[#This Row],[IdxWspolny]])&gt;0,"ELEM_lub_PRD","TECHN")</f>
        <v>#REF!</v>
      </c>
      <c r="L2828" t="e">
        <f>IF(COUNTIF(#REF!,Tabela2[[#This Row],[KOD_PRODUKTU]])&gt;0,"ELEMENT","PRODUKT")</f>
        <v>#REF!</v>
      </c>
      <c r="M2828" t="e">
        <f>COUNTIF(#REF!,Tabela2[[#This Row],[KOD_PRODUKTU]])</f>
        <v>#REF!</v>
      </c>
    </row>
    <row r="2829" spans="1:14" x14ac:dyDescent="0.25">
      <c r="A2829" s="1" t="s">
        <v>4379</v>
      </c>
      <c r="B2829" t="s">
        <v>4380</v>
      </c>
      <c r="C2829" s="1" t="s">
        <v>541</v>
      </c>
      <c r="D2829" s="1" t="s">
        <v>541</v>
      </c>
      <c r="E2829" s="1" t="s">
        <v>541</v>
      </c>
      <c r="F2829" t="s">
        <v>542</v>
      </c>
      <c r="G2829" t="s">
        <v>9</v>
      </c>
      <c r="H2829" t="s">
        <v>10</v>
      </c>
      <c r="I2829" t="s">
        <v>3680</v>
      </c>
      <c r="J2829">
        <v>3.48</v>
      </c>
      <c r="K2829" t="e">
        <f>IF(COUNTIF(#REF!,Tabela2[[#This Row],[IdxWspolny]])&gt;0,"ELEM_lub_PRD","TECHN")</f>
        <v>#REF!</v>
      </c>
      <c r="L2829" t="e">
        <f>IF(COUNTIF(#REF!,Tabela2[[#This Row],[KOD_PRODUKTU]])&gt;0,"ELEMENT","PRODUKT")</f>
        <v>#REF!</v>
      </c>
      <c r="M2829" t="e">
        <f>COUNTIF(#REF!,Tabela2[[#This Row],[KOD_PRODUKTU]])</f>
        <v>#REF!</v>
      </c>
    </row>
    <row r="2830" spans="1:14" x14ac:dyDescent="0.25">
      <c r="A2830" s="1" t="s">
        <v>4384</v>
      </c>
      <c r="B2830" t="s">
        <v>4385</v>
      </c>
      <c r="C2830" s="1" t="s">
        <v>3914</v>
      </c>
      <c r="D2830" s="1" t="s">
        <v>3914</v>
      </c>
      <c r="E2830" s="1" t="s">
        <v>3914</v>
      </c>
      <c r="F2830" t="s">
        <v>3915</v>
      </c>
      <c r="G2830" t="s">
        <v>3916</v>
      </c>
      <c r="H2830" t="s">
        <v>5</v>
      </c>
      <c r="I2830" t="s">
        <v>4393</v>
      </c>
      <c r="J2830">
        <v>67.28</v>
      </c>
      <c r="K2830" t="e">
        <f>IF(COUNTIF(#REF!,Tabela2[[#This Row],[IdxWspolny]])&gt;0,"ELEM_lub_PRD","TECHN")</f>
        <v>#REF!</v>
      </c>
      <c r="L2830" t="e">
        <f>IF(COUNTIF(#REF!,Tabela2[[#This Row],[KOD_PRODUKTU]])&gt;0,"ELEMENT","PRODUKT")</f>
        <v>#REF!</v>
      </c>
      <c r="M2830" t="e">
        <f>COUNTIF(#REF!,Tabela2[[#This Row],[KOD_PRODUKTU]])</f>
        <v>#REF!</v>
      </c>
    </row>
    <row r="2831" spans="1:14" x14ac:dyDescent="0.25">
      <c r="A2831" s="1" t="s">
        <v>4384</v>
      </c>
      <c r="B2831" t="s">
        <v>4385</v>
      </c>
      <c r="C2831" s="1" t="s">
        <v>541</v>
      </c>
      <c r="D2831" s="1" t="s">
        <v>541</v>
      </c>
      <c r="E2831" s="1" t="s">
        <v>541</v>
      </c>
      <c r="F2831" t="s">
        <v>542</v>
      </c>
      <c r="G2831" t="s">
        <v>9</v>
      </c>
      <c r="H2831" t="s">
        <v>10</v>
      </c>
      <c r="I2831" t="s">
        <v>2971</v>
      </c>
      <c r="J2831">
        <v>21.95</v>
      </c>
      <c r="K2831" t="e">
        <f>IF(COUNTIF(#REF!,Tabela2[[#This Row],[IdxWspolny]])&gt;0,"ELEM_lub_PRD","TECHN")</f>
        <v>#REF!</v>
      </c>
      <c r="L2831" t="e">
        <f>IF(COUNTIF(#REF!,Tabela2[[#This Row],[KOD_PRODUKTU]])&gt;0,"ELEMENT","PRODUKT")</f>
        <v>#REF!</v>
      </c>
      <c r="M2831" t="e">
        <f>COUNTIF(#REF!,Tabela2[[#This Row],[KOD_PRODUKTU]])</f>
        <v>#REF!</v>
      </c>
    </row>
    <row r="2832" spans="1:14" x14ac:dyDescent="0.25">
      <c r="A2832" s="1" t="s">
        <v>4387</v>
      </c>
      <c r="B2832" t="s">
        <v>4388</v>
      </c>
      <c r="C2832" s="1" t="s">
        <v>3914</v>
      </c>
      <c r="D2832" s="1" t="s">
        <v>3914</v>
      </c>
      <c r="E2832" s="1" t="s">
        <v>3914</v>
      </c>
      <c r="F2832" t="s">
        <v>3915</v>
      </c>
      <c r="G2832" t="s">
        <v>3916</v>
      </c>
      <c r="H2832" t="s">
        <v>5</v>
      </c>
      <c r="I2832" t="s">
        <v>3571</v>
      </c>
      <c r="J2832">
        <v>5.37</v>
      </c>
      <c r="K2832" t="e">
        <f>IF(COUNTIF(#REF!,Tabela2[[#This Row],[IdxWspolny]])&gt;0,"ELEM_lub_PRD","TECHN")</f>
        <v>#REF!</v>
      </c>
      <c r="L2832" t="e">
        <f>IF(COUNTIF(#REF!,Tabela2[[#This Row],[KOD_PRODUKTU]])&gt;0,"ELEMENT","PRODUKT")</f>
        <v>#REF!</v>
      </c>
      <c r="M2832" t="e">
        <f>COUNTIF(#REF!,Tabela2[[#This Row],[KOD_PRODUKTU]])</f>
        <v>#REF!</v>
      </c>
    </row>
    <row r="2833" spans="1:14" x14ac:dyDescent="0.25">
      <c r="A2833" s="1" t="s">
        <v>4387</v>
      </c>
      <c r="B2833" t="s">
        <v>4388</v>
      </c>
      <c r="C2833" s="1" t="s">
        <v>541</v>
      </c>
      <c r="D2833" s="1" t="s">
        <v>541</v>
      </c>
      <c r="E2833" s="1" t="s">
        <v>541</v>
      </c>
      <c r="F2833" t="s">
        <v>542</v>
      </c>
      <c r="G2833" t="s">
        <v>9</v>
      </c>
      <c r="H2833" t="s">
        <v>10</v>
      </c>
      <c r="I2833" t="s">
        <v>4394</v>
      </c>
      <c r="J2833">
        <v>8.35</v>
      </c>
      <c r="K2833" t="e">
        <f>IF(COUNTIF(#REF!,Tabela2[[#This Row],[IdxWspolny]])&gt;0,"ELEM_lub_PRD","TECHN")</f>
        <v>#REF!</v>
      </c>
      <c r="L2833" t="e">
        <f>IF(COUNTIF(#REF!,Tabela2[[#This Row],[KOD_PRODUKTU]])&gt;0,"ELEMENT","PRODUKT")</f>
        <v>#REF!</v>
      </c>
      <c r="M2833" t="e">
        <f>COUNTIF(#REF!,Tabela2[[#This Row],[KOD_PRODUKTU]])</f>
        <v>#REF!</v>
      </c>
    </row>
    <row r="2834" spans="1:14" x14ac:dyDescent="0.25">
      <c r="A2834" s="1" t="s">
        <v>4390</v>
      </c>
      <c r="B2834" t="s">
        <v>4391</v>
      </c>
      <c r="C2834" s="1" t="s">
        <v>1010</v>
      </c>
      <c r="D2834" s="1" t="s">
        <v>1010</v>
      </c>
      <c r="E2834" s="1" t="s">
        <v>1010</v>
      </c>
      <c r="F2834" t="s">
        <v>1011</v>
      </c>
      <c r="G2834" t="s">
        <v>1354</v>
      </c>
      <c r="H2834" t="s">
        <v>5</v>
      </c>
      <c r="I2834" t="s">
        <v>4395</v>
      </c>
      <c r="J2834">
        <v>3.6</v>
      </c>
      <c r="K2834" t="e">
        <f>IF(COUNTIF(#REF!,Tabela2[[#This Row],[IdxWspolny]])&gt;0,"ELEM_lub_PRD","TECHN")</f>
        <v>#REF!</v>
      </c>
      <c r="L2834" t="e">
        <f>IF(COUNTIF(#REF!,Tabela2[[#This Row],[KOD_PRODUKTU]])&gt;0,"ELEMENT","PRODUKT")</f>
        <v>#REF!</v>
      </c>
      <c r="M2834" t="e">
        <f>COUNTIF(#REF!,Tabela2[[#This Row],[KOD_PRODUKTU]])</f>
        <v>#REF!</v>
      </c>
    </row>
    <row r="2835" spans="1:14" x14ac:dyDescent="0.25">
      <c r="A2835" s="1" t="s">
        <v>4390</v>
      </c>
      <c r="B2835" t="s">
        <v>4391</v>
      </c>
      <c r="C2835" s="1" t="s">
        <v>541</v>
      </c>
      <c r="D2835" s="1" t="s">
        <v>541</v>
      </c>
      <c r="E2835" s="1" t="s">
        <v>541</v>
      </c>
      <c r="F2835" t="s">
        <v>542</v>
      </c>
      <c r="G2835" t="s">
        <v>9</v>
      </c>
      <c r="H2835" t="s">
        <v>10</v>
      </c>
      <c r="I2835" t="s">
        <v>1733</v>
      </c>
      <c r="J2835">
        <v>2.5</v>
      </c>
      <c r="K2835" t="e">
        <f>IF(COUNTIF(#REF!,Tabela2[[#This Row],[IdxWspolny]])&gt;0,"ELEM_lub_PRD","TECHN")</f>
        <v>#REF!</v>
      </c>
      <c r="L2835" t="e">
        <f>IF(COUNTIF(#REF!,Tabela2[[#This Row],[KOD_PRODUKTU]])&gt;0,"ELEMENT","PRODUKT")</f>
        <v>#REF!</v>
      </c>
      <c r="M2835" t="e">
        <f>COUNTIF(#REF!,Tabela2[[#This Row],[KOD_PRODUKTU]])</f>
        <v>#REF!</v>
      </c>
    </row>
    <row r="2836" spans="1:14" x14ac:dyDescent="0.25">
      <c r="A2836" s="1" t="s">
        <v>4396</v>
      </c>
      <c r="B2836" t="s">
        <v>4397</v>
      </c>
      <c r="C2836" s="1" t="s">
        <v>4398</v>
      </c>
      <c r="D2836" s="1" t="s">
        <v>4398</v>
      </c>
      <c r="E2836" s="1" t="s">
        <v>4398</v>
      </c>
      <c r="F2836" t="s">
        <v>4399</v>
      </c>
      <c r="G2836" t="s">
        <v>1768</v>
      </c>
      <c r="H2836" t="s">
        <v>17</v>
      </c>
      <c r="I2836" t="s">
        <v>19</v>
      </c>
      <c r="J2836">
        <v>0</v>
      </c>
      <c r="K2836" t="e">
        <f>IF(COUNTIF(#REF!,Tabela2[[#This Row],[IdxWspolny]])&gt;0,"ELEM_lub_PRD","TECHN")</f>
        <v>#REF!</v>
      </c>
      <c r="L2836" t="e">
        <f>IF(COUNTIF(#REF!,Tabela2[[#This Row],[KOD_PRODUKTU]])&gt;0,"ELEMENT","PRODUKT")</f>
        <v>#REF!</v>
      </c>
      <c r="M2836" t="e">
        <f>COUNTIF(#REF!,Tabela2[[#This Row],[KOD_PRODUKTU]])</f>
        <v>#REF!</v>
      </c>
    </row>
    <row r="2837" spans="1:14" hidden="1" x14ac:dyDescent="0.25">
      <c r="A2837" s="1" t="s">
        <v>4396</v>
      </c>
      <c r="B2837" t="s">
        <v>4397</v>
      </c>
      <c r="C2837" s="1" t="s">
        <v>4400</v>
      </c>
      <c r="D2837" s="1" t="s">
        <v>4400</v>
      </c>
      <c r="E2837" s="1" t="s">
        <v>4400</v>
      </c>
      <c r="F2837" t="s">
        <v>4401</v>
      </c>
      <c r="G2837" t="s">
        <v>4402</v>
      </c>
      <c r="H2837" t="s">
        <v>49</v>
      </c>
      <c r="I2837" t="s">
        <v>50</v>
      </c>
      <c r="J2837">
        <v>6.26</v>
      </c>
      <c r="K2837" t="e">
        <f>IF(COUNTIF(#REF!,Tabela2[[#This Row],[IdxWspolny]])&gt;0,"ELEM_lub_PRD","TECHN")</f>
        <v>#REF!</v>
      </c>
      <c r="L2837" t="e">
        <f>IF(COUNTIF(#REF!,Tabela2[[#This Row],[KOD_PRODUKTU]])&gt;0,"ELEMENT","PRODUKT")</f>
        <v>#REF!</v>
      </c>
      <c r="M2837" t="e">
        <f>COUNTIF(#REF!,Tabela2[[#This Row],[KOD_PRODUKTU]])</f>
        <v>#REF!</v>
      </c>
      <c r="N2837" t="s">
        <v>55</v>
      </c>
    </row>
    <row r="2838" spans="1:14" hidden="1" x14ac:dyDescent="0.25">
      <c r="A2838" s="1" t="s">
        <v>4396</v>
      </c>
      <c r="B2838" t="s">
        <v>4397</v>
      </c>
      <c r="C2838" s="1" t="s">
        <v>4403</v>
      </c>
      <c r="D2838" s="1" t="s">
        <v>4403</v>
      </c>
      <c r="E2838" s="1" t="s">
        <v>4403</v>
      </c>
      <c r="F2838" t="s">
        <v>4404</v>
      </c>
      <c r="G2838" t="s">
        <v>4405</v>
      </c>
      <c r="H2838" t="s">
        <v>49</v>
      </c>
      <c r="I2838" t="s">
        <v>50</v>
      </c>
      <c r="J2838">
        <v>41.4</v>
      </c>
      <c r="K2838" t="e">
        <f>IF(COUNTIF(#REF!,Tabela2[[#This Row],[IdxWspolny]])&gt;0,"ELEM_lub_PRD","TECHN")</f>
        <v>#REF!</v>
      </c>
      <c r="L2838" t="e">
        <f>IF(COUNTIF(#REF!,Tabela2[[#This Row],[KOD_PRODUKTU]])&gt;0,"ELEMENT","PRODUKT")</f>
        <v>#REF!</v>
      </c>
      <c r="M2838" t="e">
        <f>COUNTIF(#REF!,Tabela2[[#This Row],[KOD_PRODUKTU]])</f>
        <v>#REF!</v>
      </c>
      <c r="N2838" t="s">
        <v>55</v>
      </c>
    </row>
    <row r="2839" spans="1:14" hidden="1" x14ac:dyDescent="0.25">
      <c r="A2839" s="1" t="s">
        <v>4396</v>
      </c>
      <c r="B2839" t="s">
        <v>4397</v>
      </c>
      <c r="C2839" s="1" t="s">
        <v>4406</v>
      </c>
      <c r="D2839" s="1" t="s">
        <v>4406</v>
      </c>
      <c r="E2839" s="1" t="s">
        <v>4406</v>
      </c>
      <c r="F2839" t="s">
        <v>4407</v>
      </c>
      <c r="G2839" t="s">
        <v>658</v>
      </c>
      <c r="H2839" t="s">
        <v>49</v>
      </c>
      <c r="I2839" t="s">
        <v>50</v>
      </c>
      <c r="J2839">
        <v>5.6</v>
      </c>
      <c r="K2839" t="e">
        <f>IF(COUNTIF(#REF!,Tabela2[[#This Row],[IdxWspolny]])&gt;0,"ELEM_lub_PRD","TECHN")</f>
        <v>#REF!</v>
      </c>
      <c r="L2839" t="e">
        <f>IF(COUNTIF(#REF!,Tabela2[[#This Row],[KOD_PRODUKTU]])&gt;0,"ELEMENT","PRODUKT")</f>
        <v>#REF!</v>
      </c>
      <c r="M2839" t="e">
        <f>COUNTIF(#REF!,Tabela2[[#This Row],[KOD_PRODUKTU]])</f>
        <v>#REF!</v>
      </c>
      <c r="N2839" t="s">
        <v>55</v>
      </c>
    </row>
    <row r="2840" spans="1:14" x14ac:dyDescent="0.25">
      <c r="A2840" s="1" t="s">
        <v>4396</v>
      </c>
      <c r="B2840" t="s">
        <v>4397</v>
      </c>
      <c r="C2840" s="1" t="s">
        <v>2577</v>
      </c>
      <c r="D2840" s="1" t="s">
        <v>2577</v>
      </c>
      <c r="E2840" s="1" t="s">
        <v>2577</v>
      </c>
      <c r="F2840" t="s">
        <v>2578</v>
      </c>
      <c r="G2840" t="s">
        <v>686</v>
      </c>
      <c r="H2840" t="s">
        <v>49</v>
      </c>
      <c r="I2840" t="s">
        <v>4408</v>
      </c>
      <c r="J2840">
        <v>8.35</v>
      </c>
      <c r="K2840" t="e">
        <f>IF(COUNTIF(#REF!,Tabela2[[#This Row],[IdxWspolny]])&gt;0,"ELEM_lub_PRD","TECHN")</f>
        <v>#REF!</v>
      </c>
      <c r="L2840" t="e">
        <f>IF(COUNTIF(#REF!,Tabela2[[#This Row],[KOD_PRODUKTU]])&gt;0,"ELEMENT","PRODUKT")</f>
        <v>#REF!</v>
      </c>
      <c r="M2840" t="e">
        <f>COUNTIF(#REF!,Tabela2[[#This Row],[KOD_PRODUKTU]])</f>
        <v>#REF!</v>
      </c>
    </row>
    <row r="2841" spans="1:14" x14ac:dyDescent="0.25">
      <c r="A2841" s="1" t="s">
        <v>4396</v>
      </c>
      <c r="B2841" t="s">
        <v>4397</v>
      </c>
      <c r="C2841" s="1" t="s">
        <v>541</v>
      </c>
      <c r="D2841" s="1" t="s">
        <v>541</v>
      </c>
      <c r="E2841" s="1" t="s">
        <v>541</v>
      </c>
      <c r="F2841" t="s">
        <v>542</v>
      </c>
      <c r="G2841" t="s">
        <v>9</v>
      </c>
      <c r="H2841" t="s">
        <v>10</v>
      </c>
      <c r="I2841" t="s">
        <v>4409</v>
      </c>
      <c r="J2841">
        <v>11.3</v>
      </c>
      <c r="K2841" t="e">
        <f>IF(COUNTIF(#REF!,Tabela2[[#This Row],[IdxWspolny]])&gt;0,"ELEM_lub_PRD","TECHN")</f>
        <v>#REF!</v>
      </c>
      <c r="L2841" t="e">
        <f>IF(COUNTIF(#REF!,Tabela2[[#This Row],[KOD_PRODUKTU]])&gt;0,"ELEMENT","PRODUKT")</f>
        <v>#REF!</v>
      </c>
      <c r="M2841" t="e">
        <f>COUNTIF(#REF!,Tabela2[[#This Row],[KOD_PRODUKTU]])</f>
        <v>#REF!</v>
      </c>
    </row>
    <row r="2842" spans="1:14" x14ac:dyDescent="0.25">
      <c r="A2842" s="1" t="s">
        <v>4400</v>
      </c>
      <c r="B2842" t="s">
        <v>4401</v>
      </c>
      <c r="C2842" s="1" t="s">
        <v>1785</v>
      </c>
      <c r="D2842" s="1" t="s">
        <v>1785</v>
      </c>
      <c r="E2842" s="1" t="s">
        <v>1785</v>
      </c>
      <c r="F2842" t="s">
        <v>1786</v>
      </c>
      <c r="G2842" t="s">
        <v>216</v>
      </c>
      <c r="H2842" t="s">
        <v>5</v>
      </c>
      <c r="I2842" t="s">
        <v>652</v>
      </c>
      <c r="J2842">
        <v>0.21</v>
      </c>
      <c r="K2842" t="e">
        <f>IF(COUNTIF(#REF!,Tabela2[[#This Row],[IdxWspolny]])&gt;0,"ELEM_lub_PRD","TECHN")</f>
        <v>#REF!</v>
      </c>
      <c r="L2842" t="e">
        <f>IF(COUNTIF(#REF!,Tabela2[[#This Row],[KOD_PRODUKTU]])&gt;0,"ELEMENT","PRODUKT")</f>
        <v>#REF!</v>
      </c>
      <c r="M2842" t="e">
        <f>COUNTIF(#REF!,Tabela2[[#This Row],[KOD_PRODUKTU]])</f>
        <v>#REF!</v>
      </c>
    </row>
    <row r="2843" spans="1:14" x14ac:dyDescent="0.25">
      <c r="A2843" s="1" t="s">
        <v>4400</v>
      </c>
      <c r="B2843" t="s">
        <v>4401</v>
      </c>
      <c r="C2843" s="1" t="s">
        <v>541</v>
      </c>
      <c r="D2843" s="1" t="s">
        <v>541</v>
      </c>
      <c r="E2843" s="1" t="s">
        <v>541</v>
      </c>
      <c r="F2843" t="s">
        <v>542</v>
      </c>
      <c r="G2843" t="s">
        <v>9</v>
      </c>
      <c r="H2843" t="s">
        <v>10</v>
      </c>
      <c r="I2843" t="s">
        <v>4410</v>
      </c>
      <c r="J2843">
        <v>6.05</v>
      </c>
      <c r="K2843" t="e">
        <f>IF(COUNTIF(#REF!,Tabela2[[#This Row],[IdxWspolny]])&gt;0,"ELEM_lub_PRD","TECHN")</f>
        <v>#REF!</v>
      </c>
      <c r="L2843" t="e">
        <f>IF(COUNTIF(#REF!,Tabela2[[#This Row],[KOD_PRODUKTU]])&gt;0,"ELEMENT","PRODUKT")</f>
        <v>#REF!</v>
      </c>
      <c r="M2843" t="e">
        <f>COUNTIF(#REF!,Tabela2[[#This Row],[KOD_PRODUKTU]])</f>
        <v>#REF!</v>
      </c>
    </row>
    <row r="2844" spans="1:14" x14ac:dyDescent="0.25">
      <c r="A2844" s="1" t="s">
        <v>4403</v>
      </c>
      <c r="B2844" t="s">
        <v>4404</v>
      </c>
      <c r="C2844" s="1" t="s">
        <v>4411</v>
      </c>
      <c r="D2844" s="1" t="s">
        <v>4411</v>
      </c>
      <c r="E2844" s="1" t="s">
        <v>4411</v>
      </c>
      <c r="F2844" t="s">
        <v>4412</v>
      </c>
      <c r="G2844" t="s">
        <v>4413</v>
      </c>
      <c r="H2844" t="s">
        <v>17</v>
      </c>
      <c r="I2844" t="s">
        <v>4414</v>
      </c>
      <c r="J2844">
        <v>11.6</v>
      </c>
      <c r="K2844" t="e">
        <f>IF(COUNTIF(#REF!,Tabela2[[#This Row],[IdxWspolny]])&gt;0,"ELEM_lub_PRD","TECHN")</f>
        <v>#REF!</v>
      </c>
      <c r="L2844" t="e">
        <f>IF(COUNTIF(#REF!,Tabela2[[#This Row],[KOD_PRODUKTU]])&gt;0,"ELEMENT","PRODUKT")</f>
        <v>#REF!</v>
      </c>
      <c r="M2844" t="e">
        <f>COUNTIF(#REF!,Tabela2[[#This Row],[KOD_PRODUKTU]])</f>
        <v>#REF!</v>
      </c>
    </row>
    <row r="2845" spans="1:14" hidden="1" x14ac:dyDescent="0.25">
      <c r="A2845" s="1" t="s">
        <v>4403</v>
      </c>
      <c r="B2845" t="s">
        <v>4404</v>
      </c>
      <c r="C2845" s="1" t="s">
        <v>4415</v>
      </c>
      <c r="D2845" s="1" t="s">
        <v>4415</v>
      </c>
      <c r="E2845" s="1" t="s">
        <v>4415</v>
      </c>
      <c r="F2845" t="s">
        <v>4416</v>
      </c>
      <c r="G2845" t="s">
        <v>4417</v>
      </c>
      <c r="H2845" t="s">
        <v>49</v>
      </c>
      <c r="I2845" t="s">
        <v>50</v>
      </c>
      <c r="J2845">
        <v>8.09</v>
      </c>
      <c r="K2845" t="e">
        <f>IF(COUNTIF(#REF!,Tabela2[[#This Row],[IdxWspolny]])&gt;0,"ELEM_lub_PRD","TECHN")</f>
        <v>#REF!</v>
      </c>
      <c r="L2845" t="e">
        <f>IF(COUNTIF(#REF!,Tabela2[[#This Row],[KOD_PRODUKTU]])&gt;0,"ELEMENT","PRODUKT")</f>
        <v>#REF!</v>
      </c>
      <c r="M2845" t="e">
        <f>COUNTIF(#REF!,Tabela2[[#This Row],[KOD_PRODUKTU]])</f>
        <v>#REF!</v>
      </c>
      <c r="N2845" t="s">
        <v>55</v>
      </c>
    </row>
    <row r="2846" spans="1:14" hidden="1" x14ac:dyDescent="0.25">
      <c r="A2846" s="1" t="s">
        <v>4403</v>
      </c>
      <c r="B2846" t="s">
        <v>4404</v>
      </c>
      <c r="C2846" s="1" t="s">
        <v>4418</v>
      </c>
      <c r="D2846" s="1" t="s">
        <v>4418</v>
      </c>
      <c r="E2846" s="1" t="s">
        <v>4418</v>
      </c>
      <c r="F2846" t="s">
        <v>4419</v>
      </c>
      <c r="G2846" t="s">
        <v>4420</v>
      </c>
      <c r="H2846" t="s">
        <v>49</v>
      </c>
      <c r="I2846" t="s">
        <v>50</v>
      </c>
      <c r="J2846">
        <v>10.01</v>
      </c>
      <c r="K2846" t="e">
        <f>IF(COUNTIF(#REF!,Tabela2[[#This Row],[IdxWspolny]])&gt;0,"ELEM_lub_PRD","TECHN")</f>
        <v>#REF!</v>
      </c>
      <c r="L2846" t="e">
        <f>IF(COUNTIF(#REF!,Tabela2[[#This Row],[KOD_PRODUKTU]])&gt;0,"ELEMENT","PRODUKT")</f>
        <v>#REF!</v>
      </c>
      <c r="M2846" t="e">
        <f>COUNTIF(#REF!,Tabela2[[#This Row],[KOD_PRODUKTU]])</f>
        <v>#REF!</v>
      </c>
      <c r="N2846" t="s">
        <v>55</v>
      </c>
    </row>
    <row r="2847" spans="1:14" x14ac:dyDescent="0.25">
      <c r="A2847" s="1" t="s">
        <v>4403</v>
      </c>
      <c r="B2847" t="s">
        <v>4404</v>
      </c>
      <c r="C2847" s="1" t="s">
        <v>541</v>
      </c>
      <c r="D2847" s="1" t="s">
        <v>541</v>
      </c>
      <c r="E2847" s="1" t="s">
        <v>541</v>
      </c>
      <c r="F2847" t="s">
        <v>542</v>
      </c>
      <c r="G2847" t="s">
        <v>9</v>
      </c>
      <c r="H2847" t="s">
        <v>10</v>
      </c>
      <c r="I2847" t="s">
        <v>4421</v>
      </c>
      <c r="J2847">
        <v>11.7</v>
      </c>
      <c r="K2847" t="e">
        <f>IF(COUNTIF(#REF!,Tabela2[[#This Row],[IdxWspolny]])&gt;0,"ELEM_lub_PRD","TECHN")</f>
        <v>#REF!</v>
      </c>
      <c r="L2847" t="e">
        <f>IF(COUNTIF(#REF!,Tabela2[[#This Row],[KOD_PRODUKTU]])&gt;0,"ELEMENT","PRODUKT")</f>
        <v>#REF!</v>
      </c>
      <c r="M2847" t="e">
        <f>COUNTIF(#REF!,Tabela2[[#This Row],[KOD_PRODUKTU]])</f>
        <v>#REF!</v>
      </c>
    </row>
    <row r="2848" spans="1:14" x14ac:dyDescent="0.25">
      <c r="A2848" s="1" t="s">
        <v>4415</v>
      </c>
      <c r="B2848" t="s">
        <v>4416</v>
      </c>
      <c r="C2848" s="1" t="s">
        <v>2474</v>
      </c>
      <c r="D2848" s="1" t="s">
        <v>2474</v>
      </c>
      <c r="E2848" s="1" t="s">
        <v>2474</v>
      </c>
      <c r="F2848" t="s">
        <v>2475</v>
      </c>
      <c r="G2848" t="s">
        <v>2469</v>
      </c>
      <c r="H2848" t="s">
        <v>5</v>
      </c>
      <c r="I2848" t="s">
        <v>3404</v>
      </c>
      <c r="J2848">
        <v>2.64</v>
      </c>
      <c r="K2848" t="e">
        <f>IF(COUNTIF(#REF!,Tabela2[[#This Row],[IdxWspolny]])&gt;0,"ELEM_lub_PRD","TECHN")</f>
        <v>#REF!</v>
      </c>
      <c r="L2848" t="e">
        <f>IF(COUNTIF(#REF!,Tabela2[[#This Row],[KOD_PRODUKTU]])&gt;0,"ELEMENT","PRODUKT")</f>
        <v>#REF!</v>
      </c>
      <c r="M2848" t="e">
        <f>COUNTIF(#REF!,Tabela2[[#This Row],[KOD_PRODUKTU]])</f>
        <v>#REF!</v>
      </c>
    </row>
    <row r="2849" spans="1:13" x14ac:dyDescent="0.25">
      <c r="A2849" s="1" t="s">
        <v>4415</v>
      </c>
      <c r="B2849" t="s">
        <v>4416</v>
      </c>
      <c r="C2849" s="1" t="s">
        <v>7</v>
      </c>
      <c r="D2849" s="1" t="s">
        <v>7</v>
      </c>
      <c r="E2849" s="1" t="s">
        <v>7</v>
      </c>
      <c r="F2849" t="s">
        <v>8</v>
      </c>
      <c r="G2849" t="s">
        <v>9</v>
      </c>
      <c r="H2849" t="s">
        <v>10</v>
      </c>
      <c r="I2849" t="s">
        <v>4422</v>
      </c>
      <c r="J2849">
        <v>5.45</v>
      </c>
      <c r="K2849" t="e">
        <f>IF(COUNTIF(#REF!,Tabela2[[#This Row],[IdxWspolny]])&gt;0,"ELEM_lub_PRD","TECHN")</f>
        <v>#REF!</v>
      </c>
      <c r="L2849" t="e">
        <f>IF(COUNTIF(#REF!,Tabela2[[#This Row],[KOD_PRODUKTU]])&gt;0,"ELEMENT","PRODUKT")</f>
        <v>#REF!</v>
      </c>
      <c r="M2849" t="e">
        <f>COUNTIF(#REF!,Tabela2[[#This Row],[KOD_PRODUKTU]])</f>
        <v>#REF!</v>
      </c>
    </row>
    <row r="2850" spans="1:13" x14ac:dyDescent="0.25">
      <c r="A2850" s="1" t="s">
        <v>4418</v>
      </c>
      <c r="B2850" t="s">
        <v>4419</v>
      </c>
      <c r="C2850" s="1" t="s">
        <v>4168</v>
      </c>
      <c r="D2850" s="1" t="s">
        <v>4168</v>
      </c>
      <c r="E2850" s="1" t="s">
        <v>4168</v>
      </c>
      <c r="F2850" t="s">
        <v>4423</v>
      </c>
      <c r="G2850" t="s">
        <v>70</v>
      </c>
      <c r="H2850" t="s">
        <v>5</v>
      </c>
      <c r="I2850" t="s">
        <v>4424</v>
      </c>
      <c r="J2850">
        <v>2.85</v>
      </c>
      <c r="K2850" t="e">
        <f>IF(COUNTIF(#REF!,Tabela2[[#This Row],[IdxWspolny]])&gt;0,"ELEM_lub_PRD","TECHN")</f>
        <v>#REF!</v>
      </c>
      <c r="L2850" t="e">
        <f>IF(COUNTIF(#REF!,Tabela2[[#This Row],[KOD_PRODUKTU]])&gt;0,"ELEMENT","PRODUKT")</f>
        <v>#REF!</v>
      </c>
      <c r="M2850" t="e">
        <f>COUNTIF(#REF!,Tabela2[[#This Row],[KOD_PRODUKTU]])</f>
        <v>#REF!</v>
      </c>
    </row>
    <row r="2851" spans="1:13" x14ac:dyDescent="0.25">
      <c r="A2851" s="1" t="s">
        <v>4418</v>
      </c>
      <c r="B2851" t="s">
        <v>4419</v>
      </c>
      <c r="C2851" s="1" t="s">
        <v>541</v>
      </c>
      <c r="D2851" s="1" t="s">
        <v>541</v>
      </c>
      <c r="E2851" s="1" t="s">
        <v>541</v>
      </c>
      <c r="F2851" t="s">
        <v>542</v>
      </c>
      <c r="G2851" t="s">
        <v>9</v>
      </c>
      <c r="H2851" t="s">
        <v>10</v>
      </c>
      <c r="I2851" t="s">
        <v>3623</v>
      </c>
      <c r="J2851">
        <v>7.16</v>
      </c>
      <c r="K2851" t="e">
        <f>IF(COUNTIF(#REF!,Tabela2[[#This Row],[IdxWspolny]])&gt;0,"ELEM_lub_PRD","TECHN")</f>
        <v>#REF!</v>
      </c>
      <c r="L2851" t="e">
        <f>IF(COUNTIF(#REF!,Tabela2[[#This Row],[KOD_PRODUKTU]])&gt;0,"ELEMENT","PRODUKT")</f>
        <v>#REF!</v>
      </c>
      <c r="M2851" t="e">
        <f>COUNTIF(#REF!,Tabela2[[#This Row],[KOD_PRODUKTU]])</f>
        <v>#REF!</v>
      </c>
    </row>
    <row r="2852" spans="1:13" x14ac:dyDescent="0.25">
      <c r="A2852" s="1" t="s">
        <v>4406</v>
      </c>
      <c r="B2852" t="s">
        <v>4407</v>
      </c>
      <c r="C2852" s="1" t="s">
        <v>1785</v>
      </c>
      <c r="D2852" s="1" t="s">
        <v>1785</v>
      </c>
      <c r="E2852" s="1" t="s">
        <v>1785</v>
      </c>
      <c r="F2852" t="s">
        <v>1786</v>
      </c>
      <c r="G2852" t="s">
        <v>216</v>
      </c>
      <c r="H2852" t="s">
        <v>5</v>
      </c>
      <c r="I2852" t="s">
        <v>652</v>
      </c>
      <c r="J2852">
        <v>0.21</v>
      </c>
      <c r="K2852" t="e">
        <f>IF(COUNTIF(#REF!,Tabela2[[#This Row],[IdxWspolny]])&gt;0,"ELEM_lub_PRD","TECHN")</f>
        <v>#REF!</v>
      </c>
      <c r="L2852" t="e">
        <f>IF(COUNTIF(#REF!,Tabela2[[#This Row],[KOD_PRODUKTU]])&gt;0,"ELEMENT","PRODUKT")</f>
        <v>#REF!</v>
      </c>
      <c r="M2852" t="e">
        <f>COUNTIF(#REF!,Tabela2[[#This Row],[KOD_PRODUKTU]])</f>
        <v>#REF!</v>
      </c>
    </row>
    <row r="2853" spans="1:13" x14ac:dyDescent="0.25">
      <c r="A2853" s="1" t="s">
        <v>4406</v>
      </c>
      <c r="B2853" t="s">
        <v>4407</v>
      </c>
      <c r="C2853" s="1" t="s">
        <v>541</v>
      </c>
      <c r="D2853" s="1" t="s">
        <v>541</v>
      </c>
      <c r="E2853" s="1" t="s">
        <v>541</v>
      </c>
      <c r="F2853" t="s">
        <v>542</v>
      </c>
      <c r="G2853" t="s">
        <v>9</v>
      </c>
      <c r="H2853" t="s">
        <v>10</v>
      </c>
      <c r="I2853" t="s">
        <v>4425</v>
      </c>
      <c r="J2853">
        <v>5.39</v>
      </c>
      <c r="K2853" t="e">
        <f>IF(COUNTIF(#REF!,Tabela2[[#This Row],[IdxWspolny]])&gt;0,"ELEM_lub_PRD","TECHN")</f>
        <v>#REF!</v>
      </c>
      <c r="L2853" t="e">
        <f>IF(COUNTIF(#REF!,Tabela2[[#This Row],[KOD_PRODUKTU]])&gt;0,"ELEMENT","PRODUKT")</f>
        <v>#REF!</v>
      </c>
      <c r="M2853" t="e">
        <f>COUNTIF(#REF!,Tabela2[[#This Row],[KOD_PRODUKTU]])</f>
        <v>#REF!</v>
      </c>
    </row>
    <row r="2854" spans="1:13" x14ac:dyDescent="0.25">
      <c r="A2854" s="1" t="s">
        <v>4426</v>
      </c>
      <c r="B2854" t="s">
        <v>4427</v>
      </c>
      <c r="C2854" s="1" t="s">
        <v>1547</v>
      </c>
      <c r="D2854" s="1" t="s">
        <v>1547</v>
      </c>
      <c r="E2854" s="1" t="s">
        <v>1547</v>
      </c>
      <c r="F2854" t="s">
        <v>1548</v>
      </c>
      <c r="G2854" t="s">
        <v>216</v>
      </c>
      <c r="H2854" t="s">
        <v>5</v>
      </c>
      <c r="I2854" t="s">
        <v>3642</v>
      </c>
      <c r="J2854">
        <v>4.9000000000000004</v>
      </c>
      <c r="K2854" t="e">
        <f>IF(COUNTIF(#REF!,Tabela2[[#This Row],[IdxWspolny]])&gt;0,"ELEM_lub_PRD","TECHN")</f>
        <v>#REF!</v>
      </c>
      <c r="L2854" t="e">
        <f>IF(COUNTIF(#REF!,Tabela2[[#This Row],[KOD_PRODUKTU]])&gt;0,"ELEMENT","PRODUKT")</f>
        <v>#REF!</v>
      </c>
      <c r="M2854" t="e">
        <f>COUNTIF(#REF!,Tabela2[[#This Row],[KOD_PRODUKTU]])</f>
        <v>#REF!</v>
      </c>
    </row>
    <row r="2855" spans="1:13" x14ac:dyDescent="0.25">
      <c r="A2855" s="1" t="s">
        <v>4426</v>
      </c>
      <c r="B2855" t="s">
        <v>4427</v>
      </c>
      <c r="C2855" s="1" t="s">
        <v>7</v>
      </c>
      <c r="D2855" s="1" t="s">
        <v>7</v>
      </c>
      <c r="E2855" s="1" t="s">
        <v>7</v>
      </c>
      <c r="F2855" t="s">
        <v>8</v>
      </c>
      <c r="G2855" t="s">
        <v>9</v>
      </c>
      <c r="H2855" t="s">
        <v>10</v>
      </c>
      <c r="I2855" t="s">
        <v>594</v>
      </c>
      <c r="J2855">
        <v>11.5</v>
      </c>
      <c r="K2855" t="e">
        <f>IF(COUNTIF(#REF!,Tabela2[[#This Row],[IdxWspolny]])&gt;0,"ELEM_lub_PRD","TECHN")</f>
        <v>#REF!</v>
      </c>
      <c r="L2855" t="e">
        <f>IF(COUNTIF(#REF!,Tabela2[[#This Row],[KOD_PRODUKTU]])&gt;0,"ELEMENT","PRODUKT")</f>
        <v>#REF!</v>
      </c>
      <c r="M2855" t="e">
        <f>COUNTIF(#REF!,Tabela2[[#This Row],[KOD_PRODUKTU]])</f>
        <v>#REF!</v>
      </c>
    </row>
    <row r="2856" spans="1:13" x14ac:dyDescent="0.25">
      <c r="A2856" s="1" t="s">
        <v>4428</v>
      </c>
      <c r="B2856" t="s">
        <v>4429</v>
      </c>
      <c r="C2856" s="1" t="s">
        <v>2961</v>
      </c>
      <c r="D2856" s="1" t="s">
        <v>2961</v>
      </c>
      <c r="E2856" s="1" t="s">
        <v>2961</v>
      </c>
      <c r="F2856" t="s">
        <v>2962</v>
      </c>
      <c r="G2856" t="s">
        <v>4430</v>
      </c>
      <c r="H2856" t="s">
        <v>5</v>
      </c>
      <c r="I2856" t="s">
        <v>4431</v>
      </c>
      <c r="J2856">
        <v>1.03</v>
      </c>
      <c r="K2856" t="e">
        <f>IF(COUNTIF(#REF!,Tabela2[[#This Row],[IdxWspolny]])&gt;0,"ELEM_lub_PRD","TECHN")</f>
        <v>#REF!</v>
      </c>
      <c r="L2856" t="e">
        <f>IF(COUNTIF(#REF!,Tabela2[[#This Row],[KOD_PRODUKTU]])&gt;0,"ELEMENT","PRODUKT")</f>
        <v>#REF!</v>
      </c>
      <c r="M2856" t="e">
        <f>COUNTIF(#REF!,Tabela2[[#This Row],[KOD_PRODUKTU]])</f>
        <v>#REF!</v>
      </c>
    </row>
    <row r="2857" spans="1:13" x14ac:dyDescent="0.25">
      <c r="A2857" s="1" t="s">
        <v>4428</v>
      </c>
      <c r="B2857" t="s">
        <v>4429</v>
      </c>
      <c r="C2857" s="1" t="s">
        <v>541</v>
      </c>
      <c r="D2857" s="1" t="s">
        <v>541</v>
      </c>
      <c r="E2857" s="1" t="s">
        <v>541</v>
      </c>
      <c r="F2857" t="s">
        <v>542</v>
      </c>
      <c r="G2857" t="s">
        <v>811</v>
      </c>
      <c r="H2857" t="s">
        <v>10</v>
      </c>
      <c r="I2857" t="s">
        <v>4432</v>
      </c>
      <c r="J2857">
        <v>12.57</v>
      </c>
      <c r="K2857" t="e">
        <f>IF(COUNTIF(#REF!,Tabela2[[#This Row],[IdxWspolny]])&gt;0,"ELEM_lub_PRD","TECHN")</f>
        <v>#REF!</v>
      </c>
      <c r="L2857" t="e">
        <f>IF(COUNTIF(#REF!,Tabela2[[#This Row],[KOD_PRODUKTU]])&gt;0,"ELEMENT","PRODUKT")</f>
        <v>#REF!</v>
      </c>
      <c r="M2857" t="e">
        <f>COUNTIF(#REF!,Tabela2[[#This Row],[KOD_PRODUKTU]])</f>
        <v>#REF!</v>
      </c>
    </row>
    <row r="2858" spans="1:13" x14ac:dyDescent="0.25">
      <c r="A2858" s="1" t="s">
        <v>4433</v>
      </c>
      <c r="B2858" t="s">
        <v>4434</v>
      </c>
      <c r="C2858" s="1" t="s">
        <v>1722</v>
      </c>
      <c r="D2858" s="1" t="s">
        <v>1722</v>
      </c>
      <c r="E2858" s="1" t="s">
        <v>1722</v>
      </c>
      <c r="F2858" t="s">
        <v>1723</v>
      </c>
      <c r="G2858" t="s">
        <v>1724</v>
      </c>
      <c r="H2858" t="s">
        <v>17</v>
      </c>
      <c r="I2858" t="s">
        <v>4435</v>
      </c>
      <c r="J2858">
        <v>3.3</v>
      </c>
      <c r="K2858" t="e">
        <f>IF(COUNTIF(#REF!,Tabela2[[#This Row],[IdxWspolny]])&gt;0,"ELEM_lub_PRD","TECHN")</f>
        <v>#REF!</v>
      </c>
      <c r="L2858" t="e">
        <f>IF(COUNTIF(#REF!,Tabela2[[#This Row],[KOD_PRODUKTU]])&gt;0,"ELEMENT","PRODUKT")</f>
        <v>#REF!</v>
      </c>
      <c r="M2858" t="e">
        <f>COUNTIF(#REF!,Tabela2[[#This Row],[KOD_PRODUKTU]])</f>
        <v>#REF!</v>
      </c>
    </row>
    <row r="2859" spans="1:13" x14ac:dyDescent="0.25">
      <c r="A2859" s="1" t="s">
        <v>4433</v>
      </c>
      <c r="B2859" t="s">
        <v>4434</v>
      </c>
      <c r="C2859" s="1" t="s">
        <v>7</v>
      </c>
      <c r="D2859" s="1" t="s">
        <v>7</v>
      </c>
      <c r="E2859" s="1" t="s">
        <v>7</v>
      </c>
      <c r="F2859" t="s">
        <v>8</v>
      </c>
      <c r="G2859" t="s">
        <v>9</v>
      </c>
      <c r="H2859" t="s">
        <v>10</v>
      </c>
      <c r="I2859" t="s">
        <v>601</v>
      </c>
      <c r="J2859">
        <v>6.9</v>
      </c>
      <c r="K2859" t="e">
        <f>IF(COUNTIF(#REF!,Tabela2[[#This Row],[IdxWspolny]])&gt;0,"ELEM_lub_PRD","TECHN")</f>
        <v>#REF!</v>
      </c>
      <c r="L2859" t="e">
        <f>IF(COUNTIF(#REF!,Tabela2[[#This Row],[KOD_PRODUKTU]])&gt;0,"ELEMENT","PRODUKT")</f>
        <v>#REF!</v>
      </c>
      <c r="M2859" t="e">
        <f>COUNTIF(#REF!,Tabela2[[#This Row],[KOD_PRODUKTU]])</f>
        <v>#REF!</v>
      </c>
    </row>
    <row r="2860" spans="1:13" x14ac:dyDescent="0.25">
      <c r="A2860" s="1" t="s">
        <v>4436</v>
      </c>
      <c r="B2860" t="s">
        <v>4437</v>
      </c>
      <c r="C2860" s="1" t="s">
        <v>22</v>
      </c>
      <c r="D2860" s="1" t="s">
        <v>22</v>
      </c>
      <c r="E2860" s="1" t="s">
        <v>22</v>
      </c>
      <c r="F2860" t="s">
        <v>23</v>
      </c>
      <c r="G2860" t="s">
        <v>24</v>
      </c>
      <c r="H2860" t="s">
        <v>17</v>
      </c>
      <c r="I2860" t="s">
        <v>4438</v>
      </c>
      <c r="J2860">
        <v>69.599999999999994</v>
      </c>
      <c r="K2860" t="e">
        <f>IF(COUNTIF(#REF!,Tabela2[[#This Row],[IdxWspolny]])&gt;0,"ELEM_lub_PRD","TECHN")</f>
        <v>#REF!</v>
      </c>
      <c r="L2860" t="e">
        <f>IF(COUNTIF(#REF!,Tabela2[[#This Row],[KOD_PRODUKTU]])&gt;0,"ELEMENT","PRODUKT")</f>
        <v>#REF!</v>
      </c>
      <c r="M2860" t="e">
        <f>COUNTIF(#REF!,Tabela2[[#This Row],[KOD_PRODUKTU]])</f>
        <v>#REF!</v>
      </c>
    </row>
    <row r="2861" spans="1:13" x14ac:dyDescent="0.25">
      <c r="A2861" s="1" t="s">
        <v>4436</v>
      </c>
      <c r="B2861" t="s">
        <v>4437</v>
      </c>
      <c r="C2861" s="1" t="s">
        <v>7</v>
      </c>
      <c r="D2861" s="1" t="s">
        <v>7</v>
      </c>
      <c r="E2861" s="1" t="s">
        <v>7</v>
      </c>
      <c r="F2861" t="s">
        <v>8</v>
      </c>
      <c r="G2861" t="s">
        <v>9</v>
      </c>
      <c r="H2861" t="s">
        <v>10</v>
      </c>
      <c r="I2861" t="s">
        <v>860</v>
      </c>
      <c r="J2861">
        <v>23</v>
      </c>
      <c r="K2861" t="e">
        <f>IF(COUNTIF(#REF!,Tabela2[[#This Row],[IdxWspolny]])&gt;0,"ELEM_lub_PRD","TECHN")</f>
        <v>#REF!</v>
      </c>
      <c r="L2861" t="e">
        <f>IF(COUNTIF(#REF!,Tabela2[[#This Row],[KOD_PRODUKTU]])&gt;0,"ELEMENT","PRODUKT")</f>
        <v>#REF!</v>
      </c>
      <c r="M2861" t="e">
        <f>COUNTIF(#REF!,Tabela2[[#This Row],[KOD_PRODUKTU]])</f>
        <v>#REF!</v>
      </c>
    </row>
    <row r="2862" spans="1:13" x14ac:dyDescent="0.25">
      <c r="A2862" s="1" t="s">
        <v>355</v>
      </c>
      <c r="B2862" t="s">
        <v>356</v>
      </c>
      <c r="C2862" s="1" t="s">
        <v>4439</v>
      </c>
      <c r="D2862" s="1" t="s">
        <v>4439</v>
      </c>
      <c r="E2862" s="1" t="s">
        <v>4439</v>
      </c>
      <c r="F2862" t="s">
        <v>4440</v>
      </c>
      <c r="G2862" t="s">
        <v>1043</v>
      </c>
      <c r="H2862" t="s">
        <v>17</v>
      </c>
      <c r="I2862" t="s">
        <v>607</v>
      </c>
      <c r="J2862">
        <v>11.8</v>
      </c>
      <c r="K2862" t="e">
        <f>IF(COUNTIF(#REF!,Tabela2[[#This Row],[IdxWspolny]])&gt;0,"ELEM_lub_PRD","TECHN")</f>
        <v>#REF!</v>
      </c>
      <c r="L2862" t="e">
        <f>IF(COUNTIF(#REF!,Tabela2[[#This Row],[KOD_PRODUKTU]])&gt;0,"ELEMENT","PRODUKT")</f>
        <v>#REF!</v>
      </c>
      <c r="M2862" t="e">
        <f>COUNTIF(#REF!,Tabela2[[#This Row],[KOD_PRODUKTU]])</f>
        <v>#REF!</v>
      </c>
    </row>
    <row r="2863" spans="1:13" x14ac:dyDescent="0.25">
      <c r="A2863" s="1" t="s">
        <v>355</v>
      </c>
      <c r="B2863" t="s">
        <v>356</v>
      </c>
      <c r="C2863" s="1" t="s">
        <v>7</v>
      </c>
      <c r="D2863" s="1" t="s">
        <v>7</v>
      </c>
      <c r="E2863" s="1" t="s">
        <v>7</v>
      </c>
      <c r="F2863" t="s">
        <v>8</v>
      </c>
      <c r="G2863" t="s">
        <v>9</v>
      </c>
      <c r="H2863" t="s">
        <v>10</v>
      </c>
      <c r="I2863" t="s">
        <v>601</v>
      </c>
      <c r="J2863">
        <v>6.9</v>
      </c>
      <c r="K2863" t="e">
        <f>IF(COUNTIF(#REF!,Tabela2[[#This Row],[IdxWspolny]])&gt;0,"ELEM_lub_PRD","TECHN")</f>
        <v>#REF!</v>
      </c>
      <c r="L2863" t="e">
        <f>IF(COUNTIF(#REF!,Tabela2[[#This Row],[KOD_PRODUKTU]])&gt;0,"ELEMENT","PRODUKT")</f>
        <v>#REF!</v>
      </c>
      <c r="M2863" t="e">
        <f>COUNTIF(#REF!,Tabela2[[#This Row],[KOD_PRODUKTU]])</f>
        <v>#REF!</v>
      </c>
    </row>
    <row r="2864" spans="1:13" x14ac:dyDescent="0.25">
      <c r="A2864" s="1" t="s">
        <v>358</v>
      </c>
      <c r="B2864" t="s">
        <v>359</v>
      </c>
      <c r="C2864" s="1" t="s">
        <v>4439</v>
      </c>
      <c r="D2864" s="1" t="s">
        <v>4439</v>
      </c>
      <c r="E2864" s="1" t="s">
        <v>4439</v>
      </c>
      <c r="F2864" t="s">
        <v>4440</v>
      </c>
      <c r="G2864" t="s">
        <v>1043</v>
      </c>
      <c r="H2864" t="s">
        <v>17</v>
      </c>
      <c r="I2864" t="s">
        <v>4441</v>
      </c>
      <c r="J2864">
        <v>10.33</v>
      </c>
      <c r="K2864" t="e">
        <f>IF(COUNTIF(#REF!,Tabela2[[#This Row],[IdxWspolny]])&gt;0,"ELEM_lub_PRD","TECHN")</f>
        <v>#REF!</v>
      </c>
      <c r="L2864" t="e">
        <f>IF(COUNTIF(#REF!,Tabela2[[#This Row],[KOD_PRODUKTU]])&gt;0,"ELEMENT","PRODUKT")</f>
        <v>#REF!</v>
      </c>
      <c r="M2864" t="e">
        <f>COUNTIF(#REF!,Tabela2[[#This Row],[KOD_PRODUKTU]])</f>
        <v>#REF!</v>
      </c>
    </row>
    <row r="2865" spans="1:13" x14ac:dyDescent="0.25">
      <c r="A2865" s="1" t="s">
        <v>358</v>
      </c>
      <c r="B2865" t="s">
        <v>359</v>
      </c>
      <c r="C2865" s="1" t="s">
        <v>7</v>
      </c>
      <c r="D2865" s="1" t="s">
        <v>7</v>
      </c>
      <c r="E2865" s="1" t="s">
        <v>7</v>
      </c>
      <c r="F2865" t="s">
        <v>8</v>
      </c>
      <c r="G2865" t="s">
        <v>9</v>
      </c>
      <c r="H2865" t="s">
        <v>10</v>
      </c>
      <c r="I2865" t="s">
        <v>601</v>
      </c>
      <c r="J2865">
        <v>6.9</v>
      </c>
      <c r="K2865" t="e">
        <f>IF(COUNTIF(#REF!,Tabela2[[#This Row],[IdxWspolny]])&gt;0,"ELEM_lub_PRD","TECHN")</f>
        <v>#REF!</v>
      </c>
      <c r="L2865" t="e">
        <f>IF(COUNTIF(#REF!,Tabela2[[#This Row],[KOD_PRODUKTU]])&gt;0,"ELEMENT","PRODUKT")</f>
        <v>#REF!</v>
      </c>
      <c r="M2865" t="e">
        <f>COUNTIF(#REF!,Tabela2[[#This Row],[KOD_PRODUKTU]])</f>
        <v>#REF!</v>
      </c>
    </row>
    <row r="2866" spans="1:13" x14ac:dyDescent="0.25">
      <c r="A2866" s="1" t="s">
        <v>361</v>
      </c>
      <c r="B2866" t="s">
        <v>362</v>
      </c>
      <c r="C2866" s="1" t="s">
        <v>4439</v>
      </c>
      <c r="D2866" s="1" t="s">
        <v>4439</v>
      </c>
      <c r="E2866" s="1" t="s">
        <v>4439</v>
      </c>
      <c r="F2866" t="s">
        <v>4440</v>
      </c>
      <c r="G2866" t="s">
        <v>1043</v>
      </c>
      <c r="H2866" t="s">
        <v>17</v>
      </c>
      <c r="I2866" t="s">
        <v>4442</v>
      </c>
      <c r="J2866">
        <v>5.62</v>
      </c>
      <c r="K2866" t="e">
        <f>IF(COUNTIF(#REF!,Tabela2[[#This Row],[IdxWspolny]])&gt;0,"ELEM_lub_PRD","TECHN")</f>
        <v>#REF!</v>
      </c>
      <c r="L2866" t="e">
        <f>IF(COUNTIF(#REF!,Tabela2[[#This Row],[KOD_PRODUKTU]])&gt;0,"ELEMENT","PRODUKT")</f>
        <v>#REF!</v>
      </c>
      <c r="M2866" t="e">
        <f>COUNTIF(#REF!,Tabela2[[#This Row],[KOD_PRODUKTU]])</f>
        <v>#REF!</v>
      </c>
    </row>
    <row r="2867" spans="1:13" x14ac:dyDescent="0.25">
      <c r="A2867" s="1" t="s">
        <v>361</v>
      </c>
      <c r="B2867" t="s">
        <v>362</v>
      </c>
      <c r="C2867" s="1" t="s">
        <v>7</v>
      </c>
      <c r="D2867" s="1" t="s">
        <v>7</v>
      </c>
      <c r="E2867" s="1" t="s">
        <v>7</v>
      </c>
      <c r="F2867" t="s">
        <v>8</v>
      </c>
      <c r="G2867" t="s">
        <v>9</v>
      </c>
      <c r="H2867" t="s">
        <v>10</v>
      </c>
      <c r="I2867" t="s">
        <v>601</v>
      </c>
      <c r="J2867">
        <v>6.9</v>
      </c>
      <c r="K2867" t="e">
        <f>IF(COUNTIF(#REF!,Tabela2[[#This Row],[IdxWspolny]])&gt;0,"ELEM_lub_PRD","TECHN")</f>
        <v>#REF!</v>
      </c>
      <c r="L2867" t="e">
        <f>IF(COUNTIF(#REF!,Tabela2[[#This Row],[KOD_PRODUKTU]])&gt;0,"ELEMENT","PRODUKT")</f>
        <v>#REF!</v>
      </c>
      <c r="M2867" t="e">
        <f>COUNTIF(#REF!,Tabela2[[#This Row],[KOD_PRODUKTU]])</f>
        <v>#REF!</v>
      </c>
    </row>
    <row r="2868" spans="1:13" x14ac:dyDescent="0.25">
      <c r="A2868" s="1" t="s">
        <v>364</v>
      </c>
      <c r="B2868" t="s">
        <v>365</v>
      </c>
      <c r="C2868" s="1" t="s">
        <v>4439</v>
      </c>
      <c r="D2868" s="1" t="s">
        <v>4439</v>
      </c>
      <c r="E2868" s="1" t="s">
        <v>4439</v>
      </c>
      <c r="F2868" t="s">
        <v>4440</v>
      </c>
      <c r="G2868" t="s">
        <v>1043</v>
      </c>
      <c r="H2868" t="s">
        <v>17</v>
      </c>
      <c r="I2868" t="s">
        <v>4443</v>
      </c>
      <c r="J2868">
        <v>3.55</v>
      </c>
      <c r="K2868" t="e">
        <f>IF(COUNTIF(#REF!,Tabela2[[#This Row],[IdxWspolny]])&gt;0,"ELEM_lub_PRD","TECHN")</f>
        <v>#REF!</v>
      </c>
      <c r="L2868" t="e">
        <f>IF(COUNTIF(#REF!,Tabela2[[#This Row],[KOD_PRODUKTU]])&gt;0,"ELEMENT","PRODUKT")</f>
        <v>#REF!</v>
      </c>
      <c r="M2868" t="e">
        <f>COUNTIF(#REF!,Tabela2[[#This Row],[KOD_PRODUKTU]])</f>
        <v>#REF!</v>
      </c>
    </row>
    <row r="2869" spans="1:13" x14ac:dyDescent="0.25">
      <c r="A2869" s="1" t="s">
        <v>364</v>
      </c>
      <c r="B2869" t="s">
        <v>365</v>
      </c>
      <c r="C2869" s="1" t="s">
        <v>7</v>
      </c>
      <c r="D2869" s="1" t="s">
        <v>7</v>
      </c>
      <c r="E2869" s="1" t="s">
        <v>7</v>
      </c>
      <c r="F2869" t="s">
        <v>8</v>
      </c>
      <c r="G2869" t="s">
        <v>9</v>
      </c>
      <c r="H2869" t="s">
        <v>10</v>
      </c>
      <c r="I2869" t="s">
        <v>601</v>
      </c>
      <c r="J2869">
        <v>6.9</v>
      </c>
      <c r="K2869" t="e">
        <f>IF(COUNTIF(#REF!,Tabela2[[#This Row],[IdxWspolny]])&gt;0,"ELEM_lub_PRD","TECHN")</f>
        <v>#REF!</v>
      </c>
      <c r="L2869" t="e">
        <f>IF(COUNTIF(#REF!,Tabela2[[#This Row],[KOD_PRODUKTU]])&gt;0,"ELEMENT","PRODUKT")</f>
        <v>#REF!</v>
      </c>
      <c r="M2869" t="e">
        <f>COUNTIF(#REF!,Tabela2[[#This Row],[KOD_PRODUKTU]])</f>
        <v>#REF!</v>
      </c>
    </row>
    <row r="2870" spans="1:13" x14ac:dyDescent="0.25">
      <c r="A2870" s="1" t="s">
        <v>4444</v>
      </c>
      <c r="B2870" t="s">
        <v>4445</v>
      </c>
      <c r="C2870" s="1" t="s">
        <v>684</v>
      </c>
      <c r="D2870" s="1" t="s">
        <v>684</v>
      </c>
      <c r="E2870" s="1" t="s">
        <v>684</v>
      </c>
      <c r="F2870" t="s">
        <v>685</v>
      </c>
      <c r="G2870" t="s">
        <v>686</v>
      </c>
      <c r="H2870" t="s">
        <v>49</v>
      </c>
      <c r="I2870" t="s">
        <v>4446</v>
      </c>
      <c r="J2870">
        <v>70.400000000000006</v>
      </c>
      <c r="K2870" t="e">
        <f>IF(COUNTIF(#REF!,Tabela2[[#This Row],[IdxWspolny]])&gt;0,"ELEM_lub_PRD","TECHN")</f>
        <v>#REF!</v>
      </c>
      <c r="L2870" t="e">
        <f>IF(COUNTIF(#REF!,Tabela2[[#This Row],[KOD_PRODUKTU]])&gt;0,"ELEMENT","PRODUKT")</f>
        <v>#REF!</v>
      </c>
      <c r="M2870" t="e">
        <f>COUNTIF(#REF!,Tabela2[[#This Row],[KOD_PRODUKTU]])</f>
        <v>#REF!</v>
      </c>
    </row>
    <row r="2871" spans="1:13" x14ac:dyDescent="0.25">
      <c r="A2871" s="1" t="s">
        <v>4444</v>
      </c>
      <c r="B2871" t="s">
        <v>4445</v>
      </c>
      <c r="C2871" s="1" t="s">
        <v>7</v>
      </c>
      <c r="D2871" s="1" t="s">
        <v>7</v>
      </c>
      <c r="E2871" s="1" t="s">
        <v>7</v>
      </c>
      <c r="F2871" t="s">
        <v>8</v>
      </c>
      <c r="G2871" t="s">
        <v>9</v>
      </c>
      <c r="H2871" t="s">
        <v>10</v>
      </c>
      <c r="I2871" t="s">
        <v>4447</v>
      </c>
      <c r="J2871">
        <v>48.23</v>
      </c>
      <c r="K2871" t="e">
        <f>IF(COUNTIF(#REF!,Tabela2[[#This Row],[IdxWspolny]])&gt;0,"ELEM_lub_PRD","TECHN")</f>
        <v>#REF!</v>
      </c>
      <c r="L2871" t="e">
        <f>IF(COUNTIF(#REF!,Tabela2[[#This Row],[KOD_PRODUKTU]])&gt;0,"ELEMENT","PRODUKT")</f>
        <v>#REF!</v>
      </c>
      <c r="M2871" t="e">
        <f>COUNTIF(#REF!,Tabela2[[#This Row],[KOD_PRODUKTU]])</f>
        <v>#REF!</v>
      </c>
    </row>
    <row r="2872" spans="1:13" x14ac:dyDescent="0.25">
      <c r="A2872" s="1" t="s">
        <v>4448</v>
      </c>
      <c r="B2872" t="s">
        <v>4449</v>
      </c>
      <c r="C2872" s="1" t="s">
        <v>684</v>
      </c>
      <c r="D2872" s="1" t="s">
        <v>684</v>
      </c>
      <c r="E2872" s="1" t="s">
        <v>684</v>
      </c>
      <c r="F2872" t="s">
        <v>685</v>
      </c>
      <c r="G2872" t="s">
        <v>686</v>
      </c>
      <c r="H2872" t="s">
        <v>49</v>
      </c>
      <c r="I2872" t="s">
        <v>4450</v>
      </c>
      <c r="J2872">
        <v>79.2</v>
      </c>
      <c r="K2872" t="e">
        <f>IF(COUNTIF(#REF!,Tabela2[[#This Row],[IdxWspolny]])&gt;0,"ELEM_lub_PRD","TECHN")</f>
        <v>#REF!</v>
      </c>
      <c r="L2872" t="e">
        <f>IF(COUNTIF(#REF!,Tabela2[[#This Row],[KOD_PRODUKTU]])&gt;0,"ELEMENT","PRODUKT")</f>
        <v>#REF!</v>
      </c>
      <c r="M2872" t="e">
        <f>COUNTIF(#REF!,Tabela2[[#This Row],[KOD_PRODUKTU]])</f>
        <v>#REF!</v>
      </c>
    </row>
    <row r="2873" spans="1:13" x14ac:dyDescent="0.25">
      <c r="A2873" s="1" t="s">
        <v>4448</v>
      </c>
      <c r="B2873" t="s">
        <v>4449</v>
      </c>
      <c r="C2873" s="1" t="s">
        <v>7</v>
      </c>
      <c r="D2873" s="1" t="s">
        <v>7</v>
      </c>
      <c r="E2873" s="1" t="s">
        <v>7</v>
      </c>
      <c r="F2873" t="s">
        <v>8</v>
      </c>
      <c r="G2873" t="s">
        <v>9</v>
      </c>
      <c r="H2873" t="s">
        <v>10</v>
      </c>
      <c r="I2873" t="s">
        <v>4451</v>
      </c>
      <c r="J2873">
        <v>24.87</v>
      </c>
      <c r="K2873" t="e">
        <f>IF(COUNTIF(#REF!,Tabela2[[#This Row],[IdxWspolny]])&gt;0,"ELEM_lub_PRD","TECHN")</f>
        <v>#REF!</v>
      </c>
      <c r="L2873" t="e">
        <f>IF(COUNTIF(#REF!,Tabela2[[#This Row],[KOD_PRODUKTU]])&gt;0,"ELEMENT","PRODUKT")</f>
        <v>#REF!</v>
      </c>
      <c r="M2873" t="e">
        <f>COUNTIF(#REF!,Tabela2[[#This Row],[KOD_PRODUKTU]])</f>
        <v>#REF!</v>
      </c>
    </row>
    <row r="2874" spans="1:13" x14ac:dyDescent="0.25">
      <c r="A2874" s="1" t="s">
        <v>4452</v>
      </c>
      <c r="B2874" t="s">
        <v>4453</v>
      </c>
      <c r="C2874" s="1" t="s">
        <v>684</v>
      </c>
      <c r="D2874" s="1" t="s">
        <v>684</v>
      </c>
      <c r="E2874" s="1" t="s">
        <v>684</v>
      </c>
      <c r="F2874" t="s">
        <v>685</v>
      </c>
      <c r="G2874" t="s">
        <v>686</v>
      </c>
      <c r="H2874" t="s">
        <v>49</v>
      </c>
      <c r="I2874" t="s">
        <v>4454</v>
      </c>
      <c r="J2874">
        <v>242</v>
      </c>
      <c r="K2874" t="e">
        <f>IF(COUNTIF(#REF!,Tabela2[[#This Row],[IdxWspolny]])&gt;0,"ELEM_lub_PRD","TECHN")</f>
        <v>#REF!</v>
      </c>
      <c r="L2874" t="e">
        <f>IF(COUNTIF(#REF!,Tabela2[[#This Row],[KOD_PRODUKTU]])&gt;0,"ELEMENT","PRODUKT")</f>
        <v>#REF!</v>
      </c>
      <c r="M2874" t="e">
        <f>COUNTIF(#REF!,Tabela2[[#This Row],[KOD_PRODUKTU]])</f>
        <v>#REF!</v>
      </c>
    </row>
    <row r="2875" spans="1:13" x14ac:dyDescent="0.25">
      <c r="A2875" s="1" t="s">
        <v>4452</v>
      </c>
      <c r="B2875" t="s">
        <v>4453</v>
      </c>
      <c r="C2875" s="1" t="s">
        <v>7</v>
      </c>
      <c r="D2875" s="1" t="s">
        <v>7</v>
      </c>
      <c r="E2875" s="1" t="s">
        <v>7</v>
      </c>
      <c r="F2875" t="s">
        <v>8</v>
      </c>
      <c r="G2875" t="s">
        <v>9</v>
      </c>
      <c r="H2875" t="s">
        <v>10</v>
      </c>
      <c r="I2875" t="s">
        <v>4455</v>
      </c>
      <c r="J2875">
        <v>78.73</v>
      </c>
      <c r="K2875" t="e">
        <f>IF(COUNTIF(#REF!,Tabela2[[#This Row],[IdxWspolny]])&gt;0,"ELEM_lub_PRD","TECHN")</f>
        <v>#REF!</v>
      </c>
      <c r="L2875" t="e">
        <f>IF(COUNTIF(#REF!,Tabela2[[#This Row],[KOD_PRODUKTU]])&gt;0,"ELEMENT","PRODUKT")</f>
        <v>#REF!</v>
      </c>
      <c r="M2875" t="e">
        <f>COUNTIF(#REF!,Tabela2[[#This Row],[KOD_PRODUKTU]])</f>
        <v>#REF!</v>
      </c>
    </row>
    <row r="2876" spans="1:13" x14ac:dyDescent="0.25">
      <c r="A2876" s="1" t="s">
        <v>4456</v>
      </c>
      <c r="B2876" t="s">
        <v>4457</v>
      </c>
      <c r="C2876" s="1" t="s">
        <v>1249</v>
      </c>
      <c r="D2876" s="1" t="s">
        <v>1249</v>
      </c>
      <c r="E2876" s="1" t="s">
        <v>1249</v>
      </c>
      <c r="F2876" t="s">
        <v>1250</v>
      </c>
      <c r="G2876" t="s">
        <v>1251</v>
      </c>
      <c r="H2876" t="s">
        <v>1252</v>
      </c>
      <c r="I2876" t="s">
        <v>4458</v>
      </c>
      <c r="J2876">
        <v>122.28</v>
      </c>
      <c r="K2876" t="e">
        <f>IF(COUNTIF(#REF!,Tabela2[[#This Row],[IdxWspolny]])&gt;0,"ELEM_lub_PRD","TECHN")</f>
        <v>#REF!</v>
      </c>
      <c r="L2876" t="e">
        <f>IF(COUNTIF(#REF!,Tabela2[[#This Row],[KOD_PRODUKTU]])&gt;0,"ELEMENT","PRODUKT")</f>
        <v>#REF!</v>
      </c>
      <c r="M2876" t="e">
        <f>COUNTIF(#REF!,Tabela2[[#This Row],[KOD_PRODUKTU]])</f>
        <v>#REF!</v>
      </c>
    </row>
    <row r="2877" spans="1:13" x14ac:dyDescent="0.25">
      <c r="A2877" s="1" t="s">
        <v>4456</v>
      </c>
      <c r="B2877" t="s">
        <v>4457</v>
      </c>
      <c r="C2877" s="1" t="s">
        <v>7</v>
      </c>
      <c r="D2877" s="1" t="s">
        <v>7</v>
      </c>
      <c r="E2877" s="1" t="s">
        <v>7</v>
      </c>
      <c r="F2877" t="s">
        <v>8</v>
      </c>
      <c r="G2877" t="s">
        <v>9</v>
      </c>
      <c r="H2877" t="s">
        <v>10</v>
      </c>
      <c r="I2877" t="s">
        <v>4459</v>
      </c>
      <c r="J2877">
        <v>60.33</v>
      </c>
      <c r="K2877" t="e">
        <f>IF(COUNTIF(#REF!,Tabela2[[#This Row],[IdxWspolny]])&gt;0,"ELEM_lub_PRD","TECHN")</f>
        <v>#REF!</v>
      </c>
      <c r="L2877" t="e">
        <f>IF(COUNTIF(#REF!,Tabela2[[#This Row],[KOD_PRODUKTU]])&gt;0,"ELEMENT","PRODUKT")</f>
        <v>#REF!</v>
      </c>
      <c r="M2877" t="e">
        <f>COUNTIF(#REF!,Tabela2[[#This Row],[KOD_PRODUKTU]])</f>
        <v>#REF!</v>
      </c>
    </row>
    <row r="2878" spans="1:13" x14ac:dyDescent="0.25">
      <c r="A2878" s="1" t="s">
        <v>4460</v>
      </c>
      <c r="B2878" t="s">
        <v>4461</v>
      </c>
      <c r="C2878" s="1" t="s">
        <v>1249</v>
      </c>
      <c r="D2878" s="1" t="s">
        <v>1249</v>
      </c>
      <c r="E2878" s="1" t="s">
        <v>1249</v>
      </c>
      <c r="F2878" t="s">
        <v>1250</v>
      </c>
      <c r="G2878" t="s">
        <v>1251</v>
      </c>
      <c r="H2878" t="s">
        <v>1252</v>
      </c>
      <c r="I2878" t="s">
        <v>4462</v>
      </c>
      <c r="J2878">
        <v>144.36000000000001</v>
      </c>
      <c r="K2878" t="e">
        <f>IF(COUNTIF(#REF!,Tabela2[[#This Row],[IdxWspolny]])&gt;0,"ELEM_lub_PRD","TECHN")</f>
        <v>#REF!</v>
      </c>
      <c r="L2878" t="e">
        <f>IF(COUNTIF(#REF!,Tabela2[[#This Row],[KOD_PRODUKTU]])&gt;0,"ELEMENT","PRODUKT")</f>
        <v>#REF!</v>
      </c>
      <c r="M2878" t="e">
        <f>COUNTIF(#REF!,Tabela2[[#This Row],[KOD_PRODUKTU]])</f>
        <v>#REF!</v>
      </c>
    </row>
    <row r="2879" spans="1:13" x14ac:dyDescent="0.25">
      <c r="A2879" s="1" t="s">
        <v>4460</v>
      </c>
      <c r="B2879" t="s">
        <v>4461</v>
      </c>
      <c r="C2879" s="1" t="s">
        <v>7</v>
      </c>
      <c r="D2879" s="1" t="s">
        <v>7</v>
      </c>
      <c r="E2879" s="1" t="s">
        <v>7</v>
      </c>
      <c r="F2879" t="s">
        <v>8</v>
      </c>
      <c r="G2879" t="s">
        <v>9</v>
      </c>
      <c r="H2879" t="s">
        <v>10</v>
      </c>
      <c r="I2879" t="s">
        <v>4463</v>
      </c>
      <c r="J2879">
        <v>26.55</v>
      </c>
      <c r="K2879" t="e">
        <f>IF(COUNTIF(#REF!,Tabela2[[#This Row],[IdxWspolny]])&gt;0,"ELEM_lub_PRD","TECHN")</f>
        <v>#REF!</v>
      </c>
      <c r="L2879" t="e">
        <f>IF(COUNTIF(#REF!,Tabela2[[#This Row],[KOD_PRODUKTU]])&gt;0,"ELEMENT","PRODUKT")</f>
        <v>#REF!</v>
      </c>
      <c r="M2879" t="e">
        <f>COUNTIF(#REF!,Tabela2[[#This Row],[KOD_PRODUKTU]])</f>
        <v>#REF!</v>
      </c>
    </row>
    <row r="2880" spans="1:13" x14ac:dyDescent="0.25">
      <c r="A2880" s="1" t="s">
        <v>4464</v>
      </c>
      <c r="B2880" t="s">
        <v>4465</v>
      </c>
      <c r="C2880" s="1" t="s">
        <v>7</v>
      </c>
      <c r="D2880" s="1" t="s">
        <v>7</v>
      </c>
      <c r="E2880" s="1" t="s">
        <v>7</v>
      </c>
      <c r="F2880" t="s">
        <v>8</v>
      </c>
      <c r="G2880" t="s">
        <v>9</v>
      </c>
      <c r="H2880" t="s">
        <v>10</v>
      </c>
      <c r="I2880" t="s">
        <v>3593</v>
      </c>
      <c r="J2880">
        <v>5.26</v>
      </c>
      <c r="K2880" t="e">
        <f>IF(COUNTIF(#REF!,Tabela2[[#This Row],[IdxWspolny]])&gt;0,"ELEM_lub_PRD","TECHN")</f>
        <v>#REF!</v>
      </c>
      <c r="L2880" t="e">
        <f>IF(COUNTIF(#REF!,Tabela2[[#This Row],[KOD_PRODUKTU]])&gt;0,"ELEMENT","PRODUKT")</f>
        <v>#REF!</v>
      </c>
      <c r="M2880" t="e">
        <f>COUNTIF(#REF!,Tabela2[[#This Row],[KOD_PRODUKTU]])</f>
        <v>#REF!</v>
      </c>
    </row>
    <row r="2881" spans="1:14" x14ac:dyDescent="0.25">
      <c r="A2881" s="1" t="s">
        <v>4466</v>
      </c>
      <c r="B2881" t="s">
        <v>4467</v>
      </c>
      <c r="C2881" s="1" t="s">
        <v>1378</v>
      </c>
      <c r="D2881" s="1" t="s">
        <v>1378</v>
      </c>
      <c r="E2881" s="1" t="s">
        <v>1378</v>
      </c>
      <c r="F2881" t="s">
        <v>1379</v>
      </c>
      <c r="G2881" t="s">
        <v>1043</v>
      </c>
      <c r="H2881" t="s">
        <v>5</v>
      </c>
      <c r="I2881" t="s">
        <v>4468</v>
      </c>
      <c r="J2881">
        <v>0.2</v>
      </c>
      <c r="K2881" t="e">
        <f>IF(COUNTIF(#REF!,Tabela2[[#This Row],[IdxWspolny]])&gt;0,"ELEM_lub_PRD","TECHN")</f>
        <v>#REF!</v>
      </c>
      <c r="L2881" t="e">
        <f>IF(COUNTIF(#REF!,Tabela2[[#This Row],[KOD_PRODUKTU]])&gt;0,"ELEMENT","PRODUKT")</f>
        <v>#REF!</v>
      </c>
      <c r="M2881" t="e">
        <f>COUNTIF(#REF!,Tabela2[[#This Row],[KOD_PRODUKTU]])</f>
        <v>#REF!</v>
      </c>
    </row>
    <row r="2882" spans="1:14" x14ac:dyDescent="0.25">
      <c r="A2882" s="1" t="s">
        <v>4466</v>
      </c>
      <c r="B2882" t="s">
        <v>4467</v>
      </c>
      <c r="C2882" s="1" t="s">
        <v>7</v>
      </c>
      <c r="D2882" s="1" t="s">
        <v>7</v>
      </c>
      <c r="E2882" s="1" t="s">
        <v>7</v>
      </c>
      <c r="F2882" t="s">
        <v>8</v>
      </c>
      <c r="G2882" t="s">
        <v>9</v>
      </c>
      <c r="H2882" t="s">
        <v>10</v>
      </c>
      <c r="I2882" t="s">
        <v>4469</v>
      </c>
      <c r="J2882">
        <v>1.71</v>
      </c>
      <c r="K2882" t="e">
        <f>IF(COUNTIF(#REF!,Tabela2[[#This Row],[IdxWspolny]])&gt;0,"ELEM_lub_PRD","TECHN")</f>
        <v>#REF!</v>
      </c>
      <c r="L2882" t="e">
        <f>IF(COUNTIF(#REF!,Tabela2[[#This Row],[KOD_PRODUKTU]])&gt;0,"ELEMENT","PRODUKT")</f>
        <v>#REF!</v>
      </c>
      <c r="M2882" t="e">
        <f>COUNTIF(#REF!,Tabela2[[#This Row],[KOD_PRODUKTU]])</f>
        <v>#REF!</v>
      </c>
    </row>
    <row r="2883" spans="1:14" x14ac:dyDescent="0.25">
      <c r="A2883" s="1" t="s">
        <v>4470</v>
      </c>
      <c r="B2883" t="s">
        <v>4471</v>
      </c>
      <c r="C2883" s="1" t="s">
        <v>4472</v>
      </c>
      <c r="D2883" s="1" t="s">
        <v>4472</v>
      </c>
      <c r="E2883" s="1" t="s">
        <v>4472</v>
      </c>
      <c r="F2883" t="s">
        <v>4473</v>
      </c>
      <c r="G2883" t="s">
        <v>4474</v>
      </c>
      <c r="H2883" t="s">
        <v>17</v>
      </c>
      <c r="I2883" t="s">
        <v>4475</v>
      </c>
      <c r="J2883">
        <v>81.59</v>
      </c>
      <c r="K2883" t="e">
        <f>IF(COUNTIF(#REF!,Tabela2[[#This Row],[IdxWspolny]])&gt;0,"ELEM_lub_PRD","TECHN")</f>
        <v>#REF!</v>
      </c>
      <c r="L2883" t="e">
        <f>IF(COUNTIF(#REF!,Tabela2[[#This Row],[KOD_PRODUKTU]])&gt;0,"ELEMENT","PRODUKT")</f>
        <v>#REF!</v>
      </c>
      <c r="M2883" t="e">
        <f>COUNTIF(#REF!,Tabela2[[#This Row],[KOD_PRODUKTU]])</f>
        <v>#REF!</v>
      </c>
    </row>
    <row r="2884" spans="1:14" x14ac:dyDescent="0.25">
      <c r="A2884" s="1" t="s">
        <v>4470</v>
      </c>
      <c r="B2884" t="s">
        <v>4471</v>
      </c>
      <c r="C2884" s="1" t="s">
        <v>3568</v>
      </c>
      <c r="D2884" s="1" t="s">
        <v>3568</v>
      </c>
      <c r="E2884" s="1" t="s">
        <v>3568</v>
      </c>
      <c r="F2884" t="s">
        <v>3569</v>
      </c>
      <c r="G2884" t="s">
        <v>3570</v>
      </c>
      <c r="H2884" t="s">
        <v>17</v>
      </c>
      <c r="I2884" t="s">
        <v>4476</v>
      </c>
      <c r="J2884">
        <v>1.68</v>
      </c>
      <c r="K2884" t="e">
        <f>IF(COUNTIF(#REF!,Tabela2[[#This Row],[IdxWspolny]])&gt;0,"ELEM_lub_PRD","TECHN")</f>
        <v>#REF!</v>
      </c>
      <c r="L2884" t="e">
        <f>IF(COUNTIF(#REF!,Tabela2[[#This Row],[KOD_PRODUKTU]])&gt;0,"ELEMENT","PRODUKT")</f>
        <v>#REF!</v>
      </c>
      <c r="M2884" t="e">
        <f>COUNTIF(#REF!,Tabela2[[#This Row],[KOD_PRODUKTU]])</f>
        <v>#REF!</v>
      </c>
    </row>
    <row r="2885" spans="1:14" x14ac:dyDescent="0.25">
      <c r="A2885" s="1" t="s">
        <v>4470</v>
      </c>
      <c r="B2885" t="s">
        <v>4471</v>
      </c>
      <c r="C2885" s="1" t="s">
        <v>4477</v>
      </c>
      <c r="D2885" s="1" t="s">
        <v>4477</v>
      </c>
      <c r="E2885" s="1" t="s">
        <v>4477</v>
      </c>
      <c r="F2885" t="s">
        <v>4478</v>
      </c>
      <c r="G2885" t="s">
        <v>434</v>
      </c>
      <c r="H2885" t="s">
        <v>121</v>
      </c>
      <c r="I2885" t="s">
        <v>92</v>
      </c>
      <c r="J2885">
        <v>2.2000000000000002</v>
      </c>
      <c r="K2885" t="e">
        <f>IF(COUNTIF(#REF!,Tabela2[[#This Row],[IdxWspolny]])&gt;0,"ELEM_lub_PRD","TECHN")</f>
        <v>#REF!</v>
      </c>
      <c r="L2885" t="e">
        <f>IF(COUNTIF(#REF!,Tabela2[[#This Row],[KOD_PRODUKTU]])&gt;0,"ELEMENT","PRODUKT")</f>
        <v>#REF!</v>
      </c>
      <c r="M2885" t="e">
        <f>COUNTIF(#REF!,Tabela2[[#This Row],[KOD_PRODUKTU]])</f>
        <v>#REF!</v>
      </c>
    </row>
    <row r="2886" spans="1:14" x14ac:dyDescent="0.25">
      <c r="A2886" s="1" t="s">
        <v>4470</v>
      </c>
      <c r="B2886" t="s">
        <v>4471</v>
      </c>
      <c r="C2886" s="1" t="s">
        <v>4479</v>
      </c>
      <c r="D2886" s="1" t="s">
        <v>4479</v>
      </c>
      <c r="E2886" s="1" t="s">
        <v>4479</v>
      </c>
      <c r="F2886" t="s">
        <v>4480</v>
      </c>
      <c r="G2886" t="s">
        <v>151</v>
      </c>
      <c r="H2886" t="s">
        <v>121</v>
      </c>
      <c r="I2886" t="s">
        <v>92</v>
      </c>
      <c r="J2886">
        <v>4</v>
      </c>
      <c r="K2886" t="e">
        <f>IF(COUNTIF(#REF!,Tabela2[[#This Row],[IdxWspolny]])&gt;0,"ELEM_lub_PRD","TECHN")</f>
        <v>#REF!</v>
      </c>
      <c r="L2886" t="e">
        <f>IF(COUNTIF(#REF!,Tabela2[[#This Row],[KOD_PRODUKTU]])&gt;0,"ELEMENT","PRODUKT")</f>
        <v>#REF!</v>
      </c>
      <c r="M2886" t="e">
        <f>COUNTIF(#REF!,Tabela2[[#This Row],[KOD_PRODUKTU]])</f>
        <v>#REF!</v>
      </c>
    </row>
    <row r="2887" spans="1:14" x14ac:dyDescent="0.25">
      <c r="A2887" s="1" t="s">
        <v>4470</v>
      </c>
      <c r="B2887" t="s">
        <v>4471</v>
      </c>
      <c r="C2887" s="1" t="s">
        <v>4481</v>
      </c>
      <c r="D2887" s="1" t="s">
        <v>4481</v>
      </c>
      <c r="E2887" s="1" t="s">
        <v>4481</v>
      </c>
      <c r="F2887" t="s">
        <v>4482</v>
      </c>
      <c r="G2887" t="s">
        <v>4483</v>
      </c>
      <c r="H2887" t="s">
        <v>121</v>
      </c>
      <c r="I2887" t="s">
        <v>50</v>
      </c>
      <c r="J2887">
        <v>3.05</v>
      </c>
      <c r="K2887" t="e">
        <f>IF(COUNTIF(#REF!,Tabela2[[#This Row],[IdxWspolny]])&gt;0,"ELEM_lub_PRD","TECHN")</f>
        <v>#REF!</v>
      </c>
      <c r="L2887" t="e">
        <f>IF(COUNTIF(#REF!,Tabela2[[#This Row],[KOD_PRODUKTU]])&gt;0,"ELEMENT","PRODUKT")</f>
        <v>#REF!</v>
      </c>
      <c r="M2887" t="e">
        <f>COUNTIF(#REF!,Tabela2[[#This Row],[KOD_PRODUKTU]])</f>
        <v>#REF!</v>
      </c>
    </row>
    <row r="2888" spans="1:14" hidden="1" x14ac:dyDescent="0.25">
      <c r="A2888" s="1" t="s">
        <v>4470</v>
      </c>
      <c r="B2888" t="s">
        <v>4471</v>
      </c>
      <c r="C2888" s="1" t="s">
        <v>4484</v>
      </c>
      <c r="D2888" s="1" t="s">
        <v>4484</v>
      </c>
      <c r="E2888" s="1" t="s">
        <v>4484</v>
      </c>
      <c r="F2888" t="s">
        <v>4485</v>
      </c>
      <c r="G2888" t="s">
        <v>4486</v>
      </c>
      <c r="H2888" t="s">
        <v>121</v>
      </c>
      <c r="I2888" t="s">
        <v>50</v>
      </c>
      <c r="J2888">
        <v>37.53</v>
      </c>
      <c r="K2888" t="e">
        <f>IF(COUNTIF(#REF!,Tabela2[[#This Row],[IdxWspolny]])&gt;0,"ELEM_lub_PRD","TECHN")</f>
        <v>#REF!</v>
      </c>
      <c r="L2888" t="e">
        <f>IF(COUNTIF(#REF!,Tabela2[[#This Row],[KOD_PRODUKTU]])&gt;0,"ELEMENT","PRODUKT")</f>
        <v>#REF!</v>
      </c>
      <c r="M2888" t="e">
        <f>COUNTIF(#REF!,Tabela2[[#This Row],[KOD_PRODUKTU]])</f>
        <v>#REF!</v>
      </c>
      <c r="N2888" t="s">
        <v>55</v>
      </c>
    </row>
    <row r="2889" spans="1:14" x14ac:dyDescent="0.25">
      <c r="A2889" s="1" t="s">
        <v>4470</v>
      </c>
      <c r="B2889" t="s">
        <v>4471</v>
      </c>
      <c r="C2889" s="1" t="s">
        <v>857</v>
      </c>
      <c r="D2889" s="1" t="s">
        <v>857</v>
      </c>
      <c r="E2889" s="1" t="s">
        <v>857</v>
      </c>
      <c r="F2889" t="s">
        <v>858</v>
      </c>
      <c r="G2889" t="s">
        <v>686</v>
      </c>
      <c r="H2889" t="s">
        <v>49</v>
      </c>
      <c r="I2889" t="s">
        <v>4487</v>
      </c>
      <c r="J2889">
        <v>1.9</v>
      </c>
      <c r="K2889" t="e">
        <f>IF(COUNTIF(#REF!,Tabela2[[#This Row],[IdxWspolny]])&gt;0,"ELEM_lub_PRD","TECHN")</f>
        <v>#REF!</v>
      </c>
      <c r="L2889" t="e">
        <f>IF(COUNTIF(#REF!,Tabela2[[#This Row],[KOD_PRODUKTU]])&gt;0,"ELEMENT","PRODUKT")</f>
        <v>#REF!</v>
      </c>
      <c r="M2889" t="e">
        <f>COUNTIF(#REF!,Tabela2[[#This Row],[KOD_PRODUKTU]])</f>
        <v>#REF!</v>
      </c>
    </row>
    <row r="2890" spans="1:14" x14ac:dyDescent="0.25">
      <c r="A2890" s="1" t="s">
        <v>4470</v>
      </c>
      <c r="B2890" t="s">
        <v>4471</v>
      </c>
      <c r="C2890" s="1" t="s">
        <v>1989</v>
      </c>
      <c r="D2890" s="1" t="s">
        <v>1989</v>
      </c>
      <c r="E2890" s="1" t="s">
        <v>1989</v>
      </c>
      <c r="F2890" t="s">
        <v>1990</v>
      </c>
      <c r="G2890" t="s">
        <v>1991</v>
      </c>
      <c r="H2890" t="s">
        <v>435</v>
      </c>
      <c r="I2890" t="s">
        <v>4488</v>
      </c>
      <c r="J2890">
        <v>14.78</v>
      </c>
      <c r="K2890" t="e">
        <f>IF(COUNTIF(#REF!,Tabela2[[#This Row],[IdxWspolny]])&gt;0,"ELEM_lub_PRD","TECHN")</f>
        <v>#REF!</v>
      </c>
      <c r="L2890" t="e">
        <f>IF(COUNTIF(#REF!,Tabela2[[#This Row],[KOD_PRODUKTU]])&gt;0,"ELEMENT","PRODUKT")</f>
        <v>#REF!</v>
      </c>
      <c r="M2890" t="e">
        <f>COUNTIF(#REF!,Tabela2[[#This Row],[KOD_PRODUKTU]])</f>
        <v>#REF!</v>
      </c>
    </row>
    <row r="2891" spans="1:14" x14ac:dyDescent="0.25">
      <c r="A2891" s="1" t="s">
        <v>4470</v>
      </c>
      <c r="B2891" t="s">
        <v>4471</v>
      </c>
      <c r="C2891" s="1" t="s">
        <v>7</v>
      </c>
      <c r="D2891" s="1" t="s">
        <v>7</v>
      </c>
      <c r="E2891" s="1" t="s">
        <v>7</v>
      </c>
      <c r="F2891" t="s">
        <v>8</v>
      </c>
      <c r="G2891" t="s">
        <v>9</v>
      </c>
      <c r="H2891" t="s">
        <v>10</v>
      </c>
      <c r="I2891" t="s">
        <v>4099</v>
      </c>
      <c r="J2891">
        <v>4.8899999999999997</v>
      </c>
      <c r="K2891" t="e">
        <f>IF(COUNTIF(#REF!,Tabela2[[#This Row],[IdxWspolny]])&gt;0,"ELEM_lub_PRD","TECHN")</f>
        <v>#REF!</v>
      </c>
      <c r="L2891" t="e">
        <f>IF(COUNTIF(#REF!,Tabela2[[#This Row],[KOD_PRODUKTU]])&gt;0,"ELEMENT","PRODUKT")</f>
        <v>#REF!</v>
      </c>
      <c r="M2891" t="e">
        <f>COUNTIF(#REF!,Tabela2[[#This Row],[KOD_PRODUKTU]])</f>
        <v>#REF!</v>
      </c>
    </row>
    <row r="2892" spans="1:14" x14ac:dyDescent="0.25">
      <c r="A2892" s="1" t="s">
        <v>4470</v>
      </c>
      <c r="B2892" t="s">
        <v>4471</v>
      </c>
      <c r="C2892" s="1" t="s">
        <v>7</v>
      </c>
      <c r="D2892" s="1" t="s">
        <v>7</v>
      </c>
      <c r="E2892" s="1" t="s">
        <v>7</v>
      </c>
      <c r="F2892" t="s">
        <v>8</v>
      </c>
      <c r="G2892" t="s">
        <v>9</v>
      </c>
      <c r="H2892" t="s">
        <v>10</v>
      </c>
      <c r="I2892" t="s">
        <v>4489</v>
      </c>
      <c r="J2892">
        <v>36.03</v>
      </c>
      <c r="K2892" t="e">
        <f>IF(COUNTIF(#REF!,Tabela2[[#This Row],[IdxWspolny]])&gt;0,"ELEM_lub_PRD","TECHN")</f>
        <v>#REF!</v>
      </c>
      <c r="L2892" t="e">
        <f>IF(COUNTIF(#REF!,Tabela2[[#This Row],[KOD_PRODUKTU]])&gt;0,"ELEMENT","PRODUKT")</f>
        <v>#REF!</v>
      </c>
      <c r="M2892" t="e">
        <f>COUNTIF(#REF!,Tabela2[[#This Row],[KOD_PRODUKTU]])</f>
        <v>#REF!</v>
      </c>
    </row>
    <row r="2893" spans="1:14" x14ac:dyDescent="0.25">
      <c r="A2893" s="1" t="s">
        <v>4484</v>
      </c>
      <c r="B2893" t="s">
        <v>4490</v>
      </c>
      <c r="C2893" s="1" t="s">
        <v>2450</v>
      </c>
      <c r="D2893" s="1" t="s">
        <v>2450</v>
      </c>
      <c r="E2893" s="1" t="s">
        <v>2450</v>
      </c>
      <c r="F2893" t="s">
        <v>2451</v>
      </c>
      <c r="G2893" t="s">
        <v>31</v>
      </c>
      <c r="H2893" t="s">
        <v>5</v>
      </c>
      <c r="I2893" t="s">
        <v>4491</v>
      </c>
      <c r="J2893">
        <v>3.25</v>
      </c>
      <c r="K2893" t="e">
        <f>IF(COUNTIF(#REF!,Tabela2[[#This Row],[IdxWspolny]])&gt;0,"ELEM_lub_PRD","TECHN")</f>
        <v>#REF!</v>
      </c>
      <c r="L2893" t="e">
        <f>IF(COUNTIF(#REF!,Tabela2[[#This Row],[KOD_PRODUKTU]])&gt;0,"ELEMENT","PRODUKT")</f>
        <v>#REF!</v>
      </c>
      <c r="M2893" t="e">
        <f>COUNTIF(#REF!,Tabela2[[#This Row],[KOD_PRODUKTU]])</f>
        <v>#REF!</v>
      </c>
    </row>
    <row r="2894" spans="1:14" x14ac:dyDescent="0.25">
      <c r="A2894" s="1" t="s">
        <v>4484</v>
      </c>
      <c r="B2894" t="s">
        <v>4490</v>
      </c>
      <c r="C2894" s="1" t="s">
        <v>4472</v>
      </c>
      <c r="D2894" s="1" t="s">
        <v>4472</v>
      </c>
      <c r="E2894" s="1" t="s">
        <v>4472</v>
      </c>
      <c r="F2894" t="s">
        <v>4473</v>
      </c>
      <c r="G2894" t="s">
        <v>4474</v>
      </c>
      <c r="H2894" t="s">
        <v>17</v>
      </c>
      <c r="I2894" t="s">
        <v>4492</v>
      </c>
      <c r="J2894">
        <v>15.85</v>
      </c>
      <c r="K2894" t="e">
        <f>IF(COUNTIF(#REF!,Tabela2[[#This Row],[IdxWspolny]])&gt;0,"ELEM_lub_PRD","TECHN")</f>
        <v>#REF!</v>
      </c>
      <c r="L2894" t="e">
        <f>IF(COUNTIF(#REF!,Tabela2[[#This Row],[KOD_PRODUKTU]])&gt;0,"ELEMENT","PRODUKT")</f>
        <v>#REF!</v>
      </c>
      <c r="M2894" t="e">
        <f>COUNTIF(#REF!,Tabela2[[#This Row],[KOD_PRODUKTU]])</f>
        <v>#REF!</v>
      </c>
    </row>
    <row r="2895" spans="1:14" x14ac:dyDescent="0.25">
      <c r="A2895" s="1" t="s">
        <v>4484</v>
      </c>
      <c r="B2895" t="s">
        <v>4490</v>
      </c>
      <c r="C2895" s="1" t="s">
        <v>857</v>
      </c>
      <c r="D2895" s="1" t="s">
        <v>857</v>
      </c>
      <c r="E2895" s="1" t="s">
        <v>857</v>
      </c>
      <c r="F2895" t="s">
        <v>858</v>
      </c>
      <c r="G2895" t="s">
        <v>686</v>
      </c>
      <c r="H2895" t="s">
        <v>49</v>
      </c>
      <c r="I2895" t="s">
        <v>4493</v>
      </c>
      <c r="J2895">
        <v>0.5</v>
      </c>
      <c r="K2895" t="e">
        <f>IF(COUNTIF(#REF!,Tabela2[[#This Row],[IdxWspolny]])&gt;0,"ELEM_lub_PRD","TECHN")</f>
        <v>#REF!</v>
      </c>
      <c r="L2895" t="e">
        <f>IF(COUNTIF(#REF!,Tabela2[[#This Row],[KOD_PRODUKTU]])&gt;0,"ELEMENT","PRODUKT")</f>
        <v>#REF!</v>
      </c>
      <c r="M2895" t="e">
        <f>COUNTIF(#REF!,Tabela2[[#This Row],[KOD_PRODUKTU]])</f>
        <v>#REF!</v>
      </c>
    </row>
    <row r="2896" spans="1:14" x14ac:dyDescent="0.25">
      <c r="A2896" s="1" t="s">
        <v>4484</v>
      </c>
      <c r="B2896" t="s">
        <v>4490</v>
      </c>
      <c r="C2896" s="1" t="s">
        <v>7</v>
      </c>
      <c r="D2896" s="1" t="s">
        <v>7</v>
      </c>
      <c r="E2896" s="1" t="s">
        <v>7</v>
      </c>
      <c r="F2896" t="s">
        <v>8</v>
      </c>
      <c r="G2896" t="s">
        <v>9</v>
      </c>
      <c r="H2896" t="s">
        <v>10</v>
      </c>
      <c r="I2896" t="s">
        <v>4494</v>
      </c>
      <c r="J2896">
        <v>3.42</v>
      </c>
      <c r="K2896" t="e">
        <f>IF(COUNTIF(#REF!,Tabela2[[#This Row],[IdxWspolny]])&gt;0,"ELEM_lub_PRD","TECHN")</f>
        <v>#REF!</v>
      </c>
      <c r="L2896" t="e">
        <f>IF(COUNTIF(#REF!,Tabela2[[#This Row],[KOD_PRODUKTU]])&gt;0,"ELEMENT","PRODUKT")</f>
        <v>#REF!</v>
      </c>
      <c r="M2896" t="e">
        <f>COUNTIF(#REF!,Tabela2[[#This Row],[KOD_PRODUKTU]])</f>
        <v>#REF!</v>
      </c>
    </row>
    <row r="2897" spans="1:14" x14ac:dyDescent="0.25">
      <c r="A2897" s="1" t="s">
        <v>4484</v>
      </c>
      <c r="B2897" t="s">
        <v>4490</v>
      </c>
      <c r="C2897" s="1" t="s">
        <v>7</v>
      </c>
      <c r="D2897" s="1" t="s">
        <v>7</v>
      </c>
      <c r="E2897" s="1" t="s">
        <v>7</v>
      </c>
      <c r="F2897" t="s">
        <v>8</v>
      </c>
      <c r="G2897" t="s">
        <v>9</v>
      </c>
      <c r="H2897" t="s">
        <v>10</v>
      </c>
      <c r="I2897" t="s">
        <v>4495</v>
      </c>
      <c r="J2897">
        <v>9.61</v>
      </c>
      <c r="K2897" t="e">
        <f>IF(COUNTIF(#REF!,Tabela2[[#This Row],[IdxWspolny]])&gt;0,"ELEM_lub_PRD","TECHN")</f>
        <v>#REF!</v>
      </c>
      <c r="L2897" t="e">
        <f>IF(COUNTIF(#REF!,Tabela2[[#This Row],[KOD_PRODUKTU]])&gt;0,"ELEMENT","PRODUKT")</f>
        <v>#REF!</v>
      </c>
      <c r="M2897" t="e">
        <f>COUNTIF(#REF!,Tabela2[[#This Row],[KOD_PRODUKTU]])</f>
        <v>#REF!</v>
      </c>
    </row>
    <row r="2898" spans="1:14" x14ac:dyDescent="0.25">
      <c r="A2898" s="1" t="s">
        <v>4484</v>
      </c>
      <c r="B2898" t="s">
        <v>4490</v>
      </c>
      <c r="C2898" s="1" t="s">
        <v>7</v>
      </c>
      <c r="D2898" s="1" t="s">
        <v>7</v>
      </c>
      <c r="E2898" s="1" t="s">
        <v>7</v>
      </c>
      <c r="F2898" t="s">
        <v>8</v>
      </c>
      <c r="G2898" t="s">
        <v>9</v>
      </c>
      <c r="H2898" t="s">
        <v>10</v>
      </c>
      <c r="I2898" t="s">
        <v>4099</v>
      </c>
      <c r="J2898">
        <v>4.8899999999999997</v>
      </c>
      <c r="K2898" t="e">
        <f>IF(COUNTIF(#REF!,Tabela2[[#This Row],[IdxWspolny]])&gt;0,"ELEM_lub_PRD","TECHN")</f>
        <v>#REF!</v>
      </c>
      <c r="L2898" t="e">
        <f>IF(COUNTIF(#REF!,Tabela2[[#This Row],[KOD_PRODUKTU]])&gt;0,"ELEMENT","PRODUKT")</f>
        <v>#REF!</v>
      </c>
      <c r="M2898" t="e">
        <f>COUNTIF(#REF!,Tabela2[[#This Row],[KOD_PRODUKTU]])</f>
        <v>#REF!</v>
      </c>
    </row>
    <row r="2899" spans="1:14" x14ac:dyDescent="0.25">
      <c r="A2899" s="1" t="s">
        <v>4496</v>
      </c>
      <c r="B2899" t="s">
        <v>4497</v>
      </c>
      <c r="C2899" s="1" t="s">
        <v>4472</v>
      </c>
      <c r="D2899" s="1" t="s">
        <v>4472</v>
      </c>
      <c r="E2899" s="1" t="s">
        <v>4472</v>
      </c>
      <c r="F2899" t="s">
        <v>4473</v>
      </c>
      <c r="G2899" t="s">
        <v>4474</v>
      </c>
      <c r="H2899" t="s">
        <v>17</v>
      </c>
      <c r="I2899" t="s">
        <v>4498</v>
      </c>
      <c r="J2899">
        <v>85.51</v>
      </c>
      <c r="K2899" t="e">
        <f>IF(COUNTIF(#REF!,Tabela2[[#This Row],[IdxWspolny]])&gt;0,"ELEM_lub_PRD","TECHN")</f>
        <v>#REF!</v>
      </c>
      <c r="L2899" t="e">
        <f>IF(COUNTIF(#REF!,Tabela2[[#This Row],[KOD_PRODUKTU]])&gt;0,"ELEMENT","PRODUKT")</f>
        <v>#REF!</v>
      </c>
      <c r="M2899" t="e">
        <f>COUNTIF(#REF!,Tabela2[[#This Row],[KOD_PRODUKTU]])</f>
        <v>#REF!</v>
      </c>
    </row>
    <row r="2900" spans="1:14" x14ac:dyDescent="0.25">
      <c r="A2900" s="1" t="s">
        <v>4496</v>
      </c>
      <c r="B2900" t="s">
        <v>4497</v>
      </c>
      <c r="C2900" s="1" t="s">
        <v>3568</v>
      </c>
      <c r="D2900" s="1" t="s">
        <v>3568</v>
      </c>
      <c r="E2900" s="1" t="s">
        <v>3568</v>
      </c>
      <c r="F2900" t="s">
        <v>3569</v>
      </c>
      <c r="G2900" t="s">
        <v>3570</v>
      </c>
      <c r="H2900" t="s">
        <v>17</v>
      </c>
      <c r="I2900" t="s">
        <v>4194</v>
      </c>
      <c r="J2900">
        <v>1.76</v>
      </c>
      <c r="K2900" t="e">
        <f>IF(COUNTIF(#REF!,Tabela2[[#This Row],[IdxWspolny]])&gt;0,"ELEM_lub_PRD","TECHN")</f>
        <v>#REF!</v>
      </c>
      <c r="L2900" t="e">
        <f>IF(COUNTIF(#REF!,Tabela2[[#This Row],[KOD_PRODUKTU]])&gt;0,"ELEMENT","PRODUKT")</f>
        <v>#REF!</v>
      </c>
      <c r="M2900" t="e">
        <f>COUNTIF(#REF!,Tabela2[[#This Row],[KOD_PRODUKTU]])</f>
        <v>#REF!</v>
      </c>
    </row>
    <row r="2901" spans="1:14" x14ac:dyDescent="0.25">
      <c r="A2901" s="1" t="s">
        <v>4496</v>
      </c>
      <c r="B2901" t="s">
        <v>4497</v>
      </c>
      <c r="C2901" s="1" t="s">
        <v>4477</v>
      </c>
      <c r="D2901" s="1" t="s">
        <v>4477</v>
      </c>
      <c r="E2901" s="1" t="s">
        <v>4477</v>
      </c>
      <c r="F2901" t="s">
        <v>4478</v>
      </c>
      <c r="G2901" t="s">
        <v>434</v>
      </c>
      <c r="H2901" t="s">
        <v>121</v>
      </c>
      <c r="I2901" t="s">
        <v>92</v>
      </c>
      <c r="J2901">
        <v>2.2000000000000002</v>
      </c>
      <c r="K2901" t="e">
        <f>IF(COUNTIF(#REF!,Tabela2[[#This Row],[IdxWspolny]])&gt;0,"ELEM_lub_PRD","TECHN")</f>
        <v>#REF!</v>
      </c>
      <c r="L2901" t="e">
        <f>IF(COUNTIF(#REF!,Tabela2[[#This Row],[KOD_PRODUKTU]])&gt;0,"ELEMENT","PRODUKT")</f>
        <v>#REF!</v>
      </c>
      <c r="M2901" t="e">
        <f>COUNTIF(#REF!,Tabela2[[#This Row],[KOD_PRODUKTU]])</f>
        <v>#REF!</v>
      </c>
    </row>
    <row r="2902" spans="1:14" x14ac:dyDescent="0.25">
      <c r="A2902" s="1" t="s">
        <v>4496</v>
      </c>
      <c r="B2902" t="s">
        <v>4497</v>
      </c>
      <c r="C2902" s="1" t="s">
        <v>4479</v>
      </c>
      <c r="D2902" s="1" t="s">
        <v>4479</v>
      </c>
      <c r="E2902" s="1" t="s">
        <v>4479</v>
      </c>
      <c r="F2902" t="s">
        <v>4480</v>
      </c>
      <c r="G2902" t="s">
        <v>151</v>
      </c>
      <c r="H2902" t="s">
        <v>121</v>
      </c>
      <c r="I2902" t="s">
        <v>92</v>
      </c>
      <c r="J2902">
        <v>4</v>
      </c>
      <c r="K2902" t="e">
        <f>IF(COUNTIF(#REF!,Tabela2[[#This Row],[IdxWspolny]])&gt;0,"ELEM_lub_PRD","TECHN")</f>
        <v>#REF!</v>
      </c>
      <c r="L2902" t="e">
        <f>IF(COUNTIF(#REF!,Tabela2[[#This Row],[KOD_PRODUKTU]])&gt;0,"ELEMENT","PRODUKT")</f>
        <v>#REF!</v>
      </c>
      <c r="M2902" t="e">
        <f>COUNTIF(#REF!,Tabela2[[#This Row],[KOD_PRODUKTU]])</f>
        <v>#REF!</v>
      </c>
    </row>
    <row r="2903" spans="1:14" x14ac:dyDescent="0.25">
      <c r="A2903" s="1" t="s">
        <v>4496</v>
      </c>
      <c r="B2903" t="s">
        <v>4497</v>
      </c>
      <c r="C2903" s="1" t="s">
        <v>4481</v>
      </c>
      <c r="D2903" s="1" t="s">
        <v>4481</v>
      </c>
      <c r="E2903" s="1" t="s">
        <v>4481</v>
      </c>
      <c r="F2903" t="s">
        <v>4482</v>
      </c>
      <c r="G2903" t="s">
        <v>4483</v>
      </c>
      <c r="H2903" t="s">
        <v>121</v>
      </c>
      <c r="I2903" t="s">
        <v>50</v>
      </c>
      <c r="J2903">
        <v>3.05</v>
      </c>
      <c r="K2903" t="e">
        <f>IF(COUNTIF(#REF!,Tabela2[[#This Row],[IdxWspolny]])&gt;0,"ELEM_lub_PRD","TECHN")</f>
        <v>#REF!</v>
      </c>
      <c r="L2903" t="e">
        <f>IF(COUNTIF(#REF!,Tabela2[[#This Row],[KOD_PRODUKTU]])&gt;0,"ELEMENT","PRODUKT")</f>
        <v>#REF!</v>
      </c>
      <c r="M2903" t="e">
        <f>COUNTIF(#REF!,Tabela2[[#This Row],[KOD_PRODUKTU]])</f>
        <v>#REF!</v>
      </c>
    </row>
    <row r="2904" spans="1:14" hidden="1" x14ac:dyDescent="0.25">
      <c r="A2904" s="1" t="s">
        <v>4496</v>
      </c>
      <c r="B2904" t="s">
        <v>4497</v>
      </c>
      <c r="C2904" s="1" t="s">
        <v>4499</v>
      </c>
      <c r="D2904" s="1" t="s">
        <v>4499</v>
      </c>
      <c r="E2904" s="1" t="s">
        <v>4499</v>
      </c>
      <c r="F2904" t="s">
        <v>4500</v>
      </c>
      <c r="G2904" t="s">
        <v>4501</v>
      </c>
      <c r="H2904" t="s">
        <v>121</v>
      </c>
      <c r="I2904" t="s">
        <v>50</v>
      </c>
      <c r="J2904">
        <v>39.67</v>
      </c>
      <c r="K2904" t="e">
        <f>IF(COUNTIF(#REF!,Tabela2[[#This Row],[IdxWspolny]])&gt;0,"ELEM_lub_PRD","TECHN")</f>
        <v>#REF!</v>
      </c>
      <c r="L2904" t="e">
        <f>IF(COUNTIF(#REF!,Tabela2[[#This Row],[KOD_PRODUKTU]])&gt;0,"ELEMENT","PRODUKT")</f>
        <v>#REF!</v>
      </c>
      <c r="M2904" t="e">
        <f>COUNTIF(#REF!,Tabela2[[#This Row],[KOD_PRODUKTU]])</f>
        <v>#REF!</v>
      </c>
      <c r="N2904" t="s">
        <v>55</v>
      </c>
    </row>
    <row r="2905" spans="1:14" x14ac:dyDescent="0.25">
      <c r="A2905" s="1" t="s">
        <v>4496</v>
      </c>
      <c r="B2905" t="s">
        <v>4497</v>
      </c>
      <c r="C2905" s="1" t="s">
        <v>1989</v>
      </c>
      <c r="D2905" s="1" t="s">
        <v>1989</v>
      </c>
      <c r="E2905" s="1" t="s">
        <v>1989</v>
      </c>
      <c r="F2905" t="s">
        <v>1990</v>
      </c>
      <c r="G2905" t="s">
        <v>1991</v>
      </c>
      <c r="H2905" t="s">
        <v>435</v>
      </c>
      <c r="I2905" t="s">
        <v>4502</v>
      </c>
      <c r="J2905">
        <v>15.89</v>
      </c>
      <c r="K2905" t="e">
        <f>IF(COUNTIF(#REF!,Tabela2[[#This Row],[IdxWspolny]])&gt;0,"ELEM_lub_PRD","TECHN")</f>
        <v>#REF!</v>
      </c>
      <c r="L2905" t="e">
        <f>IF(COUNTIF(#REF!,Tabela2[[#This Row],[KOD_PRODUKTU]])&gt;0,"ELEMENT","PRODUKT")</f>
        <v>#REF!</v>
      </c>
      <c r="M2905" t="e">
        <f>COUNTIF(#REF!,Tabela2[[#This Row],[KOD_PRODUKTU]])</f>
        <v>#REF!</v>
      </c>
    </row>
    <row r="2906" spans="1:14" x14ac:dyDescent="0.25">
      <c r="A2906" s="1" t="s">
        <v>4496</v>
      </c>
      <c r="B2906" t="s">
        <v>4497</v>
      </c>
      <c r="C2906" s="1" t="s">
        <v>7</v>
      </c>
      <c r="D2906" s="1" t="s">
        <v>7</v>
      </c>
      <c r="E2906" s="1" t="s">
        <v>7</v>
      </c>
      <c r="F2906" t="s">
        <v>8</v>
      </c>
      <c r="G2906" t="s">
        <v>9</v>
      </c>
      <c r="H2906" t="s">
        <v>10</v>
      </c>
      <c r="I2906" t="s">
        <v>4503</v>
      </c>
      <c r="J2906">
        <v>4.8600000000000003</v>
      </c>
      <c r="K2906" t="e">
        <f>IF(COUNTIF(#REF!,Tabela2[[#This Row],[IdxWspolny]])&gt;0,"ELEM_lub_PRD","TECHN")</f>
        <v>#REF!</v>
      </c>
      <c r="L2906" t="e">
        <f>IF(COUNTIF(#REF!,Tabela2[[#This Row],[KOD_PRODUKTU]])&gt;0,"ELEMENT","PRODUKT")</f>
        <v>#REF!</v>
      </c>
      <c r="M2906" t="e">
        <f>COUNTIF(#REF!,Tabela2[[#This Row],[KOD_PRODUKTU]])</f>
        <v>#REF!</v>
      </c>
    </row>
    <row r="2907" spans="1:14" x14ac:dyDescent="0.25">
      <c r="A2907" s="1" t="s">
        <v>4496</v>
      </c>
      <c r="B2907" t="s">
        <v>4497</v>
      </c>
      <c r="C2907" s="1" t="s">
        <v>7</v>
      </c>
      <c r="D2907" s="1" t="s">
        <v>7</v>
      </c>
      <c r="E2907" s="1" t="s">
        <v>7</v>
      </c>
      <c r="F2907" t="s">
        <v>8</v>
      </c>
      <c r="G2907" t="s">
        <v>9</v>
      </c>
      <c r="H2907" t="s">
        <v>10</v>
      </c>
      <c r="I2907" t="s">
        <v>4504</v>
      </c>
      <c r="J2907">
        <v>36.21</v>
      </c>
      <c r="K2907" t="e">
        <f>IF(COUNTIF(#REF!,Tabela2[[#This Row],[IdxWspolny]])&gt;0,"ELEM_lub_PRD","TECHN")</f>
        <v>#REF!</v>
      </c>
      <c r="L2907" t="e">
        <f>IF(COUNTIF(#REF!,Tabela2[[#This Row],[KOD_PRODUKTU]])&gt;0,"ELEMENT","PRODUKT")</f>
        <v>#REF!</v>
      </c>
      <c r="M2907" t="e">
        <f>COUNTIF(#REF!,Tabela2[[#This Row],[KOD_PRODUKTU]])</f>
        <v>#REF!</v>
      </c>
    </row>
    <row r="2908" spans="1:14" x14ac:dyDescent="0.25">
      <c r="A2908" s="1" t="s">
        <v>4496</v>
      </c>
      <c r="B2908" t="s">
        <v>4497</v>
      </c>
      <c r="C2908" s="1" t="s">
        <v>7</v>
      </c>
      <c r="D2908" s="1" t="s">
        <v>7</v>
      </c>
      <c r="E2908" s="1" t="s">
        <v>7</v>
      </c>
      <c r="F2908" t="s">
        <v>8</v>
      </c>
      <c r="G2908" t="s">
        <v>9</v>
      </c>
      <c r="H2908" t="s">
        <v>10</v>
      </c>
      <c r="I2908" t="s">
        <v>4505</v>
      </c>
      <c r="J2908">
        <v>1.91</v>
      </c>
      <c r="K2908" t="e">
        <f>IF(COUNTIF(#REF!,Tabela2[[#This Row],[IdxWspolny]])&gt;0,"ELEM_lub_PRD","TECHN")</f>
        <v>#REF!</v>
      </c>
      <c r="L2908" t="e">
        <f>IF(COUNTIF(#REF!,Tabela2[[#This Row],[KOD_PRODUKTU]])&gt;0,"ELEMENT","PRODUKT")</f>
        <v>#REF!</v>
      </c>
      <c r="M2908" t="e">
        <f>COUNTIF(#REF!,Tabela2[[#This Row],[KOD_PRODUKTU]])</f>
        <v>#REF!</v>
      </c>
    </row>
    <row r="2909" spans="1:14" x14ac:dyDescent="0.25">
      <c r="A2909" s="1" t="s">
        <v>4499</v>
      </c>
      <c r="B2909" t="s">
        <v>4506</v>
      </c>
      <c r="C2909" s="1" t="s">
        <v>4472</v>
      </c>
      <c r="D2909" s="1" t="s">
        <v>4472</v>
      </c>
      <c r="E2909" s="1" t="s">
        <v>4472</v>
      </c>
      <c r="F2909" t="s">
        <v>4473</v>
      </c>
      <c r="G2909" t="s">
        <v>4474</v>
      </c>
      <c r="H2909" t="s">
        <v>17</v>
      </c>
      <c r="I2909" t="s">
        <v>4507</v>
      </c>
      <c r="J2909">
        <v>18</v>
      </c>
      <c r="K2909" t="e">
        <f>IF(COUNTIF(#REF!,Tabela2[[#This Row],[IdxWspolny]])&gt;0,"ELEM_lub_PRD","TECHN")</f>
        <v>#REF!</v>
      </c>
      <c r="L2909" t="e">
        <f>IF(COUNTIF(#REF!,Tabela2[[#This Row],[KOD_PRODUKTU]])&gt;0,"ELEMENT","PRODUKT")</f>
        <v>#REF!</v>
      </c>
      <c r="M2909" t="e">
        <f>COUNTIF(#REF!,Tabela2[[#This Row],[KOD_PRODUKTU]])</f>
        <v>#REF!</v>
      </c>
    </row>
    <row r="2910" spans="1:14" x14ac:dyDescent="0.25">
      <c r="A2910" s="1" t="s">
        <v>4499</v>
      </c>
      <c r="B2910" t="s">
        <v>4506</v>
      </c>
      <c r="C2910" s="1" t="s">
        <v>4472</v>
      </c>
      <c r="D2910" s="1" t="s">
        <v>4472</v>
      </c>
      <c r="E2910" s="1" t="s">
        <v>4472</v>
      </c>
      <c r="F2910" t="s">
        <v>4473</v>
      </c>
      <c r="G2910" t="s">
        <v>4474</v>
      </c>
      <c r="H2910" t="s">
        <v>17</v>
      </c>
      <c r="I2910" t="s">
        <v>4508</v>
      </c>
      <c r="J2910">
        <v>2.25</v>
      </c>
      <c r="K2910" t="e">
        <f>IF(COUNTIF(#REF!,Tabela2[[#This Row],[IdxWspolny]])&gt;0,"ELEM_lub_PRD","TECHN")</f>
        <v>#REF!</v>
      </c>
      <c r="L2910" t="e">
        <f>IF(COUNTIF(#REF!,Tabela2[[#This Row],[KOD_PRODUKTU]])&gt;0,"ELEMENT","PRODUKT")</f>
        <v>#REF!</v>
      </c>
      <c r="M2910" t="e">
        <f>COUNTIF(#REF!,Tabela2[[#This Row],[KOD_PRODUKTU]])</f>
        <v>#REF!</v>
      </c>
    </row>
    <row r="2911" spans="1:14" x14ac:dyDescent="0.25">
      <c r="A2911" s="1" t="s">
        <v>4499</v>
      </c>
      <c r="B2911" t="s">
        <v>4506</v>
      </c>
      <c r="C2911" s="1" t="s">
        <v>857</v>
      </c>
      <c r="D2911" s="1" t="s">
        <v>857</v>
      </c>
      <c r="E2911" s="1" t="s">
        <v>857</v>
      </c>
      <c r="F2911" t="s">
        <v>858</v>
      </c>
      <c r="G2911" t="s">
        <v>686</v>
      </c>
      <c r="H2911" t="s">
        <v>49</v>
      </c>
      <c r="I2911" t="s">
        <v>4493</v>
      </c>
      <c r="J2911">
        <v>0.5</v>
      </c>
      <c r="K2911" t="e">
        <f>IF(COUNTIF(#REF!,Tabela2[[#This Row],[IdxWspolny]])&gt;0,"ELEM_lub_PRD","TECHN")</f>
        <v>#REF!</v>
      </c>
      <c r="L2911" t="e">
        <f>IF(COUNTIF(#REF!,Tabela2[[#This Row],[KOD_PRODUKTU]])&gt;0,"ELEMENT","PRODUKT")</f>
        <v>#REF!</v>
      </c>
      <c r="M2911" t="e">
        <f>COUNTIF(#REF!,Tabela2[[#This Row],[KOD_PRODUKTU]])</f>
        <v>#REF!</v>
      </c>
    </row>
    <row r="2912" spans="1:14" x14ac:dyDescent="0.25">
      <c r="A2912" s="1" t="s">
        <v>4499</v>
      </c>
      <c r="B2912" t="s">
        <v>4506</v>
      </c>
      <c r="C2912" s="1" t="s">
        <v>7</v>
      </c>
      <c r="D2912" s="1" t="s">
        <v>7</v>
      </c>
      <c r="E2912" s="1" t="s">
        <v>7</v>
      </c>
      <c r="F2912" t="s">
        <v>8</v>
      </c>
      <c r="G2912" t="s">
        <v>9</v>
      </c>
      <c r="H2912" t="s">
        <v>10</v>
      </c>
      <c r="I2912" t="s">
        <v>3831</v>
      </c>
      <c r="J2912">
        <v>9.6199999999999992</v>
      </c>
      <c r="K2912" t="e">
        <f>IF(COUNTIF(#REF!,Tabela2[[#This Row],[IdxWspolny]])&gt;0,"ELEM_lub_PRD","TECHN")</f>
        <v>#REF!</v>
      </c>
      <c r="L2912" t="e">
        <f>IF(COUNTIF(#REF!,Tabela2[[#This Row],[KOD_PRODUKTU]])&gt;0,"ELEMENT","PRODUKT")</f>
        <v>#REF!</v>
      </c>
      <c r="M2912" t="e">
        <f>COUNTIF(#REF!,Tabela2[[#This Row],[KOD_PRODUKTU]])</f>
        <v>#REF!</v>
      </c>
    </row>
    <row r="2913" spans="1:14" x14ac:dyDescent="0.25">
      <c r="A2913" s="1" t="s">
        <v>4499</v>
      </c>
      <c r="B2913" t="s">
        <v>4506</v>
      </c>
      <c r="C2913" s="1" t="s">
        <v>7</v>
      </c>
      <c r="D2913" s="1" t="s">
        <v>7</v>
      </c>
      <c r="E2913" s="1" t="s">
        <v>7</v>
      </c>
      <c r="F2913" t="s">
        <v>8</v>
      </c>
      <c r="G2913" t="s">
        <v>9</v>
      </c>
      <c r="H2913" t="s">
        <v>10</v>
      </c>
      <c r="I2913" t="s">
        <v>4509</v>
      </c>
      <c r="J2913">
        <v>3.35</v>
      </c>
      <c r="K2913" t="e">
        <f>IF(COUNTIF(#REF!,Tabela2[[#This Row],[IdxWspolny]])&gt;0,"ELEM_lub_PRD","TECHN")</f>
        <v>#REF!</v>
      </c>
      <c r="L2913" t="e">
        <f>IF(COUNTIF(#REF!,Tabela2[[#This Row],[KOD_PRODUKTU]])&gt;0,"ELEMENT","PRODUKT")</f>
        <v>#REF!</v>
      </c>
      <c r="M2913" t="e">
        <f>COUNTIF(#REF!,Tabela2[[#This Row],[KOD_PRODUKTU]])</f>
        <v>#REF!</v>
      </c>
    </row>
    <row r="2914" spans="1:14" x14ac:dyDescent="0.25">
      <c r="A2914" s="1" t="s">
        <v>4499</v>
      </c>
      <c r="B2914" t="s">
        <v>4506</v>
      </c>
      <c r="C2914" s="1" t="s">
        <v>7</v>
      </c>
      <c r="D2914" s="1" t="s">
        <v>7</v>
      </c>
      <c r="E2914" s="1" t="s">
        <v>7</v>
      </c>
      <c r="F2914" t="s">
        <v>8</v>
      </c>
      <c r="G2914" t="s">
        <v>9</v>
      </c>
      <c r="H2914" t="s">
        <v>10</v>
      </c>
      <c r="I2914" t="s">
        <v>3446</v>
      </c>
      <c r="J2914">
        <v>4.91</v>
      </c>
      <c r="K2914" t="e">
        <f>IF(COUNTIF(#REF!,Tabela2[[#This Row],[IdxWspolny]])&gt;0,"ELEM_lub_PRD","TECHN")</f>
        <v>#REF!</v>
      </c>
      <c r="L2914" t="e">
        <f>IF(COUNTIF(#REF!,Tabela2[[#This Row],[KOD_PRODUKTU]])&gt;0,"ELEMENT","PRODUKT")</f>
        <v>#REF!</v>
      </c>
      <c r="M2914" t="e">
        <f>COUNTIF(#REF!,Tabela2[[#This Row],[KOD_PRODUKTU]])</f>
        <v>#REF!</v>
      </c>
    </row>
    <row r="2915" spans="1:14" x14ac:dyDescent="0.25">
      <c r="A2915" s="1" t="s">
        <v>4499</v>
      </c>
      <c r="B2915" t="s">
        <v>4506</v>
      </c>
      <c r="C2915" s="1" t="s">
        <v>7</v>
      </c>
      <c r="D2915" s="1" t="s">
        <v>7</v>
      </c>
      <c r="E2915" s="1" t="s">
        <v>7</v>
      </c>
      <c r="F2915" t="s">
        <v>8</v>
      </c>
      <c r="G2915" t="s">
        <v>9</v>
      </c>
      <c r="H2915" t="s">
        <v>10</v>
      </c>
      <c r="I2915" t="s">
        <v>1544</v>
      </c>
      <c r="J2915">
        <v>1.05</v>
      </c>
      <c r="K2915" t="e">
        <f>IF(COUNTIF(#REF!,Tabela2[[#This Row],[IdxWspolny]])&gt;0,"ELEM_lub_PRD","TECHN")</f>
        <v>#REF!</v>
      </c>
      <c r="L2915" t="e">
        <f>IF(COUNTIF(#REF!,Tabela2[[#This Row],[KOD_PRODUKTU]])&gt;0,"ELEMENT","PRODUKT")</f>
        <v>#REF!</v>
      </c>
      <c r="M2915" t="e">
        <f>COUNTIF(#REF!,Tabela2[[#This Row],[KOD_PRODUKTU]])</f>
        <v>#REF!</v>
      </c>
    </row>
    <row r="2916" spans="1:14" x14ac:dyDescent="0.25">
      <c r="A2916" s="1" t="s">
        <v>4510</v>
      </c>
      <c r="B2916" t="s">
        <v>4511</v>
      </c>
      <c r="C2916" s="1" t="s">
        <v>4472</v>
      </c>
      <c r="D2916" s="1" t="s">
        <v>4472</v>
      </c>
      <c r="E2916" s="1" t="s">
        <v>4472</v>
      </c>
      <c r="F2916" t="s">
        <v>4473</v>
      </c>
      <c r="G2916" t="s">
        <v>4474</v>
      </c>
      <c r="H2916" t="s">
        <v>17</v>
      </c>
      <c r="I2916" t="s">
        <v>4512</v>
      </c>
      <c r="J2916">
        <v>88.35</v>
      </c>
      <c r="K2916" t="e">
        <f>IF(COUNTIF(#REF!,Tabela2[[#This Row],[IdxWspolny]])&gt;0,"ELEM_lub_PRD","TECHN")</f>
        <v>#REF!</v>
      </c>
      <c r="L2916" t="e">
        <f>IF(COUNTIF(#REF!,Tabela2[[#This Row],[KOD_PRODUKTU]])&gt;0,"ELEMENT","PRODUKT")</f>
        <v>#REF!</v>
      </c>
      <c r="M2916" t="e">
        <f>COUNTIF(#REF!,Tabela2[[#This Row],[KOD_PRODUKTU]])</f>
        <v>#REF!</v>
      </c>
    </row>
    <row r="2917" spans="1:14" x14ac:dyDescent="0.25">
      <c r="A2917" s="1" t="s">
        <v>4510</v>
      </c>
      <c r="B2917" t="s">
        <v>4511</v>
      </c>
      <c r="C2917" s="1" t="s">
        <v>3568</v>
      </c>
      <c r="D2917" s="1" t="s">
        <v>3568</v>
      </c>
      <c r="E2917" s="1" t="s">
        <v>3568</v>
      </c>
      <c r="F2917" t="s">
        <v>3569</v>
      </c>
      <c r="G2917" t="s">
        <v>3570</v>
      </c>
      <c r="H2917" t="s">
        <v>17</v>
      </c>
      <c r="I2917" t="s">
        <v>4476</v>
      </c>
      <c r="J2917">
        <v>1.68</v>
      </c>
      <c r="K2917" t="e">
        <f>IF(COUNTIF(#REF!,Tabela2[[#This Row],[IdxWspolny]])&gt;0,"ELEM_lub_PRD","TECHN")</f>
        <v>#REF!</v>
      </c>
      <c r="L2917" t="e">
        <f>IF(COUNTIF(#REF!,Tabela2[[#This Row],[KOD_PRODUKTU]])&gt;0,"ELEMENT","PRODUKT")</f>
        <v>#REF!</v>
      </c>
      <c r="M2917" t="e">
        <f>COUNTIF(#REF!,Tabela2[[#This Row],[KOD_PRODUKTU]])</f>
        <v>#REF!</v>
      </c>
    </row>
    <row r="2918" spans="1:14" x14ac:dyDescent="0.25">
      <c r="A2918" s="1" t="s">
        <v>4510</v>
      </c>
      <c r="B2918" t="s">
        <v>4511</v>
      </c>
      <c r="C2918" s="1" t="s">
        <v>4477</v>
      </c>
      <c r="D2918" s="1" t="s">
        <v>4477</v>
      </c>
      <c r="E2918" s="1" t="s">
        <v>4477</v>
      </c>
      <c r="F2918" t="s">
        <v>4478</v>
      </c>
      <c r="G2918" t="s">
        <v>434</v>
      </c>
      <c r="H2918" t="s">
        <v>121</v>
      </c>
      <c r="I2918" t="s">
        <v>92</v>
      </c>
      <c r="J2918">
        <v>2.2000000000000002</v>
      </c>
      <c r="K2918" t="e">
        <f>IF(COUNTIF(#REF!,Tabela2[[#This Row],[IdxWspolny]])&gt;0,"ELEM_lub_PRD","TECHN")</f>
        <v>#REF!</v>
      </c>
      <c r="L2918" t="e">
        <f>IF(COUNTIF(#REF!,Tabela2[[#This Row],[KOD_PRODUKTU]])&gt;0,"ELEMENT","PRODUKT")</f>
        <v>#REF!</v>
      </c>
      <c r="M2918" t="e">
        <f>COUNTIF(#REF!,Tabela2[[#This Row],[KOD_PRODUKTU]])</f>
        <v>#REF!</v>
      </c>
    </row>
    <row r="2919" spans="1:14" x14ac:dyDescent="0.25">
      <c r="A2919" s="1" t="s">
        <v>4510</v>
      </c>
      <c r="B2919" t="s">
        <v>4511</v>
      </c>
      <c r="C2919" s="1" t="s">
        <v>4479</v>
      </c>
      <c r="D2919" s="1" t="s">
        <v>4479</v>
      </c>
      <c r="E2919" s="1" t="s">
        <v>4479</v>
      </c>
      <c r="F2919" t="s">
        <v>4480</v>
      </c>
      <c r="G2919" t="s">
        <v>151</v>
      </c>
      <c r="H2919" t="s">
        <v>121</v>
      </c>
      <c r="I2919" t="s">
        <v>92</v>
      </c>
      <c r="J2919">
        <v>4</v>
      </c>
      <c r="K2919" t="e">
        <f>IF(COUNTIF(#REF!,Tabela2[[#This Row],[IdxWspolny]])&gt;0,"ELEM_lub_PRD","TECHN")</f>
        <v>#REF!</v>
      </c>
      <c r="L2919" t="e">
        <f>IF(COUNTIF(#REF!,Tabela2[[#This Row],[KOD_PRODUKTU]])&gt;0,"ELEMENT","PRODUKT")</f>
        <v>#REF!</v>
      </c>
      <c r="M2919" t="e">
        <f>COUNTIF(#REF!,Tabela2[[#This Row],[KOD_PRODUKTU]])</f>
        <v>#REF!</v>
      </c>
    </row>
    <row r="2920" spans="1:14" x14ac:dyDescent="0.25">
      <c r="A2920" s="1" t="s">
        <v>4510</v>
      </c>
      <c r="B2920" t="s">
        <v>4511</v>
      </c>
      <c r="C2920" s="1" t="s">
        <v>4481</v>
      </c>
      <c r="D2920" s="1" t="s">
        <v>4481</v>
      </c>
      <c r="E2920" s="1" t="s">
        <v>4481</v>
      </c>
      <c r="F2920" t="s">
        <v>4482</v>
      </c>
      <c r="G2920" t="s">
        <v>4483</v>
      </c>
      <c r="H2920" t="s">
        <v>121</v>
      </c>
      <c r="I2920" t="s">
        <v>50</v>
      </c>
      <c r="J2920">
        <v>3.05</v>
      </c>
      <c r="K2920" t="e">
        <f>IF(COUNTIF(#REF!,Tabela2[[#This Row],[IdxWspolny]])&gt;0,"ELEM_lub_PRD","TECHN")</f>
        <v>#REF!</v>
      </c>
      <c r="L2920" t="e">
        <f>IF(COUNTIF(#REF!,Tabela2[[#This Row],[KOD_PRODUKTU]])&gt;0,"ELEMENT","PRODUKT")</f>
        <v>#REF!</v>
      </c>
      <c r="M2920" t="e">
        <f>COUNTIF(#REF!,Tabela2[[#This Row],[KOD_PRODUKTU]])</f>
        <v>#REF!</v>
      </c>
    </row>
    <row r="2921" spans="1:14" hidden="1" x14ac:dyDescent="0.25">
      <c r="A2921" s="1" t="s">
        <v>4510</v>
      </c>
      <c r="B2921" t="s">
        <v>4511</v>
      </c>
      <c r="C2921" s="1" t="s">
        <v>4513</v>
      </c>
      <c r="D2921" s="1" t="s">
        <v>4513</v>
      </c>
      <c r="E2921" s="1" t="s">
        <v>4513</v>
      </c>
      <c r="F2921" t="s">
        <v>4514</v>
      </c>
      <c r="G2921" t="s">
        <v>4515</v>
      </c>
      <c r="H2921" t="s">
        <v>121</v>
      </c>
      <c r="I2921" t="s">
        <v>50</v>
      </c>
      <c r="J2921">
        <v>43.92</v>
      </c>
      <c r="K2921" t="e">
        <f>IF(COUNTIF(#REF!,Tabela2[[#This Row],[IdxWspolny]])&gt;0,"ELEM_lub_PRD","TECHN")</f>
        <v>#REF!</v>
      </c>
      <c r="L2921" t="e">
        <f>IF(COUNTIF(#REF!,Tabela2[[#This Row],[KOD_PRODUKTU]])&gt;0,"ELEMENT","PRODUKT")</f>
        <v>#REF!</v>
      </c>
      <c r="M2921" t="e">
        <f>COUNTIF(#REF!,Tabela2[[#This Row],[KOD_PRODUKTU]])</f>
        <v>#REF!</v>
      </c>
      <c r="N2921" t="s">
        <v>55</v>
      </c>
    </row>
    <row r="2922" spans="1:14" x14ac:dyDescent="0.25">
      <c r="A2922" s="1" t="s">
        <v>4510</v>
      </c>
      <c r="B2922" t="s">
        <v>4511</v>
      </c>
      <c r="C2922" s="1" t="s">
        <v>857</v>
      </c>
      <c r="D2922" s="1" t="s">
        <v>857</v>
      </c>
      <c r="E2922" s="1" t="s">
        <v>857</v>
      </c>
      <c r="F2922" t="s">
        <v>858</v>
      </c>
      <c r="G2922" t="s">
        <v>686</v>
      </c>
      <c r="H2922" t="s">
        <v>49</v>
      </c>
      <c r="I2922" t="s">
        <v>4487</v>
      </c>
      <c r="J2922">
        <v>1.9</v>
      </c>
      <c r="K2922" t="e">
        <f>IF(COUNTIF(#REF!,Tabela2[[#This Row],[IdxWspolny]])&gt;0,"ELEM_lub_PRD","TECHN")</f>
        <v>#REF!</v>
      </c>
      <c r="L2922" t="e">
        <f>IF(COUNTIF(#REF!,Tabela2[[#This Row],[KOD_PRODUKTU]])&gt;0,"ELEMENT","PRODUKT")</f>
        <v>#REF!</v>
      </c>
      <c r="M2922" t="e">
        <f>COUNTIF(#REF!,Tabela2[[#This Row],[KOD_PRODUKTU]])</f>
        <v>#REF!</v>
      </c>
    </row>
    <row r="2923" spans="1:14" x14ac:dyDescent="0.25">
      <c r="A2923" s="1" t="s">
        <v>4510</v>
      </c>
      <c r="B2923" t="s">
        <v>4511</v>
      </c>
      <c r="C2923" s="1" t="s">
        <v>1989</v>
      </c>
      <c r="D2923" s="1" t="s">
        <v>1989</v>
      </c>
      <c r="E2923" s="1" t="s">
        <v>1989</v>
      </c>
      <c r="F2923" t="s">
        <v>1990</v>
      </c>
      <c r="G2923" t="s">
        <v>1991</v>
      </c>
      <c r="H2923" t="s">
        <v>435</v>
      </c>
      <c r="I2923" t="s">
        <v>4516</v>
      </c>
      <c r="J2923">
        <v>16.73</v>
      </c>
      <c r="K2923" t="e">
        <f>IF(COUNTIF(#REF!,Tabela2[[#This Row],[IdxWspolny]])&gt;0,"ELEM_lub_PRD","TECHN")</f>
        <v>#REF!</v>
      </c>
      <c r="L2923" t="e">
        <f>IF(COUNTIF(#REF!,Tabela2[[#This Row],[KOD_PRODUKTU]])&gt;0,"ELEMENT","PRODUKT")</f>
        <v>#REF!</v>
      </c>
      <c r="M2923" t="e">
        <f>COUNTIF(#REF!,Tabela2[[#This Row],[KOD_PRODUKTU]])</f>
        <v>#REF!</v>
      </c>
    </row>
    <row r="2924" spans="1:14" x14ac:dyDescent="0.25">
      <c r="A2924" s="1" t="s">
        <v>4510</v>
      </c>
      <c r="B2924" t="s">
        <v>4511</v>
      </c>
      <c r="C2924" s="1" t="s">
        <v>7</v>
      </c>
      <c r="D2924" s="1" t="s">
        <v>7</v>
      </c>
      <c r="E2924" s="1" t="s">
        <v>7</v>
      </c>
      <c r="F2924" t="s">
        <v>8</v>
      </c>
      <c r="G2924" t="s">
        <v>9</v>
      </c>
      <c r="H2924" t="s">
        <v>10</v>
      </c>
      <c r="I2924" t="s">
        <v>4517</v>
      </c>
      <c r="J2924">
        <v>38.57</v>
      </c>
      <c r="K2924" t="e">
        <f>IF(COUNTIF(#REF!,Tabela2[[#This Row],[IdxWspolny]])&gt;0,"ELEM_lub_PRD","TECHN")</f>
        <v>#REF!</v>
      </c>
      <c r="L2924" t="e">
        <f>IF(COUNTIF(#REF!,Tabela2[[#This Row],[KOD_PRODUKTU]])&gt;0,"ELEMENT","PRODUKT")</f>
        <v>#REF!</v>
      </c>
      <c r="M2924" t="e">
        <f>COUNTIF(#REF!,Tabela2[[#This Row],[KOD_PRODUKTU]])</f>
        <v>#REF!</v>
      </c>
    </row>
    <row r="2925" spans="1:14" x14ac:dyDescent="0.25">
      <c r="A2925" s="1" t="s">
        <v>4510</v>
      </c>
      <c r="B2925" t="s">
        <v>4511</v>
      </c>
      <c r="C2925" s="1" t="s">
        <v>7</v>
      </c>
      <c r="D2925" s="1" t="s">
        <v>7</v>
      </c>
      <c r="E2925" s="1" t="s">
        <v>7</v>
      </c>
      <c r="F2925" t="s">
        <v>8</v>
      </c>
      <c r="G2925" t="s">
        <v>9</v>
      </c>
      <c r="H2925" t="s">
        <v>10</v>
      </c>
      <c r="I2925" t="s">
        <v>4099</v>
      </c>
      <c r="J2925">
        <v>4.8899999999999997</v>
      </c>
      <c r="K2925" t="e">
        <f>IF(COUNTIF(#REF!,Tabela2[[#This Row],[IdxWspolny]])&gt;0,"ELEM_lub_PRD","TECHN")</f>
        <v>#REF!</v>
      </c>
      <c r="L2925" t="e">
        <f>IF(COUNTIF(#REF!,Tabela2[[#This Row],[KOD_PRODUKTU]])&gt;0,"ELEMENT","PRODUKT")</f>
        <v>#REF!</v>
      </c>
      <c r="M2925" t="e">
        <f>COUNTIF(#REF!,Tabela2[[#This Row],[KOD_PRODUKTU]])</f>
        <v>#REF!</v>
      </c>
    </row>
    <row r="2926" spans="1:14" x14ac:dyDescent="0.25">
      <c r="A2926" s="1" t="s">
        <v>4513</v>
      </c>
      <c r="B2926" t="s">
        <v>4518</v>
      </c>
      <c r="C2926" s="1" t="s">
        <v>4472</v>
      </c>
      <c r="D2926" s="1" t="s">
        <v>4472</v>
      </c>
      <c r="E2926" s="1" t="s">
        <v>4472</v>
      </c>
      <c r="F2926" t="s">
        <v>4473</v>
      </c>
      <c r="G2926" t="s">
        <v>4474</v>
      </c>
      <c r="H2926" t="s">
        <v>17</v>
      </c>
      <c r="I2926" t="s">
        <v>4519</v>
      </c>
      <c r="J2926">
        <v>4.45</v>
      </c>
      <c r="K2926" t="e">
        <f>IF(COUNTIF(#REF!,Tabela2[[#This Row],[IdxWspolny]])&gt;0,"ELEM_lub_PRD","TECHN")</f>
        <v>#REF!</v>
      </c>
      <c r="L2926" t="e">
        <f>IF(COUNTIF(#REF!,Tabela2[[#This Row],[KOD_PRODUKTU]])&gt;0,"ELEMENT","PRODUKT")</f>
        <v>#REF!</v>
      </c>
      <c r="M2926" t="e">
        <f>COUNTIF(#REF!,Tabela2[[#This Row],[KOD_PRODUKTU]])</f>
        <v>#REF!</v>
      </c>
    </row>
    <row r="2927" spans="1:14" x14ac:dyDescent="0.25">
      <c r="A2927" s="1" t="s">
        <v>4513</v>
      </c>
      <c r="B2927" t="s">
        <v>4518</v>
      </c>
      <c r="C2927" s="1" t="s">
        <v>4472</v>
      </c>
      <c r="D2927" s="1" t="s">
        <v>4472</v>
      </c>
      <c r="E2927" s="1" t="s">
        <v>4472</v>
      </c>
      <c r="F2927" t="s">
        <v>4473</v>
      </c>
      <c r="G2927" t="s">
        <v>4474</v>
      </c>
      <c r="H2927" t="s">
        <v>17</v>
      </c>
      <c r="I2927" t="s">
        <v>4520</v>
      </c>
      <c r="J2927">
        <v>20.11</v>
      </c>
      <c r="K2927" t="e">
        <f>IF(COUNTIF(#REF!,Tabela2[[#This Row],[IdxWspolny]])&gt;0,"ELEM_lub_PRD","TECHN")</f>
        <v>#REF!</v>
      </c>
      <c r="L2927" t="e">
        <f>IF(COUNTIF(#REF!,Tabela2[[#This Row],[KOD_PRODUKTU]])&gt;0,"ELEMENT","PRODUKT")</f>
        <v>#REF!</v>
      </c>
      <c r="M2927" t="e">
        <f>COUNTIF(#REF!,Tabela2[[#This Row],[KOD_PRODUKTU]])</f>
        <v>#REF!</v>
      </c>
    </row>
    <row r="2928" spans="1:14" x14ac:dyDescent="0.25">
      <c r="A2928" s="1" t="s">
        <v>4513</v>
      </c>
      <c r="B2928" t="s">
        <v>4518</v>
      </c>
      <c r="C2928" s="1" t="s">
        <v>857</v>
      </c>
      <c r="D2928" s="1" t="s">
        <v>857</v>
      </c>
      <c r="E2928" s="1" t="s">
        <v>857</v>
      </c>
      <c r="F2928" t="s">
        <v>858</v>
      </c>
      <c r="G2928" t="s">
        <v>686</v>
      </c>
      <c r="H2928" t="s">
        <v>49</v>
      </c>
      <c r="I2928" t="s">
        <v>4493</v>
      </c>
      <c r="J2928">
        <v>0.5</v>
      </c>
      <c r="K2928" t="e">
        <f>IF(COUNTIF(#REF!,Tabela2[[#This Row],[IdxWspolny]])&gt;0,"ELEM_lub_PRD","TECHN")</f>
        <v>#REF!</v>
      </c>
      <c r="L2928" t="e">
        <f>IF(COUNTIF(#REF!,Tabela2[[#This Row],[KOD_PRODUKTU]])&gt;0,"ELEMENT","PRODUKT")</f>
        <v>#REF!</v>
      </c>
      <c r="M2928" t="e">
        <f>COUNTIF(#REF!,Tabela2[[#This Row],[KOD_PRODUKTU]])</f>
        <v>#REF!</v>
      </c>
    </row>
    <row r="2929" spans="1:13" x14ac:dyDescent="0.25">
      <c r="A2929" s="1" t="s">
        <v>4513</v>
      </c>
      <c r="B2929" t="s">
        <v>4518</v>
      </c>
      <c r="C2929" s="1" t="s">
        <v>7</v>
      </c>
      <c r="D2929" s="1" t="s">
        <v>7</v>
      </c>
      <c r="E2929" s="1" t="s">
        <v>7</v>
      </c>
      <c r="F2929" t="s">
        <v>8</v>
      </c>
      <c r="G2929" t="s">
        <v>9</v>
      </c>
      <c r="H2929" t="s">
        <v>10</v>
      </c>
      <c r="I2929" t="s">
        <v>4495</v>
      </c>
      <c r="J2929">
        <v>9.61</v>
      </c>
      <c r="K2929" t="e">
        <f>IF(COUNTIF(#REF!,Tabela2[[#This Row],[IdxWspolny]])&gt;0,"ELEM_lub_PRD","TECHN")</f>
        <v>#REF!</v>
      </c>
      <c r="L2929" t="e">
        <f>IF(COUNTIF(#REF!,Tabela2[[#This Row],[KOD_PRODUKTU]])&gt;0,"ELEMENT","PRODUKT")</f>
        <v>#REF!</v>
      </c>
      <c r="M2929" t="e">
        <f>COUNTIF(#REF!,Tabela2[[#This Row],[KOD_PRODUKTU]])</f>
        <v>#REF!</v>
      </c>
    </row>
    <row r="2930" spans="1:13" x14ac:dyDescent="0.25">
      <c r="A2930" s="1" t="s">
        <v>4513</v>
      </c>
      <c r="B2930" t="s">
        <v>4518</v>
      </c>
      <c r="C2930" s="1" t="s">
        <v>7</v>
      </c>
      <c r="D2930" s="1" t="s">
        <v>7</v>
      </c>
      <c r="E2930" s="1" t="s">
        <v>7</v>
      </c>
      <c r="F2930" t="s">
        <v>8</v>
      </c>
      <c r="G2930" t="s">
        <v>9</v>
      </c>
      <c r="H2930" t="s">
        <v>10</v>
      </c>
      <c r="I2930" t="s">
        <v>4099</v>
      </c>
      <c r="J2930">
        <v>4.8899999999999997</v>
      </c>
      <c r="K2930" t="e">
        <f>IF(COUNTIF(#REF!,Tabela2[[#This Row],[IdxWspolny]])&gt;0,"ELEM_lub_PRD","TECHN")</f>
        <v>#REF!</v>
      </c>
      <c r="L2930" t="e">
        <f>IF(COUNTIF(#REF!,Tabela2[[#This Row],[KOD_PRODUKTU]])&gt;0,"ELEMENT","PRODUKT")</f>
        <v>#REF!</v>
      </c>
      <c r="M2930" t="e">
        <f>COUNTIF(#REF!,Tabela2[[#This Row],[KOD_PRODUKTU]])</f>
        <v>#REF!</v>
      </c>
    </row>
    <row r="2931" spans="1:13" x14ac:dyDescent="0.25">
      <c r="A2931" s="1" t="s">
        <v>4513</v>
      </c>
      <c r="B2931" t="s">
        <v>4518</v>
      </c>
      <c r="C2931" s="1" t="s">
        <v>7</v>
      </c>
      <c r="D2931" s="1" t="s">
        <v>7</v>
      </c>
      <c r="E2931" s="1" t="s">
        <v>7</v>
      </c>
      <c r="F2931" t="s">
        <v>8</v>
      </c>
      <c r="G2931" t="s">
        <v>9</v>
      </c>
      <c r="H2931" t="s">
        <v>10</v>
      </c>
      <c r="I2931" t="s">
        <v>4521</v>
      </c>
      <c r="J2931">
        <v>1</v>
      </c>
      <c r="K2931" t="e">
        <f>IF(COUNTIF(#REF!,Tabela2[[#This Row],[IdxWspolny]])&gt;0,"ELEM_lub_PRD","TECHN")</f>
        <v>#REF!</v>
      </c>
      <c r="L2931" t="e">
        <f>IF(COUNTIF(#REF!,Tabela2[[#This Row],[KOD_PRODUKTU]])&gt;0,"ELEMENT","PRODUKT")</f>
        <v>#REF!</v>
      </c>
      <c r="M2931" t="e">
        <f>COUNTIF(#REF!,Tabela2[[#This Row],[KOD_PRODUKTU]])</f>
        <v>#REF!</v>
      </c>
    </row>
    <row r="2932" spans="1:13" x14ac:dyDescent="0.25">
      <c r="A2932" s="1" t="s">
        <v>4513</v>
      </c>
      <c r="B2932" t="s">
        <v>4518</v>
      </c>
      <c r="C2932" s="1" t="s">
        <v>7</v>
      </c>
      <c r="D2932" s="1" t="s">
        <v>7</v>
      </c>
      <c r="E2932" s="1" t="s">
        <v>7</v>
      </c>
      <c r="F2932" t="s">
        <v>8</v>
      </c>
      <c r="G2932" t="s">
        <v>9</v>
      </c>
      <c r="H2932" t="s">
        <v>10</v>
      </c>
      <c r="I2932" t="s">
        <v>4522</v>
      </c>
      <c r="J2932">
        <v>3.36</v>
      </c>
      <c r="K2932" t="e">
        <f>IF(COUNTIF(#REF!,Tabela2[[#This Row],[IdxWspolny]])&gt;0,"ELEM_lub_PRD","TECHN")</f>
        <v>#REF!</v>
      </c>
      <c r="L2932" t="e">
        <f>IF(COUNTIF(#REF!,Tabela2[[#This Row],[KOD_PRODUKTU]])&gt;0,"ELEMENT","PRODUKT")</f>
        <v>#REF!</v>
      </c>
      <c r="M2932" t="e">
        <f>COUNTIF(#REF!,Tabela2[[#This Row],[KOD_PRODUKTU]])</f>
        <v>#REF!</v>
      </c>
    </row>
    <row r="2933" spans="1:13" x14ac:dyDescent="0.25">
      <c r="A2933" s="1" t="s">
        <v>4523</v>
      </c>
      <c r="B2933" t="s">
        <v>4524</v>
      </c>
      <c r="C2933" s="1" t="s">
        <v>3333</v>
      </c>
      <c r="D2933" s="1" t="s">
        <v>3333</v>
      </c>
      <c r="E2933" s="1" t="s">
        <v>3333</v>
      </c>
      <c r="F2933" t="s">
        <v>3334</v>
      </c>
      <c r="G2933" t="s">
        <v>140</v>
      </c>
      <c r="H2933" t="s">
        <v>49</v>
      </c>
      <c r="I2933" t="s">
        <v>50</v>
      </c>
      <c r="J2933">
        <v>10.75</v>
      </c>
      <c r="K2933" t="e">
        <f>IF(COUNTIF(#REF!,Tabela2[[#This Row],[IdxWspolny]])&gt;0,"ELEM_lub_PRD","TECHN")</f>
        <v>#REF!</v>
      </c>
      <c r="L2933" t="e">
        <f>IF(COUNTIF(#REF!,Tabela2[[#This Row],[KOD_PRODUKTU]])&gt;0,"ELEMENT","PRODUKT")</f>
        <v>#REF!</v>
      </c>
      <c r="M2933" t="e">
        <f>COUNTIF(#REF!,Tabela2[[#This Row],[KOD_PRODUKTU]])</f>
        <v>#REF!</v>
      </c>
    </row>
    <row r="2934" spans="1:13" x14ac:dyDescent="0.25">
      <c r="A2934" s="1" t="s">
        <v>4523</v>
      </c>
      <c r="B2934" t="s">
        <v>4524</v>
      </c>
      <c r="C2934" s="1" t="s">
        <v>7</v>
      </c>
      <c r="D2934" s="1" t="s">
        <v>7</v>
      </c>
      <c r="E2934" s="1" t="s">
        <v>7</v>
      </c>
      <c r="F2934" t="s">
        <v>8</v>
      </c>
      <c r="G2934" t="s">
        <v>9</v>
      </c>
      <c r="H2934" t="s">
        <v>10</v>
      </c>
      <c r="I2934" t="s">
        <v>4525</v>
      </c>
      <c r="J2934">
        <v>37.15</v>
      </c>
      <c r="K2934" t="e">
        <f>IF(COUNTIF(#REF!,Tabela2[[#This Row],[IdxWspolny]])&gt;0,"ELEM_lub_PRD","TECHN")</f>
        <v>#REF!</v>
      </c>
      <c r="L2934" t="e">
        <f>IF(COUNTIF(#REF!,Tabela2[[#This Row],[KOD_PRODUKTU]])&gt;0,"ELEMENT","PRODUKT")</f>
        <v>#REF!</v>
      </c>
      <c r="M2934" t="e">
        <f>COUNTIF(#REF!,Tabela2[[#This Row],[KOD_PRODUKTU]])</f>
        <v>#REF!</v>
      </c>
    </row>
    <row r="2935" spans="1:13" x14ac:dyDescent="0.25">
      <c r="A2935" s="1" t="s">
        <v>4526</v>
      </c>
      <c r="B2935" t="s">
        <v>4527</v>
      </c>
      <c r="C2935" s="1" t="s">
        <v>3333</v>
      </c>
      <c r="D2935" s="1" t="s">
        <v>3333</v>
      </c>
      <c r="E2935" s="1" t="s">
        <v>3333</v>
      </c>
      <c r="F2935" t="s">
        <v>3334</v>
      </c>
      <c r="G2935" t="s">
        <v>140</v>
      </c>
      <c r="H2935" t="s">
        <v>49</v>
      </c>
      <c r="I2935" t="s">
        <v>50</v>
      </c>
      <c r="J2935">
        <v>10.75</v>
      </c>
      <c r="K2935" t="e">
        <f>IF(COUNTIF(#REF!,Tabela2[[#This Row],[IdxWspolny]])&gt;0,"ELEM_lub_PRD","TECHN")</f>
        <v>#REF!</v>
      </c>
      <c r="L2935" t="e">
        <f>IF(COUNTIF(#REF!,Tabela2[[#This Row],[KOD_PRODUKTU]])&gt;0,"ELEMENT","PRODUKT")</f>
        <v>#REF!</v>
      </c>
      <c r="M2935" t="e">
        <f>COUNTIF(#REF!,Tabela2[[#This Row],[KOD_PRODUKTU]])</f>
        <v>#REF!</v>
      </c>
    </row>
    <row r="2936" spans="1:13" x14ac:dyDescent="0.25">
      <c r="A2936" s="1" t="s">
        <v>4526</v>
      </c>
      <c r="B2936" t="s">
        <v>4527</v>
      </c>
      <c r="C2936" s="1" t="s">
        <v>7</v>
      </c>
      <c r="D2936" s="1" t="s">
        <v>7</v>
      </c>
      <c r="E2936" s="1" t="s">
        <v>7</v>
      </c>
      <c r="F2936" t="s">
        <v>8</v>
      </c>
      <c r="G2936" t="s">
        <v>9</v>
      </c>
      <c r="H2936" t="s">
        <v>10</v>
      </c>
      <c r="I2936" t="s">
        <v>4528</v>
      </c>
      <c r="J2936">
        <v>40.68</v>
      </c>
      <c r="K2936" t="e">
        <f>IF(COUNTIF(#REF!,Tabela2[[#This Row],[IdxWspolny]])&gt;0,"ELEM_lub_PRD","TECHN")</f>
        <v>#REF!</v>
      </c>
      <c r="L2936" t="e">
        <f>IF(COUNTIF(#REF!,Tabela2[[#This Row],[KOD_PRODUKTU]])&gt;0,"ELEMENT","PRODUKT")</f>
        <v>#REF!</v>
      </c>
      <c r="M2936" t="e">
        <f>COUNTIF(#REF!,Tabela2[[#This Row],[KOD_PRODUKTU]])</f>
        <v>#REF!</v>
      </c>
    </row>
    <row r="2937" spans="1:13" x14ac:dyDescent="0.25">
      <c r="A2937" s="1" t="s">
        <v>4529</v>
      </c>
      <c r="B2937" t="s">
        <v>4530</v>
      </c>
      <c r="C2937" s="1" t="s">
        <v>1335</v>
      </c>
      <c r="D2937" s="1" t="s">
        <v>1335</v>
      </c>
      <c r="E2937" s="1" t="s">
        <v>1335</v>
      </c>
      <c r="F2937" t="s">
        <v>1336</v>
      </c>
      <c r="G2937" t="s">
        <v>3722</v>
      </c>
      <c r="H2937" t="s">
        <v>49</v>
      </c>
      <c r="I2937" t="s">
        <v>50</v>
      </c>
      <c r="J2937">
        <v>34</v>
      </c>
      <c r="K2937" t="e">
        <f>IF(COUNTIF(#REF!,Tabela2[[#This Row],[IdxWspolny]])&gt;0,"ELEM_lub_PRD","TECHN")</f>
        <v>#REF!</v>
      </c>
      <c r="L2937" t="e">
        <f>IF(COUNTIF(#REF!,Tabela2[[#This Row],[KOD_PRODUKTU]])&gt;0,"ELEMENT","PRODUKT")</f>
        <v>#REF!</v>
      </c>
      <c r="M2937" t="e">
        <f>COUNTIF(#REF!,Tabela2[[#This Row],[KOD_PRODUKTU]])</f>
        <v>#REF!</v>
      </c>
    </row>
    <row r="2938" spans="1:13" x14ac:dyDescent="0.25">
      <c r="A2938" s="1" t="s">
        <v>4529</v>
      </c>
      <c r="B2938" t="s">
        <v>4530</v>
      </c>
      <c r="C2938" s="1" t="s">
        <v>541</v>
      </c>
      <c r="D2938" s="1" t="s">
        <v>541</v>
      </c>
      <c r="E2938" s="1" t="s">
        <v>541</v>
      </c>
      <c r="F2938" t="s">
        <v>542</v>
      </c>
      <c r="G2938" t="s">
        <v>9</v>
      </c>
      <c r="H2938" t="s">
        <v>10</v>
      </c>
      <c r="I2938" t="s">
        <v>4531</v>
      </c>
      <c r="J2938">
        <v>25.79</v>
      </c>
      <c r="K2938" t="e">
        <f>IF(COUNTIF(#REF!,Tabela2[[#This Row],[IdxWspolny]])&gt;0,"ELEM_lub_PRD","TECHN")</f>
        <v>#REF!</v>
      </c>
      <c r="L2938" t="e">
        <f>IF(COUNTIF(#REF!,Tabela2[[#This Row],[KOD_PRODUKTU]])&gt;0,"ELEMENT","PRODUKT")</f>
        <v>#REF!</v>
      </c>
      <c r="M2938" t="e">
        <f>COUNTIF(#REF!,Tabela2[[#This Row],[KOD_PRODUKTU]])</f>
        <v>#REF!</v>
      </c>
    </row>
    <row r="2939" spans="1:13" x14ac:dyDescent="0.25">
      <c r="A2939" s="1" t="s">
        <v>4532</v>
      </c>
      <c r="B2939" t="s">
        <v>4533</v>
      </c>
      <c r="C2939" s="1" t="s">
        <v>1335</v>
      </c>
      <c r="D2939" s="1" t="s">
        <v>1335</v>
      </c>
      <c r="E2939" s="1" t="s">
        <v>1335</v>
      </c>
      <c r="F2939" t="s">
        <v>1336</v>
      </c>
      <c r="G2939" t="s">
        <v>3722</v>
      </c>
      <c r="H2939" t="s">
        <v>49</v>
      </c>
      <c r="I2939" t="s">
        <v>50</v>
      </c>
      <c r="J2939">
        <v>34</v>
      </c>
      <c r="K2939" t="e">
        <f>IF(COUNTIF(#REF!,Tabela2[[#This Row],[IdxWspolny]])&gt;0,"ELEM_lub_PRD","TECHN")</f>
        <v>#REF!</v>
      </c>
      <c r="L2939" t="e">
        <f>IF(COUNTIF(#REF!,Tabela2[[#This Row],[KOD_PRODUKTU]])&gt;0,"ELEMENT","PRODUKT")</f>
        <v>#REF!</v>
      </c>
      <c r="M2939" t="e">
        <f>COUNTIF(#REF!,Tabela2[[#This Row],[KOD_PRODUKTU]])</f>
        <v>#REF!</v>
      </c>
    </row>
    <row r="2940" spans="1:13" x14ac:dyDescent="0.25">
      <c r="A2940" s="1" t="s">
        <v>4532</v>
      </c>
      <c r="B2940" t="s">
        <v>4533</v>
      </c>
      <c r="C2940" s="1" t="s">
        <v>7</v>
      </c>
      <c r="D2940" s="1" t="s">
        <v>7</v>
      </c>
      <c r="E2940" s="1" t="s">
        <v>7</v>
      </c>
      <c r="F2940" t="s">
        <v>8</v>
      </c>
      <c r="G2940" t="s">
        <v>9</v>
      </c>
      <c r="H2940" t="s">
        <v>10</v>
      </c>
      <c r="I2940" t="s">
        <v>4534</v>
      </c>
      <c r="J2940">
        <v>41.17</v>
      </c>
      <c r="K2940" t="e">
        <f>IF(COUNTIF(#REF!,Tabela2[[#This Row],[IdxWspolny]])&gt;0,"ELEM_lub_PRD","TECHN")</f>
        <v>#REF!</v>
      </c>
      <c r="L2940" t="e">
        <f>IF(COUNTIF(#REF!,Tabela2[[#This Row],[KOD_PRODUKTU]])&gt;0,"ELEMENT","PRODUKT")</f>
        <v>#REF!</v>
      </c>
      <c r="M2940" t="e">
        <f>COUNTIF(#REF!,Tabela2[[#This Row],[KOD_PRODUKTU]])</f>
        <v>#REF!</v>
      </c>
    </row>
    <row r="2941" spans="1:13" x14ac:dyDescent="0.25">
      <c r="A2941" s="1" t="s">
        <v>4535</v>
      </c>
      <c r="B2941" t="s">
        <v>4536</v>
      </c>
      <c r="C2941" s="1" t="s">
        <v>1335</v>
      </c>
      <c r="D2941" s="1" t="s">
        <v>1335</v>
      </c>
      <c r="E2941" s="1" t="s">
        <v>1335</v>
      </c>
      <c r="F2941" t="s">
        <v>1336</v>
      </c>
      <c r="G2941" t="s">
        <v>3722</v>
      </c>
      <c r="H2941" t="s">
        <v>49</v>
      </c>
      <c r="I2941" t="s">
        <v>50</v>
      </c>
      <c r="J2941">
        <v>34</v>
      </c>
      <c r="K2941" t="e">
        <f>IF(COUNTIF(#REF!,Tabela2[[#This Row],[IdxWspolny]])&gt;0,"ELEM_lub_PRD","TECHN")</f>
        <v>#REF!</v>
      </c>
      <c r="L2941" t="e">
        <f>IF(COUNTIF(#REF!,Tabela2[[#This Row],[KOD_PRODUKTU]])&gt;0,"ELEMENT","PRODUKT")</f>
        <v>#REF!</v>
      </c>
      <c r="M2941" t="e">
        <f>COUNTIF(#REF!,Tabela2[[#This Row],[KOD_PRODUKTU]])</f>
        <v>#REF!</v>
      </c>
    </row>
    <row r="2942" spans="1:13" x14ac:dyDescent="0.25">
      <c r="A2942" s="1" t="s">
        <v>4535</v>
      </c>
      <c r="B2942" t="s">
        <v>4536</v>
      </c>
      <c r="C2942" s="1" t="s">
        <v>541</v>
      </c>
      <c r="D2942" s="1" t="s">
        <v>541</v>
      </c>
      <c r="E2942" s="1" t="s">
        <v>541</v>
      </c>
      <c r="F2942" t="s">
        <v>542</v>
      </c>
      <c r="G2942" t="s">
        <v>9</v>
      </c>
      <c r="H2942" t="s">
        <v>10</v>
      </c>
      <c r="I2942" t="s">
        <v>4537</v>
      </c>
      <c r="J2942">
        <v>41.16</v>
      </c>
      <c r="K2942" t="e">
        <f>IF(COUNTIF(#REF!,Tabela2[[#This Row],[IdxWspolny]])&gt;0,"ELEM_lub_PRD","TECHN")</f>
        <v>#REF!</v>
      </c>
      <c r="L2942" t="e">
        <f>IF(COUNTIF(#REF!,Tabela2[[#This Row],[KOD_PRODUKTU]])&gt;0,"ELEMENT","PRODUKT")</f>
        <v>#REF!</v>
      </c>
      <c r="M2942" t="e">
        <f>COUNTIF(#REF!,Tabela2[[#This Row],[KOD_PRODUKTU]])</f>
        <v>#REF!</v>
      </c>
    </row>
    <row r="2943" spans="1:13" x14ac:dyDescent="0.25">
      <c r="A2943" s="1" t="s">
        <v>4538</v>
      </c>
      <c r="B2943" t="s">
        <v>4539</v>
      </c>
      <c r="C2943" s="1" t="s">
        <v>1335</v>
      </c>
      <c r="D2943" s="1" t="s">
        <v>1335</v>
      </c>
      <c r="E2943" s="1" t="s">
        <v>1335</v>
      </c>
      <c r="F2943" t="s">
        <v>1336</v>
      </c>
      <c r="G2943" t="s">
        <v>3722</v>
      </c>
      <c r="H2943" t="s">
        <v>49</v>
      </c>
      <c r="I2943" t="s">
        <v>50</v>
      </c>
      <c r="J2943">
        <v>34</v>
      </c>
      <c r="K2943" t="e">
        <f>IF(COUNTIF(#REF!,Tabela2[[#This Row],[IdxWspolny]])&gt;0,"ELEM_lub_PRD","TECHN")</f>
        <v>#REF!</v>
      </c>
      <c r="L2943" t="e">
        <f>IF(COUNTIF(#REF!,Tabela2[[#This Row],[KOD_PRODUKTU]])&gt;0,"ELEMENT","PRODUKT")</f>
        <v>#REF!</v>
      </c>
      <c r="M2943" t="e">
        <f>COUNTIF(#REF!,Tabela2[[#This Row],[KOD_PRODUKTU]])</f>
        <v>#REF!</v>
      </c>
    </row>
    <row r="2944" spans="1:13" x14ac:dyDescent="0.25">
      <c r="A2944" s="1" t="s">
        <v>4538</v>
      </c>
      <c r="B2944" t="s">
        <v>4539</v>
      </c>
      <c r="C2944" s="1" t="s">
        <v>541</v>
      </c>
      <c r="D2944" s="1" t="s">
        <v>541</v>
      </c>
      <c r="E2944" s="1" t="s">
        <v>541</v>
      </c>
      <c r="F2944" t="s">
        <v>542</v>
      </c>
      <c r="G2944" t="s">
        <v>9</v>
      </c>
      <c r="H2944" t="s">
        <v>10</v>
      </c>
      <c r="I2944" t="s">
        <v>4534</v>
      </c>
      <c r="J2944">
        <v>41.17</v>
      </c>
      <c r="K2944" t="e">
        <f>IF(COUNTIF(#REF!,Tabela2[[#This Row],[IdxWspolny]])&gt;0,"ELEM_lub_PRD","TECHN")</f>
        <v>#REF!</v>
      </c>
      <c r="L2944" t="e">
        <f>IF(COUNTIF(#REF!,Tabela2[[#This Row],[KOD_PRODUKTU]])&gt;0,"ELEMENT","PRODUKT")</f>
        <v>#REF!</v>
      </c>
      <c r="M2944" t="e">
        <f>COUNTIF(#REF!,Tabela2[[#This Row],[KOD_PRODUKTU]])</f>
        <v>#REF!</v>
      </c>
    </row>
    <row r="2945" spans="1:13" x14ac:dyDescent="0.25">
      <c r="A2945" s="1" t="s">
        <v>4540</v>
      </c>
      <c r="B2945" t="s">
        <v>4541</v>
      </c>
      <c r="C2945" s="1" t="s">
        <v>1327</v>
      </c>
      <c r="D2945" s="1" t="s">
        <v>1327</v>
      </c>
      <c r="E2945" s="1" t="s">
        <v>1327</v>
      </c>
      <c r="F2945" t="s">
        <v>3727</v>
      </c>
      <c r="G2945" t="s">
        <v>1329</v>
      </c>
      <c r="H2945" t="s">
        <v>49</v>
      </c>
      <c r="I2945" t="s">
        <v>50</v>
      </c>
      <c r="J2945">
        <v>220</v>
      </c>
      <c r="K2945" t="e">
        <f>IF(COUNTIF(#REF!,Tabela2[[#This Row],[IdxWspolny]])&gt;0,"ELEM_lub_PRD","TECHN")</f>
        <v>#REF!</v>
      </c>
      <c r="L2945" t="e">
        <f>IF(COUNTIF(#REF!,Tabela2[[#This Row],[KOD_PRODUKTU]])&gt;0,"ELEMENT","PRODUKT")</f>
        <v>#REF!</v>
      </c>
      <c r="M2945" t="e">
        <f>COUNTIF(#REF!,Tabela2[[#This Row],[KOD_PRODUKTU]])</f>
        <v>#REF!</v>
      </c>
    </row>
    <row r="2946" spans="1:13" x14ac:dyDescent="0.25">
      <c r="A2946" s="1" t="s">
        <v>4540</v>
      </c>
      <c r="B2946" t="s">
        <v>4541</v>
      </c>
      <c r="C2946" s="1" t="s">
        <v>541</v>
      </c>
      <c r="D2946" s="1" t="s">
        <v>541</v>
      </c>
      <c r="E2946" s="1" t="s">
        <v>541</v>
      </c>
      <c r="F2946" t="s">
        <v>542</v>
      </c>
      <c r="G2946" t="s">
        <v>9</v>
      </c>
      <c r="H2946" t="s">
        <v>10</v>
      </c>
      <c r="I2946" t="s">
        <v>4542</v>
      </c>
      <c r="J2946">
        <v>38.89</v>
      </c>
      <c r="K2946" t="e">
        <f>IF(COUNTIF(#REF!,Tabela2[[#This Row],[IdxWspolny]])&gt;0,"ELEM_lub_PRD","TECHN")</f>
        <v>#REF!</v>
      </c>
      <c r="L2946" t="e">
        <f>IF(COUNTIF(#REF!,Tabela2[[#This Row],[KOD_PRODUKTU]])&gt;0,"ELEMENT","PRODUKT")</f>
        <v>#REF!</v>
      </c>
      <c r="M2946" t="e">
        <f>COUNTIF(#REF!,Tabela2[[#This Row],[KOD_PRODUKTU]])</f>
        <v>#REF!</v>
      </c>
    </row>
    <row r="2947" spans="1:13" x14ac:dyDescent="0.25">
      <c r="A2947" s="1" t="s">
        <v>4540</v>
      </c>
      <c r="B2947" t="s">
        <v>4541</v>
      </c>
      <c r="C2947" s="1" t="s">
        <v>541</v>
      </c>
      <c r="D2947" s="1" t="s">
        <v>541</v>
      </c>
      <c r="E2947" s="1" t="s">
        <v>541</v>
      </c>
      <c r="F2947" t="s">
        <v>542</v>
      </c>
      <c r="G2947" t="s">
        <v>9</v>
      </c>
      <c r="H2947" t="s">
        <v>10</v>
      </c>
      <c r="I2947" t="s">
        <v>4543</v>
      </c>
      <c r="J2947">
        <v>53</v>
      </c>
      <c r="K2947" t="e">
        <f>IF(COUNTIF(#REF!,Tabela2[[#This Row],[IdxWspolny]])&gt;0,"ELEM_lub_PRD","TECHN")</f>
        <v>#REF!</v>
      </c>
      <c r="L2947" t="e">
        <f>IF(COUNTIF(#REF!,Tabela2[[#This Row],[KOD_PRODUKTU]])&gt;0,"ELEMENT","PRODUKT")</f>
        <v>#REF!</v>
      </c>
      <c r="M2947" t="e">
        <f>COUNTIF(#REF!,Tabela2[[#This Row],[KOD_PRODUKTU]])</f>
        <v>#REF!</v>
      </c>
    </row>
    <row r="2948" spans="1:13" x14ac:dyDescent="0.25">
      <c r="A2948" s="1" t="s">
        <v>4544</v>
      </c>
      <c r="B2948" t="s">
        <v>4545</v>
      </c>
      <c r="C2948" s="1" t="s">
        <v>1041</v>
      </c>
      <c r="D2948" s="1" t="s">
        <v>1041</v>
      </c>
      <c r="E2948" s="1" t="s">
        <v>1041</v>
      </c>
      <c r="F2948" t="s">
        <v>4546</v>
      </c>
      <c r="G2948" t="s">
        <v>712</v>
      </c>
      <c r="H2948" t="s">
        <v>17</v>
      </c>
      <c r="I2948" t="s">
        <v>4547</v>
      </c>
      <c r="J2948">
        <v>24.8</v>
      </c>
      <c r="K2948" t="e">
        <f>IF(COUNTIF(#REF!,Tabela2[[#This Row],[IdxWspolny]])&gt;0,"ELEM_lub_PRD","TECHN")</f>
        <v>#REF!</v>
      </c>
      <c r="L2948" t="e">
        <f>IF(COUNTIF(#REF!,Tabela2[[#This Row],[KOD_PRODUKTU]])&gt;0,"ELEMENT","PRODUKT")</f>
        <v>#REF!</v>
      </c>
      <c r="M2948" t="e">
        <f>COUNTIF(#REF!,Tabela2[[#This Row],[KOD_PRODUKTU]])</f>
        <v>#REF!</v>
      </c>
    </row>
    <row r="2949" spans="1:13" x14ac:dyDescent="0.25">
      <c r="A2949" s="1" t="s">
        <v>4544</v>
      </c>
      <c r="B2949" t="s">
        <v>4545</v>
      </c>
      <c r="C2949" s="1" t="s">
        <v>7</v>
      </c>
      <c r="D2949" s="1" t="s">
        <v>7</v>
      </c>
      <c r="E2949" s="1" t="s">
        <v>7</v>
      </c>
      <c r="F2949" t="s">
        <v>8</v>
      </c>
      <c r="G2949" t="s">
        <v>9</v>
      </c>
      <c r="H2949" t="s">
        <v>10</v>
      </c>
      <c r="I2949" t="s">
        <v>19</v>
      </c>
      <c r="J2949">
        <v>4.5999999999999996</v>
      </c>
      <c r="K2949" t="e">
        <f>IF(COUNTIF(#REF!,Tabela2[[#This Row],[IdxWspolny]])&gt;0,"ELEM_lub_PRD","TECHN")</f>
        <v>#REF!</v>
      </c>
      <c r="L2949" t="e">
        <f>IF(COUNTIF(#REF!,Tabela2[[#This Row],[KOD_PRODUKTU]])&gt;0,"ELEMENT","PRODUKT")</f>
        <v>#REF!</v>
      </c>
      <c r="M2949" t="e">
        <f>COUNTIF(#REF!,Tabela2[[#This Row],[KOD_PRODUKTU]])</f>
        <v>#REF!</v>
      </c>
    </row>
    <row r="2950" spans="1:13" x14ac:dyDescent="0.25">
      <c r="A2950" s="1" t="s">
        <v>4548</v>
      </c>
      <c r="B2950" t="s">
        <v>4549</v>
      </c>
      <c r="C2950" s="1" t="s">
        <v>3407</v>
      </c>
      <c r="D2950" s="1" t="s">
        <v>3407</v>
      </c>
      <c r="E2950" s="1" t="s">
        <v>3407</v>
      </c>
      <c r="F2950" t="s">
        <v>3408</v>
      </c>
      <c r="G2950" t="s">
        <v>70</v>
      </c>
      <c r="H2950" t="s">
        <v>5</v>
      </c>
      <c r="I2950" t="s">
        <v>367</v>
      </c>
      <c r="J2950">
        <v>0.25</v>
      </c>
      <c r="K2950" t="e">
        <f>IF(COUNTIF(#REF!,Tabela2[[#This Row],[IdxWspolny]])&gt;0,"ELEM_lub_PRD","TECHN")</f>
        <v>#REF!</v>
      </c>
      <c r="L2950" t="e">
        <f>IF(COUNTIF(#REF!,Tabela2[[#This Row],[KOD_PRODUKTU]])&gt;0,"ELEMENT","PRODUKT")</f>
        <v>#REF!</v>
      </c>
      <c r="M2950" t="e">
        <f>COUNTIF(#REF!,Tabela2[[#This Row],[KOD_PRODUKTU]])</f>
        <v>#REF!</v>
      </c>
    </row>
    <row r="2951" spans="1:13" x14ac:dyDescent="0.25">
      <c r="A2951" s="1" t="s">
        <v>4548</v>
      </c>
      <c r="B2951" t="s">
        <v>4549</v>
      </c>
      <c r="C2951" s="1" t="s">
        <v>432</v>
      </c>
      <c r="D2951" s="1" t="s">
        <v>432</v>
      </c>
      <c r="E2951" s="1" t="s">
        <v>432</v>
      </c>
      <c r="F2951" t="s">
        <v>433</v>
      </c>
      <c r="G2951" t="s">
        <v>434</v>
      </c>
      <c r="H2951" t="s">
        <v>435</v>
      </c>
      <c r="I2951" t="s">
        <v>50</v>
      </c>
      <c r="J2951">
        <v>1.1000000000000001</v>
      </c>
      <c r="K2951" t="e">
        <f>IF(COUNTIF(#REF!,Tabela2[[#This Row],[IdxWspolny]])&gt;0,"ELEM_lub_PRD","TECHN")</f>
        <v>#REF!</v>
      </c>
      <c r="L2951" t="e">
        <f>IF(COUNTIF(#REF!,Tabela2[[#This Row],[KOD_PRODUKTU]])&gt;0,"ELEMENT","PRODUKT")</f>
        <v>#REF!</v>
      </c>
      <c r="M2951" t="e">
        <f>COUNTIF(#REF!,Tabela2[[#This Row],[KOD_PRODUKTU]])</f>
        <v>#REF!</v>
      </c>
    </row>
    <row r="2952" spans="1:13" x14ac:dyDescent="0.25">
      <c r="A2952" s="1" t="s">
        <v>4548</v>
      </c>
      <c r="B2952" t="s">
        <v>4549</v>
      </c>
      <c r="C2952" s="1" t="s">
        <v>7</v>
      </c>
      <c r="D2952" s="1" t="s">
        <v>7</v>
      </c>
      <c r="E2952" s="1" t="s">
        <v>7</v>
      </c>
      <c r="F2952" t="s">
        <v>8</v>
      </c>
      <c r="G2952" t="s">
        <v>9</v>
      </c>
      <c r="H2952" t="s">
        <v>10</v>
      </c>
      <c r="I2952" t="s">
        <v>33</v>
      </c>
      <c r="J2952">
        <v>9.1999999999999993</v>
      </c>
      <c r="K2952" t="e">
        <f>IF(COUNTIF(#REF!,Tabela2[[#This Row],[IdxWspolny]])&gt;0,"ELEM_lub_PRD","TECHN")</f>
        <v>#REF!</v>
      </c>
      <c r="L2952" t="e">
        <f>IF(COUNTIF(#REF!,Tabela2[[#This Row],[KOD_PRODUKTU]])&gt;0,"ELEMENT","PRODUKT")</f>
        <v>#REF!</v>
      </c>
      <c r="M2952" t="e">
        <f>COUNTIF(#REF!,Tabela2[[#This Row],[KOD_PRODUKTU]])</f>
        <v>#REF!</v>
      </c>
    </row>
    <row r="2953" spans="1:13" x14ac:dyDescent="0.25">
      <c r="A2953" s="1" t="s">
        <v>4550</v>
      </c>
      <c r="B2953" t="s">
        <v>4551</v>
      </c>
      <c r="C2953" s="1" t="s">
        <v>4552</v>
      </c>
      <c r="D2953" s="1" t="s">
        <v>4552</v>
      </c>
      <c r="E2953" s="1" t="s">
        <v>4552</v>
      </c>
      <c r="F2953" t="s">
        <v>4553</v>
      </c>
      <c r="G2953" t="s">
        <v>4554</v>
      </c>
      <c r="H2953" t="s">
        <v>5</v>
      </c>
      <c r="I2953" t="s">
        <v>4555</v>
      </c>
      <c r="J2953">
        <v>0.25</v>
      </c>
      <c r="K2953" t="e">
        <f>IF(COUNTIF(#REF!,Tabela2[[#This Row],[IdxWspolny]])&gt;0,"ELEM_lub_PRD","TECHN")</f>
        <v>#REF!</v>
      </c>
      <c r="L2953" t="e">
        <f>IF(COUNTIF(#REF!,Tabela2[[#This Row],[KOD_PRODUKTU]])&gt;0,"ELEMENT","PRODUKT")</f>
        <v>#REF!</v>
      </c>
      <c r="M2953" t="e">
        <f>COUNTIF(#REF!,Tabela2[[#This Row],[KOD_PRODUKTU]])</f>
        <v>#REF!</v>
      </c>
    </row>
    <row r="2954" spans="1:13" x14ac:dyDescent="0.25">
      <c r="A2954" s="1" t="s">
        <v>4550</v>
      </c>
      <c r="B2954" t="s">
        <v>4551</v>
      </c>
      <c r="C2954" s="1" t="s">
        <v>7</v>
      </c>
      <c r="D2954" s="1" t="s">
        <v>7</v>
      </c>
      <c r="E2954" s="1" t="s">
        <v>7</v>
      </c>
      <c r="F2954" t="s">
        <v>8</v>
      </c>
      <c r="G2954" t="s">
        <v>9</v>
      </c>
      <c r="H2954" t="s">
        <v>10</v>
      </c>
      <c r="I2954" t="s">
        <v>4556</v>
      </c>
      <c r="J2954">
        <v>2.56</v>
      </c>
      <c r="K2954" t="e">
        <f>IF(COUNTIF(#REF!,Tabela2[[#This Row],[IdxWspolny]])&gt;0,"ELEM_lub_PRD","TECHN")</f>
        <v>#REF!</v>
      </c>
      <c r="L2954" t="e">
        <f>IF(COUNTIF(#REF!,Tabela2[[#This Row],[KOD_PRODUKTU]])&gt;0,"ELEMENT","PRODUKT")</f>
        <v>#REF!</v>
      </c>
      <c r="M2954" t="e">
        <f>COUNTIF(#REF!,Tabela2[[#This Row],[KOD_PRODUKTU]])</f>
        <v>#REF!</v>
      </c>
    </row>
    <row r="2955" spans="1:13" x14ac:dyDescent="0.25">
      <c r="A2955" s="1" t="s">
        <v>4557</v>
      </c>
      <c r="B2955" t="s">
        <v>4558</v>
      </c>
      <c r="C2955" s="1" t="s">
        <v>2522</v>
      </c>
      <c r="D2955" s="1" t="s">
        <v>2522</v>
      </c>
      <c r="E2955" s="1" t="s">
        <v>2522</v>
      </c>
      <c r="F2955" t="s">
        <v>2523</v>
      </c>
      <c r="G2955" t="s">
        <v>1354</v>
      </c>
      <c r="H2955" t="s">
        <v>5</v>
      </c>
      <c r="I2955" t="s">
        <v>4559</v>
      </c>
      <c r="J2955">
        <v>5.9</v>
      </c>
      <c r="K2955" t="e">
        <f>IF(COUNTIF(#REF!,Tabela2[[#This Row],[IdxWspolny]])&gt;0,"ELEM_lub_PRD","TECHN")</f>
        <v>#REF!</v>
      </c>
      <c r="L2955" t="e">
        <f>IF(COUNTIF(#REF!,Tabela2[[#This Row],[KOD_PRODUKTU]])&gt;0,"ELEMENT","PRODUKT")</f>
        <v>#REF!</v>
      </c>
      <c r="M2955" t="e">
        <f>COUNTIF(#REF!,Tabela2[[#This Row],[KOD_PRODUKTU]])</f>
        <v>#REF!</v>
      </c>
    </row>
    <row r="2956" spans="1:13" x14ac:dyDescent="0.25">
      <c r="A2956" s="1" t="s">
        <v>4557</v>
      </c>
      <c r="B2956" t="s">
        <v>4558</v>
      </c>
      <c r="C2956" s="1" t="s">
        <v>7</v>
      </c>
      <c r="D2956" s="1" t="s">
        <v>7</v>
      </c>
      <c r="E2956" s="1" t="s">
        <v>7</v>
      </c>
      <c r="F2956" t="s">
        <v>8</v>
      </c>
      <c r="G2956" t="s">
        <v>9</v>
      </c>
      <c r="H2956" t="s">
        <v>10</v>
      </c>
      <c r="I2956" t="s">
        <v>367</v>
      </c>
      <c r="J2956">
        <v>2.2999999999999998</v>
      </c>
      <c r="K2956" t="e">
        <f>IF(COUNTIF(#REF!,Tabela2[[#This Row],[IdxWspolny]])&gt;0,"ELEM_lub_PRD","TECHN")</f>
        <v>#REF!</v>
      </c>
      <c r="L2956" t="e">
        <f>IF(COUNTIF(#REF!,Tabela2[[#This Row],[KOD_PRODUKTU]])&gt;0,"ELEMENT","PRODUKT")</f>
        <v>#REF!</v>
      </c>
      <c r="M2956" t="e">
        <f>COUNTIF(#REF!,Tabela2[[#This Row],[KOD_PRODUKTU]])</f>
        <v>#REF!</v>
      </c>
    </row>
    <row r="2957" spans="1:13" x14ac:dyDescent="0.25">
      <c r="A2957" s="1" t="s">
        <v>4560</v>
      </c>
      <c r="B2957" t="s">
        <v>4561</v>
      </c>
      <c r="C2957" s="1" t="s">
        <v>7</v>
      </c>
      <c r="D2957" s="1" t="s">
        <v>7</v>
      </c>
      <c r="E2957" s="1" t="s">
        <v>7</v>
      </c>
      <c r="F2957" t="s">
        <v>8</v>
      </c>
      <c r="G2957" t="s">
        <v>9</v>
      </c>
      <c r="H2957" t="s">
        <v>10</v>
      </c>
      <c r="I2957" t="s">
        <v>1966</v>
      </c>
      <c r="J2957">
        <v>1.93</v>
      </c>
      <c r="K2957" t="e">
        <f>IF(COUNTIF(#REF!,Tabela2[[#This Row],[IdxWspolny]])&gt;0,"ELEM_lub_PRD","TECHN")</f>
        <v>#REF!</v>
      </c>
      <c r="L2957" t="e">
        <f>IF(COUNTIF(#REF!,Tabela2[[#This Row],[KOD_PRODUKTU]])&gt;0,"ELEMENT","PRODUKT")</f>
        <v>#REF!</v>
      </c>
      <c r="M2957" t="e">
        <f>COUNTIF(#REF!,Tabela2[[#This Row],[KOD_PRODUKTU]])</f>
        <v>#REF!</v>
      </c>
    </row>
    <row r="2958" spans="1:13" x14ac:dyDescent="0.25">
      <c r="A2958" s="1" t="s">
        <v>4562</v>
      </c>
      <c r="B2958" t="s">
        <v>4563</v>
      </c>
      <c r="C2958" s="1" t="s">
        <v>7</v>
      </c>
      <c r="D2958" s="1" t="s">
        <v>7</v>
      </c>
      <c r="E2958" s="1" t="s">
        <v>7</v>
      </c>
      <c r="F2958" t="s">
        <v>8</v>
      </c>
      <c r="G2958" t="s">
        <v>9</v>
      </c>
      <c r="H2958" t="s">
        <v>10</v>
      </c>
      <c r="I2958" t="s">
        <v>3611</v>
      </c>
      <c r="J2958">
        <v>8.2100000000000009</v>
      </c>
      <c r="K2958" t="e">
        <f>IF(COUNTIF(#REF!,Tabela2[[#This Row],[IdxWspolny]])&gt;0,"ELEM_lub_PRD","TECHN")</f>
        <v>#REF!</v>
      </c>
      <c r="L2958" t="e">
        <f>IF(COUNTIF(#REF!,Tabela2[[#This Row],[KOD_PRODUKTU]])&gt;0,"ELEMENT","PRODUKT")</f>
        <v>#REF!</v>
      </c>
      <c r="M2958" t="e">
        <f>COUNTIF(#REF!,Tabela2[[#This Row],[KOD_PRODUKTU]])</f>
        <v>#REF!</v>
      </c>
    </row>
    <row r="2959" spans="1:13" x14ac:dyDescent="0.25">
      <c r="A2959" s="1" t="s">
        <v>4564</v>
      </c>
      <c r="B2959" t="s">
        <v>4565</v>
      </c>
      <c r="C2959" s="1" t="s">
        <v>1367</v>
      </c>
      <c r="D2959" s="1" t="s">
        <v>1367</v>
      </c>
      <c r="E2959" s="1" t="s">
        <v>1367</v>
      </c>
      <c r="F2959" t="s">
        <v>2132</v>
      </c>
      <c r="G2959" t="s">
        <v>1347</v>
      </c>
      <c r="H2959" t="s">
        <v>5</v>
      </c>
      <c r="I2959" t="s">
        <v>2770</v>
      </c>
      <c r="J2959">
        <v>0.15</v>
      </c>
      <c r="K2959" t="e">
        <f>IF(COUNTIF(#REF!,Tabela2[[#This Row],[IdxWspolny]])&gt;0,"ELEM_lub_PRD","TECHN")</f>
        <v>#REF!</v>
      </c>
      <c r="L2959" t="e">
        <f>IF(COUNTIF(#REF!,Tabela2[[#This Row],[KOD_PRODUKTU]])&gt;0,"ELEMENT","PRODUKT")</f>
        <v>#REF!</v>
      </c>
      <c r="M2959" t="e">
        <f>COUNTIF(#REF!,Tabela2[[#This Row],[KOD_PRODUKTU]])</f>
        <v>#REF!</v>
      </c>
    </row>
    <row r="2960" spans="1:13" x14ac:dyDescent="0.25">
      <c r="A2960" s="1" t="s">
        <v>4564</v>
      </c>
      <c r="B2960" t="s">
        <v>4565</v>
      </c>
      <c r="C2960" s="1" t="s">
        <v>7</v>
      </c>
      <c r="D2960" s="1" t="s">
        <v>7</v>
      </c>
      <c r="E2960" s="1" t="s">
        <v>7</v>
      </c>
      <c r="F2960" t="s">
        <v>8</v>
      </c>
      <c r="G2960" t="s">
        <v>9</v>
      </c>
      <c r="H2960" t="s">
        <v>10</v>
      </c>
      <c r="I2960" t="s">
        <v>4566</v>
      </c>
      <c r="J2960">
        <v>0.55000000000000004</v>
      </c>
      <c r="K2960" t="e">
        <f>IF(COUNTIF(#REF!,Tabela2[[#This Row],[IdxWspolny]])&gt;0,"ELEM_lub_PRD","TECHN")</f>
        <v>#REF!</v>
      </c>
      <c r="L2960" t="e">
        <f>IF(COUNTIF(#REF!,Tabela2[[#This Row],[KOD_PRODUKTU]])&gt;0,"ELEMENT","PRODUKT")</f>
        <v>#REF!</v>
      </c>
      <c r="M2960" t="e">
        <f>COUNTIF(#REF!,Tabela2[[#This Row],[KOD_PRODUKTU]])</f>
        <v>#REF!</v>
      </c>
    </row>
    <row r="2961" spans="1:14" x14ac:dyDescent="0.25">
      <c r="A2961" s="1" t="s">
        <v>4567</v>
      </c>
      <c r="B2961" t="s">
        <v>4568</v>
      </c>
      <c r="C2961" s="1" t="s">
        <v>1367</v>
      </c>
      <c r="D2961" s="1" t="s">
        <v>1367</v>
      </c>
      <c r="E2961" s="1" t="s">
        <v>1367</v>
      </c>
      <c r="F2961" t="s">
        <v>2132</v>
      </c>
      <c r="G2961" t="s">
        <v>1347</v>
      </c>
      <c r="H2961" t="s">
        <v>5</v>
      </c>
      <c r="I2961" t="s">
        <v>2770</v>
      </c>
      <c r="J2961">
        <v>0.15</v>
      </c>
      <c r="K2961" t="e">
        <f>IF(COUNTIF(#REF!,Tabela2[[#This Row],[IdxWspolny]])&gt;0,"ELEM_lub_PRD","TECHN")</f>
        <v>#REF!</v>
      </c>
      <c r="L2961" t="e">
        <f>IF(COUNTIF(#REF!,Tabela2[[#This Row],[KOD_PRODUKTU]])&gt;0,"ELEMENT","PRODUKT")</f>
        <v>#REF!</v>
      </c>
      <c r="M2961" t="e">
        <f>COUNTIF(#REF!,Tabela2[[#This Row],[KOD_PRODUKTU]])</f>
        <v>#REF!</v>
      </c>
    </row>
    <row r="2962" spans="1:14" x14ac:dyDescent="0.25">
      <c r="A2962" s="1" t="s">
        <v>4567</v>
      </c>
      <c r="B2962" t="s">
        <v>4568</v>
      </c>
      <c r="C2962" s="1" t="s">
        <v>541</v>
      </c>
      <c r="D2962" s="1" t="s">
        <v>541</v>
      </c>
      <c r="E2962" s="1" t="s">
        <v>541</v>
      </c>
      <c r="F2962" t="s">
        <v>542</v>
      </c>
      <c r="G2962" t="s">
        <v>9</v>
      </c>
      <c r="H2962" t="s">
        <v>10</v>
      </c>
      <c r="I2962" t="s">
        <v>4566</v>
      </c>
      <c r="J2962">
        <v>0.55000000000000004</v>
      </c>
      <c r="K2962" t="e">
        <f>IF(COUNTIF(#REF!,Tabela2[[#This Row],[IdxWspolny]])&gt;0,"ELEM_lub_PRD","TECHN")</f>
        <v>#REF!</v>
      </c>
      <c r="L2962" t="e">
        <f>IF(COUNTIF(#REF!,Tabela2[[#This Row],[KOD_PRODUKTU]])&gt;0,"ELEMENT","PRODUKT")</f>
        <v>#REF!</v>
      </c>
      <c r="M2962" t="e">
        <f>COUNTIF(#REF!,Tabela2[[#This Row],[KOD_PRODUKTU]])</f>
        <v>#REF!</v>
      </c>
    </row>
    <row r="2963" spans="1:14" x14ac:dyDescent="0.25">
      <c r="A2963" s="1" t="s">
        <v>502</v>
      </c>
      <c r="B2963" t="s">
        <v>503</v>
      </c>
      <c r="C2963" s="1" t="s">
        <v>684</v>
      </c>
      <c r="D2963" s="1" t="s">
        <v>684</v>
      </c>
      <c r="E2963" s="1" t="s">
        <v>684</v>
      </c>
      <c r="F2963" t="s">
        <v>685</v>
      </c>
      <c r="G2963" t="s">
        <v>686</v>
      </c>
      <c r="H2963" t="s">
        <v>49</v>
      </c>
      <c r="I2963" t="s">
        <v>4569</v>
      </c>
      <c r="J2963">
        <v>1.4</v>
      </c>
      <c r="K2963" t="e">
        <f>IF(COUNTIF(#REF!,Tabela2[[#This Row],[IdxWspolny]])&gt;0,"ELEM_lub_PRD","TECHN")</f>
        <v>#REF!</v>
      </c>
      <c r="L2963" t="e">
        <f>IF(COUNTIF(#REF!,Tabela2[[#This Row],[KOD_PRODUKTU]])&gt;0,"ELEMENT","PRODUKT")</f>
        <v>#REF!</v>
      </c>
      <c r="M2963" t="e">
        <f>COUNTIF(#REF!,Tabela2[[#This Row],[KOD_PRODUKTU]])</f>
        <v>#REF!</v>
      </c>
    </row>
    <row r="2964" spans="1:14" x14ac:dyDescent="0.25">
      <c r="A2964" s="1" t="s">
        <v>502</v>
      </c>
      <c r="B2964" t="s">
        <v>503</v>
      </c>
      <c r="C2964" s="1" t="s">
        <v>7</v>
      </c>
      <c r="D2964" s="1" t="s">
        <v>7</v>
      </c>
      <c r="E2964" s="1" t="s">
        <v>7</v>
      </c>
      <c r="F2964" t="s">
        <v>8</v>
      </c>
      <c r="G2964" t="s">
        <v>9</v>
      </c>
      <c r="H2964" t="s">
        <v>10</v>
      </c>
      <c r="I2964" t="s">
        <v>33</v>
      </c>
      <c r="J2964">
        <v>9.1999999999999993</v>
      </c>
      <c r="K2964" t="e">
        <f>IF(COUNTIF(#REF!,Tabela2[[#This Row],[IdxWspolny]])&gt;0,"ELEM_lub_PRD","TECHN")</f>
        <v>#REF!</v>
      </c>
      <c r="L2964" t="e">
        <f>IF(COUNTIF(#REF!,Tabela2[[#This Row],[KOD_PRODUKTU]])&gt;0,"ELEMENT","PRODUKT")</f>
        <v>#REF!</v>
      </c>
      <c r="M2964" t="e">
        <f>COUNTIF(#REF!,Tabela2[[#This Row],[KOD_PRODUKTU]])</f>
        <v>#REF!</v>
      </c>
    </row>
    <row r="2965" spans="1:14" x14ac:dyDescent="0.25">
      <c r="A2965" s="1" t="s">
        <v>4570</v>
      </c>
      <c r="B2965" t="s">
        <v>4571</v>
      </c>
      <c r="C2965" s="1" t="s">
        <v>4552</v>
      </c>
      <c r="D2965" s="1" t="s">
        <v>4552</v>
      </c>
      <c r="E2965" s="1" t="s">
        <v>4552</v>
      </c>
      <c r="F2965" t="s">
        <v>4553</v>
      </c>
      <c r="G2965" t="s">
        <v>4554</v>
      </c>
      <c r="H2965" t="s">
        <v>5</v>
      </c>
      <c r="I2965" t="s">
        <v>4118</v>
      </c>
      <c r="J2965">
        <v>7.45</v>
      </c>
      <c r="K2965" t="e">
        <f>IF(COUNTIF(#REF!,Tabela2[[#This Row],[IdxWspolny]])&gt;0,"ELEM_lub_PRD","TECHN")</f>
        <v>#REF!</v>
      </c>
      <c r="L2965" t="e">
        <f>IF(COUNTIF(#REF!,Tabela2[[#This Row],[KOD_PRODUKTU]])&gt;0,"ELEMENT","PRODUKT")</f>
        <v>#REF!</v>
      </c>
      <c r="M2965" t="e">
        <f>COUNTIF(#REF!,Tabela2[[#This Row],[KOD_PRODUKTU]])</f>
        <v>#REF!</v>
      </c>
    </row>
    <row r="2966" spans="1:14" x14ac:dyDescent="0.25">
      <c r="A2966" s="1" t="s">
        <v>4570</v>
      </c>
      <c r="B2966" t="s">
        <v>4571</v>
      </c>
      <c r="C2966" s="1" t="s">
        <v>7</v>
      </c>
      <c r="D2966" s="1" t="s">
        <v>7</v>
      </c>
      <c r="E2966" s="1" t="s">
        <v>7</v>
      </c>
      <c r="F2966" t="s">
        <v>8</v>
      </c>
      <c r="G2966" t="s">
        <v>9</v>
      </c>
      <c r="H2966" t="s">
        <v>10</v>
      </c>
      <c r="I2966" t="s">
        <v>1791</v>
      </c>
      <c r="J2966">
        <v>2.4500000000000002</v>
      </c>
      <c r="K2966" t="e">
        <f>IF(COUNTIF(#REF!,Tabela2[[#This Row],[IdxWspolny]])&gt;0,"ELEM_lub_PRD","TECHN")</f>
        <v>#REF!</v>
      </c>
      <c r="L2966" t="e">
        <f>IF(COUNTIF(#REF!,Tabela2[[#This Row],[KOD_PRODUKTU]])&gt;0,"ELEMENT","PRODUKT")</f>
        <v>#REF!</v>
      </c>
      <c r="M2966" t="e">
        <f>COUNTIF(#REF!,Tabela2[[#This Row],[KOD_PRODUKTU]])</f>
        <v>#REF!</v>
      </c>
    </row>
    <row r="2967" spans="1:14" x14ac:dyDescent="0.25">
      <c r="A2967" s="1" t="s">
        <v>4572</v>
      </c>
      <c r="B2967" t="s">
        <v>4573</v>
      </c>
      <c r="C2967" s="1" t="s">
        <v>1378</v>
      </c>
      <c r="D2967" s="1" t="s">
        <v>1378</v>
      </c>
      <c r="E2967" s="1" t="s">
        <v>1378</v>
      </c>
      <c r="F2967" t="s">
        <v>1379</v>
      </c>
      <c r="G2967" t="s">
        <v>1043</v>
      </c>
      <c r="H2967" t="s">
        <v>5</v>
      </c>
      <c r="I2967" t="s">
        <v>4468</v>
      </c>
      <c r="J2967">
        <v>0.2</v>
      </c>
      <c r="K2967" t="e">
        <f>IF(COUNTIF(#REF!,Tabela2[[#This Row],[IdxWspolny]])&gt;0,"ELEM_lub_PRD","TECHN")</f>
        <v>#REF!</v>
      </c>
      <c r="L2967" t="e">
        <f>IF(COUNTIF(#REF!,Tabela2[[#This Row],[KOD_PRODUKTU]])&gt;0,"ELEMENT","PRODUKT")</f>
        <v>#REF!</v>
      </c>
      <c r="M2967" t="e">
        <f>COUNTIF(#REF!,Tabela2[[#This Row],[KOD_PRODUKTU]])</f>
        <v>#REF!</v>
      </c>
    </row>
    <row r="2968" spans="1:14" x14ac:dyDescent="0.25">
      <c r="A2968" s="1" t="s">
        <v>4572</v>
      </c>
      <c r="B2968" t="s">
        <v>4573</v>
      </c>
      <c r="C2968" s="1" t="s">
        <v>7</v>
      </c>
      <c r="D2968" s="1" t="s">
        <v>7</v>
      </c>
      <c r="E2968" s="1" t="s">
        <v>7</v>
      </c>
      <c r="F2968" t="s">
        <v>8</v>
      </c>
      <c r="G2968" t="s">
        <v>9</v>
      </c>
      <c r="H2968" t="s">
        <v>10</v>
      </c>
      <c r="I2968" t="s">
        <v>4003</v>
      </c>
      <c r="J2968">
        <v>1.75</v>
      </c>
      <c r="K2968" t="e">
        <f>IF(COUNTIF(#REF!,Tabela2[[#This Row],[IdxWspolny]])&gt;0,"ELEM_lub_PRD","TECHN")</f>
        <v>#REF!</v>
      </c>
      <c r="L2968" t="e">
        <f>IF(COUNTIF(#REF!,Tabela2[[#This Row],[KOD_PRODUKTU]])&gt;0,"ELEMENT","PRODUKT")</f>
        <v>#REF!</v>
      </c>
      <c r="M2968" t="e">
        <f>COUNTIF(#REF!,Tabela2[[#This Row],[KOD_PRODUKTU]])</f>
        <v>#REF!</v>
      </c>
    </row>
    <row r="2969" spans="1:14" x14ac:dyDescent="0.25">
      <c r="A2969" s="1" t="s">
        <v>242</v>
      </c>
      <c r="B2969" t="s">
        <v>243</v>
      </c>
      <c r="C2969" s="1" t="s">
        <v>2522</v>
      </c>
      <c r="D2969" s="1" t="s">
        <v>2522</v>
      </c>
      <c r="E2969" s="1" t="s">
        <v>2522</v>
      </c>
      <c r="F2969" t="s">
        <v>2523</v>
      </c>
      <c r="G2969" t="s">
        <v>1354</v>
      </c>
      <c r="H2969" t="s">
        <v>5</v>
      </c>
      <c r="I2969" t="s">
        <v>3749</v>
      </c>
      <c r="J2969">
        <v>0.7</v>
      </c>
      <c r="K2969" t="e">
        <f>IF(COUNTIF(#REF!,Tabela2[[#This Row],[IdxWspolny]])&gt;0,"ELEM_lub_PRD","TECHN")</f>
        <v>#REF!</v>
      </c>
      <c r="L2969" t="e">
        <f>IF(COUNTIF(#REF!,Tabela2[[#This Row],[KOD_PRODUKTU]])&gt;0,"ELEMENT","PRODUKT")</f>
        <v>#REF!</v>
      </c>
      <c r="M2969" t="e">
        <f>COUNTIF(#REF!,Tabela2[[#This Row],[KOD_PRODUKTU]])</f>
        <v>#REF!</v>
      </c>
    </row>
    <row r="2970" spans="1:14" x14ac:dyDescent="0.25">
      <c r="A2970" s="1" t="s">
        <v>242</v>
      </c>
      <c r="B2970" t="s">
        <v>243</v>
      </c>
      <c r="C2970" s="1" t="s">
        <v>7</v>
      </c>
      <c r="D2970" s="1" t="s">
        <v>7</v>
      </c>
      <c r="E2970" s="1" t="s">
        <v>7</v>
      </c>
      <c r="F2970" t="s">
        <v>8</v>
      </c>
      <c r="G2970" t="s">
        <v>9</v>
      </c>
      <c r="H2970" t="s">
        <v>10</v>
      </c>
      <c r="I2970" t="s">
        <v>2518</v>
      </c>
      <c r="J2970">
        <v>2.4</v>
      </c>
      <c r="K2970" t="e">
        <f>IF(COUNTIF(#REF!,Tabela2[[#This Row],[IdxWspolny]])&gt;0,"ELEM_lub_PRD","TECHN")</f>
        <v>#REF!</v>
      </c>
      <c r="L2970" t="e">
        <f>IF(COUNTIF(#REF!,Tabela2[[#This Row],[KOD_PRODUKTU]])&gt;0,"ELEMENT","PRODUKT")</f>
        <v>#REF!</v>
      </c>
      <c r="M2970" t="e">
        <f>COUNTIF(#REF!,Tabela2[[#This Row],[KOD_PRODUKTU]])</f>
        <v>#REF!</v>
      </c>
    </row>
    <row r="2971" spans="1:14" x14ac:dyDescent="0.25">
      <c r="A2971" s="1" t="s">
        <v>4574</v>
      </c>
      <c r="B2971" t="s">
        <v>4575</v>
      </c>
      <c r="C2971" s="1" t="s">
        <v>4576</v>
      </c>
      <c r="D2971" s="1" t="s">
        <v>4576</v>
      </c>
      <c r="E2971" s="1" t="s">
        <v>4576</v>
      </c>
      <c r="F2971" t="s">
        <v>4577</v>
      </c>
      <c r="G2971" t="s">
        <v>4578</v>
      </c>
      <c r="H2971" t="s">
        <v>49</v>
      </c>
      <c r="I2971" t="s">
        <v>50</v>
      </c>
      <c r="J2971">
        <v>133.30000000000001</v>
      </c>
      <c r="K2971" t="e">
        <f>IF(COUNTIF(#REF!,Tabela2[[#This Row],[IdxWspolny]])&gt;0,"ELEM_lub_PRD","TECHN")</f>
        <v>#REF!</v>
      </c>
      <c r="L2971" t="e">
        <f>IF(COUNTIF(#REF!,Tabela2[[#This Row],[KOD_PRODUKTU]])&gt;0,"ELEMENT","PRODUKT")</f>
        <v>#REF!</v>
      </c>
      <c r="M2971" t="e">
        <f>COUNTIF(#REF!,Tabela2[[#This Row],[KOD_PRODUKTU]])</f>
        <v>#REF!</v>
      </c>
    </row>
    <row r="2972" spans="1:14" x14ac:dyDescent="0.25">
      <c r="A2972" s="1" t="s">
        <v>4574</v>
      </c>
      <c r="B2972" t="s">
        <v>4575</v>
      </c>
      <c r="C2972" s="1" t="s">
        <v>4579</v>
      </c>
      <c r="D2972" s="1" t="s">
        <v>4579</v>
      </c>
      <c r="E2972" s="1" t="s">
        <v>4579</v>
      </c>
      <c r="F2972" t="s">
        <v>4580</v>
      </c>
      <c r="G2972" t="s">
        <v>4578</v>
      </c>
      <c r="H2972" t="s">
        <v>49</v>
      </c>
      <c r="I2972" t="s">
        <v>50</v>
      </c>
      <c r="J2972">
        <v>133.30000000000001</v>
      </c>
      <c r="K2972" t="e">
        <f>IF(COUNTIF(#REF!,Tabela2[[#This Row],[IdxWspolny]])&gt;0,"ELEM_lub_PRD","TECHN")</f>
        <v>#REF!</v>
      </c>
      <c r="L2972" t="e">
        <f>IF(COUNTIF(#REF!,Tabela2[[#This Row],[KOD_PRODUKTU]])&gt;0,"ELEMENT","PRODUKT")</f>
        <v>#REF!</v>
      </c>
      <c r="M2972" t="e">
        <f>COUNTIF(#REF!,Tabela2[[#This Row],[KOD_PRODUKTU]])</f>
        <v>#REF!</v>
      </c>
    </row>
    <row r="2973" spans="1:14" x14ac:dyDescent="0.25">
      <c r="A2973" s="1" t="s">
        <v>4574</v>
      </c>
      <c r="B2973" t="s">
        <v>4575</v>
      </c>
      <c r="C2973" s="1" t="s">
        <v>4581</v>
      </c>
      <c r="D2973" s="1" t="s">
        <v>4581</v>
      </c>
      <c r="E2973" s="1" t="s">
        <v>4581</v>
      </c>
      <c r="F2973" t="s">
        <v>4582</v>
      </c>
      <c r="G2973" t="s">
        <v>4583</v>
      </c>
      <c r="H2973" t="s">
        <v>49</v>
      </c>
      <c r="I2973" t="s">
        <v>50</v>
      </c>
      <c r="J2973">
        <v>62</v>
      </c>
      <c r="K2973" t="e">
        <f>IF(COUNTIF(#REF!,Tabela2[[#This Row],[IdxWspolny]])&gt;0,"ELEM_lub_PRD","TECHN")</f>
        <v>#REF!</v>
      </c>
      <c r="L2973" t="e">
        <f>IF(COUNTIF(#REF!,Tabela2[[#This Row],[KOD_PRODUKTU]])&gt;0,"ELEMENT","PRODUKT")</f>
        <v>#REF!</v>
      </c>
      <c r="M2973" t="e">
        <f>COUNTIF(#REF!,Tabela2[[#This Row],[KOD_PRODUKTU]])</f>
        <v>#REF!</v>
      </c>
    </row>
    <row r="2974" spans="1:14" x14ac:dyDescent="0.25">
      <c r="A2974" s="1" t="s">
        <v>4574</v>
      </c>
      <c r="B2974" t="s">
        <v>4575</v>
      </c>
      <c r="C2974" s="1" t="s">
        <v>4584</v>
      </c>
      <c r="D2974" s="1" t="s">
        <v>4584</v>
      </c>
      <c r="E2974" s="1" t="s">
        <v>4584</v>
      </c>
      <c r="F2974" t="s">
        <v>4585</v>
      </c>
      <c r="G2974" t="s">
        <v>4586</v>
      </c>
      <c r="H2974" t="s">
        <v>49</v>
      </c>
      <c r="I2974" t="s">
        <v>50</v>
      </c>
      <c r="J2974">
        <v>52</v>
      </c>
      <c r="K2974" t="e">
        <f>IF(COUNTIF(#REF!,Tabela2[[#This Row],[IdxWspolny]])&gt;0,"ELEM_lub_PRD","TECHN")</f>
        <v>#REF!</v>
      </c>
      <c r="L2974" t="e">
        <f>IF(COUNTIF(#REF!,Tabela2[[#This Row],[KOD_PRODUKTU]])&gt;0,"ELEMENT","PRODUKT")</f>
        <v>#REF!</v>
      </c>
      <c r="M2974" t="e">
        <f>COUNTIF(#REF!,Tabela2[[#This Row],[KOD_PRODUKTU]])</f>
        <v>#REF!</v>
      </c>
    </row>
    <row r="2975" spans="1:14" x14ac:dyDescent="0.25">
      <c r="A2975" s="1" t="s">
        <v>4574</v>
      </c>
      <c r="B2975" t="s">
        <v>4575</v>
      </c>
      <c r="C2975" s="1" t="s">
        <v>4587</v>
      </c>
      <c r="D2975" s="1" t="s">
        <v>4587</v>
      </c>
      <c r="E2975" s="1" t="s">
        <v>4587</v>
      </c>
      <c r="F2975" t="s">
        <v>4588</v>
      </c>
      <c r="G2975" t="s">
        <v>151</v>
      </c>
      <c r="H2975" t="s">
        <v>49</v>
      </c>
      <c r="I2975" t="s">
        <v>92</v>
      </c>
      <c r="J2975">
        <v>4</v>
      </c>
      <c r="K2975" t="e">
        <f>IF(COUNTIF(#REF!,Tabela2[[#This Row],[IdxWspolny]])&gt;0,"ELEM_lub_PRD","TECHN")</f>
        <v>#REF!</v>
      </c>
      <c r="L2975" t="e">
        <f>IF(COUNTIF(#REF!,Tabela2[[#This Row],[KOD_PRODUKTU]])&gt;0,"ELEMENT","PRODUKT")</f>
        <v>#REF!</v>
      </c>
      <c r="M2975" t="e">
        <f>COUNTIF(#REF!,Tabela2[[#This Row],[KOD_PRODUKTU]])</f>
        <v>#REF!</v>
      </c>
    </row>
    <row r="2976" spans="1:14" hidden="1" x14ac:dyDescent="0.25">
      <c r="A2976" s="1" t="s">
        <v>4574</v>
      </c>
      <c r="B2976" t="s">
        <v>4575</v>
      </c>
      <c r="C2976" s="1" t="s">
        <v>4589</v>
      </c>
      <c r="D2976" s="1" t="s">
        <v>4589</v>
      </c>
      <c r="E2976" s="1" t="s">
        <v>4589</v>
      </c>
      <c r="F2976" t="s">
        <v>4590</v>
      </c>
      <c r="G2976" t="s">
        <v>4591</v>
      </c>
      <c r="H2976" t="s">
        <v>49</v>
      </c>
      <c r="I2976" t="s">
        <v>50</v>
      </c>
      <c r="J2976">
        <v>68.73</v>
      </c>
      <c r="K2976" t="e">
        <f>IF(COUNTIF(#REF!,Tabela2[[#This Row],[IdxWspolny]])&gt;0,"ELEM_lub_PRD","TECHN")</f>
        <v>#REF!</v>
      </c>
      <c r="L2976" t="e">
        <f>IF(COUNTIF(#REF!,Tabela2[[#This Row],[KOD_PRODUKTU]])&gt;0,"ELEMENT","PRODUKT")</f>
        <v>#REF!</v>
      </c>
      <c r="M2976" t="e">
        <f>COUNTIF(#REF!,Tabela2[[#This Row],[KOD_PRODUKTU]])</f>
        <v>#REF!</v>
      </c>
      <c r="N2976" t="s">
        <v>55</v>
      </c>
    </row>
    <row r="2977" spans="1:14" hidden="1" x14ac:dyDescent="0.25">
      <c r="A2977" s="1" t="s">
        <v>4574</v>
      </c>
      <c r="B2977" t="s">
        <v>4575</v>
      </c>
      <c r="C2977" s="1" t="s">
        <v>4592</v>
      </c>
      <c r="D2977" s="1" t="s">
        <v>2507</v>
      </c>
      <c r="E2977" s="1" t="s">
        <v>2507</v>
      </c>
      <c r="F2977" t="s">
        <v>2508</v>
      </c>
      <c r="G2977" t="s">
        <v>4593</v>
      </c>
      <c r="H2977" t="s">
        <v>121</v>
      </c>
      <c r="I2977" t="s">
        <v>50</v>
      </c>
      <c r="J2977">
        <v>22.55</v>
      </c>
      <c r="K2977" t="e">
        <f>IF(COUNTIF(#REF!,Tabela2[[#This Row],[IdxWspolny]])&gt;0,"ELEM_lub_PRD","TECHN")</f>
        <v>#REF!</v>
      </c>
      <c r="L2977" t="e">
        <f>IF(COUNTIF(#REF!,Tabela2[[#This Row],[KOD_PRODUKTU]])&gt;0,"ELEMENT","PRODUKT")</f>
        <v>#REF!</v>
      </c>
      <c r="M2977" t="e">
        <f>COUNTIF(#REF!,Tabela2[[#This Row],[KOD_PRODUKTU]])</f>
        <v>#REF!</v>
      </c>
      <c r="N2977" t="s">
        <v>51</v>
      </c>
    </row>
    <row r="2978" spans="1:14" x14ac:dyDescent="0.25">
      <c r="A2978" s="1" t="s">
        <v>4574</v>
      </c>
      <c r="B2978" t="s">
        <v>4575</v>
      </c>
      <c r="C2978" s="1" t="s">
        <v>857</v>
      </c>
      <c r="D2978" s="1" t="s">
        <v>857</v>
      </c>
      <c r="E2978" s="1" t="s">
        <v>857</v>
      </c>
      <c r="F2978" t="s">
        <v>858</v>
      </c>
      <c r="G2978" t="s">
        <v>686</v>
      </c>
      <c r="H2978" t="s">
        <v>49</v>
      </c>
      <c r="I2978" t="s">
        <v>4594</v>
      </c>
      <c r="J2978">
        <v>6</v>
      </c>
      <c r="K2978" t="e">
        <f>IF(COUNTIF(#REF!,Tabela2[[#This Row],[IdxWspolny]])&gt;0,"ELEM_lub_PRD","TECHN")</f>
        <v>#REF!</v>
      </c>
      <c r="L2978" t="e">
        <f>IF(COUNTIF(#REF!,Tabela2[[#This Row],[KOD_PRODUKTU]])&gt;0,"ELEMENT","PRODUKT")</f>
        <v>#REF!</v>
      </c>
      <c r="M2978" t="e">
        <f>COUNTIF(#REF!,Tabela2[[#This Row],[KOD_PRODUKTU]])</f>
        <v>#REF!</v>
      </c>
    </row>
    <row r="2979" spans="1:14" x14ac:dyDescent="0.25">
      <c r="A2979" s="1" t="s">
        <v>4574</v>
      </c>
      <c r="B2979" t="s">
        <v>4575</v>
      </c>
      <c r="C2979" s="1" t="s">
        <v>7</v>
      </c>
      <c r="D2979" s="1" t="s">
        <v>7</v>
      </c>
      <c r="E2979" s="1" t="s">
        <v>7</v>
      </c>
      <c r="F2979" t="s">
        <v>8</v>
      </c>
      <c r="G2979" t="s">
        <v>9</v>
      </c>
      <c r="H2979" t="s">
        <v>10</v>
      </c>
      <c r="I2979" t="s">
        <v>1254</v>
      </c>
      <c r="J2979">
        <v>16.100000000000001</v>
      </c>
      <c r="K2979" t="e">
        <f>IF(COUNTIF(#REF!,Tabela2[[#This Row],[IdxWspolny]])&gt;0,"ELEM_lub_PRD","TECHN")</f>
        <v>#REF!</v>
      </c>
      <c r="L2979" t="e">
        <f>IF(COUNTIF(#REF!,Tabela2[[#This Row],[KOD_PRODUKTU]])&gt;0,"ELEMENT","PRODUKT")</f>
        <v>#REF!</v>
      </c>
      <c r="M2979" t="e">
        <f>COUNTIF(#REF!,Tabela2[[#This Row],[KOD_PRODUKTU]])</f>
        <v>#REF!</v>
      </c>
    </row>
    <row r="2980" spans="1:14" x14ac:dyDescent="0.25">
      <c r="A2980" s="1" t="s">
        <v>4574</v>
      </c>
      <c r="B2980" t="s">
        <v>4575</v>
      </c>
      <c r="C2980" s="1" t="s">
        <v>7</v>
      </c>
      <c r="D2980" s="1" t="s">
        <v>7</v>
      </c>
      <c r="E2980" s="1" t="s">
        <v>7</v>
      </c>
      <c r="F2980" t="s">
        <v>8</v>
      </c>
      <c r="G2980" t="s">
        <v>9</v>
      </c>
      <c r="H2980" t="s">
        <v>10</v>
      </c>
      <c r="I2980" t="s">
        <v>3307</v>
      </c>
      <c r="J2980">
        <v>55.2</v>
      </c>
      <c r="K2980" t="e">
        <f>IF(COUNTIF(#REF!,Tabela2[[#This Row],[IdxWspolny]])&gt;0,"ELEM_lub_PRD","TECHN")</f>
        <v>#REF!</v>
      </c>
      <c r="L2980" t="e">
        <f>IF(COUNTIF(#REF!,Tabela2[[#This Row],[KOD_PRODUKTU]])&gt;0,"ELEMENT","PRODUKT")</f>
        <v>#REF!</v>
      </c>
      <c r="M2980" t="e">
        <f>COUNTIF(#REF!,Tabela2[[#This Row],[KOD_PRODUKTU]])</f>
        <v>#REF!</v>
      </c>
    </row>
    <row r="2981" spans="1:14" x14ac:dyDescent="0.25">
      <c r="A2981" s="1" t="s">
        <v>4589</v>
      </c>
      <c r="B2981" t="s">
        <v>4590</v>
      </c>
      <c r="C2981" s="1" t="s">
        <v>4595</v>
      </c>
      <c r="D2981" s="1" t="s">
        <v>4595</v>
      </c>
      <c r="E2981" s="1" t="s">
        <v>4595</v>
      </c>
      <c r="F2981" t="s">
        <v>4596</v>
      </c>
      <c r="G2981" t="s">
        <v>803</v>
      </c>
      <c r="H2981" t="s">
        <v>49</v>
      </c>
      <c r="I2981" t="s">
        <v>50</v>
      </c>
      <c r="J2981">
        <v>48.1</v>
      </c>
      <c r="K2981" t="e">
        <f>IF(COUNTIF(#REF!,Tabela2[[#This Row],[IdxWspolny]])&gt;0,"ELEM_lub_PRD","TECHN")</f>
        <v>#REF!</v>
      </c>
      <c r="L2981" t="e">
        <f>IF(COUNTIF(#REF!,Tabela2[[#This Row],[KOD_PRODUKTU]])&gt;0,"ELEMENT","PRODUKT")</f>
        <v>#REF!</v>
      </c>
      <c r="M2981" t="e">
        <f>COUNTIF(#REF!,Tabela2[[#This Row],[KOD_PRODUKTU]])</f>
        <v>#REF!</v>
      </c>
    </row>
    <row r="2982" spans="1:14" x14ac:dyDescent="0.25">
      <c r="A2982" s="1" t="s">
        <v>4589</v>
      </c>
      <c r="B2982" t="s">
        <v>4590</v>
      </c>
      <c r="C2982" s="1" t="s">
        <v>857</v>
      </c>
      <c r="D2982" s="1" t="s">
        <v>857</v>
      </c>
      <c r="E2982" s="1" t="s">
        <v>857</v>
      </c>
      <c r="F2982" t="s">
        <v>858</v>
      </c>
      <c r="G2982" t="s">
        <v>686</v>
      </c>
      <c r="H2982" t="s">
        <v>49</v>
      </c>
      <c r="I2982" t="s">
        <v>3148</v>
      </c>
      <c r="J2982">
        <v>2</v>
      </c>
      <c r="K2982" t="e">
        <f>IF(COUNTIF(#REF!,Tabela2[[#This Row],[IdxWspolny]])&gt;0,"ELEM_lub_PRD","TECHN")</f>
        <v>#REF!</v>
      </c>
      <c r="L2982" t="e">
        <f>IF(COUNTIF(#REF!,Tabela2[[#This Row],[KOD_PRODUKTU]])&gt;0,"ELEMENT","PRODUKT")</f>
        <v>#REF!</v>
      </c>
      <c r="M2982" t="e">
        <f>COUNTIF(#REF!,Tabela2[[#This Row],[KOD_PRODUKTU]])</f>
        <v>#REF!</v>
      </c>
    </row>
    <row r="2983" spans="1:14" x14ac:dyDescent="0.25">
      <c r="A2983" s="1" t="s">
        <v>4589</v>
      </c>
      <c r="B2983" t="s">
        <v>4590</v>
      </c>
      <c r="C2983" s="1" t="s">
        <v>541</v>
      </c>
      <c r="D2983" s="1" t="s">
        <v>541</v>
      </c>
      <c r="E2983" s="1" t="s">
        <v>541</v>
      </c>
      <c r="F2983" t="s">
        <v>542</v>
      </c>
      <c r="G2983" t="s">
        <v>9</v>
      </c>
      <c r="H2983" t="s">
        <v>10</v>
      </c>
      <c r="I2983" t="s">
        <v>992</v>
      </c>
      <c r="J2983">
        <v>13.8</v>
      </c>
      <c r="K2983" t="e">
        <f>IF(COUNTIF(#REF!,Tabela2[[#This Row],[IdxWspolny]])&gt;0,"ELEM_lub_PRD","TECHN")</f>
        <v>#REF!</v>
      </c>
      <c r="L2983" t="e">
        <f>IF(COUNTIF(#REF!,Tabela2[[#This Row],[KOD_PRODUKTU]])&gt;0,"ELEMENT","PRODUKT")</f>
        <v>#REF!</v>
      </c>
      <c r="M2983" t="e">
        <f>COUNTIF(#REF!,Tabela2[[#This Row],[KOD_PRODUKTU]])</f>
        <v>#REF!</v>
      </c>
    </row>
    <row r="2984" spans="1:14" x14ac:dyDescent="0.25">
      <c r="A2984" s="1" t="s">
        <v>4589</v>
      </c>
      <c r="B2984" t="s">
        <v>4590</v>
      </c>
      <c r="C2984" s="1" t="s">
        <v>7</v>
      </c>
      <c r="D2984" s="1" t="s">
        <v>7</v>
      </c>
      <c r="E2984" s="1" t="s">
        <v>7</v>
      </c>
      <c r="F2984" t="s">
        <v>8</v>
      </c>
      <c r="G2984" t="s">
        <v>9</v>
      </c>
      <c r="H2984" t="s">
        <v>10</v>
      </c>
      <c r="I2984" t="s">
        <v>3047</v>
      </c>
      <c r="J2984">
        <v>4.83</v>
      </c>
      <c r="K2984" t="e">
        <f>IF(COUNTIF(#REF!,Tabela2[[#This Row],[IdxWspolny]])&gt;0,"ELEM_lub_PRD","TECHN")</f>
        <v>#REF!</v>
      </c>
      <c r="L2984" t="e">
        <f>IF(COUNTIF(#REF!,Tabela2[[#This Row],[KOD_PRODUKTU]])&gt;0,"ELEMENT","PRODUKT")</f>
        <v>#REF!</v>
      </c>
      <c r="M2984" t="e">
        <f>COUNTIF(#REF!,Tabela2[[#This Row],[KOD_PRODUKTU]])</f>
        <v>#REF!</v>
      </c>
    </row>
    <row r="2985" spans="1:14" x14ac:dyDescent="0.25">
      <c r="A2985" s="1" t="s">
        <v>4597</v>
      </c>
      <c r="B2985" t="s">
        <v>4598</v>
      </c>
      <c r="C2985" s="1" t="s">
        <v>4599</v>
      </c>
      <c r="D2985" s="1" t="s">
        <v>4599</v>
      </c>
      <c r="E2985" s="1" t="s">
        <v>4599</v>
      </c>
      <c r="F2985" t="s">
        <v>4600</v>
      </c>
      <c r="G2985" t="s">
        <v>4601</v>
      </c>
      <c r="H2985" t="s">
        <v>49</v>
      </c>
      <c r="I2985" t="s">
        <v>50</v>
      </c>
      <c r="J2985">
        <v>38.4</v>
      </c>
      <c r="K2985" t="e">
        <f>IF(COUNTIF(#REF!,Tabela2[[#This Row],[IdxWspolny]])&gt;0,"ELEM_lub_PRD","TECHN")</f>
        <v>#REF!</v>
      </c>
      <c r="L2985" t="e">
        <f>IF(COUNTIF(#REF!,Tabela2[[#This Row],[KOD_PRODUKTU]])&gt;0,"ELEMENT","PRODUKT")</f>
        <v>#REF!</v>
      </c>
      <c r="M2985" t="e">
        <f>COUNTIF(#REF!,Tabela2[[#This Row],[KOD_PRODUKTU]])</f>
        <v>#REF!</v>
      </c>
    </row>
    <row r="2986" spans="1:14" x14ac:dyDescent="0.25">
      <c r="A2986" s="1" t="s">
        <v>4597</v>
      </c>
      <c r="B2986" t="s">
        <v>4598</v>
      </c>
      <c r="C2986" s="1" t="s">
        <v>4602</v>
      </c>
      <c r="D2986" s="1" t="s">
        <v>4602</v>
      </c>
      <c r="E2986" s="1" t="s">
        <v>4602</v>
      </c>
      <c r="F2986" t="s">
        <v>4603</v>
      </c>
      <c r="G2986" t="s">
        <v>4604</v>
      </c>
      <c r="H2986" t="s">
        <v>49</v>
      </c>
      <c r="I2986" t="s">
        <v>50</v>
      </c>
      <c r="J2986">
        <v>48.4</v>
      </c>
      <c r="K2986" t="e">
        <f>IF(COUNTIF(#REF!,Tabela2[[#This Row],[IdxWspolny]])&gt;0,"ELEM_lub_PRD","TECHN")</f>
        <v>#REF!</v>
      </c>
      <c r="L2986" t="e">
        <f>IF(COUNTIF(#REF!,Tabela2[[#This Row],[KOD_PRODUKTU]])&gt;0,"ELEMENT","PRODUKT")</f>
        <v>#REF!</v>
      </c>
      <c r="M2986" t="e">
        <f>COUNTIF(#REF!,Tabela2[[#This Row],[KOD_PRODUKTU]])</f>
        <v>#REF!</v>
      </c>
    </row>
    <row r="2987" spans="1:14" x14ac:dyDescent="0.25">
      <c r="A2987" s="1" t="s">
        <v>4597</v>
      </c>
      <c r="B2987" t="s">
        <v>4598</v>
      </c>
      <c r="C2987" s="1" t="s">
        <v>857</v>
      </c>
      <c r="D2987" s="1" t="s">
        <v>857</v>
      </c>
      <c r="E2987" s="1" t="s">
        <v>857</v>
      </c>
      <c r="F2987" t="s">
        <v>858</v>
      </c>
      <c r="G2987" t="s">
        <v>686</v>
      </c>
      <c r="H2987" t="s">
        <v>49</v>
      </c>
      <c r="I2987" t="s">
        <v>4605</v>
      </c>
      <c r="J2987">
        <v>3</v>
      </c>
      <c r="K2987" t="e">
        <f>IF(COUNTIF(#REF!,Tabela2[[#This Row],[IdxWspolny]])&gt;0,"ELEM_lub_PRD","TECHN")</f>
        <v>#REF!</v>
      </c>
      <c r="L2987" t="e">
        <f>IF(COUNTIF(#REF!,Tabela2[[#This Row],[KOD_PRODUKTU]])&gt;0,"ELEMENT","PRODUKT")</f>
        <v>#REF!</v>
      </c>
      <c r="M2987" t="e">
        <f>COUNTIF(#REF!,Tabela2[[#This Row],[KOD_PRODUKTU]])</f>
        <v>#REF!</v>
      </c>
    </row>
    <row r="2988" spans="1:14" x14ac:dyDescent="0.25">
      <c r="A2988" s="1" t="s">
        <v>4597</v>
      </c>
      <c r="B2988" t="s">
        <v>4598</v>
      </c>
      <c r="C2988" s="1" t="s">
        <v>7</v>
      </c>
      <c r="D2988" s="1" t="s">
        <v>7</v>
      </c>
      <c r="E2988" s="1" t="s">
        <v>7</v>
      </c>
      <c r="F2988" t="s">
        <v>8</v>
      </c>
      <c r="G2988" t="s">
        <v>9</v>
      </c>
      <c r="H2988" t="s">
        <v>10</v>
      </c>
      <c r="I2988" t="s">
        <v>1254</v>
      </c>
      <c r="J2988">
        <v>16.100000000000001</v>
      </c>
      <c r="K2988" t="e">
        <f>IF(COUNTIF(#REF!,Tabela2[[#This Row],[IdxWspolny]])&gt;0,"ELEM_lub_PRD","TECHN")</f>
        <v>#REF!</v>
      </c>
      <c r="L2988" t="e">
        <f>IF(COUNTIF(#REF!,Tabela2[[#This Row],[KOD_PRODUKTU]])&gt;0,"ELEMENT","PRODUKT")</f>
        <v>#REF!</v>
      </c>
      <c r="M2988" t="e">
        <f>COUNTIF(#REF!,Tabela2[[#This Row],[KOD_PRODUKTU]])</f>
        <v>#REF!</v>
      </c>
    </row>
    <row r="2989" spans="1:14" x14ac:dyDescent="0.25">
      <c r="A2989" s="1" t="s">
        <v>4597</v>
      </c>
      <c r="B2989" t="s">
        <v>4598</v>
      </c>
      <c r="C2989" s="1" t="s">
        <v>7</v>
      </c>
      <c r="D2989" s="1" t="s">
        <v>7</v>
      </c>
      <c r="E2989" s="1" t="s">
        <v>7</v>
      </c>
      <c r="F2989" t="s">
        <v>8</v>
      </c>
      <c r="G2989" t="s">
        <v>9</v>
      </c>
      <c r="H2989" t="s">
        <v>10</v>
      </c>
      <c r="I2989" t="s">
        <v>2330</v>
      </c>
      <c r="J2989">
        <v>25.3</v>
      </c>
      <c r="K2989" t="e">
        <f>IF(COUNTIF(#REF!,Tabela2[[#This Row],[IdxWspolny]])&gt;0,"ELEM_lub_PRD","TECHN")</f>
        <v>#REF!</v>
      </c>
      <c r="L2989" t="e">
        <f>IF(COUNTIF(#REF!,Tabela2[[#This Row],[KOD_PRODUKTU]])&gt;0,"ELEMENT","PRODUKT")</f>
        <v>#REF!</v>
      </c>
      <c r="M2989" t="e">
        <f>COUNTIF(#REF!,Tabela2[[#This Row],[KOD_PRODUKTU]])</f>
        <v>#REF!</v>
      </c>
    </row>
    <row r="2990" spans="1:14" x14ac:dyDescent="0.25">
      <c r="A2990" s="1" t="s">
        <v>4606</v>
      </c>
      <c r="B2990" t="s">
        <v>4607</v>
      </c>
      <c r="C2990" s="1" t="s">
        <v>4608</v>
      </c>
      <c r="D2990" s="1" t="s">
        <v>4608</v>
      </c>
      <c r="E2990" s="1" t="s">
        <v>4608</v>
      </c>
      <c r="F2990" t="s">
        <v>4609</v>
      </c>
      <c r="G2990" t="s">
        <v>83</v>
      </c>
      <c r="H2990" t="s">
        <v>5</v>
      </c>
      <c r="I2990" t="s">
        <v>4610</v>
      </c>
      <c r="J2990">
        <v>8.4</v>
      </c>
      <c r="K2990" t="e">
        <f>IF(COUNTIF(#REF!,Tabela2[[#This Row],[IdxWspolny]])&gt;0,"ELEM_lub_PRD","TECHN")</f>
        <v>#REF!</v>
      </c>
      <c r="L2990" t="e">
        <f>IF(COUNTIF(#REF!,Tabela2[[#This Row],[KOD_PRODUKTU]])&gt;0,"ELEMENT","PRODUKT")</f>
        <v>#REF!</v>
      </c>
      <c r="M2990" t="e">
        <f>COUNTIF(#REF!,Tabela2[[#This Row],[KOD_PRODUKTU]])</f>
        <v>#REF!</v>
      </c>
    </row>
    <row r="2991" spans="1:14" x14ac:dyDescent="0.25">
      <c r="A2991" s="1" t="s">
        <v>4606</v>
      </c>
      <c r="B2991" t="s">
        <v>4607</v>
      </c>
      <c r="C2991" s="1" t="s">
        <v>7</v>
      </c>
      <c r="D2991" s="1" t="s">
        <v>7</v>
      </c>
      <c r="E2991" s="1" t="s">
        <v>7</v>
      </c>
      <c r="F2991" t="s">
        <v>8</v>
      </c>
      <c r="G2991" t="s">
        <v>9</v>
      </c>
      <c r="H2991" t="s">
        <v>10</v>
      </c>
      <c r="I2991" t="s">
        <v>4611</v>
      </c>
      <c r="J2991">
        <v>10.14</v>
      </c>
      <c r="K2991" t="e">
        <f>IF(COUNTIF(#REF!,Tabela2[[#This Row],[IdxWspolny]])&gt;0,"ELEM_lub_PRD","TECHN")</f>
        <v>#REF!</v>
      </c>
      <c r="L2991" t="e">
        <f>IF(COUNTIF(#REF!,Tabela2[[#This Row],[KOD_PRODUKTU]])&gt;0,"ELEMENT","PRODUKT")</f>
        <v>#REF!</v>
      </c>
      <c r="M2991" t="e">
        <f>COUNTIF(#REF!,Tabela2[[#This Row],[KOD_PRODUKTU]])</f>
        <v>#REF!</v>
      </c>
    </row>
    <row r="2992" spans="1:14" x14ac:dyDescent="0.25">
      <c r="A2992" s="1" t="s">
        <v>4612</v>
      </c>
      <c r="B2992" t="s">
        <v>4613</v>
      </c>
      <c r="C2992" s="1" t="s">
        <v>1378</v>
      </c>
      <c r="D2992" s="1" t="s">
        <v>1378</v>
      </c>
      <c r="E2992" s="1" t="s">
        <v>1378</v>
      </c>
      <c r="F2992" t="s">
        <v>1379</v>
      </c>
      <c r="G2992" t="s">
        <v>1043</v>
      </c>
      <c r="H2992" t="s">
        <v>5</v>
      </c>
      <c r="I2992" t="s">
        <v>3056</v>
      </c>
      <c r="J2992">
        <v>0.19</v>
      </c>
      <c r="K2992" t="e">
        <f>IF(COUNTIF(#REF!,Tabela2[[#This Row],[IdxWspolny]])&gt;0,"ELEM_lub_PRD","TECHN")</f>
        <v>#REF!</v>
      </c>
      <c r="L2992" t="e">
        <f>IF(COUNTIF(#REF!,Tabela2[[#This Row],[KOD_PRODUKTU]])&gt;0,"ELEMENT","PRODUKT")</f>
        <v>#REF!</v>
      </c>
      <c r="M2992" t="e">
        <f>COUNTIF(#REF!,Tabela2[[#This Row],[KOD_PRODUKTU]])</f>
        <v>#REF!</v>
      </c>
    </row>
    <row r="2993" spans="1:13" x14ac:dyDescent="0.25">
      <c r="A2993" s="1" t="s">
        <v>4612</v>
      </c>
      <c r="B2993" t="s">
        <v>4613</v>
      </c>
      <c r="C2993" s="1" t="s">
        <v>541</v>
      </c>
      <c r="D2993" s="1" t="s">
        <v>541</v>
      </c>
      <c r="E2993" s="1" t="s">
        <v>541</v>
      </c>
      <c r="F2993" t="s">
        <v>542</v>
      </c>
      <c r="G2993" t="s">
        <v>9</v>
      </c>
      <c r="H2993" t="s">
        <v>10</v>
      </c>
      <c r="I2993" t="s">
        <v>4614</v>
      </c>
      <c r="J2993">
        <v>1.01</v>
      </c>
      <c r="K2993" t="e">
        <f>IF(COUNTIF(#REF!,Tabela2[[#This Row],[IdxWspolny]])&gt;0,"ELEM_lub_PRD","TECHN")</f>
        <v>#REF!</v>
      </c>
      <c r="L2993" t="e">
        <f>IF(COUNTIF(#REF!,Tabela2[[#This Row],[KOD_PRODUKTU]])&gt;0,"ELEMENT","PRODUKT")</f>
        <v>#REF!</v>
      </c>
      <c r="M2993" t="e">
        <f>COUNTIF(#REF!,Tabela2[[#This Row],[KOD_PRODUKTU]])</f>
        <v>#REF!</v>
      </c>
    </row>
    <row r="2994" spans="1:13" x14ac:dyDescent="0.25">
      <c r="A2994" s="1" t="s">
        <v>4615</v>
      </c>
      <c r="B2994" t="s">
        <v>4616</v>
      </c>
      <c r="C2994" s="1" t="s">
        <v>895</v>
      </c>
      <c r="D2994" s="1" t="s">
        <v>895</v>
      </c>
      <c r="E2994" s="1" t="s">
        <v>895</v>
      </c>
      <c r="F2994" t="s">
        <v>896</v>
      </c>
      <c r="G2994" t="s">
        <v>897</v>
      </c>
      <c r="H2994" t="s">
        <v>39</v>
      </c>
      <c r="I2994" t="s">
        <v>25</v>
      </c>
      <c r="J2994">
        <v>0.56999999999999995</v>
      </c>
      <c r="K2994" t="e">
        <f>IF(COUNTIF(#REF!,Tabela2[[#This Row],[IdxWspolny]])&gt;0,"ELEM_lub_PRD","TECHN")</f>
        <v>#REF!</v>
      </c>
      <c r="L2994" t="e">
        <f>IF(COUNTIF(#REF!,Tabela2[[#This Row],[KOD_PRODUKTU]])&gt;0,"ELEMENT","PRODUKT")</f>
        <v>#REF!</v>
      </c>
      <c r="M2994" t="e">
        <f>COUNTIF(#REF!,Tabela2[[#This Row],[KOD_PRODUKTU]])</f>
        <v>#REF!</v>
      </c>
    </row>
    <row r="2995" spans="1:13" x14ac:dyDescent="0.25">
      <c r="A2995" s="1" t="s">
        <v>4615</v>
      </c>
      <c r="B2995" t="s">
        <v>4616</v>
      </c>
      <c r="C2995" s="1" t="s">
        <v>898</v>
      </c>
      <c r="D2995" s="1" t="s">
        <v>898</v>
      </c>
      <c r="E2995" s="1" t="s">
        <v>898</v>
      </c>
      <c r="F2995" t="s">
        <v>899</v>
      </c>
      <c r="G2995" t="s">
        <v>866</v>
      </c>
      <c r="H2995" t="s">
        <v>39</v>
      </c>
      <c r="I2995" t="s">
        <v>25</v>
      </c>
      <c r="J2995">
        <v>0.18</v>
      </c>
      <c r="K2995" t="e">
        <f>IF(COUNTIF(#REF!,Tabela2[[#This Row],[IdxWspolny]])&gt;0,"ELEM_lub_PRD","TECHN")</f>
        <v>#REF!</v>
      </c>
      <c r="L2995" t="e">
        <f>IF(COUNTIF(#REF!,Tabela2[[#This Row],[KOD_PRODUKTU]])&gt;0,"ELEMENT","PRODUKT")</f>
        <v>#REF!</v>
      </c>
      <c r="M2995" t="e">
        <f>COUNTIF(#REF!,Tabela2[[#This Row],[KOD_PRODUKTU]])</f>
        <v>#REF!</v>
      </c>
    </row>
    <row r="2996" spans="1:13" x14ac:dyDescent="0.25">
      <c r="A2996" s="1" t="s">
        <v>4615</v>
      </c>
      <c r="B2996" t="s">
        <v>4616</v>
      </c>
      <c r="C2996" s="1" t="s">
        <v>4617</v>
      </c>
      <c r="D2996" s="1" t="s">
        <v>4617</v>
      </c>
      <c r="E2996" s="1" t="s">
        <v>4617</v>
      </c>
      <c r="F2996" t="s">
        <v>2344</v>
      </c>
      <c r="G2996" t="s">
        <v>2345</v>
      </c>
      <c r="H2996" t="s">
        <v>39</v>
      </c>
      <c r="I2996" t="s">
        <v>1236</v>
      </c>
      <c r="J2996">
        <v>0.57999999999999996</v>
      </c>
      <c r="K2996" t="e">
        <f>IF(COUNTIF(#REF!,Tabela2[[#This Row],[IdxWspolny]])&gt;0,"ELEM_lub_PRD","TECHN")</f>
        <v>#REF!</v>
      </c>
      <c r="L2996" t="e">
        <f>IF(COUNTIF(#REF!,Tabela2[[#This Row],[KOD_PRODUKTU]])&gt;0,"ELEMENT","PRODUKT")</f>
        <v>#REF!</v>
      </c>
      <c r="M2996" t="e">
        <f>COUNTIF(#REF!,Tabela2[[#This Row],[KOD_PRODUKTU]])</f>
        <v>#REF!</v>
      </c>
    </row>
    <row r="2997" spans="1:13" x14ac:dyDescent="0.25">
      <c r="A2997" s="1" t="s">
        <v>4615</v>
      </c>
      <c r="B2997" t="s">
        <v>4616</v>
      </c>
      <c r="C2997" s="1" t="s">
        <v>867</v>
      </c>
      <c r="D2997" s="1" t="s">
        <v>867</v>
      </c>
      <c r="E2997" s="1" t="s">
        <v>867</v>
      </c>
      <c r="F2997" t="s">
        <v>4618</v>
      </c>
      <c r="G2997" t="s">
        <v>4619</v>
      </c>
      <c r="H2997" t="s">
        <v>39</v>
      </c>
      <c r="I2997" t="s">
        <v>25</v>
      </c>
      <c r="J2997">
        <v>2.7</v>
      </c>
      <c r="K2997" t="e">
        <f>IF(COUNTIF(#REF!,Tabela2[[#This Row],[IdxWspolny]])&gt;0,"ELEM_lub_PRD","TECHN")</f>
        <v>#REF!</v>
      </c>
      <c r="L2997" t="e">
        <f>IF(COUNTIF(#REF!,Tabela2[[#This Row],[KOD_PRODUKTU]])&gt;0,"ELEMENT","PRODUKT")</f>
        <v>#REF!</v>
      </c>
      <c r="M2997" t="e">
        <f>COUNTIF(#REF!,Tabela2[[#This Row],[KOD_PRODUKTU]])</f>
        <v>#REF!</v>
      </c>
    </row>
    <row r="2998" spans="1:13" x14ac:dyDescent="0.25">
      <c r="A2998" s="1" t="s">
        <v>4615</v>
      </c>
      <c r="B2998" t="s">
        <v>4616</v>
      </c>
      <c r="C2998" s="1" t="s">
        <v>41</v>
      </c>
      <c r="D2998" s="1" t="s">
        <v>41</v>
      </c>
      <c r="E2998" s="1" t="s">
        <v>41</v>
      </c>
      <c r="F2998" t="s">
        <v>42</v>
      </c>
      <c r="G2998" t="s">
        <v>513</v>
      </c>
      <c r="H2998" t="s">
        <v>5</v>
      </c>
      <c r="I2998" t="s">
        <v>44</v>
      </c>
      <c r="J2998">
        <v>0.01</v>
      </c>
      <c r="K2998" t="e">
        <f>IF(COUNTIF(#REF!,Tabela2[[#This Row],[IdxWspolny]])&gt;0,"ELEM_lub_PRD","TECHN")</f>
        <v>#REF!</v>
      </c>
      <c r="L2998" t="e">
        <f>IF(COUNTIF(#REF!,Tabela2[[#This Row],[KOD_PRODUKTU]])&gt;0,"ELEMENT","PRODUKT")</f>
        <v>#REF!</v>
      </c>
      <c r="M2998" t="e">
        <f>COUNTIF(#REF!,Tabela2[[#This Row],[KOD_PRODUKTU]])</f>
        <v>#REF!</v>
      </c>
    </row>
    <row r="2999" spans="1:13" x14ac:dyDescent="0.25">
      <c r="A2999" s="1" t="s">
        <v>4615</v>
      </c>
      <c r="B2999" t="s">
        <v>4616</v>
      </c>
      <c r="C2999" s="1" t="s">
        <v>4620</v>
      </c>
      <c r="D2999" s="1" t="s">
        <v>4620</v>
      </c>
      <c r="E2999" s="1" t="s">
        <v>4620</v>
      </c>
      <c r="F2999" t="s">
        <v>4621</v>
      </c>
      <c r="G2999" t="s">
        <v>4622</v>
      </c>
      <c r="H2999" t="s">
        <v>121</v>
      </c>
      <c r="I2999" t="s">
        <v>50</v>
      </c>
      <c r="J2999">
        <v>22.6</v>
      </c>
      <c r="K2999" t="e">
        <f>IF(COUNTIF(#REF!,Tabela2[[#This Row],[IdxWspolny]])&gt;0,"ELEM_lub_PRD","TECHN")</f>
        <v>#REF!</v>
      </c>
      <c r="L2999" t="e">
        <f>IF(COUNTIF(#REF!,Tabela2[[#This Row],[KOD_PRODUKTU]])&gt;0,"ELEMENT","PRODUKT")</f>
        <v>#REF!</v>
      </c>
      <c r="M2999" t="e">
        <f>COUNTIF(#REF!,Tabela2[[#This Row],[KOD_PRODUKTU]])</f>
        <v>#REF!</v>
      </c>
    </row>
    <row r="3000" spans="1:13" x14ac:dyDescent="0.25">
      <c r="A3000" s="1" t="s">
        <v>4615</v>
      </c>
      <c r="B3000" t="s">
        <v>4616</v>
      </c>
      <c r="C3000" s="1" t="s">
        <v>4623</v>
      </c>
      <c r="D3000" s="1" t="s">
        <v>4623</v>
      </c>
      <c r="E3000" s="1" t="s">
        <v>4623</v>
      </c>
      <c r="F3000" t="s">
        <v>4624</v>
      </c>
      <c r="G3000" t="s">
        <v>4625</v>
      </c>
      <c r="H3000" t="s">
        <v>121</v>
      </c>
      <c r="I3000" t="s">
        <v>50</v>
      </c>
      <c r="J3000">
        <v>41.6</v>
      </c>
      <c r="K3000" t="e">
        <f>IF(COUNTIF(#REF!,Tabela2[[#This Row],[IdxWspolny]])&gt;0,"ELEM_lub_PRD","TECHN")</f>
        <v>#REF!</v>
      </c>
      <c r="L3000" t="e">
        <f>IF(COUNTIF(#REF!,Tabela2[[#This Row],[KOD_PRODUKTU]])&gt;0,"ELEMENT","PRODUKT")</f>
        <v>#REF!</v>
      </c>
      <c r="M3000" t="e">
        <f>COUNTIF(#REF!,Tabela2[[#This Row],[KOD_PRODUKTU]])</f>
        <v>#REF!</v>
      </c>
    </row>
    <row r="3001" spans="1:13" x14ac:dyDescent="0.25">
      <c r="A3001" s="1" t="s">
        <v>4615</v>
      </c>
      <c r="B3001" t="s">
        <v>4616</v>
      </c>
      <c r="C3001" s="1" t="s">
        <v>4626</v>
      </c>
      <c r="D3001" s="1" t="s">
        <v>4626</v>
      </c>
      <c r="E3001" s="1" t="s">
        <v>4626</v>
      </c>
      <c r="F3001" t="s">
        <v>4627</v>
      </c>
      <c r="G3001" t="s">
        <v>4628</v>
      </c>
      <c r="H3001" t="s">
        <v>121</v>
      </c>
      <c r="I3001" t="s">
        <v>50</v>
      </c>
      <c r="J3001">
        <v>28.6</v>
      </c>
      <c r="K3001" t="e">
        <f>IF(COUNTIF(#REF!,Tabela2[[#This Row],[IdxWspolny]])&gt;0,"ELEM_lub_PRD","TECHN")</f>
        <v>#REF!</v>
      </c>
      <c r="L3001" t="e">
        <f>IF(COUNTIF(#REF!,Tabela2[[#This Row],[KOD_PRODUKTU]])&gt;0,"ELEMENT","PRODUKT")</f>
        <v>#REF!</v>
      </c>
      <c r="M3001" t="e">
        <f>COUNTIF(#REF!,Tabela2[[#This Row],[KOD_PRODUKTU]])</f>
        <v>#REF!</v>
      </c>
    </row>
    <row r="3002" spans="1:13" x14ac:dyDescent="0.25">
      <c r="A3002" s="1" t="s">
        <v>4615</v>
      </c>
      <c r="B3002" t="s">
        <v>4616</v>
      </c>
      <c r="C3002" s="1" t="s">
        <v>4629</v>
      </c>
      <c r="D3002" s="1" t="s">
        <v>4629</v>
      </c>
      <c r="E3002" s="1" t="s">
        <v>4629</v>
      </c>
      <c r="F3002" t="s">
        <v>4630</v>
      </c>
      <c r="G3002" t="s">
        <v>4631</v>
      </c>
      <c r="H3002" t="s">
        <v>121</v>
      </c>
      <c r="I3002" t="s">
        <v>50</v>
      </c>
      <c r="J3002">
        <v>32.6</v>
      </c>
      <c r="K3002" t="e">
        <f>IF(COUNTIF(#REF!,Tabela2[[#This Row],[IdxWspolny]])&gt;0,"ELEM_lub_PRD","TECHN")</f>
        <v>#REF!</v>
      </c>
      <c r="L3002" t="e">
        <f>IF(COUNTIF(#REF!,Tabela2[[#This Row],[KOD_PRODUKTU]])&gt;0,"ELEMENT","PRODUKT")</f>
        <v>#REF!</v>
      </c>
      <c r="M3002" t="e">
        <f>COUNTIF(#REF!,Tabela2[[#This Row],[KOD_PRODUKTU]])</f>
        <v>#REF!</v>
      </c>
    </row>
    <row r="3003" spans="1:13" x14ac:dyDescent="0.25">
      <c r="A3003" s="1" t="s">
        <v>4615</v>
      </c>
      <c r="B3003" t="s">
        <v>4616</v>
      </c>
      <c r="C3003" s="1" t="s">
        <v>4632</v>
      </c>
      <c r="D3003" s="1" t="s">
        <v>4632</v>
      </c>
      <c r="E3003" s="1" t="s">
        <v>4632</v>
      </c>
      <c r="F3003" t="s">
        <v>4633</v>
      </c>
      <c r="G3003" t="s">
        <v>4634</v>
      </c>
      <c r="H3003" t="s">
        <v>121</v>
      </c>
      <c r="I3003" t="s">
        <v>50</v>
      </c>
      <c r="J3003">
        <v>29.9</v>
      </c>
      <c r="K3003" t="e">
        <f>IF(COUNTIF(#REF!,Tabela2[[#This Row],[IdxWspolny]])&gt;0,"ELEM_lub_PRD","TECHN")</f>
        <v>#REF!</v>
      </c>
      <c r="L3003" t="e">
        <f>IF(COUNTIF(#REF!,Tabela2[[#This Row],[KOD_PRODUKTU]])&gt;0,"ELEMENT","PRODUKT")</f>
        <v>#REF!</v>
      </c>
      <c r="M3003" t="e">
        <f>COUNTIF(#REF!,Tabela2[[#This Row],[KOD_PRODUKTU]])</f>
        <v>#REF!</v>
      </c>
    </row>
    <row r="3004" spans="1:13" x14ac:dyDescent="0.25">
      <c r="A3004" s="1" t="s">
        <v>4615</v>
      </c>
      <c r="B3004" t="s">
        <v>4616</v>
      </c>
      <c r="C3004" s="1" t="s">
        <v>4635</v>
      </c>
      <c r="D3004" s="1" t="s">
        <v>4635</v>
      </c>
      <c r="E3004" s="1" t="s">
        <v>4635</v>
      </c>
      <c r="F3004" t="s">
        <v>4636</v>
      </c>
      <c r="G3004" t="s">
        <v>145</v>
      </c>
      <c r="H3004" t="s">
        <v>121</v>
      </c>
      <c r="I3004" t="s">
        <v>50</v>
      </c>
      <c r="J3004">
        <v>11.2</v>
      </c>
      <c r="K3004" t="e">
        <f>IF(COUNTIF(#REF!,Tabela2[[#This Row],[IdxWspolny]])&gt;0,"ELEM_lub_PRD","TECHN")</f>
        <v>#REF!</v>
      </c>
      <c r="L3004" t="e">
        <f>IF(COUNTIF(#REF!,Tabela2[[#This Row],[KOD_PRODUKTU]])&gt;0,"ELEMENT","PRODUKT")</f>
        <v>#REF!</v>
      </c>
      <c r="M3004" t="e">
        <f>COUNTIF(#REF!,Tabela2[[#This Row],[KOD_PRODUKTU]])</f>
        <v>#REF!</v>
      </c>
    </row>
    <row r="3005" spans="1:13" x14ac:dyDescent="0.25">
      <c r="A3005" s="1" t="s">
        <v>4615</v>
      </c>
      <c r="B3005" t="s">
        <v>4616</v>
      </c>
      <c r="C3005" s="1" t="s">
        <v>874</v>
      </c>
      <c r="D3005" s="1" t="s">
        <v>874</v>
      </c>
      <c r="E3005" s="1" t="s">
        <v>874</v>
      </c>
      <c r="F3005" t="s">
        <v>875</v>
      </c>
      <c r="G3005" t="s">
        <v>876</v>
      </c>
      <c r="H3005" t="s">
        <v>121</v>
      </c>
      <c r="I3005" t="s">
        <v>50</v>
      </c>
      <c r="J3005">
        <v>12</v>
      </c>
      <c r="K3005" t="e">
        <f>IF(COUNTIF(#REF!,Tabela2[[#This Row],[IdxWspolny]])&gt;0,"ELEM_lub_PRD","TECHN")</f>
        <v>#REF!</v>
      </c>
      <c r="L3005" t="e">
        <f>IF(COUNTIF(#REF!,Tabela2[[#This Row],[KOD_PRODUKTU]])&gt;0,"ELEMENT","PRODUKT")</f>
        <v>#REF!</v>
      </c>
      <c r="M3005" t="e">
        <f>COUNTIF(#REF!,Tabela2[[#This Row],[KOD_PRODUKTU]])</f>
        <v>#REF!</v>
      </c>
    </row>
    <row r="3006" spans="1:13" x14ac:dyDescent="0.25">
      <c r="A3006" s="1" t="s">
        <v>4615</v>
      </c>
      <c r="B3006" t="s">
        <v>4616</v>
      </c>
      <c r="C3006" s="1" t="s">
        <v>857</v>
      </c>
      <c r="D3006" s="1" t="s">
        <v>857</v>
      </c>
      <c r="E3006" s="1" t="s">
        <v>857</v>
      </c>
      <c r="F3006" t="s">
        <v>858</v>
      </c>
      <c r="G3006" t="s">
        <v>686</v>
      </c>
      <c r="H3006" t="s">
        <v>49</v>
      </c>
      <c r="I3006" t="s">
        <v>4637</v>
      </c>
      <c r="J3006">
        <v>20</v>
      </c>
      <c r="K3006" t="e">
        <f>IF(COUNTIF(#REF!,Tabela2[[#This Row],[IdxWspolny]])&gt;0,"ELEM_lub_PRD","TECHN")</f>
        <v>#REF!</v>
      </c>
      <c r="L3006" t="e">
        <f>IF(COUNTIF(#REF!,Tabela2[[#This Row],[KOD_PRODUKTU]])&gt;0,"ELEMENT","PRODUKT")</f>
        <v>#REF!</v>
      </c>
      <c r="M3006" t="e">
        <f>COUNTIF(#REF!,Tabela2[[#This Row],[KOD_PRODUKTU]])</f>
        <v>#REF!</v>
      </c>
    </row>
    <row r="3007" spans="1:13" x14ac:dyDescent="0.25">
      <c r="A3007" s="1" t="s">
        <v>4615</v>
      </c>
      <c r="B3007" t="s">
        <v>4616</v>
      </c>
      <c r="C3007" s="1" t="s">
        <v>688</v>
      </c>
      <c r="D3007" s="1" t="s">
        <v>688</v>
      </c>
      <c r="E3007" s="1" t="s">
        <v>688</v>
      </c>
      <c r="F3007" t="s">
        <v>810</v>
      </c>
      <c r="G3007" t="s">
        <v>9</v>
      </c>
      <c r="H3007" t="s">
        <v>10</v>
      </c>
      <c r="I3007" t="s">
        <v>860</v>
      </c>
      <c r="J3007">
        <v>23</v>
      </c>
      <c r="K3007" t="e">
        <f>IF(COUNTIF(#REF!,Tabela2[[#This Row],[IdxWspolny]])&gt;0,"ELEM_lub_PRD","TECHN")</f>
        <v>#REF!</v>
      </c>
      <c r="L3007" t="e">
        <f>IF(COUNTIF(#REF!,Tabela2[[#This Row],[KOD_PRODUKTU]])&gt;0,"ELEMENT","PRODUKT")</f>
        <v>#REF!</v>
      </c>
      <c r="M3007" t="e">
        <f>COUNTIF(#REF!,Tabela2[[#This Row],[KOD_PRODUKTU]])</f>
        <v>#REF!</v>
      </c>
    </row>
    <row r="3008" spans="1:13" x14ac:dyDescent="0.25">
      <c r="A3008" s="1" t="s">
        <v>4615</v>
      </c>
      <c r="B3008" t="s">
        <v>4616</v>
      </c>
      <c r="C3008" s="1" t="s">
        <v>7</v>
      </c>
      <c r="D3008" s="1" t="s">
        <v>7</v>
      </c>
      <c r="E3008" s="1" t="s">
        <v>7</v>
      </c>
      <c r="F3008" t="s">
        <v>8</v>
      </c>
      <c r="G3008" t="s">
        <v>9</v>
      </c>
      <c r="H3008" t="s">
        <v>10</v>
      </c>
      <c r="I3008" t="s">
        <v>4638</v>
      </c>
      <c r="J3008">
        <v>190</v>
      </c>
      <c r="K3008" t="e">
        <f>IF(COUNTIF(#REF!,Tabela2[[#This Row],[IdxWspolny]])&gt;0,"ELEM_lub_PRD","TECHN")</f>
        <v>#REF!</v>
      </c>
      <c r="L3008" t="e">
        <f>IF(COUNTIF(#REF!,Tabela2[[#This Row],[KOD_PRODUKTU]])&gt;0,"ELEMENT","PRODUKT")</f>
        <v>#REF!</v>
      </c>
      <c r="M3008" t="e">
        <f>COUNTIF(#REF!,Tabela2[[#This Row],[KOD_PRODUKTU]])</f>
        <v>#REF!</v>
      </c>
    </row>
    <row r="3009" spans="1:13" x14ac:dyDescent="0.25">
      <c r="A3009" s="1" t="s">
        <v>2385</v>
      </c>
      <c r="B3009" t="s">
        <v>2386</v>
      </c>
      <c r="C3009" s="1" t="s">
        <v>684</v>
      </c>
      <c r="D3009" s="1" t="s">
        <v>684</v>
      </c>
      <c r="E3009" s="1" t="s">
        <v>684</v>
      </c>
      <c r="F3009" t="s">
        <v>685</v>
      </c>
      <c r="G3009" t="s">
        <v>686</v>
      </c>
      <c r="H3009" t="s">
        <v>49</v>
      </c>
      <c r="I3009" t="s">
        <v>4639</v>
      </c>
      <c r="J3009">
        <v>100</v>
      </c>
      <c r="K3009" t="e">
        <f>IF(COUNTIF(#REF!,Tabela2[[#This Row],[IdxWspolny]])&gt;0,"ELEM_lub_PRD","TECHN")</f>
        <v>#REF!</v>
      </c>
      <c r="L3009" t="e">
        <f>IF(COUNTIF(#REF!,Tabela2[[#This Row],[KOD_PRODUKTU]])&gt;0,"ELEMENT","PRODUKT")</f>
        <v>#REF!</v>
      </c>
      <c r="M3009" t="e">
        <f>COUNTIF(#REF!,Tabela2[[#This Row],[KOD_PRODUKTU]])</f>
        <v>#REF!</v>
      </c>
    </row>
    <row r="3010" spans="1:13" x14ac:dyDescent="0.25">
      <c r="A3010" s="1" t="s">
        <v>2385</v>
      </c>
      <c r="B3010" t="s">
        <v>2386</v>
      </c>
      <c r="C3010" s="1" t="s">
        <v>7</v>
      </c>
      <c r="D3010" s="1" t="s">
        <v>7</v>
      </c>
      <c r="E3010" s="1" t="s">
        <v>7</v>
      </c>
      <c r="F3010" t="s">
        <v>8</v>
      </c>
      <c r="G3010" t="s">
        <v>9</v>
      </c>
      <c r="H3010" t="s">
        <v>10</v>
      </c>
      <c r="I3010" t="s">
        <v>1027</v>
      </c>
      <c r="J3010">
        <v>52.9</v>
      </c>
      <c r="K3010" t="e">
        <f>IF(COUNTIF(#REF!,Tabela2[[#This Row],[IdxWspolny]])&gt;0,"ELEM_lub_PRD","TECHN")</f>
        <v>#REF!</v>
      </c>
      <c r="L3010" t="e">
        <f>IF(COUNTIF(#REF!,Tabela2[[#This Row],[KOD_PRODUKTU]])&gt;0,"ELEMENT","PRODUKT")</f>
        <v>#REF!</v>
      </c>
      <c r="M3010" t="e">
        <f>COUNTIF(#REF!,Tabela2[[#This Row],[KOD_PRODUKTU]])</f>
        <v>#REF!</v>
      </c>
    </row>
    <row r="3011" spans="1:13" x14ac:dyDescent="0.25">
      <c r="A3011" s="1" t="s">
        <v>2388</v>
      </c>
      <c r="B3011" t="s">
        <v>2389</v>
      </c>
      <c r="C3011" s="1" t="s">
        <v>2703</v>
      </c>
      <c r="D3011" s="1" t="s">
        <v>2703</v>
      </c>
      <c r="E3011" s="1" t="s">
        <v>2703</v>
      </c>
      <c r="F3011" t="s">
        <v>2704</v>
      </c>
      <c r="G3011" t="s">
        <v>216</v>
      </c>
      <c r="H3011" t="s">
        <v>17</v>
      </c>
      <c r="I3011" t="s">
        <v>4640</v>
      </c>
      <c r="J3011">
        <v>1</v>
      </c>
      <c r="K3011" t="e">
        <f>IF(COUNTIF(#REF!,Tabela2[[#This Row],[IdxWspolny]])&gt;0,"ELEM_lub_PRD","TECHN")</f>
        <v>#REF!</v>
      </c>
      <c r="L3011" t="e">
        <f>IF(COUNTIF(#REF!,Tabela2[[#This Row],[KOD_PRODUKTU]])&gt;0,"ELEMENT","PRODUKT")</f>
        <v>#REF!</v>
      </c>
      <c r="M3011" t="e">
        <f>COUNTIF(#REF!,Tabela2[[#This Row],[KOD_PRODUKTU]])</f>
        <v>#REF!</v>
      </c>
    </row>
    <row r="3012" spans="1:13" x14ac:dyDescent="0.25">
      <c r="A3012" s="1" t="s">
        <v>2388</v>
      </c>
      <c r="B3012" t="s">
        <v>2389</v>
      </c>
      <c r="C3012" s="1" t="s">
        <v>2705</v>
      </c>
      <c r="D3012" s="1" t="s">
        <v>2705</v>
      </c>
      <c r="E3012" s="1" t="s">
        <v>2705</v>
      </c>
      <c r="F3012" t="s">
        <v>2706</v>
      </c>
      <c r="G3012" t="s">
        <v>2707</v>
      </c>
      <c r="H3012" t="s">
        <v>49</v>
      </c>
      <c r="I3012" t="s">
        <v>50</v>
      </c>
      <c r="J3012">
        <v>67</v>
      </c>
      <c r="K3012" t="e">
        <f>IF(COUNTIF(#REF!,Tabela2[[#This Row],[IdxWspolny]])&gt;0,"ELEM_lub_PRD","TECHN")</f>
        <v>#REF!</v>
      </c>
      <c r="L3012" t="e">
        <f>IF(COUNTIF(#REF!,Tabela2[[#This Row],[KOD_PRODUKTU]])&gt;0,"ELEMENT","PRODUKT")</f>
        <v>#REF!</v>
      </c>
      <c r="M3012" t="e">
        <f>COUNTIF(#REF!,Tabela2[[#This Row],[KOD_PRODUKTU]])</f>
        <v>#REF!</v>
      </c>
    </row>
    <row r="3013" spans="1:13" x14ac:dyDescent="0.25">
      <c r="A3013" s="1" t="s">
        <v>2388</v>
      </c>
      <c r="B3013" t="s">
        <v>2389</v>
      </c>
      <c r="C3013" s="1" t="s">
        <v>7</v>
      </c>
      <c r="D3013" s="1" t="s">
        <v>7</v>
      </c>
      <c r="E3013" s="1" t="s">
        <v>7</v>
      </c>
      <c r="F3013" t="s">
        <v>8</v>
      </c>
      <c r="G3013" t="s">
        <v>9</v>
      </c>
      <c r="H3013" t="s">
        <v>10</v>
      </c>
      <c r="I3013" t="s">
        <v>344</v>
      </c>
      <c r="J3013">
        <v>5.5</v>
      </c>
      <c r="K3013" t="e">
        <f>IF(COUNTIF(#REF!,Tabela2[[#This Row],[IdxWspolny]])&gt;0,"ELEM_lub_PRD","TECHN")</f>
        <v>#REF!</v>
      </c>
      <c r="L3013" t="e">
        <f>IF(COUNTIF(#REF!,Tabela2[[#This Row],[KOD_PRODUKTU]])&gt;0,"ELEMENT","PRODUKT")</f>
        <v>#REF!</v>
      </c>
      <c r="M3013" t="e">
        <f>COUNTIF(#REF!,Tabela2[[#This Row],[KOD_PRODUKTU]])</f>
        <v>#REF!</v>
      </c>
    </row>
    <row r="3014" spans="1:13" x14ac:dyDescent="0.25">
      <c r="A3014" s="1" t="s">
        <v>2391</v>
      </c>
      <c r="B3014" t="s">
        <v>2392</v>
      </c>
      <c r="C3014" s="1" t="s">
        <v>4641</v>
      </c>
      <c r="D3014" s="1" t="s">
        <v>4641</v>
      </c>
      <c r="E3014" s="1" t="s">
        <v>4641</v>
      </c>
      <c r="F3014" t="s">
        <v>4642</v>
      </c>
      <c r="G3014" t="s">
        <v>4643</v>
      </c>
      <c r="H3014" t="s">
        <v>39</v>
      </c>
      <c r="I3014" t="s">
        <v>40</v>
      </c>
      <c r="J3014">
        <v>0.12</v>
      </c>
      <c r="K3014" t="e">
        <f>IF(COUNTIF(#REF!,Tabela2[[#This Row],[IdxWspolny]])&gt;0,"ELEM_lub_PRD","TECHN")</f>
        <v>#REF!</v>
      </c>
      <c r="L3014" t="e">
        <f>IF(COUNTIF(#REF!,Tabela2[[#This Row],[KOD_PRODUKTU]])&gt;0,"ELEMENT","PRODUKT")</f>
        <v>#REF!</v>
      </c>
      <c r="M3014" t="e">
        <f>COUNTIF(#REF!,Tabela2[[#This Row],[KOD_PRODUKTU]])</f>
        <v>#REF!</v>
      </c>
    </row>
    <row r="3015" spans="1:13" x14ac:dyDescent="0.25">
      <c r="A3015" s="1" t="s">
        <v>2391</v>
      </c>
      <c r="B3015" t="s">
        <v>2392</v>
      </c>
      <c r="C3015" s="1" t="s">
        <v>2688</v>
      </c>
      <c r="D3015" s="1" t="s">
        <v>2688</v>
      </c>
      <c r="E3015" s="1" t="s">
        <v>2688</v>
      </c>
      <c r="F3015" t="s">
        <v>2689</v>
      </c>
      <c r="G3015" t="s">
        <v>2690</v>
      </c>
      <c r="H3015" t="s">
        <v>39</v>
      </c>
      <c r="I3015" t="s">
        <v>447</v>
      </c>
      <c r="J3015">
        <v>0.33</v>
      </c>
      <c r="K3015" t="e">
        <f>IF(COUNTIF(#REF!,Tabela2[[#This Row],[IdxWspolny]])&gt;0,"ELEM_lub_PRD","TECHN")</f>
        <v>#REF!</v>
      </c>
      <c r="L3015" t="e">
        <f>IF(COUNTIF(#REF!,Tabela2[[#This Row],[KOD_PRODUKTU]])&gt;0,"ELEMENT","PRODUKT")</f>
        <v>#REF!</v>
      </c>
      <c r="M3015" t="e">
        <f>COUNTIF(#REF!,Tabela2[[#This Row],[KOD_PRODUKTU]])</f>
        <v>#REF!</v>
      </c>
    </row>
    <row r="3016" spans="1:13" x14ac:dyDescent="0.25">
      <c r="A3016" s="1" t="s">
        <v>2391</v>
      </c>
      <c r="B3016" t="s">
        <v>2392</v>
      </c>
      <c r="C3016" s="1" t="s">
        <v>649</v>
      </c>
      <c r="D3016" s="1" t="s">
        <v>649</v>
      </c>
      <c r="E3016" s="1" t="s">
        <v>649</v>
      </c>
      <c r="F3016" t="s">
        <v>650</v>
      </c>
      <c r="G3016" t="s">
        <v>2303</v>
      </c>
      <c r="H3016" t="s">
        <v>39</v>
      </c>
      <c r="I3016" t="s">
        <v>40</v>
      </c>
      <c r="J3016">
        <v>0.09</v>
      </c>
      <c r="K3016" t="e">
        <f>IF(COUNTIF(#REF!,Tabela2[[#This Row],[IdxWspolny]])&gt;0,"ELEM_lub_PRD","TECHN")</f>
        <v>#REF!</v>
      </c>
      <c r="L3016" t="e">
        <f>IF(COUNTIF(#REF!,Tabela2[[#This Row],[KOD_PRODUKTU]])&gt;0,"ELEMENT","PRODUKT")</f>
        <v>#REF!</v>
      </c>
      <c r="M3016" t="e">
        <f>COUNTIF(#REF!,Tabela2[[#This Row],[KOD_PRODUKTU]])</f>
        <v>#REF!</v>
      </c>
    </row>
    <row r="3017" spans="1:13" x14ac:dyDescent="0.25">
      <c r="A3017" s="1" t="s">
        <v>2391</v>
      </c>
      <c r="B3017" t="s">
        <v>2392</v>
      </c>
      <c r="C3017" s="1" t="s">
        <v>2691</v>
      </c>
      <c r="D3017" s="1" t="s">
        <v>2691</v>
      </c>
      <c r="E3017" s="1" t="s">
        <v>2691</v>
      </c>
      <c r="F3017" t="s">
        <v>2692</v>
      </c>
      <c r="G3017" t="s">
        <v>2916</v>
      </c>
      <c r="H3017" t="s">
        <v>1965</v>
      </c>
      <c r="I3017" t="s">
        <v>40</v>
      </c>
      <c r="J3017">
        <v>0.03</v>
      </c>
      <c r="K3017" t="e">
        <f>IF(COUNTIF(#REF!,Tabela2[[#This Row],[IdxWspolny]])&gt;0,"ELEM_lub_PRD","TECHN")</f>
        <v>#REF!</v>
      </c>
      <c r="L3017" t="e">
        <f>IF(COUNTIF(#REF!,Tabela2[[#This Row],[KOD_PRODUKTU]])&gt;0,"ELEMENT","PRODUKT")</f>
        <v>#REF!</v>
      </c>
      <c r="M3017" t="e">
        <f>COUNTIF(#REF!,Tabela2[[#This Row],[KOD_PRODUKTU]])</f>
        <v>#REF!</v>
      </c>
    </row>
    <row r="3018" spans="1:13" x14ac:dyDescent="0.25">
      <c r="A3018" s="1" t="s">
        <v>2391</v>
      </c>
      <c r="B3018" t="s">
        <v>2392</v>
      </c>
      <c r="C3018" s="1" t="s">
        <v>2694</v>
      </c>
      <c r="D3018" s="1" t="s">
        <v>2694</v>
      </c>
      <c r="E3018" s="1" t="s">
        <v>2694</v>
      </c>
      <c r="F3018" t="s">
        <v>2695</v>
      </c>
      <c r="G3018" t="s">
        <v>2112</v>
      </c>
      <c r="H3018" t="s">
        <v>39</v>
      </c>
      <c r="I3018" t="s">
        <v>40</v>
      </c>
      <c r="J3018">
        <v>0.16</v>
      </c>
      <c r="K3018" t="e">
        <f>IF(COUNTIF(#REF!,Tabela2[[#This Row],[IdxWspolny]])&gt;0,"ELEM_lub_PRD","TECHN")</f>
        <v>#REF!</v>
      </c>
      <c r="L3018" t="e">
        <f>IF(COUNTIF(#REF!,Tabela2[[#This Row],[KOD_PRODUKTU]])&gt;0,"ELEMENT","PRODUKT")</f>
        <v>#REF!</v>
      </c>
      <c r="M3018" t="e">
        <f>COUNTIF(#REF!,Tabela2[[#This Row],[KOD_PRODUKTU]])</f>
        <v>#REF!</v>
      </c>
    </row>
    <row r="3019" spans="1:13" x14ac:dyDescent="0.25">
      <c r="A3019" s="1" t="s">
        <v>2391</v>
      </c>
      <c r="B3019" t="s">
        <v>2392</v>
      </c>
      <c r="C3019" s="1" t="s">
        <v>2343</v>
      </c>
      <c r="D3019" s="1" t="s">
        <v>2343</v>
      </c>
      <c r="E3019" s="1" t="s">
        <v>2343</v>
      </c>
      <c r="F3019" t="s">
        <v>2344</v>
      </c>
      <c r="G3019" t="s">
        <v>2345</v>
      </c>
      <c r="H3019" t="s">
        <v>39</v>
      </c>
      <c r="I3019" t="s">
        <v>40</v>
      </c>
      <c r="J3019">
        <v>0.05</v>
      </c>
      <c r="K3019" t="e">
        <f>IF(COUNTIF(#REF!,Tabela2[[#This Row],[IdxWspolny]])&gt;0,"ELEM_lub_PRD","TECHN")</f>
        <v>#REF!</v>
      </c>
      <c r="L3019" t="e">
        <f>IF(COUNTIF(#REF!,Tabela2[[#This Row],[KOD_PRODUKTU]])&gt;0,"ELEMENT","PRODUKT")</f>
        <v>#REF!</v>
      </c>
      <c r="M3019" t="e">
        <f>COUNTIF(#REF!,Tabela2[[#This Row],[KOD_PRODUKTU]])</f>
        <v>#REF!</v>
      </c>
    </row>
    <row r="3020" spans="1:13" x14ac:dyDescent="0.25">
      <c r="A3020" s="1" t="s">
        <v>2391</v>
      </c>
      <c r="B3020" t="s">
        <v>2392</v>
      </c>
      <c r="C3020" s="1" t="s">
        <v>2375</v>
      </c>
      <c r="D3020" s="1" t="s">
        <v>2375</v>
      </c>
      <c r="E3020" s="1" t="s">
        <v>2375</v>
      </c>
      <c r="F3020" t="s">
        <v>2376</v>
      </c>
      <c r="G3020" t="s">
        <v>2377</v>
      </c>
      <c r="H3020" t="s">
        <v>2378</v>
      </c>
      <c r="I3020" t="s">
        <v>2838</v>
      </c>
      <c r="J3020">
        <v>10.55</v>
      </c>
      <c r="K3020" t="e">
        <f>IF(COUNTIF(#REF!,Tabela2[[#This Row],[IdxWspolny]])&gt;0,"ELEM_lub_PRD","TECHN")</f>
        <v>#REF!</v>
      </c>
      <c r="L3020" t="e">
        <f>IF(COUNTIF(#REF!,Tabela2[[#This Row],[KOD_PRODUKTU]])&gt;0,"ELEMENT","PRODUKT")</f>
        <v>#REF!</v>
      </c>
      <c r="M3020" t="e">
        <f>COUNTIF(#REF!,Tabela2[[#This Row],[KOD_PRODUKTU]])</f>
        <v>#REF!</v>
      </c>
    </row>
    <row r="3021" spans="1:13" x14ac:dyDescent="0.25">
      <c r="A3021" s="1" t="s">
        <v>2391</v>
      </c>
      <c r="B3021" t="s">
        <v>2392</v>
      </c>
      <c r="C3021" s="1" t="s">
        <v>2917</v>
      </c>
      <c r="D3021" s="1" t="s">
        <v>2917</v>
      </c>
      <c r="E3021" s="1" t="s">
        <v>2917</v>
      </c>
      <c r="F3021" t="s">
        <v>2918</v>
      </c>
      <c r="G3021" t="s">
        <v>2346</v>
      </c>
      <c r="H3021" t="s">
        <v>121</v>
      </c>
      <c r="I3021" t="s">
        <v>50</v>
      </c>
      <c r="J3021">
        <v>0.45</v>
      </c>
      <c r="K3021" t="e">
        <f>IF(COUNTIF(#REF!,Tabela2[[#This Row],[IdxWspolny]])&gt;0,"ELEM_lub_PRD","TECHN")</f>
        <v>#REF!</v>
      </c>
      <c r="L3021" t="e">
        <f>IF(COUNTIF(#REF!,Tabela2[[#This Row],[KOD_PRODUKTU]])&gt;0,"ELEMENT","PRODUKT")</f>
        <v>#REF!</v>
      </c>
      <c r="M3021" t="e">
        <f>COUNTIF(#REF!,Tabela2[[#This Row],[KOD_PRODUKTU]])</f>
        <v>#REF!</v>
      </c>
    </row>
    <row r="3022" spans="1:13" x14ac:dyDescent="0.25">
      <c r="A3022" s="1" t="s">
        <v>2391</v>
      </c>
      <c r="B3022" t="s">
        <v>2392</v>
      </c>
      <c r="C3022" s="1" t="s">
        <v>41</v>
      </c>
      <c r="D3022" s="1" t="s">
        <v>41</v>
      </c>
      <c r="E3022" s="1" t="s">
        <v>41</v>
      </c>
      <c r="F3022" t="s">
        <v>42</v>
      </c>
      <c r="G3022" t="s">
        <v>43</v>
      </c>
      <c r="H3022" t="s">
        <v>5</v>
      </c>
      <c r="I3022" t="s">
        <v>550</v>
      </c>
      <c r="J3022">
        <v>0.02</v>
      </c>
      <c r="K3022" t="e">
        <f>IF(COUNTIF(#REF!,Tabela2[[#This Row],[IdxWspolny]])&gt;0,"ELEM_lub_PRD","TECHN")</f>
        <v>#REF!</v>
      </c>
      <c r="L3022" t="e">
        <f>IF(COUNTIF(#REF!,Tabela2[[#This Row],[KOD_PRODUKTU]])&gt;0,"ELEMENT","PRODUKT")</f>
        <v>#REF!</v>
      </c>
      <c r="M3022" t="e">
        <f>COUNTIF(#REF!,Tabela2[[#This Row],[KOD_PRODUKTU]])</f>
        <v>#REF!</v>
      </c>
    </row>
    <row r="3023" spans="1:13" x14ac:dyDescent="0.25">
      <c r="A3023" s="1" t="s">
        <v>2391</v>
      </c>
      <c r="B3023" t="s">
        <v>2392</v>
      </c>
      <c r="C3023" s="1" t="s">
        <v>2919</v>
      </c>
      <c r="D3023" s="1" t="s">
        <v>2919</v>
      </c>
      <c r="E3023" s="1" t="s">
        <v>2919</v>
      </c>
      <c r="F3023" t="s">
        <v>2920</v>
      </c>
      <c r="G3023" t="s">
        <v>2921</v>
      </c>
      <c r="H3023" t="s">
        <v>49</v>
      </c>
      <c r="I3023" t="s">
        <v>50</v>
      </c>
      <c r="J3023">
        <v>1.9</v>
      </c>
      <c r="K3023" t="e">
        <f>IF(COUNTIF(#REF!,Tabela2[[#This Row],[IdxWspolny]])&gt;0,"ELEM_lub_PRD","TECHN")</f>
        <v>#REF!</v>
      </c>
      <c r="L3023" t="e">
        <f>IF(COUNTIF(#REF!,Tabela2[[#This Row],[KOD_PRODUKTU]])&gt;0,"ELEMENT","PRODUKT")</f>
        <v>#REF!</v>
      </c>
      <c r="M3023" t="e">
        <f>COUNTIF(#REF!,Tabela2[[#This Row],[KOD_PRODUKTU]])</f>
        <v>#REF!</v>
      </c>
    </row>
    <row r="3024" spans="1:13" x14ac:dyDescent="0.25">
      <c r="A3024" s="1" t="s">
        <v>2391</v>
      </c>
      <c r="B3024" t="s">
        <v>2392</v>
      </c>
      <c r="C3024" s="1" t="s">
        <v>2922</v>
      </c>
      <c r="D3024" s="1" t="s">
        <v>2922</v>
      </c>
      <c r="E3024" s="1" t="s">
        <v>2922</v>
      </c>
      <c r="F3024" t="s">
        <v>2923</v>
      </c>
      <c r="G3024" t="s">
        <v>1009</v>
      </c>
      <c r="H3024" t="s">
        <v>49</v>
      </c>
      <c r="I3024" t="s">
        <v>50</v>
      </c>
      <c r="J3024">
        <v>0.25</v>
      </c>
      <c r="K3024" t="e">
        <f>IF(COUNTIF(#REF!,Tabela2[[#This Row],[IdxWspolny]])&gt;0,"ELEM_lub_PRD","TECHN")</f>
        <v>#REF!</v>
      </c>
      <c r="L3024" t="e">
        <f>IF(COUNTIF(#REF!,Tabela2[[#This Row],[KOD_PRODUKTU]])&gt;0,"ELEMENT","PRODUKT")</f>
        <v>#REF!</v>
      </c>
      <c r="M3024" t="e">
        <f>COUNTIF(#REF!,Tabela2[[#This Row],[KOD_PRODUKTU]])</f>
        <v>#REF!</v>
      </c>
    </row>
    <row r="3025" spans="1:14" x14ac:dyDescent="0.25">
      <c r="A3025" s="1" t="s">
        <v>2391</v>
      </c>
      <c r="B3025" t="s">
        <v>2392</v>
      </c>
      <c r="C3025" s="1" t="s">
        <v>4644</v>
      </c>
      <c r="D3025" s="1" t="s">
        <v>4644</v>
      </c>
      <c r="E3025" s="1" t="s">
        <v>4644</v>
      </c>
      <c r="F3025" t="s">
        <v>4645</v>
      </c>
      <c r="G3025" t="s">
        <v>2329</v>
      </c>
      <c r="H3025" t="s">
        <v>49</v>
      </c>
      <c r="I3025" t="s">
        <v>50</v>
      </c>
      <c r="J3025">
        <v>0.6</v>
      </c>
      <c r="K3025" t="e">
        <f>IF(COUNTIF(#REF!,Tabela2[[#This Row],[IdxWspolny]])&gt;0,"ELEM_lub_PRD","TECHN")</f>
        <v>#REF!</v>
      </c>
      <c r="L3025" t="e">
        <f>IF(COUNTIF(#REF!,Tabela2[[#This Row],[KOD_PRODUKTU]])&gt;0,"ELEMENT","PRODUKT")</f>
        <v>#REF!</v>
      </c>
      <c r="M3025" t="e">
        <f>COUNTIF(#REF!,Tabela2[[#This Row],[KOD_PRODUKTU]])</f>
        <v>#REF!</v>
      </c>
    </row>
    <row r="3026" spans="1:14" hidden="1" x14ac:dyDescent="0.25">
      <c r="A3026" s="1" t="s">
        <v>2391</v>
      </c>
      <c r="B3026" t="s">
        <v>2392</v>
      </c>
      <c r="C3026" s="1" t="s">
        <v>2055</v>
      </c>
      <c r="D3026" s="1" t="s">
        <v>2056</v>
      </c>
      <c r="E3026" s="1" t="s">
        <v>2056</v>
      </c>
      <c r="F3026" t="s">
        <v>2057</v>
      </c>
      <c r="G3026" t="s">
        <v>2058</v>
      </c>
      <c r="H3026" t="s">
        <v>49</v>
      </c>
      <c r="I3026" t="s">
        <v>50</v>
      </c>
      <c r="J3026">
        <v>4.3499999999999996</v>
      </c>
      <c r="K3026" t="e">
        <f>IF(COUNTIF(#REF!,Tabela2[[#This Row],[IdxWspolny]])&gt;0,"ELEM_lub_PRD","TECHN")</f>
        <v>#REF!</v>
      </c>
      <c r="L3026" t="e">
        <f>IF(COUNTIF(#REF!,Tabela2[[#This Row],[KOD_PRODUKTU]])&gt;0,"ELEMENT","PRODUKT")</f>
        <v>#REF!</v>
      </c>
      <c r="M3026" t="e">
        <f>COUNTIF(#REF!,Tabela2[[#This Row],[KOD_PRODUKTU]])</f>
        <v>#REF!</v>
      </c>
      <c r="N3026" t="s">
        <v>51</v>
      </c>
    </row>
    <row r="3027" spans="1:14" hidden="1" x14ac:dyDescent="0.25">
      <c r="A3027" s="1" t="s">
        <v>2391</v>
      </c>
      <c r="B3027" t="s">
        <v>2392</v>
      </c>
      <c r="C3027" s="1" t="s">
        <v>2059</v>
      </c>
      <c r="D3027" s="1" t="s">
        <v>2060</v>
      </c>
      <c r="E3027" s="1" t="s">
        <v>2060</v>
      </c>
      <c r="F3027" t="s">
        <v>2061</v>
      </c>
      <c r="G3027" t="s">
        <v>2062</v>
      </c>
      <c r="H3027" t="s">
        <v>49</v>
      </c>
      <c r="I3027" t="s">
        <v>50</v>
      </c>
      <c r="J3027">
        <v>17.149999999999999</v>
      </c>
      <c r="K3027" t="e">
        <f>IF(COUNTIF(#REF!,Tabela2[[#This Row],[IdxWspolny]])&gt;0,"ELEM_lub_PRD","TECHN")</f>
        <v>#REF!</v>
      </c>
      <c r="L3027" t="e">
        <f>IF(COUNTIF(#REF!,Tabela2[[#This Row],[KOD_PRODUKTU]])&gt;0,"ELEMENT","PRODUKT")</f>
        <v>#REF!</v>
      </c>
      <c r="M3027" t="e">
        <f>COUNTIF(#REF!,Tabela2[[#This Row],[KOD_PRODUKTU]])</f>
        <v>#REF!</v>
      </c>
      <c r="N3027" t="s">
        <v>51</v>
      </c>
    </row>
    <row r="3028" spans="1:14" x14ac:dyDescent="0.25">
      <c r="A3028" s="1" t="s">
        <v>2391</v>
      </c>
      <c r="B3028" t="s">
        <v>2392</v>
      </c>
      <c r="C3028" s="1" t="s">
        <v>7</v>
      </c>
      <c r="D3028" s="1" t="s">
        <v>7</v>
      </c>
      <c r="E3028" s="1" t="s">
        <v>7</v>
      </c>
      <c r="F3028" t="s">
        <v>8</v>
      </c>
      <c r="G3028" t="s">
        <v>9</v>
      </c>
      <c r="H3028" t="s">
        <v>10</v>
      </c>
      <c r="I3028" t="s">
        <v>4283</v>
      </c>
      <c r="J3028">
        <v>39.1</v>
      </c>
      <c r="K3028" t="e">
        <f>IF(COUNTIF(#REF!,Tabela2[[#This Row],[IdxWspolny]])&gt;0,"ELEM_lub_PRD","TECHN")</f>
        <v>#REF!</v>
      </c>
      <c r="L3028" t="e">
        <f>IF(COUNTIF(#REF!,Tabela2[[#This Row],[KOD_PRODUKTU]])&gt;0,"ELEMENT","PRODUKT")</f>
        <v>#REF!</v>
      </c>
      <c r="M3028" t="e">
        <f>COUNTIF(#REF!,Tabela2[[#This Row],[KOD_PRODUKTU]])</f>
        <v>#REF!</v>
      </c>
    </row>
    <row r="3029" spans="1:14" x14ac:dyDescent="0.25">
      <c r="A3029" s="1" t="s">
        <v>2394</v>
      </c>
      <c r="B3029" t="s">
        <v>2395</v>
      </c>
      <c r="C3029" s="1" t="s">
        <v>1345</v>
      </c>
      <c r="D3029" s="1" t="s">
        <v>1345</v>
      </c>
      <c r="E3029" s="1" t="s">
        <v>1345</v>
      </c>
      <c r="F3029" t="s">
        <v>1346</v>
      </c>
      <c r="G3029" t="s">
        <v>1347</v>
      </c>
      <c r="H3029" t="s">
        <v>5</v>
      </c>
      <c r="I3029" t="s">
        <v>4646</v>
      </c>
      <c r="J3029">
        <v>0.72</v>
      </c>
      <c r="K3029" t="e">
        <f>IF(COUNTIF(#REF!,Tabela2[[#This Row],[IdxWspolny]])&gt;0,"ELEM_lub_PRD","TECHN")</f>
        <v>#REF!</v>
      </c>
      <c r="L3029" t="e">
        <f>IF(COUNTIF(#REF!,Tabela2[[#This Row],[KOD_PRODUKTU]])&gt;0,"ELEMENT","PRODUKT")</f>
        <v>#REF!</v>
      </c>
      <c r="M3029" t="e">
        <f>COUNTIF(#REF!,Tabela2[[#This Row],[KOD_PRODUKTU]])</f>
        <v>#REF!</v>
      </c>
    </row>
    <row r="3030" spans="1:14" x14ac:dyDescent="0.25">
      <c r="A3030" s="1" t="s">
        <v>2394</v>
      </c>
      <c r="B3030" t="s">
        <v>2395</v>
      </c>
      <c r="C3030" s="1" t="s">
        <v>7</v>
      </c>
      <c r="D3030" s="1" t="s">
        <v>7</v>
      </c>
      <c r="E3030" s="1" t="s">
        <v>7</v>
      </c>
      <c r="F3030" t="s">
        <v>8</v>
      </c>
      <c r="G3030" t="s">
        <v>9</v>
      </c>
      <c r="H3030" t="s">
        <v>10</v>
      </c>
      <c r="I3030" t="s">
        <v>478</v>
      </c>
      <c r="J3030">
        <v>3.68</v>
      </c>
      <c r="K3030" t="e">
        <f>IF(COUNTIF(#REF!,Tabela2[[#This Row],[IdxWspolny]])&gt;0,"ELEM_lub_PRD","TECHN")</f>
        <v>#REF!</v>
      </c>
      <c r="L3030" t="e">
        <f>IF(COUNTIF(#REF!,Tabela2[[#This Row],[KOD_PRODUKTU]])&gt;0,"ELEMENT","PRODUKT")</f>
        <v>#REF!</v>
      </c>
      <c r="M3030" t="e">
        <f>COUNTIF(#REF!,Tabela2[[#This Row],[KOD_PRODUKTU]])</f>
        <v>#REF!</v>
      </c>
    </row>
    <row r="3031" spans="1:14" x14ac:dyDescent="0.25">
      <c r="A3031" s="1" t="s">
        <v>4647</v>
      </c>
      <c r="B3031" t="s">
        <v>4648</v>
      </c>
      <c r="C3031" s="1" t="s">
        <v>4649</v>
      </c>
      <c r="D3031" s="1" t="s">
        <v>4649</v>
      </c>
      <c r="E3031" s="1" t="s">
        <v>4649</v>
      </c>
      <c r="F3031" t="s">
        <v>4650</v>
      </c>
      <c r="G3031" t="s">
        <v>1929</v>
      </c>
      <c r="H3031" t="s">
        <v>17</v>
      </c>
      <c r="I3031" t="s">
        <v>33</v>
      </c>
      <c r="J3031">
        <v>2.14</v>
      </c>
      <c r="K3031" t="e">
        <f>IF(COUNTIF(#REF!,Tabela2[[#This Row],[IdxWspolny]])&gt;0,"ELEM_lub_PRD","TECHN")</f>
        <v>#REF!</v>
      </c>
      <c r="L3031" t="e">
        <f>IF(COUNTIF(#REF!,Tabela2[[#This Row],[KOD_PRODUKTU]])&gt;0,"ELEMENT","PRODUKT")</f>
        <v>#REF!</v>
      </c>
      <c r="M3031" t="e">
        <f>COUNTIF(#REF!,Tabela2[[#This Row],[KOD_PRODUKTU]])</f>
        <v>#REF!</v>
      </c>
    </row>
    <row r="3032" spans="1:14" x14ac:dyDescent="0.25">
      <c r="A3032" s="1" t="s">
        <v>4647</v>
      </c>
      <c r="B3032" t="s">
        <v>4648</v>
      </c>
      <c r="C3032" s="1" t="s">
        <v>4651</v>
      </c>
      <c r="D3032" s="1" t="s">
        <v>4651</v>
      </c>
      <c r="E3032" s="1" t="s">
        <v>4651</v>
      </c>
      <c r="F3032" t="s">
        <v>4652</v>
      </c>
      <c r="G3032" t="s">
        <v>887</v>
      </c>
      <c r="H3032" t="s">
        <v>39</v>
      </c>
      <c r="I3032" t="s">
        <v>40</v>
      </c>
      <c r="J3032">
        <v>0.28000000000000003</v>
      </c>
      <c r="K3032" t="e">
        <f>IF(COUNTIF(#REF!,Tabela2[[#This Row],[IdxWspolny]])&gt;0,"ELEM_lub_PRD","TECHN")</f>
        <v>#REF!</v>
      </c>
      <c r="L3032" t="e">
        <f>IF(COUNTIF(#REF!,Tabela2[[#This Row],[KOD_PRODUKTU]])&gt;0,"ELEMENT","PRODUKT")</f>
        <v>#REF!</v>
      </c>
      <c r="M3032" t="e">
        <f>COUNTIF(#REF!,Tabela2[[#This Row],[KOD_PRODUKTU]])</f>
        <v>#REF!</v>
      </c>
    </row>
    <row r="3033" spans="1:14" x14ac:dyDescent="0.25">
      <c r="A3033" s="1" t="s">
        <v>4647</v>
      </c>
      <c r="B3033" t="s">
        <v>4648</v>
      </c>
      <c r="C3033" s="1" t="s">
        <v>479</v>
      </c>
      <c r="D3033" s="1" t="s">
        <v>479</v>
      </c>
      <c r="E3033" s="1" t="s">
        <v>479</v>
      </c>
      <c r="F3033" t="s">
        <v>480</v>
      </c>
      <c r="G3033" t="s">
        <v>626</v>
      </c>
      <c r="H3033" t="s">
        <v>5</v>
      </c>
      <c r="I3033" t="s">
        <v>4653</v>
      </c>
      <c r="J3033">
        <v>0.03</v>
      </c>
      <c r="K3033" t="e">
        <f>IF(COUNTIF(#REF!,Tabela2[[#This Row],[IdxWspolny]])&gt;0,"ELEM_lub_PRD","TECHN")</f>
        <v>#REF!</v>
      </c>
      <c r="L3033" t="e">
        <f>IF(COUNTIF(#REF!,Tabela2[[#This Row],[KOD_PRODUKTU]])&gt;0,"ELEMENT","PRODUKT")</f>
        <v>#REF!</v>
      </c>
      <c r="M3033" t="e">
        <f>COUNTIF(#REF!,Tabela2[[#This Row],[KOD_PRODUKTU]])</f>
        <v>#REF!</v>
      </c>
    </row>
    <row r="3034" spans="1:14" x14ac:dyDescent="0.25">
      <c r="A3034" s="1" t="s">
        <v>4647</v>
      </c>
      <c r="B3034" t="s">
        <v>4648</v>
      </c>
      <c r="C3034" s="1" t="s">
        <v>4654</v>
      </c>
      <c r="D3034" s="1" t="s">
        <v>4654</v>
      </c>
      <c r="E3034" s="1" t="s">
        <v>4654</v>
      </c>
      <c r="F3034" t="s">
        <v>4655</v>
      </c>
      <c r="G3034" t="s">
        <v>1896</v>
      </c>
      <c r="H3034" t="s">
        <v>5</v>
      </c>
      <c r="I3034" t="s">
        <v>4656</v>
      </c>
      <c r="J3034">
        <v>0.85</v>
      </c>
      <c r="K3034" t="e">
        <f>IF(COUNTIF(#REF!,Tabela2[[#This Row],[IdxWspolny]])&gt;0,"ELEM_lub_PRD","TECHN")</f>
        <v>#REF!</v>
      </c>
      <c r="L3034" t="e">
        <f>IF(COUNTIF(#REF!,Tabela2[[#This Row],[KOD_PRODUKTU]])&gt;0,"ELEMENT","PRODUKT")</f>
        <v>#REF!</v>
      </c>
      <c r="M3034" t="e">
        <f>COUNTIF(#REF!,Tabela2[[#This Row],[KOD_PRODUKTU]])</f>
        <v>#REF!</v>
      </c>
    </row>
    <row r="3035" spans="1:14" x14ac:dyDescent="0.25">
      <c r="A3035" s="1" t="s">
        <v>4647</v>
      </c>
      <c r="B3035" t="s">
        <v>4648</v>
      </c>
      <c r="C3035" s="1" t="s">
        <v>4657</v>
      </c>
      <c r="D3035" s="1" t="s">
        <v>4657</v>
      </c>
      <c r="E3035" s="1" t="s">
        <v>4657</v>
      </c>
      <c r="F3035" t="s">
        <v>4658</v>
      </c>
      <c r="G3035" t="s">
        <v>4659</v>
      </c>
      <c r="H3035" t="s">
        <v>49</v>
      </c>
      <c r="I3035" t="s">
        <v>4660</v>
      </c>
      <c r="J3035">
        <v>6.8</v>
      </c>
      <c r="K3035" t="e">
        <f>IF(COUNTIF(#REF!,Tabela2[[#This Row],[IdxWspolny]])&gt;0,"ELEM_lub_PRD","TECHN")</f>
        <v>#REF!</v>
      </c>
      <c r="L3035" t="e">
        <f>IF(COUNTIF(#REF!,Tabela2[[#This Row],[KOD_PRODUKTU]])&gt;0,"ELEMENT","PRODUKT")</f>
        <v>#REF!</v>
      </c>
      <c r="M3035" t="e">
        <f>COUNTIF(#REF!,Tabela2[[#This Row],[KOD_PRODUKTU]])</f>
        <v>#REF!</v>
      </c>
    </row>
    <row r="3036" spans="1:14" x14ac:dyDescent="0.25">
      <c r="A3036" s="1" t="s">
        <v>4647</v>
      </c>
      <c r="B3036" t="s">
        <v>4648</v>
      </c>
      <c r="C3036" s="1" t="s">
        <v>4661</v>
      </c>
      <c r="D3036" s="1" t="s">
        <v>4661</v>
      </c>
      <c r="E3036" s="1" t="s">
        <v>4661</v>
      </c>
      <c r="F3036" t="s">
        <v>4662</v>
      </c>
      <c r="G3036" t="s">
        <v>4663</v>
      </c>
      <c r="H3036" t="s">
        <v>39</v>
      </c>
      <c r="I3036" t="s">
        <v>40</v>
      </c>
      <c r="J3036">
        <v>0.03</v>
      </c>
      <c r="K3036" t="e">
        <f>IF(COUNTIF(#REF!,Tabela2[[#This Row],[IdxWspolny]])&gt;0,"ELEM_lub_PRD","TECHN")</f>
        <v>#REF!</v>
      </c>
      <c r="L3036" t="e">
        <f>IF(COUNTIF(#REF!,Tabela2[[#This Row],[KOD_PRODUKTU]])&gt;0,"ELEMENT","PRODUKT")</f>
        <v>#REF!</v>
      </c>
      <c r="M3036" t="e">
        <f>COUNTIF(#REF!,Tabela2[[#This Row],[KOD_PRODUKTU]])</f>
        <v>#REF!</v>
      </c>
    </row>
    <row r="3037" spans="1:14" x14ac:dyDescent="0.25">
      <c r="A3037" s="1" t="s">
        <v>4647</v>
      </c>
      <c r="B3037" t="s">
        <v>4648</v>
      </c>
      <c r="C3037" s="1" t="s">
        <v>41</v>
      </c>
      <c r="D3037" s="1" t="s">
        <v>41</v>
      </c>
      <c r="E3037" s="1" t="s">
        <v>41</v>
      </c>
      <c r="F3037" t="s">
        <v>42</v>
      </c>
      <c r="G3037" t="s">
        <v>513</v>
      </c>
      <c r="H3037" t="s">
        <v>5</v>
      </c>
      <c r="I3037" t="s">
        <v>4664</v>
      </c>
      <c r="J3037">
        <v>0.02</v>
      </c>
      <c r="K3037" t="e">
        <f>IF(COUNTIF(#REF!,Tabela2[[#This Row],[IdxWspolny]])&gt;0,"ELEM_lub_PRD","TECHN")</f>
        <v>#REF!</v>
      </c>
      <c r="L3037" t="e">
        <f>IF(COUNTIF(#REF!,Tabela2[[#This Row],[KOD_PRODUKTU]])&gt;0,"ELEMENT","PRODUKT")</f>
        <v>#REF!</v>
      </c>
      <c r="M3037" t="e">
        <f>COUNTIF(#REF!,Tabela2[[#This Row],[KOD_PRODUKTU]])</f>
        <v>#REF!</v>
      </c>
    </row>
    <row r="3038" spans="1:14" x14ac:dyDescent="0.25">
      <c r="A3038" s="1" t="s">
        <v>4647</v>
      </c>
      <c r="B3038" t="s">
        <v>4648</v>
      </c>
      <c r="C3038" s="1" t="s">
        <v>4665</v>
      </c>
      <c r="D3038" s="1" t="s">
        <v>4665</v>
      </c>
      <c r="E3038" s="1" t="s">
        <v>4665</v>
      </c>
      <c r="F3038" t="s">
        <v>4666</v>
      </c>
      <c r="G3038" t="s">
        <v>4667</v>
      </c>
      <c r="H3038" t="s">
        <v>49</v>
      </c>
      <c r="I3038" t="s">
        <v>50</v>
      </c>
      <c r="J3038">
        <v>1.32</v>
      </c>
      <c r="K3038" t="e">
        <f>IF(COUNTIF(#REF!,Tabela2[[#This Row],[IdxWspolny]])&gt;0,"ELEM_lub_PRD","TECHN")</f>
        <v>#REF!</v>
      </c>
      <c r="L3038" t="e">
        <f>IF(COUNTIF(#REF!,Tabela2[[#This Row],[KOD_PRODUKTU]])&gt;0,"ELEMENT","PRODUKT")</f>
        <v>#REF!</v>
      </c>
      <c r="M3038" t="e">
        <f>COUNTIF(#REF!,Tabela2[[#This Row],[KOD_PRODUKTU]])</f>
        <v>#REF!</v>
      </c>
    </row>
    <row r="3039" spans="1:14" x14ac:dyDescent="0.25">
      <c r="A3039" s="1" t="s">
        <v>4647</v>
      </c>
      <c r="B3039" t="s">
        <v>4648</v>
      </c>
      <c r="C3039" s="1" t="s">
        <v>4668</v>
      </c>
      <c r="D3039" s="1" t="s">
        <v>4668</v>
      </c>
      <c r="E3039" s="1" t="s">
        <v>4668</v>
      </c>
      <c r="F3039" t="s">
        <v>4669</v>
      </c>
      <c r="G3039" t="s">
        <v>4670</v>
      </c>
      <c r="H3039" t="s">
        <v>49</v>
      </c>
      <c r="I3039" t="s">
        <v>50</v>
      </c>
      <c r="J3039">
        <v>28.5</v>
      </c>
      <c r="K3039" t="e">
        <f>IF(COUNTIF(#REF!,Tabela2[[#This Row],[IdxWspolny]])&gt;0,"ELEM_lub_PRD","TECHN")</f>
        <v>#REF!</v>
      </c>
      <c r="L3039" t="e">
        <f>IF(COUNTIF(#REF!,Tabela2[[#This Row],[KOD_PRODUKTU]])&gt;0,"ELEMENT","PRODUKT")</f>
        <v>#REF!</v>
      </c>
      <c r="M3039" t="e">
        <f>COUNTIF(#REF!,Tabela2[[#This Row],[KOD_PRODUKTU]])</f>
        <v>#REF!</v>
      </c>
    </row>
    <row r="3040" spans="1:14" x14ac:dyDescent="0.25">
      <c r="A3040" s="1" t="s">
        <v>4647</v>
      </c>
      <c r="B3040" t="s">
        <v>4648</v>
      </c>
      <c r="C3040" s="1" t="s">
        <v>4671</v>
      </c>
      <c r="D3040" s="1" t="s">
        <v>4671</v>
      </c>
      <c r="E3040" s="1" t="s">
        <v>4671</v>
      </c>
      <c r="F3040" t="s">
        <v>4672</v>
      </c>
      <c r="G3040" t="s">
        <v>884</v>
      </c>
      <c r="H3040" t="s">
        <v>49</v>
      </c>
      <c r="I3040" t="s">
        <v>50</v>
      </c>
      <c r="J3040">
        <v>24</v>
      </c>
      <c r="K3040" t="e">
        <f>IF(COUNTIF(#REF!,Tabela2[[#This Row],[IdxWspolny]])&gt;0,"ELEM_lub_PRD","TECHN")</f>
        <v>#REF!</v>
      </c>
      <c r="L3040" t="e">
        <f>IF(COUNTIF(#REF!,Tabela2[[#This Row],[KOD_PRODUKTU]])&gt;0,"ELEMENT","PRODUKT")</f>
        <v>#REF!</v>
      </c>
      <c r="M3040" t="e">
        <f>COUNTIF(#REF!,Tabela2[[#This Row],[KOD_PRODUKTU]])</f>
        <v>#REF!</v>
      </c>
    </row>
    <row r="3041" spans="1:14" x14ac:dyDescent="0.25">
      <c r="A3041" s="1" t="s">
        <v>4647</v>
      </c>
      <c r="B3041" t="s">
        <v>4648</v>
      </c>
      <c r="C3041" s="1" t="s">
        <v>4673</v>
      </c>
      <c r="D3041" s="1" t="s">
        <v>4673</v>
      </c>
      <c r="E3041" s="1" t="s">
        <v>4673</v>
      </c>
      <c r="F3041" t="s">
        <v>4674</v>
      </c>
      <c r="G3041" t="s">
        <v>4675</v>
      </c>
      <c r="H3041" t="s">
        <v>49</v>
      </c>
      <c r="I3041" t="s">
        <v>50</v>
      </c>
      <c r="J3041">
        <v>0.44</v>
      </c>
      <c r="K3041" t="e">
        <f>IF(COUNTIF(#REF!,Tabela2[[#This Row],[IdxWspolny]])&gt;0,"ELEM_lub_PRD","TECHN")</f>
        <v>#REF!</v>
      </c>
      <c r="L3041" t="e">
        <f>IF(COUNTIF(#REF!,Tabela2[[#This Row],[KOD_PRODUKTU]])&gt;0,"ELEMENT","PRODUKT")</f>
        <v>#REF!</v>
      </c>
      <c r="M3041" t="e">
        <f>COUNTIF(#REF!,Tabela2[[#This Row],[KOD_PRODUKTU]])</f>
        <v>#REF!</v>
      </c>
    </row>
    <row r="3042" spans="1:14" x14ac:dyDescent="0.25">
      <c r="A3042" s="1" t="s">
        <v>4647</v>
      </c>
      <c r="B3042" t="s">
        <v>4648</v>
      </c>
      <c r="C3042" s="1" t="s">
        <v>541</v>
      </c>
      <c r="D3042" s="1" t="s">
        <v>541</v>
      </c>
      <c r="E3042" s="1" t="s">
        <v>541</v>
      </c>
      <c r="F3042" t="s">
        <v>542</v>
      </c>
      <c r="G3042" t="s">
        <v>9</v>
      </c>
      <c r="H3042" t="s">
        <v>10</v>
      </c>
      <c r="I3042" t="s">
        <v>4676</v>
      </c>
      <c r="J3042">
        <v>21.64</v>
      </c>
      <c r="K3042" t="e">
        <f>IF(COUNTIF(#REF!,Tabela2[[#This Row],[IdxWspolny]])&gt;0,"ELEM_lub_PRD","TECHN")</f>
        <v>#REF!</v>
      </c>
      <c r="L3042" t="e">
        <f>IF(COUNTIF(#REF!,Tabela2[[#This Row],[KOD_PRODUKTU]])&gt;0,"ELEMENT","PRODUKT")</f>
        <v>#REF!</v>
      </c>
      <c r="M3042" t="e">
        <f>COUNTIF(#REF!,Tabela2[[#This Row],[KOD_PRODUKTU]])</f>
        <v>#REF!</v>
      </c>
    </row>
    <row r="3043" spans="1:14" x14ac:dyDescent="0.25">
      <c r="A3043" s="1" t="s">
        <v>4677</v>
      </c>
      <c r="B3043" t="s">
        <v>4678</v>
      </c>
      <c r="C3043" s="1" t="s">
        <v>4679</v>
      </c>
      <c r="D3043" s="1" t="s">
        <v>4679</v>
      </c>
      <c r="E3043" s="1" t="s">
        <v>4679</v>
      </c>
      <c r="F3043" t="s">
        <v>4680</v>
      </c>
      <c r="G3043" t="s">
        <v>4681</v>
      </c>
      <c r="H3043" t="s">
        <v>5</v>
      </c>
      <c r="I3043" t="s">
        <v>4682</v>
      </c>
      <c r="J3043">
        <v>2.97</v>
      </c>
      <c r="K3043" t="e">
        <f>IF(COUNTIF(#REF!,Tabela2[[#This Row],[IdxWspolny]])&gt;0,"ELEM_lub_PRD","TECHN")</f>
        <v>#REF!</v>
      </c>
      <c r="L3043" t="e">
        <f>IF(COUNTIF(#REF!,Tabela2[[#This Row],[KOD_PRODUKTU]])&gt;0,"ELEMENT","PRODUKT")</f>
        <v>#REF!</v>
      </c>
      <c r="M3043" t="e">
        <f>COUNTIF(#REF!,Tabela2[[#This Row],[KOD_PRODUKTU]])</f>
        <v>#REF!</v>
      </c>
    </row>
    <row r="3044" spans="1:14" x14ac:dyDescent="0.25">
      <c r="A3044" s="1" t="s">
        <v>4677</v>
      </c>
      <c r="B3044" t="s">
        <v>4678</v>
      </c>
      <c r="C3044" s="1" t="s">
        <v>4683</v>
      </c>
      <c r="D3044" s="1" t="s">
        <v>4683</v>
      </c>
      <c r="E3044" s="1" t="s">
        <v>4683</v>
      </c>
      <c r="F3044" t="s">
        <v>4684</v>
      </c>
      <c r="G3044" t="s">
        <v>3300</v>
      </c>
      <c r="H3044" t="s">
        <v>121</v>
      </c>
      <c r="I3044" t="s">
        <v>92</v>
      </c>
      <c r="J3044">
        <v>1.5</v>
      </c>
      <c r="K3044" t="e">
        <f>IF(COUNTIF(#REF!,Tabela2[[#This Row],[IdxWspolny]])&gt;0,"ELEM_lub_PRD","TECHN")</f>
        <v>#REF!</v>
      </c>
      <c r="L3044" t="e">
        <f>IF(COUNTIF(#REF!,Tabela2[[#This Row],[KOD_PRODUKTU]])&gt;0,"ELEMENT","PRODUKT")</f>
        <v>#REF!</v>
      </c>
      <c r="M3044" t="e">
        <f>COUNTIF(#REF!,Tabela2[[#This Row],[KOD_PRODUKTU]])</f>
        <v>#REF!</v>
      </c>
    </row>
    <row r="3045" spans="1:14" x14ac:dyDescent="0.25">
      <c r="A3045" s="1" t="s">
        <v>4677</v>
      </c>
      <c r="B3045" t="s">
        <v>4678</v>
      </c>
      <c r="C3045" s="1" t="s">
        <v>4685</v>
      </c>
      <c r="D3045" s="1" t="s">
        <v>4685</v>
      </c>
      <c r="E3045" s="1" t="s">
        <v>4685</v>
      </c>
      <c r="F3045" t="s">
        <v>4686</v>
      </c>
      <c r="G3045" t="s">
        <v>4687</v>
      </c>
      <c r="H3045" t="s">
        <v>49</v>
      </c>
      <c r="I3045" t="s">
        <v>50</v>
      </c>
      <c r="J3045">
        <v>10.4</v>
      </c>
      <c r="K3045" t="e">
        <f>IF(COUNTIF(#REF!,Tabela2[[#This Row],[IdxWspolny]])&gt;0,"ELEM_lub_PRD","TECHN")</f>
        <v>#REF!</v>
      </c>
      <c r="L3045" t="e">
        <f>IF(COUNTIF(#REF!,Tabela2[[#This Row],[KOD_PRODUKTU]])&gt;0,"ELEMENT","PRODUKT")</f>
        <v>#REF!</v>
      </c>
      <c r="M3045" t="e">
        <f>COUNTIF(#REF!,Tabela2[[#This Row],[KOD_PRODUKTU]])</f>
        <v>#REF!</v>
      </c>
    </row>
    <row r="3046" spans="1:14" x14ac:dyDescent="0.25">
      <c r="A3046" s="1" t="s">
        <v>4677</v>
      </c>
      <c r="B3046" t="s">
        <v>4678</v>
      </c>
      <c r="C3046" s="1" t="s">
        <v>857</v>
      </c>
      <c r="D3046" s="1" t="s">
        <v>857</v>
      </c>
      <c r="E3046" s="1" t="s">
        <v>857</v>
      </c>
      <c r="F3046" t="s">
        <v>858</v>
      </c>
      <c r="G3046" t="s">
        <v>686</v>
      </c>
      <c r="H3046" t="s">
        <v>49</v>
      </c>
      <c r="I3046" t="s">
        <v>4688</v>
      </c>
      <c r="J3046">
        <v>2.0499999999999998</v>
      </c>
      <c r="K3046" t="e">
        <f>IF(COUNTIF(#REF!,Tabela2[[#This Row],[IdxWspolny]])&gt;0,"ELEM_lub_PRD","TECHN")</f>
        <v>#REF!</v>
      </c>
      <c r="L3046" t="e">
        <f>IF(COUNTIF(#REF!,Tabela2[[#This Row],[KOD_PRODUKTU]])&gt;0,"ELEMENT","PRODUKT")</f>
        <v>#REF!</v>
      </c>
      <c r="M3046" t="e">
        <f>COUNTIF(#REF!,Tabela2[[#This Row],[KOD_PRODUKTU]])</f>
        <v>#REF!</v>
      </c>
    </row>
    <row r="3047" spans="1:14" x14ac:dyDescent="0.25">
      <c r="A3047" s="1" t="s">
        <v>4677</v>
      </c>
      <c r="B3047" t="s">
        <v>4678</v>
      </c>
      <c r="C3047" s="1" t="s">
        <v>1989</v>
      </c>
      <c r="D3047" s="1" t="s">
        <v>1989</v>
      </c>
      <c r="E3047" s="1" t="s">
        <v>1989</v>
      </c>
      <c r="F3047" t="s">
        <v>1990</v>
      </c>
      <c r="G3047" t="s">
        <v>1991</v>
      </c>
      <c r="H3047" t="s">
        <v>435</v>
      </c>
      <c r="I3047" t="s">
        <v>4689</v>
      </c>
      <c r="J3047">
        <v>1.9</v>
      </c>
      <c r="K3047" t="e">
        <f>IF(COUNTIF(#REF!,Tabela2[[#This Row],[IdxWspolny]])&gt;0,"ELEM_lub_PRD","TECHN")</f>
        <v>#REF!</v>
      </c>
      <c r="L3047" t="e">
        <f>IF(COUNTIF(#REF!,Tabela2[[#This Row],[KOD_PRODUKTU]])&gt;0,"ELEMENT","PRODUKT")</f>
        <v>#REF!</v>
      </c>
      <c r="M3047" t="e">
        <f>COUNTIF(#REF!,Tabela2[[#This Row],[KOD_PRODUKTU]])</f>
        <v>#REF!</v>
      </c>
    </row>
    <row r="3048" spans="1:14" x14ac:dyDescent="0.25">
      <c r="A3048" s="1" t="s">
        <v>4677</v>
      </c>
      <c r="B3048" t="s">
        <v>4678</v>
      </c>
      <c r="C3048" s="1" t="s">
        <v>541</v>
      </c>
      <c r="D3048" s="1" t="s">
        <v>541</v>
      </c>
      <c r="E3048" s="1" t="s">
        <v>541</v>
      </c>
      <c r="F3048" t="s">
        <v>542</v>
      </c>
      <c r="G3048" t="s">
        <v>9</v>
      </c>
      <c r="H3048" t="s">
        <v>10</v>
      </c>
      <c r="I3048" t="s">
        <v>601</v>
      </c>
      <c r="J3048">
        <v>6.9</v>
      </c>
      <c r="K3048" t="e">
        <f>IF(COUNTIF(#REF!,Tabela2[[#This Row],[IdxWspolny]])&gt;0,"ELEM_lub_PRD","TECHN")</f>
        <v>#REF!</v>
      </c>
      <c r="L3048" t="e">
        <f>IF(COUNTIF(#REF!,Tabela2[[#This Row],[KOD_PRODUKTU]])&gt;0,"ELEMENT","PRODUKT")</f>
        <v>#REF!</v>
      </c>
      <c r="M3048" t="e">
        <f>COUNTIF(#REF!,Tabela2[[#This Row],[KOD_PRODUKTU]])</f>
        <v>#REF!</v>
      </c>
    </row>
    <row r="3049" spans="1:14" x14ac:dyDescent="0.25">
      <c r="A3049" s="1" t="s">
        <v>4690</v>
      </c>
      <c r="B3049" t="s">
        <v>4691</v>
      </c>
      <c r="C3049" s="1" t="s">
        <v>4692</v>
      </c>
      <c r="D3049" s="1" t="s">
        <v>4692</v>
      </c>
      <c r="E3049" s="1" t="s">
        <v>4692</v>
      </c>
      <c r="F3049" t="s">
        <v>4693</v>
      </c>
      <c r="G3049" t="s">
        <v>4694</v>
      </c>
      <c r="H3049" t="s">
        <v>49</v>
      </c>
      <c r="I3049" t="s">
        <v>50</v>
      </c>
      <c r="J3049">
        <v>1</v>
      </c>
      <c r="K3049" t="e">
        <f>IF(COUNTIF(#REF!,Tabela2[[#This Row],[IdxWspolny]])&gt;0,"ELEM_lub_PRD","TECHN")</f>
        <v>#REF!</v>
      </c>
      <c r="L3049" t="e">
        <f>IF(COUNTIF(#REF!,Tabela2[[#This Row],[KOD_PRODUKTU]])&gt;0,"ELEMENT","PRODUKT")</f>
        <v>#REF!</v>
      </c>
      <c r="M3049" t="e">
        <f>COUNTIF(#REF!,Tabela2[[#This Row],[KOD_PRODUKTU]])</f>
        <v>#REF!</v>
      </c>
    </row>
    <row r="3050" spans="1:14" hidden="1" x14ac:dyDescent="0.25">
      <c r="A3050" s="1" t="s">
        <v>4690</v>
      </c>
      <c r="B3050" t="s">
        <v>4691</v>
      </c>
      <c r="C3050" s="1" t="s">
        <v>4695</v>
      </c>
      <c r="D3050" s="1" t="s">
        <v>1226</v>
      </c>
      <c r="E3050" s="1" t="s">
        <v>1226</v>
      </c>
      <c r="F3050" t="s">
        <v>1227</v>
      </c>
      <c r="G3050" t="s">
        <v>4696</v>
      </c>
      <c r="H3050" t="s">
        <v>49</v>
      </c>
      <c r="I3050" t="s">
        <v>50</v>
      </c>
      <c r="J3050">
        <v>12.05</v>
      </c>
      <c r="K3050" t="e">
        <f>IF(COUNTIF(#REF!,Tabela2[[#This Row],[IdxWspolny]])&gt;0,"ELEM_lub_PRD","TECHN")</f>
        <v>#REF!</v>
      </c>
      <c r="L3050" t="e">
        <f>IF(COUNTIF(#REF!,Tabela2[[#This Row],[KOD_PRODUKTU]])&gt;0,"ELEMENT","PRODUKT")</f>
        <v>#REF!</v>
      </c>
      <c r="M3050" t="e">
        <f>COUNTIF(#REF!,Tabela2[[#This Row],[KOD_PRODUKTU]])</f>
        <v>#REF!</v>
      </c>
      <c r="N3050" t="s">
        <v>51</v>
      </c>
    </row>
    <row r="3051" spans="1:14" x14ac:dyDescent="0.25">
      <c r="A3051" s="1" t="s">
        <v>4690</v>
      </c>
      <c r="B3051" t="s">
        <v>4691</v>
      </c>
      <c r="C3051" s="1" t="s">
        <v>432</v>
      </c>
      <c r="D3051" s="1" t="s">
        <v>432</v>
      </c>
      <c r="E3051" s="1" t="s">
        <v>432</v>
      </c>
      <c r="F3051" t="s">
        <v>433</v>
      </c>
      <c r="G3051" t="s">
        <v>434</v>
      </c>
      <c r="H3051" t="s">
        <v>435</v>
      </c>
      <c r="I3051" t="s">
        <v>4697</v>
      </c>
      <c r="J3051">
        <v>1.57</v>
      </c>
      <c r="K3051" t="e">
        <f>IF(COUNTIF(#REF!,Tabela2[[#This Row],[IdxWspolny]])&gt;0,"ELEM_lub_PRD","TECHN")</f>
        <v>#REF!</v>
      </c>
      <c r="L3051" t="e">
        <f>IF(COUNTIF(#REF!,Tabela2[[#This Row],[KOD_PRODUKTU]])&gt;0,"ELEMENT","PRODUKT")</f>
        <v>#REF!</v>
      </c>
      <c r="M3051" t="e">
        <f>COUNTIF(#REF!,Tabela2[[#This Row],[KOD_PRODUKTU]])</f>
        <v>#REF!</v>
      </c>
    </row>
    <row r="3052" spans="1:14" x14ac:dyDescent="0.25">
      <c r="A3052" s="1" t="s">
        <v>4690</v>
      </c>
      <c r="B3052" t="s">
        <v>4691</v>
      </c>
      <c r="C3052" s="1" t="s">
        <v>541</v>
      </c>
      <c r="D3052" s="1" t="s">
        <v>541</v>
      </c>
      <c r="E3052" s="1" t="s">
        <v>541</v>
      </c>
      <c r="F3052" t="s">
        <v>542</v>
      </c>
      <c r="G3052" t="s">
        <v>9</v>
      </c>
      <c r="H3052" t="s">
        <v>10</v>
      </c>
      <c r="I3052" t="s">
        <v>4698</v>
      </c>
      <c r="J3052">
        <v>3.74</v>
      </c>
      <c r="K3052" t="e">
        <f>IF(COUNTIF(#REF!,Tabela2[[#This Row],[IdxWspolny]])&gt;0,"ELEM_lub_PRD","TECHN")</f>
        <v>#REF!</v>
      </c>
      <c r="L3052" t="e">
        <f>IF(COUNTIF(#REF!,Tabela2[[#This Row],[KOD_PRODUKTU]])&gt;0,"ELEMENT","PRODUKT")</f>
        <v>#REF!</v>
      </c>
      <c r="M3052" t="e">
        <f>COUNTIF(#REF!,Tabela2[[#This Row],[KOD_PRODUKTU]])</f>
        <v>#REF!</v>
      </c>
    </row>
    <row r="3053" spans="1:14" x14ac:dyDescent="0.25">
      <c r="A3053" s="1" t="s">
        <v>707</v>
      </c>
      <c r="B3053" t="s">
        <v>708</v>
      </c>
      <c r="C3053" s="1" t="s">
        <v>1022</v>
      </c>
      <c r="D3053" s="1" t="s">
        <v>1022</v>
      </c>
      <c r="E3053" s="1" t="s">
        <v>1022</v>
      </c>
      <c r="F3053" t="s">
        <v>1023</v>
      </c>
      <c r="G3053" t="s">
        <v>1024</v>
      </c>
      <c r="H3053" t="s">
        <v>932</v>
      </c>
      <c r="I3053" t="s">
        <v>4699</v>
      </c>
      <c r="J3053">
        <v>9</v>
      </c>
      <c r="K3053" t="e">
        <f>IF(COUNTIF(#REF!,Tabela2[[#This Row],[IdxWspolny]])&gt;0,"ELEM_lub_PRD","TECHN")</f>
        <v>#REF!</v>
      </c>
      <c r="L3053" t="e">
        <f>IF(COUNTIF(#REF!,Tabela2[[#This Row],[KOD_PRODUKTU]])&gt;0,"ELEMENT","PRODUKT")</f>
        <v>#REF!</v>
      </c>
      <c r="M3053" t="e">
        <f>COUNTIF(#REF!,Tabela2[[#This Row],[KOD_PRODUKTU]])</f>
        <v>#REF!</v>
      </c>
    </row>
    <row r="3054" spans="1:14" x14ac:dyDescent="0.25">
      <c r="A3054" s="1" t="s">
        <v>707</v>
      </c>
      <c r="B3054" t="s">
        <v>708</v>
      </c>
      <c r="C3054" s="1" t="s">
        <v>7</v>
      </c>
      <c r="D3054" s="1" t="s">
        <v>7</v>
      </c>
      <c r="E3054" s="1" t="s">
        <v>7</v>
      </c>
      <c r="F3054" t="s">
        <v>8</v>
      </c>
      <c r="G3054" t="s">
        <v>9</v>
      </c>
      <c r="H3054" t="s">
        <v>10</v>
      </c>
      <c r="I3054" t="s">
        <v>4700</v>
      </c>
      <c r="J3054">
        <v>15.5</v>
      </c>
      <c r="K3054" t="e">
        <f>IF(COUNTIF(#REF!,Tabela2[[#This Row],[IdxWspolny]])&gt;0,"ELEM_lub_PRD","TECHN")</f>
        <v>#REF!</v>
      </c>
      <c r="L3054" t="e">
        <f>IF(COUNTIF(#REF!,Tabela2[[#This Row],[KOD_PRODUKTU]])&gt;0,"ELEMENT","PRODUKT")</f>
        <v>#REF!</v>
      </c>
      <c r="M3054" t="e">
        <f>COUNTIF(#REF!,Tabela2[[#This Row],[KOD_PRODUKTU]])</f>
        <v>#REF!</v>
      </c>
    </row>
    <row r="3055" spans="1:14" x14ac:dyDescent="0.25">
      <c r="A3055" s="1" t="s">
        <v>710</v>
      </c>
      <c r="B3055" t="s">
        <v>711</v>
      </c>
      <c r="C3055" s="1" t="s">
        <v>1022</v>
      </c>
      <c r="D3055" s="1" t="s">
        <v>1022</v>
      </c>
      <c r="E3055" s="1" t="s">
        <v>1022</v>
      </c>
      <c r="F3055" t="s">
        <v>1023</v>
      </c>
      <c r="G3055" t="s">
        <v>1024</v>
      </c>
      <c r="H3055" t="s">
        <v>932</v>
      </c>
      <c r="I3055" t="s">
        <v>4701</v>
      </c>
      <c r="J3055">
        <v>5.2</v>
      </c>
      <c r="K3055" t="e">
        <f>IF(COUNTIF(#REF!,Tabela2[[#This Row],[IdxWspolny]])&gt;0,"ELEM_lub_PRD","TECHN")</f>
        <v>#REF!</v>
      </c>
      <c r="L3055" t="e">
        <f>IF(COUNTIF(#REF!,Tabela2[[#This Row],[KOD_PRODUKTU]])&gt;0,"ELEMENT","PRODUKT")</f>
        <v>#REF!</v>
      </c>
      <c r="M3055" t="e">
        <f>COUNTIF(#REF!,Tabela2[[#This Row],[KOD_PRODUKTU]])</f>
        <v>#REF!</v>
      </c>
    </row>
    <row r="3056" spans="1:14" x14ac:dyDescent="0.25">
      <c r="A3056" s="1" t="s">
        <v>710</v>
      </c>
      <c r="B3056" t="s">
        <v>711</v>
      </c>
      <c r="C3056" s="1" t="s">
        <v>7</v>
      </c>
      <c r="D3056" s="1" t="s">
        <v>7</v>
      </c>
      <c r="E3056" s="1" t="s">
        <v>7</v>
      </c>
      <c r="F3056" t="s">
        <v>1031</v>
      </c>
      <c r="G3056" t="s">
        <v>9</v>
      </c>
      <c r="H3056" t="s">
        <v>10</v>
      </c>
      <c r="I3056" t="s">
        <v>4702</v>
      </c>
      <c r="J3056">
        <v>19.8</v>
      </c>
      <c r="K3056" t="e">
        <f>IF(COUNTIF(#REF!,Tabela2[[#This Row],[IdxWspolny]])&gt;0,"ELEM_lub_PRD","TECHN")</f>
        <v>#REF!</v>
      </c>
      <c r="L3056" t="e">
        <f>IF(COUNTIF(#REF!,Tabela2[[#This Row],[KOD_PRODUKTU]])&gt;0,"ELEMENT","PRODUKT")</f>
        <v>#REF!</v>
      </c>
      <c r="M3056" t="e">
        <f>COUNTIF(#REF!,Tabela2[[#This Row],[KOD_PRODUKTU]])</f>
        <v>#REF!</v>
      </c>
    </row>
    <row r="3057" spans="1:13" x14ac:dyDescent="0.25">
      <c r="A3057" s="1" t="s">
        <v>729</v>
      </c>
      <c r="B3057" t="s">
        <v>730</v>
      </c>
      <c r="C3057" s="1" t="s">
        <v>1022</v>
      </c>
      <c r="D3057" s="1" t="s">
        <v>1022</v>
      </c>
      <c r="E3057" s="1" t="s">
        <v>1022</v>
      </c>
      <c r="F3057" t="s">
        <v>1023</v>
      </c>
      <c r="G3057" t="s">
        <v>1024</v>
      </c>
      <c r="H3057" t="s">
        <v>932</v>
      </c>
      <c r="I3057" t="s">
        <v>4703</v>
      </c>
      <c r="J3057">
        <v>15.8</v>
      </c>
      <c r="K3057" t="e">
        <f>IF(COUNTIF(#REF!,Tabela2[[#This Row],[IdxWspolny]])&gt;0,"ELEM_lub_PRD","TECHN")</f>
        <v>#REF!</v>
      </c>
      <c r="L3057" t="e">
        <f>IF(COUNTIF(#REF!,Tabela2[[#This Row],[KOD_PRODUKTU]])&gt;0,"ELEMENT","PRODUKT")</f>
        <v>#REF!</v>
      </c>
      <c r="M3057" t="e">
        <f>COUNTIF(#REF!,Tabela2[[#This Row],[KOD_PRODUKTU]])</f>
        <v>#REF!</v>
      </c>
    </row>
    <row r="3058" spans="1:13" x14ac:dyDescent="0.25">
      <c r="A3058" s="1" t="s">
        <v>729</v>
      </c>
      <c r="B3058" t="s">
        <v>730</v>
      </c>
      <c r="C3058" s="1" t="s">
        <v>7</v>
      </c>
      <c r="D3058" s="1" t="s">
        <v>7</v>
      </c>
      <c r="E3058" s="1" t="s">
        <v>7</v>
      </c>
      <c r="F3058" t="s">
        <v>1031</v>
      </c>
      <c r="G3058" t="s">
        <v>9</v>
      </c>
      <c r="H3058" t="s">
        <v>10</v>
      </c>
      <c r="I3058" t="s">
        <v>4704</v>
      </c>
      <c r="J3058">
        <v>18.5</v>
      </c>
      <c r="K3058" t="e">
        <f>IF(COUNTIF(#REF!,Tabela2[[#This Row],[IdxWspolny]])&gt;0,"ELEM_lub_PRD","TECHN")</f>
        <v>#REF!</v>
      </c>
      <c r="L3058" t="e">
        <f>IF(COUNTIF(#REF!,Tabela2[[#This Row],[KOD_PRODUKTU]])&gt;0,"ELEMENT","PRODUKT")</f>
        <v>#REF!</v>
      </c>
      <c r="M3058" t="e">
        <f>COUNTIF(#REF!,Tabela2[[#This Row],[KOD_PRODUKTU]])</f>
        <v>#REF!</v>
      </c>
    </row>
    <row r="3059" spans="1:13" x14ac:dyDescent="0.25">
      <c r="A3059" s="1" t="s">
        <v>713</v>
      </c>
      <c r="B3059" t="s">
        <v>714</v>
      </c>
      <c r="C3059" s="1" t="s">
        <v>1345</v>
      </c>
      <c r="D3059" s="1" t="s">
        <v>1345</v>
      </c>
      <c r="E3059" s="1" t="s">
        <v>1345</v>
      </c>
      <c r="F3059" t="s">
        <v>1346</v>
      </c>
      <c r="G3059" t="s">
        <v>1369</v>
      </c>
      <c r="H3059" t="s">
        <v>5</v>
      </c>
      <c r="I3059" t="s">
        <v>4705</v>
      </c>
      <c r="J3059">
        <v>1.35</v>
      </c>
      <c r="K3059" t="e">
        <f>IF(COUNTIF(#REF!,Tabela2[[#This Row],[IdxWspolny]])&gt;0,"ELEM_lub_PRD","TECHN")</f>
        <v>#REF!</v>
      </c>
      <c r="L3059" t="e">
        <f>IF(COUNTIF(#REF!,Tabela2[[#This Row],[KOD_PRODUKTU]])&gt;0,"ELEMENT","PRODUKT")</f>
        <v>#REF!</v>
      </c>
      <c r="M3059" t="e">
        <f>COUNTIF(#REF!,Tabela2[[#This Row],[KOD_PRODUKTU]])</f>
        <v>#REF!</v>
      </c>
    </row>
    <row r="3060" spans="1:13" x14ac:dyDescent="0.25">
      <c r="A3060" s="1" t="s">
        <v>713</v>
      </c>
      <c r="B3060" t="s">
        <v>714</v>
      </c>
      <c r="C3060" s="1" t="s">
        <v>7</v>
      </c>
      <c r="D3060" s="1" t="s">
        <v>7</v>
      </c>
      <c r="E3060" s="1" t="s">
        <v>7</v>
      </c>
      <c r="F3060" t="s">
        <v>8</v>
      </c>
      <c r="G3060" t="s">
        <v>9</v>
      </c>
      <c r="H3060" t="s">
        <v>10</v>
      </c>
      <c r="I3060" t="s">
        <v>1114</v>
      </c>
      <c r="J3060">
        <v>3.15</v>
      </c>
      <c r="K3060" t="e">
        <f>IF(COUNTIF(#REF!,Tabela2[[#This Row],[IdxWspolny]])&gt;0,"ELEM_lub_PRD","TECHN")</f>
        <v>#REF!</v>
      </c>
      <c r="L3060" t="e">
        <f>IF(COUNTIF(#REF!,Tabela2[[#This Row],[KOD_PRODUKTU]])&gt;0,"ELEMENT","PRODUKT")</f>
        <v>#REF!</v>
      </c>
      <c r="M3060" t="e">
        <f>COUNTIF(#REF!,Tabela2[[#This Row],[KOD_PRODUKTU]])</f>
        <v>#REF!</v>
      </c>
    </row>
    <row r="3061" spans="1:13" x14ac:dyDescent="0.25">
      <c r="A3061" s="1" t="s">
        <v>715</v>
      </c>
      <c r="B3061" t="s">
        <v>716</v>
      </c>
      <c r="C3061" s="1" t="s">
        <v>1345</v>
      </c>
      <c r="D3061" s="1" t="s">
        <v>1345</v>
      </c>
      <c r="E3061" s="1" t="s">
        <v>1345</v>
      </c>
      <c r="F3061" t="s">
        <v>1346</v>
      </c>
      <c r="G3061" t="s">
        <v>1369</v>
      </c>
      <c r="H3061" t="s">
        <v>5</v>
      </c>
      <c r="I3061" t="s">
        <v>4705</v>
      </c>
      <c r="J3061">
        <v>1.35</v>
      </c>
      <c r="K3061" t="e">
        <f>IF(COUNTIF(#REF!,Tabela2[[#This Row],[IdxWspolny]])&gt;0,"ELEM_lub_PRD","TECHN")</f>
        <v>#REF!</v>
      </c>
      <c r="L3061" t="e">
        <f>IF(COUNTIF(#REF!,Tabela2[[#This Row],[KOD_PRODUKTU]])&gt;0,"ELEMENT","PRODUKT")</f>
        <v>#REF!</v>
      </c>
      <c r="M3061" t="e">
        <f>COUNTIF(#REF!,Tabela2[[#This Row],[KOD_PRODUKTU]])</f>
        <v>#REF!</v>
      </c>
    </row>
    <row r="3062" spans="1:13" x14ac:dyDescent="0.25">
      <c r="A3062" s="1" t="s">
        <v>715</v>
      </c>
      <c r="B3062" t="s">
        <v>716</v>
      </c>
      <c r="C3062" s="1" t="s">
        <v>7</v>
      </c>
      <c r="D3062" s="1" t="s">
        <v>7</v>
      </c>
      <c r="E3062" s="1" t="s">
        <v>7</v>
      </c>
      <c r="F3062" t="s">
        <v>8</v>
      </c>
      <c r="G3062" t="s">
        <v>9</v>
      </c>
      <c r="H3062" t="s">
        <v>10</v>
      </c>
      <c r="I3062" t="s">
        <v>1114</v>
      </c>
      <c r="J3062">
        <v>3.15</v>
      </c>
      <c r="K3062" t="e">
        <f>IF(COUNTIF(#REF!,Tabela2[[#This Row],[IdxWspolny]])&gt;0,"ELEM_lub_PRD","TECHN")</f>
        <v>#REF!</v>
      </c>
      <c r="L3062" t="e">
        <f>IF(COUNTIF(#REF!,Tabela2[[#This Row],[KOD_PRODUKTU]])&gt;0,"ELEMENT","PRODUKT")</f>
        <v>#REF!</v>
      </c>
      <c r="M3062" t="e">
        <f>COUNTIF(#REF!,Tabela2[[#This Row],[KOD_PRODUKTU]])</f>
        <v>#REF!</v>
      </c>
    </row>
    <row r="3063" spans="1:13" x14ac:dyDescent="0.25">
      <c r="A3063" s="1" t="s">
        <v>717</v>
      </c>
      <c r="B3063" t="s">
        <v>718</v>
      </c>
      <c r="C3063" s="1" t="s">
        <v>1345</v>
      </c>
      <c r="D3063" s="1" t="s">
        <v>1345</v>
      </c>
      <c r="E3063" s="1" t="s">
        <v>1345</v>
      </c>
      <c r="F3063" t="s">
        <v>1346</v>
      </c>
      <c r="G3063" t="s">
        <v>1369</v>
      </c>
      <c r="H3063" t="s">
        <v>5</v>
      </c>
      <c r="I3063" t="s">
        <v>4706</v>
      </c>
      <c r="J3063">
        <v>0.7</v>
      </c>
      <c r="K3063" t="e">
        <f>IF(COUNTIF(#REF!,Tabela2[[#This Row],[IdxWspolny]])&gt;0,"ELEM_lub_PRD","TECHN")</f>
        <v>#REF!</v>
      </c>
      <c r="L3063" t="e">
        <f>IF(COUNTIF(#REF!,Tabela2[[#This Row],[KOD_PRODUKTU]])&gt;0,"ELEMENT","PRODUKT")</f>
        <v>#REF!</v>
      </c>
      <c r="M3063" t="e">
        <f>COUNTIF(#REF!,Tabela2[[#This Row],[KOD_PRODUKTU]])</f>
        <v>#REF!</v>
      </c>
    </row>
    <row r="3064" spans="1:13" x14ac:dyDescent="0.25">
      <c r="A3064" s="1" t="s">
        <v>717</v>
      </c>
      <c r="B3064" t="s">
        <v>718</v>
      </c>
      <c r="C3064" s="1" t="s">
        <v>7</v>
      </c>
      <c r="D3064" s="1" t="s">
        <v>7</v>
      </c>
      <c r="E3064" s="1" t="s">
        <v>7</v>
      </c>
      <c r="F3064" t="s">
        <v>8</v>
      </c>
      <c r="G3064" t="s">
        <v>9</v>
      </c>
      <c r="H3064" t="s">
        <v>10</v>
      </c>
      <c r="I3064" t="s">
        <v>1114</v>
      </c>
      <c r="J3064">
        <v>3.15</v>
      </c>
      <c r="K3064" t="e">
        <f>IF(COUNTIF(#REF!,Tabela2[[#This Row],[IdxWspolny]])&gt;0,"ELEM_lub_PRD","TECHN")</f>
        <v>#REF!</v>
      </c>
      <c r="L3064" t="e">
        <f>IF(COUNTIF(#REF!,Tabela2[[#This Row],[KOD_PRODUKTU]])&gt;0,"ELEMENT","PRODUKT")</f>
        <v>#REF!</v>
      </c>
      <c r="M3064" t="e">
        <f>COUNTIF(#REF!,Tabela2[[#This Row],[KOD_PRODUKTU]])</f>
        <v>#REF!</v>
      </c>
    </row>
    <row r="3065" spans="1:13" x14ac:dyDescent="0.25">
      <c r="A3065" s="1" t="s">
        <v>719</v>
      </c>
      <c r="B3065" t="s">
        <v>720</v>
      </c>
      <c r="C3065" s="1" t="s">
        <v>1022</v>
      </c>
      <c r="D3065" s="1" t="s">
        <v>1022</v>
      </c>
      <c r="E3065" s="1" t="s">
        <v>1022</v>
      </c>
      <c r="F3065" t="s">
        <v>1023</v>
      </c>
      <c r="G3065" t="s">
        <v>1024</v>
      </c>
      <c r="H3065" t="s">
        <v>932</v>
      </c>
      <c r="I3065" t="s">
        <v>4707</v>
      </c>
      <c r="J3065">
        <v>10.8</v>
      </c>
      <c r="K3065" t="e">
        <f>IF(COUNTIF(#REF!,Tabela2[[#This Row],[IdxWspolny]])&gt;0,"ELEM_lub_PRD","TECHN")</f>
        <v>#REF!</v>
      </c>
      <c r="L3065" t="e">
        <f>IF(COUNTIF(#REF!,Tabela2[[#This Row],[KOD_PRODUKTU]])&gt;0,"ELEMENT","PRODUKT")</f>
        <v>#REF!</v>
      </c>
      <c r="M3065" t="e">
        <f>COUNTIF(#REF!,Tabela2[[#This Row],[KOD_PRODUKTU]])</f>
        <v>#REF!</v>
      </c>
    </row>
    <row r="3066" spans="1:13" x14ac:dyDescent="0.25">
      <c r="A3066" s="1" t="s">
        <v>719</v>
      </c>
      <c r="B3066" t="s">
        <v>720</v>
      </c>
      <c r="C3066" s="1" t="s">
        <v>7</v>
      </c>
      <c r="D3066" s="1" t="s">
        <v>7</v>
      </c>
      <c r="E3066" s="1" t="s">
        <v>7</v>
      </c>
      <c r="F3066" t="s">
        <v>1031</v>
      </c>
      <c r="G3066" t="s">
        <v>9</v>
      </c>
      <c r="H3066" t="s">
        <v>10</v>
      </c>
      <c r="I3066" t="s">
        <v>4708</v>
      </c>
      <c r="J3066">
        <v>17.3</v>
      </c>
      <c r="K3066" t="e">
        <f>IF(COUNTIF(#REF!,Tabela2[[#This Row],[IdxWspolny]])&gt;0,"ELEM_lub_PRD","TECHN")</f>
        <v>#REF!</v>
      </c>
      <c r="L3066" t="e">
        <f>IF(COUNTIF(#REF!,Tabela2[[#This Row],[KOD_PRODUKTU]])&gt;0,"ELEMENT","PRODUKT")</f>
        <v>#REF!</v>
      </c>
      <c r="M3066" t="e">
        <f>COUNTIF(#REF!,Tabela2[[#This Row],[KOD_PRODUKTU]])</f>
        <v>#REF!</v>
      </c>
    </row>
    <row r="3067" spans="1:13" x14ac:dyDescent="0.25">
      <c r="A3067" s="1" t="s">
        <v>4709</v>
      </c>
      <c r="B3067" t="s">
        <v>4710</v>
      </c>
      <c r="C3067" s="1" t="s">
        <v>4168</v>
      </c>
      <c r="D3067" s="1" t="s">
        <v>4168</v>
      </c>
      <c r="E3067" s="1" t="s">
        <v>4168</v>
      </c>
      <c r="F3067" t="s">
        <v>4423</v>
      </c>
      <c r="G3067" t="s">
        <v>70</v>
      </c>
      <c r="H3067" t="s">
        <v>5</v>
      </c>
      <c r="I3067" t="s">
        <v>1141</v>
      </c>
      <c r="J3067">
        <v>0.63</v>
      </c>
      <c r="K3067" t="e">
        <f>IF(COUNTIF(#REF!,Tabela2[[#This Row],[IdxWspolny]])&gt;0,"ELEM_lub_PRD","TECHN")</f>
        <v>#REF!</v>
      </c>
      <c r="L3067" t="e">
        <f>IF(COUNTIF(#REF!,Tabela2[[#This Row],[KOD_PRODUKTU]])&gt;0,"ELEMENT","PRODUKT")</f>
        <v>#REF!</v>
      </c>
      <c r="M3067" t="e">
        <f>COUNTIF(#REF!,Tabela2[[#This Row],[KOD_PRODUKTU]])</f>
        <v>#REF!</v>
      </c>
    </row>
    <row r="3068" spans="1:13" x14ac:dyDescent="0.25">
      <c r="A3068" s="1" t="s">
        <v>4709</v>
      </c>
      <c r="B3068" t="s">
        <v>4710</v>
      </c>
      <c r="C3068" s="1" t="s">
        <v>432</v>
      </c>
      <c r="D3068" s="1" t="s">
        <v>432</v>
      </c>
      <c r="E3068" s="1" t="s">
        <v>432</v>
      </c>
      <c r="F3068" t="s">
        <v>433</v>
      </c>
      <c r="G3068" t="s">
        <v>434</v>
      </c>
      <c r="H3068" t="s">
        <v>435</v>
      </c>
      <c r="I3068" t="s">
        <v>50</v>
      </c>
      <c r="J3068">
        <v>1.1000000000000001</v>
      </c>
      <c r="K3068" t="e">
        <f>IF(COUNTIF(#REF!,Tabela2[[#This Row],[IdxWspolny]])&gt;0,"ELEM_lub_PRD","TECHN")</f>
        <v>#REF!</v>
      </c>
      <c r="L3068" t="e">
        <f>IF(COUNTIF(#REF!,Tabela2[[#This Row],[KOD_PRODUKTU]])&gt;0,"ELEMENT","PRODUKT")</f>
        <v>#REF!</v>
      </c>
      <c r="M3068" t="e">
        <f>COUNTIF(#REF!,Tabela2[[#This Row],[KOD_PRODUKTU]])</f>
        <v>#REF!</v>
      </c>
    </row>
    <row r="3069" spans="1:13" x14ac:dyDescent="0.25">
      <c r="A3069" s="1" t="s">
        <v>4709</v>
      </c>
      <c r="B3069" t="s">
        <v>4710</v>
      </c>
      <c r="C3069" s="1" t="s">
        <v>541</v>
      </c>
      <c r="D3069" s="1" t="s">
        <v>541</v>
      </c>
      <c r="E3069" s="1" t="s">
        <v>541</v>
      </c>
      <c r="F3069" t="s">
        <v>542</v>
      </c>
      <c r="G3069" t="s">
        <v>9</v>
      </c>
      <c r="H3069" t="s">
        <v>10</v>
      </c>
      <c r="I3069" t="s">
        <v>19</v>
      </c>
      <c r="J3069">
        <v>4.5999999999999996</v>
      </c>
      <c r="K3069" t="e">
        <f>IF(COUNTIF(#REF!,Tabela2[[#This Row],[IdxWspolny]])&gt;0,"ELEM_lub_PRD","TECHN")</f>
        <v>#REF!</v>
      </c>
      <c r="L3069" t="e">
        <f>IF(COUNTIF(#REF!,Tabela2[[#This Row],[KOD_PRODUKTU]])&gt;0,"ELEMENT","PRODUKT")</f>
        <v>#REF!</v>
      </c>
      <c r="M3069" t="e">
        <f>COUNTIF(#REF!,Tabela2[[#This Row],[KOD_PRODUKTU]])</f>
        <v>#REF!</v>
      </c>
    </row>
    <row r="3070" spans="1:13" x14ac:dyDescent="0.25">
      <c r="A3070" s="1" t="s">
        <v>4711</v>
      </c>
      <c r="B3070" t="s">
        <v>4712</v>
      </c>
      <c r="C3070" s="1" t="s">
        <v>3770</v>
      </c>
      <c r="D3070" s="1" t="s">
        <v>3770</v>
      </c>
      <c r="E3070" s="1" t="s">
        <v>3770</v>
      </c>
      <c r="F3070" t="s">
        <v>3771</v>
      </c>
      <c r="G3070" t="s">
        <v>216</v>
      </c>
      <c r="H3070" t="s">
        <v>5</v>
      </c>
      <c r="I3070" t="s">
        <v>478</v>
      </c>
      <c r="J3070">
        <v>0.56000000000000005</v>
      </c>
      <c r="K3070" t="e">
        <f>IF(COUNTIF(#REF!,Tabela2[[#This Row],[IdxWspolny]])&gt;0,"ELEM_lub_PRD","TECHN")</f>
        <v>#REF!</v>
      </c>
      <c r="L3070" t="e">
        <f>IF(COUNTIF(#REF!,Tabela2[[#This Row],[KOD_PRODUKTU]])&gt;0,"ELEMENT","PRODUKT")</f>
        <v>#REF!</v>
      </c>
      <c r="M3070" t="e">
        <f>COUNTIF(#REF!,Tabela2[[#This Row],[KOD_PRODUKTU]])</f>
        <v>#REF!</v>
      </c>
    </row>
    <row r="3071" spans="1:13" x14ac:dyDescent="0.25">
      <c r="A3071" s="1" t="s">
        <v>4711</v>
      </c>
      <c r="B3071" t="s">
        <v>4712</v>
      </c>
      <c r="C3071" s="1" t="s">
        <v>432</v>
      </c>
      <c r="D3071" s="1" t="s">
        <v>432</v>
      </c>
      <c r="E3071" s="1" t="s">
        <v>432</v>
      </c>
      <c r="F3071" t="s">
        <v>433</v>
      </c>
      <c r="G3071" t="s">
        <v>434</v>
      </c>
      <c r="H3071" t="s">
        <v>435</v>
      </c>
      <c r="I3071" t="s">
        <v>50</v>
      </c>
      <c r="J3071">
        <v>1.1000000000000001</v>
      </c>
      <c r="K3071" t="e">
        <f>IF(COUNTIF(#REF!,Tabela2[[#This Row],[IdxWspolny]])&gt;0,"ELEM_lub_PRD","TECHN")</f>
        <v>#REF!</v>
      </c>
      <c r="L3071" t="e">
        <f>IF(COUNTIF(#REF!,Tabela2[[#This Row],[KOD_PRODUKTU]])&gt;0,"ELEMENT","PRODUKT")</f>
        <v>#REF!</v>
      </c>
      <c r="M3071" t="e">
        <f>COUNTIF(#REF!,Tabela2[[#This Row],[KOD_PRODUKTU]])</f>
        <v>#REF!</v>
      </c>
    </row>
    <row r="3072" spans="1:13" x14ac:dyDescent="0.25">
      <c r="A3072" s="1" t="s">
        <v>4711</v>
      </c>
      <c r="B3072" t="s">
        <v>4712</v>
      </c>
      <c r="C3072" s="1" t="s">
        <v>541</v>
      </c>
      <c r="D3072" s="1" t="s">
        <v>541</v>
      </c>
      <c r="E3072" s="1" t="s">
        <v>541</v>
      </c>
      <c r="F3072" t="s">
        <v>542</v>
      </c>
      <c r="G3072" t="s">
        <v>9</v>
      </c>
      <c r="H3072" t="s">
        <v>10</v>
      </c>
      <c r="I3072" t="s">
        <v>19</v>
      </c>
      <c r="J3072">
        <v>4.5999999999999996</v>
      </c>
      <c r="K3072" t="e">
        <f>IF(COUNTIF(#REF!,Tabela2[[#This Row],[IdxWspolny]])&gt;0,"ELEM_lub_PRD","TECHN")</f>
        <v>#REF!</v>
      </c>
      <c r="L3072" t="e">
        <f>IF(COUNTIF(#REF!,Tabela2[[#This Row],[KOD_PRODUKTU]])&gt;0,"ELEMENT","PRODUKT")</f>
        <v>#REF!</v>
      </c>
      <c r="M3072" t="e">
        <f>COUNTIF(#REF!,Tabela2[[#This Row],[KOD_PRODUKTU]])</f>
        <v>#REF!</v>
      </c>
    </row>
    <row r="3073" spans="1:13" x14ac:dyDescent="0.25">
      <c r="A3073" s="1" t="s">
        <v>745</v>
      </c>
      <c r="B3073" t="s">
        <v>746</v>
      </c>
      <c r="C3073" s="1" t="s">
        <v>1022</v>
      </c>
      <c r="D3073" s="1" t="s">
        <v>1022</v>
      </c>
      <c r="E3073" s="1" t="s">
        <v>1022</v>
      </c>
      <c r="F3073" t="s">
        <v>1023</v>
      </c>
      <c r="G3073" t="s">
        <v>1024</v>
      </c>
      <c r="H3073" t="s">
        <v>932</v>
      </c>
      <c r="I3073" t="s">
        <v>1574</v>
      </c>
      <c r="J3073">
        <v>16</v>
      </c>
      <c r="K3073" t="e">
        <f>IF(COUNTIF(#REF!,Tabela2[[#This Row],[IdxWspolny]])&gt;0,"ELEM_lub_PRD","TECHN")</f>
        <v>#REF!</v>
      </c>
      <c r="L3073" t="e">
        <f>IF(COUNTIF(#REF!,Tabela2[[#This Row],[KOD_PRODUKTU]])&gt;0,"ELEMENT","PRODUKT")</f>
        <v>#REF!</v>
      </c>
      <c r="M3073" t="e">
        <f>COUNTIF(#REF!,Tabela2[[#This Row],[KOD_PRODUKTU]])</f>
        <v>#REF!</v>
      </c>
    </row>
    <row r="3074" spans="1:13" x14ac:dyDescent="0.25">
      <c r="A3074" s="1" t="s">
        <v>745</v>
      </c>
      <c r="B3074" t="s">
        <v>746</v>
      </c>
      <c r="C3074" s="1" t="s">
        <v>7</v>
      </c>
      <c r="D3074" s="1" t="s">
        <v>7</v>
      </c>
      <c r="E3074" s="1" t="s">
        <v>7</v>
      </c>
      <c r="F3074" t="s">
        <v>8</v>
      </c>
      <c r="G3074" t="s">
        <v>9</v>
      </c>
      <c r="H3074" t="s">
        <v>10</v>
      </c>
      <c r="I3074" t="s">
        <v>4713</v>
      </c>
      <c r="J3074">
        <v>12.65</v>
      </c>
      <c r="K3074" t="e">
        <f>IF(COUNTIF(#REF!,Tabela2[[#This Row],[IdxWspolny]])&gt;0,"ELEM_lub_PRD","TECHN")</f>
        <v>#REF!</v>
      </c>
      <c r="L3074" t="e">
        <f>IF(COUNTIF(#REF!,Tabela2[[#This Row],[KOD_PRODUKTU]])&gt;0,"ELEMENT","PRODUKT")</f>
        <v>#REF!</v>
      </c>
      <c r="M3074" t="e">
        <f>COUNTIF(#REF!,Tabela2[[#This Row],[KOD_PRODUKTU]])</f>
        <v>#REF!</v>
      </c>
    </row>
    <row r="3075" spans="1:13" x14ac:dyDescent="0.25">
      <c r="A3075" s="1" t="s">
        <v>745</v>
      </c>
      <c r="B3075" t="s">
        <v>746</v>
      </c>
      <c r="C3075" s="1" t="s">
        <v>7</v>
      </c>
      <c r="D3075" s="1" t="s">
        <v>7</v>
      </c>
      <c r="E3075" s="1" t="s">
        <v>7</v>
      </c>
      <c r="F3075" t="s">
        <v>8</v>
      </c>
      <c r="G3075" t="s">
        <v>9</v>
      </c>
      <c r="H3075" t="s">
        <v>10</v>
      </c>
      <c r="I3075" t="s">
        <v>601</v>
      </c>
      <c r="J3075">
        <v>6.9</v>
      </c>
      <c r="K3075" t="e">
        <f>IF(COUNTIF(#REF!,Tabela2[[#This Row],[IdxWspolny]])&gt;0,"ELEM_lub_PRD","TECHN")</f>
        <v>#REF!</v>
      </c>
      <c r="L3075" t="e">
        <f>IF(COUNTIF(#REF!,Tabela2[[#This Row],[KOD_PRODUKTU]])&gt;0,"ELEMENT","PRODUKT")</f>
        <v>#REF!</v>
      </c>
      <c r="M3075" t="e">
        <f>COUNTIF(#REF!,Tabela2[[#This Row],[KOD_PRODUKTU]])</f>
        <v>#REF!</v>
      </c>
    </row>
    <row r="3076" spans="1:13" x14ac:dyDescent="0.25">
      <c r="A3076" s="1" t="s">
        <v>748</v>
      </c>
      <c r="B3076" t="s">
        <v>749</v>
      </c>
      <c r="C3076" s="1" t="s">
        <v>1345</v>
      </c>
      <c r="D3076" s="1" t="s">
        <v>1345</v>
      </c>
      <c r="E3076" s="1" t="s">
        <v>1345</v>
      </c>
      <c r="F3076" t="s">
        <v>1346</v>
      </c>
      <c r="G3076" t="s">
        <v>1369</v>
      </c>
      <c r="H3076" t="s">
        <v>5</v>
      </c>
      <c r="I3076" t="s">
        <v>4714</v>
      </c>
      <c r="J3076">
        <v>2.15</v>
      </c>
      <c r="K3076" t="e">
        <f>IF(COUNTIF(#REF!,Tabela2[[#This Row],[IdxWspolny]])&gt;0,"ELEM_lub_PRD","TECHN")</f>
        <v>#REF!</v>
      </c>
      <c r="L3076" t="e">
        <f>IF(COUNTIF(#REF!,Tabela2[[#This Row],[KOD_PRODUKTU]])&gt;0,"ELEMENT","PRODUKT")</f>
        <v>#REF!</v>
      </c>
      <c r="M3076" t="e">
        <f>COUNTIF(#REF!,Tabela2[[#This Row],[KOD_PRODUKTU]])</f>
        <v>#REF!</v>
      </c>
    </row>
    <row r="3077" spans="1:13" x14ac:dyDescent="0.25">
      <c r="A3077" s="1" t="s">
        <v>748</v>
      </c>
      <c r="B3077" t="s">
        <v>749</v>
      </c>
      <c r="C3077" s="1" t="s">
        <v>7</v>
      </c>
      <c r="D3077" s="1" t="s">
        <v>7</v>
      </c>
      <c r="E3077" s="1" t="s">
        <v>7</v>
      </c>
      <c r="F3077" t="s">
        <v>8</v>
      </c>
      <c r="G3077" t="s">
        <v>9</v>
      </c>
      <c r="H3077" t="s">
        <v>10</v>
      </c>
      <c r="I3077" t="s">
        <v>1114</v>
      </c>
      <c r="J3077">
        <v>3.15</v>
      </c>
      <c r="K3077" t="e">
        <f>IF(COUNTIF(#REF!,Tabela2[[#This Row],[IdxWspolny]])&gt;0,"ELEM_lub_PRD","TECHN")</f>
        <v>#REF!</v>
      </c>
      <c r="L3077" t="e">
        <f>IF(COUNTIF(#REF!,Tabela2[[#This Row],[KOD_PRODUKTU]])&gt;0,"ELEMENT","PRODUKT")</f>
        <v>#REF!</v>
      </c>
      <c r="M3077" t="e">
        <f>COUNTIF(#REF!,Tabela2[[#This Row],[KOD_PRODUKTU]])</f>
        <v>#REF!</v>
      </c>
    </row>
    <row r="3078" spans="1:13" x14ac:dyDescent="0.25">
      <c r="A3078" s="1" t="s">
        <v>751</v>
      </c>
      <c r="B3078" t="s">
        <v>752</v>
      </c>
      <c r="C3078" s="1" t="s">
        <v>1345</v>
      </c>
      <c r="D3078" s="1" t="s">
        <v>1345</v>
      </c>
      <c r="E3078" s="1" t="s">
        <v>1345</v>
      </c>
      <c r="F3078" t="s">
        <v>1346</v>
      </c>
      <c r="G3078" t="s">
        <v>1369</v>
      </c>
      <c r="H3078" t="s">
        <v>5</v>
      </c>
      <c r="I3078" t="s">
        <v>4714</v>
      </c>
      <c r="J3078">
        <v>2.15</v>
      </c>
      <c r="K3078" t="e">
        <f>IF(COUNTIF(#REF!,Tabela2[[#This Row],[IdxWspolny]])&gt;0,"ELEM_lub_PRD","TECHN")</f>
        <v>#REF!</v>
      </c>
      <c r="L3078" t="e">
        <f>IF(COUNTIF(#REF!,Tabela2[[#This Row],[KOD_PRODUKTU]])&gt;0,"ELEMENT","PRODUKT")</f>
        <v>#REF!</v>
      </c>
      <c r="M3078" t="e">
        <f>COUNTIF(#REF!,Tabela2[[#This Row],[KOD_PRODUKTU]])</f>
        <v>#REF!</v>
      </c>
    </row>
    <row r="3079" spans="1:13" x14ac:dyDescent="0.25">
      <c r="A3079" s="1" t="s">
        <v>751</v>
      </c>
      <c r="B3079" t="s">
        <v>752</v>
      </c>
      <c r="C3079" s="1" t="s">
        <v>7</v>
      </c>
      <c r="D3079" s="1" t="s">
        <v>7</v>
      </c>
      <c r="E3079" s="1" t="s">
        <v>7</v>
      </c>
      <c r="F3079" t="s">
        <v>8</v>
      </c>
      <c r="G3079" t="s">
        <v>9</v>
      </c>
      <c r="H3079" t="s">
        <v>10</v>
      </c>
      <c r="I3079" t="s">
        <v>1114</v>
      </c>
      <c r="J3079">
        <v>3.15</v>
      </c>
      <c r="K3079" t="e">
        <f>IF(COUNTIF(#REF!,Tabela2[[#This Row],[IdxWspolny]])&gt;0,"ELEM_lub_PRD","TECHN")</f>
        <v>#REF!</v>
      </c>
      <c r="L3079" t="e">
        <f>IF(COUNTIF(#REF!,Tabela2[[#This Row],[KOD_PRODUKTU]])&gt;0,"ELEMENT","PRODUKT")</f>
        <v>#REF!</v>
      </c>
      <c r="M3079" t="e">
        <f>COUNTIF(#REF!,Tabela2[[#This Row],[KOD_PRODUKTU]])</f>
        <v>#REF!</v>
      </c>
    </row>
    <row r="3080" spans="1:13" x14ac:dyDescent="0.25">
      <c r="A3080" s="1" t="s">
        <v>753</v>
      </c>
      <c r="B3080" t="s">
        <v>754</v>
      </c>
      <c r="C3080" s="1" t="s">
        <v>1345</v>
      </c>
      <c r="D3080" s="1" t="s">
        <v>1345</v>
      </c>
      <c r="E3080" s="1" t="s">
        <v>1345</v>
      </c>
      <c r="F3080" t="s">
        <v>1346</v>
      </c>
      <c r="G3080" t="s">
        <v>1369</v>
      </c>
      <c r="H3080" t="s">
        <v>5</v>
      </c>
      <c r="I3080" t="s">
        <v>4715</v>
      </c>
      <c r="J3080">
        <v>0.85</v>
      </c>
      <c r="K3080" t="e">
        <f>IF(COUNTIF(#REF!,Tabela2[[#This Row],[IdxWspolny]])&gt;0,"ELEM_lub_PRD","TECHN")</f>
        <v>#REF!</v>
      </c>
      <c r="L3080" t="e">
        <f>IF(COUNTIF(#REF!,Tabela2[[#This Row],[KOD_PRODUKTU]])&gt;0,"ELEMENT","PRODUKT")</f>
        <v>#REF!</v>
      </c>
      <c r="M3080" t="e">
        <f>COUNTIF(#REF!,Tabela2[[#This Row],[KOD_PRODUKTU]])</f>
        <v>#REF!</v>
      </c>
    </row>
    <row r="3081" spans="1:13" x14ac:dyDescent="0.25">
      <c r="A3081" s="1" t="s">
        <v>753</v>
      </c>
      <c r="B3081" t="s">
        <v>754</v>
      </c>
      <c r="C3081" s="1" t="s">
        <v>7</v>
      </c>
      <c r="D3081" s="1" t="s">
        <v>7</v>
      </c>
      <c r="E3081" s="1" t="s">
        <v>7</v>
      </c>
      <c r="F3081" t="s">
        <v>8</v>
      </c>
      <c r="G3081" t="s">
        <v>9</v>
      </c>
      <c r="H3081" t="s">
        <v>10</v>
      </c>
      <c r="I3081" t="s">
        <v>1351</v>
      </c>
      <c r="J3081">
        <v>2.9</v>
      </c>
      <c r="K3081" t="e">
        <f>IF(COUNTIF(#REF!,Tabela2[[#This Row],[IdxWspolny]])&gt;0,"ELEM_lub_PRD","TECHN")</f>
        <v>#REF!</v>
      </c>
      <c r="L3081" t="e">
        <f>IF(COUNTIF(#REF!,Tabela2[[#This Row],[KOD_PRODUKTU]])&gt;0,"ELEMENT","PRODUKT")</f>
        <v>#REF!</v>
      </c>
      <c r="M3081" t="e">
        <f>COUNTIF(#REF!,Tabela2[[#This Row],[KOD_PRODUKTU]])</f>
        <v>#REF!</v>
      </c>
    </row>
    <row r="3082" spans="1:13" x14ac:dyDescent="0.25">
      <c r="A3082" s="1" t="s">
        <v>756</v>
      </c>
      <c r="B3082" t="s">
        <v>757</v>
      </c>
      <c r="C3082" s="1" t="s">
        <v>1022</v>
      </c>
      <c r="D3082" s="1" t="s">
        <v>1022</v>
      </c>
      <c r="E3082" s="1" t="s">
        <v>1022</v>
      </c>
      <c r="F3082" t="s">
        <v>1023</v>
      </c>
      <c r="G3082" t="s">
        <v>1024</v>
      </c>
      <c r="H3082" t="s">
        <v>932</v>
      </c>
      <c r="I3082" t="s">
        <v>4716</v>
      </c>
      <c r="J3082">
        <v>4.5999999999999996</v>
      </c>
      <c r="K3082" t="e">
        <f>IF(COUNTIF(#REF!,Tabela2[[#This Row],[IdxWspolny]])&gt;0,"ELEM_lub_PRD","TECHN")</f>
        <v>#REF!</v>
      </c>
      <c r="L3082" t="e">
        <f>IF(COUNTIF(#REF!,Tabela2[[#This Row],[KOD_PRODUKTU]])&gt;0,"ELEMENT","PRODUKT")</f>
        <v>#REF!</v>
      </c>
      <c r="M3082" t="e">
        <f>COUNTIF(#REF!,Tabela2[[#This Row],[KOD_PRODUKTU]])</f>
        <v>#REF!</v>
      </c>
    </row>
    <row r="3083" spans="1:13" x14ac:dyDescent="0.25">
      <c r="A3083" s="1" t="s">
        <v>756</v>
      </c>
      <c r="B3083" t="s">
        <v>757</v>
      </c>
      <c r="C3083" s="1" t="s">
        <v>7</v>
      </c>
      <c r="D3083" s="1" t="s">
        <v>7</v>
      </c>
      <c r="E3083" s="1" t="s">
        <v>7</v>
      </c>
      <c r="F3083" t="s">
        <v>1031</v>
      </c>
      <c r="G3083" t="s">
        <v>9</v>
      </c>
      <c r="H3083" t="s">
        <v>10</v>
      </c>
      <c r="I3083" t="s">
        <v>4717</v>
      </c>
      <c r="J3083">
        <v>16.149999999999999</v>
      </c>
      <c r="K3083" t="e">
        <f>IF(COUNTIF(#REF!,Tabela2[[#This Row],[IdxWspolny]])&gt;0,"ELEM_lub_PRD","TECHN")</f>
        <v>#REF!</v>
      </c>
      <c r="L3083" t="e">
        <f>IF(COUNTIF(#REF!,Tabela2[[#This Row],[KOD_PRODUKTU]])&gt;0,"ELEMENT","PRODUKT")</f>
        <v>#REF!</v>
      </c>
      <c r="M3083" t="e">
        <f>COUNTIF(#REF!,Tabela2[[#This Row],[KOD_PRODUKTU]])</f>
        <v>#REF!</v>
      </c>
    </row>
    <row r="3084" spans="1:13" x14ac:dyDescent="0.25">
      <c r="A3084" s="1" t="s">
        <v>759</v>
      </c>
      <c r="B3084" t="s">
        <v>760</v>
      </c>
      <c r="C3084" s="1" t="s">
        <v>1022</v>
      </c>
      <c r="D3084" s="1" t="s">
        <v>1022</v>
      </c>
      <c r="E3084" s="1" t="s">
        <v>1022</v>
      </c>
      <c r="F3084" t="s">
        <v>1023</v>
      </c>
      <c r="G3084" t="s">
        <v>1024</v>
      </c>
      <c r="H3084" t="s">
        <v>932</v>
      </c>
      <c r="I3084" t="s">
        <v>4718</v>
      </c>
      <c r="J3084">
        <v>17.399999999999999</v>
      </c>
      <c r="K3084" t="e">
        <f>IF(COUNTIF(#REF!,Tabela2[[#This Row],[IdxWspolny]])&gt;0,"ELEM_lub_PRD","TECHN")</f>
        <v>#REF!</v>
      </c>
      <c r="L3084" t="e">
        <f>IF(COUNTIF(#REF!,Tabela2[[#This Row],[KOD_PRODUKTU]])&gt;0,"ELEMENT","PRODUKT")</f>
        <v>#REF!</v>
      </c>
      <c r="M3084" t="e">
        <f>COUNTIF(#REF!,Tabela2[[#This Row],[KOD_PRODUKTU]])</f>
        <v>#REF!</v>
      </c>
    </row>
    <row r="3085" spans="1:13" x14ac:dyDescent="0.25">
      <c r="A3085" s="1" t="s">
        <v>759</v>
      </c>
      <c r="B3085" t="s">
        <v>760</v>
      </c>
      <c r="C3085" s="1" t="s">
        <v>7</v>
      </c>
      <c r="D3085" s="1" t="s">
        <v>7</v>
      </c>
      <c r="E3085" s="1" t="s">
        <v>7</v>
      </c>
      <c r="F3085" t="s">
        <v>1031</v>
      </c>
      <c r="G3085" t="s">
        <v>9</v>
      </c>
      <c r="H3085" t="s">
        <v>10</v>
      </c>
      <c r="I3085" t="s">
        <v>4719</v>
      </c>
      <c r="J3085">
        <v>21.35</v>
      </c>
      <c r="K3085" t="e">
        <f>IF(COUNTIF(#REF!,Tabela2[[#This Row],[IdxWspolny]])&gt;0,"ELEM_lub_PRD","TECHN")</f>
        <v>#REF!</v>
      </c>
      <c r="L3085" t="e">
        <f>IF(COUNTIF(#REF!,Tabela2[[#This Row],[KOD_PRODUKTU]])&gt;0,"ELEMENT","PRODUKT")</f>
        <v>#REF!</v>
      </c>
      <c r="M3085" t="e">
        <f>COUNTIF(#REF!,Tabela2[[#This Row],[KOD_PRODUKTU]])</f>
        <v>#REF!</v>
      </c>
    </row>
    <row r="3086" spans="1:13" x14ac:dyDescent="0.25">
      <c r="A3086" s="1" t="s">
        <v>2040</v>
      </c>
      <c r="B3086" t="s">
        <v>2041</v>
      </c>
      <c r="C3086" s="1" t="s">
        <v>1207</v>
      </c>
      <c r="D3086" s="1" t="s">
        <v>1207</v>
      </c>
      <c r="E3086" s="1" t="s">
        <v>1207</v>
      </c>
      <c r="F3086" t="s">
        <v>1208</v>
      </c>
      <c r="G3086" t="s">
        <v>1017</v>
      </c>
      <c r="H3086" t="s">
        <v>5</v>
      </c>
      <c r="I3086" t="s">
        <v>3392</v>
      </c>
      <c r="J3086">
        <v>0.4</v>
      </c>
      <c r="K3086" t="e">
        <f>IF(COUNTIF(#REF!,Tabela2[[#This Row],[IdxWspolny]])&gt;0,"ELEM_lub_PRD","TECHN")</f>
        <v>#REF!</v>
      </c>
      <c r="L3086" t="e">
        <f>IF(COUNTIF(#REF!,Tabela2[[#This Row],[KOD_PRODUKTU]])&gt;0,"ELEMENT","PRODUKT")</f>
        <v>#REF!</v>
      </c>
      <c r="M3086" t="e">
        <f>COUNTIF(#REF!,Tabela2[[#This Row],[KOD_PRODUKTU]])</f>
        <v>#REF!</v>
      </c>
    </row>
    <row r="3087" spans="1:13" x14ac:dyDescent="0.25">
      <c r="A3087" s="1" t="s">
        <v>2040</v>
      </c>
      <c r="B3087" t="s">
        <v>2041</v>
      </c>
      <c r="C3087" s="1" t="s">
        <v>7</v>
      </c>
      <c r="D3087" s="1" t="s">
        <v>7</v>
      </c>
      <c r="E3087" s="1" t="s">
        <v>7</v>
      </c>
      <c r="F3087" t="s">
        <v>8</v>
      </c>
      <c r="G3087" t="s">
        <v>9</v>
      </c>
      <c r="H3087" t="s">
        <v>10</v>
      </c>
      <c r="I3087" t="s">
        <v>4720</v>
      </c>
      <c r="J3087">
        <v>13.9</v>
      </c>
      <c r="K3087" t="e">
        <f>IF(COUNTIF(#REF!,Tabela2[[#This Row],[IdxWspolny]])&gt;0,"ELEM_lub_PRD","TECHN")</f>
        <v>#REF!</v>
      </c>
      <c r="L3087" t="e">
        <f>IF(COUNTIF(#REF!,Tabela2[[#This Row],[KOD_PRODUKTU]])&gt;0,"ELEMENT","PRODUKT")</f>
        <v>#REF!</v>
      </c>
      <c r="M3087" t="e">
        <f>COUNTIF(#REF!,Tabela2[[#This Row],[KOD_PRODUKTU]])</f>
        <v>#REF!</v>
      </c>
    </row>
    <row r="3088" spans="1:13" x14ac:dyDescent="0.25">
      <c r="A3088" s="1" t="s">
        <v>768</v>
      </c>
      <c r="B3088" t="s">
        <v>769</v>
      </c>
      <c r="C3088" s="1" t="s">
        <v>1022</v>
      </c>
      <c r="D3088" s="1" t="s">
        <v>1022</v>
      </c>
      <c r="E3088" s="1" t="s">
        <v>1022</v>
      </c>
      <c r="F3088" t="s">
        <v>1023</v>
      </c>
      <c r="G3088" t="s">
        <v>1024</v>
      </c>
      <c r="H3088" t="s">
        <v>932</v>
      </c>
      <c r="I3088" t="s">
        <v>4721</v>
      </c>
      <c r="J3088">
        <v>9.5500000000000007</v>
      </c>
      <c r="K3088" t="e">
        <f>IF(COUNTIF(#REF!,Tabela2[[#This Row],[IdxWspolny]])&gt;0,"ELEM_lub_PRD","TECHN")</f>
        <v>#REF!</v>
      </c>
      <c r="L3088" t="e">
        <f>IF(COUNTIF(#REF!,Tabela2[[#This Row],[KOD_PRODUKTU]])&gt;0,"ELEMENT","PRODUKT")</f>
        <v>#REF!</v>
      </c>
      <c r="M3088" t="e">
        <f>COUNTIF(#REF!,Tabela2[[#This Row],[KOD_PRODUKTU]])</f>
        <v>#REF!</v>
      </c>
    </row>
    <row r="3089" spans="1:13" x14ac:dyDescent="0.25">
      <c r="A3089" s="1" t="s">
        <v>768</v>
      </c>
      <c r="B3089" t="s">
        <v>769</v>
      </c>
      <c r="C3089" s="1" t="s">
        <v>7</v>
      </c>
      <c r="D3089" s="1" t="s">
        <v>7</v>
      </c>
      <c r="E3089" s="1" t="s">
        <v>7</v>
      </c>
      <c r="F3089" t="s">
        <v>1031</v>
      </c>
      <c r="G3089" t="s">
        <v>9</v>
      </c>
      <c r="H3089" t="s">
        <v>10</v>
      </c>
      <c r="I3089" t="s">
        <v>607</v>
      </c>
      <c r="J3089">
        <v>18.399999999999999</v>
      </c>
      <c r="K3089" t="e">
        <f>IF(COUNTIF(#REF!,Tabela2[[#This Row],[IdxWspolny]])&gt;0,"ELEM_lub_PRD","TECHN")</f>
        <v>#REF!</v>
      </c>
      <c r="L3089" t="e">
        <f>IF(COUNTIF(#REF!,Tabela2[[#This Row],[KOD_PRODUKTU]])&gt;0,"ELEMENT","PRODUKT")</f>
        <v>#REF!</v>
      </c>
      <c r="M3089" t="e">
        <f>COUNTIF(#REF!,Tabela2[[#This Row],[KOD_PRODUKTU]])</f>
        <v>#REF!</v>
      </c>
    </row>
    <row r="3090" spans="1:13" x14ac:dyDescent="0.25">
      <c r="A3090" s="1" t="s">
        <v>771</v>
      </c>
      <c r="B3090" t="s">
        <v>772</v>
      </c>
      <c r="C3090" s="1" t="s">
        <v>1022</v>
      </c>
      <c r="D3090" s="1" t="s">
        <v>1022</v>
      </c>
      <c r="E3090" s="1" t="s">
        <v>1022</v>
      </c>
      <c r="F3090" t="s">
        <v>1023</v>
      </c>
      <c r="G3090" t="s">
        <v>1024</v>
      </c>
      <c r="H3090" t="s">
        <v>932</v>
      </c>
      <c r="I3090" t="s">
        <v>92</v>
      </c>
      <c r="J3090">
        <v>27.8</v>
      </c>
      <c r="K3090" t="e">
        <f>IF(COUNTIF(#REF!,Tabela2[[#This Row],[IdxWspolny]])&gt;0,"ELEM_lub_PRD","TECHN")</f>
        <v>#REF!</v>
      </c>
      <c r="L3090" t="e">
        <f>IF(COUNTIF(#REF!,Tabela2[[#This Row],[KOD_PRODUKTU]])&gt;0,"ELEMENT","PRODUKT")</f>
        <v>#REF!</v>
      </c>
      <c r="M3090" t="e">
        <f>COUNTIF(#REF!,Tabela2[[#This Row],[KOD_PRODUKTU]])</f>
        <v>#REF!</v>
      </c>
    </row>
    <row r="3091" spans="1:13" x14ac:dyDescent="0.25">
      <c r="A3091" s="1" t="s">
        <v>771</v>
      </c>
      <c r="B3091" t="s">
        <v>772</v>
      </c>
      <c r="C3091" s="1" t="s">
        <v>7</v>
      </c>
      <c r="D3091" s="1" t="s">
        <v>7</v>
      </c>
      <c r="E3091" s="1" t="s">
        <v>7</v>
      </c>
      <c r="F3091" t="s">
        <v>8</v>
      </c>
      <c r="G3091" t="s">
        <v>9</v>
      </c>
      <c r="H3091" t="s">
        <v>10</v>
      </c>
      <c r="I3091" t="s">
        <v>4722</v>
      </c>
      <c r="J3091">
        <v>22.75</v>
      </c>
      <c r="K3091" t="e">
        <f>IF(COUNTIF(#REF!,Tabela2[[#This Row],[IdxWspolny]])&gt;0,"ELEM_lub_PRD","TECHN")</f>
        <v>#REF!</v>
      </c>
      <c r="L3091" t="e">
        <f>IF(COUNTIF(#REF!,Tabela2[[#This Row],[KOD_PRODUKTU]])&gt;0,"ELEMENT","PRODUKT")</f>
        <v>#REF!</v>
      </c>
      <c r="M3091" t="e">
        <f>COUNTIF(#REF!,Tabela2[[#This Row],[KOD_PRODUKTU]])</f>
        <v>#REF!</v>
      </c>
    </row>
    <row r="3092" spans="1:13" x14ac:dyDescent="0.25">
      <c r="A3092" s="1" t="s">
        <v>774</v>
      </c>
      <c r="B3092" t="s">
        <v>775</v>
      </c>
      <c r="C3092" s="1" t="s">
        <v>1022</v>
      </c>
      <c r="D3092" s="1" t="s">
        <v>1022</v>
      </c>
      <c r="E3092" s="1" t="s">
        <v>1022</v>
      </c>
      <c r="F3092" t="s">
        <v>1023</v>
      </c>
      <c r="G3092" t="s">
        <v>1024</v>
      </c>
      <c r="H3092" t="s">
        <v>932</v>
      </c>
      <c r="I3092" t="s">
        <v>4723</v>
      </c>
      <c r="J3092">
        <v>28.8</v>
      </c>
      <c r="K3092" t="e">
        <f>IF(COUNTIF(#REF!,Tabela2[[#This Row],[IdxWspolny]])&gt;0,"ELEM_lub_PRD","TECHN")</f>
        <v>#REF!</v>
      </c>
      <c r="L3092" t="e">
        <f>IF(COUNTIF(#REF!,Tabela2[[#This Row],[KOD_PRODUKTU]])&gt;0,"ELEMENT","PRODUKT")</f>
        <v>#REF!</v>
      </c>
      <c r="M3092" t="e">
        <f>COUNTIF(#REF!,Tabela2[[#This Row],[KOD_PRODUKTU]])</f>
        <v>#REF!</v>
      </c>
    </row>
    <row r="3093" spans="1:13" x14ac:dyDescent="0.25">
      <c r="A3093" s="1" t="s">
        <v>774</v>
      </c>
      <c r="B3093" t="s">
        <v>775</v>
      </c>
      <c r="C3093" s="1" t="s">
        <v>7</v>
      </c>
      <c r="D3093" s="1" t="s">
        <v>7</v>
      </c>
      <c r="E3093" s="1" t="s">
        <v>7</v>
      </c>
      <c r="F3093" t="s">
        <v>8</v>
      </c>
      <c r="G3093" t="s">
        <v>9</v>
      </c>
      <c r="H3093" t="s">
        <v>10</v>
      </c>
      <c r="I3093" t="s">
        <v>4724</v>
      </c>
      <c r="J3093">
        <v>23.75</v>
      </c>
      <c r="K3093" t="e">
        <f>IF(COUNTIF(#REF!,Tabela2[[#This Row],[IdxWspolny]])&gt;0,"ELEM_lub_PRD","TECHN")</f>
        <v>#REF!</v>
      </c>
      <c r="L3093" t="e">
        <f>IF(COUNTIF(#REF!,Tabela2[[#This Row],[KOD_PRODUKTU]])&gt;0,"ELEMENT","PRODUKT")</f>
        <v>#REF!</v>
      </c>
      <c r="M3093" t="e">
        <f>COUNTIF(#REF!,Tabela2[[#This Row],[KOD_PRODUKTU]])</f>
        <v>#REF!</v>
      </c>
    </row>
    <row r="3094" spans="1:13" x14ac:dyDescent="0.25">
      <c r="A3094" s="1" t="s">
        <v>777</v>
      </c>
      <c r="B3094" t="s">
        <v>778</v>
      </c>
      <c r="C3094" s="1" t="s">
        <v>1345</v>
      </c>
      <c r="D3094" s="1" t="s">
        <v>1345</v>
      </c>
      <c r="E3094" s="1" t="s">
        <v>1345</v>
      </c>
      <c r="F3094" t="s">
        <v>1346</v>
      </c>
      <c r="G3094" t="s">
        <v>1369</v>
      </c>
      <c r="H3094" t="s">
        <v>5</v>
      </c>
      <c r="I3094" t="s">
        <v>4725</v>
      </c>
      <c r="J3094">
        <v>2.84</v>
      </c>
      <c r="K3094" t="e">
        <f>IF(COUNTIF(#REF!,Tabela2[[#This Row],[IdxWspolny]])&gt;0,"ELEM_lub_PRD","TECHN")</f>
        <v>#REF!</v>
      </c>
      <c r="L3094" t="e">
        <f>IF(COUNTIF(#REF!,Tabela2[[#This Row],[KOD_PRODUKTU]])&gt;0,"ELEMENT","PRODUKT")</f>
        <v>#REF!</v>
      </c>
      <c r="M3094" t="e">
        <f>COUNTIF(#REF!,Tabela2[[#This Row],[KOD_PRODUKTU]])</f>
        <v>#REF!</v>
      </c>
    </row>
    <row r="3095" spans="1:13" x14ac:dyDescent="0.25">
      <c r="A3095" s="1" t="s">
        <v>777</v>
      </c>
      <c r="B3095" t="s">
        <v>778</v>
      </c>
      <c r="C3095" s="1" t="s">
        <v>7</v>
      </c>
      <c r="D3095" s="1" t="s">
        <v>7</v>
      </c>
      <c r="E3095" s="1" t="s">
        <v>7</v>
      </c>
      <c r="F3095" t="s">
        <v>8</v>
      </c>
      <c r="G3095" t="s">
        <v>9</v>
      </c>
      <c r="H3095" t="s">
        <v>10</v>
      </c>
      <c r="I3095" t="s">
        <v>1114</v>
      </c>
      <c r="J3095">
        <v>3.15</v>
      </c>
      <c r="K3095" t="e">
        <f>IF(COUNTIF(#REF!,Tabela2[[#This Row],[IdxWspolny]])&gt;0,"ELEM_lub_PRD","TECHN")</f>
        <v>#REF!</v>
      </c>
      <c r="L3095" t="e">
        <f>IF(COUNTIF(#REF!,Tabela2[[#This Row],[KOD_PRODUKTU]])&gt;0,"ELEMENT","PRODUKT")</f>
        <v>#REF!</v>
      </c>
      <c r="M3095" t="e">
        <f>COUNTIF(#REF!,Tabela2[[#This Row],[KOD_PRODUKTU]])</f>
        <v>#REF!</v>
      </c>
    </row>
    <row r="3096" spans="1:13" x14ac:dyDescent="0.25">
      <c r="A3096" s="1" t="s">
        <v>780</v>
      </c>
      <c r="B3096" t="s">
        <v>781</v>
      </c>
      <c r="C3096" s="1" t="s">
        <v>1345</v>
      </c>
      <c r="D3096" s="1" t="s">
        <v>1345</v>
      </c>
      <c r="E3096" s="1" t="s">
        <v>1345</v>
      </c>
      <c r="F3096" t="s">
        <v>1346</v>
      </c>
      <c r="G3096" t="s">
        <v>1369</v>
      </c>
      <c r="H3096" t="s">
        <v>5</v>
      </c>
      <c r="I3096" t="s">
        <v>4726</v>
      </c>
      <c r="J3096">
        <v>3.59</v>
      </c>
      <c r="K3096" t="e">
        <f>IF(COUNTIF(#REF!,Tabela2[[#This Row],[IdxWspolny]])&gt;0,"ELEM_lub_PRD","TECHN")</f>
        <v>#REF!</v>
      </c>
      <c r="L3096" t="e">
        <f>IF(COUNTIF(#REF!,Tabela2[[#This Row],[KOD_PRODUKTU]])&gt;0,"ELEMENT","PRODUKT")</f>
        <v>#REF!</v>
      </c>
      <c r="M3096" t="e">
        <f>COUNTIF(#REF!,Tabela2[[#This Row],[KOD_PRODUKTU]])</f>
        <v>#REF!</v>
      </c>
    </row>
    <row r="3097" spans="1:13" x14ac:dyDescent="0.25">
      <c r="A3097" s="1" t="s">
        <v>780</v>
      </c>
      <c r="B3097" t="s">
        <v>781</v>
      </c>
      <c r="C3097" s="1" t="s">
        <v>7</v>
      </c>
      <c r="D3097" s="1" t="s">
        <v>7</v>
      </c>
      <c r="E3097" s="1" t="s">
        <v>7</v>
      </c>
      <c r="F3097" t="s">
        <v>8</v>
      </c>
      <c r="G3097" t="s">
        <v>9</v>
      </c>
      <c r="H3097" t="s">
        <v>10</v>
      </c>
      <c r="I3097" t="s">
        <v>1114</v>
      </c>
      <c r="J3097">
        <v>3.15</v>
      </c>
      <c r="K3097" t="e">
        <f>IF(COUNTIF(#REF!,Tabela2[[#This Row],[IdxWspolny]])&gt;0,"ELEM_lub_PRD","TECHN")</f>
        <v>#REF!</v>
      </c>
      <c r="L3097" t="e">
        <f>IF(COUNTIF(#REF!,Tabela2[[#This Row],[KOD_PRODUKTU]])&gt;0,"ELEMENT","PRODUKT")</f>
        <v>#REF!</v>
      </c>
      <c r="M3097" t="e">
        <f>COUNTIF(#REF!,Tabela2[[#This Row],[KOD_PRODUKTU]])</f>
        <v>#REF!</v>
      </c>
    </row>
    <row r="3098" spans="1:13" x14ac:dyDescent="0.25">
      <c r="A3098" s="1" t="s">
        <v>783</v>
      </c>
      <c r="B3098" t="s">
        <v>784</v>
      </c>
      <c r="C3098" s="1" t="s">
        <v>1345</v>
      </c>
      <c r="D3098" s="1" t="s">
        <v>1345</v>
      </c>
      <c r="E3098" s="1" t="s">
        <v>1345</v>
      </c>
      <c r="F3098" t="s">
        <v>1346</v>
      </c>
      <c r="G3098" t="s">
        <v>1369</v>
      </c>
      <c r="H3098" t="s">
        <v>5</v>
      </c>
      <c r="I3098" t="s">
        <v>4727</v>
      </c>
      <c r="J3098">
        <v>11.3</v>
      </c>
      <c r="K3098" t="e">
        <f>IF(COUNTIF(#REF!,Tabela2[[#This Row],[IdxWspolny]])&gt;0,"ELEM_lub_PRD","TECHN")</f>
        <v>#REF!</v>
      </c>
      <c r="L3098" t="e">
        <f>IF(COUNTIF(#REF!,Tabela2[[#This Row],[KOD_PRODUKTU]])&gt;0,"ELEMENT","PRODUKT")</f>
        <v>#REF!</v>
      </c>
      <c r="M3098" t="e">
        <f>COUNTIF(#REF!,Tabela2[[#This Row],[KOD_PRODUKTU]])</f>
        <v>#REF!</v>
      </c>
    </row>
    <row r="3099" spans="1:13" x14ac:dyDescent="0.25">
      <c r="A3099" s="1" t="s">
        <v>783</v>
      </c>
      <c r="B3099" t="s">
        <v>784</v>
      </c>
      <c r="C3099" s="1" t="s">
        <v>7</v>
      </c>
      <c r="D3099" s="1" t="s">
        <v>7</v>
      </c>
      <c r="E3099" s="1" t="s">
        <v>7</v>
      </c>
      <c r="F3099" t="s">
        <v>8</v>
      </c>
      <c r="G3099" t="s">
        <v>9</v>
      </c>
      <c r="H3099" t="s">
        <v>10</v>
      </c>
      <c r="I3099" t="s">
        <v>4728</v>
      </c>
      <c r="J3099">
        <v>2.85</v>
      </c>
      <c r="K3099" t="e">
        <f>IF(COUNTIF(#REF!,Tabela2[[#This Row],[IdxWspolny]])&gt;0,"ELEM_lub_PRD","TECHN")</f>
        <v>#REF!</v>
      </c>
      <c r="L3099" t="e">
        <f>IF(COUNTIF(#REF!,Tabela2[[#This Row],[KOD_PRODUKTU]])&gt;0,"ELEMENT","PRODUKT")</f>
        <v>#REF!</v>
      </c>
      <c r="M3099" t="e">
        <f>COUNTIF(#REF!,Tabela2[[#This Row],[KOD_PRODUKTU]])</f>
        <v>#REF!</v>
      </c>
    </row>
    <row r="3100" spans="1:13" x14ac:dyDescent="0.25">
      <c r="A3100" s="1" t="s">
        <v>2043</v>
      </c>
      <c r="B3100" t="s">
        <v>2044</v>
      </c>
      <c r="C3100" s="1" t="s">
        <v>3715</v>
      </c>
      <c r="D3100" s="1" t="s">
        <v>3715</v>
      </c>
      <c r="E3100" s="1" t="s">
        <v>3715</v>
      </c>
      <c r="F3100" t="s">
        <v>3716</v>
      </c>
      <c r="G3100" t="s">
        <v>3189</v>
      </c>
      <c r="H3100" t="s">
        <v>17</v>
      </c>
      <c r="I3100" t="s">
        <v>4729</v>
      </c>
      <c r="J3100">
        <v>0.43</v>
      </c>
      <c r="K3100" t="e">
        <f>IF(COUNTIF(#REF!,Tabela2[[#This Row],[IdxWspolny]])&gt;0,"ELEM_lub_PRD","TECHN")</f>
        <v>#REF!</v>
      </c>
      <c r="L3100" t="e">
        <f>IF(COUNTIF(#REF!,Tabela2[[#This Row],[KOD_PRODUKTU]])&gt;0,"ELEMENT","PRODUKT")</f>
        <v>#REF!</v>
      </c>
      <c r="M3100" t="e">
        <f>COUNTIF(#REF!,Tabela2[[#This Row],[KOD_PRODUKTU]])</f>
        <v>#REF!</v>
      </c>
    </row>
    <row r="3101" spans="1:13" x14ac:dyDescent="0.25">
      <c r="A3101" s="1" t="s">
        <v>2043</v>
      </c>
      <c r="B3101" t="s">
        <v>2044</v>
      </c>
      <c r="C3101" s="1" t="s">
        <v>7</v>
      </c>
      <c r="D3101" s="1" t="s">
        <v>7</v>
      </c>
      <c r="E3101" s="1" t="s">
        <v>7</v>
      </c>
      <c r="F3101" t="s">
        <v>8</v>
      </c>
      <c r="G3101" t="s">
        <v>9</v>
      </c>
      <c r="H3101" t="s">
        <v>10</v>
      </c>
      <c r="I3101" t="s">
        <v>367</v>
      </c>
      <c r="J3101">
        <v>2.2999999999999998</v>
      </c>
      <c r="K3101" t="e">
        <f>IF(COUNTIF(#REF!,Tabela2[[#This Row],[IdxWspolny]])&gt;0,"ELEM_lub_PRD","TECHN")</f>
        <v>#REF!</v>
      </c>
      <c r="L3101" t="e">
        <f>IF(COUNTIF(#REF!,Tabela2[[#This Row],[KOD_PRODUKTU]])&gt;0,"ELEMENT","PRODUKT")</f>
        <v>#REF!</v>
      </c>
      <c r="M3101" t="e">
        <f>COUNTIF(#REF!,Tabela2[[#This Row],[KOD_PRODUKTU]])</f>
        <v>#REF!</v>
      </c>
    </row>
    <row r="3102" spans="1:13" x14ac:dyDescent="0.25">
      <c r="A3102" s="1" t="s">
        <v>4730</v>
      </c>
      <c r="B3102" t="s">
        <v>4731</v>
      </c>
      <c r="C3102" s="1" t="s">
        <v>2318</v>
      </c>
      <c r="D3102" s="1" t="s">
        <v>2318</v>
      </c>
      <c r="E3102" s="1" t="s">
        <v>2318</v>
      </c>
      <c r="F3102" t="s">
        <v>2319</v>
      </c>
      <c r="G3102" t="s">
        <v>4732</v>
      </c>
      <c r="H3102" t="s">
        <v>17</v>
      </c>
      <c r="I3102" t="s">
        <v>4733</v>
      </c>
      <c r="J3102">
        <v>8.4</v>
      </c>
      <c r="K3102" t="e">
        <f>IF(COUNTIF(#REF!,Tabela2[[#This Row],[IdxWspolny]])&gt;0,"ELEM_lub_PRD","TECHN")</f>
        <v>#REF!</v>
      </c>
      <c r="L3102" t="e">
        <f>IF(COUNTIF(#REF!,Tabela2[[#This Row],[KOD_PRODUKTU]])&gt;0,"ELEMENT","PRODUKT")</f>
        <v>#REF!</v>
      </c>
      <c r="M3102" t="e">
        <f>COUNTIF(#REF!,Tabela2[[#This Row],[KOD_PRODUKTU]])</f>
        <v>#REF!</v>
      </c>
    </row>
    <row r="3103" spans="1:13" x14ac:dyDescent="0.25">
      <c r="A3103" s="1" t="s">
        <v>4730</v>
      </c>
      <c r="B3103" t="s">
        <v>4731</v>
      </c>
      <c r="C3103" s="1" t="s">
        <v>2322</v>
      </c>
      <c r="D3103" s="1" t="s">
        <v>2322</v>
      </c>
      <c r="E3103" s="1" t="s">
        <v>2322</v>
      </c>
      <c r="F3103" t="s">
        <v>2323</v>
      </c>
      <c r="G3103" t="s">
        <v>2324</v>
      </c>
      <c r="H3103" t="s">
        <v>39</v>
      </c>
      <c r="I3103" t="s">
        <v>478</v>
      </c>
      <c r="J3103">
        <v>2.96</v>
      </c>
      <c r="K3103" t="e">
        <f>IF(COUNTIF(#REF!,Tabela2[[#This Row],[IdxWspolny]])&gt;0,"ELEM_lub_PRD","TECHN")</f>
        <v>#REF!</v>
      </c>
      <c r="L3103" t="e">
        <f>IF(COUNTIF(#REF!,Tabela2[[#This Row],[KOD_PRODUKTU]])&gt;0,"ELEMENT","PRODUKT")</f>
        <v>#REF!</v>
      </c>
      <c r="M3103" t="e">
        <f>COUNTIF(#REF!,Tabela2[[#This Row],[KOD_PRODUKTU]])</f>
        <v>#REF!</v>
      </c>
    </row>
    <row r="3104" spans="1:13" x14ac:dyDescent="0.25">
      <c r="A3104" s="1" t="s">
        <v>4730</v>
      </c>
      <c r="B3104" t="s">
        <v>4731</v>
      </c>
      <c r="C3104" s="1" t="s">
        <v>41</v>
      </c>
      <c r="D3104" s="1" t="s">
        <v>41</v>
      </c>
      <c r="E3104" s="1" t="s">
        <v>41</v>
      </c>
      <c r="F3104" t="s">
        <v>42</v>
      </c>
      <c r="G3104" t="s">
        <v>513</v>
      </c>
      <c r="H3104" t="s">
        <v>5</v>
      </c>
      <c r="I3104" t="s">
        <v>559</v>
      </c>
      <c r="J3104">
        <v>0.04</v>
      </c>
      <c r="K3104" t="e">
        <f>IF(COUNTIF(#REF!,Tabela2[[#This Row],[IdxWspolny]])&gt;0,"ELEM_lub_PRD","TECHN")</f>
        <v>#REF!</v>
      </c>
      <c r="L3104" t="e">
        <f>IF(COUNTIF(#REF!,Tabela2[[#This Row],[KOD_PRODUKTU]])&gt;0,"ELEMENT","PRODUKT")</f>
        <v>#REF!</v>
      </c>
      <c r="M3104" t="e">
        <f>COUNTIF(#REF!,Tabela2[[#This Row],[KOD_PRODUKTU]])</f>
        <v>#REF!</v>
      </c>
    </row>
    <row r="3105" spans="1:13" x14ac:dyDescent="0.25">
      <c r="A3105" s="1" t="s">
        <v>4730</v>
      </c>
      <c r="B3105" t="s">
        <v>4731</v>
      </c>
      <c r="C3105" s="1" t="s">
        <v>4734</v>
      </c>
      <c r="D3105" s="1" t="s">
        <v>4734</v>
      </c>
      <c r="E3105" s="1" t="s">
        <v>4734</v>
      </c>
      <c r="F3105" t="s">
        <v>4735</v>
      </c>
      <c r="G3105" t="s">
        <v>4736</v>
      </c>
      <c r="H3105" t="s">
        <v>121</v>
      </c>
      <c r="I3105" t="s">
        <v>92</v>
      </c>
      <c r="J3105">
        <v>15.4</v>
      </c>
      <c r="K3105" t="e">
        <f>IF(COUNTIF(#REF!,Tabela2[[#This Row],[IdxWspolny]])&gt;0,"ELEM_lub_PRD","TECHN")</f>
        <v>#REF!</v>
      </c>
      <c r="L3105" t="e">
        <f>IF(COUNTIF(#REF!,Tabela2[[#This Row],[KOD_PRODUKTU]])&gt;0,"ELEMENT","PRODUKT")</f>
        <v>#REF!</v>
      </c>
      <c r="M3105" t="e">
        <f>COUNTIF(#REF!,Tabela2[[#This Row],[KOD_PRODUKTU]])</f>
        <v>#REF!</v>
      </c>
    </row>
    <row r="3106" spans="1:13" x14ac:dyDescent="0.25">
      <c r="A3106" s="1" t="s">
        <v>4730</v>
      </c>
      <c r="B3106" t="s">
        <v>4731</v>
      </c>
      <c r="C3106" s="1" t="s">
        <v>4737</v>
      </c>
      <c r="D3106" s="1" t="s">
        <v>4737</v>
      </c>
      <c r="E3106" s="1" t="s">
        <v>4737</v>
      </c>
      <c r="F3106" t="s">
        <v>4738</v>
      </c>
      <c r="G3106" t="s">
        <v>634</v>
      </c>
      <c r="H3106" t="s">
        <v>121</v>
      </c>
      <c r="I3106" t="s">
        <v>50</v>
      </c>
      <c r="J3106">
        <v>2.2999999999999998</v>
      </c>
      <c r="K3106" t="e">
        <f>IF(COUNTIF(#REF!,Tabela2[[#This Row],[IdxWspolny]])&gt;0,"ELEM_lub_PRD","TECHN")</f>
        <v>#REF!</v>
      </c>
      <c r="L3106" t="e">
        <f>IF(COUNTIF(#REF!,Tabela2[[#This Row],[KOD_PRODUKTU]])&gt;0,"ELEMENT","PRODUKT")</f>
        <v>#REF!</v>
      </c>
      <c r="M3106" t="e">
        <f>COUNTIF(#REF!,Tabela2[[#This Row],[KOD_PRODUKTU]])</f>
        <v>#REF!</v>
      </c>
    </row>
    <row r="3107" spans="1:13" x14ac:dyDescent="0.25">
      <c r="A3107" s="1" t="s">
        <v>4730</v>
      </c>
      <c r="B3107" t="s">
        <v>4731</v>
      </c>
      <c r="C3107" s="1" t="s">
        <v>7</v>
      </c>
      <c r="D3107" s="1" t="s">
        <v>7</v>
      </c>
      <c r="E3107" s="1" t="s">
        <v>7</v>
      </c>
      <c r="F3107" t="s">
        <v>8</v>
      </c>
      <c r="G3107" t="s">
        <v>9</v>
      </c>
      <c r="H3107" t="s">
        <v>10</v>
      </c>
      <c r="I3107" t="s">
        <v>523</v>
      </c>
      <c r="J3107">
        <v>17</v>
      </c>
      <c r="K3107" t="e">
        <f>IF(COUNTIF(#REF!,Tabela2[[#This Row],[IdxWspolny]])&gt;0,"ELEM_lub_PRD","TECHN")</f>
        <v>#REF!</v>
      </c>
      <c r="L3107" t="e">
        <f>IF(COUNTIF(#REF!,Tabela2[[#This Row],[KOD_PRODUKTU]])&gt;0,"ELEMENT","PRODUKT")</f>
        <v>#REF!</v>
      </c>
      <c r="M3107" t="e">
        <f>COUNTIF(#REF!,Tabela2[[#This Row],[KOD_PRODUKTU]])</f>
        <v>#REF!</v>
      </c>
    </row>
    <row r="3108" spans="1:13" x14ac:dyDescent="0.25">
      <c r="A3108" s="1" t="s">
        <v>4739</v>
      </c>
      <c r="B3108" t="s">
        <v>4740</v>
      </c>
      <c r="C3108" s="1" t="s">
        <v>1249</v>
      </c>
      <c r="D3108" s="1" t="s">
        <v>1249</v>
      </c>
      <c r="E3108" s="1" t="s">
        <v>1249</v>
      </c>
      <c r="F3108" t="s">
        <v>1250</v>
      </c>
      <c r="G3108" t="s">
        <v>1251</v>
      </c>
      <c r="H3108" t="s">
        <v>1252</v>
      </c>
      <c r="I3108" t="s">
        <v>4741</v>
      </c>
      <c r="J3108">
        <v>23.4</v>
      </c>
      <c r="K3108" t="e">
        <f>IF(COUNTIF(#REF!,Tabela2[[#This Row],[IdxWspolny]])&gt;0,"ELEM_lub_PRD","TECHN")</f>
        <v>#REF!</v>
      </c>
      <c r="L3108" t="e">
        <f>IF(COUNTIF(#REF!,Tabela2[[#This Row],[KOD_PRODUKTU]])&gt;0,"ELEMENT","PRODUKT")</f>
        <v>#REF!</v>
      </c>
      <c r="M3108" t="e">
        <f>COUNTIF(#REF!,Tabela2[[#This Row],[KOD_PRODUKTU]])</f>
        <v>#REF!</v>
      </c>
    </row>
    <row r="3109" spans="1:13" x14ac:dyDescent="0.25">
      <c r="A3109" s="1" t="s">
        <v>4739</v>
      </c>
      <c r="B3109" t="s">
        <v>4740</v>
      </c>
      <c r="C3109" s="1" t="s">
        <v>4742</v>
      </c>
      <c r="D3109" s="1" t="s">
        <v>4742</v>
      </c>
      <c r="E3109" s="1" t="s">
        <v>4742</v>
      </c>
      <c r="F3109" t="s">
        <v>4743</v>
      </c>
      <c r="G3109" t="s">
        <v>182</v>
      </c>
      <c r="H3109" t="s">
        <v>5</v>
      </c>
      <c r="I3109" t="s">
        <v>4744</v>
      </c>
      <c r="J3109">
        <v>0.75</v>
      </c>
      <c r="K3109" t="e">
        <f>IF(COUNTIF(#REF!,Tabela2[[#This Row],[IdxWspolny]])&gt;0,"ELEM_lub_PRD","TECHN")</f>
        <v>#REF!</v>
      </c>
      <c r="L3109" t="e">
        <f>IF(COUNTIF(#REF!,Tabela2[[#This Row],[KOD_PRODUKTU]])&gt;0,"ELEMENT","PRODUKT")</f>
        <v>#REF!</v>
      </c>
      <c r="M3109" t="e">
        <f>COUNTIF(#REF!,Tabela2[[#This Row],[KOD_PRODUKTU]])</f>
        <v>#REF!</v>
      </c>
    </row>
    <row r="3110" spans="1:13" x14ac:dyDescent="0.25">
      <c r="A3110" s="1" t="s">
        <v>4739</v>
      </c>
      <c r="B3110" t="s">
        <v>4740</v>
      </c>
      <c r="C3110" s="1" t="s">
        <v>479</v>
      </c>
      <c r="D3110" s="1" t="s">
        <v>479</v>
      </c>
      <c r="E3110" s="1" t="s">
        <v>479</v>
      </c>
      <c r="F3110" t="s">
        <v>480</v>
      </c>
      <c r="G3110" t="s">
        <v>626</v>
      </c>
      <c r="H3110" t="s">
        <v>5</v>
      </c>
      <c r="I3110" t="s">
        <v>1772</v>
      </c>
      <c r="J3110">
        <v>0.2</v>
      </c>
      <c r="K3110" t="e">
        <f>IF(COUNTIF(#REF!,Tabela2[[#This Row],[IdxWspolny]])&gt;0,"ELEM_lub_PRD","TECHN")</f>
        <v>#REF!</v>
      </c>
      <c r="L3110" t="e">
        <f>IF(COUNTIF(#REF!,Tabela2[[#This Row],[KOD_PRODUKTU]])&gt;0,"ELEMENT","PRODUKT")</f>
        <v>#REF!</v>
      </c>
      <c r="M3110" t="e">
        <f>COUNTIF(#REF!,Tabela2[[#This Row],[KOD_PRODUKTU]])</f>
        <v>#REF!</v>
      </c>
    </row>
    <row r="3111" spans="1:13" x14ac:dyDescent="0.25">
      <c r="A3111" s="1" t="s">
        <v>4739</v>
      </c>
      <c r="B3111" t="s">
        <v>4740</v>
      </c>
      <c r="C3111" s="1" t="s">
        <v>628</v>
      </c>
      <c r="D3111" s="1" t="s">
        <v>628</v>
      </c>
      <c r="E3111" s="1" t="s">
        <v>628</v>
      </c>
      <c r="F3111" t="s">
        <v>629</v>
      </c>
      <c r="G3111" t="s">
        <v>630</v>
      </c>
      <c r="H3111" t="s">
        <v>5</v>
      </c>
      <c r="I3111" t="s">
        <v>598</v>
      </c>
      <c r="J3111">
        <v>0.08</v>
      </c>
      <c r="K3111" t="e">
        <f>IF(COUNTIF(#REF!,Tabela2[[#This Row],[IdxWspolny]])&gt;0,"ELEM_lub_PRD","TECHN")</f>
        <v>#REF!</v>
      </c>
      <c r="L3111" t="e">
        <f>IF(COUNTIF(#REF!,Tabela2[[#This Row],[KOD_PRODUKTU]])&gt;0,"ELEMENT","PRODUKT")</f>
        <v>#REF!</v>
      </c>
      <c r="M3111" t="e">
        <f>COUNTIF(#REF!,Tabela2[[#This Row],[KOD_PRODUKTU]])</f>
        <v>#REF!</v>
      </c>
    </row>
    <row r="3112" spans="1:13" x14ac:dyDescent="0.25">
      <c r="A3112" s="1" t="s">
        <v>4739</v>
      </c>
      <c r="B3112" t="s">
        <v>4740</v>
      </c>
      <c r="C3112" s="1" t="s">
        <v>483</v>
      </c>
      <c r="D3112" s="1" t="s">
        <v>483</v>
      </c>
      <c r="E3112" s="1" t="s">
        <v>483</v>
      </c>
      <c r="F3112" t="s">
        <v>484</v>
      </c>
      <c r="G3112" t="s">
        <v>2789</v>
      </c>
      <c r="H3112" t="s">
        <v>5</v>
      </c>
      <c r="I3112" t="s">
        <v>1858</v>
      </c>
      <c r="J3112">
        <v>0.05</v>
      </c>
      <c r="K3112" t="e">
        <f>IF(COUNTIF(#REF!,Tabela2[[#This Row],[IdxWspolny]])&gt;0,"ELEM_lub_PRD","TECHN")</f>
        <v>#REF!</v>
      </c>
      <c r="L3112" t="e">
        <f>IF(COUNTIF(#REF!,Tabela2[[#This Row],[KOD_PRODUKTU]])&gt;0,"ELEMENT","PRODUKT")</f>
        <v>#REF!</v>
      </c>
      <c r="M3112" t="e">
        <f>COUNTIF(#REF!,Tabela2[[#This Row],[KOD_PRODUKTU]])</f>
        <v>#REF!</v>
      </c>
    </row>
    <row r="3113" spans="1:13" x14ac:dyDescent="0.25">
      <c r="A3113" s="1" t="s">
        <v>4739</v>
      </c>
      <c r="B3113" t="s">
        <v>4740</v>
      </c>
      <c r="C3113" s="1" t="s">
        <v>704</v>
      </c>
      <c r="D3113" s="1" t="s">
        <v>704</v>
      </c>
      <c r="E3113" s="1" t="s">
        <v>704</v>
      </c>
      <c r="F3113" t="s">
        <v>705</v>
      </c>
      <c r="G3113" t="s">
        <v>744</v>
      </c>
      <c r="H3113" t="s">
        <v>121</v>
      </c>
      <c r="I3113" t="s">
        <v>50</v>
      </c>
      <c r="J3113">
        <v>0.4</v>
      </c>
      <c r="K3113" t="e">
        <f>IF(COUNTIF(#REF!,Tabela2[[#This Row],[IdxWspolny]])&gt;0,"ELEM_lub_PRD","TECHN")</f>
        <v>#REF!</v>
      </c>
      <c r="L3113" t="e">
        <f>IF(COUNTIF(#REF!,Tabela2[[#This Row],[KOD_PRODUKTU]])&gt;0,"ELEMENT","PRODUKT")</f>
        <v>#REF!</v>
      </c>
      <c r="M3113" t="e">
        <f>COUNTIF(#REF!,Tabela2[[#This Row],[KOD_PRODUKTU]])</f>
        <v>#REF!</v>
      </c>
    </row>
    <row r="3114" spans="1:13" x14ac:dyDescent="0.25">
      <c r="A3114" s="1" t="s">
        <v>4739</v>
      </c>
      <c r="B3114" t="s">
        <v>4740</v>
      </c>
      <c r="C3114" s="1" t="s">
        <v>7</v>
      </c>
      <c r="D3114" s="1" t="s">
        <v>7</v>
      </c>
      <c r="E3114" s="1" t="s">
        <v>7</v>
      </c>
      <c r="F3114" t="s">
        <v>8</v>
      </c>
      <c r="G3114" t="s">
        <v>9</v>
      </c>
      <c r="H3114" t="s">
        <v>10</v>
      </c>
      <c r="I3114" t="s">
        <v>4745</v>
      </c>
      <c r="J3114">
        <v>30.92</v>
      </c>
      <c r="K3114" t="e">
        <f>IF(COUNTIF(#REF!,Tabela2[[#This Row],[IdxWspolny]])&gt;0,"ELEM_lub_PRD","TECHN")</f>
        <v>#REF!</v>
      </c>
      <c r="L3114" t="e">
        <f>IF(COUNTIF(#REF!,Tabela2[[#This Row],[KOD_PRODUKTU]])&gt;0,"ELEMENT","PRODUKT")</f>
        <v>#REF!</v>
      </c>
      <c r="M3114" t="e">
        <f>COUNTIF(#REF!,Tabela2[[#This Row],[KOD_PRODUKTU]])</f>
        <v>#REF!</v>
      </c>
    </row>
    <row r="3115" spans="1:13" x14ac:dyDescent="0.25">
      <c r="A3115" s="1" t="s">
        <v>4739</v>
      </c>
      <c r="B3115" t="s">
        <v>4740</v>
      </c>
      <c r="C3115" s="1" t="s">
        <v>7</v>
      </c>
      <c r="D3115" s="1" t="s">
        <v>7</v>
      </c>
      <c r="E3115" s="1" t="s">
        <v>7</v>
      </c>
      <c r="F3115" t="s">
        <v>8</v>
      </c>
      <c r="G3115" t="s">
        <v>9</v>
      </c>
      <c r="H3115" t="s">
        <v>10</v>
      </c>
      <c r="I3115" t="s">
        <v>4746</v>
      </c>
      <c r="J3115">
        <v>55.57</v>
      </c>
      <c r="K3115" t="e">
        <f>IF(COUNTIF(#REF!,Tabela2[[#This Row],[IdxWspolny]])&gt;0,"ELEM_lub_PRD","TECHN")</f>
        <v>#REF!</v>
      </c>
      <c r="L3115" t="e">
        <f>IF(COUNTIF(#REF!,Tabela2[[#This Row],[KOD_PRODUKTU]])&gt;0,"ELEMENT","PRODUKT")</f>
        <v>#REF!</v>
      </c>
      <c r="M3115" t="e">
        <f>COUNTIF(#REF!,Tabela2[[#This Row],[KOD_PRODUKTU]])</f>
        <v>#REF!</v>
      </c>
    </row>
    <row r="3116" spans="1:13" x14ac:dyDescent="0.25">
      <c r="A3116" s="1" t="s">
        <v>4747</v>
      </c>
      <c r="B3116" t="s">
        <v>4748</v>
      </c>
      <c r="C3116" s="1" t="s">
        <v>4749</v>
      </c>
      <c r="D3116" s="1" t="s">
        <v>4749</v>
      </c>
      <c r="E3116" s="1" t="s">
        <v>4749</v>
      </c>
      <c r="F3116" t="s">
        <v>4750</v>
      </c>
      <c r="G3116" t="s">
        <v>4751</v>
      </c>
      <c r="H3116" t="s">
        <v>5</v>
      </c>
      <c r="I3116" t="s">
        <v>1754</v>
      </c>
      <c r="J3116">
        <v>1.99</v>
      </c>
      <c r="K3116" t="e">
        <f>IF(COUNTIF(#REF!,Tabela2[[#This Row],[IdxWspolny]])&gt;0,"ELEM_lub_PRD","TECHN")</f>
        <v>#REF!</v>
      </c>
      <c r="L3116" t="e">
        <f>IF(COUNTIF(#REF!,Tabela2[[#This Row],[KOD_PRODUKTU]])&gt;0,"ELEMENT","PRODUKT")</f>
        <v>#REF!</v>
      </c>
      <c r="M3116" t="e">
        <f>COUNTIF(#REF!,Tabela2[[#This Row],[KOD_PRODUKTU]])</f>
        <v>#REF!</v>
      </c>
    </row>
    <row r="3117" spans="1:13" x14ac:dyDescent="0.25">
      <c r="A3117" s="1" t="s">
        <v>4747</v>
      </c>
      <c r="B3117" t="s">
        <v>4748</v>
      </c>
      <c r="C3117" s="1" t="s">
        <v>541</v>
      </c>
      <c r="D3117" s="1" t="s">
        <v>541</v>
      </c>
      <c r="E3117" s="1" t="s">
        <v>541</v>
      </c>
      <c r="F3117" t="s">
        <v>542</v>
      </c>
      <c r="G3117" t="s">
        <v>9</v>
      </c>
      <c r="H3117" t="s">
        <v>10</v>
      </c>
      <c r="I3117" t="s">
        <v>4752</v>
      </c>
      <c r="J3117">
        <v>27.82</v>
      </c>
      <c r="K3117" t="e">
        <f>IF(COUNTIF(#REF!,Tabela2[[#This Row],[IdxWspolny]])&gt;0,"ELEM_lub_PRD","TECHN")</f>
        <v>#REF!</v>
      </c>
      <c r="L3117" t="e">
        <f>IF(COUNTIF(#REF!,Tabela2[[#This Row],[KOD_PRODUKTU]])&gt;0,"ELEMENT","PRODUKT")</f>
        <v>#REF!</v>
      </c>
      <c r="M3117" t="e">
        <f>COUNTIF(#REF!,Tabela2[[#This Row],[KOD_PRODUKTU]])</f>
        <v>#REF!</v>
      </c>
    </row>
    <row r="3118" spans="1:13" x14ac:dyDescent="0.25">
      <c r="A3118" s="1" t="s">
        <v>4753</v>
      </c>
      <c r="B3118" t="s">
        <v>4754</v>
      </c>
      <c r="C3118" s="1" t="s">
        <v>2110</v>
      </c>
      <c r="D3118" s="1" t="s">
        <v>2110</v>
      </c>
      <c r="E3118" s="1" t="s">
        <v>2110</v>
      </c>
      <c r="F3118" t="s">
        <v>2111</v>
      </c>
      <c r="G3118" t="s">
        <v>182</v>
      </c>
      <c r="H3118" t="s">
        <v>17</v>
      </c>
      <c r="I3118" t="s">
        <v>4755</v>
      </c>
      <c r="J3118">
        <v>0.25</v>
      </c>
      <c r="K3118" t="e">
        <f>IF(COUNTIF(#REF!,Tabela2[[#This Row],[IdxWspolny]])&gt;0,"ELEM_lub_PRD","TECHN")</f>
        <v>#REF!</v>
      </c>
      <c r="L3118" t="e">
        <f>IF(COUNTIF(#REF!,Tabela2[[#This Row],[KOD_PRODUKTU]])&gt;0,"ELEMENT","PRODUKT")</f>
        <v>#REF!</v>
      </c>
      <c r="M3118" t="e">
        <f>COUNTIF(#REF!,Tabela2[[#This Row],[KOD_PRODUKTU]])</f>
        <v>#REF!</v>
      </c>
    </row>
    <row r="3119" spans="1:13" x14ac:dyDescent="0.25">
      <c r="A3119" s="1" t="s">
        <v>4753</v>
      </c>
      <c r="B3119" t="s">
        <v>4754</v>
      </c>
      <c r="C3119" s="1" t="s">
        <v>7</v>
      </c>
      <c r="D3119" s="1" t="s">
        <v>7</v>
      </c>
      <c r="E3119" s="1" t="s">
        <v>7</v>
      </c>
      <c r="F3119" t="s">
        <v>8</v>
      </c>
      <c r="G3119" t="s">
        <v>9</v>
      </c>
      <c r="H3119" t="s">
        <v>10</v>
      </c>
      <c r="I3119" t="s">
        <v>4756</v>
      </c>
      <c r="J3119">
        <v>3.75</v>
      </c>
      <c r="K3119" t="e">
        <f>IF(COUNTIF(#REF!,Tabela2[[#This Row],[IdxWspolny]])&gt;0,"ELEM_lub_PRD","TECHN")</f>
        <v>#REF!</v>
      </c>
      <c r="L3119" t="e">
        <f>IF(COUNTIF(#REF!,Tabela2[[#This Row],[KOD_PRODUKTU]])&gt;0,"ELEMENT","PRODUKT")</f>
        <v>#REF!</v>
      </c>
      <c r="M3119" t="e">
        <f>COUNTIF(#REF!,Tabela2[[#This Row],[KOD_PRODUKTU]])</f>
        <v>#REF!</v>
      </c>
    </row>
    <row r="3120" spans="1:13" x14ac:dyDescent="0.25">
      <c r="A3120" s="1" t="s">
        <v>4757</v>
      </c>
      <c r="B3120" t="s">
        <v>4758</v>
      </c>
      <c r="C3120" s="1" t="s">
        <v>684</v>
      </c>
      <c r="D3120" s="1" t="s">
        <v>684</v>
      </c>
      <c r="E3120" s="1" t="s">
        <v>684</v>
      </c>
      <c r="F3120" t="s">
        <v>685</v>
      </c>
      <c r="G3120" t="s">
        <v>686</v>
      </c>
      <c r="H3120" t="s">
        <v>49</v>
      </c>
      <c r="I3120" t="s">
        <v>4759</v>
      </c>
      <c r="J3120">
        <v>3.5</v>
      </c>
      <c r="K3120" t="e">
        <f>IF(COUNTIF(#REF!,Tabela2[[#This Row],[IdxWspolny]])&gt;0,"ELEM_lub_PRD","TECHN")</f>
        <v>#REF!</v>
      </c>
      <c r="L3120" t="e">
        <f>IF(COUNTIF(#REF!,Tabela2[[#This Row],[KOD_PRODUKTU]])&gt;0,"ELEMENT","PRODUKT")</f>
        <v>#REF!</v>
      </c>
      <c r="M3120" t="e">
        <f>COUNTIF(#REF!,Tabela2[[#This Row],[KOD_PRODUKTU]])</f>
        <v>#REF!</v>
      </c>
    </row>
    <row r="3121" spans="1:13" x14ac:dyDescent="0.25">
      <c r="A3121" s="1" t="s">
        <v>4760</v>
      </c>
      <c r="B3121" t="s">
        <v>4761</v>
      </c>
      <c r="C3121" s="1" t="s">
        <v>1249</v>
      </c>
      <c r="D3121" s="1" t="s">
        <v>1249</v>
      </c>
      <c r="E3121" s="1" t="s">
        <v>1249</v>
      </c>
      <c r="F3121" t="s">
        <v>1250</v>
      </c>
      <c r="G3121" t="s">
        <v>1251</v>
      </c>
      <c r="H3121" t="s">
        <v>1252</v>
      </c>
      <c r="I3121" t="s">
        <v>3205</v>
      </c>
      <c r="J3121">
        <v>21</v>
      </c>
      <c r="K3121" t="e">
        <f>IF(COUNTIF(#REF!,Tabela2[[#This Row],[IdxWspolny]])&gt;0,"ELEM_lub_PRD","TECHN")</f>
        <v>#REF!</v>
      </c>
      <c r="L3121" t="e">
        <f>IF(COUNTIF(#REF!,Tabela2[[#This Row],[KOD_PRODUKTU]])&gt;0,"ELEMENT","PRODUKT")</f>
        <v>#REF!</v>
      </c>
      <c r="M3121" t="e">
        <f>COUNTIF(#REF!,Tabela2[[#This Row],[KOD_PRODUKTU]])</f>
        <v>#REF!</v>
      </c>
    </row>
    <row r="3122" spans="1:13" x14ac:dyDescent="0.25">
      <c r="A3122" s="1" t="s">
        <v>4760</v>
      </c>
      <c r="B3122" t="s">
        <v>4761</v>
      </c>
      <c r="C3122" s="1" t="s">
        <v>4742</v>
      </c>
      <c r="D3122" s="1" t="s">
        <v>4742</v>
      </c>
      <c r="E3122" s="1" t="s">
        <v>4742</v>
      </c>
      <c r="F3122" t="s">
        <v>4743</v>
      </c>
      <c r="G3122" t="s">
        <v>182</v>
      </c>
      <c r="H3122" t="s">
        <v>5</v>
      </c>
      <c r="I3122" t="s">
        <v>4744</v>
      </c>
      <c r="J3122">
        <v>0.75</v>
      </c>
      <c r="K3122" t="e">
        <f>IF(COUNTIF(#REF!,Tabela2[[#This Row],[IdxWspolny]])&gt;0,"ELEM_lub_PRD","TECHN")</f>
        <v>#REF!</v>
      </c>
      <c r="L3122" t="e">
        <f>IF(COUNTIF(#REF!,Tabela2[[#This Row],[KOD_PRODUKTU]])&gt;0,"ELEMENT","PRODUKT")</f>
        <v>#REF!</v>
      </c>
      <c r="M3122" t="e">
        <f>COUNTIF(#REF!,Tabela2[[#This Row],[KOD_PRODUKTU]])</f>
        <v>#REF!</v>
      </c>
    </row>
    <row r="3123" spans="1:13" x14ac:dyDescent="0.25">
      <c r="A3123" s="1" t="s">
        <v>4760</v>
      </c>
      <c r="B3123" t="s">
        <v>4761</v>
      </c>
      <c r="C3123" s="1" t="s">
        <v>479</v>
      </c>
      <c r="D3123" s="1" t="s">
        <v>479</v>
      </c>
      <c r="E3123" s="1" t="s">
        <v>479</v>
      </c>
      <c r="F3123" t="s">
        <v>480</v>
      </c>
      <c r="G3123" t="s">
        <v>626</v>
      </c>
      <c r="H3123" t="s">
        <v>5</v>
      </c>
      <c r="I3123" t="s">
        <v>1772</v>
      </c>
      <c r="J3123">
        <v>0.2</v>
      </c>
      <c r="K3123" t="e">
        <f>IF(COUNTIF(#REF!,Tabela2[[#This Row],[IdxWspolny]])&gt;0,"ELEM_lub_PRD","TECHN")</f>
        <v>#REF!</v>
      </c>
      <c r="L3123" t="e">
        <f>IF(COUNTIF(#REF!,Tabela2[[#This Row],[KOD_PRODUKTU]])&gt;0,"ELEMENT","PRODUKT")</f>
        <v>#REF!</v>
      </c>
      <c r="M3123" t="e">
        <f>COUNTIF(#REF!,Tabela2[[#This Row],[KOD_PRODUKTU]])</f>
        <v>#REF!</v>
      </c>
    </row>
    <row r="3124" spans="1:13" x14ac:dyDescent="0.25">
      <c r="A3124" s="1" t="s">
        <v>4760</v>
      </c>
      <c r="B3124" t="s">
        <v>4761</v>
      </c>
      <c r="C3124" s="1" t="s">
        <v>628</v>
      </c>
      <c r="D3124" s="1" t="s">
        <v>628</v>
      </c>
      <c r="E3124" s="1" t="s">
        <v>628</v>
      </c>
      <c r="F3124" t="s">
        <v>629</v>
      </c>
      <c r="G3124" t="s">
        <v>630</v>
      </c>
      <c r="H3124" t="s">
        <v>5</v>
      </c>
      <c r="I3124" t="s">
        <v>598</v>
      </c>
      <c r="J3124">
        <v>0.08</v>
      </c>
      <c r="K3124" t="e">
        <f>IF(COUNTIF(#REF!,Tabela2[[#This Row],[IdxWspolny]])&gt;0,"ELEM_lub_PRD","TECHN")</f>
        <v>#REF!</v>
      </c>
      <c r="L3124" t="e">
        <f>IF(COUNTIF(#REF!,Tabela2[[#This Row],[KOD_PRODUKTU]])&gt;0,"ELEMENT","PRODUKT")</f>
        <v>#REF!</v>
      </c>
      <c r="M3124" t="e">
        <f>COUNTIF(#REF!,Tabela2[[#This Row],[KOD_PRODUKTU]])</f>
        <v>#REF!</v>
      </c>
    </row>
    <row r="3125" spans="1:13" x14ac:dyDescent="0.25">
      <c r="A3125" s="1" t="s">
        <v>4760</v>
      </c>
      <c r="B3125" t="s">
        <v>4761</v>
      </c>
      <c r="C3125" s="1" t="s">
        <v>2844</v>
      </c>
      <c r="D3125" s="1" t="s">
        <v>2844</v>
      </c>
      <c r="E3125" s="1" t="s">
        <v>2844</v>
      </c>
      <c r="F3125" t="s">
        <v>2845</v>
      </c>
      <c r="G3125" t="s">
        <v>2846</v>
      </c>
      <c r="H3125" t="s">
        <v>5</v>
      </c>
      <c r="I3125" t="s">
        <v>1858</v>
      </c>
      <c r="J3125">
        <v>0.03</v>
      </c>
      <c r="K3125" t="e">
        <f>IF(COUNTIF(#REF!,Tabela2[[#This Row],[IdxWspolny]])&gt;0,"ELEM_lub_PRD","TECHN")</f>
        <v>#REF!</v>
      </c>
      <c r="L3125" t="e">
        <f>IF(COUNTIF(#REF!,Tabela2[[#This Row],[KOD_PRODUKTU]])&gt;0,"ELEMENT","PRODUKT")</f>
        <v>#REF!</v>
      </c>
      <c r="M3125" t="e">
        <f>COUNTIF(#REF!,Tabela2[[#This Row],[KOD_PRODUKTU]])</f>
        <v>#REF!</v>
      </c>
    </row>
    <row r="3126" spans="1:13" x14ac:dyDescent="0.25">
      <c r="A3126" s="1" t="s">
        <v>4760</v>
      </c>
      <c r="B3126" t="s">
        <v>4761</v>
      </c>
      <c r="C3126" s="1" t="s">
        <v>704</v>
      </c>
      <c r="D3126" s="1" t="s">
        <v>704</v>
      </c>
      <c r="E3126" s="1" t="s">
        <v>704</v>
      </c>
      <c r="F3126" t="s">
        <v>705</v>
      </c>
      <c r="G3126" t="s">
        <v>744</v>
      </c>
      <c r="H3126" t="s">
        <v>121</v>
      </c>
      <c r="I3126" t="s">
        <v>50</v>
      </c>
      <c r="J3126">
        <v>0.4</v>
      </c>
      <c r="K3126" t="e">
        <f>IF(COUNTIF(#REF!,Tabela2[[#This Row],[IdxWspolny]])&gt;0,"ELEM_lub_PRD","TECHN")</f>
        <v>#REF!</v>
      </c>
      <c r="L3126" t="e">
        <f>IF(COUNTIF(#REF!,Tabela2[[#This Row],[KOD_PRODUKTU]])&gt;0,"ELEMENT","PRODUKT")</f>
        <v>#REF!</v>
      </c>
      <c r="M3126" t="e">
        <f>COUNTIF(#REF!,Tabela2[[#This Row],[KOD_PRODUKTU]])</f>
        <v>#REF!</v>
      </c>
    </row>
    <row r="3127" spans="1:13" x14ac:dyDescent="0.25">
      <c r="A3127" s="1" t="s">
        <v>4760</v>
      </c>
      <c r="B3127" t="s">
        <v>4761</v>
      </c>
      <c r="C3127" s="1" t="s">
        <v>7</v>
      </c>
      <c r="D3127" s="1" t="s">
        <v>7</v>
      </c>
      <c r="E3127" s="1" t="s">
        <v>7</v>
      </c>
      <c r="F3127" t="s">
        <v>8</v>
      </c>
      <c r="G3127" t="s">
        <v>9</v>
      </c>
      <c r="H3127" t="s">
        <v>10</v>
      </c>
      <c r="I3127" t="s">
        <v>3307</v>
      </c>
      <c r="J3127">
        <v>55.2</v>
      </c>
      <c r="K3127" t="e">
        <f>IF(COUNTIF(#REF!,Tabela2[[#This Row],[IdxWspolny]])&gt;0,"ELEM_lub_PRD","TECHN")</f>
        <v>#REF!</v>
      </c>
      <c r="L3127" t="e">
        <f>IF(COUNTIF(#REF!,Tabela2[[#This Row],[KOD_PRODUKTU]])&gt;0,"ELEMENT","PRODUKT")</f>
        <v>#REF!</v>
      </c>
      <c r="M3127" t="e">
        <f>COUNTIF(#REF!,Tabela2[[#This Row],[KOD_PRODUKTU]])</f>
        <v>#REF!</v>
      </c>
    </row>
    <row r="3128" spans="1:13" x14ac:dyDescent="0.25">
      <c r="A3128" s="1" t="s">
        <v>4760</v>
      </c>
      <c r="B3128" t="s">
        <v>4761</v>
      </c>
      <c r="C3128" s="1" t="s">
        <v>7</v>
      </c>
      <c r="D3128" s="1" t="s">
        <v>7</v>
      </c>
      <c r="E3128" s="1" t="s">
        <v>7</v>
      </c>
      <c r="F3128" t="s">
        <v>8</v>
      </c>
      <c r="G3128" t="s">
        <v>9</v>
      </c>
      <c r="H3128" t="s">
        <v>10</v>
      </c>
      <c r="I3128" t="s">
        <v>4745</v>
      </c>
      <c r="J3128">
        <v>30.92</v>
      </c>
      <c r="K3128" t="e">
        <f>IF(COUNTIF(#REF!,Tabela2[[#This Row],[IdxWspolny]])&gt;0,"ELEM_lub_PRD","TECHN")</f>
        <v>#REF!</v>
      </c>
      <c r="L3128" t="e">
        <f>IF(COUNTIF(#REF!,Tabela2[[#This Row],[KOD_PRODUKTU]])&gt;0,"ELEMENT","PRODUKT")</f>
        <v>#REF!</v>
      </c>
      <c r="M3128" t="e">
        <f>COUNTIF(#REF!,Tabela2[[#This Row],[KOD_PRODUKTU]])</f>
        <v>#REF!</v>
      </c>
    </row>
    <row r="3129" spans="1:13" x14ac:dyDescent="0.25">
      <c r="A3129" s="1" t="s">
        <v>4762</v>
      </c>
      <c r="B3129" t="s">
        <v>4763</v>
      </c>
      <c r="C3129" s="1" t="s">
        <v>2318</v>
      </c>
      <c r="D3129" s="1" t="s">
        <v>2318</v>
      </c>
      <c r="E3129" s="1" t="s">
        <v>2318</v>
      </c>
      <c r="F3129" t="s">
        <v>2319</v>
      </c>
      <c r="G3129" t="s">
        <v>4732</v>
      </c>
      <c r="H3129" t="s">
        <v>17</v>
      </c>
      <c r="I3129" t="s">
        <v>4764</v>
      </c>
      <c r="J3129">
        <v>16.5</v>
      </c>
      <c r="K3129" t="e">
        <f>IF(COUNTIF(#REF!,Tabela2[[#This Row],[IdxWspolny]])&gt;0,"ELEM_lub_PRD","TECHN")</f>
        <v>#REF!</v>
      </c>
      <c r="L3129" t="e">
        <f>IF(COUNTIF(#REF!,Tabela2[[#This Row],[KOD_PRODUKTU]])&gt;0,"ELEMENT","PRODUKT")</f>
        <v>#REF!</v>
      </c>
      <c r="M3129" t="e">
        <f>COUNTIF(#REF!,Tabela2[[#This Row],[KOD_PRODUKTU]])</f>
        <v>#REF!</v>
      </c>
    </row>
    <row r="3130" spans="1:13" x14ac:dyDescent="0.25">
      <c r="A3130" s="1" t="s">
        <v>4762</v>
      </c>
      <c r="B3130" t="s">
        <v>4763</v>
      </c>
      <c r="C3130" s="1" t="s">
        <v>2322</v>
      </c>
      <c r="D3130" s="1" t="s">
        <v>2322</v>
      </c>
      <c r="E3130" s="1" t="s">
        <v>2322</v>
      </c>
      <c r="F3130" t="s">
        <v>2323</v>
      </c>
      <c r="G3130" t="s">
        <v>2324</v>
      </c>
      <c r="H3130" t="s">
        <v>39</v>
      </c>
      <c r="I3130" t="s">
        <v>478</v>
      </c>
      <c r="J3130">
        <v>2.96</v>
      </c>
      <c r="K3130" t="e">
        <f>IF(COUNTIF(#REF!,Tabela2[[#This Row],[IdxWspolny]])&gt;0,"ELEM_lub_PRD","TECHN")</f>
        <v>#REF!</v>
      </c>
      <c r="L3130" t="e">
        <f>IF(COUNTIF(#REF!,Tabela2[[#This Row],[KOD_PRODUKTU]])&gt;0,"ELEMENT","PRODUKT")</f>
        <v>#REF!</v>
      </c>
      <c r="M3130" t="e">
        <f>COUNTIF(#REF!,Tabela2[[#This Row],[KOD_PRODUKTU]])</f>
        <v>#REF!</v>
      </c>
    </row>
    <row r="3131" spans="1:13" x14ac:dyDescent="0.25">
      <c r="A3131" s="1" t="s">
        <v>4762</v>
      </c>
      <c r="B3131" t="s">
        <v>4763</v>
      </c>
      <c r="C3131" s="1" t="s">
        <v>41</v>
      </c>
      <c r="D3131" s="1" t="s">
        <v>41</v>
      </c>
      <c r="E3131" s="1" t="s">
        <v>41</v>
      </c>
      <c r="F3131" t="s">
        <v>42</v>
      </c>
      <c r="G3131" t="s">
        <v>513</v>
      </c>
      <c r="H3131" t="s">
        <v>5</v>
      </c>
      <c r="I3131" t="s">
        <v>559</v>
      </c>
      <c r="J3131">
        <v>0.04</v>
      </c>
      <c r="K3131" t="e">
        <f>IF(COUNTIF(#REF!,Tabela2[[#This Row],[IdxWspolny]])&gt;0,"ELEM_lub_PRD","TECHN")</f>
        <v>#REF!</v>
      </c>
      <c r="L3131" t="e">
        <f>IF(COUNTIF(#REF!,Tabela2[[#This Row],[KOD_PRODUKTU]])&gt;0,"ELEMENT","PRODUKT")</f>
        <v>#REF!</v>
      </c>
      <c r="M3131" t="e">
        <f>COUNTIF(#REF!,Tabela2[[#This Row],[KOD_PRODUKTU]])</f>
        <v>#REF!</v>
      </c>
    </row>
    <row r="3132" spans="1:13" x14ac:dyDescent="0.25">
      <c r="A3132" s="1" t="s">
        <v>4762</v>
      </c>
      <c r="B3132" t="s">
        <v>4763</v>
      </c>
      <c r="C3132" s="1" t="s">
        <v>4734</v>
      </c>
      <c r="D3132" s="1" t="s">
        <v>4734</v>
      </c>
      <c r="E3132" s="1" t="s">
        <v>4734</v>
      </c>
      <c r="F3132" t="s">
        <v>4735</v>
      </c>
      <c r="G3132" t="s">
        <v>4736</v>
      </c>
      <c r="H3132" t="s">
        <v>121</v>
      </c>
      <c r="I3132" t="s">
        <v>92</v>
      </c>
      <c r="J3132">
        <v>15.4</v>
      </c>
      <c r="K3132" t="e">
        <f>IF(COUNTIF(#REF!,Tabela2[[#This Row],[IdxWspolny]])&gt;0,"ELEM_lub_PRD","TECHN")</f>
        <v>#REF!</v>
      </c>
      <c r="L3132" t="e">
        <f>IF(COUNTIF(#REF!,Tabela2[[#This Row],[KOD_PRODUKTU]])&gt;0,"ELEMENT","PRODUKT")</f>
        <v>#REF!</v>
      </c>
      <c r="M3132" t="e">
        <f>COUNTIF(#REF!,Tabela2[[#This Row],[KOD_PRODUKTU]])</f>
        <v>#REF!</v>
      </c>
    </row>
    <row r="3133" spans="1:13" x14ac:dyDescent="0.25">
      <c r="A3133" s="1" t="s">
        <v>4762</v>
      </c>
      <c r="B3133" t="s">
        <v>4763</v>
      </c>
      <c r="C3133" s="1" t="s">
        <v>7</v>
      </c>
      <c r="D3133" s="1" t="s">
        <v>7</v>
      </c>
      <c r="E3133" s="1" t="s">
        <v>7</v>
      </c>
      <c r="F3133" t="s">
        <v>8</v>
      </c>
      <c r="G3133" t="s">
        <v>9</v>
      </c>
      <c r="H3133" t="s">
        <v>10</v>
      </c>
      <c r="I3133" t="s">
        <v>523</v>
      </c>
      <c r="J3133">
        <v>17</v>
      </c>
      <c r="K3133" t="e">
        <f>IF(COUNTIF(#REF!,Tabela2[[#This Row],[IdxWspolny]])&gt;0,"ELEM_lub_PRD","TECHN")</f>
        <v>#REF!</v>
      </c>
      <c r="L3133" t="e">
        <f>IF(COUNTIF(#REF!,Tabela2[[#This Row],[KOD_PRODUKTU]])&gt;0,"ELEMENT","PRODUKT")</f>
        <v>#REF!</v>
      </c>
      <c r="M3133" t="e">
        <f>COUNTIF(#REF!,Tabela2[[#This Row],[KOD_PRODUKTU]])</f>
        <v>#REF!</v>
      </c>
    </row>
    <row r="3134" spans="1:13" x14ac:dyDescent="0.25">
      <c r="A3134" s="1" t="s">
        <v>4765</v>
      </c>
      <c r="B3134" t="s">
        <v>4766</v>
      </c>
      <c r="C3134" s="1" t="s">
        <v>2318</v>
      </c>
      <c r="D3134" s="1" t="s">
        <v>2318</v>
      </c>
      <c r="E3134" s="1" t="s">
        <v>2318</v>
      </c>
      <c r="F3134" t="s">
        <v>2319</v>
      </c>
      <c r="G3134" t="s">
        <v>4732</v>
      </c>
      <c r="H3134" t="s">
        <v>17</v>
      </c>
      <c r="I3134" t="s">
        <v>4733</v>
      </c>
      <c r="J3134">
        <v>8.4</v>
      </c>
      <c r="K3134" t="e">
        <f>IF(COUNTIF(#REF!,Tabela2[[#This Row],[IdxWspolny]])&gt;0,"ELEM_lub_PRD","TECHN")</f>
        <v>#REF!</v>
      </c>
      <c r="L3134" t="e">
        <f>IF(COUNTIF(#REF!,Tabela2[[#This Row],[KOD_PRODUKTU]])&gt;0,"ELEMENT","PRODUKT")</f>
        <v>#REF!</v>
      </c>
      <c r="M3134" t="e">
        <f>COUNTIF(#REF!,Tabela2[[#This Row],[KOD_PRODUKTU]])</f>
        <v>#REF!</v>
      </c>
    </row>
    <row r="3135" spans="1:13" x14ac:dyDescent="0.25">
      <c r="A3135" s="1" t="s">
        <v>4765</v>
      </c>
      <c r="B3135" t="s">
        <v>4766</v>
      </c>
      <c r="C3135" s="1" t="s">
        <v>4767</v>
      </c>
      <c r="D3135" s="1" t="s">
        <v>4767</v>
      </c>
      <c r="E3135" s="1" t="s">
        <v>4767</v>
      </c>
      <c r="F3135" t="s">
        <v>4768</v>
      </c>
      <c r="G3135" t="s">
        <v>2112</v>
      </c>
      <c r="H3135" t="s">
        <v>39</v>
      </c>
      <c r="I3135" t="s">
        <v>478</v>
      </c>
      <c r="J3135">
        <v>1.24</v>
      </c>
      <c r="K3135" t="e">
        <f>IF(COUNTIF(#REF!,Tabela2[[#This Row],[IdxWspolny]])&gt;0,"ELEM_lub_PRD","TECHN")</f>
        <v>#REF!</v>
      </c>
      <c r="L3135" t="e">
        <f>IF(COUNTIF(#REF!,Tabela2[[#This Row],[KOD_PRODUKTU]])&gt;0,"ELEMENT","PRODUKT")</f>
        <v>#REF!</v>
      </c>
      <c r="M3135" t="e">
        <f>COUNTIF(#REF!,Tabela2[[#This Row],[KOD_PRODUKTU]])</f>
        <v>#REF!</v>
      </c>
    </row>
    <row r="3136" spans="1:13" x14ac:dyDescent="0.25">
      <c r="A3136" s="1" t="s">
        <v>4765</v>
      </c>
      <c r="B3136" t="s">
        <v>4766</v>
      </c>
      <c r="C3136" s="1" t="s">
        <v>514</v>
      </c>
      <c r="D3136" s="1" t="s">
        <v>514</v>
      </c>
      <c r="E3136" s="1" t="s">
        <v>514</v>
      </c>
      <c r="F3136" t="s">
        <v>515</v>
      </c>
      <c r="G3136" t="s">
        <v>816</v>
      </c>
      <c r="H3136" t="s">
        <v>121</v>
      </c>
      <c r="I3136" t="s">
        <v>92</v>
      </c>
      <c r="J3136">
        <v>0.78</v>
      </c>
      <c r="K3136" t="e">
        <f>IF(COUNTIF(#REF!,Tabela2[[#This Row],[IdxWspolny]])&gt;0,"ELEM_lub_PRD","TECHN")</f>
        <v>#REF!</v>
      </c>
      <c r="L3136" t="e">
        <f>IF(COUNTIF(#REF!,Tabela2[[#This Row],[KOD_PRODUKTU]])&gt;0,"ELEMENT","PRODUKT")</f>
        <v>#REF!</v>
      </c>
      <c r="M3136" t="e">
        <f>COUNTIF(#REF!,Tabela2[[#This Row],[KOD_PRODUKTU]])</f>
        <v>#REF!</v>
      </c>
    </row>
    <row r="3137" spans="1:13" x14ac:dyDescent="0.25">
      <c r="A3137" s="1" t="s">
        <v>4765</v>
      </c>
      <c r="B3137" t="s">
        <v>4766</v>
      </c>
      <c r="C3137" s="1" t="s">
        <v>41</v>
      </c>
      <c r="D3137" s="1" t="s">
        <v>41</v>
      </c>
      <c r="E3137" s="1" t="s">
        <v>41</v>
      </c>
      <c r="F3137" t="s">
        <v>42</v>
      </c>
      <c r="G3137" t="s">
        <v>513</v>
      </c>
      <c r="H3137" t="s">
        <v>5</v>
      </c>
      <c r="I3137" t="s">
        <v>1900</v>
      </c>
      <c r="J3137">
        <v>0.03</v>
      </c>
      <c r="K3137" t="e">
        <f>IF(COUNTIF(#REF!,Tabela2[[#This Row],[IdxWspolny]])&gt;0,"ELEM_lub_PRD","TECHN")</f>
        <v>#REF!</v>
      </c>
      <c r="L3137" t="e">
        <f>IF(COUNTIF(#REF!,Tabela2[[#This Row],[KOD_PRODUKTU]])&gt;0,"ELEMENT","PRODUKT")</f>
        <v>#REF!</v>
      </c>
      <c r="M3137" t="e">
        <f>COUNTIF(#REF!,Tabela2[[#This Row],[KOD_PRODUKTU]])</f>
        <v>#REF!</v>
      </c>
    </row>
    <row r="3138" spans="1:13" x14ac:dyDescent="0.25">
      <c r="A3138" s="1" t="s">
        <v>4765</v>
      </c>
      <c r="B3138" t="s">
        <v>4766</v>
      </c>
      <c r="C3138" s="1" t="s">
        <v>4734</v>
      </c>
      <c r="D3138" s="1" t="s">
        <v>4734</v>
      </c>
      <c r="E3138" s="1" t="s">
        <v>4734</v>
      </c>
      <c r="F3138" t="s">
        <v>4735</v>
      </c>
      <c r="G3138" t="s">
        <v>4736</v>
      </c>
      <c r="H3138" t="s">
        <v>121</v>
      </c>
      <c r="I3138" t="s">
        <v>92</v>
      </c>
      <c r="J3138">
        <v>15.4</v>
      </c>
      <c r="K3138" t="e">
        <f>IF(COUNTIF(#REF!,Tabela2[[#This Row],[IdxWspolny]])&gt;0,"ELEM_lub_PRD","TECHN")</f>
        <v>#REF!</v>
      </c>
      <c r="L3138" t="e">
        <f>IF(COUNTIF(#REF!,Tabela2[[#This Row],[KOD_PRODUKTU]])&gt;0,"ELEMENT","PRODUKT")</f>
        <v>#REF!</v>
      </c>
      <c r="M3138" t="e">
        <f>COUNTIF(#REF!,Tabela2[[#This Row],[KOD_PRODUKTU]])</f>
        <v>#REF!</v>
      </c>
    </row>
    <row r="3139" spans="1:13" x14ac:dyDescent="0.25">
      <c r="A3139" s="1" t="s">
        <v>4765</v>
      </c>
      <c r="B3139" t="s">
        <v>4766</v>
      </c>
      <c r="C3139" s="1" t="s">
        <v>4737</v>
      </c>
      <c r="D3139" s="1" t="s">
        <v>4737</v>
      </c>
      <c r="E3139" s="1" t="s">
        <v>4737</v>
      </c>
      <c r="F3139" t="s">
        <v>4738</v>
      </c>
      <c r="G3139" t="s">
        <v>634</v>
      </c>
      <c r="H3139" t="s">
        <v>121</v>
      </c>
      <c r="I3139" t="s">
        <v>50</v>
      </c>
      <c r="J3139">
        <v>2.2999999999999998</v>
      </c>
      <c r="K3139" t="e">
        <f>IF(COUNTIF(#REF!,Tabela2[[#This Row],[IdxWspolny]])&gt;0,"ELEM_lub_PRD","TECHN")</f>
        <v>#REF!</v>
      </c>
      <c r="L3139" t="e">
        <f>IF(COUNTIF(#REF!,Tabela2[[#This Row],[KOD_PRODUKTU]])&gt;0,"ELEMENT","PRODUKT")</f>
        <v>#REF!</v>
      </c>
      <c r="M3139" t="e">
        <f>COUNTIF(#REF!,Tabela2[[#This Row],[KOD_PRODUKTU]])</f>
        <v>#REF!</v>
      </c>
    </row>
    <row r="3140" spans="1:13" x14ac:dyDescent="0.25">
      <c r="A3140" s="1" t="s">
        <v>4765</v>
      </c>
      <c r="B3140" t="s">
        <v>4766</v>
      </c>
      <c r="C3140" s="1" t="s">
        <v>7</v>
      </c>
      <c r="D3140" s="1" t="s">
        <v>7</v>
      </c>
      <c r="E3140" s="1" t="s">
        <v>7</v>
      </c>
      <c r="F3140" t="s">
        <v>8</v>
      </c>
      <c r="G3140" t="s">
        <v>9</v>
      </c>
      <c r="H3140" t="s">
        <v>10</v>
      </c>
      <c r="I3140" t="s">
        <v>4769</v>
      </c>
      <c r="J3140">
        <v>16.8</v>
      </c>
      <c r="K3140" t="e">
        <f>IF(COUNTIF(#REF!,Tabela2[[#This Row],[IdxWspolny]])&gt;0,"ELEM_lub_PRD","TECHN")</f>
        <v>#REF!</v>
      </c>
      <c r="L3140" t="e">
        <f>IF(COUNTIF(#REF!,Tabela2[[#This Row],[KOD_PRODUKTU]])&gt;0,"ELEMENT","PRODUKT")</f>
        <v>#REF!</v>
      </c>
      <c r="M3140" t="e">
        <f>COUNTIF(#REF!,Tabela2[[#This Row],[KOD_PRODUKTU]])</f>
        <v>#REF!</v>
      </c>
    </row>
    <row r="3141" spans="1:13" x14ac:dyDescent="0.25">
      <c r="A3141" s="1" t="s">
        <v>4770</v>
      </c>
      <c r="B3141" t="s">
        <v>4771</v>
      </c>
      <c r="C3141" s="1" t="s">
        <v>2318</v>
      </c>
      <c r="D3141" s="1" t="s">
        <v>2318</v>
      </c>
      <c r="E3141" s="1" t="s">
        <v>2318</v>
      </c>
      <c r="F3141" t="s">
        <v>2319</v>
      </c>
      <c r="G3141" t="s">
        <v>4732</v>
      </c>
      <c r="H3141" t="s">
        <v>17</v>
      </c>
      <c r="I3141" t="s">
        <v>4772</v>
      </c>
      <c r="J3141">
        <v>7.56</v>
      </c>
      <c r="K3141" t="e">
        <f>IF(COUNTIF(#REF!,Tabela2[[#This Row],[IdxWspolny]])&gt;0,"ELEM_lub_PRD","TECHN")</f>
        <v>#REF!</v>
      </c>
      <c r="L3141" t="e">
        <f>IF(COUNTIF(#REF!,Tabela2[[#This Row],[KOD_PRODUKTU]])&gt;0,"ELEMENT","PRODUKT")</f>
        <v>#REF!</v>
      </c>
      <c r="M3141" t="e">
        <f>COUNTIF(#REF!,Tabela2[[#This Row],[KOD_PRODUKTU]])</f>
        <v>#REF!</v>
      </c>
    </row>
    <row r="3142" spans="1:13" x14ac:dyDescent="0.25">
      <c r="A3142" s="1" t="s">
        <v>4770</v>
      </c>
      <c r="B3142" t="s">
        <v>4771</v>
      </c>
      <c r="C3142" s="1" t="s">
        <v>4767</v>
      </c>
      <c r="D3142" s="1" t="s">
        <v>4767</v>
      </c>
      <c r="E3142" s="1" t="s">
        <v>4767</v>
      </c>
      <c r="F3142" t="s">
        <v>4768</v>
      </c>
      <c r="G3142" t="s">
        <v>2112</v>
      </c>
      <c r="H3142" t="s">
        <v>39</v>
      </c>
      <c r="I3142" t="s">
        <v>478</v>
      </c>
      <c r="J3142">
        <v>1.24</v>
      </c>
      <c r="K3142" t="e">
        <f>IF(COUNTIF(#REF!,Tabela2[[#This Row],[IdxWspolny]])&gt;0,"ELEM_lub_PRD","TECHN")</f>
        <v>#REF!</v>
      </c>
      <c r="L3142" t="e">
        <f>IF(COUNTIF(#REF!,Tabela2[[#This Row],[KOD_PRODUKTU]])&gt;0,"ELEMENT","PRODUKT")</f>
        <v>#REF!</v>
      </c>
      <c r="M3142" t="e">
        <f>COUNTIF(#REF!,Tabela2[[#This Row],[KOD_PRODUKTU]])</f>
        <v>#REF!</v>
      </c>
    </row>
    <row r="3143" spans="1:13" x14ac:dyDescent="0.25">
      <c r="A3143" s="1" t="s">
        <v>4770</v>
      </c>
      <c r="B3143" t="s">
        <v>4771</v>
      </c>
      <c r="C3143" s="1" t="s">
        <v>514</v>
      </c>
      <c r="D3143" s="1" t="s">
        <v>514</v>
      </c>
      <c r="E3143" s="1" t="s">
        <v>514</v>
      </c>
      <c r="F3143" t="s">
        <v>515</v>
      </c>
      <c r="G3143" t="s">
        <v>816</v>
      </c>
      <c r="H3143" t="s">
        <v>121</v>
      </c>
      <c r="I3143" t="s">
        <v>50</v>
      </c>
      <c r="J3143">
        <v>0.39</v>
      </c>
      <c r="K3143" t="e">
        <f>IF(COUNTIF(#REF!,Tabela2[[#This Row],[IdxWspolny]])&gt;0,"ELEM_lub_PRD","TECHN")</f>
        <v>#REF!</v>
      </c>
      <c r="L3143" t="e">
        <f>IF(COUNTIF(#REF!,Tabela2[[#This Row],[KOD_PRODUKTU]])&gt;0,"ELEMENT","PRODUKT")</f>
        <v>#REF!</v>
      </c>
      <c r="M3143" t="e">
        <f>COUNTIF(#REF!,Tabela2[[#This Row],[KOD_PRODUKTU]])</f>
        <v>#REF!</v>
      </c>
    </row>
    <row r="3144" spans="1:13" x14ac:dyDescent="0.25">
      <c r="A3144" s="1" t="s">
        <v>4770</v>
      </c>
      <c r="B3144" t="s">
        <v>4771</v>
      </c>
      <c r="C3144" s="1" t="s">
        <v>41</v>
      </c>
      <c r="D3144" s="1" t="s">
        <v>41</v>
      </c>
      <c r="E3144" s="1" t="s">
        <v>41</v>
      </c>
      <c r="F3144" t="s">
        <v>42</v>
      </c>
      <c r="G3144" t="s">
        <v>513</v>
      </c>
      <c r="H3144" t="s">
        <v>5</v>
      </c>
      <c r="I3144" t="s">
        <v>44</v>
      </c>
      <c r="J3144">
        <v>0.01</v>
      </c>
      <c r="K3144" t="e">
        <f>IF(COUNTIF(#REF!,Tabela2[[#This Row],[IdxWspolny]])&gt;0,"ELEM_lub_PRD","TECHN")</f>
        <v>#REF!</v>
      </c>
      <c r="L3144" t="e">
        <f>IF(COUNTIF(#REF!,Tabela2[[#This Row],[KOD_PRODUKTU]])&gt;0,"ELEMENT","PRODUKT")</f>
        <v>#REF!</v>
      </c>
      <c r="M3144" t="e">
        <f>COUNTIF(#REF!,Tabela2[[#This Row],[KOD_PRODUKTU]])</f>
        <v>#REF!</v>
      </c>
    </row>
    <row r="3145" spans="1:13" x14ac:dyDescent="0.25">
      <c r="A3145" s="1" t="s">
        <v>4770</v>
      </c>
      <c r="B3145" t="s">
        <v>4771</v>
      </c>
      <c r="C3145" s="1" t="s">
        <v>4734</v>
      </c>
      <c r="D3145" s="1" t="s">
        <v>4734</v>
      </c>
      <c r="E3145" s="1" t="s">
        <v>4734</v>
      </c>
      <c r="F3145" t="s">
        <v>4735</v>
      </c>
      <c r="G3145" t="s">
        <v>4736</v>
      </c>
      <c r="H3145" t="s">
        <v>121</v>
      </c>
      <c r="I3145" t="s">
        <v>92</v>
      </c>
      <c r="J3145">
        <v>15.4</v>
      </c>
      <c r="K3145" t="e">
        <f>IF(COUNTIF(#REF!,Tabela2[[#This Row],[IdxWspolny]])&gt;0,"ELEM_lub_PRD","TECHN")</f>
        <v>#REF!</v>
      </c>
      <c r="L3145" t="e">
        <f>IF(COUNTIF(#REF!,Tabela2[[#This Row],[KOD_PRODUKTU]])&gt;0,"ELEMENT","PRODUKT")</f>
        <v>#REF!</v>
      </c>
      <c r="M3145" t="e">
        <f>COUNTIF(#REF!,Tabela2[[#This Row],[KOD_PRODUKTU]])</f>
        <v>#REF!</v>
      </c>
    </row>
    <row r="3146" spans="1:13" x14ac:dyDescent="0.25">
      <c r="A3146" s="1" t="s">
        <v>4770</v>
      </c>
      <c r="B3146" t="s">
        <v>4771</v>
      </c>
      <c r="C3146" s="1" t="s">
        <v>4737</v>
      </c>
      <c r="D3146" s="1" t="s">
        <v>4737</v>
      </c>
      <c r="E3146" s="1" t="s">
        <v>4737</v>
      </c>
      <c r="F3146" t="s">
        <v>4738</v>
      </c>
      <c r="G3146" t="s">
        <v>634</v>
      </c>
      <c r="H3146" t="s">
        <v>121</v>
      </c>
      <c r="I3146" t="s">
        <v>50</v>
      </c>
      <c r="J3146">
        <v>2.2999999999999998</v>
      </c>
      <c r="K3146" t="e">
        <f>IF(COUNTIF(#REF!,Tabela2[[#This Row],[IdxWspolny]])&gt;0,"ELEM_lub_PRD","TECHN")</f>
        <v>#REF!</v>
      </c>
      <c r="L3146" t="e">
        <f>IF(COUNTIF(#REF!,Tabela2[[#This Row],[KOD_PRODUKTU]])&gt;0,"ELEMENT","PRODUKT")</f>
        <v>#REF!</v>
      </c>
      <c r="M3146" t="e">
        <f>COUNTIF(#REF!,Tabela2[[#This Row],[KOD_PRODUKTU]])</f>
        <v>#REF!</v>
      </c>
    </row>
    <row r="3147" spans="1:13" x14ac:dyDescent="0.25">
      <c r="A3147" s="1" t="s">
        <v>4770</v>
      </c>
      <c r="B3147" t="s">
        <v>4771</v>
      </c>
      <c r="C3147" s="1" t="s">
        <v>7</v>
      </c>
      <c r="D3147" s="1" t="s">
        <v>7</v>
      </c>
      <c r="E3147" s="1" t="s">
        <v>7</v>
      </c>
      <c r="F3147" t="s">
        <v>8</v>
      </c>
      <c r="G3147" t="s">
        <v>9</v>
      </c>
      <c r="H3147" t="s">
        <v>10</v>
      </c>
      <c r="I3147" t="s">
        <v>4773</v>
      </c>
      <c r="J3147">
        <v>16.899999999999999</v>
      </c>
      <c r="K3147" t="e">
        <f>IF(COUNTIF(#REF!,Tabela2[[#This Row],[IdxWspolny]])&gt;0,"ELEM_lub_PRD","TECHN")</f>
        <v>#REF!</v>
      </c>
      <c r="L3147" t="e">
        <f>IF(COUNTIF(#REF!,Tabela2[[#This Row],[KOD_PRODUKTU]])&gt;0,"ELEMENT","PRODUKT")</f>
        <v>#REF!</v>
      </c>
      <c r="M3147" t="e">
        <f>COUNTIF(#REF!,Tabela2[[#This Row],[KOD_PRODUKTU]])</f>
        <v>#REF!</v>
      </c>
    </row>
    <row r="3148" spans="1:13" x14ac:dyDescent="0.25">
      <c r="A3148" s="1" t="s">
        <v>4774</v>
      </c>
      <c r="B3148" t="s">
        <v>4775</v>
      </c>
      <c r="C3148" s="1" t="s">
        <v>2110</v>
      </c>
      <c r="D3148" s="1" t="s">
        <v>2110</v>
      </c>
      <c r="E3148" s="1" t="s">
        <v>2110</v>
      </c>
      <c r="F3148" t="s">
        <v>2111</v>
      </c>
      <c r="G3148" t="s">
        <v>182</v>
      </c>
      <c r="H3148" t="s">
        <v>17</v>
      </c>
      <c r="I3148" t="s">
        <v>4776</v>
      </c>
      <c r="J3148">
        <v>0.75</v>
      </c>
      <c r="K3148" t="e">
        <f>IF(COUNTIF(#REF!,Tabela2[[#This Row],[IdxWspolny]])&gt;0,"ELEM_lub_PRD","TECHN")</f>
        <v>#REF!</v>
      </c>
      <c r="L3148" t="e">
        <f>IF(COUNTIF(#REF!,Tabela2[[#This Row],[KOD_PRODUKTU]])&gt;0,"ELEMENT","PRODUKT")</f>
        <v>#REF!</v>
      </c>
      <c r="M3148" t="e">
        <f>COUNTIF(#REF!,Tabela2[[#This Row],[KOD_PRODUKTU]])</f>
        <v>#REF!</v>
      </c>
    </row>
    <row r="3149" spans="1:13" x14ac:dyDescent="0.25">
      <c r="A3149" s="1" t="s">
        <v>4774</v>
      </c>
      <c r="B3149" t="s">
        <v>4775</v>
      </c>
      <c r="C3149" s="1" t="s">
        <v>7</v>
      </c>
      <c r="D3149" s="1" t="s">
        <v>7</v>
      </c>
      <c r="E3149" s="1" t="s">
        <v>7</v>
      </c>
      <c r="F3149" t="s">
        <v>8</v>
      </c>
      <c r="G3149" t="s">
        <v>9</v>
      </c>
      <c r="H3149" t="s">
        <v>10</v>
      </c>
      <c r="I3149" t="s">
        <v>601</v>
      </c>
      <c r="J3149">
        <v>6.9</v>
      </c>
      <c r="K3149" t="e">
        <f>IF(COUNTIF(#REF!,Tabela2[[#This Row],[IdxWspolny]])&gt;0,"ELEM_lub_PRD","TECHN")</f>
        <v>#REF!</v>
      </c>
      <c r="L3149" t="e">
        <f>IF(COUNTIF(#REF!,Tabela2[[#This Row],[KOD_PRODUKTU]])&gt;0,"ELEMENT","PRODUKT")</f>
        <v>#REF!</v>
      </c>
      <c r="M3149" t="e">
        <f>COUNTIF(#REF!,Tabela2[[#This Row],[KOD_PRODUKTU]])</f>
        <v>#REF!</v>
      </c>
    </row>
    <row r="3150" spans="1:13" x14ac:dyDescent="0.25">
      <c r="A3150" s="1" t="s">
        <v>4777</v>
      </c>
      <c r="B3150" t="s">
        <v>4778</v>
      </c>
      <c r="C3150" s="1" t="s">
        <v>4749</v>
      </c>
      <c r="D3150" s="1" t="s">
        <v>4749</v>
      </c>
      <c r="E3150" s="1" t="s">
        <v>4749</v>
      </c>
      <c r="F3150" t="s">
        <v>4750</v>
      </c>
      <c r="G3150" t="s">
        <v>4751</v>
      </c>
      <c r="H3150" t="s">
        <v>5</v>
      </c>
      <c r="I3150" t="s">
        <v>4779</v>
      </c>
      <c r="J3150">
        <v>1.2</v>
      </c>
      <c r="K3150" t="e">
        <f>IF(COUNTIF(#REF!,Tabela2[[#This Row],[IdxWspolny]])&gt;0,"ELEM_lub_PRD","TECHN")</f>
        <v>#REF!</v>
      </c>
      <c r="L3150" t="e">
        <f>IF(COUNTIF(#REF!,Tabela2[[#This Row],[KOD_PRODUKTU]])&gt;0,"ELEMENT","PRODUKT")</f>
        <v>#REF!</v>
      </c>
      <c r="M3150" t="e">
        <f>COUNTIF(#REF!,Tabela2[[#This Row],[KOD_PRODUKTU]])</f>
        <v>#REF!</v>
      </c>
    </row>
    <row r="3151" spans="1:13" x14ac:dyDescent="0.25">
      <c r="A3151" s="1" t="s">
        <v>4777</v>
      </c>
      <c r="B3151" t="s">
        <v>4778</v>
      </c>
      <c r="C3151" s="1" t="s">
        <v>7</v>
      </c>
      <c r="D3151" s="1" t="s">
        <v>7</v>
      </c>
      <c r="E3151" s="1" t="s">
        <v>7</v>
      </c>
      <c r="F3151" t="s">
        <v>8</v>
      </c>
      <c r="G3151" t="s">
        <v>9</v>
      </c>
      <c r="H3151" t="s">
        <v>10</v>
      </c>
      <c r="I3151" t="s">
        <v>33</v>
      </c>
      <c r="J3151">
        <v>9.1999999999999993</v>
      </c>
      <c r="K3151" t="e">
        <f>IF(COUNTIF(#REF!,Tabela2[[#This Row],[IdxWspolny]])&gt;0,"ELEM_lub_PRD","TECHN")</f>
        <v>#REF!</v>
      </c>
      <c r="L3151" t="e">
        <f>IF(COUNTIF(#REF!,Tabela2[[#This Row],[KOD_PRODUKTU]])&gt;0,"ELEMENT","PRODUKT")</f>
        <v>#REF!</v>
      </c>
      <c r="M3151" t="e">
        <f>COUNTIF(#REF!,Tabela2[[#This Row],[KOD_PRODUKTU]])</f>
        <v>#REF!</v>
      </c>
    </row>
    <row r="3152" spans="1:13" x14ac:dyDescent="0.25">
      <c r="A3152" s="1" t="s">
        <v>4780</v>
      </c>
      <c r="B3152" t="s">
        <v>4781</v>
      </c>
      <c r="C3152" s="1" t="s">
        <v>2318</v>
      </c>
      <c r="D3152" s="1" t="s">
        <v>2318</v>
      </c>
      <c r="E3152" s="1" t="s">
        <v>2318</v>
      </c>
      <c r="F3152" t="s">
        <v>2319</v>
      </c>
      <c r="G3152" t="s">
        <v>4732</v>
      </c>
      <c r="H3152" t="s">
        <v>17</v>
      </c>
      <c r="I3152" t="s">
        <v>4782</v>
      </c>
      <c r="J3152">
        <v>12.08</v>
      </c>
      <c r="K3152" t="e">
        <f>IF(COUNTIF(#REF!,Tabela2[[#This Row],[IdxWspolny]])&gt;0,"ELEM_lub_PRD","TECHN")</f>
        <v>#REF!</v>
      </c>
      <c r="L3152" t="e">
        <f>IF(COUNTIF(#REF!,Tabela2[[#This Row],[KOD_PRODUKTU]])&gt;0,"ELEMENT","PRODUKT")</f>
        <v>#REF!</v>
      </c>
      <c r="M3152" t="e">
        <f>COUNTIF(#REF!,Tabela2[[#This Row],[KOD_PRODUKTU]])</f>
        <v>#REF!</v>
      </c>
    </row>
    <row r="3153" spans="1:14" x14ac:dyDescent="0.25">
      <c r="A3153" s="1" t="s">
        <v>4780</v>
      </c>
      <c r="B3153" t="s">
        <v>4781</v>
      </c>
      <c r="C3153" s="1" t="s">
        <v>4767</v>
      </c>
      <c r="D3153" s="1" t="s">
        <v>4767</v>
      </c>
      <c r="E3153" s="1" t="s">
        <v>4767</v>
      </c>
      <c r="F3153" t="s">
        <v>4768</v>
      </c>
      <c r="G3153" t="s">
        <v>2112</v>
      </c>
      <c r="H3153" t="s">
        <v>39</v>
      </c>
      <c r="I3153" t="s">
        <v>478</v>
      </c>
      <c r="J3153">
        <v>1.24</v>
      </c>
      <c r="K3153" t="e">
        <f>IF(COUNTIF(#REF!,Tabela2[[#This Row],[IdxWspolny]])&gt;0,"ELEM_lub_PRD","TECHN")</f>
        <v>#REF!</v>
      </c>
      <c r="L3153" t="e">
        <f>IF(COUNTIF(#REF!,Tabela2[[#This Row],[KOD_PRODUKTU]])&gt;0,"ELEMENT","PRODUKT")</f>
        <v>#REF!</v>
      </c>
      <c r="M3153" t="e">
        <f>COUNTIF(#REF!,Tabela2[[#This Row],[KOD_PRODUKTU]])</f>
        <v>#REF!</v>
      </c>
    </row>
    <row r="3154" spans="1:14" x14ac:dyDescent="0.25">
      <c r="A3154" s="1" t="s">
        <v>4780</v>
      </c>
      <c r="B3154" t="s">
        <v>4781</v>
      </c>
      <c r="C3154" s="1" t="s">
        <v>514</v>
      </c>
      <c r="D3154" s="1" t="s">
        <v>514</v>
      </c>
      <c r="E3154" s="1" t="s">
        <v>514</v>
      </c>
      <c r="F3154" t="s">
        <v>515</v>
      </c>
      <c r="G3154" t="s">
        <v>816</v>
      </c>
      <c r="H3154" t="s">
        <v>121</v>
      </c>
      <c r="I3154" t="s">
        <v>50</v>
      </c>
      <c r="J3154">
        <v>0.39</v>
      </c>
      <c r="K3154" t="e">
        <f>IF(COUNTIF(#REF!,Tabela2[[#This Row],[IdxWspolny]])&gt;0,"ELEM_lub_PRD","TECHN")</f>
        <v>#REF!</v>
      </c>
      <c r="L3154" t="e">
        <f>IF(COUNTIF(#REF!,Tabela2[[#This Row],[KOD_PRODUKTU]])&gt;0,"ELEMENT","PRODUKT")</f>
        <v>#REF!</v>
      </c>
      <c r="M3154" t="e">
        <f>COUNTIF(#REF!,Tabela2[[#This Row],[KOD_PRODUKTU]])</f>
        <v>#REF!</v>
      </c>
    </row>
    <row r="3155" spans="1:14" x14ac:dyDescent="0.25">
      <c r="A3155" s="1" t="s">
        <v>4780</v>
      </c>
      <c r="B3155" t="s">
        <v>4781</v>
      </c>
      <c r="C3155" s="1" t="s">
        <v>41</v>
      </c>
      <c r="D3155" s="1" t="s">
        <v>41</v>
      </c>
      <c r="E3155" s="1" t="s">
        <v>41</v>
      </c>
      <c r="F3155" t="s">
        <v>42</v>
      </c>
      <c r="G3155" t="s">
        <v>513</v>
      </c>
      <c r="H3155" t="s">
        <v>5</v>
      </c>
      <c r="I3155" t="s">
        <v>559</v>
      </c>
      <c r="J3155">
        <v>0.04</v>
      </c>
      <c r="K3155" t="e">
        <f>IF(COUNTIF(#REF!,Tabela2[[#This Row],[IdxWspolny]])&gt;0,"ELEM_lub_PRD","TECHN")</f>
        <v>#REF!</v>
      </c>
      <c r="L3155" t="e">
        <f>IF(COUNTIF(#REF!,Tabela2[[#This Row],[KOD_PRODUKTU]])&gt;0,"ELEMENT","PRODUKT")</f>
        <v>#REF!</v>
      </c>
      <c r="M3155" t="e">
        <f>COUNTIF(#REF!,Tabela2[[#This Row],[KOD_PRODUKTU]])</f>
        <v>#REF!</v>
      </c>
    </row>
    <row r="3156" spans="1:14" x14ac:dyDescent="0.25">
      <c r="A3156" s="1" t="s">
        <v>4780</v>
      </c>
      <c r="B3156" t="s">
        <v>4781</v>
      </c>
      <c r="C3156" s="1" t="s">
        <v>4734</v>
      </c>
      <c r="D3156" s="1" t="s">
        <v>4734</v>
      </c>
      <c r="E3156" s="1" t="s">
        <v>4734</v>
      </c>
      <c r="F3156" t="s">
        <v>4735</v>
      </c>
      <c r="G3156" t="s">
        <v>4736</v>
      </c>
      <c r="H3156" t="s">
        <v>121</v>
      </c>
      <c r="I3156" t="s">
        <v>92</v>
      </c>
      <c r="J3156">
        <v>15.4</v>
      </c>
      <c r="K3156" t="e">
        <f>IF(COUNTIF(#REF!,Tabela2[[#This Row],[IdxWspolny]])&gt;0,"ELEM_lub_PRD","TECHN")</f>
        <v>#REF!</v>
      </c>
      <c r="L3156" t="e">
        <f>IF(COUNTIF(#REF!,Tabela2[[#This Row],[KOD_PRODUKTU]])&gt;0,"ELEMENT","PRODUKT")</f>
        <v>#REF!</v>
      </c>
      <c r="M3156" t="e">
        <f>COUNTIF(#REF!,Tabela2[[#This Row],[KOD_PRODUKTU]])</f>
        <v>#REF!</v>
      </c>
    </row>
    <row r="3157" spans="1:14" x14ac:dyDescent="0.25">
      <c r="A3157" s="1" t="s">
        <v>4780</v>
      </c>
      <c r="B3157" t="s">
        <v>4781</v>
      </c>
      <c r="C3157" s="1" t="s">
        <v>7</v>
      </c>
      <c r="D3157" s="1" t="s">
        <v>7</v>
      </c>
      <c r="E3157" s="1" t="s">
        <v>7</v>
      </c>
      <c r="F3157" t="s">
        <v>8</v>
      </c>
      <c r="G3157" t="s">
        <v>9</v>
      </c>
      <c r="H3157" t="s">
        <v>10</v>
      </c>
      <c r="I3157" t="s">
        <v>4773</v>
      </c>
      <c r="J3157">
        <v>16.899999999999999</v>
      </c>
      <c r="K3157" t="e">
        <f>IF(COUNTIF(#REF!,Tabela2[[#This Row],[IdxWspolny]])&gt;0,"ELEM_lub_PRD","TECHN")</f>
        <v>#REF!</v>
      </c>
      <c r="L3157" t="e">
        <f>IF(COUNTIF(#REF!,Tabela2[[#This Row],[KOD_PRODUKTU]])&gt;0,"ELEMENT","PRODUKT")</f>
        <v>#REF!</v>
      </c>
      <c r="M3157" t="e">
        <f>COUNTIF(#REF!,Tabela2[[#This Row],[KOD_PRODUKTU]])</f>
        <v>#REF!</v>
      </c>
    </row>
    <row r="3158" spans="1:14" x14ac:dyDescent="0.25">
      <c r="A3158" s="1" t="s">
        <v>4783</v>
      </c>
      <c r="B3158" t="s">
        <v>4784</v>
      </c>
      <c r="C3158" s="1" t="s">
        <v>2292</v>
      </c>
      <c r="D3158" s="1" t="s">
        <v>2292</v>
      </c>
      <c r="E3158" s="1" t="s">
        <v>2292</v>
      </c>
      <c r="F3158" t="s">
        <v>2293</v>
      </c>
      <c r="G3158" t="s">
        <v>2365</v>
      </c>
      <c r="H3158" t="s">
        <v>17</v>
      </c>
      <c r="I3158" t="s">
        <v>4785</v>
      </c>
      <c r="J3158">
        <v>33.47</v>
      </c>
      <c r="K3158" t="e">
        <f>IF(COUNTIF(#REF!,Tabela2[[#This Row],[IdxWspolny]])&gt;0,"ELEM_lub_PRD","TECHN")</f>
        <v>#REF!</v>
      </c>
      <c r="L3158" t="e">
        <f>IF(COUNTIF(#REF!,Tabela2[[#This Row],[KOD_PRODUKTU]])&gt;0,"ELEMENT","PRODUKT")</f>
        <v>#REF!</v>
      </c>
      <c r="M3158" t="e">
        <f>COUNTIF(#REF!,Tabela2[[#This Row],[KOD_PRODUKTU]])</f>
        <v>#REF!</v>
      </c>
    </row>
    <row r="3159" spans="1:14" x14ac:dyDescent="0.25">
      <c r="A3159" s="1" t="s">
        <v>4783</v>
      </c>
      <c r="B3159" t="s">
        <v>4784</v>
      </c>
      <c r="C3159" s="1" t="s">
        <v>895</v>
      </c>
      <c r="D3159" s="1" t="s">
        <v>895</v>
      </c>
      <c r="E3159" s="1" t="s">
        <v>895</v>
      </c>
      <c r="F3159" t="s">
        <v>896</v>
      </c>
      <c r="G3159" t="s">
        <v>897</v>
      </c>
      <c r="H3159" t="s">
        <v>39</v>
      </c>
      <c r="I3159" t="s">
        <v>447</v>
      </c>
      <c r="J3159">
        <v>0.19</v>
      </c>
      <c r="K3159" t="e">
        <f>IF(COUNTIF(#REF!,Tabela2[[#This Row],[IdxWspolny]])&gt;0,"ELEM_lub_PRD","TECHN")</f>
        <v>#REF!</v>
      </c>
      <c r="L3159" t="e">
        <f>IF(COUNTIF(#REF!,Tabela2[[#This Row],[KOD_PRODUKTU]])&gt;0,"ELEMENT","PRODUKT")</f>
        <v>#REF!</v>
      </c>
      <c r="M3159" t="e">
        <f>COUNTIF(#REF!,Tabela2[[#This Row],[KOD_PRODUKTU]])</f>
        <v>#REF!</v>
      </c>
    </row>
    <row r="3160" spans="1:14" x14ac:dyDescent="0.25">
      <c r="A3160" s="1" t="s">
        <v>4783</v>
      </c>
      <c r="B3160" t="s">
        <v>4784</v>
      </c>
      <c r="C3160" s="1" t="s">
        <v>4767</v>
      </c>
      <c r="D3160" s="1" t="s">
        <v>4767</v>
      </c>
      <c r="E3160" s="1" t="s">
        <v>4767</v>
      </c>
      <c r="F3160" t="s">
        <v>4768</v>
      </c>
      <c r="G3160" t="s">
        <v>2112</v>
      </c>
      <c r="H3160" t="s">
        <v>39</v>
      </c>
      <c r="I3160" t="s">
        <v>478</v>
      </c>
      <c r="J3160">
        <v>1.24</v>
      </c>
      <c r="K3160" t="e">
        <f>IF(COUNTIF(#REF!,Tabela2[[#This Row],[IdxWspolny]])&gt;0,"ELEM_lub_PRD","TECHN")</f>
        <v>#REF!</v>
      </c>
      <c r="L3160" t="e">
        <f>IF(COUNTIF(#REF!,Tabela2[[#This Row],[KOD_PRODUKTU]])&gt;0,"ELEMENT","PRODUKT")</f>
        <v>#REF!</v>
      </c>
      <c r="M3160" t="e">
        <f>COUNTIF(#REF!,Tabela2[[#This Row],[KOD_PRODUKTU]])</f>
        <v>#REF!</v>
      </c>
    </row>
    <row r="3161" spans="1:14" x14ac:dyDescent="0.25">
      <c r="A3161" s="1" t="s">
        <v>4783</v>
      </c>
      <c r="B3161" t="s">
        <v>4784</v>
      </c>
      <c r="C3161" s="1" t="s">
        <v>898</v>
      </c>
      <c r="D3161" s="1" t="s">
        <v>898</v>
      </c>
      <c r="E3161" s="1" t="s">
        <v>898</v>
      </c>
      <c r="F3161" t="s">
        <v>899</v>
      </c>
      <c r="G3161" t="s">
        <v>866</v>
      </c>
      <c r="H3161" t="s">
        <v>39</v>
      </c>
      <c r="I3161" t="s">
        <v>447</v>
      </c>
      <c r="J3161">
        <v>0.06</v>
      </c>
      <c r="K3161" t="e">
        <f>IF(COUNTIF(#REF!,Tabela2[[#This Row],[IdxWspolny]])&gt;0,"ELEM_lub_PRD","TECHN")</f>
        <v>#REF!</v>
      </c>
      <c r="L3161" t="e">
        <f>IF(COUNTIF(#REF!,Tabela2[[#This Row],[KOD_PRODUKTU]])&gt;0,"ELEMENT","PRODUKT")</f>
        <v>#REF!</v>
      </c>
      <c r="M3161" t="e">
        <f>COUNTIF(#REF!,Tabela2[[#This Row],[KOD_PRODUKTU]])</f>
        <v>#REF!</v>
      </c>
    </row>
    <row r="3162" spans="1:14" x14ac:dyDescent="0.25">
      <c r="A3162" s="1" t="s">
        <v>4783</v>
      </c>
      <c r="B3162" t="s">
        <v>4784</v>
      </c>
      <c r="C3162" s="1" t="s">
        <v>2304</v>
      </c>
      <c r="D3162" s="1" t="s">
        <v>2304</v>
      </c>
      <c r="E3162" s="1" t="s">
        <v>2304</v>
      </c>
      <c r="F3162" t="s">
        <v>4786</v>
      </c>
      <c r="G3162" t="s">
        <v>2306</v>
      </c>
      <c r="H3162" t="s">
        <v>121</v>
      </c>
      <c r="I3162" t="s">
        <v>92</v>
      </c>
      <c r="J3162">
        <v>0.68</v>
      </c>
      <c r="K3162" t="e">
        <f>IF(COUNTIF(#REF!,Tabela2[[#This Row],[IdxWspolny]])&gt;0,"ELEM_lub_PRD","TECHN")</f>
        <v>#REF!</v>
      </c>
      <c r="L3162" t="e">
        <f>IF(COUNTIF(#REF!,Tabela2[[#This Row],[KOD_PRODUKTU]])&gt;0,"ELEMENT","PRODUKT")</f>
        <v>#REF!</v>
      </c>
      <c r="M3162" t="e">
        <f>COUNTIF(#REF!,Tabela2[[#This Row],[KOD_PRODUKTU]])</f>
        <v>#REF!</v>
      </c>
    </row>
    <row r="3163" spans="1:14" x14ac:dyDescent="0.25">
      <c r="A3163" s="1" t="s">
        <v>4783</v>
      </c>
      <c r="B3163" t="s">
        <v>4784</v>
      </c>
      <c r="C3163" s="1" t="s">
        <v>41</v>
      </c>
      <c r="D3163" s="1" t="s">
        <v>41</v>
      </c>
      <c r="E3163" s="1" t="s">
        <v>41</v>
      </c>
      <c r="F3163" t="s">
        <v>42</v>
      </c>
      <c r="G3163" t="s">
        <v>43</v>
      </c>
      <c r="H3163" t="s">
        <v>5</v>
      </c>
      <c r="I3163" t="s">
        <v>44</v>
      </c>
      <c r="J3163">
        <v>0.01</v>
      </c>
      <c r="K3163" t="e">
        <f>IF(COUNTIF(#REF!,Tabela2[[#This Row],[IdxWspolny]])&gt;0,"ELEM_lub_PRD","TECHN")</f>
        <v>#REF!</v>
      </c>
      <c r="L3163" t="e">
        <f>IF(COUNTIF(#REF!,Tabela2[[#This Row],[KOD_PRODUKTU]])&gt;0,"ELEMENT","PRODUKT")</f>
        <v>#REF!</v>
      </c>
      <c r="M3163" t="e">
        <f>COUNTIF(#REF!,Tabela2[[#This Row],[KOD_PRODUKTU]])</f>
        <v>#REF!</v>
      </c>
    </row>
    <row r="3164" spans="1:14" x14ac:dyDescent="0.25">
      <c r="A3164" s="1" t="s">
        <v>4783</v>
      </c>
      <c r="B3164" t="s">
        <v>4784</v>
      </c>
      <c r="C3164" s="1" t="s">
        <v>4787</v>
      </c>
      <c r="D3164" s="1" t="s">
        <v>4787</v>
      </c>
      <c r="E3164" s="1" t="s">
        <v>4787</v>
      </c>
      <c r="F3164" t="s">
        <v>4788</v>
      </c>
      <c r="G3164" t="s">
        <v>4789</v>
      </c>
      <c r="H3164" t="s">
        <v>121</v>
      </c>
      <c r="I3164" t="s">
        <v>92</v>
      </c>
      <c r="J3164">
        <v>15.6</v>
      </c>
      <c r="K3164" t="e">
        <f>IF(COUNTIF(#REF!,Tabela2[[#This Row],[IdxWspolny]])&gt;0,"ELEM_lub_PRD","TECHN")</f>
        <v>#REF!</v>
      </c>
      <c r="L3164" t="e">
        <f>IF(COUNTIF(#REF!,Tabela2[[#This Row],[KOD_PRODUKTU]])&gt;0,"ELEMENT","PRODUKT")</f>
        <v>#REF!</v>
      </c>
      <c r="M3164" t="e">
        <f>COUNTIF(#REF!,Tabela2[[#This Row],[KOD_PRODUKTU]])</f>
        <v>#REF!</v>
      </c>
    </row>
    <row r="3165" spans="1:14" x14ac:dyDescent="0.25">
      <c r="A3165" s="1" t="s">
        <v>4783</v>
      </c>
      <c r="B3165" t="s">
        <v>4784</v>
      </c>
      <c r="C3165" s="1" t="s">
        <v>4790</v>
      </c>
      <c r="D3165" s="1" t="s">
        <v>4790</v>
      </c>
      <c r="E3165" s="1" t="s">
        <v>4790</v>
      </c>
      <c r="F3165" t="s">
        <v>4791</v>
      </c>
      <c r="G3165" t="s">
        <v>4792</v>
      </c>
      <c r="H3165" t="s">
        <v>121</v>
      </c>
      <c r="I3165" t="s">
        <v>50</v>
      </c>
      <c r="J3165">
        <v>21.25</v>
      </c>
      <c r="K3165" t="e">
        <f>IF(COUNTIF(#REF!,Tabela2[[#This Row],[IdxWspolny]])&gt;0,"ELEM_lub_PRD","TECHN")</f>
        <v>#REF!</v>
      </c>
      <c r="L3165" t="e">
        <f>IF(COUNTIF(#REF!,Tabela2[[#This Row],[KOD_PRODUKTU]])&gt;0,"ELEMENT","PRODUKT")</f>
        <v>#REF!</v>
      </c>
      <c r="M3165" t="e">
        <f>COUNTIF(#REF!,Tabela2[[#This Row],[KOD_PRODUKTU]])</f>
        <v>#REF!</v>
      </c>
    </row>
    <row r="3166" spans="1:14" x14ac:dyDescent="0.25">
      <c r="A3166" s="1" t="s">
        <v>4783</v>
      </c>
      <c r="B3166" t="s">
        <v>4784</v>
      </c>
      <c r="C3166" s="1" t="s">
        <v>4793</v>
      </c>
      <c r="D3166" s="1" t="s">
        <v>4793</v>
      </c>
      <c r="E3166" s="1" t="s">
        <v>4793</v>
      </c>
      <c r="F3166" t="s">
        <v>4794</v>
      </c>
      <c r="G3166" t="s">
        <v>4792</v>
      </c>
      <c r="H3166" t="s">
        <v>121</v>
      </c>
      <c r="I3166" t="s">
        <v>50</v>
      </c>
      <c r="J3166">
        <v>21.25</v>
      </c>
      <c r="K3166" t="e">
        <f>IF(COUNTIF(#REF!,Tabela2[[#This Row],[IdxWspolny]])&gt;0,"ELEM_lub_PRD","TECHN")</f>
        <v>#REF!</v>
      </c>
      <c r="L3166" t="e">
        <f>IF(COUNTIF(#REF!,Tabela2[[#This Row],[KOD_PRODUKTU]])&gt;0,"ELEMENT","PRODUKT")</f>
        <v>#REF!</v>
      </c>
      <c r="M3166" t="e">
        <f>COUNTIF(#REF!,Tabela2[[#This Row],[KOD_PRODUKTU]])</f>
        <v>#REF!</v>
      </c>
    </row>
    <row r="3167" spans="1:14" hidden="1" x14ac:dyDescent="0.25">
      <c r="A3167" s="1" t="s">
        <v>4783</v>
      </c>
      <c r="B3167" t="s">
        <v>4784</v>
      </c>
      <c r="C3167" s="1" t="s">
        <v>502</v>
      </c>
      <c r="D3167" s="1" t="s">
        <v>502</v>
      </c>
      <c r="E3167" s="1" t="s">
        <v>502</v>
      </c>
      <c r="F3167" t="s">
        <v>503</v>
      </c>
      <c r="G3167" t="s">
        <v>31</v>
      </c>
      <c r="H3167" t="s">
        <v>121</v>
      </c>
      <c r="I3167" t="s">
        <v>50</v>
      </c>
      <c r="J3167">
        <v>10.6</v>
      </c>
      <c r="K3167" t="e">
        <f>IF(COUNTIF(#REF!,Tabela2[[#This Row],[IdxWspolny]])&gt;0,"ELEM_lub_PRD","TECHN")</f>
        <v>#REF!</v>
      </c>
      <c r="L3167" t="e">
        <f>IF(COUNTIF(#REF!,Tabela2[[#This Row],[KOD_PRODUKTU]])&gt;0,"ELEMENT","PRODUKT")</f>
        <v>#REF!</v>
      </c>
      <c r="M3167" t="e">
        <f>COUNTIF(#REF!,Tabela2[[#This Row],[KOD_PRODUKTU]])</f>
        <v>#REF!</v>
      </c>
      <c r="N3167" t="s">
        <v>55</v>
      </c>
    </row>
    <row r="3168" spans="1:14" x14ac:dyDescent="0.25">
      <c r="A3168" s="1" t="s">
        <v>4783</v>
      </c>
      <c r="B3168" t="s">
        <v>4784</v>
      </c>
      <c r="C3168" s="1" t="s">
        <v>7</v>
      </c>
      <c r="D3168" s="1" t="s">
        <v>7</v>
      </c>
      <c r="E3168" s="1" t="s">
        <v>7</v>
      </c>
      <c r="F3168" t="s">
        <v>8</v>
      </c>
      <c r="G3168" t="s">
        <v>9</v>
      </c>
      <c r="H3168" t="s">
        <v>10</v>
      </c>
      <c r="I3168" t="s">
        <v>4795</v>
      </c>
      <c r="J3168">
        <v>48.65</v>
      </c>
      <c r="K3168" t="e">
        <f>IF(COUNTIF(#REF!,Tabela2[[#This Row],[IdxWspolny]])&gt;0,"ELEM_lub_PRD","TECHN")</f>
        <v>#REF!</v>
      </c>
      <c r="L3168" t="e">
        <f>IF(COUNTIF(#REF!,Tabela2[[#This Row],[KOD_PRODUKTU]])&gt;0,"ELEMENT","PRODUKT")</f>
        <v>#REF!</v>
      </c>
      <c r="M3168" t="e">
        <f>COUNTIF(#REF!,Tabela2[[#This Row],[KOD_PRODUKTU]])</f>
        <v>#REF!</v>
      </c>
    </row>
    <row r="3169" spans="1:14" x14ac:dyDescent="0.25">
      <c r="A3169" s="1" t="s">
        <v>980</v>
      </c>
      <c r="B3169" t="s">
        <v>981</v>
      </c>
      <c r="C3169" s="1" t="s">
        <v>2</v>
      </c>
      <c r="D3169" s="1" t="s">
        <v>2</v>
      </c>
      <c r="E3169" s="1" t="s">
        <v>2</v>
      </c>
      <c r="F3169" t="s">
        <v>3</v>
      </c>
      <c r="G3169" t="s">
        <v>4</v>
      </c>
      <c r="H3169" t="s">
        <v>5</v>
      </c>
      <c r="I3169" t="s">
        <v>4796</v>
      </c>
      <c r="J3169">
        <v>4.8</v>
      </c>
      <c r="K3169" t="e">
        <f>IF(COUNTIF(#REF!,Tabela2[[#This Row],[IdxWspolny]])&gt;0,"ELEM_lub_PRD","TECHN")</f>
        <v>#REF!</v>
      </c>
      <c r="L3169" t="e">
        <f>IF(COUNTIF(#REF!,Tabela2[[#This Row],[KOD_PRODUKTU]])&gt;0,"ELEMENT","PRODUKT")</f>
        <v>#REF!</v>
      </c>
      <c r="M3169" t="e">
        <f>COUNTIF(#REF!,Tabela2[[#This Row],[KOD_PRODUKTU]])</f>
        <v>#REF!</v>
      </c>
    </row>
    <row r="3170" spans="1:14" x14ac:dyDescent="0.25">
      <c r="A3170" s="1" t="s">
        <v>980</v>
      </c>
      <c r="B3170" t="s">
        <v>981</v>
      </c>
      <c r="C3170" s="1" t="s">
        <v>432</v>
      </c>
      <c r="D3170" s="1" t="s">
        <v>432</v>
      </c>
      <c r="E3170" s="1" t="s">
        <v>432</v>
      </c>
      <c r="F3170" t="s">
        <v>433</v>
      </c>
      <c r="G3170" t="s">
        <v>434</v>
      </c>
      <c r="H3170" t="s">
        <v>435</v>
      </c>
      <c r="I3170" t="s">
        <v>4797</v>
      </c>
      <c r="J3170">
        <v>1.55</v>
      </c>
      <c r="K3170" t="e">
        <f>IF(COUNTIF(#REF!,Tabela2[[#This Row],[IdxWspolny]])&gt;0,"ELEM_lub_PRD","TECHN")</f>
        <v>#REF!</v>
      </c>
      <c r="L3170" t="e">
        <f>IF(COUNTIF(#REF!,Tabela2[[#This Row],[KOD_PRODUKTU]])&gt;0,"ELEMENT","PRODUKT")</f>
        <v>#REF!</v>
      </c>
      <c r="M3170" t="e">
        <f>COUNTIF(#REF!,Tabela2[[#This Row],[KOD_PRODUKTU]])</f>
        <v>#REF!</v>
      </c>
    </row>
    <row r="3171" spans="1:14" x14ac:dyDescent="0.25">
      <c r="A3171" s="1" t="s">
        <v>980</v>
      </c>
      <c r="B3171" t="s">
        <v>981</v>
      </c>
      <c r="C3171" s="1" t="s">
        <v>7</v>
      </c>
      <c r="D3171" s="1" t="s">
        <v>7</v>
      </c>
      <c r="E3171" s="1" t="s">
        <v>7</v>
      </c>
      <c r="F3171" t="s">
        <v>8</v>
      </c>
      <c r="G3171" t="s">
        <v>9</v>
      </c>
      <c r="H3171" t="s">
        <v>10</v>
      </c>
      <c r="I3171" t="s">
        <v>4798</v>
      </c>
      <c r="J3171">
        <v>11.65</v>
      </c>
      <c r="K3171" t="e">
        <f>IF(COUNTIF(#REF!,Tabela2[[#This Row],[IdxWspolny]])&gt;0,"ELEM_lub_PRD","TECHN")</f>
        <v>#REF!</v>
      </c>
      <c r="L3171" t="e">
        <f>IF(COUNTIF(#REF!,Tabela2[[#This Row],[KOD_PRODUKTU]])&gt;0,"ELEMENT","PRODUKT")</f>
        <v>#REF!</v>
      </c>
      <c r="M3171" t="e">
        <f>COUNTIF(#REF!,Tabela2[[#This Row],[KOD_PRODUKTU]])</f>
        <v>#REF!</v>
      </c>
    </row>
    <row r="3172" spans="1:14" x14ac:dyDescent="0.25">
      <c r="A3172" s="1" t="s">
        <v>4799</v>
      </c>
      <c r="B3172" t="s">
        <v>4800</v>
      </c>
      <c r="C3172" s="1" t="s">
        <v>1487</v>
      </c>
      <c r="D3172" s="1" t="s">
        <v>1487</v>
      </c>
      <c r="E3172" s="1" t="s">
        <v>1487</v>
      </c>
      <c r="F3172" t="s">
        <v>1488</v>
      </c>
      <c r="G3172" t="s">
        <v>31</v>
      </c>
      <c r="H3172" t="s">
        <v>5</v>
      </c>
      <c r="I3172" t="s">
        <v>4801</v>
      </c>
      <c r="J3172">
        <v>5.85</v>
      </c>
      <c r="K3172" t="e">
        <f>IF(COUNTIF(#REF!,Tabela2[[#This Row],[IdxWspolny]])&gt;0,"ELEM_lub_PRD","TECHN")</f>
        <v>#REF!</v>
      </c>
      <c r="L3172" t="e">
        <f>IF(COUNTIF(#REF!,Tabela2[[#This Row],[KOD_PRODUKTU]])&gt;0,"ELEMENT","PRODUKT")</f>
        <v>#REF!</v>
      </c>
      <c r="M3172" t="e">
        <f>COUNTIF(#REF!,Tabela2[[#This Row],[KOD_PRODUKTU]])</f>
        <v>#REF!</v>
      </c>
    </row>
    <row r="3173" spans="1:14" x14ac:dyDescent="0.25">
      <c r="A3173" s="1" t="s">
        <v>4799</v>
      </c>
      <c r="B3173" t="s">
        <v>4800</v>
      </c>
      <c r="C3173" s="1" t="s">
        <v>1989</v>
      </c>
      <c r="D3173" s="1" t="s">
        <v>1989</v>
      </c>
      <c r="E3173" s="1" t="s">
        <v>1989</v>
      </c>
      <c r="F3173" t="s">
        <v>1990</v>
      </c>
      <c r="G3173" t="s">
        <v>1991</v>
      </c>
      <c r="H3173" t="s">
        <v>435</v>
      </c>
      <c r="I3173" t="s">
        <v>4802</v>
      </c>
      <c r="J3173">
        <v>0.7</v>
      </c>
      <c r="K3173" t="e">
        <f>IF(COUNTIF(#REF!,Tabela2[[#This Row],[IdxWspolny]])&gt;0,"ELEM_lub_PRD","TECHN")</f>
        <v>#REF!</v>
      </c>
      <c r="L3173" t="e">
        <f>IF(COUNTIF(#REF!,Tabela2[[#This Row],[KOD_PRODUKTU]])&gt;0,"ELEMENT","PRODUKT")</f>
        <v>#REF!</v>
      </c>
      <c r="M3173" t="e">
        <f>COUNTIF(#REF!,Tabela2[[#This Row],[KOD_PRODUKTU]])</f>
        <v>#REF!</v>
      </c>
    </row>
    <row r="3174" spans="1:14" x14ac:dyDescent="0.25">
      <c r="A3174" s="1" t="s">
        <v>4799</v>
      </c>
      <c r="B3174" t="s">
        <v>4800</v>
      </c>
      <c r="C3174" s="1" t="s">
        <v>7</v>
      </c>
      <c r="D3174" s="1" t="s">
        <v>7</v>
      </c>
      <c r="E3174" s="1" t="s">
        <v>7</v>
      </c>
      <c r="F3174" t="s">
        <v>8</v>
      </c>
      <c r="G3174" t="s">
        <v>9</v>
      </c>
      <c r="H3174" t="s">
        <v>10</v>
      </c>
      <c r="I3174" t="s">
        <v>4803</v>
      </c>
      <c r="J3174">
        <v>8.73</v>
      </c>
      <c r="K3174" t="e">
        <f>IF(COUNTIF(#REF!,Tabela2[[#This Row],[IdxWspolny]])&gt;0,"ELEM_lub_PRD","TECHN")</f>
        <v>#REF!</v>
      </c>
      <c r="L3174" t="e">
        <f>IF(COUNTIF(#REF!,Tabela2[[#This Row],[KOD_PRODUKTU]])&gt;0,"ELEMENT","PRODUKT")</f>
        <v>#REF!</v>
      </c>
      <c r="M3174" t="e">
        <f>COUNTIF(#REF!,Tabela2[[#This Row],[KOD_PRODUKTU]])</f>
        <v>#REF!</v>
      </c>
    </row>
    <row r="3175" spans="1:14" x14ac:dyDescent="0.25">
      <c r="A3175" s="1" t="s">
        <v>4804</v>
      </c>
      <c r="B3175" t="s">
        <v>4805</v>
      </c>
      <c r="C3175" s="1" t="s">
        <v>1862</v>
      </c>
      <c r="D3175" s="1" t="s">
        <v>1862</v>
      </c>
      <c r="E3175" s="1" t="s">
        <v>1862</v>
      </c>
      <c r="F3175" t="s">
        <v>1863</v>
      </c>
      <c r="G3175" t="s">
        <v>3549</v>
      </c>
      <c r="H3175" t="s">
        <v>121</v>
      </c>
      <c r="I3175" t="s">
        <v>2773</v>
      </c>
      <c r="J3175">
        <v>0.17</v>
      </c>
      <c r="K3175" t="e">
        <f>IF(COUNTIF(#REF!,Tabela2[[#This Row],[IdxWspolny]])&gt;0,"ELEM_lub_PRD","TECHN")</f>
        <v>#REF!</v>
      </c>
      <c r="L3175" t="e">
        <f>IF(COUNTIF(#REF!,Tabela2[[#This Row],[KOD_PRODUKTU]])&gt;0,"ELEMENT","PRODUKT")</f>
        <v>#REF!</v>
      </c>
      <c r="M3175" t="e">
        <f>COUNTIF(#REF!,Tabela2[[#This Row],[KOD_PRODUKTU]])</f>
        <v>#REF!</v>
      </c>
    </row>
    <row r="3176" spans="1:14" x14ac:dyDescent="0.25">
      <c r="A3176" s="1" t="s">
        <v>4804</v>
      </c>
      <c r="B3176" t="s">
        <v>4805</v>
      </c>
      <c r="C3176" s="1" t="s">
        <v>4806</v>
      </c>
      <c r="D3176" s="1" t="s">
        <v>4806</v>
      </c>
      <c r="E3176" s="1" t="s">
        <v>4806</v>
      </c>
      <c r="F3176" t="s">
        <v>4807</v>
      </c>
      <c r="G3176" t="s">
        <v>2857</v>
      </c>
      <c r="H3176" t="s">
        <v>121</v>
      </c>
      <c r="I3176" t="s">
        <v>50</v>
      </c>
      <c r="J3176">
        <v>5.94</v>
      </c>
      <c r="K3176" t="e">
        <f>IF(COUNTIF(#REF!,Tabela2[[#This Row],[IdxWspolny]])&gt;0,"ELEM_lub_PRD","TECHN")</f>
        <v>#REF!</v>
      </c>
      <c r="L3176" t="e">
        <f>IF(COUNTIF(#REF!,Tabela2[[#This Row],[KOD_PRODUKTU]])&gt;0,"ELEMENT","PRODUKT")</f>
        <v>#REF!</v>
      </c>
      <c r="M3176" t="e">
        <f>COUNTIF(#REF!,Tabela2[[#This Row],[KOD_PRODUKTU]])</f>
        <v>#REF!</v>
      </c>
    </row>
    <row r="3177" spans="1:14" x14ac:dyDescent="0.25">
      <c r="A3177" s="1" t="s">
        <v>4804</v>
      </c>
      <c r="B3177" t="s">
        <v>4805</v>
      </c>
      <c r="C3177" s="1" t="s">
        <v>2741</v>
      </c>
      <c r="D3177" s="1" t="s">
        <v>2741</v>
      </c>
      <c r="E3177" s="1" t="s">
        <v>2741</v>
      </c>
      <c r="F3177" t="s">
        <v>2742</v>
      </c>
      <c r="G3177" t="s">
        <v>2743</v>
      </c>
      <c r="H3177" t="s">
        <v>121</v>
      </c>
      <c r="I3177" t="s">
        <v>92</v>
      </c>
      <c r="J3177">
        <v>0.18</v>
      </c>
      <c r="K3177" t="e">
        <f>IF(COUNTIF(#REF!,Tabela2[[#This Row],[IdxWspolny]])&gt;0,"ELEM_lub_PRD","TECHN")</f>
        <v>#REF!</v>
      </c>
      <c r="L3177" t="e">
        <f>IF(COUNTIF(#REF!,Tabela2[[#This Row],[KOD_PRODUKTU]])&gt;0,"ELEMENT","PRODUKT")</f>
        <v>#REF!</v>
      </c>
      <c r="M3177" t="e">
        <f>COUNTIF(#REF!,Tabela2[[#This Row],[KOD_PRODUKTU]])</f>
        <v>#REF!</v>
      </c>
    </row>
    <row r="3178" spans="1:14" x14ac:dyDescent="0.25">
      <c r="A3178" s="1" t="s">
        <v>4804</v>
      </c>
      <c r="B3178" t="s">
        <v>4805</v>
      </c>
      <c r="C3178" s="1" t="s">
        <v>4808</v>
      </c>
      <c r="D3178" s="1" t="s">
        <v>4808</v>
      </c>
      <c r="E3178" s="1" t="s">
        <v>4808</v>
      </c>
      <c r="F3178" t="s">
        <v>4809</v>
      </c>
      <c r="G3178" t="s">
        <v>2329</v>
      </c>
      <c r="H3178" t="s">
        <v>49</v>
      </c>
      <c r="I3178" t="s">
        <v>50</v>
      </c>
      <c r="J3178">
        <v>0.6</v>
      </c>
      <c r="K3178" t="e">
        <f>IF(COUNTIF(#REF!,Tabela2[[#This Row],[IdxWspolny]])&gt;0,"ELEM_lub_PRD","TECHN")</f>
        <v>#REF!</v>
      </c>
      <c r="L3178" t="e">
        <f>IF(COUNTIF(#REF!,Tabela2[[#This Row],[KOD_PRODUKTU]])&gt;0,"ELEMENT","PRODUKT")</f>
        <v>#REF!</v>
      </c>
      <c r="M3178" t="e">
        <f>COUNTIF(#REF!,Tabela2[[#This Row],[KOD_PRODUKTU]])</f>
        <v>#REF!</v>
      </c>
    </row>
    <row r="3179" spans="1:14" hidden="1" x14ac:dyDescent="0.25">
      <c r="A3179" s="1" t="s">
        <v>4804</v>
      </c>
      <c r="B3179" t="s">
        <v>4805</v>
      </c>
      <c r="C3179" s="1" t="s">
        <v>172</v>
      </c>
      <c r="D3179" s="1" t="s">
        <v>172</v>
      </c>
      <c r="E3179" s="1" t="s">
        <v>172</v>
      </c>
      <c r="F3179" t="s">
        <v>173</v>
      </c>
      <c r="G3179" t="s">
        <v>87</v>
      </c>
      <c r="H3179" t="s">
        <v>49</v>
      </c>
      <c r="I3179" t="s">
        <v>50</v>
      </c>
      <c r="J3179">
        <v>8.9</v>
      </c>
      <c r="K3179" t="e">
        <f>IF(COUNTIF(#REF!,Tabela2[[#This Row],[IdxWspolny]])&gt;0,"ELEM_lub_PRD","TECHN")</f>
        <v>#REF!</v>
      </c>
      <c r="L3179" t="e">
        <f>IF(COUNTIF(#REF!,Tabela2[[#This Row],[KOD_PRODUKTU]])&gt;0,"ELEMENT","PRODUKT")</f>
        <v>#REF!</v>
      </c>
      <c r="M3179" t="e">
        <f>COUNTIF(#REF!,Tabela2[[#This Row],[KOD_PRODUKTU]])</f>
        <v>#REF!</v>
      </c>
      <c r="N3179" t="s">
        <v>55</v>
      </c>
    </row>
    <row r="3180" spans="1:14" hidden="1" x14ac:dyDescent="0.25">
      <c r="A3180" s="1" t="s">
        <v>4804</v>
      </c>
      <c r="B3180" t="s">
        <v>4805</v>
      </c>
      <c r="C3180" s="1" t="s">
        <v>174</v>
      </c>
      <c r="D3180" s="1" t="s">
        <v>174</v>
      </c>
      <c r="E3180" s="1" t="s">
        <v>174</v>
      </c>
      <c r="F3180" t="s">
        <v>175</v>
      </c>
      <c r="G3180" t="s">
        <v>176</v>
      </c>
      <c r="H3180" t="s">
        <v>49</v>
      </c>
      <c r="I3180" t="s">
        <v>50</v>
      </c>
      <c r="J3180">
        <v>3.6</v>
      </c>
      <c r="K3180" t="e">
        <f>IF(COUNTIF(#REF!,Tabela2[[#This Row],[IdxWspolny]])&gt;0,"ELEM_lub_PRD","TECHN")</f>
        <v>#REF!</v>
      </c>
      <c r="L3180" t="e">
        <f>IF(COUNTIF(#REF!,Tabela2[[#This Row],[KOD_PRODUKTU]])&gt;0,"ELEMENT","PRODUKT")</f>
        <v>#REF!</v>
      </c>
      <c r="M3180" t="e">
        <f>COUNTIF(#REF!,Tabela2[[#This Row],[KOD_PRODUKTU]])</f>
        <v>#REF!</v>
      </c>
      <c r="N3180" t="s">
        <v>55</v>
      </c>
    </row>
    <row r="3181" spans="1:14" hidden="1" x14ac:dyDescent="0.25">
      <c r="A3181" s="1" t="s">
        <v>4804</v>
      </c>
      <c r="B3181" t="s">
        <v>4805</v>
      </c>
      <c r="C3181" s="1" t="s">
        <v>177</v>
      </c>
      <c r="D3181" s="1" t="s">
        <v>177</v>
      </c>
      <c r="E3181" s="1" t="s">
        <v>177</v>
      </c>
      <c r="F3181" t="s">
        <v>178</v>
      </c>
      <c r="G3181" t="s">
        <v>179</v>
      </c>
      <c r="H3181" t="s">
        <v>49</v>
      </c>
      <c r="I3181" t="s">
        <v>92</v>
      </c>
      <c r="J3181">
        <v>5.3</v>
      </c>
      <c r="K3181" t="e">
        <f>IF(COUNTIF(#REF!,Tabela2[[#This Row],[IdxWspolny]])&gt;0,"ELEM_lub_PRD","TECHN")</f>
        <v>#REF!</v>
      </c>
      <c r="L3181" t="e">
        <f>IF(COUNTIF(#REF!,Tabela2[[#This Row],[KOD_PRODUKTU]])&gt;0,"ELEMENT","PRODUKT")</f>
        <v>#REF!</v>
      </c>
      <c r="M3181" t="e">
        <f>COUNTIF(#REF!,Tabela2[[#This Row],[KOD_PRODUKTU]])</f>
        <v>#REF!</v>
      </c>
      <c r="N3181" t="s">
        <v>55</v>
      </c>
    </row>
    <row r="3182" spans="1:14" hidden="1" x14ac:dyDescent="0.25">
      <c r="A3182" s="1" t="s">
        <v>4804</v>
      </c>
      <c r="B3182" t="s">
        <v>4805</v>
      </c>
      <c r="C3182" s="1" t="s">
        <v>180</v>
      </c>
      <c r="D3182" s="1" t="s">
        <v>180</v>
      </c>
      <c r="E3182" s="1" t="s">
        <v>180</v>
      </c>
      <c r="F3182" t="s">
        <v>181</v>
      </c>
      <c r="G3182" t="s">
        <v>182</v>
      </c>
      <c r="H3182" t="s">
        <v>49</v>
      </c>
      <c r="I3182" t="s">
        <v>50</v>
      </c>
      <c r="J3182">
        <v>13.8</v>
      </c>
      <c r="K3182" t="e">
        <f>IF(COUNTIF(#REF!,Tabela2[[#This Row],[IdxWspolny]])&gt;0,"ELEM_lub_PRD","TECHN")</f>
        <v>#REF!</v>
      </c>
      <c r="L3182" t="e">
        <f>IF(COUNTIF(#REF!,Tabela2[[#This Row],[KOD_PRODUKTU]])&gt;0,"ELEMENT","PRODUKT")</f>
        <v>#REF!</v>
      </c>
      <c r="M3182" t="e">
        <f>COUNTIF(#REF!,Tabela2[[#This Row],[KOD_PRODUKTU]])</f>
        <v>#REF!</v>
      </c>
      <c r="N3182" t="s">
        <v>55</v>
      </c>
    </row>
    <row r="3183" spans="1:14" hidden="1" x14ac:dyDescent="0.25">
      <c r="A3183" s="1" t="s">
        <v>4804</v>
      </c>
      <c r="B3183" t="s">
        <v>4805</v>
      </c>
      <c r="C3183" s="1" t="s">
        <v>183</v>
      </c>
      <c r="D3183" s="1" t="s">
        <v>183</v>
      </c>
      <c r="E3183" s="1" t="s">
        <v>183</v>
      </c>
      <c r="F3183" t="s">
        <v>184</v>
      </c>
      <c r="G3183" t="s">
        <v>185</v>
      </c>
      <c r="H3183" t="s">
        <v>49</v>
      </c>
      <c r="I3183" t="s">
        <v>50</v>
      </c>
      <c r="J3183">
        <v>3.9</v>
      </c>
      <c r="K3183" t="e">
        <f>IF(COUNTIF(#REF!,Tabela2[[#This Row],[IdxWspolny]])&gt;0,"ELEM_lub_PRD","TECHN")</f>
        <v>#REF!</v>
      </c>
      <c r="L3183" t="e">
        <f>IF(COUNTIF(#REF!,Tabela2[[#This Row],[KOD_PRODUKTU]])&gt;0,"ELEMENT","PRODUKT")</f>
        <v>#REF!</v>
      </c>
      <c r="M3183" t="e">
        <f>COUNTIF(#REF!,Tabela2[[#This Row],[KOD_PRODUKTU]])</f>
        <v>#REF!</v>
      </c>
      <c r="N3183" t="s">
        <v>55</v>
      </c>
    </row>
    <row r="3184" spans="1:14" x14ac:dyDescent="0.25">
      <c r="A3184" s="1" t="s">
        <v>4804</v>
      </c>
      <c r="B3184" t="s">
        <v>4805</v>
      </c>
      <c r="C3184" s="1" t="s">
        <v>432</v>
      </c>
      <c r="D3184" s="1" t="s">
        <v>432</v>
      </c>
      <c r="E3184" s="1" t="s">
        <v>432</v>
      </c>
      <c r="F3184" t="s">
        <v>433</v>
      </c>
      <c r="G3184" t="s">
        <v>434</v>
      </c>
      <c r="H3184" t="s">
        <v>435</v>
      </c>
      <c r="I3184" t="s">
        <v>50</v>
      </c>
      <c r="J3184">
        <v>1.1000000000000001</v>
      </c>
      <c r="K3184" t="e">
        <f>IF(COUNTIF(#REF!,Tabela2[[#This Row],[IdxWspolny]])&gt;0,"ELEM_lub_PRD","TECHN")</f>
        <v>#REF!</v>
      </c>
      <c r="L3184" t="e">
        <f>IF(COUNTIF(#REF!,Tabela2[[#This Row],[KOD_PRODUKTU]])&gt;0,"ELEMENT","PRODUKT")</f>
        <v>#REF!</v>
      </c>
      <c r="M3184" t="e">
        <f>COUNTIF(#REF!,Tabela2[[#This Row],[KOD_PRODUKTU]])</f>
        <v>#REF!</v>
      </c>
    </row>
    <row r="3185" spans="1:13" x14ac:dyDescent="0.25">
      <c r="A3185" s="1" t="s">
        <v>4804</v>
      </c>
      <c r="B3185" t="s">
        <v>4805</v>
      </c>
      <c r="C3185" s="1" t="s">
        <v>7</v>
      </c>
      <c r="D3185" s="1" t="s">
        <v>7</v>
      </c>
      <c r="E3185" s="1" t="s">
        <v>7</v>
      </c>
      <c r="F3185" t="s">
        <v>8</v>
      </c>
      <c r="G3185" t="s">
        <v>9</v>
      </c>
      <c r="H3185" t="s">
        <v>10</v>
      </c>
      <c r="I3185" t="s">
        <v>652</v>
      </c>
      <c r="J3185">
        <v>1.38</v>
      </c>
      <c r="K3185" t="e">
        <f>IF(COUNTIF(#REF!,Tabela2[[#This Row],[IdxWspolny]])&gt;0,"ELEM_lub_PRD","TECHN")</f>
        <v>#REF!</v>
      </c>
      <c r="L3185" t="e">
        <f>IF(COUNTIF(#REF!,Tabela2[[#This Row],[KOD_PRODUKTU]])&gt;0,"ELEMENT","PRODUKT")</f>
        <v>#REF!</v>
      </c>
      <c r="M3185" t="e">
        <f>COUNTIF(#REF!,Tabela2[[#This Row],[KOD_PRODUKTU]])</f>
        <v>#REF!</v>
      </c>
    </row>
    <row r="3186" spans="1:13" x14ac:dyDescent="0.25">
      <c r="A3186" s="1" t="s">
        <v>4804</v>
      </c>
      <c r="B3186" t="s">
        <v>4805</v>
      </c>
      <c r="C3186" s="1" t="s">
        <v>7</v>
      </c>
      <c r="D3186" s="1" t="s">
        <v>7</v>
      </c>
      <c r="E3186" s="1" t="s">
        <v>7</v>
      </c>
      <c r="F3186" t="s">
        <v>8</v>
      </c>
      <c r="G3186" t="s">
        <v>9</v>
      </c>
      <c r="H3186" t="s">
        <v>10</v>
      </c>
      <c r="I3186" t="s">
        <v>367</v>
      </c>
      <c r="J3186">
        <v>2.2999999999999998</v>
      </c>
      <c r="K3186" t="e">
        <f>IF(COUNTIF(#REF!,Tabela2[[#This Row],[IdxWspolny]])&gt;0,"ELEM_lub_PRD","TECHN")</f>
        <v>#REF!</v>
      </c>
      <c r="L3186" t="e">
        <f>IF(COUNTIF(#REF!,Tabela2[[#This Row],[KOD_PRODUKTU]])&gt;0,"ELEMENT","PRODUKT")</f>
        <v>#REF!</v>
      </c>
      <c r="M3186" t="e">
        <f>COUNTIF(#REF!,Tabela2[[#This Row],[KOD_PRODUKTU]])</f>
        <v>#REF!</v>
      </c>
    </row>
    <row r="3187" spans="1:13" x14ac:dyDescent="0.25">
      <c r="A3187" s="1" t="s">
        <v>4804</v>
      </c>
      <c r="B3187" t="s">
        <v>4805</v>
      </c>
      <c r="C3187" s="1" t="s">
        <v>7</v>
      </c>
      <c r="D3187" s="1" t="s">
        <v>7</v>
      </c>
      <c r="E3187" s="1" t="s">
        <v>7</v>
      </c>
      <c r="F3187" t="s">
        <v>8</v>
      </c>
      <c r="G3187" t="s">
        <v>9</v>
      </c>
      <c r="H3187" t="s">
        <v>10</v>
      </c>
      <c r="I3187" t="s">
        <v>19</v>
      </c>
      <c r="J3187">
        <v>4.5999999999999996</v>
      </c>
      <c r="K3187" t="e">
        <f>IF(COUNTIF(#REF!,Tabela2[[#This Row],[IdxWspolny]])&gt;0,"ELEM_lub_PRD","TECHN")</f>
        <v>#REF!</v>
      </c>
      <c r="L3187" t="e">
        <f>IF(COUNTIF(#REF!,Tabela2[[#This Row],[KOD_PRODUKTU]])&gt;0,"ELEMENT","PRODUKT")</f>
        <v>#REF!</v>
      </c>
      <c r="M3187" t="e">
        <f>COUNTIF(#REF!,Tabela2[[#This Row],[KOD_PRODUKTU]])</f>
        <v>#REF!</v>
      </c>
    </row>
    <row r="3188" spans="1:13" x14ac:dyDescent="0.25">
      <c r="A3188" s="1" t="s">
        <v>4810</v>
      </c>
      <c r="B3188" t="s">
        <v>4811</v>
      </c>
      <c r="C3188" s="1" t="s">
        <v>1345</v>
      </c>
      <c r="D3188" s="1" t="s">
        <v>1345</v>
      </c>
      <c r="E3188" s="1" t="s">
        <v>1345</v>
      </c>
      <c r="F3188" t="s">
        <v>1346</v>
      </c>
      <c r="G3188" t="s">
        <v>1347</v>
      </c>
      <c r="H3188" t="s">
        <v>5</v>
      </c>
      <c r="I3188" t="s">
        <v>4812</v>
      </c>
      <c r="J3188">
        <v>0.1</v>
      </c>
      <c r="K3188" t="e">
        <f>IF(COUNTIF(#REF!,Tabela2[[#This Row],[IdxWspolny]])&gt;0,"ELEM_lub_PRD","TECHN")</f>
        <v>#REF!</v>
      </c>
      <c r="L3188" t="e">
        <f>IF(COUNTIF(#REF!,Tabela2[[#This Row],[KOD_PRODUKTU]])&gt;0,"ELEMENT","PRODUKT")</f>
        <v>#REF!</v>
      </c>
      <c r="M3188" t="e">
        <f>COUNTIF(#REF!,Tabela2[[#This Row],[KOD_PRODUKTU]])</f>
        <v>#REF!</v>
      </c>
    </row>
    <row r="3189" spans="1:13" x14ac:dyDescent="0.25">
      <c r="A3189" s="1" t="s">
        <v>4810</v>
      </c>
      <c r="B3189" t="s">
        <v>4811</v>
      </c>
      <c r="C3189" s="1" t="s">
        <v>7</v>
      </c>
      <c r="D3189" s="1" t="s">
        <v>7</v>
      </c>
      <c r="E3189" s="1" t="s">
        <v>7</v>
      </c>
      <c r="F3189" t="s">
        <v>8</v>
      </c>
      <c r="G3189" t="s">
        <v>9</v>
      </c>
      <c r="H3189" t="s">
        <v>10</v>
      </c>
      <c r="I3189" t="s">
        <v>4813</v>
      </c>
      <c r="J3189">
        <v>0.5</v>
      </c>
      <c r="K3189" t="e">
        <f>IF(COUNTIF(#REF!,Tabela2[[#This Row],[IdxWspolny]])&gt;0,"ELEM_lub_PRD","TECHN")</f>
        <v>#REF!</v>
      </c>
      <c r="L3189" t="e">
        <f>IF(COUNTIF(#REF!,Tabela2[[#This Row],[KOD_PRODUKTU]])&gt;0,"ELEMENT","PRODUKT")</f>
        <v>#REF!</v>
      </c>
      <c r="M3189" t="e">
        <f>COUNTIF(#REF!,Tabela2[[#This Row],[KOD_PRODUKTU]])</f>
        <v>#REF!</v>
      </c>
    </row>
    <row r="3190" spans="1:13" x14ac:dyDescent="0.25">
      <c r="A3190" s="1" t="s">
        <v>4814</v>
      </c>
      <c r="B3190" t="s">
        <v>4815</v>
      </c>
      <c r="C3190" s="1" t="s">
        <v>1345</v>
      </c>
      <c r="D3190" s="1" t="s">
        <v>1345</v>
      </c>
      <c r="E3190" s="1" t="s">
        <v>1345</v>
      </c>
      <c r="F3190" t="s">
        <v>1346</v>
      </c>
      <c r="G3190" t="s">
        <v>1369</v>
      </c>
      <c r="H3190" t="s">
        <v>5</v>
      </c>
      <c r="I3190" t="s">
        <v>4816</v>
      </c>
      <c r="J3190">
        <v>0.1</v>
      </c>
      <c r="K3190" t="e">
        <f>IF(COUNTIF(#REF!,Tabela2[[#This Row],[IdxWspolny]])&gt;0,"ELEM_lub_PRD","TECHN")</f>
        <v>#REF!</v>
      </c>
      <c r="L3190" t="e">
        <f>IF(COUNTIF(#REF!,Tabela2[[#This Row],[KOD_PRODUKTU]])&gt;0,"ELEMENT","PRODUKT")</f>
        <v>#REF!</v>
      </c>
      <c r="M3190" t="e">
        <f>COUNTIF(#REF!,Tabela2[[#This Row],[KOD_PRODUKTU]])</f>
        <v>#REF!</v>
      </c>
    </row>
    <row r="3191" spans="1:13" x14ac:dyDescent="0.25">
      <c r="A3191" s="1" t="s">
        <v>4814</v>
      </c>
      <c r="B3191" t="s">
        <v>4815</v>
      </c>
      <c r="C3191" s="1" t="s">
        <v>7</v>
      </c>
      <c r="D3191" s="1" t="s">
        <v>7</v>
      </c>
      <c r="E3191" s="1" t="s">
        <v>7</v>
      </c>
      <c r="F3191" t="s">
        <v>8</v>
      </c>
      <c r="G3191" t="s">
        <v>9</v>
      </c>
      <c r="H3191" t="s">
        <v>10</v>
      </c>
      <c r="I3191" t="s">
        <v>4813</v>
      </c>
      <c r="J3191">
        <v>0.5</v>
      </c>
      <c r="K3191" t="e">
        <f>IF(COUNTIF(#REF!,Tabela2[[#This Row],[IdxWspolny]])&gt;0,"ELEM_lub_PRD","TECHN")</f>
        <v>#REF!</v>
      </c>
      <c r="L3191" t="e">
        <f>IF(COUNTIF(#REF!,Tabela2[[#This Row],[KOD_PRODUKTU]])&gt;0,"ELEMENT","PRODUKT")</f>
        <v>#REF!</v>
      </c>
      <c r="M3191" t="e">
        <f>COUNTIF(#REF!,Tabela2[[#This Row],[KOD_PRODUKTU]])</f>
        <v>#REF!</v>
      </c>
    </row>
    <row r="3192" spans="1:13" x14ac:dyDescent="0.25">
      <c r="A3192" s="1" t="s">
        <v>4817</v>
      </c>
      <c r="B3192" t="s">
        <v>4818</v>
      </c>
      <c r="C3192" s="1" t="s">
        <v>1249</v>
      </c>
      <c r="D3192" s="1" t="s">
        <v>1249</v>
      </c>
      <c r="E3192" s="1" t="s">
        <v>1249</v>
      </c>
      <c r="F3192" t="s">
        <v>1250</v>
      </c>
      <c r="G3192" t="s">
        <v>1251</v>
      </c>
      <c r="H3192" t="s">
        <v>1252</v>
      </c>
      <c r="I3192" t="s">
        <v>4819</v>
      </c>
      <c r="J3192">
        <v>15.84</v>
      </c>
      <c r="K3192" t="e">
        <f>IF(COUNTIF(#REF!,Tabela2[[#This Row],[IdxWspolny]])&gt;0,"ELEM_lub_PRD","TECHN")</f>
        <v>#REF!</v>
      </c>
      <c r="L3192" t="e">
        <f>IF(COUNTIF(#REF!,Tabela2[[#This Row],[KOD_PRODUKTU]])&gt;0,"ELEMENT","PRODUKT")</f>
        <v>#REF!</v>
      </c>
      <c r="M3192" t="e">
        <f>COUNTIF(#REF!,Tabela2[[#This Row],[KOD_PRODUKTU]])</f>
        <v>#REF!</v>
      </c>
    </row>
    <row r="3193" spans="1:13" x14ac:dyDescent="0.25">
      <c r="A3193" s="1" t="s">
        <v>4817</v>
      </c>
      <c r="B3193" t="s">
        <v>4818</v>
      </c>
      <c r="C3193" s="1" t="s">
        <v>541</v>
      </c>
      <c r="D3193" s="1" t="s">
        <v>541</v>
      </c>
      <c r="E3193" s="1" t="s">
        <v>541</v>
      </c>
      <c r="F3193" t="s">
        <v>542</v>
      </c>
      <c r="G3193" t="s">
        <v>9</v>
      </c>
      <c r="H3193" t="s">
        <v>10</v>
      </c>
      <c r="I3193" t="s">
        <v>601</v>
      </c>
      <c r="J3193">
        <v>6.9</v>
      </c>
      <c r="K3193" t="e">
        <f>IF(COUNTIF(#REF!,Tabela2[[#This Row],[IdxWspolny]])&gt;0,"ELEM_lub_PRD","TECHN")</f>
        <v>#REF!</v>
      </c>
      <c r="L3193" t="e">
        <f>IF(COUNTIF(#REF!,Tabela2[[#This Row],[KOD_PRODUKTU]])&gt;0,"ELEMENT","PRODUKT")</f>
        <v>#REF!</v>
      </c>
      <c r="M3193" t="e">
        <f>COUNTIF(#REF!,Tabela2[[#This Row],[KOD_PRODUKTU]])</f>
        <v>#REF!</v>
      </c>
    </row>
    <row r="3194" spans="1:13" x14ac:dyDescent="0.25">
      <c r="A3194" s="1" t="s">
        <v>4817</v>
      </c>
      <c r="B3194" t="s">
        <v>4818</v>
      </c>
      <c r="C3194" s="1" t="s">
        <v>541</v>
      </c>
      <c r="D3194" s="1" t="s">
        <v>541</v>
      </c>
      <c r="E3194" s="1" t="s">
        <v>541</v>
      </c>
      <c r="F3194" t="s">
        <v>542</v>
      </c>
      <c r="G3194" t="s">
        <v>9</v>
      </c>
      <c r="H3194" t="s">
        <v>10</v>
      </c>
      <c r="I3194" t="s">
        <v>594</v>
      </c>
      <c r="J3194">
        <v>11.5</v>
      </c>
      <c r="K3194" t="e">
        <f>IF(COUNTIF(#REF!,Tabela2[[#This Row],[IdxWspolny]])&gt;0,"ELEM_lub_PRD","TECHN")</f>
        <v>#REF!</v>
      </c>
      <c r="L3194" t="e">
        <f>IF(COUNTIF(#REF!,Tabela2[[#This Row],[KOD_PRODUKTU]])&gt;0,"ELEMENT","PRODUKT")</f>
        <v>#REF!</v>
      </c>
      <c r="M3194" t="e">
        <f>COUNTIF(#REF!,Tabela2[[#This Row],[KOD_PRODUKTU]])</f>
        <v>#REF!</v>
      </c>
    </row>
    <row r="3195" spans="1:13" x14ac:dyDescent="0.25">
      <c r="A3195" s="1" t="s">
        <v>817</v>
      </c>
      <c r="B3195" t="s">
        <v>4820</v>
      </c>
      <c r="C3195" s="1" t="s">
        <v>1249</v>
      </c>
      <c r="D3195" s="1" t="s">
        <v>1249</v>
      </c>
      <c r="E3195" s="1" t="s">
        <v>1249</v>
      </c>
      <c r="F3195" t="s">
        <v>1250</v>
      </c>
      <c r="G3195" t="s">
        <v>1251</v>
      </c>
      <c r="H3195" t="s">
        <v>1252</v>
      </c>
      <c r="I3195" t="s">
        <v>4821</v>
      </c>
      <c r="J3195">
        <v>13.92</v>
      </c>
      <c r="K3195" t="e">
        <f>IF(COUNTIF(#REF!,Tabela2[[#This Row],[IdxWspolny]])&gt;0,"ELEM_lub_PRD","TECHN")</f>
        <v>#REF!</v>
      </c>
      <c r="L3195" t="e">
        <f>IF(COUNTIF(#REF!,Tabela2[[#This Row],[KOD_PRODUKTU]])&gt;0,"ELEMENT","PRODUKT")</f>
        <v>#REF!</v>
      </c>
      <c r="M3195" t="e">
        <f>COUNTIF(#REF!,Tabela2[[#This Row],[KOD_PRODUKTU]])</f>
        <v>#REF!</v>
      </c>
    </row>
    <row r="3196" spans="1:13" x14ac:dyDescent="0.25">
      <c r="A3196" s="1" t="s">
        <v>817</v>
      </c>
      <c r="B3196" t="s">
        <v>4820</v>
      </c>
      <c r="C3196" s="1" t="s">
        <v>7</v>
      </c>
      <c r="D3196" s="1" t="s">
        <v>7</v>
      </c>
      <c r="E3196" s="1" t="s">
        <v>7</v>
      </c>
      <c r="F3196" t="s">
        <v>1031</v>
      </c>
      <c r="G3196" t="s">
        <v>9</v>
      </c>
      <c r="H3196" t="s">
        <v>10</v>
      </c>
      <c r="I3196" t="s">
        <v>4822</v>
      </c>
      <c r="J3196">
        <v>19.64</v>
      </c>
      <c r="K3196" t="e">
        <f>IF(COUNTIF(#REF!,Tabela2[[#This Row],[IdxWspolny]])&gt;0,"ELEM_lub_PRD","TECHN")</f>
        <v>#REF!</v>
      </c>
      <c r="L3196" t="e">
        <f>IF(COUNTIF(#REF!,Tabela2[[#This Row],[KOD_PRODUKTU]])&gt;0,"ELEMENT","PRODUKT")</f>
        <v>#REF!</v>
      </c>
      <c r="M3196" t="e">
        <f>COUNTIF(#REF!,Tabela2[[#This Row],[KOD_PRODUKTU]])</f>
        <v>#REF!</v>
      </c>
    </row>
    <row r="3197" spans="1:13" x14ac:dyDescent="0.25">
      <c r="A3197" s="1" t="s">
        <v>820</v>
      </c>
      <c r="B3197" t="s">
        <v>4823</v>
      </c>
      <c r="C3197" s="1" t="s">
        <v>1249</v>
      </c>
      <c r="D3197" s="1" t="s">
        <v>1249</v>
      </c>
      <c r="E3197" s="1" t="s">
        <v>1249</v>
      </c>
      <c r="F3197" t="s">
        <v>1250</v>
      </c>
      <c r="G3197" t="s">
        <v>1251</v>
      </c>
      <c r="H3197" t="s">
        <v>1252</v>
      </c>
      <c r="I3197" t="s">
        <v>4824</v>
      </c>
      <c r="J3197">
        <v>3.36</v>
      </c>
      <c r="K3197" t="e">
        <f>IF(COUNTIF(#REF!,Tabela2[[#This Row],[IdxWspolny]])&gt;0,"ELEM_lub_PRD","TECHN")</f>
        <v>#REF!</v>
      </c>
      <c r="L3197" t="e">
        <f>IF(COUNTIF(#REF!,Tabela2[[#This Row],[KOD_PRODUKTU]])&gt;0,"ELEMENT","PRODUKT")</f>
        <v>#REF!</v>
      </c>
      <c r="M3197" t="e">
        <f>COUNTIF(#REF!,Tabela2[[#This Row],[KOD_PRODUKTU]])</f>
        <v>#REF!</v>
      </c>
    </row>
    <row r="3198" spans="1:13" x14ac:dyDescent="0.25">
      <c r="A3198" s="1" t="s">
        <v>820</v>
      </c>
      <c r="B3198" t="s">
        <v>4823</v>
      </c>
      <c r="C3198" s="1" t="s">
        <v>7</v>
      </c>
      <c r="D3198" s="1" t="s">
        <v>7</v>
      </c>
      <c r="E3198" s="1" t="s">
        <v>7</v>
      </c>
      <c r="F3198" t="s">
        <v>1031</v>
      </c>
      <c r="G3198" t="s">
        <v>9</v>
      </c>
      <c r="H3198" t="s">
        <v>10</v>
      </c>
      <c r="I3198" t="s">
        <v>4825</v>
      </c>
      <c r="J3198">
        <v>16.170000000000002</v>
      </c>
      <c r="K3198" t="e">
        <f>IF(COUNTIF(#REF!,Tabela2[[#This Row],[IdxWspolny]])&gt;0,"ELEM_lub_PRD","TECHN")</f>
        <v>#REF!</v>
      </c>
      <c r="L3198" t="e">
        <f>IF(COUNTIF(#REF!,Tabela2[[#This Row],[KOD_PRODUKTU]])&gt;0,"ELEMENT","PRODUKT")</f>
        <v>#REF!</v>
      </c>
      <c r="M3198" t="e">
        <f>COUNTIF(#REF!,Tabela2[[#This Row],[KOD_PRODUKTU]])</f>
        <v>#REF!</v>
      </c>
    </row>
    <row r="3199" spans="1:13" x14ac:dyDescent="0.25">
      <c r="A3199" s="1" t="s">
        <v>4826</v>
      </c>
      <c r="B3199" t="s">
        <v>4827</v>
      </c>
      <c r="C3199" s="1" t="s">
        <v>479</v>
      </c>
      <c r="D3199" s="1" t="s">
        <v>479</v>
      </c>
      <c r="E3199" s="1" t="s">
        <v>479</v>
      </c>
      <c r="F3199" t="s">
        <v>480</v>
      </c>
      <c r="G3199" t="s">
        <v>626</v>
      </c>
      <c r="H3199" t="s">
        <v>5</v>
      </c>
      <c r="I3199" t="s">
        <v>736</v>
      </c>
      <c r="J3199">
        <v>0.1</v>
      </c>
      <c r="K3199" t="e">
        <f>IF(COUNTIF(#REF!,Tabela2[[#This Row],[IdxWspolny]])&gt;0,"ELEM_lub_PRD","TECHN")</f>
        <v>#REF!</v>
      </c>
      <c r="L3199" t="e">
        <f>IF(COUNTIF(#REF!,Tabela2[[#This Row],[KOD_PRODUKTU]])&gt;0,"ELEMENT","PRODUKT")</f>
        <v>#REF!</v>
      </c>
      <c r="M3199" t="e">
        <f>COUNTIF(#REF!,Tabela2[[#This Row],[KOD_PRODUKTU]])</f>
        <v>#REF!</v>
      </c>
    </row>
    <row r="3200" spans="1:13" x14ac:dyDescent="0.25">
      <c r="A3200" s="1" t="s">
        <v>4826</v>
      </c>
      <c r="B3200" t="s">
        <v>4827</v>
      </c>
      <c r="C3200" s="1" t="s">
        <v>628</v>
      </c>
      <c r="D3200" s="1" t="s">
        <v>628</v>
      </c>
      <c r="E3200" s="1" t="s">
        <v>628</v>
      </c>
      <c r="F3200" t="s">
        <v>629</v>
      </c>
      <c r="G3200" t="s">
        <v>630</v>
      </c>
      <c r="H3200" t="s">
        <v>5</v>
      </c>
      <c r="I3200" t="s">
        <v>2603</v>
      </c>
      <c r="J3200">
        <v>0.4</v>
      </c>
      <c r="K3200" t="e">
        <f>IF(COUNTIF(#REF!,Tabela2[[#This Row],[IdxWspolny]])&gt;0,"ELEM_lub_PRD","TECHN")</f>
        <v>#REF!</v>
      </c>
      <c r="L3200" t="e">
        <f>IF(COUNTIF(#REF!,Tabela2[[#This Row],[KOD_PRODUKTU]])&gt;0,"ELEMENT","PRODUKT")</f>
        <v>#REF!</v>
      </c>
      <c r="M3200" t="e">
        <f>COUNTIF(#REF!,Tabela2[[#This Row],[KOD_PRODUKTU]])</f>
        <v>#REF!</v>
      </c>
    </row>
    <row r="3201" spans="1:14" x14ac:dyDescent="0.25">
      <c r="A3201" s="1" t="s">
        <v>4826</v>
      </c>
      <c r="B3201" t="s">
        <v>4827</v>
      </c>
      <c r="C3201" s="1" t="s">
        <v>738</v>
      </c>
      <c r="D3201" s="1" t="s">
        <v>738</v>
      </c>
      <c r="E3201" s="1" t="s">
        <v>738</v>
      </c>
      <c r="F3201" t="s">
        <v>739</v>
      </c>
      <c r="G3201" t="s">
        <v>816</v>
      </c>
      <c r="H3201" t="s">
        <v>121</v>
      </c>
      <c r="I3201" t="s">
        <v>268</v>
      </c>
      <c r="J3201">
        <v>1.17</v>
      </c>
      <c r="K3201" t="e">
        <f>IF(COUNTIF(#REF!,Tabela2[[#This Row],[IdxWspolny]])&gt;0,"ELEM_lub_PRD","TECHN")</f>
        <v>#REF!</v>
      </c>
      <c r="L3201" t="e">
        <f>IF(COUNTIF(#REF!,Tabela2[[#This Row],[KOD_PRODUKTU]])&gt;0,"ELEMENT","PRODUKT")</f>
        <v>#REF!</v>
      </c>
      <c r="M3201" t="e">
        <f>COUNTIF(#REF!,Tabela2[[#This Row],[KOD_PRODUKTU]])</f>
        <v>#REF!</v>
      </c>
    </row>
    <row r="3202" spans="1:14" x14ac:dyDescent="0.25">
      <c r="A3202" s="1" t="s">
        <v>4826</v>
      </c>
      <c r="B3202" t="s">
        <v>4827</v>
      </c>
      <c r="C3202" s="1" t="s">
        <v>704</v>
      </c>
      <c r="D3202" s="1" t="s">
        <v>704</v>
      </c>
      <c r="E3202" s="1" t="s">
        <v>704</v>
      </c>
      <c r="F3202" t="s">
        <v>705</v>
      </c>
      <c r="G3202" t="s">
        <v>744</v>
      </c>
      <c r="H3202" t="s">
        <v>121</v>
      </c>
      <c r="I3202" t="s">
        <v>92</v>
      </c>
      <c r="J3202">
        <v>0.8</v>
      </c>
      <c r="K3202" t="e">
        <f>IF(COUNTIF(#REF!,Tabela2[[#This Row],[IdxWspolny]])&gt;0,"ELEM_lub_PRD","TECHN")</f>
        <v>#REF!</v>
      </c>
      <c r="L3202" t="e">
        <f>IF(COUNTIF(#REF!,Tabela2[[#This Row],[KOD_PRODUKTU]])&gt;0,"ELEMENT","PRODUKT")</f>
        <v>#REF!</v>
      </c>
      <c r="M3202" t="e">
        <f>COUNTIF(#REF!,Tabela2[[#This Row],[KOD_PRODUKTU]])</f>
        <v>#REF!</v>
      </c>
    </row>
    <row r="3203" spans="1:14" x14ac:dyDescent="0.25">
      <c r="A3203" s="1" t="s">
        <v>4826</v>
      </c>
      <c r="B3203" t="s">
        <v>4827</v>
      </c>
      <c r="C3203" s="1" t="s">
        <v>41</v>
      </c>
      <c r="D3203" s="1" t="s">
        <v>41</v>
      </c>
      <c r="E3203" s="1" t="s">
        <v>41</v>
      </c>
      <c r="F3203" t="s">
        <v>42</v>
      </c>
      <c r="G3203" t="s">
        <v>513</v>
      </c>
      <c r="H3203" t="s">
        <v>5</v>
      </c>
      <c r="I3203" t="s">
        <v>615</v>
      </c>
      <c r="J3203">
        <v>0.02</v>
      </c>
      <c r="K3203" t="e">
        <f>IF(COUNTIF(#REF!,Tabela2[[#This Row],[IdxWspolny]])&gt;0,"ELEM_lub_PRD","TECHN")</f>
        <v>#REF!</v>
      </c>
      <c r="L3203" t="e">
        <f>IF(COUNTIF(#REF!,Tabela2[[#This Row],[KOD_PRODUKTU]])&gt;0,"ELEMENT","PRODUKT")</f>
        <v>#REF!</v>
      </c>
      <c r="M3203" t="e">
        <f>COUNTIF(#REF!,Tabela2[[#This Row],[KOD_PRODUKTU]])</f>
        <v>#REF!</v>
      </c>
    </row>
    <row r="3204" spans="1:14" hidden="1" x14ac:dyDescent="0.25">
      <c r="A3204" s="1" t="s">
        <v>4826</v>
      </c>
      <c r="B3204" t="s">
        <v>4827</v>
      </c>
      <c r="C3204" s="1" t="s">
        <v>4828</v>
      </c>
      <c r="D3204" s="1" t="s">
        <v>4828</v>
      </c>
      <c r="E3204" s="1" t="s">
        <v>4828</v>
      </c>
      <c r="F3204" t="s">
        <v>4829</v>
      </c>
      <c r="G3204" t="s">
        <v>4830</v>
      </c>
      <c r="H3204" t="s">
        <v>121</v>
      </c>
      <c r="I3204" t="s">
        <v>50</v>
      </c>
      <c r="J3204">
        <v>48.88</v>
      </c>
      <c r="K3204" t="e">
        <f>IF(COUNTIF(#REF!,Tabela2[[#This Row],[IdxWspolny]])&gt;0,"ELEM_lub_PRD","TECHN")</f>
        <v>#REF!</v>
      </c>
      <c r="L3204" t="e">
        <f>IF(COUNTIF(#REF!,Tabela2[[#This Row],[KOD_PRODUKTU]])&gt;0,"ELEMENT","PRODUKT")</f>
        <v>#REF!</v>
      </c>
      <c r="M3204" t="e">
        <f>COUNTIF(#REF!,Tabela2[[#This Row],[KOD_PRODUKTU]])</f>
        <v>#REF!</v>
      </c>
      <c r="N3204" t="s">
        <v>55</v>
      </c>
    </row>
    <row r="3205" spans="1:14" hidden="1" x14ac:dyDescent="0.25">
      <c r="A3205" s="1" t="s">
        <v>4826</v>
      </c>
      <c r="B3205" t="s">
        <v>4827</v>
      </c>
      <c r="C3205" s="1" t="s">
        <v>4831</v>
      </c>
      <c r="D3205" s="1" t="s">
        <v>4831</v>
      </c>
      <c r="E3205" s="1" t="s">
        <v>4831</v>
      </c>
      <c r="F3205" t="s">
        <v>4832</v>
      </c>
      <c r="G3205" t="s">
        <v>4833</v>
      </c>
      <c r="H3205" t="s">
        <v>121</v>
      </c>
      <c r="I3205" t="s">
        <v>50</v>
      </c>
      <c r="J3205">
        <v>49.89</v>
      </c>
      <c r="K3205" t="e">
        <f>IF(COUNTIF(#REF!,Tabela2[[#This Row],[IdxWspolny]])&gt;0,"ELEM_lub_PRD","TECHN")</f>
        <v>#REF!</v>
      </c>
      <c r="L3205" t="e">
        <f>IF(COUNTIF(#REF!,Tabela2[[#This Row],[KOD_PRODUKTU]])&gt;0,"ELEMENT","PRODUKT")</f>
        <v>#REF!</v>
      </c>
      <c r="M3205" t="e">
        <f>COUNTIF(#REF!,Tabela2[[#This Row],[KOD_PRODUKTU]])</f>
        <v>#REF!</v>
      </c>
      <c r="N3205" t="s">
        <v>55</v>
      </c>
    </row>
    <row r="3206" spans="1:14" hidden="1" x14ac:dyDescent="0.25">
      <c r="A3206" s="1" t="s">
        <v>4826</v>
      </c>
      <c r="B3206" t="s">
        <v>4827</v>
      </c>
      <c r="C3206" s="1" t="s">
        <v>4834</v>
      </c>
      <c r="D3206" s="1" t="s">
        <v>4834</v>
      </c>
      <c r="E3206" s="1" t="s">
        <v>4834</v>
      </c>
      <c r="F3206" t="s">
        <v>4835</v>
      </c>
      <c r="G3206" t="s">
        <v>4836</v>
      </c>
      <c r="H3206" t="s">
        <v>121</v>
      </c>
      <c r="I3206" t="s">
        <v>50</v>
      </c>
      <c r="J3206">
        <v>28.55</v>
      </c>
      <c r="K3206" t="e">
        <f>IF(COUNTIF(#REF!,Tabela2[[#This Row],[IdxWspolny]])&gt;0,"ELEM_lub_PRD","TECHN")</f>
        <v>#REF!</v>
      </c>
      <c r="L3206" t="e">
        <f>IF(COUNTIF(#REF!,Tabela2[[#This Row],[KOD_PRODUKTU]])&gt;0,"ELEMENT","PRODUKT")</f>
        <v>#REF!</v>
      </c>
      <c r="M3206" t="e">
        <f>COUNTIF(#REF!,Tabela2[[#This Row],[KOD_PRODUKTU]])</f>
        <v>#REF!</v>
      </c>
      <c r="N3206" t="s">
        <v>55</v>
      </c>
    </row>
    <row r="3207" spans="1:14" x14ac:dyDescent="0.25">
      <c r="A3207" s="1" t="s">
        <v>4826</v>
      </c>
      <c r="B3207" t="s">
        <v>4827</v>
      </c>
      <c r="C3207" s="1" t="s">
        <v>684</v>
      </c>
      <c r="D3207" s="1" t="s">
        <v>684</v>
      </c>
      <c r="E3207" s="1" t="s">
        <v>684</v>
      </c>
      <c r="F3207" t="s">
        <v>685</v>
      </c>
      <c r="G3207" t="s">
        <v>686</v>
      </c>
      <c r="H3207" t="s">
        <v>49</v>
      </c>
      <c r="I3207" t="s">
        <v>4837</v>
      </c>
      <c r="J3207">
        <v>6.05</v>
      </c>
      <c r="K3207" t="e">
        <f>IF(COUNTIF(#REF!,Tabela2[[#This Row],[IdxWspolny]])&gt;0,"ELEM_lub_PRD","TECHN")</f>
        <v>#REF!</v>
      </c>
      <c r="L3207" t="e">
        <f>IF(COUNTIF(#REF!,Tabela2[[#This Row],[KOD_PRODUKTU]])&gt;0,"ELEMENT","PRODUKT")</f>
        <v>#REF!</v>
      </c>
      <c r="M3207" t="e">
        <f>COUNTIF(#REF!,Tabela2[[#This Row],[KOD_PRODUKTU]])</f>
        <v>#REF!</v>
      </c>
    </row>
    <row r="3208" spans="1:14" x14ac:dyDescent="0.25">
      <c r="A3208" s="1" t="s">
        <v>4826</v>
      </c>
      <c r="B3208" t="s">
        <v>4827</v>
      </c>
      <c r="C3208" s="1" t="s">
        <v>541</v>
      </c>
      <c r="D3208" s="1" t="s">
        <v>541</v>
      </c>
      <c r="E3208" s="1" t="s">
        <v>541</v>
      </c>
      <c r="F3208" t="s">
        <v>542</v>
      </c>
      <c r="G3208" t="s">
        <v>9</v>
      </c>
      <c r="H3208" t="s">
        <v>10</v>
      </c>
      <c r="I3208" t="s">
        <v>607</v>
      </c>
      <c r="J3208">
        <v>18.399999999999999</v>
      </c>
      <c r="K3208" t="e">
        <f>IF(COUNTIF(#REF!,Tabela2[[#This Row],[IdxWspolny]])&gt;0,"ELEM_lub_PRD","TECHN")</f>
        <v>#REF!</v>
      </c>
      <c r="L3208" t="e">
        <f>IF(COUNTIF(#REF!,Tabela2[[#This Row],[KOD_PRODUKTU]])&gt;0,"ELEMENT","PRODUKT")</f>
        <v>#REF!</v>
      </c>
      <c r="M3208" t="e">
        <f>COUNTIF(#REF!,Tabela2[[#This Row],[KOD_PRODUKTU]])</f>
        <v>#REF!</v>
      </c>
    </row>
    <row r="3209" spans="1:14" x14ac:dyDescent="0.25">
      <c r="A3209" s="1" t="s">
        <v>4828</v>
      </c>
      <c r="B3209" t="s">
        <v>4838</v>
      </c>
      <c r="C3209" s="1" t="s">
        <v>1249</v>
      </c>
      <c r="D3209" s="1" t="s">
        <v>1249</v>
      </c>
      <c r="E3209" s="1" t="s">
        <v>1249</v>
      </c>
      <c r="F3209" t="s">
        <v>1250</v>
      </c>
      <c r="G3209" t="s">
        <v>1251</v>
      </c>
      <c r="H3209" t="s">
        <v>1252</v>
      </c>
      <c r="I3209" t="s">
        <v>1348</v>
      </c>
      <c r="J3209">
        <v>27</v>
      </c>
      <c r="K3209" t="e">
        <f>IF(COUNTIF(#REF!,Tabela2[[#This Row],[IdxWspolny]])&gt;0,"ELEM_lub_PRD","TECHN")</f>
        <v>#REF!</v>
      </c>
      <c r="L3209" t="e">
        <f>IF(COUNTIF(#REF!,Tabela2[[#This Row],[KOD_PRODUKTU]])&gt;0,"ELEMENT","PRODUKT")</f>
        <v>#REF!</v>
      </c>
      <c r="M3209" t="e">
        <f>COUNTIF(#REF!,Tabela2[[#This Row],[KOD_PRODUKTU]])</f>
        <v>#REF!</v>
      </c>
    </row>
    <row r="3210" spans="1:14" x14ac:dyDescent="0.25">
      <c r="A3210" s="1" t="s">
        <v>4828</v>
      </c>
      <c r="B3210" t="s">
        <v>4838</v>
      </c>
      <c r="C3210" s="1" t="s">
        <v>541</v>
      </c>
      <c r="D3210" s="1" t="s">
        <v>541</v>
      </c>
      <c r="E3210" s="1" t="s">
        <v>541</v>
      </c>
      <c r="F3210" t="s">
        <v>542</v>
      </c>
      <c r="G3210" t="s">
        <v>9</v>
      </c>
      <c r="H3210" t="s">
        <v>10</v>
      </c>
      <c r="I3210" t="s">
        <v>4839</v>
      </c>
      <c r="J3210">
        <v>8.08</v>
      </c>
      <c r="K3210" t="e">
        <f>IF(COUNTIF(#REF!,Tabela2[[#This Row],[IdxWspolny]])&gt;0,"ELEM_lub_PRD","TECHN")</f>
        <v>#REF!</v>
      </c>
      <c r="L3210" t="e">
        <f>IF(COUNTIF(#REF!,Tabela2[[#This Row],[KOD_PRODUKTU]])&gt;0,"ELEMENT","PRODUKT")</f>
        <v>#REF!</v>
      </c>
      <c r="M3210" t="e">
        <f>COUNTIF(#REF!,Tabela2[[#This Row],[KOD_PRODUKTU]])</f>
        <v>#REF!</v>
      </c>
    </row>
    <row r="3211" spans="1:14" x14ac:dyDescent="0.25">
      <c r="A3211" s="1" t="s">
        <v>4828</v>
      </c>
      <c r="B3211" t="s">
        <v>4838</v>
      </c>
      <c r="C3211" s="1" t="s">
        <v>541</v>
      </c>
      <c r="D3211" s="1" t="s">
        <v>541</v>
      </c>
      <c r="E3211" s="1" t="s">
        <v>541</v>
      </c>
      <c r="F3211" t="s">
        <v>542</v>
      </c>
      <c r="G3211" t="s">
        <v>9</v>
      </c>
      <c r="H3211" t="s">
        <v>10</v>
      </c>
      <c r="I3211" t="s">
        <v>992</v>
      </c>
      <c r="J3211">
        <v>13.8</v>
      </c>
      <c r="K3211" t="e">
        <f>IF(COUNTIF(#REF!,Tabela2[[#This Row],[IdxWspolny]])&gt;0,"ELEM_lub_PRD","TECHN")</f>
        <v>#REF!</v>
      </c>
      <c r="L3211" t="e">
        <f>IF(COUNTIF(#REF!,Tabela2[[#This Row],[KOD_PRODUKTU]])&gt;0,"ELEMENT","PRODUKT")</f>
        <v>#REF!</v>
      </c>
      <c r="M3211" t="e">
        <f>COUNTIF(#REF!,Tabela2[[#This Row],[KOD_PRODUKTU]])</f>
        <v>#REF!</v>
      </c>
    </row>
    <row r="3212" spans="1:14" x14ac:dyDescent="0.25">
      <c r="A3212" s="1" t="s">
        <v>4831</v>
      </c>
      <c r="B3212" t="s">
        <v>4840</v>
      </c>
      <c r="C3212" s="1" t="s">
        <v>1249</v>
      </c>
      <c r="D3212" s="1" t="s">
        <v>1249</v>
      </c>
      <c r="E3212" s="1" t="s">
        <v>1249</v>
      </c>
      <c r="F3212" t="s">
        <v>1250</v>
      </c>
      <c r="G3212" t="s">
        <v>1251</v>
      </c>
      <c r="H3212" t="s">
        <v>1252</v>
      </c>
      <c r="I3212" t="s">
        <v>1858</v>
      </c>
      <c r="J3212">
        <v>24</v>
      </c>
      <c r="K3212" t="e">
        <f>IF(COUNTIF(#REF!,Tabela2[[#This Row],[IdxWspolny]])&gt;0,"ELEM_lub_PRD","TECHN")</f>
        <v>#REF!</v>
      </c>
      <c r="L3212" t="e">
        <f>IF(COUNTIF(#REF!,Tabela2[[#This Row],[KOD_PRODUKTU]])&gt;0,"ELEMENT","PRODUKT")</f>
        <v>#REF!</v>
      </c>
      <c r="M3212" t="e">
        <f>COUNTIF(#REF!,Tabela2[[#This Row],[KOD_PRODUKTU]])</f>
        <v>#REF!</v>
      </c>
    </row>
    <row r="3213" spans="1:14" x14ac:dyDescent="0.25">
      <c r="A3213" s="1" t="s">
        <v>4831</v>
      </c>
      <c r="B3213" t="s">
        <v>4840</v>
      </c>
      <c r="C3213" s="1" t="s">
        <v>541</v>
      </c>
      <c r="D3213" s="1" t="s">
        <v>541</v>
      </c>
      <c r="E3213" s="1" t="s">
        <v>541</v>
      </c>
      <c r="F3213" t="s">
        <v>542</v>
      </c>
      <c r="G3213" t="s">
        <v>9</v>
      </c>
      <c r="H3213" t="s">
        <v>10</v>
      </c>
      <c r="I3213" t="s">
        <v>4839</v>
      </c>
      <c r="J3213">
        <v>8.08</v>
      </c>
      <c r="K3213" t="e">
        <f>IF(COUNTIF(#REF!,Tabela2[[#This Row],[IdxWspolny]])&gt;0,"ELEM_lub_PRD","TECHN")</f>
        <v>#REF!</v>
      </c>
      <c r="L3213" t="e">
        <f>IF(COUNTIF(#REF!,Tabela2[[#This Row],[KOD_PRODUKTU]])&gt;0,"ELEMENT","PRODUKT")</f>
        <v>#REF!</v>
      </c>
      <c r="M3213" t="e">
        <f>COUNTIF(#REF!,Tabela2[[#This Row],[KOD_PRODUKTU]])</f>
        <v>#REF!</v>
      </c>
    </row>
    <row r="3214" spans="1:14" x14ac:dyDescent="0.25">
      <c r="A3214" s="1" t="s">
        <v>4831</v>
      </c>
      <c r="B3214" t="s">
        <v>4840</v>
      </c>
      <c r="C3214" s="1" t="s">
        <v>541</v>
      </c>
      <c r="D3214" s="1" t="s">
        <v>541</v>
      </c>
      <c r="E3214" s="1" t="s">
        <v>541</v>
      </c>
      <c r="F3214" t="s">
        <v>542</v>
      </c>
      <c r="G3214" t="s">
        <v>9</v>
      </c>
      <c r="H3214" t="s">
        <v>10</v>
      </c>
      <c r="I3214" t="s">
        <v>4841</v>
      </c>
      <c r="J3214">
        <v>17.809999999999999</v>
      </c>
      <c r="K3214" t="e">
        <f>IF(COUNTIF(#REF!,Tabela2[[#This Row],[IdxWspolny]])&gt;0,"ELEM_lub_PRD","TECHN")</f>
        <v>#REF!</v>
      </c>
      <c r="L3214" t="e">
        <f>IF(COUNTIF(#REF!,Tabela2[[#This Row],[KOD_PRODUKTU]])&gt;0,"ELEMENT","PRODUKT")</f>
        <v>#REF!</v>
      </c>
      <c r="M3214" t="e">
        <f>COUNTIF(#REF!,Tabela2[[#This Row],[KOD_PRODUKTU]])</f>
        <v>#REF!</v>
      </c>
    </row>
    <row r="3215" spans="1:14" x14ac:dyDescent="0.25">
      <c r="A3215" s="1" t="s">
        <v>4834</v>
      </c>
      <c r="B3215" t="s">
        <v>4842</v>
      </c>
      <c r="C3215" s="1" t="s">
        <v>1249</v>
      </c>
      <c r="D3215" s="1" t="s">
        <v>1249</v>
      </c>
      <c r="E3215" s="1" t="s">
        <v>1249</v>
      </c>
      <c r="F3215" t="s">
        <v>1250</v>
      </c>
      <c r="G3215" t="s">
        <v>1251</v>
      </c>
      <c r="H3215" t="s">
        <v>1252</v>
      </c>
      <c r="I3215" t="s">
        <v>4843</v>
      </c>
      <c r="J3215">
        <v>10.08</v>
      </c>
      <c r="K3215" t="e">
        <f>IF(COUNTIF(#REF!,Tabela2[[#This Row],[IdxWspolny]])&gt;0,"ELEM_lub_PRD","TECHN")</f>
        <v>#REF!</v>
      </c>
      <c r="L3215" t="e">
        <f>IF(COUNTIF(#REF!,Tabela2[[#This Row],[KOD_PRODUKTU]])&gt;0,"ELEMENT","PRODUKT")</f>
        <v>#REF!</v>
      </c>
      <c r="M3215" t="e">
        <f>COUNTIF(#REF!,Tabela2[[#This Row],[KOD_PRODUKTU]])</f>
        <v>#REF!</v>
      </c>
    </row>
    <row r="3216" spans="1:14" x14ac:dyDescent="0.25">
      <c r="A3216" s="1" t="s">
        <v>4834</v>
      </c>
      <c r="B3216" t="s">
        <v>4842</v>
      </c>
      <c r="C3216" s="1" t="s">
        <v>541</v>
      </c>
      <c r="D3216" s="1" t="s">
        <v>541</v>
      </c>
      <c r="E3216" s="1" t="s">
        <v>541</v>
      </c>
      <c r="F3216" t="s">
        <v>542</v>
      </c>
      <c r="G3216" t="s">
        <v>9</v>
      </c>
      <c r="H3216" t="s">
        <v>10</v>
      </c>
      <c r="I3216" t="s">
        <v>4839</v>
      </c>
      <c r="J3216">
        <v>8.08</v>
      </c>
      <c r="K3216" t="e">
        <f>IF(COUNTIF(#REF!,Tabela2[[#This Row],[IdxWspolny]])&gt;0,"ELEM_lub_PRD","TECHN")</f>
        <v>#REF!</v>
      </c>
      <c r="L3216" t="e">
        <f>IF(COUNTIF(#REF!,Tabela2[[#This Row],[KOD_PRODUKTU]])&gt;0,"ELEMENT","PRODUKT")</f>
        <v>#REF!</v>
      </c>
      <c r="M3216" t="e">
        <f>COUNTIF(#REF!,Tabela2[[#This Row],[KOD_PRODUKTU]])</f>
        <v>#REF!</v>
      </c>
    </row>
    <row r="3217" spans="1:13" x14ac:dyDescent="0.25">
      <c r="A3217" s="1" t="s">
        <v>4834</v>
      </c>
      <c r="B3217" t="s">
        <v>4842</v>
      </c>
      <c r="C3217" s="1" t="s">
        <v>541</v>
      </c>
      <c r="D3217" s="1" t="s">
        <v>541</v>
      </c>
      <c r="E3217" s="1" t="s">
        <v>541</v>
      </c>
      <c r="F3217" t="s">
        <v>542</v>
      </c>
      <c r="G3217" t="s">
        <v>9</v>
      </c>
      <c r="H3217" t="s">
        <v>10</v>
      </c>
      <c r="I3217" t="s">
        <v>4844</v>
      </c>
      <c r="J3217">
        <v>10.38</v>
      </c>
      <c r="K3217" t="e">
        <f>IF(COUNTIF(#REF!,Tabela2[[#This Row],[IdxWspolny]])&gt;0,"ELEM_lub_PRD","TECHN")</f>
        <v>#REF!</v>
      </c>
      <c r="L3217" t="e">
        <f>IF(COUNTIF(#REF!,Tabela2[[#This Row],[KOD_PRODUKTU]])&gt;0,"ELEMENT","PRODUKT")</f>
        <v>#REF!</v>
      </c>
      <c r="M3217" t="e">
        <f>COUNTIF(#REF!,Tabela2[[#This Row],[KOD_PRODUKTU]])</f>
        <v>#REF!</v>
      </c>
    </row>
    <row r="3218" spans="1:13" x14ac:dyDescent="0.25">
      <c r="A3218" s="1" t="s">
        <v>4845</v>
      </c>
      <c r="B3218" t="s">
        <v>4846</v>
      </c>
      <c r="C3218" s="1" t="s">
        <v>1547</v>
      </c>
      <c r="D3218" s="1" t="s">
        <v>1547</v>
      </c>
      <c r="E3218" s="1" t="s">
        <v>1547</v>
      </c>
      <c r="F3218" t="s">
        <v>1548</v>
      </c>
      <c r="G3218" t="s">
        <v>216</v>
      </c>
      <c r="H3218" t="s">
        <v>5</v>
      </c>
      <c r="I3218" t="s">
        <v>367</v>
      </c>
      <c r="J3218">
        <v>0.35</v>
      </c>
      <c r="K3218" t="e">
        <f>IF(COUNTIF(#REF!,Tabela2[[#This Row],[IdxWspolny]])&gt;0,"ELEM_lub_PRD","TECHN")</f>
        <v>#REF!</v>
      </c>
      <c r="L3218" t="e">
        <f>IF(COUNTIF(#REF!,Tabela2[[#This Row],[KOD_PRODUKTU]])&gt;0,"ELEMENT","PRODUKT")</f>
        <v>#REF!</v>
      </c>
      <c r="M3218" t="e">
        <f>COUNTIF(#REF!,Tabela2[[#This Row],[KOD_PRODUKTU]])</f>
        <v>#REF!</v>
      </c>
    </row>
    <row r="3219" spans="1:13" x14ac:dyDescent="0.25">
      <c r="A3219" s="1" t="s">
        <v>4845</v>
      </c>
      <c r="B3219" t="s">
        <v>4846</v>
      </c>
      <c r="C3219" s="1" t="s">
        <v>541</v>
      </c>
      <c r="D3219" s="1" t="s">
        <v>541</v>
      </c>
      <c r="E3219" s="1" t="s">
        <v>541</v>
      </c>
      <c r="F3219" t="s">
        <v>542</v>
      </c>
      <c r="G3219" t="s">
        <v>9</v>
      </c>
      <c r="H3219" t="s">
        <v>10</v>
      </c>
      <c r="I3219" t="s">
        <v>19</v>
      </c>
      <c r="J3219">
        <v>4.5999999999999996</v>
      </c>
      <c r="K3219" t="e">
        <f>IF(COUNTIF(#REF!,Tabela2[[#This Row],[IdxWspolny]])&gt;0,"ELEM_lub_PRD","TECHN")</f>
        <v>#REF!</v>
      </c>
      <c r="L3219" t="e">
        <f>IF(COUNTIF(#REF!,Tabela2[[#This Row],[KOD_PRODUKTU]])&gt;0,"ELEMENT","PRODUKT")</f>
        <v>#REF!</v>
      </c>
      <c r="M3219" t="e">
        <f>COUNTIF(#REF!,Tabela2[[#This Row],[KOD_PRODUKTU]])</f>
        <v>#REF!</v>
      </c>
    </row>
    <row r="3220" spans="1:13" x14ac:dyDescent="0.25">
      <c r="A3220" s="1" t="s">
        <v>4847</v>
      </c>
      <c r="B3220" t="s">
        <v>4848</v>
      </c>
      <c r="C3220" s="1" t="s">
        <v>1367</v>
      </c>
      <c r="D3220" s="1" t="s">
        <v>1367</v>
      </c>
      <c r="E3220" s="1" t="s">
        <v>1367</v>
      </c>
      <c r="F3220" t="s">
        <v>2132</v>
      </c>
      <c r="G3220" t="s">
        <v>1347</v>
      </c>
      <c r="H3220" t="s">
        <v>5</v>
      </c>
      <c r="I3220" t="s">
        <v>4849</v>
      </c>
      <c r="J3220">
        <v>1.82</v>
      </c>
      <c r="K3220" t="e">
        <f>IF(COUNTIF(#REF!,Tabela2[[#This Row],[IdxWspolny]])&gt;0,"ELEM_lub_PRD","TECHN")</f>
        <v>#REF!</v>
      </c>
      <c r="L3220" t="e">
        <f>IF(COUNTIF(#REF!,Tabela2[[#This Row],[KOD_PRODUKTU]])&gt;0,"ELEMENT","PRODUKT")</f>
        <v>#REF!</v>
      </c>
      <c r="M3220" t="e">
        <f>COUNTIF(#REF!,Tabela2[[#This Row],[KOD_PRODUKTU]])</f>
        <v>#REF!</v>
      </c>
    </row>
    <row r="3221" spans="1:13" x14ac:dyDescent="0.25">
      <c r="A3221" s="1" t="s">
        <v>4847</v>
      </c>
      <c r="B3221" t="s">
        <v>4848</v>
      </c>
      <c r="C3221" s="1" t="s">
        <v>541</v>
      </c>
      <c r="D3221" s="1" t="s">
        <v>541</v>
      </c>
      <c r="E3221" s="1" t="s">
        <v>541</v>
      </c>
      <c r="F3221" t="s">
        <v>542</v>
      </c>
      <c r="G3221" t="s">
        <v>9</v>
      </c>
      <c r="H3221" t="s">
        <v>10</v>
      </c>
      <c r="I3221" t="s">
        <v>4850</v>
      </c>
      <c r="J3221">
        <v>2.5499999999999998</v>
      </c>
      <c r="K3221" t="e">
        <f>IF(COUNTIF(#REF!,Tabela2[[#This Row],[IdxWspolny]])&gt;0,"ELEM_lub_PRD","TECHN")</f>
        <v>#REF!</v>
      </c>
      <c r="L3221" t="e">
        <f>IF(COUNTIF(#REF!,Tabela2[[#This Row],[KOD_PRODUKTU]])&gt;0,"ELEMENT","PRODUKT")</f>
        <v>#REF!</v>
      </c>
      <c r="M3221" t="e">
        <f>COUNTIF(#REF!,Tabela2[[#This Row],[KOD_PRODUKTU]])</f>
        <v>#REF!</v>
      </c>
    </row>
    <row r="3222" spans="1:13" x14ac:dyDescent="0.25">
      <c r="A3222" s="1" t="s">
        <v>4851</v>
      </c>
      <c r="B3222" t="s">
        <v>4852</v>
      </c>
      <c r="C3222" s="1" t="s">
        <v>1367</v>
      </c>
      <c r="D3222" s="1" t="s">
        <v>1367</v>
      </c>
      <c r="E3222" s="1" t="s">
        <v>1367</v>
      </c>
      <c r="F3222" t="s">
        <v>2132</v>
      </c>
      <c r="G3222" t="s">
        <v>1347</v>
      </c>
      <c r="H3222" t="s">
        <v>5</v>
      </c>
      <c r="I3222" t="s">
        <v>2773</v>
      </c>
      <c r="J3222">
        <v>2.2799999999999998</v>
      </c>
      <c r="K3222" t="e">
        <f>IF(COUNTIF(#REF!,Tabela2[[#This Row],[IdxWspolny]])&gt;0,"ELEM_lub_PRD","TECHN")</f>
        <v>#REF!</v>
      </c>
      <c r="L3222" t="e">
        <f>IF(COUNTIF(#REF!,Tabela2[[#This Row],[KOD_PRODUKTU]])&gt;0,"ELEMENT","PRODUKT")</f>
        <v>#REF!</v>
      </c>
      <c r="M3222" t="e">
        <f>COUNTIF(#REF!,Tabela2[[#This Row],[KOD_PRODUKTU]])</f>
        <v>#REF!</v>
      </c>
    </row>
    <row r="3223" spans="1:13" x14ac:dyDescent="0.25">
      <c r="A3223" s="1" t="s">
        <v>4851</v>
      </c>
      <c r="B3223" t="s">
        <v>4852</v>
      </c>
      <c r="C3223" s="1" t="s">
        <v>541</v>
      </c>
      <c r="D3223" s="1" t="s">
        <v>541</v>
      </c>
      <c r="E3223" s="1" t="s">
        <v>541</v>
      </c>
      <c r="F3223" t="s">
        <v>542</v>
      </c>
      <c r="G3223" t="s">
        <v>9</v>
      </c>
      <c r="H3223" t="s">
        <v>10</v>
      </c>
      <c r="I3223" t="s">
        <v>4850</v>
      </c>
      <c r="J3223">
        <v>2.5499999999999998</v>
      </c>
      <c r="K3223" t="e">
        <f>IF(COUNTIF(#REF!,Tabela2[[#This Row],[IdxWspolny]])&gt;0,"ELEM_lub_PRD","TECHN")</f>
        <v>#REF!</v>
      </c>
      <c r="L3223" t="e">
        <f>IF(COUNTIF(#REF!,Tabela2[[#This Row],[KOD_PRODUKTU]])&gt;0,"ELEMENT","PRODUKT")</f>
        <v>#REF!</v>
      </c>
      <c r="M3223" t="e">
        <f>COUNTIF(#REF!,Tabela2[[#This Row],[KOD_PRODUKTU]])</f>
        <v>#REF!</v>
      </c>
    </row>
    <row r="3224" spans="1:13" x14ac:dyDescent="0.25">
      <c r="A3224" s="1" t="s">
        <v>4853</v>
      </c>
      <c r="B3224" t="s">
        <v>4854</v>
      </c>
      <c r="C3224" s="1" t="s">
        <v>1367</v>
      </c>
      <c r="D3224" s="1" t="s">
        <v>1367</v>
      </c>
      <c r="E3224" s="1" t="s">
        <v>1367</v>
      </c>
      <c r="F3224" t="s">
        <v>2132</v>
      </c>
      <c r="G3224" t="s">
        <v>1347</v>
      </c>
      <c r="H3224" t="s">
        <v>5</v>
      </c>
      <c r="I3224" t="s">
        <v>2011</v>
      </c>
      <c r="J3224">
        <v>0.91</v>
      </c>
      <c r="K3224" t="e">
        <f>IF(COUNTIF(#REF!,Tabela2[[#This Row],[IdxWspolny]])&gt;0,"ELEM_lub_PRD","TECHN")</f>
        <v>#REF!</v>
      </c>
      <c r="L3224" t="e">
        <f>IF(COUNTIF(#REF!,Tabela2[[#This Row],[KOD_PRODUKTU]])&gt;0,"ELEMENT","PRODUKT")</f>
        <v>#REF!</v>
      </c>
      <c r="M3224" t="e">
        <f>COUNTIF(#REF!,Tabela2[[#This Row],[KOD_PRODUKTU]])</f>
        <v>#REF!</v>
      </c>
    </row>
    <row r="3225" spans="1:13" x14ac:dyDescent="0.25">
      <c r="A3225" s="1" t="s">
        <v>4853</v>
      </c>
      <c r="B3225" t="s">
        <v>4854</v>
      </c>
      <c r="C3225" s="1" t="s">
        <v>541</v>
      </c>
      <c r="D3225" s="1" t="s">
        <v>541</v>
      </c>
      <c r="E3225" s="1" t="s">
        <v>541</v>
      </c>
      <c r="F3225" t="s">
        <v>542</v>
      </c>
      <c r="G3225" t="s">
        <v>9</v>
      </c>
      <c r="H3225" t="s">
        <v>10</v>
      </c>
      <c r="I3225" t="s">
        <v>4850</v>
      </c>
      <c r="J3225">
        <v>2.5499999999999998</v>
      </c>
      <c r="K3225" t="e">
        <f>IF(COUNTIF(#REF!,Tabela2[[#This Row],[IdxWspolny]])&gt;0,"ELEM_lub_PRD","TECHN")</f>
        <v>#REF!</v>
      </c>
      <c r="L3225" t="e">
        <f>IF(COUNTIF(#REF!,Tabela2[[#This Row],[KOD_PRODUKTU]])&gt;0,"ELEMENT","PRODUKT")</f>
        <v>#REF!</v>
      </c>
      <c r="M3225" t="e">
        <f>COUNTIF(#REF!,Tabela2[[#This Row],[KOD_PRODUKTU]])</f>
        <v>#REF!</v>
      </c>
    </row>
    <row r="3226" spans="1:13" x14ac:dyDescent="0.25">
      <c r="A3226" s="1" t="s">
        <v>823</v>
      </c>
      <c r="B3226" t="s">
        <v>4855</v>
      </c>
      <c r="C3226" s="1" t="s">
        <v>1249</v>
      </c>
      <c r="D3226" s="1" t="s">
        <v>1249</v>
      </c>
      <c r="E3226" s="1" t="s">
        <v>1249</v>
      </c>
      <c r="F3226" t="s">
        <v>1250</v>
      </c>
      <c r="G3226" t="s">
        <v>1251</v>
      </c>
      <c r="H3226" t="s">
        <v>1252</v>
      </c>
      <c r="I3226" t="s">
        <v>4856</v>
      </c>
      <c r="J3226">
        <v>15.36</v>
      </c>
      <c r="K3226" t="e">
        <f>IF(COUNTIF(#REF!,Tabela2[[#This Row],[IdxWspolny]])&gt;0,"ELEM_lub_PRD","TECHN")</f>
        <v>#REF!</v>
      </c>
      <c r="L3226" t="e">
        <f>IF(COUNTIF(#REF!,Tabela2[[#This Row],[KOD_PRODUKTU]])&gt;0,"ELEMENT","PRODUKT")</f>
        <v>#REF!</v>
      </c>
      <c r="M3226" t="e">
        <f>COUNTIF(#REF!,Tabela2[[#This Row],[KOD_PRODUKTU]])</f>
        <v>#REF!</v>
      </c>
    </row>
    <row r="3227" spans="1:13" x14ac:dyDescent="0.25">
      <c r="A3227" s="1" t="s">
        <v>823</v>
      </c>
      <c r="B3227" t="s">
        <v>4855</v>
      </c>
      <c r="C3227" s="1" t="s">
        <v>7</v>
      </c>
      <c r="D3227" s="1" t="s">
        <v>7</v>
      </c>
      <c r="E3227" s="1" t="s">
        <v>7</v>
      </c>
      <c r="F3227" t="s">
        <v>1031</v>
      </c>
      <c r="G3227" t="s">
        <v>9</v>
      </c>
      <c r="H3227" t="s">
        <v>10</v>
      </c>
      <c r="I3227" t="s">
        <v>4857</v>
      </c>
      <c r="J3227">
        <v>16.75</v>
      </c>
      <c r="K3227" t="e">
        <f>IF(COUNTIF(#REF!,Tabela2[[#This Row],[IdxWspolny]])&gt;0,"ELEM_lub_PRD","TECHN")</f>
        <v>#REF!</v>
      </c>
      <c r="L3227" t="e">
        <f>IF(COUNTIF(#REF!,Tabela2[[#This Row],[KOD_PRODUKTU]])&gt;0,"ELEMENT","PRODUKT")</f>
        <v>#REF!</v>
      </c>
      <c r="M3227" t="e">
        <f>COUNTIF(#REF!,Tabela2[[#This Row],[KOD_PRODUKTU]])</f>
        <v>#REF!</v>
      </c>
    </row>
    <row r="3228" spans="1:13" x14ac:dyDescent="0.25">
      <c r="A3228" s="1" t="s">
        <v>4858</v>
      </c>
      <c r="B3228" t="s">
        <v>4859</v>
      </c>
      <c r="C3228" s="1" t="s">
        <v>3568</v>
      </c>
      <c r="D3228" s="1" t="s">
        <v>3568</v>
      </c>
      <c r="E3228" s="1" t="s">
        <v>3568</v>
      </c>
      <c r="F3228" t="s">
        <v>3569</v>
      </c>
      <c r="G3228" t="s">
        <v>3570</v>
      </c>
      <c r="H3228" t="s">
        <v>17</v>
      </c>
      <c r="I3228" t="s">
        <v>4860</v>
      </c>
      <c r="J3228">
        <v>2.2599999999999998</v>
      </c>
      <c r="K3228" t="e">
        <f>IF(COUNTIF(#REF!,Tabela2[[#This Row],[IdxWspolny]])&gt;0,"ELEM_lub_PRD","TECHN")</f>
        <v>#REF!</v>
      </c>
      <c r="L3228" t="e">
        <f>IF(COUNTIF(#REF!,Tabela2[[#This Row],[KOD_PRODUKTU]])&gt;0,"ELEMENT","PRODUKT")</f>
        <v>#REF!</v>
      </c>
      <c r="M3228" t="e">
        <f>COUNTIF(#REF!,Tabela2[[#This Row],[KOD_PRODUKTU]])</f>
        <v>#REF!</v>
      </c>
    </row>
    <row r="3229" spans="1:13" x14ac:dyDescent="0.25">
      <c r="A3229" s="1" t="s">
        <v>4858</v>
      </c>
      <c r="B3229" t="s">
        <v>4859</v>
      </c>
      <c r="C3229" s="1" t="s">
        <v>7</v>
      </c>
      <c r="D3229" s="1" t="s">
        <v>7</v>
      </c>
      <c r="E3229" s="1" t="s">
        <v>7</v>
      </c>
      <c r="F3229" t="s">
        <v>8</v>
      </c>
      <c r="G3229" t="s">
        <v>9</v>
      </c>
      <c r="H3229" t="s">
        <v>10</v>
      </c>
      <c r="I3229" t="s">
        <v>601</v>
      </c>
      <c r="J3229">
        <v>6.9</v>
      </c>
      <c r="K3229" t="e">
        <f>IF(COUNTIF(#REF!,Tabela2[[#This Row],[IdxWspolny]])&gt;0,"ELEM_lub_PRD","TECHN")</f>
        <v>#REF!</v>
      </c>
      <c r="L3229" t="e">
        <f>IF(COUNTIF(#REF!,Tabela2[[#This Row],[KOD_PRODUKTU]])&gt;0,"ELEMENT","PRODUKT")</f>
        <v>#REF!</v>
      </c>
      <c r="M3229" t="e">
        <f>COUNTIF(#REF!,Tabela2[[#This Row],[KOD_PRODUKTU]])</f>
        <v>#REF!</v>
      </c>
    </row>
    <row r="3230" spans="1:13" x14ac:dyDescent="0.25">
      <c r="A3230" s="1" t="s">
        <v>4861</v>
      </c>
      <c r="B3230" t="s">
        <v>4862</v>
      </c>
      <c r="C3230" s="1" t="s">
        <v>1487</v>
      </c>
      <c r="D3230" s="1" t="s">
        <v>1487</v>
      </c>
      <c r="E3230" s="1" t="s">
        <v>1487</v>
      </c>
      <c r="F3230" t="s">
        <v>1488</v>
      </c>
      <c r="G3230" t="s">
        <v>31</v>
      </c>
      <c r="H3230" t="s">
        <v>5</v>
      </c>
      <c r="I3230" t="s">
        <v>4004</v>
      </c>
      <c r="J3230">
        <v>0.65</v>
      </c>
      <c r="K3230" t="e">
        <f>IF(COUNTIF(#REF!,Tabela2[[#This Row],[IdxWspolny]])&gt;0,"ELEM_lub_PRD","TECHN")</f>
        <v>#REF!</v>
      </c>
      <c r="L3230" t="e">
        <f>IF(COUNTIF(#REF!,Tabela2[[#This Row],[KOD_PRODUKTU]])&gt;0,"ELEMENT","PRODUKT")</f>
        <v>#REF!</v>
      </c>
      <c r="M3230" t="e">
        <f>COUNTIF(#REF!,Tabela2[[#This Row],[KOD_PRODUKTU]])</f>
        <v>#REF!</v>
      </c>
    </row>
    <row r="3231" spans="1:13" x14ac:dyDescent="0.25">
      <c r="A3231" s="1" t="s">
        <v>4861</v>
      </c>
      <c r="B3231" t="s">
        <v>4862</v>
      </c>
      <c r="C3231" s="1" t="s">
        <v>7</v>
      </c>
      <c r="D3231" s="1" t="s">
        <v>7</v>
      </c>
      <c r="E3231" s="1" t="s">
        <v>7</v>
      </c>
      <c r="F3231" t="s">
        <v>8</v>
      </c>
      <c r="G3231" t="s">
        <v>9</v>
      </c>
      <c r="H3231" t="s">
        <v>10</v>
      </c>
      <c r="I3231" t="s">
        <v>367</v>
      </c>
      <c r="J3231">
        <v>2.2999999999999998</v>
      </c>
      <c r="K3231" t="e">
        <f>IF(COUNTIF(#REF!,Tabela2[[#This Row],[IdxWspolny]])&gt;0,"ELEM_lub_PRD","TECHN")</f>
        <v>#REF!</v>
      </c>
      <c r="L3231" t="e">
        <f>IF(COUNTIF(#REF!,Tabela2[[#This Row],[KOD_PRODUKTU]])&gt;0,"ELEMENT","PRODUKT")</f>
        <v>#REF!</v>
      </c>
      <c r="M3231" t="e">
        <f>COUNTIF(#REF!,Tabela2[[#This Row],[KOD_PRODUKTU]])</f>
        <v>#REF!</v>
      </c>
    </row>
    <row r="3232" spans="1:13" x14ac:dyDescent="0.25">
      <c r="A3232" s="1" t="s">
        <v>4863</v>
      </c>
      <c r="B3232" t="s">
        <v>4864</v>
      </c>
      <c r="C3232" s="1" t="s">
        <v>1487</v>
      </c>
      <c r="D3232" s="1" t="s">
        <v>1487</v>
      </c>
      <c r="E3232" s="1" t="s">
        <v>1487</v>
      </c>
      <c r="F3232" t="s">
        <v>1488</v>
      </c>
      <c r="G3232" t="s">
        <v>31</v>
      </c>
      <c r="H3232" t="s">
        <v>5</v>
      </c>
      <c r="I3232" t="s">
        <v>4004</v>
      </c>
      <c r="J3232">
        <v>0.65</v>
      </c>
      <c r="K3232" t="e">
        <f>IF(COUNTIF(#REF!,Tabela2[[#This Row],[IdxWspolny]])&gt;0,"ELEM_lub_PRD","TECHN")</f>
        <v>#REF!</v>
      </c>
      <c r="L3232" t="e">
        <f>IF(COUNTIF(#REF!,Tabela2[[#This Row],[KOD_PRODUKTU]])&gt;0,"ELEMENT","PRODUKT")</f>
        <v>#REF!</v>
      </c>
      <c r="M3232" t="e">
        <f>COUNTIF(#REF!,Tabela2[[#This Row],[KOD_PRODUKTU]])</f>
        <v>#REF!</v>
      </c>
    </row>
    <row r="3233" spans="1:14" x14ac:dyDescent="0.25">
      <c r="A3233" s="1" t="s">
        <v>4863</v>
      </c>
      <c r="B3233" t="s">
        <v>4864</v>
      </c>
      <c r="C3233" s="1" t="s">
        <v>7</v>
      </c>
      <c r="D3233" s="1" t="s">
        <v>7</v>
      </c>
      <c r="E3233" s="1" t="s">
        <v>7</v>
      </c>
      <c r="F3233" t="s">
        <v>8</v>
      </c>
      <c r="G3233" t="s">
        <v>9</v>
      </c>
      <c r="H3233" t="s">
        <v>10</v>
      </c>
      <c r="I3233" t="s">
        <v>367</v>
      </c>
      <c r="J3233">
        <v>2.2999999999999998</v>
      </c>
      <c r="K3233" t="e">
        <f>IF(COUNTIF(#REF!,Tabela2[[#This Row],[IdxWspolny]])&gt;0,"ELEM_lub_PRD","TECHN")</f>
        <v>#REF!</v>
      </c>
      <c r="L3233" t="e">
        <f>IF(COUNTIF(#REF!,Tabela2[[#This Row],[KOD_PRODUKTU]])&gt;0,"ELEMENT","PRODUKT")</f>
        <v>#REF!</v>
      </c>
      <c r="M3233" t="e">
        <f>COUNTIF(#REF!,Tabela2[[#This Row],[KOD_PRODUKTU]])</f>
        <v>#REF!</v>
      </c>
    </row>
    <row r="3234" spans="1:14" x14ac:dyDescent="0.25">
      <c r="A3234" s="1" t="s">
        <v>4865</v>
      </c>
      <c r="B3234" t="s">
        <v>4866</v>
      </c>
      <c r="C3234" s="1" t="s">
        <v>3568</v>
      </c>
      <c r="D3234" s="1" t="s">
        <v>3568</v>
      </c>
      <c r="E3234" s="1" t="s">
        <v>3568</v>
      </c>
      <c r="F3234" t="s">
        <v>3569</v>
      </c>
      <c r="G3234" t="s">
        <v>3570</v>
      </c>
      <c r="H3234" t="s">
        <v>17</v>
      </c>
      <c r="I3234" t="s">
        <v>4867</v>
      </c>
      <c r="J3234">
        <v>6.12</v>
      </c>
      <c r="K3234" t="e">
        <f>IF(COUNTIF(#REF!,Tabela2[[#This Row],[IdxWspolny]])&gt;0,"ELEM_lub_PRD","TECHN")</f>
        <v>#REF!</v>
      </c>
      <c r="L3234" t="e">
        <f>IF(COUNTIF(#REF!,Tabela2[[#This Row],[KOD_PRODUKTU]])&gt;0,"ELEMENT","PRODUKT")</f>
        <v>#REF!</v>
      </c>
      <c r="M3234" t="e">
        <f>COUNTIF(#REF!,Tabela2[[#This Row],[KOD_PRODUKTU]])</f>
        <v>#REF!</v>
      </c>
    </row>
    <row r="3235" spans="1:14" x14ac:dyDescent="0.25">
      <c r="A3235" s="1" t="s">
        <v>4865</v>
      </c>
      <c r="B3235" t="s">
        <v>4866</v>
      </c>
      <c r="C3235" s="1" t="s">
        <v>7</v>
      </c>
      <c r="D3235" s="1" t="s">
        <v>7</v>
      </c>
      <c r="E3235" s="1" t="s">
        <v>7</v>
      </c>
      <c r="F3235" t="s">
        <v>8</v>
      </c>
      <c r="G3235" t="s">
        <v>9</v>
      </c>
      <c r="H3235" t="s">
        <v>10</v>
      </c>
      <c r="I3235" t="s">
        <v>601</v>
      </c>
      <c r="J3235">
        <v>6.9</v>
      </c>
      <c r="K3235" t="e">
        <f>IF(COUNTIF(#REF!,Tabela2[[#This Row],[IdxWspolny]])&gt;0,"ELEM_lub_PRD","TECHN")</f>
        <v>#REF!</v>
      </c>
      <c r="L3235" t="e">
        <f>IF(COUNTIF(#REF!,Tabela2[[#This Row],[KOD_PRODUKTU]])&gt;0,"ELEMENT","PRODUKT")</f>
        <v>#REF!</v>
      </c>
      <c r="M3235" t="e">
        <f>COUNTIF(#REF!,Tabela2[[#This Row],[KOD_PRODUKTU]])</f>
        <v>#REF!</v>
      </c>
    </row>
    <row r="3236" spans="1:14" x14ac:dyDescent="0.25">
      <c r="A3236" s="1" t="s">
        <v>4868</v>
      </c>
      <c r="B3236" t="s">
        <v>4869</v>
      </c>
      <c r="C3236" s="1" t="s">
        <v>1487</v>
      </c>
      <c r="D3236" s="1" t="s">
        <v>1487</v>
      </c>
      <c r="E3236" s="1" t="s">
        <v>1487</v>
      </c>
      <c r="F3236" t="s">
        <v>1488</v>
      </c>
      <c r="G3236" t="s">
        <v>31</v>
      </c>
      <c r="H3236" t="s">
        <v>5</v>
      </c>
      <c r="I3236" t="s">
        <v>4004</v>
      </c>
      <c r="J3236">
        <v>0.65</v>
      </c>
      <c r="K3236" t="e">
        <f>IF(COUNTIF(#REF!,Tabela2[[#This Row],[IdxWspolny]])&gt;0,"ELEM_lub_PRD","TECHN")</f>
        <v>#REF!</v>
      </c>
      <c r="L3236" t="e">
        <f>IF(COUNTIF(#REF!,Tabela2[[#This Row],[KOD_PRODUKTU]])&gt;0,"ELEMENT","PRODUKT")</f>
        <v>#REF!</v>
      </c>
      <c r="M3236" t="e">
        <f>COUNTIF(#REF!,Tabela2[[#This Row],[KOD_PRODUKTU]])</f>
        <v>#REF!</v>
      </c>
    </row>
    <row r="3237" spans="1:14" x14ac:dyDescent="0.25">
      <c r="A3237" s="1" t="s">
        <v>4868</v>
      </c>
      <c r="B3237" t="s">
        <v>4869</v>
      </c>
      <c r="C3237" s="1" t="s">
        <v>541</v>
      </c>
      <c r="D3237" s="1" t="s">
        <v>541</v>
      </c>
      <c r="E3237" s="1" t="s">
        <v>541</v>
      </c>
      <c r="F3237" t="s">
        <v>542</v>
      </c>
      <c r="G3237" t="s">
        <v>9</v>
      </c>
      <c r="H3237" t="s">
        <v>10</v>
      </c>
      <c r="I3237" t="s">
        <v>367</v>
      </c>
      <c r="J3237">
        <v>2.2999999999999998</v>
      </c>
      <c r="K3237" t="e">
        <f>IF(COUNTIF(#REF!,Tabela2[[#This Row],[IdxWspolny]])&gt;0,"ELEM_lub_PRD","TECHN")</f>
        <v>#REF!</v>
      </c>
      <c r="L3237" t="e">
        <f>IF(COUNTIF(#REF!,Tabela2[[#This Row],[KOD_PRODUKTU]])&gt;0,"ELEMENT","PRODUKT")</f>
        <v>#REF!</v>
      </c>
      <c r="M3237" t="e">
        <f>COUNTIF(#REF!,Tabela2[[#This Row],[KOD_PRODUKTU]])</f>
        <v>#REF!</v>
      </c>
    </row>
    <row r="3238" spans="1:14" x14ac:dyDescent="0.25">
      <c r="A3238" s="1" t="s">
        <v>4870</v>
      </c>
      <c r="B3238" t="s">
        <v>4871</v>
      </c>
      <c r="C3238" s="1" t="s">
        <v>1487</v>
      </c>
      <c r="D3238" s="1" t="s">
        <v>1487</v>
      </c>
      <c r="E3238" s="1" t="s">
        <v>1487</v>
      </c>
      <c r="F3238" t="s">
        <v>1488</v>
      </c>
      <c r="G3238" t="s">
        <v>31</v>
      </c>
      <c r="H3238" t="s">
        <v>5</v>
      </c>
      <c r="I3238" t="s">
        <v>4004</v>
      </c>
      <c r="J3238">
        <v>0.65</v>
      </c>
      <c r="K3238" t="e">
        <f>IF(COUNTIF(#REF!,Tabela2[[#This Row],[IdxWspolny]])&gt;0,"ELEM_lub_PRD","TECHN")</f>
        <v>#REF!</v>
      </c>
      <c r="L3238" t="e">
        <f>IF(COUNTIF(#REF!,Tabela2[[#This Row],[KOD_PRODUKTU]])&gt;0,"ELEMENT","PRODUKT")</f>
        <v>#REF!</v>
      </c>
      <c r="M3238" t="e">
        <f>COUNTIF(#REF!,Tabela2[[#This Row],[KOD_PRODUKTU]])</f>
        <v>#REF!</v>
      </c>
    </row>
    <row r="3239" spans="1:14" x14ac:dyDescent="0.25">
      <c r="A3239" s="1" t="s">
        <v>4870</v>
      </c>
      <c r="B3239" t="s">
        <v>4871</v>
      </c>
      <c r="C3239" s="1" t="s">
        <v>541</v>
      </c>
      <c r="D3239" s="1" t="s">
        <v>541</v>
      </c>
      <c r="E3239" s="1" t="s">
        <v>541</v>
      </c>
      <c r="F3239" t="s">
        <v>542</v>
      </c>
      <c r="G3239" t="s">
        <v>9</v>
      </c>
      <c r="H3239" t="s">
        <v>10</v>
      </c>
      <c r="I3239" t="s">
        <v>367</v>
      </c>
      <c r="J3239">
        <v>2.2999999999999998</v>
      </c>
      <c r="K3239" t="e">
        <f>IF(COUNTIF(#REF!,Tabela2[[#This Row],[IdxWspolny]])&gt;0,"ELEM_lub_PRD","TECHN")</f>
        <v>#REF!</v>
      </c>
      <c r="L3239" t="e">
        <f>IF(COUNTIF(#REF!,Tabela2[[#This Row],[KOD_PRODUKTU]])&gt;0,"ELEMENT","PRODUKT")</f>
        <v>#REF!</v>
      </c>
      <c r="M3239" t="e">
        <f>COUNTIF(#REF!,Tabela2[[#This Row],[KOD_PRODUKTU]])</f>
        <v>#REF!</v>
      </c>
    </row>
    <row r="3240" spans="1:14" x14ac:dyDescent="0.25">
      <c r="A3240" s="1" t="s">
        <v>4872</v>
      </c>
      <c r="B3240" t="s">
        <v>4873</v>
      </c>
      <c r="C3240" s="1" t="s">
        <v>684</v>
      </c>
      <c r="D3240" s="1" t="s">
        <v>684</v>
      </c>
      <c r="E3240" s="1" t="s">
        <v>684</v>
      </c>
      <c r="F3240" t="s">
        <v>685</v>
      </c>
      <c r="G3240" t="s">
        <v>686</v>
      </c>
      <c r="H3240" t="s">
        <v>49</v>
      </c>
      <c r="I3240" t="s">
        <v>4874</v>
      </c>
      <c r="J3240">
        <v>1</v>
      </c>
      <c r="K3240" t="e">
        <f>IF(COUNTIF(#REF!,Tabela2[[#This Row],[IdxWspolny]])&gt;0,"ELEM_lub_PRD","TECHN")</f>
        <v>#REF!</v>
      </c>
      <c r="L3240" t="e">
        <f>IF(COUNTIF(#REF!,Tabela2[[#This Row],[KOD_PRODUKTU]])&gt;0,"ELEMENT","PRODUKT")</f>
        <v>#REF!</v>
      </c>
      <c r="M3240" t="e">
        <f>COUNTIF(#REF!,Tabela2[[#This Row],[KOD_PRODUKTU]])</f>
        <v>#REF!</v>
      </c>
    </row>
    <row r="3241" spans="1:14" x14ac:dyDescent="0.25">
      <c r="A3241" s="1" t="s">
        <v>4872</v>
      </c>
      <c r="B3241" t="s">
        <v>4873</v>
      </c>
      <c r="C3241" s="1" t="s">
        <v>7</v>
      </c>
      <c r="D3241" s="1" t="s">
        <v>7</v>
      </c>
      <c r="E3241" s="1" t="s">
        <v>7</v>
      </c>
      <c r="F3241" t="s">
        <v>8</v>
      </c>
      <c r="G3241" t="s">
        <v>9</v>
      </c>
      <c r="H3241" t="s">
        <v>10</v>
      </c>
      <c r="I3241" t="s">
        <v>4875</v>
      </c>
      <c r="J3241">
        <v>5.85</v>
      </c>
      <c r="K3241" t="e">
        <f>IF(COUNTIF(#REF!,Tabela2[[#This Row],[IdxWspolny]])&gt;0,"ELEM_lub_PRD","TECHN")</f>
        <v>#REF!</v>
      </c>
      <c r="L3241" t="e">
        <f>IF(COUNTIF(#REF!,Tabela2[[#This Row],[KOD_PRODUKTU]])&gt;0,"ELEMENT","PRODUKT")</f>
        <v>#REF!</v>
      </c>
      <c r="M3241" t="e">
        <f>COUNTIF(#REF!,Tabela2[[#This Row],[KOD_PRODUKTU]])</f>
        <v>#REF!</v>
      </c>
    </row>
    <row r="3242" spans="1:14" x14ac:dyDescent="0.25">
      <c r="A3242" s="1" t="s">
        <v>4876</v>
      </c>
      <c r="B3242" t="s">
        <v>4877</v>
      </c>
      <c r="C3242" s="1" t="s">
        <v>4878</v>
      </c>
      <c r="D3242" s="1" t="s">
        <v>4878</v>
      </c>
      <c r="E3242" s="1" t="s">
        <v>4878</v>
      </c>
      <c r="F3242" t="s">
        <v>4879</v>
      </c>
      <c r="G3242" t="s">
        <v>4880</v>
      </c>
      <c r="H3242" t="s">
        <v>5</v>
      </c>
      <c r="I3242" t="s">
        <v>4881</v>
      </c>
      <c r="J3242">
        <v>0.82</v>
      </c>
      <c r="K3242" t="e">
        <f>IF(COUNTIF(#REF!,Tabela2[[#This Row],[IdxWspolny]])&gt;0,"ELEM_lub_PRD","TECHN")</f>
        <v>#REF!</v>
      </c>
      <c r="L3242" t="e">
        <f>IF(COUNTIF(#REF!,Tabela2[[#This Row],[KOD_PRODUKTU]])&gt;0,"ELEMENT","PRODUKT")</f>
        <v>#REF!</v>
      </c>
      <c r="M3242" t="e">
        <f>COUNTIF(#REF!,Tabela2[[#This Row],[KOD_PRODUKTU]])</f>
        <v>#REF!</v>
      </c>
    </row>
    <row r="3243" spans="1:14" x14ac:dyDescent="0.25">
      <c r="A3243" s="1" t="s">
        <v>4876</v>
      </c>
      <c r="B3243" t="s">
        <v>4877</v>
      </c>
      <c r="C3243" s="1" t="s">
        <v>483</v>
      </c>
      <c r="D3243" s="1" t="s">
        <v>483</v>
      </c>
      <c r="E3243" s="1" t="s">
        <v>483</v>
      </c>
      <c r="F3243" t="s">
        <v>484</v>
      </c>
      <c r="G3243" t="s">
        <v>485</v>
      </c>
      <c r="H3243" t="s">
        <v>5</v>
      </c>
      <c r="I3243" t="s">
        <v>4882</v>
      </c>
      <c r="J3243">
        <v>0.05</v>
      </c>
      <c r="K3243" t="e">
        <f>IF(COUNTIF(#REF!,Tabela2[[#This Row],[IdxWspolny]])&gt;0,"ELEM_lub_PRD","TECHN")</f>
        <v>#REF!</v>
      </c>
      <c r="L3243" t="e">
        <f>IF(COUNTIF(#REF!,Tabela2[[#This Row],[KOD_PRODUKTU]])&gt;0,"ELEMENT","PRODUKT")</f>
        <v>#REF!</v>
      </c>
      <c r="M3243" t="e">
        <f>COUNTIF(#REF!,Tabela2[[#This Row],[KOD_PRODUKTU]])</f>
        <v>#REF!</v>
      </c>
    </row>
    <row r="3244" spans="1:14" x14ac:dyDescent="0.25">
      <c r="A3244" s="1" t="s">
        <v>4876</v>
      </c>
      <c r="B3244" t="s">
        <v>4877</v>
      </c>
      <c r="C3244" s="1" t="s">
        <v>41</v>
      </c>
      <c r="D3244" s="1" t="s">
        <v>41</v>
      </c>
      <c r="E3244" s="1" t="s">
        <v>41</v>
      </c>
      <c r="F3244" t="s">
        <v>42</v>
      </c>
      <c r="G3244" t="s">
        <v>43</v>
      </c>
      <c r="H3244" t="s">
        <v>5</v>
      </c>
      <c r="I3244" t="s">
        <v>4883</v>
      </c>
      <c r="J3244">
        <v>0.02</v>
      </c>
      <c r="K3244" t="e">
        <f>IF(COUNTIF(#REF!,Tabela2[[#This Row],[IdxWspolny]])&gt;0,"ELEM_lub_PRD","TECHN")</f>
        <v>#REF!</v>
      </c>
      <c r="L3244" t="e">
        <f>IF(COUNTIF(#REF!,Tabela2[[#This Row],[KOD_PRODUKTU]])&gt;0,"ELEMENT","PRODUKT")</f>
        <v>#REF!</v>
      </c>
      <c r="M3244" t="e">
        <f>COUNTIF(#REF!,Tabela2[[#This Row],[KOD_PRODUKTU]])</f>
        <v>#REF!</v>
      </c>
    </row>
    <row r="3245" spans="1:14" x14ac:dyDescent="0.25">
      <c r="A3245" s="1" t="s">
        <v>4876</v>
      </c>
      <c r="B3245" t="s">
        <v>4877</v>
      </c>
      <c r="C3245" s="1" t="s">
        <v>4884</v>
      </c>
      <c r="D3245" s="1" t="s">
        <v>4884</v>
      </c>
      <c r="E3245" s="1" t="s">
        <v>4884</v>
      </c>
      <c r="F3245" t="s">
        <v>4885</v>
      </c>
      <c r="G3245" t="s">
        <v>4886</v>
      </c>
      <c r="H3245" t="s">
        <v>49</v>
      </c>
      <c r="I3245" t="s">
        <v>4887</v>
      </c>
      <c r="J3245">
        <v>4.8600000000000003</v>
      </c>
      <c r="K3245" t="e">
        <f>IF(COUNTIF(#REF!,Tabela2[[#This Row],[IdxWspolny]])&gt;0,"ELEM_lub_PRD","TECHN")</f>
        <v>#REF!</v>
      </c>
      <c r="L3245" t="e">
        <f>IF(COUNTIF(#REF!,Tabela2[[#This Row],[KOD_PRODUKTU]])&gt;0,"ELEMENT","PRODUKT")</f>
        <v>#REF!</v>
      </c>
      <c r="M3245" t="e">
        <f>COUNTIF(#REF!,Tabela2[[#This Row],[KOD_PRODUKTU]])</f>
        <v>#REF!</v>
      </c>
    </row>
    <row r="3246" spans="1:14" hidden="1" x14ac:dyDescent="0.25">
      <c r="A3246" s="1" t="s">
        <v>4876</v>
      </c>
      <c r="B3246" t="s">
        <v>4877</v>
      </c>
      <c r="C3246" s="1" t="s">
        <v>4888</v>
      </c>
      <c r="D3246" s="1" t="s">
        <v>4888</v>
      </c>
      <c r="E3246" s="1" t="s">
        <v>4888</v>
      </c>
      <c r="F3246" t="s">
        <v>4889</v>
      </c>
      <c r="G3246" t="s">
        <v>4890</v>
      </c>
      <c r="H3246" t="s">
        <v>49</v>
      </c>
      <c r="I3246" t="s">
        <v>50</v>
      </c>
      <c r="J3246">
        <v>244.45</v>
      </c>
      <c r="K3246" t="e">
        <f>IF(COUNTIF(#REF!,Tabela2[[#This Row],[IdxWspolny]])&gt;0,"ELEM_lub_PRD","TECHN")</f>
        <v>#REF!</v>
      </c>
      <c r="L3246" t="e">
        <f>IF(COUNTIF(#REF!,Tabela2[[#This Row],[KOD_PRODUKTU]])&gt;0,"ELEMENT","PRODUKT")</f>
        <v>#REF!</v>
      </c>
      <c r="M3246" t="e">
        <f>COUNTIF(#REF!,Tabela2[[#This Row],[KOD_PRODUKTU]])</f>
        <v>#REF!</v>
      </c>
      <c r="N3246" t="s">
        <v>55</v>
      </c>
    </row>
    <row r="3247" spans="1:14" hidden="1" x14ac:dyDescent="0.25">
      <c r="A3247" s="1" t="s">
        <v>4876</v>
      </c>
      <c r="B3247" t="s">
        <v>4877</v>
      </c>
      <c r="C3247" s="1" t="s">
        <v>4891</v>
      </c>
      <c r="D3247" s="1" t="s">
        <v>4891</v>
      </c>
      <c r="E3247" s="1" t="s">
        <v>4891</v>
      </c>
      <c r="F3247" t="s">
        <v>4892</v>
      </c>
      <c r="G3247" t="s">
        <v>4893</v>
      </c>
      <c r="H3247" t="s">
        <v>49</v>
      </c>
      <c r="I3247" t="s">
        <v>4887</v>
      </c>
      <c r="J3247">
        <v>247.95</v>
      </c>
      <c r="K3247" t="e">
        <f>IF(COUNTIF(#REF!,Tabela2[[#This Row],[IdxWspolny]])&gt;0,"ELEM_lub_PRD","TECHN")</f>
        <v>#REF!</v>
      </c>
      <c r="L3247" t="e">
        <f>IF(COUNTIF(#REF!,Tabela2[[#This Row],[KOD_PRODUKTU]])&gt;0,"ELEMENT","PRODUKT")</f>
        <v>#REF!</v>
      </c>
      <c r="M3247" t="e">
        <f>COUNTIF(#REF!,Tabela2[[#This Row],[KOD_PRODUKTU]])</f>
        <v>#REF!</v>
      </c>
      <c r="N3247" t="s">
        <v>55</v>
      </c>
    </row>
    <row r="3248" spans="1:14" x14ac:dyDescent="0.25">
      <c r="A3248" s="1" t="s">
        <v>4876</v>
      </c>
      <c r="B3248" t="s">
        <v>4877</v>
      </c>
      <c r="C3248" s="1" t="s">
        <v>541</v>
      </c>
      <c r="D3248" s="1" t="s">
        <v>541</v>
      </c>
      <c r="E3248" s="1" t="s">
        <v>541</v>
      </c>
      <c r="F3248" t="s">
        <v>542</v>
      </c>
      <c r="G3248" t="s">
        <v>811</v>
      </c>
      <c r="H3248" t="s">
        <v>10</v>
      </c>
      <c r="I3248" t="s">
        <v>4894</v>
      </c>
      <c r="J3248">
        <v>29.98</v>
      </c>
      <c r="K3248" t="e">
        <f>IF(COUNTIF(#REF!,Tabela2[[#This Row],[IdxWspolny]])&gt;0,"ELEM_lub_PRD","TECHN")</f>
        <v>#REF!</v>
      </c>
      <c r="L3248" t="e">
        <f>IF(COUNTIF(#REF!,Tabela2[[#This Row],[KOD_PRODUKTU]])&gt;0,"ELEMENT","PRODUKT")</f>
        <v>#REF!</v>
      </c>
      <c r="M3248" t="e">
        <f>COUNTIF(#REF!,Tabela2[[#This Row],[KOD_PRODUKTU]])</f>
        <v>#REF!</v>
      </c>
    </row>
    <row r="3249" spans="1:14" x14ac:dyDescent="0.25">
      <c r="A3249" s="1" t="s">
        <v>4876</v>
      </c>
      <c r="B3249" t="s">
        <v>4877</v>
      </c>
      <c r="C3249" s="1" t="s">
        <v>541</v>
      </c>
      <c r="D3249" s="1" t="s">
        <v>541</v>
      </c>
      <c r="E3249" s="1" t="s">
        <v>541</v>
      </c>
      <c r="F3249" t="s">
        <v>542</v>
      </c>
      <c r="G3249" t="s">
        <v>811</v>
      </c>
      <c r="H3249" t="s">
        <v>10</v>
      </c>
      <c r="I3249" t="s">
        <v>4895</v>
      </c>
      <c r="J3249">
        <v>27.05</v>
      </c>
      <c r="K3249" t="e">
        <f>IF(COUNTIF(#REF!,Tabela2[[#This Row],[IdxWspolny]])&gt;0,"ELEM_lub_PRD","TECHN")</f>
        <v>#REF!</v>
      </c>
      <c r="L3249" t="e">
        <f>IF(COUNTIF(#REF!,Tabela2[[#This Row],[KOD_PRODUKTU]])&gt;0,"ELEMENT","PRODUKT")</f>
        <v>#REF!</v>
      </c>
      <c r="M3249" t="e">
        <f>COUNTIF(#REF!,Tabela2[[#This Row],[KOD_PRODUKTU]])</f>
        <v>#REF!</v>
      </c>
    </row>
    <row r="3250" spans="1:14" x14ac:dyDescent="0.25">
      <c r="A3250" s="1" t="s">
        <v>4888</v>
      </c>
      <c r="B3250" t="s">
        <v>4889</v>
      </c>
      <c r="C3250" s="1" t="s">
        <v>1249</v>
      </c>
      <c r="D3250" s="1" t="s">
        <v>1249</v>
      </c>
      <c r="E3250" s="1" t="s">
        <v>1249</v>
      </c>
      <c r="F3250" t="s">
        <v>1250</v>
      </c>
      <c r="G3250" t="s">
        <v>1251</v>
      </c>
      <c r="H3250" t="s">
        <v>1252</v>
      </c>
      <c r="I3250" t="s">
        <v>4896</v>
      </c>
      <c r="J3250">
        <v>18.72</v>
      </c>
      <c r="K3250" t="e">
        <f>IF(COUNTIF(#REF!,Tabela2[[#This Row],[IdxWspolny]])&gt;0,"ELEM_lub_PRD","TECHN")</f>
        <v>#REF!</v>
      </c>
      <c r="L3250" t="e">
        <f>IF(COUNTIF(#REF!,Tabela2[[#This Row],[KOD_PRODUKTU]])&gt;0,"ELEMENT","PRODUKT")</f>
        <v>#REF!</v>
      </c>
      <c r="M3250" t="e">
        <f>COUNTIF(#REF!,Tabela2[[#This Row],[KOD_PRODUKTU]])</f>
        <v>#REF!</v>
      </c>
    </row>
    <row r="3251" spans="1:14" x14ac:dyDescent="0.25">
      <c r="A3251" s="1" t="s">
        <v>4888</v>
      </c>
      <c r="B3251" t="s">
        <v>4889</v>
      </c>
      <c r="C3251" s="1" t="s">
        <v>7</v>
      </c>
      <c r="D3251" s="1" t="s">
        <v>7</v>
      </c>
      <c r="E3251" s="1" t="s">
        <v>7</v>
      </c>
      <c r="F3251" t="s">
        <v>8</v>
      </c>
      <c r="G3251" t="s">
        <v>9</v>
      </c>
      <c r="H3251" t="s">
        <v>10</v>
      </c>
      <c r="I3251" t="s">
        <v>4897</v>
      </c>
      <c r="J3251">
        <v>128.27000000000001</v>
      </c>
      <c r="K3251" t="e">
        <f>IF(COUNTIF(#REF!,Tabela2[[#This Row],[IdxWspolny]])&gt;0,"ELEM_lub_PRD","TECHN")</f>
        <v>#REF!</v>
      </c>
      <c r="L3251" t="e">
        <f>IF(COUNTIF(#REF!,Tabela2[[#This Row],[KOD_PRODUKTU]])&gt;0,"ELEMENT","PRODUKT")</f>
        <v>#REF!</v>
      </c>
      <c r="M3251" t="e">
        <f>COUNTIF(#REF!,Tabela2[[#This Row],[KOD_PRODUKTU]])</f>
        <v>#REF!</v>
      </c>
    </row>
    <row r="3252" spans="1:14" x14ac:dyDescent="0.25">
      <c r="A3252" s="1" t="s">
        <v>4888</v>
      </c>
      <c r="B3252" t="s">
        <v>4889</v>
      </c>
      <c r="C3252" s="1" t="s">
        <v>7</v>
      </c>
      <c r="D3252" s="1" t="s">
        <v>7</v>
      </c>
      <c r="E3252" s="1" t="s">
        <v>7</v>
      </c>
      <c r="F3252" t="s">
        <v>8</v>
      </c>
      <c r="G3252" t="s">
        <v>9</v>
      </c>
      <c r="H3252" t="s">
        <v>10</v>
      </c>
      <c r="I3252" t="s">
        <v>4898</v>
      </c>
      <c r="J3252">
        <v>97.45</v>
      </c>
      <c r="K3252" t="e">
        <f>IF(COUNTIF(#REF!,Tabela2[[#This Row],[IdxWspolny]])&gt;0,"ELEM_lub_PRD","TECHN")</f>
        <v>#REF!</v>
      </c>
      <c r="L3252" t="e">
        <f>IF(COUNTIF(#REF!,Tabela2[[#This Row],[KOD_PRODUKTU]])&gt;0,"ELEMENT","PRODUKT")</f>
        <v>#REF!</v>
      </c>
      <c r="M3252" t="e">
        <f>COUNTIF(#REF!,Tabela2[[#This Row],[KOD_PRODUKTU]])</f>
        <v>#REF!</v>
      </c>
    </row>
    <row r="3253" spans="1:14" x14ac:dyDescent="0.25">
      <c r="A3253" s="1" t="s">
        <v>4891</v>
      </c>
      <c r="B3253" t="s">
        <v>4892</v>
      </c>
      <c r="C3253" s="1" t="s">
        <v>1249</v>
      </c>
      <c r="D3253" s="1" t="s">
        <v>1249</v>
      </c>
      <c r="E3253" s="1" t="s">
        <v>1249</v>
      </c>
      <c r="F3253" t="s">
        <v>1250</v>
      </c>
      <c r="G3253" t="s">
        <v>1251</v>
      </c>
      <c r="H3253" t="s">
        <v>1252</v>
      </c>
      <c r="I3253" t="s">
        <v>4899</v>
      </c>
      <c r="J3253">
        <v>1.08</v>
      </c>
      <c r="K3253" t="e">
        <f>IF(COUNTIF(#REF!,Tabela2[[#This Row],[IdxWspolny]])&gt;0,"ELEM_lub_PRD","TECHN")</f>
        <v>#REF!</v>
      </c>
      <c r="L3253" t="e">
        <f>IF(COUNTIF(#REF!,Tabela2[[#This Row],[KOD_PRODUKTU]])&gt;0,"ELEMENT","PRODUKT")</f>
        <v>#REF!</v>
      </c>
      <c r="M3253" t="e">
        <f>COUNTIF(#REF!,Tabela2[[#This Row],[KOD_PRODUKTU]])</f>
        <v>#REF!</v>
      </c>
    </row>
    <row r="3254" spans="1:14" x14ac:dyDescent="0.25">
      <c r="A3254" s="1" t="s">
        <v>4891</v>
      </c>
      <c r="B3254" t="s">
        <v>4892</v>
      </c>
      <c r="C3254" s="1" t="s">
        <v>7</v>
      </c>
      <c r="D3254" s="1" t="s">
        <v>7</v>
      </c>
      <c r="E3254" s="1" t="s">
        <v>7</v>
      </c>
      <c r="F3254" t="s">
        <v>8</v>
      </c>
      <c r="G3254" t="s">
        <v>9</v>
      </c>
      <c r="H3254" t="s">
        <v>10</v>
      </c>
      <c r="I3254" t="s">
        <v>4900</v>
      </c>
      <c r="J3254">
        <v>11.15</v>
      </c>
      <c r="K3254" t="e">
        <f>IF(COUNTIF(#REF!,Tabela2[[#This Row],[IdxWspolny]])&gt;0,"ELEM_lub_PRD","TECHN")</f>
        <v>#REF!</v>
      </c>
      <c r="L3254" t="e">
        <f>IF(COUNTIF(#REF!,Tabela2[[#This Row],[KOD_PRODUKTU]])&gt;0,"ELEMENT","PRODUKT")</f>
        <v>#REF!</v>
      </c>
      <c r="M3254" t="e">
        <f>COUNTIF(#REF!,Tabela2[[#This Row],[KOD_PRODUKTU]])</f>
        <v>#REF!</v>
      </c>
    </row>
    <row r="3255" spans="1:14" x14ac:dyDescent="0.25">
      <c r="A3255" s="1" t="s">
        <v>4891</v>
      </c>
      <c r="B3255" t="s">
        <v>4892</v>
      </c>
      <c r="C3255" s="1" t="s">
        <v>7</v>
      </c>
      <c r="D3255" s="1" t="s">
        <v>7</v>
      </c>
      <c r="E3255" s="1" t="s">
        <v>7</v>
      </c>
      <c r="F3255" t="s">
        <v>8</v>
      </c>
      <c r="G3255" t="s">
        <v>9</v>
      </c>
      <c r="H3255" t="s">
        <v>10</v>
      </c>
      <c r="I3255" t="s">
        <v>4901</v>
      </c>
      <c r="J3255">
        <v>15.32</v>
      </c>
      <c r="K3255" t="e">
        <f>IF(COUNTIF(#REF!,Tabela2[[#This Row],[IdxWspolny]])&gt;0,"ELEM_lub_PRD","TECHN")</f>
        <v>#REF!</v>
      </c>
      <c r="L3255" t="e">
        <f>IF(COUNTIF(#REF!,Tabela2[[#This Row],[KOD_PRODUKTU]])&gt;0,"ELEMENT","PRODUKT")</f>
        <v>#REF!</v>
      </c>
      <c r="M3255" t="e">
        <f>COUNTIF(#REF!,Tabela2[[#This Row],[KOD_PRODUKTU]])</f>
        <v>#REF!</v>
      </c>
    </row>
    <row r="3256" spans="1:14" x14ac:dyDescent="0.25">
      <c r="A3256" s="1" t="s">
        <v>4902</v>
      </c>
      <c r="B3256" t="s">
        <v>4903</v>
      </c>
      <c r="C3256" s="1" t="s">
        <v>4878</v>
      </c>
      <c r="D3256" s="1" t="s">
        <v>4878</v>
      </c>
      <c r="E3256" s="1" t="s">
        <v>4878</v>
      </c>
      <c r="F3256" t="s">
        <v>4879</v>
      </c>
      <c r="G3256" t="s">
        <v>1964</v>
      </c>
      <c r="H3256" t="s">
        <v>5</v>
      </c>
      <c r="I3256" t="s">
        <v>4904</v>
      </c>
      <c r="J3256">
        <v>1.1399999999999999</v>
      </c>
      <c r="K3256" t="e">
        <f>IF(COUNTIF(#REF!,Tabela2[[#This Row],[IdxWspolny]])&gt;0,"ELEM_lub_PRD","TECHN")</f>
        <v>#REF!</v>
      </c>
      <c r="L3256" t="e">
        <f>IF(COUNTIF(#REF!,Tabela2[[#This Row],[KOD_PRODUKTU]])&gt;0,"ELEMENT","PRODUKT")</f>
        <v>#REF!</v>
      </c>
      <c r="M3256" t="e">
        <f>COUNTIF(#REF!,Tabela2[[#This Row],[KOD_PRODUKTU]])</f>
        <v>#REF!</v>
      </c>
    </row>
    <row r="3257" spans="1:14" x14ac:dyDescent="0.25">
      <c r="A3257" s="1" t="s">
        <v>4902</v>
      </c>
      <c r="B3257" t="s">
        <v>4903</v>
      </c>
      <c r="C3257" s="1" t="s">
        <v>483</v>
      </c>
      <c r="D3257" s="1" t="s">
        <v>483</v>
      </c>
      <c r="E3257" s="1" t="s">
        <v>483</v>
      </c>
      <c r="F3257" t="s">
        <v>484</v>
      </c>
      <c r="G3257" t="s">
        <v>2789</v>
      </c>
      <c r="H3257" t="s">
        <v>5</v>
      </c>
      <c r="I3257" t="s">
        <v>4905</v>
      </c>
      <c r="J3257">
        <v>0.09</v>
      </c>
      <c r="K3257" t="e">
        <f>IF(COUNTIF(#REF!,Tabela2[[#This Row],[IdxWspolny]])&gt;0,"ELEM_lub_PRD","TECHN")</f>
        <v>#REF!</v>
      </c>
      <c r="L3257" t="e">
        <f>IF(COUNTIF(#REF!,Tabela2[[#This Row],[KOD_PRODUKTU]])&gt;0,"ELEMENT","PRODUKT")</f>
        <v>#REF!</v>
      </c>
      <c r="M3257" t="e">
        <f>COUNTIF(#REF!,Tabela2[[#This Row],[KOD_PRODUKTU]])</f>
        <v>#REF!</v>
      </c>
    </row>
    <row r="3258" spans="1:14" x14ac:dyDescent="0.25">
      <c r="A3258" s="1" t="s">
        <v>4902</v>
      </c>
      <c r="B3258" t="s">
        <v>4903</v>
      </c>
      <c r="C3258" s="1" t="s">
        <v>41</v>
      </c>
      <c r="D3258" s="1" t="s">
        <v>41</v>
      </c>
      <c r="E3258" s="1" t="s">
        <v>41</v>
      </c>
      <c r="F3258" t="s">
        <v>42</v>
      </c>
      <c r="G3258" t="s">
        <v>513</v>
      </c>
      <c r="H3258" t="s">
        <v>5</v>
      </c>
      <c r="I3258" t="s">
        <v>4906</v>
      </c>
      <c r="J3258">
        <v>0.11</v>
      </c>
      <c r="K3258" t="e">
        <f>IF(COUNTIF(#REF!,Tabela2[[#This Row],[IdxWspolny]])&gt;0,"ELEM_lub_PRD","TECHN")</f>
        <v>#REF!</v>
      </c>
      <c r="L3258" t="e">
        <f>IF(COUNTIF(#REF!,Tabela2[[#This Row],[KOD_PRODUKTU]])&gt;0,"ELEMENT","PRODUKT")</f>
        <v>#REF!</v>
      </c>
      <c r="M3258" t="e">
        <f>COUNTIF(#REF!,Tabela2[[#This Row],[KOD_PRODUKTU]])</f>
        <v>#REF!</v>
      </c>
    </row>
    <row r="3259" spans="1:14" x14ac:dyDescent="0.25">
      <c r="A3259" s="1" t="s">
        <v>4902</v>
      </c>
      <c r="B3259" t="s">
        <v>4903</v>
      </c>
      <c r="C3259" s="1" t="s">
        <v>4884</v>
      </c>
      <c r="D3259" s="1" t="s">
        <v>4884</v>
      </c>
      <c r="E3259" s="1" t="s">
        <v>4884</v>
      </c>
      <c r="F3259" t="s">
        <v>4885</v>
      </c>
      <c r="G3259" t="s">
        <v>4886</v>
      </c>
      <c r="H3259" t="s">
        <v>49</v>
      </c>
      <c r="I3259" t="s">
        <v>4907</v>
      </c>
      <c r="J3259">
        <v>5.4</v>
      </c>
      <c r="K3259" t="e">
        <f>IF(COUNTIF(#REF!,Tabela2[[#This Row],[IdxWspolny]])&gt;0,"ELEM_lub_PRD","TECHN")</f>
        <v>#REF!</v>
      </c>
      <c r="L3259" t="e">
        <f>IF(COUNTIF(#REF!,Tabela2[[#This Row],[KOD_PRODUKTU]])&gt;0,"ELEMENT","PRODUKT")</f>
        <v>#REF!</v>
      </c>
      <c r="M3259" t="e">
        <f>COUNTIF(#REF!,Tabela2[[#This Row],[KOD_PRODUKTU]])</f>
        <v>#REF!</v>
      </c>
    </row>
    <row r="3260" spans="1:14" hidden="1" x14ac:dyDescent="0.25">
      <c r="A3260" s="1" t="s">
        <v>4902</v>
      </c>
      <c r="B3260" t="s">
        <v>4903</v>
      </c>
      <c r="C3260" s="1" t="s">
        <v>4891</v>
      </c>
      <c r="D3260" s="1" t="s">
        <v>4891</v>
      </c>
      <c r="E3260" s="1" t="s">
        <v>4891</v>
      </c>
      <c r="F3260" t="s">
        <v>4892</v>
      </c>
      <c r="G3260" t="s">
        <v>4893</v>
      </c>
      <c r="H3260" t="s">
        <v>49</v>
      </c>
      <c r="I3260" t="s">
        <v>4907</v>
      </c>
      <c r="J3260">
        <v>275.5</v>
      </c>
      <c r="K3260" t="e">
        <f>IF(COUNTIF(#REF!,Tabela2[[#This Row],[IdxWspolny]])&gt;0,"ELEM_lub_PRD","TECHN")</f>
        <v>#REF!</v>
      </c>
      <c r="L3260" t="e">
        <f>IF(COUNTIF(#REF!,Tabela2[[#This Row],[KOD_PRODUKTU]])&gt;0,"ELEMENT","PRODUKT")</f>
        <v>#REF!</v>
      </c>
      <c r="M3260" t="e">
        <f>COUNTIF(#REF!,Tabela2[[#This Row],[KOD_PRODUKTU]])</f>
        <v>#REF!</v>
      </c>
      <c r="N3260" t="s">
        <v>55</v>
      </c>
    </row>
    <row r="3261" spans="1:14" hidden="1" x14ac:dyDescent="0.25">
      <c r="A3261" s="1" t="s">
        <v>4902</v>
      </c>
      <c r="B3261" t="s">
        <v>4903</v>
      </c>
      <c r="C3261" s="1" t="s">
        <v>4908</v>
      </c>
      <c r="D3261" s="1" t="s">
        <v>4908</v>
      </c>
      <c r="E3261" s="1" t="s">
        <v>4908</v>
      </c>
      <c r="F3261" t="s">
        <v>4909</v>
      </c>
      <c r="G3261" t="s">
        <v>4910</v>
      </c>
      <c r="H3261" t="s">
        <v>49</v>
      </c>
      <c r="I3261" t="s">
        <v>50</v>
      </c>
      <c r="J3261">
        <v>265.48</v>
      </c>
      <c r="K3261" t="e">
        <f>IF(COUNTIF(#REF!,Tabela2[[#This Row],[IdxWspolny]])&gt;0,"ELEM_lub_PRD","TECHN")</f>
        <v>#REF!</v>
      </c>
      <c r="L3261" t="e">
        <f>IF(COUNTIF(#REF!,Tabela2[[#This Row],[KOD_PRODUKTU]])&gt;0,"ELEMENT","PRODUKT")</f>
        <v>#REF!</v>
      </c>
      <c r="M3261" t="e">
        <f>COUNTIF(#REF!,Tabela2[[#This Row],[KOD_PRODUKTU]])</f>
        <v>#REF!</v>
      </c>
      <c r="N3261" t="s">
        <v>55</v>
      </c>
    </row>
    <row r="3262" spans="1:14" x14ac:dyDescent="0.25">
      <c r="A3262" s="1" t="s">
        <v>4902</v>
      </c>
      <c r="B3262" t="s">
        <v>4903</v>
      </c>
      <c r="C3262" s="1" t="s">
        <v>541</v>
      </c>
      <c r="D3262" s="1" t="s">
        <v>541</v>
      </c>
      <c r="E3262" s="1" t="s">
        <v>541</v>
      </c>
      <c r="F3262" t="s">
        <v>542</v>
      </c>
      <c r="G3262" t="s">
        <v>9</v>
      </c>
      <c r="H3262" t="s">
        <v>10</v>
      </c>
      <c r="I3262" t="s">
        <v>4911</v>
      </c>
      <c r="J3262">
        <v>9.73</v>
      </c>
      <c r="K3262" t="e">
        <f>IF(COUNTIF(#REF!,Tabela2[[#This Row],[IdxWspolny]])&gt;0,"ELEM_lub_PRD","TECHN")</f>
        <v>#REF!</v>
      </c>
      <c r="L3262" t="e">
        <f>IF(COUNTIF(#REF!,Tabela2[[#This Row],[KOD_PRODUKTU]])&gt;0,"ELEMENT","PRODUKT")</f>
        <v>#REF!</v>
      </c>
      <c r="M3262" t="e">
        <f>COUNTIF(#REF!,Tabela2[[#This Row],[KOD_PRODUKTU]])</f>
        <v>#REF!</v>
      </c>
    </row>
    <row r="3263" spans="1:14" x14ac:dyDescent="0.25">
      <c r="A3263" s="1" t="s">
        <v>4902</v>
      </c>
      <c r="B3263" t="s">
        <v>4903</v>
      </c>
      <c r="C3263" s="1" t="s">
        <v>541</v>
      </c>
      <c r="D3263" s="1" t="s">
        <v>541</v>
      </c>
      <c r="E3263" s="1" t="s">
        <v>541</v>
      </c>
      <c r="F3263" t="s">
        <v>542</v>
      </c>
      <c r="G3263" t="s">
        <v>9</v>
      </c>
      <c r="H3263" t="s">
        <v>10</v>
      </c>
      <c r="I3263" t="s">
        <v>4912</v>
      </c>
      <c r="J3263">
        <v>11.89</v>
      </c>
      <c r="K3263" t="e">
        <f>IF(COUNTIF(#REF!,Tabela2[[#This Row],[IdxWspolny]])&gt;0,"ELEM_lub_PRD","TECHN")</f>
        <v>#REF!</v>
      </c>
      <c r="L3263" t="e">
        <f>IF(COUNTIF(#REF!,Tabela2[[#This Row],[KOD_PRODUKTU]])&gt;0,"ELEMENT","PRODUKT")</f>
        <v>#REF!</v>
      </c>
      <c r="M3263" t="e">
        <f>COUNTIF(#REF!,Tabela2[[#This Row],[KOD_PRODUKTU]])</f>
        <v>#REF!</v>
      </c>
    </row>
    <row r="3264" spans="1:14" x14ac:dyDescent="0.25">
      <c r="A3264" s="1" t="s">
        <v>4908</v>
      </c>
      <c r="B3264" t="s">
        <v>4909</v>
      </c>
      <c r="C3264" s="1" t="s">
        <v>1249</v>
      </c>
      <c r="D3264" s="1" t="s">
        <v>1249</v>
      </c>
      <c r="E3264" s="1" t="s">
        <v>1249</v>
      </c>
      <c r="F3264" t="s">
        <v>1250</v>
      </c>
      <c r="G3264" t="s">
        <v>1251</v>
      </c>
      <c r="H3264" t="s">
        <v>1252</v>
      </c>
      <c r="I3264" t="s">
        <v>1348</v>
      </c>
      <c r="J3264">
        <v>27</v>
      </c>
      <c r="K3264" t="e">
        <f>IF(COUNTIF(#REF!,Tabela2[[#This Row],[IdxWspolny]])&gt;0,"ELEM_lub_PRD","TECHN")</f>
        <v>#REF!</v>
      </c>
      <c r="L3264" t="e">
        <f>IF(COUNTIF(#REF!,Tabela2[[#This Row],[KOD_PRODUKTU]])&gt;0,"ELEMENT","PRODUKT")</f>
        <v>#REF!</v>
      </c>
      <c r="M3264" t="e">
        <f>COUNTIF(#REF!,Tabela2[[#This Row],[KOD_PRODUKTU]])</f>
        <v>#REF!</v>
      </c>
    </row>
    <row r="3265" spans="1:14" x14ac:dyDescent="0.25">
      <c r="A3265" s="1" t="s">
        <v>4908</v>
      </c>
      <c r="B3265" t="s">
        <v>4909</v>
      </c>
      <c r="C3265" s="1" t="s">
        <v>7</v>
      </c>
      <c r="D3265" s="1" t="s">
        <v>7</v>
      </c>
      <c r="E3265" s="1" t="s">
        <v>7</v>
      </c>
      <c r="F3265" t="s">
        <v>8</v>
      </c>
      <c r="G3265" t="s">
        <v>9</v>
      </c>
      <c r="H3265" t="s">
        <v>10</v>
      </c>
      <c r="I3265" t="s">
        <v>4913</v>
      </c>
      <c r="J3265">
        <v>139.38</v>
      </c>
      <c r="K3265" t="e">
        <f>IF(COUNTIF(#REF!,Tabela2[[#This Row],[IdxWspolny]])&gt;0,"ELEM_lub_PRD","TECHN")</f>
        <v>#REF!</v>
      </c>
      <c r="L3265" t="e">
        <f>IF(COUNTIF(#REF!,Tabela2[[#This Row],[KOD_PRODUKTU]])&gt;0,"ELEMENT","PRODUKT")</f>
        <v>#REF!</v>
      </c>
      <c r="M3265" t="e">
        <f>COUNTIF(#REF!,Tabela2[[#This Row],[KOD_PRODUKTU]])</f>
        <v>#REF!</v>
      </c>
    </row>
    <row r="3266" spans="1:14" x14ac:dyDescent="0.25">
      <c r="A3266" s="1" t="s">
        <v>4908</v>
      </c>
      <c r="B3266" t="s">
        <v>4909</v>
      </c>
      <c r="C3266" s="1" t="s">
        <v>7</v>
      </c>
      <c r="D3266" s="1" t="s">
        <v>7</v>
      </c>
      <c r="E3266" s="1" t="s">
        <v>7</v>
      </c>
      <c r="F3266" t="s">
        <v>8</v>
      </c>
      <c r="G3266" t="s">
        <v>9</v>
      </c>
      <c r="H3266" t="s">
        <v>10</v>
      </c>
      <c r="I3266" t="s">
        <v>4914</v>
      </c>
      <c r="J3266">
        <v>99.1</v>
      </c>
      <c r="K3266" t="e">
        <f>IF(COUNTIF(#REF!,Tabela2[[#This Row],[IdxWspolny]])&gt;0,"ELEM_lub_PRD","TECHN")</f>
        <v>#REF!</v>
      </c>
      <c r="L3266" t="e">
        <f>IF(COUNTIF(#REF!,Tabela2[[#This Row],[KOD_PRODUKTU]])&gt;0,"ELEMENT","PRODUKT")</f>
        <v>#REF!</v>
      </c>
      <c r="M3266" t="e">
        <f>COUNTIF(#REF!,Tabela2[[#This Row],[KOD_PRODUKTU]])</f>
        <v>#REF!</v>
      </c>
    </row>
    <row r="3267" spans="1:14" x14ac:dyDescent="0.25">
      <c r="A3267" s="1" t="s">
        <v>4915</v>
      </c>
      <c r="B3267" t="s">
        <v>4916</v>
      </c>
      <c r="C3267" s="1" t="s">
        <v>4878</v>
      </c>
      <c r="D3267" s="1" t="s">
        <v>4878</v>
      </c>
      <c r="E3267" s="1" t="s">
        <v>4878</v>
      </c>
      <c r="F3267" t="s">
        <v>4879</v>
      </c>
      <c r="G3267" t="s">
        <v>4880</v>
      </c>
      <c r="H3267" t="s">
        <v>5</v>
      </c>
      <c r="I3267" t="s">
        <v>4904</v>
      </c>
      <c r="J3267">
        <v>0.91</v>
      </c>
      <c r="K3267" t="e">
        <f>IF(COUNTIF(#REF!,Tabela2[[#This Row],[IdxWspolny]])&gt;0,"ELEM_lub_PRD","TECHN")</f>
        <v>#REF!</v>
      </c>
      <c r="L3267" t="e">
        <f>IF(COUNTIF(#REF!,Tabela2[[#This Row],[KOD_PRODUKTU]])&gt;0,"ELEMENT","PRODUKT")</f>
        <v>#REF!</v>
      </c>
      <c r="M3267" t="e">
        <f>COUNTIF(#REF!,Tabela2[[#This Row],[KOD_PRODUKTU]])</f>
        <v>#REF!</v>
      </c>
    </row>
    <row r="3268" spans="1:14" x14ac:dyDescent="0.25">
      <c r="A3268" s="1" t="s">
        <v>4915</v>
      </c>
      <c r="B3268" t="s">
        <v>4916</v>
      </c>
      <c r="C3268" s="1" t="s">
        <v>483</v>
      </c>
      <c r="D3268" s="1" t="s">
        <v>483</v>
      </c>
      <c r="E3268" s="1" t="s">
        <v>483</v>
      </c>
      <c r="F3268" t="s">
        <v>484</v>
      </c>
      <c r="G3268" t="s">
        <v>485</v>
      </c>
      <c r="H3268" t="s">
        <v>5</v>
      </c>
      <c r="I3268" t="s">
        <v>4905</v>
      </c>
      <c r="J3268">
        <v>0.06</v>
      </c>
      <c r="K3268" t="e">
        <f>IF(COUNTIF(#REF!,Tabela2[[#This Row],[IdxWspolny]])&gt;0,"ELEM_lub_PRD","TECHN")</f>
        <v>#REF!</v>
      </c>
      <c r="L3268" t="e">
        <f>IF(COUNTIF(#REF!,Tabela2[[#This Row],[KOD_PRODUKTU]])&gt;0,"ELEMENT","PRODUKT")</f>
        <v>#REF!</v>
      </c>
      <c r="M3268" t="e">
        <f>COUNTIF(#REF!,Tabela2[[#This Row],[KOD_PRODUKTU]])</f>
        <v>#REF!</v>
      </c>
    </row>
    <row r="3269" spans="1:14" x14ac:dyDescent="0.25">
      <c r="A3269" s="1" t="s">
        <v>4915</v>
      </c>
      <c r="B3269" t="s">
        <v>4916</v>
      </c>
      <c r="C3269" s="1" t="s">
        <v>41</v>
      </c>
      <c r="D3269" s="1" t="s">
        <v>41</v>
      </c>
      <c r="E3269" s="1" t="s">
        <v>41</v>
      </c>
      <c r="F3269" t="s">
        <v>42</v>
      </c>
      <c r="G3269" t="s">
        <v>43</v>
      </c>
      <c r="H3269" t="s">
        <v>5</v>
      </c>
      <c r="I3269" t="s">
        <v>4906</v>
      </c>
      <c r="J3269">
        <v>0.11</v>
      </c>
      <c r="K3269" t="e">
        <f>IF(COUNTIF(#REF!,Tabela2[[#This Row],[IdxWspolny]])&gt;0,"ELEM_lub_PRD","TECHN")</f>
        <v>#REF!</v>
      </c>
      <c r="L3269" t="e">
        <f>IF(COUNTIF(#REF!,Tabela2[[#This Row],[KOD_PRODUKTU]])&gt;0,"ELEMENT","PRODUKT")</f>
        <v>#REF!</v>
      </c>
      <c r="M3269" t="e">
        <f>COUNTIF(#REF!,Tabela2[[#This Row],[KOD_PRODUKTU]])</f>
        <v>#REF!</v>
      </c>
    </row>
    <row r="3270" spans="1:14" x14ac:dyDescent="0.25">
      <c r="A3270" s="1" t="s">
        <v>4915</v>
      </c>
      <c r="B3270" t="s">
        <v>4916</v>
      </c>
      <c r="C3270" s="1" t="s">
        <v>4884</v>
      </c>
      <c r="D3270" s="1" t="s">
        <v>4884</v>
      </c>
      <c r="E3270" s="1" t="s">
        <v>4884</v>
      </c>
      <c r="F3270" t="s">
        <v>4885</v>
      </c>
      <c r="G3270" t="s">
        <v>4886</v>
      </c>
      <c r="H3270" t="s">
        <v>49</v>
      </c>
      <c r="I3270" t="s">
        <v>4907</v>
      </c>
      <c r="J3270">
        <v>5.4</v>
      </c>
      <c r="K3270" t="e">
        <f>IF(COUNTIF(#REF!,Tabela2[[#This Row],[IdxWspolny]])&gt;0,"ELEM_lub_PRD","TECHN")</f>
        <v>#REF!</v>
      </c>
      <c r="L3270" t="e">
        <f>IF(COUNTIF(#REF!,Tabela2[[#This Row],[KOD_PRODUKTU]])&gt;0,"ELEMENT","PRODUKT")</f>
        <v>#REF!</v>
      </c>
      <c r="M3270" t="e">
        <f>COUNTIF(#REF!,Tabela2[[#This Row],[KOD_PRODUKTU]])</f>
        <v>#REF!</v>
      </c>
    </row>
    <row r="3271" spans="1:14" hidden="1" x14ac:dyDescent="0.25">
      <c r="A3271" s="1" t="s">
        <v>4915</v>
      </c>
      <c r="B3271" t="s">
        <v>4916</v>
      </c>
      <c r="C3271" s="1" t="s">
        <v>4917</v>
      </c>
      <c r="D3271" s="1" t="s">
        <v>4917</v>
      </c>
      <c r="E3271" s="1" t="s">
        <v>4917</v>
      </c>
      <c r="F3271" t="s">
        <v>4918</v>
      </c>
      <c r="G3271" t="s">
        <v>4919</v>
      </c>
      <c r="H3271" t="s">
        <v>49</v>
      </c>
      <c r="I3271" t="s">
        <v>50</v>
      </c>
      <c r="J3271">
        <v>323.06</v>
      </c>
      <c r="K3271" t="e">
        <f>IF(COUNTIF(#REF!,Tabela2[[#This Row],[IdxWspolny]])&gt;0,"ELEM_lub_PRD","TECHN")</f>
        <v>#REF!</v>
      </c>
      <c r="L3271" t="e">
        <f>IF(COUNTIF(#REF!,Tabela2[[#This Row],[KOD_PRODUKTU]])&gt;0,"ELEMENT","PRODUKT")</f>
        <v>#REF!</v>
      </c>
      <c r="M3271" t="e">
        <f>COUNTIF(#REF!,Tabela2[[#This Row],[KOD_PRODUKTU]])</f>
        <v>#REF!</v>
      </c>
      <c r="N3271" t="s">
        <v>55</v>
      </c>
    </row>
    <row r="3272" spans="1:14" hidden="1" x14ac:dyDescent="0.25">
      <c r="A3272" s="1" t="s">
        <v>4915</v>
      </c>
      <c r="B3272" t="s">
        <v>4916</v>
      </c>
      <c r="C3272" s="1" t="s">
        <v>4920</v>
      </c>
      <c r="D3272" s="1" t="s">
        <v>4920</v>
      </c>
      <c r="E3272" s="1" t="s">
        <v>4920</v>
      </c>
      <c r="F3272" t="s">
        <v>4921</v>
      </c>
      <c r="G3272" t="s">
        <v>4922</v>
      </c>
      <c r="H3272" t="s">
        <v>49</v>
      </c>
      <c r="I3272" t="s">
        <v>4907</v>
      </c>
      <c r="J3272">
        <v>279.10000000000002</v>
      </c>
      <c r="K3272" t="e">
        <f>IF(COUNTIF(#REF!,Tabela2[[#This Row],[IdxWspolny]])&gt;0,"ELEM_lub_PRD","TECHN")</f>
        <v>#REF!</v>
      </c>
      <c r="L3272" t="e">
        <f>IF(COUNTIF(#REF!,Tabela2[[#This Row],[KOD_PRODUKTU]])&gt;0,"ELEMENT","PRODUKT")</f>
        <v>#REF!</v>
      </c>
      <c r="M3272" t="e">
        <f>COUNTIF(#REF!,Tabela2[[#This Row],[KOD_PRODUKTU]])</f>
        <v>#REF!</v>
      </c>
      <c r="N3272" t="s">
        <v>55</v>
      </c>
    </row>
    <row r="3273" spans="1:14" x14ac:dyDescent="0.25">
      <c r="A3273" s="1" t="s">
        <v>4915</v>
      </c>
      <c r="B3273" t="s">
        <v>4916</v>
      </c>
      <c r="C3273" s="1" t="s">
        <v>541</v>
      </c>
      <c r="D3273" s="1" t="s">
        <v>541</v>
      </c>
      <c r="E3273" s="1" t="s">
        <v>541</v>
      </c>
      <c r="F3273" t="s">
        <v>542</v>
      </c>
      <c r="G3273" t="s">
        <v>811</v>
      </c>
      <c r="H3273" t="s">
        <v>10</v>
      </c>
      <c r="I3273" t="s">
        <v>4923</v>
      </c>
      <c r="J3273">
        <v>34.79</v>
      </c>
      <c r="K3273" t="e">
        <f>IF(COUNTIF(#REF!,Tabela2[[#This Row],[IdxWspolny]])&gt;0,"ELEM_lub_PRD","TECHN")</f>
        <v>#REF!</v>
      </c>
      <c r="L3273" t="e">
        <f>IF(COUNTIF(#REF!,Tabela2[[#This Row],[KOD_PRODUKTU]])&gt;0,"ELEMENT","PRODUKT")</f>
        <v>#REF!</v>
      </c>
      <c r="M3273" t="e">
        <f>COUNTIF(#REF!,Tabela2[[#This Row],[KOD_PRODUKTU]])</f>
        <v>#REF!</v>
      </c>
    </row>
    <row r="3274" spans="1:14" x14ac:dyDescent="0.25">
      <c r="A3274" s="1" t="s">
        <v>4915</v>
      </c>
      <c r="B3274" t="s">
        <v>4916</v>
      </c>
      <c r="C3274" s="1" t="s">
        <v>541</v>
      </c>
      <c r="D3274" s="1" t="s">
        <v>541</v>
      </c>
      <c r="E3274" s="1" t="s">
        <v>541</v>
      </c>
      <c r="F3274" t="s">
        <v>542</v>
      </c>
      <c r="G3274" t="s">
        <v>811</v>
      </c>
      <c r="H3274" t="s">
        <v>10</v>
      </c>
      <c r="I3274" t="s">
        <v>4924</v>
      </c>
      <c r="J3274">
        <v>26.96</v>
      </c>
      <c r="K3274" t="e">
        <f>IF(COUNTIF(#REF!,Tabela2[[#This Row],[IdxWspolny]])&gt;0,"ELEM_lub_PRD","TECHN")</f>
        <v>#REF!</v>
      </c>
      <c r="L3274" t="e">
        <f>IF(COUNTIF(#REF!,Tabela2[[#This Row],[KOD_PRODUKTU]])&gt;0,"ELEMENT","PRODUKT")</f>
        <v>#REF!</v>
      </c>
      <c r="M3274" t="e">
        <f>COUNTIF(#REF!,Tabela2[[#This Row],[KOD_PRODUKTU]])</f>
        <v>#REF!</v>
      </c>
    </row>
    <row r="3275" spans="1:14" x14ac:dyDescent="0.25">
      <c r="A3275" s="1" t="s">
        <v>4917</v>
      </c>
      <c r="B3275" t="s">
        <v>4918</v>
      </c>
      <c r="C3275" s="1" t="s">
        <v>1249</v>
      </c>
      <c r="D3275" s="1" t="s">
        <v>1249</v>
      </c>
      <c r="E3275" s="1" t="s">
        <v>1249</v>
      </c>
      <c r="F3275" t="s">
        <v>1250</v>
      </c>
      <c r="G3275" t="s">
        <v>1251</v>
      </c>
      <c r="H3275" t="s">
        <v>1252</v>
      </c>
      <c r="I3275" t="s">
        <v>4925</v>
      </c>
      <c r="J3275">
        <v>42.72</v>
      </c>
      <c r="K3275" t="e">
        <f>IF(COUNTIF(#REF!,Tabela2[[#This Row],[IdxWspolny]])&gt;0,"ELEM_lub_PRD","TECHN")</f>
        <v>#REF!</v>
      </c>
      <c r="L3275" t="e">
        <f>IF(COUNTIF(#REF!,Tabela2[[#This Row],[KOD_PRODUKTU]])&gt;0,"ELEMENT","PRODUKT")</f>
        <v>#REF!</v>
      </c>
      <c r="M3275" t="e">
        <f>COUNTIF(#REF!,Tabela2[[#This Row],[KOD_PRODUKTU]])</f>
        <v>#REF!</v>
      </c>
    </row>
    <row r="3276" spans="1:14" x14ac:dyDescent="0.25">
      <c r="A3276" s="1" t="s">
        <v>4917</v>
      </c>
      <c r="B3276" t="s">
        <v>4918</v>
      </c>
      <c r="C3276" s="1" t="s">
        <v>7</v>
      </c>
      <c r="D3276" s="1" t="s">
        <v>7</v>
      </c>
      <c r="E3276" s="1" t="s">
        <v>7</v>
      </c>
      <c r="F3276" t="s">
        <v>8</v>
      </c>
      <c r="G3276" t="s">
        <v>9</v>
      </c>
      <c r="H3276" t="s">
        <v>10</v>
      </c>
      <c r="I3276" t="s">
        <v>4926</v>
      </c>
      <c r="J3276">
        <v>113.03</v>
      </c>
      <c r="K3276" t="e">
        <f>IF(COUNTIF(#REF!,Tabela2[[#This Row],[IdxWspolny]])&gt;0,"ELEM_lub_PRD","TECHN")</f>
        <v>#REF!</v>
      </c>
      <c r="L3276" t="e">
        <f>IF(COUNTIF(#REF!,Tabela2[[#This Row],[KOD_PRODUKTU]])&gt;0,"ELEMENT","PRODUKT")</f>
        <v>#REF!</v>
      </c>
      <c r="M3276" t="e">
        <f>COUNTIF(#REF!,Tabela2[[#This Row],[KOD_PRODUKTU]])</f>
        <v>#REF!</v>
      </c>
    </row>
    <row r="3277" spans="1:14" x14ac:dyDescent="0.25">
      <c r="A3277" s="1" t="s">
        <v>4917</v>
      </c>
      <c r="B3277" t="s">
        <v>4918</v>
      </c>
      <c r="C3277" s="1" t="s">
        <v>7</v>
      </c>
      <c r="D3277" s="1" t="s">
        <v>7</v>
      </c>
      <c r="E3277" s="1" t="s">
        <v>7</v>
      </c>
      <c r="F3277" t="s">
        <v>8</v>
      </c>
      <c r="G3277" t="s">
        <v>9</v>
      </c>
      <c r="H3277" t="s">
        <v>10</v>
      </c>
      <c r="I3277" t="s">
        <v>4927</v>
      </c>
      <c r="J3277">
        <v>167.31</v>
      </c>
      <c r="K3277" t="e">
        <f>IF(COUNTIF(#REF!,Tabela2[[#This Row],[IdxWspolny]])&gt;0,"ELEM_lub_PRD","TECHN")</f>
        <v>#REF!</v>
      </c>
      <c r="L3277" t="e">
        <f>IF(COUNTIF(#REF!,Tabela2[[#This Row],[KOD_PRODUKTU]])&gt;0,"ELEMENT","PRODUKT")</f>
        <v>#REF!</v>
      </c>
      <c r="M3277" t="e">
        <f>COUNTIF(#REF!,Tabela2[[#This Row],[KOD_PRODUKTU]])</f>
        <v>#REF!</v>
      </c>
    </row>
    <row r="3278" spans="1:14" x14ac:dyDescent="0.25">
      <c r="A3278" s="1" t="s">
        <v>4920</v>
      </c>
      <c r="B3278" t="s">
        <v>4921</v>
      </c>
      <c r="C3278" s="1" t="s">
        <v>1249</v>
      </c>
      <c r="D3278" s="1" t="s">
        <v>1249</v>
      </c>
      <c r="E3278" s="1" t="s">
        <v>1249</v>
      </c>
      <c r="F3278" t="s">
        <v>1250</v>
      </c>
      <c r="G3278" t="s">
        <v>1251</v>
      </c>
      <c r="H3278" t="s">
        <v>1252</v>
      </c>
      <c r="I3278" t="s">
        <v>4928</v>
      </c>
      <c r="J3278">
        <v>1.44</v>
      </c>
      <c r="K3278" t="e">
        <f>IF(COUNTIF(#REF!,Tabela2[[#This Row],[IdxWspolny]])&gt;0,"ELEM_lub_PRD","TECHN")</f>
        <v>#REF!</v>
      </c>
      <c r="L3278" t="e">
        <f>IF(COUNTIF(#REF!,Tabela2[[#This Row],[KOD_PRODUKTU]])&gt;0,"ELEMENT","PRODUKT")</f>
        <v>#REF!</v>
      </c>
      <c r="M3278" t="e">
        <f>COUNTIF(#REF!,Tabela2[[#This Row],[KOD_PRODUKTU]])</f>
        <v>#REF!</v>
      </c>
    </row>
    <row r="3279" spans="1:14" x14ac:dyDescent="0.25">
      <c r="A3279" s="1" t="s">
        <v>4920</v>
      </c>
      <c r="B3279" t="s">
        <v>4921</v>
      </c>
      <c r="C3279" s="1" t="s">
        <v>7</v>
      </c>
      <c r="D3279" s="1" t="s">
        <v>7</v>
      </c>
      <c r="E3279" s="1" t="s">
        <v>7</v>
      </c>
      <c r="F3279" t="s">
        <v>8</v>
      </c>
      <c r="G3279" t="s">
        <v>9</v>
      </c>
      <c r="H3279" t="s">
        <v>10</v>
      </c>
      <c r="I3279" t="s">
        <v>4901</v>
      </c>
      <c r="J3279">
        <v>15.32</v>
      </c>
      <c r="K3279" t="e">
        <f>IF(COUNTIF(#REF!,Tabela2[[#This Row],[IdxWspolny]])&gt;0,"ELEM_lub_PRD","TECHN")</f>
        <v>#REF!</v>
      </c>
      <c r="L3279" t="e">
        <f>IF(COUNTIF(#REF!,Tabela2[[#This Row],[KOD_PRODUKTU]])&gt;0,"ELEMENT","PRODUKT")</f>
        <v>#REF!</v>
      </c>
      <c r="M3279" t="e">
        <f>COUNTIF(#REF!,Tabela2[[#This Row],[KOD_PRODUKTU]])</f>
        <v>#REF!</v>
      </c>
    </row>
    <row r="3280" spans="1:14" x14ac:dyDescent="0.25">
      <c r="A3280" s="1" t="s">
        <v>4920</v>
      </c>
      <c r="B3280" t="s">
        <v>4921</v>
      </c>
      <c r="C3280" s="1" t="s">
        <v>7</v>
      </c>
      <c r="D3280" s="1" t="s">
        <v>7</v>
      </c>
      <c r="E3280" s="1" t="s">
        <v>7</v>
      </c>
      <c r="F3280" t="s">
        <v>8</v>
      </c>
      <c r="G3280" t="s">
        <v>9</v>
      </c>
      <c r="H3280" t="s">
        <v>10</v>
      </c>
      <c r="I3280" t="s">
        <v>4900</v>
      </c>
      <c r="J3280">
        <v>11.15</v>
      </c>
      <c r="K3280" t="e">
        <f>IF(COUNTIF(#REF!,Tabela2[[#This Row],[IdxWspolny]])&gt;0,"ELEM_lub_PRD","TECHN")</f>
        <v>#REF!</v>
      </c>
      <c r="L3280" t="e">
        <f>IF(COUNTIF(#REF!,Tabela2[[#This Row],[KOD_PRODUKTU]])&gt;0,"ELEMENT","PRODUKT")</f>
        <v>#REF!</v>
      </c>
      <c r="M3280" t="e">
        <f>COUNTIF(#REF!,Tabela2[[#This Row],[KOD_PRODUKTU]])</f>
        <v>#REF!</v>
      </c>
    </row>
    <row r="3281" spans="1:13" x14ac:dyDescent="0.25">
      <c r="A3281" s="1" t="s">
        <v>4929</v>
      </c>
      <c r="B3281" t="s">
        <v>4930</v>
      </c>
      <c r="C3281" s="1" t="s">
        <v>1989</v>
      </c>
      <c r="D3281" s="1" t="s">
        <v>1989</v>
      </c>
      <c r="E3281" s="1" t="s">
        <v>1989</v>
      </c>
      <c r="F3281" t="s">
        <v>1990</v>
      </c>
      <c r="G3281" t="s">
        <v>1991</v>
      </c>
      <c r="H3281" t="s">
        <v>435</v>
      </c>
      <c r="I3281" t="s">
        <v>4931</v>
      </c>
      <c r="J3281">
        <v>0.64</v>
      </c>
      <c r="K3281" t="e">
        <f>IF(COUNTIF(#REF!,Tabela2[[#This Row],[IdxWspolny]])&gt;0,"ELEM_lub_PRD","TECHN")</f>
        <v>#REF!</v>
      </c>
      <c r="L3281" t="e">
        <f>IF(COUNTIF(#REF!,Tabela2[[#This Row],[KOD_PRODUKTU]])&gt;0,"ELEMENT","PRODUKT")</f>
        <v>#REF!</v>
      </c>
      <c r="M3281" t="e">
        <f>COUNTIF(#REF!,Tabela2[[#This Row],[KOD_PRODUKTU]])</f>
        <v>#REF!</v>
      </c>
    </row>
    <row r="3282" spans="1:13" x14ac:dyDescent="0.25">
      <c r="A3282" s="1" t="s">
        <v>4929</v>
      </c>
      <c r="B3282" t="s">
        <v>4930</v>
      </c>
      <c r="C3282" s="1" t="s">
        <v>7</v>
      </c>
      <c r="D3282" s="1" t="s">
        <v>7</v>
      </c>
      <c r="E3282" s="1" t="s">
        <v>7</v>
      </c>
      <c r="F3282" t="s">
        <v>8</v>
      </c>
      <c r="G3282" t="s">
        <v>9</v>
      </c>
      <c r="H3282" t="s">
        <v>10</v>
      </c>
      <c r="I3282" t="s">
        <v>4932</v>
      </c>
      <c r="J3282">
        <v>3.38</v>
      </c>
      <c r="K3282" t="e">
        <f>IF(COUNTIF(#REF!,Tabela2[[#This Row],[IdxWspolny]])&gt;0,"ELEM_lub_PRD","TECHN")</f>
        <v>#REF!</v>
      </c>
      <c r="L3282" t="e">
        <f>IF(COUNTIF(#REF!,Tabela2[[#This Row],[KOD_PRODUKTU]])&gt;0,"ELEMENT","PRODUKT")</f>
        <v>#REF!</v>
      </c>
      <c r="M3282" t="e">
        <f>COUNTIF(#REF!,Tabela2[[#This Row],[KOD_PRODUKTU]])</f>
        <v>#REF!</v>
      </c>
    </row>
    <row r="3283" spans="1:13" x14ac:dyDescent="0.25">
      <c r="A3283" s="1" t="s">
        <v>4933</v>
      </c>
      <c r="B3283" t="s">
        <v>4934</v>
      </c>
      <c r="C3283" s="1" t="s">
        <v>1335</v>
      </c>
      <c r="D3283" s="1" t="s">
        <v>1335</v>
      </c>
      <c r="E3283" s="1" t="s">
        <v>1335</v>
      </c>
      <c r="F3283" t="s">
        <v>1336</v>
      </c>
      <c r="G3283" t="s">
        <v>3722</v>
      </c>
      <c r="H3283" t="s">
        <v>49</v>
      </c>
      <c r="I3283" t="s">
        <v>50</v>
      </c>
      <c r="J3283">
        <v>34</v>
      </c>
      <c r="K3283" t="e">
        <f>IF(COUNTIF(#REF!,Tabela2[[#This Row],[IdxWspolny]])&gt;0,"ELEM_lub_PRD","TECHN")</f>
        <v>#REF!</v>
      </c>
      <c r="L3283" t="e">
        <f>IF(COUNTIF(#REF!,Tabela2[[#This Row],[KOD_PRODUKTU]])&gt;0,"ELEMENT","PRODUKT")</f>
        <v>#REF!</v>
      </c>
      <c r="M3283" t="e">
        <f>COUNTIF(#REF!,Tabela2[[#This Row],[KOD_PRODUKTU]])</f>
        <v>#REF!</v>
      </c>
    </row>
    <row r="3284" spans="1:13" x14ac:dyDescent="0.25">
      <c r="A3284" s="1" t="s">
        <v>4933</v>
      </c>
      <c r="B3284" t="s">
        <v>4934</v>
      </c>
      <c r="C3284" s="1" t="s">
        <v>7</v>
      </c>
      <c r="D3284" s="1" t="s">
        <v>7</v>
      </c>
      <c r="E3284" s="1" t="s">
        <v>7</v>
      </c>
      <c r="F3284" t="s">
        <v>8</v>
      </c>
      <c r="G3284" t="s">
        <v>9</v>
      </c>
      <c r="H3284" t="s">
        <v>10</v>
      </c>
      <c r="I3284" t="s">
        <v>4534</v>
      </c>
      <c r="J3284">
        <v>41.17</v>
      </c>
      <c r="K3284" t="e">
        <f>IF(COUNTIF(#REF!,Tabela2[[#This Row],[IdxWspolny]])&gt;0,"ELEM_lub_PRD","TECHN")</f>
        <v>#REF!</v>
      </c>
      <c r="L3284" t="e">
        <f>IF(COUNTIF(#REF!,Tabela2[[#This Row],[KOD_PRODUKTU]])&gt;0,"ELEMENT","PRODUKT")</f>
        <v>#REF!</v>
      </c>
      <c r="M3284" t="e">
        <f>COUNTIF(#REF!,Tabela2[[#This Row],[KOD_PRODUKTU]])</f>
        <v>#REF!</v>
      </c>
    </row>
    <row r="3285" spans="1:13" x14ac:dyDescent="0.25">
      <c r="A3285" s="1" t="s">
        <v>4935</v>
      </c>
      <c r="B3285" t="s">
        <v>4936</v>
      </c>
      <c r="C3285" s="1" t="s">
        <v>1989</v>
      </c>
      <c r="D3285" s="1" t="s">
        <v>1989</v>
      </c>
      <c r="E3285" s="1" t="s">
        <v>1989</v>
      </c>
      <c r="F3285" t="s">
        <v>1990</v>
      </c>
      <c r="G3285" t="s">
        <v>1991</v>
      </c>
      <c r="H3285" t="s">
        <v>435</v>
      </c>
      <c r="I3285" t="s">
        <v>1191</v>
      </c>
      <c r="J3285">
        <v>0.51</v>
      </c>
      <c r="K3285" t="e">
        <f>IF(COUNTIF(#REF!,Tabela2[[#This Row],[IdxWspolny]])&gt;0,"ELEM_lub_PRD","TECHN")</f>
        <v>#REF!</v>
      </c>
      <c r="L3285" t="e">
        <f>IF(COUNTIF(#REF!,Tabela2[[#This Row],[KOD_PRODUKTU]])&gt;0,"ELEMENT","PRODUKT")</f>
        <v>#REF!</v>
      </c>
      <c r="M3285" t="e">
        <f>COUNTIF(#REF!,Tabela2[[#This Row],[KOD_PRODUKTU]])</f>
        <v>#REF!</v>
      </c>
    </row>
    <row r="3286" spans="1:13" x14ac:dyDescent="0.25">
      <c r="A3286" s="1" t="s">
        <v>4935</v>
      </c>
      <c r="B3286" t="s">
        <v>4936</v>
      </c>
      <c r="C3286" s="1" t="s">
        <v>7</v>
      </c>
      <c r="D3286" s="1" t="s">
        <v>7</v>
      </c>
      <c r="E3286" s="1" t="s">
        <v>7</v>
      </c>
      <c r="F3286" t="s">
        <v>8</v>
      </c>
      <c r="G3286" t="s">
        <v>9</v>
      </c>
      <c r="H3286" t="s">
        <v>10</v>
      </c>
      <c r="I3286" t="s">
        <v>4932</v>
      </c>
      <c r="J3286">
        <v>3.38</v>
      </c>
      <c r="K3286" t="e">
        <f>IF(COUNTIF(#REF!,Tabela2[[#This Row],[IdxWspolny]])&gt;0,"ELEM_lub_PRD","TECHN")</f>
        <v>#REF!</v>
      </c>
      <c r="L3286" t="e">
        <f>IF(COUNTIF(#REF!,Tabela2[[#This Row],[KOD_PRODUKTU]])&gt;0,"ELEMENT","PRODUKT")</f>
        <v>#REF!</v>
      </c>
      <c r="M3286" t="e">
        <f>COUNTIF(#REF!,Tabela2[[#This Row],[KOD_PRODUKTU]])</f>
        <v>#REF!</v>
      </c>
    </row>
    <row r="3287" spans="1:13" x14ac:dyDescent="0.25">
      <c r="A3287" s="1" t="s">
        <v>4937</v>
      </c>
      <c r="B3287" t="s">
        <v>4938</v>
      </c>
      <c r="C3287" s="1" t="s">
        <v>3333</v>
      </c>
      <c r="D3287" s="1" t="s">
        <v>3333</v>
      </c>
      <c r="E3287" s="1" t="s">
        <v>3333</v>
      </c>
      <c r="F3287" t="s">
        <v>3334</v>
      </c>
      <c r="G3287" t="s">
        <v>140</v>
      </c>
      <c r="H3287" t="s">
        <v>49</v>
      </c>
      <c r="I3287" t="s">
        <v>50</v>
      </c>
      <c r="J3287">
        <v>10.75</v>
      </c>
      <c r="K3287" t="e">
        <f>IF(COUNTIF(#REF!,Tabela2[[#This Row],[IdxWspolny]])&gt;0,"ELEM_lub_PRD","TECHN")</f>
        <v>#REF!</v>
      </c>
      <c r="L3287" t="e">
        <f>IF(COUNTIF(#REF!,Tabela2[[#This Row],[KOD_PRODUKTU]])&gt;0,"ELEMENT","PRODUKT")</f>
        <v>#REF!</v>
      </c>
      <c r="M3287" t="e">
        <f>COUNTIF(#REF!,Tabela2[[#This Row],[KOD_PRODUKTU]])</f>
        <v>#REF!</v>
      </c>
    </row>
    <row r="3288" spans="1:13" x14ac:dyDescent="0.25">
      <c r="A3288" s="1" t="s">
        <v>4937</v>
      </c>
      <c r="B3288" t="s">
        <v>4938</v>
      </c>
      <c r="C3288" s="1" t="s">
        <v>7</v>
      </c>
      <c r="D3288" s="1" t="s">
        <v>7</v>
      </c>
      <c r="E3288" s="1" t="s">
        <v>7</v>
      </c>
      <c r="F3288" t="s">
        <v>8</v>
      </c>
      <c r="G3288" t="s">
        <v>9</v>
      </c>
      <c r="H3288" t="s">
        <v>10</v>
      </c>
      <c r="I3288" t="s">
        <v>4939</v>
      </c>
      <c r="J3288">
        <v>40.71</v>
      </c>
      <c r="K3288" t="e">
        <f>IF(COUNTIF(#REF!,Tabela2[[#This Row],[IdxWspolny]])&gt;0,"ELEM_lub_PRD","TECHN")</f>
        <v>#REF!</v>
      </c>
      <c r="L3288" t="e">
        <f>IF(COUNTIF(#REF!,Tabela2[[#This Row],[KOD_PRODUKTU]])&gt;0,"ELEMENT","PRODUKT")</f>
        <v>#REF!</v>
      </c>
      <c r="M3288" t="e">
        <f>COUNTIF(#REF!,Tabela2[[#This Row],[KOD_PRODUKTU]])</f>
        <v>#REF!</v>
      </c>
    </row>
    <row r="3289" spans="1:13" x14ac:dyDescent="0.25">
      <c r="A3289" s="1" t="s">
        <v>4940</v>
      </c>
      <c r="B3289" t="s">
        <v>4941</v>
      </c>
      <c r="C3289" s="1" t="s">
        <v>1203</v>
      </c>
      <c r="D3289" s="1" t="s">
        <v>1203</v>
      </c>
      <c r="E3289" s="1" t="s">
        <v>1203</v>
      </c>
      <c r="F3289" t="s">
        <v>1204</v>
      </c>
      <c r="G3289" t="s">
        <v>216</v>
      </c>
      <c r="H3289" t="s">
        <v>5</v>
      </c>
      <c r="I3289" t="s">
        <v>367</v>
      </c>
      <c r="J3289">
        <v>0.35</v>
      </c>
      <c r="K3289" t="e">
        <f>IF(COUNTIF(#REF!,Tabela2[[#This Row],[IdxWspolny]])&gt;0,"ELEM_lub_PRD","TECHN")</f>
        <v>#REF!</v>
      </c>
      <c r="L3289" t="e">
        <f>IF(COUNTIF(#REF!,Tabela2[[#This Row],[KOD_PRODUKTU]])&gt;0,"ELEMENT","PRODUKT")</f>
        <v>#REF!</v>
      </c>
      <c r="M3289" t="e">
        <f>COUNTIF(#REF!,Tabela2[[#This Row],[KOD_PRODUKTU]])</f>
        <v>#REF!</v>
      </c>
    </row>
    <row r="3290" spans="1:13" x14ac:dyDescent="0.25">
      <c r="A3290" s="1" t="s">
        <v>4940</v>
      </c>
      <c r="B3290" t="s">
        <v>4941</v>
      </c>
      <c r="C3290" s="1" t="s">
        <v>541</v>
      </c>
      <c r="D3290" s="1" t="s">
        <v>541</v>
      </c>
      <c r="E3290" s="1" t="s">
        <v>541</v>
      </c>
      <c r="F3290" t="s">
        <v>542</v>
      </c>
      <c r="G3290" t="s">
        <v>9</v>
      </c>
      <c r="H3290" t="s">
        <v>10</v>
      </c>
      <c r="I3290" t="s">
        <v>19</v>
      </c>
      <c r="J3290">
        <v>4.5999999999999996</v>
      </c>
      <c r="K3290" t="e">
        <f>IF(COUNTIF(#REF!,Tabela2[[#This Row],[IdxWspolny]])&gt;0,"ELEM_lub_PRD","TECHN")</f>
        <v>#REF!</v>
      </c>
      <c r="L3290" t="e">
        <f>IF(COUNTIF(#REF!,Tabela2[[#This Row],[KOD_PRODUKTU]])&gt;0,"ELEMENT","PRODUKT")</f>
        <v>#REF!</v>
      </c>
      <c r="M3290" t="e">
        <f>COUNTIF(#REF!,Tabela2[[#This Row],[KOD_PRODUKTU]])</f>
        <v>#REF!</v>
      </c>
    </row>
    <row r="3291" spans="1:13" x14ac:dyDescent="0.25">
      <c r="A3291" s="1" t="s">
        <v>4942</v>
      </c>
      <c r="B3291" t="s">
        <v>4943</v>
      </c>
      <c r="C3291" s="1" t="s">
        <v>3506</v>
      </c>
      <c r="D3291" s="1" t="s">
        <v>3506</v>
      </c>
      <c r="E3291" s="1" t="s">
        <v>3506</v>
      </c>
      <c r="F3291" t="s">
        <v>3507</v>
      </c>
      <c r="G3291" t="s">
        <v>1394</v>
      </c>
      <c r="H3291" t="s">
        <v>5</v>
      </c>
      <c r="I3291" t="s">
        <v>4944</v>
      </c>
      <c r="J3291">
        <v>4.45</v>
      </c>
      <c r="K3291" t="e">
        <f>IF(COUNTIF(#REF!,Tabela2[[#This Row],[IdxWspolny]])&gt;0,"ELEM_lub_PRD","TECHN")</f>
        <v>#REF!</v>
      </c>
      <c r="L3291" t="e">
        <f>IF(COUNTIF(#REF!,Tabela2[[#This Row],[KOD_PRODUKTU]])&gt;0,"ELEMENT","PRODUKT")</f>
        <v>#REF!</v>
      </c>
      <c r="M3291" t="e">
        <f>COUNTIF(#REF!,Tabela2[[#This Row],[KOD_PRODUKTU]])</f>
        <v>#REF!</v>
      </c>
    </row>
    <row r="3292" spans="1:13" x14ac:dyDescent="0.25">
      <c r="A3292" s="1" t="s">
        <v>4942</v>
      </c>
      <c r="B3292" t="s">
        <v>4943</v>
      </c>
      <c r="C3292" s="1" t="s">
        <v>7</v>
      </c>
      <c r="D3292" s="1" t="s">
        <v>7</v>
      </c>
      <c r="E3292" s="1" t="s">
        <v>7</v>
      </c>
      <c r="F3292" t="s">
        <v>8</v>
      </c>
      <c r="G3292" t="s">
        <v>9</v>
      </c>
      <c r="H3292" t="s">
        <v>10</v>
      </c>
      <c r="I3292" t="s">
        <v>1649</v>
      </c>
      <c r="J3292">
        <v>9.65</v>
      </c>
      <c r="K3292" t="e">
        <f>IF(COUNTIF(#REF!,Tabela2[[#This Row],[IdxWspolny]])&gt;0,"ELEM_lub_PRD","TECHN")</f>
        <v>#REF!</v>
      </c>
      <c r="L3292" t="e">
        <f>IF(COUNTIF(#REF!,Tabela2[[#This Row],[KOD_PRODUKTU]])&gt;0,"ELEMENT","PRODUKT")</f>
        <v>#REF!</v>
      </c>
      <c r="M3292" t="e">
        <f>COUNTIF(#REF!,Tabela2[[#This Row],[KOD_PRODUKTU]])</f>
        <v>#REF!</v>
      </c>
    </row>
    <row r="3293" spans="1:13" x14ac:dyDescent="0.25">
      <c r="A3293" s="1" t="s">
        <v>4945</v>
      </c>
      <c r="B3293" t="s">
        <v>4946</v>
      </c>
      <c r="C3293" s="1" t="s">
        <v>4947</v>
      </c>
      <c r="D3293" s="1" t="s">
        <v>4947</v>
      </c>
      <c r="E3293" s="1" t="s">
        <v>4947</v>
      </c>
      <c r="F3293" t="s">
        <v>4948</v>
      </c>
      <c r="G3293" t="s">
        <v>117</v>
      </c>
      <c r="H3293" t="s">
        <v>5</v>
      </c>
      <c r="I3293" t="s">
        <v>1026</v>
      </c>
      <c r="J3293">
        <v>13</v>
      </c>
      <c r="K3293" t="e">
        <f>IF(COUNTIF(#REF!,Tabela2[[#This Row],[IdxWspolny]])&gt;0,"ELEM_lub_PRD","TECHN")</f>
        <v>#REF!</v>
      </c>
      <c r="L3293" t="e">
        <f>IF(COUNTIF(#REF!,Tabela2[[#This Row],[KOD_PRODUKTU]])&gt;0,"ELEMENT","PRODUKT")</f>
        <v>#REF!</v>
      </c>
      <c r="M3293" t="e">
        <f>COUNTIF(#REF!,Tabela2[[#This Row],[KOD_PRODUKTU]])</f>
        <v>#REF!</v>
      </c>
    </row>
    <row r="3294" spans="1:13" x14ac:dyDescent="0.25">
      <c r="A3294" s="1" t="s">
        <v>4945</v>
      </c>
      <c r="B3294" t="s">
        <v>4946</v>
      </c>
      <c r="C3294" s="1" t="s">
        <v>7</v>
      </c>
      <c r="D3294" s="1" t="s">
        <v>7</v>
      </c>
      <c r="E3294" s="1" t="s">
        <v>7</v>
      </c>
      <c r="F3294" t="s">
        <v>8</v>
      </c>
      <c r="G3294" t="s">
        <v>9</v>
      </c>
      <c r="H3294" t="s">
        <v>10</v>
      </c>
      <c r="I3294" t="s">
        <v>3822</v>
      </c>
      <c r="J3294">
        <v>7.2</v>
      </c>
      <c r="K3294" t="e">
        <f>IF(COUNTIF(#REF!,Tabela2[[#This Row],[IdxWspolny]])&gt;0,"ELEM_lub_PRD","TECHN")</f>
        <v>#REF!</v>
      </c>
      <c r="L3294" t="e">
        <f>IF(COUNTIF(#REF!,Tabela2[[#This Row],[KOD_PRODUKTU]])&gt;0,"ELEMENT","PRODUKT")</f>
        <v>#REF!</v>
      </c>
      <c r="M3294" t="e">
        <f>COUNTIF(#REF!,Tabela2[[#This Row],[KOD_PRODUKTU]])</f>
        <v>#REF!</v>
      </c>
    </row>
    <row r="3295" spans="1:13" x14ac:dyDescent="0.25">
      <c r="A3295" s="1" t="s">
        <v>4949</v>
      </c>
      <c r="B3295" t="s">
        <v>4950</v>
      </c>
      <c r="C3295" s="1" t="s">
        <v>4951</v>
      </c>
      <c r="D3295" s="1" t="s">
        <v>4951</v>
      </c>
      <c r="E3295" s="1" t="s">
        <v>4951</v>
      </c>
      <c r="F3295" t="s">
        <v>4952</v>
      </c>
      <c r="G3295" t="s">
        <v>1394</v>
      </c>
      <c r="H3295" t="s">
        <v>5</v>
      </c>
      <c r="I3295" t="s">
        <v>50</v>
      </c>
      <c r="J3295">
        <v>4</v>
      </c>
      <c r="K3295" t="e">
        <f>IF(COUNTIF(#REF!,Tabela2[[#This Row],[IdxWspolny]])&gt;0,"ELEM_lub_PRD","TECHN")</f>
        <v>#REF!</v>
      </c>
      <c r="L3295" t="e">
        <f>IF(COUNTIF(#REF!,Tabela2[[#This Row],[KOD_PRODUKTU]])&gt;0,"ELEMENT","PRODUKT")</f>
        <v>#REF!</v>
      </c>
      <c r="M3295" t="e">
        <f>COUNTIF(#REF!,Tabela2[[#This Row],[KOD_PRODUKTU]])</f>
        <v>#REF!</v>
      </c>
    </row>
    <row r="3296" spans="1:13" x14ac:dyDescent="0.25">
      <c r="A3296" s="1" t="s">
        <v>4949</v>
      </c>
      <c r="B3296" t="s">
        <v>4950</v>
      </c>
      <c r="C3296" s="1" t="s">
        <v>7</v>
      </c>
      <c r="D3296" s="1" t="s">
        <v>7</v>
      </c>
      <c r="E3296" s="1" t="s">
        <v>7</v>
      </c>
      <c r="F3296" t="s">
        <v>8</v>
      </c>
      <c r="G3296" t="s">
        <v>9</v>
      </c>
      <c r="H3296" t="s">
        <v>10</v>
      </c>
      <c r="I3296" t="s">
        <v>3822</v>
      </c>
      <c r="J3296">
        <v>7.2</v>
      </c>
      <c r="K3296" t="e">
        <f>IF(COUNTIF(#REF!,Tabela2[[#This Row],[IdxWspolny]])&gt;0,"ELEM_lub_PRD","TECHN")</f>
        <v>#REF!</v>
      </c>
      <c r="L3296" t="e">
        <f>IF(COUNTIF(#REF!,Tabela2[[#This Row],[KOD_PRODUKTU]])&gt;0,"ELEMENT","PRODUKT")</f>
        <v>#REF!</v>
      </c>
      <c r="M3296" t="e">
        <f>COUNTIF(#REF!,Tabela2[[#This Row],[KOD_PRODUKTU]])</f>
        <v>#REF!</v>
      </c>
    </row>
    <row r="3297" spans="1:13" x14ac:dyDescent="0.25">
      <c r="A3297" s="1" t="s">
        <v>4953</v>
      </c>
      <c r="B3297" t="s">
        <v>4954</v>
      </c>
      <c r="C3297" s="1" t="s">
        <v>1203</v>
      </c>
      <c r="D3297" s="1" t="s">
        <v>1203</v>
      </c>
      <c r="E3297" s="1" t="s">
        <v>1203</v>
      </c>
      <c r="F3297" t="s">
        <v>1204</v>
      </c>
      <c r="G3297" t="s">
        <v>216</v>
      </c>
      <c r="H3297" t="s">
        <v>5</v>
      </c>
      <c r="I3297" t="s">
        <v>33</v>
      </c>
      <c r="J3297">
        <v>1.4</v>
      </c>
      <c r="K3297" t="e">
        <f>IF(COUNTIF(#REF!,Tabela2[[#This Row],[IdxWspolny]])&gt;0,"ELEM_lub_PRD","TECHN")</f>
        <v>#REF!</v>
      </c>
      <c r="L3297" t="e">
        <f>IF(COUNTIF(#REF!,Tabela2[[#This Row],[KOD_PRODUKTU]])&gt;0,"ELEMENT","PRODUKT")</f>
        <v>#REF!</v>
      </c>
      <c r="M3297" t="e">
        <f>COUNTIF(#REF!,Tabela2[[#This Row],[KOD_PRODUKTU]])</f>
        <v>#REF!</v>
      </c>
    </row>
    <row r="3298" spans="1:13" x14ac:dyDescent="0.25">
      <c r="A3298" s="1" t="s">
        <v>4953</v>
      </c>
      <c r="B3298" t="s">
        <v>4954</v>
      </c>
      <c r="C3298" s="1" t="s">
        <v>7</v>
      </c>
      <c r="D3298" s="1" t="s">
        <v>7</v>
      </c>
      <c r="E3298" s="1" t="s">
        <v>7</v>
      </c>
      <c r="F3298" t="s">
        <v>8</v>
      </c>
      <c r="G3298" t="s">
        <v>9</v>
      </c>
      <c r="H3298" t="s">
        <v>10</v>
      </c>
      <c r="I3298" t="s">
        <v>1733</v>
      </c>
      <c r="J3298">
        <v>2.5</v>
      </c>
      <c r="K3298" t="e">
        <f>IF(COUNTIF(#REF!,Tabela2[[#This Row],[IdxWspolny]])&gt;0,"ELEM_lub_PRD","TECHN")</f>
        <v>#REF!</v>
      </c>
      <c r="L3298" t="e">
        <f>IF(COUNTIF(#REF!,Tabela2[[#This Row],[KOD_PRODUKTU]])&gt;0,"ELEMENT","PRODUKT")</f>
        <v>#REF!</v>
      </c>
      <c r="M3298" t="e">
        <f>COUNTIF(#REF!,Tabela2[[#This Row],[KOD_PRODUKTU]])</f>
        <v>#REF!</v>
      </c>
    </row>
    <row r="3299" spans="1:13" x14ac:dyDescent="0.25">
      <c r="A3299" s="1" t="s">
        <v>4955</v>
      </c>
      <c r="B3299" t="s">
        <v>4956</v>
      </c>
      <c r="C3299" s="1" t="s">
        <v>2961</v>
      </c>
      <c r="D3299" s="1" t="s">
        <v>2961</v>
      </c>
      <c r="E3299" s="1" t="s">
        <v>2961</v>
      </c>
      <c r="F3299" t="s">
        <v>2962</v>
      </c>
      <c r="G3299" t="s">
        <v>4430</v>
      </c>
      <c r="H3299" t="s">
        <v>5</v>
      </c>
      <c r="I3299" t="s">
        <v>4957</v>
      </c>
      <c r="J3299">
        <v>0.55000000000000004</v>
      </c>
      <c r="K3299" t="e">
        <f>IF(COUNTIF(#REF!,Tabela2[[#This Row],[IdxWspolny]])&gt;0,"ELEM_lub_PRD","TECHN")</f>
        <v>#REF!</v>
      </c>
      <c r="L3299" t="e">
        <f>IF(COUNTIF(#REF!,Tabela2[[#This Row],[KOD_PRODUKTU]])&gt;0,"ELEMENT","PRODUKT")</f>
        <v>#REF!</v>
      </c>
      <c r="M3299" t="e">
        <f>COUNTIF(#REF!,Tabela2[[#This Row],[KOD_PRODUKTU]])</f>
        <v>#REF!</v>
      </c>
    </row>
    <row r="3300" spans="1:13" x14ac:dyDescent="0.25">
      <c r="A3300" s="1" t="s">
        <v>4955</v>
      </c>
      <c r="B3300" t="s">
        <v>4956</v>
      </c>
      <c r="C3300" s="1" t="s">
        <v>7</v>
      </c>
      <c r="D3300" s="1" t="s">
        <v>7</v>
      </c>
      <c r="E3300" s="1" t="s">
        <v>7</v>
      </c>
      <c r="F3300" t="s">
        <v>8</v>
      </c>
      <c r="G3300" t="s">
        <v>9</v>
      </c>
      <c r="H3300" t="s">
        <v>10</v>
      </c>
      <c r="I3300" t="s">
        <v>1791</v>
      </c>
      <c r="J3300">
        <v>2.4500000000000002</v>
      </c>
      <c r="K3300" t="e">
        <f>IF(COUNTIF(#REF!,Tabela2[[#This Row],[IdxWspolny]])&gt;0,"ELEM_lub_PRD","TECHN")</f>
        <v>#REF!</v>
      </c>
      <c r="L3300" t="e">
        <f>IF(COUNTIF(#REF!,Tabela2[[#This Row],[KOD_PRODUKTU]])&gt;0,"ELEMENT","PRODUKT")</f>
        <v>#REF!</v>
      </c>
      <c r="M3300" t="e">
        <f>COUNTIF(#REF!,Tabela2[[#This Row],[KOD_PRODUKTU]])</f>
        <v>#REF!</v>
      </c>
    </row>
    <row r="3301" spans="1:13" x14ac:dyDescent="0.25">
      <c r="A3301" s="1" t="s">
        <v>4958</v>
      </c>
      <c r="B3301" t="s">
        <v>4959</v>
      </c>
      <c r="C3301" s="1" t="s">
        <v>3063</v>
      </c>
      <c r="D3301" s="1" t="s">
        <v>3063</v>
      </c>
      <c r="E3301" s="1" t="s">
        <v>3063</v>
      </c>
      <c r="F3301" t="s">
        <v>3064</v>
      </c>
      <c r="G3301" t="s">
        <v>1017</v>
      </c>
      <c r="H3301" t="s">
        <v>5</v>
      </c>
      <c r="I3301" t="s">
        <v>4960</v>
      </c>
      <c r="J3301">
        <v>1.95</v>
      </c>
      <c r="K3301" t="e">
        <f>IF(COUNTIF(#REF!,Tabela2[[#This Row],[IdxWspolny]])&gt;0,"ELEM_lub_PRD","TECHN")</f>
        <v>#REF!</v>
      </c>
      <c r="L3301" t="e">
        <f>IF(COUNTIF(#REF!,Tabela2[[#This Row],[KOD_PRODUKTU]])&gt;0,"ELEMENT","PRODUKT")</f>
        <v>#REF!</v>
      </c>
      <c r="M3301" t="e">
        <f>COUNTIF(#REF!,Tabela2[[#This Row],[KOD_PRODUKTU]])</f>
        <v>#REF!</v>
      </c>
    </row>
    <row r="3302" spans="1:13" x14ac:dyDescent="0.25">
      <c r="A3302" s="1" t="s">
        <v>4958</v>
      </c>
      <c r="B3302" t="s">
        <v>4959</v>
      </c>
      <c r="C3302" s="1" t="s">
        <v>7</v>
      </c>
      <c r="D3302" s="1" t="s">
        <v>7</v>
      </c>
      <c r="E3302" s="1" t="s">
        <v>7</v>
      </c>
      <c r="F3302" t="s">
        <v>8</v>
      </c>
      <c r="G3302" t="s">
        <v>9</v>
      </c>
      <c r="H3302" t="s">
        <v>10</v>
      </c>
      <c r="I3302" t="s">
        <v>33</v>
      </c>
      <c r="J3302">
        <v>9.1999999999999993</v>
      </c>
      <c r="K3302" t="e">
        <f>IF(COUNTIF(#REF!,Tabela2[[#This Row],[IdxWspolny]])&gt;0,"ELEM_lub_PRD","TECHN")</f>
        <v>#REF!</v>
      </c>
      <c r="L3302" t="e">
        <f>IF(COUNTIF(#REF!,Tabela2[[#This Row],[KOD_PRODUKTU]])&gt;0,"ELEMENT","PRODUKT")</f>
        <v>#REF!</v>
      </c>
      <c r="M3302" t="e">
        <f>COUNTIF(#REF!,Tabela2[[#This Row],[KOD_PRODUKTU]])</f>
        <v>#REF!</v>
      </c>
    </row>
    <row r="3303" spans="1:13" x14ac:dyDescent="0.25">
      <c r="A3303" s="1" t="s">
        <v>4961</v>
      </c>
      <c r="B3303" t="s">
        <v>4962</v>
      </c>
      <c r="C3303" s="1" t="s">
        <v>4963</v>
      </c>
      <c r="D3303" s="1" t="s">
        <v>4963</v>
      </c>
      <c r="E3303" s="1" t="s">
        <v>4963</v>
      </c>
      <c r="F3303" t="s">
        <v>4964</v>
      </c>
      <c r="G3303" t="s">
        <v>666</v>
      </c>
      <c r="H3303" t="s">
        <v>5</v>
      </c>
      <c r="I3303" t="s">
        <v>605</v>
      </c>
      <c r="J3303">
        <v>0.7</v>
      </c>
      <c r="K3303" t="e">
        <f>IF(COUNTIF(#REF!,Tabela2[[#This Row],[IdxWspolny]])&gt;0,"ELEM_lub_PRD","TECHN")</f>
        <v>#REF!</v>
      </c>
      <c r="L3303" t="e">
        <f>IF(COUNTIF(#REF!,Tabela2[[#This Row],[KOD_PRODUKTU]])&gt;0,"ELEMENT","PRODUKT")</f>
        <v>#REF!</v>
      </c>
      <c r="M3303" t="e">
        <f>COUNTIF(#REF!,Tabela2[[#This Row],[KOD_PRODUKTU]])</f>
        <v>#REF!</v>
      </c>
    </row>
    <row r="3304" spans="1:13" x14ac:dyDescent="0.25">
      <c r="A3304" s="1" t="s">
        <v>4961</v>
      </c>
      <c r="B3304" t="s">
        <v>4962</v>
      </c>
      <c r="C3304" s="1" t="s">
        <v>7</v>
      </c>
      <c r="D3304" s="1" t="s">
        <v>7</v>
      </c>
      <c r="E3304" s="1" t="s">
        <v>7</v>
      </c>
      <c r="F3304" t="s">
        <v>8</v>
      </c>
      <c r="G3304" t="s">
        <v>9</v>
      </c>
      <c r="H3304" t="s">
        <v>10</v>
      </c>
      <c r="I3304" t="s">
        <v>33</v>
      </c>
      <c r="J3304">
        <v>9.1999999999999993</v>
      </c>
      <c r="K3304" t="e">
        <f>IF(COUNTIF(#REF!,Tabela2[[#This Row],[IdxWspolny]])&gt;0,"ELEM_lub_PRD","TECHN")</f>
        <v>#REF!</v>
      </c>
      <c r="L3304" t="e">
        <f>IF(COUNTIF(#REF!,Tabela2[[#This Row],[KOD_PRODUKTU]])&gt;0,"ELEMENT","PRODUKT")</f>
        <v>#REF!</v>
      </c>
      <c r="M3304" t="e">
        <f>COUNTIF(#REF!,Tabela2[[#This Row],[KOD_PRODUKTU]])</f>
        <v>#REF!</v>
      </c>
    </row>
    <row r="3305" spans="1:13" x14ac:dyDescent="0.25">
      <c r="A3305" s="1" t="s">
        <v>804</v>
      </c>
      <c r="B3305" t="s">
        <v>805</v>
      </c>
      <c r="C3305" s="1" t="s">
        <v>1345</v>
      </c>
      <c r="D3305" s="1" t="s">
        <v>1345</v>
      </c>
      <c r="E3305" s="1" t="s">
        <v>1345</v>
      </c>
      <c r="F3305" t="s">
        <v>1346</v>
      </c>
      <c r="G3305" t="s">
        <v>1369</v>
      </c>
      <c r="H3305" t="s">
        <v>5</v>
      </c>
      <c r="I3305" t="s">
        <v>4965</v>
      </c>
      <c r="J3305">
        <v>9.75</v>
      </c>
      <c r="K3305" t="e">
        <f>IF(COUNTIF(#REF!,Tabela2[[#This Row],[IdxWspolny]])&gt;0,"ELEM_lub_PRD","TECHN")</f>
        <v>#REF!</v>
      </c>
      <c r="L3305" t="e">
        <f>IF(COUNTIF(#REF!,Tabela2[[#This Row],[KOD_PRODUKTU]])&gt;0,"ELEMENT","PRODUKT")</f>
        <v>#REF!</v>
      </c>
      <c r="M3305" t="e">
        <f>COUNTIF(#REF!,Tabela2[[#This Row],[KOD_PRODUKTU]])</f>
        <v>#REF!</v>
      </c>
    </row>
    <row r="3306" spans="1:13" x14ac:dyDescent="0.25">
      <c r="A3306" s="1" t="s">
        <v>804</v>
      </c>
      <c r="B3306" t="s">
        <v>805</v>
      </c>
      <c r="C3306" s="1" t="s">
        <v>7</v>
      </c>
      <c r="D3306" s="1" t="s">
        <v>7</v>
      </c>
      <c r="E3306" s="1" t="s">
        <v>7</v>
      </c>
      <c r="F3306" t="s">
        <v>8</v>
      </c>
      <c r="G3306" t="s">
        <v>9</v>
      </c>
      <c r="H3306" t="s">
        <v>10</v>
      </c>
      <c r="I3306" t="s">
        <v>1114</v>
      </c>
      <c r="J3306">
        <v>3.15</v>
      </c>
      <c r="K3306" t="e">
        <f>IF(COUNTIF(#REF!,Tabela2[[#This Row],[IdxWspolny]])&gt;0,"ELEM_lub_PRD","TECHN")</f>
        <v>#REF!</v>
      </c>
      <c r="L3306" t="e">
        <f>IF(COUNTIF(#REF!,Tabela2[[#This Row],[KOD_PRODUKTU]])&gt;0,"ELEMENT","PRODUKT")</f>
        <v>#REF!</v>
      </c>
      <c r="M3306" t="e">
        <f>COUNTIF(#REF!,Tabela2[[#This Row],[KOD_PRODUKTU]])</f>
        <v>#REF!</v>
      </c>
    </row>
    <row r="3307" spans="1:13" x14ac:dyDescent="0.25">
      <c r="A3307" s="1" t="s">
        <v>806</v>
      </c>
      <c r="B3307" t="s">
        <v>807</v>
      </c>
      <c r="C3307" s="1" t="s">
        <v>1345</v>
      </c>
      <c r="D3307" s="1" t="s">
        <v>1345</v>
      </c>
      <c r="E3307" s="1" t="s">
        <v>1345</v>
      </c>
      <c r="F3307" t="s">
        <v>1346</v>
      </c>
      <c r="G3307" t="s">
        <v>1369</v>
      </c>
      <c r="H3307" t="s">
        <v>5</v>
      </c>
      <c r="I3307" t="s">
        <v>4965</v>
      </c>
      <c r="J3307">
        <v>9.75</v>
      </c>
      <c r="K3307" t="e">
        <f>IF(COUNTIF(#REF!,Tabela2[[#This Row],[IdxWspolny]])&gt;0,"ELEM_lub_PRD","TECHN")</f>
        <v>#REF!</v>
      </c>
      <c r="L3307" t="e">
        <f>IF(COUNTIF(#REF!,Tabela2[[#This Row],[KOD_PRODUKTU]])&gt;0,"ELEMENT","PRODUKT")</f>
        <v>#REF!</v>
      </c>
      <c r="M3307" t="e">
        <f>COUNTIF(#REF!,Tabela2[[#This Row],[KOD_PRODUKTU]])</f>
        <v>#REF!</v>
      </c>
    </row>
    <row r="3308" spans="1:13" x14ac:dyDescent="0.25">
      <c r="A3308" s="1" t="s">
        <v>806</v>
      </c>
      <c r="B3308" t="s">
        <v>807</v>
      </c>
      <c r="C3308" s="1" t="s">
        <v>7</v>
      </c>
      <c r="D3308" s="1" t="s">
        <v>7</v>
      </c>
      <c r="E3308" s="1" t="s">
        <v>7</v>
      </c>
      <c r="F3308" t="s">
        <v>8</v>
      </c>
      <c r="G3308" t="s">
        <v>9</v>
      </c>
      <c r="H3308" t="s">
        <v>10</v>
      </c>
      <c r="I3308" t="s">
        <v>1114</v>
      </c>
      <c r="J3308">
        <v>3.15</v>
      </c>
      <c r="K3308" t="e">
        <f>IF(COUNTIF(#REF!,Tabela2[[#This Row],[IdxWspolny]])&gt;0,"ELEM_lub_PRD","TECHN")</f>
        <v>#REF!</v>
      </c>
      <c r="L3308" t="e">
        <f>IF(COUNTIF(#REF!,Tabela2[[#This Row],[KOD_PRODUKTU]])&gt;0,"ELEMENT","PRODUKT")</f>
        <v>#REF!</v>
      </c>
      <c r="M3308" t="e">
        <f>COUNTIF(#REF!,Tabela2[[#This Row],[KOD_PRODUKTU]])</f>
        <v>#REF!</v>
      </c>
    </row>
    <row r="3309" spans="1:13" x14ac:dyDescent="0.25">
      <c r="A3309" s="1" t="s">
        <v>808</v>
      </c>
      <c r="B3309" t="s">
        <v>809</v>
      </c>
      <c r="C3309" s="1" t="s">
        <v>1345</v>
      </c>
      <c r="D3309" s="1" t="s">
        <v>1345</v>
      </c>
      <c r="E3309" s="1" t="s">
        <v>1345</v>
      </c>
      <c r="F3309" t="s">
        <v>1346</v>
      </c>
      <c r="G3309" t="s">
        <v>1369</v>
      </c>
      <c r="H3309" t="s">
        <v>5</v>
      </c>
      <c r="I3309" t="s">
        <v>4966</v>
      </c>
      <c r="J3309">
        <v>1.45</v>
      </c>
      <c r="K3309" t="e">
        <f>IF(COUNTIF(#REF!,Tabela2[[#This Row],[IdxWspolny]])&gt;0,"ELEM_lub_PRD","TECHN")</f>
        <v>#REF!</v>
      </c>
      <c r="L3309" t="e">
        <f>IF(COUNTIF(#REF!,Tabela2[[#This Row],[KOD_PRODUKTU]])&gt;0,"ELEMENT","PRODUKT")</f>
        <v>#REF!</v>
      </c>
      <c r="M3309" t="e">
        <f>COUNTIF(#REF!,Tabela2[[#This Row],[KOD_PRODUKTU]])</f>
        <v>#REF!</v>
      </c>
    </row>
    <row r="3310" spans="1:13" x14ac:dyDescent="0.25">
      <c r="A3310" s="1" t="s">
        <v>808</v>
      </c>
      <c r="B3310" t="s">
        <v>809</v>
      </c>
      <c r="C3310" s="1" t="s">
        <v>7</v>
      </c>
      <c r="D3310" s="1" t="s">
        <v>7</v>
      </c>
      <c r="E3310" s="1" t="s">
        <v>7</v>
      </c>
      <c r="F3310" t="s">
        <v>8</v>
      </c>
      <c r="G3310" t="s">
        <v>9</v>
      </c>
      <c r="H3310" t="s">
        <v>10</v>
      </c>
      <c r="I3310" t="s">
        <v>1773</v>
      </c>
      <c r="J3310">
        <v>3</v>
      </c>
      <c r="K3310" t="e">
        <f>IF(COUNTIF(#REF!,Tabela2[[#This Row],[IdxWspolny]])&gt;0,"ELEM_lub_PRD","TECHN")</f>
        <v>#REF!</v>
      </c>
      <c r="L3310" t="e">
        <f>IF(COUNTIF(#REF!,Tabela2[[#This Row],[KOD_PRODUKTU]])&gt;0,"ELEMENT","PRODUKT")</f>
        <v>#REF!</v>
      </c>
      <c r="M3310" t="e">
        <f>COUNTIF(#REF!,Tabela2[[#This Row],[KOD_PRODUKTU]])</f>
        <v>#REF!</v>
      </c>
    </row>
    <row r="3311" spans="1:13" x14ac:dyDescent="0.25">
      <c r="A3311" s="1" t="s">
        <v>845</v>
      </c>
      <c r="B3311" t="s">
        <v>846</v>
      </c>
      <c r="C3311" s="1" t="s">
        <v>4967</v>
      </c>
      <c r="D3311" s="1" t="s">
        <v>4967</v>
      </c>
      <c r="E3311" s="1" t="s">
        <v>4967</v>
      </c>
      <c r="F3311" t="s">
        <v>4968</v>
      </c>
      <c r="G3311" t="s">
        <v>4969</v>
      </c>
      <c r="H3311" t="s">
        <v>49</v>
      </c>
      <c r="I3311" t="s">
        <v>50</v>
      </c>
      <c r="J3311">
        <v>61.1</v>
      </c>
      <c r="K3311" t="e">
        <f>IF(COUNTIF(#REF!,Tabela2[[#This Row],[IdxWspolny]])&gt;0,"ELEM_lub_PRD","TECHN")</f>
        <v>#REF!</v>
      </c>
      <c r="L3311" t="e">
        <f>IF(COUNTIF(#REF!,Tabela2[[#This Row],[KOD_PRODUKTU]])&gt;0,"ELEMENT","PRODUKT")</f>
        <v>#REF!</v>
      </c>
      <c r="M3311" t="e">
        <f>COUNTIF(#REF!,Tabela2[[#This Row],[KOD_PRODUKTU]])</f>
        <v>#REF!</v>
      </c>
    </row>
    <row r="3312" spans="1:13" x14ac:dyDescent="0.25">
      <c r="A3312" s="1" t="s">
        <v>845</v>
      </c>
      <c r="B3312" t="s">
        <v>846</v>
      </c>
      <c r="C3312" s="1" t="s">
        <v>4970</v>
      </c>
      <c r="D3312" s="1" t="s">
        <v>4970</v>
      </c>
      <c r="E3312" s="1" t="s">
        <v>4970</v>
      </c>
      <c r="F3312" t="s">
        <v>4971</v>
      </c>
      <c r="G3312" t="s">
        <v>4972</v>
      </c>
      <c r="H3312" t="s">
        <v>49</v>
      </c>
      <c r="I3312" t="s">
        <v>50</v>
      </c>
      <c r="J3312">
        <v>32.9</v>
      </c>
      <c r="K3312" t="e">
        <f>IF(COUNTIF(#REF!,Tabela2[[#This Row],[IdxWspolny]])&gt;0,"ELEM_lub_PRD","TECHN")</f>
        <v>#REF!</v>
      </c>
      <c r="L3312" t="e">
        <f>IF(COUNTIF(#REF!,Tabela2[[#This Row],[KOD_PRODUKTU]])&gt;0,"ELEMENT","PRODUKT")</f>
        <v>#REF!</v>
      </c>
      <c r="M3312" t="e">
        <f>COUNTIF(#REF!,Tabela2[[#This Row],[KOD_PRODUKTU]])</f>
        <v>#REF!</v>
      </c>
    </row>
    <row r="3313" spans="1:13" x14ac:dyDescent="0.25">
      <c r="A3313" s="1" t="s">
        <v>845</v>
      </c>
      <c r="B3313" t="s">
        <v>846</v>
      </c>
      <c r="C3313" s="1" t="s">
        <v>857</v>
      </c>
      <c r="D3313" s="1" t="s">
        <v>857</v>
      </c>
      <c r="E3313" s="1" t="s">
        <v>857</v>
      </c>
      <c r="F3313" t="s">
        <v>858</v>
      </c>
      <c r="G3313" t="s">
        <v>686</v>
      </c>
      <c r="H3313" t="s">
        <v>49</v>
      </c>
      <c r="I3313" t="s">
        <v>4973</v>
      </c>
      <c r="J3313">
        <v>10.15</v>
      </c>
      <c r="K3313" t="e">
        <f>IF(COUNTIF(#REF!,Tabela2[[#This Row],[IdxWspolny]])&gt;0,"ELEM_lub_PRD","TECHN")</f>
        <v>#REF!</v>
      </c>
      <c r="L3313" t="e">
        <f>IF(COUNTIF(#REF!,Tabela2[[#This Row],[KOD_PRODUKTU]])&gt;0,"ELEMENT","PRODUKT")</f>
        <v>#REF!</v>
      </c>
      <c r="M3313" t="e">
        <f>COUNTIF(#REF!,Tabela2[[#This Row],[KOD_PRODUKTU]])</f>
        <v>#REF!</v>
      </c>
    </row>
    <row r="3314" spans="1:13" x14ac:dyDescent="0.25">
      <c r="A3314" s="1" t="s">
        <v>845</v>
      </c>
      <c r="B3314" t="s">
        <v>846</v>
      </c>
      <c r="C3314" s="1" t="s">
        <v>7</v>
      </c>
      <c r="D3314" s="1" t="s">
        <v>7</v>
      </c>
      <c r="E3314" s="1" t="s">
        <v>7</v>
      </c>
      <c r="F3314" t="s">
        <v>8</v>
      </c>
      <c r="G3314" t="s">
        <v>9</v>
      </c>
      <c r="H3314" t="s">
        <v>10</v>
      </c>
      <c r="I3314" t="s">
        <v>3164</v>
      </c>
      <c r="J3314">
        <v>29.5</v>
      </c>
      <c r="K3314" t="e">
        <f>IF(COUNTIF(#REF!,Tabela2[[#This Row],[IdxWspolny]])&gt;0,"ELEM_lub_PRD","TECHN")</f>
        <v>#REF!</v>
      </c>
      <c r="L3314" t="e">
        <f>IF(COUNTIF(#REF!,Tabela2[[#This Row],[KOD_PRODUKTU]])&gt;0,"ELEMENT","PRODUKT")</f>
        <v>#REF!</v>
      </c>
      <c r="M3314" t="e">
        <f>COUNTIF(#REF!,Tabela2[[#This Row],[KOD_PRODUKTU]])</f>
        <v>#REF!</v>
      </c>
    </row>
    <row r="3315" spans="1:13" x14ac:dyDescent="0.25">
      <c r="A3315" s="1" t="s">
        <v>845</v>
      </c>
      <c r="B3315" t="s">
        <v>846</v>
      </c>
      <c r="C3315" s="1" t="s">
        <v>7</v>
      </c>
      <c r="D3315" s="1" t="s">
        <v>7</v>
      </c>
      <c r="E3315" s="1" t="s">
        <v>7</v>
      </c>
      <c r="F3315" t="s">
        <v>8</v>
      </c>
      <c r="G3315" t="s">
        <v>9</v>
      </c>
      <c r="H3315" t="s">
        <v>10</v>
      </c>
      <c r="I3315" t="s">
        <v>4974</v>
      </c>
      <c r="J3315">
        <v>42.35</v>
      </c>
      <c r="K3315" t="e">
        <f>IF(COUNTIF(#REF!,Tabela2[[#This Row],[IdxWspolny]])&gt;0,"ELEM_lub_PRD","TECHN")</f>
        <v>#REF!</v>
      </c>
      <c r="L3315" t="e">
        <f>IF(COUNTIF(#REF!,Tabela2[[#This Row],[KOD_PRODUKTU]])&gt;0,"ELEMENT","PRODUKT")</f>
        <v>#REF!</v>
      </c>
      <c r="M3315" t="e">
        <f>COUNTIF(#REF!,Tabela2[[#This Row],[KOD_PRODUKTU]])</f>
        <v>#REF!</v>
      </c>
    </row>
    <row r="3316" spans="1:13" x14ac:dyDescent="0.25">
      <c r="A3316" s="1" t="s">
        <v>848</v>
      </c>
      <c r="B3316" t="s">
        <v>849</v>
      </c>
      <c r="C3316" s="1" t="s">
        <v>1345</v>
      </c>
      <c r="D3316" s="1" t="s">
        <v>1345</v>
      </c>
      <c r="E3316" s="1" t="s">
        <v>1345</v>
      </c>
      <c r="F3316" t="s">
        <v>1346</v>
      </c>
      <c r="G3316" t="s">
        <v>1369</v>
      </c>
      <c r="H3316" t="s">
        <v>5</v>
      </c>
      <c r="I3316" t="s">
        <v>4975</v>
      </c>
      <c r="J3316">
        <v>3.3</v>
      </c>
      <c r="K3316" t="e">
        <f>IF(COUNTIF(#REF!,Tabela2[[#This Row],[IdxWspolny]])&gt;0,"ELEM_lub_PRD","TECHN")</f>
        <v>#REF!</v>
      </c>
      <c r="L3316" t="e">
        <f>IF(COUNTIF(#REF!,Tabela2[[#This Row],[KOD_PRODUKTU]])&gt;0,"ELEMENT","PRODUKT")</f>
        <v>#REF!</v>
      </c>
      <c r="M3316" t="e">
        <f>COUNTIF(#REF!,Tabela2[[#This Row],[KOD_PRODUKTU]])</f>
        <v>#REF!</v>
      </c>
    </row>
    <row r="3317" spans="1:13" x14ac:dyDescent="0.25">
      <c r="A3317" s="1" t="s">
        <v>848</v>
      </c>
      <c r="B3317" t="s">
        <v>849</v>
      </c>
      <c r="C3317" s="1" t="s">
        <v>7</v>
      </c>
      <c r="D3317" s="1" t="s">
        <v>7</v>
      </c>
      <c r="E3317" s="1" t="s">
        <v>7</v>
      </c>
      <c r="F3317" t="s">
        <v>8</v>
      </c>
      <c r="G3317" t="s">
        <v>9</v>
      </c>
      <c r="H3317" t="s">
        <v>10</v>
      </c>
      <c r="I3317" t="s">
        <v>4976</v>
      </c>
      <c r="J3317">
        <v>3.2</v>
      </c>
      <c r="K3317" t="e">
        <f>IF(COUNTIF(#REF!,Tabela2[[#This Row],[IdxWspolny]])&gt;0,"ELEM_lub_PRD","TECHN")</f>
        <v>#REF!</v>
      </c>
      <c r="L3317" t="e">
        <f>IF(COUNTIF(#REF!,Tabela2[[#This Row],[KOD_PRODUKTU]])&gt;0,"ELEMENT","PRODUKT")</f>
        <v>#REF!</v>
      </c>
      <c r="M3317" t="e">
        <f>COUNTIF(#REF!,Tabela2[[#This Row],[KOD_PRODUKTU]])</f>
        <v>#REF!</v>
      </c>
    </row>
    <row r="3318" spans="1:13" x14ac:dyDescent="0.25">
      <c r="A3318" s="1" t="s">
        <v>851</v>
      </c>
      <c r="B3318" t="s">
        <v>852</v>
      </c>
      <c r="C3318" s="1" t="s">
        <v>1345</v>
      </c>
      <c r="D3318" s="1" t="s">
        <v>1345</v>
      </c>
      <c r="E3318" s="1" t="s">
        <v>1345</v>
      </c>
      <c r="F3318" t="s">
        <v>1346</v>
      </c>
      <c r="G3318" t="s">
        <v>1369</v>
      </c>
      <c r="H3318" t="s">
        <v>5</v>
      </c>
      <c r="I3318" t="s">
        <v>4977</v>
      </c>
      <c r="J3318">
        <v>3.9</v>
      </c>
      <c r="K3318" t="e">
        <f>IF(COUNTIF(#REF!,Tabela2[[#This Row],[IdxWspolny]])&gt;0,"ELEM_lub_PRD","TECHN")</f>
        <v>#REF!</v>
      </c>
      <c r="L3318" t="e">
        <f>IF(COUNTIF(#REF!,Tabela2[[#This Row],[KOD_PRODUKTU]])&gt;0,"ELEMENT","PRODUKT")</f>
        <v>#REF!</v>
      </c>
      <c r="M3318" t="e">
        <f>COUNTIF(#REF!,Tabela2[[#This Row],[KOD_PRODUKTU]])</f>
        <v>#REF!</v>
      </c>
    </row>
    <row r="3319" spans="1:13" x14ac:dyDescent="0.25">
      <c r="A3319" s="1" t="s">
        <v>851</v>
      </c>
      <c r="B3319" t="s">
        <v>852</v>
      </c>
      <c r="C3319" s="1" t="s">
        <v>7</v>
      </c>
      <c r="D3319" s="1" t="s">
        <v>7</v>
      </c>
      <c r="E3319" s="1" t="s">
        <v>7</v>
      </c>
      <c r="F3319" t="s">
        <v>8</v>
      </c>
      <c r="G3319" t="s">
        <v>9</v>
      </c>
      <c r="H3319" t="s">
        <v>10</v>
      </c>
      <c r="I3319" t="s">
        <v>4976</v>
      </c>
      <c r="J3319">
        <v>3.2</v>
      </c>
      <c r="K3319" t="e">
        <f>IF(COUNTIF(#REF!,Tabela2[[#This Row],[IdxWspolny]])&gt;0,"ELEM_lub_PRD","TECHN")</f>
        <v>#REF!</v>
      </c>
      <c r="L3319" t="e">
        <f>IF(COUNTIF(#REF!,Tabela2[[#This Row],[KOD_PRODUKTU]])&gt;0,"ELEMENT","PRODUKT")</f>
        <v>#REF!</v>
      </c>
      <c r="M3319" t="e">
        <f>COUNTIF(#REF!,Tabela2[[#This Row],[KOD_PRODUKTU]])</f>
        <v>#REF!</v>
      </c>
    </row>
    <row r="3320" spans="1:13" x14ac:dyDescent="0.25">
      <c r="A3320" s="1" t="s">
        <v>854</v>
      </c>
      <c r="B3320" t="s">
        <v>855</v>
      </c>
      <c r="C3320" s="1" t="s">
        <v>1345</v>
      </c>
      <c r="D3320" s="1" t="s">
        <v>1345</v>
      </c>
      <c r="E3320" s="1" t="s">
        <v>1345</v>
      </c>
      <c r="F3320" t="s">
        <v>1346</v>
      </c>
      <c r="G3320" t="s">
        <v>1369</v>
      </c>
      <c r="H3320" t="s">
        <v>5</v>
      </c>
      <c r="I3320" t="s">
        <v>4978</v>
      </c>
      <c r="J3320">
        <v>1.2</v>
      </c>
      <c r="K3320" t="e">
        <f>IF(COUNTIF(#REF!,Tabela2[[#This Row],[IdxWspolny]])&gt;0,"ELEM_lub_PRD","TECHN")</f>
        <v>#REF!</v>
      </c>
      <c r="L3320" t="e">
        <f>IF(COUNTIF(#REF!,Tabela2[[#This Row],[KOD_PRODUKTU]])&gt;0,"ELEMENT","PRODUKT")</f>
        <v>#REF!</v>
      </c>
      <c r="M3320" t="e">
        <f>COUNTIF(#REF!,Tabela2[[#This Row],[KOD_PRODUKTU]])</f>
        <v>#REF!</v>
      </c>
    </row>
    <row r="3321" spans="1:13" x14ac:dyDescent="0.25">
      <c r="A3321" s="1" t="s">
        <v>854</v>
      </c>
      <c r="B3321" t="s">
        <v>855</v>
      </c>
      <c r="C3321" s="1" t="s">
        <v>7</v>
      </c>
      <c r="D3321" s="1" t="s">
        <v>7</v>
      </c>
      <c r="E3321" s="1" t="s">
        <v>7</v>
      </c>
      <c r="F3321" t="s">
        <v>8</v>
      </c>
      <c r="G3321" t="s">
        <v>9</v>
      </c>
      <c r="H3321" t="s">
        <v>10</v>
      </c>
      <c r="I3321" t="s">
        <v>1351</v>
      </c>
      <c r="J3321">
        <v>2.9</v>
      </c>
      <c r="K3321" t="e">
        <f>IF(COUNTIF(#REF!,Tabela2[[#This Row],[IdxWspolny]])&gt;0,"ELEM_lub_PRD","TECHN")</f>
        <v>#REF!</v>
      </c>
      <c r="L3321" t="e">
        <f>IF(COUNTIF(#REF!,Tabela2[[#This Row],[KOD_PRODUKTU]])&gt;0,"ELEMENT","PRODUKT")</f>
        <v>#REF!</v>
      </c>
      <c r="M3321" t="e">
        <f>COUNTIF(#REF!,Tabela2[[#This Row],[KOD_PRODUKTU]])</f>
        <v>#REF!</v>
      </c>
    </row>
    <row r="3322" spans="1:13" x14ac:dyDescent="0.25">
      <c r="A3322" s="1" t="s">
        <v>460</v>
      </c>
      <c r="B3322" t="s">
        <v>461</v>
      </c>
      <c r="C3322" s="1" t="s">
        <v>3506</v>
      </c>
      <c r="D3322" s="1" t="s">
        <v>3506</v>
      </c>
      <c r="E3322" s="1" t="s">
        <v>3506</v>
      </c>
      <c r="F3322" t="s">
        <v>3507</v>
      </c>
      <c r="G3322" t="s">
        <v>1394</v>
      </c>
      <c r="H3322" t="s">
        <v>5</v>
      </c>
      <c r="I3322" t="s">
        <v>4979</v>
      </c>
      <c r="J3322">
        <v>10.199999999999999</v>
      </c>
      <c r="K3322" t="e">
        <f>IF(COUNTIF(#REF!,Tabela2[[#This Row],[IdxWspolny]])&gt;0,"ELEM_lub_PRD","TECHN")</f>
        <v>#REF!</v>
      </c>
      <c r="L3322" t="e">
        <f>IF(COUNTIF(#REF!,Tabela2[[#This Row],[KOD_PRODUKTU]])&gt;0,"ELEMENT","PRODUKT")</f>
        <v>#REF!</v>
      </c>
      <c r="M3322" t="e">
        <f>COUNTIF(#REF!,Tabela2[[#This Row],[KOD_PRODUKTU]])</f>
        <v>#REF!</v>
      </c>
    </row>
    <row r="3323" spans="1:13" x14ac:dyDescent="0.25">
      <c r="A3323" s="1" t="s">
        <v>460</v>
      </c>
      <c r="B3323" t="s">
        <v>461</v>
      </c>
      <c r="C3323" s="1" t="s">
        <v>7</v>
      </c>
      <c r="D3323" s="1" t="s">
        <v>7</v>
      </c>
      <c r="E3323" s="1" t="s">
        <v>7</v>
      </c>
      <c r="F3323" t="s">
        <v>8</v>
      </c>
      <c r="G3323" t="s">
        <v>9</v>
      </c>
      <c r="H3323" t="s">
        <v>10</v>
      </c>
      <c r="I3323" t="s">
        <v>1415</v>
      </c>
      <c r="J3323">
        <v>9.6</v>
      </c>
      <c r="K3323" t="e">
        <f>IF(COUNTIF(#REF!,Tabela2[[#This Row],[IdxWspolny]])&gt;0,"ELEM_lub_PRD","TECHN")</f>
        <v>#REF!</v>
      </c>
      <c r="L3323" t="e">
        <f>IF(COUNTIF(#REF!,Tabela2[[#This Row],[KOD_PRODUKTU]])&gt;0,"ELEMENT","PRODUKT")</f>
        <v>#REF!</v>
      </c>
      <c r="M3323" t="e">
        <f>COUNTIF(#REF!,Tabela2[[#This Row],[KOD_PRODUKTU]])</f>
        <v>#REF!</v>
      </c>
    </row>
    <row r="3324" spans="1:13" x14ac:dyDescent="0.25">
      <c r="A3324" s="1" t="s">
        <v>463</v>
      </c>
      <c r="B3324" t="s">
        <v>464</v>
      </c>
      <c r="C3324" s="1" t="s">
        <v>4980</v>
      </c>
      <c r="D3324" s="1" t="s">
        <v>4980</v>
      </c>
      <c r="E3324" s="1" t="s">
        <v>4980</v>
      </c>
      <c r="F3324" t="s">
        <v>4981</v>
      </c>
      <c r="G3324" t="s">
        <v>117</v>
      </c>
      <c r="H3324" t="s">
        <v>17</v>
      </c>
      <c r="I3324" t="s">
        <v>4982</v>
      </c>
      <c r="J3324">
        <v>1.51</v>
      </c>
      <c r="K3324" t="e">
        <f>IF(COUNTIF(#REF!,Tabela2[[#This Row],[IdxWspolny]])&gt;0,"ELEM_lub_PRD","TECHN")</f>
        <v>#REF!</v>
      </c>
      <c r="L3324" t="e">
        <f>IF(COUNTIF(#REF!,Tabela2[[#This Row],[KOD_PRODUKTU]])&gt;0,"ELEMENT","PRODUKT")</f>
        <v>#REF!</v>
      </c>
      <c r="M3324" t="e">
        <f>COUNTIF(#REF!,Tabela2[[#This Row],[KOD_PRODUKTU]])</f>
        <v>#REF!</v>
      </c>
    </row>
    <row r="3325" spans="1:13" x14ac:dyDescent="0.25">
      <c r="A3325" s="1" t="s">
        <v>463</v>
      </c>
      <c r="B3325" t="s">
        <v>464</v>
      </c>
      <c r="C3325" s="1" t="s">
        <v>7</v>
      </c>
      <c r="D3325" s="1" t="s">
        <v>7</v>
      </c>
      <c r="E3325" s="1" t="s">
        <v>7</v>
      </c>
      <c r="F3325" t="s">
        <v>8</v>
      </c>
      <c r="G3325" t="s">
        <v>9</v>
      </c>
      <c r="H3325" t="s">
        <v>10</v>
      </c>
      <c r="I3325" t="s">
        <v>1096</v>
      </c>
      <c r="J3325">
        <v>4.7</v>
      </c>
      <c r="K3325" t="e">
        <f>IF(COUNTIF(#REF!,Tabela2[[#This Row],[IdxWspolny]])&gt;0,"ELEM_lub_PRD","TECHN")</f>
        <v>#REF!</v>
      </c>
      <c r="L3325" t="e">
        <f>IF(COUNTIF(#REF!,Tabela2[[#This Row],[KOD_PRODUKTU]])&gt;0,"ELEMENT","PRODUKT")</f>
        <v>#REF!</v>
      </c>
      <c r="M3325" t="e">
        <f>COUNTIF(#REF!,Tabela2[[#This Row],[KOD_PRODUKTU]])</f>
        <v>#REF!</v>
      </c>
    </row>
    <row r="3326" spans="1:13" x14ac:dyDescent="0.25">
      <c r="A3326" s="1" t="s">
        <v>466</v>
      </c>
      <c r="B3326" t="s">
        <v>467</v>
      </c>
      <c r="C3326" s="1" t="s">
        <v>3865</v>
      </c>
      <c r="D3326" s="1" t="s">
        <v>3865</v>
      </c>
      <c r="E3326" s="1" t="s">
        <v>3865</v>
      </c>
      <c r="F3326" t="s">
        <v>3866</v>
      </c>
      <c r="G3326" t="s">
        <v>403</v>
      </c>
      <c r="H3326" t="s">
        <v>17</v>
      </c>
      <c r="I3326" t="s">
        <v>3292</v>
      </c>
      <c r="J3326">
        <v>0.4</v>
      </c>
      <c r="K3326" t="e">
        <f>IF(COUNTIF(#REF!,Tabela2[[#This Row],[IdxWspolny]])&gt;0,"ELEM_lub_PRD","TECHN")</f>
        <v>#REF!</v>
      </c>
      <c r="L3326" t="e">
        <f>IF(COUNTIF(#REF!,Tabela2[[#This Row],[KOD_PRODUKTU]])&gt;0,"ELEMENT","PRODUKT")</f>
        <v>#REF!</v>
      </c>
      <c r="M3326" t="e">
        <f>COUNTIF(#REF!,Tabela2[[#This Row],[KOD_PRODUKTU]])</f>
        <v>#REF!</v>
      </c>
    </row>
    <row r="3327" spans="1:13" x14ac:dyDescent="0.25">
      <c r="A3327" s="1" t="s">
        <v>466</v>
      </c>
      <c r="B3327" t="s">
        <v>467</v>
      </c>
      <c r="C3327" s="1" t="s">
        <v>2</v>
      </c>
      <c r="D3327" s="1" t="s">
        <v>2</v>
      </c>
      <c r="E3327" s="1" t="s">
        <v>2</v>
      </c>
      <c r="F3327" t="s">
        <v>3</v>
      </c>
      <c r="G3327" t="s">
        <v>4</v>
      </c>
      <c r="H3327" t="s">
        <v>5</v>
      </c>
      <c r="I3327" t="s">
        <v>4983</v>
      </c>
      <c r="J3327">
        <v>1.3</v>
      </c>
      <c r="K3327" t="e">
        <f>IF(COUNTIF(#REF!,Tabela2[[#This Row],[IdxWspolny]])&gt;0,"ELEM_lub_PRD","TECHN")</f>
        <v>#REF!</v>
      </c>
      <c r="L3327" t="e">
        <f>IF(COUNTIF(#REF!,Tabela2[[#This Row],[KOD_PRODUKTU]])&gt;0,"ELEMENT","PRODUKT")</f>
        <v>#REF!</v>
      </c>
      <c r="M3327" t="e">
        <f>COUNTIF(#REF!,Tabela2[[#This Row],[KOD_PRODUKTU]])</f>
        <v>#REF!</v>
      </c>
    </row>
    <row r="3328" spans="1:13" x14ac:dyDescent="0.25">
      <c r="A3328" s="1" t="s">
        <v>466</v>
      </c>
      <c r="B3328" t="s">
        <v>467</v>
      </c>
      <c r="C3328" s="1" t="s">
        <v>7</v>
      </c>
      <c r="D3328" s="1" t="s">
        <v>7</v>
      </c>
      <c r="E3328" s="1" t="s">
        <v>7</v>
      </c>
      <c r="F3328" t="s">
        <v>8</v>
      </c>
      <c r="G3328" t="s">
        <v>9</v>
      </c>
      <c r="H3328" t="s">
        <v>10</v>
      </c>
      <c r="I3328" t="s">
        <v>4984</v>
      </c>
      <c r="J3328">
        <v>5.0999999999999996</v>
      </c>
      <c r="K3328" t="e">
        <f>IF(COUNTIF(#REF!,Tabela2[[#This Row],[IdxWspolny]])&gt;0,"ELEM_lub_PRD","TECHN")</f>
        <v>#REF!</v>
      </c>
      <c r="L3328" t="e">
        <f>IF(COUNTIF(#REF!,Tabela2[[#This Row],[KOD_PRODUKTU]])&gt;0,"ELEMENT","PRODUKT")</f>
        <v>#REF!</v>
      </c>
      <c r="M3328" t="e">
        <f>COUNTIF(#REF!,Tabela2[[#This Row],[KOD_PRODUKTU]])</f>
        <v>#REF!</v>
      </c>
    </row>
    <row r="3329" spans="1:13" x14ac:dyDescent="0.25">
      <c r="A3329" s="1" t="s">
        <v>4985</v>
      </c>
      <c r="B3329" t="s">
        <v>4986</v>
      </c>
      <c r="C3329" s="1" t="s">
        <v>3715</v>
      </c>
      <c r="D3329" s="1" t="s">
        <v>3715</v>
      </c>
      <c r="E3329" s="1" t="s">
        <v>3715</v>
      </c>
      <c r="F3329" t="s">
        <v>3716</v>
      </c>
      <c r="G3329" t="s">
        <v>3189</v>
      </c>
      <c r="H3329" t="s">
        <v>2378</v>
      </c>
      <c r="I3329" t="s">
        <v>1141</v>
      </c>
      <c r="J3329">
        <v>4.5</v>
      </c>
      <c r="K3329" t="e">
        <f>IF(COUNTIF(#REF!,Tabela2[[#This Row],[IdxWspolny]])&gt;0,"ELEM_lub_PRD","TECHN")</f>
        <v>#REF!</v>
      </c>
      <c r="L3329" t="e">
        <f>IF(COUNTIF(#REF!,Tabela2[[#This Row],[KOD_PRODUKTU]])&gt;0,"ELEMENT","PRODUKT")</f>
        <v>#REF!</v>
      </c>
      <c r="M3329" t="e">
        <f>COUNTIF(#REF!,Tabela2[[#This Row],[KOD_PRODUKTU]])</f>
        <v>#REF!</v>
      </c>
    </row>
    <row r="3330" spans="1:13" x14ac:dyDescent="0.25">
      <c r="A3330" s="1" t="s">
        <v>4985</v>
      </c>
      <c r="B3330" t="s">
        <v>4986</v>
      </c>
      <c r="C3330" s="1" t="s">
        <v>541</v>
      </c>
      <c r="D3330" s="1" t="s">
        <v>541</v>
      </c>
      <c r="E3330" s="1" t="s">
        <v>541</v>
      </c>
      <c r="F3330" t="s">
        <v>542</v>
      </c>
      <c r="G3330" t="s">
        <v>9</v>
      </c>
      <c r="H3330" t="s">
        <v>10</v>
      </c>
      <c r="I3330" t="s">
        <v>4987</v>
      </c>
      <c r="J3330">
        <v>3.55</v>
      </c>
      <c r="K3330" t="e">
        <f>IF(COUNTIF(#REF!,Tabela2[[#This Row],[IdxWspolny]])&gt;0,"ELEM_lub_PRD","TECHN")</f>
        <v>#REF!</v>
      </c>
      <c r="L3330" t="e">
        <f>IF(COUNTIF(#REF!,Tabela2[[#This Row],[KOD_PRODUKTU]])&gt;0,"ELEMENT","PRODUKT")</f>
        <v>#REF!</v>
      </c>
      <c r="M3330" t="e">
        <f>COUNTIF(#REF!,Tabela2[[#This Row],[KOD_PRODUKTU]])</f>
        <v>#REF!</v>
      </c>
    </row>
    <row r="3331" spans="1:13" x14ac:dyDescent="0.25">
      <c r="A3331" s="1" t="s">
        <v>4988</v>
      </c>
      <c r="B3331" t="s">
        <v>4989</v>
      </c>
      <c r="C3331" s="1" t="s">
        <v>2182</v>
      </c>
      <c r="D3331" s="1" t="s">
        <v>2182</v>
      </c>
      <c r="E3331" s="1" t="s">
        <v>2182</v>
      </c>
      <c r="F3331" t="s">
        <v>2183</v>
      </c>
      <c r="G3331" t="s">
        <v>2184</v>
      </c>
      <c r="H3331" t="s">
        <v>121</v>
      </c>
      <c r="I3331" t="s">
        <v>50</v>
      </c>
      <c r="J3331">
        <v>2.86</v>
      </c>
      <c r="K3331" t="e">
        <f>IF(COUNTIF(#REF!,Tabela2[[#This Row],[IdxWspolny]])&gt;0,"ELEM_lub_PRD","TECHN")</f>
        <v>#REF!</v>
      </c>
      <c r="L3331" t="e">
        <f>IF(COUNTIF(#REF!,Tabela2[[#This Row],[KOD_PRODUKTU]])&gt;0,"ELEMENT","PRODUKT")</f>
        <v>#REF!</v>
      </c>
      <c r="M3331" t="e">
        <f>COUNTIF(#REF!,Tabela2[[#This Row],[KOD_PRODUKTU]])</f>
        <v>#REF!</v>
      </c>
    </row>
    <row r="3332" spans="1:13" x14ac:dyDescent="0.25">
      <c r="A3332" s="1" t="s">
        <v>4988</v>
      </c>
      <c r="B3332" t="s">
        <v>4989</v>
      </c>
      <c r="C3332" s="1" t="s">
        <v>541</v>
      </c>
      <c r="D3332" s="1" t="s">
        <v>541</v>
      </c>
      <c r="E3332" s="1" t="s">
        <v>541</v>
      </c>
      <c r="F3332" t="s">
        <v>542</v>
      </c>
      <c r="G3332" t="s">
        <v>9</v>
      </c>
      <c r="H3332" t="s">
        <v>10</v>
      </c>
      <c r="I3332" t="s">
        <v>367</v>
      </c>
      <c r="J3332">
        <v>2.2999999999999998</v>
      </c>
      <c r="K3332" t="e">
        <f>IF(COUNTIF(#REF!,Tabela2[[#This Row],[IdxWspolny]])&gt;0,"ELEM_lub_PRD","TECHN")</f>
        <v>#REF!</v>
      </c>
      <c r="L3332" t="e">
        <f>IF(COUNTIF(#REF!,Tabela2[[#This Row],[KOD_PRODUKTU]])&gt;0,"ELEMENT","PRODUKT")</f>
        <v>#REF!</v>
      </c>
      <c r="M3332" t="e">
        <f>COUNTIF(#REF!,Tabela2[[#This Row],[KOD_PRODUKTU]])</f>
        <v>#REF!</v>
      </c>
    </row>
    <row r="3333" spans="1:13" x14ac:dyDescent="0.25">
      <c r="A3333" s="1" t="s">
        <v>4990</v>
      </c>
      <c r="B3333" t="s">
        <v>4991</v>
      </c>
      <c r="C3333" s="1" t="s">
        <v>4992</v>
      </c>
      <c r="D3333" s="1" t="s">
        <v>4992</v>
      </c>
      <c r="E3333" s="1" t="s">
        <v>4992</v>
      </c>
      <c r="F3333" t="s">
        <v>4991</v>
      </c>
      <c r="G3333" t="s">
        <v>4993</v>
      </c>
      <c r="H3333" t="s">
        <v>49</v>
      </c>
      <c r="I3333" t="s">
        <v>50</v>
      </c>
      <c r="J3333">
        <v>84.5</v>
      </c>
      <c r="K3333" t="e">
        <f>IF(COUNTIF(#REF!,Tabela2[[#This Row],[IdxWspolny]])&gt;0,"ELEM_lub_PRD","TECHN")</f>
        <v>#REF!</v>
      </c>
      <c r="L3333" t="e">
        <f>IF(COUNTIF(#REF!,Tabela2[[#This Row],[KOD_PRODUKTU]])&gt;0,"ELEMENT","PRODUKT")</f>
        <v>#REF!</v>
      </c>
      <c r="M3333" t="e">
        <f>COUNTIF(#REF!,Tabela2[[#This Row],[KOD_PRODUKTU]])</f>
        <v>#REF!</v>
      </c>
    </row>
    <row r="3334" spans="1:13" x14ac:dyDescent="0.25">
      <c r="A3334" s="1" t="s">
        <v>4990</v>
      </c>
      <c r="B3334" t="s">
        <v>4991</v>
      </c>
      <c r="C3334" s="1" t="s">
        <v>541</v>
      </c>
      <c r="D3334" s="1" t="s">
        <v>541</v>
      </c>
      <c r="E3334" s="1" t="s">
        <v>541</v>
      </c>
      <c r="F3334" t="s">
        <v>542</v>
      </c>
      <c r="G3334" t="s">
        <v>9</v>
      </c>
      <c r="H3334" t="s">
        <v>10</v>
      </c>
      <c r="I3334" t="s">
        <v>4994</v>
      </c>
      <c r="J3334">
        <v>4.13</v>
      </c>
      <c r="K3334" t="e">
        <f>IF(COUNTIF(#REF!,Tabela2[[#This Row],[IdxWspolny]])&gt;0,"ELEM_lub_PRD","TECHN")</f>
        <v>#REF!</v>
      </c>
      <c r="L3334" t="e">
        <f>IF(COUNTIF(#REF!,Tabela2[[#This Row],[KOD_PRODUKTU]])&gt;0,"ELEMENT","PRODUKT")</f>
        <v>#REF!</v>
      </c>
      <c r="M3334" t="e">
        <f>COUNTIF(#REF!,Tabela2[[#This Row],[KOD_PRODUKTU]])</f>
        <v>#REF!</v>
      </c>
    </row>
    <row r="3335" spans="1:13" x14ac:dyDescent="0.25">
      <c r="A3335" s="1" t="s">
        <v>4995</v>
      </c>
      <c r="B3335" t="s">
        <v>4996</v>
      </c>
      <c r="C3335" s="1" t="s">
        <v>3317</v>
      </c>
      <c r="D3335" s="1" t="s">
        <v>3317</v>
      </c>
      <c r="E3335" s="1" t="s">
        <v>3317</v>
      </c>
      <c r="F3335" t="s">
        <v>3318</v>
      </c>
      <c r="G3335" t="s">
        <v>1017</v>
      </c>
      <c r="H3335" t="s">
        <v>5</v>
      </c>
      <c r="I3335" t="s">
        <v>4997</v>
      </c>
      <c r="J3335">
        <v>0.95</v>
      </c>
      <c r="K3335" t="e">
        <f>IF(COUNTIF(#REF!,Tabela2[[#This Row],[IdxWspolny]])&gt;0,"ELEM_lub_PRD","TECHN")</f>
        <v>#REF!</v>
      </c>
      <c r="L3335" t="e">
        <f>IF(COUNTIF(#REF!,Tabela2[[#This Row],[KOD_PRODUKTU]])&gt;0,"ELEMENT","PRODUKT")</f>
        <v>#REF!</v>
      </c>
      <c r="M3335" t="e">
        <f>COUNTIF(#REF!,Tabela2[[#This Row],[KOD_PRODUKTU]])</f>
        <v>#REF!</v>
      </c>
    </row>
    <row r="3336" spans="1:13" x14ac:dyDescent="0.25">
      <c r="A3336" s="1" t="s">
        <v>4995</v>
      </c>
      <c r="B3336" t="s">
        <v>4996</v>
      </c>
      <c r="C3336" s="1" t="s">
        <v>7</v>
      </c>
      <c r="D3336" s="1" t="s">
        <v>7</v>
      </c>
      <c r="E3336" s="1" t="s">
        <v>7</v>
      </c>
      <c r="F3336" t="s">
        <v>8</v>
      </c>
      <c r="G3336" t="s">
        <v>9</v>
      </c>
      <c r="H3336" t="s">
        <v>10</v>
      </c>
      <c r="I3336" t="s">
        <v>4998</v>
      </c>
      <c r="J3336">
        <v>2.77</v>
      </c>
      <c r="K3336" t="e">
        <f>IF(COUNTIF(#REF!,Tabela2[[#This Row],[IdxWspolny]])&gt;0,"ELEM_lub_PRD","TECHN")</f>
        <v>#REF!</v>
      </c>
      <c r="L3336" t="e">
        <f>IF(COUNTIF(#REF!,Tabela2[[#This Row],[KOD_PRODUKTU]])&gt;0,"ELEMENT","PRODUKT")</f>
        <v>#REF!</v>
      </c>
      <c r="M3336" t="e">
        <f>COUNTIF(#REF!,Tabela2[[#This Row],[KOD_PRODUKTU]])</f>
        <v>#REF!</v>
      </c>
    </row>
    <row r="3337" spans="1:13" x14ac:dyDescent="0.25">
      <c r="A3337" s="1" t="s">
        <v>4999</v>
      </c>
      <c r="B3337" t="s">
        <v>5000</v>
      </c>
      <c r="C3337" s="1" t="s">
        <v>5001</v>
      </c>
      <c r="D3337" s="1" t="s">
        <v>5001</v>
      </c>
      <c r="E3337" s="1" t="s">
        <v>5001</v>
      </c>
      <c r="F3337" t="s">
        <v>5002</v>
      </c>
      <c r="G3337" t="s">
        <v>104</v>
      </c>
      <c r="H3337" t="s">
        <v>121</v>
      </c>
      <c r="I3337" t="s">
        <v>2002</v>
      </c>
      <c r="J3337">
        <v>0</v>
      </c>
      <c r="K3337" t="e">
        <f>IF(COUNTIF(#REF!,Tabela2[[#This Row],[IdxWspolny]])&gt;0,"ELEM_lub_PRD","TECHN")</f>
        <v>#REF!</v>
      </c>
      <c r="L3337" t="e">
        <f>IF(COUNTIF(#REF!,Tabela2[[#This Row],[KOD_PRODUKTU]])&gt;0,"ELEMENT","PRODUKT")</f>
        <v>#REF!</v>
      </c>
      <c r="M3337" t="e">
        <f>COUNTIF(#REF!,Tabela2[[#This Row],[KOD_PRODUKTU]])</f>
        <v>#REF!</v>
      </c>
    </row>
    <row r="3338" spans="1:13" x14ac:dyDescent="0.25">
      <c r="A3338" s="1" t="s">
        <v>4999</v>
      </c>
      <c r="B3338" t="s">
        <v>5000</v>
      </c>
      <c r="C3338" s="1" t="s">
        <v>688</v>
      </c>
      <c r="D3338" s="1" t="s">
        <v>688</v>
      </c>
      <c r="E3338" s="1" t="s">
        <v>688</v>
      </c>
      <c r="F3338" t="s">
        <v>810</v>
      </c>
      <c r="G3338" t="s">
        <v>811</v>
      </c>
      <c r="H3338" t="s">
        <v>10</v>
      </c>
      <c r="I3338" t="s">
        <v>1225</v>
      </c>
      <c r="J3338">
        <v>6.93</v>
      </c>
      <c r="K3338" t="e">
        <f>IF(COUNTIF(#REF!,Tabela2[[#This Row],[IdxWspolny]])&gt;0,"ELEM_lub_PRD","TECHN")</f>
        <v>#REF!</v>
      </c>
      <c r="L3338" t="e">
        <f>IF(COUNTIF(#REF!,Tabela2[[#This Row],[KOD_PRODUKTU]])&gt;0,"ELEMENT","PRODUKT")</f>
        <v>#REF!</v>
      </c>
      <c r="M3338" t="e">
        <f>COUNTIF(#REF!,Tabela2[[#This Row],[KOD_PRODUKTU]])</f>
        <v>#REF!</v>
      </c>
    </row>
    <row r="3339" spans="1:13" x14ac:dyDescent="0.25">
      <c r="A3339" s="1" t="s">
        <v>250</v>
      </c>
      <c r="B3339" t="s">
        <v>251</v>
      </c>
      <c r="C3339" s="1" t="s">
        <v>1487</v>
      </c>
      <c r="D3339" s="1" t="s">
        <v>1487</v>
      </c>
      <c r="E3339" s="1" t="s">
        <v>1487</v>
      </c>
      <c r="F3339" t="s">
        <v>1488</v>
      </c>
      <c r="G3339" t="s">
        <v>31</v>
      </c>
      <c r="H3339" t="s">
        <v>5</v>
      </c>
      <c r="I3339" t="s">
        <v>5003</v>
      </c>
      <c r="J3339">
        <v>22.5</v>
      </c>
      <c r="K3339" t="e">
        <f>IF(COUNTIF(#REF!,Tabela2[[#This Row],[IdxWspolny]])&gt;0,"ELEM_lub_PRD","TECHN")</f>
        <v>#REF!</v>
      </c>
      <c r="L3339" t="e">
        <f>IF(COUNTIF(#REF!,Tabela2[[#This Row],[KOD_PRODUKTU]])&gt;0,"ELEMENT","PRODUKT")</f>
        <v>#REF!</v>
      </c>
      <c r="M3339" t="e">
        <f>COUNTIF(#REF!,Tabela2[[#This Row],[KOD_PRODUKTU]])</f>
        <v>#REF!</v>
      </c>
    </row>
    <row r="3340" spans="1:13" x14ac:dyDescent="0.25">
      <c r="A3340" s="1" t="s">
        <v>250</v>
      </c>
      <c r="B3340" t="s">
        <v>251</v>
      </c>
      <c r="C3340" s="1" t="s">
        <v>432</v>
      </c>
      <c r="D3340" s="1" t="s">
        <v>432</v>
      </c>
      <c r="E3340" s="1" t="s">
        <v>432</v>
      </c>
      <c r="F3340" t="s">
        <v>433</v>
      </c>
      <c r="G3340" t="s">
        <v>434</v>
      </c>
      <c r="H3340" t="s">
        <v>435</v>
      </c>
      <c r="I3340" t="s">
        <v>5004</v>
      </c>
      <c r="J3340">
        <v>6</v>
      </c>
      <c r="K3340" t="e">
        <f>IF(COUNTIF(#REF!,Tabela2[[#This Row],[IdxWspolny]])&gt;0,"ELEM_lub_PRD","TECHN")</f>
        <v>#REF!</v>
      </c>
      <c r="L3340" t="e">
        <f>IF(COUNTIF(#REF!,Tabela2[[#This Row],[KOD_PRODUKTU]])&gt;0,"ELEMENT","PRODUKT")</f>
        <v>#REF!</v>
      </c>
      <c r="M3340" t="e">
        <f>COUNTIF(#REF!,Tabela2[[#This Row],[KOD_PRODUKTU]])</f>
        <v>#REF!</v>
      </c>
    </row>
    <row r="3341" spans="1:13" x14ac:dyDescent="0.25">
      <c r="A3341" s="1" t="s">
        <v>250</v>
      </c>
      <c r="B3341" t="s">
        <v>251</v>
      </c>
      <c r="C3341" s="1" t="s">
        <v>7</v>
      </c>
      <c r="D3341" s="1" t="s">
        <v>7</v>
      </c>
      <c r="E3341" s="1" t="s">
        <v>7</v>
      </c>
      <c r="F3341" t="s">
        <v>8</v>
      </c>
      <c r="G3341" t="s">
        <v>9</v>
      </c>
      <c r="H3341" t="s">
        <v>10</v>
      </c>
      <c r="I3341" t="s">
        <v>2114</v>
      </c>
      <c r="J3341">
        <v>15.18</v>
      </c>
      <c r="K3341" t="e">
        <f>IF(COUNTIF(#REF!,Tabela2[[#This Row],[IdxWspolny]])&gt;0,"ELEM_lub_PRD","TECHN")</f>
        <v>#REF!</v>
      </c>
      <c r="L3341" t="e">
        <f>IF(COUNTIF(#REF!,Tabela2[[#This Row],[KOD_PRODUKTU]])&gt;0,"ELEMENT","PRODUKT")</f>
        <v>#REF!</v>
      </c>
      <c r="M3341" t="e">
        <f>COUNTIF(#REF!,Tabela2[[#This Row],[KOD_PRODUKTU]])</f>
        <v>#REF!</v>
      </c>
    </row>
    <row r="3342" spans="1:13" x14ac:dyDescent="0.25">
      <c r="A3342" s="1" t="s">
        <v>253</v>
      </c>
      <c r="B3342" t="s">
        <v>254</v>
      </c>
      <c r="C3342" s="1" t="s">
        <v>1547</v>
      </c>
      <c r="D3342" s="1" t="s">
        <v>1547</v>
      </c>
      <c r="E3342" s="1" t="s">
        <v>1547</v>
      </c>
      <c r="F3342" t="s">
        <v>1548</v>
      </c>
      <c r="G3342" t="s">
        <v>403</v>
      </c>
      <c r="H3342" t="s">
        <v>5</v>
      </c>
      <c r="I3342" t="s">
        <v>594</v>
      </c>
      <c r="J3342">
        <v>1.5</v>
      </c>
      <c r="K3342" t="e">
        <f>IF(COUNTIF(#REF!,Tabela2[[#This Row],[IdxWspolny]])&gt;0,"ELEM_lub_PRD","TECHN")</f>
        <v>#REF!</v>
      </c>
      <c r="L3342" t="e">
        <f>IF(COUNTIF(#REF!,Tabela2[[#This Row],[KOD_PRODUKTU]])&gt;0,"ELEMENT","PRODUKT")</f>
        <v>#REF!</v>
      </c>
      <c r="M3342" t="e">
        <f>COUNTIF(#REF!,Tabela2[[#This Row],[KOD_PRODUKTU]])</f>
        <v>#REF!</v>
      </c>
    </row>
    <row r="3343" spans="1:13" x14ac:dyDescent="0.25">
      <c r="A3343" s="1" t="s">
        <v>253</v>
      </c>
      <c r="B3343" t="s">
        <v>254</v>
      </c>
      <c r="C3343" s="1" t="s">
        <v>432</v>
      </c>
      <c r="D3343" s="1" t="s">
        <v>432</v>
      </c>
      <c r="E3343" s="1" t="s">
        <v>432</v>
      </c>
      <c r="F3343" t="s">
        <v>433</v>
      </c>
      <c r="G3343" t="s">
        <v>434</v>
      </c>
      <c r="H3343" t="s">
        <v>435</v>
      </c>
      <c r="I3343" t="s">
        <v>50</v>
      </c>
      <c r="J3343">
        <v>1.1000000000000001</v>
      </c>
      <c r="K3343" t="e">
        <f>IF(COUNTIF(#REF!,Tabela2[[#This Row],[IdxWspolny]])&gt;0,"ELEM_lub_PRD","TECHN")</f>
        <v>#REF!</v>
      </c>
      <c r="L3343" t="e">
        <f>IF(COUNTIF(#REF!,Tabela2[[#This Row],[KOD_PRODUKTU]])&gt;0,"ELEMENT","PRODUKT")</f>
        <v>#REF!</v>
      </c>
      <c r="M3343" t="e">
        <f>COUNTIF(#REF!,Tabela2[[#This Row],[KOD_PRODUKTU]])</f>
        <v>#REF!</v>
      </c>
    </row>
    <row r="3344" spans="1:13" x14ac:dyDescent="0.25">
      <c r="A3344" s="1" t="s">
        <v>253</v>
      </c>
      <c r="B3344" t="s">
        <v>254</v>
      </c>
      <c r="C3344" s="1" t="s">
        <v>7</v>
      </c>
      <c r="D3344" s="1" t="s">
        <v>7</v>
      </c>
      <c r="E3344" s="1" t="s">
        <v>7</v>
      </c>
      <c r="F3344" t="s">
        <v>8</v>
      </c>
      <c r="G3344" t="s">
        <v>9</v>
      </c>
      <c r="H3344" t="s">
        <v>10</v>
      </c>
      <c r="I3344" t="s">
        <v>1026</v>
      </c>
      <c r="J3344">
        <v>29.9</v>
      </c>
      <c r="K3344" t="e">
        <f>IF(COUNTIF(#REF!,Tabela2[[#This Row],[IdxWspolny]])&gt;0,"ELEM_lub_PRD","TECHN")</f>
        <v>#REF!</v>
      </c>
      <c r="L3344" t="e">
        <f>IF(COUNTIF(#REF!,Tabela2[[#This Row],[KOD_PRODUKTU]])&gt;0,"ELEMENT","PRODUKT")</f>
        <v>#REF!</v>
      </c>
      <c r="M3344" t="e">
        <f>COUNTIF(#REF!,Tabela2[[#This Row],[KOD_PRODUKTU]])</f>
        <v>#REF!</v>
      </c>
    </row>
    <row r="3345" spans="1:13" x14ac:dyDescent="0.25">
      <c r="A3345" s="1" t="s">
        <v>256</v>
      </c>
      <c r="B3345" t="s">
        <v>257</v>
      </c>
      <c r="C3345" s="1" t="s">
        <v>2509</v>
      </c>
      <c r="D3345" s="1" t="s">
        <v>2509</v>
      </c>
      <c r="E3345" s="1" t="s">
        <v>2509</v>
      </c>
      <c r="F3345" t="s">
        <v>5005</v>
      </c>
      <c r="G3345" t="s">
        <v>31</v>
      </c>
      <c r="H3345" t="s">
        <v>5</v>
      </c>
      <c r="I3345" t="s">
        <v>690</v>
      </c>
      <c r="J3345">
        <v>4.7699999999999996</v>
      </c>
      <c r="K3345" t="e">
        <f>IF(COUNTIF(#REF!,Tabela2[[#This Row],[IdxWspolny]])&gt;0,"ELEM_lub_PRD","TECHN")</f>
        <v>#REF!</v>
      </c>
      <c r="L3345" t="e">
        <f>IF(COUNTIF(#REF!,Tabela2[[#This Row],[KOD_PRODUKTU]])&gt;0,"ELEMENT","PRODUKT")</f>
        <v>#REF!</v>
      </c>
      <c r="M3345" t="e">
        <f>COUNTIF(#REF!,Tabela2[[#This Row],[KOD_PRODUKTU]])</f>
        <v>#REF!</v>
      </c>
    </row>
    <row r="3346" spans="1:13" x14ac:dyDescent="0.25">
      <c r="A3346" s="1" t="s">
        <v>256</v>
      </c>
      <c r="B3346" t="s">
        <v>257</v>
      </c>
      <c r="C3346" s="1" t="s">
        <v>432</v>
      </c>
      <c r="D3346" s="1" t="s">
        <v>432</v>
      </c>
      <c r="E3346" s="1" t="s">
        <v>432</v>
      </c>
      <c r="F3346" t="s">
        <v>433</v>
      </c>
      <c r="G3346" t="s">
        <v>434</v>
      </c>
      <c r="H3346" t="s">
        <v>435</v>
      </c>
      <c r="I3346" t="s">
        <v>1170</v>
      </c>
      <c r="J3346">
        <v>3.85</v>
      </c>
      <c r="K3346" t="e">
        <f>IF(COUNTIF(#REF!,Tabela2[[#This Row],[IdxWspolny]])&gt;0,"ELEM_lub_PRD","TECHN")</f>
        <v>#REF!</v>
      </c>
      <c r="L3346" t="e">
        <f>IF(COUNTIF(#REF!,Tabela2[[#This Row],[KOD_PRODUKTU]])&gt;0,"ELEMENT","PRODUKT")</f>
        <v>#REF!</v>
      </c>
      <c r="M3346" t="e">
        <f>COUNTIF(#REF!,Tabela2[[#This Row],[KOD_PRODUKTU]])</f>
        <v>#REF!</v>
      </c>
    </row>
    <row r="3347" spans="1:13" x14ac:dyDescent="0.25">
      <c r="A3347" s="1" t="s">
        <v>256</v>
      </c>
      <c r="B3347" t="s">
        <v>257</v>
      </c>
      <c r="C3347" s="1" t="s">
        <v>7</v>
      </c>
      <c r="D3347" s="1" t="s">
        <v>7</v>
      </c>
      <c r="E3347" s="1" t="s">
        <v>7</v>
      </c>
      <c r="F3347" t="s">
        <v>8</v>
      </c>
      <c r="G3347" t="s">
        <v>9</v>
      </c>
      <c r="H3347" t="s">
        <v>10</v>
      </c>
      <c r="I3347" t="s">
        <v>1254</v>
      </c>
      <c r="J3347">
        <v>16.100000000000001</v>
      </c>
      <c r="K3347" t="e">
        <f>IF(COUNTIF(#REF!,Tabela2[[#This Row],[IdxWspolny]])&gt;0,"ELEM_lub_PRD","TECHN")</f>
        <v>#REF!</v>
      </c>
      <c r="L3347" t="e">
        <f>IF(COUNTIF(#REF!,Tabela2[[#This Row],[KOD_PRODUKTU]])&gt;0,"ELEMENT","PRODUKT")</f>
        <v>#REF!</v>
      </c>
      <c r="M3347" t="e">
        <f>COUNTIF(#REF!,Tabela2[[#This Row],[KOD_PRODUKTU]])</f>
        <v>#REF!</v>
      </c>
    </row>
    <row r="3348" spans="1:13" x14ac:dyDescent="0.25">
      <c r="A3348" s="1" t="s">
        <v>5006</v>
      </c>
      <c r="B3348" t="s">
        <v>5007</v>
      </c>
      <c r="C3348" s="1" t="s">
        <v>1487</v>
      </c>
      <c r="D3348" s="1" t="s">
        <v>1487</v>
      </c>
      <c r="E3348" s="1" t="s">
        <v>1487</v>
      </c>
      <c r="F3348" t="s">
        <v>1488</v>
      </c>
      <c r="G3348" t="s">
        <v>31</v>
      </c>
      <c r="H3348" t="s">
        <v>5</v>
      </c>
      <c r="I3348" t="s">
        <v>4004</v>
      </c>
      <c r="J3348">
        <v>0.65</v>
      </c>
      <c r="K3348" t="e">
        <f>IF(COUNTIF(#REF!,Tabela2[[#This Row],[IdxWspolny]])&gt;0,"ELEM_lub_PRD","TECHN")</f>
        <v>#REF!</v>
      </c>
      <c r="L3348" t="e">
        <f>IF(COUNTIF(#REF!,Tabela2[[#This Row],[KOD_PRODUKTU]])&gt;0,"ELEMENT","PRODUKT")</f>
        <v>#REF!</v>
      </c>
      <c r="M3348" t="e">
        <f>COUNTIF(#REF!,Tabela2[[#This Row],[KOD_PRODUKTU]])</f>
        <v>#REF!</v>
      </c>
    </row>
    <row r="3349" spans="1:13" x14ac:dyDescent="0.25">
      <c r="A3349" s="1" t="s">
        <v>5006</v>
      </c>
      <c r="B3349" t="s">
        <v>5007</v>
      </c>
      <c r="C3349" s="1" t="s">
        <v>541</v>
      </c>
      <c r="D3349" s="1" t="s">
        <v>541</v>
      </c>
      <c r="E3349" s="1" t="s">
        <v>541</v>
      </c>
      <c r="F3349" t="s">
        <v>542</v>
      </c>
      <c r="G3349" t="s">
        <v>9</v>
      </c>
      <c r="H3349" t="s">
        <v>10</v>
      </c>
      <c r="I3349" t="s">
        <v>367</v>
      </c>
      <c r="J3349">
        <v>2.2999999999999998</v>
      </c>
      <c r="K3349" t="e">
        <f>IF(COUNTIF(#REF!,Tabela2[[#This Row],[IdxWspolny]])&gt;0,"ELEM_lub_PRD","TECHN")</f>
        <v>#REF!</v>
      </c>
      <c r="L3349" t="e">
        <f>IF(COUNTIF(#REF!,Tabela2[[#This Row],[KOD_PRODUKTU]])&gt;0,"ELEMENT","PRODUKT")</f>
        <v>#REF!</v>
      </c>
      <c r="M3349" t="e">
        <f>COUNTIF(#REF!,Tabela2[[#This Row],[KOD_PRODUKTU]])</f>
        <v>#REF!</v>
      </c>
    </row>
    <row r="3350" spans="1:13" x14ac:dyDescent="0.25">
      <c r="A3350" s="1" t="s">
        <v>75</v>
      </c>
      <c r="B3350" t="s">
        <v>76</v>
      </c>
      <c r="C3350" s="1" t="s">
        <v>2961</v>
      </c>
      <c r="D3350" s="1" t="s">
        <v>2961</v>
      </c>
      <c r="E3350" s="1" t="s">
        <v>2961</v>
      </c>
      <c r="F3350" t="s">
        <v>2962</v>
      </c>
      <c r="G3350" t="s">
        <v>2963</v>
      </c>
      <c r="H3350" t="s">
        <v>5</v>
      </c>
      <c r="I3350" t="s">
        <v>5008</v>
      </c>
      <c r="J3350">
        <v>0.3</v>
      </c>
      <c r="K3350" t="e">
        <f>IF(COUNTIF(#REF!,Tabela2[[#This Row],[IdxWspolny]])&gt;0,"ELEM_lub_PRD","TECHN")</f>
        <v>#REF!</v>
      </c>
      <c r="L3350" t="e">
        <f>IF(COUNTIF(#REF!,Tabela2[[#This Row],[KOD_PRODUKTU]])&gt;0,"ELEMENT","PRODUKT")</f>
        <v>#REF!</v>
      </c>
      <c r="M3350" t="e">
        <f>COUNTIF(#REF!,Tabela2[[#This Row],[KOD_PRODUKTU]])</f>
        <v>#REF!</v>
      </c>
    </row>
    <row r="3351" spans="1:13" x14ac:dyDescent="0.25">
      <c r="A3351" s="1" t="s">
        <v>75</v>
      </c>
      <c r="B3351" t="s">
        <v>76</v>
      </c>
      <c r="C3351" s="1" t="s">
        <v>432</v>
      </c>
      <c r="D3351" s="1" t="s">
        <v>432</v>
      </c>
      <c r="E3351" s="1" t="s">
        <v>432</v>
      </c>
      <c r="F3351" t="s">
        <v>433</v>
      </c>
      <c r="G3351" t="s">
        <v>434</v>
      </c>
      <c r="H3351" t="s">
        <v>435</v>
      </c>
      <c r="I3351" t="s">
        <v>5009</v>
      </c>
      <c r="J3351">
        <v>1.25</v>
      </c>
      <c r="K3351" t="e">
        <f>IF(COUNTIF(#REF!,Tabela2[[#This Row],[IdxWspolny]])&gt;0,"ELEM_lub_PRD","TECHN")</f>
        <v>#REF!</v>
      </c>
      <c r="L3351" t="e">
        <f>IF(COUNTIF(#REF!,Tabela2[[#This Row],[KOD_PRODUKTU]])&gt;0,"ELEMENT","PRODUKT")</f>
        <v>#REF!</v>
      </c>
      <c r="M3351" t="e">
        <f>COUNTIF(#REF!,Tabela2[[#This Row],[KOD_PRODUKTU]])</f>
        <v>#REF!</v>
      </c>
    </row>
    <row r="3352" spans="1:13" x14ac:dyDescent="0.25">
      <c r="A3352" s="1" t="s">
        <v>75</v>
      </c>
      <c r="B3352" t="s">
        <v>76</v>
      </c>
      <c r="C3352" s="1" t="s">
        <v>7</v>
      </c>
      <c r="D3352" s="1" t="s">
        <v>7</v>
      </c>
      <c r="E3352" s="1" t="s">
        <v>7</v>
      </c>
      <c r="F3352" t="s">
        <v>8</v>
      </c>
      <c r="G3352" t="s">
        <v>9</v>
      </c>
      <c r="H3352" t="s">
        <v>10</v>
      </c>
      <c r="I3352" t="s">
        <v>1733</v>
      </c>
      <c r="J3352">
        <v>2.5</v>
      </c>
      <c r="K3352" t="e">
        <f>IF(COUNTIF(#REF!,Tabela2[[#This Row],[IdxWspolny]])&gt;0,"ELEM_lub_PRD","TECHN")</f>
        <v>#REF!</v>
      </c>
      <c r="L3352" t="e">
        <f>IF(COUNTIF(#REF!,Tabela2[[#This Row],[KOD_PRODUKTU]])&gt;0,"ELEMENT","PRODUKT")</f>
        <v>#REF!</v>
      </c>
      <c r="M3352" t="e">
        <f>COUNTIF(#REF!,Tabela2[[#This Row],[KOD_PRODUKTU]])</f>
        <v>#REF!</v>
      </c>
    </row>
    <row r="3353" spans="1:13" x14ac:dyDescent="0.25">
      <c r="A3353" s="1" t="s">
        <v>5010</v>
      </c>
      <c r="B3353" t="s">
        <v>5011</v>
      </c>
      <c r="C3353" s="1" t="s">
        <v>432</v>
      </c>
      <c r="D3353" s="1" t="s">
        <v>432</v>
      </c>
      <c r="E3353" s="1" t="s">
        <v>432</v>
      </c>
      <c r="F3353" t="s">
        <v>433</v>
      </c>
      <c r="G3353" t="s">
        <v>434</v>
      </c>
      <c r="H3353" t="s">
        <v>435</v>
      </c>
      <c r="I3353" t="s">
        <v>50</v>
      </c>
      <c r="J3353">
        <v>1.1000000000000001</v>
      </c>
      <c r="K3353" t="e">
        <f>IF(COUNTIF(#REF!,Tabela2[[#This Row],[IdxWspolny]])&gt;0,"ELEM_lub_PRD","TECHN")</f>
        <v>#REF!</v>
      </c>
      <c r="L3353" t="e">
        <f>IF(COUNTIF(#REF!,Tabela2[[#This Row],[KOD_PRODUKTU]])&gt;0,"ELEMENT","PRODUKT")</f>
        <v>#REF!</v>
      </c>
      <c r="M3353" t="e">
        <f>COUNTIF(#REF!,Tabela2[[#This Row],[KOD_PRODUKTU]])</f>
        <v>#REF!</v>
      </c>
    </row>
    <row r="3354" spans="1:13" x14ac:dyDescent="0.25">
      <c r="A3354" s="1" t="s">
        <v>5010</v>
      </c>
      <c r="B3354" t="s">
        <v>5011</v>
      </c>
      <c r="C3354" s="1" t="s">
        <v>7</v>
      </c>
      <c r="D3354" s="1" t="s">
        <v>7</v>
      </c>
      <c r="E3354" s="1" t="s">
        <v>7</v>
      </c>
      <c r="F3354" t="s">
        <v>8</v>
      </c>
      <c r="G3354" t="s">
        <v>9</v>
      </c>
      <c r="H3354" t="s">
        <v>10</v>
      </c>
      <c r="I3354" t="s">
        <v>25</v>
      </c>
      <c r="J3354">
        <v>2.76</v>
      </c>
      <c r="K3354" t="e">
        <f>IF(COUNTIF(#REF!,Tabela2[[#This Row],[IdxWspolny]])&gt;0,"ELEM_lub_PRD","TECHN")</f>
        <v>#REF!</v>
      </c>
      <c r="L3354" t="e">
        <f>IF(COUNTIF(#REF!,Tabela2[[#This Row],[KOD_PRODUKTU]])&gt;0,"ELEMENT","PRODUKT")</f>
        <v>#REF!</v>
      </c>
      <c r="M3354" t="e">
        <f>COUNTIF(#REF!,Tabela2[[#This Row],[KOD_PRODUKTU]])</f>
        <v>#REF!</v>
      </c>
    </row>
    <row r="3355" spans="1:13" x14ac:dyDescent="0.25">
      <c r="A3355" s="1" t="s">
        <v>52</v>
      </c>
      <c r="B3355" t="s">
        <v>53</v>
      </c>
      <c r="C3355" s="1" t="s">
        <v>2961</v>
      </c>
      <c r="D3355" s="1" t="s">
        <v>2961</v>
      </c>
      <c r="E3355" s="1" t="s">
        <v>2961</v>
      </c>
      <c r="F3355" t="s">
        <v>2962</v>
      </c>
      <c r="G3355" t="s">
        <v>2963</v>
      </c>
      <c r="H3355" t="s">
        <v>5</v>
      </c>
      <c r="I3355" t="s">
        <v>5008</v>
      </c>
      <c r="J3355">
        <v>0.3</v>
      </c>
      <c r="K3355" t="e">
        <f>IF(COUNTIF(#REF!,Tabela2[[#This Row],[IdxWspolny]])&gt;0,"ELEM_lub_PRD","TECHN")</f>
        <v>#REF!</v>
      </c>
      <c r="L3355" t="e">
        <f>IF(COUNTIF(#REF!,Tabela2[[#This Row],[KOD_PRODUKTU]])&gt;0,"ELEMENT","PRODUKT")</f>
        <v>#REF!</v>
      </c>
      <c r="M3355" t="e">
        <f>COUNTIF(#REF!,Tabela2[[#This Row],[KOD_PRODUKTU]])</f>
        <v>#REF!</v>
      </c>
    </row>
    <row r="3356" spans="1:13" x14ac:dyDescent="0.25">
      <c r="A3356" s="1" t="s">
        <v>52</v>
      </c>
      <c r="B3356" t="s">
        <v>53</v>
      </c>
      <c r="C3356" s="1" t="s">
        <v>432</v>
      </c>
      <c r="D3356" s="1" t="s">
        <v>432</v>
      </c>
      <c r="E3356" s="1" t="s">
        <v>432</v>
      </c>
      <c r="F3356" t="s">
        <v>433</v>
      </c>
      <c r="G3356" t="s">
        <v>434</v>
      </c>
      <c r="H3356" t="s">
        <v>435</v>
      </c>
      <c r="I3356" t="s">
        <v>50</v>
      </c>
      <c r="J3356">
        <v>1.1000000000000001</v>
      </c>
      <c r="K3356" t="e">
        <f>IF(COUNTIF(#REF!,Tabela2[[#This Row],[IdxWspolny]])&gt;0,"ELEM_lub_PRD","TECHN")</f>
        <v>#REF!</v>
      </c>
      <c r="L3356" t="e">
        <f>IF(COUNTIF(#REF!,Tabela2[[#This Row],[KOD_PRODUKTU]])&gt;0,"ELEMENT","PRODUKT")</f>
        <v>#REF!</v>
      </c>
      <c r="M3356" t="e">
        <f>COUNTIF(#REF!,Tabela2[[#This Row],[KOD_PRODUKTU]])</f>
        <v>#REF!</v>
      </c>
    </row>
    <row r="3357" spans="1:13" x14ac:dyDescent="0.25">
      <c r="A3357" s="1" t="s">
        <v>52</v>
      </c>
      <c r="B3357" t="s">
        <v>53</v>
      </c>
      <c r="C3357" s="1" t="s">
        <v>7</v>
      </c>
      <c r="D3357" s="1" t="s">
        <v>7</v>
      </c>
      <c r="E3357" s="1" t="s">
        <v>7</v>
      </c>
      <c r="F3357" t="s">
        <v>8</v>
      </c>
      <c r="G3357" t="s">
        <v>9</v>
      </c>
      <c r="H3357" t="s">
        <v>10</v>
      </c>
      <c r="I3357" t="s">
        <v>2518</v>
      </c>
      <c r="J3357">
        <v>2.4</v>
      </c>
      <c r="K3357" t="e">
        <f>IF(COUNTIF(#REF!,Tabela2[[#This Row],[IdxWspolny]])&gt;0,"ELEM_lub_PRD","TECHN")</f>
        <v>#REF!</v>
      </c>
      <c r="L3357" t="e">
        <f>IF(COUNTIF(#REF!,Tabela2[[#This Row],[KOD_PRODUKTU]])&gt;0,"ELEMENT","PRODUKT")</f>
        <v>#REF!</v>
      </c>
      <c r="M3357" t="e">
        <f>COUNTIF(#REF!,Tabela2[[#This Row],[KOD_PRODUKTU]])</f>
        <v>#REF!</v>
      </c>
    </row>
    <row r="3358" spans="1:13" x14ac:dyDescent="0.25">
      <c r="A3358" s="1" t="s">
        <v>56</v>
      </c>
      <c r="B3358" t="s">
        <v>57</v>
      </c>
      <c r="C3358" s="1" t="s">
        <v>1487</v>
      </c>
      <c r="D3358" s="1" t="s">
        <v>1487</v>
      </c>
      <c r="E3358" s="1" t="s">
        <v>1487</v>
      </c>
      <c r="F3358" t="s">
        <v>1488</v>
      </c>
      <c r="G3358" t="s">
        <v>31</v>
      </c>
      <c r="H3358" t="s">
        <v>5</v>
      </c>
      <c r="I3358" t="s">
        <v>1472</v>
      </c>
      <c r="J3358">
        <v>0.55000000000000004</v>
      </c>
      <c r="K3358" t="e">
        <f>IF(COUNTIF(#REF!,Tabela2[[#This Row],[IdxWspolny]])&gt;0,"ELEM_lub_PRD","TECHN")</f>
        <v>#REF!</v>
      </c>
      <c r="L3358" t="e">
        <f>IF(COUNTIF(#REF!,Tabela2[[#This Row],[KOD_PRODUKTU]])&gt;0,"ELEMENT","PRODUKT")</f>
        <v>#REF!</v>
      </c>
      <c r="M3358" t="e">
        <f>COUNTIF(#REF!,Tabela2[[#This Row],[KOD_PRODUKTU]])</f>
        <v>#REF!</v>
      </c>
    </row>
    <row r="3359" spans="1:13" x14ac:dyDescent="0.25">
      <c r="A3359" s="1" t="s">
        <v>56</v>
      </c>
      <c r="B3359" t="s">
        <v>57</v>
      </c>
      <c r="C3359" s="1" t="s">
        <v>432</v>
      </c>
      <c r="D3359" s="1" t="s">
        <v>432</v>
      </c>
      <c r="E3359" s="1" t="s">
        <v>432</v>
      </c>
      <c r="F3359" t="s">
        <v>433</v>
      </c>
      <c r="G3359" t="s">
        <v>434</v>
      </c>
      <c r="H3359" t="s">
        <v>435</v>
      </c>
      <c r="I3359" t="s">
        <v>50</v>
      </c>
      <c r="J3359">
        <v>1.1000000000000001</v>
      </c>
      <c r="K3359" t="e">
        <f>IF(COUNTIF(#REF!,Tabela2[[#This Row],[IdxWspolny]])&gt;0,"ELEM_lub_PRD","TECHN")</f>
        <v>#REF!</v>
      </c>
      <c r="L3359" t="e">
        <f>IF(COUNTIF(#REF!,Tabela2[[#This Row],[KOD_PRODUKTU]])&gt;0,"ELEMENT","PRODUKT")</f>
        <v>#REF!</v>
      </c>
      <c r="M3359" t="e">
        <f>COUNTIF(#REF!,Tabela2[[#This Row],[KOD_PRODUKTU]])</f>
        <v>#REF!</v>
      </c>
    </row>
    <row r="3360" spans="1:13" x14ac:dyDescent="0.25">
      <c r="A3360" s="1" t="s">
        <v>56</v>
      </c>
      <c r="B3360" t="s">
        <v>57</v>
      </c>
      <c r="C3360" s="1" t="s">
        <v>7</v>
      </c>
      <c r="D3360" s="1" t="s">
        <v>7</v>
      </c>
      <c r="E3360" s="1" t="s">
        <v>7</v>
      </c>
      <c r="F3360" t="s">
        <v>8</v>
      </c>
      <c r="G3360" t="s">
        <v>9</v>
      </c>
      <c r="H3360" t="s">
        <v>10</v>
      </c>
      <c r="I3360" t="s">
        <v>4756</v>
      </c>
      <c r="J3360">
        <v>3.75</v>
      </c>
      <c r="K3360" t="e">
        <f>IF(COUNTIF(#REF!,Tabela2[[#This Row],[IdxWspolny]])&gt;0,"ELEM_lub_PRD","TECHN")</f>
        <v>#REF!</v>
      </c>
      <c r="L3360" t="e">
        <f>IF(COUNTIF(#REF!,Tabela2[[#This Row],[KOD_PRODUKTU]])&gt;0,"ELEMENT","PRODUKT")</f>
        <v>#REF!</v>
      </c>
      <c r="M3360" t="e">
        <f>COUNTIF(#REF!,Tabela2[[#This Row],[KOD_PRODUKTU]])</f>
        <v>#REF!</v>
      </c>
    </row>
    <row r="3361" spans="1:13" x14ac:dyDescent="0.25">
      <c r="A3361" s="1" t="s">
        <v>59</v>
      </c>
      <c r="B3361" t="s">
        <v>60</v>
      </c>
      <c r="C3361" s="1" t="s">
        <v>1162</v>
      </c>
      <c r="D3361" s="1" t="s">
        <v>1162</v>
      </c>
      <c r="E3361" s="1" t="s">
        <v>1162</v>
      </c>
      <c r="F3361" t="s">
        <v>1163</v>
      </c>
      <c r="G3361" t="s">
        <v>1164</v>
      </c>
      <c r="H3361" t="s">
        <v>5</v>
      </c>
      <c r="I3361" t="s">
        <v>3980</v>
      </c>
      <c r="J3361">
        <v>0.25</v>
      </c>
      <c r="K3361" t="e">
        <f>IF(COUNTIF(#REF!,Tabela2[[#This Row],[IdxWspolny]])&gt;0,"ELEM_lub_PRD","TECHN")</f>
        <v>#REF!</v>
      </c>
      <c r="L3361" t="e">
        <f>IF(COUNTIF(#REF!,Tabela2[[#This Row],[KOD_PRODUKTU]])&gt;0,"ELEMENT","PRODUKT")</f>
        <v>#REF!</v>
      </c>
      <c r="M3361" t="e">
        <f>COUNTIF(#REF!,Tabela2[[#This Row],[KOD_PRODUKTU]])</f>
        <v>#REF!</v>
      </c>
    </row>
    <row r="3362" spans="1:13" x14ac:dyDescent="0.25">
      <c r="A3362" s="1" t="s">
        <v>59</v>
      </c>
      <c r="B3362" t="s">
        <v>60</v>
      </c>
      <c r="C3362" s="1" t="s">
        <v>432</v>
      </c>
      <c r="D3362" s="1" t="s">
        <v>432</v>
      </c>
      <c r="E3362" s="1" t="s">
        <v>432</v>
      </c>
      <c r="F3362" t="s">
        <v>433</v>
      </c>
      <c r="G3362" t="s">
        <v>434</v>
      </c>
      <c r="H3362" t="s">
        <v>435</v>
      </c>
      <c r="I3362" t="s">
        <v>50</v>
      </c>
      <c r="J3362">
        <v>1.1000000000000001</v>
      </c>
      <c r="K3362" t="e">
        <f>IF(COUNTIF(#REF!,Tabela2[[#This Row],[IdxWspolny]])&gt;0,"ELEM_lub_PRD","TECHN")</f>
        <v>#REF!</v>
      </c>
      <c r="L3362" t="e">
        <f>IF(COUNTIF(#REF!,Tabela2[[#This Row],[KOD_PRODUKTU]])&gt;0,"ELEMENT","PRODUKT")</f>
        <v>#REF!</v>
      </c>
      <c r="M3362" t="e">
        <f>COUNTIF(#REF!,Tabela2[[#This Row],[KOD_PRODUKTU]])</f>
        <v>#REF!</v>
      </c>
    </row>
    <row r="3363" spans="1:13" x14ac:dyDescent="0.25">
      <c r="A3363" s="1" t="s">
        <v>59</v>
      </c>
      <c r="B3363" t="s">
        <v>60</v>
      </c>
      <c r="C3363" s="1" t="s">
        <v>7</v>
      </c>
      <c r="D3363" s="1" t="s">
        <v>7</v>
      </c>
      <c r="E3363" s="1" t="s">
        <v>7</v>
      </c>
      <c r="F3363" t="s">
        <v>8</v>
      </c>
      <c r="G3363" t="s">
        <v>9</v>
      </c>
      <c r="H3363" t="s">
        <v>10</v>
      </c>
      <c r="I3363" t="s">
        <v>1733</v>
      </c>
      <c r="J3363">
        <v>2.5</v>
      </c>
      <c r="K3363" t="e">
        <f>IF(COUNTIF(#REF!,Tabela2[[#This Row],[IdxWspolny]])&gt;0,"ELEM_lub_PRD","TECHN")</f>
        <v>#REF!</v>
      </c>
      <c r="L3363" t="e">
        <f>IF(COUNTIF(#REF!,Tabela2[[#This Row],[KOD_PRODUKTU]])&gt;0,"ELEMENT","PRODUKT")</f>
        <v>#REF!</v>
      </c>
      <c r="M3363" t="e">
        <f>COUNTIF(#REF!,Tabela2[[#This Row],[KOD_PRODUKTU]])</f>
        <v>#REF!</v>
      </c>
    </row>
    <row r="3364" spans="1:13" x14ac:dyDescent="0.25">
      <c r="A3364" s="1" t="s">
        <v>62</v>
      </c>
      <c r="B3364" t="s">
        <v>63</v>
      </c>
      <c r="C3364" s="1" t="s">
        <v>429</v>
      </c>
      <c r="D3364" s="1" t="s">
        <v>429</v>
      </c>
      <c r="E3364" s="1" t="s">
        <v>429</v>
      </c>
      <c r="F3364" t="s">
        <v>430</v>
      </c>
      <c r="G3364" t="s">
        <v>145</v>
      </c>
      <c r="H3364" t="s">
        <v>5</v>
      </c>
      <c r="I3364" t="s">
        <v>5012</v>
      </c>
      <c r="J3364">
        <v>0.45</v>
      </c>
      <c r="K3364" t="e">
        <f>IF(COUNTIF(#REF!,Tabela2[[#This Row],[IdxWspolny]])&gt;0,"ELEM_lub_PRD","TECHN")</f>
        <v>#REF!</v>
      </c>
      <c r="L3364" t="e">
        <f>IF(COUNTIF(#REF!,Tabela2[[#This Row],[KOD_PRODUKTU]])&gt;0,"ELEMENT","PRODUKT")</f>
        <v>#REF!</v>
      </c>
      <c r="M3364" t="e">
        <f>COUNTIF(#REF!,Tabela2[[#This Row],[KOD_PRODUKTU]])</f>
        <v>#REF!</v>
      </c>
    </row>
    <row r="3365" spans="1:13" x14ac:dyDescent="0.25">
      <c r="A3365" s="1" t="s">
        <v>62</v>
      </c>
      <c r="B3365" t="s">
        <v>63</v>
      </c>
      <c r="C3365" s="1" t="s">
        <v>432</v>
      </c>
      <c r="D3365" s="1" t="s">
        <v>432</v>
      </c>
      <c r="E3365" s="1" t="s">
        <v>432</v>
      </c>
      <c r="F3365" t="s">
        <v>433</v>
      </c>
      <c r="G3365" t="s">
        <v>434</v>
      </c>
      <c r="H3365" t="s">
        <v>435</v>
      </c>
      <c r="I3365" t="s">
        <v>50</v>
      </c>
      <c r="J3365">
        <v>1.1000000000000001</v>
      </c>
      <c r="K3365" t="e">
        <f>IF(COUNTIF(#REF!,Tabela2[[#This Row],[IdxWspolny]])&gt;0,"ELEM_lub_PRD","TECHN")</f>
        <v>#REF!</v>
      </c>
      <c r="L3365" t="e">
        <f>IF(COUNTIF(#REF!,Tabela2[[#This Row],[KOD_PRODUKTU]])&gt;0,"ELEMENT","PRODUKT")</f>
        <v>#REF!</v>
      </c>
      <c r="M3365" t="e">
        <f>COUNTIF(#REF!,Tabela2[[#This Row],[KOD_PRODUKTU]])</f>
        <v>#REF!</v>
      </c>
    </row>
    <row r="3366" spans="1:13" x14ac:dyDescent="0.25">
      <c r="A3366" s="1" t="s">
        <v>62</v>
      </c>
      <c r="B3366" t="s">
        <v>63</v>
      </c>
      <c r="C3366" s="1" t="s">
        <v>7</v>
      </c>
      <c r="D3366" s="1" t="s">
        <v>7</v>
      </c>
      <c r="E3366" s="1" t="s">
        <v>7</v>
      </c>
      <c r="F3366" t="s">
        <v>8</v>
      </c>
      <c r="G3366" t="s">
        <v>9</v>
      </c>
      <c r="H3366" t="s">
        <v>10</v>
      </c>
      <c r="I3366" t="s">
        <v>607</v>
      </c>
      <c r="J3366">
        <v>18.399999999999999</v>
      </c>
      <c r="K3366" t="e">
        <f>IF(COUNTIF(#REF!,Tabela2[[#This Row],[IdxWspolny]])&gt;0,"ELEM_lub_PRD","TECHN")</f>
        <v>#REF!</v>
      </c>
      <c r="L3366" t="e">
        <f>IF(COUNTIF(#REF!,Tabela2[[#This Row],[KOD_PRODUKTU]])&gt;0,"ELEMENT","PRODUKT")</f>
        <v>#REF!</v>
      </c>
      <c r="M3366" t="e">
        <f>COUNTIF(#REF!,Tabela2[[#This Row],[KOD_PRODUKTU]])</f>
        <v>#REF!</v>
      </c>
    </row>
    <row r="3367" spans="1:13" x14ac:dyDescent="0.25">
      <c r="A3367" s="1" t="s">
        <v>65</v>
      </c>
      <c r="B3367" t="s">
        <v>66</v>
      </c>
      <c r="C3367" s="1" t="s">
        <v>5013</v>
      </c>
      <c r="D3367" s="1" t="s">
        <v>5013</v>
      </c>
      <c r="E3367" s="1" t="s">
        <v>5013</v>
      </c>
      <c r="F3367" t="s">
        <v>5014</v>
      </c>
      <c r="G3367" t="s">
        <v>1354</v>
      </c>
      <c r="H3367" t="s">
        <v>5</v>
      </c>
      <c r="I3367" t="s">
        <v>5015</v>
      </c>
      <c r="J3367">
        <v>0.9</v>
      </c>
      <c r="K3367" t="e">
        <f>IF(COUNTIF(#REF!,Tabela2[[#This Row],[IdxWspolny]])&gt;0,"ELEM_lub_PRD","TECHN")</f>
        <v>#REF!</v>
      </c>
      <c r="L3367" t="e">
        <f>IF(COUNTIF(#REF!,Tabela2[[#This Row],[KOD_PRODUKTU]])&gt;0,"ELEMENT","PRODUKT")</f>
        <v>#REF!</v>
      </c>
      <c r="M3367" t="e">
        <f>COUNTIF(#REF!,Tabela2[[#This Row],[KOD_PRODUKTU]])</f>
        <v>#REF!</v>
      </c>
    </row>
    <row r="3368" spans="1:13" x14ac:dyDescent="0.25">
      <c r="A3368" s="1" t="s">
        <v>65</v>
      </c>
      <c r="B3368" t="s">
        <v>66</v>
      </c>
      <c r="C3368" s="1" t="s">
        <v>7</v>
      </c>
      <c r="D3368" s="1" t="s">
        <v>7</v>
      </c>
      <c r="E3368" s="1" t="s">
        <v>7</v>
      </c>
      <c r="F3368" t="s">
        <v>8</v>
      </c>
      <c r="G3368" t="s">
        <v>9</v>
      </c>
      <c r="H3368" t="s">
        <v>10</v>
      </c>
      <c r="I3368" t="s">
        <v>5016</v>
      </c>
      <c r="J3368">
        <v>1.65</v>
      </c>
      <c r="K3368" t="e">
        <f>IF(COUNTIF(#REF!,Tabela2[[#This Row],[IdxWspolny]])&gt;0,"ELEM_lub_PRD","TECHN")</f>
        <v>#REF!</v>
      </c>
      <c r="L3368" t="e">
        <f>IF(COUNTIF(#REF!,Tabela2[[#This Row],[KOD_PRODUKTU]])&gt;0,"ELEMENT","PRODUKT")</f>
        <v>#REF!</v>
      </c>
      <c r="M3368" t="e">
        <f>COUNTIF(#REF!,Tabela2[[#This Row],[KOD_PRODUKTU]])</f>
        <v>#REF!</v>
      </c>
    </row>
    <row r="3369" spans="1:13" x14ac:dyDescent="0.25">
      <c r="A3369" s="1" t="s">
        <v>68</v>
      </c>
      <c r="B3369" t="s">
        <v>69</v>
      </c>
      <c r="C3369" s="1" t="s">
        <v>3793</v>
      </c>
      <c r="D3369" s="1" t="s">
        <v>3793</v>
      </c>
      <c r="E3369" s="1" t="s">
        <v>3793</v>
      </c>
      <c r="F3369" t="s">
        <v>3794</v>
      </c>
      <c r="G3369" t="s">
        <v>3795</v>
      </c>
      <c r="H3369" t="s">
        <v>5</v>
      </c>
      <c r="I3369" t="s">
        <v>5017</v>
      </c>
      <c r="J3369">
        <v>1.3</v>
      </c>
      <c r="K3369" t="e">
        <f>IF(COUNTIF(#REF!,Tabela2[[#This Row],[IdxWspolny]])&gt;0,"ELEM_lub_PRD","TECHN")</f>
        <v>#REF!</v>
      </c>
      <c r="L3369" t="e">
        <f>IF(COUNTIF(#REF!,Tabela2[[#This Row],[KOD_PRODUKTU]])&gt;0,"ELEMENT","PRODUKT")</f>
        <v>#REF!</v>
      </c>
      <c r="M3369" t="e">
        <f>COUNTIF(#REF!,Tabela2[[#This Row],[KOD_PRODUKTU]])</f>
        <v>#REF!</v>
      </c>
    </row>
    <row r="3370" spans="1:13" x14ac:dyDescent="0.25">
      <c r="A3370" s="1" t="s">
        <v>68</v>
      </c>
      <c r="B3370" t="s">
        <v>69</v>
      </c>
      <c r="C3370" s="1" t="s">
        <v>7</v>
      </c>
      <c r="D3370" s="1" t="s">
        <v>7</v>
      </c>
      <c r="E3370" s="1" t="s">
        <v>7</v>
      </c>
      <c r="F3370" t="s">
        <v>8</v>
      </c>
      <c r="G3370" t="s">
        <v>9</v>
      </c>
      <c r="H3370" t="s">
        <v>10</v>
      </c>
      <c r="I3370" t="s">
        <v>1740</v>
      </c>
      <c r="J3370">
        <v>3.7</v>
      </c>
      <c r="K3370" t="e">
        <f>IF(COUNTIF(#REF!,Tabela2[[#This Row],[IdxWspolny]])&gt;0,"ELEM_lub_PRD","TECHN")</f>
        <v>#REF!</v>
      </c>
      <c r="L3370" t="e">
        <f>IF(COUNTIF(#REF!,Tabela2[[#This Row],[KOD_PRODUKTU]])&gt;0,"ELEMENT","PRODUKT")</f>
        <v>#REF!</v>
      </c>
      <c r="M3370" t="e">
        <f>COUNTIF(#REF!,Tabela2[[#This Row],[KOD_PRODUKTU]])</f>
        <v>#REF!</v>
      </c>
    </row>
    <row r="3371" spans="1:13" x14ac:dyDescent="0.25">
      <c r="A3371" s="1" t="s">
        <v>5018</v>
      </c>
      <c r="B3371" t="s">
        <v>5019</v>
      </c>
      <c r="C3371" s="1" t="s">
        <v>5020</v>
      </c>
      <c r="D3371" s="1" t="s">
        <v>5020</v>
      </c>
      <c r="E3371" s="1" t="s">
        <v>5020</v>
      </c>
      <c r="F3371" t="s">
        <v>5021</v>
      </c>
      <c r="G3371" t="s">
        <v>216</v>
      </c>
      <c r="H3371" t="s">
        <v>5</v>
      </c>
      <c r="I3371" t="s">
        <v>5022</v>
      </c>
      <c r="J3371">
        <v>0.05</v>
      </c>
      <c r="K3371" t="e">
        <f>IF(COUNTIF(#REF!,Tabela2[[#This Row],[IdxWspolny]])&gt;0,"ELEM_lub_PRD","TECHN")</f>
        <v>#REF!</v>
      </c>
      <c r="L3371" t="e">
        <f>IF(COUNTIF(#REF!,Tabela2[[#This Row],[KOD_PRODUKTU]])&gt;0,"ELEMENT","PRODUKT")</f>
        <v>#REF!</v>
      </c>
      <c r="M3371" t="e">
        <f>COUNTIF(#REF!,Tabela2[[#This Row],[KOD_PRODUKTU]])</f>
        <v>#REF!</v>
      </c>
    </row>
    <row r="3372" spans="1:13" x14ac:dyDescent="0.25">
      <c r="A3372" s="1" t="s">
        <v>5018</v>
      </c>
      <c r="B3372" t="s">
        <v>5019</v>
      </c>
      <c r="C3372" s="1" t="s">
        <v>7</v>
      </c>
      <c r="D3372" s="1" t="s">
        <v>7</v>
      </c>
      <c r="E3372" s="1" t="s">
        <v>7</v>
      </c>
      <c r="F3372" t="s">
        <v>8</v>
      </c>
      <c r="G3372" t="s">
        <v>9</v>
      </c>
      <c r="H3372" t="s">
        <v>10</v>
      </c>
      <c r="I3372" t="s">
        <v>5023</v>
      </c>
      <c r="J3372">
        <v>3.42</v>
      </c>
      <c r="K3372" t="e">
        <f>IF(COUNTIF(#REF!,Tabela2[[#This Row],[IdxWspolny]])&gt;0,"ELEM_lub_PRD","TECHN")</f>
        <v>#REF!</v>
      </c>
      <c r="L3372" t="e">
        <f>IF(COUNTIF(#REF!,Tabela2[[#This Row],[KOD_PRODUKTU]])&gt;0,"ELEMENT","PRODUKT")</f>
        <v>#REF!</v>
      </c>
      <c r="M3372" t="e">
        <f>COUNTIF(#REF!,Tabela2[[#This Row],[KOD_PRODUKTU]])</f>
        <v>#REF!</v>
      </c>
    </row>
    <row r="3373" spans="1:13" x14ac:dyDescent="0.25">
      <c r="A3373" s="1" t="s">
        <v>5024</v>
      </c>
      <c r="B3373" t="s">
        <v>5025</v>
      </c>
      <c r="C3373" s="1" t="s">
        <v>5026</v>
      </c>
      <c r="D3373" s="1" t="s">
        <v>5026</v>
      </c>
      <c r="E3373" s="1" t="s">
        <v>5026</v>
      </c>
      <c r="F3373" t="s">
        <v>5027</v>
      </c>
      <c r="G3373" t="s">
        <v>1892</v>
      </c>
      <c r="H3373" t="s">
        <v>17</v>
      </c>
      <c r="I3373" t="s">
        <v>5028</v>
      </c>
      <c r="J3373">
        <v>1.55</v>
      </c>
      <c r="K3373" t="e">
        <f>IF(COUNTIF(#REF!,Tabela2[[#This Row],[IdxWspolny]])&gt;0,"ELEM_lub_PRD","TECHN")</f>
        <v>#REF!</v>
      </c>
      <c r="L3373" t="e">
        <f>IF(COUNTIF(#REF!,Tabela2[[#This Row],[KOD_PRODUKTU]])&gt;0,"ELEMENT","PRODUKT")</f>
        <v>#REF!</v>
      </c>
      <c r="M3373" t="e">
        <f>COUNTIF(#REF!,Tabela2[[#This Row],[KOD_PRODUKTU]])</f>
        <v>#REF!</v>
      </c>
    </row>
    <row r="3374" spans="1:13" x14ac:dyDescent="0.25">
      <c r="A3374" s="1" t="s">
        <v>5024</v>
      </c>
      <c r="B3374" t="s">
        <v>5025</v>
      </c>
      <c r="C3374" s="1" t="s">
        <v>7</v>
      </c>
      <c r="D3374" s="1" t="s">
        <v>7</v>
      </c>
      <c r="E3374" s="1" t="s">
        <v>7</v>
      </c>
      <c r="F3374" t="s">
        <v>8</v>
      </c>
      <c r="G3374" t="s">
        <v>9</v>
      </c>
      <c r="H3374" t="s">
        <v>10</v>
      </c>
      <c r="I3374" t="s">
        <v>2796</v>
      </c>
      <c r="J3374">
        <v>2.5299999999999998</v>
      </c>
      <c r="K3374" t="e">
        <f>IF(COUNTIF(#REF!,Tabela2[[#This Row],[IdxWspolny]])&gt;0,"ELEM_lub_PRD","TECHN")</f>
        <v>#REF!</v>
      </c>
      <c r="L3374" t="e">
        <f>IF(COUNTIF(#REF!,Tabela2[[#This Row],[KOD_PRODUKTU]])&gt;0,"ELEMENT","PRODUKT")</f>
        <v>#REF!</v>
      </c>
      <c r="M3374" t="e">
        <f>COUNTIF(#REF!,Tabela2[[#This Row],[KOD_PRODUKTU]])</f>
        <v>#REF!</v>
      </c>
    </row>
    <row r="3375" spans="1:13" x14ac:dyDescent="0.25">
      <c r="A3375" s="1" t="s">
        <v>5029</v>
      </c>
      <c r="B3375" t="s">
        <v>5030</v>
      </c>
      <c r="C3375" s="1" t="s">
        <v>3828</v>
      </c>
      <c r="D3375" s="1" t="s">
        <v>3828</v>
      </c>
      <c r="E3375" s="1" t="s">
        <v>3828</v>
      </c>
      <c r="F3375" t="s">
        <v>3829</v>
      </c>
      <c r="G3375" t="s">
        <v>87</v>
      </c>
      <c r="H3375" t="s">
        <v>5</v>
      </c>
      <c r="I3375" t="s">
        <v>5031</v>
      </c>
      <c r="J3375">
        <v>0.3</v>
      </c>
      <c r="K3375" t="e">
        <f>IF(COUNTIF(#REF!,Tabela2[[#This Row],[IdxWspolny]])&gt;0,"ELEM_lub_PRD","TECHN")</f>
        <v>#REF!</v>
      </c>
      <c r="L3375" t="e">
        <f>IF(COUNTIF(#REF!,Tabela2[[#This Row],[KOD_PRODUKTU]])&gt;0,"ELEMENT","PRODUKT")</f>
        <v>#REF!</v>
      </c>
      <c r="M3375" t="e">
        <f>COUNTIF(#REF!,Tabela2[[#This Row],[KOD_PRODUKTU]])</f>
        <v>#REF!</v>
      </c>
    </row>
    <row r="3376" spans="1:13" x14ac:dyDescent="0.25">
      <c r="A3376" s="1" t="s">
        <v>5029</v>
      </c>
      <c r="B3376" t="s">
        <v>5030</v>
      </c>
      <c r="C3376" s="1" t="s">
        <v>7</v>
      </c>
      <c r="D3376" s="1" t="s">
        <v>7</v>
      </c>
      <c r="E3376" s="1" t="s">
        <v>7</v>
      </c>
      <c r="F3376" t="s">
        <v>8</v>
      </c>
      <c r="G3376" t="s">
        <v>9</v>
      </c>
      <c r="H3376" t="s">
        <v>10</v>
      </c>
      <c r="I3376" t="s">
        <v>1469</v>
      </c>
      <c r="J3376">
        <v>7.25</v>
      </c>
      <c r="K3376" t="e">
        <f>IF(COUNTIF(#REF!,Tabela2[[#This Row],[IdxWspolny]])&gt;0,"ELEM_lub_PRD","TECHN")</f>
        <v>#REF!</v>
      </c>
      <c r="L3376" t="e">
        <f>IF(COUNTIF(#REF!,Tabela2[[#This Row],[KOD_PRODUKTU]])&gt;0,"ELEMENT","PRODUKT")</f>
        <v>#REF!</v>
      </c>
      <c r="M3376" t="e">
        <f>COUNTIF(#REF!,Tabela2[[#This Row],[KOD_PRODUKTU]])</f>
        <v>#REF!</v>
      </c>
    </row>
    <row r="3377" spans="1:13" x14ac:dyDescent="0.25">
      <c r="A3377" s="1" t="s">
        <v>5032</v>
      </c>
      <c r="B3377" t="s">
        <v>5033</v>
      </c>
      <c r="C3377" s="1" t="s">
        <v>432</v>
      </c>
      <c r="D3377" s="1" t="s">
        <v>432</v>
      </c>
      <c r="E3377" s="1" t="s">
        <v>432</v>
      </c>
      <c r="F3377" t="s">
        <v>433</v>
      </c>
      <c r="G3377" t="s">
        <v>434</v>
      </c>
      <c r="H3377" t="s">
        <v>435</v>
      </c>
      <c r="I3377" t="s">
        <v>50</v>
      </c>
      <c r="J3377">
        <v>1.1000000000000001</v>
      </c>
      <c r="K3377" t="e">
        <f>IF(COUNTIF(#REF!,Tabela2[[#This Row],[IdxWspolny]])&gt;0,"ELEM_lub_PRD","TECHN")</f>
        <v>#REF!</v>
      </c>
      <c r="L3377" t="e">
        <f>IF(COUNTIF(#REF!,Tabela2[[#This Row],[KOD_PRODUKTU]])&gt;0,"ELEMENT","PRODUKT")</f>
        <v>#REF!</v>
      </c>
      <c r="M3377" t="e">
        <f>COUNTIF(#REF!,Tabela2[[#This Row],[KOD_PRODUKTU]])</f>
        <v>#REF!</v>
      </c>
    </row>
    <row r="3378" spans="1:13" x14ac:dyDescent="0.25">
      <c r="A3378" s="1" t="s">
        <v>5032</v>
      </c>
      <c r="B3378" t="s">
        <v>5033</v>
      </c>
      <c r="C3378" s="1" t="s">
        <v>7</v>
      </c>
      <c r="D3378" s="1" t="s">
        <v>7</v>
      </c>
      <c r="E3378" s="1" t="s">
        <v>7</v>
      </c>
      <c r="F3378" t="s">
        <v>8</v>
      </c>
      <c r="G3378" t="s">
        <v>9</v>
      </c>
      <c r="H3378" t="s">
        <v>10</v>
      </c>
      <c r="I3378" t="s">
        <v>5034</v>
      </c>
      <c r="J3378">
        <v>2.93</v>
      </c>
      <c r="K3378" t="e">
        <f>IF(COUNTIF(#REF!,Tabela2[[#This Row],[IdxWspolny]])&gt;0,"ELEM_lub_PRD","TECHN")</f>
        <v>#REF!</v>
      </c>
      <c r="L3378" t="e">
        <f>IF(COUNTIF(#REF!,Tabela2[[#This Row],[KOD_PRODUKTU]])&gt;0,"ELEMENT","PRODUKT")</f>
        <v>#REF!</v>
      </c>
      <c r="M3378" t="e">
        <f>COUNTIF(#REF!,Tabela2[[#This Row],[KOD_PRODUKTU]])</f>
        <v>#REF!</v>
      </c>
    </row>
    <row r="3379" spans="1:13" x14ac:dyDescent="0.25">
      <c r="A3379" s="1" t="s">
        <v>109</v>
      </c>
      <c r="B3379" t="s">
        <v>110</v>
      </c>
      <c r="C3379" s="1" t="s">
        <v>3026</v>
      </c>
      <c r="D3379" s="1" t="s">
        <v>3026</v>
      </c>
      <c r="E3379" s="1" t="s">
        <v>3026</v>
      </c>
      <c r="F3379" t="s">
        <v>3027</v>
      </c>
      <c r="G3379" t="s">
        <v>70</v>
      </c>
      <c r="H3379" t="s">
        <v>5</v>
      </c>
      <c r="I3379" t="s">
        <v>3404</v>
      </c>
      <c r="J3379">
        <v>1.1000000000000001</v>
      </c>
      <c r="K3379" t="e">
        <f>IF(COUNTIF(#REF!,Tabela2[[#This Row],[IdxWspolny]])&gt;0,"ELEM_lub_PRD","TECHN")</f>
        <v>#REF!</v>
      </c>
      <c r="L3379" t="e">
        <f>IF(COUNTIF(#REF!,Tabela2[[#This Row],[KOD_PRODUKTU]])&gt;0,"ELEMENT","PRODUKT")</f>
        <v>#REF!</v>
      </c>
      <c r="M3379" t="e">
        <f>COUNTIF(#REF!,Tabela2[[#This Row],[KOD_PRODUKTU]])</f>
        <v>#REF!</v>
      </c>
    </row>
    <row r="3380" spans="1:13" x14ac:dyDescent="0.25">
      <c r="A3380" s="1" t="s">
        <v>109</v>
      </c>
      <c r="B3380" t="s">
        <v>110</v>
      </c>
      <c r="C3380" s="1" t="s">
        <v>432</v>
      </c>
      <c r="D3380" s="1" t="s">
        <v>432</v>
      </c>
      <c r="E3380" s="1" t="s">
        <v>432</v>
      </c>
      <c r="F3380" t="s">
        <v>433</v>
      </c>
      <c r="G3380" t="s">
        <v>434</v>
      </c>
      <c r="H3380" t="s">
        <v>435</v>
      </c>
      <c r="I3380" t="s">
        <v>5035</v>
      </c>
      <c r="J3380">
        <v>0.6</v>
      </c>
      <c r="K3380" t="e">
        <f>IF(COUNTIF(#REF!,Tabela2[[#This Row],[IdxWspolny]])&gt;0,"ELEM_lub_PRD","TECHN")</f>
        <v>#REF!</v>
      </c>
      <c r="L3380" t="e">
        <f>IF(COUNTIF(#REF!,Tabela2[[#This Row],[KOD_PRODUKTU]])&gt;0,"ELEMENT","PRODUKT")</f>
        <v>#REF!</v>
      </c>
      <c r="M3380" t="e">
        <f>COUNTIF(#REF!,Tabela2[[#This Row],[KOD_PRODUKTU]])</f>
        <v>#REF!</v>
      </c>
    </row>
    <row r="3381" spans="1:13" x14ac:dyDescent="0.25">
      <c r="A3381" s="1" t="s">
        <v>109</v>
      </c>
      <c r="B3381" t="s">
        <v>110</v>
      </c>
      <c r="C3381" s="1" t="s">
        <v>7</v>
      </c>
      <c r="D3381" s="1" t="s">
        <v>7</v>
      </c>
      <c r="E3381" s="1" t="s">
        <v>7</v>
      </c>
      <c r="F3381" t="s">
        <v>8</v>
      </c>
      <c r="G3381" t="s">
        <v>9</v>
      </c>
      <c r="H3381" t="s">
        <v>10</v>
      </c>
      <c r="I3381" t="s">
        <v>1254</v>
      </c>
      <c r="J3381">
        <v>16.100000000000001</v>
      </c>
      <c r="K3381" t="e">
        <f>IF(COUNTIF(#REF!,Tabela2[[#This Row],[IdxWspolny]])&gt;0,"ELEM_lub_PRD","TECHN")</f>
        <v>#REF!</v>
      </c>
      <c r="L3381" t="e">
        <f>IF(COUNTIF(#REF!,Tabela2[[#This Row],[KOD_PRODUKTU]])&gt;0,"ELEMENT","PRODUKT")</f>
        <v>#REF!</v>
      </c>
      <c r="M3381" t="e">
        <f>COUNTIF(#REF!,Tabela2[[#This Row],[KOD_PRODUKTU]])</f>
        <v>#REF!</v>
      </c>
    </row>
    <row r="3382" spans="1:13" x14ac:dyDescent="0.25">
      <c r="A3382" s="1" t="s">
        <v>5036</v>
      </c>
      <c r="B3382" t="s">
        <v>5037</v>
      </c>
      <c r="C3382" s="1" t="s">
        <v>432</v>
      </c>
      <c r="D3382" s="1" t="s">
        <v>432</v>
      </c>
      <c r="E3382" s="1" t="s">
        <v>432</v>
      </c>
      <c r="F3382" t="s">
        <v>433</v>
      </c>
      <c r="G3382" t="s">
        <v>434</v>
      </c>
      <c r="H3382" t="s">
        <v>435</v>
      </c>
      <c r="I3382" t="s">
        <v>50</v>
      </c>
      <c r="J3382">
        <v>1.1000000000000001</v>
      </c>
      <c r="K3382" t="e">
        <f>IF(COUNTIF(#REF!,Tabela2[[#This Row],[IdxWspolny]])&gt;0,"ELEM_lub_PRD","TECHN")</f>
        <v>#REF!</v>
      </c>
      <c r="L3382" t="e">
        <f>IF(COUNTIF(#REF!,Tabela2[[#This Row],[KOD_PRODUKTU]])&gt;0,"ELEMENT","PRODUKT")</f>
        <v>#REF!</v>
      </c>
      <c r="M3382" t="e">
        <f>COUNTIF(#REF!,Tabela2[[#This Row],[KOD_PRODUKTU]])</f>
        <v>#REF!</v>
      </c>
    </row>
    <row r="3383" spans="1:13" x14ac:dyDescent="0.25">
      <c r="A3383" s="1" t="s">
        <v>5036</v>
      </c>
      <c r="B3383" t="s">
        <v>5037</v>
      </c>
      <c r="C3383" s="1" t="s">
        <v>7</v>
      </c>
      <c r="D3383" s="1" t="s">
        <v>7</v>
      </c>
      <c r="E3383" s="1" t="s">
        <v>7</v>
      </c>
      <c r="F3383" t="s">
        <v>8</v>
      </c>
      <c r="G3383" t="s">
        <v>9</v>
      </c>
      <c r="H3383" t="s">
        <v>10</v>
      </c>
      <c r="I3383" t="s">
        <v>5038</v>
      </c>
      <c r="J3383">
        <v>3.42</v>
      </c>
      <c r="K3383" t="e">
        <f>IF(COUNTIF(#REF!,Tabela2[[#This Row],[IdxWspolny]])&gt;0,"ELEM_lub_PRD","TECHN")</f>
        <v>#REF!</v>
      </c>
      <c r="L3383" t="e">
        <f>IF(COUNTIF(#REF!,Tabela2[[#This Row],[KOD_PRODUKTU]])&gt;0,"ELEMENT","PRODUKT")</f>
        <v>#REF!</v>
      </c>
      <c r="M3383" t="e">
        <f>COUNTIF(#REF!,Tabela2[[#This Row],[KOD_PRODUKTU]])</f>
        <v>#REF!</v>
      </c>
    </row>
    <row r="3384" spans="1:13" x14ac:dyDescent="0.25">
      <c r="A3384" s="1" t="s">
        <v>5039</v>
      </c>
      <c r="B3384" t="s">
        <v>5040</v>
      </c>
      <c r="C3384" s="1" t="s">
        <v>1117</v>
      </c>
      <c r="D3384" s="1" t="s">
        <v>1117</v>
      </c>
      <c r="E3384" s="1" t="s">
        <v>1117</v>
      </c>
      <c r="F3384" t="s">
        <v>1118</v>
      </c>
      <c r="G3384" t="s">
        <v>876</v>
      </c>
      <c r="H3384" t="s">
        <v>5</v>
      </c>
      <c r="I3384" t="s">
        <v>19</v>
      </c>
      <c r="J3384">
        <v>1.2</v>
      </c>
      <c r="K3384" t="e">
        <f>IF(COUNTIF(#REF!,Tabela2[[#This Row],[IdxWspolny]])&gt;0,"ELEM_lub_PRD","TECHN")</f>
        <v>#REF!</v>
      </c>
      <c r="L3384" t="e">
        <f>IF(COUNTIF(#REF!,Tabela2[[#This Row],[KOD_PRODUKTU]])&gt;0,"ELEMENT","PRODUKT")</f>
        <v>#REF!</v>
      </c>
      <c r="M3384" t="e">
        <f>COUNTIF(#REF!,Tabela2[[#This Row],[KOD_PRODUKTU]])</f>
        <v>#REF!</v>
      </c>
    </row>
    <row r="3385" spans="1:13" x14ac:dyDescent="0.25">
      <c r="A3385" s="1" t="s">
        <v>5039</v>
      </c>
      <c r="B3385" t="s">
        <v>5040</v>
      </c>
      <c r="C3385" s="1" t="s">
        <v>432</v>
      </c>
      <c r="D3385" s="1" t="s">
        <v>432</v>
      </c>
      <c r="E3385" s="1" t="s">
        <v>432</v>
      </c>
      <c r="F3385" t="s">
        <v>433</v>
      </c>
      <c r="G3385" t="s">
        <v>434</v>
      </c>
      <c r="H3385" t="s">
        <v>435</v>
      </c>
      <c r="I3385" t="s">
        <v>50</v>
      </c>
      <c r="J3385">
        <v>1.1000000000000001</v>
      </c>
      <c r="K3385" t="e">
        <f>IF(COUNTIF(#REF!,Tabela2[[#This Row],[IdxWspolny]])&gt;0,"ELEM_lub_PRD","TECHN")</f>
        <v>#REF!</v>
      </c>
      <c r="L3385" t="e">
        <f>IF(COUNTIF(#REF!,Tabela2[[#This Row],[KOD_PRODUKTU]])&gt;0,"ELEMENT","PRODUKT")</f>
        <v>#REF!</v>
      </c>
      <c r="M3385" t="e">
        <f>COUNTIF(#REF!,Tabela2[[#This Row],[KOD_PRODUKTU]])</f>
        <v>#REF!</v>
      </c>
    </row>
    <row r="3386" spans="1:13" x14ac:dyDescent="0.25">
      <c r="A3386" s="1" t="s">
        <v>5039</v>
      </c>
      <c r="B3386" t="s">
        <v>5040</v>
      </c>
      <c r="C3386" s="1" t="s">
        <v>7</v>
      </c>
      <c r="D3386" s="1" t="s">
        <v>7</v>
      </c>
      <c r="E3386" s="1" t="s">
        <v>7</v>
      </c>
      <c r="F3386" t="s">
        <v>8</v>
      </c>
      <c r="G3386" t="s">
        <v>9</v>
      </c>
      <c r="H3386" t="s">
        <v>10</v>
      </c>
      <c r="I3386" t="s">
        <v>3704</v>
      </c>
      <c r="J3386">
        <v>10</v>
      </c>
      <c r="K3386" t="e">
        <f>IF(COUNTIF(#REF!,Tabela2[[#This Row],[IdxWspolny]])&gt;0,"ELEM_lub_PRD","TECHN")</f>
        <v>#REF!</v>
      </c>
      <c r="L3386" t="e">
        <f>IF(COUNTIF(#REF!,Tabela2[[#This Row],[KOD_PRODUKTU]])&gt;0,"ELEMENT","PRODUKT")</f>
        <v>#REF!</v>
      </c>
      <c r="M3386" t="e">
        <f>COUNTIF(#REF!,Tabela2[[#This Row],[KOD_PRODUKTU]])</f>
        <v>#REF!</v>
      </c>
    </row>
    <row r="3387" spans="1:13" x14ac:dyDescent="0.25">
      <c r="A3387" s="1" t="s">
        <v>331</v>
      </c>
      <c r="B3387" t="s">
        <v>332</v>
      </c>
      <c r="C3387" s="1" t="s">
        <v>1117</v>
      </c>
      <c r="D3387" s="1" t="s">
        <v>1117</v>
      </c>
      <c r="E3387" s="1" t="s">
        <v>1117</v>
      </c>
      <c r="F3387" t="s">
        <v>1118</v>
      </c>
      <c r="G3387" t="s">
        <v>876</v>
      </c>
      <c r="H3387" t="s">
        <v>5</v>
      </c>
      <c r="I3387" t="s">
        <v>3292</v>
      </c>
      <c r="J3387">
        <v>0.8</v>
      </c>
      <c r="K3387" t="e">
        <f>IF(COUNTIF(#REF!,Tabela2[[#This Row],[IdxWspolny]])&gt;0,"ELEM_lub_PRD","TECHN")</f>
        <v>#REF!</v>
      </c>
      <c r="L3387" t="e">
        <f>IF(COUNTIF(#REF!,Tabela2[[#This Row],[KOD_PRODUKTU]])&gt;0,"ELEMENT","PRODUKT")</f>
        <v>#REF!</v>
      </c>
      <c r="M3387" t="e">
        <f>COUNTIF(#REF!,Tabela2[[#This Row],[KOD_PRODUKTU]])</f>
        <v>#REF!</v>
      </c>
    </row>
    <row r="3388" spans="1:13" x14ac:dyDescent="0.25">
      <c r="A3388" s="1" t="s">
        <v>331</v>
      </c>
      <c r="B3388" t="s">
        <v>332</v>
      </c>
      <c r="C3388" s="1" t="s">
        <v>7</v>
      </c>
      <c r="D3388" s="1" t="s">
        <v>7</v>
      </c>
      <c r="E3388" s="1" t="s">
        <v>7</v>
      </c>
      <c r="F3388" t="s">
        <v>8</v>
      </c>
      <c r="G3388" t="s">
        <v>9</v>
      </c>
      <c r="H3388" t="s">
        <v>10</v>
      </c>
      <c r="I3388" t="s">
        <v>594</v>
      </c>
      <c r="J3388">
        <v>11.5</v>
      </c>
      <c r="K3388" t="e">
        <f>IF(COUNTIF(#REF!,Tabela2[[#This Row],[IdxWspolny]])&gt;0,"ELEM_lub_PRD","TECHN")</f>
        <v>#REF!</v>
      </c>
      <c r="L3388" t="e">
        <f>IF(COUNTIF(#REF!,Tabela2[[#This Row],[KOD_PRODUKTU]])&gt;0,"ELEMENT","PRODUKT")</f>
        <v>#REF!</v>
      </c>
      <c r="M3388" t="e">
        <f>COUNTIF(#REF!,Tabela2[[#This Row],[KOD_PRODUKTU]])</f>
        <v>#REF!</v>
      </c>
    </row>
    <row r="3389" spans="1:13" x14ac:dyDescent="0.25">
      <c r="A3389" s="1" t="s">
        <v>334</v>
      </c>
      <c r="B3389" t="s">
        <v>335</v>
      </c>
      <c r="C3389" s="1" t="s">
        <v>2961</v>
      </c>
      <c r="D3389" s="1" t="s">
        <v>2961</v>
      </c>
      <c r="E3389" s="1" t="s">
        <v>2961</v>
      </c>
      <c r="F3389" t="s">
        <v>2962</v>
      </c>
      <c r="G3389" t="s">
        <v>4430</v>
      </c>
      <c r="H3389" t="s">
        <v>5</v>
      </c>
      <c r="I3389" t="s">
        <v>5041</v>
      </c>
      <c r="J3389">
        <v>0.15</v>
      </c>
      <c r="K3389" t="e">
        <f>IF(COUNTIF(#REF!,Tabela2[[#This Row],[IdxWspolny]])&gt;0,"ELEM_lub_PRD","TECHN")</f>
        <v>#REF!</v>
      </c>
      <c r="L3389" t="e">
        <f>IF(COUNTIF(#REF!,Tabela2[[#This Row],[KOD_PRODUKTU]])&gt;0,"ELEMENT","PRODUKT")</f>
        <v>#REF!</v>
      </c>
      <c r="M3389" t="e">
        <f>COUNTIF(#REF!,Tabela2[[#This Row],[KOD_PRODUKTU]])</f>
        <v>#REF!</v>
      </c>
    </row>
    <row r="3390" spans="1:13" x14ac:dyDescent="0.25">
      <c r="A3390" s="1" t="s">
        <v>334</v>
      </c>
      <c r="B3390" t="s">
        <v>335</v>
      </c>
      <c r="C3390" s="1" t="s">
        <v>7</v>
      </c>
      <c r="D3390" s="1" t="s">
        <v>7</v>
      </c>
      <c r="E3390" s="1" t="s">
        <v>7</v>
      </c>
      <c r="F3390" t="s">
        <v>8</v>
      </c>
      <c r="G3390" t="s">
        <v>9</v>
      </c>
      <c r="H3390" t="s">
        <v>10</v>
      </c>
      <c r="I3390" t="s">
        <v>1791</v>
      </c>
      <c r="J3390">
        <v>2.4500000000000002</v>
      </c>
      <c r="K3390" t="e">
        <f>IF(COUNTIF(#REF!,Tabela2[[#This Row],[IdxWspolny]])&gt;0,"ELEM_lub_PRD","TECHN")</f>
        <v>#REF!</v>
      </c>
      <c r="L3390" t="e">
        <f>IF(COUNTIF(#REF!,Tabela2[[#This Row],[KOD_PRODUKTU]])&gt;0,"ELEMENT","PRODUKT")</f>
        <v>#REF!</v>
      </c>
      <c r="M3390" t="e">
        <f>COUNTIF(#REF!,Tabela2[[#This Row],[KOD_PRODUKTU]])</f>
        <v>#REF!</v>
      </c>
    </row>
    <row r="3391" spans="1:13" x14ac:dyDescent="0.25">
      <c r="A3391" s="1" t="s">
        <v>337</v>
      </c>
      <c r="B3391" t="s">
        <v>338</v>
      </c>
      <c r="C3391" s="1" t="s">
        <v>1162</v>
      </c>
      <c r="D3391" s="1" t="s">
        <v>1162</v>
      </c>
      <c r="E3391" s="1" t="s">
        <v>1162</v>
      </c>
      <c r="F3391" t="s">
        <v>1163</v>
      </c>
      <c r="G3391" t="s">
        <v>291</v>
      </c>
      <c r="H3391" t="s">
        <v>5</v>
      </c>
      <c r="I3391" t="s">
        <v>5042</v>
      </c>
      <c r="J3391">
        <v>0.15</v>
      </c>
      <c r="K3391" t="e">
        <f>IF(COUNTIF(#REF!,Tabela2[[#This Row],[IdxWspolny]])&gt;0,"ELEM_lub_PRD","TECHN")</f>
        <v>#REF!</v>
      </c>
      <c r="L3391" t="e">
        <f>IF(COUNTIF(#REF!,Tabela2[[#This Row],[KOD_PRODUKTU]])&gt;0,"ELEMENT","PRODUKT")</f>
        <v>#REF!</v>
      </c>
      <c r="M3391" t="e">
        <f>COUNTIF(#REF!,Tabela2[[#This Row],[KOD_PRODUKTU]])</f>
        <v>#REF!</v>
      </c>
    </row>
    <row r="3392" spans="1:13" x14ac:dyDescent="0.25">
      <c r="A3392" s="1" t="s">
        <v>337</v>
      </c>
      <c r="B3392" t="s">
        <v>338</v>
      </c>
      <c r="C3392" s="1" t="s">
        <v>7</v>
      </c>
      <c r="D3392" s="1" t="s">
        <v>7</v>
      </c>
      <c r="E3392" s="1" t="s">
        <v>7</v>
      </c>
      <c r="F3392" t="s">
        <v>8</v>
      </c>
      <c r="G3392" t="s">
        <v>9</v>
      </c>
      <c r="H3392" t="s">
        <v>10</v>
      </c>
      <c r="I3392" t="s">
        <v>1791</v>
      </c>
      <c r="J3392">
        <v>2.4500000000000002</v>
      </c>
      <c r="K3392" t="e">
        <f>IF(COUNTIF(#REF!,Tabela2[[#This Row],[IdxWspolny]])&gt;0,"ELEM_lub_PRD","TECHN")</f>
        <v>#REF!</v>
      </c>
      <c r="L3392" t="e">
        <f>IF(COUNTIF(#REF!,Tabela2[[#This Row],[KOD_PRODUKTU]])&gt;0,"ELEMENT","PRODUKT")</f>
        <v>#REF!</v>
      </c>
      <c r="M3392" t="e">
        <f>COUNTIF(#REF!,Tabela2[[#This Row],[KOD_PRODUKTU]])</f>
        <v>#REF!</v>
      </c>
    </row>
    <row r="3393" spans="1:13" x14ac:dyDescent="0.25">
      <c r="A3393" s="1" t="s">
        <v>339</v>
      </c>
      <c r="B3393" t="s">
        <v>340</v>
      </c>
      <c r="C3393" s="1" t="s">
        <v>1162</v>
      </c>
      <c r="D3393" s="1" t="s">
        <v>1162</v>
      </c>
      <c r="E3393" s="1" t="s">
        <v>1162</v>
      </c>
      <c r="F3393" t="s">
        <v>1163</v>
      </c>
      <c r="G3393" t="s">
        <v>291</v>
      </c>
      <c r="H3393" t="s">
        <v>5</v>
      </c>
      <c r="I3393" t="s">
        <v>5042</v>
      </c>
      <c r="J3393">
        <v>0.15</v>
      </c>
      <c r="K3393" t="e">
        <f>IF(COUNTIF(#REF!,Tabela2[[#This Row],[IdxWspolny]])&gt;0,"ELEM_lub_PRD","TECHN")</f>
        <v>#REF!</v>
      </c>
      <c r="L3393" t="e">
        <f>IF(COUNTIF(#REF!,Tabela2[[#This Row],[KOD_PRODUKTU]])&gt;0,"ELEMENT","PRODUKT")</f>
        <v>#REF!</v>
      </c>
      <c r="M3393" t="e">
        <f>COUNTIF(#REF!,Tabela2[[#This Row],[KOD_PRODUKTU]])</f>
        <v>#REF!</v>
      </c>
    </row>
    <row r="3394" spans="1:13" x14ac:dyDescent="0.25">
      <c r="A3394" s="1" t="s">
        <v>339</v>
      </c>
      <c r="B3394" t="s">
        <v>340</v>
      </c>
      <c r="C3394" s="1" t="s">
        <v>7</v>
      </c>
      <c r="D3394" s="1" t="s">
        <v>7</v>
      </c>
      <c r="E3394" s="1" t="s">
        <v>7</v>
      </c>
      <c r="F3394" t="s">
        <v>8</v>
      </c>
      <c r="G3394" t="s">
        <v>9</v>
      </c>
      <c r="H3394" t="s">
        <v>10</v>
      </c>
      <c r="I3394" t="s">
        <v>1791</v>
      </c>
      <c r="J3394">
        <v>2.4500000000000002</v>
      </c>
      <c r="K3394" t="e">
        <f>IF(COUNTIF(#REF!,Tabela2[[#This Row],[IdxWspolny]])&gt;0,"ELEM_lub_PRD","TECHN")</f>
        <v>#REF!</v>
      </c>
      <c r="L3394" t="e">
        <f>IF(COUNTIF(#REF!,Tabela2[[#This Row],[KOD_PRODUKTU]])&gt;0,"ELEMENT","PRODUKT")</f>
        <v>#REF!</v>
      </c>
      <c r="M3394" t="e">
        <f>COUNTIF(#REF!,Tabela2[[#This Row],[KOD_PRODUKTU]])</f>
        <v>#REF!</v>
      </c>
    </row>
    <row r="3395" spans="1:13" x14ac:dyDescent="0.25">
      <c r="A3395" s="1" t="s">
        <v>341</v>
      </c>
      <c r="B3395" t="s">
        <v>5043</v>
      </c>
      <c r="C3395" s="1" t="s">
        <v>3255</v>
      </c>
      <c r="D3395" s="1" t="s">
        <v>3255</v>
      </c>
      <c r="E3395" s="1" t="s">
        <v>3255</v>
      </c>
      <c r="F3395" t="s">
        <v>3256</v>
      </c>
      <c r="G3395" t="s">
        <v>3756</v>
      </c>
      <c r="H3395" t="s">
        <v>5</v>
      </c>
      <c r="I3395" t="s">
        <v>5044</v>
      </c>
      <c r="J3395">
        <v>0.9</v>
      </c>
      <c r="K3395" t="e">
        <f>IF(COUNTIF(#REF!,Tabela2[[#This Row],[IdxWspolny]])&gt;0,"ELEM_lub_PRD","TECHN")</f>
        <v>#REF!</v>
      </c>
      <c r="L3395" t="e">
        <f>IF(COUNTIF(#REF!,Tabela2[[#This Row],[KOD_PRODUKTU]])&gt;0,"ELEMENT","PRODUKT")</f>
        <v>#REF!</v>
      </c>
      <c r="M3395" t="e">
        <f>COUNTIF(#REF!,Tabela2[[#This Row],[KOD_PRODUKTU]])</f>
        <v>#REF!</v>
      </c>
    </row>
    <row r="3396" spans="1:13" x14ac:dyDescent="0.25">
      <c r="A3396" s="1" t="s">
        <v>341</v>
      </c>
      <c r="B3396" t="s">
        <v>5043</v>
      </c>
      <c r="C3396" s="1" t="s">
        <v>7</v>
      </c>
      <c r="D3396" s="1" t="s">
        <v>7</v>
      </c>
      <c r="E3396" s="1" t="s">
        <v>7</v>
      </c>
      <c r="F3396" t="s">
        <v>8</v>
      </c>
      <c r="G3396" t="s">
        <v>9</v>
      </c>
      <c r="H3396" t="s">
        <v>10</v>
      </c>
      <c r="I3396" t="s">
        <v>1225</v>
      </c>
      <c r="J3396">
        <v>2.5</v>
      </c>
      <c r="K3396" t="e">
        <f>IF(COUNTIF(#REF!,Tabela2[[#This Row],[IdxWspolny]])&gt;0,"ELEM_lub_PRD","TECHN")</f>
        <v>#REF!</v>
      </c>
      <c r="L3396" t="e">
        <f>IF(COUNTIF(#REF!,Tabela2[[#This Row],[KOD_PRODUKTU]])&gt;0,"ELEMENT","PRODUKT")</f>
        <v>#REF!</v>
      </c>
      <c r="M3396" t="e">
        <f>COUNTIF(#REF!,Tabela2[[#This Row],[KOD_PRODUKTU]])</f>
        <v>#REF!</v>
      </c>
    </row>
    <row r="3397" spans="1:13" x14ac:dyDescent="0.25">
      <c r="A3397" s="1" t="s">
        <v>5045</v>
      </c>
      <c r="B3397" t="s">
        <v>5046</v>
      </c>
      <c r="C3397" s="1" t="s">
        <v>1207</v>
      </c>
      <c r="D3397" s="1" t="s">
        <v>1207</v>
      </c>
      <c r="E3397" s="1" t="s">
        <v>1207</v>
      </c>
      <c r="F3397" t="s">
        <v>5047</v>
      </c>
      <c r="G3397" t="s">
        <v>1017</v>
      </c>
      <c r="H3397" t="s">
        <v>5</v>
      </c>
      <c r="I3397" t="s">
        <v>5048</v>
      </c>
      <c r="J3397">
        <v>0.5</v>
      </c>
      <c r="K3397" t="e">
        <f>IF(COUNTIF(#REF!,Tabela2[[#This Row],[IdxWspolny]])&gt;0,"ELEM_lub_PRD","TECHN")</f>
        <v>#REF!</v>
      </c>
      <c r="L3397" t="e">
        <f>IF(COUNTIF(#REF!,Tabela2[[#This Row],[KOD_PRODUKTU]])&gt;0,"ELEMENT","PRODUKT")</f>
        <v>#REF!</v>
      </c>
      <c r="M3397" t="e">
        <f>COUNTIF(#REF!,Tabela2[[#This Row],[KOD_PRODUKTU]])</f>
        <v>#REF!</v>
      </c>
    </row>
    <row r="3398" spans="1:13" x14ac:dyDescent="0.25">
      <c r="A3398" s="1" t="s">
        <v>5045</v>
      </c>
      <c r="B3398" t="s">
        <v>5046</v>
      </c>
      <c r="C3398" s="1" t="s">
        <v>7</v>
      </c>
      <c r="D3398" s="1" t="s">
        <v>7</v>
      </c>
      <c r="E3398" s="1" t="s">
        <v>7</v>
      </c>
      <c r="F3398" t="s">
        <v>8</v>
      </c>
      <c r="G3398" t="s">
        <v>9</v>
      </c>
      <c r="H3398" t="s">
        <v>10</v>
      </c>
      <c r="I3398" t="s">
        <v>19</v>
      </c>
      <c r="J3398">
        <v>4.5999999999999996</v>
      </c>
      <c r="K3398" t="e">
        <f>IF(COUNTIF(#REF!,Tabela2[[#This Row],[IdxWspolny]])&gt;0,"ELEM_lub_PRD","TECHN")</f>
        <v>#REF!</v>
      </c>
      <c r="L3398" t="e">
        <f>IF(COUNTIF(#REF!,Tabela2[[#This Row],[KOD_PRODUKTU]])&gt;0,"ELEMENT","PRODUKT")</f>
        <v>#REF!</v>
      </c>
      <c r="M3398" t="e">
        <f>COUNTIF(#REF!,Tabela2[[#This Row],[KOD_PRODUKTU]])</f>
        <v>#REF!</v>
      </c>
    </row>
    <row r="3399" spans="1:13" x14ac:dyDescent="0.25">
      <c r="A3399" s="1" t="s">
        <v>5049</v>
      </c>
      <c r="B3399" t="s">
        <v>5050</v>
      </c>
      <c r="C3399" s="1" t="s">
        <v>1207</v>
      </c>
      <c r="D3399" s="1" t="s">
        <v>1207</v>
      </c>
      <c r="E3399" s="1" t="s">
        <v>1207</v>
      </c>
      <c r="F3399" t="s">
        <v>5047</v>
      </c>
      <c r="G3399" t="s">
        <v>1017</v>
      </c>
      <c r="H3399" t="s">
        <v>5</v>
      </c>
      <c r="I3399" t="s">
        <v>1210</v>
      </c>
      <c r="J3399">
        <v>0.3</v>
      </c>
      <c r="K3399" t="e">
        <f>IF(COUNTIF(#REF!,Tabela2[[#This Row],[IdxWspolny]])&gt;0,"ELEM_lub_PRD","TECHN")</f>
        <v>#REF!</v>
      </c>
      <c r="L3399" t="e">
        <f>IF(COUNTIF(#REF!,Tabela2[[#This Row],[KOD_PRODUKTU]])&gt;0,"ELEMENT","PRODUKT")</f>
        <v>#REF!</v>
      </c>
      <c r="M3399" t="e">
        <f>COUNTIF(#REF!,Tabela2[[#This Row],[KOD_PRODUKTU]])</f>
        <v>#REF!</v>
      </c>
    </row>
    <row r="3400" spans="1:13" x14ac:dyDescent="0.25">
      <c r="A3400" s="1" t="s">
        <v>5049</v>
      </c>
      <c r="B3400" t="s">
        <v>5050</v>
      </c>
      <c r="C3400" s="1" t="s">
        <v>7</v>
      </c>
      <c r="D3400" s="1" t="s">
        <v>7</v>
      </c>
      <c r="E3400" s="1" t="s">
        <v>7</v>
      </c>
      <c r="F3400" t="s">
        <v>8</v>
      </c>
      <c r="G3400" t="s">
        <v>9</v>
      </c>
      <c r="H3400" t="s">
        <v>10</v>
      </c>
      <c r="I3400" t="s">
        <v>19</v>
      </c>
      <c r="J3400">
        <v>4.5999999999999996</v>
      </c>
      <c r="K3400" t="e">
        <f>IF(COUNTIF(#REF!,Tabela2[[#This Row],[IdxWspolny]])&gt;0,"ELEM_lub_PRD","TECHN")</f>
        <v>#REF!</v>
      </c>
      <c r="L3400" t="e">
        <f>IF(COUNTIF(#REF!,Tabela2[[#This Row],[KOD_PRODUKTU]])&gt;0,"ELEMENT","PRODUKT")</f>
        <v>#REF!</v>
      </c>
      <c r="M3400" t="e">
        <f>COUNTIF(#REF!,Tabela2[[#This Row],[KOD_PRODUKTU]])</f>
        <v>#REF!</v>
      </c>
    </row>
    <row r="3401" spans="1:13" x14ac:dyDescent="0.25">
      <c r="A3401" s="1" t="s">
        <v>5051</v>
      </c>
      <c r="B3401" t="s">
        <v>5052</v>
      </c>
      <c r="C3401" s="1" t="s">
        <v>3834</v>
      </c>
      <c r="D3401" s="1" t="s">
        <v>3834</v>
      </c>
      <c r="E3401" s="1" t="s">
        <v>3834</v>
      </c>
      <c r="F3401" t="s">
        <v>3835</v>
      </c>
      <c r="G3401" t="s">
        <v>3836</v>
      </c>
      <c r="H3401" t="s">
        <v>5</v>
      </c>
      <c r="I3401" t="s">
        <v>5053</v>
      </c>
      <c r="J3401">
        <v>0.5</v>
      </c>
      <c r="K3401" t="e">
        <f>IF(COUNTIF(#REF!,Tabela2[[#This Row],[IdxWspolny]])&gt;0,"ELEM_lub_PRD","TECHN")</f>
        <v>#REF!</v>
      </c>
      <c r="L3401" t="e">
        <f>IF(COUNTIF(#REF!,Tabela2[[#This Row],[KOD_PRODUKTU]])&gt;0,"ELEMENT","PRODUKT")</f>
        <v>#REF!</v>
      </c>
      <c r="M3401" t="e">
        <f>COUNTIF(#REF!,Tabela2[[#This Row],[KOD_PRODUKTU]])</f>
        <v>#REF!</v>
      </c>
    </row>
    <row r="3402" spans="1:13" x14ac:dyDescent="0.25">
      <c r="A3402" s="1" t="s">
        <v>5051</v>
      </c>
      <c r="B3402" t="s">
        <v>5052</v>
      </c>
      <c r="C3402" s="1" t="s">
        <v>7</v>
      </c>
      <c r="D3402" s="1" t="s">
        <v>7</v>
      </c>
      <c r="E3402" s="1" t="s">
        <v>7</v>
      </c>
      <c r="F3402" t="s">
        <v>8</v>
      </c>
      <c r="G3402" t="s">
        <v>9</v>
      </c>
      <c r="H3402" t="s">
        <v>10</v>
      </c>
      <c r="I3402" t="s">
        <v>601</v>
      </c>
      <c r="J3402">
        <v>6.9</v>
      </c>
      <c r="K3402" t="e">
        <f>IF(COUNTIF(#REF!,Tabela2[[#This Row],[IdxWspolny]])&gt;0,"ELEM_lub_PRD","TECHN")</f>
        <v>#REF!</v>
      </c>
      <c r="L3402" t="e">
        <f>IF(COUNTIF(#REF!,Tabela2[[#This Row],[KOD_PRODUKTU]])&gt;0,"ELEMENT","PRODUKT")</f>
        <v>#REF!</v>
      </c>
      <c r="M3402" t="e">
        <f>COUNTIF(#REF!,Tabela2[[#This Row],[KOD_PRODUKTU]])</f>
        <v>#REF!</v>
      </c>
    </row>
    <row r="3403" spans="1:13" x14ac:dyDescent="0.25">
      <c r="A3403" s="1" t="s">
        <v>5054</v>
      </c>
      <c r="B3403" t="s">
        <v>5055</v>
      </c>
      <c r="C3403" s="1" t="s">
        <v>5056</v>
      </c>
      <c r="D3403" s="1" t="s">
        <v>5056</v>
      </c>
      <c r="E3403" s="1" t="s">
        <v>5056</v>
      </c>
      <c r="F3403" t="s">
        <v>5057</v>
      </c>
      <c r="G3403" t="s">
        <v>553</v>
      </c>
      <c r="H3403" t="s">
        <v>17</v>
      </c>
      <c r="I3403" t="s">
        <v>5058</v>
      </c>
      <c r="J3403">
        <v>3.5</v>
      </c>
      <c r="K3403" t="e">
        <f>IF(COUNTIF(#REF!,Tabela2[[#This Row],[IdxWspolny]])&gt;0,"ELEM_lub_PRD","TECHN")</f>
        <v>#REF!</v>
      </c>
      <c r="L3403" t="e">
        <f>IF(COUNTIF(#REF!,Tabela2[[#This Row],[KOD_PRODUKTU]])&gt;0,"ELEMENT","PRODUKT")</f>
        <v>#REF!</v>
      </c>
      <c r="M3403" t="e">
        <f>COUNTIF(#REF!,Tabela2[[#This Row],[KOD_PRODUKTU]])</f>
        <v>#REF!</v>
      </c>
    </row>
    <row r="3404" spans="1:13" x14ac:dyDescent="0.25">
      <c r="A3404" s="1" t="s">
        <v>5054</v>
      </c>
      <c r="B3404" t="s">
        <v>5055</v>
      </c>
      <c r="C3404" s="1" t="s">
        <v>7</v>
      </c>
      <c r="D3404" s="1" t="s">
        <v>7</v>
      </c>
      <c r="E3404" s="1" t="s">
        <v>7</v>
      </c>
      <c r="F3404" t="s">
        <v>8</v>
      </c>
      <c r="G3404" t="s">
        <v>9</v>
      </c>
      <c r="H3404" t="s">
        <v>10</v>
      </c>
      <c r="I3404" t="s">
        <v>5059</v>
      </c>
      <c r="J3404">
        <v>8.5</v>
      </c>
      <c r="K3404" t="e">
        <f>IF(COUNTIF(#REF!,Tabela2[[#This Row],[IdxWspolny]])&gt;0,"ELEM_lub_PRD","TECHN")</f>
        <v>#REF!</v>
      </c>
      <c r="L3404" t="e">
        <f>IF(COUNTIF(#REF!,Tabela2[[#This Row],[KOD_PRODUKTU]])&gt;0,"ELEMENT","PRODUKT")</f>
        <v>#REF!</v>
      </c>
      <c r="M3404" t="e">
        <f>COUNTIF(#REF!,Tabela2[[#This Row],[KOD_PRODUKTU]])</f>
        <v>#REF!</v>
      </c>
    </row>
    <row r="3405" spans="1:13" x14ac:dyDescent="0.25">
      <c r="A3405" s="1" t="s">
        <v>5060</v>
      </c>
      <c r="B3405" t="s">
        <v>5061</v>
      </c>
      <c r="C3405" s="1" t="s">
        <v>5062</v>
      </c>
      <c r="D3405" s="1" t="s">
        <v>5062</v>
      </c>
      <c r="E3405" s="1" t="s">
        <v>5062</v>
      </c>
      <c r="F3405" t="s">
        <v>5061</v>
      </c>
      <c r="G3405" t="s">
        <v>5063</v>
      </c>
      <c r="H3405" t="s">
        <v>49</v>
      </c>
      <c r="I3405" t="s">
        <v>50</v>
      </c>
      <c r="J3405">
        <v>3.25</v>
      </c>
      <c r="K3405" t="e">
        <f>IF(COUNTIF(#REF!,Tabela2[[#This Row],[IdxWspolny]])&gt;0,"ELEM_lub_PRD","TECHN")</f>
        <v>#REF!</v>
      </c>
      <c r="L3405" t="e">
        <f>IF(COUNTIF(#REF!,Tabela2[[#This Row],[KOD_PRODUKTU]])&gt;0,"ELEMENT","PRODUKT")</f>
        <v>#REF!</v>
      </c>
      <c r="M3405" t="e">
        <f>COUNTIF(#REF!,Tabela2[[#This Row],[KOD_PRODUKTU]])</f>
        <v>#REF!</v>
      </c>
    </row>
    <row r="3406" spans="1:13" x14ac:dyDescent="0.25">
      <c r="A3406" s="1" t="s">
        <v>5060</v>
      </c>
      <c r="B3406" t="s">
        <v>5061</v>
      </c>
      <c r="C3406" s="1" t="s">
        <v>7</v>
      </c>
      <c r="D3406" s="1" t="s">
        <v>7</v>
      </c>
      <c r="E3406" s="1" t="s">
        <v>7</v>
      </c>
      <c r="F3406" t="s">
        <v>8</v>
      </c>
      <c r="G3406" t="s">
        <v>9</v>
      </c>
      <c r="H3406" t="s">
        <v>10</v>
      </c>
      <c r="I3406" t="s">
        <v>5064</v>
      </c>
      <c r="J3406">
        <v>17.75</v>
      </c>
      <c r="K3406" t="e">
        <f>IF(COUNTIF(#REF!,Tabela2[[#This Row],[IdxWspolny]])&gt;0,"ELEM_lub_PRD","TECHN")</f>
        <v>#REF!</v>
      </c>
      <c r="L3406" t="e">
        <f>IF(COUNTIF(#REF!,Tabela2[[#This Row],[KOD_PRODUKTU]])&gt;0,"ELEMENT","PRODUKT")</f>
        <v>#REF!</v>
      </c>
      <c r="M3406" t="e">
        <f>COUNTIF(#REF!,Tabela2[[#This Row],[KOD_PRODUKTU]])</f>
        <v>#REF!</v>
      </c>
    </row>
    <row r="3407" spans="1:13" x14ac:dyDescent="0.25">
      <c r="A3407" s="1" t="s">
        <v>5065</v>
      </c>
      <c r="B3407" t="s">
        <v>5066</v>
      </c>
      <c r="C3407" s="1" t="s">
        <v>5067</v>
      </c>
      <c r="D3407" s="1" t="s">
        <v>5067</v>
      </c>
      <c r="E3407" s="1" t="s">
        <v>5067</v>
      </c>
      <c r="F3407" t="s">
        <v>5068</v>
      </c>
      <c r="G3407" t="s">
        <v>5069</v>
      </c>
      <c r="H3407" t="s">
        <v>49</v>
      </c>
      <c r="I3407" t="s">
        <v>50</v>
      </c>
      <c r="J3407">
        <v>1.3</v>
      </c>
      <c r="K3407" t="e">
        <f>IF(COUNTIF(#REF!,Tabela2[[#This Row],[IdxWspolny]])&gt;0,"ELEM_lub_PRD","TECHN")</f>
        <v>#REF!</v>
      </c>
      <c r="L3407" t="e">
        <f>IF(COUNTIF(#REF!,Tabela2[[#This Row],[KOD_PRODUKTU]])&gt;0,"ELEMENT","PRODUKT")</f>
        <v>#REF!</v>
      </c>
      <c r="M3407" t="e">
        <f>COUNTIF(#REF!,Tabela2[[#This Row],[KOD_PRODUKTU]])</f>
        <v>#REF!</v>
      </c>
    </row>
    <row r="3408" spans="1:13" x14ac:dyDescent="0.25">
      <c r="A3408" s="1" t="s">
        <v>5065</v>
      </c>
      <c r="B3408" t="s">
        <v>5066</v>
      </c>
      <c r="C3408" s="1" t="s">
        <v>432</v>
      </c>
      <c r="D3408" s="1" t="s">
        <v>432</v>
      </c>
      <c r="E3408" s="1" t="s">
        <v>432</v>
      </c>
      <c r="F3408" t="s">
        <v>433</v>
      </c>
      <c r="G3408" t="s">
        <v>434</v>
      </c>
      <c r="H3408" t="s">
        <v>435</v>
      </c>
      <c r="I3408" t="s">
        <v>50</v>
      </c>
      <c r="J3408">
        <v>1.1000000000000001</v>
      </c>
      <c r="K3408" t="e">
        <f>IF(COUNTIF(#REF!,Tabela2[[#This Row],[IdxWspolny]])&gt;0,"ELEM_lub_PRD","TECHN")</f>
        <v>#REF!</v>
      </c>
      <c r="L3408" t="e">
        <f>IF(COUNTIF(#REF!,Tabela2[[#This Row],[KOD_PRODUKTU]])&gt;0,"ELEMENT","PRODUKT")</f>
        <v>#REF!</v>
      </c>
      <c r="M3408" t="e">
        <f>COUNTIF(#REF!,Tabela2[[#This Row],[KOD_PRODUKTU]])</f>
        <v>#REF!</v>
      </c>
    </row>
    <row r="3409" spans="1:13" x14ac:dyDescent="0.25">
      <c r="A3409" s="1" t="s">
        <v>5065</v>
      </c>
      <c r="B3409" t="s">
        <v>5066</v>
      </c>
      <c r="C3409" s="1" t="s">
        <v>541</v>
      </c>
      <c r="D3409" s="1" t="s">
        <v>541</v>
      </c>
      <c r="E3409" s="1" t="s">
        <v>541</v>
      </c>
      <c r="F3409" t="s">
        <v>542</v>
      </c>
      <c r="G3409" t="s">
        <v>9</v>
      </c>
      <c r="H3409" t="s">
        <v>10</v>
      </c>
      <c r="I3409" t="s">
        <v>19</v>
      </c>
      <c r="J3409">
        <v>4.5999999999999996</v>
      </c>
      <c r="K3409" t="e">
        <f>IF(COUNTIF(#REF!,Tabela2[[#This Row],[IdxWspolny]])&gt;0,"ELEM_lub_PRD","TECHN")</f>
        <v>#REF!</v>
      </c>
      <c r="L3409" t="e">
        <f>IF(COUNTIF(#REF!,Tabela2[[#This Row],[KOD_PRODUKTU]])&gt;0,"ELEMENT","PRODUKT")</f>
        <v>#REF!</v>
      </c>
      <c r="M3409" t="e">
        <f>COUNTIF(#REF!,Tabela2[[#This Row],[KOD_PRODUKTU]])</f>
        <v>#REF!</v>
      </c>
    </row>
    <row r="3410" spans="1:13" x14ac:dyDescent="0.25">
      <c r="A3410" s="1" t="s">
        <v>5070</v>
      </c>
      <c r="B3410" t="s">
        <v>5071</v>
      </c>
      <c r="C3410" s="1" t="s">
        <v>5072</v>
      </c>
      <c r="D3410" s="1" t="s">
        <v>5072</v>
      </c>
      <c r="E3410" s="1" t="s">
        <v>5072</v>
      </c>
      <c r="F3410" t="s">
        <v>5073</v>
      </c>
      <c r="G3410" t="s">
        <v>336</v>
      </c>
      <c r="H3410" t="s">
        <v>49</v>
      </c>
      <c r="I3410" t="s">
        <v>50</v>
      </c>
      <c r="J3410">
        <v>2.6</v>
      </c>
      <c r="K3410" t="e">
        <f>IF(COUNTIF(#REF!,Tabela2[[#This Row],[IdxWspolny]])&gt;0,"ELEM_lub_PRD","TECHN")</f>
        <v>#REF!</v>
      </c>
      <c r="L3410" t="e">
        <f>IF(COUNTIF(#REF!,Tabela2[[#This Row],[KOD_PRODUKTU]])&gt;0,"ELEMENT","PRODUKT")</f>
        <v>#REF!</v>
      </c>
      <c r="M3410" t="e">
        <f>COUNTIF(#REF!,Tabela2[[#This Row],[KOD_PRODUKTU]])</f>
        <v>#REF!</v>
      </c>
    </row>
    <row r="3411" spans="1:13" x14ac:dyDescent="0.25">
      <c r="A3411" s="1" t="s">
        <v>5070</v>
      </c>
      <c r="B3411" t="s">
        <v>5071</v>
      </c>
      <c r="C3411" s="1" t="s">
        <v>7</v>
      </c>
      <c r="D3411" s="1" t="s">
        <v>7</v>
      </c>
      <c r="E3411" s="1" t="s">
        <v>7</v>
      </c>
      <c r="F3411" t="s">
        <v>8</v>
      </c>
      <c r="G3411" t="s">
        <v>9</v>
      </c>
      <c r="H3411" t="s">
        <v>10</v>
      </c>
      <c r="I3411" t="s">
        <v>5074</v>
      </c>
      <c r="J3411">
        <v>12.4</v>
      </c>
      <c r="K3411" t="e">
        <f>IF(COUNTIF(#REF!,Tabela2[[#This Row],[IdxWspolny]])&gt;0,"ELEM_lub_PRD","TECHN")</f>
        <v>#REF!</v>
      </c>
      <c r="L3411" t="e">
        <f>IF(COUNTIF(#REF!,Tabela2[[#This Row],[KOD_PRODUKTU]])&gt;0,"ELEMENT","PRODUKT")</f>
        <v>#REF!</v>
      </c>
      <c r="M3411" t="e">
        <f>COUNTIF(#REF!,Tabela2[[#This Row],[KOD_PRODUKTU]])</f>
        <v>#REF!</v>
      </c>
    </row>
    <row r="3412" spans="1:13" x14ac:dyDescent="0.25">
      <c r="A3412" s="1" t="s">
        <v>5075</v>
      </c>
      <c r="B3412" t="s">
        <v>5076</v>
      </c>
      <c r="C3412" s="1" t="s">
        <v>3834</v>
      </c>
      <c r="D3412" s="1" t="s">
        <v>3834</v>
      </c>
      <c r="E3412" s="1" t="s">
        <v>3834</v>
      </c>
      <c r="F3412" t="s">
        <v>3835</v>
      </c>
      <c r="G3412" t="s">
        <v>3836</v>
      </c>
      <c r="H3412" t="s">
        <v>5</v>
      </c>
      <c r="I3412" t="s">
        <v>5077</v>
      </c>
      <c r="J3412">
        <v>0.6</v>
      </c>
      <c r="K3412" t="e">
        <f>IF(COUNTIF(#REF!,Tabela2[[#This Row],[IdxWspolny]])&gt;0,"ELEM_lub_PRD","TECHN")</f>
        <v>#REF!</v>
      </c>
      <c r="L3412" t="e">
        <f>IF(COUNTIF(#REF!,Tabela2[[#This Row],[KOD_PRODUKTU]])&gt;0,"ELEMENT","PRODUKT")</f>
        <v>#REF!</v>
      </c>
      <c r="M3412" t="e">
        <f>COUNTIF(#REF!,Tabela2[[#This Row],[KOD_PRODUKTU]])</f>
        <v>#REF!</v>
      </c>
    </row>
    <row r="3413" spans="1:13" x14ac:dyDescent="0.25">
      <c r="A3413" s="1" t="s">
        <v>5075</v>
      </c>
      <c r="B3413" t="s">
        <v>5076</v>
      </c>
      <c r="C3413" s="1" t="s">
        <v>7</v>
      </c>
      <c r="D3413" s="1" t="s">
        <v>7</v>
      </c>
      <c r="E3413" s="1" t="s">
        <v>7</v>
      </c>
      <c r="F3413" t="s">
        <v>8</v>
      </c>
      <c r="G3413" t="s">
        <v>9</v>
      </c>
      <c r="H3413" t="s">
        <v>10</v>
      </c>
      <c r="I3413" t="s">
        <v>33</v>
      </c>
      <c r="J3413">
        <v>9.1999999999999993</v>
      </c>
      <c r="K3413" t="e">
        <f>IF(COUNTIF(#REF!,Tabela2[[#This Row],[IdxWspolny]])&gt;0,"ELEM_lub_PRD","TECHN")</f>
        <v>#REF!</v>
      </c>
      <c r="L3413" t="e">
        <f>IF(COUNTIF(#REF!,Tabela2[[#This Row],[KOD_PRODUKTU]])&gt;0,"ELEMENT","PRODUKT")</f>
        <v>#REF!</v>
      </c>
      <c r="M3413" t="e">
        <f>COUNTIF(#REF!,Tabela2[[#This Row],[KOD_PRODUKTU]])</f>
        <v>#REF!</v>
      </c>
    </row>
    <row r="3414" spans="1:13" x14ac:dyDescent="0.25">
      <c r="A3414" s="1" t="s">
        <v>5078</v>
      </c>
      <c r="B3414" t="s">
        <v>5079</v>
      </c>
      <c r="C3414" s="1" t="s">
        <v>5080</v>
      </c>
      <c r="D3414" s="1" t="s">
        <v>5080</v>
      </c>
      <c r="E3414" s="1" t="s">
        <v>5080</v>
      </c>
      <c r="F3414" t="s">
        <v>5081</v>
      </c>
      <c r="G3414" t="s">
        <v>1932</v>
      </c>
      <c r="H3414" t="s">
        <v>49</v>
      </c>
      <c r="I3414" t="s">
        <v>50</v>
      </c>
      <c r="J3414">
        <v>1.85</v>
      </c>
      <c r="K3414" t="e">
        <f>IF(COUNTIF(#REF!,Tabela2[[#This Row],[IdxWspolny]])&gt;0,"ELEM_lub_PRD","TECHN")</f>
        <v>#REF!</v>
      </c>
      <c r="L3414" t="e">
        <f>IF(COUNTIF(#REF!,Tabela2[[#This Row],[KOD_PRODUKTU]])&gt;0,"ELEMENT","PRODUKT")</f>
        <v>#REF!</v>
      </c>
      <c r="M3414" t="e">
        <f>COUNTIF(#REF!,Tabela2[[#This Row],[KOD_PRODUKTU]])</f>
        <v>#REF!</v>
      </c>
    </row>
    <row r="3415" spans="1:13" x14ac:dyDescent="0.25">
      <c r="A3415" s="1" t="s">
        <v>5078</v>
      </c>
      <c r="B3415" t="s">
        <v>5079</v>
      </c>
      <c r="C3415" s="1" t="s">
        <v>432</v>
      </c>
      <c r="D3415" s="1" t="s">
        <v>432</v>
      </c>
      <c r="E3415" s="1" t="s">
        <v>432</v>
      </c>
      <c r="F3415" t="s">
        <v>433</v>
      </c>
      <c r="G3415" t="s">
        <v>434</v>
      </c>
      <c r="H3415" t="s">
        <v>435</v>
      </c>
      <c r="I3415" t="s">
        <v>50</v>
      </c>
      <c r="J3415">
        <v>1.1000000000000001</v>
      </c>
      <c r="K3415" t="e">
        <f>IF(COUNTIF(#REF!,Tabela2[[#This Row],[IdxWspolny]])&gt;0,"ELEM_lub_PRD","TECHN")</f>
        <v>#REF!</v>
      </c>
      <c r="L3415" t="e">
        <f>IF(COUNTIF(#REF!,Tabela2[[#This Row],[KOD_PRODUKTU]])&gt;0,"ELEMENT","PRODUKT")</f>
        <v>#REF!</v>
      </c>
      <c r="M3415" t="e">
        <f>COUNTIF(#REF!,Tabela2[[#This Row],[KOD_PRODUKTU]])</f>
        <v>#REF!</v>
      </c>
    </row>
    <row r="3416" spans="1:13" x14ac:dyDescent="0.25">
      <c r="A3416" s="1" t="s">
        <v>5078</v>
      </c>
      <c r="B3416" t="s">
        <v>5079</v>
      </c>
      <c r="C3416" s="1" t="s">
        <v>7</v>
      </c>
      <c r="D3416" s="1" t="s">
        <v>7</v>
      </c>
      <c r="E3416" s="1" t="s">
        <v>7</v>
      </c>
      <c r="F3416" t="s">
        <v>8</v>
      </c>
      <c r="G3416" t="s">
        <v>9</v>
      </c>
      <c r="H3416" t="s">
        <v>10</v>
      </c>
      <c r="I3416" t="s">
        <v>5082</v>
      </c>
      <c r="J3416">
        <v>15.75</v>
      </c>
      <c r="K3416" t="e">
        <f>IF(COUNTIF(#REF!,Tabela2[[#This Row],[IdxWspolny]])&gt;0,"ELEM_lub_PRD","TECHN")</f>
        <v>#REF!</v>
      </c>
      <c r="L3416" t="e">
        <f>IF(COUNTIF(#REF!,Tabela2[[#This Row],[KOD_PRODUKTU]])&gt;0,"ELEMENT","PRODUKT")</f>
        <v>#REF!</v>
      </c>
      <c r="M3416" t="e">
        <f>COUNTIF(#REF!,Tabela2[[#This Row],[KOD_PRODUKTU]])</f>
        <v>#REF!</v>
      </c>
    </row>
    <row r="3417" spans="1:13" x14ac:dyDescent="0.25">
      <c r="A3417" s="1" t="s">
        <v>5083</v>
      </c>
      <c r="B3417" t="s">
        <v>5084</v>
      </c>
      <c r="C3417" s="1" t="s">
        <v>1813</v>
      </c>
      <c r="D3417" s="1" t="s">
        <v>1813</v>
      </c>
      <c r="E3417" s="1" t="s">
        <v>1813</v>
      </c>
      <c r="F3417" t="s">
        <v>1814</v>
      </c>
      <c r="G3417" t="s">
        <v>1101</v>
      </c>
      <c r="H3417" t="s">
        <v>5</v>
      </c>
      <c r="I3417" t="s">
        <v>1176</v>
      </c>
      <c r="J3417">
        <v>1.1000000000000001</v>
      </c>
      <c r="K3417" t="e">
        <f>IF(COUNTIF(#REF!,Tabela2[[#This Row],[IdxWspolny]])&gt;0,"ELEM_lub_PRD","TECHN")</f>
        <v>#REF!</v>
      </c>
      <c r="L3417" t="e">
        <f>IF(COUNTIF(#REF!,Tabela2[[#This Row],[KOD_PRODUKTU]])&gt;0,"ELEMENT","PRODUKT")</f>
        <v>#REF!</v>
      </c>
      <c r="M3417" t="e">
        <f>COUNTIF(#REF!,Tabela2[[#This Row],[KOD_PRODUKTU]])</f>
        <v>#REF!</v>
      </c>
    </row>
    <row r="3418" spans="1:13" x14ac:dyDescent="0.25">
      <c r="A3418" s="1" t="s">
        <v>5083</v>
      </c>
      <c r="B3418" t="s">
        <v>5084</v>
      </c>
      <c r="C3418" s="1" t="s">
        <v>7</v>
      </c>
      <c r="D3418" s="1" t="s">
        <v>7</v>
      </c>
      <c r="E3418" s="1" t="s">
        <v>7</v>
      </c>
      <c r="F3418" t="s">
        <v>8</v>
      </c>
      <c r="G3418" t="s">
        <v>9</v>
      </c>
      <c r="H3418" t="s">
        <v>10</v>
      </c>
      <c r="I3418" t="s">
        <v>5085</v>
      </c>
      <c r="J3418">
        <v>3.9</v>
      </c>
      <c r="K3418" t="e">
        <f>IF(COUNTIF(#REF!,Tabela2[[#This Row],[IdxWspolny]])&gt;0,"ELEM_lub_PRD","TECHN")</f>
        <v>#REF!</v>
      </c>
      <c r="L3418" t="e">
        <f>IF(COUNTIF(#REF!,Tabela2[[#This Row],[KOD_PRODUKTU]])&gt;0,"ELEMENT","PRODUKT")</f>
        <v>#REF!</v>
      </c>
      <c r="M3418" t="e">
        <f>COUNTIF(#REF!,Tabela2[[#This Row],[KOD_PRODUKTU]])</f>
        <v>#REF!</v>
      </c>
    </row>
    <row r="3419" spans="1:13" x14ac:dyDescent="0.25">
      <c r="A3419" s="1" t="s">
        <v>5086</v>
      </c>
      <c r="B3419" t="s">
        <v>5087</v>
      </c>
      <c r="C3419" s="1" t="s">
        <v>1352</v>
      </c>
      <c r="D3419" s="1" t="s">
        <v>1352</v>
      </c>
      <c r="E3419" s="1" t="s">
        <v>1352</v>
      </c>
      <c r="F3419" t="s">
        <v>1353</v>
      </c>
      <c r="G3419" t="s">
        <v>1354</v>
      </c>
      <c r="H3419" t="s">
        <v>5</v>
      </c>
      <c r="I3419" t="s">
        <v>3749</v>
      </c>
      <c r="J3419">
        <v>0.7</v>
      </c>
      <c r="K3419" t="e">
        <f>IF(COUNTIF(#REF!,Tabela2[[#This Row],[IdxWspolny]])&gt;0,"ELEM_lub_PRD","TECHN")</f>
        <v>#REF!</v>
      </c>
      <c r="L3419" t="e">
        <f>IF(COUNTIF(#REF!,Tabela2[[#This Row],[KOD_PRODUKTU]])&gt;0,"ELEMENT","PRODUKT")</f>
        <v>#REF!</v>
      </c>
      <c r="M3419" t="e">
        <f>COUNTIF(#REF!,Tabela2[[#This Row],[KOD_PRODUKTU]])</f>
        <v>#REF!</v>
      </c>
    </row>
    <row r="3420" spans="1:13" x14ac:dyDescent="0.25">
      <c r="A3420" s="1" t="s">
        <v>5086</v>
      </c>
      <c r="B3420" t="s">
        <v>5087</v>
      </c>
      <c r="C3420" s="1" t="s">
        <v>7</v>
      </c>
      <c r="D3420" s="1" t="s">
        <v>7</v>
      </c>
      <c r="E3420" s="1" t="s">
        <v>7</v>
      </c>
      <c r="F3420" t="s">
        <v>8</v>
      </c>
      <c r="G3420" t="s">
        <v>9</v>
      </c>
      <c r="H3420" t="s">
        <v>10</v>
      </c>
      <c r="I3420" t="s">
        <v>4756</v>
      </c>
      <c r="J3420">
        <v>3.75</v>
      </c>
      <c r="K3420" t="e">
        <f>IF(COUNTIF(#REF!,Tabela2[[#This Row],[IdxWspolny]])&gt;0,"ELEM_lub_PRD","TECHN")</f>
        <v>#REF!</v>
      </c>
      <c r="L3420" t="e">
        <f>IF(COUNTIF(#REF!,Tabela2[[#This Row],[KOD_PRODUKTU]])&gt;0,"ELEMENT","PRODUKT")</f>
        <v>#REF!</v>
      </c>
      <c r="M3420" t="e">
        <f>COUNTIF(#REF!,Tabela2[[#This Row],[KOD_PRODUKTU]])</f>
        <v>#REF!</v>
      </c>
    </row>
    <row r="3421" spans="1:13" x14ac:dyDescent="0.25">
      <c r="A3421" s="1" t="s">
        <v>5088</v>
      </c>
      <c r="B3421" t="s">
        <v>5089</v>
      </c>
      <c r="C3421" s="1" t="s">
        <v>5013</v>
      </c>
      <c r="D3421" s="1" t="s">
        <v>5013</v>
      </c>
      <c r="E3421" s="1" t="s">
        <v>5013</v>
      </c>
      <c r="F3421" t="s">
        <v>5014</v>
      </c>
      <c r="G3421" t="s">
        <v>1354</v>
      </c>
      <c r="H3421" t="s">
        <v>5</v>
      </c>
      <c r="I3421" t="s">
        <v>2163</v>
      </c>
      <c r="J3421">
        <v>0.35</v>
      </c>
      <c r="K3421" t="e">
        <f>IF(COUNTIF(#REF!,Tabela2[[#This Row],[IdxWspolny]])&gt;0,"ELEM_lub_PRD","TECHN")</f>
        <v>#REF!</v>
      </c>
      <c r="L3421" t="e">
        <f>IF(COUNTIF(#REF!,Tabela2[[#This Row],[KOD_PRODUKTU]])&gt;0,"ELEMENT","PRODUKT")</f>
        <v>#REF!</v>
      </c>
      <c r="M3421" t="e">
        <f>COUNTIF(#REF!,Tabela2[[#This Row],[KOD_PRODUKTU]])</f>
        <v>#REF!</v>
      </c>
    </row>
    <row r="3422" spans="1:13" x14ac:dyDescent="0.25">
      <c r="A3422" s="1" t="s">
        <v>5088</v>
      </c>
      <c r="B3422" t="s">
        <v>5089</v>
      </c>
      <c r="C3422" s="1" t="s">
        <v>7</v>
      </c>
      <c r="D3422" s="1" t="s">
        <v>7</v>
      </c>
      <c r="E3422" s="1" t="s">
        <v>7</v>
      </c>
      <c r="F3422" t="s">
        <v>8</v>
      </c>
      <c r="G3422" t="s">
        <v>9</v>
      </c>
      <c r="H3422" t="s">
        <v>10</v>
      </c>
      <c r="I3422" t="s">
        <v>4756</v>
      </c>
      <c r="J3422">
        <v>3.75</v>
      </c>
      <c r="K3422" t="e">
        <f>IF(COUNTIF(#REF!,Tabela2[[#This Row],[IdxWspolny]])&gt;0,"ELEM_lub_PRD","TECHN")</f>
        <v>#REF!</v>
      </c>
      <c r="L3422" t="e">
        <f>IF(COUNTIF(#REF!,Tabela2[[#This Row],[KOD_PRODUKTU]])&gt;0,"ELEMENT","PRODUKT")</f>
        <v>#REF!</v>
      </c>
      <c r="M3422" t="e">
        <f>COUNTIF(#REF!,Tabela2[[#This Row],[KOD_PRODUKTU]])</f>
        <v>#REF!</v>
      </c>
    </row>
    <row r="3423" spans="1:13" x14ac:dyDescent="0.25">
      <c r="A3423" s="1" t="s">
        <v>322</v>
      </c>
      <c r="B3423" t="s">
        <v>323</v>
      </c>
      <c r="C3423" s="1" t="s">
        <v>3764</v>
      </c>
      <c r="D3423" s="1" t="s">
        <v>3764</v>
      </c>
      <c r="E3423" s="1" t="s">
        <v>3764</v>
      </c>
      <c r="F3423" t="s">
        <v>3765</v>
      </c>
      <c r="G3423" t="s">
        <v>2883</v>
      </c>
      <c r="H3423" t="s">
        <v>5</v>
      </c>
      <c r="I3423" t="s">
        <v>5090</v>
      </c>
      <c r="J3423">
        <v>1.25</v>
      </c>
      <c r="K3423" t="e">
        <f>IF(COUNTIF(#REF!,Tabela2[[#This Row],[IdxWspolny]])&gt;0,"ELEM_lub_PRD","TECHN")</f>
        <v>#REF!</v>
      </c>
      <c r="L3423" t="e">
        <f>IF(COUNTIF(#REF!,Tabela2[[#This Row],[KOD_PRODUKTU]])&gt;0,"ELEMENT","PRODUKT")</f>
        <v>#REF!</v>
      </c>
      <c r="M3423" t="e">
        <f>COUNTIF(#REF!,Tabela2[[#This Row],[KOD_PRODUKTU]])</f>
        <v>#REF!</v>
      </c>
    </row>
    <row r="3424" spans="1:13" x14ac:dyDescent="0.25">
      <c r="A3424" s="1" t="s">
        <v>322</v>
      </c>
      <c r="B3424" t="s">
        <v>323</v>
      </c>
      <c r="C3424" s="1" t="s">
        <v>432</v>
      </c>
      <c r="D3424" s="1" t="s">
        <v>432</v>
      </c>
      <c r="E3424" s="1" t="s">
        <v>432</v>
      </c>
      <c r="F3424" t="s">
        <v>433</v>
      </c>
      <c r="G3424" t="s">
        <v>434</v>
      </c>
      <c r="H3424" t="s">
        <v>435</v>
      </c>
      <c r="I3424" t="s">
        <v>50</v>
      </c>
      <c r="J3424">
        <v>1.1000000000000001</v>
      </c>
      <c r="K3424" t="e">
        <f>IF(COUNTIF(#REF!,Tabela2[[#This Row],[IdxWspolny]])&gt;0,"ELEM_lub_PRD","TECHN")</f>
        <v>#REF!</v>
      </c>
      <c r="L3424" t="e">
        <f>IF(COUNTIF(#REF!,Tabela2[[#This Row],[KOD_PRODUKTU]])&gt;0,"ELEMENT","PRODUKT")</f>
        <v>#REF!</v>
      </c>
      <c r="M3424" t="e">
        <f>COUNTIF(#REF!,Tabela2[[#This Row],[KOD_PRODUKTU]])</f>
        <v>#REF!</v>
      </c>
    </row>
    <row r="3425" spans="1:13" x14ac:dyDescent="0.25">
      <c r="A3425" s="1" t="s">
        <v>322</v>
      </c>
      <c r="B3425" t="s">
        <v>323</v>
      </c>
      <c r="C3425" s="1" t="s">
        <v>7</v>
      </c>
      <c r="D3425" s="1" t="s">
        <v>7</v>
      </c>
      <c r="E3425" s="1" t="s">
        <v>7</v>
      </c>
      <c r="F3425" t="s">
        <v>8</v>
      </c>
      <c r="G3425" t="s">
        <v>9</v>
      </c>
      <c r="H3425" t="s">
        <v>10</v>
      </c>
      <c r="I3425" t="s">
        <v>3810</v>
      </c>
      <c r="J3425">
        <v>9.5500000000000007</v>
      </c>
      <c r="K3425" t="e">
        <f>IF(COUNTIF(#REF!,Tabela2[[#This Row],[IdxWspolny]])&gt;0,"ELEM_lub_PRD","TECHN")</f>
        <v>#REF!</v>
      </c>
      <c r="L3425" t="e">
        <f>IF(COUNTIF(#REF!,Tabela2[[#This Row],[KOD_PRODUKTU]])&gt;0,"ELEMENT","PRODUKT")</f>
        <v>#REF!</v>
      </c>
      <c r="M3425" t="e">
        <f>COUNTIF(#REF!,Tabela2[[#This Row],[KOD_PRODUKTU]])</f>
        <v>#REF!</v>
      </c>
    </row>
    <row r="3426" spans="1:13" x14ac:dyDescent="0.25">
      <c r="A3426" s="1" t="s">
        <v>324</v>
      </c>
      <c r="B3426" t="s">
        <v>325</v>
      </c>
      <c r="C3426" s="1" t="s">
        <v>2529</v>
      </c>
      <c r="D3426" s="1" t="s">
        <v>2529</v>
      </c>
      <c r="E3426" s="1" t="s">
        <v>2529</v>
      </c>
      <c r="F3426" t="s">
        <v>2530</v>
      </c>
      <c r="G3426" t="s">
        <v>2469</v>
      </c>
      <c r="H3426" t="s">
        <v>5</v>
      </c>
      <c r="I3426" t="s">
        <v>5091</v>
      </c>
      <c r="J3426">
        <v>0.5</v>
      </c>
      <c r="K3426" t="e">
        <f>IF(COUNTIF(#REF!,Tabela2[[#This Row],[IdxWspolny]])&gt;0,"ELEM_lub_PRD","TECHN")</f>
        <v>#REF!</v>
      </c>
      <c r="L3426" t="e">
        <f>IF(COUNTIF(#REF!,Tabela2[[#This Row],[KOD_PRODUKTU]])&gt;0,"ELEMENT","PRODUKT")</f>
        <v>#REF!</v>
      </c>
      <c r="M3426" t="e">
        <f>COUNTIF(#REF!,Tabela2[[#This Row],[KOD_PRODUKTU]])</f>
        <v>#REF!</v>
      </c>
    </row>
    <row r="3427" spans="1:13" x14ac:dyDescent="0.25">
      <c r="A3427" s="1" t="s">
        <v>324</v>
      </c>
      <c r="B3427" t="s">
        <v>325</v>
      </c>
      <c r="C3427" s="1" t="s">
        <v>7</v>
      </c>
      <c r="D3427" s="1" t="s">
        <v>7</v>
      </c>
      <c r="E3427" s="1" t="s">
        <v>7</v>
      </c>
      <c r="F3427" t="s">
        <v>8</v>
      </c>
      <c r="G3427" t="s">
        <v>9</v>
      </c>
      <c r="H3427" t="s">
        <v>10</v>
      </c>
      <c r="I3427" t="s">
        <v>2544</v>
      </c>
      <c r="J3427">
        <v>4.9000000000000004</v>
      </c>
      <c r="K3427" t="e">
        <f>IF(COUNTIF(#REF!,Tabela2[[#This Row],[IdxWspolny]])&gt;0,"ELEM_lub_PRD","TECHN")</f>
        <v>#REF!</v>
      </c>
      <c r="L3427" t="e">
        <f>IF(COUNTIF(#REF!,Tabela2[[#This Row],[KOD_PRODUKTU]])&gt;0,"ELEMENT","PRODUKT")</f>
        <v>#REF!</v>
      </c>
      <c r="M3427" t="e">
        <f>COUNTIF(#REF!,Tabela2[[#This Row],[KOD_PRODUKTU]])</f>
        <v>#REF!</v>
      </c>
    </row>
    <row r="3428" spans="1:13" x14ac:dyDescent="0.25">
      <c r="A3428" s="1" t="s">
        <v>5092</v>
      </c>
      <c r="B3428" t="s">
        <v>5093</v>
      </c>
      <c r="C3428" s="1" t="s">
        <v>5094</v>
      </c>
      <c r="D3428" s="1" t="s">
        <v>5094</v>
      </c>
      <c r="E3428" s="1" t="s">
        <v>5094</v>
      </c>
      <c r="F3428" t="s">
        <v>5095</v>
      </c>
      <c r="G3428" t="s">
        <v>651</v>
      </c>
      <c r="H3428" t="s">
        <v>5</v>
      </c>
      <c r="I3428" t="s">
        <v>5096</v>
      </c>
      <c r="J3428">
        <v>0.75</v>
      </c>
      <c r="K3428" t="e">
        <f>IF(COUNTIF(#REF!,Tabela2[[#This Row],[IdxWspolny]])&gt;0,"ELEM_lub_PRD","TECHN")</f>
        <v>#REF!</v>
      </c>
      <c r="L3428" t="e">
        <f>IF(COUNTIF(#REF!,Tabela2[[#This Row],[KOD_PRODUKTU]])&gt;0,"ELEMENT","PRODUKT")</f>
        <v>#REF!</v>
      </c>
      <c r="M3428" t="e">
        <f>COUNTIF(#REF!,Tabela2[[#This Row],[KOD_PRODUKTU]])</f>
        <v>#REF!</v>
      </c>
    </row>
    <row r="3429" spans="1:13" x14ac:dyDescent="0.25">
      <c r="A3429" s="1" t="s">
        <v>5092</v>
      </c>
      <c r="B3429" t="s">
        <v>5093</v>
      </c>
      <c r="C3429" s="1" t="s">
        <v>7</v>
      </c>
      <c r="D3429" s="1" t="s">
        <v>7</v>
      </c>
      <c r="E3429" s="1" t="s">
        <v>7</v>
      </c>
      <c r="F3429" t="s">
        <v>8</v>
      </c>
      <c r="G3429" t="s">
        <v>9</v>
      </c>
      <c r="H3429" t="s">
        <v>10</v>
      </c>
      <c r="I3429" t="s">
        <v>5097</v>
      </c>
      <c r="J3429">
        <v>4.97</v>
      </c>
      <c r="K3429" t="e">
        <f>IF(COUNTIF(#REF!,Tabela2[[#This Row],[IdxWspolny]])&gt;0,"ELEM_lub_PRD","TECHN")</f>
        <v>#REF!</v>
      </c>
      <c r="L3429" t="e">
        <f>IF(COUNTIF(#REF!,Tabela2[[#This Row],[KOD_PRODUKTU]])&gt;0,"ELEMENT","PRODUKT")</f>
        <v>#REF!</v>
      </c>
      <c r="M3429" t="e">
        <f>COUNTIF(#REF!,Tabela2[[#This Row],[KOD_PRODUKTU]])</f>
        <v>#REF!</v>
      </c>
    </row>
    <row r="3430" spans="1:13" x14ac:dyDescent="0.25">
      <c r="A3430" s="1" t="s">
        <v>326</v>
      </c>
      <c r="B3430" t="s">
        <v>327</v>
      </c>
      <c r="C3430" s="1" t="s">
        <v>5094</v>
      </c>
      <c r="D3430" s="1" t="s">
        <v>5094</v>
      </c>
      <c r="E3430" s="1" t="s">
        <v>5094</v>
      </c>
      <c r="F3430" t="s">
        <v>5095</v>
      </c>
      <c r="G3430" t="s">
        <v>3586</v>
      </c>
      <c r="H3430" t="s">
        <v>5</v>
      </c>
      <c r="I3430" t="s">
        <v>5098</v>
      </c>
      <c r="J3430">
        <v>1.1499999999999999</v>
      </c>
      <c r="K3430" t="e">
        <f>IF(COUNTIF(#REF!,Tabela2[[#This Row],[IdxWspolny]])&gt;0,"ELEM_lub_PRD","TECHN")</f>
        <v>#REF!</v>
      </c>
      <c r="L3430" t="e">
        <f>IF(COUNTIF(#REF!,Tabela2[[#This Row],[KOD_PRODUKTU]])&gt;0,"ELEMENT","PRODUKT")</f>
        <v>#REF!</v>
      </c>
      <c r="M3430" t="e">
        <f>COUNTIF(#REF!,Tabela2[[#This Row],[KOD_PRODUKTU]])</f>
        <v>#REF!</v>
      </c>
    </row>
    <row r="3431" spans="1:13" x14ac:dyDescent="0.25">
      <c r="A3431" s="1" t="s">
        <v>326</v>
      </c>
      <c r="B3431" t="s">
        <v>327</v>
      </c>
      <c r="C3431" s="1" t="s">
        <v>7</v>
      </c>
      <c r="D3431" s="1" t="s">
        <v>7</v>
      </c>
      <c r="E3431" s="1" t="s">
        <v>7</v>
      </c>
      <c r="F3431" t="s">
        <v>8</v>
      </c>
      <c r="G3431" t="s">
        <v>9</v>
      </c>
      <c r="H3431" t="s">
        <v>10</v>
      </c>
      <c r="I3431" t="s">
        <v>5099</v>
      </c>
      <c r="J3431">
        <v>5.05</v>
      </c>
      <c r="K3431" t="e">
        <f>IF(COUNTIF(#REF!,Tabela2[[#This Row],[IdxWspolny]])&gt;0,"ELEM_lub_PRD","TECHN")</f>
        <v>#REF!</v>
      </c>
      <c r="L3431" t="e">
        <f>IF(COUNTIF(#REF!,Tabela2[[#This Row],[KOD_PRODUKTU]])&gt;0,"ELEMENT","PRODUKT")</f>
        <v>#REF!</v>
      </c>
      <c r="M3431" t="e">
        <f>COUNTIF(#REF!,Tabela2[[#This Row],[KOD_PRODUKTU]])</f>
        <v>#REF!</v>
      </c>
    </row>
    <row r="3432" spans="1:13" x14ac:dyDescent="0.25">
      <c r="A3432" s="1" t="s">
        <v>5100</v>
      </c>
      <c r="B3432" t="s">
        <v>5101</v>
      </c>
      <c r="C3432" s="1" t="s">
        <v>5102</v>
      </c>
      <c r="D3432" s="1" t="s">
        <v>5102</v>
      </c>
      <c r="E3432" s="1" t="s">
        <v>5102</v>
      </c>
      <c r="F3432" t="s">
        <v>5103</v>
      </c>
      <c r="G3432" t="s">
        <v>3131</v>
      </c>
      <c r="H3432" t="s">
        <v>932</v>
      </c>
      <c r="I3432" t="s">
        <v>5104</v>
      </c>
      <c r="J3432">
        <v>0.8</v>
      </c>
      <c r="K3432" t="e">
        <f>IF(COUNTIF(#REF!,Tabela2[[#This Row],[IdxWspolny]])&gt;0,"ELEM_lub_PRD","TECHN")</f>
        <v>#REF!</v>
      </c>
      <c r="L3432" t="e">
        <f>IF(COUNTIF(#REF!,Tabela2[[#This Row],[KOD_PRODUKTU]])&gt;0,"ELEMENT","PRODUKT")</f>
        <v>#REF!</v>
      </c>
      <c r="M3432" t="e">
        <f>COUNTIF(#REF!,Tabela2[[#This Row],[KOD_PRODUKTU]])</f>
        <v>#REF!</v>
      </c>
    </row>
    <row r="3433" spans="1:13" x14ac:dyDescent="0.25">
      <c r="A3433" s="1" t="s">
        <v>5100</v>
      </c>
      <c r="B3433" t="s">
        <v>5101</v>
      </c>
      <c r="C3433" s="1" t="s">
        <v>541</v>
      </c>
      <c r="D3433" s="1" t="s">
        <v>541</v>
      </c>
      <c r="E3433" s="1" t="s">
        <v>541</v>
      </c>
      <c r="F3433" t="s">
        <v>542</v>
      </c>
      <c r="G3433" t="s">
        <v>9</v>
      </c>
      <c r="H3433" t="s">
        <v>10</v>
      </c>
      <c r="I3433" t="s">
        <v>19</v>
      </c>
      <c r="J3433">
        <v>4.5999999999999996</v>
      </c>
      <c r="K3433" t="e">
        <f>IF(COUNTIF(#REF!,Tabela2[[#This Row],[IdxWspolny]])&gt;0,"ELEM_lub_PRD","TECHN")</f>
        <v>#REF!</v>
      </c>
      <c r="L3433" t="e">
        <f>IF(COUNTIF(#REF!,Tabela2[[#This Row],[KOD_PRODUKTU]])&gt;0,"ELEMENT","PRODUKT")</f>
        <v>#REF!</v>
      </c>
      <c r="M3433" t="e">
        <f>COUNTIF(#REF!,Tabela2[[#This Row],[KOD_PRODUKTU]])</f>
        <v>#REF!</v>
      </c>
    </row>
    <row r="3434" spans="1:13" x14ac:dyDescent="0.25">
      <c r="A3434" s="1" t="s">
        <v>5105</v>
      </c>
      <c r="B3434" t="s">
        <v>5106</v>
      </c>
      <c r="C3434" s="1" t="s">
        <v>3317</v>
      </c>
      <c r="D3434" s="1" t="s">
        <v>3317</v>
      </c>
      <c r="E3434" s="1" t="s">
        <v>3317</v>
      </c>
      <c r="F3434" t="s">
        <v>3318</v>
      </c>
      <c r="G3434" t="s">
        <v>3756</v>
      </c>
      <c r="H3434" t="s">
        <v>5</v>
      </c>
      <c r="I3434" t="s">
        <v>5107</v>
      </c>
      <c r="J3434">
        <v>2.35</v>
      </c>
      <c r="K3434" t="e">
        <f>IF(COUNTIF(#REF!,Tabela2[[#This Row],[IdxWspolny]])&gt;0,"ELEM_lub_PRD","TECHN")</f>
        <v>#REF!</v>
      </c>
      <c r="L3434" t="e">
        <f>IF(COUNTIF(#REF!,Tabela2[[#This Row],[KOD_PRODUKTU]])&gt;0,"ELEMENT","PRODUKT")</f>
        <v>#REF!</v>
      </c>
      <c r="M3434" t="e">
        <f>COUNTIF(#REF!,Tabela2[[#This Row],[KOD_PRODUKTU]])</f>
        <v>#REF!</v>
      </c>
    </row>
    <row r="3435" spans="1:13" x14ac:dyDescent="0.25">
      <c r="A3435" s="1" t="s">
        <v>5105</v>
      </c>
      <c r="B3435" t="s">
        <v>5106</v>
      </c>
      <c r="C3435" s="1" t="s">
        <v>541</v>
      </c>
      <c r="D3435" s="1" t="s">
        <v>541</v>
      </c>
      <c r="E3435" s="1" t="s">
        <v>541</v>
      </c>
      <c r="F3435" t="s">
        <v>542</v>
      </c>
      <c r="G3435" t="s">
        <v>9</v>
      </c>
      <c r="H3435" t="s">
        <v>10</v>
      </c>
      <c r="I3435" t="s">
        <v>2407</v>
      </c>
      <c r="J3435">
        <v>5.55</v>
      </c>
      <c r="K3435" t="e">
        <f>IF(COUNTIF(#REF!,Tabela2[[#This Row],[IdxWspolny]])&gt;0,"ELEM_lub_PRD","TECHN")</f>
        <v>#REF!</v>
      </c>
      <c r="L3435" t="e">
        <f>IF(COUNTIF(#REF!,Tabela2[[#This Row],[KOD_PRODUKTU]])&gt;0,"ELEMENT","PRODUKT")</f>
        <v>#REF!</v>
      </c>
      <c r="M3435" t="e">
        <f>COUNTIF(#REF!,Tabela2[[#This Row],[KOD_PRODUKTU]])</f>
        <v>#REF!</v>
      </c>
    </row>
    <row r="3436" spans="1:13" x14ac:dyDescent="0.25">
      <c r="A3436" s="1" t="s">
        <v>5108</v>
      </c>
      <c r="B3436" t="s">
        <v>5109</v>
      </c>
      <c r="C3436" s="1" t="s">
        <v>3317</v>
      </c>
      <c r="D3436" s="1" t="s">
        <v>3317</v>
      </c>
      <c r="E3436" s="1" t="s">
        <v>3317</v>
      </c>
      <c r="F3436" t="s">
        <v>3318</v>
      </c>
      <c r="G3436" t="s">
        <v>3756</v>
      </c>
      <c r="H3436" t="s">
        <v>5</v>
      </c>
      <c r="I3436" t="s">
        <v>5107</v>
      </c>
      <c r="J3436">
        <v>2.35</v>
      </c>
      <c r="K3436" t="e">
        <f>IF(COUNTIF(#REF!,Tabela2[[#This Row],[IdxWspolny]])&gt;0,"ELEM_lub_PRD","TECHN")</f>
        <v>#REF!</v>
      </c>
      <c r="L3436" t="e">
        <f>IF(COUNTIF(#REF!,Tabela2[[#This Row],[KOD_PRODUKTU]])&gt;0,"ELEMENT","PRODUKT")</f>
        <v>#REF!</v>
      </c>
      <c r="M3436" t="e">
        <f>COUNTIF(#REF!,Tabela2[[#This Row],[KOD_PRODUKTU]])</f>
        <v>#REF!</v>
      </c>
    </row>
    <row r="3437" spans="1:13" x14ac:dyDescent="0.25">
      <c r="A3437" s="1" t="s">
        <v>5108</v>
      </c>
      <c r="B3437" t="s">
        <v>5109</v>
      </c>
      <c r="C3437" s="1" t="s">
        <v>7</v>
      </c>
      <c r="D3437" s="1" t="s">
        <v>7</v>
      </c>
      <c r="E3437" s="1" t="s">
        <v>7</v>
      </c>
      <c r="F3437" t="s">
        <v>8</v>
      </c>
      <c r="G3437" t="s">
        <v>9</v>
      </c>
      <c r="H3437" t="s">
        <v>10</v>
      </c>
      <c r="I3437" t="s">
        <v>2407</v>
      </c>
      <c r="J3437">
        <v>5.55</v>
      </c>
      <c r="K3437" t="e">
        <f>IF(COUNTIF(#REF!,Tabela2[[#This Row],[IdxWspolny]])&gt;0,"ELEM_lub_PRD","TECHN")</f>
        <v>#REF!</v>
      </c>
      <c r="L3437" t="e">
        <f>IF(COUNTIF(#REF!,Tabela2[[#This Row],[KOD_PRODUKTU]])&gt;0,"ELEMENT","PRODUKT")</f>
        <v>#REF!</v>
      </c>
      <c r="M3437" t="e">
        <f>COUNTIF(#REF!,Tabela2[[#This Row],[KOD_PRODUKTU]])</f>
        <v>#REF!</v>
      </c>
    </row>
    <row r="3438" spans="1:13" x14ac:dyDescent="0.25">
      <c r="A3438" s="1" t="s">
        <v>5110</v>
      </c>
      <c r="B3438" t="s">
        <v>5111</v>
      </c>
      <c r="C3438" s="1" t="s">
        <v>1203</v>
      </c>
      <c r="D3438" s="1" t="s">
        <v>1203</v>
      </c>
      <c r="E3438" s="1" t="s">
        <v>1203</v>
      </c>
      <c r="F3438" t="s">
        <v>1204</v>
      </c>
      <c r="G3438" t="s">
        <v>216</v>
      </c>
      <c r="H3438" t="s">
        <v>5</v>
      </c>
      <c r="I3438" t="s">
        <v>5112</v>
      </c>
      <c r="J3438">
        <v>0.1</v>
      </c>
      <c r="K3438" t="e">
        <f>IF(COUNTIF(#REF!,Tabela2[[#This Row],[IdxWspolny]])&gt;0,"ELEM_lub_PRD","TECHN")</f>
        <v>#REF!</v>
      </c>
      <c r="L3438" t="e">
        <f>IF(COUNTIF(#REF!,Tabela2[[#This Row],[KOD_PRODUKTU]])&gt;0,"ELEMENT","PRODUKT")</f>
        <v>#REF!</v>
      </c>
      <c r="M3438" t="e">
        <f>COUNTIF(#REF!,Tabela2[[#This Row],[KOD_PRODUKTU]])</f>
        <v>#REF!</v>
      </c>
    </row>
    <row r="3439" spans="1:13" x14ac:dyDescent="0.25">
      <c r="A3439" s="1" t="s">
        <v>5110</v>
      </c>
      <c r="B3439" t="s">
        <v>5111</v>
      </c>
      <c r="C3439" s="1" t="s">
        <v>7</v>
      </c>
      <c r="D3439" s="1" t="s">
        <v>7</v>
      </c>
      <c r="E3439" s="1" t="s">
        <v>7</v>
      </c>
      <c r="F3439" t="s">
        <v>8</v>
      </c>
      <c r="G3439" t="s">
        <v>9</v>
      </c>
      <c r="H3439" t="s">
        <v>10</v>
      </c>
      <c r="I3439" t="s">
        <v>5113</v>
      </c>
      <c r="J3439">
        <v>3.1</v>
      </c>
      <c r="K3439" t="e">
        <f>IF(COUNTIF(#REF!,Tabela2[[#This Row],[IdxWspolny]])&gt;0,"ELEM_lub_PRD","TECHN")</f>
        <v>#REF!</v>
      </c>
      <c r="L3439" t="e">
        <f>IF(COUNTIF(#REF!,Tabela2[[#This Row],[KOD_PRODUKTU]])&gt;0,"ELEMENT","PRODUKT")</f>
        <v>#REF!</v>
      </c>
      <c r="M3439" t="e">
        <f>COUNTIF(#REF!,Tabela2[[#This Row],[KOD_PRODUKTU]])</f>
        <v>#REF!</v>
      </c>
    </row>
    <row r="3440" spans="1:13" x14ac:dyDescent="0.25">
      <c r="A3440" s="1" t="s">
        <v>5114</v>
      </c>
      <c r="B3440" t="s">
        <v>5115</v>
      </c>
      <c r="C3440" s="1" t="s">
        <v>3317</v>
      </c>
      <c r="D3440" s="1" t="s">
        <v>3317</v>
      </c>
      <c r="E3440" s="1" t="s">
        <v>3317</v>
      </c>
      <c r="F3440" t="s">
        <v>3318</v>
      </c>
      <c r="G3440" t="s">
        <v>3756</v>
      </c>
      <c r="H3440" t="s">
        <v>5</v>
      </c>
      <c r="I3440" t="s">
        <v>5116</v>
      </c>
      <c r="J3440">
        <v>1.35</v>
      </c>
      <c r="K3440" t="e">
        <f>IF(COUNTIF(#REF!,Tabela2[[#This Row],[IdxWspolny]])&gt;0,"ELEM_lub_PRD","TECHN")</f>
        <v>#REF!</v>
      </c>
      <c r="L3440" t="e">
        <f>IF(COUNTIF(#REF!,Tabela2[[#This Row],[KOD_PRODUKTU]])&gt;0,"ELEMENT","PRODUKT")</f>
        <v>#REF!</v>
      </c>
      <c r="M3440" t="e">
        <f>COUNTIF(#REF!,Tabela2[[#This Row],[KOD_PRODUKTU]])</f>
        <v>#REF!</v>
      </c>
    </row>
    <row r="3441" spans="1:13" x14ac:dyDescent="0.25">
      <c r="A3441" s="1" t="s">
        <v>5114</v>
      </c>
      <c r="B3441" t="s">
        <v>5115</v>
      </c>
      <c r="C3441" s="1" t="s">
        <v>7</v>
      </c>
      <c r="D3441" s="1" t="s">
        <v>7</v>
      </c>
      <c r="E3441" s="1" t="s">
        <v>7</v>
      </c>
      <c r="F3441" t="s">
        <v>8</v>
      </c>
      <c r="G3441" t="s">
        <v>9</v>
      </c>
      <c r="H3441" t="s">
        <v>10</v>
      </c>
      <c r="I3441" t="s">
        <v>19</v>
      </c>
      <c r="J3441">
        <v>4.5999999999999996</v>
      </c>
      <c r="K3441" t="e">
        <f>IF(COUNTIF(#REF!,Tabela2[[#This Row],[IdxWspolny]])&gt;0,"ELEM_lub_PRD","TECHN")</f>
        <v>#REF!</v>
      </c>
      <c r="L3441" t="e">
        <f>IF(COUNTIF(#REF!,Tabela2[[#This Row],[KOD_PRODUKTU]])&gt;0,"ELEMENT","PRODUKT")</f>
        <v>#REF!</v>
      </c>
      <c r="M3441" t="e">
        <f>COUNTIF(#REF!,Tabela2[[#This Row],[KOD_PRODUKTU]])</f>
        <v>#REF!</v>
      </c>
    </row>
    <row r="3442" spans="1:13" x14ac:dyDescent="0.25">
      <c r="A3442" s="1" t="s">
        <v>5117</v>
      </c>
      <c r="B3442" t="s">
        <v>5118</v>
      </c>
      <c r="C3442" s="1" t="s">
        <v>3317</v>
      </c>
      <c r="D3442" s="1" t="s">
        <v>3317</v>
      </c>
      <c r="E3442" s="1" t="s">
        <v>3317</v>
      </c>
      <c r="F3442" t="s">
        <v>3318</v>
      </c>
      <c r="G3442" t="s">
        <v>3756</v>
      </c>
      <c r="H3442" t="s">
        <v>5</v>
      </c>
      <c r="I3442" t="s">
        <v>5119</v>
      </c>
      <c r="J3442">
        <v>1.55</v>
      </c>
      <c r="K3442" t="e">
        <f>IF(COUNTIF(#REF!,Tabela2[[#This Row],[IdxWspolny]])&gt;0,"ELEM_lub_PRD","TECHN")</f>
        <v>#REF!</v>
      </c>
      <c r="L3442" t="e">
        <f>IF(COUNTIF(#REF!,Tabela2[[#This Row],[KOD_PRODUKTU]])&gt;0,"ELEMENT","PRODUKT")</f>
        <v>#REF!</v>
      </c>
      <c r="M3442" t="e">
        <f>COUNTIF(#REF!,Tabela2[[#This Row],[KOD_PRODUKTU]])</f>
        <v>#REF!</v>
      </c>
    </row>
    <row r="3443" spans="1:13" x14ac:dyDescent="0.25">
      <c r="A3443" s="1" t="s">
        <v>5117</v>
      </c>
      <c r="B3443" t="s">
        <v>5118</v>
      </c>
      <c r="C3443" s="1" t="s">
        <v>7</v>
      </c>
      <c r="D3443" s="1" t="s">
        <v>7</v>
      </c>
      <c r="E3443" s="1" t="s">
        <v>7</v>
      </c>
      <c r="F3443" t="s">
        <v>8</v>
      </c>
      <c r="G3443" t="s">
        <v>9</v>
      </c>
      <c r="H3443" t="s">
        <v>10</v>
      </c>
      <c r="I3443" t="s">
        <v>1384</v>
      </c>
      <c r="J3443">
        <v>4.8499999999999996</v>
      </c>
      <c r="K3443" t="e">
        <f>IF(COUNTIF(#REF!,Tabela2[[#This Row],[IdxWspolny]])&gt;0,"ELEM_lub_PRD","TECHN")</f>
        <v>#REF!</v>
      </c>
      <c r="L3443" t="e">
        <f>IF(COUNTIF(#REF!,Tabela2[[#This Row],[KOD_PRODUKTU]])&gt;0,"ELEMENT","PRODUKT")</f>
        <v>#REF!</v>
      </c>
      <c r="M3443" t="e">
        <f>COUNTIF(#REF!,Tabela2[[#This Row],[KOD_PRODUKTU]])</f>
        <v>#REF!</v>
      </c>
    </row>
    <row r="3444" spans="1:13" x14ac:dyDescent="0.25">
      <c r="A3444" s="1" t="s">
        <v>5120</v>
      </c>
      <c r="B3444" t="s">
        <v>5121</v>
      </c>
      <c r="C3444" s="1" t="s">
        <v>1345</v>
      </c>
      <c r="D3444" s="1" t="s">
        <v>1345</v>
      </c>
      <c r="E3444" s="1" t="s">
        <v>1345</v>
      </c>
      <c r="F3444" t="s">
        <v>1346</v>
      </c>
      <c r="G3444" t="s">
        <v>1347</v>
      </c>
      <c r="H3444" t="s">
        <v>5</v>
      </c>
      <c r="I3444" t="s">
        <v>5122</v>
      </c>
      <c r="J3444">
        <v>0.28999999999999998</v>
      </c>
      <c r="K3444" t="e">
        <f>IF(COUNTIF(#REF!,Tabela2[[#This Row],[IdxWspolny]])&gt;0,"ELEM_lub_PRD","TECHN")</f>
        <v>#REF!</v>
      </c>
      <c r="L3444" t="e">
        <f>IF(COUNTIF(#REF!,Tabela2[[#This Row],[KOD_PRODUKTU]])&gt;0,"ELEMENT","PRODUKT")</f>
        <v>#REF!</v>
      </c>
      <c r="M3444" t="e">
        <f>COUNTIF(#REF!,Tabela2[[#This Row],[KOD_PRODUKTU]])</f>
        <v>#REF!</v>
      </c>
    </row>
    <row r="3445" spans="1:13" x14ac:dyDescent="0.25">
      <c r="A3445" s="1" t="s">
        <v>5120</v>
      </c>
      <c r="B3445" t="s">
        <v>5121</v>
      </c>
      <c r="C3445" s="1" t="s">
        <v>541</v>
      </c>
      <c r="D3445" s="1" t="s">
        <v>541</v>
      </c>
      <c r="E3445" s="1" t="s">
        <v>541</v>
      </c>
      <c r="F3445" t="s">
        <v>542</v>
      </c>
      <c r="G3445" t="s">
        <v>9</v>
      </c>
      <c r="H3445" t="s">
        <v>10</v>
      </c>
      <c r="I3445" t="s">
        <v>605</v>
      </c>
      <c r="J3445">
        <v>1.84</v>
      </c>
      <c r="K3445" t="e">
        <f>IF(COUNTIF(#REF!,Tabela2[[#This Row],[IdxWspolny]])&gt;0,"ELEM_lub_PRD","TECHN")</f>
        <v>#REF!</v>
      </c>
      <c r="L3445" t="e">
        <f>IF(COUNTIF(#REF!,Tabela2[[#This Row],[KOD_PRODUKTU]])&gt;0,"ELEMENT","PRODUKT")</f>
        <v>#REF!</v>
      </c>
      <c r="M3445" t="e">
        <f>COUNTIF(#REF!,Tabela2[[#This Row],[KOD_PRODUKTU]])</f>
        <v>#REF!</v>
      </c>
    </row>
    <row r="3446" spans="1:13" x14ac:dyDescent="0.25">
      <c r="A3446" s="1" t="s">
        <v>2753</v>
      </c>
      <c r="B3446" t="s">
        <v>2754</v>
      </c>
      <c r="C3446" s="1" t="s">
        <v>1162</v>
      </c>
      <c r="D3446" s="1" t="s">
        <v>1162</v>
      </c>
      <c r="E3446" s="1" t="s">
        <v>1162</v>
      </c>
      <c r="F3446" t="s">
        <v>1163</v>
      </c>
      <c r="G3446" t="s">
        <v>1164</v>
      </c>
      <c r="H3446" t="s">
        <v>5</v>
      </c>
      <c r="I3446" t="s">
        <v>5123</v>
      </c>
      <c r="J3446">
        <v>1</v>
      </c>
      <c r="K3446" t="e">
        <f>IF(COUNTIF(#REF!,Tabela2[[#This Row],[IdxWspolny]])&gt;0,"ELEM_lub_PRD","TECHN")</f>
        <v>#REF!</v>
      </c>
      <c r="L3446" t="e">
        <f>IF(COUNTIF(#REF!,Tabela2[[#This Row],[KOD_PRODUKTU]])&gt;0,"ELEMENT","PRODUKT")</f>
        <v>#REF!</v>
      </c>
      <c r="M3446" t="e">
        <f>COUNTIF(#REF!,Tabela2[[#This Row],[KOD_PRODUKTU]])</f>
        <v>#REF!</v>
      </c>
    </row>
    <row r="3447" spans="1:13" x14ac:dyDescent="0.25">
      <c r="A3447" s="1" t="s">
        <v>2753</v>
      </c>
      <c r="B3447" t="s">
        <v>2754</v>
      </c>
      <c r="C3447" s="1" t="s">
        <v>432</v>
      </c>
      <c r="D3447" s="1" t="s">
        <v>432</v>
      </c>
      <c r="E3447" s="1" t="s">
        <v>432</v>
      </c>
      <c r="F3447" t="s">
        <v>433</v>
      </c>
      <c r="G3447" t="s">
        <v>434</v>
      </c>
      <c r="H3447" t="s">
        <v>435</v>
      </c>
      <c r="I3447" t="s">
        <v>5124</v>
      </c>
      <c r="J3447">
        <v>3.7</v>
      </c>
      <c r="K3447" t="e">
        <f>IF(COUNTIF(#REF!,Tabela2[[#This Row],[IdxWspolny]])&gt;0,"ELEM_lub_PRD","TECHN")</f>
        <v>#REF!</v>
      </c>
      <c r="L3447" t="e">
        <f>IF(COUNTIF(#REF!,Tabela2[[#This Row],[KOD_PRODUKTU]])&gt;0,"ELEMENT","PRODUKT")</f>
        <v>#REF!</v>
      </c>
      <c r="M3447" t="e">
        <f>COUNTIF(#REF!,Tabela2[[#This Row],[KOD_PRODUKTU]])</f>
        <v>#REF!</v>
      </c>
    </row>
    <row r="3448" spans="1:13" x14ac:dyDescent="0.25">
      <c r="A3448" s="1" t="s">
        <v>2753</v>
      </c>
      <c r="B3448" t="s">
        <v>2754</v>
      </c>
      <c r="C3448" s="1" t="s">
        <v>541</v>
      </c>
      <c r="D3448" s="1" t="s">
        <v>541</v>
      </c>
      <c r="E3448" s="1" t="s">
        <v>541</v>
      </c>
      <c r="F3448" t="s">
        <v>542</v>
      </c>
      <c r="G3448" t="s">
        <v>9</v>
      </c>
      <c r="H3448" t="s">
        <v>10</v>
      </c>
      <c r="I3448" t="s">
        <v>1178</v>
      </c>
      <c r="J3448">
        <v>10.45</v>
      </c>
      <c r="K3448" t="e">
        <f>IF(COUNTIF(#REF!,Tabela2[[#This Row],[IdxWspolny]])&gt;0,"ELEM_lub_PRD","TECHN")</f>
        <v>#REF!</v>
      </c>
      <c r="L3448" t="e">
        <f>IF(COUNTIF(#REF!,Tabela2[[#This Row],[KOD_PRODUKTU]])&gt;0,"ELEMENT","PRODUKT")</f>
        <v>#REF!</v>
      </c>
      <c r="M3448" t="e">
        <f>COUNTIF(#REF!,Tabela2[[#This Row],[KOD_PRODUKTU]])</f>
        <v>#REF!</v>
      </c>
    </row>
    <row r="3449" spans="1:13" x14ac:dyDescent="0.25">
      <c r="A3449" s="1" t="s">
        <v>5125</v>
      </c>
      <c r="B3449" t="s">
        <v>5126</v>
      </c>
      <c r="C3449" s="1" t="s">
        <v>1188</v>
      </c>
      <c r="D3449" s="1" t="s">
        <v>1188</v>
      </c>
      <c r="E3449" s="1" t="s">
        <v>1188</v>
      </c>
      <c r="F3449" t="s">
        <v>1189</v>
      </c>
      <c r="G3449" t="s">
        <v>1190</v>
      </c>
      <c r="H3449" t="s">
        <v>5</v>
      </c>
      <c r="I3449" t="s">
        <v>5127</v>
      </c>
      <c r="J3449">
        <v>7.79</v>
      </c>
      <c r="K3449" t="e">
        <f>IF(COUNTIF(#REF!,Tabela2[[#This Row],[IdxWspolny]])&gt;0,"ELEM_lub_PRD","TECHN")</f>
        <v>#REF!</v>
      </c>
      <c r="L3449" t="e">
        <f>IF(COUNTIF(#REF!,Tabela2[[#This Row],[KOD_PRODUKTU]])&gt;0,"ELEMENT","PRODUKT")</f>
        <v>#REF!</v>
      </c>
      <c r="M3449" t="e">
        <f>COUNTIF(#REF!,Tabela2[[#This Row],[KOD_PRODUKTU]])</f>
        <v>#REF!</v>
      </c>
    </row>
    <row r="3450" spans="1:13" x14ac:dyDescent="0.25">
      <c r="A3450" s="1" t="s">
        <v>5125</v>
      </c>
      <c r="B3450" t="s">
        <v>5126</v>
      </c>
      <c r="C3450" s="1" t="s">
        <v>541</v>
      </c>
      <c r="D3450" s="1" t="s">
        <v>541</v>
      </c>
      <c r="E3450" s="1" t="s">
        <v>541</v>
      </c>
      <c r="F3450" t="s">
        <v>542</v>
      </c>
      <c r="G3450" t="s">
        <v>9</v>
      </c>
      <c r="H3450" t="s">
        <v>10</v>
      </c>
      <c r="I3450" t="s">
        <v>1196</v>
      </c>
      <c r="J3450">
        <v>4.34</v>
      </c>
      <c r="K3450" t="e">
        <f>IF(COUNTIF(#REF!,Tabela2[[#This Row],[IdxWspolny]])&gt;0,"ELEM_lub_PRD","TECHN")</f>
        <v>#REF!</v>
      </c>
      <c r="L3450" t="e">
        <f>IF(COUNTIF(#REF!,Tabela2[[#This Row],[KOD_PRODUKTU]])&gt;0,"ELEMENT","PRODUKT")</f>
        <v>#REF!</v>
      </c>
      <c r="M3450" t="e">
        <f>COUNTIF(#REF!,Tabela2[[#This Row],[KOD_PRODUKTU]])</f>
        <v>#REF!</v>
      </c>
    </row>
    <row r="3451" spans="1:13" x14ac:dyDescent="0.25">
      <c r="A3451" s="1" t="s">
        <v>5128</v>
      </c>
      <c r="B3451" t="s">
        <v>5129</v>
      </c>
      <c r="C3451" s="1" t="s">
        <v>1188</v>
      </c>
      <c r="D3451" s="1" t="s">
        <v>1188</v>
      </c>
      <c r="E3451" s="1" t="s">
        <v>1188</v>
      </c>
      <c r="F3451" t="s">
        <v>1189</v>
      </c>
      <c r="G3451" t="s">
        <v>1190</v>
      </c>
      <c r="H3451" t="s">
        <v>5</v>
      </c>
      <c r="I3451" t="s">
        <v>5127</v>
      </c>
      <c r="J3451">
        <v>7.79</v>
      </c>
      <c r="K3451" t="e">
        <f>IF(COUNTIF(#REF!,Tabela2[[#This Row],[IdxWspolny]])&gt;0,"ELEM_lub_PRD","TECHN")</f>
        <v>#REF!</v>
      </c>
      <c r="L3451" t="e">
        <f>IF(COUNTIF(#REF!,Tabela2[[#This Row],[KOD_PRODUKTU]])&gt;0,"ELEMENT","PRODUKT")</f>
        <v>#REF!</v>
      </c>
      <c r="M3451" t="e">
        <f>COUNTIF(#REF!,Tabela2[[#This Row],[KOD_PRODUKTU]])</f>
        <v>#REF!</v>
      </c>
    </row>
    <row r="3452" spans="1:13" x14ac:dyDescent="0.25">
      <c r="A3452" s="1" t="s">
        <v>5128</v>
      </c>
      <c r="B3452" t="s">
        <v>5129</v>
      </c>
      <c r="C3452" s="1" t="s">
        <v>432</v>
      </c>
      <c r="D3452" s="1" t="s">
        <v>432</v>
      </c>
      <c r="E3452" s="1" t="s">
        <v>432</v>
      </c>
      <c r="F3452" t="s">
        <v>433</v>
      </c>
      <c r="G3452" t="s">
        <v>434</v>
      </c>
      <c r="H3452" t="s">
        <v>435</v>
      </c>
      <c r="I3452" t="s">
        <v>5130</v>
      </c>
      <c r="J3452">
        <v>3.91</v>
      </c>
      <c r="K3452" t="e">
        <f>IF(COUNTIF(#REF!,Tabela2[[#This Row],[IdxWspolny]])&gt;0,"ELEM_lub_PRD","TECHN")</f>
        <v>#REF!</v>
      </c>
      <c r="L3452" t="e">
        <f>IF(COUNTIF(#REF!,Tabela2[[#This Row],[KOD_PRODUKTU]])&gt;0,"ELEMENT","PRODUKT")</f>
        <v>#REF!</v>
      </c>
      <c r="M3452" t="e">
        <f>COUNTIF(#REF!,Tabela2[[#This Row],[KOD_PRODUKTU]])</f>
        <v>#REF!</v>
      </c>
    </row>
    <row r="3453" spans="1:13" x14ac:dyDescent="0.25">
      <c r="A3453" s="1" t="s">
        <v>5128</v>
      </c>
      <c r="B3453" t="s">
        <v>5129</v>
      </c>
      <c r="C3453" s="1" t="s">
        <v>541</v>
      </c>
      <c r="D3453" s="1" t="s">
        <v>541</v>
      </c>
      <c r="E3453" s="1" t="s">
        <v>541</v>
      </c>
      <c r="F3453" t="s">
        <v>542</v>
      </c>
      <c r="G3453" t="s">
        <v>9</v>
      </c>
      <c r="H3453" t="s">
        <v>10</v>
      </c>
      <c r="I3453" t="s">
        <v>5131</v>
      </c>
      <c r="J3453">
        <v>12.09</v>
      </c>
      <c r="K3453" t="e">
        <f>IF(COUNTIF(#REF!,Tabela2[[#This Row],[IdxWspolny]])&gt;0,"ELEM_lub_PRD","TECHN")</f>
        <v>#REF!</v>
      </c>
      <c r="L3453" t="e">
        <f>IF(COUNTIF(#REF!,Tabela2[[#This Row],[KOD_PRODUKTU]])&gt;0,"ELEMENT","PRODUKT")</f>
        <v>#REF!</v>
      </c>
      <c r="M3453" t="e">
        <f>COUNTIF(#REF!,Tabela2[[#This Row],[KOD_PRODUKTU]])</f>
        <v>#REF!</v>
      </c>
    </row>
    <row r="3454" spans="1:13" x14ac:dyDescent="0.25">
      <c r="A3454" s="1" t="s">
        <v>5132</v>
      </c>
      <c r="B3454" t="s">
        <v>5133</v>
      </c>
      <c r="C3454" s="1" t="s">
        <v>2161</v>
      </c>
      <c r="D3454" s="1" t="s">
        <v>2161</v>
      </c>
      <c r="E3454" s="1" t="s">
        <v>2161</v>
      </c>
      <c r="F3454" t="s">
        <v>2162</v>
      </c>
      <c r="G3454" t="s">
        <v>1354</v>
      </c>
      <c r="H3454" t="s">
        <v>5</v>
      </c>
      <c r="I3454" t="s">
        <v>3437</v>
      </c>
      <c r="J3454">
        <v>0.1</v>
      </c>
      <c r="K3454" t="e">
        <f>IF(COUNTIF(#REF!,Tabela2[[#This Row],[IdxWspolny]])&gt;0,"ELEM_lub_PRD","TECHN")</f>
        <v>#REF!</v>
      </c>
      <c r="L3454" t="e">
        <f>IF(COUNTIF(#REF!,Tabela2[[#This Row],[KOD_PRODUKTU]])&gt;0,"ELEMENT","PRODUKT")</f>
        <v>#REF!</v>
      </c>
      <c r="M3454" t="e">
        <f>COUNTIF(#REF!,Tabela2[[#This Row],[KOD_PRODUKTU]])</f>
        <v>#REF!</v>
      </c>
    </row>
    <row r="3455" spans="1:13" x14ac:dyDescent="0.25">
      <c r="A3455" s="1" t="s">
        <v>5132</v>
      </c>
      <c r="B3455" t="s">
        <v>5133</v>
      </c>
      <c r="C3455" s="1" t="s">
        <v>7</v>
      </c>
      <c r="D3455" s="1" t="s">
        <v>7</v>
      </c>
      <c r="E3455" s="1" t="s">
        <v>7</v>
      </c>
      <c r="F3455" t="s">
        <v>8</v>
      </c>
      <c r="G3455" t="s">
        <v>9</v>
      </c>
      <c r="H3455" t="s">
        <v>10</v>
      </c>
      <c r="I3455" t="s">
        <v>1349</v>
      </c>
      <c r="J3455">
        <v>3.45</v>
      </c>
      <c r="K3455" t="e">
        <f>IF(COUNTIF(#REF!,Tabela2[[#This Row],[IdxWspolny]])&gt;0,"ELEM_lub_PRD","TECHN")</f>
        <v>#REF!</v>
      </c>
      <c r="L3455" t="e">
        <f>IF(COUNTIF(#REF!,Tabela2[[#This Row],[KOD_PRODUKTU]])&gt;0,"ELEMENT","PRODUKT")</f>
        <v>#REF!</v>
      </c>
      <c r="M3455" t="e">
        <f>COUNTIF(#REF!,Tabela2[[#This Row],[KOD_PRODUKTU]])</f>
        <v>#REF!</v>
      </c>
    </row>
    <row r="3456" spans="1:13" x14ac:dyDescent="0.25">
      <c r="A3456" s="1" t="s">
        <v>5134</v>
      </c>
      <c r="B3456" t="s">
        <v>5135</v>
      </c>
      <c r="C3456" s="1" t="s">
        <v>3834</v>
      </c>
      <c r="D3456" s="1" t="s">
        <v>3834</v>
      </c>
      <c r="E3456" s="1" t="s">
        <v>3834</v>
      </c>
      <c r="F3456" t="s">
        <v>3835</v>
      </c>
      <c r="G3456" t="s">
        <v>3836</v>
      </c>
      <c r="H3456" t="s">
        <v>5</v>
      </c>
      <c r="I3456" t="s">
        <v>5136</v>
      </c>
      <c r="J3456">
        <v>1.82</v>
      </c>
      <c r="K3456" t="e">
        <f>IF(COUNTIF(#REF!,Tabela2[[#This Row],[IdxWspolny]])&gt;0,"ELEM_lub_PRD","TECHN")</f>
        <v>#REF!</v>
      </c>
      <c r="L3456" t="e">
        <f>IF(COUNTIF(#REF!,Tabela2[[#This Row],[KOD_PRODUKTU]])&gt;0,"ELEMENT","PRODUKT")</f>
        <v>#REF!</v>
      </c>
      <c r="M3456" t="e">
        <f>COUNTIF(#REF!,Tabela2[[#This Row],[KOD_PRODUKTU]])</f>
        <v>#REF!</v>
      </c>
    </row>
    <row r="3457" spans="1:13" x14ac:dyDescent="0.25">
      <c r="A3457" s="1" t="s">
        <v>5134</v>
      </c>
      <c r="B3457" t="s">
        <v>5135</v>
      </c>
      <c r="C3457" s="1" t="s">
        <v>432</v>
      </c>
      <c r="D3457" s="1" t="s">
        <v>432</v>
      </c>
      <c r="E3457" s="1" t="s">
        <v>432</v>
      </c>
      <c r="F3457" t="s">
        <v>433</v>
      </c>
      <c r="G3457" t="s">
        <v>434</v>
      </c>
      <c r="H3457" t="s">
        <v>435</v>
      </c>
      <c r="I3457" t="s">
        <v>5137</v>
      </c>
      <c r="J3457">
        <v>1.24</v>
      </c>
      <c r="K3457" t="e">
        <f>IF(COUNTIF(#REF!,Tabela2[[#This Row],[IdxWspolny]])&gt;0,"ELEM_lub_PRD","TECHN")</f>
        <v>#REF!</v>
      </c>
      <c r="L3457" t="e">
        <f>IF(COUNTIF(#REF!,Tabela2[[#This Row],[KOD_PRODUKTU]])&gt;0,"ELEMENT","PRODUKT")</f>
        <v>#REF!</v>
      </c>
      <c r="M3457" t="e">
        <f>COUNTIF(#REF!,Tabela2[[#This Row],[KOD_PRODUKTU]])</f>
        <v>#REF!</v>
      </c>
    </row>
    <row r="3458" spans="1:13" x14ac:dyDescent="0.25">
      <c r="A3458" s="1" t="s">
        <v>5134</v>
      </c>
      <c r="B3458" t="s">
        <v>5135</v>
      </c>
      <c r="C3458" s="1" t="s">
        <v>541</v>
      </c>
      <c r="D3458" s="1" t="s">
        <v>541</v>
      </c>
      <c r="E3458" s="1" t="s">
        <v>541</v>
      </c>
      <c r="F3458" t="s">
        <v>542</v>
      </c>
      <c r="G3458" t="s">
        <v>9</v>
      </c>
      <c r="H3458" t="s">
        <v>10</v>
      </c>
      <c r="I3458" t="s">
        <v>3404</v>
      </c>
      <c r="J3458">
        <v>10.119999999999999</v>
      </c>
      <c r="K3458" t="e">
        <f>IF(COUNTIF(#REF!,Tabela2[[#This Row],[IdxWspolny]])&gt;0,"ELEM_lub_PRD","TECHN")</f>
        <v>#REF!</v>
      </c>
      <c r="L3458" t="e">
        <f>IF(COUNTIF(#REF!,Tabela2[[#This Row],[KOD_PRODUKTU]])&gt;0,"ELEMENT","PRODUKT")</f>
        <v>#REF!</v>
      </c>
      <c r="M3458" t="e">
        <f>COUNTIF(#REF!,Tabela2[[#This Row],[KOD_PRODUKTU]])</f>
        <v>#REF!</v>
      </c>
    </row>
    <row r="3459" spans="1:13" x14ac:dyDescent="0.25">
      <c r="A3459" s="1" t="s">
        <v>5138</v>
      </c>
      <c r="B3459" t="s">
        <v>5139</v>
      </c>
      <c r="C3459" s="1" t="s">
        <v>1188</v>
      </c>
      <c r="D3459" s="1" t="s">
        <v>1188</v>
      </c>
      <c r="E3459" s="1" t="s">
        <v>1188</v>
      </c>
      <c r="F3459" t="s">
        <v>1189</v>
      </c>
      <c r="G3459" t="s">
        <v>1190</v>
      </c>
      <c r="H3459" t="s">
        <v>5</v>
      </c>
      <c r="I3459" t="s">
        <v>5140</v>
      </c>
      <c r="J3459">
        <v>4.8899999999999997</v>
      </c>
      <c r="K3459" t="e">
        <f>IF(COUNTIF(#REF!,Tabela2[[#This Row],[IdxWspolny]])&gt;0,"ELEM_lub_PRD","TECHN")</f>
        <v>#REF!</v>
      </c>
      <c r="L3459" t="e">
        <f>IF(COUNTIF(#REF!,Tabela2[[#This Row],[KOD_PRODUKTU]])&gt;0,"ELEMENT","PRODUKT")</f>
        <v>#REF!</v>
      </c>
      <c r="M3459" t="e">
        <f>COUNTIF(#REF!,Tabela2[[#This Row],[KOD_PRODUKTU]])</f>
        <v>#REF!</v>
      </c>
    </row>
    <row r="3460" spans="1:13" x14ac:dyDescent="0.25">
      <c r="A3460" s="1" t="s">
        <v>5138</v>
      </c>
      <c r="B3460" t="s">
        <v>5139</v>
      </c>
      <c r="C3460" s="1" t="s">
        <v>432</v>
      </c>
      <c r="D3460" s="1" t="s">
        <v>432</v>
      </c>
      <c r="E3460" s="1" t="s">
        <v>432</v>
      </c>
      <c r="F3460" t="s">
        <v>433</v>
      </c>
      <c r="G3460" t="s">
        <v>434</v>
      </c>
      <c r="H3460" t="s">
        <v>435</v>
      </c>
      <c r="I3460" t="s">
        <v>92</v>
      </c>
      <c r="J3460">
        <v>2.2000000000000002</v>
      </c>
      <c r="K3460" t="e">
        <f>IF(COUNTIF(#REF!,Tabela2[[#This Row],[IdxWspolny]])&gt;0,"ELEM_lub_PRD","TECHN")</f>
        <v>#REF!</v>
      </c>
      <c r="L3460" t="e">
        <f>IF(COUNTIF(#REF!,Tabela2[[#This Row],[KOD_PRODUKTU]])&gt;0,"ELEMENT","PRODUKT")</f>
        <v>#REF!</v>
      </c>
      <c r="M3460" t="e">
        <f>COUNTIF(#REF!,Tabela2[[#This Row],[KOD_PRODUKTU]])</f>
        <v>#REF!</v>
      </c>
    </row>
    <row r="3461" spans="1:13" x14ac:dyDescent="0.25">
      <c r="A3461" s="1" t="s">
        <v>5138</v>
      </c>
      <c r="B3461" t="s">
        <v>5139</v>
      </c>
      <c r="C3461" s="1" t="s">
        <v>541</v>
      </c>
      <c r="D3461" s="1" t="s">
        <v>541</v>
      </c>
      <c r="E3461" s="1" t="s">
        <v>541</v>
      </c>
      <c r="F3461" t="s">
        <v>542</v>
      </c>
      <c r="G3461" t="s">
        <v>9</v>
      </c>
      <c r="H3461" t="s">
        <v>10</v>
      </c>
      <c r="I3461" t="s">
        <v>1196</v>
      </c>
      <c r="J3461">
        <v>4.34</v>
      </c>
      <c r="K3461" t="e">
        <f>IF(COUNTIF(#REF!,Tabela2[[#This Row],[IdxWspolny]])&gt;0,"ELEM_lub_PRD","TECHN")</f>
        <v>#REF!</v>
      </c>
      <c r="L3461" t="e">
        <f>IF(COUNTIF(#REF!,Tabela2[[#This Row],[KOD_PRODUKTU]])&gt;0,"ELEMENT","PRODUKT")</f>
        <v>#REF!</v>
      </c>
      <c r="M3461" t="e">
        <f>COUNTIF(#REF!,Tabela2[[#This Row],[KOD_PRODUKTU]])</f>
        <v>#REF!</v>
      </c>
    </row>
    <row r="3462" spans="1:13" x14ac:dyDescent="0.25">
      <c r="A3462" s="1" t="s">
        <v>5141</v>
      </c>
      <c r="B3462" t="s">
        <v>5142</v>
      </c>
      <c r="C3462" s="1" t="s">
        <v>1188</v>
      </c>
      <c r="D3462" s="1" t="s">
        <v>1188</v>
      </c>
      <c r="E3462" s="1" t="s">
        <v>1188</v>
      </c>
      <c r="F3462" t="s">
        <v>1189</v>
      </c>
      <c r="G3462" t="s">
        <v>1190</v>
      </c>
      <c r="H3462" t="s">
        <v>5</v>
      </c>
      <c r="I3462" t="s">
        <v>5143</v>
      </c>
      <c r="J3462">
        <v>4.82</v>
      </c>
      <c r="K3462" t="e">
        <f>IF(COUNTIF(#REF!,Tabela2[[#This Row],[IdxWspolny]])&gt;0,"ELEM_lub_PRD","TECHN")</f>
        <v>#REF!</v>
      </c>
      <c r="L3462" t="e">
        <f>IF(COUNTIF(#REF!,Tabela2[[#This Row],[KOD_PRODUKTU]])&gt;0,"ELEMENT","PRODUKT")</f>
        <v>#REF!</v>
      </c>
      <c r="M3462" t="e">
        <f>COUNTIF(#REF!,Tabela2[[#This Row],[KOD_PRODUKTU]])</f>
        <v>#REF!</v>
      </c>
    </row>
    <row r="3463" spans="1:13" x14ac:dyDescent="0.25">
      <c r="A3463" s="1" t="s">
        <v>5141</v>
      </c>
      <c r="B3463" t="s">
        <v>5142</v>
      </c>
      <c r="C3463" s="1" t="s">
        <v>432</v>
      </c>
      <c r="D3463" s="1" t="s">
        <v>432</v>
      </c>
      <c r="E3463" s="1" t="s">
        <v>432</v>
      </c>
      <c r="F3463" t="s">
        <v>433</v>
      </c>
      <c r="G3463" t="s">
        <v>434</v>
      </c>
      <c r="H3463" t="s">
        <v>435</v>
      </c>
      <c r="I3463" t="s">
        <v>50</v>
      </c>
      <c r="J3463">
        <v>1.1000000000000001</v>
      </c>
      <c r="K3463" t="e">
        <f>IF(COUNTIF(#REF!,Tabela2[[#This Row],[IdxWspolny]])&gt;0,"ELEM_lub_PRD","TECHN")</f>
        <v>#REF!</v>
      </c>
      <c r="L3463" t="e">
        <f>IF(COUNTIF(#REF!,Tabela2[[#This Row],[KOD_PRODUKTU]])&gt;0,"ELEMENT","PRODUKT")</f>
        <v>#REF!</v>
      </c>
      <c r="M3463" t="e">
        <f>COUNTIF(#REF!,Tabela2[[#This Row],[KOD_PRODUKTU]])</f>
        <v>#REF!</v>
      </c>
    </row>
    <row r="3464" spans="1:13" x14ac:dyDescent="0.25">
      <c r="A3464" s="1" t="s">
        <v>5141</v>
      </c>
      <c r="B3464" t="s">
        <v>5142</v>
      </c>
      <c r="C3464" s="1" t="s">
        <v>541</v>
      </c>
      <c r="D3464" s="1" t="s">
        <v>541</v>
      </c>
      <c r="E3464" s="1" t="s">
        <v>541</v>
      </c>
      <c r="F3464" t="s">
        <v>542</v>
      </c>
      <c r="G3464" t="s">
        <v>9</v>
      </c>
      <c r="H3464" t="s">
        <v>10</v>
      </c>
      <c r="I3464" t="s">
        <v>5144</v>
      </c>
      <c r="J3464">
        <v>11.81</v>
      </c>
      <c r="K3464" t="e">
        <f>IF(COUNTIF(#REF!,Tabela2[[#This Row],[IdxWspolny]])&gt;0,"ELEM_lub_PRD","TECHN")</f>
        <v>#REF!</v>
      </c>
      <c r="L3464" t="e">
        <f>IF(COUNTIF(#REF!,Tabela2[[#This Row],[KOD_PRODUKTU]])&gt;0,"ELEMENT","PRODUKT")</f>
        <v>#REF!</v>
      </c>
      <c r="M3464" t="e">
        <f>COUNTIF(#REF!,Tabela2[[#This Row],[KOD_PRODUKTU]])</f>
        <v>#REF!</v>
      </c>
    </row>
    <row r="3465" spans="1:13" x14ac:dyDescent="0.25">
      <c r="A3465" s="1" t="s">
        <v>5145</v>
      </c>
      <c r="B3465" t="s">
        <v>5146</v>
      </c>
      <c r="C3465" s="1" t="s">
        <v>1203</v>
      </c>
      <c r="D3465" s="1" t="s">
        <v>1203</v>
      </c>
      <c r="E3465" s="1" t="s">
        <v>1203</v>
      </c>
      <c r="F3465" t="s">
        <v>1204</v>
      </c>
      <c r="G3465" t="s">
        <v>216</v>
      </c>
      <c r="H3465" t="s">
        <v>5</v>
      </c>
      <c r="I3465" t="s">
        <v>5147</v>
      </c>
      <c r="J3465">
        <v>2.25</v>
      </c>
      <c r="K3465" t="e">
        <f>IF(COUNTIF(#REF!,Tabela2[[#This Row],[IdxWspolny]])&gt;0,"ELEM_lub_PRD","TECHN")</f>
        <v>#REF!</v>
      </c>
      <c r="L3465" t="e">
        <f>IF(COUNTIF(#REF!,Tabela2[[#This Row],[KOD_PRODUKTU]])&gt;0,"ELEMENT","PRODUKT")</f>
        <v>#REF!</v>
      </c>
      <c r="M3465" t="e">
        <f>COUNTIF(#REF!,Tabela2[[#This Row],[KOD_PRODUKTU]])</f>
        <v>#REF!</v>
      </c>
    </row>
    <row r="3466" spans="1:13" x14ac:dyDescent="0.25">
      <c r="A3466" s="1" t="s">
        <v>5145</v>
      </c>
      <c r="B3466" t="s">
        <v>5146</v>
      </c>
      <c r="C3466" s="1" t="s">
        <v>1234</v>
      </c>
      <c r="D3466" s="1" t="s">
        <v>1234</v>
      </c>
      <c r="E3466" s="1" t="s">
        <v>1234</v>
      </c>
      <c r="F3466" t="s">
        <v>1235</v>
      </c>
      <c r="G3466" t="s">
        <v>108</v>
      </c>
      <c r="H3466" t="s">
        <v>932</v>
      </c>
      <c r="I3466" t="s">
        <v>50</v>
      </c>
      <c r="J3466">
        <v>4.2</v>
      </c>
      <c r="K3466" t="e">
        <f>IF(COUNTIF(#REF!,Tabela2[[#This Row],[IdxWspolny]])&gt;0,"ELEM_lub_PRD","TECHN")</f>
        <v>#REF!</v>
      </c>
      <c r="L3466" t="e">
        <f>IF(COUNTIF(#REF!,Tabela2[[#This Row],[KOD_PRODUKTU]])&gt;0,"ELEMENT","PRODUKT")</f>
        <v>#REF!</v>
      </c>
      <c r="M3466" t="e">
        <f>COUNTIF(#REF!,Tabela2[[#This Row],[KOD_PRODUKTU]])</f>
        <v>#REF!</v>
      </c>
    </row>
    <row r="3467" spans="1:13" x14ac:dyDescent="0.25">
      <c r="A3467" s="1" t="s">
        <v>5145</v>
      </c>
      <c r="B3467" t="s">
        <v>5146</v>
      </c>
      <c r="C3467" s="1" t="s">
        <v>541</v>
      </c>
      <c r="D3467" s="1" t="s">
        <v>541</v>
      </c>
      <c r="E3467" s="1" t="s">
        <v>541</v>
      </c>
      <c r="F3467" t="s">
        <v>542</v>
      </c>
      <c r="G3467" t="s">
        <v>9</v>
      </c>
      <c r="H3467" t="s">
        <v>10</v>
      </c>
      <c r="I3467" t="s">
        <v>5148</v>
      </c>
      <c r="J3467">
        <v>4.3099999999999996</v>
      </c>
      <c r="K3467" t="e">
        <f>IF(COUNTIF(#REF!,Tabela2[[#This Row],[IdxWspolny]])&gt;0,"ELEM_lub_PRD","TECHN")</f>
        <v>#REF!</v>
      </c>
      <c r="L3467" t="e">
        <f>IF(COUNTIF(#REF!,Tabela2[[#This Row],[KOD_PRODUKTU]])&gt;0,"ELEMENT","PRODUKT")</f>
        <v>#REF!</v>
      </c>
      <c r="M3467" t="e">
        <f>COUNTIF(#REF!,Tabela2[[#This Row],[KOD_PRODUKTU]])</f>
        <v>#REF!</v>
      </c>
    </row>
    <row r="3468" spans="1:13" x14ac:dyDescent="0.25">
      <c r="A3468" s="1" t="s">
        <v>5149</v>
      </c>
      <c r="B3468" t="s">
        <v>5150</v>
      </c>
      <c r="C3468" s="1" t="s">
        <v>1188</v>
      </c>
      <c r="D3468" s="1" t="s">
        <v>1188</v>
      </c>
      <c r="E3468" s="1" t="s">
        <v>1188</v>
      </c>
      <c r="F3468" t="s">
        <v>1189</v>
      </c>
      <c r="G3468" t="s">
        <v>1190</v>
      </c>
      <c r="H3468" t="s">
        <v>5</v>
      </c>
      <c r="I3468" t="s">
        <v>5151</v>
      </c>
      <c r="J3468">
        <v>4.34</v>
      </c>
      <c r="K3468" t="e">
        <f>IF(COUNTIF(#REF!,Tabela2[[#This Row],[IdxWspolny]])&gt;0,"ELEM_lub_PRD","TECHN")</f>
        <v>#REF!</v>
      </c>
      <c r="L3468" t="e">
        <f>IF(COUNTIF(#REF!,Tabela2[[#This Row],[KOD_PRODUKTU]])&gt;0,"ELEMENT","PRODUKT")</f>
        <v>#REF!</v>
      </c>
      <c r="M3468" t="e">
        <f>COUNTIF(#REF!,Tabela2[[#This Row],[KOD_PRODUKTU]])</f>
        <v>#REF!</v>
      </c>
    </row>
    <row r="3469" spans="1:13" x14ac:dyDescent="0.25">
      <c r="A3469" s="1" t="s">
        <v>5149</v>
      </c>
      <c r="B3469" t="s">
        <v>5150</v>
      </c>
      <c r="C3469" s="1" t="s">
        <v>1234</v>
      </c>
      <c r="D3469" s="1" t="s">
        <v>1234</v>
      </c>
      <c r="E3469" s="1" t="s">
        <v>1234</v>
      </c>
      <c r="F3469" t="s">
        <v>1235</v>
      </c>
      <c r="G3469" t="s">
        <v>108</v>
      </c>
      <c r="H3469" t="s">
        <v>932</v>
      </c>
      <c r="I3469" t="s">
        <v>50</v>
      </c>
      <c r="J3469">
        <v>4.2</v>
      </c>
      <c r="K3469" t="e">
        <f>IF(COUNTIF(#REF!,Tabela2[[#This Row],[IdxWspolny]])&gt;0,"ELEM_lub_PRD","TECHN")</f>
        <v>#REF!</v>
      </c>
      <c r="L3469" t="e">
        <f>IF(COUNTIF(#REF!,Tabela2[[#This Row],[KOD_PRODUKTU]])&gt;0,"ELEMENT","PRODUKT")</f>
        <v>#REF!</v>
      </c>
      <c r="M3469" t="e">
        <f>COUNTIF(#REF!,Tabela2[[#This Row],[KOD_PRODUKTU]])</f>
        <v>#REF!</v>
      </c>
    </row>
    <row r="3470" spans="1:13" x14ac:dyDescent="0.25">
      <c r="A3470" s="1" t="s">
        <v>5149</v>
      </c>
      <c r="B3470" t="s">
        <v>5150</v>
      </c>
      <c r="C3470" s="1" t="s">
        <v>541</v>
      </c>
      <c r="D3470" s="1" t="s">
        <v>541</v>
      </c>
      <c r="E3470" s="1" t="s">
        <v>541</v>
      </c>
      <c r="F3470" t="s">
        <v>542</v>
      </c>
      <c r="G3470" t="s">
        <v>9</v>
      </c>
      <c r="H3470" t="s">
        <v>10</v>
      </c>
      <c r="I3470" t="s">
        <v>5152</v>
      </c>
      <c r="J3470">
        <v>11.91</v>
      </c>
      <c r="K3470" t="e">
        <f>IF(COUNTIF(#REF!,Tabela2[[#This Row],[IdxWspolny]])&gt;0,"ELEM_lub_PRD","TECHN")</f>
        <v>#REF!</v>
      </c>
      <c r="L3470" t="e">
        <f>IF(COUNTIF(#REF!,Tabela2[[#This Row],[KOD_PRODUKTU]])&gt;0,"ELEMENT","PRODUKT")</f>
        <v>#REF!</v>
      </c>
      <c r="M3470" t="e">
        <f>COUNTIF(#REF!,Tabela2[[#This Row],[KOD_PRODUKTU]])</f>
        <v>#REF!</v>
      </c>
    </row>
    <row r="3471" spans="1:13" x14ac:dyDescent="0.25">
      <c r="A3471" s="1" t="s">
        <v>5153</v>
      </c>
      <c r="B3471" t="s">
        <v>5154</v>
      </c>
      <c r="C3471" s="1" t="s">
        <v>1188</v>
      </c>
      <c r="D3471" s="1" t="s">
        <v>1188</v>
      </c>
      <c r="E3471" s="1" t="s">
        <v>1188</v>
      </c>
      <c r="F3471" t="s">
        <v>1189</v>
      </c>
      <c r="G3471" t="s">
        <v>1190</v>
      </c>
      <c r="H3471" t="s">
        <v>5</v>
      </c>
      <c r="I3471" t="s">
        <v>2315</v>
      </c>
      <c r="J3471">
        <v>8.5500000000000007</v>
      </c>
      <c r="K3471" t="e">
        <f>IF(COUNTIF(#REF!,Tabela2[[#This Row],[IdxWspolny]])&gt;0,"ELEM_lub_PRD","TECHN")</f>
        <v>#REF!</v>
      </c>
      <c r="L3471" t="e">
        <f>IF(COUNTIF(#REF!,Tabela2[[#This Row],[KOD_PRODUKTU]])&gt;0,"ELEMENT","PRODUKT")</f>
        <v>#REF!</v>
      </c>
      <c r="M3471" t="e">
        <f>COUNTIF(#REF!,Tabela2[[#This Row],[KOD_PRODUKTU]])</f>
        <v>#REF!</v>
      </c>
    </row>
    <row r="3472" spans="1:13" x14ac:dyDescent="0.25">
      <c r="A3472" s="1" t="s">
        <v>5153</v>
      </c>
      <c r="B3472" t="s">
        <v>5154</v>
      </c>
      <c r="C3472" s="1" t="s">
        <v>432</v>
      </c>
      <c r="D3472" s="1" t="s">
        <v>432</v>
      </c>
      <c r="E3472" s="1" t="s">
        <v>432</v>
      </c>
      <c r="F3472" t="s">
        <v>433</v>
      </c>
      <c r="G3472" t="s">
        <v>434</v>
      </c>
      <c r="H3472" t="s">
        <v>435</v>
      </c>
      <c r="I3472" t="s">
        <v>92</v>
      </c>
      <c r="J3472">
        <v>2.2000000000000002</v>
      </c>
      <c r="K3472" t="e">
        <f>IF(COUNTIF(#REF!,Tabela2[[#This Row],[IdxWspolny]])&gt;0,"ELEM_lub_PRD","TECHN")</f>
        <v>#REF!</v>
      </c>
      <c r="L3472" t="e">
        <f>IF(COUNTIF(#REF!,Tabela2[[#This Row],[KOD_PRODUKTU]])&gt;0,"ELEMENT","PRODUKT")</f>
        <v>#REF!</v>
      </c>
      <c r="M3472" t="e">
        <f>COUNTIF(#REF!,Tabela2[[#This Row],[KOD_PRODUKTU]])</f>
        <v>#REF!</v>
      </c>
    </row>
    <row r="3473" spans="1:13" x14ac:dyDescent="0.25">
      <c r="A3473" s="1" t="s">
        <v>5153</v>
      </c>
      <c r="B3473" t="s">
        <v>5154</v>
      </c>
      <c r="C3473" s="1" t="s">
        <v>7</v>
      </c>
      <c r="D3473" s="1" t="s">
        <v>7</v>
      </c>
      <c r="E3473" s="1" t="s">
        <v>7</v>
      </c>
      <c r="F3473" t="s">
        <v>8</v>
      </c>
      <c r="G3473" t="s">
        <v>9</v>
      </c>
      <c r="H3473" t="s">
        <v>10</v>
      </c>
      <c r="I3473" t="s">
        <v>1096</v>
      </c>
      <c r="J3473">
        <v>4.7</v>
      </c>
      <c r="K3473" t="e">
        <f>IF(COUNTIF(#REF!,Tabela2[[#This Row],[IdxWspolny]])&gt;0,"ELEM_lub_PRD","TECHN")</f>
        <v>#REF!</v>
      </c>
      <c r="L3473" t="e">
        <f>IF(COUNTIF(#REF!,Tabela2[[#This Row],[KOD_PRODUKTU]])&gt;0,"ELEMENT","PRODUKT")</f>
        <v>#REF!</v>
      </c>
      <c r="M3473" t="e">
        <f>COUNTIF(#REF!,Tabela2[[#This Row],[KOD_PRODUKTU]])</f>
        <v>#REF!</v>
      </c>
    </row>
    <row r="3474" spans="1:13" x14ac:dyDescent="0.25">
      <c r="A3474" s="1" t="s">
        <v>5155</v>
      </c>
      <c r="B3474" t="s">
        <v>5156</v>
      </c>
      <c r="C3474" s="1" t="s">
        <v>1188</v>
      </c>
      <c r="D3474" s="1" t="s">
        <v>1188</v>
      </c>
      <c r="E3474" s="1" t="s">
        <v>1188</v>
      </c>
      <c r="F3474" t="s">
        <v>1189</v>
      </c>
      <c r="G3474" t="s">
        <v>1190</v>
      </c>
      <c r="H3474" t="s">
        <v>5</v>
      </c>
      <c r="I3474" t="s">
        <v>2315</v>
      </c>
      <c r="J3474">
        <v>8.5500000000000007</v>
      </c>
      <c r="K3474" t="e">
        <f>IF(COUNTIF(#REF!,Tabela2[[#This Row],[IdxWspolny]])&gt;0,"ELEM_lub_PRD","TECHN")</f>
        <v>#REF!</v>
      </c>
      <c r="L3474" t="e">
        <f>IF(COUNTIF(#REF!,Tabela2[[#This Row],[KOD_PRODUKTU]])&gt;0,"ELEMENT","PRODUKT")</f>
        <v>#REF!</v>
      </c>
      <c r="M3474" t="e">
        <f>COUNTIF(#REF!,Tabela2[[#This Row],[KOD_PRODUKTU]])</f>
        <v>#REF!</v>
      </c>
    </row>
    <row r="3475" spans="1:13" x14ac:dyDescent="0.25">
      <c r="A3475" s="1" t="s">
        <v>5155</v>
      </c>
      <c r="B3475" t="s">
        <v>5156</v>
      </c>
      <c r="C3475" s="1" t="s">
        <v>432</v>
      </c>
      <c r="D3475" s="1" t="s">
        <v>432</v>
      </c>
      <c r="E3475" s="1" t="s">
        <v>432</v>
      </c>
      <c r="F3475" t="s">
        <v>433</v>
      </c>
      <c r="G3475" t="s">
        <v>434</v>
      </c>
      <c r="H3475" t="s">
        <v>435</v>
      </c>
      <c r="I3475" t="s">
        <v>1177</v>
      </c>
      <c r="J3475">
        <v>3.8</v>
      </c>
      <c r="K3475" t="e">
        <f>IF(COUNTIF(#REF!,Tabela2[[#This Row],[IdxWspolny]])&gt;0,"ELEM_lub_PRD","TECHN")</f>
        <v>#REF!</v>
      </c>
      <c r="L3475" t="e">
        <f>IF(COUNTIF(#REF!,Tabela2[[#This Row],[KOD_PRODUKTU]])&gt;0,"ELEMENT","PRODUKT")</f>
        <v>#REF!</v>
      </c>
      <c r="M3475" t="e">
        <f>COUNTIF(#REF!,Tabela2[[#This Row],[KOD_PRODUKTU]])</f>
        <v>#REF!</v>
      </c>
    </row>
    <row r="3476" spans="1:13" x14ac:dyDescent="0.25">
      <c r="A3476" s="1" t="s">
        <v>5155</v>
      </c>
      <c r="B3476" t="s">
        <v>5156</v>
      </c>
      <c r="C3476" s="1" t="s">
        <v>7</v>
      </c>
      <c r="D3476" s="1" t="s">
        <v>7</v>
      </c>
      <c r="E3476" s="1" t="s">
        <v>7</v>
      </c>
      <c r="F3476" t="s">
        <v>8</v>
      </c>
      <c r="G3476" t="s">
        <v>9</v>
      </c>
      <c r="H3476" t="s">
        <v>10</v>
      </c>
      <c r="I3476" t="s">
        <v>1192</v>
      </c>
      <c r="J3476">
        <v>11.92</v>
      </c>
      <c r="K3476" t="e">
        <f>IF(COUNTIF(#REF!,Tabela2[[#This Row],[IdxWspolny]])&gt;0,"ELEM_lub_PRD","TECHN")</f>
        <v>#REF!</v>
      </c>
      <c r="L3476" t="e">
        <f>IF(COUNTIF(#REF!,Tabela2[[#This Row],[KOD_PRODUKTU]])&gt;0,"ELEMENT","PRODUKT")</f>
        <v>#REF!</v>
      </c>
      <c r="M3476" t="e">
        <f>COUNTIF(#REF!,Tabela2[[#This Row],[KOD_PRODUKTU]])</f>
        <v>#REF!</v>
      </c>
    </row>
    <row r="3477" spans="1:13" x14ac:dyDescent="0.25">
      <c r="A3477" s="1" t="s">
        <v>5157</v>
      </c>
      <c r="B3477" t="s">
        <v>5158</v>
      </c>
      <c r="C3477" s="1" t="s">
        <v>1188</v>
      </c>
      <c r="D3477" s="1" t="s">
        <v>1188</v>
      </c>
      <c r="E3477" s="1" t="s">
        <v>1188</v>
      </c>
      <c r="F3477" t="s">
        <v>1189</v>
      </c>
      <c r="G3477" t="s">
        <v>1190</v>
      </c>
      <c r="H3477" t="s">
        <v>5</v>
      </c>
      <c r="I3477" t="s">
        <v>5159</v>
      </c>
      <c r="J3477">
        <v>3.94</v>
      </c>
      <c r="K3477" t="e">
        <f>IF(COUNTIF(#REF!,Tabela2[[#This Row],[IdxWspolny]])&gt;0,"ELEM_lub_PRD","TECHN")</f>
        <v>#REF!</v>
      </c>
      <c r="L3477" t="e">
        <f>IF(COUNTIF(#REF!,Tabela2[[#This Row],[KOD_PRODUKTU]])&gt;0,"ELEMENT","PRODUKT")</f>
        <v>#REF!</v>
      </c>
      <c r="M3477" t="e">
        <f>COUNTIF(#REF!,Tabela2[[#This Row],[KOD_PRODUKTU]])</f>
        <v>#REF!</v>
      </c>
    </row>
    <row r="3478" spans="1:13" x14ac:dyDescent="0.25">
      <c r="A3478" s="1" t="s">
        <v>5157</v>
      </c>
      <c r="B3478" t="s">
        <v>5158</v>
      </c>
      <c r="C3478" s="1" t="s">
        <v>432</v>
      </c>
      <c r="D3478" s="1" t="s">
        <v>432</v>
      </c>
      <c r="E3478" s="1" t="s">
        <v>432</v>
      </c>
      <c r="F3478" t="s">
        <v>433</v>
      </c>
      <c r="G3478" t="s">
        <v>434</v>
      </c>
      <c r="H3478" t="s">
        <v>435</v>
      </c>
      <c r="I3478" t="s">
        <v>5160</v>
      </c>
      <c r="J3478">
        <v>1.9</v>
      </c>
      <c r="K3478" t="e">
        <f>IF(COUNTIF(#REF!,Tabela2[[#This Row],[IdxWspolny]])&gt;0,"ELEM_lub_PRD","TECHN")</f>
        <v>#REF!</v>
      </c>
      <c r="L3478" t="e">
        <f>IF(COUNTIF(#REF!,Tabela2[[#This Row],[KOD_PRODUKTU]])&gt;0,"ELEMENT","PRODUKT")</f>
        <v>#REF!</v>
      </c>
      <c r="M3478" t="e">
        <f>COUNTIF(#REF!,Tabela2[[#This Row],[KOD_PRODUKTU]])</f>
        <v>#REF!</v>
      </c>
    </row>
    <row r="3479" spans="1:13" x14ac:dyDescent="0.25">
      <c r="A3479" s="1" t="s">
        <v>5157</v>
      </c>
      <c r="B3479" t="s">
        <v>5158</v>
      </c>
      <c r="C3479" s="1" t="s">
        <v>541</v>
      </c>
      <c r="D3479" s="1" t="s">
        <v>541</v>
      </c>
      <c r="E3479" s="1" t="s">
        <v>541</v>
      </c>
      <c r="F3479" t="s">
        <v>542</v>
      </c>
      <c r="G3479" t="s">
        <v>9</v>
      </c>
      <c r="H3479" t="s">
        <v>10</v>
      </c>
      <c r="I3479" t="s">
        <v>5161</v>
      </c>
      <c r="J3479">
        <v>4.25</v>
      </c>
      <c r="K3479" t="e">
        <f>IF(COUNTIF(#REF!,Tabela2[[#This Row],[IdxWspolny]])&gt;0,"ELEM_lub_PRD","TECHN")</f>
        <v>#REF!</v>
      </c>
      <c r="L3479" t="e">
        <f>IF(COUNTIF(#REF!,Tabela2[[#This Row],[KOD_PRODUKTU]])&gt;0,"ELEMENT","PRODUKT")</f>
        <v>#REF!</v>
      </c>
      <c r="M3479" t="e">
        <f>COUNTIF(#REF!,Tabela2[[#This Row],[KOD_PRODUKTU]])</f>
        <v>#REF!</v>
      </c>
    </row>
    <row r="3480" spans="1:13" x14ac:dyDescent="0.25">
      <c r="A3480" s="1" t="s">
        <v>5162</v>
      </c>
      <c r="B3480" t="s">
        <v>5163</v>
      </c>
      <c r="C3480" s="1" t="s">
        <v>1188</v>
      </c>
      <c r="D3480" s="1" t="s">
        <v>1188</v>
      </c>
      <c r="E3480" s="1" t="s">
        <v>1188</v>
      </c>
      <c r="F3480" t="s">
        <v>1189</v>
      </c>
      <c r="G3480" t="s">
        <v>1190</v>
      </c>
      <c r="H3480" t="s">
        <v>5</v>
      </c>
      <c r="I3480" t="s">
        <v>5164</v>
      </c>
      <c r="J3480">
        <v>6.85</v>
      </c>
      <c r="K3480" t="e">
        <f>IF(COUNTIF(#REF!,Tabela2[[#This Row],[IdxWspolny]])&gt;0,"ELEM_lub_PRD","TECHN")</f>
        <v>#REF!</v>
      </c>
      <c r="L3480" t="e">
        <f>IF(COUNTIF(#REF!,Tabela2[[#This Row],[KOD_PRODUKTU]])&gt;0,"ELEMENT","PRODUKT")</f>
        <v>#REF!</v>
      </c>
      <c r="M3480" t="e">
        <f>COUNTIF(#REF!,Tabela2[[#This Row],[KOD_PRODUKTU]])</f>
        <v>#REF!</v>
      </c>
    </row>
    <row r="3481" spans="1:13" x14ac:dyDescent="0.25">
      <c r="A3481" s="1" t="s">
        <v>5162</v>
      </c>
      <c r="B3481" t="s">
        <v>5163</v>
      </c>
      <c r="C3481" s="1" t="s">
        <v>432</v>
      </c>
      <c r="D3481" s="1" t="s">
        <v>432</v>
      </c>
      <c r="E3481" s="1" t="s">
        <v>432</v>
      </c>
      <c r="F3481" t="s">
        <v>433</v>
      </c>
      <c r="G3481" t="s">
        <v>434</v>
      </c>
      <c r="H3481" t="s">
        <v>435</v>
      </c>
      <c r="I3481" t="s">
        <v>5165</v>
      </c>
      <c r="J3481">
        <v>0.35</v>
      </c>
      <c r="K3481" t="e">
        <f>IF(COUNTIF(#REF!,Tabela2[[#This Row],[IdxWspolny]])&gt;0,"ELEM_lub_PRD","TECHN")</f>
        <v>#REF!</v>
      </c>
      <c r="L3481" t="e">
        <f>IF(COUNTIF(#REF!,Tabela2[[#This Row],[KOD_PRODUKTU]])&gt;0,"ELEMENT","PRODUKT")</f>
        <v>#REF!</v>
      </c>
      <c r="M3481" t="e">
        <f>COUNTIF(#REF!,Tabela2[[#This Row],[KOD_PRODUKTU]])</f>
        <v>#REF!</v>
      </c>
    </row>
    <row r="3482" spans="1:13" x14ac:dyDescent="0.25">
      <c r="A3482" s="1" t="s">
        <v>5162</v>
      </c>
      <c r="B3482" t="s">
        <v>5163</v>
      </c>
      <c r="C3482" s="1" t="s">
        <v>7</v>
      </c>
      <c r="D3482" s="1" t="s">
        <v>7</v>
      </c>
      <c r="E3482" s="1" t="s">
        <v>7</v>
      </c>
      <c r="F3482" t="s">
        <v>8</v>
      </c>
      <c r="G3482" t="s">
        <v>9</v>
      </c>
      <c r="H3482" t="s">
        <v>10</v>
      </c>
      <c r="I3482" t="s">
        <v>5144</v>
      </c>
      <c r="J3482">
        <v>11.81</v>
      </c>
      <c r="K3482" t="e">
        <f>IF(COUNTIF(#REF!,Tabela2[[#This Row],[IdxWspolny]])&gt;0,"ELEM_lub_PRD","TECHN")</f>
        <v>#REF!</v>
      </c>
      <c r="L3482" t="e">
        <f>IF(COUNTIF(#REF!,Tabela2[[#This Row],[KOD_PRODUKTU]])&gt;0,"ELEMENT","PRODUKT")</f>
        <v>#REF!</v>
      </c>
      <c r="M3482" t="e">
        <f>COUNTIF(#REF!,Tabela2[[#This Row],[KOD_PRODUKTU]])</f>
        <v>#REF!</v>
      </c>
    </row>
    <row r="3483" spans="1:13" x14ac:dyDescent="0.25">
      <c r="A3483" s="1" t="s">
        <v>5166</v>
      </c>
      <c r="B3483" t="s">
        <v>5167</v>
      </c>
      <c r="C3483" s="1" t="s">
        <v>1203</v>
      </c>
      <c r="D3483" s="1" t="s">
        <v>1203</v>
      </c>
      <c r="E3483" s="1" t="s">
        <v>1203</v>
      </c>
      <c r="F3483" t="s">
        <v>1204</v>
      </c>
      <c r="G3483" t="s">
        <v>216</v>
      </c>
      <c r="H3483" t="s">
        <v>5</v>
      </c>
      <c r="I3483" t="s">
        <v>25</v>
      </c>
      <c r="J3483">
        <v>0.42</v>
      </c>
      <c r="K3483" t="e">
        <f>IF(COUNTIF(#REF!,Tabela2[[#This Row],[IdxWspolny]])&gt;0,"ELEM_lub_PRD","TECHN")</f>
        <v>#REF!</v>
      </c>
      <c r="L3483" t="e">
        <f>IF(COUNTIF(#REF!,Tabela2[[#This Row],[KOD_PRODUKTU]])&gt;0,"ELEMENT","PRODUKT")</f>
        <v>#REF!</v>
      </c>
      <c r="M3483" t="e">
        <f>COUNTIF(#REF!,Tabela2[[#This Row],[KOD_PRODUKTU]])</f>
        <v>#REF!</v>
      </c>
    </row>
    <row r="3484" spans="1:13" x14ac:dyDescent="0.25">
      <c r="A3484" s="1" t="s">
        <v>5166</v>
      </c>
      <c r="B3484" t="s">
        <v>5167</v>
      </c>
      <c r="C3484" s="1" t="s">
        <v>432</v>
      </c>
      <c r="D3484" s="1" t="s">
        <v>432</v>
      </c>
      <c r="E3484" s="1" t="s">
        <v>432</v>
      </c>
      <c r="F3484" t="s">
        <v>433</v>
      </c>
      <c r="G3484" t="s">
        <v>434</v>
      </c>
      <c r="H3484" t="s">
        <v>435</v>
      </c>
      <c r="I3484" t="s">
        <v>50</v>
      </c>
      <c r="J3484">
        <v>1.1000000000000001</v>
      </c>
      <c r="K3484" t="e">
        <f>IF(COUNTIF(#REF!,Tabela2[[#This Row],[IdxWspolny]])&gt;0,"ELEM_lub_PRD","TECHN")</f>
        <v>#REF!</v>
      </c>
      <c r="L3484" t="e">
        <f>IF(COUNTIF(#REF!,Tabela2[[#This Row],[KOD_PRODUKTU]])&gt;0,"ELEMENT","PRODUKT")</f>
        <v>#REF!</v>
      </c>
      <c r="M3484" t="e">
        <f>COUNTIF(#REF!,Tabela2[[#This Row],[KOD_PRODUKTU]])</f>
        <v>#REF!</v>
      </c>
    </row>
    <row r="3485" spans="1:13" x14ac:dyDescent="0.25">
      <c r="A3485" s="1" t="s">
        <v>5166</v>
      </c>
      <c r="B3485" t="s">
        <v>5167</v>
      </c>
      <c r="C3485" s="1" t="s">
        <v>541</v>
      </c>
      <c r="D3485" s="1" t="s">
        <v>541</v>
      </c>
      <c r="E3485" s="1" t="s">
        <v>541</v>
      </c>
      <c r="F3485" t="s">
        <v>542</v>
      </c>
      <c r="G3485" t="s">
        <v>9</v>
      </c>
      <c r="H3485" t="s">
        <v>10</v>
      </c>
      <c r="I3485" t="s">
        <v>5168</v>
      </c>
      <c r="J3485">
        <v>3.3</v>
      </c>
      <c r="K3485" t="e">
        <f>IF(COUNTIF(#REF!,Tabela2[[#This Row],[IdxWspolny]])&gt;0,"ELEM_lub_PRD","TECHN")</f>
        <v>#REF!</v>
      </c>
      <c r="L3485" t="e">
        <f>IF(COUNTIF(#REF!,Tabela2[[#This Row],[KOD_PRODUKTU]])&gt;0,"ELEMENT","PRODUKT")</f>
        <v>#REF!</v>
      </c>
      <c r="M3485" t="e">
        <f>COUNTIF(#REF!,Tabela2[[#This Row],[KOD_PRODUKTU]])</f>
        <v>#REF!</v>
      </c>
    </row>
    <row r="3486" spans="1:13" x14ac:dyDescent="0.25">
      <c r="A3486" s="1" t="s">
        <v>5169</v>
      </c>
      <c r="B3486" t="s">
        <v>5170</v>
      </c>
      <c r="C3486" s="1" t="s">
        <v>1188</v>
      </c>
      <c r="D3486" s="1" t="s">
        <v>1188</v>
      </c>
      <c r="E3486" s="1" t="s">
        <v>1188</v>
      </c>
      <c r="F3486" t="s">
        <v>1189</v>
      </c>
      <c r="G3486" t="s">
        <v>1190</v>
      </c>
      <c r="H3486" t="s">
        <v>5</v>
      </c>
      <c r="I3486" t="s">
        <v>1787</v>
      </c>
      <c r="J3486">
        <v>0.41</v>
      </c>
      <c r="K3486" t="e">
        <f>IF(COUNTIF(#REF!,Tabela2[[#This Row],[IdxWspolny]])&gt;0,"ELEM_lub_PRD","TECHN")</f>
        <v>#REF!</v>
      </c>
      <c r="L3486" t="e">
        <f>IF(COUNTIF(#REF!,Tabela2[[#This Row],[KOD_PRODUKTU]])&gt;0,"ELEMENT","PRODUKT")</f>
        <v>#REF!</v>
      </c>
      <c r="M3486" t="e">
        <f>COUNTIF(#REF!,Tabela2[[#This Row],[KOD_PRODUKTU]])</f>
        <v>#REF!</v>
      </c>
    </row>
    <row r="3487" spans="1:13" x14ac:dyDescent="0.25">
      <c r="A3487" s="1" t="s">
        <v>5169</v>
      </c>
      <c r="B3487" t="s">
        <v>5170</v>
      </c>
      <c r="C3487" s="1" t="s">
        <v>7</v>
      </c>
      <c r="D3487" s="1" t="s">
        <v>7</v>
      </c>
      <c r="E3487" s="1" t="s">
        <v>7</v>
      </c>
      <c r="F3487" t="s">
        <v>8</v>
      </c>
      <c r="G3487" t="s">
        <v>9</v>
      </c>
      <c r="H3487" t="s">
        <v>10</v>
      </c>
      <c r="I3487" t="s">
        <v>367</v>
      </c>
      <c r="J3487">
        <v>2.2999999999999998</v>
      </c>
      <c r="K3487" t="e">
        <f>IF(COUNTIF(#REF!,Tabela2[[#This Row],[IdxWspolny]])&gt;0,"ELEM_lub_PRD","TECHN")</f>
        <v>#REF!</v>
      </c>
      <c r="L3487" t="e">
        <f>IF(COUNTIF(#REF!,Tabela2[[#This Row],[KOD_PRODUKTU]])&gt;0,"ELEMENT","PRODUKT")</f>
        <v>#REF!</v>
      </c>
      <c r="M3487" t="e">
        <f>COUNTIF(#REF!,Tabela2[[#This Row],[KOD_PRODUKTU]])</f>
        <v>#REF!</v>
      </c>
    </row>
    <row r="3488" spans="1:13" x14ac:dyDescent="0.25">
      <c r="A3488" s="1" t="s">
        <v>3532</v>
      </c>
      <c r="B3488" t="s">
        <v>5171</v>
      </c>
      <c r="C3488" s="1" t="s">
        <v>684</v>
      </c>
      <c r="D3488" s="1" t="s">
        <v>684</v>
      </c>
      <c r="E3488" s="1" t="s">
        <v>684</v>
      </c>
      <c r="F3488" t="s">
        <v>685</v>
      </c>
      <c r="G3488" t="s">
        <v>686</v>
      </c>
      <c r="H3488" t="s">
        <v>49</v>
      </c>
      <c r="I3488" t="s">
        <v>5172</v>
      </c>
      <c r="J3488">
        <v>12.5</v>
      </c>
      <c r="K3488" t="e">
        <f>IF(COUNTIF(#REF!,Tabela2[[#This Row],[IdxWspolny]])&gt;0,"ELEM_lub_PRD","TECHN")</f>
        <v>#REF!</v>
      </c>
      <c r="L3488" t="e">
        <f>IF(COUNTIF(#REF!,Tabela2[[#This Row],[KOD_PRODUKTU]])&gt;0,"ELEMENT","PRODUKT")</f>
        <v>#REF!</v>
      </c>
      <c r="M3488" t="e">
        <f>COUNTIF(#REF!,Tabela2[[#This Row],[KOD_PRODUKTU]])</f>
        <v>#REF!</v>
      </c>
    </row>
    <row r="3489" spans="1:14" x14ac:dyDescent="0.25">
      <c r="A3489" s="1" t="s">
        <v>3532</v>
      </c>
      <c r="B3489" t="s">
        <v>5171</v>
      </c>
      <c r="C3489" s="1" t="s">
        <v>541</v>
      </c>
      <c r="D3489" s="1" t="s">
        <v>541</v>
      </c>
      <c r="E3489" s="1" t="s">
        <v>541</v>
      </c>
      <c r="F3489" t="s">
        <v>542</v>
      </c>
      <c r="G3489" t="s">
        <v>9</v>
      </c>
      <c r="H3489" t="s">
        <v>10</v>
      </c>
      <c r="I3489" t="s">
        <v>5173</v>
      </c>
      <c r="J3489">
        <v>17.63</v>
      </c>
      <c r="K3489" t="e">
        <f>IF(COUNTIF(#REF!,Tabela2[[#This Row],[IdxWspolny]])&gt;0,"ELEM_lub_PRD","TECHN")</f>
        <v>#REF!</v>
      </c>
      <c r="L3489" t="e">
        <f>IF(COUNTIF(#REF!,Tabela2[[#This Row],[KOD_PRODUKTU]])&gt;0,"ELEMENT","PRODUKT")</f>
        <v>#REF!</v>
      </c>
      <c r="M3489" t="e">
        <f>COUNTIF(#REF!,Tabela2[[#This Row],[KOD_PRODUKTU]])</f>
        <v>#REF!</v>
      </c>
    </row>
    <row r="3490" spans="1:14" x14ac:dyDescent="0.25">
      <c r="A3490" s="1" t="s">
        <v>5174</v>
      </c>
      <c r="B3490" t="s">
        <v>5175</v>
      </c>
      <c r="C3490" s="1" t="s">
        <v>3087</v>
      </c>
      <c r="D3490" s="1" t="s">
        <v>3087</v>
      </c>
      <c r="E3490" s="1" t="s">
        <v>3087</v>
      </c>
      <c r="F3490" t="s">
        <v>3088</v>
      </c>
      <c r="G3490" t="s">
        <v>3089</v>
      </c>
      <c r="H3490" t="s">
        <v>17</v>
      </c>
      <c r="I3490" t="s">
        <v>5176</v>
      </c>
      <c r="J3490">
        <v>6.82</v>
      </c>
      <c r="K3490" t="e">
        <f>IF(COUNTIF(#REF!,Tabela2[[#This Row],[IdxWspolny]])&gt;0,"ELEM_lub_PRD","TECHN")</f>
        <v>#REF!</v>
      </c>
      <c r="L3490" t="e">
        <f>IF(COUNTIF(#REF!,Tabela2[[#This Row],[KOD_PRODUKTU]])&gt;0,"ELEMENT","PRODUKT")</f>
        <v>#REF!</v>
      </c>
      <c r="M3490" t="e">
        <f>COUNTIF(#REF!,Tabela2[[#This Row],[KOD_PRODUKTU]])</f>
        <v>#REF!</v>
      </c>
    </row>
    <row r="3491" spans="1:14" x14ac:dyDescent="0.25">
      <c r="A3491" s="1" t="s">
        <v>5174</v>
      </c>
      <c r="B3491" t="s">
        <v>5175</v>
      </c>
      <c r="C3491" s="1" t="s">
        <v>541</v>
      </c>
      <c r="D3491" s="1" t="s">
        <v>541</v>
      </c>
      <c r="E3491" s="1" t="s">
        <v>541</v>
      </c>
      <c r="F3491" t="s">
        <v>542</v>
      </c>
      <c r="G3491" t="s">
        <v>9</v>
      </c>
      <c r="H3491" t="s">
        <v>10</v>
      </c>
      <c r="I3491" t="s">
        <v>5177</v>
      </c>
      <c r="J3491">
        <v>3.89</v>
      </c>
      <c r="K3491" t="e">
        <f>IF(COUNTIF(#REF!,Tabela2[[#This Row],[IdxWspolny]])&gt;0,"ELEM_lub_PRD","TECHN")</f>
        <v>#REF!</v>
      </c>
      <c r="L3491" t="e">
        <f>IF(COUNTIF(#REF!,Tabela2[[#This Row],[KOD_PRODUKTU]])&gt;0,"ELEMENT","PRODUKT")</f>
        <v>#REF!</v>
      </c>
      <c r="M3491" t="e">
        <f>COUNTIF(#REF!,Tabela2[[#This Row],[KOD_PRODUKTU]])</f>
        <v>#REF!</v>
      </c>
    </row>
    <row r="3492" spans="1:14" x14ac:dyDescent="0.25">
      <c r="A3492" s="1" t="s">
        <v>5178</v>
      </c>
      <c r="B3492" t="s">
        <v>5179</v>
      </c>
      <c r="C3492" s="1" t="s">
        <v>3317</v>
      </c>
      <c r="D3492" s="1" t="s">
        <v>3317</v>
      </c>
      <c r="E3492" s="1" t="s">
        <v>3317</v>
      </c>
      <c r="F3492" t="s">
        <v>3318</v>
      </c>
      <c r="G3492" t="s">
        <v>1017</v>
      </c>
      <c r="H3492" t="s">
        <v>5</v>
      </c>
      <c r="I3492" t="s">
        <v>1961</v>
      </c>
      <c r="J3492">
        <v>3.13</v>
      </c>
      <c r="K3492" t="e">
        <f>IF(COUNTIF(#REF!,Tabela2[[#This Row],[IdxWspolny]])&gt;0,"ELEM_lub_PRD","TECHN")</f>
        <v>#REF!</v>
      </c>
      <c r="L3492" t="e">
        <f>IF(COUNTIF(#REF!,Tabela2[[#This Row],[KOD_PRODUKTU]])&gt;0,"ELEMENT","PRODUKT")</f>
        <v>#REF!</v>
      </c>
      <c r="M3492" t="e">
        <f>COUNTIF(#REF!,Tabela2[[#This Row],[KOD_PRODUKTU]])</f>
        <v>#REF!</v>
      </c>
    </row>
    <row r="3493" spans="1:14" x14ac:dyDescent="0.25">
      <c r="A3493" s="1" t="s">
        <v>5178</v>
      </c>
      <c r="B3493" t="s">
        <v>5179</v>
      </c>
      <c r="C3493" s="1" t="s">
        <v>541</v>
      </c>
      <c r="D3493" s="1" t="s">
        <v>541</v>
      </c>
      <c r="E3493" s="1" t="s">
        <v>541</v>
      </c>
      <c r="F3493" t="s">
        <v>542</v>
      </c>
      <c r="G3493" t="s">
        <v>9</v>
      </c>
      <c r="H3493" t="s">
        <v>10</v>
      </c>
      <c r="I3493" t="s">
        <v>3514</v>
      </c>
      <c r="J3493">
        <v>4.8499999999999996</v>
      </c>
      <c r="K3493" t="e">
        <f>IF(COUNTIF(#REF!,Tabela2[[#This Row],[IdxWspolny]])&gt;0,"ELEM_lub_PRD","TECHN")</f>
        <v>#REF!</v>
      </c>
      <c r="L3493" t="e">
        <f>IF(COUNTIF(#REF!,Tabela2[[#This Row],[KOD_PRODUKTU]])&gt;0,"ELEMENT","PRODUKT")</f>
        <v>#REF!</v>
      </c>
      <c r="M3493" t="e">
        <f>COUNTIF(#REF!,Tabela2[[#This Row],[KOD_PRODUKTU]])</f>
        <v>#REF!</v>
      </c>
    </row>
    <row r="3494" spans="1:14" x14ac:dyDescent="0.25">
      <c r="A3494" s="1" t="s">
        <v>5180</v>
      </c>
      <c r="B3494" t="s">
        <v>5181</v>
      </c>
      <c r="C3494" s="1" t="s">
        <v>3087</v>
      </c>
      <c r="D3494" s="1" t="s">
        <v>3087</v>
      </c>
      <c r="E3494" s="1" t="s">
        <v>3087</v>
      </c>
      <c r="F3494" t="s">
        <v>3088</v>
      </c>
      <c r="G3494" t="s">
        <v>3089</v>
      </c>
      <c r="H3494" t="s">
        <v>17</v>
      </c>
      <c r="I3494" t="s">
        <v>19</v>
      </c>
      <c r="J3494">
        <v>7.37</v>
      </c>
      <c r="K3494" t="e">
        <f>IF(COUNTIF(#REF!,Tabela2[[#This Row],[IdxWspolny]])&gt;0,"ELEM_lub_PRD","TECHN")</f>
        <v>#REF!</v>
      </c>
      <c r="L3494" t="e">
        <f>IF(COUNTIF(#REF!,Tabela2[[#This Row],[KOD_PRODUKTU]])&gt;0,"ELEMENT","PRODUKT")</f>
        <v>#REF!</v>
      </c>
      <c r="M3494" t="e">
        <f>COUNTIF(#REF!,Tabela2[[#This Row],[KOD_PRODUKTU]])</f>
        <v>#REF!</v>
      </c>
    </row>
    <row r="3495" spans="1:14" x14ac:dyDescent="0.25">
      <c r="A3495" s="1" t="s">
        <v>5180</v>
      </c>
      <c r="B3495" t="s">
        <v>5181</v>
      </c>
      <c r="C3495" s="1" t="s">
        <v>7</v>
      </c>
      <c r="D3495" s="1" t="s">
        <v>7</v>
      </c>
      <c r="E3495" s="1" t="s">
        <v>7</v>
      </c>
      <c r="F3495" t="s">
        <v>8</v>
      </c>
      <c r="G3495" t="s">
        <v>9</v>
      </c>
      <c r="H3495" t="s">
        <v>10</v>
      </c>
      <c r="I3495" t="s">
        <v>4203</v>
      </c>
      <c r="J3495">
        <v>7.23</v>
      </c>
      <c r="K3495" t="e">
        <f>IF(COUNTIF(#REF!,Tabela2[[#This Row],[IdxWspolny]])&gt;0,"ELEM_lub_PRD","TECHN")</f>
        <v>#REF!</v>
      </c>
      <c r="L3495" t="e">
        <f>IF(COUNTIF(#REF!,Tabela2[[#This Row],[KOD_PRODUKTU]])&gt;0,"ELEMENT","PRODUKT")</f>
        <v>#REF!</v>
      </c>
      <c r="M3495" t="e">
        <f>COUNTIF(#REF!,Tabela2[[#This Row],[KOD_PRODUKTU]])</f>
        <v>#REF!</v>
      </c>
    </row>
    <row r="3496" spans="1:14" x14ac:dyDescent="0.25">
      <c r="A3496" s="1" t="s">
        <v>5182</v>
      </c>
      <c r="B3496" t="s">
        <v>5183</v>
      </c>
      <c r="C3496" s="1" t="s">
        <v>5184</v>
      </c>
      <c r="D3496" s="1" t="s">
        <v>5184</v>
      </c>
      <c r="E3496" s="1" t="s">
        <v>5184</v>
      </c>
      <c r="F3496" t="s">
        <v>5185</v>
      </c>
      <c r="G3496" t="s">
        <v>1768</v>
      </c>
      <c r="H3496" t="s">
        <v>17</v>
      </c>
      <c r="I3496" t="s">
        <v>367</v>
      </c>
      <c r="J3496">
        <v>0</v>
      </c>
      <c r="K3496" t="e">
        <f>IF(COUNTIF(#REF!,Tabela2[[#This Row],[IdxWspolny]])&gt;0,"ELEM_lub_PRD","TECHN")</f>
        <v>#REF!</v>
      </c>
      <c r="L3496" t="e">
        <f>IF(COUNTIF(#REF!,Tabela2[[#This Row],[KOD_PRODUKTU]])&gt;0,"ELEMENT","PRODUKT")</f>
        <v>#REF!</v>
      </c>
      <c r="M3496" t="e">
        <f>COUNTIF(#REF!,Tabela2[[#This Row],[KOD_PRODUKTU]])</f>
        <v>#REF!</v>
      </c>
    </row>
    <row r="3497" spans="1:14" x14ac:dyDescent="0.25">
      <c r="A3497" s="1" t="s">
        <v>5182</v>
      </c>
      <c r="B3497" t="s">
        <v>5183</v>
      </c>
      <c r="C3497" s="1" t="s">
        <v>541</v>
      </c>
      <c r="D3497" s="1" t="s">
        <v>541</v>
      </c>
      <c r="E3497" s="1" t="s">
        <v>541</v>
      </c>
      <c r="F3497" t="s">
        <v>542</v>
      </c>
      <c r="G3497" t="s">
        <v>9</v>
      </c>
      <c r="H3497" t="s">
        <v>10</v>
      </c>
      <c r="I3497" t="s">
        <v>4203</v>
      </c>
      <c r="J3497">
        <v>7.23</v>
      </c>
      <c r="K3497" t="e">
        <f>IF(COUNTIF(#REF!,Tabela2[[#This Row],[IdxWspolny]])&gt;0,"ELEM_lub_PRD","TECHN")</f>
        <v>#REF!</v>
      </c>
      <c r="L3497" t="e">
        <f>IF(COUNTIF(#REF!,Tabela2[[#This Row],[KOD_PRODUKTU]])&gt;0,"ELEMENT","PRODUKT")</f>
        <v>#REF!</v>
      </c>
      <c r="M3497" t="e">
        <f>COUNTIF(#REF!,Tabela2[[#This Row],[KOD_PRODUKTU]])</f>
        <v>#REF!</v>
      </c>
    </row>
    <row r="3498" spans="1:14" x14ac:dyDescent="0.25">
      <c r="A3498" s="1" t="s">
        <v>5186</v>
      </c>
      <c r="B3498" t="s">
        <v>5187</v>
      </c>
      <c r="C3498" s="1" t="s">
        <v>1162</v>
      </c>
      <c r="D3498" s="1" t="s">
        <v>1162</v>
      </c>
      <c r="E3498" s="1" t="s">
        <v>1162</v>
      </c>
      <c r="F3498" t="s">
        <v>1163</v>
      </c>
      <c r="G3498" t="s">
        <v>291</v>
      </c>
      <c r="H3498" t="s">
        <v>5</v>
      </c>
      <c r="I3498" t="s">
        <v>478</v>
      </c>
      <c r="J3498">
        <v>0.53</v>
      </c>
      <c r="K3498" t="e">
        <f>IF(COUNTIF(#REF!,Tabela2[[#This Row],[IdxWspolny]])&gt;0,"ELEM_lub_PRD","TECHN")</f>
        <v>#REF!</v>
      </c>
      <c r="L3498" t="e">
        <f>IF(COUNTIF(#REF!,Tabela2[[#This Row],[KOD_PRODUKTU]])&gt;0,"ELEMENT","PRODUKT")</f>
        <v>#REF!</v>
      </c>
      <c r="M3498" t="e">
        <f>COUNTIF(#REF!,Tabela2[[#This Row],[KOD_PRODUKTU]])</f>
        <v>#REF!</v>
      </c>
    </row>
    <row r="3499" spans="1:14" x14ac:dyDescent="0.25">
      <c r="A3499" s="1" t="s">
        <v>5186</v>
      </c>
      <c r="B3499" t="s">
        <v>5187</v>
      </c>
      <c r="C3499" s="1" t="s">
        <v>541</v>
      </c>
      <c r="D3499" s="1" t="s">
        <v>541</v>
      </c>
      <c r="E3499" s="1" t="s">
        <v>541</v>
      </c>
      <c r="F3499" t="s">
        <v>542</v>
      </c>
      <c r="G3499" t="s">
        <v>9</v>
      </c>
      <c r="H3499" t="s">
        <v>10</v>
      </c>
      <c r="I3499" t="s">
        <v>5188</v>
      </c>
      <c r="J3499">
        <v>2.46</v>
      </c>
      <c r="K3499" t="e">
        <f>IF(COUNTIF(#REF!,Tabela2[[#This Row],[IdxWspolny]])&gt;0,"ELEM_lub_PRD","TECHN")</f>
        <v>#REF!</v>
      </c>
      <c r="L3499" t="e">
        <f>IF(COUNTIF(#REF!,Tabela2[[#This Row],[KOD_PRODUKTU]])&gt;0,"ELEMENT","PRODUKT")</f>
        <v>#REF!</v>
      </c>
      <c r="M3499" t="e">
        <f>COUNTIF(#REF!,Tabela2[[#This Row],[KOD_PRODUKTU]])</f>
        <v>#REF!</v>
      </c>
    </row>
    <row r="3500" spans="1:14" hidden="1" x14ac:dyDescent="0.25">
      <c r="A3500" s="1" t="s">
        <v>2800</v>
      </c>
      <c r="B3500" t="s">
        <v>5189</v>
      </c>
      <c r="C3500" s="1" t="s">
        <v>5190</v>
      </c>
      <c r="D3500" s="1" t="s">
        <v>5190</v>
      </c>
      <c r="E3500" s="1" t="s">
        <v>5190</v>
      </c>
      <c r="F3500" t="s">
        <v>5191</v>
      </c>
      <c r="G3500" t="s">
        <v>5192</v>
      </c>
      <c r="H3500" t="s">
        <v>121</v>
      </c>
      <c r="I3500" t="s">
        <v>50</v>
      </c>
      <c r="J3500">
        <v>84.8</v>
      </c>
      <c r="K3500" t="e">
        <f>IF(COUNTIF(#REF!,Tabela2[[#This Row],[IdxWspolny]])&gt;0,"ELEM_lub_PRD","TECHN")</f>
        <v>#REF!</v>
      </c>
      <c r="L3500" t="e">
        <f>IF(COUNTIF(#REF!,Tabela2[[#This Row],[KOD_PRODUKTU]])&gt;0,"ELEMENT","PRODUKT")</f>
        <v>#REF!</v>
      </c>
      <c r="M3500" t="e">
        <f>COUNTIF(#REF!,Tabela2[[#This Row],[KOD_PRODUKTU]])</f>
        <v>#REF!</v>
      </c>
      <c r="N3500" t="s">
        <v>55</v>
      </c>
    </row>
    <row r="3501" spans="1:14" x14ac:dyDescent="0.25">
      <c r="A3501" s="1" t="s">
        <v>2800</v>
      </c>
      <c r="B3501" t="s">
        <v>5189</v>
      </c>
      <c r="C3501" s="1" t="s">
        <v>7</v>
      </c>
      <c r="D3501" s="1" t="s">
        <v>7</v>
      </c>
      <c r="E3501" s="1" t="s">
        <v>7</v>
      </c>
      <c r="F3501" t="s">
        <v>8</v>
      </c>
      <c r="G3501" t="s">
        <v>9</v>
      </c>
      <c r="H3501" t="s">
        <v>10</v>
      </c>
      <c r="I3501" t="s">
        <v>5193</v>
      </c>
      <c r="J3501">
        <v>72.48</v>
      </c>
      <c r="K3501" t="e">
        <f>IF(COUNTIF(#REF!,Tabela2[[#This Row],[IdxWspolny]])&gt;0,"ELEM_lub_PRD","TECHN")</f>
        <v>#REF!</v>
      </c>
      <c r="L3501" t="e">
        <f>IF(COUNTIF(#REF!,Tabela2[[#This Row],[KOD_PRODUKTU]])&gt;0,"ELEMENT","PRODUKT")</f>
        <v>#REF!</v>
      </c>
      <c r="M3501" t="e">
        <f>COUNTIF(#REF!,Tabela2[[#This Row],[KOD_PRODUKTU]])</f>
        <v>#REF!</v>
      </c>
    </row>
    <row r="3502" spans="1:14" x14ac:dyDescent="0.25">
      <c r="A3502" s="1" t="s">
        <v>5190</v>
      </c>
      <c r="B3502" t="s">
        <v>5194</v>
      </c>
      <c r="C3502" s="1" t="s">
        <v>1249</v>
      </c>
      <c r="D3502" s="1" t="s">
        <v>1249</v>
      </c>
      <c r="E3502" s="1" t="s">
        <v>1249</v>
      </c>
      <c r="F3502" t="s">
        <v>1250</v>
      </c>
      <c r="G3502" t="s">
        <v>1251</v>
      </c>
      <c r="H3502" t="s">
        <v>1252</v>
      </c>
      <c r="I3502" t="s">
        <v>1006</v>
      </c>
      <c r="J3502">
        <v>48</v>
      </c>
      <c r="K3502" t="e">
        <f>IF(COUNTIF(#REF!,Tabela2[[#This Row],[IdxWspolny]])&gt;0,"ELEM_lub_PRD","TECHN")</f>
        <v>#REF!</v>
      </c>
      <c r="L3502" t="e">
        <f>IF(COUNTIF(#REF!,Tabela2[[#This Row],[KOD_PRODUKTU]])&gt;0,"ELEMENT","PRODUKT")</f>
        <v>#REF!</v>
      </c>
      <c r="M3502" t="e">
        <f>COUNTIF(#REF!,Tabela2[[#This Row],[KOD_PRODUKTU]])</f>
        <v>#REF!</v>
      </c>
    </row>
    <row r="3503" spans="1:14" x14ac:dyDescent="0.25">
      <c r="A3503" s="1" t="s">
        <v>5190</v>
      </c>
      <c r="B3503" t="s">
        <v>5194</v>
      </c>
      <c r="C3503" s="1" t="s">
        <v>7</v>
      </c>
      <c r="D3503" s="1" t="s">
        <v>7</v>
      </c>
      <c r="E3503" s="1" t="s">
        <v>7</v>
      </c>
      <c r="F3503" t="s">
        <v>8</v>
      </c>
      <c r="G3503" t="s">
        <v>9</v>
      </c>
      <c r="H3503" t="s">
        <v>10</v>
      </c>
      <c r="I3503" t="s">
        <v>2214</v>
      </c>
      <c r="J3503">
        <v>36.799999999999997</v>
      </c>
      <c r="K3503" t="e">
        <f>IF(COUNTIF(#REF!,Tabela2[[#This Row],[IdxWspolny]])&gt;0,"ELEM_lub_PRD","TECHN")</f>
        <v>#REF!</v>
      </c>
      <c r="L3503" t="e">
        <f>IF(COUNTIF(#REF!,Tabela2[[#This Row],[KOD_PRODUKTU]])&gt;0,"ELEMENT","PRODUKT")</f>
        <v>#REF!</v>
      </c>
      <c r="M3503" t="e">
        <f>COUNTIF(#REF!,Tabela2[[#This Row],[KOD_PRODUKTU]])</f>
        <v>#REF!</v>
      </c>
    </row>
    <row r="3504" spans="1:14" hidden="1" x14ac:dyDescent="0.25">
      <c r="A3504" s="1" t="s">
        <v>2803</v>
      </c>
      <c r="B3504" t="s">
        <v>5195</v>
      </c>
      <c r="C3504" s="1" t="s">
        <v>5196</v>
      </c>
      <c r="D3504" s="1" t="s">
        <v>5196</v>
      </c>
      <c r="E3504" s="1" t="s">
        <v>5196</v>
      </c>
      <c r="F3504" t="s">
        <v>5197</v>
      </c>
      <c r="G3504" t="s">
        <v>5198</v>
      </c>
      <c r="H3504" t="s">
        <v>121</v>
      </c>
      <c r="I3504" t="s">
        <v>50</v>
      </c>
      <c r="J3504">
        <v>73.52</v>
      </c>
      <c r="K3504" t="e">
        <f>IF(COUNTIF(#REF!,Tabela2[[#This Row],[IdxWspolny]])&gt;0,"ELEM_lub_PRD","TECHN")</f>
        <v>#REF!</v>
      </c>
      <c r="L3504" t="e">
        <f>IF(COUNTIF(#REF!,Tabela2[[#This Row],[KOD_PRODUKTU]])&gt;0,"ELEMENT","PRODUKT")</f>
        <v>#REF!</v>
      </c>
      <c r="M3504" t="e">
        <f>COUNTIF(#REF!,Tabela2[[#This Row],[KOD_PRODUKTU]])</f>
        <v>#REF!</v>
      </c>
      <c r="N3504" t="s">
        <v>55</v>
      </c>
    </row>
    <row r="3505" spans="1:14" x14ac:dyDescent="0.25">
      <c r="A3505" s="1" t="s">
        <v>2803</v>
      </c>
      <c r="B3505" t="s">
        <v>5195</v>
      </c>
      <c r="C3505" s="1" t="s">
        <v>7</v>
      </c>
      <c r="D3505" s="1" t="s">
        <v>7</v>
      </c>
      <c r="E3505" s="1" t="s">
        <v>7</v>
      </c>
      <c r="F3505" t="s">
        <v>8</v>
      </c>
      <c r="G3505" t="s">
        <v>9</v>
      </c>
      <c r="H3505" t="s">
        <v>10</v>
      </c>
      <c r="I3505" t="s">
        <v>5199</v>
      </c>
      <c r="J3505">
        <v>48.63</v>
      </c>
      <c r="K3505" t="e">
        <f>IF(COUNTIF(#REF!,Tabela2[[#This Row],[IdxWspolny]])&gt;0,"ELEM_lub_PRD","TECHN")</f>
        <v>#REF!</v>
      </c>
      <c r="L3505" t="e">
        <f>IF(COUNTIF(#REF!,Tabela2[[#This Row],[KOD_PRODUKTU]])&gt;0,"ELEMENT","PRODUKT")</f>
        <v>#REF!</v>
      </c>
      <c r="M3505" t="e">
        <f>COUNTIF(#REF!,Tabela2[[#This Row],[KOD_PRODUKTU]])</f>
        <v>#REF!</v>
      </c>
    </row>
    <row r="3506" spans="1:14" x14ac:dyDescent="0.25">
      <c r="A3506" s="1" t="s">
        <v>5196</v>
      </c>
      <c r="B3506" t="s">
        <v>5200</v>
      </c>
      <c r="C3506" s="1" t="s">
        <v>1249</v>
      </c>
      <c r="D3506" s="1" t="s">
        <v>1249</v>
      </c>
      <c r="E3506" s="1" t="s">
        <v>1249</v>
      </c>
      <c r="F3506" t="s">
        <v>1250</v>
      </c>
      <c r="G3506" t="s">
        <v>1251</v>
      </c>
      <c r="H3506" t="s">
        <v>1252</v>
      </c>
      <c r="I3506" t="s">
        <v>5201</v>
      </c>
      <c r="J3506">
        <v>36.72</v>
      </c>
      <c r="K3506" t="e">
        <f>IF(COUNTIF(#REF!,Tabela2[[#This Row],[IdxWspolny]])&gt;0,"ELEM_lub_PRD","TECHN")</f>
        <v>#REF!</v>
      </c>
      <c r="L3506" t="e">
        <f>IF(COUNTIF(#REF!,Tabela2[[#This Row],[KOD_PRODUKTU]])&gt;0,"ELEMENT","PRODUKT")</f>
        <v>#REF!</v>
      </c>
      <c r="M3506" t="e">
        <f>COUNTIF(#REF!,Tabela2[[#This Row],[KOD_PRODUKTU]])</f>
        <v>#REF!</v>
      </c>
    </row>
    <row r="3507" spans="1:14" x14ac:dyDescent="0.25">
      <c r="A3507" s="1" t="s">
        <v>5196</v>
      </c>
      <c r="B3507" t="s">
        <v>5200</v>
      </c>
      <c r="C3507" s="1" t="s">
        <v>541</v>
      </c>
      <c r="D3507" s="1" t="s">
        <v>541</v>
      </c>
      <c r="E3507" s="1" t="s">
        <v>541</v>
      </c>
      <c r="F3507" t="s">
        <v>542</v>
      </c>
      <c r="G3507" t="s">
        <v>9</v>
      </c>
      <c r="H3507" t="s">
        <v>10</v>
      </c>
      <c r="I3507" t="s">
        <v>2214</v>
      </c>
      <c r="J3507">
        <v>36.799999999999997</v>
      </c>
      <c r="K3507" t="e">
        <f>IF(COUNTIF(#REF!,Tabela2[[#This Row],[IdxWspolny]])&gt;0,"ELEM_lub_PRD","TECHN")</f>
        <v>#REF!</v>
      </c>
      <c r="L3507" t="e">
        <f>IF(COUNTIF(#REF!,Tabela2[[#This Row],[KOD_PRODUKTU]])&gt;0,"ELEMENT","PRODUKT")</f>
        <v>#REF!</v>
      </c>
      <c r="M3507" t="e">
        <f>COUNTIF(#REF!,Tabela2[[#This Row],[KOD_PRODUKTU]])</f>
        <v>#REF!</v>
      </c>
    </row>
    <row r="3508" spans="1:14" hidden="1" x14ac:dyDescent="0.25">
      <c r="A3508" s="1" t="s">
        <v>2806</v>
      </c>
      <c r="B3508" t="s">
        <v>5202</v>
      </c>
      <c r="C3508" s="1" t="s">
        <v>5203</v>
      </c>
      <c r="D3508" s="1" t="s">
        <v>5203</v>
      </c>
      <c r="E3508" s="1" t="s">
        <v>5203</v>
      </c>
      <c r="F3508" t="s">
        <v>5204</v>
      </c>
      <c r="G3508" t="s">
        <v>5192</v>
      </c>
      <c r="H3508" t="s">
        <v>121</v>
      </c>
      <c r="I3508" t="s">
        <v>50</v>
      </c>
      <c r="J3508">
        <v>84.8</v>
      </c>
      <c r="K3508" t="e">
        <f>IF(COUNTIF(#REF!,Tabela2[[#This Row],[IdxWspolny]])&gt;0,"ELEM_lub_PRD","TECHN")</f>
        <v>#REF!</v>
      </c>
      <c r="L3508" t="e">
        <f>IF(COUNTIF(#REF!,Tabela2[[#This Row],[KOD_PRODUKTU]])&gt;0,"ELEMENT","PRODUKT")</f>
        <v>#REF!</v>
      </c>
      <c r="M3508" t="e">
        <f>COUNTIF(#REF!,Tabela2[[#This Row],[KOD_PRODUKTU]])</f>
        <v>#REF!</v>
      </c>
      <c r="N3508" t="s">
        <v>55</v>
      </c>
    </row>
    <row r="3509" spans="1:14" x14ac:dyDescent="0.25">
      <c r="A3509" s="1" t="s">
        <v>2806</v>
      </c>
      <c r="B3509" t="s">
        <v>5202</v>
      </c>
      <c r="C3509" s="1" t="s">
        <v>7</v>
      </c>
      <c r="D3509" s="1" t="s">
        <v>7</v>
      </c>
      <c r="E3509" s="1" t="s">
        <v>7</v>
      </c>
      <c r="F3509" t="s">
        <v>8</v>
      </c>
      <c r="G3509" t="s">
        <v>9</v>
      </c>
      <c r="H3509" t="s">
        <v>10</v>
      </c>
      <c r="I3509" t="s">
        <v>5205</v>
      </c>
      <c r="J3509">
        <v>93.31</v>
      </c>
      <c r="K3509" t="e">
        <f>IF(COUNTIF(#REF!,Tabela2[[#This Row],[IdxWspolny]])&gt;0,"ELEM_lub_PRD","TECHN")</f>
        <v>#REF!</v>
      </c>
      <c r="L3509" t="e">
        <f>IF(COUNTIF(#REF!,Tabela2[[#This Row],[KOD_PRODUKTU]])&gt;0,"ELEMENT","PRODUKT")</f>
        <v>#REF!</v>
      </c>
      <c r="M3509" t="e">
        <f>COUNTIF(#REF!,Tabela2[[#This Row],[KOD_PRODUKTU]])</f>
        <v>#REF!</v>
      </c>
    </row>
    <row r="3510" spans="1:14" x14ac:dyDescent="0.25">
      <c r="A3510" s="1" t="s">
        <v>5203</v>
      </c>
      <c r="B3510" t="s">
        <v>5206</v>
      </c>
      <c r="C3510" s="1" t="s">
        <v>1249</v>
      </c>
      <c r="D3510" s="1" t="s">
        <v>1249</v>
      </c>
      <c r="E3510" s="1" t="s">
        <v>1249</v>
      </c>
      <c r="F3510" t="s">
        <v>1250</v>
      </c>
      <c r="G3510" t="s">
        <v>1251</v>
      </c>
      <c r="H3510" t="s">
        <v>1252</v>
      </c>
      <c r="I3510" t="s">
        <v>1006</v>
      </c>
      <c r="J3510">
        <v>48</v>
      </c>
      <c r="K3510" t="e">
        <f>IF(COUNTIF(#REF!,Tabela2[[#This Row],[IdxWspolny]])&gt;0,"ELEM_lub_PRD","TECHN")</f>
        <v>#REF!</v>
      </c>
      <c r="L3510" t="e">
        <f>IF(COUNTIF(#REF!,Tabela2[[#This Row],[KOD_PRODUKTU]])&gt;0,"ELEMENT","PRODUKT")</f>
        <v>#REF!</v>
      </c>
      <c r="M3510" t="e">
        <f>COUNTIF(#REF!,Tabela2[[#This Row],[KOD_PRODUKTU]])</f>
        <v>#REF!</v>
      </c>
    </row>
    <row r="3511" spans="1:14" x14ac:dyDescent="0.25">
      <c r="A3511" s="1" t="s">
        <v>5203</v>
      </c>
      <c r="B3511" t="s">
        <v>5206</v>
      </c>
      <c r="C3511" s="1" t="s">
        <v>7</v>
      </c>
      <c r="D3511" s="1" t="s">
        <v>7</v>
      </c>
      <c r="E3511" s="1" t="s">
        <v>7</v>
      </c>
      <c r="F3511" t="s">
        <v>8</v>
      </c>
      <c r="G3511" t="s">
        <v>9</v>
      </c>
      <c r="H3511" t="s">
        <v>10</v>
      </c>
      <c r="I3511" t="s">
        <v>2214</v>
      </c>
      <c r="J3511">
        <v>36.799999999999997</v>
      </c>
      <c r="K3511" t="e">
        <f>IF(COUNTIF(#REF!,Tabela2[[#This Row],[IdxWspolny]])&gt;0,"ELEM_lub_PRD","TECHN")</f>
        <v>#REF!</v>
      </c>
      <c r="L3511" t="e">
        <f>IF(COUNTIF(#REF!,Tabela2[[#This Row],[KOD_PRODUKTU]])&gt;0,"ELEMENT","PRODUKT")</f>
        <v>#REF!</v>
      </c>
      <c r="M3511" t="e">
        <f>COUNTIF(#REF!,Tabela2[[#This Row],[KOD_PRODUKTU]])</f>
        <v>#REF!</v>
      </c>
    </row>
    <row r="3512" spans="1:14" hidden="1" x14ac:dyDescent="0.25">
      <c r="A3512" s="1" t="s">
        <v>2809</v>
      </c>
      <c r="B3512" t="s">
        <v>2810</v>
      </c>
      <c r="C3512" s="1" t="s">
        <v>5207</v>
      </c>
      <c r="D3512" s="1" t="s">
        <v>5207</v>
      </c>
      <c r="E3512" s="1" t="s">
        <v>5207</v>
      </c>
      <c r="F3512" t="s">
        <v>5208</v>
      </c>
      <c r="G3512" t="s">
        <v>5209</v>
      </c>
      <c r="H3512" t="s">
        <v>121</v>
      </c>
      <c r="I3512" t="s">
        <v>50</v>
      </c>
      <c r="J3512">
        <v>39.799999999999997</v>
      </c>
      <c r="K3512" t="e">
        <f>IF(COUNTIF(#REF!,Tabela2[[#This Row],[IdxWspolny]])&gt;0,"ELEM_lub_PRD","TECHN")</f>
        <v>#REF!</v>
      </c>
      <c r="L3512" t="e">
        <f>IF(COUNTIF(#REF!,Tabela2[[#This Row],[KOD_PRODUKTU]])&gt;0,"ELEMENT","PRODUKT")</f>
        <v>#REF!</v>
      </c>
      <c r="M3512" t="e">
        <f>COUNTIF(#REF!,Tabela2[[#This Row],[KOD_PRODUKTU]])</f>
        <v>#REF!</v>
      </c>
      <c r="N3512" t="s">
        <v>55</v>
      </c>
    </row>
    <row r="3513" spans="1:14" x14ac:dyDescent="0.25">
      <c r="A3513" s="1" t="s">
        <v>2809</v>
      </c>
      <c r="B3513" t="s">
        <v>2810</v>
      </c>
      <c r="C3513" s="1" t="s">
        <v>7</v>
      </c>
      <c r="D3513" s="1" t="s">
        <v>7</v>
      </c>
      <c r="E3513" s="1" t="s">
        <v>7</v>
      </c>
      <c r="F3513" t="s">
        <v>8</v>
      </c>
      <c r="G3513" t="s">
        <v>9</v>
      </c>
      <c r="H3513" t="s">
        <v>10</v>
      </c>
      <c r="I3513" t="s">
        <v>5210</v>
      </c>
      <c r="J3513">
        <v>35.15</v>
      </c>
      <c r="K3513" t="e">
        <f>IF(COUNTIF(#REF!,Tabela2[[#This Row],[IdxWspolny]])&gt;0,"ELEM_lub_PRD","TECHN")</f>
        <v>#REF!</v>
      </c>
      <c r="L3513" t="e">
        <f>IF(COUNTIF(#REF!,Tabela2[[#This Row],[KOD_PRODUKTU]])&gt;0,"ELEMENT","PRODUKT")</f>
        <v>#REF!</v>
      </c>
      <c r="M3513" t="e">
        <f>COUNTIF(#REF!,Tabela2[[#This Row],[KOD_PRODUKTU]])</f>
        <v>#REF!</v>
      </c>
    </row>
    <row r="3514" spans="1:14" x14ac:dyDescent="0.25">
      <c r="A3514" s="1" t="s">
        <v>5207</v>
      </c>
      <c r="B3514" t="s">
        <v>5208</v>
      </c>
      <c r="C3514" s="1" t="s">
        <v>1249</v>
      </c>
      <c r="D3514" s="1" t="s">
        <v>1249</v>
      </c>
      <c r="E3514" s="1" t="s">
        <v>1249</v>
      </c>
      <c r="F3514" t="s">
        <v>1250</v>
      </c>
      <c r="G3514" t="s">
        <v>1251</v>
      </c>
      <c r="H3514" t="s">
        <v>1252</v>
      </c>
      <c r="I3514" t="s">
        <v>4856</v>
      </c>
      <c r="J3514">
        <v>15.36</v>
      </c>
      <c r="K3514" t="e">
        <f>IF(COUNTIF(#REF!,Tabela2[[#This Row],[IdxWspolny]])&gt;0,"ELEM_lub_PRD","TECHN")</f>
        <v>#REF!</v>
      </c>
      <c r="L3514" t="e">
        <f>IF(COUNTIF(#REF!,Tabela2[[#This Row],[KOD_PRODUKTU]])&gt;0,"ELEMENT","PRODUKT")</f>
        <v>#REF!</v>
      </c>
      <c r="M3514" t="e">
        <f>COUNTIF(#REF!,Tabela2[[#This Row],[KOD_PRODUKTU]])</f>
        <v>#REF!</v>
      </c>
    </row>
    <row r="3515" spans="1:14" x14ac:dyDescent="0.25">
      <c r="A3515" s="1" t="s">
        <v>5207</v>
      </c>
      <c r="B3515" t="s">
        <v>5208</v>
      </c>
      <c r="C3515" s="1" t="s">
        <v>7</v>
      </c>
      <c r="D3515" s="1" t="s">
        <v>7</v>
      </c>
      <c r="E3515" s="1" t="s">
        <v>7</v>
      </c>
      <c r="F3515" t="s">
        <v>8</v>
      </c>
      <c r="G3515" t="s">
        <v>9</v>
      </c>
      <c r="H3515" t="s">
        <v>10</v>
      </c>
      <c r="I3515" t="s">
        <v>5211</v>
      </c>
      <c r="J3515">
        <v>24.44</v>
      </c>
      <c r="K3515" t="e">
        <f>IF(COUNTIF(#REF!,Tabela2[[#This Row],[IdxWspolny]])&gt;0,"ELEM_lub_PRD","TECHN")</f>
        <v>#REF!</v>
      </c>
      <c r="L3515" t="e">
        <f>IF(COUNTIF(#REF!,Tabela2[[#This Row],[KOD_PRODUKTU]])&gt;0,"ELEMENT","PRODUKT")</f>
        <v>#REF!</v>
      </c>
      <c r="M3515" t="e">
        <f>COUNTIF(#REF!,Tabela2[[#This Row],[KOD_PRODUKTU]])</f>
        <v>#REF!</v>
      </c>
    </row>
    <row r="3516" spans="1:14" x14ac:dyDescent="0.25">
      <c r="A3516" s="1" t="s">
        <v>2812</v>
      </c>
      <c r="B3516" t="s">
        <v>5212</v>
      </c>
      <c r="C3516" s="1" t="s">
        <v>2509</v>
      </c>
      <c r="D3516" s="1" t="s">
        <v>2509</v>
      </c>
      <c r="E3516" s="1" t="s">
        <v>2509</v>
      </c>
      <c r="F3516" t="s">
        <v>2510</v>
      </c>
      <c r="G3516" t="s">
        <v>216</v>
      </c>
      <c r="H3516" t="s">
        <v>5</v>
      </c>
      <c r="I3516" t="s">
        <v>4640</v>
      </c>
      <c r="J3516">
        <v>1</v>
      </c>
      <c r="K3516" t="e">
        <f>IF(COUNTIF(#REF!,Tabela2[[#This Row],[IdxWspolny]])&gt;0,"ELEM_lub_PRD","TECHN")</f>
        <v>#REF!</v>
      </c>
      <c r="L3516" t="e">
        <f>IF(COUNTIF(#REF!,Tabela2[[#This Row],[KOD_PRODUKTU]])&gt;0,"ELEMENT","PRODUKT")</f>
        <v>#REF!</v>
      </c>
      <c r="M3516" t="e">
        <f>COUNTIF(#REF!,Tabela2[[#This Row],[KOD_PRODUKTU]])</f>
        <v>#REF!</v>
      </c>
    </row>
    <row r="3517" spans="1:14" x14ac:dyDescent="0.25">
      <c r="A3517" s="1" t="s">
        <v>2812</v>
      </c>
      <c r="B3517" t="s">
        <v>5212</v>
      </c>
      <c r="C3517" s="1" t="s">
        <v>541</v>
      </c>
      <c r="D3517" s="1" t="s">
        <v>541</v>
      </c>
      <c r="E3517" s="1" t="s">
        <v>541</v>
      </c>
      <c r="F3517" t="s">
        <v>542</v>
      </c>
      <c r="G3517" t="s">
        <v>9</v>
      </c>
      <c r="H3517" t="s">
        <v>10</v>
      </c>
      <c r="I3517" t="s">
        <v>5213</v>
      </c>
      <c r="J3517">
        <v>5.78</v>
      </c>
      <c r="K3517" t="e">
        <f>IF(COUNTIF(#REF!,Tabela2[[#This Row],[IdxWspolny]])&gt;0,"ELEM_lub_PRD","TECHN")</f>
        <v>#REF!</v>
      </c>
      <c r="L3517" t="e">
        <f>IF(COUNTIF(#REF!,Tabela2[[#This Row],[KOD_PRODUKTU]])&gt;0,"ELEMENT","PRODUKT")</f>
        <v>#REF!</v>
      </c>
      <c r="M3517" t="e">
        <f>COUNTIF(#REF!,Tabela2[[#This Row],[KOD_PRODUKTU]])</f>
        <v>#REF!</v>
      </c>
    </row>
    <row r="3518" spans="1:14" x14ac:dyDescent="0.25">
      <c r="A3518" s="1" t="s">
        <v>5214</v>
      </c>
      <c r="B3518" t="s">
        <v>5215</v>
      </c>
      <c r="C3518" s="1" t="s">
        <v>5216</v>
      </c>
      <c r="D3518" s="1" t="s">
        <v>5216</v>
      </c>
      <c r="E3518" s="1" t="s">
        <v>5216</v>
      </c>
      <c r="F3518" t="s">
        <v>5217</v>
      </c>
      <c r="G3518" t="s">
        <v>1394</v>
      </c>
      <c r="H3518" t="s">
        <v>49</v>
      </c>
      <c r="I3518" t="s">
        <v>50</v>
      </c>
      <c r="J3518">
        <v>4</v>
      </c>
      <c r="K3518" t="e">
        <f>IF(COUNTIF(#REF!,Tabela2[[#This Row],[IdxWspolny]])&gt;0,"ELEM_lub_PRD","TECHN")</f>
        <v>#REF!</v>
      </c>
      <c r="L3518" t="e">
        <f>IF(COUNTIF(#REF!,Tabela2[[#This Row],[KOD_PRODUKTU]])&gt;0,"ELEMENT","PRODUKT")</f>
        <v>#REF!</v>
      </c>
      <c r="M3518" t="e">
        <f>COUNTIF(#REF!,Tabela2[[#This Row],[KOD_PRODUKTU]])</f>
        <v>#REF!</v>
      </c>
    </row>
    <row r="3519" spans="1:14" x14ac:dyDescent="0.25">
      <c r="A3519" s="1" t="s">
        <v>5214</v>
      </c>
      <c r="B3519" t="s">
        <v>5215</v>
      </c>
      <c r="C3519" s="1" t="s">
        <v>2762</v>
      </c>
      <c r="D3519" s="1" t="s">
        <v>2762</v>
      </c>
      <c r="E3519" s="1" t="s">
        <v>2762</v>
      </c>
      <c r="F3519" t="s">
        <v>2763</v>
      </c>
      <c r="G3519" t="s">
        <v>311</v>
      </c>
      <c r="H3519" t="s">
        <v>5</v>
      </c>
      <c r="I3519" t="s">
        <v>2764</v>
      </c>
      <c r="J3519">
        <v>18.850000000000001</v>
      </c>
      <c r="K3519" t="e">
        <f>IF(COUNTIF(#REF!,Tabela2[[#This Row],[IdxWspolny]])&gt;0,"ELEM_lub_PRD","TECHN")</f>
        <v>#REF!</v>
      </c>
      <c r="L3519" t="e">
        <f>IF(COUNTIF(#REF!,Tabela2[[#This Row],[KOD_PRODUKTU]])&gt;0,"ELEMENT","PRODUKT")</f>
        <v>#REF!</v>
      </c>
      <c r="M3519" t="e">
        <f>COUNTIF(#REF!,Tabela2[[#This Row],[KOD_PRODUKTU]])</f>
        <v>#REF!</v>
      </c>
    </row>
    <row r="3520" spans="1:14" x14ac:dyDescent="0.25">
      <c r="A3520" s="1" t="s">
        <v>5214</v>
      </c>
      <c r="B3520" t="s">
        <v>5215</v>
      </c>
      <c r="C3520" s="1" t="s">
        <v>3452</v>
      </c>
      <c r="D3520" s="1" t="s">
        <v>3452</v>
      </c>
      <c r="E3520" s="1" t="s">
        <v>3452</v>
      </c>
      <c r="F3520" t="s">
        <v>3453</v>
      </c>
      <c r="G3520" t="s">
        <v>1588</v>
      </c>
      <c r="H3520" t="s">
        <v>39</v>
      </c>
      <c r="I3520" t="s">
        <v>478</v>
      </c>
      <c r="J3520">
        <v>1.56</v>
      </c>
      <c r="K3520" t="e">
        <f>IF(COUNTIF(#REF!,Tabela2[[#This Row],[IdxWspolny]])&gt;0,"ELEM_lub_PRD","TECHN")</f>
        <v>#REF!</v>
      </c>
      <c r="L3520" t="e">
        <f>IF(COUNTIF(#REF!,Tabela2[[#This Row],[KOD_PRODUKTU]])&gt;0,"ELEMENT","PRODUKT")</f>
        <v>#REF!</v>
      </c>
      <c r="M3520" t="e">
        <f>COUNTIF(#REF!,Tabela2[[#This Row],[KOD_PRODUKTU]])</f>
        <v>#REF!</v>
      </c>
    </row>
    <row r="3521" spans="1:14" x14ac:dyDescent="0.25">
      <c r="A3521" s="1" t="s">
        <v>5214</v>
      </c>
      <c r="B3521" t="s">
        <v>5215</v>
      </c>
      <c r="C3521" s="1" t="s">
        <v>1974</v>
      </c>
      <c r="D3521" s="1" t="s">
        <v>1974</v>
      </c>
      <c r="E3521" s="1" t="s">
        <v>1974</v>
      </c>
      <c r="F3521" t="s">
        <v>1975</v>
      </c>
      <c r="G3521" t="s">
        <v>879</v>
      </c>
      <c r="H3521" t="s">
        <v>121</v>
      </c>
      <c r="I3521" t="s">
        <v>367</v>
      </c>
      <c r="J3521">
        <v>0.7</v>
      </c>
      <c r="K3521" t="e">
        <f>IF(COUNTIF(#REF!,Tabela2[[#This Row],[IdxWspolny]])&gt;0,"ELEM_lub_PRD","TECHN")</f>
        <v>#REF!</v>
      </c>
      <c r="L3521" t="e">
        <f>IF(COUNTIF(#REF!,Tabela2[[#This Row],[KOD_PRODUKTU]])&gt;0,"ELEMENT","PRODUKT")</f>
        <v>#REF!</v>
      </c>
      <c r="M3521" t="e">
        <f>COUNTIF(#REF!,Tabela2[[#This Row],[KOD_PRODUKTU]])</f>
        <v>#REF!</v>
      </c>
    </row>
    <row r="3522" spans="1:14" x14ac:dyDescent="0.25">
      <c r="A3522" s="1" t="s">
        <v>5214</v>
      </c>
      <c r="B3522" t="s">
        <v>5215</v>
      </c>
      <c r="C3522" s="1" t="s">
        <v>41</v>
      </c>
      <c r="D3522" s="1" t="s">
        <v>41</v>
      </c>
      <c r="E3522" s="1" t="s">
        <v>41</v>
      </c>
      <c r="F3522" t="s">
        <v>42</v>
      </c>
      <c r="G3522" t="s">
        <v>513</v>
      </c>
      <c r="H3522" t="s">
        <v>5</v>
      </c>
      <c r="I3522" t="s">
        <v>615</v>
      </c>
      <c r="J3522">
        <v>0.02</v>
      </c>
      <c r="K3522" t="e">
        <f>IF(COUNTIF(#REF!,Tabela2[[#This Row],[IdxWspolny]])&gt;0,"ELEM_lub_PRD","TECHN")</f>
        <v>#REF!</v>
      </c>
      <c r="L3522" t="e">
        <f>IF(COUNTIF(#REF!,Tabela2[[#This Row],[KOD_PRODUKTU]])&gt;0,"ELEMENT","PRODUKT")</f>
        <v>#REF!</v>
      </c>
      <c r="M3522" t="e">
        <f>COUNTIF(#REF!,Tabela2[[#This Row],[KOD_PRODUKTU]])</f>
        <v>#REF!</v>
      </c>
    </row>
    <row r="3523" spans="1:14" hidden="1" x14ac:dyDescent="0.25">
      <c r="A3523" s="1" t="s">
        <v>5214</v>
      </c>
      <c r="B3523" t="s">
        <v>5215</v>
      </c>
      <c r="C3523" s="1" t="s">
        <v>2815</v>
      </c>
      <c r="D3523" s="1" t="s">
        <v>2815</v>
      </c>
      <c r="E3523" s="1" t="s">
        <v>2815</v>
      </c>
      <c r="F3523" t="s">
        <v>2816</v>
      </c>
      <c r="G3523" t="s">
        <v>2817</v>
      </c>
      <c r="H3523" t="s">
        <v>121</v>
      </c>
      <c r="I3523" t="s">
        <v>50</v>
      </c>
      <c r="J3523">
        <v>39.659999999999997</v>
      </c>
      <c r="K3523" t="e">
        <f>IF(COUNTIF(#REF!,Tabela2[[#This Row],[IdxWspolny]])&gt;0,"ELEM_lub_PRD","TECHN")</f>
        <v>#REF!</v>
      </c>
      <c r="L3523" t="e">
        <f>IF(COUNTIF(#REF!,Tabela2[[#This Row],[KOD_PRODUKTU]])&gt;0,"ELEMENT","PRODUKT")</f>
        <v>#REF!</v>
      </c>
      <c r="M3523" t="e">
        <f>COUNTIF(#REF!,Tabela2[[#This Row],[KOD_PRODUKTU]])</f>
        <v>#REF!</v>
      </c>
      <c r="N3523" t="s">
        <v>55</v>
      </c>
    </row>
    <row r="3524" spans="1:14" hidden="1" x14ac:dyDescent="0.25">
      <c r="A3524" s="1" t="s">
        <v>5214</v>
      </c>
      <c r="B3524" t="s">
        <v>5215</v>
      </c>
      <c r="C3524" s="1" t="s">
        <v>2818</v>
      </c>
      <c r="D3524" s="1" t="s">
        <v>2818</v>
      </c>
      <c r="E3524" s="1" t="s">
        <v>2818</v>
      </c>
      <c r="F3524" t="s">
        <v>2819</v>
      </c>
      <c r="G3524" t="s">
        <v>2820</v>
      </c>
      <c r="H3524" t="s">
        <v>121</v>
      </c>
      <c r="I3524" t="s">
        <v>50</v>
      </c>
      <c r="J3524">
        <v>44.95</v>
      </c>
      <c r="K3524" t="e">
        <f>IF(COUNTIF(#REF!,Tabela2[[#This Row],[IdxWspolny]])&gt;0,"ELEM_lub_PRD","TECHN")</f>
        <v>#REF!</v>
      </c>
      <c r="L3524" t="e">
        <f>IF(COUNTIF(#REF!,Tabela2[[#This Row],[KOD_PRODUKTU]])&gt;0,"ELEMENT","PRODUKT")</f>
        <v>#REF!</v>
      </c>
      <c r="M3524" t="e">
        <f>COUNTIF(#REF!,Tabela2[[#This Row],[KOD_PRODUKTU]])</f>
        <v>#REF!</v>
      </c>
      <c r="N3524" t="s">
        <v>55</v>
      </c>
    </row>
    <row r="3525" spans="1:14" x14ac:dyDescent="0.25">
      <c r="A3525" s="1" t="s">
        <v>5214</v>
      </c>
      <c r="B3525" t="s">
        <v>5215</v>
      </c>
      <c r="C3525" s="1" t="s">
        <v>684</v>
      </c>
      <c r="D3525" s="1" t="s">
        <v>684</v>
      </c>
      <c r="E3525" s="1" t="s">
        <v>684</v>
      </c>
      <c r="F3525" t="s">
        <v>685</v>
      </c>
      <c r="G3525" t="s">
        <v>686</v>
      </c>
      <c r="H3525" t="s">
        <v>49</v>
      </c>
      <c r="I3525" t="s">
        <v>5218</v>
      </c>
      <c r="J3525">
        <v>4.3499999999999996</v>
      </c>
      <c r="K3525" t="e">
        <f>IF(COUNTIF(#REF!,Tabela2[[#This Row],[IdxWspolny]])&gt;0,"ELEM_lub_PRD","TECHN")</f>
        <v>#REF!</v>
      </c>
      <c r="L3525" t="e">
        <f>IF(COUNTIF(#REF!,Tabela2[[#This Row],[KOD_PRODUKTU]])&gt;0,"ELEMENT","PRODUKT")</f>
        <v>#REF!</v>
      </c>
      <c r="M3525" t="e">
        <f>COUNTIF(#REF!,Tabela2[[#This Row],[KOD_PRODUKTU]])</f>
        <v>#REF!</v>
      </c>
    </row>
    <row r="3526" spans="1:14" x14ac:dyDescent="0.25">
      <c r="A3526" s="1" t="s">
        <v>5214</v>
      </c>
      <c r="B3526" t="s">
        <v>5215</v>
      </c>
      <c r="C3526" s="1" t="s">
        <v>541</v>
      </c>
      <c r="D3526" s="1" t="s">
        <v>541</v>
      </c>
      <c r="E3526" s="1" t="s">
        <v>541</v>
      </c>
      <c r="F3526" t="s">
        <v>542</v>
      </c>
      <c r="G3526" t="s">
        <v>9</v>
      </c>
      <c r="H3526" t="s">
        <v>10</v>
      </c>
      <c r="I3526" t="s">
        <v>4463</v>
      </c>
      <c r="J3526">
        <v>26.55</v>
      </c>
      <c r="K3526" t="e">
        <f>IF(COUNTIF(#REF!,Tabela2[[#This Row],[IdxWspolny]])&gt;0,"ELEM_lub_PRD","TECHN")</f>
        <v>#REF!</v>
      </c>
      <c r="L3526" t="e">
        <f>IF(COUNTIF(#REF!,Tabela2[[#This Row],[KOD_PRODUKTU]])&gt;0,"ELEMENT","PRODUKT")</f>
        <v>#REF!</v>
      </c>
      <c r="M3526" t="e">
        <f>COUNTIF(#REF!,Tabela2[[#This Row],[KOD_PRODUKTU]])</f>
        <v>#REF!</v>
      </c>
    </row>
    <row r="3527" spans="1:14" x14ac:dyDescent="0.25">
      <c r="A3527" s="1" t="s">
        <v>2815</v>
      </c>
      <c r="B3527" t="s">
        <v>5219</v>
      </c>
      <c r="C3527" s="1" t="s">
        <v>1249</v>
      </c>
      <c r="D3527" s="1" t="s">
        <v>1249</v>
      </c>
      <c r="E3527" s="1" t="s">
        <v>1249</v>
      </c>
      <c r="F3527" t="s">
        <v>1250</v>
      </c>
      <c r="G3527" t="s">
        <v>1251</v>
      </c>
      <c r="H3527" t="s">
        <v>1252</v>
      </c>
      <c r="I3527" t="s">
        <v>5220</v>
      </c>
      <c r="J3527">
        <v>9.9600000000000009</v>
      </c>
      <c r="K3527" t="e">
        <f>IF(COUNTIF(#REF!,Tabela2[[#This Row],[IdxWspolny]])&gt;0,"ELEM_lub_PRD","TECHN")</f>
        <v>#REF!</v>
      </c>
      <c r="L3527" t="e">
        <f>IF(COUNTIF(#REF!,Tabela2[[#This Row],[KOD_PRODUKTU]])&gt;0,"ELEMENT","PRODUKT")</f>
        <v>#REF!</v>
      </c>
      <c r="M3527" t="e">
        <f>COUNTIF(#REF!,Tabela2[[#This Row],[KOD_PRODUKTU]])</f>
        <v>#REF!</v>
      </c>
    </row>
    <row r="3528" spans="1:14" x14ac:dyDescent="0.25">
      <c r="A3528" s="1" t="s">
        <v>2815</v>
      </c>
      <c r="B3528" t="s">
        <v>5219</v>
      </c>
      <c r="C3528" s="1" t="s">
        <v>541</v>
      </c>
      <c r="D3528" s="1" t="s">
        <v>541</v>
      </c>
      <c r="E3528" s="1" t="s">
        <v>541</v>
      </c>
      <c r="F3528" t="s">
        <v>542</v>
      </c>
      <c r="G3528" t="s">
        <v>9</v>
      </c>
      <c r="H3528" t="s">
        <v>10</v>
      </c>
      <c r="I3528" t="s">
        <v>5221</v>
      </c>
      <c r="J3528">
        <v>12.68</v>
      </c>
      <c r="K3528" t="e">
        <f>IF(COUNTIF(#REF!,Tabela2[[#This Row],[IdxWspolny]])&gt;0,"ELEM_lub_PRD","TECHN")</f>
        <v>#REF!</v>
      </c>
      <c r="L3528" t="e">
        <f>IF(COUNTIF(#REF!,Tabela2[[#This Row],[KOD_PRODUKTU]])&gt;0,"ELEMENT","PRODUKT")</f>
        <v>#REF!</v>
      </c>
      <c r="M3528" t="e">
        <f>COUNTIF(#REF!,Tabela2[[#This Row],[KOD_PRODUKTU]])</f>
        <v>#REF!</v>
      </c>
    </row>
    <row r="3529" spans="1:14" x14ac:dyDescent="0.25">
      <c r="A3529" s="1" t="s">
        <v>2815</v>
      </c>
      <c r="B3529" t="s">
        <v>5219</v>
      </c>
      <c r="C3529" s="1" t="s">
        <v>7</v>
      </c>
      <c r="D3529" s="1" t="s">
        <v>7</v>
      </c>
      <c r="E3529" s="1" t="s">
        <v>7</v>
      </c>
      <c r="F3529" t="s">
        <v>8</v>
      </c>
      <c r="G3529" t="s">
        <v>9</v>
      </c>
      <c r="H3529" t="s">
        <v>10</v>
      </c>
      <c r="I3529" t="s">
        <v>5222</v>
      </c>
      <c r="J3529">
        <v>17.02</v>
      </c>
      <c r="K3529" t="e">
        <f>IF(COUNTIF(#REF!,Tabela2[[#This Row],[IdxWspolny]])&gt;0,"ELEM_lub_PRD","TECHN")</f>
        <v>#REF!</v>
      </c>
      <c r="L3529" t="e">
        <f>IF(COUNTIF(#REF!,Tabela2[[#This Row],[KOD_PRODUKTU]])&gt;0,"ELEMENT","PRODUKT")</f>
        <v>#REF!</v>
      </c>
      <c r="M3529" t="e">
        <f>COUNTIF(#REF!,Tabela2[[#This Row],[KOD_PRODUKTU]])</f>
        <v>#REF!</v>
      </c>
    </row>
    <row r="3530" spans="1:14" x14ac:dyDescent="0.25">
      <c r="A3530" s="1" t="s">
        <v>2818</v>
      </c>
      <c r="B3530" t="s">
        <v>5223</v>
      </c>
      <c r="C3530" s="1" t="s">
        <v>1249</v>
      </c>
      <c r="D3530" s="1" t="s">
        <v>1249</v>
      </c>
      <c r="E3530" s="1" t="s">
        <v>1249</v>
      </c>
      <c r="F3530" t="s">
        <v>1250</v>
      </c>
      <c r="G3530" t="s">
        <v>1251</v>
      </c>
      <c r="H3530" t="s">
        <v>1252</v>
      </c>
      <c r="I3530" t="s">
        <v>5224</v>
      </c>
      <c r="J3530">
        <v>9</v>
      </c>
      <c r="K3530" t="e">
        <f>IF(COUNTIF(#REF!,Tabela2[[#This Row],[IdxWspolny]])&gt;0,"ELEM_lub_PRD","TECHN")</f>
        <v>#REF!</v>
      </c>
      <c r="L3530" t="e">
        <f>IF(COUNTIF(#REF!,Tabela2[[#This Row],[KOD_PRODUKTU]])&gt;0,"ELEMENT","PRODUKT")</f>
        <v>#REF!</v>
      </c>
      <c r="M3530" t="e">
        <f>COUNTIF(#REF!,Tabela2[[#This Row],[KOD_PRODUKTU]])</f>
        <v>#REF!</v>
      </c>
    </row>
    <row r="3531" spans="1:14" x14ac:dyDescent="0.25">
      <c r="A3531" s="1" t="s">
        <v>2818</v>
      </c>
      <c r="B3531" t="s">
        <v>5223</v>
      </c>
      <c r="C3531" s="1" t="s">
        <v>541</v>
      </c>
      <c r="D3531" s="1" t="s">
        <v>541</v>
      </c>
      <c r="E3531" s="1" t="s">
        <v>541</v>
      </c>
      <c r="F3531" t="s">
        <v>542</v>
      </c>
      <c r="G3531" t="s">
        <v>9</v>
      </c>
      <c r="H3531" t="s">
        <v>10</v>
      </c>
      <c r="I3531" t="s">
        <v>594</v>
      </c>
      <c r="J3531">
        <v>11.5</v>
      </c>
      <c r="K3531" t="e">
        <f>IF(COUNTIF(#REF!,Tabela2[[#This Row],[IdxWspolny]])&gt;0,"ELEM_lub_PRD","TECHN")</f>
        <v>#REF!</v>
      </c>
      <c r="L3531" t="e">
        <f>IF(COUNTIF(#REF!,Tabela2[[#This Row],[KOD_PRODUKTU]])&gt;0,"ELEMENT","PRODUKT")</f>
        <v>#REF!</v>
      </c>
      <c r="M3531" t="e">
        <f>COUNTIF(#REF!,Tabela2[[#This Row],[KOD_PRODUKTU]])</f>
        <v>#REF!</v>
      </c>
    </row>
    <row r="3532" spans="1:14" x14ac:dyDescent="0.25">
      <c r="A3532" s="1" t="s">
        <v>2818</v>
      </c>
      <c r="B3532" t="s">
        <v>5223</v>
      </c>
      <c r="C3532" s="1" t="s">
        <v>7</v>
      </c>
      <c r="D3532" s="1" t="s">
        <v>7</v>
      </c>
      <c r="E3532" s="1" t="s">
        <v>7</v>
      </c>
      <c r="F3532" t="s">
        <v>8</v>
      </c>
      <c r="G3532" t="s">
        <v>9</v>
      </c>
      <c r="H3532" t="s">
        <v>10</v>
      </c>
      <c r="I3532" t="s">
        <v>5225</v>
      </c>
      <c r="J3532">
        <v>24.45</v>
      </c>
      <c r="K3532" t="e">
        <f>IF(COUNTIF(#REF!,Tabela2[[#This Row],[IdxWspolny]])&gt;0,"ELEM_lub_PRD","TECHN")</f>
        <v>#REF!</v>
      </c>
      <c r="L3532" t="e">
        <f>IF(COUNTIF(#REF!,Tabela2[[#This Row],[KOD_PRODUKTU]])&gt;0,"ELEMENT","PRODUKT")</f>
        <v>#REF!</v>
      </c>
      <c r="M3532" t="e">
        <f>COUNTIF(#REF!,Tabela2[[#This Row],[KOD_PRODUKTU]])</f>
        <v>#REF!</v>
      </c>
    </row>
    <row r="3533" spans="1:14" x14ac:dyDescent="0.25">
      <c r="A3533" s="1" t="s">
        <v>5226</v>
      </c>
      <c r="B3533" t="s">
        <v>5227</v>
      </c>
      <c r="C3533" s="1" t="s">
        <v>1249</v>
      </c>
      <c r="D3533" s="1" t="s">
        <v>1249</v>
      </c>
      <c r="E3533" s="1" t="s">
        <v>1249</v>
      </c>
      <c r="F3533" t="s">
        <v>1250</v>
      </c>
      <c r="G3533" t="s">
        <v>1251</v>
      </c>
      <c r="H3533" t="s">
        <v>1252</v>
      </c>
      <c r="I3533" t="s">
        <v>5228</v>
      </c>
      <c r="J3533">
        <v>63</v>
      </c>
      <c r="K3533" t="e">
        <f>IF(COUNTIF(#REF!,Tabela2[[#This Row],[IdxWspolny]])&gt;0,"ELEM_lub_PRD","TECHN")</f>
        <v>#REF!</v>
      </c>
      <c r="L3533" t="e">
        <f>IF(COUNTIF(#REF!,Tabela2[[#This Row],[KOD_PRODUKTU]])&gt;0,"ELEMENT","PRODUKT")</f>
        <v>#REF!</v>
      </c>
      <c r="M3533" t="e">
        <f>COUNTIF(#REF!,Tabela2[[#This Row],[KOD_PRODUKTU]])</f>
        <v>#REF!</v>
      </c>
    </row>
    <row r="3534" spans="1:14" x14ac:dyDescent="0.25">
      <c r="A3534" s="1" t="s">
        <v>5226</v>
      </c>
      <c r="B3534" t="s">
        <v>5227</v>
      </c>
      <c r="C3534" s="1" t="s">
        <v>7</v>
      </c>
      <c r="D3534" s="1" t="s">
        <v>7</v>
      </c>
      <c r="E3534" s="1" t="s">
        <v>7</v>
      </c>
      <c r="F3534" t="s">
        <v>8</v>
      </c>
      <c r="G3534" t="s">
        <v>9</v>
      </c>
      <c r="H3534" t="s">
        <v>10</v>
      </c>
      <c r="I3534" t="s">
        <v>1330</v>
      </c>
      <c r="J3534">
        <v>98.9</v>
      </c>
      <c r="K3534" t="e">
        <f>IF(COUNTIF(#REF!,Tabela2[[#This Row],[IdxWspolny]])&gt;0,"ELEM_lub_PRD","TECHN")</f>
        <v>#REF!</v>
      </c>
      <c r="L3534" t="e">
        <f>IF(COUNTIF(#REF!,Tabela2[[#This Row],[KOD_PRODUKTU]])&gt;0,"ELEMENT","PRODUKT")</f>
        <v>#REF!</v>
      </c>
      <c r="M3534" t="e">
        <f>COUNTIF(#REF!,Tabela2[[#This Row],[KOD_PRODUKTU]])</f>
        <v>#REF!</v>
      </c>
    </row>
    <row r="3535" spans="1:14" x14ac:dyDescent="0.25">
      <c r="A3535" s="1" t="s">
        <v>5226</v>
      </c>
      <c r="B3535" t="s">
        <v>5227</v>
      </c>
      <c r="C3535" s="1" t="s">
        <v>7</v>
      </c>
      <c r="D3535" s="1" t="s">
        <v>7</v>
      </c>
      <c r="E3535" s="1" t="s">
        <v>7</v>
      </c>
      <c r="F3535" t="s">
        <v>8</v>
      </c>
      <c r="G3535" t="s">
        <v>9</v>
      </c>
      <c r="H3535" t="s">
        <v>10</v>
      </c>
      <c r="I3535" t="s">
        <v>50</v>
      </c>
      <c r="J3535">
        <v>46</v>
      </c>
      <c r="K3535" t="e">
        <f>IF(COUNTIF(#REF!,Tabela2[[#This Row],[IdxWspolny]])&gt;0,"ELEM_lub_PRD","TECHN")</f>
        <v>#REF!</v>
      </c>
      <c r="L3535" t="e">
        <f>IF(COUNTIF(#REF!,Tabela2[[#This Row],[KOD_PRODUKTU]])&gt;0,"ELEMENT","PRODUKT")</f>
        <v>#REF!</v>
      </c>
      <c r="M3535" t="e">
        <f>COUNTIF(#REF!,Tabela2[[#This Row],[KOD_PRODUKTU]])</f>
        <v>#REF!</v>
      </c>
    </row>
    <row r="3536" spans="1:14" x14ac:dyDescent="0.25">
      <c r="A3536" s="1" t="s">
        <v>5229</v>
      </c>
      <c r="B3536" t="s">
        <v>5230</v>
      </c>
      <c r="C3536" s="1" t="s">
        <v>1249</v>
      </c>
      <c r="D3536" s="1" t="s">
        <v>1249</v>
      </c>
      <c r="E3536" s="1" t="s">
        <v>1249</v>
      </c>
      <c r="F3536" t="s">
        <v>1250</v>
      </c>
      <c r="G3536" t="s">
        <v>1251</v>
      </c>
      <c r="H3536" t="s">
        <v>1252</v>
      </c>
      <c r="I3536" t="s">
        <v>5231</v>
      </c>
      <c r="J3536">
        <v>57</v>
      </c>
      <c r="K3536" t="e">
        <f>IF(COUNTIF(#REF!,Tabela2[[#This Row],[IdxWspolny]])&gt;0,"ELEM_lub_PRD","TECHN")</f>
        <v>#REF!</v>
      </c>
      <c r="L3536" t="e">
        <f>IF(COUNTIF(#REF!,Tabela2[[#This Row],[KOD_PRODUKTU]])&gt;0,"ELEMENT","PRODUKT")</f>
        <v>#REF!</v>
      </c>
      <c r="M3536" t="e">
        <f>COUNTIF(#REF!,Tabela2[[#This Row],[KOD_PRODUKTU]])</f>
        <v>#REF!</v>
      </c>
    </row>
    <row r="3537" spans="1:13" x14ac:dyDescent="0.25">
      <c r="A3537" s="1" t="s">
        <v>5229</v>
      </c>
      <c r="B3537" t="s">
        <v>5230</v>
      </c>
      <c r="C3537" s="1" t="s">
        <v>7</v>
      </c>
      <c r="D3537" s="1" t="s">
        <v>7</v>
      </c>
      <c r="E3537" s="1" t="s">
        <v>7</v>
      </c>
      <c r="F3537" t="s">
        <v>8</v>
      </c>
      <c r="G3537" t="s">
        <v>9</v>
      </c>
      <c r="H3537" t="s">
        <v>10</v>
      </c>
      <c r="I3537" t="s">
        <v>50</v>
      </c>
      <c r="J3537">
        <v>46</v>
      </c>
      <c r="K3537" t="e">
        <f>IF(COUNTIF(#REF!,Tabela2[[#This Row],[IdxWspolny]])&gt;0,"ELEM_lub_PRD","TECHN")</f>
        <v>#REF!</v>
      </c>
      <c r="L3537" t="e">
        <f>IF(COUNTIF(#REF!,Tabela2[[#This Row],[KOD_PRODUKTU]])&gt;0,"ELEMENT","PRODUKT")</f>
        <v>#REF!</v>
      </c>
      <c r="M3537" t="e">
        <f>COUNTIF(#REF!,Tabela2[[#This Row],[KOD_PRODUKTU]])</f>
        <v>#REF!</v>
      </c>
    </row>
    <row r="3538" spans="1:13" x14ac:dyDescent="0.25">
      <c r="A3538" s="1" t="s">
        <v>5229</v>
      </c>
      <c r="B3538" t="s">
        <v>5230</v>
      </c>
      <c r="C3538" s="1" t="s">
        <v>7</v>
      </c>
      <c r="D3538" s="1" t="s">
        <v>7</v>
      </c>
      <c r="E3538" s="1" t="s">
        <v>7</v>
      </c>
      <c r="F3538" t="s">
        <v>8</v>
      </c>
      <c r="G3538" t="s">
        <v>9</v>
      </c>
      <c r="H3538" t="s">
        <v>10</v>
      </c>
      <c r="I3538" t="s">
        <v>5232</v>
      </c>
      <c r="J3538">
        <v>60.39</v>
      </c>
      <c r="K3538" t="e">
        <f>IF(COUNTIF(#REF!,Tabela2[[#This Row],[IdxWspolny]])&gt;0,"ELEM_lub_PRD","TECHN")</f>
        <v>#REF!</v>
      </c>
      <c r="L3538" t="e">
        <f>IF(COUNTIF(#REF!,Tabela2[[#This Row],[KOD_PRODUKTU]])&gt;0,"ELEMENT","PRODUKT")</f>
        <v>#REF!</v>
      </c>
      <c r="M3538" t="e">
        <f>COUNTIF(#REF!,Tabela2[[#This Row],[KOD_PRODUKTU]])</f>
        <v>#REF!</v>
      </c>
    </row>
    <row r="3539" spans="1:13" x14ac:dyDescent="0.25">
      <c r="A3539" s="1" t="s">
        <v>5233</v>
      </c>
      <c r="B3539" t="s">
        <v>5234</v>
      </c>
      <c r="C3539" s="1" t="s">
        <v>1249</v>
      </c>
      <c r="D3539" s="1" t="s">
        <v>1249</v>
      </c>
      <c r="E3539" s="1" t="s">
        <v>1249</v>
      </c>
      <c r="F3539" t="s">
        <v>1250</v>
      </c>
      <c r="G3539" t="s">
        <v>1251</v>
      </c>
      <c r="H3539" t="s">
        <v>1252</v>
      </c>
      <c r="I3539" t="s">
        <v>5231</v>
      </c>
      <c r="J3539">
        <v>57</v>
      </c>
      <c r="K3539" t="e">
        <f>IF(COUNTIF(#REF!,Tabela2[[#This Row],[IdxWspolny]])&gt;0,"ELEM_lub_PRD","TECHN")</f>
        <v>#REF!</v>
      </c>
      <c r="L3539" t="e">
        <f>IF(COUNTIF(#REF!,Tabela2[[#This Row],[KOD_PRODUKTU]])&gt;0,"ELEMENT","PRODUKT")</f>
        <v>#REF!</v>
      </c>
      <c r="M3539" t="e">
        <f>COUNTIF(#REF!,Tabela2[[#This Row],[KOD_PRODUKTU]])</f>
        <v>#REF!</v>
      </c>
    </row>
    <row r="3540" spans="1:13" x14ac:dyDescent="0.25">
      <c r="A3540" s="1" t="s">
        <v>5233</v>
      </c>
      <c r="B3540" t="s">
        <v>5234</v>
      </c>
      <c r="C3540" s="1" t="s">
        <v>7</v>
      </c>
      <c r="D3540" s="1" t="s">
        <v>7</v>
      </c>
      <c r="E3540" s="1" t="s">
        <v>7</v>
      </c>
      <c r="F3540" t="s">
        <v>8</v>
      </c>
      <c r="G3540" t="s">
        <v>9</v>
      </c>
      <c r="H3540" t="s">
        <v>10</v>
      </c>
      <c r="I3540" t="s">
        <v>5235</v>
      </c>
      <c r="J3540">
        <v>121.37</v>
      </c>
      <c r="K3540" t="e">
        <f>IF(COUNTIF(#REF!,Tabela2[[#This Row],[IdxWspolny]])&gt;0,"ELEM_lub_PRD","TECHN")</f>
        <v>#REF!</v>
      </c>
      <c r="L3540" t="e">
        <f>IF(COUNTIF(#REF!,Tabela2[[#This Row],[KOD_PRODUKTU]])&gt;0,"ELEMENT","PRODUKT")</f>
        <v>#REF!</v>
      </c>
      <c r="M3540" t="e">
        <f>COUNTIF(#REF!,Tabela2[[#This Row],[KOD_PRODUKTU]])</f>
        <v>#REF!</v>
      </c>
    </row>
    <row r="3541" spans="1:13" x14ac:dyDescent="0.25">
      <c r="A3541" s="1" t="s">
        <v>5233</v>
      </c>
      <c r="B3541" t="s">
        <v>5234</v>
      </c>
      <c r="C3541" s="1" t="s">
        <v>7</v>
      </c>
      <c r="D3541" s="1" t="s">
        <v>7</v>
      </c>
      <c r="E3541" s="1" t="s">
        <v>7</v>
      </c>
      <c r="F3541" t="s">
        <v>8</v>
      </c>
      <c r="G3541" t="s">
        <v>9</v>
      </c>
      <c r="H3541" t="s">
        <v>10</v>
      </c>
      <c r="I3541" t="s">
        <v>50</v>
      </c>
      <c r="J3541">
        <v>46</v>
      </c>
      <c r="K3541" t="e">
        <f>IF(COUNTIF(#REF!,Tabela2[[#This Row],[IdxWspolny]])&gt;0,"ELEM_lub_PRD","TECHN")</f>
        <v>#REF!</v>
      </c>
      <c r="L3541" t="e">
        <f>IF(COUNTIF(#REF!,Tabela2[[#This Row],[KOD_PRODUKTU]])&gt;0,"ELEMENT","PRODUKT")</f>
        <v>#REF!</v>
      </c>
      <c r="M3541" t="e">
        <f>COUNTIF(#REF!,Tabela2[[#This Row],[KOD_PRODUKTU]])</f>
        <v>#REF!</v>
      </c>
    </row>
    <row r="3542" spans="1:13" x14ac:dyDescent="0.25">
      <c r="A3542" s="1" t="s">
        <v>5236</v>
      </c>
      <c r="B3542" t="s">
        <v>5237</v>
      </c>
      <c r="C3542" s="1" t="s">
        <v>1249</v>
      </c>
      <c r="D3542" s="1" t="s">
        <v>1249</v>
      </c>
      <c r="E3542" s="1" t="s">
        <v>1249</v>
      </c>
      <c r="F3542" t="s">
        <v>1250</v>
      </c>
      <c r="G3542" t="s">
        <v>1251</v>
      </c>
      <c r="H3542" t="s">
        <v>1252</v>
      </c>
      <c r="I3542" t="s">
        <v>5238</v>
      </c>
      <c r="J3542">
        <v>6.96</v>
      </c>
      <c r="K3542" t="e">
        <f>IF(COUNTIF(#REF!,Tabela2[[#This Row],[IdxWspolny]])&gt;0,"ELEM_lub_PRD","TECHN")</f>
        <v>#REF!</v>
      </c>
      <c r="L3542" t="e">
        <f>IF(COUNTIF(#REF!,Tabela2[[#This Row],[KOD_PRODUKTU]])&gt;0,"ELEMENT","PRODUKT")</f>
        <v>#REF!</v>
      </c>
      <c r="M3542" t="e">
        <f>COUNTIF(#REF!,Tabela2[[#This Row],[KOD_PRODUKTU]])</f>
        <v>#REF!</v>
      </c>
    </row>
    <row r="3543" spans="1:13" x14ac:dyDescent="0.25">
      <c r="A3543" s="1" t="s">
        <v>5236</v>
      </c>
      <c r="B3543" t="s">
        <v>5237</v>
      </c>
      <c r="C3543" s="1" t="s">
        <v>7</v>
      </c>
      <c r="D3543" s="1" t="s">
        <v>7</v>
      </c>
      <c r="E3543" s="1" t="s">
        <v>7</v>
      </c>
      <c r="F3543" t="s">
        <v>8</v>
      </c>
      <c r="G3543" t="s">
        <v>9</v>
      </c>
      <c r="H3543" t="s">
        <v>10</v>
      </c>
      <c r="I3543" t="s">
        <v>4839</v>
      </c>
      <c r="J3543">
        <v>8.08</v>
      </c>
      <c r="K3543" t="e">
        <f>IF(COUNTIF(#REF!,Tabela2[[#This Row],[IdxWspolny]])&gt;0,"ELEM_lub_PRD","TECHN")</f>
        <v>#REF!</v>
      </c>
      <c r="L3543" t="e">
        <f>IF(COUNTIF(#REF!,Tabela2[[#This Row],[KOD_PRODUKTU]])&gt;0,"ELEMENT","PRODUKT")</f>
        <v>#REF!</v>
      </c>
      <c r="M3543" t="e">
        <f>COUNTIF(#REF!,Tabela2[[#This Row],[KOD_PRODUKTU]])</f>
        <v>#REF!</v>
      </c>
    </row>
    <row r="3544" spans="1:13" x14ac:dyDescent="0.25">
      <c r="A3544" s="1" t="s">
        <v>2855</v>
      </c>
      <c r="B3544" t="s">
        <v>2856</v>
      </c>
      <c r="C3544" s="1" t="s">
        <v>1447</v>
      </c>
      <c r="D3544" s="1" t="s">
        <v>1447</v>
      </c>
      <c r="E3544" s="1" t="s">
        <v>1447</v>
      </c>
      <c r="F3544" t="s">
        <v>1448</v>
      </c>
      <c r="G3544" t="s">
        <v>779</v>
      </c>
      <c r="H3544" t="s">
        <v>5</v>
      </c>
      <c r="I3544" t="s">
        <v>5239</v>
      </c>
      <c r="J3544">
        <v>1.65</v>
      </c>
      <c r="K3544" t="e">
        <f>IF(COUNTIF(#REF!,Tabela2[[#This Row],[IdxWspolny]])&gt;0,"ELEM_lub_PRD","TECHN")</f>
        <v>#REF!</v>
      </c>
      <c r="L3544" t="e">
        <f>IF(COUNTIF(#REF!,Tabela2[[#This Row],[KOD_PRODUKTU]])&gt;0,"ELEMENT","PRODUKT")</f>
        <v>#REF!</v>
      </c>
      <c r="M3544" t="e">
        <f>COUNTIF(#REF!,Tabela2[[#This Row],[KOD_PRODUKTU]])</f>
        <v>#REF!</v>
      </c>
    </row>
    <row r="3545" spans="1:13" x14ac:dyDescent="0.25">
      <c r="A3545" s="1" t="s">
        <v>2855</v>
      </c>
      <c r="B3545" t="s">
        <v>2856</v>
      </c>
      <c r="C3545" s="1" t="s">
        <v>541</v>
      </c>
      <c r="D3545" s="1" t="s">
        <v>541</v>
      </c>
      <c r="E3545" s="1" t="s">
        <v>541</v>
      </c>
      <c r="F3545" t="s">
        <v>542</v>
      </c>
      <c r="G3545" t="s">
        <v>9</v>
      </c>
      <c r="H3545" t="s">
        <v>10</v>
      </c>
      <c r="I3545" t="s">
        <v>5240</v>
      </c>
      <c r="J3545">
        <v>4.29</v>
      </c>
      <c r="K3545" t="e">
        <f>IF(COUNTIF(#REF!,Tabela2[[#This Row],[IdxWspolny]])&gt;0,"ELEM_lub_PRD","TECHN")</f>
        <v>#REF!</v>
      </c>
      <c r="L3545" t="e">
        <f>IF(COUNTIF(#REF!,Tabela2[[#This Row],[KOD_PRODUKTU]])&gt;0,"ELEMENT","PRODUKT")</f>
        <v>#REF!</v>
      </c>
      <c r="M3545" t="e">
        <f>COUNTIF(#REF!,Tabela2[[#This Row],[KOD_PRODUKTU]])</f>
        <v>#REF!</v>
      </c>
    </row>
    <row r="3546" spans="1:13" x14ac:dyDescent="0.25">
      <c r="A3546" s="1" t="s">
        <v>5241</v>
      </c>
      <c r="B3546" t="s">
        <v>5242</v>
      </c>
      <c r="C3546" s="1" t="s">
        <v>1249</v>
      </c>
      <c r="D3546" s="1" t="s">
        <v>1249</v>
      </c>
      <c r="E3546" s="1" t="s">
        <v>1249</v>
      </c>
      <c r="F3546" t="s">
        <v>1250</v>
      </c>
      <c r="G3546" t="s">
        <v>1251</v>
      </c>
      <c r="H3546" t="s">
        <v>1252</v>
      </c>
      <c r="I3546" t="s">
        <v>5243</v>
      </c>
      <c r="J3546">
        <v>113.04</v>
      </c>
      <c r="K3546" t="e">
        <f>IF(COUNTIF(#REF!,Tabela2[[#This Row],[IdxWspolny]])&gt;0,"ELEM_lub_PRD","TECHN")</f>
        <v>#REF!</v>
      </c>
      <c r="L3546" t="e">
        <f>IF(COUNTIF(#REF!,Tabela2[[#This Row],[KOD_PRODUKTU]])&gt;0,"ELEMENT","PRODUKT")</f>
        <v>#REF!</v>
      </c>
      <c r="M3546" t="e">
        <f>COUNTIF(#REF!,Tabela2[[#This Row],[KOD_PRODUKTU]])</f>
        <v>#REF!</v>
      </c>
    </row>
    <row r="3547" spans="1:13" x14ac:dyDescent="0.25">
      <c r="A3547" s="1" t="s">
        <v>5241</v>
      </c>
      <c r="B3547" t="s">
        <v>5242</v>
      </c>
      <c r="C3547" s="1" t="s">
        <v>7</v>
      </c>
      <c r="D3547" s="1" t="s">
        <v>7</v>
      </c>
      <c r="E3547" s="1" t="s">
        <v>7</v>
      </c>
      <c r="F3547" t="s">
        <v>8</v>
      </c>
      <c r="G3547" t="s">
        <v>9</v>
      </c>
      <c r="H3547" t="s">
        <v>10</v>
      </c>
      <c r="I3547" t="s">
        <v>5244</v>
      </c>
      <c r="J3547">
        <v>136.71</v>
      </c>
      <c r="K3547" t="e">
        <f>IF(COUNTIF(#REF!,Tabela2[[#This Row],[IdxWspolny]])&gt;0,"ELEM_lub_PRD","TECHN")</f>
        <v>#REF!</v>
      </c>
      <c r="L3547" t="e">
        <f>IF(COUNTIF(#REF!,Tabela2[[#This Row],[KOD_PRODUKTU]])&gt;0,"ELEMENT","PRODUKT")</f>
        <v>#REF!</v>
      </c>
      <c r="M3547" t="e">
        <f>COUNTIF(#REF!,Tabela2[[#This Row],[KOD_PRODUKTU]])</f>
        <v>#REF!</v>
      </c>
    </row>
    <row r="3548" spans="1:13" x14ac:dyDescent="0.25">
      <c r="A3548" s="1" t="s">
        <v>5241</v>
      </c>
      <c r="B3548" t="s">
        <v>5242</v>
      </c>
      <c r="C3548" s="1" t="s">
        <v>7</v>
      </c>
      <c r="D3548" s="1" t="s">
        <v>7</v>
      </c>
      <c r="E3548" s="1" t="s">
        <v>7</v>
      </c>
      <c r="F3548" t="s">
        <v>8</v>
      </c>
      <c r="G3548" t="s">
        <v>9</v>
      </c>
      <c r="H3548" t="s">
        <v>10</v>
      </c>
      <c r="I3548" t="s">
        <v>92</v>
      </c>
      <c r="J3548">
        <v>92</v>
      </c>
      <c r="K3548" t="e">
        <f>IF(COUNTIF(#REF!,Tabela2[[#This Row],[IdxWspolny]])&gt;0,"ELEM_lub_PRD","TECHN")</f>
        <v>#REF!</v>
      </c>
      <c r="L3548" t="e">
        <f>IF(COUNTIF(#REF!,Tabela2[[#This Row],[KOD_PRODUKTU]])&gt;0,"ELEMENT","PRODUKT")</f>
        <v>#REF!</v>
      </c>
      <c r="M3548" t="e">
        <f>COUNTIF(#REF!,Tabela2[[#This Row],[KOD_PRODUKTU]])</f>
        <v>#REF!</v>
      </c>
    </row>
    <row r="3549" spans="1:13" x14ac:dyDescent="0.25">
      <c r="A3549" s="1" t="s">
        <v>5245</v>
      </c>
      <c r="B3549" t="s">
        <v>5246</v>
      </c>
      <c r="C3549" s="1" t="s">
        <v>1249</v>
      </c>
      <c r="D3549" s="1" t="s">
        <v>1249</v>
      </c>
      <c r="E3549" s="1" t="s">
        <v>1249</v>
      </c>
      <c r="F3549" t="s">
        <v>1250</v>
      </c>
      <c r="G3549" t="s">
        <v>1251</v>
      </c>
      <c r="H3549" t="s">
        <v>1252</v>
      </c>
      <c r="I3549" t="s">
        <v>5247</v>
      </c>
      <c r="J3549">
        <v>109.56</v>
      </c>
      <c r="K3549" t="e">
        <f>IF(COUNTIF(#REF!,Tabela2[[#This Row],[IdxWspolny]])&gt;0,"ELEM_lub_PRD","TECHN")</f>
        <v>#REF!</v>
      </c>
      <c r="L3549" t="e">
        <f>IF(COUNTIF(#REF!,Tabela2[[#This Row],[KOD_PRODUKTU]])&gt;0,"ELEMENT","PRODUKT")</f>
        <v>#REF!</v>
      </c>
      <c r="M3549" t="e">
        <f>COUNTIF(#REF!,Tabela2[[#This Row],[KOD_PRODUKTU]])</f>
        <v>#REF!</v>
      </c>
    </row>
    <row r="3550" spans="1:13" x14ac:dyDescent="0.25">
      <c r="A3550" s="1" t="s">
        <v>5245</v>
      </c>
      <c r="B3550" t="s">
        <v>5246</v>
      </c>
      <c r="C3550" s="1" t="s">
        <v>7</v>
      </c>
      <c r="D3550" s="1" t="s">
        <v>7</v>
      </c>
      <c r="E3550" s="1" t="s">
        <v>7</v>
      </c>
      <c r="F3550" t="s">
        <v>8</v>
      </c>
      <c r="G3550" t="s">
        <v>9</v>
      </c>
      <c r="H3550" t="s">
        <v>10</v>
      </c>
      <c r="I3550" t="s">
        <v>5248</v>
      </c>
      <c r="J3550">
        <v>128.08000000000001</v>
      </c>
      <c r="K3550" t="e">
        <f>IF(COUNTIF(#REF!,Tabela2[[#This Row],[IdxWspolny]])&gt;0,"ELEM_lub_PRD","TECHN")</f>
        <v>#REF!</v>
      </c>
      <c r="L3550" t="e">
        <f>IF(COUNTIF(#REF!,Tabela2[[#This Row],[KOD_PRODUKTU]])&gt;0,"ELEMENT","PRODUKT")</f>
        <v>#REF!</v>
      </c>
      <c r="M3550" t="e">
        <f>COUNTIF(#REF!,Tabela2[[#This Row],[KOD_PRODUKTU]])</f>
        <v>#REF!</v>
      </c>
    </row>
    <row r="3551" spans="1:13" x14ac:dyDescent="0.25">
      <c r="A3551" s="1" t="s">
        <v>5245</v>
      </c>
      <c r="B3551" t="s">
        <v>5246</v>
      </c>
      <c r="C3551" s="1" t="s">
        <v>7</v>
      </c>
      <c r="D3551" s="1" t="s">
        <v>7</v>
      </c>
      <c r="E3551" s="1" t="s">
        <v>7</v>
      </c>
      <c r="F3551" t="s">
        <v>8</v>
      </c>
      <c r="G3551" t="s">
        <v>9</v>
      </c>
      <c r="H3551" t="s">
        <v>10</v>
      </c>
      <c r="I3551" t="s">
        <v>92</v>
      </c>
      <c r="J3551">
        <v>92</v>
      </c>
      <c r="K3551" t="e">
        <f>IF(COUNTIF(#REF!,Tabela2[[#This Row],[IdxWspolny]])&gt;0,"ELEM_lub_PRD","TECHN")</f>
        <v>#REF!</v>
      </c>
      <c r="L3551" t="e">
        <f>IF(COUNTIF(#REF!,Tabela2[[#This Row],[KOD_PRODUKTU]])&gt;0,"ELEMENT","PRODUKT")</f>
        <v>#REF!</v>
      </c>
      <c r="M3551" t="e">
        <f>COUNTIF(#REF!,Tabela2[[#This Row],[KOD_PRODUKTU]])</f>
        <v>#REF!</v>
      </c>
    </row>
    <row r="3552" spans="1:13" x14ac:dyDescent="0.25">
      <c r="A3552" s="1" t="s">
        <v>5249</v>
      </c>
      <c r="B3552" t="s">
        <v>5250</v>
      </c>
      <c r="C3552" s="1" t="s">
        <v>1249</v>
      </c>
      <c r="D3552" s="1" t="s">
        <v>1249</v>
      </c>
      <c r="E3552" s="1" t="s">
        <v>1249</v>
      </c>
      <c r="F3552" t="s">
        <v>1250</v>
      </c>
      <c r="G3552" t="s">
        <v>1251</v>
      </c>
      <c r="H3552" t="s">
        <v>1252</v>
      </c>
      <c r="I3552" t="s">
        <v>5247</v>
      </c>
      <c r="J3552">
        <v>109.56</v>
      </c>
      <c r="K3552" t="e">
        <f>IF(COUNTIF(#REF!,Tabela2[[#This Row],[IdxWspolny]])&gt;0,"ELEM_lub_PRD","TECHN")</f>
        <v>#REF!</v>
      </c>
      <c r="L3552" t="e">
        <f>IF(COUNTIF(#REF!,Tabela2[[#This Row],[KOD_PRODUKTU]])&gt;0,"ELEMENT","PRODUKT")</f>
        <v>#REF!</v>
      </c>
      <c r="M3552" t="e">
        <f>COUNTIF(#REF!,Tabela2[[#This Row],[KOD_PRODUKTU]])</f>
        <v>#REF!</v>
      </c>
    </row>
    <row r="3553" spans="1:14" x14ac:dyDescent="0.25">
      <c r="A3553" s="1" t="s">
        <v>5249</v>
      </c>
      <c r="B3553" t="s">
        <v>5250</v>
      </c>
      <c r="C3553" s="1" t="s">
        <v>7</v>
      </c>
      <c r="D3553" s="1" t="s">
        <v>7</v>
      </c>
      <c r="E3553" s="1" t="s">
        <v>7</v>
      </c>
      <c r="F3553" t="s">
        <v>8</v>
      </c>
      <c r="G3553" t="s">
        <v>9</v>
      </c>
      <c r="H3553" t="s">
        <v>10</v>
      </c>
      <c r="I3553" t="s">
        <v>268</v>
      </c>
      <c r="J3553">
        <v>138</v>
      </c>
      <c r="K3553" t="e">
        <f>IF(COUNTIF(#REF!,Tabela2[[#This Row],[IdxWspolny]])&gt;0,"ELEM_lub_PRD","TECHN")</f>
        <v>#REF!</v>
      </c>
      <c r="L3553" t="e">
        <f>IF(COUNTIF(#REF!,Tabela2[[#This Row],[KOD_PRODUKTU]])&gt;0,"ELEMENT","PRODUKT")</f>
        <v>#REF!</v>
      </c>
      <c r="M3553" t="e">
        <f>COUNTIF(#REF!,Tabela2[[#This Row],[KOD_PRODUKTU]])</f>
        <v>#REF!</v>
      </c>
    </row>
    <row r="3554" spans="1:14" x14ac:dyDescent="0.25">
      <c r="A3554" s="1" t="s">
        <v>5249</v>
      </c>
      <c r="B3554" t="s">
        <v>5250</v>
      </c>
      <c r="C3554" s="1" t="s">
        <v>7</v>
      </c>
      <c r="D3554" s="1" t="s">
        <v>7</v>
      </c>
      <c r="E3554" s="1" t="s">
        <v>7</v>
      </c>
      <c r="F3554" t="s">
        <v>8</v>
      </c>
      <c r="G3554" t="s">
        <v>9</v>
      </c>
      <c r="H3554" t="s">
        <v>10</v>
      </c>
      <c r="I3554" t="s">
        <v>92</v>
      </c>
      <c r="J3554">
        <v>92</v>
      </c>
      <c r="K3554" t="e">
        <f>IF(COUNTIF(#REF!,Tabela2[[#This Row],[IdxWspolny]])&gt;0,"ELEM_lub_PRD","TECHN")</f>
        <v>#REF!</v>
      </c>
      <c r="L3554" t="e">
        <f>IF(COUNTIF(#REF!,Tabela2[[#This Row],[KOD_PRODUKTU]])&gt;0,"ELEMENT","PRODUKT")</f>
        <v>#REF!</v>
      </c>
      <c r="M3554" t="e">
        <f>COUNTIF(#REF!,Tabela2[[#This Row],[KOD_PRODUKTU]])</f>
        <v>#REF!</v>
      </c>
    </row>
    <row r="3555" spans="1:14" x14ac:dyDescent="0.25">
      <c r="A3555" s="1" t="s">
        <v>5251</v>
      </c>
      <c r="B3555" t="s">
        <v>5252</v>
      </c>
      <c r="C3555" s="1" t="s">
        <v>1249</v>
      </c>
      <c r="D3555" s="1" t="s">
        <v>1249</v>
      </c>
      <c r="E3555" s="1" t="s">
        <v>1249</v>
      </c>
      <c r="F3555" t="s">
        <v>1250</v>
      </c>
      <c r="G3555" t="s">
        <v>1251</v>
      </c>
      <c r="H3555" t="s">
        <v>1252</v>
      </c>
      <c r="I3555" t="s">
        <v>548</v>
      </c>
      <c r="J3555">
        <v>22.2</v>
      </c>
      <c r="K3555" t="e">
        <f>IF(COUNTIF(#REF!,Tabela2[[#This Row],[IdxWspolny]])&gt;0,"ELEM_lub_PRD","TECHN")</f>
        <v>#REF!</v>
      </c>
      <c r="L3555" t="e">
        <f>IF(COUNTIF(#REF!,Tabela2[[#This Row],[KOD_PRODUKTU]])&gt;0,"ELEMENT","PRODUKT")</f>
        <v>#REF!</v>
      </c>
      <c r="M3555" t="e">
        <f>COUNTIF(#REF!,Tabela2[[#This Row],[KOD_PRODUKTU]])</f>
        <v>#REF!</v>
      </c>
    </row>
    <row r="3556" spans="1:14" x14ac:dyDescent="0.25">
      <c r="A3556" s="1" t="s">
        <v>5251</v>
      </c>
      <c r="B3556" t="s">
        <v>5252</v>
      </c>
      <c r="C3556" s="1" t="s">
        <v>7</v>
      </c>
      <c r="D3556" s="1" t="s">
        <v>7</v>
      </c>
      <c r="E3556" s="1" t="s">
        <v>7</v>
      </c>
      <c r="F3556" t="s">
        <v>8</v>
      </c>
      <c r="G3556" t="s">
        <v>9</v>
      </c>
      <c r="H3556" t="s">
        <v>10</v>
      </c>
      <c r="I3556" t="s">
        <v>5253</v>
      </c>
      <c r="J3556">
        <v>23.49</v>
      </c>
      <c r="K3556" t="e">
        <f>IF(COUNTIF(#REF!,Tabela2[[#This Row],[IdxWspolny]])&gt;0,"ELEM_lub_PRD","TECHN")</f>
        <v>#REF!</v>
      </c>
      <c r="L3556" t="e">
        <f>IF(COUNTIF(#REF!,Tabela2[[#This Row],[KOD_PRODUKTU]])&gt;0,"ELEMENT","PRODUKT")</f>
        <v>#REF!</v>
      </c>
      <c r="M3556" t="e">
        <f>COUNTIF(#REF!,Tabela2[[#This Row],[KOD_PRODUKTU]])</f>
        <v>#REF!</v>
      </c>
    </row>
    <row r="3557" spans="1:14" x14ac:dyDescent="0.25">
      <c r="A3557" s="1" t="s">
        <v>5251</v>
      </c>
      <c r="B3557" t="s">
        <v>5252</v>
      </c>
      <c r="C3557" s="1" t="s">
        <v>7</v>
      </c>
      <c r="D3557" s="1" t="s">
        <v>7</v>
      </c>
      <c r="E3557" s="1" t="s">
        <v>7</v>
      </c>
      <c r="F3557" t="s">
        <v>8</v>
      </c>
      <c r="G3557" t="s">
        <v>9</v>
      </c>
      <c r="H3557" t="s">
        <v>10</v>
      </c>
      <c r="I3557" t="s">
        <v>860</v>
      </c>
      <c r="J3557">
        <v>23</v>
      </c>
      <c r="K3557" t="e">
        <f>IF(COUNTIF(#REF!,Tabela2[[#This Row],[IdxWspolny]])&gt;0,"ELEM_lub_PRD","TECHN")</f>
        <v>#REF!</v>
      </c>
      <c r="L3557" t="e">
        <f>IF(COUNTIF(#REF!,Tabela2[[#This Row],[KOD_PRODUKTU]])&gt;0,"ELEMENT","PRODUKT")</f>
        <v>#REF!</v>
      </c>
      <c r="M3557" t="e">
        <f>COUNTIF(#REF!,Tabela2[[#This Row],[KOD_PRODUKTU]])</f>
        <v>#REF!</v>
      </c>
    </row>
    <row r="3558" spans="1:14" x14ac:dyDescent="0.25">
      <c r="A3558" s="1" t="s">
        <v>5254</v>
      </c>
      <c r="B3558" t="s">
        <v>5255</v>
      </c>
      <c r="C3558" s="1" t="s">
        <v>1249</v>
      </c>
      <c r="D3558" s="1" t="s">
        <v>1249</v>
      </c>
      <c r="E3558" s="1" t="s">
        <v>1249</v>
      </c>
      <c r="F3558" t="s">
        <v>1250</v>
      </c>
      <c r="G3558" t="s">
        <v>1251</v>
      </c>
      <c r="H3558" t="s">
        <v>1252</v>
      </c>
      <c r="I3558" t="s">
        <v>2213</v>
      </c>
      <c r="J3558">
        <v>9.6</v>
      </c>
      <c r="K3558" t="e">
        <f>IF(COUNTIF(#REF!,Tabela2[[#This Row],[IdxWspolny]])&gt;0,"ELEM_lub_PRD","TECHN")</f>
        <v>#REF!</v>
      </c>
      <c r="L3558" t="e">
        <f>IF(COUNTIF(#REF!,Tabela2[[#This Row],[KOD_PRODUKTU]])&gt;0,"ELEMENT","PRODUKT")</f>
        <v>#REF!</v>
      </c>
      <c r="M3558" t="e">
        <f>COUNTIF(#REF!,Tabela2[[#This Row],[KOD_PRODUKTU]])</f>
        <v>#REF!</v>
      </c>
    </row>
    <row r="3559" spans="1:14" x14ac:dyDescent="0.25">
      <c r="A3559" s="1" t="s">
        <v>5254</v>
      </c>
      <c r="B3559" t="s">
        <v>5255</v>
      </c>
      <c r="C3559" s="1" t="s">
        <v>7</v>
      </c>
      <c r="D3559" s="1" t="s">
        <v>7</v>
      </c>
      <c r="E3559" s="1" t="s">
        <v>7</v>
      </c>
      <c r="F3559" t="s">
        <v>8</v>
      </c>
      <c r="G3559" t="s">
        <v>9</v>
      </c>
      <c r="H3559" t="s">
        <v>10</v>
      </c>
      <c r="I3559" t="s">
        <v>5256</v>
      </c>
      <c r="J3559">
        <v>15.07</v>
      </c>
      <c r="K3559" t="e">
        <f>IF(COUNTIF(#REF!,Tabela2[[#This Row],[IdxWspolny]])&gt;0,"ELEM_lub_PRD","TECHN")</f>
        <v>#REF!</v>
      </c>
      <c r="L3559" t="e">
        <f>IF(COUNTIF(#REF!,Tabela2[[#This Row],[KOD_PRODUKTU]])&gt;0,"ELEMENT","PRODUKT")</f>
        <v>#REF!</v>
      </c>
      <c r="M3559" t="e">
        <f>COUNTIF(#REF!,Tabela2[[#This Row],[KOD_PRODUKTU]])</f>
        <v>#REF!</v>
      </c>
    </row>
    <row r="3560" spans="1:14" x14ac:dyDescent="0.25">
      <c r="A3560" s="1" t="s">
        <v>5254</v>
      </c>
      <c r="B3560" t="s">
        <v>5255</v>
      </c>
      <c r="C3560" s="1" t="s">
        <v>7</v>
      </c>
      <c r="D3560" s="1" t="s">
        <v>7</v>
      </c>
      <c r="E3560" s="1" t="s">
        <v>7</v>
      </c>
      <c r="F3560" t="s">
        <v>8</v>
      </c>
      <c r="G3560" t="s">
        <v>9</v>
      </c>
      <c r="H3560" t="s">
        <v>10</v>
      </c>
      <c r="I3560" t="s">
        <v>1254</v>
      </c>
      <c r="J3560">
        <v>16.100000000000001</v>
      </c>
      <c r="K3560" t="e">
        <f>IF(COUNTIF(#REF!,Tabela2[[#This Row],[IdxWspolny]])&gt;0,"ELEM_lub_PRD","TECHN")</f>
        <v>#REF!</v>
      </c>
      <c r="L3560" t="e">
        <f>IF(COUNTIF(#REF!,Tabela2[[#This Row],[KOD_PRODUKTU]])&gt;0,"ELEMENT","PRODUKT")</f>
        <v>#REF!</v>
      </c>
      <c r="M3560" t="e">
        <f>COUNTIF(#REF!,Tabela2[[#This Row],[KOD_PRODUKTU]])</f>
        <v>#REF!</v>
      </c>
    </row>
    <row r="3561" spans="1:14" x14ac:dyDescent="0.25">
      <c r="A3561" s="1" t="s">
        <v>5257</v>
      </c>
      <c r="B3561" t="s">
        <v>5258</v>
      </c>
      <c r="C3561" s="1" t="s">
        <v>1249</v>
      </c>
      <c r="D3561" s="1" t="s">
        <v>1249</v>
      </c>
      <c r="E3561" s="1" t="s">
        <v>1249</v>
      </c>
      <c r="F3561" t="s">
        <v>1250</v>
      </c>
      <c r="G3561" t="s">
        <v>1251</v>
      </c>
      <c r="H3561" t="s">
        <v>1252</v>
      </c>
      <c r="I3561" t="s">
        <v>4856</v>
      </c>
      <c r="J3561">
        <v>15.36</v>
      </c>
      <c r="K3561" t="e">
        <f>IF(COUNTIF(#REF!,Tabela2[[#This Row],[IdxWspolny]])&gt;0,"ELEM_lub_PRD","TECHN")</f>
        <v>#REF!</v>
      </c>
      <c r="L3561" t="e">
        <f>IF(COUNTIF(#REF!,Tabela2[[#This Row],[KOD_PRODUKTU]])&gt;0,"ELEMENT","PRODUKT")</f>
        <v>#REF!</v>
      </c>
      <c r="M3561" t="e">
        <f>COUNTIF(#REF!,Tabela2[[#This Row],[KOD_PRODUKTU]])</f>
        <v>#REF!</v>
      </c>
    </row>
    <row r="3562" spans="1:14" x14ac:dyDescent="0.25">
      <c r="A3562" s="1" t="s">
        <v>5257</v>
      </c>
      <c r="B3562" t="s">
        <v>5258</v>
      </c>
      <c r="C3562" s="1" t="s">
        <v>7</v>
      </c>
      <c r="D3562" s="1" t="s">
        <v>7</v>
      </c>
      <c r="E3562" s="1" t="s">
        <v>7</v>
      </c>
      <c r="F3562" t="s">
        <v>8</v>
      </c>
      <c r="G3562" t="s">
        <v>9</v>
      </c>
      <c r="H3562" t="s">
        <v>10</v>
      </c>
      <c r="I3562" t="s">
        <v>5259</v>
      </c>
      <c r="J3562">
        <v>16.32</v>
      </c>
      <c r="K3562" t="e">
        <f>IF(COUNTIF(#REF!,Tabela2[[#This Row],[IdxWspolny]])&gt;0,"ELEM_lub_PRD","TECHN")</f>
        <v>#REF!</v>
      </c>
      <c r="L3562" t="e">
        <f>IF(COUNTIF(#REF!,Tabela2[[#This Row],[KOD_PRODUKTU]])&gt;0,"ELEMENT","PRODUKT")</f>
        <v>#REF!</v>
      </c>
      <c r="M3562" t="e">
        <f>COUNTIF(#REF!,Tabela2[[#This Row],[KOD_PRODUKTU]])</f>
        <v>#REF!</v>
      </c>
    </row>
    <row r="3563" spans="1:14" x14ac:dyDescent="0.25">
      <c r="A3563" s="1" t="s">
        <v>5260</v>
      </c>
      <c r="B3563" t="s">
        <v>5261</v>
      </c>
      <c r="C3563" s="1" t="s">
        <v>5262</v>
      </c>
      <c r="D3563" s="1" t="s">
        <v>5262</v>
      </c>
      <c r="E3563" s="1" t="s">
        <v>5262</v>
      </c>
      <c r="F3563" t="s">
        <v>5263</v>
      </c>
      <c r="G3563" t="s">
        <v>5264</v>
      </c>
      <c r="H3563" t="s">
        <v>121</v>
      </c>
      <c r="I3563" t="s">
        <v>5265</v>
      </c>
      <c r="J3563">
        <v>3.5</v>
      </c>
      <c r="K3563" t="e">
        <f>IF(COUNTIF(#REF!,Tabela2[[#This Row],[IdxWspolny]])&gt;0,"ELEM_lub_PRD","TECHN")</f>
        <v>#REF!</v>
      </c>
      <c r="L3563" t="e">
        <f>IF(COUNTIF(#REF!,Tabela2[[#This Row],[KOD_PRODUKTU]])&gt;0,"ELEMENT","PRODUKT")</f>
        <v>#REF!</v>
      </c>
      <c r="M3563" t="e">
        <f>COUNTIF(#REF!,Tabela2[[#This Row],[KOD_PRODUKTU]])</f>
        <v>#REF!</v>
      </c>
    </row>
    <row r="3564" spans="1:14" x14ac:dyDescent="0.25">
      <c r="A3564" s="1" t="s">
        <v>5260</v>
      </c>
      <c r="B3564" t="s">
        <v>5261</v>
      </c>
      <c r="C3564" s="1" t="s">
        <v>5266</v>
      </c>
      <c r="D3564" s="1" t="s">
        <v>5266</v>
      </c>
      <c r="E3564" s="1" t="s">
        <v>5266</v>
      </c>
      <c r="F3564" t="s">
        <v>5267</v>
      </c>
      <c r="G3564" t="s">
        <v>311</v>
      </c>
      <c r="H3564" t="s">
        <v>5</v>
      </c>
      <c r="I3564" t="s">
        <v>5268</v>
      </c>
      <c r="J3564">
        <v>51.5</v>
      </c>
      <c r="K3564" t="e">
        <f>IF(COUNTIF(#REF!,Tabela2[[#This Row],[IdxWspolny]])&gt;0,"ELEM_lub_PRD","TECHN")</f>
        <v>#REF!</v>
      </c>
      <c r="L3564" t="e">
        <f>IF(COUNTIF(#REF!,Tabela2[[#This Row],[KOD_PRODUKTU]])&gt;0,"ELEMENT","PRODUKT")</f>
        <v>#REF!</v>
      </c>
      <c r="M3564" t="e">
        <f>COUNTIF(#REF!,Tabela2[[#This Row],[KOD_PRODUKTU]])</f>
        <v>#REF!</v>
      </c>
    </row>
    <row r="3565" spans="1:14" x14ac:dyDescent="0.25">
      <c r="A3565" s="1" t="s">
        <v>5260</v>
      </c>
      <c r="B3565" t="s">
        <v>5261</v>
      </c>
      <c r="C3565" s="1" t="s">
        <v>3452</v>
      </c>
      <c r="D3565" s="1" t="s">
        <v>3452</v>
      </c>
      <c r="E3565" s="1" t="s">
        <v>3452</v>
      </c>
      <c r="F3565" t="s">
        <v>3453</v>
      </c>
      <c r="G3565" t="s">
        <v>1588</v>
      </c>
      <c r="H3565" t="s">
        <v>39</v>
      </c>
      <c r="I3565" t="s">
        <v>25</v>
      </c>
      <c r="J3565">
        <v>1.17</v>
      </c>
      <c r="K3565" t="e">
        <f>IF(COUNTIF(#REF!,Tabela2[[#This Row],[IdxWspolny]])&gt;0,"ELEM_lub_PRD","TECHN")</f>
        <v>#REF!</v>
      </c>
      <c r="L3565" t="e">
        <f>IF(COUNTIF(#REF!,Tabela2[[#This Row],[KOD_PRODUKTU]])&gt;0,"ELEMENT","PRODUKT")</f>
        <v>#REF!</v>
      </c>
      <c r="M3565" t="e">
        <f>COUNTIF(#REF!,Tabela2[[#This Row],[KOD_PRODUKTU]])</f>
        <v>#REF!</v>
      </c>
    </row>
    <row r="3566" spans="1:14" x14ac:dyDescent="0.25">
      <c r="A3566" s="1" t="s">
        <v>5260</v>
      </c>
      <c r="B3566" t="s">
        <v>5261</v>
      </c>
      <c r="C3566" s="1" t="s">
        <v>2791</v>
      </c>
      <c r="D3566" s="1" t="s">
        <v>2791</v>
      </c>
      <c r="E3566" s="1" t="s">
        <v>2791</v>
      </c>
      <c r="F3566" t="s">
        <v>2792</v>
      </c>
      <c r="G3566" t="s">
        <v>2793</v>
      </c>
      <c r="H3566" t="s">
        <v>121</v>
      </c>
      <c r="I3566" t="s">
        <v>5269</v>
      </c>
      <c r="J3566">
        <v>3.05</v>
      </c>
      <c r="K3566" t="e">
        <f>IF(COUNTIF(#REF!,Tabela2[[#This Row],[IdxWspolny]])&gt;0,"ELEM_lub_PRD","TECHN")</f>
        <v>#REF!</v>
      </c>
      <c r="L3566" t="e">
        <f>IF(COUNTIF(#REF!,Tabela2[[#This Row],[KOD_PRODUKTU]])&gt;0,"ELEMENT","PRODUKT")</f>
        <v>#REF!</v>
      </c>
      <c r="M3566" t="e">
        <f>COUNTIF(#REF!,Tabela2[[#This Row],[KOD_PRODUKTU]])</f>
        <v>#REF!</v>
      </c>
    </row>
    <row r="3567" spans="1:14" hidden="1" x14ac:dyDescent="0.25">
      <c r="A3567" s="1" t="s">
        <v>5260</v>
      </c>
      <c r="B3567" t="s">
        <v>5261</v>
      </c>
      <c r="C3567" s="1" t="s">
        <v>5254</v>
      </c>
      <c r="D3567" s="1" t="s">
        <v>5254</v>
      </c>
      <c r="E3567" s="1" t="s">
        <v>5254</v>
      </c>
      <c r="F3567" t="s">
        <v>5270</v>
      </c>
      <c r="G3567" t="s">
        <v>5271</v>
      </c>
      <c r="H3567" t="s">
        <v>121</v>
      </c>
      <c r="I3567" t="s">
        <v>50</v>
      </c>
      <c r="J3567">
        <v>40.770000000000003</v>
      </c>
      <c r="K3567" t="e">
        <f>IF(COUNTIF(#REF!,Tabela2[[#This Row],[IdxWspolny]])&gt;0,"ELEM_lub_PRD","TECHN")</f>
        <v>#REF!</v>
      </c>
      <c r="L3567" t="e">
        <f>IF(COUNTIF(#REF!,Tabela2[[#This Row],[KOD_PRODUKTU]])&gt;0,"ELEMENT","PRODUKT")</f>
        <v>#REF!</v>
      </c>
      <c r="M3567" t="e">
        <f>COUNTIF(#REF!,Tabela2[[#This Row],[KOD_PRODUKTU]])</f>
        <v>#REF!</v>
      </c>
      <c r="N3567" t="s">
        <v>55</v>
      </c>
    </row>
    <row r="3568" spans="1:14" hidden="1" x14ac:dyDescent="0.25">
      <c r="A3568" s="1" t="s">
        <v>5260</v>
      </c>
      <c r="B3568" t="s">
        <v>5261</v>
      </c>
      <c r="C3568" s="1" t="s">
        <v>5257</v>
      </c>
      <c r="D3568" s="1" t="s">
        <v>5257</v>
      </c>
      <c r="E3568" s="1" t="s">
        <v>5257</v>
      </c>
      <c r="F3568" t="s">
        <v>5272</v>
      </c>
      <c r="G3568" t="s">
        <v>5273</v>
      </c>
      <c r="H3568" t="s">
        <v>121</v>
      </c>
      <c r="I3568" t="s">
        <v>50</v>
      </c>
      <c r="J3568">
        <v>31.68</v>
      </c>
      <c r="K3568" t="e">
        <f>IF(COUNTIF(#REF!,Tabela2[[#This Row],[IdxWspolny]])&gt;0,"ELEM_lub_PRD","TECHN")</f>
        <v>#REF!</v>
      </c>
      <c r="L3568" t="e">
        <f>IF(COUNTIF(#REF!,Tabela2[[#This Row],[KOD_PRODUKTU]])&gt;0,"ELEMENT","PRODUKT")</f>
        <v>#REF!</v>
      </c>
      <c r="M3568" t="e">
        <f>COUNTIF(#REF!,Tabela2[[#This Row],[KOD_PRODUKTU]])</f>
        <v>#REF!</v>
      </c>
      <c r="N3568" t="s">
        <v>55</v>
      </c>
    </row>
    <row r="3569" spans="1:13" x14ac:dyDescent="0.25">
      <c r="A3569" s="1" t="s">
        <v>5260</v>
      </c>
      <c r="B3569" t="s">
        <v>5261</v>
      </c>
      <c r="C3569" s="1" t="s">
        <v>684</v>
      </c>
      <c r="D3569" s="1" t="s">
        <v>684</v>
      </c>
      <c r="E3569" s="1" t="s">
        <v>684</v>
      </c>
      <c r="F3569" t="s">
        <v>685</v>
      </c>
      <c r="G3569" t="s">
        <v>686</v>
      </c>
      <c r="H3569" t="s">
        <v>49</v>
      </c>
      <c r="I3569" t="s">
        <v>5274</v>
      </c>
      <c r="J3569">
        <v>3.7</v>
      </c>
      <c r="K3569" t="e">
        <f>IF(COUNTIF(#REF!,Tabela2[[#This Row],[IdxWspolny]])&gt;0,"ELEM_lub_PRD","TECHN")</f>
        <v>#REF!</v>
      </c>
      <c r="L3569" t="e">
        <f>IF(COUNTIF(#REF!,Tabela2[[#This Row],[KOD_PRODUKTU]])&gt;0,"ELEMENT","PRODUKT")</f>
        <v>#REF!</v>
      </c>
      <c r="M3569" t="e">
        <f>COUNTIF(#REF!,Tabela2[[#This Row],[KOD_PRODUKTU]])</f>
        <v>#REF!</v>
      </c>
    </row>
    <row r="3570" spans="1:13" x14ac:dyDescent="0.25">
      <c r="A3570" s="1" t="s">
        <v>5260</v>
      </c>
      <c r="B3570" t="s">
        <v>5261</v>
      </c>
      <c r="C3570" s="1" t="s">
        <v>541</v>
      </c>
      <c r="D3570" s="1" t="s">
        <v>541</v>
      </c>
      <c r="E3570" s="1" t="s">
        <v>541</v>
      </c>
      <c r="F3570" t="s">
        <v>542</v>
      </c>
      <c r="G3570" t="s">
        <v>9</v>
      </c>
      <c r="H3570" t="s">
        <v>10</v>
      </c>
      <c r="I3570" t="s">
        <v>5275</v>
      </c>
      <c r="J3570">
        <v>5.0199999999999996</v>
      </c>
      <c r="K3570" t="e">
        <f>IF(COUNTIF(#REF!,Tabela2[[#This Row],[IdxWspolny]])&gt;0,"ELEM_lub_PRD","TECHN")</f>
        <v>#REF!</v>
      </c>
      <c r="L3570" t="e">
        <f>IF(COUNTIF(#REF!,Tabela2[[#This Row],[KOD_PRODUKTU]])&gt;0,"ELEMENT","PRODUKT")</f>
        <v>#REF!</v>
      </c>
      <c r="M3570" t="e">
        <f>COUNTIF(#REF!,Tabela2[[#This Row],[KOD_PRODUKTU]])</f>
        <v>#REF!</v>
      </c>
    </row>
    <row r="3571" spans="1:13" x14ac:dyDescent="0.25">
      <c r="A3571" s="1" t="s">
        <v>5260</v>
      </c>
      <c r="B3571" t="s">
        <v>5261</v>
      </c>
      <c r="C3571" s="1" t="s">
        <v>541</v>
      </c>
      <c r="D3571" s="1" t="s">
        <v>541</v>
      </c>
      <c r="E3571" s="1" t="s">
        <v>541</v>
      </c>
      <c r="F3571" t="s">
        <v>542</v>
      </c>
      <c r="G3571" t="s">
        <v>9</v>
      </c>
      <c r="H3571" t="s">
        <v>10</v>
      </c>
      <c r="I3571" t="s">
        <v>5276</v>
      </c>
      <c r="J3571">
        <v>33.35</v>
      </c>
      <c r="K3571" t="e">
        <f>IF(COUNTIF(#REF!,Tabela2[[#This Row],[IdxWspolny]])&gt;0,"ELEM_lub_PRD","TECHN")</f>
        <v>#REF!</v>
      </c>
      <c r="L3571" t="e">
        <f>IF(COUNTIF(#REF!,Tabela2[[#This Row],[KOD_PRODUKTU]])&gt;0,"ELEMENT","PRODUKT")</f>
        <v>#REF!</v>
      </c>
      <c r="M3571" t="e">
        <f>COUNTIF(#REF!,Tabela2[[#This Row],[KOD_PRODUKTU]])</f>
        <v>#REF!</v>
      </c>
    </row>
    <row r="3572" spans="1:13" x14ac:dyDescent="0.25">
      <c r="A3572" s="1" t="s">
        <v>5277</v>
      </c>
      <c r="B3572" t="s">
        <v>5278</v>
      </c>
      <c r="C3572" s="1" t="s">
        <v>432</v>
      </c>
      <c r="D3572" s="1" t="s">
        <v>432</v>
      </c>
      <c r="E3572" s="1" t="s">
        <v>432</v>
      </c>
      <c r="F3572" t="s">
        <v>433</v>
      </c>
      <c r="G3572" t="s">
        <v>434</v>
      </c>
      <c r="H3572" t="s">
        <v>435</v>
      </c>
      <c r="I3572" t="s">
        <v>5279</v>
      </c>
      <c r="J3572">
        <v>4.8600000000000003</v>
      </c>
      <c r="K3572" t="e">
        <f>IF(COUNTIF(#REF!,Tabela2[[#This Row],[IdxWspolny]])&gt;0,"ELEM_lub_PRD","TECHN")</f>
        <v>#REF!</v>
      </c>
      <c r="L3572" t="e">
        <f>IF(COUNTIF(#REF!,Tabela2[[#This Row],[KOD_PRODUKTU]])&gt;0,"ELEMENT","PRODUKT")</f>
        <v>#REF!</v>
      </c>
      <c r="M3572" t="e">
        <f>COUNTIF(#REF!,Tabela2[[#This Row],[KOD_PRODUKTU]])</f>
        <v>#REF!</v>
      </c>
    </row>
    <row r="3573" spans="1:13" x14ac:dyDescent="0.25">
      <c r="A3573" s="1" t="s">
        <v>5277</v>
      </c>
      <c r="B3573" t="s">
        <v>5278</v>
      </c>
      <c r="C3573" s="1" t="s">
        <v>684</v>
      </c>
      <c r="D3573" s="1" t="s">
        <v>684</v>
      </c>
      <c r="E3573" s="1" t="s">
        <v>684</v>
      </c>
      <c r="F3573" t="s">
        <v>685</v>
      </c>
      <c r="G3573" t="s">
        <v>686</v>
      </c>
      <c r="H3573" t="s">
        <v>49</v>
      </c>
      <c r="I3573" t="s">
        <v>5280</v>
      </c>
      <c r="J3573">
        <v>6.75</v>
      </c>
      <c r="K3573" t="e">
        <f>IF(COUNTIF(#REF!,Tabela2[[#This Row],[IdxWspolny]])&gt;0,"ELEM_lub_PRD","TECHN")</f>
        <v>#REF!</v>
      </c>
      <c r="L3573" t="e">
        <f>IF(COUNTIF(#REF!,Tabela2[[#This Row],[KOD_PRODUKTU]])&gt;0,"ELEMENT","PRODUKT")</f>
        <v>#REF!</v>
      </c>
      <c r="M3573" t="e">
        <f>COUNTIF(#REF!,Tabela2[[#This Row],[KOD_PRODUKTU]])</f>
        <v>#REF!</v>
      </c>
    </row>
    <row r="3574" spans="1:13" x14ac:dyDescent="0.25">
      <c r="A3574" s="1" t="s">
        <v>5277</v>
      </c>
      <c r="B3574" t="s">
        <v>5278</v>
      </c>
      <c r="C3574" s="1" t="s">
        <v>7</v>
      </c>
      <c r="D3574" s="1" t="s">
        <v>7</v>
      </c>
      <c r="E3574" s="1" t="s">
        <v>7</v>
      </c>
      <c r="F3574" t="s">
        <v>8</v>
      </c>
      <c r="G3574" t="s">
        <v>9</v>
      </c>
      <c r="H3574" t="s">
        <v>10</v>
      </c>
      <c r="I3574" t="s">
        <v>1191</v>
      </c>
      <c r="J3574">
        <v>50.6</v>
      </c>
      <c r="K3574" t="e">
        <f>IF(COUNTIF(#REF!,Tabela2[[#This Row],[IdxWspolny]])&gt;0,"ELEM_lub_PRD","TECHN")</f>
        <v>#REF!</v>
      </c>
      <c r="L3574" t="e">
        <f>IF(COUNTIF(#REF!,Tabela2[[#This Row],[KOD_PRODUKTU]])&gt;0,"ELEMENT","PRODUKT")</f>
        <v>#REF!</v>
      </c>
      <c r="M3574" t="e">
        <f>COUNTIF(#REF!,Tabela2[[#This Row],[KOD_PRODUKTU]])</f>
        <v>#REF!</v>
      </c>
    </row>
    <row r="3575" spans="1:13" x14ac:dyDescent="0.25">
      <c r="A3575" s="1" t="s">
        <v>5281</v>
      </c>
      <c r="B3575" t="s">
        <v>5282</v>
      </c>
      <c r="C3575" s="1" t="s">
        <v>5283</v>
      </c>
      <c r="D3575" s="1" t="s">
        <v>5283</v>
      </c>
      <c r="E3575" s="1" t="s">
        <v>5283</v>
      </c>
      <c r="F3575" t="s">
        <v>5284</v>
      </c>
      <c r="G3575" t="s">
        <v>328</v>
      </c>
      <c r="H3575" t="s">
        <v>39</v>
      </c>
      <c r="I3575" t="s">
        <v>25</v>
      </c>
      <c r="J3575">
        <v>0.37</v>
      </c>
      <c r="K3575" t="e">
        <f>IF(COUNTIF(#REF!,Tabela2[[#This Row],[IdxWspolny]])&gt;0,"ELEM_lub_PRD","TECHN")</f>
        <v>#REF!</v>
      </c>
      <c r="L3575" t="e">
        <f>IF(COUNTIF(#REF!,Tabela2[[#This Row],[KOD_PRODUKTU]])&gt;0,"ELEMENT","PRODUKT")</f>
        <v>#REF!</v>
      </c>
      <c r="M3575" t="e">
        <f>COUNTIF(#REF!,Tabela2[[#This Row],[KOD_PRODUKTU]])</f>
        <v>#REF!</v>
      </c>
    </row>
    <row r="3576" spans="1:13" x14ac:dyDescent="0.25">
      <c r="A3576" s="1" t="s">
        <v>5281</v>
      </c>
      <c r="B3576" t="s">
        <v>5282</v>
      </c>
      <c r="C3576" s="1" t="s">
        <v>5285</v>
      </c>
      <c r="D3576" s="1" t="s">
        <v>5285</v>
      </c>
      <c r="E3576" s="1" t="s">
        <v>5285</v>
      </c>
      <c r="F3576" t="s">
        <v>5286</v>
      </c>
      <c r="G3576" t="s">
        <v>2670</v>
      </c>
      <c r="H3576" t="s">
        <v>121</v>
      </c>
      <c r="I3576" t="s">
        <v>1410</v>
      </c>
      <c r="J3576">
        <v>1.0900000000000001</v>
      </c>
      <c r="K3576" t="e">
        <f>IF(COUNTIF(#REF!,Tabela2[[#This Row],[IdxWspolny]])&gt;0,"ELEM_lub_PRD","TECHN")</f>
        <v>#REF!</v>
      </c>
      <c r="L3576" t="e">
        <f>IF(COUNTIF(#REF!,Tabela2[[#This Row],[KOD_PRODUKTU]])&gt;0,"ELEMENT","PRODUKT")</f>
        <v>#REF!</v>
      </c>
      <c r="M3576" t="e">
        <f>COUNTIF(#REF!,Tabela2[[#This Row],[KOD_PRODUKTU]])</f>
        <v>#REF!</v>
      </c>
    </row>
    <row r="3577" spans="1:13" x14ac:dyDescent="0.25">
      <c r="A3577" s="1" t="s">
        <v>5281</v>
      </c>
      <c r="B3577" t="s">
        <v>5282</v>
      </c>
      <c r="C3577" s="1" t="s">
        <v>5287</v>
      </c>
      <c r="D3577" s="1" t="s">
        <v>5287</v>
      </c>
      <c r="E3577" s="1" t="s">
        <v>5287</v>
      </c>
      <c r="F3577" t="s">
        <v>5288</v>
      </c>
      <c r="G3577" t="s">
        <v>5289</v>
      </c>
      <c r="H3577" t="s">
        <v>49</v>
      </c>
      <c r="I3577" t="s">
        <v>50</v>
      </c>
      <c r="J3577">
        <v>113.1</v>
      </c>
      <c r="K3577" t="e">
        <f>IF(COUNTIF(#REF!,Tabela2[[#This Row],[IdxWspolny]])&gt;0,"ELEM_lub_PRD","TECHN")</f>
        <v>#REF!</v>
      </c>
      <c r="L3577" t="e">
        <f>IF(COUNTIF(#REF!,Tabela2[[#This Row],[KOD_PRODUKTU]])&gt;0,"ELEMENT","PRODUKT")</f>
        <v>#REF!</v>
      </c>
      <c r="M3577" t="e">
        <f>COUNTIF(#REF!,Tabela2[[#This Row],[KOD_PRODUKTU]])</f>
        <v>#REF!</v>
      </c>
    </row>
    <row r="3578" spans="1:13" x14ac:dyDescent="0.25">
      <c r="A3578" s="1" t="s">
        <v>5281</v>
      </c>
      <c r="B3578" t="s">
        <v>5282</v>
      </c>
      <c r="C3578" s="1" t="s">
        <v>5290</v>
      </c>
      <c r="D3578" s="1" t="s">
        <v>5290</v>
      </c>
      <c r="E3578" s="1" t="s">
        <v>5290</v>
      </c>
      <c r="F3578" t="s">
        <v>5291</v>
      </c>
      <c r="G3578" t="s">
        <v>5292</v>
      </c>
      <c r="H3578" t="s">
        <v>49</v>
      </c>
      <c r="I3578" t="s">
        <v>319</v>
      </c>
      <c r="J3578">
        <v>6.24</v>
      </c>
      <c r="K3578" t="e">
        <f>IF(COUNTIF(#REF!,Tabela2[[#This Row],[IdxWspolny]])&gt;0,"ELEM_lub_PRD","TECHN")</f>
        <v>#REF!</v>
      </c>
      <c r="L3578" t="e">
        <f>IF(COUNTIF(#REF!,Tabela2[[#This Row],[KOD_PRODUKTU]])&gt;0,"ELEMENT","PRODUKT")</f>
        <v>#REF!</v>
      </c>
      <c r="M3578" t="e">
        <f>COUNTIF(#REF!,Tabela2[[#This Row],[KOD_PRODUKTU]])</f>
        <v>#REF!</v>
      </c>
    </row>
    <row r="3579" spans="1:13" x14ac:dyDescent="0.25">
      <c r="A3579" s="1" t="s">
        <v>5281</v>
      </c>
      <c r="B3579" t="s">
        <v>5282</v>
      </c>
      <c r="C3579" s="1" t="s">
        <v>5293</v>
      </c>
      <c r="D3579" s="1" t="s">
        <v>5293</v>
      </c>
      <c r="E3579" s="1" t="s">
        <v>5293</v>
      </c>
      <c r="F3579" t="s">
        <v>5294</v>
      </c>
      <c r="G3579" t="s">
        <v>5295</v>
      </c>
      <c r="H3579" t="s">
        <v>49</v>
      </c>
      <c r="I3579" t="s">
        <v>122</v>
      </c>
      <c r="J3579">
        <v>27.04</v>
      </c>
      <c r="K3579" t="e">
        <f>IF(COUNTIF(#REF!,Tabela2[[#This Row],[IdxWspolny]])&gt;0,"ELEM_lub_PRD","TECHN")</f>
        <v>#REF!</v>
      </c>
      <c r="L3579" t="e">
        <f>IF(COUNTIF(#REF!,Tabela2[[#This Row],[KOD_PRODUKTU]])&gt;0,"ELEMENT","PRODUKT")</f>
        <v>#REF!</v>
      </c>
      <c r="M3579" t="e">
        <f>COUNTIF(#REF!,Tabela2[[#This Row],[KOD_PRODUKTU]])</f>
        <v>#REF!</v>
      </c>
    </row>
    <row r="3580" spans="1:13" x14ac:dyDescent="0.25">
      <c r="A3580" s="1" t="s">
        <v>5281</v>
      </c>
      <c r="B3580" t="s">
        <v>5282</v>
      </c>
      <c r="C3580" s="1" t="s">
        <v>5296</v>
      </c>
      <c r="D3580" s="1" t="s">
        <v>5296</v>
      </c>
      <c r="E3580" s="1" t="s">
        <v>5296</v>
      </c>
      <c r="F3580" t="s">
        <v>5297</v>
      </c>
      <c r="G3580" t="s">
        <v>5298</v>
      </c>
      <c r="H3580" t="s">
        <v>49</v>
      </c>
      <c r="I3580" t="s">
        <v>122</v>
      </c>
      <c r="J3580">
        <v>100.88</v>
      </c>
      <c r="K3580" t="e">
        <f>IF(COUNTIF(#REF!,Tabela2[[#This Row],[IdxWspolny]])&gt;0,"ELEM_lub_PRD","TECHN")</f>
        <v>#REF!</v>
      </c>
      <c r="L3580" t="e">
        <f>IF(COUNTIF(#REF!,Tabela2[[#This Row],[KOD_PRODUKTU]])&gt;0,"ELEMENT","PRODUKT")</f>
        <v>#REF!</v>
      </c>
      <c r="M3580" t="e">
        <f>COUNTIF(#REF!,Tabela2[[#This Row],[KOD_PRODUKTU]])</f>
        <v>#REF!</v>
      </c>
    </row>
    <row r="3581" spans="1:13" x14ac:dyDescent="0.25">
      <c r="A3581" s="1" t="s">
        <v>5281</v>
      </c>
      <c r="B3581" t="s">
        <v>5282</v>
      </c>
      <c r="C3581" s="1" t="s">
        <v>5299</v>
      </c>
      <c r="D3581" s="1" t="s">
        <v>5299</v>
      </c>
      <c r="E3581" s="1" t="s">
        <v>5299</v>
      </c>
      <c r="F3581" t="s">
        <v>5300</v>
      </c>
      <c r="G3581" t="s">
        <v>4305</v>
      </c>
      <c r="H3581" t="s">
        <v>49</v>
      </c>
      <c r="I3581" t="s">
        <v>122</v>
      </c>
      <c r="J3581">
        <v>63.44</v>
      </c>
      <c r="K3581" t="e">
        <f>IF(COUNTIF(#REF!,Tabela2[[#This Row],[IdxWspolny]])&gt;0,"ELEM_lub_PRD","TECHN")</f>
        <v>#REF!</v>
      </c>
      <c r="L3581" t="e">
        <f>IF(COUNTIF(#REF!,Tabela2[[#This Row],[KOD_PRODUKTU]])&gt;0,"ELEMENT","PRODUKT")</f>
        <v>#REF!</v>
      </c>
      <c r="M3581" t="e">
        <f>COUNTIF(#REF!,Tabela2[[#This Row],[KOD_PRODUKTU]])</f>
        <v>#REF!</v>
      </c>
    </row>
    <row r="3582" spans="1:13" x14ac:dyDescent="0.25">
      <c r="A3582" s="1" t="s">
        <v>5281</v>
      </c>
      <c r="B3582" t="s">
        <v>5282</v>
      </c>
      <c r="C3582" s="1" t="s">
        <v>857</v>
      </c>
      <c r="D3582" s="1" t="s">
        <v>857</v>
      </c>
      <c r="E3582" s="1" t="s">
        <v>857</v>
      </c>
      <c r="F3582" t="s">
        <v>858</v>
      </c>
      <c r="G3582" t="s">
        <v>686</v>
      </c>
      <c r="H3582" t="s">
        <v>49</v>
      </c>
      <c r="I3582" t="s">
        <v>5301</v>
      </c>
      <c r="J3582">
        <v>32</v>
      </c>
      <c r="K3582" t="e">
        <f>IF(COUNTIF(#REF!,Tabela2[[#This Row],[IdxWspolny]])&gt;0,"ELEM_lub_PRD","TECHN")</f>
        <v>#REF!</v>
      </c>
      <c r="L3582" t="e">
        <f>IF(COUNTIF(#REF!,Tabela2[[#This Row],[KOD_PRODUKTU]])&gt;0,"ELEMENT","PRODUKT")</f>
        <v>#REF!</v>
      </c>
      <c r="M3582" t="e">
        <f>COUNTIF(#REF!,Tabela2[[#This Row],[KOD_PRODUKTU]])</f>
        <v>#REF!</v>
      </c>
    </row>
    <row r="3583" spans="1:13" x14ac:dyDescent="0.25">
      <c r="A3583" s="1" t="s">
        <v>5281</v>
      </c>
      <c r="B3583" t="s">
        <v>5282</v>
      </c>
      <c r="C3583" s="1" t="s">
        <v>1989</v>
      </c>
      <c r="D3583" s="1" t="s">
        <v>1989</v>
      </c>
      <c r="E3583" s="1" t="s">
        <v>1989</v>
      </c>
      <c r="F3583" t="s">
        <v>1990</v>
      </c>
      <c r="G3583" t="s">
        <v>1991</v>
      </c>
      <c r="H3583" t="s">
        <v>435</v>
      </c>
      <c r="I3583" t="s">
        <v>5302</v>
      </c>
      <c r="J3583">
        <v>109.02</v>
      </c>
      <c r="K3583" t="e">
        <f>IF(COUNTIF(#REF!,Tabela2[[#This Row],[IdxWspolny]])&gt;0,"ELEM_lub_PRD","TECHN")</f>
        <v>#REF!</v>
      </c>
      <c r="L3583" t="e">
        <f>IF(COUNTIF(#REF!,Tabela2[[#This Row],[KOD_PRODUKTU]])&gt;0,"ELEMENT","PRODUKT")</f>
        <v>#REF!</v>
      </c>
      <c r="M3583" t="e">
        <f>COUNTIF(#REF!,Tabela2[[#This Row],[KOD_PRODUKTU]])</f>
        <v>#REF!</v>
      </c>
    </row>
    <row r="3584" spans="1:13" x14ac:dyDescent="0.25">
      <c r="A3584" s="1" t="s">
        <v>5281</v>
      </c>
      <c r="B3584" t="s">
        <v>5282</v>
      </c>
      <c r="C3584" s="1" t="s">
        <v>684</v>
      </c>
      <c r="D3584" s="1" t="s">
        <v>684</v>
      </c>
      <c r="E3584" s="1" t="s">
        <v>684</v>
      </c>
      <c r="F3584" t="s">
        <v>685</v>
      </c>
      <c r="G3584" t="s">
        <v>686</v>
      </c>
      <c r="H3584" t="s">
        <v>49</v>
      </c>
      <c r="I3584" t="s">
        <v>5303</v>
      </c>
      <c r="J3584">
        <v>110</v>
      </c>
      <c r="K3584" t="e">
        <f>IF(COUNTIF(#REF!,Tabela2[[#This Row],[IdxWspolny]])&gt;0,"ELEM_lub_PRD","TECHN")</f>
        <v>#REF!</v>
      </c>
      <c r="L3584" t="e">
        <f>IF(COUNTIF(#REF!,Tabela2[[#This Row],[KOD_PRODUKTU]])&gt;0,"ELEMENT","PRODUKT")</f>
        <v>#REF!</v>
      </c>
      <c r="M3584" t="e">
        <f>COUNTIF(#REF!,Tabela2[[#This Row],[KOD_PRODUKTU]])</f>
        <v>#REF!</v>
      </c>
    </row>
    <row r="3585" spans="1:13" x14ac:dyDescent="0.25">
      <c r="A3585" s="1" t="s">
        <v>5281</v>
      </c>
      <c r="B3585" t="s">
        <v>5282</v>
      </c>
      <c r="C3585" s="1" t="s">
        <v>684</v>
      </c>
      <c r="D3585" s="1" t="s">
        <v>684</v>
      </c>
      <c r="E3585" s="1" t="s">
        <v>684</v>
      </c>
      <c r="F3585" t="s">
        <v>685</v>
      </c>
      <c r="G3585" t="s">
        <v>686</v>
      </c>
      <c r="H3585" t="s">
        <v>49</v>
      </c>
      <c r="I3585" t="s">
        <v>5304</v>
      </c>
      <c r="J3585">
        <v>15.72</v>
      </c>
      <c r="K3585" t="e">
        <f>IF(COUNTIF(#REF!,Tabela2[[#This Row],[IdxWspolny]])&gt;0,"ELEM_lub_PRD","TECHN")</f>
        <v>#REF!</v>
      </c>
      <c r="L3585" t="e">
        <f>IF(COUNTIF(#REF!,Tabela2[[#This Row],[KOD_PRODUKTU]])&gt;0,"ELEMENT","PRODUKT")</f>
        <v>#REF!</v>
      </c>
      <c r="M3585" t="e">
        <f>COUNTIF(#REF!,Tabela2[[#This Row],[KOD_PRODUKTU]])</f>
        <v>#REF!</v>
      </c>
    </row>
    <row r="3586" spans="1:13" x14ac:dyDescent="0.25">
      <c r="A3586" s="1" t="s">
        <v>5281</v>
      </c>
      <c r="B3586" t="s">
        <v>5282</v>
      </c>
      <c r="C3586" s="1" t="s">
        <v>684</v>
      </c>
      <c r="D3586" s="1" t="s">
        <v>684</v>
      </c>
      <c r="E3586" s="1" t="s">
        <v>684</v>
      </c>
      <c r="F3586" t="s">
        <v>685</v>
      </c>
      <c r="G3586" t="s">
        <v>686</v>
      </c>
      <c r="H3586" t="s">
        <v>49</v>
      </c>
      <c r="I3586" t="s">
        <v>5305</v>
      </c>
      <c r="J3586">
        <v>14.48</v>
      </c>
      <c r="K3586" t="e">
        <f>IF(COUNTIF(#REF!,Tabela2[[#This Row],[IdxWspolny]])&gt;0,"ELEM_lub_PRD","TECHN")</f>
        <v>#REF!</v>
      </c>
      <c r="L3586" t="e">
        <f>IF(COUNTIF(#REF!,Tabela2[[#This Row],[KOD_PRODUKTU]])&gt;0,"ELEMENT","PRODUKT")</f>
        <v>#REF!</v>
      </c>
      <c r="M3586" t="e">
        <f>COUNTIF(#REF!,Tabela2[[#This Row],[KOD_PRODUKTU]])</f>
        <v>#REF!</v>
      </c>
    </row>
    <row r="3587" spans="1:13" x14ac:dyDescent="0.25">
      <c r="A3587" s="1" t="s">
        <v>5281</v>
      </c>
      <c r="B3587" t="s">
        <v>5282</v>
      </c>
      <c r="C3587" s="1" t="s">
        <v>541</v>
      </c>
      <c r="D3587" s="1" t="s">
        <v>541</v>
      </c>
      <c r="E3587" s="1" t="s">
        <v>541</v>
      </c>
      <c r="F3587" t="s">
        <v>542</v>
      </c>
      <c r="G3587" t="s">
        <v>9</v>
      </c>
      <c r="H3587" t="s">
        <v>10</v>
      </c>
      <c r="I3587" t="s">
        <v>3642</v>
      </c>
      <c r="J3587">
        <v>32.200000000000003</v>
      </c>
      <c r="K3587" t="e">
        <f>IF(COUNTIF(#REF!,Tabela2[[#This Row],[IdxWspolny]])&gt;0,"ELEM_lub_PRD","TECHN")</f>
        <v>#REF!</v>
      </c>
      <c r="L3587" t="e">
        <f>IF(COUNTIF(#REF!,Tabela2[[#This Row],[KOD_PRODUKTU]])&gt;0,"ELEMENT","PRODUKT")</f>
        <v>#REF!</v>
      </c>
      <c r="M3587" t="e">
        <f>COUNTIF(#REF!,Tabela2[[#This Row],[KOD_PRODUKTU]])</f>
        <v>#REF!</v>
      </c>
    </row>
    <row r="3588" spans="1:13" x14ac:dyDescent="0.25">
      <c r="A3588" s="1" t="s">
        <v>5281</v>
      </c>
      <c r="B3588" t="s">
        <v>5282</v>
      </c>
      <c r="C3588" s="1" t="s">
        <v>7</v>
      </c>
      <c r="D3588" s="1" t="s">
        <v>7</v>
      </c>
      <c r="E3588" s="1" t="s">
        <v>7</v>
      </c>
      <c r="F3588" t="s">
        <v>8</v>
      </c>
      <c r="G3588" t="s">
        <v>9</v>
      </c>
      <c r="H3588" t="s">
        <v>10</v>
      </c>
      <c r="I3588" t="s">
        <v>19</v>
      </c>
      <c r="J3588">
        <v>4.5999999999999996</v>
      </c>
      <c r="K3588" t="e">
        <f>IF(COUNTIF(#REF!,Tabela2[[#This Row],[IdxWspolny]])&gt;0,"ELEM_lub_PRD","TECHN")</f>
        <v>#REF!</v>
      </c>
      <c r="L3588" t="e">
        <f>IF(COUNTIF(#REF!,Tabela2[[#This Row],[KOD_PRODUKTU]])&gt;0,"ELEMENT","PRODUKT")</f>
        <v>#REF!</v>
      </c>
      <c r="M3588" t="e">
        <f>COUNTIF(#REF!,Tabela2[[#This Row],[KOD_PRODUKTU]])</f>
        <v>#REF!</v>
      </c>
    </row>
    <row r="3589" spans="1:13" x14ac:dyDescent="0.25">
      <c r="A3589" s="1" t="s">
        <v>5281</v>
      </c>
      <c r="B3589" t="s">
        <v>5282</v>
      </c>
      <c r="C3589" s="1" t="s">
        <v>7</v>
      </c>
      <c r="D3589" s="1" t="s">
        <v>7</v>
      </c>
      <c r="E3589" s="1" t="s">
        <v>7</v>
      </c>
      <c r="F3589" t="s">
        <v>8</v>
      </c>
      <c r="G3589" t="s">
        <v>9</v>
      </c>
      <c r="H3589" t="s">
        <v>10</v>
      </c>
      <c r="I3589" t="s">
        <v>5306</v>
      </c>
      <c r="J3589">
        <v>30.82</v>
      </c>
      <c r="K3589" t="e">
        <f>IF(COUNTIF(#REF!,Tabela2[[#This Row],[IdxWspolny]])&gt;0,"ELEM_lub_PRD","TECHN")</f>
        <v>#REF!</v>
      </c>
      <c r="L3589" t="e">
        <f>IF(COUNTIF(#REF!,Tabela2[[#This Row],[KOD_PRODUKTU]])&gt;0,"ELEMENT","PRODUKT")</f>
        <v>#REF!</v>
      </c>
      <c r="M3589" t="e">
        <f>COUNTIF(#REF!,Tabela2[[#This Row],[KOD_PRODUKTU]])</f>
        <v>#REF!</v>
      </c>
    </row>
    <row r="3590" spans="1:13" x14ac:dyDescent="0.25">
      <c r="A3590" s="1" t="s">
        <v>5281</v>
      </c>
      <c r="B3590" t="s">
        <v>5282</v>
      </c>
      <c r="C3590" s="1" t="s">
        <v>7</v>
      </c>
      <c r="D3590" s="1" t="s">
        <v>7</v>
      </c>
      <c r="E3590" s="1" t="s">
        <v>7</v>
      </c>
      <c r="F3590" t="s">
        <v>8</v>
      </c>
      <c r="G3590" t="s">
        <v>9</v>
      </c>
      <c r="H3590" t="s">
        <v>10</v>
      </c>
      <c r="I3590" t="s">
        <v>5307</v>
      </c>
      <c r="J3590">
        <v>339.48</v>
      </c>
      <c r="K3590" t="e">
        <f>IF(COUNTIF(#REF!,Tabela2[[#This Row],[IdxWspolny]])&gt;0,"ELEM_lub_PRD","TECHN")</f>
        <v>#REF!</v>
      </c>
      <c r="L3590" t="e">
        <f>IF(COUNTIF(#REF!,Tabela2[[#This Row],[KOD_PRODUKTU]])&gt;0,"ELEMENT","PRODUKT")</f>
        <v>#REF!</v>
      </c>
      <c r="M3590" t="e">
        <f>COUNTIF(#REF!,Tabela2[[#This Row],[KOD_PRODUKTU]])</f>
        <v>#REF!</v>
      </c>
    </row>
    <row r="3591" spans="1:13" x14ac:dyDescent="0.25">
      <c r="A3591" s="1" t="s">
        <v>5281</v>
      </c>
      <c r="B3591" t="s">
        <v>5282</v>
      </c>
      <c r="C3591" s="1" t="s">
        <v>7</v>
      </c>
      <c r="D3591" s="1" t="s">
        <v>7</v>
      </c>
      <c r="E3591" s="1" t="s">
        <v>7</v>
      </c>
      <c r="F3591" t="s">
        <v>8</v>
      </c>
      <c r="G3591" t="s">
        <v>9</v>
      </c>
      <c r="H3591" t="s">
        <v>10</v>
      </c>
      <c r="I3591" t="s">
        <v>1563</v>
      </c>
      <c r="J3591">
        <v>43.7</v>
      </c>
      <c r="K3591" t="e">
        <f>IF(COUNTIF(#REF!,Tabela2[[#This Row],[IdxWspolny]])&gt;0,"ELEM_lub_PRD","TECHN")</f>
        <v>#REF!</v>
      </c>
      <c r="L3591" t="e">
        <f>IF(COUNTIF(#REF!,Tabela2[[#This Row],[KOD_PRODUKTU]])&gt;0,"ELEMENT","PRODUKT")</f>
        <v>#REF!</v>
      </c>
      <c r="M3591" t="e">
        <f>COUNTIF(#REF!,Tabela2[[#This Row],[KOD_PRODUKTU]])</f>
        <v>#REF!</v>
      </c>
    </row>
    <row r="3592" spans="1:13" x14ac:dyDescent="0.25">
      <c r="A3592" s="1" t="s">
        <v>5308</v>
      </c>
      <c r="B3592" t="s">
        <v>5309</v>
      </c>
      <c r="C3592" s="1" t="s">
        <v>684</v>
      </c>
      <c r="D3592" s="1" t="s">
        <v>684</v>
      </c>
      <c r="E3592" s="1" t="s">
        <v>684</v>
      </c>
      <c r="F3592" t="s">
        <v>685</v>
      </c>
      <c r="G3592" t="s">
        <v>686</v>
      </c>
      <c r="H3592" t="s">
        <v>49</v>
      </c>
      <c r="I3592" t="s">
        <v>5310</v>
      </c>
      <c r="J3592">
        <v>40.22</v>
      </c>
      <c r="K3592" t="e">
        <f>IF(COUNTIF(#REF!,Tabela2[[#This Row],[IdxWspolny]])&gt;0,"ELEM_lub_PRD","TECHN")</f>
        <v>#REF!</v>
      </c>
      <c r="L3592" t="e">
        <f>IF(COUNTIF(#REF!,Tabela2[[#This Row],[KOD_PRODUKTU]])&gt;0,"ELEMENT","PRODUKT")</f>
        <v>#REF!</v>
      </c>
      <c r="M3592" t="e">
        <f>COUNTIF(#REF!,Tabela2[[#This Row],[KOD_PRODUKTU]])</f>
        <v>#REF!</v>
      </c>
    </row>
    <row r="3593" spans="1:13" x14ac:dyDescent="0.25">
      <c r="A3593" s="1" t="s">
        <v>5308</v>
      </c>
      <c r="B3593" t="s">
        <v>5309</v>
      </c>
      <c r="C3593" s="1" t="s">
        <v>7</v>
      </c>
      <c r="D3593" s="1" t="s">
        <v>7</v>
      </c>
      <c r="E3593" s="1" t="s">
        <v>7</v>
      </c>
      <c r="F3593" t="s">
        <v>8</v>
      </c>
      <c r="G3593" t="s">
        <v>9</v>
      </c>
      <c r="H3593" t="s">
        <v>10</v>
      </c>
      <c r="I3593" t="s">
        <v>1254</v>
      </c>
      <c r="J3593">
        <v>16.100000000000001</v>
      </c>
      <c r="K3593" t="e">
        <f>IF(COUNTIF(#REF!,Tabela2[[#This Row],[IdxWspolny]])&gt;0,"ELEM_lub_PRD","TECHN")</f>
        <v>#REF!</v>
      </c>
      <c r="L3593" t="e">
        <f>IF(COUNTIF(#REF!,Tabela2[[#This Row],[KOD_PRODUKTU]])&gt;0,"ELEMENT","PRODUKT")</f>
        <v>#REF!</v>
      </c>
      <c r="M3593" t="e">
        <f>COUNTIF(#REF!,Tabela2[[#This Row],[KOD_PRODUKTU]])</f>
        <v>#REF!</v>
      </c>
    </row>
    <row r="3594" spans="1:13" x14ac:dyDescent="0.25">
      <c r="A3594" s="1" t="s">
        <v>5308</v>
      </c>
      <c r="B3594" t="s">
        <v>5309</v>
      </c>
      <c r="C3594" s="1" t="s">
        <v>7</v>
      </c>
      <c r="D3594" s="1" t="s">
        <v>7</v>
      </c>
      <c r="E3594" s="1" t="s">
        <v>7</v>
      </c>
      <c r="F3594" t="s">
        <v>8</v>
      </c>
      <c r="G3594" t="s">
        <v>9</v>
      </c>
      <c r="H3594" t="s">
        <v>10</v>
      </c>
      <c r="I3594" t="s">
        <v>1254</v>
      </c>
      <c r="J3594">
        <v>16.100000000000001</v>
      </c>
      <c r="K3594" t="e">
        <f>IF(COUNTIF(#REF!,Tabela2[[#This Row],[IdxWspolny]])&gt;0,"ELEM_lub_PRD","TECHN")</f>
        <v>#REF!</v>
      </c>
      <c r="L3594" t="e">
        <f>IF(COUNTIF(#REF!,Tabela2[[#This Row],[KOD_PRODUKTU]])&gt;0,"ELEMENT","PRODUKT")</f>
        <v>#REF!</v>
      </c>
      <c r="M3594" t="e">
        <f>COUNTIF(#REF!,Tabela2[[#This Row],[KOD_PRODUKTU]])</f>
        <v>#REF!</v>
      </c>
    </row>
    <row r="3595" spans="1:13" x14ac:dyDescent="0.25">
      <c r="A3595" s="1" t="s">
        <v>5311</v>
      </c>
      <c r="B3595" t="s">
        <v>5312</v>
      </c>
      <c r="C3595" s="1" t="s">
        <v>684</v>
      </c>
      <c r="D3595" s="1" t="s">
        <v>684</v>
      </c>
      <c r="E3595" s="1" t="s">
        <v>684</v>
      </c>
      <c r="F3595" t="s">
        <v>685</v>
      </c>
      <c r="G3595" t="s">
        <v>686</v>
      </c>
      <c r="H3595" t="s">
        <v>49</v>
      </c>
      <c r="I3595" t="s">
        <v>5313</v>
      </c>
      <c r="J3595">
        <v>282.89999999999998</v>
      </c>
      <c r="K3595" t="e">
        <f>IF(COUNTIF(#REF!,Tabela2[[#This Row],[IdxWspolny]])&gt;0,"ELEM_lub_PRD","TECHN")</f>
        <v>#REF!</v>
      </c>
      <c r="L3595" t="e">
        <f>IF(COUNTIF(#REF!,Tabela2[[#This Row],[KOD_PRODUKTU]])&gt;0,"ELEMENT","PRODUKT")</f>
        <v>#REF!</v>
      </c>
      <c r="M3595" t="e">
        <f>COUNTIF(#REF!,Tabela2[[#This Row],[KOD_PRODUKTU]])</f>
        <v>#REF!</v>
      </c>
    </row>
    <row r="3596" spans="1:13" x14ac:dyDescent="0.25">
      <c r="A3596" s="1" t="s">
        <v>5311</v>
      </c>
      <c r="B3596" t="s">
        <v>5312</v>
      </c>
      <c r="C3596" s="1" t="s">
        <v>7</v>
      </c>
      <c r="D3596" s="1" t="s">
        <v>7</v>
      </c>
      <c r="E3596" s="1" t="s">
        <v>7</v>
      </c>
      <c r="F3596" t="s">
        <v>8</v>
      </c>
      <c r="G3596" t="s">
        <v>9</v>
      </c>
      <c r="H3596" t="s">
        <v>10</v>
      </c>
      <c r="I3596" t="s">
        <v>690</v>
      </c>
      <c r="J3596">
        <v>20.7</v>
      </c>
      <c r="K3596" t="e">
        <f>IF(COUNTIF(#REF!,Tabela2[[#This Row],[IdxWspolny]])&gt;0,"ELEM_lub_PRD","TECHN")</f>
        <v>#REF!</v>
      </c>
      <c r="L3596" t="e">
        <f>IF(COUNTIF(#REF!,Tabela2[[#This Row],[KOD_PRODUKTU]])&gt;0,"ELEMENT","PRODUKT")</f>
        <v>#REF!</v>
      </c>
      <c r="M3596" t="e">
        <f>COUNTIF(#REF!,Tabela2[[#This Row],[KOD_PRODUKTU]])</f>
        <v>#REF!</v>
      </c>
    </row>
    <row r="3597" spans="1:13" x14ac:dyDescent="0.25">
      <c r="A3597" s="1" t="s">
        <v>5311</v>
      </c>
      <c r="B3597" t="s">
        <v>5312</v>
      </c>
      <c r="C3597" s="1" t="s">
        <v>7</v>
      </c>
      <c r="D3597" s="1" t="s">
        <v>7</v>
      </c>
      <c r="E3597" s="1" t="s">
        <v>7</v>
      </c>
      <c r="F3597" t="s">
        <v>8</v>
      </c>
      <c r="G3597" t="s">
        <v>9</v>
      </c>
      <c r="H3597" t="s">
        <v>10</v>
      </c>
      <c r="I3597" t="s">
        <v>5314</v>
      </c>
      <c r="J3597">
        <v>9.6300000000000008</v>
      </c>
      <c r="K3597" t="e">
        <f>IF(COUNTIF(#REF!,Tabela2[[#This Row],[IdxWspolny]])&gt;0,"ELEM_lub_PRD","TECHN")</f>
        <v>#REF!</v>
      </c>
      <c r="L3597" t="e">
        <f>IF(COUNTIF(#REF!,Tabela2[[#This Row],[KOD_PRODUKTU]])&gt;0,"ELEMENT","PRODUKT")</f>
        <v>#REF!</v>
      </c>
      <c r="M3597" t="e">
        <f>COUNTIF(#REF!,Tabela2[[#This Row],[KOD_PRODUKTU]])</f>
        <v>#REF!</v>
      </c>
    </row>
    <row r="3598" spans="1:13" x14ac:dyDescent="0.25">
      <c r="A3598" s="1" t="s">
        <v>5315</v>
      </c>
      <c r="B3598" t="s">
        <v>5316</v>
      </c>
      <c r="C3598" s="1" t="s">
        <v>432</v>
      </c>
      <c r="D3598" s="1" t="s">
        <v>432</v>
      </c>
      <c r="E3598" s="1" t="s">
        <v>432</v>
      </c>
      <c r="F3598" t="s">
        <v>433</v>
      </c>
      <c r="G3598" t="s">
        <v>434</v>
      </c>
      <c r="H3598" t="s">
        <v>435</v>
      </c>
      <c r="I3598" t="s">
        <v>5317</v>
      </c>
      <c r="J3598">
        <v>22.79</v>
      </c>
      <c r="K3598" t="e">
        <f>IF(COUNTIF(#REF!,Tabela2[[#This Row],[IdxWspolny]])&gt;0,"ELEM_lub_PRD","TECHN")</f>
        <v>#REF!</v>
      </c>
      <c r="L3598" t="e">
        <f>IF(COUNTIF(#REF!,Tabela2[[#This Row],[KOD_PRODUKTU]])&gt;0,"ELEMENT","PRODUKT")</f>
        <v>#REF!</v>
      </c>
      <c r="M3598" t="e">
        <f>COUNTIF(#REF!,Tabela2[[#This Row],[KOD_PRODUKTU]])</f>
        <v>#REF!</v>
      </c>
    </row>
    <row r="3599" spans="1:13" x14ac:dyDescent="0.25">
      <c r="A3599" s="1" t="s">
        <v>5315</v>
      </c>
      <c r="B3599" t="s">
        <v>5316</v>
      </c>
      <c r="C3599" s="1" t="s">
        <v>684</v>
      </c>
      <c r="D3599" s="1" t="s">
        <v>684</v>
      </c>
      <c r="E3599" s="1" t="s">
        <v>684</v>
      </c>
      <c r="F3599" t="s">
        <v>685</v>
      </c>
      <c r="G3599" t="s">
        <v>686</v>
      </c>
      <c r="H3599" t="s">
        <v>49</v>
      </c>
      <c r="I3599" t="s">
        <v>5318</v>
      </c>
      <c r="J3599">
        <v>250</v>
      </c>
      <c r="K3599" t="e">
        <f>IF(COUNTIF(#REF!,Tabela2[[#This Row],[IdxWspolny]])&gt;0,"ELEM_lub_PRD","TECHN")</f>
        <v>#REF!</v>
      </c>
      <c r="L3599" t="e">
        <f>IF(COUNTIF(#REF!,Tabela2[[#This Row],[KOD_PRODUKTU]])&gt;0,"ELEMENT","PRODUKT")</f>
        <v>#REF!</v>
      </c>
      <c r="M3599" t="e">
        <f>COUNTIF(#REF!,Tabela2[[#This Row],[KOD_PRODUKTU]])</f>
        <v>#REF!</v>
      </c>
    </row>
    <row r="3600" spans="1:13" x14ac:dyDescent="0.25">
      <c r="A3600" s="1" t="s">
        <v>5315</v>
      </c>
      <c r="B3600" t="s">
        <v>5316</v>
      </c>
      <c r="C3600" s="1" t="s">
        <v>7</v>
      </c>
      <c r="D3600" s="1" t="s">
        <v>7</v>
      </c>
      <c r="E3600" s="1" t="s">
        <v>7</v>
      </c>
      <c r="F3600" t="s">
        <v>8</v>
      </c>
      <c r="G3600" t="s">
        <v>9</v>
      </c>
      <c r="H3600" t="s">
        <v>10</v>
      </c>
      <c r="I3600" t="s">
        <v>984</v>
      </c>
      <c r="J3600">
        <v>644</v>
      </c>
      <c r="K3600" t="e">
        <f>IF(COUNTIF(#REF!,Tabela2[[#This Row],[IdxWspolny]])&gt;0,"ELEM_lub_PRD","TECHN")</f>
        <v>#REF!</v>
      </c>
      <c r="L3600" t="e">
        <f>IF(COUNTIF(#REF!,Tabela2[[#This Row],[KOD_PRODUKTU]])&gt;0,"ELEMENT","PRODUKT")</f>
        <v>#REF!</v>
      </c>
      <c r="M3600" t="e">
        <f>COUNTIF(#REF!,Tabela2[[#This Row],[KOD_PRODUKTU]])</f>
        <v>#REF!</v>
      </c>
    </row>
    <row r="3601" spans="1:14" x14ac:dyDescent="0.25">
      <c r="A3601" s="1" t="s">
        <v>5319</v>
      </c>
      <c r="B3601" t="s">
        <v>5320</v>
      </c>
      <c r="C3601" s="1" t="s">
        <v>432</v>
      </c>
      <c r="D3601" s="1" t="s">
        <v>432</v>
      </c>
      <c r="E3601" s="1" t="s">
        <v>432</v>
      </c>
      <c r="F3601" t="s">
        <v>433</v>
      </c>
      <c r="G3601" t="s">
        <v>434</v>
      </c>
      <c r="H3601" t="s">
        <v>435</v>
      </c>
      <c r="I3601" t="s">
        <v>5321</v>
      </c>
      <c r="J3601">
        <v>15.99</v>
      </c>
      <c r="K3601" t="e">
        <f>IF(COUNTIF(#REF!,Tabela2[[#This Row],[IdxWspolny]])&gt;0,"ELEM_lub_PRD","TECHN")</f>
        <v>#REF!</v>
      </c>
      <c r="L3601" t="e">
        <f>IF(COUNTIF(#REF!,Tabela2[[#This Row],[KOD_PRODUKTU]])&gt;0,"ELEMENT","PRODUKT")</f>
        <v>#REF!</v>
      </c>
      <c r="M3601" t="e">
        <f>COUNTIF(#REF!,Tabela2[[#This Row],[KOD_PRODUKTU]])</f>
        <v>#REF!</v>
      </c>
    </row>
    <row r="3602" spans="1:14" x14ac:dyDescent="0.25">
      <c r="A3602" s="1" t="s">
        <v>5319</v>
      </c>
      <c r="B3602" t="s">
        <v>5320</v>
      </c>
      <c r="C3602" s="1" t="s">
        <v>684</v>
      </c>
      <c r="D3602" s="1" t="s">
        <v>684</v>
      </c>
      <c r="E3602" s="1" t="s">
        <v>684</v>
      </c>
      <c r="F3602" t="s">
        <v>685</v>
      </c>
      <c r="G3602" t="s">
        <v>686</v>
      </c>
      <c r="H3602" t="s">
        <v>49</v>
      </c>
      <c r="I3602" t="s">
        <v>5322</v>
      </c>
      <c r="J3602">
        <v>200</v>
      </c>
      <c r="K3602" t="e">
        <f>IF(COUNTIF(#REF!,Tabela2[[#This Row],[IdxWspolny]])&gt;0,"ELEM_lub_PRD","TECHN")</f>
        <v>#REF!</v>
      </c>
      <c r="L3602" t="e">
        <f>IF(COUNTIF(#REF!,Tabela2[[#This Row],[KOD_PRODUKTU]])&gt;0,"ELEMENT","PRODUKT")</f>
        <v>#REF!</v>
      </c>
      <c r="M3602" t="e">
        <f>COUNTIF(#REF!,Tabela2[[#This Row],[KOD_PRODUKTU]])</f>
        <v>#REF!</v>
      </c>
    </row>
    <row r="3603" spans="1:14" x14ac:dyDescent="0.25">
      <c r="A3603" s="1" t="s">
        <v>5319</v>
      </c>
      <c r="B3603" t="s">
        <v>5320</v>
      </c>
      <c r="C3603" s="1" t="s">
        <v>7</v>
      </c>
      <c r="D3603" s="1" t="s">
        <v>7</v>
      </c>
      <c r="E3603" s="1" t="s">
        <v>7</v>
      </c>
      <c r="F3603" t="s">
        <v>8</v>
      </c>
      <c r="G3603" t="s">
        <v>9</v>
      </c>
      <c r="H3603" t="s">
        <v>10</v>
      </c>
      <c r="I3603" t="s">
        <v>984</v>
      </c>
      <c r="J3603">
        <v>644</v>
      </c>
      <c r="K3603" t="e">
        <f>IF(COUNTIF(#REF!,Tabela2[[#This Row],[IdxWspolny]])&gt;0,"ELEM_lub_PRD","TECHN")</f>
        <v>#REF!</v>
      </c>
      <c r="L3603" t="e">
        <f>IF(COUNTIF(#REF!,Tabela2[[#This Row],[KOD_PRODUKTU]])&gt;0,"ELEMENT","PRODUKT")</f>
        <v>#REF!</v>
      </c>
      <c r="M3603" t="e">
        <f>COUNTIF(#REF!,Tabela2[[#This Row],[KOD_PRODUKTU]])</f>
        <v>#REF!</v>
      </c>
    </row>
    <row r="3604" spans="1:14" x14ac:dyDescent="0.25">
      <c r="A3604" s="1" t="s">
        <v>5323</v>
      </c>
      <c r="B3604" t="s">
        <v>5324</v>
      </c>
      <c r="C3604" s="1" t="s">
        <v>432</v>
      </c>
      <c r="D3604" s="1" t="s">
        <v>432</v>
      </c>
      <c r="E3604" s="1" t="s">
        <v>432</v>
      </c>
      <c r="F3604" t="s">
        <v>433</v>
      </c>
      <c r="G3604" t="s">
        <v>434</v>
      </c>
      <c r="H3604" t="s">
        <v>435</v>
      </c>
      <c r="I3604" t="s">
        <v>5325</v>
      </c>
      <c r="J3604">
        <v>21.78</v>
      </c>
      <c r="K3604" t="e">
        <f>IF(COUNTIF(#REF!,Tabela2[[#This Row],[IdxWspolny]])&gt;0,"ELEM_lub_PRD","TECHN")</f>
        <v>#REF!</v>
      </c>
      <c r="L3604" t="e">
        <f>IF(COUNTIF(#REF!,Tabela2[[#This Row],[KOD_PRODUKTU]])&gt;0,"ELEMENT","PRODUKT")</f>
        <v>#REF!</v>
      </c>
      <c r="M3604" t="e">
        <f>COUNTIF(#REF!,Tabela2[[#This Row],[KOD_PRODUKTU]])</f>
        <v>#REF!</v>
      </c>
    </row>
    <row r="3605" spans="1:14" x14ac:dyDescent="0.25">
      <c r="A3605" s="1" t="s">
        <v>5323</v>
      </c>
      <c r="B3605" t="s">
        <v>5324</v>
      </c>
      <c r="C3605" s="1" t="s">
        <v>684</v>
      </c>
      <c r="D3605" s="1" t="s">
        <v>684</v>
      </c>
      <c r="E3605" s="1" t="s">
        <v>684</v>
      </c>
      <c r="F3605" t="s">
        <v>685</v>
      </c>
      <c r="G3605" t="s">
        <v>686</v>
      </c>
      <c r="H3605" t="s">
        <v>49</v>
      </c>
      <c r="I3605" t="s">
        <v>5326</v>
      </c>
      <c r="J3605">
        <v>265</v>
      </c>
      <c r="K3605" t="e">
        <f>IF(COUNTIF(#REF!,Tabela2[[#This Row],[IdxWspolny]])&gt;0,"ELEM_lub_PRD","TECHN")</f>
        <v>#REF!</v>
      </c>
      <c r="L3605" t="e">
        <f>IF(COUNTIF(#REF!,Tabela2[[#This Row],[KOD_PRODUKTU]])&gt;0,"ELEMENT","PRODUKT")</f>
        <v>#REF!</v>
      </c>
      <c r="M3605" t="e">
        <f>COUNTIF(#REF!,Tabela2[[#This Row],[KOD_PRODUKTU]])</f>
        <v>#REF!</v>
      </c>
    </row>
    <row r="3606" spans="1:14" x14ac:dyDescent="0.25">
      <c r="A3606" s="1" t="s">
        <v>5323</v>
      </c>
      <c r="B3606" t="s">
        <v>5324</v>
      </c>
      <c r="C3606" s="1" t="s">
        <v>7</v>
      </c>
      <c r="D3606" s="1" t="s">
        <v>7</v>
      </c>
      <c r="E3606" s="1" t="s">
        <v>7</v>
      </c>
      <c r="F3606" t="s">
        <v>8</v>
      </c>
      <c r="G3606" t="s">
        <v>9</v>
      </c>
      <c r="H3606" t="s">
        <v>10</v>
      </c>
      <c r="I3606" t="s">
        <v>5327</v>
      </c>
      <c r="J3606">
        <v>1104</v>
      </c>
      <c r="K3606" t="e">
        <f>IF(COUNTIF(#REF!,Tabela2[[#This Row],[IdxWspolny]])&gt;0,"ELEM_lub_PRD","TECHN")</f>
        <v>#REF!</v>
      </c>
      <c r="L3606" t="e">
        <f>IF(COUNTIF(#REF!,Tabela2[[#This Row],[KOD_PRODUKTU]])&gt;0,"ELEMENT","PRODUKT")</f>
        <v>#REF!</v>
      </c>
      <c r="M3606" t="e">
        <f>COUNTIF(#REF!,Tabela2[[#This Row],[KOD_PRODUKTU]])</f>
        <v>#REF!</v>
      </c>
    </row>
    <row r="3607" spans="1:14" x14ac:dyDescent="0.25">
      <c r="A3607" s="1" t="s">
        <v>5328</v>
      </c>
      <c r="B3607" t="s">
        <v>5329</v>
      </c>
      <c r="C3607" s="1" t="s">
        <v>5330</v>
      </c>
      <c r="D3607" s="1" t="s">
        <v>5330</v>
      </c>
      <c r="E3607" s="1" t="s">
        <v>5330</v>
      </c>
      <c r="F3607" t="s">
        <v>5331</v>
      </c>
      <c r="G3607" t="s">
        <v>1768</v>
      </c>
      <c r="H3607" t="s">
        <v>5</v>
      </c>
      <c r="I3607" t="s">
        <v>3404</v>
      </c>
      <c r="J3607">
        <v>0</v>
      </c>
      <c r="K3607" t="e">
        <f>IF(COUNTIF(#REF!,Tabela2[[#This Row],[IdxWspolny]])&gt;0,"ELEM_lub_PRD","TECHN")</f>
        <v>#REF!</v>
      </c>
      <c r="L3607" t="e">
        <f>IF(COUNTIF(#REF!,Tabela2[[#This Row],[KOD_PRODUKTU]])&gt;0,"ELEMENT","PRODUKT")</f>
        <v>#REF!</v>
      </c>
      <c r="M3607" t="e">
        <f>COUNTIF(#REF!,Tabela2[[#This Row],[KOD_PRODUKTU]])</f>
        <v>#REF!</v>
      </c>
    </row>
    <row r="3608" spans="1:14" x14ac:dyDescent="0.25">
      <c r="A3608" s="1" t="s">
        <v>5328</v>
      </c>
      <c r="B3608" t="s">
        <v>5329</v>
      </c>
      <c r="C3608" s="1" t="s">
        <v>5332</v>
      </c>
      <c r="D3608" s="1" t="s">
        <v>5332</v>
      </c>
      <c r="E3608" s="1" t="s">
        <v>5332</v>
      </c>
      <c r="F3608" t="s">
        <v>5333</v>
      </c>
      <c r="G3608" t="s">
        <v>1768</v>
      </c>
      <c r="H3608" t="s">
        <v>17</v>
      </c>
      <c r="I3608" t="s">
        <v>3260</v>
      </c>
      <c r="J3608">
        <v>0</v>
      </c>
      <c r="K3608" t="e">
        <f>IF(COUNTIF(#REF!,Tabela2[[#This Row],[IdxWspolny]])&gt;0,"ELEM_lub_PRD","TECHN")</f>
        <v>#REF!</v>
      </c>
      <c r="L3608" t="e">
        <f>IF(COUNTIF(#REF!,Tabela2[[#This Row],[KOD_PRODUKTU]])&gt;0,"ELEMENT","PRODUKT")</f>
        <v>#REF!</v>
      </c>
      <c r="M3608" t="e">
        <f>COUNTIF(#REF!,Tabela2[[#This Row],[KOD_PRODUKTU]])</f>
        <v>#REF!</v>
      </c>
    </row>
    <row r="3609" spans="1:14" x14ac:dyDescent="0.25">
      <c r="A3609" s="1" t="s">
        <v>5328</v>
      </c>
      <c r="B3609" t="s">
        <v>5329</v>
      </c>
      <c r="C3609" s="1" t="s">
        <v>977</v>
      </c>
      <c r="D3609" s="1" t="s">
        <v>977</v>
      </c>
      <c r="E3609" s="1" t="s">
        <v>977</v>
      </c>
      <c r="F3609" t="s">
        <v>978</v>
      </c>
      <c r="G3609" t="s">
        <v>5334</v>
      </c>
      <c r="H3609" t="s">
        <v>121</v>
      </c>
      <c r="I3609" t="s">
        <v>50</v>
      </c>
      <c r="J3609">
        <v>0.23</v>
      </c>
      <c r="K3609" t="e">
        <f>IF(COUNTIF(#REF!,Tabela2[[#This Row],[IdxWspolny]])&gt;0,"ELEM_lub_PRD","TECHN")</f>
        <v>#REF!</v>
      </c>
      <c r="L3609" t="e">
        <f>IF(COUNTIF(#REF!,Tabela2[[#This Row],[KOD_PRODUKTU]])&gt;0,"ELEMENT","PRODUKT")</f>
        <v>#REF!</v>
      </c>
      <c r="M3609" t="e">
        <f>COUNTIF(#REF!,Tabela2[[#This Row],[KOD_PRODUKTU]])</f>
        <v>#REF!</v>
      </c>
    </row>
    <row r="3610" spans="1:14" x14ac:dyDescent="0.25">
      <c r="A3610" s="1" t="s">
        <v>5328</v>
      </c>
      <c r="B3610" t="s">
        <v>5329</v>
      </c>
      <c r="C3610" s="1" t="s">
        <v>5335</v>
      </c>
      <c r="D3610" s="1" t="s">
        <v>5335</v>
      </c>
      <c r="E3610" s="1" t="s">
        <v>5335</v>
      </c>
      <c r="F3610" t="s">
        <v>5336</v>
      </c>
      <c r="G3610" t="s">
        <v>5337</v>
      </c>
      <c r="H3610" t="s">
        <v>49</v>
      </c>
      <c r="I3610" t="s">
        <v>5338</v>
      </c>
      <c r="J3610">
        <v>30.4</v>
      </c>
      <c r="K3610" t="e">
        <f>IF(COUNTIF(#REF!,Tabela2[[#This Row],[IdxWspolny]])&gt;0,"ELEM_lub_PRD","TECHN")</f>
        <v>#REF!</v>
      </c>
      <c r="L3610" t="e">
        <f>IF(COUNTIF(#REF!,Tabela2[[#This Row],[KOD_PRODUKTU]])&gt;0,"ELEMENT","PRODUKT")</f>
        <v>#REF!</v>
      </c>
      <c r="M3610" t="e">
        <f>COUNTIF(#REF!,Tabela2[[#This Row],[KOD_PRODUKTU]])</f>
        <v>#REF!</v>
      </c>
    </row>
    <row r="3611" spans="1:14" hidden="1" x14ac:dyDescent="0.25">
      <c r="A3611" s="1" t="s">
        <v>5328</v>
      </c>
      <c r="B3611" t="s">
        <v>5329</v>
      </c>
      <c r="C3611" s="1" t="s">
        <v>5315</v>
      </c>
      <c r="D3611" s="1" t="s">
        <v>5315</v>
      </c>
      <c r="E3611" s="1" t="s">
        <v>5315</v>
      </c>
      <c r="F3611" t="s">
        <v>5316</v>
      </c>
      <c r="G3611" t="s">
        <v>5339</v>
      </c>
      <c r="H3611" t="s">
        <v>49</v>
      </c>
      <c r="I3611" t="s">
        <v>50</v>
      </c>
      <c r="J3611">
        <v>916.79</v>
      </c>
      <c r="K3611" t="e">
        <f>IF(COUNTIF(#REF!,Tabela2[[#This Row],[IdxWspolny]])&gt;0,"ELEM_lub_PRD","TECHN")</f>
        <v>#REF!</v>
      </c>
      <c r="L3611" t="e">
        <f>IF(COUNTIF(#REF!,Tabela2[[#This Row],[KOD_PRODUKTU]])&gt;0,"ELEMENT","PRODUKT")</f>
        <v>#REF!</v>
      </c>
      <c r="M3611" t="e">
        <f>COUNTIF(#REF!,Tabela2[[#This Row],[KOD_PRODUKTU]])</f>
        <v>#REF!</v>
      </c>
      <c r="N3611" t="s">
        <v>55</v>
      </c>
    </row>
    <row r="3612" spans="1:14" hidden="1" x14ac:dyDescent="0.25">
      <c r="A3612" s="1" t="s">
        <v>5328</v>
      </c>
      <c r="B3612" t="s">
        <v>5329</v>
      </c>
      <c r="C3612" s="1" t="s">
        <v>5319</v>
      </c>
      <c r="D3612" s="1" t="s">
        <v>5319</v>
      </c>
      <c r="E3612" s="1" t="s">
        <v>5319</v>
      </c>
      <c r="F3612" t="s">
        <v>5320</v>
      </c>
      <c r="G3612" t="s">
        <v>5340</v>
      </c>
      <c r="H3612" t="s">
        <v>49</v>
      </c>
      <c r="I3612" t="s">
        <v>50</v>
      </c>
      <c r="J3612">
        <v>859.99</v>
      </c>
      <c r="K3612" t="e">
        <f>IF(COUNTIF(#REF!,Tabela2[[#This Row],[IdxWspolny]])&gt;0,"ELEM_lub_PRD","TECHN")</f>
        <v>#REF!</v>
      </c>
      <c r="L3612" t="e">
        <f>IF(COUNTIF(#REF!,Tabela2[[#This Row],[KOD_PRODUKTU]])&gt;0,"ELEMENT","PRODUKT")</f>
        <v>#REF!</v>
      </c>
      <c r="M3612" t="e">
        <f>COUNTIF(#REF!,Tabela2[[#This Row],[KOD_PRODUKTU]])</f>
        <v>#REF!</v>
      </c>
      <c r="N3612" t="s">
        <v>55</v>
      </c>
    </row>
    <row r="3613" spans="1:14" hidden="1" x14ac:dyDescent="0.25">
      <c r="A3613" s="1" t="s">
        <v>5328</v>
      </c>
      <c r="B3613" t="s">
        <v>5329</v>
      </c>
      <c r="C3613" s="1" t="s">
        <v>5323</v>
      </c>
      <c r="D3613" s="1" t="s">
        <v>5323</v>
      </c>
      <c r="E3613" s="1" t="s">
        <v>5323</v>
      </c>
      <c r="F3613" t="s">
        <v>5324</v>
      </c>
      <c r="G3613" t="s">
        <v>5341</v>
      </c>
      <c r="H3613" t="s">
        <v>49</v>
      </c>
      <c r="I3613" t="s">
        <v>50</v>
      </c>
      <c r="J3613">
        <v>1390.78</v>
      </c>
      <c r="K3613" t="e">
        <f>IF(COUNTIF(#REF!,Tabela2[[#This Row],[IdxWspolny]])&gt;0,"ELEM_lub_PRD","TECHN")</f>
        <v>#REF!</v>
      </c>
      <c r="L3613" t="e">
        <f>IF(COUNTIF(#REF!,Tabela2[[#This Row],[KOD_PRODUKTU]])&gt;0,"ELEMENT","PRODUKT")</f>
        <v>#REF!</v>
      </c>
      <c r="M3613" t="e">
        <f>COUNTIF(#REF!,Tabela2[[#This Row],[KOD_PRODUKTU]])</f>
        <v>#REF!</v>
      </c>
      <c r="N3613" t="s">
        <v>55</v>
      </c>
    </row>
    <row r="3614" spans="1:14" x14ac:dyDescent="0.25">
      <c r="A3614" s="1" t="s">
        <v>5328</v>
      </c>
      <c r="B3614" t="s">
        <v>5329</v>
      </c>
      <c r="C3614" s="1" t="s">
        <v>684</v>
      </c>
      <c r="D3614" s="1" t="s">
        <v>684</v>
      </c>
      <c r="E3614" s="1" t="s">
        <v>684</v>
      </c>
      <c r="F3614" t="s">
        <v>685</v>
      </c>
      <c r="G3614" t="s">
        <v>686</v>
      </c>
      <c r="H3614" t="s">
        <v>49</v>
      </c>
      <c r="I3614" t="s">
        <v>2641</v>
      </c>
      <c r="J3614">
        <v>9</v>
      </c>
      <c r="K3614" t="e">
        <f>IF(COUNTIF(#REF!,Tabela2[[#This Row],[IdxWspolny]])&gt;0,"ELEM_lub_PRD","TECHN")</f>
        <v>#REF!</v>
      </c>
      <c r="L3614" t="e">
        <f>IF(COUNTIF(#REF!,Tabela2[[#This Row],[KOD_PRODUKTU]])&gt;0,"ELEMENT","PRODUKT")</f>
        <v>#REF!</v>
      </c>
      <c r="M3614" t="e">
        <f>COUNTIF(#REF!,Tabela2[[#This Row],[KOD_PRODUKTU]])</f>
        <v>#REF!</v>
      </c>
    </row>
    <row r="3615" spans="1:14" x14ac:dyDescent="0.25">
      <c r="A3615" s="1" t="s">
        <v>5328</v>
      </c>
      <c r="B3615" t="s">
        <v>5329</v>
      </c>
      <c r="C3615" s="1" t="s">
        <v>684</v>
      </c>
      <c r="D3615" s="1" t="s">
        <v>684</v>
      </c>
      <c r="E3615" s="1" t="s">
        <v>684</v>
      </c>
      <c r="F3615" t="s">
        <v>685</v>
      </c>
      <c r="G3615" t="s">
        <v>686</v>
      </c>
      <c r="H3615" t="s">
        <v>49</v>
      </c>
      <c r="I3615" t="s">
        <v>3843</v>
      </c>
      <c r="J3615">
        <v>10</v>
      </c>
      <c r="K3615" t="e">
        <f>IF(COUNTIF(#REF!,Tabela2[[#This Row],[IdxWspolny]])&gt;0,"ELEM_lub_PRD","TECHN")</f>
        <v>#REF!</v>
      </c>
      <c r="L3615" t="e">
        <f>IF(COUNTIF(#REF!,Tabela2[[#This Row],[KOD_PRODUKTU]])&gt;0,"ELEMENT","PRODUKT")</f>
        <v>#REF!</v>
      </c>
      <c r="M3615" t="e">
        <f>COUNTIF(#REF!,Tabela2[[#This Row],[KOD_PRODUKTU]])</f>
        <v>#REF!</v>
      </c>
    </row>
    <row r="3616" spans="1:14" x14ac:dyDescent="0.25">
      <c r="A3616" s="1" t="s">
        <v>5328</v>
      </c>
      <c r="B3616" t="s">
        <v>5329</v>
      </c>
      <c r="C3616" s="1" t="s">
        <v>7</v>
      </c>
      <c r="D3616" s="1" t="s">
        <v>7</v>
      </c>
      <c r="E3616" s="1" t="s">
        <v>7</v>
      </c>
      <c r="F3616" t="s">
        <v>8</v>
      </c>
      <c r="G3616" t="s">
        <v>9</v>
      </c>
      <c r="H3616" t="s">
        <v>10</v>
      </c>
      <c r="I3616" t="s">
        <v>122</v>
      </c>
      <c r="J3616">
        <v>184</v>
      </c>
      <c r="K3616" t="e">
        <f>IF(COUNTIF(#REF!,Tabela2[[#This Row],[IdxWspolny]])&gt;0,"ELEM_lub_PRD","TECHN")</f>
        <v>#REF!</v>
      </c>
      <c r="L3616" t="e">
        <f>IF(COUNTIF(#REF!,Tabela2[[#This Row],[KOD_PRODUKTU]])&gt;0,"ELEMENT","PRODUKT")</f>
        <v>#REF!</v>
      </c>
      <c r="M3616" t="e">
        <f>COUNTIF(#REF!,Tabela2[[#This Row],[KOD_PRODUKTU]])</f>
        <v>#REF!</v>
      </c>
    </row>
    <row r="3617" spans="1:14" x14ac:dyDescent="0.25">
      <c r="A3617" s="1" t="s">
        <v>5342</v>
      </c>
      <c r="B3617" t="s">
        <v>5343</v>
      </c>
      <c r="C3617" s="1" t="s">
        <v>5344</v>
      </c>
      <c r="D3617" s="1" t="s">
        <v>5344</v>
      </c>
      <c r="E3617" s="1" t="s">
        <v>5344</v>
      </c>
      <c r="F3617" t="s">
        <v>5345</v>
      </c>
      <c r="G3617" t="s">
        <v>1768</v>
      </c>
      <c r="H3617" t="s">
        <v>5</v>
      </c>
      <c r="I3617" t="s">
        <v>5346</v>
      </c>
      <c r="J3617">
        <v>0</v>
      </c>
      <c r="K3617" t="e">
        <f>IF(COUNTIF(#REF!,Tabela2[[#This Row],[IdxWspolny]])&gt;0,"ELEM_lub_PRD","TECHN")</f>
        <v>#REF!</v>
      </c>
      <c r="L3617" t="e">
        <f>IF(COUNTIF(#REF!,Tabela2[[#This Row],[KOD_PRODUKTU]])&gt;0,"ELEMENT","PRODUKT")</f>
        <v>#REF!</v>
      </c>
      <c r="M3617" t="e">
        <f>COUNTIF(#REF!,Tabela2[[#This Row],[KOD_PRODUKTU]])</f>
        <v>#REF!</v>
      </c>
    </row>
    <row r="3618" spans="1:14" x14ac:dyDescent="0.25">
      <c r="A3618" s="1" t="s">
        <v>5342</v>
      </c>
      <c r="B3618" t="s">
        <v>5343</v>
      </c>
      <c r="C3618" s="1" t="s">
        <v>5347</v>
      </c>
      <c r="D3618" s="1" t="s">
        <v>5347</v>
      </c>
      <c r="E3618" s="1" t="s">
        <v>5347</v>
      </c>
      <c r="F3618" t="s">
        <v>5348</v>
      </c>
      <c r="G3618" t="s">
        <v>1768</v>
      </c>
      <c r="H3618" t="s">
        <v>39</v>
      </c>
      <c r="I3618" t="s">
        <v>478</v>
      </c>
      <c r="J3618">
        <v>0</v>
      </c>
      <c r="K3618" t="e">
        <f>IF(COUNTIF(#REF!,Tabela2[[#This Row],[IdxWspolny]])&gt;0,"ELEM_lub_PRD","TECHN")</f>
        <v>#REF!</v>
      </c>
      <c r="L3618" t="e">
        <f>IF(COUNTIF(#REF!,Tabela2[[#This Row],[KOD_PRODUKTU]])&gt;0,"ELEMENT","PRODUKT")</f>
        <v>#REF!</v>
      </c>
      <c r="M3618" t="e">
        <f>COUNTIF(#REF!,Tabela2[[#This Row],[KOD_PRODUKTU]])</f>
        <v>#REF!</v>
      </c>
    </row>
    <row r="3619" spans="1:14" x14ac:dyDescent="0.25">
      <c r="A3619" s="1" t="s">
        <v>5342</v>
      </c>
      <c r="B3619" t="s">
        <v>5343</v>
      </c>
      <c r="C3619" s="1" t="s">
        <v>5349</v>
      </c>
      <c r="D3619" s="1" t="s">
        <v>5349</v>
      </c>
      <c r="E3619" s="1" t="s">
        <v>5349</v>
      </c>
      <c r="F3619" t="s">
        <v>5350</v>
      </c>
      <c r="G3619" t="s">
        <v>879</v>
      </c>
      <c r="H3619" t="s">
        <v>5</v>
      </c>
      <c r="I3619" t="s">
        <v>19</v>
      </c>
      <c r="J3619">
        <v>1.4</v>
      </c>
      <c r="K3619" t="e">
        <f>IF(COUNTIF(#REF!,Tabela2[[#This Row],[IdxWspolny]])&gt;0,"ELEM_lub_PRD","TECHN")</f>
        <v>#REF!</v>
      </c>
      <c r="L3619" t="e">
        <f>IF(COUNTIF(#REF!,Tabela2[[#This Row],[KOD_PRODUKTU]])&gt;0,"ELEMENT","PRODUKT")</f>
        <v>#REF!</v>
      </c>
      <c r="M3619" t="e">
        <f>COUNTIF(#REF!,Tabela2[[#This Row],[KOD_PRODUKTU]])</f>
        <v>#REF!</v>
      </c>
    </row>
    <row r="3620" spans="1:14" x14ac:dyDescent="0.25">
      <c r="A3620" s="1" t="s">
        <v>5342</v>
      </c>
      <c r="B3620" t="s">
        <v>5343</v>
      </c>
      <c r="C3620" s="1" t="s">
        <v>587</v>
      </c>
      <c r="D3620" s="1" t="s">
        <v>587</v>
      </c>
      <c r="E3620" s="1" t="s">
        <v>587</v>
      </c>
      <c r="F3620" t="s">
        <v>588</v>
      </c>
      <c r="G3620" t="s">
        <v>589</v>
      </c>
      <c r="H3620" t="s">
        <v>5</v>
      </c>
      <c r="I3620" t="s">
        <v>5351</v>
      </c>
      <c r="J3620">
        <v>0.25</v>
      </c>
      <c r="K3620" t="e">
        <f>IF(COUNTIF(#REF!,Tabela2[[#This Row],[IdxWspolny]])&gt;0,"ELEM_lub_PRD","TECHN")</f>
        <v>#REF!</v>
      </c>
      <c r="L3620" t="e">
        <f>IF(COUNTIF(#REF!,Tabela2[[#This Row],[KOD_PRODUKTU]])&gt;0,"ELEMENT","PRODUKT")</f>
        <v>#REF!</v>
      </c>
      <c r="M3620" t="e">
        <f>COUNTIF(#REF!,Tabela2[[#This Row],[KOD_PRODUKTU]])</f>
        <v>#REF!</v>
      </c>
    </row>
    <row r="3621" spans="1:14" x14ac:dyDescent="0.25">
      <c r="A3621" s="1" t="s">
        <v>5342</v>
      </c>
      <c r="B3621" t="s">
        <v>5343</v>
      </c>
      <c r="C3621" s="1" t="s">
        <v>5352</v>
      </c>
      <c r="D3621" s="1" t="s">
        <v>5352</v>
      </c>
      <c r="E3621" s="1" t="s">
        <v>5352</v>
      </c>
      <c r="F3621" t="s">
        <v>5353</v>
      </c>
      <c r="G3621" t="s">
        <v>1768</v>
      </c>
      <c r="H3621" t="s">
        <v>49</v>
      </c>
      <c r="I3621" t="s">
        <v>40</v>
      </c>
      <c r="J3621">
        <v>0</v>
      </c>
      <c r="K3621" t="e">
        <f>IF(COUNTIF(#REF!,Tabela2[[#This Row],[IdxWspolny]])&gt;0,"ELEM_lub_PRD","TECHN")</f>
        <v>#REF!</v>
      </c>
      <c r="L3621" t="e">
        <f>IF(COUNTIF(#REF!,Tabela2[[#This Row],[KOD_PRODUKTU]])&gt;0,"ELEMENT","PRODUKT")</f>
        <v>#REF!</v>
      </c>
      <c r="M3621" t="e">
        <f>COUNTIF(#REF!,Tabela2[[#This Row],[KOD_PRODUKTU]])</f>
        <v>#REF!</v>
      </c>
    </row>
    <row r="3622" spans="1:14" x14ac:dyDescent="0.25">
      <c r="A3622" s="1" t="s">
        <v>5342</v>
      </c>
      <c r="B3622" t="s">
        <v>5343</v>
      </c>
      <c r="C3622" s="1" t="s">
        <v>5354</v>
      </c>
      <c r="D3622" s="1" t="s">
        <v>5354</v>
      </c>
      <c r="E3622" s="1" t="s">
        <v>5354</v>
      </c>
      <c r="F3622" t="s">
        <v>5355</v>
      </c>
      <c r="G3622" t="s">
        <v>1768</v>
      </c>
      <c r="H3622" t="s">
        <v>49</v>
      </c>
      <c r="I3622" t="s">
        <v>50</v>
      </c>
      <c r="J3622">
        <v>0</v>
      </c>
      <c r="K3622" t="e">
        <f>IF(COUNTIF(#REF!,Tabela2[[#This Row],[IdxWspolny]])&gt;0,"ELEM_lub_PRD","TECHN")</f>
        <v>#REF!</v>
      </c>
      <c r="L3622" t="e">
        <f>IF(COUNTIF(#REF!,Tabela2[[#This Row],[KOD_PRODUKTU]])&gt;0,"ELEMENT","PRODUKT")</f>
        <v>#REF!</v>
      </c>
      <c r="M3622" t="e">
        <f>COUNTIF(#REF!,Tabela2[[#This Row],[KOD_PRODUKTU]])</f>
        <v>#REF!</v>
      </c>
    </row>
    <row r="3623" spans="1:14" x14ac:dyDescent="0.25">
      <c r="A3623" s="1" t="s">
        <v>5342</v>
      </c>
      <c r="B3623" t="s">
        <v>5343</v>
      </c>
      <c r="C3623" s="1" t="s">
        <v>5356</v>
      </c>
      <c r="D3623" s="1" t="s">
        <v>5356</v>
      </c>
      <c r="E3623" s="1" t="s">
        <v>5356</v>
      </c>
      <c r="F3623" t="s">
        <v>5357</v>
      </c>
      <c r="G3623" t="s">
        <v>1768</v>
      </c>
      <c r="H3623" t="s">
        <v>49</v>
      </c>
      <c r="I3623" t="s">
        <v>50</v>
      </c>
      <c r="J3623">
        <v>0</v>
      </c>
      <c r="K3623" t="e">
        <f>IF(COUNTIF(#REF!,Tabela2[[#This Row],[IdxWspolny]])&gt;0,"ELEM_lub_PRD","TECHN")</f>
        <v>#REF!</v>
      </c>
      <c r="L3623" t="e">
        <f>IF(COUNTIF(#REF!,Tabela2[[#This Row],[KOD_PRODUKTU]])&gt;0,"ELEMENT","PRODUKT")</f>
        <v>#REF!</v>
      </c>
      <c r="M3623" t="e">
        <f>COUNTIF(#REF!,Tabela2[[#This Row],[KOD_PRODUKTU]])</f>
        <v>#REF!</v>
      </c>
    </row>
    <row r="3624" spans="1:14" x14ac:dyDescent="0.25">
      <c r="A3624" s="1" t="s">
        <v>5342</v>
      </c>
      <c r="B3624" t="s">
        <v>5343</v>
      </c>
      <c r="C3624" s="1" t="s">
        <v>5358</v>
      </c>
      <c r="D3624" s="1" t="s">
        <v>5358</v>
      </c>
      <c r="E3624" s="1" t="s">
        <v>5358</v>
      </c>
      <c r="F3624" t="s">
        <v>5359</v>
      </c>
      <c r="G3624" t="s">
        <v>1768</v>
      </c>
      <c r="H3624" t="s">
        <v>49</v>
      </c>
      <c r="I3624" t="s">
        <v>92</v>
      </c>
      <c r="J3624">
        <v>0</v>
      </c>
      <c r="K3624" t="e">
        <f>IF(COUNTIF(#REF!,Tabela2[[#This Row],[IdxWspolny]])&gt;0,"ELEM_lub_PRD","TECHN")</f>
        <v>#REF!</v>
      </c>
      <c r="L3624" t="e">
        <f>IF(COUNTIF(#REF!,Tabela2[[#This Row],[KOD_PRODUKTU]])&gt;0,"ELEMENT","PRODUKT")</f>
        <v>#REF!</v>
      </c>
      <c r="M3624" t="e">
        <f>COUNTIF(#REF!,Tabela2[[#This Row],[KOD_PRODUKTU]])</f>
        <v>#REF!</v>
      </c>
    </row>
    <row r="3625" spans="1:14" x14ac:dyDescent="0.25">
      <c r="A3625" s="1" t="s">
        <v>5342</v>
      </c>
      <c r="B3625" t="s">
        <v>5343</v>
      </c>
      <c r="C3625" s="1" t="s">
        <v>5360</v>
      </c>
      <c r="D3625" s="1" t="s">
        <v>5360</v>
      </c>
      <c r="E3625" s="1" t="s">
        <v>5360</v>
      </c>
      <c r="F3625" t="s">
        <v>5361</v>
      </c>
      <c r="G3625" t="s">
        <v>1768</v>
      </c>
      <c r="H3625" t="s">
        <v>49</v>
      </c>
      <c r="I3625" t="s">
        <v>50</v>
      </c>
      <c r="J3625">
        <v>0</v>
      </c>
      <c r="K3625" t="e">
        <f>IF(COUNTIF(#REF!,Tabela2[[#This Row],[IdxWspolny]])&gt;0,"ELEM_lub_PRD","TECHN")</f>
        <v>#REF!</v>
      </c>
      <c r="L3625" t="e">
        <f>IF(COUNTIF(#REF!,Tabela2[[#This Row],[KOD_PRODUKTU]])&gt;0,"ELEMENT","PRODUKT")</f>
        <v>#REF!</v>
      </c>
      <c r="M3625" t="e">
        <f>COUNTIF(#REF!,Tabela2[[#This Row],[KOD_PRODUKTU]])</f>
        <v>#REF!</v>
      </c>
    </row>
    <row r="3626" spans="1:14" x14ac:dyDescent="0.25">
      <c r="A3626" s="1" t="s">
        <v>5342</v>
      </c>
      <c r="B3626" t="s">
        <v>5343</v>
      </c>
      <c r="C3626" s="1" t="s">
        <v>5362</v>
      </c>
      <c r="D3626" s="1" t="s">
        <v>5362</v>
      </c>
      <c r="E3626" s="1" t="s">
        <v>5362</v>
      </c>
      <c r="F3626" t="s">
        <v>5363</v>
      </c>
      <c r="G3626" t="s">
        <v>1768</v>
      </c>
      <c r="H3626" t="s">
        <v>49</v>
      </c>
      <c r="I3626" t="s">
        <v>50</v>
      </c>
      <c r="J3626">
        <v>0</v>
      </c>
      <c r="K3626" t="e">
        <f>IF(COUNTIF(#REF!,Tabela2[[#This Row],[IdxWspolny]])&gt;0,"ELEM_lub_PRD","TECHN")</f>
        <v>#REF!</v>
      </c>
      <c r="L3626" t="e">
        <f>IF(COUNTIF(#REF!,Tabela2[[#This Row],[KOD_PRODUKTU]])&gt;0,"ELEMENT","PRODUKT")</f>
        <v>#REF!</v>
      </c>
      <c r="M3626" t="e">
        <f>COUNTIF(#REF!,Tabela2[[#This Row],[KOD_PRODUKTU]])</f>
        <v>#REF!</v>
      </c>
    </row>
    <row r="3627" spans="1:14" x14ac:dyDescent="0.25">
      <c r="A3627" s="1" t="s">
        <v>5342</v>
      </c>
      <c r="B3627" t="s">
        <v>5343</v>
      </c>
      <c r="C3627" s="1" t="s">
        <v>5364</v>
      </c>
      <c r="D3627" s="1" t="s">
        <v>5364</v>
      </c>
      <c r="E3627" s="1" t="s">
        <v>5364</v>
      </c>
      <c r="F3627" t="s">
        <v>5365</v>
      </c>
      <c r="G3627" t="s">
        <v>1768</v>
      </c>
      <c r="H3627" t="s">
        <v>49</v>
      </c>
      <c r="I3627" t="s">
        <v>50</v>
      </c>
      <c r="J3627">
        <v>0</v>
      </c>
      <c r="K3627" t="e">
        <f>IF(COUNTIF(#REF!,Tabela2[[#This Row],[IdxWspolny]])&gt;0,"ELEM_lub_PRD","TECHN")</f>
        <v>#REF!</v>
      </c>
      <c r="L3627" t="e">
        <f>IF(COUNTIF(#REF!,Tabela2[[#This Row],[KOD_PRODUKTU]])&gt;0,"ELEMENT","PRODUKT")</f>
        <v>#REF!</v>
      </c>
      <c r="M3627" t="e">
        <f>COUNTIF(#REF!,Tabela2[[#This Row],[KOD_PRODUKTU]])</f>
        <v>#REF!</v>
      </c>
    </row>
    <row r="3628" spans="1:14" x14ac:dyDescent="0.25">
      <c r="A3628" s="1" t="s">
        <v>5342</v>
      </c>
      <c r="B3628" t="s">
        <v>5343</v>
      </c>
      <c r="C3628" s="1" t="s">
        <v>5366</v>
      </c>
      <c r="D3628" s="1" t="s">
        <v>5366</v>
      </c>
      <c r="E3628" s="1" t="s">
        <v>5366</v>
      </c>
      <c r="F3628" t="s">
        <v>5367</v>
      </c>
      <c r="G3628" t="s">
        <v>5368</v>
      </c>
      <c r="H3628" t="s">
        <v>39</v>
      </c>
      <c r="I3628" t="s">
        <v>558</v>
      </c>
      <c r="J3628">
        <v>0.05</v>
      </c>
      <c r="K3628" t="e">
        <f>IF(COUNTIF(#REF!,Tabela2[[#This Row],[IdxWspolny]])&gt;0,"ELEM_lub_PRD","TECHN")</f>
        <v>#REF!</v>
      </c>
      <c r="L3628" t="e">
        <f>IF(COUNTIF(#REF!,Tabela2[[#This Row],[KOD_PRODUKTU]])&gt;0,"ELEMENT","PRODUKT")</f>
        <v>#REF!</v>
      </c>
      <c r="M3628" t="e">
        <f>COUNTIF(#REF!,Tabela2[[#This Row],[KOD_PRODUKTU]])</f>
        <v>#REF!</v>
      </c>
    </row>
    <row r="3629" spans="1:14" hidden="1" x14ac:dyDescent="0.25">
      <c r="A3629" s="1" t="s">
        <v>5342</v>
      </c>
      <c r="B3629" t="s">
        <v>5343</v>
      </c>
      <c r="C3629" s="1" t="s">
        <v>5369</v>
      </c>
      <c r="D3629" s="1" t="s">
        <v>5369</v>
      </c>
      <c r="E3629" s="1" t="s">
        <v>5369</v>
      </c>
      <c r="F3629" t="s">
        <v>5370</v>
      </c>
      <c r="G3629" t="s">
        <v>343</v>
      </c>
      <c r="H3629" t="s">
        <v>49</v>
      </c>
      <c r="I3629" t="s">
        <v>312</v>
      </c>
      <c r="J3629">
        <v>27.2</v>
      </c>
      <c r="K3629" t="e">
        <f>IF(COUNTIF(#REF!,Tabela2[[#This Row],[IdxWspolny]])&gt;0,"ELEM_lub_PRD","TECHN")</f>
        <v>#REF!</v>
      </c>
      <c r="L3629" t="e">
        <f>IF(COUNTIF(#REF!,Tabela2[[#This Row],[KOD_PRODUKTU]])&gt;0,"ELEMENT","PRODUKT")</f>
        <v>#REF!</v>
      </c>
      <c r="M3629" t="e">
        <f>COUNTIF(#REF!,Tabela2[[#This Row],[KOD_PRODUKTU]])</f>
        <v>#REF!</v>
      </c>
      <c r="N3629" t="s">
        <v>55</v>
      </c>
    </row>
    <row r="3630" spans="1:14" x14ac:dyDescent="0.25">
      <c r="A3630" s="1" t="s">
        <v>5342</v>
      </c>
      <c r="B3630" t="s">
        <v>5343</v>
      </c>
      <c r="C3630" s="1" t="s">
        <v>857</v>
      </c>
      <c r="D3630" s="1" t="s">
        <v>857</v>
      </c>
      <c r="E3630" s="1" t="s">
        <v>857</v>
      </c>
      <c r="F3630" t="s">
        <v>858</v>
      </c>
      <c r="G3630" t="s">
        <v>686</v>
      </c>
      <c r="H3630" t="s">
        <v>49</v>
      </c>
      <c r="I3630" t="s">
        <v>4605</v>
      </c>
      <c r="J3630">
        <v>3</v>
      </c>
      <c r="K3630" t="e">
        <f>IF(COUNTIF(#REF!,Tabela2[[#This Row],[IdxWspolny]])&gt;0,"ELEM_lub_PRD","TECHN")</f>
        <v>#REF!</v>
      </c>
      <c r="L3630" t="e">
        <f>IF(COUNTIF(#REF!,Tabela2[[#This Row],[KOD_PRODUKTU]])&gt;0,"ELEMENT","PRODUKT")</f>
        <v>#REF!</v>
      </c>
      <c r="M3630" t="e">
        <f>COUNTIF(#REF!,Tabela2[[#This Row],[KOD_PRODUKTU]])</f>
        <v>#REF!</v>
      </c>
    </row>
    <row r="3631" spans="1:14" x14ac:dyDescent="0.25">
      <c r="A3631" s="1" t="s">
        <v>5342</v>
      </c>
      <c r="B3631" t="s">
        <v>5343</v>
      </c>
      <c r="C3631" s="1" t="s">
        <v>432</v>
      </c>
      <c r="D3631" s="1" t="s">
        <v>432</v>
      </c>
      <c r="E3631" s="1" t="s">
        <v>432</v>
      </c>
      <c r="F3631" t="s">
        <v>433</v>
      </c>
      <c r="G3631" t="s">
        <v>434</v>
      </c>
      <c r="H3631" t="s">
        <v>435</v>
      </c>
      <c r="I3631" t="s">
        <v>5371</v>
      </c>
      <c r="J3631">
        <v>9.8800000000000008</v>
      </c>
      <c r="K3631" t="e">
        <f>IF(COUNTIF(#REF!,Tabela2[[#This Row],[IdxWspolny]])&gt;0,"ELEM_lub_PRD","TECHN")</f>
        <v>#REF!</v>
      </c>
      <c r="L3631" t="e">
        <f>IF(COUNTIF(#REF!,Tabela2[[#This Row],[KOD_PRODUKTU]])&gt;0,"ELEMENT","PRODUKT")</f>
        <v>#REF!</v>
      </c>
      <c r="M3631" t="e">
        <f>COUNTIF(#REF!,Tabela2[[#This Row],[KOD_PRODUKTU]])</f>
        <v>#REF!</v>
      </c>
    </row>
    <row r="3632" spans="1:14" x14ac:dyDescent="0.25">
      <c r="A3632" s="1" t="s">
        <v>5342</v>
      </c>
      <c r="B3632" t="s">
        <v>5343</v>
      </c>
      <c r="C3632" s="1" t="s">
        <v>684</v>
      </c>
      <c r="D3632" s="1" t="s">
        <v>684</v>
      </c>
      <c r="E3632" s="1" t="s">
        <v>684</v>
      </c>
      <c r="F3632" t="s">
        <v>685</v>
      </c>
      <c r="G3632" t="s">
        <v>686</v>
      </c>
      <c r="H3632" t="s">
        <v>49</v>
      </c>
      <c r="I3632" t="s">
        <v>687</v>
      </c>
      <c r="J3632">
        <v>40</v>
      </c>
      <c r="K3632" t="e">
        <f>IF(COUNTIF(#REF!,Tabela2[[#This Row],[IdxWspolny]])&gt;0,"ELEM_lub_PRD","TECHN")</f>
        <v>#REF!</v>
      </c>
      <c r="L3632" t="e">
        <f>IF(COUNTIF(#REF!,Tabela2[[#This Row],[KOD_PRODUKTU]])&gt;0,"ELEMENT","PRODUKT")</f>
        <v>#REF!</v>
      </c>
      <c r="M3632" t="e">
        <f>COUNTIF(#REF!,Tabela2[[#This Row],[KOD_PRODUKTU]])</f>
        <v>#REF!</v>
      </c>
    </row>
    <row r="3633" spans="1:14" x14ac:dyDescent="0.25">
      <c r="A3633" s="1" t="s">
        <v>5342</v>
      </c>
      <c r="B3633" t="s">
        <v>5343</v>
      </c>
      <c r="C3633" s="1" t="s">
        <v>684</v>
      </c>
      <c r="D3633" s="1" t="s">
        <v>684</v>
      </c>
      <c r="E3633" s="1" t="s">
        <v>684</v>
      </c>
      <c r="F3633" t="s">
        <v>685</v>
      </c>
      <c r="G3633" t="s">
        <v>686</v>
      </c>
      <c r="H3633" t="s">
        <v>49</v>
      </c>
      <c r="I3633" t="s">
        <v>5372</v>
      </c>
      <c r="J3633">
        <v>78.599999999999994</v>
      </c>
      <c r="K3633" t="e">
        <f>IF(COUNTIF(#REF!,Tabela2[[#This Row],[IdxWspolny]])&gt;0,"ELEM_lub_PRD","TECHN")</f>
        <v>#REF!</v>
      </c>
      <c r="L3633" t="e">
        <f>IF(COUNTIF(#REF!,Tabela2[[#This Row],[KOD_PRODUKTU]])&gt;0,"ELEMENT","PRODUKT")</f>
        <v>#REF!</v>
      </c>
      <c r="M3633" t="e">
        <f>COUNTIF(#REF!,Tabela2[[#This Row],[KOD_PRODUKTU]])</f>
        <v>#REF!</v>
      </c>
    </row>
    <row r="3634" spans="1:14" x14ac:dyDescent="0.25">
      <c r="A3634" s="1" t="s">
        <v>5342</v>
      </c>
      <c r="B3634" t="s">
        <v>5343</v>
      </c>
      <c r="C3634" s="1" t="s">
        <v>684</v>
      </c>
      <c r="D3634" s="1" t="s">
        <v>684</v>
      </c>
      <c r="E3634" s="1" t="s">
        <v>684</v>
      </c>
      <c r="F3634" t="s">
        <v>685</v>
      </c>
      <c r="G3634" t="s">
        <v>686</v>
      </c>
      <c r="H3634" t="s">
        <v>49</v>
      </c>
      <c r="I3634" t="s">
        <v>5373</v>
      </c>
      <c r="J3634">
        <v>4</v>
      </c>
      <c r="K3634" t="e">
        <f>IF(COUNTIF(#REF!,Tabela2[[#This Row],[IdxWspolny]])&gt;0,"ELEM_lub_PRD","TECHN")</f>
        <v>#REF!</v>
      </c>
      <c r="L3634" t="e">
        <f>IF(COUNTIF(#REF!,Tabela2[[#This Row],[KOD_PRODUKTU]])&gt;0,"ELEMENT","PRODUKT")</f>
        <v>#REF!</v>
      </c>
      <c r="M3634" t="e">
        <f>COUNTIF(#REF!,Tabela2[[#This Row],[KOD_PRODUKTU]])</f>
        <v>#REF!</v>
      </c>
    </row>
    <row r="3635" spans="1:14" x14ac:dyDescent="0.25">
      <c r="A3635" s="1" t="s">
        <v>5342</v>
      </c>
      <c r="B3635" t="s">
        <v>5343</v>
      </c>
      <c r="C3635" s="1" t="s">
        <v>7</v>
      </c>
      <c r="D3635" s="1" t="s">
        <v>7</v>
      </c>
      <c r="E3635" s="1" t="s">
        <v>7</v>
      </c>
      <c r="F3635" t="s">
        <v>8</v>
      </c>
      <c r="G3635" t="s">
        <v>9</v>
      </c>
      <c r="H3635" t="s">
        <v>10</v>
      </c>
      <c r="I3635" t="s">
        <v>50</v>
      </c>
      <c r="J3635">
        <v>46</v>
      </c>
      <c r="K3635" t="e">
        <f>IF(COUNTIF(#REF!,Tabela2[[#This Row],[IdxWspolny]])&gt;0,"ELEM_lub_PRD","TECHN")</f>
        <v>#REF!</v>
      </c>
      <c r="L3635" t="e">
        <f>IF(COUNTIF(#REF!,Tabela2[[#This Row],[KOD_PRODUKTU]])&gt;0,"ELEMENT","PRODUKT")</f>
        <v>#REF!</v>
      </c>
      <c r="M3635" t="e">
        <f>COUNTIF(#REF!,Tabela2[[#This Row],[KOD_PRODUKTU]])</f>
        <v>#REF!</v>
      </c>
    </row>
    <row r="3636" spans="1:14" x14ac:dyDescent="0.25">
      <c r="A3636" s="1" t="s">
        <v>5342</v>
      </c>
      <c r="B3636" t="s">
        <v>5343</v>
      </c>
      <c r="C3636" s="1" t="s">
        <v>7</v>
      </c>
      <c r="D3636" s="1" t="s">
        <v>7</v>
      </c>
      <c r="E3636" s="1" t="s">
        <v>7</v>
      </c>
      <c r="F3636" t="s">
        <v>8</v>
      </c>
      <c r="G3636" t="s">
        <v>9</v>
      </c>
      <c r="H3636" t="s">
        <v>10</v>
      </c>
      <c r="I3636" t="s">
        <v>5374</v>
      </c>
      <c r="J3636">
        <v>1495</v>
      </c>
      <c r="K3636" t="e">
        <f>IF(COUNTIF(#REF!,Tabela2[[#This Row],[IdxWspolny]])&gt;0,"ELEM_lub_PRD","TECHN")</f>
        <v>#REF!</v>
      </c>
      <c r="L3636" t="e">
        <f>IF(COUNTIF(#REF!,Tabela2[[#This Row],[KOD_PRODUKTU]])&gt;0,"ELEMENT","PRODUKT")</f>
        <v>#REF!</v>
      </c>
      <c r="M3636" t="e">
        <f>COUNTIF(#REF!,Tabela2[[#This Row],[KOD_PRODUKTU]])</f>
        <v>#REF!</v>
      </c>
    </row>
    <row r="3637" spans="1:14" x14ac:dyDescent="0.25">
      <c r="A3637" s="1" t="s">
        <v>5369</v>
      </c>
      <c r="B3637" t="s">
        <v>5370</v>
      </c>
      <c r="C3637" s="1" t="s">
        <v>5375</v>
      </c>
      <c r="D3637" s="1" t="s">
        <v>5375</v>
      </c>
      <c r="E3637" s="1" t="s">
        <v>5375</v>
      </c>
      <c r="F3637" t="s">
        <v>5376</v>
      </c>
      <c r="G3637" t="s">
        <v>1768</v>
      </c>
      <c r="H3637" t="s">
        <v>5</v>
      </c>
      <c r="I3637" t="s">
        <v>5377</v>
      </c>
      <c r="J3637">
        <v>0</v>
      </c>
      <c r="K3637" t="e">
        <f>IF(COUNTIF(#REF!,Tabela2[[#This Row],[IdxWspolny]])&gt;0,"ELEM_lub_PRD","TECHN")</f>
        <v>#REF!</v>
      </c>
      <c r="L3637" t="e">
        <f>IF(COUNTIF(#REF!,Tabela2[[#This Row],[KOD_PRODUKTU]])&gt;0,"ELEMENT","PRODUKT")</f>
        <v>#REF!</v>
      </c>
      <c r="M3637" t="e">
        <f>COUNTIF(#REF!,Tabela2[[#This Row],[KOD_PRODUKTU]])</f>
        <v>#REF!</v>
      </c>
    </row>
    <row r="3638" spans="1:14" x14ac:dyDescent="0.25">
      <c r="A3638" s="1" t="s">
        <v>5369</v>
      </c>
      <c r="B3638" t="s">
        <v>5370</v>
      </c>
      <c r="C3638" s="1" t="s">
        <v>432</v>
      </c>
      <c r="D3638" s="1" t="s">
        <v>432</v>
      </c>
      <c r="E3638" s="1" t="s">
        <v>432</v>
      </c>
      <c r="F3638" t="s">
        <v>433</v>
      </c>
      <c r="G3638" t="s">
        <v>434</v>
      </c>
      <c r="H3638" t="s">
        <v>435</v>
      </c>
      <c r="I3638" t="s">
        <v>50</v>
      </c>
      <c r="J3638">
        <v>1.1000000000000001</v>
      </c>
      <c r="K3638" t="e">
        <f>IF(COUNTIF(#REF!,Tabela2[[#This Row],[IdxWspolny]])&gt;0,"ELEM_lub_PRD","TECHN")</f>
        <v>#REF!</v>
      </c>
      <c r="L3638" t="e">
        <f>IF(COUNTIF(#REF!,Tabela2[[#This Row],[KOD_PRODUKTU]])&gt;0,"ELEMENT","PRODUKT")</f>
        <v>#REF!</v>
      </c>
      <c r="M3638" t="e">
        <f>COUNTIF(#REF!,Tabela2[[#This Row],[KOD_PRODUKTU]])</f>
        <v>#REF!</v>
      </c>
    </row>
    <row r="3639" spans="1:14" x14ac:dyDescent="0.25">
      <c r="A3639" s="1" t="s">
        <v>5369</v>
      </c>
      <c r="B3639" t="s">
        <v>5370</v>
      </c>
      <c r="C3639" s="1" t="s">
        <v>7</v>
      </c>
      <c r="D3639" s="1" t="s">
        <v>7</v>
      </c>
      <c r="E3639" s="1" t="s">
        <v>7</v>
      </c>
      <c r="F3639" t="s">
        <v>8</v>
      </c>
      <c r="G3639" t="s">
        <v>9</v>
      </c>
      <c r="H3639" t="s">
        <v>10</v>
      </c>
      <c r="I3639" t="s">
        <v>367</v>
      </c>
      <c r="J3639">
        <v>2.2999999999999998</v>
      </c>
      <c r="K3639" t="e">
        <f>IF(COUNTIF(#REF!,Tabela2[[#This Row],[IdxWspolny]])&gt;0,"ELEM_lub_PRD","TECHN")</f>
        <v>#REF!</v>
      </c>
      <c r="L3639" t="e">
        <f>IF(COUNTIF(#REF!,Tabela2[[#This Row],[KOD_PRODUKTU]])&gt;0,"ELEMENT","PRODUKT")</f>
        <v>#REF!</v>
      </c>
      <c r="M3639" t="e">
        <f>COUNTIF(#REF!,Tabela2[[#This Row],[KOD_PRODUKTU]])</f>
        <v>#REF!</v>
      </c>
    </row>
    <row r="3640" spans="1:14" x14ac:dyDescent="0.25">
      <c r="A3640" s="1" t="s">
        <v>5378</v>
      </c>
      <c r="B3640" t="s">
        <v>5379</v>
      </c>
      <c r="C3640" s="1" t="s">
        <v>1074</v>
      </c>
      <c r="D3640" s="1" t="s">
        <v>1074</v>
      </c>
      <c r="E3640" s="1" t="s">
        <v>1074</v>
      </c>
      <c r="F3640" t="s">
        <v>1075</v>
      </c>
      <c r="G3640" t="s">
        <v>87</v>
      </c>
      <c r="H3640" t="s">
        <v>5</v>
      </c>
      <c r="I3640" t="s">
        <v>4059</v>
      </c>
      <c r="J3640">
        <v>0.57999999999999996</v>
      </c>
      <c r="K3640" t="e">
        <f>IF(COUNTIF(#REF!,Tabela2[[#This Row],[IdxWspolny]])&gt;0,"ELEM_lub_PRD","TECHN")</f>
        <v>#REF!</v>
      </c>
      <c r="L3640" t="e">
        <f>IF(COUNTIF(#REF!,Tabela2[[#This Row],[KOD_PRODUKTU]])&gt;0,"ELEMENT","PRODUKT")</f>
        <v>#REF!</v>
      </c>
      <c r="M3640" t="e">
        <f>COUNTIF(#REF!,Tabela2[[#This Row],[KOD_PRODUKTU]])</f>
        <v>#REF!</v>
      </c>
    </row>
    <row r="3641" spans="1:14" x14ac:dyDescent="0.25">
      <c r="A3641" s="1" t="s">
        <v>5378</v>
      </c>
      <c r="B3641" t="s">
        <v>5379</v>
      </c>
      <c r="C3641" s="1" t="s">
        <v>2881</v>
      </c>
      <c r="D3641" s="1" t="s">
        <v>2881</v>
      </c>
      <c r="E3641" s="1" t="s">
        <v>2881</v>
      </c>
      <c r="F3641" t="s">
        <v>2882</v>
      </c>
      <c r="G3641" t="s">
        <v>5380</v>
      </c>
      <c r="H3641" t="s">
        <v>5</v>
      </c>
      <c r="I3641" t="s">
        <v>601</v>
      </c>
      <c r="J3641">
        <v>2</v>
      </c>
      <c r="K3641" t="e">
        <f>IF(COUNTIF(#REF!,Tabela2[[#This Row],[IdxWspolny]])&gt;0,"ELEM_lub_PRD","TECHN")</f>
        <v>#REF!</v>
      </c>
      <c r="L3641" t="e">
        <f>IF(COUNTIF(#REF!,Tabela2[[#This Row],[KOD_PRODUKTU]])&gt;0,"ELEMENT","PRODUKT")</f>
        <v>#REF!</v>
      </c>
      <c r="M3641" t="e">
        <f>COUNTIF(#REF!,Tabela2[[#This Row],[KOD_PRODUKTU]])</f>
        <v>#REF!</v>
      </c>
    </row>
    <row r="3642" spans="1:14" hidden="1" x14ac:dyDescent="0.25">
      <c r="A3642" s="1" t="s">
        <v>5378</v>
      </c>
      <c r="B3642" t="s">
        <v>5379</v>
      </c>
      <c r="C3642" s="1" t="s">
        <v>5381</v>
      </c>
      <c r="D3642" s="1" t="s">
        <v>1372</v>
      </c>
      <c r="E3642" s="1" t="s">
        <v>1372</v>
      </c>
      <c r="F3642" t="s">
        <v>1373</v>
      </c>
      <c r="G3642" t="s">
        <v>5382</v>
      </c>
      <c r="H3642" t="s">
        <v>49</v>
      </c>
      <c r="I3642" t="s">
        <v>50</v>
      </c>
      <c r="J3642">
        <v>104.35</v>
      </c>
      <c r="K3642" t="e">
        <f>IF(COUNTIF(#REF!,Tabela2[[#This Row],[IdxWspolny]])&gt;0,"ELEM_lub_PRD","TECHN")</f>
        <v>#REF!</v>
      </c>
      <c r="L3642" t="e">
        <f>IF(COUNTIF(#REF!,Tabela2[[#This Row],[KOD_PRODUKTU]])&gt;0,"ELEMENT","PRODUKT")</f>
        <v>#REF!</v>
      </c>
      <c r="M3642" t="e">
        <f>COUNTIF(#REF!,Tabela2[[#This Row],[KOD_PRODUKTU]])</f>
        <v>#REF!</v>
      </c>
      <c r="N3642" t="s">
        <v>51</v>
      </c>
    </row>
    <row r="3643" spans="1:14" x14ac:dyDescent="0.25">
      <c r="A3643" s="1" t="s">
        <v>5378</v>
      </c>
      <c r="B3643" t="s">
        <v>5379</v>
      </c>
      <c r="C3643" s="1" t="s">
        <v>5383</v>
      </c>
      <c r="D3643" s="1" t="s">
        <v>5383</v>
      </c>
      <c r="E3643" s="1" t="s">
        <v>5383</v>
      </c>
      <c r="F3643" t="s">
        <v>5384</v>
      </c>
      <c r="G3643" t="s">
        <v>5385</v>
      </c>
      <c r="H3643" t="s">
        <v>49</v>
      </c>
      <c r="I3643" t="s">
        <v>50</v>
      </c>
      <c r="J3643">
        <v>355.63</v>
      </c>
      <c r="K3643" t="e">
        <f>IF(COUNTIF(#REF!,Tabela2[[#This Row],[IdxWspolny]])&gt;0,"ELEM_lub_PRD","TECHN")</f>
        <v>#REF!</v>
      </c>
      <c r="L3643" t="e">
        <f>IF(COUNTIF(#REF!,Tabela2[[#This Row],[KOD_PRODUKTU]])&gt;0,"ELEMENT","PRODUKT")</f>
        <v>#REF!</v>
      </c>
      <c r="M3643" t="e">
        <f>COUNTIF(#REF!,Tabela2[[#This Row],[KOD_PRODUKTU]])</f>
        <v>#REF!</v>
      </c>
      <c r="N3643" t="s">
        <v>55</v>
      </c>
    </row>
    <row r="3644" spans="1:14" x14ac:dyDescent="0.25">
      <c r="A3644" s="1" t="s">
        <v>5378</v>
      </c>
      <c r="B3644" t="s">
        <v>5379</v>
      </c>
      <c r="C3644" s="1" t="s">
        <v>684</v>
      </c>
      <c r="D3644" s="1" t="s">
        <v>684</v>
      </c>
      <c r="E3644" s="1" t="s">
        <v>684</v>
      </c>
      <c r="F3644" t="s">
        <v>685</v>
      </c>
      <c r="G3644" t="s">
        <v>686</v>
      </c>
      <c r="H3644" t="s">
        <v>49</v>
      </c>
      <c r="I3644" t="s">
        <v>5386</v>
      </c>
      <c r="J3644">
        <v>29.9</v>
      </c>
      <c r="K3644" t="e">
        <f>IF(COUNTIF(#REF!,Tabela2[[#This Row],[IdxWspolny]])&gt;0,"ELEM_lub_PRD","TECHN")</f>
        <v>#REF!</v>
      </c>
      <c r="L3644" t="e">
        <f>IF(COUNTIF(#REF!,Tabela2[[#This Row],[KOD_PRODUKTU]])&gt;0,"ELEMENT","PRODUKT")</f>
        <v>#REF!</v>
      </c>
      <c r="M3644" t="e">
        <f>COUNTIF(#REF!,Tabela2[[#This Row],[KOD_PRODUKTU]])</f>
        <v>#REF!</v>
      </c>
    </row>
    <row r="3645" spans="1:14" x14ac:dyDescent="0.25">
      <c r="A3645" s="1" t="s">
        <v>5378</v>
      </c>
      <c r="B3645" t="s">
        <v>5379</v>
      </c>
      <c r="C3645" s="1" t="s">
        <v>541</v>
      </c>
      <c r="D3645" s="1" t="s">
        <v>541</v>
      </c>
      <c r="E3645" s="1" t="s">
        <v>541</v>
      </c>
      <c r="F3645" t="s">
        <v>542</v>
      </c>
      <c r="G3645" t="s">
        <v>9</v>
      </c>
      <c r="H3645" t="s">
        <v>10</v>
      </c>
      <c r="I3645" t="s">
        <v>3047</v>
      </c>
      <c r="J3645">
        <v>4.83</v>
      </c>
      <c r="K3645" t="e">
        <f>IF(COUNTIF(#REF!,Tabela2[[#This Row],[IdxWspolny]])&gt;0,"ELEM_lub_PRD","TECHN")</f>
        <v>#REF!</v>
      </c>
      <c r="L3645" t="e">
        <f>IF(COUNTIF(#REF!,Tabela2[[#This Row],[KOD_PRODUKTU]])&gt;0,"ELEMENT","PRODUKT")</f>
        <v>#REF!</v>
      </c>
      <c r="M3645" t="e">
        <f>COUNTIF(#REF!,Tabela2[[#This Row],[KOD_PRODUKTU]])</f>
        <v>#REF!</v>
      </c>
    </row>
    <row r="3646" spans="1:14" x14ac:dyDescent="0.25">
      <c r="A3646" s="1" t="s">
        <v>5378</v>
      </c>
      <c r="B3646" t="s">
        <v>5379</v>
      </c>
      <c r="C3646" s="1" t="s">
        <v>541</v>
      </c>
      <c r="D3646" s="1" t="s">
        <v>541</v>
      </c>
      <c r="E3646" s="1" t="s">
        <v>541</v>
      </c>
      <c r="F3646" t="s">
        <v>542</v>
      </c>
      <c r="G3646" t="s">
        <v>9</v>
      </c>
      <c r="H3646" t="s">
        <v>10</v>
      </c>
      <c r="I3646" t="s">
        <v>5387</v>
      </c>
      <c r="J3646">
        <v>15.92</v>
      </c>
      <c r="K3646" t="e">
        <f>IF(COUNTIF(#REF!,Tabela2[[#This Row],[IdxWspolny]])&gt;0,"ELEM_lub_PRD","TECHN")</f>
        <v>#REF!</v>
      </c>
      <c r="L3646" t="e">
        <f>IF(COUNTIF(#REF!,Tabela2[[#This Row],[KOD_PRODUKTU]])&gt;0,"ELEMENT","PRODUKT")</f>
        <v>#REF!</v>
      </c>
      <c r="M3646" t="e">
        <f>COUNTIF(#REF!,Tabela2[[#This Row],[KOD_PRODUKTU]])</f>
        <v>#REF!</v>
      </c>
    </row>
    <row r="3647" spans="1:14" x14ac:dyDescent="0.25">
      <c r="A3647" s="1" t="s">
        <v>5378</v>
      </c>
      <c r="B3647" t="s">
        <v>5379</v>
      </c>
      <c r="C3647" s="1" t="s">
        <v>541</v>
      </c>
      <c r="D3647" s="1" t="s">
        <v>541</v>
      </c>
      <c r="E3647" s="1" t="s">
        <v>541</v>
      </c>
      <c r="F3647" t="s">
        <v>542</v>
      </c>
      <c r="G3647" t="s">
        <v>9</v>
      </c>
      <c r="H3647" t="s">
        <v>10</v>
      </c>
      <c r="I3647" t="s">
        <v>5388</v>
      </c>
      <c r="J3647">
        <v>3.61</v>
      </c>
      <c r="K3647" t="e">
        <f>IF(COUNTIF(#REF!,Tabela2[[#This Row],[IdxWspolny]])&gt;0,"ELEM_lub_PRD","TECHN")</f>
        <v>#REF!</v>
      </c>
      <c r="L3647" t="e">
        <f>IF(COUNTIF(#REF!,Tabela2[[#This Row],[KOD_PRODUKTU]])&gt;0,"ELEMENT","PRODUKT")</f>
        <v>#REF!</v>
      </c>
      <c r="M3647" t="e">
        <f>COUNTIF(#REF!,Tabela2[[#This Row],[KOD_PRODUKTU]])</f>
        <v>#REF!</v>
      </c>
    </row>
    <row r="3648" spans="1:14" x14ac:dyDescent="0.25">
      <c r="A3648" s="1" t="s">
        <v>5378</v>
      </c>
      <c r="B3648" t="s">
        <v>5379</v>
      </c>
      <c r="C3648" s="1" t="s">
        <v>7</v>
      </c>
      <c r="D3648" s="1" t="s">
        <v>7</v>
      </c>
      <c r="E3648" s="1" t="s">
        <v>7</v>
      </c>
      <c r="F3648" t="s">
        <v>8</v>
      </c>
      <c r="G3648" t="s">
        <v>9</v>
      </c>
      <c r="H3648" t="s">
        <v>10</v>
      </c>
      <c r="I3648" t="s">
        <v>5389</v>
      </c>
      <c r="J3648">
        <v>40.630000000000003</v>
      </c>
      <c r="K3648" t="e">
        <f>IF(COUNTIF(#REF!,Tabela2[[#This Row],[IdxWspolny]])&gt;0,"ELEM_lub_PRD","TECHN")</f>
        <v>#REF!</v>
      </c>
      <c r="L3648" t="e">
        <f>IF(COUNTIF(#REF!,Tabela2[[#This Row],[KOD_PRODUKTU]])&gt;0,"ELEMENT","PRODUKT")</f>
        <v>#REF!</v>
      </c>
      <c r="M3648" t="e">
        <f>COUNTIF(#REF!,Tabela2[[#This Row],[KOD_PRODUKTU]])</f>
        <v>#REF!</v>
      </c>
    </row>
    <row r="3649" spans="1:14" x14ac:dyDescent="0.25">
      <c r="A3649" s="1" t="s">
        <v>5390</v>
      </c>
      <c r="B3649" t="s">
        <v>5391</v>
      </c>
      <c r="C3649" s="1" t="s">
        <v>1249</v>
      </c>
      <c r="D3649" s="1" t="s">
        <v>1249</v>
      </c>
      <c r="E3649" s="1" t="s">
        <v>1249</v>
      </c>
      <c r="F3649" t="s">
        <v>1250</v>
      </c>
      <c r="G3649" t="s">
        <v>1251</v>
      </c>
      <c r="H3649" t="s">
        <v>1252</v>
      </c>
      <c r="I3649" t="s">
        <v>367</v>
      </c>
      <c r="J3649">
        <v>600</v>
      </c>
      <c r="K3649" t="e">
        <f>IF(COUNTIF(#REF!,Tabela2[[#This Row],[IdxWspolny]])&gt;0,"ELEM_lub_PRD","TECHN")</f>
        <v>#REF!</v>
      </c>
      <c r="L3649" t="e">
        <f>IF(COUNTIF(#REF!,Tabela2[[#This Row],[KOD_PRODUKTU]])&gt;0,"ELEMENT","PRODUKT")</f>
        <v>#REF!</v>
      </c>
      <c r="M3649" t="e">
        <f>COUNTIF(#REF!,Tabela2[[#This Row],[KOD_PRODUKTU]])</f>
        <v>#REF!</v>
      </c>
    </row>
    <row r="3650" spans="1:14" x14ac:dyDescent="0.25">
      <c r="A3650" s="1" t="s">
        <v>5390</v>
      </c>
      <c r="B3650" t="s">
        <v>5391</v>
      </c>
      <c r="C3650" s="1" t="s">
        <v>1989</v>
      </c>
      <c r="D3650" s="1" t="s">
        <v>1989</v>
      </c>
      <c r="E3650" s="1" t="s">
        <v>1989</v>
      </c>
      <c r="F3650" t="s">
        <v>1990</v>
      </c>
      <c r="G3650" t="s">
        <v>1991</v>
      </c>
      <c r="H3650" t="s">
        <v>435</v>
      </c>
      <c r="I3650" t="s">
        <v>5392</v>
      </c>
      <c r="J3650">
        <v>79.349999999999994</v>
      </c>
      <c r="K3650" t="e">
        <f>IF(COUNTIF(#REF!,Tabela2[[#This Row],[IdxWspolny]])&gt;0,"ELEM_lub_PRD","TECHN")</f>
        <v>#REF!</v>
      </c>
      <c r="L3650" t="e">
        <f>IF(COUNTIF(#REF!,Tabela2[[#This Row],[KOD_PRODUKTU]])&gt;0,"ELEMENT","PRODUKT")</f>
        <v>#REF!</v>
      </c>
      <c r="M3650" t="e">
        <f>COUNTIF(#REF!,Tabela2[[#This Row],[KOD_PRODUKTU]])</f>
        <v>#REF!</v>
      </c>
    </row>
    <row r="3651" spans="1:14" x14ac:dyDescent="0.25">
      <c r="A3651" s="1" t="s">
        <v>5390</v>
      </c>
      <c r="B3651" t="s">
        <v>5391</v>
      </c>
      <c r="C3651" s="1" t="s">
        <v>7</v>
      </c>
      <c r="D3651" s="1" t="s">
        <v>7</v>
      </c>
      <c r="E3651" s="1" t="s">
        <v>7</v>
      </c>
      <c r="F3651" t="s">
        <v>8</v>
      </c>
      <c r="G3651" t="s">
        <v>9</v>
      </c>
      <c r="H3651" t="s">
        <v>10</v>
      </c>
      <c r="I3651" t="s">
        <v>5327</v>
      </c>
      <c r="J3651">
        <v>1104</v>
      </c>
      <c r="K3651" t="e">
        <f>IF(COUNTIF(#REF!,Tabela2[[#This Row],[IdxWspolny]])&gt;0,"ELEM_lub_PRD","TECHN")</f>
        <v>#REF!</v>
      </c>
      <c r="L3651" t="e">
        <f>IF(COUNTIF(#REF!,Tabela2[[#This Row],[KOD_PRODUKTU]])&gt;0,"ELEMENT","PRODUKT")</f>
        <v>#REF!</v>
      </c>
      <c r="M3651" t="e">
        <f>COUNTIF(#REF!,Tabela2[[#This Row],[KOD_PRODUKTU]])</f>
        <v>#REF!</v>
      </c>
    </row>
    <row r="3652" spans="1:14" x14ac:dyDescent="0.25">
      <c r="A3652" s="1" t="s">
        <v>5390</v>
      </c>
      <c r="B3652" t="s">
        <v>5391</v>
      </c>
      <c r="C3652" s="1" t="s">
        <v>7</v>
      </c>
      <c r="D3652" s="1" t="s">
        <v>7</v>
      </c>
      <c r="E3652" s="1" t="s">
        <v>7</v>
      </c>
      <c r="F3652" t="s">
        <v>8</v>
      </c>
      <c r="G3652" t="s">
        <v>9</v>
      </c>
      <c r="H3652" t="s">
        <v>10</v>
      </c>
      <c r="I3652" t="s">
        <v>5393</v>
      </c>
      <c r="J3652">
        <v>207</v>
      </c>
      <c r="K3652" t="e">
        <f>IF(COUNTIF(#REF!,Tabela2[[#This Row],[IdxWspolny]])&gt;0,"ELEM_lub_PRD","TECHN")</f>
        <v>#REF!</v>
      </c>
      <c r="L3652" t="e">
        <f>IF(COUNTIF(#REF!,Tabela2[[#This Row],[KOD_PRODUKTU]])&gt;0,"ELEMENT","PRODUKT")</f>
        <v>#REF!</v>
      </c>
      <c r="M3652" t="e">
        <f>COUNTIF(#REF!,Tabela2[[#This Row],[KOD_PRODUKTU]])</f>
        <v>#REF!</v>
      </c>
    </row>
    <row r="3653" spans="1:14" x14ac:dyDescent="0.25">
      <c r="A3653" s="1" t="s">
        <v>5394</v>
      </c>
      <c r="B3653" t="s">
        <v>5395</v>
      </c>
      <c r="C3653" s="1" t="s">
        <v>1074</v>
      </c>
      <c r="D3653" s="1" t="s">
        <v>1074</v>
      </c>
      <c r="E3653" s="1" t="s">
        <v>1074</v>
      </c>
      <c r="F3653" t="s">
        <v>1075</v>
      </c>
      <c r="G3653" t="s">
        <v>1884</v>
      </c>
      <c r="H3653" t="s">
        <v>5</v>
      </c>
      <c r="I3653" t="s">
        <v>478</v>
      </c>
      <c r="J3653">
        <v>0.77</v>
      </c>
      <c r="K3653" t="e">
        <f>IF(COUNTIF(#REF!,Tabela2[[#This Row],[IdxWspolny]])&gt;0,"ELEM_lub_PRD","TECHN")</f>
        <v>#REF!</v>
      </c>
      <c r="L3653" t="e">
        <f>IF(COUNTIF(#REF!,Tabela2[[#This Row],[KOD_PRODUKTU]])&gt;0,"ELEMENT","PRODUKT")</f>
        <v>#REF!</v>
      </c>
      <c r="M3653" t="e">
        <f>COUNTIF(#REF!,Tabela2[[#This Row],[KOD_PRODUKTU]])</f>
        <v>#REF!</v>
      </c>
    </row>
    <row r="3654" spans="1:14" x14ac:dyDescent="0.25">
      <c r="A3654" s="1" t="s">
        <v>5394</v>
      </c>
      <c r="B3654" t="s">
        <v>5395</v>
      </c>
      <c r="C3654" s="1" t="s">
        <v>1959</v>
      </c>
      <c r="D3654" s="1" t="s">
        <v>1959</v>
      </c>
      <c r="E3654" s="1" t="s">
        <v>1959</v>
      </c>
      <c r="F3654" t="s">
        <v>1960</v>
      </c>
      <c r="G3654" t="s">
        <v>131</v>
      </c>
      <c r="H3654" t="s">
        <v>5</v>
      </c>
      <c r="I3654" t="s">
        <v>3404</v>
      </c>
      <c r="J3654">
        <v>3.12</v>
      </c>
      <c r="K3654" t="e">
        <f>IF(COUNTIF(#REF!,Tabela2[[#This Row],[IdxWspolny]])&gt;0,"ELEM_lub_PRD","TECHN")</f>
        <v>#REF!</v>
      </c>
      <c r="L3654" t="e">
        <f>IF(COUNTIF(#REF!,Tabela2[[#This Row],[KOD_PRODUKTU]])&gt;0,"ELEMENT","PRODUKT")</f>
        <v>#REF!</v>
      </c>
      <c r="M3654" t="e">
        <f>COUNTIF(#REF!,Tabela2[[#This Row],[KOD_PRODUKTU]])</f>
        <v>#REF!</v>
      </c>
    </row>
    <row r="3655" spans="1:14" x14ac:dyDescent="0.25">
      <c r="A3655" s="1" t="s">
        <v>5394</v>
      </c>
      <c r="B3655" t="s">
        <v>5395</v>
      </c>
      <c r="C3655" s="1" t="s">
        <v>41</v>
      </c>
      <c r="D3655" s="1" t="s">
        <v>41</v>
      </c>
      <c r="E3655" s="1" t="s">
        <v>41</v>
      </c>
      <c r="F3655" t="s">
        <v>42</v>
      </c>
      <c r="G3655" t="s">
        <v>513</v>
      </c>
      <c r="H3655" t="s">
        <v>5</v>
      </c>
      <c r="I3655" t="s">
        <v>4883</v>
      </c>
      <c r="J3655">
        <v>0.02</v>
      </c>
      <c r="K3655" t="e">
        <f>IF(COUNTIF(#REF!,Tabela2[[#This Row],[IdxWspolny]])&gt;0,"ELEM_lub_PRD","TECHN")</f>
        <v>#REF!</v>
      </c>
      <c r="L3655" t="e">
        <f>IF(COUNTIF(#REF!,Tabela2[[#This Row],[KOD_PRODUKTU]])&gt;0,"ELEMENT","PRODUKT")</f>
        <v>#REF!</v>
      </c>
      <c r="M3655" t="e">
        <f>COUNTIF(#REF!,Tabela2[[#This Row],[KOD_PRODUKTU]])</f>
        <v>#REF!</v>
      </c>
    </row>
    <row r="3656" spans="1:14" x14ac:dyDescent="0.25">
      <c r="A3656" s="1" t="s">
        <v>5394</v>
      </c>
      <c r="B3656" t="s">
        <v>5395</v>
      </c>
      <c r="C3656" s="1" t="s">
        <v>5396</v>
      </c>
      <c r="D3656" s="1" t="s">
        <v>5396</v>
      </c>
      <c r="E3656" s="1" t="s">
        <v>5396</v>
      </c>
      <c r="F3656" t="s">
        <v>5397</v>
      </c>
      <c r="G3656" t="s">
        <v>5398</v>
      </c>
      <c r="H3656" t="s">
        <v>49</v>
      </c>
      <c r="I3656" t="s">
        <v>50</v>
      </c>
      <c r="J3656">
        <v>140.24</v>
      </c>
      <c r="K3656" t="e">
        <f>IF(COUNTIF(#REF!,Tabela2[[#This Row],[IdxWspolny]])&gt;0,"ELEM_lub_PRD","TECHN")</f>
        <v>#REF!</v>
      </c>
      <c r="L3656" t="e">
        <f>IF(COUNTIF(#REF!,Tabela2[[#This Row],[KOD_PRODUKTU]])&gt;0,"ELEMENT","PRODUKT")</f>
        <v>#REF!</v>
      </c>
      <c r="M3656" t="e">
        <f>COUNTIF(#REF!,Tabela2[[#This Row],[KOD_PRODUKTU]])</f>
        <v>#REF!</v>
      </c>
      <c r="N3656" t="s">
        <v>55</v>
      </c>
    </row>
    <row r="3657" spans="1:14" hidden="1" x14ac:dyDescent="0.25">
      <c r="A3657" s="1" t="s">
        <v>5394</v>
      </c>
      <c r="B3657" t="s">
        <v>5395</v>
      </c>
      <c r="C3657" s="1" t="s">
        <v>5399</v>
      </c>
      <c r="D3657" s="1" t="s">
        <v>5399</v>
      </c>
      <c r="E3657" s="1" t="s">
        <v>5399</v>
      </c>
      <c r="F3657" t="s">
        <v>5400</v>
      </c>
      <c r="G3657" t="s">
        <v>5401</v>
      </c>
      <c r="H3657" t="s">
        <v>49</v>
      </c>
      <c r="I3657" t="s">
        <v>50</v>
      </c>
      <c r="J3657">
        <v>197.3</v>
      </c>
      <c r="K3657" t="e">
        <f>IF(COUNTIF(#REF!,Tabela2[[#This Row],[IdxWspolny]])&gt;0,"ELEM_lub_PRD","TECHN")</f>
        <v>#REF!</v>
      </c>
      <c r="L3657" t="e">
        <f>IF(COUNTIF(#REF!,Tabela2[[#This Row],[KOD_PRODUKTU]])&gt;0,"ELEMENT","PRODUKT")</f>
        <v>#REF!</v>
      </c>
      <c r="M3657" t="e">
        <f>COUNTIF(#REF!,Tabela2[[#This Row],[KOD_PRODUKTU]])</f>
        <v>#REF!</v>
      </c>
      <c r="N3657" t="s">
        <v>55</v>
      </c>
    </row>
    <row r="3658" spans="1:14" x14ac:dyDescent="0.25">
      <c r="A3658" s="1" t="s">
        <v>5394</v>
      </c>
      <c r="B3658" t="s">
        <v>5395</v>
      </c>
      <c r="C3658" s="1" t="s">
        <v>7</v>
      </c>
      <c r="D3658" s="1" t="s">
        <v>7</v>
      </c>
      <c r="E3658" s="1" t="s">
        <v>7</v>
      </c>
      <c r="F3658" t="s">
        <v>8</v>
      </c>
      <c r="G3658" t="s">
        <v>9</v>
      </c>
      <c r="H3658" t="s">
        <v>10</v>
      </c>
      <c r="I3658" t="s">
        <v>5402</v>
      </c>
      <c r="J3658">
        <v>16.170000000000002</v>
      </c>
      <c r="K3658" t="e">
        <f>IF(COUNTIF(#REF!,Tabela2[[#This Row],[IdxWspolny]])&gt;0,"ELEM_lub_PRD","TECHN")</f>
        <v>#REF!</v>
      </c>
      <c r="L3658" t="e">
        <f>IF(COUNTIF(#REF!,Tabela2[[#This Row],[KOD_PRODUKTU]])&gt;0,"ELEMENT","PRODUKT")</f>
        <v>#REF!</v>
      </c>
      <c r="M3658" t="e">
        <f>COUNTIF(#REF!,Tabela2[[#This Row],[KOD_PRODUKTU]])</f>
        <v>#REF!</v>
      </c>
    </row>
    <row r="3659" spans="1:14" hidden="1" x14ac:dyDescent="0.25">
      <c r="A3659" s="1" t="s">
        <v>5399</v>
      </c>
      <c r="B3659" t="s">
        <v>5400</v>
      </c>
      <c r="C3659" s="1" t="s">
        <v>5403</v>
      </c>
      <c r="D3659" s="1" t="s">
        <v>5403</v>
      </c>
      <c r="E3659" s="1" t="s">
        <v>5403</v>
      </c>
      <c r="F3659" t="s">
        <v>5404</v>
      </c>
      <c r="G3659" t="s">
        <v>5405</v>
      </c>
      <c r="H3659" t="s">
        <v>49</v>
      </c>
      <c r="I3659" t="s">
        <v>50</v>
      </c>
      <c r="J3659">
        <v>53.12</v>
      </c>
      <c r="K3659" t="e">
        <f>IF(COUNTIF(#REF!,Tabela2[[#This Row],[IdxWspolny]])&gt;0,"ELEM_lub_PRD","TECHN")</f>
        <v>#REF!</v>
      </c>
      <c r="L3659" t="e">
        <f>IF(COUNTIF(#REF!,Tabela2[[#This Row],[KOD_PRODUKTU]])&gt;0,"ELEMENT","PRODUKT")</f>
        <v>#REF!</v>
      </c>
      <c r="M3659" t="e">
        <f>COUNTIF(#REF!,Tabela2[[#This Row],[KOD_PRODUKTU]])</f>
        <v>#REF!</v>
      </c>
      <c r="N3659" t="s">
        <v>55</v>
      </c>
    </row>
    <row r="3660" spans="1:14" hidden="1" x14ac:dyDescent="0.25">
      <c r="A3660" s="1" t="s">
        <v>5399</v>
      </c>
      <c r="B3660" t="s">
        <v>5400</v>
      </c>
      <c r="C3660" s="1" t="s">
        <v>5406</v>
      </c>
      <c r="D3660" s="1" t="s">
        <v>5406</v>
      </c>
      <c r="E3660" s="1" t="s">
        <v>5406</v>
      </c>
      <c r="F3660" t="s">
        <v>5407</v>
      </c>
      <c r="G3660" t="s">
        <v>5408</v>
      </c>
      <c r="H3660" t="s">
        <v>49</v>
      </c>
      <c r="I3660" t="s">
        <v>50</v>
      </c>
      <c r="J3660">
        <v>61.52</v>
      </c>
      <c r="K3660" t="e">
        <f>IF(COUNTIF(#REF!,Tabela2[[#This Row],[IdxWspolny]])&gt;0,"ELEM_lub_PRD","TECHN")</f>
        <v>#REF!</v>
      </c>
      <c r="L3660" t="e">
        <f>IF(COUNTIF(#REF!,Tabela2[[#This Row],[KOD_PRODUKTU]])&gt;0,"ELEMENT","PRODUKT")</f>
        <v>#REF!</v>
      </c>
      <c r="M3660" t="e">
        <f>COUNTIF(#REF!,Tabela2[[#This Row],[KOD_PRODUKTU]])</f>
        <v>#REF!</v>
      </c>
      <c r="N3660" t="s">
        <v>55</v>
      </c>
    </row>
    <row r="3661" spans="1:14" x14ac:dyDescent="0.25">
      <c r="A3661" s="1" t="s">
        <v>5399</v>
      </c>
      <c r="B3661" t="s">
        <v>5400</v>
      </c>
      <c r="C3661" s="1" t="s">
        <v>857</v>
      </c>
      <c r="D3661" s="1" t="s">
        <v>857</v>
      </c>
      <c r="E3661" s="1" t="s">
        <v>857</v>
      </c>
      <c r="F3661" t="s">
        <v>858</v>
      </c>
      <c r="G3661" t="s">
        <v>686</v>
      </c>
      <c r="H3661" t="s">
        <v>49</v>
      </c>
      <c r="I3661" t="s">
        <v>5409</v>
      </c>
      <c r="J3661">
        <v>1.05</v>
      </c>
      <c r="K3661" t="e">
        <f>IF(COUNTIF(#REF!,Tabela2[[#This Row],[IdxWspolny]])&gt;0,"ELEM_lub_PRD","TECHN")</f>
        <v>#REF!</v>
      </c>
      <c r="L3661" t="e">
        <f>IF(COUNTIF(#REF!,Tabela2[[#This Row],[KOD_PRODUKTU]])&gt;0,"ELEMENT","PRODUKT")</f>
        <v>#REF!</v>
      </c>
      <c r="M3661" t="e">
        <f>COUNTIF(#REF!,Tabela2[[#This Row],[KOD_PRODUKTU]])</f>
        <v>#REF!</v>
      </c>
    </row>
    <row r="3662" spans="1:14" x14ac:dyDescent="0.25">
      <c r="A3662" s="1" t="s">
        <v>5399</v>
      </c>
      <c r="B3662" t="s">
        <v>5400</v>
      </c>
      <c r="C3662" s="1" t="s">
        <v>7</v>
      </c>
      <c r="D3662" s="1" t="s">
        <v>7</v>
      </c>
      <c r="E3662" s="1" t="s">
        <v>7</v>
      </c>
      <c r="F3662" t="s">
        <v>8</v>
      </c>
      <c r="G3662" t="s">
        <v>9</v>
      </c>
      <c r="H3662" t="s">
        <v>10</v>
      </c>
      <c r="I3662" t="s">
        <v>3839</v>
      </c>
      <c r="J3662">
        <v>36.17</v>
      </c>
      <c r="K3662" t="e">
        <f>IF(COUNTIF(#REF!,Tabela2[[#This Row],[IdxWspolny]])&gt;0,"ELEM_lub_PRD","TECHN")</f>
        <v>#REF!</v>
      </c>
      <c r="L3662" t="e">
        <f>IF(COUNTIF(#REF!,Tabela2[[#This Row],[KOD_PRODUKTU]])&gt;0,"ELEMENT","PRODUKT")</f>
        <v>#REF!</v>
      </c>
      <c r="M3662" t="e">
        <f>COUNTIF(#REF!,Tabela2[[#This Row],[KOD_PRODUKTU]])</f>
        <v>#REF!</v>
      </c>
    </row>
    <row r="3663" spans="1:14" x14ac:dyDescent="0.25">
      <c r="A3663" s="1" t="s">
        <v>5399</v>
      </c>
      <c r="B3663" t="s">
        <v>5400</v>
      </c>
      <c r="C3663" s="1" t="s">
        <v>7</v>
      </c>
      <c r="D3663" s="1" t="s">
        <v>7</v>
      </c>
      <c r="E3663" s="1" t="s">
        <v>7</v>
      </c>
      <c r="F3663" t="s">
        <v>8</v>
      </c>
      <c r="G3663" t="s">
        <v>9</v>
      </c>
      <c r="H3663" t="s">
        <v>10</v>
      </c>
      <c r="I3663" t="s">
        <v>5410</v>
      </c>
      <c r="J3663">
        <v>38.47</v>
      </c>
      <c r="K3663" t="e">
        <f>IF(COUNTIF(#REF!,Tabela2[[#This Row],[IdxWspolny]])&gt;0,"ELEM_lub_PRD","TECHN")</f>
        <v>#REF!</v>
      </c>
      <c r="L3663" t="e">
        <f>IF(COUNTIF(#REF!,Tabela2[[#This Row],[KOD_PRODUKTU]])&gt;0,"ELEMENT","PRODUKT")</f>
        <v>#REF!</v>
      </c>
      <c r="M3663" t="e">
        <f>COUNTIF(#REF!,Tabela2[[#This Row],[KOD_PRODUKTU]])</f>
        <v>#REF!</v>
      </c>
    </row>
    <row r="3664" spans="1:14" x14ac:dyDescent="0.25">
      <c r="A3664" s="1" t="s">
        <v>5399</v>
      </c>
      <c r="B3664" t="s">
        <v>5400</v>
      </c>
      <c r="C3664" s="1" t="s">
        <v>7</v>
      </c>
      <c r="D3664" s="1" t="s">
        <v>7</v>
      </c>
      <c r="E3664" s="1" t="s">
        <v>7</v>
      </c>
      <c r="F3664" t="s">
        <v>8</v>
      </c>
      <c r="G3664" t="s">
        <v>9</v>
      </c>
      <c r="H3664" t="s">
        <v>10</v>
      </c>
      <c r="I3664" t="s">
        <v>5411</v>
      </c>
      <c r="J3664">
        <v>6.97</v>
      </c>
      <c r="K3664" t="e">
        <f>IF(COUNTIF(#REF!,Tabela2[[#This Row],[IdxWspolny]])&gt;0,"ELEM_lub_PRD","TECHN")</f>
        <v>#REF!</v>
      </c>
      <c r="L3664" t="e">
        <f>IF(COUNTIF(#REF!,Tabela2[[#This Row],[KOD_PRODUKTU]])&gt;0,"ELEMENT","PRODUKT")</f>
        <v>#REF!</v>
      </c>
      <c r="M3664" t="e">
        <f>COUNTIF(#REF!,Tabela2[[#This Row],[KOD_PRODUKTU]])</f>
        <v>#REF!</v>
      </c>
    </row>
    <row r="3665" spans="1:13" x14ac:dyDescent="0.25">
      <c r="A3665" s="1" t="s">
        <v>5403</v>
      </c>
      <c r="B3665" t="s">
        <v>5404</v>
      </c>
      <c r="C3665" s="1" t="s">
        <v>3258</v>
      </c>
      <c r="D3665" s="1" t="s">
        <v>3258</v>
      </c>
      <c r="E3665" s="1" t="s">
        <v>3258</v>
      </c>
      <c r="F3665" t="s">
        <v>3259</v>
      </c>
      <c r="G3665" t="s">
        <v>70</v>
      </c>
      <c r="H3665" t="s">
        <v>5</v>
      </c>
      <c r="I3665" t="s">
        <v>5412</v>
      </c>
      <c r="J3665">
        <v>24.75</v>
      </c>
      <c r="K3665" t="e">
        <f>IF(COUNTIF(#REF!,Tabela2[[#This Row],[IdxWspolny]])&gt;0,"ELEM_lub_PRD","TECHN")</f>
        <v>#REF!</v>
      </c>
      <c r="L3665" t="e">
        <f>IF(COUNTIF(#REF!,Tabela2[[#This Row],[KOD_PRODUKTU]])&gt;0,"ELEMENT","PRODUKT")</f>
        <v>#REF!</v>
      </c>
      <c r="M3665" t="e">
        <f>COUNTIF(#REF!,Tabela2[[#This Row],[KOD_PRODUKTU]])</f>
        <v>#REF!</v>
      </c>
    </row>
    <row r="3666" spans="1:13" x14ac:dyDescent="0.25">
      <c r="A3666" s="1" t="s">
        <v>5403</v>
      </c>
      <c r="B3666" t="s">
        <v>5404</v>
      </c>
      <c r="C3666" s="1" t="s">
        <v>7</v>
      </c>
      <c r="D3666" s="1" t="s">
        <v>7</v>
      </c>
      <c r="E3666" s="1" t="s">
        <v>7</v>
      </c>
      <c r="F3666" t="s">
        <v>8</v>
      </c>
      <c r="G3666" t="s">
        <v>9</v>
      </c>
      <c r="H3666" t="s">
        <v>10</v>
      </c>
      <c r="I3666" t="s">
        <v>5413</v>
      </c>
      <c r="J3666">
        <v>28.37</v>
      </c>
      <c r="K3666" t="e">
        <f>IF(COUNTIF(#REF!,Tabela2[[#This Row],[IdxWspolny]])&gt;0,"ELEM_lub_PRD","TECHN")</f>
        <v>#REF!</v>
      </c>
      <c r="L3666" t="e">
        <f>IF(COUNTIF(#REF!,Tabela2[[#This Row],[KOD_PRODUKTU]])&gt;0,"ELEMENT","PRODUKT")</f>
        <v>#REF!</v>
      </c>
      <c r="M3666" t="e">
        <f>COUNTIF(#REF!,Tabela2[[#This Row],[KOD_PRODUKTU]])</f>
        <v>#REF!</v>
      </c>
    </row>
    <row r="3667" spans="1:13" x14ac:dyDescent="0.25">
      <c r="A3667" s="1" t="s">
        <v>5406</v>
      </c>
      <c r="B3667" t="s">
        <v>5407</v>
      </c>
      <c r="C3667" s="1" t="s">
        <v>5414</v>
      </c>
      <c r="D3667" s="1" t="s">
        <v>5414</v>
      </c>
      <c r="E3667" s="1" t="s">
        <v>5414</v>
      </c>
      <c r="F3667" t="s">
        <v>5415</v>
      </c>
      <c r="G3667" t="s">
        <v>5416</v>
      </c>
      <c r="H3667" t="s">
        <v>49</v>
      </c>
      <c r="I3667" t="s">
        <v>50</v>
      </c>
      <c r="J3667">
        <v>33.15</v>
      </c>
      <c r="K3667" t="e">
        <f>IF(COUNTIF(#REF!,Tabela2[[#This Row],[IdxWspolny]])&gt;0,"ELEM_lub_PRD","TECHN")</f>
        <v>#REF!</v>
      </c>
      <c r="L3667" t="e">
        <f>IF(COUNTIF(#REF!,Tabela2[[#This Row],[KOD_PRODUKTU]])&gt;0,"ELEMENT","PRODUKT")</f>
        <v>#REF!</v>
      </c>
      <c r="M3667" t="e">
        <f>COUNTIF(#REF!,Tabela2[[#This Row],[KOD_PRODUKTU]])</f>
        <v>#REF!</v>
      </c>
    </row>
    <row r="3668" spans="1:13" x14ac:dyDescent="0.25">
      <c r="A3668" s="1" t="s">
        <v>5406</v>
      </c>
      <c r="B3668" t="s">
        <v>5407</v>
      </c>
      <c r="C3668" s="1" t="s">
        <v>7</v>
      </c>
      <c r="D3668" s="1" t="s">
        <v>7</v>
      </c>
      <c r="E3668" s="1" t="s">
        <v>7</v>
      </c>
      <c r="F3668" t="s">
        <v>8</v>
      </c>
      <c r="G3668" t="s">
        <v>9</v>
      </c>
      <c r="H3668" t="s">
        <v>10</v>
      </c>
      <c r="I3668" t="s">
        <v>5413</v>
      </c>
      <c r="J3668">
        <v>28.37</v>
      </c>
      <c r="K3668" t="e">
        <f>IF(COUNTIF(#REF!,Tabela2[[#This Row],[IdxWspolny]])&gt;0,"ELEM_lub_PRD","TECHN")</f>
        <v>#REF!</v>
      </c>
      <c r="L3668" t="e">
        <f>IF(COUNTIF(#REF!,Tabela2[[#This Row],[KOD_PRODUKTU]])&gt;0,"ELEMENT","PRODUKT")</f>
        <v>#REF!</v>
      </c>
      <c r="M3668" t="e">
        <f>COUNTIF(#REF!,Tabela2[[#This Row],[KOD_PRODUKTU]])</f>
        <v>#REF!</v>
      </c>
    </row>
    <row r="3669" spans="1:13" x14ac:dyDescent="0.25">
      <c r="A3669" s="1" t="s">
        <v>5417</v>
      </c>
      <c r="B3669" t="s">
        <v>5418</v>
      </c>
      <c r="C3669" s="1" t="s">
        <v>4085</v>
      </c>
      <c r="D3669" s="1" t="s">
        <v>4085</v>
      </c>
      <c r="E3669" s="1" t="s">
        <v>4085</v>
      </c>
      <c r="F3669" t="s">
        <v>4086</v>
      </c>
      <c r="G3669" t="s">
        <v>1394</v>
      </c>
      <c r="H3669" t="s">
        <v>5</v>
      </c>
      <c r="I3669" t="s">
        <v>5419</v>
      </c>
      <c r="J3669">
        <v>2.25</v>
      </c>
      <c r="K3669" t="e">
        <f>IF(COUNTIF(#REF!,Tabela2[[#This Row],[IdxWspolny]])&gt;0,"ELEM_lub_PRD","TECHN")</f>
        <v>#REF!</v>
      </c>
      <c r="L3669" t="e">
        <f>IF(COUNTIF(#REF!,Tabela2[[#This Row],[KOD_PRODUKTU]])&gt;0,"ELEMENT","PRODUKT")</f>
        <v>#REF!</v>
      </c>
      <c r="M3669" t="e">
        <f>COUNTIF(#REF!,Tabela2[[#This Row],[KOD_PRODUKTU]])</f>
        <v>#REF!</v>
      </c>
    </row>
    <row r="3670" spans="1:13" x14ac:dyDescent="0.25">
      <c r="A3670" s="1" t="s">
        <v>5417</v>
      </c>
      <c r="B3670" t="s">
        <v>5418</v>
      </c>
      <c r="C3670" s="1" t="s">
        <v>432</v>
      </c>
      <c r="D3670" s="1" t="s">
        <v>432</v>
      </c>
      <c r="E3670" s="1" t="s">
        <v>432</v>
      </c>
      <c r="F3670" t="s">
        <v>433</v>
      </c>
      <c r="G3670" t="s">
        <v>434</v>
      </c>
      <c r="H3670" t="s">
        <v>435</v>
      </c>
      <c r="I3670" t="s">
        <v>50</v>
      </c>
      <c r="J3670">
        <v>1.1000000000000001</v>
      </c>
      <c r="K3670" t="e">
        <f>IF(COUNTIF(#REF!,Tabela2[[#This Row],[IdxWspolny]])&gt;0,"ELEM_lub_PRD","TECHN")</f>
        <v>#REF!</v>
      </c>
      <c r="L3670" t="e">
        <f>IF(COUNTIF(#REF!,Tabela2[[#This Row],[KOD_PRODUKTU]])&gt;0,"ELEMENT","PRODUKT")</f>
        <v>#REF!</v>
      </c>
      <c r="M3670" t="e">
        <f>COUNTIF(#REF!,Tabela2[[#This Row],[KOD_PRODUKTU]])</f>
        <v>#REF!</v>
      </c>
    </row>
    <row r="3671" spans="1:13" x14ac:dyDescent="0.25">
      <c r="A3671" s="1" t="s">
        <v>5417</v>
      </c>
      <c r="B3671" t="s">
        <v>5418</v>
      </c>
      <c r="C3671" s="1" t="s">
        <v>541</v>
      </c>
      <c r="D3671" s="1" t="s">
        <v>541</v>
      </c>
      <c r="E3671" s="1" t="s">
        <v>541</v>
      </c>
      <c r="F3671" t="s">
        <v>542</v>
      </c>
      <c r="G3671" t="s">
        <v>9</v>
      </c>
      <c r="H3671" t="s">
        <v>10</v>
      </c>
      <c r="I3671" t="s">
        <v>3037</v>
      </c>
      <c r="J3671">
        <v>3.83</v>
      </c>
      <c r="K3671" t="e">
        <f>IF(COUNTIF(#REF!,Tabela2[[#This Row],[IdxWspolny]])&gt;0,"ELEM_lub_PRD","TECHN")</f>
        <v>#REF!</v>
      </c>
      <c r="L3671" t="e">
        <f>IF(COUNTIF(#REF!,Tabela2[[#This Row],[KOD_PRODUKTU]])&gt;0,"ELEMENT","PRODUKT")</f>
        <v>#REF!</v>
      </c>
      <c r="M3671" t="e">
        <f>COUNTIF(#REF!,Tabela2[[#This Row],[KOD_PRODUKTU]])</f>
        <v>#REF!</v>
      </c>
    </row>
    <row r="3672" spans="1:13" x14ac:dyDescent="0.25">
      <c r="A3672" s="1" t="s">
        <v>5420</v>
      </c>
      <c r="B3672" t="s">
        <v>5421</v>
      </c>
      <c r="C3672" s="1" t="s">
        <v>4168</v>
      </c>
      <c r="D3672" s="1" t="s">
        <v>4168</v>
      </c>
      <c r="E3672" s="1" t="s">
        <v>4168</v>
      </c>
      <c r="F3672" t="s">
        <v>4423</v>
      </c>
      <c r="G3672" t="s">
        <v>70</v>
      </c>
      <c r="H3672" t="s">
        <v>5</v>
      </c>
      <c r="I3672" t="s">
        <v>5422</v>
      </c>
      <c r="J3672">
        <v>11.75</v>
      </c>
      <c r="K3672" t="e">
        <f>IF(COUNTIF(#REF!,Tabela2[[#This Row],[IdxWspolny]])&gt;0,"ELEM_lub_PRD","TECHN")</f>
        <v>#REF!</v>
      </c>
      <c r="L3672" t="e">
        <f>IF(COUNTIF(#REF!,Tabela2[[#This Row],[KOD_PRODUKTU]])&gt;0,"ELEMENT","PRODUKT")</f>
        <v>#REF!</v>
      </c>
      <c r="M3672" t="e">
        <f>COUNTIF(#REF!,Tabela2[[#This Row],[KOD_PRODUKTU]])</f>
        <v>#REF!</v>
      </c>
    </row>
    <row r="3673" spans="1:13" x14ac:dyDescent="0.25">
      <c r="A3673" s="1" t="s">
        <v>5420</v>
      </c>
      <c r="B3673" t="s">
        <v>5421</v>
      </c>
      <c r="C3673" s="1" t="s">
        <v>541</v>
      </c>
      <c r="D3673" s="1" t="s">
        <v>541</v>
      </c>
      <c r="E3673" s="1" t="s">
        <v>541</v>
      </c>
      <c r="F3673" t="s">
        <v>542</v>
      </c>
      <c r="G3673" t="s">
        <v>9</v>
      </c>
      <c r="H3673" t="s">
        <v>10</v>
      </c>
      <c r="I3673" t="s">
        <v>594</v>
      </c>
      <c r="J3673">
        <v>11.5</v>
      </c>
      <c r="K3673" t="e">
        <f>IF(COUNTIF(#REF!,Tabela2[[#This Row],[IdxWspolny]])&gt;0,"ELEM_lub_PRD","TECHN")</f>
        <v>#REF!</v>
      </c>
      <c r="L3673" t="e">
        <f>IF(COUNTIF(#REF!,Tabela2[[#This Row],[KOD_PRODUKTU]])&gt;0,"ELEMENT","PRODUKT")</f>
        <v>#REF!</v>
      </c>
      <c r="M3673" t="e">
        <f>COUNTIF(#REF!,Tabela2[[#This Row],[KOD_PRODUKTU]])</f>
        <v>#REF!</v>
      </c>
    </row>
    <row r="3674" spans="1:13" x14ac:dyDescent="0.25">
      <c r="A3674" s="1" t="s">
        <v>5423</v>
      </c>
      <c r="B3674" t="s">
        <v>5424</v>
      </c>
      <c r="C3674" s="1" t="s">
        <v>1128</v>
      </c>
      <c r="D3674" s="1" t="s">
        <v>1128</v>
      </c>
      <c r="E3674" s="1" t="s">
        <v>1128</v>
      </c>
      <c r="F3674" t="s">
        <v>1129</v>
      </c>
      <c r="G3674" t="s">
        <v>31</v>
      </c>
      <c r="H3674" t="s">
        <v>5</v>
      </c>
      <c r="I3674" t="s">
        <v>5425</v>
      </c>
      <c r="J3674">
        <v>16.850000000000001</v>
      </c>
      <c r="K3674" t="e">
        <f>IF(COUNTIF(#REF!,Tabela2[[#This Row],[IdxWspolny]])&gt;0,"ELEM_lub_PRD","TECHN")</f>
        <v>#REF!</v>
      </c>
      <c r="L3674" t="e">
        <f>IF(COUNTIF(#REF!,Tabela2[[#This Row],[KOD_PRODUKTU]])&gt;0,"ELEMENT","PRODUKT")</f>
        <v>#REF!</v>
      </c>
      <c r="M3674" t="e">
        <f>COUNTIF(#REF!,Tabela2[[#This Row],[KOD_PRODUKTU]])</f>
        <v>#REF!</v>
      </c>
    </row>
    <row r="3675" spans="1:13" x14ac:dyDescent="0.25">
      <c r="A3675" s="1" t="s">
        <v>5423</v>
      </c>
      <c r="B3675" t="s">
        <v>5424</v>
      </c>
      <c r="C3675" s="1" t="s">
        <v>541</v>
      </c>
      <c r="D3675" s="1" t="s">
        <v>541</v>
      </c>
      <c r="E3675" s="1" t="s">
        <v>541</v>
      </c>
      <c r="F3675" t="s">
        <v>542</v>
      </c>
      <c r="G3675" t="s">
        <v>9</v>
      </c>
      <c r="H3675" t="s">
        <v>10</v>
      </c>
      <c r="I3675" t="s">
        <v>5426</v>
      </c>
      <c r="J3675">
        <v>4.67</v>
      </c>
      <c r="K3675" t="e">
        <f>IF(COUNTIF(#REF!,Tabela2[[#This Row],[IdxWspolny]])&gt;0,"ELEM_lub_PRD","TECHN")</f>
        <v>#REF!</v>
      </c>
      <c r="L3675" t="e">
        <f>IF(COUNTIF(#REF!,Tabela2[[#This Row],[KOD_PRODUKTU]])&gt;0,"ELEMENT","PRODUKT")</f>
        <v>#REF!</v>
      </c>
      <c r="M3675" t="e">
        <f>COUNTIF(#REF!,Tabela2[[#This Row],[KOD_PRODUKTU]])</f>
        <v>#REF!</v>
      </c>
    </row>
    <row r="3676" spans="1:13" x14ac:dyDescent="0.25">
      <c r="A3676" s="1" t="s">
        <v>5427</v>
      </c>
      <c r="B3676" t="s">
        <v>5428</v>
      </c>
      <c r="C3676" s="1" t="s">
        <v>5429</v>
      </c>
      <c r="D3676" s="1" t="s">
        <v>5429</v>
      </c>
      <c r="E3676" s="1" t="s">
        <v>5429</v>
      </c>
      <c r="F3676" t="s">
        <v>5430</v>
      </c>
      <c r="G3676" t="s">
        <v>1768</v>
      </c>
      <c r="H3676" t="s">
        <v>49</v>
      </c>
      <c r="I3676" t="s">
        <v>50</v>
      </c>
      <c r="J3676">
        <v>0</v>
      </c>
      <c r="K3676" t="e">
        <f>IF(COUNTIF(#REF!,Tabela2[[#This Row],[IdxWspolny]])&gt;0,"ELEM_lub_PRD","TECHN")</f>
        <v>#REF!</v>
      </c>
      <c r="L3676" t="e">
        <f>IF(COUNTIF(#REF!,Tabela2[[#This Row],[KOD_PRODUKTU]])&gt;0,"ELEMENT","PRODUKT")</f>
        <v>#REF!</v>
      </c>
      <c r="M3676" t="e">
        <f>COUNTIF(#REF!,Tabela2[[#This Row],[KOD_PRODUKTU]])</f>
        <v>#REF!</v>
      </c>
    </row>
    <row r="3677" spans="1:13" x14ac:dyDescent="0.25">
      <c r="A3677" s="1" t="s">
        <v>5427</v>
      </c>
      <c r="B3677" t="s">
        <v>5428</v>
      </c>
      <c r="C3677" s="1" t="s">
        <v>1234</v>
      </c>
      <c r="D3677" s="1" t="s">
        <v>1234</v>
      </c>
      <c r="E3677" s="1" t="s">
        <v>1234</v>
      </c>
      <c r="F3677" t="s">
        <v>433</v>
      </c>
      <c r="G3677" t="s">
        <v>108</v>
      </c>
      <c r="H3677" t="s">
        <v>932</v>
      </c>
      <c r="I3677" t="s">
        <v>5431</v>
      </c>
      <c r="J3677">
        <v>20.43</v>
      </c>
      <c r="K3677" t="e">
        <f>IF(COUNTIF(#REF!,Tabela2[[#This Row],[IdxWspolny]])&gt;0,"ELEM_lub_PRD","TECHN")</f>
        <v>#REF!</v>
      </c>
      <c r="L3677" t="e">
        <f>IF(COUNTIF(#REF!,Tabela2[[#This Row],[KOD_PRODUKTU]])&gt;0,"ELEMENT","PRODUKT")</f>
        <v>#REF!</v>
      </c>
      <c r="M3677" t="e">
        <f>COUNTIF(#REF!,Tabela2[[#This Row],[KOD_PRODUKTU]])</f>
        <v>#REF!</v>
      </c>
    </row>
    <row r="3678" spans="1:13" x14ac:dyDescent="0.25">
      <c r="A3678" s="1" t="s">
        <v>5427</v>
      </c>
      <c r="B3678" t="s">
        <v>5428</v>
      </c>
      <c r="C3678" s="1" t="s">
        <v>541</v>
      </c>
      <c r="D3678" s="1" t="s">
        <v>541</v>
      </c>
      <c r="E3678" s="1" t="s">
        <v>541</v>
      </c>
      <c r="F3678" t="s">
        <v>542</v>
      </c>
      <c r="G3678" t="s">
        <v>9</v>
      </c>
      <c r="H3678" t="s">
        <v>10</v>
      </c>
      <c r="I3678" t="s">
        <v>5432</v>
      </c>
      <c r="J3678">
        <v>20.98</v>
      </c>
      <c r="K3678" t="e">
        <f>IF(COUNTIF(#REF!,Tabela2[[#This Row],[IdxWspolny]])&gt;0,"ELEM_lub_PRD","TECHN")</f>
        <v>#REF!</v>
      </c>
      <c r="L3678" t="e">
        <f>IF(COUNTIF(#REF!,Tabela2[[#This Row],[KOD_PRODUKTU]])&gt;0,"ELEMENT","PRODUKT")</f>
        <v>#REF!</v>
      </c>
      <c r="M3678" t="e">
        <f>COUNTIF(#REF!,Tabela2[[#This Row],[KOD_PRODUKTU]])</f>
        <v>#REF!</v>
      </c>
    </row>
    <row r="3679" spans="1:13" x14ac:dyDescent="0.25">
      <c r="A3679" s="1" t="s">
        <v>5433</v>
      </c>
      <c r="B3679" t="s">
        <v>5434</v>
      </c>
      <c r="C3679" s="1" t="s">
        <v>1553</v>
      </c>
      <c r="D3679" s="1" t="s">
        <v>1553</v>
      </c>
      <c r="E3679" s="1" t="s">
        <v>1553</v>
      </c>
      <c r="F3679" t="s">
        <v>1554</v>
      </c>
      <c r="G3679" t="s">
        <v>70</v>
      </c>
      <c r="H3679" t="s">
        <v>5</v>
      </c>
      <c r="I3679" t="s">
        <v>5435</v>
      </c>
      <c r="J3679">
        <v>20.05</v>
      </c>
      <c r="K3679" t="e">
        <f>IF(COUNTIF(#REF!,Tabela2[[#This Row],[IdxWspolny]])&gt;0,"ELEM_lub_PRD","TECHN")</f>
        <v>#REF!</v>
      </c>
      <c r="L3679" t="e">
        <f>IF(COUNTIF(#REF!,Tabela2[[#This Row],[KOD_PRODUKTU]])&gt;0,"ELEMENT","PRODUKT")</f>
        <v>#REF!</v>
      </c>
      <c r="M3679" t="e">
        <f>COUNTIF(#REF!,Tabela2[[#This Row],[KOD_PRODUKTU]])</f>
        <v>#REF!</v>
      </c>
    </row>
    <row r="3680" spans="1:13" x14ac:dyDescent="0.25">
      <c r="A3680" s="1" t="s">
        <v>5433</v>
      </c>
      <c r="B3680" t="s">
        <v>5434</v>
      </c>
      <c r="C3680" s="1" t="s">
        <v>1234</v>
      </c>
      <c r="D3680" s="1" t="s">
        <v>1234</v>
      </c>
      <c r="E3680" s="1" t="s">
        <v>1234</v>
      </c>
      <c r="F3680" t="s">
        <v>1235</v>
      </c>
      <c r="G3680" t="s">
        <v>108</v>
      </c>
      <c r="H3680" t="s">
        <v>932</v>
      </c>
      <c r="I3680" t="s">
        <v>5436</v>
      </c>
      <c r="J3680">
        <v>11.79</v>
      </c>
      <c r="K3680" t="e">
        <f>IF(COUNTIF(#REF!,Tabela2[[#This Row],[IdxWspolny]])&gt;0,"ELEM_lub_PRD","TECHN")</f>
        <v>#REF!</v>
      </c>
      <c r="L3680" t="e">
        <f>IF(COUNTIF(#REF!,Tabela2[[#This Row],[KOD_PRODUKTU]])&gt;0,"ELEMENT","PRODUKT")</f>
        <v>#REF!</v>
      </c>
      <c r="M3680" t="e">
        <f>COUNTIF(#REF!,Tabela2[[#This Row],[KOD_PRODUKTU]])</f>
        <v>#REF!</v>
      </c>
    </row>
    <row r="3681" spans="1:13" x14ac:dyDescent="0.25">
      <c r="A3681" s="1" t="s">
        <v>5433</v>
      </c>
      <c r="B3681" t="s">
        <v>5434</v>
      </c>
      <c r="C3681" s="1" t="s">
        <v>541</v>
      </c>
      <c r="D3681" s="1" t="s">
        <v>541</v>
      </c>
      <c r="E3681" s="1" t="s">
        <v>541</v>
      </c>
      <c r="F3681" t="s">
        <v>542</v>
      </c>
      <c r="G3681" t="s">
        <v>9</v>
      </c>
      <c r="H3681" t="s">
        <v>10</v>
      </c>
      <c r="I3681" t="s">
        <v>33</v>
      </c>
      <c r="J3681">
        <v>9.1999999999999993</v>
      </c>
      <c r="K3681" t="e">
        <f>IF(COUNTIF(#REF!,Tabela2[[#This Row],[IdxWspolny]])&gt;0,"ELEM_lub_PRD","TECHN")</f>
        <v>#REF!</v>
      </c>
      <c r="L3681" t="e">
        <f>IF(COUNTIF(#REF!,Tabela2[[#This Row],[KOD_PRODUKTU]])&gt;0,"ELEMENT","PRODUKT")</f>
        <v>#REF!</v>
      </c>
      <c r="M3681" t="e">
        <f>COUNTIF(#REF!,Tabela2[[#This Row],[KOD_PRODUKTU]])</f>
        <v>#REF!</v>
      </c>
    </row>
    <row r="3682" spans="1:13" x14ac:dyDescent="0.25">
      <c r="A3682" s="1" t="s">
        <v>5437</v>
      </c>
      <c r="B3682" t="s">
        <v>5438</v>
      </c>
      <c r="C3682" s="1" t="s">
        <v>1128</v>
      </c>
      <c r="D3682" s="1" t="s">
        <v>1128</v>
      </c>
      <c r="E3682" s="1" t="s">
        <v>1128</v>
      </c>
      <c r="F3682" t="s">
        <v>1129</v>
      </c>
      <c r="G3682" t="s">
        <v>31</v>
      </c>
      <c r="H3682" t="s">
        <v>5</v>
      </c>
      <c r="I3682" t="s">
        <v>5439</v>
      </c>
      <c r="J3682">
        <v>19.079999999999998</v>
      </c>
      <c r="K3682" t="e">
        <f>IF(COUNTIF(#REF!,Tabela2[[#This Row],[IdxWspolny]])&gt;0,"ELEM_lub_PRD","TECHN")</f>
        <v>#REF!</v>
      </c>
      <c r="L3682" t="e">
        <f>IF(COUNTIF(#REF!,Tabela2[[#This Row],[KOD_PRODUKTU]])&gt;0,"ELEMENT","PRODUKT")</f>
        <v>#REF!</v>
      </c>
      <c r="M3682" t="e">
        <f>COUNTIF(#REF!,Tabela2[[#This Row],[KOD_PRODUKTU]])</f>
        <v>#REF!</v>
      </c>
    </row>
    <row r="3683" spans="1:13" x14ac:dyDescent="0.25">
      <c r="A3683" s="1" t="s">
        <v>5437</v>
      </c>
      <c r="B3683" t="s">
        <v>5438</v>
      </c>
      <c r="C3683" s="1" t="s">
        <v>1234</v>
      </c>
      <c r="D3683" s="1" t="s">
        <v>1234</v>
      </c>
      <c r="E3683" s="1" t="s">
        <v>1234</v>
      </c>
      <c r="F3683" t="s">
        <v>1235</v>
      </c>
      <c r="G3683" t="s">
        <v>108</v>
      </c>
      <c r="H3683" t="s">
        <v>932</v>
      </c>
      <c r="I3683" t="s">
        <v>50</v>
      </c>
      <c r="J3683">
        <v>4.2</v>
      </c>
      <c r="K3683" t="e">
        <f>IF(COUNTIF(#REF!,Tabela2[[#This Row],[IdxWspolny]])&gt;0,"ELEM_lub_PRD","TECHN")</f>
        <v>#REF!</v>
      </c>
      <c r="L3683" t="e">
        <f>IF(COUNTIF(#REF!,Tabela2[[#This Row],[KOD_PRODUKTU]])&gt;0,"ELEMENT","PRODUKT")</f>
        <v>#REF!</v>
      </c>
      <c r="M3683" t="e">
        <f>COUNTIF(#REF!,Tabela2[[#This Row],[KOD_PRODUKTU]])</f>
        <v>#REF!</v>
      </c>
    </row>
    <row r="3684" spans="1:13" x14ac:dyDescent="0.25">
      <c r="A3684" s="1" t="s">
        <v>5437</v>
      </c>
      <c r="B3684" t="s">
        <v>5438</v>
      </c>
      <c r="C3684" s="1" t="s">
        <v>541</v>
      </c>
      <c r="D3684" s="1" t="s">
        <v>541</v>
      </c>
      <c r="E3684" s="1" t="s">
        <v>541</v>
      </c>
      <c r="F3684" t="s">
        <v>542</v>
      </c>
      <c r="G3684" t="s">
        <v>9</v>
      </c>
      <c r="H3684" t="s">
        <v>10</v>
      </c>
      <c r="I3684" t="s">
        <v>5440</v>
      </c>
      <c r="J3684">
        <v>4.0599999999999996</v>
      </c>
      <c r="K3684" t="e">
        <f>IF(COUNTIF(#REF!,Tabela2[[#This Row],[IdxWspolny]])&gt;0,"ELEM_lub_PRD","TECHN")</f>
        <v>#REF!</v>
      </c>
      <c r="L3684" t="e">
        <f>IF(COUNTIF(#REF!,Tabela2[[#This Row],[KOD_PRODUKTU]])&gt;0,"ELEMENT","PRODUKT")</f>
        <v>#REF!</v>
      </c>
      <c r="M3684" t="e">
        <f>COUNTIF(#REF!,Tabela2[[#This Row],[KOD_PRODUKTU]])</f>
        <v>#REF!</v>
      </c>
    </row>
    <row r="3685" spans="1:13" x14ac:dyDescent="0.25">
      <c r="A3685" s="1" t="s">
        <v>5441</v>
      </c>
      <c r="B3685" t="s">
        <v>5442</v>
      </c>
      <c r="C3685" s="1" t="s">
        <v>1128</v>
      </c>
      <c r="D3685" s="1" t="s">
        <v>1128</v>
      </c>
      <c r="E3685" s="1" t="s">
        <v>1128</v>
      </c>
      <c r="F3685" t="s">
        <v>1129</v>
      </c>
      <c r="G3685" t="s">
        <v>31</v>
      </c>
      <c r="H3685" t="s">
        <v>5</v>
      </c>
      <c r="I3685" t="s">
        <v>5443</v>
      </c>
      <c r="J3685">
        <v>15.79</v>
      </c>
      <c r="K3685" t="e">
        <f>IF(COUNTIF(#REF!,Tabela2[[#This Row],[IdxWspolny]])&gt;0,"ELEM_lub_PRD","TECHN")</f>
        <v>#REF!</v>
      </c>
      <c r="L3685" t="e">
        <f>IF(COUNTIF(#REF!,Tabela2[[#This Row],[KOD_PRODUKTU]])&gt;0,"ELEMENT","PRODUKT")</f>
        <v>#REF!</v>
      </c>
      <c r="M3685" t="e">
        <f>COUNTIF(#REF!,Tabela2[[#This Row],[KOD_PRODUKTU]])</f>
        <v>#REF!</v>
      </c>
    </row>
    <row r="3686" spans="1:13" x14ac:dyDescent="0.25">
      <c r="A3686" s="1" t="s">
        <v>5441</v>
      </c>
      <c r="B3686" t="s">
        <v>5442</v>
      </c>
      <c r="C3686" s="1" t="s">
        <v>541</v>
      </c>
      <c r="D3686" s="1" t="s">
        <v>541</v>
      </c>
      <c r="E3686" s="1" t="s">
        <v>541</v>
      </c>
      <c r="F3686" t="s">
        <v>542</v>
      </c>
      <c r="G3686" t="s">
        <v>9</v>
      </c>
      <c r="H3686" t="s">
        <v>10</v>
      </c>
      <c r="I3686" t="s">
        <v>5444</v>
      </c>
      <c r="J3686">
        <v>3.91</v>
      </c>
      <c r="K3686" t="e">
        <f>IF(COUNTIF(#REF!,Tabela2[[#This Row],[IdxWspolny]])&gt;0,"ELEM_lub_PRD","TECHN")</f>
        <v>#REF!</v>
      </c>
      <c r="L3686" t="e">
        <f>IF(COUNTIF(#REF!,Tabela2[[#This Row],[KOD_PRODUKTU]])&gt;0,"ELEMENT","PRODUKT")</f>
        <v>#REF!</v>
      </c>
      <c r="M3686" t="e">
        <f>COUNTIF(#REF!,Tabela2[[#This Row],[KOD_PRODUKTU]])</f>
        <v>#REF!</v>
      </c>
    </row>
    <row r="3687" spans="1:13" x14ac:dyDescent="0.25">
      <c r="A3687" s="1" t="s">
        <v>5445</v>
      </c>
      <c r="B3687" t="s">
        <v>5446</v>
      </c>
      <c r="C3687" s="1" t="s">
        <v>1553</v>
      </c>
      <c r="D3687" s="1" t="s">
        <v>1553</v>
      </c>
      <c r="E3687" s="1" t="s">
        <v>1553</v>
      </c>
      <c r="F3687" t="s">
        <v>1554</v>
      </c>
      <c r="G3687" t="s">
        <v>70</v>
      </c>
      <c r="H3687" t="s">
        <v>5</v>
      </c>
      <c r="I3687" t="s">
        <v>122</v>
      </c>
      <c r="J3687">
        <v>20</v>
      </c>
      <c r="K3687" t="e">
        <f>IF(COUNTIF(#REF!,Tabela2[[#This Row],[IdxWspolny]])&gt;0,"ELEM_lub_PRD","TECHN")</f>
        <v>#REF!</v>
      </c>
      <c r="L3687" t="e">
        <f>IF(COUNTIF(#REF!,Tabela2[[#This Row],[KOD_PRODUKTU]])&gt;0,"ELEMENT","PRODUKT")</f>
        <v>#REF!</v>
      </c>
      <c r="M3687" t="e">
        <f>COUNTIF(#REF!,Tabela2[[#This Row],[KOD_PRODUKTU]])</f>
        <v>#REF!</v>
      </c>
    </row>
    <row r="3688" spans="1:13" x14ac:dyDescent="0.25">
      <c r="A3688" s="1" t="s">
        <v>5445</v>
      </c>
      <c r="B3688" t="s">
        <v>5446</v>
      </c>
      <c r="C3688" s="1" t="s">
        <v>541</v>
      </c>
      <c r="D3688" s="1" t="s">
        <v>541</v>
      </c>
      <c r="E3688" s="1" t="s">
        <v>541</v>
      </c>
      <c r="F3688" t="s">
        <v>542</v>
      </c>
      <c r="G3688" t="s">
        <v>9</v>
      </c>
      <c r="H3688" t="s">
        <v>10</v>
      </c>
      <c r="I3688" t="s">
        <v>601</v>
      </c>
      <c r="J3688">
        <v>6.9</v>
      </c>
      <c r="K3688" t="e">
        <f>IF(COUNTIF(#REF!,Tabela2[[#This Row],[IdxWspolny]])&gt;0,"ELEM_lub_PRD","TECHN")</f>
        <v>#REF!</v>
      </c>
      <c r="L3688" t="e">
        <f>IF(COUNTIF(#REF!,Tabela2[[#This Row],[KOD_PRODUKTU]])&gt;0,"ELEMENT","PRODUKT")</f>
        <v>#REF!</v>
      </c>
      <c r="M3688" t="e">
        <f>COUNTIF(#REF!,Tabela2[[#This Row],[KOD_PRODUKTU]])</f>
        <v>#REF!</v>
      </c>
    </row>
    <row r="3689" spans="1:13" x14ac:dyDescent="0.25">
      <c r="A3689" s="1" t="s">
        <v>5447</v>
      </c>
      <c r="B3689" t="s">
        <v>5448</v>
      </c>
      <c r="C3689" s="1" t="s">
        <v>5449</v>
      </c>
      <c r="D3689" s="1" t="s">
        <v>5449</v>
      </c>
      <c r="E3689" s="1" t="s">
        <v>5449</v>
      </c>
      <c r="F3689" t="s">
        <v>5450</v>
      </c>
      <c r="G3689" t="s">
        <v>1768</v>
      </c>
      <c r="H3689" t="s">
        <v>49</v>
      </c>
      <c r="I3689" t="s">
        <v>50</v>
      </c>
      <c r="J3689">
        <v>0</v>
      </c>
      <c r="K3689" t="e">
        <f>IF(COUNTIF(#REF!,Tabela2[[#This Row],[IdxWspolny]])&gt;0,"ELEM_lub_PRD","TECHN")</f>
        <v>#REF!</v>
      </c>
      <c r="L3689" t="e">
        <f>IF(COUNTIF(#REF!,Tabela2[[#This Row],[KOD_PRODUKTU]])&gt;0,"ELEMENT","PRODUKT")</f>
        <v>#REF!</v>
      </c>
      <c r="M3689" t="e">
        <f>COUNTIF(#REF!,Tabela2[[#This Row],[KOD_PRODUKTU]])</f>
        <v>#REF!</v>
      </c>
    </row>
    <row r="3690" spans="1:13" x14ac:dyDescent="0.25">
      <c r="A3690" s="1" t="s">
        <v>5447</v>
      </c>
      <c r="B3690" t="s">
        <v>5448</v>
      </c>
      <c r="C3690" s="1" t="s">
        <v>1234</v>
      </c>
      <c r="D3690" s="1" t="s">
        <v>1234</v>
      </c>
      <c r="E3690" s="1" t="s">
        <v>1234</v>
      </c>
      <c r="F3690" t="s">
        <v>433</v>
      </c>
      <c r="G3690" t="s">
        <v>108</v>
      </c>
      <c r="H3690" t="s">
        <v>932</v>
      </c>
      <c r="I3690" t="s">
        <v>5431</v>
      </c>
      <c r="J3690">
        <v>20.43</v>
      </c>
      <c r="K3690" t="e">
        <f>IF(COUNTIF(#REF!,Tabela2[[#This Row],[IdxWspolny]])&gt;0,"ELEM_lub_PRD","TECHN")</f>
        <v>#REF!</v>
      </c>
      <c r="L3690" t="e">
        <f>IF(COUNTIF(#REF!,Tabela2[[#This Row],[KOD_PRODUKTU]])&gt;0,"ELEMENT","PRODUKT")</f>
        <v>#REF!</v>
      </c>
      <c r="M3690" t="e">
        <f>COUNTIF(#REF!,Tabela2[[#This Row],[KOD_PRODUKTU]])</f>
        <v>#REF!</v>
      </c>
    </row>
    <row r="3691" spans="1:13" x14ac:dyDescent="0.25">
      <c r="A3691" s="1" t="s">
        <v>5447</v>
      </c>
      <c r="B3691" t="s">
        <v>5448</v>
      </c>
      <c r="C3691" s="1" t="s">
        <v>541</v>
      </c>
      <c r="D3691" s="1" t="s">
        <v>541</v>
      </c>
      <c r="E3691" s="1" t="s">
        <v>541</v>
      </c>
      <c r="F3691" t="s">
        <v>542</v>
      </c>
      <c r="G3691" t="s">
        <v>9</v>
      </c>
      <c r="H3691" t="s">
        <v>10</v>
      </c>
      <c r="I3691" t="s">
        <v>5451</v>
      </c>
      <c r="J3691">
        <v>13.31</v>
      </c>
      <c r="K3691" t="e">
        <f>IF(COUNTIF(#REF!,Tabela2[[#This Row],[IdxWspolny]])&gt;0,"ELEM_lub_PRD","TECHN")</f>
        <v>#REF!</v>
      </c>
      <c r="L3691" t="e">
        <f>IF(COUNTIF(#REF!,Tabela2[[#This Row],[KOD_PRODUKTU]])&gt;0,"ELEMENT","PRODUKT")</f>
        <v>#REF!</v>
      </c>
      <c r="M3691" t="e">
        <f>COUNTIF(#REF!,Tabela2[[#This Row],[KOD_PRODUKTU]])</f>
        <v>#REF!</v>
      </c>
    </row>
    <row r="3692" spans="1:13" x14ac:dyDescent="0.25">
      <c r="A3692" s="1" t="s">
        <v>5452</v>
      </c>
      <c r="B3692" t="s">
        <v>5453</v>
      </c>
      <c r="C3692" s="1" t="s">
        <v>1547</v>
      </c>
      <c r="D3692" s="1" t="s">
        <v>1547</v>
      </c>
      <c r="E3692" s="1" t="s">
        <v>1547</v>
      </c>
      <c r="F3692" t="s">
        <v>1548</v>
      </c>
      <c r="G3692" t="s">
        <v>216</v>
      </c>
      <c r="H3692" t="s">
        <v>5</v>
      </c>
      <c r="I3692" t="s">
        <v>1787</v>
      </c>
      <c r="J3692">
        <v>0.3</v>
      </c>
      <c r="K3692" t="e">
        <f>IF(COUNTIF(#REF!,Tabela2[[#This Row],[IdxWspolny]])&gt;0,"ELEM_lub_PRD","TECHN")</f>
        <v>#REF!</v>
      </c>
      <c r="L3692" t="e">
        <f>IF(COUNTIF(#REF!,Tabela2[[#This Row],[KOD_PRODUKTU]])&gt;0,"ELEMENT","PRODUKT")</f>
        <v>#REF!</v>
      </c>
      <c r="M3692" t="e">
        <f>COUNTIF(#REF!,Tabela2[[#This Row],[KOD_PRODUKTU]])</f>
        <v>#REF!</v>
      </c>
    </row>
    <row r="3693" spans="1:13" x14ac:dyDescent="0.25">
      <c r="A3693" s="1" t="s">
        <v>5452</v>
      </c>
      <c r="B3693" t="s">
        <v>5453</v>
      </c>
      <c r="C3693" s="1" t="s">
        <v>1234</v>
      </c>
      <c r="D3693" s="1" t="s">
        <v>1234</v>
      </c>
      <c r="E3693" s="1" t="s">
        <v>1234</v>
      </c>
      <c r="F3693" t="s">
        <v>433</v>
      </c>
      <c r="G3693" t="s">
        <v>108</v>
      </c>
      <c r="H3693" t="s">
        <v>932</v>
      </c>
      <c r="I3693" t="s">
        <v>5454</v>
      </c>
      <c r="J3693">
        <v>1.3</v>
      </c>
      <c r="K3693" t="e">
        <f>IF(COUNTIF(#REF!,Tabela2[[#This Row],[IdxWspolny]])&gt;0,"ELEM_lub_PRD","TECHN")</f>
        <v>#REF!</v>
      </c>
      <c r="L3693" t="e">
        <f>IF(COUNTIF(#REF!,Tabela2[[#This Row],[KOD_PRODUKTU]])&gt;0,"ELEMENT","PRODUKT")</f>
        <v>#REF!</v>
      </c>
      <c r="M3693" t="e">
        <f>COUNTIF(#REF!,Tabela2[[#This Row],[KOD_PRODUKTU]])</f>
        <v>#REF!</v>
      </c>
    </row>
    <row r="3694" spans="1:13" x14ac:dyDescent="0.25">
      <c r="A3694" s="1" t="s">
        <v>5452</v>
      </c>
      <c r="B3694" t="s">
        <v>5453</v>
      </c>
      <c r="C3694" s="1" t="s">
        <v>541</v>
      </c>
      <c r="D3694" s="1" t="s">
        <v>541</v>
      </c>
      <c r="E3694" s="1" t="s">
        <v>541</v>
      </c>
      <c r="F3694" t="s">
        <v>542</v>
      </c>
      <c r="G3694" t="s">
        <v>9</v>
      </c>
      <c r="H3694" t="s">
        <v>10</v>
      </c>
      <c r="I3694" t="s">
        <v>19</v>
      </c>
      <c r="J3694">
        <v>4.5999999999999996</v>
      </c>
      <c r="K3694" t="e">
        <f>IF(COUNTIF(#REF!,Tabela2[[#This Row],[IdxWspolny]])&gt;0,"ELEM_lub_PRD","TECHN")</f>
        <v>#REF!</v>
      </c>
      <c r="L3694" t="e">
        <f>IF(COUNTIF(#REF!,Tabela2[[#This Row],[KOD_PRODUKTU]])&gt;0,"ELEMENT","PRODUKT")</f>
        <v>#REF!</v>
      </c>
      <c r="M3694" t="e">
        <f>COUNTIF(#REF!,Tabela2[[#This Row],[KOD_PRODUKTU]])</f>
        <v>#REF!</v>
      </c>
    </row>
    <row r="3695" spans="1:13" x14ac:dyDescent="0.25">
      <c r="A3695" s="1" t="s">
        <v>5455</v>
      </c>
      <c r="B3695" t="s">
        <v>5456</v>
      </c>
      <c r="C3695" s="1" t="s">
        <v>4168</v>
      </c>
      <c r="D3695" s="1" t="s">
        <v>4168</v>
      </c>
      <c r="E3695" s="1" t="s">
        <v>4168</v>
      </c>
      <c r="F3695" t="s">
        <v>4423</v>
      </c>
      <c r="G3695" t="s">
        <v>70</v>
      </c>
      <c r="H3695" t="s">
        <v>5</v>
      </c>
      <c r="I3695" t="s">
        <v>319</v>
      </c>
      <c r="J3695">
        <v>30</v>
      </c>
      <c r="K3695" t="e">
        <f>IF(COUNTIF(#REF!,Tabela2[[#This Row],[IdxWspolny]])&gt;0,"ELEM_lub_PRD","TECHN")</f>
        <v>#REF!</v>
      </c>
      <c r="L3695" t="e">
        <f>IF(COUNTIF(#REF!,Tabela2[[#This Row],[KOD_PRODUKTU]])&gt;0,"ELEMENT","PRODUKT")</f>
        <v>#REF!</v>
      </c>
      <c r="M3695" t="e">
        <f>COUNTIF(#REF!,Tabela2[[#This Row],[KOD_PRODUKTU]])</f>
        <v>#REF!</v>
      </c>
    </row>
    <row r="3696" spans="1:13" x14ac:dyDescent="0.25">
      <c r="A3696" s="1" t="s">
        <v>5455</v>
      </c>
      <c r="B3696" t="s">
        <v>5456</v>
      </c>
      <c r="C3696" s="1" t="s">
        <v>541</v>
      </c>
      <c r="D3696" s="1" t="s">
        <v>541</v>
      </c>
      <c r="E3696" s="1" t="s">
        <v>541</v>
      </c>
      <c r="F3696" t="s">
        <v>542</v>
      </c>
      <c r="G3696" t="s">
        <v>9</v>
      </c>
      <c r="H3696" t="s">
        <v>10</v>
      </c>
      <c r="I3696" t="s">
        <v>4176</v>
      </c>
      <c r="J3696">
        <v>7.82</v>
      </c>
      <c r="K3696" t="e">
        <f>IF(COUNTIF(#REF!,Tabela2[[#This Row],[IdxWspolny]])&gt;0,"ELEM_lub_PRD","TECHN")</f>
        <v>#REF!</v>
      </c>
      <c r="L3696" t="e">
        <f>IF(COUNTIF(#REF!,Tabela2[[#This Row],[KOD_PRODUKTU]])&gt;0,"ELEMENT","PRODUKT")</f>
        <v>#REF!</v>
      </c>
      <c r="M3696" t="e">
        <f>COUNTIF(#REF!,Tabela2[[#This Row],[KOD_PRODUKTU]])</f>
        <v>#REF!</v>
      </c>
    </row>
    <row r="3697" spans="1:13" x14ac:dyDescent="0.25">
      <c r="A3697" s="1" t="s">
        <v>5457</v>
      </c>
      <c r="B3697" t="s">
        <v>5458</v>
      </c>
      <c r="C3697" s="1" t="s">
        <v>5459</v>
      </c>
      <c r="D3697" s="1" t="s">
        <v>5459</v>
      </c>
      <c r="E3697" s="1" t="s">
        <v>5459</v>
      </c>
      <c r="F3697" t="s">
        <v>5460</v>
      </c>
      <c r="G3697" t="s">
        <v>1588</v>
      </c>
      <c r="H3697" t="s">
        <v>49</v>
      </c>
      <c r="I3697" t="s">
        <v>50</v>
      </c>
      <c r="J3697">
        <v>19.5</v>
      </c>
      <c r="K3697" t="e">
        <f>IF(COUNTIF(#REF!,Tabela2[[#This Row],[IdxWspolny]])&gt;0,"ELEM_lub_PRD","TECHN")</f>
        <v>#REF!</v>
      </c>
      <c r="L3697" t="e">
        <f>IF(COUNTIF(#REF!,Tabela2[[#This Row],[KOD_PRODUKTU]])&gt;0,"ELEMENT","PRODUKT")</f>
        <v>#REF!</v>
      </c>
      <c r="M3697" t="e">
        <f>COUNTIF(#REF!,Tabela2[[#This Row],[KOD_PRODUKTU]])</f>
        <v>#REF!</v>
      </c>
    </row>
    <row r="3698" spans="1:13" x14ac:dyDescent="0.25">
      <c r="A3698" s="1" t="s">
        <v>5457</v>
      </c>
      <c r="B3698" t="s">
        <v>5458</v>
      </c>
      <c r="C3698" s="1" t="s">
        <v>541</v>
      </c>
      <c r="D3698" s="1" t="s">
        <v>541</v>
      </c>
      <c r="E3698" s="1" t="s">
        <v>541</v>
      </c>
      <c r="F3698" t="s">
        <v>542</v>
      </c>
      <c r="G3698" t="s">
        <v>9</v>
      </c>
      <c r="H3698" t="s">
        <v>10</v>
      </c>
      <c r="I3698" t="s">
        <v>4176</v>
      </c>
      <c r="J3698">
        <v>7.82</v>
      </c>
      <c r="K3698" t="e">
        <f>IF(COUNTIF(#REF!,Tabela2[[#This Row],[IdxWspolny]])&gt;0,"ELEM_lub_PRD","TECHN")</f>
        <v>#REF!</v>
      </c>
      <c r="L3698" t="e">
        <f>IF(COUNTIF(#REF!,Tabela2[[#This Row],[KOD_PRODUKTU]])&gt;0,"ELEMENT","PRODUKT")</f>
        <v>#REF!</v>
      </c>
      <c r="M3698" t="e">
        <f>COUNTIF(#REF!,Tabela2[[#This Row],[KOD_PRODUKTU]])</f>
        <v>#REF!</v>
      </c>
    </row>
    <row r="3699" spans="1:13" x14ac:dyDescent="0.25">
      <c r="A3699" s="1" t="s">
        <v>5461</v>
      </c>
      <c r="B3699" t="s">
        <v>5462</v>
      </c>
      <c r="C3699" s="1" t="s">
        <v>4168</v>
      </c>
      <c r="D3699" s="1" t="s">
        <v>4168</v>
      </c>
      <c r="E3699" s="1" t="s">
        <v>4168</v>
      </c>
      <c r="F3699" t="s">
        <v>4423</v>
      </c>
      <c r="G3699" t="s">
        <v>70</v>
      </c>
      <c r="H3699" t="s">
        <v>5</v>
      </c>
      <c r="I3699" t="s">
        <v>5463</v>
      </c>
      <c r="J3699">
        <v>95</v>
      </c>
      <c r="K3699" t="e">
        <f>IF(COUNTIF(#REF!,Tabela2[[#This Row],[IdxWspolny]])&gt;0,"ELEM_lub_PRD","TECHN")</f>
        <v>#REF!</v>
      </c>
      <c r="L3699" t="e">
        <f>IF(COUNTIF(#REF!,Tabela2[[#This Row],[KOD_PRODUKTU]])&gt;0,"ELEMENT","PRODUKT")</f>
        <v>#REF!</v>
      </c>
      <c r="M3699" t="e">
        <f>COUNTIF(#REF!,Tabela2[[#This Row],[KOD_PRODUKTU]])</f>
        <v>#REF!</v>
      </c>
    </row>
    <row r="3700" spans="1:13" x14ac:dyDescent="0.25">
      <c r="A3700" s="1" t="s">
        <v>5461</v>
      </c>
      <c r="B3700" t="s">
        <v>5462</v>
      </c>
      <c r="C3700" s="1" t="s">
        <v>541</v>
      </c>
      <c r="D3700" s="1" t="s">
        <v>541</v>
      </c>
      <c r="E3700" s="1" t="s">
        <v>541</v>
      </c>
      <c r="F3700" t="s">
        <v>542</v>
      </c>
      <c r="G3700" t="s">
        <v>9</v>
      </c>
      <c r="H3700" t="s">
        <v>10</v>
      </c>
      <c r="I3700" t="s">
        <v>594</v>
      </c>
      <c r="J3700">
        <v>11.5</v>
      </c>
      <c r="K3700" t="e">
        <f>IF(COUNTIF(#REF!,Tabela2[[#This Row],[IdxWspolny]])&gt;0,"ELEM_lub_PRD","TECHN")</f>
        <v>#REF!</v>
      </c>
      <c r="L3700" t="e">
        <f>IF(COUNTIF(#REF!,Tabela2[[#This Row],[KOD_PRODUKTU]])&gt;0,"ELEMENT","PRODUKT")</f>
        <v>#REF!</v>
      </c>
      <c r="M3700" t="e">
        <f>COUNTIF(#REF!,Tabela2[[#This Row],[KOD_PRODUKTU]])</f>
        <v>#REF!</v>
      </c>
    </row>
    <row r="3701" spans="1:13" x14ac:dyDescent="0.25">
      <c r="A3701" s="1" t="s">
        <v>5464</v>
      </c>
      <c r="B3701" t="s">
        <v>5465</v>
      </c>
      <c r="C3701" s="1" t="s">
        <v>4316</v>
      </c>
      <c r="D3701" s="1" t="s">
        <v>4316</v>
      </c>
      <c r="E3701" s="1" t="s">
        <v>4316</v>
      </c>
      <c r="F3701" t="s">
        <v>4317</v>
      </c>
      <c r="G3701" t="s">
        <v>1394</v>
      </c>
      <c r="H3701" t="s">
        <v>5</v>
      </c>
      <c r="I3701" t="s">
        <v>447</v>
      </c>
      <c r="J3701">
        <v>0.08</v>
      </c>
      <c r="K3701" t="e">
        <f>IF(COUNTIF(#REF!,Tabela2[[#This Row],[IdxWspolny]])&gt;0,"ELEM_lub_PRD","TECHN")</f>
        <v>#REF!</v>
      </c>
      <c r="L3701" t="e">
        <f>IF(COUNTIF(#REF!,Tabela2[[#This Row],[KOD_PRODUKTU]])&gt;0,"ELEMENT","PRODUKT")</f>
        <v>#REF!</v>
      </c>
      <c r="M3701" t="e">
        <f>COUNTIF(#REF!,Tabela2[[#This Row],[KOD_PRODUKTU]])</f>
        <v>#REF!</v>
      </c>
    </row>
    <row r="3702" spans="1:13" x14ac:dyDescent="0.25">
      <c r="A3702" s="1" t="s">
        <v>5464</v>
      </c>
      <c r="B3702" t="s">
        <v>5465</v>
      </c>
      <c r="C3702" s="1" t="s">
        <v>541</v>
      </c>
      <c r="D3702" s="1" t="s">
        <v>541</v>
      </c>
      <c r="E3702" s="1" t="s">
        <v>541</v>
      </c>
      <c r="F3702" t="s">
        <v>542</v>
      </c>
      <c r="G3702" t="s">
        <v>9</v>
      </c>
      <c r="H3702" t="s">
        <v>10</v>
      </c>
      <c r="I3702" t="s">
        <v>5466</v>
      </c>
      <c r="J3702">
        <v>3.79</v>
      </c>
      <c r="K3702" t="e">
        <f>IF(COUNTIF(#REF!,Tabela2[[#This Row],[IdxWspolny]])&gt;0,"ELEM_lub_PRD","TECHN")</f>
        <v>#REF!</v>
      </c>
      <c r="L3702" t="e">
        <f>IF(COUNTIF(#REF!,Tabela2[[#This Row],[KOD_PRODUKTU]])&gt;0,"ELEMENT","PRODUKT")</f>
        <v>#REF!</v>
      </c>
      <c r="M3702" t="e">
        <f>COUNTIF(#REF!,Tabela2[[#This Row],[KOD_PRODUKTU]])</f>
        <v>#REF!</v>
      </c>
    </row>
    <row r="3703" spans="1:13" x14ac:dyDescent="0.25">
      <c r="A3703" s="1" t="s">
        <v>5467</v>
      </c>
      <c r="B3703" t="s">
        <v>5468</v>
      </c>
      <c r="C3703" s="1" t="s">
        <v>2947</v>
      </c>
      <c r="D3703" s="1" t="s">
        <v>2947</v>
      </c>
      <c r="E3703" s="1" t="s">
        <v>2947</v>
      </c>
      <c r="F3703" t="s">
        <v>5469</v>
      </c>
      <c r="G3703" t="s">
        <v>70</v>
      </c>
      <c r="H3703" t="s">
        <v>5</v>
      </c>
      <c r="I3703" t="s">
        <v>5470</v>
      </c>
      <c r="J3703">
        <v>0.6</v>
      </c>
      <c r="K3703" t="e">
        <f>IF(COUNTIF(#REF!,Tabela2[[#This Row],[IdxWspolny]])&gt;0,"ELEM_lub_PRD","TECHN")</f>
        <v>#REF!</v>
      </c>
      <c r="L3703" t="e">
        <f>IF(COUNTIF(#REF!,Tabela2[[#This Row],[KOD_PRODUKTU]])&gt;0,"ELEMENT","PRODUKT")</f>
        <v>#REF!</v>
      </c>
      <c r="M3703" t="e">
        <f>COUNTIF(#REF!,Tabela2[[#This Row],[KOD_PRODUKTU]])</f>
        <v>#REF!</v>
      </c>
    </row>
    <row r="3704" spans="1:13" x14ac:dyDescent="0.25">
      <c r="A3704" s="1" t="s">
        <v>5467</v>
      </c>
      <c r="B3704" t="s">
        <v>5468</v>
      </c>
      <c r="C3704" s="1" t="s">
        <v>541</v>
      </c>
      <c r="D3704" s="1" t="s">
        <v>541</v>
      </c>
      <c r="E3704" s="1" t="s">
        <v>541</v>
      </c>
      <c r="F3704" t="s">
        <v>542</v>
      </c>
      <c r="G3704" t="s">
        <v>9</v>
      </c>
      <c r="H3704" t="s">
        <v>10</v>
      </c>
      <c r="I3704" t="s">
        <v>5471</v>
      </c>
      <c r="J3704">
        <v>4.45</v>
      </c>
      <c r="K3704" t="e">
        <f>IF(COUNTIF(#REF!,Tabela2[[#This Row],[IdxWspolny]])&gt;0,"ELEM_lub_PRD","TECHN")</f>
        <v>#REF!</v>
      </c>
      <c r="L3704" t="e">
        <f>IF(COUNTIF(#REF!,Tabela2[[#This Row],[KOD_PRODUKTU]])&gt;0,"ELEMENT","PRODUKT")</f>
        <v>#REF!</v>
      </c>
      <c r="M3704" t="e">
        <f>COUNTIF(#REF!,Tabela2[[#This Row],[KOD_PRODUKTU]])</f>
        <v>#REF!</v>
      </c>
    </row>
    <row r="3705" spans="1:13" x14ac:dyDescent="0.25">
      <c r="A3705" s="1" t="s">
        <v>5472</v>
      </c>
      <c r="B3705" t="s">
        <v>5473</v>
      </c>
      <c r="C3705" s="1" t="s">
        <v>1123</v>
      </c>
      <c r="D3705" s="1" t="s">
        <v>1123</v>
      </c>
      <c r="E3705" s="1" t="s">
        <v>1123</v>
      </c>
      <c r="F3705" t="s">
        <v>1124</v>
      </c>
      <c r="G3705" t="s">
        <v>70</v>
      </c>
      <c r="H3705" t="s">
        <v>5</v>
      </c>
      <c r="I3705" t="s">
        <v>5474</v>
      </c>
      <c r="J3705">
        <v>10.4</v>
      </c>
      <c r="K3705" t="e">
        <f>IF(COUNTIF(#REF!,Tabela2[[#This Row],[IdxWspolny]])&gt;0,"ELEM_lub_PRD","TECHN")</f>
        <v>#REF!</v>
      </c>
      <c r="L3705" t="e">
        <f>IF(COUNTIF(#REF!,Tabela2[[#This Row],[KOD_PRODUKTU]])&gt;0,"ELEMENT","PRODUKT")</f>
        <v>#REF!</v>
      </c>
      <c r="M3705" t="e">
        <f>COUNTIF(#REF!,Tabela2[[#This Row],[KOD_PRODUKTU]])</f>
        <v>#REF!</v>
      </c>
    </row>
    <row r="3706" spans="1:13" x14ac:dyDescent="0.25">
      <c r="A3706" s="1" t="s">
        <v>5472</v>
      </c>
      <c r="B3706" t="s">
        <v>5473</v>
      </c>
      <c r="C3706" s="1" t="s">
        <v>541</v>
      </c>
      <c r="D3706" s="1" t="s">
        <v>541</v>
      </c>
      <c r="E3706" s="1" t="s">
        <v>541</v>
      </c>
      <c r="F3706" t="s">
        <v>542</v>
      </c>
      <c r="G3706" t="s">
        <v>9</v>
      </c>
      <c r="H3706" t="s">
        <v>10</v>
      </c>
      <c r="I3706" t="s">
        <v>5475</v>
      </c>
      <c r="J3706">
        <v>16.25</v>
      </c>
      <c r="K3706" t="e">
        <f>IF(COUNTIF(#REF!,Tabela2[[#This Row],[IdxWspolny]])&gt;0,"ELEM_lub_PRD","TECHN")</f>
        <v>#REF!</v>
      </c>
      <c r="L3706" t="e">
        <f>IF(COUNTIF(#REF!,Tabela2[[#This Row],[KOD_PRODUKTU]])&gt;0,"ELEMENT","PRODUKT")</f>
        <v>#REF!</v>
      </c>
      <c r="M3706" t="e">
        <f>COUNTIF(#REF!,Tabela2[[#This Row],[KOD_PRODUKTU]])</f>
        <v>#REF!</v>
      </c>
    </row>
    <row r="3707" spans="1:13" x14ac:dyDescent="0.25">
      <c r="A3707" s="1" t="s">
        <v>5476</v>
      </c>
      <c r="B3707" t="s">
        <v>5477</v>
      </c>
      <c r="C3707" s="1" t="s">
        <v>5478</v>
      </c>
      <c r="D3707" s="1" t="s">
        <v>5478</v>
      </c>
      <c r="E3707" s="1" t="s">
        <v>5478</v>
      </c>
      <c r="F3707" t="s">
        <v>5479</v>
      </c>
      <c r="G3707" t="s">
        <v>70</v>
      </c>
      <c r="H3707" t="s">
        <v>5</v>
      </c>
      <c r="I3707" t="s">
        <v>5480</v>
      </c>
      <c r="J3707">
        <v>1.55</v>
      </c>
      <c r="K3707" t="e">
        <f>IF(COUNTIF(#REF!,Tabela2[[#This Row],[IdxWspolny]])&gt;0,"ELEM_lub_PRD","TECHN")</f>
        <v>#REF!</v>
      </c>
      <c r="L3707" t="e">
        <f>IF(COUNTIF(#REF!,Tabela2[[#This Row],[KOD_PRODUKTU]])&gt;0,"ELEMENT","PRODUKT")</f>
        <v>#REF!</v>
      </c>
      <c r="M3707" t="e">
        <f>COUNTIF(#REF!,Tabela2[[#This Row],[KOD_PRODUKTU]])</f>
        <v>#REF!</v>
      </c>
    </row>
    <row r="3708" spans="1:13" x14ac:dyDescent="0.25">
      <c r="A3708" s="1" t="s">
        <v>5476</v>
      </c>
      <c r="B3708" t="s">
        <v>5477</v>
      </c>
      <c r="C3708" s="1" t="s">
        <v>541</v>
      </c>
      <c r="D3708" s="1" t="s">
        <v>541</v>
      </c>
      <c r="E3708" s="1" t="s">
        <v>541</v>
      </c>
      <c r="F3708" t="s">
        <v>542</v>
      </c>
      <c r="G3708" t="s">
        <v>9</v>
      </c>
      <c r="H3708" t="s">
        <v>10</v>
      </c>
      <c r="I3708" t="s">
        <v>5481</v>
      </c>
      <c r="J3708">
        <v>4.5199999999999996</v>
      </c>
      <c r="K3708" t="e">
        <f>IF(COUNTIF(#REF!,Tabela2[[#This Row],[IdxWspolny]])&gt;0,"ELEM_lub_PRD","TECHN")</f>
        <v>#REF!</v>
      </c>
      <c r="L3708" t="e">
        <f>IF(COUNTIF(#REF!,Tabela2[[#This Row],[KOD_PRODUKTU]])&gt;0,"ELEMENT","PRODUKT")</f>
        <v>#REF!</v>
      </c>
      <c r="M3708" t="e">
        <f>COUNTIF(#REF!,Tabela2[[#This Row],[KOD_PRODUKTU]])</f>
        <v>#REF!</v>
      </c>
    </row>
    <row r="3709" spans="1:13" x14ac:dyDescent="0.25">
      <c r="A3709" s="1" t="s">
        <v>5482</v>
      </c>
      <c r="B3709" t="s">
        <v>5483</v>
      </c>
      <c r="C3709" s="1" t="s">
        <v>1249</v>
      </c>
      <c r="D3709" s="1" t="s">
        <v>1249</v>
      </c>
      <c r="E3709" s="1" t="s">
        <v>1249</v>
      </c>
      <c r="F3709" t="s">
        <v>1250</v>
      </c>
      <c r="G3709" t="s">
        <v>1251</v>
      </c>
      <c r="H3709" t="s">
        <v>1252</v>
      </c>
      <c r="I3709" t="s">
        <v>367</v>
      </c>
      <c r="J3709">
        <v>600</v>
      </c>
      <c r="K3709" t="e">
        <f>IF(COUNTIF(#REF!,Tabela2[[#This Row],[IdxWspolny]])&gt;0,"ELEM_lub_PRD","TECHN")</f>
        <v>#REF!</v>
      </c>
      <c r="L3709" t="e">
        <f>IF(COUNTIF(#REF!,Tabela2[[#This Row],[KOD_PRODUKTU]])&gt;0,"ELEMENT","PRODUKT")</f>
        <v>#REF!</v>
      </c>
      <c r="M3709" t="e">
        <f>COUNTIF(#REF!,Tabela2[[#This Row],[KOD_PRODUKTU]])</f>
        <v>#REF!</v>
      </c>
    </row>
    <row r="3710" spans="1:13" x14ac:dyDescent="0.25">
      <c r="A3710" s="1" t="s">
        <v>5482</v>
      </c>
      <c r="B3710" t="s">
        <v>5483</v>
      </c>
      <c r="C3710" s="1" t="s">
        <v>541</v>
      </c>
      <c r="D3710" s="1" t="s">
        <v>541</v>
      </c>
      <c r="E3710" s="1" t="s">
        <v>541</v>
      </c>
      <c r="F3710" t="s">
        <v>542</v>
      </c>
      <c r="G3710" t="s">
        <v>9</v>
      </c>
      <c r="H3710" t="s">
        <v>10</v>
      </c>
      <c r="I3710" t="s">
        <v>5484</v>
      </c>
      <c r="J3710">
        <v>176.33</v>
      </c>
      <c r="K3710" t="e">
        <f>IF(COUNTIF(#REF!,Tabela2[[#This Row],[IdxWspolny]])&gt;0,"ELEM_lub_PRD","TECHN")</f>
        <v>#REF!</v>
      </c>
      <c r="L3710" t="e">
        <f>IF(COUNTIF(#REF!,Tabela2[[#This Row],[KOD_PRODUKTU]])&gt;0,"ELEMENT","PRODUKT")</f>
        <v>#REF!</v>
      </c>
      <c r="M3710" t="e">
        <f>COUNTIF(#REF!,Tabela2[[#This Row],[KOD_PRODUKTU]])</f>
        <v>#REF!</v>
      </c>
    </row>
    <row r="3711" spans="1:13" x14ac:dyDescent="0.25">
      <c r="A3711" s="1" t="s">
        <v>5482</v>
      </c>
      <c r="B3711" t="s">
        <v>5483</v>
      </c>
      <c r="C3711" s="1" t="s">
        <v>541</v>
      </c>
      <c r="D3711" s="1" t="s">
        <v>541</v>
      </c>
      <c r="E3711" s="1" t="s">
        <v>541</v>
      </c>
      <c r="F3711" t="s">
        <v>542</v>
      </c>
      <c r="G3711" t="s">
        <v>9</v>
      </c>
      <c r="H3711" t="s">
        <v>10</v>
      </c>
      <c r="I3711" t="s">
        <v>5327</v>
      </c>
      <c r="J3711">
        <v>1104</v>
      </c>
      <c r="K3711" t="e">
        <f>IF(COUNTIF(#REF!,Tabela2[[#This Row],[IdxWspolny]])&gt;0,"ELEM_lub_PRD","TECHN")</f>
        <v>#REF!</v>
      </c>
      <c r="L3711" t="e">
        <f>IF(COUNTIF(#REF!,Tabela2[[#This Row],[KOD_PRODUKTU]])&gt;0,"ELEMENT","PRODUKT")</f>
        <v>#REF!</v>
      </c>
      <c r="M3711" t="e">
        <f>COUNTIF(#REF!,Tabela2[[#This Row],[KOD_PRODUKTU]])</f>
        <v>#REF!</v>
      </c>
    </row>
    <row r="3712" spans="1:13" x14ac:dyDescent="0.25">
      <c r="A3712" s="1" t="s">
        <v>5485</v>
      </c>
      <c r="B3712" t="s">
        <v>5486</v>
      </c>
      <c r="C3712" s="1" t="s">
        <v>1249</v>
      </c>
      <c r="D3712" s="1" t="s">
        <v>1249</v>
      </c>
      <c r="E3712" s="1" t="s">
        <v>1249</v>
      </c>
      <c r="F3712" t="s">
        <v>1250</v>
      </c>
      <c r="G3712" t="s">
        <v>1251</v>
      </c>
      <c r="H3712" t="s">
        <v>1252</v>
      </c>
      <c r="I3712" t="s">
        <v>5487</v>
      </c>
      <c r="J3712">
        <v>111.96</v>
      </c>
      <c r="K3712" t="e">
        <f>IF(COUNTIF(#REF!,Tabela2[[#This Row],[IdxWspolny]])&gt;0,"ELEM_lub_PRD","TECHN")</f>
        <v>#REF!</v>
      </c>
      <c r="L3712" t="e">
        <f>IF(COUNTIF(#REF!,Tabela2[[#This Row],[KOD_PRODUKTU]])&gt;0,"ELEMENT","PRODUKT")</f>
        <v>#REF!</v>
      </c>
      <c r="M3712" t="e">
        <f>COUNTIF(#REF!,Tabela2[[#This Row],[KOD_PRODUKTU]])</f>
        <v>#REF!</v>
      </c>
    </row>
    <row r="3713" spans="1:14" x14ac:dyDescent="0.25">
      <c r="A3713" s="1" t="s">
        <v>5485</v>
      </c>
      <c r="B3713" t="s">
        <v>5486</v>
      </c>
      <c r="C3713" s="1" t="s">
        <v>7</v>
      </c>
      <c r="D3713" s="1" t="s">
        <v>7</v>
      </c>
      <c r="E3713" s="1" t="s">
        <v>7</v>
      </c>
      <c r="F3713" t="s">
        <v>8</v>
      </c>
      <c r="G3713" t="s">
        <v>9</v>
      </c>
      <c r="H3713" t="s">
        <v>10</v>
      </c>
      <c r="I3713" t="s">
        <v>5488</v>
      </c>
      <c r="J3713">
        <v>125.12</v>
      </c>
      <c r="K3713" t="e">
        <f>IF(COUNTIF(#REF!,Tabela2[[#This Row],[IdxWspolny]])&gt;0,"ELEM_lub_PRD","TECHN")</f>
        <v>#REF!</v>
      </c>
      <c r="L3713" t="e">
        <f>IF(COUNTIF(#REF!,Tabela2[[#This Row],[KOD_PRODUKTU]])&gt;0,"ELEMENT","PRODUKT")</f>
        <v>#REF!</v>
      </c>
      <c r="M3713" t="e">
        <f>COUNTIF(#REF!,Tabela2[[#This Row],[KOD_PRODUKTU]])</f>
        <v>#REF!</v>
      </c>
    </row>
    <row r="3714" spans="1:14" x14ac:dyDescent="0.25">
      <c r="A3714" s="1" t="s">
        <v>5485</v>
      </c>
      <c r="B3714" t="s">
        <v>5486</v>
      </c>
      <c r="C3714" s="1" t="s">
        <v>7</v>
      </c>
      <c r="D3714" s="1" t="s">
        <v>7</v>
      </c>
      <c r="E3714" s="1" t="s">
        <v>7</v>
      </c>
      <c r="F3714" t="s">
        <v>8</v>
      </c>
      <c r="G3714" t="s">
        <v>9</v>
      </c>
      <c r="H3714" t="s">
        <v>10</v>
      </c>
      <c r="I3714" t="s">
        <v>5489</v>
      </c>
      <c r="J3714">
        <v>78.989999999999995</v>
      </c>
      <c r="K3714" t="e">
        <f>IF(COUNTIF(#REF!,Tabela2[[#This Row],[IdxWspolny]])&gt;0,"ELEM_lub_PRD","TECHN")</f>
        <v>#REF!</v>
      </c>
      <c r="L3714" t="e">
        <f>IF(COUNTIF(#REF!,Tabela2[[#This Row],[KOD_PRODUKTU]])&gt;0,"ELEMENT","PRODUKT")</f>
        <v>#REF!</v>
      </c>
      <c r="M3714" t="e">
        <f>COUNTIF(#REF!,Tabela2[[#This Row],[KOD_PRODUKTU]])</f>
        <v>#REF!</v>
      </c>
    </row>
    <row r="3715" spans="1:14" x14ac:dyDescent="0.25">
      <c r="A3715" s="1" t="s">
        <v>5490</v>
      </c>
      <c r="B3715" t="s">
        <v>5491</v>
      </c>
      <c r="C3715" s="1" t="s">
        <v>1249</v>
      </c>
      <c r="D3715" s="1" t="s">
        <v>1249</v>
      </c>
      <c r="E3715" s="1" t="s">
        <v>1249</v>
      </c>
      <c r="F3715" t="s">
        <v>1250</v>
      </c>
      <c r="G3715" t="s">
        <v>1251</v>
      </c>
      <c r="H3715" t="s">
        <v>1252</v>
      </c>
      <c r="I3715" t="s">
        <v>3645</v>
      </c>
      <c r="J3715">
        <v>108</v>
      </c>
      <c r="K3715" t="e">
        <f>IF(COUNTIF(#REF!,Tabela2[[#This Row],[IdxWspolny]])&gt;0,"ELEM_lub_PRD","TECHN")</f>
        <v>#REF!</v>
      </c>
      <c r="L3715" t="e">
        <f>IF(COUNTIF(#REF!,Tabela2[[#This Row],[KOD_PRODUKTU]])&gt;0,"ELEMENT","PRODUKT")</f>
        <v>#REF!</v>
      </c>
      <c r="M3715" t="e">
        <f>COUNTIF(#REF!,Tabela2[[#This Row],[KOD_PRODUKTU]])</f>
        <v>#REF!</v>
      </c>
    </row>
    <row r="3716" spans="1:14" x14ac:dyDescent="0.25">
      <c r="A3716" s="1" t="s">
        <v>5490</v>
      </c>
      <c r="B3716" t="s">
        <v>5491</v>
      </c>
      <c r="C3716" s="1" t="s">
        <v>7</v>
      </c>
      <c r="D3716" s="1" t="s">
        <v>7</v>
      </c>
      <c r="E3716" s="1" t="s">
        <v>7</v>
      </c>
      <c r="F3716" t="s">
        <v>8</v>
      </c>
      <c r="G3716" t="s">
        <v>9</v>
      </c>
      <c r="H3716" t="s">
        <v>10</v>
      </c>
      <c r="I3716" t="s">
        <v>5492</v>
      </c>
      <c r="J3716">
        <v>124.2</v>
      </c>
      <c r="K3716" t="e">
        <f>IF(COUNTIF(#REF!,Tabela2[[#This Row],[IdxWspolny]])&gt;0,"ELEM_lub_PRD","TECHN")</f>
        <v>#REF!</v>
      </c>
      <c r="L3716" t="e">
        <f>IF(COUNTIF(#REF!,Tabela2[[#This Row],[KOD_PRODUKTU]])&gt;0,"ELEMENT","PRODUKT")</f>
        <v>#REF!</v>
      </c>
      <c r="M3716" t="e">
        <f>COUNTIF(#REF!,Tabela2[[#This Row],[KOD_PRODUKTU]])</f>
        <v>#REF!</v>
      </c>
    </row>
    <row r="3717" spans="1:14" x14ac:dyDescent="0.25">
      <c r="A3717" s="1" t="s">
        <v>5490</v>
      </c>
      <c r="B3717" t="s">
        <v>5491</v>
      </c>
      <c r="C3717" s="1" t="s">
        <v>7</v>
      </c>
      <c r="D3717" s="1" t="s">
        <v>7</v>
      </c>
      <c r="E3717" s="1" t="s">
        <v>7</v>
      </c>
      <c r="F3717" t="s">
        <v>8</v>
      </c>
      <c r="G3717" t="s">
        <v>9</v>
      </c>
      <c r="H3717" t="s">
        <v>10</v>
      </c>
      <c r="I3717" t="s">
        <v>5493</v>
      </c>
      <c r="J3717">
        <v>79.05</v>
      </c>
      <c r="K3717" t="e">
        <f>IF(COUNTIF(#REF!,Tabela2[[#This Row],[IdxWspolny]])&gt;0,"ELEM_lub_PRD","TECHN")</f>
        <v>#REF!</v>
      </c>
      <c r="L3717" t="e">
        <f>IF(COUNTIF(#REF!,Tabela2[[#This Row],[KOD_PRODUKTU]])&gt;0,"ELEMENT","PRODUKT")</f>
        <v>#REF!</v>
      </c>
      <c r="M3717" t="e">
        <f>COUNTIF(#REF!,Tabela2[[#This Row],[KOD_PRODUKTU]])</f>
        <v>#REF!</v>
      </c>
    </row>
    <row r="3718" spans="1:14" x14ac:dyDescent="0.25">
      <c r="A3718" s="1" t="s">
        <v>5494</v>
      </c>
      <c r="B3718" t="s">
        <v>5495</v>
      </c>
      <c r="C3718" s="1" t="s">
        <v>1249</v>
      </c>
      <c r="D3718" s="1" t="s">
        <v>1249</v>
      </c>
      <c r="E3718" s="1" t="s">
        <v>1249</v>
      </c>
      <c r="F3718" t="s">
        <v>1250</v>
      </c>
      <c r="G3718" t="s">
        <v>1251</v>
      </c>
      <c r="H3718" t="s">
        <v>1252</v>
      </c>
      <c r="I3718" t="s">
        <v>3645</v>
      </c>
      <c r="J3718">
        <v>108</v>
      </c>
      <c r="K3718" t="e">
        <f>IF(COUNTIF(#REF!,Tabela2[[#This Row],[IdxWspolny]])&gt;0,"ELEM_lub_PRD","TECHN")</f>
        <v>#REF!</v>
      </c>
      <c r="L3718" t="e">
        <f>IF(COUNTIF(#REF!,Tabela2[[#This Row],[KOD_PRODUKTU]])&gt;0,"ELEMENT","PRODUKT")</f>
        <v>#REF!</v>
      </c>
      <c r="M3718" t="e">
        <f>COUNTIF(#REF!,Tabela2[[#This Row],[KOD_PRODUKTU]])</f>
        <v>#REF!</v>
      </c>
    </row>
    <row r="3719" spans="1:14" x14ac:dyDescent="0.25">
      <c r="A3719" s="1" t="s">
        <v>5494</v>
      </c>
      <c r="B3719" t="s">
        <v>5495</v>
      </c>
      <c r="C3719" s="1" t="s">
        <v>7</v>
      </c>
      <c r="D3719" s="1" t="s">
        <v>7</v>
      </c>
      <c r="E3719" s="1" t="s">
        <v>7</v>
      </c>
      <c r="F3719" t="s">
        <v>8</v>
      </c>
      <c r="G3719" t="s">
        <v>9</v>
      </c>
      <c r="H3719" t="s">
        <v>10</v>
      </c>
      <c r="I3719" t="s">
        <v>5493</v>
      </c>
      <c r="J3719">
        <v>79.05</v>
      </c>
      <c r="K3719" t="e">
        <f>IF(COUNTIF(#REF!,Tabela2[[#This Row],[IdxWspolny]])&gt;0,"ELEM_lub_PRD","TECHN")</f>
        <v>#REF!</v>
      </c>
      <c r="L3719" t="e">
        <f>IF(COUNTIF(#REF!,Tabela2[[#This Row],[KOD_PRODUKTU]])&gt;0,"ELEMENT","PRODUKT")</f>
        <v>#REF!</v>
      </c>
      <c r="M3719" t="e">
        <f>COUNTIF(#REF!,Tabela2[[#This Row],[KOD_PRODUKTU]])</f>
        <v>#REF!</v>
      </c>
    </row>
    <row r="3720" spans="1:14" x14ac:dyDescent="0.25">
      <c r="A3720" s="1" t="s">
        <v>5494</v>
      </c>
      <c r="B3720" t="s">
        <v>5495</v>
      </c>
      <c r="C3720" s="1" t="s">
        <v>7</v>
      </c>
      <c r="D3720" s="1" t="s">
        <v>7</v>
      </c>
      <c r="E3720" s="1" t="s">
        <v>7</v>
      </c>
      <c r="F3720" t="s">
        <v>8</v>
      </c>
      <c r="G3720" t="s">
        <v>9</v>
      </c>
      <c r="H3720" t="s">
        <v>10</v>
      </c>
      <c r="I3720" t="s">
        <v>5496</v>
      </c>
      <c r="J3720">
        <v>135.69999999999999</v>
      </c>
      <c r="K3720" t="e">
        <f>IF(COUNTIF(#REF!,Tabela2[[#This Row],[IdxWspolny]])&gt;0,"ELEM_lub_PRD","TECHN")</f>
        <v>#REF!</v>
      </c>
      <c r="L3720" t="e">
        <f>IF(COUNTIF(#REF!,Tabela2[[#This Row],[KOD_PRODUKTU]])&gt;0,"ELEMENT","PRODUKT")</f>
        <v>#REF!</v>
      </c>
      <c r="M3720" t="e">
        <f>COUNTIF(#REF!,Tabela2[[#This Row],[KOD_PRODUKTU]])</f>
        <v>#REF!</v>
      </c>
    </row>
    <row r="3721" spans="1:14" x14ac:dyDescent="0.25">
      <c r="A3721" s="1" t="s">
        <v>5497</v>
      </c>
      <c r="B3721" t="s">
        <v>5498</v>
      </c>
      <c r="C3721" s="1" t="s">
        <v>1249</v>
      </c>
      <c r="D3721" s="1" t="s">
        <v>1249</v>
      </c>
      <c r="E3721" s="1" t="s">
        <v>1249</v>
      </c>
      <c r="F3721" t="s">
        <v>1250</v>
      </c>
      <c r="G3721" t="s">
        <v>1251</v>
      </c>
      <c r="H3721" t="s">
        <v>1252</v>
      </c>
      <c r="I3721" t="s">
        <v>535</v>
      </c>
      <c r="J3721">
        <v>21.96</v>
      </c>
      <c r="K3721" t="e">
        <f>IF(COUNTIF(#REF!,Tabela2[[#This Row],[IdxWspolny]])&gt;0,"ELEM_lub_PRD","TECHN")</f>
        <v>#REF!</v>
      </c>
      <c r="L3721" t="e">
        <f>IF(COUNTIF(#REF!,Tabela2[[#This Row],[KOD_PRODUKTU]])&gt;0,"ELEMENT","PRODUKT")</f>
        <v>#REF!</v>
      </c>
      <c r="M3721" t="e">
        <f>COUNTIF(#REF!,Tabela2[[#This Row],[KOD_PRODUKTU]])</f>
        <v>#REF!</v>
      </c>
    </row>
    <row r="3722" spans="1:14" x14ac:dyDescent="0.25">
      <c r="A3722" s="1" t="s">
        <v>5497</v>
      </c>
      <c r="B3722" t="s">
        <v>5498</v>
      </c>
      <c r="C3722" s="1" t="s">
        <v>7</v>
      </c>
      <c r="D3722" s="1" t="s">
        <v>7</v>
      </c>
      <c r="E3722" s="1" t="s">
        <v>7</v>
      </c>
      <c r="F3722" t="s">
        <v>8</v>
      </c>
      <c r="G3722" t="s">
        <v>9</v>
      </c>
      <c r="H3722" t="s">
        <v>10</v>
      </c>
      <c r="I3722" t="s">
        <v>860</v>
      </c>
      <c r="J3722">
        <v>23</v>
      </c>
      <c r="K3722" t="e">
        <f>IF(COUNTIF(#REF!,Tabela2[[#This Row],[IdxWspolny]])&gt;0,"ELEM_lub_PRD","TECHN")</f>
        <v>#REF!</v>
      </c>
      <c r="L3722" t="e">
        <f>IF(COUNTIF(#REF!,Tabela2[[#This Row],[KOD_PRODUKTU]])&gt;0,"ELEMENT","PRODUKT")</f>
        <v>#REF!</v>
      </c>
      <c r="M3722" t="e">
        <f>COUNTIF(#REF!,Tabela2[[#This Row],[KOD_PRODUKTU]])</f>
        <v>#REF!</v>
      </c>
    </row>
    <row r="3723" spans="1:14" x14ac:dyDescent="0.25">
      <c r="A3723" s="1" t="s">
        <v>5497</v>
      </c>
      <c r="B3723" t="s">
        <v>5498</v>
      </c>
      <c r="C3723" s="1" t="s">
        <v>7</v>
      </c>
      <c r="D3723" s="1" t="s">
        <v>7</v>
      </c>
      <c r="E3723" s="1" t="s">
        <v>7</v>
      </c>
      <c r="F3723" t="s">
        <v>8</v>
      </c>
      <c r="G3723" t="s">
        <v>9</v>
      </c>
      <c r="H3723" t="s">
        <v>10</v>
      </c>
      <c r="I3723" t="s">
        <v>5499</v>
      </c>
      <c r="J3723">
        <v>23.39</v>
      </c>
      <c r="K3723" t="e">
        <f>IF(COUNTIF(#REF!,Tabela2[[#This Row],[IdxWspolny]])&gt;0,"ELEM_lub_PRD","TECHN")</f>
        <v>#REF!</v>
      </c>
      <c r="L3723" t="e">
        <f>IF(COUNTIF(#REF!,Tabela2[[#This Row],[KOD_PRODUKTU]])&gt;0,"ELEMENT","PRODUKT")</f>
        <v>#REF!</v>
      </c>
      <c r="M3723" t="e">
        <f>COUNTIF(#REF!,Tabela2[[#This Row],[KOD_PRODUKTU]])</f>
        <v>#REF!</v>
      </c>
    </row>
    <row r="3724" spans="1:14" x14ac:dyDescent="0.25">
      <c r="A3724" s="1" t="s">
        <v>5500</v>
      </c>
      <c r="B3724" t="s">
        <v>5501</v>
      </c>
      <c r="C3724" s="1" t="s">
        <v>5262</v>
      </c>
      <c r="D3724" s="1" t="s">
        <v>5262</v>
      </c>
      <c r="E3724" s="1" t="s">
        <v>5262</v>
      </c>
      <c r="F3724" t="s">
        <v>5263</v>
      </c>
      <c r="G3724" t="s">
        <v>5264</v>
      </c>
      <c r="H3724" t="s">
        <v>121</v>
      </c>
      <c r="I3724" t="s">
        <v>5265</v>
      </c>
      <c r="J3724">
        <v>3.5</v>
      </c>
      <c r="K3724" t="e">
        <f>IF(COUNTIF(#REF!,Tabela2[[#This Row],[IdxWspolny]])&gt;0,"ELEM_lub_PRD","TECHN")</f>
        <v>#REF!</v>
      </c>
      <c r="L3724" t="e">
        <f>IF(COUNTIF(#REF!,Tabela2[[#This Row],[KOD_PRODUKTU]])&gt;0,"ELEMENT","PRODUKT")</f>
        <v>#REF!</v>
      </c>
      <c r="M3724" t="e">
        <f>COUNTIF(#REF!,Tabela2[[#This Row],[KOD_PRODUKTU]])</f>
        <v>#REF!</v>
      </c>
    </row>
    <row r="3725" spans="1:14" x14ac:dyDescent="0.25">
      <c r="A3725" s="1" t="s">
        <v>5500</v>
      </c>
      <c r="B3725" t="s">
        <v>5501</v>
      </c>
      <c r="C3725" s="1" t="s">
        <v>5266</v>
      </c>
      <c r="D3725" s="1" t="s">
        <v>5266</v>
      </c>
      <c r="E3725" s="1" t="s">
        <v>5266</v>
      </c>
      <c r="F3725" t="s">
        <v>5267</v>
      </c>
      <c r="G3725" t="s">
        <v>311</v>
      </c>
      <c r="H3725" t="s">
        <v>5</v>
      </c>
      <c r="I3725" t="s">
        <v>5268</v>
      </c>
      <c r="J3725">
        <v>51.5</v>
      </c>
      <c r="K3725" t="e">
        <f>IF(COUNTIF(#REF!,Tabela2[[#This Row],[IdxWspolny]])&gt;0,"ELEM_lub_PRD","TECHN")</f>
        <v>#REF!</v>
      </c>
      <c r="L3725" t="e">
        <f>IF(COUNTIF(#REF!,Tabela2[[#This Row],[KOD_PRODUKTU]])&gt;0,"ELEMENT","PRODUKT")</f>
        <v>#REF!</v>
      </c>
      <c r="M3725" t="e">
        <f>COUNTIF(#REF!,Tabela2[[#This Row],[KOD_PRODUKTU]])</f>
        <v>#REF!</v>
      </c>
    </row>
    <row r="3726" spans="1:14" x14ac:dyDescent="0.25">
      <c r="A3726" s="1" t="s">
        <v>5500</v>
      </c>
      <c r="B3726" t="s">
        <v>5501</v>
      </c>
      <c r="C3726" s="1" t="s">
        <v>3452</v>
      </c>
      <c r="D3726" s="1" t="s">
        <v>3452</v>
      </c>
      <c r="E3726" s="1" t="s">
        <v>3452</v>
      </c>
      <c r="F3726" t="s">
        <v>3453</v>
      </c>
      <c r="G3726" t="s">
        <v>1588</v>
      </c>
      <c r="H3726" t="s">
        <v>39</v>
      </c>
      <c r="I3726" t="s">
        <v>25</v>
      </c>
      <c r="J3726">
        <v>1.17</v>
      </c>
      <c r="K3726" t="e">
        <f>IF(COUNTIF(#REF!,Tabela2[[#This Row],[IdxWspolny]])&gt;0,"ELEM_lub_PRD","TECHN")</f>
        <v>#REF!</v>
      </c>
      <c r="L3726" t="e">
        <f>IF(COUNTIF(#REF!,Tabela2[[#This Row],[KOD_PRODUKTU]])&gt;0,"ELEMENT","PRODUKT")</f>
        <v>#REF!</v>
      </c>
      <c r="M3726" t="e">
        <f>COUNTIF(#REF!,Tabela2[[#This Row],[KOD_PRODUKTU]])</f>
        <v>#REF!</v>
      </c>
    </row>
    <row r="3727" spans="1:14" x14ac:dyDescent="0.25">
      <c r="A3727" s="1" t="s">
        <v>5500</v>
      </c>
      <c r="B3727" t="s">
        <v>5501</v>
      </c>
      <c r="C3727" s="1" t="s">
        <v>2791</v>
      </c>
      <c r="D3727" s="1" t="s">
        <v>2791</v>
      </c>
      <c r="E3727" s="1" t="s">
        <v>2791</v>
      </c>
      <c r="F3727" t="s">
        <v>2792</v>
      </c>
      <c r="G3727" t="s">
        <v>2793</v>
      </c>
      <c r="H3727" t="s">
        <v>121</v>
      </c>
      <c r="I3727" t="s">
        <v>5269</v>
      </c>
      <c r="J3727">
        <v>3.05</v>
      </c>
      <c r="K3727" t="e">
        <f>IF(COUNTIF(#REF!,Tabela2[[#This Row],[IdxWspolny]])&gt;0,"ELEM_lub_PRD","TECHN")</f>
        <v>#REF!</v>
      </c>
      <c r="L3727" t="e">
        <f>IF(COUNTIF(#REF!,Tabela2[[#This Row],[KOD_PRODUKTU]])&gt;0,"ELEMENT","PRODUKT")</f>
        <v>#REF!</v>
      </c>
      <c r="M3727" t="e">
        <f>COUNTIF(#REF!,Tabela2[[#This Row],[KOD_PRODUKTU]])</f>
        <v>#REF!</v>
      </c>
    </row>
    <row r="3728" spans="1:14" hidden="1" x14ac:dyDescent="0.25">
      <c r="A3728" s="1" t="s">
        <v>5500</v>
      </c>
      <c r="B3728" t="s">
        <v>5501</v>
      </c>
      <c r="C3728" s="1" t="s">
        <v>5502</v>
      </c>
      <c r="D3728" s="1" t="s">
        <v>5502</v>
      </c>
      <c r="E3728" s="1" t="s">
        <v>5502</v>
      </c>
      <c r="F3728" t="s">
        <v>5503</v>
      </c>
      <c r="G3728" t="s">
        <v>5504</v>
      </c>
      <c r="H3728" t="s">
        <v>49</v>
      </c>
      <c r="I3728" t="s">
        <v>50</v>
      </c>
      <c r="J3728">
        <v>40.78</v>
      </c>
      <c r="K3728" t="e">
        <f>IF(COUNTIF(#REF!,Tabela2[[#This Row],[IdxWspolny]])&gt;0,"ELEM_lub_PRD","TECHN")</f>
        <v>#REF!</v>
      </c>
      <c r="L3728" t="e">
        <f>IF(COUNTIF(#REF!,Tabela2[[#This Row],[KOD_PRODUKTU]])&gt;0,"ELEMENT","PRODUKT")</f>
        <v>#REF!</v>
      </c>
      <c r="M3728" t="e">
        <f>COUNTIF(#REF!,Tabela2[[#This Row],[KOD_PRODUKTU]])</f>
        <v>#REF!</v>
      </c>
      <c r="N3728" t="s">
        <v>55</v>
      </c>
    </row>
    <row r="3729" spans="1:14" hidden="1" x14ac:dyDescent="0.25">
      <c r="A3729" s="1" t="s">
        <v>5500</v>
      </c>
      <c r="B3729" t="s">
        <v>5501</v>
      </c>
      <c r="C3729" s="1" t="s">
        <v>5505</v>
      </c>
      <c r="D3729" s="1" t="s">
        <v>5505</v>
      </c>
      <c r="E3729" s="1" t="s">
        <v>5505</v>
      </c>
      <c r="F3729" t="s">
        <v>5506</v>
      </c>
      <c r="G3729" t="s">
        <v>5507</v>
      </c>
      <c r="H3729" t="s">
        <v>49</v>
      </c>
      <c r="I3729" t="s">
        <v>50</v>
      </c>
      <c r="J3729">
        <v>31.99</v>
      </c>
      <c r="K3729" t="e">
        <f>IF(COUNTIF(#REF!,Tabela2[[#This Row],[IdxWspolny]])&gt;0,"ELEM_lub_PRD","TECHN")</f>
        <v>#REF!</v>
      </c>
      <c r="L3729" t="e">
        <f>IF(COUNTIF(#REF!,Tabela2[[#This Row],[KOD_PRODUKTU]])&gt;0,"ELEMENT","PRODUKT")</f>
        <v>#REF!</v>
      </c>
      <c r="M3729" t="e">
        <f>COUNTIF(#REF!,Tabela2[[#This Row],[KOD_PRODUKTU]])</f>
        <v>#REF!</v>
      </c>
      <c r="N3729" t="s">
        <v>55</v>
      </c>
    </row>
    <row r="3730" spans="1:14" x14ac:dyDescent="0.25">
      <c r="A3730" s="1" t="s">
        <v>5500</v>
      </c>
      <c r="B3730" t="s">
        <v>5501</v>
      </c>
      <c r="C3730" s="1" t="s">
        <v>857</v>
      </c>
      <c r="D3730" s="1" t="s">
        <v>857</v>
      </c>
      <c r="E3730" s="1" t="s">
        <v>857</v>
      </c>
      <c r="F3730" t="s">
        <v>858</v>
      </c>
      <c r="G3730" t="s">
        <v>686</v>
      </c>
      <c r="H3730" t="s">
        <v>49</v>
      </c>
      <c r="I3730" t="s">
        <v>5508</v>
      </c>
      <c r="J3730">
        <v>5.15</v>
      </c>
      <c r="K3730" t="e">
        <f>IF(COUNTIF(#REF!,Tabela2[[#This Row],[IdxWspolny]])&gt;0,"ELEM_lub_PRD","TECHN")</f>
        <v>#REF!</v>
      </c>
      <c r="L3730" t="e">
        <f>IF(COUNTIF(#REF!,Tabela2[[#This Row],[KOD_PRODUKTU]])&gt;0,"ELEMENT","PRODUKT")</f>
        <v>#REF!</v>
      </c>
      <c r="M3730" t="e">
        <f>COUNTIF(#REF!,Tabela2[[#This Row],[KOD_PRODUKTU]])</f>
        <v>#REF!</v>
      </c>
    </row>
    <row r="3731" spans="1:14" x14ac:dyDescent="0.25">
      <c r="A3731" s="1" t="s">
        <v>5500</v>
      </c>
      <c r="B3731" t="s">
        <v>5501</v>
      </c>
      <c r="C3731" s="1" t="s">
        <v>541</v>
      </c>
      <c r="D3731" s="1" t="s">
        <v>541</v>
      </c>
      <c r="E3731" s="1" t="s">
        <v>541</v>
      </c>
      <c r="F3731" t="s">
        <v>542</v>
      </c>
      <c r="G3731" t="s">
        <v>9</v>
      </c>
      <c r="H3731" t="s">
        <v>10</v>
      </c>
      <c r="I3731" t="s">
        <v>3642</v>
      </c>
      <c r="J3731">
        <v>32.200000000000003</v>
      </c>
      <c r="K3731" t="e">
        <f>IF(COUNTIF(#REF!,Tabela2[[#This Row],[IdxWspolny]])&gt;0,"ELEM_lub_PRD","TECHN")</f>
        <v>#REF!</v>
      </c>
      <c r="L3731" t="e">
        <f>IF(COUNTIF(#REF!,Tabela2[[#This Row],[KOD_PRODUKTU]])&gt;0,"ELEMENT","PRODUKT")</f>
        <v>#REF!</v>
      </c>
      <c r="M3731" t="e">
        <f>COUNTIF(#REF!,Tabela2[[#This Row],[KOD_PRODUKTU]])</f>
        <v>#REF!</v>
      </c>
    </row>
    <row r="3732" spans="1:14" x14ac:dyDescent="0.25">
      <c r="A3732" s="1" t="s">
        <v>5500</v>
      </c>
      <c r="B3732" t="s">
        <v>5501</v>
      </c>
      <c r="C3732" s="1" t="s">
        <v>541</v>
      </c>
      <c r="D3732" s="1" t="s">
        <v>541</v>
      </c>
      <c r="E3732" s="1" t="s">
        <v>541</v>
      </c>
      <c r="F3732" t="s">
        <v>542</v>
      </c>
      <c r="G3732" t="s">
        <v>9</v>
      </c>
      <c r="H3732" t="s">
        <v>10</v>
      </c>
      <c r="I3732" t="s">
        <v>2607</v>
      </c>
      <c r="J3732">
        <v>5.0599999999999996</v>
      </c>
      <c r="K3732" t="e">
        <f>IF(COUNTIF(#REF!,Tabela2[[#This Row],[IdxWspolny]])&gt;0,"ELEM_lub_PRD","TECHN")</f>
        <v>#REF!</v>
      </c>
      <c r="L3732" t="e">
        <f>IF(COUNTIF(#REF!,Tabela2[[#This Row],[KOD_PRODUKTU]])&gt;0,"ELEMENT","PRODUKT")</f>
        <v>#REF!</v>
      </c>
      <c r="M3732" t="e">
        <f>COUNTIF(#REF!,Tabela2[[#This Row],[KOD_PRODUKTU]])</f>
        <v>#REF!</v>
      </c>
    </row>
    <row r="3733" spans="1:14" x14ac:dyDescent="0.25">
      <c r="A3733" s="1" t="s">
        <v>5502</v>
      </c>
      <c r="B3733" t="s">
        <v>5503</v>
      </c>
      <c r="C3733" s="1" t="s">
        <v>1249</v>
      </c>
      <c r="D3733" s="1" t="s">
        <v>1249</v>
      </c>
      <c r="E3733" s="1" t="s">
        <v>1249</v>
      </c>
      <c r="F3733" t="s">
        <v>1250</v>
      </c>
      <c r="G3733" t="s">
        <v>1251</v>
      </c>
      <c r="H3733" t="s">
        <v>1252</v>
      </c>
      <c r="I3733" t="s">
        <v>5220</v>
      </c>
      <c r="J3733">
        <v>9.9600000000000009</v>
      </c>
      <c r="K3733" t="e">
        <f>IF(COUNTIF(#REF!,Tabela2[[#This Row],[IdxWspolny]])&gt;0,"ELEM_lub_PRD","TECHN")</f>
        <v>#REF!</v>
      </c>
      <c r="L3733" t="e">
        <f>IF(COUNTIF(#REF!,Tabela2[[#This Row],[KOD_PRODUKTU]])&gt;0,"ELEMENT","PRODUKT")</f>
        <v>#REF!</v>
      </c>
      <c r="M3733" t="e">
        <f>COUNTIF(#REF!,Tabela2[[#This Row],[KOD_PRODUKTU]])</f>
        <v>#REF!</v>
      </c>
    </row>
    <row r="3734" spans="1:14" x14ac:dyDescent="0.25">
      <c r="A3734" s="1" t="s">
        <v>5502</v>
      </c>
      <c r="B3734" t="s">
        <v>5503</v>
      </c>
      <c r="C3734" s="1" t="s">
        <v>7</v>
      </c>
      <c r="D3734" s="1" t="s">
        <v>7</v>
      </c>
      <c r="E3734" s="1" t="s">
        <v>7</v>
      </c>
      <c r="F3734" t="s">
        <v>8</v>
      </c>
      <c r="G3734" t="s">
        <v>9</v>
      </c>
      <c r="H3734" t="s">
        <v>10</v>
      </c>
      <c r="I3734" t="s">
        <v>5509</v>
      </c>
      <c r="J3734">
        <v>15.84</v>
      </c>
      <c r="K3734" t="e">
        <f>IF(COUNTIF(#REF!,Tabela2[[#This Row],[IdxWspolny]])&gt;0,"ELEM_lub_PRD","TECHN")</f>
        <v>#REF!</v>
      </c>
      <c r="L3734" t="e">
        <f>IF(COUNTIF(#REF!,Tabela2[[#This Row],[KOD_PRODUKTU]])&gt;0,"ELEMENT","PRODUKT")</f>
        <v>#REF!</v>
      </c>
      <c r="M3734" t="e">
        <f>COUNTIF(#REF!,Tabela2[[#This Row],[KOD_PRODUKTU]])</f>
        <v>#REF!</v>
      </c>
    </row>
    <row r="3735" spans="1:14" x14ac:dyDescent="0.25">
      <c r="A3735" s="1" t="s">
        <v>5502</v>
      </c>
      <c r="B3735" t="s">
        <v>5503</v>
      </c>
      <c r="C3735" s="1" t="s">
        <v>7</v>
      </c>
      <c r="D3735" s="1" t="s">
        <v>7</v>
      </c>
      <c r="E3735" s="1" t="s">
        <v>7</v>
      </c>
      <c r="F3735" t="s">
        <v>8</v>
      </c>
      <c r="G3735" t="s">
        <v>9</v>
      </c>
      <c r="H3735" t="s">
        <v>10</v>
      </c>
      <c r="I3735" t="s">
        <v>5510</v>
      </c>
      <c r="J3735">
        <v>14.98</v>
      </c>
      <c r="K3735" t="e">
        <f>IF(COUNTIF(#REF!,Tabela2[[#This Row],[IdxWspolny]])&gt;0,"ELEM_lub_PRD","TECHN")</f>
        <v>#REF!</v>
      </c>
      <c r="L3735" t="e">
        <f>IF(COUNTIF(#REF!,Tabela2[[#This Row],[KOD_PRODUKTU]])&gt;0,"ELEMENT","PRODUKT")</f>
        <v>#REF!</v>
      </c>
      <c r="M3735" t="e">
        <f>COUNTIF(#REF!,Tabela2[[#This Row],[KOD_PRODUKTU]])</f>
        <v>#REF!</v>
      </c>
    </row>
    <row r="3736" spans="1:14" x14ac:dyDescent="0.25">
      <c r="A3736" s="1" t="s">
        <v>5505</v>
      </c>
      <c r="B3736" t="s">
        <v>5506</v>
      </c>
      <c r="C3736" s="1" t="s">
        <v>1249</v>
      </c>
      <c r="D3736" s="1" t="s">
        <v>1249</v>
      </c>
      <c r="E3736" s="1" t="s">
        <v>1249</v>
      </c>
      <c r="F3736" t="s">
        <v>1250</v>
      </c>
      <c r="G3736" t="s">
        <v>1251</v>
      </c>
      <c r="H3736" t="s">
        <v>1252</v>
      </c>
      <c r="I3736" t="s">
        <v>1893</v>
      </c>
      <c r="J3736">
        <v>15.96</v>
      </c>
      <c r="K3736" t="e">
        <f>IF(COUNTIF(#REF!,Tabela2[[#This Row],[IdxWspolny]])&gt;0,"ELEM_lub_PRD","TECHN")</f>
        <v>#REF!</v>
      </c>
      <c r="L3736" t="e">
        <f>IF(COUNTIF(#REF!,Tabela2[[#This Row],[KOD_PRODUKTU]])&gt;0,"ELEMENT","PRODUKT")</f>
        <v>#REF!</v>
      </c>
      <c r="M3736" t="e">
        <f>COUNTIF(#REF!,Tabela2[[#This Row],[KOD_PRODUKTU]])</f>
        <v>#REF!</v>
      </c>
    </row>
    <row r="3737" spans="1:14" x14ac:dyDescent="0.25">
      <c r="A3737" s="1" t="s">
        <v>5505</v>
      </c>
      <c r="B3737" t="s">
        <v>5506</v>
      </c>
      <c r="C3737" s="1" t="s">
        <v>7</v>
      </c>
      <c r="D3737" s="1" t="s">
        <v>7</v>
      </c>
      <c r="E3737" s="1" t="s">
        <v>7</v>
      </c>
      <c r="F3737" t="s">
        <v>8</v>
      </c>
      <c r="G3737" t="s">
        <v>9</v>
      </c>
      <c r="H3737" t="s">
        <v>10</v>
      </c>
      <c r="I3737" t="s">
        <v>5511</v>
      </c>
      <c r="J3737">
        <v>16.03</v>
      </c>
      <c r="K3737" t="e">
        <f>IF(COUNTIF(#REF!,Tabela2[[#This Row],[IdxWspolny]])&gt;0,"ELEM_lub_PRD","TECHN")</f>
        <v>#REF!</v>
      </c>
      <c r="L3737" t="e">
        <f>IF(COUNTIF(#REF!,Tabela2[[#This Row],[KOD_PRODUKTU]])&gt;0,"ELEMENT","PRODUKT")</f>
        <v>#REF!</v>
      </c>
      <c r="M3737" t="e">
        <f>COUNTIF(#REF!,Tabela2[[#This Row],[KOD_PRODUKTU]])</f>
        <v>#REF!</v>
      </c>
    </row>
    <row r="3738" spans="1:14" x14ac:dyDescent="0.25">
      <c r="A3738" s="1" t="s">
        <v>2858</v>
      </c>
      <c r="B3738" t="s">
        <v>2859</v>
      </c>
      <c r="C3738" s="1" t="s">
        <v>5512</v>
      </c>
      <c r="D3738" s="1" t="s">
        <v>5512</v>
      </c>
      <c r="E3738" s="1" t="s">
        <v>5512</v>
      </c>
      <c r="F3738" t="s">
        <v>5513</v>
      </c>
      <c r="G3738" t="s">
        <v>3119</v>
      </c>
      <c r="H3738" t="s">
        <v>49</v>
      </c>
      <c r="I3738" t="s">
        <v>50</v>
      </c>
      <c r="J3738">
        <v>195</v>
      </c>
      <c r="K3738" t="e">
        <f>IF(COUNTIF(#REF!,Tabela2[[#This Row],[IdxWspolny]])&gt;0,"ELEM_lub_PRD","TECHN")</f>
        <v>#REF!</v>
      </c>
      <c r="L3738" t="e">
        <f>IF(COUNTIF(#REF!,Tabela2[[#This Row],[KOD_PRODUKTU]])&gt;0,"ELEMENT","PRODUKT")</f>
        <v>#REF!</v>
      </c>
      <c r="M3738" t="e">
        <f>COUNTIF(#REF!,Tabela2[[#This Row],[KOD_PRODUKTU]])</f>
        <v>#REF!</v>
      </c>
    </row>
    <row r="3739" spans="1:14" x14ac:dyDescent="0.25">
      <c r="A3739" s="1" t="s">
        <v>2858</v>
      </c>
      <c r="B3739" t="s">
        <v>2859</v>
      </c>
      <c r="C3739" s="1" t="s">
        <v>7</v>
      </c>
      <c r="D3739" s="1" t="s">
        <v>7</v>
      </c>
      <c r="E3739" s="1" t="s">
        <v>7</v>
      </c>
      <c r="F3739" t="s">
        <v>8</v>
      </c>
      <c r="G3739" t="s">
        <v>9</v>
      </c>
      <c r="H3739" t="s">
        <v>10</v>
      </c>
      <c r="I3739" t="s">
        <v>5514</v>
      </c>
      <c r="J3739">
        <v>88.46</v>
      </c>
      <c r="K3739" t="e">
        <f>IF(COUNTIF(#REF!,Tabela2[[#This Row],[IdxWspolny]])&gt;0,"ELEM_lub_PRD","TECHN")</f>
        <v>#REF!</v>
      </c>
      <c r="L3739" t="e">
        <f>IF(COUNTIF(#REF!,Tabela2[[#This Row],[KOD_PRODUKTU]])&gt;0,"ELEMENT","PRODUKT")</f>
        <v>#REF!</v>
      </c>
      <c r="M3739" t="e">
        <f>COUNTIF(#REF!,Tabela2[[#This Row],[KOD_PRODUKTU]])</f>
        <v>#REF!</v>
      </c>
    </row>
    <row r="3740" spans="1:14" x14ac:dyDescent="0.25">
      <c r="A3740" s="1" t="s">
        <v>2861</v>
      </c>
      <c r="B3740" t="s">
        <v>2862</v>
      </c>
      <c r="C3740" s="1" t="s">
        <v>5515</v>
      </c>
      <c r="D3740" s="1" t="s">
        <v>5515</v>
      </c>
      <c r="E3740" s="1" t="s">
        <v>5515</v>
      </c>
      <c r="F3740" t="s">
        <v>5516</v>
      </c>
      <c r="G3740" t="s">
        <v>5517</v>
      </c>
      <c r="H3740" t="s">
        <v>49</v>
      </c>
      <c r="I3740" t="s">
        <v>50</v>
      </c>
      <c r="J3740">
        <v>185</v>
      </c>
      <c r="K3740" t="e">
        <f>IF(COUNTIF(#REF!,Tabela2[[#This Row],[IdxWspolny]])&gt;0,"ELEM_lub_PRD","TECHN")</f>
        <v>#REF!</v>
      </c>
      <c r="L3740" t="e">
        <f>IF(COUNTIF(#REF!,Tabela2[[#This Row],[KOD_PRODUKTU]])&gt;0,"ELEMENT","PRODUKT")</f>
        <v>#REF!</v>
      </c>
      <c r="M3740" t="e">
        <f>COUNTIF(#REF!,Tabela2[[#This Row],[KOD_PRODUKTU]])</f>
        <v>#REF!</v>
      </c>
    </row>
    <row r="3741" spans="1:14" x14ac:dyDescent="0.25">
      <c r="A3741" s="1" t="s">
        <v>2861</v>
      </c>
      <c r="B3741" t="s">
        <v>2862</v>
      </c>
      <c r="C3741" s="1" t="s">
        <v>7</v>
      </c>
      <c r="D3741" s="1" t="s">
        <v>7</v>
      </c>
      <c r="E3741" s="1" t="s">
        <v>7</v>
      </c>
      <c r="F3741" t="s">
        <v>8</v>
      </c>
      <c r="G3741" t="s">
        <v>9</v>
      </c>
      <c r="H3741" t="s">
        <v>10</v>
      </c>
      <c r="I3741" t="s">
        <v>3371</v>
      </c>
      <c r="J3741">
        <v>58.97</v>
      </c>
      <c r="K3741" t="e">
        <f>IF(COUNTIF(#REF!,Tabela2[[#This Row],[IdxWspolny]])&gt;0,"ELEM_lub_PRD","TECHN")</f>
        <v>#REF!</v>
      </c>
      <c r="L3741" t="e">
        <f>IF(COUNTIF(#REF!,Tabela2[[#This Row],[KOD_PRODUKTU]])&gt;0,"ELEMENT","PRODUKT")</f>
        <v>#REF!</v>
      </c>
      <c r="M3741" t="e">
        <f>COUNTIF(#REF!,Tabela2[[#This Row],[KOD_PRODUKTU]])</f>
        <v>#REF!</v>
      </c>
    </row>
    <row r="3742" spans="1:14" x14ac:dyDescent="0.25">
      <c r="A3742" s="1" t="s">
        <v>2864</v>
      </c>
      <c r="B3742" t="s">
        <v>2865</v>
      </c>
      <c r="C3742" s="1" t="s">
        <v>5518</v>
      </c>
      <c r="D3742" s="1" t="s">
        <v>5518</v>
      </c>
      <c r="E3742" s="1" t="s">
        <v>5518</v>
      </c>
      <c r="F3742" t="s">
        <v>5519</v>
      </c>
      <c r="G3742" t="s">
        <v>5520</v>
      </c>
      <c r="H3742" t="s">
        <v>49</v>
      </c>
      <c r="I3742" t="s">
        <v>50</v>
      </c>
      <c r="J3742">
        <v>160</v>
      </c>
      <c r="K3742" t="e">
        <f>IF(COUNTIF(#REF!,Tabela2[[#This Row],[IdxWspolny]])&gt;0,"ELEM_lub_PRD","TECHN")</f>
        <v>#REF!</v>
      </c>
      <c r="L3742" t="e">
        <f>IF(COUNTIF(#REF!,Tabela2[[#This Row],[KOD_PRODUKTU]])&gt;0,"ELEMENT","PRODUKT")</f>
        <v>#REF!</v>
      </c>
      <c r="M3742" t="e">
        <f>COUNTIF(#REF!,Tabela2[[#This Row],[KOD_PRODUKTU]])</f>
        <v>#REF!</v>
      </c>
    </row>
    <row r="3743" spans="1:14" x14ac:dyDescent="0.25">
      <c r="A3743" s="1" t="s">
        <v>2864</v>
      </c>
      <c r="B3743" t="s">
        <v>2865</v>
      </c>
      <c r="C3743" s="1" t="s">
        <v>2577</v>
      </c>
      <c r="D3743" s="1" t="s">
        <v>2577</v>
      </c>
      <c r="E3743" s="1" t="s">
        <v>2577</v>
      </c>
      <c r="F3743" t="s">
        <v>2578</v>
      </c>
      <c r="G3743" t="s">
        <v>686</v>
      </c>
      <c r="H3743" t="s">
        <v>49</v>
      </c>
      <c r="I3743" t="s">
        <v>5521</v>
      </c>
      <c r="J3743">
        <v>160</v>
      </c>
      <c r="K3743" t="e">
        <f>IF(COUNTIF(#REF!,Tabela2[[#This Row],[IdxWspolny]])&gt;0,"ELEM_lub_PRD","TECHN")</f>
        <v>#REF!</v>
      </c>
      <c r="L3743" t="e">
        <f>IF(COUNTIF(#REF!,Tabela2[[#This Row],[KOD_PRODUKTU]])&gt;0,"ELEMENT","PRODUKT")</f>
        <v>#REF!</v>
      </c>
      <c r="M3743" t="e">
        <f>COUNTIF(#REF!,Tabela2[[#This Row],[KOD_PRODUKTU]])</f>
        <v>#REF!</v>
      </c>
    </row>
    <row r="3744" spans="1:14" x14ac:dyDescent="0.25">
      <c r="A3744" s="1" t="s">
        <v>2864</v>
      </c>
      <c r="B3744" t="s">
        <v>2865</v>
      </c>
      <c r="C3744" s="1" t="s">
        <v>7</v>
      </c>
      <c r="D3744" s="1" t="s">
        <v>7</v>
      </c>
      <c r="E3744" s="1" t="s">
        <v>7</v>
      </c>
      <c r="F3744" t="s">
        <v>8</v>
      </c>
      <c r="G3744" t="s">
        <v>9</v>
      </c>
      <c r="H3744" t="s">
        <v>10</v>
      </c>
      <c r="I3744" t="s">
        <v>5522</v>
      </c>
      <c r="J3744">
        <v>117.95</v>
      </c>
      <c r="K3744" t="e">
        <f>IF(COUNTIF(#REF!,Tabela2[[#This Row],[IdxWspolny]])&gt;0,"ELEM_lub_PRD","TECHN")</f>
        <v>#REF!</v>
      </c>
      <c r="L3744" t="e">
        <f>IF(COUNTIF(#REF!,Tabela2[[#This Row],[KOD_PRODUKTU]])&gt;0,"ELEMENT","PRODUKT")</f>
        <v>#REF!</v>
      </c>
      <c r="M3744" t="e">
        <f>COUNTIF(#REF!,Tabela2[[#This Row],[KOD_PRODUKTU]])</f>
        <v>#REF!</v>
      </c>
    </row>
    <row r="3745" spans="1:14" x14ac:dyDescent="0.25">
      <c r="A3745" s="1" t="s">
        <v>2867</v>
      </c>
      <c r="B3745" t="s">
        <v>2868</v>
      </c>
      <c r="C3745" s="1" t="s">
        <v>5523</v>
      </c>
      <c r="D3745" s="1" t="s">
        <v>5523</v>
      </c>
      <c r="E3745" s="1" t="s">
        <v>5523</v>
      </c>
      <c r="F3745" t="s">
        <v>5524</v>
      </c>
      <c r="G3745" t="s">
        <v>2356</v>
      </c>
      <c r="H3745" t="s">
        <v>49</v>
      </c>
      <c r="I3745" t="s">
        <v>50</v>
      </c>
      <c r="J3745">
        <v>50</v>
      </c>
      <c r="K3745" t="e">
        <f>IF(COUNTIF(#REF!,Tabela2[[#This Row],[IdxWspolny]])&gt;0,"ELEM_lub_PRD","TECHN")</f>
        <v>#REF!</v>
      </c>
      <c r="L3745" t="e">
        <f>IF(COUNTIF(#REF!,Tabela2[[#This Row],[KOD_PRODUKTU]])&gt;0,"ELEMENT","PRODUKT")</f>
        <v>#REF!</v>
      </c>
      <c r="M3745" t="e">
        <f>COUNTIF(#REF!,Tabela2[[#This Row],[KOD_PRODUKTU]])</f>
        <v>#REF!</v>
      </c>
    </row>
    <row r="3746" spans="1:14" x14ac:dyDescent="0.25">
      <c r="A3746" s="1" t="s">
        <v>2867</v>
      </c>
      <c r="B3746" t="s">
        <v>2868</v>
      </c>
      <c r="C3746" s="1" t="s">
        <v>7</v>
      </c>
      <c r="D3746" s="1" t="s">
        <v>7</v>
      </c>
      <c r="E3746" s="1" t="s">
        <v>7</v>
      </c>
      <c r="F3746" t="s">
        <v>8</v>
      </c>
      <c r="G3746" t="s">
        <v>9</v>
      </c>
      <c r="H3746" t="s">
        <v>10</v>
      </c>
      <c r="I3746" t="s">
        <v>5525</v>
      </c>
      <c r="J3746">
        <v>8.26</v>
      </c>
      <c r="K3746" t="e">
        <f>IF(COUNTIF(#REF!,Tabela2[[#This Row],[IdxWspolny]])&gt;0,"ELEM_lub_PRD","TECHN")</f>
        <v>#REF!</v>
      </c>
      <c r="L3746" t="e">
        <f>IF(COUNTIF(#REF!,Tabela2[[#This Row],[KOD_PRODUKTU]])&gt;0,"ELEMENT","PRODUKT")</f>
        <v>#REF!</v>
      </c>
      <c r="M3746" t="e">
        <f>COUNTIF(#REF!,Tabela2[[#This Row],[KOD_PRODUKTU]])</f>
        <v>#REF!</v>
      </c>
    </row>
    <row r="3747" spans="1:14" x14ac:dyDescent="0.25">
      <c r="A3747" s="1" t="s">
        <v>2870</v>
      </c>
      <c r="B3747" t="s">
        <v>2871</v>
      </c>
      <c r="C3747" s="1" t="s">
        <v>5216</v>
      </c>
      <c r="D3747" s="1" t="s">
        <v>5216</v>
      </c>
      <c r="E3747" s="1" t="s">
        <v>5216</v>
      </c>
      <c r="F3747" t="s">
        <v>5217</v>
      </c>
      <c r="G3747" t="s">
        <v>1394</v>
      </c>
      <c r="H3747" t="s">
        <v>49</v>
      </c>
      <c r="I3747" t="s">
        <v>50</v>
      </c>
      <c r="J3747">
        <v>4</v>
      </c>
      <c r="K3747" t="e">
        <f>IF(COUNTIF(#REF!,Tabela2[[#This Row],[IdxWspolny]])&gt;0,"ELEM_lub_PRD","TECHN")</f>
        <v>#REF!</v>
      </c>
      <c r="L3747" t="e">
        <f>IF(COUNTIF(#REF!,Tabela2[[#This Row],[KOD_PRODUKTU]])&gt;0,"ELEMENT","PRODUKT")</f>
        <v>#REF!</v>
      </c>
      <c r="M3747" t="e">
        <f>COUNTIF(#REF!,Tabela2[[#This Row],[KOD_PRODUKTU]])</f>
        <v>#REF!</v>
      </c>
    </row>
    <row r="3748" spans="1:14" x14ac:dyDescent="0.25">
      <c r="A3748" s="1" t="s">
        <v>2870</v>
      </c>
      <c r="B3748" t="s">
        <v>2871</v>
      </c>
      <c r="C3748" s="1" t="s">
        <v>2762</v>
      </c>
      <c r="D3748" s="1" t="s">
        <v>2762</v>
      </c>
      <c r="E3748" s="1" t="s">
        <v>2762</v>
      </c>
      <c r="F3748" t="s">
        <v>2763</v>
      </c>
      <c r="G3748" t="s">
        <v>311</v>
      </c>
      <c r="H3748" t="s">
        <v>5</v>
      </c>
      <c r="I3748" t="s">
        <v>2764</v>
      </c>
      <c r="J3748">
        <v>18.850000000000001</v>
      </c>
      <c r="K3748" t="e">
        <f>IF(COUNTIF(#REF!,Tabela2[[#This Row],[IdxWspolny]])&gt;0,"ELEM_lub_PRD","TECHN")</f>
        <v>#REF!</v>
      </c>
      <c r="L3748" t="e">
        <f>IF(COUNTIF(#REF!,Tabela2[[#This Row],[KOD_PRODUKTU]])&gt;0,"ELEMENT","PRODUKT")</f>
        <v>#REF!</v>
      </c>
      <c r="M3748" t="e">
        <f>COUNTIF(#REF!,Tabela2[[#This Row],[KOD_PRODUKTU]])</f>
        <v>#REF!</v>
      </c>
    </row>
    <row r="3749" spans="1:14" x14ac:dyDescent="0.25">
      <c r="A3749" s="1" t="s">
        <v>2870</v>
      </c>
      <c r="B3749" t="s">
        <v>2871</v>
      </c>
      <c r="C3749" s="1" t="s">
        <v>3452</v>
      </c>
      <c r="D3749" s="1" t="s">
        <v>3452</v>
      </c>
      <c r="E3749" s="1" t="s">
        <v>3452</v>
      </c>
      <c r="F3749" t="s">
        <v>3453</v>
      </c>
      <c r="G3749" t="s">
        <v>1588</v>
      </c>
      <c r="H3749" t="s">
        <v>39</v>
      </c>
      <c r="I3749" t="s">
        <v>478</v>
      </c>
      <c r="J3749">
        <v>1.56</v>
      </c>
      <c r="K3749" t="e">
        <f>IF(COUNTIF(#REF!,Tabela2[[#This Row],[IdxWspolny]])&gt;0,"ELEM_lub_PRD","TECHN")</f>
        <v>#REF!</v>
      </c>
      <c r="L3749" t="e">
        <f>IF(COUNTIF(#REF!,Tabela2[[#This Row],[KOD_PRODUKTU]])&gt;0,"ELEMENT","PRODUKT")</f>
        <v>#REF!</v>
      </c>
      <c r="M3749" t="e">
        <f>COUNTIF(#REF!,Tabela2[[#This Row],[KOD_PRODUKTU]])</f>
        <v>#REF!</v>
      </c>
    </row>
    <row r="3750" spans="1:14" x14ac:dyDescent="0.25">
      <c r="A3750" s="1" t="s">
        <v>2870</v>
      </c>
      <c r="B3750" t="s">
        <v>2871</v>
      </c>
      <c r="C3750" s="1" t="s">
        <v>1974</v>
      </c>
      <c r="D3750" s="1" t="s">
        <v>1974</v>
      </c>
      <c r="E3750" s="1" t="s">
        <v>1974</v>
      </c>
      <c r="F3750" t="s">
        <v>1975</v>
      </c>
      <c r="G3750" t="s">
        <v>879</v>
      </c>
      <c r="H3750" t="s">
        <v>121</v>
      </c>
      <c r="I3750" t="s">
        <v>5526</v>
      </c>
      <c r="J3750">
        <v>0.67</v>
      </c>
      <c r="K3750" t="e">
        <f>IF(COUNTIF(#REF!,Tabela2[[#This Row],[IdxWspolny]])&gt;0,"ELEM_lub_PRD","TECHN")</f>
        <v>#REF!</v>
      </c>
      <c r="L3750" t="e">
        <f>IF(COUNTIF(#REF!,Tabela2[[#This Row],[KOD_PRODUKTU]])&gt;0,"ELEMENT","PRODUKT")</f>
        <v>#REF!</v>
      </c>
      <c r="M3750" t="e">
        <f>COUNTIF(#REF!,Tabela2[[#This Row],[KOD_PRODUKTU]])</f>
        <v>#REF!</v>
      </c>
    </row>
    <row r="3751" spans="1:14" x14ac:dyDescent="0.25">
      <c r="A3751" s="1" t="s">
        <v>2870</v>
      </c>
      <c r="B3751" t="s">
        <v>2871</v>
      </c>
      <c r="C3751" s="1" t="s">
        <v>41</v>
      </c>
      <c r="D3751" s="1" t="s">
        <v>41</v>
      </c>
      <c r="E3751" s="1" t="s">
        <v>41</v>
      </c>
      <c r="F3751" t="s">
        <v>42</v>
      </c>
      <c r="G3751" t="s">
        <v>513</v>
      </c>
      <c r="H3751" t="s">
        <v>5</v>
      </c>
      <c r="I3751" t="s">
        <v>4664</v>
      </c>
      <c r="J3751">
        <v>0.02</v>
      </c>
      <c r="K3751" t="e">
        <f>IF(COUNTIF(#REF!,Tabela2[[#This Row],[IdxWspolny]])&gt;0,"ELEM_lub_PRD","TECHN")</f>
        <v>#REF!</v>
      </c>
      <c r="L3751" t="e">
        <f>IF(COUNTIF(#REF!,Tabela2[[#This Row],[KOD_PRODUKTU]])&gt;0,"ELEMENT","PRODUKT")</f>
        <v>#REF!</v>
      </c>
      <c r="M3751" t="e">
        <f>COUNTIF(#REF!,Tabela2[[#This Row],[KOD_PRODUKTU]])</f>
        <v>#REF!</v>
      </c>
    </row>
    <row r="3752" spans="1:14" hidden="1" x14ac:dyDescent="0.25">
      <c r="A3752" s="1" t="s">
        <v>2870</v>
      </c>
      <c r="B3752" t="s">
        <v>2871</v>
      </c>
      <c r="C3752" s="1" t="s">
        <v>5527</v>
      </c>
      <c r="D3752" s="1" t="s">
        <v>5527</v>
      </c>
      <c r="E3752" s="1" t="s">
        <v>5527</v>
      </c>
      <c r="F3752" t="s">
        <v>5528</v>
      </c>
      <c r="G3752" t="s">
        <v>5529</v>
      </c>
      <c r="H3752" t="s">
        <v>49</v>
      </c>
      <c r="I3752" t="s">
        <v>50</v>
      </c>
      <c r="J3752">
        <v>47.33</v>
      </c>
      <c r="K3752" t="e">
        <f>IF(COUNTIF(#REF!,Tabela2[[#This Row],[IdxWspolny]])&gt;0,"ELEM_lub_PRD","TECHN")</f>
        <v>#REF!</v>
      </c>
      <c r="L3752" t="e">
        <f>IF(COUNTIF(#REF!,Tabela2[[#This Row],[KOD_PRODUKTU]])&gt;0,"ELEMENT","PRODUKT")</f>
        <v>#REF!</v>
      </c>
      <c r="M3752" t="e">
        <f>COUNTIF(#REF!,Tabela2[[#This Row],[KOD_PRODUKTU]])</f>
        <v>#REF!</v>
      </c>
      <c r="N3752" t="s">
        <v>55</v>
      </c>
    </row>
    <row r="3753" spans="1:14" hidden="1" x14ac:dyDescent="0.25">
      <c r="A3753" s="1" t="s">
        <v>2870</v>
      </c>
      <c r="B3753" t="s">
        <v>2871</v>
      </c>
      <c r="C3753" s="1" t="s">
        <v>5530</v>
      </c>
      <c r="D3753" s="1" t="s">
        <v>5530</v>
      </c>
      <c r="E3753" s="1" t="s">
        <v>5530</v>
      </c>
      <c r="F3753" t="s">
        <v>5531</v>
      </c>
      <c r="G3753" t="s">
        <v>5532</v>
      </c>
      <c r="H3753" t="s">
        <v>49</v>
      </c>
      <c r="I3753" t="s">
        <v>50</v>
      </c>
      <c r="J3753">
        <v>58.41</v>
      </c>
      <c r="K3753" t="e">
        <f>IF(COUNTIF(#REF!,Tabela2[[#This Row],[IdxWspolny]])&gt;0,"ELEM_lub_PRD","TECHN")</f>
        <v>#REF!</v>
      </c>
      <c r="L3753" t="e">
        <f>IF(COUNTIF(#REF!,Tabela2[[#This Row],[KOD_PRODUKTU]])&gt;0,"ELEMENT","PRODUKT")</f>
        <v>#REF!</v>
      </c>
      <c r="M3753" t="e">
        <f>COUNTIF(#REF!,Tabela2[[#This Row],[KOD_PRODUKTU]])</f>
        <v>#REF!</v>
      </c>
      <c r="N3753" t="s">
        <v>55</v>
      </c>
    </row>
    <row r="3754" spans="1:14" x14ac:dyDescent="0.25">
      <c r="A3754" s="1" t="s">
        <v>2870</v>
      </c>
      <c r="B3754" t="s">
        <v>2871</v>
      </c>
      <c r="C3754" s="1" t="s">
        <v>684</v>
      </c>
      <c r="D3754" s="1" t="s">
        <v>684</v>
      </c>
      <c r="E3754" s="1" t="s">
        <v>684</v>
      </c>
      <c r="F3754" t="s">
        <v>685</v>
      </c>
      <c r="G3754" t="s">
        <v>686</v>
      </c>
      <c r="H3754" t="s">
        <v>49</v>
      </c>
      <c r="I3754" t="s">
        <v>5218</v>
      </c>
      <c r="J3754">
        <v>4.3499999999999996</v>
      </c>
      <c r="K3754" t="e">
        <f>IF(COUNTIF(#REF!,Tabela2[[#This Row],[IdxWspolny]])&gt;0,"ELEM_lub_PRD","TECHN")</f>
        <v>#REF!</v>
      </c>
      <c r="L3754" t="e">
        <f>IF(COUNTIF(#REF!,Tabela2[[#This Row],[KOD_PRODUKTU]])&gt;0,"ELEMENT","PRODUKT")</f>
        <v>#REF!</v>
      </c>
      <c r="M3754" t="e">
        <f>COUNTIF(#REF!,Tabela2[[#This Row],[KOD_PRODUKTU]])</f>
        <v>#REF!</v>
      </c>
    </row>
    <row r="3755" spans="1:14" x14ac:dyDescent="0.25">
      <c r="A3755" s="1" t="s">
        <v>2870</v>
      </c>
      <c r="B3755" t="s">
        <v>2871</v>
      </c>
      <c r="C3755" s="1" t="s">
        <v>541</v>
      </c>
      <c r="D3755" s="1" t="s">
        <v>541</v>
      </c>
      <c r="E3755" s="1" t="s">
        <v>541</v>
      </c>
      <c r="F3755" t="s">
        <v>542</v>
      </c>
      <c r="G3755" t="s">
        <v>9</v>
      </c>
      <c r="H3755" t="s">
        <v>10</v>
      </c>
      <c r="I3755" t="s">
        <v>5533</v>
      </c>
      <c r="J3755">
        <v>17.46</v>
      </c>
      <c r="K3755" t="e">
        <f>IF(COUNTIF(#REF!,Tabela2[[#This Row],[IdxWspolny]])&gt;0,"ELEM_lub_PRD","TECHN")</f>
        <v>#REF!</v>
      </c>
      <c r="L3755" t="e">
        <f>IF(COUNTIF(#REF!,Tabela2[[#This Row],[KOD_PRODUKTU]])&gt;0,"ELEMENT","PRODUKT")</f>
        <v>#REF!</v>
      </c>
      <c r="M3755" t="e">
        <f>COUNTIF(#REF!,Tabela2[[#This Row],[KOD_PRODUKTU]])</f>
        <v>#REF!</v>
      </c>
    </row>
    <row r="3756" spans="1:14" x14ac:dyDescent="0.25">
      <c r="A3756" s="1" t="s">
        <v>5527</v>
      </c>
      <c r="B3756" t="s">
        <v>5528</v>
      </c>
      <c r="C3756" s="1" t="s">
        <v>5534</v>
      </c>
      <c r="D3756" s="1" t="s">
        <v>5534</v>
      </c>
      <c r="E3756" s="1" t="s">
        <v>5534</v>
      </c>
      <c r="F3756" t="s">
        <v>5535</v>
      </c>
      <c r="G3756" t="s">
        <v>5536</v>
      </c>
      <c r="H3756" t="s">
        <v>49</v>
      </c>
      <c r="I3756" t="s">
        <v>50</v>
      </c>
      <c r="J3756">
        <v>32</v>
      </c>
      <c r="K3756" t="e">
        <f>IF(COUNTIF(#REF!,Tabela2[[#This Row],[IdxWspolny]])&gt;0,"ELEM_lub_PRD","TECHN")</f>
        <v>#REF!</v>
      </c>
      <c r="L3756" t="e">
        <f>IF(COUNTIF(#REF!,Tabela2[[#This Row],[KOD_PRODUKTU]])&gt;0,"ELEMENT","PRODUKT")</f>
        <v>#REF!</v>
      </c>
      <c r="M3756" t="e">
        <f>COUNTIF(#REF!,Tabela2[[#This Row],[KOD_PRODUKTU]])</f>
        <v>#REF!</v>
      </c>
    </row>
    <row r="3757" spans="1:14" x14ac:dyDescent="0.25">
      <c r="A3757" s="1" t="s">
        <v>5527</v>
      </c>
      <c r="B3757" t="s">
        <v>5528</v>
      </c>
      <c r="C3757" s="1" t="s">
        <v>7</v>
      </c>
      <c r="D3757" s="1" t="s">
        <v>7</v>
      </c>
      <c r="E3757" s="1" t="s">
        <v>7</v>
      </c>
      <c r="F3757" t="s">
        <v>8</v>
      </c>
      <c r="G3757" t="s">
        <v>9</v>
      </c>
      <c r="H3757" t="s">
        <v>10</v>
      </c>
      <c r="I3757" t="s">
        <v>4087</v>
      </c>
      <c r="J3757">
        <v>15.33</v>
      </c>
      <c r="K3757" t="e">
        <f>IF(COUNTIF(#REF!,Tabela2[[#This Row],[IdxWspolny]])&gt;0,"ELEM_lub_PRD","TECHN")</f>
        <v>#REF!</v>
      </c>
      <c r="L3757" t="e">
        <f>IF(COUNTIF(#REF!,Tabela2[[#This Row],[KOD_PRODUKTU]])&gt;0,"ELEMENT","PRODUKT")</f>
        <v>#REF!</v>
      </c>
      <c r="M3757" t="e">
        <f>COUNTIF(#REF!,Tabela2[[#This Row],[KOD_PRODUKTU]])</f>
        <v>#REF!</v>
      </c>
    </row>
    <row r="3758" spans="1:14" x14ac:dyDescent="0.25">
      <c r="A3758" s="1" t="s">
        <v>5530</v>
      </c>
      <c r="B3758" t="s">
        <v>5531</v>
      </c>
      <c r="C3758" s="1" t="s">
        <v>5537</v>
      </c>
      <c r="D3758" s="1" t="s">
        <v>5537</v>
      </c>
      <c r="E3758" s="1" t="s">
        <v>5537</v>
      </c>
      <c r="F3758" t="s">
        <v>5538</v>
      </c>
      <c r="G3758" t="s">
        <v>3189</v>
      </c>
      <c r="H3758" t="s">
        <v>49</v>
      </c>
      <c r="I3758" t="s">
        <v>50</v>
      </c>
      <c r="J3758">
        <v>36</v>
      </c>
      <c r="K3758" t="e">
        <f>IF(COUNTIF(#REF!,Tabela2[[#This Row],[IdxWspolny]])&gt;0,"ELEM_lub_PRD","TECHN")</f>
        <v>#REF!</v>
      </c>
      <c r="L3758" t="e">
        <f>IF(COUNTIF(#REF!,Tabela2[[#This Row],[KOD_PRODUKTU]])&gt;0,"ELEMENT","PRODUKT")</f>
        <v>#REF!</v>
      </c>
      <c r="M3758" t="e">
        <f>COUNTIF(#REF!,Tabela2[[#This Row],[KOD_PRODUKTU]])</f>
        <v>#REF!</v>
      </c>
    </row>
    <row r="3759" spans="1:14" x14ac:dyDescent="0.25">
      <c r="A3759" s="1" t="s">
        <v>5530</v>
      </c>
      <c r="B3759" t="s">
        <v>5531</v>
      </c>
      <c r="C3759" s="1" t="s">
        <v>7</v>
      </c>
      <c r="D3759" s="1" t="s">
        <v>7</v>
      </c>
      <c r="E3759" s="1" t="s">
        <v>7</v>
      </c>
      <c r="F3759" t="s">
        <v>8</v>
      </c>
      <c r="G3759" t="s">
        <v>9</v>
      </c>
      <c r="H3759" t="s">
        <v>10</v>
      </c>
      <c r="I3759" t="s">
        <v>5539</v>
      </c>
      <c r="J3759">
        <v>22.41</v>
      </c>
      <c r="K3759" t="e">
        <f>IF(COUNTIF(#REF!,Tabela2[[#This Row],[IdxWspolny]])&gt;0,"ELEM_lub_PRD","TECHN")</f>
        <v>#REF!</v>
      </c>
      <c r="L3759" t="e">
        <f>IF(COUNTIF(#REF!,Tabela2[[#This Row],[KOD_PRODUKTU]])&gt;0,"ELEMENT","PRODUKT")</f>
        <v>#REF!</v>
      </c>
      <c r="M3759" t="e">
        <f>COUNTIF(#REF!,Tabela2[[#This Row],[KOD_PRODUKTU]])</f>
        <v>#REF!</v>
      </c>
    </row>
    <row r="3760" spans="1:14" x14ac:dyDescent="0.25">
      <c r="A3760" s="1" t="s">
        <v>2894</v>
      </c>
      <c r="B3760" t="s">
        <v>2895</v>
      </c>
      <c r="C3760" s="1" t="s">
        <v>5540</v>
      </c>
      <c r="D3760" s="1" t="s">
        <v>5540</v>
      </c>
      <c r="E3760" s="1" t="s">
        <v>5540</v>
      </c>
      <c r="F3760" t="s">
        <v>5541</v>
      </c>
      <c r="G3760" t="s">
        <v>3163</v>
      </c>
      <c r="H3760" t="s">
        <v>49</v>
      </c>
      <c r="I3760" t="s">
        <v>50</v>
      </c>
      <c r="J3760">
        <v>320</v>
      </c>
      <c r="K3760" t="e">
        <f>IF(COUNTIF(#REF!,Tabela2[[#This Row],[IdxWspolny]])&gt;0,"ELEM_lub_PRD","TECHN")</f>
        <v>#REF!</v>
      </c>
      <c r="L3760" t="e">
        <f>IF(COUNTIF(#REF!,Tabela2[[#This Row],[KOD_PRODUKTU]])&gt;0,"ELEMENT","PRODUKT")</f>
        <v>#REF!</v>
      </c>
      <c r="M3760" t="e">
        <f>COUNTIF(#REF!,Tabela2[[#This Row],[KOD_PRODUKTU]])</f>
        <v>#REF!</v>
      </c>
    </row>
    <row r="3761" spans="1:14" x14ac:dyDescent="0.25">
      <c r="A3761" s="1" t="s">
        <v>2894</v>
      </c>
      <c r="B3761" t="s">
        <v>2895</v>
      </c>
      <c r="C3761" s="1" t="s">
        <v>7</v>
      </c>
      <c r="D3761" s="1" t="s">
        <v>7</v>
      </c>
      <c r="E3761" s="1" t="s">
        <v>7</v>
      </c>
      <c r="F3761" t="s">
        <v>8</v>
      </c>
      <c r="G3761" t="s">
        <v>9</v>
      </c>
      <c r="H3761" t="s">
        <v>10</v>
      </c>
      <c r="I3761" t="s">
        <v>5542</v>
      </c>
      <c r="J3761">
        <v>94.36</v>
      </c>
      <c r="K3761" t="e">
        <f>IF(COUNTIF(#REF!,Tabela2[[#This Row],[IdxWspolny]])&gt;0,"ELEM_lub_PRD","TECHN")</f>
        <v>#REF!</v>
      </c>
      <c r="L3761" t="e">
        <f>IF(COUNTIF(#REF!,Tabela2[[#This Row],[KOD_PRODUKTU]])&gt;0,"ELEMENT","PRODUKT")</f>
        <v>#REF!</v>
      </c>
      <c r="M3761" t="e">
        <f>COUNTIF(#REF!,Tabela2[[#This Row],[KOD_PRODUKTU]])</f>
        <v>#REF!</v>
      </c>
    </row>
    <row r="3762" spans="1:14" x14ac:dyDescent="0.25">
      <c r="A3762" s="1" t="s">
        <v>2897</v>
      </c>
      <c r="B3762" t="s">
        <v>2898</v>
      </c>
      <c r="C3762" s="1" t="s">
        <v>5543</v>
      </c>
      <c r="D3762" s="1" t="s">
        <v>5543</v>
      </c>
      <c r="E3762" s="1" t="s">
        <v>5543</v>
      </c>
      <c r="F3762" t="s">
        <v>5544</v>
      </c>
      <c r="G3762" t="s">
        <v>3163</v>
      </c>
      <c r="H3762" t="s">
        <v>49</v>
      </c>
      <c r="I3762" t="s">
        <v>50</v>
      </c>
      <c r="J3762">
        <v>320</v>
      </c>
      <c r="K3762" t="e">
        <f>IF(COUNTIF(#REF!,Tabela2[[#This Row],[IdxWspolny]])&gt;0,"ELEM_lub_PRD","TECHN")</f>
        <v>#REF!</v>
      </c>
      <c r="L3762" t="e">
        <f>IF(COUNTIF(#REF!,Tabela2[[#This Row],[KOD_PRODUKTU]])&gt;0,"ELEMENT","PRODUKT")</f>
        <v>#REF!</v>
      </c>
      <c r="M3762" t="e">
        <f>COUNTIF(#REF!,Tabela2[[#This Row],[KOD_PRODUKTU]])</f>
        <v>#REF!</v>
      </c>
    </row>
    <row r="3763" spans="1:14" x14ac:dyDescent="0.25">
      <c r="A3763" s="1" t="s">
        <v>2897</v>
      </c>
      <c r="B3763" t="s">
        <v>2898</v>
      </c>
      <c r="C3763" s="1" t="s">
        <v>7</v>
      </c>
      <c r="D3763" s="1" t="s">
        <v>7</v>
      </c>
      <c r="E3763" s="1" t="s">
        <v>7</v>
      </c>
      <c r="F3763" t="s">
        <v>8</v>
      </c>
      <c r="G3763" t="s">
        <v>9</v>
      </c>
      <c r="H3763" t="s">
        <v>10</v>
      </c>
      <c r="I3763" t="s">
        <v>5545</v>
      </c>
      <c r="J3763">
        <v>82.56</v>
      </c>
      <c r="K3763" t="e">
        <f>IF(COUNTIF(#REF!,Tabela2[[#This Row],[IdxWspolny]])&gt;0,"ELEM_lub_PRD","TECHN")</f>
        <v>#REF!</v>
      </c>
      <c r="L3763" t="e">
        <f>IF(COUNTIF(#REF!,Tabela2[[#This Row],[KOD_PRODUKTU]])&gt;0,"ELEMENT","PRODUKT")</f>
        <v>#REF!</v>
      </c>
      <c r="M3763" t="e">
        <f>COUNTIF(#REF!,Tabela2[[#This Row],[KOD_PRODUKTU]])</f>
        <v>#REF!</v>
      </c>
    </row>
    <row r="3764" spans="1:14" x14ac:dyDescent="0.25">
      <c r="A3764" s="1" t="s">
        <v>2900</v>
      </c>
      <c r="B3764" t="s">
        <v>2901</v>
      </c>
      <c r="C3764" s="1" t="s">
        <v>5546</v>
      </c>
      <c r="D3764" s="1" t="s">
        <v>5546</v>
      </c>
      <c r="E3764" s="1" t="s">
        <v>5546</v>
      </c>
      <c r="F3764" t="s">
        <v>5547</v>
      </c>
      <c r="G3764" t="s">
        <v>5548</v>
      </c>
      <c r="H3764" t="s">
        <v>49</v>
      </c>
      <c r="I3764" t="s">
        <v>50</v>
      </c>
      <c r="J3764">
        <v>60</v>
      </c>
      <c r="K3764" t="e">
        <f>IF(COUNTIF(#REF!,Tabela2[[#This Row],[IdxWspolny]])&gt;0,"ELEM_lub_PRD","TECHN")</f>
        <v>#REF!</v>
      </c>
      <c r="L3764" t="e">
        <f>IF(COUNTIF(#REF!,Tabela2[[#This Row],[KOD_PRODUKTU]])&gt;0,"ELEMENT","PRODUKT")</f>
        <v>#REF!</v>
      </c>
      <c r="M3764" t="e">
        <f>COUNTIF(#REF!,Tabela2[[#This Row],[KOD_PRODUKTU]])</f>
        <v>#REF!</v>
      </c>
    </row>
    <row r="3765" spans="1:14" x14ac:dyDescent="0.25">
      <c r="A3765" s="1" t="s">
        <v>2900</v>
      </c>
      <c r="B3765" t="s">
        <v>2901</v>
      </c>
      <c r="C3765" s="1" t="s">
        <v>7</v>
      </c>
      <c r="D3765" s="1" t="s">
        <v>7</v>
      </c>
      <c r="E3765" s="1" t="s">
        <v>7</v>
      </c>
      <c r="F3765" t="s">
        <v>8</v>
      </c>
      <c r="G3765" t="s">
        <v>9</v>
      </c>
      <c r="H3765" t="s">
        <v>10</v>
      </c>
      <c r="I3765" t="s">
        <v>5549</v>
      </c>
      <c r="J3765">
        <v>9.44</v>
      </c>
      <c r="K3765" t="e">
        <f>IF(COUNTIF(#REF!,Tabela2[[#This Row],[IdxWspolny]])&gt;0,"ELEM_lub_PRD","TECHN")</f>
        <v>#REF!</v>
      </c>
      <c r="L3765" t="e">
        <f>IF(COUNTIF(#REF!,Tabela2[[#This Row],[KOD_PRODUKTU]])&gt;0,"ELEMENT","PRODUKT")</f>
        <v>#REF!</v>
      </c>
      <c r="M3765" t="e">
        <f>COUNTIF(#REF!,Tabela2[[#This Row],[KOD_PRODUKTU]])</f>
        <v>#REF!</v>
      </c>
    </row>
    <row r="3766" spans="1:14" x14ac:dyDescent="0.25">
      <c r="A3766" s="1" t="s">
        <v>2903</v>
      </c>
      <c r="B3766" t="s">
        <v>2904</v>
      </c>
      <c r="C3766" s="1" t="s">
        <v>5550</v>
      </c>
      <c r="D3766" s="1" t="s">
        <v>5550</v>
      </c>
      <c r="E3766" s="1" t="s">
        <v>5550</v>
      </c>
      <c r="F3766" t="s">
        <v>5551</v>
      </c>
      <c r="G3766" t="s">
        <v>5552</v>
      </c>
      <c r="H3766" t="s">
        <v>49</v>
      </c>
      <c r="I3766" t="s">
        <v>50</v>
      </c>
      <c r="J3766">
        <v>390</v>
      </c>
      <c r="K3766" t="e">
        <f>IF(COUNTIF(#REF!,Tabela2[[#This Row],[IdxWspolny]])&gt;0,"ELEM_lub_PRD","TECHN")</f>
        <v>#REF!</v>
      </c>
      <c r="L3766" t="e">
        <f>IF(COUNTIF(#REF!,Tabela2[[#This Row],[KOD_PRODUKTU]])&gt;0,"ELEMENT","PRODUKT")</f>
        <v>#REF!</v>
      </c>
      <c r="M3766" t="e">
        <f>COUNTIF(#REF!,Tabela2[[#This Row],[KOD_PRODUKTU]])</f>
        <v>#REF!</v>
      </c>
    </row>
    <row r="3767" spans="1:14" x14ac:dyDescent="0.25">
      <c r="A3767" s="1" t="s">
        <v>2903</v>
      </c>
      <c r="B3767" t="s">
        <v>2904</v>
      </c>
      <c r="C3767" s="1" t="s">
        <v>7</v>
      </c>
      <c r="D3767" s="1" t="s">
        <v>7</v>
      </c>
      <c r="E3767" s="1" t="s">
        <v>7</v>
      </c>
      <c r="F3767" t="s">
        <v>8</v>
      </c>
      <c r="G3767" t="s">
        <v>9</v>
      </c>
      <c r="H3767" t="s">
        <v>10</v>
      </c>
      <c r="I3767" t="s">
        <v>5553</v>
      </c>
      <c r="J3767">
        <v>100.26</v>
      </c>
      <c r="K3767" t="e">
        <f>IF(COUNTIF(#REF!,Tabela2[[#This Row],[IdxWspolny]])&gt;0,"ELEM_lub_PRD","TECHN")</f>
        <v>#REF!</v>
      </c>
      <c r="L3767" t="e">
        <f>IF(COUNTIF(#REF!,Tabela2[[#This Row],[KOD_PRODUKTU]])&gt;0,"ELEMENT","PRODUKT")</f>
        <v>#REF!</v>
      </c>
      <c r="M3767" t="e">
        <f>COUNTIF(#REF!,Tabela2[[#This Row],[KOD_PRODUKTU]])</f>
        <v>#REF!</v>
      </c>
    </row>
    <row r="3768" spans="1:14" x14ac:dyDescent="0.25">
      <c r="A3768" s="1" t="s">
        <v>2906</v>
      </c>
      <c r="B3768" t="s">
        <v>2907</v>
      </c>
      <c r="C3768" s="1" t="s">
        <v>5262</v>
      </c>
      <c r="D3768" s="1" t="s">
        <v>5262</v>
      </c>
      <c r="E3768" s="1" t="s">
        <v>5262</v>
      </c>
      <c r="F3768" t="s">
        <v>5263</v>
      </c>
      <c r="G3768" t="s">
        <v>5264</v>
      </c>
      <c r="H3768" t="s">
        <v>121</v>
      </c>
      <c r="I3768" t="s">
        <v>5265</v>
      </c>
      <c r="J3768">
        <v>3.5</v>
      </c>
      <c r="K3768" t="e">
        <f>IF(COUNTIF(#REF!,Tabela2[[#This Row],[IdxWspolny]])&gt;0,"ELEM_lub_PRD","TECHN")</f>
        <v>#REF!</v>
      </c>
      <c r="L3768" t="e">
        <f>IF(COUNTIF(#REF!,Tabela2[[#This Row],[KOD_PRODUKTU]])&gt;0,"ELEMENT","PRODUKT")</f>
        <v>#REF!</v>
      </c>
      <c r="M3768" t="e">
        <f>COUNTIF(#REF!,Tabela2[[#This Row],[KOD_PRODUKTU]])</f>
        <v>#REF!</v>
      </c>
    </row>
    <row r="3769" spans="1:14" x14ac:dyDescent="0.25">
      <c r="A3769" s="1" t="s">
        <v>2906</v>
      </c>
      <c r="B3769" t="s">
        <v>2907</v>
      </c>
      <c r="C3769" s="1" t="s">
        <v>5266</v>
      </c>
      <c r="D3769" s="1" t="s">
        <v>5266</v>
      </c>
      <c r="E3769" s="1" t="s">
        <v>5266</v>
      </c>
      <c r="F3769" t="s">
        <v>5267</v>
      </c>
      <c r="G3769" t="s">
        <v>311</v>
      </c>
      <c r="H3769" t="s">
        <v>5</v>
      </c>
      <c r="I3769" t="s">
        <v>5268</v>
      </c>
      <c r="J3769">
        <v>51.5</v>
      </c>
      <c r="K3769" t="e">
        <f>IF(COUNTIF(#REF!,Tabela2[[#This Row],[IdxWspolny]])&gt;0,"ELEM_lub_PRD","TECHN")</f>
        <v>#REF!</v>
      </c>
      <c r="L3769" t="e">
        <f>IF(COUNTIF(#REF!,Tabela2[[#This Row],[KOD_PRODUKTU]])&gt;0,"ELEMENT","PRODUKT")</f>
        <v>#REF!</v>
      </c>
      <c r="M3769" t="e">
        <f>COUNTIF(#REF!,Tabela2[[#This Row],[KOD_PRODUKTU]])</f>
        <v>#REF!</v>
      </c>
    </row>
    <row r="3770" spans="1:14" x14ac:dyDescent="0.25">
      <c r="A3770" s="1" t="s">
        <v>2906</v>
      </c>
      <c r="B3770" t="s">
        <v>2907</v>
      </c>
      <c r="C3770" s="1" t="s">
        <v>3452</v>
      </c>
      <c r="D3770" s="1" t="s">
        <v>3452</v>
      </c>
      <c r="E3770" s="1" t="s">
        <v>3452</v>
      </c>
      <c r="F3770" t="s">
        <v>3453</v>
      </c>
      <c r="G3770" t="s">
        <v>1588</v>
      </c>
      <c r="H3770" t="s">
        <v>39</v>
      </c>
      <c r="I3770" t="s">
        <v>25</v>
      </c>
      <c r="J3770">
        <v>1.17</v>
      </c>
      <c r="K3770" t="e">
        <f>IF(COUNTIF(#REF!,Tabela2[[#This Row],[IdxWspolny]])&gt;0,"ELEM_lub_PRD","TECHN")</f>
        <v>#REF!</v>
      </c>
      <c r="L3770" t="e">
        <f>IF(COUNTIF(#REF!,Tabela2[[#This Row],[KOD_PRODUKTU]])&gt;0,"ELEMENT","PRODUKT")</f>
        <v>#REF!</v>
      </c>
      <c r="M3770" t="e">
        <f>COUNTIF(#REF!,Tabela2[[#This Row],[KOD_PRODUKTU]])</f>
        <v>#REF!</v>
      </c>
    </row>
    <row r="3771" spans="1:14" x14ac:dyDescent="0.25">
      <c r="A3771" s="1" t="s">
        <v>2906</v>
      </c>
      <c r="B3771" t="s">
        <v>2907</v>
      </c>
      <c r="C3771" s="1" t="s">
        <v>2791</v>
      </c>
      <c r="D3771" s="1" t="s">
        <v>2791</v>
      </c>
      <c r="E3771" s="1" t="s">
        <v>2791</v>
      </c>
      <c r="F3771" t="s">
        <v>2792</v>
      </c>
      <c r="G3771" t="s">
        <v>2793</v>
      </c>
      <c r="H3771" t="s">
        <v>121</v>
      </c>
      <c r="I3771" t="s">
        <v>5269</v>
      </c>
      <c r="J3771">
        <v>3.05</v>
      </c>
      <c r="K3771" t="e">
        <f>IF(COUNTIF(#REF!,Tabela2[[#This Row],[IdxWspolny]])&gt;0,"ELEM_lub_PRD","TECHN")</f>
        <v>#REF!</v>
      </c>
      <c r="L3771" t="e">
        <f>IF(COUNTIF(#REF!,Tabela2[[#This Row],[KOD_PRODUKTU]])&gt;0,"ELEMENT","PRODUKT")</f>
        <v>#REF!</v>
      </c>
      <c r="M3771" t="e">
        <f>COUNTIF(#REF!,Tabela2[[#This Row],[KOD_PRODUKTU]])</f>
        <v>#REF!</v>
      </c>
    </row>
    <row r="3772" spans="1:14" hidden="1" x14ac:dyDescent="0.25">
      <c r="A3772" s="1" t="s">
        <v>2906</v>
      </c>
      <c r="B3772" t="s">
        <v>2907</v>
      </c>
      <c r="C3772" s="1" t="s">
        <v>5554</v>
      </c>
      <c r="D3772" s="1" t="s">
        <v>5554</v>
      </c>
      <c r="E3772" s="1" t="s">
        <v>5554</v>
      </c>
      <c r="F3772" t="s">
        <v>5555</v>
      </c>
      <c r="G3772" t="s">
        <v>5556</v>
      </c>
      <c r="H3772" t="s">
        <v>49</v>
      </c>
      <c r="I3772" t="s">
        <v>50</v>
      </c>
      <c r="J3772">
        <v>49.15</v>
      </c>
      <c r="K3772" t="e">
        <f>IF(COUNTIF(#REF!,Tabela2[[#This Row],[IdxWspolny]])&gt;0,"ELEM_lub_PRD","TECHN")</f>
        <v>#REF!</v>
      </c>
      <c r="L3772" t="e">
        <f>IF(COUNTIF(#REF!,Tabela2[[#This Row],[KOD_PRODUKTU]])&gt;0,"ELEMENT","PRODUKT")</f>
        <v>#REF!</v>
      </c>
      <c r="M3772" t="e">
        <f>COUNTIF(#REF!,Tabela2[[#This Row],[KOD_PRODUKTU]])</f>
        <v>#REF!</v>
      </c>
      <c r="N3772" t="s">
        <v>55</v>
      </c>
    </row>
    <row r="3773" spans="1:14" hidden="1" x14ac:dyDescent="0.25">
      <c r="A3773" s="1" t="s">
        <v>2906</v>
      </c>
      <c r="B3773" t="s">
        <v>2907</v>
      </c>
      <c r="C3773" s="1" t="s">
        <v>5557</v>
      </c>
      <c r="D3773" s="1" t="s">
        <v>5557</v>
      </c>
      <c r="E3773" s="1" t="s">
        <v>5557</v>
      </c>
      <c r="F3773" t="s">
        <v>5558</v>
      </c>
      <c r="G3773" t="s">
        <v>5559</v>
      </c>
      <c r="H3773" t="s">
        <v>49</v>
      </c>
      <c r="I3773" t="s">
        <v>50</v>
      </c>
      <c r="J3773">
        <v>46.15</v>
      </c>
      <c r="K3773" t="e">
        <f>IF(COUNTIF(#REF!,Tabela2[[#This Row],[IdxWspolny]])&gt;0,"ELEM_lub_PRD","TECHN")</f>
        <v>#REF!</v>
      </c>
      <c r="L3773" t="e">
        <f>IF(COUNTIF(#REF!,Tabela2[[#This Row],[KOD_PRODUKTU]])&gt;0,"ELEMENT","PRODUKT")</f>
        <v>#REF!</v>
      </c>
      <c r="M3773" t="e">
        <f>COUNTIF(#REF!,Tabela2[[#This Row],[KOD_PRODUKTU]])</f>
        <v>#REF!</v>
      </c>
      <c r="N3773" t="s">
        <v>55</v>
      </c>
    </row>
    <row r="3774" spans="1:14" x14ac:dyDescent="0.25">
      <c r="A3774" s="1" t="s">
        <v>2906</v>
      </c>
      <c r="B3774" t="s">
        <v>2907</v>
      </c>
      <c r="C3774" s="1" t="s">
        <v>857</v>
      </c>
      <c r="D3774" s="1" t="s">
        <v>857</v>
      </c>
      <c r="E3774" s="1" t="s">
        <v>857</v>
      </c>
      <c r="F3774" t="s">
        <v>858</v>
      </c>
      <c r="G3774" t="s">
        <v>686</v>
      </c>
      <c r="H3774" t="s">
        <v>49</v>
      </c>
      <c r="I3774" t="s">
        <v>5560</v>
      </c>
      <c r="J3774">
        <v>5.2</v>
      </c>
      <c r="K3774" t="e">
        <f>IF(COUNTIF(#REF!,Tabela2[[#This Row],[IdxWspolny]])&gt;0,"ELEM_lub_PRD","TECHN")</f>
        <v>#REF!</v>
      </c>
      <c r="L3774" t="e">
        <f>IF(COUNTIF(#REF!,Tabela2[[#This Row],[KOD_PRODUKTU]])&gt;0,"ELEMENT","PRODUKT")</f>
        <v>#REF!</v>
      </c>
      <c r="M3774" t="e">
        <f>COUNTIF(#REF!,Tabela2[[#This Row],[KOD_PRODUKTU]])</f>
        <v>#REF!</v>
      </c>
    </row>
    <row r="3775" spans="1:14" x14ac:dyDescent="0.25">
      <c r="A3775" s="1" t="s">
        <v>2906</v>
      </c>
      <c r="B3775" t="s">
        <v>2907</v>
      </c>
      <c r="C3775" s="1" t="s">
        <v>541</v>
      </c>
      <c r="D3775" s="1" t="s">
        <v>541</v>
      </c>
      <c r="E3775" s="1" t="s">
        <v>541</v>
      </c>
      <c r="F3775" t="s">
        <v>542</v>
      </c>
      <c r="G3775" t="s">
        <v>9</v>
      </c>
      <c r="H3775" t="s">
        <v>10</v>
      </c>
      <c r="I3775" t="s">
        <v>3642</v>
      </c>
      <c r="J3775">
        <v>32.200000000000003</v>
      </c>
      <c r="K3775" t="e">
        <f>IF(COUNTIF(#REF!,Tabela2[[#This Row],[IdxWspolny]])&gt;0,"ELEM_lub_PRD","TECHN")</f>
        <v>#REF!</v>
      </c>
      <c r="L3775" t="e">
        <f>IF(COUNTIF(#REF!,Tabela2[[#This Row],[KOD_PRODUKTU]])&gt;0,"ELEMENT","PRODUKT")</f>
        <v>#REF!</v>
      </c>
      <c r="M3775" t="e">
        <f>COUNTIF(#REF!,Tabela2[[#This Row],[KOD_PRODUKTU]])</f>
        <v>#REF!</v>
      </c>
    </row>
    <row r="3776" spans="1:14" x14ac:dyDescent="0.25">
      <c r="A3776" s="1" t="s">
        <v>5554</v>
      </c>
      <c r="B3776" t="s">
        <v>5555</v>
      </c>
      <c r="C3776" s="1" t="s">
        <v>5561</v>
      </c>
      <c r="D3776" s="1" t="s">
        <v>5561</v>
      </c>
      <c r="E3776" s="1" t="s">
        <v>5561</v>
      </c>
      <c r="F3776" t="s">
        <v>5562</v>
      </c>
      <c r="G3776" t="s">
        <v>3155</v>
      </c>
      <c r="H3776" t="s">
        <v>49</v>
      </c>
      <c r="I3776" t="s">
        <v>50</v>
      </c>
      <c r="J3776">
        <v>35</v>
      </c>
      <c r="K3776" t="e">
        <f>IF(COUNTIF(#REF!,Tabela2[[#This Row],[IdxWspolny]])&gt;0,"ELEM_lub_PRD","TECHN")</f>
        <v>#REF!</v>
      </c>
      <c r="L3776" t="e">
        <f>IF(COUNTIF(#REF!,Tabela2[[#This Row],[KOD_PRODUKTU]])&gt;0,"ELEMENT","PRODUKT")</f>
        <v>#REF!</v>
      </c>
      <c r="M3776" t="e">
        <f>COUNTIF(#REF!,Tabela2[[#This Row],[KOD_PRODUKTU]])</f>
        <v>#REF!</v>
      </c>
    </row>
    <row r="3777" spans="1:13" x14ac:dyDescent="0.25">
      <c r="A3777" s="1" t="s">
        <v>5554</v>
      </c>
      <c r="B3777" t="s">
        <v>5555</v>
      </c>
      <c r="C3777" s="1" t="s">
        <v>7</v>
      </c>
      <c r="D3777" s="1" t="s">
        <v>7</v>
      </c>
      <c r="E3777" s="1" t="s">
        <v>7</v>
      </c>
      <c r="F3777" t="s">
        <v>8</v>
      </c>
      <c r="G3777" t="s">
        <v>9</v>
      </c>
      <c r="H3777" t="s">
        <v>10</v>
      </c>
      <c r="I3777" t="s">
        <v>5563</v>
      </c>
      <c r="J3777">
        <v>14.15</v>
      </c>
      <c r="K3777" t="e">
        <f>IF(COUNTIF(#REF!,Tabela2[[#This Row],[IdxWspolny]])&gt;0,"ELEM_lub_PRD","TECHN")</f>
        <v>#REF!</v>
      </c>
      <c r="L3777" t="e">
        <f>IF(COUNTIF(#REF!,Tabela2[[#This Row],[KOD_PRODUKTU]])&gt;0,"ELEMENT","PRODUKT")</f>
        <v>#REF!</v>
      </c>
      <c r="M3777" t="e">
        <f>COUNTIF(#REF!,Tabela2[[#This Row],[KOD_PRODUKTU]])</f>
        <v>#REF!</v>
      </c>
    </row>
    <row r="3778" spans="1:13" x14ac:dyDescent="0.25">
      <c r="A3778" s="1" t="s">
        <v>5557</v>
      </c>
      <c r="B3778" t="s">
        <v>5558</v>
      </c>
      <c r="C3778" s="1" t="s">
        <v>5564</v>
      </c>
      <c r="D3778" s="1" t="s">
        <v>5564</v>
      </c>
      <c r="E3778" s="1" t="s">
        <v>5564</v>
      </c>
      <c r="F3778" t="s">
        <v>5565</v>
      </c>
      <c r="G3778" t="s">
        <v>5536</v>
      </c>
      <c r="H3778" t="s">
        <v>49</v>
      </c>
      <c r="I3778" t="s">
        <v>50</v>
      </c>
      <c r="J3778">
        <v>32</v>
      </c>
      <c r="K3778" t="e">
        <f>IF(COUNTIF(#REF!,Tabela2[[#This Row],[IdxWspolny]])&gt;0,"ELEM_lub_PRD","TECHN")</f>
        <v>#REF!</v>
      </c>
      <c r="L3778" t="e">
        <f>IF(COUNTIF(#REF!,Tabela2[[#This Row],[KOD_PRODUKTU]])&gt;0,"ELEMENT","PRODUKT")</f>
        <v>#REF!</v>
      </c>
      <c r="M3778" t="e">
        <f>COUNTIF(#REF!,Tabela2[[#This Row],[KOD_PRODUKTU]])</f>
        <v>#REF!</v>
      </c>
    </row>
    <row r="3779" spans="1:13" x14ac:dyDescent="0.25">
      <c r="A3779" s="1" t="s">
        <v>5557</v>
      </c>
      <c r="B3779" t="s">
        <v>5558</v>
      </c>
      <c r="C3779" s="1" t="s">
        <v>7</v>
      </c>
      <c r="D3779" s="1" t="s">
        <v>7</v>
      </c>
      <c r="E3779" s="1" t="s">
        <v>7</v>
      </c>
      <c r="F3779" t="s">
        <v>8</v>
      </c>
      <c r="G3779" t="s">
        <v>9</v>
      </c>
      <c r="H3779" t="s">
        <v>10</v>
      </c>
      <c r="I3779" t="s">
        <v>5563</v>
      </c>
      <c r="J3779">
        <v>14.15</v>
      </c>
      <c r="K3779" t="e">
        <f>IF(COUNTIF(#REF!,Tabela2[[#This Row],[IdxWspolny]])&gt;0,"ELEM_lub_PRD","TECHN")</f>
        <v>#REF!</v>
      </c>
      <c r="L3779" t="e">
        <f>IF(COUNTIF(#REF!,Tabela2[[#This Row],[KOD_PRODUKTU]])&gt;0,"ELEMENT","PRODUKT")</f>
        <v>#REF!</v>
      </c>
      <c r="M3779" t="e">
        <f>COUNTIF(#REF!,Tabela2[[#This Row],[KOD_PRODUKTU]])</f>
        <v>#REF!</v>
      </c>
    </row>
    <row r="3780" spans="1:13" x14ac:dyDescent="0.25">
      <c r="A3780" s="1" t="s">
        <v>2909</v>
      </c>
      <c r="B3780" t="s">
        <v>2910</v>
      </c>
      <c r="C3780" s="1" t="s">
        <v>1447</v>
      </c>
      <c r="D3780" s="1" t="s">
        <v>1447</v>
      </c>
      <c r="E3780" s="1" t="s">
        <v>1447</v>
      </c>
      <c r="F3780" t="s">
        <v>1448</v>
      </c>
      <c r="G3780" t="s">
        <v>779</v>
      </c>
      <c r="H3780" t="s">
        <v>5</v>
      </c>
      <c r="I3780" t="s">
        <v>5239</v>
      </c>
      <c r="J3780">
        <v>1.65</v>
      </c>
      <c r="K3780" t="e">
        <f>IF(COUNTIF(#REF!,Tabela2[[#This Row],[IdxWspolny]])&gt;0,"ELEM_lub_PRD","TECHN")</f>
        <v>#REF!</v>
      </c>
      <c r="L3780" t="e">
        <f>IF(COUNTIF(#REF!,Tabela2[[#This Row],[KOD_PRODUKTU]])&gt;0,"ELEMENT","PRODUKT")</f>
        <v>#REF!</v>
      </c>
      <c r="M3780" t="e">
        <f>COUNTIF(#REF!,Tabela2[[#This Row],[KOD_PRODUKTU]])</f>
        <v>#REF!</v>
      </c>
    </row>
    <row r="3781" spans="1:13" x14ac:dyDescent="0.25">
      <c r="A3781" s="1" t="s">
        <v>2909</v>
      </c>
      <c r="B3781" t="s">
        <v>2910</v>
      </c>
      <c r="C3781" s="1" t="s">
        <v>541</v>
      </c>
      <c r="D3781" s="1" t="s">
        <v>541</v>
      </c>
      <c r="E3781" s="1" t="s">
        <v>541</v>
      </c>
      <c r="F3781" t="s">
        <v>542</v>
      </c>
      <c r="G3781" t="s">
        <v>9</v>
      </c>
      <c r="H3781" t="s">
        <v>10</v>
      </c>
      <c r="I3781" t="s">
        <v>5240</v>
      </c>
      <c r="J3781">
        <v>4.29</v>
      </c>
      <c r="K3781" t="e">
        <f>IF(COUNTIF(#REF!,Tabela2[[#This Row],[IdxWspolny]])&gt;0,"ELEM_lub_PRD","TECHN")</f>
        <v>#REF!</v>
      </c>
      <c r="L3781" t="e">
        <f>IF(COUNTIF(#REF!,Tabela2[[#This Row],[KOD_PRODUKTU]])&gt;0,"ELEMENT","PRODUKT")</f>
        <v>#REF!</v>
      </c>
      <c r="M3781" t="e">
        <f>COUNTIF(#REF!,Tabela2[[#This Row],[KOD_PRODUKTU]])</f>
        <v>#REF!</v>
      </c>
    </row>
    <row r="3782" spans="1:13" x14ac:dyDescent="0.25">
      <c r="A3782" s="1" t="s">
        <v>5566</v>
      </c>
      <c r="B3782" t="s">
        <v>5567</v>
      </c>
      <c r="C3782" s="1" t="s">
        <v>1249</v>
      </c>
      <c r="D3782" s="1" t="s">
        <v>1249</v>
      </c>
      <c r="E3782" s="1" t="s">
        <v>1249</v>
      </c>
      <c r="F3782" t="s">
        <v>1250</v>
      </c>
      <c r="G3782" t="s">
        <v>1251</v>
      </c>
      <c r="H3782" t="s">
        <v>1252</v>
      </c>
      <c r="I3782" t="s">
        <v>5568</v>
      </c>
      <c r="J3782">
        <v>18</v>
      </c>
      <c r="K3782" t="e">
        <f>IF(COUNTIF(#REF!,Tabela2[[#This Row],[IdxWspolny]])&gt;0,"ELEM_lub_PRD","TECHN")</f>
        <v>#REF!</v>
      </c>
      <c r="L3782" t="e">
        <f>IF(COUNTIF(#REF!,Tabela2[[#This Row],[KOD_PRODUKTU]])&gt;0,"ELEMENT","PRODUKT")</f>
        <v>#REF!</v>
      </c>
      <c r="M3782" t="e">
        <f>COUNTIF(#REF!,Tabela2[[#This Row],[KOD_PRODUKTU]])</f>
        <v>#REF!</v>
      </c>
    </row>
    <row r="3783" spans="1:13" x14ac:dyDescent="0.25">
      <c r="A3783" s="1" t="s">
        <v>5566</v>
      </c>
      <c r="B3783" t="s">
        <v>5567</v>
      </c>
      <c r="C3783" s="1" t="s">
        <v>7</v>
      </c>
      <c r="D3783" s="1" t="s">
        <v>7</v>
      </c>
      <c r="E3783" s="1" t="s">
        <v>7</v>
      </c>
      <c r="F3783" t="s">
        <v>8</v>
      </c>
      <c r="G3783" t="s">
        <v>9</v>
      </c>
      <c r="H3783" t="s">
        <v>10</v>
      </c>
      <c r="I3783" t="s">
        <v>1275</v>
      </c>
      <c r="J3783">
        <v>18.09</v>
      </c>
      <c r="K3783" t="e">
        <f>IF(COUNTIF(#REF!,Tabela2[[#This Row],[IdxWspolny]])&gt;0,"ELEM_lub_PRD","TECHN")</f>
        <v>#REF!</v>
      </c>
      <c r="L3783" t="e">
        <f>IF(COUNTIF(#REF!,Tabela2[[#This Row],[KOD_PRODUKTU]])&gt;0,"ELEMENT","PRODUKT")</f>
        <v>#REF!</v>
      </c>
      <c r="M3783" t="e">
        <f>COUNTIF(#REF!,Tabela2[[#This Row],[KOD_PRODUKTU]])</f>
        <v>#REF!</v>
      </c>
    </row>
    <row r="3784" spans="1:13" x14ac:dyDescent="0.25">
      <c r="A3784" s="1" t="s">
        <v>5566</v>
      </c>
      <c r="B3784" t="s">
        <v>5567</v>
      </c>
      <c r="C3784" s="1" t="s">
        <v>7</v>
      </c>
      <c r="D3784" s="1" t="s">
        <v>7</v>
      </c>
      <c r="E3784" s="1" t="s">
        <v>7</v>
      </c>
      <c r="F3784" t="s">
        <v>8</v>
      </c>
      <c r="G3784" t="s">
        <v>9</v>
      </c>
      <c r="H3784" t="s">
        <v>10</v>
      </c>
      <c r="I3784" t="s">
        <v>33</v>
      </c>
      <c r="J3784">
        <v>9.1999999999999993</v>
      </c>
      <c r="K3784" t="e">
        <f>IF(COUNTIF(#REF!,Tabela2[[#This Row],[IdxWspolny]])&gt;0,"ELEM_lub_PRD","TECHN")</f>
        <v>#REF!</v>
      </c>
      <c r="L3784" t="e">
        <f>IF(COUNTIF(#REF!,Tabela2[[#This Row],[KOD_PRODUKTU]])&gt;0,"ELEMENT","PRODUKT")</f>
        <v>#REF!</v>
      </c>
      <c r="M3784" t="e">
        <f>COUNTIF(#REF!,Tabela2[[#This Row],[KOD_PRODUKTU]])</f>
        <v>#REF!</v>
      </c>
    </row>
    <row r="3785" spans="1:13" x14ac:dyDescent="0.25">
      <c r="A3785" s="1" t="s">
        <v>5569</v>
      </c>
      <c r="B3785" t="s">
        <v>5570</v>
      </c>
      <c r="C3785" s="1" t="s">
        <v>684</v>
      </c>
      <c r="D3785" s="1" t="s">
        <v>684</v>
      </c>
      <c r="E3785" s="1" t="s">
        <v>684</v>
      </c>
      <c r="F3785" t="s">
        <v>685</v>
      </c>
      <c r="G3785" t="s">
        <v>686</v>
      </c>
      <c r="H3785" t="s">
        <v>49</v>
      </c>
      <c r="I3785" t="s">
        <v>5571</v>
      </c>
      <c r="J3785">
        <v>8.76</v>
      </c>
      <c r="K3785" t="e">
        <f>IF(COUNTIF(#REF!,Tabela2[[#This Row],[IdxWspolny]])&gt;0,"ELEM_lub_PRD","TECHN")</f>
        <v>#REF!</v>
      </c>
      <c r="L3785" t="e">
        <f>IF(COUNTIF(#REF!,Tabela2[[#This Row],[KOD_PRODUKTU]])&gt;0,"ELEMENT","PRODUKT")</f>
        <v>#REF!</v>
      </c>
      <c r="M3785" t="e">
        <f>COUNTIF(#REF!,Tabela2[[#This Row],[KOD_PRODUKTU]])</f>
        <v>#REF!</v>
      </c>
    </row>
    <row r="3786" spans="1:13" x14ac:dyDescent="0.25">
      <c r="A3786" s="1" t="s">
        <v>5569</v>
      </c>
      <c r="B3786" t="s">
        <v>5570</v>
      </c>
      <c r="C3786" s="1" t="s">
        <v>7</v>
      </c>
      <c r="D3786" s="1" t="s">
        <v>7</v>
      </c>
      <c r="E3786" s="1" t="s">
        <v>7</v>
      </c>
      <c r="F3786" t="s">
        <v>8</v>
      </c>
      <c r="G3786" t="s">
        <v>9</v>
      </c>
      <c r="H3786" t="s">
        <v>10</v>
      </c>
      <c r="I3786" t="s">
        <v>3047</v>
      </c>
      <c r="J3786">
        <v>4.83</v>
      </c>
      <c r="K3786" t="e">
        <f>IF(COUNTIF(#REF!,Tabela2[[#This Row],[IdxWspolny]])&gt;0,"ELEM_lub_PRD","TECHN")</f>
        <v>#REF!</v>
      </c>
      <c r="L3786" t="e">
        <f>IF(COUNTIF(#REF!,Tabela2[[#This Row],[KOD_PRODUKTU]])&gt;0,"ELEMENT","PRODUKT")</f>
        <v>#REF!</v>
      </c>
      <c r="M3786" t="e">
        <f>COUNTIF(#REF!,Tabela2[[#This Row],[KOD_PRODUKTU]])</f>
        <v>#REF!</v>
      </c>
    </row>
    <row r="3787" spans="1:13" x14ac:dyDescent="0.25">
      <c r="A3787" s="1" t="s">
        <v>5572</v>
      </c>
      <c r="B3787" t="s">
        <v>5573</v>
      </c>
      <c r="C3787" s="1" t="s">
        <v>5574</v>
      </c>
      <c r="D3787" s="1" t="s">
        <v>5574</v>
      </c>
      <c r="E3787" s="1" t="s">
        <v>5574</v>
      </c>
      <c r="F3787" t="s">
        <v>5575</v>
      </c>
      <c r="G3787" t="s">
        <v>5576</v>
      </c>
      <c r="H3787" t="s">
        <v>121</v>
      </c>
      <c r="I3787" t="s">
        <v>25</v>
      </c>
      <c r="J3787">
        <v>0.34</v>
      </c>
      <c r="K3787" t="e">
        <f>IF(COUNTIF(#REF!,Tabela2[[#This Row],[IdxWspolny]])&gt;0,"ELEM_lub_PRD","TECHN")</f>
        <v>#REF!</v>
      </c>
      <c r="L3787" t="e">
        <f>IF(COUNTIF(#REF!,Tabela2[[#This Row],[KOD_PRODUKTU]])&gt;0,"ELEMENT","PRODUKT")</f>
        <v>#REF!</v>
      </c>
      <c r="M3787" t="e">
        <f>COUNTIF(#REF!,Tabela2[[#This Row],[KOD_PRODUKTU]])</f>
        <v>#REF!</v>
      </c>
    </row>
    <row r="3788" spans="1:13" x14ac:dyDescent="0.25">
      <c r="A3788" s="1" t="s">
        <v>5572</v>
      </c>
      <c r="B3788" t="s">
        <v>5573</v>
      </c>
      <c r="C3788" s="1" t="s">
        <v>541</v>
      </c>
      <c r="D3788" s="1" t="s">
        <v>541</v>
      </c>
      <c r="E3788" s="1" t="s">
        <v>541</v>
      </c>
      <c r="F3788" t="s">
        <v>542</v>
      </c>
      <c r="G3788" t="s">
        <v>9</v>
      </c>
      <c r="H3788" t="s">
        <v>10</v>
      </c>
      <c r="I3788" t="s">
        <v>1119</v>
      </c>
      <c r="J3788">
        <v>2.0699999999999998</v>
      </c>
      <c r="K3788" t="e">
        <f>IF(COUNTIF(#REF!,Tabela2[[#This Row],[IdxWspolny]])&gt;0,"ELEM_lub_PRD","TECHN")</f>
        <v>#REF!</v>
      </c>
      <c r="L3788" t="e">
        <f>IF(COUNTIF(#REF!,Tabela2[[#This Row],[KOD_PRODUKTU]])&gt;0,"ELEMENT","PRODUKT")</f>
        <v>#REF!</v>
      </c>
      <c r="M3788" t="e">
        <f>COUNTIF(#REF!,Tabela2[[#This Row],[KOD_PRODUKTU]])</f>
        <v>#REF!</v>
      </c>
    </row>
    <row r="3789" spans="1:13" x14ac:dyDescent="0.25">
      <c r="A3789" s="1" t="s">
        <v>5577</v>
      </c>
      <c r="B3789" t="s">
        <v>5578</v>
      </c>
      <c r="C3789" s="1" t="s">
        <v>5574</v>
      </c>
      <c r="D3789" s="1" t="s">
        <v>5574</v>
      </c>
      <c r="E3789" s="1" t="s">
        <v>5574</v>
      </c>
      <c r="F3789" t="s">
        <v>5575</v>
      </c>
      <c r="G3789" t="s">
        <v>5576</v>
      </c>
      <c r="H3789" t="s">
        <v>121</v>
      </c>
      <c r="I3789" t="s">
        <v>25</v>
      </c>
      <c r="J3789">
        <v>0.34</v>
      </c>
      <c r="K3789" t="e">
        <f>IF(COUNTIF(#REF!,Tabela2[[#This Row],[IdxWspolny]])&gt;0,"ELEM_lub_PRD","TECHN")</f>
        <v>#REF!</v>
      </c>
      <c r="L3789" t="e">
        <f>IF(COUNTIF(#REF!,Tabela2[[#This Row],[KOD_PRODUKTU]])&gt;0,"ELEMENT","PRODUKT")</f>
        <v>#REF!</v>
      </c>
      <c r="M3789" t="e">
        <f>COUNTIF(#REF!,Tabela2[[#This Row],[KOD_PRODUKTU]])</f>
        <v>#REF!</v>
      </c>
    </row>
    <row r="3790" spans="1:13" x14ac:dyDescent="0.25">
      <c r="A3790" s="1" t="s">
        <v>5577</v>
      </c>
      <c r="B3790" t="s">
        <v>5578</v>
      </c>
      <c r="C3790" s="1" t="s">
        <v>541</v>
      </c>
      <c r="D3790" s="1" t="s">
        <v>541</v>
      </c>
      <c r="E3790" s="1" t="s">
        <v>541</v>
      </c>
      <c r="F3790" t="s">
        <v>542</v>
      </c>
      <c r="G3790" t="s">
        <v>9</v>
      </c>
      <c r="H3790" t="s">
        <v>10</v>
      </c>
      <c r="I3790" t="s">
        <v>1119</v>
      </c>
      <c r="J3790">
        <v>2.0699999999999998</v>
      </c>
      <c r="K3790" t="e">
        <f>IF(COUNTIF(#REF!,Tabela2[[#This Row],[IdxWspolny]])&gt;0,"ELEM_lub_PRD","TECHN")</f>
        <v>#REF!</v>
      </c>
      <c r="L3790" t="e">
        <f>IF(COUNTIF(#REF!,Tabela2[[#This Row],[KOD_PRODUKTU]])&gt;0,"ELEMENT","PRODUKT")</f>
        <v>#REF!</v>
      </c>
      <c r="M3790" t="e">
        <f>COUNTIF(#REF!,Tabela2[[#This Row],[KOD_PRODUKTU]])</f>
        <v>#REF!</v>
      </c>
    </row>
    <row r="3791" spans="1:13" x14ac:dyDescent="0.25">
      <c r="A3791" s="1" t="s">
        <v>5579</v>
      </c>
      <c r="B3791" t="s">
        <v>5580</v>
      </c>
      <c r="C3791" s="1" t="s">
        <v>1813</v>
      </c>
      <c r="D3791" s="1" t="s">
        <v>1813</v>
      </c>
      <c r="E3791" s="1" t="s">
        <v>1813</v>
      </c>
      <c r="F3791" t="s">
        <v>1814</v>
      </c>
      <c r="G3791" t="s">
        <v>1101</v>
      </c>
      <c r="H3791" t="s">
        <v>5</v>
      </c>
      <c r="I3791" t="s">
        <v>5581</v>
      </c>
      <c r="J3791">
        <v>0.5</v>
      </c>
      <c r="K3791" t="e">
        <f>IF(COUNTIF(#REF!,Tabela2[[#This Row],[IdxWspolny]])&gt;0,"ELEM_lub_PRD","TECHN")</f>
        <v>#REF!</v>
      </c>
      <c r="L3791" t="e">
        <f>IF(COUNTIF(#REF!,Tabela2[[#This Row],[KOD_PRODUKTU]])&gt;0,"ELEMENT","PRODUKT")</f>
        <v>#REF!</v>
      </c>
      <c r="M3791" t="e">
        <f>COUNTIF(#REF!,Tabela2[[#This Row],[KOD_PRODUKTU]])</f>
        <v>#REF!</v>
      </c>
    </row>
    <row r="3792" spans="1:13" x14ac:dyDescent="0.25">
      <c r="A3792" s="1" t="s">
        <v>5579</v>
      </c>
      <c r="B3792" t="s">
        <v>5580</v>
      </c>
      <c r="C3792" s="1" t="s">
        <v>432</v>
      </c>
      <c r="D3792" s="1" t="s">
        <v>432</v>
      </c>
      <c r="E3792" s="1" t="s">
        <v>432</v>
      </c>
      <c r="F3792" t="s">
        <v>433</v>
      </c>
      <c r="G3792" t="s">
        <v>434</v>
      </c>
      <c r="H3792" t="s">
        <v>435</v>
      </c>
      <c r="I3792" t="s">
        <v>50</v>
      </c>
      <c r="J3792">
        <v>1.1000000000000001</v>
      </c>
      <c r="K3792" t="e">
        <f>IF(COUNTIF(#REF!,Tabela2[[#This Row],[IdxWspolny]])&gt;0,"ELEM_lub_PRD","TECHN")</f>
        <v>#REF!</v>
      </c>
      <c r="L3792" t="e">
        <f>IF(COUNTIF(#REF!,Tabela2[[#This Row],[KOD_PRODUKTU]])&gt;0,"ELEMENT","PRODUKT")</f>
        <v>#REF!</v>
      </c>
      <c r="M3792" t="e">
        <f>COUNTIF(#REF!,Tabela2[[#This Row],[KOD_PRODUKTU]])</f>
        <v>#REF!</v>
      </c>
    </row>
    <row r="3793" spans="1:13" x14ac:dyDescent="0.25">
      <c r="A3793" s="1" t="s">
        <v>5579</v>
      </c>
      <c r="B3793" t="s">
        <v>5580</v>
      </c>
      <c r="C3793" s="1" t="s">
        <v>7</v>
      </c>
      <c r="D3793" s="1" t="s">
        <v>7</v>
      </c>
      <c r="E3793" s="1" t="s">
        <v>7</v>
      </c>
      <c r="F3793" t="s">
        <v>8</v>
      </c>
      <c r="G3793" t="s">
        <v>9</v>
      </c>
      <c r="H3793" t="s">
        <v>10</v>
      </c>
      <c r="I3793" t="s">
        <v>5582</v>
      </c>
      <c r="J3793">
        <v>4.04</v>
      </c>
      <c r="K3793" t="e">
        <f>IF(COUNTIF(#REF!,Tabela2[[#This Row],[IdxWspolny]])&gt;0,"ELEM_lub_PRD","TECHN")</f>
        <v>#REF!</v>
      </c>
      <c r="L3793" t="e">
        <f>IF(COUNTIF(#REF!,Tabela2[[#This Row],[KOD_PRODUKTU]])&gt;0,"ELEMENT","PRODUKT")</f>
        <v>#REF!</v>
      </c>
      <c r="M3793" t="e">
        <f>COUNTIF(#REF!,Tabela2[[#This Row],[KOD_PRODUKTU]])</f>
        <v>#REF!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11C7-0CCF-4808-910E-6C599631775A}">
  <dimension ref="A1:C265"/>
  <sheetViews>
    <sheetView workbookViewId="0">
      <selection activeCell="B6" sqref="B6"/>
    </sheetView>
  </sheetViews>
  <sheetFormatPr defaultRowHeight="15" x14ac:dyDescent="0.25"/>
  <cols>
    <col min="1" max="1" width="13.42578125" bestFit="1" customWidth="1"/>
    <col min="2" max="2" width="75.7109375" bestFit="1" customWidth="1"/>
    <col min="3" max="3" width="10.42578125" bestFit="1" customWidth="1"/>
    <col min="4" max="4" width="75.7109375" bestFit="1" customWidth="1"/>
    <col min="5" max="5" width="10.42578125" bestFit="1" customWidth="1"/>
  </cols>
  <sheetData>
    <row r="1" spans="1:3" x14ac:dyDescent="0.25">
      <c r="A1" t="s">
        <v>5609</v>
      </c>
      <c r="B1" t="s">
        <v>5595</v>
      </c>
      <c r="C1" t="s">
        <v>5613</v>
      </c>
    </row>
    <row r="2" spans="1:3" x14ac:dyDescent="0.25">
      <c r="A2" t="s">
        <v>309</v>
      </c>
      <c r="B2" t="s">
        <v>310</v>
      </c>
      <c r="C2">
        <v>13</v>
      </c>
    </row>
    <row r="3" spans="1:3" x14ac:dyDescent="0.25">
      <c r="A3" t="s">
        <v>455</v>
      </c>
      <c r="B3" t="s">
        <v>456</v>
      </c>
      <c r="C3">
        <v>6.1</v>
      </c>
    </row>
    <row r="4" spans="1:3" x14ac:dyDescent="0.25">
      <c r="A4" t="s">
        <v>106</v>
      </c>
      <c r="B4" t="s">
        <v>107</v>
      </c>
      <c r="C4">
        <v>4.2</v>
      </c>
    </row>
    <row r="5" spans="1:3" x14ac:dyDescent="0.25">
      <c r="A5" t="s">
        <v>1121</v>
      </c>
      <c r="B5" t="s">
        <v>1122</v>
      </c>
      <c r="C5">
        <v>12.4</v>
      </c>
    </row>
    <row r="6" spans="1:3" x14ac:dyDescent="0.25">
      <c r="A6" t="s">
        <v>1126</v>
      </c>
      <c r="B6" t="s">
        <v>1127</v>
      </c>
      <c r="C6">
        <v>27.9</v>
      </c>
    </row>
    <row r="7" spans="1:3" x14ac:dyDescent="0.25">
      <c r="A7" t="s">
        <v>229</v>
      </c>
      <c r="B7" t="s">
        <v>230</v>
      </c>
      <c r="C7">
        <v>5.25</v>
      </c>
    </row>
    <row r="8" spans="1:3" x14ac:dyDescent="0.25">
      <c r="A8" t="s">
        <v>233</v>
      </c>
      <c r="B8" t="s">
        <v>234</v>
      </c>
      <c r="C8">
        <v>8.4500000000000011</v>
      </c>
    </row>
    <row r="9" spans="1:3" x14ac:dyDescent="0.25">
      <c r="A9" t="s">
        <v>1226</v>
      </c>
      <c r="B9" t="s">
        <v>1227</v>
      </c>
      <c r="C9">
        <v>12.05</v>
      </c>
    </row>
    <row r="10" spans="1:3" x14ac:dyDescent="0.25">
      <c r="A10" t="s">
        <v>382</v>
      </c>
      <c r="B10" t="s">
        <v>383</v>
      </c>
      <c r="C10">
        <v>10.899999999999999</v>
      </c>
    </row>
    <row r="11" spans="1:3" x14ac:dyDescent="0.25">
      <c r="A11" t="s">
        <v>1259</v>
      </c>
      <c r="B11" t="s">
        <v>1308</v>
      </c>
      <c r="C11">
        <v>81.2</v>
      </c>
    </row>
    <row r="12" spans="1:3" x14ac:dyDescent="0.25">
      <c r="A12" t="s">
        <v>102</v>
      </c>
      <c r="B12" t="s">
        <v>103</v>
      </c>
      <c r="C12">
        <v>3.5</v>
      </c>
    </row>
    <row r="13" spans="1:3" x14ac:dyDescent="0.25">
      <c r="A13" t="s">
        <v>265</v>
      </c>
      <c r="B13" t="s">
        <v>266</v>
      </c>
      <c r="C13">
        <v>6.3</v>
      </c>
    </row>
    <row r="14" spans="1:3" x14ac:dyDescent="0.25">
      <c r="A14" t="s">
        <v>1372</v>
      </c>
      <c r="B14" t="s">
        <v>1373</v>
      </c>
      <c r="C14">
        <v>104.35</v>
      </c>
    </row>
    <row r="15" spans="1:3" x14ac:dyDescent="0.25">
      <c r="A15" t="s">
        <v>352</v>
      </c>
      <c r="B15" t="s">
        <v>353</v>
      </c>
      <c r="C15">
        <v>23.5</v>
      </c>
    </row>
    <row r="16" spans="1:3" x14ac:dyDescent="0.25">
      <c r="A16" t="s">
        <v>348</v>
      </c>
      <c r="B16" t="s">
        <v>349</v>
      </c>
      <c r="C16">
        <v>14.95</v>
      </c>
    </row>
    <row r="17" spans="1:3" x14ac:dyDescent="0.25">
      <c r="A17" t="s">
        <v>85</v>
      </c>
      <c r="B17" t="s">
        <v>86</v>
      </c>
      <c r="C17">
        <v>8.8999999999999986</v>
      </c>
    </row>
    <row r="18" spans="1:3" x14ac:dyDescent="0.25">
      <c r="A18" t="s">
        <v>946</v>
      </c>
      <c r="B18" t="s">
        <v>947</v>
      </c>
      <c r="C18">
        <v>252</v>
      </c>
    </row>
    <row r="19" spans="1:3" x14ac:dyDescent="0.25">
      <c r="A19" t="s">
        <v>942</v>
      </c>
      <c r="B19" t="s">
        <v>943</v>
      </c>
      <c r="C19">
        <v>262.7</v>
      </c>
    </row>
    <row r="20" spans="1:3" x14ac:dyDescent="0.25">
      <c r="A20" t="s">
        <v>1734</v>
      </c>
      <c r="B20" t="s">
        <v>1735</v>
      </c>
      <c r="C20">
        <v>6.2</v>
      </c>
    </row>
    <row r="21" spans="1:3" x14ac:dyDescent="0.25">
      <c r="A21" t="s">
        <v>94</v>
      </c>
      <c r="B21" t="s">
        <v>95</v>
      </c>
      <c r="C21">
        <v>4.45</v>
      </c>
    </row>
    <row r="22" spans="1:3" x14ac:dyDescent="0.25">
      <c r="A22" t="s">
        <v>98</v>
      </c>
      <c r="B22" t="s">
        <v>99</v>
      </c>
      <c r="C22">
        <v>3.6500000000000004</v>
      </c>
    </row>
    <row r="23" spans="1:3" x14ac:dyDescent="0.25">
      <c r="A23" t="s">
        <v>314</v>
      </c>
      <c r="B23" t="s">
        <v>315</v>
      </c>
      <c r="C23">
        <v>6.35</v>
      </c>
    </row>
    <row r="24" spans="1:3" x14ac:dyDescent="0.25">
      <c r="A24" t="s">
        <v>221</v>
      </c>
      <c r="B24" t="s">
        <v>222</v>
      </c>
      <c r="C24">
        <v>2.9000000000000004</v>
      </c>
    </row>
    <row r="25" spans="1:3" x14ac:dyDescent="0.25">
      <c r="A25" t="s">
        <v>89</v>
      </c>
      <c r="B25" t="s">
        <v>90</v>
      </c>
      <c r="C25">
        <v>5.2</v>
      </c>
    </row>
    <row r="26" spans="1:3" x14ac:dyDescent="0.25">
      <c r="A26" t="s">
        <v>451</v>
      </c>
      <c r="B26" t="s">
        <v>452</v>
      </c>
      <c r="C26">
        <v>16.899999999999999</v>
      </c>
    </row>
    <row r="27" spans="1:3" x14ac:dyDescent="0.25">
      <c r="A27" t="s">
        <v>46</v>
      </c>
      <c r="B27" t="s">
        <v>47</v>
      </c>
      <c r="C27">
        <v>11.899999999999999</v>
      </c>
    </row>
    <row r="28" spans="1:3" x14ac:dyDescent="0.25">
      <c r="A28" t="s">
        <v>954</v>
      </c>
      <c r="B28" t="s">
        <v>955</v>
      </c>
      <c r="C28">
        <v>2.8499999999999996</v>
      </c>
    </row>
    <row r="29" spans="1:3" x14ac:dyDescent="0.25">
      <c r="A29" t="s">
        <v>958</v>
      </c>
      <c r="B29" t="s">
        <v>959</v>
      </c>
      <c r="C29">
        <v>3.85</v>
      </c>
    </row>
    <row r="30" spans="1:3" x14ac:dyDescent="0.25">
      <c r="A30" t="s">
        <v>2465</v>
      </c>
      <c r="B30" t="s">
        <v>2466</v>
      </c>
      <c r="C30">
        <v>20.399999999999999</v>
      </c>
    </row>
    <row r="31" spans="1:3" x14ac:dyDescent="0.25">
      <c r="A31" t="s">
        <v>2507</v>
      </c>
      <c r="B31" t="s">
        <v>2508</v>
      </c>
      <c r="C31">
        <v>22.549999999999997</v>
      </c>
    </row>
    <row r="32" spans="1:3" x14ac:dyDescent="0.25">
      <c r="A32" t="s">
        <v>2060</v>
      </c>
      <c r="B32" t="s">
        <v>2061</v>
      </c>
      <c r="C32">
        <v>17.150000000000002</v>
      </c>
    </row>
    <row r="33" spans="1:3" x14ac:dyDescent="0.25">
      <c r="A33" t="s">
        <v>2064</v>
      </c>
      <c r="B33" t="s">
        <v>2065</v>
      </c>
      <c r="C33">
        <v>12.45</v>
      </c>
    </row>
    <row r="34" spans="1:3" x14ac:dyDescent="0.25">
      <c r="A34" t="s">
        <v>2052</v>
      </c>
      <c r="B34" t="s">
        <v>2053</v>
      </c>
      <c r="C34">
        <v>19.549999999999997</v>
      </c>
    </row>
    <row r="35" spans="1:3" x14ac:dyDescent="0.25">
      <c r="A35" t="s">
        <v>2056</v>
      </c>
      <c r="B35" t="s">
        <v>2057</v>
      </c>
      <c r="C35">
        <v>4.3499999999999996</v>
      </c>
    </row>
    <row r="36" spans="1:3" x14ac:dyDescent="0.25">
      <c r="A36" t="s">
        <v>950</v>
      </c>
      <c r="B36" t="s">
        <v>951</v>
      </c>
      <c r="C36">
        <v>29.700000000000003</v>
      </c>
    </row>
    <row r="37" spans="1:3" x14ac:dyDescent="0.25">
      <c r="A37" t="s">
        <v>2553</v>
      </c>
      <c r="B37" t="s">
        <v>2554</v>
      </c>
      <c r="C37">
        <v>2247.61</v>
      </c>
    </row>
    <row r="38" spans="1:3" x14ac:dyDescent="0.25">
      <c r="A38" t="s">
        <v>2564</v>
      </c>
      <c r="B38" t="s">
        <v>2565</v>
      </c>
      <c r="C38">
        <v>3780.4</v>
      </c>
    </row>
    <row r="39" spans="1:3" x14ac:dyDescent="0.25">
      <c r="A39" t="s">
        <v>2666</v>
      </c>
      <c r="B39" t="s">
        <v>2667</v>
      </c>
      <c r="C39">
        <v>106.05</v>
      </c>
    </row>
    <row r="40" spans="1:3" x14ac:dyDescent="0.25">
      <c r="A40" t="s">
        <v>1902</v>
      </c>
      <c r="B40" t="s">
        <v>1903</v>
      </c>
      <c r="C40">
        <v>27.299999999999997</v>
      </c>
    </row>
    <row r="41" spans="1:3" x14ac:dyDescent="0.25">
      <c r="A41" t="s">
        <v>1876</v>
      </c>
      <c r="B41" t="s">
        <v>1877</v>
      </c>
      <c r="C41">
        <v>169.16000000000003</v>
      </c>
    </row>
    <row r="42" spans="1:3" x14ac:dyDescent="0.25">
      <c r="A42" t="s">
        <v>2632</v>
      </c>
      <c r="B42" t="s">
        <v>2633</v>
      </c>
      <c r="C42">
        <v>258.06</v>
      </c>
    </row>
    <row r="43" spans="1:3" x14ac:dyDescent="0.25">
      <c r="A43" t="s">
        <v>2635</v>
      </c>
      <c r="B43" t="s">
        <v>3053</v>
      </c>
      <c r="C43">
        <v>176.5</v>
      </c>
    </row>
    <row r="44" spans="1:3" x14ac:dyDescent="0.25">
      <c r="A44" t="s">
        <v>2638</v>
      </c>
      <c r="B44" t="s">
        <v>3055</v>
      </c>
      <c r="C44">
        <v>115.95</v>
      </c>
    </row>
    <row r="45" spans="1:3" x14ac:dyDescent="0.25">
      <c r="A45" t="s">
        <v>1091</v>
      </c>
      <c r="B45" t="s">
        <v>3062</v>
      </c>
      <c r="C45">
        <v>20.450000000000003</v>
      </c>
    </row>
    <row r="46" spans="1:3" x14ac:dyDescent="0.25">
      <c r="A46" t="s">
        <v>3085</v>
      </c>
      <c r="B46" t="s">
        <v>3086</v>
      </c>
      <c r="C46">
        <v>21</v>
      </c>
    </row>
    <row r="47" spans="1:3" x14ac:dyDescent="0.25">
      <c r="A47" t="s">
        <v>3187</v>
      </c>
      <c r="B47" t="s">
        <v>3198</v>
      </c>
      <c r="C47">
        <v>36</v>
      </c>
    </row>
    <row r="48" spans="1:3" x14ac:dyDescent="0.25">
      <c r="A48" t="s">
        <v>3218</v>
      </c>
      <c r="B48" t="s">
        <v>3223</v>
      </c>
      <c r="C48">
        <v>414.04</v>
      </c>
    </row>
    <row r="49" spans="1:3" x14ac:dyDescent="0.25">
      <c r="A49" t="s">
        <v>3238</v>
      </c>
      <c r="B49" t="s">
        <v>3251</v>
      </c>
      <c r="C49">
        <v>28.909999999999997</v>
      </c>
    </row>
    <row r="50" spans="1:3" x14ac:dyDescent="0.25">
      <c r="A50" t="s">
        <v>3241</v>
      </c>
      <c r="B50" t="s">
        <v>3254</v>
      </c>
      <c r="C50">
        <v>2.5999999999999996</v>
      </c>
    </row>
    <row r="51" spans="1:3" x14ac:dyDescent="0.25">
      <c r="A51" t="s">
        <v>3243</v>
      </c>
      <c r="B51" t="s">
        <v>3257</v>
      </c>
      <c r="C51">
        <v>37.980000000000004</v>
      </c>
    </row>
    <row r="52" spans="1:3" x14ac:dyDescent="0.25">
      <c r="A52" t="s">
        <v>3246</v>
      </c>
      <c r="B52" t="s">
        <v>3262</v>
      </c>
      <c r="C52">
        <v>15.4</v>
      </c>
    </row>
    <row r="53" spans="1:3" x14ac:dyDescent="0.25">
      <c r="A53" t="s">
        <v>3474</v>
      </c>
      <c r="B53" t="s">
        <v>3483</v>
      </c>
      <c r="C53">
        <v>50.17</v>
      </c>
    </row>
    <row r="54" spans="1:3" x14ac:dyDescent="0.25">
      <c r="A54" t="s">
        <v>407</v>
      </c>
      <c r="B54" t="s">
        <v>408</v>
      </c>
      <c r="C54">
        <v>1.25</v>
      </c>
    </row>
    <row r="55" spans="1:3" x14ac:dyDescent="0.25">
      <c r="A55" t="s">
        <v>410</v>
      </c>
      <c r="B55" t="s">
        <v>411</v>
      </c>
      <c r="C55">
        <v>1.25</v>
      </c>
    </row>
    <row r="56" spans="1:3" x14ac:dyDescent="0.25">
      <c r="A56" t="s">
        <v>412</v>
      </c>
      <c r="B56" t="s">
        <v>413</v>
      </c>
      <c r="C56">
        <v>21.4</v>
      </c>
    </row>
    <row r="57" spans="1:3" x14ac:dyDescent="0.25">
      <c r="A57" t="s">
        <v>415</v>
      </c>
      <c r="B57" t="s">
        <v>416</v>
      </c>
      <c r="C57">
        <v>7.36</v>
      </c>
    </row>
    <row r="58" spans="1:3" x14ac:dyDescent="0.25">
      <c r="A58" t="s">
        <v>418</v>
      </c>
      <c r="B58" t="s">
        <v>419</v>
      </c>
      <c r="C58">
        <v>12.34</v>
      </c>
    </row>
    <row r="59" spans="1:3" x14ac:dyDescent="0.25">
      <c r="A59" t="s">
        <v>421</v>
      </c>
      <c r="B59" t="s">
        <v>422</v>
      </c>
      <c r="C59">
        <v>2.8</v>
      </c>
    </row>
    <row r="60" spans="1:3" x14ac:dyDescent="0.25">
      <c r="A60" t="s">
        <v>424</v>
      </c>
      <c r="B60" t="s">
        <v>425</v>
      </c>
      <c r="C60">
        <v>98.210000000000022</v>
      </c>
    </row>
    <row r="61" spans="1:3" x14ac:dyDescent="0.25">
      <c r="A61" t="s">
        <v>3578</v>
      </c>
      <c r="B61" t="s">
        <v>3587</v>
      </c>
      <c r="C61">
        <v>3.06</v>
      </c>
    </row>
    <row r="62" spans="1:3" x14ac:dyDescent="0.25">
      <c r="A62" t="s">
        <v>3581</v>
      </c>
      <c r="B62" t="s">
        <v>3589</v>
      </c>
      <c r="C62">
        <v>20.900000000000002</v>
      </c>
    </row>
    <row r="63" spans="1:3" x14ac:dyDescent="0.25">
      <c r="A63" t="s">
        <v>3620</v>
      </c>
      <c r="B63" t="s">
        <v>3626</v>
      </c>
      <c r="C63">
        <v>7.67</v>
      </c>
    </row>
    <row r="64" spans="1:3" x14ac:dyDescent="0.25">
      <c r="A64" t="s">
        <v>158</v>
      </c>
      <c r="B64" t="s">
        <v>159</v>
      </c>
      <c r="C64">
        <v>4.1500000000000004</v>
      </c>
    </row>
    <row r="65" spans="1:3" x14ac:dyDescent="0.25">
      <c r="A65" t="s">
        <v>161</v>
      </c>
      <c r="B65" t="s">
        <v>162</v>
      </c>
      <c r="C65">
        <v>4.1500000000000004</v>
      </c>
    </row>
    <row r="66" spans="1:3" x14ac:dyDescent="0.25">
      <c r="A66" t="s">
        <v>370</v>
      </c>
      <c r="B66" t="s">
        <v>371</v>
      </c>
      <c r="C66">
        <v>94.05</v>
      </c>
    </row>
    <row r="67" spans="1:3" x14ac:dyDescent="0.25">
      <c r="A67" t="s">
        <v>373</v>
      </c>
      <c r="B67" t="s">
        <v>374</v>
      </c>
      <c r="C67">
        <v>36.799999999999997</v>
      </c>
    </row>
    <row r="68" spans="1:3" x14ac:dyDescent="0.25">
      <c r="A68" t="s">
        <v>376</v>
      </c>
      <c r="B68" t="s">
        <v>377</v>
      </c>
      <c r="C68">
        <v>1.1499999999999999</v>
      </c>
    </row>
    <row r="69" spans="1:3" x14ac:dyDescent="0.25">
      <c r="A69" t="s">
        <v>236</v>
      </c>
      <c r="B69" t="s">
        <v>237</v>
      </c>
      <c r="C69">
        <v>14.55</v>
      </c>
    </row>
    <row r="70" spans="1:3" x14ac:dyDescent="0.25">
      <c r="A70" t="s">
        <v>239</v>
      </c>
      <c r="B70" t="s">
        <v>240</v>
      </c>
      <c r="C70">
        <v>7.6000000000000005</v>
      </c>
    </row>
    <row r="71" spans="1:3" x14ac:dyDescent="0.25">
      <c r="A71" t="s">
        <v>1156</v>
      </c>
      <c r="B71" t="s">
        <v>1157</v>
      </c>
      <c r="C71">
        <v>200</v>
      </c>
    </row>
    <row r="72" spans="1:3" x14ac:dyDescent="0.25">
      <c r="A72" t="s">
        <v>118</v>
      </c>
      <c r="B72" t="s">
        <v>119</v>
      </c>
      <c r="C72">
        <v>15.95</v>
      </c>
    </row>
    <row r="73" spans="1:3" x14ac:dyDescent="0.25">
      <c r="A73" t="s">
        <v>123</v>
      </c>
      <c r="B73" t="s">
        <v>3758</v>
      </c>
      <c r="C73">
        <v>13.85</v>
      </c>
    </row>
    <row r="74" spans="1:3" x14ac:dyDescent="0.25">
      <c r="A74" t="s">
        <v>126</v>
      </c>
      <c r="B74" t="s">
        <v>127</v>
      </c>
      <c r="C74">
        <v>15.65</v>
      </c>
    </row>
    <row r="75" spans="1:3" x14ac:dyDescent="0.25">
      <c r="A75" t="s">
        <v>129</v>
      </c>
      <c r="B75" t="s">
        <v>3762</v>
      </c>
      <c r="C75">
        <v>14.2</v>
      </c>
    </row>
    <row r="76" spans="1:3" x14ac:dyDescent="0.25">
      <c r="A76" t="s">
        <v>135</v>
      </c>
      <c r="B76" t="s">
        <v>136</v>
      </c>
      <c r="C76">
        <v>11.6</v>
      </c>
    </row>
    <row r="77" spans="1:3" x14ac:dyDescent="0.25">
      <c r="A77" t="s">
        <v>138</v>
      </c>
      <c r="B77" t="s">
        <v>139</v>
      </c>
      <c r="C77">
        <v>10.75</v>
      </c>
    </row>
    <row r="78" spans="1:3" x14ac:dyDescent="0.25">
      <c r="A78" t="s">
        <v>141</v>
      </c>
      <c r="B78" t="s">
        <v>142</v>
      </c>
      <c r="C78">
        <v>11.899999999999999</v>
      </c>
    </row>
    <row r="79" spans="1:3" x14ac:dyDescent="0.25">
      <c r="A79" t="s">
        <v>143</v>
      </c>
      <c r="B79" t="s">
        <v>144</v>
      </c>
      <c r="C79">
        <v>11.2</v>
      </c>
    </row>
    <row r="80" spans="1:3" x14ac:dyDescent="0.25">
      <c r="A80" t="s">
        <v>146</v>
      </c>
      <c r="B80" t="s">
        <v>147</v>
      </c>
      <c r="C80">
        <v>28.450000000000003</v>
      </c>
    </row>
    <row r="81" spans="1:3" x14ac:dyDescent="0.25">
      <c r="A81" t="s">
        <v>149</v>
      </c>
      <c r="B81" t="s">
        <v>150</v>
      </c>
      <c r="C81">
        <v>2</v>
      </c>
    </row>
    <row r="82" spans="1:3" x14ac:dyDescent="0.25">
      <c r="A82" t="s">
        <v>163</v>
      </c>
      <c r="B82" t="s">
        <v>164</v>
      </c>
      <c r="C82">
        <v>13.7</v>
      </c>
    </row>
    <row r="83" spans="1:3" x14ac:dyDescent="0.25">
      <c r="A83" t="s">
        <v>166</v>
      </c>
      <c r="B83" t="s">
        <v>167</v>
      </c>
      <c r="C83">
        <v>8.35</v>
      </c>
    </row>
    <row r="84" spans="1:3" x14ac:dyDescent="0.25">
      <c r="A84" t="s">
        <v>169</v>
      </c>
      <c r="B84" t="s">
        <v>170</v>
      </c>
      <c r="C84">
        <v>16.950000000000003</v>
      </c>
    </row>
    <row r="85" spans="1:3" x14ac:dyDescent="0.25">
      <c r="A85" t="s">
        <v>172</v>
      </c>
      <c r="B85" t="s">
        <v>173</v>
      </c>
      <c r="C85">
        <v>8.8999999999999986</v>
      </c>
    </row>
    <row r="86" spans="1:3" x14ac:dyDescent="0.25">
      <c r="A86" t="s">
        <v>174</v>
      </c>
      <c r="B86" t="s">
        <v>175</v>
      </c>
      <c r="C86">
        <v>3.5999999999999996</v>
      </c>
    </row>
    <row r="87" spans="1:3" x14ac:dyDescent="0.25">
      <c r="A87" t="s">
        <v>177</v>
      </c>
      <c r="B87" t="s">
        <v>178</v>
      </c>
      <c r="C87">
        <v>2.65</v>
      </c>
    </row>
    <row r="88" spans="1:3" x14ac:dyDescent="0.25">
      <c r="A88" t="s">
        <v>180</v>
      </c>
      <c r="B88" t="s">
        <v>181</v>
      </c>
      <c r="C88">
        <v>13.799999999999999</v>
      </c>
    </row>
    <row r="89" spans="1:3" x14ac:dyDescent="0.25">
      <c r="A89" t="s">
        <v>183</v>
      </c>
      <c r="B89" t="s">
        <v>184</v>
      </c>
      <c r="C89">
        <v>3.9</v>
      </c>
    </row>
    <row r="90" spans="1:3" x14ac:dyDescent="0.25">
      <c r="A90" t="s">
        <v>186</v>
      </c>
      <c r="B90" t="s">
        <v>187</v>
      </c>
      <c r="C90">
        <v>8.4</v>
      </c>
    </row>
    <row r="91" spans="1:3" x14ac:dyDescent="0.25">
      <c r="A91" t="s">
        <v>189</v>
      </c>
      <c r="B91" t="s">
        <v>190</v>
      </c>
      <c r="C91">
        <v>12.8</v>
      </c>
    </row>
    <row r="92" spans="1:3" x14ac:dyDescent="0.25">
      <c r="A92" t="s">
        <v>192</v>
      </c>
      <c r="B92" t="s">
        <v>193</v>
      </c>
      <c r="C92">
        <v>20.85</v>
      </c>
    </row>
    <row r="93" spans="1:3" x14ac:dyDescent="0.25">
      <c r="A93" t="s">
        <v>195</v>
      </c>
      <c r="B93" t="s">
        <v>196</v>
      </c>
      <c r="C93">
        <v>11.950000000000001</v>
      </c>
    </row>
    <row r="94" spans="1:3" x14ac:dyDescent="0.25">
      <c r="A94" t="s">
        <v>198</v>
      </c>
      <c r="B94" t="s">
        <v>199</v>
      </c>
      <c r="C94">
        <v>2.65</v>
      </c>
    </row>
    <row r="95" spans="1:3" x14ac:dyDescent="0.25">
      <c r="A95" t="s">
        <v>200</v>
      </c>
      <c r="B95" t="s">
        <v>201</v>
      </c>
      <c r="C95">
        <v>12.100000000000001</v>
      </c>
    </row>
    <row r="96" spans="1:3" x14ac:dyDescent="0.25">
      <c r="A96" t="s">
        <v>203</v>
      </c>
      <c r="B96" t="s">
        <v>204</v>
      </c>
      <c r="C96">
        <v>6.35</v>
      </c>
    </row>
    <row r="97" spans="1:3" x14ac:dyDescent="0.25">
      <c r="A97" t="s">
        <v>206</v>
      </c>
      <c r="B97" t="s">
        <v>207</v>
      </c>
      <c r="C97">
        <v>12.2</v>
      </c>
    </row>
    <row r="98" spans="1:3" x14ac:dyDescent="0.25">
      <c r="A98" t="s">
        <v>209</v>
      </c>
      <c r="B98" t="s">
        <v>210</v>
      </c>
      <c r="C98">
        <v>10.6</v>
      </c>
    </row>
    <row r="99" spans="1:3" x14ac:dyDescent="0.25">
      <c r="A99" t="s">
        <v>211</v>
      </c>
      <c r="B99" t="s">
        <v>212</v>
      </c>
      <c r="C99">
        <v>36.25</v>
      </c>
    </row>
    <row r="100" spans="1:3" x14ac:dyDescent="0.25">
      <c r="A100" t="s">
        <v>214</v>
      </c>
      <c r="B100" t="s">
        <v>215</v>
      </c>
      <c r="C100">
        <v>7</v>
      </c>
    </row>
    <row r="101" spans="1:3" x14ac:dyDescent="0.25">
      <c r="A101" t="s">
        <v>217</v>
      </c>
      <c r="B101" t="s">
        <v>218</v>
      </c>
      <c r="C101">
        <v>9.65</v>
      </c>
    </row>
    <row r="102" spans="1:3" x14ac:dyDescent="0.25">
      <c r="A102" t="s">
        <v>2682</v>
      </c>
      <c r="B102" t="s">
        <v>2683</v>
      </c>
      <c r="C102">
        <v>59</v>
      </c>
    </row>
    <row r="103" spans="1:3" x14ac:dyDescent="0.25">
      <c r="A103" t="s">
        <v>1872</v>
      </c>
      <c r="B103" t="s">
        <v>1873</v>
      </c>
      <c r="C103">
        <v>35.799999999999997</v>
      </c>
    </row>
    <row r="104" spans="1:3" x14ac:dyDescent="0.25">
      <c r="A104" t="s">
        <v>3932</v>
      </c>
      <c r="B104" t="s">
        <v>3933</v>
      </c>
      <c r="C104">
        <v>26.92</v>
      </c>
    </row>
    <row r="105" spans="1:3" x14ac:dyDescent="0.25">
      <c r="A105" t="s">
        <v>385</v>
      </c>
      <c r="B105" t="s">
        <v>386</v>
      </c>
      <c r="C105">
        <v>12.8</v>
      </c>
    </row>
    <row r="106" spans="1:3" x14ac:dyDescent="0.25">
      <c r="A106" t="s">
        <v>387</v>
      </c>
      <c r="B106" t="s">
        <v>388</v>
      </c>
      <c r="C106">
        <v>8.9</v>
      </c>
    </row>
    <row r="107" spans="1:3" x14ac:dyDescent="0.25">
      <c r="A107" t="s">
        <v>389</v>
      </c>
      <c r="B107" t="s">
        <v>390</v>
      </c>
      <c r="C107">
        <v>11.75</v>
      </c>
    </row>
    <row r="108" spans="1:3" x14ac:dyDescent="0.25">
      <c r="A108" t="s">
        <v>392</v>
      </c>
      <c r="B108" t="s">
        <v>393</v>
      </c>
      <c r="C108">
        <v>5.85</v>
      </c>
    </row>
    <row r="109" spans="1:3" x14ac:dyDescent="0.25">
      <c r="A109" t="s">
        <v>395</v>
      </c>
      <c r="B109" t="s">
        <v>396</v>
      </c>
      <c r="C109">
        <v>4.8</v>
      </c>
    </row>
    <row r="110" spans="1:3" x14ac:dyDescent="0.25">
      <c r="A110" t="s">
        <v>398</v>
      </c>
      <c r="B110" t="s">
        <v>399</v>
      </c>
      <c r="C110">
        <v>5.9</v>
      </c>
    </row>
    <row r="111" spans="1:3" x14ac:dyDescent="0.25">
      <c r="A111" t="s">
        <v>401</v>
      </c>
      <c r="B111" t="s">
        <v>402</v>
      </c>
      <c r="C111">
        <v>6</v>
      </c>
    </row>
    <row r="112" spans="1:3" x14ac:dyDescent="0.25">
      <c r="A112" t="s">
        <v>269</v>
      </c>
      <c r="B112" t="s">
        <v>270</v>
      </c>
      <c r="C112">
        <v>13.3</v>
      </c>
    </row>
    <row r="113" spans="1:3" x14ac:dyDescent="0.25">
      <c r="A113" t="s">
        <v>272</v>
      </c>
      <c r="B113" t="s">
        <v>273</v>
      </c>
      <c r="C113">
        <v>12.9</v>
      </c>
    </row>
    <row r="114" spans="1:3" x14ac:dyDescent="0.25">
      <c r="A114" t="s">
        <v>275</v>
      </c>
      <c r="B114" t="s">
        <v>276</v>
      </c>
      <c r="C114">
        <v>7.0500000000000007</v>
      </c>
    </row>
    <row r="115" spans="1:3" x14ac:dyDescent="0.25">
      <c r="A115" t="s">
        <v>278</v>
      </c>
      <c r="B115" t="s">
        <v>279</v>
      </c>
      <c r="C115">
        <v>5.4</v>
      </c>
    </row>
    <row r="116" spans="1:3" x14ac:dyDescent="0.25">
      <c r="A116" t="s">
        <v>280</v>
      </c>
      <c r="B116" t="s">
        <v>281</v>
      </c>
      <c r="C116">
        <v>5.4</v>
      </c>
    </row>
    <row r="117" spans="1:3" x14ac:dyDescent="0.25">
      <c r="A117" t="s">
        <v>282</v>
      </c>
      <c r="B117" t="s">
        <v>283</v>
      </c>
      <c r="C117">
        <v>11.2</v>
      </c>
    </row>
    <row r="118" spans="1:3" x14ac:dyDescent="0.25">
      <c r="A118" t="s">
        <v>284</v>
      </c>
      <c r="B118" t="s">
        <v>285</v>
      </c>
      <c r="C118">
        <v>6.3</v>
      </c>
    </row>
    <row r="119" spans="1:3" x14ac:dyDescent="0.25">
      <c r="A119" t="s">
        <v>286</v>
      </c>
      <c r="B119" t="s">
        <v>287</v>
      </c>
      <c r="C119">
        <v>3.2</v>
      </c>
    </row>
    <row r="120" spans="1:3" x14ac:dyDescent="0.25">
      <c r="A120" t="s">
        <v>289</v>
      </c>
      <c r="B120" t="s">
        <v>290</v>
      </c>
      <c r="C120">
        <v>6.65</v>
      </c>
    </row>
    <row r="121" spans="1:3" x14ac:dyDescent="0.25">
      <c r="A121" t="s">
        <v>292</v>
      </c>
      <c r="B121" t="s">
        <v>293</v>
      </c>
      <c r="C121">
        <v>3.9000000000000004</v>
      </c>
    </row>
    <row r="122" spans="1:3" x14ac:dyDescent="0.25">
      <c r="A122" t="s">
        <v>294</v>
      </c>
      <c r="B122" t="s">
        <v>295</v>
      </c>
      <c r="C122">
        <v>12.65</v>
      </c>
    </row>
    <row r="123" spans="1:3" x14ac:dyDescent="0.25">
      <c r="A123" t="s">
        <v>297</v>
      </c>
      <c r="B123" t="s">
        <v>298</v>
      </c>
      <c r="C123">
        <v>4.6500000000000004</v>
      </c>
    </row>
    <row r="124" spans="1:3" x14ac:dyDescent="0.25">
      <c r="A124" t="s">
        <v>300</v>
      </c>
      <c r="B124" t="s">
        <v>301</v>
      </c>
      <c r="C124">
        <v>4.5999999999999996</v>
      </c>
    </row>
    <row r="125" spans="1:3" x14ac:dyDescent="0.25">
      <c r="A125" t="s">
        <v>303</v>
      </c>
      <c r="B125" t="s">
        <v>304</v>
      </c>
      <c r="C125">
        <v>7</v>
      </c>
    </row>
    <row r="126" spans="1:3" x14ac:dyDescent="0.25">
      <c r="A126" t="s">
        <v>4078</v>
      </c>
      <c r="B126" t="s">
        <v>4079</v>
      </c>
      <c r="C126">
        <v>18.13</v>
      </c>
    </row>
    <row r="127" spans="1:3" x14ac:dyDescent="0.25">
      <c r="A127" t="s">
        <v>441</v>
      </c>
      <c r="B127" t="s">
        <v>442</v>
      </c>
      <c r="C127">
        <v>15.18</v>
      </c>
    </row>
    <row r="128" spans="1:3" x14ac:dyDescent="0.25">
      <c r="A128" t="s">
        <v>444</v>
      </c>
      <c r="B128" t="s">
        <v>445</v>
      </c>
      <c r="C128">
        <v>55.5</v>
      </c>
    </row>
    <row r="129" spans="1:3" x14ac:dyDescent="0.25">
      <c r="A129" t="s">
        <v>4278</v>
      </c>
      <c r="B129" t="s">
        <v>4279</v>
      </c>
      <c r="C129">
        <v>179.1</v>
      </c>
    </row>
    <row r="130" spans="1:3" x14ac:dyDescent="0.25">
      <c r="A130" t="s">
        <v>4294</v>
      </c>
      <c r="B130" t="s">
        <v>4295</v>
      </c>
      <c r="C130">
        <v>74.900000000000006</v>
      </c>
    </row>
    <row r="131" spans="1:3" x14ac:dyDescent="0.25">
      <c r="A131" t="s">
        <v>4306</v>
      </c>
      <c r="B131" t="s">
        <v>4307</v>
      </c>
      <c r="C131">
        <v>4.0200000000000005</v>
      </c>
    </row>
    <row r="132" spans="1:3" x14ac:dyDescent="0.25">
      <c r="A132" t="s">
        <v>4321</v>
      </c>
      <c r="B132" t="s">
        <v>4322</v>
      </c>
      <c r="C132">
        <v>3.86</v>
      </c>
    </row>
    <row r="133" spans="1:3" x14ac:dyDescent="0.25">
      <c r="A133" t="s">
        <v>4324</v>
      </c>
      <c r="B133" t="s">
        <v>4325</v>
      </c>
      <c r="C133">
        <v>5.6</v>
      </c>
    </row>
    <row r="134" spans="1:3" x14ac:dyDescent="0.25">
      <c r="A134" t="s">
        <v>4326</v>
      </c>
      <c r="B134" t="s">
        <v>4327</v>
      </c>
      <c r="C134">
        <v>20.799999999999997</v>
      </c>
    </row>
    <row r="135" spans="1:3" x14ac:dyDescent="0.25">
      <c r="A135" t="s">
        <v>4328</v>
      </c>
      <c r="B135" t="s">
        <v>4329</v>
      </c>
      <c r="C135">
        <v>135.99</v>
      </c>
    </row>
    <row r="136" spans="1:3" x14ac:dyDescent="0.25">
      <c r="A136" t="s">
        <v>1980</v>
      </c>
      <c r="B136" t="s">
        <v>1981</v>
      </c>
      <c r="C136">
        <v>115</v>
      </c>
    </row>
    <row r="137" spans="1:3" x14ac:dyDescent="0.25">
      <c r="A137" t="s">
        <v>1983</v>
      </c>
      <c r="B137" t="s">
        <v>1984</v>
      </c>
      <c r="C137">
        <v>127</v>
      </c>
    </row>
    <row r="138" spans="1:3" x14ac:dyDescent="0.25">
      <c r="A138" t="s">
        <v>1986</v>
      </c>
      <c r="B138" t="s">
        <v>1987</v>
      </c>
      <c r="C138">
        <v>114</v>
      </c>
    </row>
    <row r="139" spans="1:3" x14ac:dyDescent="0.25">
      <c r="A139" t="s">
        <v>2016</v>
      </c>
      <c r="B139" t="s">
        <v>2017</v>
      </c>
      <c r="C139">
        <v>165</v>
      </c>
    </row>
    <row r="140" spans="1:3" x14ac:dyDescent="0.25">
      <c r="A140" t="s">
        <v>2019</v>
      </c>
      <c r="B140" t="s">
        <v>2020</v>
      </c>
      <c r="C140">
        <v>188</v>
      </c>
    </row>
    <row r="141" spans="1:3" x14ac:dyDescent="0.25">
      <c r="A141" t="s">
        <v>2022</v>
      </c>
      <c r="B141" t="s">
        <v>2023</v>
      </c>
      <c r="C141">
        <v>138</v>
      </c>
    </row>
    <row r="142" spans="1:3" x14ac:dyDescent="0.25">
      <c r="A142" t="s">
        <v>4384</v>
      </c>
      <c r="B142" t="s">
        <v>4385</v>
      </c>
      <c r="C142">
        <v>89.23</v>
      </c>
    </row>
    <row r="143" spans="1:3" x14ac:dyDescent="0.25">
      <c r="A143" t="s">
        <v>4387</v>
      </c>
      <c r="B143" t="s">
        <v>4388</v>
      </c>
      <c r="C143">
        <v>13.719999999999999</v>
      </c>
    </row>
    <row r="144" spans="1:3" x14ac:dyDescent="0.25">
      <c r="A144" t="s">
        <v>4390</v>
      </c>
      <c r="B144" t="s">
        <v>4391</v>
      </c>
      <c r="C144">
        <v>6.1</v>
      </c>
    </row>
    <row r="145" spans="1:3" x14ac:dyDescent="0.25">
      <c r="A145" t="s">
        <v>4400</v>
      </c>
      <c r="B145" t="s">
        <v>4401</v>
      </c>
      <c r="C145">
        <v>6.26</v>
      </c>
    </row>
    <row r="146" spans="1:3" x14ac:dyDescent="0.25">
      <c r="A146" t="s">
        <v>4403</v>
      </c>
      <c r="B146" t="s">
        <v>4404</v>
      </c>
      <c r="C146">
        <v>41.399999999999991</v>
      </c>
    </row>
    <row r="147" spans="1:3" x14ac:dyDescent="0.25">
      <c r="A147" t="s">
        <v>4415</v>
      </c>
      <c r="B147" t="s">
        <v>4416</v>
      </c>
      <c r="C147">
        <v>8.09</v>
      </c>
    </row>
    <row r="148" spans="1:3" x14ac:dyDescent="0.25">
      <c r="A148" t="s">
        <v>4418</v>
      </c>
      <c r="B148" t="s">
        <v>4419</v>
      </c>
      <c r="C148">
        <v>10.01</v>
      </c>
    </row>
    <row r="149" spans="1:3" x14ac:dyDescent="0.25">
      <c r="A149" t="s">
        <v>4406</v>
      </c>
      <c r="B149" t="s">
        <v>4407</v>
      </c>
      <c r="C149">
        <v>5.6</v>
      </c>
    </row>
    <row r="150" spans="1:3" x14ac:dyDescent="0.25">
      <c r="A150" t="s">
        <v>355</v>
      </c>
      <c r="B150" t="s">
        <v>356</v>
      </c>
      <c r="C150">
        <v>18.700000000000003</v>
      </c>
    </row>
    <row r="151" spans="1:3" x14ac:dyDescent="0.25">
      <c r="A151" t="s">
        <v>358</v>
      </c>
      <c r="B151" t="s">
        <v>359</v>
      </c>
      <c r="C151">
        <v>17.23</v>
      </c>
    </row>
    <row r="152" spans="1:3" x14ac:dyDescent="0.25">
      <c r="A152" t="s">
        <v>361</v>
      </c>
      <c r="B152" t="s">
        <v>362</v>
      </c>
      <c r="C152">
        <v>12.52</v>
      </c>
    </row>
    <row r="153" spans="1:3" x14ac:dyDescent="0.25">
      <c r="A153" t="s">
        <v>364</v>
      </c>
      <c r="B153" t="s">
        <v>365</v>
      </c>
      <c r="C153">
        <v>10.45</v>
      </c>
    </row>
    <row r="154" spans="1:3" x14ac:dyDescent="0.25">
      <c r="A154" t="s">
        <v>4484</v>
      </c>
      <c r="B154" t="s">
        <v>4490</v>
      </c>
      <c r="C154">
        <v>37.520000000000003</v>
      </c>
    </row>
    <row r="155" spans="1:3" x14ac:dyDescent="0.25">
      <c r="A155" t="s">
        <v>4499</v>
      </c>
      <c r="B155" t="s">
        <v>4506</v>
      </c>
      <c r="C155">
        <v>39.679999999999993</v>
      </c>
    </row>
    <row r="156" spans="1:3" x14ac:dyDescent="0.25">
      <c r="A156" t="s">
        <v>4513</v>
      </c>
      <c r="B156" t="s">
        <v>4518</v>
      </c>
      <c r="C156">
        <v>43.92</v>
      </c>
    </row>
    <row r="157" spans="1:3" x14ac:dyDescent="0.25">
      <c r="A157" t="s">
        <v>502</v>
      </c>
      <c r="B157" t="s">
        <v>503</v>
      </c>
      <c r="C157">
        <v>10.6</v>
      </c>
    </row>
    <row r="158" spans="1:3" x14ac:dyDescent="0.25">
      <c r="A158" t="s">
        <v>242</v>
      </c>
      <c r="B158" t="s">
        <v>243</v>
      </c>
      <c r="C158">
        <v>3.0999999999999996</v>
      </c>
    </row>
    <row r="159" spans="1:3" x14ac:dyDescent="0.25">
      <c r="A159" t="s">
        <v>4589</v>
      </c>
      <c r="B159" t="s">
        <v>4590</v>
      </c>
      <c r="C159">
        <v>68.73</v>
      </c>
    </row>
    <row r="160" spans="1:3" x14ac:dyDescent="0.25">
      <c r="A160" t="s">
        <v>2385</v>
      </c>
      <c r="B160" t="s">
        <v>2386</v>
      </c>
      <c r="C160">
        <v>152.9</v>
      </c>
    </row>
    <row r="161" spans="1:3" x14ac:dyDescent="0.25">
      <c r="A161" t="s">
        <v>2388</v>
      </c>
      <c r="B161" t="s">
        <v>2389</v>
      </c>
      <c r="C161">
        <v>73.5</v>
      </c>
    </row>
    <row r="162" spans="1:3" x14ac:dyDescent="0.25">
      <c r="A162" t="s">
        <v>2391</v>
      </c>
      <c r="B162" t="s">
        <v>2392</v>
      </c>
      <c r="C162">
        <v>75.150000000000006</v>
      </c>
    </row>
    <row r="163" spans="1:3" x14ac:dyDescent="0.25">
      <c r="A163" t="s">
        <v>2394</v>
      </c>
      <c r="B163" t="s">
        <v>2395</v>
      </c>
      <c r="C163">
        <v>4.4000000000000004</v>
      </c>
    </row>
    <row r="164" spans="1:3" x14ac:dyDescent="0.25">
      <c r="A164" t="s">
        <v>707</v>
      </c>
      <c r="B164" t="s">
        <v>708</v>
      </c>
      <c r="C164">
        <v>24.5</v>
      </c>
    </row>
    <row r="165" spans="1:3" x14ac:dyDescent="0.25">
      <c r="A165" t="s">
        <v>710</v>
      </c>
      <c r="B165" t="s">
        <v>711</v>
      </c>
      <c r="C165">
        <v>25</v>
      </c>
    </row>
    <row r="166" spans="1:3" x14ac:dyDescent="0.25">
      <c r="A166" t="s">
        <v>729</v>
      </c>
      <c r="B166" t="s">
        <v>730</v>
      </c>
      <c r="C166">
        <v>34.299999999999997</v>
      </c>
    </row>
    <row r="167" spans="1:3" x14ac:dyDescent="0.25">
      <c r="A167" t="s">
        <v>713</v>
      </c>
      <c r="B167" t="s">
        <v>714</v>
      </c>
      <c r="C167">
        <v>4.5</v>
      </c>
    </row>
    <row r="168" spans="1:3" x14ac:dyDescent="0.25">
      <c r="A168" t="s">
        <v>715</v>
      </c>
      <c r="B168" t="s">
        <v>716</v>
      </c>
      <c r="C168">
        <v>4.5</v>
      </c>
    </row>
    <row r="169" spans="1:3" x14ac:dyDescent="0.25">
      <c r="A169" t="s">
        <v>717</v>
      </c>
      <c r="B169" t="s">
        <v>718</v>
      </c>
      <c r="C169">
        <v>3.8499999999999996</v>
      </c>
    </row>
    <row r="170" spans="1:3" x14ac:dyDescent="0.25">
      <c r="A170" t="s">
        <v>719</v>
      </c>
      <c r="B170" t="s">
        <v>720</v>
      </c>
      <c r="C170">
        <v>28.1</v>
      </c>
    </row>
    <row r="171" spans="1:3" x14ac:dyDescent="0.25">
      <c r="A171" t="s">
        <v>745</v>
      </c>
      <c r="B171" t="s">
        <v>746</v>
      </c>
      <c r="C171">
        <v>35.549999999999997</v>
      </c>
    </row>
    <row r="172" spans="1:3" x14ac:dyDescent="0.25">
      <c r="A172" t="s">
        <v>748</v>
      </c>
      <c r="B172" t="s">
        <v>749</v>
      </c>
      <c r="C172">
        <v>5.3</v>
      </c>
    </row>
    <row r="173" spans="1:3" x14ac:dyDescent="0.25">
      <c r="A173" t="s">
        <v>751</v>
      </c>
      <c r="B173" t="s">
        <v>752</v>
      </c>
      <c r="C173">
        <v>5.3</v>
      </c>
    </row>
    <row r="174" spans="1:3" x14ac:dyDescent="0.25">
      <c r="A174" t="s">
        <v>753</v>
      </c>
      <c r="B174" t="s">
        <v>754</v>
      </c>
      <c r="C174">
        <v>3.75</v>
      </c>
    </row>
    <row r="175" spans="1:3" x14ac:dyDescent="0.25">
      <c r="A175" t="s">
        <v>756</v>
      </c>
      <c r="B175" t="s">
        <v>757</v>
      </c>
      <c r="C175">
        <v>20.75</v>
      </c>
    </row>
    <row r="176" spans="1:3" x14ac:dyDescent="0.25">
      <c r="A176" t="s">
        <v>759</v>
      </c>
      <c r="B176" t="s">
        <v>760</v>
      </c>
      <c r="C176">
        <v>38.75</v>
      </c>
    </row>
    <row r="177" spans="1:3" x14ac:dyDescent="0.25">
      <c r="A177" t="s">
        <v>2040</v>
      </c>
      <c r="B177" t="s">
        <v>2041</v>
      </c>
      <c r="C177">
        <v>14.3</v>
      </c>
    </row>
    <row r="178" spans="1:3" x14ac:dyDescent="0.25">
      <c r="A178" t="s">
        <v>768</v>
      </c>
      <c r="B178" t="s">
        <v>769</v>
      </c>
      <c r="C178">
        <v>27.95</v>
      </c>
    </row>
    <row r="179" spans="1:3" x14ac:dyDescent="0.25">
      <c r="A179" t="s">
        <v>771</v>
      </c>
      <c r="B179" t="s">
        <v>772</v>
      </c>
      <c r="C179">
        <v>50.55</v>
      </c>
    </row>
    <row r="180" spans="1:3" x14ac:dyDescent="0.25">
      <c r="A180" t="s">
        <v>774</v>
      </c>
      <c r="B180" t="s">
        <v>775</v>
      </c>
      <c r="C180">
        <v>52.55</v>
      </c>
    </row>
    <row r="181" spans="1:3" x14ac:dyDescent="0.25">
      <c r="A181" t="s">
        <v>777</v>
      </c>
      <c r="B181" t="s">
        <v>778</v>
      </c>
      <c r="C181">
        <v>5.99</v>
      </c>
    </row>
    <row r="182" spans="1:3" x14ac:dyDescent="0.25">
      <c r="A182" t="s">
        <v>780</v>
      </c>
      <c r="B182" t="s">
        <v>781</v>
      </c>
      <c r="C182">
        <v>6.74</v>
      </c>
    </row>
    <row r="183" spans="1:3" x14ac:dyDescent="0.25">
      <c r="A183" t="s">
        <v>783</v>
      </c>
      <c r="B183" t="s">
        <v>784</v>
      </c>
      <c r="C183">
        <v>14.15</v>
      </c>
    </row>
    <row r="184" spans="1:3" x14ac:dyDescent="0.25">
      <c r="A184" t="s">
        <v>2043</v>
      </c>
      <c r="B184" t="s">
        <v>2044</v>
      </c>
      <c r="C184">
        <v>2.73</v>
      </c>
    </row>
    <row r="185" spans="1:3" x14ac:dyDescent="0.25">
      <c r="A185" t="s">
        <v>980</v>
      </c>
      <c r="B185" t="s">
        <v>981</v>
      </c>
      <c r="C185">
        <v>18</v>
      </c>
    </row>
    <row r="186" spans="1:3" x14ac:dyDescent="0.25">
      <c r="A186" t="s">
        <v>817</v>
      </c>
      <c r="B186" t="s">
        <v>4820</v>
      </c>
      <c r="C186">
        <v>33.56</v>
      </c>
    </row>
    <row r="187" spans="1:3" x14ac:dyDescent="0.25">
      <c r="A187" t="s">
        <v>820</v>
      </c>
      <c r="B187" t="s">
        <v>4823</v>
      </c>
      <c r="C187">
        <v>19.53</v>
      </c>
    </row>
    <row r="188" spans="1:3" x14ac:dyDescent="0.25">
      <c r="A188" t="s">
        <v>4828</v>
      </c>
      <c r="B188" t="s">
        <v>4838</v>
      </c>
      <c r="C188">
        <v>48.879999999999995</v>
      </c>
    </row>
    <row r="189" spans="1:3" x14ac:dyDescent="0.25">
      <c r="A189" t="s">
        <v>4831</v>
      </c>
      <c r="B189" t="s">
        <v>4840</v>
      </c>
      <c r="C189">
        <v>49.89</v>
      </c>
    </row>
    <row r="190" spans="1:3" x14ac:dyDescent="0.25">
      <c r="A190" t="s">
        <v>4834</v>
      </c>
      <c r="B190" t="s">
        <v>4842</v>
      </c>
      <c r="C190">
        <v>28.54</v>
      </c>
    </row>
    <row r="191" spans="1:3" x14ac:dyDescent="0.25">
      <c r="A191" t="s">
        <v>823</v>
      </c>
      <c r="B191" t="s">
        <v>4855</v>
      </c>
      <c r="C191">
        <v>32.11</v>
      </c>
    </row>
    <row r="192" spans="1:3" x14ac:dyDescent="0.25">
      <c r="A192" t="s">
        <v>4888</v>
      </c>
      <c r="B192" t="s">
        <v>4889</v>
      </c>
      <c r="C192">
        <v>244.44</v>
      </c>
    </row>
    <row r="193" spans="1:3" x14ac:dyDescent="0.25">
      <c r="A193" t="s">
        <v>4891</v>
      </c>
      <c r="B193" t="s">
        <v>4892</v>
      </c>
      <c r="C193">
        <v>27.55</v>
      </c>
    </row>
    <row r="194" spans="1:3" x14ac:dyDescent="0.25">
      <c r="A194" t="s">
        <v>4908</v>
      </c>
      <c r="B194" t="s">
        <v>4909</v>
      </c>
      <c r="C194">
        <v>265.48</v>
      </c>
    </row>
    <row r="195" spans="1:3" x14ac:dyDescent="0.25">
      <c r="A195" t="s">
        <v>4917</v>
      </c>
      <c r="B195" t="s">
        <v>4918</v>
      </c>
      <c r="C195">
        <v>323.06</v>
      </c>
    </row>
    <row r="196" spans="1:3" x14ac:dyDescent="0.25">
      <c r="A196" t="s">
        <v>4920</v>
      </c>
      <c r="B196" t="s">
        <v>4921</v>
      </c>
      <c r="C196">
        <v>27.910000000000004</v>
      </c>
    </row>
    <row r="197" spans="1:3" x14ac:dyDescent="0.25">
      <c r="A197" t="s">
        <v>804</v>
      </c>
      <c r="B197" t="s">
        <v>805</v>
      </c>
      <c r="C197">
        <v>12.9</v>
      </c>
    </row>
    <row r="198" spans="1:3" x14ac:dyDescent="0.25">
      <c r="A198" t="s">
        <v>806</v>
      </c>
      <c r="B198" t="s">
        <v>807</v>
      </c>
      <c r="C198">
        <v>12.9</v>
      </c>
    </row>
    <row r="199" spans="1:3" x14ac:dyDescent="0.25">
      <c r="A199" t="s">
        <v>808</v>
      </c>
      <c r="B199" t="s">
        <v>809</v>
      </c>
      <c r="C199">
        <v>4.45</v>
      </c>
    </row>
    <row r="200" spans="1:3" x14ac:dyDescent="0.25">
      <c r="A200" t="s">
        <v>845</v>
      </c>
      <c r="B200" t="s">
        <v>846</v>
      </c>
      <c r="C200">
        <v>176</v>
      </c>
    </row>
    <row r="201" spans="1:3" x14ac:dyDescent="0.25">
      <c r="A201" t="s">
        <v>848</v>
      </c>
      <c r="B201" t="s">
        <v>849</v>
      </c>
      <c r="C201">
        <v>6.5</v>
      </c>
    </row>
    <row r="202" spans="1:3" x14ac:dyDescent="0.25">
      <c r="A202" t="s">
        <v>851</v>
      </c>
      <c r="B202" t="s">
        <v>852</v>
      </c>
      <c r="C202">
        <v>7.1</v>
      </c>
    </row>
    <row r="203" spans="1:3" x14ac:dyDescent="0.25">
      <c r="A203" t="s">
        <v>854</v>
      </c>
      <c r="B203" t="s">
        <v>855</v>
      </c>
      <c r="C203">
        <v>4.0999999999999996</v>
      </c>
    </row>
    <row r="204" spans="1:3" x14ac:dyDescent="0.25">
      <c r="A204" t="s">
        <v>460</v>
      </c>
      <c r="B204" t="s">
        <v>461</v>
      </c>
      <c r="C204">
        <v>19.799999999999997</v>
      </c>
    </row>
    <row r="205" spans="1:3" x14ac:dyDescent="0.25">
      <c r="A205" t="s">
        <v>463</v>
      </c>
      <c r="B205" t="s">
        <v>464</v>
      </c>
      <c r="C205">
        <v>6.21</v>
      </c>
    </row>
    <row r="206" spans="1:3" x14ac:dyDescent="0.25">
      <c r="A206" t="s">
        <v>466</v>
      </c>
      <c r="B206" t="s">
        <v>467</v>
      </c>
      <c r="C206">
        <v>6.8</v>
      </c>
    </row>
    <row r="207" spans="1:3" x14ac:dyDescent="0.25">
      <c r="A207" t="s">
        <v>250</v>
      </c>
      <c r="B207" t="s">
        <v>251</v>
      </c>
      <c r="C207">
        <v>43.68</v>
      </c>
    </row>
    <row r="208" spans="1:3" x14ac:dyDescent="0.25">
      <c r="A208" t="s">
        <v>253</v>
      </c>
      <c r="B208" t="s">
        <v>254</v>
      </c>
      <c r="C208">
        <v>32.5</v>
      </c>
    </row>
    <row r="209" spans="1:3" x14ac:dyDescent="0.25">
      <c r="A209" t="s">
        <v>256</v>
      </c>
      <c r="B209" t="s">
        <v>257</v>
      </c>
      <c r="C209">
        <v>24.72</v>
      </c>
    </row>
    <row r="210" spans="1:3" x14ac:dyDescent="0.25">
      <c r="A210" t="s">
        <v>75</v>
      </c>
      <c r="B210" t="s">
        <v>76</v>
      </c>
      <c r="C210">
        <v>4.05</v>
      </c>
    </row>
    <row r="211" spans="1:3" x14ac:dyDescent="0.25">
      <c r="A211" t="s">
        <v>52</v>
      </c>
      <c r="B211" t="s">
        <v>53</v>
      </c>
      <c r="C211">
        <v>3.8</v>
      </c>
    </row>
    <row r="212" spans="1:3" x14ac:dyDescent="0.25">
      <c r="A212" t="s">
        <v>56</v>
      </c>
      <c r="B212" t="s">
        <v>57</v>
      </c>
      <c r="C212">
        <v>5.4</v>
      </c>
    </row>
    <row r="213" spans="1:3" x14ac:dyDescent="0.25">
      <c r="A213" t="s">
        <v>59</v>
      </c>
      <c r="B213" t="s">
        <v>60</v>
      </c>
      <c r="C213">
        <v>3.85</v>
      </c>
    </row>
    <row r="214" spans="1:3" x14ac:dyDescent="0.25">
      <c r="A214" t="s">
        <v>62</v>
      </c>
      <c r="B214" t="s">
        <v>63</v>
      </c>
      <c r="C214">
        <v>19.95</v>
      </c>
    </row>
    <row r="215" spans="1:3" x14ac:dyDescent="0.25">
      <c r="A215" t="s">
        <v>65</v>
      </c>
      <c r="B215" t="s">
        <v>66</v>
      </c>
      <c r="C215">
        <v>2.5499999999999998</v>
      </c>
    </row>
    <row r="216" spans="1:3" x14ac:dyDescent="0.25">
      <c r="A216" t="s">
        <v>68</v>
      </c>
      <c r="B216" t="s">
        <v>69</v>
      </c>
      <c r="C216">
        <v>5</v>
      </c>
    </row>
    <row r="217" spans="1:3" x14ac:dyDescent="0.25">
      <c r="A217" t="s">
        <v>109</v>
      </c>
      <c r="B217" t="s">
        <v>110</v>
      </c>
      <c r="C217">
        <v>17.8</v>
      </c>
    </row>
    <row r="218" spans="1:3" x14ac:dyDescent="0.25">
      <c r="A218" t="s">
        <v>331</v>
      </c>
      <c r="B218" t="s">
        <v>332</v>
      </c>
      <c r="C218">
        <v>12.3</v>
      </c>
    </row>
    <row r="219" spans="1:3" x14ac:dyDescent="0.25">
      <c r="A219" t="s">
        <v>334</v>
      </c>
      <c r="B219" t="s">
        <v>335</v>
      </c>
      <c r="C219">
        <v>2.6</v>
      </c>
    </row>
    <row r="220" spans="1:3" x14ac:dyDescent="0.25">
      <c r="A220" t="s">
        <v>337</v>
      </c>
      <c r="B220" t="s">
        <v>338</v>
      </c>
      <c r="C220">
        <v>2.6</v>
      </c>
    </row>
    <row r="221" spans="1:3" x14ac:dyDescent="0.25">
      <c r="A221" t="s">
        <v>339</v>
      </c>
      <c r="B221" t="s">
        <v>340</v>
      </c>
      <c r="C221">
        <v>2.6</v>
      </c>
    </row>
    <row r="222" spans="1:3" x14ac:dyDescent="0.25">
      <c r="A222" t="s">
        <v>341</v>
      </c>
      <c r="B222" t="s">
        <v>5043</v>
      </c>
      <c r="C222">
        <v>3.4</v>
      </c>
    </row>
    <row r="223" spans="1:3" x14ac:dyDescent="0.25">
      <c r="A223" t="s">
        <v>322</v>
      </c>
      <c r="B223" t="s">
        <v>323</v>
      </c>
      <c r="C223">
        <v>11.9</v>
      </c>
    </row>
    <row r="224" spans="1:3" x14ac:dyDescent="0.25">
      <c r="A224" t="s">
        <v>324</v>
      </c>
      <c r="B224" t="s">
        <v>325</v>
      </c>
      <c r="C224">
        <v>5.4</v>
      </c>
    </row>
    <row r="225" spans="1:3" x14ac:dyDescent="0.25">
      <c r="A225" t="s">
        <v>326</v>
      </c>
      <c r="B225" t="s">
        <v>327</v>
      </c>
      <c r="C225">
        <v>6.1999999999999993</v>
      </c>
    </row>
    <row r="226" spans="1:3" x14ac:dyDescent="0.25">
      <c r="A226" t="s">
        <v>2753</v>
      </c>
      <c r="B226" t="s">
        <v>2754</v>
      </c>
      <c r="C226">
        <v>15.149999999999999</v>
      </c>
    </row>
    <row r="227" spans="1:3" x14ac:dyDescent="0.25">
      <c r="A227" t="s">
        <v>3532</v>
      </c>
      <c r="B227" t="s">
        <v>5171</v>
      </c>
      <c r="C227">
        <v>30.13</v>
      </c>
    </row>
    <row r="228" spans="1:3" x14ac:dyDescent="0.25">
      <c r="A228" t="s">
        <v>2800</v>
      </c>
      <c r="B228" t="s">
        <v>5189</v>
      </c>
      <c r="C228">
        <v>157.28</v>
      </c>
    </row>
    <row r="229" spans="1:3" x14ac:dyDescent="0.25">
      <c r="A229" t="s">
        <v>5190</v>
      </c>
      <c r="B229" t="s">
        <v>5194</v>
      </c>
      <c r="C229">
        <v>84.8</v>
      </c>
    </row>
    <row r="230" spans="1:3" x14ac:dyDescent="0.25">
      <c r="A230" t="s">
        <v>2803</v>
      </c>
      <c r="B230" t="s">
        <v>5195</v>
      </c>
      <c r="C230">
        <v>122.15</v>
      </c>
    </row>
    <row r="231" spans="1:3" x14ac:dyDescent="0.25">
      <c r="A231" t="s">
        <v>5196</v>
      </c>
      <c r="B231" t="s">
        <v>5200</v>
      </c>
      <c r="C231">
        <v>73.52</v>
      </c>
    </row>
    <row r="232" spans="1:3" x14ac:dyDescent="0.25">
      <c r="A232" t="s">
        <v>2806</v>
      </c>
      <c r="B232" t="s">
        <v>5202</v>
      </c>
      <c r="C232">
        <v>178.11</v>
      </c>
    </row>
    <row r="233" spans="1:3" x14ac:dyDescent="0.25">
      <c r="A233" t="s">
        <v>5203</v>
      </c>
      <c r="B233" t="s">
        <v>5206</v>
      </c>
      <c r="C233">
        <v>84.8</v>
      </c>
    </row>
    <row r="234" spans="1:3" x14ac:dyDescent="0.25">
      <c r="A234" t="s">
        <v>2809</v>
      </c>
      <c r="B234" t="s">
        <v>2810</v>
      </c>
      <c r="C234">
        <v>74.949999999999989</v>
      </c>
    </row>
    <row r="235" spans="1:3" x14ac:dyDescent="0.25">
      <c r="A235" t="s">
        <v>5207</v>
      </c>
      <c r="B235" t="s">
        <v>5208</v>
      </c>
      <c r="C235">
        <v>39.799999999999997</v>
      </c>
    </row>
    <row r="236" spans="1:3" x14ac:dyDescent="0.25">
      <c r="A236" t="s">
        <v>2812</v>
      </c>
      <c r="B236" t="s">
        <v>5212</v>
      </c>
      <c r="C236">
        <v>6.78</v>
      </c>
    </row>
    <row r="237" spans="1:3" x14ac:dyDescent="0.25">
      <c r="A237" t="s">
        <v>2815</v>
      </c>
      <c r="B237" t="s">
        <v>5219</v>
      </c>
      <c r="C237">
        <v>39.659999999999997</v>
      </c>
    </row>
    <row r="238" spans="1:3" x14ac:dyDescent="0.25">
      <c r="A238" t="s">
        <v>2818</v>
      </c>
      <c r="B238" t="s">
        <v>5223</v>
      </c>
      <c r="C238">
        <v>44.95</v>
      </c>
    </row>
    <row r="239" spans="1:3" x14ac:dyDescent="0.25">
      <c r="A239" t="s">
        <v>2855</v>
      </c>
      <c r="B239" t="s">
        <v>2856</v>
      </c>
      <c r="C239">
        <v>5.9399999999999995</v>
      </c>
    </row>
    <row r="240" spans="1:3" x14ac:dyDescent="0.25">
      <c r="A240" t="s">
        <v>5254</v>
      </c>
      <c r="B240" t="s">
        <v>5255</v>
      </c>
      <c r="C240">
        <v>40.770000000000003</v>
      </c>
    </row>
    <row r="241" spans="1:3" x14ac:dyDescent="0.25">
      <c r="A241" t="s">
        <v>5257</v>
      </c>
      <c r="B241" t="s">
        <v>5258</v>
      </c>
      <c r="C241">
        <v>31.68</v>
      </c>
    </row>
    <row r="242" spans="1:3" x14ac:dyDescent="0.25">
      <c r="A242" t="s">
        <v>5315</v>
      </c>
      <c r="B242" t="s">
        <v>5316</v>
      </c>
      <c r="C242">
        <v>916.79</v>
      </c>
    </row>
    <row r="243" spans="1:3" x14ac:dyDescent="0.25">
      <c r="A243" t="s">
        <v>5319</v>
      </c>
      <c r="B243" t="s">
        <v>5320</v>
      </c>
      <c r="C243">
        <v>859.99</v>
      </c>
    </row>
    <row r="244" spans="1:3" x14ac:dyDescent="0.25">
      <c r="A244" t="s">
        <v>5323</v>
      </c>
      <c r="B244" t="s">
        <v>5324</v>
      </c>
      <c r="C244">
        <v>1390.78</v>
      </c>
    </row>
    <row r="245" spans="1:3" x14ac:dyDescent="0.25">
      <c r="A245" t="s">
        <v>5369</v>
      </c>
      <c r="B245" t="s">
        <v>5370</v>
      </c>
      <c r="C245">
        <v>3.4</v>
      </c>
    </row>
    <row r="246" spans="1:3" x14ac:dyDescent="0.25">
      <c r="A246" t="s">
        <v>5399</v>
      </c>
      <c r="B246" t="s">
        <v>5400</v>
      </c>
      <c r="C246">
        <v>197.3</v>
      </c>
    </row>
    <row r="247" spans="1:3" x14ac:dyDescent="0.25">
      <c r="A247" t="s">
        <v>5403</v>
      </c>
      <c r="B247" t="s">
        <v>5404</v>
      </c>
      <c r="C247">
        <v>53.120000000000005</v>
      </c>
    </row>
    <row r="248" spans="1:3" x14ac:dyDescent="0.25">
      <c r="A248" t="s">
        <v>5406</v>
      </c>
      <c r="B248" t="s">
        <v>5407</v>
      </c>
      <c r="C248">
        <v>61.519999999999996</v>
      </c>
    </row>
    <row r="249" spans="1:3" x14ac:dyDescent="0.25">
      <c r="A249" t="s">
        <v>5502</v>
      </c>
      <c r="B249" t="s">
        <v>5503</v>
      </c>
      <c r="C249">
        <v>40.78</v>
      </c>
    </row>
    <row r="250" spans="1:3" x14ac:dyDescent="0.25">
      <c r="A250" t="s">
        <v>5505</v>
      </c>
      <c r="B250" t="s">
        <v>5506</v>
      </c>
      <c r="C250">
        <v>31.990000000000002</v>
      </c>
    </row>
    <row r="251" spans="1:3" x14ac:dyDescent="0.25">
      <c r="A251" t="s">
        <v>2858</v>
      </c>
      <c r="B251" t="s">
        <v>2859</v>
      </c>
      <c r="C251">
        <v>283.45999999999998</v>
      </c>
    </row>
    <row r="252" spans="1:3" x14ac:dyDescent="0.25">
      <c r="A252" t="s">
        <v>2861</v>
      </c>
      <c r="B252" t="s">
        <v>2862</v>
      </c>
      <c r="C252">
        <v>243.97</v>
      </c>
    </row>
    <row r="253" spans="1:3" x14ac:dyDescent="0.25">
      <c r="A253" t="s">
        <v>2864</v>
      </c>
      <c r="B253" t="s">
        <v>2865</v>
      </c>
      <c r="C253">
        <v>437.95</v>
      </c>
    </row>
    <row r="254" spans="1:3" x14ac:dyDescent="0.25">
      <c r="A254" t="s">
        <v>2867</v>
      </c>
      <c r="B254" t="s">
        <v>2868</v>
      </c>
      <c r="C254">
        <v>58.26</v>
      </c>
    </row>
    <row r="255" spans="1:3" x14ac:dyDescent="0.25">
      <c r="A255" t="s">
        <v>2870</v>
      </c>
      <c r="B255" t="s">
        <v>2871</v>
      </c>
      <c r="C255">
        <v>152.65</v>
      </c>
    </row>
    <row r="256" spans="1:3" x14ac:dyDescent="0.25">
      <c r="A256" t="s">
        <v>5527</v>
      </c>
      <c r="B256" t="s">
        <v>5528</v>
      </c>
      <c r="C256">
        <v>47.33</v>
      </c>
    </row>
    <row r="257" spans="1:3" x14ac:dyDescent="0.25">
      <c r="A257" t="s">
        <v>5530</v>
      </c>
      <c r="B257" t="s">
        <v>5531</v>
      </c>
      <c r="C257">
        <v>58.41</v>
      </c>
    </row>
    <row r="258" spans="1:3" x14ac:dyDescent="0.25">
      <c r="A258" t="s">
        <v>2894</v>
      </c>
      <c r="B258" t="s">
        <v>2895</v>
      </c>
      <c r="C258">
        <v>414.36</v>
      </c>
    </row>
    <row r="259" spans="1:3" x14ac:dyDescent="0.25">
      <c r="A259" t="s">
        <v>2897</v>
      </c>
      <c r="B259" t="s">
        <v>2898</v>
      </c>
      <c r="C259">
        <v>402.56</v>
      </c>
    </row>
    <row r="260" spans="1:3" x14ac:dyDescent="0.25">
      <c r="A260" t="s">
        <v>2900</v>
      </c>
      <c r="B260" t="s">
        <v>2901</v>
      </c>
      <c r="C260">
        <v>69.44</v>
      </c>
    </row>
    <row r="261" spans="1:3" x14ac:dyDescent="0.25">
      <c r="A261" t="s">
        <v>2903</v>
      </c>
      <c r="B261" t="s">
        <v>2904</v>
      </c>
      <c r="C261">
        <v>490.26</v>
      </c>
    </row>
    <row r="262" spans="1:3" x14ac:dyDescent="0.25">
      <c r="A262" t="s">
        <v>2906</v>
      </c>
      <c r="B262" t="s">
        <v>2907</v>
      </c>
      <c r="C262">
        <v>191.92000000000002</v>
      </c>
    </row>
    <row r="263" spans="1:3" x14ac:dyDescent="0.25">
      <c r="A263" t="s">
        <v>5554</v>
      </c>
      <c r="B263" t="s">
        <v>5555</v>
      </c>
      <c r="C263">
        <v>49.15</v>
      </c>
    </row>
    <row r="264" spans="1:3" x14ac:dyDescent="0.25">
      <c r="A264" t="s">
        <v>5557</v>
      </c>
      <c r="B264" t="s">
        <v>5558</v>
      </c>
      <c r="C264">
        <v>46.15</v>
      </c>
    </row>
    <row r="265" spans="1:3" x14ac:dyDescent="0.25">
      <c r="A265" t="s">
        <v>2909</v>
      </c>
      <c r="B265" t="s">
        <v>2910</v>
      </c>
      <c r="C265">
        <v>5.9399999999999995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AB2E7-5ECE-45F1-9568-17B1FE5ECEF3}">
  <dimension ref="A1:D181"/>
  <sheetViews>
    <sheetView workbookViewId="0">
      <selection activeCell="A3" sqref="A3"/>
    </sheetView>
  </sheetViews>
  <sheetFormatPr defaultRowHeight="15" x14ac:dyDescent="0.25"/>
  <cols>
    <col min="1" max="1" width="17.85546875" bestFit="1" customWidth="1"/>
    <col min="2" max="2" width="80.85546875" bestFit="1" customWidth="1"/>
    <col min="3" max="3" width="5.42578125" bestFit="1" customWidth="1"/>
    <col min="4" max="4" width="19.5703125" bestFit="1" customWidth="1"/>
  </cols>
  <sheetData>
    <row r="1" spans="1:4" x14ac:dyDescent="0.25">
      <c r="A1" t="s">
        <v>5609</v>
      </c>
      <c r="B1" t="s">
        <v>5595</v>
      </c>
      <c r="C1" t="s">
        <v>5597</v>
      </c>
      <c r="D1" t="s">
        <v>5617</v>
      </c>
    </row>
    <row r="2" spans="1:4" hidden="1" x14ac:dyDescent="0.25">
      <c r="A2" t="s">
        <v>1015</v>
      </c>
      <c r="B2" t="s">
        <v>1016</v>
      </c>
      <c r="C2" t="s">
        <v>5</v>
      </c>
      <c r="D2" t="s">
        <v>1017</v>
      </c>
    </row>
    <row r="3" spans="1:4" x14ac:dyDescent="0.25">
      <c r="A3" t="s">
        <v>7</v>
      </c>
      <c r="B3" t="s">
        <v>8</v>
      </c>
      <c r="C3" t="s">
        <v>10</v>
      </c>
      <c r="D3" t="s">
        <v>9</v>
      </c>
    </row>
    <row r="4" spans="1:4" hidden="1" x14ac:dyDescent="0.25">
      <c r="A4" t="s">
        <v>1094</v>
      </c>
      <c r="B4" t="s">
        <v>1095</v>
      </c>
      <c r="C4" t="s">
        <v>5</v>
      </c>
      <c r="D4" t="s">
        <v>887</v>
      </c>
    </row>
    <row r="5" spans="1:4" hidden="1" x14ac:dyDescent="0.25">
      <c r="A5" t="s">
        <v>1108</v>
      </c>
      <c r="B5" t="s">
        <v>1109</v>
      </c>
      <c r="C5" t="s">
        <v>39</v>
      </c>
      <c r="D5" t="s">
        <v>1110</v>
      </c>
    </row>
    <row r="6" spans="1:4" hidden="1" x14ac:dyDescent="0.25">
      <c r="A6" t="s">
        <v>1111</v>
      </c>
      <c r="B6" t="s">
        <v>1112</v>
      </c>
      <c r="C6" t="s">
        <v>39</v>
      </c>
      <c r="D6" t="s">
        <v>1113</v>
      </c>
    </row>
    <row r="7" spans="1:4" hidden="1" x14ac:dyDescent="0.25">
      <c r="A7" t="s">
        <v>41</v>
      </c>
      <c r="B7" t="s">
        <v>42</v>
      </c>
      <c r="C7" t="s">
        <v>5</v>
      </c>
      <c r="D7" t="s">
        <v>43</v>
      </c>
    </row>
    <row r="8" spans="1:4" hidden="1" x14ac:dyDescent="0.25">
      <c r="A8" t="s">
        <v>1123</v>
      </c>
      <c r="B8" t="s">
        <v>1124</v>
      </c>
      <c r="C8" t="s">
        <v>5</v>
      </c>
      <c r="D8" t="s">
        <v>70</v>
      </c>
    </row>
    <row r="9" spans="1:4" hidden="1" x14ac:dyDescent="0.25">
      <c r="A9" t="s">
        <v>1128</v>
      </c>
      <c r="B9" t="s">
        <v>1129</v>
      </c>
      <c r="C9" t="s">
        <v>5</v>
      </c>
      <c r="D9" t="s">
        <v>31</v>
      </c>
    </row>
    <row r="10" spans="1:4" hidden="1" x14ac:dyDescent="0.25">
      <c r="A10" t="s">
        <v>1207</v>
      </c>
      <c r="B10" t="s">
        <v>1208</v>
      </c>
      <c r="C10" t="s">
        <v>5</v>
      </c>
      <c r="D10" t="s">
        <v>1017</v>
      </c>
    </row>
    <row r="11" spans="1:4" hidden="1" x14ac:dyDescent="0.25">
      <c r="A11" t="s">
        <v>1203</v>
      </c>
      <c r="B11" t="s">
        <v>1204</v>
      </c>
      <c r="C11" t="s">
        <v>5</v>
      </c>
      <c r="D11" t="s">
        <v>1232</v>
      </c>
    </row>
    <row r="12" spans="1:4" hidden="1" x14ac:dyDescent="0.25">
      <c r="A12" t="s">
        <v>1234</v>
      </c>
      <c r="B12" t="s">
        <v>1235</v>
      </c>
      <c r="C12" t="s">
        <v>932</v>
      </c>
      <c r="D12" t="s">
        <v>108</v>
      </c>
    </row>
    <row r="13" spans="1:4" hidden="1" x14ac:dyDescent="0.25">
      <c r="A13" t="s">
        <v>1022</v>
      </c>
      <c r="B13" t="s">
        <v>1023</v>
      </c>
      <c r="C13" t="s">
        <v>932</v>
      </c>
      <c r="D13" t="s">
        <v>1024</v>
      </c>
    </row>
    <row r="14" spans="1:4" hidden="1" x14ac:dyDescent="0.25">
      <c r="A14" t="s">
        <v>1162</v>
      </c>
      <c r="B14" t="s">
        <v>1163</v>
      </c>
      <c r="C14" t="s">
        <v>5</v>
      </c>
      <c r="D14" t="s">
        <v>1164</v>
      </c>
    </row>
    <row r="15" spans="1:4" hidden="1" x14ac:dyDescent="0.25">
      <c r="A15" t="s">
        <v>1352</v>
      </c>
      <c r="B15" t="s">
        <v>1353</v>
      </c>
      <c r="C15" t="s">
        <v>5</v>
      </c>
      <c r="D15" t="s">
        <v>1354</v>
      </c>
    </row>
    <row r="16" spans="1:4" hidden="1" x14ac:dyDescent="0.25">
      <c r="A16" t="s">
        <v>1335</v>
      </c>
      <c r="B16" t="s">
        <v>1336</v>
      </c>
      <c r="C16" t="s">
        <v>49</v>
      </c>
      <c r="D16" t="s">
        <v>1374</v>
      </c>
    </row>
    <row r="17" spans="1:4" hidden="1" x14ac:dyDescent="0.25">
      <c r="A17" t="s">
        <v>1099</v>
      </c>
      <c r="B17" t="s">
        <v>1100</v>
      </c>
      <c r="C17" t="s">
        <v>932</v>
      </c>
      <c r="D17" t="s">
        <v>31</v>
      </c>
    </row>
    <row r="18" spans="1:4" hidden="1" x14ac:dyDescent="0.25">
      <c r="A18" t="s">
        <v>1060</v>
      </c>
      <c r="B18" t="s">
        <v>433</v>
      </c>
      <c r="C18" t="s">
        <v>121</v>
      </c>
      <c r="D18" t="s">
        <v>1061</v>
      </c>
    </row>
    <row r="19" spans="1:4" hidden="1" x14ac:dyDescent="0.25">
      <c r="A19" t="s">
        <v>432</v>
      </c>
      <c r="B19" t="s">
        <v>433</v>
      </c>
      <c r="C19" t="s">
        <v>435</v>
      </c>
      <c r="D19" t="s">
        <v>434</v>
      </c>
    </row>
    <row r="20" spans="1:4" hidden="1" x14ac:dyDescent="0.25">
      <c r="A20" t="s">
        <v>1188</v>
      </c>
      <c r="B20" t="s">
        <v>1189</v>
      </c>
      <c r="C20" t="s">
        <v>5</v>
      </c>
      <c r="D20" t="s">
        <v>1190</v>
      </c>
    </row>
    <row r="21" spans="1:4" hidden="1" x14ac:dyDescent="0.25">
      <c r="A21" t="s">
        <v>1736</v>
      </c>
      <c r="B21" t="s">
        <v>1737</v>
      </c>
      <c r="C21" t="s">
        <v>49</v>
      </c>
      <c r="D21" t="s">
        <v>1738</v>
      </c>
    </row>
    <row r="22" spans="1:4" hidden="1" x14ac:dyDescent="0.25">
      <c r="A22" t="s">
        <v>1769</v>
      </c>
      <c r="B22" t="s">
        <v>1770</v>
      </c>
      <c r="C22" t="s">
        <v>17</v>
      </c>
      <c r="D22" t="s">
        <v>1771</v>
      </c>
    </row>
    <row r="23" spans="1:4" hidden="1" x14ac:dyDescent="0.25">
      <c r="A23" t="s">
        <v>1774</v>
      </c>
      <c r="B23" t="s">
        <v>1775</v>
      </c>
      <c r="C23" t="s">
        <v>17</v>
      </c>
      <c r="D23" t="s">
        <v>1776</v>
      </c>
    </row>
    <row r="24" spans="1:4" hidden="1" x14ac:dyDescent="0.25">
      <c r="A24" t="s">
        <v>1785</v>
      </c>
      <c r="B24" t="s">
        <v>1786</v>
      </c>
      <c r="C24" t="s">
        <v>5</v>
      </c>
      <c r="D24" t="s">
        <v>216</v>
      </c>
    </row>
    <row r="25" spans="1:4" hidden="1" x14ac:dyDescent="0.25">
      <c r="A25" t="s">
        <v>1788</v>
      </c>
      <c r="B25" t="s">
        <v>1789</v>
      </c>
      <c r="C25" t="s">
        <v>5</v>
      </c>
      <c r="D25" t="s">
        <v>1354</v>
      </c>
    </row>
    <row r="26" spans="1:4" hidden="1" x14ac:dyDescent="0.25">
      <c r="A26" t="s">
        <v>1813</v>
      </c>
      <c r="B26" t="s">
        <v>1814</v>
      </c>
      <c r="C26" t="s">
        <v>5</v>
      </c>
      <c r="D26" t="s">
        <v>145</v>
      </c>
    </row>
    <row r="27" spans="1:4" hidden="1" x14ac:dyDescent="0.25">
      <c r="A27" t="s">
        <v>1367</v>
      </c>
      <c r="B27" t="s">
        <v>2132</v>
      </c>
      <c r="C27" t="s">
        <v>5</v>
      </c>
      <c r="D27" t="s">
        <v>1347</v>
      </c>
    </row>
    <row r="28" spans="1:4" hidden="1" x14ac:dyDescent="0.25">
      <c r="A28" t="s">
        <v>2161</v>
      </c>
      <c r="B28" t="s">
        <v>2162</v>
      </c>
      <c r="C28" t="s">
        <v>5</v>
      </c>
      <c r="D28" t="s">
        <v>1354</v>
      </c>
    </row>
    <row r="29" spans="1:4" hidden="1" x14ac:dyDescent="0.25">
      <c r="A29" t="s">
        <v>2467</v>
      </c>
      <c r="B29" t="s">
        <v>2468</v>
      </c>
      <c r="C29" t="s">
        <v>5</v>
      </c>
      <c r="D29" t="s">
        <v>2469</v>
      </c>
    </row>
    <row r="30" spans="1:4" hidden="1" x14ac:dyDescent="0.25">
      <c r="A30" t="s">
        <v>2509</v>
      </c>
      <c r="B30" t="s">
        <v>2510</v>
      </c>
      <c r="C30" t="s">
        <v>5</v>
      </c>
      <c r="D30" t="s">
        <v>216</v>
      </c>
    </row>
    <row r="31" spans="1:4" hidden="1" x14ac:dyDescent="0.25">
      <c r="A31" t="s">
        <v>2511</v>
      </c>
      <c r="B31" t="s">
        <v>2512</v>
      </c>
      <c r="C31" t="s">
        <v>17</v>
      </c>
      <c r="D31" t="s">
        <v>2513</v>
      </c>
    </row>
    <row r="32" spans="1:4" hidden="1" x14ac:dyDescent="0.25">
      <c r="A32" t="s">
        <v>2516</v>
      </c>
      <c r="B32" t="s">
        <v>2517</v>
      </c>
      <c r="C32" t="s">
        <v>17</v>
      </c>
      <c r="D32" t="s">
        <v>1110</v>
      </c>
    </row>
    <row r="33" spans="1:4" hidden="1" x14ac:dyDescent="0.25">
      <c r="A33" t="s">
        <v>2555</v>
      </c>
      <c r="B33" t="s">
        <v>2556</v>
      </c>
      <c r="C33" t="s">
        <v>49</v>
      </c>
      <c r="D33" t="s">
        <v>2557</v>
      </c>
    </row>
    <row r="34" spans="1:4" hidden="1" x14ac:dyDescent="0.25">
      <c r="A34" t="s">
        <v>2558</v>
      </c>
      <c r="B34" t="s">
        <v>2559</v>
      </c>
      <c r="C34" t="s">
        <v>121</v>
      </c>
      <c r="D34" t="s">
        <v>1796</v>
      </c>
    </row>
    <row r="35" spans="1:4" hidden="1" x14ac:dyDescent="0.25">
      <c r="A35" t="s">
        <v>2566</v>
      </c>
      <c r="B35" t="s">
        <v>2567</v>
      </c>
      <c r="C35" t="s">
        <v>49</v>
      </c>
      <c r="D35" t="s">
        <v>2568</v>
      </c>
    </row>
    <row r="36" spans="1:4" hidden="1" x14ac:dyDescent="0.25">
      <c r="A36" t="s">
        <v>2668</v>
      </c>
      <c r="B36" t="s">
        <v>2669</v>
      </c>
      <c r="C36" t="s">
        <v>5</v>
      </c>
      <c r="D36" t="s">
        <v>2670</v>
      </c>
    </row>
    <row r="37" spans="1:4" hidden="1" x14ac:dyDescent="0.25">
      <c r="A37" t="s">
        <v>2672</v>
      </c>
      <c r="B37" t="s">
        <v>2673</v>
      </c>
      <c r="C37" t="s">
        <v>121</v>
      </c>
      <c r="D37" t="s">
        <v>2674</v>
      </c>
    </row>
    <row r="38" spans="1:4" hidden="1" x14ac:dyDescent="0.25">
      <c r="A38" t="s">
        <v>1854</v>
      </c>
      <c r="B38" t="s">
        <v>1855</v>
      </c>
      <c r="C38" t="s">
        <v>1857</v>
      </c>
      <c r="D38" t="s">
        <v>1856</v>
      </c>
    </row>
    <row r="39" spans="1:4" hidden="1" x14ac:dyDescent="0.25">
      <c r="A39" t="s">
        <v>1859</v>
      </c>
      <c r="B39" t="s">
        <v>1860</v>
      </c>
      <c r="C39" t="s">
        <v>1857</v>
      </c>
      <c r="D39" t="s">
        <v>1861</v>
      </c>
    </row>
    <row r="40" spans="1:4" hidden="1" x14ac:dyDescent="0.25">
      <c r="A40" t="s">
        <v>2666</v>
      </c>
      <c r="B40" t="s">
        <v>2667</v>
      </c>
      <c r="C40" t="s">
        <v>49</v>
      </c>
      <c r="D40" t="s">
        <v>2681</v>
      </c>
    </row>
    <row r="41" spans="1:4" hidden="1" x14ac:dyDescent="0.25">
      <c r="A41" t="s">
        <v>2682</v>
      </c>
      <c r="B41" t="s">
        <v>2683</v>
      </c>
      <c r="C41" t="s">
        <v>49</v>
      </c>
      <c r="D41" t="s">
        <v>2684</v>
      </c>
    </row>
    <row r="42" spans="1:4" hidden="1" x14ac:dyDescent="0.25">
      <c r="A42" t="s">
        <v>1249</v>
      </c>
      <c r="B42" t="s">
        <v>1250</v>
      </c>
      <c r="C42" t="s">
        <v>1252</v>
      </c>
      <c r="D42" t="s">
        <v>1251</v>
      </c>
    </row>
    <row r="43" spans="1:4" hidden="1" x14ac:dyDescent="0.25">
      <c r="A43" t="s">
        <v>3063</v>
      </c>
      <c r="B43" t="s">
        <v>3064</v>
      </c>
      <c r="C43" t="s">
        <v>5</v>
      </c>
      <c r="D43" t="s">
        <v>1017</v>
      </c>
    </row>
    <row r="44" spans="1:4" hidden="1" x14ac:dyDescent="0.25">
      <c r="A44" t="s">
        <v>3087</v>
      </c>
      <c r="B44" t="s">
        <v>3088</v>
      </c>
      <c r="C44" t="s">
        <v>17</v>
      </c>
      <c r="D44" t="s">
        <v>3089</v>
      </c>
    </row>
    <row r="45" spans="1:4" hidden="1" x14ac:dyDescent="0.25">
      <c r="A45" t="s">
        <v>2078</v>
      </c>
      <c r="B45" t="s">
        <v>2079</v>
      </c>
      <c r="C45" t="s">
        <v>5</v>
      </c>
      <c r="D45" t="s">
        <v>1354</v>
      </c>
    </row>
    <row r="46" spans="1:4" hidden="1" x14ac:dyDescent="0.25">
      <c r="A46" t="s">
        <v>541</v>
      </c>
      <c r="B46" t="s">
        <v>542</v>
      </c>
      <c r="C46" t="s">
        <v>10</v>
      </c>
      <c r="D46" t="s">
        <v>9</v>
      </c>
    </row>
    <row r="47" spans="1:4" hidden="1" x14ac:dyDescent="0.25">
      <c r="A47" t="s">
        <v>3167</v>
      </c>
      <c r="B47" t="s">
        <v>3168</v>
      </c>
      <c r="C47" t="s">
        <v>17</v>
      </c>
      <c r="D47" t="s">
        <v>111</v>
      </c>
    </row>
    <row r="48" spans="1:4" hidden="1" x14ac:dyDescent="0.25">
      <c r="A48" t="s">
        <v>3225</v>
      </c>
      <c r="B48" t="s">
        <v>3226</v>
      </c>
      <c r="C48" t="s">
        <v>121</v>
      </c>
      <c r="D48" t="s">
        <v>3227</v>
      </c>
    </row>
    <row r="49" spans="1:4" hidden="1" x14ac:dyDescent="0.25">
      <c r="A49" t="s">
        <v>3228</v>
      </c>
      <c r="B49" t="s">
        <v>3229</v>
      </c>
      <c r="C49" t="s">
        <v>121</v>
      </c>
      <c r="D49" t="s">
        <v>3230</v>
      </c>
    </row>
    <row r="50" spans="1:4" hidden="1" x14ac:dyDescent="0.25">
      <c r="A50" t="s">
        <v>3231</v>
      </c>
      <c r="B50" t="s">
        <v>3232</v>
      </c>
      <c r="C50" t="s">
        <v>121</v>
      </c>
      <c r="D50" t="s">
        <v>3233</v>
      </c>
    </row>
    <row r="51" spans="1:4" hidden="1" x14ac:dyDescent="0.25">
      <c r="A51" t="s">
        <v>3173</v>
      </c>
      <c r="B51" t="s">
        <v>3174</v>
      </c>
      <c r="C51" t="s">
        <v>121</v>
      </c>
      <c r="D51" t="s">
        <v>3234</v>
      </c>
    </row>
    <row r="52" spans="1:4" hidden="1" x14ac:dyDescent="0.25">
      <c r="A52" t="s">
        <v>3179</v>
      </c>
      <c r="B52" t="s">
        <v>3180</v>
      </c>
      <c r="C52" t="s">
        <v>121</v>
      </c>
      <c r="D52" t="s">
        <v>151</v>
      </c>
    </row>
    <row r="53" spans="1:4" hidden="1" x14ac:dyDescent="0.25">
      <c r="A53" t="s">
        <v>3235</v>
      </c>
      <c r="B53" t="s">
        <v>3236</v>
      </c>
      <c r="C53" t="s">
        <v>121</v>
      </c>
      <c r="D53" t="s">
        <v>3237</v>
      </c>
    </row>
    <row r="54" spans="1:4" hidden="1" x14ac:dyDescent="0.25">
      <c r="A54" t="s">
        <v>3182</v>
      </c>
      <c r="B54" t="s">
        <v>3183</v>
      </c>
      <c r="C54" t="s">
        <v>121</v>
      </c>
      <c r="D54" t="s">
        <v>3184</v>
      </c>
    </row>
    <row r="55" spans="1:4" hidden="1" x14ac:dyDescent="0.25">
      <c r="A55" t="s">
        <v>3185</v>
      </c>
      <c r="B55" t="s">
        <v>3186</v>
      </c>
      <c r="C55" t="s">
        <v>121</v>
      </c>
      <c r="D55" t="s">
        <v>979</v>
      </c>
    </row>
    <row r="56" spans="1:4" hidden="1" x14ac:dyDescent="0.25">
      <c r="A56" t="s">
        <v>3238</v>
      </c>
      <c r="B56" t="s">
        <v>3239</v>
      </c>
      <c r="C56" t="s">
        <v>121</v>
      </c>
      <c r="D56" t="s">
        <v>3240</v>
      </c>
    </row>
    <row r="57" spans="1:4" hidden="1" x14ac:dyDescent="0.25">
      <c r="A57" t="s">
        <v>3241</v>
      </c>
      <c r="B57" t="s">
        <v>3242</v>
      </c>
      <c r="C57" t="s">
        <v>121</v>
      </c>
      <c r="D57" t="s">
        <v>336</v>
      </c>
    </row>
    <row r="58" spans="1:4" hidden="1" x14ac:dyDescent="0.25">
      <c r="A58" t="s">
        <v>3243</v>
      </c>
      <c r="B58" t="s">
        <v>3244</v>
      </c>
      <c r="C58" t="s">
        <v>121</v>
      </c>
      <c r="D58" t="s">
        <v>3245</v>
      </c>
    </row>
    <row r="59" spans="1:4" hidden="1" x14ac:dyDescent="0.25">
      <c r="A59" t="s">
        <v>3246</v>
      </c>
      <c r="B59" t="s">
        <v>3247</v>
      </c>
      <c r="C59" t="s">
        <v>121</v>
      </c>
      <c r="D59" t="s">
        <v>3248</v>
      </c>
    </row>
    <row r="60" spans="1:4" hidden="1" x14ac:dyDescent="0.25">
      <c r="A60" t="s">
        <v>857</v>
      </c>
      <c r="B60" t="s">
        <v>858</v>
      </c>
      <c r="C60" t="s">
        <v>49</v>
      </c>
      <c r="D60" t="s">
        <v>686</v>
      </c>
    </row>
    <row r="61" spans="1:4" hidden="1" x14ac:dyDescent="0.25">
      <c r="A61" t="s">
        <v>3255</v>
      </c>
      <c r="B61" t="s">
        <v>3256</v>
      </c>
      <c r="C61" t="s">
        <v>5</v>
      </c>
      <c r="D61" t="s">
        <v>3756</v>
      </c>
    </row>
    <row r="62" spans="1:4" hidden="1" x14ac:dyDescent="0.25">
      <c r="A62" t="s">
        <v>3258</v>
      </c>
      <c r="B62" t="s">
        <v>3259</v>
      </c>
      <c r="C62" t="s">
        <v>5</v>
      </c>
      <c r="D62" t="s">
        <v>70</v>
      </c>
    </row>
    <row r="63" spans="1:4" hidden="1" x14ac:dyDescent="0.25">
      <c r="A63" t="s">
        <v>2941</v>
      </c>
      <c r="B63" t="s">
        <v>2942</v>
      </c>
      <c r="C63" t="s">
        <v>5</v>
      </c>
      <c r="D63" t="s">
        <v>1394</v>
      </c>
    </row>
    <row r="64" spans="1:4" hidden="1" x14ac:dyDescent="0.25">
      <c r="A64" t="s">
        <v>22</v>
      </c>
      <c r="B64" t="s">
        <v>23</v>
      </c>
      <c r="C64" t="s">
        <v>17</v>
      </c>
      <c r="D64" t="s">
        <v>3050</v>
      </c>
    </row>
    <row r="65" spans="1:4" hidden="1" x14ac:dyDescent="0.25">
      <c r="A65" t="s">
        <v>3485</v>
      </c>
      <c r="B65" t="s">
        <v>3486</v>
      </c>
      <c r="C65" t="s">
        <v>121</v>
      </c>
      <c r="D65" t="s">
        <v>3487</v>
      </c>
    </row>
    <row r="66" spans="1:4" hidden="1" x14ac:dyDescent="0.25">
      <c r="A66" t="s">
        <v>3488</v>
      </c>
      <c r="B66" t="s">
        <v>3489</v>
      </c>
      <c r="C66" t="s">
        <v>121</v>
      </c>
      <c r="D66" t="s">
        <v>3490</v>
      </c>
    </row>
    <row r="67" spans="1:4" hidden="1" x14ac:dyDescent="0.25">
      <c r="A67" t="s">
        <v>3288</v>
      </c>
      <c r="B67" t="s">
        <v>3289</v>
      </c>
      <c r="C67" t="s">
        <v>5</v>
      </c>
      <c r="D67" t="s">
        <v>1970</v>
      </c>
    </row>
    <row r="68" spans="1:4" hidden="1" x14ac:dyDescent="0.25">
      <c r="A68" t="s">
        <v>3565</v>
      </c>
      <c r="B68" t="s">
        <v>3566</v>
      </c>
      <c r="C68" t="s">
        <v>5</v>
      </c>
      <c r="D68" t="s">
        <v>1017</v>
      </c>
    </row>
    <row r="69" spans="1:4" hidden="1" x14ac:dyDescent="0.25">
      <c r="A69" t="s">
        <v>3568</v>
      </c>
      <c r="B69" t="s">
        <v>3569</v>
      </c>
      <c r="C69" t="s">
        <v>17</v>
      </c>
      <c r="D69" t="s">
        <v>3570</v>
      </c>
    </row>
    <row r="70" spans="1:4" hidden="1" x14ac:dyDescent="0.25">
      <c r="A70" t="s">
        <v>3574</v>
      </c>
      <c r="B70" t="s">
        <v>3575</v>
      </c>
      <c r="C70" t="s">
        <v>5</v>
      </c>
      <c r="D70" t="s">
        <v>1354</v>
      </c>
    </row>
    <row r="71" spans="1:4" hidden="1" x14ac:dyDescent="0.25">
      <c r="A71" t="s">
        <v>3578</v>
      </c>
      <c r="B71" t="s">
        <v>3579</v>
      </c>
      <c r="C71" t="s">
        <v>121</v>
      </c>
      <c r="D71" t="s">
        <v>3580</v>
      </c>
    </row>
    <row r="72" spans="1:4" hidden="1" x14ac:dyDescent="0.25">
      <c r="A72" t="s">
        <v>3581</v>
      </c>
      <c r="B72" t="s">
        <v>3582</v>
      </c>
      <c r="C72" t="s">
        <v>121</v>
      </c>
      <c r="D72" t="s">
        <v>3583</v>
      </c>
    </row>
    <row r="73" spans="1:4" hidden="1" x14ac:dyDescent="0.25">
      <c r="A73" t="s">
        <v>1121</v>
      </c>
      <c r="B73" t="s">
        <v>3585</v>
      </c>
      <c r="C73" t="s">
        <v>121</v>
      </c>
      <c r="D73" t="s">
        <v>3586</v>
      </c>
    </row>
    <row r="74" spans="1:4" hidden="1" x14ac:dyDescent="0.25">
      <c r="A74" t="s">
        <v>1447</v>
      </c>
      <c r="B74" t="s">
        <v>1448</v>
      </c>
      <c r="C74" t="s">
        <v>5</v>
      </c>
      <c r="D74" t="s">
        <v>779</v>
      </c>
    </row>
    <row r="75" spans="1:4" hidden="1" x14ac:dyDescent="0.25">
      <c r="A75" t="s">
        <v>3715</v>
      </c>
      <c r="B75" t="s">
        <v>3716</v>
      </c>
      <c r="C75" t="s">
        <v>17</v>
      </c>
      <c r="D75" t="s">
        <v>3189</v>
      </c>
    </row>
    <row r="76" spans="1:4" hidden="1" x14ac:dyDescent="0.25">
      <c r="A76" t="s">
        <v>684</v>
      </c>
      <c r="B76" t="s">
        <v>685</v>
      </c>
      <c r="C76" t="s">
        <v>49</v>
      </c>
      <c r="D76" t="s">
        <v>686</v>
      </c>
    </row>
    <row r="77" spans="1:4" hidden="1" x14ac:dyDescent="0.25">
      <c r="A77" t="s">
        <v>429</v>
      </c>
      <c r="B77" t="s">
        <v>430</v>
      </c>
      <c r="C77" t="s">
        <v>5</v>
      </c>
      <c r="D77" t="s">
        <v>145</v>
      </c>
    </row>
    <row r="78" spans="1:4" hidden="1" x14ac:dyDescent="0.25">
      <c r="A78" t="s">
        <v>3317</v>
      </c>
      <c r="B78" t="s">
        <v>3318</v>
      </c>
      <c r="C78" t="s">
        <v>5</v>
      </c>
      <c r="D78" t="s">
        <v>3756</v>
      </c>
    </row>
    <row r="79" spans="1:4" hidden="1" x14ac:dyDescent="0.25">
      <c r="A79" t="s">
        <v>2</v>
      </c>
      <c r="B79" t="s">
        <v>3</v>
      </c>
      <c r="C79" t="s">
        <v>5</v>
      </c>
      <c r="D79" t="s">
        <v>4</v>
      </c>
    </row>
    <row r="80" spans="1:4" hidden="1" x14ac:dyDescent="0.25">
      <c r="A80" t="s">
        <v>3764</v>
      </c>
      <c r="B80" t="s">
        <v>3765</v>
      </c>
      <c r="C80" t="s">
        <v>5</v>
      </c>
      <c r="D80" t="s">
        <v>2883</v>
      </c>
    </row>
    <row r="81" spans="1:4" hidden="1" x14ac:dyDescent="0.25">
      <c r="A81" t="s">
        <v>3767</v>
      </c>
      <c r="B81" t="s">
        <v>3768</v>
      </c>
      <c r="C81" t="s">
        <v>5</v>
      </c>
      <c r="D81" t="s">
        <v>1101</v>
      </c>
    </row>
    <row r="82" spans="1:4" hidden="1" x14ac:dyDescent="0.25">
      <c r="A82" t="s">
        <v>3770</v>
      </c>
      <c r="B82" t="s">
        <v>3771</v>
      </c>
      <c r="C82" t="s">
        <v>5</v>
      </c>
      <c r="D82" t="s">
        <v>216</v>
      </c>
    </row>
    <row r="83" spans="1:4" hidden="1" x14ac:dyDescent="0.25">
      <c r="A83" t="s">
        <v>3774</v>
      </c>
      <c r="B83" t="s">
        <v>3775</v>
      </c>
      <c r="C83" t="s">
        <v>5</v>
      </c>
      <c r="D83" t="s">
        <v>191</v>
      </c>
    </row>
    <row r="84" spans="1:4" hidden="1" x14ac:dyDescent="0.25">
      <c r="A84" t="s">
        <v>1487</v>
      </c>
      <c r="B84" t="s">
        <v>1488</v>
      </c>
      <c r="C84" t="s">
        <v>5</v>
      </c>
      <c r="D84" t="s">
        <v>31</v>
      </c>
    </row>
    <row r="85" spans="1:4" x14ac:dyDescent="0.25">
      <c r="A85" t="s">
        <v>7</v>
      </c>
      <c r="B85" t="s">
        <v>1031</v>
      </c>
      <c r="C85" t="s">
        <v>10</v>
      </c>
      <c r="D85" t="s">
        <v>9</v>
      </c>
    </row>
    <row r="86" spans="1:4" hidden="1" x14ac:dyDescent="0.25">
      <c r="A86" t="s">
        <v>3780</v>
      </c>
      <c r="B86" t="s">
        <v>3781</v>
      </c>
      <c r="C86" t="s">
        <v>5</v>
      </c>
      <c r="D86" t="s">
        <v>3586</v>
      </c>
    </row>
    <row r="87" spans="1:4" hidden="1" x14ac:dyDescent="0.25">
      <c r="A87" t="s">
        <v>3786</v>
      </c>
      <c r="B87" t="s">
        <v>3787</v>
      </c>
      <c r="C87" t="s">
        <v>5</v>
      </c>
      <c r="D87" t="s">
        <v>117</v>
      </c>
    </row>
    <row r="88" spans="1:4" hidden="1" x14ac:dyDescent="0.25">
      <c r="A88" t="s">
        <v>3510</v>
      </c>
      <c r="B88" t="s">
        <v>3511</v>
      </c>
      <c r="C88" t="s">
        <v>5</v>
      </c>
      <c r="D88" t="s">
        <v>1017</v>
      </c>
    </row>
    <row r="89" spans="1:4" hidden="1" x14ac:dyDescent="0.25">
      <c r="A89" t="s">
        <v>3790</v>
      </c>
      <c r="B89" t="s">
        <v>3791</v>
      </c>
      <c r="C89" t="s">
        <v>5</v>
      </c>
      <c r="D89" t="s">
        <v>1017</v>
      </c>
    </row>
    <row r="90" spans="1:4" hidden="1" x14ac:dyDescent="0.25">
      <c r="A90" t="s">
        <v>3793</v>
      </c>
      <c r="B90" t="s">
        <v>3794</v>
      </c>
      <c r="C90" t="s">
        <v>5</v>
      </c>
      <c r="D90" t="s">
        <v>3795</v>
      </c>
    </row>
    <row r="91" spans="1:4" hidden="1" x14ac:dyDescent="0.25">
      <c r="A91" t="s">
        <v>1743</v>
      </c>
      <c r="B91" t="s">
        <v>1744</v>
      </c>
      <c r="C91" t="s">
        <v>5</v>
      </c>
      <c r="D91" t="s">
        <v>1354</v>
      </c>
    </row>
    <row r="92" spans="1:4" hidden="1" x14ac:dyDescent="0.25">
      <c r="A92" t="s">
        <v>3803</v>
      </c>
      <c r="B92" t="s">
        <v>3804</v>
      </c>
      <c r="C92" t="s">
        <v>932</v>
      </c>
      <c r="D92" t="s">
        <v>3805</v>
      </c>
    </row>
    <row r="93" spans="1:4" hidden="1" x14ac:dyDescent="0.25">
      <c r="A93" t="s">
        <v>3808</v>
      </c>
      <c r="B93" t="s">
        <v>3809</v>
      </c>
      <c r="C93" t="s">
        <v>5</v>
      </c>
      <c r="D93" t="s">
        <v>3795</v>
      </c>
    </row>
    <row r="94" spans="1:4" hidden="1" x14ac:dyDescent="0.25">
      <c r="A94" t="s">
        <v>3431</v>
      </c>
      <c r="B94" t="s">
        <v>3432</v>
      </c>
      <c r="C94" t="s">
        <v>5</v>
      </c>
      <c r="D94" t="s">
        <v>1354</v>
      </c>
    </row>
    <row r="95" spans="1:4" hidden="1" x14ac:dyDescent="0.25">
      <c r="A95" t="s">
        <v>3818</v>
      </c>
      <c r="B95" t="s">
        <v>3819</v>
      </c>
      <c r="C95" t="s">
        <v>5</v>
      </c>
      <c r="D95" t="s">
        <v>3820</v>
      </c>
    </row>
    <row r="96" spans="1:4" hidden="1" x14ac:dyDescent="0.25">
      <c r="A96" t="s">
        <v>3824</v>
      </c>
      <c r="B96" t="s">
        <v>3825</v>
      </c>
      <c r="C96" t="s">
        <v>5</v>
      </c>
      <c r="D96" t="s">
        <v>216</v>
      </c>
    </row>
    <row r="97" spans="1:4" hidden="1" x14ac:dyDescent="0.25">
      <c r="A97" t="s">
        <v>3914</v>
      </c>
      <c r="B97" t="s">
        <v>3915</v>
      </c>
      <c r="C97" t="s">
        <v>5</v>
      </c>
      <c r="D97" t="s">
        <v>3916</v>
      </c>
    </row>
    <row r="98" spans="1:4" hidden="1" x14ac:dyDescent="0.25">
      <c r="A98" t="s">
        <v>3919</v>
      </c>
      <c r="B98" t="s">
        <v>3920</v>
      </c>
      <c r="C98" t="s">
        <v>3921</v>
      </c>
      <c r="D98" t="s">
        <v>1888</v>
      </c>
    </row>
    <row r="99" spans="1:4" hidden="1" x14ac:dyDescent="0.25">
      <c r="A99" t="s">
        <v>3981</v>
      </c>
      <c r="B99" t="s">
        <v>3982</v>
      </c>
      <c r="C99" t="s">
        <v>5</v>
      </c>
      <c r="D99" t="s">
        <v>3983</v>
      </c>
    </row>
    <row r="100" spans="1:4" hidden="1" x14ac:dyDescent="0.25">
      <c r="A100" t="s">
        <v>3986</v>
      </c>
      <c r="B100" t="s">
        <v>3987</v>
      </c>
      <c r="C100" t="s">
        <v>5</v>
      </c>
      <c r="D100" t="s">
        <v>3988</v>
      </c>
    </row>
    <row r="101" spans="1:4" hidden="1" x14ac:dyDescent="0.25">
      <c r="A101" t="s">
        <v>1074</v>
      </c>
      <c r="B101" t="s">
        <v>1075</v>
      </c>
      <c r="C101" t="s">
        <v>5</v>
      </c>
      <c r="D101" t="s">
        <v>1884</v>
      </c>
    </row>
    <row r="102" spans="1:4" hidden="1" x14ac:dyDescent="0.25">
      <c r="A102" t="s">
        <v>1117</v>
      </c>
      <c r="B102" t="s">
        <v>1118</v>
      </c>
      <c r="C102" t="s">
        <v>5</v>
      </c>
      <c r="D102" t="s">
        <v>876</v>
      </c>
    </row>
    <row r="103" spans="1:4" hidden="1" x14ac:dyDescent="0.25">
      <c r="A103" t="s">
        <v>29</v>
      </c>
      <c r="B103" t="s">
        <v>30</v>
      </c>
      <c r="C103" t="s">
        <v>5</v>
      </c>
      <c r="D103" t="s">
        <v>31</v>
      </c>
    </row>
    <row r="104" spans="1:4" hidden="1" x14ac:dyDescent="0.25">
      <c r="A104" t="s">
        <v>3998</v>
      </c>
      <c r="B104" t="s">
        <v>3999</v>
      </c>
      <c r="C104" t="s">
        <v>5</v>
      </c>
      <c r="D104" t="s">
        <v>1354</v>
      </c>
    </row>
    <row r="105" spans="1:4" hidden="1" x14ac:dyDescent="0.25">
      <c r="A105" t="s">
        <v>1387</v>
      </c>
      <c r="B105" t="s">
        <v>1388</v>
      </c>
      <c r="C105" t="s">
        <v>17</v>
      </c>
      <c r="D105" t="s">
        <v>879</v>
      </c>
    </row>
    <row r="106" spans="1:4" hidden="1" x14ac:dyDescent="0.25">
      <c r="A106" t="s">
        <v>1010</v>
      </c>
      <c r="B106" t="s">
        <v>1011</v>
      </c>
      <c r="C106" t="s">
        <v>5</v>
      </c>
      <c r="D106" t="s">
        <v>1354</v>
      </c>
    </row>
    <row r="107" spans="1:4" hidden="1" x14ac:dyDescent="0.25">
      <c r="A107" t="s">
        <v>4085</v>
      </c>
      <c r="B107" t="s">
        <v>4086</v>
      </c>
      <c r="C107" t="s">
        <v>5</v>
      </c>
      <c r="D107" t="s">
        <v>1394</v>
      </c>
    </row>
    <row r="108" spans="1:4" hidden="1" x14ac:dyDescent="0.25">
      <c r="A108" t="s">
        <v>4122</v>
      </c>
      <c r="B108" t="s">
        <v>4123</v>
      </c>
      <c r="C108" t="s">
        <v>17</v>
      </c>
      <c r="D108" t="s">
        <v>4124</v>
      </c>
    </row>
    <row r="109" spans="1:4" hidden="1" x14ac:dyDescent="0.25">
      <c r="A109" t="s">
        <v>4284</v>
      </c>
      <c r="B109" t="s">
        <v>4285</v>
      </c>
      <c r="C109" t="s">
        <v>17</v>
      </c>
      <c r="D109" t="s">
        <v>4286</v>
      </c>
    </row>
    <row r="110" spans="1:4" hidden="1" x14ac:dyDescent="0.25">
      <c r="A110" t="s">
        <v>3011</v>
      </c>
      <c r="B110" t="s">
        <v>4309</v>
      </c>
      <c r="C110" t="s">
        <v>932</v>
      </c>
      <c r="D110" t="s">
        <v>1394</v>
      </c>
    </row>
    <row r="111" spans="1:4" hidden="1" x14ac:dyDescent="0.25">
      <c r="A111" t="s">
        <v>4331</v>
      </c>
      <c r="B111" t="s">
        <v>4332</v>
      </c>
      <c r="C111" t="s">
        <v>5</v>
      </c>
      <c r="D111" t="s">
        <v>712</v>
      </c>
    </row>
    <row r="112" spans="1:4" hidden="1" x14ac:dyDescent="0.25">
      <c r="A112" t="s">
        <v>2529</v>
      </c>
      <c r="B112" t="s">
        <v>2530</v>
      </c>
      <c r="C112" t="s">
        <v>5</v>
      </c>
      <c r="D112" t="s">
        <v>2469</v>
      </c>
    </row>
    <row r="113" spans="1:4" hidden="1" x14ac:dyDescent="0.25">
      <c r="A113" t="s">
        <v>4411</v>
      </c>
      <c r="B113" t="s">
        <v>4412</v>
      </c>
      <c r="C113" t="s">
        <v>17</v>
      </c>
      <c r="D113" t="s">
        <v>4413</v>
      </c>
    </row>
    <row r="114" spans="1:4" hidden="1" x14ac:dyDescent="0.25">
      <c r="A114" t="s">
        <v>4415</v>
      </c>
      <c r="B114" t="s">
        <v>4416</v>
      </c>
      <c r="C114" t="s">
        <v>49</v>
      </c>
      <c r="D114" t="s">
        <v>4417</v>
      </c>
    </row>
    <row r="115" spans="1:4" hidden="1" x14ac:dyDescent="0.25">
      <c r="A115" t="s">
        <v>4418</v>
      </c>
      <c r="B115" t="s">
        <v>4419</v>
      </c>
      <c r="C115" t="s">
        <v>49</v>
      </c>
      <c r="D115" t="s">
        <v>4420</v>
      </c>
    </row>
    <row r="116" spans="1:4" hidden="1" x14ac:dyDescent="0.25">
      <c r="A116" t="s">
        <v>2474</v>
      </c>
      <c r="B116" t="s">
        <v>2475</v>
      </c>
      <c r="C116" t="s">
        <v>5</v>
      </c>
      <c r="D116" t="s">
        <v>2469</v>
      </c>
    </row>
    <row r="117" spans="1:4" hidden="1" x14ac:dyDescent="0.25">
      <c r="A117" t="s">
        <v>4168</v>
      </c>
      <c r="B117" t="s">
        <v>4423</v>
      </c>
      <c r="C117" t="s">
        <v>5</v>
      </c>
      <c r="D117" t="s">
        <v>70</v>
      </c>
    </row>
    <row r="118" spans="1:4" hidden="1" x14ac:dyDescent="0.25">
      <c r="A118" t="s">
        <v>4439</v>
      </c>
      <c r="B118" t="s">
        <v>4440</v>
      </c>
      <c r="C118" t="s">
        <v>17</v>
      </c>
      <c r="D118" t="s">
        <v>1043</v>
      </c>
    </row>
    <row r="119" spans="1:4" hidden="1" x14ac:dyDescent="0.25">
      <c r="A119" t="s">
        <v>2450</v>
      </c>
      <c r="B119" t="s">
        <v>2451</v>
      </c>
      <c r="C119" t="s">
        <v>5</v>
      </c>
      <c r="D119" t="s">
        <v>31</v>
      </c>
    </row>
    <row r="120" spans="1:4" hidden="1" x14ac:dyDescent="0.25">
      <c r="A120" t="s">
        <v>4472</v>
      </c>
      <c r="B120" t="s">
        <v>4473</v>
      </c>
      <c r="C120" t="s">
        <v>17</v>
      </c>
      <c r="D120" t="s">
        <v>4474</v>
      </c>
    </row>
    <row r="121" spans="1:4" hidden="1" x14ac:dyDescent="0.25">
      <c r="A121" t="s">
        <v>2522</v>
      </c>
      <c r="B121" t="s">
        <v>2523</v>
      </c>
      <c r="C121" t="s">
        <v>5</v>
      </c>
      <c r="D121" t="s">
        <v>1354</v>
      </c>
    </row>
    <row r="122" spans="1:4" hidden="1" x14ac:dyDescent="0.25">
      <c r="A122" t="s">
        <v>4595</v>
      </c>
      <c r="B122" t="s">
        <v>4596</v>
      </c>
      <c r="C122" t="s">
        <v>49</v>
      </c>
      <c r="D122" t="s">
        <v>803</v>
      </c>
    </row>
    <row r="123" spans="1:4" hidden="1" x14ac:dyDescent="0.25">
      <c r="A123" t="s">
        <v>2703</v>
      </c>
      <c r="B123" t="s">
        <v>2704</v>
      </c>
      <c r="C123" t="s">
        <v>17</v>
      </c>
      <c r="D123" t="s">
        <v>216</v>
      </c>
    </row>
    <row r="124" spans="1:4" hidden="1" x14ac:dyDescent="0.25">
      <c r="A124" t="s">
        <v>2705</v>
      </c>
      <c r="B124" t="s">
        <v>2706</v>
      </c>
      <c r="C124" t="s">
        <v>49</v>
      </c>
      <c r="D124" t="s">
        <v>2707</v>
      </c>
    </row>
    <row r="125" spans="1:4" hidden="1" x14ac:dyDescent="0.25">
      <c r="A125" t="s">
        <v>4641</v>
      </c>
      <c r="B125" t="s">
        <v>4642</v>
      </c>
      <c r="C125" t="s">
        <v>39</v>
      </c>
      <c r="D125" t="s">
        <v>4643</v>
      </c>
    </row>
    <row r="126" spans="1:4" hidden="1" x14ac:dyDescent="0.25">
      <c r="A126" t="s">
        <v>2688</v>
      </c>
      <c r="B126" t="s">
        <v>2689</v>
      </c>
      <c r="C126" t="s">
        <v>39</v>
      </c>
      <c r="D126" t="s">
        <v>2690</v>
      </c>
    </row>
    <row r="127" spans="1:4" hidden="1" x14ac:dyDescent="0.25">
      <c r="A127" t="s">
        <v>649</v>
      </c>
      <c r="B127" t="s">
        <v>650</v>
      </c>
      <c r="C127" t="s">
        <v>39</v>
      </c>
      <c r="D127" t="s">
        <v>2303</v>
      </c>
    </row>
    <row r="128" spans="1:4" hidden="1" x14ac:dyDescent="0.25">
      <c r="A128" t="s">
        <v>2691</v>
      </c>
      <c r="B128" t="s">
        <v>2692</v>
      </c>
      <c r="C128" t="s">
        <v>1965</v>
      </c>
      <c r="D128" t="s">
        <v>2916</v>
      </c>
    </row>
    <row r="129" spans="1:4" hidden="1" x14ac:dyDescent="0.25">
      <c r="A129" t="s">
        <v>2694</v>
      </c>
      <c r="B129" t="s">
        <v>2695</v>
      </c>
      <c r="C129" t="s">
        <v>39</v>
      </c>
      <c r="D129" t="s">
        <v>2112</v>
      </c>
    </row>
    <row r="130" spans="1:4" hidden="1" x14ac:dyDescent="0.25">
      <c r="A130" t="s">
        <v>2343</v>
      </c>
      <c r="B130" t="s">
        <v>2344</v>
      </c>
      <c r="C130" t="s">
        <v>39</v>
      </c>
      <c r="D130" t="s">
        <v>2345</v>
      </c>
    </row>
    <row r="131" spans="1:4" hidden="1" x14ac:dyDescent="0.25">
      <c r="A131" t="s">
        <v>2375</v>
      </c>
      <c r="B131" t="s">
        <v>2376</v>
      </c>
      <c r="C131" t="s">
        <v>2378</v>
      </c>
      <c r="D131" t="s">
        <v>2377</v>
      </c>
    </row>
    <row r="132" spans="1:4" hidden="1" x14ac:dyDescent="0.25">
      <c r="A132" t="s">
        <v>2917</v>
      </c>
      <c r="B132" t="s">
        <v>2918</v>
      </c>
      <c r="C132" t="s">
        <v>121</v>
      </c>
      <c r="D132" t="s">
        <v>2346</v>
      </c>
    </row>
    <row r="133" spans="1:4" hidden="1" x14ac:dyDescent="0.25">
      <c r="A133" t="s">
        <v>2919</v>
      </c>
      <c r="B133" t="s">
        <v>2920</v>
      </c>
      <c r="C133" t="s">
        <v>49</v>
      </c>
      <c r="D133" t="s">
        <v>2921</v>
      </c>
    </row>
    <row r="134" spans="1:4" hidden="1" x14ac:dyDescent="0.25">
      <c r="A134" t="s">
        <v>2922</v>
      </c>
      <c r="B134" t="s">
        <v>2923</v>
      </c>
      <c r="C134" t="s">
        <v>49</v>
      </c>
      <c r="D134" t="s">
        <v>1009</v>
      </c>
    </row>
    <row r="135" spans="1:4" hidden="1" x14ac:dyDescent="0.25">
      <c r="A135" t="s">
        <v>4644</v>
      </c>
      <c r="B135" t="s">
        <v>4645</v>
      </c>
      <c r="C135" t="s">
        <v>49</v>
      </c>
      <c r="D135" t="s">
        <v>2329</v>
      </c>
    </row>
    <row r="136" spans="1:4" hidden="1" x14ac:dyDescent="0.25">
      <c r="A136" t="s">
        <v>2056</v>
      </c>
      <c r="B136" t="s">
        <v>2057</v>
      </c>
      <c r="C136" t="s">
        <v>49</v>
      </c>
      <c r="D136" t="s">
        <v>2058</v>
      </c>
    </row>
    <row r="137" spans="1:4" hidden="1" x14ac:dyDescent="0.25">
      <c r="A137" t="s">
        <v>2060</v>
      </c>
      <c r="B137" t="s">
        <v>2061</v>
      </c>
      <c r="C137" t="s">
        <v>49</v>
      </c>
      <c r="D137" t="s">
        <v>2062</v>
      </c>
    </row>
    <row r="138" spans="1:4" hidden="1" x14ac:dyDescent="0.25">
      <c r="A138" t="s">
        <v>1345</v>
      </c>
      <c r="B138" t="s">
        <v>1346</v>
      </c>
      <c r="C138" t="s">
        <v>5</v>
      </c>
      <c r="D138" t="s">
        <v>1369</v>
      </c>
    </row>
    <row r="139" spans="1:4" hidden="1" x14ac:dyDescent="0.25">
      <c r="A139" t="s">
        <v>4967</v>
      </c>
      <c r="B139" t="s">
        <v>4968</v>
      </c>
      <c r="C139" t="s">
        <v>49</v>
      </c>
      <c r="D139" t="s">
        <v>4969</v>
      </c>
    </row>
    <row r="140" spans="1:4" hidden="1" x14ac:dyDescent="0.25">
      <c r="A140" t="s">
        <v>4970</v>
      </c>
      <c r="B140" t="s">
        <v>4971</v>
      </c>
      <c r="C140" t="s">
        <v>49</v>
      </c>
      <c r="D140" t="s">
        <v>4972</v>
      </c>
    </row>
    <row r="141" spans="1:4" hidden="1" x14ac:dyDescent="0.25">
      <c r="A141" t="s">
        <v>3506</v>
      </c>
      <c r="B141" t="s">
        <v>3507</v>
      </c>
      <c r="C141" t="s">
        <v>5</v>
      </c>
      <c r="D141" t="s">
        <v>1394</v>
      </c>
    </row>
    <row r="142" spans="1:4" hidden="1" x14ac:dyDescent="0.25">
      <c r="A142" t="s">
        <v>4980</v>
      </c>
      <c r="B142" t="s">
        <v>4981</v>
      </c>
      <c r="C142" t="s">
        <v>17</v>
      </c>
      <c r="D142" t="s">
        <v>117</v>
      </c>
    </row>
    <row r="143" spans="1:4" hidden="1" x14ac:dyDescent="0.25">
      <c r="A143" t="s">
        <v>3865</v>
      </c>
      <c r="B143" t="s">
        <v>3866</v>
      </c>
      <c r="C143" t="s">
        <v>17</v>
      </c>
      <c r="D143" t="s">
        <v>403</v>
      </c>
    </row>
    <row r="144" spans="1:4" hidden="1" x14ac:dyDescent="0.25">
      <c r="A144" t="s">
        <v>1547</v>
      </c>
      <c r="B144" t="s">
        <v>1548</v>
      </c>
      <c r="C144" t="s">
        <v>5</v>
      </c>
      <c r="D144" t="s">
        <v>403</v>
      </c>
    </row>
    <row r="145" spans="1:4" hidden="1" x14ac:dyDescent="0.25">
      <c r="A145" t="s">
        <v>2509</v>
      </c>
      <c r="B145" t="s">
        <v>5005</v>
      </c>
      <c r="C145" t="s">
        <v>5</v>
      </c>
      <c r="D145" t="s">
        <v>31</v>
      </c>
    </row>
    <row r="146" spans="1:4" hidden="1" x14ac:dyDescent="0.25">
      <c r="A146" t="s">
        <v>2961</v>
      </c>
      <c r="B146" t="s">
        <v>2962</v>
      </c>
      <c r="C146" t="s">
        <v>5</v>
      </c>
      <c r="D146" t="s">
        <v>4430</v>
      </c>
    </row>
    <row r="147" spans="1:4" hidden="1" x14ac:dyDescent="0.25">
      <c r="A147" t="s">
        <v>5013</v>
      </c>
      <c r="B147" t="s">
        <v>5014</v>
      </c>
      <c r="C147" t="s">
        <v>5</v>
      </c>
      <c r="D147" t="s">
        <v>1354</v>
      </c>
    </row>
    <row r="148" spans="1:4" hidden="1" x14ac:dyDescent="0.25">
      <c r="A148" t="s">
        <v>3026</v>
      </c>
      <c r="B148" t="s">
        <v>3027</v>
      </c>
      <c r="C148" t="s">
        <v>5</v>
      </c>
      <c r="D148" t="s">
        <v>70</v>
      </c>
    </row>
    <row r="149" spans="1:4" hidden="1" x14ac:dyDescent="0.25">
      <c r="A149" t="s">
        <v>5094</v>
      </c>
      <c r="B149" t="s">
        <v>5095</v>
      </c>
      <c r="C149" t="s">
        <v>5</v>
      </c>
      <c r="D149" t="s">
        <v>3586</v>
      </c>
    </row>
    <row r="150" spans="1:4" hidden="1" x14ac:dyDescent="0.25">
      <c r="A150" t="s">
        <v>5190</v>
      </c>
      <c r="B150" t="s">
        <v>5191</v>
      </c>
      <c r="C150" t="s">
        <v>121</v>
      </c>
      <c r="D150" t="s">
        <v>5192</v>
      </c>
    </row>
    <row r="151" spans="1:4" hidden="1" x14ac:dyDescent="0.25">
      <c r="A151" t="s">
        <v>5196</v>
      </c>
      <c r="B151" t="s">
        <v>5197</v>
      </c>
      <c r="C151" t="s">
        <v>121</v>
      </c>
      <c r="D151" t="s">
        <v>5198</v>
      </c>
    </row>
    <row r="152" spans="1:4" hidden="1" x14ac:dyDescent="0.25">
      <c r="A152" t="s">
        <v>5203</v>
      </c>
      <c r="B152" t="s">
        <v>5204</v>
      </c>
      <c r="C152" t="s">
        <v>121</v>
      </c>
      <c r="D152" t="s">
        <v>5192</v>
      </c>
    </row>
    <row r="153" spans="1:4" hidden="1" x14ac:dyDescent="0.25">
      <c r="A153" t="s">
        <v>5207</v>
      </c>
      <c r="B153" t="s">
        <v>5208</v>
      </c>
      <c r="C153" t="s">
        <v>121</v>
      </c>
      <c r="D153" t="s">
        <v>5209</v>
      </c>
    </row>
    <row r="154" spans="1:4" hidden="1" x14ac:dyDescent="0.25">
      <c r="A154" t="s">
        <v>5375</v>
      </c>
      <c r="B154" t="s">
        <v>5376</v>
      </c>
      <c r="C154" t="s">
        <v>5</v>
      </c>
      <c r="D154" t="s">
        <v>1768</v>
      </c>
    </row>
    <row r="155" spans="1:4" hidden="1" x14ac:dyDescent="0.25">
      <c r="A155" t="s">
        <v>5403</v>
      </c>
      <c r="B155" t="s">
        <v>5404</v>
      </c>
      <c r="C155" t="s">
        <v>49</v>
      </c>
      <c r="D155" t="s">
        <v>5405</v>
      </c>
    </row>
    <row r="156" spans="1:4" hidden="1" x14ac:dyDescent="0.25">
      <c r="A156" t="s">
        <v>5406</v>
      </c>
      <c r="B156" t="s">
        <v>5407</v>
      </c>
      <c r="C156" t="s">
        <v>49</v>
      </c>
      <c r="D156" t="s">
        <v>5408</v>
      </c>
    </row>
    <row r="157" spans="1:4" hidden="1" x14ac:dyDescent="0.25">
      <c r="A157" t="s">
        <v>5414</v>
      </c>
      <c r="B157" t="s">
        <v>5415</v>
      </c>
      <c r="C157" t="s">
        <v>49</v>
      </c>
      <c r="D157" t="s">
        <v>5416</v>
      </c>
    </row>
    <row r="158" spans="1:4" hidden="1" x14ac:dyDescent="0.25">
      <c r="A158" t="s">
        <v>5512</v>
      </c>
      <c r="B158" t="s">
        <v>5513</v>
      </c>
      <c r="C158" t="s">
        <v>49</v>
      </c>
      <c r="D158" t="s">
        <v>3119</v>
      </c>
    </row>
    <row r="159" spans="1:4" hidden="1" x14ac:dyDescent="0.25">
      <c r="A159" t="s">
        <v>5515</v>
      </c>
      <c r="B159" t="s">
        <v>5516</v>
      </c>
      <c r="C159" t="s">
        <v>49</v>
      </c>
      <c r="D159" t="s">
        <v>5517</v>
      </c>
    </row>
    <row r="160" spans="1:4" hidden="1" x14ac:dyDescent="0.25">
      <c r="A160" t="s">
        <v>5518</v>
      </c>
      <c r="B160" t="s">
        <v>5519</v>
      </c>
      <c r="C160" t="s">
        <v>49</v>
      </c>
      <c r="D160" t="s">
        <v>5520</v>
      </c>
    </row>
    <row r="161" spans="1:4" hidden="1" x14ac:dyDescent="0.25">
      <c r="A161" t="s">
        <v>2577</v>
      </c>
      <c r="B161" t="s">
        <v>2578</v>
      </c>
      <c r="C161" t="s">
        <v>49</v>
      </c>
      <c r="D161" t="s">
        <v>686</v>
      </c>
    </row>
    <row r="162" spans="1:4" hidden="1" x14ac:dyDescent="0.25">
      <c r="A162" t="s">
        <v>5523</v>
      </c>
      <c r="B162" t="s">
        <v>5524</v>
      </c>
      <c r="C162" t="s">
        <v>49</v>
      </c>
      <c r="D162" t="s">
        <v>2356</v>
      </c>
    </row>
    <row r="163" spans="1:4" hidden="1" x14ac:dyDescent="0.25">
      <c r="A163" t="s">
        <v>5216</v>
      </c>
      <c r="B163" t="s">
        <v>5217</v>
      </c>
      <c r="C163" t="s">
        <v>49</v>
      </c>
      <c r="D163" t="s">
        <v>1394</v>
      </c>
    </row>
    <row r="164" spans="1:4" hidden="1" x14ac:dyDescent="0.25">
      <c r="A164" t="s">
        <v>2762</v>
      </c>
      <c r="B164" t="s">
        <v>2763</v>
      </c>
      <c r="C164" t="s">
        <v>5</v>
      </c>
      <c r="D164" t="s">
        <v>311</v>
      </c>
    </row>
    <row r="165" spans="1:4" hidden="1" x14ac:dyDescent="0.25">
      <c r="A165" t="s">
        <v>3452</v>
      </c>
      <c r="B165" t="s">
        <v>3453</v>
      </c>
      <c r="C165" t="s">
        <v>39</v>
      </c>
      <c r="D165" t="s">
        <v>1588</v>
      </c>
    </row>
    <row r="166" spans="1:4" hidden="1" x14ac:dyDescent="0.25">
      <c r="A166" t="s">
        <v>1974</v>
      </c>
      <c r="B166" t="s">
        <v>1975</v>
      </c>
      <c r="C166" t="s">
        <v>121</v>
      </c>
      <c r="D166" t="s">
        <v>879</v>
      </c>
    </row>
    <row r="167" spans="1:4" hidden="1" x14ac:dyDescent="0.25">
      <c r="A167" t="s">
        <v>5527</v>
      </c>
      <c r="B167" t="s">
        <v>5528</v>
      </c>
      <c r="C167" t="s">
        <v>49</v>
      </c>
      <c r="D167" t="s">
        <v>5529</v>
      </c>
    </row>
    <row r="168" spans="1:4" hidden="1" x14ac:dyDescent="0.25">
      <c r="A168" t="s">
        <v>5530</v>
      </c>
      <c r="B168" t="s">
        <v>5531</v>
      </c>
      <c r="C168" t="s">
        <v>49</v>
      </c>
      <c r="D168" t="s">
        <v>5532</v>
      </c>
    </row>
    <row r="169" spans="1:4" hidden="1" x14ac:dyDescent="0.25">
      <c r="A169" t="s">
        <v>5534</v>
      </c>
      <c r="B169" t="s">
        <v>5535</v>
      </c>
      <c r="C169" t="s">
        <v>49</v>
      </c>
      <c r="D169" t="s">
        <v>5536</v>
      </c>
    </row>
    <row r="170" spans="1:4" hidden="1" x14ac:dyDescent="0.25">
      <c r="A170" t="s">
        <v>5537</v>
      </c>
      <c r="B170" t="s">
        <v>5538</v>
      </c>
      <c r="C170" t="s">
        <v>49</v>
      </c>
      <c r="D170" t="s">
        <v>3189</v>
      </c>
    </row>
    <row r="171" spans="1:4" hidden="1" x14ac:dyDescent="0.25">
      <c r="A171" t="s">
        <v>5540</v>
      </c>
      <c r="B171" t="s">
        <v>5541</v>
      </c>
      <c r="C171" t="s">
        <v>49</v>
      </c>
      <c r="D171" t="s">
        <v>3163</v>
      </c>
    </row>
    <row r="172" spans="1:4" hidden="1" x14ac:dyDescent="0.25">
      <c r="A172" t="s">
        <v>5543</v>
      </c>
      <c r="B172" t="s">
        <v>5544</v>
      </c>
      <c r="C172" t="s">
        <v>49</v>
      </c>
      <c r="D172" t="s">
        <v>3163</v>
      </c>
    </row>
    <row r="173" spans="1:4" hidden="1" x14ac:dyDescent="0.25">
      <c r="A173" t="s">
        <v>5546</v>
      </c>
      <c r="B173" t="s">
        <v>5547</v>
      </c>
      <c r="C173" t="s">
        <v>49</v>
      </c>
      <c r="D173" t="s">
        <v>5548</v>
      </c>
    </row>
    <row r="174" spans="1:4" hidden="1" x14ac:dyDescent="0.25">
      <c r="A174" t="s">
        <v>5550</v>
      </c>
      <c r="B174" t="s">
        <v>5551</v>
      </c>
      <c r="C174" t="s">
        <v>49</v>
      </c>
      <c r="D174" t="s">
        <v>5552</v>
      </c>
    </row>
    <row r="175" spans="1:4" hidden="1" x14ac:dyDescent="0.25">
      <c r="A175" t="s">
        <v>5262</v>
      </c>
      <c r="B175" t="s">
        <v>5263</v>
      </c>
      <c r="C175" t="s">
        <v>121</v>
      </c>
      <c r="D175" t="s">
        <v>5264</v>
      </c>
    </row>
    <row r="176" spans="1:4" hidden="1" x14ac:dyDescent="0.25">
      <c r="A176" t="s">
        <v>5266</v>
      </c>
      <c r="B176" t="s">
        <v>5267</v>
      </c>
      <c r="C176" t="s">
        <v>5</v>
      </c>
      <c r="D176" t="s">
        <v>311</v>
      </c>
    </row>
    <row r="177" spans="1:4" hidden="1" x14ac:dyDescent="0.25">
      <c r="A177" t="s">
        <v>2791</v>
      </c>
      <c r="B177" t="s">
        <v>2792</v>
      </c>
      <c r="C177" t="s">
        <v>121</v>
      </c>
      <c r="D177" t="s">
        <v>2793</v>
      </c>
    </row>
    <row r="178" spans="1:4" hidden="1" x14ac:dyDescent="0.25">
      <c r="A178" t="s">
        <v>5554</v>
      </c>
      <c r="B178" t="s">
        <v>5555</v>
      </c>
      <c r="C178" t="s">
        <v>49</v>
      </c>
      <c r="D178" t="s">
        <v>5556</v>
      </c>
    </row>
    <row r="179" spans="1:4" hidden="1" x14ac:dyDescent="0.25">
      <c r="A179" t="s">
        <v>5557</v>
      </c>
      <c r="B179" t="s">
        <v>5558</v>
      </c>
      <c r="C179" t="s">
        <v>49</v>
      </c>
      <c r="D179" t="s">
        <v>5559</v>
      </c>
    </row>
    <row r="180" spans="1:4" hidden="1" x14ac:dyDescent="0.25">
      <c r="A180" t="s">
        <v>5561</v>
      </c>
      <c r="B180" t="s">
        <v>5562</v>
      </c>
      <c r="C180" t="s">
        <v>49</v>
      </c>
      <c r="D180" t="s">
        <v>3155</v>
      </c>
    </row>
    <row r="181" spans="1:4" hidden="1" x14ac:dyDescent="0.25">
      <c r="A181" t="s">
        <v>5564</v>
      </c>
      <c r="B181" t="s">
        <v>5565</v>
      </c>
      <c r="C181" t="s">
        <v>49</v>
      </c>
      <c r="D181" t="s">
        <v>5536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5F4B-3FB4-4219-8880-B903B6EC6D16}">
  <sheetPr>
    <tabColor theme="5" tint="0.39997558519241921"/>
  </sheetPr>
  <dimension ref="A1:D793"/>
  <sheetViews>
    <sheetView topLeftCell="A759" workbookViewId="0">
      <selection activeCell="J776" sqref="J776"/>
    </sheetView>
  </sheetViews>
  <sheetFormatPr defaultRowHeight="15" x14ac:dyDescent="0.25"/>
  <cols>
    <col min="1" max="1" width="17.7109375" bestFit="1" customWidth="1"/>
    <col min="2" max="2" width="67.85546875" bestFit="1" customWidth="1"/>
    <col min="3" max="3" width="6.28515625" bestFit="1" customWidth="1"/>
    <col min="4" max="4" width="24.5703125" customWidth="1"/>
    <col min="5" max="5" width="10.42578125" bestFit="1" customWidth="1"/>
  </cols>
  <sheetData>
    <row r="1" spans="1:4" x14ac:dyDescent="0.25">
      <c r="A1" t="s">
        <v>5593</v>
      </c>
      <c r="B1" t="s">
        <v>5594</v>
      </c>
      <c r="C1" t="s">
        <v>5616</v>
      </c>
      <c r="D1" t="s">
        <v>5614</v>
      </c>
    </row>
    <row r="2" spans="1:4" x14ac:dyDescent="0.25">
      <c r="A2" s="1" t="s">
        <v>34</v>
      </c>
      <c r="B2" t="s">
        <v>35</v>
      </c>
      <c r="C2" t="s">
        <v>49</v>
      </c>
      <c r="D2">
        <v>56.5</v>
      </c>
    </row>
    <row r="3" spans="1:4" x14ac:dyDescent="0.25">
      <c r="A3" t="s">
        <v>72</v>
      </c>
      <c r="B3" t="s">
        <v>73</v>
      </c>
      <c r="C3" t="s">
        <v>49</v>
      </c>
      <c r="D3">
        <v>56.760000000000005</v>
      </c>
    </row>
    <row r="4" spans="1:4" x14ac:dyDescent="0.25">
      <c r="A4" t="s">
        <v>79</v>
      </c>
      <c r="B4" t="s">
        <v>80</v>
      </c>
      <c r="C4" t="s">
        <v>49</v>
      </c>
      <c r="D4">
        <v>61.400000000000006</v>
      </c>
    </row>
    <row r="5" spans="1:4" x14ac:dyDescent="0.25">
      <c r="A5" t="s">
        <v>113</v>
      </c>
      <c r="B5" t="s">
        <v>114</v>
      </c>
      <c r="C5" t="s">
        <v>49</v>
      </c>
      <c r="D5">
        <v>190</v>
      </c>
    </row>
    <row r="6" spans="1:4" x14ac:dyDescent="0.25">
      <c r="A6" t="s">
        <v>133</v>
      </c>
      <c r="B6" t="s">
        <v>134</v>
      </c>
      <c r="C6" t="s">
        <v>49</v>
      </c>
      <c r="D6">
        <v>169.70000000000002</v>
      </c>
    </row>
    <row r="7" spans="1:4" x14ac:dyDescent="0.25">
      <c r="A7" t="s">
        <v>153</v>
      </c>
      <c r="B7" t="s">
        <v>154</v>
      </c>
      <c r="C7" t="s">
        <v>49</v>
      </c>
      <c r="D7">
        <v>253.49999999999997</v>
      </c>
    </row>
    <row r="8" spans="1:4" x14ac:dyDescent="0.25">
      <c r="A8" t="s">
        <v>225</v>
      </c>
      <c r="B8" t="s">
        <v>226</v>
      </c>
      <c r="C8" t="s">
        <v>49</v>
      </c>
      <c r="D8">
        <v>46.250000000000007</v>
      </c>
    </row>
    <row r="9" spans="1:4" x14ac:dyDescent="0.25">
      <c r="A9" t="s">
        <v>246</v>
      </c>
      <c r="B9" t="s">
        <v>247</v>
      </c>
      <c r="C9" t="s">
        <v>49</v>
      </c>
      <c r="D9">
        <v>104.80000000000001</v>
      </c>
    </row>
    <row r="10" spans="1:4" x14ac:dyDescent="0.25">
      <c r="A10" t="s">
        <v>259</v>
      </c>
      <c r="B10" t="s">
        <v>260</v>
      </c>
      <c r="C10" t="s">
        <v>49</v>
      </c>
      <c r="D10">
        <v>166.6</v>
      </c>
    </row>
    <row r="11" spans="1:4" x14ac:dyDescent="0.25">
      <c r="A11" t="s">
        <v>306</v>
      </c>
      <c r="B11" t="s">
        <v>307</v>
      </c>
      <c r="C11" t="s">
        <v>49</v>
      </c>
      <c r="D11">
        <v>155.65</v>
      </c>
    </row>
    <row r="12" spans="1:4" x14ac:dyDescent="0.25">
      <c r="A12" t="s">
        <v>317</v>
      </c>
      <c r="B12" t="s">
        <v>318</v>
      </c>
      <c r="C12" t="s">
        <v>49</v>
      </c>
      <c r="D12">
        <v>249.60000000000002</v>
      </c>
    </row>
    <row r="13" spans="1:4" x14ac:dyDescent="0.25">
      <c r="A13" t="s">
        <v>320</v>
      </c>
      <c r="B13" t="s">
        <v>321</v>
      </c>
      <c r="C13" t="s">
        <v>49</v>
      </c>
      <c r="D13">
        <v>156.50000000000003</v>
      </c>
    </row>
    <row r="14" spans="1:4" x14ac:dyDescent="0.25">
      <c r="A14" t="s">
        <v>329</v>
      </c>
      <c r="B14" t="s">
        <v>330</v>
      </c>
      <c r="C14" t="s">
        <v>49</v>
      </c>
      <c r="D14">
        <v>39.400000000000006</v>
      </c>
    </row>
    <row r="15" spans="1:4" x14ac:dyDescent="0.25">
      <c r="A15" t="s">
        <v>345</v>
      </c>
      <c r="B15" t="s">
        <v>346</v>
      </c>
      <c r="C15" t="s">
        <v>49</v>
      </c>
      <c r="D15">
        <v>99.65</v>
      </c>
    </row>
    <row r="16" spans="1:4" x14ac:dyDescent="0.25">
      <c r="A16" t="s">
        <v>368</v>
      </c>
      <c r="B16" t="s">
        <v>369</v>
      </c>
      <c r="C16" t="s">
        <v>49</v>
      </c>
      <c r="D16">
        <v>181.59999999999997</v>
      </c>
    </row>
    <row r="17" spans="1:4" x14ac:dyDescent="0.25">
      <c r="A17" t="s">
        <v>379</v>
      </c>
      <c r="B17" t="s">
        <v>380</v>
      </c>
      <c r="C17" t="s">
        <v>49</v>
      </c>
      <c r="D17">
        <v>68.100000000000009</v>
      </c>
    </row>
    <row r="18" spans="1:4" x14ac:dyDescent="0.25">
      <c r="A18" t="s">
        <v>405</v>
      </c>
      <c r="B18" t="s">
        <v>406</v>
      </c>
      <c r="C18" t="s">
        <v>49</v>
      </c>
      <c r="D18">
        <v>156.72</v>
      </c>
    </row>
    <row r="19" spans="1:4" x14ac:dyDescent="0.25">
      <c r="A19" t="s">
        <v>437</v>
      </c>
      <c r="B19" t="s">
        <v>438</v>
      </c>
      <c r="C19" t="s">
        <v>49</v>
      </c>
      <c r="D19">
        <v>57.75</v>
      </c>
    </row>
    <row r="20" spans="1:4" x14ac:dyDescent="0.25">
      <c r="A20" t="s">
        <v>439</v>
      </c>
      <c r="B20" t="s">
        <v>440</v>
      </c>
      <c r="C20" t="s">
        <v>49</v>
      </c>
      <c r="D20">
        <v>71.600000000000009</v>
      </c>
    </row>
    <row r="21" spans="1:4" x14ac:dyDescent="0.25">
      <c r="A21" t="s">
        <v>448</v>
      </c>
      <c r="B21" t="s">
        <v>449</v>
      </c>
      <c r="C21" t="s">
        <v>49</v>
      </c>
      <c r="D21">
        <v>25.35</v>
      </c>
    </row>
    <row r="22" spans="1:4" x14ac:dyDescent="0.25">
      <c r="A22" t="s">
        <v>458</v>
      </c>
      <c r="B22" t="s">
        <v>459</v>
      </c>
      <c r="C22" t="s">
        <v>49</v>
      </c>
      <c r="D22">
        <v>71.56</v>
      </c>
    </row>
    <row r="23" spans="1:4" x14ac:dyDescent="0.25">
      <c r="A23" t="s">
        <v>469</v>
      </c>
      <c r="B23" t="s">
        <v>470</v>
      </c>
      <c r="C23" t="s">
        <v>49</v>
      </c>
      <c r="D23">
        <v>119.11999999999999</v>
      </c>
    </row>
    <row r="24" spans="1:4" x14ac:dyDescent="0.25">
      <c r="A24" t="s">
        <v>524</v>
      </c>
      <c r="B24" t="s">
        <v>525</v>
      </c>
      <c r="C24" t="s">
        <v>49</v>
      </c>
      <c r="D24">
        <v>135.30000000000001</v>
      </c>
    </row>
    <row r="25" spans="1:4" x14ac:dyDescent="0.25">
      <c r="A25" t="s">
        <v>531</v>
      </c>
      <c r="B25" t="s">
        <v>532</v>
      </c>
      <c r="C25" t="s">
        <v>49</v>
      </c>
      <c r="D25">
        <v>108.15</v>
      </c>
    </row>
    <row r="26" spans="1:4" x14ac:dyDescent="0.25">
      <c r="A26" t="s">
        <v>544</v>
      </c>
      <c r="B26" t="s">
        <v>545</v>
      </c>
      <c r="C26" t="s">
        <v>49</v>
      </c>
      <c r="D26">
        <v>121.24000000000001</v>
      </c>
    </row>
    <row r="27" spans="1:4" x14ac:dyDescent="0.25">
      <c r="A27" t="s">
        <v>570</v>
      </c>
      <c r="B27" t="s">
        <v>571</v>
      </c>
      <c r="C27" t="s">
        <v>49</v>
      </c>
      <c r="D27">
        <v>125.96</v>
      </c>
    </row>
    <row r="28" spans="1:4" x14ac:dyDescent="0.25">
      <c r="A28" t="s">
        <v>693</v>
      </c>
      <c r="B28" t="s">
        <v>694</v>
      </c>
      <c r="C28" t="s">
        <v>49</v>
      </c>
      <c r="D28">
        <v>118.25</v>
      </c>
    </row>
    <row r="29" spans="1:4" x14ac:dyDescent="0.25">
      <c r="A29" t="s">
        <v>726</v>
      </c>
      <c r="B29" t="s">
        <v>727</v>
      </c>
      <c r="C29" t="s">
        <v>49</v>
      </c>
      <c r="D29">
        <v>124.35</v>
      </c>
    </row>
    <row r="30" spans="1:4" x14ac:dyDescent="0.25">
      <c r="A30" t="s">
        <v>734</v>
      </c>
      <c r="B30" t="s">
        <v>735</v>
      </c>
      <c r="C30" t="s">
        <v>49</v>
      </c>
      <c r="D30">
        <v>128.69999999999999</v>
      </c>
    </row>
    <row r="31" spans="1:4" x14ac:dyDescent="0.25">
      <c r="A31" t="s">
        <v>763</v>
      </c>
      <c r="B31" t="s">
        <v>764</v>
      </c>
      <c r="C31" t="s">
        <v>49</v>
      </c>
      <c r="D31">
        <v>177.18000000000004</v>
      </c>
    </row>
    <row r="32" spans="1:4" x14ac:dyDescent="0.25">
      <c r="A32" t="s">
        <v>787</v>
      </c>
      <c r="B32" t="s">
        <v>788</v>
      </c>
      <c r="C32" t="s">
        <v>49</v>
      </c>
      <c r="D32">
        <v>491.66999999999996</v>
      </c>
    </row>
    <row r="33" spans="1:4" x14ac:dyDescent="0.25">
      <c r="A33" t="s">
        <v>814</v>
      </c>
      <c r="B33" t="s">
        <v>815</v>
      </c>
      <c r="C33" t="s">
        <v>49</v>
      </c>
      <c r="D33">
        <v>110.58</v>
      </c>
    </row>
    <row r="34" spans="1:4" x14ac:dyDescent="0.25">
      <c r="A34" t="s">
        <v>828</v>
      </c>
      <c r="B34" t="s">
        <v>829</v>
      </c>
      <c r="C34" t="s">
        <v>49</v>
      </c>
      <c r="D34">
        <v>495.63999999999993</v>
      </c>
    </row>
    <row r="35" spans="1:4" x14ac:dyDescent="0.25">
      <c r="A35" t="s">
        <v>862</v>
      </c>
      <c r="B35" t="s">
        <v>863</v>
      </c>
      <c r="C35" t="s">
        <v>49</v>
      </c>
      <c r="D35">
        <v>464.99</v>
      </c>
    </row>
    <row r="36" spans="1:4" x14ac:dyDescent="0.25">
      <c r="A36" t="s">
        <v>924</v>
      </c>
      <c r="B36" t="s">
        <v>925</v>
      </c>
      <c r="C36" t="s">
        <v>49</v>
      </c>
      <c r="D36">
        <v>820.70000000000016</v>
      </c>
    </row>
    <row r="37" spans="1:4" x14ac:dyDescent="0.25">
      <c r="A37" t="s">
        <v>965</v>
      </c>
      <c r="B37" t="s">
        <v>966</v>
      </c>
      <c r="C37" t="s">
        <v>49</v>
      </c>
      <c r="D37">
        <v>1563.01</v>
      </c>
    </row>
    <row r="38" spans="1:4" x14ac:dyDescent="0.25">
      <c r="A38" t="s">
        <v>996</v>
      </c>
      <c r="B38" t="s">
        <v>997</v>
      </c>
      <c r="C38" t="s">
        <v>49</v>
      </c>
      <c r="D38">
        <v>1729.94</v>
      </c>
    </row>
    <row r="39" spans="1:4" x14ac:dyDescent="0.25">
      <c r="A39" t="s">
        <v>1072</v>
      </c>
      <c r="B39" t="s">
        <v>1073</v>
      </c>
      <c r="C39" t="s">
        <v>49</v>
      </c>
      <c r="D39">
        <v>29.2</v>
      </c>
    </row>
    <row r="40" spans="1:4" x14ac:dyDescent="0.25">
      <c r="A40" t="s">
        <v>1152</v>
      </c>
      <c r="B40" t="s">
        <v>1153</v>
      </c>
      <c r="C40" t="s">
        <v>49</v>
      </c>
      <c r="D40">
        <v>370</v>
      </c>
    </row>
    <row r="41" spans="1:4" x14ac:dyDescent="0.25">
      <c r="A41" t="s">
        <v>1257</v>
      </c>
      <c r="B41" t="s">
        <v>1258</v>
      </c>
      <c r="C41" t="s">
        <v>49</v>
      </c>
      <c r="D41">
        <v>180</v>
      </c>
    </row>
    <row r="42" spans="1:4" x14ac:dyDescent="0.25">
      <c r="A42" t="s">
        <v>1852</v>
      </c>
      <c r="B42" t="s">
        <v>1853</v>
      </c>
      <c r="C42" t="s">
        <v>49</v>
      </c>
      <c r="D42">
        <v>268.82</v>
      </c>
    </row>
    <row r="43" spans="1:4" x14ac:dyDescent="0.25">
      <c r="A43" t="s">
        <v>1880</v>
      </c>
      <c r="B43" t="s">
        <v>1881</v>
      </c>
      <c r="C43" t="s">
        <v>49</v>
      </c>
      <c r="D43">
        <v>50.730000000000004</v>
      </c>
    </row>
    <row r="44" spans="1:4" x14ac:dyDescent="0.25">
      <c r="A44" t="s">
        <v>1954</v>
      </c>
      <c r="B44" t="s">
        <v>1955</v>
      </c>
      <c r="C44" t="s">
        <v>49</v>
      </c>
      <c r="D44">
        <v>855.40999999999985</v>
      </c>
    </row>
    <row r="45" spans="1:4" x14ac:dyDescent="0.25">
      <c r="A45" t="s">
        <v>1994</v>
      </c>
      <c r="B45" t="s">
        <v>1995</v>
      </c>
      <c r="C45" t="s">
        <v>49</v>
      </c>
      <c r="D45">
        <v>1341.21</v>
      </c>
    </row>
    <row r="46" spans="1:4" x14ac:dyDescent="0.25">
      <c r="A46" t="s">
        <v>2027</v>
      </c>
      <c r="B46" t="s">
        <v>2028</v>
      </c>
      <c r="C46" t="s">
        <v>49</v>
      </c>
      <c r="D46">
        <v>1010.55</v>
      </c>
    </row>
    <row r="47" spans="1:4" x14ac:dyDescent="0.25">
      <c r="A47" t="s">
        <v>2038</v>
      </c>
      <c r="B47" t="s">
        <v>2039</v>
      </c>
      <c r="C47" t="s">
        <v>49</v>
      </c>
      <c r="D47">
        <v>20.950000000000003</v>
      </c>
    </row>
    <row r="48" spans="1:4" x14ac:dyDescent="0.25">
      <c r="A48" t="s">
        <v>2047</v>
      </c>
      <c r="B48" t="s">
        <v>2048</v>
      </c>
      <c r="C48" t="s">
        <v>49</v>
      </c>
      <c r="D48">
        <v>21.050000000000004</v>
      </c>
    </row>
    <row r="49" spans="1:4" x14ac:dyDescent="0.25">
      <c r="A49" t="s">
        <v>2049</v>
      </c>
      <c r="B49" t="s">
        <v>2050</v>
      </c>
      <c r="C49" t="s">
        <v>49</v>
      </c>
      <c r="D49">
        <v>54.35</v>
      </c>
    </row>
    <row r="50" spans="1:4" x14ac:dyDescent="0.25">
      <c r="A50" t="s">
        <v>2200</v>
      </c>
      <c r="B50" t="s">
        <v>2201</v>
      </c>
      <c r="C50" t="s">
        <v>49</v>
      </c>
      <c r="D50">
        <v>150.04999999999998</v>
      </c>
    </row>
    <row r="51" spans="1:4" x14ac:dyDescent="0.25">
      <c r="A51" t="s">
        <v>2210</v>
      </c>
      <c r="B51" t="s">
        <v>2211</v>
      </c>
      <c r="C51" t="s">
        <v>49</v>
      </c>
      <c r="D51">
        <v>124.03999999999999</v>
      </c>
    </row>
    <row r="52" spans="1:4" x14ac:dyDescent="0.25">
      <c r="A52" t="s">
        <v>2219</v>
      </c>
      <c r="B52" t="s">
        <v>2220</v>
      </c>
      <c r="C52" t="s">
        <v>49</v>
      </c>
      <c r="D52">
        <v>172.1</v>
      </c>
    </row>
    <row r="53" spans="1:4" x14ac:dyDescent="0.25">
      <c r="A53" t="s">
        <v>2227</v>
      </c>
      <c r="B53" t="s">
        <v>2228</v>
      </c>
      <c r="C53" t="s">
        <v>49</v>
      </c>
      <c r="D53">
        <v>159.79999999999998</v>
      </c>
    </row>
    <row r="54" spans="1:4" x14ac:dyDescent="0.25">
      <c r="A54" t="s">
        <v>2285</v>
      </c>
      <c r="B54" t="s">
        <v>2286</v>
      </c>
      <c r="C54" t="s">
        <v>49</v>
      </c>
      <c r="D54">
        <v>141.63</v>
      </c>
    </row>
    <row r="55" spans="1:4" x14ac:dyDescent="0.25">
      <c r="A55" t="s">
        <v>2358</v>
      </c>
      <c r="B55" t="s">
        <v>2359</v>
      </c>
      <c r="C55" t="s">
        <v>49</v>
      </c>
      <c r="D55">
        <v>132.62</v>
      </c>
    </row>
    <row r="56" spans="1:4" x14ac:dyDescent="0.25">
      <c r="A56" t="s">
        <v>2369</v>
      </c>
      <c r="B56" t="s">
        <v>2370</v>
      </c>
      <c r="C56" t="s">
        <v>49</v>
      </c>
      <c r="D56">
        <v>623.75</v>
      </c>
    </row>
    <row r="57" spans="1:4" x14ac:dyDescent="0.25">
      <c r="A57" t="s">
        <v>2398</v>
      </c>
      <c r="B57" t="s">
        <v>2399</v>
      </c>
      <c r="C57" t="s">
        <v>49</v>
      </c>
      <c r="D57">
        <v>623.75</v>
      </c>
    </row>
    <row r="58" spans="1:4" x14ac:dyDescent="0.25">
      <c r="A58" t="s">
        <v>2497</v>
      </c>
      <c r="B58" t="s">
        <v>2498</v>
      </c>
      <c r="C58" t="s">
        <v>49</v>
      </c>
      <c r="D58">
        <v>84.8</v>
      </c>
    </row>
    <row r="59" spans="1:4" x14ac:dyDescent="0.25">
      <c r="A59" t="s">
        <v>2598</v>
      </c>
      <c r="B59" t="s">
        <v>2599</v>
      </c>
      <c r="C59" t="s">
        <v>49</v>
      </c>
      <c r="D59">
        <v>1019.7599999999999</v>
      </c>
    </row>
    <row r="60" spans="1:4" x14ac:dyDescent="0.25">
      <c r="A60" t="s">
        <v>2686</v>
      </c>
      <c r="B60" t="s">
        <v>2687</v>
      </c>
      <c r="C60" t="s">
        <v>49</v>
      </c>
      <c r="D60">
        <v>1178.78</v>
      </c>
    </row>
    <row r="61" spans="1:4" x14ac:dyDescent="0.25">
      <c r="A61" t="s">
        <v>2726</v>
      </c>
      <c r="B61" t="s">
        <v>2727</v>
      </c>
      <c r="C61" t="s">
        <v>49</v>
      </c>
      <c r="D61">
        <v>167.13</v>
      </c>
    </row>
    <row r="62" spans="1:4" x14ac:dyDescent="0.25">
      <c r="A62" t="s">
        <v>2758</v>
      </c>
      <c r="B62" t="s">
        <v>2759</v>
      </c>
      <c r="C62" t="s">
        <v>49</v>
      </c>
      <c r="D62">
        <v>1266.8399999999997</v>
      </c>
    </row>
    <row r="63" spans="1:4" x14ac:dyDescent="0.25">
      <c r="A63" t="s">
        <v>2827</v>
      </c>
      <c r="B63" t="s">
        <v>2828</v>
      </c>
      <c r="C63" t="s">
        <v>49</v>
      </c>
      <c r="D63">
        <v>1266.8999999999996</v>
      </c>
    </row>
    <row r="64" spans="1:4" x14ac:dyDescent="0.25">
      <c r="A64" t="s">
        <v>2830</v>
      </c>
      <c r="B64" t="s">
        <v>2831</v>
      </c>
      <c r="C64" t="s">
        <v>49</v>
      </c>
      <c r="D64">
        <v>2095.9</v>
      </c>
    </row>
    <row r="65" spans="1:4" x14ac:dyDescent="0.25">
      <c r="A65" t="s">
        <v>2875</v>
      </c>
      <c r="B65" t="s">
        <v>2876</v>
      </c>
      <c r="C65" t="s">
        <v>49</v>
      </c>
      <c r="D65">
        <v>3437.3399999999997</v>
      </c>
    </row>
    <row r="66" spans="1:4" x14ac:dyDescent="0.25">
      <c r="A66" t="s">
        <v>2912</v>
      </c>
      <c r="B66" t="s">
        <v>2392</v>
      </c>
      <c r="C66" t="s">
        <v>49</v>
      </c>
      <c r="D66">
        <v>43.44</v>
      </c>
    </row>
    <row r="67" spans="1:4" x14ac:dyDescent="0.25">
      <c r="A67" t="s">
        <v>3134</v>
      </c>
      <c r="B67" t="s">
        <v>3135</v>
      </c>
      <c r="C67" t="s">
        <v>49</v>
      </c>
      <c r="D67">
        <v>304.5</v>
      </c>
    </row>
    <row r="68" spans="1:4" x14ac:dyDescent="0.25">
      <c r="A68" t="s">
        <v>3165</v>
      </c>
      <c r="B68" t="s">
        <v>3166</v>
      </c>
      <c r="C68" t="s">
        <v>49</v>
      </c>
      <c r="D68">
        <v>161.38000000000002</v>
      </c>
    </row>
    <row r="69" spans="1:4" x14ac:dyDescent="0.25">
      <c r="A69" t="s">
        <v>3200</v>
      </c>
      <c r="B69" t="s">
        <v>3201</v>
      </c>
      <c r="C69" t="s">
        <v>49</v>
      </c>
      <c r="D69">
        <v>478.73</v>
      </c>
    </row>
    <row r="70" spans="1:4" x14ac:dyDescent="0.25">
      <c r="A70" t="s">
        <v>3367</v>
      </c>
      <c r="B70" t="s">
        <v>3368</v>
      </c>
      <c r="C70" t="s">
        <v>49</v>
      </c>
      <c r="D70">
        <v>201.97</v>
      </c>
    </row>
    <row r="71" spans="1:4" x14ac:dyDescent="0.25">
      <c r="A71" t="s">
        <v>3372</v>
      </c>
      <c r="B71" t="s">
        <v>3373</v>
      </c>
      <c r="C71" t="s">
        <v>49</v>
      </c>
      <c r="D71">
        <v>3839.37</v>
      </c>
    </row>
    <row r="72" spans="1:4" x14ac:dyDescent="0.25">
      <c r="A72" t="s">
        <v>3380</v>
      </c>
      <c r="B72" t="s">
        <v>3381</v>
      </c>
      <c r="C72" t="s">
        <v>49</v>
      </c>
      <c r="D72">
        <v>25.17</v>
      </c>
    </row>
    <row r="73" spans="1:4" x14ac:dyDescent="0.25">
      <c r="A73" t="s">
        <v>3447</v>
      </c>
      <c r="B73" t="s">
        <v>3448</v>
      </c>
      <c r="C73" t="s">
        <v>49</v>
      </c>
      <c r="D73">
        <v>1212.93</v>
      </c>
    </row>
    <row r="74" spans="1:4" x14ac:dyDescent="0.25">
      <c r="A74" t="s">
        <v>3515</v>
      </c>
      <c r="B74" t="s">
        <v>3516</v>
      </c>
      <c r="C74" t="s">
        <v>49</v>
      </c>
      <c r="D74">
        <v>1750.62</v>
      </c>
    </row>
    <row r="75" spans="1:4" x14ac:dyDescent="0.25">
      <c r="A75" t="s">
        <v>3614</v>
      </c>
      <c r="B75" t="s">
        <v>3615</v>
      </c>
      <c r="C75" t="s">
        <v>49</v>
      </c>
      <c r="D75">
        <v>22.5</v>
      </c>
    </row>
    <row r="76" spans="1:4" x14ac:dyDescent="0.25">
      <c r="A76" t="s">
        <v>3944</v>
      </c>
      <c r="B76" t="s">
        <v>3945</v>
      </c>
      <c r="C76" t="s">
        <v>49</v>
      </c>
      <c r="D76">
        <v>153.09</v>
      </c>
    </row>
    <row r="77" spans="1:4" x14ac:dyDescent="0.25">
      <c r="A77" t="s">
        <v>4069</v>
      </c>
      <c r="B77" t="s">
        <v>4070</v>
      </c>
      <c r="C77" t="s">
        <v>49</v>
      </c>
      <c r="D77">
        <v>76.389999999999986</v>
      </c>
    </row>
    <row r="78" spans="1:4" x14ac:dyDescent="0.25">
      <c r="A78" t="s">
        <v>4258</v>
      </c>
      <c r="B78" t="s">
        <v>4259</v>
      </c>
      <c r="C78" t="s">
        <v>49</v>
      </c>
      <c r="D78">
        <v>643.37</v>
      </c>
    </row>
    <row r="79" spans="1:4" x14ac:dyDescent="0.25">
      <c r="A79" t="s">
        <v>4287</v>
      </c>
      <c r="B79" t="s">
        <v>4288</v>
      </c>
      <c r="C79" t="s">
        <v>49</v>
      </c>
      <c r="D79">
        <v>454.1</v>
      </c>
    </row>
    <row r="80" spans="1:4" x14ac:dyDescent="0.25">
      <c r="A80" t="s">
        <v>4301</v>
      </c>
      <c r="B80" t="s">
        <v>4302</v>
      </c>
      <c r="C80" t="s">
        <v>49</v>
      </c>
      <c r="D80">
        <v>28.800000000000004</v>
      </c>
    </row>
    <row r="81" spans="1:4" x14ac:dyDescent="0.25">
      <c r="A81" t="s">
        <v>4314</v>
      </c>
      <c r="B81" t="s">
        <v>4315</v>
      </c>
      <c r="C81" t="s">
        <v>49</v>
      </c>
      <c r="D81">
        <v>189.8</v>
      </c>
    </row>
    <row r="82" spans="1:4" x14ac:dyDescent="0.25">
      <c r="A82" t="s">
        <v>4371</v>
      </c>
      <c r="B82" t="s">
        <v>4372</v>
      </c>
      <c r="C82" t="s">
        <v>49</v>
      </c>
      <c r="D82">
        <v>46.250000000000007</v>
      </c>
    </row>
    <row r="83" spans="1:4" x14ac:dyDescent="0.25">
      <c r="A83" t="s">
        <v>4379</v>
      </c>
      <c r="B83" t="s">
        <v>4380</v>
      </c>
      <c r="C83" t="s">
        <v>49</v>
      </c>
      <c r="D83">
        <v>141.21</v>
      </c>
    </row>
    <row r="84" spans="1:4" x14ac:dyDescent="0.25">
      <c r="A84" t="s">
        <v>4396</v>
      </c>
      <c r="B84" t="s">
        <v>4397</v>
      </c>
      <c r="C84" t="s">
        <v>49</v>
      </c>
      <c r="D84">
        <v>72.91</v>
      </c>
    </row>
    <row r="85" spans="1:4" x14ac:dyDescent="0.25">
      <c r="A85" t="s">
        <v>4470</v>
      </c>
      <c r="B85" t="s">
        <v>4471</v>
      </c>
      <c r="C85" t="s">
        <v>49</v>
      </c>
      <c r="D85">
        <v>187.65</v>
      </c>
    </row>
    <row r="86" spans="1:4" x14ac:dyDescent="0.25">
      <c r="A86" t="s">
        <v>4496</v>
      </c>
      <c r="B86" t="s">
        <v>4497</v>
      </c>
      <c r="C86" t="s">
        <v>49</v>
      </c>
      <c r="D86">
        <v>195.06</v>
      </c>
    </row>
    <row r="87" spans="1:4" x14ac:dyDescent="0.25">
      <c r="A87" t="s">
        <v>4510</v>
      </c>
      <c r="B87" t="s">
        <v>4511</v>
      </c>
      <c r="C87" t="s">
        <v>49</v>
      </c>
      <c r="D87">
        <v>205.29000000000002</v>
      </c>
    </row>
    <row r="88" spans="1:4" x14ac:dyDescent="0.25">
      <c r="A88" t="s">
        <v>4574</v>
      </c>
      <c r="B88" t="s">
        <v>4575</v>
      </c>
      <c r="C88" t="s">
        <v>49</v>
      </c>
      <c r="D88">
        <v>553.18000000000006</v>
      </c>
    </row>
    <row r="89" spans="1:4" x14ac:dyDescent="0.25">
      <c r="A89" t="s">
        <v>4690</v>
      </c>
      <c r="B89" t="s">
        <v>4691</v>
      </c>
      <c r="C89" t="s">
        <v>49</v>
      </c>
      <c r="D89">
        <v>18.36</v>
      </c>
    </row>
    <row r="90" spans="1:4" x14ac:dyDescent="0.25">
      <c r="A90" t="s">
        <v>4783</v>
      </c>
      <c r="B90" t="s">
        <v>4784</v>
      </c>
      <c r="C90" t="s">
        <v>49</v>
      </c>
      <c r="D90">
        <v>153</v>
      </c>
    </row>
    <row r="91" spans="1:4" x14ac:dyDescent="0.25">
      <c r="A91" t="s">
        <v>4804</v>
      </c>
      <c r="B91" t="s">
        <v>4805</v>
      </c>
      <c r="C91" t="s">
        <v>49</v>
      </c>
      <c r="D91">
        <v>51.77</v>
      </c>
    </row>
    <row r="92" spans="1:4" x14ac:dyDescent="0.25">
      <c r="A92" t="s">
        <v>4826</v>
      </c>
      <c r="B92" t="s">
        <v>4827</v>
      </c>
      <c r="C92" t="s">
        <v>49</v>
      </c>
      <c r="D92">
        <v>154.26</v>
      </c>
    </row>
    <row r="93" spans="1:4" x14ac:dyDescent="0.25">
      <c r="A93" t="s">
        <v>4876</v>
      </c>
      <c r="B93" t="s">
        <v>4877</v>
      </c>
      <c r="C93" t="s">
        <v>49</v>
      </c>
      <c r="D93">
        <v>555.17999999999995</v>
      </c>
    </row>
    <row r="94" spans="1:4" x14ac:dyDescent="0.25">
      <c r="A94" t="s">
        <v>4902</v>
      </c>
      <c r="B94" t="s">
        <v>4903</v>
      </c>
      <c r="C94" t="s">
        <v>49</v>
      </c>
      <c r="D94">
        <v>569.34</v>
      </c>
    </row>
    <row r="95" spans="1:4" x14ac:dyDescent="0.25">
      <c r="A95" t="s">
        <v>4915</v>
      </c>
      <c r="B95" t="s">
        <v>4916</v>
      </c>
      <c r="C95" t="s">
        <v>49</v>
      </c>
      <c r="D95">
        <v>670.3900000000001</v>
      </c>
    </row>
    <row r="96" spans="1:4" x14ac:dyDescent="0.25">
      <c r="A96" t="s">
        <v>5214</v>
      </c>
      <c r="B96" t="s">
        <v>5215</v>
      </c>
      <c r="C96" t="s">
        <v>49</v>
      </c>
      <c r="D96">
        <v>140.63999999999999</v>
      </c>
    </row>
    <row r="97" spans="1:4" x14ac:dyDescent="0.25">
      <c r="A97" t="s">
        <v>5260</v>
      </c>
      <c r="B97" t="s">
        <v>5261</v>
      </c>
      <c r="C97" t="s">
        <v>49</v>
      </c>
      <c r="D97">
        <v>173.74</v>
      </c>
    </row>
    <row r="98" spans="1:4" x14ac:dyDescent="0.25">
      <c r="A98" t="s">
        <v>5328</v>
      </c>
      <c r="B98" t="s">
        <v>5329</v>
      </c>
      <c r="C98" t="s">
        <v>49</v>
      </c>
      <c r="D98">
        <v>3401.19</v>
      </c>
    </row>
    <row r="99" spans="1:4" x14ac:dyDescent="0.25">
      <c r="A99" t="s">
        <v>5342</v>
      </c>
      <c r="B99" t="s">
        <v>5343</v>
      </c>
      <c r="C99" t="s">
        <v>49</v>
      </c>
      <c r="D99">
        <v>1705.38</v>
      </c>
    </row>
    <row r="100" spans="1:4" x14ac:dyDescent="0.25">
      <c r="A100" t="s">
        <v>5378</v>
      </c>
      <c r="B100" t="s">
        <v>5379</v>
      </c>
      <c r="C100" t="s">
        <v>49</v>
      </c>
      <c r="D100">
        <v>557.44999999999993</v>
      </c>
    </row>
    <row r="101" spans="1:4" x14ac:dyDescent="0.25">
      <c r="A101" t="s">
        <v>5394</v>
      </c>
      <c r="B101" t="s">
        <v>5395</v>
      </c>
      <c r="C101" t="s">
        <v>49</v>
      </c>
      <c r="D101">
        <v>357.62</v>
      </c>
    </row>
    <row r="102" spans="1:4" x14ac:dyDescent="0.25">
      <c r="A102" t="s">
        <v>5500</v>
      </c>
      <c r="B102" t="s">
        <v>5501</v>
      </c>
      <c r="C102" t="s">
        <v>49</v>
      </c>
      <c r="D102">
        <v>174.4</v>
      </c>
    </row>
    <row r="103" spans="1:4" x14ac:dyDescent="0.25">
      <c r="A103" t="s">
        <v>0</v>
      </c>
      <c r="B103" t="s">
        <v>1</v>
      </c>
      <c r="C103" t="s">
        <v>49</v>
      </c>
      <c r="D103">
        <v>5.3999999999999995</v>
      </c>
    </row>
    <row r="104" spans="1:4" x14ac:dyDescent="0.25">
      <c r="A104" t="s">
        <v>12</v>
      </c>
      <c r="B104" t="s">
        <v>13</v>
      </c>
      <c r="C104" t="s">
        <v>49</v>
      </c>
      <c r="D104">
        <v>6</v>
      </c>
    </row>
    <row r="105" spans="1:4" x14ac:dyDescent="0.25">
      <c r="A105" t="s">
        <v>20</v>
      </c>
      <c r="B105" t="s">
        <v>21</v>
      </c>
      <c r="C105" t="s">
        <v>49</v>
      </c>
      <c r="D105">
        <v>31</v>
      </c>
    </row>
    <row r="106" spans="1:4" x14ac:dyDescent="0.25">
      <c r="A106" t="s">
        <v>27</v>
      </c>
      <c r="B106" t="s">
        <v>28</v>
      </c>
      <c r="C106" t="s">
        <v>49</v>
      </c>
      <c r="D106">
        <v>9.9499999999999993</v>
      </c>
    </row>
    <row r="107" spans="1:4" x14ac:dyDescent="0.25">
      <c r="A107" t="s">
        <v>427</v>
      </c>
      <c r="B107" t="s">
        <v>428</v>
      </c>
      <c r="C107" t="s">
        <v>49</v>
      </c>
      <c r="D107">
        <v>12.600000000000001</v>
      </c>
    </row>
    <row r="108" spans="1:4" x14ac:dyDescent="0.25">
      <c r="A108" t="s">
        <v>505</v>
      </c>
      <c r="B108" t="s">
        <v>506</v>
      </c>
      <c r="C108" t="s">
        <v>49</v>
      </c>
      <c r="D108">
        <v>37.75</v>
      </c>
    </row>
    <row r="109" spans="1:4" x14ac:dyDescent="0.25">
      <c r="A109" t="s">
        <v>551</v>
      </c>
      <c r="B109" t="s">
        <v>552</v>
      </c>
      <c r="C109" t="s">
        <v>49</v>
      </c>
      <c r="D109">
        <v>38</v>
      </c>
    </row>
    <row r="110" spans="1:4" x14ac:dyDescent="0.25">
      <c r="A110" t="s">
        <v>564</v>
      </c>
      <c r="B110" t="s">
        <v>565</v>
      </c>
      <c r="C110" t="s">
        <v>49</v>
      </c>
      <c r="D110">
        <v>48.3</v>
      </c>
    </row>
    <row r="111" spans="1:4" x14ac:dyDescent="0.25">
      <c r="A111" t="s">
        <v>576</v>
      </c>
      <c r="B111" t="s">
        <v>577</v>
      </c>
      <c r="C111" t="s">
        <v>49</v>
      </c>
      <c r="D111">
        <v>64.61</v>
      </c>
    </row>
    <row r="112" spans="1:4" x14ac:dyDescent="0.25">
      <c r="A112" t="s">
        <v>595</v>
      </c>
      <c r="B112" t="s">
        <v>596</v>
      </c>
      <c r="C112" t="s">
        <v>49</v>
      </c>
      <c r="D112">
        <v>34.959999999999994</v>
      </c>
    </row>
    <row r="113" spans="1:4" x14ac:dyDescent="0.25">
      <c r="A113" t="s">
        <v>602</v>
      </c>
      <c r="B113" t="s">
        <v>603</v>
      </c>
      <c r="C113" t="s">
        <v>49</v>
      </c>
      <c r="D113">
        <v>81.300000000000011</v>
      </c>
    </row>
    <row r="114" spans="1:4" x14ac:dyDescent="0.25">
      <c r="A114" t="s">
        <v>608</v>
      </c>
      <c r="B114" t="s">
        <v>609</v>
      </c>
      <c r="C114" t="s">
        <v>49</v>
      </c>
      <c r="D114">
        <v>41.75</v>
      </c>
    </row>
    <row r="115" spans="1:4" x14ac:dyDescent="0.25">
      <c r="A115" t="s">
        <v>611</v>
      </c>
      <c r="B115" t="s">
        <v>612</v>
      </c>
      <c r="C115" t="s">
        <v>49</v>
      </c>
      <c r="D115">
        <v>82.580000000000013</v>
      </c>
    </row>
    <row r="116" spans="1:4" x14ac:dyDescent="0.25">
      <c r="A116" t="s">
        <v>617</v>
      </c>
      <c r="B116" t="s">
        <v>618</v>
      </c>
      <c r="C116" t="s">
        <v>49</v>
      </c>
      <c r="D116">
        <v>45.949999999999996</v>
      </c>
    </row>
    <row r="117" spans="1:4" x14ac:dyDescent="0.25">
      <c r="A117" t="s">
        <v>620</v>
      </c>
      <c r="B117" t="s">
        <v>621</v>
      </c>
      <c r="C117" t="s">
        <v>49</v>
      </c>
      <c r="D117">
        <v>65.989999999999995</v>
      </c>
    </row>
    <row r="118" spans="1:4" x14ac:dyDescent="0.25">
      <c r="A118" t="s">
        <v>636</v>
      </c>
      <c r="B118" t="s">
        <v>637</v>
      </c>
      <c r="C118" t="s">
        <v>49</v>
      </c>
      <c r="D118">
        <v>36.5</v>
      </c>
    </row>
    <row r="119" spans="1:4" x14ac:dyDescent="0.25">
      <c r="A119" t="s">
        <v>640</v>
      </c>
      <c r="B119" t="s">
        <v>641</v>
      </c>
      <c r="C119" t="s">
        <v>49</v>
      </c>
      <c r="D119">
        <v>77.8</v>
      </c>
    </row>
    <row r="120" spans="1:4" x14ac:dyDescent="0.25">
      <c r="A120" t="s">
        <v>644</v>
      </c>
      <c r="B120" t="s">
        <v>645</v>
      </c>
      <c r="C120" t="s">
        <v>49</v>
      </c>
      <c r="D120">
        <v>86.3</v>
      </c>
    </row>
    <row r="121" spans="1:4" x14ac:dyDescent="0.25">
      <c r="A121" t="s">
        <v>647</v>
      </c>
      <c r="B121" t="s">
        <v>648</v>
      </c>
      <c r="C121" t="s">
        <v>49</v>
      </c>
      <c r="D121">
        <v>529.06999999999994</v>
      </c>
    </row>
    <row r="122" spans="1:4" x14ac:dyDescent="0.25">
      <c r="A122" t="s">
        <v>893</v>
      </c>
      <c r="B122" t="s">
        <v>894</v>
      </c>
      <c r="C122" t="s">
        <v>49</v>
      </c>
      <c r="D122">
        <v>982.1400000000001</v>
      </c>
    </row>
    <row r="123" spans="1:4" x14ac:dyDescent="0.25">
      <c r="A123" t="s">
        <v>986</v>
      </c>
      <c r="B123" t="s">
        <v>987</v>
      </c>
      <c r="C123" t="s">
        <v>49</v>
      </c>
      <c r="D123">
        <v>1566.75</v>
      </c>
    </row>
    <row r="124" spans="1:4" x14ac:dyDescent="0.25">
      <c r="A124" t="s">
        <v>1001</v>
      </c>
      <c r="B124" t="s">
        <v>1002</v>
      </c>
      <c r="C124" t="s">
        <v>49</v>
      </c>
      <c r="D124">
        <v>13.8</v>
      </c>
    </row>
    <row r="125" spans="1:4" x14ac:dyDescent="0.25">
      <c r="A125" t="s">
        <v>1020</v>
      </c>
      <c r="B125" t="s">
        <v>1021</v>
      </c>
      <c r="C125" t="s">
        <v>49</v>
      </c>
      <c r="D125">
        <v>104.8</v>
      </c>
    </row>
    <row r="126" spans="1:4" x14ac:dyDescent="0.25">
      <c r="A126" t="s">
        <v>1028</v>
      </c>
      <c r="B126" t="s">
        <v>1029</v>
      </c>
      <c r="C126" t="s">
        <v>49</v>
      </c>
      <c r="D126">
        <v>85.449999999999989</v>
      </c>
    </row>
    <row r="127" spans="1:4" x14ac:dyDescent="0.25">
      <c r="A127" t="s">
        <v>1033</v>
      </c>
      <c r="B127" t="s">
        <v>1034</v>
      </c>
      <c r="C127" t="s">
        <v>49</v>
      </c>
      <c r="D127">
        <v>15.7</v>
      </c>
    </row>
    <row r="128" spans="1:4" x14ac:dyDescent="0.25">
      <c r="A128" t="s">
        <v>1039</v>
      </c>
      <c r="B128" t="s">
        <v>1040</v>
      </c>
      <c r="C128" t="s">
        <v>49</v>
      </c>
      <c r="D128">
        <v>10.7</v>
      </c>
    </row>
    <row r="129" spans="1:4" x14ac:dyDescent="0.25">
      <c r="A129" t="s">
        <v>1045</v>
      </c>
      <c r="B129" t="s">
        <v>1046</v>
      </c>
      <c r="C129" t="s">
        <v>49</v>
      </c>
      <c r="D129">
        <v>17.100000000000001</v>
      </c>
    </row>
    <row r="130" spans="1:4" x14ac:dyDescent="0.25">
      <c r="A130" t="s">
        <v>1051</v>
      </c>
      <c r="B130" t="s">
        <v>1052</v>
      </c>
      <c r="C130" t="s">
        <v>49</v>
      </c>
      <c r="D130">
        <v>124.85</v>
      </c>
    </row>
    <row r="131" spans="1:4" x14ac:dyDescent="0.25">
      <c r="A131" t="s">
        <v>1056</v>
      </c>
      <c r="B131" t="s">
        <v>1057</v>
      </c>
      <c r="C131" t="s">
        <v>49</v>
      </c>
      <c r="D131">
        <v>12.649999999999999</v>
      </c>
    </row>
    <row r="132" spans="1:4" x14ac:dyDescent="0.25">
      <c r="A132" t="s">
        <v>1062</v>
      </c>
      <c r="B132" t="s">
        <v>1063</v>
      </c>
      <c r="C132" t="s">
        <v>49</v>
      </c>
      <c r="D132">
        <v>17.2</v>
      </c>
    </row>
    <row r="133" spans="1:4" x14ac:dyDescent="0.25">
      <c r="A133" t="s">
        <v>1066</v>
      </c>
      <c r="B133" t="s">
        <v>1067</v>
      </c>
      <c r="C133" t="s">
        <v>49</v>
      </c>
      <c r="D133">
        <v>4.2</v>
      </c>
    </row>
    <row r="134" spans="1:4" x14ac:dyDescent="0.25">
      <c r="A134" t="s">
        <v>1097</v>
      </c>
      <c r="B134" t="s">
        <v>1098</v>
      </c>
      <c r="C134" t="s">
        <v>49</v>
      </c>
      <c r="D134">
        <v>15.25</v>
      </c>
    </row>
    <row r="135" spans="1:4" x14ac:dyDescent="0.25">
      <c r="A135" t="s">
        <v>1103</v>
      </c>
      <c r="B135" t="s">
        <v>1104</v>
      </c>
      <c r="C135" t="s">
        <v>49</v>
      </c>
      <c r="D135">
        <v>69.050000000000011</v>
      </c>
    </row>
    <row r="136" spans="1:4" x14ac:dyDescent="0.25">
      <c r="A136" t="s">
        <v>1115</v>
      </c>
      <c r="B136" t="s">
        <v>1116</v>
      </c>
      <c r="C136" t="s">
        <v>49</v>
      </c>
      <c r="D136">
        <v>4.01</v>
      </c>
    </row>
    <row r="137" spans="1:4" x14ac:dyDescent="0.25">
      <c r="A137" t="s">
        <v>1132</v>
      </c>
      <c r="B137" t="s">
        <v>1133</v>
      </c>
      <c r="C137" t="s">
        <v>49</v>
      </c>
      <c r="D137">
        <v>24.4</v>
      </c>
    </row>
    <row r="138" spans="1:4" x14ac:dyDescent="0.25">
      <c r="A138" t="s">
        <v>1135</v>
      </c>
      <c r="B138" t="s">
        <v>1136</v>
      </c>
      <c r="C138" t="s">
        <v>49</v>
      </c>
      <c r="D138">
        <v>31.1</v>
      </c>
    </row>
    <row r="139" spans="1:4" x14ac:dyDescent="0.25">
      <c r="A139" t="s">
        <v>1138</v>
      </c>
      <c r="B139" t="s">
        <v>1139</v>
      </c>
      <c r="C139" t="s">
        <v>49</v>
      </c>
      <c r="D139">
        <v>26.200000000000003</v>
      </c>
    </row>
    <row r="140" spans="1:4" x14ac:dyDescent="0.25">
      <c r="A140" t="s">
        <v>1142</v>
      </c>
      <c r="B140" t="s">
        <v>1143</v>
      </c>
      <c r="C140" t="s">
        <v>49</v>
      </c>
      <c r="D140">
        <v>27.55</v>
      </c>
    </row>
    <row r="141" spans="1:4" x14ac:dyDescent="0.25">
      <c r="A141" t="s">
        <v>1145</v>
      </c>
      <c r="B141" t="s">
        <v>1146</v>
      </c>
      <c r="C141" t="s">
        <v>49</v>
      </c>
      <c r="D141">
        <v>27.000000000000004</v>
      </c>
    </row>
    <row r="142" spans="1:4" x14ac:dyDescent="0.25">
      <c r="A142" t="s">
        <v>1149</v>
      </c>
      <c r="B142" t="s">
        <v>1150</v>
      </c>
      <c r="C142" t="s">
        <v>49</v>
      </c>
      <c r="D142">
        <v>26.15</v>
      </c>
    </row>
    <row r="143" spans="1:4" x14ac:dyDescent="0.25">
      <c r="A143" t="s">
        <v>1160</v>
      </c>
      <c r="B143" t="s">
        <v>1161</v>
      </c>
      <c r="C143" t="s">
        <v>49</v>
      </c>
      <c r="D143">
        <v>15.4</v>
      </c>
    </row>
    <row r="144" spans="1:4" x14ac:dyDescent="0.25">
      <c r="A144" t="s">
        <v>1167</v>
      </c>
      <c r="B144" t="s">
        <v>1168</v>
      </c>
      <c r="C144" t="s">
        <v>49</v>
      </c>
      <c r="D144">
        <v>17.600000000000001</v>
      </c>
    </row>
    <row r="145" spans="1:4" x14ac:dyDescent="0.25">
      <c r="A145" t="s">
        <v>1171</v>
      </c>
      <c r="B145" t="s">
        <v>1172</v>
      </c>
      <c r="C145" t="s">
        <v>49</v>
      </c>
      <c r="D145">
        <v>18.25</v>
      </c>
    </row>
    <row r="146" spans="1:4" x14ac:dyDescent="0.25">
      <c r="A146" t="s">
        <v>1174</v>
      </c>
      <c r="B146" t="s">
        <v>1175</v>
      </c>
      <c r="C146" t="s">
        <v>49</v>
      </c>
      <c r="D146">
        <v>15.989999999999998</v>
      </c>
    </row>
    <row r="147" spans="1:4" x14ac:dyDescent="0.25">
      <c r="A147" t="s">
        <v>1179</v>
      </c>
      <c r="B147" t="s">
        <v>1180</v>
      </c>
      <c r="C147" t="s">
        <v>49</v>
      </c>
      <c r="D147">
        <v>16.149999999999999</v>
      </c>
    </row>
    <row r="148" spans="1:4" x14ac:dyDescent="0.25">
      <c r="A148" t="s">
        <v>1182</v>
      </c>
      <c r="B148" t="s">
        <v>1183</v>
      </c>
      <c r="C148" t="s">
        <v>49</v>
      </c>
      <c r="D148">
        <v>16.93</v>
      </c>
    </row>
    <row r="149" spans="1:4" x14ac:dyDescent="0.25">
      <c r="A149" t="s">
        <v>1186</v>
      </c>
      <c r="B149" t="s">
        <v>1187</v>
      </c>
      <c r="C149" t="s">
        <v>49</v>
      </c>
      <c r="D149">
        <v>22.369999999999997</v>
      </c>
    </row>
    <row r="150" spans="1:4" x14ac:dyDescent="0.25">
      <c r="A150" t="s">
        <v>1193</v>
      </c>
      <c r="B150" t="s">
        <v>1194</v>
      </c>
      <c r="C150" t="s">
        <v>49</v>
      </c>
      <c r="D150">
        <v>16.11</v>
      </c>
    </row>
    <row r="151" spans="1:4" x14ac:dyDescent="0.25">
      <c r="A151" t="s">
        <v>1197</v>
      </c>
      <c r="B151" t="s">
        <v>1198</v>
      </c>
      <c r="C151" t="s">
        <v>49</v>
      </c>
      <c r="D151">
        <v>10.66</v>
      </c>
    </row>
    <row r="152" spans="1:4" x14ac:dyDescent="0.25">
      <c r="A152" t="s">
        <v>1201</v>
      </c>
      <c r="B152" t="s">
        <v>1202</v>
      </c>
      <c r="C152" t="s">
        <v>49</v>
      </c>
      <c r="D152">
        <v>10.75</v>
      </c>
    </row>
    <row r="153" spans="1:4" x14ac:dyDescent="0.25">
      <c r="A153" t="s">
        <v>1212</v>
      </c>
      <c r="B153" t="s">
        <v>1213</v>
      </c>
      <c r="C153" t="s">
        <v>49</v>
      </c>
      <c r="D153">
        <v>120.2</v>
      </c>
    </row>
    <row r="154" spans="1:4" x14ac:dyDescent="0.25">
      <c r="A154" t="s">
        <v>1217</v>
      </c>
      <c r="B154" t="s">
        <v>1218</v>
      </c>
      <c r="C154" t="s">
        <v>49</v>
      </c>
      <c r="D154">
        <v>10.950000000000001</v>
      </c>
    </row>
    <row r="155" spans="1:4" x14ac:dyDescent="0.25">
      <c r="A155" t="s">
        <v>1219</v>
      </c>
      <c r="B155" t="s">
        <v>1220</v>
      </c>
      <c r="C155" t="s">
        <v>49</v>
      </c>
      <c r="D155">
        <v>3.2</v>
      </c>
    </row>
    <row r="156" spans="1:4" x14ac:dyDescent="0.25">
      <c r="A156" t="s">
        <v>1229</v>
      </c>
      <c r="B156" t="s">
        <v>1230</v>
      </c>
      <c r="C156" t="s">
        <v>49</v>
      </c>
      <c r="D156">
        <v>7.7</v>
      </c>
    </row>
    <row r="157" spans="1:4" x14ac:dyDescent="0.25">
      <c r="A157" t="s">
        <v>1237</v>
      </c>
      <c r="B157" t="s">
        <v>1238</v>
      </c>
      <c r="C157" t="s">
        <v>49</v>
      </c>
      <c r="D157">
        <v>79.73</v>
      </c>
    </row>
    <row r="158" spans="1:4" x14ac:dyDescent="0.25">
      <c r="A158" t="s">
        <v>1242</v>
      </c>
      <c r="B158" t="s">
        <v>1243</v>
      </c>
      <c r="C158" t="s">
        <v>49</v>
      </c>
      <c r="D158">
        <v>28</v>
      </c>
    </row>
    <row r="159" spans="1:4" x14ac:dyDescent="0.25">
      <c r="A159" t="s">
        <v>1247</v>
      </c>
      <c r="B159" t="s">
        <v>1248</v>
      </c>
      <c r="C159" t="s">
        <v>49</v>
      </c>
      <c r="D159">
        <v>35</v>
      </c>
    </row>
    <row r="160" spans="1:4" x14ac:dyDescent="0.25">
      <c r="A160" t="s">
        <v>1255</v>
      </c>
      <c r="B160" t="s">
        <v>1256</v>
      </c>
      <c r="C160" t="s">
        <v>49</v>
      </c>
      <c r="D160">
        <v>35</v>
      </c>
    </row>
    <row r="161" spans="1:4" x14ac:dyDescent="0.25">
      <c r="A161" t="s">
        <v>1263</v>
      </c>
      <c r="B161" t="s">
        <v>1264</v>
      </c>
      <c r="C161" t="s">
        <v>49</v>
      </c>
      <c r="D161">
        <v>35.72</v>
      </c>
    </row>
    <row r="162" spans="1:4" x14ac:dyDescent="0.25">
      <c r="A162" t="s">
        <v>1266</v>
      </c>
      <c r="B162" t="s">
        <v>1267</v>
      </c>
      <c r="C162" t="s">
        <v>49</v>
      </c>
      <c r="D162">
        <v>35</v>
      </c>
    </row>
    <row r="163" spans="1:4" x14ac:dyDescent="0.25">
      <c r="A163" t="s">
        <v>1268</v>
      </c>
      <c r="B163" t="s">
        <v>1269</v>
      </c>
      <c r="C163" t="s">
        <v>49</v>
      </c>
      <c r="D163">
        <v>48</v>
      </c>
    </row>
    <row r="164" spans="1:4" x14ac:dyDescent="0.25">
      <c r="A164" t="s">
        <v>1272</v>
      </c>
      <c r="B164" t="s">
        <v>1273</v>
      </c>
      <c r="C164" t="s">
        <v>49</v>
      </c>
      <c r="D164">
        <v>41.69</v>
      </c>
    </row>
    <row r="165" spans="1:4" x14ac:dyDescent="0.25">
      <c r="A165" t="s">
        <v>1276</v>
      </c>
      <c r="B165" t="s">
        <v>1277</v>
      </c>
      <c r="C165" t="s">
        <v>49</v>
      </c>
      <c r="D165">
        <v>20.349999999999998</v>
      </c>
    </row>
    <row r="166" spans="1:4" x14ac:dyDescent="0.25">
      <c r="A166" t="s">
        <v>1280</v>
      </c>
      <c r="B166" t="s">
        <v>1281</v>
      </c>
      <c r="C166" t="s">
        <v>49</v>
      </c>
      <c r="D166">
        <v>20</v>
      </c>
    </row>
    <row r="167" spans="1:4" x14ac:dyDescent="0.25">
      <c r="A167" t="s">
        <v>1283</v>
      </c>
      <c r="B167" t="s">
        <v>1284</v>
      </c>
      <c r="C167" t="s">
        <v>49</v>
      </c>
      <c r="D167">
        <v>35</v>
      </c>
    </row>
    <row r="168" spans="1:4" x14ac:dyDescent="0.25">
      <c r="A168" t="s">
        <v>1285</v>
      </c>
      <c r="B168" t="s">
        <v>1286</v>
      </c>
      <c r="C168" t="s">
        <v>49</v>
      </c>
      <c r="D168">
        <v>44.400000000000006</v>
      </c>
    </row>
    <row r="169" spans="1:4" x14ac:dyDescent="0.25">
      <c r="A169" t="s">
        <v>1287</v>
      </c>
      <c r="B169" t="s">
        <v>1288</v>
      </c>
      <c r="C169" t="s">
        <v>49</v>
      </c>
      <c r="D169">
        <v>47.8</v>
      </c>
    </row>
    <row r="170" spans="1:4" x14ac:dyDescent="0.25">
      <c r="A170" t="s">
        <v>1290</v>
      </c>
      <c r="B170" t="s">
        <v>1291</v>
      </c>
      <c r="C170" t="s">
        <v>49</v>
      </c>
      <c r="D170">
        <v>70.5</v>
      </c>
    </row>
    <row r="171" spans="1:4" x14ac:dyDescent="0.25">
      <c r="A171" t="s">
        <v>1294</v>
      </c>
      <c r="B171" t="s">
        <v>1295</v>
      </c>
      <c r="C171" t="s">
        <v>49</v>
      </c>
      <c r="D171">
        <v>11.75</v>
      </c>
    </row>
    <row r="172" spans="1:4" x14ac:dyDescent="0.25">
      <c r="A172" t="s">
        <v>1298</v>
      </c>
      <c r="B172" t="s">
        <v>1299</v>
      </c>
      <c r="C172" t="s">
        <v>49</v>
      </c>
      <c r="D172">
        <v>130</v>
      </c>
    </row>
    <row r="173" spans="1:4" x14ac:dyDescent="0.25">
      <c r="A173" t="s">
        <v>1302</v>
      </c>
      <c r="B173" t="s">
        <v>1303</v>
      </c>
      <c r="C173" t="s">
        <v>49</v>
      </c>
      <c r="D173">
        <v>93.800000000000011</v>
      </c>
    </row>
    <row r="174" spans="1:4" x14ac:dyDescent="0.25">
      <c r="A174" t="s">
        <v>1305</v>
      </c>
      <c r="B174" t="s">
        <v>1306</v>
      </c>
      <c r="C174" t="s">
        <v>49</v>
      </c>
      <c r="D174">
        <v>97.5</v>
      </c>
    </row>
    <row r="175" spans="1:4" x14ac:dyDescent="0.25">
      <c r="A175" t="s">
        <v>1310</v>
      </c>
      <c r="B175" t="s">
        <v>1311</v>
      </c>
      <c r="C175" t="s">
        <v>49</v>
      </c>
      <c r="D175">
        <v>35.6</v>
      </c>
    </row>
    <row r="176" spans="1:4" x14ac:dyDescent="0.25">
      <c r="A176" t="s">
        <v>1315</v>
      </c>
      <c r="B176" t="s">
        <v>1316</v>
      </c>
      <c r="C176" t="s">
        <v>49</v>
      </c>
      <c r="D176">
        <v>35</v>
      </c>
    </row>
    <row r="177" spans="1:4" x14ac:dyDescent="0.25">
      <c r="A177" t="s">
        <v>1317</v>
      </c>
      <c r="B177" t="s">
        <v>1318</v>
      </c>
      <c r="C177" t="s">
        <v>49</v>
      </c>
      <c r="D177">
        <v>86.789999999999992</v>
      </c>
    </row>
    <row r="178" spans="1:4" x14ac:dyDescent="0.25">
      <c r="A178" t="s">
        <v>1321</v>
      </c>
      <c r="B178" t="s">
        <v>1322</v>
      </c>
      <c r="C178" t="s">
        <v>49</v>
      </c>
      <c r="D178">
        <v>88.199999999999989</v>
      </c>
    </row>
    <row r="179" spans="1:4" x14ac:dyDescent="0.25">
      <c r="A179" t="s">
        <v>1325</v>
      </c>
      <c r="B179" t="s">
        <v>1326</v>
      </c>
      <c r="C179" t="s">
        <v>49</v>
      </c>
      <c r="D179">
        <v>318.89999999999998</v>
      </c>
    </row>
    <row r="180" spans="1:4" x14ac:dyDescent="0.25">
      <c r="A180" t="s">
        <v>1331</v>
      </c>
      <c r="B180" t="s">
        <v>1332</v>
      </c>
      <c r="C180" t="s">
        <v>49</v>
      </c>
      <c r="D180">
        <v>318.89999999999998</v>
      </c>
    </row>
    <row r="181" spans="1:4" x14ac:dyDescent="0.25">
      <c r="A181" t="s">
        <v>1333</v>
      </c>
      <c r="B181" t="s">
        <v>1334</v>
      </c>
      <c r="C181" t="s">
        <v>49</v>
      </c>
      <c r="D181">
        <v>281.25</v>
      </c>
    </row>
    <row r="182" spans="1:4" x14ac:dyDescent="0.25">
      <c r="A182" t="s">
        <v>1339</v>
      </c>
      <c r="B182" t="s">
        <v>1340</v>
      </c>
      <c r="C182" t="s">
        <v>49</v>
      </c>
      <c r="D182">
        <v>159</v>
      </c>
    </row>
    <row r="183" spans="1:4" x14ac:dyDescent="0.25">
      <c r="A183" t="s">
        <v>1341</v>
      </c>
      <c r="B183" t="s">
        <v>1342</v>
      </c>
      <c r="C183" t="s">
        <v>49</v>
      </c>
      <c r="D183">
        <v>159</v>
      </c>
    </row>
    <row r="184" spans="1:4" x14ac:dyDescent="0.25">
      <c r="A184" t="s">
        <v>1343</v>
      </c>
      <c r="B184" t="s">
        <v>1344</v>
      </c>
      <c r="C184" t="s">
        <v>49</v>
      </c>
      <c r="D184">
        <v>3.6</v>
      </c>
    </row>
    <row r="185" spans="1:4" x14ac:dyDescent="0.25">
      <c r="A185" t="s">
        <v>1357</v>
      </c>
      <c r="B185" t="s">
        <v>1358</v>
      </c>
      <c r="C185" t="s">
        <v>49</v>
      </c>
      <c r="D185">
        <v>1.97</v>
      </c>
    </row>
    <row r="186" spans="1:4" x14ac:dyDescent="0.25">
      <c r="A186" t="s">
        <v>1361</v>
      </c>
      <c r="B186" t="s">
        <v>1362</v>
      </c>
      <c r="C186" t="s">
        <v>49</v>
      </c>
      <c r="D186">
        <v>4</v>
      </c>
    </row>
    <row r="187" spans="1:4" x14ac:dyDescent="0.25">
      <c r="A187" t="s">
        <v>1365</v>
      </c>
      <c r="B187" t="s">
        <v>1366</v>
      </c>
      <c r="C187" t="s">
        <v>49</v>
      </c>
      <c r="D187">
        <v>1.2</v>
      </c>
    </row>
    <row r="188" spans="1:4" x14ac:dyDescent="0.25">
      <c r="A188" t="s">
        <v>1376</v>
      </c>
      <c r="B188" t="s">
        <v>1377</v>
      </c>
      <c r="C188" t="s">
        <v>49</v>
      </c>
      <c r="D188">
        <v>22.9</v>
      </c>
    </row>
    <row r="189" spans="1:4" x14ac:dyDescent="0.25">
      <c r="A189" t="s">
        <v>1381</v>
      </c>
      <c r="B189" t="s">
        <v>1382</v>
      </c>
      <c r="C189" t="s">
        <v>49</v>
      </c>
      <c r="D189">
        <v>9.3000000000000007</v>
      </c>
    </row>
    <row r="190" spans="1:4" x14ac:dyDescent="0.25">
      <c r="A190" t="s">
        <v>1385</v>
      </c>
      <c r="B190" t="s">
        <v>1386</v>
      </c>
      <c r="C190" t="s">
        <v>49</v>
      </c>
      <c r="D190">
        <v>7.6</v>
      </c>
    </row>
    <row r="191" spans="1:4" x14ac:dyDescent="0.25">
      <c r="A191" t="s">
        <v>1390</v>
      </c>
      <c r="B191" t="s">
        <v>1391</v>
      </c>
      <c r="C191" t="s">
        <v>49</v>
      </c>
      <c r="D191">
        <v>58.35</v>
      </c>
    </row>
    <row r="192" spans="1:4" x14ac:dyDescent="0.25">
      <c r="A192" t="s">
        <v>1397</v>
      </c>
      <c r="B192" t="s">
        <v>1398</v>
      </c>
      <c r="C192" t="s">
        <v>49</v>
      </c>
      <c r="D192">
        <v>81.7</v>
      </c>
    </row>
    <row r="193" spans="1:4" x14ac:dyDescent="0.25">
      <c r="A193" t="s">
        <v>1401</v>
      </c>
      <c r="B193" t="s">
        <v>1402</v>
      </c>
      <c r="C193" t="s">
        <v>49</v>
      </c>
      <c r="D193">
        <v>89.16</v>
      </c>
    </row>
    <row r="194" spans="1:4" x14ac:dyDescent="0.25">
      <c r="A194" t="s">
        <v>1404</v>
      </c>
      <c r="B194" t="s">
        <v>1405</v>
      </c>
      <c r="C194" t="s">
        <v>49</v>
      </c>
      <c r="D194">
        <v>13.469999999999999</v>
      </c>
    </row>
    <row r="195" spans="1:4" x14ac:dyDescent="0.25">
      <c r="A195" t="s">
        <v>1416</v>
      </c>
      <c r="B195" t="s">
        <v>1417</v>
      </c>
      <c r="C195" t="s">
        <v>49</v>
      </c>
      <c r="D195">
        <v>6.85</v>
      </c>
    </row>
    <row r="196" spans="1:4" x14ac:dyDescent="0.25">
      <c r="A196" t="s">
        <v>1420</v>
      </c>
      <c r="B196" t="s">
        <v>1421</v>
      </c>
      <c r="C196" t="s">
        <v>49</v>
      </c>
      <c r="D196">
        <v>12</v>
      </c>
    </row>
    <row r="197" spans="1:4" x14ac:dyDescent="0.25">
      <c r="A197" t="s">
        <v>1423</v>
      </c>
      <c r="B197" t="s">
        <v>1424</v>
      </c>
      <c r="C197" t="s">
        <v>49</v>
      </c>
      <c r="D197">
        <v>7.05</v>
      </c>
    </row>
    <row r="198" spans="1:4" x14ac:dyDescent="0.25">
      <c r="A198" t="s">
        <v>1426</v>
      </c>
      <c r="B198" t="s">
        <v>1427</v>
      </c>
      <c r="C198" t="s">
        <v>49</v>
      </c>
      <c r="D198">
        <v>6.5</v>
      </c>
    </row>
    <row r="199" spans="1:4" x14ac:dyDescent="0.25">
      <c r="A199" t="s">
        <v>1429</v>
      </c>
      <c r="B199" t="s">
        <v>1430</v>
      </c>
      <c r="C199" t="s">
        <v>49</v>
      </c>
      <c r="D199">
        <v>11.5</v>
      </c>
    </row>
    <row r="200" spans="1:4" x14ac:dyDescent="0.25">
      <c r="A200" t="s">
        <v>1432</v>
      </c>
      <c r="B200" t="s">
        <v>1433</v>
      </c>
      <c r="C200" t="s">
        <v>49</v>
      </c>
      <c r="D200">
        <v>10.600000000000001</v>
      </c>
    </row>
    <row r="201" spans="1:4" x14ac:dyDescent="0.25">
      <c r="A201" t="s">
        <v>1437</v>
      </c>
      <c r="B201" t="s">
        <v>1438</v>
      </c>
      <c r="C201" t="s">
        <v>49</v>
      </c>
      <c r="D201">
        <v>14.899999999999999</v>
      </c>
    </row>
    <row r="202" spans="1:4" x14ac:dyDescent="0.25">
      <c r="A202" t="s">
        <v>1440</v>
      </c>
      <c r="B202" t="s">
        <v>1441</v>
      </c>
      <c r="C202" t="s">
        <v>49</v>
      </c>
      <c r="D202">
        <v>6</v>
      </c>
    </row>
    <row r="203" spans="1:4" x14ac:dyDescent="0.25">
      <c r="A203" t="s">
        <v>1445</v>
      </c>
      <c r="B203" t="s">
        <v>1446</v>
      </c>
      <c r="C203" t="s">
        <v>49</v>
      </c>
      <c r="D203">
        <v>5.75</v>
      </c>
    </row>
    <row r="204" spans="1:4" x14ac:dyDescent="0.25">
      <c r="A204" t="s">
        <v>1452</v>
      </c>
      <c r="B204" t="s">
        <v>1453</v>
      </c>
      <c r="C204" t="s">
        <v>49</v>
      </c>
      <c r="D204">
        <v>16.75</v>
      </c>
    </row>
    <row r="205" spans="1:4" x14ac:dyDescent="0.25">
      <c r="A205" t="s">
        <v>1454</v>
      </c>
      <c r="B205" t="s">
        <v>1455</v>
      </c>
      <c r="C205" t="s">
        <v>49</v>
      </c>
      <c r="D205">
        <v>11.5</v>
      </c>
    </row>
    <row r="206" spans="1:4" x14ac:dyDescent="0.25">
      <c r="A206" t="s">
        <v>1457</v>
      </c>
      <c r="B206" t="s">
        <v>1458</v>
      </c>
      <c r="C206" t="s">
        <v>49</v>
      </c>
      <c r="D206">
        <v>11.299999999999999</v>
      </c>
    </row>
    <row r="207" spans="1:4" x14ac:dyDescent="0.25">
      <c r="A207" t="s">
        <v>1460</v>
      </c>
      <c r="B207" t="s">
        <v>1461</v>
      </c>
      <c r="C207" t="s">
        <v>49</v>
      </c>
      <c r="D207">
        <v>13.1</v>
      </c>
    </row>
    <row r="208" spans="1:4" x14ac:dyDescent="0.25">
      <c r="A208" t="s">
        <v>1464</v>
      </c>
      <c r="B208" t="s">
        <v>1465</v>
      </c>
      <c r="C208" t="s">
        <v>49</v>
      </c>
      <c r="D208">
        <v>12.649999999999999</v>
      </c>
    </row>
    <row r="209" spans="1:4" x14ac:dyDescent="0.25">
      <c r="A209" t="s">
        <v>1467</v>
      </c>
      <c r="B209" t="s">
        <v>1468</v>
      </c>
      <c r="C209" t="s">
        <v>49</v>
      </c>
      <c r="D209">
        <v>8.9499999999999993</v>
      </c>
    </row>
    <row r="210" spans="1:4" x14ac:dyDescent="0.25">
      <c r="A210" t="s">
        <v>1470</v>
      </c>
      <c r="B210" t="s">
        <v>1471</v>
      </c>
      <c r="C210" t="s">
        <v>49</v>
      </c>
      <c r="D210">
        <v>8.85</v>
      </c>
    </row>
    <row r="211" spans="1:4" x14ac:dyDescent="0.25">
      <c r="A211" t="s">
        <v>1475</v>
      </c>
      <c r="B211" t="s">
        <v>1476</v>
      </c>
      <c r="C211" t="s">
        <v>49</v>
      </c>
      <c r="D211">
        <v>3.4000000000000004</v>
      </c>
    </row>
    <row r="212" spans="1:4" x14ac:dyDescent="0.25">
      <c r="A212" t="s">
        <v>1482</v>
      </c>
      <c r="B212" t="s">
        <v>1483</v>
      </c>
      <c r="C212" t="s">
        <v>49</v>
      </c>
      <c r="D212">
        <v>14.45</v>
      </c>
    </row>
    <row r="213" spans="1:4" x14ac:dyDescent="0.25">
      <c r="A213" t="s">
        <v>1485</v>
      </c>
      <c r="B213" t="s">
        <v>1486</v>
      </c>
      <c r="C213" t="s">
        <v>49</v>
      </c>
      <c r="D213">
        <v>8.25</v>
      </c>
    </row>
    <row r="214" spans="1:4" x14ac:dyDescent="0.25">
      <c r="A214" t="s">
        <v>1489</v>
      </c>
      <c r="B214" t="s">
        <v>1490</v>
      </c>
      <c r="C214" t="s">
        <v>49</v>
      </c>
      <c r="D214">
        <v>5.9</v>
      </c>
    </row>
    <row r="215" spans="1:4" x14ac:dyDescent="0.25">
      <c r="A215" t="s">
        <v>1493</v>
      </c>
      <c r="B215" t="s">
        <v>1494</v>
      </c>
      <c r="C215" t="s">
        <v>49</v>
      </c>
      <c r="D215">
        <v>60</v>
      </c>
    </row>
    <row r="216" spans="1:4" x14ac:dyDescent="0.25">
      <c r="A216" t="s">
        <v>1500</v>
      </c>
      <c r="B216" t="s">
        <v>1501</v>
      </c>
      <c r="C216" t="s">
        <v>49</v>
      </c>
      <c r="D216">
        <v>65.2</v>
      </c>
    </row>
    <row r="217" spans="1:4" x14ac:dyDescent="0.25">
      <c r="A217" t="s">
        <v>1506</v>
      </c>
      <c r="B217" t="s">
        <v>1507</v>
      </c>
      <c r="C217" t="s">
        <v>49</v>
      </c>
      <c r="D217">
        <v>70.92</v>
      </c>
    </row>
    <row r="218" spans="1:4" x14ac:dyDescent="0.25">
      <c r="A218" t="s">
        <v>1513</v>
      </c>
      <c r="B218" t="s">
        <v>1514</v>
      </c>
      <c r="C218" t="s">
        <v>49</v>
      </c>
      <c r="D218">
        <v>6.6899999999999995</v>
      </c>
    </row>
    <row r="219" spans="1:4" x14ac:dyDescent="0.25">
      <c r="A219" t="s">
        <v>1517</v>
      </c>
      <c r="B219" t="s">
        <v>1518</v>
      </c>
      <c r="C219" t="s">
        <v>49</v>
      </c>
      <c r="D219">
        <v>52</v>
      </c>
    </row>
    <row r="220" spans="1:4" x14ac:dyDescent="0.25">
      <c r="A220" t="s">
        <v>1536</v>
      </c>
      <c r="B220" t="s">
        <v>1537</v>
      </c>
      <c r="C220" t="s">
        <v>49</v>
      </c>
      <c r="D220">
        <v>9.5</v>
      </c>
    </row>
    <row r="221" spans="1:4" x14ac:dyDescent="0.25">
      <c r="A221" t="s">
        <v>1541</v>
      </c>
      <c r="B221" t="s">
        <v>1542</v>
      </c>
      <c r="C221" t="s">
        <v>49</v>
      </c>
      <c r="D221">
        <v>1.1500000000000001</v>
      </c>
    </row>
    <row r="222" spans="1:4" x14ac:dyDescent="0.25">
      <c r="A222" t="s">
        <v>1545</v>
      </c>
      <c r="B222" t="s">
        <v>1546</v>
      </c>
      <c r="C222" t="s">
        <v>49</v>
      </c>
      <c r="D222">
        <v>21.05</v>
      </c>
    </row>
    <row r="223" spans="1:4" x14ac:dyDescent="0.25">
      <c r="A223" t="s">
        <v>1551</v>
      </c>
      <c r="B223" t="s">
        <v>1552</v>
      </c>
      <c r="C223" t="s">
        <v>49</v>
      </c>
      <c r="D223">
        <v>69.2</v>
      </c>
    </row>
    <row r="224" spans="1:4" x14ac:dyDescent="0.25">
      <c r="A224" t="s">
        <v>1556</v>
      </c>
      <c r="B224" t="s">
        <v>1557</v>
      </c>
      <c r="C224" t="s">
        <v>49</v>
      </c>
      <c r="D224">
        <v>59.5</v>
      </c>
    </row>
    <row r="225" spans="1:4" x14ac:dyDescent="0.25">
      <c r="A225" t="s">
        <v>1560</v>
      </c>
      <c r="B225" t="s">
        <v>1561</v>
      </c>
      <c r="C225" t="s">
        <v>49</v>
      </c>
      <c r="D225">
        <v>68.400000000000006</v>
      </c>
    </row>
    <row r="226" spans="1:4" x14ac:dyDescent="0.25">
      <c r="A226" t="s">
        <v>1564</v>
      </c>
      <c r="B226" t="s">
        <v>1565</v>
      </c>
      <c r="C226" t="s">
        <v>49</v>
      </c>
      <c r="D226">
        <v>75</v>
      </c>
    </row>
    <row r="227" spans="1:4" x14ac:dyDescent="0.25">
      <c r="A227" t="s">
        <v>1568</v>
      </c>
      <c r="B227" t="s">
        <v>1569</v>
      </c>
      <c r="C227" t="s">
        <v>49</v>
      </c>
      <c r="D227">
        <v>69.400000000000006</v>
      </c>
    </row>
    <row r="228" spans="1:4" x14ac:dyDescent="0.25">
      <c r="A228" t="s">
        <v>1572</v>
      </c>
      <c r="B228" t="s">
        <v>1573</v>
      </c>
      <c r="C228" t="s">
        <v>49</v>
      </c>
      <c r="D228">
        <v>48.3</v>
      </c>
    </row>
    <row r="229" spans="1:4" x14ac:dyDescent="0.25">
      <c r="A229" t="s">
        <v>1576</v>
      </c>
      <c r="B229" t="s">
        <v>1577</v>
      </c>
      <c r="C229" t="s">
        <v>49</v>
      </c>
      <c r="D229">
        <v>68.25</v>
      </c>
    </row>
    <row r="230" spans="1:4" x14ac:dyDescent="0.25">
      <c r="A230" t="s">
        <v>1579</v>
      </c>
      <c r="B230" t="s">
        <v>1580</v>
      </c>
      <c r="C230" t="s">
        <v>49</v>
      </c>
      <c r="D230">
        <v>61.2</v>
      </c>
    </row>
    <row r="231" spans="1:4" x14ac:dyDescent="0.25">
      <c r="A231" t="s">
        <v>1582</v>
      </c>
      <c r="B231" t="s">
        <v>1583</v>
      </c>
      <c r="C231" t="s">
        <v>49</v>
      </c>
      <c r="D231">
        <v>69.45</v>
      </c>
    </row>
    <row r="232" spans="1:4" x14ac:dyDescent="0.25">
      <c r="A232" t="s">
        <v>1585</v>
      </c>
      <c r="B232" t="s">
        <v>1586</v>
      </c>
      <c r="C232" t="s">
        <v>49</v>
      </c>
      <c r="D232">
        <v>28.7</v>
      </c>
    </row>
    <row r="233" spans="1:4" x14ac:dyDescent="0.25">
      <c r="A233" t="s">
        <v>1589</v>
      </c>
      <c r="B233" t="s">
        <v>1590</v>
      </c>
      <c r="C233" t="s">
        <v>49</v>
      </c>
      <c r="D233">
        <v>31.95</v>
      </c>
    </row>
    <row r="234" spans="1:4" x14ac:dyDescent="0.25">
      <c r="A234" t="s">
        <v>1594</v>
      </c>
      <c r="B234" t="s">
        <v>1595</v>
      </c>
      <c r="C234" t="s">
        <v>49</v>
      </c>
      <c r="D234">
        <v>38.450000000000003</v>
      </c>
    </row>
    <row r="235" spans="1:4" x14ac:dyDescent="0.25">
      <c r="A235" t="s">
        <v>1599</v>
      </c>
      <c r="B235" t="s">
        <v>1600</v>
      </c>
      <c r="C235" t="s">
        <v>49</v>
      </c>
      <c r="D235">
        <v>48.7</v>
      </c>
    </row>
    <row r="236" spans="1:4" x14ac:dyDescent="0.25">
      <c r="A236" t="s">
        <v>1605</v>
      </c>
      <c r="B236" t="s">
        <v>1606</v>
      </c>
      <c r="C236" t="s">
        <v>49</v>
      </c>
      <c r="D236">
        <v>56.2</v>
      </c>
    </row>
    <row r="237" spans="1:4" x14ac:dyDescent="0.25">
      <c r="A237" t="s">
        <v>1609</v>
      </c>
      <c r="B237" t="s">
        <v>1610</v>
      </c>
      <c r="C237" t="s">
        <v>49</v>
      </c>
      <c r="D237">
        <v>50.8</v>
      </c>
    </row>
    <row r="238" spans="1:4" x14ac:dyDescent="0.25">
      <c r="A238" t="s">
        <v>1614</v>
      </c>
      <c r="B238" t="s">
        <v>1615</v>
      </c>
      <c r="C238" t="s">
        <v>49</v>
      </c>
      <c r="D238">
        <v>66.099999999999994</v>
      </c>
    </row>
    <row r="239" spans="1:4" x14ac:dyDescent="0.25">
      <c r="A239" t="s">
        <v>1619</v>
      </c>
      <c r="B239" t="s">
        <v>1620</v>
      </c>
      <c r="C239" t="s">
        <v>49</v>
      </c>
      <c r="D239">
        <v>56</v>
      </c>
    </row>
    <row r="240" spans="1:4" x14ac:dyDescent="0.25">
      <c r="A240" t="s">
        <v>1624</v>
      </c>
      <c r="B240" t="s">
        <v>1625</v>
      </c>
      <c r="C240" t="s">
        <v>49</v>
      </c>
      <c r="D240">
        <v>35.200000000000003</v>
      </c>
    </row>
    <row r="241" spans="1:4" x14ac:dyDescent="0.25">
      <c r="A241" t="s">
        <v>1629</v>
      </c>
      <c r="B241" t="s">
        <v>1630</v>
      </c>
      <c r="C241" t="s">
        <v>49</v>
      </c>
      <c r="D241">
        <v>33</v>
      </c>
    </row>
    <row r="242" spans="1:4" x14ac:dyDescent="0.25">
      <c r="A242" t="s">
        <v>1634</v>
      </c>
      <c r="B242" t="s">
        <v>1635</v>
      </c>
      <c r="C242" t="s">
        <v>49</v>
      </c>
      <c r="D242">
        <v>64.92</v>
      </c>
    </row>
    <row r="243" spans="1:4" x14ac:dyDescent="0.25">
      <c r="A243" t="s">
        <v>1640</v>
      </c>
      <c r="B243" t="s">
        <v>1641</v>
      </c>
      <c r="C243" t="s">
        <v>49</v>
      </c>
      <c r="D243">
        <v>65.75</v>
      </c>
    </row>
    <row r="244" spans="1:4" x14ac:dyDescent="0.25">
      <c r="A244" t="s">
        <v>1645</v>
      </c>
      <c r="B244" t="s">
        <v>1646</v>
      </c>
      <c r="C244" t="s">
        <v>49</v>
      </c>
      <c r="D244">
        <v>45.4</v>
      </c>
    </row>
    <row r="245" spans="1:4" x14ac:dyDescent="0.25">
      <c r="A245" t="s">
        <v>1650</v>
      </c>
      <c r="B245" t="s">
        <v>1651</v>
      </c>
      <c r="C245" t="s">
        <v>49</v>
      </c>
      <c r="D245">
        <v>31.95</v>
      </c>
    </row>
    <row r="246" spans="1:4" x14ac:dyDescent="0.25">
      <c r="A246" t="s">
        <v>1654</v>
      </c>
      <c r="B246" t="s">
        <v>1655</v>
      </c>
      <c r="C246" t="s">
        <v>49</v>
      </c>
      <c r="D246">
        <v>35.200000000000003</v>
      </c>
    </row>
    <row r="247" spans="1:4" x14ac:dyDescent="0.25">
      <c r="A247" t="s">
        <v>1658</v>
      </c>
      <c r="B247" t="s">
        <v>1659</v>
      </c>
      <c r="C247" t="s">
        <v>49</v>
      </c>
      <c r="D247">
        <v>46.05</v>
      </c>
    </row>
    <row r="248" spans="1:4" x14ac:dyDescent="0.25">
      <c r="A248" t="s">
        <v>1663</v>
      </c>
      <c r="B248" t="s">
        <v>1664</v>
      </c>
      <c r="C248" t="s">
        <v>49</v>
      </c>
      <c r="D248">
        <v>49.5</v>
      </c>
    </row>
    <row r="249" spans="1:4" x14ac:dyDescent="0.25">
      <c r="A249" t="s">
        <v>1667</v>
      </c>
      <c r="B249" t="s">
        <v>1668</v>
      </c>
      <c r="C249" t="s">
        <v>49</v>
      </c>
      <c r="D249">
        <v>50.8</v>
      </c>
    </row>
    <row r="250" spans="1:4" x14ac:dyDescent="0.25">
      <c r="A250" t="s">
        <v>1671</v>
      </c>
      <c r="B250" t="s">
        <v>1672</v>
      </c>
      <c r="C250" t="s">
        <v>49</v>
      </c>
      <c r="D250">
        <v>30</v>
      </c>
    </row>
    <row r="251" spans="1:4" x14ac:dyDescent="0.25">
      <c r="A251" t="s">
        <v>1676</v>
      </c>
      <c r="B251" t="s">
        <v>1677</v>
      </c>
      <c r="C251" t="s">
        <v>49</v>
      </c>
      <c r="D251">
        <v>46.7</v>
      </c>
    </row>
    <row r="252" spans="1:4" x14ac:dyDescent="0.25">
      <c r="A252" t="s">
        <v>1681</v>
      </c>
      <c r="B252" t="s">
        <v>1682</v>
      </c>
      <c r="C252" t="s">
        <v>49</v>
      </c>
      <c r="D252">
        <v>29.349999999999998</v>
      </c>
    </row>
    <row r="253" spans="1:4" x14ac:dyDescent="0.25">
      <c r="A253" t="s">
        <v>1686</v>
      </c>
      <c r="B253" t="s">
        <v>1687</v>
      </c>
      <c r="C253" t="s">
        <v>49</v>
      </c>
      <c r="D253">
        <v>140</v>
      </c>
    </row>
    <row r="254" spans="1:4" x14ac:dyDescent="0.25">
      <c r="A254" t="s">
        <v>1697</v>
      </c>
      <c r="B254" t="s">
        <v>1698</v>
      </c>
      <c r="C254" t="s">
        <v>49</v>
      </c>
      <c r="D254">
        <v>324</v>
      </c>
    </row>
    <row r="255" spans="1:4" x14ac:dyDescent="0.25">
      <c r="A255" t="s">
        <v>1702</v>
      </c>
      <c r="B255" t="s">
        <v>1703</v>
      </c>
      <c r="C255" t="s">
        <v>49</v>
      </c>
      <c r="D255">
        <v>495</v>
      </c>
    </row>
    <row r="256" spans="1:4" x14ac:dyDescent="0.25">
      <c r="A256" t="s">
        <v>1708</v>
      </c>
      <c r="B256" t="s">
        <v>1709</v>
      </c>
      <c r="C256" t="s">
        <v>49</v>
      </c>
      <c r="D256">
        <v>632</v>
      </c>
    </row>
    <row r="257" spans="1:4" x14ac:dyDescent="0.25">
      <c r="A257" t="s">
        <v>1714</v>
      </c>
      <c r="B257" t="s">
        <v>1715</v>
      </c>
      <c r="C257" t="s">
        <v>49</v>
      </c>
      <c r="D257">
        <v>324</v>
      </c>
    </row>
    <row r="258" spans="1:4" x14ac:dyDescent="0.25">
      <c r="A258" t="s">
        <v>1716</v>
      </c>
      <c r="B258" t="s">
        <v>1717</v>
      </c>
      <c r="C258" t="s">
        <v>49</v>
      </c>
      <c r="D258">
        <v>134</v>
      </c>
    </row>
    <row r="259" spans="1:4" x14ac:dyDescent="0.25">
      <c r="A259" t="s">
        <v>1720</v>
      </c>
      <c r="B259" t="s">
        <v>1721</v>
      </c>
      <c r="C259" t="s">
        <v>49</v>
      </c>
      <c r="D259">
        <v>30.81</v>
      </c>
    </row>
    <row r="260" spans="1:4" x14ac:dyDescent="0.25">
      <c r="A260" t="s">
        <v>1727</v>
      </c>
      <c r="B260" t="s">
        <v>1728</v>
      </c>
      <c r="C260" t="s">
        <v>49</v>
      </c>
      <c r="D260">
        <v>10.799999999999999</v>
      </c>
    </row>
    <row r="261" spans="1:4" x14ac:dyDescent="0.25">
      <c r="A261" t="s">
        <v>1730</v>
      </c>
      <c r="B261" t="s">
        <v>1731</v>
      </c>
      <c r="C261" t="s">
        <v>49</v>
      </c>
      <c r="D261">
        <v>3</v>
      </c>
    </row>
    <row r="262" spans="1:4" x14ac:dyDescent="0.25">
      <c r="A262" t="s">
        <v>1741</v>
      </c>
      <c r="B262" t="s">
        <v>1742</v>
      </c>
      <c r="C262" t="s">
        <v>49</v>
      </c>
      <c r="D262">
        <v>24.75</v>
      </c>
    </row>
    <row r="263" spans="1:4" x14ac:dyDescent="0.25">
      <c r="A263" t="s">
        <v>1747</v>
      </c>
      <c r="B263" t="s">
        <v>1748</v>
      </c>
      <c r="C263" t="s">
        <v>49</v>
      </c>
      <c r="D263">
        <v>27.549999999999997</v>
      </c>
    </row>
    <row r="264" spans="1:4" x14ac:dyDescent="0.25">
      <c r="A264" t="s">
        <v>1750</v>
      </c>
      <c r="B264" t="s">
        <v>1751</v>
      </c>
      <c r="C264" t="s">
        <v>49</v>
      </c>
      <c r="D264">
        <v>8.4500000000000011</v>
      </c>
    </row>
    <row r="265" spans="1:4" x14ac:dyDescent="0.25">
      <c r="A265" t="s">
        <v>1756</v>
      </c>
      <c r="B265" t="s">
        <v>1757</v>
      </c>
      <c r="C265" t="s">
        <v>49</v>
      </c>
      <c r="D265">
        <v>84.15</v>
      </c>
    </row>
    <row r="266" spans="1:4" x14ac:dyDescent="0.25">
      <c r="A266" t="s">
        <v>1764</v>
      </c>
      <c r="B266" t="s">
        <v>1765</v>
      </c>
      <c r="C266" t="s">
        <v>49</v>
      </c>
      <c r="D266">
        <v>4.5999999999999996</v>
      </c>
    </row>
    <row r="267" spans="1:4" x14ac:dyDescent="0.25">
      <c r="A267" t="s">
        <v>1779</v>
      </c>
      <c r="B267" t="s">
        <v>1780</v>
      </c>
      <c r="C267" t="s">
        <v>49</v>
      </c>
      <c r="D267">
        <v>5.3000000000000007</v>
      </c>
    </row>
    <row r="268" spans="1:4" x14ac:dyDescent="0.25">
      <c r="A268" t="s">
        <v>1782</v>
      </c>
      <c r="B268" t="s">
        <v>1783</v>
      </c>
      <c r="C268" t="s">
        <v>49</v>
      </c>
      <c r="D268">
        <v>5.2</v>
      </c>
    </row>
    <row r="269" spans="1:4" x14ac:dyDescent="0.25">
      <c r="A269" t="s">
        <v>1792</v>
      </c>
      <c r="B269" t="s">
        <v>1793</v>
      </c>
      <c r="C269" t="s">
        <v>49</v>
      </c>
      <c r="D269">
        <v>8.879999999999999</v>
      </c>
    </row>
    <row r="270" spans="1:4" x14ac:dyDescent="0.25">
      <c r="A270" t="s">
        <v>1797</v>
      </c>
      <c r="B270" t="s">
        <v>1798</v>
      </c>
      <c r="C270" t="s">
        <v>49</v>
      </c>
      <c r="D270">
        <v>215.02</v>
      </c>
    </row>
    <row r="271" spans="1:4" x14ac:dyDescent="0.25">
      <c r="A271" t="s">
        <v>1801</v>
      </c>
      <c r="B271" t="s">
        <v>1802</v>
      </c>
      <c r="C271" t="s">
        <v>49</v>
      </c>
      <c r="D271">
        <v>254.95999999999998</v>
      </c>
    </row>
    <row r="272" spans="1:4" x14ac:dyDescent="0.25">
      <c r="A272" t="s">
        <v>1805</v>
      </c>
      <c r="B272" t="s">
        <v>1806</v>
      </c>
      <c r="C272" t="s">
        <v>49</v>
      </c>
      <c r="D272">
        <v>214.31</v>
      </c>
    </row>
    <row r="273" spans="1:4" x14ac:dyDescent="0.25">
      <c r="A273" t="s">
        <v>1809</v>
      </c>
      <c r="B273" t="s">
        <v>1810</v>
      </c>
      <c r="C273" t="s">
        <v>49</v>
      </c>
      <c r="D273">
        <v>252.63</v>
      </c>
    </row>
    <row r="274" spans="1:4" x14ac:dyDescent="0.25">
      <c r="A274" t="s">
        <v>1816</v>
      </c>
      <c r="B274" t="s">
        <v>1817</v>
      </c>
      <c r="C274" t="s">
        <v>49</v>
      </c>
      <c r="D274">
        <v>86.5</v>
      </c>
    </row>
    <row r="275" spans="1:4" x14ac:dyDescent="0.25">
      <c r="A275" t="s">
        <v>1820</v>
      </c>
      <c r="B275" t="s">
        <v>1821</v>
      </c>
      <c r="C275" t="s">
        <v>49</v>
      </c>
      <c r="D275">
        <v>71</v>
      </c>
    </row>
    <row r="276" spans="1:4" x14ac:dyDescent="0.25">
      <c r="A276" t="s">
        <v>1824</v>
      </c>
      <c r="B276" t="s">
        <v>1825</v>
      </c>
      <c r="C276" t="s">
        <v>49</v>
      </c>
      <c r="D276">
        <v>37.6</v>
      </c>
    </row>
    <row r="277" spans="1:4" x14ac:dyDescent="0.25">
      <c r="A277" t="s">
        <v>1828</v>
      </c>
      <c r="B277" t="s">
        <v>1829</v>
      </c>
      <c r="C277" t="s">
        <v>49</v>
      </c>
      <c r="D277">
        <v>81.599999999999994</v>
      </c>
    </row>
    <row r="278" spans="1:4" x14ac:dyDescent="0.25">
      <c r="A278" t="s">
        <v>1832</v>
      </c>
      <c r="B278" t="s">
        <v>1833</v>
      </c>
      <c r="C278" t="s">
        <v>49</v>
      </c>
      <c r="D278">
        <v>5.4499999999999993</v>
      </c>
    </row>
    <row r="279" spans="1:4" x14ac:dyDescent="0.25">
      <c r="A279" t="s">
        <v>1838</v>
      </c>
      <c r="B279" t="s">
        <v>1839</v>
      </c>
      <c r="C279" t="s">
        <v>49</v>
      </c>
      <c r="D279">
        <v>57.4</v>
      </c>
    </row>
    <row r="280" spans="1:4" x14ac:dyDescent="0.25">
      <c r="A280" t="s">
        <v>1842</v>
      </c>
      <c r="B280" t="s">
        <v>1843</v>
      </c>
      <c r="C280" t="s">
        <v>49</v>
      </c>
      <c r="D280">
        <v>50.7</v>
      </c>
    </row>
    <row r="281" spans="1:4" x14ac:dyDescent="0.25">
      <c r="A281" t="s">
        <v>1905</v>
      </c>
      <c r="B281" t="s">
        <v>1906</v>
      </c>
      <c r="C281" t="s">
        <v>49</v>
      </c>
      <c r="D281">
        <v>120.7</v>
      </c>
    </row>
    <row r="282" spans="1:4" x14ac:dyDescent="0.25">
      <c r="A282" t="s">
        <v>1919</v>
      </c>
      <c r="B282" t="s">
        <v>1920</v>
      </c>
      <c r="C282" t="s">
        <v>49</v>
      </c>
      <c r="D282">
        <v>77.649999999999991</v>
      </c>
    </row>
    <row r="283" spans="1:4" x14ac:dyDescent="0.25">
      <c r="A283" t="s">
        <v>1933</v>
      </c>
      <c r="B283" t="s">
        <v>1934</v>
      </c>
      <c r="C283" t="s">
        <v>49</v>
      </c>
      <c r="D283">
        <v>76.2</v>
      </c>
    </row>
    <row r="284" spans="1:4" x14ac:dyDescent="0.25">
      <c r="A284" t="s">
        <v>1944</v>
      </c>
      <c r="B284" t="s">
        <v>1945</v>
      </c>
      <c r="C284" t="s">
        <v>49</v>
      </c>
      <c r="D284">
        <v>78.509999999999991</v>
      </c>
    </row>
    <row r="285" spans="1:4" x14ac:dyDescent="0.25">
      <c r="A285" t="s">
        <v>2032</v>
      </c>
      <c r="B285" t="s">
        <v>2033</v>
      </c>
      <c r="C285" t="s">
        <v>49</v>
      </c>
      <c r="D285">
        <v>3.2</v>
      </c>
    </row>
    <row r="286" spans="1:4" x14ac:dyDescent="0.25">
      <c r="A286" t="s">
        <v>2067</v>
      </c>
      <c r="B286" t="s">
        <v>2068</v>
      </c>
      <c r="C286" t="s">
        <v>49</v>
      </c>
      <c r="D286">
        <v>2.8</v>
      </c>
    </row>
    <row r="287" spans="1:4" x14ac:dyDescent="0.25">
      <c r="A287" t="s">
        <v>2070</v>
      </c>
      <c r="B287" t="s">
        <v>2071</v>
      </c>
      <c r="C287" t="s">
        <v>49</v>
      </c>
      <c r="D287">
        <v>8.9499999999999993</v>
      </c>
    </row>
    <row r="288" spans="1:4" x14ac:dyDescent="0.25">
      <c r="A288" t="s">
        <v>2076</v>
      </c>
      <c r="B288" t="s">
        <v>2077</v>
      </c>
      <c r="C288" t="s">
        <v>49</v>
      </c>
      <c r="D288">
        <v>16.2</v>
      </c>
    </row>
    <row r="289" spans="1:4" x14ac:dyDescent="0.25">
      <c r="A289" t="s">
        <v>2081</v>
      </c>
      <c r="B289" t="s">
        <v>2082</v>
      </c>
      <c r="C289" t="s">
        <v>49</v>
      </c>
      <c r="D289">
        <v>14.469999999999999</v>
      </c>
    </row>
    <row r="290" spans="1:4" x14ac:dyDescent="0.25">
      <c r="A290" t="s">
        <v>2084</v>
      </c>
      <c r="B290" t="s">
        <v>2085</v>
      </c>
      <c r="C290" t="s">
        <v>49</v>
      </c>
      <c r="D290">
        <v>11.3</v>
      </c>
    </row>
    <row r="291" spans="1:4" x14ac:dyDescent="0.25">
      <c r="A291" t="s">
        <v>2087</v>
      </c>
      <c r="B291" t="s">
        <v>2088</v>
      </c>
      <c r="C291" t="s">
        <v>49</v>
      </c>
      <c r="D291">
        <v>14.899999999999999</v>
      </c>
    </row>
    <row r="292" spans="1:4" x14ac:dyDescent="0.25">
      <c r="A292" t="s">
        <v>2091</v>
      </c>
      <c r="B292" t="s">
        <v>2092</v>
      </c>
      <c r="C292" t="s">
        <v>49</v>
      </c>
      <c r="D292">
        <v>1.8</v>
      </c>
    </row>
    <row r="293" spans="1:4" x14ac:dyDescent="0.25">
      <c r="A293" t="s">
        <v>2094</v>
      </c>
      <c r="B293" t="s">
        <v>2095</v>
      </c>
      <c r="C293" t="s">
        <v>49</v>
      </c>
      <c r="D293">
        <v>1.8</v>
      </c>
    </row>
    <row r="294" spans="1:4" x14ac:dyDescent="0.25">
      <c r="A294" t="s">
        <v>2097</v>
      </c>
      <c r="B294" t="s">
        <v>2098</v>
      </c>
      <c r="C294" t="s">
        <v>49</v>
      </c>
      <c r="D294">
        <v>1.8</v>
      </c>
    </row>
    <row r="295" spans="1:4" x14ac:dyDescent="0.25">
      <c r="A295" t="s">
        <v>2100</v>
      </c>
      <c r="B295" t="s">
        <v>2101</v>
      </c>
      <c r="C295" t="s">
        <v>49</v>
      </c>
      <c r="D295">
        <v>1.8</v>
      </c>
    </row>
    <row r="296" spans="1:4" x14ac:dyDescent="0.25">
      <c r="A296" t="s">
        <v>2102</v>
      </c>
      <c r="B296" t="s">
        <v>2103</v>
      </c>
      <c r="C296" t="s">
        <v>49</v>
      </c>
      <c r="D296">
        <v>1.8</v>
      </c>
    </row>
    <row r="297" spans="1:4" x14ac:dyDescent="0.25">
      <c r="A297" t="s">
        <v>2104</v>
      </c>
      <c r="B297" t="s">
        <v>2105</v>
      </c>
      <c r="C297" t="s">
        <v>49</v>
      </c>
      <c r="D297">
        <v>3.0999999999999996</v>
      </c>
    </row>
    <row r="298" spans="1:4" x14ac:dyDescent="0.25">
      <c r="A298" t="s">
        <v>2108</v>
      </c>
      <c r="B298" t="s">
        <v>2109</v>
      </c>
      <c r="C298" t="s">
        <v>49</v>
      </c>
      <c r="D298">
        <v>16.919999999999998</v>
      </c>
    </row>
    <row r="299" spans="1:4" x14ac:dyDescent="0.25">
      <c r="A299" t="s">
        <v>2115</v>
      </c>
      <c r="B299" t="s">
        <v>2116</v>
      </c>
      <c r="C299" t="s">
        <v>49</v>
      </c>
      <c r="D299">
        <v>2.5</v>
      </c>
    </row>
    <row r="300" spans="1:4" x14ac:dyDescent="0.25">
      <c r="A300" t="s">
        <v>2118</v>
      </c>
      <c r="B300" t="s">
        <v>2119</v>
      </c>
      <c r="C300" t="s">
        <v>49</v>
      </c>
      <c r="D300">
        <v>2.5499999999999998</v>
      </c>
    </row>
    <row r="301" spans="1:4" x14ac:dyDescent="0.25">
      <c r="A301" t="s">
        <v>2121</v>
      </c>
      <c r="B301" t="s">
        <v>2122</v>
      </c>
      <c r="C301" t="s">
        <v>49</v>
      </c>
      <c r="D301">
        <v>2.5999999999999996</v>
      </c>
    </row>
    <row r="302" spans="1:4" x14ac:dyDescent="0.25">
      <c r="A302" t="s">
        <v>2124</v>
      </c>
      <c r="B302" t="s">
        <v>2125</v>
      </c>
      <c r="C302" t="s">
        <v>49</v>
      </c>
      <c r="D302">
        <v>2.65</v>
      </c>
    </row>
    <row r="303" spans="1:4" x14ac:dyDescent="0.25">
      <c r="A303" t="s">
        <v>2128</v>
      </c>
      <c r="B303" t="s">
        <v>2129</v>
      </c>
      <c r="C303" t="s">
        <v>49</v>
      </c>
      <c r="D303">
        <v>8.5299999999999994</v>
      </c>
    </row>
    <row r="304" spans="1:4" x14ac:dyDescent="0.25">
      <c r="A304" t="s">
        <v>2130</v>
      </c>
      <c r="B304" t="s">
        <v>2131</v>
      </c>
      <c r="C304" t="s">
        <v>49</v>
      </c>
      <c r="D304">
        <v>6.9</v>
      </c>
    </row>
    <row r="305" spans="1:4" x14ac:dyDescent="0.25">
      <c r="A305" t="s">
        <v>2135</v>
      </c>
      <c r="B305" t="s">
        <v>2136</v>
      </c>
      <c r="C305" t="s">
        <v>49</v>
      </c>
      <c r="D305">
        <v>5.3</v>
      </c>
    </row>
    <row r="306" spans="1:4" x14ac:dyDescent="0.25">
      <c r="A306" t="s">
        <v>2139</v>
      </c>
      <c r="B306" t="s">
        <v>2140</v>
      </c>
      <c r="C306" t="s">
        <v>49</v>
      </c>
      <c r="D306">
        <v>1</v>
      </c>
    </row>
    <row r="307" spans="1:4" x14ac:dyDescent="0.25">
      <c r="A307" t="s">
        <v>2143</v>
      </c>
      <c r="B307" t="s">
        <v>2144</v>
      </c>
      <c r="C307" t="s">
        <v>49</v>
      </c>
      <c r="D307">
        <v>4</v>
      </c>
    </row>
    <row r="308" spans="1:4" x14ac:dyDescent="0.25">
      <c r="A308" t="s">
        <v>2147</v>
      </c>
      <c r="B308" t="s">
        <v>2148</v>
      </c>
      <c r="C308" t="s">
        <v>49</v>
      </c>
      <c r="D308">
        <v>12.29</v>
      </c>
    </row>
    <row r="309" spans="1:4" x14ac:dyDescent="0.25">
      <c r="A309" t="s">
        <v>2152</v>
      </c>
      <c r="B309" t="s">
        <v>2153</v>
      </c>
      <c r="C309" t="s">
        <v>49</v>
      </c>
      <c r="D309">
        <v>4.0599999999999996</v>
      </c>
    </row>
    <row r="310" spans="1:4" x14ac:dyDescent="0.25">
      <c r="A310" t="s">
        <v>2156</v>
      </c>
      <c r="B310" t="s">
        <v>2157</v>
      </c>
      <c r="C310" t="s">
        <v>49</v>
      </c>
      <c r="D310">
        <v>12.43</v>
      </c>
    </row>
    <row r="311" spans="1:4" x14ac:dyDescent="0.25">
      <c r="A311" t="s">
        <v>2164</v>
      </c>
      <c r="B311" t="s">
        <v>2165</v>
      </c>
      <c r="C311" t="s">
        <v>49</v>
      </c>
      <c r="D311">
        <v>1.0999999999999999</v>
      </c>
    </row>
    <row r="312" spans="1:4" x14ac:dyDescent="0.25">
      <c r="A312" t="s">
        <v>2167</v>
      </c>
      <c r="B312" t="s">
        <v>2168</v>
      </c>
      <c r="C312" t="s">
        <v>49</v>
      </c>
      <c r="D312">
        <v>57.1</v>
      </c>
    </row>
    <row r="313" spans="1:4" x14ac:dyDescent="0.25">
      <c r="A313" t="s">
        <v>2173</v>
      </c>
      <c r="B313" t="s">
        <v>2174</v>
      </c>
      <c r="C313" t="s">
        <v>49</v>
      </c>
      <c r="D313">
        <v>2.5</v>
      </c>
    </row>
    <row r="314" spans="1:4" x14ac:dyDescent="0.25">
      <c r="A314" t="s">
        <v>2180</v>
      </c>
      <c r="B314" t="s">
        <v>2181</v>
      </c>
      <c r="C314" t="s">
        <v>49</v>
      </c>
      <c r="D314">
        <v>21.259999999999998</v>
      </c>
    </row>
    <row r="315" spans="1:4" x14ac:dyDescent="0.25">
      <c r="A315" t="s">
        <v>2185</v>
      </c>
      <c r="B315" t="s">
        <v>2186</v>
      </c>
      <c r="C315" t="s">
        <v>49</v>
      </c>
      <c r="D315">
        <v>99.03</v>
      </c>
    </row>
    <row r="316" spans="1:4" x14ac:dyDescent="0.25">
      <c r="A316" t="s">
        <v>2188</v>
      </c>
      <c r="B316" t="s">
        <v>2189</v>
      </c>
      <c r="C316" t="s">
        <v>49</v>
      </c>
      <c r="D316">
        <v>26.1</v>
      </c>
    </row>
    <row r="317" spans="1:4" x14ac:dyDescent="0.25">
      <c r="A317" t="s">
        <v>2191</v>
      </c>
      <c r="B317" t="s">
        <v>2192</v>
      </c>
      <c r="C317" t="s">
        <v>49</v>
      </c>
      <c r="D317">
        <v>8.7299999999999986</v>
      </c>
    </row>
    <row r="318" spans="1:4" x14ac:dyDescent="0.25">
      <c r="A318" t="s">
        <v>2195</v>
      </c>
      <c r="B318" t="s">
        <v>2196</v>
      </c>
      <c r="C318" t="s">
        <v>49</v>
      </c>
      <c r="D318">
        <v>2.3199999999999998</v>
      </c>
    </row>
    <row r="319" spans="1:4" x14ac:dyDescent="0.25">
      <c r="A319" t="s">
        <v>2206</v>
      </c>
      <c r="B319" t="s">
        <v>2207</v>
      </c>
      <c r="C319" t="s">
        <v>49</v>
      </c>
      <c r="D319">
        <v>50.5</v>
      </c>
    </row>
    <row r="320" spans="1:4" x14ac:dyDescent="0.25">
      <c r="A320" t="s">
        <v>2215</v>
      </c>
      <c r="B320" t="s">
        <v>2216</v>
      </c>
      <c r="C320" t="s">
        <v>49</v>
      </c>
      <c r="D320">
        <v>43.3</v>
      </c>
    </row>
    <row r="321" spans="1:4" x14ac:dyDescent="0.25">
      <c r="A321" t="s">
        <v>2224</v>
      </c>
      <c r="B321" t="s">
        <v>2225</v>
      </c>
      <c r="C321" t="s">
        <v>49</v>
      </c>
      <c r="D321">
        <v>54.2</v>
      </c>
    </row>
    <row r="322" spans="1:4" x14ac:dyDescent="0.25">
      <c r="A322" t="s">
        <v>2232</v>
      </c>
      <c r="B322" t="s">
        <v>2233</v>
      </c>
      <c r="C322" t="s">
        <v>49</v>
      </c>
      <c r="D322">
        <v>56.4</v>
      </c>
    </row>
    <row r="323" spans="1:4" x14ac:dyDescent="0.25">
      <c r="A323" t="s">
        <v>2236</v>
      </c>
      <c r="B323" t="s">
        <v>2237</v>
      </c>
      <c r="C323" t="s">
        <v>49</v>
      </c>
      <c r="D323">
        <v>36.549999999999997</v>
      </c>
    </row>
    <row r="324" spans="1:4" x14ac:dyDescent="0.25">
      <c r="A324" t="s">
        <v>2239</v>
      </c>
      <c r="B324" t="s">
        <v>2240</v>
      </c>
      <c r="C324" t="s">
        <v>49</v>
      </c>
      <c r="D324">
        <v>42.22</v>
      </c>
    </row>
    <row r="325" spans="1:4" x14ac:dyDescent="0.25">
      <c r="A325" t="s">
        <v>2258</v>
      </c>
      <c r="B325" t="s">
        <v>2259</v>
      </c>
      <c r="C325" t="s">
        <v>49</v>
      </c>
      <c r="D325">
        <v>76.84</v>
      </c>
    </row>
    <row r="326" spans="1:4" x14ac:dyDescent="0.25">
      <c r="A326" t="s">
        <v>2265</v>
      </c>
      <c r="B326" t="s">
        <v>2266</v>
      </c>
      <c r="C326" t="s">
        <v>49</v>
      </c>
      <c r="D326">
        <v>42.92</v>
      </c>
    </row>
    <row r="327" spans="1:4" x14ac:dyDescent="0.25">
      <c r="A327" t="s">
        <v>2268</v>
      </c>
      <c r="B327" t="s">
        <v>2269</v>
      </c>
      <c r="C327" t="s">
        <v>49</v>
      </c>
      <c r="D327">
        <v>81.41</v>
      </c>
    </row>
    <row r="328" spans="1:4" x14ac:dyDescent="0.25">
      <c r="A328" t="s">
        <v>2273</v>
      </c>
      <c r="B328" t="s">
        <v>2274</v>
      </c>
      <c r="C328" t="s">
        <v>49</v>
      </c>
      <c r="D328">
        <v>45.82</v>
      </c>
    </row>
    <row r="329" spans="1:4" x14ac:dyDescent="0.25">
      <c r="A329" t="s">
        <v>2277</v>
      </c>
      <c r="B329" t="s">
        <v>2278</v>
      </c>
      <c r="C329" t="s">
        <v>49</v>
      </c>
      <c r="D329">
        <v>84.87</v>
      </c>
    </row>
    <row r="330" spans="1:4" x14ac:dyDescent="0.25">
      <c r="A330" t="s">
        <v>2280</v>
      </c>
      <c r="B330" t="s">
        <v>2281</v>
      </c>
      <c r="C330" t="s">
        <v>49</v>
      </c>
      <c r="D330">
        <v>42.66</v>
      </c>
    </row>
    <row r="331" spans="1:4" x14ac:dyDescent="0.25">
      <c r="A331" t="s">
        <v>2290</v>
      </c>
      <c r="B331" t="s">
        <v>2291</v>
      </c>
      <c r="C331" t="s">
        <v>49</v>
      </c>
      <c r="D331">
        <v>157.25</v>
      </c>
    </row>
    <row r="332" spans="1:4" x14ac:dyDescent="0.25">
      <c r="A332" t="s">
        <v>2316</v>
      </c>
      <c r="B332" t="s">
        <v>2317</v>
      </c>
      <c r="C332" t="s">
        <v>49</v>
      </c>
      <c r="D332">
        <v>51.900000000000006</v>
      </c>
    </row>
    <row r="333" spans="1:4" x14ac:dyDescent="0.25">
      <c r="A333" t="s">
        <v>2331</v>
      </c>
      <c r="B333" t="s">
        <v>2332</v>
      </c>
      <c r="C333" t="s">
        <v>49</v>
      </c>
      <c r="D333">
        <v>175.70000000000002</v>
      </c>
    </row>
    <row r="334" spans="1:4" x14ac:dyDescent="0.25">
      <c r="A334" t="s">
        <v>2333</v>
      </c>
      <c r="B334" t="s">
        <v>2334</v>
      </c>
      <c r="C334" t="s">
        <v>49</v>
      </c>
      <c r="D334">
        <v>59.25</v>
      </c>
    </row>
    <row r="335" spans="1:4" x14ac:dyDescent="0.25">
      <c r="A335" t="s">
        <v>2339</v>
      </c>
      <c r="B335" t="s">
        <v>2340</v>
      </c>
      <c r="C335" t="s">
        <v>49</v>
      </c>
      <c r="D335">
        <v>227.75</v>
      </c>
    </row>
    <row r="336" spans="1:4" x14ac:dyDescent="0.25">
      <c r="A336" t="s">
        <v>2352</v>
      </c>
      <c r="B336" t="s">
        <v>2353</v>
      </c>
      <c r="C336" t="s">
        <v>49</v>
      </c>
      <c r="D336">
        <v>98</v>
      </c>
    </row>
    <row r="337" spans="1:4" x14ac:dyDescent="0.25">
      <c r="A337" t="s">
        <v>2363</v>
      </c>
      <c r="B337" t="s">
        <v>2364</v>
      </c>
      <c r="C337" t="s">
        <v>49</v>
      </c>
      <c r="D337">
        <v>177.66</v>
      </c>
    </row>
    <row r="338" spans="1:4" x14ac:dyDescent="0.25">
      <c r="A338" t="s">
        <v>2366</v>
      </c>
      <c r="B338" t="s">
        <v>2367</v>
      </c>
      <c r="C338" t="s">
        <v>49</v>
      </c>
      <c r="D338">
        <v>59.25</v>
      </c>
    </row>
    <row r="339" spans="1:4" x14ac:dyDescent="0.25">
      <c r="A339" t="s">
        <v>2400</v>
      </c>
      <c r="B339" t="s">
        <v>2401</v>
      </c>
      <c r="C339" t="s">
        <v>49</v>
      </c>
      <c r="D339">
        <v>70.2</v>
      </c>
    </row>
    <row r="340" spans="1:4" x14ac:dyDescent="0.25">
      <c r="A340" t="s">
        <v>2403</v>
      </c>
      <c r="B340" t="s">
        <v>2404</v>
      </c>
      <c r="C340" t="s">
        <v>49</v>
      </c>
      <c r="D340">
        <v>5.55</v>
      </c>
    </row>
    <row r="341" spans="1:4" x14ac:dyDescent="0.25">
      <c r="A341" t="s">
        <v>2408</v>
      </c>
      <c r="B341" t="s">
        <v>2409</v>
      </c>
      <c r="C341" t="s">
        <v>49</v>
      </c>
      <c r="D341">
        <v>9.2199999999999989</v>
      </c>
    </row>
    <row r="342" spans="1:4" x14ac:dyDescent="0.25">
      <c r="A342" t="s">
        <v>2410</v>
      </c>
      <c r="B342" t="s">
        <v>2411</v>
      </c>
      <c r="C342" t="s">
        <v>49</v>
      </c>
      <c r="D342">
        <v>48</v>
      </c>
    </row>
    <row r="343" spans="1:4" x14ac:dyDescent="0.25">
      <c r="A343" t="s">
        <v>2416</v>
      </c>
      <c r="B343" t="s">
        <v>2417</v>
      </c>
      <c r="C343" t="s">
        <v>49</v>
      </c>
      <c r="D343">
        <v>5.6</v>
      </c>
    </row>
    <row r="344" spans="1:4" x14ac:dyDescent="0.25">
      <c r="A344" t="s">
        <v>2421</v>
      </c>
      <c r="B344" t="s">
        <v>2422</v>
      </c>
      <c r="C344" t="s">
        <v>49</v>
      </c>
      <c r="D344">
        <v>149.05000000000001</v>
      </c>
    </row>
    <row r="345" spans="1:4" x14ac:dyDescent="0.25">
      <c r="A345" t="s">
        <v>2439</v>
      </c>
      <c r="B345" t="s">
        <v>2440</v>
      </c>
      <c r="C345" t="s">
        <v>49</v>
      </c>
      <c r="D345">
        <v>94.2</v>
      </c>
    </row>
    <row r="346" spans="1:4" x14ac:dyDescent="0.25">
      <c r="A346" t="s">
        <v>2442</v>
      </c>
      <c r="B346" t="s">
        <v>2443</v>
      </c>
      <c r="C346" t="s">
        <v>49</v>
      </c>
      <c r="D346">
        <v>70</v>
      </c>
    </row>
    <row r="347" spans="1:4" x14ac:dyDescent="0.25">
      <c r="A347" t="s">
        <v>2445</v>
      </c>
      <c r="B347" t="s">
        <v>2446</v>
      </c>
      <c r="C347" t="s">
        <v>49</v>
      </c>
      <c r="D347">
        <v>22.650000000000002</v>
      </c>
    </row>
    <row r="348" spans="1:4" x14ac:dyDescent="0.25">
      <c r="A348" t="s">
        <v>2448</v>
      </c>
      <c r="B348" t="s">
        <v>2449</v>
      </c>
      <c r="C348" t="s">
        <v>49</v>
      </c>
      <c r="D348">
        <v>27.650000000000002</v>
      </c>
    </row>
    <row r="349" spans="1:4" x14ac:dyDescent="0.25">
      <c r="A349" t="s">
        <v>2453</v>
      </c>
      <c r="B349" t="s">
        <v>2454</v>
      </c>
      <c r="C349" t="s">
        <v>49</v>
      </c>
      <c r="D349">
        <v>21.950000000000003</v>
      </c>
    </row>
    <row r="350" spans="1:4" x14ac:dyDescent="0.25">
      <c r="A350" t="s">
        <v>2456</v>
      </c>
      <c r="B350" t="s">
        <v>2457</v>
      </c>
      <c r="C350" t="s">
        <v>49</v>
      </c>
      <c r="D350">
        <v>7</v>
      </c>
    </row>
    <row r="351" spans="1:4" x14ac:dyDescent="0.25">
      <c r="A351" t="s">
        <v>2461</v>
      </c>
      <c r="B351" t="s">
        <v>2462</v>
      </c>
      <c r="C351" t="s">
        <v>49</v>
      </c>
      <c r="D351">
        <v>15.299999999999999</v>
      </c>
    </row>
    <row r="352" spans="1:4" x14ac:dyDescent="0.25">
      <c r="A352" t="s">
        <v>2472</v>
      </c>
      <c r="B352" t="s">
        <v>2473</v>
      </c>
      <c r="C352" t="s">
        <v>49</v>
      </c>
      <c r="D352">
        <v>10.95</v>
      </c>
    </row>
    <row r="353" spans="1:4" x14ac:dyDescent="0.25">
      <c r="A353" t="s">
        <v>2477</v>
      </c>
      <c r="B353" t="s">
        <v>2478</v>
      </c>
      <c r="C353" t="s">
        <v>49</v>
      </c>
      <c r="D353">
        <v>7.5</v>
      </c>
    </row>
    <row r="354" spans="1:4" x14ac:dyDescent="0.25">
      <c r="A354" t="s">
        <v>2483</v>
      </c>
      <c r="B354" t="s">
        <v>2484</v>
      </c>
      <c r="C354" t="s">
        <v>49</v>
      </c>
      <c r="D354">
        <v>54.919999999999995</v>
      </c>
    </row>
    <row r="355" spans="1:4" x14ac:dyDescent="0.25">
      <c r="A355" t="s">
        <v>2490</v>
      </c>
      <c r="B355" t="s">
        <v>2491</v>
      </c>
      <c r="C355" t="s">
        <v>49</v>
      </c>
      <c r="D355">
        <v>57.569999999999993</v>
      </c>
    </row>
    <row r="356" spans="1:4" x14ac:dyDescent="0.25">
      <c r="A356" t="s">
        <v>2503</v>
      </c>
      <c r="B356" t="s">
        <v>2504</v>
      </c>
      <c r="C356" t="s">
        <v>49</v>
      </c>
      <c r="D356">
        <v>19.100000000000001</v>
      </c>
    </row>
    <row r="357" spans="1:4" x14ac:dyDescent="0.25">
      <c r="A357" t="s">
        <v>2520</v>
      </c>
      <c r="B357" t="s">
        <v>2521</v>
      </c>
      <c r="C357" t="s">
        <v>49</v>
      </c>
      <c r="D357">
        <v>3.16</v>
      </c>
    </row>
    <row r="358" spans="1:4" x14ac:dyDescent="0.25">
      <c r="A358" t="s">
        <v>2524</v>
      </c>
      <c r="B358" t="s">
        <v>2525</v>
      </c>
      <c r="C358" t="s">
        <v>49</v>
      </c>
      <c r="D358">
        <v>3.16</v>
      </c>
    </row>
    <row r="359" spans="1:4" x14ac:dyDescent="0.25">
      <c r="A359" t="s">
        <v>2527</v>
      </c>
      <c r="B359" t="s">
        <v>2528</v>
      </c>
      <c r="C359" t="s">
        <v>49</v>
      </c>
      <c r="D359">
        <v>6.8800000000000008</v>
      </c>
    </row>
    <row r="360" spans="1:4" x14ac:dyDescent="0.25">
      <c r="A360" t="s">
        <v>2532</v>
      </c>
      <c r="B360" t="s">
        <v>2533</v>
      </c>
      <c r="C360" t="s">
        <v>49</v>
      </c>
      <c r="D360">
        <v>7.5</v>
      </c>
    </row>
    <row r="361" spans="1:4" x14ac:dyDescent="0.25">
      <c r="A361" t="s">
        <v>2534</v>
      </c>
      <c r="B361" t="s">
        <v>2535</v>
      </c>
      <c r="C361" t="s">
        <v>49</v>
      </c>
      <c r="D361">
        <v>10.010000000000002</v>
      </c>
    </row>
    <row r="362" spans="1:4" x14ac:dyDescent="0.25">
      <c r="A362" t="s">
        <v>2538</v>
      </c>
      <c r="B362" t="s">
        <v>2539</v>
      </c>
      <c r="C362" t="s">
        <v>49</v>
      </c>
      <c r="D362">
        <v>6.9</v>
      </c>
    </row>
    <row r="363" spans="1:4" x14ac:dyDescent="0.25">
      <c r="A363" t="s">
        <v>2541</v>
      </c>
      <c r="B363" t="s">
        <v>2542</v>
      </c>
      <c r="C363" t="s">
        <v>49</v>
      </c>
      <c r="D363">
        <v>7.45</v>
      </c>
    </row>
    <row r="364" spans="1:4" x14ac:dyDescent="0.25">
      <c r="A364" t="s">
        <v>2545</v>
      </c>
      <c r="B364" t="s">
        <v>2546</v>
      </c>
      <c r="C364" t="s">
        <v>49</v>
      </c>
      <c r="D364">
        <v>9.1999999999999993</v>
      </c>
    </row>
    <row r="365" spans="1:4" x14ac:dyDescent="0.25">
      <c r="A365" t="s">
        <v>2549</v>
      </c>
      <c r="B365" t="s">
        <v>2550</v>
      </c>
      <c r="C365" t="s">
        <v>49</v>
      </c>
      <c r="D365">
        <v>9.1999999999999993</v>
      </c>
    </row>
    <row r="366" spans="1:4" x14ac:dyDescent="0.25">
      <c r="A366" t="s">
        <v>2562</v>
      </c>
      <c r="B366" t="s">
        <v>2563</v>
      </c>
      <c r="C366" t="s">
        <v>49</v>
      </c>
      <c r="D366">
        <v>2247.61</v>
      </c>
    </row>
    <row r="367" spans="1:4" x14ac:dyDescent="0.25">
      <c r="A367" t="s">
        <v>2571</v>
      </c>
      <c r="B367" t="s">
        <v>2572</v>
      </c>
      <c r="C367" t="s">
        <v>49</v>
      </c>
      <c r="D367">
        <v>4585.82</v>
      </c>
    </row>
    <row r="368" spans="1:4" x14ac:dyDescent="0.25">
      <c r="A368" t="s">
        <v>2581</v>
      </c>
      <c r="B368" t="s">
        <v>2582</v>
      </c>
      <c r="C368" t="s">
        <v>49</v>
      </c>
      <c r="D368">
        <v>5383.12</v>
      </c>
    </row>
    <row r="369" spans="1:4" x14ac:dyDescent="0.25">
      <c r="A369" t="s">
        <v>2586</v>
      </c>
      <c r="B369" t="s">
        <v>2587</v>
      </c>
      <c r="C369" t="s">
        <v>49</v>
      </c>
      <c r="D369">
        <v>7284</v>
      </c>
    </row>
    <row r="370" spans="1:4" x14ac:dyDescent="0.25">
      <c r="A370" t="s">
        <v>2593</v>
      </c>
      <c r="B370" t="s">
        <v>2594</v>
      </c>
      <c r="C370" t="s">
        <v>49</v>
      </c>
      <c r="D370">
        <v>2307.3000000000002</v>
      </c>
    </row>
    <row r="371" spans="1:4" x14ac:dyDescent="0.25">
      <c r="A371" t="s">
        <v>2644</v>
      </c>
      <c r="B371" t="s">
        <v>2645</v>
      </c>
      <c r="C371" t="s">
        <v>49</v>
      </c>
      <c r="D371">
        <v>1230.33</v>
      </c>
    </row>
    <row r="372" spans="1:4" x14ac:dyDescent="0.25">
      <c r="A372" t="s">
        <v>2649</v>
      </c>
      <c r="B372" t="s">
        <v>2650</v>
      </c>
      <c r="C372" t="s">
        <v>49</v>
      </c>
      <c r="D372">
        <v>1777.01</v>
      </c>
    </row>
    <row r="373" spans="1:4" x14ac:dyDescent="0.25">
      <c r="A373" t="s">
        <v>2654</v>
      </c>
      <c r="B373" t="s">
        <v>2655</v>
      </c>
      <c r="C373" t="s">
        <v>49</v>
      </c>
      <c r="D373">
        <v>1230.92</v>
      </c>
    </row>
    <row r="374" spans="1:4" x14ac:dyDescent="0.25">
      <c r="A374" t="s">
        <v>2658</v>
      </c>
      <c r="B374" t="s">
        <v>2659</v>
      </c>
      <c r="C374" t="s">
        <v>49</v>
      </c>
      <c r="D374">
        <v>1780.11</v>
      </c>
    </row>
    <row r="375" spans="1:4" x14ac:dyDescent="0.25">
      <c r="A375" t="s">
        <v>2663</v>
      </c>
      <c r="B375" t="s">
        <v>2664</v>
      </c>
      <c r="C375" t="s">
        <v>49</v>
      </c>
      <c r="D375">
        <v>1787.2099999999998</v>
      </c>
    </row>
    <row r="376" spans="1:4" x14ac:dyDescent="0.25">
      <c r="A376" t="s">
        <v>2713</v>
      </c>
      <c r="B376" t="s">
        <v>2714</v>
      </c>
      <c r="C376" t="s">
        <v>49</v>
      </c>
      <c r="D376">
        <v>50.95</v>
      </c>
    </row>
    <row r="377" spans="1:4" x14ac:dyDescent="0.25">
      <c r="A377" t="s">
        <v>2719</v>
      </c>
      <c r="B377" t="s">
        <v>2720</v>
      </c>
      <c r="C377" t="s">
        <v>49</v>
      </c>
      <c r="D377">
        <v>35</v>
      </c>
    </row>
    <row r="378" spans="1:4" x14ac:dyDescent="0.25">
      <c r="A378" t="s">
        <v>2722</v>
      </c>
      <c r="B378" t="s">
        <v>2723</v>
      </c>
      <c r="C378" t="s">
        <v>49</v>
      </c>
      <c r="D378">
        <v>59.75</v>
      </c>
    </row>
    <row r="379" spans="1:4" x14ac:dyDescent="0.25">
      <c r="A379" t="s">
        <v>2924</v>
      </c>
      <c r="B379" t="s">
        <v>2925</v>
      </c>
      <c r="C379" t="s">
        <v>49</v>
      </c>
      <c r="D379">
        <v>25.409999999999997</v>
      </c>
    </row>
    <row r="380" spans="1:4" x14ac:dyDescent="0.25">
      <c r="A380" t="s">
        <v>2927</v>
      </c>
      <c r="B380" t="s">
        <v>2928</v>
      </c>
      <c r="C380" t="s">
        <v>49</v>
      </c>
      <c r="D380">
        <v>21.369999999999997</v>
      </c>
    </row>
    <row r="381" spans="1:4" x14ac:dyDescent="0.25">
      <c r="A381" t="s">
        <v>2930</v>
      </c>
      <c r="B381" t="s">
        <v>2931</v>
      </c>
      <c r="C381" t="s">
        <v>49</v>
      </c>
      <c r="D381">
        <v>8.07</v>
      </c>
    </row>
    <row r="382" spans="1:4" x14ac:dyDescent="0.25">
      <c r="A382" t="s">
        <v>2933</v>
      </c>
      <c r="B382" t="s">
        <v>2934</v>
      </c>
      <c r="C382" t="s">
        <v>49</v>
      </c>
      <c r="D382">
        <v>26.1</v>
      </c>
    </row>
    <row r="383" spans="1:4" x14ac:dyDescent="0.25">
      <c r="A383" t="s">
        <v>2936</v>
      </c>
      <c r="B383" t="s">
        <v>2937</v>
      </c>
      <c r="C383" t="s">
        <v>49</v>
      </c>
      <c r="D383">
        <v>33.5</v>
      </c>
    </row>
    <row r="384" spans="1:4" x14ac:dyDescent="0.25">
      <c r="A384" t="s">
        <v>2939</v>
      </c>
      <c r="B384" t="s">
        <v>2940</v>
      </c>
      <c r="C384" t="s">
        <v>49</v>
      </c>
      <c r="D384">
        <v>8.5299999999999994</v>
      </c>
    </row>
    <row r="385" spans="1:4" x14ac:dyDescent="0.25">
      <c r="A385" t="s">
        <v>2945</v>
      </c>
      <c r="B385" t="s">
        <v>2946</v>
      </c>
      <c r="C385" t="s">
        <v>49</v>
      </c>
      <c r="D385">
        <v>9.14</v>
      </c>
    </row>
    <row r="386" spans="1:4" x14ac:dyDescent="0.25">
      <c r="A386" t="s">
        <v>2951</v>
      </c>
      <c r="B386" t="s">
        <v>2952</v>
      </c>
      <c r="C386" t="s">
        <v>49</v>
      </c>
      <c r="D386">
        <v>15.370000000000001</v>
      </c>
    </row>
    <row r="387" spans="1:4" x14ac:dyDescent="0.25">
      <c r="A387" t="s">
        <v>2953</v>
      </c>
      <c r="B387" t="s">
        <v>2954</v>
      </c>
      <c r="C387" t="s">
        <v>49</v>
      </c>
      <c r="D387">
        <v>4.2700000000000005</v>
      </c>
    </row>
    <row r="388" spans="1:4" x14ac:dyDescent="0.25">
      <c r="A388" t="s">
        <v>2959</v>
      </c>
      <c r="B388" t="s">
        <v>2960</v>
      </c>
      <c r="C388" t="s">
        <v>49</v>
      </c>
      <c r="D388">
        <v>4.12</v>
      </c>
    </row>
    <row r="389" spans="1:4" x14ac:dyDescent="0.25">
      <c r="A389" t="s">
        <v>2965</v>
      </c>
      <c r="B389" t="s">
        <v>2966</v>
      </c>
      <c r="C389" t="s">
        <v>49</v>
      </c>
      <c r="D389">
        <v>58.95</v>
      </c>
    </row>
    <row r="390" spans="1:4" x14ac:dyDescent="0.25">
      <c r="A390" t="s">
        <v>2972</v>
      </c>
      <c r="B390" t="s">
        <v>2973</v>
      </c>
      <c r="C390" t="s">
        <v>49</v>
      </c>
      <c r="D390">
        <v>89.63</v>
      </c>
    </row>
    <row r="391" spans="1:4" x14ac:dyDescent="0.25">
      <c r="A391" t="s">
        <v>2976</v>
      </c>
      <c r="B391" t="s">
        <v>2977</v>
      </c>
      <c r="C391" t="s">
        <v>49</v>
      </c>
      <c r="D391">
        <v>21.880000000000003</v>
      </c>
    </row>
    <row r="392" spans="1:4" x14ac:dyDescent="0.25">
      <c r="A392" t="s">
        <v>2979</v>
      </c>
      <c r="B392" t="s">
        <v>2980</v>
      </c>
      <c r="C392" t="s">
        <v>49</v>
      </c>
      <c r="D392">
        <v>12.46</v>
      </c>
    </row>
    <row r="393" spans="1:4" x14ac:dyDescent="0.25">
      <c r="A393" t="s">
        <v>2985</v>
      </c>
      <c r="B393" t="s">
        <v>2986</v>
      </c>
      <c r="C393" t="s">
        <v>49</v>
      </c>
      <c r="D393">
        <v>5.4399999999999995</v>
      </c>
    </row>
    <row r="394" spans="1:4" x14ac:dyDescent="0.25">
      <c r="A394" t="s">
        <v>2990</v>
      </c>
      <c r="B394" t="s">
        <v>2991</v>
      </c>
      <c r="C394" t="s">
        <v>49</v>
      </c>
      <c r="D394">
        <v>21.349999999999998</v>
      </c>
    </row>
    <row r="395" spans="1:4" x14ac:dyDescent="0.25">
      <c r="A395" t="s">
        <v>2995</v>
      </c>
      <c r="B395" t="s">
        <v>2996</v>
      </c>
      <c r="C395" t="s">
        <v>49</v>
      </c>
      <c r="D395">
        <v>21.349999999999998</v>
      </c>
    </row>
    <row r="396" spans="1:4" x14ac:dyDescent="0.25">
      <c r="A396" t="s">
        <v>2999</v>
      </c>
      <c r="B396" t="s">
        <v>3000</v>
      </c>
      <c r="C396" t="s">
        <v>49</v>
      </c>
      <c r="D396">
        <v>8.120000000000001</v>
      </c>
    </row>
    <row r="397" spans="1:4" x14ac:dyDescent="0.25">
      <c r="A397" t="s">
        <v>3002</v>
      </c>
      <c r="B397" t="s">
        <v>3003</v>
      </c>
      <c r="C397" t="s">
        <v>49</v>
      </c>
      <c r="D397">
        <v>10.36</v>
      </c>
    </row>
    <row r="398" spans="1:4" x14ac:dyDescent="0.25">
      <c r="A398" t="s">
        <v>3005</v>
      </c>
      <c r="B398" t="s">
        <v>3006</v>
      </c>
      <c r="C398" t="s">
        <v>49</v>
      </c>
      <c r="D398">
        <v>14.299999999999999</v>
      </c>
    </row>
    <row r="399" spans="1:4" x14ac:dyDescent="0.25">
      <c r="A399" t="s">
        <v>3009</v>
      </c>
      <c r="B399" t="s">
        <v>3010</v>
      </c>
      <c r="C399" t="s">
        <v>49</v>
      </c>
      <c r="D399">
        <v>4.3</v>
      </c>
    </row>
    <row r="400" spans="1:4" x14ac:dyDescent="0.25">
      <c r="A400" t="s">
        <v>3013</v>
      </c>
      <c r="B400" t="s">
        <v>3014</v>
      </c>
      <c r="C400" t="s">
        <v>49</v>
      </c>
      <c r="D400">
        <v>12.959999999999999</v>
      </c>
    </row>
    <row r="401" spans="1:4" x14ac:dyDescent="0.25">
      <c r="A401" t="s">
        <v>3018</v>
      </c>
      <c r="B401" t="s">
        <v>3019</v>
      </c>
      <c r="C401" t="s">
        <v>49</v>
      </c>
      <c r="D401">
        <v>3.9</v>
      </c>
    </row>
    <row r="402" spans="1:4" x14ac:dyDescent="0.25">
      <c r="A402" t="s">
        <v>3020</v>
      </c>
      <c r="B402" t="s">
        <v>3021</v>
      </c>
      <c r="C402" t="s">
        <v>49</v>
      </c>
      <c r="D402">
        <v>14.35</v>
      </c>
    </row>
    <row r="403" spans="1:4" x14ac:dyDescent="0.25">
      <c r="A403" t="s">
        <v>3024</v>
      </c>
      <c r="B403" t="s">
        <v>3025</v>
      </c>
      <c r="C403" t="s">
        <v>49</v>
      </c>
      <c r="D403">
        <v>10.799999999999999</v>
      </c>
    </row>
    <row r="404" spans="1:4" x14ac:dyDescent="0.25">
      <c r="A404" t="s">
        <v>3029</v>
      </c>
      <c r="B404" t="s">
        <v>3030</v>
      </c>
      <c r="C404" t="s">
        <v>49</v>
      </c>
      <c r="D404">
        <v>9.91</v>
      </c>
    </row>
    <row r="405" spans="1:4" x14ac:dyDescent="0.25">
      <c r="A405" t="s">
        <v>3032</v>
      </c>
      <c r="B405" t="s">
        <v>3033</v>
      </c>
      <c r="C405" t="s">
        <v>49</v>
      </c>
      <c r="D405">
        <v>7.63</v>
      </c>
    </row>
    <row r="406" spans="1:4" x14ac:dyDescent="0.25">
      <c r="A406" t="s">
        <v>3038</v>
      </c>
      <c r="B406" t="s">
        <v>3039</v>
      </c>
      <c r="C406" t="s">
        <v>49</v>
      </c>
      <c r="D406">
        <v>14.66</v>
      </c>
    </row>
    <row r="407" spans="1:4" x14ac:dyDescent="0.25">
      <c r="A407" t="s">
        <v>3042</v>
      </c>
      <c r="B407" t="s">
        <v>3043</v>
      </c>
      <c r="C407" t="s">
        <v>49</v>
      </c>
      <c r="D407">
        <v>25.5</v>
      </c>
    </row>
    <row r="408" spans="1:4" x14ac:dyDescent="0.25">
      <c r="A408" t="s">
        <v>3045</v>
      </c>
      <c r="B408" t="s">
        <v>3046</v>
      </c>
      <c r="C408" t="s">
        <v>49</v>
      </c>
      <c r="D408">
        <v>4.83</v>
      </c>
    </row>
    <row r="409" spans="1:4" x14ac:dyDescent="0.25">
      <c r="A409" t="s">
        <v>3048</v>
      </c>
      <c r="B409" t="s">
        <v>3049</v>
      </c>
      <c r="C409" t="s">
        <v>49</v>
      </c>
      <c r="D409">
        <v>45.9</v>
      </c>
    </row>
    <row r="410" spans="1:4" x14ac:dyDescent="0.25">
      <c r="A410" t="s">
        <v>3058</v>
      </c>
      <c r="B410" t="s">
        <v>3059</v>
      </c>
      <c r="C410" t="s">
        <v>49</v>
      </c>
      <c r="D410">
        <v>30.29</v>
      </c>
    </row>
    <row r="411" spans="1:4" x14ac:dyDescent="0.25">
      <c r="A411" t="s">
        <v>3066</v>
      </c>
      <c r="B411" t="s">
        <v>3067</v>
      </c>
      <c r="C411" t="s">
        <v>49</v>
      </c>
      <c r="D411">
        <v>8.43</v>
      </c>
    </row>
    <row r="412" spans="1:4" x14ac:dyDescent="0.25">
      <c r="A412" t="s">
        <v>3069</v>
      </c>
      <c r="B412" t="s">
        <v>3070</v>
      </c>
      <c r="C412" t="s">
        <v>49</v>
      </c>
      <c r="D412">
        <v>8.32</v>
      </c>
    </row>
    <row r="413" spans="1:4" x14ac:dyDescent="0.25">
      <c r="A413" t="s">
        <v>3075</v>
      </c>
      <c r="B413" t="s">
        <v>3076</v>
      </c>
      <c r="C413" t="s">
        <v>49</v>
      </c>
      <c r="D413">
        <v>7.5</v>
      </c>
    </row>
    <row r="414" spans="1:4" x14ac:dyDescent="0.25">
      <c r="A414" t="s">
        <v>3080</v>
      </c>
      <c r="B414" t="s">
        <v>3081</v>
      </c>
      <c r="C414" t="s">
        <v>49</v>
      </c>
      <c r="D414">
        <v>10.100000000000001</v>
      </c>
    </row>
    <row r="415" spans="1:4" x14ac:dyDescent="0.25">
      <c r="A415" t="s">
        <v>3092</v>
      </c>
      <c r="B415" t="s">
        <v>3093</v>
      </c>
      <c r="C415" t="s">
        <v>49</v>
      </c>
      <c r="D415">
        <v>72.8</v>
      </c>
    </row>
    <row r="416" spans="1:4" x14ac:dyDescent="0.25">
      <c r="A416" t="s">
        <v>3099</v>
      </c>
      <c r="B416" t="s">
        <v>3100</v>
      </c>
      <c r="C416" t="s">
        <v>49</v>
      </c>
      <c r="D416">
        <v>7.15</v>
      </c>
    </row>
    <row r="417" spans="1:4" x14ac:dyDescent="0.25">
      <c r="A417" t="s">
        <v>3103</v>
      </c>
      <c r="B417" t="s">
        <v>3104</v>
      </c>
      <c r="C417" t="s">
        <v>49</v>
      </c>
      <c r="D417">
        <v>5.57</v>
      </c>
    </row>
    <row r="418" spans="1:4" x14ac:dyDescent="0.25">
      <c r="A418" t="s">
        <v>3107</v>
      </c>
      <c r="B418" t="s">
        <v>3108</v>
      </c>
      <c r="C418" t="s">
        <v>49</v>
      </c>
      <c r="D418">
        <v>5.87</v>
      </c>
    </row>
    <row r="419" spans="1:4" x14ac:dyDescent="0.25">
      <c r="A419" t="s">
        <v>3112</v>
      </c>
      <c r="B419" t="s">
        <v>3108</v>
      </c>
      <c r="C419" t="s">
        <v>49</v>
      </c>
      <c r="D419">
        <v>6.6</v>
      </c>
    </row>
    <row r="420" spans="1:4" x14ac:dyDescent="0.25">
      <c r="A420" t="s">
        <v>3115</v>
      </c>
      <c r="B420" t="s">
        <v>3116</v>
      </c>
      <c r="C420" t="s">
        <v>49</v>
      </c>
      <c r="D420">
        <v>70</v>
      </c>
    </row>
    <row r="421" spans="1:4" x14ac:dyDescent="0.25">
      <c r="A421" t="s">
        <v>3120</v>
      </c>
      <c r="B421" t="s">
        <v>3121</v>
      </c>
      <c r="C421" t="s">
        <v>49</v>
      </c>
      <c r="D421">
        <v>250.65</v>
      </c>
    </row>
    <row r="422" spans="1:4" x14ac:dyDescent="0.25">
      <c r="A422" t="s">
        <v>3150</v>
      </c>
      <c r="B422" t="s">
        <v>3151</v>
      </c>
      <c r="C422" t="s">
        <v>49</v>
      </c>
      <c r="D422">
        <v>173.89999999999998</v>
      </c>
    </row>
    <row r="423" spans="1:4" x14ac:dyDescent="0.25">
      <c r="A423" t="s">
        <v>3159</v>
      </c>
      <c r="B423" t="s">
        <v>3160</v>
      </c>
      <c r="C423" t="s">
        <v>49</v>
      </c>
      <c r="D423">
        <v>125.5</v>
      </c>
    </row>
    <row r="424" spans="1:4" x14ac:dyDescent="0.25">
      <c r="A424" t="s">
        <v>3263</v>
      </c>
      <c r="B424" t="s">
        <v>3264</v>
      </c>
      <c r="C424" t="s">
        <v>49</v>
      </c>
      <c r="D424">
        <v>5.0999999999999996</v>
      </c>
    </row>
    <row r="425" spans="1:4" x14ac:dyDescent="0.25">
      <c r="A425" t="s">
        <v>3268</v>
      </c>
      <c r="B425" t="s">
        <v>3269</v>
      </c>
      <c r="C425" t="s">
        <v>49</v>
      </c>
      <c r="D425">
        <v>15.45</v>
      </c>
    </row>
    <row r="426" spans="1:4" x14ac:dyDescent="0.25">
      <c r="A426" t="s">
        <v>3271</v>
      </c>
      <c r="B426" t="s">
        <v>3272</v>
      </c>
      <c r="C426" t="s">
        <v>49</v>
      </c>
      <c r="D426">
        <v>11.35</v>
      </c>
    </row>
    <row r="427" spans="1:4" x14ac:dyDescent="0.25">
      <c r="A427" t="s">
        <v>3274</v>
      </c>
      <c r="B427" t="s">
        <v>3275</v>
      </c>
      <c r="C427" t="s">
        <v>49</v>
      </c>
      <c r="D427">
        <v>11.969999999999999</v>
      </c>
    </row>
    <row r="428" spans="1:4" x14ac:dyDescent="0.25">
      <c r="A428" t="s">
        <v>3278</v>
      </c>
      <c r="B428" t="s">
        <v>3279</v>
      </c>
      <c r="C428" t="s">
        <v>49</v>
      </c>
      <c r="D428">
        <v>16.27</v>
      </c>
    </row>
    <row r="429" spans="1:4" x14ac:dyDescent="0.25">
      <c r="A429" t="s">
        <v>3282</v>
      </c>
      <c r="B429" t="s">
        <v>3283</v>
      </c>
      <c r="C429" t="s">
        <v>49</v>
      </c>
      <c r="D429">
        <v>12.100000000000001</v>
      </c>
    </row>
    <row r="430" spans="1:4" x14ac:dyDescent="0.25">
      <c r="A430" t="s">
        <v>3286</v>
      </c>
      <c r="B430" t="s">
        <v>3287</v>
      </c>
      <c r="C430" t="s">
        <v>49</v>
      </c>
      <c r="D430">
        <v>2</v>
      </c>
    </row>
    <row r="431" spans="1:4" x14ac:dyDescent="0.25">
      <c r="A431" t="s">
        <v>3290</v>
      </c>
      <c r="B431" t="s">
        <v>3291</v>
      </c>
      <c r="C431" t="s">
        <v>49</v>
      </c>
      <c r="D431">
        <v>16.149999999999999</v>
      </c>
    </row>
    <row r="432" spans="1:4" x14ac:dyDescent="0.25">
      <c r="A432" t="s">
        <v>3294</v>
      </c>
      <c r="B432" t="s">
        <v>3295</v>
      </c>
      <c r="C432" t="s">
        <v>49</v>
      </c>
      <c r="D432">
        <v>9.08</v>
      </c>
    </row>
    <row r="433" spans="1:4" x14ac:dyDescent="0.25">
      <c r="A433" t="s">
        <v>3302</v>
      </c>
      <c r="B433" t="s">
        <v>3303</v>
      </c>
      <c r="C433" t="s">
        <v>49</v>
      </c>
      <c r="D433">
        <v>6.31</v>
      </c>
    </row>
    <row r="434" spans="1:4" x14ac:dyDescent="0.25">
      <c r="A434" t="s">
        <v>3305</v>
      </c>
      <c r="B434" t="s">
        <v>3306</v>
      </c>
      <c r="C434" t="s">
        <v>49</v>
      </c>
      <c r="D434">
        <v>7.05</v>
      </c>
    </row>
    <row r="435" spans="1:4" x14ac:dyDescent="0.25">
      <c r="A435" t="s">
        <v>3308</v>
      </c>
      <c r="B435" t="s">
        <v>3309</v>
      </c>
      <c r="C435" t="s">
        <v>49</v>
      </c>
      <c r="D435">
        <v>12.81</v>
      </c>
    </row>
    <row r="436" spans="1:4" x14ac:dyDescent="0.25">
      <c r="A436" t="s">
        <v>3311</v>
      </c>
      <c r="B436" t="s">
        <v>3312</v>
      </c>
      <c r="C436" t="s">
        <v>49</v>
      </c>
      <c r="D436">
        <v>9.15</v>
      </c>
    </row>
    <row r="437" spans="1:4" x14ac:dyDescent="0.25">
      <c r="A437" t="s">
        <v>3315</v>
      </c>
      <c r="B437" t="s">
        <v>3316</v>
      </c>
      <c r="C437" t="s">
        <v>49</v>
      </c>
      <c r="D437">
        <v>5.01</v>
      </c>
    </row>
    <row r="438" spans="1:4" x14ac:dyDescent="0.25">
      <c r="A438" t="s">
        <v>3320</v>
      </c>
      <c r="B438" t="s">
        <v>3321</v>
      </c>
      <c r="C438" t="s">
        <v>49</v>
      </c>
      <c r="D438">
        <v>7.69</v>
      </c>
    </row>
    <row r="439" spans="1:4" x14ac:dyDescent="0.25">
      <c r="A439" t="s">
        <v>3323</v>
      </c>
      <c r="B439" t="s">
        <v>3324</v>
      </c>
      <c r="C439" t="s">
        <v>49</v>
      </c>
      <c r="D439">
        <v>7.16</v>
      </c>
    </row>
    <row r="440" spans="1:4" x14ac:dyDescent="0.25">
      <c r="A440" t="s">
        <v>3326</v>
      </c>
      <c r="B440" t="s">
        <v>3327</v>
      </c>
      <c r="C440" t="s">
        <v>49</v>
      </c>
      <c r="D440">
        <v>4.7</v>
      </c>
    </row>
    <row r="441" spans="1:4" x14ac:dyDescent="0.25">
      <c r="A441" t="s">
        <v>3329</v>
      </c>
      <c r="B441" t="s">
        <v>3330</v>
      </c>
      <c r="C441" t="s">
        <v>49</v>
      </c>
      <c r="D441">
        <v>7.25</v>
      </c>
    </row>
    <row r="442" spans="1:4" x14ac:dyDescent="0.25">
      <c r="A442" t="s">
        <v>3331</v>
      </c>
      <c r="B442" t="s">
        <v>3332</v>
      </c>
      <c r="C442" t="s">
        <v>49</v>
      </c>
      <c r="D442">
        <v>37.58</v>
      </c>
    </row>
    <row r="443" spans="1:4" x14ac:dyDescent="0.25">
      <c r="A443" t="s">
        <v>3336</v>
      </c>
      <c r="B443" t="s">
        <v>3337</v>
      </c>
      <c r="C443" t="s">
        <v>49</v>
      </c>
      <c r="D443">
        <v>19.3</v>
      </c>
    </row>
    <row r="444" spans="1:4" x14ac:dyDescent="0.25">
      <c r="A444" t="s">
        <v>3340</v>
      </c>
      <c r="B444" t="s">
        <v>3341</v>
      </c>
      <c r="C444" t="s">
        <v>49</v>
      </c>
      <c r="D444">
        <v>22.689999999999998</v>
      </c>
    </row>
    <row r="445" spans="1:4" x14ac:dyDescent="0.25">
      <c r="A445" t="s">
        <v>3347</v>
      </c>
      <c r="B445" t="s">
        <v>3348</v>
      </c>
      <c r="C445" t="s">
        <v>49</v>
      </c>
      <c r="D445">
        <v>32.700000000000003</v>
      </c>
    </row>
    <row r="446" spans="1:4" x14ac:dyDescent="0.25">
      <c r="A446" t="s">
        <v>3349</v>
      </c>
      <c r="B446" t="s">
        <v>3350</v>
      </c>
      <c r="C446" t="s">
        <v>49</v>
      </c>
      <c r="D446">
        <v>19.419999999999998</v>
      </c>
    </row>
    <row r="447" spans="1:4" x14ac:dyDescent="0.25">
      <c r="A447" t="s">
        <v>3353</v>
      </c>
      <c r="B447" t="s">
        <v>3354</v>
      </c>
      <c r="C447" t="s">
        <v>49</v>
      </c>
      <c r="D447">
        <v>53.35</v>
      </c>
    </row>
    <row r="448" spans="1:4" x14ac:dyDescent="0.25">
      <c r="A448" t="s">
        <v>3358</v>
      </c>
      <c r="B448" t="s">
        <v>3359</v>
      </c>
      <c r="C448" t="s">
        <v>49</v>
      </c>
      <c r="D448">
        <v>29.11</v>
      </c>
    </row>
    <row r="449" spans="1:4" x14ac:dyDescent="0.25">
      <c r="A449" t="s">
        <v>3361</v>
      </c>
      <c r="B449" t="s">
        <v>3362</v>
      </c>
      <c r="C449" t="s">
        <v>49</v>
      </c>
      <c r="D449">
        <v>11.82</v>
      </c>
    </row>
    <row r="450" spans="1:4" x14ac:dyDescent="0.25">
      <c r="A450" t="s">
        <v>3376</v>
      </c>
      <c r="B450" t="s">
        <v>3377</v>
      </c>
      <c r="C450" t="s">
        <v>49</v>
      </c>
      <c r="D450">
        <v>414.9</v>
      </c>
    </row>
    <row r="451" spans="1:4" x14ac:dyDescent="0.25">
      <c r="A451" t="s">
        <v>3394</v>
      </c>
      <c r="B451" t="s">
        <v>3395</v>
      </c>
      <c r="C451" t="s">
        <v>49</v>
      </c>
      <c r="D451">
        <v>7.26</v>
      </c>
    </row>
    <row r="452" spans="1:4" x14ac:dyDescent="0.25">
      <c r="A452" t="s">
        <v>3398</v>
      </c>
      <c r="B452" t="s">
        <v>3399</v>
      </c>
      <c r="C452" t="s">
        <v>49</v>
      </c>
      <c r="D452">
        <v>8.06</v>
      </c>
    </row>
    <row r="453" spans="1:4" x14ac:dyDescent="0.25">
      <c r="A453" t="s">
        <v>3402</v>
      </c>
      <c r="B453" t="s">
        <v>3403</v>
      </c>
      <c r="C453" t="s">
        <v>49</v>
      </c>
      <c r="D453">
        <v>7.0600000000000005</v>
      </c>
    </row>
    <row r="454" spans="1:4" x14ac:dyDescent="0.25">
      <c r="A454" t="s">
        <v>3405</v>
      </c>
      <c r="B454" t="s">
        <v>3406</v>
      </c>
      <c r="C454" t="s">
        <v>49</v>
      </c>
      <c r="D454">
        <v>6.01</v>
      </c>
    </row>
    <row r="455" spans="1:4" x14ac:dyDescent="0.25">
      <c r="A455" t="s">
        <v>3410</v>
      </c>
      <c r="B455" t="s">
        <v>3411</v>
      </c>
      <c r="C455" t="s">
        <v>49</v>
      </c>
      <c r="D455">
        <v>6.66</v>
      </c>
    </row>
    <row r="456" spans="1:4" x14ac:dyDescent="0.25">
      <c r="A456" t="s">
        <v>3412</v>
      </c>
      <c r="B456" t="s">
        <v>3413</v>
      </c>
      <c r="C456" t="s">
        <v>49</v>
      </c>
      <c r="D456">
        <v>12.740000000000002</v>
      </c>
    </row>
    <row r="457" spans="1:4" x14ac:dyDescent="0.25">
      <c r="A457" t="s">
        <v>3414</v>
      </c>
      <c r="B457" t="s">
        <v>3415</v>
      </c>
      <c r="C457" t="s">
        <v>49</v>
      </c>
      <c r="D457">
        <v>4.17</v>
      </c>
    </row>
    <row r="458" spans="1:4" x14ac:dyDescent="0.25">
      <c r="A458" t="s">
        <v>3418</v>
      </c>
      <c r="B458" t="s">
        <v>3419</v>
      </c>
      <c r="C458" t="s">
        <v>49</v>
      </c>
      <c r="D458">
        <v>1.2000000000000002</v>
      </c>
    </row>
    <row r="459" spans="1:4" x14ac:dyDescent="0.25">
      <c r="A459" t="s">
        <v>3422</v>
      </c>
      <c r="B459" t="s">
        <v>3423</v>
      </c>
      <c r="C459" t="s">
        <v>49</v>
      </c>
      <c r="D459">
        <v>1.18</v>
      </c>
    </row>
    <row r="460" spans="1:4" x14ac:dyDescent="0.25">
      <c r="A460" t="s">
        <v>3425</v>
      </c>
      <c r="B460" t="s">
        <v>3426</v>
      </c>
      <c r="C460" t="s">
        <v>49</v>
      </c>
      <c r="D460">
        <v>7.9799999999999995</v>
      </c>
    </row>
    <row r="461" spans="1:4" x14ac:dyDescent="0.25">
      <c r="A461" t="s">
        <v>3429</v>
      </c>
      <c r="B461" t="s">
        <v>3430</v>
      </c>
      <c r="C461" t="s">
        <v>49</v>
      </c>
      <c r="D461">
        <v>9.7199999999999989</v>
      </c>
    </row>
    <row r="462" spans="1:4" x14ac:dyDescent="0.25">
      <c r="A462" t="s">
        <v>3435</v>
      </c>
      <c r="B462" t="s">
        <v>3436</v>
      </c>
      <c r="C462" t="s">
        <v>49</v>
      </c>
      <c r="D462">
        <v>1.9000000000000001</v>
      </c>
    </row>
    <row r="463" spans="1:4" x14ac:dyDescent="0.25">
      <c r="A463" t="s">
        <v>3439</v>
      </c>
      <c r="B463" t="s">
        <v>3440</v>
      </c>
      <c r="C463" t="s">
        <v>49</v>
      </c>
      <c r="D463">
        <v>0.53</v>
      </c>
    </row>
    <row r="464" spans="1:4" x14ac:dyDescent="0.25">
      <c r="A464" t="s">
        <v>3442</v>
      </c>
      <c r="B464" t="s">
        <v>3443</v>
      </c>
      <c r="C464" t="s">
        <v>49</v>
      </c>
      <c r="D464">
        <v>0.53</v>
      </c>
    </row>
    <row r="465" spans="1:4" x14ac:dyDescent="0.25">
      <c r="A465" t="s">
        <v>3444</v>
      </c>
      <c r="B465" t="s">
        <v>3445</v>
      </c>
      <c r="C465" t="s">
        <v>49</v>
      </c>
      <c r="D465">
        <v>8.7100000000000009</v>
      </c>
    </row>
    <row r="466" spans="1:4" x14ac:dyDescent="0.25">
      <c r="A466" t="s">
        <v>3492</v>
      </c>
      <c r="B466" t="s">
        <v>3493</v>
      </c>
      <c r="C466" t="s">
        <v>49</v>
      </c>
      <c r="D466">
        <v>24.24</v>
      </c>
    </row>
    <row r="467" spans="1:4" x14ac:dyDescent="0.25">
      <c r="A467" t="s">
        <v>3500</v>
      </c>
      <c r="B467" t="s">
        <v>3501</v>
      </c>
      <c r="C467" t="s">
        <v>49</v>
      </c>
      <c r="D467">
        <v>17.55</v>
      </c>
    </row>
    <row r="468" spans="1:4" x14ac:dyDescent="0.25">
      <c r="A468" t="s">
        <v>3504</v>
      </c>
      <c r="B468" t="s">
        <v>3505</v>
      </c>
      <c r="C468" t="s">
        <v>49</v>
      </c>
      <c r="D468">
        <v>12.3</v>
      </c>
    </row>
    <row r="469" spans="1:4" x14ac:dyDescent="0.25">
      <c r="A469" t="s">
        <v>3508</v>
      </c>
      <c r="B469" t="s">
        <v>3509</v>
      </c>
      <c r="C469" t="s">
        <v>49</v>
      </c>
      <c r="D469">
        <v>13.52</v>
      </c>
    </row>
    <row r="470" spans="1:4" x14ac:dyDescent="0.25">
      <c r="A470" t="s">
        <v>3512</v>
      </c>
      <c r="B470" t="s">
        <v>3513</v>
      </c>
      <c r="C470" t="s">
        <v>49</v>
      </c>
      <c r="D470">
        <v>5.6899999999999995</v>
      </c>
    </row>
    <row r="471" spans="1:4" x14ac:dyDescent="0.25">
      <c r="A471" t="s">
        <v>3541</v>
      </c>
      <c r="B471" t="s">
        <v>3542</v>
      </c>
      <c r="C471" t="s">
        <v>49</v>
      </c>
      <c r="D471">
        <v>6.6499999999999995</v>
      </c>
    </row>
    <row r="472" spans="1:4" x14ac:dyDescent="0.25">
      <c r="A472" t="s">
        <v>3543</v>
      </c>
      <c r="B472" t="s">
        <v>3544</v>
      </c>
      <c r="C472" t="s">
        <v>49</v>
      </c>
      <c r="D472">
        <v>7.9599999999999991</v>
      </c>
    </row>
    <row r="473" spans="1:4" x14ac:dyDescent="0.25">
      <c r="A473" t="s">
        <v>3547</v>
      </c>
      <c r="B473" t="s">
        <v>3548</v>
      </c>
      <c r="C473" t="s">
        <v>49</v>
      </c>
      <c r="D473">
        <v>3.53</v>
      </c>
    </row>
    <row r="474" spans="1:4" x14ac:dyDescent="0.25">
      <c r="A474" t="s">
        <v>3550</v>
      </c>
      <c r="B474" t="s">
        <v>3551</v>
      </c>
      <c r="C474" t="s">
        <v>49</v>
      </c>
      <c r="D474">
        <v>3.29</v>
      </c>
    </row>
    <row r="475" spans="1:4" x14ac:dyDescent="0.25">
      <c r="A475" t="s">
        <v>3557</v>
      </c>
      <c r="B475" t="s">
        <v>3558</v>
      </c>
      <c r="C475" t="s">
        <v>49</v>
      </c>
      <c r="D475">
        <v>2.42</v>
      </c>
    </row>
    <row r="476" spans="1:4" x14ac:dyDescent="0.25">
      <c r="A476" t="s">
        <v>3559</v>
      </c>
      <c r="B476" t="s">
        <v>3560</v>
      </c>
      <c r="C476" t="s">
        <v>49</v>
      </c>
      <c r="D476">
        <v>6.05</v>
      </c>
    </row>
    <row r="477" spans="1:4" x14ac:dyDescent="0.25">
      <c r="A477" t="s">
        <v>3561</v>
      </c>
      <c r="B477" t="s">
        <v>3562</v>
      </c>
      <c r="C477" t="s">
        <v>49</v>
      </c>
      <c r="D477">
        <v>6.05</v>
      </c>
    </row>
    <row r="478" spans="1:4" x14ac:dyDescent="0.25">
      <c r="A478" t="s">
        <v>3591</v>
      </c>
      <c r="B478" t="s">
        <v>3592</v>
      </c>
      <c r="C478" t="s">
        <v>49</v>
      </c>
      <c r="D478">
        <v>8.620000000000001</v>
      </c>
    </row>
    <row r="479" spans="1:4" x14ac:dyDescent="0.25">
      <c r="A479" t="s">
        <v>3595</v>
      </c>
      <c r="B479" t="s">
        <v>3596</v>
      </c>
      <c r="C479" t="s">
        <v>49</v>
      </c>
      <c r="D479">
        <v>1.1600000000000001</v>
      </c>
    </row>
    <row r="480" spans="1:4" x14ac:dyDescent="0.25">
      <c r="A480" t="s">
        <v>3598</v>
      </c>
      <c r="B480" t="s">
        <v>3599</v>
      </c>
      <c r="C480" t="s">
        <v>49</v>
      </c>
      <c r="D480">
        <v>28.9</v>
      </c>
    </row>
    <row r="481" spans="1:4" x14ac:dyDescent="0.25">
      <c r="A481" t="s">
        <v>3603</v>
      </c>
      <c r="B481" t="s">
        <v>3604</v>
      </c>
      <c r="C481" t="s">
        <v>49</v>
      </c>
      <c r="D481">
        <v>3.86</v>
      </c>
    </row>
    <row r="482" spans="1:4" x14ac:dyDescent="0.25">
      <c r="A482" t="s">
        <v>3606</v>
      </c>
      <c r="B482" t="s">
        <v>3607</v>
      </c>
      <c r="C482" t="s">
        <v>49</v>
      </c>
      <c r="D482">
        <v>23.97</v>
      </c>
    </row>
    <row r="483" spans="1:4" x14ac:dyDescent="0.25">
      <c r="A483" t="s">
        <v>3609</v>
      </c>
      <c r="B483" t="s">
        <v>3610</v>
      </c>
      <c r="C483" t="s">
        <v>49</v>
      </c>
      <c r="D483">
        <v>9.31</v>
      </c>
    </row>
    <row r="484" spans="1:4" x14ac:dyDescent="0.25">
      <c r="A484" t="s">
        <v>3612</v>
      </c>
      <c r="B484" t="s">
        <v>3613</v>
      </c>
      <c r="C484" t="s">
        <v>49</v>
      </c>
      <c r="D484">
        <v>9.31</v>
      </c>
    </row>
    <row r="485" spans="1:4" x14ac:dyDescent="0.25">
      <c r="A485" t="s">
        <v>3624</v>
      </c>
      <c r="B485" t="s">
        <v>3625</v>
      </c>
      <c r="C485" t="s">
        <v>49</v>
      </c>
      <c r="D485">
        <v>4.83</v>
      </c>
    </row>
    <row r="486" spans="1:4" x14ac:dyDescent="0.25">
      <c r="A486" t="s">
        <v>3629</v>
      </c>
      <c r="B486" t="s">
        <v>3630</v>
      </c>
      <c r="C486" t="s">
        <v>49</v>
      </c>
      <c r="D486">
        <v>9.76</v>
      </c>
    </row>
    <row r="487" spans="1:4" x14ac:dyDescent="0.25">
      <c r="A487" t="s">
        <v>3632</v>
      </c>
      <c r="B487" t="s">
        <v>3633</v>
      </c>
      <c r="C487" t="s">
        <v>49</v>
      </c>
      <c r="D487">
        <v>1.0900000000000001</v>
      </c>
    </row>
    <row r="488" spans="1:4" x14ac:dyDescent="0.25">
      <c r="A488" t="s">
        <v>3634</v>
      </c>
      <c r="B488" t="s">
        <v>3635</v>
      </c>
      <c r="C488" t="s">
        <v>49</v>
      </c>
      <c r="D488">
        <v>42.01</v>
      </c>
    </row>
    <row r="489" spans="1:4" x14ac:dyDescent="0.25">
      <c r="A489" t="s">
        <v>3638</v>
      </c>
      <c r="B489" t="s">
        <v>3639</v>
      </c>
      <c r="C489" t="s">
        <v>49</v>
      </c>
      <c r="D489">
        <v>332.38</v>
      </c>
    </row>
    <row r="490" spans="1:4" x14ac:dyDescent="0.25">
      <c r="A490" t="s">
        <v>3643</v>
      </c>
      <c r="B490" t="s">
        <v>3644</v>
      </c>
      <c r="C490" t="s">
        <v>49</v>
      </c>
      <c r="D490">
        <v>302.12</v>
      </c>
    </row>
    <row r="491" spans="1:4" x14ac:dyDescent="0.25">
      <c r="A491" t="s">
        <v>3648</v>
      </c>
      <c r="B491" t="s">
        <v>3649</v>
      </c>
      <c r="C491" t="s">
        <v>49</v>
      </c>
      <c r="D491">
        <v>41.7</v>
      </c>
    </row>
    <row r="492" spans="1:4" x14ac:dyDescent="0.25">
      <c r="A492" t="s">
        <v>3651</v>
      </c>
      <c r="B492" t="s">
        <v>3652</v>
      </c>
      <c r="C492" t="s">
        <v>49</v>
      </c>
      <c r="D492">
        <v>5.37</v>
      </c>
    </row>
    <row r="493" spans="1:4" x14ac:dyDescent="0.25">
      <c r="A493" t="s">
        <v>3654</v>
      </c>
      <c r="B493" t="s">
        <v>3655</v>
      </c>
      <c r="C493" t="s">
        <v>49</v>
      </c>
      <c r="D493">
        <v>4.1100000000000003</v>
      </c>
    </row>
    <row r="494" spans="1:4" x14ac:dyDescent="0.25">
      <c r="A494" t="s">
        <v>3657</v>
      </c>
      <c r="B494" t="s">
        <v>3658</v>
      </c>
      <c r="C494" t="s">
        <v>49</v>
      </c>
      <c r="D494">
        <v>5.14</v>
      </c>
    </row>
    <row r="495" spans="1:4" x14ac:dyDescent="0.25">
      <c r="A495" t="s">
        <v>3660</v>
      </c>
      <c r="B495" t="s">
        <v>3661</v>
      </c>
      <c r="C495" t="s">
        <v>49</v>
      </c>
      <c r="D495">
        <v>20.3</v>
      </c>
    </row>
    <row r="496" spans="1:4" x14ac:dyDescent="0.25">
      <c r="A496" t="s">
        <v>3663</v>
      </c>
      <c r="B496" t="s">
        <v>3664</v>
      </c>
      <c r="C496" t="s">
        <v>49</v>
      </c>
      <c r="D496">
        <v>13.08</v>
      </c>
    </row>
    <row r="497" spans="1:4" x14ac:dyDescent="0.25">
      <c r="A497" t="s">
        <v>3667</v>
      </c>
      <c r="B497" t="s">
        <v>3668</v>
      </c>
      <c r="C497" t="s">
        <v>49</v>
      </c>
      <c r="D497">
        <v>5.25</v>
      </c>
    </row>
    <row r="498" spans="1:4" x14ac:dyDescent="0.25">
      <c r="A498" t="s">
        <v>3672</v>
      </c>
      <c r="B498" t="s">
        <v>3673</v>
      </c>
      <c r="C498" t="s">
        <v>49</v>
      </c>
      <c r="D498">
        <v>5.9700000000000006</v>
      </c>
    </row>
    <row r="499" spans="1:4" x14ac:dyDescent="0.25">
      <c r="A499" t="s">
        <v>3676</v>
      </c>
      <c r="B499" t="s">
        <v>3677</v>
      </c>
      <c r="C499" t="s">
        <v>49</v>
      </c>
      <c r="D499">
        <v>11.489999999999998</v>
      </c>
    </row>
    <row r="500" spans="1:4" x14ac:dyDescent="0.25">
      <c r="A500" t="s">
        <v>3682</v>
      </c>
      <c r="B500" t="s">
        <v>3683</v>
      </c>
      <c r="C500" t="s">
        <v>49</v>
      </c>
      <c r="D500">
        <v>32.78</v>
      </c>
    </row>
    <row r="501" spans="1:4" x14ac:dyDescent="0.25">
      <c r="A501" t="s">
        <v>3691</v>
      </c>
      <c r="B501" t="s">
        <v>3692</v>
      </c>
      <c r="C501" t="s">
        <v>49</v>
      </c>
      <c r="D501">
        <v>13.28</v>
      </c>
    </row>
    <row r="502" spans="1:4" x14ac:dyDescent="0.25">
      <c r="A502" t="s">
        <v>3696</v>
      </c>
      <c r="B502" t="s">
        <v>3697</v>
      </c>
      <c r="C502" t="s">
        <v>49</v>
      </c>
      <c r="D502">
        <v>7.2</v>
      </c>
    </row>
    <row r="503" spans="1:4" x14ac:dyDescent="0.25">
      <c r="A503" t="s">
        <v>3702</v>
      </c>
      <c r="B503" t="s">
        <v>3703</v>
      </c>
      <c r="C503" t="s">
        <v>49</v>
      </c>
      <c r="D503">
        <v>4.17</v>
      </c>
    </row>
    <row r="504" spans="1:4" x14ac:dyDescent="0.25">
      <c r="A504" t="s">
        <v>3706</v>
      </c>
      <c r="B504" t="s">
        <v>3707</v>
      </c>
      <c r="C504" t="s">
        <v>49</v>
      </c>
      <c r="D504">
        <v>9.9499999999999993</v>
      </c>
    </row>
    <row r="505" spans="1:4" x14ac:dyDescent="0.25">
      <c r="A505" t="s">
        <v>3710</v>
      </c>
      <c r="B505" t="s">
        <v>3711</v>
      </c>
      <c r="C505" t="s">
        <v>49</v>
      </c>
      <c r="D505">
        <v>0.99</v>
      </c>
    </row>
    <row r="506" spans="1:4" x14ac:dyDescent="0.25">
      <c r="A506" t="s">
        <v>3713</v>
      </c>
      <c r="B506" t="s">
        <v>3714</v>
      </c>
      <c r="C506" t="s">
        <v>49</v>
      </c>
      <c r="D506">
        <v>0.99</v>
      </c>
    </row>
    <row r="507" spans="1:4" x14ac:dyDescent="0.25">
      <c r="A507" t="s">
        <v>3718</v>
      </c>
      <c r="B507" t="s">
        <v>3719</v>
      </c>
      <c r="C507" t="s">
        <v>49</v>
      </c>
      <c r="D507">
        <v>12.45</v>
      </c>
    </row>
    <row r="508" spans="1:4" x14ac:dyDescent="0.25">
      <c r="A508" t="s">
        <v>3720</v>
      </c>
      <c r="B508" t="s">
        <v>3721</v>
      </c>
      <c r="C508" t="s">
        <v>49</v>
      </c>
      <c r="D508">
        <v>61.6</v>
      </c>
    </row>
    <row r="509" spans="1:4" x14ac:dyDescent="0.25">
      <c r="A509" t="s">
        <v>3723</v>
      </c>
      <c r="B509" t="s">
        <v>3724</v>
      </c>
      <c r="C509" t="s">
        <v>49</v>
      </c>
      <c r="D509">
        <v>61.6</v>
      </c>
    </row>
    <row r="510" spans="1:4" x14ac:dyDescent="0.25">
      <c r="A510" t="s">
        <v>3725</v>
      </c>
      <c r="B510" t="s">
        <v>3726</v>
      </c>
      <c r="C510" t="s">
        <v>49</v>
      </c>
      <c r="D510">
        <v>259.5</v>
      </c>
    </row>
    <row r="511" spans="1:4" x14ac:dyDescent="0.25">
      <c r="A511" t="s">
        <v>3729</v>
      </c>
      <c r="B511" t="s">
        <v>3730</v>
      </c>
      <c r="C511" t="s">
        <v>49</v>
      </c>
      <c r="D511">
        <v>46.79</v>
      </c>
    </row>
    <row r="512" spans="1:4" x14ac:dyDescent="0.25">
      <c r="A512" t="s">
        <v>3733</v>
      </c>
      <c r="B512" t="s">
        <v>3734</v>
      </c>
      <c r="C512" t="s">
        <v>49</v>
      </c>
      <c r="D512">
        <v>358</v>
      </c>
    </row>
    <row r="513" spans="1:4" x14ac:dyDescent="0.25">
      <c r="A513" t="s">
        <v>3735</v>
      </c>
      <c r="B513" t="s">
        <v>3736</v>
      </c>
      <c r="C513" t="s">
        <v>49</v>
      </c>
      <c r="D513">
        <v>13.260000000000002</v>
      </c>
    </row>
    <row r="514" spans="1:4" x14ac:dyDescent="0.25">
      <c r="A514" t="s">
        <v>3739</v>
      </c>
      <c r="B514" t="s">
        <v>3740</v>
      </c>
      <c r="C514" t="s">
        <v>49</v>
      </c>
      <c r="D514">
        <v>11.99</v>
      </c>
    </row>
    <row r="515" spans="1:4" x14ac:dyDescent="0.25">
      <c r="A515" t="s">
        <v>3742</v>
      </c>
      <c r="B515" t="s">
        <v>3743</v>
      </c>
      <c r="C515" t="s">
        <v>49</v>
      </c>
      <c r="D515">
        <v>41.089999999999996</v>
      </c>
    </row>
    <row r="516" spans="1:4" x14ac:dyDescent="0.25">
      <c r="A516" t="s">
        <v>3750</v>
      </c>
      <c r="B516" t="s">
        <v>3751</v>
      </c>
      <c r="C516" t="s">
        <v>49</v>
      </c>
      <c r="D516">
        <v>51.379999999999995</v>
      </c>
    </row>
    <row r="517" spans="1:4" x14ac:dyDescent="0.25">
      <c r="A517" t="s">
        <v>3799</v>
      </c>
      <c r="B517" t="s">
        <v>3800</v>
      </c>
      <c r="C517" t="s">
        <v>49</v>
      </c>
      <c r="D517">
        <v>3.55</v>
      </c>
    </row>
    <row r="518" spans="1:4" x14ac:dyDescent="0.25">
      <c r="A518" t="s">
        <v>3811</v>
      </c>
      <c r="B518" t="s">
        <v>3812</v>
      </c>
      <c r="C518" t="s">
        <v>49</v>
      </c>
      <c r="D518">
        <v>2.56</v>
      </c>
    </row>
    <row r="519" spans="1:4" x14ac:dyDescent="0.25">
      <c r="A519" t="s">
        <v>3826</v>
      </c>
      <c r="B519" t="s">
        <v>3827</v>
      </c>
      <c r="C519" t="s">
        <v>49</v>
      </c>
      <c r="D519">
        <v>13.2</v>
      </c>
    </row>
    <row r="520" spans="1:4" x14ac:dyDescent="0.25">
      <c r="A520" t="s">
        <v>3832</v>
      </c>
      <c r="B520" t="s">
        <v>3833</v>
      </c>
      <c r="C520" t="s">
        <v>49</v>
      </c>
      <c r="D520">
        <v>40.04</v>
      </c>
    </row>
    <row r="521" spans="1:4" x14ac:dyDescent="0.25">
      <c r="A521" t="s">
        <v>3840</v>
      </c>
      <c r="B521" t="s">
        <v>3841</v>
      </c>
      <c r="C521" t="s">
        <v>49</v>
      </c>
      <c r="D521">
        <v>90.110000000000014</v>
      </c>
    </row>
    <row r="522" spans="1:4" x14ac:dyDescent="0.25">
      <c r="A522" t="s">
        <v>3847</v>
      </c>
      <c r="B522" t="s">
        <v>3848</v>
      </c>
      <c r="C522" t="s">
        <v>49</v>
      </c>
      <c r="D522">
        <v>32.65</v>
      </c>
    </row>
    <row r="523" spans="1:4" x14ac:dyDescent="0.25">
      <c r="A523" t="s">
        <v>3852</v>
      </c>
      <c r="B523" t="s">
        <v>3853</v>
      </c>
      <c r="C523" t="s">
        <v>49</v>
      </c>
      <c r="D523">
        <v>149.1</v>
      </c>
    </row>
    <row r="524" spans="1:4" x14ac:dyDescent="0.25">
      <c r="A524" t="s">
        <v>3856</v>
      </c>
      <c r="B524" t="s">
        <v>3857</v>
      </c>
      <c r="C524" t="s">
        <v>49</v>
      </c>
      <c r="D524">
        <v>8.8000000000000007</v>
      </c>
    </row>
    <row r="525" spans="1:4" x14ac:dyDescent="0.25">
      <c r="A525" t="s">
        <v>3858</v>
      </c>
      <c r="B525" t="s">
        <v>3859</v>
      </c>
      <c r="C525" t="s">
        <v>49</v>
      </c>
      <c r="D525">
        <v>3.65</v>
      </c>
    </row>
    <row r="526" spans="1:4" x14ac:dyDescent="0.25">
      <c r="A526" t="s">
        <v>3860</v>
      </c>
      <c r="B526" t="s">
        <v>3861</v>
      </c>
      <c r="C526" t="s">
        <v>49</v>
      </c>
      <c r="D526">
        <v>13.350000000000001</v>
      </c>
    </row>
    <row r="527" spans="1:4" x14ac:dyDescent="0.25">
      <c r="A527" t="s">
        <v>3863</v>
      </c>
      <c r="B527" t="s">
        <v>3864</v>
      </c>
      <c r="C527" t="s">
        <v>49</v>
      </c>
      <c r="D527">
        <v>3.6500000000000004</v>
      </c>
    </row>
    <row r="528" spans="1:4" x14ac:dyDescent="0.25">
      <c r="A528" t="s">
        <v>3868</v>
      </c>
      <c r="B528" t="s">
        <v>3869</v>
      </c>
      <c r="C528" t="s">
        <v>49</v>
      </c>
      <c r="D528">
        <v>12.309999999999999</v>
      </c>
    </row>
    <row r="529" spans="1:4" x14ac:dyDescent="0.25">
      <c r="A529" t="s">
        <v>3871</v>
      </c>
      <c r="B529" t="s">
        <v>3872</v>
      </c>
      <c r="C529" t="s">
        <v>49</v>
      </c>
      <c r="D529">
        <v>4.5500000000000007</v>
      </c>
    </row>
    <row r="530" spans="1:4" x14ac:dyDescent="0.25">
      <c r="A530" t="s">
        <v>3875</v>
      </c>
      <c r="B530" t="s">
        <v>3876</v>
      </c>
      <c r="C530" t="s">
        <v>49</v>
      </c>
      <c r="D530">
        <v>3.69</v>
      </c>
    </row>
    <row r="531" spans="1:4" x14ac:dyDescent="0.25">
      <c r="A531" t="s">
        <v>3877</v>
      </c>
      <c r="B531" t="s">
        <v>3878</v>
      </c>
      <c r="C531" t="s">
        <v>49</v>
      </c>
      <c r="D531">
        <v>5.49</v>
      </c>
    </row>
    <row r="532" spans="1:4" x14ac:dyDescent="0.25">
      <c r="A532" t="s">
        <v>3881</v>
      </c>
      <c r="B532" t="s">
        <v>3882</v>
      </c>
      <c r="C532" t="s">
        <v>49</v>
      </c>
      <c r="D532">
        <v>6.47</v>
      </c>
    </row>
    <row r="533" spans="1:4" x14ac:dyDescent="0.25">
      <c r="A533" t="s">
        <v>3883</v>
      </c>
      <c r="B533" t="s">
        <v>3884</v>
      </c>
      <c r="C533" t="s">
        <v>49</v>
      </c>
      <c r="D533">
        <v>21.53</v>
      </c>
    </row>
    <row r="534" spans="1:4" x14ac:dyDescent="0.25">
      <c r="A534" t="s">
        <v>3888</v>
      </c>
      <c r="B534" t="s">
        <v>3889</v>
      </c>
      <c r="C534" t="s">
        <v>49</v>
      </c>
      <c r="D534">
        <v>45.66</v>
      </c>
    </row>
    <row r="535" spans="1:4" x14ac:dyDescent="0.25">
      <c r="A535" t="s">
        <v>3891</v>
      </c>
      <c r="B535" t="s">
        <v>3892</v>
      </c>
      <c r="C535" t="s">
        <v>49</v>
      </c>
      <c r="D535">
        <v>31.35</v>
      </c>
    </row>
    <row r="536" spans="1:4" x14ac:dyDescent="0.25">
      <c r="A536" t="s">
        <v>3896</v>
      </c>
      <c r="B536" t="s">
        <v>3897</v>
      </c>
      <c r="C536" t="s">
        <v>49</v>
      </c>
      <c r="D536">
        <v>32.29</v>
      </c>
    </row>
    <row r="537" spans="1:4" x14ac:dyDescent="0.25">
      <c r="A537" t="s">
        <v>3902</v>
      </c>
      <c r="B537" t="s">
        <v>3903</v>
      </c>
      <c r="C537" t="s">
        <v>49</v>
      </c>
      <c r="D537">
        <v>20.47</v>
      </c>
    </row>
    <row r="538" spans="1:4" x14ac:dyDescent="0.25">
      <c r="A538" t="s">
        <v>3907</v>
      </c>
      <c r="B538" t="s">
        <v>3908</v>
      </c>
      <c r="C538" t="s">
        <v>49</v>
      </c>
      <c r="D538">
        <v>4.0999999999999996</v>
      </c>
    </row>
    <row r="539" spans="1:4" x14ac:dyDescent="0.25">
      <c r="A539" t="s">
        <v>3909</v>
      </c>
      <c r="B539" t="s">
        <v>3910</v>
      </c>
      <c r="C539" t="s">
        <v>49</v>
      </c>
      <c r="D539">
        <v>14.1</v>
      </c>
    </row>
    <row r="540" spans="1:4" x14ac:dyDescent="0.25">
      <c r="A540" t="s">
        <v>3911</v>
      </c>
      <c r="B540" t="s">
        <v>3912</v>
      </c>
      <c r="C540" t="s">
        <v>49</v>
      </c>
      <c r="D540">
        <v>2.78</v>
      </c>
    </row>
    <row r="541" spans="1:4" x14ac:dyDescent="0.25">
      <c r="A541" t="s">
        <v>3922</v>
      </c>
      <c r="B541" t="s">
        <v>3923</v>
      </c>
      <c r="C541" t="s">
        <v>49</v>
      </c>
      <c r="D541">
        <v>25.35</v>
      </c>
    </row>
    <row r="542" spans="1:4" x14ac:dyDescent="0.25">
      <c r="A542" t="s">
        <v>3925</v>
      </c>
      <c r="B542" t="s">
        <v>3926</v>
      </c>
      <c r="C542" t="s">
        <v>49</v>
      </c>
      <c r="D542">
        <v>25.55</v>
      </c>
    </row>
    <row r="543" spans="1:4" x14ac:dyDescent="0.25">
      <c r="A543" t="s">
        <v>3927</v>
      </c>
      <c r="B543" t="s">
        <v>3928</v>
      </c>
      <c r="C543" t="s">
        <v>49</v>
      </c>
      <c r="D543">
        <v>6.5</v>
      </c>
    </row>
    <row r="544" spans="1:4" x14ac:dyDescent="0.25">
      <c r="A544" t="s">
        <v>3935</v>
      </c>
      <c r="B544" t="s">
        <v>3936</v>
      </c>
      <c r="C544" t="s">
        <v>49</v>
      </c>
      <c r="D544">
        <v>24.17</v>
      </c>
    </row>
    <row r="545" spans="1:4" x14ac:dyDescent="0.25">
      <c r="A545" t="s">
        <v>3939</v>
      </c>
      <c r="B545" t="s">
        <v>3940</v>
      </c>
      <c r="C545" t="s">
        <v>49</v>
      </c>
      <c r="D545">
        <v>8.42</v>
      </c>
    </row>
    <row r="546" spans="1:4" x14ac:dyDescent="0.25">
      <c r="A546" t="s">
        <v>3967</v>
      </c>
      <c r="B546" t="s">
        <v>3968</v>
      </c>
      <c r="C546" t="s">
        <v>49</v>
      </c>
      <c r="D546">
        <v>8.5500000000000007</v>
      </c>
    </row>
    <row r="547" spans="1:4" x14ac:dyDescent="0.25">
      <c r="A547" t="s">
        <v>3969</v>
      </c>
      <c r="B547" t="s">
        <v>3970</v>
      </c>
      <c r="C547" t="s">
        <v>49</v>
      </c>
      <c r="D547">
        <v>10.75</v>
      </c>
    </row>
    <row r="548" spans="1:4" x14ac:dyDescent="0.25">
      <c r="A548" t="s">
        <v>3972</v>
      </c>
      <c r="B548" t="s">
        <v>3973</v>
      </c>
      <c r="C548" t="s">
        <v>49</v>
      </c>
      <c r="D548">
        <v>23.5</v>
      </c>
    </row>
    <row r="549" spans="1:4" x14ac:dyDescent="0.25">
      <c r="A549" t="s">
        <v>3993</v>
      </c>
      <c r="B549" t="s">
        <v>3994</v>
      </c>
      <c r="C549" t="s">
        <v>49</v>
      </c>
      <c r="D549">
        <v>4.5999999999999996</v>
      </c>
    </row>
    <row r="550" spans="1:4" x14ac:dyDescent="0.25">
      <c r="A550" t="s">
        <v>4006</v>
      </c>
      <c r="B550" t="s">
        <v>4007</v>
      </c>
      <c r="C550" t="s">
        <v>49</v>
      </c>
      <c r="D550">
        <v>29.8</v>
      </c>
    </row>
    <row r="551" spans="1:4" x14ac:dyDescent="0.25">
      <c r="A551" t="s">
        <v>4013</v>
      </c>
      <c r="B551" t="s">
        <v>4014</v>
      </c>
      <c r="C551" t="s">
        <v>49</v>
      </c>
      <c r="D551">
        <v>17.95</v>
      </c>
    </row>
    <row r="552" spans="1:4" x14ac:dyDescent="0.25">
      <c r="A552" t="s">
        <v>4016</v>
      </c>
      <c r="B552" t="s">
        <v>4017</v>
      </c>
      <c r="C552" t="s">
        <v>49</v>
      </c>
      <c r="D552">
        <v>8.7899999999999991</v>
      </c>
    </row>
    <row r="553" spans="1:4" x14ac:dyDescent="0.25">
      <c r="A553" t="s">
        <v>4019</v>
      </c>
      <c r="B553" t="s">
        <v>4020</v>
      </c>
      <c r="C553" t="s">
        <v>49</v>
      </c>
      <c r="D553">
        <v>15.15</v>
      </c>
    </row>
    <row r="554" spans="1:4" x14ac:dyDescent="0.25">
      <c r="A554" t="s">
        <v>4021</v>
      </c>
      <c r="B554" t="s">
        <v>4022</v>
      </c>
      <c r="C554" t="s">
        <v>49</v>
      </c>
      <c r="D554">
        <v>20.32</v>
      </c>
    </row>
    <row r="555" spans="1:4" x14ac:dyDescent="0.25">
      <c r="A555" t="s">
        <v>4026</v>
      </c>
      <c r="B555" t="s">
        <v>4027</v>
      </c>
      <c r="C555" t="s">
        <v>49</v>
      </c>
      <c r="D555">
        <v>5</v>
      </c>
    </row>
    <row r="556" spans="1:4" x14ac:dyDescent="0.25">
      <c r="A556" t="s">
        <v>4033</v>
      </c>
      <c r="B556" t="s">
        <v>4034</v>
      </c>
      <c r="C556" t="s">
        <v>49</v>
      </c>
      <c r="D556">
        <v>8.39</v>
      </c>
    </row>
    <row r="557" spans="1:4" x14ac:dyDescent="0.25">
      <c r="A557" t="s">
        <v>4037</v>
      </c>
      <c r="B557" t="s">
        <v>4038</v>
      </c>
      <c r="C557" t="s">
        <v>49</v>
      </c>
      <c r="D557">
        <v>7.3</v>
      </c>
    </row>
    <row r="558" spans="1:4" x14ac:dyDescent="0.25">
      <c r="A558" t="s">
        <v>4041</v>
      </c>
      <c r="B558" t="s">
        <v>4042</v>
      </c>
      <c r="C558" t="s">
        <v>49</v>
      </c>
      <c r="D558">
        <v>6.25</v>
      </c>
    </row>
    <row r="559" spans="1:4" x14ac:dyDescent="0.25">
      <c r="A559" t="s">
        <v>4043</v>
      </c>
      <c r="B559" t="s">
        <v>4044</v>
      </c>
      <c r="C559" t="s">
        <v>49</v>
      </c>
      <c r="D559">
        <v>6.9499999999999993</v>
      </c>
    </row>
    <row r="560" spans="1:4" x14ac:dyDescent="0.25">
      <c r="A560" t="s">
        <v>4045</v>
      </c>
      <c r="B560" t="s">
        <v>4046</v>
      </c>
      <c r="C560" t="s">
        <v>49</v>
      </c>
      <c r="D560">
        <v>18.170000000000002</v>
      </c>
    </row>
    <row r="561" spans="1:4" x14ac:dyDescent="0.25">
      <c r="A561" t="s">
        <v>4049</v>
      </c>
      <c r="B561" t="s">
        <v>4050</v>
      </c>
      <c r="C561" t="s">
        <v>49</v>
      </c>
      <c r="D561">
        <v>9.16</v>
      </c>
    </row>
    <row r="562" spans="1:4" x14ac:dyDescent="0.25">
      <c r="A562" t="s">
        <v>4051</v>
      </c>
      <c r="B562" t="s">
        <v>4052</v>
      </c>
      <c r="C562" t="s">
        <v>49</v>
      </c>
      <c r="D562">
        <v>20.880000000000003</v>
      </c>
    </row>
    <row r="563" spans="1:4" x14ac:dyDescent="0.25">
      <c r="A563" t="s">
        <v>4054</v>
      </c>
      <c r="B563" t="s">
        <v>4055</v>
      </c>
      <c r="C563" t="s">
        <v>49</v>
      </c>
      <c r="D563">
        <v>10.9</v>
      </c>
    </row>
    <row r="564" spans="1:4" x14ac:dyDescent="0.25">
      <c r="A564" t="s">
        <v>4057</v>
      </c>
      <c r="B564" t="s">
        <v>4058</v>
      </c>
      <c r="C564" t="s">
        <v>49</v>
      </c>
      <c r="D564">
        <v>8.23</v>
      </c>
    </row>
    <row r="565" spans="1:4" x14ac:dyDescent="0.25">
      <c r="A565" t="s">
        <v>4061</v>
      </c>
      <c r="B565" t="s">
        <v>4062</v>
      </c>
      <c r="C565" t="s">
        <v>49</v>
      </c>
      <c r="D565">
        <v>12.25</v>
      </c>
    </row>
    <row r="566" spans="1:4" x14ac:dyDescent="0.25">
      <c r="A566" t="s">
        <v>4063</v>
      </c>
      <c r="B566" t="s">
        <v>4064</v>
      </c>
      <c r="C566" t="s">
        <v>49</v>
      </c>
      <c r="D566">
        <v>21.17</v>
      </c>
    </row>
    <row r="567" spans="1:4" x14ac:dyDescent="0.25">
      <c r="A567" t="s">
        <v>4066</v>
      </c>
      <c r="B567" t="s">
        <v>4067</v>
      </c>
      <c r="C567" t="s">
        <v>49</v>
      </c>
      <c r="D567">
        <v>10.96</v>
      </c>
    </row>
    <row r="568" spans="1:4" x14ac:dyDescent="0.25">
      <c r="A568" t="s">
        <v>4088</v>
      </c>
      <c r="B568" t="s">
        <v>4089</v>
      </c>
      <c r="C568" t="s">
        <v>49</v>
      </c>
      <c r="D568">
        <v>8.23</v>
      </c>
    </row>
    <row r="569" spans="1:4" x14ac:dyDescent="0.25">
      <c r="A569" t="s">
        <v>4090</v>
      </c>
      <c r="B569" t="s">
        <v>4091</v>
      </c>
      <c r="C569" t="s">
        <v>49</v>
      </c>
      <c r="D569">
        <v>12.25</v>
      </c>
    </row>
    <row r="570" spans="1:4" x14ac:dyDescent="0.25">
      <c r="A570" t="s">
        <v>4092</v>
      </c>
      <c r="B570" t="s">
        <v>4093</v>
      </c>
      <c r="C570" t="s">
        <v>49</v>
      </c>
      <c r="D570">
        <v>21.17</v>
      </c>
    </row>
    <row r="571" spans="1:4" x14ac:dyDescent="0.25">
      <c r="A571" t="s">
        <v>4094</v>
      </c>
      <c r="B571" t="s">
        <v>4095</v>
      </c>
      <c r="C571" t="s">
        <v>49</v>
      </c>
      <c r="D571">
        <v>122.25999999999999</v>
      </c>
    </row>
    <row r="572" spans="1:4" x14ac:dyDescent="0.25">
      <c r="A572" t="s">
        <v>4097</v>
      </c>
      <c r="B572" t="s">
        <v>4098</v>
      </c>
      <c r="C572" t="s">
        <v>49</v>
      </c>
      <c r="D572">
        <v>17.39</v>
      </c>
    </row>
    <row r="573" spans="1:4" x14ac:dyDescent="0.25">
      <c r="A573" t="s">
        <v>4100</v>
      </c>
      <c r="B573" t="s">
        <v>4101</v>
      </c>
      <c r="C573" t="s">
        <v>49</v>
      </c>
      <c r="D573">
        <v>6.6899999999999995</v>
      </c>
    </row>
    <row r="574" spans="1:4" x14ac:dyDescent="0.25">
      <c r="A574" t="s">
        <v>4103</v>
      </c>
      <c r="B574" t="s">
        <v>4104</v>
      </c>
      <c r="C574" t="s">
        <v>49</v>
      </c>
      <c r="D574">
        <v>9.9899999999999984</v>
      </c>
    </row>
    <row r="575" spans="1:4" x14ac:dyDescent="0.25">
      <c r="A575" t="s">
        <v>4106</v>
      </c>
      <c r="B575" t="s">
        <v>4107</v>
      </c>
      <c r="C575" t="s">
        <v>49</v>
      </c>
      <c r="D575">
        <v>11.239999999999998</v>
      </c>
    </row>
    <row r="576" spans="1:4" x14ac:dyDescent="0.25">
      <c r="A576" t="s">
        <v>4109</v>
      </c>
      <c r="B576" t="s">
        <v>4110</v>
      </c>
      <c r="C576" t="s">
        <v>49</v>
      </c>
      <c r="D576">
        <v>12.58</v>
      </c>
    </row>
    <row r="577" spans="1:4" x14ac:dyDescent="0.25">
      <c r="A577" t="s">
        <v>4113</v>
      </c>
      <c r="B577" t="s">
        <v>4114</v>
      </c>
      <c r="C577" t="s">
        <v>49</v>
      </c>
      <c r="D577">
        <v>14.239999999999998</v>
      </c>
    </row>
    <row r="578" spans="1:4" x14ac:dyDescent="0.25">
      <c r="A578" t="s">
        <v>4116</v>
      </c>
      <c r="B578" t="s">
        <v>4117</v>
      </c>
      <c r="C578" t="s">
        <v>49</v>
      </c>
      <c r="D578">
        <v>6.4</v>
      </c>
    </row>
    <row r="579" spans="1:4" x14ac:dyDescent="0.25">
      <c r="A579" t="s">
        <v>4120</v>
      </c>
      <c r="B579" t="s">
        <v>4121</v>
      </c>
      <c r="C579" t="s">
        <v>49</v>
      </c>
      <c r="D579">
        <v>9.6000000000000014</v>
      </c>
    </row>
    <row r="580" spans="1:4" x14ac:dyDescent="0.25">
      <c r="A580" t="s">
        <v>4127</v>
      </c>
      <c r="B580" t="s">
        <v>4128</v>
      </c>
      <c r="C580" t="s">
        <v>49</v>
      </c>
      <c r="D580">
        <v>13.43</v>
      </c>
    </row>
    <row r="581" spans="1:4" x14ac:dyDescent="0.25">
      <c r="A581" t="s">
        <v>4129</v>
      </c>
      <c r="B581" t="s">
        <v>4130</v>
      </c>
      <c r="C581" t="s">
        <v>49</v>
      </c>
      <c r="D581">
        <v>12.19</v>
      </c>
    </row>
    <row r="582" spans="1:4" x14ac:dyDescent="0.25">
      <c r="A582" t="s">
        <v>4131</v>
      </c>
      <c r="B582" t="s">
        <v>4132</v>
      </c>
      <c r="C582" t="s">
        <v>49</v>
      </c>
      <c r="D582">
        <v>13.43</v>
      </c>
    </row>
    <row r="583" spans="1:4" x14ac:dyDescent="0.25">
      <c r="A583" t="s">
        <v>4133</v>
      </c>
      <c r="B583" t="s">
        <v>4134</v>
      </c>
      <c r="C583" t="s">
        <v>49</v>
      </c>
      <c r="D583">
        <v>13.43</v>
      </c>
    </row>
    <row r="584" spans="1:4" x14ac:dyDescent="0.25">
      <c r="A584" t="s">
        <v>4135</v>
      </c>
      <c r="B584" t="s">
        <v>4136</v>
      </c>
      <c r="C584" t="s">
        <v>49</v>
      </c>
      <c r="D584">
        <v>8.5399999999999991</v>
      </c>
    </row>
    <row r="585" spans="1:4" x14ac:dyDescent="0.25">
      <c r="A585" t="s">
        <v>4138</v>
      </c>
      <c r="B585" t="s">
        <v>4139</v>
      </c>
      <c r="C585" t="s">
        <v>49</v>
      </c>
      <c r="D585">
        <v>12.4</v>
      </c>
    </row>
    <row r="586" spans="1:4" x14ac:dyDescent="0.25">
      <c r="A586" t="s">
        <v>4142</v>
      </c>
      <c r="B586" t="s">
        <v>4143</v>
      </c>
      <c r="C586" t="s">
        <v>49</v>
      </c>
      <c r="D586">
        <v>13.3</v>
      </c>
    </row>
    <row r="587" spans="1:4" x14ac:dyDescent="0.25">
      <c r="A587" t="s">
        <v>4146</v>
      </c>
      <c r="B587" t="s">
        <v>4147</v>
      </c>
      <c r="C587" t="s">
        <v>49</v>
      </c>
      <c r="D587">
        <v>8.84</v>
      </c>
    </row>
    <row r="588" spans="1:4" x14ac:dyDescent="0.25">
      <c r="A588" t="s">
        <v>4149</v>
      </c>
      <c r="B588" t="s">
        <v>4150</v>
      </c>
      <c r="C588" t="s">
        <v>49</v>
      </c>
      <c r="D588">
        <v>8.0399999999999991</v>
      </c>
    </row>
    <row r="589" spans="1:4" x14ac:dyDescent="0.25">
      <c r="A589" t="s">
        <v>4152</v>
      </c>
      <c r="B589" t="s">
        <v>4153</v>
      </c>
      <c r="C589" t="s">
        <v>49</v>
      </c>
      <c r="D589">
        <v>8.84</v>
      </c>
    </row>
    <row r="590" spans="1:4" x14ac:dyDescent="0.25">
      <c r="A590" t="s">
        <v>4155</v>
      </c>
      <c r="B590" t="s">
        <v>4156</v>
      </c>
      <c r="C590" t="s">
        <v>49</v>
      </c>
      <c r="D590">
        <v>7.1099999999999994</v>
      </c>
    </row>
    <row r="591" spans="1:4" x14ac:dyDescent="0.25">
      <c r="A591" t="s">
        <v>4158</v>
      </c>
      <c r="B591" t="s">
        <v>4159</v>
      </c>
      <c r="C591" t="s">
        <v>49</v>
      </c>
      <c r="D591">
        <v>11.89</v>
      </c>
    </row>
    <row r="592" spans="1:4" x14ac:dyDescent="0.25">
      <c r="A592" t="s">
        <v>4160</v>
      </c>
      <c r="B592" t="s">
        <v>4161</v>
      </c>
      <c r="C592" t="s">
        <v>49</v>
      </c>
      <c r="D592">
        <v>16.75</v>
      </c>
    </row>
    <row r="593" spans="1:4" x14ac:dyDescent="0.25">
      <c r="A593" t="s">
        <v>4164</v>
      </c>
      <c r="B593" t="s">
        <v>4165</v>
      </c>
      <c r="C593" t="s">
        <v>49</v>
      </c>
      <c r="D593">
        <v>4.9800000000000004</v>
      </c>
    </row>
    <row r="594" spans="1:4" x14ac:dyDescent="0.25">
      <c r="A594" t="s">
        <v>4166</v>
      </c>
      <c r="B594" t="s">
        <v>4167</v>
      </c>
      <c r="C594" t="s">
        <v>49</v>
      </c>
      <c r="D594">
        <v>20.880000000000003</v>
      </c>
    </row>
    <row r="595" spans="1:4" x14ac:dyDescent="0.25">
      <c r="A595" t="s">
        <v>4171</v>
      </c>
      <c r="B595" t="s">
        <v>4172</v>
      </c>
      <c r="C595" t="s">
        <v>49</v>
      </c>
      <c r="D595">
        <v>9.09</v>
      </c>
    </row>
    <row r="596" spans="1:4" x14ac:dyDescent="0.25">
      <c r="A596" t="s">
        <v>4174</v>
      </c>
      <c r="B596" t="s">
        <v>4175</v>
      </c>
      <c r="C596" t="s">
        <v>49</v>
      </c>
      <c r="D596">
        <v>9.14</v>
      </c>
    </row>
    <row r="597" spans="1:4" x14ac:dyDescent="0.25">
      <c r="A597" t="s">
        <v>4177</v>
      </c>
      <c r="B597" t="s">
        <v>4178</v>
      </c>
      <c r="C597" t="s">
        <v>49</v>
      </c>
      <c r="D597">
        <v>7.84</v>
      </c>
    </row>
    <row r="598" spans="1:4" x14ac:dyDescent="0.25">
      <c r="A598" t="s">
        <v>4180</v>
      </c>
      <c r="B598" t="s">
        <v>4181</v>
      </c>
      <c r="C598" t="s">
        <v>49</v>
      </c>
      <c r="D598">
        <v>11.77</v>
      </c>
    </row>
    <row r="599" spans="1:4" x14ac:dyDescent="0.25">
      <c r="A599" t="s">
        <v>4182</v>
      </c>
      <c r="B599" t="s">
        <v>4183</v>
      </c>
      <c r="C599" t="s">
        <v>49</v>
      </c>
      <c r="D599">
        <v>15.3</v>
      </c>
    </row>
    <row r="600" spans="1:4" x14ac:dyDescent="0.25">
      <c r="A600" t="s">
        <v>4185</v>
      </c>
      <c r="B600" t="s">
        <v>4186</v>
      </c>
      <c r="C600" t="s">
        <v>49</v>
      </c>
      <c r="D600">
        <v>3.3499999999999996</v>
      </c>
    </row>
    <row r="601" spans="1:4" x14ac:dyDescent="0.25">
      <c r="A601" t="s">
        <v>4188</v>
      </c>
      <c r="B601" t="s">
        <v>4189</v>
      </c>
      <c r="C601" t="s">
        <v>49</v>
      </c>
      <c r="D601">
        <v>11</v>
      </c>
    </row>
    <row r="602" spans="1:4" x14ac:dyDescent="0.25">
      <c r="A602" t="s">
        <v>4192</v>
      </c>
      <c r="B602" t="s">
        <v>4193</v>
      </c>
      <c r="C602" t="s">
        <v>49</v>
      </c>
      <c r="D602">
        <v>8.4699999999999989</v>
      </c>
    </row>
    <row r="603" spans="1:4" x14ac:dyDescent="0.25">
      <c r="A603" t="s">
        <v>4195</v>
      </c>
      <c r="B603" t="s">
        <v>4196</v>
      </c>
      <c r="C603" t="s">
        <v>49</v>
      </c>
      <c r="D603">
        <v>6.2900000000000009</v>
      </c>
    </row>
    <row r="604" spans="1:4" x14ac:dyDescent="0.25">
      <c r="A604" t="s">
        <v>4198</v>
      </c>
      <c r="B604" t="s">
        <v>4199</v>
      </c>
      <c r="C604" t="s">
        <v>49</v>
      </c>
      <c r="D604">
        <v>7.23</v>
      </c>
    </row>
    <row r="605" spans="1:4" x14ac:dyDescent="0.25">
      <c r="A605" t="s">
        <v>4204</v>
      </c>
      <c r="B605" t="s">
        <v>4205</v>
      </c>
      <c r="C605" t="s">
        <v>49</v>
      </c>
      <c r="D605">
        <v>11.989999999999998</v>
      </c>
    </row>
    <row r="606" spans="1:4" x14ac:dyDescent="0.25">
      <c r="A606" t="s">
        <v>4208</v>
      </c>
      <c r="B606" t="s">
        <v>4209</v>
      </c>
      <c r="C606" t="s">
        <v>49</v>
      </c>
      <c r="D606">
        <v>13.690000000000001</v>
      </c>
    </row>
    <row r="607" spans="1:4" x14ac:dyDescent="0.25">
      <c r="A607" t="s">
        <v>4212</v>
      </c>
      <c r="B607" t="s">
        <v>4213</v>
      </c>
      <c r="C607" t="s">
        <v>49</v>
      </c>
      <c r="D607">
        <v>17.75</v>
      </c>
    </row>
    <row r="608" spans="1:4" x14ac:dyDescent="0.25">
      <c r="A608" t="s">
        <v>4215</v>
      </c>
      <c r="B608" t="s">
        <v>4216</v>
      </c>
      <c r="C608" t="s">
        <v>49</v>
      </c>
      <c r="D608">
        <v>17.14</v>
      </c>
    </row>
    <row r="609" spans="1:4" x14ac:dyDescent="0.25">
      <c r="A609" t="s">
        <v>4219</v>
      </c>
      <c r="B609" t="s">
        <v>4220</v>
      </c>
      <c r="C609" t="s">
        <v>49</v>
      </c>
      <c r="D609">
        <v>18.59</v>
      </c>
    </row>
    <row r="610" spans="1:4" x14ac:dyDescent="0.25">
      <c r="A610" t="s">
        <v>4223</v>
      </c>
      <c r="B610" t="s">
        <v>4224</v>
      </c>
      <c r="C610" t="s">
        <v>49</v>
      </c>
      <c r="D610">
        <v>155.19000000000003</v>
      </c>
    </row>
    <row r="611" spans="1:4" x14ac:dyDescent="0.25">
      <c r="A611" t="s">
        <v>4227</v>
      </c>
      <c r="B611" t="s">
        <v>4228</v>
      </c>
      <c r="C611" t="s">
        <v>49</v>
      </c>
      <c r="D611">
        <v>206.30999999999997</v>
      </c>
    </row>
    <row r="612" spans="1:4" x14ac:dyDescent="0.25">
      <c r="A612" t="s">
        <v>4239</v>
      </c>
      <c r="B612" t="s">
        <v>4240</v>
      </c>
      <c r="C612" t="s">
        <v>49</v>
      </c>
      <c r="D612">
        <v>4.8499999999999996</v>
      </c>
    </row>
    <row r="613" spans="1:4" x14ac:dyDescent="0.25">
      <c r="A613" t="s">
        <v>4242</v>
      </c>
      <c r="B613" t="s">
        <v>4243</v>
      </c>
      <c r="C613" t="s">
        <v>49</v>
      </c>
      <c r="D613">
        <v>159.92000000000002</v>
      </c>
    </row>
    <row r="614" spans="1:4" x14ac:dyDescent="0.25">
      <c r="A614" t="s">
        <v>4246</v>
      </c>
      <c r="B614" t="s">
        <v>4247</v>
      </c>
      <c r="C614" t="s">
        <v>49</v>
      </c>
      <c r="D614">
        <v>12.399999999999999</v>
      </c>
    </row>
    <row r="615" spans="1:4" x14ac:dyDescent="0.25">
      <c r="A615" t="s">
        <v>4249</v>
      </c>
      <c r="B615" t="s">
        <v>4250</v>
      </c>
      <c r="C615" t="s">
        <v>49</v>
      </c>
      <c r="D615">
        <v>12.43</v>
      </c>
    </row>
    <row r="616" spans="1:4" x14ac:dyDescent="0.25">
      <c r="A616" t="s">
        <v>4252</v>
      </c>
      <c r="B616" t="s">
        <v>4253</v>
      </c>
      <c r="C616" t="s">
        <v>49</v>
      </c>
      <c r="D616">
        <v>10.18</v>
      </c>
    </row>
    <row r="617" spans="1:4" x14ac:dyDescent="0.25">
      <c r="A617" t="s">
        <v>4255</v>
      </c>
      <c r="B617" t="s">
        <v>4256</v>
      </c>
      <c r="C617" t="s">
        <v>49</v>
      </c>
      <c r="D617">
        <v>11.75</v>
      </c>
    </row>
    <row r="618" spans="1:4" x14ac:dyDescent="0.25">
      <c r="A618" t="s">
        <v>4299</v>
      </c>
      <c r="B618" t="s">
        <v>4300</v>
      </c>
      <c r="C618" t="s">
        <v>49</v>
      </c>
      <c r="D618">
        <v>7.22</v>
      </c>
    </row>
    <row r="619" spans="1:4" x14ac:dyDescent="0.25">
      <c r="A619" t="s">
        <v>4310</v>
      </c>
      <c r="B619" t="s">
        <v>4311</v>
      </c>
      <c r="C619" t="s">
        <v>49</v>
      </c>
      <c r="D619">
        <v>9.75</v>
      </c>
    </row>
    <row r="620" spans="1:4" x14ac:dyDescent="0.25">
      <c r="A620" t="s">
        <v>4337</v>
      </c>
      <c r="B620" t="s">
        <v>4338</v>
      </c>
      <c r="C620" t="s">
        <v>49</v>
      </c>
      <c r="D620">
        <v>40.28</v>
      </c>
    </row>
    <row r="621" spans="1:4" x14ac:dyDescent="0.25">
      <c r="A621" t="s">
        <v>4340</v>
      </c>
      <c r="B621" t="s">
        <v>4341</v>
      </c>
      <c r="C621" t="s">
        <v>49</v>
      </c>
      <c r="D621">
        <v>4.6499999999999995</v>
      </c>
    </row>
    <row r="622" spans="1:4" x14ac:dyDescent="0.25">
      <c r="A622" t="s">
        <v>4345</v>
      </c>
      <c r="B622" t="s">
        <v>4346</v>
      </c>
      <c r="C622" t="s">
        <v>49</v>
      </c>
      <c r="D622">
        <v>4.0200000000000005</v>
      </c>
    </row>
    <row r="623" spans="1:4" x14ac:dyDescent="0.25">
      <c r="A623" t="s">
        <v>4348</v>
      </c>
      <c r="B623" t="s">
        <v>4349</v>
      </c>
      <c r="C623" t="s">
        <v>49</v>
      </c>
      <c r="D623">
        <v>36.25</v>
      </c>
    </row>
    <row r="624" spans="1:4" x14ac:dyDescent="0.25">
      <c r="A624" t="s">
        <v>4351</v>
      </c>
      <c r="B624" t="s">
        <v>4352</v>
      </c>
      <c r="C624" t="s">
        <v>49</v>
      </c>
      <c r="D624">
        <v>5.04</v>
      </c>
    </row>
    <row r="625" spans="1:4" x14ac:dyDescent="0.25">
      <c r="A625" t="s">
        <v>4365</v>
      </c>
      <c r="B625" t="s">
        <v>4366</v>
      </c>
      <c r="C625" t="s">
        <v>49</v>
      </c>
      <c r="D625">
        <v>135.41</v>
      </c>
    </row>
    <row r="626" spans="1:4" x14ac:dyDescent="0.25">
      <c r="A626" t="s">
        <v>4373</v>
      </c>
      <c r="B626" t="s">
        <v>4374</v>
      </c>
      <c r="C626" t="s">
        <v>49</v>
      </c>
      <c r="D626">
        <v>51.129999999999995</v>
      </c>
    </row>
    <row r="627" spans="1:4" x14ac:dyDescent="0.25">
      <c r="A627" t="s">
        <v>4426</v>
      </c>
      <c r="B627" t="s">
        <v>4427</v>
      </c>
      <c r="C627" t="s">
        <v>49</v>
      </c>
      <c r="D627">
        <v>16.399999999999999</v>
      </c>
    </row>
    <row r="628" spans="1:4" x14ac:dyDescent="0.25">
      <c r="A628" t="s">
        <v>4428</v>
      </c>
      <c r="B628" t="s">
        <v>4429</v>
      </c>
      <c r="C628" t="s">
        <v>49</v>
      </c>
      <c r="D628">
        <v>13.6</v>
      </c>
    </row>
    <row r="629" spans="1:4" x14ac:dyDescent="0.25">
      <c r="A629" t="s">
        <v>4433</v>
      </c>
      <c r="B629" t="s">
        <v>4434</v>
      </c>
      <c r="C629" t="s">
        <v>49</v>
      </c>
      <c r="D629">
        <v>10.199999999999999</v>
      </c>
    </row>
    <row r="630" spans="1:4" x14ac:dyDescent="0.25">
      <c r="A630" t="s">
        <v>4436</v>
      </c>
      <c r="B630" t="s">
        <v>4437</v>
      </c>
      <c r="C630" t="s">
        <v>49</v>
      </c>
      <c r="D630">
        <v>92.6</v>
      </c>
    </row>
    <row r="631" spans="1:4" x14ac:dyDescent="0.25">
      <c r="A631" t="s">
        <v>4444</v>
      </c>
      <c r="B631" t="s">
        <v>4445</v>
      </c>
      <c r="C631" t="s">
        <v>49</v>
      </c>
      <c r="D631">
        <v>118.63</v>
      </c>
    </row>
    <row r="632" spans="1:4" x14ac:dyDescent="0.25">
      <c r="A632" t="s">
        <v>4448</v>
      </c>
      <c r="B632" t="s">
        <v>4449</v>
      </c>
      <c r="C632" t="s">
        <v>49</v>
      </c>
      <c r="D632">
        <v>104.07000000000001</v>
      </c>
    </row>
    <row r="633" spans="1:4" x14ac:dyDescent="0.25">
      <c r="A633" t="s">
        <v>4452</v>
      </c>
      <c r="B633" t="s">
        <v>4453</v>
      </c>
      <c r="C633" t="s">
        <v>49</v>
      </c>
      <c r="D633">
        <v>320.73</v>
      </c>
    </row>
    <row r="634" spans="1:4" x14ac:dyDescent="0.25">
      <c r="A634" t="s">
        <v>4456</v>
      </c>
      <c r="B634" t="s">
        <v>4457</v>
      </c>
      <c r="C634" t="s">
        <v>49</v>
      </c>
      <c r="D634">
        <v>182.61</v>
      </c>
    </row>
    <row r="635" spans="1:4" x14ac:dyDescent="0.25">
      <c r="A635" t="s">
        <v>4460</v>
      </c>
      <c r="B635" t="s">
        <v>4461</v>
      </c>
      <c r="C635" t="s">
        <v>49</v>
      </c>
      <c r="D635">
        <v>170.91000000000003</v>
      </c>
    </row>
    <row r="636" spans="1:4" x14ac:dyDescent="0.25">
      <c r="A636" t="s">
        <v>4464</v>
      </c>
      <c r="B636" t="s">
        <v>4465</v>
      </c>
      <c r="C636" t="s">
        <v>49</v>
      </c>
      <c r="D636">
        <v>5.26</v>
      </c>
    </row>
    <row r="637" spans="1:4" x14ac:dyDescent="0.25">
      <c r="A637" t="s">
        <v>4466</v>
      </c>
      <c r="B637" t="s">
        <v>4467</v>
      </c>
      <c r="C637" t="s">
        <v>49</v>
      </c>
      <c r="D637">
        <v>1.91</v>
      </c>
    </row>
    <row r="638" spans="1:4" x14ac:dyDescent="0.25">
      <c r="A638" t="s">
        <v>4523</v>
      </c>
      <c r="B638" t="s">
        <v>4524</v>
      </c>
      <c r="C638" t="s">
        <v>49</v>
      </c>
      <c r="D638">
        <v>47.9</v>
      </c>
    </row>
    <row r="639" spans="1:4" x14ac:dyDescent="0.25">
      <c r="A639" t="s">
        <v>4526</v>
      </c>
      <c r="B639" t="s">
        <v>4527</v>
      </c>
      <c r="C639" t="s">
        <v>49</v>
      </c>
      <c r="D639">
        <v>51.43</v>
      </c>
    </row>
    <row r="640" spans="1:4" x14ac:dyDescent="0.25">
      <c r="A640" t="s">
        <v>4529</v>
      </c>
      <c r="B640" t="s">
        <v>4530</v>
      </c>
      <c r="C640" t="s">
        <v>49</v>
      </c>
      <c r="D640">
        <v>59.79</v>
      </c>
    </row>
    <row r="641" spans="1:4" x14ac:dyDescent="0.25">
      <c r="A641" t="s">
        <v>4532</v>
      </c>
      <c r="B641" t="s">
        <v>4533</v>
      </c>
      <c r="C641" t="s">
        <v>49</v>
      </c>
      <c r="D641">
        <v>75.17</v>
      </c>
    </row>
    <row r="642" spans="1:4" x14ac:dyDescent="0.25">
      <c r="A642" t="s">
        <v>4535</v>
      </c>
      <c r="B642" t="s">
        <v>4536</v>
      </c>
      <c r="C642" t="s">
        <v>49</v>
      </c>
      <c r="D642">
        <v>75.16</v>
      </c>
    </row>
    <row r="643" spans="1:4" x14ac:dyDescent="0.25">
      <c r="A643" t="s">
        <v>4538</v>
      </c>
      <c r="B643" t="s">
        <v>4539</v>
      </c>
      <c r="C643" t="s">
        <v>49</v>
      </c>
      <c r="D643">
        <v>75.17</v>
      </c>
    </row>
    <row r="644" spans="1:4" x14ac:dyDescent="0.25">
      <c r="A644" t="s">
        <v>4540</v>
      </c>
      <c r="B644" t="s">
        <v>4541</v>
      </c>
      <c r="C644" t="s">
        <v>49</v>
      </c>
      <c r="D644">
        <v>311.89</v>
      </c>
    </row>
    <row r="645" spans="1:4" x14ac:dyDescent="0.25">
      <c r="A645" t="s">
        <v>4544</v>
      </c>
      <c r="B645" t="s">
        <v>4545</v>
      </c>
      <c r="C645" t="s">
        <v>49</v>
      </c>
      <c r="D645">
        <v>29.4</v>
      </c>
    </row>
    <row r="646" spans="1:4" x14ac:dyDescent="0.25">
      <c r="A646" t="s">
        <v>4548</v>
      </c>
      <c r="B646" t="s">
        <v>4549</v>
      </c>
      <c r="C646" t="s">
        <v>49</v>
      </c>
      <c r="D646">
        <v>10.549999999999999</v>
      </c>
    </row>
    <row r="647" spans="1:4" x14ac:dyDescent="0.25">
      <c r="A647" t="s">
        <v>4550</v>
      </c>
      <c r="B647" t="s">
        <v>4551</v>
      </c>
      <c r="C647" t="s">
        <v>49</v>
      </c>
      <c r="D647">
        <v>2.81</v>
      </c>
    </row>
    <row r="648" spans="1:4" x14ac:dyDescent="0.25">
      <c r="A648" t="s">
        <v>4557</v>
      </c>
      <c r="B648" t="s">
        <v>4558</v>
      </c>
      <c r="C648" t="s">
        <v>49</v>
      </c>
      <c r="D648">
        <v>8.1999999999999993</v>
      </c>
    </row>
    <row r="649" spans="1:4" x14ac:dyDescent="0.25">
      <c r="A649" t="s">
        <v>4560</v>
      </c>
      <c r="B649" t="s">
        <v>4561</v>
      </c>
      <c r="C649" t="s">
        <v>49</v>
      </c>
      <c r="D649">
        <v>1.93</v>
      </c>
    </row>
    <row r="650" spans="1:4" x14ac:dyDescent="0.25">
      <c r="A650" t="s">
        <v>4562</v>
      </c>
      <c r="B650" t="s">
        <v>4563</v>
      </c>
      <c r="C650" t="s">
        <v>49</v>
      </c>
      <c r="D650">
        <v>8.2100000000000009</v>
      </c>
    </row>
    <row r="651" spans="1:4" x14ac:dyDescent="0.25">
      <c r="A651" t="s">
        <v>4564</v>
      </c>
      <c r="B651" t="s">
        <v>4565</v>
      </c>
      <c r="C651" t="s">
        <v>49</v>
      </c>
      <c r="D651">
        <v>0.70000000000000007</v>
      </c>
    </row>
    <row r="652" spans="1:4" x14ac:dyDescent="0.25">
      <c r="A652" t="s">
        <v>4567</v>
      </c>
      <c r="B652" t="s">
        <v>4568</v>
      </c>
      <c r="C652" t="s">
        <v>49</v>
      </c>
      <c r="D652">
        <v>0.70000000000000007</v>
      </c>
    </row>
    <row r="653" spans="1:4" x14ac:dyDescent="0.25">
      <c r="A653" t="s">
        <v>4570</v>
      </c>
      <c r="B653" t="s">
        <v>4571</v>
      </c>
      <c r="C653" t="s">
        <v>49</v>
      </c>
      <c r="D653">
        <v>9.9</v>
      </c>
    </row>
    <row r="654" spans="1:4" x14ac:dyDescent="0.25">
      <c r="A654" t="s">
        <v>4572</v>
      </c>
      <c r="B654" t="s">
        <v>4573</v>
      </c>
      <c r="C654" t="s">
        <v>49</v>
      </c>
      <c r="D654">
        <v>1.95</v>
      </c>
    </row>
    <row r="655" spans="1:4" x14ac:dyDescent="0.25">
      <c r="A655" t="s">
        <v>4597</v>
      </c>
      <c r="B655" t="s">
        <v>4598</v>
      </c>
      <c r="C655" t="s">
        <v>49</v>
      </c>
      <c r="D655">
        <v>131.20000000000002</v>
      </c>
    </row>
    <row r="656" spans="1:4" x14ac:dyDescent="0.25">
      <c r="A656" t="s">
        <v>4606</v>
      </c>
      <c r="B656" t="s">
        <v>4607</v>
      </c>
      <c r="C656" t="s">
        <v>49</v>
      </c>
      <c r="D656">
        <v>18.54</v>
      </c>
    </row>
    <row r="657" spans="1:4" x14ac:dyDescent="0.25">
      <c r="A657" t="s">
        <v>4612</v>
      </c>
      <c r="B657" t="s">
        <v>4613</v>
      </c>
      <c r="C657" t="s">
        <v>49</v>
      </c>
      <c r="D657">
        <v>1.2</v>
      </c>
    </row>
    <row r="658" spans="1:4" x14ac:dyDescent="0.25">
      <c r="A658" t="s">
        <v>4615</v>
      </c>
      <c r="B658" t="s">
        <v>4616</v>
      </c>
      <c r="C658" t="s">
        <v>49</v>
      </c>
      <c r="D658">
        <v>415.53999999999996</v>
      </c>
    </row>
    <row r="659" spans="1:4" x14ac:dyDescent="0.25">
      <c r="A659" t="s">
        <v>4647</v>
      </c>
      <c r="B659" t="s">
        <v>4648</v>
      </c>
      <c r="C659" t="s">
        <v>49</v>
      </c>
      <c r="D659">
        <v>86.05</v>
      </c>
    </row>
    <row r="660" spans="1:4" x14ac:dyDescent="0.25">
      <c r="A660" t="s">
        <v>4677</v>
      </c>
      <c r="B660" t="s">
        <v>4678</v>
      </c>
      <c r="C660" t="s">
        <v>49</v>
      </c>
      <c r="D660">
        <v>25.72</v>
      </c>
    </row>
    <row r="661" spans="1:4" x14ac:dyDescent="0.25">
      <c r="A661" t="s">
        <v>4709</v>
      </c>
      <c r="B661" t="s">
        <v>4710</v>
      </c>
      <c r="C661" t="s">
        <v>49</v>
      </c>
      <c r="D661">
        <v>6.33</v>
      </c>
    </row>
    <row r="662" spans="1:4" x14ac:dyDescent="0.25">
      <c r="A662" t="s">
        <v>4711</v>
      </c>
      <c r="B662" t="s">
        <v>4712</v>
      </c>
      <c r="C662" t="s">
        <v>49</v>
      </c>
      <c r="D662">
        <v>6.26</v>
      </c>
    </row>
    <row r="663" spans="1:4" x14ac:dyDescent="0.25">
      <c r="A663" t="s">
        <v>4730</v>
      </c>
      <c r="B663" t="s">
        <v>4731</v>
      </c>
      <c r="C663" t="s">
        <v>49</v>
      </c>
      <c r="D663">
        <v>46.099999999999994</v>
      </c>
    </row>
    <row r="664" spans="1:4" x14ac:dyDescent="0.25">
      <c r="A664" t="s">
        <v>4739</v>
      </c>
      <c r="B664" t="s">
        <v>4740</v>
      </c>
      <c r="C664" t="s">
        <v>49</v>
      </c>
      <c r="D664">
        <v>111.37</v>
      </c>
    </row>
    <row r="665" spans="1:4" x14ac:dyDescent="0.25">
      <c r="A665" t="s">
        <v>4747</v>
      </c>
      <c r="B665" t="s">
        <v>4748</v>
      </c>
      <c r="C665" t="s">
        <v>49</v>
      </c>
      <c r="D665">
        <v>29.81</v>
      </c>
    </row>
    <row r="666" spans="1:4" x14ac:dyDescent="0.25">
      <c r="A666" t="s">
        <v>4753</v>
      </c>
      <c r="B666" t="s">
        <v>4754</v>
      </c>
      <c r="C666" t="s">
        <v>49</v>
      </c>
      <c r="D666">
        <v>4</v>
      </c>
    </row>
    <row r="667" spans="1:4" x14ac:dyDescent="0.25">
      <c r="A667" t="s">
        <v>4757</v>
      </c>
      <c r="B667" t="s">
        <v>4758</v>
      </c>
      <c r="C667" t="s">
        <v>49</v>
      </c>
      <c r="D667">
        <v>3.5</v>
      </c>
    </row>
    <row r="668" spans="1:4" x14ac:dyDescent="0.25">
      <c r="A668" t="s">
        <v>4760</v>
      </c>
      <c r="B668" t="s">
        <v>4761</v>
      </c>
      <c r="C668" t="s">
        <v>49</v>
      </c>
      <c r="D668">
        <v>108.58</v>
      </c>
    </row>
    <row r="669" spans="1:4" x14ac:dyDescent="0.25">
      <c r="A669" t="s">
        <v>4762</v>
      </c>
      <c r="B669" t="s">
        <v>4763</v>
      </c>
      <c r="C669" t="s">
        <v>49</v>
      </c>
      <c r="D669">
        <v>51.9</v>
      </c>
    </row>
    <row r="670" spans="1:4" x14ac:dyDescent="0.25">
      <c r="A670" t="s">
        <v>4765</v>
      </c>
      <c r="B670" t="s">
        <v>4766</v>
      </c>
      <c r="C670" t="s">
        <v>49</v>
      </c>
      <c r="D670">
        <v>44.95</v>
      </c>
    </row>
    <row r="671" spans="1:4" x14ac:dyDescent="0.25">
      <c r="A671" t="s">
        <v>4770</v>
      </c>
      <c r="B671" t="s">
        <v>4771</v>
      </c>
      <c r="C671" t="s">
        <v>49</v>
      </c>
      <c r="D671">
        <v>43.8</v>
      </c>
    </row>
    <row r="672" spans="1:4" x14ac:dyDescent="0.25">
      <c r="A672" t="s">
        <v>4774</v>
      </c>
      <c r="B672" t="s">
        <v>4775</v>
      </c>
      <c r="C672" t="s">
        <v>49</v>
      </c>
      <c r="D672">
        <v>7.65</v>
      </c>
    </row>
    <row r="673" spans="1:4" x14ac:dyDescent="0.25">
      <c r="A673" t="s">
        <v>4777</v>
      </c>
      <c r="B673" t="s">
        <v>4778</v>
      </c>
      <c r="C673" t="s">
        <v>49</v>
      </c>
      <c r="D673">
        <v>10.399999999999999</v>
      </c>
    </row>
    <row r="674" spans="1:4" x14ac:dyDescent="0.25">
      <c r="A674" t="s">
        <v>4780</v>
      </c>
      <c r="B674" t="s">
        <v>4781</v>
      </c>
      <c r="C674" t="s">
        <v>49</v>
      </c>
      <c r="D674">
        <v>46.05</v>
      </c>
    </row>
    <row r="675" spans="1:4" x14ac:dyDescent="0.25">
      <c r="A675" t="s">
        <v>4799</v>
      </c>
      <c r="B675" t="s">
        <v>4800</v>
      </c>
      <c r="C675" t="s">
        <v>49</v>
      </c>
      <c r="D675">
        <v>15.280000000000001</v>
      </c>
    </row>
    <row r="676" spans="1:4" x14ac:dyDescent="0.25">
      <c r="A676" t="s">
        <v>4810</v>
      </c>
      <c r="B676" t="s">
        <v>4811</v>
      </c>
      <c r="C676" t="s">
        <v>49</v>
      </c>
      <c r="D676">
        <v>0.6</v>
      </c>
    </row>
    <row r="677" spans="1:4" x14ac:dyDescent="0.25">
      <c r="A677" t="s">
        <v>4814</v>
      </c>
      <c r="B677" t="s">
        <v>4815</v>
      </c>
      <c r="C677" t="s">
        <v>49</v>
      </c>
      <c r="D677">
        <v>0.6</v>
      </c>
    </row>
    <row r="678" spans="1:4" x14ac:dyDescent="0.25">
      <c r="A678" t="s">
        <v>4817</v>
      </c>
      <c r="B678" t="s">
        <v>4818</v>
      </c>
      <c r="C678" t="s">
        <v>49</v>
      </c>
      <c r="D678">
        <v>34.24</v>
      </c>
    </row>
    <row r="679" spans="1:4" x14ac:dyDescent="0.25">
      <c r="A679" t="s">
        <v>4845</v>
      </c>
      <c r="B679" t="s">
        <v>4846</v>
      </c>
      <c r="C679" t="s">
        <v>49</v>
      </c>
      <c r="D679">
        <v>4.9499999999999993</v>
      </c>
    </row>
    <row r="680" spans="1:4" x14ac:dyDescent="0.25">
      <c r="A680" t="s">
        <v>4847</v>
      </c>
      <c r="B680" t="s">
        <v>4848</v>
      </c>
      <c r="C680" t="s">
        <v>49</v>
      </c>
      <c r="D680">
        <v>4.37</v>
      </c>
    </row>
    <row r="681" spans="1:4" x14ac:dyDescent="0.25">
      <c r="A681" t="s">
        <v>4851</v>
      </c>
      <c r="B681" t="s">
        <v>4852</v>
      </c>
      <c r="C681" t="s">
        <v>49</v>
      </c>
      <c r="D681">
        <v>4.83</v>
      </c>
    </row>
    <row r="682" spans="1:4" x14ac:dyDescent="0.25">
      <c r="A682" t="s">
        <v>4853</v>
      </c>
      <c r="B682" t="s">
        <v>4854</v>
      </c>
      <c r="C682" t="s">
        <v>49</v>
      </c>
      <c r="D682">
        <v>3.46</v>
      </c>
    </row>
    <row r="683" spans="1:4" x14ac:dyDescent="0.25">
      <c r="A683" t="s">
        <v>4858</v>
      </c>
      <c r="B683" t="s">
        <v>4859</v>
      </c>
      <c r="C683" t="s">
        <v>49</v>
      </c>
      <c r="D683">
        <v>9.16</v>
      </c>
    </row>
    <row r="684" spans="1:4" x14ac:dyDescent="0.25">
      <c r="A684" t="s">
        <v>4861</v>
      </c>
      <c r="B684" t="s">
        <v>4862</v>
      </c>
      <c r="C684" t="s">
        <v>49</v>
      </c>
      <c r="D684">
        <v>2.9499999999999997</v>
      </c>
    </row>
    <row r="685" spans="1:4" x14ac:dyDescent="0.25">
      <c r="A685" t="s">
        <v>4863</v>
      </c>
      <c r="B685" t="s">
        <v>4864</v>
      </c>
      <c r="C685" t="s">
        <v>49</v>
      </c>
      <c r="D685">
        <v>2.9499999999999997</v>
      </c>
    </row>
    <row r="686" spans="1:4" x14ac:dyDescent="0.25">
      <c r="A686" t="s">
        <v>4865</v>
      </c>
      <c r="B686" t="s">
        <v>4866</v>
      </c>
      <c r="C686" t="s">
        <v>49</v>
      </c>
      <c r="D686">
        <v>13.02</v>
      </c>
    </row>
    <row r="687" spans="1:4" x14ac:dyDescent="0.25">
      <c r="A687" t="s">
        <v>4868</v>
      </c>
      <c r="B687" t="s">
        <v>4869</v>
      </c>
      <c r="C687" t="s">
        <v>49</v>
      </c>
      <c r="D687">
        <v>2.9499999999999997</v>
      </c>
    </row>
    <row r="688" spans="1:4" x14ac:dyDescent="0.25">
      <c r="A688" t="s">
        <v>4870</v>
      </c>
      <c r="B688" t="s">
        <v>4871</v>
      </c>
      <c r="C688" t="s">
        <v>49</v>
      </c>
      <c r="D688">
        <v>2.9499999999999997</v>
      </c>
    </row>
    <row r="689" spans="1:4" x14ac:dyDescent="0.25">
      <c r="A689" t="s">
        <v>4872</v>
      </c>
      <c r="B689" t="s">
        <v>4873</v>
      </c>
      <c r="C689" t="s">
        <v>49</v>
      </c>
      <c r="D689">
        <v>6.85</v>
      </c>
    </row>
    <row r="690" spans="1:4" x14ac:dyDescent="0.25">
      <c r="A690" t="s">
        <v>4929</v>
      </c>
      <c r="B690" t="s">
        <v>4930</v>
      </c>
      <c r="C690" t="s">
        <v>49</v>
      </c>
      <c r="D690">
        <v>4.0199999999999996</v>
      </c>
    </row>
    <row r="691" spans="1:4" x14ac:dyDescent="0.25">
      <c r="A691" t="s">
        <v>4933</v>
      </c>
      <c r="B691" t="s">
        <v>4934</v>
      </c>
      <c r="C691" t="s">
        <v>49</v>
      </c>
      <c r="D691">
        <v>75.17</v>
      </c>
    </row>
    <row r="692" spans="1:4" x14ac:dyDescent="0.25">
      <c r="A692" t="s">
        <v>4935</v>
      </c>
      <c r="B692" t="s">
        <v>4936</v>
      </c>
      <c r="C692" t="s">
        <v>49</v>
      </c>
      <c r="D692">
        <v>3.8899999999999997</v>
      </c>
    </row>
    <row r="693" spans="1:4" x14ac:dyDescent="0.25">
      <c r="A693" t="s">
        <v>4937</v>
      </c>
      <c r="B693" t="s">
        <v>4938</v>
      </c>
      <c r="C693" t="s">
        <v>49</v>
      </c>
      <c r="D693">
        <v>51.46</v>
      </c>
    </row>
    <row r="694" spans="1:4" x14ac:dyDescent="0.25">
      <c r="A694" t="s">
        <v>4940</v>
      </c>
      <c r="B694" t="s">
        <v>4941</v>
      </c>
      <c r="C694" t="s">
        <v>49</v>
      </c>
      <c r="D694">
        <v>4.9499999999999993</v>
      </c>
    </row>
    <row r="695" spans="1:4" x14ac:dyDescent="0.25">
      <c r="A695" t="s">
        <v>4942</v>
      </c>
      <c r="B695" t="s">
        <v>4943</v>
      </c>
      <c r="C695" t="s">
        <v>49</v>
      </c>
      <c r="D695">
        <v>14.100000000000001</v>
      </c>
    </row>
    <row r="696" spans="1:4" x14ac:dyDescent="0.25">
      <c r="A696" t="s">
        <v>4945</v>
      </c>
      <c r="B696" t="s">
        <v>4946</v>
      </c>
      <c r="C696" t="s">
        <v>49</v>
      </c>
      <c r="D696">
        <v>20.2</v>
      </c>
    </row>
    <row r="697" spans="1:4" x14ac:dyDescent="0.25">
      <c r="A697" t="s">
        <v>4949</v>
      </c>
      <c r="B697" t="s">
        <v>4950</v>
      </c>
      <c r="C697" t="s">
        <v>49</v>
      </c>
      <c r="D697">
        <v>11.2</v>
      </c>
    </row>
    <row r="698" spans="1:4" x14ac:dyDescent="0.25">
      <c r="A698" t="s">
        <v>4953</v>
      </c>
      <c r="B698" t="s">
        <v>4954</v>
      </c>
      <c r="C698" t="s">
        <v>49</v>
      </c>
      <c r="D698">
        <v>3.9</v>
      </c>
    </row>
    <row r="699" spans="1:4" x14ac:dyDescent="0.25">
      <c r="A699" t="s">
        <v>4955</v>
      </c>
      <c r="B699" t="s">
        <v>4956</v>
      </c>
      <c r="C699" t="s">
        <v>49</v>
      </c>
      <c r="D699">
        <v>3</v>
      </c>
    </row>
    <row r="700" spans="1:4" x14ac:dyDescent="0.25">
      <c r="A700" t="s">
        <v>4958</v>
      </c>
      <c r="B700" t="s">
        <v>4959</v>
      </c>
      <c r="C700" t="s">
        <v>49</v>
      </c>
      <c r="D700">
        <v>11.149999999999999</v>
      </c>
    </row>
    <row r="701" spans="1:4" x14ac:dyDescent="0.25">
      <c r="A701" t="s">
        <v>4961</v>
      </c>
      <c r="B701" t="s">
        <v>4962</v>
      </c>
      <c r="C701" t="s">
        <v>49</v>
      </c>
      <c r="D701">
        <v>9.8999999999999986</v>
      </c>
    </row>
    <row r="702" spans="1:4" x14ac:dyDescent="0.25">
      <c r="A702" t="s">
        <v>4985</v>
      </c>
      <c r="B702" t="s">
        <v>4986</v>
      </c>
      <c r="C702" t="s">
        <v>49</v>
      </c>
      <c r="D702">
        <v>8.0500000000000007</v>
      </c>
    </row>
    <row r="703" spans="1:4" x14ac:dyDescent="0.25">
      <c r="A703" t="s">
        <v>4988</v>
      </c>
      <c r="B703" t="s">
        <v>4989</v>
      </c>
      <c r="C703" t="s">
        <v>49</v>
      </c>
      <c r="D703">
        <v>5.16</v>
      </c>
    </row>
    <row r="704" spans="1:4" x14ac:dyDescent="0.25">
      <c r="A704" t="s">
        <v>4990</v>
      </c>
      <c r="B704" t="s">
        <v>4991</v>
      </c>
      <c r="C704" t="s">
        <v>49</v>
      </c>
      <c r="D704">
        <v>88.63</v>
      </c>
    </row>
    <row r="705" spans="1:4" x14ac:dyDescent="0.25">
      <c r="A705" t="s">
        <v>4995</v>
      </c>
      <c r="B705" t="s">
        <v>4996</v>
      </c>
      <c r="C705" t="s">
        <v>49</v>
      </c>
      <c r="D705">
        <v>3.7199999999999998</v>
      </c>
    </row>
    <row r="706" spans="1:4" x14ac:dyDescent="0.25">
      <c r="A706" t="s">
        <v>4999</v>
      </c>
      <c r="B706" t="s">
        <v>5000</v>
      </c>
      <c r="C706" t="s">
        <v>49</v>
      </c>
      <c r="D706">
        <v>6.93</v>
      </c>
    </row>
    <row r="707" spans="1:4" x14ac:dyDescent="0.25">
      <c r="A707" t="s">
        <v>5006</v>
      </c>
      <c r="B707" t="s">
        <v>5007</v>
      </c>
      <c r="C707" t="s">
        <v>49</v>
      </c>
      <c r="D707">
        <v>2.9499999999999997</v>
      </c>
    </row>
    <row r="708" spans="1:4" x14ac:dyDescent="0.25">
      <c r="A708" t="s">
        <v>5010</v>
      </c>
      <c r="B708" t="s">
        <v>5011</v>
      </c>
      <c r="C708" t="s">
        <v>49</v>
      </c>
      <c r="D708">
        <v>3.86</v>
      </c>
    </row>
    <row r="709" spans="1:4" x14ac:dyDescent="0.25">
      <c r="A709" t="s">
        <v>5018</v>
      </c>
      <c r="B709" t="s">
        <v>5019</v>
      </c>
      <c r="C709" t="s">
        <v>49</v>
      </c>
      <c r="D709">
        <v>3.4699999999999998</v>
      </c>
    </row>
    <row r="710" spans="1:4" x14ac:dyDescent="0.25">
      <c r="A710" t="s">
        <v>5024</v>
      </c>
      <c r="B710" t="s">
        <v>5025</v>
      </c>
      <c r="C710" t="s">
        <v>49</v>
      </c>
      <c r="D710">
        <v>4.08</v>
      </c>
    </row>
    <row r="711" spans="1:4" x14ac:dyDescent="0.25">
      <c r="A711" t="s">
        <v>5029</v>
      </c>
      <c r="B711" t="s">
        <v>5030</v>
      </c>
      <c r="C711" t="s">
        <v>49</v>
      </c>
      <c r="D711">
        <v>7.55</v>
      </c>
    </row>
    <row r="712" spans="1:4" x14ac:dyDescent="0.25">
      <c r="A712" t="s">
        <v>5032</v>
      </c>
      <c r="B712" t="s">
        <v>5033</v>
      </c>
      <c r="C712" t="s">
        <v>49</v>
      </c>
      <c r="D712">
        <v>4.03</v>
      </c>
    </row>
    <row r="713" spans="1:4" x14ac:dyDescent="0.25">
      <c r="A713" t="s">
        <v>5036</v>
      </c>
      <c r="B713" t="s">
        <v>5037</v>
      </c>
      <c r="C713" t="s">
        <v>49</v>
      </c>
      <c r="D713">
        <v>4.5199999999999996</v>
      </c>
    </row>
    <row r="714" spans="1:4" x14ac:dyDescent="0.25">
      <c r="A714" t="s">
        <v>5039</v>
      </c>
      <c r="B714" t="s">
        <v>5040</v>
      </c>
      <c r="C714" t="s">
        <v>49</v>
      </c>
      <c r="D714">
        <v>12.3</v>
      </c>
    </row>
    <row r="715" spans="1:4" x14ac:dyDescent="0.25">
      <c r="A715" t="s">
        <v>5045</v>
      </c>
      <c r="B715" t="s">
        <v>5046</v>
      </c>
      <c r="C715" t="s">
        <v>49</v>
      </c>
      <c r="D715">
        <v>5.0999999999999996</v>
      </c>
    </row>
    <row r="716" spans="1:4" x14ac:dyDescent="0.25">
      <c r="A716" t="s">
        <v>5049</v>
      </c>
      <c r="B716" t="s">
        <v>5050</v>
      </c>
      <c r="C716" t="s">
        <v>49</v>
      </c>
      <c r="D716">
        <v>4.8999999999999995</v>
      </c>
    </row>
    <row r="717" spans="1:4" x14ac:dyDescent="0.25">
      <c r="A717" t="s">
        <v>5051</v>
      </c>
      <c r="B717" t="s">
        <v>5052</v>
      </c>
      <c r="C717" t="s">
        <v>49</v>
      </c>
      <c r="D717">
        <v>7.4</v>
      </c>
    </row>
    <row r="718" spans="1:4" x14ac:dyDescent="0.25">
      <c r="A718" t="s">
        <v>5054</v>
      </c>
      <c r="B718" t="s">
        <v>5055</v>
      </c>
      <c r="C718" t="s">
        <v>49</v>
      </c>
      <c r="D718">
        <v>12</v>
      </c>
    </row>
    <row r="719" spans="1:4" x14ac:dyDescent="0.25">
      <c r="A719" t="s">
        <v>5060</v>
      </c>
      <c r="B719" t="s">
        <v>5061</v>
      </c>
      <c r="C719" t="s">
        <v>49</v>
      </c>
      <c r="D719">
        <v>21</v>
      </c>
    </row>
    <row r="720" spans="1:4" x14ac:dyDescent="0.25">
      <c r="A720" t="s">
        <v>5065</v>
      </c>
      <c r="B720" t="s">
        <v>5066</v>
      </c>
      <c r="C720" t="s">
        <v>49</v>
      </c>
      <c r="D720">
        <v>7</v>
      </c>
    </row>
    <row r="721" spans="1:4" x14ac:dyDescent="0.25">
      <c r="A721" t="s">
        <v>5070</v>
      </c>
      <c r="B721" t="s">
        <v>5071</v>
      </c>
      <c r="C721" t="s">
        <v>49</v>
      </c>
      <c r="D721">
        <v>15</v>
      </c>
    </row>
    <row r="722" spans="1:4" x14ac:dyDescent="0.25">
      <c r="A722" t="s">
        <v>5075</v>
      </c>
      <c r="B722" t="s">
        <v>5076</v>
      </c>
      <c r="C722" t="s">
        <v>49</v>
      </c>
      <c r="D722">
        <v>9.7999999999999989</v>
      </c>
    </row>
    <row r="723" spans="1:4" x14ac:dyDescent="0.25">
      <c r="A723" t="s">
        <v>5078</v>
      </c>
      <c r="B723" t="s">
        <v>5079</v>
      </c>
      <c r="C723" t="s">
        <v>49</v>
      </c>
      <c r="D723">
        <v>18.7</v>
      </c>
    </row>
    <row r="724" spans="1:4" x14ac:dyDescent="0.25">
      <c r="A724" t="s">
        <v>5083</v>
      </c>
      <c r="B724" t="s">
        <v>5084</v>
      </c>
      <c r="C724" t="s">
        <v>49</v>
      </c>
      <c r="D724">
        <v>5</v>
      </c>
    </row>
    <row r="725" spans="1:4" x14ac:dyDescent="0.25">
      <c r="A725" t="s">
        <v>5086</v>
      </c>
      <c r="B725" t="s">
        <v>5087</v>
      </c>
      <c r="C725" t="s">
        <v>49</v>
      </c>
      <c r="D725">
        <v>4.45</v>
      </c>
    </row>
    <row r="726" spans="1:4" x14ac:dyDescent="0.25">
      <c r="A726" t="s">
        <v>5088</v>
      </c>
      <c r="B726" t="s">
        <v>5089</v>
      </c>
      <c r="C726" t="s">
        <v>49</v>
      </c>
      <c r="D726">
        <v>4.0999999999999996</v>
      </c>
    </row>
    <row r="727" spans="1:4" x14ac:dyDescent="0.25">
      <c r="A727" t="s">
        <v>5092</v>
      </c>
      <c r="B727" t="s">
        <v>5093</v>
      </c>
      <c r="C727" t="s">
        <v>49</v>
      </c>
      <c r="D727">
        <v>5.72</v>
      </c>
    </row>
    <row r="728" spans="1:4" x14ac:dyDescent="0.25">
      <c r="A728" t="s">
        <v>5100</v>
      </c>
      <c r="B728" t="s">
        <v>5101</v>
      </c>
      <c r="C728" t="s">
        <v>49</v>
      </c>
      <c r="D728">
        <v>5.3999999999999995</v>
      </c>
    </row>
    <row r="729" spans="1:4" x14ac:dyDescent="0.25">
      <c r="A729" t="s">
        <v>5105</v>
      </c>
      <c r="B729" t="s">
        <v>5106</v>
      </c>
      <c r="C729" t="s">
        <v>49</v>
      </c>
      <c r="D729">
        <v>7.9</v>
      </c>
    </row>
    <row r="730" spans="1:4" x14ac:dyDescent="0.25">
      <c r="A730" t="s">
        <v>5108</v>
      </c>
      <c r="B730" t="s">
        <v>5109</v>
      </c>
      <c r="C730" t="s">
        <v>49</v>
      </c>
      <c r="D730">
        <v>7.9</v>
      </c>
    </row>
    <row r="731" spans="1:4" x14ac:dyDescent="0.25">
      <c r="A731" t="s">
        <v>5110</v>
      </c>
      <c r="B731" t="s">
        <v>5111</v>
      </c>
      <c r="C731" t="s">
        <v>49</v>
      </c>
      <c r="D731">
        <v>3.2</v>
      </c>
    </row>
    <row r="732" spans="1:4" x14ac:dyDescent="0.25">
      <c r="A732" t="s">
        <v>5114</v>
      </c>
      <c r="B732" t="s">
        <v>5115</v>
      </c>
      <c r="C732" t="s">
        <v>49</v>
      </c>
      <c r="D732">
        <v>5.9499999999999993</v>
      </c>
    </row>
    <row r="733" spans="1:4" x14ac:dyDescent="0.25">
      <c r="A733" t="s">
        <v>5117</v>
      </c>
      <c r="B733" t="s">
        <v>5118</v>
      </c>
      <c r="C733" t="s">
        <v>49</v>
      </c>
      <c r="D733">
        <v>6.3999999999999995</v>
      </c>
    </row>
    <row r="734" spans="1:4" x14ac:dyDescent="0.25">
      <c r="A734" t="s">
        <v>5120</v>
      </c>
      <c r="B734" t="s">
        <v>5121</v>
      </c>
      <c r="C734" t="s">
        <v>49</v>
      </c>
      <c r="D734">
        <v>2.13</v>
      </c>
    </row>
    <row r="735" spans="1:4" x14ac:dyDescent="0.25">
      <c r="A735" t="s">
        <v>5125</v>
      </c>
      <c r="B735" t="s">
        <v>5126</v>
      </c>
      <c r="C735" t="s">
        <v>49</v>
      </c>
      <c r="D735">
        <v>12.129999999999999</v>
      </c>
    </row>
    <row r="736" spans="1:4" x14ac:dyDescent="0.25">
      <c r="A736" t="s">
        <v>5128</v>
      </c>
      <c r="B736" t="s">
        <v>5129</v>
      </c>
      <c r="C736" t="s">
        <v>49</v>
      </c>
      <c r="D736">
        <v>23.79</v>
      </c>
    </row>
    <row r="737" spans="1:4" x14ac:dyDescent="0.25">
      <c r="A737" t="s">
        <v>5132</v>
      </c>
      <c r="B737" t="s">
        <v>5133</v>
      </c>
      <c r="C737" t="s">
        <v>49</v>
      </c>
      <c r="D737">
        <v>3.5500000000000003</v>
      </c>
    </row>
    <row r="738" spans="1:4" x14ac:dyDescent="0.25">
      <c r="A738" t="s">
        <v>5134</v>
      </c>
      <c r="B738" t="s">
        <v>5135</v>
      </c>
      <c r="C738" t="s">
        <v>49</v>
      </c>
      <c r="D738">
        <v>13.18</v>
      </c>
    </row>
    <row r="739" spans="1:4" x14ac:dyDescent="0.25">
      <c r="A739" t="s">
        <v>5138</v>
      </c>
      <c r="B739" t="s">
        <v>5139</v>
      </c>
      <c r="C739" t="s">
        <v>49</v>
      </c>
      <c r="D739">
        <v>11.43</v>
      </c>
    </row>
    <row r="740" spans="1:4" x14ac:dyDescent="0.25">
      <c r="A740" t="s">
        <v>5141</v>
      </c>
      <c r="B740" t="s">
        <v>5142</v>
      </c>
      <c r="C740" t="s">
        <v>49</v>
      </c>
      <c r="D740">
        <v>17.73</v>
      </c>
    </row>
    <row r="741" spans="1:4" x14ac:dyDescent="0.25">
      <c r="A741" t="s">
        <v>5145</v>
      </c>
      <c r="B741" t="s">
        <v>5146</v>
      </c>
      <c r="C741" t="s">
        <v>49</v>
      </c>
      <c r="D741">
        <v>10.76</v>
      </c>
    </row>
    <row r="742" spans="1:4" x14ac:dyDescent="0.25">
      <c r="A742" t="s">
        <v>5149</v>
      </c>
      <c r="B742" t="s">
        <v>5150</v>
      </c>
      <c r="C742" t="s">
        <v>49</v>
      </c>
      <c r="D742">
        <v>20.45</v>
      </c>
    </row>
    <row r="743" spans="1:4" x14ac:dyDescent="0.25">
      <c r="A743" t="s">
        <v>5153</v>
      </c>
      <c r="B743" t="s">
        <v>5154</v>
      </c>
      <c r="C743" t="s">
        <v>49</v>
      </c>
      <c r="D743">
        <v>15.45</v>
      </c>
    </row>
    <row r="744" spans="1:4" x14ac:dyDescent="0.25">
      <c r="A744" t="s">
        <v>5155</v>
      </c>
      <c r="B744" t="s">
        <v>5156</v>
      </c>
      <c r="C744" t="s">
        <v>49</v>
      </c>
      <c r="D744">
        <v>24.270000000000003</v>
      </c>
    </row>
    <row r="745" spans="1:4" x14ac:dyDescent="0.25">
      <c r="A745" t="s">
        <v>5157</v>
      </c>
      <c r="B745" t="s">
        <v>5158</v>
      </c>
      <c r="C745" t="s">
        <v>49</v>
      </c>
      <c r="D745">
        <v>10.09</v>
      </c>
    </row>
    <row r="746" spans="1:4" x14ac:dyDescent="0.25">
      <c r="A746" t="s">
        <v>5162</v>
      </c>
      <c r="B746" t="s">
        <v>5163</v>
      </c>
      <c r="C746" t="s">
        <v>49</v>
      </c>
      <c r="D746">
        <v>19.009999999999998</v>
      </c>
    </row>
    <row r="747" spans="1:4" x14ac:dyDescent="0.25">
      <c r="A747" t="s">
        <v>5166</v>
      </c>
      <c r="B747" t="s">
        <v>5167</v>
      </c>
      <c r="C747" t="s">
        <v>49</v>
      </c>
      <c r="D747">
        <v>4.82</v>
      </c>
    </row>
    <row r="748" spans="1:4" x14ac:dyDescent="0.25">
      <c r="A748" t="s">
        <v>5169</v>
      </c>
      <c r="B748" t="s">
        <v>5170</v>
      </c>
      <c r="C748" t="s">
        <v>49</v>
      </c>
      <c r="D748">
        <v>2.71</v>
      </c>
    </row>
    <row r="749" spans="1:4" x14ac:dyDescent="0.25">
      <c r="A749" t="s">
        <v>5174</v>
      </c>
      <c r="B749" t="s">
        <v>5175</v>
      </c>
      <c r="C749" t="s">
        <v>49</v>
      </c>
      <c r="D749">
        <v>10.71</v>
      </c>
    </row>
    <row r="750" spans="1:4" x14ac:dyDescent="0.25">
      <c r="A750" t="s">
        <v>5178</v>
      </c>
      <c r="B750" t="s">
        <v>5179</v>
      </c>
      <c r="C750" t="s">
        <v>49</v>
      </c>
      <c r="D750">
        <v>7.9799999999999995</v>
      </c>
    </row>
    <row r="751" spans="1:4" x14ac:dyDescent="0.25">
      <c r="A751" t="s">
        <v>5180</v>
      </c>
      <c r="B751" t="s">
        <v>5181</v>
      </c>
      <c r="C751" t="s">
        <v>49</v>
      </c>
      <c r="D751">
        <v>14.600000000000001</v>
      </c>
    </row>
    <row r="752" spans="1:4" x14ac:dyDescent="0.25">
      <c r="A752" t="s">
        <v>5182</v>
      </c>
      <c r="B752" t="s">
        <v>5183</v>
      </c>
      <c r="C752" t="s">
        <v>49</v>
      </c>
      <c r="D752">
        <v>7.23</v>
      </c>
    </row>
    <row r="753" spans="1:4" x14ac:dyDescent="0.25">
      <c r="A753" t="s">
        <v>5186</v>
      </c>
      <c r="B753" t="s">
        <v>5187</v>
      </c>
      <c r="C753" t="s">
        <v>49</v>
      </c>
      <c r="D753">
        <v>2.99</v>
      </c>
    </row>
    <row r="754" spans="1:4" x14ac:dyDescent="0.25">
      <c r="A754" t="s">
        <v>5226</v>
      </c>
      <c r="B754" t="s">
        <v>5227</v>
      </c>
      <c r="C754" t="s">
        <v>49</v>
      </c>
      <c r="D754">
        <v>207.9</v>
      </c>
    </row>
    <row r="755" spans="1:4" x14ac:dyDescent="0.25">
      <c r="A755" t="s">
        <v>5229</v>
      </c>
      <c r="B755" t="s">
        <v>5230</v>
      </c>
      <c r="C755" t="s">
        <v>49</v>
      </c>
      <c r="D755">
        <v>163.38999999999999</v>
      </c>
    </row>
    <row r="756" spans="1:4" x14ac:dyDescent="0.25">
      <c r="A756" t="s">
        <v>5233</v>
      </c>
      <c r="B756" t="s">
        <v>5234</v>
      </c>
      <c r="C756" t="s">
        <v>49</v>
      </c>
      <c r="D756">
        <v>224.37</v>
      </c>
    </row>
    <row r="757" spans="1:4" x14ac:dyDescent="0.25">
      <c r="A757" t="s">
        <v>5236</v>
      </c>
      <c r="B757" t="s">
        <v>5237</v>
      </c>
      <c r="C757" t="s">
        <v>49</v>
      </c>
      <c r="D757">
        <v>15.04</v>
      </c>
    </row>
    <row r="758" spans="1:4" x14ac:dyDescent="0.25">
      <c r="A758" t="s">
        <v>5241</v>
      </c>
      <c r="B758" t="s">
        <v>5242</v>
      </c>
      <c r="C758" t="s">
        <v>49</v>
      </c>
      <c r="D758">
        <v>341.75</v>
      </c>
    </row>
    <row r="759" spans="1:4" x14ac:dyDescent="0.25">
      <c r="A759" t="s">
        <v>5245</v>
      </c>
      <c r="B759" t="s">
        <v>5246</v>
      </c>
      <c r="C759" t="s">
        <v>49</v>
      </c>
      <c r="D759">
        <v>329.64</v>
      </c>
    </row>
    <row r="760" spans="1:4" x14ac:dyDescent="0.25">
      <c r="A760" t="s">
        <v>5249</v>
      </c>
      <c r="B760" t="s">
        <v>5250</v>
      </c>
      <c r="C760" t="s">
        <v>49</v>
      </c>
      <c r="D760">
        <v>339.56</v>
      </c>
    </row>
    <row r="761" spans="1:4" x14ac:dyDescent="0.25">
      <c r="A761" t="s">
        <v>5251</v>
      </c>
      <c r="B761" t="s">
        <v>5252</v>
      </c>
      <c r="C761" t="s">
        <v>49</v>
      </c>
      <c r="D761">
        <v>68.69</v>
      </c>
    </row>
    <row r="762" spans="1:4" x14ac:dyDescent="0.25">
      <c r="A762" t="s">
        <v>5277</v>
      </c>
      <c r="B762" t="s">
        <v>5278</v>
      </c>
      <c r="C762" t="s">
        <v>49</v>
      </c>
      <c r="D762">
        <v>62.21</v>
      </c>
    </row>
    <row r="763" spans="1:4" x14ac:dyDescent="0.25">
      <c r="A763" t="s">
        <v>5281</v>
      </c>
      <c r="B763" t="s">
        <v>5282</v>
      </c>
      <c r="C763" t="s">
        <v>49</v>
      </c>
      <c r="D763">
        <v>1044.18</v>
      </c>
    </row>
    <row r="764" spans="1:4" x14ac:dyDescent="0.25">
      <c r="A764" t="s">
        <v>5308</v>
      </c>
      <c r="B764" t="s">
        <v>5309</v>
      </c>
      <c r="C764" t="s">
        <v>49</v>
      </c>
      <c r="D764">
        <v>72.42</v>
      </c>
    </row>
    <row r="765" spans="1:4" x14ac:dyDescent="0.25">
      <c r="A765" t="s">
        <v>5311</v>
      </c>
      <c r="B765" t="s">
        <v>5312</v>
      </c>
      <c r="C765" t="s">
        <v>49</v>
      </c>
      <c r="D765">
        <v>313.22999999999996</v>
      </c>
    </row>
    <row r="766" spans="1:4" x14ac:dyDescent="0.25">
      <c r="A766" t="s">
        <v>5390</v>
      </c>
      <c r="B766" t="s">
        <v>5391</v>
      </c>
      <c r="C766" t="s">
        <v>49</v>
      </c>
      <c r="D766">
        <v>1990.35</v>
      </c>
    </row>
    <row r="767" spans="1:4" x14ac:dyDescent="0.25">
      <c r="A767" t="s">
        <v>5417</v>
      </c>
      <c r="B767" t="s">
        <v>5418</v>
      </c>
      <c r="C767" t="s">
        <v>49</v>
      </c>
      <c r="D767">
        <v>7.18</v>
      </c>
    </row>
    <row r="768" spans="1:4" x14ac:dyDescent="0.25">
      <c r="A768" t="s">
        <v>5420</v>
      </c>
      <c r="B768" t="s">
        <v>5421</v>
      </c>
      <c r="C768" t="s">
        <v>49</v>
      </c>
      <c r="D768">
        <v>23.25</v>
      </c>
    </row>
    <row r="769" spans="1:4" x14ac:dyDescent="0.25">
      <c r="A769" t="s">
        <v>5423</v>
      </c>
      <c r="B769" t="s">
        <v>5424</v>
      </c>
      <c r="C769" t="s">
        <v>49</v>
      </c>
      <c r="D769">
        <v>21.520000000000003</v>
      </c>
    </row>
    <row r="770" spans="1:4" x14ac:dyDescent="0.25">
      <c r="A770" t="s">
        <v>5427</v>
      </c>
      <c r="B770" t="s">
        <v>5428</v>
      </c>
      <c r="C770" t="s">
        <v>49</v>
      </c>
      <c r="D770">
        <v>41.41</v>
      </c>
    </row>
    <row r="771" spans="1:4" x14ac:dyDescent="0.25">
      <c r="A771" t="s">
        <v>5433</v>
      </c>
      <c r="B771" t="s">
        <v>5434</v>
      </c>
      <c r="C771" t="s">
        <v>49</v>
      </c>
      <c r="D771">
        <v>41.04</v>
      </c>
    </row>
    <row r="772" spans="1:4" x14ac:dyDescent="0.25">
      <c r="A772" t="s">
        <v>5437</v>
      </c>
      <c r="B772" t="s">
        <v>5438</v>
      </c>
      <c r="C772" t="s">
        <v>49</v>
      </c>
      <c r="D772">
        <v>27.339999999999996</v>
      </c>
    </row>
    <row r="773" spans="1:4" x14ac:dyDescent="0.25">
      <c r="A773" t="s">
        <v>5441</v>
      </c>
      <c r="B773" t="s">
        <v>5442</v>
      </c>
      <c r="C773" t="s">
        <v>49</v>
      </c>
      <c r="D773">
        <v>19.7</v>
      </c>
    </row>
    <row r="774" spans="1:4" x14ac:dyDescent="0.25">
      <c r="A774" t="s">
        <v>5445</v>
      </c>
      <c r="B774" t="s">
        <v>5446</v>
      </c>
      <c r="C774" t="s">
        <v>49</v>
      </c>
      <c r="D774">
        <v>26.9</v>
      </c>
    </row>
    <row r="775" spans="1:4" x14ac:dyDescent="0.25">
      <c r="A775" t="s">
        <v>5447</v>
      </c>
      <c r="B775" t="s">
        <v>5448</v>
      </c>
      <c r="C775" t="s">
        <v>49</v>
      </c>
      <c r="D775">
        <v>33.74</v>
      </c>
    </row>
    <row r="776" spans="1:4" x14ac:dyDescent="0.25">
      <c r="A776" t="s">
        <v>5452</v>
      </c>
      <c r="B776" t="s">
        <v>5453</v>
      </c>
      <c r="C776" t="s">
        <v>49</v>
      </c>
      <c r="D776">
        <v>6.1999999999999993</v>
      </c>
    </row>
    <row r="777" spans="1:4" x14ac:dyDescent="0.25">
      <c r="A777" t="s">
        <v>5455</v>
      </c>
      <c r="B777" t="s">
        <v>5456</v>
      </c>
      <c r="C777" t="s">
        <v>49</v>
      </c>
      <c r="D777">
        <v>37.82</v>
      </c>
    </row>
    <row r="778" spans="1:4" x14ac:dyDescent="0.25">
      <c r="A778" t="s">
        <v>5457</v>
      </c>
      <c r="B778" t="s">
        <v>5458</v>
      </c>
      <c r="C778" t="s">
        <v>49</v>
      </c>
      <c r="D778">
        <v>27.32</v>
      </c>
    </row>
    <row r="779" spans="1:4" x14ac:dyDescent="0.25">
      <c r="A779" t="s">
        <v>5461</v>
      </c>
      <c r="B779" t="s">
        <v>5462</v>
      </c>
      <c r="C779" t="s">
        <v>49</v>
      </c>
      <c r="D779">
        <v>106.5</v>
      </c>
    </row>
    <row r="780" spans="1:4" x14ac:dyDescent="0.25">
      <c r="A780" t="s">
        <v>5464</v>
      </c>
      <c r="B780" t="s">
        <v>5465</v>
      </c>
      <c r="C780" t="s">
        <v>49</v>
      </c>
      <c r="D780">
        <v>3.87</v>
      </c>
    </row>
    <row r="781" spans="1:4" x14ac:dyDescent="0.25">
      <c r="A781" t="s">
        <v>5467</v>
      </c>
      <c r="B781" t="s">
        <v>5468</v>
      </c>
      <c r="C781" t="s">
        <v>49</v>
      </c>
      <c r="D781">
        <v>5.05</v>
      </c>
    </row>
    <row r="782" spans="1:4" x14ac:dyDescent="0.25">
      <c r="A782" t="s">
        <v>5472</v>
      </c>
      <c r="B782" t="s">
        <v>5473</v>
      </c>
      <c r="C782" t="s">
        <v>49</v>
      </c>
      <c r="D782">
        <v>26.65</v>
      </c>
    </row>
    <row r="783" spans="1:4" x14ac:dyDescent="0.25">
      <c r="A783" t="s">
        <v>5476</v>
      </c>
      <c r="B783" t="s">
        <v>5477</v>
      </c>
      <c r="C783" t="s">
        <v>49</v>
      </c>
      <c r="D783">
        <v>6.0699999999999994</v>
      </c>
    </row>
    <row r="784" spans="1:4" x14ac:dyDescent="0.25">
      <c r="A784" t="s">
        <v>5482</v>
      </c>
      <c r="B784" t="s">
        <v>5483</v>
      </c>
      <c r="C784" t="s">
        <v>49</v>
      </c>
      <c r="D784">
        <v>1880.33</v>
      </c>
    </row>
    <row r="785" spans="1:4" x14ac:dyDescent="0.25">
      <c r="A785" t="s">
        <v>5485</v>
      </c>
      <c r="B785" t="s">
        <v>5486</v>
      </c>
      <c r="C785" t="s">
        <v>49</v>
      </c>
      <c r="D785">
        <v>316.07</v>
      </c>
    </row>
    <row r="786" spans="1:4" x14ac:dyDescent="0.25">
      <c r="A786" t="s">
        <v>5490</v>
      </c>
      <c r="B786" t="s">
        <v>5491</v>
      </c>
      <c r="C786" t="s">
        <v>49</v>
      </c>
      <c r="D786">
        <v>311.25</v>
      </c>
    </row>
    <row r="787" spans="1:4" x14ac:dyDescent="0.25">
      <c r="A787" t="s">
        <v>5494</v>
      </c>
      <c r="B787" t="s">
        <v>5495</v>
      </c>
      <c r="C787" t="s">
        <v>49</v>
      </c>
      <c r="D787">
        <v>322.75</v>
      </c>
    </row>
    <row r="788" spans="1:4" x14ac:dyDescent="0.25">
      <c r="A788" t="s">
        <v>5497</v>
      </c>
      <c r="B788" t="s">
        <v>5498</v>
      </c>
      <c r="C788" t="s">
        <v>49</v>
      </c>
      <c r="D788">
        <v>68.349999999999994</v>
      </c>
    </row>
    <row r="789" spans="1:4" x14ac:dyDescent="0.25">
      <c r="A789" t="s">
        <v>5566</v>
      </c>
      <c r="B789" t="s">
        <v>5567</v>
      </c>
      <c r="C789" t="s">
        <v>49</v>
      </c>
      <c r="D789">
        <v>45.290000000000006</v>
      </c>
    </row>
    <row r="790" spans="1:4" x14ac:dyDescent="0.25">
      <c r="A790" t="s">
        <v>5569</v>
      </c>
      <c r="B790" t="s">
        <v>5570</v>
      </c>
      <c r="C790" t="s">
        <v>49</v>
      </c>
      <c r="D790">
        <v>13.59</v>
      </c>
    </row>
    <row r="791" spans="1:4" x14ac:dyDescent="0.25">
      <c r="A791" t="s">
        <v>5572</v>
      </c>
      <c r="B791" t="s">
        <v>5573</v>
      </c>
      <c r="C791" t="s">
        <v>49</v>
      </c>
      <c r="D791">
        <v>2.4099999999999997</v>
      </c>
    </row>
    <row r="792" spans="1:4" x14ac:dyDescent="0.25">
      <c r="A792" t="s">
        <v>5577</v>
      </c>
      <c r="B792" t="s">
        <v>5578</v>
      </c>
      <c r="C792" t="s">
        <v>49</v>
      </c>
      <c r="D792">
        <v>2.4099999999999997</v>
      </c>
    </row>
    <row r="793" spans="1:4" x14ac:dyDescent="0.25">
      <c r="A793" t="s">
        <v>5579</v>
      </c>
      <c r="B793" t="s">
        <v>5580</v>
      </c>
      <c r="C793" t="s">
        <v>49</v>
      </c>
      <c r="D793">
        <v>5.6400000000000006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DD7A0-0AA7-4B6C-BE37-7E6B78D73B18}">
  <sheetPr>
    <tabColor theme="7" tint="0.39997558519241921"/>
  </sheetPr>
  <dimension ref="A1:D265"/>
  <sheetViews>
    <sheetView topLeftCell="A256" workbookViewId="0">
      <selection activeCell="E271" sqref="E271"/>
    </sheetView>
  </sheetViews>
  <sheetFormatPr defaultRowHeight="15" x14ac:dyDescent="0.25"/>
  <cols>
    <col min="1" max="1" width="13.42578125" bestFit="1" customWidth="1"/>
    <col min="2" max="2" width="75.7109375" bestFit="1" customWidth="1"/>
    <col min="3" max="3" width="6.28515625" bestFit="1" customWidth="1"/>
    <col min="4" max="6" width="10.42578125" bestFit="1" customWidth="1"/>
  </cols>
  <sheetData>
    <row r="1" spans="1:4" x14ac:dyDescent="0.25">
      <c r="A1" t="s">
        <v>5609</v>
      </c>
      <c r="B1" t="s">
        <v>5618</v>
      </c>
      <c r="C1" t="s">
        <v>5616</v>
      </c>
      <c r="D1" t="s">
        <v>5613</v>
      </c>
    </row>
    <row r="2" spans="1:4" x14ac:dyDescent="0.25">
      <c r="A2" t="s">
        <v>309</v>
      </c>
      <c r="B2" t="s">
        <v>310</v>
      </c>
      <c r="C2" t="s">
        <v>49</v>
      </c>
      <c r="D2">
        <v>117</v>
      </c>
    </row>
    <row r="3" spans="1:4" x14ac:dyDescent="0.25">
      <c r="A3" t="s">
        <v>455</v>
      </c>
      <c r="B3" t="s">
        <v>456</v>
      </c>
      <c r="C3" t="s">
        <v>49</v>
      </c>
      <c r="D3">
        <v>12.2</v>
      </c>
    </row>
    <row r="4" spans="1:4" x14ac:dyDescent="0.25">
      <c r="A4" t="s">
        <v>106</v>
      </c>
      <c r="B4" t="s">
        <v>107</v>
      </c>
      <c r="C4" t="s">
        <v>49</v>
      </c>
      <c r="D4">
        <v>12.600000000000001</v>
      </c>
    </row>
    <row r="5" spans="1:4" x14ac:dyDescent="0.25">
      <c r="A5" t="s">
        <v>1121</v>
      </c>
      <c r="B5" t="s">
        <v>1122</v>
      </c>
      <c r="D5">
        <v>12.4</v>
      </c>
    </row>
    <row r="6" spans="1:4" x14ac:dyDescent="0.25">
      <c r="A6" t="s">
        <v>1126</v>
      </c>
      <c r="B6" t="s">
        <v>3194</v>
      </c>
      <c r="C6" t="s">
        <v>121</v>
      </c>
      <c r="D6">
        <v>55.8</v>
      </c>
    </row>
    <row r="7" spans="1:4" x14ac:dyDescent="0.25">
      <c r="A7" t="s">
        <v>229</v>
      </c>
      <c r="B7" t="s">
        <v>230</v>
      </c>
      <c r="C7" t="s">
        <v>49</v>
      </c>
      <c r="D7">
        <v>15.75</v>
      </c>
    </row>
    <row r="8" spans="1:4" x14ac:dyDescent="0.25">
      <c r="A8" t="s">
        <v>233</v>
      </c>
      <c r="B8" t="s">
        <v>234</v>
      </c>
      <c r="C8" t="s">
        <v>49</v>
      </c>
      <c r="D8">
        <v>25.35</v>
      </c>
    </row>
    <row r="9" spans="1:4" x14ac:dyDescent="0.25">
      <c r="A9" t="s">
        <v>1226</v>
      </c>
      <c r="B9" t="s">
        <v>1227</v>
      </c>
      <c r="C9" t="s">
        <v>49</v>
      </c>
      <c r="D9">
        <v>24.1</v>
      </c>
    </row>
    <row r="10" spans="1:4" x14ac:dyDescent="0.25">
      <c r="A10" t="s">
        <v>382</v>
      </c>
      <c r="B10" t="s">
        <v>383</v>
      </c>
      <c r="C10" t="s">
        <v>49</v>
      </c>
      <c r="D10">
        <v>21.799999999999997</v>
      </c>
    </row>
    <row r="11" spans="1:4" x14ac:dyDescent="0.25">
      <c r="A11" t="s">
        <v>1259</v>
      </c>
      <c r="B11" t="s">
        <v>1260</v>
      </c>
      <c r="C11" t="s">
        <v>121</v>
      </c>
      <c r="D11">
        <v>250.07999999999998</v>
      </c>
    </row>
    <row r="12" spans="1:4" x14ac:dyDescent="0.25">
      <c r="A12" t="s">
        <v>102</v>
      </c>
      <c r="B12" t="s">
        <v>103</v>
      </c>
      <c r="C12" t="s">
        <v>49</v>
      </c>
      <c r="D12">
        <v>10.5</v>
      </c>
    </row>
    <row r="13" spans="1:4" x14ac:dyDescent="0.25">
      <c r="A13" t="s">
        <v>265</v>
      </c>
      <c r="B13" t="s">
        <v>266</v>
      </c>
      <c r="C13" t="s">
        <v>49</v>
      </c>
      <c r="D13">
        <v>25.2</v>
      </c>
    </row>
    <row r="14" spans="1:4" x14ac:dyDescent="0.25">
      <c r="A14" t="s">
        <v>1372</v>
      </c>
      <c r="B14" t="s">
        <v>1373</v>
      </c>
      <c r="C14" t="s">
        <v>49</v>
      </c>
      <c r="D14">
        <v>208.7</v>
      </c>
    </row>
    <row r="15" spans="1:4" x14ac:dyDescent="0.25">
      <c r="A15" t="s">
        <v>352</v>
      </c>
      <c r="B15" t="s">
        <v>353</v>
      </c>
      <c r="C15" t="s">
        <v>49</v>
      </c>
      <c r="D15">
        <v>47</v>
      </c>
    </row>
    <row r="16" spans="1:4" x14ac:dyDescent="0.25">
      <c r="A16" t="s">
        <v>348</v>
      </c>
      <c r="B16" t="s">
        <v>349</v>
      </c>
      <c r="C16" t="s">
        <v>49</v>
      </c>
      <c r="D16">
        <v>29.9</v>
      </c>
    </row>
    <row r="17" spans="1:4" x14ac:dyDescent="0.25">
      <c r="A17" t="s">
        <v>85</v>
      </c>
      <c r="B17" t="s">
        <v>86</v>
      </c>
      <c r="C17" t="s">
        <v>49</v>
      </c>
      <c r="D17">
        <v>26.7</v>
      </c>
    </row>
    <row r="18" spans="1:4" x14ac:dyDescent="0.25">
      <c r="A18" t="s">
        <v>946</v>
      </c>
      <c r="B18" t="s">
        <v>947</v>
      </c>
      <c r="C18" t="s">
        <v>49</v>
      </c>
      <c r="D18">
        <v>504</v>
      </c>
    </row>
    <row r="19" spans="1:4" x14ac:dyDescent="0.25">
      <c r="A19" t="s">
        <v>942</v>
      </c>
      <c r="B19" t="s">
        <v>943</v>
      </c>
      <c r="C19" t="s">
        <v>49</v>
      </c>
      <c r="D19">
        <v>525.4</v>
      </c>
    </row>
    <row r="20" spans="1:4" x14ac:dyDescent="0.25">
      <c r="A20" t="s">
        <v>1734</v>
      </c>
      <c r="B20" t="s">
        <v>1735</v>
      </c>
      <c r="C20" t="s">
        <v>49</v>
      </c>
      <c r="D20">
        <v>12.4</v>
      </c>
    </row>
    <row r="21" spans="1:4" x14ac:dyDescent="0.25">
      <c r="A21" t="s">
        <v>94</v>
      </c>
      <c r="B21" t="s">
        <v>95</v>
      </c>
      <c r="C21" t="s">
        <v>49</v>
      </c>
      <c r="D21">
        <v>22.25</v>
      </c>
    </row>
    <row r="22" spans="1:4" x14ac:dyDescent="0.25">
      <c r="A22" t="s">
        <v>98</v>
      </c>
      <c r="B22" t="s">
        <v>99</v>
      </c>
      <c r="C22" t="s">
        <v>49</v>
      </c>
      <c r="D22">
        <v>7.3000000000000007</v>
      </c>
    </row>
    <row r="23" spans="1:4" x14ac:dyDescent="0.25">
      <c r="A23" t="s">
        <v>314</v>
      </c>
      <c r="B23" t="s">
        <v>315</v>
      </c>
      <c r="C23" t="s">
        <v>49</v>
      </c>
      <c r="D23">
        <v>57.15</v>
      </c>
    </row>
    <row r="24" spans="1:4" x14ac:dyDescent="0.25">
      <c r="A24" t="s">
        <v>221</v>
      </c>
      <c r="B24" t="s">
        <v>222</v>
      </c>
      <c r="C24" t="s">
        <v>49</v>
      </c>
      <c r="D24">
        <v>5.8000000000000007</v>
      </c>
    </row>
    <row r="25" spans="1:4" x14ac:dyDescent="0.25">
      <c r="A25" t="s">
        <v>89</v>
      </c>
      <c r="B25" t="s">
        <v>90</v>
      </c>
      <c r="C25" t="s">
        <v>49</v>
      </c>
      <c r="D25">
        <v>26</v>
      </c>
    </row>
    <row r="26" spans="1:4" x14ac:dyDescent="0.25">
      <c r="A26" t="s">
        <v>451</v>
      </c>
      <c r="B26" t="s">
        <v>452</v>
      </c>
      <c r="C26" t="s">
        <v>49</v>
      </c>
      <c r="D26">
        <v>33.799999999999997</v>
      </c>
    </row>
    <row r="27" spans="1:4" x14ac:dyDescent="0.25">
      <c r="A27" t="s">
        <v>46</v>
      </c>
      <c r="B27" t="s">
        <v>47</v>
      </c>
      <c r="C27" t="s">
        <v>49</v>
      </c>
      <c r="D27">
        <v>35.700000000000003</v>
      </c>
    </row>
    <row r="28" spans="1:4" x14ac:dyDescent="0.25">
      <c r="A28" t="s">
        <v>954</v>
      </c>
      <c r="B28" t="s">
        <v>955</v>
      </c>
      <c r="C28" t="s">
        <v>49</v>
      </c>
      <c r="D28">
        <v>8.5500000000000007</v>
      </c>
    </row>
    <row r="29" spans="1:4" x14ac:dyDescent="0.25">
      <c r="A29" t="s">
        <v>958</v>
      </c>
      <c r="B29" t="s">
        <v>959</v>
      </c>
      <c r="C29" t="s">
        <v>49</v>
      </c>
      <c r="D29">
        <v>19.25</v>
      </c>
    </row>
    <row r="30" spans="1:4" x14ac:dyDescent="0.25">
      <c r="A30" t="s">
        <v>2465</v>
      </c>
      <c r="B30" t="s">
        <v>2466</v>
      </c>
      <c r="C30" t="s">
        <v>121</v>
      </c>
      <c r="D30">
        <v>38.349999999999994</v>
      </c>
    </row>
    <row r="31" spans="1:4" x14ac:dyDescent="0.25">
      <c r="A31" t="s">
        <v>2507</v>
      </c>
      <c r="B31" t="s">
        <v>2508</v>
      </c>
      <c r="C31" t="s">
        <v>121</v>
      </c>
      <c r="D31">
        <v>45.099999999999994</v>
      </c>
    </row>
    <row r="32" spans="1:4" x14ac:dyDescent="0.25">
      <c r="A32" t="s">
        <v>2060</v>
      </c>
      <c r="B32" t="s">
        <v>2061</v>
      </c>
      <c r="C32" t="s">
        <v>49</v>
      </c>
      <c r="D32">
        <v>51.45</v>
      </c>
    </row>
    <row r="33" spans="1:4" x14ac:dyDescent="0.25">
      <c r="A33" t="s">
        <v>2064</v>
      </c>
      <c r="B33" t="s">
        <v>2065</v>
      </c>
      <c r="C33" t="s">
        <v>49</v>
      </c>
      <c r="D33">
        <v>24.9</v>
      </c>
    </row>
    <row r="34" spans="1:4" x14ac:dyDescent="0.25">
      <c r="A34" t="s">
        <v>2052</v>
      </c>
      <c r="B34" t="s">
        <v>2053</v>
      </c>
      <c r="C34" t="s">
        <v>49</v>
      </c>
      <c r="D34">
        <v>39.099999999999994</v>
      </c>
    </row>
    <row r="35" spans="1:4" x14ac:dyDescent="0.25">
      <c r="A35" t="s">
        <v>2056</v>
      </c>
      <c r="B35" t="s">
        <v>2057</v>
      </c>
      <c r="C35" t="s">
        <v>49</v>
      </c>
      <c r="D35">
        <v>13.049999999999999</v>
      </c>
    </row>
    <row r="36" spans="1:4" x14ac:dyDescent="0.25">
      <c r="A36" t="s">
        <v>950</v>
      </c>
      <c r="B36" t="s">
        <v>951</v>
      </c>
      <c r="C36" t="s">
        <v>49</v>
      </c>
      <c r="D36">
        <v>207.89999999999998</v>
      </c>
    </row>
    <row r="37" spans="1:4" x14ac:dyDescent="0.25">
      <c r="A37" t="s">
        <v>2553</v>
      </c>
      <c r="B37" t="s">
        <v>2554</v>
      </c>
      <c r="C37" t="s">
        <v>49</v>
      </c>
      <c r="D37">
        <v>2390.61</v>
      </c>
    </row>
    <row r="38" spans="1:4" x14ac:dyDescent="0.25">
      <c r="A38" t="s">
        <v>2564</v>
      </c>
      <c r="B38" t="s">
        <v>2565</v>
      </c>
      <c r="C38" t="s">
        <v>49</v>
      </c>
      <c r="D38">
        <v>7560.8</v>
      </c>
    </row>
    <row r="39" spans="1:4" x14ac:dyDescent="0.25">
      <c r="A39" t="s">
        <v>2666</v>
      </c>
      <c r="B39" t="s">
        <v>2667</v>
      </c>
      <c r="C39" t="s">
        <v>49</v>
      </c>
      <c r="D39">
        <v>212.1</v>
      </c>
    </row>
    <row r="40" spans="1:4" x14ac:dyDescent="0.25">
      <c r="A40" t="s">
        <v>1902</v>
      </c>
      <c r="B40" t="s">
        <v>1903</v>
      </c>
      <c r="C40" t="s">
        <v>49</v>
      </c>
      <c r="D40">
        <v>54.599999999999994</v>
      </c>
    </row>
    <row r="41" spans="1:4" x14ac:dyDescent="0.25">
      <c r="A41" t="s">
        <v>1876</v>
      </c>
      <c r="B41" t="s">
        <v>1877</v>
      </c>
      <c r="C41" t="s">
        <v>49</v>
      </c>
      <c r="D41">
        <v>338.32000000000005</v>
      </c>
    </row>
    <row r="42" spans="1:4" x14ac:dyDescent="0.25">
      <c r="A42" t="s">
        <v>2632</v>
      </c>
      <c r="B42" t="s">
        <v>2633</v>
      </c>
      <c r="C42" t="s">
        <v>121</v>
      </c>
      <c r="D42">
        <v>516.12</v>
      </c>
    </row>
    <row r="43" spans="1:4" x14ac:dyDescent="0.25">
      <c r="A43" t="s">
        <v>2635</v>
      </c>
      <c r="B43" t="s">
        <v>3053</v>
      </c>
      <c r="C43" t="s">
        <v>121</v>
      </c>
      <c r="D43">
        <v>353</v>
      </c>
    </row>
    <row r="44" spans="1:4" x14ac:dyDescent="0.25">
      <c r="A44" t="s">
        <v>2638</v>
      </c>
      <c r="B44" t="s">
        <v>3055</v>
      </c>
      <c r="C44" t="s">
        <v>121</v>
      </c>
      <c r="D44">
        <v>231.9</v>
      </c>
    </row>
    <row r="45" spans="1:4" x14ac:dyDescent="0.25">
      <c r="A45" t="s">
        <v>1091</v>
      </c>
      <c r="B45" t="s">
        <v>1092</v>
      </c>
      <c r="C45" t="s">
        <v>121</v>
      </c>
      <c r="D45">
        <v>61.35</v>
      </c>
    </row>
    <row r="46" spans="1:4" x14ac:dyDescent="0.25">
      <c r="A46" t="s">
        <v>3085</v>
      </c>
      <c r="B46" t="s">
        <v>3086</v>
      </c>
      <c r="C46" t="s">
        <v>49</v>
      </c>
      <c r="D46">
        <v>63</v>
      </c>
    </row>
    <row r="47" spans="1:4" x14ac:dyDescent="0.25">
      <c r="A47" t="s">
        <v>3187</v>
      </c>
      <c r="B47" t="s">
        <v>3188</v>
      </c>
      <c r="C47" t="s">
        <v>121</v>
      </c>
      <c r="D47">
        <v>72</v>
      </c>
    </row>
    <row r="48" spans="1:4" x14ac:dyDescent="0.25">
      <c r="A48" t="s">
        <v>3218</v>
      </c>
      <c r="B48" t="s">
        <v>3223</v>
      </c>
      <c r="C48" t="s">
        <v>121</v>
      </c>
      <c r="D48">
        <v>828.08</v>
      </c>
    </row>
    <row r="49" spans="1:4" x14ac:dyDescent="0.25">
      <c r="A49" t="s">
        <v>3238</v>
      </c>
      <c r="B49" t="s">
        <v>3251</v>
      </c>
      <c r="D49">
        <v>28.909999999999997</v>
      </c>
    </row>
    <row r="50" spans="1:4" x14ac:dyDescent="0.25">
      <c r="A50" t="s">
        <v>3241</v>
      </c>
      <c r="B50" t="s">
        <v>3254</v>
      </c>
      <c r="D50">
        <v>2.5999999999999996</v>
      </c>
    </row>
    <row r="51" spans="1:4" x14ac:dyDescent="0.25">
      <c r="A51" t="s">
        <v>3243</v>
      </c>
      <c r="B51" t="s">
        <v>3257</v>
      </c>
      <c r="D51">
        <v>37.980000000000004</v>
      </c>
    </row>
    <row r="52" spans="1:4" x14ac:dyDescent="0.25">
      <c r="A52" t="s">
        <v>3246</v>
      </c>
      <c r="B52" t="s">
        <v>3262</v>
      </c>
      <c r="D52">
        <v>15.4</v>
      </c>
    </row>
    <row r="53" spans="1:4" x14ac:dyDescent="0.25">
      <c r="A53" t="s">
        <v>3474</v>
      </c>
      <c r="B53" t="s">
        <v>3475</v>
      </c>
      <c r="C53" t="s">
        <v>17</v>
      </c>
      <c r="D53">
        <v>100.33</v>
      </c>
    </row>
    <row r="54" spans="1:4" x14ac:dyDescent="0.25">
      <c r="A54" t="s">
        <v>407</v>
      </c>
      <c r="B54" t="s">
        <v>408</v>
      </c>
      <c r="C54" t="s">
        <v>49</v>
      </c>
      <c r="D54">
        <v>6.25</v>
      </c>
    </row>
    <row r="55" spans="1:4" x14ac:dyDescent="0.25">
      <c r="A55" t="s">
        <v>410</v>
      </c>
      <c r="B55" t="s">
        <v>411</v>
      </c>
      <c r="C55" t="s">
        <v>49</v>
      </c>
      <c r="D55">
        <v>6.25</v>
      </c>
    </row>
    <row r="56" spans="1:4" x14ac:dyDescent="0.25">
      <c r="A56" t="s">
        <v>412</v>
      </c>
      <c r="B56" t="s">
        <v>413</v>
      </c>
      <c r="C56" t="s">
        <v>49</v>
      </c>
      <c r="D56">
        <v>42.8</v>
      </c>
    </row>
    <row r="57" spans="1:4" x14ac:dyDescent="0.25">
      <c r="A57" t="s">
        <v>415</v>
      </c>
      <c r="B57" t="s">
        <v>416</v>
      </c>
      <c r="C57" t="s">
        <v>49</v>
      </c>
      <c r="D57">
        <v>14.72</v>
      </c>
    </row>
    <row r="58" spans="1:4" x14ac:dyDescent="0.25">
      <c r="A58" t="s">
        <v>418</v>
      </c>
      <c r="B58" t="s">
        <v>419</v>
      </c>
      <c r="C58" t="s">
        <v>49</v>
      </c>
      <c r="D58">
        <v>24.68</v>
      </c>
    </row>
    <row r="59" spans="1:4" x14ac:dyDescent="0.25">
      <c r="A59" t="s">
        <v>421</v>
      </c>
      <c r="B59" t="s">
        <v>422</v>
      </c>
      <c r="C59" t="s">
        <v>49</v>
      </c>
      <c r="D59">
        <v>5.6</v>
      </c>
    </row>
    <row r="60" spans="1:4" x14ac:dyDescent="0.25">
      <c r="A60" t="s">
        <v>424</v>
      </c>
      <c r="B60" t="s">
        <v>425</v>
      </c>
      <c r="C60" t="s">
        <v>49</v>
      </c>
      <c r="D60">
        <v>196.43</v>
      </c>
    </row>
    <row r="61" spans="1:4" x14ac:dyDescent="0.25">
      <c r="A61" t="s">
        <v>3578</v>
      </c>
      <c r="B61" t="s">
        <v>3587</v>
      </c>
      <c r="D61">
        <v>3.06</v>
      </c>
    </row>
    <row r="62" spans="1:4" x14ac:dyDescent="0.25">
      <c r="A62" t="s">
        <v>3581</v>
      </c>
      <c r="B62" t="s">
        <v>3589</v>
      </c>
      <c r="D62">
        <v>20.900000000000002</v>
      </c>
    </row>
    <row r="63" spans="1:4" x14ac:dyDescent="0.25">
      <c r="A63" t="s">
        <v>3620</v>
      </c>
      <c r="B63" t="s">
        <v>3621</v>
      </c>
      <c r="C63" t="s">
        <v>121</v>
      </c>
      <c r="D63">
        <v>15.34</v>
      </c>
    </row>
    <row r="64" spans="1:4" x14ac:dyDescent="0.25">
      <c r="A64" t="s">
        <v>158</v>
      </c>
      <c r="B64" t="s">
        <v>159</v>
      </c>
      <c r="C64" t="s">
        <v>49</v>
      </c>
      <c r="D64">
        <v>8.3000000000000007</v>
      </c>
    </row>
    <row r="65" spans="1:4" x14ac:dyDescent="0.25">
      <c r="A65" t="s">
        <v>161</v>
      </c>
      <c r="B65" t="s">
        <v>162</v>
      </c>
      <c r="C65" t="s">
        <v>49</v>
      </c>
      <c r="D65">
        <v>8.3000000000000007</v>
      </c>
    </row>
    <row r="66" spans="1:4" x14ac:dyDescent="0.25">
      <c r="A66" t="s">
        <v>370</v>
      </c>
      <c r="B66" t="s">
        <v>371</v>
      </c>
      <c r="C66" t="s">
        <v>121</v>
      </c>
      <c r="D66">
        <v>188.1</v>
      </c>
    </row>
    <row r="67" spans="1:4" x14ac:dyDescent="0.25">
      <c r="A67" t="s">
        <v>373</v>
      </c>
      <c r="B67" t="s">
        <v>374</v>
      </c>
      <c r="C67" t="s">
        <v>121</v>
      </c>
      <c r="D67">
        <v>110.39999999999999</v>
      </c>
    </row>
    <row r="68" spans="1:4" x14ac:dyDescent="0.25">
      <c r="A68" t="s">
        <v>376</v>
      </c>
      <c r="B68" t="s">
        <v>377</v>
      </c>
      <c r="C68" t="s">
        <v>121</v>
      </c>
      <c r="D68">
        <v>10.35</v>
      </c>
    </row>
    <row r="69" spans="1:4" x14ac:dyDescent="0.25">
      <c r="A69" t="s">
        <v>236</v>
      </c>
      <c r="B69" t="s">
        <v>237</v>
      </c>
      <c r="C69" t="s">
        <v>49</v>
      </c>
      <c r="D69">
        <v>43.650000000000006</v>
      </c>
    </row>
    <row r="70" spans="1:4" x14ac:dyDescent="0.25">
      <c r="A70" t="s">
        <v>239</v>
      </c>
      <c r="B70" t="s">
        <v>240</v>
      </c>
      <c r="C70" t="s">
        <v>49</v>
      </c>
      <c r="D70">
        <v>22.8</v>
      </c>
    </row>
    <row r="71" spans="1:4" x14ac:dyDescent="0.25">
      <c r="A71" t="s">
        <v>1156</v>
      </c>
      <c r="B71" t="s">
        <v>1157</v>
      </c>
      <c r="C71" t="s">
        <v>121</v>
      </c>
      <c r="D71">
        <v>400</v>
      </c>
    </row>
    <row r="72" spans="1:4" x14ac:dyDescent="0.25">
      <c r="A72" t="s">
        <v>118</v>
      </c>
      <c r="B72" t="s">
        <v>119</v>
      </c>
      <c r="C72" t="s">
        <v>121</v>
      </c>
      <c r="D72">
        <v>175.45</v>
      </c>
    </row>
    <row r="73" spans="1:4" x14ac:dyDescent="0.25">
      <c r="A73" t="s">
        <v>123</v>
      </c>
      <c r="B73" t="s">
        <v>124</v>
      </c>
      <c r="C73" t="s">
        <v>121</v>
      </c>
      <c r="D73">
        <v>152.35</v>
      </c>
    </row>
    <row r="74" spans="1:4" x14ac:dyDescent="0.25">
      <c r="A74" t="s">
        <v>126</v>
      </c>
      <c r="B74" t="s">
        <v>127</v>
      </c>
      <c r="C74" t="s">
        <v>121</v>
      </c>
      <c r="D74">
        <v>78.25</v>
      </c>
    </row>
    <row r="75" spans="1:4" x14ac:dyDescent="0.25">
      <c r="A75" t="s">
        <v>129</v>
      </c>
      <c r="B75" t="s">
        <v>130</v>
      </c>
      <c r="C75" t="s">
        <v>121</v>
      </c>
      <c r="D75">
        <v>71</v>
      </c>
    </row>
    <row r="76" spans="1:4" x14ac:dyDescent="0.25">
      <c r="A76" t="s">
        <v>135</v>
      </c>
      <c r="B76" t="s">
        <v>136</v>
      </c>
      <c r="C76" t="s">
        <v>49</v>
      </c>
      <c r="D76">
        <v>92.799999999999983</v>
      </c>
    </row>
    <row r="77" spans="1:4" x14ac:dyDescent="0.25">
      <c r="A77" t="s">
        <v>138</v>
      </c>
      <c r="B77" t="s">
        <v>139</v>
      </c>
      <c r="C77" t="s">
        <v>49</v>
      </c>
      <c r="D77">
        <v>32.25</v>
      </c>
    </row>
    <row r="78" spans="1:4" x14ac:dyDescent="0.25">
      <c r="A78" t="s">
        <v>141</v>
      </c>
      <c r="B78" t="s">
        <v>142</v>
      </c>
      <c r="C78" t="s">
        <v>49</v>
      </c>
      <c r="D78">
        <v>59.5</v>
      </c>
    </row>
    <row r="79" spans="1:4" x14ac:dyDescent="0.25">
      <c r="A79" t="s">
        <v>143</v>
      </c>
      <c r="B79" t="s">
        <v>144</v>
      </c>
      <c r="C79" t="s">
        <v>49</v>
      </c>
      <c r="D79">
        <v>22.4</v>
      </c>
    </row>
    <row r="80" spans="1:4" x14ac:dyDescent="0.25">
      <c r="A80" t="s">
        <v>146</v>
      </c>
      <c r="B80" t="s">
        <v>147</v>
      </c>
      <c r="C80" t="s">
        <v>49</v>
      </c>
      <c r="D80">
        <v>142.25</v>
      </c>
    </row>
    <row r="81" spans="1:4" x14ac:dyDescent="0.25">
      <c r="A81" t="s">
        <v>149</v>
      </c>
      <c r="B81" t="s">
        <v>150</v>
      </c>
      <c r="C81" t="s">
        <v>49</v>
      </c>
      <c r="D81">
        <v>6</v>
      </c>
    </row>
    <row r="82" spans="1:4" x14ac:dyDescent="0.25">
      <c r="A82" t="s">
        <v>163</v>
      </c>
      <c r="B82" t="s">
        <v>164</v>
      </c>
      <c r="C82" t="s">
        <v>49</v>
      </c>
      <c r="D82">
        <v>27.4</v>
      </c>
    </row>
    <row r="83" spans="1:4" x14ac:dyDescent="0.25">
      <c r="A83" t="s">
        <v>166</v>
      </c>
      <c r="B83" t="s">
        <v>167</v>
      </c>
      <c r="C83" t="s">
        <v>49</v>
      </c>
      <c r="D83">
        <v>16.7</v>
      </c>
    </row>
    <row r="84" spans="1:4" x14ac:dyDescent="0.25">
      <c r="A84" t="s">
        <v>169</v>
      </c>
      <c r="B84" t="s">
        <v>170</v>
      </c>
      <c r="C84" t="s">
        <v>49</v>
      </c>
      <c r="D84">
        <v>33.900000000000006</v>
      </c>
    </row>
    <row r="85" spans="1:4" x14ac:dyDescent="0.25">
      <c r="A85" t="s">
        <v>172</v>
      </c>
      <c r="B85" t="s">
        <v>173</v>
      </c>
      <c r="C85" t="s">
        <v>49</v>
      </c>
      <c r="D85">
        <v>26.7</v>
      </c>
    </row>
    <row r="86" spans="1:4" x14ac:dyDescent="0.25">
      <c r="A86" t="s">
        <v>174</v>
      </c>
      <c r="B86" t="s">
        <v>175</v>
      </c>
      <c r="C86" t="s">
        <v>49</v>
      </c>
      <c r="D86">
        <v>10.8</v>
      </c>
    </row>
    <row r="87" spans="1:4" x14ac:dyDescent="0.25">
      <c r="A87" t="s">
        <v>177</v>
      </c>
      <c r="B87" t="s">
        <v>178</v>
      </c>
      <c r="C87" t="s">
        <v>49</v>
      </c>
      <c r="D87">
        <v>13.25</v>
      </c>
    </row>
    <row r="88" spans="1:4" x14ac:dyDescent="0.25">
      <c r="A88" t="s">
        <v>180</v>
      </c>
      <c r="B88" t="s">
        <v>181</v>
      </c>
      <c r="C88" t="s">
        <v>49</v>
      </c>
      <c r="D88">
        <v>41.4</v>
      </c>
    </row>
    <row r="89" spans="1:4" x14ac:dyDescent="0.25">
      <c r="A89" t="s">
        <v>183</v>
      </c>
      <c r="B89" t="s">
        <v>184</v>
      </c>
      <c r="C89" t="s">
        <v>49</v>
      </c>
      <c r="D89">
        <v>11.7</v>
      </c>
    </row>
    <row r="90" spans="1:4" x14ac:dyDescent="0.25">
      <c r="A90" t="s">
        <v>186</v>
      </c>
      <c r="B90" t="s">
        <v>187</v>
      </c>
      <c r="C90" t="s">
        <v>49</v>
      </c>
      <c r="D90">
        <v>25.200000000000003</v>
      </c>
    </row>
    <row r="91" spans="1:4" x14ac:dyDescent="0.25">
      <c r="A91" t="s">
        <v>189</v>
      </c>
      <c r="B91" t="s">
        <v>190</v>
      </c>
      <c r="C91" t="s">
        <v>49</v>
      </c>
      <c r="D91">
        <v>25.6</v>
      </c>
    </row>
    <row r="92" spans="1:4" x14ac:dyDescent="0.25">
      <c r="A92" t="s">
        <v>192</v>
      </c>
      <c r="B92" t="s">
        <v>193</v>
      </c>
      <c r="C92" t="s">
        <v>49</v>
      </c>
      <c r="D92">
        <v>41.7</v>
      </c>
    </row>
    <row r="93" spans="1:4" x14ac:dyDescent="0.25">
      <c r="A93" t="s">
        <v>195</v>
      </c>
      <c r="B93" t="s">
        <v>196</v>
      </c>
      <c r="C93" t="s">
        <v>49</v>
      </c>
      <c r="D93">
        <v>23.9</v>
      </c>
    </row>
    <row r="94" spans="1:4" x14ac:dyDescent="0.25">
      <c r="A94" t="s">
        <v>198</v>
      </c>
      <c r="B94" t="s">
        <v>199</v>
      </c>
      <c r="C94" t="s">
        <v>49</v>
      </c>
      <c r="D94">
        <v>5.3</v>
      </c>
    </row>
    <row r="95" spans="1:4" x14ac:dyDescent="0.25">
      <c r="A95" t="s">
        <v>200</v>
      </c>
      <c r="B95" t="s">
        <v>201</v>
      </c>
      <c r="C95" t="s">
        <v>49</v>
      </c>
      <c r="D95">
        <v>24.200000000000003</v>
      </c>
    </row>
    <row r="96" spans="1:4" x14ac:dyDescent="0.25">
      <c r="A96" t="s">
        <v>203</v>
      </c>
      <c r="B96" t="s">
        <v>204</v>
      </c>
      <c r="C96" t="s">
        <v>49</v>
      </c>
      <c r="D96">
        <v>12.7</v>
      </c>
    </row>
    <row r="97" spans="1:4" x14ac:dyDescent="0.25">
      <c r="A97" t="s">
        <v>206</v>
      </c>
      <c r="B97" t="s">
        <v>207</v>
      </c>
      <c r="C97" t="s">
        <v>49</v>
      </c>
      <c r="D97">
        <v>24.4</v>
      </c>
    </row>
    <row r="98" spans="1:4" x14ac:dyDescent="0.25">
      <c r="A98" t="s">
        <v>209</v>
      </c>
      <c r="B98" t="s">
        <v>210</v>
      </c>
      <c r="C98" t="s">
        <v>49</v>
      </c>
      <c r="D98">
        <v>21.2</v>
      </c>
    </row>
    <row r="99" spans="1:4" x14ac:dyDescent="0.25">
      <c r="A99" t="s">
        <v>211</v>
      </c>
      <c r="B99" t="s">
        <v>212</v>
      </c>
      <c r="C99" t="s">
        <v>49</v>
      </c>
      <c r="D99">
        <v>72.5</v>
      </c>
    </row>
    <row r="100" spans="1:4" x14ac:dyDescent="0.25">
      <c r="A100" t="s">
        <v>214</v>
      </c>
      <c r="B100" t="s">
        <v>215</v>
      </c>
      <c r="C100" t="s">
        <v>49</v>
      </c>
      <c r="D100">
        <v>14</v>
      </c>
    </row>
    <row r="101" spans="1:4" x14ac:dyDescent="0.25">
      <c r="A101" t="s">
        <v>217</v>
      </c>
      <c r="B101" t="s">
        <v>218</v>
      </c>
      <c r="C101" t="s">
        <v>49</v>
      </c>
      <c r="D101">
        <v>19.3</v>
      </c>
    </row>
    <row r="102" spans="1:4" x14ac:dyDescent="0.25">
      <c r="A102" t="s">
        <v>2682</v>
      </c>
      <c r="B102" t="s">
        <v>2683</v>
      </c>
      <c r="D102">
        <v>59</v>
      </c>
    </row>
    <row r="103" spans="1:4" x14ac:dyDescent="0.25">
      <c r="A103" t="s">
        <v>1872</v>
      </c>
      <c r="B103" t="s">
        <v>1873</v>
      </c>
      <c r="C103" t="s">
        <v>49</v>
      </c>
      <c r="D103">
        <v>71.599999999999994</v>
      </c>
    </row>
    <row r="104" spans="1:4" x14ac:dyDescent="0.25">
      <c r="A104" t="s">
        <v>3932</v>
      </c>
      <c r="B104" t="s">
        <v>3933</v>
      </c>
      <c r="C104" t="s">
        <v>49</v>
      </c>
      <c r="D104">
        <v>53.84</v>
      </c>
    </row>
    <row r="105" spans="1:4" x14ac:dyDescent="0.25">
      <c r="A105" t="s">
        <v>385</v>
      </c>
      <c r="B105" t="s">
        <v>386</v>
      </c>
      <c r="C105" t="s">
        <v>49</v>
      </c>
      <c r="D105">
        <v>25.6</v>
      </c>
    </row>
    <row r="106" spans="1:4" x14ac:dyDescent="0.25">
      <c r="A106" t="s">
        <v>387</v>
      </c>
      <c r="B106" t="s">
        <v>388</v>
      </c>
      <c r="C106" t="s">
        <v>49</v>
      </c>
      <c r="D106">
        <v>17.8</v>
      </c>
    </row>
    <row r="107" spans="1:4" x14ac:dyDescent="0.25">
      <c r="A107" t="s">
        <v>389</v>
      </c>
      <c r="B107" t="s">
        <v>390</v>
      </c>
      <c r="C107" t="s">
        <v>49</v>
      </c>
      <c r="D107">
        <v>23.5</v>
      </c>
    </row>
    <row r="108" spans="1:4" x14ac:dyDescent="0.25">
      <c r="A108" t="s">
        <v>392</v>
      </c>
      <c r="B108" t="s">
        <v>393</v>
      </c>
      <c r="C108" t="s">
        <v>49</v>
      </c>
      <c r="D108">
        <v>11.7</v>
      </c>
    </row>
    <row r="109" spans="1:4" x14ac:dyDescent="0.25">
      <c r="A109" t="s">
        <v>395</v>
      </c>
      <c r="B109" t="s">
        <v>396</v>
      </c>
      <c r="C109" t="s">
        <v>49</v>
      </c>
      <c r="D109">
        <v>9.6</v>
      </c>
    </row>
    <row r="110" spans="1:4" x14ac:dyDescent="0.25">
      <c r="A110" t="s">
        <v>398</v>
      </c>
      <c r="B110" t="s">
        <v>399</v>
      </c>
      <c r="C110" t="s">
        <v>49</v>
      </c>
      <c r="D110">
        <v>11.8</v>
      </c>
    </row>
    <row r="111" spans="1:4" x14ac:dyDescent="0.25">
      <c r="A111" t="s">
        <v>401</v>
      </c>
      <c r="B111" t="s">
        <v>402</v>
      </c>
      <c r="C111" t="s">
        <v>49</v>
      </c>
      <c r="D111">
        <v>12</v>
      </c>
    </row>
    <row r="112" spans="1:4" x14ac:dyDescent="0.25">
      <c r="A112" t="s">
        <v>269</v>
      </c>
      <c r="B112" t="s">
        <v>270</v>
      </c>
      <c r="C112" t="s">
        <v>49</v>
      </c>
      <c r="D112">
        <v>26.6</v>
      </c>
    </row>
    <row r="113" spans="1:4" x14ac:dyDescent="0.25">
      <c r="A113" t="s">
        <v>272</v>
      </c>
      <c r="B113" t="s">
        <v>273</v>
      </c>
      <c r="C113" t="s">
        <v>49</v>
      </c>
      <c r="D113">
        <v>38.700000000000003</v>
      </c>
    </row>
    <row r="114" spans="1:4" x14ac:dyDescent="0.25">
      <c r="A114" t="s">
        <v>275</v>
      </c>
      <c r="B114" t="s">
        <v>276</v>
      </c>
      <c r="C114" t="s">
        <v>49</v>
      </c>
      <c r="D114">
        <v>14.100000000000001</v>
      </c>
    </row>
    <row r="115" spans="1:4" x14ac:dyDescent="0.25">
      <c r="A115" t="s">
        <v>278</v>
      </c>
      <c r="B115" t="s">
        <v>279</v>
      </c>
      <c r="C115" t="s">
        <v>49</v>
      </c>
      <c r="D115">
        <v>16.200000000000003</v>
      </c>
    </row>
    <row r="116" spans="1:4" x14ac:dyDescent="0.25">
      <c r="A116" t="s">
        <v>280</v>
      </c>
      <c r="B116" t="s">
        <v>281</v>
      </c>
      <c r="C116" t="s">
        <v>49</v>
      </c>
      <c r="D116">
        <v>16.200000000000003</v>
      </c>
    </row>
    <row r="117" spans="1:4" x14ac:dyDescent="0.25">
      <c r="A117" t="s">
        <v>282</v>
      </c>
      <c r="B117" t="s">
        <v>283</v>
      </c>
      <c r="C117" t="s">
        <v>49</v>
      </c>
      <c r="D117">
        <v>22.4</v>
      </c>
    </row>
    <row r="118" spans="1:4" x14ac:dyDescent="0.25">
      <c r="A118" t="s">
        <v>284</v>
      </c>
      <c r="B118" t="s">
        <v>285</v>
      </c>
      <c r="C118" t="s">
        <v>49</v>
      </c>
      <c r="D118">
        <v>12.6</v>
      </c>
    </row>
    <row r="119" spans="1:4" x14ac:dyDescent="0.25">
      <c r="A119" t="s">
        <v>286</v>
      </c>
      <c r="B119" t="s">
        <v>287</v>
      </c>
      <c r="C119" t="s">
        <v>49</v>
      </c>
      <c r="D119">
        <v>6.4</v>
      </c>
    </row>
    <row r="120" spans="1:4" x14ac:dyDescent="0.25">
      <c r="A120" t="s">
        <v>289</v>
      </c>
      <c r="B120" t="s">
        <v>290</v>
      </c>
      <c r="C120" t="s">
        <v>49</v>
      </c>
      <c r="D120">
        <v>13.3</v>
      </c>
    </row>
    <row r="121" spans="1:4" x14ac:dyDescent="0.25">
      <c r="A121" t="s">
        <v>292</v>
      </c>
      <c r="B121" t="s">
        <v>293</v>
      </c>
      <c r="C121" t="s">
        <v>49</v>
      </c>
      <c r="D121">
        <v>11.7</v>
      </c>
    </row>
    <row r="122" spans="1:4" x14ac:dyDescent="0.25">
      <c r="A122" t="s">
        <v>294</v>
      </c>
      <c r="B122" t="s">
        <v>295</v>
      </c>
      <c r="C122" t="s">
        <v>49</v>
      </c>
      <c r="D122">
        <v>25.3</v>
      </c>
    </row>
    <row r="123" spans="1:4" x14ac:dyDescent="0.25">
      <c r="A123" t="s">
        <v>297</v>
      </c>
      <c r="B123" t="s">
        <v>298</v>
      </c>
      <c r="C123" t="s">
        <v>49</v>
      </c>
      <c r="D123">
        <v>9.3000000000000007</v>
      </c>
    </row>
    <row r="124" spans="1:4" x14ac:dyDescent="0.25">
      <c r="A124" t="s">
        <v>300</v>
      </c>
      <c r="B124" t="s">
        <v>301</v>
      </c>
      <c r="C124" t="s">
        <v>49</v>
      </c>
      <c r="D124">
        <v>13.799999999999999</v>
      </c>
    </row>
    <row r="125" spans="1:4" x14ac:dyDescent="0.25">
      <c r="A125" t="s">
        <v>303</v>
      </c>
      <c r="B125" t="s">
        <v>304</v>
      </c>
      <c r="C125" t="s">
        <v>49</v>
      </c>
      <c r="D125">
        <v>21</v>
      </c>
    </row>
    <row r="126" spans="1:4" x14ac:dyDescent="0.25">
      <c r="A126" t="s">
        <v>4078</v>
      </c>
      <c r="B126" t="s">
        <v>4079</v>
      </c>
      <c r="C126" t="s">
        <v>49</v>
      </c>
      <c r="D126">
        <v>36.26</v>
      </c>
    </row>
    <row r="127" spans="1:4" x14ac:dyDescent="0.25">
      <c r="A127" t="s">
        <v>441</v>
      </c>
      <c r="B127" t="s">
        <v>442</v>
      </c>
      <c r="C127" t="s">
        <v>49</v>
      </c>
      <c r="D127">
        <v>30.36</v>
      </c>
    </row>
    <row r="128" spans="1:4" x14ac:dyDescent="0.25">
      <c r="A128" t="s">
        <v>444</v>
      </c>
      <c r="B128" t="s">
        <v>445</v>
      </c>
      <c r="C128" t="s">
        <v>49</v>
      </c>
      <c r="D128">
        <v>111</v>
      </c>
    </row>
    <row r="129" spans="1:4" x14ac:dyDescent="0.25">
      <c r="A129" t="s">
        <v>4278</v>
      </c>
      <c r="B129" t="s">
        <v>4279</v>
      </c>
      <c r="C129" t="s">
        <v>49</v>
      </c>
      <c r="D129">
        <v>358.2</v>
      </c>
    </row>
    <row r="130" spans="1:4" x14ac:dyDescent="0.25">
      <c r="A130" t="s">
        <v>4294</v>
      </c>
      <c r="B130" t="s">
        <v>4295</v>
      </c>
      <c r="C130" t="s">
        <v>49</v>
      </c>
      <c r="D130">
        <v>149.80000000000001</v>
      </c>
    </row>
    <row r="131" spans="1:4" x14ac:dyDescent="0.25">
      <c r="A131" t="s">
        <v>4306</v>
      </c>
      <c r="B131" t="s">
        <v>4307</v>
      </c>
      <c r="C131" t="s">
        <v>49</v>
      </c>
      <c r="D131">
        <v>8.0399999999999991</v>
      </c>
    </row>
    <row r="132" spans="1:4" x14ac:dyDescent="0.25">
      <c r="A132" t="s">
        <v>4321</v>
      </c>
      <c r="B132" t="s">
        <v>4322</v>
      </c>
      <c r="C132" t="s">
        <v>49</v>
      </c>
      <c r="D132">
        <v>11.58</v>
      </c>
    </row>
    <row r="133" spans="1:4" x14ac:dyDescent="0.25">
      <c r="A133" t="s">
        <v>4324</v>
      </c>
      <c r="B133" t="s">
        <v>4325</v>
      </c>
      <c r="C133" t="s">
        <v>49</v>
      </c>
      <c r="D133">
        <v>11.2</v>
      </c>
    </row>
    <row r="134" spans="1:4" x14ac:dyDescent="0.25">
      <c r="A134" t="s">
        <v>4326</v>
      </c>
      <c r="B134" t="s">
        <v>4327</v>
      </c>
      <c r="C134" t="s">
        <v>49</v>
      </c>
      <c r="D134">
        <v>41.599999999999994</v>
      </c>
    </row>
    <row r="135" spans="1:4" x14ac:dyDescent="0.25">
      <c r="A135" t="s">
        <v>4328</v>
      </c>
      <c r="B135" t="s">
        <v>4329</v>
      </c>
      <c r="C135" t="s">
        <v>49</v>
      </c>
      <c r="D135">
        <v>271.98</v>
      </c>
    </row>
    <row r="136" spans="1:4" x14ac:dyDescent="0.25">
      <c r="A136" t="s">
        <v>1980</v>
      </c>
      <c r="B136" t="s">
        <v>1981</v>
      </c>
      <c r="C136" t="s">
        <v>49</v>
      </c>
      <c r="D136">
        <v>230</v>
      </c>
    </row>
    <row r="137" spans="1:4" x14ac:dyDescent="0.25">
      <c r="A137" t="s">
        <v>1983</v>
      </c>
      <c r="B137" t="s">
        <v>1984</v>
      </c>
      <c r="C137" t="s">
        <v>49</v>
      </c>
      <c r="D137">
        <v>254</v>
      </c>
    </row>
    <row r="138" spans="1:4" x14ac:dyDescent="0.25">
      <c r="A138" t="s">
        <v>1986</v>
      </c>
      <c r="B138" t="s">
        <v>1987</v>
      </c>
      <c r="C138" t="s">
        <v>49</v>
      </c>
      <c r="D138">
        <v>228</v>
      </c>
    </row>
    <row r="139" spans="1:4" x14ac:dyDescent="0.25">
      <c r="A139" t="s">
        <v>2016</v>
      </c>
      <c r="B139" t="s">
        <v>2017</v>
      </c>
      <c r="C139" t="s">
        <v>49</v>
      </c>
      <c r="D139">
        <v>495</v>
      </c>
    </row>
    <row r="140" spans="1:4" x14ac:dyDescent="0.25">
      <c r="A140" t="s">
        <v>2019</v>
      </c>
      <c r="B140" t="s">
        <v>2020</v>
      </c>
      <c r="C140" t="s">
        <v>49</v>
      </c>
      <c r="D140">
        <v>564</v>
      </c>
    </row>
    <row r="141" spans="1:4" x14ac:dyDescent="0.25">
      <c r="A141" t="s">
        <v>2022</v>
      </c>
      <c r="B141" t="s">
        <v>2023</v>
      </c>
      <c r="C141" t="s">
        <v>49</v>
      </c>
      <c r="D141">
        <v>414</v>
      </c>
    </row>
    <row r="142" spans="1:4" x14ac:dyDescent="0.25">
      <c r="A142" t="s">
        <v>4384</v>
      </c>
      <c r="B142" t="s">
        <v>4385</v>
      </c>
      <c r="C142" t="s">
        <v>49</v>
      </c>
      <c r="D142">
        <v>178.46</v>
      </c>
    </row>
    <row r="143" spans="1:4" x14ac:dyDescent="0.25">
      <c r="A143" t="s">
        <v>4387</v>
      </c>
      <c r="B143" t="s">
        <v>4388</v>
      </c>
      <c r="C143" t="s">
        <v>49</v>
      </c>
      <c r="D143">
        <v>41.14</v>
      </c>
    </row>
    <row r="144" spans="1:4" x14ac:dyDescent="0.25">
      <c r="A144" t="s">
        <v>4390</v>
      </c>
      <c r="B144" t="s">
        <v>4391</v>
      </c>
      <c r="C144" t="s">
        <v>49</v>
      </c>
      <c r="D144">
        <v>12.2</v>
      </c>
    </row>
    <row r="145" spans="1:4" x14ac:dyDescent="0.25">
      <c r="A145" t="s">
        <v>4400</v>
      </c>
      <c r="B145" t="s">
        <v>4401</v>
      </c>
      <c r="C145" t="s">
        <v>49</v>
      </c>
      <c r="D145">
        <v>12.52</v>
      </c>
    </row>
    <row r="146" spans="1:4" x14ac:dyDescent="0.25">
      <c r="A146" t="s">
        <v>4403</v>
      </c>
      <c r="B146" t="s">
        <v>4404</v>
      </c>
      <c r="C146" t="s">
        <v>49</v>
      </c>
      <c r="D146">
        <v>82.799999999999983</v>
      </c>
    </row>
    <row r="147" spans="1:4" x14ac:dyDescent="0.25">
      <c r="A147" t="s">
        <v>4415</v>
      </c>
      <c r="B147" t="s">
        <v>4416</v>
      </c>
      <c r="D147">
        <v>8.09</v>
      </c>
    </row>
    <row r="148" spans="1:4" x14ac:dyDescent="0.25">
      <c r="A148" t="s">
        <v>4418</v>
      </c>
      <c r="B148" t="s">
        <v>4419</v>
      </c>
      <c r="D148">
        <v>10.01</v>
      </c>
    </row>
    <row r="149" spans="1:4" x14ac:dyDescent="0.25">
      <c r="A149" t="s">
        <v>4406</v>
      </c>
      <c r="B149" t="s">
        <v>4407</v>
      </c>
      <c r="C149" t="s">
        <v>49</v>
      </c>
      <c r="D149">
        <v>11.2</v>
      </c>
    </row>
    <row r="150" spans="1:4" x14ac:dyDescent="0.25">
      <c r="A150" t="s">
        <v>355</v>
      </c>
      <c r="B150" t="s">
        <v>356</v>
      </c>
      <c r="C150" t="s">
        <v>49</v>
      </c>
      <c r="D150">
        <v>37.400000000000006</v>
      </c>
    </row>
    <row r="151" spans="1:4" x14ac:dyDescent="0.25">
      <c r="A151" t="s">
        <v>358</v>
      </c>
      <c r="B151" t="s">
        <v>359</v>
      </c>
      <c r="C151" t="s">
        <v>49</v>
      </c>
      <c r="D151">
        <v>34.46</v>
      </c>
    </row>
    <row r="152" spans="1:4" x14ac:dyDescent="0.25">
      <c r="A152" t="s">
        <v>361</v>
      </c>
      <c r="B152" t="s">
        <v>362</v>
      </c>
      <c r="C152" t="s">
        <v>49</v>
      </c>
      <c r="D152">
        <v>25.04</v>
      </c>
    </row>
    <row r="153" spans="1:4" x14ac:dyDescent="0.25">
      <c r="A153" t="s">
        <v>364</v>
      </c>
      <c r="B153" t="s">
        <v>365</v>
      </c>
      <c r="C153" t="s">
        <v>49</v>
      </c>
      <c r="D153">
        <v>20.9</v>
      </c>
    </row>
    <row r="154" spans="1:4" x14ac:dyDescent="0.25">
      <c r="A154" t="s">
        <v>4484</v>
      </c>
      <c r="B154" t="s">
        <v>4485</v>
      </c>
      <c r="C154" t="s">
        <v>121</v>
      </c>
      <c r="D154">
        <v>75.050000000000011</v>
      </c>
    </row>
    <row r="155" spans="1:4" x14ac:dyDescent="0.25">
      <c r="A155" t="s">
        <v>4499</v>
      </c>
      <c r="B155" t="s">
        <v>4500</v>
      </c>
      <c r="C155" t="s">
        <v>121</v>
      </c>
      <c r="D155">
        <v>79.349999999999994</v>
      </c>
    </row>
    <row r="156" spans="1:4" x14ac:dyDescent="0.25">
      <c r="A156" t="s">
        <v>4513</v>
      </c>
      <c r="B156" t="s">
        <v>4514</v>
      </c>
      <c r="C156" t="s">
        <v>121</v>
      </c>
      <c r="D156">
        <v>87.84</v>
      </c>
    </row>
    <row r="157" spans="1:4" x14ac:dyDescent="0.25">
      <c r="A157" t="s">
        <v>502</v>
      </c>
      <c r="B157" t="s">
        <v>503</v>
      </c>
      <c r="C157" t="s">
        <v>49</v>
      </c>
      <c r="D157">
        <v>137.79999999999998</v>
      </c>
    </row>
    <row r="158" spans="1:4" x14ac:dyDescent="0.25">
      <c r="A158" t="s">
        <v>242</v>
      </c>
      <c r="B158" t="s">
        <v>243</v>
      </c>
      <c r="C158" t="s">
        <v>49</v>
      </c>
      <c r="D158">
        <v>21.700000000000003</v>
      </c>
    </row>
    <row r="159" spans="1:4" x14ac:dyDescent="0.25">
      <c r="A159" t="s">
        <v>4589</v>
      </c>
      <c r="B159" t="s">
        <v>4590</v>
      </c>
      <c r="C159" t="s">
        <v>49</v>
      </c>
      <c r="D159">
        <v>137.46</v>
      </c>
    </row>
    <row r="160" spans="1:4" x14ac:dyDescent="0.25">
      <c r="A160" t="s">
        <v>2385</v>
      </c>
      <c r="B160" t="s">
        <v>2386</v>
      </c>
      <c r="C160" t="s">
        <v>49</v>
      </c>
      <c r="D160">
        <v>611.6</v>
      </c>
    </row>
    <row r="161" spans="1:4" x14ac:dyDescent="0.25">
      <c r="A161" t="s">
        <v>2388</v>
      </c>
      <c r="B161" t="s">
        <v>2389</v>
      </c>
      <c r="C161" t="s">
        <v>49</v>
      </c>
      <c r="D161">
        <v>220.5</v>
      </c>
    </row>
    <row r="162" spans="1:4" x14ac:dyDescent="0.25">
      <c r="A162" t="s">
        <v>2391</v>
      </c>
      <c r="B162" t="s">
        <v>2392</v>
      </c>
      <c r="C162" t="s">
        <v>49</v>
      </c>
      <c r="D162">
        <v>300.60000000000002</v>
      </c>
    </row>
    <row r="163" spans="1:4" x14ac:dyDescent="0.25">
      <c r="A163" t="s">
        <v>2394</v>
      </c>
      <c r="B163" t="s">
        <v>2395</v>
      </c>
      <c r="C163" t="s">
        <v>49</v>
      </c>
      <c r="D163">
        <v>30.799999999999997</v>
      </c>
    </row>
    <row r="164" spans="1:4" x14ac:dyDescent="0.25">
      <c r="A164" t="s">
        <v>707</v>
      </c>
      <c r="B164" t="s">
        <v>708</v>
      </c>
      <c r="C164" t="s">
        <v>49</v>
      </c>
      <c r="D164">
        <v>73.5</v>
      </c>
    </row>
    <row r="165" spans="1:4" x14ac:dyDescent="0.25">
      <c r="A165" t="s">
        <v>710</v>
      </c>
      <c r="B165" t="s">
        <v>711</v>
      </c>
      <c r="C165" t="s">
        <v>49</v>
      </c>
      <c r="D165">
        <v>75</v>
      </c>
    </row>
    <row r="166" spans="1:4" x14ac:dyDescent="0.25">
      <c r="A166" t="s">
        <v>729</v>
      </c>
      <c r="B166" t="s">
        <v>730</v>
      </c>
      <c r="C166" t="s">
        <v>49</v>
      </c>
      <c r="D166">
        <v>68.599999999999994</v>
      </c>
    </row>
    <row r="167" spans="1:4" x14ac:dyDescent="0.25">
      <c r="A167" t="s">
        <v>713</v>
      </c>
      <c r="B167" t="s">
        <v>714</v>
      </c>
      <c r="C167" t="s">
        <v>49</v>
      </c>
      <c r="D167">
        <v>18</v>
      </c>
    </row>
    <row r="168" spans="1:4" x14ac:dyDescent="0.25">
      <c r="A168" t="s">
        <v>715</v>
      </c>
      <c r="B168" t="s">
        <v>716</v>
      </c>
      <c r="C168" t="s">
        <v>49</v>
      </c>
      <c r="D168">
        <v>18</v>
      </c>
    </row>
    <row r="169" spans="1:4" x14ac:dyDescent="0.25">
      <c r="A169" t="s">
        <v>717</v>
      </c>
      <c r="B169" t="s">
        <v>718</v>
      </c>
      <c r="C169" t="s">
        <v>49</v>
      </c>
      <c r="D169">
        <v>15.4</v>
      </c>
    </row>
    <row r="170" spans="1:4" x14ac:dyDescent="0.25">
      <c r="A170" t="s">
        <v>719</v>
      </c>
      <c r="B170" t="s">
        <v>720</v>
      </c>
      <c r="C170" t="s">
        <v>49</v>
      </c>
      <c r="D170">
        <v>56.2</v>
      </c>
    </row>
    <row r="171" spans="1:4" x14ac:dyDescent="0.25">
      <c r="A171" t="s">
        <v>745</v>
      </c>
      <c r="B171" t="s">
        <v>746</v>
      </c>
      <c r="C171" t="s">
        <v>49</v>
      </c>
      <c r="D171">
        <v>71.099999999999994</v>
      </c>
    </row>
    <row r="172" spans="1:4" x14ac:dyDescent="0.25">
      <c r="A172" t="s">
        <v>748</v>
      </c>
      <c r="B172" t="s">
        <v>749</v>
      </c>
      <c r="C172" t="s">
        <v>49</v>
      </c>
      <c r="D172">
        <v>10.6</v>
      </c>
    </row>
    <row r="173" spans="1:4" x14ac:dyDescent="0.25">
      <c r="A173" t="s">
        <v>751</v>
      </c>
      <c r="B173" t="s">
        <v>752</v>
      </c>
      <c r="C173" t="s">
        <v>49</v>
      </c>
      <c r="D173">
        <v>10.6</v>
      </c>
    </row>
    <row r="174" spans="1:4" x14ac:dyDescent="0.25">
      <c r="A174" t="s">
        <v>753</v>
      </c>
      <c r="B174" t="s">
        <v>754</v>
      </c>
      <c r="C174" t="s">
        <v>49</v>
      </c>
      <c r="D174">
        <v>7.5</v>
      </c>
    </row>
    <row r="175" spans="1:4" x14ac:dyDescent="0.25">
      <c r="A175" t="s">
        <v>756</v>
      </c>
      <c r="B175" t="s">
        <v>757</v>
      </c>
      <c r="C175" t="s">
        <v>49</v>
      </c>
      <c r="D175">
        <v>41.5</v>
      </c>
    </row>
    <row r="176" spans="1:4" x14ac:dyDescent="0.25">
      <c r="A176" t="s">
        <v>759</v>
      </c>
      <c r="B176" t="s">
        <v>760</v>
      </c>
      <c r="C176" t="s">
        <v>49</v>
      </c>
      <c r="D176">
        <v>77.5</v>
      </c>
    </row>
    <row r="177" spans="1:4" x14ac:dyDescent="0.25">
      <c r="A177" t="s">
        <v>2040</v>
      </c>
      <c r="B177" t="s">
        <v>2041</v>
      </c>
      <c r="C177" t="s">
        <v>49</v>
      </c>
      <c r="D177">
        <v>42.900000000000006</v>
      </c>
    </row>
    <row r="178" spans="1:4" x14ac:dyDescent="0.25">
      <c r="A178" t="s">
        <v>768</v>
      </c>
      <c r="B178" t="s">
        <v>769</v>
      </c>
      <c r="C178" t="s">
        <v>49</v>
      </c>
      <c r="D178">
        <v>55.9</v>
      </c>
    </row>
    <row r="179" spans="1:4" x14ac:dyDescent="0.25">
      <c r="A179" t="s">
        <v>771</v>
      </c>
      <c r="B179" t="s">
        <v>772</v>
      </c>
      <c r="C179" t="s">
        <v>49</v>
      </c>
      <c r="D179">
        <v>101.1</v>
      </c>
    </row>
    <row r="180" spans="1:4" x14ac:dyDescent="0.25">
      <c r="A180" t="s">
        <v>774</v>
      </c>
      <c r="B180" t="s">
        <v>775</v>
      </c>
      <c r="C180" t="s">
        <v>49</v>
      </c>
      <c r="D180">
        <v>105.1</v>
      </c>
    </row>
    <row r="181" spans="1:4" x14ac:dyDescent="0.25">
      <c r="A181" t="s">
        <v>777</v>
      </c>
      <c r="B181" t="s">
        <v>778</v>
      </c>
      <c r="C181" t="s">
        <v>49</v>
      </c>
      <c r="D181">
        <v>11.98</v>
      </c>
    </row>
    <row r="182" spans="1:4" x14ac:dyDescent="0.25">
      <c r="A182" t="s">
        <v>780</v>
      </c>
      <c r="B182" t="s">
        <v>781</v>
      </c>
      <c r="C182" t="s">
        <v>49</v>
      </c>
      <c r="D182">
        <v>13.48</v>
      </c>
    </row>
    <row r="183" spans="1:4" x14ac:dyDescent="0.25">
      <c r="A183" t="s">
        <v>783</v>
      </c>
      <c r="B183" t="s">
        <v>784</v>
      </c>
      <c r="C183" t="s">
        <v>49</v>
      </c>
      <c r="D183">
        <v>28.3</v>
      </c>
    </row>
    <row r="184" spans="1:4" x14ac:dyDescent="0.25">
      <c r="A184" t="s">
        <v>2043</v>
      </c>
      <c r="B184" t="s">
        <v>2044</v>
      </c>
      <c r="C184" t="s">
        <v>49</v>
      </c>
      <c r="D184">
        <v>8.19</v>
      </c>
    </row>
    <row r="185" spans="1:4" x14ac:dyDescent="0.25">
      <c r="A185" t="s">
        <v>980</v>
      </c>
      <c r="B185" t="s">
        <v>981</v>
      </c>
      <c r="C185" t="s">
        <v>49</v>
      </c>
      <c r="D185">
        <v>54</v>
      </c>
    </row>
    <row r="186" spans="1:4" x14ac:dyDescent="0.25">
      <c r="A186" t="s">
        <v>817</v>
      </c>
      <c r="B186" t="s">
        <v>4820</v>
      </c>
      <c r="C186" t="s">
        <v>121</v>
      </c>
      <c r="D186">
        <v>67.12</v>
      </c>
    </row>
    <row r="187" spans="1:4" x14ac:dyDescent="0.25">
      <c r="A187" t="s">
        <v>820</v>
      </c>
      <c r="B187" t="s">
        <v>4823</v>
      </c>
      <c r="C187" t="s">
        <v>121</v>
      </c>
      <c r="D187">
        <v>39.06</v>
      </c>
    </row>
    <row r="188" spans="1:4" x14ac:dyDescent="0.25">
      <c r="A188" t="s">
        <v>4828</v>
      </c>
      <c r="B188" t="s">
        <v>4838</v>
      </c>
      <c r="C188" t="s">
        <v>121</v>
      </c>
      <c r="D188">
        <v>97.759999999999991</v>
      </c>
    </row>
    <row r="189" spans="1:4" x14ac:dyDescent="0.25">
      <c r="A189" t="s">
        <v>4831</v>
      </c>
      <c r="B189" t="s">
        <v>4840</v>
      </c>
      <c r="C189" t="s">
        <v>121</v>
      </c>
      <c r="D189">
        <v>99.78</v>
      </c>
    </row>
    <row r="190" spans="1:4" x14ac:dyDescent="0.25">
      <c r="A190" t="s">
        <v>4834</v>
      </c>
      <c r="B190" t="s">
        <v>4842</v>
      </c>
      <c r="C190" t="s">
        <v>121</v>
      </c>
      <c r="D190">
        <v>57.09</v>
      </c>
    </row>
    <row r="191" spans="1:4" x14ac:dyDescent="0.25">
      <c r="A191" t="s">
        <v>823</v>
      </c>
      <c r="B191" t="s">
        <v>824</v>
      </c>
      <c r="C191" t="s">
        <v>121</v>
      </c>
      <c r="D191">
        <v>64.22</v>
      </c>
    </row>
    <row r="192" spans="1:4" x14ac:dyDescent="0.25">
      <c r="A192" t="s">
        <v>4888</v>
      </c>
      <c r="B192" t="s">
        <v>4889</v>
      </c>
      <c r="C192" t="s">
        <v>49</v>
      </c>
      <c r="D192">
        <v>488.89</v>
      </c>
    </row>
    <row r="193" spans="1:4" x14ac:dyDescent="0.25">
      <c r="A193" t="s">
        <v>4891</v>
      </c>
      <c r="B193" t="s">
        <v>4892</v>
      </c>
      <c r="C193" t="s">
        <v>49</v>
      </c>
      <c r="D193">
        <v>551</v>
      </c>
    </row>
    <row r="194" spans="1:4" x14ac:dyDescent="0.25">
      <c r="A194" t="s">
        <v>4908</v>
      </c>
      <c r="B194" t="s">
        <v>4909</v>
      </c>
      <c r="C194" t="s">
        <v>49</v>
      </c>
      <c r="D194">
        <v>530.96</v>
      </c>
    </row>
    <row r="195" spans="1:4" x14ac:dyDescent="0.25">
      <c r="A195" t="s">
        <v>4917</v>
      </c>
      <c r="B195" t="s">
        <v>4918</v>
      </c>
      <c r="C195" t="s">
        <v>49</v>
      </c>
      <c r="D195">
        <v>646.12</v>
      </c>
    </row>
    <row r="196" spans="1:4" x14ac:dyDescent="0.25">
      <c r="A196" t="s">
        <v>4920</v>
      </c>
      <c r="B196" t="s">
        <v>4921</v>
      </c>
      <c r="C196" t="s">
        <v>49</v>
      </c>
      <c r="D196">
        <v>307.01000000000005</v>
      </c>
    </row>
    <row r="197" spans="1:4" x14ac:dyDescent="0.25">
      <c r="A197" t="s">
        <v>804</v>
      </c>
      <c r="B197" t="s">
        <v>805</v>
      </c>
      <c r="C197" t="s">
        <v>49</v>
      </c>
      <c r="D197">
        <v>25.8</v>
      </c>
    </row>
    <row r="198" spans="1:4" x14ac:dyDescent="0.25">
      <c r="A198" t="s">
        <v>806</v>
      </c>
      <c r="B198" t="s">
        <v>807</v>
      </c>
      <c r="C198" t="s">
        <v>49</v>
      </c>
      <c r="D198">
        <v>25.8</v>
      </c>
    </row>
    <row r="199" spans="1:4" x14ac:dyDescent="0.25">
      <c r="A199" t="s">
        <v>808</v>
      </c>
      <c r="B199" t="s">
        <v>809</v>
      </c>
      <c r="C199" t="s">
        <v>49</v>
      </c>
      <c r="D199">
        <v>8.9</v>
      </c>
    </row>
    <row r="200" spans="1:4" x14ac:dyDescent="0.25">
      <c r="A200" t="s">
        <v>845</v>
      </c>
      <c r="B200" t="s">
        <v>846</v>
      </c>
      <c r="C200" t="s">
        <v>49</v>
      </c>
      <c r="D200">
        <v>352</v>
      </c>
    </row>
    <row r="201" spans="1:4" x14ac:dyDescent="0.25">
      <c r="A201" t="s">
        <v>848</v>
      </c>
      <c r="B201" t="s">
        <v>849</v>
      </c>
      <c r="C201" t="s">
        <v>49</v>
      </c>
      <c r="D201">
        <v>13</v>
      </c>
    </row>
    <row r="202" spans="1:4" x14ac:dyDescent="0.25">
      <c r="A202" t="s">
        <v>851</v>
      </c>
      <c r="B202" t="s">
        <v>852</v>
      </c>
      <c r="C202" t="s">
        <v>49</v>
      </c>
      <c r="D202">
        <v>14.2</v>
      </c>
    </row>
    <row r="203" spans="1:4" x14ac:dyDescent="0.25">
      <c r="A203" t="s">
        <v>854</v>
      </c>
      <c r="B203" t="s">
        <v>855</v>
      </c>
      <c r="C203" t="s">
        <v>49</v>
      </c>
      <c r="D203">
        <v>8.1999999999999993</v>
      </c>
    </row>
    <row r="204" spans="1:4" x14ac:dyDescent="0.25">
      <c r="A204" t="s">
        <v>460</v>
      </c>
      <c r="B204" t="s">
        <v>461</v>
      </c>
      <c r="C204" t="s">
        <v>49</v>
      </c>
      <c r="D204">
        <v>39.599999999999994</v>
      </c>
    </row>
    <row r="205" spans="1:4" x14ac:dyDescent="0.25">
      <c r="A205" t="s">
        <v>463</v>
      </c>
      <c r="B205" t="s">
        <v>464</v>
      </c>
      <c r="C205" t="s">
        <v>49</v>
      </c>
      <c r="D205">
        <v>12.42</v>
      </c>
    </row>
    <row r="206" spans="1:4" x14ac:dyDescent="0.25">
      <c r="A206" t="s">
        <v>466</v>
      </c>
      <c r="B206" t="s">
        <v>467</v>
      </c>
      <c r="C206" t="s">
        <v>49</v>
      </c>
      <c r="D206">
        <v>47.599999999999994</v>
      </c>
    </row>
    <row r="207" spans="1:4" x14ac:dyDescent="0.25">
      <c r="A207" t="s">
        <v>250</v>
      </c>
      <c r="B207" t="s">
        <v>251</v>
      </c>
      <c r="C207" t="s">
        <v>49</v>
      </c>
      <c r="D207">
        <v>87.36</v>
      </c>
    </row>
    <row r="208" spans="1:4" x14ac:dyDescent="0.25">
      <c r="A208" t="s">
        <v>253</v>
      </c>
      <c r="B208" t="s">
        <v>254</v>
      </c>
      <c r="C208" t="s">
        <v>49</v>
      </c>
      <c r="D208">
        <v>65</v>
      </c>
    </row>
    <row r="209" spans="1:4" x14ac:dyDescent="0.25">
      <c r="A209" t="s">
        <v>256</v>
      </c>
      <c r="B209" t="s">
        <v>257</v>
      </c>
      <c r="C209" t="s">
        <v>49</v>
      </c>
      <c r="D209">
        <v>49.44</v>
      </c>
    </row>
    <row r="210" spans="1:4" x14ac:dyDescent="0.25">
      <c r="A210" t="s">
        <v>75</v>
      </c>
      <c r="B210" t="s">
        <v>76</v>
      </c>
      <c r="C210" t="s">
        <v>49</v>
      </c>
      <c r="D210">
        <v>8.1</v>
      </c>
    </row>
    <row r="211" spans="1:4" x14ac:dyDescent="0.25">
      <c r="A211" t="s">
        <v>52</v>
      </c>
      <c r="B211" t="s">
        <v>53</v>
      </c>
      <c r="C211" t="s">
        <v>49</v>
      </c>
      <c r="D211">
        <v>7.6</v>
      </c>
    </row>
    <row r="212" spans="1:4" x14ac:dyDescent="0.25">
      <c r="A212" t="s">
        <v>56</v>
      </c>
      <c r="B212" t="s">
        <v>57</v>
      </c>
      <c r="C212" t="s">
        <v>49</v>
      </c>
      <c r="D212">
        <v>16.200000000000003</v>
      </c>
    </row>
    <row r="213" spans="1:4" x14ac:dyDescent="0.25">
      <c r="A213" t="s">
        <v>59</v>
      </c>
      <c r="B213" t="s">
        <v>60</v>
      </c>
      <c r="C213" t="s">
        <v>49</v>
      </c>
      <c r="D213">
        <v>11.55</v>
      </c>
    </row>
    <row r="214" spans="1:4" x14ac:dyDescent="0.25">
      <c r="A214" t="s">
        <v>62</v>
      </c>
      <c r="B214" t="s">
        <v>63</v>
      </c>
      <c r="C214" t="s">
        <v>49</v>
      </c>
      <c r="D214">
        <v>59.849999999999994</v>
      </c>
    </row>
    <row r="215" spans="1:4" x14ac:dyDescent="0.25">
      <c r="A215" t="s">
        <v>65</v>
      </c>
      <c r="B215" t="s">
        <v>66</v>
      </c>
      <c r="C215" t="s">
        <v>49</v>
      </c>
      <c r="D215">
        <v>7.6499999999999995</v>
      </c>
    </row>
    <row r="216" spans="1:4" x14ac:dyDescent="0.25">
      <c r="A216" t="s">
        <v>68</v>
      </c>
      <c r="B216" t="s">
        <v>69</v>
      </c>
      <c r="C216" t="s">
        <v>49</v>
      </c>
      <c r="D216">
        <v>15</v>
      </c>
    </row>
    <row r="217" spans="1:4" x14ac:dyDescent="0.25">
      <c r="A217" t="s">
        <v>109</v>
      </c>
      <c r="B217" t="s">
        <v>110</v>
      </c>
      <c r="C217" t="s">
        <v>49</v>
      </c>
      <c r="D217">
        <v>53.400000000000006</v>
      </c>
    </row>
    <row r="218" spans="1:4" x14ac:dyDescent="0.25">
      <c r="A218" t="s">
        <v>331</v>
      </c>
      <c r="B218" t="s">
        <v>332</v>
      </c>
      <c r="C218" t="s">
        <v>121</v>
      </c>
      <c r="D218">
        <v>24.6</v>
      </c>
    </row>
    <row r="219" spans="1:4" x14ac:dyDescent="0.25">
      <c r="A219" t="s">
        <v>334</v>
      </c>
      <c r="B219" t="s">
        <v>335</v>
      </c>
      <c r="C219" t="s">
        <v>121</v>
      </c>
      <c r="D219">
        <v>5.2</v>
      </c>
    </row>
    <row r="220" spans="1:4" x14ac:dyDescent="0.25">
      <c r="A220" t="s">
        <v>337</v>
      </c>
      <c r="B220" t="s">
        <v>338</v>
      </c>
      <c r="C220" t="s">
        <v>121</v>
      </c>
      <c r="D220">
        <v>5.2</v>
      </c>
    </row>
    <row r="221" spans="1:4" x14ac:dyDescent="0.25">
      <c r="A221" t="s">
        <v>339</v>
      </c>
      <c r="B221" t="s">
        <v>340</v>
      </c>
      <c r="C221" t="s">
        <v>121</v>
      </c>
      <c r="D221">
        <v>5.2</v>
      </c>
    </row>
    <row r="222" spans="1:4" x14ac:dyDescent="0.25">
      <c r="A222" t="s">
        <v>341</v>
      </c>
      <c r="B222" t="s">
        <v>5043</v>
      </c>
      <c r="C222" t="s">
        <v>121</v>
      </c>
      <c r="D222">
        <v>17</v>
      </c>
    </row>
    <row r="223" spans="1:4" x14ac:dyDescent="0.25">
      <c r="A223" t="s">
        <v>322</v>
      </c>
      <c r="B223" t="s">
        <v>323</v>
      </c>
      <c r="C223" t="s">
        <v>49</v>
      </c>
      <c r="D223">
        <v>23.8</v>
      </c>
    </row>
    <row r="224" spans="1:4" x14ac:dyDescent="0.25">
      <c r="A224" t="s">
        <v>324</v>
      </c>
      <c r="B224" t="s">
        <v>325</v>
      </c>
      <c r="C224" t="s">
        <v>49</v>
      </c>
      <c r="D224">
        <v>16.200000000000003</v>
      </c>
    </row>
    <row r="225" spans="1:4" x14ac:dyDescent="0.25">
      <c r="A225" t="s">
        <v>326</v>
      </c>
      <c r="B225" t="s">
        <v>327</v>
      </c>
      <c r="C225" t="s">
        <v>49</v>
      </c>
      <c r="D225">
        <v>18.600000000000001</v>
      </c>
    </row>
    <row r="226" spans="1:4" x14ac:dyDescent="0.25">
      <c r="A226" t="s">
        <v>2753</v>
      </c>
      <c r="B226" t="s">
        <v>2754</v>
      </c>
      <c r="C226" t="s">
        <v>49</v>
      </c>
      <c r="D226">
        <v>30.299999999999997</v>
      </c>
    </row>
    <row r="227" spans="1:4" x14ac:dyDescent="0.25">
      <c r="A227" t="s">
        <v>3532</v>
      </c>
      <c r="B227" t="s">
        <v>3533</v>
      </c>
      <c r="C227" t="s">
        <v>121</v>
      </c>
      <c r="D227">
        <v>60.26</v>
      </c>
    </row>
    <row r="228" spans="1:4" x14ac:dyDescent="0.25">
      <c r="A228" t="s">
        <v>2800</v>
      </c>
      <c r="B228" t="s">
        <v>5189</v>
      </c>
      <c r="C228" t="s">
        <v>121</v>
      </c>
      <c r="D228">
        <v>786.4</v>
      </c>
    </row>
    <row r="229" spans="1:4" x14ac:dyDescent="0.25">
      <c r="A229" t="s">
        <v>5190</v>
      </c>
      <c r="B229" t="s">
        <v>5194</v>
      </c>
      <c r="D229">
        <v>84.8</v>
      </c>
    </row>
    <row r="230" spans="1:4" x14ac:dyDescent="0.25">
      <c r="A230" t="s">
        <v>2803</v>
      </c>
      <c r="B230" t="s">
        <v>5195</v>
      </c>
      <c r="C230" t="s">
        <v>121</v>
      </c>
      <c r="D230">
        <v>610.75</v>
      </c>
    </row>
    <row r="231" spans="1:4" x14ac:dyDescent="0.25">
      <c r="A231" t="s">
        <v>5196</v>
      </c>
      <c r="B231" t="s">
        <v>5200</v>
      </c>
      <c r="D231">
        <v>73.52</v>
      </c>
    </row>
    <row r="232" spans="1:4" x14ac:dyDescent="0.25">
      <c r="A232" t="s">
        <v>2806</v>
      </c>
      <c r="B232" t="s">
        <v>5202</v>
      </c>
      <c r="C232" t="s">
        <v>121</v>
      </c>
      <c r="D232">
        <v>890.55000000000007</v>
      </c>
    </row>
    <row r="233" spans="1:4" x14ac:dyDescent="0.25">
      <c r="A233" t="s">
        <v>5203</v>
      </c>
      <c r="B233" t="s">
        <v>5206</v>
      </c>
      <c r="D233">
        <v>84.8</v>
      </c>
    </row>
    <row r="234" spans="1:4" x14ac:dyDescent="0.25">
      <c r="A234" t="s">
        <v>2809</v>
      </c>
      <c r="B234" t="s">
        <v>2810</v>
      </c>
      <c r="C234" t="s">
        <v>121</v>
      </c>
      <c r="D234">
        <v>374.75</v>
      </c>
    </row>
    <row r="235" spans="1:4" x14ac:dyDescent="0.25">
      <c r="A235" t="s">
        <v>5207</v>
      </c>
      <c r="B235" t="s">
        <v>5208</v>
      </c>
      <c r="D235">
        <v>39.799999999999997</v>
      </c>
    </row>
    <row r="236" spans="1:4" x14ac:dyDescent="0.25">
      <c r="A236" t="s">
        <v>2812</v>
      </c>
      <c r="B236" t="s">
        <v>5212</v>
      </c>
      <c r="C236" t="s">
        <v>121</v>
      </c>
      <c r="D236">
        <v>20.34</v>
      </c>
    </row>
    <row r="237" spans="1:4" x14ac:dyDescent="0.25">
      <c r="A237" t="s">
        <v>2815</v>
      </c>
      <c r="B237" t="s">
        <v>2816</v>
      </c>
      <c r="C237" t="s">
        <v>121</v>
      </c>
      <c r="D237">
        <v>277.62</v>
      </c>
    </row>
    <row r="238" spans="1:4" x14ac:dyDescent="0.25">
      <c r="A238" t="s">
        <v>2818</v>
      </c>
      <c r="B238" t="s">
        <v>2819</v>
      </c>
      <c r="C238" t="s">
        <v>121</v>
      </c>
      <c r="D238">
        <v>359.6</v>
      </c>
    </row>
    <row r="239" spans="1:4" x14ac:dyDescent="0.25">
      <c r="A239" t="s">
        <v>2855</v>
      </c>
      <c r="B239" t="s">
        <v>2856</v>
      </c>
      <c r="C239" t="s">
        <v>121</v>
      </c>
      <c r="D239">
        <v>11.879999999999999</v>
      </c>
    </row>
    <row r="240" spans="1:4" x14ac:dyDescent="0.25">
      <c r="A240" t="s">
        <v>5254</v>
      </c>
      <c r="B240" t="s">
        <v>5270</v>
      </c>
      <c r="C240" t="s">
        <v>121</v>
      </c>
      <c r="D240">
        <v>81.540000000000006</v>
      </c>
    </row>
    <row r="241" spans="1:4" x14ac:dyDescent="0.25">
      <c r="A241" t="s">
        <v>5257</v>
      </c>
      <c r="B241" t="s">
        <v>5272</v>
      </c>
      <c r="C241" t="s">
        <v>121</v>
      </c>
      <c r="D241">
        <v>63.36</v>
      </c>
    </row>
    <row r="242" spans="1:4" x14ac:dyDescent="0.25">
      <c r="A242" t="s">
        <v>5315</v>
      </c>
      <c r="B242" t="s">
        <v>5316</v>
      </c>
      <c r="C242" t="s">
        <v>49</v>
      </c>
      <c r="D242">
        <v>1833.58</v>
      </c>
    </row>
    <row r="243" spans="1:4" x14ac:dyDescent="0.25">
      <c r="A243" t="s">
        <v>5319</v>
      </c>
      <c r="B243" t="s">
        <v>5320</v>
      </c>
      <c r="C243" t="s">
        <v>49</v>
      </c>
      <c r="D243">
        <v>1719.98</v>
      </c>
    </row>
    <row r="244" spans="1:4" x14ac:dyDescent="0.25">
      <c r="A244" t="s">
        <v>5323</v>
      </c>
      <c r="B244" t="s">
        <v>5324</v>
      </c>
      <c r="C244" t="s">
        <v>49</v>
      </c>
      <c r="D244">
        <v>2781.56</v>
      </c>
    </row>
    <row r="245" spans="1:4" x14ac:dyDescent="0.25">
      <c r="A245" t="s">
        <v>5369</v>
      </c>
      <c r="B245" t="s">
        <v>5370</v>
      </c>
      <c r="C245" t="s">
        <v>49</v>
      </c>
      <c r="D245">
        <v>30.599999999999998</v>
      </c>
    </row>
    <row r="246" spans="1:4" x14ac:dyDescent="0.25">
      <c r="A246" t="s">
        <v>5399</v>
      </c>
      <c r="B246" t="s">
        <v>5400</v>
      </c>
      <c r="C246" t="s">
        <v>49</v>
      </c>
      <c r="D246">
        <v>394.6</v>
      </c>
    </row>
    <row r="247" spans="1:4" x14ac:dyDescent="0.25">
      <c r="A247" t="s">
        <v>5403</v>
      </c>
      <c r="B247" t="s">
        <v>5404</v>
      </c>
      <c r="D247">
        <v>53.120000000000005</v>
      </c>
    </row>
    <row r="248" spans="1:4" x14ac:dyDescent="0.25">
      <c r="A248" t="s">
        <v>5406</v>
      </c>
      <c r="B248" t="s">
        <v>5407</v>
      </c>
      <c r="D248">
        <v>61.519999999999996</v>
      </c>
    </row>
    <row r="249" spans="1:4" x14ac:dyDescent="0.25">
      <c r="A249" t="s">
        <v>5502</v>
      </c>
      <c r="B249" t="s">
        <v>5503</v>
      </c>
      <c r="C249" t="s">
        <v>49</v>
      </c>
      <c r="D249">
        <v>81.56</v>
      </c>
    </row>
    <row r="250" spans="1:4" x14ac:dyDescent="0.25">
      <c r="A250" t="s">
        <v>5505</v>
      </c>
      <c r="B250" t="s">
        <v>5506</v>
      </c>
      <c r="C250" t="s">
        <v>49</v>
      </c>
      <c r="D250">
        <v>63.980000000000004</v>
      </c>
    </row>
    <row r="251" spans="1:4" x14ac:dyDescent="0.25">
      <c r="A251" t="s">
        <v>2858</v>
      </c>
      <c r="B251" t="s">
        <v>2859</v>
      </c>
      <c r="C251" t="s">
        <v>49</v>
      </c>
      <c r="D251">
        <v>566.91999999999996</v>
      </c>
    </row>
    <row r="252" spans="1:4" x14ac:dyDescent="0.25">
      <c r="A252" t="s">
        <v>2861</v>
      </c>
      <c r="B252" t="s">
        <v>2862</v>
      </c>
      <c r="C252" t="s">
        <v>49</v>
      </c>
      <c r="D252">
        <v>487.94</v>
      </c>
    </row>
    <row r="253" spans="1:4" x14ac:dyDescent="0.25">
      <c r="A253" t="s">
        <v>2864</v>
      </c>
      <c r="B253" t="s">
        <v>2865</v>
      </c>
      <c r="C253" t="s">
        <v>49</v>
      </c>
      <c r="D253">
        <v>875.9</v>
      </c>
    </row>
    <row r="254" spans="1:4" x14ac:dyDescent="0.25">
      <c r="A254" t="s">
        <v>2867</v>
      </c>
      <c r="B254" t="s">
        <v>2868</v>
      </c>
      <c r="C254" t="s">
        <v>49</v>
      </c>
      <c r="D254">
        <v>116.52</v>
      </c>
    </row>
    <row r="255" spans="1:4" x14ac:dyDescent="0.25">
      <c r="A255" t="s">
        <v>2870</v>
      </c>
      <c r="B255" t="s">
        <v>2871</v>
      </c>
      <c r="C255" t="s">
        <v>49</v>
      </c>
      <c r="D255">
        <v>457.92999999999995</v>
      </c>
    </row>
    <row r="256" spans="1:4" x14ac:dyDescent="0.25">
      <c r="A256" t="s">
        <v>5527</v>
      </c>
      <c r="B256" t="s">
        <v>5528</v>
      </c>
      <c r="D256">
        <v>47.33</v>
      </c>
    </row>
    <row r="257" spans="1:4" x14ac:dyDescent="0.25">
      <c r="A257" t="s">
        <v>5530</v>
      </c>
      <c r="B257" t="s">
        <v>5531</v>
      </c>
      <c r="D257">
        <v>58.41</v>
      </c>
    </row>
    <row r="258" spans="1:4" x14ac:dyDescent="0.25">
      <c r="A258" t="s">
        <v>2894</v>
      </c>
      <c r="B258" t="s">
        <v>2895</v>
      </c>
      <c r="C258" t="s">
        <v>49</v>
      </c>
      <c r="D258">
        <v>828.72</v>
      </c>
    </row>
    <row r="259" spans="1:4" x14ac:dyDescent="0.25">
      <c r="A259" t="s">
        <v>2897</v>
      </c>
      <c r="B259" t="s">
        <v>2898</v>
      </c>
      <c r="C259" t="s">
        <v>49</v>
      </c>
      <c r="D259">
        <v>805.12</v>
      </c>
    </row>
    <row r="260" spans="1:4" x14ac:dyDescent="0.25">
      <c r="A260" t="s">
        <v>2900</v>
      </c>
      <c r="B260" t="s">
        <v>2901</v>
      </c>
      <c r="C260" t="s">
        <v>49</v>
      </c>
      <c r="D260">
        <v>138.88</v>
      </c>
    </row>
    <row r="261" spans="1:4" x14ac:dyDescent="0.25">
      <c r="A261" t="s">
        <v>2903</v>
      </c>
      <c r="B261" t="s">
        <v>2904</v>
      </c>
      <c r="C261" t="s">
        <v>49</v>
      </c>
      <c r="D261">
        <v>980.52</v>
      </c>
    </row>
    <row r="262" spans="1:4" x14ac:dyDescent="0.25">
      <c r="A262" t="s">
        <v>2906</v>
      </c>
      <c r="B262" t="s">
        <v>2907</v>
      </c>
      <c r="C262" t="s">
        <v>49</v>
      </c>
      <c r="D262">
        <v>575.76</v>
      </c>
    </row>
    <row r="263" spans="1:4" x14ac:dyDescent="0.25">
      <c r="A263" t="s">
        <v>5554</v>
      </c>
      <c r="B263" t="s">
        <v>5555</v>
      </c>
      <c r="D263">
        <v>49.15</v>
      </c>
    </row>
    <row r="264" spans="1:4" x14ac:dyDescent="0.25">
      <c r="A264" t="s">
        <v>5557</v>
      </c>
      <c r="B264" t="s">
        <v>5558</v>
      </c>
      <c r="D264">
        <v>46.15</v>
      </c>
    </row>
    <row r="265" spans="1:4" x14ac:dyDescent="0.25">
      <c r="A265" t="s">
        <v>2909</v>
      </c>
      <c r="B265" t="s">
        <v>2910</v>
      </c>
      <c r="C265" t="s">
        <v>49</v>
      </c>
      <c r="D265">
        <v>11.879999999999999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AC9C1-A49A-4FD7-AD6A-23DDF1881B24}">
  <sheetPr>
    <tabColor theme="9" tint="0.39997558519241921"/>
  </sheetPr>
  <dimension ref="A1:D793"/>
  <sheetViews>
    <sheetView workbookViewId="0">
      <selection activeCell="D1" sqref="D1"/>
    </sheetView>
  </sheetViews>
  <sheetFormatPr defaultRowHeight="15" x14ac:dyDescent="0.25"/>
  <cols>
    <col min="1" max="1" width="14.7109375" bestFit="1" customWidth="1"/>
    <col min="2" max="2" width="31.5703125" bestFit="1" customWidth="1"/>
    <col min="3" max="3" width="5.28515625" bestFit="1" customWidth="1"/>
    <col min="4" max="4" width="18.42578125" customWidth="1"/>
  </cols>
  <sheetData>
    <row r="1" spans="1:4" x14ac:dyDescent="0.25">
      <c r="A1" t="s">
        <v>5619</v>
      </c>
      <c r="B1" t="s">
        <v>5615</v>
      </c>
      <c r="C1" t="s">
        <v>5597</v>
      </c>
      <c r="D1" t="s">
        <v>5620</v>
      </c>
    </row>
    <row r="2" spans="1:4" x14ac:dyDescent="0.25">
      <c r="A2" t="s">
        <v>5621</v>
      </c>
      <c r="B2" t="s">
        <v>5622</v>
      </c>
      <c r="C2" t="s">
        <v>7205</v>
      </c>
      <c r="D2">
        <v>5.3999999999999995</v>
      </c>
    </row>
    <row r="3" spans="1:4" x14ac:dyDescent="0.25">
      <c r="A3" t="s">
        <v>5623</v>
      </c>
      <c r="B3" t="s">
        <v>5624</v>
      </c>
      <c r="C3" t="s">
        <v>7205</v>
      </c>
      <c r="D3">
        <v>6</v>
      </c>
    </row>
    <row r="4" spans="1:4" x14ac:dyDescent="0.25">
      <c r="A4" t="s">
        <v>5625</v>
      </c>
      <c r="B4" t="s">
        <v>5626</v>
      </c>
      <c r="C4" t="s">
        <v>7205</v>
      </c>
      <c r="D4">
        <v>31</v>
      </c>
    </row>
    <row r="5" spans="1:4" x14ac:dyDescent="0.25">
      <c r="A5" t="s">
        <v>5627</v>
      </c>
      <c r="B5" t="s">
        <v>5628</v>
      </c>
      <c r="C5" t="s">
        <v>7205</v>
      </c>
      <c r="D5">
        <v>9.9499999999999993</v>
      </c>
    </row>
    <row r="6" spans="1:4" x14ac:dyDescent="0.25">
      <c r="A6" t="s">
        <v>5629</v>
      </c>
      <c r="B6" t="s">
        <v>5630</v>
      </c>
      <c r="C6" t="s">
        <v>7205</v>
      </c>
      <c r="D6">
        <v>4.05</v>
      </c>
    </row>
    <row r="7" spans="1:4" x14ac:dyDescent="0.25">
      <c r="A7" t="s">
        <v>5631</v>
      </c>
      <c r="B7" t="s">
        <v>5632</v>
      </c>
      <c r="C7" t="s">
        <v>7205</v>
      </c>
      <c r="D7">
        <v>4.0600000000000005</v>
      </c>
    </row>
    <row r="8" spans="1:4" x14ac:dyDescent="0.25">
      <c r="A8" t="s">
        <v>5633</v>
      </c>
      <c r="B8" t="s">
        <v>5634</v>
      </c>
      <c r="C8" t="s">
        <v>7205</v>
      </c>
      <c r="D8">
        <v>4.05</v>
      </c>
    </row>
    <row r="9" spans="1:4" x14ac:dyDescent="0.25">
      <c r="A9" t="s">
        <v>5635</v>
      </c>
      <c r="B9" t="s">
        <v>5636</v>
      </c>
      <c r="C9" t="s">
        <v>7205</v>
      </c>
      <c r="D9">
        <v>11.1</v>
      </c>
    </row>
    <row r="10" spans="1:4" x14ac:dyDescent="0.25">
      <c r="A10" t="s">
        <v>5637</v>
      </c>
      <c r="B10" t="s">
        <v>5638</v>
      </c>
      <c r="C10" t="s">
        <v>7205</v>
      </c>
      <c r="D10">
        <v>5.9</v>
      </c>
    </row>
    <row r="11" spans="1:4" x14ac:dyDescent="0.25">
      <c r="A11" t="s">
        <v>5639</v>
      </c>
      <c r="B11" t="s">
        <v>5640</v>
      </c>
      <c r="C11" t="s">
        <v>7205</v>
      </c>
      <c r="D11">
        <v>8.6</v>
      </c>
    </row>
    <row r="12" spans="1:4" x14ac:dyDescent="0.25">
      <c r="A12" t="s">
        <v>5641</v>
      </c>
      <c r="B12" t="s">
        <v>5642</v>
      </c>
      <c r="C12" t="s">
        <v>7205</v>
      </c>
      <c r="D12">
        <v>4.2</v>
      </c>
    </row>
    <row r="13" spans="1:4" x14ac:dyDescent="0.25">
      <c r="A13" t="s">
        <v>5643</v>
      </c>
      <c r="B13" t="s">
        <v>5644</v>
      </c>
      <c r="C13" t="s">
        <v>7205</v>
      </c>
      <c r="D13">
        <v>3.9</v>
      </c>
    </row>
    <row r="14" spans="1:4" x14ac:dyDescent="0.25">
      <c r="A14" t="s">
        <v>5645</v>
      </c>
      <c r="B14" t="s">
        <v>5646</v>
      </c>
      <c r="C14" t="s">
        <v>7205</v>
      </c>
      <c r="D14">
        <v>4.3</v>
      </c>
    </row>
    <row r="15" spans="1:4" x14ac:dyDescent="0.25">
      <c r="A15" t="s">
        <v>5647</v>
      </c>
      <c r="B15" t="s">
        <v>5648</v>
      </c>
      <c r="C15" t="s">
        <v>7205</v>
      </c>
      <c r="D15">
        <v>0.85000000000000009</v>
      </c>
    </row>
    <row r="16" spans="1:4" x14ac:dyDescent="0.25">
      <c r="A16" t="s">
        <v>5649</v>
      </c>
      <c r="B16" t="s">
        <v>5650</v>
      </c>
      <c r="C16" t="s">
        <v>7205</v>
      </c>
      <c r="D16">
        <v>11.1</v>
      </c>
    </row>
    <row r="17" spans="1:4" x14ac:dyDescent="0.25">
      <c r="A17" t="s">
        <v>5651</v>
      </c>
      <c r="B17" t="s">
        <v>5652</v>
      </c>
      <c r="C17" t="s">
        <v>7205</v>
      </c>
      <c r="D17">
        <v>5.9</v>
      </c>
    </row>
    <row r="18" spans="1:4" x14ac:dyDescent="0.25">
      <c r="A18" t="s">
        <v>5653</v>
      </c>
      <c r="B18" t="s">
        <v>5654</v>
      </c>
      <c r="C18" t="s">
        <v>7205</v>
      </c>
      <c r="D18">
        <v>5.7</v>
      </c>
    </row>
    <row r="19" spans="1:4" x14ac:dyDescent="0.25">
      <c r="A19" t="s">
        <v>5655</v>
      </c>
      <c r="B19" t="s">
        <v>5656</v>
      </c>
      <c r="C19" t="s">
        <v>7205</v>
      </c>
      <c r="D19">
        <v>2.2999999999999998</v>
      </c>
    </row>
    <row r="20" spans="1:4" x14ac:dyDescent="0.25">
      <c r="A20" t="s">
        <v>5657</v>
      </c>
      <c r="B20" t="s">
        <v>5658</v>
      </c>
      <c r="C20" t="s">
        <v>7205</v>
      </c>
      <c r="D20">
        <v>4.75</v>
      </c>
    </row>
    <row r="21" spans="1:4" x14ac:dyDescent="0.25">
      <c r="A21" t="s">
        <v>5659</v>
      </c>
      <c r="B21" t="s">
        <v>5660</v>
      </c>
      <c r="C21" t="s">
        <v>7205</v>
      </c>
      <c r="D21">
        <v>1.2</v>
      </c>
    </row>
    <row r="22" spans="1:4" x14ac:dyDescent="0.25">
      <c r="A22" t="s">
        <v>5661</v>
      </c>
      <c r="B22" t="s">
        <v>5662</v>
      </c>
      <c r="C22" t="s">
        <v>7205</v>
      </c>
      <c r="D22">
        <v>4.5999999999999996</v>
      </c>
    </row>
    <row r="23" spans="1:4" x14ac:dyDescent="0.25">
      <c r="A23" t="s">
        <v>5663</v>
      </c>
      <c r="B23" t="s">
        <v>5664</v>
      </c>
      <c r="C23" t="s">
        <v>7205</v>
      </c>
      <c r="D23">
        <v>12.600000000000001</v>
      </c>
    </row>
    <row r="24" spans="1:4" x14ac:dyDescent="0.25">
      <c r="A24" t="s">
        <v>5665</v>
      </c>
      <c r="B24" t="s">
        <v>5666</v>
      </c>
      <c r="C24" t="s">
        <v>7205</v>
      </c>
      <c r="D24">
        <v>4.05</v>
      </c>
    </row>
    <row r="25" spans="1:4" x14ac:dyDescent="0.25">
      <c r="A25" t="s">
        <v>5667</v>
      </c>
      <c r="B25" t="s">
        <v>5668</v>
      </c>
      <c r="C25" t="s">
        <v>7205</v>
      </c>
      <c r="D25">
        <v>0.92</v>
      </c>
    </row>
    <row r="26" spans="1:4" x14ac:dyDescent="0.25">
      <c r="A26" t="s">
        <v>5669</v>
      </c>
      <c r="B26" t="s">
        <v>5670</v>
      </c>
      <c r="C26" t="s">
        <v>7205</v>
      </c>
      <c r="D26">
        <v>2.3499999999999996</v>
      </c>
    </row>
    <row r="27" spans="1:4" x14ac:dyDescent="0.25">
      <c r="A27" t="s">
        <v>5671</v>
      </c>
      <c r="B27" t="s">
        <v>5672</v>
      </c>
      <c r="C27" t="s">
        <v>7205</v>
      </c>
      <c r="D27">
        <v>4.75</v>
      </c>
    </row>
    <row r="28" spans="1:4" x14ac:dyDescent="0.25">
      <c r="A28" t="s">
        <v>5673</v>
      </c>
      <c r="B28" t="s">
        <v>5674</v>
      </c>
      <c r="C28" t="s">
        <v>7205</v>
      </c>
      <c r="D28">
        <v>108.52</v>
      </c>
    </row>
    <row r="29" spans="1:4" x14ac:dyDescent="0.25">
      <c r="A29" t="s">
        <v>5675</v>
      </c>
      <c r="B29" t="s">
        <v>5676</v>
      </c>
      <c r="C29" t="s">
        <v>7205</v>
      </c>
      <c r="D29">
        <v>37.75</v>
      </c>
    </row>
    <row r="30" spans="1:4" x14ac:dyDescent="0.25">
      <c r="A30" t="s">
        <v>5677</v>
      </c>
      <c r="B30" t="s">
        <v>5678</v>
      </c>
      <c r="C30" t="s">
        <v>7205</v>
      </c>
      <c r="D30">
        <v>124.7</v>
      </c>
    </row>
    <row r="31" spans="1:4" x14ac:dyDescent="0.25">
      <c r="A31" t="s">
        <v>5679</v>
      </c>
      <c r="B31" t="s">
        <v>5680</v>
      </c>
      <c r="C31" t="s">
        <v>7205</v>
      </c>
      <c r="D31">
        <v>97.550000000000011</v>
      </c>
    </row>
    <row r="32" spans="1:4" x14ac:dyDescent="0.25">
      <c r="A32" t="s">
        <v>5681</v>
      </c>
      <c r="B32" t="s">
        <v>5682</v>
      </c>
      <c r="C32" t="s">
        <v>7205</v>
      </c>
      <c r="D32">
        <v>110.64000000000001</v>
      </c>
    </row>
    <row r="33" spans="1:4" x14ac:dyDescent="0.25">
      <c r="A33" t="s">
        <v>5683</v>
      </c>
      <c r="B33" t="s">
        <v>5684</v>
      </c>
      <c r="C33" t="s">
        <v>7205</v>
      </c>
      <c r="D33">
        <v>38</v>
      </c>
    </row>
    <row r="34" spans="1:4" x14ac:dyDescent="0.25">
      <c r="A34" t="s">
        <v>5685</v>
      </c>
      <c r="B34" t="s">
        <v>5686</v>
      </c>
      <c r="C34" t="s">
        <v>7205</v>
      </c>
      <c r="D34">
        <v>48.3</v>
      </c>
    </row>
    <row r="35" spans="1:4" x14ac:dyDescent="0.25">
      <c r="A35" t="s">
        <v>5687</v>
      </c>
      <c r="B35" t="s">
        <v>5688</v>
      </c>
      <c r="C35" t="s">
        <v>7205</v>
      </c>
      <c r="D35">
        <v>115.36</v>
      </c>
    </row>
    <row r="36" spans="1:4" x14ac:dyDescent="0.25">
      <c r="A36" t="s">
        <v>5689</v>
      </c>
      <c r="B36" t="s">
        <v>5690</v>
      </c>
      <c r="C36" t="s">
        <v>7205</v>
      </c>
      <c r="D36">
        <v>64.61</v>
      </c>
    </row>
    <row r="37" spans="1:4" x14ac:dyDescent="0.25">
      <c r="A37" t="s">
        <v>5691</v>
      </c>
      <c r="B37" t="s">
        <v>5692</v>
      </c>
      <c r="C37" t="s">
        <v>7205</v>
      </c>
      <c r="D37">
        <v>34.959999999999994</v>
      </c>
    </row>
    <row r="38" spans="1:4" x14ac:dyDescent="0.25">
      <c r="A38" t="s">
        <v>5693</v>
      </c>
      <c r="B38" t="s">
        <v>5694</v>
      </c>
      <c r="C38" t="s">
        <v>7205</v>
      </c>
      <c r="D38">
        <v>81.300000000000011</v>
      </c>
    </row>
    <row r="39" spans="1:4" x14ac:dyDescent="0.25">
      <c r="A39" t="s">
        <v>5695</v>
      </c>
      <c r="B39" t="s">
        <v>5696</v>
      </c>
      <c r="C39" t="s">
        <v>7205</v>
      </c>
      <c r="D39">
        <v>41.75</v>
      </c>
    </row>
    <row r="40" spans="1:4" x14ac:dyDescent="0.25">
      <c r="A40" t="s">
        <v>5697</v>
      </c>
      <c r="B40" t="s">
        <v>5698</v>
      </c>
      <c r="C40" t="s">
        <v>7205</v>
      </c>
      <c r="D40">
        <v>82.580000000000013</v>
      </c>
    </row>
    <row r="41" spans="1:4" x14ac:dyDescent="0.25">
      <c r="A41" t="s">
        <v>5699</v>
      </c>
      <c r="B41" t="s">
        <v>5700</v>
      </c>
      <c r="C41" t="s">
        <v>7205</v>
      </c>
      <c r="D41">
        <v>45.949999999999996</v>
      </c>
    </row>
    <row r="42" spans="1:4" x14ac:dyDescent="0.25">
      <c r="A42" t="s">
        <v>5701</v>
      </c>
      <c r="B42" t="s">
        <v>5702</v>
      </c>
      <c r="C42" t="s">
        <v>7205</v>
      </c>
      <c r="D42">
        <v>65.989999999999995</v>
      </c>
    </row>
    <row r="43" spans="1:4" x14ac:dyDescent="0.25">
      <c r="A43" t="s">
        <v>5703</v>
      </c>
      <c r="B43" t="s">
        <v>5704</v>
      </c>
      <c r="C43" t="s">
        <v>7205</v>
      </c>
      <c r="D43">
        <v>36.5</v>
      </c>
    </row>
    <row r="44" spans="1:4" x14ac:dyDescent="0.25">
      <c r="A44" t="s">
        <v>5705</v>
      </c>
      <c r="B44" t="s">
        <v>5706</v>
      </c>
      <c r="C44" t="s">
        <v>7205</v>
      </c>
      <c r="D44">
        <v>77.8</v>
      </c>
    </row>
    <row r="45" spans="1:4" x14ac:dyDescent="0.25">
      <c r="A45" t="s">
        <v>5707</v>
      </c>
      <c r="B45" t="s">
        <v>5708</v>
      </c>
      <c r="C45" t="s">
        <v>7205</v>
      </c>
      <c r="D45">
        <v>86.3</v>
      </c>
    </row>
    <row r="46" spans="1:4" x14ac:dyDescent="0.25">
      <c r="A46" t="s">
        <v>5709</v>
      </c>
      <c r="B46" t="s">
        <v>5710</v>
      </c>
      <c r="C46" t="s">
        <v>7205</v>
      </c>
      <c r="D46">
        <v>529.06999999999994</v>
      </c>
    </row>
    <row r="47" spans="1:4" x14ac:dyDescent="0.25">
      <c r="A47" t="s">
        <v>5711</v>
      </c>
      <c r="B47" t="s">
        <v>5712</v>
      </c>
      <c r="C47" t="s">
        <v>7205</v>
      </c>
      <c r="D47">
        <v>27.8</v>
      </c>
    </row>
    <row r="48" spans="1:4" x14ac:dyDescent="0.25">
      <c r="A48" t="s">
        <v>5713</v>
      </c>
      <c r="B48" t="s">
        <v>5714</v>
      </c>
      <c r="C48" t="s">
        <v>7205</v>
      </c>
      <c r="D48">
        <v>27.700000000000003</v>
      </c>
    </row>
    <row r="49" spans="1:4" x14ac:dyDescent="0.25">
      <c r="A49" t="s">
        <v>5715</v>
      </c>
      <c r="B49" t="s">
        <v>5716</v>
      </c>
      <c r="C49" t="s">
        <v>7205</v>
      </c>
      <c r="D49">
        <v>19.3</v>
      </c>
    </row>
    <row r="50" spans="1:4" x14ac:dyDescent="0.25">
      <c r="A50" t="s">
        <v>5717</v>
      </c>
      <c r="B50" t="s">
        <v>5718</v>
      </c>
      <c r="C50" t="s">
        <v>7205</v>
      </c>
      <c r="D50">
        <v>19.25</v>
      </c>
    </row>
    <row r="51" spans="1:4" x14ac:dyDescent="0.25">
      <c r="A51" t="s">
        <v>5719</v>
      </c>
      <c r="B51" t="s">
        <v>5720</v>
      </c>
      <c r="C51" t="s">
        <v>7205</v>
      </c>
      <c r="D51">
        <v>461.41999999999996</v>
      </c>
    </row>
    <row r="52" spans="1:4" x14ac:dyDescent="0.25">
      <c r="A52" t="s">
        <v>5721</v>
      </c>
      <c r="B52" t="s">
        <v>5722</v>
      </c>
      <c r="C52" t="s">
        <v>7205</v>
      </c>
      <c r="D52">
        <v>25.38</v>
      </c>
    </row>
    <row r="53" spans="1:4" x14ac:dyDescent="0.25">
      <c r="A53" t="s">
        <v>5723</v>
      </c>
      <c r="B53" t="s">
        <v>5724</v>
      </c>
      <c r="C53" t="s">
        <v>7205</v>
      </c>
      <c r="D53">
        <v>301.93999999999994</v>
      </c>
    </row>
    <row r="54" spans="1:4" x14ac:dyDescent="0.25">
      <c r="A54" t="s">
        <v>5725</v>
      </c>
      <c r="B54" t="s">
        <v>5726</v>
      </c>
      <c r="C54" t="s">
        <v>7205</v>
      </c>
      <c r="D54">
        <v>452.14</v>
      </c>
    </row>
    <row r="55" spans="1:4" x14ac:dyDescent="0.25">
      <c r="A55" t="s">
        <v>5727</v>
      </c>
      <c r="B55" t="s">
        <v>5728</v>
      </c>
      <c r="C55" t="s">
        <v>7205</v>
      </c>
      <c r="D55">
        <v>982.1400000000001</v>
      </c>
    </row>
    <row r="56" spans="1:4" x14ac:dyDescent="0.25">
      <c r="A56" t="s">
        <v>5729</v>
      </c>
      <c r="B56" t="s">
        <v>5730</v>
      </c>
      <c r="C56" t="s">
        <v>7205</v>
      </c>
      <c r="D56">
        <v>106.7</v>
      </c>
    </row>
    <row r="57" spans="1:4" x14ac:dyDescent="0.25">
      <c r="A57" t="s">
        <v>5731</v>
      </c>
      <c r="B57" t="s">
        <v>5732</v>
      </c>
      <c r="C57" t="s">
        <v>7205</v>
      </c>
      <c r="D57">
        <v>1545.01</v>
      </c>
    </row>
    <row r="58" spans="1:4" x14ac:dyDescent="0.25">
      <c r="A58" t="s">
        <v>5733</v>
      </c>
      <c r="B58" t="s">
        <v>5734</v>
      </c>
      <c r="C58" t="s">
        <v>7205</v>
      </c>
      <c r="D58">
        <v>1566.75</v>
      </c>
    </row>
    <row r="59" spans="1:4" x14ac:dyDescent="0.25">
      <c r="A59" t="s">
        <v>5735</v>
      </c>
      <c r="B59" t="s">
        <v>5736</v>
      </c>
      <c r="C59" t="s">
        <v>7205</v>
      </c>
      <c r="D59">
        <v>1711.94</v>
      </c>
    </row>
    <row r="60" spans="1:4" x14ac:dyDescent="0.25">
      <c r="A60" t="s">
        <v>5737</v>
      </c>
      <c r="B60" t="s">
        <v>5738</v>
      </c>
      <c r="C60" t="s">
        <v>7205</v>
      </c>
      <c r="D60">
        <v>13.8</v>
      </c>
    </row>
    <row r="61" spans="1:4" x14ac:dyDescent="0.25">
      <c r="A61" t="s">
        <v>5739</v>
      </c>
      <c r="B61" t="s">
        <v>5740</v>
      </c>
      <c r="C61" t="s">
        <v>7205</v>
      </c>
      <c r="D61">
        <v>104.8</v>
      </c>
    </row>
    <row r="62" spans="1:4" x14ac:dyDescent="0.25">
      <c r="A62" t="s">
        <v>5741</v>
      </c>
      <c r="B62" t="s">
        <v>5742</v>
      </c>
      <c r="C62" t="s">
        <v>7205</v>
      </c>
      <c r="D62">
        <v>85.449999999999989</v>
      </c>
    </row>
    <row r="63" spans="1:4" x14ac:dyDescent="0.25">
      <c r="A63" t="s">
        <v>5743</v>
      </c>
      <c r="B63" t="s">
        <v>5744</v>
      </c>
      <c r="C63" t="s">
        <v>7205</v>
      </c>
      <c r="D63">
        <v>15.7</v>
      </c>
    </row>
    <row r="64" spans="1:4" x14ac:dyDescent="0.25">
      <c r="A64" t="s">
        <v>5745</v>
      </c>
      <c r="B64" t="s">
        <v>5746</v>
      </c>
      <c r="C64" t="s">
        <v>7205</v>
      </c>
      <c r="D64">
        <v>10.7</v>
      </c>
    </row>
    <row r="65" spans="1:4" x14ac:dyDescent="0.25">
      <c r="A65" t="s">
        <v>5747</v>
      </c>
      <c r="B65" t="s">
        <v>5748</v>
      </c>
      <c r="C65" t="s">
        <v>7205</v>
      </c>
      <c r="D65">
        <v>17.100000000000001</v>
      </c>
    </row>
    <row r="66" spans="1:4" x14ac:dyDescent="0.25">
      <c r="A66" t="s">
        <v>5749</v>
      </c>
      <c r="B66" t="s">
        <v>5750</v>
      </c>
      <c r="C66" t="s">
        <v>7205</v>
      </c>
      <c r="D66">
        <v>124.85</v>
      </c>
    </row>
    <row r="67" spans="1:4" x14ac:dyDescent="0.25">
      <c r="A67" t="s">
        <v>5751</v>
      </c>
      <c r="B67" t="s">
        <v>5752</v>
      </c>
      <c r="C67" t="s">
        <v>7205</v>
      </c>
      <c r="D67">
        <v>12.649999999999999</v>
      </c>
    </row>
    <row r="68" spans="1:4" x14ac:dyDescent="0.25">
      <c r="A68" t="s">
        <v>5753</v>
      </c>
      <c r="B68" t="s">
        <v>5754</v>
      </c>
      <c r="C68" t="s">
        <v>7205</v>
      </c>
      <c r="D68">
        <v>17.2</v>
      </c>
    </row>
    <row r="69" spans="1:4" x14ac:dyDescent="0.25">
      <c r="A69" t="s">
        <v>5755</v>
      </c>
      <c r="B69" t="s">
        <v>5756</v>
      </c>
      <c r="C69" t="s">
        <v>7205</v>
      </c>
      <c r="D69">
        <v>4.2</v>
      </c>
    </row>
    <row r="70" spans="1:4" x14ac:dyDescent="0.25">
      <c r="A70" t="s">
        <v>5757</v>
      </c>
      <c r="B70" t="s">
        <v>5758</v>
      </c>
      <c r="C70" t="s">
        <v>7205</v>
      </c>
      <c r="D70">
        <v>8.75</v>
      </c>
    </row>
    <row r="71" spans="1:4" x14ac:dyDescent="0.25">
      <c r="A71" t="s">
        <v>5759</v>
      </c>
      <c r="B71" t="s">
        <v>5760</v>
      </c>
      <c r="C71" t="s">
        <v>7205</v>
      </c>
      <c r="D71">
        <v>15.25</v>
      </c>
    </row>
    <row r="72" spans="1:4" x14ac:dyDescent="0.25">
      <c r="A72" t="s">
        <v>5761</v>
      </c>
      <c r="B72" t="s">
        <v>5762</v>
      </c>
      <c r="C72" t="s">
        <v>7205</v>
      </c>
      <c r="D72">
        <v>69.050000000000011</v>
      </c>
    </row>
    <row r="73" spans="1:4" x14ac:dyDescent="0.25">
      <c r="A73" t="s">
        <v>5763</v>
      </c>
      <c r="B73" t="s">
        <v>5764</v>
      </c>
      <c r="C73" t="s">
        <v>7205</v>
      </c>
      <c r="D73">
        <v>4.01</v>
      </c>
    </row>
    <row r="74" spans="1:4" x14ac:dyDescent="0.25">
      <c r="A74" t="s">
        <v>5765</v>
      </c>
      <c r="B74" t="s">
        <v>5766</v>
      </c>
      <c r="C74" t="s">
        <v>7205</v>
      </c>
      <c r="D74">
        <v>24.4</v>
      </c>
    </row>
    <row r="75" spans="1:4" x14ac:dyDescent="0.25">
      <c r="A75" t="s">
        <v>5767</v>
      </c>
      <c r="B75" t="s">
        <v>5768</v>
      </c>
      <c r="C75" t="s">
        <v>7205</v>
      </c>
      <c r="D75">
        <v>31.1</v>
      </c>
    </row>
    <row r="76" spans="1:4" x14ac:dyDescent="0.25">
      <c r="A76" t="s">
        <v>5769</v>
      </c>
      <c r="B76" t="s">
        <v>5770</v>
      </c>
      <c r="C76" t="s">
        <v>7205</v>
      </c>
      <c r="D76">
        <v>26.200000000000003</v>
      </c>
    </row>
    <row r="77" spans="1:4" x14ac:dyDescent="0.25">
      <c r="A77" t="s">
        <v>5771</v>
      </c>
      <c r="B77" t="s">
        <v>5772</v>
      </c>
      <c r="C77" t="s">
        <v>7205</v>
      </c>
      <c r="D77">
        <v>27.55</v>
      </c>
    </row>
    <row r="78" spans="1:4" x14ac:dyDescent="0.25">
      <c r="A78" t="s">
        <v>5773</v>
      </c>
      <c r="B78" t="s">
        <v>5774</v>
      </c>
      <c r="C78" t="s">
        <v>7205</v>
      </c>
      <c r="D78">
        <v>27.000000000000004</v>
      </c>
    </row>
    <row r="79" spans="1:4" x14ac:dyDescent="0.25">
      <c r="A79" t="s">
        <v>5775</v>
      </c>
      <c r="B79" t="s">
        <v>5776</v>
      </c>
      <c r="C79" t="s">
        <v>7205</v>
      </c>
      <c r="D79">
        <v>26.15</v>
      </c>
    </row>
    <row r="80" spans="1:4" x14ac:dyDescent="0.25">
      <c r="A80" t="s">
        <v>5777</v>
      </c>
      <c r="B80" t="s">
        <v>5778</v>
      </c>
      <c r="C80" t="s">
        <v>7205</v>
      </c>
      <c r="D80">
        <v>170</v>
      </c>
    </row>
    <row r="81" spans="1:4" x14ac:dyDescent="0.25">
      <c r="A81" t="s">
        <v>5779</v>
      </c>
      <c r="B81" t="s">
        <v>5780</v>
      </c>
      <c r="C81" t="s">
        <v>7205</v>
      </c>
      <c r="D81">
        <v>15.4</v>
      </c>
    </row>
    <row r="82" spans="1:4" x14ac:dyDescent="0.25">
      <c r="A82" t="s">
        <v>5781</v>
      </c>
      <c r="B82" t="s">
        <v>5782</v>
      </c>
      <c r="C82" t="s">
        <v>7205</v>
      </c>
      <c r="D82">
        <v>17.600000000000001</v>
      </c>
    </row>
    <row r="83" spans="1:4" x14ac:dyDescent="0.25">
      <c r="A83" t="s">
        <v>5783</v>
      </c>
      <c r="B83" t="s">
        <v>5784</v>
      </c>
      <c r="C83" t="s">
        <v>7205</v>
      </c>
      <c r="D83">
        <v>18.25</v>
      </c>
    </row>
    <row r="84" spans="1:4" x14ac:dyDescent="0.25">
      <c r="A84" t="s">
        <v>5785</v>
      </c>
      <c r="B84" t="s">
        <v>5786</v>
      </c>
      <c r="C84" t="s">
        <v>7205</v>
      </c>
      <c r="D84">
        <v>15.989999999999998</v>
      </c>
    </row>
    <row r="85" spans="1:4" x14ac:dyDescent="0.25">
      <c r="A85" t="s">
        <v>5787</v>
      </c>
      <c r="B85" t="s">
        <v>5788</v>
      </c>
      <c r="C85" t="s">
        <v>7205</v>
      </c>
      <c r="D85">
        <v>16.149999999999999</v>
      </c>
    </row>
    <row r="86" spans="1:4" x14ac:dyDescent="0.25">
      <c r="A86" t="s">
        <v>5789</v>
      </c>
      <c r="B86" t="s">
        <v>5790</v>
      </c>
      <c r="C86" t="s">
        <v>7205</v>
      </c>
      <c r="D86">
        <v>16.93</v>
      </c>
    </row>
    <row r="87" spans="1:4" x14ac:dyDescent="0.25">
      <c r="A87" t="s">
        <v>5791</v>
      </c>
      <c r="B87" t="s">
        <v>5792</v>
      </c>
      <c r="C87" t="s">
        <v>7205</v>
      </c>
      <c r="D87">
        <v>22.369999999999997</v>
      </c>
    </row>
    <row r="88" spans="1:4" x14ac:dyDescent="0.25">
      <c r="A88" t="s">
        <v>5793</v>
      </c>
      <c r="B88" t="s">
        <v>5794</v>
      </c>
      <c r="C88" t="s">
        <v>7205</v>
      </c>
      <c r="D88">
        <v>16.11</v>
      </c>
    </row>
    <row r="89" spans="1:4" x14ac:dyDescent="0.25">
      <c r="A89" t="s">
        <v>5795</v>
      </c>
      <c r="B89" t="s">
        <v>5796</v>
      </c>
      <c r="C89" t="s">
        <v>7205</v>
      </c>
      <c r="D89">
        <v>10.66</v>
      </c>
    </row>
    <row r="90" spans="1:4" x14ac:dyDescent="0.25">
      <c r="A90" t="s">
        <v>5797</v>
      </c>
      <c r="B90" t="s">
        <v>5798</v>
      </c>
      <c r="C90" t="s">
        <v>7205</v>
      </c>
      <c r="D90">
        <v>10.75</v>
      </c>
    </row>
    <row r="91" spans="1:4" x14ac:dyDescent="0.25">
      <c r="A91" t="s">
        <v>5799</v>
      </c>
      <c r="B91" t="s">
        <v>5800</v>
      </c>
      <c r="C91" t="s">
        <v>7205</v>
      </c>
      <c r="D91">
        <v>120.2</v>
      </c>
    </row>
    <row r="92" spans="1:4" x14ac:dyDescent="0.25">
      <c r="A92" t="s">
        <v>5801</v>
      </c>
      <c r="B92" t="s">
        <v>5802</v>
      </c>
      <c r="C92" t="s">
        <v>7205</v>
      </c>
      <c r="D92">
        <v>10.950000000000001</v>
      </c>
    </row>
    <row r="93" spans="1:4" x14ac:dyDescent="0.25">
      <c r="A93" t="s">
        <v>5803</v>
      </c>
      <c r="B93" t="s">
        <v>5804</v>
      </c>
      <c r="C93" t="s">
        <v>7205</v>
      </c>
      <c r="D93">
        <v>3.2</v>
      </c>
    </row>
    <row r="94" spans="1:4" x14ac:dyDescent="0.25">
      <c r="A94" t="s">
        <v>5805</v>
      </c>
      <c r="B94" t="s">
        <v>5806</v>
      </c>
      <c r="C94" t="s">
        <v>7205</v>
      </c>
      <c r="D94">
        <v>7.7</v>
      </c>
    </row>
    <row r="95" spans="1:4" x14ac:dyDescent="0.25">
      <c r="A95" t="s">
        <v>5807</v>
      </c>
      <c r="B95" t="s">
        <v>5808</v>
      </c>
      <c r="C95" t="s">
        <v>7205</v>
      </c>
      <c r="D95">
        <v>79.73</v>
      </c>
    </row>
    <row r="96" spans="1:4" x14ac:dyDescent="0.25">
      <c r="A96" t="s">
        <v>5809</v>
      </c>
      <c r="B96" t="s">
        <v>5810</v>
      </c>
      <c r="C96" t="s">
        <v>7205</v>
      </c>
      <c r="D96">
        <v>28</v>
      </c>
    </row>
    <row r="97" spans="1:4" x14ac:dyDescent="0.25">
      <c r="A97" t="s">
        <v>5811</v>
      </c>
      <c r="B97" t="s">
        <v>5812</v>
      </c>
      <c r="C97" t="s">
        <v>7205</v>
      </c>
      <c r="D97">
        <v>35</v>
      </c>
    </row>
    <row r="98" spans="1:4" x14ac:dyDescent="0.25">
      <c r="A98" t="s">
        <v>5813</v>
      </c>
      <c r="B98" t="s">
        <v>5814</v>
      </c>
      <c r="C98" t="s">
        <v>7205</v>
      </c>
      <c r="D98">
        <v>35</v>
      </c>
    </row>
    <row r="99" spans="1:4" x14ac:dyDescent="0.25">
      <c r="A99" t="s">
        <v>5815</v>
      </c>
      <c r="B99" t="s">
        <v>5816</v>
      </c>
      <c r="C99" t="s">
        <v>7205</v>
      </c>
      <c r="D99">
        <v>11.12</v>
      </c>
    </row>
    <row r="100" spans="1:4" x14ac:dyDescent="0.25">
      <c r="A100" t="s">
        <v>5817</v>
      </c>
      <c r="B100" t="s">
        <v>5818</v>
      </c>
      <c r="C100" t="s">
        <v>7205</v>
      </c>
      <c r="D100">
        <v>35.72</v>
      </c>
    </row>
    <row r="101" spans="1:4" x14ac:dyDescent="0.25">
      <c r="A101" t="s">
        <v>5819</v>
      </c>
      <c r="B101" t="s">
        <v>5820</v>
      </c>
      <c r="C101" t="s">
        <v>7205</v>
      </c>
      <c r="D101">
        <v>35</v>
      </c>
    </row>
    <row r="102" spans="1:4" x14ac:dyDescent="0.25">
      <c r="A102" t="s">
        <v>5821</v>
      </c>
      <c r="B102" t="s">
        <v>5822</v>
      </c>
      <c r="C102" t="s">
        <v>7205</v>
      </c>
      <c r="D102">
        <v>48</v>
      </c>
    </row>
    <row r="103" spans="1:4" x14ac:dyDescent="0.25">
      <c r="A103" t="s">
        <v>5823</v>
      </c>
      <c r="B103" t="s">
        <v>5824</v>
      </c>
      <c r="C103" t="s">
        <v>7205</v>
      </c>
      <c r="D103">
        <v>41.69</v>
      </c>
    </row>
    <row r="104" spans="1:4" x14ac:dyDescent="0.25">
      <c r="A104" t="s">
        <v>5825</v>
      </c>
      <c r="B104" t="s">
        <v>5826</v>
      </c>
      <c r="C104" t="s">
        <v>7205</v>
      </c>
      <c r="D104">
        <v>20.349999999999998</v>
      </c>
    </row>
    <row r="105" spans="1:4" x14ac:dyDescent="0.25">
      <c r="A105" t="s">
        <v>5827</v>
      </c>
      <c r="B105" t="s">
        <v>5828</v>
      </c>
      <c r="C105" t="s">
        <v>7205</v>
      </c>
      <c r="D105">
        <v>20</v>
      </c>
    </row>
    <row r="106" spans="1:4" x14ac:dyDescent="0.25">
      <c r="A106" t="s">
        <v>5829</v>
      </c>
      <c r="B106" t="s">
        <v>5830</v>
      </c>
      <c r="C106" t="s">
        <v>7205</v>
      </c>
      <c r="D106">
        <v>35</v>
      </c>
    </row>
    <row r="107" spans="1:4" x14ac:dyDescent="0.25">
      <c r="A107" t="s">
        <v>5831</v>
      </c>
      <c r="B107" t="s">
        <v>5832</v>
      </c>
      <c r="C107" t="s">
        <v>7205</v>
      </c>
      <c r="D107">
        <v>44.400000000000006</v>
      </c>
    </row>
    <row r="108" spans="1:4" x14ac:dyDescent="0.25">
      <c r="A108" t="s">
        <v>5833</v>
      </c>
      <c r="B108" t="s">
        <v>5834</v>
      </c>
      <c r="C108" t="s">
        <v>7205</v>
      </c>
      <c r="D108">
        <v>47.8</v>
      </c>
    </row>
    <row r="109" spans="1:4" x14ac:dyDescent="0.25">
      <c r="A109" t="s">
        <v>5835</v>
      </c>
      <c r="B109" t="s">
        <v>5836</v>
      </c>
      <c r="C109" t="s">
        <v>7205</v>
      </c>
      <c r="D109">
        <v>70.5</v>
      </c>
    </row>
    <row r="110" spans="1:4" x14ac:dyDescent="0.25">
      <c r="A110" t="s">
        <v>5837</v>
      </c>
      <c r="B110" t="s">
        <v>5838</v>
      </c>
      <c r="C110" t="s">
        <v>7205</v>
      </c>
      <c r="D110">
        <v>11.75</v>
      </c>
    </row>
    <row r="111" spans="1:4" x14ac:dyDescent="0.25">
      <c r="A111" t="s">
        <v>5839</v>
      </c>
      <c r="B111" t="s">
        <v>5840</v>
      </c>
      <c r="C111" t="s">
        <v>7205</v>
      </c>
      <c r="D111">
        <v>130</v>
      </c>
    </row>
    <row r="112" spans="1:4" x14ac:dyDescent="0.25">
      <c r="A112" t="s">
        <v>5841</v>
      </c>
      <c r="B112" t="s">
        <v>5842</v>
      </c>
      <c r="C112" t="s">
        <v>7205</v>
      </c>
      <c r="D112">
        <v>93.800000000000011</v>
      </c>
    </row>
    <row r="113" spans="1:4" x14ac:dyDescent="0.25">
      <c r="A113" t="s">
        <v>5843</v>
      </c>
      <c r="B113" t="s">
        <v>5844</v>
      </c>
      <c r="C113" t="s">
        <v>7205</v>
      </c>
      <c r="D113">
        <v>97.5</v>
      </c>
    </row>
    <row r="114" spans="1:4" x14ac:dyDescent="0.25">
      <c r="A114" t="s">
        <v>5845</v>
      </c>
      <c r="B114" t="s">
        <v>5846</v>
      </c>
      <c r="C114" t="s">
        <v>7205</v>
      </c>
      <c r="D114">
        <v>35.6</v>
      </c>
    </row>
    <row r="115" spans="1:4" x14ac:dyDescent="0.25">
      <c r="A115" t="s">
        <v>5847</v>
      </c>
      <c r="B115" t="s">
        <v>5848</v>
      </c>
      <c r="C115" t="s">
        <v>7205</v>
      </c>
      <c r="D115">
        <v>35</v>
      </c>
    </row>
    <row r="116" spans="1:4" x14ac:dyDescent="0.25">
      <c r="A116" t="s">
        <v>5849</v>
      </c>
      <c r="B116" t="s">
        <v>5850</v>
      </c>
      <c r="C116" t="s">
        <v>7205</v>
      </c>
      <c r="D116">
        <v>86.789999999999992</v>
      </c>
    </row>
    <row r="117" spans="1:4" x14ac:dyDescent="0.25">
      <c r="A117" t="s">
        <v>5851</v>
      </c>
      <c r="B117" t="s">
        <v>5852</v>
      </c>
      <c r="C117" t="s">
        <v>7205</v>
      </c>
      <c r="D117">
        <v>88.199999999999989</v>
      </c>
    </row>
    <row r="118" spans="1:4" x14ac:dyDescent="0.25">
      <c r="A118" t="s">
        <v>5853</v>
      </c>
      <c r="B118" t="s">
        <v>5854</v>
      </c>
      <c r="C118" t="s">
        <v>7205</v>
      </c>
      <c r="D118">
        <v>318.89999999999998</v>
      </c>
    </row>
    <row r="119" spans="1:4" x14ac:dyDescent="0.25">
      <c r="A119" t="s">
        <v>5855</v>
      </c>
      <c r="B119" t="s">
        <v>5856</v>
      </c>
      <c r="C119" t="s">
        <v>7205</v>
      </c>
      <c r="D119">
        <v>318.89999999999998</v>
      </c>
    </row>
    <row r="120" spans="1:4" x14ac:dyDescent="0.25">
      <c r="A120" t="s">
        <v>5857</v>
      </c>
      <c r="B120" t="s">
        <v>5858</v>
      </c>
      <c r="C120" t="s">
        <v>7205</v>
      </c>
      <c r="D120">
        <v>281.25</v>
      </c>
    </row>
    <row r="121" spans="1:4" x14ac:dyDescent="0.25">
      <c r="A121" t="s">
        <v>5859</v>
      </c>
      <c r="B121" t="s">
        <v>5860</v>
      </c>
      <c r="C121" t="s">
        <v>7205</v>
      </c>
      <c r="D121">
        <v>159</v>
      </c>
    </row>
    <row r="122" spans="1:4" x14ac:dyDescent="0.25">
      <c r="A122" t="s">
        <v>5861</v>
      </c>
      <c r="B122" t="s">
        <v>5862</v>
      </c>
      <c r="C122" t="s">
        <v>7205</v>
      </c>
      <c r="D122">
        <v>159</v>
      </c>
    </row>
    <row r="123" spans="1:4" x14ac:dyDescent="0.25">
      <c r="A123" t="s">
        <v>5863</v>
      </c>
      <c r="B123" t="s">
        <v>5864</v>
      </c>
      <c r="C123" t="s">
        <v>7205</v>
      </c>
      <c r="D123">
        <v>3.6</v>
      </c>
    </row>
    <row r="124" spans="1:4" x14ac:dyDescent="0.25">
      <c r="A124" t="s">
        <v>5865</v>
      </c>
      <c r="B124" t="s">
        <v>5866</v>
      </c>
      <c r="C124" t="s">
        <v>7205</v>
      </c>
      <c r="D124">
        <v>1.97</v>
      </c>
    </row>
    <row r="125" spans="1:4" x14ac:dyDescent="0.25">
      <c r="A125" t="s">
        <v>5867</v>
      </c>
      <c r="B125" t="s">
        <v>5868</v>
      </c>
      <c r="C125" t="s">
        <v>7205</v>
      </c>
      <c r="D125">
        <v>4</v>
      </c>
    </row>
    <row r="126" spans="1:4" x14ac:dyDescent="0.25">
      <c r="A126" t="s">
        <v>5869</v>
      </c>
      <c r="B126" t="s">
        <v>5870</v>
      </c>
      <c r="C126" t="s">
        <v>7205</v>
      </c>
      <c r="D126">
        <v>1.2</v>
      </c>
    </row>
    <row r="127" spans="1:4" x14ac:dyDescent="0.25">
      <c r="A127" t="s">
        <v>5871</v>
      </c>
      <c r="B127" t="s">
        <v>5872</v>
      </c>
      <c r="C127" t="s">
        <v>7205</v>
      </c>
      <c r="D127">
        <v>22.9</v>
      </c>
    </row>
    <row r="128" spans="1:4" x14ac:dyDescent="0.25">
      <c r="A128" t="s">
        <v>5873</v>
      </c>
      <c r="B128" t="s">
        <v>5874</v>
      </c>
      <c r="C128" t="s">
        <v>7205</v>
      </c>
      <c r="D128">
        <v>9.3000000000000007</v>
      </c>
    </row>
    <row r="129" spans="1:4" x14ac:dyDescent="0.25">
      <c r="A129" t="s">
        <v>5875</v>
      </c>
      <c r="B129" t="s">
        <v>5876</v>
      </c>
      <c r="C129" t="s">
        <v>7205</v>
      </c>
      <c r="D129">
        <v>7.6</v>
      </c>
    </row>
    <row r="130" spans="1:4" x14ac:dyDescent="0.25">
      <c r="A130" t="s">
        <v>5877</v>
      </c>
      <c r="B130" t="s">
        <v>5878</v>
      </c>
      <c r="C130" t="s">
        <v>7205</v>
      </c>
      <c r="D130">
        <v>58.35</v>
      </c>
    </row>
    <row r="131" spans="1:4" x14ac:dyDescent="0.25">
      <c r="A131" t="s">
        <v>5879</v>
      </c>
      <c r="B131" t="s">
        <v>5880</v>
      </c>
      <c r="C131" t="s">
        <v>7205</v>
      </c>
      <c r="D131">
        <v>81.7</v>
      </c>
    </row>
    <row r="132" spans="1:4" x14ac:dyDescent="0.25">
      <c r="A132" t="s">
        <v>5881</v>
      </c>
      <c r="B132" t="s">
        <v>5882</v>
      </c>
      <c r="C132" t="s">
        <v>7205</v>
      </c>
      <c r="D132">
        <v>89.16</v>
      </c>
    </row>
    <row r="133" spans="1:4" x14ac:dyDescent="0.25">
      <c r="A133" t="s">
        <v>5883</v>
      </c>
      <c r="B133" t="s">
        <v>5884</v>
      </c>
      <c r="C133" t="s">
        <v>7205</v>
      </c>
      <c r="D133">
        <v>13.469999999999999</v>
      </c>
    </row>
    <row r="134" spans="1:4" x14ac:dyDescent="0.25">
      <c r="A134" t="s">
        <v>5885</v>
      </c>
      <c r="B134" t="s">
        <v>5886</v>
      </c>
      <c r="C134" t="s">
        <v>7205</v>
      </c>
      <c r="D134">
        <v>6.85</v>
      </c>
    </row>
    <row r="135" spans="1:4" x14ac:dyDescent="0.25">
      <c r="A135" t="s">
        <v>5887</v>
      </c>
      <c r="B135" t="s">
        <v>5888</v>
      </c>
      <c r="C135" t="s">
        <v>7205</v>
      </c>
      <c r="D135">
        <v>12</v>
      </c>
    </row>
    <row r="136" spans="1:4" x14ac:dyDescent="0.25">
      <c r="A136" t="s">
        <v>5889</v>
      </c>
      <c r="B136" t="s">
        <v>5890</v>
      </c>
      <c r="C136" t="s">
        <v>7205</v>
      </c>
      <c r="D136">
        <v>7.05</v>
      </c>
    </row>
    <row r="137" spans="1:4" x14ac:dyDescent="0.25">
      <c r="A137" t="s">
        <v>5891</v>
      </c>
      <c r="B137" t="s">
        <v>5892</v>
      </c>
      <c r="C137" t="s">
        <v>7205</v>
      </c>
      <c r="D137">
        <v>6.5</v>
      </c>
    </row>
    <row r="138" spans="1:4" x14ac:dyDescent="0.25">
      <c r="A138" t="s">
        <v>5893</v>
      </c>
      <c r="B138" t="s">
        <v>5894</v>
      </c>
      <c r="C138" t="s">
        <v>7205</v>
      </c>
      <c r="D138">
        <v>11.5</v>
      </c>
    </row>
    <row r="139" spans="1:4" x14ac:dyDescent="0.25">
      <c r="A139" t="s">
        <v>5895</v>
      </c>
      <c r="B139" t="s">
        <v>5896</v>
      </c>
      <c r="C139" t="s">
        <v>7205</v>
      </c>
      <c r="D139">
        <v>10.600000000000001</v>
      </c>
    </row>
    <row r="140" spans="1:4" x14ac:dyDescent="0.25">
      <c r="A140" t="s">
        <v>5897</v>
      </c>
      <c r="B140" t="s">
        <v>5898</v>
      </c>
      <c r="C140" t="s">
        <v>7205</v>
      </c>
      <c r="D140">
        <v>14.899999999999999</v>
      </c>
    </row>
    <row r="141" spans="1:4" x14ac:dyDescent="0.25">
      <c r="A141" t="s">
        <v>5899</v>
      </c>
      <c r="B141" t="s">
        <v>5900</v>
      </c>
      <c r="C141" t="s">
        <v>7205</v>
      </c>
      <c r="D141">
        <v>6</v>
      </c>
    </row>
    <row r="142" spans="1:4" x14ac:dyDescent="0.25">
      <c r="A142" t="s">
        <v>5901</v>
      </c>
      <c r="B142" t="s">
        <v>5902</v>
      </c>
      <c r="C142" t="s">
        <v>7205</v>
      </c>
      <c r="D142">
        <v>5.75</v>
      </c>
    </row>
    <row r="143" spans="1:4" x14ac:dyDescent="0.25">
      <c r="A143" t="s">
        <v>5903</v>
      </c>
      <c r="B143" t="s">
        <v>5904</v>
      </c>
      <c r="C143" t="s">
        <v>7205</v>
      </c>
      <c r="D143">
        <v>16.75</v>
      </c>
    </row>
    <row r="144" spans="1:4" x14ac:dyDescent="0.25">
      <c r="A144" t="s">
        <v>5905</v>
      </c>
      <c r="B144" t="s">
        <v>5906</v>
      </c>
      <c r="C144" t="s">
        <v>7205</v>
      </c>
      <c r="D144">
        <v>11.5</v>
      </c>
    </row>
    <row r="145" spans="1:4" x14ac:dyDescent="0.25">
      <c r="A145" t="s">
        <v>5907</v>
      </c>
      <c r="B145" t="s">
        <v>5908</v>
      </c>
      <c r="C145" t="s">
        <v>7205</v>
      </c>
      <c r="D145">
        <v>11.299999999999999</v>
      </c>
    </row>
    <row r="146" spans="1:4" x14ac:dyDescent="0.25">
      <c r="A146" t="s">
        <v>5909</v>
      </c>
      <c r="B146" t="s">
        <v>5910</v>
      </c>
      <c r="C146" t="s">
        <v>7205</v>
      </c>
      <c r="D146">
        <v>13.1</v>
      </c>
    </row>
    <row r="147" spans="1:4" x14ac:dyDescent="0.25">
      <c r="A147" t="s">
        <v>5911</v>
      </c>
      <c r="B147" t="s">
        <v>5912</v>
      </c>
      <c r="C147" t="s">
        <v>7205</v>
      </c>
      <c r="D147">
        <v>12.649999999999999</v>
      </c>
    </row>
    <row r="148" spans="1:4" x14ac:dyDescent="0.25">
      <c r="A148" t="s">
        <v>5913</v>
      </c>
      <c r="B148" t="s">
        <v>5914</v>
      </c>
      <c r="C148" t="s">
        <v>7205</v>
      </c>
      <c r="D148">
        <v>8.9499999999999993</v>
      </c>
    </row>
    <row r="149" spans="1:4" x14ac:dyDescent="0.25">
      <c r="A149" t="s">
        <v>5915</v>
      </c>
      <c r="B149" t="s">
        <v>5916</v>
      </c>
      <c r="C149" t="s">
        <v>7205</v>
      </c>
      <c r="D149">
        <v>8.85</v>
      </c>
    </row>
    <row r="150" spans="1:4" x14ac:dyDescent="0.25">
      <c r="A150" t="s">
        <v>5917</v>
      </c>
      <c r="B150" t="s">
        <v>5918</v>
      </c>
      <c r="C150" t="s">
        <v>7205</v>
      </c>
      <c r="D150">
        <v>3.4000000000000004</v>
      </c>
    </row>
    <row r="151" spans="1:4" x14ac:dyDescent="0.25">
      <c r="A151" t="s">
        <v>5919</v>
      </c>
      <c r="B151" t="s">
        <v>5920</v>
      </c>
      <c r="C151" t="s">
        <v>7205</v>
      </c>
      <c r="D151">
        <v>14.45</v>
      </c>
    </row>
    <row r="152" spans="1:4" x14ac:dyDescent="0.25">
      <c r="A152" t="s">
        <v>5921</v>
      </c>
      <c r="B152" t="s">
        <v>5922</v>
      </c>
      <c r="C152" t="s">
        <v>7205</v>
      </c>
      <c r="D152">
        <v>8.25</v>
      </c>
    </row>
    <row r="153" spans="1:4" x14ac:dyDescent="0.25">
      <c r="A153" t="s">
        <v>5923</v>
      </c>
      <c r="B153" t="s">
        <v>5924</v>
      </c>
      <c r="C153" t="s">
        <v>7205</v>
      </c>
      <c r="D153">
        <v>5.9</v>
      </c>
    </row>
    <row r="154" spans="1:4" x14ac:dyDescent="0.25">
      <c r="A154" t="s">
        <v>5925</v>
      </c>
      <c r="B154" t="s">
        <v>5926</v>
      </c>
      <c r="C154" t="s">
        <v>7205</v>
      </c>
      <c r="D154">
        <v>60</v>
      </c>
    </row>
    <row r="155" spans="1:4" x14ac:dyDescent="0.25">
      <c r="A155" t="s">
        <v>5927</v>
      </c>
      <c r="B155" t="s">
        <v>5928</v>
      </c>
      <c r="C155" t="s">
        <v>7205</v>
      </c>
      <c r="D155">
        <v>65.2</v>
      </c>
    </row>
    <row r="156" spans="1:4" x14ac:dyDescent="0.25">
      <c r="A156" t="s">
        <v>5929</v>
      </c>
      <c r="B156" t="s">
        <v>5930</v>
      </c>
      <c r="C156" t="s">
        <v>7205</v>
      </c>
      <c r="D156">
        <v>70.92</v>
      </c>
    </row>
    <row r="157" spans="1:4" x14ac:dyDescent="0.25">
      <c r="A157" t="s">
        <v>5931</v>
      </c>
      <c r="B157" t="s">
        <v>5932</v>
      </c>
      <c r="C157" t="s">
        <v>7205</v>
      </c>
      <c r="D157">
        <v>6.6899999999999995</v>
      </c>
    </row>
    <row r="158" spans="1:4" x14ac:dyDescent="0.25">
      <c r="A158" t="s">
        <v>5933</v>
      </c>
      <c r="B158" t="s">
        <v>5934</v>
      </c>
      <c r="C158" t="s">
        <v>7205</v>
      </c>
      <c r="D158">
        <v>52</v>
      </c>
    </row>
    <row r="159" spans="1:4" x14ac:dyDescent="0.25">
      <c r="A159" t="s">
        <v>5935</v>
      </c>
      <c r="B159" t="s">
        <v>5936</v>
      </c>
      <c r="C159" t="s">
        <v>7205</v>
      </c>
      <c r="D159">
        <v>9.5</v>
      </c>
    </row>
    <row r="160" spans="1:4" x14ac:dyDescent="0.25">
      <c r="A160" t="s">
        <v>5937</v>
      </c>
      <c r="B160" t="s">
        <v>5938</v>
      </c>
      <c r="C160" t="s">
        <v>7205</v>
      </c>
      <c r="D160">
        <v>1.1500000000000001</v>
      </c>
    </row>
    <row r="161" spans="1:4" x14ac:dyDescent="0.25">
      <c r="A161" t="s">
        <v>5939</v>
      </c>
      <c r="B161" t="s">
        <v>5940</v>
      </c>
      <c r="C161" t="s">
        <v>7205</v>
      </c>
      <c r="D161">
        <v>21.05</v>
      </c>
    </row>
    <row r="162" spans="1:4" x14ac:dyDescent="0.25">
      <c r="A162" t="s">
        <v>5941</v>
      </c>
      <c r="B162" t="s">
        <v>5942</v>
      </c>
      <c r="C162" t="s">
        <v>7205</v>
      </c>
      <c r="D162">
        <v>69.2</v>
      </c>
    </row>
    <row r="163" spans="1:4" x14ac:dyDescent="0.25">
      <c r="A163" t="s">
        <v>5943</v>
      </c>
      <c r="B163" t="s">
        <v>5944</v>
      </c>
      <c r="C163" t="s">
        <v>7205</v>
      </c>
      <c r="D163">
        <v>59.5</v>
      </c>
    </row>
    <row r="164" spans="1:4" x14ac:dyDescent="0.25">
      <c r="A164" t="s">
        <v>5945</v>
      </c>
      <c r="B164" t="s">
        <v>5946</v>
      </c>
      <c r="C164" t="s">
        <v>7205</v>
      </c>
      <c r="D164">
        <v>68.400000000000006</v>
      </c>
    </row>
    <row r="165" spans="1:4" x14ac:dyDescent="0.25">
      <c r="A165" t="s">
        <v>5947</v>
      </c>
      <c r="B165" t="s">
        <v>5948</v>
      </c>
      <c r="C165" t="s">
        <v>7205</v>
      </c>
      <c r="D165">
        <v>75</v>
      </c>
    </row>
    <row r="166" spans="1:4" x14ac:dyDescent="0.25">
      <c r="A166" t="s">
        <v>5949</v>
      </c>
      <c r="B166" t="s">
        <v>5950</v>
      </c>
      <c r="C166" t="s">
        <v>7205</v>
      </c>
      <c r="D166">
        <v>69.400000000000006</v>
      </c>
    </row>
    <row r="167" spans="1:4" x14ac:dyDescent="0.25">
      <c r="A167" t="s">
        <v>5951</v>
      </c>
      <c r="B167" t="s">
        <v>5952</v>
      </c>
      <c r="C167" t="s">
        <v>7205</v>
      </c>
      <c r="D167">
        <v>48.3</v>
      </c>
    </row>
    <row r="168" spans="1:4" x14ac:dyDescent="0.25">
      <c r="A168" t="s">
        <v>5953</v>
      </c>
      <c r="B168" t="s">
        <v>5954</v>
      </c>
      <c r="C168" t="s">
        <v>7205</v>
      </c>
      <c r="D168">
        <v>68.25</v>
      </c>
    </row>
    <row r="169" spans="1:4" x14ac:dyDescent="0.25">
      <c r="A169" t="s">
        <v>5955</v>
      </c>
      <c r="B169" t="s">
        <v>5956</v>
      </c>
      <c r="C169" t="s">
        <v>7205</v>
      </c>
      <c r="D169">
        <v>61.2</v>
      </c>
    </row>
    <row r="170" spans="1:4" x14ac:dyDescent="0.25">
      <c r="A170" t="s">
        <v>5957</v>
      </c>
      <c r="B170" t="s">
        <v>5958</v>
      </c>
      <c r="C170" t="s">
        <v>7205</v>
      </c>
      <c r="D170">
        <v>69.45</v>
      </c>
    </row>
    <row r="171" spans="1:4" x14ac:dyDescent="0.25">
      <c r="A171" t="s">
        <v>5959</v>
      </c>
      <c r="B171" t="s">
        <v>5960</v>
      </c>
      <c r="C171" t="s">
        <v>7205</v>
      </c>
      <c r="D171">
        <v>28.7</v>
      </c>
    </row>
    <row r="172" spans="1:4" x14ac:dyDescent="0.25">
      <c r="A172" t="s">
        <v>5961</v>
      </c>
      <c r="B172" t="s">
        <v>5962</v>
      </c>
      <c r="C172" t="s">
        <v>7205</v>
      </c>
      <c r="D172">
        <v>31.95</v>
      </c>
    </row>
    <row r="173" spans="1:4" x14ac:dyDescent="0.25">
      <c r="A173" t="s">
        <v>5963</v>
      </c>
      <c r="B173" t="s">
        <v>5964</v>
      </c>
      <c r="C173" t="s">
        <v>7205</v>
      </c>
      <c r="D173">
        <v>38.450000000000003</v>
      </c>
    </row>
    <row r="174" spans="1:4" x14ac:dyDescent="0.25">
      <c r="A174" t="s">
        <v>5965</v>
      </c>
      <c r="B174" t="s">
        <v>5966</v>
      </c>
      <c r="C174" t="s">
        <v>7205</v>
      </c>
      <c r="D174">
        <v>48.7</v>
      </c>
    </row>
    <row r="175" spans="1:4" x14ac:dyDescent="0.25">
      <c r="A175" t="s">
        <v>5967</v>
      </c>
      <c r="B175" t="s">
        <v>5968</v>
      </c>
      <c r="C175" t="s">
        <v>7205</v>
      </c>
      <c r="D175">
        <v>56.2</v>
      </c>
    </row>
    <row r="176" spans="1:4" x14ac:dyDescent="0.25">
      <c r="A176" t="s">
        <v>5969</v>
      </c>
      <c r="B176" t="s">
        <v>5970</v>
      </c>
      <c r="C176" t="s">
        <v>7205</v>
      </c>
      <c r="D176">
        <v>50.8</v>
      </c>
    </row>
    <row r="177" spans="1:4" x14ac:dyDescent="0.25">
      <c r="A177" t="s">
        <v>5971</v>
      </c>
      <c r="B177" t="s">
        <v>5972</v>
      </c>
      <c r="C177" t="s">
        <v>7205</v>
      </c>
      <c r="D177">
        <v>66.099999999999994</v>
      </c>
    </row>
    <row r="178" spans="1:4" x14ac:dyDescent="0.25">
      <c r="A178" t="s">
        <v>5973</v>
      </c>
      <c r="B178" t="s">
        <v>5974</v>
      </c>
      <c r="C178" t="s">
        <v>7205</v>
      </c>
      <c r="D178">
        <v>56</v>
      </c>
    </row>
    <row r="179" spans="1:4" x14ac:dyDescent="0.25">
      <c r="A179" t="s">
        <v>5975</v>
      </c>
      <c r="B179" t="s">
        <v>5976</v>
      </c>
      <c r="C179" t="s">
        <v>7205</v>
      </c>
      <c r="D179">
        <v>35.200000000000003</v>
      </c>
    </row>
    <row r="180" spans="1:4" x14ac:dyDescent="0.25">
      <c r="A180" t="s">
        <v>5977</v>
      </c>
      <c r="B180" t="s">
        <v>5978</v>
      </c>
      <c r="C180" t="s">
        <v>7205</v>
      </c>
      <c r="D180">
        <v>33</v>
      </c>
    </row>
    <row r="181" spans="1:4" x14ac:dyDescent="0.25">
      <c r="A181" t="s">
        <v>5979</v>
      </c>
      <c r="B181" t="s">
        <v>5980</v>
      </c>
      <c r="C181" t="s">
        <v>7205</v>
      </c>
      <c r="D181">
        <v>64.92</v>
      </c>
    </row>
    <row r="182" spans="1:4" x14ac:dyDescent="0.25">
      <c r="A182" t="s">
        <v>5981</v>
      </c>
      <c r="B182" t="s">
        <v>5982</v>
      </c>
      <c r="C182" t="s">
        <v>7205</v>
      </c>
      <c r="D182">
        <v>65.75</v>
      </c>
    </row>
    <row r="183" spans="1:4" x14ac:dyDescent="0.25">
      <c r="A183" t="s">
        <v>5983</v>
      </c>
      <c r="B183" t="s">
        <v>5984</v>
      </c>
      <c r="C183" t="s">
        <v>7205</v>
      </c>
      <c r="D183">
        <v>45.4</v>
      </c>
    </row>
    <row r="184" spans="1:4" x14ac:dyDescent="0.25">
      <c r="A184" t="s">
        <v>5985</v>
      </c>
      <c r="B184" t="s">
        <v>5986</v>
      </c>
      <c r="C184" t="s">
        <v>7205</v>
      </c>
      <c r="D184">
        <v>31.95</v>
      </c>
    </row>
    <row r="185" spans="1:4" x14ac:dyDescent="0.25">
      <c r="A185" t="s">
        <v>5987</v>
      </c>
      <c r="B185" t="s">
        <v>5988</v>
      </c>
      <c r="C185" t="s">
        <v>7205</v>
      </c>
      <c r="D185">
        <v>35.200000000000003</v>
      </c>
    </row>
    <row r="186" spans="1:4" x14ac:dyDescent="0.25">
      <c r="A186" t="s">
        <v>5989</v>
      </c>
      <c r="B186" t="s">
        <v>5990</v>
      </c>
      <c r="C186" t="s">
        <v>7205</v>
      </c>
      <c r="D186">
        <v>46.05</v>
      </c>
    </row>
    <row r="187" spans="1:4" x14ac:dyDescent="0.25">
      <c r="A187" t="s">
        <v>5991</v>
      </c>
      <c r="B187" t="s">
        <v>5992</v>
      </c>
      <c r="C187" t="s">
        <v>7205</v>
      </c>
      <c r="D187">
        <v>49.5</v>
      </c>
    </row>
    <row r="188" spans="1:4" x14ac:dyDescent="0.25">
      <c r="A188" t="s">
        <v>5993</v>
      </c>
      <c r="B188" t="s">
        <v>5994</v>
      </c>
      <c r="C188" t="s">
        <v>7205</v>
      </c>
      <c r="D188">
        <v>50.8</v>
      </c>
    </row>
    <row r="189" spans="1:4" x14ac:dyDescent="0.25">
      <c r="A189" t="s">
        <v>5995</v>
      </c>
      <c r="B189" t="s">
        <v>5996</v>
      </c>
      <c r="C189" t="s">
        <v>7205</v>
      </c>
      <c r="D189">
        <v>30</v>
      </c>
    </row>
    <row r="190" spans="1:4" x14ac:dyDescent="0.25">
      <c r="A190" t="s">
        <v>5997</v>
      </c>
      <c r="B190" t="s">
        <v>5998</v>
      </c>
      <c r="C190" t="s">
        <v>7205</v>
      </c>
      <c r="D190">
        <v>46.7</v>
      </c>
    </row>
    <row r="191" spans="1:4" x14ac:dyDescent="0.25">
      <c r="A191" t="s">
        <v>5999</v>
      </c>
      <c r="B191" t="s">
        <v>6000</v>
      </c>
      <c r="C191" t="s">
        <v>7205</v>
      </c>
      <c r="D191">
        <v>29.349999999999998</v>
      </c>
    </row>
    <row r="192" spans="1:4" x14ac:dyDescent="0.25">
      <c r="A192" t="s">
        <v>6001</v>
      </c>
      <c r="B192" t="s">
        <v>6002</v>
      </c>
      <c r="C192" t="s">
        <v>7205</v>
      </c>
      <c r="D192">
        <v>140</v>
      </c>
    </row>
    <row r="193" spans="1:4" x14ac:dyDescent="0.25">
      <c r="A193" t="s">
        <v>6003</v>
      </c>
      <c r="B193" t="s">
        <v>6004</v>
      </c>
      <c r="C193" t="s">
        <v>7205</v>
      </c>
      <c r="D193">
        <v>324</v>
      </c>
    </row>
    <row r="194" spans="1:4" x14ac:dyDescent="0.25">
      <c r="A194" t="s">
        <v>6005</v>
      </c>
      <c r="B194" t="s">
        <v>6006</v>
      </c>
      <c r="C194" t="s">
        <v>7205</v>
      </c>
      <c r="D194">
        <v>495</v>
      </c>
    </row>
    <row r="195" spans="1:4" x14ac:dyDescent="0.25">
      <c r="A195" t="s">
        <v>6007</v>
      </c>
      <c r="B195" t="s">
        <v>6008</v>
      </c>
      <c r="C195" t="s">
        <v>7205</v>
      </c>
      <c r="D195">
        <v>632</v>
      </c>
    </row>
    <row r="196" spans="1:4" x14ac:dyDescent="0.25">
      <c r="A196" t="s">
        <v>6009</v>
      </c>
      <c r="B196" t="s">
        <v>6010</v>
      </c>
      <c r="C196" t="s">
        <v>7205</v>
      </c>
      <c r="D196">
        <v>324</v>
      </c>
    </row>
    <row r="197" spans="1:4" x14ac:dyDescent="0.25">
      <c r="A197" t="s">
        <v>6011</v>
      </c>
      <c r="B197" t="s">
        <v>6012</v>
      </c>
      <c r="C197" t="s">
        <v>7205</v>
      </c>
      <c r="D197">
        <v>134</v>
      </c>
    </row>
    <row r="198" spans="1:4" x14ac:dyDescent="0.25">
      <c r="A198" t="s">
        <v>6013</v>
      </c>
      <c r="B198" t="s">
        <v>6014</v>
      </c>
      <c r="C198" t="s">
        <v>7205</v>
      </c>
      <c r="D198">
        <v>30.81</v>
      </c>
    </row>
    <row r="199" spans="1:4" x14ac:dyDescent="0.25">
      <c r="A199" t="s">
        <v>6015</v>
      </c>
      <c r="B199" t="s">
        <v>6016</v>
      </c>
      <c r="C199" t="s">
        <v>7205</v>
      </c>
      <c r="D199">
        <v>10.799999999999999</v>
      </c>
    </row>
    <row r="200" spans="1:4" x14ac:dyDescent="0.25">
      <c r="A200" t="s">
        <v>6017</v>
      </c>
      <c r="B200" t="s">
        <v>6018</v>
      </c>
      <c r="C200" t="s">
        <v>7205</v>
      </c>
      <c r="D200">
        <v>3</v>
      </c>
    </row>
    <row r="201" spans="1:4" x14ac:dyDescent="0.25">
      <c r="A201" t="s">
        <v>6019</v>
      </c>
      <c r="B201" t="s">
        <v>6020</v>
      </c>
      <c r="C201" t="s">
        <v>7205</v>
      </c>
      <c r="D201">
        <v>24.75</v>
      </c>
    </row>
    <row r="202" spans="1:4" x14ac:dyDescent="0.25">
      <c r="A202" t="s">
        <v>6021</v>
      </c>
      <c r="B202" t="s">
        <v>6022</v>
      </c>
      <c r="C202" t="s">
        <v>7205</v>
      </c>
      <c r="D202">
        <v>27.549999999999997</v>
      </c>
    </row>
    <row r="203" spans="1:4" x14ac:dyDescent="0.25">
      <c r="A203" t="s">
        <v>6023</v>
      </c>
      <c r="B203" t="s">
        <v>6024</v>
      </c>
      <c r="C203" t="s">
        <v>7205</v>
      </c>
      <c r="D203">
        <v>8.4500000000000011</v>
      </c>
    </row>
    <row r="204" spans="1:4" x14ac:dyDescent="0.25">
      <c r="A204" t="s">
        <v>6025</v>
      </c>
      <c r="B204" t="s">
        <v>6026</v>
      </c>
      <c r="C204" t="s">
        <v>7205</v>
      </c>
      <c r="D204">
        <v>84.15</v>
      </c>
    </row>
    <row r="205" spans="1:4" x14ac:dyDescent="0.25">
      <c r="A205" t="s">
        <v>6027</v>
      </c>
      <c r="B205" t="s">
        <v>6028</v>
      </c>
      <c r="C205" t="s">
        <v>7205</v>
      </c>
      <c r="D205">
        <v>4.5999999999999996</v>
      </c>
    </row>
    <row r="206" spans="1:4" x14ac:dyDescent="0.25">
      <c r="A206" t="s">
        <v>6029</v>
      </c>
      <c r="B206" t="s">
        <v>6030</v>
      </c>
      <c r="C206" t="s">
        <v>7205</v>
      </c>
      <c r="D206">
        <v>5.3000000000000007</v>
      </c>
    </row>
    <row r="207" spans="1:4" x14ac:dyDescent="0.25">
      <c r="A207" t="s">
        <v>6031</v>
      </c>
      <c r="B207" t="s">
        <v>6032</v>
      </c>
      <c r="C207" t="s">
        <v>7205</v>
      </c>
      <c r="D207">
        <v>5.2</v>
      </c>
    </row>
    <row r="208" spans="1:4" x14ac:dyDescent="0.25">
      <c r="A208" t="s">
        <v>6033</v>
      </c>
      <c r="B208" t="s">
        <v>6034</v>
      </c>
      <c r="C208" t="s">
        <v>7205</v>
      </c>
      <c r="D208">
        <v>8.879999999999999</v>
      </c>
    </row>
    <row r="209" spans="1:4" x14ac:dyDescent="0.25">
      <c r="A209" t="s">
        <v>6035</v>
      </c>
      <c r="B209" t="s">
        <v>6036</v>
      </c>
      <c r="C209" t="s">
        <v>7205</v>
      </c>
      <c r="D209">
        <v>215.02</v>
      </c>
    </row>
    <row r="210" spans="1:4" x14ac:dyDescent="0.25">
      <c r="A210" t="s">
        <v>6037</v>
      </c>
      <c r="B210" t="s">
        <v>6038</v>
      </c>
      <c r="C210" t="s">
        <v>7205</v>
      </c>
      <c r="D210">
        <v>254.95999999999998</v>
      </c>
    </row>
    <row r="211" spans="1:4" x14ac:dyDescent="0.25">
      <c r="A211" t="s">
        <v>6039</v>
      </c>
      <c r="B211" t="s">
        <v>6040</v>
      </c>
      <c r="C211" t="s">
        <v>7205</v>
      </c>
      <c r="D211">
        <v>214.31</v>
      </c>
    </row>
    <row r="212" spans="1:4" x14ac:dyDescent="0.25">
      <c r="A212" t="s">
        <v>6041</v>
      </c>
      <c r="B212" t="s">
        <v>6042</v>
      </c>
      <c r="C212" t="s">
        <v>7205</v>
      </c>
      <c r="D212">
        <v>252.63</v>
      </c>
    </row>
    <row r="213" spans="1:4" x14ac:dyDescent="0.25">
      <c r="A213" t="s">
        <v>6043</v>
      </c>
      <c r="B213" t="s">
        <v>6044</v>
      </c>
      <c r="C213" t="s">
        <v>7205</v>
      </c>
      <c r="D213">
        <v>86.5</v>
      </c>
    </row>
    <row r="214" spans="1:4" x14ac:dyDescent="0.25">
      <c r="A214" t="s">
        <v>6045</v>
      </c>
      <c r="B214" t="s">
        <v>6046</v>
      </c>
      <c r="C214" t="s">
        <v>7205</v>
      </c>
      <c r="D214">
        <v>71</v>
      </c>
    </row>
    <row r="215" spans="1:4" x14ac:dyDescent="0.25">
      <c r="A215" t="s">
        <v>6047</v>
      </c>
      <c r="B215" t="s">
        <v>6048</v>
      </c>
      <c r="C215" t="s">
        <v>7205</v>
      </c>
      <c r="D215">
        <v>37.6</v>
      </c>
    </row>
    <row r="216" spans="1:4" x14ac:dyDescent="0.25">
      <c r="A216" t="s">
        <v>6049</v>
      </c>
      <c r="B216" t="s">
        <v>6050</v>
      </c>
      <c r="C216" t="s">
        <v>7205</v>
      </c>
      <c r="D216">
        <v>81.599999999999994</v>
      </c>
    </row>
    <row r="217" spans="1:4" x14ac:dyDescent="0.25">
      <c r="A217" t="s">
        <v>6051</v>
      </c>
      <c r="B217" t="s">
        <v>6052</v>
      </c>
      <c r="C217" t="s">
        <v>7205</v>
      </c>
      <c r="D217">
        <v>5.4499999999999993</v>
      </c>
    </row>
    <row r="218" spans="1:4" x14ac:dyDescent="0.25">
      <c r="A218" t="s">
        <v>6053</v>
      </c>
      <c r="B218" t="s">
        <v>6054</v>
      </c>
      <c r="C218" t="s">
        <v>7205</v>
      </c>
      <c r="D218">
        <v>57.4</v>
      </c>
    </row>
    <row r="219" spans="1:4" x14ac:dyDescent="0.25">
      <c r="A219" t="s">
        <v>6055</v>
      </c>
      <c r="B219" t="s">
        <v>6056</v>
      </c>
      <c r="C219" t="s">
        <v>7205</v>
      </c>
      <c r="D219">
        <v>50.7</v>
      </c>
    </row>
    <row r="220" spans="1:4" x14ac:dyDescent="0.25">
      <c r="A220" t="s">
        <v>6057</v>
      </c>
      <c r="B220" t="s">
        <v>6058</v>
      </c>
      <c r="C220" t="s">
        <v>7205</v>
      </c>
      <c r="D220">
        <v>57.66</v>
      </c>
    </row>
    <row r="221" spans="1:4" x14ac:dyDescent="0.25">
      <c r="A221" t="s">
        <v>6059</v>
      </c>
      <c r="B221" t="s">
        <v>6060</v>
      </c>
      <c r="C221" t="s">
        <v>7205</v>
      </c>
      <c r="D221">
        <v>23.43</v>
      </c>
    </row>
    <row r="222" spans="1:4" x14ac:dyDescent="0.25">
      <c r="A222" t="s">
        <v>6061</v>
      </c>
      <c r="B222" t="s">
        <v>6062</v>
      </c>
      <c r="C222" t="s">
        <v>7205</v>
      </c>
      <c r="D222">
        <v>120.7</v>
      </c>
    </row>
    <row r="223" spans="1:4" x14ac:dyDescent="0.25">
      <c r="A223" t="s">
        <v>6063</v>
      </c>
      <c r="B223" t="s">
        <v>6064</v>
      </c>
      <c r="C223" t="s">
        <v>7205</v>
      </c>
      <c r="D223">
        <v>77.649999999999991</v>
      </c>
    </row>
    <row r="224" spans="1:4" x14ac:dyDescent="0.25">
      <c r="A224" t="s">
        <v>6065</v>
      </c>
      <c r="B224" t="s">
        <v>6066</v>
      </c>
      <c r="C224" t="s">
        <v>7205</v>
      </c>
      <c r="D224">
        <v>76.2</v>
      </c>
    </row>
    <row r="225" spans="1:4" x14ac:dyDescent="0.25">
      <c r="A225" t="s">
        <v>6067</v>
      </c>
      <c r="B225" t="s">
        <v>6068</v>
      </c>
      <c r="C225" t="s">
        <v>7205</v>
      </c>
      <c r="D225">
        <v>78.509999999999991</v>
      </c>
    </row>
    <row r="226" spans="1:4" x14ac:dyDescent="0.25">
      <c r="A226" t="s">
        <v>6069</v>
      </c>
      <c r="B226" t="s">
        <v>6070</v>
      </c>
      <c r="C226" t="s">
        <v>7205</v>
      </c>
      <c r="D226">
        <v>499.40999999999991</v>
      </c>
    </row>
    <row r="227" spans="1:4" x14ac:dyDescent="0.25">
      <c r="A227" t="s">
        <v>6071</v>
      </c>
      <c r="B227" t="s">
        <v>6072</v>
      </c>
      <c r="C227" t="s">
        <v>7205</v>
      </c>
      <c r="D227">
        <v>850.21</v>
      </c>
    </row>
    <row r="228" spans="1:4" x14ac:dyDescent="0.25">
      <c r="A228" t="s">
        <v>6073</v>
      </c>
      <c r="B228" t="s">
        <v>6074</v>
      </c>
      <c r="C228" t="s">
        <v>7205</v>
      </c>
      <c r="D228">
        <v>519.54999999999995</v>
      </c>
    </row>
    <row r="229" spans="1:4" x14ac:dyDescent="0.25">
      <c r="A229" t="s">
        <v>6075</v>
      </c>
      <c r="B229" t="s">
        <v>6076</v>
      </c>
      <c r="C229" t="s">
        <v>7205</v>
      </c>
      <c r="D229">
        <v>3.2</v>
      </c>
    </row>
    <row r="230" spans="1:4" x14ac:dyDescent="0.25">
      <c r="A230" t="s">
        <v>6077</v>
      </c>
      <c r="B230" t="s">
        <v>6078</v>
      </c>
      <c r="C230" t="s">
        <v>7205</v>
      </c>
      <c r="D230">
        <v>0.82000000000000006</v>
      </c>
    </row>
    <row r="231" spans="1:4" x14ac:dyDescent="0.25">
      <c r="A231" t="s">
        <v>6079</v>
      </c>
      <c r="B231" t="s">
        <v>6080</v>
      </c>
      <c r="C231" t="s">
        <v>7205</v>
      </c>
      <c r="D231">
        <v>0.92</v>
      </c>
    </row>
    <row r="232" spans="1:4" x14ac:dyDescent="0.25">
      <c r="A232" t="s">
        <v>6081</v>
      </c>
      <c r="B232" t="s">
        <v>6082</v>
      </c>
      <c r="C232" t="s">
        <v>7205</v>
      </c>
      <c r="D232">
        <v>0.85000000000000009</v>
      </c>
    </row>
    <row r="233" spans="1:4" x14ac:dyDescent="0.25">
      <c r="A233" t="s">
        <v>6083</v>
      </c>
      <c r="B233" t="s">
        <v>6084</v>
      </c>
      <c r="C233" t="s">
        <v>7205</v>
      </c>
      <c r="D233">
        <v>2.8</v>
      </c>
    </row>
    <row r="234" spans="1:4" x14ac:dyDescent="0.25">
      <c r="A234" t="s">
        <v>6085</v>
      </c>
      <c r="B234" t="s">
        <v>6086</v>
      </c>
      <c r="C234" t="s">
        <v>7205</v>
      </c>
      <c r="D234">
        <v>8.9499999999999993</v>
      </c>
    </row>
    <row r="235" spans="1:4" x14ac:dyDescent="0.25">
      <c r="A235" t="s">
        <v>6087</v>
      </c>
      <c r="B235" t="s">
        <v>6088</v>
      </c>
      <c r="C235" t="s">
        <v>7205</v>
      </c>
      <c r="D235">
        <v>16.2</v>
      </c>
    </row>
    <row r="236" spans="1:4" x14ac:dyDescent="0.25">
      <c r="A236" t="s">
        <v>6089</v>
      </c>
      <c r="B236" t="s">
        <v>6090</v>
      </c>
      <c r="C236" t="s">
        <v>7205</v>
      </c>
      <c r="D236">
        <v>14.469999999999999</v>
      </c>
    </row>
    <row r="237" spans="1:4" x14ac:dyDescent="0.25">
      <c r="A237" t="s">
        <v>6091</v>
      </c>
      <c r="B237" t="s">
        <v>6092</v>
      </c>
      <c r="C237" t="s">
        <v>7205</v>
      </c>
      <c r="D237">
        <v>11.3</v>
      </c>
    </row>
    <row r="238" spans="1:4" x14ac:dyDescent="0.25">
      <c r="A238" t="s">
        <v>6093</v>
      </c>
      <c r="B238" t="s">
        <v>6094</v>
      </c>
      <c r="C238" t="s">
        <v>7205</v>
      </c>
      <c r="D238">
        <v>14.899999999999999</v>
      </c>
    </row>
    <row r="239" spans="1:4" x14ac:dyDescent="0.25">
      <c r="A239" t="s">
        <v>6095</v>
      </c>
      <c r="B239" t="s">
        <v>6096</v>
      </c>
      <c r="C239" t="s">
        <v>7205</v>
      </c>
      <c r="D239">
        <v>1.8</v>
      </c>
    </row>
    <row r="240" spans="1:4" x14ac:dyDescent="0.25">
      <c r="A240" t="s">
        <v>6097</v>
      </c>
      <c r="B240" t="s">
        <v>6098</v>
      </c>
      <c r="C240" t="s">
        <v>7205</v>
      </c>
      <c r="D240">
        <v>1.8</v>
      </c>
    </row>
    <row r="241" spans="1:4" x14ac:dyDescent="0.25">
      <c r="A241" t="s">
        <v>6099</v>
      </c>
      <c r="B241" t="s">
        <v>6100</v>
      </c>
      <c r="C241" t="s">
        <v>7205</v>
      </c>
      <c r="D241">
        <v>1.8</v>
      </c>
    </row>
    <row r="242" spans="1:4" x14ac:dyDescent="0.25">
      <c r="A242" t="s">
        <v>6101</v>
      </c>
      <c r="B242" t="s">
        <v>6102</v>
      </c>
      <c r="C242" t="s">
        <v>7205</v>
      </c>
      <c r="D242">
        <v>1.8</v>
      </c>
    </row>
    <row r="243" spans="1:4" x14ac:dyDescent="0.25">
      <c r="A243" t="s">
        <v>6103</v>
      </c>
      <c r="B243" t="s">
        <v>6104</v>
      </c>
      <c r="C243" t="s">
        <v>7205</v>
      </c>
      <c r="D243">
        <v>1.8</v>
      </c>
    </row>
    <row r="244" spans="1:4" x14ac:dyDescent="0.25">
      <c r="A244" t="s">
        <v>6105</v>
      </c>
      <c r="B244" t="s">
        <v>6106</v>
      </c>
      <c r="C244" t="s">
        <v>7205</v>
      </c>
      <c r="D244">
        <v>3.0999999999999996</v>
      </c>
    </row>
    <row r="245" spans="1:4" x14ac:dyDescent="0.25">
      <c r="A245" t="s">
        <v>6107</v>
      </c>
      <c r="B245" t="s">
        <v>6108</v>
      </c>
      <c r="C245" t="s">
        <v>7205</v>
      </c>
      <c r="D245">
        <v>16.919999999999998</v>
      </c>
    </row>
    <row r="246" spans="1:4" x14ac:dyDescent="0.25">
      <c r="A246" t="s">
        <v>6109</v>
      </c>
      <c r="B246" t="s">
        <v>6110</v>
      </c>
      <c r="C246" t="s">
        <v>7205</v>
      </c>
      <c r="D246">
        <v>2.5</v>
      </c>
    </row>
    <row r="247" spans="1:4" x14ac:dyDescent="0.25">
      <c r="A247" t="s">
        <v>6111</v>
      </c>
      <c r="B247" t="s">
        <v>6112</v>
      </c>
      <c r="C247" t="s">
        <v>7205</v>
      </c>
      <c r="D247">
        <v>2.5499999999999998</v>
      </c>
    </row>
    <row r="248" spans="1:4" x14ac:dyDescent="0.25">
      <c r="A248" t="s">
        <v>6113</v>
      </c>
      <c r="B248" t="s">
        <v>6114</v>
      </c>
      <c r="C248" t="s">
        <v>7205</v>
      </c>
      <c r="D248">
        <v>2.5999999999999996</v>
      </c>
    </row>
    <row r="249" spans="1:4" x14ac:dyDescent="0.25">
      <c r="A249" t="s">
        <v>6115</v>
      </c>
      <c r="B249" t="s">
        <v>6116</v>
      </c>
      <c r="C249" t="s">
        <v>7205</v>
      </c>
      <c r="D249">
        <v>2.65</v>
      </c>
    </row>
    <row r="250" spans="1:4" x14ac:dyDescent="0.25">
      <c r="A250" t="s">
        <v>6117</v>
      </c>
      <c r="B250" t="s">
        <v>6118</v>
      </c>
      <c r="C250" t="s">
        <v>7205</v>
      </c>
      <c r="D250">
        <v>8.5299999999999994</v>
      </c>
    </row>
    <row r="251" spans="1:4" x14ac:dyDescent="0.25">
      <c r="A251" t="s">
        <v>6119</v>
      </c>
      <c r="B251" t="s">
        <v>6120</v>
      </c>
      <c r="C251" t="s">
        <v>7205</v>
      </c>
      <c r="D251">
        <v>6.9</v>
      </c>
    </row>
    <row r="252" spans="1:4" x14ac:dyDescent="0.25">
      <c r="A252" t="s">
        <v>6121</v>
      </c>
      <c r="B252" t="s">
        <v>6122</v>
      </c>
      <c r="C252" t="s">
        <v>7205</v>
      </c>
      <c r="D252">
        <v>5.3</v>
      </c>
    </row>
    <row r="253" spans="1:4" x14ac:dyDescent="0.25">
      <c r="A253" t="s">
        <v>6123</v>
      </c>
      <c r="B253" t="s">
        <v>6124</v>
      </c>
      <c r="C253" t="s">
        <v>7205</v>
      </c>
      <c r="D253">
        <v>1</v>
      </c>
    </row>
    <row r="254" spans="1:4" x14ac:dyDescent="0.25">
      <c r="A254" t="s">
        <v>6125</v>
      </c>
      <c r="B254" t="s">
        <v>6126</v>
      </c>
      <c r="C254" t="s">
        <v>7205</v>
      </c>
      <c r="D254">
        <v>4</v>
      </c>
    </row>
    <row r="255" spans="1:4" x14ac:dyDescent="0.25">
      <c r="A255" t="s">
        <v>6127</v>
      </c>
      <c r="B255" t="s">
        <v>6128</v>
      </c>
      <c r="C255" t="s">
        <v>7205</v>
      </c>
      <c r="D255">
        <v>12.29</v>
      </c>
    </row>
    <row r="256" spans="1:4" x14ac:dyDescent="0.25">
      <c r="A256" t="s">
        <v>6129</v>
      </c>
      <c r="B256" t="s">
        <v>6130</v>
      </c>
      <c r="C256" t="s">
        <v>7205</v>
      </c>
      <c r="D256">
        <v>4.0599999999999996</v>
      </c>
    </row>
    <row r="257" spans="1:4" x14ac:dyDescent="0.25">
      <c r="A257" t="s">
        <v>6131</v>
      </c>
      <c r="B257" t="s">
        <v>6132</v>
      </c>
      <c r="C257" t="s">
        <v>7205</v>
      </c>
      <c r="D257">
        <v>12.43</v>
      </c>
    </row>
    <row r="258" spans="1:4" x14ac:dyDescent="0.25">
      <c r="A258" t="s">
        <v>6133</v>
      </c>
      <c r="B258" t="s">
        <v>6134</v>
      </c>
      <c r="C258" t="s">
        <v>7205</v>
      </c>
      <c r="D258">
        <v>1.0999999999999999</v>
      </c>
    </row>
    <row r="259" spans="1:4" x14ac:dyDescent="0.25">
      <c r="A259" t="s">
        <v>6135</v>
      </c>
      <c r="B259" t="s">
        <v>6136</v>
      </c>
      <c r="C259" t="s">
        <v>7205</v>
      </c>
      <c r="D259">
        <v>57.1</v>
      </c>
    </row>
    <row r="260" spans="1:4" x14ac:dyDescent="0.25">
      <c r="A260" t="s">
        <v>6137</v>
      </c>
      <c r="B260" t="s">
        <v>6138</v>
      </c>
      <c r="C260" t="s">
        <v>7205</v>
      </c>
      <c r="D260">
        <v>2.5</v>
      </c>
    </row>
    <row r="261" spans="1:4" x14ac:dyDescent="0.25">
      <c r="A261" t="s">
        <v>6139</v>
      </c>
      <c r="B261" t="s">
        <v>6140</v>
      </c>
      <c r="C261" t="s">
        <v>7205</v>
      </c>
      <c r="D261">
        <v>21.259999999999998</v>
      </c>
    </row>
    <row r="262" spans="1:4" x14ac:dyDescent="0.25">
      <c r="A262" t="s">
        <v>6141</v>
      </c>
      <c r="B262" t="s">
        <v>6142</v>
      </c>
      <c r="C262" t="s">
        <v>7205</v>
      </c>
      <c r="D262">
        <v>99.03</v>
      </c>
    </row>
    <row r="263" spans="1:4" x14ac:dyDescent="0.25">
      <c r="A263" t="s">
        <v>6143</v>
      </c>
      <c r="B263" t="s">
        <v>6144</v>
      </c>
      <c r="C263" t="s">
        <v>7205</v>
      </c>
      <c r="D263">
        <v>26.1</v>
      </c>
    </row>
    <row r="264" spans="1:4" x14ac:dyDescent="0.25">
      <c r="A264" t="s">
        <v>6145</v>
      </c>
      <c r="B264" t="s">
        <v>6146</v>
      </c>
      <c r="C264" t="s">
        <v>7205</v>
      </c>
      <c r="D264">
        <v>8.7299999999999986</v>
      </c>
    </row>
    <row r="265" spans="1:4" x14ac:dyDescent="0.25">
      <c r="A265" t="s">
        <v>6147</v>
      </c>
      <c r="B265" t="s">
        <v>6148</v>
      </c>
      <c r="C265" t="s">
        <v>7205</v>
      </c>
      <c r="D265">
        <v>2.3199999999999998</v>
      </c>
    </row>
    <row r="266" spans="1:4" x14ac:dyDescent="0.25">
      <c r="A266" t="s">
        <v>6149</v>
      </c>
      <c r="B266" t="s">
        <v>6150</v>
      </c>
      <c r="C266" t="s">
        <v>7205</v>
      </c>
      <c r="D266">
        <v>139.44999999999999</v>
      </c>
    </row>
    <row r="267" spans="1:4" x14ac:dyDescent="0.25">
      <c r="A267" t="s">
        <v>6151</v>
      </c>
      <c r="B267" t="s">
        <v>6152</v>
      </c>
      <c r="C267" t="s">
        <v>7205</v>
      </c>
      <c r="D267">
        <v>50.5</v>
      </c>
    </row>
    <row r="268" spans="1:4" x14ac:dyDescent="0.25">
      <c r="A268" t="s">
        <v>6153</v>
      </c>
      <c r="B268" t="s">
        <v>6154</v>
      </c>
      <c r="C268" t="s">
        <v>7205</v>
      </c>
      <c r="D268">
        <v>113.44</v>
      </c>
    </row>
    <row r="269" spans="1:4" x14ac:dyDescent="0.25">
      <c r="A269" t="s">
        <v>6155</v>
      </c>
      <c r="B269" t="s">
        <v>6156</v>
      </c>
      <c r="C269" t="s">
        <v>7205</v>
      </c>
      <c r="D269">
        <v>43.3</v>
      </c>
    </row>
    <row r="270" spans="1:4" x14ac:dyDescent="0.25">
      <c r="A270" t="s">
        <v>6157</v>
      </c>
      <c r="B270" t="s">
        <v>6158</v>
      </c>
      <c r="C270" t="s">
        <v>7205</v>
      </c>
      <c r="D270">
        <v>161.5</v>
      </c>
    </row>
    <row r="271" spans="1:4" x14ac:dyDescent="0.25">
      <c r="A271" t="s">
        <v>6159</v>
      </c>
      <c r="B271" t="s">
        <v>6160</v>
      </c>
      <c r="C271" t="s">
        <v>7205</v>
      </c>
      <c r="D271">
        <v>54.2</v>
      </c>
    </row>
    <row r="272" spans="1:4" x14ac:dyDescent="0.25">
      <c r="A272" t="s">
        <v>6161</v>
      </c>
      <c r="B272" t="s">
        <v>6162</v>
      </c>
      <c r="C272" t="s">
        <v>7205</v>
      </c>
      <c r="D272">
        <v>149.19999999999999</v>
      </c>
    </row>
    <row r="273" spans="1:4" x14ac:dyDescent="0.25">
      <c r="A273" t="s">
        <v>6163</v>
      </c>
      <c r="B273" t="s">
        <v>6164</v>
      </c>
      <c r="C273" t="s">
        <v>7205</v>
      </c>
      <c r="D273">
        <v>56.4</v>
      </c>
    </row>
    <row r="274" spans="1:4" x14ac:dyDescent="0.25">
      <c r="A274" t="s">
        <v>6165</v>
      </c>
      <c r="B274" t="s">
        <v>6166</v>
      </c>
      <c r="C274" t="s">
        <v>7205</v>
      </c>
      <c r="D274">
        <v>36.549999999999997</v>
      </c>
    </row>
    <row r="275" spans="1:4" x14ac:dyDescent="0.25">
      <c r="A275" t="s">
        <v>6167</v>
      </c>
      <c r="B275" t="s">
        <v>6168</v>
      </c>
      <c r="C275" t="s">
        <v>7205</v>
      </c>
      <c r="D275">
        <v>42.22</v>
      </c>
    </row>
    <row r="276" spans="1:4" x14ac:dyDescent="0.25">
      <c r="A276" t="s">
        <v>6169</v>
      </c>
      <c r="B276" t="s">
        <v>6170</v>
      </c>
      <c r="C276" t="s">
        <v>7205</v>
      </c>
      <c r="D276">
        <v>76.84</v>
      </c>
    </row>
    <row r="277" spans="1:4" x14ac:dyDescent="0.25">
      <c r="A277" t="s">
        <v>6171</v>
      </c>
      <c r="B277" t="s">
        <v>6172</v>
      </c>
      <c r="C277" t="s">
        <v>7205</v>
      </c>
      <c r="D277">
        <v>42.92</v>
      </c>
    </row>
    <row r="278" spans="1:4" x14ac:dyDescent="0.25">
      <c r="A278" t="s">
        <v>6173</v>
      </c>
      <c r="B278" t="s">
        <v>6174</v>
      </c>
      <c r="C278" t="s">
        <v>7205</v>
      </c>
      <c r="D278">
        <v>81.41</v>
      </c>
    </row>
    <row r="279" spans="1:4" x14ac:dyDescent="0.25">
      <c r="A279" t="s">
        <v>6175</v>
      </c>
      <c r="B279" t="s">
        <v>6176</v>
      </c>
      <c r="C279" t="s">
        <v>7205</v>
      </c>
      <c r="D279">
        <v>45.82</v>
      </c>
    </row>
    <row r="280" spans="1:4" x14ac:dyDescent="0.25">
      <c r="A280" t="s">
        <v>6177</v>
      </c>
      <c r="B280" t="s">
        <v>6178</v>
      </c>
      <c r="C280" t="s">
        <v>7205</v>
      </c>
      <c r="D280">
        <v>84.87</v>
      </c>
    </row>
    <row r="281" spans="1:4" x14ac:dyDescent="0.25">
      <c r="A281" t="s">
        <v>6179</v>
      </c>
      <c r="B281" t="s">
        <v>6180</v>
      </c>
      <c r="C281" t="s">
        <v>7205</v>
      </c>
      <c r="D281">
        <v>42.66</v>
      </c>
    </row>
    <row r="282" spans="1:4" x14ac:dyDescent="0.25">
      <c r="A282" t="s">
        <v>6181</v>
      </c>
      <c r="B282" t="s">
        <v>6182</v>
      </c>
      <c r="C282" t="s">
        <v>7205</v>
      </c>
      <c r="D282">
        <v>131.03</v>
      </c>
    </row>
    <row r="283" spans="1:4" x14ac:dyDescent="0.25">
      <c r="A283" t="s">
        <v>6183</v>
      </c>
      <c r="B283" t="s">
        <v>6184</v>
      </c>
      <c r="C283" t="s">
        <v>7205</v>
      </c>
      <c r="D283">
        <v>157.25</v>
      </c>
    </row>
    <row r="284" spans="1:4" x14ac:dyDescent="0.25">
      <c r="A284" t="s">
        <v>6185</v>
      </c>
      <c r="B284" t="s">
        <v>6186</v>
      </c>
      <c r="C284" t="s">
        <v>7205</v>
      </c>
      <c r="D284">
        <v>51.900000000000006</v>
      </c>
    </row>
    <row r="285" spans="1:4" x14ac:dyDescent="0.25">
      <c r="A285" t="s">
        <v>6187</v>
      </c>
      <c r="B285" t="s">
        <v>6188</v>
      </c>
      <c r="C285" t="s">
        <v>7205</v>
      </c>
      <c r="D285">
        <v>175.70000000000002</v>
      </c>
    </row>
    <row r="286" spans="1:4" x14ac:dyDescent="0.25">
      <c r="A286" t="s">
        <v>6189</v>
      </c>
      <c r="B286" t="s">
        <v>6190</v>
      </c>
      <c r="C286" t="s">
        <v>7205</v>
      </c>
      <c r="D286">
        <v>59.25</v>
      </c>
    </row>
    <row r="287" spans="1:4" x14ac:dyDescent="0.25">
      <c r="A287" t="s">
        <v>6191</v>
      </c>
      <c r="B287" t="s">
        <v>6192</v>
      </c>
      <c r="C287" t="s">
        <v>7205</v>
      </c>
      <c r="D287">
        <v>227.75</v>
      </c>
    </row>
    <row r="288" spans="1:4" x14ac:dyDescent="0.25">
      <c r="A288" t="s">
        <v>6193</v>
      </c>
      <c r="B288" t="s">
        <v>6194</v>
      </c>
      <c r="C288" t="s">
        <v>7205</v>
      </c>
      <c r="D288">
        <v>98</v>
      </c>
    </row>
    <row r="289" spans="1:4" x14ac:dyDescent="0.25">
      <c r="A289" t="s">
        <v>6195</v>
      </c>
      <c r="B289" t="s">
        <v>6196</v>
      </c>
      <c r="C289" t="s">
        <v>7205</v>
      </c>
      <c r="D289">
        <v>122.02000000000001</v>
      </c>
    </row>
    <row r="290" spans="1:4" x14ac:dyDescent="0.25">
      <c r="A290" t="s">
        <v>6197</v>
      </c>
      <c r="B290" t="s">
        <v>6198</v>
      </c>
      <c r="C290" t="s">
        <v>7205</v>
      </c>
      <c r="D290">
        <v>177.66</v>
      </c>
    </row>
    <row r="291" spans="1:4" x14ac:dyDescent="0.25">
      <c r="A291" t="s">
        <v>6199</v>
      </c>
      <c r="B291" t="s">
        <v>6200</v>
      </c>
      <c r="C291" t="s">
        <v>7205</v>
      </c>
      <c r="D291">
        <v>59.25</v>
      </c>
    </row>
    <row r="292" spans="1:4" x14ac:dyDescent="0.25">
      <c r="A292" t="s">
        <v>6201</v>
      </c>
      <c r="B292" t="s">
        <v>6202</v>
      </c>
      <c r="C292" t="s">
        <v>7205</v>
      </c>
      <c r="D292">
        <v>309</v>
      </c>
    </row>
    <row r="293" spans="1:4" x14ac:dyDescent="0.25">
      <c r="A293" t="s">
        <v>6203</v>
      </c>
      <c r="B293" t="s">
        <v>6204</v>
      </c>
      <c r="C293" t="s">
        <v>7205</v>
      </c>
      <c r="D293">
        <v>309</v>
      </c>
    </row>
    <row r="294" spans="1:4" x14ac:dyDescent="0.25">
      <c r="A294" t="s">
        <v>6205</v>
      </c>
      <c r="B294" t="s">
        <v>6206</v>
      </c>
      <c r="C294" t="s">
        <v>7205</v>
      </c>
      <c r="D294">
        <v>70.2</v>
      </c>
    </row>
    <row r="295" spans="1:4" x14ac:dyDescent="0.25">
      <c r="A295" t="s">
        <v>6207</v>
      </c>
      <c r="B295" t="s">
        <v>6208</v>
      </c>
      <c r="C295" t="s">
        <v>7205</v>
      </c>
      <c r="D295">
        <v>5.55</v>
      </c>
    </row>
    <row r="296" spans="1:4" x14ac:dyDescent="0.25">
      <c r="A296" t="s">
        <v>6209</v>
      </c>
      <c r="B296" t="s">
        <v>6210</v>
      </c>
      <c r="C296" t="s">
        <v>7205</v>
      </c>
      <c r="D296">
        <v>9.2199999999999989</v>
      </c>
    </row>
    <row r="297" spans="1:4" x14ac:dyDescent="0.25">
      <c r="A297" t="s">
        <v>6211</v>
      </c>
      <c r="B297" t="s">
        <v>6212</v>
      </c>
      <c r="C297" t="s">
        <v>7205</v>
      </c>
      <c r="D297">
        <v>48</v>
      </c>
    </row>
    <row r="298" spans="1:4" x14ac:dyDescent="0.25">
      <c r="A298" t="s">
        <v>6213</v>
      </c>
      <c r="B298" t="s">
        <v>6214</v>
      </c>
      <c r="C298" t="s">
        <v>7205</v>
      </c>
      <c r="D298">
        <v>5.6</v>
      </c>
    </row>
    <row r="299" spans="1:4" x14ac:dyDescent="0.25">
      <c r="A299" t="s">
        <v>6215</v>
      </c>
      <c r="B299" t="s">
        <v>6216</v>
      </c>
      <c r="C299" t="s">
        <v>7205</v>
      </c>
      <c r="D299">
        <v>149.05000000000001</v>
      </c>
    </row>
    <row r="300" spans="1:4" x14ac:dyDescent="0.25">
      <c r="A300" t="s">
        <v>6217</v>
      </c>
      <c r="B300" t="s">
        <v>6218</v>
      </c>
      <c r="C300" t="s">
        <v>7205</v>
      </c>
      <c r="D300">
        <v>94.2</v>
      </c>
    </row>
    <row r="301" spans="1:4" x14ac:dyDescent="0.25">
      <c r="A301" t="s">
        <v>6219</v>
      </c>
      <c r="B301" t="s">
        <v>6220</v>
      </c>
      <c r="C301" t="s">
        <v>7205</v>
      </c>
      <c r="D301">
        <v>70</v>
      </c>
    </row>
    <row r="302" spans="1:4" x14ac:dyDescent="0.25">
      <c r="A302" t="s">
        <v>6221</v>
      </c>
      <c r="B302" t="s">
        <v>6222</v>
      </c>
      <c r="C302" t="s">
        <v>7205</v>
      </c>
      <c r="D302">
        <v>22.650000000000002</v>
      </c>
    </row>
    <row r="303" spans="1:4" x14ac:dyDescent="0.25">
      <c r="A303" t="s">
        <v>6223</v>
      </c>
      <c r="B303" t="s">
        <v>6224</v>
      </c>
      <c r="C303" t="s">
        <v>7205</v>
      </c>
      <c r="D303">
        <v>27.650000000000002</v>
      </c>
    </row>
    <row r="304" spans="1:4" x14ac:dyDescent="0.25">
      <c r="A304" t="s">
        <v>6225</v>
      </c>
      <c r="B304" t="s">
        <v>6226</v>
      </c>
      <c r="C304" t="s">
        <v>7205</v>
      </c>
      <c r="D304">
        <v>21.950000000000003</v>
      </c>
    </row>
    <row r="305" spans="1:4" x14ac:dyDescent="0.25">
      <c r="A305" t="s">
        <v>6227</v>
      </c>
      <c r="B305" t="s">
        <v>6228</v>
      </c>
      <c r="C305" t="s">
        <v>7205</v>
      </c>
      <c r="D305">
        <v>7</v>
      </c>
    </row>
    <row r="306" spans="1:4" x14ac:dyDescent="0.25">
      <c r="A306" t="s">
        <v>6229</v>
      </c>
      <c r="B306" t="s">
        <v>6230</v>
      </c>
      <c r="C306" t="s">
        <v>7205</v>
      </c>
      <c r="D306">
        <v>15.299999999999999</v>
      </c>
    </row>
    <row r="307" spans="1:4" x14ac:dyDescent="0.25">
      <c r="A307" t="s">
        <v>6231</v>
      </c>
      <c r="B307" t="s">
        <v>6232</v>
      </c>
      <c r="C307" t="s">
        <v>7205</v>
      </c>
      <c r="D307">
        <v>10.95</v>
      </c>
    </row>
    <row r="308" spans="1:4" x14ac:dyDescent="0.25">
      <c r="A308" t="s">
        <v>6233</v>
      </c>
      <c r="B308" t="s">
        <v>6234</v>
      </c>
      <c r="C308" t="s">
        <v>7205</v>
      </c>
      <c r="D308">
        <v>7.5</v>
      </c>
    </row>
    <row r="309" spans="1:4" x14ac:dyDescent="0.25">
      <c r="A309" t="s">
        <v>6235</v>
      </c>
      <c r="B309" t="s">
        <v>6236</v>
      </c>
      <c r="C309" t="s">
        <v>7205</v>
      </c>
      <c r="D309">
        <v>54.919999999999995</v>
      </c>
    </row>
    <row r="310" spans="1:4" x14ac:dyDescent="0.25">
      <c r="A310" t="s">
        <v>6237</v>
      </c>
      <c r="B310" t="s">
        <v>6238</v>
      </c>
      <c r="C310" t="s">
        <v>7205</v>
      </c>
      <c r="D310">
        <v>57.569999999999993</v>
      </c>
    </row>
    <row r="311" spans="1:4" x14ac:dyDescent="0.25">
      <c r="A311" t="s">
        <v>6239</v>
      </c>
      <c r="B311" t="s">
        <v>6240</v>
      </c>
      <c r="C311" t="s">
        <v>7205</v>
      </c>
      <c r="D311">
        <v>66.849999999999994</v>
      </c>
    </row>
    <row r="312" spans="1:4" x14ac:dyDescent="0.25">
      <c r="A312" t="s">
        <v>6241</v>
      </c>
      <c r="B312" t="s">
        <v>6242</v>
      </c>
      <c r="C312" t="s">
        <v>7205</v>
      </c>
      <c r="D312">
        <v>19.100000000000001</v>
      </c>
    </row>
    <row r="313" spans="1:4" x14ac:dyDescent="0.25">
      <c r="A313" t="s">
        <v>6243</v>
      </c>
      <c r="B313" t="s">
        <v>6244</v>
      </c>
      <c r="C313" t="s">
        <v>7205</v>
      </c>
      <c r="D313">
        <v>3.16</v>
      </c>
    </row>
    <row r="314" spans="1:4" x14ac:dyDescent="0.25">
      <c r="A314" t="s">
        <v>6245</v>
      </c>
      <c r="B314" t="s">
        <v>6246</v>
      </c>
      <c r="C314" t="s">
        <v>7205</v>
      </c>
      <c r="D314">
        <v>3.16</v>
      </c>
    </row>
    <row r="315" spans="1:4" x14ac:dyDescent="0.25">
      <c r="A315" t="s">
        <v>6247</v>
      </c>
      <c r="B315" t="s">
        <v>6248</v>
      </c>
      <c r="C315" t="s">
        <v>7205</v>
      </c>
      <c r="D315">
        <v>6.8800000000000008</v>
      </c>
    </row>
    <row r="316" spans="1:4" x14ac:dyDescent="0.25">
      <c r="A316" t="s">
        <v>6249</v>
      </c>
      <c r="B316" t="s">
        <v>6250</v>
      </c>
      <c r="C316" t="s">
        <v>7205</v>
      </c>
      <c r="D316">
        <v>7.5</v>
      </c>
    </row>
    <row r="317" spans="1:4" x14ac:dyDescent="0.25">
      <c r="A317" t="s">
        <v>6251</v>
      </c>
      <c r="B317" t="s">
        <v>6252</v>
      </c>
      <c r="C317" t="s">
        <v>7205</v>
      </c>
      <c r="D317">
        <v>10.010000000000002</v>
      </c>
    </row>
    <row r="318" spans="1:4" x14ac:dyDescent="0.25">
      <c r="A318" t="s">
        <v>6253</v>
      </c>
      <c r="B318" t="s">
        <v>6254</v>
      </c>
      <c r="C318" t="s">
        <v>7205</v>
      </c>
      <c r="D318">
        <v>6.9</v>
      </c>
    </row>
    <row r="319" spans="1:4" x14ac:dyDescent="0.25">
      <c r="A319" t="s">
        <v>6255</v>
      </c>
      <c r="B319" t="s">
        <v>6256</v>
      </c>
      <c r="C319" t="s">
        <v>7205</v>
      </c>
      <c r="D319">
        <v>7.45</v>
      </c>
    </row>
    <row r="320" spans="1:4" x14ac:dyDescent="0.25">
      <c r="A320" t="s">
        <v>6257</v>
      </c>
      <c r="B320" t="s">
        <v>6258</v>
      </c>
      <c r="C320" t="s">
        <v>7205</v>
      </c>
      <c r="D320">
        <v>9.1999999999999993</v>
      </c>
    </row>
    <row r="321" spans="1:4" x14ac:dyDescent="0.25">
      <c r="A321" t="s">
        <v>6259</v>
      </c>
      <c r="B321" t="s">
        <v>6260</v>
      </c>
      <c r="C321" t="s">
        <v>7205</v>
      </c>
      <c r="D321">
        <v>9.1999999999999993</v>
      </c>
    </row>
    <row r="322" spans="1:4" x14ac:dyDescent="0.25">
      <c r="A322" t="s">
        <v>6261</v>
      </c>
      <c r="B322" t="s">
        <v>6262</v>
      </c>
      <c r="C322" t="s">
        <v>7205</v>
      </c>
      <c r="D322">
        <v>2247.61</v>
      </c>
    </row>
    <row r="323" spans="1:4" x14ac:dyDescent="0.25">
      <c r="A323" t="s">
        <v>6263</v>
      </c>
      <c r="B323" t="s">
        <v>6264</v>
      </c>
      <c r="C323" t="s">
        <v>7205</v>
      </c>
      <c r="D323">
        <v>4585.82</v>
      </c>
    </row>
    <row r="324" spans="1:4" x14ac:dyDescent="0.25">
      <c r="A324" t="s">
        <v>6265</v>
      </c>
      <c r="B324" t="s">
        <v>6266</v>
      </c>
      <c r="C324" t="s">
        <v>7205</v>
      </c>
      <c r="D324">
        <v>5383.12</v>
      </c>
    </row>
    <row r="325" spans="1:4" x14ac:dyDescent="0.25">
      <c r="A325" t="s">
        <v>6267</v>
      </c>
      <c r="B325" t="s">
        <v>6268</v>
      </c>
      <c r="C325" t="s">
        <v>7205</v>
      </c>
      <c r="D325">
        <v>7284</v>
      </c>
    </row>
    <row r="326" spans="1:4" x14ac:dyDescent="0.25">
      <c r="A326" t="s">
        <v>6269</v>
      </c>
      <c r="B326" t="s">
        <v>6270</v>
      </c>
      <c r="C326" t="s">
        <v>7205</v>
      </c>
      <c r="D326">
        <v>2307.3000000000002</v>
      </c>
    </row>
    <row r="327" spans="1:4" x14ac:dyDescent="0.25">
      <c r="A327" t="s">
        <v>6271</v>
      </c>
      <c r="B327" t="s">
        <v>6272</v>
      </c>
      <c r="C327" t="s">
        <v>7205</v>
      </c>
      <c r="D327">
        <v>469.24999999999989</v>
      </c>
    </row>
    <row r="328" spans="1:4" x14ac:dyDescent="0.25">
      <c r="A328" t="s">
        <v>6273</v>
      </c>
      <c r="B328" t="s">
        <v>6274</v>
      </c>
      <c r="C328" t="s">
        <v>7205</v>
      </c>
      <c r="D328">
        <v>1230.33</v>
      </c>
    </row>
    <row r="329" spans="1:4" x14ac:dyDescent="0.25">
      <c r="A329" t="s">
        <v>6275</v>
      </c>
      <c r="B329" t="s">
        <v>6276</v>
      </c>
      <c r="C329" t="s">
        <v>7205</v>
      </c>
      <c r="D329">
        <v>1777.01</v>
      </c>
    </row>
    <row r="330" spans="1:4" x14ac:dyDescent="0.25">
      <c r="A330" t="s">
        <v>6277</v>
      </c>
      <c r="B330" t="s">
        <v>6278</v>
      </c>
      <c r="C330" t="s">
        <v>7205</v>
      </c>
      <c r="D330">
        <v>1230.92</v>
      </c>
    </row>
    <row r="331" spans="1:4" x14ac:dyDescent="0.25">
      <c r="A331" t="s">
        <v>6279</v>
      </c>
      <c r="B331" t="s">
        <v>6280</v>
      </c>
      <c r="C331" t="s">
        <v>7205</v>
      </c>
      <c r="D331">
        <v>1780.11</v>
      </c>
    </row>
    <row r="332" spans="1:4" x14ac:dyDescent="0.25">
      <c r="A332" t="s">
        <v>6281</v>
      </c>
      <c r="B332" t="s">
        <v>6282</v>
      </c>
      <c r="C332" t="s">
        <v>7205</v>
      </c>
      <c r="D332">
        <v>1787.2099999999998</v>
      </c>
    </row>
    <row r="333" spans="1:4" x14ac:dyDescent="0.25">
      <c r="A333" t="s">
        <v>6283</v>
      </c>
      <c r="B333" t="s">
        <v>6284</v>
      </c>
      <c r="C333" t="s">
        <v>7205</v>
      </c>
      <c r="D333">
        <v>950.73</v>
      </c>
    </row>
    <row r="334" spans="1:4" x14ac:dyDescent="0.25">
      <c r="A334" t="s">
        <v>6285</v>
      </c>
      <c r="B334" t="s">
        <v>6286</v>
      </c>
      <c r="C334" t="s">
        <v>7205</v>
      </c>
      <c r="D334">
        <v>50.95</v>
      </c>
    </row>
    <row r="335" spans="1:4" x14ac:dyDescent="0.25">
      <c r="A335" t="s">
        <v>6287</v>
      </c>
      <c r="B335" t="s">
        <v>6288</v>
      </c>
      <c r="C335" t="s">
        <v>7205</v>
      </c>
      <c r="D335">
        <v>35</v>
      </c>
    </row>
    <row r="336" spans="1:4" x14ac:dyDescent="0.25">
      <c r="A336" t="s">
        <v>6289</v>
      </c>
      <c r="B336" t="s">
        <v>6290</v>
      </c>
      <c r="C336" t="s">
        <v>7205</v>
      </c>
      <c r="D336">
        <v>59.75</v>
      </c>
    </row>
    <row r="337" spans="1:4" x14ac:dyDescent="0.25">
      <c r="A337" t="s">
        <v>6291</v>
      </c>
      <c r="B337" t="s">
        <v>6292</v>
      </c>
      <c r="C337" t="s">
        <v>7205</v>
      </c>
      <c r="D337">
        <v>151.97999999999999</v>
      </c>
    </row>
    <row r="338" spans="1:4" x14ac:dyDescent="0.25">
      <c r="A338" t="s">
        <v>6293</v>
      </c>
      <c r="B338" t="s">
        <v>6294</v>
      </c>
      <c r="C338" t="s">
        <v>7205</v>
      </c>
      <c r="D338">
        <v>558.34999999999991</v>
      </c>
    </row>
    <row r="339" spans="1:4" x14ac:dyDescent="0.25">
      <c r="A339" t="s">
        <v>6295</v>
      </c>
      <c r="B339" t="s">
        <v>6296</v>
      </c>
      <c r="C339" t="s">
        <v>7205</v>
      </c>
      <c r="D339">
        <v>558.40999999999985</v>
      </c>
    </row>
    <row r="340" spans="1:4" x14ac:dyDescent="0.25">
      <c r="A340" t="s">
        <v>6297</v>
      </c>
      <c r="B340" t="s">
        <v>6298</v>
      </c>
      <c r="C340" t="s">
        <v>7205</v>
      </c>
      <c r="D340">
        <v>761.04000000000019</v>
      </c>
    </row>
    <row r="341" spans="1:4" x14ac:dyDescent="0.25">
      <c r="A341" t="s">
        <v>6299</v>
      </c>
      <c r="B341" t="s">
        <v>6300</v>
      </c>
      <c r="C341" t="s">
        <v>7205</v>
      </c>
      <c r="D341">
        <v>1670.9399999999996</v>
      </c>
    </row>
    <row r="342" spans="1:4" x14ac:dyDescent="0.25">
      <c r="A342" t="s">
        <v>6301</v>
      </c>
      <c r="B342" t="s">
        <v>6302</v>
      </c>
      <c r="C342" t="s">
        <v>7205</v>
      </c>
      <c r="D342">
        <v>21.939999999999998</v>
      </c>
    </row>
    <row r="343" spans="1:4" x14ac:dyDescent="0.25">
      <c r="A343" t="s">
        <v>6303</v>
      </c>
      <c r="B343" t="s">
        <v>6304</v>
      </c>
      <c r="C343" t="s">
        <v>7205</v>
      </c>
      <c r="D343">
        <v>25.409999999999997</v>
      </c>
    </row>
    <row r="344" spans="1:4" x14ac:dyDescent="0.25">
      <c r="A344" t="s">
        <v>6305</v>
      </c>
      <c r="B344" t="s">
        <v>6306</v>
      </c>
      <c r="C344" t="s">
        <v>7205</v>
      </c>
      <c r="D344">
        <v>21.369999999999997</v>
      </c>
    </row>
    <row r="345" spans="1:4" x14ac:dyDescent="0.25">
      <c r="A345" t="s">
        <v>6307</v>
      </c>
      <c r="B345" t="s">
        <v>6308</v>
      </c>
      <c r="C345" t="s">
        <v>7205</v>
      </c>
      <c r="D345">
        <v>8.07</v>
      </c>
    </row>
    <row r="346" spans="1:4" x14ac:dyDescent="0.25">
      <c r="A346" t="s">
        <v>6309</v>
      </c>
      <c r="B346" t="s">
        <v>6310</v>
      </c>
      <c r="C346" t="s">
        <v>7205</v>
      </c>
      <c r="D346">
        <v>26.1</v>
      </c>
    </row>
    <row r="347" spans="1:4" x14ac:dyDescent="0.25">
      <c r="A347" t="s">
        <v>6311</v>
      </c>
      <c r="B347" t="s">
        <v>6312</v>
      </c>
      <c r="C347" t="s">
        <v>7205</v>
      </c>
      <c r="D347">
        <v>33.5</v>
      </c>
    </row>
    <row r="348" spans="1:4" x14ac:dyDescent="0.25">
      <c r="A348" t="s">
        <v>6313</v>
      </c>
      <c r="B348" t="s">
        <v>6314</v>
      </c>
      <c r="C348" t="s">
        <v>7205</v>
      </c>
      <c r="D348">
        <v>8.5299999999999994</v>
      </c>
    </row>
    <row r="349" spans="1:4" x14ac:dyDescent="0.25">
      <c r="A349" t="s">
        <v>6315</v>
      </c>
      <c r="B349" t="s">
        <v>6316</v>
      </c>
      <c r="C349" t="s">
        <v>7205</v>
      </c>
      <c r="D349">
        <v>9.14</v>
      </c>
    </row>
    <row r="350" spans="1:4" x14ac:dyDescent="0.25">
      <c r="A350" t="s">
        <v>6317</v>
      </c>
      <c r="B350" t="s">
        <v>6318</v>
      </c>
      <c r="C350" t="s">
        <v>7205</v>
      </c>
      <c r="D350">
        <v>15.370000000000001</v>
      </c>
    </row>
    <row r="351" spans="1:4" x14ac:dyDescent="0.25">
      <c r="A351" t="s">
        <v>6319</v>
      </c>
      <c r="B351" t="s">
        <v>6320</v>
      </c>
      <c r="C351" t="s">
        <v>7205</v>
      </c>
      <c r="D351">
        <v>4.2700000000000005</v>
      </c>
    </row>
    <row r="352" spans="1:4" x14ac:dyDescent="0.25">
      <c r="A352" t="s">
        <v>6321</v>
      </c>
      <c r="B352" t="s">
        <v>6322</v>
      </c>
      <c r="C352" t="s">
        <v>7205</v>
      </c>
      <c r="D352">
        <v>4.12</v>
      </c>
    </row>
    <row r="353" spans="1:4" x14ac:dyDescent="0.25">
      <c r="A353" t="s">
        <v>6323</v>
      </c>
      <c r="B353" t="s">
        <v>6324</v>
      </c>
      <c r="C353" t="s">
        <v>7205</v>
      </c>
      <c r="D353">
        <v>58.95</v>
      </c>
    </row>
    <row r="354" spans="1:4" x14ac:dyDescent="0.25">
      <c r="A354" t="s">
        <v>6325</v>
      </c>
      <c r="B354" t="s">
        <v>6326</v>
      </c>
      <c r="C354" t="s">
        <v>7205</v>
      </c>
      <c r="D354">
        <v>89.63</v>
      </c>
    </row>
    <row r="355" spans="1:4" x14ac:dyDescent="0.25">
      <c r="A355" t="s">
        <v>6327</v>
      </c>
      <c r="B355" t="s">
        <v>6328</v>
      </c>
      <c r="C355" t="s">
        <v>7205</v>
      </c>
      <c r="D355">
        <v>21.880000000000003</v>
      </c>
    </row>
    <row r="356" spans="1:4" x14ac:dyDescent="0.25">
      <c r="A356" t="s">
        <v>6329</v>
      </c>
      <c r="B356" t="s">
        <v>6330</v>
      </c>
      <c r="C356" t="s">
        <v>7205</v>
      </c>
      <c r="D356">
        <v>12.46</v>
      </c>
    </row>
    <row r="357" spans="1:4" x14ac:dyDescent="0.25">
      <c r="A357" t="s">
        <v>6331</v>
      </c>
      <c r="B357" t="s">
        <v>6332</v>
      </c>
      <c r="C357" t="s">
        <v>7205</v>
      </c>
      <c r="D357">
        <v>5.4399999999999995</v>
      </c>
    </row>
    <row r="358" spans="1:4" x14ac:dyDescent="0.25">
      <c r="A358" t="s">
        <v>6333</v>
      </c>
      <c r="B358" t="s">
        <v>6334</v>
      </c>
      <c r="C358" t="s">
        <v>7205</v>
      </c>
      <c r="D358">
        <v>21.349999999999998</v>
      </c>
    </row>
    <row r="359" spans="1:4" x14ac:dyDescent="0.25">
      <c r="A359" t="s">
        <v>6335</v>
      </c>
      <c r="B359" t="s">
        <v>6336</v>
      </c>
      <c r="C359" t="s">
        <v>7205</v>
      </c>
      <c r="D359">
        <v>21.349999999999998</v>
      </c>
    </row>
    <row r="360" spans="1:4" x14ac:dyDescent="0.25">
      <c r="A360" t="s">
        <v>6337</v>
      </c>
      <c r="B360" t="s">
        <v>6338</v>
      </c>
      <c r="C360" t="s">
        <v>7205</v>
      </c>
      <c r="D360">
        <v>8.120000000000001</v>
      </c>
    </row>
    <row r="361" spans="1:4" x14ac:dyDescent="0.25">
      <c r="A361" t="s">
        <v>6339</v>
      </c>
      <c r="B361" t="s">
        <v>6340</v>
      </c>
      <c r="C361" t="s">
        <v>7205</v>
      </c>
      <c r="D361">
        <v>10.36</v>
      </c>
    </row>
    <row r="362" spans="1:4" x14ac:dyDescent="0.25">
      <c r="A362" t="s">
        <v>6341</v>
      </c>
      <c r="B362" t="s">
        <v>6342</v>
      </c>
      <c r="C362" t="s">
        <v>7205</v>
      </c>
      <c r="D362">
        <v>14.299999999999999</v>
      </c>
    </row>
    <row r="363" spans="1:4" x14ac:dyDescent="0.25">
      <c r="A363" t="s">
        <v>6343</v>
      </c>
      <c r="B363" t="s">
        <v>6344</v>
      </c>
      <c r="C363" t="s">
        <v>7205</v>
      </c>
      <c r="D363">
        <v>4.3</v>
      </c>
    </row>
    <row r="364" spans="1:4" x14ac:dyDescent="0.25">
      <c r="A364" t="s">
        <v>6345</v>
      </c>
      <c r="B364" t="s">
        <v>6346</v>
      </c>
      <c r="C364" t="s">
        <v>7205</v>
      </c>
      <c r="D364">
        <v>12.959999999999999</v>
      </c>
    </row>
    <row r="365" spans="1:4" x14ac:dyDescent="0.25">
      <c r="A365" t="s">
        <v>6347</v>
      </c>
      <c r="B365" t="s">
        <v>6348</v>
      </c>
      <c r="C365" t="s">
        <v>7205</v>
      </c>
      <c r="D365">
        <v>3.9</v>
      </c>
    </row>
    <row r="366" spans="1:4" x14ac:dyDescent="0.25">
      <c r="A366" t="s">
        <v>6349</v>
      </c>
      <c r="B366" t="s">
        <v>6350</v>
      </c>
      <c r="C366" t="s">
        <v>7205</v>
      </c>
      <c r="D366">
        <v>14.35</v>
      </c>
    </row>
    <row r="367" spans="1:4" x14ac:dyDescent="0.25">
      <c r="A367" t="s">
        <v>6351</v>
      </c>
      <c r="B367" t="s">
        <v>6352</v>
      </c>
      <c r="C367" t="s">
        <v>7205</v>
      </c>
      <c r="D367">
        <v>10.799999999999999</v>
      </c>
    </row>
    <row r="368" spans="1:4" x14ac:dyDescent="0.25">
      <c r="A368" t="s">
        <v>6353</v>
      </c>
      <c r="B368" t="s">
        <v>6354</v>
      </c>
      <c r="C368" t="s">
        <v>7205</v>
      </c>
      <c r="D368">
        <v>9.91</v>
      </c>
    </row>
    <row r="369" spans="1:4" x14ac:dyDescent="0.25">
      <c r="A369" t="s">
        <v>6355</v>
      </c>
      <c r="B369" t="s">
        <v>6356</v>
      </c>
      <c r="C369" t="s">
        <v>7205</v>
      </c>
      <c r="D369">
        <v>7.63</v>
      </c>
    </row>
    <row r="370" spans="1:4" x14ac:dyDescent="0.25">
      <c r="A370" t="s">
        <v>6357</v>
      </c>
      <c r="B370" t="s">
        <v>6358</v>
      </c>
      <c r="C370" t="s">
        <v>7205</v>
      </c>
      <c r="D370">
        <v>14.66</v>
      </c>
    </row>
    <row r="371" spans="1:4" x14ac:dyDescent="0.25">
      <c r="A371" t="s">
        <v>6359</v>
      </c>
      <c r="B371" t="s">
        <v>6360</v>
      </c>
      <c r="C371" t="s">
        <v>7205</v>
      </c>
      <c r="D371">
        <v>25.5</v>
      </c>
    </row>
    <row r="372" spans="1:4" x14ac:dyDescent="0.25">
      <c r="A372" t="s">
        <v>6361</v>
      </c>
      <c r="B372" t="s">
        <v>6362</v>
      </c>
      <c r="C372" t="s">
        <v>7205</v>
      </c>
      <c r="D372">
        <v>4.83</v>
      </c>
    </row>
    <row r="373" spans="1:4" x14ac:dyDescent="0.25">
      <c r="A373" t="s">
        <v>6363</v>
      </c>
      <c r="B373" t="s">
        <v>6364</v>
      </c>
      <c r="C373" t="s">
        <v>7205</v>
      </c>
      <c r="D373">
        <v>45.9</v>
      </c>
    </row>
    <row r="374" spans="1:4" x14ac:dyDescent="0.25">
      <c r="A374" t="s">
        <v>6365</v>
      </c>
      <c r="B374" t="s">
        <v>6366</v>
      </c>
      <c r="C374" t="s">
        <v>7205</v>
      </c>
      <c r="D374">
        <v>30.29</v>
      </c>
    </row>
    <row r="375" spans="1:4" x14ac:dyDescent="0.25">
      <c r="A375" t="s">
        <v>6367</v>
      </c>
      <c r="B375" t="s">
        <v>6368</v>
      </c>
      <c r="C375" t="s">
        <v>7205</v>
      </c>
      <c r="D375">
        <v>8.43</v>
      </c>
    </row>
    <row r="376" spans="1:4" x14ac:dyDescent="0.25">
      <c r="A376" t="s">
        <v>6369</v>
      </c>
      <c r="B376" t="s">
        <v>6370</v>
      </c>
      <c r="C376" t="s">
        <v>7205</v>
      </c>
      <c r="D376">
        <v>8.32</v>
      </c>
    </row>
    <row r="377" spans="1:4" x14ac:dyDescent="0.25">
      <c r="A377" t="s">
        <v>6371</v>
      </c>
      <c r="B377" t="s">
        <v>6372</v>
      </c>
      <c r="C377" t="s">
        <v>7205</v>
      </c>
      <c r="D377">
        <v>7.5</v>
      </c>
    </row>
    <row r="378" spans="1:4" x14ac:dyDescent="0.25">
      <c r="A378" t="s">
        <v>6373</v>
      </c>
      <c r="B378" t="s">
        <v>6374</v>
      </c>
      <c r="C378" t="s">
        <v>7205</v>
      </c>
      <c r="D378">
        <v>10.100000000000001</v>
      </c>
    </row>
    <row r="379" spans="1:4" x14ac:dyDescent="0.25">
      <c r="A379" t="s">
        <v>6375</v>
      </c>
      <c r="B379" t="s">
        <v>6376</v>
      </c>
      <c r="C379" t="s">
        <v>7205</v>
      </c>
      <c r="D379">
        <v>72.8</v>
      </c>
    </row>
    <row r="380" spans="1:4" x14ac:dyDescent="0.25">
      <c r="A380" t="s">
        <v>6377</v>
      </c>
      <c r="B380" t="s">
        <v>6378</v>
      </c>
      <c r="C380" t="s">
        <v>7205</v>
      </c>
      <c r="D380">
        <v>7.15</v>
      </c>
    </row>
    <row r="381" spans="1:4" x14ac:dyDescent="0.25">
      <c r="A381" t="s">
        <v>6379</v>
      </c>
      <c r="B381" t="s">
        <v>6380</v>
      </c>
      <c r="C381" t="s">
        <v>7205</v>
      </c>
      <c r="D381">
        <v>5.57</v>
      </c>
    </row>
    <row r="382" spans="1:4" x14ac:dyDescent="0.25">
      <c r="A382" t="s">
        <v>6381</v>
      </c>
      <c r="B382" t="s">
        <v>6382</v>
      </c>
      <c r="C382" t="s">
        <v>7205</v>
      </c>
      <c r="D382">
        <v>5.87</v>
      </c>
    </row>
    <row r="383" spans="1:4" x14ac:dyDescent="0.25">
      <c r="A383" t="s">
        <v>6383</v>
      </c>
      <c r="B383" t="s">
        <v>6384</v>
      </c>
      <c r="C383" t="s">
        <v>7205</v>
      </c>
      <c r="D383">
        <v>6.6</v>
      </c>
    </row>
    <row r="384" spans="1:4" x14ac:dyDescent="0.25">
      <c r="A384" t="s">
        <v>6385</v>
      </c>
      <c r="B384" t="s">
        <v>6386</v>
      </c>
      <c r="C384" t="s">
        <v>7205</v>
      </c>
      <c r="D384">
        <v>70</v>
      </c>
    </row>
    <row r="385" spans="1:4" x14ac:dyDescent="0.25">
      <c r="A385" t="s">
        <v>6387</v>
      </c>
      <c r="B385" t="s">
        <v>6388</v>
      </c>
      <c r="C385" t="s">
        <v>7205</v>
      </c>
      <c r="D385">
        <v>250.65</v>
      </c>
    </row>
    <row r="386" spans="1:4" x14ac:dyDescent="0.25">
      <c r="A386" t="s">
        <v>6389</v>
      </c>
      <c r="B386" t="s">
        <v>6390</v>
      </c>
      <c r="C386" t="s">
        <v>7205</v>
      </c>
      <c r="D386">
        <v>262.5</v>
      </c>
    </row>
    <row r="387" spans="1:4" x14ac:dyDescent="0.25">
      <c r="A387" t="s">
        <v>6391</v>
      </c>
      <c r="B387" t="s">
        <v>6392</v>
      </c>
      <c r="C387" t="s">
        <v>7205</v>
      </c>
      <c r="D387">
        <v>173.89999999999998</v>
      </c>
    </row>
    <row r="388" spans="1:4" x14ac:dyDescent="0.25">
      <c r="A388" t="s">
        <v>6393</v>
      </c>
      <c r="B388" t="s">
        <v>6394</v>
      </c>
      <c r="C388" t="s">
        <v>7205</v>
      </c>
      <c r="D388">
        <v>125.5</v>
      </c>
    </row>
    <row r="389" spans="1:4" x14ac:dyDescent="0.25">
      <c r="A389" t="s">
        <v>6395</v>
      </c>
      <c r="B389" t="s">
        <v>6396</v>
      </c>
      <c r="C389" t="s">
        <v>7205</v>
      </c>
      <c r="D389">
        <v>97.480000000000018</v>
      </c>
    </row>
    <row r="390" spans="1:4" x14ac:dyDescent="0.25">
      <c r="A390" t="s">
        <v>6397</v>
      </c>
      <c r="B390" t="s">
        <v>6398</v>
      </c>
      <c r="C390" t="s">
        <v>7205</v>
      </c>
      <c r="D390">
        <v>64.69</v>
      </c>
    </row>
    <row r="391" spans="1:4" x14ac:dyDescent="0.25">
      <c r="A391" t="s">
        <v>6399</v>
      </c>
      <c r="B391" t="s">
        <v>6400</v>
      </c>
      <c r="C391" t="s">
        <v>7205</v>
      </c>
      <c r="D391">
        <v>5.0999999999999996</v>
      </c>
    </row>
    <row r="392" spans="1:4" x14ac:dyDescent="0.25">
      <c r="A392" t="s">
        <v>6401</v>
      </c>
      <c r="B392" t="s">
        <v>6402</v>
      </c>
      <c r="C392" t="s">
        <v>7205</v>
      </c>
      <c r="D392">
        <v>15.45</v>
      </c>
    </row>
    <row r="393" spans="1:4" x14ac:dyDescent="0.25">
      <c r="A393" t="s">
        <v>6403</v>
      </c>
      <c r="B393" t="s">
        <v>6404</v>
      </c>
      <c r="C393" t="s">
        <v>7205</v>
      </c>
      <c r="D393">
        <v>11.35</v>
      </c>
    </row>
    <row r="394" spans="1:4" x14ac:dyDescent="0.25">
      <c r="A394" t="s">
        <v>6405</v>
      </c>
      <c r="B394" t="s">
        <v>6406</v>
      </c>
      <c r="C394" t="s">
        <v>7205</v>
      </c>
      <c r="D394">
        <v>11.969999999999999</v>
      </c>
    </row>
    <row r="395" spans="1:4" x14ac:dyDescent="0.25">
      <c r="A395" t="s">
        <v>6407</v>
      </c>
      <c r="B395" t="s">
        <v>6408</v>
      </c>
      <c r="C395" t="s">
        <v>7205</v>
      </c>
      <c r="D395">
        <v>16.27</v>
      </c>
    </row>
    <row r="396" spans="1:4" x14ac:dyDescent="0.25">
      <c r="A396" t="s">
        <v>6409</v>
      </c>
      <c r="B396" t="s">
        <v>6410</v>
      </c>
      <c r="C396" t="s">
        <v>7205</v>
      </c>
      <c r="D396">
        <v>12.100000000000001</v>
      </c>
    </row>
    <row r="397" spans="1:4" x14ac:dyDescent="0.25">
      <c r="A397" t="s">
        <v>6411</v>
      </c>
      <c r="B397" t="s">
        <v>6412</v>
      </c>
      <c r="C397" t="s">
        <v>7205</v>
      </c>
      <c r="D397">
        <v>2</v>
      </c>
    </row>
    <row r="398" spans="1:4" x14ac:dyDescent="0.25">
      <c r="A398" t="s">
        <v>6413</v>
      </c>
      <c r="B398" t="s">
        <v>6414</v>
      </c>
      <c r="C398" t="s">
        <v>7205</v>
      </c>
      <c r="D398">
        <v>16.149999999999999</v>
      </c>
    </row>
    <row r="399" spans="1:4" x14ac:dyDescent="0.25">
      <c r="A399" t="s">
        <v>6415</v>
      </c>
      <c r="B399" t="s">
        <v>6416</v>
      </c>
      <c r="C399" t="s">
        <v>7205</v>
      </c>
      <c r="D399">
        <v>9.08</v>
      </c>
    </row>
    <row r="400" spans="1:4" x14ac:dyDescent="0.25">
      <c r="A400" t="s">
        <v>6417</v>
      </c>
      <c r="B400" t="s">
        <v>6418</v>
      </c>
      <c r="C400" t="s">
        <v>7205</v>
      </c>
      <c r="D400">
        <v>6.31</v>
      </c>
    </row>
    <row r="401" spans="1:4" x14ac:dyDescent="0.25">
      <c r="A401" t="s">
        <v>6419</v>
      </c>
      <c r="B401" t="s">
        <v>6420</v>
      </c>
      <c r="C401" t="s">
        <v>7205</v>
      </c>
      <c r="D401">
        <v>7.05</v>
      </c>
    </row>
    <row r="402" spans="1:4" x14ac:dyDescent="0.25">
      <c r="A402" t="s">
        <v>6421</v>
      </c>
      <c r="B402" t="s">
        <v>6422</v>
      </c>
      <c r="C402" t="s">
        <v>7205</v>
      </c>
      <c r="D402">
        <v>12.81</v>
      </c>
    </row>
    <row r="403" spans="1:4" x14ac:dyDescent="0.25">
      <c r="A403" t="s">
        <v>6423</v>
      </c>
      <c r="B403" t="s">
        <v>6424</v>
      </c>
      <c r="C403" t="s">
        <v>7205</v>
      </c>
      <c r="D403">
        <v>9.15</v>
      </c>
    </row>
    <row r="404" spans="1:4" x14ac:dyDescent="0.25">
      <c r="A404" t="s">
        <v>6425</v>
      </c>
      <c r="B404" t="s">
        <v>6426</v>
      </c>
      <c r="C404" t="s">
        <v>7205</v>
      </c>
      <c r="D404">
        <v>5.01</v>
      </c>
    </row>
    <row r="405" spans="1:4" x14ac:dyDescent="0.25">
      <c r="A405" t="s">
        <v>6427</v>
      </c>
      <c r="B405" t="s">
        <v>6428</v>
      </c>
      <c r="C405" t="s">
        <v>7205</v>
      </c>
      <c r="D405">
        <v>7.69</v>
      </c>
    </row>
    <row r="406" spans="1:4" x14ac:dyDescent="0.25">
      <c r="A406" t="s">
        <v>6429</v>
      </c>
      <c r="B406" t="s">
        <v>6430</v>
      </c>
      <c r="C406" t="s">
        <v>7205</v>
      </c>
      <c r="D406">
        <v>7.16</v>
      </c>
    </row>
    <row r="407" spans="1:4" x14ac:dyDescent="0.25">
      <c r="A407" t="s">
        <v>6431</v>
      </c>
      <c r="B407" t="s">
        <v>6432</v>
      </c>
      <c r="C407" t="s">
        <v>7205</v>
      </c>
      <c r="D407">
        <v>4.7</v>
      </c>
    </row>
    <row r="408" spans="1:4" x14ac:dyDescent="0.25">
      <c r="A408" t="s">
        <v>6433</v>
      </c>
      <c r="B408" t="s">
        <v>6434</v>
      </c>
      <c r="C408" t="s">
        <v>7205</v>
      </c>
      <c r="D408">
        <v>7.25</v>
      </c>
    </row>
    <row r="409" spans="1:4" x14ac:dyDescent="0.25">
      <c r="A409" t="s">
        <v>6435</v>
      </c>
      <c r="B409" t="s">
        <v>6436</v>
      </c>
      <c r="C409" t="s">
        <v>7205</v>
      </c>
      <c r="D409">
        <v>37.58</v>
      </c>
    </row>
    <row r="410" spans="1:4" x14ac:dyDescent="0.25">
      <c r="A410" t="s">
        <v>6437</v>
      </c>
      <c r="B410" t="s">
        <v>6438</v>
      </c>
      <c r="C410" t="s">
        <v>7205</v>
      </c>
      <c r="D410">
        <v>19.3</v>
      </c>
    </row>
    <row r="411" spans="1:4" x14ac:dyDescent="0.25">
      <c r="A411" t="s">
        <v>6439</v>
      </c>
      <c r="B411" t="s">
        <v>6440</v>
      </c>
      <c r="C411" t="s">
        <v>7205</v>
      </c>
      <c r="D411">
        <v>22.689999999999998</v>
      </c>
    </row>
    <row r="412" spans="1:4" x14ac:dyDescent="0.25">
      <c r="A412" t="s">
        <v>6441</v>
      </c>
      <c r="B412" t="s">
        <v>6442</v>
      </c>
      <c r="C412" t="s">
        <v>7205</v>
      </c>
      <c r="D412">
        <v>32.700000000000003</v>
      </c>
    </row>
    <row r="413" spans="1:4" x14ac:dyDescent="0.25">
      <c r="A413" t="s">
        <v>6443</v>
      </c>
      <c r="B413" t="s">
        <v>6444</v>
      </c>
      <c r="C413" t="s">
        <v>7205</v>
      </c>
      <c r="D413">
        <v>19.419999999999998</v>
      </c>
    </row>
    <row r="414" spans="1:4" x14ac:dyDescent="0.25">
      <c r="A414" t="s">
        <v>6445</v>
      </c>
      <c r="B414" t="s">
        <v>6446</v>
      </c>
      <c r="C414" t="s">
        <v>7205</v>
      </c>
      <c r="D414">
        <v>53.35</v>
      </c>
    </row>
    <row r="415" spans="1:4" x14ac:dyDescent="0.25">
      <c r="A415" t="s">
        <v>6447</v>
      </c>
      <c r="B415" t="s">
        <v>6448</v>
      </c>
      <c r="C415" t="s">
        <v>7205</v>
      </c>
      <c r="D415">
        <v>29.11</v>
      </c>
    </row>
    <row r="416" spans="1:4" x14ac:dyDescent="0.25">
      <c r="A416" t="s">
        <v>6449</v>
      </c>
      <c r="B416" t="s">
        <v>6450</v>
      </c>
      <c r="C416" t="s">
        <v>7205</v>
      </c>
      <c r="D416">
        <v>11.82</v>
      </c>
    </row>
    <row r="417" spans="1:4" x14ac:dyDescent="0.25">
      <c r="A417" t="s">
        <v>6451</v>
      </c>
      <c r="B417" t="s">
        <v>6452</v>
      </c>
      <c r="C417" t="s">
        <v>7205</v>
      </c>
      <c r="D417">
        <v>58.97</v>
      </c>
    </row>
    <row r="418" spans="1:4" x14ac:dyDescent="0.25">
      <c r="A418" t="s">
        <v>6453</v>
      </c>
      <c r="B418" t="s">
        <v>6454</v>
      </c>
      <c r="C418" t="s">
        <v>7205</v>
      </c>
      <c r="D418">
        <v>58.97</v>
      </c>
    </row>
    <row r="419" spans="1:4" x14ac:dyDescent="0.25">
      <c r="A419" t="s">
        <v>6455</v>
      </c>
      <c r="B419" t="s">
        <v>6456</v>
      </c>
      <c r="C419" t="s">
        <v>7205</v>
      </c>
      <c r="D419">
        <v>414.9</v>
      </c>
    </row>
    <row r="420" spans="1:4" x14ac:dyDescent="0.25">
      <c r="A420" t="s">
        <v>6457</v>
      </c>
      <c r="B420" t="s">
        <v>6458</v>
      </c>
      <c r="C420" t="s">
        <v>7205</v>
      </c>
      <c r="D420">
        <v>4.7200000000000006</v>
      </c>
    </row>
    <row r="421" spans="1:4" x14ac:dyDescent="0.25">
      <c r="A421" t="s">
        <v>6459</v>
      </c>
      <c r="B421" t="s">
        <v>6460</v>
      </c>
      <c r="C421" t="s">
        <v>7205</v>
      </c>
      <c r="D421">
        <v>7.26</v>
      </c>
    </row>
    <row r="422" spans="1:4" x14ac:dyDescent="0.25">
      <c r="A422" t="s">
        <v>6461</v>
      </c>
      <c r="B422" t="s">
        <v>6462</v>
      </c>
      <c r="C422" t="s">
        <v>7205</v>
      </c>
      <c r="D422">
        <v>8.06</v>
      </c>
    </row>
    <row r="423" spans="1:4" x14ac:dyDescent="0.25">
      <c r="A423" t="s">
        <v>6463</v>
      </c>
      <c r="B423" t="s">
        <v>6464</v>
      </c>
      <c r="C423" t="s">
        <v>7205</v>
      </c>
      <c r="D423">
        <v>7.0600000000000005</v>
      </c>
    </row>
    <row r="424" spans="1:4" x14ac:dyDescent="0.25">
      <c r="A424" t="s">
        <v>6465</v>
      </c>
      <c r="B424" t="s">
        <v>6466</v>
      </c>
      <c r="C424" t="s">
        <v>7205</v>
      </c>
      <c r="D424">
        <v>6.01</v>
      </c>
    </row>
    <row r="425" spans="1:4" x14ac:dyDescent="0.25">
      <c r="A425" t="s">
        <v>6467</v>
      </c>
      <c r="B425" t="s">
        <v>6468</v>
      </c>
      <c r="C425" t="s">
        <v>7205</v>
      </c>
      <c r="D425">
        <v>6.66</v>
      </c>
    </row>
    <row r="426" spans="1:4" x14ac:dyDescent="0.25">
      <c r="A426" t="s">
        <v>6469</v>
      </c>
      <c r="B426" t="s">
        <v>6470</v>
      </c>
      <c r="C426" t="s">
        <v>7205</v>
      </c>
      <c r="D426">
        <v>12.740000000000002</v>
      </c>
    </row>
    <row r="427" spans="1:4" x14ac:dyDescent="0.25">
      <c r="A427" t="s">
        <v>6471</v>
      </c>
      <c r="B427" t="s">
        <v>6472</v>
      </c>
      <c r="C427" t="s">
        <v>7205</v>
      </c>
      <c r="D427">
        <v>4.17</v>
      </c>
    </row>
    <row r="428" spans="1:4" x14ac:dyDescent="0.25">
      <c r="A428" t="s">
        <v>6473</v>
      </c>
      <c r="B428" t="s">
        <v>6474</v>
      </c>
      <c r="C428" t="s">
        <v>7205</v>
      </c>
      <c r="D428">
        <v>1.2000000000000002</v>
      </c>
    </row>
    <row r="429" spans="1:4" x14ac:dyDescent="0.25">
      <c r="A429" t="s">
        <v>6475</v>
      </c>
      <c r="B429" t="s">
        <v>6476</v>
      </c>
      <c r="C429" t="s">
        <v>7205</v>
      </c>
      <c r="D429">
        <v>1.18</v>
      </c>
    </row>
    <row r="430" spans="1:4" x14ac:dyDescent="0.25">
      <c r="A430" t="s">
        <v>6477</v>
      </c>
      <c r="B430" t="s">
        <v>6478</v>
      </c>
      <c r="C430" t="s">
        <v>7205</v>
      </c>
      <c r="D430">
        <v>7.9799999999999995</v>
      </c>
    </row>
    <row r="431" spans="1:4" x14ac:dyDescent="0.25">
      <c r="A431" t="s">
        <v>6479</v>
      </c>
      <c r="B431" t="s">
        <v>6480</v>
      </c>
      <c r="C431" t="s">
        <v>7205</v>
      </c>
      <c r="D431">
        <v>9.7199999999999989</v>
      </c>
    </row>
    <row r="432" spans="1:4" x14ac:dyDescent="0.25">
      <c r="A432" t="s">
        <v>6481</v>
      </c>
      <c r="B432" t="s">
        <v>6482</v>
      </c>
      <c r="C432" t="s">
        <v>7205</v>
      </c>
      <c r="D432">
        <v>1.9000000000000001</v>
      </c>
    </row>
    <row r="433" spans="1:4" x14ac:dyDescent="0.25">
      <c r="A433" t="s">
        <v>6483</v>
      </c>
      <c r="B433" t="s">
        <v>6484</v>
      </c>
      <c r="C433" t="s">
        <v>7205</v>
      </c>
      <c r="D433">
        <v>0.53</v>
      </c>
    </row>
    <row r="434" spans="1:4" x14ac:dyDescent="0.25">
      <c r="A434" t="s">
        <v>6485</v>
      </c>
      <c r="B434" t="s">
        <v>6486</v>
      </c>
      <c r="C434" t="s">
        <v>7205</v>
      </c>
      <c r="D434">
        <v>0.53</v>
      </c>
    </row>
    <row r="435" spans="1:4" x14ac:dyDescent="0.25">
      <c r="A435" t="s">
        <v>6487</v>
      </c>
      <c r="B435" t="s">
        <v>6488</v>
      </c>
      <c r="C435" t="s">
        <v>7205</v>
      </c>
      <c r="D435">
        <v>8.7100000000000009</v>
      </c>
    </row>
    <row r="436" spans="1:4" x14ac:dyDescent="0.25">
      <c r="A436" t="s">
        <v>6489</v>
      </c>
      <c r="B436" t="s">
        <v>6490</v>
      </c>
      <c r="C436" t="s">
        <v>7205</v>
      </c>
      <c r="D436">
        <v>630.28</v>
      </c>
    </row>
    <row r="437" spans="1:4" x14ac:dyDescent="0.25">
      <c r="A437" t="s">
        <v>6491</v>
      </c>
      <c r="B437" t="s">
        <v>6492</v>
      </c>
      <c r="C437" t="s">
        <v>7205</v>
      </c>
      <c r="D437">
        <v>24.24</v>
      </c>
    </row>
    <row r="438" spans="1:4" x14ac:dyDescent="0.25">
      <c r="A438" t="s">
        <v>6493</v>
      </c>
      <c r="B438" t="s">
        <v>6494</v>
      </c>
      <c r="C438" t="s">
        <v>7205</v>
      </c>
      <c r="D438">
        <v>17.55</v>
      </c>
    </row>
    <row r="439" spans="1:4" x14ac:dyDescent="0.25">
      <c r="A439" t="s">
        <v>6495</v>
      </c>
      <c r="B439" t="s">
        <v>6496</v>
      </c>
      <c r="C439" t="s">
        <v>7205</v>
      </c>
      <c r="D439">
        <v>12.3</v>
      </c>
    </row>
    <row r="440" spans="1:4" x14ac:dyDescent="0.25">
      <c r="A440" t="s">
        <v>6497</v>
      </c>
      <c r="B440" t="s">
        <v>6498</v>
      </c>
      <c r="C440" t="s">
        <v>7205</v>
      </c>
      <c r="D440">
        <v>13.52</v>
      </c>
    </row>
    <row r="441" spans="1:4" x14ac:dyDescent="0.25">
      <c r="A441" t="s">
        <v>6499</v>
      </c>
      <c r="B441" t="s">
        <v>6500</v>
      </c>
      <c r="C441" t="s">
        <v>7205</v>
      </c>
      <c r="D441">
        <v>5.6899999999999995</v>
      </c>
    </row>
    <row r="442" spans="1:4" x14ac:dyDescent="0.25">
      <c r="A442" t="s">
        <v>6501</v>
      </c>
      <c r="B442" t="s">
        <v>6502</v>
      </c>
      <c r="C442" t="s">
        <v>7205</v>
      </c>
      <c r="D442">
        <v>1058.44</v>
      </c>
    </row>
    <row r="443" spans="1:4" x14ac:dyDescent="0.25">
      <c r="A443" t="s">
        <v>6503</v>
      </c>
      <c r="B443" t="s">
        <v>6504</v>
      </c>
      <c r="C443" t="s">
        <v>7205</v>
      </c>
      <c r="D443">
        <v>6.6499999999999995</v>
      </c>
    </row>
    <row r="444" spans="1:4" x14ac:dyDescent="0.25">
      <c r="A444" t="s">
        <v>6505</v>
      </c>
      <c r="B444" t="s">
        <v>6506</v>
      </c>
      <c r="C444" t="s">
        <v>7205</v>
      </c>
      <c r="D444">
        <v>7.9599999999999991</v>
      </c>
    </row>
    <row r="445" spans="1:4" x14ac:dyDescent="0.25">
      <c r="A445" t="s">
        <v>6507</v>
      </c>
      <c r="B445" t="s">
        <v>6508</v>
      </c>
      <c r="C445" t="s">
        <v>7205</v>
      </c>
      <c r="D445">
        <v>3.53</v>
      </c>
    </row>
    <row r="446" spans="1:4" x14ac:dyDescent="0.25">
      <c r="A446" t="s">
        <v>6509</v>
      </c>
      <c r="B446" t="s">
        <v>6510</v>
      </c>
      <c r="C446" t="s">
        <v>7205</v>
      </c>
      <c r="D446">
        <v>3.29</v>
      </c>
    </row>
    <row r="447" spans="1:4" x14ac:dyDescent="0.25">
      <c r="A447" t="s">
        <v>6511</v>
      </c>
      <c r="B447" t="s">
        <v>6512</v>
      </c>
      <c r="C447" t="s">
        <v>7205</v>
      </c>
      <c r="D447">
        <v>2.42</v>
      </c>
    </row>
    <row r="448" spans="1:4" x14ac:dyDescent="0.25">
      <c r="A448" t="s">
        <v>6513</v>
      </c>
      <c r="B448" t="s">
        <v>6514</v>
      </c>
      <c r="C448" t="s">
        <v>7205</v>
      </c>
      <c r="D448">
        <v>6.05</v>
      </c>
    </row>
    <row r="449" spans="1:4" x14ac:dyDescent="0.25">
      <c r="A449" t="s">
        <v>6515</v>
      </c>
      <c r="B449" t="s">
        <v>6516</v>
      </c>
      <c r="C449" t="s">
        <v>7205</v>
      </c>
      <c r="D449">
        <v>6.05</v>
      </c>
    </row>
    <row r="450" spans="1:4" x14ac:dyDescent="0.25">
      <c r="A450" t="s">
        <v>6517</v>
      </c>
      <c r="B450" t="s">
        <v>6518</v>
      </c>
      <c r="C450" t="s">
        <v>7205</v>
      </c>
      <c r="D450">
        <v>8.620000000000001</v>
      </c>
    </row>
    <row r="451" spans="1:4" x14ac:dyDescent="0.25">
      <c r="A451" t="s">
        <v>6519</v>
      </c>
      <c r="B451" t="s">
        <v>6520</v>
      </c>
      <c r="C451" t="s">
        <v>7205</v>
      </c>
      <c r="D451">
        <v>1.1600000000000001</v>
      </c>
    </row>
    <row r="452" spans="1:4" x14ac:dyDescent="0.25">
      <c r="A452" t="s">
        <v>6521</v>
      </c>
      <c r="B452" t="s">
        <v>6522</v>
      </c>
      <c r="C452" t="s">
        <v>7205</v>
      </c>
      <c r="D452">
        <v>28.9</v>
      </c>
    </row>
    <row r="453" spans="1:4" x14ac:dyDescent="0.25">
      <c r="A453" t="s">
        <v>6523</v>
      </c>
      <c r="B453" t="s">
        <v>6524</v>
      </c>
      <c r="C453" t="s">
        <v>7205</v>
      </c>
      <c r="D453">
        <v>3.86</v>
      </c>
    </row>
    <row r="454" spans="1:4" x14ac:dyDescent="0.25">
      <c r="A454" t="s">
        <v>6525</v>
      </c>
      <c r="B454" t="s">
        <v>6526</v>
      </c>
      <c r="C454" t="s">
        <v>7205</v>
      </c>
      <c r="D454">
        <v>23.97</v>
      </c>
    </row>
    <row r="455" spans="1:4" x14ac:dyDescent="0.25">
      <c r="A455" t="s">
        <v>6527</v>
      </c>
      <c r="B455" t="s">
        <v>6528</v>
      </c>
      <c r="C455" t="s">
        <v>7205</v>
      </c>
      <c r="D455">
        <v>9.31</v>
      </c>
    </row>
    <row r="456" spans="1:4" x14ac:dyDescent="0.25">
      <c r="A456" t="s">
        <v>6529</v>
      </c>
      <c r="B456" t="s">
        <v>6530</v>
      </c>
      <c r="C456" t="s">
        <v>7205</v>
      </c>
      <c r="D456">
        <v>9.31</v>
      </c>
    </row>
    <row r="457" spans="1:4" x14ac:dyDescent="0.25">
      <c r="A457" t="s">
        <v>6531</v>
      </c>
      <c r="B457" t="s">
        <v>6532</v>
      </c>
      <c r="C457" t="s">
        <v>7205</v>
      </c>
      <c r="D457">
        <v>14.83</v>
      </c>
    </row>
    <row r="458" spans="1:4" x14ac:dyDescent="0.25">
      <c r="A458" t="s">
        <v>6533</v>
      </c>
      <c r="B458" t="s">
        <v>6534</v>
      </c>
      <c r="C458" t="s">
        <v>7205</v>
      </c>
      <c r="D458">
        <v>4.83</v>
      </c>
    </row>
    <row r="459" spans="1:4" x14ac:dyDescent="0.25">
      <c r="A459" t="s">
        <v>6535</v>
      </c>
      <c r="B459" t="s">
        <v>6536</v>
      </c>
      <c r="C459" t="s">
        <v>7205</v>
      </c>
      <c r="D459">
        <v>9.76</v>
      </c>
    </row>
    <row r="460" spans="1:4" x14ac:dyDescent="0.25">
      <c r="A460" t="s">
        <v>6537</v>
      </c>
      <c r="B460" t="s">
        <v>6538</v>
      </c>
      <c r="C460" t="s">
        <v>7205</v>
      </c>
      <c r="D460">
        <v>1.0900000000000001</v>
      </c>
    </row>
    <row r="461" spans="1:4" x14ac:dyDescent="0.25">
      <c r="A461" t="s">
        <v>6539</v>
      </c>
      <c r="B461" t="s">
        <v>6540</v>
      </c>
      <c r="C461" t="s">
        <v>7205</v>
      </c>
      <c r="D461">
        <v>42.01</v>
      </c>
    </row>
    <row r="462" spans="1:4" x14ac:dyDescent="0.25">
      <c r="A462" t="s">
        <v>6541</v>
      </c>
      <c r="B462" t="s">
        <v>6542</v>
      </c>
      <c r="C462" t="s">
        <v>7205</v>
      </c>
      <c r="D462">
        <v>332.38</v>
      </c>
    </row>
    <row r="463" spans="1:4" x14ac:dyDescent="0.25">
      <c r="A463" t="s">
        <v>6543</v>
      </c>
      <c r="B463" t="s">
        <v>6544</v>
      </c>
      <c r="C463" t="s">
        <v>7205</v>
      </c>
      <c r="D463">
        <v>302.12</v>
      </c>
    </row>
    <row r="464" spans="1:4" x14ac:dyDescent="0.25">
      <c r="A464" t="s">
        <v>6545</v>
      </c>
      <c r="B464" t="s">
        <v>6546</v>
      </c>
      <c r="C464" t="s">
        <v>7205</v>
      </c>
      <c r="D464">
        <v>41.7</v>
      </c>
    </row>
    <row r="465" spans="1:4" x14ac:dyDescent="0.25">
      <c r="A465" t="s">
        <v>6547</v>
      </c>
      <c r="B465" t="s">
        <v>6548</v>
      </c>
      <c r="C465" t="s">
        <v>7205</v>
      </c>
      <c r="D465">
        <v>5.37</v>
      </c>
    </row>
    <row r="466" spans="1:4" x14ac:dyDescent="0.25">
      <c r="A466" t="s">
        <v>6549</v>
      </c>
      <c r="B466" t="s">
        <v>6550</v>
      </c>
      <c r="C466" t="s">
        <v>7205</v>
      </c>
      <c r="D466">
        <v>4.1100000000000003</v>
      </c>
    </row>
    <row r="467" spans="1:4" x14ac:dyDescent="0.25">
      <c r="A467" t="s">
        <v>6551</v>
      </c>
      <c r="B467" t="s">
        <v>6552</v>
      </c>
      <c r="C467" t="s">
        <v>7205</v>
      </c>
      <c r="D467">
        <v>5.14</v>
      </c>
    </row>
    <row r="468" spans="1:4" x14ac:dyDescent="0.25">
      <c r="A468" t="s">
        <v>6553</v>
      </c>
      <c r="B468" t="s">
        <v>6554</v>
      </c>
      <c r="C468" t="s">
        <v>7205</v>
      </c>
      <c r="D468">
        <v>20.3</v>
      </c>
    </row>
    <row r="469" spans="1:4" x14ac:dyDescent="0.25">
      <c r="A469" t="s">
        <v>6555</v>
      </c>
      <c r="B469" t="s">
        <v>6556</v>
      </c>
      <c r="C469" t="s">
        <v>7205</v>
      </c>
      <c r="D469">
        <v>13.08</v>
      </c>
    </row>
    <row r="470" spans="1:4" x14ac:dyDescent="0.25">
      <c r="A470" t="s">
        <v>6557</v>
      </c>
      <c r="B470" t="s">
        <v>6558</v>
      </c>
      <c r="C470" t="s">
        <v>7205</v>
      </c>
      <c r="D470">
        <v>5.25</v>
      </c>
    </row>
    <row r="471" spans="1:4" x14ac:dyDescent="0.25">
      <c r="A471" t="s">
        <v>6559</v>
      </c>
      <c r="B471" t="s">
        <v>6560</v>
      </c>
      <c r="C471" t="s">
        <v>7205</v>
      </c>
      <c r="D471">
        <v>5.9700000000000006</v>
      </c>
    </row>
    <row r="472" spans="1:4" x14ac:dyDescent="0.25">
      <c r="A472" t="s">
        <v>6561</v>
      </c>
      <c r="B472" t="s">
        <v>6562</v>
      </c>
      <c r="C472" t="s">
        <v>7205</v>
      </c>
      <c r="D472">
        <v>11.489999999999998</v>
      </c>
    </row>
    <row r="473" spans="1:4" x14ac:dyDescent="0.25">
      <c r="A473" t="s">
        <v>6563</v>
      </c>
      <c r="B473" t="s">
        <v>6564</v>
      </c>
      <c r="C473" t="s">
        <v>7205</v>
      </c>
      <c r="D473">
        <v>32.78</v>
      </c>
    </row>
    <row r="474" spans="1:4" x14ac:dyDescent="0.25">
      <c r="A474" t="s">
        <v>6565</v>
      </c>
      <c r="B474" t="s">
        <v>6566</v>
      </c>
      <c r="C474" t="s">
        <v>7205</v>
      </c>
      <c r="D474">
        <v>13.28</v>
      </c>
    </row>
    <row r="475" spans="1:4" x14ac:dyDescent="0.25">
      <c r="A475" t="s">
        <v>6567</v>
      </c>
      <c r="B475" t="s">
        <v>6568</v>
      </c>
      <c r="C475" t="s">
        <v>7205</v>
      </c>
      <c r="D475">
        <v>7.2</v>
      </c>
    </row>
    <row r="476" spans="1:4" x14ac:dyDescent="0.25">
      <c r="A476" t="s">
        <v>6569</v>
      </c>
      <c r="B476" t="s">
        <v>6570</v>
      </c>
      <c r="C476" t="s">
        <v>7205</v>
      </c>
      <c r="D476">
        <v>4.17</v>
      </c>
    </row>
    <row r="477" spans="1:4" x14ac:dyDescent="0.25">
      <c r="A477" t="s">
        <v>6571</v>
      </c>
      <c r="B477" t="s">
        <v>6572</v>
      </c>
      <c r="C477" t="s">
        <v>7205</v>
      </c>
      <c r="D477">
        <v>9.9499999999999993</v>
      </c>
    </row>
    <row r="478" spans="1:4" x14ac:dyDescent="0.25">
      <c r="A478" t="s">
        <v>6573</v>
      </c>
      <c r="B478" t="s">
        <v>6574</v>
      </c>
      <c r="C478" t="s">
        <v>7205</v>
      </c>
      <c r="D478">
        <v>0.99</v>
      </c>
    </row>
    <row r="479" spans="1:4" x14ac:dyDescent="0.25">
      <c r="A479" t="s">
        <v>6575</v>
      </c>
      <c r="B479" t="s">
        <v>6576</v>
      </c>
      <c r="C479" t="s">
        <v>7205</v>
      </c>
      <c r="D479">
        <v>0.99</v>
      </c>
    </row>
    <row r="480" spans="1:4" x14ac:dyDescent="0.25">
      <c r="A480" t="s">
        <v>6577</v>
      </c>
      <c r="B480" t="s">
        <v>6578</v>
      </c>
      <c r="C480" t="s">
        <v>7205</v>
      </c>
      <c r="D480">
        <v>12.45</v>
      </c>
    </row>
    <row r="481" spans="1:4" x14ac:dyDescent="0.25">
      <c r="A481" t="s">
        <v>6579</v>
      </c>
      <c r="B481" t="s">
        <v>6580</v>
      </c>
      <c r="C481" t="s">
        <v>7205</v>
      </c>
      <c r="D481">
        <v>61.6</v>
      </c>
    </row>
    <row r="482" spans="1:4" x14ac:dyDescent="0.25">
      <c r="A482" t="s">
        <v>6581</v>
      </c>
      <c r="B482" t="s">
        <v>6582</v>
      </c>
      <c r="C482" t="s">
        <v>7205</v>
      </c>
      <c r="D482">
        <v>61.6</v>
      </c>
    </row>
    <row r="483" spans="1:4" x14ac:dyDescent="0.25">
      <c r="A483" t="s">
        <v>6583</v>
      </c>
      <c r="B483" t="s">
        <v>6584</v>
      </c>
      <c r="C483" t="s">
        <v>7205</v>
      </c>
      <c r="D483">
        <v>259.5</v>
      </c>
    </row>
    <row r="484" spans="1:4" x14ac:dyDescent="0.25">
      <c r="A484" t="s">
        <v>6585</v>
      </c>
      <c r="B484" t="s">
        <v>6586</v>
      </c>
      <c r="C484" t="s">
        <v>7205</v>
      </c>
      <c r="D484">
        <v>46.79</v>
      </c>
    </row>
    <row r="485" spans="1:4" x14ac:dyDescent="0.25">
      <c r="A485" t="s">
        <v>6587</v>
      </c>
      <c r="B485" t="s">
        <v>6588</v>
      </c>
      <c r="C485" t="s">
        <v>7205</v>
      </c>
      <c r="D485">
        <v>358</v>
      </c>
    </row>
    <row r="486" spans="1:4" x14ac:dyDescent="0.25">
      <c r="A486" t="s">
        <v>6589</v>
      </c>
      <c r="B486" t="s">
        <v>6590</v>
      </c>
      <c r="C486" t="s">
        <v>7205</v>
      </c>
      <c r="D486">
        <v>13.260000000000002</v>
      </c>
    </row>
    <row r="487" spans="1:4" x14ac:dyDescent="0.25">
      <c r="A487" t="s">
        <v>6591</v>
      </c>
      <c r="B487" t="s">
        <v>6592</v>
      </c>
      <c r="C487" t="s">
        <v>7205</v>
      </c>
      <c r="D487">
        <v>11.99</v>
      </c>
    </row>
    <row r="488" spans="1:4" x14ac:dyDescent="0.25">
      <c r="A488" t="s">
        <v>6593</v>
      </c>
      <c r="B488" t="s">
        <v>6594</v>
      </c>
      <c r="C488" t="s">
        <v>7205</v>
      </c>
      <c r="D488">
        <v>41.089999999999996</v>
      </c>
    </row>
    <row r="489" spans="1:4" x14ac:dyDescent="0.25">
      <c r="A489" t="s">
        <v>6595</v>
      </c>
      <c r="B489" t="s">
        <v>6596</v>
      </c>
      <c r="C489" t="s">
        <v>7205</v>
      </c>
      <c r="D489">
        <v>51.379999999999995</v>
      </c>
    </row>
    <row r="490" spans="1:4" x14ac:dyDescent="0.25">
      <c r="A490" t="s">
        <v>6597</v>
      </c>
      <c r="B490" t="s">
        <v>6598</v>
      </c>
      <c r="C490" t="s">
        <v>7205</v>
      </c>
      <c r="D490">
        <v>3.55</v>
      </c>
    </row>
    <row r="491" spans="1:4" x14ac:dyDescent="0.25">
      <c r="A491" t="s">
        <v>6599</v>
      </c>
      <c r="B491" t="s">
        <v>6600</v>
      </c>
      <c r="C491" t="s">
        <v>7205</v>
      </c>
      <c r="D491">
        <v>2.56</v>
      </c>
    </row>
    <row r="492" spans="1:4" x14ac:dyDescent="0.25">
      <c r="A492" t="s">
        <v>6601</v>
      </c>
      <c r="B492" t="s">
        <v>6602</v>
      </c>
      <c r="C492" t="s">
        <v>7205</v>
      </c>
      <c r="D492">
        <v>13.2</v>
      </c>
    </row>
    <row r="493" spans="1:4" x14ac:dyDescent="0.25">
      <c r="A493" t="s">
        <v>6603</v>
      </c>
      <c r="B493" t="s">
        <v>6604</v>
      </c>
      <c r="C493" t="s">
        <v>7205</v>
      </c>
      <c r="D493">
        <v>40.04</v>
      </c>
    </row>
    <row r="494" spans="1:4" x14ac:dyDescent="0.25">
      <c r="A494" t="s">
        <v>6605</v>
      </c>
      <c r="B494" t="s">
        <v>6606</v>
      </c>
      <c r="C494" t="s">
        <v>7205</v>
      </c>
      <c r="D494">
        <v>90.110000000000014</v>
      </c>
    </row>
    <row r="495" spans="1:4" x14ac:dyDescent="0.25">
      <c r="A495" t="s">
        <v>6607</v>
      </c>
      <c r="B495" t="s">
        <v>6608</v>
      </c>
      <c r="C495" t="s">
        <v>7205</v>
      </c>
      <c r="D495">
        <v>32.65</v>
      </c>
    </row>
    <row r="496" spans="1:4" x14ac:dyDescent="0.25">
      <c r="A496" t="s">
        <v>6609</v>
      </c>
      <c r="B496" t="s">
        <v>6610</v>
      </c>
      <c r="C496" t="s">
        <v>7205</v>
      </c>
      <c r="D496">
        <v>149.1</v>
      </c>
    </row>
    <row r="497" spans="1:4" x14ac:dyDescent="0.25">
      <c r="A497" t="s">
        <v>6611</v>
      </c>
      <c r="B497" t="s">
        <v>6612</v>
      </c>
      <c r="C497" t="s">
        <v>7205</v>
      </c>
      <c r="D497">
        <v>8.8000000000000007</v>
      </c>
    </row>
    <row r="498" spans="1:4" x14ac:dyDescent="0.25">
      <c r="A498" t="s">
        <v>6613</v>
      </c>
      <c r="B498" t="s">
        <v>6614</v>
      </c>
      <c r="C498" t="s">
        <v>7205</v>
      </c>
      <c r="D498">
        <v>3.65</v>
      </c>
    </row>
    <row r="499" spans="1:4" x14ac:dyDescent="0.25">
      <c r="A499" t="s">
        <v>6615</v>
      </c>
      <c r="B499" t="s">
        <v>6616</v>
      </c>
      <c r="C499" t="s">
        <v>7205</v>
      </c>
      <c r="D499">
        <v>13.350000000000001</v>
      </c>
    </row>
    <row r="500" spans="1:4" x14ac:dyDescent="0.25">
      <c r="A500" t="s">
        <v>6617</v>
      </c>
      <c r="B500" t="s">
        <v>6618</v>
      </c>
      <c r="C500" t="s">
        <v>7205</v>
      </c>
      <c r="D500">
        <v>3.6500000000000004</v>
      </c>
    </row>
    <row r="501" spans="1:4" x14ac:dyDescent="0.25">
      <c r="A501" t="s">
        <v>6619</v>
      </c>
      <c r="B501" t="s">
        <v>6620</v>
      </c>
      <c r="C501" t="s">
        <v>7205</v>
      </c>
      <c r="D501">
        <v>12.309999999999999</v>
      </c>
    </row>
    <row r="502" spans="1:4" x14ac:dyDescent="0.25">
      <c r="A502" t="s">
        <v>6621</v>
      </c>
      <c r="B502" t="s">
        <v>6622</v>
      </c>
      <c r="C502" t="s">
        <v>7205</v>
      </c>
      <c r="D502">
        <v>4.5500000000000007</v>
      </c>
    </row>
    <row r="503" spans="1:4" x14ac:dyDescent="0.25">
      <c r="A503" t="s">
        <v>6623</v>
      </c>
      <c r="B503" t="s">
        <v>6624</v>
      </c>
      <c r="C503" t="s">
        <v>7205</v>
      </c>
      <c r="D503">
        <v>3.69</v>
      </c>
    </row>
    <row r="504" spans="1:4" x14ac:dyDescent="0.25">
      <c r="A504" t="s">
        <v>6625</v>
      </c>
      <c r="B504" t="s">
        <v>6626</v>
      </c>
      <c r="C504" t="s">
        <v>7205</v>
      </c>
      <c r="D504">
        <v>5.49</v>
      </c>
    </row>
    <row r="505" spans="1:4" x14ac:dyDescent="0.25">
      <c r="A505" t="s">
        <v>6627</v>
      </c>
      <c r="B505" t="s">
        <v>6628</v>
      </c>
      <c r="C505" t="s">
        <v>7205</v>
      </c>
      <c r="D505">
        <v>6.47</v>
      </c>
    </row>
    <row r="506" spans="1:4" x14ac:dyDescent="0.25">
      <c r="A506" t="s">
        <v>6629</v>
      </c>
      <c r="B506" t="s">
        <v>6630</v>
      </c>
      <c r="C506" t="s">
        <v>7205</v>
      </c>
      <c r="D506">
        <v>21.53</v>
      </c>
    </row>
    <row r="507" spans="1:4" x14ac:dyDescent="0.25">
      <c r="A507" t="s">
        <v>6631</v>
      </c>
      <c r="B507" t="s">
        <v>6632</v>
      </c>
      <c r="C507" t="s">
        <v>7205</v>
      </c>
      <c r="D507">
        <v>45.66</v>
      </c>
    </row>
    <row r="508" spans="1:4" x14ac:dyDescent="0.25">
      <c r="A508" t="s">
        <v>6633</v>
      </c>
      <c r="B508" t="s">
        <v>6634</v>
      </c>
      <c r="C508" t="s">
        <v>7205</v>
      </c>
      <c r="D508">
        <v>31.35</v>
      </c>
    </row>
    <row r="509" spans="1:4" x14ac:dyDescent="0.25">
      <c r="A509" t="s">
        <v>6635</v>
      </c>
      <c r="B509" t="s">
        <v>6636</v>
      </c>
      <c r="C509" t="s">
        <v>7205</v>
      </c>
      <c r="D509">
        <v>32.29</v>
      </c>
    </row>
    <row r="510" spans="1:4" x14ac:dyDescent="0.25">
      <c r="A510" t="s">
        <v>6637</v>
      </c>
      <c r="B510" t="s">
        <v>6638</v>
      </c>
      <c r="C510" t="s">
        <v>7205</v>
      </c>
      <c r="D510">
        <v>20.47</v>
      </c>
    </row>
    <row r="511" spans="1:4" x14ac:dyDescent="0.25">
      <c r="A511" t="s">
        <v>6639</v>
      </c>
      <c r="B511" t="s">
        <v>6640</v>
      </c>
      <c r="C511" t="s">
        <v>7205</v>
      </c>
      <c r="D511">
        <v>4.0999999999999996</v>
      </c>
    </row>
    <row r="512" spans="1:4" x14ac:dyDescent="0.25">
      <c r="A512" t="s">
        <v>6641</v>
      </c>
      <c r="B512" t="s">
        <v>6642</v>
      </c>
      <c r="C512" t="s">
        <v>7205</v>
      </c>
      <c r="D512">
        <v>14.1</v>
      </c>
    </row>
    <row r="513" spans="1:4" x14ac:dyDescent="0.25">
      <c r="A513" t="s">
        <v>6643</v>
      </c>
      <c r="B513" t="s">
        <v>6644</v>
      </c>
      <c r="C513" t="s">
        <v>7205</v>
      </c>
      <c r="D513">
        <v>2.78</v>
      </c>
    </row>
    <row r="514" spans="1:4" x14ac:dyDescent="0.25">
      <c r="A514" t="s">
        <v>6645</v>
      </c>
      <c r="B514" t="s">
        <v>6646</v>
      </c>
      <c r="C514" t="s">
        <v>7205</v>
      </c>
      <c r="D514">
        <v>25.35</v>
      </c>
    </row>
    <row r="515" spans="1:4" x14ac:dyDescent="0.25">
      <c r="A515" t="s">
        <v>6647</v>
      </c>
      <c r="B515" t="s">
        <v>6648</v>
      </c>
      <c r="C515" t="s">
        <v>7205</v>
      </c>
      <c r="D515">
        <v>25.55</v>
      </c>
    </row>
    <row r="516" spans="1:4" x14ac:dyDescent="0.25">
      <c r="A516" t="s">
        <v>6649</v>
      </c>
      <c r="B516" t="s">
        <v>6650</v>
      </c>
      <c r="C516" t="s">
        <v>7205</v>
      </c>
      <c r="D516">
        <v>6.5</v>
      </c>
    </row>
    <row r="517" spans="1:4" x14ac:dyDescent="0.25">
      <c r="A517" t="s">
        <v>6651</v>
      </c>
      <c r="B517" t="s">
        <v>6652</v>
      </c>
      <c r="C517" t="s">
        <v>7205</v>
      </c>
      <c r="D517">
        <v>24.17</v>
      </c>
    </row>
    <row r="518" spans="1:4" x14ac:dyDescent="0.25">
      <c r="A518" t="s">
        <v>6653</v>
      </c>
      <c r="B518" t="s">
        <v>6654</v>
      </c>
      <c r="C518" t="s">
        <v>7205</v>
      </c>
      <c r="D518">
        <v>8.42</v>
      </c>
    </row>
    <row r="519" spans="1:4" x14ac:dyDescent="0.25">
      <c r="A519" t="s">
        <v>6655</v>
      </c>
      <c r="B519" t="s">
        <v>6656</v>
      </c>
      <c r="C519" t="s">
        <v>7205</v>
      </c>
      <c r="D519">
        <v>20.12</v>
      </c>
    </row>
    <row r="520" spans="1:4" x14ac:dyDescent="0.25">
      <c r="A520" t="s">
        <v>6657</v>
      </c>
      <c r="B520" t="s">
        <v>6658</v>
      </c>
      <c r="C520" t="s">
        <v>7205</v>
      </c>
      <c r="D520">
        <v>8.5500000000000007</v>
      </c>
    </row>
    <row r="521" spans="1:4" x14ac:dyDescent="0.25">
      <c r="A521" t="s">
        <v>6659</v>
      </c>
      <c r="B521" t="s">
        <v>6660</v>
      </c>
      <c r="C521" t="s">
        <v>7205</v>
      </c>
      <c r="D521">
        <v>10.75</v>
      </c>
    </row>
    <row r="522" spans="1:4" x14ac:dyDescent="0.25">
      <c r="A522" t="s">
        <v>6661</v>
      </c>
      <c r="B522" t="s">
        <v>6662</v>
      </c>
      <c r="C522" t="s">
        <v>7205</v>
      </c>
      <c r="D522">
        <v>23.5</v>
      </c>
    </row>
    <row r="523" spans="1:4" x14ac:dyDescent="0.25">
      <c r="A523" t="s">
        <v>6663</v>
      </c>
      <c r="B523" t="s">
        <v>6664</v>
      </c>
      <c r="C523" t="s">
        <v>7205</v>
      </c>
      <c r="D523">
        <v>4.5999999999999996</v>
      </c>
    </row>
    <row r="524" spans="1:4" x14ac:dyDescent="0.25">
      <c r="A524" t="s">
        <v>6665</v>
      </c>
      <c r="B524" t="s">
        <v>6666</v>
      </c>
      <c r="C524" t="s">
        <v>7205</v>
      </c>
      <c r="D524">
        <v>29.8</v>
      </c>
    </row>
    <row r="525" spans="1:4" x14ac:dyDescent="0.25">
      <c r="A525" t="s">
        <v>6667</v>
      </c>
      <c r="B525" t="s">
        <v>6668</v>
      </c>
      <c r="C525" t="s">
        <v>7205</v>
      </c>
      <c r="D525">
        <v>17.95</v>
      </c>
    </row>
    <row r="526" spans="1:4" x14ac:dyDescent="0.25">
      <c r="A526" t="s">
        <v>6669</v>
      </c>
      <c r="B526" t="s">
        <v>6670</v>
      </c>
      <c r="C526" t="s">
        <v>7205</v>
      </c>
      <c r="D526">
        <v>8.7899999999999991</v>
      </c>
    </row>
    <row r="527" spans="1:4" x14ac:dyDescent="0.25">
      <c r="A527" t="s">
        <v>6671</v>
      </c>
      <c r="B527" t="s">
        <v>6672</v>
      </c>
      <c r="C527" t="s">
        <v>7205</v>
      </c>
      <c r="D527">
        <v>15.15</v>
      </c>
    </row>
    <row r="528" spans="1:4" x14ac:dyDescent="0.25">
      <c r="A528" t="s">
        <v>6673</v>
      </c>
      <c r="B528" t="s">
        <v>6674</v>
      </c>
      <c r="C528" t="s">
        <v>7205</v>
      </c>
      <c r="D528">
        <v>20.32</v>
      </c>
    </row>
    <row r="529" spans="1:4" x14ac:dyDescent="0.25">
      <c r="A529" t="s">
        <v>6675</v>
      </c>
      <c r="B529" t="s">
        <v>6676</v>
      </c>
      <c r="C529" t="s">
        <v>7205</v>
      </c>
      <c r="D529">
        <v>5</v>
      </c>
    </row>
    <row r="530" spans="1:4" x14ac:dyDescent="0.25">
      <c r="A530" t="s">
        <v>6677</v>
      </c>
      <c r="B530" t="s">
        <v>6678</v>
      </c>
      <c r="C530" t="s">
        <v>7205</v>
      </c>
      <c r="D530">
        <v>8.39</v>
      </c>
    </row>
    <row r="531" spans="1:4" x14ac:dyDescent="0.25">
      <c r="A531" t="s">
        <v>6679</v>
      </c>
      <c r="B531" t="s">
        <v>6680</v>
      </c>
      <c r="C531" t="s">
        <v>7205</v>
      </c>
      <c r="D531">
        <v>7.3</v>
      </c>
    </row>
    <row r="532" spans="1:4" x14ac:dyDescent="0.25">
      <c r="A532" t="s">
        <v>6681</v>
      </c>
      <c r="B532" t="s">
        <v>6682</v>
      </c>
      <c r="C532" t="s">
        <v>7205</v>
      </c>
      <c r="D532">
        <v>6.25</v>
      </c>
    </row>
    <row r="533" spans="1:4" x14ac:dyDescent="0.25">
      <c r="A533" t="s">
        <v>6683</v>
      </c>
      <c r="B533" t="s">
        <v>6684</v>
      </c>
      <c r="C533" t="s">
        <v>7205</v>
      </c>
      <c r="D533">
        <v>6.9499999999999993</v>
      </c>
    </row>
    <row r="534" spans="1:4" x14ac:dyDescent="0.25">
      <c r="A534" t="s">
        <v>6685</v>
      </c>
      <c r="B534" t="s">
        <v>6686</v>
      </c>
      <c r="C534" t="s">
        <v>7205</v>
      </c>
      <c r="D534">
        <v>18.170000000000002</v>
      </c>
    </row>
    <row r="535" spans="1:4" x14ac:dyDescent="0.25">
      <c r="A535" t="s">
        <v>6687</v>
      </c>
      <c r="B535" t="s">
        <v>6688</v>
      </c>
      <c r="C535" t="s">
        <v>7205</v>
      </c>
      <c r="D535">
        <v>9.16</v>
      </c>
    </row>
    <row r="536" spans="1:4" x14ac:dyDescent="0.25">
      <c r="A536" t="s">
        <v>6689</v>
      </c>
      <c r="B536" t="s">
        <v>6690</v>
      </c>
      <c r="C536" t="s">
        <v>7205</v>
      </c>
      <c r="D536">
        <v>20.880000000000003</v>
      </c>
    </row>
    <row r="537" spans="1:4" x14ac:dyDescent="0.25">
      <c r="A537" t="s">
        <v>6691</v>
      </c>
      <c r="B537" t="s">
        <v>6692</v>
      </c>
      <c r="C537" t="s">
        <v>7205</v>
      </c>
      <c r="D537">
        <v>10.9</v>
      </c>
    </row>
    <row r="538" spans="1:4" x14ac:dyDescent="0.25">
      <c r="A538" t="s">
        <v>6693</v>
      </c>
      <c r="B538" t="s">
        <v>6694</v>
      </c>
      <c r="C538" t="s">
        <v>7205</v>
      </c>
      <c r="D538">
        <v>8.23</v>
      </c>
    </row>
    <row r="539" spans="1:4" x14ac:dyDescent="0.25">
      <c r="A539" t="s">
        <v>6695</v>
      </c>
      <c r="B539" t="s">
        <v>6696</v>
      </c>
      <c r="C539" t="s">
        <v>7205</v>
      </c>
      <c r="D539">
        <v>12.25</v>
      </c>
    </row>
    <row r="540" spans="1:4" x14ac:dyDescent="0.25">
      <c r="A540" t="s">
        <v>6697</v>
      </c>
      <c r="B540" t="s">
        <v>6698</v>
      </c>
      <c r="C540" t="s">
        <v>7205</v>
      </c>
      <c r="D540">
        <v>21.17</v>
      </c>
    </row>
    <row r="541" spans="1:4" x14ac:dyDescent="0.25">
      <c r="A541" t="s">
        <v>6699</v>
      </c>
      <c r="B541" t="s">
        <v>6700</v>
      </c>
      <c r="C541" t="s">
        <v>7205</v>
      </c>
      <c r="D541">
        <v>10.96</v>
      </c>
    </row>
    <row r="542" spans="1:4" x14ac:dyDescent="0.25">
      <c r="A542" t="s">
        <v>6701</v>
      </c>
      <c r="B542" t="s">
        <v>6702</v>
      </c>
      <c r="C542" t="s">
        <v>7205</v>
      </c>
      <c r="D542">
        <v>58.259999999999991</v>
      </c>
    </row>
    <row r="543" spans="1:4" x14ac:dyDescent="0.25">
      <c r="A543" t="s">
        <v>6703</v>
      </c>
      <c r="B543" t="s">
        <v>6704</v>
      </c>
      <c r="C543" t="s">
        <v>7205</v>
      </c>
      <c r="D543">
        <v>8.23</v>
      </c>
    </row>
    <row r="544" spans="1:4" x14ac:dyDescent="0.25">
      <c r="A544" t="s">
        <v>6705</v>
      </c>
      <c r="B544" t="s">
        <v>6706</v>
      </c>
      <c r="C544" t="s">
        <v>7205</v>
      </c>
      <c r="D544">
        <v>12.25</v>
      </c>
    </row>
    <row r="545" spans="1:4" x14ac:dyDescent="0.25">
      <c r="A545" t="s">
        <v>6707</v>
      </c>
      <c r="B545" t="s">
        <v>6708</v>
      </c>
      <c r="C545" t="s">
        <v>7205</v>
      </c>
      <c r="D545">
        <v>21.17</v>
      </c>
    </row>
    <row r="546" spans="1:4" x14ac:dyDescent="0.25">
      <c r="A546" t="s">
        <v>6709</v>
      </c>
      <c r="B546" t="s">
        <v>6710</v>
      </c>
      <c r="C546" t="s">
        <v>7205</v>
      </c>
      <c r="D546">
        <v>122.25999999999999</v>
      </c>
    </row>
    <row r="547" spans="1:4" x14ac:dyDescent="0.25">
      <c r="A547" t="s">
        <v>6711</v>
      </c>
      <c r="B547" t="s">
        <v>6712</v>
      </c>
      <c r="C547" t="s">
        <v>7205</v>
      </c>
      <c r="D547">
        <v>17.39</v>
      </c>
    </row>
    <row r="548" spans="1:4" x14ac:dyDescent="0.25">
      <c r="A548" t="s">
        <v>6713</v>
      </c>
      <c r="B548" t="s">
        <v>6714</v>
      </c>
      <c r="C548" t="s">
        <v>7205</v>
      </c>
      <c r="D548">
        <v>6.6899999999999995</v>
      </c>
    </row>
    <row r="549" spans="1:4" x14ac:dyDescent="0.25">
      <c r="A549" t="s">
        <v>6715</v>
      </c>
      <c r="B549" t="s">
        <v>6716</v>
      </c>
      <c r="C549" t="s">
        <v>7205</v>
      </c>
      <c r="D549">
        <v>9.9899999999999984</v>
      </c>
    </row>
    <row r="550" spans="1:4" x14ac:dyDescent="0.25">
      <c r="A550" t="s">
        <v>6717</v>
      </c>
      <c r="B550" t="s">
        <v>6718</v>
      </c>
      <c r="C550" t="s">
        <v>7205</v>
      </c>
      <c r="D550">
        <v>11.239999999999998</v>
      </c>
    </row>
    <row r="551" spans="1:4" x14ac:dyDescent="0.25">
      <c r="A551" t="s">
        <v>6719</v>
      </c>
      <c r="B551" t="s">
        <v>6720</v>
      </c>
      <c r="C551" t="s">
        <v>7205</v>
      </c>
      <c r="D551">
        <v>12.58</v>
      </c>
    </row>
    <row r="552" spans="1:4" x14ac:dyDescent="0.25">
      <c r="A552" t="s">
        <v>6721</v>
      </c>
      <c r="B552" t="s">
        <v>6722</v>
      </c>
      <c r="C552" t="s">
        <v>7205</v>
      </c>
      <c r="D552">
        <v>14.239999999999998</v>
      </c>
    </row>
    <row r="553" spans="1:4" x14ac:dyDescent="0.25">
      <c r="A553" t="s">
        <v>6723</v>
      </c>
      <c r="B553" t="s">
        <v>6724</v>
      </c>
      <c r="C553" t="s">
        <v>7205</v>
      </c>
      <c r="D553">
        <v>6.4</v>
      </c>
    </row>
    <row r="554" spans="1:4" x14ac:dyDescent="0.25">
      <c r="A554" t="s">
        <v>6725</v>
      </c>
      <c r="B554" t="s">
        <v>6726</v>
      </c>
      <c r="C554" t="s">
        <v>7205</v>
      </c>
      <c r="D554">
        <v>9.6000000000000014</v>
      </c>
    </row>
    <row r="555" spans="1:4" x14ac:dyDescent="0.25">
      <c r="A555" t="s">
        <v>6727</v>
      </c>
      <c r="B555" t="s">
        <v>6728</v>
      </c>
      <c r="C555" t="s">
        <v>7205</v>
      </c>
      <c r="D555">
        <v>13.43</v>
      </c>
    </row>
    <row r="556" spans="1:4" x14ac:dyDescent="0.25">
      <c r="A556" t="s">
        <v>6729</v>
      </c>
      <c r="B556" t="s">
        <v>6730</v>
      </c>
      <c r="C556" t="s">
        <v>7205</v>
      </c>
      <c r="D556">
        <v>12.19</v>
      </c>
    </row>
    <row r="557" spans="1:4" x14ac:dyDescent="0.25">
      <c r="A557" t="s">
        <v>6731</v>
      </c>
      <c r="B557" t="s">
        <v>6732</v>
      </c>
      <c r="C557" t="s">
        <v>7205</v>
      </c>
      <c r="D557">
        <v>13.43</v>
      </c>
    </row>
    <row r="558" spans="1:4" x14ac:dyDescent="0.25">
      <c r="A558" t="s">
        <v>6733</v>
      </c>
      <c r="B558" t="s">
        <v>6734</v>
      </c>
      <c r="C558" t="s">
        <v>7205</v>
      </c>
      <c r="D558">
        <v>13.43</v>
      </c>
    </row>
    <row r="559" spans="1:4" x14ac:dyDescent="0.25">
      <c r="A559" t="s">
        <v>6735</v>
      </c>
      <c r="B559" t="s">
        <v>6736</v>
      </c>
      <c r="C559" t="s">
        <v>7205</v>
      </c>
      <c r="D559">
        <v>8.5399999999999991</v>
      </c>
    </row>
    <row r="560" spans="1:4" x14ac:dyDescent="0.25">
      <c r="A560" t="s">
        <v>6737</v>
      </c>
      <c r="B560" t="s">
        <v>6738</v>
      </c>
      <c r="C560" t="s">
        <v>7205</v>
      </c>
      <c r="D560">
        <v>12.4</v>
      </c>
    </row>
    <row r="561" spans="1:4" x14ac:dyDescent="0.25">
      <c r="A561" t="s">
        <v>6739</v>
      </c>
      <c r="B561" t="s">
        <v>6740</v>
      </c>
      <c r="C561" t="s">
        <v>7205</v>
      </c>
      <c r="D561">
        <v>13.3</v>
      </c>
    </row>
    <row r="562" spans="1:4" x14ac:dyDescent="0.25">
      <c r="A562" t="s">
        <v>6741</v>
      </c>
      <c r="B562" t="s">
        <v>6742</v>
      </c>
      <c r="C562" t="s">
        <v>7205</v>
      </c>
      <c r="D562">
        <v>8.84</v>
      </c>
    </row>
    <row r="563" spans="1:4" x14ac:dyDescent="0.25">
      <c r="A563" t="s">
        <v>6743</v>
      </c>
      <c r="B563" t="s">
        <v>6744</v>
      </c>
      <c r="C563" t="s">
        <v>7205</v>
      </c>
      <c r="D563">
        <v>8.0399999999999991</v>
      </c>
    </row>
    <row r="564" spans="1:4" x14ac:dyDescent="0.25">
      <c r="A564" t="s">
        <v>6745</v>
      </c>
      <c r="B564" t="s">
        <v>6746</v>
      </c>
      <c r="C564" t="s">
        <v>7205</v>
      </c>
      <c r="D564">
        <v>8.84</v>
      </c>
    </row>
    <row r="565" spans="1:4" x14ac:dyDescent="0.25">
      <c r="A565" t="s">
        <v>6747</v>
      </c>
      <c r="B565" t="s">
        <v>6748</v>
      </c>
      <c r="C565" t="s">
        <v>7205</v>
      </c>
      <c r="D565">
        <v>7.1099999999999994</v>
      </c>
    </row>
    <row r="566" spans="1:4" x14ac:dyDescent="0.25">
      <c r="A566" t="s">
        <v>6749</v>
      </c>
      <c r="B566" t="s">
        <v>6750</v>
      </c>
      <c r="C566" t="s">
        <v>7205</v>
      </c>
      <c r="D566">
        <v>11.89</v>
      </c>
    </row>
    <row r="567" spans="1:4" x14ac:dyDescent="0.25">
      <c r="A567" t="s">
        <v>6751</v>
      </c>
      <c r="B567" t="s">
        <v>6752</v>
      </c>
      <c r="C567" t="s">
        <v>7205</v>
      </c>
      <c r="D567">
        <v>16.75</v>
      </c>
    </row>
    <row r="568" spans="1:4" x14ac:dyDescent="0.25">
      <c r="A568" t="s">
        <v>6753</v>
      </c>
      <c r="B568" t="s">
        <v>6754</v>
      </c>
      <c r="C568" t="s">
        <v>7205</v>
      </c>
      <c r="D568">
        <v>4.9800000000000004</v>
      </c>
    </row>
    <row r="569" spans="1:4" x14ac:dyDescent="0.25">
      <c r="A569" t="s">
        <v>6755</v>
      </c>
      <c r="B569" t="s">
        <v>6756</v>
      </c>
      <c r="C569" t="s">
        <v>7205</v>
      </c>
      <c r="D569">
        <v>20.880000000000003</v>
      </c>
    </row>
    <row r="570" spans="1:4" x14ac:dyDescent="0.25">
      <c r="A570" t="s">
        <v>6757</v>
      </c>
      <c r="B570" t="s">
        <v>6758</v>
      </c>
      <c r="C570" t="s">
        <v>7205</v>
      </c>
      <c r="D570">
        <v>9.09</v>
      </c>
    </row>
    <row r="571" spans="1:4" x14ac:dyDescent="0.25">
      <c r="A571" t="s">
        <v>6759</v>
      </c>
      <c r="B571" t="s">
        <v>6760</v>
      </c>
      <c r="C571" t="s">
        <v>7205</v>
      </c>
      <c r="D571">
        <v>9.14</v>
      </c>
    </row>
    <row r="572" spans="1:4" x14ac:dyDescent="0.25">
      <c r="A572" t="s">
        <v>6761</v>
      </c>
      <c r="B572" t="s">
        <v>6762</v>
      </c>
      <c r="C572" t="s">
        <v>7205</v>
      </c>
      <c r="D572">
        <v>7.84</v>
      </c>
    </row>
    <row r="573" spans="1:4" x14ac:dyDescent="0.25">
      <c r="A573" t="s">
        <v>6763</v>
      </c>
      <c r="B573" t="s">
        <v>6764</v>
      </c>
      <c r="C573" t="s">
        <v>7205</v>
      </c>
      <c r="D573">
        <v>11.77</v>
      </c>
    </row>
    <row r="574" spans="1:4" x14ac:dyDescent="0.25">
      <c r="A574" t="s">
        <v>6765</v>
      </c>
      <c r="B574" t="s">
        <v>6766</v>
      </c>
      <c r="C574" t="s">
        <v>7205</v>
      </c>
      <c r="D574">
        <v>15.3</v>
      </c>
    </row>
    <row r="575" spans="1:4" x14ac:dyDescent="0.25">
      <c r="A575" t="s">
        <v>6767</v>
      </c>
      <c r="B575" t="s">
        <v>6768</v>
      </c>
      <c r="C575" t="s">
        <v>7205</v>
      </c>
      <c r="D575">
        <v>3.3499999999999996</v>
      </c>
    </row>
    <row r="576" spans="1:4" x14ac:dyDescent="0.25">
      <c r="A576" t="s">
        <v>6769</v>
      </c>
      <c r="B576" t="s">
        <v>6770</v>
      </c>
      <c r="C576" t="s">
        <v>7205</v>
      </c>
      <c r="D576">
        <v>11</v>
      </c>
    </row>
    <row r="577" spans="1:4" x14ac:dyDescent="0.25">
      <c r="A577" t="s">
        <v>6771</v>
      </c>
      <c r="B577" t="s">
        <v>6772</v>
      </c>
      <c r="C577" t="s">
        <v>7205</v>
      </c>
      <c r="D577">
        <v>8.4699999999999989</v>
      </c>
    </row>
    <row r="578" spans="1:4" x14ac:dyDescent="0.25">
      <c r="A578" t="s">
        <v>6773</v>
      </c>
      <c r="B578" t="s">
        <v>6774</v>
      </c>
      <c r="C578" t="s">
        <v>7205</v>
      </c>
      <c r="D578">
        <v>6.2900000000000009</v>
      </c>
    </row>
    <row r="579" spans="1:4" x14ac:dyDescent="0.25">
      <c r="A579" t="s">
        <v>6775</v>
      </c>
      <c r="B579" t="s">
        <v>6776</v>
      </c>
      <c r="C579" t="s">
        <v>7205</v>
      </c>
      <c r="D579">
        <v>7.23</v>
      </c>
    </row>
    <row r="580" spans="1:4" x14ac:dyDescent="0.25">
      <c r="A580" t="s">
        <v>6777</v>
      </c>
      <c r="B580" t="s">
        <v>6778</v>
      </c>
      <c r="C580" t="s">
        <v>7205</v>
      </c>
      <c r="D580">
        <v>11.989999999999998</v>
      </c>
    </row>
    <row r="581" spans="1:4" x14ac:dyDescent="0.25">
      <c r="A581" t="s">
        <v>6779</v>
      </c>
      <c r="B581" t="s">
        <v>6780</v>
      </c>
      <c r="C581" t="s">
        <v>7205</v>
      </c>
      <c r="D581">
        <v>13.690000000000001</v>
      </c>
    </row>
    <row r="582" spans="1:4" x14ac:dyDescent="0.25">
      <c r="A582" t="s">
        <v>6781</v>
      </c>
      <c r="B582" t="s">
        <v>6782</v>
      </c>
      <c r="C582" t="s">
        <v>7205</v>
      </c>
      <c r="D582">
        <v>17.75</v>
      </c>
    </row>
    <row r="583" spans="1:4" x14ac:dyDescent="0.25">
      <c r="A583" t="s">
        <v>6783</v>
      </c>
      <c r="B583" t="s">
        <v>6784</v>
      </c>
      <c r="C583" t="s">
        <v>7205</v>
      </c>
      <c r="D583">
        <v>17.14</v>
      </c>
    </row>
    <row r="584" spans="1:4" x14ac:dyDescent="0.25">
      <c r="A584" t="s">
        <v>6785</v>
      </c>
      <c r="B584" t="s">
        <v>6786</v>
      </c>
      <c r="C584" t="s">
        <v>7205</v>
      </c>
      <c r="D584">
        <v>18.59</v>
      </c>
    </row>
    <row r="585" spans="1:4" x14ac:dyDescent="0.25">
      <c r="A585" t="s">
        <v>6787</v>
      </c>
      <c r="B585" t="s">
        <v>6788</v>
      </c>
      <c r="C585" t="s">
        <v>7205</v>
      </c>
      <c r="D585">
        <v>155.19000000000003</v>
      </c>
    </row>
    <row r="586" spans="1:4" x14ac:dyDescent="0.25">
      <c r="A586" t="s">
        <v>6789</v>
      </c>
      <c r="B586" t="s">
        <v>6790</v>
      </c>
      <c r="C586" t="s">
        <v>7205</v>
      </c>
      <c r="D586">
        <v>206.30999999999997</v>
      </c>
    </row>
    <row r="587" spans="1:4" x14ac:dyDescent="0.25">
      <c r="A587" t="s">
        <v>6791</v>
      </c>
      <c r="B587" t="s">
        <v>6792</v>
      </c>
      <c r="C587" t="s">
        <v>7205</v>
      </c>
      <c r="D587">
        <v>4.8499999999999996</v>
      </c>
    </row>
    <row r="588" spans="1:4" x14ac:dyDescent="0.25">
      <c r="A588" t="s">
        <v>6793</v>
      </c>
      <c r="B588" t="s">
        <v>6794</v>
      </c>
      <c r="C588" t="s">
        <v>7205</v>
      </c>
      <c r="D588">
        <v>159.92000000000002</v>
      </c>
    </row>
    <row r="589" spans="1:4" x14ac:dyDescent="0.25">
      <c r="A589" t="s">
        <v>6795</v>
      </c>
      <c r="B589" t="s">
        <v>6796</v>
      </c>
      <c r="C589" t="s">
        <v>7205</v>
      </c>
      <c r="D589">
        <v>12.399999999999999</v>
      </c>
    </row>
    <row r="590" spans="1:4" x14ac:dyDescent="0.25">
      <c r="A590" t="s">
        <v>6797</v>
      </c>
      <c r="B590" t="s">
        <v>6798</v>
      </c>
      <c r="C590" t="s">
        <v>7205</v>
      </c>
      <c r="D590">
        <v>12.43</v>
      </c>
    </row>
    <row r="591" spans="1:4" x14ac:dyDescent="0.25">
      <c r="A591" t="s">
        <v>6799</v>
      </c>
      <c r="B591" t="s">
        <v>6800</v>
      </c>
      <c r="C591" t="s">
        <v>7205</v>
      </c>
      <c r="D591">
        <v>10.18</v>
      </c>
    </row>
    <row r="592" spans="1:4" x14ac:dyDescent="0.25">
      <c r="A592" t="s">
        <v>6801</v>
      </c>
      <c r="B592" t="s">
        <v>6802</v>
      </c>
      <c r="C592" t="s">
        <v>7205</v>
      </c>
      <c r="D592">
        <v>11.75</v>
      </c>
    </row>
    <row r="593" spans="1:4" x14ac:dyDescent="0.25">
      <c r="A593" t="s">
        <v>6803</v>
      </c>
      <c r="B593" t="s">
        <v>6804</v>
      </c>
      <c r="C593" t="s">
        <v>7205</v>
      </c>
      <c r="D593">
        <v>464.27000000000004</v>
      </c>
    </row>
    <row r="594" spans="1:4" x14ac:dyDescent="0.25">
      <c r="A594" t="s">
        <v>6805</v>
      </c>
      <c r="B594" t="s">
        <v>6806</v>
      </c>
      <c r="C594" t="s">
        <v>7205</v>
      </c>
      <c r="D594">
        <v>379.20000000000005</v>
      </c>
    </row>
    <row r="595" spans="1:4" x14ac:dyDescent="0.25">
      <c r="A595" t="s">
        <v>6807</v>
      </c>
      <c r="B595" t="s">
        <v>6808</v>
      </c>
      <c r="C595" t="s">
        <v>7205</v>
      </c>
      <c r="D595">
        <v>7.22</v>
      </c>
    </row>
    <row r="596" spans="1:4" x14ac:dyDescent="0.25">
      <c r="A596" t="s">
        <v>6809</v>
      </c>
      <c r="B596" t="s">
        <v>6810</v>
      </c>
      <c r="C596" t="s">
        <v>7205</v>
      </c>
      <c r="D596">
        <v>24.780000000000005</v>
      </c>
    </row>
    <row r="597" spans="1:4" x14ac:dyDescent="0.25">
      <c r="A597" t="s">
        <v>6811</v>
      </c>
      <c r="B597" t="s">
        <v>6812</v>
      </c>
      <c r="C597" t="s">
        <v>7205</v>
      </c>
      <c r="D597">
        <v>9.75</v>
      </c>
    </row>
    <row r="598" spans="1:4" x14ac:dyDescent="0.25">
      <c r="A598" t="s">
        <v>6813</v>
      </c>
      <c r="B598" t="s">
        <v>6814</v>
      </c>
      <c r="C598" t="s">
        <v>7205</v>
      </c>
      <c r="D598">
        <v>19.690000000000001</v>
      </c>
    </row>
    <row r="599" spans="1:4" x14ac:dyDescent="0.25">
      <c r="A599" t="s">
        <v>6815</v>
      </c>
      <c r="B599" t="s">
        <v>6816</v>
      </c>
      <c r="C599" t="s">
        <v>7205</v>
      </c>
      <c r="D599">
        <v>40.28</v>
      </c>
    </row>
    <row r="600" spans="1:4" x14ac:dyDescent="0.25">
      <c r="A600" t="s">
        <v>6817</v>
      </c>
      <c r="B600" t="s">
        <v>6818</v>
      </c>
      <c r="C600" t="s">
        <v>7205</v>
      </c>
      <c r="D600">
        <v>4.6499999999999995</v>
      </c>
    </row>
    <row r="601" spans="1:4" x14ac:dyDescent="0.25">
      <c r="A601" t="s">
        <v>6819</v>
      </c>
      <c r="B601" t="s">
        <v>6820</v>
      </c>
      <c r="C601" t="s">
        <v>7205</v>
      </c>
      <c r="D601">
        <v>4.0200000000000005</v>
      </c>
    </row>
    <row r="602" spans="1:4" x14ac:dyDescent="0.25">
      <c r="A602" t="s">
        <v>6821</v>
      </c>
      <c r="B602" t="s">
        <v>6822</v>
      </c>
      <c r="C602" t="s">
        <v>7205</v>
      </c>
      <c r="D602">
        <v>36.25</v>
      </c>
    </row>
    <row r="603" spans="1:4" x14ac:dyDescent="0.25">
      <c r="A603" t="s">
        <v>6823</v>
      </c>
      <c r="B603" t="s">
        <v>6824</v>
      </c>
      <c r="C603" t="s">
        <v>7205</v>
      </c>
      <c r="D603">
        <v>5.04</v>
      </c>
    </row>
    <row r="604" spans="1:4" x14ac:dyDescent="0.25">
      <c r="A604" t="s">
        <v>6825</v>
      </c>
      <c r="B604" t="s">
        <v>6826</v>
      </c>
      <c r="C604" t="s">
        <v>7205</v>
      </c>
      <c r="D604">
        <v>135.41</v>
      </c>
    </row>
    <row r="605" spans="1:4" x14ac:dyDescent="0.25">
      <c r="A605" t="s">
        <v>6827</v>
      </c>
      <c r="B605" t="s">
        <v>6828</v>
      </c>
      <c r="C605" t="s">
        <v>7205</v>
      </c>
      <c r="D605">
        <v>4.2</v>
      </c>
    </row>
    <row r="606" spans="1:4" x14ac:dyDescent="0.25">
      <c r="A606" t="s">
        <v>6829</v>
      </c>
      <c r="B606" t="s">
        <v>6830</v>
      </c>
      <c r="C606" t="s">
        <v>7205</v>
      </c>
      <c r="D606">
        <v>51.129999999999995</v>
      </c>
    </row>
    <row r="607" spans="1:4" x14ac:dyDescent="0.25">
      <c r="A607" t="s">
        <v>6831</v>
      </c>
      <c r="B607" t="s">
        <v>6832</v>
      </c>
      <c r="C607" t="s">
        <v>7205</v>
      </c>
      <c r="D607">
        <v>18.46</v>
      </c>
    </row>
    <row r="608" spans="1:4" x14ac:dyDescent="0.25">
      <c r="A608" t="s">
        <v>6833</v>
      </c>
      <c r="B608" t="s">
        <v>6834</v>
      </c>
      <c r="C608" t="s">
        <v>7205</v>
      </c>
      <c r="D608">
        <v>19.649999999999999</v>
      </c>
    </row>
    <row r="609" spans="1:4" x14ac:dyDescent="0.25">
      <c r="A609" t="s">
        <v>6835</v>
      </c>
      <c r="B609" t="s">
        <v>6836</v>
      </c>
      <c r="C609" t="s">
        <v>7205</v>
      </c>
      <c r="D609">
        <v>16.399999999999999</v>
      </c>
    </row>
    <row r="610" spans="1:4" x14ac:dyDescent="0.25">
      <c r="A610" t="s">
        <v>6837</v>
      </c>
      <c r="B610" t="s">
        <v>6838</v>
      </c>
      <c r="C610" t="s">
        <v>7205</v>
      </c>
      <c r="D610">
        <v>13.6</v>
      </c>
    </row>
    <row r="611" spans="1:4" x14ac:dyDescent="0.25">
      <c r="A611" t="s">
        <v>6839</v>
      </c>
      <c r="B611" t="s">
        <v>6840</v>
      </c>
      <c r="C611" t="s">
        <v>7205</v>
      </c>
      <c r="D611">
        <v>10.199999999999999</v>
      </c>
    </row>
    <row r="612" spans="1:4" x14ac:dyDescent="0.25">
      <c r="A612" t="s">
        <v>6841</v>
      </c>
      <c r="B612" t="s">
        <v>6842</v>
      </c>
      <c r="C612" t="s">
        <v>7205</v>
      </c>
      <c r="D612">
        <v>92.6</v>
      </c>
    </row>
    <row r="613" spans="1:4" x14ac:dyDescent="0.25">
      <c r="A613" t="s">
        <v>6843</v>
      </c>
      <c r="B613" t="s">
        <v>6844</v>
      </c>
      <c r="C613" t="s">
        <v>7205</v>
      </c>
      <c r="D613">
        <v>118.63</v>
      </c>
    </row>
    <row r="614" spans="1:4" x14ac:dyDescent="0.25">
      <c r="A614" t="s">
        <v>6845</v>
      </c>
      <c r="B614" t="s">
        <v>6846</v>
      </c>
      <c r="C614" t="s">
        <v>7205</v>
      </c>
      <c r="D614">
        <v>104.07000000000001</v>
      </c>
    </row>
    <row r="615" spans="1:4" x14ac:dyDescent="0.25">
      <c r="A615" t="s">
        <v>6847</v>
      </c>
      <c r="B615" t="s">
        <v>6848</v>
      </c>
      <c r="C615" t="s">
        <v>7205</v>
      </c>
      <c r="D615">
        <v>320.73</v>
      </c>
    </row>
    <row r="616" spans="1:4" x14ac:dyDescent="0.25">
      <c r="A616" t="s">
        <v>6849</v>
      </c>
      <c r="B616" t="s">
        <v>6850</v>
      </c>
      <c r="C616" t="s">
        <v>7205</v>
      </c>
      <c r="D616">
        <v>182.61</v>
      </c>
    </row>
    <row r="617" spans="1:4" x14ac:dyDescent="0.25">
      <c r="A617" t="s">
        <v>6851</v>
      </c>
      <c r="B617" t="s">
        <v>6852</v>
      </c>
      <c r="C617" t="s">
        <v>7205</v>
      </c>
      <c r="D617">
        <v>170.91000000000003</v>
      </c>
    </row>
    <row r="618" spans="1:4" x14ac:dyDescent="0.25">
      <c r="A618" t="s">
        <v>6853</v>
      </c>
      <c r="B618" t="s">
        <v>6854</v>
      </c>
      <c r="C618" t="s">
        <v>7205</v>
      </c>
      <c r="D618">
        <v>5.26</v>
      </c>
    </row>
    <row r="619" spans="1:4" x14ac:dyDescent="0.25">
      <c r="A619" t="s">
        <v>6855</v>
      </c>
      <c r="B619" t="s">
        <v>6856</v>
      </c>
      <c r="C619" t="s">
        <v>7205</v>
      </c>
      <c r="D619">
        <v>1.91</v>
      </c>
    </row>
    <row r="620" spans="1:4" x14ac:dyDescent="0.25">
      <c r="A620" t="s">
        <v>6857</v>
      </c>
      <c r="B620" t="s">
        <v>6858</v>
      </c>
      <c r="C620" t="s">
        <v>7205</v>
      </c>
      <c r="D620">
        <v>150.12</v>
      </c>
    </row>
    <row r="621" spans="1:4" x14ac:dyDescent="0.25">
      <c r="A621" t="s">
        <v>6859</v>
      </c>
      <c r="B621" t="s">
        <v>6860</v>
      </c>
      <c r="C621" t="s">
        <v>7205</v>
      </c>
      <c r="D621">
        <v>155.39000000000001</v>
      </c>
    </row>
    <row r="622" spans="1:4" x14ac:dyDescent="0.25">
      <c r="A622" t="s">
        <v>6861</v>
      </c>
      <c r="B622" t="s">
        <v>6862</v>
      </c>
      <c r="C622" t="s">
        <v>7205</v>
      </c>
      <c r="D622">
        <v>161.37</v>
      </c>
    </row>
    <row r="623" spans="1:4" x14ac:dyDescent="0.25">
      <c r="A623" t="s">
        <v>6863</v>
      </c>
      <c r="B623" t="s">
        <v>6864</v>
      </c>
      <c r="C623" t="s">
        <v>7205</v>
      </c>
      <c r="D623">
        <v>47.9</v>
      </c>
    </row>
    <row r="624" spans="1:4" x14ac:dyDescent="0.25">
      <c r="A624" t="s">
        <v>6865</v>
      </c>
      <c r="B624" t="s">
        <v>6866</v>
      </c>
      <c r="C624" t="s">
        <v>7205</v>
      </c>
      <c r="D624">
        <v>51.43</v>
      </c>
    </row>
    <row r="625" spans="1:4" x14ac:dyDescent="0.25">
      <c r="A625" t="s">
        <v>6867</v>
      </c>
      <c r="B625" t="s">
        <v>6868</v>
      </c>
      <c r="C625" t="s">
        <v>7205</v>
      </c>
      <c r="D625">
        <v>59.79</v>
      </c>
    </row>
    <row r="626" spans="1:4" x14ac:dyDescent="0.25">
      <c r="A626" t="s">
        <v>6869</v>
      </c>
      <c r="B626" t="s">
        <v>6870</v>
      </c>
      <c r="C626" t="s">
        <v>7205</v>
      </c>
      <c r="D626">
        <v>75.17</v>
      </c>
    </row>
    <row r="627" spans="1:4" x14ac:dyDescent="0.25">
      <c r="A627" t="s">
        <v>6871</v>
      </c>
      <c r="B627" t="s">
        <v>6872</v>
      </c>
      <c r="C627" t="s">
        <v>7205</v>
      </c>
      <c r="D627">
        <v>75.16</v>
      </c>
    </row>
    <row r="628" spans="1:4" x14ac:dyDescent="0.25">
      <c r="A628" t="s">
        <v>6873</v>
      </c>
      <c r="B628" t="s">
        <v>6874</v>
      </c>
      <c r="C628" t="s">
        <v>7205</v>
      </c>
      <c r="D628">
        <v>75.17</v>
      </c>
    </row>
    <row r="629" spans="1:4" x14ac:dyDescent="0.25">
      <c r="A629" t="s">
        <v>6875</v>
      </c>
      <c r="B629" t="s">
        <v>6876</v>
      </c>
      <c r="C629" t="s">
        <v>7205</v>
      </c>
      <c r="D629">
        <v>311.89</v>
      </c>
    </row>
    <row r="630" spans="1:4" x14ac:dyDescent="0.25">
      <c r="A630" t="s">
        <v>6877</v>
      </c>
      <c r="B630" t="s">
        <v>6878</v>
      </c>
      <c r="C630" t="s">
        <v>7205</v>
      </c>
      <c r="D630">
        <v>29.4</v>
      </c>
    </row>
    <row r="631" spans="1:4" x14ac:dyDescent="0.25">
      <c r="A631" t="s">
        <v>6879</v>
      </c>
      <c r="B631" t="s">
        <v>6880</v>
      </c>
      <c r="C631" t="s">
        <v>7205</v>
      </c>
      <c r="D631">
        <v>10.549999999999999</v>
      </c>
    </row>
    <row r="632" spans="1:4" x14ac:dyDescent="0.25">
      <c r="A632" t="s">
        <v>6881</v>
      </c>
      <c r="B632" t="s">
        <v>6882</v>
      </c>
      <c r="C632" t="s">
        <v>7205</v>
      </c>
      <c r="D632">
        <v>2.81</v>
      </c>
    </row>
    <row r="633" spans="1:4" x14ac:dyDescent="0.25">
      <c r="A633" t="s">
        <v>6883</v>
      </c>
      <c r="B633" t="s">
        <v>6884</v>
      </c>
      <c r="C633" t="s">
        <v>7205</v>
      </c>
      <c r="D633">
        <v>8.1999999999999993</v>
      </c>
    </row>
    <row r="634" spans="1:4" x14ac:dyDescent="0.25">
      <c r="A634" t="s">
        <v>6885</v>
      </c>
      <c r="B634" t="s">
        <v>6886</v>
      </c>
      <c r="C634" t="s">
        <v>7205</v>
      </c>
      <c r="D634">
        <v>1.93</v>
      </c>
    </row>
    <row r="635" spans="1:4" x14ac:dyDescent="0.25">
      <c r="A635" t="s">
        <v>6887</v>
      </c>
      <c r="B635" t="s">
        <v>6888</v>
      </c>
      <c r="C635" t="s">
        <v>7205</v>
      </c>
      <c r="D635">
        <v>8.2100000000000009</v>
      </c>
    </row>
    <row r="636" spans="1:4" x14ac:dyDescent="0.25">
      <c r="A636" t="s">
        <v>6889</v>
      </c>
      <c r="B636" t="s">
        <v>6890</v>
      </c>
      <c r="C636" t="s">
        <v>7205</v>
      </c>
      <c r="D636">
        <v>0.70000000000000007</v>
      </c>
    </row>
    <row r="637" spans="1:4" x14ac:dyDescent="0.25">
      <c r="A637" t="s">
        <v>6891</v>
      </c>
      <c r="B637" t="s">
        <v>6892</v>
      </c>
      <c r="C637" t="s">
        <v>7205</v>
      </c>
      <c r="D637">
        <v>0.70000000000000007</v>
      </c>
    </row>
    <row r="638" spans="1:4" x14ac:dyDescent="0.25">
      <c r="A638" t="s">
        <v>6893</v>
      </c>
      <c r="B638" t="s">
        <v>6894</v>
      </c>
      <c r="C638" t="s">
        <v>7205</v>
      </c>
      <c r="D638">
        <v>9.9</v>
      </c>
    </row>
    <row r="639" spans="1:4" x14ac:dyDescent="0.25">
      <c r="A639" t="s">
        <v>6895</v>
      </c>
      <c r="B639" t="s">
        <v>6896</v>
      </c>
      <c r="C639" t="s">
        <v>7205</v>
      </c>
      <c r="D639">
        <v>1.95</v>
      </c>
    </row>
    <row r="640" spans="1:4" x14ac:dyDescent="0.25">
      <c r="A640" t="s">
        <v>6897</v>
      </c>
      <c r="B640" t="s">
        <v>6898</v>
      </c>
      <c r="C640" t="s">
        <v>7205</v>
      </c>
      <c r="D640">
        <v>461.90000000000003</v>
      </c>
    </row>
    <row r="641" spans="1:4" x14ac:dyDescent="0.25">
      <c r="A641" t="s">
        <v>6899</v>
      </c>
      <c r="B641" t="s">
        <v>6900</v>
      </c>
      <c r="C641" t="s">
        <v>7205</v>
      </c>
      <c r="D641">
        <v>131.20000000000002</v>
      </c>
    </row>
    <row r="642" spans="1:4" x14ac:dyDescent="0.25">
      <c r="A642" t="s">
        <v>6901</v>
      </c>
      <c r="B642" t="s">
        <v>6902</v>
      </c>
      <c r="C642" t="s">
        <v>7205</v>
      </c>
      <c r="D642">
        <v>18.54</v>
      </c>
    </row>
    <row r="643" spans="1:4" x14ac:dyDescent="0.25">
      <c r="A643" t="s">
        <v>6903</v>
      </c>
      <c r="B643" t="s">
        <v>6904</v>
      </c>
      <c r="C643" t="s">
        <v>7205</v>
      </c>
      <c r="D643">
        <v>1.2</v>
      </c>
    </row>
    <row r="644" spans="1:4" x14ac:dyDescent="0.25">
      <c r="A644" t="s">
        <v>6905</v>
      </c>
      <c r="B644" t="s">
        <v>6906</v>
      </c>
      <c r="C644" t="s">
        <v>7205</v>
      </c>
      <c r="D644">
        <v>415.53999999999996</v>
      </c>
    </row>
    <row r="645" spans="1:4" x14ac:dyDescent="0.25">
      <c r="A645" t="s">
        <v>6907</v>
      </c>
      <c r="B645" t="s">
        <v>6908</v>
      </c>
      <c r="C645" t="s">
        <v>7205</v>
      </c>
      <c r="D645">
        <v>86.05</v>
      </c>
    </row>
    <row r="646" spans="1:4" x14ac:dyDescent="0.25">
      <c r="A646" t="s">
        <v>6909</v>
      </c>
      <c r="B646" t="s">
        <v>6910</v>
      </c>
      <c r="C646" t="s">
        <v>7205</v>
      </c>
      <c r="D646">
        <v>25.72</v>
      </c>
    </row>
    <row r="647" spans="1:4" x14ac:dyDescent="0.25">
      <c r="A647" t="s">
        <v>6911</v>
      </c>
      <c r="B647" t="s">
        <v>6912</v>
      </c>
      <c r="C647" t="s">
        <v>7205</v>
      </c>
      <c r="D647">
        <v>6.3100000000000005</v>
      </c>
    </row>
    <row r="648" spans="1:4" x14ac:dyDescent="0.25">
      <c r="A648" t="s">
        <v>6913</v>
      </c>
      <c r="B648" t="s">
        <v>6914</v>
      </c>
      <c r="C648" t="s">
        <v>7205</v>
      </c>
      <c r="D648">
        <v>6.33</v>
      </c>
    </row>
    <row r="649" spans="1:4" x14ac:dyDescent="0.25">
      <c r="A649" t="s">
        <v>6915</v>
      </c>
      <c r="B649" t="s">
        <v>6916</v>
      </c>
      <c r="C649" t="s">
        <v>7205</v>
      </c>
      <c r="D649">
        <v>6.26</v>
      </c>
    </row>
    <row r="650" spans="1:4" x14ac:dyDescent="0.25">
      <c r="A650" t="s">
        <v>6917</v>
      </c>
      <c r="B650" t="s">
        <v>6918</v>
      </c>
      <c r="C650" t="s">
        <v>7205</v>
      </c>
      <c r="D650">
        <v>46.099999999999994</v>
      </c>
    </row>
    <row r="651" spans="1:4" x14ac:dyDescent="0.25">
      <c r="A651" t="s">
        <v>6919</v>
      </c>
      <c r="B651" t="s">
        <v>6920</v>
      </c>
      <c r="C651" t="s">
        <v>7205</v>
      </c>
      <c r="D651">
        <v>111.37</v>
      </c>
    </row>
    <row r="652" spans="1:4" x14ac:dyDescent="0.25">
      <c r="A652" t="s">
        <v>6921</v>
      </c>
      <c r="B652" t="s">
        <v>6922</v>
      </c>
      <c r="C652" t="s">
        <v>7205</v>
      </c>
      <c r="D652">
        <v>29.81</v>
      </c>
    </row>
    <row r="653" spans="1:4" x14ac:dyDescent="0.25">
      <c r="A653" t="s">
        <v>6923</v>
      </c>
      <c r="B653" t="s">
        <v>6924</v>
      </c>
      <c r="C653" t="s">
        <v>7205</v>
      </c>
      <c r="D653">
        <v>4</v>
      </c>
    </row>
    <row r="654" spans="1:4" x14ac:dyDescent="0.25">
      <c r="A654" t="s">
        <v>6925</v>
      </c>
      <c r="B654" t="s">
        <v>6926</v>
      </c>
      <c r="C654" t="s">
        <v>7205</v>
      </c>
      <c r="D654">
        <v>3.5</v>
      </c>
    </row>
    <row r="655" spans="1:4" x14ac:dyDescent="0.25">
      <c r="A655" t="s">
        <v>6927</v>
      </c>
      <c r="B655" t="s">
        <v>6928</v>
      </c>
      <c r="C655" t="s">
        <v>7205</v>
      </c>
      <c r="D655">
        <v>108.58</v>
      </c>
    </row>
    <row r="656" spans="1:4" x14ac:dyDescent="0.25">
      <c r="A656" t="s">
        <v>6929</v>
      </c>
      <c r="B656" t="s">
        <v>6930</v>
      </c>
      <c r="C656" t="s">
        <v>7205</v>
      </c>
      <c r="D656">
        <v>51.9</v>
      </c>
    </row>
    <row r="657" spans="1:4" x14ac:dyDescent="0.25">
      <c r="A657" t="s">
        <v>6931</v>
      </c>
      <c r="B657" t="s">
        <v>6932</v>
      </c>
      <c r="C657" t="s">
        <v>7205</v>
      </c>
      <c r="D657">
        <v>44.95</v>
      </c>
    </row>
    <row r="658" spans="1:4" x14ac:dyDescent="0.25">
      <c r="A658" t="s">
        <v>6933</v>
      </c>
      <c r="B658" t="s">
        <v>6934</v>
      </c>
      <c r="C658" t="s">
        <v>7205</v>
      </c>
      <c r="D658">
        <v>43.8</v>
      </c>
    </row>
    <row r="659" spans="1:4" x14ac:dyDescent="0.25">
      <c r="A659" t="s">
        <v>6935</v>
      </c>
      <c r="B659" t="s">
        <v>6936</v>
      </c>
      <c r="C659" t="s">
        <v>7205</v>
      </c>
      <c r="D659">
        <v>7.65</v>
      </c>
    </row>
    <row r="660" spans="1:4" x14ac:dyDescent="0.25">
      <c r="A660" t="s">
        <v>6937</v>
      </c>
      <c r="B660" t="s">
        <v>6938</v>
      </c>
      <c r="C660" t="s">
        <v>7205</v>
      </c>
      <c r="D660">
        <v>10.399999999999999</v>
      </c>
    </row>
    <row r="661" spans="1:4" x14ac:dyDescent="0.25">
      <c r="A661" t="s">
        <v>6939</v>
      </c>
      <c r="B661" t="s">
        <v>6940</v>
      </c>
      <c r="C661" t="s">
        <v>7205</v>
      </c>
      <c r="D661">
        <v>46.05</v>
      </c>
    </row>
    <row r="662" spans="1:4" x14ac:dyDescent="0.25">
      <c r="A662" t="s">
        <v>6941</v>
      </c>
      <c r="B662" t="s">
        <v>6942</v>
      </c>
      <c r="C662" t="s">
        <v>7205</v>
      </c>
      <c r="D662">
        <v>142.4</v>
      </c>
    </row>
    <row r="663" spans="1:4" x14ac:dyDescent="0.25">
      <c r="A663" t="s">
        <v>6943</v>
      </c>
      <c r="B663" t="s">
        <v>6944</v>
      </c>
      <c r="C663" t="s">
        <v>7205</v>
      </c>
      <c r="D663">
        <v>15.280000000000001</v>
      </c>
    </row>
    <row r="664" spans="1:4" x14ac:dyDescent="0.25">
      <c r="A664" t="s">
        <v>6945</v>
      </c>
      <c r="B664" t="s">
        <v>6946</v>
      </c>
      <c r="C664" t="s">
        <v>7205</v>
      </c>
      <c r="D664">
        <v>16.270000000000003</v>
      </c>
    </row>
    <row r="665" spans="1:4" x14ac:dyDescent="0.25">
      <c r="A665" t="s">
        <v>6947</v>
      </c>
      <c r="B665" t="s">
        <v>6948</v>
      </c>
      <c r="C665" t="s">
        <v>7205</v>
      </c>
      <c r="D665">
        <v>0.6</v>
      </c>
    </row>
    <row r="666" spans="1:4" x14ac:dyDescent="0.25">
      <c r="A666" t="s">
        <v>6949</v>
      </c>
      <c r="B666" t="s">
        <v>6950</v>
      </c>
      <c r="C666" t="s">
        <v>7205</v>
      </c>
      <c r="D666">
        <v>0.6</v>
      </c>
    </row>
    <row r="667" spans="1:4" x14ac:dyDescent="0.25">
      <c r="A667" t="s">
        <v>6951</v>
      </c>
      <c r="B667" t="s">
        <v>6952</v>
      </c>
      <c r="C667" t="s">
        <v>7205</v>
      </c>
      <c r="D667">
        <v>34.24</v>
      </c>
    </row>
    <row r="668" spans="1:4" x14ac:dyDescent="0.25">
      <c r="A668" t="s">
        <v>6953</v>
      </c>
      <c r="B668" t="s">
        <v>6954</v>
      </c>
      <c r="C668" t="s">
        <v>7205</v>
      </c>
      <c r="D668">
        <v>26.939999999999998</v>
      </c>
    </row>
    <row r="669" spans="1:4" x14ac:dyDescent="0.25">
      <c r="A669" t="s">
        <v>6955</v>
      </c>
      <c r="B669" t="s">
        <v>6956</v>
      </c>
      <c r="C669" t="s">
        <v>7205</v>
      </c>
      <c r="D669">
        <v>4.9499999999999993</v>
      </c>
    </row>
    <row r="670" spans="1:4" x14ac:dyDescent="0.25">
      <c r="A670" t="s">
        <v>6957</v>
      </c>
      <c r="B670" t="s">
        <v>6958</v>
      </c>
      <c r="C670" t="s">
        <v>7205</v>
      </c>
      <c r="D670">
        <v>4.37</v>
      </c>
    </row>
    <row r="671" spans="1:4" x14ac:dyDescent="0.25">
      <c r="A671" t="s">
        <v>6959</v>
      </c>
      <c r="B671" t="s">
        <v>6960</v>
      </c>
      <c r="C671" t="s">
        <v>7205</v>
      </c>
      <c r="D671">
        <v>4.83</v>
      </c>
    </row>
    <row r="672" spans="1:4" x14ac:dyDescent="0.25">
      <c r="A672" t="s">
        <v>6961</v>
      </c>
      <c r="B672" t="s">
        <v>6962</v>
      </c>
      <c r="C672" t="s">
        <v>7205</v>
      </c>
      <c r="D672">
        <v>3.46</v>
      </c>
    </row>
    <row r="673" spans="1:4" x14ac:dyDescent="0.25">
      <c r="A673" t="s">
        <v>6963</v>
      </c>
      <c r="B673" t="s">
        <v>6964</v>
      </c>
      <c r="C673" t="s">
        <v>7205</v>
      </c>
      <c r="D673">
        <v>9.16</v>
      </c>
    </row>
    <row r="674" spans="1:4" x14ac:dyDescent="0.25">
      <c r="A674" t="s">
        <v>6965</v>
      </c>
      <c r="B674" t="s">
        <v>6966</v>
      </c>
      <c r="C674" t="s">
        <v>7205</v>
      </c>
      <c r="D674">
        <v>2.9499999999999997</v>
      </c>
    </row>
    <row r="675" spans="1:4" x14ac:dyDescent="0.25">
      <c r="A675" t="s">
        <v>6967</v>
      </c>
      <c r="B675" t="s">
        <v>6968</v>
      </c>
      <c r="C675" t="s">
        <v>7205</v>
      </c>
      <c r="D675">
        <v>2.9499999999999997</v>
      </c>
    </row>
    <row r="676" spans="1:4" x14ac:dyDescent="0.25">
      <c r="A676" t="s">
        <v>6969</v>
      </c>
      <c r="B676" t="s">
        <v>6970</v>
      </c>
      <c r="C676" t="s">
        <v>7205</v>
      </c>
      <c r="D676">
        <v>13.02</v>
      </c>
    </row>
    <row r="677" spans="1:4" x14ac:dyDescent="0.25">
      <c r="A677" t="s">
        <v>6971</v>
      </c>
      <c r="B677" t="s">
        <v>6972</v>
      </c>
      <c r="C677" t="s">
        <v>7205</v>
      </c>
      <c r="D677">
        <v>2.9499999999999997</v>
      </c>
    </row>
    <row r="678" spans="1:4" x14ac:dyDescent="0.25">
      <c r="A678" t="s">
        <v>6973</v>
      </c>
      <c r="B678" t="s">
        <v>6974</v>
      </c>
      <c r="C678" t="s">
        <v>7205</v>
      </c>
      <c r="D678">
        <v>2.9499999999999997</v>
      </c>
    </row>
    <row r="679" spans="1:4" x14ac:dyDescent="0.25">
      <c r="A679" t="s">
        <v>6975</v>
      </c>
      <c r="B679" t="s">
        <v>6976</v>
      </c>
      <c r="C679" t="s">
        <v>7205</v>
      </c>
      <c r="D679">
        <v>6.85</v>
      </c>
    </row>
    <row r="680" spans="1:4" x14ac:dyDescent="0.25">
      <c r="A680" t="s">
        <v>6977</v>
      </c>
      <c r="B680" t="s">
        <v>6978</v>
      </c>
      <c r="C680" t="s">
        <v>7205</v>
      </c>
      <c r="D680">
        <v>62.78</v>
      </c>
    </row>
    <row r="681" spans="1:4" x14ac:dyDescent="0.25">
      <c r="A681" t="s">
        <v>6979</v>
      </c>
      <c r="B681" t="s">
        <v>6980</v>
      </c>
      <c r="C681" t="s">
        <v>7205</v>
      </c>
      <c r="D681">
        <v>28.36</v>
      </c>
    </row>
    <row r="682" spans="1:4" x14ac:dyDescent="0.25">
      <c r="A682" t="s">
        <v>6981</v>
      </c>
      <c r="B682" t="s">
        <v>6982</v>
      </c>
      <c r="C682" t="s">
        <v>7205</v>
      </c>
      <c r="D682">
        <v>68.22999999999999</v>
      </c>
    </row>
    <row r="683" spans="1:4" x14ac:dyDescent="0.25">
      <c r="A683" t="s">
        <v>6983</v>
      </c>
      <c r="B683" t="s">
        <v>6984</v>
      </c>
      <c r="C683" t="s">
        <v>7205</v>
      </c>
      <c r="D683">
        <v>4.0199999999999996</v>
      </c>
    </row>
    <row r="684" spans="1:4" x14ac:dyDescent="0.25">
      <c r="A684" t="s">
        <v>6985</v>
      </c>
      <c r="B684" t="s">
        <v>6986</v>
      </c>
      <c r="C684" t="s">
        <v>7205</v>
      </c>
      <c r="D684">
        <v>75.17</v>
      </c>
    </row>
    <row r="685" spans="1:4" x14ac:dyDescent="0.25">
      <c r="A685" t="s">
        <v>6987</v>
      </c>
      <c r="B685" t="s">
        <v>6988</v>
      </c>
      <c r="C685" t="s">
        <v>7205</v>
      </c>
      <c r="D685">
        <v>3.8899999999999997</v>
      </c>
    </row>
    <row r="686" spans="1:4" x14ac:dyDescent="0.25">
      <c r="A686" t="s">
        <v>6989</v>
      </c>
      <c r="B686" t="s">
        <v>6990</v>
      </c>
      <c r="C686" t="s">
        <v>7205</v>
      </c>
      <c r="D686">
        <v>51.46</v>
      </c>
    </row>
    <row r="687" spans="1:4" x14ac:dyDescent="0.25">
      <c r="A687" t="s">
        <v>6991</v>
      </c>
      <c r="B687" t="s">
        <v>6992</v>
      </c>
      <c r="C687" t="s">
        <v>7205</v>
      </c>
      <c r="D687">
        <v>4.9499999999999993</v>
      </c>
    </row>
    <row r="688" spans="1:4" x14ac:dyDescent="0.25">
      <c r="A688" t="s">
        <v>6993</v>
      </c>
      <c r="B688" t="s">
        <v>6994</v>
      </c>
      <c r="C688" t="s">
        <v>7205</v>
      </c>
      <c r="D688">
        <v>14.100000000000001</v>
      </c>
    </row>
    <row r="689" spans="1:4" x14ac:dyDescent="0.25">
      <c r="A689" t="s">
        <v>6995</v>
      </c>
      <c r="B689" t="s">
        <v>6996</v>
      </c>
      <c r="C689" t="s">
        <v>7205</v>
      </c>
      <c r="D689">
        <v>20.2</v>
      </c>
    </row>
    <row r="690" spans="1:4" x14ac:dyDescent="0.25">
      <c r="A690" t="s">
        <v>6997</v>
      </c>
      <c r="B690" t="s">
        <v>6998</v>
      </c>
      <c r="C690" t="s">
        <v>7205</v>
      </c>
      <c r="D690">
        <v>11.2</v>
      </c>
    </row>
    <row r="691" spans="1:4" x14ac:dyDescent="0.25">
      <c r="A691" t="s">
        <v>6999</v>
      </c>
      <c r="B691" t="s">
        <v>7000</v>
      </c>
      <c r="C691" t="s">
        <v>7205</v>
      </c>
      <c r="D691">
        <v>3.9</v>
      </c>
    </row>
    <row r="692" spans="1:4" x14ac:dyDescent="0.25">
      <c r="A692" t="s">
        <v>7001</v>
      </c>
      <c r="B692" t="s">
        <v>7002</v>
      </c>
      <c r="C692" t="s">
        <v>7205</v>
      </c>
      <c r="D692">
        <v>3</v>
      </c>
    </row>
    <row r="693" spans="1:4" x14ac:dyDescent="0.25">
      <c r="A693" t="s">
        <v>7003</v>
      </c>
      <c r="B693" t="s">
        <v>7004</v>
      </c>
      <c r="C693" t="s">
        <v>7205</v>
      </c>
      <c r="D693">
        <v>11.149999999999999</v>
      </c>
    </row>
    <row r="694" spans="1:4" x14ac:dyDescent="0.25">
      <c r="A694" t="s">
        <v>7005</v>
      </c>
      <c r="B694" t="s">
        <v>7006</v>
      </c>
      <c r="C694" t="s">
        <v>7205</v>
      </c>
      <c r="D694">
        <v>9.8999999999999986</v>
      </c>
    </row>
    <row r="695" spans="1:4" x14ac:dyDescent="0.25">
      <c r="A695" t="s">
        <v>7007</v>
      </c>
      <c r="B695" t="s">
        <v>7008</v>
      </c>
      <c r="C695" t="s">
        <v>7205</v>
      </c>
      <c r="D695">
        <v>8.0500000000000007</v>
      </c>
    </row>
    <row r="696" spans="1:4" x14ac:dyDescent="0.25">
      <c r="A696" t="s">
        <v>7009</v>
      </c>
      <c r="B696" t="s">
        <v>7010</v>
      </c>
      <c r="C696" t="s">
        <v>7205</v>
      </c>
      <c r="D696">
        <v>5.16</v>
      </c>
    </row>
    <row r="697" spans="1:4" x14ac:dyDescent="0.25">
      <c r="A697" t="s">
        <v>7011</v>
      </c>
      <c r="B697" t="s">
        <v>7012</v>
      </c>
      <c r="C697" t="s">
        <v>7205</v>
      </c>
      <c r="D697">
        <v>88.63</v>
      </c>
    </row>
    <row r="698" spans="1:4" x14ac:dyDescent="0.25">
      <c r="A698" t="s">
        <v>7013</v>
      </c>
      <c r="B698" t="s">
        <v>7014</v>
      </c>
      <c r="C698" t="s">
        <v>7205</v>
      </c>
      <c r="D698">
        <v>3.7199999999999998</v>
      </c>
    </row>
    <row r="699" spans="1:4" x14ac:dyDescent="0.25">
      <c r="A699" t="s">
        <v>7015</v>
      </c>
      <c r="B699" t="s">
        <v>7016</v>
      </c>
      <c r="C699" t="s">
        <v>7205</v>
      </c>
      <c r="D699">
        <v>6.93</v>
      </c>
    </row>
    <row r="700" spans="1:4" x14ac:dyDescent="0.25">
      <c r="A700" t="s">
        <v>7017</v>
      </c>
      <c r="B700" t="s">
        <v>7018</v>
      </c>
      <c r="C700" t="s">
        <v>7205</v>
      </c>
      <c r="D700">
        <v>2.9499999999999997</v>
      </c>
    </row>
    <row r="701" spans="1:4" x14ac:dyDescent="0.25">
      <c r="A701" t="s">
        <v>7019</v>
      </c>
      <c r="B701" t="s">
        <v>7020</v>
      </c>
      <c r="C701" t="s">
        <v>7205</v>
      </c>
      <c r="D701">
        <v>3.86</v>
      </c>
    </row>
    <row r="702" spans="1:4" x14ac:dyDescent="0.25">
      <c r="A702" t="s">
        <v>7021</v>
      </c>
      <c r="B702" t="s">
        <v>7022</v>
      </c>
      <c r="C702" t="s">
        <v>7205</v>
      </c>
      <c r="D702">
        <v>3.4699999999999998</v>
      </c>
    </row>
    <row r="703" spans="1:4" x14ac:dyDescent="0.25">
      <c r="A703" t="s">
        <v>7023</v>
      </c>
      <c r="B703" t="s">
        <v>7024</v>
      </c>
      <c r="C703" t="s">
        <v>7205</v>
      </c>
      <c r="D703">
        <v>4.08</v>
      </c>
    </row>
    <row r="704" spans="1:4" x14ac:dyDescent="0.25">
      <c r="A704" t="s">
        <v>7025</v>
      </c>
      <c r="B704" t="s">
        <v>7026</v>
      </c>
      <c r="C704" t="s">
        <v>7205</v>
      </c>
      <c r="D704">
        <v>7.55</v>
      </c>
    </row>
    <row r="705" spans="1:4" x14ac:dyDescent="0.25">
      <c r="A705" t="s">
        <v>7027</v>
      </c>
      <c r="B705" t="s">
        <v>7028</v>
      </c>
      <c r="C705" t="s">
        <v>7205</v>
      </c>
      <c r="D705">
        <v>4.03</v>
      </c>
    </row>
    <row r="706" spans="1:4" x14ac:dyDescent="0.25">
      <c r="A706" t="s">
        <v>7029</v>
      </c>
      <c r="B706" t="s">
        <v>7030</v>
      </c>
      <c r="C706" t="s">
        <v>7205</v>
      </c>
      <c r="D706">
        <v>4.5199999999999996</v>
      </c>
    </row>
    <row r="707" spans="1:4" x14ac:dyDescent="0.25">
      <c r="A707" t="s">
        <v>7031</v>
      </c>
      <c r="B707" t="s">
        <v>7032</v>
      </c>
      <c r="C707" t="s">
        <v>7205</v>
      </c>
      <c r="D707">
        <v>12.3</v>
      </c>
    </row>
    <row r="708" spans="1:4" x14ac:dyDescent="0.25">
      <c r="A708" t="s">
        <v>7033</v>
      </c>
      <c r="B708" t="s">
        <v>7034</v>
      </c>
      <c r="C708" t="s">
        <v>7205</v>
      </c>
      <c r="D708">
        <v>5.0999999999999996</v>
      </c>
    </row>
    <row r="709" spans="1:4" x14ac:dyDescent="0.25">
      <c r="A709" t="s">
        <v>7035</v>
      </c>
      <c r="B709" t="s">
        <v>7036</v>
      </c>
      <c r="C709" t="s">
        <v>7205</v>
      </c>
      <c r="D709">
        <v>4.8999999999999995</v>
      </c>
    </row>
    <row r="710" spans="1:4" x14ac:dyDescent="0.25">
      <c r="A710" t="s">
        <v>7037</v>
      </c>
      <c r="B710" t="s">
        <v>7038</v>
      </c>
      <c r="C710" t="s">
        <v>7205</v>
      </c>
      <c r="D710">
        <v>7.4</v>
      </c>
    </row>
    <row r="711" spans="1:4" x14ac:dyDescent="0.25">
      <c r="A711" t="s">
        <v>7039</v>
      </c>
      <c r="B711" t="s">
        <v>7040</v>
      </c>
      <c r="C711" t="s">
        <v>7205</v>
      </c>
      <c r="D711">
        <v>12</v>
      </c>
    </row>
    <row r="712" spans="1:4" x14ac:dyDescent="0.25">
      <c r="A712" t="s">
        <v>7041</v>
      </c>
      <c r="B712" t="s">
        <v>7042</v>
      </c>
      <c r="C712" t="s">
        <v>7205</v>
      </c>
      <c r="D712">
        <v>21</v>
      </c>
    </row>
    <row r="713" spans="1:4" x14ac:dyDescent="0.25">
      <c r="A713" t="s">
        <v>7043</v>
      </c>
      <c r="B713" t="s">
        <v>7044</v>
      </c>
      <c r="C713" t="s">
        <v>7205</v>
      </c>
      <c r="D713">
        <v>7</v>
      </c>
    </row>
    <row r="714" spans="1:4" x14ac:dyDescent="0.25">
      <c r="A714" t="s">
        <v>7045</v>
      </c>
      <c r="B714" t="s">
        <v>7046</v>
      </c>
      <c r="C714" t="s">
        <v>7205</v>
      </c>
      <c r="D714">
        <v>15</v>
      </c>
    </row>
    <row r="715" spans="1:4" x14ac:dyDescent="0.25">
      <c r="A715" t="s">
        <v>7047</v>
      </c>
      <c r="B715" t="s">
        <v>7048</v>
      </c>
      <c r="C715" t="s">
        <v>7205</v>
      </c>
      <c r="D715">
        <v>9.7999999999999989</v>
      </c>
    </row>
    <row r="716" spans="1:4" x14ac:dyDescent="0.25">
      <c r="A716" t="s">
        <v>7049</v>
      </c>
      <c r="B716" t="s">
        <v>7050</v>
      </c>
      <c r="C716" t="s">
        <v>7205</v>
      </c>
      <c r="D716">
        <v>18.7</v>
      </c>
    </row>
    <row r="717" spans="1:4" x14ac:dyDescent="0.25">
      <c r="A717" t="s">
        <v>7051</v>
      </c>
      <c r="B717" t="s">
        <v>7052</v>
      </c>
      <c r="C717" t="s">
        <v>7205</v>
      </c>
      <c r="D717">
        <v>5</v>
      </c>
    </row>
    <row r="718" spans="1:4" x14ac:dyDescent="0.25">
      <c r="A718" t="s">
        <v>7053</v>
      </c>
      <c r="B718" t="s">
        <v>7054</v>
      </c>
      <c r="C718" t="s">
        <v>7205</v>
      </c>
      <c r="D718">
        <v>4.45</v>
      </c>
    </row>
    <row r="719" spans="1:4" x14ac:dyDescent="0.25">
      <c r="A719" t="s">
        <v>7055</v>
      </c>
      <c r="B719" t="s">
        <v>7056</v>
      </c>
      <c r="C719" t="s">
        <v>7205</v>
      </c>
      <c r="D719">
        <v>4.0999999999999996</v>
      </c>
    </row>
    <row r="720" spans="1:4" x14ac:dyDescent="0.25">
      <c r="A720" t="s">
        <v>7057</v>
      </c>
      <c r="B720" t="s">
        <v>7058</v>
      </c>
      <c r="C720" t="s">
        <v>7205</v>
      </c>
      <c r="D720">
        <v>5.72</v>
      </c>
    </row>
    <row r="721" spans="1:4" x14ac:dyDescent="0.25">
      <c r="A721" t="s">
        <v>7059</v>
      </c>
      <c r="B721" t="s">
        <v>7060</v>
      </c>
      <c r="C721" t="s">
        <v>7205</v>
      </c>
      <c r="D721">
        <v>5.3999999999999995</v>
      </c>
    </row>
    <row r="722" spans="1:4" x14ac:dyDescent="0.25">
      <c r="A722" t="s">
        <v>7061</v>
      </c>
      <c r="B722" t="s">
        <v>7062</v>
      </c>
      <c r="C722" t="s">
        <v>7205</v>
      </c>
      <c r="D722">
        <v>7.9</v>
      </c>
    </row>
    <row r="723" spans="1:4" x14ac:dyDescent="0.25">
      <c r="A723" t="s">
        <v>7063</v>
      </c>
      <c r="B723" t="s">
        <v>7064</v>
      </c>
      <c r="C723" t="s">
        <v>7205</v>
      </c>
      <c r="D723">
        <v>7.9</v>
      </c>
    </row>
    <row r="724" spans="1:4" x14ac:dyDescent="0.25">
      <c r="A724" t="s">
        <v>7065</v>
      </c>
      <c r="B724" t="s">
        <v>7066</v>
      </c>
      <c r="C724" t="s">
        <v>7205</v>
      </c>
      <c r="D724">
        <v>3.2</v>
      </c>
    </row>
    <row r="725" spans="1:4" x14ac:dyDescent="0.25">
      <c r="A725" t="s">
        <v>7067</v>
      </c>
      <c r="B725" t="s">
        <v>7068</v>
      </c>
      <c r="C725" t="s">
        <v>7205</v>
      </c>
      <c r="D725">
        <v>5.9499999999999993</v>
      </c>
    </row>
    <row r="726" spans="1:4" x14ac:dyDescent="0.25">
      <c r="A726" t="s">
        <v>7069</v>
      </c>
      <c r="B726" t="s">
        <v>7070</v>
      </c>
      <c r="C726" t="s">
        <v>7205</v>
      </c>
      <c r="D726">
        <v>6.3999999999999995</v>
      </c>
    </row>
    <row r="727" spans="1:4" x14ac:dyDescent="0.25">
      <c r="A727" t="s">
        <v>7071</v>
      </c>
      <c r="B727" t="s">
        <v>7072</v>
      </c>
      <c r="C727" t="s">
        <v>7205</v>
      </c>
      <c r="D727">
        <v>2.13</v>
      </c>
    </row>
    <row r="728" spans="1:4" x14ac:dyDescent="0.25">
      <c r="A728" t="s">
        <v>7073</v>
      </c>
      <c r="B728" t="s">
        <v>7074</v>
      </c>
      <c r="C728" t="s">
        <v>7205</v>
      </c>
      <c r="D728">
        <v>12.129999999999999</v>
      </c>
    </row>
    <row r="729" spans="1:4" x14ac:dyDescent="0.25">
      <c r="A729" t="s">
        <v>7075</v>
      </c>
      <c r="B729" t="s">
        <v>7076</v>
      </c>
      <c r="C729" t="s">
        <v>7205</v>
      </c>
      <c r="D729">
        <v>23.79</v>
      </c>
    </row>
    <row r="730" spans="1:4" x14ac:dyDescent="0.25">
      <c r="A730" t="s">
        <v>7077</v>
      </c>
      <c r="B730" t="s">
        <v>7078</v>
      </c>
      <c r="C730" t="s">
        <v>7205</v>
      </c>
      <c r="D730">
        <v>3.5500000000000003</v>
      </c>
    </row>
    <row r="731" spans="1:4" x14ac:dyDescent="0.25">
      <c r="A731" t="s">
        <v>7079</v>
      </c>
      <c r="B731" t="s">
        <v>7080</v>
      </c>
      <c r="C731" t="s">
        <v>7205</v>
      </c>
      <c r="D731">
        <v>13.18</v>
      </c>
    </row>
    <row r="732" spans="1:4" x14ac:dyDescent="0.25">
      <c r="A732" t="s">
        <v>7081</v>
      </c>
      <c r="B732" t="s">
        <v>7082</v>
      </c>
      <c r="C732" t="s">
        <v>7205</v>
      </c>
      <c r="D732">
        <v>11.43</v>
      </c>
    </row>
    <row r="733" spans="1:4" x14ac:dyDescent="0.25">
      <c r="A733" t="s">
        <v>7083</v>
      </c>
      <c r="B733" t="s">
        <v>7084</v>
      </c>
      <c r="C733" t="s">
        <v>7205</v>
      </c>
      <c r="D733">
        <v>17.73</v>
      </c>
    </row>
    <row r="734" spans="1:4" x14ac:dyDescent="0.25">
      <c r="A734" t="s">
        <v>7085</v>
      </c>
      <c r="B734" t="s">
        <v>7086</v>
      </c>
      <c r="C734" t="s">
        <v>7205</v>
      </c>
      <c r="D734">
        <v>10.76</v>
      </c>
    </row>
    <row r="735" spans="1:4" x14ac:dyDescent="0.25">
      <c r="A735" t="s">
        <v>7087</v>
      </c>
      <c r="B735" t="s">
        <v>7088</v>
      </c>
      <c r="C735" t="s">
        <v>7205</v>
      </c>
      <c r="D735">
        <v>20.45</v>
      </c>
    </row>
    <row r="736" spans="1:4" x14ac:dyDescent="0.25">
      <c r="A736" t="s">
        <v>7089</v>
      </c>
      <c r="B736" t="s">
        <v>7090</v>
      </c>
      <c r="C736" t="s">
        <v>7205</v>
      </c>
      <c r="D736">
        <v>15.45</v>
      </c>
    </row>
    <row r="737" spans="1:4" x14ac:dyDescent="0.25">
      <c r="A737" t="s">
        <v>7091</v>
      </c>
      <c r="B737" t="s">
        <v>7092</v>
      </c>
      <c r="C737" t="s">
        <v>7205</v>
      </c>
      <c r="D737">
        <v>24.270000000000003</v>
      </c>
    </row>
    <row r="738" spans="1:4" x14ac:dyDescent="0.25">
      <c r="A738" t="s">
        <v>7093</v>
      </c>
      <c r="B738" t="s">
        <v>7094</v>
      </c>
      <c r="C738" t="s">
        <v>7205</v>
      </c>
      <c r="D738">
        <v>10.09</v>
      </c>
    </row>
    <row r="739" spans="1:4" x14ac:dyDescent="0.25">
      <c r="A739" t="s">
        <v>7095</v>
      </c>
      <c r="B739" t="s">
        <v>7096</v>
      </c>
      <c r="C739" t="s">
        <v>7205</v>
      </c>
      <c r="D739">
        <v>19.009999999999998</v>
      </c>
    </row>
    <row r="740" spans="1:4" x14ac:dyDescent="0.25">
      <c r="A740" t="s">
        <v>7097</v>
      </c>
      <c r="B740" t="s">
        <v>7098</v>
      </c>
      <c r="C740" t="s">
        <v>7205</v>
      </c>
      <c r="D740">
        <v>4.82</v>
      </c>
    </row>
    <row r="741" spans="1:4" x14ac:dyDescent="0.25">
      <c r="A741" t="s">
        <v>7099</v>
      </c>
      <c r="B741" t="s">
        <v>7100</v>
      </c>
      <c r="C741" t="s">
        <v>7205</v>
      </c>
      <c r="D741">
        <v>2.71</v>
      </c>
    </row>
    <row r="742" spans="1:4" x14ac:dyDescent="0.25">
      <c r="A742" t="s">
        <v>7101</v>
      </c>
      <c r="B742" t="s">
        <v>7102</v>
      </c>
      <c r="C742" t="s">
        <v>7205</v>
      </c>
      <c r="D742">
        <v>10.71</v>
      </c>
    </row>
    <row r="743" spans="1:4" x14ac:dyDescent="0.25">
      <c r="A743" t="s">
        <v>7103</v>
      </c>
      <c r="B743" t="s">
        <v>7104</v>
      </c>
      <c r="C743" t="s">
        <v>7205</v>
      </c>
      <c r="D743">
        <v>7.9799999999999995</v>
      </c>
    </row>
    <row r="744" spans="1:4" x14ac:dyDescent="0.25">
      <c r="A744" t="s">
        <v>7105</v>
      </c>
      <c r="B744" t="s">
        <v>7106</v>
      </c>
      <c r="C744" t="s">
        <v>7205</v>
      </c>
      <c r="D744">
        <v>14.600000000000001</v>
      </c>
    </row>
    <row r="745" spans="1:4" x14ac:dyDescent="0.25">
      <c r="A745" t="s">
        <v>7107</v>
      </c>
      <c r="B745" t="s">
        <v>7108</v>
      </c>
      <c r="C745" t="s">
        <v>7205</v>
      </c>
      <c r="D745">
        <v>7.23</v>
      </c>
    </row>
    <row r="746" spans="1:4" x14ac:dyDescent="0.25">
      <c r="A746" t="s">
        <v>7109</v>
      </c>
      <c r="B746" t="s">
        <v>7110</v>
      </c>
      <c r="C746" t="s">
        <v>7205</v>
      </c>
      <c r="D746">
        <v>2.99</v>
      </c>
    </row>
    <row r="747" spans="1:4" x14ac:dyDescent="0.25">
      <c r="A747" t="s">
        <v>7111</v>
      </c>
      <c r="B747" t="s">
        <v>7112</v>
      </c>
      <c r="C747" t="s">
        <v>7205</v>
      </c>
      <c r="D747">
        <v>56.03</v>
      </c>
    </row>
    <row r="748" spans="1:4" x14ac:dyDescent="0.25">
      <c r="A748" t="s">
        <v>7113</v>
      </c>
      <c r="B748" t="s">
        <v>7114</v>
      </c>
      <c r="C748" t="s">
        <v>7205</v>
      </c>
      <c r="D748">
        <v>207.9</v>
      </c>
    </row>
    <row r="749" spans="1:4" x14ac:dyDescent="0.25">
      <c r="A749" t="s">
        <v>7115</v>
      </c>
      <c r="B749" t="s">
        <v>7116</v>
      </c>
      <c r="C749" t="s">
        <v>7205</v>
      </c>
      <c r="D749">
        <v>163.38999999999999</v>
      </c>
    </row>
    <row r="750" spans="1:4" x14ac:dyDescent="0.25">
      <c r="A750" t="s">
        <v>7117</v>
      </c>
      <c r="B750" t="s">
        <v>7118</v>
      </c>
      <c r="C750" t="s">
        <v>7205</v>
      </c>
      <c r="D750">
        <v>224.37</v>
      </c>
    </row>
    <row r="751" spans="1:4" x14ac:dyDescent="0.25">
      <c r="A751" t="s">
        <v>7119</v>
      </c>
      <c r="B751" t="s">
        <v>7120</v>
      </c>
      <c r="C751" t="s">
        <v>7205</v>
      </c>
      <c r="D751">
        <v>15.04</v>
      </c>
    </row>
    <row r="752" spans="1:4" x14ac:dyDescent="0.25">
      <c r="A752" t="s">
        <v>7121</v>
      </c>
      <c r="B752" t="s">
        <v>7122</v>
      </c>
      <c r="C752" t="s">
        <v>7205</v>
      </c>
      <c r="D752">
        <v>341.75</v>
      </c>
    </row>
    <row r="753" spans="1:4" x14ac:dyDescent="0.25">
      <c r="A753" t="s">
        <v>7123</v>
      </c>
      <c r="B753" t="s">
        <v>7124</v>
      </c>
      <c r="C753" t="s">
        <v>7205</v>
      </c>
      <c r="D753">
        <v>329.64</v>
      </c>
    </row>
    <row r="754" spans="1:4" x14ac:dyDescent="0.25">
      <c r="A754" t="s">
        <v>7125</v>
      </c>
      <c r="B754" t="s">
        <v>7126</v>
      </c>
      <c r="C754" t="s">
        <v>7205</v>
      </c>
      <c r="D754">
        <v>339.56</v>
      </c>
    </row>
    <row r="755" spans="1:4" x14ac:dyDescent="0.25">
      <c r="A755" t="s">
        <v>7127</v>
      </c>
      <c r="B755" t="s">
        <v>7128</v>
      </c>
      <c r="C755" t="s">
        <v>7205</v>
      </c>
      <c r="D755">
        <v>68.69</v>
      </c>
    </row>
    <row r="756" spans="1:4" x14ac:dyDescent="0.25">
      <c r="A756" t="s">
        <v>7129</v>
      </c>
      <c r="B756" t="s">
        <v>7130</v>
      </c>
      <c r="C756" t="s">
        <v>7205</v>
      </c>
      <c r="D756">
        <v>101.28999999999999</v>
      </c>
    </row>
    <row r="757" spans="1:4" x14ac:dyDescent="0.25">
      <c r="A757" t="s">
        <v>7131</v>
      </c>
      <c r="B757" t="s">
        <v>7132</v>
      </c>
      <c r="C757" t="s">
        <v>7205</v>
      </c>
      <c r="D757">
        <v>62.21</v>
      </c>
    </row>
    <row r="758" spans="1:4" x14ac:dyDescent="0.25">
      <c r="A758" t="s">
        <v>7133</v>
      </c>
      <c r="B758" t="s">
        <v>7134</v>
      </c>
      <c r="C758" t="s">
        <v>7205</v>
      </c>
      <c r="D758">
        <v>1044.18</v>
      </c>
    </row>
    <row r="759" spans="1:4" x14ac:dyDescent="0.25">
      <c r="A759" t="s">
        <v>7135</v>
      </c>
      <c r="B759" t="s">
        <v>7136</v>
      </c>
      <c r="C759" t="s">
        <v>7205</v>
      </c>
      <c r="D759">
        <v>72.42</v>
      </c>
    </row>
    <row r="760" spans="1:4" x14ac:dyDescent="0.25">
      <c r="A760" t="s">
        <v>7137</v>
      </c>
      <c r="B760" t="s">
        <v>7138</v>
      </c>
      <c r="C760" t="s">
        <v>7205</v>
      </c>
      <c r="D760">
        <v>313.22999999999996</v>
      </c>
    </row>
    <row r="761" spans="1:4" x14ac:dyDescent="0.25">
      <c r="A761" t="s">
        <v>7139</v>
      </c>
      <c r="B761" t="s">
        <v>7140</v>
      </c>
      <c r="C761" t="s">
        <v>7205</v>
      </c>
      <c r="D761">
        <v>233.63</v>
      </c>
    </row>
    <row r="762" spans="1:4" x14ac:dyDescent="0.25">
      <c r="A762" t="s">
        <v>7141</v>
      </c>
      <c r="B762" t="s">
        <v>7142</v>
      </c>
      <c r="C762" t="s">
        <v>7205</v>
      </c>
      <c r="D762">
        <v>1678.18</v>
      </c>
    </row>
    <row r="763" spans="1:4" x14ac:dyDescent="0.25">
      <c r="A763" t="s">
        <v>7143</v>
      </c>
      <c r="B763" t="s">
        <v>7144</v>
      </c>
      <c r="C763" t="s">
        <v>7205</v>
      </c>
      <c r="D763">
        <v>453.09999999999997</v>
      </c>
    </row>
    <row r="764" spans="1:4" x14ac:dyDescent="0.25">
      <c r="A764" t="s">
        <v>7145</v>
      </c>
      <c r="B764" t="s">
        <v>7146</v>
      </c>
      <c r="C764" t="s">
        <v>7205</v>
      </c>
      <c r="D764">
        <v>1990.35</v>
      </c>
    </row>
    <row r="765" spans="1:4" x14ac:dyDescent="0.25">
      <c r="A765" t="s">
        <v>7147</v>
      </c>
      <c r="B765" t="s">
        <v>7148</v>
      </c>
      <c r="C765" t="s">
        <v>7205</v>
      </c>
      <c r="D765">
        <v>160.32</v>
      </c>
    </row>
    <row r="766" spans="1:4" x14ac:dyDescent="0.25">
      <c r="A766" t="s">
        <v>7149</v>
      </c>
      <c r="B766" t="s">
        <v>7150</v>
      </c>
      <c r="C766" t="s">
        <v>7205</v>
      </c>
      <c r="D766">
        <v>7.18</v>
      </c>
    </row>
    <row r="767" spans="1:4" x14ac:dyDescent="0.25">
      <c r="A767" t="s">
        <v>7151</v>
      </c>
      <c r="B767" t="s">
        <v>7152</v>
      </c>
      <c r="C767" t="s">
        <v>7205</v>
      </c>
      <c r="D767">
        <v>23.25</v>
      </c>
    </row>
    <row r="768" spans="1:4" x14ac:dyDescent="0.25">
      <c r="A768" t="s">
        <v>7153</v>
      </c>
      <c r="B768" t="s">
        <v>7154</v>
      </c>
      <c r="C768" t="s">
        <v>7205</v>
      </c>
      <c r="D768">
        <v>21.520000000000003</v>
      </c>
    </row>
    <row r="769" spans="1:4" x14ac:dyDescent="0.25">
      <c r="A769" t="s">
        <v>7155</v>
      </c>
      <c r="B769" t="s">
        <v>7156</v>
      </c>
      <c r="C769" t="s">
        <v>7205</v>
      </c>
      <c r="D769">
        <v>41.41</v>
      </c>
    </row>
    <row r="770" spans="1:4" x14ac:dyDescent="0.25">
      <c r="A770" t="s">
        <v>7157</v>
      </c>
      <c r="B770" t="s">
        <v>7158</v>
      </c>
      <c r="C770" t="s">
        <v>7205</v>
      </c>
      <c r="D770">
        <v>41.04</v>
      </c>
    </row>
    <row r="771" spans="1:4" x14ac:dyDescent="0.25">
      <c r="A771" t="s">
        <v>7159</v>
      </c>
      <c r="B771" t="s">
        <v>7160</v>
      </c>
      <c r="C771" t="s">
        <v>7205</v>
      </c>
      <c r="D771">
        <v>27.339999999999996</v>
      </c>
    </row>
    <row r="772" spans="1:4" x14ac:dyDescent="0.25">
      <c r="A772" t="s">
        <v>7161</v>
      </c>
      <c r="B772" t="s">
        <v>7162</v>
      </c>
      <c r="C772" t="s">
        <v>7205</v>
      </c>
      <c r="D772">
        <v>19.7</v>
      </c>
    </row>
    <row r="773" spans="1:4" x14ac:dyDescent="0.25">
      <c r="A773" t="s">
        <v>7163</v>
      </c>
      <c r="B773" t="s">
        <v>7164</v>
      </c>
      <c r="C773" t="s">
        <v>7205</v>
      </c>
      <c r="D773">
        <v>26.9</v>
      </c>
    </row>
    <row r="774" spans="1:4" x14ac:dyDescent="0.25">
      <c r="A774" t="s">
        <v>7165</v>
      </c>
      <c r="B774" t="s">
        <v>7166</v>
      </c>
      <c r="C774" t="s">
        <v>7205</v>
      </c>
      <c r="D774">
        <v>33.74</v>
      </c>
    </row>
    <row r="775" spans="1:4" x14ac:dyDescent="0.25">
      <c r="A775" t="s">
        <v>7167</v>
      </c>
      <c r="B775" t="s">
        <v>7168</v>
      </c>
      <c r="C775" t="s">
        <v>7205</v>
      </c>
      <c r="D775">
        <v>6.1999999999999993</v>
      </c>
    </row>
    <row r="776" spans="1:4" x14ac:dyDescent="0.25">
      <c r="A776" t="s">
        <v>7169</v>
      </c>
      <c r="B776" t="s">
        <v>7170</v>
      </c>
      <c r="C776" t="s">
        <v>7205</v>
      </c>
      <c r="D776">
        <v>37.82</v>
      </c>
    </row>
    <row r="777" spans="1:4" x14ac:dyDescent="0.25">
      <c r="A777" t="s">
        <v>7171</v>
      </c>
      <c r="B777" t="s">
        <v>7172</v>
      </c>
      <c r="C777" t="s">
        <v>7205</v>
      </c>
      <c r="D777">
        <v>27.32</v>
      </c>
    </row>
    <row r="778" spans="1:4" x14ac:dyDescent="0.25">
      <c r="A778" t="s">
        <v>7173</v>
      </c>
      <c r="B778" t="s">
        <v>7174</v>
      </c>
      <c r="C778" t="s">
        <v>7205</v>
      </c>
      <c r="D778">
        <v>106.5</v>
      </c>
    </row>
    <row r="779" spans="1:4" x14ac:dyDescent="0.25">
      <c r="A779" t="s">
        <v>7175</v>
      </c>
      <c r="B779" t="s">
        <v>7176</v>
      </c>
      <c r="C779" t="s">
        <v>7205</v>
      </c>
      <c r="D779">
        <v>3.87</v>
      </c>
    </row>
    <row r="780" spans="1:4" x14ac:dyDescent="0.25">
      <c r="A780" t="s">
        <v>7177</v>
      </c>
      <c r="B780" t="s">
        <v>7178</v>
      </c>
      <c r="C780" t="s">
        <v>7205</v>
      </c>
      <c r="D780">
        <v>5.05</v>
      </c>
    </row>
    <row r="781" spans="1:4" x14ac:dyDescent="0.25">
      <c r="A781" t="s">
        <v>7179</v>
      </c>
      <c r="B781" t="s">
        <v>7180</v>
      </c>
      <c r="C781" t="s">
        <v>7205</v>
      </c>
      <c r="D781">
        <v>26.65</v>
      </c>
    </row>
    <row r="782" spans="1:4" x14ac:dyDescent="0.25">
      <c r="A782" t="s">
        <v>7181</v>
      </c>
      <c r="B782" t="s">
        <v>7182</v>
      </c>
      <c r="C782" t="s">
        <v>7205</v>
      </c>
      <c r="D782">
        <v>6.0699999999999994</v>
      </c>
    </row>
    <row r="783" spans="1:4" x14ac:dyDescent="0.25">
      <c r="A783" t="s">
        <v>7183</v>
      </c>
      <c r="B783" t="s">
        <v>7184</v>
      </c>
      <c r="C783" t="s">
        <v>7205</v>
      </c>
      <c r="D783">
        <v>1880.33</v>
      </c>
    </row>
    <row r="784" spans="1:4" x14ac:dyDescent="0.25">
      <c r="A784" t="s">
        <v>7185</v>
      </c>
      <c r="B784" t="s">
        <v>7186</v>
      </c>
      <c r="C784" t="s">
        <v>7205</v>
      </c>
      <c r="D784">
        <v>316.07</v>
      </c>
    </row>
    <row r="785" spans="1:4" x14ac:dyDescent="0.25">
      <c r="A785" t="s">
        <v>7187</v>
      </c>
      <c r="B785" t="s">
        <v>7188</v>
      </c>
      <c r="C785" t="s">
        <v>7205</v>
      </c>
      <c r="D785">
        <v>311.25</v>
      </c>
    </row>
    <row r="786" spans="1:4" x14ac:dyDescent="0.25">
      <c r="A786" t="s">
        <v>7189</v>
      </c>
      <c r="B786" t="s">
        <v>7190</v>
      </c>
      <c r="C786" t="s">
        <v>7205</v>
      </c>
      <c r="D786">
        <v>322.75</v>
      </c>
    </row>
    <row r="787" spans="1:4" x14ac:dyDescent="0.25">
      <c r="A787" t="s">
        <v>7191</v>
      </c>
      <c r="B787" t="s">
        <v>7192</v>
      </c>
      <c r="C787" t="s">
        <v>7205</v>
      </c>
      <c r="D787">
        <v>68.349999999999994</v>
      </c>
    </row>
    <row r="788" spans="1:4" x14ac:dyDescent="0.25">
      <c r="A788" t="s">
        <v>7193</v>
      </c>
      <c r="B788" t="s">
        <v>7194</v>
      </c>
      <c r="C788" t="s">
        <v>7205</v>
      </c>
      <c r="D788">
        <v>101.63000000000001</v>
      </c>
    </row>
    <row r="789" spans="1:4" x14ac:dyDescent="0.25">
      <c r="A789" t="s">
        <v>7195</v>
      </c>
      <c r="B789" t="s">
        <v>7196</v>
      </c>
      <c r="C789" t="s">
        <v>7205</v>
      </c>
      <c r="D789">
        <v>45.290000000000006</v>
      </c>
    </row>
    <row r="790" spans="1:4" x14ac:dyDescent="0.25">
      <c r="A790" t="s">
        <v>7197</v>
      </c>
      <c r="B790" t="s">
        <v>7198</v>
      </c>
      <c r="C790" t="s">
        <v>7205</v>
      </c>
      <c r="D790">
        <v>13.59</v>
      </c>
    </row>
    <row r="791" spans="1:4" x14ac:dyDescent="0.25">
      <c r="A791" t="s">
        <v>7199</v>
      </c>
      <c r="B791" t="s">
        <v>7200</v>
      </c>
      <c r="C791" t="s">
        <v>7205</v>
      </c>
      <c r="D791">
        <v>2.4099999999999997</v>
      </c>
    </row>
    <row r="792" spans="1:4" x14ac:dyDescent="0.25">
      <c r="A792" t="s">
        <v>7201</v>
      </c>
      <c r="B792" t="s">
        <v>7202</v>
      </c>
      <c r="C792" t="s">
        <v>7205</v>
      </c>
      <c r="D792">
        <v>2.4099999999999997</v>
      </c>
    </row>
    <row r="793" spans="1:4" x14ac:dyDescent="0.25">
      <c r="A793" t="s">
        <v>7203</v>
      </c>
      <c r="B793" t="s">
        <v>7204</v>
      </c>
      <c r="C793" t="s">
        <v>7205</v>
      </c>
      <c r="D793">
        <v>5.6400000000000006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B05E7-7934-45DA-A60A-E15604EC16C4}">
  <sheetPr>
    <tabColor theme="8" tint="0.39997558519241921"/>
  </sheetPr>
  <dimension ref="A1:E694"/>
  <sheetViews>
    <sheetView topLeftCell="A657" workbookViewId="0">
      <selection activeCell="K680" sqref="K680"/>
    </sheetView>
  </sheetViews>
  <sheetFormatPr defaultRowHeight="15" x14ac:dyDescent="0.25"/>
  <cols>
    <col min="1" max="1" width="18.28515625" bestFit="1" customWidth="1"/>
    <col min="2" max="2" width="80.85546875" bestFit="1" customWidth="1"/>
    <col min="3" max="3" width="6.28515625" bestFit="1" customWidth="1"/>
    <col min="4" max="5" width="19.5703125" bestFit="1" customWidth="1"/>
  </cols>
  <sheetData>
    <row r="1" spans="1:5" x14ac:dyDescent="0.25">
      <c r="A1" t="s">
        <v>5609</v>
      </c>
      <c r="B1" t="s">
        <v>5595</v>
      </c>
      <c r="C1" t="s">
        <v>5616</v>
      </c>
      <c r="D1" t="s">
        <v>5617</v>
      </c>
      <c r="E1" t="s">
        <v>5608</v>
      </c>
    </row>
    <row r="2" spans="1:5" x14ac:dyDescent="0.25">
      <c r="A2" t="s">
        <v>3333</v>
      </c>
      <c r="B2" t="s">
        <v>3334</v>
      </c>
      <c r="C2" t="s">
        <v>49</v>
      </c>
      <c r="D2" t="s">
        <v>140</v>
      </c>
      <c r="E2" t="str">
        <f>IF(COUNTIF(Technologie_Wszystkie[IdxWspolny],Technologie_Wszystkie[[#This Row],[IdxWspolny]])&gt;1,"DUBEL","OK")</f>
        <v>OK</v>
      </c>
    </row>
    <row r="3" spans="1:5" x14ac:dyDescent="0.25">
      <c r="A3" t="s">
        <v>1335</v>
      </c>
      <c r="B3" t="s">
        <v>1336</v>
      </c>
      <c r="C3" t="s">
        <v>49</v>
      </c>
      <c r="D3" t="s">
        <v>1374</v>
      </c>
      <c r="E3" t="str">
        <f>IF(COUNTIF(Technologie_Wszystkie[IdxWspolny],Technologie_Wszystkie[[#This Row],[IdxWspolny]])&gt;1,"DUBEL","OK")</f>
        <v>OK</v>
      </c>
    </row>
    <row r="4" spans="1:5" x14ac:dyDescent="0.25">
      <c r="A4" t="s">
        <v>1327</v>
      </c>
      <c r="B4" t="s">
        <v>3727</v>
      </c>
      <c r="C4" t="s">
        <v>49</v>
      </c>
      <c r="D4" t="s">
        <v>1329</v>
      </c>
      <c r="E4" t="str">
        <f>IF(COUNTIF(Technologie_Wszystkie[IdxWspolny],Technologie_Wszystkie[[#This Row],[IdxWspolny]])&gt;1,"DUBEL","OK")</f>
        <v>OK</v>
      </c>
    </row>
    <row r="5" spans="1:5" hidden="1" x14ac:dyDescent="0.25"/>
    <row r="6" spans="1:5" x14ac:dyDescent="0.25">
      <c r="A6" t="s">
        <v>967</v>
      </c>
      <c r="B6" t="s">
        <v>968</v>
      </c>
      <c r="C6" t="s">
        <v>5</v>
      </c>
      <c r="D6" t="s">
        <v>658</v>
      </c>
      <c r="E6" t="str">
        <f>IF(COUNTIF(Technologie_Wszystkie[IdxWspolny],Technologie_Wszystkie[[#This Row],[IdxWspolny]])&gt;1,"DUBEL","OK")</f>
        <v>OK</v>
      </c>
    </row>
    <row r="7" spans="1:5" x14ac:dyDescent="0.25">
      <c r="A7" t="s">
        <v>1392</v>
      </c>
      <c r="B7" t="s">
        <v>1393</v>
      </c>
      <c r="C7" t="s">
        <v>5</v>
      </c>
      <c r="D7" t="s">
        <v>1394</v>
      </c>
      <c r="E7" t="str">
        <f>IF(COUNTIF(Technologie_Wszystkie[IdxWspolny],Technologie_Wszystkie[[#This Row],[IdxWspolny]])&gt;1,"DUBEL","OK")</f>
        <v>OK</v>
      </c>
    </row>
    <row r="8" spans="1:5" x14ac:dyDescent="0.25">
      <c r="A8" t="s">
        <v>4008</v>
      </c>
      <c r="B8" t="s">
        <v>4009</v>
      </c>
      <c r="C8" t="s">
        <v>5</v>
      </c>
      <c r="D8" t="s">
        <v>4010</v>
      </c>
      <c r="E8" t="str">
        <f>IF(COUNTIF(Technologie_Wszystkie[IdxWspolny],Technologie_Wszystkie[[#This Row],[IdxWspolny]])&gt;1,"DUBEL","OK")</f>
        <v>OK</v>
      </c>
    </row>
    <row r="9" spans="1:5" x14ac:dyDescent="0.25">
      <c r="A9" t="s">
        <v>3258</v>
      </c>
      <c r="B9" t="s">
        <v>3259</v>
      </c>
      <c r="C9" t="s">
        <v>5</v>
      </c>
      <c r="D9" t="s">
        <v>70</v>
      </c>
      <c r="E9" t="str">
        <f>IF(COUNTIF(Technologie_Wszystkie[IdxWspolny],Technologie_Wszystkie[[#This Row],[IdxWspolny]])&gt;1,"DUBEL","OK")</f>
        <v>OK</v>
      </c>
    </row>
    <row r="10" spans="1:5" x14ac:dyDescent="0.25">
      <c r="A10" t="s">
        <v>4085</v>
      </c>
      <c r="B10" t="s">
        <v>4086</v>
      </c>
      <c r="C10" t="s">
        <v>5</v>
      </c>
      <c r="D10" t="s">
        <v>1394</v>
      </c>
      <c r="E10" t="str">
        <f>IF(COUNTIF(Technologie_Wszystkie[IdxWspolny],Technologie_Wszystkie[[#This Row],[IdxWspolny]])&gt;1,"DUBEL","OK")</f>
        <v>OK</v>
      </c>
    </row>
    <row r="11" spans="1:5" x14ac:dyDescent="0.25">
      <c r="A11" t="s">
        <v>2668</v>
      </c>
      <c r="B11" t="s">
        <v>2669</v>
      </c>
      <c r="C11" t="s">
        <v>5</v>
      </c>
      <c r="D11" t="s">
        <v>2670</v>
      </c>
      <c r="E11" t="str">
        <f>IF(COUNTIF(Technologie_Wszystkie[IdxWspolny],Technologie_Wszystkie[[#This Row],[IdxWspolny]])&gt;1,"DUBEL","OK")</f>
        <v>OK</v>
      </c>
    </row>
    <row r="12" spans="1:5" x14ac:dyDescent="0.25">
      <c r="A12" t="s">
        <v>988</v>
      </c>
      <c r="B12" t="s">
        <v>989</v>
      </c>
      <c r="C12" t="s">
        <v>5</v>
      </c>
      <c r="D12" t="s">
        <v>990</v>
      </c>
      <c r="E12" t="str">
        <f>IF(COUNTIF(Technologie_Wszystkie[IdxWspolny],Technologie_Wszystkie[[#This Row],[IdxWspolny]])&gt;1,"DUBEL","OK")</f>
        <v>OK</v>
      </c>
    </row>
    <row r="13" spans="1:5" x14ac:dyDescent="0.25">
      <c r="A13" t="s">
        <v>2450</v>
      </c>
      <c r="B13" t="s">
        <v>2451</v>
      </c>
      <c r="C13" t="s">
        <v>5</v>
      </c>
      <c r="D13" t="s">
        <v>31</v>
      </c>
      <c r="E13" t="str">
        <f>IF(COUNTIF(Technologie_Wszystkie[IdxWspolny],Technologie_Wszystkie[[#This Row],[IdxWspolny]])&gt;1,"DUBEL","OK")</f>
        <v>OK</v>
      </c>
    </row>
    <row r="14" spans="1:5" x14ac:dyDescent="0.25">
      <c r="A14" t="s">
        <v>1538</v>
      </c>
      <c r="B14" t="s">
        <v>1539</v>
      </c>
      <c r="C14" t="s">
        <v>5</v>
      </c>
      <c r="D14" t="s">
        <v>501</v>
      </c>
      <c r="E14" t="str">
        <f>IF(COUNTIF(Technologie_Wszystkie[IdxWspolny],Technologie_Wszystkie[[#This Row],[IdxWspolny]])&gt;1,"DUBEL","OK")</f>
        <v>OK</v>
      </c>
    </row>
    <row r="15" spans="1:5" x14ac:dyDescent="0.25">
      <c r="A15" t="s">
        <v>3506</v>
      </c>
      <c r="B15" t="s">
        <v>3507</v>
      </c>
      <c r="C15" t="s">
        <v>5</v>
      </c>
      <c r="D15" t="s">
        <v>1394</v>
      </c>
      <c r="E15" t="str">
        <f>IF(COUNTIF(Technologie_Wszystkie[IdxWspolny],Technologie_Wszystkie[[#This Row],[IdxWspolny]])&gt;1,"DUBEL","OK")</f>
        <v>OK</v>
      </c>
    </row>
    <row r="16" spans="1:5" x14ac:dyDescent="0.25">
      <c r="A16" t="s">
        <v>2458</v>
      </c>
      <c r="B16" t="s">
        <v>2459</v>
      </c>
      <c r="C16" t="s">
        <v>5</v>
      </c>
      <c r="D16" t="s">
        <v>384</v>
      </c>
      <c r="E16" t="str">
        <f>IF(COUNTIF(Technologie_Wszystkie[IdxWspolny],Technologie_Wszystkie[[#This Row],[IdxWspolny]])&gt;1,"DUBEL","OK")</f>
        <v>OK</v>
      </c>
    </row>
    <row r="17" spans="1:5" x14ac:dyDescent="0.25">
      <c r="A17" t="s">
        <v>1447</v>
      </c>
      <c r="B17" t="s">
        <v>1448</v>
      </c>
      <c r="C17" t="s">
        <v>5</v>
      </c>
      <c r="D17" t="s">
        <v>779</v>
      </c>
      <c r="E17" t="str">
        <f>IF(COUNTIF(Technologie_Wszystkie[IdxWspolny],Technologie_Wszystkie[[#This Row],[IdxWspolny]])&gt;1,"DUBEL","OK")</f>
        <v>OK</v>
      </c>
    </row>
    <row r="18" spans="1:5" x14ac:dyDescent="0.25">
      <c r="A18" t="s">
        <v>2941</v>
      </c>
      <c r="B18" t="s">
        <v>2942</v>
      </c>
      <c r="C18" t="s">
        <v>5</v>
      </c>
      <c r="D18" t="s">
        <v>1394</v>
      </c>
      <c r="E18" t="str">
        <f>IF(COUNTIF(Technologie_Wszystkie[IdxWspolny],Technologie_Wszystkie[[#This Row],[IdxWspolny]])&gt;1,"DUBEL","OK")</f>
        <v>OK</v>
      </c>
    </row>
    <row r="19" spans="1:5" x14ac:dyDescent="0.25">
      <c r="A19" t="s">
        <v>4168</v>
      </c>
      <c r="B19" t="s">
        <v>4169</v>
      </c>
      <c r="C19" t="s">
        <v>5</v>
      </c>
      <c r="D19" t="s">
        <v>70</v>
      </c>
      <c r="E19" t="str">
        <f>IF(COUNTIF(Technologie_Wszystkie[IdxWspolny],Technologie_Wszystkie[[#This Row],[IdxWspolny]])&gt;1,"DUBEL","OK")</f>
        <v>OK</v>
      </c>
    </row>
    <row r="20" spans="1:5" hidden="1" x14ac:dyDescent="0.25"/>
    <row r="21" spans="1:5" x14ac:dyDescent="0.25">
      <c r="A21" t="s">
        <v>4316</v>
      </c>
      <c r="B21" t="s">
        <v>4317</v>
      </c>
      <c r="C21" t="s">
        <v>5</v>
      </c>
      <c r="D21" t="s">
        <v>1394</v>
      </c>
      <c r="E21" t="str">
        <f>IF(COUNTIF(Technologie_Wszystkie[IdxWspolny],Technologie_Wszystkie[[#This Row],[IdxWspolny]])&gt;1,"DUBEL","OK")</f>
        <v>OK</v>
      </c>
    </row>
    <row r="22" spans="1:5" x14ac:dyDescent="0.25">
      <c r="A22" t="s">
        <v>3834</v>
      </c>
      <c r="B22" t="s">
        <v>3835</v>
      </c>
      <c r="C22" t="s">
        <v>5</v>
      </c>
      <c r="D22" t="s">
        <v>3836</v>
      </c>
      <c r="E22" t="str">
        <f>IF(COUNTIF(Technologie_Wszystkie[IdxWspolny],Technologie_Wszystkie[[#This Row],[IdxWspolny]])&gt;1,"DUBEL","OK")</f>
        <v>OK</v>
      </c>
    </row>
    <row r="23" spans="1:5" x14ac:dyDescent="0.25">
      <c r="A23" t="s">
        <v>2463</v>
      </c>
      <c r="B23" t="s">
        <v>2464</v>
      </c>
      <c r="C23" t="s">
        <v>5</v>
      </c>
      <c r="D23" t="s">
        <v>216</v>
      </c>
      <c r="E23" t="str">
        <f>IF(COUNTIF(Technologie_Wszystkie[IdxWspolny],Technologie_Wszystkie[[#This Row],[IdxWspolny]])&gt;1,"DUBEL","OK")</f>
        <v>OK</v>
      </c>
    </row>
    <row r="24" spans="1:5" x14ac:dyDescent="0.25">
      <c r="A24" t="s">
        <v>1553</v>
      </c>
      <c r="B24" t="s">
        <v>1554</v>
      </c>
      <c r="C24" t="s">
        <v>5</v>
      </c>
      <c r="D24" t="s">
        <v>70</v>
      </c>
      <c r="E24" t="str">
        <f>IF(COUNTIF(Technologie_Wszystkie[IdxWspolny],Technologie_Wszystkie[[#This Row],[IdxWspolny]])&gt;1,"DUBEL","OK")</f>
        <v>OK</v>
      </c>
    </row>
    <row r="25" spans="1:5" x14ac:dyDescent="0.25">
      <c r="A25" t="s">
        <v>29</v>
      </c>
      <c r="B25" t="s">
        <v>30</v>
      </c>
      <c r="C25" t="s">
        <v>5</v>
      </c>
      <c r="D25" t="s">
        <v>31</v>
      </c>
      <c r="E25" t="str">
        <f>IF(COUNTIF(Technologie_Wszystkie[IdxWspolny],Technologie_Wszystkie[[#This Row],[IdxWspolny]])&gt;1,"DUBEL","OK")</f>
        <v>OK</v>
      </c>
    </row>
    <row r="26" spans="1:5" x14ac:dyDescent="0.25">
      <c r="A26" t="s">
        <v>1813</v>
      </c>
      <c r="B26" t="s">
        <v>1814</v>
      </c>
      <c r="C26" t="s">
        <v>5</v>
      </c>
      <c r="D26" t="s">
        <v>1101</v>
      </c>
      <c r="E26" t="str">
        <f>IF(COUNTIF(Technologie_Wszystkie[IdxWspolny],Technologie_Wszystkie[[#This Row],[IdxWspolny]])&gt;1,"DUBEL","OK")</f>
        <v>OK</v>
      </c>
    </row>
    <row r="27" spans="1:5" x14ac:dyDescent="0.25">
      <c r="A27" t="s">
        <v>4229</v>
      </c>
      <c r="B27" t="s">
        <v>4230</v>
      </c>
      <c r="C27" t="s">
        <v>5</v>
      </c>
      <c r="D27" t="s">
        <v>4231</v>
      </c>
      <c r="E27" t="str">
        <f>IF(COUNTIF(Technologie_Wszystkie[IdxWspolny],Technologie_Wszystkie[[#This Row],[IdxWspolny]])&gt;1,"DUBEL","OK")</f>
        <v>OK</v>
      </c>
    </row>
    <row r="28" spans="1:5" x14ac:dyDescent="0.25">
      <c r="A28" t="s">
        <v>3552</v>
      </c>
      <c r="B28" t="s">
        <v>3553</v>
      </c>
      <c r="C28" t="s">
        <v>17</v>
      </c>
      <c r="D28" t="s">
        <v>3554</v>
      </c>
      <c r="E28" t="str">
        <f>IF(COUNTIF(Technologie_Wszystkie[IdxWspolny],Technologie_Wszystkie[[#This Row],[IdxWspolny]])&gt;1,"DUBEL","OK")</f>
        <v>OK</v>
      </c>
    </row>
    <row r="29" spans="1:5" x14ac:dyDescent="0.25">
      <c r="A29" t="s">
        <v>3517</v>
      </c>
      <c r="B29" t="s">
        <v>3518</v>
      </c>
      <c r="C29" t="s">
        <v>17</v>
      </c>
      <c r="D29" t="s">
        <v>3519</v>
      </c>
      <c r="E29" t="str">
        <f>IF(COUNTIF(Technologie_Wszystkie[IdxWspolny],Technologie_Wszystkie[[#This Row],[IdxWspolny]])&gt;1,"DUBEL","OK")</f>
        <v>OK</v>
      </c>
    </row>
    <row r="30" spans="1:5" x14ac:dyDescent="0.25">
      <c r="A30" t="s">
        <v>3161</v>
      </c>
      <c r="B30" t="s">
        <v>3162</v>
      </c>
      <c r="C30" t="s">
        <v>17</v>
      </c>
      <c r="D30" t="s">
        <v>3163</v>
      </c>
      <c r="E30" t="str">
        <f>IF(COUNTIF(Technologie_Wszystkie[IdxWspolny],Technologie_Wszystkie[[#This Row],[IdxWspolny]])&gt;1,"DUBEL","OK")</f>
        <v>OK</v>
      </c>
    </row>
    <row r="31" spans="1:5" x14ac:dyDescent="0.25">
      <c r="A31" t="s">
        <v>3865</v>
      </c>
      <c r="B31" t="s">
        <v>3866</v>
      </c>
      <c r="C31" t="s">
        <v>17</v>
      </c>
      <c r="D31" t="s">
        <v>403</v>
      </c>
      <c r="E31" t="str">
        <f>IF(COUNTIF(Technologie_Wszystkie[IdxWspolny],Technologie_Wszystkie[[#This Row],[IdxWspolny]])&gt;1,"DUBEL","OK")</f>
        <v>OK</v>
      </c>
    </row>
    <row r="32" spans="1:5" x14ac:dyDescent="0.25">
      <c r="A32" t="s">
        <v>3122</v>
      </c>
      <c r="B32" t="s">
        <v>3123</v>
      </c>
      <c r="C32" t="s">
        <v>17</v>
      </c>
      <c r="D32" t="s">
        <v>3124</v>
      </c>
      <c r="E32" t="str">
        <f>IF(COUNTIF(Technologie_Wszystkie[IdxWspolny],Technologie_Wszystkie[[#This Row],[IdxWspolny]])&gt;1,"DUBEL","OK")</f>
        <v>OK</v>
      </c>
    </row>
    <row r="33" spans="1:5" x14ac:dyDescent="0.25">
      <c r="A33" t="s">
        <v>1699</v>
      </c>
      <c r="B33" t="s">
        <v>1700</v>
      </c>
      <c r="C33" t="s">
        <v>17</v>
      </c>
      <c r="D33" t="s">
        <v>1701</v>
      </c>
      <c r="E33" t="str">
        <f>IF(COUNTIF(Technologie_Wszystkie[IdxWspolny],Technologie_Wszystkie[[#This Row],[IdxWspolny]])&gt;1,"DUBEL","OK")</f>
        <v>OK</v>
      </c>
    </row>
    <row r="34" spans="1:5" x14ac:dyDescent="0.25">
      <c r="A34" t="s">
        <v>3665</v>
      </c>
      <c r="B34" t="s">
        <v>3666</v>
      </c>
      <c r="C34" t="s">
        <v>17</v>
      </c>
      <c r="D34" t="s">
        <v>83</v>
      </c>
      <c r="E34" t="str">
        <f>IF(COUNTIF(Technologie_Wszystkie[IdxWspolny],Technologie_Wszystkie[[#This Row],[IdxWspolny]])&gt;1,"DUBEL","OK")</f>
        <v>OK</v>
      </c>
    </row>
    <row r="35" spans="1:5" x14ac:dyDescent="0.25">
      <c r="A35" t="s">
        <v>3265</v>
      </c>
      <c r="B35" t="s">
        <v>3266</v>
      </c>
      <c r="C35" t="s">
        <v>17</v>
      </c>
      <c r="D35" t="s">
        <v>311</v>
      </c>
      <c r="E35" t="str">
        <f>IF(COUNTIF(Technologie_Wszystkie[IdxWspolny],Technologie_Wszystkie[[#This Row],[IdxWspolny]])&gt;1,"DUBEL","OK")</f>
        <v>OK</v>
      </c>
    </row>
    <row r="36" spans="1:5" x14ac:dyDescent="0.25">
      <c r="A36" t="s">
        <v>1406</v>
      </c>
      <c r="B36" t="s">
        <v>1407</v>
      </c>
      <c r="C36" t="s">
        <v>17</v>
      </c>
      <c r="D36" t="s">
        <v>1408</v>
      </c>
      <c r="E36" t="str">
        <f>IF(COUNTIF(Technologie_Wszystkie[IdxWspolny],Technologie_Wszystkie[[#This Row],[IdxWspolny]])&gt;1,"DUBEL","OK")</f>
        <v>OK</v>
      </c>
    </row>
    <row r="37" spans="1:5" x14ac:dyDescent="0.25">
      <c r="A37" t="s">
        <v>1769</v>
      </c>
      <c r="B37" t="s">
        <v>1770</v>
      </c>
      <c r="C37" t="s">
        <v>17</v>
      </c>
      <c r="D37" t="s">
        <v>1771</v>
      </c>
      <c r="E37" t="str">
        <f>IF(COUNTIF(Technologie_Wszystkie[IdxWspolny],Technologie_Wszystkie[[#This Row],[IdxWspolny]])&gt;1,"DUBEL","OK")</f>
        <v>OK</v>
      </c>
    </row>
    <row r="38" spans="1:5" x14ac:dyDescent="0.25">
      <c r="A38" t="s">
        <v>14</v>
      </c>
      <c r="B38" t="s">
        <v>15</v>
      </c>
      <c r="C38" t="s">
        <v>17</v>
      </c>
      <c r="D38" t="s">
        <v>16</v>
      </c>
      <c r="E38" t="str">
        <f>IF(COUNTIF(Technologie_Wszystkie[IdxWspolny],Technologie_Wszystkie[[#This Row],[IdxWspolny]])&gt;1,"DUBEL","OK")</f>
        <v>OK</v>
      </c>
    </row>
    <row r="39" spans="1:5" x14ac:dyDescent="0.25">
      <c r="A39" t="s">
        <v>4472</v>
      </c>
      <c r="B39" t="s">
        <v>4473</v>
      </c>
      <c r="C39" t="s">
        <v>17</v>
      </c>
      <c r="D39" t="s">
        <v>4474</v>
      </c>
      <c r="E39" t="str">
        <f>IF(COUNTIF(Technologie_Wszystkie[IdxWspolny],Technologie_Wszystkie[[#This Row],[IdxWspolny]])&gt;1,"DUBEL","OK")</f>
        <v>OK</v>
      </c>
    </row>
    <row r="40" spans="1:5" x14ac:dyDescent="0.25">
      <c r="A40" t="s">
        <v>1387</v>
      </c>
      <c r="B40" t="s">
        <v>1388</v>
      </c>
      <c r="C40" t="s">
        <v>17</v>
      </c>
      <c r="D40" t="s">
        <v>879</v>
      </c>
      <c r="E40" t="str">
        <f>IF(COUNTIF(Technologie_Wszystkie[IdxWspolny],Technologie_Wszystkie[[#This Row],[IdxWspolny]])&gt;1,"DUBEL","OK")</f>
        <v>OK</v>
      </c>
    </row>
    <row r="41" spans="1:5" x14ac:dyDescent="0.25">
      <c r="A41" t="s">
        <v>2955</v>
      </c>
      <c r="B41" t="s">
        <v>2956</v>
      </c>
      <c r="C41" t="s">
        <v>17</v>
      </c>
      <c r="D41" t="s">
        <v>311</v>
      </c>
      <c r="E41" t="str">
        <f>IF(COUNTIF(Technologie_Wszystkie[IdxWspolny],Technologie_Wszystkie[[#This Row],[IdxWspolny]])&gt;1,"DUBEL","OK")</f>
        <v>OK</v>
      </c>
    </row>
    <row r="42" spans="1:5" x14ac:dyDescent="0.25">
      <c r="A42" t="s">
        <v>3034</v>
      </c>
      <c r="B42" t="s">
        <v>3035</v>
      </c>
      <c r="C42" t="s">
        <v>17</v>
      </c>
      <c r="D42" t="s">
        <v>83</v>
      </c>
      <c r="E42" t="str">
        <f>IF(COUNTIF(Technologie_Wszystkie[IdxWspolny],Technologie_Wszystkie[[#This Row],[IdxWspolny]])&gt;1,"DUBEL","OK")</f>
        <v>OK</v>
      </c>
    </row>
    <row r="43" spans="1:5" x14ac:dyDescent="0.25">
      <c r="A43" t="s">
        <v>2169</v>
      </c>
      <c r="B43" t="s">
        <v>2170</v>
      </c>
      <c r="C43" t="s">
        <v>17</v>
      </c>
      <c r="D43" t="s">
        <v>2171</v>
      </c>
      <c r="E43" t="str">
        <f>IF(COUNTIF(Technologie_Wszystkie[IdxWspolny],Technologie_Wszystkie[[#This Row],[IdxWspolny]])&gt;1,"DUBEL","OK")</f>
        <v>OK</v>
      </c>
    </row>
    <row r="44" spans="1:5" x14ac:dyDescent="0.25">
      <c r="A44" t="s">
        <v>3117</v>
      </c>
      <c r="B44" t="s">
        <v>3118</v>
      </c>
      <c r="C44" t="s">
        <v>17</v>
      </c>
      <c r="D44" t="s">
        <v>3119</v>
      </c>
      <c r="E44" t="str">
        <f>IF(COUNTIF(Technologie_Wszystkie[IdxWspolny],Technologie_Wszystkie[[#This Row],[IdxWspolny]])&gt;1,"DUBEL","OK")</f>
        <v>OK</v>
      </c>
    </row>
    <row r="45" spans="1:5" x14ac:dyDescent="0.25">
      <c r="A45" t="s">
        <v>3568</v>
      </c>
      <c r="B45" t="s">
        <v>3569</v>
      </c>
      <c r="C45" t="s">
        <v>17</v>
      </c>
      <c r="D45" t="s">
        <v>3570</v>
      </c>
      <c r="E45" t="str">
        <f>IF(COUNTIF(Technologie_Wszystkie[IdxWspolny],Technologie_Wszystkie[[#This Row],[IdxWspolny]])&gt;1,"DUBEL","OK")</f>
        <v>OK</v>
      </c>
    </row>
    <row r="46" spans="1:5" x14ac:dyDescent="0.25">
      <c r="A46" t="s">
        <v>3449</v>
      </c>
      <c r="B46" t="s">
        <v>3450</v>
      </c>
      <c r="C46" t="s">
        <v>17</v>
      </c>
      <c r="D46" t="s">
        <v>3451</v>
      </c>
      <c r="E46" t="str">
        <f>IF(COUNTIF(Technologie_Wszystkie[IdxWspolny],Technologie_Wszystkie[[#This Row],[IdxWspolny]])&gt;1,"DUBEL","OK")</f>
        <v>OK</v>
      </c>
    </row>
    <row r="47" spans="1:5" x14ac:dyDescent="0.25">
      <c r="A47" t="s">
        <v>1794</v>
      </c>
      <c r="B47" t="s">
        <v>1795</v>
      </c>
      <c r="C47" t="s">
        <v>17</v>
      </c>
      <c r="D47" t="s">
        <v>117</v>
      </c>
      <c r="E47" t="str">
        <f>IF(COUNTIF(Technologie_Wszystkie[IdxWspolny],Technologie_Wszystkie[[#This Row],[IdxWspolny]])&gt;1,"DUBEL","OK")</f>
        <v>OK</v>
      </c>
    </row>
    <row r="48" spans="1:5" x14ac:dyDescent="0.25">
      <c r="A48" t="s">
        <v>3837</v>
      </c>
      <c r="B48" t="s">
        <v>3838</v>
      </c>
      <c r="C48" t="s">
        <v>17</v>
      </c>
      <c r="D48" t="s">
        <v>2963</v>
      </c>
      <c r="E48" t="str">
        <f>IF(COUNTIF(Technologie_Wszystkie[IdxWspolny],Technologie_Wszystkie[[#This Row],[IdxWspolny]])&gt;1,"DUBEL","OK")</f>
        <v>OK</v>
      </c>
    </row>
    <row r="49" spans="1:5" x14ac:dyDescent="0.25">
      <c r="A49" t="s">
        <v>1722</v>
      </c>
      <c r="B49" t="s">
        <v>1723</v>
      </c>
      <c r="C49" t="s">
        <v>17</v>
      </c>
      <c r="D49" t="s">
        <v>1724</v>
      </c>
      <c r="E49" t="str">
        <f>IF(COUNTIF(Technologie_Wszystkie[IdxWspolny],Technologie_Wszystkie[[#This Row],[IdxWspolny]])&gt;1,"DUBEL","OK")</f>
        <v>OK</v>
      </c>
    </row>
    <row r="50" spans="1:5" x14ac:dyDescent="0.25">
      <c r="A50" t="s">
        <v>3082</v>
      </c>
      <c r="B50" t="s">
        <v>3083</v>
      </c>
      <c r="C50" t="s">
        <v>17</v>
      </c>
      <c r="D50" t="s">
        <v>1110</v>
      </c>
      <c r="E50" t="str">
        <f>IF(COUNTIF(Technologie_Wszystkie[IdxWspolny],Technologie_Wszystkie[[#This Row],[IdxWspolny]])&gt;1,"DUBEL","OK")</f>
        <v>OK</v>
      </c>
    </row>
    <row r="51" spans="1:5" x14ac:dyDescent="0.25">
      <c r="A51" t="s">
        <v>970</v>
      </c>
      <c r="B51" t="s">
        <v>971</v>
      </c>
      <c r="C51" t="s">
        <v>17</v>
      </c>
      <c r="D51" t="s">
        <v>972</v>
      </c>
      <c r="E51" t="str">
        <f>IF(COUNTIF(Technologie_Wszystkie[IdxWspolny],Technologie_Wszystkie[[#This Row],[IdxWspolny]])&gt;1,"DUBEL","OK")</f>
        <v>OK</v>
      </c>
    </row>
    <row r="52" spans="1:5" hidden="1" x14ac:dyDescent="0.25"/>
    <row r="53" spans="1:5" x14ac:dyDescent="0.25">
      <c r="A53" t="s">
        <v>3071</v>
      </c>
      <c r="B53" t="s">
        <v>3072</v>
      </c>
      <c r="C53" t="s">
        <v>17</v>
      </c>
      <c r="D53" t="s">
        <v>879</v>
      </c>
      <c r="E53" t="str">
        <f>IF(COUNTIF(Technologie_Wszystkie[IdxWspolny],Technologie_Wszystkie[[#This Row],[IdxWspolny]])&gt;1,"DUBEL","OK")</f>
        <v>OK</v>
      </c>
    </row>
    <row r="54" spans="1:5" x14ac:dyDescent="0.25">
      <c r="A54" t="s">
        <v>3363</v>
      </c>
      <c r="B54" t="s">
        <v>3364</v>
      </c>
      <c r="C54" t="s">
        <v>17</v>
      </c>
      <c r="D54" t="s">
        <v>3365</v>
      </c>
      <c r="E54" t="str">
        <f>IF(COUNTIF(Technologie_Wszystkie[IdxWspolny],Technologie_Wszystkie[[#This Row],[IdxWspolny]])&gt;1,"DUBEL","OK")</f>
        <v>OK</v>
      </c>
    </row>
    <row r="55" spans="1:5" x14ac:dyDescent="0.25">
      <c r="A55" t="s">
        <v>3678</v>
      </c>
      <c r="B55" t="s">
        <v>3679</v>
      </c>
      <c r="C55" t="s">
        <v>17</v>
      </c>
      <c r="D55" t="s">
        <v>3365</v>
      </c>
      <c r="E55" t="str">
        <f>IF(COUNTIF(Technologie_Wszystkie[IdxWspolny],Technologie_Wszystkie[[#This Row],[IdxWspolny]])&gt;1,"DUBEL","OK")</f>
        <v>OK</v>
      </c>
    </row>
    <row r="56" spans="1:5" x14ac:dyDescent="0.25">
      <c r="A56" t="s">
        <v>974</v>
      </c>
      <c r="B56" t="s">
        <v>975</v>
      </c>
      <c r="C56" t="s">
        <v>17</v>
      </c>
      <c r="D56" t="s">
        <v>976</v>
      </c>
      <c r="E56" t="str">
        <f>IF(COUNTIF(Technologie_Wszystkie[IdxWspolny],Technologie_Wszystkie[[#This Row],[IdxWspolny]])&gt;1,"DUBEL","OK")</f>
        <v>OK</v>
      </c>
    </row>
    <row r="57" spans="1:5" x14ac:dyDescent="0.25">
      <c r="A57" t="s">
        <v>1752</v>
      </c>
      <c r="B57" t="s">
        <v>1753</v>
      </c>
      <c r="C57" t="s">
        <v>17</v>
      </c>
      <c r="D57" t="s">
        <v>263</v>
      </c>
      <c r="E57" t="str">
        <f>IF(COUNTIF(Technologie_Wszystkie[IdxWspolny],Technologie_Wszystkie[[#This Row],[IdxWspolny]])&gt;1,"DUBEL","OK")</f>
        <v>OK</v>
      </c>
    </row>
    <row r="58" spans="1:5" x14ac:dyDescent="0.25">
      <c r="A58" t="s">
        <v>3873</v>
      </c>
      <c r="B58" t="s">
        <v>3874</v>
      </c>
      <c r="C58" t="s">
        <v>17</v>
      </c>
      <c r="D58" t="s">
        <v>1892</v>
      </c>
      <c r="E58" t="str">
        <f>IF(COUNTIF(Technologie_Wszystkie[IdxWspolny],Technologie_Wszystkie[[#This Row],[IdxWspolny]])&gt;1,"DUBEL","OK")</f>
        <v>OK</v>
      </c>
    </row>
    <row r="59" spans="1:5" x14ac:dyDescent="0.25">
      <c r="A59" t="s">
        <v>5026</v>
      </c>
      <c r="B59" t="s">
        <v>5027</v>
      </c>
      <c r="C59" t="s">
        <v>17</v>
      </c>
      <c r="D59" t="s">
        <v>1892</v>
      </c>
      <c r="E59" t="str">
        <f>IF(COUNTIF(Technologie_Wszystkie[IdxWspolny],Technologie_Wszystkie[[#This Row],[IdxWspolny]])&gt;1,"DUBEL","OK")</f>
        <v>OK</v>
      </c>
    </row>
    <row r="60" spans="1:5" x14ac:dyDescent="0.25">
      <c r="A60" t="s">
        <v>1774</v>
      </c>
      <c r="B60" t="s">
        <v>1775</v>
      </c>
      <c r="C60" t="s">
        <v>17</v>
      </c>
      <c r="D60" t="s">
        <v>1776</v>
      </c>
      <c r="E60" t="str">
        <f>IF(COUNTIF(Technologie_Wszystkie[IdxWspolny],Technologie_Wszystkie[[#This Row],[IdxWspolny]])&gt;1,"DUBEL","OK")</f>
        <v>OK</v>
      </c>
    </row>
    <row r="61" spans="1:5" x14ac:dyDescent="0.25">
      <c r="A61" t="s">
        <v>3494</v>
      </c>
      <c r="B61" t="s">
        <v>3495</v>
      </c>
      <c r="C61" t="s">
        <v>17</v>
      </c>
      <c r="D61" t="s">
        <v>3344</v>
      </c>
      <c r="E61" t="str">
        <f>IF(COUNTIF(Technologie_Wszystkie[IdxWspolny],Technologie_Wszystkie[[#This Row],[IdxWspolny]])&gt;1,"DUBEL","OK")</f>
        <v>OK</v>
      </c>
    </row>
    <row r="62" spans="1:5" x14ac:dyDescent="0.25">
      <c r="A62" t="s">
        <v>3094</v>
      </c>
      <c r="B62" t="s">
        <v>3095</v>
      </c>
      <c r="C62" t="s">
        <v>17</v>
      </c>
      <c r="D62" t="s">
        <v>3096</v>
      </c>
      <c r="E62" t="str">
        <f>IF(COUNTIF(Technologie_Wszystkie[IdxWspolny],Technologie_Wszystkie[[#This Row],[IdxWspolny]])&gt;1,"DUBEL","OK")</f>
        <v>OK</v>
      </c>
    </row>
    <row r="63" spans="1:5" x14ac:dyDescent="0.25">
      <c r="A63" t="s">
        <v>1547</v>
      </c>
      <c r="B63" t="s">
        <v>1548</v>
      </c>
      <c r="C63" t="s">
        <v>5</v>
      </c>
      <c r="D63" t="s">
        <v>403</v>
      </c>
      <c r="E63" t="str">
        <f>IF(COUNTIF(Technologie_Wszystkie[IdxWspolny],Technologie_Wszystkie[[#This Row],[IdxWspolny]])&gt;1,"DUBEL","OK")</f>
        <v>OK</v>
      </c>
    </row>
    <row r="64" spans="1:5" x14ac:dyDescent="0.25">
      <c r="A64" t="s">
        <v>2961</v>
      </c>
      <c r="B64" t="s">
        <v>2962</v>
      </c>
      <c r="C64" t="s">
        <v>5</v>
      </c>
      <c r="D64" t="s">
        <v>4430</v>
      </c>
      <c r="E64" t="str">
        <f>IF(COUNTIF(Technologie_Wszystkie[IdxWspolny],Technologie_Wszystkie[[#This Row],[IdxWspolny]])&gt;1,"DUBEL","OK")</f>
        <v>OK</v>
      </c>
    </row>
    <row r="65" spans="1:5" x14ac:dyDescent="0.25">
      <c r="A65" t="s">
        <v>1162</v>
      </c>
      <c r="B65" t="s">
        <v>1163</v>
      </c>
      <c r="C65" t="s">
        <v>5</v>
      </c>
      <c r="D65" t="s">
        <v>1164</v>
      </c>
      <c r="E65" t="str">
        <f>IF(COUNTIF(Technologie_Wszystkie[IdxWspolny],Technologie_Wszystkie[[#This Row],[IdxWspolny]])&gt;1,"DUBEL","OK")</f>
        <v>OK</v>
      </c>
    </row>
    <row r="66" spans="1:5" x14ac:dyDescent="0.25">
      <c r="A66" t="s">
        <v>1188</v>
      </c>
      <c r="B66" t="s">
        <v>1189</v>
      </c>
      <c r="C66" t="s">
        <v>5</v>
      </c>
      <c r="D66" t="s">
        <v>1190</v>
      </c>
      <c r="E66" t="str">
        <f>IF(COUNTIF(Technologie_Wszystkie[IdxWspolny],Technologie_Wszystkie[[#This Row],[IdxWspolny]])&gt;1,"DUBEL","OK")</f>
        <v>OK</v>
      </c>
    </row>
    <row r="67" spans="1:5" x14ac:dyDescent="0.25">
      <c r="A67" t="s">
        <v>2</v>
      </c>
      <c r="B67" t="s">
        <v>3</v>
      </c>
      <c r="C67" t="s">
        <v>5</v>
      </c>
      <c r="D67" t="s">
        <v>4</v>
      </c>
      <c r="E67" t="str">
        <f>IF(COUNTIF(Technologie_Wszystkie[IdxWspolny],Technologie_Wszystkie[[#This Row],[IdxWspolny]])&gt;1,"DUBEL","OK")</f>
        <v>OK</v>
      </c>
    </row>
    <row r="68" spans="1:5" x14ac:dyDescent="0.25">
      <c r="A68" t="s">
        <v>1487</v>
      </c>
      <c r="B68" t="s">
        <v>1488</v>
      </c>
      <c r="C68" t="s">
        <v>5</v>
      </c>
      <c r="D68" t="s">
        <v>31</v>
      </c>
      <c r="E68" t="str">
        <f>IF(COUNTIF(Technologie_Wszystkie[IdxWspolny],Technologie_Wszystkie[[#This Row],[IdxWspolny]])&gt;1,"DUBEL","OK")</f>
        <v>OK</v>
      </c>
    </row>
    <row r="69" spans="1:5" x14ac:dyDescent="0.25">
      <c r="A69" t="s">
        <v>3764</v>
      </c>
      <c r="B69" t="s">
        <v>3765</v>
      </c>
      <c r="C69" t="s">
        <v>5</v>
      </c>
      <c r="D69" t="s">
        <v>2883</v>
      </c>
      <c r="E69" t="str">
        <f>IF(COUNTIF(Technologie_Wszystkie[IdxWspolny],Technologie_Wszystkie[[#This Row],[IdxWspolny]])&gt;1,"DUBEL","OK")</f>
        <v>OK</v>
      </c>
    </row>
    <row r="70" spans="1:5" x14ac:dyDescent="0.25">
      <c r="A70" t="s">
        <v>2529</v>
      </c>
      <c r="B70" t="s">
        <v>2530</v>
      </c>
      <c r="C70" t="s">
        <v>5</v>
      </c>
      <c r="D70" t="s">
        <v>2469</v>
      </c>
      <c r="E70" t="str">
        <f>IF(COUNTIF(Technologie_Wszystkie[IdxWspolny],Technologie_Wszystkie[[#This Row],[IdxWspolny]])&gt;1,"DUBEL","OK")</f>
        <v>OK</v>
      </c>
    </row>
    <row r="71" spans="1:5" x14ac:dyDescent="0.25">
      <c r="A71" t="s">
        <v>3407</v>
      </c>
      <c r="B71" t="s">
        <v>3408</v>
      </c>
      <c r="C71" t="s">
        <v>5</v>
      </c>
      <c r="D71" t="s">
        <v>70</v>
      </c>
      <c r="E71" t="str">
        <f>IF(COUNTIF(Technologie_Wszystkie[IdxWspolny],Technologie_Wszystkie[[#This Row],[IdxWspolny]])&gt;1,"DUBEL","OK")</f>
        <v>OK</v>
      </c>
    </row>
    <row r="72" spans="1:5" x14ac:dyDescent="0.25">
      <c r="A72" t="s">
        <v>2947</v>
      </c>
      <c r="B72" t="s">
        <v>5469</v>
      </c>
      <c r="C72" t="s">
        <v>5</v>
      </c>
      <c r="D72" t="s">
        <v>70</v>
      </c>
      <c r="E72" t="str">
        <f>IF(COUNTIF(Technologie_Wszystkie[IdxWspolny],Technologie_Wszystkie[[#This Row],[IdxWspolny]])&gt;1,"DUBEL","OK")</f>
        <v>OK</v>
      </c>
    </row>
    <row r="73" spans="1:5" hidden="1" x14ac:dyDescent="0.25"/>
    <row r="74" spans="1:5" x14ac:dyDescent="0.25">
      <c r="A74" t="s">
        <v>2509</v>
      </c>
      <c r="B74" t="s">
        <v>2510</v>
      </c>
      <c r="C74" t="s">
        <v>5</v>
      </c>
      <c r="D74" t="s">
        <v>216</v>
      </c>
      <c r="E74" t="str">
        <f>IF(COUNTIF(Technologie_Wszystkie[IdxWspolny],Technologie_Wszystkie[[#This Row],[IdxWspolny]])&gt;1,"DUBEL","OK")</f>
        <v>OK</v>
      </c>
    </row>
    <row r="75" spans="1:5" hidden="1" x14ac:dyDescent="0.25"/>
    <row r="76" spans="1:5" x14ac:dyDescent="0.25">
      <c r="A76" t="s">
        <v>1123</v>
      </c>
      <c r="B76" t="s">
        <v>1124</v>
      </c>
      <c r="C76" t="s">
        <v>5</v>
      </c>
      <c r="D76" t="s">
        <v>70</v>
      </c>
      <c r="E76" t="str">
        <f>IF(COUNTIF(Technologie_Wszystkie[IdxWspolny],Technologie_Wszystkie[[#This Row],[IdxWspolny]])&gt;1,"DUBEL","OK")</f>
        <v>OK</v>
      </c>
    </row>
    <row r="77" spans="1:5" x14ac:dyDescent="0.25">
      <c r="A77" t="s">
        <v>3280</v>
      </c>
      <c r="B77" t="s">
        <v>3281</v>
      </c>
      <c r="C77" t="s">
        <v>5</v>
      </c>
      <c r="D77" t="s">
        <v>876</v>
      </c>
      <c r="E77" t="str">
        <f>IF(COUNTIF(Technologie_Wszystkie[IdxWspolny],Technologie_Wszystkie[[#This Row],[IdxWspolny]])&gt;1,"DUBEL","OK")</f>
        <v>OK</v>
      </c>
    </row>
    <row r="78" spans="1:5" x14ac:dyDescent="0.25">
      <c r="A78" t="s">
        <v>2479</v>
      </c>
      <c r="B78" t="s">
        <v>2480</v>
      </c>
      <c r="C78" t="s">
        <v>5</v>
      </c>
      <c r="D78" t="s">
        <v>2469</v>
      </c>
      <c r="E78" t="str">
        <f>IF(COUNTIF(Technologie_Wszystkie[IdxWspolny],Technologie_Wszystkie[[#This Row],[IdxWspolny]])&gt;1,"DUBEL","OK")</f>
        <v>OK</v>
      </c>
    </row>
    <row r="79" spans="1:5" x14ac:dyDescent="0.25">
      <c r="A79" t="s">
        <v>2467</v>
      </c>
      <c r="B79" t="s">
        <v>2468</v>
      </c>
      <c r="C79" t="s">
        <v>5</v>
      </c>
      <c r="D79" t="s">
        <v>2469</v>
      </c>
      <c r="E79" t="str">
        <f>IF(COUNTIF(Technologie_Wszystkie[IdxWspolny],Technologie_Wszystkie[[#This Row],[IdxWspolny]])&gt;1,"DUBEL","OK")</f>
        <v>OK</v>
      </c>
    </row>
    <row r="80" spans="1:5" x14ac:dyDescent="0.25">
      <c r="A80" t="s">
        <v>5478</v>
      </c>
      <c r="B80" t="s">
        <v>5479</v>
      </c>
      <c r="C80" t="s">
        <v>5</v>
      </c>
      <c r="D80" t="s">
        <v>70</v>
      </c>
      <c r="E80" t="str">
        <f>IF(COUNTIF(Technologie_Wszystkie[IdxWspolny],Technologie_Wszystkie[[#This Row],[IdxWspolny]])&gt;1,"DUBEL","OK")</f>
        <v>OK</v>
      </c>
    </row>
    <row r="81" spans="1:5" x14ac:dyDescent="0.25">
      <c r="A81" t="s">
        <v>3780</v>
      </c>
      <c r="B81" t="s">
        <v>3781</v>
      </c>
      <c r="C81" t="s">
        <v>5</v>
      </c>
      <c r="D81" t="s">
        <v>3586</v>
      </c>
      <c r="E81" t="str">
        <f>IF(COUNTIF(Technologie_Wszystkie[IdxWspolny],Technologie_Wszystkie[[#This Row],[IdxWspolny]])&gt;1,"DUBEL","OK")</f>
        <v>OK</v>
      </c>
    </row>
    <row r="82" spans="1:5" x14ac:dyDescent="0.25">
      <c r="A82" t="s">
        <v>1058</v>
      </c>
      <c r="B82" t="s">
        <v>1059</v>
      </c>
      <c r="C82" t="s">
        <v>5</v>
      </c>
      <c r="D82" t="s">
        <v>216</v>
      </c>
      <c r="E82" t="str">
        <f>IF(COUNTIF(Technologie_Wszystkie[IdxWspolny],Technologie_Wszystkie[[#This Row],[IdxWspolny]])&gt;1,"DUBEL","OK")</f>
        <v>OK</v>
      </c>
    </row>
    <row r="83" spans="1:5" x14ac:dyDescent="0.25">
      <c r="A83" t="s">
        <v>2474</v>
      </c>
      <c r="B83" t="s">
        <v>2475</v>
      </c>
      <c r="C83" t="s">
        <v>5</v>
      </c>
      <c r="D83" t="s">
        <v>2469</v>
      </c>
      <c r="E83" t="str">
        <f>IF(COUNTIF(Technologie_Wszystkie[IdxWspolny],Technologie_Wszystkie[[#This Row],[IdxWspolny]])&gt;1,"DUBEL","OK")</f>
        <v>OK</v>
      </c>
    </row>
    <row r="84" spans="1:5" x14ac:dyDescent="0.25">
      <c r="A84" t="s">
        <v>3770</v>
      </c>
      <c r="B84" t="s">
        <v>3771</v>
      </c>
      <c r="C84" t="s">
        <v>5</v>
      </c>
      <c r="D84" t="s">
        <v>216</v>
      </c>
      <c r="E84" t="str">
        <f>IF(COUNTIF(Technologie_Wszystkie[IdxWspolny],Technologie_Wszystkie[[#This Row],[IdxWspolny]])&gt;1,"DUBEL","OK")</f>
        <v>OK</v>
      </c>
    </row>
    <row r="85" spans="1:5" x14ac:dyDescent="0.25">
      <c r="A85" t="s">
        <v>1785</v>
      </c>
      <c r="B85" t="s">
        <v>1786</v>
      </c>
      <c r="C85" t="s">
        <v>5</v>
      </c>
      <c r="D85" t="s">
        <v>216</v>
      </c>
      <c r="E85" t="str">
        <f>IF(COUNTIF(Technologie_Wszystkie[IdxWspolny],Technologie_Wszystkie[[#This Row],[IdxWspolny]])&gt;1,"DUBEL","OK")</f>
        <v>OK</v>
      </c>
    </row>
    <row r="86" spans="1:5" x14ac:dyDescent="0.25">
      <c r="A86" t="s">
        <v>1128</v>
      </c>
      <c r="B86" t="s">
        <v>1129</v>
      </c>
      <c r="C86" t="s">
        <v>5</v>
      </c>
      <c r="D86" t="s">
        <v>31</v>
      </c>
      <c r="E86" t="str">
        <f>IF(COUNTIF(Technologie_Wszystkie[IdxWspolny],Technologie_Wszystkie[[#This Row],[IdxWspolny]])&gt;1,"DUBEL","OK")</f>
        <v>OK</v>
      </c>
    </row>
    <row r="87" spans="1:5" x14ac:dyDescent="0.25">
      <c r="A87" t="s">
        <v>1117</v>
      </c>
      <c r="B87" t="s">
        <v>1118</v>
      </c>
      <c r="C87" t="s">
        <v>5</v>
      </c>
      <c r="D87" t="s">
        <v>876</v>
      </c>
      <c r="E87" t="str">
        <f>IF(COUNTIF(Technologie_Wszystkie[IdxWspolny],Technologie_Wszystkie[[#This Row],[IdxWspolny]])&gt;1,"DUBEL","OK")</f>
        <v>OK</v>
      </c>
    </row>
    <row r="88" spans="1:5" x14ac:dyDescent="0.25">
      <c r="A88" t="s">
        <v>1203</v>
      </c>
      <c r="B88" t="s">
        <v>1204</v>
      </c>
      <c r="C88" t="s">
        <v>5</v>
      </c>
      <c r="D88" t="s">
        <v>1232</v>
      </c>
      <c r="E88" t="str">
        <f>IF(COUNTIF(Technologie_Wszystkie[IdxWspolny],Technologie_Wszystkie[[#This Row],[IdxWspolny]])&gt;1,"DUBEL","OK")</f>
        <v>OK</v>
      </c>
    </row>
    <row r="89" spans="1:5" x14ac:dyDescent="0.25">
      <c r="A89" t="s">
        <v>429</v>
      </c>
      <c r="B89" t="s">
        <v>430</v>
      </c>
      <c r="C89" t="s">
        <v>5</v>
      </c>
      <c r="D89" t="s">
        <v>145</v>
      </c>
      <c r="E89" t="str">
        <f>IF(COUNTIF(Technologie_Wszystkie[IdxWspolny],Technologie_Wszystkie[[#This Row],[IdxWspolny]])&gt;1,"DUBEL","OK")</f>
        <v>OK</v>
      </c>
    </row>
    <row r="90" spans="1:5" x14ac:dyDescent="0.25">
      <c r="A90" t="s">
        <v>3693</v>
      </c>
      <c r="B90" t="s">
        <v>3694</v>
      </c>
      <c r="C90" t="s">
        <v>5</v>
      </c>
      <c r="D90" t="s">
        <v>1394</v>
      </c>
      <c r="E90" t="str">
        <f>IF(COUNTIF(Technologie_Wszystkie[IdxWspolny],Technologie_Wszystkie[[#This Row],[IdxWspolny]])&gt;1,"DUBEL","OK")</f>
        <v>OK</v>
      </c>
    </row>
    <row r="91" spans="1:5" x14ac:dyDescent="0.25">
      <c r="A91" t="s">
        <v>5094</v>
      </c>
      <c r="B91" t="s">
        <v>5095</v>
      </c>
      <c r="C91" t="s">
        <v>5</v>
      </c>
      <c r="D91" t="s">
        <v>651</v>
      </c>
      <c r="E91" t="str">
        <f>IF(COUNTIF(Technologie_Wszystkie[IdxWspolny],Technologie_Wszystkie[[#This Row],[IdxWspolny]])&gt;1,"DUBEL","OK")</f>
        <v>OK</v>
      </c>
    </row>
    <row r="92" spans="1:5" x14ac:dyDescent="0.25">
      <c r="A92" t="s">
        <v>3767</v>
      </c>
      <c r="B92" t="s">
        <v>3768</v>
      </c>
      <c r="C92" t="s">
        <v>5</v>
      </c>
      <c r="D92" t="s">
        <v>1101</v>
      </c>
      <c r="E92" t="str">
        <f>IF(COUNTIF(Technologie_Wszystkie[IdxWspolny],Technologie_Wszystkie[[#This Row],[IdxWspolny]])&gt;1,"DUBEL","OK")</f>
        <v>OK</v>
      </c>
    </row>
    <row r="93" spans="1:5" x14ac:dyDescent="0.25">
      <c r="A93" t="s">
        <v>1099</v>
      </c>
      <c r="B93" t="s">
        <v>1100</v>
      </c>
      <c r="C93" t="s">
        <v>49</v>
      </c>
      <c r="D93" t="s">
        <v>1101</v>
      </c>
      <c r="E93" t="str">
        <f>IF(COUNTIF(Technologie_Wszystkie[IdxWspolny],Technologie_Wszystkie[[#This Row],[IdxWspolny]])&gt;1,"DUBEL","OK")</f>
        <v>OK</v>
      </c>
    </row>
    <row r="94" spans="1:5" x14ac:dyDescent="0.25">
      <c r="A94" t="s">
        <v>4039</v>
      </c>
      <c r="B94" t="s">
        <v>4040</v>
      </c>
      <c r="C94" t="s">
        <v>17</v>
      </c>
      <c r="D94" t="s">
        <v>216</v>
      </c>
      <c r="E94" t="str">
        <f>IF(COUNTIF(Technologie_Wszystkie[IdxWspolny],Technologie_Wszystkie[[#This Row],[IdxWspolny]])&gt;1,"DUBEL","OK")</f>
        <v>OK</v>
      </c>
    </row>
    <row r="95" spans="1:5" x14ac:dyDescent="0.25">
      <c r="A95" t="s">
        <v>1442</v>
      </c>
      <c r="B95" t="s">
        <v>1443</v>
      </c>
      <c r="C95" t="s">
        <v>17</v>
      </c>
      <c r="D95" t="s">
        <v>1444</v>
      </c>
      <c r="E95" t="str">
        <f>IF(COUNTIF(Technologie_Wszystkie[IdxWspolny],Technologie_Wszystkie[[#This Row],[IdxWspolny]])&gt;1,"DUBEL","OK")</f>
        <v>OK</v>
      </c>
    </row>
    <row r="96" spans="1:5" x14ac:dyDescent="0.25">
      <c r="A96" t="s">
        <v>1047</v>
      </c>
      <c r="B96" t="s">
        <v>1048</v>
      </c>
      <c r="C96" t="s">
        <v>17</v>
      </c>
      <c r="D96" t="s">
        <v>1049</v>
      </c>
      <c r="E96" t="str">
        <f>IF(COUNTIF(Technologie_Wszystkie[IdxWspolny],Technologie_Wszystkie[[#This Row],[IdxWspolny]])&gt;1,"DUBEL","OK")</f>
        <v>OK</v>
      </c>
    </row>
    <row r="97" spans="1:5" x14ac:dyDescent="0.25">
      <c r="A97" t="s">
        <v>2175</v>
      </c>
      <c r="B97" t="s">
        <v>2176</v>
      </c>
      <c r="C97" t="s">
        <v>2177</v>
      </c>
      <c r="D97" t="s">
        <v>1408</v>
      </c>
      <c r="E97" t="str">
        <f>IF(COUNTIF(Technologie_Wszystkie[IdxWspolny],Technologie_Wszystkie[[#This Row],[IdxWspolny]])&gt;1,"DUBEL","OK")</f>
        <v>OK</v>
      </c>
    </row>
    <row r="98" spans="1:5" x14ac:dyDescent="0.25">
      <c r="A98" t="s">
        <v>4122</v>
      </c>
      <c r="B98" t="s">
        <v>4123</v>
      </c>
      <c r="C98" t="s">
        <v>17</v>
      </c>
      <c r="D98" t="s">
        <v>4124</v>
      </c>
      <c r="E98" t="str">
        <f>IF(COUNTIF(Technologie_Wszystkie[IdxWspolny],Technologie_Wszystkie[[#This Row],[IdxWspolny]])&gt;1,"DUBEL","OK")</f>
        <v>OK</v>
      </c>
    </row>
    <row r="99" spans="1:5" x14ac:dyDescent="0.25">
      <c r="A99" t="s">
        <v>4398</v>
      </c>
      <c r="B99" t="s">
        <v>4399</v>
      </c>
      <c r="C99" t="s">
        <v>17</v>
      </c>
      <c r="D99" t="s">
        <v>1768</v>
      </c>
      <c r="E99" t="str">
        <f>IF(COUNTIF(Technologie_Wszystkie[IdxWspolny],Technologie_Wszystkie[[#This Row],[IdxWspolny]])&gt;1,"DUBEL","OK")</f>
        <v>OK</v>
      </c>
    </row>
    <row r="100" spans="1:5" x14ac:dyDescent="0.25">
      <c r="A100" t="s">
        <v>2405</v>
      </c>
      <c r="B100" t="s">
        <v>2406</v>
      </c>
      <c r="C100" t="s">
        <v>17</v>
      </c>
      <c r="D100" t="s">
        <v>1768</v>
      </c>
      <c r="E100" t="str">
        <f>IF(COUNTIF(Technologie_Wszystkie[IdxWspolny],Technologie_Wszystkie[[#This Row],[IdxWspolny]])&gt;1,"DUBEL","OK")</f>
        <v>OK</v>
      </c>
    </row>
    <row r="101" spans="1:5" x14ac:dyDescent="0.25">
      <c r="A101" t="s">
        <v>1041</v>
      </c>
      <c r="B101" t="s">
        <v>1042</v>
      </c>
      <c r="C101" t="s">
        <v>17</v>
      </c>
      <c r="D101" t="s">
        <v>712</v>
      </c>
      <c r="E101" t="str">
        <f>IF(COUNTIF(Technologie_Wszystkie[IdxWspolny],Technologie_Wszystkie[[#This Row],[IdxWspolny]])&gt;1,"DUBEL","OK")</f>
        <v>OK</v>
      </c>
    </row>
    <row r="102" spans="1:5" ht="14.25" hidden="1" customHeight="1" x14ac:dyDescent="0.25"/>
    <row r="103" spans="1:5" x14ac:dyDescent="0.25">
      <c r="A103" t="s">
        <v>2760</v>
      </c>
      <c r="B103" t="s">
        <v>2761</v>
      </c>
      <c r="C103" t="s">
        <v>121</v>
      </c>
      <c r="D103" t="s">
        <v>1768</v>
      </c>
      <c r="E103" t="str">
        <f>IF(COUNTIF(Technologie_Wszystkie[IdxWspolny],Technologie_Wszystkie[[#This Row],[IdxWspolny]])&gt;1,"DUBEL","OK")</f>
        <v>OK</v>
      </c>
    </row>
    <row r="104" spans="1:5" x14ac:dyDescent="0.25">
      <c r="A104" t="s">
        <v>3521</v>
      </c>
      <c r="B104" t="s">
        <v>3522</v>
      </c>
      <c r="C104" t="s">
        <v>121</v>
      </c>
      <c r="D104" t="s">
        <v>1768</v>
      </c>
      <c r="E104" t="str">
        <f>IF(COUNTIF(Technologie_Wszystkie[IdxWspolny],Technologie_Wszystkie[[#This Row],[IdxWspolny]])&gt;1,"DUBEL","OK")</f>
        <v>OK</v>
      </c>
    </row>
    <row r="105" spans="1:5" x14ac:dyDescent="0.25">
      <c r="A105" t="s">
        <v>5262</v>
      </c>
      <c r="B105" t="s">
        <v>5263</v>
      </c>
      <c r="C105" t="s">
        <v>121</v>
      </c>
      <c r="D105" t="s">
        <v>5264</v>
      </c>
      <c r="E105" t="str">
        <f>IF(COUNTIF(Technologie_Wszystkie[IdxWspolny],Technologie_Wszystkie[[#This Row],[IdxWspolny]])&gt;1,"DUBEL","OK")</f>
        <v>OK</v>
      </c>
    </row>
    <row r="106" spans="1:5" x14ac:dyDescent="0.25">
      <c r="A106" t="s">
        <v>5216</v>
      </c>
      <c r="B106" t="s">
        <v>5217</v>
      </c>
      <c r="C106" t="s">
        <v>49</v>
      </c>
      <c r="D106" t="s">
        <v>1394</v>
      </c>
      <c r="E106" t="str">
        <f>IF(COUNTIF(Technologie_Wszystkie[IdxWspolny],Technologie_Wszystkie[[#This Row],[IdxWspolny]])&gt;1,"DUBEL","OK")</f>
        <v>OK</v>
      </c>
    </row>
    <row r="107" spans="1:5" x14ac:dyDescent="0.25">
      <c r="A107" t="s">
        <v>4608</v>
      </c>
      <c r="B107" t="s">
        <v>4609</v>
      </c>
      <c r="C107" t="s">
        <v>5</v>
      </c>
      <c r="D107" t="s">
        <v>83</v>
      </c>
      <c r="E107" t="str">
        <f>IF(COUNTIF(Technologie_Wszystkie[IdxWspolny],Technologie_Wszystkie[[#This Row],[IdxWspolny]])&gt;1,"DUBEL","OK")</f>
        <v>OK</v>
      </c>
    </row>
    <row r="108" spans="1:5" x14ac:dyDescent="0.25">
      <c r="A108" t="s">
        <v>2318</v>
      </c>
      <c r="B108" t="s">
        <v>2335</v>
      </c>
      <c r="C108" t="s">
        <v>17</v>
      </c>
      <c r="D108" t="s">
        <v>2336</v>
      </c>
      <c r="E108" t="str">
        <f>IF(COUNTIF(Technologie_Wszystkie[IdxWspolny],Technologie_Wszystkie[[#This Row],[IdxWspolny]])&gt;1,"DUBEL","OK")</f>
        <v>OK</v>
      </c>
    </row>
    <row r="109" spans="1:5" hidden="1" x14ac:dyDescent="0.25"/>
    <row r="110" spans="1:5" x14ac:dyDescent="0.25">
      <c r="A110" t="s">
        <v>1068</v>
      </c>
      <c r="B110" t="s">
        <v>1069</v>
      </c>
      <c r="C110" t="s">
        <v>5</v>
      </c>
      <c r="D110" t="s">
        <v>884</v>
      </c>
      <c r="E110" t="str">
        <f>IF(COUNTIF(Technologie_Wszystkie[IdxWspolny],Technologie_Wszystkie[[#This Row],[IdxWspolny]])&gt;1,"DUBEL","OK")</f>
        <v>OK</v>
      </c>
    </row>
    <row r="111" spans="1:5" x14ac:dyDescent="0.25">
      <c r="A111" t="s">
        <v>4749</v>
      </c>
      <c r="B111" t="s">
        <v>4750</v>
      </c>
      <c r="C111" t="s">
        <v>5</v>
      </c>
      <c r="D111" t="s">
        <v>4751</v>
      </c>
      <c r="E111" t="str">
        <f>IF(COUNTIF(Technologie_Wszystkie[IdxWspolny],Technologie_Wszystkie[[#This Row],[IdxWspolny]])&gt;1,"DUBEL","OK")</f>
        <v>OK</v>
      </c>
    </row>
    <row r="112" spans="1:5" x14ac:dyDescent="0.25">
      <c r="A112" t="s">
        <v>2511</v>
      </c>
      <c r="B112" t="s">
        <v>2512</v>
      </c>
      <c r="C112" t="s">
        <v>17</v>
      </c>
      <c r="D112" t="s">
        <v>2513</v>
      </c>
      <c r="E112" t="str">
        <f>IF(COUNTIF(Technologie_Wszystkie[IdxWspolny],Technologie_Wszystkie[[#This Row],[IdxWspolny]])&gt;1,"DUBEL","OK")</f>
        <v>OK</v>
      </c>
    </row>
    <row r="113" spans="1:5" x14ac:dyDescent="0.25">
      <c r="A113" t="s">
        <v>2516</v>
      </c>
      <c r="B113" t="s">
        <v>2517</v>
      </c>
      <c r="C113" t="s">
        <v>17</v>
      </c>
      <c r="D113" t="s">
        <v>1110</v>
      </c>
      <c r="E113" t="str">
        <f>IF(COUNTIF(Technologie_Wszystkie[IdxWspolny],Technologie_Wszystkie[[#This Row],[IdxWspolny]])&gt;1,"DUBEL","OK")</f>
        <v>OK</v>
      </c>
    </row>
    <row r="114" spans="1:5" x14ac:dyDescent="0.25">
      <c r="A114" t="s">
        <v>2292</v>
      </c>
      <c r="B114" t="s">
        <v>2293</v>
      </c>
      <c r="C114" t="s">
        <v>17</v>
      </c>
      <c r="D114" t="s">
        <v>2294</v>
      </c>
      <c r="E114" t="str">
        <f>IF(COUNTIF(Technologie_Wszystkie[IdxWspolny],Technologie_Wszystkie[[#This Row],[IdxWspolny]])&gt;1,"DUBEL","OK")</f>
        <v>OK</v>
      </c>
    </row>
    <row r="115" spans="1:5" x14ac:dyDescent="0.25">
      <c r="A115" t="s">
        <v>2110</v>
      </c>
      <c r="B115" t="s">
        <v>2111</v>
      </c>
      <c r="C115" t="s">
        <v>17</v>
      </c>
      <c r="D115" t="s">
        <v>182</v>
      </c>
      <c r="E115" t="str">
        <f>IF(COUNTIF(Technologie_Wszystkie[IdxWspolny],Technologie_Wszystkie[[#This Row],[IdxWspolny]])&gt;1,"DUBEL","OK")</f>
        <v>OK</v>
      </c>
    </row>
    <row r="116" spans="1:5" x14ac:dyDescent="0.25">
      <c r="A116" t="s">
        <v>4411</v>
      </c>
      <c r="B116" t="s">
        <v>4412</v>
      </c>
      <c r="C116" t="s">
        <v>17</v>
      </c>
      <c r="D116" t="s">
        <v>4413</v>
      </c>
      <c r="E116" t="str">
        <f>IF(COUNTIF(Technologie_Wszystkie[IdxWspolny],Technologie_Wszystkie[[#This Row],[IdxWspolny]])&gt;1,"DUBEL","OK")</f>
        <v>OK</v>
      </c>
    </row>
    <row r="117" spans="1:5" x14ac:dyDescent="0.25">
      <c r="A117" t="s">
        <v>4342</v>
      </c>
      <c r="B117" t="s">
        <v>4343</v>
      </c>
      <c r="C117" t="s">
        <v>5</v>
      </c>
      <c r="D117" t="s">
        <v>70</v>
      </c>
      <c r="E117" t="str">
        <f>IF(COUNTIF(Technologie_Wszystkie[IdxWspolny],Technologie_Wszystkie[[#This Row],[IdxWspolny]])&gt;1,"DUBEL","OK")</f>
        <v>OK</v>
      </c>
    </row>
    <row r="118" spans="1:5" x14ac:dyDescent="0.25">
      <c r="A118" t="s">
        <v>3828</v>
      </c>
      <c r="B118" t="s">
        <v>3829</v>
      </c>
      <c r="C118" t="s">
        <v>5</v>
      </c>
      <c r="D118" t="s">
        <v>87</v>
      </c>
      <c r="E118" t="str">
        <f>IF(COUNTIF(Technologie_Wszystkie[IdxWspolny],Technologie_Wszystkie[[#This Row],[IdxWspolny]])&gt;1,"DUBEL","OK")</f>
        <v>OK</v>
      </c>
    </row>
    <row r="119" spans="1:5" x14ac:dyDescent="0.25">
      <c r="A119" t="s">
        <v>5020</v>
      </c>
      <c r="B119" t="s">
        <v>5021</v>
      </c>
      <c r="C119" t="s">
        <v>5</v>
      </c>
      <c r="D119" t="s">
        <v>216</v>
      </c>
      <c r="E119" t="str">
        <f>IF(COUNTIF(Technologie_Wszystkie[IdxWspolny],Technologie_Wszystkie[[#This Row],[IdxWspolny]])&gt;1,"DUBEL","OK")</f>
        <v>OK</v>
      </c>
    </row>
    <row r="120" spans="1:5" x14ac:dyDescent="0.25">
      <c r="A120" t="s">
        <v>3007</v>
      </c>
      <c r="B120" t="s">
        <v>3008</v>
      </c>
      <c r="C120" t="s">
        <v>5</v>
      </c>
      <c r="D120" t="s">
        <v>70</v>
      </c>
      <c r="E120" t="str">
        <f>IF(COUNTIF(Technologie_Wszystkie[IdxWspolny],Technologie_Wszystkie[[#This Row],[IdxWspolny]])&gt;1,"DUBEL","OK")</f>
        <v>OK</v>
      </c>
    </row>
    <row r="121" spans="1:5" x14ac:dyDescent="0.25">
      <c r="A121" t="s">
        <v>4951</v>
      </c>
      <c r="B121" t="s">
        <v>4952</v>
      </c>
      <c r="C121" t="s">
        <v>5</v>
      </c>
      <c r="D121" t="s">
        <v>1394</v>
      </c>
      <c r="E121" t="str">
        <f>IF(COUNTIF(Technologie_Wszystkie[IdxWspolny],Technologie_Wszystkie[[#This Row],[IdxWspolny]])&gt;1,"DUBEL","OK")</f>
        <v>OK</v>
      </c>
    </row>
    <row r="122" spans="1:5" x14ac:dyDescent="0.25">
      <c r="A122" t="s">
        <v>3355</v>
      </c>
      <c r="B122" t="s">
        <v>3356</v>
      </c>
      <c r="C122" t="s">
        <v>5</v>
      </c>
      <c r="D122" t="s">
        <v>70</v>
      </c>
      <c r="E122" t="str">
        <f>IF(COUNTIF(Technologie_Wszystkie[IdxWspolny],Technologie_Wszystkie[[#This Row],[IdxWspolny]])&gt;1,"DUBEL","OK")</f>
        <v>OK</v>
      </c>
    </row>
    <row r="123" spans="1:5" x14ac:dyDescent="0.25">
      <c r="A123" t="s">
        <v>3109</v>
      </c>
      <c r="B123" t="s">
        <v>3110</v>
      </c>
      <c r="C123" t="s">
        <v>5</v>
      </c>
      <c r="D123" t="s">
        <v>43</v>
      </c>
      <c r="E123" t="str">
        <f>IF(COUNTIF(Technologie_Wszystkie[IdxWspolny],Technologie_Wszystkie[[#This Row],[IdxWspolny]])&gt;1,"DUBEL","OK")</f>
        <v>OK</v>
      </c>
    </row>
    <row r="124" spans="1:5" x14ac:dyDescent="0.25">
      <c r="A124" t="s">
        <v>3026</v>
      </c>
      <c r="B124" t="s">
        <v>3027</v>
      </c>
      <c r="C124" t="s">
        <v>5</v>
      </c>
      <c r="D124" t="s">
        <v>70</v>
      </c>
      <c r="E124" t="str">
        <f>IF(COUNTIF(Technologie_Wszystkie[IdxWspolny],Technologie_Wszystkie[[#This Row],[IdxWspolny]])&gt;1,"DUBEL","OK")</f>
        <v>OK</v>
      </c>
    </row>
    <row r="125" spans="1:5" x14ac:dyDescent="0.25">
      <c r="A125" t="s">
        <v>3342</v>
      </c>
      <c r="B125" t="s">
        <v>3343</v>
      </c>
      <c r="C125" t="s">
        <v>5</v>
      </c>
      <c r="D125" t="s">
        <v>3344</v>
      </c>
      <c r="E125" t="str">
        <f>IF(COUNTIF(Technologie_Wszystkie[IdxWspolny],Technologie_Wszystkie[[#This Row],[IdxWspolny]])&gt;1,"DUBEL","OK")</f>
        <v>OK</v>
      </c>
    </row>
    <row r="126" spans="1:5" x14ac:dyDescent="0.25">
      <c r="A126" t="s">
        <v>3824</v>
      </c>
      <c r="B126" t="s">
        <v>3825</v>
      </c>
      <c r="C126" t="s">
        <v>5</v>
      </c>
      <c r="D126" t="s">
        <v>216</v>
      </c>
      <c r="E126" t="str">
        <f>IF(COUNTIF(Technologie_Wszystkie[IdxWspolny],Technologie_Wszystkie[[#This Row],[IdxWspolny]])&gt;1,"DUBEL","OK")</f>
        <v>OK</v>
      </c>
    </row>
    <row r="127" spans="1:5" x14ac:dyDescent="0.25">
      <c r="A127" t="s">
        <v>3893</v>
      </c>
      <c r="B127" t="s">
        <v>3894</v>
      </c>
      <c r="C127" t="s">
        <v>932</v>
      </c>
      <c r="D127" t="s">
        <v>70</v>
      </c>
      <c r="E127" t="str">
        <f>IF(COUNTIF(Technologie_Wszystkie[IdxWspolny],Technologie_Wszystkie[[#This Row],[IdxWspolny]])&gt;1,"DUBEL","OK")</f>
        <v>OK</v>
      </c>
    </row>
    <row r="128" spans="1:5" x14ac:dyDescent="0.25">
      <c r="A128" t="s">
        <v>4679</v>
      </c>
      <c r="B128" t="s">
        <v>4680</v>
      </c>
      <c r="C128" t="s">
        <v>5</v>
      </c>
      <c r="D128" t="s">
        <v>4681</v>
      </c>
      <c r="E128" t="str">
        <f>IF(COUNTIF(Technologie_Wszystkie[IdxWspolny],Technologie_Wszystkie[[#This Row],[IdxWspolny]])&gt;1,"DUBEL","OK")</f>
        <v>OK</v>
      </c>
    </row>
    <row r="129" spans="1:5" x14ac:dyDescent="0.25">
      <c r="A129" t="s">
        <v>3600</v>
      </c>
      <c r="B129" t="s">
        <v>3601</v>
      </c>
      <c r="C129" t="s">
        <v>17</v>
      </c>
      <c r="D129" t="s">
        <v>887</v>
      </c>
      <c r="E129" t="str">
        <f>IF(COUNTIF(Technologie_Wszystkie[IdxWspolny],Technologie_Wszystkie[[#This Row],[IdxWspolny]])&gt;1,"DUBEL","OK")</f>
        <v>OK</v>
      </c>
    </row>
    <row r="130" spans="1:5" x14ac:dyDescent="0.25">
      <c r="A130" t="s">
        <v>3715</v>
      </c>
      <c r="B130" t="s">
        <v>3716</v>
      </c>
      <c r="C130" t="s">
        <v>2378</v>
      </c>
      <c r="D130" t="s">
        <v>3189</v>
      </c>
      <c r="E130" t="str">
        <f>IF(COUNTIF(Technologie_Wszystkie[IdxWspolny],Technologie_Wszystkie[[#This Row],[IdxWspolny]])&gt;1,"DUBEL","OK")</f>
        <v>OK</v>
      </c>
    </row>
    <row r="131" spans="1:5" x14ac:dyDescent="0.25">
      <c r="A131" t="s">
        <v>3011</v>
      </c>
      <c r="B131" t="s">
        <v>3012</v>
      </c>
      <c r="C131" t="s">
        <v>932</v>
      </c>
      <c r="D131" t="s">
        <v>1394</v>
      </c>
      <c r="E131" t="str">
        <f>IF(COUNTIF(Technologie_Wszystkie[IdxWspolny],Technologie_Wszystkie[[#This Row],[IdxWspolny]])&gt;1,"DUBEL","OK")</f>
        <v>OK</v>
      </c>
    </row>
    <row r="132" spans="1:5" hidden="1" x14ac:dyDescent="0.25"/>
    <row r="133" spans="1:5" hidden="1" x14ac:dyDescent="0.25"/>
    <row r="134" spans="1:5" x14ac:dyDescent="0.25">
      <c r="A134" t="s">
        <v>1249</v>
      </c>
      <c r="B134" t="s">
        <v>3296</v>
      </c>
      <c r="C134" t="s">
        <v>1252</v>
      </c>
      <c r="D134" t="s">
        <v>1251</v>
      </c>
      <c r="E134" t="str">
        <f>IF(COUNTIF(Technologie_Wszystkie[IdxWspolny],Technologie_Wszystkie[[#This Row],[IdxWspolny]])&gt;1,"DUBEL","OK")</f>
        <v>OK</v>
      </c>
    </row>
    <row r="135" spans="1:5" x14ac:dyDescent="0.25">
      <c r="A135" t="s">
        <v>4552</v>
      </c>
      <c r="B135" t="s">
        <v>4553</v>
      </c>
      <c r="C135" t="s">
        <v>5</v>
      </c>
      <c r="D135" t="s">
        <v>4554</v>
      </c>
      <c r="E135" t="str">
        <f>IF(COUNTIF(Technologie_Wszystkie[IdxWspolny],Technologie_Wszystkie[[#This Row],[IdxWspolny]])&gt;1,"DUBEL","OK")</f>
        <v>OK</v>
      </c>
    </row>
    <row r="136" spans="1:5" x14ac:dyDescent="0.25">
      <c r="A136" t="s">
        <v>1022</v>
      </c>
      <c r="B136" t="s">
        <v>1023</v>
      </c>
      <c r="C136" t="s">
        <v>932</v>
      </c>
      <c r="D136" t="s">
        <v>1024</v>
      </c>
      <c r="E136" t="str">
        <f>IF(COUNTIF(Technologie_Wszystkie[IdxWspolny],Technologie_Wszystkie[[#This Row],[IdxWspolny]])&gt;1,"DUBEL","OK")</f>
        <v>OK</v>
      </c>
    </row>
    <row r="137" spans="1:5" x14ac:dyDescent="0.25">
      <c r="A137" t="s">
        <v>1121</v>
      </c>
      <c r="B137" t="s">
        <v>3585</v>
      </c>
      <c r="C137" t="s">
        <v>121</v>
      </c>
      <c r="D137" t="s">
        <v>3586</v>
      </c>
      <c r="E137" t="str">
        <f>IF(COUNTIF(Technologie_Wszystkie[IdxWspolny],Technologie_Wszystkie[[#This Row],[IdxWspolny]])&gt;1,"DUBEL","OK")</f>
        <v>OK</v>
      </c>
    </row>
    <row r="138" spans="1:5" x14ac:dyDescent="0.25">
      <c r="A138" t="s">
        <v>471</v>
      </c>
      <c r="B138" t="s">
        <v>472</v>
      </c>
      <c r="C138" t="s">
        <v>5</v>
      </c>
      <c r="D138" t="s">
        <v>553</v>
      </c>
      <c r="E138" t="str">
        <f>IF(COUNTIF(Technologie_Wszystkie[IdxWspolny],Technologie_Wszystkie[[#This Row],[IdxWspolny]])&gt;1,"DUBEL","OK")</f>
        <v>OK</v>
      </c>
    </row>
    <row r="139" spans="1:5" x14ac:dyDescent="0.25">
      <c r="A139" t="s">
        <v>507</v>
      </c>
      <c r="B139" t="s">
        <v>508</v>
      </c>
      <c r="C139" t="s">
        <v>5</v>
      </c>
      <c r="D139" t="s">
        <v>509</v>
      </c>
      <c r="E139" t="str">
        <f>IF(COUNTIF(Technologie_Wszystkie[IdxWspolny],Technologie_Wszystkie[[#This Row],[IdxWspolny]])&gt;1,"DUBEL","OK")</f>
        <v>OK</v>
      </c>
    </row>
    <row r="140" spans="1:5" x14ac:dyDescent="0.25">
      <c r="A140" t="s">
        <v>3255</v>
      </c>
      <c r="B140" t="s">
        <v>3256</v>
      </c>
      <c r="C140" t="s">
        <v>5</v>
      </c>
      <c r="D140" t="s">
        <v>3756</v>
      </c>
      <c r="E140" t="str">
        <f>IF(COUNTIF(Technologie_Wszystkie[IdxWspolny],Technologie_Wszystkie[[#This Row],[IdxWspolny]])&gt;1,"DUBEL","OK")</f>
        <v>OK</v>
      </c>
    </row>
    <row r="141" spans="1:5" x14ac:dyDescent="0.25">
      <c r="A141" t="s">
        <v>3937</v>
      </c>
      <c r="B141" t="s">
        <v>3938</v>
      </c>
      <c r="C141" t="s">
        <v>5</v>
      </c>
      <c r="D141" t="s">
        <v>1896</v>
      </c>
      <c r="E141" t="str">
        <f>IF(COUNTIF(Technologie_Wszystkie[IdxWspolny],Technologie_Wszystkie[[#This Row],[IdxWspolny]])&gt;1,"DUBEL","OK")</f>
        <v>OK</v>
      </c>
    </row>
    <row r="142" spans="1:5" hidden="1" x14ac:dyDescent="0.25"/>
    <row r="143" spans="1:5" x14ac:dyDescent="0.25">
      <c r="A143" t="s">
        <v>1207</v>
      </c>
      <c r="B143" t="s">
        <v>7206</v>
      </c>
      <c r="C143" t="s">
        <v>5</v>
      </c>
      <c r="D143" t="s">
        <v>1017</v>
      </c>
      <c r="E143" t="str">
        <f>IF(COUNTIF(Technologie_Wszystkie[IdxWspolny],Technologie_Wszystkie[[#This Row],[IdxWspolny]])&gt;1,"DUBEL","OK")</f>
        <v>OK</v>
      </c>
    </row>
    <row r="144" spans="1:5" x14ac:dyDescent="0.25">
      <c r="A144" t="s">
        <v>3063</v>
      </c>
      <c r="B144" t="s">
        <v>3064</v>
      </c>
      <c r="C144" t="s">
        <v>5</v>
      </c>
      <c r="D144" t="s">
        <v>1017</v>
      </c>
      <c r="E144" t="str">
        <f>IF(COUNTIF(Technologie_Wszystkie[IdxWspolny],Technologie_Wszystkie[[#This Row],[IdxWspolny]])&gt;1,"DUBEL","OK")</f>
        <v>OK</v>
      </c>
    </row>
    <row r="145" spans="1:5" x14ac:dyDescent="0.25">
      <c r="A145" t="s">
        <v>1296</v>
      </c>
      <c r="B145" t="s">
        <v>1297</v>
      </c>
      <c r="C145" t="s">
        <v>5</v>
      </c>
      <c r="D145" t="s">
        <v>1017</v>
      </c>
      <c r="E145" t="str">
        <f>IF(COUNTIF(Technologie_Wszystkie[IdxWspolny],Technologie_Wszystkie[[#This Row],[IdxWspolny]])&gt;1,"DUBEL","OK")</f>
        <v>OK</v>
      </c>
    </row>
    <row r="146" spans="1:5" x14ac:dyDescent="0.25">
      <c r="A146" t="s">
        <v>3790</v>
      </c>
      <c r="B146" t="s">
        <v>3791</v>
      </c>
      <c r="C146" t="s">
        <v>5</v>
      </c>
      <c r="D146" t="s">
        <v>1017</v>
      </c>
      <c r="E146" t="str">
        <f>IF(COUNTIF(Technologie_Wszystkie[IdxWspolny],Technologie_Wszystkie[[#This Row],[IdxWspolny]])&gt;1,"DUBEL","OK")</f>
        <v>OK</v>
      </c>
    </row>
    <row r="147" spans="1:5" x14ac:dyDescent="0.25">
      <c r="A147" t="s">
        <v>1015</v>
      </c>
      <c r="B147" t="s">
        <v>1016</v>
      </c>
      <c r="C147" t="s">
        <v>5</v>
      </c>
      <c r="D147" t="s">
        <v>1017</v>
      </c>
      <c r="E147" t="str">
        <f>IF(COUNTIF(Technologie_Wszystkie[IdxWspolny],Technologie_Wszystkie[[#This Row],[IdxWspolny]])&gt;1,"DUBEL","OK")</f>
        <v>OK</v>
      </c>
    </row>
    <row r="148" spans="1:5" x14ac:dyDescent="0.25">
      <c r="A148" t="s">
        <v>1495</v>
      </c>
      <c r="B148" t="s">
        <v>1496</v>
      </c>
      <c r="C148" t="s">
        <v>5</v>
      </c>
      <c r="D148" t="s">
        <v>1017</v>
      </c>
      <c r="E148" t="str">
        <f>IF(COUNTIF(Technologie_Wszystkie[IdxWspolny],Technologie_Wszystkie[[#This Row],[IdxWspolny]])&gt;1,"DUBEL","OK")</f>
        <v>OK</v>
      </c>
    </row>
    <row r="149" spans="1:5" x14ac:dyDescent="0.25">
      <c r="A149" t="s">
        <v>4375</v>
      </c>
      <c r="B149" t="s">
        <v>4376</v>
      </c>
      <c r="C149" t="s">
        <v>5</v>
      </c>
      <c r="D149" t="s">
        <v>1017</v>
      </c>
      <c r="E149" t="str">
        <f>IF(COUNTIF(Technologie_Wszystkie[IdxWspolny],Technologie_Wszystkie[[#This Row],[IdxWspolny]])&gt;1,"DUBEL","OK")</f>
        <v>OK</v>
      </c>
    </row>
    <row r="150" spans="1:5" x14ac:dyDescent="0.25">
      <c r="A150" t="s">
        <v>3317</v>
      </c>
      <c r="B150" t="s">
        <v>3318</v>
      </c>
      <c r="C150" t="s">
        <v>5</v>
      </c>
      <c r="D150" t="s">
        <v>3756</v>
      </c>
      <c r="E150" t="str">
        <f>IF(COUNTIF(Technologie_Wszystkie[IdxWspolny],Technologie_Wszystkie[[#This Row],[IdxWspolny]])&gt;1,"DUBEL","OK")</f>
        <v>OK</v>
      </c>
    </row>
    <row r="151" spans="1:5" x14ac:dyDescent="0.25">
      <c r="A151" t="s">
        <v>4963</v>
      </c>
      <c r="B151" t="s">
        <v>4964</v>
      </c>
      <c r="C151" t="s">
        <v>5</v>
      </c>
      <c r="D151" t="s">
        <v>666</v>
      </c>
      <c r="E151" t="str">
        <f>IF(COUNTIF(Technologie_Wszystkie[IdxWspolny],Technologie_Wszystkie[[#This Row],[IdxWspolny]])&gt;1,"DUBEL","OK")</f>
        <v>OK</v>
      </c>
    </row>
    <row r="152" spans="1:5" x14ac:dyDescent="0.25">
      <c r="A152" t="s">
        <v>1502</v>
      </c>
      <c r="B152" t="s">
        <v>1503</v>
      </c>
      <c r="C152" t="s">
        <v>5</v>
      </c>
      <c r="D152" t="s">
        <v>1017</v>
      </c>
      <c r="E152" t="str">
        <f>IF(COUNTIF(Technologie_Wszystkie[IdxWspolny],Technologie_Wszystkie[[#This Row],[IdxWspolny]])&gt;1,"DUBEL","OK")</f>
        <v>OK</v>
      </c>
    </row>
    <row r="153" spans="1:5" x14ac:dyDescent="0.25">
      <c r="A153" t="s">
        <v>1508</v>
      </c>
      <c r="B153" t="s">
        <v>1509</v>
      </c>
      <c r="C153" t="s">
        <v>5</v>
      </c>
      <c r="D153" t="s">
        <v>1017</v>
      </c>
      <c r="E153" t="str">
        <f>IF(COUNTIF(Technologie_Wszystkie[IdxWspolny],Technologie_Wszystkie[[#This Row],[IdxWspolny]])&gt;1,"DUBEL","OK")</f>
        <v>OK</v>
      </c>
    </row>
    <row r="154" spans="1:5" x14ac:dyDescent="0.25">
      <c r="A154" t="s">
        <v>3565</v>
      </c>
      <c r="B154" t="s">
        <v>3566</v>
      </c>
      <c r="C154" t="s">
        <v>5</v>
      </c>
      <c r="D154" t="s">
        <v>1017</v>
      </c>
      <c r="E154" t="str">
        <f>IF(COUNTIF(Technologie_Wszystkie[IdxWspolny],Technologie_Wszystkie[[#This Row],[IdxWspolny]])&gt;1,"DUBEL","OK")</f>
        <v>OK</v>
      </c>
    </row>
    <row r="155" spans="1:5" x14ac:dyDescent="0.25">
      <c r="A155" t="s">
        <v>3510</v>
      </c>
      <c r="B155" t="s">
        <v>3511</v>
      </c>
      <c r="C155" t="s">
        <v>5</v>
      </c>
      <c r="D155" t="s">
        <v>1017</v>
      </c>
      <c r="E155" t="str">
        <f>IF(COUNTIF(Technologie_Wszystkie[IdxWspolny],Technologie_Wszystkie[[#This Row],[IdxWspolny]])&gt;1,"DUBEL","OK")</f>
        <v>OK</v>
      </c>
    </row>
    <row r="156" spans="1:5" x14ac:dyDescent="0.25">
      <c r="A156" t="s">
        <v>5102</v>
      </c>
      <c r="B156" t="s">
        <v>5103</v>
      </c>
      <c r="C156" t="s">
        <v>932</v>
      </c>
      <c r="D156" t="s">
        <v>3131</v>
      </c>
      <c r="E156" t="str">
        <f>IF(COUNTIF(Technologie_Wszystkie[IdxWspolny],Technologie_Wszystkie[[#This Row],[IdxWspolny]])&gt;1,"DUBEL","OK")</f>
        <v>OK</v>
      </c>
    </row>
    <row r="157" spans="1:5" x14ac:dyDescent="0.25">
      <c r="A157" t="s">
        <v>3941</v>
      </c>
      <c r="B157" t="s">
        <v>3942</v>
      </c>
      <c r="C157" t="s">
        <v>5</v>
      </c>
      <c r="D157" t="s">
        <v>311</v>
      </c>
      <c r="E157" t="str">
        <f>IF(COUNTIF(Technologie_Wszystkie[IdxWspolny],Technologie_Wszystkie[[#This Row],[IdxWspolny]])&gt;1,"DUBEL","OK")</f>
        <v>OK</v>
      </c>
    </row>
    <row r="158" spans="1:5" x14ac:dyDescent="0.25">
      <c r="A158" t="s">
        <v>2762</v>
      </c>
      <c r="B158" t="s">
        <v>2763</v>
      </c>
      <c r="C158" t="s">
        <v>5</v>
      </c>
      <c r="D158" t="s">
        <v>311</v>
      </c>
      <c r="E158" t="str">
        <f>IF(COUNTIF(Technologie_Wszystkie[IdxWspolny],Technologie_Wszystkie[[#This Row],[IdxWspolny]])&gt;1,"DUBEL","OK")</f>
        <v>OK</v>
      </c>
    </row>
    <row r="159" spans="1:5" x14ac:dyDescent="0.25">
      <c r="A159" t="s">
        <v>5266</v>
      </c>
      <c r="B159" t="s">
        <v>5267</v>
      </c>
      <c r="C159" t="s">
        <v>5</v>
      </c>
      <c r="D159" t="s">
        <v>311</v>
      </c>
      <c r="E159" t="str">
        <f>IF(COUNTIF(Technologie_Wszystkie[IdxWspolny],Technologie_Wszystkie[[#This Row],[IdxWspolny]])&gt;1,"DUBEL","OK")</f>
        <v>OK</v>
      </c>
    </row>
    <row r="160" spans="1:5" x14ac:dyDescent="0.25">
      <c r="A160" t="s">
        <v>3288</v>
      </c>
      <c r="B160" t="s">
        <v>3289</v>
      </c>
      <c r="C160" t="s">
        <v>5</v>
      </c>
      <c r="D160" t="s">
        <v>1970</v>
      </c>
      <c r="E160" t="str">
        <f>IF(COUNTIF(Technologie_Wszystkie[IdxWspolny],Technologie_Wszystkie[[#This Row],[IdxWspolny]])&gt;1,"DUBEL","OK")</f>
        <v>OK</v>
      </c>
    </row>
    <row r="161" spans="1:5" x14ac:dyDescent="0.25">
      <c r="A161" t="s">
        <v>1378</v>
      </c>
      <c r="B161" t="s">
        <v>1379</v>
      </c>
      <c r="C161" t="s">
        <v>5</v>
      </c>
      <c r="D161" t="s">
        <v>1043</v>
      </c>
      <c r="E161" t="str">
        <f>IF(COUNTIF(Technologie_Wszystkie[IdxWspolny],Technologie_Wszystkie[[#This Row],[IdxWspolny]])&gt;1,"DUBEL","OK")</f>
        <v>OK</v>
      </c>
    </row>
    <row r="162" spans="1:5" x14ac:dyDescent="0.25">
      <c r="A162" t="s">
        <v>1094</v>
      </c>
      <c r="B162" t="s">
        <v>1095</v>
      </c>
      <c r="C162" t="s">
        <v>5</v>
      </c>
      <c r="D162" t="s">
        <v>887</v>
      </c>
      <c r="E162" t="str">
        <f>IF(COUNTIF(Technologie_Wszystkie[IdxWspolny],Technologie_Wszystkie[[#This Row],[IdxWspolny]])&gt;1,"DUBEL","OK")</f>
        <v>OK</v>
      </c>
    </row>
    <row r="163" spans="1:5" x14ac:dyDescent="0.25">
      <c r="A163" t="s">
        <v>3818</v>
      </c>
      <c r="B163" t="s">
        <v>3819</v>
      </c>
      <c r="C163" t="s">
        <v>5</v>
      </c>
      <c r="D163" t="s">
        <v>3820</v>
      </c>
      <c r="E163" t="str">
        <f>IF(COUNTIF(Technologie_Wszystkie[IdxWspolny],Technologie_Wszystkie[[#This Row],[IdxWspolny]])&gt;1,"DUBEL","OK")</f>
        <v>OK</v>
      </c>
    </row>
    <row r="164" spans="1:5" x14ac:dyDescent="0.25">
      <c r="A164" t="s">
        <v>4331</v>
      </c>
      <c r="B164" t="s">
        <v>4332</v>
      </c>
      <c r="C164" t="s">
        <v>5</v>
      </c>
      <c r="D164" t="s">
        <v>712</v>
      </c>
      <c r="E164" t="str">
        <f>IF(COUNTIF(Technologie_Wszystkie[IdxWspolny],Technologie_Wszystkie[[#This Row],[IdxWspolny]])&gt;1,"DUBEL","OK")</f>
        <v>OK</v>
      </c>
    </row>
    <row r="165" spans="1:5" x14ac:dyDescent="0.25">
      <c r="A165" t="s">
        <v>3684</v>
      </c>
      <c r="B165" t="s">
        <v>3685</v>
      </c>
      <c r="C165" t="s">
        <v>5</v>
      </c>
      <c r="D165" t="s">
        <v>1768</v>
      </c>
      <c r="E165" t="str">
        <f>IF(COUNTIF(Technologie_Wszystkie[IdxWspolny],Technologie_Wszystkie[[#This Row],[IdxWspolny]])&gt;1,"DUBEL","OK")</f>
        <v>OK</v>
      </c>
    </row>
    <row r="166" spans="1:5" x14ac:dyDescent="0.25">
      <c r="A166" t="s">
        <v>3808</v>
      </c>
      <c r="B166" t="s">
        <v>3809</v>
      </c>
      <c r="C166" t="s">
        <v>5</v>
      </c>
      <c r="D166" t="s">
        <v>3795</v>
      </c>
      <c r="E166" t="str">
        <f>IF(COUNTIF(Technologie_Wszystkie[IdxWspolny],Technologie_Wszystkie[[#This Row],[IdxWspolny]])&gt;1,"DUBEL","OK")</f>
        <v>OK</v>
      </c>
    </row>
    <row r="167" spans="1:5" x14ac:dyDescent="0.25">
      <c r="A167" t="s">
        <v>3793</v>
      </c>
      <c r="B167" t="s">
        <v>3794</v>
      </c>
      <c r="C167" t="s">
        <v>5</v>
      </c>
      <c r="D167" t="s">
        <v>3795</v>
      </c>
      <c r="E167" t="str">
        <f>IF(COUNTIF(Technologie_Wszystkie[IdxWspolny],Technologie_Wszystkie[[#This Row],[IdxWspolny]])&gt;1,"DUBEL","OK")</f>
        <v>OK</v>
      </c>
    </row>
    <row r="168" spans="1:5" x14ac:dyDescent="0.25">
      <c r="A168" t="s">
        <v>3879</v>
      </c>
      <c r="B168" t="s">
        <v>3880</v>
      </c>
      <c r="C168" t="s">
        <v>5</v>
      </c>
      <c r="D168" t="s">
        <v>1888</v>
      </c>
      <c r="E168" t="str">
        <f>IF(COUNTIF(Technologie_Wszystkie[IdxWspolny],Technologie_Wszystkie[[#This Row],[IdxWspolny]])&gt;1,"DUBEL","OK")</f>
        <v>OK</v>
      </c>
    </row>
    <row r="169" spans="1:5" x14ac:dyDescent="0.25">
      <c r="A169" t="s">
        <v>3786</v>
      </c>
      <c r="B169" t="s">
        <v>3787</v>
      </c>
      <c r="C169" t="s">
        <v>5</v>
      </c>
      <c r="D169" t="s">
        <v>117</v>
      </c>
      <c r="E169" t="str">
        <f>IF(COUNTIF(Technologie_Wszystkie[IdxWspolny],Technologie_Wszystkie[[#This Row],[IdxWspolny]])&gt;1,"DUBEL","OK")</f>
        <v>OK</v>
      </c>
    </row>
    <row r="170" spans="1:5" x14ac:dyDescent="0.25">
      <c r="A170" t="s">
        <v>4200</v>
      </c>
      <c r="B170" t="s">
        <v>4201</v>
      </c>
      <c r="C170" t="s">
        <v>5</v>
      </c>
      <c r="D170" t="s">
        <v>1768</v>
      </c>
      <c r="E170" t="str">
        <f>IF(COUNTIF(Technologie_Wszystkie[IdxWspolny],Technologie_Wszystkie[[#This Row],[IdxWspolny]])&gt;1,"DUBEL","OK")</f>
        <v>OK</v>
      </c>
    </row>
    <row r="171" spans="1:5" x14ac:dyDescent="0.25">
      <c r="A171" t="s">
        <v>4947</v>
      </c>
      <c r="B171" t="s">
        <v>4948</v>
      </c>
      <c r="C171" t="s">
        <v>5</v>
      </c>
      <c r="D171" t="s">
        <v>117</v>
      </c>
      <c r="E171" t="str">
        <f>IF(COUNTIF(Technologie_Wszystkie[IdxWspolny],Technologie_Wszystkie[[#This Row],[IdxWspolny]])&gt;1,"DUBEL","OK")</f>
        <v>OK</v>
      </c>
    </row>
    <row r="172" spans="1:5" x14ac:dyDescent="0.25">
      <c r="A172" t="s">
        <v>3686</v>
      </c>
      <c r="B172" t="s">
        <v>3687</v>
      </c>
      <c r="C172" t="s">
        <v>5</v>
      </c>
      <c r="D172" t="s">
        <v>1768</v>
      </c>
      <c r="E172" t="str">
        <f>IF(COUNTIF(Technologie_Wszystkie[IdxWspolny],Technologie_Wszystkie[[#This Row],[IdxWspolny]])&gt;1,"DUBEL","OK")</f>
        <v>OK</v>
      </c>
    </row>
    <row r="173" spans="1:5" x14ac:dyDescent="0.25">
      <c r="A173" t="s">
        <v>3688</v>
      </c>
      <c r="B173" t="s">
        <v>3689</v>
      </c>
      <c r="C173" t="s">
        <v>5</v>
      </c>
      <c r="D173" t="s">
        <v>1768</v>
      </c>
      <c r="E173" t="str">
        <f>IF(COUNTIF(Technologie_Wszystkie[IdxWspolny],Technologie_Wszystkie[[#This Row],[IdxWspolny]])&gt;1,"DUBEL","OK")</f>
        <v>OK</v>
      </c>
    </row>
    <row r="174" spans="1:5" x14ac:dyDescent="0.25">
      <c r="A174" t="s">
        <v>3167</v>
      </c>
      <c r="B174" t="s">
        <v>3168</v>
      </c>
      <c r="C174" t="s">
        <v>17</v>
      </c>
      <c r="D174" t="s">
        <v>111</v>
      </c>
      <c r="E174" t="str">
        <f>IF(COUNTIF(Technologie_Wszystkie[IdxWspolny],Technologie_Wszystkie[[#This Row],[IdxWspolny]])&gt;1,"DUBEL","OK")</f>
        <v>OK</v>
      </c>
    </row>
    <row r="175" spans="1:5" x14ac:dyDescent="0.25">
      <c r="A175" t="s">
        <v>5184</v>
      </c>
      <c r="B175" t="s">
        <v>5185</v>
      </c>
      <c r="C175" t="s">
        <v>17</v>
      </c>
      <c r="D175" t="s">
        <v>1768</v>
      </c>
      <c r="E175" t="str">
        <f>IF(COUNTIF(Technologie_Wszystkie[IdxWspolny],Technologie_Wszystkie[[#This Row],[IdxWspolny]])&gt;1,"DUBEL","OK")</f>
        <v>OK</v>
      </c>
    </row>
    <row r="176" spans="1:5" x14ac:dyDescent="0.25">
      <c r="A176" t="s">
        <v>3087</v>
      </c>
      <c r="B176" t="s">
        <v>3088</v>
      </c>
      <c r="C176" t="s">
        <v>17</v>
      </c>
      <c r="D176" t="s">
        <v>3089</v>
      </c>
      <c r="E176" t="str">
        <f>IF(COUNTIF(Technologie_Wszystkie[IdxWspolny],Technologie_Wszystkie[[#This Row],[IdxWspolny]])&gt;1,"DUBEL","OK")</f>
        <v>OK</v>
      </c>
    </row>
    <row r="177" spans="1:5" x14ac:dyDescent="0.25">
      <c r="A177" t="s">
        <v>22</v>
      </c>
      <c r="B177" t="s">
        <v>23</v>
      </c>
      <c r="C177" t="s">
        <v>17</v>
      </c>
      <c r="D177" t="s">
        <v>3050</v>
      </c>
      <c r="E177" t="str">
        <f>IF(COUNTIF(Technologie_Wszystkie[IdxWspolny],Technologie_Wszystkie[[#This Row],[IdxWspolny]])&gt;1,"DUBEL","OK")</f>
        <v>OK</v>
      </c>
    </row>
    <row r="178" spans="1:5" x14ac:dyDescent="0.25">
      <c r="A178" t="s">
        <v>4980</v>
      </c>
      <c r="B178" t="s">
        <v>4981</v>
      </c>
      <c r="C178" t="s">
        <v>17</v>
      </c>
      <c r="D178" t="s">
        <v>117</v>
      </c>
      <c r="E178" t="str">
        <f>IF(COUNTIF(Technologie_Wszystkie[IdxWspolny],Technologie_Wszystkie[[#This Row],[IdxWspolny]])&gt;1,"DUBEL","OK")</f>
        <v>OK</v>
      </c>
    </row>
    <row r="179" spans="1:5" x14ac:dyDescent="0.25">
      <c r="A179" t="s">
        <v>4439</v>
      </c>
      <c r="B179" t="s">
        <v>4440</v>
      </c>
      <c r="C179" t="s">
        <v>17</v>
      </c>
      <c r="D179" t="s">
        <v>1043</v>
      </c>
      <c r="E179" t="str">
        <f>IF(COUNTIF(Technologie_Wszystkie[IdxWspolny],Technologie_Wszystkie[[#This Row],[IdxWspolny]])&gt;1,"DUBEL","OK")</f>
        <v>OK</v>
      </c>
    </row>
    <row r="180" spans="1:5" x14ac:dyDescent="0.25">
      <c r="A180" t="s">
        <v>5056</v>
      </c>
      <c r="B180" t="s">
        <v>5057</v>
      </c>
      <c r="C180" t="s">
        <v>17</v>
      </c>
      <c r="D180" t="s">
        <v>553</v>
      </c>
      <c r="E180" t="str">
        <f>IF(COUNTIF(Technologie_Wszystkie[IdxWspolny],Technologie_Wszystkie[[#This Row],[IdxWspolny]])&gt;1,"DUBEL","OK")</f>
        <v>OK</v>
      </c>
    </row>
    <row r="181" spans="1:5" x14ac:dyDescent="0.25">
      <c r="A181" t="s">
        <v>4284</v>
      </c>
      <c r="B181" t="s">
        <v>4285</v>
      </c>
      <c r="C181" t="s">
        <v>17</v>
      </c>
      <c r="D181" t="s">
        <v>4286</v>
      </c>
      <c r="E181" t="str">
        <f>IF(COUNTIF(Technologie_Wszystkie[IdxWspolny],Technologie_Wszystkie[[#This Row],[IdxWspolny]])&gt;1,"DUBEL","OK")</f>
        <v>OK</v>
      </c>
    </row>
    <row r="182" spans="1:5" x14ac:dyDescent="0.25">
      <c r="A182" t="s">
        <v>3523</v>
      </c>
      <c r="B182" t="s">
        <v>3524</v>
      </c>
      <c r="C182" t="s">
        <v>49</v>
      </c>
      <c r="D182" t="s">
        <v>3525</v>
      </c>
      <c r="E182" t="str">
        <f>IF(COUNTIF(Technologie_Wszystkie[IdxWspolny],Technologie_Wszystkie[[#This Row],[IdxWspolny]])&gt;1,"DUBEL","OK")</f>
        <v>OK</v>
      </c>
    </row>
    <row r="183" spans="1:5" x14ac:dyDescent="0.25">
      <c r="A183" t="s">
        <v>1996</v>
      </c>
      <c r="B183" t="s">
        <v>1997</v>
      </c>
      <c r="C183" t="s">
        <v>49</v>
      </c>
      <c r="D183" t="s">
        <v>1998</v>
      </c>
      <c r="E183" t="str">
        <f>IF(COUNTIF(Technologie_Wszystkie[IdxWspolny],Technologie_Wszystkie[[#This Row],[IdxWspolny]])&gt;1,"DUBEL","OK")</f>
        <v>OK</v>
      </c>
    </row>
    <row r="184" spans="1:5" x14ac:dyDescent="0.25">
      <c r="A184" t="s">
        <v>1956</v>
      </c>
      <c r="B184" t="s">
        <v>1957</v>
      </c>
      <c r="C184" t="s">
        <v>121</v>
      </c>
      <c r="D184" t="s">
        <v>1958</v>
      </c>
      <c r="E184" t="str">
        <f>IF(COUNTIF(Technologie_Wszystkie[IdxWspolny],Technologie_Wszystkie[[#This Row],[IdxWspolny]])&gt;1,"DUBEL","OK")</f>
        <v>OK</v>
      </c>
    </row>
    <row r="185" spans="1:5" x14ac:dyDescent="0.25">
      <c r="A185" t="s">
        <v>1999</v>
      </c>
      <c r="B185" t="s">
        <v>2000</v>
      </c>
      <c r="C185" t="s">
        <v>49</v>
      </c>
      <c r="D185" t="s">
        <v>2001</v>
      </c>
      <c r="E185" t="str">
        <f>IF(COUNTIF(Technologie_Wszystkie[IdxWspolny],Technologie_Wszystkie[[#This Row],[IdxWspolny]])&gt;1,"DUBEL","OK")</f>
        <v>OK</v>
      </c>
    </row>
    <row r="186" spans="1:5" x14ac:dyDescent="0.25">
      <c r="A186" t="s">
        <v>2832</v>
      </c>
      <c r="B186" t="s">
        <v>2833</v>
      </c>
      <c r="C186" t="s">
        <v>121</v>
      </c>
      <c r="D186" t="s">
        <v>2834</v>
      </c>
      <c r="E186" t="str">
        <f>IF(COUNTIF(Technologie_Wszystkie[IdxWspolny],Technologie_Wszystkie[[#This Row],[IdxWspolny]])&gt;1,"DUBEL","OK")</f>
        <v>OK</v>
      </c>
    </row>
    <row r="187" spans="1:5" x14ac:dyDescent="0.25">
      <c r="A187" t="s">
        <v>2765</v>
      </c>
      <c r="B187" t="s">
        <v>2766</v>
      </c>
      <c r="C187" t="s">
        <v>121</v>
      </c>
      <c r="D187" t="s">
        <v>2767</v>
      </c>
      <c r="E187" t="str">
        <f>IF(COUNTIF(Technologie_Wszystkie[IdxWspolny],Technologie_Wszystkie[[#This Row],[IdxWspolny]])&gt;1,"DUBEL","OK")</f>
        <v>OK</v>
      </c>
    </row>
    <row r="188" spans="1:5" x14ac:dyDescent="0.25">
      <c r="A188" t="s">
        <v>3526</v>
      </c>
      <c r="B188" t="s">
        <v>3527</v>
      </c>
      <c r="C188" t="s">
        <v>121</v>
      </c>
      <c r="D188" t="s">
        <v>3528</v>
      </c>
      <c r="E188" t="str">
        <f>IF(COUNTIF(Technologie_Wszystkie[IdxWspolny],Technologie_Wszystkie[[#This Row],[IdxWspolny]])&gt;1,"DUBEL","OK")</f>
        <v>OK</v>
      </c>
    </row>
    <row r="189" spans="1:5" x14ac:dyDescent="0.25">
      <c r="A189" t="s">
        <v>2877</v>
      </c>
      <c r="B189" t="s">
        <v>2878</v>
      </c>
      <c r="C189" t="s">
        <v>121</v>
      </c>
      <c r="D189" t="s">
        <v>2879</v>
      </c>
      <c r="E189" t="str">
        <f>IF(COUNTIF(Technologie_Wszystkie[IdxWspolny],Technologie_Wszystkie[[#This Row],[IdxWspolny]])&gt;1,"DUBEL","OK")</f>
        <v>OK</v>
      </c>
    </row>
    <row r="190" spans="1:5" x14ac:dyDescent="0.25">
      <c r="A190" t="s">
        <v>4649</v>
      </c>
      <c r="B190" t="s">
        <v>4650</v>
      </c>
      <c r="C190" t="s">
        <v>17</v>
      </c>
      <c r="D190" t="s">
        <v>1929</v>
      </c>
      <c r="E190" t="str">
        <f>IF(COUNTIF(Technologie_Wszystkie[IdxWspolny],Technologie_Wszystkie[[#This Row],[IdxWspolny]])&gt;1,"DUBEL","OK")</f>
        <v>OK</v>
      </c>
    </row>
    <row r="191" spans="1:5" x14ac:dyDescent="0.25">
      <c r="A191" t="s">
        <v>3946</v>
      </c>
      <c r="B191" t="s">
        <v>3947</v>
      </c>
      <c r="C191" t="s">
        <v>49</v>
      </c>
      <c r="D191" t="s">
        <v>3948</v>
      </c>
      <c r="E191" t="str">
        <f>IF(COUNTIF(Technologie_Wszystkie[IdxWspolny],Technologie_Wszystkie[[#This Row],[IdxWspolny]])&gt;1,"DUBEL","OK")</f>
        <v>OK</v>
      </c>
    </row>
    <row r="192" spans="1:5" x14ac:dyDescent="0.25">
      <c r="A192" t="s">
        <v>2672</v>
      </c>
      <c r="B192" t="s">
        <v>2673</v>
      </c>
      <c r="C192" t="s">
        <v>121</v>
      </c>
      <c r="D192" t="s">
        <v>2674</v>
      </c>
      <c r="E192" t="str">
        <f>IF(COUNTIF(Technologie_Wszystkie[IdxWspolny],Technologie_Wszystkie[[#This Row],[IdxWspolny]])&gt;1,"DUBEL","OK")</f>
        <v>OK</v>
      </c>
    </row>
    <row r="193" spans="1:5" x14ac:dyDescent="0.25">
      <c r="A193" t="s">
        <v>2029</v>
      </c>
      <c r="B193" t="s">
        <v>2030</v>
      </c>
      <c r="C193" t="s">
        <v>49</v>
      </c>
      <c r="D193" t="s">
        <v>2031</v>
      </c>
      <c r="E193" t="str">
        <f>IF(COUNTIF(Technologie_Wszystkie[IdxWspolny],Technologie_Wszystkie[[#This Row],[IdxWspolny]])&gt;1,"DUBEL","OK")</f>
        <v>OK</v>
      </c>
    </row>
    <row r="194" spans="1:5" x14ac:dyDescent="0.25">
      <c r="A194" t="s">
        <v>3202</v>
      </c>
      <c r="B194" t="s">
        <v>3203</v>
      </c>
      <c r="C194" t="s">
        <v>1857</v>
      </c>
      <c r="D194" t="s">
        <v>3204</v>
      </c>
      <c r="E194" t="str">
        <f>IF(COUNTIF(Technologie_Wszystkie[IdxWspolny],Technologie_Wszystkie[[#This Row],[IdxWspolny]])&gt;1,"DUBEL","OK")</f>
        <v>OK</v>
      </c>
    </row>
    <row r="195" spans="1:5" x14ac:dyDescent="0.25">
      <c r="A195" t="s">
        <v>926</v>
      </c>
      <c r="B195" t="s">
        <v>927</v>
      </c>
      <c r="C195" t="s">
        <v>5</v>
      </c>
      <c r="D195" t="s">
        <v>928</v>
      </c>
      <c r="E195" t="str">
        <f>IF(COUNTIF(Technologie_Wszystkie[IdxWspolny],Technologie_Wszystkie[[#This Row],[IdxWspolny]])&gt;1,"DUBEL","OK")</f>
        <v>OK</v>
      </c>
    </row>
    <row r="196" spans="1:5" x14ac:dyDescent="0.25">
      <c r="A196" t="s">
        <v>1882</v>
      </c>
      <c r="B196" t="s">
        <v>1883</v>
      </c>
      <c r="C196" t="s">
        <v>5</v>
      </c>
      <c r="D196" t="s">
        <v>1884</v>
      </c>
      <c r="E196" t="str">
        <f>IF(COUNTIF(Technologie_Wszystkie[IdxWspolny],Technologie_Wszystkie[[#This Row],[IdxWspolny]])&gt;1,"DUBEL","OK")</f>
        <v>OK</v>
      </c>
    </row>
    <row r="197" spans="1:5" x14ac:dyDescent="0.25">
      <c r="A197" t="s">
        <v>1886</v>
      </c>
      <c r="B197" t="s">
        <v>1887</v>
      </c>
      <c r="C197" t="s">
        <v>5</v>
      </c>
      <c r="D197" t="s">
        <v>1888</v>
      </c>
      <c r="E197" t="str">
        <f>IF(COUNTIF(Technologie_Wszystkie[IdxWspolny],Technologie_Wszystkie[[#This Row],[IdxWspolny]])&gt;1,"DUBEL","OK")</f>
        <v>OK</v>
      </c>
    </row>
    <row r="198" spans="1:5" x14ac:dyDescent="0.25">
      <c r="A198" t="s">
        <v>1003</v>
      </c>
      <c r="B198" t="s">
        <v>1004</v>
      </c>
      <c r="C198" t="s">
        <v>5</v>
      </c>
      <c r="D198" t="s">
        <v>1005</v>
      </c>
      <c r="E198" t="str">
        <f>IF(COUNTIF(Technologie_Wszystkie[IdxWspolny],Technologie_Wszystkie[[#This Row],[IdxWspolny]])&gt;1,"DUBEL","OK")</f>
        <v>OK</v>
      </c>
    </row>
    <row r="199" spans="1:5" x14ac:dyDescent="0.25">
      <c r="A199" t="s">
        <v>1074</v>
      </c>
      <c r="B199" t="s">
        <v>1075</v>
      </c>
      <c r="C199" t="s">
        <v>5</v>
      </c>
      <c r="D199" t="s">
        <v>1884</v>
      </c>
      <c r="E199" t="str">
        <f>IF(COUNTIF(Technologie_Wszystkie[IdxWspolny],Technologie_Wszystkie[[#This Row],[IdxWspolny]])&gt;1,"DUBEL","OK")</f>
        <v>OK</v>
      </c>
    </row>
    <row r="200" spans="1:5" x14ac:dyDescent="0.25">
      <c r="A200" t="s">
        <v>5344</v>
      </c>
      <c r="B200" t="s">
        <v>5345</v>
      </c>
      <c r="C200" t="s">
        <v>5</v>
      </c>
      <c r="D200" t="s">
        <v>1768</v>
      </c>
      <c r="E200" t="str">
        <f>IF(COUNTIF(Technologie_Wszystkie[IdxWspolny],Technologie_Wszystkie[[#This Row],[IdxWspolny]])&gt;1,"DUBEL","OK")</f>
        <v>OK</v>
      </c>
    </row>
    <row r="201" spans="1:5" x14ac:dyDescent="0.25">
      <c r="A201" t="s">
        <v>1890</v>
      </c>
      <c r="B201" t="s">
        <v>1891</v>
      </c>
      <c r="C201" t="s">
        <v>5</v>
      </c>
      <c r="D201" t="s">
        <v>1892</v>
      </c>
      <c r="E201" t="str">
        <f>IF(COUNTIF(Technologie_Wszystkie[IdxWspolny],Technologie_Wszystkie[[#This Row],[IdxWspolny]])&gt;1,"DUBEL","OK")</f>
        <v>OK</v>
      </c>
    </row>
    <row r="202" spans="1:5" x14ac:dyDescent="0.25">
      <c r="A202" t="s">
        <v>2768</v>
      </c>
      <c r="B202" t="s">
        <v>2769</v>
      </c>
      <c r="C202" t="s">
        <v>5</v>
      </c>
      <c r="D202" t="s">
        <v>311</v>
      </c>
      <c r="E202" t="str">
        <f>IF(COUNTIF(Technologie_Wszystkie[IdxWspolny],Technologie_Wszystkie[[#This Row],[IdxWspolny]])&gt;1,"DUBEL","OK")</f>
        <v>OK</v>
      </c>
    </row>
    <row r="203" spans="1:5" x14ac:dyDescent="0.25">
      <c r="A203" t="s">
        <v>3949</v>
      </c>
      <c r="B203" t="s">
        <v>3950</v>
      </c>
      <c r="C203" t="s">
        <v>39</v>
      </c>
      <c r="D203" t="s">
        <v>3951</v>
      </c>
      <c r="E203" t="str">
        <f>IF(COUNTIF(Technologie_Wszystkie[IdxWspolny],Technologie_Wszystkie[[#This Row],[IdxWspolny]])&gt;1,"DUBEL","OK")</f>
        <v>OK</v>
      </c>
    </row>
    <row r="204" spans="1:5" x14ac:dyDescent="0.25">
      <c r="A204" t="s">
        <v>3206</v>
      </c>
      <c r="B204" t="s">
        <v>3207</v>
      </c>
      <c r="C204" t="s">
        <v>5</v>
      </c>
      <c r="D204" t="s">
        <v>2750</v>
      </c>
      <c r="E204" t="str">
        <f>IF(COUNTIF(Technologie_Wszystkie[IdxWspolny],Technologie_Wszystkie[[#This Row],[IdxWspolny]])&gt;1,"DUBEL","OK")</f>
        <v>OK</v>
      </c>
    </row>
    <row r="205" spans="1:5" x14ac:dyDescent="0.25">
      <c r="A205" t="s">
        <v>1519</v>
      </c>
      <c r="B205" t="s">
        <v>1520</v>
      </c>
      <c r="C205" t="s">
        <v>5</v>
      </c>
      <c r="D205" t="s">
        <v>1521</v>
      </c>
      <c r="E205" t="str">
        <f>IF(COUNTIF(Technologie_Wszystkie[IdxWspolny],Technologie_Wszystkie[[#This Row],[IdxWspolny]])&gt;1,"DUBEL","OK")</f>
        <v>OK</v>
      </c>
    </row>
    <row r="206" spans="1:5" x14ac:dyDescent="0.25">
      <c r="A206" t="s">
        <v>1854</v>
      </c>
      <c r="B206" t="s">
        <v>1855</v>
      </c>
      <c r="C206" t="s">
        <v>1857</v>
      </c>
      <c r="D206" t="s">
        <v>1856</v>
      </c>
      <c r="E206" t="str">
        <f>IF(COUNTIF(Technologie_Wszystkie[IdxWspolny],Technologie_Wszystkie[[#This Row],[IdxWspolny]])&gt;1,"DUBEL","OK")</f>
        <v>OK</v>
      </c>
    </row>
    <row r="207" spans="1:5" x14ac:dyDescent="0.25">
      <c r="A207" t="s">
        <v>2730</v>
      </c>
      <c r="B207" t="s">
        <v>2731</v>
      </c>
      <c r="C207" t="s">
        <v>5</v>
      </c>
      <c r="D207" t="s">
        <v>2732</v>
      </c>
      <c r="E207" t="str">
        <f>IF(COUNTIF(Technologie_Wszystkie[IdxWspolny],Technologie_Wszystkie[[#This Row],[IdxWspolny]])&gt;1,"DUBEL","OK")</f>
        <v>OK</v>
      </c>
    </row>
    <row r="208" spans="1:5" x14ac:dyDescent="0.25">
      <c r="A208" t="s">
        <v>2913</v>
      </c>
      <c r="B208" t="s">
        <v>2914</v>
      </c>
      <c r="C208" t="s">
        <v>1857</v>
      </c>
      <c r="D208" t="s">
        <v>2915</v>
      </c>
      <c r="E208" t="str">
        <f>IF(COUNTIF(Technologie_Wszystkie[IdxWspolny],Technologie_Wszystkie[[#This Row],[IdxWspolny]])&gt;1,"DUBEL","OK")</f>
        <v>OK</v>
      </c>
    </row>
    <row r="209" spans="1:5" x14ac:dyDescent="0.25">
      <c r="A209" t="s">
        <v>3952</v>
      </c>
      <c r="B209" t="s">
        <v>3953</v>
      </c>
      <c r="C209" t="s">
        <v>5</v>
      </c>
      <c r="D209" t="s">
        <v>216</v>
      </c>
      <c r="E209" t="str">
        <f>IF(COUNTIF(Technologie_Wszystkie[IdxWspolny],Technologie_Wszystkie[[#This Row],[IdxWspolny]])&gt;1,"DUBEL","OK")</f>
        <v>OK</v>
      </c>
    </row>
    <row r="210" spans="1:5" hidden="1" x14ac:dyDescent="0.25"/>
    <row r="211" spans="1:5" x14ac:dyDescent="0.25">
      <c r="A211" t="s">
        <v>1894</v>
      </c>
      <c r="B211" t="s">
        <v>1895</v>
      </c>
      <c r="C211" t="s">
        <v>5</v>
      </c>
      <c r="D211" t="s">
        <v>1896</v>
      </c>
      <c r="E211" t="str">
        <f>IF(COUNTIF(Technologie_Wszystkie[IdxWspolny],Technologie_Wszystkie[[#This Row],[IdxWspolny]])&gt;1,"DUBEL","OK")</f>
        <v>OK</v>
      </c>
    </row>
    <row r="212" spans="1:5" x14ac:dyDescent="0.25">
      <c r="A212" t="s">
        <v>5347</v>
      </c>
      <c r="B212" t="s">
        <v>5348</v>
      </c>
      <c r="C212" t="s">
        <v>39</v>
      </c>
      <c r="D212" t="s">
        <v>1768</v>
      </c>
      <c r="E212" t="str">
        <f>IF(COUNTIF(Technologie_Wszystkie[IdxWspolny],Technologie_Wszystkie[[#This Row],[IdxWspolny]])&gt;1,"DUBEL","OK")</f>
        <v>OK</v>
      </c>
    </row>
    <row r="213" spans="1:5" x14ac:dyDescent="0.25">
      <c r="A213" t="s">
        <v>3382</v>
      </c>
      <c r="B213" t="s">
        <v>3383</v>
      </c>
      <c r="C213" t="s">
        <v>5</v>
      </c>
      <c r="D213" t="s">
        <v>3384</v>
      </c>
      <c r="E213" t="str">
        <f>IF(COUNTIF(Technologie_Wszystkie[IdxWspolny],Technologie_Wszystkie[[#This Row],[IdxWspolny]])&gt;1,"DUBEL","OK")</f>
        <v>OK</v>
      </c>
    </row>
    <row r="214" spans="1:5" x14ac:dyDescent="0.25">
      <c r="A214" t="s">
        <v>3077</v>
      </c>
      <c r="B214" t="s">
        <v>3078</v>
      </c>
      <c r="C214" t="s">
        <v>5</v>
      </c>
      <c r="D214" t="s">
        <v>2883</v>
      </c>
      <c r="E214" t="str">
        <f>IF(COUNTIF(Technologie_Wszystkie[IdxWspolny],Technologie_Wszystkie[[#This Row],[IdxWspolny]])&gt;1,"DUBEL","OK")</f>
        <v>OK</v>
      </c>
    </row>
    <row r="215" spans="1:5" x14ac:dyDescent="0.25">
      <c r="A215" t="s">
        <v>3986</v>
      </c>
      <c r="B215" t="s">
        <v>3987</v>
      </c>
      <c r="C215" t="s">
        <v>5</v>
      </c>
      <c r="D215" t="s">
        <v>3988</v>
      </c>
      <c r="E215" t="str">
        <f>IF(COUNTIF(Technologie_Wszystkie[IdxWspolny],Technologie_Wszystkie[[#This Row],[IdxWspolny]])&gt;1,"DUBEL","OK")</f>
        <v>OK</v>
      </c>
    </row>
    <row r="216" spans="1:5" x14ac:dyDescent="0.25">
      <c r="A216" t="s">
        <v>4312</v>
      </c>
      <c r="B216" t="s">
        <v>4313</v>
      </c>
      <c r="C216" t="s">
        <v>5</v>
      </c>
      <c r="D216" t="s">
        <v>131</v>
      </c>
      <c r="E216" t="str">
        <f>IF(COUNTIF(Technologie_Wszystkie[IdxWspolny],Technologie_Wszystkie[[#This Row],[IdxWspolny]])&gt;1,"DUBEL","OK")</f>
        <v>OK</v>
      </c>
    </row>
    <row r="217" spans="1:5" x14ac:dyDescent="0.25">
      <c r="A217" t="s">
        <v>2418</v>
      </c>
      <c r="B217" t="s">
        <v>2419</v>
      </c>
      <c r="C217" t="s">
        <v>49</v>
      </c>
      <c r="D217" t="s">
        <v>2420</v>
      </c>
      <c r="E217" t="str">
        <f>IF(COUNTIF(Technologie_Wszystkie[IdxWspolny],Technologie_Wszystkie[[#This Row],[IdxWspolny]])&gt;1,"DUBEL","OK")</f>
        <v>OK</v>
      </c>
    </row>
    <row r="218" spans="1:5" x14ac:dyDescent="0.25">
      <c r="A218" t="s">
        <v>930</v>
      </c>
      <c r="B218" t="s">
        <v>931</v>
      </c>
      <c r="C218" t="s">
        <v>932</v>
      </c>
      <c r="D218" t="s">
        <v>414</v>
      </c>
      <c r="E218" t="str">
        <f>IF(COUNTIF(Technologie_Wszystkie[IdxWspolny],Technologie_Wszystkie[[#This Row],[IdxWspolny]])&gt;1,"DUBEL","OK")</f>
        <v>OK</v>
      </c>
    </row>
    <row r="219" spans="1:5" x14ac:dyDescent="0.25">
      <c r="A219" t="s">
        <v>1907</v>
      </c>
      <c r="B219" t="s">
        <v>1908</v>
      </c>
      <c r="C219" t="s">
        <v>39</v>
      </c>
      <c r="D219" t="s">
        <v>1909</v>
      </c>
      <c r="E219" t="str">
        <f>IF(COUNTIF(Technologie_Wszystkie[IdxWspolny],Technologie_Wszystkie[[#This Row],[IdxWspolny]])&gt;1,"DUBEL","OK")</f>
        <v>OK</v>
      </c>
    </row>
    <row r="220" spans="1:5" x14ac:dyDescent="0.25">
      <c r="A220" t="s">
        <v>511</v>
      </c>
      <c r="B220" t="s">
        <v>512</v>
      </c>
      <c r="C220" t="s">
        <v>39</v>
      </c>
      <c r="D220" t="s">
        <v>513</v>
      </c>
      <c r="E220" t="str">
        <f>IF(COUNTIF(Technologie_Wszystkie[IdxWspolny],Technologie_Wszystkie[[#This Row],[IdxWspolny]])&gt;1,"DUBEL","OK")</f>
        <v>OK</v>
      </c>
    </row>
    <row r="221" spans="1:5" x14ac:dyDescent="0.25">
      <c r="A221" t="s">
        <v>1921</v>
      </c>
      <c r="B221" t="s">
        <v>1922</v>
      </c>
      <c r="C221" t="s">
        <v>39</v>
      </c>
      <c r="D221" t="s">
        <v>1923</v>
      </c>
      <c r="E221" t="str">
        <f>IF(COUNTIF(Technologie_Wszystkie[IdxWspolny],Technologie_Wszystkie[[#This Row],[IdxWspolny]])&gt;1,"DUBEL","OK")</f>
        <v>OK</v>
      </c>
    </row>
    <row r="222" spans="1:5" x14ac:dyDescent="0.25">
      <c r="A222" t="s">
        <v>475</v>
      </c>
      <c r="B222" t="s">
        <v>476</v>
      </c>
      <c r="C222" t="s">
        <v>39</v>
      </c>
      <c r="D222" t="s">
        <v>477</v>
      </c>
      <c r="E222" t="str">
        <f>IF(COUNTIF(Technologie_Wszystkie[IdxWspolny],Technologie_Wszystkie[[#This Row],[IdxWspolny]])&gt;1,"DUBEL","OK")</f>
        <v>OK</v>
      </c>
    </row>
    <row r="223" spans="1:5" x14ac:dyDescent="0.25">
      <c r="A223" t="s">
        <v>695</v>
      </c>
      <c r="B223" t="s">
        <v>696</v>
      </c>
      <c r="C223" t="s">
        <v>39</v>
      </c>
      <c r="D223" t="s">
        <v>501</v>
      </c>
      <c r="E223" t="str">
        <f>IF(COUNTIF(Technologie_Wszystkie[IdxWspolny],Technologie_Wszystkie[[#This Row],[IdxWspolny]])&gt;1,"DUBEL","OK")</f>
        <v>OK</v>
      </c>
    </row>
    <row r="224" spans="1:5" x14ac:dyDescent="0.25">
      <c r="A224" t="s">
        <v>2733</v>
      </c>
      <c r="B224" t="s">
        <v>2734</v>
      </c>
      <c r="C224" t="s">
        <v>39</v>
      </c>
      <c r="D224" t="s">
        <v>990</v>
      </c>
      <c r="E224" t="str">
        <f>IF(COUNTIF(Technologie_Wszystkie[IdxWspolny],Technologie_Wszystkie[[#This Row],[IdxWspolny]])&gt;1,"DUBEL","OK")</f>
        <v>OK</v>
      </c>
    </row>
    <row r="225" spans="1:5" x14ac:dyDescent="0.25">
      <c r="A225" t="s">
        <v>3452</v>
      </c>
      <c r="B225" t="s">
        <v>3453</v>
      </c>
      <c r="C225" t="s">
        <v>39</v>
      </c>
      <c r="D225" t="s">
        <v>1588</v>
      </c>
      <c r="E225" t="str">
        <f>IF(COUNTIF(Technologie_Wszystkie[IdxWspolny],Technologie_Wszystkie[[#This Row],[IdxWspolny]])&gt;1,"DUBEL","OK")</f>
        <v>OK</v>
      </c>
    </row>
    <row r="226" spans="1:5" x14ac:dyDescent="0.25">
      <c r="A226" t="s">
        <v>555</v>
      </c>
      <c r="B226" t="s">
        <v>556</v>
      </c>
      <c r="C226" t="s">
        <v>39</v>
      </c>
      <c r="D226" t="s">
        <v>557</v>
      </c>
      <c r="E226" t="str">
        <f>IF(COUNTIF(Technologie_Wszystkie[IdxWspolny],Technologie_Wszystkie[[#This Row],[IdxWspolny]])&gt;1,"DUBEL","OK")</f>
        <v>OK</v>
      </c>
    </row>
    <row r="227" spans="1:5" x14ac:dyDescent="0.25">
      <c r="A227" t="s">
        <v>1859</v>
      </c>
      <c r="B227" t="s">
        <v>1860</v>
      </c>
      <c r="C227" t="s">
        <v>1857</v>
      </c>
      <c r="D227" t="s">
        <v>1861</v>
      </c>
      <c r="E227" t="str">
        <f>IF(COUNTIF(Technologie_Wszystkie[IdxWspolny],Technologie_Wszystkie[[#This Row],[IdxWspolny]])&gt;1,"DUBEL","OK")</f>
        <v>OK</v>
      </c>
    </row>
    <row r="228" spans="1:5" x14ac:dyDescent="0.25">
      <c r="A228" t="s">
        <v>3387</v>
      </c>
      <c r="B228" t="s">
        <v>3388</v>
      </c>
      <c r="C228" t="s">
        <v>49</v>
      </c>
      <c r="D228" t="s">
        <v>2383</v>
      </c>
      <c r="E228" t="str">
        <f>IF(COUNTIF(Technologie_Wszystkie[IdxWspolny],Technologie_Wszystkie[[#This Row],[IdxWspolny]])&gt;1,"DUBEL","OK")</f>
        <v>OK</v>
      </c>
    </row>
    <row r="229" spans="1:5" x14ac:dyDescent="0.25">
      <c r="A229" t="s">
        <v>3389</v>
      </c>
      <c r="B229" t="s">
        <v>3390</v>
      </c>
      <c r="C229" t="s">
        <v>49</v>
      </c>
      <c r="D229" t="s">
        <v>3391</v>
      </c>
      <c r="E229" t="str">
        <f>IF(COUNTIF(Technologie_Wszystkie[IdxWspolny],Technologie_Wszystkie[[#This Row],[IdxWspolny]])&gt;1,"DUBEL","OK")</f>
        <v>OK</v>
      </c>
    </row>
    <row r="230" spans="1:5" x14ac:dyDescent="0.25">
      <c r="A230" t="s">
        <v>4641</v>
      </c>
      <c r="B230" t="s">
        <v>4642</v>
      </c>
      <c r="C230" t="s">
        <v>39</v>
      </c>
      <c r="D230" t="s">
        <v>4643</v>
      </c>
      <c r="E230" t="str">
        <f>IF(COUNTIF(Technologie_Wszystkie[IdxWspolny],Technologie_Wszystkie[[#This Row],[IdxWspolny]])&gt;1,"DUBEL","OK")</f>
        <v>OK</v>
      </c>
    </row>
    <row r="231" spans="1:5" x14ac:dyDescent="0.25">
      <c r="A231" t="s">
        <v>2601</v>
      </c>
      <c r="B231" t="s">
        <v>2602</v>
      </c>
      <c r="C231" t="s">
        <v>5</v>
      </c>
      <c r="D231" t="s">
        <v>651</v>
      </c>
      <c r="E231" t="str">
        <f>IF(COUNTIF(Technologie_Wszystkie[IdxWspolny],Technologie_Wszystkie[[#This Row],[IdxWspolny]])&gt;1,"DUBEL","OK")</f>
        <v>OK</v>
      </c>
    </row>
    <row r="232" spans="1:5" x14ac:dyDescent="0.25">
      <c r="A232" t="s">
        <v>4878</v>
      </c>
      <c r="B232" t="s">
        <v>4879</v>
      </c>
      <c r="C232" t="s">
        <v>5</v>
      </c>
      <c r="D232" t="s">
        <v>4880</v>
      </c>
      <c r="E232" t="str">
        <f>IF(COUNTIF(Technologie_Wszystkie[IdxWspolny],Technologie_Wszystkie[[#This Row],[IdxWspolny]])&gt;1,"DUBEL","OK")</f>
        <v>OK</v>
      </c>
    </row>
    <row r="233" spans="1:5" x14ac:dyDescent="0.25">
      <c r="A233" t="s">
        <v>1959</v>
      </c>
      <c r="B233" t="s">
        <v>1960</v>
      </c>
      <c r="C233" t="s">
        <v>5</v>
      </c>
      <c r="D233" t="s">
        <v>131</v>
      </c>
      <c r="E233" t="str">
        <f>IF(COUNTIF(Technologie_Wszystkie[IdxWspolny],Technologie_Wszystkie[[#This Row],[IdxWspolny]])&gt;1,"DUBEL","OK")</f>
        <v>OK</v>
      </c>
    </row>
    <row r="234" spans="1:5" x14ac:dyDescent="0.25">
      <c r="A234" t="s">
        <v>623</v>
      </c>
      <c r="B234" t="s">
        <v>624</v>
      </c>
      <c r="C234" t="s">
        <v>5</v>
      </c>
      <c r="D234" t="s">
        <v>589</v>
      </c>
      <c r="E234" t="str">
        <f>IF(COUNTIF(Technologie_Wszystkie[IdxWspolny],Technologie_Wszystkie[[#This Row],[IdxWspolny]])&gt;1,"DUBEL","OK")</f>
        <v>OK</v>
      </c>
    </row>
    <row r="235" spans="1:5" x14ac:dyDescent="0.25">
      <c r="A235" t="s">
        <v>1078</v>
      </c>
      <c r="B235" t="s">
        <v>1079</v>
      </c>
      <c r="C235" t="s">
        <v>5</v>
      </c>
      <c r="D235" t="s">
        <v>1080</v>
      </c>
      <c r="E235" t="str">
        <f>IF(COUNTIF(Technologie_Wszystkie[IdxWspolny],Technologie_Wszystkie[[#This Row],[IdxWspolny]])&gt;1,"DUBEL","OK")</f>
        <v>OK</v>
      </c>
    </row>
    <row r="236" spans="1:5" x14ac:dyDescent="0.25">
      <c r="A236" t="s">
        <v>581</v>
      </c>
      <c r="B236" t="s">
        <v>582</v>
      </c>
      <c r="C236" t="s">
        <v>5</v>
      </c>
      <c r="D236" t="s">
        <v>191</v>
      </c>
      <c r="E236" t="str">
        <f>IF(COUNTIF(Technologie_Wszystkie[IdxWspolny],Technologie_Wszystkie[[#This Row],[IdxWspolny]])&gt;1,"DUBEL","OK")</f>
        <v>OK</v>
      </c>
    </row>
    <row r="237" spans="1:5" x14ac:dyDescent="0.25">
      <c r="A237" t="s">
        <v>3981</v>
      </c>
      <c r="B237" t="s">
        <v>3982</v>
      </c>
      <c r="C237" t="s">
        <v>5</v>
      </c>
      <c r="D237" t="s">
        <v>3983</v>
      </c>
      <c r="E237" t="str">
        <f>IF(COUNTIF(Technologie_Wszystkie[IdxWspolny],Technologie_Wszystkie[[#This Row],[IdxWspolny]])&gt;1,"DUBEL","OK")</f>
        <v>OK</v>
      </c>
    </row>
    <row r="238" spans="1:5" x14ac:dyDescent="0.25">
      <c r="A238" t="s">
        <v>2771</v>
      </c>
      <c r="B238" t="s">
        <v>2772</v>
      </c>
      <c r="C238" t="s">
        <v>5</v>
      </c>
      <c r="D238" t="s">
        <v>1964</v>
      </c>
      <c r="E238" t="str">
        <f>IF(COUNTIF(Technologie_Wszystkie[IdxWspolny],Technologie_Wszystkie[[#This Row],[IdxWspolny]])&gt;1,"DUBEL","OK")</f>
        <v>OK</v>
      </c>
    </row>
    <row r="239" spans="1:5" x14ac:dyDescent="0.25">
      <c r="A239" t="s">
        <v>2881</v>
      </c>
      <c r="B239" t="s">
        <v>2882</v>
      </c>
      <c r="C239" t="s">
        <v>5</v>
      </c>
      <c r="D239" t="s">
        <v>5380</v>
      </c>
      <c r="E239" t="str">
        <f>IF(COUNTIF(Technologie_Wszystkie[IdxWspolny],Technologie_Wszystkie[[#This Row],[IdxWspolny]])&gt;1,"DUBEL","OK")</f>
        <v>OK</v>
      </c>
    </row>
    <row r="240" spans="1:5" x14ac:dyDescent="0.25">
      <c r="A240" t="s">
        <v>2004</v>
      </c>
      <c r="B240" t="s">
        <v>2005</v>
      </c>
      <c r="C240" t="s">
        <v>5</v>
      </c>
      <c r="D240" t="s">
        <v>2006</v>
      </c>
      <c r="E240" t="str">
        <f>IF(COUNTIF(Technologie_Wszystkie[IdxWspolny],Technologie_Wszystkie[[#This Row],[IdxWspolny]])&gt;1,"DUBEL","OK")</f>
        <v>OK</v>
      </c>
    </row>
    <row r="241" spans="1:5" x14ac:dyDescent="0.25">
      <c r="A241" t="s">
        <v>1962</v>
      </c>
      <c r="B241" t="s">
        <v>1963</v>
      </c>
      <c r="C241" t="s">
        <v>1965</v>
      </c>
      <c r="D241" t="s">
        <v>1964</v>
      </c>
      <c r="E241" t="str">
        <f>IF(COUNTIF(Technologie_Wszystkie[IdxWspolny],Technologie_Wszystkie[[#This Row],[IdxWspolny]])&gt;1,"DUBEL","OK")</f>
        <v>OK</v>
      </c>
    </row>
    <row r="242" spans="1:5" x14ac:dyDescent="0.25">
      <c r="A242" t="s">
        <v>2774</v>
      </c>
      <c r="B242" t="s">
        <v>2775</v>
      </c>
      <c r="C242" t="s">
        <v>5</v>
      </c>
      <c r="D242" t="s">
        <v>2776</v>
      </c>
      <c r="E242" t="str">
        <f>IF(COUNTIF(Technologie_Wszystkie[IdxWspolny],Technologie_Wszystkie[[#This Row],[IdxWspolny]])&gt;1,"DUBEL","OK")</f>
        <v>OK</v>
      </c>
    </row>
    <row r="243" spans="1:5" x14ac:dyDescent="0.25">
      <c r="A243" t="s">
        <v>2885</v>
      </c>
      <c r="B243" t="s">
        <v>2886</v>
      </c>
      <c r="C243" t="s">
        <v>5</v>
      </c>
      <c r="D243" t="s">
        <v>879</v>
      </c>
      <c r="E243" t="str">
        <f>IF(COUNTIF(Technologie_Wszystkie[IdxWspolny],Technologie_Wszystkie[[#This Row],[IdxWspolny]])&gt;1,"DUBEL","OK")</f>
        <v>OK</v>
      </c>
    </row>
    <row r="244" spans="1:5" x14ac:dyDescent="0.25">
      <c r="A244" t="s">
        <v>5330</v>
      </c>
      <c r="B244" t="s">
        <v>5331</v>
      </c>
      <c r="C244" t="s">
        <v>5</v>
      </c>
      <c r="D244" t="s">
        <v>1768</v>
      </c>
      <c r="E244" t="str">
        <f>IF(COUNTIF(Technologie_Wszystkie[IdxWspolny],Technologie_Wszystkie[[#This Row],[IdxWspolny]])&gt;1,"DUBEL","OK")</f>
        <v>OK</v>
      </c>
    </row>
    <row r="245" spans="1:5" x14ac:dyDescent="0.25">
      <c r="A245" t="s">
        <v>1477</v>
      </c>
      <c r="B245" t="s">
        <v>1478</v>
      </c>
      <c r="C245" t="s">
        <v>5</v>
      </c>
      <c r="D245" t="s">
        <v>1479</v>
      </c>
      <c r="E245" t="str">
        <f>IF(COUNTIF(Technologie_Wszystkie[IdxWspolny],Technologie_Wszystkie[[#This Row],[IdxWspolny]])&gt;1,"DUBEL","OK")</f>
        <v>OK</v>
      </c>
    </row>
    <row r="246" spans="1:5" x14ac:dyDescent="0.25">
      <c r="A246" t="s">
        <v>3803</v>
      </c>
      <c r="B246" t="s">
        <v>3804</v>
      </c>
      <c r="C246" t="s">
        <v>932</v>
      </c>
      <c r="D246" t="s">
        <v>3805</v>
      </c>
      <c r="E246" t="str">
        <f>IF(COUNTIF(Technologie_Wszystkie[IdxWspolny],Technologie_Wszystkie[[#This Row],[IdxWspolny]])&gt;1,"DUBEL","OK")</f>
        <v>OK</v>
      </c>
    </row>
    <row r="247" spans="1:5" x14ac:dyDescent="0.25">
      <c r="A247" t="s">
        <v>2835</v>
      </c>
      <c r="B247" t="s">
        <v>2836</v>
      </c>
      <c r="C247" t="s">
        <v>5</v>
      </c>
      <c r="D247" t="s">
        <v>2837</v>
      </c>
      <c r="E247" t="str">
        <f>IF(COUNTIF(Technologie_Wszystkie[IdxWspolny],Technologie_Wszystkie[[#This Row],[IdxWspolny]])&gt;1,"DUBEL","OK")</f>
        <v>OK</v>
      </c>
    </row>
    <row r="248" spans="1:5" x14ac:dyDescent="0.25">
      <c r="A248" t="s">
        <v>1221</v>
      </c>
      <c r="B248" t="s">
        <v>1222</v>
      </c>
      <c r="C248" t="s">
        <v>5</v>
      </c>
      <c r="D248" t="s">
        <v>1223</v>
      </c>
      <c r="E248" t="str">
        <f>IF(COUNTIF(Technologie_Wszystkie[IdxWspolny],Technologie_Wszystkie[[#This Row],[IdxWspolny]])&gt;1,"DUBEL","OK")</f>
        <v>OK</v>
      </c>
    </row>
    <row r="249" spans="1:5" x14ac:dyDescent="0.25">
      <c r="A249" t="s">
        <v>2778</v>
      </c>
      <c r="B249" t="s">
        <v>2779</v>
      </c>
      <c r="C249" t="s">
        <v>1965</v>
      </c>
      <c r="D249" t="s">
        <v>2780</v>
      </c>
      <c r="E249" t="str">
        <f>IF(COUNTIF(Technologie_Wszystkie[IdxWspolny],Technologie_Wszystkie[[#This Row],[IdxWspolny]])&gt;1,"DUBEL","OK")</f>
        <v>OK</v>
      </c>
    </row>
    <row r="250" spans="1:5" x14ac:dyDescent="0.25">
      <c r="A250" t="s">
        <v>2839</v>
      </c>
      <c r="B250" t="s">
        <v>2840</v>
      </c>
      <c r="C250" t="s">
        <v>5</v>
      </c>
      <c r="D250" t="s">
        <v>2841</v>
      </c>
      <c r="E250" t="str">
        <f>IF(COUNTIF(Technologie_Wszystkie[IdxWspolny],Technologie_Wszystkie[[#This Row],[IdxWspolny]])&gt;1,"DUBEL","OK")</f>
        <v>OK</v>
      </c>
    </row>
    <row r="251" spans="1:5" x14ac:dyDescent="0.25">
      <c r="A251" t="s">
        <v>5349</v>
      </c>
      <c r="B251" t="s">
        <v>5350</v>
      </c>
      <c r="C251" t="s">
        <v>5</v>
      </c>
      <c r="D251" t="s">
        <v>879</v>
      </c>
      <c r="E251" t="str">
        <f>IF(COUNTIF(Technologie_Wszystkie[IdxWspolny],Technologie_Wszystkie[[#This Row],[IdxWspolny]])&gt;1,"DUBEL","OK")</f>
        <v>OK</v>
      </c>
    </row>
    <row r="252" spans="1:5" x14ac:dyDescent="0.25">
      <c r="A252" t="s">
        <v>2887</v>
      </c>
      <c r="B252" t="s">
        <v>2888</v>
      </c>
      <c r="C252" t="s">
        <v>39</v>
      </c>
      <c r="D252" t="s">
        <v>2889</v>
      </c>
      <c r="E252" t="str">
        <f>IF(COUNTIF(Technologie_Wszystkie[IdxWspolny],Technologie_Wszystkie[[#This Row],[IdxWspolny]])&gt;1,"DUBEL","OK")</f>
        <v>OK</v>
      </c>
    </row>
    <row r="253" spans="1:5" x14ac:dyDescent="0.25">
      <c r="A253" t="s">
        <v>2604</v>
      </c>
      <c r="B253" t="s">
        <v>2605</v>
      </c>
      <c r="C253" t="s">
        <v>39</v>
      </c>
      <c r="D253" t="s">
        <v>1768</v>
      </c>
      <c r="E253" t="str">
        <f>IF(COUNTIF(Technologie_Wszystkie[IdxWspolny],Technologie_Wszystkie[[#This Row],[IdxWspolny]])&gt;1,"DUBEL","OK")</f>
        <v>OK</v>
      </c>
    </row>
    <row r="254" spans="1:5" x14ac:dyDescent="0.25">
      <c r="A254" t="s">
        <v>3456</v>
      </c>
      <c r="B254" t="s">
        <v>3457</v>
      </c>
      <c r="C254" t="s">
        <v>39</v>
      </c>
      <c r="D254" t="s">
        <v>3458</v>
      </c>
      <c r="E254" t="str">
        <f>IF(COUNTIF(Technologie_Wszystkie[IdxWspolny],Technologie_Wszystkie[[#This Row],[IdxWspolny]])&gt;1,"DUBEL","OK")</f>
        <v>OK</v>
      </c>
    </row>
    <row r="255" spans="1:5" x14ac:dyDescent="0.25">
      <c r="A255" t="s">
        <v>2842</v>
      </c>
      <c r="B255" t="s">
        <v>2843</v>
      </c>
      <c r="C255" t="s">
        <v>1965</v>
      </c>
      <c r="D255" t="s">
        <v>1768</v>
      </c>
      <c r="E255" t="str">
        <f>IF(COUNTIF(Technologie_Wszystkie[IdxWspolny],Technologie_Wszystkie[[#This Row],[IdxWspolny]])&gt;1,"DUBEL","OK")</f>
        <v>OK</v>
      </c>
    </row>
    <row r="256" spans="1:5" x14ac:dyDescent="0.25">
      <c r="A256" t="s">
        <v>3529</v>
      </c>
      <c r="B256" t="s">
        <v>3530</v>
      </c>
      <c r="C256" t="s">
        <v>5</v>
      </c>
      <c r="D256" t="s">
        <v>1888</v>
      </c>
      <c r="E256" t="str">
        <f>IF(COUNTIF(Technologie_Wszystkie[IdxWspolny],Technologie_Wszystkie[[#This Row],[IdxWspolny]])&gt;1,"DUBEL","OK")</f>
        <v>OK</v>
      </c>
    </row>
    <row r="257" spans="1:5" x14ac:dyDescent="0.25">
      <c r="A257" t="s">
        <v>2781</v>
      </c>
      <c r="B257" t="s">
        <v>2782</v>
      </c>
      <c r="C257" t="s">
        <v>1965</v>
      </c>
      <c r="D257" t="s">
        <v>2783</v>
      </c>
      <c r="E257" t="str">
        <f>IF(COUNTIF(Technologie_Wszystkie[IdxWspolny],Technologie_Wszystkie[[#This Row],[IdxWspolny]])&gt;1,"DUBEL","OK")</f>
        <v>OK</v>
      </c>
    </row>
    <row r="258" spans="1:5" x14ac:dyDescent="0.25">
      <c r="A258" t="s">
        <v>2784</v>
      </c>
      <c r="B258" t="s">
        <v>2785</v>
      </c>
      <c r="C258" t="s">
        <v>5</v>
      </c>
      <c r="D258" t="s">
        <v>2786</v>
      </c>
      <c r="E258" t="str">
        <f>IF(COUNTIF(Technologie_Wszystkie[IdxWspolny],Technologie_Wszystkie[[#This Row],[IdxWspolny]])&gt;1,"DUBEL","OK")</f>
        <v>OK</v>
      </c>
    </row>
    <row r="259" spans="1:5" x14ac:dyDescent="0.25">
      <c r="A259" t="s">
        <v>5375</v>
      </c>
      <c r="B259" t="s">
        <v>5376</v>
      </c>
      <c r="C259" t="s">
        <v>5</v>
      </c>
      <c r="D259" t="s">
        <v>1768</v>
      </c>
      <c r="E259" t="str">
        <f>IF(COUNTIF(Technologie_Wszystkie[IdxWspolny],Technologie_Wszystkie[[#This Row],[IdxWspolny]])&gt;1,"DUBEL","OK")</f>
        <v>OK</v>
      </c>
    </row>
    <row r="260" spans="1:5" x14ac:dyDescent="0.25">
      <c r="A260" t="s">
        <v>1108</v>
      </c>
      <c r="B260" t="s">
        <v>1109</v>
      </c>
      <c r="C260" t="s">
        <v>39</v>
      </c>
      <c r="D260" t="s">
        <v>1110</v>
      </c>
      <c r="E260" t="str">
        <f>IF(COUNTIF(Technologie_Wszystkie[IdxWspolny],Technologie_Wszystkie[[#This Row],[IdxWspolny]])&gt;1,"DUBEL","OK")</f>
        <v>OK</v>
      </c>
    </row>
    <row r="261" spans="1:5" x14ac:dyDescent="0.25">
      <c r="A261" t="s">
        <v>1111</v>
      </c>
      <c r="B261" t="s">
        <v>1112</v>
      </c>
      <c r="C261" t="s">
        <v>39</v>
      </c>
      <c r="D261" t="s">
        <v>1113</v>
      </c>
      <c r="E261" t="str">
        <f>IF(COUNTIF(Technologie_Wszystkie[IdxWspolny],Technologie_Wszystkie[[#This Row],[IdxWspolny]])&gt;1,"DUBEL","OK")</f>
        <v>OK</v>
      </c>
    </row>
    <row r="262" spans="1:5" x14ac:dyDescent="0.25">
      <c r="A262" t="s">
        <v>895</v>
      </c>
      <c r="B262" t="s">
        <v>896</v>
      </c>
      <c r="C262" t="s">
        <v>39</v>
      </c>
      <c r="D262" t="s">
        <v>897</v>
      </c>
      <c r="E262" t="str">
        <f>IF(COUNTIF(Technologie_Wszystkie[IdxWspolny],Technologie_Wszystkie[[#This Row],[IdxWspolny]])&gt;1,"DUBEL","OK")</f>
        <v>OK</v>
      </c>
    </row>
    <row r="263" spans="1:5" x14ac:dyDescent="0.25">
      <c r="A263" t="s">
        <v>2296</v>
      </c>
      <c r="B263" t="s">
        <v>2297</v>
      </c>
      <c r="C263" t="s">
        <v>39</v>
      </c>
      <c r="D263" t="s">
        <v>2298</v>
      </c>
      <c r="E263" t="str">
        <f>IF(COUNTIF(Technologie_Wszystkie[IdxWspolny],Technologie_Wszystkie[[#This Row],[IdxWspolny]])&gt;1,"DUBEL","OK")</f>
        <v>OK</v>
      </c>
    </row>
    <row r="264" spans="1:5" x14ac:dyDescent="0.25">
      <c r="A264" t="s">
        <v>2299</v>
      </c>
      <c r="B264" t="s">
        <v>2300</v>
      </c>
      <c r="C264" t="s">
        <v>1857</v>
      </c>
      <c r="D264" t="s">
        <v>2342</v>
      </c>
      <c r="E264" t="str">
        <f>IF(COUNTIF(Technologie_Wszystkie[IdxWspolny],Technologie_Wszystkie[[#This Row],[IdxWspolny]])&gt;1,"DUBEL","OK")</f>
        <v>OK</v>
      </c>
    </row>
    <row r="265" spans="1:5" x14ac:dyDescent="0.25">
      <c r="A265" t="s">
        <v>2688</v>
      </c>
      <c r="B265" t="s">
        <v>2689</v>
      </c>
      <c r="C265" t="s">
        <v>39</v>
      </c>
      <c r="D265" t="s">
        <v>2690</v>
      </c>
      <c r="E265" t="str">
        <f>IF(COUNTIF(Technologie_Wszystkie[IdxWspolny],Technologie_Wszystkie[[#This Row],[IdxWspolny]])&gt;1,"DUBEL","OK")</f>
        <v>OK</v>
      </c>
    </row>
    <row r="266" spans="1:5" x14ac:dyDescent="0.25">
      <c r="A266" t="s">
        <v>649</v>
      </c>
      <c r="B266" t="s">
        <v>650</v>
      </c>
      <c r="C266" t="s">
        <v>39</v>
      </c>
      <c r="D266" t="s">
        <v>2303</v>
      </c>
      <c r="E266" t="str">
        <f>IF(COUNTIF(Technologie_Wszystkie[IdxWspolny],Technologie_Wszystkie[[#This Row],[IdxWspolny]])&gt;1,"DUBEL","OK")</f>
        <v>OK</v>
      </c>
    </row>
    <row r="267" spans="1:5" x14ac:dyDescent="0.25">
      <c r="A267" t="s">
        <v>4767</v>
      </c>
      <c r="B267" t="s">
        <v>4768</v>
      </c>
      <c r="C267" t="s">
        <v>39</v>
      </c>
      <c r="D267" t="s">
        <v>2112</v>
      </c>
      <c r="E267" t="str">
        <f>IF(COUNTIF(Technologie_Wszystkie[IdxWspolny],Technologie_Wszystkie[[#This Row],[IdxWspolny]])&gt;1,"DUBEL","OK")</f>
        <v>OK</v>
      </c>
    </row>
    <row r="268" spans="1:5" x14ac:dyDescent="0.25">
      <c r="A268" t="s">
        <v>653</v>
      </c>
      <c r="B268" t="s">
        <v>654</v>
      </c>
      <c r="C268" t="s">
        <v>49</v>
      </c>
      <c r="D268" t="s">
        <v>655</v>
      </c>
      <c r="E268" t="str">
        <f>IF(COUNTIF(Technologie_Wszystkie[IdxWspolny],Technologie_Wszystkie[[#This Row],[IdxWspolny]])&gt;1,"DUBEL","OK")</f>
        <v>OK</v>
      </c>
    </row>
    <row r="269" spans="1:5" x14ac:dyDescent="0.25">
      <c r="A269" t="s">
        <v>2322</v>
      </c>
      <c r="B269" t="s">
        <v>2323</v>
      </c>
      <c r="C269" t="s">
        <v>39</v>
      </c>
      <c r="D269" t="s">
        <v>2324</v>
      </c>
      <c r="E269" t="str">
        <f>IF(COUNTIF(Technologie_Wszystkie[IdxWspolny],Technologie_Wszystkie[[#This Row],[IdxWspolny]])&gt;1,"DUBEL","OK")</f>
        <v>OK</v>
      </c>
    </row>
    <row r="270" spans="1:5" x14ac:dyDescent="0.25">
      <c r="A270" t="s">
        <v>2691</v>
      </c>
      <c r="B270" t="s">
        <v>2692</v>
      </c>
      <c r="C270" t="s">
        <v>1965</v>
      </c>
      <c r="D270" t="s">
        <v>2916</v>
      </c>
      <c r="E270" t="str">
        <f>IF(COUNTIF(Technologie_Wszystkie[IdxWspolny],Technologie_Wszystkie[[#This Row],[IdxWspolny]])&gt;1,"DUBEL","OK")</f>
        <v>OK</v>
      </c>
    </row>
    <row r="271" spans="1:5" x14ac:dyDescent="0.25">
      <c r="A271" t="s">
        <v>2694</v>
      </c>
      <c r="B271" t="s">
        <v>2695</v>
      </c>
      <c r="C271" t="s">
        <v>39</v>
      </c>
      <c r="D271" t="s">
        <v>2112</v>
      </c>
      <c r="E271" t="str">
        <f>IF(COUNTIF(Technologie_Wszystkie[IdxWspolny],Technologie_Wszystkie[[#This Row],[IdxWspolny]])&gt;1,"DUBEL","OK")</f>
        <v>OK</v>
      </c>
    </row>
    <row r="272" spans="1:5" x14ac:dyDescent="0.25">
      <c r="A272" t="s">
        <v>2343</v>
      </c>
      <c r="B272" t="s">
        <v>2344</v>
      </c>
      <c r="C272" t="s">
        <v>39</v>
      </c>
      <c r="D272" t="s">
        <v>2345</v>
      </c>
      <c r="E272" t="str">
        <f>IF(COUNTIF(Technologie_Wszystkie[IdxWspolny],Technologie_Wszystkie[[#This Row],[IdxWspolny]])&gt;1,"DUBEL","OK")</f>
        <v>OK</v>
      </c>
    </row>
    <row r="273" spans="1:5" hidden="1" x14ac:dyDescent="0.25"/>
    <row r="274" spans="1:5" x14ac:dyDescent="0.25">
      <c r="A274" t="s">
        <v>898</v>
      </c>
      <c r="B274" t="s">
        <v>7207</v>
      </c>
      <c r="C274" t="s">
        <v>39</v>
      </c>
      <c r="D274" t="s">
        <v>866</v>
      </c>
      <c r="E274" t="str">
        <f>IF(COUNTIF(Technologie_Wszystkie[IdxWspolny],Technologie_Wszystkie[[#This Row],[IdxWspolny]])&gt;1,"DUBEL","OK")</f>
        <v>OK</v>
      </c>
    </row>
    <row r="275" spans="1:5" x14ac:dyDescent="0.25">
      <c r="A275" t="s">
        <v>4617</v>
      </c>
      <c r="B275" t="s">
        <v>2344</v>
      </c>
      <c r="C275" t="s">
        <v>39</v>
      </c>
      <c r="D275" t="s">
        <v>2345</v>
      </c>
      <c r="E275" t="str">
        <f>IF(COUNTIF(Technologie_Wszystkie[IdxWspolny],Technologie_Wszystkie[[#This Row],[IdxWspolny]])&gt;1,"DUBEL","OK")</f>
        <v>OK</v>
      </c>
    </row>
    <row r="276" spans="1:5" x14ac:dyDescent="0.25">
      <c r="A276" t="s">
        <v>864</v>
      </c>
      <c r="B276" t="s">
        <v>865</v>
      </c>
      <c r="C276" t="s">
        <v>39</v>
      </c>
      <c r="D276" t="s">
        <v>866</v>
      </c>
      <c r="E276" t="str">
        <f>IF(COUNTIF(Technologie_Wszystkie[IdxWspolny],Technologie_Wszystkie[[#This Row],[IdxWspolny]])&gt;1,"DUBEL","OK")</f>
        <v>OK</v>
      </c>
    </row>
    <row r="277" spans="1:5" x14ac:dyDescent="0.25">
      <c r="A277" t="s">
        <v>656</v>
      </c>
      <c r="B277" t="s">
        <v>657</v>
      </c>
      <c r="C277" t="s">
        <v>39</v>
      </c>
      <c r="D277" t="s">
        <v>658</v>
      </c>
      <c r="E277" t="str">
        <f>IF(COUNTIF(Technologie_Wszystkie[IdxWspolny],Technologie_Wszystkie[[#This Row],[IdxWspolny]])&gt;1,"DUBEL","OK")</f>
        <v>OK</v>
      </c>
    </row>
    <row r="278" spans="1:5" hidden="1" x14ac:dyDescent="0.25"/>
    <row r="279" spans="1:5" x14ac:dyDescent="0.25">
      <c r="A279" t="s">
        <v>662</v>
      </c>
      <c r="B279" t="s">
        <v>7208</v>
      </c>
      <c r="C279" t="s">
        <v>39</v>
      </c>
      <c r="D279" t="s">
        <v>513</v>
      </c>
      <c r="E279" t="str">
        <f>IF(COUNTIF(Technologie_Wszystkie[IdxWspolny],Technologie_Wszystkie[[#This Row],[IdxWspolny]])&gt;1,"DUBEL","OK")</f>
        <v>OK</v>
      </c>
    </row>
    <row r="280" spans="1:5" x14ac:dyDescent="0.25">
      <c r="A280" t="s">
        <v>664</v>
      </c>
      <c r="B280" t="s">
        <v>665</v>
      </c>
      <c r="C280" t="s">
        <v>39</v>
      </c>
      <c r="D280" t="s">
        <v>666</v>
      </c>
      <c r="E280" t="str">
        <f>IF(COUNTIF(Technologie_Wszystkie[IdxWspolny],Technologie_Wszystkie[[#This Row],[IdxWspolny]])&gt;1,"DUBEL","OK")</f>
        <v>OK</v>
      </c>
    </row>
    <row r="281" spans="1:5" x14ac:dyDescent="0.25">
      <c r="A281" t="s">
        <v>659</v>
      </c>
      <c r="B281" t="s">
        <v>660</v>
      </c>
      <c r="C281" t="s">
        <v>39</v>
      </c>
      <c r="D281" t="s">
        <v>661</v>
      </c>
      <c r="E281" t="str">
        <f>IF(COUNTIF(Technologie_Wszystkie[IdxWspolny],Technologie_Wszystkie[[#This Row],[IdxWspolny]])&gt;1,"DUBEL","OK")</f>
        <v>OK</v>
      </c>
    </row>
    <row r="282" spans="1:5" x14ac:dyDescent="0.25">
      <c r="A282" t="s">
        <v>900</v>
      </c>
      <c r="B282" t="s">
        <v>901</v>
      </c>
      <c r="C282" t="s">
        <v>39</v>
      </c>
      <c r="D282" t="s">
        <v>712</v>
      </c>
      <c r="E282" t="str">
        <f>IF(COUNTIF(Technologie_Wszystkie[IdxWspolny],Technologie_Wszystkie[[#This Row],[IdxWspolny]])&gt;1,"DUBEL","OK")</f>
        <v>OK</v>
      </c>
    </row>
    <row r="283" spans="1:5" hidden="1" x14ac:dyDescent="0.25"/>
    <row r="284" spans="1:5" x14ac:dyDescent="0.25">
      <c r="A284" t="s">
        <v>2304</v>
      </c>
      <c r="B284" t="s">
        <v>7209</v>
      </c>
      <c r="C284" t="s">
        <v>121</v>
      </c>
      <c r="D284" t="s">
        <v>2306</v>
      </c>
      <c r="E284" t="str">
        <f>IF(COUNTIF(Technologie_Wszystkie[IdxWspolny],Technologie_Wszystkie[[#This Row],[IdxWspolny]])&gt;1,"DUBEL","OK")</f>
        <v>OK</v>
      </c>
    </row>
    <row r="285" spans="1:5" x14ac:dyDescent="0.25">
      <c r="A285" t="s">
        <v>2423</v>
      </c>
      <c r="B285" t="s">
        <v>2424</v>
      </c>
      <c r="C285" t="s">
        <v>39</v>
      </c>
      <c r="D285" t="s">
        <v>2425</v>
      </c>
      <c r="E285" t="str">
        <f>IF(COUNTIF(Technologie_Wszystkie[IdxWspolny],Technologie_Wszystkie[[#This Row],[IdxWspolny]])&gt;1,"DUBEL","OK")</f>
        <v>OK</v>
      </c>
    </row>
    <row r="286" spans="1:5" hidden="1" x14ac:dyDescent="0.25"/>
    <row r="287" spans="1:5" x14ac:dyDescent="0.25">
      <c r="A287" t="s">
        <v>867</v>
      </c>
      <c r="B287" t="s">
        <v>7210</v>
      </c>
      <c r="C287" t="s">
        <v>39</v>
      </c>
      <c r="D287" t="s">
        <v>255</v>
      </c>
      <c r="E287" t="str">
        <f>IF(COUNTIF(Technologie_Wszystkie[IdxWspolny],Technologie_Wszystkie[[#This Row],[IdxWspolny]])&gt;1,"DUBEL","OK")</f>
        <v>OK</v>
      </c>
    </row>
    <row r="288" spans="1:5" x14ac:dyDescent="0.25">
      <c r="A288" t="s">
        <v>4742</v>
      </c>
      <c r="B288" t="s">
        <v>4743</v>
      </c>
      <c r="C288" t="s">
        <v>5</v>
      </c>
      <c r="D288" t="s">
        <v>182</v>
      </c>
      <c r="E288" t="str">
        <f>IF(COUNTIF(Technologie_Wszystkie[IdxWspolny],Technologie_Wszystkie[[#This Row],[IdxWspolny]])&gt;1,"DUBEL","OK")</f>
        <v>OK</v>
      </c>
    </row>
    <row r="289" spans="1:5" x14ac:dyDescent="0.25">
      <c r="A289" t="s">
        <v>2697</v>
      </c>
      <c r="B289" t="s">
        <v>2698</v>
      </c>
      <c r="C289" t="s">
        <v>39</v>
      </c>
      <c r="D289" t="s">
        <v>2699</v>
      </c>
      <c r="E289" t="str">
        <f>IF(COUNTIF(Technologie_Wszystkie[IdxWspolny],Technologie_Wszystkie[[#This Row],[IdxWspolny]])&gt;1,"DUBEL","OK")</f>
        <v>OK</v>
      </c>
    </row>
    <row r="290" spans="1:5" x14ac:dyDescent="0.25">
      <c r="A290" t="s">
        <v>1007</v>
      </c>
      <c r="B290" t="s">
        <v>1008</v>
      </c>
      <c r="C290" t="s">
        <v>121</v>
      </c>
      <c r="D290" t="s">
        <v>1009</v>
      </c>
      <c r="E290" t="str">
        <f>IF(COUNTIF(Technologie_Wszystkie[IdxWspolny],Technologie_Wszystkie[[#This Row],[IdxWspolny]])&gt;1,"DUBEL","OK")</f>
        <v>OK</v>
      </c>
    </row>
    <row r="291" spans="1:5" x14ac:dyDescent="0.25">
      <c r="A291" t="s">
        <v>2242</v>
      </c>
      <c r="B291" t="s">
        <v>2243</v>
      </c>
      <c r="C291" t="s">
        <v>39</v>
      </c>
      <c r="D291" t="s">
        <v>557</v>
      </c>
      <c r="E291" t="str">
        <f>IF(COUNTIF(Technologie_Wszystkie[IdxWspolny],Technologie_Wszystkie[[#This Row],[IdxWspolny]])&gt;1,"DUBEL","OK")</f>
        <v>OK</v>
      </c>
    </row>
    <row r="292" spans="1:5" x14ac:dyDescent="0.25">
      <c r="A292" t="s">
        <v>5283</v>
      </c>
      <c r="B292" t="s">
        <v>5284</v>
      </c>
      <c r="C292" t="s">
        <v>39</v>
      </c>
      <c r="D292" t="s">
        <v>328</v>
      </c>
      <c r="E292" t="str">
        <f>IF(COUNTIF(Technologie_Wszystkie[IdxWspolny],Technologie_Wszystkie[[#This Row],[IdxWspolny]])&gt;1,"DUBEL","OK")</f>
        <v>OK</v>
      </c>
    </row>
    <row r="293" spans="1:5" x14ac:dyDescent="0.25">
      <c r="A293" t="s">
        <v>3955</v>
      </c>
      <c r="B293" t="s">
        <v>3956</v>
      </c>
      <c r="C293" t="s">
        <v>39</v>
      </c>
      <c r="D293" t="s">
        <v>3957</v>
      </c>
      <c r="E293" t="str">
        <f>IF(COUNTIF(Technologie_Wszystkie[IdxWspolny],Technologie_Wszystkie[[#This Row],[IdxWspolny]])&gt;1,"DUBEL","OK")</f>
        <v>OK</v>
      </c>
    </row>
    <row r="294" spans="1:5" x14ac:dyDescent="0.25">
      <c r="A294" t="s">
        <v>2426</v>
      </c>
      <c r="B294" t="s">
        <v>2427</v>
      </c>
      <c r="C294" t="s">
        <v>121</v>
      </c>
      <c r="D294" t="s">
        <v>2428</v>
      </c>
      <c r="E294" t="str">
        <f>IF(COUNTIF(Technologie_Wszystkie[IdxWspolny],Technologie_Wszystkie[[#This Row],[IdxWspolny]])&gt;1,"DUBEL","OK")</f>
        <v>OK</v>
      </c>
    </row>
    <row r="295" spans="1:5" x14ac:dyDescent="0.25">
      <c r="A295" t="s">
        <v>2735</v>
      </c>
      <c r="B295" t="s">
        <v>2736</v>
      </c>
      <c r="C295" t="s">
        <v>121</v>
      </c>
      <c r="D295" t="s">
        <v>2737</v>
      </c>
      <c r="E295" t="str">
        <f>IF(COUNTIF(Technologie_Wszystkie[IdxWspolny],Technologie_Wszystkie[[#This Row],[IdxWspolny]])&gt;1,"DUBEL","OK")</f>
        <v>OK</v>
      </c>
    </row>
    <row r="296" spans="1:5" x14ac:dyDescent="0.25">
      <c r="A296" t="s">
        <v>3136</v>
      </c>
      <c r="B296" t="s">
        <v>3137</v>
      </c>
      <c r="C296" t="s">
        <v>39</v>
      </c>
      <c r="D296" t="s">
        <v>3138</v>
      </c>
      <c r="E296" t="str">
        <f>IF(COUNTIF(Technologie_Wszystkie[IdxWspolny],Technologie_Wszystkie[[#This Row],[IdxWspolny]])&gt;1,"DUBEL","OK")</f>
        <v>OK</v>
      </c>
    </row>
    <row r="297" spans="1:5" x14ac:dyDescent="0.25">
      <c r="A297" t="s">
        <v>4651</v>
      </c>
      <c r="B297" t="s">
        <v>4652</v>
      </c>
      <c r="C297" t="s">
        <v>39</v>
      </c>
      <c r="D297" t="s">
        <v>887</v>
      </c>
      <c r="E297" t="str">
        <f>IF(COUNTIF(Technologie_Wszystkie[IdxWspolny],Technologie_Wszystkie[[#This Row],[IdxWspolny]])&gt;1,"DUBEL","OK")</f>
        <v>OK</v>
      </c>
    </row>
    <row r="298" spans="1:5" x14ac:dyDescent="0.25">
      <c r="A298" t="s">
        <v>1862</v>
      </c>
      <c r="B298" t="s">
        <v>1863</v>
      </c>
      <c r="C298" t="s">
        <v>121</v>
      </c>
      <c r="D298" t="s">
        <v>1864</v>
      </c>
      <c r="E298" t="str">
        <f>IF(COUNTIF(Technologie_Wszystkie[IdxWspolny],Technologie_Wszystkie[[#This Row],[IdxWspolny]])&gt;1,"DUBEL","OK")</f>
        <v>OK</v>
      </c>
    </row>
    <row r="299" spans="1:5" x14ac:dyDescent="0.25">
      <c r="A299" t="s">
        <v>2700</v>
      </c>
      <c r="B299" t="s">
        <v>2701</v>
      </c>
      <c r="C299" t="s">
        <v>121</v>
      </c>
      <c r="D299" t="s">
        <v>2702</v>
      </c>
      <c r="E299" t="str">
        <f>IF(COUNTIF(Technologie_Wszystkie[IdxWspolny],Technologie_Wszystkie[[#This Row],[IdxWspolny]])&gt;1,"DUBEL","OK")</f>
        <v>OK</v>
      </c>
    </row>
    <row r="300" spans="1:5" x14ac:dyDescent="0.25">
      <c r="A300" t="s">
        <v>4071</v>
      </c>
      <c r="B300" t="s">
        <v>4072</v>
      </c>
      <c r="C300" t="s">
        <v>121</v>
      </c>
      <c r="D300" t="s">
        <v>2963</v>
      </c>
      <c r="E300" t="str">
        <f>IF(COUNTIF(Technologie_Wszystkie[IdxWspolny],Technologie_Wszystkie[[#This Row],[IdxWspolny]])&gt;1,"DUBEL","OK")</f>
        <v>OK</v>
      </c>
    </row>
    <row r="301" spans="1:5" x14ac:dyDescent="0.25">
      <c r="A301" t="s">
        <v>5285</v>
      </c>
      <c r="B301" t="s">
        <v>5286</v>
      </c>
      <c r="C301" t="s">
        <v>121</v>
      </c>
      <c r="D301" t="s">
        <v>2670</v>
      </c>
      <c r="E301" t="str">
        <f>IF(COUNTIF(Technologie_Wszystkie[IdxWspolny],Technologie_Wszystkie[[#This Row],[IdxWspolny]])&gt;1,"DUBEL","OK")</f>
        <v>OK</v>
      </c>
    </row>
    <row r="302" spans="1:5" x14ac:dyDescent="0.25">
      <c r="A302" t="s">
        <v>4073</v>
      </c>
      <c r="B302" t="s">
        <v>4074</v>
      </c>
      <c r="C302" t="s">
        <v>49</v>
      </c>
      <c r="D302" t="s">
        <v>4075</v>
      </c>
      <c r="E302" t="str">
        <f>IF(COUNTIF(Technologie_Wszystkie[IdxWspolny],Technologie_Wszystkie[[#This Row],[IdxWspolny]])&gt;1,"DUBEL","OK")</f>
        <v>OK</v>
      </c>
    </row>
    <row r="303" spans="1:5" x14ac:dyDescent="0.25">
      <c r="A303" t="s">
        <v>2371</v>
      </c>
      <c r="B303" t="s">
        <v>2372</v>
      </c>
      <c r="C303" t="s">
        <v>49</v>
      </c>
      <c r="D303" t="s">
        <v>185</v>
      </c>
      <c r="E303" t="str">
        <f>IF(COUNTIF(Technologie_Wszystkie[IdxWspolny],Technologie_Wszystkie[[#This Row],[IdxWspolny]])&gt;1,"DUBEL","OK")</f>
        <v>OK</v>
      </c>
    </row>
    <row r="304" spans="1:5" x14ac:dyDescent="0.25">
      <c r="A304" t="s">
        <v>1035</v>
      </c>
      <c r="B304" t="s">
        <v>1036</v>
      </c>
      <c r="C304" t="s">
        <v>121</v>
      </c>
      <c r="D304" t="s">
        <v>1037</v>
      </c>
      <c r="E304" t="str">
        <f>IF(COUNTIF(Technologie_Wszystkie[IdxWspolny],Technologie_Wszystkie[[#This Row],[IdxWspolny]])&gt;1,"DUBEL","OK")</f>
        <v>OK</v>
      </c>
    </row>
    <row r="305" spans="1:5" x14ac:dyDescent="0.25">
      <c r="A305" t="s">
        <v>3225</v>
      </c>
      <c r="B305" t="s">
        <v>3226</v>
      </c>
      <c r="C305" t="s">
        <v>121</v>
      </c>
      <c r="D305" t="s">
        <v>3227</v>
      </c>
      <c r="E305" t="str">
        <f>IF(COUNTIF(Technologie_Wszystkie[IdxWspolny],Technologie_Wszystkie[[#This Row],[IdxWspolny]])&gt;1,"DUBEL","OK")</f>
        <v>OK</v>
      </c>
    </row>
    <row r="306" spans="1:5" x14ac:dyDescent="0.25">
      <c r="A306" t="s">
        <v>1523</v>
      </c>
      <c r="B306" t="s">
        <v>1524</v>
      </c>
      <c r="C306" t="s">
        <v>49</v>
      </c>
      <c r="D306" t="s">
        <v>1525</v>
      </c>
      <c r="E306" t="str">
        <f>IF(COUNTIF(Technologie_Wszystkie[IdxWspolny],Technologie_Wszystkie[[#This Row],[IdxWspolny]])&gt;1,"DUBEL","OK")</f>
        <v>OK</v>
      </c>
    </row>
    <row r="307" spans="1:5" x14ac:dyDescent="0.25">
      <c r="A307" t="s">
        <v>2197</v>
      </c>
      <c r="B307" t="s">
        <v>2198</v>
      </c>
      <c r="C307" t="s">
        <v>49</v>
      </c>
      <c r="D307" t="s">
        <v>1768</v>
      </c>
      <c r="E307" t="str">
        <f>IF(COUNTIF(Technologie_Wszystkie[IdxWspolny],Technologie_Wszystkie[[#This Row],[IdxWspolny]])&gt;1,"DUBEL","OK")</f>
        <v>OK</v>
      </c>
    </row>
    <row r="308" spans="1:5" x14ac:dyDescent="0.25">
      <c r="A308" t="s">
        <v>2182</v>
      </c>
      <c r="B308" t="s">
        <v>2183</v>
      </c>
      <c r="C308" t="s">
        <v>121</v>
      </c>
      <c r="D308" t="s">
        <v>2184</v>
      </c>
      <c r="E308" t="str">
        <f>IF(COUNTIF(Technologie_Wszystkie[IdxWspolny],Technologie_Wszystkie[[#This Row],[IdxWspolny]])&gt;1,"DUBEL","OK")</f>
        <v>OK</v>
      </c>
    </row>
    <row r="309" spans="1:5" x14ac:dyDescent="0.25">
      <c r="A309" t="s">
        <v>1526</v>
      </c>
      <c r="B309" t="s">
        <v>1527</v>
      </c>
      <c r="C309" t="s">
        <v>121</v>
      </c>
      <c r="D309" t="s">
        <v>1528</v>
      </c>
      <c r="E309" t="str">
        <f>IF(COUNTIF(Technologie_Wszystkie[IdxWspolny],Technologie_Wszystkie[[#This Row],[IdxWspolny]])&gt;1,"DUBEL","OK")</f>
        <v>OK</v>
      </c>
    </row>
    <row r="310" spans="1:5" x14ac:dyDescent="0.25">
      <c r="A310" t="s">
        <v>479</v>
      </c>
      <c r="B310" t="s">
        <v>480</v>
      </c>
      <c r="C310" t="s">
        <v>5</v>
      </c>
      <c r="D310" t="s">
        <v>626</v>
      </c>
      <c r="E310" t="str">
        <f>IF(COUNTIF(Technologie_Wszystkie[IdxWspolny],Technologie_Wszystkie[[#This Row],[IdxWspolny]])&gt;1,"DUBEL","OK")</f>
        <v>OK</v>
      </c>
    </row>
    <row r="311" spans="1:5" x14ac:dyDescent="0.25">
      <c r="A311" t="s">
        <v>584</v>
      </c>
      <c r="B311" t="s">
        <v>585</v>
      </c>
      <c r="C311" t="s">
        <v>5</v>
      </c>
      <c r="D311" t="s">
        <v>191</v>
      </c>
      <c r="E311" t="str">
        <f>IF(COUNTIF(Technologie_Wszystkie[IdxWspolny],Technologie_Wszystkie[[#This Row],[IdxWspolny]])&gt;1,"DUBEL","OK")</f>
        <v>OK</v>
      </c>
    </row>
    <row r="312" spans="1:5" x14ac:dyDescent="0.25">
      <c r="A312" t="s">
        <v>2007</v>
      </c>
      <c r="B312" t="s">
        <v>2008</v>
      </c>
      <c r="C312" t="s">
        <v>5</v>
      </c>
      <c r="D312" t="s">
        <v>417</v>
      </c>
      <c r="E312" t="str">
        <f>IF(COUNTIF(Technologie_Wszystkie[IdxWspolny],Technologie_Wszystkie[[#This Row],[IdxWspolny]])&gt;1,"DUBEL","OK")</f>
        <v>OK</v>
      </c>
    </row>
    <row r="313" spans="1:5" x14ac:dyDescent="0.25">
      <c r="A313" t="s">
        <v>1105</v>
      </c>
      <c r="B313" t="s">
        <v>1106</v>
      </c>
      <c r="C313" t="s">
        <v>49</v>
      </c>
      <c r="D313" t="s">
        <v>1107</v>
      </c>
      <c r="E313" t="str">
        <f>IF(COUNTIF(Technologie_Wszystkie[IdxWspolny],Technologie_Wszystkie[[#This Row],[IdxWspolny]])&gt;1,"DUBEL","OK")</f>
        <v>OK</v>
      </c>
    </row>
    <row r="314" spans="1:5" x14ac:dyDescent="0.25">
      <c r="A314" t="s">
        <v>2009</v>
      </c>
      <c r="B314" t="s">
        <v>2010</v>
      </c>
      <c r="C314" t="s">
        <v>5</v>
      </c>
      <c r="D314" t="s">
        <v>274</v>
      </c>
      <c r="E314" t="str">
        <f>IF(COUNTIF(Technologie_Wszystkie[IdxWspolny],Technologie_Wszystkie[[#This Row],[IdxWspolny]])&gt;1,"DUBEL","OK")</f>
        <v>OK</v>
      </c>
    </row>
    <row r="315" spans="1:5" x14ac:dyDescent="0.25">
      <c r="A315" t="s">
        <v>628</v>
      </c>
      <c r="B315" t="s">
        <v>629</v>
      </c>
      <c r="C315" t="s">
        <v>5</v>
      </c>
      <c r="D315" t="s">
        <v>630</v>
      </c>
      <c r="E315" t="str">
        <f>IF(COUNTIF(Technologie_Wszystkie[IdxWspolny],Technologie_Wszystkie[[#This Row],[IdxWspolny]])&gt;1,"DUBEL","OK")</f>
        <v>OK</v>
      </c>
    </row>
    <row r="316" spans="1:5" x14ac:dyDescent="0.25">
      <c r="A316" t="s">
        <v>587</v>
      </c>
      <c r="B316" t="s">
        <v>588</v>
      </c>
      <c r="C316" t="s">
        <v>5</v>
      </c>
      <c r="D316" t="s">
        <v>191</v>
      </c>
      <c r="E316" t="str">
        <f>IF(COUNTIF(Technologie_Wszystkie[IdxWspolny],Technologie_Wszystkie[[#This Row],[IdxWspolny]])&gt;1,"DUBEL","OK")</f>
        <v>OK</v>
      </c>
    </row>
    <row r="317" spans="1:5" x14ac:dyDescent="0.25">
      <c r="A317" t="s">
        <v>483</v>
      </c>
      <c r="B317" t="s">
        <v>484</v>
      </c>
      <c r="C317" t="s">
        <v>5</v>
      </c>
      <c r="D317" t="s">
        <v>485</v>
      </c>
      <c r="E317" t="str">
        <f>IF(COUNTIF(Technologie_Wszystkie[IdxWspolny],Technologie_Wszystkie[[#This Row],[IdxWspolny]])&gt;1,"DUBEL","OK")</f>
        <v>OK</v>
      </c>
    </row>
    <row r="318" spans="1:5" x14ac:dyDescent="0.25">
      <c r="A318" t="s">
        <v>2844</v>
      </c>
      <c r="B318" t="s">
        <v>2845</v>
      </c>
      <c r="C318" t="s">
        <v>5</v>
      </c>
      <c r="D318" t="s">
        <v>1005</v>
      </c>
      <c r="E318" t="str">
        <f>IF(COUNTIF(Technologie_Wszystkie[IdxWspolny],Technologie_Wszystkie[[#This Row],[IdxWspolny]])&gt;1,"DUBEL","OK")</f>
        <v>OK</v>
      </c>
    </row>
    <row r="319" spans="1:5" x14ac:dyDescent="0.25">
      <c r="A319" t="s">
        <v>1968</v>
      </c>
      <c r="B319" t="s">
        <v>1969</v>
      </c>
      <c r="C319" t="s">
        <v>5</v>
      </c>
      <c r="D319" t="s">
        <v>1970</v>
      </c>
      <c r="E319" t="str">
        <f>IF(COUNTIF(Technologie_Wszystkie[IdxWspolny],Technologie_Wszystkie[[#This Row],[IdxWspolny]])&gt;1,"DUBEL","OK")</f>
        <v>OK</v>
      </c>
    </row>
    <row r="320" spans="1:5" x14ac:dyDescent="0.25">
      <c r="A320" t="s">
        <v>1529</v>
      </c>
      <c r="B320" t="s">
        <v>1530</v>
      </c>
      <c r="C320" t="s">
        <v>121</v>
      </c>
      <c r="D320" t="s">
        <v>1531</v>
      </c>
      <c r="E320" t="str">
        <f>IF(COUNTIF(Technologie_Wszystkie[IdxWspolny],Technologie_Wszystkie[[#This Row],[IdxWspolny]])&gt;1,"DUBEL","OK")</f>
        <v>OK</v>
      </c>
    </row>
    <row r="321" spans="1:5" hidden="1" x14ac:dyDescent="0.25"/>
    <row r="322" spans="1:5" x14ac:dyDescent="0.25">
      <c r="A322" t="s">
        <v>738</v>
      </c>
      <c r="B322" t="s">
        <v>767</v>
      </c>
      <c r="C322" t="s">
        <v>121</v>
      </c>
      <c r="D322" t="s">
        <v>516</v>
      </c>
      <c r="E322" t="str">
        <f>IF(COUNTIF(Technologie_Wszystkie[IdxWspolny],Technologie_Wszystkie[[#This Row],[IdxWspolny]])&gt;1,"DUBEL","OK")</f>
        <v>OK</v>
      </c>
    </row>
    <row r="323" spans="1:5" x14ac:dyDescent="0.25">
      <c r="A323" t="s">
        <v>3169</v>
      </c>
      <c r="B323" t="s">
        <v>3170</v>
      </c>
      <c r="C323" t="s">
        <v>121</v>
      </c>
      <c r="D323" t="s">
        <v>4</v>
      </c>
      <c r="E323" t="str">
        <f>IF(COUNTIF(Technologie_Wszystkie[IdxWspolny],Technologie_Wszystkie[[#This Row],[IdxWspolny]])&gt;1,"DUBEL","OK")</f>
        <v>OK</v>
      </c>
    </row>
    <row r="324" spans="1:5" x14ac:dyDescent="0.25">
      <c r="A324" t="s">
        <v>3228</v>
      </c>
      <c r="B324" t="s">
        <v>3229</v>
      </c>
      <c r="C324" t="s">
        <v>121</v>
      </c>
      <c r="D324" t="s">
        <v>3230</v>
      </c>
      <c r="E324" t="str">
        <f>IF(COUNTIF(Technologie_Wszystkie[IdxWspolny],Technologie_Wszystkie[[#This Row],[IdxWspolny]])&gt;1,"DUBEL","OK")</f>
        <v>OK</v>
      </c>
    </row>
    <row r="325" spans="1:5" x14ac:dyDescent="0.25">
      <c r="A325" t="s">
        <v>1971</v>
      </c>
      <c r="B325" t="s">
        <v>1972</v>
      </c>
      <c r="C325" t="s">
        <v>5</v>
      </c>
      <c r="D325" t="s">
        <v>1005</v>
      </c>
      <c r="E325" t="str">
        <f>IF(COUNTIF(Technologie_Wszystkie[IdxWspolny],Technologie_Wszystkie[[#This Row],[IdxWspolny]])&gt;1,"DUBEL","OK")</f>
        <v>OK</v>
      </c>
    </row>
    <row r="326" spans="1:5" x14ac:dyDescent="0.25">
      <c r="A326" t="s">
        <v>700</v>
      </c>
      <c r="B326" t="s">
        <v>701</v>
      </c>
      <c r="C326" t="s">
        <v>5</v>
      </c>
      <c r="D326" t="s">
        <v>702</v>
      </c>
      <c r="E326" t="str">
        <f>IF(COUNTIF(Technologie_Wszystkie[IdxWspolny],Technologie_Wszystkie[[#This Row],[IdxWspolny]])&gt;1,"DUBEL","OK")</f>
        <v>OK</v>
      </c>
    </row>
    <row r="327" spans="1:5" x14ac:dyDescent="0.25">
      <c r="A327" t="s">
        <v>2848</v>
      </c>
      <c r="B327" t="s">
        <v>2849</v>
      </c>
      <c r="C327" t="s">
        <v>5</v>
      </c>
      <c r="D327" t="s">
        <v>879</v>
      </c>
      <c r="E327" t="str">
        <f>IF(COUNTIF(Technologie_Wszystkie[IdxWspolny],Technologie_Wszystkie[[#This Row],[IdxWspolny]])&gt;1,"DUBEL","OK")</f>
        <v>OK</v>
      </c>
    </row>
    <row r="328" spans="1:5" x14ac:dyDescent="0.25">
      <c r="A328" t="s">
        <v>4654</v>
      </c>
      <c r="B328" t="s">
        <v>4655</v>
      </c>
      <c r="C328" t="s">
        <v>5</v>
      </c>
      <c r="D328" t="s">
        <v>1896</v>
      </c>
      <c r="E328" t="str">
        <f>IF(COUNTIF(Technologie_Wszystkie[IdxWspolny],Technologie_Wszystkie[[#This Row],[IdxWspolny]])&gt;1,"DUBEL","OK")</f>
        <v>OK</v>
      </c>
    </row>
    <row r="329" spans="1:5" x14ac:dyDescent="0.25">
      <c r="A329" t="s">
        <v>487</v>
      </c>
      <c r="B329" t="s">
        <v>488</v>
      </c>
      <c r="C329" t="s">
        <v>5</v>
      </c>
      <c r="D329" t="s">
        <v>489</v>
      </c>
      <c r="E329" t="str">
        <f>IF(COUNTIF(Technologie_Wszystkie[IdxWspolny],Technologie_Wszystkie[[#This Row],[IdxWspolny]])&gt;1,"DUBEL","OK")</f>
        <v>OK</v>
      </c>
    </row>
    <row r="330" spans="1:5" x14ac:dyDescent="0.25">
      <c r="A330" t="s">
        <v>3774</v>
      </c>
      <c r="B330" t="s">
        <v>3775</v>
      </c>
      <c r="C330" t="s">
        <v>5</v>
      </c>
      <c r="D330" t="s">
        <v>191</v>
      </c>
      <c r="E330" t="str">
        <f>IF(COUNTIF(Technologie_Wszystkie[IdxWspolny],Technologie_Wszystkie[[#This Row],[IdxWspolny]])&gt;1,"DUBEL","OK")</f>
        <v>OK</v>
      </c>
    </row>
    <row r="331" spans="1:5" x14ac:dyDescent="0.25">
      <c r="A331" t="s">
        <v>1532</v>
      </c>
      <c r="B331" t="s">
        <v>1533</v>
      </c>
      <c r="C331" t="s">
        <v>49</v>
      </c>
      <c r="D331" t="s">
        <v>1534</v>
      </c>
      <c r="E331" t="str">
        <f>IF(COUNTIF(Technologie_Wszystkie[IdxWspolny],Technologie_Wszystkie[[#This Row],[IdxWspolny]])&gt;1,"DUBEL","OK")</f>
        <v>OK</v>
      </c>
    </row>
    <row r="332" spans="1:5" x14ac:dyDescent="0.25">
      <c r="A332" t="s">
        <v>3669</v>
      </c>
      <c r="B332" t="s">
        <v>3670</v>
      </c>
      <c r="C332" t="s">
        <v>5</v>
      </c>
      <c r="D332" t="s">
        <v>2854</v>
      </c>
      <c r="E332" t="str">
        <f>IF(COUNTIF(Technologie_Wszystkie[IdxWspolny],Technologie_Wszystkie[[#This Row],[IdxWspolny]])&gt;1,"DUBEL","OK")</f>
        <v>OK</v>
      </c>
    </row>
    <row r="333" spans="1:5" x14ac:dyDescent="0.25">
      <c r="A333" t="s">
        <v>3959</v>
      </c>
      <c r="B333" t="s">
        <v>3960</v>
      </c>
      <c r="C333" t="s">
        <v>39</v>
      </c>
      <c r="D333" t="s">
        <v>3961</v>
      </c>
      <c r="E333" t="str">
        <f>IF(COUNTIF(Technologie_Wszystkie[IdxWspolny],Technologie_Wszystkie[[#This Row],[IdxWspolny]])&gt;1,"DUBEL","OK")</f>
        <v>OK</v>
      </c>
    </row>
    <row r="334" spans="1:5" x14ac:dyDescent="0.25">
      <c r="A334" t="s">
        <v>4657</v>
      </c>
      <c r="B334" t="s">
        <v>4658</v>
      </c>
      <c r="C334" t="s">
        <v>49</v>
      </c>
      <c r="D334" t="s">
        <v>4659</v>
      </c>
      <c r="E334" t="str">
        <f>IF(COUNTIF(Technologie_Wszystkie[IdxWspolny],Technologie_Wszystkie[[#This Row],[IdxWspolny]])&gt;1,"DUBEL","OK")</f>
        <v>OK</v>
      </c>
    </row>
    <row r="335" spans="1:5" x14ac:dyDescent="0.25">
      <c r="A335" t="s">
        <v>2791</v>
      </c>
      <c r="B335" t="s">
        <v>2792</v>
      </c>
      <c r="C335" t="s">
        <v>121</v>
      </c>
      <c r="D335" t="s">
        <v>2793</v>
      </c>
      <c r="E335" t="str">
        <f>IF(COUNTIF(Technologie_Wszystkie[IdxWspolny],Technologie_Wszystkie[[#This Row],[IdxWspolny]])&gt;1,"DUBEL","OK")</f>
        <v>OK</v>
      </c>
    </row>
    <row r="336" spans="1:5" hidden="1" x14ac:dyDescent="0.25"/>
    <row r="337" spans="1:5" x14ac:dyDescent="0.25">
      <c r="A337" t="s">
        <v>1974</v>
      </c>
      <c r="B337" t="s">
        <v>1975</v>
      </c>
      <c r="C337" t="s">
        <v>121</v>
      </c>
      <c r="D337" t="s">
        <v>879</v>
      </c>
      <c r="E337" t="str">
        <f>IF(COUNTIF(Technologie_Wszystkie[IdxWspolny],Technologie_Wszystkie[[#This Row],[IdxWspolny]])&gt;1,"DUBEL","OK")</f>
        <v>OK</v>
      </c>
    </row>
    <row r="338" spans="1:5" x14ac:dyDescent="0.25">
      <c r="A338" t="s">
        <v>1898</v>
      </c>
      <c r="B338" t="s">
        <v>1899</v>
      </c>
      <c r="C338" t="s">
        <v>121</v>
      </c>
      <c r="D338" t="s">
        <v>669</v>
      </c>
      <c r="E338" t="str">
        <f>IF(COUNTIF(Technologie_Wszystkie[IdxWspolny],Technologie_Wszystkie[[#This Row],[IdxWspolny]])&gt;1,"DUBEL","OK")</f>
        <v>OK</v>
      </c>
    </row>
    <row r="339" spans="1:5" x14ac:dyDescent="0.25">
      <c r="A339" t="s">
        <v>3919</v>
      </c>
      <c r="B339" t="s">
        <v>3920</v>
      </c>
      <c r="C339" t="s">
        <v>3921</v>
      </c>
      <c r="D339" t="s">
        <v>1888</v>
      </c>
      <c r="E339" t="str">
        <f>IF(COUNTIF(Technologie_Wszystkie[IdxWspolny],Technologie_Wszystkie[[#This Row],[IdxWspolny]])&gt;1,"DUBEL","OK")</f>
        <v>OK</v>
      </c>
    </row>
    <row r="340" spans="1:5" x14ac:dyDescent="0.25">
      <c r="A340" t="s">
        <v>1345</v>
      </c>
      <c r="B340" t="s">
        <v>1346</v>
      </c>
      <c r="C340" t="s">
        <v>5</v>
      </c>
      <c r="D340" t="s">
        <v>1369</v>
      </c>
      <c r="E340" t="str">
        <f>IF(COUNTIF(Technologie_Wszystkie[IdxWspolny],Technologie_Wszystkie[[#This Row],[IdxWspolny]])&gt;1,"DUBEL","OK")</f>
        <v>OK</v>
      </c>
    </row>
    <row r="341" spans="1:5" hidden="1" x14ac:dyDescent="0.25"/>
    <row r="342" spans="1:5" x14ac:dyDescent="0.25">
      <c r="A342" t="s">
        <v>1367</v>
      </c>
      <c r="B342" t="s">
        <v>1368</v>
      </c>
      <c r="C342" t="s">
        <v>121</v>
      </c>
      <c r="D342" t="s">
        <v>1347</v>
      </c>
      <c r="E342" t="str">
        <f>IF(COUNTIF(Technologie_Wszystkie[IdxWspolny],Technologie_Wszystkie[[#This Row],[IdxWspolny]])&gt;1,"DUBEL","OK")</f>
        <v>OK</v>
      </c>
    </row>
    <row r="343" spans="1:5" x14ac:dyDescent="0.25">
      <c r="A343" t="s">
        <v>5352</v>
      </c>
      <c r="B343" t="s">
        <v>5353</v>
      </c>
      <c r="C343" t="s">
        <v>49</v>
      </c>
      <c r="D343" t="s">
        <v>1768</v>
      </c>
      <c r="E343" t="str">
        <f>IF(COUNTIF(Technologie_Wszystkie[IdxWspolny],Technologie_Wszystkie[[#This Row],[IdxWspolny]])&gt;1,"DUBEL","OK")</f>
        <v>OK</v>
      </c>
    </row>
    <row r="344" spans="1:5" x14ac:dyDescent="0.25">
      <c r="A344" t="s">
        <v>2149</v>
      </c>
      <c r="B344" t="s">
        <v>2150</v>
      </c>
      <c r="C344" t="s">
        <v>49</v>
      </c>
      <c r="D344" t="s">
        <v>2151</v>
      </c>
      <c r="E344" t="str">
        <f>IF(COUNTIF(Technologie_Wszystkie[IdxWspolny],Technologie_Wszystkie[[#This Row],[IdxWspolny]])&gt;1,"DUBEL","OK")</f>
        <v>OK</v>
      </c>
    </row>
    <row r="345" spans="1:5" x14ac:dyDescent="0.25">
      <c r="A345" t="s">
        <v>3431</v>
      </c>
      <c r="B345" t="s">
        <v>3432</v>
      </c>
      <c r="C345" t="s">
        <v>5</v>
      </c>
      <c r="D345" t="s">
        <v>1354</v>
      </c>
      <c r="E345" t="str">
        <f>IF(COUNTIF(Technologie_Wszystkie[IdxWspolny],Technologie_Wszystkie[[#This Row],[IdxWspolny]])&gt;1,"DUBEL","OK")</f>
        <v>OK</v>
      </c>
    </row>
    <row r="346" spans="1:5" x14ac:dyDescent="0.25">
      <c r="A346" t="s">
        <v>2522</v>
      </c>
      <c r="B346" t="s">
        <v>2523</v>
      </c>
      <c r="C346" t="s">
        <v>5</v>
      </c>
      <c r="D346" t="s">
        <v>1354</v>
      </c>
      <c r="E346" t="str">
        <f>IF(COUNTIF(Technologie_Wszystkie[IdxWspolny],Technologie_Wszystkie[[#This Row],[IdxWspolny]])&gt;1,"DUBEL","OK")</f>
        <v>OK</v>
      </c>
    </row>
    <row r="347" spans="1:5" x14ac:dyDescent="0.25">
      <c r="A347" t="s">
        <v>1010</v>
      </c>
      <c r="B347" t="s">
        <v>1011</v>
      </c>
      <c r="C347" t="s">
        <v>5</v>
      </c>
      <c r="D347" t="s">
        <v>1354</v>
      </c>
      <c r="E347" t="str">
        <f>IF(COUNTIF(Technologie_Wszystkie[IdxWspolny],Technologie_Wszystkie[[#This Row],[IdxWspolny]])&gt;1,"DUBEL","OK")</f>
        <v>OK</v>
      </c>
    </row>
    <row r="348" spans="1:5" x14ac:dyDescent="0.25">
      <c r="A348" t="s">
        <v>2072</v>
      </c>
      <c r="B348" t="s">
        <v>2073</v>
      </c>
      <c r="C348" t="s">
        <v>5</v>
      </c>
      <c r="D348" t="s">
        <v>1354</v>
      </c>
      <c r="E348" t="str">
        <f>IF(COUNTIF(Technologie_Wszystkie[IdxWspolny],Technologie_Wszystkie[[#This Row],[IdxWspolny]])&gt;1,"DUBEL","OK")</f>
        <v>OK</v>
      </c>
    </row>
    <row r="349" spans="1:5" x14ac:dyDescent="0.25">
      <c r="A349" t="s">
        <v>2078</v>
      </c>
      <c r="B349" t="s">
        <v>2079</v>
      </c>
      <c r="C349" t="s">
        <v>5</v>
      </c>
      <c r="D349" t="s">
        <v>1354</v>
      </c>
      <c r="E349" t="str">
        <f>IF(COUNTIF(Technologie_Wszystkie[IdxWspolny],Technologie_Wszystkie[[#This Row],[IdxWspolny]])&gt;1,"DUBEL","OK")</f>
        <v>OK</v>
      </c>
    </row>
    <row r="350" spans="1:5" x14ac:dyDescent="0.25">
      <c r="A350" t="s">
        <v>3698</v>
      </c>
      <c r="B350" t="s">
        <v>3699</v>
      </c>
      <c r="C350" t="s">
        <v>5</v>
      </c>
      <c r="D350" t="s">
        <v>1768</v>
      </c>
      <c r="E350" t="str">
        <f>IF(COUNTIF(Technologie_Wszystkie[IdxWspolny],Technologie_Wszystkie[[#This Row],[IdxWspolny]])&gt;1,"DUBEL","OK")</f>
        <v>OK</v>
      </c>
    </row>
    <row r="351" spans="1:5" x14ac:dyDescent="0.25">
      <c r="A351" t="s">
        <v>2161</v>
      </c>
      <c r="B351" t="s">
        <v>2162</v>
      </c>
      <c r="C351" t="s">
        <v>5</v>
      </c>
      <c r="D351" t="s">
        <v>1354</v>
      </c>
      <c r="E351" t="str">
        <f>IF(COUNTIF(Technologie_Wszystkie[IdxWspolny],Technologie_Wszystkie[[#This Row],[IdxWspolny]])&gt;1,"DUBEL","OK")</f>
        <v>OK</v>
      </c>
    </row>
    <row r="352" spans="1:5" x14ac:dyDescent="0.25">
      <c r="A352" t="s">
        <v>1788</v>
      </c>
      <c r="B352" t="s">
        <v>1789</v>
      </c>
      <c r="C352" t="s">
        <v>5</v>
      </c>
      <c r="D352" t="s">
        <v>1354</v>
      </c>
      <c r="E352" t="str">
        <f>IF(COUNTIF(Technologie_Wszystkie[IdxWspolny],Technologie_Wszystkie[[#This Row],[IdxWspolny]])&gt;1,"DUBEL","OK")</f>
        <v>OK</v>
      </c>
    </row>
    <row r="353" spans="1:5" x14ac:dyDescent="0.25">
      <c r="A353" t="s">
        <v>1743</v>
      </c>
      <c r="B353" t="s">
        <v>1744</v>
      </c>
      <c r="C353" t="s">
        <v>5</v>
      </c>
      <c r="D353" t="s">
        <v>1354</v>
      </c>
      <c r="E353" t="str">
        <f>IF(COUNTIF(Technologie_Wszystkie[IdxWspolny],Technologie_Wszystkie[[#This Row],[IdxWspolny]])&gt;1,"DUBEL","OK")</f>
        <v>OK</v>
      </c>
    </row>
    <row r="354" spans="1:5" x14ac:dyDescent="0.25">
      <c r="A354" t="s">
        <v>3574</v>
      </c>
      <c r="B354" t="s">
        <v>3575</v>
      </c>
      <c r="C354" t="s">
        <v>5</v>
      </c>
      <c r="D354" t="s">
        <v>1354</v>
      </c>
      <c r="E354" t="str">
        <f>IF(COUNTIF(Technologie_Wszystkie[IdxWspolny],Technologie_Wszystkie[[#This Row],[IdxWspolny]])&gt;1,"DUBEL","OK")</f>
        <v>OK</v>
      </c>
    </row>
    <row r="355" spans="1:5" x14ac:dyDescent="0.25">
      <c r="A355" t="s">
        <v>5013</v>
      </c>
      <c r="B355" t="s">
        <v>5014</v>
      </c>
      <c r="C355" t="s">
        <v>5</v>
      </c>
      <c r="D355" t="s">
        <v>1354</v>
      </c>
      <c r="E355" t="str">
        <f>IF(COUNTIF(Technologie_Wszystkie[IdxWspolny],Technologie_Wszystkie[[#This Row],[IdxWspolny]])&gt;1,"DUBEL","OK")</f>
        <v>OK</v>
      </c>
    </row>
    <row r="356" spans="1:5" x14ac:dyDescent="0.25">
      <c r="A356" t="s">
        <v>1352</v>
      </c>
      <c r="B356" t="s">
        <v>1353</v>
      </c>
      <c r="C356" t="s">
        <v>5</v>
      </c>
      <c r="D356" t="s">
        <v>1354</v>
      </c>
      <c r="E356" t="str">
        <f>IF(COUNTIF(Technologie_Wszystkie[IdxWspolny],Technologie_Wszystkie[[#This Row],[IdxWspolny]])&gt;1,"DUBEL","OK")</f>
        <v>OK</v>
      </c>
    </row>
    <row r="357" spans="1:5" x14ac:dyDescent="0.25">
      <c r="A357" t="s">
        <v>3998</v>
      </c>
      <c r="B357" t="s">
        <v>3999</v>
      </c>
      <c r="C357" t="s">
        <v>5</v>
      </c>
      <c r="D357" t="s">
        <v>1354</v>
      </c>
      <c r="E357" t="str">
        <f>IF(COUNTIF(Technologie_Wszystkie[IdxWspolny],Technologie_Wszystkie[[#This Row],[IdxWspolny]])&gt;1,"DUBEL","OK")</f>
        <v>OK</v>
      </c>
    </row>
    <row r="358" spans="1:5" x14ac:dyDescent="0.25">
      <c r="A358" t="s">
        <v>3914</v>
      </c>
      <c r="B358" t="s">
        <v>3915</v>
      </c>
      <c r="C358" t="s">
        <v>5</v>
      </c>
      <c r="D358" t="s">
        <v>3916</v>
      </c>
      <c r="E358" t="str">
        <f>IF(COUNTIF(Technologie_Wszystkie[IdxWspolny],Technologie_Wszystkie[[#This Row],[IdxWspolny]])&gt;1,"DUBEL","OK")</f>
        <v>OK</v>
      </c>
    </row>
    <row r="359" spans="1:5" x14ac:dyDescent="0.25">
      <c r="A359" t="s">
        <v>1844</v>
      </c>
      <c r="B359" t="s">
        <v>1845</v>
      </c>
      <c r="C359" t="s">
        <v>121</v>
      </c>
      <c r="D359" t="s">
        <v>1846</v>
      </c>
      <c r="E359" t="str">
        <f>IF(COUNTIF(Technologie_Wszystkie[IdxWspolny],Technologie_Wszystkie[[#This Row],[IdxWspolny]])&gt;1,"DUBEL","OK")</f>
        <v>OK</v>
      </c>
    </row>
    <row r="360" spans="1:5" x14ac:dyDescent="0.25">
      <c r="A360" t="s">
        <v>2373</v>
      </c>
      <c r="B360" t="s">
        <v>2374</v>
      </c>
      <c r="C360" t="s">
        <v>49</v>
      </c>
      <c r="D360" t="s">
        <v>2112</v>
      </c>
      <c r="E360" t="str">
        <f>IF(COUNTIF(Technologie_Wszystkie[IdxWspolny],Technologie_Wszystkie[[#This Row],[IdxWspolny]])&gt;1,"DUBEL","OK")</f>
        <v>OK</v>
      </c>
    </row>
    <row r="361" spans="1:5" x14ac:dyDescent="0.25">
      <c r="A361" t="s">
        <v>740</v>
      </c>
      <c r="B361" t="s">
        <v>741</v>
      </c>
      <c r="C361" t="s">
        <v>743</v>
      </c>
      <c r="D361" t="s">
        <v>742</v>
      </c>
      <c r="E361" t="str">
        <f>IF(COUNTIF(Technologie_Wszystkie[IdxWspolny],Technologie_Wszystkie[[#This Row],[IdxWspolny]])&gt;1,"DUBEL","OK")</f>
        <v>OK</v>
      </c>
    </row>
    <row r="362" spans="1:5" x14ac:dyDescent="0.25">
      <c r="A362" t="s">
        <v>1847</v>
      </c>
      <c r="B362" t="s">
        <v>1848</v>
      </c>
      <c r="C362" t="s">
        <v>121</v>
      </c>
      <c r="D362" t="s">
        <v>1849</v>
      </c>
      <c r="E362" t="str">
        <f>IF(COUNTIF(Technologie_Wszystkie[IdxWspolny],Technologie_Wszystkie[[#This Row],[IdxWspolny]])&gt;1,"DUBEL","OK")</f>
        <v>OK</v>
      </c>
    </row>
    <row r="363" spans="1:5" x14ac:dyDescent="0.25">
      <c r="A363" t="s">
        <v>2703</v>
      </c>
      <c r="B363" t="s">
        <v>2704</v>
      </c>
      <c r="C363" t="s">
        <v>17</v>
      </c>
      <c r="D363" t="s">
        <v>216</v>
      </c>
      <c r="E363" t="str">
        <f>IF(COUNTIF(Technologie_Wszystkie[IdxWspolny],Technologie_Wszystkie[[#This Row],[IdxWspolny]])&gt;1,"DUBEL","OK")</f>
        <v>OK</v>
      </c>
    </row>
    <row r="364" spans="1:5" x14ac:dyDescent="0.25">
      <c r="A364" t="s">
        <v>5574</v>
      </c>
      <c r="B364" t="s">
        <v>5575</v>
      </c>
      <c r="C364" t="s">
        <v>121</v>
      </c>
      <c r="D364" t="s">
        <v>5576</v>
      </c>
      <c r="E364" t="str">
        <f>IF(COUNTIF(Technologie_Wszystkie[IdxWspolny],Technologie_Wszystkie[[#This Row],[IdxWspolny]])&gt;1,"DUBEL","OK")</f>
        <v>OK</v>
      </c>
    </row>
    <row r="365" spans="1:5" x14ac:dyDescent="0.25">
      <c r="A365" t="s">
        <v>1736</v>
      </c>
      <c r="B365" t="s">
        <v>3929</v>
      </c>
      <c r="C365" t="s">
        <v>49</v>
      </c>
      <c r="D365" t="s">
        <v>3930</v>
      </c>
      <c r="E365" t="str">
        <f>IF(COUNTIF(Technologie_Wszystkie[IdxWspolny],Technologie_Wszystkie[[#This Row],[IdxWspolny]])&gt;1,"DUBEL","OK")</f>
        <v>OK</v>
      </c>
    </row>
    <row r="366" spans="1:5" hidden="1" x14ac:dyDescent="0.25"/>
    <row r="367" spans="1:5" x14ac:dyDescent="0.25">
      <c r="A367" t="s">
        <v>2375</v>
      </c>
      <c r="B367" t="s">
        <v>2376</v>
      </c>
      <c r="C367" t="s">
        <v>2378</v>
      </c>
      <c r="D367" t="s">
        <v>2377</v>
      </c>
      <c r="E367" t="str">
        <f>IF(COUNTIF(Technologie_Wszystkie[IdxWspolny],Technologie_Wszystkie[[#This Row],[IdxWspolny]])&gt;1,"DUBEL","OK")</f>
        <v>OK</v>
      </c>
    </row>
    <row r="368" spans="1:5" x14ac:dyDescent="0.25">
      <c r="A368" t="s">
        <v>514</v>
      </c>
      <c r="B368" t="s">
        <v>515</v>
      </c>
      <c r="C368" t="s">
        <v>121</v>
      </c>
      <c r="D368" t="s">
        <v>516</v>
      </c>
      <c r="E368" t="str">
        <f>IF(COUNTIF(Technologie_Wszystkie[IdxWspolny],Technologie_Wszystkie[[#This Row],[IdxWspolny]])&gt;1,"DUBEL","OK")</f>
        <v>OK</v>
      </c>
    </row>
    <row r="369" spans="1:5" x14ac:dyDescent="0.25">
      <c r="A369" t="s">
        <v>934</v>
      </c>
      <c r="B369" t="s">
        <v>935</v>
      </c>
      <c r="C369" t="s">
        <v>121</v>
      </c>
      <c r="D369" t="s">
        <v>936</v>
      </c>
      <c r="E369" t="str">
        <f>IF(COUNTIF(Technologie_Wszystkie[IdxWspolny],Technologie_Wszystkie[[#This Row],[IdxWspolny]])&gt;1,"DUBEL","OK")</f>
        <v>OK</v>
      </c>
    </row>
    <row r="370" spans="1:5" x14ac:dyDescent="0.25">
      <c r="A370" t="s">
        <v>3463</v>
      </c>
      <c r="B370" t="s">
        <v>3464</v>
      </c>
      <c r="C370" t="s">
        <v>121</v>
      </c>
      <c r="D370" t="s">
        <v>1768</v>
      </c>
      <c r="E370" t="str">
        <f>IF(COUNTIF(Technologie_Wszystkie[IdxWspolny],Technologie_Wszystkie[[#This Row],[IdxWspolny]])&gt;1,"DUBEL","OK")</f>
        <v>OK</v>
      </c>
    </row>
    <row r="371" spans="1:5" x14ac:dyDescent="0.25">
      <c r="A371" t="s">
        <v>1214</v>
      </c>
      <c r="B371" t="s">
        <v>1215</v>
      </c>
      <c r="C371" t="s">
        <v>121</v>
      </c>
      <c r="D371" t="s">
        <v>1216</v>
      </c>
      <c r="E371" t="str">
        <f>IF(COUNTIF(Technologie_Wszystkie[IdxWspolny],Technologie_Wszystkie[[#This Row],[IdxWspolny]])&gt;1,"DUBEL","OK")</f>
        <v>OK</v>
      </c>
    </row>
    <row r="372" spans="1:5" x14ac:dyDescent="0.25">
      <c r="A372" t="s">
        <v>2967</v>
      </c>
      <c r="B372" t="s">
        <v>2968</v>
      </c>
      <c r="C372" t="s">
        <v>49</v>
      </c>
      <c r="D372" t="s">
        <v>2969</v>
      </c>
      <c r="E372" t="str">
        <f>IF(COUNTIF(Technologie_Wszystkie[IdxWspolny],Technologie_Wszystkie[[#This Row],[IdxWspolny]])&gt;1,"DUBEL","OK")</f>
        <v>OK</v>
      </c>
    </row>
    <row r="373" spans="1:5" x14ac:dyDescent="0.25">
      <c r="A373" t="s">
        <v>3210</v>
      </c>
      <c r="B373" t="s">
        <v>3211</v>
      </c>
      <c r="C373" t="s">
        <v>17</v>
      </c>
      <c r="D373" t="s">
        <v>3212</v>
      </c>
      <c r="E373" t="str">
        <f>IF(COUNTIF(Technologie_Wszystkie[IdxWspolny],Technologie_Wszystkie[[#This Row],[IdxWspolny]])&gt;1,"DUBEL","OK")</f>
        <v>OK</v>
      </c>
    </row>
    <row r="374" spans="1:5" x14ac:dyDescent="0.25">
      <c r="A374" t="s">
        <v>3171</v>
      </c>
      <c r="B374" t="s">
        <v>3172</v>
      </c>
      <c r="C374" t="s">
        <v>121</v>
      </c>
      <c r="D374" t="s">
        <v>1087</v>
      </c>
      <c r="E374" t="str">
        <f>IF(COUNTIF(Technologie_Wszystkie[IdxWspolny],Technologie_Wszystkie[[#This Row],[IdxWspolny]])&gt;1,"DUBEL","OK")</f>
        <v>OK</v>
      </c>
    </row>
    <row r="375" spans="1:5" x14ac:dyDescent="0.25">
      <c r="A375" t="s">
        <v>5332</v>
      </c>
      <c r="B375" t="s">
        <v>5333</v>
      </c>
      <c r="C375" t="s">
        <v>17</v>
      </c>
      <c r="D375" t="s">
        <v>1768</v>
      </c>
      <c r="E375" t="str">
        <f>IF(COUNTIF(Technologie_Wszystkie[IdxWspolny],Technologie_Wszystkie[[#This Row],[IdxWspolny]])&gt;1,"DUBEL","OK")</f>
        <v>OK</v>
      </c>
    </row>
    <row r="376" spans="1:5" x14ac:dyDescent="0.25">
      <c r="A376" t="s">
        <v>5354</v>
      </c>
      <c r="B376" t="s">
        <v>5355</v>
      </c>
      <c r="C376" t="s">
        <v>49</v>
      </c>
      <c r="D376" t="s">
        <v>1768</v>
      </c>
      <c r="E376" t="str">
        <f>IF(COUNTIF(Technologie_Wszystkie[IdxWspolny],Technologie_Wszystkie[[#This Row],[IdxWspolny]])&gt;1,"DUBEL","OK")</f>
        <v>OK</v>
      </c>
    </row>
    <row r="377" spans="1:5" x14ac:dyDescent="0.25">
      <c r="A377" t="s">
        <v>5356</v>
      </c>
      <c r="B377" t="s">
        <v>5357</v>
      </c>
      <c r="C377" t="s">
        <v>49</v>
      </c>
      <c r="D377" t="s">
        <v>1768</v>
      </c>
      <c r="E377" t="str">
        <f>IF(COUNTIF(Technologie_Wszystkie[IdxWspolny],Technologie_Wszystkie[[#This Row],[IdxWspolny]])&gt;1,"DUBEL","OK")</f>
        <v>OK</v>
      </c>
    </row>
    <row r="378" spans="1:5" x14ac:dyDescent="0.25">
      <c r="A378" t="s">
        <v>5358</v>
      </c>
      <c r="B378" t="s">
        <v>5359</v>
      </c>
      <c r="C378" t="s">
        <v>49</v>
      </c>
      <c r="D378" t="s">
        <v>1768</v>
      </c>
      <c r="E378" t="str">
        <f>IF(COUNTIF(Technologie_Wszystkie[IdxWspolny],Technologie_Wszystkie[[#This Row],[IdxWspolny]])&gt;1,"DUBEL","OK")</f>
        <v>OK</v>
      </c>
    </row>
    <row r="379" spans="1:5" x14ac:dyDescent="0.25">
      <c r="A379" t="s">
        <v>5360</v>
      </c>
      <c r="B379" t="s">
        <v>5361</v>
      </c>
      <c r="C379" t="s">
        <v>49</v>
      </c>
      <c r="D379" t="s">
        <v>1768</v>
      </c>
      <c r="E379" t="str">
        <f>IF(COUNTIF(Technologie_Wszystkie[IdxWspolny],Technologie_Wszystkie[[#This Row],[IdxWspolny]])&gt;1,"DUBEL","OK")</f>
        <v>OK</v>
      </c>
    </row>
    <row r="380" spans="1:5" x14ac:dyDescent="0.25">
      <c r="A380" t="s">
        <v>5362</v>
      </c>
      <c r="B380" t="s">
        <v>5363</v>
      </c>
      <c r="C380" t="s">
        <v>49</v>
      </c>
      <c r="D380" t="s">
        <v>1768</v>
      </c>
      <c r="E380" t="str">
        <f>IF(COUNTIF(Technologie_Wszystkie[IdxWspolny],Technologie_Wszystkie[[#This Row],[IdxWspolny]])&gt;1,"DUBEL","OK")</f>
        <v>OK</v>
      </c>
    </row>
    <row r="381" spans="1:5" x14ac:dyDescent="0.25">
      <c r="A381" t="s">
        <v>2738</v>
      </c>
      <c r="B381" t="s">
        <v>2739</v>
      </c>
      <c r="C381" t="s">
        <v>121</v>
      </c>
      <c r="D381" t="s">
        <v>168</v>
      </c>
      <c r="E381" t="str">
        <f>IF(COUNTIF(Technologie_Wszystkie[IdxWspolny],Technologie_Wszystkie[[#This Row],[IdxWspolny]])&gt;1,"DUBEL","OK")</f>
        <v>OK</v>
      </c>
    </row>
    <row r="382" spans="1:5" x14ac:dyDescent="0.25">
      <c r="A382" t="s">
        <v>36</v>
      </c>
      <c r="B382" t="s">
        <v>37</v>
      </c>
      <c r="C382" t="s">
        <v>39</v>
      </c>
      <c r="D382" t="s">
        <v>38</v>
      </c>
      <c r="E382" t="str">
        <f>IF(COUNTIF(Technologie_Wszystkie[IdxWspolny],Technologie_Wszystkie[[#This Row],[IdxWspolny]])&gt;1,"DUBEL","OK")</f>
        <v>OK</v>
      </c>
    </row>
    <row r="383" spans="1:5" x14ac:dyDescent="0.25">
      <c r="A383" t="s">
        <v>248</v>
      </c>
      <c r="B383" t="s">
        <v>249</v>
      </c>
      <c r="C383" t="s">
        <v>39</v>
      </c>
      <c r="D383" t="s">
        <v>70</v>
      </c>
      <c r="E383" t="str">
        <f>IF(COUNTIF(Technologie_Wszystkie[IdxWspolny],Technologie_Wszystkie[[#This Row],[IdxWspolny]])&gt;1,"DUBEL","OK")</f>
        <v>OK</v>
      </c>
    </row>
    <row r="384" spans="1:5" x14ac:dyDescent="0.25">
      <c r="A384" t="s">
        <v>115</v>
      </c>
      <c r="B384" t="s">
        <v>116</v>
      </c>
      <c r="C384" t="s">
        <v>39</v>
      </c>
      <c r="D384" t="s">
        <v>117</v>
      </c>
      <c r="E384" t="str">
        <f>IF(COUNTIF(Technologie_Wszystkie[IdxWspolny],Technologie_Wszystkie[[#This Row],[IdxWspolny]])&gt;1,"DUBEL","OK")</f>
        <v>OK</v>
      </c>
    </row>
    <row r="385" spans="1:5" x14ac:dyDescent="0.25">
      <c r="A385" t="s">
        <v>261</v>
      </c>
      <c r="B385" t="s">
        <v>262</v>
      </c>
      <c r="C385" t="s">
        <v>39</v>
      </c>
      <c r="D385" t="s">
        <v>263</v>
      </c>
      <c r="E385" t="str">
        <f>IF(COUNTIF(Technologie_Wszystkie[IdxWspolny],Technologie_Wszystkie[[#This Row],[IdxWspolny]])&gt;1,"DUBEL","OK")</f>
        <v>OK</v>
      </c>
    </row>
    <row r="386" spans="1:5" x14ac:dyDescent="0.25">
      <c r="A386" t="s">
        <v>81</v>
      </c>
      <c r="B386" t="s">
        <v>82</v>
      </c>
      <c r="C386" t="s">
        <v>39</v>
      </c>
      <c r="D386" t="s">
        <v>83</v>
      </c>
      <c r="E386" t="str">
        <f>IF(COUNTIF(Technologie_Wszystkie[IdxWspolny],Technologie_Wszystkie[[#This Row],[IdxWspolny]])&gt;1,"DUBEL","OK")</f>
        <v>OK</v>
      </c>
    </row>
    <row r="387" spans="1:5" x14ac:dyDescent="0.25">
      <c r="A387" t="s">
        <v>2794</v>
      </c>
      <c r="B387" t="s">
        <v>2795</v>
      </c>
      <c r="C387" t="s">
        <v>121</v>
      </c>
      <c r="D387" t="s">
        <v>712</v>
      </c>
      <c r="E387" t="str">
        <f>IF(COUNTIF(Technologie_Wszystkie[IdxWspolny],Technologie_Wszystkie[[#This Row],[IdxWspolny]])&gt;1,"DUBEL","OK")</f>
        <v>OK</v>
      </c>
    </row>
    <row r="388" spans="1:5" x14ac:dyDescent="0.25">
      <c r="A388" t="s">
        <v>2852</v>
      </c>
      <c r="B388" t="s">
        <v>2853</v>
      </c>
      <c r="C388" t="s">
        <v>49</v>
      </c>
      <c r="D388" t="s">
        <v>2854</v>
      </c>
      <c r="E388" t="str">
        <f>IF(COUNTIF(Technologie_Wszystkie[IdxWspolny],Technologie_Wszystkie[[#This Row],[IdxWspolny]])&gt;1,"DUBEL","OK")</f>
        <v>OK</v>
      </c>
    </row>
    <row r="389" spans="1:5" x14ac:dyDescent="0.25">
      <c r="A389" t="s">
        <v>3231</v>
      </c>
      <c r="B389" t="s">
        <v>3232</v>
      </c>
      <c r="C389" t="s">
        <v>121</v>
      </c>
      <c r="D389" t="s">
        <v>3233</v>
      </c>
      <c r="E389" t="str">
        <f>IF(COUNTIF(Technologie_Wszystkie[IdxWspolny],Technologie_Wszystkie[[#This Row],[IdxWspolny]])&gt;1,"DUBEL","OK")</f>
        <v>OK</v>
      </c>
    </row>
    <row r="390" spans="1:5" x14ac:dyDescent="0.25">
      <c r="A390" t="s">
        <v>3173</v>
      </c>
      <c r="B390" t="s">
        <v>3174</v>
      </c>
      <c r="C390" t="s">
        <v>121</v>
      </c>
      <c r="D390" t="s">
        <v>3175</v>
      </c>
      <c r="E390" t="str">
        <f>IF(COUNTIF(Technologie_Wszystkie[IdxWspolny],Technologie_Wszystkie[[#This Row],[IdxWspolny]])&gt;1,"DUBEL","OK")</f>
        <v>OK</v>
      </c>
    </row>
    <row r="391" spans="1:5" x14ac:dyDescent="0.25">
      <c r="A391" t="s">
        <v>3213</v>
      </c>
      <c r="B391" t="s">
        <v>3214</v>
      </c>
      <c r="C391" t="s">
        <v>121</v>
      </c>
      <c r="D391" t="s">
        <v>2693</v>
      </c>
      <c r="E391" t="str">
        <f>IF(COUNTIF(Technologie_Wszystkie[IdxWspolny],Technologie_Wszystkie[[#This Row],[IdxWspolny]])&gt;1,"DUBEL","OK")</f>
        <v>OK</v>
      </c>
    </row>
    <row r="392" spans="1:5" x14ac:dyDescent="0.25">
      <c r="A392" t="s">
        <v>3176</v>
      </c>
      <c r="B392" t="s">
        <v>3177</v>
      </c>
      <c r="C392" t="s">
        <v>121</v>
      </c>
      <c r="D392" t="s">
        <v>3178</v>
      </c>
      <c r="E392" t="str">
        <f>IF(COUNTIF(Technologie_Wszystkie[IdxWspolny],Technologie_Wszystkie[[#This Row],[IdxWspolny]])&gt;1,"DUBEL","OK")</f>
        <v>OK</v>
      </c>
    </row>
    <row r="393" spans="1:5" x14ac:dyDescent="0.25">
      <c r="A393" t="s">
        <v>3465</v>
      </c>
      <c r="B393" t="s">
        <v>3466</v>
      </c>
      <c r="C393" t="s">
        <v>121</v>
      </c>
      <c r="D393" t="s">
        <v>1768</v>
      </c>
      <c r="E393" t="str">
        <f>IF(COUNTIF(Technologie_Wszystkie[IdxWspolny],Technologie_Wszystkie[[#This Row],[IdxWspolny]])&gt;1,"DUBEL","OK")</f>
        <v>OK</v>
      </c>
    </row>
    <row r="394" spans="1:5" x14ac:dyDescent="0.25">
      <c r="A394" t="s">
        <v>3467</v>
      </c>
      <c r="B394" t="s">
        <v>3468</v>
      </c>
      <c r="C394" t="s">
        <v>121</v>
      </c>
      <c r="D394" t="s">
        <v>1768</v>
      </c>
      <c r="E394" t="str">
        <f>IF(COUNTIF(Technologie_Wszystkie[IdxWspolny],Technologie_Wszystkie[[#This Row],[IdxWspolny]])&gt;1,"DUBEL","OK")</f>
        <v>OK</v>
      </c>
    </row>
    <row r="395" spans="1:5" x14ac:dyDescent="0.25">
      <c r="A395" t="s">
        <v>3469</v>
      </c>
      <c r="B395" t="s">
        <v>3470</v>
      </c>
      <c r="C395" t="s">
        <v>121</v>
      </c>
      <c r="D395" t="s">
        <v>1768</v>
      </c>
      <c r="E395" t="str">
        <f>IF(COUNTIF(Technologie_Wszystkie[IdxWspolny],Technologie_Wszystkie[[#This Row],[IdxWspolny]])&gt;1,"DUBEL","OK")</f>
        <v>OK</v>
      </c>
    </row>
    <row r="396" spans="1:5" x14ac:dyDescent="0.25">
      <c r="A396" t="s">
        <v>3471</v>
      </c>
      <c r="B396" t="s">
        <v>3472</v>
      </c>
      <c r="C396" t="s">
        <v>121</v>
      </c>
      <c r="D396" t="s">
        <v>1768</v>
      </c>
      <c r="E396" t="str">
        <f>IF(COUNTIF(Technologie_Wszystkie[IdxWspolny],Technologie_Wszystkie[[#This Row],[IdxWspolny]])&gt;1,"DUBEL","OK")</f>
        <v>OK</v>
      </c>
    </row>
    <row r="397" spans="1:5" x14ac:dyDescent="0.25">
      <c r="A397" t="s">
        <v>2379</v>
      </c>
      <c r="B397" t="s">
        <v>2380</v>
      </c>
      <c r="C397" t="s">
        <v>121</v>
      </c>
      <c r="D397" t="s">
        <v>328</v>
      </c>
      <c r="E397" t="str">
        <f>IF(COUNTIF(Technologie_Wszystkie[IdxWspolny],Technologie_Wszystkie[[#This Row],[IdxWspolny]])&gt;1,"DUBEL","OK")</f>
        <v>OK</v>
      </c>
    </row>
    <row r="398" spans="1:5" x14ac:dyDescent="0.25">
      <c r="A398" t="s">
        <v>3616</v>
      </c>
      <c r="B398" t="s">
        <v>3617</v>
      </c>
      <c r="C398" t="s">
        <v>121</v>
      </c>
      <c r="D398" t="s">
        <v>3618</v>
      </c>
      <c r="E398" t="str">
        <f>IF(COUNTIF(Technologie_Wszystkie[IdxWspolny],Technologie_Wszystkie[[#This Row],[IdxWspolny]])&gt;1,"DUBEL","OK")</f>
        <v>OK</v>
      </c>
    </row>
    <row r="399" spans="1:5" x14ac:dyDescent="0.25">
      <c r="A399" t="s">
        <v>5449</v>
      </c>
      <c r="B399" t="s">
        <v>5450</v>
      </c>
      <c r="C399" t="s">
        <v>49</v>
      </c>
      <c r="D399" t="s">
        <v>1768</v>
      </c>
      <c r="E399" t="str">
        <f>IF(COUNTIF(Technologie_Wszystkie[IdxWspolny],Technologie_Wszystkie[[#This Row],[IdxWspolny]])&gt;1,"DUBEL","OK")</f>
        <v>OK</v>
      </c>
    </row>
    <row r="400" spans="1:5" x14ac:dyDescent="0.25">
      <c r="A400" t="s">
        <v>5429</v>
      </c>
      <c r="B400" t="s">
        <v>5430</v>
      </c>
      <c r="C400" t="s">
        <v>49</v>
      </c>
      <c r="D400" t="s">
        <v>1768</v>
      </c>
      <c r="E400" t="str">
        <f>IF(COUNTIF(Technologie_Wszystkie[IdxWspolny],Technologie_Wszystkie[[#This Row],[IdxWspolny]])&gt;1,"DUBEL","OK")</f>
        <v>OK</v>
      </c>
    </row>
    <row r="401" spans="1:5" x14ac:dyDescent="0.25">
      <c r="A401" t="s">
        <v>2060</v>
      </c>
      <c r="B401" t="s">
        <v>2061</v>
      </c>
      <c r="C401" t="s">
        <v>49</v>
      </c>
      <c r="D401" t="s">
        <v>2062</v>
      </c>
      <c r="E401" t="str">
        <f>IF(COUNTIF(Technologie_Wszystkie[IdxWspolny],Technologie_Wszystkie[[#This Row],[IdxWspolny]])&gt;1,"DUBEL","OK")</f>
        <v>OK</v>
      </c>
    </row>
    <row r="402" spans="1:5" x14ac:dyDescent="0.25">
      <c r="A402" t="s">
        <v>977</v>
      </c>
      <c r="B402" t="s">
        <v>978</v>
      </c>
      <c r="C402" t="s">
        <v>121</v>
      </c>
      <c r="D402" t="s">
        <v>5334</v>
      </c>
      <c r="E402" t="str">
        <f>IF(COUNTIF(Technologie_Wszystkie[IdxWspolny],Technologie_Wszystkie[[#This Row],[IdxWspolny]])&gt;1,"DUBEL","OK")</f>
        <v>OK</v>
      </c>
    </row>
    <row r="403" spans="1:5" x14ac:dyDescent="0.25">
      <c r="A403" t="s">
        <v>704</v>
      </c>
      <c r="B403" t="s">
        <v>705</v>
      </c>
      <c r="C403" t="s">
        <v>121</v>
      </c>
      <c r="D403" t="s">
        <v>744</v>
      </c>
      <c r="E403" t="str">
        <f>IF(COUNTIF(Technologie_Wszystkie[IdxWspolny],Technologie_Wszystkie[[#This Row],[IdxWspolny]])&gt;1,"DUBEL","OK")</f>
        <v>OK</v>
      </c>
    </row>
    <row r="404" spans="1:5" x14ac:dyDescent="0.25">
      <c r="A404" t="s">
        <v>4661</v>
      </c>
      <c r="B404" t="s">
        <v>4662</v>
      </c>
      <c r="C404" t="s">
        <v>39</v>
      </c>
      <c r="D404" t="s">
        <v>4663</v>
      </c>
      <c r="E404" t="str">
        <f>IF(COUNTIF(Technologie_Wszystkie[IdxWspolny],Technologie_Wszystkie[[#This Row],[IdxWspolny]])&gt;1,"DUBEL","OK")</f>
        <v>OK</v>
      </c>
    </row>
    <row r="405" spans="1:5" x14ac:dyDescent="0.25">
      <c r="A405" t="s">
        <v>5335</v>
      </c>
      <c r="B405" t="s">
        <v>5336</v>
      </c>
      <c r="C405" t="s">
        <v>49</v>
      </c>
      <c r="D405" t="s">
        <v>5337</v>
      </c>
      <c r="E405" t="str">
        <f>IF(COUNTIF(Technologie_Wszystkie[IdxWspolny],Technologie_Wszystkie[[#This Row],[IdxWspolny]])&gt;1,"DUBEL","OK")</f>
        <v>OK</v>
      </c>
    </row>
    <row r="406" spans="1:5" x14ac:dyDescent="0.25">
      <c r="A406" t="s">
        <v>3182</v>
      </c>
      <c r="B406" t="s">
        <v>3183</v>
      </c>
      <c r="C406" t="s">
        <v>121</v>
      </c>
      <c r="D406" t="s">
        <v>3184</v>
      </c>
      <c r="E406" t="str">
        <f>IF(COUNTIF(Technologie_Wszystkie[IdxWspolny],Technologie_Wszystkie[[#This Row],[IdxWspolny]])&gt;1,"DUBEL","OK")</f>
        <v>OK</v>
      </c>
    </row>
    <row r="407" spans="1:5" x14ac:dyDescent="0.25">
      <c r="A407" t="s">
        <v>1085</v>
      </c>
      <c r="B407" t="s">
        <v>1086</v>
      </c>
      <c r="C407" t="s">
        <v>121</v>
      </c>
      <c r="D407" t="s">
        <v>1087</v>
      </c>
      <c r="E407" t="str">
        <f>IF(COUNTIF(Technologie_Wszystkie[IdxWspolny],Technologie_Wszystkie[[#This Row],[IdxWspolny]])&gt;1,"DUBEL","OK")</f>
        <v>OK</v>
      </c>
    </row>
    <row r="408" spans="1:5" x14ac:dyDescent="0.25">
      <c r="A408" t="s">
        <v>2741</v>
      </c>
      <c r="B408" t="s">
        <v>2742</v>
      </c>
      <c r="C408" t="s">
        <v>121</v>
      </c>
      <c r="D408" t="s">
        <v>2743</v>
      </c>
      <c r="E408" t="str">
        <f>IF(COUNTIF(Technologie_Wszystkie[IdxWspolny],Technologie_Wszystkie[[#This Row],[IdxWspolny]])&gt;1,"DUBEL","OK")</f>
        <v>OK</v>
      </c>
    </row>
    <row r="409" spans="1:5" x14ac:dyDescent="0.25">
      <c r="A409" t="s">
        <v>2614</v>
      </c>
      <c r="B409" t="s">
        <v>2615</v>
      </c>
      <c r="C409" t="s">
        <v>121</v>
      </c>
      <c r="D409" t="s">
        <v>1761</v>
      </c>
      <c r="E409" t="str">
        <f>IF(COUNTIF(Technologie_Wszystkie[IdxWspolny],Technologie_Wszystkie[[#This Row],[IdxWspolny]])&gt;1,"DUBEL","OK")</f>
        <v>OK</v>
      </c>
    </row>
    <row r="410" spans="1:5" x14ac:dyDescent="0.25">
      <c r="A410" t="s">
        <v>3185</v>
      </c>
      <c r="B410" t="s">
        <v>3186</v>
      </c>
      <c r="C410" t="s">
        <v>121</v>
      </c>
      <c r="D410" t="s">
        <v>979</v>
      </c>
      <c r="E410" t="str">
        <f>IF(COUNTIF(Technologie_Wszystkie[IdxWspolny],Technologie_Wszystkie[[#This Row],[IdxWspolny]])&gt;1,"DUBEL","OK")</f>
        <v>OK</v>
      </c>
    </row>
    <row r="411" spans="1:5" x14ac:dyDescent="0.25">
      <c r="A411" t="s">
        <v>4382</v>
      </c>
      <c r="B411" t="s">
        <v>4383</v>
      </c>
      <c r="C411" t="s">
        <v>49</v>
      </c>
      <c r="D411" t="s">
        <v>1768</v>
      </c>
      <c r="E411" t="str">
        <f>IF(COUNTIF(Technologie_Wszystkie[IdxWspolny],Technologie_Wszystkie[[#This Row],[IdxWspolny]])&gt;1,"DUBEL","OK")</f>
        <v>OK</v>
      </c>
    </row>
    <row r="412" spans="1:5" x14ac:dyDescent="0.25">
      <c r="A412" t="s">
        <v>869</v>
      </c>
      <c r="B412" t="s">
        <v>870</v>
      </c>
      <c r="C412" t="s">
        <v>39</v>
      </c>
      <c r="D412" t="s">
        <v>871</v>
      </c>
      <c r="E412" t="str">
        <f>IF(COUNTIF(Technologie_Wszystkie[IdxWspolny],Technologie_Wszystkie[[#This Row],[IdxWspolny]])&gt;1,"DUBEL","OK")</f>
        <v>OK</v>
      </c>
    </row>
    <row r="413" spans="1:5" x14ac:dyDescent="0.25">
      <c r="A413" t="s">
        <v>667</v>
      </c>
      <c r="B413" t="s">
        <v>668</v>
      </c>
      <c r="C413" t="s">
        <v>121</v>
      </c>
      <c r="D413" t="s">
        <v>669</v>
      </c>
      <c r="E413" t="str">
        <f>IF(COUNTIF(Technologie_Wszystkie[IdxWspolny],Technologie_Wszystkie[[#This Row],[IdxWspolny]])&gt;1,"DUBEL","OK")</f>
        <v>OK</v>
      </c>
    </row>
    <row r="414" spans="1:5" x14ac:dyDescent="0.25">
      <c r="A414" t="s">
        <v>2616</v>
      </c>
      <c r="B414" t="s">
        <v>2617</v>
      </c>
      <c r="C414" t="s">
        <v>39</v>
      </c>
      <c r="D414" t="s">
        <v>288</v>
      </c>
      <c r="E414" t="str">
        <f>IF(COUNTIF(Technologie_Wszystkie[IdxWspolny],Technologie_Wszystkie[[#This Row],[IdxWspolny]])&gt;1,"DUBEL","OK")</f>
        <v>OK</v>
      </c>
    </row>
    <row r="415" spans="1:5" x14ac:dyDescent="0.25">
      <c r="A415" t="s">
        <v>2618</v>
      </c>
      <c r="B415" t="s">
        <v>2619</v>
      </c>
      <c r="C415" t="s">
        <v>39</v>
      </c>
      <c r="D415" t="s">
        <v>1768</v>
      </c>
      <c r="E415" t="str">
        <f>IF(COUNTIF(Technologie_Wszystkie[IdxWspolny],Technologie_Wszystkie[[#This Row],[IdxWspolny]])&gt;1,"DUBEL","OK")</f>
        <v>OK</v>
      </c>
    </row>
    <row r="416" spans="1:5" x14ac:dyDescent="0.25">
      <c r="A416" t="s">
        <v>5364</v>
      </c>
      <c r="B416" t="s">
        <v>5365</v>
      </c>
      <c r="C416" t="s">
        <v>49</v>
      </c>
      <c r="D416" t="s">
        <v>1768</v>
      </c>
      <c r="E416" t="str">
        <f>IF(COUNTIF(Technologie_Wszystkie[IdxWspolny],Technologie_Wszystkie[[#This Row],[IdxWspolny]])&gt;1,"DUBEL","OK")</f>
        <v>OK</v>
      </c>
    </row>
    <row r="417" spans="1:5" x14ac:dyDescent="0.25">
      <c r="A417" t="s">
        <v>2056</v>
      </c>
      <c r="B417" t="s">
        <v>2057</v>
      </c>
      <c r="C417" t="s">
        <v>49</v>
      </c>
      <c r="D417" t="s">
        <v>2058</v>
      </c>
      <c r="E417" t="str">
        <f>IF(COUNTIF(Technologie_Wszystkie[IdxWspolny],Technologie_Wszystkie[[#This Row],[IdxWspolny]])&gt;1,"DUBEL","OK")</f>
        <v>OK</v>
      </c>
    </row>
    <row r="418" spans="1:5" x14ac:dyDescent="0.25">
      <c r="A418" t="s">
        <v>4806</v>
      </c>
      <c r="B418" t="s">
        <v>4807</v>
      </c>
      <c r="C418" t="s">
        <v>121</v>
      </c>
      <c r="D418" t="s">
        <v>2857</v>
      </c>
      <c r="E418" t="str">
        <f>IF(COUNTIF(Technologie_Wszystkie[IdxWspolny],Technologie_Wszystkie[[#This Row],[IdxWspolny]])&gt;1,"DUBEL","OK")</f>
        <v>OK</v>
      </c>
    </row>
    <row r="419" spans="1:5" x14ac:dyDescent="0.25">
      <c r="A419" t="s">
        <v>937</v>
      </c>
      <c r="B419" t="s">
        <v>938</v>
      </c>
      <c r="C419" t="s">
        <v>121</v>
      </c>
      <c r="D419" t="s">
        <v>939</v>
      </c>
      <c r="E419" t="str">
        <f>IF(COUNTIF(Technologie_Wszystkie[IdxWspolny],Technologie_Wszystkie[[#This Row],[IdxWspolny]])&gt;1,"DUBEL","OK")</f>
        <v>OK</v>
      </c>
    </row>
    <row r="420" spans="1:5" x14ac:dyDescent="0.25">
      <c r="A420" t="s">
        <v>1082</v>
      </c>
      <c r="B420" t="s">
        <v>1083</v>
      </c>
      <c r="C420" t="s">
        <v>121</v>
      </c>
      <c r="D420" t="s">
        <v>1084</v>
      </c>
      <c r="E420" t="str">
        <f>IF(COUNTIF(Technologie_Wszystkie[IdxWspolny],Technologie_Wszystkie[[#This Row],[IdxWspolny]])&gt;1,"DUBEL","OK")</f>
        <v>OK</v>
      </c>
    </row>
    <row r="421" spans="1:5" x14ac:dyDescent="0.25">
      <c r="A421" t="s">
        <v>2608</v>
      </c>
      <c r="B421" t="s">
        <v>2609</v>
      </c>
      <c r="C421" t="s">
        <v>121</v>
      </c>
      <c r="D421" t="s">
        <v>2610</v>
      </c>
      <c r="E421" t="str">
        <f>IF(COUNTIF(Technologie_Wszystkie[IdxWspolny],Technologie_Wszystkie[[#This Row],[IdxWspolny]])&gt;1,"DUBEL","OK")</f>
        <v>OK</v>
      </c>
    </row>
    <row r="422" spans="1:5" x14ac:dyDescent="0.25">
      <c r="A422" t="s">
        <v>2611</v>
      </c>
      <c r="B422" t="s">
        <v>2612</v>
      </c>
      <c r="C422" t="s">
        <v>121</v>
      </c>
      <c r="D422" t="s">
        <v>2613</v>
      </c>
      <c r="E422" t="str">
        <f>IF(COUNTIF(Technologie_Wszystkie[IdxWspolny],Technologie_Wszystkie[[#This Row],[IdxWspolny]])&gt;1,"DUBEL","OK")</f>
        <v>OK</v>
      </c>
    </row>
    <row r="423" spans="1:5" x14ac:dyDescent="0.25">
      <c r="A423" t="s">
        <v>3179</v>
      </c>
      <c r="B423" t="s">
        <v>3180</v>
      </c>
      <c r="C423" t="s">
        <v>121</v>
      </c>
      <c r="D423" t="s">
        <v>3181</v>
      </c>
      <c r="E423" t="str">
        <f>IF(COUNTIF(Technologie_Wszystkie[IdxWspolny],Technologie_Wszystkie[[#This Row],[IdxWspolny]])&gt;1,"DUBEL","OK")</f>
        <v>OK</v>
      </c>
    </row>
    <row r="424" spans="1:5" x14ac:dyDescent="0.25">
      <c r="A424" t="s">
        <v>3235</v>
      </c>
      <c r="B424" t="s">
        <v>3236</v>
      </c>
      <c r="C424" t="s">
        <v>121</v>
      </c>
      <c r="D424" t="s">
        <v>3237</v>
      </c>
      <c r="E424" t="str">
        <f>IF(COUNTIF(Technologie_Wszystkie[IdxWspolny],Technologie_Wszystkie[[#This Row],[IdxWspolny]])&gt;1,"DUBEL","OK")</f>
        <v>OK</v>
      </c>
    </row>
    <row r="425" spans="1:5" x14ac:dyDescent="0.25">
      <c r="A425" t="s">
        <v>5366</v>
      </c>
      <c r="B425" t="s">
        <v>5367</v>
      </c>
      <c r="C425" t="s">
        <v>39</v>
      </c>
      <c r="D425" t="s">
        <v>5368</v>
      </c>
      <c r="E425" t="str">
        <f>IF(COUNTIF(Technologie_Wszystkie[IdxWspolny],Technologie_Wszystkie[[#This Row],[IdxWspolny]])&gt;1,"DUBEL","OK")</f>
        <v>OK</v>
      </c>
    </row>
    <row r="426" spans="1:5" x14ac:dyDescent="0.25">
      <c r="A426" t="s">
        <v>2917</v>
      </c>
      <c r="B426" t="s">
        <v>2918</v>
      </c>
      <c r="C426" t="s">
        <v>121</v>
      </c>
      <c r="D426" t="s">
        <v>2346</v>
      </c>
      <c r="E426" t="str">
        <f>IF(COUNTIF(Technologie_Wszystkie[IdxWspolny],Technologie_Wszystkie[[#This Row],[IdxWspolny]])&gt;1,"DUBEL","OK")</f>
        <v>OK</v>
      </c>
    </row>
    <row r="427" spans="1:5" x14ac:dyDescent="0.25">
      <c r="A427" t="s">
        <v>2705</v>
      </c>
      <c r="B427" t="s">
        <v>2706</v>
      </c>
      <c r="C427" t="s">
        <v>49</v>
      </c>
      <c r="D427" t="s">
        <v>2707</v>
      </c>
      <c r="E427" t="str">
        <f>IF(COUNTIF(Technologie_Wszystkie[IdxWspolny],Technologie_Wszystkie[[#This Row],[IdxWspolny]])&gt;1,"DUBEL","OK")</f>
        <v>OK</v>
      </c>
    </row>
    <row r="428" spans="1:5" x14ac:dyDescent="0.25">
      <c r="A428" t="s">
        <v>4260</v>
      </c>
      <c r="B428" t="s">
        <v>4261</v>
      </c>
      <c r="C428" t="s">
        <v>121</v>
      </c>
      <c r="D428" t="s">
        <v>4262</v>
      </c>
      <c r="E428" t="str">
        <f>IF(COUNTIF(Technologie_Wszystkie[IdxWspolny],Technologie_Wszystkie[[#This Row],[IdxWspolny]])&gt;1,"DUBEL","OK")</f>
        <v>OK</v>
      </c>
    </row>
    <row r="429" spans="1:5" x14ac:dyDescent="0.25">
      <c r="A429" t="s">
        <v>41</v>
      </c>
      <c r="B429" t="s">
        <v>42</v>
      </c>
      <c r="C429" t="s">
        <v>5</v>
      </c>
      <c r="D429" t="s">
        <v>43</v>
      </c>
      <c r="E429" t="str">
        <f>IF(COUNTIF(Technologie_Wszystkie[IdxWspolny],Technologie_Wszystkie[[#This Row],[IdxWspolny]])&gt;1,"DUBEL","OK")</f>
        <v>OK</v>
      </c>
    </row>
    <row r="430" spans="1:5" x14ac:dyDescent="0.25">
      <c r="A430" t="s">
        <v>2588</v>
      </c>
      <c r="B430" t="s">
        <v>2589</v>
      </c>
      <c r="C430" t="s">
        <v>49</v>
      </c>
      <c r="D430" t="s">
        <v>2590</v>
      </c>
      <c r="E430" t="str">
        <f>IF(COUNTIF(Technologie_Wszystkie[IdxWspolny],Technologie_Wszystkie[[#This Row],[IdxWspolny]])&gt;1,"DUBEL","OK")</f>
        <v>OK</v>
      </c>
    </row>
    <row r="431" spans="1:5" hidden="1" x14ac:dyDescent="0.25"/>
    <row r="432" spans="1:5" x14ac:dyDescent="0.25">
      <c r="A432" t="s">
        <v>2555</v>
      </c>
      <c r="B432" t="s">
        <v>7211</v>
      </c>
      <c r="C432" t="s">
        <v>49</v>
      </c>
      <c r="D432" t="s">
        <v>2557</v>
      </c>
      <c r="E432" t="str">
        <f>IF(COUNTIF(Technologie_Wszystkie[IdxWspolny],Technologie_Wszystkie[[#This Row],[IdxWspolny]])&gt;1,"DUBEL","OK")</f>
        <v>OK</v>
      </c>
    </row>
    <row r="433" spans="1:5" x14ac:dyDescent="0.25">
      <c r="A433" t="s">
        <v>2566</v>
      </c>
      <c r="B433" t="s">
        <v>2567</v>
      </c>
      <c r="C433" t="s">
        <v>49</v>
      </c>
      <c r="D433" t="s">
        <v>2568</v>
      </c>
      <c r="E433" t="str">
        <f>IF(COUNTIF(Technologie_Wszystkie[IdxWspolny],Technologie_Wszystkie[[#This Row],[IdxWspolny]])&gt;1,"DUBEL","OK")</f>
        <v>OK</v>
      </c>
    </row>
    <row r="434" spans="1:5" x14ac:dyDescent="0.25">
      <c r="A434" t="s">
        <v>2573</v>
      </c>
      <c r="B434" t="s">
        <v>2574</v>
      </c>
      <c r="C434" t="s">
        <v>49</v>
      </c>
      <c r="D434" t="s">
        <v>2575</v>
      </c>
      <c r="E434" t="str">
        <f>IF(COUNTIF(Technologie_Wszystkie[IdxWspolny],Technologie_Wszystkie[[#This Row],[IdxWspolny]])&gt;1,"DUBEL","OK")</f>
        <v>OK</v>
      </c>
    </row>
    <row r="435" spans="1:5" x14ac:dyDescent="0.25">
      <c r="A435" t="s">
        <v>5512</v>
      </c>
      <c r="B435" t="s">
        <v>5513</v>
      </c>
      <c r="C435" t="s">
        <v>49</v>
      </c>
      <c r="D435" t="s">
        <v>3119</v>
      </c>
      <c r="E435" t="str">
        <f>IF(COUNTIF(Technologie_Wszystkie[IdxWspolny],Technologie_Wszystkie[[#This Row],[IdxWspolny]])&gt;1,"DUBEL","OK")</f>
        <v>OK</v>
      </c>
    </row>
    <row r="436" spans="1:5" x14ac:dyDescent="0.25">
      <c r="A436" t="s">
        <v>5515</v>
      </c>
      <c r="B436" t="s">
        <v>5516</v>
      </c>
      <c r="C436" t="s">
        <v>49</v>
      </c>
      <c r="D436" t="s">
        <v>5517</v>
      </c>
      <c r="E436" t="str">
        <f>IF(COUNTIF(Technologie_Wszystkie[IdxWspolny],Technologie_Wszystkie[[#This Row],[IdxWspolny]])&gt;1,"DUBEL","OK")</f>
        <v>OK</v>
      </c>
    </row>
    <row r="437" spans="1:5" x14ac:dyDescent="0.25">
      <c r="A437" t="s">
        <v>5518</v>
      </c>
      <c r="B437" t="s">
        <v>5519</v>
      </c>
      <c r="C437" t="s">
        <v>49</v>
      </c>
      <c r="D437" t="s">
        <v>5520</v>
      </c>
      <c r="E437" t="str">
        <f>IF(COUNTIF(Technologie_Wszystkie[IdxWspolny],Technologie_Wszystkie[[#This Row],[IdxWspolny]])&gt;1,"DUBEL","OK")</f>
        <v>OK</v>
      </c>
    </row>
    <row r="438" spans="1:5" x14ac:dyDescent="0.25">
      <c r="A438" t="s">
        <v>5523</v>
      </c>
      <c r="B438" t="s">
        <v>5524</v>
      </c>
      <c r="C438" t="s">
        <v>49</v>
      </c>
      <c r="D438" t="s">
        <v>2356</v>
      </c>
      <c r="E438" t="str">
        <f>IF(COUNTIF(Technologie_Wszystkie[IdxWspolny],Technologie_Wszystkie[[#This Row],[IdxWspolny]])&gt;1,"DUBEL","OK")</f>
        <v>OK</v>
      </c>
    </row>
    <row r="439" spans="1:5" x14ac:dyDescent="0.25">
      <c r="A439" t="s">
        <v>5534</v>
      </c>
      <c r="B439" t="s">
        <v>5535</v>
      </c>
      <c r="C439" t="s">
        <v>49</v>
      </c>
      <c r="D439" t="s">
        <v>5536</v>
      </c>
      <c r="E439" t="str">
        <f>IF(COUNTIF(Technologie_Wszystkie[IdxWspolny],Technologie_Wszystkie[[#This Row],[IdxWspolny]])&gt;1,"DUBEL","OK")</f>
        <v>OK</v>
      </c>
    </row>
    <row r="440" spans="1:5" x14ac:dyDescent="0.25">
      <c r="A440" t="s">
        <v>5537</v>
      </c>
      <c r="B440" t="s">
        <v>5538</v>
      </c>
      <c r="C440" t="s">
        <v>49</v>
      </c>
      <c r="D440" t="s">
        <v>3189</v>
      </c>
      <c r="E440" t="str">
        <f>IF(COUNTIF(Technologie_Wszystkie[IdxWspolny],Technologie_Wszystkie[[#This Row],[IdxWspolny]])&gt;1,"DUBEL","OK")</f>
        <v>OK</v>
      </c>
    </row>
    <row r="441" spans="1:5" x14ac:dyDescent="0.25">
      <c r="A441" t="s">
        <v>5543</v>
      </c>
      <c r="B441" t="s">
        <v>5544</v>
      </c>
      <c r="C441" t="s">
        <v>49</v>
      </c>
      <c r="D441" t="s">
        <v>3163</v>
      </c>
      <c r="E441" t="str">
        <f>IF(COUNTIF(Technologie_Wszystkie[IdxWspolny],Technologie_Wszystkie[[#This Row],[IdxWspolny]])&gt;1,"DUBEL","OK")</f>
        <v>OK</v>
      </c>
    </row>
    <row r="442" spans="1:5" x14ac:dyDescent="0.25">
      <c r="A442" t="s">
        <v>5540</v>
      </c>
      <c r="B442" t="s">
        <v>5541</v>
      </c>
      <c r="C442" t="s">
        <v>49</v>
      </c>
      <c r="D442" t="s">
        <v>3163</v>
      </c>
      <c r="E442" t="str">
        <f>IF(COUNTIF(Technologie_Wszystkie[IdxWspolny],Technologie_Wszystkie[[#This Row],[IdxWspolny]])&gt;1,"DUBEL","OK")</f>
        <v>OK</v>
      </c>
    </row>
    <row r="443" spans="1:5" x14ac:dyDescent="0.25">
      <c r="A443" t="s">
        <v>5550</v>
      </c>
      <c r="B443" t="s">
        <v>5551</v>
      </c>
      <c r="C443" t="s">
        <v>49</v>
      </c>
      <c r="D443" t="s">
        <v>5552</v>
      </c>
      <c r="E443" t="str">
        <f>IF(COUNTIF(Technologie_Wszystkie[IdxWspolny],Technologie_Wszystkie[[#This Row],[IdxWspolny]])&gt;1,"DUBEL","OK")</f>
        <v>OK</v>
      </c>
    </row>
    <row r="444" spans="1:5" x14ac:dyDescent="0.25">
      <c r="A444" t="s">
        <v>5546</v>
      </c>
      <c r="B444" t="s">
        <v>5547</v>
      </c>
      <c r="C444" t="s">
        <v>49</v>
      </c>
      <c r="D444" t="s">
        <v>5548</v>
      </c>
      <c r="E444" t="str">
        <f>IF(COUNTIF(Technologie_Wszystkie[IdxWspolny],Technologie_Wszystkie[[#This Row],[IdxWspolny]])&gt;1,"DUBEL","OK")</f>
        <v>OK</v>
      </c>
    </row>
    <row r="445" spans="1:5" x14ac:dyDescent="0.25">
      <c r="A445" t="s">
        <v>5561</v>
      </c>
      <c r="B445" t="s">
        <v>5562</v>
      </c>
      <c r="C445" t="s">
        <v>49</v>
      </c>
      <c r="D445" t="s">
        <v>3155</v>
      </c>
      <c r="E445" t="str">
        <f>IF(COUNTIF(Technologie_Wszystkie[IdxWspolny],Technologie_Wszystkie[[#This Row],[IdxWspolny]])&gt;1,"DUBEL","OK")</f>
        <v>OK</v>
      </c>
    </row>
    <row r="446" spans="1:5" x14ac:dyDescent="0.25">
      <c r="A446" t="s">
        <v>5564</v>
      </c>
      <c r="B446" t="s">
        <v>5565</v>
      </c>
      <c r="C446" t="s">
        <v>49</v>
      </c>
      <c r="D446" t="s">
        <v>5536</v>
      </c>
      <c r="E446" t="str">
        <f>IF(COUNTIF(Technologie_Wszystkie[IdxWspolny],Technologie_Wszystkie[[#This Row],[IdxWspolny]])&gt;1,"DUBEL","OK")</f>
        <v>OK</v>
      </c>
    </row>
    <row r="447" spans="1:5" x14ac:dyDescent="0.25">
      <c r="A447" t="s">
        <v>1977</v>
      </c>
      <c r="B447" t="s">
        <v>1978</v>
      </c>
      <c r="C447" t="s">
        <v>121</v>
      </c>
      <c r="D447" t="s">
        <v>1090</v>
      </c>
      <c r="E447" t="str">
        <f>IF(COUNTIF(Technologie_Wszystkie[IdxWspolny],Technologie_Wszystkie[[#This Row],[IdxWspolny]])&gt;1,"DUBEL","OK")</f>
        <v>OK</v>
      </c>
    </row>
    <row r="448" spans="1:5" x14ac:dyDescent="0.25">
      <c r="A448" t="s">
        <v>1979</v>
      </c>
      <c r="B448" t="s">
        <v>1978</v>
      </c>
      <c r="C448" t="s">
        <v>121</v>
      </c>
      <c r="D448" t="s">
        <v>1090</v>
      </c>
      <c r="E448" t="str">
        <f>IF(COUNTIF(Technologie_Wszystkie[IdxWspolny],Technologie_Wszystkie[[#This Row],[IdxWspolny]])&gt;1,"DUBEL","OK")</f>
        <v>OK</v>
      </c>
    </row>
    <row r="449" spans="1:5" x14ac:dyDescent="0.25">
      <c r="A449" t="s">
        <v>1669</v>
      </c>
      <c r="B449" t="s">
        <v>1670</v>
      </c>
      <c r="C449" t="s">
        <v>49</v>
      </c>
      <c r="D449" t="s">
        <v>1613</v>
      </c>
      <c r="E449" t="str">
        <f>IF(COUNTIF(Technologie_Wszystkie[IdxWspolny],Technologie_Wszystkie[[#This Row],[IdxWspolny]])&gt;1,"DUBEL","OK")</f>
        <v>OK</v>
      </c>
    </row>
    <row r="450" spans="1:5" x14ac:dyDescent="0.25">
      <c r="A450" t="s">
        <v>4233</v>
      </c>
      <c r="B450" t="s">
        <v>4234</v>
      </c>
      <c r="C450" t="s">
        <v>121</v>
      </c>
      <c r="D450" t="s">
        <v>4235</v>
      </c>
      <c r="E450" t="str">
        <f>IF(COUNTIF(Technologie_Wszystkie[IdxWspolny],Technologie_Wszystkie[[#This Row],[IdxWspolny]])&gt;1,"DUBEL","OK")</f>
        <v>OK</v>
      </c>
    </row>
    <row r="451" spans="1:5" x14ac:dyDescent="0.25">
      <c r="A451" t="s">
        <v>4477</v>
      </c>
      <c r="B451" t="s">
        <v>4478</v>
      </c>
      <c r="C451" t="s">
        <v>121</v>
      </c>
      <c r="D451" t="s">
        <v>434</v>
      </c>
      <c r="E451" t="str">
        <f>IF(COUNTIF(Technologie_Wszystkie[IdxWspolny],Technologie_Wszystkie[[#This Row],[IdxWspolny]])&gt;1,"DUBEL","OK")</f>
        <v>OK</v>
      </c>
    </row>
    <row r="452" spans="1:5" x14ac:dyDescent="0.25">
      <c r="A452" t="s">
        <v>4479</v>
      </c>
      <c r="B452" t="s">
        <v>4480</v>
      </c>
      <c r="C452" t="s">
        <v>121</v>
      </c>
      <c r="D452" t="s">
        <v>151</v>
      </c>
      <c r="E452" t="str">
        <f>IF(COUNTIF(Technologie_Wszystkie[IdxWspolny],Technologie_Wszystkie[[#This Row],[IdxWspolny]])&gt;1,"DUBEL","OK")</f>
        <v>OK</v>
      </c>
    </row>
    <row r="453" spans="1:5" x14ac:dyDescent="0.25">
      <c r="A453" t="s">
        <v>4481</v>
      </c>
      <c r="B453" t="s">
        <v>4482</v>
      </c>
      <c r="C453" t="s">
        <v>121</v>
      </c>
      <c r="D453" t="s">
        <v>4483</v>
      </c>
      <c r="E453" t="str">
        <f>IF(COUNTIF(Technologie_Wszystkie[IdxWspolny],Technologie_Wszystkie[[#This Row],[IdxWspolny]])&gt;1,"DUBEL","OK")</f>
        <v>OK</v>
      </c>
    </row>
    <row r="454" spans="1:5" x14ac:dyDescent="0.25">
      <c r="A454" t="s">
        <v>1678</v>
      </c>
      <c r="B454" t="s">
        <v>1679</v>
      </c>
      <c r="C454" t="s">
        <v>121</v>
      </c>
      <c r="D454" t="s">
        <v>1680</v>
      </c>
      <c r="E454" t="str">
        <f>IF(COUNTIF(Technologie_Wszystkie[IdxWspolny],Technologie_Wszystkie[[#This Row],[IdxWspolny]])&gt;1,"DUBEL","OK")</f>
        <v>OK</v>
      </c>
    </row>
    <row r="455" spans="1:5" x14ac:dyDescent="0.25">
      <c r="A455" t="s">
        <v>1607</v>
      </c>
      <c r="B455" t="s">
        <v>1608</v>
      </c>
      <c r="C455" t="s">
        <v>49</v>
      </c>
      <c r="D455" t="s">
        <v>16</v>
      </c>
      <c r="E455" t="str">
        <f>IF(COUNTIF(Technologie_Wszystkie[IdxWspolny],Technologie_Wszystkie[[#This Row],[IdxWspolny]])&gt;1,"DUBEL","OK")</f>
        <v>OK</v>
      </c>
    </row>
    <row r="456" spans="1:5" x14ac:dyDescent="0.25">
      <c r="A456" t="s">
        <v>1611</v>
      </c>
      <c r="B456" t="s">
        <v>1612</v>
      </c>
      <c r="C456" t="s">
        <v>49</v>
      </c>
      <c r="D456" t="s">
        <v>1613</v>
      </c>
      <c r="E456" t="str">
        <f>IF(COUNTIF(Technologie_Wszystkie[IdxWspolny],Technologie_Wszystkie[[#This Row],[IdxWspolny]])&gt;1,"DUBEL","OK")</f>
        <v>OK</v>
      </c>
    </row>
    <row r="457" spans="1:5" x14ac:dyDescent="0.25">
      <c r="A457" t="s">
        <v>1601</v>
      </c>
      <c r="B457" t="s">
        <v>1602</v>
      </c>
      <c r="C457" t="s">
        <v>49</v>
      </c>
      <c r="D457" t="s">
        <v>1603</v>
      </c>
      <c r="E457" t="str">
        <f>IF(COUNTIF(Technologie_Wszystkie[IdxWspolny],Technologie_Wszystkie[[#This Row],[IdxWspolny]])&gt;1,"DUBEL","OK")</f>
        <v>OK</v>
      </c>
    </row>
    <row r="458" spans="1:5" x14ac:dyDescent="0.25">
      <c r="A458" t="s">
        <v>1616</v>
      </c>
      <c r="B458" t="s">
        <v>1617</v>
      </c>
      <c r="C458" t="s">
        <v>49</v>
      </c>
      <c r="D458" t="s">
        <v>1618</v>
      </c>
      <c r="E458" t="str">
        <f>IF(COUNTIF(Technologie_Wszystkie[IdxWspolny],Technologie_Wszystkie[[#This Row],[IdxWspolny]])&gt;1,"DUBEL","OK")</f>
        <v>OK</v>
      </c>
    </row>
    <row r="459" spans="1:5" x14ac:dyDescent="0.25">
      <c r="A459" t="s">
        <v>1587</v>
      </c>
      <c r="B459" t="s">
        <v>1586</v>
      </c>
      <c r="C459" t="s">
        <v>49</v>
      </c>
      <c r="D459" t="s">
        <v>1588</v>
      </c>
      <c r="E459" t="str">
        <f>IF(COUNTIF(Technologie_Wszystkie[IdxWspolny],Technologie_Wszystkie[[#This Row],[IdxWspolny]])&gt;1,"DUBEL","OK")</f>
        <v>OK</v>
      </c>
    </row>
    <row r="460" spans="1:5" x14ac:dyDescent="0.25">
      <c r="A460" t="s">
        <v>1647</v>
      </c>
      <c r="B460" t="s">
        <v>1646</v>
      </c>
      <c r="C460" t="s">
        <v>49</v>
      </c>
      <c r="D460" t="s">
        <v>1648</v>
      </c>
      <c r="E460" t="str">
        <f>IF(COUNTIF(Technologie_Wszystkie[IdxWspolny],Technologie_Wszystkie[[#This Row],[IdxWspolny]])&gt;1,"DUBEL","OK")</f>
        <v>OK</v>
      </c>
    </row>
    <row r="461" spans="1:5" x14ac:dyDescent="0.25">
      <c r="A461" t="s">
        <v>1660</v>
      </c>
      <c r="B461" t="s">
        <v>1661</v>
      </c>
      <c r="C461" t="s">
        <v>49</v>
      </c>
      <c r="D461" t="s">
        <v>1662</v>
      </c>
      <c r="E461" t="str">
        <f>IF(COUNTIF(Technologie_Wszystkie[IdxWspolny],Technologie_Wszystkie[[#This Row],[IdxWspolny]])&gt;1,"DUBEL","OK")</f>
        <v>OK</v>
      </c>
    </row>
    <row r="462" spans="1:5" x14ac:dyDescent="0.25">
      <c r="A462" t="s">
        <v>1591</v>
      </c>
      <c r="B462" t="s">
        <v>1592</v>
      </c>
      <c r="C462" t="s">
        <v>49</v>
      </c>
      <c r="D462" t="s">
        <v>1593</v>
      </c>
      <c r="E462" t="str">
        <f>IF(COUNTIF(Technologie_Wszystkie[IdxWspolny],Technologie_Wszystkie[[#This Row],[IdxWspolny]])&gt;1,"DUBEL","OK")</f>
        <v>OK</v>
      </c>
    </row>
    <row r="463" spans="1:5" x14ac:dyDescent="0.25">
      <c r="A463" t="s">
        <v>1626</v>
      </c>
      <c r="B463" t="s">
        <v>1627</v>
      </c>
      <c r="C463" t="s">
        <v>49</v>
      </c>
      <c r="D463" t="s">
        <v>1628</v>
      </c>
      <c r="E463" t="str">
        <f>IF(COUNTIF(Technologie_Wszystkie[IdxWspolny],Technologie_Wszystkie[[#This Row],[IdxWspolny]])&gt;1,"DUBEL","OK")</f>
        <v>OK</v>
      </c>
    </row>
    <row r="464" spans="1:5" x14ac:dyDescent="0.25">
      <c r="A464" t="s">
        <v>1673</v>
      </c>
      <c r="B464" t="s">
        <v>1674</v>
      </c>
      <c r="C464" t="s">
        <v>49</v>
      </c>
      <c r="D464" t="s">
        <v>1675</v>
      </c>
      <c r="E464" t="str">
        <f>IF(COUNTIF(Technologie_Wszystkie[IdxWspolny],Technologie_Wszystkie[[#This Row],[IdxWspolny]])&gt;1,"DUBEL","OK")</f>
        <v>OK</v>
      </c>
    </row>
    <row r="465" spans="1:5" x14ac:dyDescent="0.25">
      <c r="A465" t="s">
        <v>1596</v>
      </c>
      <c r="B465" t="s">
        <v>1597</v>
      </c>
      <c r="C465" t="s">
        <v>49</v>
      </c>
      <c r="D465" t="s">
        <v>1598</v>
      </c>
      <c r="E465" t="str">
        <f>IF(COUNTIF(Technologie_Wszystkie[IdxWspolny],Technologie_Wszystkie[[#This Row],[IdxWspolny]])&gt;1,"DUBEL","OK")</f>
        <v>OK</v>
      </c>
    </row>
    <row r="466" spans="1:5" x14ac:dyDescent="0.25">
      <c r="A466" t="s">
        <v>1683</v>
      </c>
      <c r="B466" t="s">
        <v>1684</v>
      </c>
      <c r="C466" t="s">
        <v>49</v>
      </c>
      <c r="D466" t="s">
        <v>1685</v>
      </c>
      <c r="E466" t="str">
        <f>IF(COUNTIF(Technologie_Wszystkie[IdxWspolny],Technologie_Wszystkie[[#This Row],[IdxWspolny]])&gt;1,"DUBEL","OK")</f>
        <v>OK</v>
      </c>
    </row>
    <row r="467" spans="1:5" x14ac:dyDescent="0.25">
      <c r="A467" t="s">
        <v>1652</v>
      </c>
      <c r="B467" t="s">
        <v>1653</v>
      </c>
      <c r="C467" t="s">
        <v>49</v>
      </c>
      <c r="D467" t="s">
        <v>1593</v>
      </c>
      <c r="E467" t="str">
        <f>IF(COUNTIF(Technologie_Wszystkie[IdxWspolny],Technologie_Wszystkie[[#This Row],[IdxWspolny]])&gt;1,"DUBEL","OK")</f>
        <v>OK</v>
      </c>
    </row>
    <row r="468" spans="1:5" x14ac:dyDescent="0.25">
      <c r="A468" t="s">
        <v>1656</v>
      </c>
      <c r="B468" t="s">
        <v>1657</v>
      </c>
      <c r="C468" t="s">
        <v>49</v>
      </c>
      <c r="D468" t="s">
        <v>1628</v>
      </c>
      <c r="E468" t="str">
        <f>IF(COUNTIF(Technologie_Wszystkie[IdxWspolny],Technologie_Wszystkie[[#This Row],[IdxWspolny]])&gt;1,"DUBEL","OK")</f>
        <v>OK</v>
      </c>
    </row>
    <row r="469" spans="1:5" x14ac:dyDescent="0.25">
      <c r="A469" t="s">
        <v>1665</v>
      </c>
      <c r="B469" t="s">
        <v>1666</v>
      </c>
      <c r="C469" t="s">
        <v>49</v>
      </c>
      <c r="D469" t="s">
        <v>835</v>
      </c>
      <c r="E469" t="str">
        <f>IF(COUNTIF(Technologie_Wszystkie[IdxWspolny],Technologie_Wszystkie[[#This Row],[IdxWspolny]])&gt;1,"DUBEL","OK")</f>
        <v>OK</v>
      </c>
    </row>
    <row r="470" spans="1:5" x14ac:dyDescent="0.25">
      <c r="A470" t="s">
        <v>1636</v>
      </c>
      <c r="B470" t="s">
        <v>1637</v>
      </c>
      <c r="C470" t="s">
        <v>49</v>
      </c>
      <c r="D470" t="s">
        <v>1638</v>
      </c>
      <c r="E470" t="str">
        <f>IF(COUNTIF(Technologie_Wszystkie[IdxWspolny],Technologie_Wszystkie[[#This Row],[IdxWspolny]])&gt;1,"DUBEL","OK")</f>
        <v>OK</v>
      </c>
    </row>
    <row r="471" spans="1:5" x14ac:dyDescent="0.25">
      <c r="A471" t="s">
        <v>1631</v>
      </c>
      <c r="B471" t="s">
        <v>1632</v>
      </c>
      <c r="C471" t="s">
        <v>49</v>
      </c>
      <c r="D471" t="s">
        <v>311</v>
      </c>
      <c r="E471" t="str">
        <f>IF(COUNTIF(Technologie_Wszystkie[IdxWspolny],Technologie_Wszystkie[[#This Row],[IdxWspolny]])&gt;1,"DUBEL","OK")</f>
        <v>OK</v>
      </c>
    </row>
    <row r="472" spans="1:5" x14ac:dyDescent="0.25">
      <c r="A472" t="s">
        <v>1621</v>
      </c>
      <c r="B472" t="s">
        <v>1622</v>
      </c>
      <c r="C472" t="s">
        <v>49</v>
      </c>
      <c r="D472" t="s">
        <v>1623</v>
      </c>
      <c r="E472" t="str">
        <f>IF(COUNTIF(Technologie_Wszystkie[IdxWspolny],Technologie_Wszystkie[[#This Row],[IdxWspolny]])&gt;1,"DUBEL","OK")</f>
        <v>OK</v>
      </c>
    </row>
    <row r="473" spans="1:5" x14ac:dyDescent="0.25">
      <c r="A473" t="s">
        <v>1642</v>
      </c>
      <c r="B473" t="s">
        <v>1643</v>
      </c>
      <c r="C473" t="s">
        <v>49</v>
      </c>
      <c r="D473" t="s">
        <v>1644</v>
      </c>
      <c r="E473" t="str">
        <f>IF(COUNTIF(Technologie_Wszystkie[IdxWspolny],Technologie_Wszystkie[[#This Row],[IdxWspolny]])&gt;1,"DUBEL","OK")</f>
        <v>OK</v>
      </c>
    </row>
    <row r="474" spans="1:5" x14ac:dyDescent="0.25">
      <c r="A474" t="s">
        <v>4028</v>
      </c>
      <c r="B474" t="s">
        <v>4029</v>
      </c>
      <c r="C474" t="s">
        <v>121</v>
      </c>
      <c r="D474" t="s">
        <v>4030</v>
      </c>
      <c r="E474" t="str">
        <f>IF(COUNTIF(Technologie_Wszystkie[IdxWspolny],Technologie_Wszystkie[[#This Row],[IdxWspolny]])&gt;1,"DUBEL","OK")</f>
        <v>OK</v>
      </c>
    </row>
    <row r="475" spans="1:5" x14ac:dyDescent="0.25">
      <c r="A475" t="s">
        <v>1834</v>
      </c>
      <c r="B475" t="s">
        <v>1835</v>
      </c>
      <c r="C475" t="s">
        <v>121</v>
      </c>
      <c r="D475" t="s">
        <v>1836</v>
      </c>
      <c r="E475" t="str">
        <f>IF(COUNTIF(Technologie_Wszystkie[IdxWspolny],Technologie_Wszystkie[[#This Row],[IdxWspolny]])&gt;1,"DUBEL","OK")</f>
        <v>OK</v>
      </c>
    </row>
    <row r="476" spans="1:5" x14ac:dyDescent="0.25">
      <c r="A476" t="s">
        <v>4076</v>
      </c>
      <c r="B476" t="s">
        <v>4077</v>
      </c>
      <c r="C476" t="s">
        <v>49</v>
      </c>
      <c r="D476" t="s">
        <v>394</v>
      </c>
      <c r="E476" t="str">
        <f>IF(COUNTIF(Technologie_Wszystkie[IdxWspolny],Technologie_Wszystkie[[#This Row],[IdxWspolny]])&gt;1,"DUBEL","OK")</f>
        <v>OK</v>
      </c>
    </row>
    <row r="477" spans="1:5" x14ac:dyDescent="0.25">
      <c r="A477" t="s">
        <v>3215</v>
      </c>
      <c r="B477" t="s">
        <v>3216</v>
      </c>
      <c r="C477" t="s">
        <v>121</v>
      </c>
      <c r="D477" t="s">
        <v>3217</v>
      </c>
      <c r="E477" t="str">
        <f>IF(COUNTIF(Technologie_Wszystkie[IdxWspolny],Technologie_Wszystkie[[#This Row],[IdxWspolny]])&gt;1,"DUBEL","OK")</f>
        <v>OK</v>
      </c>
    </row>
    <row r="478" spans="1:5" x14ac:dyDescent="0.25">
      <c r="A478" t="s">
        <v>2981</v>
      </c>
      <c r="B478" t="s">
        <v>2982</v>
      </c>
      <c r="C478" t="s">
        <v>49</v>
      </c>
      <c r="D478" t="s">
        <v>2983</v>
      </c>
      <c r="E478" t="str">
        <f>IF(COUNTIF(Technologie_Wszystkie[IdxWspolny],Technologie_Wszystkie[[#This Row],[IdxWspolny]])&gt;1,"DUBEL","OK")</f>
        <v>OK</v>
      </c>
    </row>
    <row r="479" spans="1:5" x14ac:dyDescent="0.25">
      <c r="A479" t="s">
        <v>2987</v>
      </c>
      <c r="B479" t="s">
        <v>2988</v>
      </c>
      <c r="C479" t="s">
        <v>49</v>
      </c>
      <c r="D479" t="s">
        <v>2989</v>
      </c>
      <c r="E479" t="str">
        <f>IF(COUNTIF(Technologie_Wszystkie[IdxWspolny],Technologie_Wszystkie[[#This Row],[IdxWspolny]])&gt;1,"DUBEL","OK")</f>
        <v>OK</v>
      </c>
    </row>
    <row r="480" spans="1:5" x14ac:dyDescent="0.25">
      <c r="A480" t="s">
        <v>2997</v>
      </c>
      <c r="B480" t="s">
        <v>2998</v>
      </c>
      <c r="C480" t="s">
        <v>49</v>
      </c>
      <c r="D480" t="s">
        <v>2994</v>
      </c>
      <c r="E480" t="str">
        <f>IF(COUNTIF(Technologie_Wszystkie[IdxWspolny],Technologie_Wszystkie[[#This Row],[IdxWspolny]])&gt;1,"DUBEL","OK")</f>
        <v>OK</v>
      </c>
    </row>
    <row r="481" spans="1:5" x14ac:dyDescent="0.25">
      <c r="A481" t="s">
        <v>2992</v>
      </c>
      <c r="B481" t="s">
        <v>2993</v>
      </c>
      <c r="C481" t="s">
        <v>49</v>
      </c>
      <c r="D481" t="s">
        <v>2994</v>
      </c>
      <c r="E481" t="str">
        <f>IF(COUNTIF(Technologie_Wszystkie[IdxWspolny],Technologie_Wszystkie[[#This Row],[IdxWspolny]])&gt;1,"DUBEL","OK")</f>
        <v>OK</v>
      </c>
    </row>
    <row r="482" spans="1:5" x14ac:dyDescent="0.25">
      <c r="A482" t="s">
        <v>4884</v>
      </c>
      <c r="B482" t="s">
        <v>4885</v>
      </c>
      <c r="C482" t="s">
        <v>49</v>
      </c>
      <c r="D482" t="s">
        <v>4886</v>
      </c>
      <c r="E482" t="str">
        <f>IF(COUNTIF(Technologie_Wszystkie[IdxWspolny],Technologie_Wszystkie[[#This Row],[IdxWspolny]])&gt;1,"DUBEL","OK")</f>
        <v>OK</v>
      </c>
    </row>
    <row r="483" spans="1:5" x14ac:dyDescent="0.25">
      <c r="A483" t="s">
        <v>4992</v>
      </c>
      <c r="B483" t="s">
        <v>4991</v>
      </c>
      <c r="C483" t="s">
        <v>49</v>
      </c>
      <c r="D483" t="s">
        <v>4993</v>
      </c>
      <c r="E483" t="str">
        <f>IF(COUNTIF(Technologie_Wszystkie[IdxWspolny],Technologie_Wszystkie[[#This Row],[IdxWspolny]])&gt;1,"DUBEL","OK")</f>
        <v>OK</v>
      </c>
    </row>
    <row r="484" spans="1:5" x14ac:dyDescent="0.25">
      <c r="A484" t="s">
        <v>1088</v>
      </c>
      <c r="B484" t="s">
        <v>1089</v>
      </c>
      <c r="C484" t="s">
        <v>121</v>
      </c>
      <c r="D484" t="s">
        <v>1090</v>
      </c>
      <c r="E484" t="str">
        <f>IF(COUNTIF(Technologie_Wszystkie[IdxWspolny],Technologie_Wszystkie[[#This Row],[IdxWspolny]])&gt;1,"DUBEL","OK")</f>
        <v>OK</v>
      </c>
    </row>
    <row r="485" spans="1:5" x14ac:dyDescent="0.25">
      <c r="A485" t="s">
        <v>3015</v>
      </c>
      <c r="B485" t="s">
        <v>3016</v>
      </c>
      <c r="C485" t="s">
        <v>49</v>
      </c>
      <c r="D485" t="s">
        <v>3017</v>
      </c>
      <c r="E485" t="str">
        <f>IF(COUNTIF(Technologie_Wszystkie[IdxWspolny],Technologie_Wszystkie[[#This Row],[IdxWspolny]])&gt;1,"DUBEL","OK")</f>
        <v>OK</v>
      </c>
    </row>
    <row r="486" spans="1:5" x14ac:dyDescent="0.25">
      <c r="A486" t="s">
        <v>3022</v>
      </c>
      <c r="B486" t="s">
        <v>3023</v>
      </c>
      <c r="C486" t="s">
        <v>49</v>
      </c>
      <c r="D486" t="s">
        <v>2309</v>
      </c>
      <c r="E486" t="str">
        <f>IF(COUNTIF(Technologie_Wszystkie[IdxWspolny],Technologie_Wszystkie[[#This Row],[IdxWspolny]])&gt;1,"DUBEL","OK")</f>
        <v>OK</v>
      </c>
    </row>
    <row r="487" spans="1:5" x14ac:dyDescent="0.25">
      <c r="A487" t="s">
        <v>2620</v>
      </c>
      <c r="B487" t="s">
        <v>2621</v>
      </c>
      <c r="C487" t="s">
        <v>121</v>
      </c>
      <c r="D487" t="s">
        <v>2622</v>
      </c>
      <c r="E487" t="str">
        <f>IF(COUNTIF(Technologie_Wszystkie[IdxWspolny],Technologie_Wszystkie[[#This Row],[IdxWspolny]])&gt;1,"DUBEL","OK")</f>
        <v>OK</v>
      </c>
    </row>
    <row r="488" spans="1:5" x14ac:dyDescent="0.25">
      <c r="A488" t="s">
        <v>3497</v>
      </c>
      <c r="B488" t="s">
        <v>3498</v>
      </c>
      <c r="C488" t="s">
        <v>121</v>
      </c>
      <c r="D488" t="s">
        <v>3490</v>
      </c>
      <c r="E488" t="str">
        <f>IF(COUNTIF(Technologie_Wszystkie[IdxWspolny],Technologie_Wszystkie[[#This Row],[IdxWspolny]])&gt;1,"DUBEL","OK")</f>
        <v>OK</v>
      </c>
    </row>
    <row r="489" spans="1:5" x14ac:dyDescent="0.25">
      <c r="A489" t="s">
        <v>3485</v>
      </c>
      <c r="B489" t="s">
        <v>3486</v>
      </c>
      <c r="C489" t="s">
        <v>121</v>
      </c>
      <c r="D489" t="s">
        <v>3487</v>
      </c>
      <c r="E489" t="str">
        <f>IF(COUNTIF(Technologie_Wszystkie[IdxWspolny],Technologie_Wszystkie[[#This Row],[IdxWspolny]])&gt;1,"DUBEL","OK")</f>
        <v>OK</v>
      </c>
    </row>
    <row r="490" spans="1:5" x14ac:dyDescent="0.25">
      <c r="A490" t="s">
        <v>3488</v>
      </c>
      <c r="B490" t="s">
        <v>3489</v>
      </c>
      <c r="C490" t="s">
        <v>121</v>
      </c>
      <c r="D490" t="s">
        <v>3490</v>
      </c>
      <c r="E490" t="str">
        <f>IF(COUNTIF(Technologie_Wszystkie[IdxWspolny],Technologie_Wszystkie[[#This Row],[IdxWspolny]])&gt;1,"DUBEL","OK")</f>
        <v>OK</v>
      </c>
    </row>
    <row r="491" spans="1:5" x14ac:dyDescent="0.25">
      <c r="A491" t="s">
        <v>3153</v>
      </c>
      <c r="B491" t="s">
        <v>3154</v>
      </c>
      <c r="C491" t="s">
        <v>49</v>
      </c>
      <c r="D491" t="s">
        <v>3155</v>
      </c>
      <c r="E491" t="str">
        <f>IF(COUNTIF(Technologie_Wszystkie[IdxWspolny],Technologie_Wszystkie[[#This Row],[IdxWspolny]])&gt;1,"DUBEL","OK")</f>
        <v>OK</v>
      </c>
    </row>
    <row r="492" spans="1:5" x14ac:dyDescent="0.25">
      <c r="A492" t="s">
        <v>3126</v>
      </c>
      <c r="B492" t="s">
        <v>3127</v>
      </c>
      <c r="C492" t="s">
        <v>49</v>
      </c>
      <c r="D492" t="s">
        <v>3128</v>
      </c>
      <c r="E492" t="str">
        <f>IF(COUNTIF(Technologie_Wszystkie[IdxWspolny],Technologie_Wszystkie[[#This Row],[IdxWspolny]])&gt;1,"DUBEL","OK")</f>
        <v>OK</v>
      </c>
    </row>
    <row r="493" spans="1:5" x14ac:dyDescent="0.25">
      <c r="A493" t="s">
        <v>3139</v>
      </c>
      <c r="B493" t="s">
        <v>3140</v>
      </c>
      <c r="C493" t="s">
        <v>49</v>
      </c>
      <c r="D493" t="s">
        <v>3141</v>
      </c>
      <c r="E493" t="str">
        <f>IF(COUNTIF(Technologie_Wszystkie[IdxWspolny],Technologie_Wszystkie[[#This Row],[IdxWspolny]])&gt;1,"DUBEL","OK")</f>
        <v>OK</v>
      </c>
    </row>
    <row r="494" spans="1:5" x14ac:dyDescent="0.25">
      <c r="A494" t="s">
        <v>3142</v>
      </c>
      <c r="B494" t="s">
        <v>3143</v>
      </c>
      <c r="C494" t="s">
        <v>49</v>
      </c>
      <c r="D494" t="s">
        <v>3144</v>
      </c>
      <c r="E494" t="str">
        <f>IF(COUNTIF(Technologie_Wszystkie[IdxWspolny],Technologie_Wszystkie[[#This Row],[IdxWspolny]])&gt;1,"DUBEL","OK")</f>
        <v>OK</v>
      </c>
    </row>
    <row r="495" spans="1:5" x14ac:dyDescent="0.25">
      <c r="A495" t="s">
        <v>3145</v>
      </c>
      <c r="B495" t="s">
        <v>3146</v>
      </c>
      <c r="C495" t="s">
        <v>49</v>
      </c>
      <c r="D495" t="s">
        <v>3147</v>
      </c>
      <c r="E495" t="str">
        <f>IF(COUNTIF(Technologie_Wszystkie[IdxWspolny],Technologie_Wszystkie[[#This Row],[IdxWspolny]])&gt;1,"DUBEL","OK")</f>
        <v>OK</v>
      </c>
    </row>
    <row r="496" spans="1:5" x14ac:dyDescent="0.25">
      <c r="A496" t="s">
        <v>3129</v>
      </c>
      <c r="B496" t="s">
        <v>3130</v>
      </c>
      <c r="C496" t="s">
        <v>49</v>
      </c>
      <c r="D496" t="s">
        <v>3131</v>
      </c>
      <c r="E496" t="str">
        <f>IF(COUNTIF(Technologie_Wszystkie[IdxWspolny],Technologie_Wszystkie[[#This Row],[IdxWspolny]])&gt;1,"DUBEL","OK")</f>
        <v>OK</v>
      </c>
    </row>
    <row r="497" spans="1:5" x14ac:dyDescent="0.25">
      <c r="A497" t="s">
        <v>2492</v>
      </c>
      <c r="B497" t="s">
        <v>2493</v>
      </c>
      <c r="C497" t="s">
        <v>121</v>
      </c>
      <c r="D497" t="s">
        <v>2494</v>
      </c>
      <c r="E497" t="str">
        <f>IF(COUNTIF(Technologie_Wszystkie[IdxWspolny],Technologie_Wszystkie[[#This Row],[IdxWspolny]])&gt;1,"DUBEL","OK")</f>
        <v>OK</v>
      </c>
    </row>
    <row r="498" spans="1:5" x14ac:dyDescent="0.25">
      <c r="A498" t="s">
        <v>2485</v>
      </c>
      <c r="B498" t="s">
        <v>2486</v>
      </c>
      <c r="C498" t="s">
        <v>121</v>
      </c>
      <c r="D498" t="s">
        <v>2487</v>
      </c>
      <c r="E498" t="str">
        <f>IF(COUNTIF(Technologie_Wszystkie[IdxWspolny],Technologie_Wszystkie[[#This Row],[IdxWspolny]])&gt;1,"DUBEL","OK")</f>
        <v>OK</v>
      </c>
    </row>
    <row r="499" spans="1:5" x14ac:dyDescent="0.25">
      <c r="A499" t="s">
        <v>3974</v>
      </c>
      <c r="B499" t="s">
        <v>3975</v>
      </c>
      <c r="C499" t="s">
        <v>121</v>
      </c>
      <c r="D499" t="s">
        <v>3976</v>
      </c>
      <c r="E499" t="str">
        <f>IF(COUNTIF(Technologie_Wszystkie[IdxWspolny],Technologie_Wszystkie[[#This Row],[IdxWspolny]])&gt;1,"DUBEL","OK")</f>
        <v>OK</v>
      </c>
    </row>
    <row r="500" spans="1:5" x14ac:dyDescent="0.25">
      <c r="A500" t="s">
        <v>3977</v>
      </c>
      <c r="B500" t="s">
        <v>3978</v>
      </c>
      <c r="C500" t="s">
        <v>121</v>
      </c>
      <c r="D500" t="s">
        <v>3976</v>
      </c>
      <c r="E500" t="str">
        <f>IF(COUNTIF(Technologie_Wszystkie[IdxWspolny],Technologie_Wszystkie[[#This Row],[IdxWspolny]])&gt;1,"DUBEL","OK")</f>
        <v>OK</v>
      </c>
    </row>
    <row r="501" spans="1:5" x14ac:dyDescent="0.25">
      <c r="A501" t="s">
        <v>1053</v>
      </c>
      <c r="B501" t="s">
        <v>1054</v>
      </c>
      <c r="C501" t="s">
        <v>49</v>
      </c>
      <c r="D501" t="s">
        <v>1055</v>
      </c>
      <c r="E501" t="str">
        <f>IF(COUNTIF(Technologie_Wszystkie[IdxWspolny],Technologie_Wszystkie[[#This Row],[IdxWspolny]])&gt;1,"DUBEL","OK")</f>
        <v>OK</v>
      </c>
    </row>
    <row r="502" spans="1:5" x14ac:dyDescent="0.25">
      <c r="A502" t="s">
        <v>1244</v>
      </c>
      <c r="B502" t="s">
        <v>1245</v>
      </c>
      <c r="C502" t="s">
        <v>49</v>
      </c>
      <c r="D502" t="s">
        <v>117</v>
      </c>
      <c r="E502" t="str">
        <f>IF(COUNTIF(Technologie_Wszystkie[IdxWspolny],Technologie_Wszystkie[[#This Row],[IdxWspolny]])&gt;1,"DUBEL","OK")</f>
        <v>OK</v>
      </c>
    </row>
    <row r="503" spans="1:5" x14ac:dyDescent="0.25">
      <c r="A503" t="s">
        <v>5287</v>
      </c>
      <c r="B503" t="s">
        <v>5288</v>
      </c>
      <c r="C503" t="s">
        <v>49</v>
      </c>
      <c r="D503" t="s">
        <v>5289</v>
      </c>
      <c r="E503" t="str">
        <f>IF(COUNTIF(Technologie_Wszystkie[IdxWspolny],Technologie_Wszystkie[[#This Row],[IdxWspolny]])&gt;1,"DUBEL","OK")</f>
        <v>OK</v>
      </c>
    </row>
    <row r="504" spans="1:5" x14ac:dyDescent="0.25">
      <c r="A504" t="s">
        <v>5414</v>
      </c>
      <c r="B504" t="s">
        <v>5415</v>
      </c>
      <c r="C504" t="s">
        <v>49</v>
      </c>
      <c r="D504" t="s">
        <v>5416</v>
      </c>
      <c r="E504" t="str">
        <f>IF(COUNTIF(Technologie_Wszystkie[IdxWspolny],Technologie_Wszystkie[[#This Row],[IdxWspolny]])&gt;1,"DUBEL","OK")</f>
        <v>OK</v>
      </c>
    </row>
    <row r="505" spans="1:5" x14ac:dyDescent="0.25">
      <c r="A505" t="s">
        <v>5290</v>
      </c>
      <c r="B505" t="s">
        <v>5291</v>
      </c>
      <c r="C505" t="s">
        <v>49</v>
      </c>
      <c r="D505" t="s">
        <v>5292</v>
      </c>
      <c r="E505" t="str">
        <f>IF(COUNTIF(Technologie_Wszystkie[IdxWspolny],Technologie_Wszystkie[[#This Row],[IdxWspolny]])&gt;1,"DUBEL","OK")</f>
        <v>OK</v>
      </c>
    </row>
    <row r="506" spans="1:5" x14ac:dyDescent="0.25">
      <c r="A506" t="s">
        <v>5293</v>
      </c>
      <c r="B506" t="s">
        <v>5294</v>
      </c>
      <c r="C506" t="s">
        <v>49</v>
      </c>
      <c r="D506" t="s">
        <v>5295</v>
      </c>
      <c r="E506" t="str">
        <f>IF(COUNTIF(Technologie_Wszystkie[IdxWspolny],Technologie_Wszystkie[[#This Row],[IdxWspolny]])&gt;1,"DUBEL","OK")</f>
        <v>OK</v>
      </c>
    </row>
    <row r="507" spans="1:5" x14ac:dyDescent="0.25">
      <c r="A507" t="s">
        <v>5296</v>
      </c>
      <c r="B507" t="s">
        <v>5297</v>
      </c>
      <c r="C507" t="s">
        <v>49</v>
      </c>
      <c r="D507" t="s">
        <v>5298</v>
      </c>
      <c r="E507" t="str">
        <f>IF(COUNTIF(Technologie_Wszystkie[IdxWspolny],Technologie_Wszystkie[[#This Row],[IdxWspolny]])&gt;1,"DUBEL","OK")</f>
        <v>OK</v>
      </c>
    </row>
    <row r="508" spans="1:5" x14ac:dyDescent="0.25">
      <c r="A508" t="s">
        <v>5299</v>
      </c>
      <c r="B508" t="s">
        <v>5300</v>
      </c>
      <c r="C508" t="s">
        <v>49</v>
      </c>
      <c r="D508" t="s">
        <v>4305</v>
      </c>
      <c r="E508" t="str">
        <f>IF(COUNTIF(Technologie_Wszystkie[IdxWspolny],Technologie_Wszystkie[[#This Row],[IdxWspolny]])&gt;1,"DUBEL","OK")</f>
        <v>OK</v>
      </c>
    </row>
    <row r="509" spans="1:5" x14ac:dyDescent="0.25">
      <c r="A509" t="s">
        <v>5459</v>
      </c>
      <c r="B509" t="s">
        <v>5460</v>
      </c>
      <c r="C509" t="s">
        <v>49</v>
      </c>
      <c r="D509" t="s">
        <v>1588</v>
      </c>
      <c r="E509" t="str">
        <f>IF(COUNTIF(Technologie_Wszystkie[IdxWspolny],Technologie_Wszystkie[[#This Row],[IdxWspolny]])&gt;1,"DUBEL","OK")</f>
        <v>OK</v>
      </c>
    </row>
    <row r="510" spans="1:5" x14ac:dyDescent="0.25">
      <c r="A510" t="s">
        <v>4263</v>
      </c>
      <c r="B510" t="s">
        <v>4264</v>
      </c>
      <c r="C510" t="s">
        <v>49</v>
      </c>
      <c r="D510" t="s">
        <v>1603</v>
      </c>
      <c r="E510" t="str">
        <f>IF(COUNTIF(Technologie_Wszystkie[IdxWspolny],Technologie_Wszystkie[[#This Row],[IdxWspolny]])&gt;1,"DUBEL","OK")</f>
        <v>OK</v>
      </c>
    </row>
    <row r="511" spans="1:5" x14ac:dyDescent="0.25">
      <c r="A511" t="s">
        <v>4265</v>
      </c>
      <c r="B511" t="s">
        <v>4266</v>
      </c>
      <c r="C511" t="s">
        <v>49</v>
      </c>
      <c r="D511" t="s">
        <v>1904</v>
      </c>
      <c r="E511" t="str">
        <f>IF(COUNTIF(Technologie_Wszystkie[IdxWspolny],Technologie_Wszystkie[[#This Row],[IdxWspolny]])&gt;1,"DUBEL","OK")</f>
        <v>OK</v>
      </c>
    </row>
    <row r="512" spans="1:5" x14ac:dyDescent="0.25">
      <c r="A512" t="s">
        <v>4289</v>
      </c>
      <c r="B512" t="s">
        <v>4290</v>
      </c>
      <c r="C512" t="s">
        <v>49</v>
      </c>
      <c r="D512" t="s">
        <v>3144</v>
      </c>
      <c r="E512" t="str">
        <f>IF(COUNTIF(Technologie_Wszystkie[IdxWspolny],Technologie_Wszystkie[[#This Row],[IdxWspolny]])&gt;1,"DUBEL","OK")</f>
        <v>OK</v>
      </c>
    </row>
    <row r="513" spans="1:5" x14ac:dyDescent="0.25">
      <c r="A513" t="s">
        <v>4291</v>
      </c>
      <c r="B513" t="s">
        <v>4292</v>
      </c>
      <c r="C513" t="s">
        <v>49</v>
      </c>
      <c r="D513" t="s">
        <v>4293</v>
      </c>
      <c r="E513" t="str">
        <f>IF(COUNTIF(Technologie_Wszystkie[IdxWspolny],Technologie_Wszystkie[[#This Row],[IdxWspolny]])&gt;1,"DUBEL","OK")</f>
        <v>OK</v>
      </c>
    </row>
    <row r="514" spans="1:5" x14ac:dyDescent="0.25">
      <c r="A514" t="s">
        <v>4267</v>
      </c>
      <c r="B514" t="s">
        <v>4268</v>
      </c>
      <c r="C514" t="s">
        <v>49</v>
      </c>
      <c r="D514" t="s">
        <v>311</v>
      </c>
      <c r="E514" t="str">
        <f>IF(COUNTIF(Technologie_Wszystkie[IdxWspolny],Technologie_Wszystkie[[#This Row],[IdxWspolny]])&gt;1,"DUBEL","OK")</f>
        <v>OK</v>
      </c>
    </row>
    <row r="515" spans="1:5" x14ac:dyDescent="0.25">
      <c r="A515" t="s">
        <v>4269</v>
      </c>
      <c r="B515" t="s">
        <v>4270</v>
      </c>
      <c r="C515" t="s">
        <v>49</v>
      </c>
      <c r="D515" t="s">
        <v>4271</v>
      </c>
      <c r="E515" t="str">
        <f>IF(COUNTIF(Technologie_Wszystkie[IdxWspolny],Technologie_Wszystkie[[#This Row],[IdxWspolny]])&gt;1,"DUBEL","OK")</f>
        <v>OK</v>
      </c>
    </row>
    <row r="516" spans="1:5" x14ac:dyDescent="0.25">
      <c r="A516" t="s">
        <v>4272</v>
      </c>
      <c r="B516" t="s">
        <v>4273</v>
      </c>
      <c r="C516" t="s">
        <v>49</v>
      </c>
      <c r="D516" t="s">
        <v>4274</v>
      </c>
      <c r="E516" t="str">
        <f>IF(COUNTIF(Technologie_Wszystkie[IdxWspolny],Technologie_Wszystkie[[#This Row],[IdxWspolny]])&gt;1,"DUBEL","OK")</f>
        <v>OK</v>
      </c>
    </row>
    <row r="517" spans="1:5" x14ac:dyDescent="0.25">
      <c r="A517" t="s">
        <v>4303</v>
      </c>
      <c r="B517" t="s">
        <v>4304</v>
      </c>
      <c r="C517" t="s">
        <v>49</v>
      </c>
      <c r="D517" t="s">
        <v>4305</v>
      </c>
      <c r="E517" t="str">
        <f>IF(COUNTIF(Technologie_Wszystkie[IdxWspolny],Technologie_Wszystkie[[#This Row],[IdxWspolny]])&gt;1,"DUBEL","OK")</f>
        <v>OK</v>
      </c>
    </row>
    <row r="518" spans="1:5" x14ac:dyDescent="0.25">
      <c r="A518" t="s">
        <v>4318</v>
      </c>
      <c r="B518" t="s">
        <v>4319</v>
      </c>
      <c r="C518" t="s">
        <v>49</v>
      </c>
      <c r="D518" t="s">
        <v>4320</v>
      </c>
      <c r="E518" t="str">
        <f>IF(COUNTIF(Technologie_Wszystkie[IdxWspolny],Technologie_Wszystkie[[#This Row],[IdxWspolny]])&gt;1,"DUBEL","OK")</f>
        <v>OK</v>
      </c>
    </row>
    <row r="519" spans="1:5" x14ac:dyDescent="0.25">
      <c r="A519" t="s">
        <v>4275</v>
      </c>
      <c r="B519" t="s">
        <v>4276</v>
      </c>
      <c r="C519" t="s">
        <v>49</v>
      </c>
      <c r="D519" t="s">
        <v>4277</v>
      </c>
      <c r="E519" t="str">
        <f>IF(COUNTIF(Technologie_Wszystkie[IdxWspolny],Technologie_Wszystkie[[#This Row],[IdxWspolny]])&gt;1,"DUBEL","OK")</f>
        <v>OK</v>
      </c>
    </row>
    <row r="520" spans="1:5" x14ac:dyDescent="0.25">
      <c r="A520" t="s">
        <v>2034</v>
      </c>
      <c r="B520" t="s">
        <v>2035</v>
      </c>
      <c r="C520" t="s">
        <v>121</v>
      </c>
      <c r="D520" t="s">
        <v>2036</v>
      </c>
      <c r="E520" t="str">
        <f>IF(COUNTIF(Technologie_Wszystkie[IdxWspolny],Technologie_Wszystkie[[#This Row],[IdxWspolny]])&gt;1,"DUBEL","OK")</f>
        <v>OK</v>
      </c>
    </row>
    <row r="521" spans="1:5" x14ac:dyDescent="0.25">
      <c r="A521" t="s">
        <v>902</v>
      </c>
      <c r="B521" t="s">
        <v>903</v>
      </c>
      <c r="C521" t="s">
        <v>121</v>
      </c>
      <c r="D521" t="s">
        <v>904</v>
      </c>
      <c r="E521" t="str">
        <f>IF(COUNTIF(Technologie_Wszystkie[IdxWspolny],Technologie_Wszystkie[[#This Row],[IdxWspolny]])&gt;1,"DUBEL","OK")</f>
        <v>OK</v>
      </c>
    </row>
    <row r="522" spans="1:5" x14ac:dyDescent="0.25">
      <c r="A522" t="s">
        <v>905</v>
      </c>
      <c r="B522" t="s">
        <v>906</v>
      </c>
      <c r="C522" t="s">
        <v>121</v>
      </c>
      <c r="D522" t="s">
        <v>904</v>
      </c>
      <c r="E522" t="str">
        <f>IF(COUNTIF(Technologie_Wszystkie[IdxWspolny],Technologie_Wszystkie[[#This Row],[IdxWspolny]])&gt;1,"DUBEL","OK")</f>
        <v>OK</v>
      </c>
    </row>
    <row r="523" spans="1:5" x14ac:dyDescent="0.25">
      <c r="A523" t="s">
        <v>907</v>
      </c>
      <c r="B523" t="s">
        <v>908</v>
      </c>
      <c r="C523" t="s">
        <v>121</v>
      </c>
      <c r="D523" t="s">
        <v>909</v>
      </c>
      <c r="E523" t="str">
        <f>IF(COUNTIF(Technologie_Wszystkie[IdxWspolny],Technologie_Wszystkie[[#This Row],[IdxWspolny]])&gt;1,"DUBEL","OK")</f>
        <v>OK</v>
      </c>
    </row>
    <row r="524" spans="1:5" x14ac:dyDescent="0.25">
      <c r="A524" t="s">
        <v>910</v>
      </c>
      <c r="B524" t="s">
        <v>911</v>
      </c>
      <c r="C524" t="s">
        <v>121</v>
      </c>
      <c r="D524" t="s">
        <v>912</v>
      </c>
      <c r="E524" t="str">
        <f>IF(COUNTIF(Technologie_Wszystkie[IdxWspolny],Technologie_Wszystkie[[#This Row],[IdxWspolny]])&gt;1,"DUBEL","OK")</f>
        <v>OK</v>
      </c>
    </row>
    <row r="525" spans="1:5" x14ac:dyDescent="0.25">
      <c r="A525" t="s">
        <v>913</v>
      </c>
      <c r="B525" t="s">
        <v>914</v>
      </c>
      <c r="C525" t="s">
        <v>121</v>
      </c>
      <c r="D525" t="s">
        <v>915</v>
      </c>
      <c r="E525" t="str">
        <f>IF(COUNTIF(Technologie_Wszystkie[IdxWspolny],Technologie_Wszystkie[[#This Row],[IdxWspolny]])&gt;1,"DUBEL","OK")</f>
        <v>OK</v>
      </c>
    </row>
    <row r="526" spans="1:5" x14ac:dyDescent="0.25">
      <c r="A526" t="s">
        <v>916</v>
      </c>
      <c r="B526" t="s">
        <v>917</v>
      </c>
      <c r="C526" t="s">
        <v>121</v>
      </c>
      <c r="D526" t="s">
        <v>918</v>
      </c>
      <c r="E526" t="str">
        <f>IF(COUNTIF(Technologie_Wszystkie[IdxWspolny],Technologie_Wszystkie[[#This Row],[IdxWspolny]])&gt;1,"DUBEL","OK")</f>
        <v>OK</v>
      </c>
    </row>
    <row r="527" spans="1:5" x14ac:dyDescent="0.25">
      <c r="A527" t="s">
        <v>919</v>
      </c>
      <c r="B527" t="s">
        <v>920</v>
      </c>
      <c r="C527" t="s">
        <v>121</v>
      </c>
      <c r="D527" t="s">
        <v>921</v>
      </c>
      <c r="E527" t="str">
        <f>IF(COUNTIF(Technologie_Wszystkie[IdxWspolny],Technologie_Wszystkie[[#This Row],[IdxWspolny]])&gt;1,"DUBEL","OK")</f>
        <v>OK</v>
      </c>
    </row>
    <row r="528" spans="1:5" x14ac:dyDescent="0.25">
      <c r="A528" t="s">
        <v>517</v>
      </c>
      <c r="B528" t="s">
        <v>518</v>
      </c>
      <c r="C528" t="s">
        <v>121</v>
      </c>
      <c r="D528" t="s">
        <v>519</v>
      </c>
      <c r="E528" t="str">
        <f>IF(COUNTIF(Technologie_Wszystkie[IdxWspolny],Technologie_Wszystkie[[#This Row],[IdxWspolny]])&gt;1,"DUBEL","OK")</f>
        <v>OK</v>
      </c>
    </row>
    <row r="529" spans="1:5" x14ac:dyDescent="0.25">
      <c r="A529" t="s">
        <v>491</v>
      </c>
      <c r="B529" t="s">
        <v>492</v>
      </c>
      <c r="C529" t="s">
        <v>121</v>
      </c>
      <c r="D529" t="s">
        <v>493</v>
      </c>
      <c r="E529" t="str">
        <f>IF(COUNTIF(Technologie_Wszystkie[IdxWspolny],Technologie_Wszystkie[[#This Row],[IdxWspolny]])&gt;1,"DUBEL","OK")</f>
        <v>OK</v>
      </c>
    </row>
    <row r="530" spans="1:5" x14ac:dyDescent="0.25">
      <c r="A530" t="s">
        <v>494</v>
      </c>
      <c r="B530" t="s">
        <v>495</v>
      </c>
      <c r="C530" t="s">
        <v>121</v>
      </c>
      <c r="D530" t="s">
        <v>496</v>
      </c>
      <c r="E530" t="str">
        <f>IF(COUNTIF(Technologie_Wszystkie[IdxWspolny],Technologie_Wszystkie[[#This Row],[IdxWspolny]])&gt;1,"DUBEL","OK")</f>
        <v>OK</v>
      </c>
    </row>
    <row r="531" spans="1:5" x14ac:dyDescent="0.25">
      <c r="A531" t="s">
        <v>497</v>
      </c>
      <c r="B531" t="s">
        <v>498</v>
      </c>
      <c r="C531" t="s">
        <v>121</v>
      </c>
      <c r="D531" t="s">
        <v>496</v>
      </c>
      <c r="E531" t="str">
        <f>IF(COUNTIF(Technologie_Wszystkie[IdxWspolny],Technologie_Wszystkie[[#This Row],[IdxWspolny]])&gt;1,"DUBEL","OK")</f>
        <v>OK</v>
      </c>
    </row>
    <row r="532" spans="1:5" x14ac:dyDescent="0.25">
      <c r="A532" t="s">
        <v>520</v>
      </c>
      <c r="B532" t="s">
        <v>521</v>
      </c>
      <c r="C532" t="s">
        <v>121</v>
      </c>
      <c r="D532" t="s">
        <v>522</v>
      </c>
      <c r="E532" t="str">
        <f>IF(COUNTIF(Technologie_Wszystkie[IdxWspolny],Technologie_Wszystkie[[#This Row],[IdxWspolny]])&gt;1,"DUBEL","OK")</f>
        <v>OK</v>
      </c>
    </row>
    <row r="533" spans="1:5" x14ac:dyDescent="0.25">
      <c r="A533" t="s">
        <v>499</v>
      </c>
      <c r="B533" t="s">
        <v>500</v>
      </c>
      <c r="C533" t="s">
        <v>121</v>
      </c>
      <c r="D533" t="s">
        <v>501</v>
      </c>
      <c r="E533" t="str">
        <f>IF(COUNTIF(Technologie_Wszystkie[IdxWspolny],Technologie_Wszystkie[[#This Row],[IdxWspolny]])&gt;1,"DUBEL","OK")</f>
        <v>OK</v>
      </c>
    </row>
    <row r="534" spans="1:5" x14ac:dyDescent="0.25">
      <c r="A534" t="s">
        <v>536</v>
      </c>
      <c r="B534" t="s">
        <v>537</v>
      </c>
      <c r="C534" t="s">
        <v>121</v>
      </c>
      <c r="D534" t="s">
        <v>538</v>
      </c>
      <c r="E534" t="str">
        <f>IF(COUNTIF(Technologie_Wszystkie[IdxWspolny],Technologie_Wszystkie[[#This Row],[IdxWspolny]])&gt;1,"DUBEL","OK")</f>
        <v>OK</v>
      </c>
    </row>
    <row r="535" spans="1:5" x14ac:dyDescent="0.25">
      <c r="A535" t="s">
        <v>539</v>
      </c>
      <c r="B535" t="s">
        <v>540</v>
      </c>
      <c r="C535" t="s">
        <v>121</v>
      </c>
      <c r="D535" t="s">
        <v>538</v>
      </c>
      <c r="E535" t="str">
        <f>IF(COUNTIF(Technologie_Wszystkie[IdxWspolny],Technologie_Wszystkie[[#This Row],[IdxWspolny]])&gt;1,"DUBEL","OK")</f>
        <v>OK</v>
      </c>
    </row>
    <row r="536" spans="1:5" x14ac:dyDescent="0.25">
      <c r="A536" t="s">
        <v>4683</v>
      </c>
      <c r="B536" t="s">
        <v>4684</v>
      </c>
      <c r="C536" t="s">
        <v>121</v>
      </c>
      <c r="D536" t="s">
        <v>3300</v>
      </c>
      <c r="E536" t="str">
        <f>IF(COUNTIF(Technologie_Wszystkie[IdxWspolny],Technologie_Wszystkie[[#This Row],[IdxWspolny]])&gt;1,"DUBEL","OK")</f>
        <v>OK</v>
      </c>
    </row>
    <row r="537" spans="1:5" x14ac:dyDescent="0.25">
      <c r="A537" t="s">
        <v>560</v>
      </c>
      <c r="B537" t="s">
        <v>561</v>
      </c>
      <c r="C537" t="s">
        <v>121</v>
      </c>
      <c r="D537" t="s">
        <v>562</v>
      </c>
      <c r="E537" t="str">
        <f>IF(COUNTIF(Technologie_Wszystkie[IdxWspolny],Technologie_Wszystkie[[#This Row],[IdxWspolny]])&gt;1,"DUBEL","OK")</f>
        <v>OK</v>
      </c>
    </row>
    <row r="538" spans="1:5" x14ac:dyDescent="0.25">
      <c r="A538" t="s">
        <v>567</v>
      </c>
      <c r="B538" t="s">
        <v>568</v>
      </c>
      <c r="C538" t="s">
        <v>121</v>
      </c>
      <c r="D538" t="s">
        <v>569</v>
      </c>
      <c r="E538" t="str">
        <f>IF(COUNTIF(Technologie_Wszystkie[IdxWspolny],Technologie_Wszystkie[[#This Row],[IdxWspolny]])&gt;1,"DUBEL","OK")</f>
        <v>OK</v>
      </c>
    </row>
    <row r="539" spans="1:5" x14ac:dyDescent="0.25">
      <c r="A539" t="s">
        <v>4665</v>
      </c>
      <c r="B539" t="s">
        <v>4666</v>
      </c>
      <c r="C539" t="s">
        <v>49</v>
      </c>
      <c r="D539" t="s">
        <v>4667</v>
      </c>
      <c r="E539" t="str">
        <f>IF(COUNTIF(Technologie_Wszystkie[IdxWspolny],Technologie_Wszystkie[[#This Row],[IdxWspolny]])&gt;1,"DUBEL","OK")</f>
        <v>OK</v>
      </c>
    </row>
    <row r="540" spans="1:5" x14ac:dyDescent="0.25">
      <c r="A540" t="s">
        <v>4668</v>
      </c>
      <c r="B540" t="s">
        <v>4669</v>
      </c>
      <c r="C540" t="s">
        <v>49</v>
      </c>
      <c r="D540" t="s">
        <v>4670</v>
      </c>
      <c r="E540" t="str">
        <f>IF(COUNTIF(Technologie_Wszystkie[IdxWspolny],Technologie_Wszystkie[[#This Row],[IdxWspolny]])&gt;1,"DUBEL","OK")</f>
        <v>OK</v>
      </c>
    </row>
    <row r="541" spans="1:5" x14ac:dyDescent="0.25">
      <c r="A541" t="s">
        <v>4671</v>
      </c>
      <c r="B541" t="s">
        <v>4672</v>
      </c>
      <c r="C541" t="s">
        <v>49</v>
      </c>
      <c r="D541" t="s">
        <v>884</v>
      </c>
      <c r="E541" t="str">
        <f>IF(COUNTIF(Technologie_Wszystkie[IdxWspolny],Technologie_Wszystkie[[#This Row],[IdxWspolny]])&gt;1,"DUBEL","OK")</f>
        <v>OK</v>
      </c>
    </row>
    <row r="542" spans="1:5" x14ac:dyDescent="0.25">
      <c r="A542" t="s">
        <v>4673</v>
      </c>
      <c r="B542" t="s">
        <v>4674</v>
      </c>
      <c r="C542" t="s">
        <v>49</v>
      </c>
      <c r="D542" t="s">
        <v>4675</v>
      </c>
      <c r="E542" t="str">
        <f>IF(COUNTIF(Technologie_Wszystkie[IdxWspolny],Technologie_Wszystkie[[#This Row],[IdxWspolny]])&gt;1,"DUBEL","OK")</f>
        <v>OK</v>
      </c>
    </row>
    <row r="543" spans="1:5" x14ac:dyDescent="0.25">
      <c r="A543" t="s">
        <v>4685</v>
      </c>
      <c r="B543" t="s">
        <v>4686</v>
      </c>
      <c r="C543" t="s">
        <v>49</v>
      </c>
      <c r="D543" t="s">
        <v>4687</v>
      </c>
      <c r="E543" t="str">
        <f>IF(COUNTIF(Technologie_Wszystkie[IdxWspolny],Technologie_Wszystkie[[#This Row],[IdxWspolny]])&gt;1,"DUBEL","OK")</f>
        <v>OK</v>
      </c>
    </row>
    <row r="544" spans="1:5" x14ac:dyDescent="0.25">
      <c r="A544" t="s">
        <v>2261</v>
      </c>
      <c r="B544" t="s">
        <v>2262</v>
      </c>
      <c r="C544" t="s">
        <v>49</v>
      </c>
      <c r="D544" t="s">
        <v>2263</v>
      </c>
      <c r="E544" t="str">
        <f>IF(COUNTIF(Technologie_Wszystkie[IdxWspolny],Technologie_Wszystkie[[#This Row],[IdxWspolny]])&gt;1,"DUBEL","OK")</f>
        <v>OK</v>
      </c>
    </row>
    <row r="545" spans="1:5" x14ac:dyDescent="0.25">
      <c r="A545" t="s">
        <v>2246</v>
      </c>
      <c r="B545" t="s">
        <v>2247</v>
      </c>
      <c r="C545" t="s">
        <v>49</v>
      </c>
      <c r="D545" t="s">
        <v>2248</v>
      </c>
      <c r="E545" t="str">
        <f>IF(COUNTIF(Technologie_Wszystkie[IdxWspolny],Technologie_Wszystkie[[#This Row],[IdxWspolny]])&gt;1,"DUBEL","OK")</f>
        <v>OK</v>
      </c>
    </row>
    <row r="546" spans="1:5" x14ac:dyDescent="0.25">
      <c r="A546" t="s">
        <v>2249</v>
      </c>
      <c r="B546" t="s">
        <v>2250</v>
      </c>
      <c r="C546" t="s">
        <v>49</v>
      </c>
      <c r="D546" t="s">
        <v>2251</v>
      </c>
      <c r="E546" t="str">
        <f>IF(COUNTIF(Technologie_Wszystkie[IdxWspolny],Technologie_Wszystkie[[#This Row],[IdxWspolny]])&gt;1,"DUBEL","OK")</f>
        <v>OK</v>
      </c>
    </row>
    <row r="547" spans="1:5" x14ac:dyDescent="0.25">
      <c r="A547" t="s">
        <v>2252</v>
      </c>
      <c r="B547" t="s">
        <v>2253</v>
      </c>
      <c r="C547" t="s">
        <v>49</v>
      </c>
      <c r="D547" t="s">
        <v>2251</v>
      </c>
      <c r="E547" t="str">
        <f>IF(COUNTIF(Technologie_Wszystkie[IdxWspolny],Technologie_Wszystkie[[#This Row],[IdxWspolny]])&gt;1,"DUBEL","OK")</f>
        <v>OK</v>
      </c>
    </row>
    <row r="548" spans="1:5" x14ac:dyDescent="0.25">
      <c r="A548" t="s">
        <v>2254</v>
      </c>
      <c r="B548" t="s">
        <v>2255</v>
      </c>
      <c r="C548" t="s">
        <v>49</v>
      </c>
      <c r="D548" t="s">
        <v>2256</v>
      </c>
      <c r="E548" t="str">
        <f>IF(COUNTIF(Technologie_Wszystkie[IdxWspolny],Technologie_Wszystkie[[#This Row],[IdxWspolny]])&gt;1,"DUBEL","OK")</f>
        <v>OK</v>
      </c>
    </row>
    <row r="549" spans="1:5" x14ac:dyDescent="0.25">
      <c r="A549" t="s">
        <v>4692</v>
      </c>
      <c r="B549" t="s">
        <v>4693</v>
      </c>
      <c r="C549" t="s">
        <v>49</v>
      </c>
      <c r="D549" t="s">
        <v>4694</v>
      </c>
      <c r="E549" t="str">
        <f>IF(COUNTIF(Technologie_Wszystkie[IdxWspolny],Technologie_Wszystkie[[#This Row],[IdxWspolny]])&gt;1,"DUBEL","OK")</f>
        <v>OK</v>
      </c>
    </row>
    <row r="550" spans="1:5" x14ac:dyDescent="0.25">
      <c r="A550" t="s">
        <v>599</v>
      </c>
      <c r="B550" t="s">
        <v>600</v>
      </c>
      <c r="C550" t="s">
        <v>49</v>
      </c>
      <c r="D550" t="s">
        <v>157</v>
      </c>
      <c r="E550" t="str">
        <f>IF(COUNTIF(Technologie_Wszystkie[IdxWspolny],Technologie_Wszystkie[[#This Row],[IdxWspolny]])&gt;1,"DUBEL","OK")</f>
        <v>OK</v>
      </c>
    </row>
    <row r="551" spans="1:5" x14ac:dyDescent="0.25">
      <c r="A551" t="s">
        <v>592</v>
      </c>
      <c r="B551" t="s">
        <v>593</v>
      </c>
      <c r="C551" t="s">
        <v>49</v>
      </c>
      <c r="D551" t="s">
        <v>157</v>
      </c>
      <c r="E551" t="str">
        <f>IF(COUNTIF(Technologie_Wszystkie[IdxWspolny],Technologie_Wszystkie[[#This Row],[IdxWspolny]])&gt;1,"DUBEL","OK")</f>
        <v>OK</v>
      </c>
    </row>
    <row r="552" spans="1:5" x14ac:dyDescent="0.25">
      <c r="A552" t="s">
        <v>632</v>
      </c>
      <c r="B552" t="s">
        <v>633</v>
      </c>
      <c r="C552" t="s">
        <v>49</v>
      </c>
      <c r="D552" t="s">
        <v>634</v>
      </c>
      <c r="E552" t="str">
        <f>IF(COUNTIF(Technologie_Wszystkie[IdxWspolny],Technologie_Wszystkie[[#This Row],[IdxWspolny]])&gt;1,"DUBEL","OK")</f>
        <v>OK</v>
      </c>
    </row>
    <row r="553" spans="1:5" x14ac:dyDescent="0.25">
      <c r="A553" t="s">
        <v>2429</v>
      </c>
      <c r="B553" t="s">
        <v>2430</v>
      </c>
      <c r="C553" t="s">
        <v>121</v>
      </c>
      <c r="D553" t="s">
        <v>2431</v>
      </c>
      <c r="E553" t="str">
        <f>IF(COUNTIF(Technologie_Wszystkie[IdxWspolny],Technologie_Wszystkie[[#This Row],[IdxWspolny]])&gt;1,"DUBEL","OK")</f>
        <v>OK</v>
      </c>
    </row>
    <row r="554" spans="1:5" x14ac:dyDescent="0.25">
      <c r="A554" t="s">
        <v>2432</v>
      </c>
      <c r="B554" t="s">
        <v>2433</v>
      </c>
      <c r="C554" t="s">
        <v>121</v>
      </c>
      <c r="D554" t="s">
        <v>2434</v>
      </c>
      <c r="E554" t="str">
        <f>IF(COUNTIF(Technologie_Wszystkie[IdxWspolny],Technologie_Wszystkie[[#This Row],[IdxWspolny]])&gt;1,"DUBEL","OK")</f>
        <v>OK</v>
      </c>
    </row>
    <row r="555" spans="1:5" x14ac:dyDescent="0.25">
      <c r="A555" t="s">
        <v>872</v>
      </c>
      <c r="B555" t="s">
        <v>873</v>
      </c>
      <c r="C555" t="s">
        <v>49</v>
      </c>
      <c r="D555" t="s">
        <v>117</v>
      </c>
      <c r="E555" t="str">
        <f>IF(COUNTIF(Technologie_Wszystkie[IdxWspolny],Technologie_Wszystkie[[#This Row],[IdxWspolny]])&gt;1,"DUBEL","OK")</f>
        <v>OK</v>
      </c>
    </row>
    <row r="556" spans="1:5" x14ac:dyDescent="0.25">
      <c r="A556" t="s">
        <v>4620</v>
      </c>
      <c r="B556" t="s">
        <v>4621</v>
      </c>
      <c r="C556" t="s">
        <v>121</v>
      </c>
      <c r="D556" t="s">
        <v>4622</v>
      </c>
      <c r="E556" t="str">
        <f>IF(COUNTIF(Technologie_Wszystkie[IdxWspolny],Technologie_Wszystkie[[#This Row],[IdxWspolny]])&gt;1,"DUBEL","OK")</f>
        <v>OK</v>
      </c>
    </row>
    <row r="557" spans="1:5" x14ac:dyDescent="0.25">
      <c r="A557" t="s">
        <v>4623</v>
      </c>
      <c r="B557" t="s">
        <v>4624</v>
      </c>
      <c r="C557" t="s">
        <v>121</v>
      </c>
      <c r="D557" t="s">
        <v>4625</v>
      </c>
      <c r="E557" t="str">
        <f>IF(COUNTIF(Technologie_Wszystkie[IdxWspolny],Technologie_Wszystkie[[#This Row],[IdxWspolny]])&gt;1,"DUBEL","OK")</f>
        <v>OK</v>
      </c>
    </row>
    <row r="558" spans="1:5" x14ac:dyDescent="0.25">
      <c r="A558" t="s">
        <v>4626</v>
      </c>
      <c r="B558" t="s">
        <v>4627</v>
      </c>
      <c r="C558" t="s">
        <v>121</v>
      </c>
      <c r="D558" t="s">
        <v>4628</v>
      </c>
      <c r="E558" t="str">
        <f>IF(COUNTIF(Technologie_Wszystkie[IdxWspolny],Technologie_Wszystkie[[#This Row],[IdxWspolny]])&gt;1,"DUBEL","OK")</f>
        <v>OK</v>
      </c>
    </row>
    <row r="559" spans="1:5" x14ac:dyDescent="0.25">
      <c r="A559" t="s">
        <v>4629</v>
      </c>
      <c r="B559" t="s">
        <v>4630</v>
      </c>
      <c r="C559" t="s">
        <v>121</v>
      </c>
      <c r="D559" t="s">
        <v>4631</v>
      </c>
      <c r="E559" t="str">
        <f>IF(COUNTIF(Technologie_Wszystkie[IdxWspolny],Technologie_Wszystkie[[#This Row],[IdxWspolny]])&gt;1,"DUBEL","OK")</f>
        <v>OK</v>
      </c>
    </row>
    <row r="560" spans="1:5" x14ac:dyDescent="0.25">
      <c r="A560" t="s">
        <v>4632</v>
      </c>
      <c r="B560" t="s">
        <v>4633</v>
      </c>
      <c r="C560" t="s">
        <v>121</v>
      </c>
      <c r="D560" t="s">
        <v>4634</v>
      </c>
      <c r="E560" t="str">
        <f>IF(COUNTIF(Technologie_Wszystkie[IdxWspolny],Technologie_Wszystkie[[#This Row],[IdxWspolny]])&gt;1,"DUBEL","OK")</f>
        <v>OK</v>
      </c>
    </row>
    <row r="561" spans="1:5" x14ac:dyDescent="0.25">
      <c r="A561" t="s">
        <v>4635</v>
      </c>
      <c r="B561" t="s">
        <v>4636</v>
      </c>
      <c r="C561" t="s">
        <v>121</v>
      </c>
      <c r="D561" t="s">
        <v>145</v>
      </c>
      <c r="E561" t="str">
        <f>IF(COUNTIF(Technologie_Wszystkie[IdxWspolny],Technologie_Wszystkie[[#This Row],[IdxWspolny]])&gt;1,"DUBEL","OK")</f>
        <v>OK</v>
      </c>
    </row>
    <row r="562" spans="1:5" x14ac:dyDescent="0.25">
      <c r="A562" t="s">
        <v>874</v>
      </c>
      <c r="B562" t="s">
        <v>875</v>
      </c>
      <c r="C562" t="s">
        <v>121</v>
      </c>
      <c r="D562" t="s">
        <v>876</v>
      </c>
      <c r="E562" t="str">
        <f>IF(COUNTIF(Technologie_Wszystkie[IdxWspolny],Technologie_Wszystkie[[#This Row],[IdxWspolny]])&gt;1,"DUBEL","OK")</f>
        <v>OK</v>
      </c>
    </row>
    <row r="563" spans="1:5" x14ac:dyDescent="0.25">
      <c r="A563" t="s">
        <v>877</v>
      </c>
      <c r="B563" t="s">
        <v>878</v>
      </c>
      <c r="C563" t="s">
        <v>49</v>
      </c>
      <c r="D563" t="s">
        <v>879</v>
      </c>
      <c r="E563" t="str">
        <f>IF(COUNTIF(Technologie_Wszystkie[IdxWspolny],Technologie_Wszystkie[[#This Row],[IdxWspolny]])&gt;1,"DUBEL","OK")</f>
        <v>OK</v>
      </c>
    </row>
    <row r="564" spans="1:5" x14ac:dyDescent="0.25">
      <c r="A564" t="s">
        <v>880</v>
      </c>
      <c r="B564" t="s">
        <v>881</v>
      </c>
      <c r="C564" t="s">
        <v>49</v>
      </c>
      <c r="D564" t="s">
        <v>263</v>
      </c>
      <c r="E564" t="str">
        <f>IF(COUNTIF(Technologie_Wszystkie[IdxWspolny],Technologie_Wszystkie[[#This Row],[IdxWspolny]])&gt;1,"DUBEL","OK")</f>
        <v>OK</v>
      </c>
    </row>
    <row r="565" spans="1:5" x14ac:dyDescent="0.25">
      <c r="A565" t="s">
        <v>882</v>
      </c>
      <c r="B565" t="s">
        <v>883</v>
      </c>
      <c r="C565" t="s">
        <v>49</v>
      </c>
      <c r="D565" t="s">
        <v>884</v>
      </c>
      <c r="E565" t="str">
        <f>IF(COUNTIF(Technologie_Wszystkie[IdxWspolny],Technologie_Wszystkie[[#This Row],[IdxWspolny]])&gt;1,"DUBEL","OK")</f>
        <v>OK</v>
      </c>
    </row>
    <row r="566" spans="1:5" x14ac:dyDescent="0.25">
      <c r="A566" t="s">
        <v>885</v>
      </c>
      <c r="B566" t="s">
        <v>886</v>
      </c>
      <c r="C566" t="s">
        <v>49</v>
      </c>
      <c r="D566" t="s">
        <v>887</v>
      </c>
      <c r="E566" t="str">
        <f>IF(COUNTIF(Technologie_Wszystkie[IdxWspolny],Technologie_Wszystkie[[#This Row],[IdxWspolny]])&gt;1,"DUBEL","OK")</f>
        <v>OK</v>
      </c>
    </row>
    <row r="567" spans="1:5" x14ac:dyDescent="0.25">
      <c r="A567" t="s">
        <v>888</v>
      </c>
      <c r="B567" t="s">
        <v>889</v>
      </c>
      <c r="C567" t="s">
        <v>49</v>
      </c>
      <c r="D567" t="s">
        <v>879</v>
      </c>
      <c r="E567" t="str">
        <f>IF(COUNTIF(Technologie_Wszystkie[IdxWspolny],Technologie_Wszystkie[[#This Row],[IdxWspolny]])&gt;1,"DUBEL","OK")</f>
        <v>OK</v>
      </c>
    </row>
    <row r="568" spans="1:5" x14ac:dyDescent="0.25">
      <c r="A568" t="s">
        <v>4734</v>
      </c>
      <c r="B568" t="s">
        <v>4735</v>
      </c>
      <c r="C568" t="s">
        <v>121</v>
      </c>
      <c r="D568" t="s">
        <v>4736</v>
      </c>
      <c r="E568" t="str">
        <f>IF(COUNTIF(Technologie_Wszystkie[IdxWspolny],Technologie_Wszystkie[[#This Row],[IdxWspolny]])&gt;1,"DUBEL","OK")</f>
        <v>OK</v>
      </c>
    </row>
    <row r="569" spans="1:5" x14ac:dyDescent="0.25">
      <c r="A569" t="s">
        <v>4787</v>
      </c>
      <c r="B569" t="s">
        <v>4788</v>
      </c>
      <c r="C569" t="s">
        <v>121</v>
      </c>
      <c r="D569" t="s">
        <v>4789</v>
      </c>
      <c r="E569" t="str">
        <f>IF(COUNTIF(Technologie_Wszystkie[IdxWspolny],Technologie_Wszystkie[[#This Row],[IdxWspolny]])&gt;1,"DUBEL","OK")</f>
        <v>OK</v>
      </c>
    </row>
    <row r="570" spans="1:5" x14ac:dyDescent="0.25">
      <c r="A570" t="s">
        <v>4790</v>
      </c>
      <c r="B570" t="s">
        <v>4791</v>
      </c>
      <c r="C570" t="s">
        <v>121</v>
      </c>
      <c r="D570" t="s">
        <v>4792</v>
      </c>
      <c r="E570" t="str">
        <f>IF(COUNTIF(Technologie_Wszystkie[IdxWspolny],Technologie_Wszystkie[[#This Row],[IdxWspolny]])&gt;1,"DUBEL","OK")</f>
        <v>OK</v>
      </c>
    </row>
    <row r="571" spans="1:5" x14ac:dyDescent="0.25">
      <c r="A571" t="s">
        <v>4793</v>
      </c>
      <c r="B571" t="s">
        <v>4794</v>
      </c>
      <c r="C571" t="s">
        <v>121</v>
      </c>
      <c r="D571" t="s">
        <v>4792</v>
      </c>
      <c r="E571" t="str">
        <f>IF(COUNTIF(Technologie_Wszystkie[IdxWspolny],Technologie_Wszystkie[[#This Row],[IdxWspolny]])&gt;1,"DUBEL","OK")</f>
        <v>OK</v>
      </c>
    </row>
    <row r="572" spans="1:5" x14ac:dyDescent="0.25">
      <c r="A572" t="s">
        <v>4737</v>
      </c>
      <c r="B572" t="s">
        <v>4738</v>
      </c>
      <c r="C572" t="s">
        <v>121</v>
      </c>
      <c r="D572" t="s">
        <v>634</v>
      </c>
      <c r="E572" t="str">
        <f>IF(COUNTIF(Technologie_Wszystkie[IdxWspolny],Technologie_Wszystkie[[#This Row],[IdxWspolny]])&gt;1,"DUBEL","OK")</f>
        <v>OK</v>
      </c>
    </row>
    <row r="573" spans="1:5" x14ac:dyDescent="0.25">
      <c r="A573" t="s">
        <v>791</v>
      </c>
      <c r="B573" t="s">
        <v>792</v>
      </c>
      <c r="C573" t="s">
        <v>121</v>
      </c>
      <c r="D573" t="s">
        <v>793</v>
      </c>
      <c r="E573" t="str">
        <f>IF(COUNTIF(Technologie_Wszystkie[IdxWspolny],Technologie_Wszystkie[[#This Row],[IdxWspolny]])&gt;1,"DUBEL","OK")</f>
        <v>OK</v>
      </c>
    </row>
    <row r="574" spans="1:5" x14ac:dyDescent="0.25">
      <c r="A574" t="s">
        <v>794</v>
      </c>
      <c r="B574" t="s">
        <v>795</v>
      </c>
      <c r="C574" t="s">
        <v>121</v>
      </c>
      <c r="D574" t="s">
        <v>796</v>
      </c>
      <c r="E574" t="str">
        <f>IF(COUNTIF(Technologie_Wszystkie[IdxWspolny],Technologie_Wszystkie[[#This Row],[IdxWspolny]])&gt;1,"DUBEL","OK")</f>
        <v>OK</v>
      </c>
    </row>
    <row r="575" spans="1:5" x14ac:dyDescent="0.25">
      <c r="A575" t="s">
        <v>797</v>
      </c>
      <c r="B575" t="s">
        <v>798</v>
      </c>
      <c r="C575" t="s">
        <v>121</v>
      </c>
      <c r="D575" t="s">
        <v>793</v>
      </c>
      <c r="E575" t="str">
        <f>IF(COUNTIF(Technologie_Wszystkie[IdxWspolny],Technologie_Wszystkie[[#This Row],[IdxWspolny]])&gt;1,"DUBEL","OK")</f>
        <v>OK</v>
      </c>
    </row>
    <row r="576" spans="1:5" x14ac:dyDescent="0.25">
      <c r="A576" t="s">
        <v>799</v>
      </c>
      <c r="B576" t="s">
        <v>800</v>
      </c>
      <c r="C576" t="s">
        <v>121</v>
      </c>
      <c r="D576" t="s">
        <v>255</v>
      </c>
      <c r="E576" t="str">
        <f>IF(COUNTIF(Technologie_Wszystkie[IdxWspolny],Technologie_Wszystkie[[#This Row],[IdxWspolny]])&gt;1,"DUBEL","OK")</f>
        <v>OK</v>
      </c>
    </row>
    <row r="577" spans="1:5" x14ac:dyDescent="0.25">
      <c r="A577" t="s">
        <v>801</v>
      </c>
      <c r="B577" t="s">
        <v>802</v>
      </c>
      <c r="C577" t="s">
        <v>121</v>
      </c>
      <c r="D577" t="s">
        <v>803</v>
      </c>
      <c r="E577" t="str">
        <f>IF(COUNTIF(Technologie_Wszystkie[IdxWspolny],Technologie_Wszystkie[[#This Row],[IdxWspolny]])&gt;1,"DUBEL","OK")</f>
        <v>OK</v>
      </c>
    </row>
    <row r="578" spans="1:5" x14ac:dyDescent="0.25">
      <c r="A578" t="s">
        <v>2325</v>
      </c>
      <c r="B578" t="s">
        <v>2326</v>
      </c>
      <c r="C578" t="s">
        <v>121</v>
      </c>
      <c r="D578" t="s">
        <v>580</v>
      </c>
      <c r="E578" t="str">
        <f>IF(COUNTIF(Technologie_Wszystkie[IdxWspolny],Technologie_Wszystkie[[#This Row],[IdxWspolny]])&gt;1,"DUBEL","OK")</f>
        <v>OK</v>
      </c>
    </row>
    <row r="579" spans="1:5" x14ac:dyDescent="0.25">
      <c r="A579" t="s">
        <v>2307</v>
      </c>
      <c r="B579" t="s">
        <v>2308</v>
      </c>
      <c r="C579" t="s">
        <v>121</v>
      </c>
      <c r="D579" t="s">
        <v>2309</v>
      </c>
      <c r="E579" t="str">
        <f>IF(COUNTIF(Technologie_Wszystkie[IdxWspolny],Technologie_Wszystkie[[#This Row],[IdxWspolny]])&gt;1,"DUBEL","OK")</f>
        <v>OK</v>
      </c>
    </row>
    <row r="580" spans="1:5" x14ac:dyDescent="0.25">
      <c r="A580" t="s">
        <v>2347</v>
      </c>
      <c r="B580" t="s">
        <v>2348</v>
      </c>
      <c r="C580" t="s">
        <v>121</v>
      </c>
      <c r="D580" t="s">
        <v>2329</v>
      </c>
      <c r="E580" t="str">
        <f>IF(COUNTIF(Technologie_Wszystkie[IdxWspolny],Technologie_Wszystkie[[#This Row],[IdxWspolny]])&gt;1,"DUBEL","OK")</f>
        <v>OK</v>
      </c>
    </row>
    <row r="581" spans="1:5" x14ac:dyDescent="0.25">
      <c r="A581" t="s">
        <v>2310</v>
      </c>
      <c r="B581" t="s">
        <v>2311</v>
      </c>
      <c r="C581" t="s">
        <v>121</v>
      </c>
      <c r="D581" t="s">
        <v>2312</v>
      </c>
      <c r="E581" t="str">
        <f>IF(COUNTIF(Technologie_Wszystkie[IdxWspolny],Technologie_Wszystkie[[#This Row],[IdxWspolny]])&gt;1,"DUBEL","OK")</f>
        <v>OK</v>
      </c>
    </row>
    <row r="582" spans="1:5" x14ac:dyDescent="0.25">
      <c r="A582" t="s">
        <v>2313</v>
      </c>
      <c r="B582" t="s">
        <v>2314</v>
      </c>
      <c r="C582" t="s">
        <v>121</v>
      </c>
      <c r="D582" t="s">
        <v>2312</v>
      </c>
      <c r="E582" t="str">
        <f>IF(COUNTIF(Technologie_Wszystkie[IdxWspolny],Technologie_Wszystkie[[#This Row],[IdxWspolny]])&gt;1,"DUBEL","OK")</f>
        <v>OK</v>
      </c>
    </row>
    <row r="583" spans="1:5" x14ac:dyDescent="0.25">
      <c r="A583" t="s">
        <v>2327</v>
      </c>
      <c r="B583" t="s">
        <v>2328</v>
      </c>
      <c r="C583" t="s">
        <v>121</v>
      </c>
      <c r="D583" t="s">
        <v>2329</v>
      </c>
      <c r="E583" t="str">
        <f>IF(COUNTIF(Technologie_Wszystkie[IdxWspolny],Technologie_Wszystkie[[#This Row],[IdxWspolny]])&gt;1,"DUBEL","OK")</f>
        <v>OK</v>
      </c>
    </row>
    <row r="584" spans="1:5" x14ac:dyDescent="0.25">
      <c r="A584" t="s">
        <v>2381</v>
      </c>
      <c r="B584" t="s">
        <v>2382</v>
      </c>
      <c r="C584" t="s">
        <v>49</v>
      </c>
      <c r="D584" t="s">
        <v>2383</v>
      </c>
      <c r="E584" t="str">
        <f>IF(COUNTIF(Technologie_Wszystkie[IdxWspolny],Technologie_Wszystkie[[#This Row],[IdxWspolny]])&gt;1,"DUBEL","OK")</f>
        <v>OK</v>
      </c>
    </row>
    <row r="585" spans="1:5" x14ac:dyDescent="0.25">
      <c r="A585" t="s">
        <v>670</v>
      </c>
      <c r="B585" t="s">
        <v>671</v>
      </c>
      <c r="C585" t="s">
        <v>49</v>
      </c>
      <c r="D585" t="s">
        <v>672</v>
      </c>
      <c r="E585" t="str">
        <f>IF(COUNTIF(Technologie_Wszystkie[IdxWspolny],Technologie_Wszystkie[[#This Row],[IdxWspolny]])&gt;1,"DUBEL","OK")</f>
        <v>OK</v>
      </c>
    </row>
    <row r="586" spans="1:5" x14ac:dyDescent="0.25">
      <c r="A586" t="s">
        <v>673</v>
      </c>
      <c r="B586" t="s">
        <v>674</v>
      </c>
      <c r="C586" t="s">
        <v>49</v>
      </c>
      <c r="D586" t="s">
        <v>675</v>
      </c>
      <c r="E586" t="str">
        <f>IF(COUNTIF(Technologie_Wszystkie[IdxWspolny],Technologie_Wszystkie[[#This Row],[IdxWspolny]])&gt;1,"DUBEL","OK")</f>
        <v>OK</v>
      </c>
    </row>
    <row r="587" spans="1:5" x14ac:dyDescent="0.25">
      <c r="A587" t="s">
        <v>676</v>
      </c>
      <c r="B587" t="s">
        <v>677</v>
      </c>
      <c r="C587" t="s">
        <v>49</v>
      </c>
      <c r="D587" t="s">
        <v>672</v>
      </c>
      <c r="E587" t="str">
        <f>IF(COUNTIF(Technologie_Wszystkie[IdxWspolny],Technologie_Wszystkie[[#This Row],[IdxWspolny]])&gt;1,"DUBEL","OK")</f>
        <v>OK</v>
      </c>
    </row>
    <row r="588" spans="1:5" x14ac:dyDescent="0.25">
      <c r="A588" t="s">
        <v>678</v>
      </c>
      <c r="B588" t="s">
        <v>679</v>
      </c>
      <c r="C588" t="s">
        <v>49</v>
      </c>
      <c r="D588" t="s">
        <v>680</v>
      </c>
      <c r="E588" t="str">
        <f>IF(COUNTIF(Technologie_Wszystkie[IdxWspolny],Technologie_Wszystkie[[#This Row],[IdxWspolny]])&gt;1,"DUBEL","OK")</f>
        <v>OK</v>
      </c>
    </row>
    <row r="589" spans="1:5" x14ac:dyDescent="0.25">
      <c r="A589" t="s">
        <v>681</v>
      </c>
      <c r="B589" t="s">
        <v>682</v>
      </c>
      <c r="C589" t="s">
        <v>49</v>
      </c>
      <c r="D589" t="s">
        <v>683</v>
      </c>
      <c r="E589" t="str">
        <f>IF(COUNTIF(Technologie_Wszystkie[IdxWspolny],Technologie_Wszystkie[[#This Row],[IdxWspolny]])&gt;1,"DUBEL","OK")</f>
        <v>OK</v>
      </c>
    </row>
    <row r="590" spans="1:5" x14ac:dyDescent="0.25">
      <c r="A590" t="s">
        <v>4967</v>
      </c>
      <c r="B590" t="s">
        <v>4968</v>
      </c>
      <c r="C590" t="s">
        <v>49</v>
      </c>
      <c r="D590" t="s">
        <v>4969</v>
      </c>
      <c r="E590" t="str">
        <f>IF(COUNTIF(Technologie_Wszystkie[IdxWspolny],Technologie_Wszystkie[[#This Row],[IdxWspolny]])&gt;1,"DUBEL","OK")</f>
        <v>OK</v>
      </c>
    </row>
    <row r="591" spans="1:5" x14ac:dyDescent="0.25">
      <c r="A591" t="s">
        <v>4970</v>
      </c>
      <c r="B591" t="s">
        <v>4971</v>
      </c>
      <c r="C591" t="s">
        <v>49</v>
      </c>
      <c r="D591" t="s">
        <v>4972</v>
      </c>
      <c r="E591" t="str">
        <f>IF(COUNTIF(Technologie_Wszystkie[IdxWspolny],Technologie_Wszystkie[[#This Row],[IdxWspolny]])&gt;1,"DUBEL","OK")</f>
        <v>OK</v>
      </c>
    </row>
    <row r="592" spans="1:5" x14ac:dyDescent="0.25">
      <c r="A592" t="s">
        <v>830</v>
      </c>
      <c r="B592" t="s">
        <v>831</v>
      </c>
      <c r="C592" t="s">
        <v>49</v>
      </c>
      <c r="D592" t="s">
        <v>832</v>
      </c>
      <c r="E592" t="str">
        <f>IF(COUNTIF(Technologie_Wszystkie[IdxWspolny],Technologie_Wszystkie[[#This Row],[IdxWspolny]])&gt;1,"DUBEL","OK")</f>
        <v>OK</v>
      </c>
    </row>
    <row r="593" spans="1:5" x14ac:dyDescent="0.25">
      <c r="A593" t="s">
        <v>833</v>
      </c>
      <c r="B593" t="s">
        <v>834</v>
      </c>
      <c r="C593" t="s">
        <v>49</v>
      </c>
      <c r="D593" t="s">
        <v>835</v>
      </c>
      <c r="E593" t="str">
        <f>IF(COUNTIF(Technologie_Wszystkie[IdxWspolny],Technologie_Wszystkie[[#This Row],[IdxWspolny]])&gt;1,"DUBEL","OK")</f>
        <v>OK</v>
      </c>
    </row>
    <row r="594" spans="1:5" x14ac:dyDescent="0.25">
      <c r="A594" t="s">
        <v>836</v>
      </c>
      <c r="B594" t="s">
        <v>837</v>
      </c>
      <c r="C594" t="s">
        <v>49</v>
      </c>
      <c r="D594" t="s">
        <v>838</v>
      </c>
      <c r="E594" t="str">
        <f>IF(COUNTIF(Technologie_Wszystkie[IdxWspolny],Technologie_Wszystkie[[#This Row],[IdxWspolny]])&gt;1,"DUBEL","OK")</f>
        <v>OK</v>
      </c>
    </row>
    <row r="595" spans="1:5" x14ac:dyDescent="0.25">
      <c r="A595" t="s">
        <v>2919</v>
      </c>
      <c r="B595" t="s">
        <v>2920</v>
      </c>
      <c r="C595" t="s">
        <v>49</v>
      </c>
      <c r="D595" t="s">
        <v>2921</v>
      </c>
      <c r="E595" t="str">
        <f>IF(COUNTIF(Technologie_Wszystkie[IdxWspolny],Technologie_Wszystkie[[#This Row],[IdxWspolny]])&gt;1,"DUBEL","OK")</f>
        <v>OK</v>
      </c>
    </row>
    <row r="596" spans="1:5" x14ac:dyDescent="0.25">
      <c r="A596" t="s">
        <v>2922</v>
      </c>
      <c r="B596" t="s">
        <v>2923</v>
      </c>
      <c r="C596" t="s">
        <v>49</v>
      </c>
      <c r="D596" t="s">
        <v>1009</v>
      </c>
      <c r="E596" t="str">
        <f>IF(COUNTIF(Technologie_Wszystkie[IdxWspolny],Technologie_Wszystkie[[#This Row],[IdxWspolny]])&gt;1,"DUBEL","OK")</f>
        <v>OK</v>
      </c>
    </row>
    <row r="597" spans="1:5" x14ac:dyDescent="0.25">
      <c r="A597" t="s">
        <v>4644</v>
      </c>
      <c r="B597" t="s">
        <v>4645</v>
      </c>
      <c r="C597" t="s">
        <v>49</v>
      </c>
      <c r="D597" t="s">
        <v>2329</v>
      </c>
      <c r="E597" t="str">
        <f>IF(COUNTIF(Technologie_Wszystkie[IdxWspolny],Technologie_Wszystkie[[#This Row],[IdxWspolny]])&gt;1,"DUBEL","OK")</f>
        <v>OK</v>
      </c>
    </row>
    <row r="598" spans="1:5" x14ac:dyDescent="0.25">
      <c r="A598" t="s">
        <v>4576</v>
      </c>
      <c r="B598" t="s">
        <v>4577</v>
      </c>
      <c r="C598" t="s">
        <v>49</v>
      </c>
      <c r="D598" t="s">
        <v>4578</v>
      </c>
      <c r="E598" t="str">
        <f>IF(COUNTIF(Technologie_Wszystkie[IdxWspolny],Technologie_Wszystkie[[#This Row],[IdxWspolny]])&gt;1,"DUBEL","OK")</f>
        <v>OK</v>
      </c>
    </row>
    <row r="599" spans="1:5" x14ac:dyDescent="0.25">
      <c r="A599" t="s">
        <v>4579</v>
      </c>
      <c r="B599" t="s">
        <v>4580</v>
      </c>
      <c r="C599" t="s">
        <v>49</v>
      </c>
      <c r="D599" t="s">
        <v>4578</v>
      </c>
      <c r="E599" t="str">
        <f>IF(COUNTIF(Technologie_Wszystkie[IdxWspolny],Technologie_Wszystkie[[#This Row],[IdxWspolny]])&gt;1,"DUBEL","OK")</f>
        <v>OK</v>
      </c>
    </row>
    <row r="600" spans="1:5" x14ac:dyDescent="0.25">
      <c r="A600" t="s">
        <v>4581</v>
      </c>
      <c r="B600" t="s">
        <v>4582</v>
      </c>
      <c r="C600" t="s">
        <v>49</v>
      </c>
      <c r="D600" t="s">
        <v>4583</v>
      </c>
      <c r="E600" t="str">
        <f>IF(COUNTIF(Technologie_Wszystkie[IdxWspolny],Technologie_Wszystkie[[#This Row],[IdxWspolny]])&gt;1,"DUBEL","OK")</f>
        <v>OK</v>
      </c>
    </row>
    <row r="601" spans="1:5" x14ac:dyDescent="0.25">
      <c r="A601" t="s">
        <v>4584</v>
      </c>
      <c r="B601" t="s">
        <v>4585</v>
      </c>
      <c r="C601" t="s">
        <v>49</v>
      </c>
      <c r="D601" t="s">
        <v>4586</v>
      </c>
      <c r="E601" t="str">
        <f>IF(COUNTIF(Technologie_Wszystkie[IdxWspolny],Technologie_Wszystkie[[#This Row],[IdxWspolny]])&gt;1,"DUBEL","OK")</f>
        <v>OK</v>
      </c>
    </row>
    <row r="602" spans="1:5" x14ac:dyDescent="0.25">
      <c r="A602" t="s">
        <v>4587</v>
      </c>
      <c r="B602" t="s">
        <v>4588</v>
      </c>
      <c r="C602" t="s">
        <v>49</v>
      </c>
      <c r="D602" t="s">
        <v>151</v>
      </c>
      <c r="E602" t="str">
        <f>IF(COUNTIF(Technologie_Wszystkie[IdxWspolny],Technologie_Wszystkie[[#This Row],[IdxWspolny]])&gt;1,"DUBEL","OK")</f>
        <v>OK</v>
      </c>
    </row>
    <row r="603" spans="1:5" x14ac:dyDescent="0.25">
      <c r="A603" t="s">
        <v>4599</v>
      </c>
      <c r="B603" t="s">
        <v>4600</v>
      </c>
      <c r="C603" t="s">
        <v>49</v>
      </c>
      <c r="D603" t="s">
        <v>4601</v>
      </c>
      <c r="E603" t="str">
        <f>IF(COUNTIF(Technologie_Wszystkie[IdxWspolny],Technologie_Wszystkie[[#This Row],[IdxWspolny]])&gt;1,"DUBEL","OK")</f>
        <v>OK</v>
      </c>
    </row>
    <row r="604" spans="1:5" x14ac:dyDescent="0.25">
      <c r="A604" t="s">
        <v>4602</v>
      </c>
      <c r="B604" t="s">
        <v>4603</v>
      </c>
      <c r="C604" t="s">
        <v>49</v>
      </c>
      <c r="D604" t="s">
        <v>4604</v>
      </c>
      <c r="E604" t="str">
        <f>IF(COUNTIF(Technologie_Wszystkie[IdxWspolny],Technologie_Wszystkie[[#This Row],[IdxWspolny]])&gt;1,"DUBEL","OK")</f>
        <v>OK</v>
      </c>
    </row>
    <row r="605" spans="1:5" x14ac:dyDescent="0.25">
      <c r="A605" t="s">
        <v>4595</v>
      </c>
      <c r="B605" t="s">
        <v>4596</v>
      </c>
      <c r="C605" t="s">
        <v>49</v>
      </c>
      <c r="D605" t="s">
        <v>803</v>
      </c>
      <c r="E605" t="str">
        <f>IF(COUNTIF(Technologie_Wszystkie[IdxWspolny],Technologie_Wszystkie[[#This Row],[IdxWspolny]])&gt;1,"DUBEL","OK")</f>
        <v>OK</v>
      </c>
    </row>
    <row r="606" spans="1:5" x14ac:dyDescent="0.25">
      <c r="A606" t="s">
        <v>4808</v>
      </c>
      <c r="B606" t="s">
        <v>4809</v>
      </c>
      <c r="C606" t="s">
        <v>49</v>
      </c>
      <c r="D606" t="s">
        <v>2329</v>
      </c>
      <c r="E606" t="str">
        <f>IF(COUNTIF(Technologie_Wszystkie[IdxWspolny],Technologie_Wszystkie[[#This Row],[IdxWspolny]])&gt;1,"DUBEL","OK")</f>
        <v>OK</v>
      </c>
    </row>
    <row r="607" spans="1:5" x14ac:dyDescent="0.25">
      <c r="A607" t="s">
        <v>1911</v>
      </c>
      <c r="B607" t="s">
        <v>1912</v>
      </c>
      <c r="C607" t="s">
        <v>49</v>
      </c>
      <c r="D607" t="s">
        <v>1598</v>
      </c>
      <c r="E607" t="str">
        <f>IF(COUNTIF(Technologie_Wszystkie[IdxWspolny],Technologie_Wszystkie[[#This Row],[IdxWspolny]])&gt;1,"DUBEL","OK")</f>
        <v>OK</v>
      </c>
    </row>
    <row r="608" spans="1:5" x14ac:dyDescent="0.25">
      <c r="A608" t="s">
        <v>1913</v>
      </c>
      <c r="B608" t="s">
        <v>1914</v>
      </c>
      <c r="C608" t="s">
        <v>49</v>
      </c>
      <c r="D608" t="s">
        <v>1588</v>
      </c>
      <c r="E608" t="str">
        <f>IF(COUNTIF(Technologie_Wszystkie[IdxWspolny],Technologie_Wszystkie[[#This Row],[IdxWspolny]])&gt;1,"DUBEL","OK")</f>
        <v>OK</v>
      </c>
    </row>
    <row r="609" spans="1:5" x14ac:dyDescent="0.25">
      <c r="A609" t="s">
        <v>1915</v>
      </c>
      <c r="B609" t="s">
        <v>1916</v>
      </c>
      <c r="C609" t="s">
        <v>49</v>
      </c>
      <c r="D609" t="s">
        <v>1917</v>
      </c>
      <c r="E609" t="str">
        <f>IF(COUNTIF(Technologie_Wszystkie[IdxWspolny],Technologie_Wszystkie[[#This Row],[IdxWspolny]])&gt;1,"DUBEL","OK")</f>
        <v>OK</v>
      </c>
    </row>
    <row r="610" spans="1:5" x14ac:dyDescent="0.25">
      <c r="A610" t="s">
        <v>155</v>
      </c>
      <c r="B610" t="s">
        <v>156</v>
      </c>
      <c r="C610" t="s">
        <v>121</v>
      </c>
      <c r="D610" t="s">
        <v>157</v>
      </c>
      <c r="E610" t="str">
        <f>IF(COUNTIF(Technologie_Wszystkie[IdxWspolny],Technologie_Wszystkie[[#This Row],[IdxWspolny]])&gt;1,"DUBEL","OK")</f>
        <v>OK</v>
      </c>
    </row>
    <row r="611" spans="1:5" x14ac:dyDescent="0.25">
      <c r="A611" t="s">
        <v>1154</v>
      </c>
      <c r="B611" t="s">
        <v>1155</v>
      </c>
      <c r="C611" t="s">
        <v>121</v>
      </c>
      <c r="D611" t="s">
        <v>165</v>
      </c>
      <c r="E611" t="str">
        <f>IF(COUNTIF(Technologie_Wszystkie[IdxWspolny],Technologie_Wszystkie[[#This Row],[IdxWspolny]])&gt;1,"DUBEL","OK")</f>
        <v>OK</v>
      </c>
    </row>
    <row r="612" spans="1:5" x14ac:dyDescent="0.25">
      <c r="A612" t="s">
        <v>1947</v>
      </c>
      <c r="B612" t="s">
        <v>1948</v>
      </c>
      <c r="C612" t="s">
        <v>121</v>
      </c>
      <c r="D612" t="s">
        <v>1949</v>
      </c>
      <c r="E612" t="str">
        <f>IF(COUNTIF(Technologie_Wszystkie[IdxWspolny],Technologie_Wszystkie[[#This Row],[IdxWspolny]])&gt;1,"DUBEL","OK")</f>
        <v>OK</v>
      </c>
    </row>
    <row r="613" spans="1:5" x14ac:dyDescent="0.25">
      <c r="A613" t="s">
        <v>1950</v>
      </c>
      <c r="B613" t="s">
        <v>1951</v>
      </c>
      <c r="C613" t="s">
        <v>121</v>
      </c>
      <c r="D613" t="s">
        <v>165</v>
      </c>
      <c r="E613" t="str">
        <f>IF(COUNTIF(Technologie_Wszystkie[IdxWspolny],Technologie_Wszystkie[[#This Row],[IdxWspolny]])&gt;1,"DUBEL","OK")</f>
        <v>OK</v>
      </c>
    </row>
    <row r="614" spans="1:5" x14ac:dyDescent="0.25">
      <c r="A614" t="s">
        <v>1952</v>
      </c>
      <c r="B614" t="s">
        <v>1953</v>
      </c>
      <c r="C614" t="s">
        <v>121</v>
      </c>
      <c r="D614" t="s">
        <v>1884</v>
      </c>
      <c r="E614" t="str">
        <f>IF(COUNTIF(Technologie_Wszystkie[IdxWspolny],Technologie_Wszystkie[[#This Row],[IdxWspolny]])&gt;1,"DUBEL","OK")</f>
        <v>OK</v>
      </c>
    </row>
    <row r="615" spans="1:5" x14ac:dyDescent="0.25">
      <c r="A615" t="s">
        <v>1924</v>
      </c>
      <c r="B615" t="s">
        <v>1925</v>
      </c>
      <c r="C615" t="s">
        <v>121</v>
      </c>
      <c r="D615" t="s">
        <v>1926</v>
      </c>
      <c r="E615" t="str">
        <f>IF(COUNTIF(Technologie_Wszystkie[IdxWspolny],Technologie_Wszystkie[[#This Row],[IdxWspolny]])&gt;1,"DUBEL","OK")</f>
        <v>OK</v>
      </c>
    </row>
    <row r="616" spans="1:5" x14ac:dyDescent="0.25">
      <c r="A616" t="s">
        <v>1935</v>
      </c>
      <c r="B616" t="s">
        <v>1936</v>
      </c>
      <c r="C616" t="s">
        <v>121</v>
      </c>
      <c r="D616" t="s">
        <v>1937</v>
      </c>
      <c r="E616" t="str">
        <f>IF(COUNTIF(Technologie_Wszystkie[IdxWspolny],Technologie_Wszystkie[[#This Row],[IdxWspolny]])&gt;1,"DUBEL","OK")</f>
        <v>OK</v>
      </c>
    </row>
    <row r="617" spans="1:5" x14ac:dyDescent="0.25">
      <c r="A617" t="s">
        <v>1927</v>
      </c>
      <c r="B617" t="s">
        <v>1928</v>
      </c>
      <c r="C617" t="s">
        <v>121</v>
      </c>
      <c r="D617" t="s">
        <v>1929</v>
      </c>
      <c r="E617" t="str">
        <f>IF(COUNTIF(Technologie_Wszystkie[IdxWspolny],Technologie_Wszystkie[[#This Row],[IdxWspolny]])&gt;1,"DUBEL","OK")</f>
        <v>OK</v>
      </c>
    </row>
    <row r="618" spans="1:5" x14ac:dyDescent="0.25">
      <c r="A618" t="s">
        <v>1938</v>
      </c>
      <c r="B618" t="s">
        <v>1939</v>
      </c>
      <c r="C618" t="s">
        <v>121</v>
      </c>
      <c r="D618" t="s">
        <v>1940</v>
      </c>
      <c r="E618" t="str">
        <f>IF(COUNTIF(Technologie_Wszystkie[IdxWspolny],Technologie_Wszystkie[[#This Row],[IdxWspolny]])&gt;1,"DUBEL","OK")</f>
        <v>OK</v>
      </c>
    </row>
    <row r="619" spans="1:5" x14ac:dyDescent="0.25">
      <c r="A619" t="s">
        <v>1930</v>
      </c>
      <c r="B619" t="s">
        <v>1931</v>
      </c>
      <c r="C619" t="s">
        <v>121</v>
      </c>
      <c r="D619" t="s">
        <v>1932</v>
      </c>
      <c r="E619" t="str">
        <f>IF(COUNTIF(Technologie_Wszystkie[IdxWspolny],Technologie_Wszystkie[[#This Row],[IdxWspolny]])&gt;1,"DUBEL","OK")</f>
        <v>OK</v>
      </c>
    </row>
    <row r="620" spans="1:5" x14ac:dyDescent="0.25">
      <c r="A620" t="s">
        <v>1941</v>
      </c>
      <c r="B620" t="s">
        <v>1942</v>
      </c>
      <c r="C620" t="s">
        <v>121</v>
      </c>
      <c r="D620" t="s">
        <v>336</v>
      </c>
      <c r="E620" t="str">
        <f>IF(COUNTIF(Technologie_Wszystkie[IdxWspolny],Technologie_Wszystkie[[#This Row],[IdxWspolny]])&gt;1,"DUBEL","OK")</f>
        <v>OK</v>
      </c>
    </row>
    <row r="621" spans="1:5" x14ac:dyDescent="0.25">
      <c r="A621" t="s">
        <v>3963</v>
      </c>
      <c r="B621" t="s">
        <v>3964</v>
      </c>
      <c r="C621" t="s">
        <v>49</v>
      </c>
      <c r="D621" t="s">
        <v>54</v>
      </c>
      <c r="E621" t="str">
        <f>IF(COUNTIF(Technologie_Wszystkie[IdxWspolny],Technologie_Wszystkie[[#This Row],[IdxWspolny]])&gt;1,"DUBEL","OK")</f>
        <v>OK</v>
      </c>
    </row>
    <row r="622" spans="1:5" x14ac:dyDescent="0.25">
      <c r="A622" t="s">
        <v>5001</v>
      </c>
      <c r="B622" t="s">
        <v>5002</v>
      </c>
      <c r="C622" t="s">
        <v>121</v>
      </c>
      <c r="D622" t="s">
        <v>104</v>
      </c>
      <c r="E622" t="str">
        <f>IF(COUNTIF(Technologie_Wszystkie[IdxWspolny],Technologie_Wszystkie[[#This Row],[IdxWspolny]])&gt;1,"DUBEL","OK")</f>
        <v>OK</v>
      </c>
    </row>
    <row r="623" spans="1:5" x14ac:dyDescent="0.25">
      <c r="A623" t="s">
        <v>5062</v>
      </c>
      <c r="B623" t="s">
        <v>5061</v>
      </c>
      <c r="C623" t="s">
        <v>49</v>
      </c>
      <c r="D623" t="s">
        <v>5063</v>
      </c>
      <c r="E623" t="str">
        <f>IF(COUNTIF(Technologie_Wszystkie[IdxWspolny],Technologie_Wszystkie[[#This Row],[IdxWspolny]])&gt;1,"DUBEL","OK")</f>
        <v>OK</v>
      </c>
    </row>
    <row r="624" spans="1:5" x14ac:dyDescent="0.25">
      <c r="A624" t="s">
        <v>5072</v>
      </c>
      <c r="B624" t="s">
        <v>5073</v>
      </c>
      <c r="C624" t="s">
        <v>49</v>
      </c>
      <c r="D624" t="s">
        <v>336</v>
      </c>
      <c r="E624" t="str">
        <f>IF(COUNTIF(Technologie_Wszystkie[IdxWspolny],Technologie_Wszystkie[[#This Row],[IdxWspolny]])&gt;1,"DUBEL","OK")</f>
        <v>OK</v>
      </c>
    </row>
    <row r="625" spans="1:5" x14ac:dyDescent="0.25">
      <c r="A625" t="s">
        <v>5067</v>
      </c>
      <c r="B625" t="s">
        <v>5068</v>
      </c>
      <c r="C625" t="s">
        <v>49</v>
      </c>
      <c r="D625" t="s">
        <v>5069</v>
      </c>
      <c r="E625" t="str">
        <f>IF(COUNTIF(Technologie_Wszystkie[IdxWspolny],Technologie_Wszystkie[[#This Row],[IdxWspolny]])&gt;1,"DUBEL","OK")</f>
        <v>OK</v>
      </c>
    </row>
    <row r="626" spans="1:5" x14ac:dyDescent="0.25">
      <c r="A626" t="s">
        <v>5080</v>
      </c>
      <c r="B626" t="s">
        <v>5081</v>
      </c>
      <c r="C626" t="s">
        <v>49</v>
      </c>
      <c r="D626" t="s">
        <v>1932</v>
      </c>
      <c r="E626" t="str">
        <f>IF(COUNTIF(Technologie_Wszystkie[IdxWspolny],Technologie_Wszystkie[[#This Row],[IdxWspolny]])&gt;1,"DUBEL","OK")</f>
        <v>OK</v>
      </c>
    </row>
    <row r="627" spans="1:5" x14ac:dyDescent="0.25">
      <c r="A627" t="s">
        <v>2623</v>
      </c>
      <c r="B627" t="s">
        <v>2624</v>
      </c>
      <c r="C627" t="s">
        <v>121</v>
      </c>
      <c r="D627" t="s">
        <v>2625</v>
      </c>
      <c r="E627" t="str">
        <f>IF(COUNTIF(Technologie_Wszystkie[IdxWspolny],Technologie_Wszystkie[[#This Row],[IdxWspolny]])&gt;1,"DUBEL","OK")</f>
        <v>OK</v>
      </c>
    </row>
    <row r="628" spans="1:5" x14ac:dyDescent="0.25">
      <c r="A628" t="s">
        <v>2797</v>
      </c>
      <c r="B628" t="s">
        <v>2798</v>
      </c>
      <c r="C628" t="s">
        <v>121</v>
      </c>
      <c r="D628" t="s">
        <v>2799</v>
      </c>
      <c r="E628" t="str">
        <f>IF(COUNTIF(Technologie_Wszystkie[IdxWspolny],Technologie_Wszystkie[[#This Row],[IdxWspolny]])&gt;1,"DUBEL","OK")</f>
        <v>OK</v>
      </c>
    </row>
    <row r="629" spans="1:5" x14ac:dyDescent="0.25">
      <c r="A629" t="s">
        <v>2626</v>
      </c>
      <c r="B629" t="s">
        <v>2627</v>
      </c>
      <c r="C629" t="s">
        <v>121</v>
      </c>
      <c r="D629" t="s">
        <v>2628</v>
      </c>
      <c r="E629" t="str">
        <f>IF(COUNTIF(Technologie_Wszystkie[IdxWspolny],Technologie_Wszystkie[[#This Row],[IdxWspolny]])&gt;1,"DUBEL","OK")</f>
        <v>OK</v>
      </c>
    </row>
    <row r="630" spans="1:5" x14ac:dyDescent="0.25">
      <c r="A630" t="s">
        <v>2892</v>
      </c>
      <c r="B630" t="s">
        <v>2893</v>
      </c>
      <c r="C630" t="s">
        <v>121</v>
      </c>
      <c r="D630" t="s">
        <v>336</v>
      </c>
      <c r="E630" t="str">
        <f>IF(COUNTIF(Technologie_Wszystkie[IdxWspolny],Technologie_Wszystkie[[#This Row],[IdxWspolny]])&gt;1,"DUBEL","OK")</f>
        <v>OK</v>
      </c>
    </row>
    <row r="631" spans="1:5" x14ac:dyDescent="0.25">
      <c r="A631" t="s">
        <v>2744</v>
      </c>
      <c r="B631" t="s">
        <v>2745</v>
      </c>
      <c r="C631" t="s">
        <v>49</v>
      </c>
      <c r="D631" t="s">
        <v>1675</v>
      </c>
      <c r="E631" t="str">
        <f>IF(COUNTIF(Technologie_Wszystkie[IdxWspolny],Technologie_Wszystkie[[#This Row],[IdxWspolny]])&gt;1,"DUBEL","OK")</f>
        <v>OK</v>
      </c>
    </row>
    <row r="632" spans="1:5" x14ac:dyDescent="0.25">
      <c r="A632" t="s">
        <v>2746</v>
      </c>
      <c r="B632" t="s">
        <v>2747</v>
      </c>
      <c r="C632" t="s">
        <v>49</v>
      </c>
      <c r="D632" t="s">
        <v>876</v>
      </c>
      <c r="E632" t="str">
        <f>IF(COUNTIF(Technologie_Wszystkie[IdxWspolny],Technologie_Wszystkie[[#This Row],[IdxWspolny]])&gt;1,"DUBEL","OK")</f>
        <v>OK</v>
      </c>
    </row>
    <row r="633" spans="1:5" x14ac:dyDescent="0.25">
      <c r="A633" t="s">
        <v>2748</v>
      </c>
      <c r="B633" t="s">
        <v>2749</v>
      </c>
      <c r="C633" t="s">
        <v>49</v>
      </c>
      <c r="D633" t="s">
        <v>2750</v>
      </c>
      <c r="E633" t="str">
        <f>IF(COUNTIF(Technologie_Wszystkie[IdxWspolny],Technologie_Wszystkie[[#This Row],[IdxWspolny]])&gt;1,"DUBEL","OK")</f>
        <v>OK</v>
      </c>
    </row>
    <row r="634" spans="1:5" x14ac:dyDescent="0.25">
      <c r="A634" t="s">
        <v>2751</v>
      </c>
      <c r="B634" t="s">
        <v>2752</v>
      </c>
      <c r="C634" t="s">
        <v>49</v>
      </c>
      <c r="D634" t="s">
        <v>2036</v>
      </c>
      <c r="E634" t="str">
        <f>IF(COUNTIF(Technologie_Wszystkie[IdxWspolny],Technologie_Wszystkie[[#This Row],[IdxWspolny]])&gt;1,"DUBEL","OK")</f>
        <v>OK</v>
      </c>
    </row>
    <row r="635" spans="1:5" x14ac:dyDescent="0.25">
      <c r="A635" t="s">
        <v>2666</v>
      </c>
      <c r="B635" t="s">
        <v>2667</v>
      </c>
      <c r="C635" t="s">
        <v>49</v>
      </c>
      <c r="D635" t="s">
        <v>2681</v>
      </c>
      <c r="E635" t="str">
        <f>IF(COUNTIF(Technologie_Wszystkie[IdxWspolny],Technologie_Wszystkie[[#This Row],[IdxWspolny]])&gt;1,"DUBEL","OK")</f>
        <v>OK</v>
      </c>
    </row>
    <row r="636" spans="1:5" x14ac:dyDescent="0.25">
      <c r="A636" t="s">
        <v>2629</v>
      </c>
      <c r="B636" t="s">
        <v>2630</v>
      </c>
      <c r="C636" t="s">
        <v>121</v>
      </c>
      <c r="D636" t="s">
        <v>2631</v>
      </c>
      <c r="E636" t="str">
        <f>IF(COUNTIF(Technologie_Wszystkie[IdxWspolny],Technologie_Wszystkie[[#This Row],[IdxWspolny]])&gt;1,"DUBEL","OK")</f>
        <v>OK</v>
      </c>
    </row>
    <row r="637" spans="1:5" x14ac:dyDescent="0.25">
      <c r="A637" t="s">
        <v>3238</v>
      </c>
      <c r="B637" t="s">
        <v>3239</v>
      </c>
      <c r="C637" t="s">
        <v>121</v>
      </c>
      <c r="D637" t="s">
        <v>3240</v>
      </c>
      <c r="E637" t="str">
        <f>IF(COUNTIF(Technologie_Wszystkie[IdxWspolny],Technologie_Wszystkie[[#This Row],[IdxWspolny]])&gt;1,"DUBEL","OK")</f>
        <v>OK</v>
      </c>
    </row>
    <row r="638" spans="1:5" x14ac:dyDescent="0.25">
      <c r="A638" t="s">
        <v>3241</v>
      </c>
      <c r="B638" t="s">
        <v>3242</v>
      </c>
      <c r="C638" t="s">
        <v>121</v>
      </c>
      <c r="D638" t="s">
        <v>336</v>
      </c>
      <c r="E638" t="str">
        <f>IF(COUNTIF(Technologie_Wszystkie[IdxWspolny],Technologie_Wszystkie[[#This Row],[IdxWspolny]])&gt;1,"DUBEL","OK")</f>
        <v>OK</v>
      </c>
    </row>
    <row r="639" spans="1:5" x14ac:dyDescent="0.25">
      <c r="A639" t="s">
        <v>3243</v>
      </c>
      <c r="B639" t="s">
        <v>3244</v>
      </c>
      <c r="C639" t="s">
        <v>121</v>
      </c>
      <c r="D639" t="s">
        <v>3245</v>
      </c>
      <c r="E639" t="str">
        <f>IF(COUNTIF(Technologie_Wszystkie[IdxWspolny],Technologie_Wszystkie[[#This Row],[IdxWspolny]])&gt;1,"DUBEL","OK")</f>
        <v>OK</v>
      </c>
    </row>
    <row r="640" spans="1:5" x14ac:dyDescent="0.25">
      <c r="A640" t="s">
        <v>3246</v>
      </c>
      <c r="B640" t="s">
        <v>3247</v>
      </c>
      <c r="C640" t="s">
        <v>121</v>
      </c>
      <c r="D640" t="s">
        <v>3248</v>
      </c>
      <c r="E640" t="str">
        <f>IF(COUNTIF(Technologie_Wszystkie[IdxWspolny],Technologie_Wszystkie[[#This Row],[IdxWspolny]])&gt;1,"DUBEL","OK")</f>
        <v>OK</v>
      </c>
    </row>
    <row r="641" spans="1:5" x14ac:dyDescent="0.25">
      <c r="A641" t="s">
        <v>3578</v>
      </c>
      <c r="B641" t="s">
        <v>3579</v>
      </c>
      <c r="C641" t="s">
        <v>121</v>
      </c>
      <c r="D641" t="s">
        <v>3580</v>
      </c>
      <c r="E641" t="str">
        <f>IF(COUNTIF(Technologie_Wszystkie[IdxWspolny],Technologie_Wszystkie[[#This Row],[IdxWspolny]])&gt;1,"DUBEL","OK")</f>
        <v>OK</v>
      </c>
    </row>
    <row r="642" spans="1:5" x14ac:dyDescent="0.25">
      <c r="A642" t="s">
        <v>3581</v>
      </c>
      <c r="B642" t="s">
        <v>3582</v>
      </c>
      <c r="C642" t="s">
        <v>121</v>
      </c>
      <c r="D642" t="s">
        <v>3583</v>
      </c>
      <c r="E642" t="str">
        <f>IF(COUNTIF(Technologie_Wszystkie[IdxWspolny],Technologie_Wszystkie[[#This Row],[IdxWspolny]])&gt;1,"DUBEL","OK")</f>
        <v>OK</v>
      </c>
    </row>
    <row r="643" spans="1:5" x14ac:dyDescent="0.25">
      <c r="A643" t="s">
        <v>2354</v>
      </c>
      <c r="B643" t="s">
        <v>2355</v>
      </c>
      <c r="C643" t="s">
        <v>49</v>
      </c>
      <c r="D643" t="s">
        <v>2356</v>
      </c>
      <c r="E643" t="str">
        <f>IF(COUNTIF(Technologie_Wszystkie[IdxWspolny],Technologie_Wszystkie[[#This Row],[IdxWspolny]])&gt;1,"DUBEL","OK")</f>
        <v>OK</v>
      </c>
    </row>
    <row r="644" spans="1:5" x14ac:dyDescent="0.25">
      <c r="A644" t="s">
        <v>2349</v>
      </c>
      <c r="B644" t="s">
        <v>2350</v>
      </c>
      <c r="C644" t="s">
        <v>49</v>
      </c>
      <c r="D644" t="s">
        <v>2351</v>
      </c>
      <c r="E644" t="str">
        <f>IF(COUNTIF(Technologie_Wszystkie[IdxWspolny],Technologie_Wszystkie[[#This Row],[IdxWspolny]])&gt;1,"DUBEL","OK")</f>
        <v>OK</v>
      </c>
    </row>
    <row r="645" spans="1:5" x14ac:dyDescent="0.25">
      <c r="A645" t="s">
        <v>1868</v>
      </c>
      <c r="B645" t="s">
        <v>1869</v>
      </c>
      <c r="C645" t="s">
        <v>49</v>
      </c>
      <c r="D645" t="s">
        <v>1870</v>
      </c>
      <c r="E645" t="str">
        <f>IF(COUNTIF(Technologie_Wszystkie[IdxWspolny],Technologie_Wszystkie[[#This Row],[IdxWspolny]])&gt;1,"DUBEL","OK")</f>
        <v>OK</v>
      </c>
    </row>
    <row r="646" spans="1:5" x14ac:dyDescent="0.25">
      <c r="A646" t="s">
        <v>2682</v>
      </c>
      <c r="B646" t="s">
        <v>2683</v>
      </c>
      <c r="C646" t="s">
        <v>49</v>
      </c>
      <c r="D646" t="s">
        <v>2684</v>
      </c>
      <c r="E646" t="str">
        <f>IF(COUNTIF(Technologie_Wszystkie[IdxWspolny],Technologie_Wszystkie[[#This Row],[IdxWspolny]])&gt;1,"DUBEL","OK")</f>
        <v>OK</v>
      </c>
    </row>
    <row r="647" spans="1:5" x14ac:dyDescent="0.25">
      <c r="A647" t="s">
        <v>3190</v>
      </c>
      <c r="B647" t="s">
        <v>3191</v>
      </c>
      <c r="C647" t="s">
        <v>121</v>
      </c>
      <c r="D647" t="s">
        <v>3192</v>
      </c>
      <c r="E647" t="str">
        <f>IF(COUNTIF(Technologie_Wszystkie[IdxWspolny],Technologie_Wszystkie[[#This Row],[IdxWspolny]])&gt;1,"DUBEL","OK")</f>
        <v>OK</v>
      </c>
    </row>
    <row r="648" spans="1:5" x14ac:dyDescent="0.25">
      <c r="A648" t="s">
        <v>4415</v>
      </c>
      <c r="B648" t="s">
        <v>4416</v>
      </c>
      <c r="C648" t="s">
        <v>49</v>
      </c>
      <c r="D648" t="s">
        <v>4417</v>
      </c>
      <c r="E648" t="str">
        <f>IF(COUNTIF(Technologie_Wszystkie[IdxWspolny],Technologie_Wszystkie[[#This Row],[IdxWspolny]])&gt;1,"DUBEL","OK")</f>
        <v>OK</v>
      </c>
    </row>
    <row r="649" spans="1:5" x14ac:dyDescent="0.25">
      <c r="A649" t="s">
        <v>4418</v>
      </c>
      <c r="B649" t="s">
        <v>4419</v>
      </c>
      <c r="C649" t="s">
        <v>49</v>
      </c>
      <c r="D649" t="s">
        <v>4420</v>
      </c>
      <c r="E649" t="str">
        <f>IF(COUNTIF(Technologie_Wszystkie[IdxWspolny],Technologie_Wszystkie[[#This Row],[IdxWspolny]])&gt;1,"DUBEL","OK")</f>
        <v>OK</v>
      </c>
    </row>
    <row r="650" spans="1:5" x14ac:dyDescent="0.25">
      <c r="A650" t="s">
        <v>732</v>
      </c>
      <c r="B650" t="s">
        <v>733</v>
      </c>
      <c r="C650" t="s">
        <v>49</v>
      </c>
      <c r="D650" t="s">
        <v>108</v>
      </c>
      <c r="E650" t="str">
        <f>IF(COUNTIF(Technologie_Wszystkie[IdxWspolny],Technologie_Wszystkie[[#This Row],[IdxWspolny]])&gt;1,"DUBEL","OK")</f>
        <v>OK</v>
      </c>
    </row>
    <row r="651" spans="1:5" x14ac:dyDescent="0.25">
      <c r="A651" t="s">
        <v>722</v>
      </c>
      <c r="B651" t="s">
        <v>723</v>
      </c>
      <c r="C651" t="s">
        <v>49</v>
      </c>
      <c r="D651" t="s">
        <v>724</v>
      </c>
      <c r="E651" t="str">
        <f>IF(COUNTIF(Technologie_Wszystkie[IdxWspolny],Technologie_Wszystkie[[#This Row],[IdxWspolny]])&gt;1,"DUBEL","OK")</f>
        <v>OK</v>
      </c>
    </row>
    <row r="652" spans="1:5" x14ac:dyDescent="0.25">
      <c r="A652" t="s">
        <v>839</v>
      </c>
      <c r="B652" t="s">
        <v>840</v>
      </c>
      <c r="C652" t="s">
        <v>49</v>
      </c>
      <c r="D652" t="s">
        <v>841</v>
      </c>
      <c r="E652" t="str">
        <f>IF(COUNTIF(Technologie_Wszystkie[IdxWspolny],Technologie_Wszystkie[[#This Row],[IdxWspolny]])&gt;1,"DUBEL","OK")</f>
        <v>OK</v>
      </c>
    </row>
    <row r="653" spans="1:5" x14ac:dyDescent="0.25">
      <c r="A653" t="s">
        <v>842</v>
      </c>
      <c r="B653" t="s">
        <v>843</v>
      </c>
      <c r="C653" t="s">
        <v>49</v>
      </c>
      <c r="D653" t="s">
        <v>844</v>
      </c>
      <c r="E653" t="str">
        <f>IF(COUNTIF(Technologie_Wszystkie[IdxWspolny],Technologie_Wszystkie[[#This Row],[IdxWspolny]])&gt;1,"DUBEL","OK")</f>
        <v>OK</v>
      </c>
    </row>
    <row r="654" spans="1:5" x14ac:dyDescent="0.25">
      <c r="A654" t="s">
        <v>5190</v>
      </c>
      <c r="B654" t="s">
        <v>5191</v>
      </c>
      <c r="C654" t="s">
        <v>121</v>
      </c>
      <c r="D654" t="s">
        <v>5192</v>
      </c>
      <c r="E654" t="str">
        <f>IF(COUNTIF(Technologie_Wszystkie[IdxWspolny],Technologie_Wszystkie[[#This Row],[IdxWspolny]])&gt;1,"DUBEL","OK")</f>
        <v>OK</v>
      </c>
    </row>
    <row r="655" spans="1:5" x14ac:dyDescent="0.25">
      <c r="A655" t="s">
        <v>5196</v>
      </c>
      <c r="B655" t="s">
        <v>5197</v>
      </c>
      <c r="C655" t="s">
        <v>121</v>
      </c>
      <c r="D655" t="s">
        <v>5198</v>
      </c>
      <c r="E655" t="str">
        <f>IF(COUNTIF(Technologie_Wszystkie[IdxWspolny],Technologie_Wszystkie[[#This Row],[IdxWspolny]])&gt;1,"DUBEL","OK")</f>
        <v>OK</v>
      </c>
    </row>
    <row r="656" spans="1:5" x14ac:dyDescent="0.25">
      <c r="A656" t="s">
        <v>5203</v>
      </c>
      <c r="B656" t="s">
        <v>5204</v>
      </c>
      <c r="C656" t="s">
        <v>121</v>
      </c>
      <c r="D656" t="s">
        <v>5192</v>
      </c>
      <c r="E656" t="str">
        <f>IF(COUNTIF(Technologie_Wszystkie[IdxWspolny],Technologie_Wszystkie[[#This Row],[IdxWspolny]])&gt;1,"DUBEL","OK")</f>
        <v>OK</v>
      </c>
    </row>
    <row r="657" spans="1:5" x14ac:dyDescent="0.25">
      <c r="A657" t="s">
        <v>5207</v>
      </c>
      <c r="B657" t="s">
        <v>5208</v>
      </c>
      <c r="C657" t="s">
        <v>121</v>
      </c>
      <c r="D657" t="s">
        <v>5209</v>
      </c>
      <c r="E657" t="str">
        <f>IF(COUNTIF(Technologie_Wszystkie[IdxWspolny],Technologie_Wszystkie[[#This Row],[IdxWspolny]])&gt;1,"DUBEL","OK")</f>
        <v>OK</v>
      </c>
    </row>
    <row r="658" spans="1:5" x14ac:dyDescent="0.25">
      <c r="A658" t="s">
        <v>5383</v>
      </c>
      <c r="B658" t="s">
        <v>5384</v>
      </c>
      <c r="C658" t="s">
        <v>49</v>
      </c>
      <c r="D658" t="s">
        <v>5385</v>
      </c>
      <c r="E658" t="str">
        <f>IF(COUNTIF(Technologie_Wszystkie[IdxWspolny],Technologie_Wszystkie[[#This Row],[IdxWspolny]])&gt;1,"DUBEL","OK")</f>
        <v>OK</v>
      </c>
    </row>
    <row r="659" spans="1:5" x14ac:dyDescent="0.25">
      <c r="A659" t="s">
        <v>5396</v>
      </c>
      <c r="B659" t="s">
        <v>5397</v>
      </c>
      <c r="C659" t="s">
        <v>49</v>
      </c>
      <c r="D659" t="s">
        <v>5398</v>
      </c>
      <c r="E659" t="str">
        <f>IF(COUNTIF(Technologie_Wszystkie[IdxWspolny],Technologie_Wszystkie[[#This Row],[IdxWspolny]])&gt;1,"DUBEL","OK")</f>
        <v>OK</v>
      </c>
    </row>
    <row r="660" spans="1:5" x14ac:dyDescent="0.25">
      <c r="A660" t="s">
        <v>5403</v>
      </c>
      <c r="B660" t="s">
        <v>5404</v>
      </c>
      <c r="C660" t="s">
        <v>49</v>
      </c>
      <c r="D660" t="s">
        <v>5405</v>
      </c>
      <c r="E660" t="str">
        <f>IF(COUNTIF(Technologie_Wszystkie[IdxWspolny],Technologie_Wszystkie[[#This Row],[IdxWspolny]])&gt;1,"DUBEL","OK")</f>
        <v>OK</v>
      </c>
    </row>
    <row r="661" spans="1:5" x14ac:dyDescent="0.25">
      <c r="A661" t="s">
        <v>5406</v>
      </c>
      <c r="B661" t="s">
        <v>5407</v>
      </c>
      <c r="C661" t="s">
        <v>49</v>
      </c>
      <c r="D661" t="s">
        <v>5408</v>
      </c>
      <c r="E661" t="str">
        <f>IF(COUNTIF(Technologie_Wszystkie[IdxWspolny],Technologie_Wszystkie[[#This Row],[IdxWspolny]])&gt;1,"DUBEL","OK")</f>
        <v>OK</v>
      </c>
    </row>
    <row r="662" spans="1:5" x14ac:dyDescent="0.25">
      <c r="A662" t="s">
        <v>5527</v>
      </c>
      <c r="B662" t="s">
        <v>5528</v>
      </c>
      <c r="C662" t="s">
        <v>49</v>
      </c>
      <c r="D662" t="s">
        <v>5529</v>
      </c>
      <c r="E662" t="str">
        <f>IF(COUNTIF(Technologie_Wszystkie[IdxWspolny],Technologie_Wszystkie[[#This Row],[IdxWspolny]])&gt;1,"DUBEL","OK")</f>
        <v>OK</v>
      </c>
    </row>
    <row r="663" spans="1:5" x14ac:dyDescent="0.25">
      <c r="A663" t="s">
        <v>5530</v>
      </c>
      <c r="B663" t="s">
        <v>5531</v>
      </c>
      <c r="C663" t="s">
        <v>49</v>
      </c>
      <c r="D663" t="s">
        <v>5532</v>
      </c>
      <c r="E663" t="str">
        <f>IF(COUNTIF(Technologie_Wszystkie[IdxWspolny],Technologie_Wszystkie[[#This Row],[IdxWspolny]])&gt;1,"DUBEL","OK")</f>
        <v>OK</v>
      </c>
    </row>
    <row r="664" spans="1:5" x14ac:dyDescent="0.25">
      <c r="A664" t="s">
        <v>5554</v>
      </c>
      <c r="B664" t="s">
        <v>5555</v>
      </c>
      <c r="C664" t="s">
        <v>49</v>
      </c>
      <c r="D664" t="s">
        <v>5556</v>
      </c>
      <c r="E664" t="str">
        <f>IF(COUNTIF(Technologie_Wszystkie[IdxWspolny],Technologie_Wszystkie[[#This Row],[IdxWspolny]])&gt;1,"DUBEL","OK")</f>
        <v>OK</v>
      </c>
    </row>
    <row r="665" spans="1:5" x14ac:dyDescent="0.25">
      <c r="A665" t="s">
        <v>5557</v>
      </c>
      <c r="B665" t="s">
        <v>5558</v>
      </c>
      <c r="C665" t="s">
        <v>49</v>
      </c>
      <c r="D665" t="s">
        <v>5559</v>
      </c>
      <c r="E665" t="str">
        <f>IF(COUNTIF(Technologie_Wszystkie[IdxWspolny],Technologie_Wszystkie[[#This Row],[IdxWspolny]])&gt;1,"DUBEL","OK")</f>
        <v>OK</v>
      </c>
    </row>
    <row r="666" spans="1:5" x14ac:dyDescent="0.25">
      <c r="A666" t="s">
        <v>1688</v>
      </c>
      <c r="B666" t="s">
        <v>1690</v>
      </c>
      <c r="C666" t="s">
        <v>49</v>
      </c>
      <c r="D666" t="s">
        <v>1216</v>
      </c>
      <c r="E666" t="str">
        <f>IF(COUNTIF(Technologie_Wszystkie[IdxWspolny],Technologie_Wszystkie[[#This Row],[IdxWspolny]])&gt;1,"DUBEL","OK")</f>
        <v>OK</v>
      </c>
    </row>
    <row r="667" spans="1:5" x14ac:dyDescent="0.25">
      <c r="A667" t="s">
        <v>1704</v>
      </c>
      <c r="B667" t="s">
        <v>1705</v>
      </c>
      <c r="C667" t="s">
        <v>49</v>
      </c>
      <c r="D667" t="s">
        <v>1706</v>
      </c>
      <c r="E667" t="str">
        <f>IF(COUNTIF(Technologie_Wszystkie[IdxWspolny],Technologie_Wszystkie[[#This Row],[IdxWspolny]])&gt;1,"DUBEL","OK")</f>
        <v>OK</v>
      </c>
    </row>
    <row r="668" spans="1:5" x14ac:dyDescent="0.25">
      <c r="A668" t="s">
        <v>1710</v>
      </c>
      <c r="B668" t="s">
        <v>1711</v>
      </c>
      <c r="C668" t="s">
        <v>49</v>
      </c>
      <c r="D668" t="s">
        <v>1712</v>
      </c>
      <c r="E668" t="str">
        <f>IF(COUNTIF(Technologie_Wszystkie[IdxWspolny],Technologie_Wszystkie[[#This Row],[IdxWspolny]])&gt;1,"DUBEL","OK")</f>
        <v>OK</v>
      </c>
    </row>
    <row r="669" spans="1:5" x14ac:dyDescent="0.25">
      <c r="A669" t="s">
        <v>2551</v>
      </c>
      <c r="B669" t="s">
        <v>2552</v>
      </c>
      <c r="C669" t="s">
        <v>49</v>
      </c>
      <c r="D669" t="s">
        <v>1768</v>
      </c>
      <c r="E669" t="str">
        <f>IF(COUNTIF(Technologie_Wszystkie[IdxWspolny],Technologie_Wszystkie[[#This Row],[IdxWspolny]])&gt;1,"DUBEL","OK")</f>
        <v>OK</v>
      </c>
    </row>
    <row r="670" spans="1:5" x14ac:dyDescent="0.25">
      <c r="A670" t="s">
        <v>2547</v>
      </c>
      <c r="B670" t="s">
        <v>2548</v>
      </c>
      <c r="C670" t="s">
        <v>49</v>
      </c>
      <c r="D670" t="s">
        <v>1768</v>
      </c>
      <c r="E670" t="str">
        <f>IF(COUNTIF(Technologie_Wszystkie[IdxWspolny],Technologie_Wszystkie[[#This Row],[IdxWspolny]])&gt;1,"DUBEL","OK")</f>
        <v>OK</v>
      </c>
    </row>
    <row r="671" spans="1:5" x14ac:dyDescent="0.25">
      <c r="A671" t="s">
        <v>857</v>
      </c>
      <c r="B671" t="s">
        <v>858</v>
      </c>
      <c r="C671" t="s">
        <v>49</v>
      </c>
      <c r="D671" t="s">
        <v>686</v>
      </c>
      <c r="E671" t="str">
        <f>IF(COUNTIF(Technologie_Wszystkie[IdxWspolny],Technologie_Wszystkie[[#This Row],[IdxWspolny]])&gt;1,"DUBEL","OK")</f>
        <v>OK</v>
      </c>
    </row>
    <row r="672" spans="1:5" x14ac:dyDescent="0.25">
      <c r="A672" t="s">
        <v>432</v>
      </c>
      <c r="B672" t="s">
        <v>433</v>
      </c>
      <c r="C672" t="s">
        <v>435</v>
      </c>
      <c r="D672" t="s">
        <v>434</v>
      </c>
      <c r="E672" t="str">
        <f>IF(COUNTIF(Technologie_Wszystkie[IdxWspolny],Technologie_Wszystkie[[#This Row],[IdxWspolny]])&gt;1,"DUBEL","OK")</f>
        <v>OK</v>
      </c>
    </row>
    <row r="673" spans="1:5" x14ac:dyDescent="0.25">
      <c r="A673" t="s">
        <v>1060</v>
      </c>
      <c r="B673" t="s">
        <v>433</v>
      </c>
      <c r="C673" t="s">
        <v>121</v>
      </c>
      <c r="D673" t="s">
        <v>1061</v>
      </c>
      <c r="E673" t="str">
        <f>IF(COUNTIF(Technologie_Wszystkie[IdxWspolny],Technologie_Wszystkie[[#This Row],[IdxWspolny]])&gt;1,"DUBEL","OK")</f>
        <v>OK</v>
      </c>
    </row>
    <row r="674" spans="1:5" x14ac:dyDescent="0.25">
      <c r="A674" t="s">
        <v>1234</v>
      </c>
      <c r="B674" t="s">
        <v>1235</v>
      </c>
      <c r="C674" t="s">
        <v>932</v>
      </c>
      <c r="D674" t="s">
        <v>108</v>
      </c>
      <c r="E674" t="str">
        <f>IF(COUNTIF(Technologie_Wszystkie[IdxWspolny],Technologie_Wszystkie[[#This Row],[IdxWspolny]])&gt;1,"DUBEL","OK")</f>
        <v>OK</v>
      </c>
    </row>
    <row r="675" spans="1:5" hidden="1" x14ac:dyDescent="0.25"/>
    <row r="676" spans="1:5" x14ac:dyDescent="0.25">
      <c r="A676" t="s">
        <v>2435</v>
      </c>
      <c r="B676" t="s">
        <v>2436</v>
      </c>
      <c r="C676" t="s">
        <v>121</v>
      </c>
      <c r="D676" t="s">
        <v>70</v>
      </c>
      <c r="E676" t="str">
        <f>IF(COUNTIF(Technologie_Wszystkie[IdxWspolny],Technologie_Wszystkie[[#This Row],[IdxWspolny]])&gt;1,"DUBEL","OK")</f>
        <v>OK</v>
      </c>
    </row>
    <row r="677" spans="1:5" x14ac:dyDescent="0.25">
      <c r="A677" t="s">
        <v>2412</v>
      </c>
      <c r="B677" t="s">
        <v>2413</v>
      </c>
      <c r="C677" t="s">
        <v>121</v>
      </c>
      <c r="D677" t="s">
        <v>423</v>
      </c>
      <c r="E677" t="str">
        <f>IF(COUNTIF(Technologie_Wszystkie[IdxWspolny],Technologie_Wszystkie[[#This Row],[IdxWspolny]])&gt;1,"DUBEL","OK")</f>
        <v>OK</v>
      </c>
    </row>
    <row r="678" spans="1:5" x14ac:dyDescent="0.25">
      <c r="A678" t="s">
        <v>2708</v>
      </c>
      <c r="B678" t="s">
        <v>2709</v>
      </c>
      <c r="C678" t="s">
        <v>121</v>
      </c>
      <c r="D678" t="s">
        <v>2710</v>
      </c>
      <c r="E678" t="str">
        <f>IF(COUNTIF(Technologie_Wszystkie[IdxWspolny],Technologie_Wszystkie[[#This Row],[IdxWspolny]])&gt;1,"DUBEL","OK")</f>
        <v>OK</v>
      </c>
    </row>
    <row r="679" spans="1:5" x14ac:dyDescent="0.25">
      <c r="A679" t="s">
        <v>2396</v>
      </c>
      <c r="B679" t="s">
        <v>2397</v>
      </c>
      <c r="C679" t="s">
        <v>49</v>
      </c>
      <c r="D679" t="s">
        <v>111</v>
      </c>
      <c r="E679" t="str">
        <f>IF(COUNTIF(Technologie_Wszystkie[IdxWspolny],Technologie_Wszystkie[[#This Row],[IdxWspolny]])&gt;1,"DUBEL","OK")</f>
        <v>OK</v>
      </c>
    </row>
    <row r="680" spans="1:5" x14ac:dyDescent="0.25">
      <c r="A680" t="s">
        <v>2724</v>
      </c>
      <c r="B680" t="s">
        <v>2725</v>
      </c>
      <c r="C680" t="s">
        <v>121</v>
      </c>
      <c r="D680" t="s">
        <v>343</v>
      </c>
      <c r="E680" t="str">
        <f>IF(COUNTIF(Technologie_Wszystkie[IdxWspolny],Technologie_Wszystkie[[#This Row],[IdxWspolny]])&gt;1,"DUBEL","OK")</f>
        <v>OK</v>
      </c>
    </row>
    <row r="681" spans="1:5" x14ac:dyDescent="0.25">
      <c r="A681" t="s">
        <v>2715</v>
      </c>
      <c r="B681" t="s">
        <v>2716</v>
      </c>
      <c r="C681" t="s">
        <v>121</v>
      </c>
      <c r="D681" t="s">
        <v>2717</v>
      </c>
      <c r="E681" t="str">
        <f>IF(COUNTIF(Technologie_Wszystkie[IdxWspolny],Technologie_Wszystkie[[#This Row],[IdxWspolny]])&gt;1,"DUBEL","OK")</f>
        <v>OK</v>
      </c>
    </row>
    <row r="682" spans="1:5" x14ac:dyDescent="0.25">
      <c r="A682" t="s">
        <v>1989</v>
      </c>
      <c r="B682" t="s">
        <v>1990</v>
      </c>
      <c r="C682" t="s">
        <v>435</v>
      </c>
      <c r="D682" t="s">
        <v>1991</v>
      </c>
      <c r="E682" t="str">
        <f>IF(COUNTIF(Technologie_Wszystkie[IdxWspolny],Technologie_Wszystkie[[#This Row],[IdxWspolny]])&gt;1,"DUBEL","OK")</f>
        <v>OK</v>
      </c>
    </row>
    <row r="683" spans="1:5" x14ac:dyDescent="0.25">
      <c r="A683" t="s">
        <v>1759</v>
      </c>
      <c r="B683" t="s">
        <v>1760</v>
      </c>
      <c r="C683" t="s">
        <v>435</v>
      </c>
      <c r="D683" t="s">
        <v>1761</v>
      </c>
      <c r="E683" t="str">
        <f>IF(COUNTIF(Technologie_Wszystkie[IdxWspolny],Technologie_Wszystkie[[#This Row],[IdxWspolny]])&gt;1,"DUBEL","OK")</f>
        <v>OK</v>
      </c>
    </row>
    <row r="684" spans="1:5" x14ac:dyDescent="0.25">
      <c r="A684" t="s">
        <v>3298</v>
      </c>
      <c r="B684" t="s">
        <v>3299</v>
      </c>
      <c r="C684" t="s">
        <v>435</v>
      </c>
      <c r="D684" t="s">
        <v>3300</v>
      </c>
      <c r="E684" t="str">
        <f>IF(COUNTIF(Technologie_Wszystkie[IdxWspolny],Technologie_Wszystkie[[#This Row],[IdxWspolny]])&gt;1,"DUBEL","OK")</f>
        <v>OK</v>
      </c>
    </row>
    <row r="685" spans="1:5" x14ac:dyDescent="0.25">
      <c r="A685" t="s">
        <v>2558</v>
      </c>
      <c r="B685" t="s">
        <v>2559</v>
      </c>
      <c r="C685" t="s">
        <v>121</v>
      </c>
      <c r="D685" t="s">
        <v>1796</v>
      </c>
      <c r="E685" t="str">
        <f>IF(COUNTIF(Technologie_Wszystkie[IdxWspolny],Technologie_Wszystkie[[#This Row],[IdxWspolny]])&gt;1,"DUBEL","OK")</f>
        <v>OK</v>
      </c>
    </row>
    <row r="686" spans="1:5" x14ac:dyDescent="0.25">
      <c r="A686" t="s">
        <v>960</v>
      </c>
      <c r="B686" t="s">
        <v>961</v>
      </c>
      <c r="C686" t="s">
        <v>435</v>
      </c>
      <c r="D686" t="s">
        <v>962</v>
      </c>
      <c r="E686" t="str">
        <f>IF(COUNTIF(Technologie_Wszystkie[IdxWspolny],Technologie_Wszystkie[[#This Row],[IdxWspolny]])&gt;1,"DUBEL","OK")</f>
        <v>OK</v>
      </c>
    </row>
    <row r="687" spans="1:5" x14ac:dyDescent="0.25">
      <c r="A687" t="s">
        <v>2577</v>
      </c>
      <c r="B687" t="s">
        <v>2578</v>
      </c>
      <c r="C687" t="s">
        <v>49</v>
      </c>
      <c r="D687" t="s">
        <v>686</v>
      </c>
      <c r="E687" t="str">
        <f>IF(COUNTIF(Technologie_Wszystkie[IdxWspolny],Technologie_Wszystkie[[#This Row],[IdxWspolny]])&gt;1,"DUBEL","OK")</f>
        <v>OK</v>
      </c>
    </row>
    <row r="688" spans="1:5" x14ac:dyDescent="0.25">
      <c r="A688" t="s">
        <v>684</v>
      </c>
      <c r="B688" t="s">
        <v>685</v>
      </c>
      <c r="C688" t="s">
        <v>49</v>
      </c>
      <c r="D688" t="s">
        <v>686</v>
      </c>
      <c r="E688" t="str">
        <f>IF(COUNTIF(Technologie_Wszystkie[IdxWspolny],Technologie_Wszystkie[[#This Row],[IdxWspolny]])&gt;1,"DUBEL","OK")</f>
        <v>OK</v>
      </c>
    </row>
    <row r="689" spans="1:5" x14ac:dyDescent="0.25">
      <c r="A689" t="s">
        <v>1689</v>
      </c>
      <c r="B689" t="s">
        <v>1767</v>
      </c>
      <c r="C689" t="s">
        <v>49</v>
      </c>
      <c r="D689" t="s">
        <v>1768</v>
      </c>
      <c r="E689" t="str">
        <f>IF(COUNTIF(Technologie_Wszystkie[IdxWspolny],Technologie_Wszystkie[[#This Row],[IdxWspolny]])&gt;1,"DUBEL","OK")</f>
        <v>OK</v>
      </c>
    </row>
    <row r="690" spans="1:5" x14ac:dyDescent="0.25">
      <c r="A690" t="s">
        <v>541</v>
      </c>
      <c r="B690" t="s">
        <v>542</v>
      </c>
      <c r="C690" t="s">
        <v>10</v>
      </c>
      <c r="D690" t="s">
        <v>9</v>
      </c>
      <c r="E690" t="str">
        <f>IF(COUNTIF(Technologie_Wszystkie[IdxWspolny],Technologie_Wszystkie[[#This Row],[IdxWspolny]])&gt;1,"DUBEL","OK")</f>
        <v>OK</v>
      </c>
    </row>
    <row r="691" spans="1:5" hidden="1" x14ac:dyDescent="0.25"/>
    <row r="692" spans="1:5" x14ac:dyDescent="0.25">
      <c r="A692" t="s">
        <v>688</v>
      </c>
      <c r="B692" t="s">
        <v>810</v>
      </c>
      <c r="C692" t="s">
        <v>10</v>
      </c>
      <c r="D692" t="s">
        <v>811</v>
      </c>
      <c r="E692" t="str">
        <f>IF(COUNTIF(Technologie_Wszystkie[IdxWspolny],Technologie_Wszystkie[[#This Row],[IdxWspolny]])&gt;1,"DUBEL","OK")</f>
        <v>OK</v>
      </c>
    </row>
    <row r="693" spans="1:5" x14ac:dyDescent="0.25">
      <c r="A693" t="s">
        <v>7</v>
      </c>
      <c r="B693" t="s">
        <v>1031</v>
      </c>
      <c r="C693" t="s">
        <v>10</v>
      </c>
      <c r="D693" t="s">
        <v>9</v>
      </c>
      <c r="E693" t="str">
        <f>IF(COUNTIF(Technologie_Wszystkie[IdxWspolny],Technologie_Wszystkie[[#This Row],[IdxWspolny]])&gt;1,"DUBEL","OK")</f>
        <v>OK</v>
      </c>
    </row>
    <row r="694" spans="1:5" hidden="1" x14ac:dyDescent="0.25"/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AC4F-145A-44BF-975F-344895AABA04}">
  <sheetPr>
    <tabColor theme="9" tint="0.39997558519241921"/>
  </sheetPr>
  <dimension ref="A1:H330"/>
  <sheetViews>
    <sheetView workbookViewId="0">
      <selection activeCell="D360" sqref="D360"/>
    </sheetView>
  </sheetViews>
  <sheetFormatPr defaultRowHeight="15" x14ac:dyDescent="0.25"/>
  <cols>
    <col min="1" max="1" width="17.28515625" customWidth="1"/>
    <col min="2" max="2" width="53.42578125" customWidth="1"/>
    <col min="3" max="3" width="18.28515625" customWidth="1"/>
    <col min="4" max="4" width="51.85546875" customWidth="1"/>
    <col min="5" max="5" width="13.28515625" customWidth="1"/>
    <col min="6" max="6" width="5.28515625" bestFit="1" customWidth="1"/>
    <col min="7" max="7" width="12.5703125" bestFit="1" customWidth="1"/>
    <col min="8" max="8" width="8" bestFit="1" customWidth="1"/>
  </cols>
  <sheetData>
    <row r="1" spans="1:8" ht="15.75" thickBot="1" x14ac:dyDescent="0.3">
      <c r="A1" s="8" t="s">
        <v>5593</v>
      </c>
      <c r="B1" s="9" t="s">
        <v>5594</v>
      </c>
      <c r="C1" s="8" t="s">
        <v>5609</v>
      </c>
      <c r="D1" s="8" t="s">
        <v>5595</v>
      </c>
      <c r="E1" s="8" t="s">
        <v>5596</v>
      </c>
      <c r="F1" s="8" t="s">
        <v>5597</v>
      </c>
      <c r="G1" s="8" t="s">
        <v>5598</v>
      </c>
      <c r="H1" s="8" t="s">
        <v>5599</v>
      </c>
    </row>
    <row r="2" spans="1:8" hidden="1" x14ac:dyDescent="0.25">
      <c r="A2" s="7" t="s">
        <v>34</v>
      </c>
      <c r="B2" s="6" t="s">
        <v>35</v>
      </c>
      <c r="C2" s="7" t="s">
        <v>46</v>
      </c>
      <c r="D2" s="6" t="s">
        <v>47</v>
      </c>
      <c r="E2" s="10">
        <v>11.9</v>
      </c>
      <c r="F2" s="6" t="s">
        <v>49</v>
      </c>
      <c r="G2" s="6" t="s">
        <v>50</v>
      </c>
      <c r="H2" s="6">
        <v>11.9</v>
      </c>
    </row>
    <row r="3" spans="1:8" hidden="1" x14ac:dyDescent="0.25">
      <c r="A3" s="1" t="s">
        <v>34</v>
      </c>
      <c r="B3" t="s">
        <v>35</v>
      </c>
      <c r="C3" s="1" t="s">
        <v>52</v>
      </c>
      <c r="D3" t="s">
        <v>53</v>
      </c>
      <c r="E3" s="11">
        <v>3.8</v>
      </c>
      <c r="F3" t="s">
        <v>49</v>
      </c>
      <c r="G3" t="s">
        <v>50</v>
      </c>
      <c r="H3">
        <v>3.8</v>
      </c>
    </row>
    <row r="4" spans="1:8" hidden="1" x14ac:dyDescent="0.25">
      <c r="A4" s="7" t="s">
        <v>34</v>
      </c>
      <c r="B4" s="6" t="s">
        <v>35</v>
      </c>
      <c r="C4" s="7" t="s">
        <v>56</v>
      </c>
      <c r="D4" s="6" t="s">
        <v>57</v>
      </c>
      <c r="E4" s="10">
        <v>5.4</v>
      </c>
      <c r="F4" s="6" t="s">
        <v>49</v>
      </c>
      <c r="G4" s="6" t="s">
        <v>50</v>
      </c>
      <c r="H4" s="6">
        <v>5.4</v>
      </c>
    </row>
    <row r="5" spans="1:8" hidden="1" x14ac:dyDescent="0.25">
      <c r="A5" s="1" t="s">
        <v>34</v>
      </c>
      <c r="B5" t="s">
        <v>35</v>
      </c>
      <c r="C5" s="1" t="s">
        <v>59</v>
      </c>
      <c r="D5" t="s">
        <v>60</v>
      </c>
      <c r="E5" s="11">
        <v>3.85</v>
      </c>
      <c r="F5" t="s">
        <v>49</v>
      </c>
      <c r="G5" t="s">
        <v>50</v>
      </c>
      <c r="H5">
        <v>3.85</v>
      </c>
    </row>
    <row r="6" spans="1:8" hidden="1" x14ac:dyDescent="0.25">
      <c r="A6" s="7" t="s">
        <v>34</v>
      </c>
      <c r="B6" s="6" t="s">
        <v>35</v>
      </c>
      <c r="C6" s="7" t="s">
        <v>62</v>
      </c>
      <c r="D6" s="6" t="s">
        <v>63</v>
      </c>
      <c r="E6" s="10">
        <v>19.95</v>
      </c>
      <c r="F6" s="6" t="s">
        <v>49</v>
      </c>
      <c r="G6" s="6" t="s">
        <v>50</v>
      </c>
      <c r="H6" s="6">
        <v>19.95</v>
      </c>
    </row>
    <row r="7" spans="1:8" hidden="1" x14ac:dyDescent="0.25">
      <c r="A7" s="1" t="s">
        <v>34</v>
      </c>
      <c r="B7" t="s">
        <v>35</v>
      </c>
      <c r="C7" s="1" t="s">
        <v>65</v>
      </c>
      <c r="D7" t="s">
        <v>66</v>
      </c>
      <c r="E7" s="11">
        <v>2.5499999999999998</v>
      </c>
      <c r="F7" t="s">
        <v>49</v>
      </c>
      <c r="G7" t="s">
        <v>50</v>
      </c>
      <c r="H7">
        <v>2.5499999999999998</v>
      </c>
    </row>
    <row r="8" spans="1:8" hidden="1" x14ac:dyDescent="0.25">
      <c r="A8" s="7" t="s">
        <v>34</v>
      </c>
      <c r="B8" s="6" t="s">
        <v>35</v>
      </c>
      <c r="C8" s="7" t="s">
        <v>68</v>
      </c>
      <c r="D8" s="6" t="s">
        <v>69</v>
      </c>
      <c r="E8" s="10">
        <v>5</v>
      </c>
      <c r="F8" s="6" t="s">
        <v>49</v>
      </c>
      <c r="G8" s="6" t="s">
        <v>50</v>
      </c>
      <c r="H8" s="6">
        <v>5</v>
      </c>
    </row>
    <row r="9" spans="1:8" hidden="1" x14ac:dyDescent="0.25">
      <c r="A9" s="1" t="s">
        <v>72</v>
      </c>
      <c r="B9" t="s">
        <v>73</v>
      </c>
      <c r="C9" s="1" t="s">
        <v>75</v>
      </c>
      <c r="D9" t="s">
        <v>76</v>
      </c>
      <c r="E9" t="s">
        <v>77</v>
      </c>
      <c r="F9" t="s">
        <v>49</v>
      </c>
      <c r="G9" t="s">
        <v>50</v>
      </c>
      <c r="H9">
        <v>4.05</v>
      </c>
    </row>
    <row r="10" spans="1:8" hidden="1" x14ac:dyDescent="0.25">
      <c r="A10" s="7" t="s">
        <v>72</v>
      </c>
      <c r="B10" s="6" t="s">
        <v>73</v>
      </c>
      <c r="C10" s="7" t="s">
        <v>46</v>
      </c>
      <c r="D10" s="6" t="s">
        <v>47</v>
      </c>
      <c r="E10" s="6" t="s">
        <v>48</v>
      </c>
      <c r="F10" s="6" t="s">
        <v>49</v>
      </c>
      <c r="G10" s="6" t="s">
        <v>50</v>
      </c>
      <c r="H10" s="6">
        <v>11.9</v>
      </c>
    </row>
    <row r="11" spans="1:8" hidden="1" x14ac:dyDescent="0.25">
      <c r="A11" s="1" t="s">
        <v>72</v>
      </c>
      <c r="B11" t="s">
        <v>73</v>
      </c>
      <c r="C11" s="1" t="s">
        <v>56</v>
      </c>
      <c r="D11" t="s">
        <v>57</v>
      </c>
      <c r="E11" t="s">
        <v>58</v>
      </c>
      <c r="F11" t="s">
        <v>49</v>
      </c>
      <c r="G11" t="s">
        <v>50</v>
      </c>
      <c r="H11">
        <v>5.4</v>
      </c>
    </row>
    <row r="12" spans="1:8" hidden="1" x14ac:dyDescent="0.25">
      <c r="A12" s="7" t="s">
        <v>72</v>
      </c>
      <c r="B12" s="6" t="s">
        <v>73</v>
      </c>
      <c r="C12" s="7" t="s">
        <v>59</v>
      </c>
      <c r="D12" s="6" t="s">
        <v>60</v>
      </c>
      <c r="E12" s="6" t="s">
        <v>61</v>
      </c>
      <c r="F12" s="6" t="s">
        <v>49</v>
      </c>
      <c r="G12" s="6" t="s">
        <v>50</v>
      </c>
      <c r="H12" s="6">
        <v>3.85</v>
      </c>
    </row>
    <row r="13" spans="1:8" hidden="1" x14ac:dyDescent="0.25">
      <c r="A13" s="1" t="s">
        <v>72</v>
      </c>
      <c r="B13" t="s">
        <v>73</v>
      </c>
      <c r="C13" s="1" t="s">
        <v>62</v>
      </c>
      <c r="D13" t="s">
        <v>63</v>
      </c>
      <c r="E13" t="s">
        <v>64</v>
      </c>
      <c r="F13" t="s">
        <v>49</v>
      </c>
      <c r="G13" t="s">
        <v>50</v>
      </c>
      <c r="H13">
        <v>19.95</v>
      </c>
    </row>
    <row r="14" spans="1:8" hidden="1" x14ac:dyDescent="0.25">
      <c r="A14" s="7" t="s">
        <v>72</v>
      </c>
      <c r="B14" s="6" t="s">
        <v>73</v>
      </c>
      <c r="C14" s="7" t="s">
        <v>65</v>
      </c>
      <c r="D14" s="6" t="s">
        <v>66</v>
      </c>
      <c r="E14" s="6" t="s">
        <v>67</v>
      </c>
      <c r="F14" s="6" t="s">
        <v>49</v>
      </c>
      <c r="G14" s="6" t="s">
        <v>50</v>
      </c>
      <c r="H14" s="6">
        <v>2.5499999999999998</v>
      </c>
    </row>
    <row r="15" spans="1:8" hidden="1" x14ac:dyDescent="0.25">
      <c r="A15" s="1" t="s">
        <v>72</v>
      </c>
      <c r="B15" t="s">
        <v>73</v>
      </c>
      <c r="C15" s="1" t="s">
        <v>68</v>
      </c>
      <c r="D15" t="s">
        <v>69</v>
      </c>
      <c r="E15" t="s">
        <v>70</v>
      </c>
      <c r="F15" t="s">
        <v>49</v>
      </c>
      <c r="G15" t="s">
        <v>50</v>
      </c>
      <c r="H15">
        <v>5</v>
      </c>
    </row>
    <row r="16" spans="1:8" hidden="1" x14ac:dyDescent="0.25">
      <c r="A16" s="7" t="s">
        <v>79</v>
      </c>
      <c r="B16" s="6" t="s">
        <v>80</v>
      </c>
      <c r="C16" s="7" t="s">
        <v>85</v>
      </c>
      <c r="D16" s="6" t="s">
        <v>86</v>
      </c>
      <c r="E16" s="6" t="s">
        <v>87</v>
      </c>
      <c r="F16" s="6" t="s">
        <v>49</v>
      </c>
      <c r="G16" s="6" t="s">
        <v>50</v>
      </c>
      <c r="H16" s="6">
        <v>8.9</v>
      </c>
    </row>
    <row r="17" spans="1:8" hidden="1" x14ac:dyDescent="0.25">
      <c r="A17" s="1" t="s">
        <v>79</v>
      </c>
      <c r="B17" t="s">
        <v>80</v>
      </c>
      <c r="C17" s="1" t="s">
        <v>89</v>
      </c>
      <c r="D17" t="s">
        <v>90</v>
      </c>
      <c r="E17" t="s">
        <v>91</v>
      </c>
      <c r="F17" t="s">
        <v>49</v>
      </c>
      <c r="G17" t="s">
        <v>92</v>
      </c>
      <c r="H17">
        <v>10.4</v>
      </c>
    </row>
    <row r="18" spans="1:8" hidden="1" x14ac:dyDescent="0.25">
      <c r="A18" s="7" t="s">
        <v>79</v>
      </c>
      <c r="B18" s="6" t="s">
        <v>80</v>
      </c>
      <c r="C18" s="7" t="s">
        <v>94</v>
      </c>
      <c r="D18" s="6" t="s">
        <v>95</v>
      </c>
      <c r="E18" s="6" t="s">
        <v>96</v>
      </c>
      <c r="F18" s="6" t="s">
        <v>49</v>
      </c>
      <c r="G18" s="6" t="s">
        <v>92</v>
      </c>
      <c r="H18" s="6">
        <v>8.9</v>
      </c>
    </row>
    <row r="19" spans="1:8" hidden="1" x14ac:dyDescent="0.25">
      <c r="A19" s="1" t="s">
        <v>79</v>
      </c>
      <c r="B19" t="s">
        <v>80</v>
      </c>
      <c r="C19" s="1" t="s">
        <v>98</v>
      </c>
      <c r="D19" t="s">
        <v>99</v>
      </c>
      <c r="E19" t="s">
        <v>100</v>
      </c>
      <c r="F19" t="s">
        <v>49</v>
      </c>
      <c r="G19" t="s">
        <v>50</v>
      </c>
      <c r="H19">
        <v>3.65</v>
      </c>
    </row>
    <row r="20" spans="1:8" hidden="1" x14ac:dyDescent="0.25">
      <c r="A20" s="7" t="s">
        <v>79</v>
      </c>
      <c r="B20" s="6" t="s">
        <v>80</v>
      </c>
      <c r="C20" s="7" t="s">
        <v>102</v>
      </c>
      <c r="D20" s="6" t="s">
        <v>103</v>
      </c>
      <c r="E20" s="6" t="s">
        <v>104</v>
      </c>
      <c r="F20" s="6" t="s">
        <v>49</v>
      </c>
      <c r="G20" s="6" t="s">
        <v>50</v>
      </c>
      <c r="H20" s="6">
        <v>3.5</v>
      </c>
    </row>
    <row r="21" spans="1:8" hidden="1" x14ac:dyDescent="0.25">
      <c r="A21" s="1" t="s">
        <v>79</v>
      </c>
      <c r="B21" t="s">
        <v>80</v>
      </c>
      <c r="C21" s="1" t="s">
        <v>106</v>
      </c>
      <c r="D21" t="s">
        <v>107</v>
      </c>
      <c r="E21" t="s">
        <v>108</v>
      </c>
      <c r="F21" t="s">
        <v>49</v>
      </c>
      <c r="G21" t="s">
        <v>50</v>
      </c>
      <c r="H21">
        <v>4.2</v>
      </c>
    </row>
    <row r="22" spans="1:8" hidden="1" x14ac:dyDescent="0.25">
      <c r="A22" s="7" t="s">
        <v>79</v>
      </c>
      <c r="B22" s="6" t="s">
        <v>80</v>
      </c>
      <c r="C22" s="7" t="s">
        <v>109</v>
      </c>
      <c r="D22" s="6" t="s">
        <v>110</v>
      </c>
      <c r="E22" s="6" t="s">
        <v>111</v>
      </c>
      <c r="F22" s="6" t="s">
        <v>49</v>
      </c>
      <c r="G22" s="6" t="s">
        <v>50</v>
      </c>
      <c r="H22" s="6">
        <v>17.8</v>
      </c>
    </row>
    <row r="23" spans="1:8" hidden="1" x14ac:dyDescent="0.25">
      <c r="A23" s="1" t="s">
        <v>113</v>
      </c>
      <c r="B23" t="s">
        <v>114</v>
      </c>
      <c r="C23" s="1" t="s">
        <v>118</v>
      </c>
      <c r="D23" t="s">
        <v>119</v>
      </c>
      <c r="E23" t="s">
        <v>120</v>
      </c>
      <c r="F23" t="s">
        <v>121</v>
      </c>
      <c r="G23" t="s">
        <v>122</v>
      </c>
      <c r="H23">
        <v>63.8</v>
      </c>
    </row>
    <row r="24" spans="1:8" hidden="1" x14ac:dyDescent="0.25">
      <c r="A24" s="7" t="s">
        <v>113</v>
      </c>
      <c r="B24" s="6" t="s">
        <v>114</v>
      </c>
      <c r="C24" s="7" t="s">
        <v>123</v>
      </c>
      <c r="D24" s="6" t="s">
        <v>124</v>
      </c>
      <c r="E24" s="6" t="s">
        <v>125</v>
      </c>
      <c r="F24" s="6" t="s">
        <v>121</v>
      </c>
      <c r="G24" s="6" t="s">
        <v>122</v>
      </c>
      <c r="H24" s="6">
        <v>55.4</v>
      </c>
    </row>
    <row r="25" spans="1:8" hidden="1" x14ac:dyDescent="0.25">
      <c r="A25" s="1" t="s">
        <v>113</v>
      </c>
      <c r="B25" t="s">
        <v>114</v>
      </c>
      <c r="C25" s="1" t="s">
        <v>126</v>
      </c>
      <c r="D25" t="s">
        <v>127</v>
      </c>
      <c r="E25" t="s">
        <v>128</v>
      </c>
      <c r="F25" t="s">
        <v>121</v>
      </c>
      <c r="G25" t="s">
        <v>92</v>
      </c>
      <c r="H25">
        <v>31.3</v>
      </c>
    </row>
    <row r="26" spans="1:8" hidden="1" x14ac:dyDescent="0.25">
      <c r="A26" s="7" t="s">
        <v>113</v>
      </c>
      <c r="B26" s="6" t="s">
        <v>114</v>
      </c>
      <c r="C26" s="7" t="s">
        <v>129</v>
      </c>
      <c r="D26" s="6" t="s">
        <v>130</v>
      </c>
      <c r="E26" s="6" t="s">
        <v>131</v>
      </c>
      <c r="F26" s="6" t="s">
        <v>121</v>
      </c>
      <c r="G26" s="6" t="s">
        <v>92</v>
      </c>
      <c r="H26" s="6">
        <v>28.4</v>
      </c>
    </row>
    <row r="27" spans="1:8" hidden="1" x14ac:dyDescent="0.25">
      <c r="A27" s="1" t="s">
        <v>133</v>
      </c>
      <c r="B27" t="s">
        <v>134</v>
      </c>
      <c r="C27" s="1" t="s">
        <v>135</v>
      </c>
      <c r="D27" t="s">
        <v>136</v>
      </c>
      <c r="E27" t="s">
        <v>137</v>
      </c>
      <c r="F27" t="s">
        <v>49</v>
      </c>
      <c r="G27" t="s">
        <v>122</v>
      </c>
      <c r="H27">
        <v>46.4</v>
      </c>
    </row>
    <row r="28" spans="1:8" hidden="1" x14ac:dyDescent="0.25">
      <c r="A28" s="7" t="s">
        <v>133</v>
      </c>
      <c r="B28" s="6" t="s">
        <v>134</v>
      </c>
      <c r="C28" s="7" t="s">
        <v>138</v>
      </c>
      <c r="D28" s="6" t="s">
        <v>139</v>
      </c>
      <c r="E28" s="6" t="s">
        <v>140</v>
      </c>
      <c r="F28" s="6" t="s">
        <v>49</v>
      </c>
      <c r="G28" s="6" t="s">
        <v>92</v>
      </c>
      <c r="H28" s="6">
        <v>21.5</v>
      </c>
    </row>
    <row r="29" spans="1:8" hidden="1" x14ac:dyDescent="0.25">
      <c r="A29" s="1" t="s">
        <v>133</v>
      </c>
      <c r="B29" t="s">
        <v>134</v>
      </c>
      <c r="C29" s="1" t="s">
        <v>141</v>
      </c>
      <c r="D29" t="s">
        <v>142</v>
      </c>
      <c r="E29" t="s">
        <v>48</v>
      </c>
      <c r="F29" t="s">
        <v>49</v>
      </c>
      <c r="G29" t="s">
        <v>92</v>
      </c>
      <c r="H29">
        <v>23.8</v>
      </c>
    </row>
    <row r="30" spans="1:8" hidden="1" x14ac:dyDescent="0.25">
      <c r="A30" s="7" t="s">
        <v>133</v>
      </c>
      <c r="B30" s="6" t="s">
        <v>134</v>
      </c>
      <c r="C30" s="7" t="s">
        <v>143</v>
      </c>
      <c r="D30" s="6" t="s">
        <v>144</v>
      </c>
      <c r="E30" s="6" t="s">
        <v>145</v>
      </c>
      <c r="F30" s="6" t="s">
        <v>49</v>
      </c>
      <c r="G30" s="6" t="s">
        <v>50</v>
      </c>
      <c r="H30" s="6">
        <v>11.2</v>
      </c>
    </row>
    <row r="31" spans="1:8" hidden="1" x14ac:dyDescent="0.25">
      <c r="A31" s="1" t="s">
        <v>133</v>
      </c>
      <c r="B31" t="s">
        <v>134</v>
      </c>
      <c r="C31" s="1" t="s">
        <v>146</v>
      </c>
      <c r="D31" t="s">
        <v>147</v>
      </c>
      <c r="E31" t="s">
        <v>148</v>
      </c>
      <c r="F31" t="s">
        <v>49</v>
      </c>
      <c r="G31" t="s">
        <v>92</v>
      </c>
      <c r="H31">
        <v>56.9</v>
      </c>
    </row>
    <row r="32" spans="1:8" hidden="1" x14ac:dyDescent="0.25">
      <c r="A32" s="7" t="s">
        <v>133</v>
      </c>
      <c r="B32" s="6" t="s">
        <v>134</v>
      </c>
      <c r="C32" s="7" t="s">
        <v>149</v>
      </c>
      <c r="D32" s="6" t="s">
        <v>150</v>
      </c>
      <c r="E32" s="6" t="s">
        <v>151</v>
      </c>
      <c r="F32" s="6" t="s">
        <v>49</v>
      </c>
      <c r="G32" s="6" t="s">
        <v>92</v>
      </c>
      <c r="H32" s="6">
        <v>4</v>
      </c>
    </row>
    <row r="33" spans="1:8" hidden="1" x14ac:dyDescent="0.25">
      <c r="A33" s="1" t="s">
        <v>153</v>
      </c>
      <c r="B33" t="s">
        <v>154</v>
      </c>
      <c r="C33" s="1" t="s">
        <v>158</v>
      </c>
      <c r="D33" t="s">
        <v>159</v>
      </c>
      <c r="E33" t="s">
        <v>160</v>
      </c>
      <c r="F33" t="s">
        <v>49</v>
      </c>
      <c r="G33" t="s">
        <v>50</v>
      </c>
      <c r="H33">
        <v>4.1500000000000004</v>
      </c>
    </row>
    <row r="34" spans="1:8" hidden="1" x14ac:dyDescent="0.25">
      <c r="A34" s="7" t="s">
        <v>153</v>
      </c>
      <c r="B34" s="6" t="s">
        <v>154</v>
      </c>
      <c r="C34" s="7" t="s">
        <v>161</v>
      </c>
      <c r="D34" s="6" t="s">
        <v>162</v>
      </c>
      <c r="E34" s="6" t="s">
        <v>160</v>
      </c>
      <c r="F34" s="6" t="s">
        <v>49</v>
      </c>
      <c r="G34" s="6" t="s">
        <v>50</v>
      </c>
      <c r="H34" s="6">
        <v>4.1500000000000004</v>
      </c>
    </row>
    <row r="35" spans="1:8" hidden="1" x14ac:dyDescent="0.25">
      <c r="A35" s="1" t="s">
        <v>153</v>
      </c>
      <c r="B35" t="s">
        <v>154</v>
      </c>
      <c r="C35" s="1" t="s">
        <v>163</v>
      </c>
      <c r="D35" t="s">
        <v>164</v>
      </c>
      <c r="E35" t="s">
        <v>165</v>
      </c>
      <c r="F35" t="s">
        <v>49</v>
      </c>
      <c r="G35" t="s">
        <v>50</v>
      </c>
      <c r="H35">
        <v>13.7</v>
      </c>
    </row>
    <row r="36" spans="1:8" hidden="1" x14ac:dyDescent="0.25">
      <c r="A36" s="7" t="s">
        <v>153</v>
      </c>
      <c r="B36" s="6" t="s">
        <v>154</v>
      </c>
      <c r="C36" s="7" t="s">
        <v>166</v>
      </c>
      <c r="D36" s="6" t="s">
        <v>167</v>
      </c>
      <c r="E36" s="6" t="s">
        <v>168</v>
      </c>
      <c r="F36" s="6" t="s">
        <v>49</v>
      </c>
      <c r="G36" s="6" t="s">
        <v>50</v>
      </c>
      <c r="H36" s="6">
        <v>8.35</v>
      </c>
    </row>
    <row r="37" spans="1:8" hidden="1" x14ac:dyDescent="0.25">
      <c r="A37" s="1" t="s">
        <v>153</v>
      </c>
      <c r="B37" t="s">
        <v>154</v>
      </c>
      <c r="C37" s="1" t="s">
        <v>169</v>
      </c>
      <c r="D37" t="s">
        <v>170</v>
      </c>
      <c r="E37" t="s">
        <v>171</v>
      </c>
      <c r="F37" t="s">
        <v>49</v>
      </c>
      <c r="G37" t="s">
        <v>50</v>
      </c>
      <c r="H37">
        <v>16.95</v>
      </c>
    </row>
    <row r="38" spans="1:8" hidden="1" x14ac:dyDescent="0.25">
      <c r="A38" s="7" t="s">
        <v>153</v>
      </c>
      <c r="B38" s="6" t="s">
        <v>154</v>
      </c>
      <c r="C38" s="7" t="s">
        <v>172</v>
      </c>
      <c r="D38" s="6" t="s">
        <v>173</v>
      </c>
      <c r="E38" s="6" t="s">
        <v>87</v>
      </c>
      <c r="F38" s="6" t="s">
        <v>49</v>
      </c>
      <c r="G38" s="6" t="s">
        <v>50</v>
      </c>
      <c r="H38" s="6">
        <v>8.9</v>
      </c>
    </row>
    <row r="39" spans="1:8" hidden="1" x14ac:dyDescent="0.25">
      <c r="A39" s="1" t="s">
        <v>153</v>
      </c>
      <c r="B39" t="s">
        <v>154</v>
      </c>
      <c r="C39" s="1" t="s">
        <v>174</v>
      </c>
      <c r="D39" t="s">
        <v>175</v>
      </c>
      <c r="E39" t="s">
        <v>176</v>
      </c>
      <c r="F39" t="s">
        <v>49</v>
      </c>
      <c r="G39" t="s">
        <v>50</v>
      </c>
      <c r="H39">
        <v>3.6</v>
      </c>
    </row>
    <row r="40" spans="1:8" hidden="1" x14ac:dyDescent="0.25">
      <c r="A40" s="7" t="s">
        <v>153</v>
      </c>
      <c r="B40" s="6" t="s">
        <v>154</v>
      </c>
      <c r="C40" s="7" t="s">
        <v>177</v>
      </c>
      <c r="D40" s="6" t="s">
        <v>178</v>
      </c>
      <c r="E40" s="6" t="s">
        <v>179</v>
      </c>
      <c r="F40" s="6" t="s">
        <v>49</v>
      </c>
      <c r="G40" s="6" t="s">
        <v>92</v>
      </c>
      <c r="H40" s="6">
        <v>5.3</v>
      </c>
    </row>
    <row r="41" spans="1:8" hidden="1" x14ac:dyDescent="0.25">
      <c r="A41" s="1" t="s">
        <v>153</v>
      </c>
      <c r="B41" t="s">
        <v>154</v>
      </c>
      <c r="C41" s="1" t="s">
        <v>180</v>
      </c>
      <c r="D41" t="s">
        <v>181</v>
      </c>
      <c r="E41" t="s">
        <v>182</v>
      </c>
      <c r="F41" t="s">
        <v>49</v>
      </c>
      <c r="G41" t="s">
        <v>50</v>
      </c>
      <c r="H41">
        <v>13.8</v>
      </c>
    </row>
    <row r="42" spans="1:8" hidden="1" x14ac:dyDescent="0.25">
      <c r="A42" s="7" t="s">
        <v>153</v>
      </c>
      <c r="B42" s="6" t="s">
        <v>154</v>
      </c>
      <c r="C42" s="7" t="s">
        <v>183</v>
      </c>
      <c r="D42" s="6" t="s">
        <v>184</v>
      </c>
      <c r="E42" s="6" t="s">
        <v>185</v>
      </c>
      <c r="F42" s="6" t="s">
        <v>49</v>
      </c>
      <c r="G42" s="6" t="s">
        <v>50</v>
      </c>
      <c r="H42" s="6">
        <v>3.9</v>
      </c>
    </row>
    <row r="43" spans="1:8" hidden="1" x14ac:dyDescent="0.25">
      <c r="A43" s="1" t="s">
        <v>153</v>
      </c>
      <c r="B43" t="s">
        <v>154</v>
      </c>
      <c r="C43" s="1" t="s">
        <v>186</v>
      </c>
      <c r="D43" t="s">
        <v>187</v>
      </c>
      <c r="E43" t="s">
        <v>188</v>
      </c>
      <c r="F43" t="s">
        <v>49</v>
      </c>
      <c r="G43" t="s">
        <v>92</v>
      </c>
      <c r="H43">
        <v>16.8</v>
      </c>
    </row>
    <row r="44" spans="1:8" hidden="1" x14ac:dyDescent="0.25">
      <c r="A44" s="7" t="s">
        <v>153</v>
      </c>
      <c r="B44" s="6" t="s">
        <v>154</v>
      </c>
      <c r="C44" s="7" t="s">
        <v>189</v>
      </c>
      <c r="D44" s="6" t="s">
        <v>190</v>
      </c>
      <c r="E44" s="6" t="s">
        <v>191</v>
      </c>
      <c r="F44" s="6" t="s">
        <v>49</v>
      </c>
      <c r="G44" s="6" t="s">
        <v>50</v>
      </c>
      <c r="H44" s="6">
        <v>12.8</v>
      </c>
    </row>
    <row r="45" spans="1:8" hidden="1" x14ac:dyDescent="0.25">
      <c r="A45" s="1" t="s">
        <v>153</v>
      </c>
      <c r="B45" t="s">
        <v>154</v>
      </c>
      <c r="C45" s="1" t="s">
        <v>192</v>
      </c>
      <c r="D45" t="s">
        <v>193</v>
      </c>
      <c r="E45" t="s">
        <v>194</v>
      </c>
      <c r="F45" t="s">
        <v>49</v>
      </c>
      <c r="G45" t="s">
        <v>50</v>
      </c>
      <c r="H45">
        <v>20.85</v>
      </c>
    </row>
    <row r="46" spans="1:8" hidden="1" x14ac:dyDescent="0.25">
      <c r="A46" s="7" t="s">
        <v>153</v>
      </c>
      <c r="B46" s="6" t="s">
        <v>154</v>
      </c>
      <c r="C46" s="7" t="s">
        <v>195</v>
      </c>
      <c r="D46" s="6" t="s">
        <v>196</v>
      </c>
      <c r="E46" s="6" t="s">
        <v>197</v>
      </c>
      <c r="F46" s="6" t="s">
        <v>49</v>
      </c>
      <c r="G46" s="6" t="s">
        <v>50</v>
      </c>
      <c r="H46" s="6">
        <v>11.95</v>
      </c>
    </row>
    <row r="47" spans="1:8" hidden="1" x14ac:dyDescent="0.25">
      <c r="A47" s="1" t="s">
        <v>153</v>
      </c>
      <c r="B47" t="s">
        <v>154</v>
      </c>
      <c r="C47" s="1" t="s">
        <v>198</v>
      </c>
      <c r="D47" t="s">
        <v>199</v>
      </c>
      <c r="E47" t="s">
        <v>179</v>
      </c>
      <c r="F47" t="s">
        <v>49</v>
      </c>
      <c r="G47" t="s">
        <v>50</v>
      </c>
      <c r="H47">
        <v>2.65</v>
      </c>
    </row>
    <row r="48" spans="1:8" hidden="1" x14ac:dyDescent="0.25">
      <c r="A48" s="7" t="s">
        <v>153</v>
      </c>
      <c r="B48" s="6" t="s">
        <v>154</v>
      </c>
      <c r="C48" s="7" t="s">
        <v>200</v>
      </c>
      <c r="D48" s="6" t="s">
        <v>201</v>
      </c>
      <c r="E48" s="6" t="s">
        <v>202</v>
      </c>
      <c r="F48" s="6" t="s">
        <v>49</v>
      </c>
      <c r="G48" s="6" t="s">
        <v>50</v>
      </c>
      <c r="H48" s="6">
        <v>12.1</v>
      </c>
    </row>
    <row r="49" spans="1:8" hidden="1" x14ac:dyDescent="0.25">
      <c r="A49" s="1" t="s">
        <v>153</v>
      </c>
      <c r="B49" t="s">
        <v>154</v>
      </c>
      <c r="C49" s="1" t="s">
        <v>203</v>
      </c>
      <c r="D49" t="s">
        <v>204</v>
      </c>
      <c r="E49" t="s">
        <v>205</v>
      </c>
      <c r="F49" t="s">
        <v>49</v>
      </c>
      <c r="G49" t="s">
        <v>50</v>
      </c>
      <c r="H49">
        <v>6.35</v>
      </c>
    </row>
    <row r="50" spans="1:8" hidden="1" x14ac:dyDescent="0.25">
      <c r="A50" s="7" t="s">
        <v>153</v>
      </c>
      <c r="B50" s="6" t="s">
        <v>154</v>
      </c>
      <c r="C50" s="7" t="s">
        <v>206</v>
      </c>
      <c r="D50" s="6" t="s">
        <v>207</v>
      </c>
      <c r="E50" s="6" t="s">
        <v>208</v>
      </c>
      <c r="F50" s="6" t="s">
        <v>49</v>
      </c>
      <c r="G50" s="6" t="s">
        <v>50</v>
      </c>
      <c r="H50" s="6">
        <v>12.2</v>
      </c>
    </row>
    <row r="51" spans="1:8" hidden="1" x14ac:dyDescent="0.25">
      <c r="A51" s="1" t="s">
        <v>153</v>
      </c>
      <c r="B51" t="s">
        <v>154</v>
      </c>
      <c r="C51" s="1" t="s">
        <v>209</v>
      </c>
      <c r="D51" t="s">
        <v>210</v>
      </c>
      <c r="E51" t="s">
        <v>31</v>
      </c>
      <c r="F51" t="s">
        <v>49</v>
      </c>
      <c r="G51" t="s">
        <v>50</v>
      </c>
      <c r="H51">
        <v>10.6</v>
      </c>
    </row>
    <row r="52" spans="1:8" hidden="1" x14ac:dyDescent="0.25">
      <c r="A52" s="7" t="s">
        <v>153</v>
      </c>
      <c r="B52" s="6" t="s">
        <v>154</v>
      </c>
      <c r="C52" s="7" t="s">
        <v>211</v>
      </c>
      <c r="D52" s="6" t="s">
        <v>212</v>
      </c>
      <c r="E52" s="6" t="s">
        <v>213</v>
      </c>
      <c r="F52" s="6" t="s">
        <v>49</v>
      </c>
      <c r="G52" s="6" t="s">
        <v>50</v>
      </c>
      <c r="H52" s="6">
        <v>36.25</v>
      </c>
    </row>
    <row r="53" spans="1:8" hidden="1" x14ac:dyDescent="0.25">
      <c r="A53" s="1" t="s">
        <v>153</v>
      </c>
      <c r="B53" t="s">
        <v>154</v>
      </c>
      <c r="C53" s="1" t="s">
        <v>214</v>
      </c>
      <c r="D53" t="s">
        <v>215</v>
      </c>
      <c r="E53" t="s">
        <v>216</v>
      </c>
      <c r="F53" t="s">
        <v>49</v>
      </c>
      <c r="G53" t="s">
        <v>50</v>
      </c>
      <c r="H53">
        <v>7</v>
      </c>
    </row>
    <row r="54" spans="1:8" hidden="1" x14ac:dyDescent="0.25">
      <c r="A54" s="7" t="s">
        <v>153</v>
      </c>
      <c r="B54" s="6" t="s">
        <v>154</v>
      </c>
      <c r="C54" s="7" t="s">
        <v>217</v>
      </c>
      <c r="D54" s="6" t="s">
        <v>218</v>
      </c>
      <c r="E54" s="6" t="s">
        <v>219</v>
      </c>
      <c r="F54" s="6" t="s">
        <v>49</v>
      </c>
      <c r="G54" s="6" t="s">
        <v>50</v>
      </c>
      <c r="H54" s="6">
        <v>9.65</v>
      </c>
    </row>
    <row r="55" spans="1:8" hidden="1" x14ac:dyDescent="0.25">
      <c r="A55" s="1" t="s">
        <v>153</v>
      </c>
      <c r="B55" t="s">
        <v>154</v>
      </c>
      <c r="C55" s="1" t="s">
        <v>221</v>
      </c>
      <c r="D55" t="s">
        <v>222</v>
      </c>
      <c r="E55" t="s">
        <v>223</v>
      </c>
      <c r="F55" t="s">
        <v>49</v>
      </c>
      <c r="G55" t="s">
        <v>50</v>
      </c>
      <c r="H55">
        <v>2.9</v>
      </c>
    </row>
    <row r="56" spans="1:8" hidden="1" x14ac:dyDescent="0.25">
      <c r="A56" s="7" t="s">
        <v>225</v>
      </c>
      <c r="B56" s="6" t="s">
        <v>226</v>
      </c>
      <c r="C56" s="7" t="s">
        <v>229</v>
      </c>
      <c r="D56" s="6" t="s">
        <v>230</v>
      </c>
      <c r="E56" s="6" t="s">
        <v>231</v>
      </c>
      <c r="F56" s="6" t="s">
        <v>49</v>
      </c>
      <c r="G56" s="6" t="s">
        <v>50</v>
      </c>
      <c r="H56" s="6">
        <v>5.25</v>
      </c>
    </row>
    <row r="57" spans="1:8" hidden="1" x14ac:dyDescent="0.25">
      <c r="A57" s="1" t="s">
        <v>225</v>
      </c>
      <c r="B57" t="s">
        <v>226</v>
      </c>
      <c r="C57" s="1" t="s">
        <v>233</v>
      </c>
      <c r="D57" t="s">
        <v>234</v>
      </c>
      <c r="E57" t="s">
        <v>235</v>
      </c>
      <c r="F57" t="s">
        <v>49</v>
      </c>
      <c r="G57" t="s">
        <v>50</v>
      </c>
      <c r="H57">
        <v>8.4499999999999993</v>
      </c>
    </row>
    <row r="58" spans="1:8" hidden="1" x14ac:dyDescent="0.25">
      <c r="A58" s="7" t="s">
        <v>225</v>
      </c>
      <c r="B58" s="6" t="s">
        <v>226</v>
      </c>
      <c r="C58" s="7" t="s">
        <v>236</v>
      </c>
      <c r="D58" s="6" t="s">
        <v>237</v>
      </c>
      <c r="E58" s="6" t="s">
        <v>238</v>
      </c>
      <c r="F58" s="6" t="s">
        <v>49</v>
      </c>
      <c r="G58" s="6" t="s">
        <v>50</v>
      </c>
      <c r="H58" s="6">
        <v>14.55</v>
      </c>
    </row>
    <row r="59" spans="1:8" hidden="1" x14ac:dyDescent="0.25">
      <c r="A59" s="1" t="s">
        <v>225</v>
      </c>
      <c r="B59" t="s">
        <v>226</v>
      </c>
      <c r="C59" s="1" t="s">
        <v>239</v>
      </c>
      <c r="D59" t="s">
        <v>240</v>
      </c>
      <c r="E59" t="s">
        <v>241</v>
      </c>
      <c r="F59" t="s">
        <v>49</v>
      </c>
      <c r="G59" t="s">
        <v>50</v>
      </c>
      <c r="H59">
        <v>7.6</v>
      </c>
    </row>
    <row r="60" spans="1:8" hidden="1" x14ac:dyDescent="0.25">
      <c r="A60" s="7" t="s">
        <v>225</v>
      </c>
      <c r="B60" s="6" t="s">
        <v>226</v>
      </c>
      <c r="C60" s="7" t="s">
        <v>242</v>
      </c>
      <c r="D60" s="6" t="s">
        <v>243</v>
      </c>
      <c r="E60" s="6" t="s">
        <v>244</v>
      </c>
      <c r="F60" s="6" t="s">
        <v>49</v>
      </c>
      <c r="G60" s="6" t="s">
        <v>92</v>
      </c>
      <c r="H60" s="6">
        <v>6.2</v>
      </c>
    </row>
    <row r="61" spans="1:8" hidden="1" x14ac:dyDescent="0.25">
      <c r="A61" s="1" t="s">
        <v>246</v>
      </c>
      <c r="B61" t="s">
        <v>247</v>
      </c>
      <c r="C61" s="1" t="s">
        <v>250</v>
      </c>
      <c r="D61" t="s">
        <v>251</v>
      </c>
      <c r="E61" t="s">
        <v>252</v>
      </c>
      <c r="F61" t="s">
        <v>49</v>
      </c>
      <c r="G61" t="s">
        <v>50</v>
      </c>
      <c r="H61">
        <v>43.68</v>
      </c>
    </row>
    <row r="62" spans="1:8" hidden="1" x14ac:dyDescent="0.25">
      <c r="A62" s="7" t="s">
        <v>246</v>
      </c>
      <c r="B62" s="6" t="s">
        <v>247</v>
      </c>
      <c r="C62" s="7" t="s">
        <v>253</v>
      </c>
      <c r="D62" s="6" t="s">
        <v>254</v>
      </c>
      <c r="E62" s="6" t="s">
        <v>255</v>
      </c>
      <c r="F62" s="6" t="s">
        <v>49</v>
      </c>
      <c r="G62" s="6" t="s">
        <v>50</v>
      </c>
      <c r="H62" s="6">
        <v>32.5</v>
      </c>
    </row>
    <row r="63" spans="1:8" hidden="1" x14ac:dyDescent="0.25">
      <c r="A63" s="1" t="s">
        <v>246</v>
      </c>
      <c r="B63" t="s">
        <v>247</v>
      </c>
      <c r="C63" s="1" t="s">
        <v>256</v>
      </c>
      <c r="D63" t="s">
        <v>257</v>
      </c>
      <c r="E63" t="s">
        <v>258</v>
      </c>
      <c r="F63" t="s">
        <v>49</v>
      </c>
      <c r="G63" t="s">
        <v>50</v>
      </c>
      <c r="H63">
        <v>24.72</v>
      </c>
    </row>
    <row r="64" spans="1:8" hidden="1" x14ac:dyDescent="0.25">
      <c r="A64" s="7" t="s">
        <v>259</v>
      </c>
      <c r="B64" s="6" t="s">
        <v>260</v>
      </c>
      <c r="C64" s="7" t="s">
        <v>265</v>
      </c>
      <c r="D64" s="6" t="s">
        <v>266</v>
      </c>
      <c r="E64" s="6" t="s">
        <v>267</v>
      </c>
      <c r="F64" s="6" t="s">
        <v>49</v>
      </c>
      <c r="G64" s="6" t="s">
        <v>268</v>
      </c>
      <c r="H64" s="6">
        <v>18.899999999999999</v>
      </c>
    </row>
    <row r="65" spans="1:8" hidden="1" x14ac:dyDescent="0.25">
      <c r="A65" s="1" t="s">
        <v>259</v>
      </c>
      <c r="B65" t="s">
        <v>260</v>
      </c>
      <c r="C65" s="1" t="s">
        <v>269</v>
      </c>
      <c r="D65" t="s">
        <v>270</v>
      </c>
      <c r="E65" t="s">
        <v>271</v>
      </c>
      <c r="F65" t="s">
        <v>49</v>
      </c>
      <c r="G65" t="s">
        <v>50</v>
      </c>
      <c r="H65">
        <v>13.3</v>
      </c>
    </row>
    <row r="66" spans="1:8" hidden="1" x14ac:dyDescent="0.25">
      <c r="A66" s="7" t="s">
        <v>259</v>
      </c>
      <c r="B66" s="6" t="s">
        <v>260</v>
      </c>
      <c r="C66" s="7" t="s">
        <v>272</v>
      </c>
      <c r="D66" s="6" t="s">
        <v>273</v>
      </c>
      <c r="E66" s="6" t="s">
        <v>274</v>
      </c>
      <c r="F66" s="6" t="s">
        <v>49</v>
      </c>
      <c r="G66" s="6" t="s">
        <v>92</v>
      </c>
      <c r="H66" s="6">
        <v>25.8</v>
      </c>
    </row>
    <row r="67" spans="1:8" hidden="1" x14ac:dyDescent="0.25">
      <c r="A67" s="1" t="s">
        <v>259</v>
      </c>
      <c r="B67" t="s">
        <v>260</v>
      </c>
      <c r="C67" s="1" t="s">
        <v>275</v>
      </c>
      <c r="D67" t="s">
        <v>276</v>
      </c>
      <c r="E67" t="s">
        <v>277</v>
      </c>
      <c r="F67" t="s">
        <v>49</v>
      </c>
      <c r="G67" t="s">
        <v>50</v>
      </c>
      <c r="H67">
        <v>7.05</v>
      </c>
    </row>
    <row r="68" spans="1:8" hidden="1" x14ac:dyDescent="0.25">
      <c r="A68" s="7" t="s">
        <v>259</v>
      </c>
      <c r="B68" s="6" t="s">
        <v>260</v>
      </c>
      <c r="C68" s="7" t="s">
        <v>278</v>
      </c>
      <c r="D68" s="6" t="s">
        <v>279</v>
      </c>
      <c r="E68" s="6" t="s">
        <v>58</v>
      </c>
      <c r="F68" s="6" t="s">
        <v>49</v>
      </c>
      <c r="G68" s="6" t="s">
        <v>92</v>
      </c>
      <c r="H68" s="6">
        <v>10.8</v>
      </c>
    </row>
    <row r="69" spans="1:8" hidden="1" x14ac:dyDescent="0.25">
      <c r="A69" s="1" t="s">
        <v>259</v>
      </c>
      <c r="B69" t="s">
        <v>260</v>
      </c>
      <c r="C69" s="1" t="s">
        <v>280</v>
      </c>
      <c r="D69" t="s">
        <v>281</v>
      </c>
      <c r="E69" t="s">
        <v>58</v>
      </c>
      <c r="F69" t="s">
        <v>49</v>
      </c>
      <c r="G69" t="s">
        <v>92</v>
      </c>
      <c r="H69">
        <v>10.8</v>
      </c>
    </row>
    <row r="70" spans="1:8" hidden="1" x14ac:dyDescent="0.25">
      <c r="A70" s="7" t="s">
        <v>259</v>
      </c>
      <c r="B70" s="6" t="s">
        <v>260</v>
      </c>
      <c r="C70" s="7" t="s">
        <v>282</v>
      </c>
      <c r="D70" s="6" t="s">
        <v>283</v>
      </c>
      <c r="E70" s="6" t="s">
        <v>145</v>
      </c>
      <c r="F70" s="6" t="s">
        <v>49</v>
      </c>
      <c r="G70" s="6" t="s">
        <v>50</v>
      </c>
      <c r="H70" s="6">
        <v>11.2</v>
      </c>
    </row>
    <row r="71" spans="1:8" hidden="1" x14ac:dyDescent="0.25">
      <c r="A71" s="1" t="s">
        <v>259</v>
      </c>
      <c r="B71" t="s">
        <v>260</v>
      </c>
      <c r="C71" s="1" t="s">
        <v>284</v>
      </c>
      <c r="D71" t="s">
        <v>285</v>
      </c>
      <c r="E71" t="s">
        <v>267</v>
      </c>
      <c r="F71" t="s">
        <v>49</v>
      </c>
      <c r="G71" t="s">
        <v>50</v>
      </c>
      <c r="H71">
        <v>6.3</v>
      </c>
    </row>
    <row r="72" spans="1:8" hidden="1" x14ac:dyDescent="0.25">
      <c r="A72" s="7" t="s">
        <v>259</v>
      </c>
      <c r="B72" s="6" t="s">
        <v>260</v>
      </c>
      <c r="C72" s="7" t="s">
        <v>286</v>
      </c>
      <c r="D72" s="6" t="s">
        <v>287</v>
      </c>
      <c r="E72" s="6" t="s">
        <v>288</v>
      </c>
      <c r="F72" s="6" t="s">
        <v>49</v>
      </c>
      <c r="G72" s="6" t="s">
        <v>50</v>
      </c>
      <c r="H72" s="6">
        <v>3.2</v>
      </c>
    </row>
    <row r="73" spans="1:8" hidden="1" x14ac:dyDescent="0.25">
      <c r="A73" s="1" t="s">
        <v>259</v>
      </c>
      <c r="B73" t="s">
        <v>260</v>
      </c>
      <c r="C73" s="1" t="s">
        <v>289</v>
      </c>
      <c r="D73" t="s">
        <v>290</v>
      </c>
      <c r="E73" t="s">
        <v>291</v>
      </c>
      <c r="F73" t="s">
        <v>49</v>
      </c>
      <c r="G73" t="s">
        <v>50</v>
      </c>
      <c r="H73">
        <v>6.65</v>
      </c>
    </row>
    <row r="74" spans="1:8" hidden="1" x14ac:dyDescent="0.25">
      <c r="A74" s="7" t="s">
        <v>259</v>
      </c>
      <c r="B74" s="6" t="s">
        <v>260</v>
      </c>
      <c r="C74" s="7" t="s">
        <v>292</v>
      </c>
      <c r="D74" s="6" t="s">
        <v>293</v>
      </c>
      <c r="E74" s="6" t="s">
        <v>185</v>
      </c>
      <c r="F74" s="6" t="s">
        <v>49</v>
      </c>
      <c r="G74" s="6" t="s">
        <v>92</v>
      </c>
      <c r="H74" s="6">
        <v>7.8</v>
      </c>
    </row>
    <row r="75" spans="1:8" hidden="1" x14ac:dyDescent="0.25">
      <c r="A75" s="1" t="s">
        <v>259</v>
      </c>
      <c r="B75" t="s">
        <v>260</v>
      </c>
      <c r="C75" s="1" t="s">
        <v>294</v>
      </c>
      <c r="D75" t="s">
        <v>295</v>
      </c>
      <c r="E75" t="s">
        <v>296</v>
      </c>
      <c r="F75" t="s">
        <v>49</v>
      </c>
      <c r="G75" t="s">
        <v>50</v>
      </c>
      <c r="H75">
        <v>12.65</v>
      </c>
    </row>
    <row r="76" spans="1:8" hidden="1" x14ac:dyDescent="0.25">
      <c r="A76" s="7" t="s">
        <v>259</v>
      </c>
      <c r="B76" s="6" t="s">
        <v>260</v>
      </c>
      <c r="C76" s="7" t="s">
        <v>297</v>
      </c>
      <c r="D76" s="6" t="s">
        <v>298</v>
      </c>
      <c r="E76" s="6" t="s">
        <v>299</v>
      </c>
      <c r="F76" s="6" t="s">
        <v>49</v>
      </c>
      <c r="G76" s="6" t="s">
        <v>50</v>
      </c>
      <c r="H76" s="6">
        <v>4.6500000000000004</v>
      </c>
    </row>
    <row r="77" spans="1:8" hidden="1" x14ac:dyDescent="0.25">
      <c r="A77" s="1" t="s">
        <v>259</v>
      </c>
      <c r="B77" t="s">
        <v>260</v>
      </c>
      <c r="C77" s="1" t="s">
        <v>300</v>
      </c>
      <c r="D77" t="s">
        <v>301</v>
      </c>
      <c r="E77" t="s">
        <v>302</v>
      </c>
      <c r="F77" t="s">
        <v>49</v>
      </c>
      <c r="G77" t="s">
        <v>92</v>
      </c>
      <c r="H77">
        <v>9.1999999999999993</v>
      </c>
    </row>
    <row r="78" spans="1:8" hidden="1" x14ac:dyDescent="0.25">
      <c r="A78" s="7" t="s">
        <v>259</v>
      </c>
      <c r="B78" s="6" t="s">
        <v>260</v>
      </c>
      <c r="C78" s="7" t="s">
        <v>303</v>
      </c>
      <c r="D78" s="6" t="s">
        <v>304</v>
      </c>
      <c r="E78" s="6" t="s">
        <v>216</v>
      </c>
      <c r="F78" s="6" t="s">
        <v>49</v>
      </c>
      <c r="G78" s="6" t="s">
        <v>92</v>
      </c>
      <c r="H78" s="6">
        <v>14</v>
      </c>
    </row>
    <row r="79" spans="1:8" hidden="1" x14ac:dyDescent="0.25">
      <c r="A79" s="1" t="s">
        <v>306</v>
      </c>
      <c r="B79" t="s">
        <v>307</v>
      </c>
      <c r="C79" s="1" t="s">
        <v>309</v>
      </c>
      <c r="D79" t="s">
        <v>310</v>
      </c>
      <c r="E79" t="s">
        <v>311</v>
      </c>
      <c r="F79" t="s">
        <v>49</v>
      </c>
      <c r="G79" t="s">
        <v>312</v>
      </c>
      <c r="H79">
        <v>104</v>
      </c>
    </row>
    <row r="80" spans="1:8" hidden="1" x14ac:dyDescent="0.25">
      <c r="A80" s="7" t="s">
        <v>306</v>
      </c>
      <c r="B80" s="6" t="s">
        <v>307</v>
      </c>
      <c r="C80" s="7" t="s">
        <v>314</v>
      </c>
      <c r="D80" s="6" t="s">
        <v>315</v>
      </c>
      <c r="E80" s="6" t="s">
        <v>205</v>
      </c>
      <c r="F80" s="6" t="s">
        <v>49</v>
      </c>
      <c r="G80" s="6" t="s">
        <v>312</v>
      </c>
      <c r="H80" s="6">
        <v>50.8</v>
      </c>
    </row>
    <row r="81" spans="1:8" hidden="1" x14ac:dyDescent="0.25">
      <c r="A81" s="1" t="s">
        <v>317</v>
      </c>
      <c r="B81" t="s">
        <v>318</v>
      </c>
      <c r="C81" s="1" t="s">
        <v>118</v>
      </c>
      <c r="D81" t="s">
        <v>119</v>
      </c>
      <c r="E81" t="s">
        <v>120</v>
      </c>
      <c r="F81" t="s">
        <v>121</v>
      </c>
      <c r="G81" t="s">
        <v>319</v>
      </c>
      <c r="H81">
        <v>95.7</v>
      </c>
    </row>
    <row r="82" spans="1:8" hidden="1" x14ac:dyDescent="0.25">
      <c r="A82" s="7" t="s">
        <v>317</v>
      </c>
      <c r="B82" s="6" t="s">
        <v>318</v>
      </c>
      <c r="C82" s="7" t="s">
        <v>123</v>
      </c>
      <c r="D82" s="6" t="s">
        <v>124</v>
      </c>
      <c r="E82" s="6" t="s">
        <v>125</v>
      </c>
      <c r="F82" s="6" t="s">
        <v>121</v>
      </c>
      <c r="G82" s="6" t="s">
        <v>319</v>
      </c>
      <c r="H82" s="6">
        <v>83.1</v>
      </c>
    </row>
    <row r="83" spans="1:8" hidden="1" x14ac:dyDescent="0.25">
      <c r="A83" s="1" t="s">
        <v>317</v>
      </c>
      <c r="B83" t="s">
        <v>318</v>
      </c>
      <c r="C83" s="1" t="s">
        <v>126</v>
      </c>
      <c r="D83" t="s">
        <v>127</v>
      </c>
      <c r="E83" t="s">
        <v>128</v>
      </c>
      <c r="F83" t="s">
        <v>121</v>
      </c>
      <c r="G83" t="s">
        <v>92</v>
      </c>
      <c r="H83">
        <v>31.3</v>
      </c>
    </row>
    <row r="84" spans="1:8" hidden="1" x14ac:dyDescent="0.25">
      <c r="A84" s="7" t="s">
        <v>317</v>
      </c>
      <c r="B84" s="6" t="s">
        <v>318</v>
      </c>
      <c r="C84" s="7" t="s">
        <v>129</v>
      </c>
      <c r="D84" s="6" t="s">
        <v>130</v>
      </c>
      <c r="E84" s="6" t="s">
        <v>131</v>
      </c>
      <c r="F84" s="6" t="s">
        <v>121</v>
      </c>
      <c r="G84" s="6" t="s">
        <v>92</v>
      </c>
      <c r="H84" s="6">
        <v>28.4</v>
      </c>
    </row>
    <row r="85" spans="1:8" hidden="1" x14ac:dyDescent="0.25">
      <c r="A85" s="1" t="s">
        <v>320</v>
      </c>
      <c r="B85" t="s">
        <v>321</v>
      </c>
      <c r="C85" s="1" t="s">
        <v>135</v>
      </c>
      <c r="D85" t="s">
        <v>136</v>
      </c>
      <c r="E85" t="s">
        <v>137</v>
      </c>
      <c r="F85" t="s">
        <v>49</v>
      </c>
      <c r="G85" t="s">
        <v>268</v>
      </c>
      <c r="H85">
        <v>34.799999999999997</v>
      </c>
    </row>
    <row r="86" spans="1:8" hidden="1" x14ac:dyDescent="0.25">
      <c r="A86" s="7" t="s">
        <v>320</v>
      </c>
      <c r="B86" s="6" t="s">
        <v>321</v>
      </c>
      <c r="C86" s="7" t="s">
        <v>141</v>
      </c>
      <c r="D86" s="6" t="s">
        <v>142</v>
      </c>
      <c r="E86" s="6" t="s">
        <v>48</v>
      </c>
      <c r="F86" s="6" t="s">
        <v>49</v>
      </c>
      <c r="G86" s="6" t="s">
        <v>92</v>
      </c>
      <c r="H86" s="6">
        <v>23.8</v>
      </c>
    </row>
    <row r="87" spans="1:8" hidden="1" x14ac:dyDescent="0.25">
      <c r="A87" s="1" t="s">
        <v>320</v>
      </c>
      <c r="B87" t="s">
        <v>321</v>
      </c>
      <c r="C87" s="1" t="s">
        <v>146</v>
      </c>
      <c r="D87" t="s">
        <v>147</v>
      </c>
      <c r="E87" t="s">
        <v>148</v>
      </c>
      <c r="F87" t="s">
        <v>49</v>
      </c>
      <c r="G87" t="s">
        <v>92</v>
      </c>
      <c r="H87">
        <v>56.9</v>
      </c>
    </row>
    <row r="88" spans="1:8" hidden="1" x14ac:dyDescent="0.25">
      <c r="A88" s="7" t="s">
        <v>320</v>
      </c>
      <c r="B88" s="6" t="s">
        <v>321</v>
      </c>
      <c r="C88" s="7" t="s">
        <v>322</v>
      </c>
      <c r="D88" s="6" t="s">
        <v>323</v>
      </c>
      <c r="E88" s="6" t="s">
        <v>48</v>
      </c>
      <c r="F88" s="6" t="s">
        <v>49</v>
      </c>
      <c r="G88" s="6" t="s">
        <v>50</v>
      </c>
      <c r="H88" s="6">
        <v>11.9</v>
      </c>
    </row>
    <row r="89" spans="1:8" hidden="1" x14ac:dyDescent="0.25">
      <c r="A89" s="1" t="s">
        <v>320</v>
      </c>
      <c r="B89" t="s">
        <v>321</v>
      </c>
      <c r="C89" s="1" t="s">
        <v>324</v>
      </c>
      <c r="D89" t="s">
        <v>325</v>
      </c>
      <c r="E89" t="s">
        <v>58</v>
      </c>
      <c r="F89" t="s">
        <v>49</v>
      </c>
      <c r="G89" t="s">
        <v>92</v>
      </c>
      <c r="H89">
        <v>10.8</v>
      </c>
    </row>
    <row r="90" spans="1:8" hidden="1" x14ac:dyDescent="0.25">
      <c r="A90" s="7" t="s">
        <v>320</v>
      </c>
      <c r="B90" s="6" t="s">
        <v>321</v>
      </c>
      <c r="C90" s="7" t="s">
        <v>326</v>
      </c>
      <c r="D90" s="6" t="s">
        <v>327</v>
      </c>
      <c r="E90" s="6" t="s">
        <v>328</v>
      </c>
      <c r="F90" s="6" t="s">
        <v>49</v>
      </c>
      <c r="G90" s="6" t="s">
        <v>92</v>
      </c>
      <c r="H90" s="6">
        <v>12.4</v>
      </c>
    </row>
    <row r="91" spans="1:8" hidden="1" x14ac:dyDescent="0.25">
      <c r="A91" s="1" t="s">
        <v>329</v>
      </c>
      <c r="B91" t="s">
        <v>330</v>
      </c>
      <c r="C91" s="1" t="s">
        <v>331</v>
      </c>
      <c r="D91" t="s">
        <v>332</v>
      </c>
      <c r="E91" t="s">
        <v>333</v>
      </c>
      <c r="F91" t="s">
        <v>121</v>
      </c>
      <c r="G91" t="s">
        <v>50</v>
      </c>
      <c r="H91">
        <v>12.3</v>
      </c>
    </row>
    <row r="92" spans="1:8" hidden="1" x14ac:dyDescent="0.25">
      <c r="A92" s="7" t="s">
        <v>329</v>
      </c>
      <c r="B92" s="6" t="s">
        <v>330</v>
      </c>
      <c r="C92" s="7" t="s">
        <v>334</v>
      </c>
      <c r="D92" s="6" t="s">
        <v>335</v>
      </c>
      <c r="E92" s="6" t="s">
        <v>336</v>
      </c>
      <c r="F92" s="6" t="s">
        <v>121</v>
      </c>
      <c r="G92" s="6" t="s">
        <v>50</v>
      </c>
      <c r="H92" s="6">
        <v>2.6</v>
      </c>
    </row>
    <row r="93" spans="1:8" hidden="1" x14ac:dyDescent="0.25">
      <c r="A93" s="1" t="s">
        <v>329</v>
      </c>
      <c r="B93" t="s">
        <v>330</v>
      </c>
      <c r="C93" s="1" t="s">
        <v>337</v>
      </c>
      <c r="D93" t="s">
        <v>338</v>
      </c>
      <c r="E93" t="s">
        <v>336</v>
      </c>
      <c r="F93" t="s">
        <v>121</v>
      </c>
      <c r="G93" t="s">
        <v>50</v>
      </c>
      <c r="H93">
        <v>2.6</v>
      </c>
    </row>
    <row r="94" spans="1:8" hidden="1" x14ac:dyDescent="0.25">
      <c r="A94" s="7" t="s">
        <v>329</v>
      </c>
      <c r="B94" s="6" t="s">
        <v>330</v>
      </c>
      <c r="C94" s="7" t="s">
        <v>339</v>
      </c>
      <c r="D94" s="6" t="s">
        <v>340</v>
      </c>
      <c r="E94" s="6" t="s">
        <v>336</v>
      </c>
      <c r="F94" s="6" t="s">
        <v>121</v>
      </c>
      <c r="G94" s="6" t="s">
        <v>50</v>
      </c>
      <c r="H94" s="6">
        <v>2.6</v>
      </c>
    </row>
    <row r="95" spans="1:8" hidden="1" x14ac:dyDescent="0.25">
      <c r="A95" s="1" t="s">
        <v>329</v>
      </c>
      <c r="B95" t="s">
        <v>330</v>
      </c>
      <c r="C95" s="1" t="s">
        <v>341</v>
      </c>
      <c r="D95" t="s">
        <v>342</v>
      </c>
      <c r="E95" t="s">
        <v>343</v>
      </c>
      <c r="F95" t="s">
        <v>121</v>
      </c>
      <c r="G95" t="s">
        <v>122</v>
      </c>
      <c r="H95">
        <v>13.6</v>
      </c>
    </row>
    <row r="96" spans="1:8" hidden="1" x14ac:dyDescent="0.25">
      <c r="A96" s="7" t="s">
        <v>345</v>
      </c>
      <c r="B96" s="6" t="s">
        <v>346</v>
      </c>
      <c r="C96" s="7" t="s">
        <v>348</v>
      </c>
      <c r="D96" s="6" t="s">
        <v>349</v>
      </c>
      <c r="E96" s="6" t="s">
        <v>350</v>
      </c>
      <c r="F96" s="6" t="s">
        <v>49</v>
      </c>
      <c r="G96" s="6" t="s">
        <v>50</v>
      </c>
      <c r="H96" s="6">
        <v>14.95</v>
      </c>
    </row>
    <row r="97" spans="1:8" hidden="1" x14ac:dyDescent="0.25">
      <c r="A97" s="1" t="s">
        <v>345</v>
      </c>
      <c r="B97" t="s">
        <v>346</v>
      </c>
      <c r="C97" s="1" t="s">
        <v>352</v>
      </c>
      <c r="D97" t="s">
        <v>353</v>
      </c>
      <c r="E97" t="s">
        <v>354</v>
      </c>
      <c r="F97" t="s">
        <v>49</v>
      </c>
      <c r="G97" t="s">
        <v>50</v>
      </c>
      <c r="H97">
        <v>23.5</v>
      </c>
    </row>
    <row r="98" spans="1:8" hidden="1" x14ac:dyDescent="0.25">
      <c r="A98" s="7" t="s">
        <v>345</v>
      </c>
      <c r="B98" s="6" t="s">
        <v>346</v>
      </c>
      <c r="C98" s="7" t="s">
        <v>355</v>
      </c>
      <c r="D98" s="6" t="s">
        <v>356</v>
      </c>
      <c r="E98" s="6" t="s">
        <v>357</v>
      </c>
      <c r="F98" s="6" t="s">
        <v>49</v>
      </c>
      <c r="G98" s="6" t="s">
        <v>50</v>
      </c>
      <c r="H98" s="6">
        <v>18.7</v>
      </c>
    </row>
    <row r="99" spans="1:8" hidden="1" x14ac:dyDescent="0.25">
      <c r="A99" s="1" t="s">
        <v>345</v>
      </c>
      <c r="B99" t="s">
        <v>346</v>
      </c>
      <c r="C99" s="1" t="s">
        <v>358</v>
      </c>
      <c r="D99" t="s">
        <v>359</v>
      </c>
      <c r="E99" t="s">
        <v>360</v>
      </c>
      <c r="F99" t="s">
        <v>49</v>
      </c>
      <c r="G99" t="s">
        <v>50</v>
      </c>
      <c r="H99">
        <v>17.23</v>
      </c>
    </row>
    <row r="100" spans="1:8" hidden="1" x14ac:dyDescent="0.25">
      <c r="A100" s="7" t="s">
        <v>345</v>
      </c>
      <c r="B100" s="6" t="s">
        <v>346</v>
      </c>
      <c r="C100" s="7" t="s">
        <v>361</v>
      </c>
      <c r="D100" s="6" t="s">
        <v>362</v>
      </c>
      <c r="E100" s="6" t="s">
        <v>363</v>
      </c>
      <c r="F100" s="6" t="s">
        <v>49</v>
      </c>
      <c r="G100" s="6" t="s">
        <v>50</v>
      </c>
      <c r="H100" s="6">
        <v>12.52</v>
      </c>
    </row>
    <row r="101" spans="1:8" hidden="1" x14ac:dyDescent="0.25">
      <c r="A101" s="1" t="s">
        <v>345</v>
      </c>
      <c r="B101" t="s">
        <v>346</v>
      </c>
      <c r="C101" s="1" t="s">
        <v>364</v>
      </c>
      <c r="D101" t="s">
        <v>365</v>
      </c>
      <c r="E101" t="s">
        <v>366</v>
      </c>
      <c r="F101" t="s">
        <v>49</v>
      </c>
      <c r="G101" t="s">
        <v>50</v>
      </c>
      <c r="H101">
        <v>10.45</v>
      </c>
    </row>
    <row r="102" spans="1:8" hidden="1" x14ac:dyDescent="0.25">
      <c r="A102" s="7" t="s">
        <v>368</v>
      </c>
      <c r="B102" s="6" t="s">
        <v>369</v>
      </c>
      <c r="C102" s="7" t="s">
        <v>370</v>
      </c>
      <c r="D102" s="6" t="s">
        <v>371</v>
      </c>
      <c r="E102" s="6" t="s">
        <v>372</v>
      </c>
      <c r="F102" s="6" t="s">
        <v>121</v>
      </c>
      <c r="G102" s="6" t="s">
        <v>50</v>
      </c>
      <c r="H102" s="6">
        <v>94.05</v>
      </c>
    </row>
    <row r="103" spans="1:8" hidden="1" x14ac:dyDescent="0.25">
      <c r="A103" s="1" t="s">
        <v>368</v>
      </c>
      <c r="B103" t="s">
        <v>369</v>
      </c>
      <c r="C103" s="1" t="s">
        <v>373</v>
      </c>
      <c r="D103" t="s">
        <v>374</v>
      </c>
      <c r="E103" t="s">
        <v>375</v>
      </c>
      <c r="F103" t="s">
        <v>121</v>
      </c>
      <c r="G103" t="s">
        <v>92</v>
      </c>
      <c r="H103">
        <v>73.599999999999994</v>
      </c>
    </row>
    <row r="104" spans="1:8" hidden="1" x14ac:dyDescent="0.25">
      <c r="A104" s="7" t="s">
        <v>368</v>
      </c>
      <c r="B104" s="6" t="s">
        <v>369</v>
      </c>
      <c r="C104" s="7" t="s">
        <v>376</v>
      </c>
      <c r="D104" s="6" t="s">
        <v>377</v>
      </c>
      <c r="E104" s="6" t="s">
        <v>378</v>
      </c>
      <c r="F104" s="6" t="s">
        <v>121</v>
      </c>
      <c r="G104" s="6" t="s">
        <v>312</v>
      </c>
      <c r="H104" s="6">
        <v>9.1999999999999993</v>
      </c>
    </row>
    <row r="105" spans="1:8" hidden="1" x14ac:dyDescent="0.25">
      <c r="A105" s="1" t="s">
        <v>379</v>
      </c>
      <c r="B105" t="s">
        <v>380</v>
      </c>
      <c r="C105" s="1" t="s">
        <v>382</v>
      </c>
      <c r="D105" t="s">
        <v>383</v>
      </c>
      <c r="E105" t="s">
        <v>384</v>
      </c>
      <c r="F105" t="s">
        <v>49</v>
      </c>
      <c r="G105" t="s">
        <v>50</v>
      </c>
      <c r="H105">
        <v>10.9</v>
      </c>
    </row>
    <row r="106" spans="1:8" hidden="1" x14ac:dyDescent="0.25">
      <c r="A106" s="7" t="s">
        <v>379</v>
      </c>
      <c r="B106" s="6" t="s">
        <v>380</v>
      </c>
      <c r="C106" s="7" t="s">
        <v>385</v>
      </c>
      <c r="D106" s="6" t="s">
        <v>386</v>
      </c>
      <c r="E106" s="6" t="s">
        <v>191</v>
      </c>
      <c r="F106" s="6" t="s">
        <v>49</v>
      </c>
      <c r="G106" s="6" t="s">
        <v>50</v>
      </c>
      <c r="H106" s="6">
        <v>12.8</v>
      </c>
    </row>
    <row r="107" spans="1:8" hidden="1" x14ac:dyDescent="0.25">
      <c r="A107" s="1" t="s">
        <v>379</v>
      </c>
      <c r="B107" t="s">
        <v>380</v>
      </c>
      <c r="C107" s="1" t="s">
        <v>387</v>
      </c>
      <c r="D107" t="s">
        <v>388</v>
      </c>
      <c r="E107" t="s">
        <v>87</v>
      </c>
      <c r="F107" t="s">
        <v>49</v>
      </c>
      <c r="G107" t="s">
        <v>50</v>
      </c>
      <c r="H107">
        <v>8.9</v>
      </c>
    </row>
    <row r="108" spans="1:8" hidden="1" x14ac:dyDescent="0.25">
      <c r="A108" s="7" t="s">
        <v>379</v>
      </c>
      <c r="B108" s="6" t="s">
        <v>380</v>
      </c>
      <c r="C108" s="7" t="s">
        <v>389</v>
      </c>
      <c r="D108" s="6" t="s">
        <v>390</v>
      </c>
      <c r="E108" s="6" t="s">
        <v>391</v>
      </c>
      <c r="F108" s="6" t="s">
        <v>49</v>
      </c>
      <c r="G108" s="6" t="s">
        <v>50</v>
      </c>
      <c r="H108" s="6">
        <v>11.75</v>
      </c>
    </row>
    <row r="109" spans="1:8" hidden="1" x14ac:dyDescent="0.25">
      <c r="A109" s="1" t="s">
        <v>379</v>
      </c>
      <c r="B109" t="s">
        <v>380</v>
      </c>
      <c r="C109" s="1" t="s">
        <v>392</v>
      </c>
      <c r="D109" t="s">
        <v>393</v>
      </c>
      <c r="E109" t="s">
        <v>394</v>
      </c>
      <c r="F109" t="s">
        <v>49</v>
      </c>
      <c r="G109" t="s">
        <v>50</v>
      </c>
      <c r="H109">
        <v>5.85</v>
      </c>
    </row>
    <row r="110" spans="1:8" hidden="1" x14ac:dyDescent="0.25">
      <c r="A110" s="7" t="s">
        <v>379</v>
      </c>
      <c r="B110" s="6" t="s">
        <v>380</v>
      </c>
      <c r="C110" s="7" t="s">
        <v>395</v>
      </c>
      <c r="D110" s="6" t="s">
        <v>396</v>
      </c>
      <c r="E110" s="6" t="s">
        <v>397</v>
      </c>
      <c r="F110" s="6" t="s">
        <v>49</v>
      </c>
      <c r="G110" s="6" t="s">
        <v>50</v>
      </c>
      <c r="H110" s="6">
        <v>4.8</v>
      </c>
    </row>
    <row r="111" spans="1:8" hidden="1" x14ac:dyDescent="0.25">
      <c r="A111" s="1" t="s">
        <v>379</v>
      </c>
      <c r="B111" t="s">
        <v>380</v>
      </c>
      <c r="C111" s="1" t="s">
        <v>398</v>
      </c>
      <c r="D111" t="s">
        <v>399</v>
      </c>
      <c r="E111" t="s">
        <v>400</v>
      </c>
      <c r="F111" t="s">
        <v>49</v>
      </c>
      <c r="G111" t="s">
        <v>50</v>
      </c>
      <c r="H111">
        <v>5.9</v>
      </c>
    </row>
    <row r="112" spans="1:8" hidden="1" x14ac:dyDescent="0.25">
      <c r="A112" s="7" t="s">
        <v>379</v>
      </c>
      <c r="B112" s="6" t="s">
        <v>380</v>
      </c>
      <c r="C112" s="7" t="s">
        <v>401</v>
      </c>
      <c r="D112" s="6" t="s">
        <v>402</v>
      </c>
      <c r="E112" s="6" t="s">
        <v>403</v>
      </c>
      <c r="F112" s="6" t="s">
        <v>49</v>
      </c>
      <c r="G112" s="6" t="s">
        <v>50</v>
      </c>
      <c r="H112" s="6">
        <v>6</v>
      </c>
    </row>
    <row r="113" spans="1:8" hidden="1" x14ac:dyDescent="0.25">
      <c r="A113" s="1" t="s">
        <v>405</v>
      </c>
      <c r="B113" t="s">
        <v>406</v>
      </c>
      <c r="C113" s="1" t="s">
        <v>407</v>
      </c>
      <c r="D113" t="s">
        <v>408</v>
      </c>
      <c r="E113" t="s">
        <v>409</v>
      </c>
      <c r="F113" t="s">
        <v>49</v>
      </c>
      <c r="G113" t="s">
        <v>122</v>
      </c>
      <c r="H113">
        <v>5</v>
      </c>
    </row>
    <row r="114" spans="1:8" hidden="1" x14ac:dyDescent="0.25">
      <c r="A114" s="7" t="s">
        <v>405</v>
      </c>
      <c r="B114" s="6" t="s">
        <v>406</v>
      </c>
      <c r="C114" s="7" t="s">
        <v>410</v>
      </c>
      <c r="D114" s="6" t="s">
        <v>411</v>
      </c>
      <c r="E114" s="6" t="s">
        <v>409</v>
      </c>
      <c r="F114" s="6" t="s">
        <v>49</v>
      </c>
      <c r="G114" s="6" t="s">
        <v>122</v>
      </c>
      <c r="H114" s="6">
        <v>5</v>
      </c>
    </row>
    <row r="115" spans="1:8" hidden="1" x14ac:dyDescent="0.25">
      <c r="A115" s="1" t="s">
        <v>405</v>
      </c>
      <c r="B115" t="s">
        <v>406</v>
      </c>
      <c r="C115" s="1" t="s">
        <v>412</v>
      </c>
      <c r="D115" t="s">
        <v>413</v>
      </c>
      <c r="E115" t="s">
        <v>414</v>
      </c>
      <c r="F115" t="s">
        <v>49</v>
      </c>
      <c r="G115" t="s">
        <v>50</v>
      </c>
      <c r="H115">
        <v>21.4</v>
      </c>
    </row>
    <row r="116" spans="1:8" hidden="1" x14ac:dyDescent="0.25">
      <c r="A116" s="7" t="s">
        <v>405</v>
      </c>
      <c r="B116" s="6" t="s">
        <v>406</v>
      </c>
      <c r="C116" s="7" t="s">
        <v>415</v>
      </c>
      <c r="D116" s="6" t="s">
        <v>416</v>
      </c>
      <c r="E116" s="6" t="s">
        <v>417</v>
      </c>
      <c r="F116" s="6" t="s">
        <v>49</v>
      </c>
      <c r="G116" s="6" t="s">
        <v>50</v>
      </c>
      <c r="H116" s="6">
        <v>7.36</v>
      </c>
    </row>
    <row r="117" spans="1:8" hidden="1" x14ac:dyDescent="0.25">
      <c r="A117" s="1" t="s">
        <v>405</v>
      </c>
      <c r="B117" t="s">
        <v>406</v>
      </c>
      <c r="C117" s="1" t="s">
        <v>418</v>
      </c>
      <c r="D117" t="s">
        <v>419</v>
      </c>
      <c r="E117" t="s">
        <v>420</v>
      </c>
      <c r="F117" t="s">
        <v>49</v>
      </c>
      <c r="G117" t="s">
        <v>50</v>
      </c>
      <c r="H117">
        <v>12.34</v>
      </c>
    </row>
    <row r="118" spans="1:8" hidden="1" x14ac:dyDescent="0.25">
      <c r="A118" s="7" t="s">
        <v>405</v>
      </c>
      <c r="B118" s="6" t="s">
        <v>406</v>
      </c>
      <c r="C118" s="7" t="s">
        <v>421</v>
      </c>
      <c r="D118" s="6" t="s">
        <v>422</v>
      </c>
      <c r="E118" s="6" t="s">
        <v>423</v>
      </c>
      <c r="F118" s="6" t="s">
        <v>49</v>
      </c>
      <c r="G118" s="6" t="s">
        <v>50</v>
      </c>
      <c r="H118" s="6">
        <v>2.8</v>
      </c>
    </row>
    <row r="119" spans="1:8" hidden="1" x14ac:dyDescent="0.25">
      <c r="A119" s="1" t="s">
        <v>405</v>
      </c>
      <c r="B119" t="s">
        <v>406</v>
      </c>
      <c r="C119" s="1" t="s">
        <v>424</v>
      </c>
      <c r="D119" t="s">
        <v>425</v>
      </c>
      <c r="E119" t="s">
        <v>426</v>
      </c>
      <c r="F119" t="s">
        <v>49</v>
      </c>
      <c r="G119" t="s">
        <v>50</v>
      </c>
      <c r="H119">
        <v>98.22</v>
      </c>
    </row>
    <row r="120" spans="1:8" hidden="1" x14ac:dyDescent="0.25">
      <c r="A120" s="7" t="s">
        <v>437</v>
      </c>
      <c r="B120" s="6" t="s">
        <v>438</v>
      </c>
      <c r="C120" s="7" t="s">
        <v>85</v>
      </c>
      <c r="D120" s="6" t="s">
        <v>86</v>
      </c>
      <c r="E120" s="6" t="s">
        <v>87</v>
      </c>
      <c r="F120" s="6" t="s">
        <v>49</v>
      </c>
      <c r="G120" s="6" t="s">
        <v>50</v>
      </c>
      <c r="H120" s="6">
        <v>8.9</v>
      </c>
    </row>
    <row r="121" spans="1:8" hidden="1" x14ac:dyDescent="0.25">
      <c r="A121" s="1" t="s">
        <v>437</v>
      </c>
      <c r="B121" t="s">
        <v>438</v>
      </c>
      <c r="C121" s="1" t="s">
        <v>89</v>
      </c>
      <c r="D121" t="s">
        <v>90</v>
      </c>
      <c r="E121" t="s">
        <v>91</v>
      </c>
      <c r="F121" t="s">
        <v>49</v>
      </c>
      <c r="G121" t="s">
        <v>92</v>
      </c>
      <c r="H121">
        <v>10.4</v>
      </c>
    </row>
    <row r="122" spans="1:8" hidden="1" x14ac:dyDescent="0.25">
      <c r="A122" s="7" t="s">
        <v>437</v>
      </c>
      <c r="B122" s="6" t="s">
        <v>438</v>
      </c>
      <c r="C122" s="7" t="s">
        <v>94</v>
      </c>
      <c r="D122" s="6" t="s">
        <v>95</v>
      </c>
      <c r="E122" s="6" t="s">
        <v>96</v>
      </c>
      <c r="F122" s="6" t="s">
        <v>49</v>
      </c>
      <c r="G122" s="6" t="s">
        <v>92</v>
      </c>
      <c r="H122" s="6">
        <v>8.9</v>
      </c>
    </row>
    <row r="123" spans="1:8" hidden="1" x14ac:dyDescent="0.25">
      <c r="A123" s="1" t="s">
        <v>437</v>
      </c>
      <c r="B123" t="s">
        <v>438</v>
      </c>
      <c r="C123" s="1" t="s">
        <v>102</v>
      </c>
      <c r="D123" t="s">
        <v>103</v>
      </c>
      <c r="E123" t="s">
        <v>104</v>
      </c>
      <c r="F123" t="s">
        <v>49</v>
      </c>
      <c r="G123" t="s">
        <v>50</v>
      </c>
      <c r="H123">
        <v>3.5</v>
      </c>
    </row>
    <row r="124" spans="1:8" hidden="1" x14ac:dyDescent="0.25">
      <c r="A124" s="7" t="s">
        <v>437</v>
      </c>
      <c r="B124" s="6" t="s">
        <v>438</v>
      </c>
      <c r="C124" s="7" t="s">
        <v>106</v>
      </c>
      <c r="D124" s="6" t="s">
        <v>107</v>
      </c>
      <c r="E124" s="6" t="s">
        <v>108</v>
      </c>
      <c r="F124" s="6" t="s">
        <v>49</v>
      </c>
      <c r="G124" s="6" t="s">
        <v>50</v>
      </c>
      <c r="H124" s="6">
        <v>4.2</v>
      </c>
    </row>
    <row r="125" spans="1:8" hidden="1" x14ac:dyDescent="0.25">
      <c r="A125" s="1" t="s">
        <v>437</v>
      </c>
      <c r="B125" t="s">
        <v>438</v>
      </c>
      <c r="C125" s="1" t="s">
        <v>109</v>
      </c>
      <c r="D125" t="s">
        <v>110</v>
      </c>
      <c r="E125" t="s">
        <v>111</v>
      </c>
      <c r="F125" t="s">
        <v>49</v>
      </c>
      <c r="G125" t="s">
        <v>50</v>
      </c>
      <c r="H125">
        <v>17.8</v>
      </c>
    </row>
    <row r="126" spans="1:8" hidden="1" x14ac:dyDescent="0.25">
      <c r="A126" s="7" t="s">
        <v>439</v>
      </c>
      <c r="B126" s="6" t="s">
        <v>440</v>
      </c>
      <c r="C126" s="7" t="s">
        <v>441</v>
      </c>
      <c r="D126" s="6" t="s">
        <v>442</v>
      </c>
      <c r="E126" s="6" t="s">
        <v>443</v>
      </c>
      <c r="F126" s="6" t="s">
        <v>49</v>
      </c>
      <c r="G126" s="6" t="s">
        <v>50</v>
      </c>
      <c r="H126" s="6">
        <v>15.18</v>
      </c>
    </row>
    <row r="127" spans="1:8" hidden="1" x14ac:dyDescent="0.25">
      <c r="A127" s="1" t="s">
        <v>439</v>
      </c>
      <c r="B127" t="s">
        <v>440</v>
      </c>
      <c r="C127" s="1" t="s">
        <v>444</v>
      </c>
      <c r="D127" t="s">
        <v>445</v>
      </c>
      <c r="E127" t="s">
        <v>446</v>
      </c>
      <c r="F127" t="s">
        <v>49</v>
      </c>
      <c r="G127" t="s">
        <v>50</v>
      </c>
      <c r="H127">
        <v>55.5</v>
      </c>
    </row>
    <row r="128" spans="1:8" hidden="1" x14ac:dyDescent="0.25">
      <c r="A128" s="7" t="s">
        <v>448</v>
      </c>
      <c r="B128" s="6" t="s">
        <v>449</v>
      </c>
      <c r="C128" s="7" t="s">
        <v>451</v>
      </c>
      <c r="D128" s="6" t="s">
        <v>452</v>
      </c>
      <c r="E128" s="6" t="s">
        <v>453</v>
      </c>
      <c r="F128" s="6" t="s">
        <v>49</v>
      </c>
      <c r="G128" s="6" t="s">
        <v>50</v>
      </c>
      <c r="H128" s="6">
        <v>16.899999999999999</v>
      </c>
    </row>
    <row r="129" spans="1:8" hidden="1" x14ac:dyDescent="0.25">
      <c r="A129" s="1" t="s">
        <v>448</v>
      </c>
      <c r="B129" t="s">
        <v>449</v>
      </c>
      <c r="C129" s="1" t="s">
        <v>455</v>
      </c>
      <c r="D129" t="s">
        <v>456</v>
      </c>
      <c r="E129" t="s">
        <v>457</v>
      </c>
      <c r="F129" t="s">
        <v>49</v>
      </c>
      <c r="G129" t="s">
        <v>50</v>
      </c>
      <c r="H129">
        <v>6.1</v>
      </c>
    </row>
    <row r="130" spans="1:8" hidden="1" x14ac:dyDescent="0.25">
      <c r="A130" s="7" t="s">
        <v>458</v>
      </c>
      <c r="B130" s="6" t="s">
        <v>459</v>
      </c>
      <c r="C130" s="7" t="s">
        <v>460</v>
      </c>
      <c r="D130" s="6" t="s">
        <v>461</v>
      </c>
      <c r="E130" s="6" t="s">
        <v>462</v>
      </c>
      <c r="F130" s="6" t="s">
        <v>49</v>
      </c>
      <c r="G130" s="6" t="s">
        <v>50</v>
      </c>
      <c r="H130" s="6">
        <v>19.8</v>
      </c>
    </row>
    <row r="131" spans="1:8" hidden="1" x14ac:dyDescent="0.25">
      <c r="A131" s="1" t="s">
        <v>458</v>
      </c>
      <c r="B131" t="s">
        <v>459</v>
      </c>
      <c r="C131" s="1" t="s">
        <v>463</v>
      </c>
      <c r="D131" t="s">
        <v>464</v>
      </c>
      <c r="E131" t="s">
        <v>465</v>
      </c>
      <c r="F131" t="s">
        <v>49</v>
      </c>
      <c r="G131" t="s">
        <v>50</v>
      </c>
      <c r="H131">
        <v>6.21</v>
      </c>
    </row>
    <row r="132" spans="1:8" hidden="1" x14ac:dyDescent="0.25">
      <c r="A132" s="7" t="s">
        <v>458</v>
      </c>
      <c r="B132" s="6" t="s">
        <v>459</v>
      </c>
      <c r="C132" s="7" t="s">
        <v>466</v>
      </c>
      <c r="D132" s="6" t="s">
        <v>467</v>
      </c>
      <c r="E132" s="6" t="s">
        <v>468</v>
      </c>
      <c r="F132" s="6" t="s">
        <v>49</v>
      </c>
      <c r="G132" s="6" t="s">
        <v>319</v>
      </c>
      <c r="H132" s="6">
        <v>40.799999999999997</v>
      </c>
    </row>
    <row r="133" spans="1:8" hidden="1" x14ac:dyDescent="0.25">
      <c r="A133" s="1" t="s">
        <v>469</v>
      </c>
      <c r="B133" t="s">
        <v>470</v>
      </c>
      <c r="C133" s="1" t="s">
        <v>502</v>
      </c>
      <c r="D133" t="s">
        <v>503</v>
      </c>
      <c r="E133" t="s">
        <v>31</v>
      </c>
      <c r="F133" t="s">
        <v>121</v>
      </c>
      <c r="G133" t="s">
        <v>50</v>
      </c>
      <c r="H133">
        <v>10.6</v>
      </c>
    </row>
    <row r="134" spans="1:8" hidden="1" x14ac:dyDescent="0.25">
      <c r="A134" s="7" t="s">
        <v>524</v>
      </c>
      <c r="B134" s="6" t="s">
        <v>525</v>
      </c>
      <c r="C134" s="7" t="s">
        <v>502</v>
      </c>
      <c r="D134" s="6" t="s">
        <v>503</v>
      </c>
      <c r="E134" s="6" t="s">
        <v>31</v>
      </c>
      <c r="F134" s="6" t="s">
        <v>121</v>
      </c>
      <c r="G134" s="6" t="s">
        <v>50</v>
      </c>
      <c r="H134" s="6">
        <v>10.6</v>
      </c>
    </row>
    <row r="135" spans="1:8" hidden="1" x14ac:dyDescent="0.25">
      <c r="A135" s="1" t="s">
        <v>531</v>
      </c>
      <c r="B135" t="s">
        <v>532</v>
      </c>
      <c r="C135" s="1" t="s">
        <v>502</v>
      </c>
      <c r="D135" t="s">
        <v>503</v>
      </c>
      <c r="E135" t="s">
        <v>31</v>
      </c>
      <c r="F135" t="s">
        <v>121</v>
      </c>
      <c r="G135" t="s">
        <v>50</v>
      </c>
      <c r="H135">
        <v>10.6</v>
      </c>
    </row>
    <row r="136" spans="1:8" hidden="1" x14ac:dyDescent="0.25">
      <c r="A136" s="7" t="s">
        <v>544</v>
      </c>
      <c r="B136" s="6" t="s">
        <v>545</v>
      </c>
      <c r="C136" s="7" t="s">
        <v>502</v>
      </c>
      <c r="D136" s="6" t="s">
        <v>503</v>
      </c>
      <c r="E136" s="6" t="s">
        <v>31</v>
      </c>
      <c r="F136" s="6" t="s">
        <v>121</v>
      </c>
      <c r="G136" s="6" t="s">
        <v>50</v>
      </c>
      <c r="H136" s="6">
        <v>10.6</v>
      </c>
    </row>
    <row r="137" spans="1:8" hidden="1" x14ac:dyDescent="0.25">
      <c r="A137" s="1" t="s">
        <v>570</v>
      </c>
      <c r="B137" t="s">
        <v>571</v>
      </c>
      <c r="C137" s="1" t="s">
        <v>502</v>
      </c>
      <c r="D137" t="s">
        <v>503</v>
      </c>
      <c r="E137" t="s">
        <v>31</v>
      </c>
      <c r="F137" t="s">
        <v>49</v>
      </c>
      <c r="G137" t="s">
        <v>50</v>
      </c>
      <c r="H137">
        <v>10.6</v>
      </c>
    </row>
    <row r="138" spans="1:8" hidden="1" x14ac:dyDescent="0.25">
      <c r="A138" s="7" t="s">
        <v>693</v>
      </c>
      <c r="B138" s="6" t="s">
        <v>694</v>
      </c>
      <c r="C138" s="7" t="s">
        <v>707</v>
      </c>
      <c r="D138" s="6" t="s">
        <v>708</v>
      </c>
      <c r="E138" s="6" t="s">
        <v>709</v>
      </c>
      <c r="F138" s="6" t="s">
        <v>49</v>
      </c>
      <c r="G138" s="6" t="s">
        <v>50</v>
      </c>
      <c r="H138" s="6">
        <v>24.5</v>
      </c>
    </row>
    <row r="139" spans="1:8" hidden="1" x14ac:dyDescent="0.25">
      <c r="A139" s="1" t="s">
        <v>693</v>
      </c>
      <c r="B139" t="s">
        <v>694</v>
      </c>
      <c r="C139" s="1" t="s">
        <v>710</v>
      </c>
      <c r="D139" t="s">
        <v>711</v>
      </c>
      <c r="E139" t="s">
        <v>712</v>
      </c>
      <c r="F139" t="s">
        <v>49</v>
      </c>
      <c r="G139" t="s">
        <v>50</v>
      </c>
      <c r="H139">
        <v>25</v>
      </c>
    </row>
    <row r="140" spans="1:8" hidden="1" x14ac:dyDescent="0.25">
      <c r="A140" s="7" t="s">
        <v>693</v>
      </c>
      <c r="B140" s="6" t="s">
        <v>694</v>
      </c>
      <c r="C140" s="7" t="s">
        <v>713</v>
      </c>
      <c r="D140" s="6" t="s">
        <v>714</v>
      </c>
      <c r="E140" s="6" t="s">
        <v>501</v>
      </c>
      <c r="F140" s="6" t="s">
        <v>49</v>
      </c>
      <c r="G140" s="6" t="s">
        <v>50</v>
      </c>
      <c r="H140" s="6">
        <v>4.5</v>
      </c>
    </row>
    <row r="141" spans="1:8" hidden="1" x14ac:dyDescent="0.25">
      <c r="A141" s="1" t="s">
        <v>693</v>
      </c>
      <c r="B141" t="s">
        <v>694</v>
      </c>
      <c r="C141" s="1" t="s">
        <v>715</v>
      </c>
      <c r="D141" t="s">
        <v>716</v>
      </c>
      <c r="E141" t="s">
        <v>501</v>
      </c>
      <c r="F141" t="s">
        <v>49</v>
      </c>
      <c r="G141" t="s">
        <v>50</v>
      </c>
      <c r="H141">
        <v>4.5</v>
      </c>
    </row>
    <row r="142" spans="1:8" hidden="1" x14ac:dyDescent="0.25">
      <c r="A142" s="7" t="s">
        <v>693</v>
      </c>
      <c r="B142" s="6" t="s">
        <v>694</v>
      </c>
      <c r="C142" s="7" t="s">
        <v>717</v>
      </c>
      <c r="D142" s="6" t="s">
        <v>718</v>
      </c>
      <c r="E142" s="6" t="s">
        <v>61</v>
      </c>
      <c r="F142" s="6" t="s">
        <v>49</v>
      </c>
      <c r="G142" s="6" t="s">
        <v>50</v>
      </c>
      <c r="H142" s="6">
        <v>3.85</v>
      </c>
    </row>
    <row r="143" spans="1:8" hidden="1" x14ac:dyDescent="0.25">
      <c r="A143" s="1" t="s">
        <v>693</v>
      </c>
      <c r="B143" t="s">
        <v>694</v>
      </c>
      <c r="C143" s="1" t="s">
        <v>719</v>
      </c>
      <c r="D143" t="s">
        <v>720</v>
      </c>
      <c r="E143" t="s">
        <v>721</v>
      </c>
      <c r="F143" t="s">
        <v>49</v>
      </c>
      <c r="G143" t="s">
        <v>50</v>
      </c>
      <c r="H143">
        <v>28.1</v>
      </c>
    </row>
    <row r="144" spans="1:8" hidden="1" x14ac:dyDescent="0.25">
      <c r="A144" s="7" t="s">
        <v>726</v>
      </c>
      <c r="B144" s="6" t="s">
        <v>727</v>
      </c>
      <c r="C144" s="7" t="s">
        <v>707</v>
      </c>
      <c r="D144" s="6" t="s">
        <v>708</v>
      </c>
      <c r="E144" s="6" t="s">
        <v>709</v>
      </c>
      <c r="F144" s="6" t="s">
        <v>49</v>
      </c>
      <c r="G144" s="6" t="s">
        <v>50</v>
      </c>
      <c r="H144" s="6">
        <v>24.5</v>
      </c>
    </row>
    <row r="145" spans="1:8" hidden="1" x14ac:dyDescent="0.25">
      <c r="A145" s="1" t="s">
        <v>726</v>
      </c>
      <c r="B145" t="s">
        <v>727</v>
      </c>
      <c r="C145" s="1" t="s">
        <v>710</v>
      </c>
      <c r="D145" t="s">
        <v>711</v>
      </c>
      <c r="E145" t="s">
        <v>712</v>
      </c>
      <c r="F145" t="s">
        <v>49</v>
      </c>
      <c r="G145" t="s">
        <v>50</v>
      </c>
      <c r="H145">
        <v>25</v>
      </c>
    </row>
    <row r="146" spans="1:8" hidden="1" x14ac:dyDescent="0.25">
      <c r="A146" s="7" t="s">
        <v>726</v>
      </c>
      <c r="B146" s="6" t="s">
        <v>727</v>
      </c>
      <c r="C146" s="7" t="s">
        <v>729</v>
      </c>
      <c r="D146" s="6" t="s">
        <v>730</v>
      </c>
      <c r="E146" s="6" t="s">
        <v>731</v>
      </c>
      <c r="F146" s="6" t="s">
        <v>49</v>
      </c>
      <c r="G146" s="6" t="s">
        <v>50</v>
      </c>
      <c r="H146" s="6">
        <v>34.299999999999997</v>
      </c>
    </row>
    <row r="147" spans="1:8" hidden="1" x14ac:dyDescent="0.25">
      <c r="A147" s="1" t="s">
        <v>726</v>
      </c>
      <c r="B147" t="s">
        <v>727</v>
      </c>
      <c r="C147" s="1" t="s">
        <v>713</v>
      </c>
      <c r="D147" t="s">
        <v>714</v>
      </c>
      <c r="E147" t="s">
        <v>501</v>
      </c>
      <c r="F147" t="s">
        <v>49</v>
      </c>
      <c r="G147" t="s">
        <v>50</v>
      </c>
      <c r="H147">
        <v>4.5</v>
      </c>
    </row>
    <row r="148" spans="1:8" hidden="1" x14ac:dyDescent="0.25">
      <c r="A148" s="7" t="s">
        <v>726</v>
      </c>
      <c r="B148" s="6" t="s">
        <v>727</v>
      </c>
      <c r="C148" s="7" t="s">
        <v>715</v>
      </c>
      <c r="D148" s="6" t="s">
        <v>716</v>
      </c>
      <c r="E148" s="6" t="s">
        <v>501</v>
      </c>
      <c r="F148" s="6" t="s">
        <v>49</v>
      </c>
      <c r="G148" s="6" t="s">
        <v>50</v>
      </c>
      <c r="H148" s="6">
        <v>4.5</v>
      </c>
    </row>
    <row r="149" spans="1:8" hidden="1" x14ac:dyDescent="0.25">
      <c r="A149" s="1" t="s">
        <v>726</v>
      </c>
      <c r="B149" t="s">
        <v>727</v>
      </c>
      <c r="C149" s="1" t="s">
        <v>717</v>
      </c>
      <c r="D149" t="s">
        <v>718</v>
      </c>
      <c r="E149" t="s">
        <v>61</v>
      </c>
      <c r="F149" t="s">
        <v>49</v>
      </c>
      <c r="G149" t="s">
        <v>50</v>
      </c>
      <c r="H149">
        <v>3.85</v>
      </c>
    </row>
    <row r="150" spans="1:8" hidden="1" x14ac:dyDescent="0.25">
      <c r="A150" s="7" t="s">
        <v>734</v>
      </c>
      <c r="B150" s="6" t="s">
        <v>735</v>
      </c>
      <c r="C150" s="7" t="s">
        <v>745</v>
      </c>
      <c r="D150" s="6" t="s">
        <v>746</v>
      </c>
      <c r="E150" s="6" t="s">
        <v>747</v>
      </c>
      <c r="F150" s="6" t="s">
        <v>49</v>
      </c>
      <c r="G150" s="6" t="s">
        <v>50</v>
      </c>
      <c r="H150" s="6">
        <v>35.549999999999997</v>
      </c>
    </row>
    <row r="151" spans="1:8" hidden="1" x14ac:dyDescent="0.25">
      <c r="A151" s="1" t="s">
        <v>734</v>
      </c>
      <c r="B151" t="s">
        <v>735</v>
      </c>
      <c r="C151" s="1" t="s">
        <v>748</v>
      </c>
      <c r="D151" t="s">
        <v>749</v>
      </c>
      <c r="E151" t="s">
        <v>750</v>
      </c>
      <c r="F151" t="s">
        <v>49</v>
      </c>
      <c r="G151" t="s">
        <v>50</v>
      </c>
      <c r="H151">
        <v>5.3</v>
      </c>
    </row>
    <row r="152" spans="1:8" hidden="1" x14ac:dyDescent="0.25">
      <c r="A152" s="7" t="s">
        <v>734</v>
      </c>
      <c r="B152" s="6" t="s">
        <v>735</v>
      </c>
      <c r="C152" s="7" t="s">
        <v>751</v>
      </c>
      <c r="D152" s="6" t="s">
        <v>752</v>
      </c>
      <c r="E152" s="6" t="s">
        <v>750</v>
      </c>
      <c r="F152" s="6" t="s">
        <v>49</v>
      </c>
      <c r="G152" s="6" t="s">
        <v>50</v>
      </c>
      <c r="H152" s="6">
        <v>5.3</v>
      </c>
    </row>
    <row r="153" spans="1:8" hidden="1" x14ac:dyDescent="0.25">
      <c r="A153" s="1" t="s">
        <v>734</v>
      </c>
      <c r="B153" t="s">
        <v>735</v>
      </c>
      <c r="C153" s="1" t="s">
        <v>753</v>
      </c>
      <c r="D153" t="s">
        <v>754</v>
      </c>
      <c r="E153" t="s">
        <v>755</v>
      </c>
      <c r="F153" t="s">
        <v>49</v>
      </c>
      <c r="G153" t="s">
        <v>50</v>
      </c>
      <c r="H153">
        <v>3.75</v>
      </c>
    </row>
    <row r="154" spans="1:8" hidden="1" x14ac:dyDescent="0.25">
      <c r="A154" s="7" t="s">
        <v>734</v>
      </c>
      <c r="B154" s="6" t="s">
        <v>735</v>
      </c>
      <c r="C154" s="7" t="s">
        <v>756</v>
      </c>
      <c r="D154" s="6" t="s">
        <v>757</v>
      </c>
      <c r="E154" s="6" t="s">
        <v>758</v>
      </c>
      <c r="F154" s="6" t="s">
        <v>49</v>
      </c>
      <c r="G154" s="6" t="s">
        <v>50</v>
      </c>
      <c r="H154" s="6">
        <v>20.75</v>
      </c>
    </row>
    <row r="155" spans="1:8" hidden="1" x14ac:dyDescent="0.25">
      <c r="A155" s="1" t="s">
        <v>734</v>
      </c>
      <c r="B155" t="s">
        <v>735</v>
      </c>
      <c r="C155" s="1" t="s">
        <v>759</v>
      </c>
      <c r="D155" t="s">
        <v>760</v>
      </c>
      <c r="E155" t="s">
        <v>761</v>
      </c>
      <c r="F155" t="s">
        <v>49</v>
      </c>
      <c r="G155" t="s">
        <v>50</v>
      </c>
      <c r="H155">
        <v>38.75</v>
      </c>
    </row>
    <row r="156" spans="1:8" hidden="1" x14ac:dyDescent="0.25">
      <c r="A156" s="7" t="s">
        <v>763</v>
      </c>
      <c r="B156" s="6" t="s">
        <v>764</v>
      </c>
      <c r="C156" s="7" t="s">
        <v>768</v>
      </c>
      <c r="D156" s="6" t="s">
        <v>769</v>
      </c>
      <c r="E156" s="6" t="s">
        <v>770</v>
      </c>
      <c r="F156" s="6" t="s">
        <v>49</v>
      </c>
      <c r="G156" s="6" t="s">
        <v>50</v>
      </c>
      <c r="H156" s="6">
        <v>27.95</v>
      </c>
    </row>
    <row r="157" spans="1:8" hidden="1" x14ac:dyDescent="0.25">
      <c r="A157" s="1" t="s">
        <v>763</v>
      </c>
      <c r="B157" t="s">
        <v>764</v>
      </c>
      <c r="C157" s="1" t="s">
        <v>771</v>
      </c>
      <c r="D157" t="s">
        <v>772</v>
      </c>
      <c r="E157" t="s">
        <v>773</v>
      </c>
      <c r="F157" t="s">
        <v>49</v>
      </c>
      <c r="G157" t="s">
        <v>50</v>
      </c>
      <c r="H157">
        <v>50.55</v>
      </c>
    </row>
    <row r="158" spans="1:8" hidden="1" x14ac:dyDescent="0.25">
      <c r="A158" s="7" t="s">
        <v>763</v>
      </c>
      <c r="B158" s="6" t="s">
        <v>764</v>
      </c>
      <c r="C158" s="7" t="s">
        <v>774</v>
      </c>
      <c r="D158" s="6" t="s">
        <v>775</v>
      </c>
      <c r="E158" s="6" t="s">
        <v>776</v>
      </c>
      <c r="F158" s="6" t="s">
        <v>49</v>
      </c>
      <c r="G158" s="6" t="s">
        <v>50</v>
      </c>
      <c r="H158" s="6">
        <v>52.55</v>
      </c>
    </row>
    <row r="159" spans="1:8" hidden="1" x14ac:dyDescent="0.25">
      <c r="A159" s="1" t="s">
        <v>763</v>
      </c>
      <c r="B159" t="s">
        <v>764</v>
      </c>
      <c r="C159" s="1" t="s">
        <v>777</v>
      </c>
      <c r="D159" t="s">
        <v>778</v>
      </c>
      <c r="E159" t="s">
        <v>779</v>
      </c>
      <c r="F159" t="s">
        <v>49</v>
      </c>
      <c r="G159" t="s">
        <v>50</v>
      </c>
      <c r="H159">
        <v>5.99</v>
      </c>
    </row>
    <row r="160" spans="1:8" hidden="1" x14ac:dyDescent="0.25">
      <c r="A160" s="7" t="s">
        <v>763</v>
      </c>
      <c r="B160" s="6" t="s">
        <v>764</v>
      </c>
      <c r="C160" s="7" t="s">
        <v>780</v>
      </c>
      <c r="D160" s="6" t="s">
        <v>781</v>
      </c>
      <c r="E160" s="6" t="s">
        <v>782</v>
      </c>
      <c r="F160" s="6" t="s">
        <v>49</v>
      </c>
      <c r="G160" s="6" t="s">
        <v>50</v>
      </c>
      <c r="H160" s="6">
        <v>6.74</v>
      </c>
    </row>
    <row r="161" spans="1:8" hidden="1" x14ac:dyDescent="0.25">
      <c r="A161" s="1" t="s">
        <v>763</v>
      </c>
      <c r="B161" t="s">
        <v>764</v>
      </c>
      <c r="C161" s="1" t="s">
        <v>783</v>
      </c>
      <c r="D161" t="s">
        <v>784</v>
      </c>
      <c r="E161" t="s">
        <v>785</v>
      </c>
      <c r="F161" t="s">
        <v>49</v>
      </c>
      <c r="G161" t="s">
        <v>50</v>
      </c>
      <c r="H161">
        <v>14.15</v>
      </c>
    </row>
    <row r="162" spans="1:8" hidden="1" x14ac:dyDescent="0.25">
      <c r="A162" s="7" t="s">
        <v>787</v>
      </c>
      <c r="B162" s="6" t="s">
        <v>788</v>
      </c>
      <c r="C162" s="7" t="s">
        <v>804</v>
      </c>
      <c r="D162" s="6" t="s">
        <v>805</v>
      </c>
      <c r="E162" s="6" t="s">
        <v>274</v>
      </c>
      <c r="F162" s="6" t="s">
        <v>49</v>
      </c>
      <c r="G162" s="6" t="s">
        <v>50</v>
      </c>
      <c r="H162" s="6">
        <v>12.9</v>
      </c>
    </row>
    <row r="163" spans="1:8" hidden="1" x14ac:dyDescent="0.25">
      <c r="A163" s="1" t="s">
        <v>787</v>
      </c>
      <c r="B163" t="s">
        <v>788</v>
      </c>
      <c r="C163" s="1" t="s">
        <v>806</v>
      </c>
      <c r="D163" t="s">
        <v>807</v>
      </c>
      <c r="E163" t="s">
        <v>274</v>
      </c>
      <c r="F163" t="s">
        <v>49</v>
      </c>
      <c r="G163" t="s">
        <v>50</v>
      </c>
      <c r="H163">
        <v>12.9</v>
      </c>
    </row>
    <row r="164" spans="1:8" hidden="1" x14ac:dyDescent="0.25">
      <c r="A164" s="7" t="s">
        <v>787</v>
      </c>
      <c r="B164" s="6" t="s">
        <v>788</v>
      </c>
      <c r="C164" s="7" t="s">
        <v>808</v>
      </c>
      <c r="D164" s="6" t="s">
        <v>809</v>
      </c>
      <c r="E164" s="6" t="s">
        <v>96</v>
      </c>
      <c r="F164" s="6" t="s">
        <v>49</v>
      </c>
      <c r="G164" s="6" t="s">
        <v>50</v>
      </c>
      <c r="H164" s="6">
        <v>4.45</v>
      </c>
    </row>
    <row r="165" spans="1:8" hidden="1" x14ac:dyDescent="0.25">
      <c r="A165" s="1" t="s">
        <v>814</v>
      </c>
      <c r="B165" t="s">
        <v>815</v>
      </c>
      <c r="C165" s="1" t="s">
        <v>817</v>
      </c>
      <c r="D165" t="s">
        <v>818</v>
      </c>
      <c r="E165" t="s">
        <v>819</v>
      </c>
      <c r="F165" t="s">
        <v>121</v>
      </c>
      <c r="G165" t="s">
        <v>50</v>
      </c>
      <c r="H165">
        <v>33.56</v>
      </c>
    </row>
    <row r="166" spans="1:8" hidden="1" x14ac:dyDescent="0.25">
      <c r="A166" s="7" t="s">
        <v>814</v>
      </c>
      <c r="B166" s="6" t="s">
        <v>815</v>
      </c>
      <c r="C166" s="7" t="s">
        <v>820</v>
      </c>
      <c r="D166" s="6" t="s">
        <v>821</v>
      </c>
      <c r="E166" s="6" t="s">
        <v>822</v>
      </c>
      <c r="F166" s="6" t="s">
        <v>121</v>
      </c>
      <c r="G166" s="6" t="s">
        <v>50</v>
      </c>
      <c r="H166" s="6">
        <v>19.53</v>
      </c>
    </row>
    <row r="167" spans="1:8" hidden="1" x14ac:dyDescent="0.25">
      <c r="A167" s="1" t="s">
        <v>814</v>
      </c>
      <c r="B167" t="s">
        <v>815</v>
      </c>
      <c r="C167" s="1" t="s">
        <v>823</v>
      </c>
      <c r="D167" t="s">
        <v>824</v>
      </c>
      <c r="E167" t="s">
        <v>825</v>
      </c>
      <c r="F167" t="s">
        <v>121</v>
      </c>
      <c r="G167" t="s">
        <v>50</v>
      </c>
      <c r="H167">
        <v>32.11</v>
      </c>
    </row>
    <row r="168" spans="1:8" hidden="1" x14ac:dyDescent="0.25">
      <c r="A168" s="7" t="s">
        <v>828</v>
      </c>
      <c r="B168" s="6" t="s">
        <v>829</v>
      </c>
      <c r="C168" s="7" t="s">
        <v>845</v>
      </c>
      <c r="D168" s="6" t="s">
        <v>846</v>
      </c>
      <c r="E168" s="6" t="s">
        <v>847</v>
      </c>
      <c r="F168" s="6" t="s">
        <v>49</v>
      </c>
      <c r="G168" s="6" t="s">
        <v>50</v>
      </c>
      <c r="H168" s="6">
        <v>176</v>
      </c>
    </row>
    <row r="169" spans="1:8" hidden="1" x14ac:dyDescent="0.25">
      <c r="A169" s="1" t="s">
        <v>828</v>
      </c>
      <c r="B169" t="s">
        <v>829</v>
      </c>
      <c r="C169" s="1" t="s">
        <v>848</v>
      </c>
      <c r="D169" t="s">
        <v>849</v>
      </c>
      <c r="E169" t="s">
        <v>850</v>
      </c>
      <c r="F169" t="s">
        <v>49</v>
      </c>
      <c r="G169" t="s">
        <v>50</v>
      </c>
      <c r="H169">
        <v>6.5</v>
      </c>
    </row>
    <row r="170" spans="1:8" hidden="1" x14ac:dyDescent="0.25">
      <c r="A170" s="7" t="s">
        <v>828</v>
      </c>
      <c r="B170" s="6" t="s">
        <v>829</v>
      </c>
      <c r="C170" s="7" t="s">
        <v>851</v>
      </c>
      <c r="D170" s="6" t="s">
        <v>852</v>
      </c>
      <c r="E170" s="6" t="s">
        <v>853</v>
      </c>
      <c r="F170" s="6" t="s">
        <v>49</v>
      </c>
      <c r="G170" s="6" t="s">
        <v>50</v>
      </c>
      <c r="H170" s="6">
        <v>7.1</v>
      </c>
    </row>
    <row r="171" spans="1:8" hidden="1" x14ac:dyDescent="0.25">
      <c r="A171" s="1" t="s">
        <v>828</v>
      </c>
      <c r="B171" t="s">
        <v>829</v>
      </c>
      <c r="C171" s="1" t="s">
        <v>854</v>
      </c>
      <c r="D171" t="s">
        <v>855</v>
      </c>
      <c r="E171" t="s">
        <v>856</v>
      </c>
      <c r="F171" t="s">
        <v>49</v>
      </c>
      <c r="G171" t="s">
        <v>50</v>
      </c>
      <c r="H171">
        <v>4.0999999999999996</v>
      </c>
    </row>
    <row r="172" spans="1:8" hidden="1" x14ac:dyDescent="0.25">
      <c r="A172" s="7" t="s">
        <v>862</v>
      </c>
      <c r="B172" s="6" t="s">
        <v>863</v>
      </c>
      <c r="C172" s="7" t="s">
        <v>713</v>
      </c>
      <c r="D172" s="6" t="s">
        <v>714</v>
      </c>
      <c r="E172" s="6" t="s">
        <v>501</v>
      </c>
      <c r="F172" s="6" t="s">
        <v>49</v>
      </c>
      <c r="G172" s="6" t="s">
        <v>50</v>
      </c>
      <c r="H172" s="6">
        <v>4.5</v>
      </c>
    </row>
    <row r="173" spans="1:8" hidden="1" x14ac:dyDescent="0.25">
      <c r="A173" s="1" t="s">
        <v>862</v>
      </c>
      <c r="B173" t="s">
        <v>863</v>
      </c>
      <c r="C173" s="1" t="s">
        <v>715</v>
      </c>
      <c r="D173" t="s">
        <v>716</v>
      </c>
      <c r="E173" t="s">
        <v>501</v>
      </c>
      <c r="F173" t="s">
        <v>49</v>
      </c>
      <c r="G173" t="s">
        <v>50</v>
      </c>
      <c r="H173">
        <v>4.5</v>
      </c>
    </row>
    <row r="174" spans="1:8" hidden="1" x14ac:dyDescent="0.25">
      <c r="A174" s="7" t="s">
        <v>862</v>
      </c>
      <c r="B174" s="6" t="s">
        <v>863</v>
      </c>
      <c r="C174" s="7" t="s">
        <v>717</v>
      </c>
      <c r="D174" s="6" t="s">
        <v>718</v>
      </c>
      <c r="E174" s="6" t="s">
        <v>61</v>
      </c>
      <c r="F174" s="6" t="s">
        <v>49</v>
      </c>
      <c r="G174" s="6" t="s">
        <v>50</v>
      </c>
      <c r="H174" s="6">
        <v>3.85</v>
      </c>
    </row>
    <row r="175" spans="1:8" hidden="1" x14ac:dyDescent="0.25">
      <c r="A175" s="1" t="s">
        <v>924</v>
      </c>
      <c r="B175" t="s">
        <v>925</v>
      </c>
      <c r="C175" s="1" t="s">
        <v>942</v>
      </c>
      <c r="D175" t="s">
        <v>943</v>
      </c>
      <c r="E175" t="s">
        <v>944</v>
      </c>
      <c r="F175" t="s">
        <v>49</v>
      </c>
      <c r="G175" t="s">
        <v>50</v>
      </c>
      <c r="H175">
        <v>262.7</v>
      </c>
    </row>
    <row r="176" spans="1:8" hidden="1" x14ac:dyDescent="0.25">
      <c r="A176" s="7" t="s">
        <v>924</v>
      </c>
      <c r="B176" s="6" t="s">
        <v>925</v>
      </c>
      <c r="C176" s="7" t="s">
        <v>946</v>
      </c>
      <c r="D176" s="6" t="s">
        <v>947</v>
      </c>
      <c r="E176" s="6" t="s">
        <v>948</v>
      </c>
      <c r="F176" s="6" t="s">
        <v>49</v>
      </c>
      <c r="G176" s="6" t="s">
        <v>50</v>
      </c>
      <c r="H176" s="6">
        <v>252</v>
      </c>
    </row>
    <row r="177" spans="1:8" hidden="1" x14ac:dyDescent="0.25">
      <c r="A177" s="1" t="s">
        <v>924</v>
      </c>
      <c r="B177" t="s">
        <v>925</v>
      </c>
      <c r="C177" s="1" t="s">
        <v>950</v>
      </c>
      <c r="D177" t="s">
        <v>951</v>
      </c>
      <c r="E177" t="s">
        <v>952</v>
      </c>
      <c r="F177" t="s">
        <v>49</v>
      </c>
      <c r="G177" t="s">
        <v>319</v>
      </c>
      <c r="H177">
        <v>178.2</v>
      </c>
    </row>
    <row r="178" spans="1:8" hidden="1" x14ac:dyDescent="0.25">
      <c r="A178" s="7" t="s">
        <v>924</v>
      </c>
      <c r="B178" s="6" t="s">
        <v>925</v>
      </c>
      <c r="C178" s="7" t="s">
        <v>954</v>
      </c>
      <c r="D178" s="6" t="s">
        <v>955</v>
      </c>
      <c r="E178" s="6" t="s">
        <v>956</v>
      </c>
      <c r="F178" s="6" t="s">
        <v>49</v>
      </c>
      <c r="G178" s="6" t="s">
        <v>92</v>
      </c>
      <c r="H178" s="6">
        <v>5.7</v>
      </c>
    </row>
    <row r="179" spans="1:8" x14ac:dyDescent="0.25">
      <c r="A179" s="1" t="s">
        <v>924</v>
      </c>
      <c r="B179" t="s">
        <v>925</v>
      </c>
      <c r="C179" s="1" t="s">
        <v>958</v>
      </c>
      <c r="D179" t="s">
        <v>959</v>
      </c>
      <c r="E179" t="s">
        <v>61</v>
      </c>
      <c r="F179" t="s">
        <v>49</v>
      </c>
      <c r="G179" t="s">
        <v>122</v>
      </c>
      <c r="H179">
        <v>15.4</v>
      </c>
    </row>
    <row r="180" spans="1:8" hidden="1" x14ac:dyDescent="0.25">
      <c r="A180" s="7" t="s">
        <v>965</v>
      </c>
      <c r="B180" s="6" t="s">
        <v>966</v>
      </c>
      <c r="C180" s="7" t="s">
        <v>980</v>
      </c>
      <c r="D180" s="6" t="s">
        <v>981</v>
      </c>
      <c r="E180" s="6" t="s">
        <v>982</v>
      </c>
      <c r="F180" s="6" t="s">
        <v>49</v>
      </c>
      <c r="G180" s="6" t="s">
        <v>50</v>
      </c>
      <c r="H180" s="6">
        <v>18</v>
      </c>
    </row>
    <row r="181" spans="1:8" hidden="1" x14ac:dyDescent="0.25">
      <c r="A181" s="1" t="s">
        <v>996</v>
      </c>
      <c r="B181" t="s">
        <v>997</v>
      </c>
      <c r="C181" s="1" t="s">
        <v>980</v>
      </c>
      <c r="D181" t="s">
        <v>981</v>
      </c>
      <c r="E181" t="s">
        <v>982</v>
      </c>
      <c r="F181" t="s">
        <v>49</v>
      </c>
      <c r="G181" t="s">
        <v>50</v>
      </c>
      <c r="H181">
        <v>18</v>
      </c>
    </row>
    <row r="182" spans="1:8" hidden="1" x14ac:dyDescent="0.25">
      <c r="A182" s="7" t="s">
        <v>1072</v>
      </c>
      <c r="B182" s="6" t="s">
        <v>1073</v>
      </c>
      <c r="C182" s="7" t="s">
        <v>1091</v>
      </c>
      <c r="D182" s="6" t="s">
        <v>1092</v>
      </c>
      <c r="E182" s="6" t="s">
        <v>1093</v>
      </c>
      <c r="F182" s="6" t="s">
        <v>121</v>
      </c>
      <c r="G182" s="6" t="s">
        <v>50</v>
      </c>
      <c r="H182" s="6">
        <v>20.45</v>
      </c>
    </row>
    <row r="183" spans="1:8" hidden="1" x14ac:dyDescent="0.25">
      <c r="A183" s="1" t="s">
        <v>1152</v>
      </c>
      <c r="B183" t="s">
        <v>1153</v>
      </c>
      <c r="C183" s="1" t="s">
        <v>1156</v>
      </c>
      <c r="D183" t="s">
        <v>1157</v>
      </c>
      <c r="E183" t="s">
        <v>1158</v>
      </c>
      <c r="F183" t="s">
        <v>121</v>
      </c>
      <c r="G183" t="s">
        <v>50</v>
      </c>
      <c r="H183">
        <v>200</v>
      </c>
    </row>
    <row r="184" spans="1:8" hidden="1" x14ac:dyDescent="0.25">
      <c r="A184" s="7" t="s">
        <v>1257</v>
      </c>
      <c r="B184" s="6" t="s">
        <v>1258</v>
      </c>
      <c r="C184" s="7" t="s">
        <v>1259</v>
      </c>
      <c r="D184" s="6" t="s">
        <v>1260</v>
      </c>
      <c r="E184" s="6" t="s">
        <v>1261</v>
      </c>
      <c r="F184" s="6" t="s">
        <v>121</v>
      </c>
      <c r="G184" s="6" t="s">
        <v>50</v>
      </c>
      <c r="H184" s="6">
        <v>168.88</v>
      </c>
    </row>
    <row r="185" spans="1:8" hidden="1" x14ac:dyDescent="0.25">
      <c r="A185" s="1" t="s">
        <v>1852</v>
      </c>
      <c r="B185" t="s">
        <v>1853</v>
      </c>
      <c r="C185" s="1" t="s">
        <v>1734</v>
      </c>
      <c r="D185" t="s">
        <v>1735</v>
      </c>
      <c r="E185" t="s">
        <v>328</v>
      </c>
      <c r="F185" t="s">
        <v>49</v>
      </c>
      <c r="G185" t="s">
        <v>50</v>
      </c>
      <c r="H185">
        <v>6.2</v>
      </c>
    </row>
    <row r="186" spans="1:8" hidden="1" x14ac:dyDescent="0.25">
      <c r="A186" s="7" t="s">
        <v>1852</v>
      </c>
      <c r="B186" s="6" t="s">
        <v>1853</v>
      </c>
      <c r="C186" s="7" t="s">
        <v>1872</v>
      </c>
      <c r="D186" s="6" t="s">
        <v>1873</v>
      </c>
      <c r="E186" s="6" t="s">
        <v>1874</v>
      </c>
      <c r="F186" s="6" t="s">
        <v>49</v>
      </c>
      <c r="G186" s="6" t="s">
        <v>50</v>
      </c>
      <c r="H186" s="6">
        <v>35.799999999999997</v>
      </c>
    </row>
    <row r="187" spans="1:8" hidden="1" x14ac:dyDescent="0.25">
      <c r="A187" s="1" t="s">
        <v>1852</v>
      </c>
      <c r="B187" t="s">
        <v>1853</v>
      </c>
      <c r="C187" s="1" t="s">
        <v>1876</v>
      </c>
      <c r="D187" t="s">
        <v>1877</v>
      </c>
      <c r="E187" t="s">
        <v>1878</v>
      </c>
      <c r="F187" t="s">
        <v>49</v>
      </c>
      <c r="G187" t="s">
        <v>50</v>
      </c>
      <c r="H187">
        <v>169.16</v>
      </c>
    </row>
    <row r="188" spans="1:8" hidden="1" x14ac:dyDescent="0.25">
      <c r="A188" s="7" t="s">
        <v>1880</v>
      </c>
      <c r="B188" s="6" t="s">
        <v>1881</v>
      </c>
      <c r="C188" s="7" t="s">
        <v>1902</v>
      </c>
      <c r="D188" s="6" t="s">
        <v>1903</v>
      </c>
      <c r="E188" s="6" t="s">
        <v>1904</v>
      </c>
      <c r="F188" s="6" t="s">
        <v>49</v>
      </c>
      <c r="G188" s="6" t="s">
        <v>50</v>
      </c>
      <c r="H188" s="6">
        <v>27.3</v>
      </c>
    </row>
    <row r="189" spans="1:8" hidden="1" x14ac:dyDescent="0.25">
      <c r="A189" s="1" t="s">
        <v>1954</v>
      </c>
      <c r="B189" t="s">
        <v>1955</v>
      </c>
      <c r="C189" s="1" t="s">
        <v>1980</v>
      </c>
      <c r="D189" t="s">
        <v>1981</v>
      </c>
      <c r="E189" t="s">
        <v>1982</v>
      </c>
      <c r="F189" t="s">
        <v>49</v>
      </c>
      <c r="G189" t="s">
        <v>50</v>
      </c>
      <c r="H189">
        <v>115</v>
      </c>
    </row>
    <row r="190" spans="1:8" hidden="1" x14ac:dyDescent="0.25">
      <c r="A190" s="7" t="s">
        <v>1954</v>
      </c>
      <c r="B190" s="6" t="s">
        <v>1955</v>
      </c>
      <c r="C190" s="7" t="s">
        <v>1983</v>
      </c>
      <c r="D190" s="6" t="s">
        <v>1984</v>
      </c>
      <c r="E190" s="6" t="s">
        <v>1985</v>
      </c>
      <c r="F190" s="6" t="s">
        <v>49</v>
      </c>
      <c r="G190" s="6" t="s">
        <v>50</v>
      </c>
      <c r="H190" s="6">
        <v>127</v>
      </c>
    </row>
    <row r="191" spans="1:8" hidden="1" x14ac:dyDescent="0.25">
      <c r="A191" s="1" t="s">
        <v>1954</v>
      </c>
      <c r="B191" t="s">
        <v>1955</v>
      </c>
      <c r="C191" s="1" t="s">
        <v>1986</v>
      </c>
      <c r="D191" t="s">
        <v>1987</v>
      </c>
      <c r="E191" t="s">
        <v>1988</v>
      </c>
      <c r="F191" t="s">
        <v>49</v>
      </c>
      <c r="G191" t="s">
        <v>50</v>
      </c>
      <c r="H191">
        <v>114</v>
      </c>
    </row>
    <row r="192" spans="1:8" hidden="1" x14ac:dyDescent="0.25">
      <c r="A192" s="7" t="s">
        <v>1994</v>
      </c>
      <c r="B192" s="6" t="s">
        <v>1995</v>
      </c>
      <c r="C192" s="7" t="s">
        <v>2016</v>
      </c>
      <c r="D192" s="6" t="s">
        <v>2017</v>
      </c>
      <c r="E192" s="6" t="s">
        <v>2018</v>
      </c>
      <c r="F192" s="6" t="s">
        <v>49</v>
      </c>
      <c r="G192" s="6" t="s">
        <v>50</v>
      </c>
      <c r="H192" s="6">
        <v>165</v>
      </c>
    </row>
    <row r="193" spans="1:8" hidden="1" x14ac:dyDescent="0.25">
      <c r="A193" s="1" t="s">
        <v>1994</v>
      </c>
      <c r="B193" t="s">
        <v>1995</v>
      </c>
      <c r="C193" s="1" t="s">
        <v>2019</v>
      </c>
      <c r="D193" t="s">
        <v>2020</v>
      </c>
      <c r="E193" t="s">
        <v>2021</v>
      </c>
      <c r="F193" t="s">
        <v>49</v>
      </c>
      <c r="G193" t="s">
        <v>50</v>
      </c>
      <c r="H193">
        <v>188</v>
      </c>
    </row>
    <row r="194" spans="1:8" hidden="1" x14ac:dyDescent="0.25">
      <c r="A194" s="7" t="s">
        <v>1994</v>
      </c>
      <c r="B194" s="6" t="s">
        <v>1995</v>
      </c>
      <c r="C194" s="7" t="s">
        <v>2022</v>
      </c>
      <c r="D194" s="6" t="s">
        <v>2023</v>
      </c>
      <c r="E194" s="6" t="s">
        <v>2024</v>
      </c>
      <c r="F194" s="6" t="s">
        <v>49</v>
      </c>
      <c r="G194" s="6" t="s">
        <v>50</v>
      </c>
      <c r="H194" s="6">
        <v>138</v>
      </c>
    </row>
    <row r="195" spans="1:8" hidden="1" x14ac:dyDescent="0.25">
      <c r="A195" s="1" t="s">
        <v>2027</v>
      </c>
      <c r="B195" t="s">
        <v>2028</v>
      </c>
      <c r="C195" s="1" t="s">
        <v>2016</v>
      </c>
      <c r="D195" t="s">
        <v>2017</v>
      </c>
      <c r="E195" t="s">
        <v>2018</v>
      </c>
      <c r="F195" t="s">
        <v>49</v>
      </c>
      <c r="G195" t="s">
        <v>50</v>
      </c>
      <c r="H195">
        <v>165</v>
      </c>
    </row>
    <row r="196" spans="1:8" hidden="1" x14ac:dyDescent="0.25">
      <c r="A196" s="7" t="s">
        <v>2027</v>
      </c>
      <c r="B196" s="6" t="s">
        <v>2028</v>
      </c>
      <c r="C196" s="7" t="s">
        <v>2019</v>
      </c>
      <c r="D196" s="6" t="s">
        <v>2020</v>
      </c>
      <c r="E196" s="6" t="s">
        <v>2021</v>
      </c>
      <c r="F196" s="6" t="s">
        <v>49</v>
      </c>
      <c r="G196" s="6" t="s">
        <v>50</v>
      </c>
      <c r="H196" s="6">
        <v>188</v>
      </c>
    </row>
    <row r="197" spans="1:8" hidden="1" x14ac:dyDescent="0.25">
      <c r="A197" s="1" t="s">
        <v>2027</v>
      </c>
      <c r="B197" t="s">
        <v>2028</v>
      </c>
      <c r="C197" s="1" t="s">
        <v>2022</v>
      </c>
      <c r="D197" t="s">
        <v>2023</v>
      </c>
      <c r="E197" t="s">
        <v>2024</v>
      </c>
      <c r="F197" t="s">
        <v>49</v>
      </c>
      <c r="G197" t="s">
        <v>50</v>
      </c>
      <c r="H197">
        <v>138</v>
      </c>
    </row>
    <row r="198" spans="1:8" hidden="1" x14ac:dyDescent="0.25">
      <c r="A198" s="7" t="s">
        <v>2038</v>
      </c>
      <c r="B198" s="6" t="s">
        <v>2039</v>
      </c>
      <c r="C198" s="7" t="s">
        <v>242</v>
      </c>
      <c r="D198" s="6" t="s">
        <v>243</v>
      </c>
      <c r="E198" s="6" t="s">
        <v>244</v>
      </c>
      <c r="F198" s="6" t="s">
        <v>49</v>
      </c>
      <c r="G198" s="6" t="s">
        <v>50</v>
      </c>
      <c r="H198" s="6">
        <v>3.1</v>
      </c>
    </row>
    <row r="199" spans="1:8" hidden="1" x14ac:dyDescent="0.25">
      <c r="A199" s="1" t="s">
        <v>2038</v>
      </c>
      <c r="B199" t="s">
        <v>2039</v>
      </c>
      <c r="C199" s="1" t="s">
        <v>2040</v>
      </c>
      <c r="D199" t="s">
        <v>2041</v>
      </c>
      <c r="E199" t="s">
        <v>2042</v>
      </c>
      <c r="F199" t="s">
        <v>49</v>
      </c>
      <c r="G199" t="s">
        <v>50</v>
      </c>
      <c r="H199">
        <v>14.3</v>
      </c>
    </row>
    <row r="200" spans="1:8" hidden="1" x14ac:dyDescent="0.25">
      <c r="A200" s="7" t="s">
        <v>2038</v>
      </c>
      <c r="B200" s="6" t="s">
        <v>2039</v>
      </c>
      <c r="C200" s="7" t="s">
        <v>2043</v>
      </c>
      <c r="D200" s="6" t="s">
        <v>2044</v>
      </c>
      <c r="E200" s="6" t="s">
        <v>2045</v>
      </c>
      <c r="F200" s="6" t="s">
        <v>49</v>
      </c>
      <c r="G200" s="6" t="s">
        <v>50</v>
      </c>
      <c r="H200" s="6">
        <v>2.73</v>
      </c>
    </row>
    <row r="201" spans="1:8" hidden="1" x14ac:dyDescent="0.25">
      <c r="A201" s="1" t="s">
        <v>2047</v>
      </c>
      <c r="B201" t="s">
        <v>2048</v>
      </c>
      <c r="C201" s="1" t="s">
        <v>242</v>
      </c>
      <c r="D201" t="s">
        <v>243</v>
      </c>
      <c r="E201" t="s">
        <v>244</v>
      </c>
      <c r="F201" t="s">
        <v>49</v>
      </c>
      <c r="G201" t="s">
        <v>50</v>
      </c>
      <c r="H201">
        <v>3.1</v>
      </c>
    </row>
    <row r="202" spans="1:8" hidden="1" x14ac:dyDescent="0.25">
      <c r="A202" s="7" t="s">
        <v>2047</v>
      </c>
      <c r="B202" s="6" t="s">
        <v>2048</v>
      </c>
      <c r="C202" s="7" t="s">
        <v>2040</v>
      </c>
      <c r="D202" s="6" t="s">
        <v>2041</v>
      </c>
      <c r="E202" s="6" t="s">
        <v>2042</v>
      </c>
      <c r="F202" s="6" t="s">
        <v>49</v>
      </c>
      <c r="G202" s="6" t="s">
        <v>50</v>
      </c>
      <c r="H202" s="6">
        <v>14.3</v>
      </c>
    </row>
    <row r="203" spans="1:8" hidden="1" x14ac:dyDescent="0.25">
      <c r="A203" s="1" t="s">
        <v>2047</v>
      </c>
      <c r="B203" t="s">
        <v>2048</v>
      </c>
      <c r="C203" s="1" t="s">
        <v>2043</v>
      </c>
      <c r="D203" t="s">
        <v>2044</v>
      </c>
      <c r="E203" t="s">
        <v>2045</v>
      </c>
      <c r="F203" t="s">
        <v>49</v>
      </c>
      <c r="G203" t="s">
        <v>50</v>
      </c>
      <c r="H203">
        <v>2.73</v>
      </c>
    </row>
    <row r="204" spans="1:8" hidden="1" x14ac:dyDescent="0.25">
      <c r="A204" s="7" t="s">
        <v>2049</v>
      </c>
      <c r="B204" s="6" t="s">
        <v>2050</v>
      </c>
      <c r="C204" s="7" t="s">
        <v>2052</v>
      </c>
      <c r="D204" s="6" t="s">
        <v>2053</v>
      </c>
      <c r="E204" s="6" t="s">
        <v>2054</v>
      </c>
      <c r="F204" s="6" t="s">
        <v>49</v>
      </c>
      <c r="G204" s="6" t="s">
        <v>50</v>
      </c>
      <c r="H204" s="6">
        <v>19.55</v>
      </c>
    </row>
    <row r="205" spans="1:8" hidden="1" x14ac:dyDescent="0.25">
      <c r="A205" s="1" t="s">
        <v>2049</v>
      </c>
      <c r="B205" t="s">
        <v>2050</v>
      </c>
      <c r="C205" s="1" t="s">
        <v>2056</v>
      </c>
      <c r="D205" t="s">
        <v>2057</v>
      </c>
      <c r="E205" t="s">
        <v>2058</v>
      </c>
      <c r="F205" t="s">
        <v>49</v>
      </c>
      <c r="G205" t="s">
        <v>50</v>
      </c>
      <c r="H205">
        <v>4.3499999999999996</v>
      </c>
    </row>
    <row r="206" spans="1:8" hidden="1" x14ac:dyDescent="0.25">
      <c r="A206" s="7" t="s">
        <v>2049</v>
      </c>
      <c r="B206" s="6" t="s">
        <v>2050</v>
      </c>
      <c r="C206" s="7" t="s">
        <v>2060</v>
      </c>
      <c r="D206" s="6" t="s">
        <v>2061</v>
      </c>
      <c r="E206" s="6" t="s">
        <v>2062</v>
      </c>
      <c r="F206" s="6" t="s">
        <v>49</v>
      </c>
      <c r="G206" s="6" t="s">
        <v>50</v>
      </c>
      <c r="H206" s="6">
        <v>17.149999999999999</v>
      </c>
    </row>
    <row r="207" spans="1:8" hidden="1" x14ac:dyDescent="0.25">
      <c r="A207" s="1" t="s">
        <v>2049</v>
      </c>
      <c r="B207" t="s">
        <v>2050</v>
      </c>
      <c r="C207" s="1" t="s">
        <v>2064</v>
      </c>
      <c r="D207" t="s">
        <v>2065</v>
      </c>
      <c r="E207" t="s">
        <v>2066</v>
      </c>
      <c r="F207" t="s">
        <v>49</v>
      </c>
      <c r="G207" t="s">
        <v>50</v>
      </c>
      <c r="H207">
        <v>12.45</v>
      </c>
    </row>
    <row r="208" spans="1:8" hidden="1" x14ac:dyDescent="0.25">
      <c r="A208" s="7" t="s">
        <v>2200</v>
      </c>
      <c r="B208" s="6" t="s">
        <v>2201</v>
      </c>
      <c r="C208" s="7" t="s">
        <v>502</v>
      </c>
      <c r="D208" s="6" t="s">
        <v>503</v>
      </c>
      <c r="E208" s="6" t="s">
        <v>31</v>
      </c>
      <c r="F208" s="6" t="s">
        <v>121</v>
      </c>
      <c r="G208" s="6" t="s">
        <v>50</v>
      </c>
      <c r="H208" s="6">
        <v>10.6</v>
      </c>
    </row>
    <row r="209" spans="1:8" hidden="1" x14ac:dyDescent="0.25">
      <c r="A209" s="1" t="s">
        <v>2210</v>
      </c>
      <c r="B209" t="s">
        <v>2211</v>
      </c>
      <c r="C209" s="1" t="s">
        <v>502</v>
      </c>
      <c r="D209" t="s">
        <v>503</v>
      </c>
      <c r="E209" t="s">
        <v>31</v>
      </c>
      <c r="F209" t="s">
        <v>121</v>
      </c>
      <c r="G209" t="s">
        <v>50</v>
      </c>
      <c r="H209">
        <v>10.6</v>
      </c>
    </row>
    <row r="210" spans="1:8" hidden="1" x14ac:dyDescent="0.25">
      <c r="A210" s="7" t="s">
        <v>2219</v>
      </c>
      <c r="B210" s="6" t="s">
        <v>2220</v>
      </c>
      <c r="C210" s="7" t="s">
        <v>502</v>
      </c>
      <c r="D210" s="6" t="s">
        <v>503</v>
      </c>
      <c r="E210" s="6" t="s">
        <v>31</v>
      </c>
      <c r="F210" s="6" t="s">
        <v>121</v>
      </c>
      <c r="G210" s="6" t="s">
        <v>50</v>
      </c>
      <c r="H210" s="6">
        <v>10.6</v>
      </c>
    </row>
    <row r="211" spans="1:8" hidden="1" x14ac:dyDescent="0.25">
      <c r="A211" s="1" t="s">
        <v>2227</v>
      </c>
      <c r="B211" t="s">
        <v>2228</v>
      </c>
      <c r="C211" s="1" t="s">
        <v>502</v>
      </c>
      <c r="D211" t="s">
        <v>503</v>
      </c>
      <c r="E211" t="s">
        <v>31</v>
      </c>
      <c r="F211" t="s">
        <v>121</v>
      </c>
      <c r="G211" t="s">
        <v>50</v>
      </c>
      <c r="H211">
        <v>10.6</v>
      </c>
    </row>
    <row r="212" spans="1:8" hidden="1" x14ac:dyDescent="0.25">
      <c r="A212" s="7" t="s">
        <v>2285</v>
      </c>
      <c r="B212" s="6" t="s">
        <v>2286</v>
      </c>
      <c r="C212" s="7" t="s">
        <v>502</v>
      </c>
      <c r="D212" s="6" t="s">
        <v>503</v>
      </c>
      <c r="E212" s="6" t="s">
        <v>31</v>
      </c>
      <c r="F212" s="6" t="s">
        <v>121</v>
      </c>
      <c r="G212" s="6" t="s">
        <v>50</v>
      </c>
      <c r="H212" s="6">
        <v>10.6</v>
      </c>
    </row>
    <row r="213" spans="1:8" hidden="1" x14ac:dyDescent="0.25">
      <c r="A213" s="1" t="s">
        <v>2358</v>
      </c>
      <c r="B213" t="s">
        <v>2359</v>
      </c>
      <c r="C213" s="1" t="s">
        <v>502</v>
      </c>
      <c r="D213" t="s">
        <v>503</v>
      </c>
      <c r="E213" t="s">
        <v>31</v>
      </c>
      <c r="F213" t="s">
        <v>121</v>
      </c>
      <c r="G213" t="s">
        <v>50</v>
      </c>
      <c r="H213">
        <v>10.6</v>
      </c>
    </row>
    <row r="214" spans="1:8" hidden="1" x14ac:dyDescent="0.25">
      <c r="A214" s="7" t="s">
        <v>2369</v>
      </c>
      <c r="B214" s="6" t="s">
        <v>2370</v>
      </c>
      <c r="C214" s="7" t="s">
        <v>2385</v>
      </c>
      <c r="D214" s="6" t="s">
        <v>2386</v>
      </c>
      <c r="E214" s="6" t="s">
        <v>2387</v>
      </c>
      <c r="F214" s="6" t="s">
        <v>49</v>
      </c>
      <c r="G214" s="6" t="s">
        <v>50</v>
      </c>
      <c r="H214" s="6">
        <v>152.9</v>
      </c>
    </row>
    <row r="215" spans="1:8" hidden="1" x14ac:dyDescent="0.25">
      <c r="A215" s="1" t="s">
        <v>2369</v>
      </c>
      <c r="B215" t="s">
        <v>2370</v>
      </c>
      <c r="C215" s="1" t="s">
        <v>2388</v>
      </c>
      <c r="D215" t="s">
        <v>2389</v>
      </c>
      <c r="E215" t="s">
        <v>2390</v>
      </c>
      <c r="F215" t="s">
        <v>49</v>
      </c>
      <c r="G215" t="s">
        <v>50</v>
      </c>
      <c r="H215">
        <v>73.5</v>
      </c>
    </row>
    <row r="216" spans="1:8" hidden="1" x14ac:dyDescent="0.25">
      <c r="A216" s="7" t="s">
        <v>2369</v>
      </c>
      <c r="B216" s="6" t="s">
        <v>2370</v>
      </c>
      <c r="C216" s="7" t="s">
        <v>2391</v>
      </c>
      <c r="D216" s="6" t="s">
        <v>2392</v>
      </c>
      <c r="E216" s="6" t="s">
        <v>2393</v>
      </c>
      <c r="F216" s="6" t="s">
        <v>49</v>
      </c>
      <c r="G216" s="6" t="s">
        <v>50</v>
      </c>
      <c r="H216" s="6">
        <v>75.150000000000006</v>
      </c>
    </row>
    <row r="217" spans="1:8" hidden="1" x14ac:dyDescent="0.25">
      <c r="A217" s="1" t="s">
        <v>2369</v>
      </c>
      <c r="B217" t="s">
        <v>2370</v>
      </c>
      <c r="C217" s="1" t="s">
        <v>2394</v>
      </c>
      <c r="D217" t="s">
        <v>2395</v>
      </c>
      <c r="E217" t="s">
        <v>990</v>
      </c>
      <c r="F217" t="s">
        <v>49</v>
      </c>
      <c r="G217" t="s">
        <v>268</v>
      </c>
      <c r="H217">
        <v>13.2</v>
      </c>
    </row>
    <row r="218" spans="1:8" hidden="1" x14ac:dyDescent="0.25">
      <c r="A218" s="7" t="s">
        <v>2398</v>
      </c>
      <c r="B218" s="6" t="s">
        <v>2399</v>
      </c>
      <c r="C218" s="7" t="s">
        <v>2385</v>
      </c>
      <c r="D218" s="6" t="s">
        <v>2386</v>
      </c>
      <c r="E218" s="6" t="s">
        <v>2387</v>
      </c>
      <c r="F218" s="6" t="s">
        <v>49</v>
      </c>
      <c r="G218" s="6" t="s">
        <v>50</v>
      </c>
      <c r="H218" s="6">
        <v>152.9</v>
      </c>
    </row>
    <row r="219" spans="1:8" hidden="1" x14ac:dyDescent="0.25">
      <c r="A219" s="1" t="s">
        <v>2398</v>
      </c>
      <c r="B219" t="s">
        <v>2399</v>
      </c>
      <c r="C219" s="1" t="s">
        <v>2388</v>
      </c>
      <c r="D219" t="s">
        <v>2389</v>
      </c>
      <c r="E219" t="s">
        <v>2390</v>
      </c>
      <c r="F219" t="s">
        <v>49</v>
      </c>
      <c r="G219" t="s">
        <v>50</v>
      </c>
      <c r="H219">
        <v>73.5</v>
      </c>
    </row>
    <row r="220" spans="1:8" hidden="1" x14ac:dyDescent="0.25">
      <c r="A220" s="7" t="s">
        <v>2398</v>
      </c>
      <c r="B220" s="6" t="s">
        <v>2399</v>
      </c>
      <c r="C220" s="7" t="s">
        <v>2391</v>
      </c>
      <c r="D220" s="6" t="s">
        <v>2392</v>
      </c>
      <c r="E220" s="6" t="s">
        <v>2393</v>
      </c>
      <c r="F220" s="6" t="s">
        <v>49</v>
      </c>
      <c r="G220" s="6" t="s">
        <v>50</v>
      </c>
      <c r="H220" s="6">
        <v>75.150000000000006</v>
      </c>
    </row>
    <row r="221" spans="1:8" hidden="1" x14ac:dyDescent="0.25">
      <c r="A221" s="1" t="s">
        <v>2398</v>
      </c>
      <c r="B221" t="s">
        <v>2399</v>
      </c>
      <c r="C221" s="1" t="s">
        <v>2394</v>
      </c>
      <c r="D221" t="s">
        <v>2395</v>
      </c>
      <c r="E221" t="s">
        <v>990</v>
      </c>
      <c r="F221" t="s">
        <v>49</v>
      </c>
      <c r="G221" t="s">
        <v>268</v>
      </c>
      <c r="H221">
        <v>13.2</v>
      </c>
    </row>
    <row r="222" spans="1:8" hidden="1" x14ac:dyDescent="0.25">
      <c r="A222" s="7" t="s">
        <v>2497</v>
      </c>
      <c r="B222" s="6" t="s">
        <v>2498</v>
      </c>
      <c r="C222" s="7" t="s">
        <v>2465</v>
      </c>
      <c r="D222" s="6" t="s">
        <v>2466</v>
      </c>
      <c r="E222" s="6" t="s">
        <v>2499</v>
      </c>
      <c r="F222" s="6" t="s">
        <v>121</v>
      </c>
      <c r="G222" s="6" t="s">
        <v>50</v>
      </c>
      <c r="H222" s="6">
        <v>17.95</v>
      </c>
    </row>
    <row r="223" spans="1:8" hidden="1" x14ac:dyDescent="0.25">
      <c r="A223" s="1" t="s">
        <v>2598</v>
      </c>
      <c r="B223" t="s">
        <v>2599</v>
      </c>
      <c r="C223" s="1" t="s">
        <v>2632</v>
      </c>
      <c r="D223" t="s">
        <v>2633</v>
      </c>
      <c r="E223" t="s">
        <v>2634</v>
      </c>
      <c r="F223" t="s">
        <v>121</v>
      </c>
      <c r="G223" t="s">
        <v>50</v>
      </c>
      <c r="H223">
        <v>258.06</v>
      </c>
    </row>
    <row r="224" spans="1:8" hidden="1" x14ac:dyDescent="0.25">
      <c r="A224" s="7" t="s">
        <v>2598</v>
      </c>
      <c r="B224" s="6" t="s">
        <v>2599</v>
      </c>
      <c r="C224" s="7" t="s">
        <v>2635</v>
      </c>
      <c r="D224" s="6" t="s">
        <v>2636</v>
      </c>
      <c r="E224" s="6" t="s">
        <v>2637</v>
      </c>
      <c r="F224" s="6" t="s">
        <v>121</v>
      </c>
      <c r="G224" s="6" t="s">
        <v>50</v>
      </c>
      <c r="H224" s="6">
        <v>176.5</v>
      </c>
    </row>
    <row r="225" spans="1:8" hidden="1" x14ac:dyDescent="0.25">
      <c r="A225" s="1" t="s">
        <v>2598</v>
      </c>
      <c r="B225" t="s">
        <v>2599</v>
      </c>
      <c r="C225" s="1" t="s">
        <v>2638</v>
      </c>
      <c r="D225" t="s">
        <v>2639</v>
      </c>
      <c r="E225" t="s">
        <v>2640</v>
      </c>
      <c r="F225" t="s">
        <v>121</v>
      </c>
      <c r="G225" t="s">
        <v>50</v>
      </c>
      <c r="H225">
        <v>115.95</v>
      </c>
    </row>
    <row r="226" spans="1:8" hidden="1" x14ac:dyDescent="0.25">
      <c r="A226" s="7" t="s">
        <v>2686</v>
      </c>
      <c r="B226" s="6" t="s">
        <v>2687</v>
      </c>
      <c r="C226" s="7" t="s">
        <v>2385</v>
      </c>
      <c r="D226" s="6" t="s">
        <v>2386</v>
      </c>
      <c r="E226" s="6" t="s">
        <v>2387</v>
      </c>
      <c r="F226" s="6" t="s">
        <v>49</v>
      </c>
      <c r="G226" s="6" t="s">
        <v>50</v>
      </c>
      <c r="H226" s="6">
        <v>152.9</v>
      </c>
    </row>
    <row r="227" spans="1:8" hidden="1" x14ac:dyDescent="0.25">
      <c r="A227" s="1" t="s">
        <v>2686</v>
      </c>
      <c r="B227" t="s">
        <v>2687</v>
      </c>
      <c r="C227" s="1" t="s">
        <v>2391</v>
      </c>
      <c r="D227" t="s">
        <v>2392</v>
      </c>
      <c r="E227" t="s">
        <v>2393</v>
      </c>
      <c r="F227" t="s">
        <v>49</v>
      </c>
      <c r="G227" t="s">
        <v>50</v>
      </c>
      <c r="H227">
        <v>75.150000000000006</v>
      </c>
    </row>
    <row r="228" spans="1:8" hidden="1" x14ac:dyDescent="0.25">
      <c r="A228" s="7" t="s">
        <v>2726</v>
      </c>
      <c r="B228" s="6" t="s">
        <v>2727</v>
      </c>
      <c r="C228" s="7" t="s">
        <v>2753</v>
      </c>
      <c r="D228" s="6" t="s">
        <v>2754</v>
      </c>
      <c r="E228" s="6" t="s">
        <v>2755</v>
      </c>
      <c r="F228" s="6" t="s">
        <v>49</v>
      </c>
      <c r="G228" s="6" t="s">
        <v>50</v>
      </c>
      <c r="H228" s="6">
        <v>15.15</v>
      </c>
    </row>
    <row r="229" spans="1:8" hidden="1" x14ac:dyDescent="0.25">
      <c r="A229" s="1" t="s">
        <v>2758</v>
      </c>
      <c r="B229" t="s">
        <v>2759</v>
      </c>
      <c r="C229" s="1" t="s">
        <v>2800</v>
      </c>
      <c r="D229" t="s">
        <v>2801</v>
      </c>
      <c r="E229" t="s">
        <v>2802</v>
      </c>
      <c r="F229" t="s">
        <v>121</v>
      </c>
      <c r="G229" t="s">
        <v>50</v>
      </c>
      <c r="H229">
        <v>157.28</v>
      </c>
    </row>
    <row r="230" spans="1:8" hidden="1" x14ac:dyDescent="0.25">
      <c r="A230" s="7" t="s">
        <v>2758</v>
      </c>
      <c r="B230" s="6" t="s">
        <v>2759</v>
      </c>
      <c r="C230" s="7" t="s">
        <v>2803</v>
      </c>
      <c r="D230" s="6" t="s">
        <v>2804</v>
      </c>
      <c r="E230" s="6" t="s">
        <v>2805</v>
      </c>
      <c r="F230" s="6" t="s">
        <v>121</v>
      </c>
      <c r="G230" s="6" t="s">
        <v>50</v>
      </c>
      <c r="H230" s="6">
        <v>122.15</v>
      </c>
    </row>
    <row r="231" spans="1:8" hidden="1" x14ac:dyDescent="0.25">
      <c r="A231" s="1" t="s">
        <v>2758</v>
      </c>
      <c r="B231" t="s">
        <v>2759</v>
      </c>
      <c r="C231" s="1" t="s">
        <v>2806</v>
      </c>
      <c r="D231" t="s">
        <v>2807</v>
      </c>
      <c r="E231" t="s">
        <v>2808</v>
      </c>
      <c r="F231" t="s">
        <v>121</v>
      </c>
      <c r="G231" t="s">
        <v>50</v>
      </c>
      <c r="H231">
        <v>178.11</v>
      </c>
    </row>
    <row r="232" spans="1:8" hidden="1" x14ac:dyDescent="0.25">
      <c r="A232" s="7" t="s">
        <v>2758</v>
      </c>
      <c r="B232" s="6" t="s">
        <v>2759</v>
      </c>
      <c r="C232" s="7" t="s">
        <v>2809</v>
      </c>
      <c r="D232" s="6" t="s">
        <v>2810</v>
      </c>
      <c r="E232" s="6" t="s">
        <v>2811</v>
      </c>
      <c r="F232" s="6" t="s">
        <v>121</v>
      </c>
      <c r="G232" s="6" t="s">
        <v>50</v>
      </c>
      <c r="H232" s="6">
        <v>74.95</v>
      </c>
    </row>
    <row r="233" spans="1:8" hidden="1" x14ac:dyDescent="0.25">
      <c r="A233" s="1" t="s">
        <v>2758</v>
      </c>
      <c r="B233" t="s">
        <v>2759</v>
      </c>
      <c r="C233" s="1" t="s">
        <v>2812</v>
      </c>
      <c r="D233" t="s">
        <v>2813</v>
      </c>
      <c r="E233" t="s">
        <v>2814</v>
      </c>
      <c r="F233" t="s">
        <v>121</v>
      </c>
      <c r="G233" t="s">
        <v>50</v>
      </c>
      <c r="H233">
        <v>6.78</v>
      </c>
    </row>
    <row r="234" spans="1:8" hidden="1" x14ac:dyDescent="0.25">
      <c r="A234" s="7" t="s">
        <v>2758</v>
      </c>
      <c r="B234" s="6" t="s">
        <v>2759</v>
      </c>
      <c r="C234" s="7" t="s">
        <v>2815</v>
      </c>
      <c r="D234" s="6" t="s">
        <v>2816</v>
      </c>
      <c r="E234" s="6" t="s">
        <v>2817</v>
      </c>
      <c r="F234" s="6" t="s">
        <v>121</v>
      </c>
      <c r="G234" s="6" t="s">
        <v>92</v>
      </c>
      <c r="H234" s="6">
        <v>79.319999999999993</v>
      </c>
    </row>
    <row r="235" spans="1:8" hidden="1" x14ac:dyDescent="0.25">
      <c r="A235" s="1" t="s">
        <v>2758</v>
      </c>
      <c r="B235" t="s">
        <v>2759</v>
      </c>
      <c r="C235" s="1" t="s">
        <v>2818</v>
      </c>
      <c r="D235" t="s">
        <v>2819</v>
      </c>
      <c r="E235" t="s">
        <v>2820</v>
      </c>
      <c r="F235" t="s">
        <v>121</v>
      </c>
      <c r="G235" t="s">
        <v>92</v>
      </c>
      <c r="H235">
        <v>89.9</v>
      </c>
    </row>
    <row r="236" spans="1:8" hidden="1" x14ac:dyDescent="0.25">
      <c r="A236" s="7" t="s">
        <v>2827</v>
      </c>
      <c r="B236" s="6" t="s">
        <v>2828</v>
      </c>
      <c r="C236" s="7" t="s">
        <v>2800</v>
      </c>
      <c r="D236" s="6" t="s">
        <v>2801</v>
      </c>
      <c r="E236" s="6" t="s">
        <v>2802</v>
      </c>
      <c r="F236" s="6" t="s">
        <v>121</v>
      </c>
      <c r="G236" s="6" t="s">
        <v>50</v>
      </c>
      <c r="H236" s="6">
        <v>157.28</v>
      </c>
    </row>
    <row r="237" spans="1:8" hidden="1" x14ac:dyDescent="0.25">
      <c r="A237" s="1" t="s">
        <v>2827</v>
      </c>
      <c r="B237" t="s">
        <v>2828</v>
      </c>
      <c r="C237" s="1" t="s">
        <v>2803</v>
      </c>
      <c r="D237" t="s">
        <v>2804</v>
      </c>
      <c r="E237" t="s">
        <v>2805</v>
      </c>
      <c r="F237" t="s">
        <v>121</v>
      </c>
      <c r="G237" t="s">
        <v>50</v>
      </c>
      <c r="H237">
        <v>122.15</v>
      </c>
    </row>
    <row r="238" spans="1:8" hidden="1" x14ac:dyDescent="0.25">
      <c r="A238" s="7" t="s">
        <v>2827</v>
      </c>
      <c r="B238" s="6" t="s">
        <v>2828</v>
      </c>
      <c r="C238" s="7" t="s">
        <v>2806</v>
      </c>
      <c r="D238" s="6" t="s">
        <v>2807</v>
      </c>
      <c r="E238" s="6" t="s">
        <v>2808</v>
      </c>
      <c r="F238" s="6" t="s">
        <v>121</v>
      </c>
      <c r="G238" s="6" t="s">
        <v>50</v>
      </c>
      <c r="H238" s="6">
        <v>178.11</v>
      </c>
    </row>
    <row r="239" spans="1:8" hidden="1" x14ac:dyDescent="0.25">
      <c r="A239" s="1" t="s">
        <v>2827</v>
      </c>
      <c r="B239" t="s">
        <v>2828</v>
      </c>
      <c r="C239" s="1" t="s">
        <v>2809</v>
      </c>
      <c r="D239" t="s">
        <v>2810</v>
      </c>
      <c r="E239" t="s">
        <v>2811</v>
      </c>
      <c r="F239" t="s">
        <v>121</v>
      </c>
      <c r="G239" t="s">
        <v>50</v>
      </c>
      <c r="H239">
        <v>74.95</v>
      </c>
    </row>
    <row r="240" spans="1:8" hidden="1" x14ac:dyDescent="0.25">
      <c r="A240" s="7" t="s">
        <v>2827</v>
      </c>
      <c r="B240" s="6" t="s">
        <v>2828</v>
      </c>
      <c r="C240" s="7" t="s">
        <v>2812</v>
      </c>
      <c r="D240" s="6" t="s">
        <v>2813</v>
      </c>
      <c r="E240" s="6" t="s">
        <v>2814</v>
      </c>
      <c r="F240" s="6" t="s">
        <v>121</v>
      </c>
      <c r="G240" s="6" t="s">
        <v>50</v>
      </c>
      <c r="H240" s="6">
        <v>6.78</v>
      </c>
    </row>
    <row r="241" spans="1:8" hidden="1" x14ac:dyDescent="0.25">
      <c r="A241" s="1" t="s">
        <v>2827</v>
      </c>
      <c r="B241" t="s">
        <v>2828</v>
      </c>
      <c r="C241" s="1" t="s">
        <v>2815</v>
      </c>
      <c r="D241" t="s">
        <v>2816</v>
      </c>
      <c r="E241" t="s">
        <v>2817</v>
      </c>
      <c r="F241" t="s">
        <v>121</v>
      </c>
      <c r="G241" t="s">
        <v>92</v>
      </c>
      <c r="H241">
        <v>79.319999999999993</v>
      </c>
    </row>
    <row r="242" spans="1:8" hidden="1" x14ac:dyDescent="0.25">
      <c r="A242" s="7" t="s">
        <v>2827</v>
      </c>
      <c r="B242" s="6" t="s">
        <v>2828</v>
      </c>
      <c r="C242" s="7" t="s">
        <v>2818</v>
      </c>
      <c r="D242" s="6" t="s">
        <v>2819</v>
      </c>
      <c r="E242" s="6" t="s">
        <v>2820</v>
      </c>
      <c r="F242" s="6" t="s">
        <v>121</v>
      </c>
      <c r="G242" s="6" t="s">
        <v>92</v>
      </c>
      <c r="H242" s="6">
        <v>89.9</v>
      </c>
    </row>
    <row r="243" spans="1:8" hidden="1" x14ac:dyDescent="0.25">
      <c r="A243" s="1" t="s">
        <v>2830</v>
      </c>
      <c r="B243" t="s">
        <v>2831</v>
      </c>
      <c r="C243" s="1" t="s">
        <v>2855</v>
      </c>
      <c r="D243" t="s">
        <v>2856</v>
      </c>
      <c r="E243" t="s">
        <v>2857</v>
      </c>
      <c r="F243" t="s">
        <v>121</v>
      </c>
      <c r="G243" t="s">
        <v>50</v>
      </c>
      <c r="H243">
        <v>5.94</v>
      </c>
    </row>
    <row r="244" spans="1:8" hidden="1" x14ac:dyDescent="0.25">
      <c r="A244" s="7" t="s">
        <v>2830</v>
      </c>
      <c r="B244" s="6" t="s">
        <v>2831</v>
      </c>
      <c r="C244" s="7" t="s">
        <v>2858</v>
      </c>
      <c r="D244" s="6" t="s">
        <v>2859</v>
      </c>
      <c r="E244" s="6" t="s">
        <v>2860</v>
      </c>
      <c r="F244" s="6" t="s">
        <v>49</v>
      </c>
      <c r="G244" s="6" t="s">
        <v>50</v>
      </c>
      <c r="H244" s="6">
        <v>283.45999999999998</v>
      </c>
    </row>
    <row r="245" spans="1:8" hidden="1" x14ac:dyDescent="0.25">
      <c r="A245" s="1" t="s">
        <v>2830</v>
      </c>
      <c r="B245" t="s">
        <v>2831</v>
      </c>
      <c r="C245" s="1" t="s">
        <v>2861</v>
      </c>
      <c r="D245" t="s">
        <v>2862</v>
      </c>
      <c r="E245" t="s">
        <v>2863</v>
      </c>
      <c r="F245" t="s">
        <v>49</v>
      </c>
      <c r="G245" t="s">
        <v>50</v>
      </c>
      <c r="H245">
        <v>243.97</v>
      </c>
    </row>
    <row r="246" spans="1:8" hidden="1" x14ac:dyDescent="0.25">
      <c r="A246" s="7" t="s">
        <v>2830</v>
      </c>
      <c r="B246" s="6" t="s">
        <v>2831</v>
      </c>
      <c r="C246" s="7" t="s">
        <v>2864</v>
      </c>
      <c r="D246" s="6" t="s">
        <v>2865</v>
      </c>
      <c r="E246" s="6" t="s">
        <v>2866</v>
      </c>
      <c r="F246" s="6" t="s">
        <v>49</v>
      </c>
      <c r="G246" s="6" t="s">
        <v>50</v>
      </c>
      <c r="H246" s="6">
        <v>437.95</v>
      </c>
    </row>
    <row r="247" spans="1:8" hidden="1" x14ac:dyDescent="0.25">
      <c r="A247" s="1" t="s">
        <v>2830</v>
      </c>
      <c r="B247" t="s">
        <v>2831</v>
      </c>
      <c r="C247" s="1" t="s">
        <v>2867</v>
      </c>
      <c r="D247" t="s">
        <v>2868</v>
      </c>
      <c r="E247" t="s">
        <v>2869</v>
      </c>
      <c r="F247" t="s">
        <v>49</v>
      </c>
      <c r="G247" t="s">
        <v>50</v>
      </c>
      <c r="H247">
        <v>58.26</v>
      </c>
    </row>
    <row r="248" spans="1:8" hidden="1" x14ac:dyDescent="0.25">
      <c r="A248" s="7" t="s">
        <v>2830</v>
      </c>
      <c r="B248" s="6" t="s">
        <v>2831</v>
      </c>
      <c r="C248" s="7" t="s">
        <v>2870</v>
      </c>
      <c r="D248" s="6" t="s">
        <v>2871</v>
      </c>
      <c r="E248" s="6" t="s">
        <v>2872</v>
      </c>
      <c r="F248" s="6" t="s">
        <v>49</v>
      </c>
      <c r="G248" s="6" t="s">
        <v>92</v>
      </c>
      <c r="H248" s="6">
        <v>305.27999999999997</v>
      </c>
    </row>
    <row r="249" spans="1:8" hidden="1" x14ac:dyDescent="0.25">
      <c r="A249" s="1" t="s">
        <v>2875</v>
      </c>
      <c r="B249" t="s">
        <v>2876</v>
      </c>
      <c r="C249" s="1" t="s">
        <v>2894</v>
      </c>
      <c r="D249" t="s">
        <v>2895</v>
      </c>
      <c r="E249" t="s">
        <v>2896</v>
      </c>
      <c r="F249" t="s">
        <v>49</v>
      </c>
      <c r="G249" t="s">
        <v>50</v>
      </c>
      <c r="H249">
        <v>414.36</v>
      </c>
    </row>
    <row r="250" spans="1:8" hidden="1" x14ac:dyDescent="0.25">
      <c r="A250" s="7" t="s">
        <v>2875</v>
      </c>
      <c r="B250" s="6" t="s">
        <v>2876</v>
      </c>
      <c r="C250" s="7" t="s">
        <v>2897</v>
      </c>
      <c r="D250" s="6" t="s">
        <v>2898</v>
      </c>
      <c r="E250" s="6" t="s">
        <v>2899</v>
      </c>
      <c r="F250" s="6" t="s">
        <v>49</v>
      </c>
      <c r="G250" s="6" t="s">
        <v>50</v>
      </c>
      <c r="H250" s="6">
        <v>402.56</v>
      </c>
    </row>
    <row r="251" spans="1:8" hidden="1" x14ac:dyDescent="0.25">
      <c r="A251" s="1" t="s">
        <v>2875</v>
      </c>
      <c r="B251" t="s">
        <v>2876</v>
      </c>
      <c r="C251" s="1" t="s">
        <v>2900</v>
      </c>
      <c r="D251" t="s">
        <v>2901</v>
      </c>
      <c r="E251" t="s">
        <v>2902</v>
      </c>
      <c r="F251" t="s">
        <v>49</v>
      </c>
      <c r="G251" t="s">
        <v>50</v>
      </c>
      <c r="H251">
        <v>69.44</v>
      </c>
    </row>
    <row r="252" spans="1:8" hidden="1" x14ac:dyDescent="0.25">
      <c r="A252" s="7" t="s">
        <v>2875</v>
      </c>
      <c r="B252" s="6" t="s">
        <v>2876</v>
      </c>
      <c r="C252" s="7" t="s">
        <v>2903</v>
      </c>
      <c r="D252" s="6" t="s">
        <v>2904</v>
      </c>
      <c r="E252" s="6" t="s">
        <v>2905</v>
      </c>
      <c r="F252" s="6" t="s">
        <v>49</v>
      </c>
      <c r="G252" s="6" t="s">
        <v>50</v>
      </c>
      <c r="H252" s="6">
        <v>490.26</v>
      </c>
    </row>
    <row r="253" spans="1:8" hidden="1" x14ac:dyDescent="0.25">
      <c r="A253" s="1" t="s">
        <v>2875</v>
      </c>
      <c r="B253" t="s">
        <v>2876</v>
      </c>
      <c r="C253" s="1" t="s">
        <v>2906</v>
      </c>
      <c r="D253" t="s">
        <v>2907</v>
      </c>
      <c r="E253" t="s">
        <v>2908</v>
      </c>
      <c r="F253" t="s">
        <v>49</v>
      </c>
      <c r="G253" t="s">
        <v>92</v>
      </c>
      <c r="H253">
        <v>383.84</v>
      </c>
    </row>
    <row r="254" spans="1:8" hidden="1" x14ac:dyDescent="0.25">
      <c r="A254" s="7" t="s">
        <v>2875</v>
      </c>
      <c r="B254" s="6" t="s">
        <v>2876</v>
      </c>
      <c r="C254" s="7" t="s">
        <v>2909</v>
      </c>
      <c r="D254" s="6" t="s">
        <v>2910</v>
      </c>
      <c r="E254" s="6" t="s">
        <v>2857</v>
      </c>
      <c r="F254" s="6" t="s">
        <v>49</v>
      </c>
      <c r="G254" s="6" t="s">
        <v>50</v>
      </c>
      <c r="H254" s="6">
        <v>5.94</v>
      </c>
    </row>
    <row r="255" spans="1:8" hidden="1" x14ac:dyDescent="0.25">
      <c r="A255" s="1" t="s">
        <v>2912</v>
      </c>
      <c r="B255" t="s">
        <v>2392</v>
      </c>
      <c r="C255" s="1" t="s">
        <v>2056</v>
      </c>
      <c r="D255" t="s">
        <v>2057</v>
      </c>
      <c r="E255" t="s">
        <v>2058</v>
      </c>
      <c r="F255" t="s">
        <v>49</v>
      </c>
      <c r="G255" t="s">
        <v>50</v>
      </c>
      <c r="H255">
        <v>4.3499999999999996</v>
      </c>
    </row>
    <row r="256" spans="1:8" hidden="1" x14ac:dyDescent="0.25">
      <c r="A256" s="7" t="s">
        <v>2912</v>
      </c>
      <c r="B256" s="6" t="s">
        <v>2392</v>
      </c>
      <c r="C256" s="7" t="s">
        <v>2060</v>
      </c>
      <c r="D256" s="6" t="s">
        <v>2061</v>
      </c>
      <c r="E256" s="6" t="s">
        <v>2062</v>
      </c>
      <c r="F256" s="6" t="s">
        <v>49</v>
      </c>
      <c r="G256" s="6" t="s">
        <v>50</v>
      </c>
      <c r="H256" s="6">
        <v>17.149999999999999</v>
      </c>
    </row>
    <row r="257" spans="1:8" hidden="1" x14ac:dyDescent="0.25">
      <c r="A257" s="1" t="s">
        <v>3134</v>
      </c>
      <c r="B257" t="s">
        <v>3135</v>
      </c>
      <c r="C257" s="1" t="s">
        <v>3085</v>
      </c>
      <c r="D257" t="s">
        <v>3086</v>
      </c>
      <c r="E257" t="s">
        <v>928</v>
      </c>
      <c r="F257" t="s">
        <v>49</v>
      </c>
      <c r="G257" t="s">
        <v>92</v>
      </c>
      <c r="H257">
        <v>42</v>
      </c>
    </row>
    <row r="258" spans="1:8" hidden="1" x14ac:dyDescent="0.25">
      <c r="A258" s="7" t="s">
        <v>3165</v>
      </c>
      <c r="B258" s="6" t="s">
        <v>3166</v>
      </c>
      <c r="C258" s="7" t="s">
        <v>3187</v>
      </c>
      <c r="D258" s="6" t="s">
        <v>3188</v>
      </c>
      <c r="E258" s="6" t="s">
        <v>3189</v>
      </c>
      <c r="F258" s="6" t="s">
        <v>121</v>
      </c>
      <c r="G258" s="6" t="s">
        <v>50</v>
      </c>
      <c r="H258" s="6">
        <v>36</v>
      </c>
    </row>
    <row r="259" spans="1:8" hidden="1" x14ac:dyDescent="0.25">
      <c r="A259" s="1" t="s">
        <v>3165</v>
      </c>
      <c r="B259" t="s">
        <v>3166</v>
      </c>
      <c r="C259" s="1" t="s">
        <v>1126</v>
      </c>
      <c r="D259" t="s">
        <v>3194</v>
      </c>
      <c r="E259" t="s">
        <v>3195</v>
      </c>
      <c r="F259" t="s">
        <v>121</v>
      </c>
      <c r="G259" t="s">
        <v>50</v>
      </c>
      <c r="H259">
        <v>27.9</v>
      </c>
    </row>
    <row r="260" spans="1:8" hidden="1" x14ac:dyDescent="0.25">
      <c r="A260" s="7" t="s">
        <v>3200</v>
      </c>
      <c r="B260" s="6" t="s">
        <v>3201</v>
      </c>
      <c r="C260" s="7" t="s">
        <v>3218</v>
      </c>
      <c r="D260" s="6" t="s">
        <v>3219</v>
      </c>
      <c r="E260" s="6" t="s">
        <v>3220</v>
      </c>
      <c r="F260" s="6" t="s">
        <v>121</v>
      </c>
      <c r="G260" s="6" t="s">
        <v>50</v>
      </c>
      <c r="H260" s="6">
        <v>414.04</v>
      </c>
    </row>
    <row r="261" spans="1:8" hidden="1" x14ac:dyDescent="0.25">
      <c r="A261" s="1" t="s">
        <v>3367</v>
      </c>
      <c r="B261" t="s">
        <v>3368</v>
      </c>
      <c r="C261" s="1" t="s">
        <v>2553</v>
      </c>
      <c r="D261" t="s">
        <v>3369</v>
      </c>
      <c r="E261" t="s">
        <v>3370</v>
      </c>
      <c r="F261" t="s">
        <v>49</v>
      </c>
      <c r="G261" t="s">
        <v>50</v>
      </c>
      <c r="H261">
        <v>143</v>
      </c>
    </row>
    <row r="262" spans="1:8" hidden="1" x14ac:dyDescent="0.25">
      <c r="A262" s="7" t="s">
        <v>3372</v>
      </c>
      <c r="B262" s="6" t="s">
        <v>3373</v>
      </c>
      <c r="C262" s="7" t="s">
        <v>2564</v>
      </c>
      <c r="D262" s="6" t="s">
        <v>3374</v>
      </c>
      <c r="E262" s="6" t="s">
        <v>3375</v>
      </c>
      <c r="F262" s="6" t="s">
        <v>49</v>
      </c>
      <c r="G262" s="6" t="s">
        <v>50</v>
      </c>
      <c r="H262" s="6">
        <v>3780.4</v>
      </c>
    </row>
    <row r="263" spans="1:8" hidden="1" x14ac:dyDescent="0.25">
      <c r="A263" s="1" t="s">
        <v>3380</v>
      </c>
      <c r="B263" t="s">
        <v>3381</v>
      </c>
      <c r="C263" s="1" t="s">
        <v>1091</v>
      </c>
      <c r="D263" t="s">
        <v>1092</v>
      </c>
      <c r="E263" t="s">
        <v>1093</v>
      </c>
      <c r="F263" t="s">
        <v>121</v>
      </c>
      <c r="G263" t="s">
        <v>50</v>
      </c>
      <c r="H263">
        <v>20.45</v>
      </c>
    </row>
    <row r="264" spans="1:8" hidden="1" x14ac:dyDescent="0.25">
      <c r="A264" s="7" t="s">
        <v>3447</v>
      </c>
      <c r="B264" s="6" t="s">
        <v>3448</v>
      </c>
      <c r="C264" s="7" t="s">
        <v>3474</v>
      </c>
      <c r="D264" s="6" t="s">
        <v>3475</v>
      </c>
      <c r="E264" s="6" t="s">
        <v>3476</v>
      </c>
      <c r="F264" s="6" t="s">
        <v>17</v>
      </c>
      <c r="G264" s="6" t="s">
        <v>50</v>
      </c>
      <c r="H264" s="6">
        <v>50.16</v>
      </c>
    </row>
    <row r="265" spans="1:8" hidden="1" x14ac:dyDescent="0.25">
      <c r="A265" s="1" t="s">
        <v>3447</v>
      </c>
      <c r="B265" t="s">
        <v>3448</v>
      </c>
      <c r="C265" s="1" t="s">
        <v>2800</v>
      </c>
      <c r="D265" t="s">
        <v>2801</v>
      </c>
      <c r="E265" t="s">
        <v>2802</v>
      </c>
      <c r="F265" t="s">
        <v>121</v>
      </c>
      <c r="G265" t="s">
        <v>50</v>
      </c>
      <c r="H265">
        <v>157.28</v>
      </c>
    </row>
    <row r="266" spans="1:8" hidden="1" x14ac:dyDescent="0.25">
      <c r="A266" s="7" t="s">
        <v>3447</v>
      </c>
      <c r="B266" s="6" t="s">
        <v>3448</v>
      </c>
      <c r="C266" s="7" t="s">
        <v>2803</v>
      </c>
      <c r="D266" s="6" t="s">
        <v>2804</v>
      </c>
      <c r="E266" s="6" t="s">
        <v>2805</v>
      </c>
      <c r="F266" s="6" t="s">
        <v>121</v>
      </c>
      <c r="G266" s="6" t="s">
        <v>50</v>
      </c>
      <c r="H266" s="6">
        <v>122.15</v>
      </c>
    </row>
    <row r="267" spans="1:8" hidden="1" x14ac:dyDescent="0.25">
      <c r="A267" s="1" t="s">
        <v>3447</v>
      </c>
      <c r="B267" t="s">
        <v>3448</v>
      </c>
      <c r="C267" s="1" t="s">
        <v>2806</v>
      </c>
      <c r="D267" t="s">
        <v>2807</v>
      </c>
      <c r="E267" t="s">
        <v>2808</v>
      </c>
      <c r="F267" t="s">
        <v>121</v>
      </c>
      <c r="G267" t="s">
        <v>50</v>
      </c>
      <c r="H267">
        <v>178.11</v>
      </c>
    </row>
    <row r="268" spans="1:8" hidden="1" x14ac:dyDescent="0.25">
      <c r="A268" s="7" t="s">
        <v>3447</v>
      </c>
      <c r="B268" s="6" t="s">
        <v>3448</v>
      </c>
      <c r="C268" s="7" t="s">
        <v>2809</v>
      </c>
      <c r="D268" s="6" t="s">
        <v>2810</v>
      </c>
      <c r="E268" s="6" t="s">
        <v>2811</v>
      </c>
      <c r="F268" s="6" t="s">
        <v>121</v>
      </c>
      <c r="G268" s="6" t="s">
        <v>50</v>
      </c>
      <c r="H268" s="6">
        <v>74.95</v>
      </c>
    </row>
    <row r="269" spans="1:8" hidden="1" x14ac:dyDescent="0.25">
      <c r="A269" s="1" t="s">
        <v>3515</v>
      </c>
      <c r="B269" t="s">
        <v>3516</v>
      </c>
      <c r="C269" s="1" t="s">
        <v>3532</v>
      </c>
      <c r="D269" t="s">
        <v>3533</v>
      </c>
      <c r="E269" t="s">
        <v>3534</v>
      </c>
      <c r="F269" t="s">
        <v>121</v>
      </c>
      <c r="G269" t="s">
        <v>50</v>
      </c>
      <c r="H269">
        <v>30.13</v>
      </c>
    </row>
    <row r="270" spans="1:8" hidden="1" x14ac:dyDescent="0.25">
      <c r="A270" s="7" t="s">
        <v>3515</v>
      </c>
      <c r="B270" s="6" t="s">
        <v>3516</v>
      </c>
      <c r="C270" s="7" t="s">
        <v>2800</v>
      </c>
      <c r="D270" s="6" t="s">
        <v>2801</v>
      </c>
      <c r="E270" s="6" t="s">
        <v>2802</v>
      </c>
      <c r="F270" s="6" t="s">
        <v>121</v>
      </c>
      <c r="G270" s="6" t="s">
        <v>50</v>
      </c>
      <c r="H270" s="6">
        <v>157.28</v>
      </c>
    </row>
    <row r="271" spans="1:8" hidden="1" x14ac:dyDescent="0.25">
      <c r="A271" s="1" t="s">
        <v>3515</v>
      </c>
      <c r="B271" t="s">
        <v>3516</v>
      </c>
      <c r="C271" s="1" t="s">
        <v>2803</v>
      </c>
      <c r="D271" t="s">
        <v>2804</v>
      </c>
      <c r="E271" t="s">
        <v>2805</v>
      </c>
      <c r="F271" t="s">
        <v>121</v>
      </c>
      <c r="G271" t="s">
        <v>50</v>
      </c>
      <c r="H271">
        <v>122.15</v>
      </c>
    </row>
    <row r="272" spans="1:8" hidden="1" x14ac:dyDescent="0.25">
      <c r="A272" s="7" t="s">
        <v>3515</v>
      </c>
      <c r="B272" s="6" t="s">
        <v>3516</v>
      </c>
      <c r="C272" s="7" t="s">
        <v>2806</v>
      </c>
      <c r="D272" s="6" t="s">
        <v>2807</v>
      </c>
      <c r="E272" s="6" t="s">
        <v>2808</v>
      </c>
      <c r="F272" s="6" t="s">
        <v>121</v>
      </c>
      <c r="G272" s="6" t="s">
        <v>50</v>
      </c>
      <c r="H272" s="6">
        <v>178.11</v>
      </c>
    </row>
    <row r="273" spans="1:8" hidden="1" x14ac:dyDescent="0.25">
      <c r="A273" s="1" t="s">
        <v>3515</v>
      </c>
      <c r="B273" t="s">
        <v>3516</v>
      </c>
      <c r="C273" s="1" t="s">
        <v>2809</v>
      </c>
      <c r="D273" t="s">
        <v>2810</v>
      </c>
      <c r="E273" t="s">
        <v>2811</v>
      </c>
      <c r="F273" t="s">
        <v>121</v>
      </c>
      <c r="G273" t="s">
        <v>50</v>
      </c>
      <c r="H273">
        <v>74.95</v>
      </c>
    </row>
    <row r="274" spans="1:8" hidden="1" x14ac:dyDescent="0.25">
      <c r="A274" s="7" t="s">
        <v>3515</v>
      </c>
      <c r="B274" s="6" t="s">
        <v>3516</v>
      </c>
      <c r="C274" s="7" t="s">
        <v>2815</v>
      </c>
      <c r="D274" s="6" t="s">
        <v>2816</v>
      </c>
      <c r="E274" s="6" t="s">
        <v>2817</v>
      </c>
      <c r="F274" s="6" t="s">
        <v>121</v>
      </c>
      <c r="G274" s="6" t="s">
        <v>50</v>
      </c>
      <c r="H274" s="6">
        <v>39.659999999999997</v>
      </c>
    </row>
    <row r="275" spans="1:8" hidden="1" x14ac:dyDescent="0.25">
      <c r="A275" s="1" t="s">
        <v>3515</v>
      </c>
      <c r="B275" t="s">
        <v>3516</v>
      </c>
      <c r="C275" s="1" t="s">
        <v>2818</v>
      </c>
      <c r="D275" t="s">
        <v>2819</v>
      </c>
      <c r="E275" t="s">
        <v>2820</v>
      </c>
      <c r="F275" t="s">
        <v>121</v>
      </c>
      <c r="G275" t="s">
        <v>92</v>
      </c>
      <c r="H275">
        <v>89.9</v>
      </c>
    </row>
    <row r="276" spans="1:8" hidden="1" x14ac:dyDescent="0.25">
      <c r="A276" s="7" t="s">
        <v>3614</v>
      </c>
      <c r="B276" s="6" t="s">
        <v>3615</v>
      </c>
      <c r="C276" s="7" t="s">
        <v>3620</v>
      </c>
      <c r="D276" s="6" t="s">
        <v>3621</v>
      </c>
      <c r="E276" s="6" t="s">
        <v>3622</v>
      </c>
      <c r="F276" s="6" t="s">
        <v>121</v>
      </c>
      <c r="G276" s="6" t="s">
        <v>50</v>
      </c>
      <c r="H276" s="6">
        <v>7.67</v>
      </c>
    </row>
    <row r="277" spans="1:8" hidden="1" x14ac:dyDescent="0.25">
      <c r="A277" s="1" t="s">
        <v>3944</v>
      </c>
      <c r="B277" t="s">
        <v>3945</v>
      </c>
      <c r="C277" s="1" t="s">
        <v>2666</v>
      </c>
      <c r="D277" t="s">
        <v>2667</v>
      </c>
      <c r="E277" t="s">
        <v>2681</v>
      </c>
      <c r="F277" t="s">
        <v>49</v>
      </c>
      <c r="G277" t="s">
        <v>50</v>
      </c>
      <c r="H277">
        <v>106.05</v>
      </c>
    </row>
    <row r="278" spans="1:8" hidden="1" x14ac:dyDescent="0.25">
      <c r="A278" s="7" t="s">
        <v>3944</v>
      </c>
      <c r="B278" s="6" t="s">
        <v>3945</v>
      </c>
      <c r="C278" s="7" t="s">
        <v>3932</v>
      </c>
      <c r="D278" s="6" t="s">
        <v>3933</v>
      </c>
      <c r="E278" s="6" t="s">
        <v>3965</v>
      </c>
      <c r="F278" s="6" t="s">
        <v>49</v>
      </c>
      <c r="G278" s="6" t="s">
        <v>50</v>
      </c>
      <c r="H278" s="6">
        <v>26.92</v>
      </c>
    </row>
    <row r="279" spans="1:8" hidden="1" x14ac:dyDescent="0.25">
      <c r="A279" s="1" t="s">
        <v>4069</v>
      </c>
      <c r="B279" t="s">
        <v>4070</v>
      </c>
      <c r="C279" s="1" t="s">
        <v>4078</v>
      </c>
      <c r="D279" t="s">
        <v>4079</v>
      </c>
      <c r="E279" t="s">
        <v>4080</v>
      </c>
      <c r="F279" t="s">
        <v>49</v>
      </c>
      <c r="G279" t="s">
        <v>50</v>
      </c>
      <c r="H279">
        <v>18.13</v>
      </c>
    </row>
    <row r="280" spans="1:8" hidden="1" x14ac:dyDescent="0.25">
      <c r="A280" s="7" t="s">
        <v>4258</v>
      </c>
      <c r="B280" s="6" t="s">
        <v>4259</v>
      </c>
      <c r="C280" s="7" t="s">
        <v>4278</v>
      </c>
      <c r="D280" s="6" t="s">
        <v>4279</v>
      </c>
      <c r="E280" s="6" t="s">
        <v>4280</v>
      </c>
      <c r="F280" s="6" t="s">
        <v>49</v>
      </c>
      <c r="G280" s="6" t="s">
        <v>50</v>
      </c>
      <c r="H280" s="6">
        <v>179.1</v>
      </c>
    </row>
    <row r="281" spans="1:8" hidden="1" x14ac:dyDescent="0.25">
      <c r="A281" s="1" t="s">
        <v>4287</v>
      </c>
      <c r="B281" t="s">
        <v>4288</v>
      </c>
      <c r="C281" s="1" t="s">
        <v>4294</v>
      </c>
      <c r="D281" t="s">
        <v>4295</v>
      </c>
      <c r="E281" t="s">
        <v>4296</v>
      </c>
      <c r="F281" t="s">
        <v>49</v>
      </c>
      <c r="G281" t="s">
        <v>50</v>
      </c>
      <c r="H281">
        <v>74.900000000000006</v>
      </c>
    </row>
    <row r="282" spans="1:8" hidden="1" x14ac:dyDescent="0.25">
      <c r="A282" s="7" t="s">
        <v>4301</v>
      </c>
      <c r="B282" s="6" t="s">
        <v>4302</v>
      </c>
      <c r="C282" s="7" t="s">
        <v>4306</v>
      </c>
      <c r="D282" s="6" t="s">
        <v>4307</v>
      </c>
      <c r="E282" s="6" t="s">
        <v>4308</v>
      </c>
      <c r="F282" s="6" t="s">
        <v>49</v>
      </c>
      <c r="G282" s="6" t="s">
        <v>50</v>
      </c>
      <c r="H282" s="6">
        <v>4.0199999999999996</v>
      </c>
    </row>
    <row r="283" spans="1:8" hidden="1" x14ac:dyDescent="0.25">
      <c r="A283" s="1" t="s">
        <v>4314</v>
      </c>
      <c r="B283" t="s">
        <v>4315</v>
      </c>
      <c r="C283" s="1" t="s">
        <v>4321</v>
      </c>
      <c r="D283" t="s">
        <v>4322</v>
      </c>
      <c r="E283" t="s">
        <v>4323</v>
      </c>
      <c r="F283" t="s">
        <v>49</v>
      </c>
      <c r="G283" t="s">
        <v>92</v>
      </c>
      <c r="H283">
        <v>7.72</v>
      </c>
    </row>
    <row r="284" spans="1:8" hidden="1" x14ac:dyDescent="0.25">
      <c r="A284" s="7" t="s">
        <v>4314</v>
      </c>
      <c r="B284" s="6" t="s">
        <v>4315</v>
      </c>
      <c r="C284" s="7" t="s">
        <v>4324</v>
      </c>
      <c r="D284" s="6" t="s">
        <v>4325</v>
      </c>
      <c r="E284" s="6" t="s">
        <v>658</v>
      </c>
      <c r="F284" s="6" t="s">
        <v>49</v>
      </c>
      <c r="G284" s="6" t="s">
        <v>50</v>
      </c>
      <c r="H284" s="6">
        <v>5.6</v>
      </c>
    </row>
    <row r="285" spans="1:8" hidden="1" x14ac:dyDescent="0.25">
      <c r="A285" s="1" t="s">
        <v>4314</v>
      </c>
      <c r="B285" t="s">
        <v>4315</v>
      </c>
      <c r="C285" s="1" t="s">
        <v>4326</v>
      </c>
      <c r="D285" t="s">
        <v>4327</v>
      </c>
      <c r="E285" t="s">
        <v>1675</v>
      </c>
      <c r="F285" t="s">
        <v>49</v>
      </c>
      <c r="G285" t="s">
        <v>50</v>
      </c>
      <c r="H285">
        <v>20.8</v>
      </c>
    </row>
    <row r="286" spans="1:8" hidden="1" x14ac:dyDescent="0.25">
      <c r="A286" s="7" t="s">
        <v>4314</v>
      </c>
      <c r="B286" s="6" t="s">
        <v>4315</v>
      </c>
      <c r="C286" s="7" t="s">
        <v>4328</v>
      </c>
      <c r="D286" s="6" t="s">
        <v>4329</v>
      </c>
      <c r="E286" s="6" t="s">
        <v>4330</v>
      </c>
      <c r="F286" s="6" t="s">
        <v>49</v>
      </c>
      <c r="G286" s="6" t="s">
        <v>50</v>
      </c>
      <c r="H286" s="6">
        <v>135.99</v>
      </c>
    </row>
    <row r="287" spans="1:8" hidden="1" x14ac:dyDescent="0.25">
      <c r="A287" s="1" t="s">
        <v>4371</v>
      </c>
      <c r="B287" t="s">
        <v>4372</v>
      </c>
      <c r="C287" s="1" t="s">
        <v>229</v>
      </c>
      <c r="D287" t="s">
        <v>230</v>
      </c>
      <c r="E287" t="s">
        <v>231</v>
      </c>
      <c r="F287" t="s">
        <v>49</v>
      </c>
      <c r="G287" t="s">
        <v>50</v>
      </c>
      <c r="H287">
        <v>5.25</v>
      </c>
    </row>
    <row r="288" spans="1:8" hidden="1" x14ac:dyDescent="0.25">
      <c r="A288" s="7" t="s">
        <v>4371</v>
      </c>
      <c r="B288" s="6" t="s">
        <v>4372</v>
      </c>
      <c r="C288" s="7" t="s">
        <v>233</v>
      </c>
      <c r="D288" s="6" t="s">
        <v>234</v>
      </c>
      <c r="E288" s="6" t="s">
        <v>235</v>
      </c>
      <c r="F288" s="6" t="s">
        <v>49</v>
      </c>
      <c r="G288" s="6" t="s">
        <v>50</v>
      </c>
      <c r="H288" s="6">
        <v>8.4499999999999993</v>
      </c>
    </row>
    <row r="289" spans="1:8" hidden="1" x14ac:dyDescent="0.25">
      <c r="A289" s="1" t="s">
        <v>4371</v>
      </c>
      <c r="B289" t="s">
        <v>4372</v>
      </c>
      <c r="C289" s="1" t="s">
        <v>236</v>
      </c>
      <c r="D289" t="s">
        <v>237</v>
      </c>
      <c r="E289" t="s">
        <v>238</v>
      </c>
      <c r="F289" t="s">
        <v>49</v>
      </c>
      <c r="G289" t="s">
        <v>50</v>
      </c>
      <c r="H289">
        <v>14.55</v>
      </c>
    </row>
    <row r="290" spans="1:8" hidden="1" x14ac:dyDescent="0.25">
      <c r="A290" s="7" t="s">
        <v>4371</v>
      </c>
      <c r="B290" s="6" t="s">
        <v>4372</v>
      </c>
      <c r="C290" s="7" t="s">
        <v>239</v>
      </c>
      <c r="D290" s="6" t="s">
        <v>240</v>
      </c>
      <c r="E290" s="6" t="s">
        <v>241</v>
      </c>
      <c r="F290" s="6" t="s">
        <v>49</v>
      </c>
      <c r="G290" s="6" t="s">
        <v>50</v>
      </c>
      <c r="H290" s="6">
        <v>7.6</v>
      </c>
    </row>
    <row r="291" spans="1:8" hidden="1" x14ac:dyDescent="0.25">
      <c r="A291" s="1" t="s">
        <v>4371</v>
      </c>
      <c r="B291" t="s">
        <v>4372</v>
      </c>
      <c r="C291" s="1" t="s">
        <v>242</v>
      </c>
      <c r="D291" t="s">
        <v>243</v>
      </c>
      <c r="E291" t="s">
        <v>244</v>
      </c>
      <c r="F291" t="s">
        <v>49</v>
      </c>
      <c r="G291" t="s">
        <v>92</v>
      </c>
      <c r="H291">
        <v>6.2</v>
      </c>
    </row>
    <row r="292" spans="1:8" hidden="1" x14ac:dyDescent="0.25">
      <c r="A292" s="7" t="s">
        <v>4379</v>
      </c>
      <c r="B292" s="6" t="s">
        <v>4380</v>
      </c>
      <c r="C292" s="7" t="s">
        <v>4384</v>
      </c>
      <c r="D292" s="6" t="s">
        <v>4385</v>
      </c>
      <c r="E292" s="6" t="s">
        <v>4386</v>
      </c>
      <c r="F292" s="6" t="s">
        <v>49</v>
      </c>
      <c r="G292" s="6" t="s">
        <v>50</v>
      </c>
      <c r="H292" s="6">
        <v>89.23</v>
      </c>
    </row>
    <row r="293" spans="1:8" hidden="1" x14ac:dyDescent="0.25">
      <c r="A293" s="1" t="s">
        <v>4379</v>
      </c>
      <c r="B293" t="s">
        <v>4380</v>
      </c>
      <c r="C293" s="1" t="s">
        <v>4387</v>
      </c>
      <c r="D293" t="s">
        <v>4388</v>
      </c>
      <c r="E293" t="s">
        <v>4389</v>
      </c>
      <c r="F293" t="s">
        <v>49</v>
      </c>
      <c r="G293" t="s">
        <v>92</v>
      </c>
      <c r="H293">
        <v>27.42</v>
      </c>
    </row>
    <row r="294" spans="1:8" hidden="1" x14ac:dyDescent="0.25">
      <c r="A294" s="7" t="s">
        <v>4379</v>
      </c>
      <c r="B294" s="6" t="s">
        <v>4380</v>
      </c>
      <c r="C294" s="7" t="s">
        <v>4390</v>
      </c>
      <c r="D294" s="6" t="s">
        <v>4391</v>
      </c>
      <c r="E294" s="6" t="s">
        <v>457</v>
      </c>
      <c r="F294" s="6" t="s">
        <v>49</v>
      </c>
      <c r="G294" s="6" t="s">
        <v>50</v>
      </c>
      <c r="H294" s="6">
        <v>6.1</v>
      </c>
    </row>
    <row r="295" spans="1:8" hidden="1" x14ac:dyDescent="0.25">
      <c r="A295" s="1" t="s">
        <v>4396</v>
      </c>
      <c r="B295" t="s">
        <v>4397</v>
      </c>
      <c r="C295" s="1" t="s">
        <v>4400</v>
      </c>
      <c r="D295" t="s">
        <v>4401</v>
      </c>
      <c r="E295" t="s">
        <v>4402</v>
      </c>
      <c r="F295" t="s">
        <v>49</v>
      </c>
      <c r="G295" t="s">
        <v>50</v>
      </c>
      <c r="H295">
        <v>6.26</v>
      </c>
    </row>
    <row r="296" spans="1:8" hidden="1" x14ac:dyDescent="0.25">
      <c r="A296" s="7" t="s">
        <v>4396</v>
      </c>
      <c r="B296" s="6" t="s">
        <v>4397</v>
      </c>
      <c r="C296" s="7" t="s">
        <v>4403</v>
      </c>
      <c r="D296" s="6" t="s">
        <v>4404</v>
      </c>
      <c r="E296" s="6" t="s">
        <v>4405</v>
      </c>
      <c r="F296" s="6" t="s">
        <v>49</v>
      </c>
      <c r="G296" s="6" t="s">
        <v>50</v>
      </c>
      <c r="H296" s="6">
        <v>41.4</v>
      </c>
    </row>
    <row r="297" spans="1:8" hidden="1" x14ac:dyDescent="0.25">
      <c r="A297" s="1" t="s">
        <v>4396</v>
      </c>
      <c r="B297" t="s">
        <v>4397</v>
      </c>
      <c r="C297" s="1" t="s">
        <v>4406</v>
      </c>
      <c r="D297" t="s">
        <v>4407</v>
      </c>
      <c r="E297" t="s">
        <v>658</v>
      </c>
      <c r="F297" t="s">
        <v>49</v>
      </c>
      <c r="G297" t="s">
        <v>50</v>
      </c>
      <c r="H297">
        <v>5.6</v>
      </c>
    </row>
    <row r="298" spans="1:8" hidden="1" x14ac:dyDescent="0.25">
      <c r="A298" s="7" t="s">
        <v>4470</v>
      </c>
      <c r="B298" s="6" t="s">
        <v>4471</v>
      </c>
      <c r="C298" s="7" t="s">
        <v>4484</v>
      </c>
      <c r="D298" s="6" t="s">
        <v>4485</v>
      </c>
      <c r="E298" s="6" t="s">
        <v>4486</v>
      </c>
      <c r="F298" s="6" t="s">
        <v>121</v>
      </c>
      <c r="G298" s="6" t="s">
        <v>50</v>
      </c>
      <c r="H298" s="6">
        <v>37.53</v>
      </c>
    </row>
    <row r="299" spans="1:8" hidden="1" x14ac:dyDescent="0.25">
      <c r="A299" s="1" t="s">
        <v>4496</v>
      </c>
      <c r="B299" t="s">
        <v>4497</v>
      </c>
      <c r="C299" s="1" t="s">
        <v>4499</v>
      </c>
      <c r="D299" t="s">
        <v>4500</v>
      </c>
      <c r="E299" t="s">
        <v>4501</v>
      </c>
      <c r="F299" t="s">
        <v>121</v>
      </c>
      <c r="G299" t="s">
        <v>50</v>
      </c>
      <c r="H299">
        <v>39.67</v>
      </c>
    </row>
    <row r="300" spans="1:8" hidden="1" x14ac:dyDescent="0.25">
      <c r="A300" s="7" t="s">
        <v>4510</v>
      </c>
      <c r="B300" s="6" t="s">
        <v>4511</v>
      </c>
      <c r="C300" s="7" t="s">
        <v>4513</v>
      </c>
      <c r="D300" s="6" t="s">
        <v>4514</v>
      </c>
      <c r="E300" s="6" t="s">
        <v>4515</v>
      </c>
      <c r="F300" s="6" t="s">
        <v>121</v>
      </c>
      <c r="G300" s="6" t="s">
        <v>50</v>
      </c>
      <c r="H300" s="6">
        <v>43.92</v>
      </c>
    </row>
    <row r="301" spans="1:8" hidden="1" x14ac:dyDescent="0.25">
      <c r="A301" s="1" t="s">
        <v>4574</v>
      </c>
      <c r="B301" t="s">
        <v>4575</v>
      </c>
      <c r="C301" s="1" t="s">
        <v>4589</v>
      </c>
      <c r="D301" t="s">
        <v>4590</v>
      </c>
      <c r="E301" t="s">
        <v>4591</v>
      </c>
      <c r="F301" t="s">
        <v>49</v>
      </c>
      <c r="G301" t="s">
        <v>50</v>
      </c>
      <c r="H301">
        <v>68.73</v>
      </c>
    </row>
    <row r="302" spans="1:8" hidden="1" x14ac:dyDescent="0.25">
      <c r="A302" s="7" t="s">
        <v>4574</v>
      </c>
      <c r="B302" s="6" t="s">
        <v>4575</v>
      </c>
      <c r="C302" s="7" t="s">
        <v>2507</v>
      </c>
      <c r="D302" s="6" t="s">
        <v>2508</v>
      </c>
      <c r="E302" s="6" t="s">
        <v>4593</v>
      </c>
      <c r="F302" s="6" t="s">
        <v>121</v>
      </c>
      <c r="G302" s="6" t="s">
        <v>50</v>
      </c>
      <c r="H302" s="6">
        <v>22.55</v>
      </c>
    </row>
    <row r="303" spans="1:8" hidden="1" x14ac:dyDescent="0.25">
      <c r="A303" s="1" t="s">
        <v>4690</v>
      </c>
      <c r="B303" t="s">
        <v>4691</v>
      </c>
      <c r="C303" s="1" t="s">
        <v>1226</v>
      </c>
      <c r="D303" t="s">
        <v>1227</v>
      </c>
      <c r="E303" t="s">
        <v>4696</v>
      </c>
      <c r="F303" t="s">
        <v>49</v>
      </c>
      <c r="G303" t="s">
        <v>50</v>
      </c>
      <c r="H303">
        <v>12.05</v>
      </c>
    </row>
    <row r="304" spans="1:8" hidden="1" x14ac:dyDescent="0.25">
      <c r="A304" s="7" t="s">
        <v>4783</v>
      </c>
      <c r="B304" s="6" t="s">
        <v>4784</v>
      </c>
      <c r="C304" s="7" t="s">
        <v>502</v>
      </c>
      <c r="D304" s="6" t="s">
        <v>503</v>
      </c>
      <c r="E304" s="6" t="s">
        <v>31</v>
      </c>
      <c r="F304" s="6" t="s">
        <v>121</v>
      </c>
      <c r="G304" s="6" t="s">
        <v>50</v>
      </c>
      <c r="H304" s="6">
        <v>10.6</v>
      </c>
    </row>
    <row r="305" spans="1:8" hidden="1" x14ac:dyDescent="0.25">
      <c r="A305" s="1" t="s">
        <v>4804</v>
      </c>
      <c r="B305" t="s">
        <v>4805</v>
      </c>
      <c r="C305" s="1" t="s">
        <v>172</v>
      </c>
      <c r="D305" t="s">
        <v>173</v>
      </c>
      <c r="E305" t="s">
        <v>87</v>
      </c>
      <c r="F305" t="s">
        <v>49</v>
      </c>
      <c r="G305" t="s">
        <v>50</v>
      </c>
      <c r="H305">
        <v>8.9</v>
      </c>
    </row>
    <row r="306" spans="1:8" hidden="1" x14ac:dyDescent="0.25">
      <c r="A306" s="7" t="s">
        <v>4804</v>
      </c>
      <c r="B306" s="6" t="s">
        <v>4805</v>
      </c>
      <c r="C306" s="7" t="s">
        <v>174</v>
      </c>
      <c r="D306" s="6" t="s">
        <v>175</v>
      </c>
      <c r="E306" s="6" t="s">
        <v>176</v>
      </c>
      <c r="F306" s="6" t="s">
        <v>49</v>
      </c>
      <c r="G306" s="6" t="s">
        <v>50</v>
      </c>
      <c r="H306" s="6">
        <v>3.6</v>
      </c>
    </row>
    <row r="307" spans="1:8" hidden="1" x14ac:dyDescent="0.25">
      <c r="A307" s="1" t="s">
        <v>4804</v>
      </c>
      <c r="B307" t="s">
        <v>4805</v>
      </c>
      <c r="C307" s="1" t="s">
        <v>177</v>
      </c>
      <c r="D307" t="s">
        <v>178</v>
      </c>
      <c r="E307" t="s">
        <v>179</v>
      </c>
      <c r="F307" t="s">
        <v>49</v>
      </c>
      <c r="G307" t="s">
        <v>92</v>
      </c>
      <c r="H307">
        <v>5.3</v>
      </c>
    </row>
    <row r="308" spans="1:8" hidden="1" x14ac:dyDescent="0.25">
      <c r="A308" s="7" t="s">
        <v>4804</v>
      </c>
      <c r="B308" s="6" t="s">
        <v>4805</v>
      </c>
      <c r="C308" s="7" t="s">
        <v>180</v>
      </c>
      <c r="D308" s="6" t="s">
        <v>181</v>
      </c>
      <c r="E308" s="6" t="s">
        <v>182</v>
      </c>
      <c r="F308" s="6" t="s">
        <v>49</v>
      </c>
      <c r="G308" s="6" t="s">
        <v>50</v>
      </c>
      <c r="H308" s="6">
        <v>13.8</v>
      </c>
    </row>
    <row r="309" spans="1:8" hidden="1" x14ac:dyDescent="0.25">
      <c r="A309" s="1" t="s">
        <v>4804</v>
      </c>
      <c r="B309" t="s">
        <v>4805</v>
      </c>
      <c r="C309" s="1" t="s">
        <v>183</v>
      </c>
      <c r="D309" t="s">
        <v>184</v>
      </c>
      <c r="E309" t="s">
        <v>185</v>
      </c>
      <c r="F309" t="s">
        <v>49</v>
      </c>
      <c r="G309" t="s">
        <v>50</v>
      </c>
      <c r="H309">
        <v>3.9</v>
      </c>
    </row>
    <row r="310" spans="1:8" hidden="1" x14ac:dyDescent="0.25">
      <c r="A310" s="7" t="s">
        <v>4826</v>
      </c>
      <c r="B310" s="6" t="s">
        <v>4827</v>
      </c>
      <c r="C310" s="7" t="s">
        <v>4828</v>
      </c>
      <c r="D310" s="6" t="s">
        <v>4829</v>
      </c>
      <c r="E310" s="6" t="s">
        <v>4830</v>
      </c>
      <c r="F310" s="6" t="s">
        <v>121</v>
      </c>
      <c r="G310" s="6" t="s">
        <v>50</v>
      </c>
      <c r="H310" s="6">
        <v>48.88</v>
      </c>
    </row>
    <row r="311" spans="1:8" hidden="1" x14ac:dyDescent="0.25">
      <c r="A311" s="1" t="s">
        <v>4826</v>
      </c>
      <c r="B311" t="s">
        <v>4827</v>
      </c>
      <c r="C311" s="1" t="s">
        <v>4831</v>
      </c>
      <c r="D311" t="s">
        <v>4832</v>
      </c>
      <c r="E311" t="s">
        <v>4833</v>
      </c>
      <c r="F311" t="s">
        <v>121</v>
      </c>
      <c r="G311" t="s">
        <v>50</v>
      </c>
      <c r="H311">
        <v>49.89</v>
      </c>
    </row>
    <row r="312" spans="1:8" hidden="1" x14ac:dyDescent="0.25">
      <c r="A312" s="7" t="s">
        <v>4826</v>
      </c>
      <c r="B312" s="6" t="s">
        <v>4827</v>
      </c>
      <c r="C312" s="7" t="s">
        <v>4834</v>
      </c>
      <c r="D312" s="6" t="s">
        <v>4835</v>
      </c>
      <c r="E312" s="6" t="s">
        <v>4836</v>
      </c>
      <c r="F312" s="6" t="s">
        <v>121</v>
      </c>
      <c r="G312" s="6" t="s">
        <v>50</v>
      </c>
      <c r="H312" s="6">
        <v>28.55</v>
      </c>
    </row>
    <row r="313" spans="1:8" hidden="1" x14ac:dyDescent="0.25">
      <c r="A313" s="1" t="s">
        <v>4876</v>
      </c>
      <c r="B313" t="s">
        <v>4877</v>
      </c>
      <c r="C313" s="1" t="s">
        <v>4888</v>
      </c>
      <c r="D313" t="s">
        <v>4889</v>
      </c>
      <c r="E313" t="s">
        <v>4890</v>
      </c>
      <c r="F313" t="s">
        <v>49</v>
      </c>
      <c r="G313" t="s">
        <v>50</v>
      </c>
      <c r="H313">
        <v>244.45</v>
      </c>
    </row>
    <row r="314" spans="1:8" hidden="1" x14ac:dyDescent="0.25">
      <c r="A314" s="7" t="s">
        <v>4876</v>
      </c>
      <c r="B314" s="6" t="s">
        <v>4877</v>
      </c>
      <c r="C314" s="7" t="s">
        <v>4891</v>
      </c>
      <c r="D314" s="6" t="s">
        <v>4892</v>
      </c>
      <c r="E314" s="6" t="s">
        <v>4893</v>
      </c>
      <c r="F314" s="6" t="s">
        <v>49</v>
      </c>
      <c r="G314" s="6" t="s">
        <v>4887</v>
      </c>
      <c r="H314" s="6">
        <v>247.95</v>
      </c>
    </row>
    <row r="315" spans="1:8" hidden="1" x14ac:dyDescent="0.25">
      <c r="A315" s="1" t="s">
        <v>4902</v>
      </c>
      <c r="B315" t="s">
        <v>4903</v>
      </c>
      <c r="C315" s="1" t="s">
        <v>4891</v>
      </c>
      <c r="D315" t="s">
        <v>4892</v>
      </c>
      <c r="E315" t="s">
        <v>4893</v>
      </c>
      <c r="F315" t="s">
        <v>49</v>
      </c>
      <c r="G315" t="s">
        <v>4907</v>
      </c>
      <c r="H315">
        <v>275.5</v>
      </c>
    </row>
    <row r="316" spans="1:8" hidden="1" x14ac:dyDescent="0.25">
      <c r="A316" s="7" t="s">
        <v>4902</v>
      </c>
      <c r="B316" s="6" t="s">
        <v>4903</v>
      </c>
      <c r="C316" s="7" t="s">
        <v>4908</v>
      </c>
      <c r="D316" s="6" t="s">
        <v>4909</v>
      </c>
      <c r="E316" s="6" t="s">
        <v>4910</v>
      </c>
      <c r="F316" s="6" t="s">
        <v>49</v>
      </c>
      <c r="G316" s="6" t="s">
        <v>50</v>
      </c>
      <c r="H316" s="6">
        <v>265.48</v>
      </c>
    </row>
    <row r="317" spans="1:8" hidden="1" x14ac:dyDescent="0.25">
      <c r="A317" s="1" t="s">
        <v>4915</v>
      </c>
      <c r="B317" t="s">
        <v>4916</v>
      </c>
      <c r="C317" s="1" t="s">
        <v>4917</v>
      </c>
      <c r="D317" t="s">
        <v>4918</v>
      </c>
      <c r="E317" t="s">
        <v>4919</v>
      </c>
      <c r="F317" t="s">
        <v>49</v>
      </c>
      <c r="G317" t="s">
        <v>50</v>
      </c>
      <c r="H317">
        <v>323.06</v>
      </c>
    </row>
    <row r="318" spans="1:8" hidden="1" x14ac:dyDescent="0.25">
      <c r="A318" s="7" t="s">
        <v>4915</v>
      </c>
      <c r="B318" s="6" t="s">
        <v>4916</v>
      </c>
      <c r="C318" s="7" t="s">
        <v>4920</v>
      </c>
      <c r="D318" s="6" t="s">
        <v>4921</v>
      </c>
      <c r="E318" s="6" t="s">
        <v>4922</v>
      </c>
      <c r="F318" s="6" t="s">
        <v>49</v>
      </c>
      <c r="G318" s="6" t="s">
        <v>4907</v>
      </c>
      <c r="H318" s="6">
        <v>279.10000000000002</v>
      </c>
    </row>
    <row r="319" spans="1:8" hidden="1" x14ac:dyDescent="0.25">
      <c r="A319" s="1" t="s">
        <v>5214</v>
      </c>
      <c r="B319" t="s">
        <v>5215</v>
      </c>
      <c r="C319" s="1" t="s">
        <v>2815</v>
      </c>
      <c r="D319" t="s">
        <v>2816</v>
      </c>
      <c r="E319" t="s">
        <v>2817</v>
      </c>
      <c r="F319" t="s">
        <v>121</v>
      </c>
      <c r="G319" t="s">
        <v>50</v>
      </c>
      <c r="H319">
        <v>39.659999999999997</v>
      </c>
    </row>
    <row r="320" spans="1:8" hidden="1" x14ac:dyDescent="0.25">
      <c r="A320" s="7" t="s">
        <v>5214</v>
      </c>
      <c r="B320" s="6" t="s">
        <v>5215</v>
      </c>
      <c r="C320" s="7" t="s">
        <v>2818</v>
      </c>
      <c r="D320" s="6" t="s">
        <v>2819</v>
      </c>
      <c r="E320" s="6" t="s">
        <v>2820</v>
      </c>
      <c r="F320" s="6" t="s">
        <v>121</v>
      </c>
      <c r="G320" s="6" t="s">
        <v>50</v>
      </c>
      <c r="H320" s="6">
        <v>44.95</v>
      </c>
    </row>
    <row r="321" spans="1:8" hidden="1" x14ac:dyDescent="0.25">
      <c r="A321" s="1" t="s">
        <v>5260</v>
      </c>
      <c r="B321" t="s">
        <v>5261</v>
      </c>
      <c r="C321" s="1" t="s">
        <v>5254</v>
      </c>
      <c r="D321" t="s">
        <v>5270</v>
      </c>
      <c r="E321" t="s">
        <v>5271</v>
      </c>
      <c r="F321" t="s">
        <v>121</v>
      </c>
      <c r="G321" t="s">
        <v>50</v>
      </c>
      <c r="H321">
        <v>40.770000000000003</v>
      </c>
    </row>
    <row r="322" spans="1:8" hidden="1" x14ac:dyDescent="0.25">
      <c r="A322" s="7" t="s">
        <v>5260</v>
      </c>
      <c r="B322" s="6" t="s">
        <v>5261</v>
      </c>
      <c r="C322" s="7" t="s">
        <v>5257</v>
      </c>
      <c r="D322" s="6" t="s">
        <v>5272</v>
      </c>
      <c r="E322" s="6" t="s">
        <v>5273</v>
      </c>
      <c r="F322" s="6" t="s">
        <v>121</v>
      </c>
      <c r="G322" s="6" t="s">
        <v>50</v>
      </c>
      <c r="H322" s="6">
        <v>31.68</v>
      </c>
    </row>
    <row r="323" spans="1:8" hidden="1" x14ac:dyDescent="0.25">
      <c r="A323" s="1" t="s">
        <v>5328</v>
      </c>
      <c r="B323" t="s">
        <v>5329</v>
      </c>
      <c r="C323" s="1" t="s">
        <v>5315</v>
      </c>
      <c r="D323" t="s">
        <v>5316</v>
      </c>
      <c r="E323" t="s">
        <v>5339</v>
      </c>
      <c r="F323" t="s">
        <v>49</v>
      </c>
      <c r="G323" t="s">
        <v>50</v>
      </c>
      <c r="H323">
        <v>916.79</v>
      </c>
    </row>
    <row r="324" spans="1:8" hidden="1" x14ac:dyDescent="0.25">
      <c r="A324" s="7" t="s">
        <v>5328</v>
      </c>
      <c r="B324" s="6" t="s">
        <v>5329</v>
      </c>
      <c r="C324" s="7" t="s">
        <v>5319</v>
      </c>
      <c r="D324" s="6" t="s">
        <v>5320</v>
      </c>
      <c r="E324" s="6" t="s">
        <v>5340</v>
      </c>
      <c r="F324" s="6" t="s">
        <v>49</v>
      </c>
      <c r="G324" s="6" t="s">
        <v>50</v>
      </c>
      <c r="H324" s="6">
        <v>859.99</v>
      </c>
    </row>
    <row r="325" spans="1:8" hidden="1" x14ac:dyDescent="0.25">
      <c r="A325" s="1" t="s">
        <v>5328</v>
      </c>
      <c r="B325" t="s">
        <v>5329</v>
      </c>
      <c r="C325" s="1" t="s">
        <v>5323</v>
      </c>
      <c r="D325" t="s">
        <v>5324</v>
      </c>
      <c r="E325" t="s">
        <v>5341</v>
      </c>
      <c r="F325" t="s">
        <v>49</v>
      </c>
      <c r="G325" t="s">
        <v>50</v>
      </c>
      <c r="H325">
        <v>1390.78</v>
      </c>
    </row>
    <row r="326" spans="1:8" hidden="1" x14ac:dyDescent="0.25">
      <c r="A326" s="7" t="s">
        <v>5342</v>
      </c>
      <c r="B326" s="6" t="s">
        <v>5343</v>
      </c>
      <c r="C326" s="7" t="s">
        <v>5369</v>
      </c>
      <c r="D326" s="6" t="s">
        <v>5370</v>
      </c>
      <c r="E326" s="6" t="s">
        <v>343</v>
      </c>
      <c r="F326" s="6" t="s">
        <v>49</v>
      </c>
      <c r="G326" s="6" t="s">
        <v>312</v>
      </c>
      <c r="H326" s="6">
        <v>27.2</v>
      </c>
    </row>
    <row r="327" spans="1:8" hidden="1" x14ac:dyDescent="0.25">
      <c r="A327" s="1" t="s">
        <v>5378</v>
      </c>
      <c r="B327" t="s">
        <v>5379</v>
      </c>
      <c r="C327" s="1" t="s">
        <v>1372</v>
      </c>
      <c r="D327" t="s">
        <v>1373</v>
      </c>
      <c r="E327" t="s">
        <v>5382</v>
      </c>
      <c r="F327" t="s">
        <v>49</v>
      </c>
      <c r="G327" t="s">
        <v>50</v>
      </c>
      <c r="H327">
        <v>104.35</v>
      </c>
    </row>
    <row r="328" spans="1:8" hidden="1" x14ac:dyDescent="0.25">
      <c r="A328" s="7" t="s">
        <v>5394</v>
      </c>
      <c r="B328" s="6" t="s">
        <v>5395</v>
      </c>
      <c r="C328" s="7" t="s">
        <v>5399</v>
      </c>
      <c r="D328" s="6" t="s">
        <v>5400</v>
      </c>
      <c r="E328" s="6" t="s">
        <v>5401</v>
      </c>
      <c r="F328" s="6" t="s">
        <v>49</v>
      </c>
      <c r="G328" s="6" t="s">
        <v>50</v>
      </c>
      <c r="H328" s="6">
        <v>197.3</v>
      </c>
    </row>
    <row r="329" spans="1:8" hidden="1" x14ac:dyDescent="0.25">
      <c r="A329" s="1" t="s">
        <v>5500</v>
      </c>
      <c r="B329" t="s">
        <v>5501</v>
      </c>
      <c r="C329" s="1" t="s">
        <v>5502</v>
      </c>
      <c r="D329" t="s">
        <v>5503</v>
      </c>
      <c r="E329" t="s">
        <v>5504</v>
      </c>
      <c r="F329" t="s">
        <v>49</v>
      </c>
      <c r="G329" t="s">
        <v>50</v>
      </c>
      <c r="H329">
        <v>40.78</v>
      </c>
    </row>
    <row r="330" spans="1:8" hidden="1" x14ac:dyDescent="0.25">
      <c r="A330" s="7" t="s">
        <v>5500</v>
      </c>
      <c r="B330" s="6" t="s">
        <v>5501</v>
      </c>
      <c r="C330" s="7" t="s">
        <v>5505</v>
      </c>
      <c r="D330" s="6" t="s">
        <v>5506</v>
      </c>
      <c r="E330" s="6" t="s">
        <v>5507</v>
      </c>
      <c r="F330" s="6" t="s">
        <v>49</v>
      </c>
      <c r="G330" s="6" t="s">
        <v>50</v>
      </c>
      <c r="H330" s="6">
        <v>31.99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A81B-3C50-40C4-B43D-B5D6F684F431}">
  <sheetPr>
    <tabColor theme="9" tint="0.39997558519241921"/>
  </sheetPr>
  <dimension ref="A1:H711"/>
  <sheetViews>
    <sheetView workbookViewId="0"/>
  </sheetViews>
  <sheetFormatPr defaultRowHeight="15" x14ac:dyDescent="0.25"/>
  <cols>
    <col min="1" max="1" width="17.28515625" customWidth="1"/>
    <col min="2" max="2" width="53.42578125" customWidth="1"/>
    <col min="3" max="3" width="18.28515625" customWidth="1"/>
    <col min="4" max="4" width="51.85546875" customWidth="1"/>
    <col min="5" max="5" width="13.28515625" customWidth="1"/>
    <col min="6" max="6" width="5.28515625" bestFit="1" customWidth="1"/>
    <col min="7" max="7" width="12.5703125" bestFit="1" customWidth="1"/>
    <col min="8" max="8" width="8" bestFit="1" customWidth="1"/>
  </cols>
  <sheetData>
    <row r="1" spans="1:8" ht="15.75" thickBot="1" x14ac:dyDescent="0.3">
      <c r="A1" s="8" t="s">
        <v>5593</v>
      </c>
      <c r="B1" s="9" t="s">
        <v>5594</v>
      </c>
      <c r="C1" s="8" t="s">
        <v>5609</v>
      </c>
      <c r="D1" s="8" t="s">
        <v>5595</v>
      </c>
      <c r="E1" s="8" t="s">
        <v>5596</v>
      </c>
      <c r="F1" s="8" t="s">
        <v>5597</v>
      </c>
      <c r="G1" s="8" t="s">
        <v>5598</v>
      </c>
      <c r="H1" s="8" t="s">
        <v>5599</v>
      </c>
    </row>
    <row r="2" spans="1:8" x14ac:dyDescent="0.25">
      <c r="A2" s="7" t="s">
        <v>309</v>
      </c>
      <c r="B2" s="6" t="s">
        <v>310</v>
      </c>
      <c r="C2" s="7" t="s">
        <v>1015</v>
      </c>
      <c r="D2" s="6" t="s">
        <v>1016</v>
      </c>
      <c r="E2" s="6" t="s">
        <v>1017</v>
      </c>
      <c r="F2" s="6" t="s">
        <v>5</v>
      </c>
      <c r="G2" s="6" t="s">
        <v>1018</v>
      </c>
      <c r="H2" s="6">
        <v>3.3</v>
      </c>
    </row>
    <row r="3" spans="1:8" x14ac:dyDescent="0.25">
      <c r="A3" s="1" t="s">
        <v>309</v>
      </c>
      <c r="B3" t="s">
        <v>310</v>
      </c>
      <c r="C3" s="1" t="s">
        <v>7</v>
      </c>
      <c r="D3" t="s">
        <v>8</v>
      </c>
      <c r="E3" t="s">
        <v>9</v>
      </c>
      <c r="F3" t="s">
        <v>10</v>
      </c>
      <c r="G3" t="s">
        <v>1019</v>
      </c>
      <c r="H3">
        <v>9.6999999999999993</v>
      </c>
    </row>
    <row r="4" spans="1:8" x14ac:dyDescent="0.25">
      <c r="A4" s="7" t="s">
        <v>455</v>
      </c>
      <c r="B4" s="6" t="s">
        <v>456</v>
      </c>
      <c r="C4" s="7" t="s">
        <v>1094</v>
      </c>
      <c r="D4" s="6" t="s">
        <v>1095</v>
      </c>
      <c r="E4" s="6" t="s">
        <v>887</v>
      </c>
      <c r="F4" s="6" t="s">
        <v>5</v>
      </c>
      <c r="G4" s="6" t="s">
        <v>367</v>
      </c>
      <c r="H4" s="6">
        <v>1.4</v>
      </c>
    </row>
    <row r="5" spans="1:8" x14ac:dyDescent="0.25">
      <c r="A5" s="1" t="s">
        <v>455</v>
      </c>
      <c r="B5" t="s">
        <v>456</v>
      </c>
      <c r="C5" s="1" t="s">
        <v>7</v>
      </c>
      <c r="D5" t="s">
        <v>8</v>
      </c>
      <c r="E5" t="s">
        <v>9</v>
      </c>
      <c r="F5" t="s">
        <v>10</v>
      </c>
      <c r="G5" t="s">
        <v>1096</v>
      </c>
      <c r="H5">
        <v>4.7</v>
      </c>
    </row>
    <row r="6" spans="1:8" x14ac:dyDescent="0.25">
      <c r="A6" s="7" t="s">
        <v>106</v>
      </c>
      <c r="B6" s="6" t="s">
        <v>107</v>
      </c>
      <c r="C6" s="7" t="s">
        <v>1108</v>
      </c>
      <c r="D6" s="6" t="s">
        <v>1109</v>
      </c>
      <c r="E6" s="6" t="s">
        <v>1110</v>
      </c>
      <c r="F6" s="6" t="s">
        <v>39</v>
      </c>
      <c r="G6" s="6" t="s">
        <v>40</v>
      </c>
      <c r="H6" s="6">
        <v>0.49</v>
      </c>
    </row>
    <row r="7" spans="1:8" x14ac:dyDescent="0.25">
      <c r="A7" s="1" t="s">
        <v>106</v>
      </c>
      <c r="B7" t="s">
        <v>107</v>
      </c>
      <c r="C7" s="1" t="s">
        <v>1111</v>
      </c>
      <c r="D7" t="s">
        <v>1112</v>
      </c>
      <c r="E7" t="s">
        <v>1113</v>
      </c>
      <c r="F7" t="s">
        <v>39</v>
      </c>
      <c r="G7" t="s">
        <v>447</v>
      </c>
      <c r="H7">
        <v>0.54</v>
      </c>
    </row>
    <row r="8" spans="1:8" x14ac:dyDescent="0.25">
      <c r="A8" s="7" t="s">
        <v>106</v>
      </c>
      <c r="B8" s="6" t="s">
        <v>107</v>
      </c>
      <c r="C8" s="7" t="s">
        <v>41</v>
      </c>
      <c r="D8" s="6" t="s">
        <v>42</v>
      </c>
      <c r="E8" s="6" t="s">
        <v>513</v>
      </c>
      <c r="F8" s="6" t="s">
        <v>5</v>
      </c>
      <c r="G8" s="6" t="s">
        <v>1038</v>
      </c>
      <c r="H8" s="6">
        <v>0.02</v>
      </c>
    </row>
    <row r="9" spans="1:8" x14ac:dyDescent="0.25">
      <c r="A9" s="1" t="s">
        <v>106</v>
      </c>
      <c r="B9" t="s">
        <v>107</v>
      </c>
      <c r="C9" s="1" t="s">
        <v>7</v>
      </c>
      <c r="D9" t="s">
        <v>8</v>
      </c>
      <c r="E9" t="s">
        <v>9</v>
      </c>
      <c r="F9" t="s">
        <v>10</v>
      </c>
      <c r="G9" t="s">
        <v>1114</v>
      </c>
      <c r="H9">
        <v>3.15</v>
      </c>
    </row>
    <row r="10" spans="1:8" x14ac:dyDescent="0.25">
      <c r="A10" s="7" t="s">
        <v>1121</v>
      </c>
      <c r="B10" s="6" t="s">
        <v>1122</v>
      </c>
      <c r="C10" s="7" t="s">
        <v>1123</v>
      </c>
      <c r="D10" s="6" t="s">
        <v>1124</v>
      </c>
      <c r="E10" s="6" t="s">
        <v>70</v>
      </c>
      <c r="F10" s="6" t="s">
        <v>5</v>
      </c>
      <c r="G10" s="6" t="s">
        <v>1125</v>
      </c>
      <c r="H10" s="6">
        <v>0.9</v>
      </c>
    </row>
    <row r="11" spans="1:8" x14ac:dyDescent="0.25">
      <c r="A11" s="1" t="s">
        <v>1121</v>
      </c>
      <c r="B11" t="s">
        <v>1122</v>
      </c>
      <c r="C11" s="1" t="s">
        <v>7</v>
      </c>
      <c r="D11" t="s">
        <v>8</v>
      </c>
      <c r="E11" t="s">
        <v>9</v>
      </c>
      <c r="F11" t="s">
        <v>10</v>
      </c>
      <c r="G11" t="s">
        <v>594</v>
      </c>
      <c r="H11">
        <v>11.5</v>
      </c>
    </row>
    <row r="12" spans="1:8" x14ac:dyDescent="0.25">
      <c r="A12" s="7" t="s">
        <v>1126</v>
      </c>
      <c r="B12" s="6" t="s">
        <v>1127</v>
      </c>
      <c r="C12" s="7" t="s">
        <v>1128</v>
      </c>
      <c r="D12" s="6" t="s">
        <v>1129</v>
      </c>
      <c r="E12" s="6" t="s">
        <v>31</v>
      </c>
      <c r="F12" s="6" t="s">
        <v>5</v>
      </c>
      <c r="G12" s="6" t="s">
        <v>1130</v>
      </c>
      <c r="H12" s="6">
        <v>7.95</v>
      </c>
    </row>
    <row r="13" spans="1:8" x14ac:dyDescent="0.25">
      <c r="A13" s="1" t="s">
        <v>1126</v>
      </c>
      <c r="B13" t="s">
        <v>1127</v>
      </c>
      <c r="C13" s="1" t="s">
        <v>7</v>
      </c>
      <c r="D13" t="s">
        <v>8</v>
      </c>
      <c r="E13" t="s">
        <v>9</v>
      </c>
      <c r="F13" t="s">
        <v>10</v>
      </c>
      <c r="G13" t="s">
        <v>1131</v>
      </c>
      <c r="H13">
        <v>19.95</v>
      </c>
    </row>
    <row r="14" spans="1:8" x14ac:dyDescent="0.25">
      <c r="A14" s="7" t="s">
        <v>229</v>
      </c>
      <c r="B14" s="6" t="s">
        <v>230</v>
      </c>
      <c r="C14" s="7" t="s">
        <v>1207</v>
      </c>
      <c r="D14" s="6" t="s">
        <v>1208</v>
      </c>
      <c r="E14" s="6" t="s">
        <v>1017</v>
      </c>
      <c r="F14" s="6" t="s">
        <v>5</v>
      </c>
      <c r="G14" s="6" t="s">
        <v>1209</v>
      </c>
      <c r="H14" s="6">
        <v>0.25</v>
      </c>
    </row>
    <row r="15" spans="1:8" x14ac:dyDescent="0.25">
      <c r="A15" s="1" t="s">
        <v>229</v>
      </c>
      <c r="B15" t="s">
        <v>230</v>
      </c>
      <c r="C15" s="1" t="s">
        <v>7</v>
      </c>
      <c r="D15" t="s">
        <v>8</v>
      </c>
      <c r="E15" t="s">
        <v>9</v>
      </c>
      <c r="F15" t="s">
        <v>10</v>
      </c>
      <c r="G15" t="s">
        <v>1065</v>
      </c>
      <c r="H15">
        <v>5</v>
      </c>
    </row>
    <row r="16" spans="1:8" x14ac:dyDescent="0.25">
      <c r="A16" s="7" t="s">
        <v>233</v>
      </c>
      <c r="B16" s="6" t="s">
        <v>234</v>
      </c>
      <c r="C16" s="7" t="s">
        <v>1207</v>
      </c>
      <c r="D16" s="6" t="s">
        <v>1208</v>
      </c>
      <c r="E16" s="6" t="s">
        <v>1017</v>
      </c>
      <c r="F16" s="6" t="s">
        <v>5</v>
      </c>
      <c r="G16" s="6" t="s">
        <v>1210</v>
      </c>
      <c r="H16" s="6">
        <v>0.3</v>
      </c>
    </row>
    <row r="17" spans="1:8" x14ac:dyDescent="0.25">
      <c r="A17" s="1" t="s">
        <v>233</v>
      </c>
      <c r="B17" t="s">
        <v>234</v>
      </c>
      <c r="C17" s="1" t="s">
        <v>7</v>
      </c>
      <c r="D17" t="s">
        <v>8</v>
      </c>
      <c r="E17" t="s">
        <v>9</v>
      </c>
      <c r="F17" t="s">
        <v>10</v>
      </c>
      <c r="G17" t="s">
        <v>1211</v>
      </c>
      <c r="H17">
        <v>8.15</v>
      </c>
    </row>
    <row r="18" spans="1:8" x14ac:dyDescent="0.25">
      <c r="A18" s="7" t="s">
        <v>1226</v>
      </c>
      <c r="B18" s="6" t="s">
        <v>1227</v>
      </c>
      <c r="C18" s="7" t="s">
        <v>1203</v>
      </c>
      <c r="D18" s="6" t="s">
        <v>1204</v>
      </c>
      <c r="E18" s="6" t="s">
        <v>216</v>
      </c>
      <c r="F18" s="6" t="s">
        <v>5</v>
      </c>
      <c r="G18" s="6" t="s">
        <v>1228</v>
      </c>
      <c r="H18" s="6">
        <v>0.55000000000000004</v>
      </c>
    </row>
    <row r="19" spans="1:8" x14ac:dyDescent="0.25">
      <c r="A19" s="1" t="s">
        <v>1226</v>
      </c>
      <c r="B19" t="s">
        <v>1227</v>
      </c>
      <c r="C19" s="1" t="s">
        <v>7</v>
      </c>
      <c r="D19" t="s">
        <v>8</v>
      </c>
      <c r="E19" t="s">
        <v>9</v>
      </c>
      <c r="F19" t="s">
        <v>10</v>
      </c>
      <c r="G19" t="s">
        <v>594</v>
      </c>
      <c r="H19">
        <v>11.5</v>
      </c>
    </row>
    <row r="20" spans="1:8" x14ac:dyDescent="0.25">
      <c r="A20" s="7" t="s">
        <v>382</v>
      </c>
      <c r="B20" s="6" t="s">
        <v>383</v>
      </c>
      <c r="C20" s="7" t="s">
        <v>1203</v>
      </c>
      <c r="D20" s="6" t="s">
        <v>1204</v>
      </c>
      <c r="E20" s="6" t="s">
        <v>1232</v>
      </c>
      <c r="F20" s="6" t="s">
        <v>5</v>
      </c>
      <c r="G20" s="6" t="s">
        <v>1233</v>
      </c>
      <c r="H20" s="6">
        <v>1.2</v>
      </c>
    </row>
    <row r="21" spans="1:8" x14ac:dyDescent="0.25">
      <c r="A21" s="1" t="s">
        <v>382</v>
      </c>
      <c r="B21" t="s">
        <v>383</v>
      </c>
      <c r="C21" s="1" t="s">
        <v>1234</v>
      </c>
      <c r="D21" t="s">
        <v>1235</v>
      </c>
      <c r="E21" t="s">
        <v>108</v>
      </c>
      <c r="F21" t="s">
        <v>932</v>
      </c>
      <c r="G21" t="s">
        <v>1236</v>
      </c>
      <c r="H21">
        <v>0.5</v>
      </c>
    </row>
    <row r="22" spans="1:8" x14ac:dyDescent="0.25">
      <c r="A22" s="7" t="s">
        <v>382</v>
      </c>
      <c r="B22" s="6" t="s">
        <v>383</v>
      </c>
      <c r="C22" s="7" t="s">
        <v>7</v>
      </c>
      <c r="D22" s="6" t="s">
        <v>8</v>
      </c>
      <c r="E22" s="6" t="s">
        <v>9</v>
      </c>
      <c r="F22" s="6" t="s">
        <v>10</v>
      </c>
      <c r="G22" s="6" t="s">
        <v>33</v>
      </c>
      <c r="H22" s="6">
        <v>9.1999999999999993</v>
      </c>
    </row>
    <row r="23" spans="1:8" x14ac:dyDescent="0.25">
      <c r="A23" s="1" t="s">
        <v>1259</v>
      </c>
      <c r="B23" t="s">
        <v>1308</v>
      </c>
      <c r="C23" s="1" t="s">
        <v>1022</v>
      </c>
      <c r="D23" t="s">
        <v>1023</v>
      </c>
      <c r="E23" t="s">
        <v>1024</v>
      </c>
      <c r="F23" t="s">
        <v>932</v>
      </c>
      <c r="G23" t="s">
        <v>92</v>
      </c>
      <c r="H23">
        <v>27.8</v>
      </c>
    </row>
    <row r="24" spans="1:8" x14ac:dyDescent="0.25">
      <c r="A24" s="7" t="s">
        <v>1259</v>
      </c>
      <c r="B24" s="6" t="s">
        <v>1308</v>
      </c>
      <c r="C24" s="7" t="s">
        <v>7</v>
      </c>
      <c r="D24" s="6" t="s">
        <v>8</v>
      </c>
      <c r="E24" s="6" t="s">
        <v>9</v>
      </c>
      <c r="F24" s="6" t="s">
        <v>10</v>
      </c>
      <c r="G24" s="6" t="s">
        <v>1309</v>
      </c>
      <c r="H24" s="6">
        <v>53.4</v>
      </c>
    </row>
    <row r="25" spans="1:8" x14ac:dyDescent="0.25">
      <c r="A25" s="1" t="s">
        <v>102</v>
      </c>
      <c r="B25" t="s">
        <v>103</v>
      </c>
      <c r="C25" s="1" t="s">
        <v>1162</v>
      </c>
      <c r="D25" t="s">
        <v>1163</v>
      </c>
      <c r="E25" t="s">
        <v>1164</v>
      </c>
      <c r="F25" t="s">
        <v>5</v>
      </c>
      <c r="G25" t="s">
        <v>1350</v>
      </c>
      <c r="H25">
        <v>0.6</v>
      </c>
    </row>
    <row r="26" spans="1:8" x14ac:dyDescent="0.25">
      <c r="A26" s="7" t="s">
        <v>102</v>
      </c>
      <c r="B26" s="6" t="s">
        <v>103</v>
      </c>
      <c r="C26" s="7" t="s">
        <v>7</v>
      </c>
      <c r="D26" s="6" t="s">
        <v>8</v>
      </c>
      <c r="E26" s="6" t="s">
        <v>9</v>
      </c>
      <c r="F26" s="6" t="s">
        <v>10</v>
      </c>
      <c r="G26" s="6" t="s">
        <v>1351</v>
      </c>
      <c r="H26" s="6">
        <v>2.9</v>
      </c>
    </row>
    <row r="27" spans="1:8" x14ac:dyDescent="0.25">
      <c r="A27" s="1" t="s">
        <v>265</v>
      </c>
      <c r="B27" t="s">
        <v>266</v>
      </c>
      <c r="C27" s="1" t="s">
        <v>1352</v>
      </c>
      <c r="D27" t="s">
        <v>1353</v>
      </c>
      <c r="E27" t="s">
        <v>1354</v>
      </c>
      <c r="F27" t="s">
        <v>5</v>
      </c>
      <c r="G27" t="s">
        <v>1355</v>
      </c>
      <c r="H27">
        <v>1.55</v>
      </c>
    </row>
    <row r="28" spans="1:8" x14ac:dyDescent="0.25">
      <c r="A28" s="7" t="s">
        <v>265</v>
      </c>
      <c r="B28" s="6" t="s">
        <v>266</v>
      </c>
      <c r="C28" s="7" t="s">
        <v>7</v>
      </c>
      <c r="D28" s="6" t="s">
        <v>8</v>
      </c>
      <c r="E28" s="6" t="s">
        <v>9</v>
      </c>
      <c r="F28" s="6" t="s">
        <v>10</v>
      </c>
      <c r="G28" s="6" t="s">
        <v>1356</v>
      </c>
      <c r="H28" s="6">
        <v>4.75</v>
      </c>
    </row>
    <row r="29" spans="1:8" x14ac:dyDescent="0.25">
      <c r="A29" s="1" t="s">
        <v>1372</v>
      </c>
      <c r="B29" t="s">
        <v>1373</v>
      </c>
      <c r="C29" s="1" t="s">
        <v>1335</v>
      </c>
      <c r="D29" t="s">
        <v>1336</v>
      </c>
      <c r="E29" t="s">
        <v>1374</v>
      </c>
      <c r="F29" t="s">
        <v>49</v>
      </c>
      <c r="G29" t="s">
        <v>50</v>
      </c>
      <c r="H29">
        <v>63.35</v>
      </c>
    </row>
    <row r="30" spans="1:8" x14ac:dyDescent="0.25">
      <c r="A30" s="7" t="s">
        <v>1372</v>
      </c>
      <c r="B30" s="6" t="s">
        <v>1373</v>
      </c>
      <c r="C30" s="7" t="s">
        <v>7</v>
      </c>
      <c r="D30" s="6" t="s">
        <v>8</v>
      </c>
      <c r="E30" s="6" t="s">
        <v>9</v>
      </c>
      <c r="F30" s="6" t="s">
        <v>10</v>
      </c>
      <c r="G30" s="6" t="s">
        <v>1375</v>
      </c>
      <c r="H30" s="6">
        <v>41</v>
      </c>
    </row>
    <row r="31" spans="1:8" x14ac:dyDescent="0.25">
      <c r="A31" s="1" t="s">
        <v>352</v>
      </c>
      <c r="B31" t="s">
        <v>353</v>
      </c>
      <c r="C31" s="1" t="s">
        <v>1099</v>
      </c>
      <c r="D31" t="s">
        <v>1100</v>
      </c>
      <c r="E31" t="s">
        <v>31</v>
      </c>
      <c r="F31" t="s">
        <v>932</v>
      </c>
      <c r="G31" t="s">
        <v>1411</v>
      </c>
      <c r="H31">
        <v>5.15</v>
      </c>
    </row>
    <row r="32" spans="1:8" x14ac:dyDescent="0.25">
      <c r="A32" s="7" t="s">
        <v>352</v>
      </c>
      <c r="B32" s="6" t="s">
        <v>353</v>
      </c>
      <c r="C32" s="7" t="s">
        <v>1060</v>
      </c>
      <c r="D32" s="6" t="s">
        <v>433</v>
      </c>
      <c r="E32" s="6" t="s">
        <v>1061</v>
      </c>
      <c r="F32" s="6" t="s">
        <v>121</v>
      </c>
      <c r="G32" s="6" t="s">
        <v>50</v>
      </c>
      <c r="H32" s="6">
        <v>1.7</v>
      </c>
    </row>
    <row r="33" spans="1:8" x14ac:dyDescent="0.25">
      <c r="A33" s="1" t="s">
        <v>352</v>
      </c>
      <c r="B33" t="s">
        <v>353</v>
      </c>
      <c r="C33" s="1" t="s">
        <v>7</v>
      </c>
      <c r="D33" t="s">
        <v>8</v>
      </c>
      <c r="E33" t="s">
        <v>9</v>
      </c>
      <c r="F33" t="s">
        <v>10</v>
      </c>
      <c r="G33" t="s">
        <v>1412</v>
      </c>
      <c r="H33">
        <v>16.649999999999999</v>
      </c>
    </row>
    <row r="34" spans="1:8" x14ac:dyDescent="0.25">
      <c r="A34" s="7" t="s">
        <v>348</v>
      </c>
      <c r="B34" s="6" t="s">
        <v>349</v>
      </c>
      <c r="C34" s="7" t="s">
        <v>1099</v>
      </c>
      <c r="D34" s="6" t="s">
        <v>1100</v>
      </c>
      <c r="E34" s="6" t="s">
        <v>31</v>
      </c>
      <c r="F34" s="6" t="s">
        <v>932</v>
      </c>
      <c r="G34" s="6" t="s">
        <v>1413</v>
      </c>
      <c r="H34" s="6">
        <v>3.75</v>
      </c>
    </row>
    <row r="35" spans="1:8" x14ac:dyDescent="0.25">
      <c r="A35" s="1" t="s">
        <v>348</v>
      </c>
      <c r="B35" t="s">
        <v>349</v>
      </c>
      <c r="C35" s="1" t="s">
        <v>432</v>
      </c>
      <c r="D35" t="s">
        <v>433</v>
      </c>
      <c r="E35" t="s">
        <v>434</v>
      </c>
      <c r="F35" t="s">
        <v>435</v>
      </c>
      <c r="G35" t="s">
        <v>1414</v>
      </c>
      <c r="H35">
        <v>1.6</v>
      </c>
    </row>
    <row r="36" spans="1:8" x14ac:dyDescent="0.25">
      <c r="A36" s="7" t="s">
        <v>348</v>
      </c>
      <c r="B36" s="6" t="s">
        <v>349</v>
      </c>
      <c r="C36" s="7" t="s">
        <v>7</v>
      </c>
      <c r="D36" s="6" t="s">
        <v>8</v>
      </c>
      <c r="E36" s="6" t="s">
        <v>9</v>
      </c>
      <c r="F36" s="6" t="s">
        <v>10</v>
      </c>
      <c r="G36" s="6" t="s">
        <v>1415</v>
      </c>
      <c r="H36" s="6">
        <v>9.6</v>
      </c>
    </row>
    <row r="37" spans="1:8" x14ac:dyDescent="0.25">
      <c r="A37" s="1" t="s">
        <v>85</v>
      </c>
      <c r="B37" t="s">
        <v>86</v>
      </c>
      <c r="C37" s="1" t="s">
        <v>1188</v>
      </c>
      <c r="D37" t="s">
        <v>1189</v>
      </c>
      <c r="E37" t="s">
        <v>1190</v>
      </c>
      <c r="F37" t="s">
        <v>5</v>
      </c>
      <c r="G37" t="s">
        <v>1474</v>
      </c>
      <c r="H37">
        <v>1.4</v>
      </c>
    </row>
    <row r="38" spans="1:8" x14ac:dyDescent="0.25">
      <c r="A38" s="7" t="s">
        <v>85</v>
      </c>
      <c r="B38" s="6" t="s">
        <v>86</v>
      </c>
      <c r="C38" s="7" t="s">
        <v>1060</v>
      </c>
      <c r="D38" s="6" t="s">
        <v>433</v>
      </c>
      <c r="E38" s="6" t="s">
        <v>1061</v>
      </c>
      <c r="F38" s="6" t="s">
        <v>121</v>
      </c>
      <c r="G38" s="6" t="s">
        <v>50</v>
      </c>
      <c r="H38" s="6">
        <v>1.7</v>
      </c>
    </row>
    <row r="39" spans="1:8" x14ac:dyDescent="0.25">
      <c r="A39" s="1" t="s">
        <v>85</v>
      </c>
      <c r="B39" t="s">
        <v>86</v>
      </c>
      <c r="C39" s="1" t="s">
        <v>7</v>
      </c>
      <c r="D39" t="s">
        <v>8</v>
      </c>
      <c r="E39" t="s">
        <v>9</v>
      </c>
      <c r="F39" t="s">
        <v>10</v>
      </c>
      <c r="G39" t="s">
        <v>1148</v>
      </c>
      <c r="H39">
        <v>5.8</v>
      </c>
    </row>
    <row r="40" spans="1:8" x14ac:dyDescent="0.25">
      <c r="A40" s="7" t="s">
        <v>946</v>
      </c>
      <c r="B40" s="6" t="s">
        <v>947</v>
      </c>
      <c r="C40" s="7" t="s">
        <v>1022</v>
      </c>
      <c r="D40" s="6" t="s">
        <v>1023</v>
      </c>
      <c r="E40" s="6" t="s">
        <v>1024</v>
      </c>
      <c r="F40" s="6" t="s">
        <v>932</v>
      </c>
      <c r="G40" s="6" t="s">
        <v>1691</v>
      </c>
      <c r="H40" s="6">
        <v>127.2</v>
      </c>
    </row>
    <row r="41" spans="1:8" x14ac:dyDescent="0.25">
      <c r="A41" s="1" t="s">
        <v>946</v>
      </c>
      <c r="B41" t="s">
        <v>947</v>
      </c>
      <c r="C41" s="1" t="s">
        <v>7</v>
      </c>
      <c r="D41" t="s">
        <v>8</v>
      </c>
      <c r="E41" t="s">
        <v>9</v>
      </c>
      <c r="F41" t="s">
        <v>10</v>
      </c>
      <c r="G41" t="s">
        <v>1692</v>
      </c>
      <c r="H41">
        <v>59.9</v>
      </c>
    </row>
    <row r="42" spans="1:8" x14ac:dyDescent="0.25">
      <c r="A42" s="7" t="s">
        <v>946</v>
      </c>
      <c r="B42" s="6" t="s">
        <v>947</v>
      </c>
      <c r="C42" s="7" t="s">
        <v>7</v>
      </c>
      <c r="D42" s="6" t="s">
        <v>8</v>
      </c>
      <c r="E42" s="6" t="s">
        <v>9</v>
      </c>
      <c r="F42" s="6" t="s">
        <v>10</v>
      </c>
      <c r="G42" s="6" t="s">
        <v>1693</v>
      </c>
      <c r="H42" s="6">
        <v>64.900000000000006</v>
      </c>
    </row>
    <row r="43" spans="1:8" x14ac:dyDescent="0.25">
      <c r="A43" s="1" t="s">
        <v>942</v>
      </c>
      <c r="B43" t="s">
        <v>943</v>
      </c>
      <c r="C43" s="1" t="s">
        <v>1022</v>
      </c>
      <c r="D43" t="s">
        <v>1023</v>
      </c>
      <c r="E43" t="s">
        <v>1024</v>
      </c>
      <c r="F43" t="s">
        <v>932</v>
      </c>
      <c r="G43" t="s">
        <v>1694</v>
      </c>
      <c r="H43">
        <v>128.6</v>
      </c>
    </row>
    <row r="44" spans="1:8" x14ac:dyDescent="0.25">
      <c r="A44" s="7" t="s">
        <v>942</v>
      </c>
      <c r="B44" s="6" t="s">
        <v>943</v>
      </c>
      <c r="C44" s="7" t="s">
        <v>7</v>
      </c>
      <c r="D44" s="6" t="s">
        <v>8</v>
      </c>
      <c r="E44" s="6" t="s">
        <v>9</v>
      </c>
      <c r="F44" s="6" t="s">
        <v>10</v>
      </c>
      <c r="G44" s="6" t="s">
        <v>1695</v>
      </c>
      <c r="H44" s="6">
        <v>64.099999999999994</v>
      </c>
    </row>
    <row r="45" spans="1:8" x14ac:dyDescent="0.25">
      <c r="A45" s="1" t="s">
        <v>942</v>
      </c>
      <c r="B45" t="s">
        <v>943</v>
      </c>
      <c r="C45" s="1" t="s">
        <v>7</v>
      </c>
      <c r="D45" t="s">
        <v>8</v>
      </c>
      <c r="E45" t="s">
        <v>9</v>
      </c>
      <c r="F45" t="s">
        <v>10</v>
      </c>
      <c r="G45" t="s">
        <v>1696</v>
      </c>
      <c r="H45">
        <v>70</v>
      </c>
    </row>
    <row r="46" spans="1:8" x14ac:dyDescent="0.25">
      <c r="A46" s="7" t="s">
        <v>1734</v>
      </c>
      <c r="B46" s="6" t="s">
        <v>1735</v>
      </c>
      <c r="C46" s="7" t="s">
        <v>1736</v>
      </c>
      <c r="D46" s="6" t="s">
        <v>1737</v>
      </c>
      <c r="E46" s="6" t="s">
        <v>1738</v>
      </c>
      <c r="F46" s="6" t="s">
        <v>49</v>
      </c>
      <c r="G46" s="6" t="s">
        <v>1739</v>
      </c>
      <c r="H46" s="6">
        <v>2.5</v>
      </c>
    </row>
    <row r="47" spans="1:8" x14ac:dyDescent="0.25">
      <c r="A47" s="1" t="s">
        <v>1734</v>
      </c>
      <c r="B47" t="s">
        <v>1735</v>
      </c>
      <c r="C47" s="1" t="s">
        <v>7</v>
      </c>
      <c r="D47" t="s">
        <v>8</v>
      </c>
      <c r="E47" t="s">
        <v>9</v>
      </c>
      <c r="F47" t="s">
        <v>10</v>
      </c>
      <c r="G47" t="s">
        <v>1740</v>
      </c>
      <c r="H47">
        <v>3.7</v>
      </c>
    </row>
    <row r="48" spans="1:8" x14ac:dyDescent="0.25">
      <c r="A48" s="7" t="s">
        <v>94</v>
      </c>
      <c r="B48" s="6" t="s">
        <v>95</v>
      </c>
      <c r="C48" s="7" t="s">
        <v>1769</v>
      </c>
      <c r="D48" s="6" t="s">
        <v>1770</v>
      </c>
      <c r="E48" s="6" t="s">
        <v>1771</v>
      </c>
      <c r="F48" s="6" t="s">
        <v>17</v>
      </c>
      <c r="G48" s="6" t="s">
        <v>1772</v>
      </c>
      <c r="H48" s="6">
        <v>0.35</v>
      </c>
    </row>
    <row r="49" spans="1:8" x14ac:dyDescent="0.25">
      <c r="A49" s="1" t="s">
        <v>94</v>
      </c>
      <c r="B49" t="s">
        <v>95</v>
      </c>
      <c r="C49" s="1" t="s">
        <v>432</v>
      </c>
      <c r="D49" t="s">
        <v>433</v>
      </c>
      <c r="E49" t="s">
        <v>434</v>
      </c>
      <c r="F49" t="s">
        <v>435</v>
      </c>
      <c r="G49" t="s">
        <v>50</v>
      </c>
      <c r="H49">
        <v>1.1000000000000001</v>
      </c>
    </row>
    <row r="50" spans="1:8" x14ac:dyDescent="0.25">
      <c r="A50" s="7" t="s">
        <v>94</v>
      </c>
      <c r="B50" s="6" t="s">
        <v>95</v>
      </c>
      <c r="C50" s="7" t="s">
        <v>7</v>
      </c>
      <c r="D50" s="6" t="s">
        <v>8</v>
      </c>
      <c r="E50" s="6" t="s">
        <v>9</v>
      </c>
      <c r="F50" s="6" t="s">
        <v>10</v>
      </c>
      <c r="G50" s="6" t="s">
        <v>1773</v>
      </c>
      <c r="H50" s="6">
        <v>3</v>
      </c>
    </row>
    <row r="51" spans="1:8" x14ac:dyDescent="0.25">
      <c r="A51" s="1" t="s">
        <v>98</v>
      </c>
      <c r="B51" t="s">
        <v>99</v>
      </c>
      <c r="C51" s="1" t="s">
        <v>1774</v>
      </c>
      <c r="D51" t="s">
        <v>1775</v>
      </c>
      <c r="E51" t="s">
        <v>1776</v>
      </c>
      <c r="F51" t="s">
        <v>17</v>
      </c>
      <c r="G51" t="s">
        <v>1777</v>
      </c>
      <c r="H51">
        <v>0.45</v>
      </c>
    </row>
    <row r="52" spans="1:8" x14ac:dyDescent="0.25">
      <c r="A52" s="7" t="s">
        <v>98</v>
      </c>
      <c r="B52" s="6" t="s">
        <v>99</v>
      </c>
      <c r="C52" s="7" t="s">
        <v>432</v>
      </c>
      <c r="D52" s="6" t="s">
        <v>433</v>
      </c>
      <c r="E52" s="6" t="s">
        <v>434</v>
      </c>
      <c r="F52" s="6" t="s">
        <v>435</v>
      </c>
      <c r="G52" s="6" t="s">
        <v>50</v>
      </c>
      <c r="H52" s="6">
        <v>1.1000000000000001</v>
      </c>
    </row>
    <row r="53" spans="1:8" x14ac:dyDescent="0.25">
      <c r="A53" s="1" t="s">
        <v>98</v>
      </c>
      <c r="B53" t="s">
        <v>99</v>
      </c>
      <c r="C53" s="1" t="s">
        <v>7</v>
      </c>
      <c r="D53" t="s">
        <v>8</v>
      </c>
      <c r="E53" t="s">
        <v>9</v>
      </c>
      <c r="F53" t="s">
        <v>10</v>
      </c>
      <c r="G53" t="s">
        <v>1778</v>
      </c>
      <c r="H53">
        <v>2.1</v>
      </c>
    </row>
    <row r="54" spans="1:8" x14ac:dyDescent="0.25">
      <c r="A54" s="7" t="s">
        <v>314</v>
      </c>
      <c r="B54" s="6" t="s">
        <v>315</v>
      </c>
      <c r="C54" s="7" t="s">
        <v>1785</v>
      </c>
      <c r="D54" s="6" t="s">
        <v>1786</v>
      </c>
      <c r="E54" s="6" t="s">
        <v>31</v>
      </c>
      <c r="F54" s="6" t="s">
        <v>5</v>
      </c>
      <c r="G54" s="6" t="s">
        <v>1787</v>
      </c>
      <c r="H54" s="6">
        <v>0.45</v>
      </c>
    </row>
    <row r="55" spans="1:8" x14ac:dyDescent="0.25">
      <c r="A55" s="1" t="s">
        <v>314</v>
      </c>
      <c r="B55" t="s">
        <v>315</v>
      </c>
      <c r="C55" s="1" t="s">
        <v>432</v>
      </c>
      <c r="D55" t="s">
        <v>433</v>
      </c>
      <c r="E55" t="s">
        <v>434</v>
      </c>
      <c r="F55" t="s">
        <v>435</v>
      </c>
      <c r="G55" t="s">
        <v>50</v>
      </c>
      <c r="H55">
        <v>1.1000000000000001</v>
      </c>
    </row>
    <row r="56" spans="1:8" x14ac:dyDescent="0.25">
      <c r="A56" s="7" t="s">
        <v>314</v>
      </c>
      <c r="B56" s="6" t="s">
        <v>315</v>
      </c>
      <c r="C56" s="7" t="s">
        <v>7</v>
      </c>
      <c r="D56" s="6" t="s">
        <v>8</v>
      </c>
      <c r="E56" s="6" t="s">
        <v>9</v>
      </c>
      <c r="F56" s="6" t="s">
        <v>10</v>
      </c>
      <c r="G56" s="6" t="s">
        <v>1044</v>
      </c>
      <c r="H56" s="6">
        <v>4.8</v>
      </c>
    </row>
    <row r="57" spans="1:8" x14ac:dyDescent="0.25">
      <c r="A57" s="1" t="s">
        <v>221</v>
      </c>
      <c r="B57" t="s">
        <v>222</v>
      </c>
      <c r="C57" s="1" t="s">
        <v>1788</v>
      </c>
      <c r="D57" t="s">
        <v>1789</v>
      </c>
      <c r="E57" t="s">
        <v>1354</v>
      </c>
      <c r="F57" t="s">
        <v>5</v>
      </c>
      <c r="G57" t="s">
        <v>1790</v>
      </c>
      <c r="H57">
        <v>0.45</v>
      </c>
    </row>
    <row r="58" spans="1:8" x14ac:dyDescent="0.25">
      <c r="A58" s="7" t="s">
        <v>221</v>
      </c>
      <c r="B58" s="6" t="s">
        <v>222</v>
      </c>
      <c r="C58" s="7" t="s">
        <v>7</v>
      </c>
      <c r="D58" s="6" t="s">
        <v>8</v>
      </c>
      <c r="E58" s="6" t="s">
        <v>9</v>
      </c>
      <c r="F58" s="6" t="s">
        <v>10</v>
      </c>
      <c r="G58" s="6" t="s">
        <v>1791</v>
      </c>
      <c r="H58" s="6">
        <v>2.4500000000000002</v>
      </c>
    </row>
    <row r="59" spans="1:8" x14ac:dyDescent="0.25">
      <c r="A59" s="1" t="s">
        <v>89</v>
      </c>
      <c r="B59" t="s">
        <v>90</v>
      </c>
      <c r="C59" s="1" t="s">
        <v>1813</v>
      </c>
      <c r="D59" t="s">
        <v>1814</v>
      </c>
      <c r="E59" t="s">
        <v>145</v>
      </c>
      <c r="F59" t="s">
        <v>5</v>
      </c>
      <c r="G59" t="s">
        <v>1815</v>
      </c>
      <c r="H59">
        <v>0.2</v>
      </c>
    </row>
    <row r="60" spans="1:8" x14ac:dyDescent="0.25">
      <c r="A60" s="7" t="s">
        <v>89</v>
      </c>
      <c r="B60" s="6" t="s">
        <v>90</v>
      </c>
      <c r="C60" s="7" t="s">
        <v>432</v>
      </c>
      <c r="D60" s="6" t="s">
        <v>433</v>
      </c>
      <c r="E60" s="6" t="s">
        <v>434</v>
      </c>
      <c r="F60" s="6" t="s">
        <v>435</v>
      </c>
      <c r="G60" s="6" t="s">
        <v>50</v>
      </c>
      <c r="H60" s="6">
        <v>1.1000000000000001</v>
      </c>
    </row>
    <row r="61" spans="1:8" x14ac:dyDescent="0.25">
      <c r="A61" s="1" t="s">
        <v>89</v>
      </c>
      <c r="B61" t="s">
        <v>90</v>
      </c>
      <c r="C61" s="1" t="s">
        <v>7</v>
      </c>
      <c r="D61" t="s">
        <v>8</v>
      </c>
      <c r="E61" t="s">
        <v>9</v>
      </c>
      <c r="F61" t="s">
        <v>10</v>
      </c>
      <c r="G61" t="s">
        <v>112</v>
      </c>
      <c r="H61">
        <v>3.9</v>
      </c>
    </row>
    <row r="62" spans="1:8" x14ac:dyDescent="0.25">
      <c r="A62" s="7" t="s">
        <v>451</v>
      </c>
      <c r="B62" s="6" t="s">
        <v>452</v>
      </c>
      <c r="C62" s="7" t="s">
        <v>1094</v>
      </c>
      <c r="D62" s="6" t="s">
        <v>1095</v>
      </c>
      <c r="E62" s="6" t="s">
        <v>887</v>
      </c>
      <c r="F62" s="6" t="s">
        <v>5</v>
      </c>
      <c r="G62" s="6" t="s">
        <v>1254</v>
      </c>
      <c r="H62" s="6">
        <v>9.8000000000000007</v>
      </c>
    </row>
    <row r="63" spans="1:8" x14ac:dyDescent="0.25">
      <c r="A63" s="1" t="s">
        <v>451</v>
      </c>
      <c r="B63" t="s">
        <v>452</v>
      </c>
      <c r="C63" s="1" t="s">
        <v>7</v>
      </c>
      <c r="D63" t="s">
        <v>8</v>
      </c>
      <c r="E63" t="s">
        <v>9</v>
      </c>
      <c r="F63" t="s">
        <v>10</v>
      </c>
      <c r="G63" t="s">
        <v>1943</v>
      </c>
      <c r="H63">
        <v>7.1</v>
      </c>
    </row>
    <row r="64" spans="1:8" x14ac:dyDescent="0.25">
      <c r="A64" s="7" t="s">
        <v>46</v>
      </c>
      <c r="B64" s="6" t="s">
        <v>47</v>
      </c>
      <c r="C64" s="7" t="s">
        <v>1203</v>
      </c>
      <c r="D64" s="6" t="s">
        <v>1204</v>
      </c>
      <c r="E64" s="6" t="s">
        <v>1232</v>
      </c>
      <c r="F64" s="6" t="s">
        <v>5</v>
      </c>
      <c r="G64" s="6" t="s">
        <v>2127</v>
      </c>
      <c r="H64" s="6">
        <v>0.5</v>
      </c>
    </row>
    <row r="65" spans="1:8" x14ac:dyDescent="0.25">
      <c r="A65" s="1" t="s">
        <v>46</v>
      </c>
      <c r="B65" t="s">
        <v>47</v>
      </c>
      <c r="C65" s="1" t="s">
        <v>432</v>
      </c>
      <c r="D65" t="s">
        <v>433</v>
      </c>
      <c r="E65" t="s">
        <v>434</v>
      </c>
      <c r="F65" t="s">
        <v>435</v>
      </c>
      <c r="G65" t="s">
        <v>92</v>
      </c>
      <c r="H65">
        <v>2.2000000000000002</v>
      </c>
    </row>
    <row r="66" spans="1:8" x14ac:dyDescent="0.25">
      <c r="A66" s="7" t="s">
        <v>46</v>
      </c>
      <c r="B66" s="6" t="s">
        <v>47</v>
      </c>
      <c r="C66" s="7" t="s">
        <v>7</v>
      </c>
      <c r="D66" s="6" t="s">
        <v>8</v>
      </c>
      <c r="E66" s="6" t="s">
        <v>9</v>
      </c>
      <c r="F66" s="6" t="s">
        <v>10</v>
      </c>
      <c r="G66" s="6" t="s">
        <v>33</v>
      </c>
      <c r="H66" s="6">
        <v>9.1999999999999993</v>
      </c>
    </row>
    <row r="67" spans="1:8" x14ac:dyDescent="0.25">
      <c r="A67" s="1" t="s">
        <v>954</v>
      </c>
      <c r="B67" t="s">
        <v>955</v>
      </c>
      <c r="C67" s="1" t="s">
        <v>1367</v>
      </c>
      <c r="D67" t="s">
        <v>2132</v>
      </c>
      <c r="E67" t="s">
        <v>1347</v>
      </c>
      <c r="F67" t="s">
        <v>5</v>
      </c>
      <c r="G67" t="s">
        <v>2159</v>
      </c>
      <c r="H67">
        <v>1.43</v>
      </c>
    </row>
    <row r="68" spans="1:8" x14ac:dyDescent="0.25">
      <c r="A68" s="7" t="s">
        <v>954</v>
      </c>
      <c r="B68" s="6" t="s">
        <v>955</v>
      </c>
      <c r="C68" s="7" t="s">
        <v>7</v>
      </c>
      <c r="D68" s="6" t="s">
        <v>8</v>
      </c>
      <c r="E68" s="6" t="s">
        <v>9</v>
      </c>
      <c r="F68" s="6" t="s">
        <v>10</v>
      </c>
      <c r="G68" s="6" t="s">
        <v>2160</v>
      </c>
      <c r="H68" s="6">
        <v>1.42</v>
      </c>
    </row>
    <row r="69" spans="1:8" x14ac:dyDescent="0.25">
      <c r="A69" s="1" t="s">
        <v>958</v>
      </c>
      <c r="B69" t="s">
        <v>959</v>
      </c>
      <c r="C69" s="1" t="s">
        <v>2161</v>
      </c>
      <c r="D69" t="s">
        <v>2162</v>
      </c>
      <c r="E69" t="s">
        <v>1354</v>
      </c>
      <c r="F69" t="s">
        <v>5</v>
      </c>
      <c r="G69" t="s">
        <v>2163</v>
      </c>
      <c r="H69">
        <v>0.35</v>
      </c>
    </row>
    <row r="70" spans="1:8" x14ac:dyDescent="0.25">
      <c r="A70" s="7" t="s">
        <v>958</v>
      </c>
      <c r="B70" s="6" t="s">
        <v>959</v>
      </c>
      <c r="C70" s="7" t="s">
        <v>7</v>
      </c>
      <c r="D70" s="6" t="s">
        <v>8</v>
      </c>
      <c r="E70" s="6" t="s">
        <v>9</v>
      </c>
      <c r="F70" s="6" t="s">
        <v>10</v>
      </c>
      <c r="G70" s="6" t="s">
        <v>1492</v>
      </c>
      <c r="H70" s="6">
        <v>3.5</v>
      </c>
    </row>
    <row r="71" spans="1:8" x14ac:dyDescent="0.25">
      <c r="A71" s="1" t="s">
        <v>2465</v>
      </c>
      <c r="B71" t="s">
        <v>2466</v>
      </c>
      <c r="C71" s="1" t="s">
        <v>2467</v>
      </c>
      <c r="D71" t="s">
        <v>2468</v>
      </c>
      <c r="E71" t="s">
        <v>2469</v>
      </c>
      <c r="F71" t="s">
        <v>5</v>
      </c>
      <c r="G71" t="s">
        <v>2470</v>
      </c>
      <c r="H71">
        <v>8.3000000000000007</v>
      </c>
    </row>
    <row r="72" spans="1:8" x14ac:dyDescent="0.25">
      <c r="A72" s="7" t="s">
        <v>2465</v>
      </c>
      <c r="B72" s="6" t="s">
        <v>2466</v>
      </c>
      <c r="C72" s="7" t="s">
        <v>7</v>
      </c>
      <c r="D72" s="6" t="s">
        <v>8</v>
      </c>
      <c r="E72" s="6" t="s">
        <v>9</v>
      </c>
      <c r="F72" s="6" t="s">
        <v>10</v>
      </c>
      <c r="G72" s="6" t="s">
        <v>2471</v>
      </c>
      <c r="H72" s="6">
        <v>12.1</v>
      </c>
    </row>
    <row r="73" spans="1:8" x14ac:dyDescent="0.25">
      <c r="A73" s="1" t="s">
        <v>2507</v>
      </c>
      <c r="B73" t="s">
        <v>2508</v>
      </c>
      <c r="C73" s="1" t="s">
        <v>2509</v>
      </c>
      <c r="D73" t="s">
        <v>2510</v>
      </c>
      <c r="E73" t="s">
        <v>31</v>
      </c>
      <c r="F73" t="s">
        <v>5</v>
      </c>
      <c r="G73" t="s">
        <v>50</v>
      </c>
      <c r="H73">
        <v>10.6</v>
      </c>
    </row>
    <row r="74" spans="1:8" x14ac:dyDescent="0.25">
      <c r="A74" s="7" t="s">
        <v>2507</v>
      </c>
      <c r="B74" s="6" t="s">
        <v>2508</v>
      </c>
      <c r="C74" s="7" t="s">
        <v>7</v>
      </c>
      <c r="D74" s="6" t="s">
        <v>8</v>
      </c>
      <c r="E74" s="6" t="s">
        <v>9</v>
      </c>
      <c r="F74" s="6" t="s">
        <v>10</v>
      </c>
      <c r="G74" s="6" t="s">
        <v>1505</v>
      </c>
      <c r="H74" s="6">
        <v>11.95</v>
      </c>
    </row>
    <row r="75" spans="1:8" x14ac:dyDescent="0.25">
      <c r="A75" s="1" t="s">
        <v>2060</v>
      </c>
      <c r="B75" t="s">
        <v>2061</v>
      </c>
      <c r="C75" s="1" t="s">
        <v>2511</v>
      </c>
      <c r="D75" t="s">
        <v>2512</v>
      </c>
      <c r="E75" t="s">
        <v>2513</v>
      </c>
      <c r="F75" t="s">
        <v>17</v>
      </c>
      <c r="G75" t="s">
        <v>2514</v>
      </c>
      <c r="H75">
        <v>1.05</v>
      </c>
    </row>
    <row r="76" spans="1:8" x14ac:dyDescent="0.25">
      <c r="A76" s="7" t="s">
        <v>2060</v>
      </c>
      <c r="B76" s="6" t="s">
        <v>2061</v>
      </c>
      <c r="C76" s="7" t="s">
        <v>7</v>
      </c>
      <c r="D76" s="6" t="s">
        <v>8</v>
      </c>
      <c r="E76" s="6" t="s">
        <v>9</v>
      </c>
      <c r="F76" s="6" t="s">
        <v>10</v>
      </c>
      <c r="G76" s="6" t="s">
        <v>1254</v>
      </c>
      <c r="H76" s="6">
        <v>16.100000000000001</v>
      </c>
    </row>
    <row r="77" spans="1:8" x14ac:dyDescent="0.25">
      <c r="A77" s="1" t="s">
        <v>2064</v>
      </c>
      <c r="B77" t="s">
        <v>2065</v>
      </c>
      <c r="C77" s="1" t="s">
        <v>2511</v>
      </c>
      <c r="D77" t="s">
        <v>2512</v>
      </c>
      <c r="E77" t="s">
        <v>2513</v>
      </c>
      <c r="F77" t="s">
        <v>17</v>
      </c>
      <c r="G77" t="s">
        <v>2515</v>
      </c>
      <c r="H77">
        <v>0.95</v>
      </c>
    </row>
    <row r="78" spans="1:8" x14ac:dyDescent="0.25">
      <c r="A78" s="7" t="s">
        <v>2064</v>
      </c>
      <c r="B78" s="6" t="s">
        <v>2065</v>
      </c>
      <c r="C78" s="7" t="s">
        <v>7</v>
      </c>
      <c r="D78" s="6" t="s">
        <v>8</v>
      </c>
      <c r="E78" s="6" t="s">
        <v>9</v>
      </c>
      <c r="F78" s="6" t="s">
        <v>10</v>
      </c>
      <c r="G78" s="6" t="s">
        <v>594</v>
      </c>
      <c r="H78" s="6">
        <v>11.5</v>
      </c>
    </row>
    <row r="79" spans="1:8" x14ac:dyDescent="0.25">
      <c r="A79" s="1" t="s">
        <v>2052</v>
      </c>
      <c r="B79" t="s">
        <v>2053</v>
      </c>
      <c r="C79" s="1" t="s">
        <v>2516</v>
      </c>
      <c r="D79" t="s">
        <v>2517</v>
      </c>
      <c r="E79" t="s">
        <v>1110</v>
      </c>
      <c r="F79" t="s">
        <v>17</v>
      </c>
      <c r="G79" t="s">
        <v>1254</v>
      </c>
      <c r="H79">
        <v>17.149999999999999</v>
      </c>
    </row>
    <row r="80" spans="1:8" x14ac:dyDescent="0.25">
      <c r="A80" s="7" t="s">
        <v>2052</v>
      </c>
      <c r="B80" s="6" t="s">
        <v>2053</v>
      </c>
      <c r="C80" s="7" t="s">
        <v>7</v>
      </c>
      <c r="D80" s="6" t="s">
        <v>8</v>
      </c>
      <c r="E80" s="6" t="s">
        <v>9</v>
      </c>
      <c r="F80" s="6" t="s">
        <v>10</v>
      </c>
      <c r="G80" s="6" t="s">
        <v>2518</v>
      </c>
      <c r="H80" s="6">
        <v>2.4</v>
      </c>
    </row>
    <row r="81" spans="1:8" x14ac:dyDescent="0.25">
      <c r="A81" s="1" t="s">
        <v>2056</v>
      </c>
      <c r="B81" t="s">
        <v>2057</v>
      </c>
      <c r="C81" s="1" t="s">
        <v>2516</v>
      </c>
      <c r="D81" t="s">
        <v>2517</v>
      </c>
      <c r="E81" t="s">
        <v>1110</v>
      </c>
      <c r="F81" t="s">
        <v>17</v>
      </c>
      <c r="G81" t="s">
        <v>2519</v>
      </c>
      <c r="H81">
        <v>1.95</v>
      </c>
    </row>
    <row r="82" spans="1:8" x14ac:dyDescent="0.25">
      <c r="A82" s="7" t="s">
        <v>2056</v>
      </c>
      <c r="B82" s="6" t="s">
        <v>2057</v>
      </c>
      <c r="C82" s="7" t="s">
        <v>7</v>
      </c>
      <c r="D82" s="6" t="s">
        <v>8</v>
      </c>
      <c r="E82" s="6" t="s">
        <v>9</v>
      </c>
      <c r="F82" s="6" t="s">
        <v>10</v>
      </c>
      <c r="G82" s="6" t="s">
        <v>2518</v>
      </c>
      <c r="H82" s="6">
        <v>2.4</v>
      </c>
    </row>
    <row r="83" spans="1:8" x14ac:dyDescent="0.25">
      <c r="A83" s="1" t="s">
        <v>950</v>
      </c>
      <c r="B83" t="s">
        <v>951</v>
      </c>
      <c r="C83" s="1" t="s">
        <v>1785</v>
      </c>
      <c r="D83" t="s">
        <v>1786</v>
      </c>
      <c r="E83" t="s">
        <v>31</v>
      </c>
      <c r="F83" t="s">
        <v>5</v>
      </c>
      <c r="G83" t="s">
        <v>2526</v>
      </c>
      <c r="H83">
        <v>1</v>
      </c>
    </row>
    <row r="84" spans="1:8" x14ac:dyDescent="0.25">
      <c r="A84" s="7" t="s">
        <v>950</v>
      </c>
      <c r="B84" s="6" t="s">
        <v>951</v>
      </c>
      <c r="C84" s="7" t="s">
        <v>432</v>
      </c>
      <c r="D84" s="6" t="s">
        <v>433</v>
      </c>
      <c r="E84" s="6" t="s">
        <v>434</v>
      </c>
      <c r="F84" s="6" t="s">
        <v>435</v>
      </c>
      <c r="G84" s="6" t="s">
        <v>50</v>
      </c>
      <c r="H84" s="6">
        <v>1.1000000000000001</v>
      </c>
    </row>
    <row r="85" spans="1:8" x14ac:dyDescent="0.25">
      <c r="A85" s="1" t="s">
        <v>950</v>
      </c>
      <c r="B85" t="s">
        <v>951</v>
      </c>
      <c r="C85" s="1" t="s">
        <v>7</v>
      </c>
      <c r="D85" t="s">
        <v>8</v>
      </c>
      <c r="E85" t="s">
        <v>9</v>
      </c>
      <c r="F85" t="s">
        <v>10</v>
      </c>
      <c r="G85" t="s">
        <v>998</v>
      </c>
      <c r="H85">
        <v>27.6</v>
      </c>
    </row>
    <row r="86" spans="1:8" x14ac:dyDescent="0.25">
      <c r="A86" s="7" t="s">
        <v>2553</v>
      </c>
      <c r="B86" s="6" t="s">
        <v>2554</v>
      </c>
      <c r="C86" s="7" t="s">
        <v>2555</v>
      </c>
      <c r="D86" s="6" t="s">
        <v>2556</v>
      </c>
      <c r="E86" s="6" t="s">
        <v>2557</v>
      </c>
      <c r="F86" s="6" t="s">
        <v>49</v>
      </c>
      <c r="G86" s="6" t="s">
        <v>50</v>
      </c>
      <c r="H86" s="6">
        <v>2100</v>
      </c>
    </row>
    <row r="87" spans="1:8" x14ac:dyDescent="0.25">
      <c r="A87" s="1" t="s">
        <v>2553</v>
      </c>
      <c r="B87" t="s">
        <v>2554</v>
      </c>
      <c r="C87" s="1" t="s">
        <v>2558</v>
      </c>
      <c r="D87" t="s">
        <v>2559</v>
      </c>
      <c r="E87" t="s">
        <v>1796</v>
      </c>
      <c r="F87" t="s">
        <v>121</v>
      </c>
      <c r="G87" t="s">
        <v>2560</v>
      </c>
      <c r="H87">
        <v>41.5</v>
      </c>
    </row>
    <row r="88" spans="1:8" x14ac:dyDescent="0.25">
      <c r="A88" s="7" t="s">
        <v>2553</v>
      </c>
      <c r="B88" s="6" t="s">
        <v>2554</v>
      </c>
      <c r="C88" s="7" t="s">
        <v>7</v>
      </c>
      <c r="D88" s="6" t="s">
        <v>8</v>
      </c>
      <c r="E88" s="6" t="s">
        <v>9</v>
      </c>
      <c r="F88" s="6" t="s">
        <v>10</v>
      </c>
      <c r="G88" s="6" t="s">
        <v>2561</v>
      </c>
      <c r="H88" s="6">
        <v>106.11</v>
      </c>
    </row>
    <row r="89" spans="1:8" x14ac:dyDescent="0.25">
      <c r="A89" s="1" t="s">
        <v>2564</v>
      </c>
      <c r="B89" t="s">
        <v>2565</v>
      </c>
      <c r="C89" s="1" t="s">
        <v>2566</v>
      </c>
      <c r="D89" t="s">
        <v>2567</v>
      </c>
      <c r="E89" t="s">
        <v>2568</v>
      </c>
      <c r="F89" t="s">
        <v>49</v>
      </c>
      <c r="G89" t="s">
        <v>50</v>
      </c>
      <c r="H89">
        <v>3550</v>
      </c>
    </row>
    <row r="90" spans="1:8" x14ac:dyDescent="0.25">
      <c r="A90" s="7" t="s">
        <v>2564</v>
      </c>
      <c r="B90" s="6" t="s">
        <v>2565</v>
      </c>
      <c r="C90" s="7" t="s">
        <v>2558</v>
      </c>
      <c r="D90" s="6" t="s">
        <v>2559</v>
      </c>
      <c r="E90" s="6" t="s">
        <v>1796</v>
      </c>
      <c r="F90" s="6" t="s">
        <v>121</v>
      </c>
      <c r="G90" s="6" t="s">
        <v>2569</v>
      </c>
      <c r="H90" s="6">
        <v>60</v>
      </c>
    </row>
    <row r="91" spans="1:8" x14ac:dyDescent="0.25">
      <c r="A91" s="1" t="s">
        <v>2564</v>
      </c>
      <c r="B91" t="s">
        <v>2565</v>
      </c>
      <c r="C91" s="1" t="s">
        <v>7</v>
      </c>
      <c r="D91" t="s">
        <v>8</v>
      </c>
      <c r="E91" t="s">
        <v>9</v>
      </c>
      <c r="F91" t="s">
        <v>10</v>
      </c>
      <c r="G91" t="s">
        <v>2570</v>
      </c>
      <c r="H91">
        <v>170.4</v>
      </c>
    </row>
    <row r="92" spans="1:8" x14ac:dyDescent="0.25">
      <c r="A92" s="7" t="s">
        <v>2666</v>
      </c>
      <c r="B92" s="6" t="s">
        <v>2667</v>
      </c>
      <c r="C92" s="7" t="s">
        <v>2668</v>
      </c>
      <c r="D92" s="6" t="s">
        <v>2669</v>
      </c>
      <c r="E92" s="6" t="s">
        <v>2670</v>
      </c>
      <c r="F92" s="6" t="s">
        <v>5</v>
      </c>
      <c r="G92" s="6" t="s">
        <v>2671</v>
      </c>
      <c r="H92" s="6">
        <v>4.75</v>
      </c>
    </row>
    <row r="93" spans="1:8" x14ac:dyDescent="0.25">
      <c r="A93" s="1" t="s">
        <v>2666</v>
      </c>
      <c r="B93" t="s">
        <v>2667</v>
      </c>
      <c r="C93" s="1" t="s">
        <v>2672</v>
      </c>
      <c r="D93" t="s">
        <v>2673</v>
      </c>
      <c r="E93" t="s">
        <v>2674</v>
      </c>
      <c r="F93" t="s">
        <v>121</v>
      </c>
      <c r="G93" t="s">
        <v>50</v>
      </c>
      <c r="H93">
        <v>56</v>
      </c>
    </row>
    <row r="94" spans="1:8" x14ac:dyDescent="0.25">
      <c r="A94" s="7" t="s">
        <v>2666</v>
      </c>
      <c r="B94" s="6" t="s">
        <v>2667</v>
      </c>
      <c r="C94" s="7" t="s">
        <v>432</v>
      </c>
      <c r="D94" s="6" t="s">
        <v>433</v>
      </c>
      <c r="E94" s="6" t="s">
        <v>434</v>
      </c>
      <c r="F94" s="6" t="s">
        <v>435</v>
      </c>
      <c r="G94" s="6" t="s">
        <v>50</v>
      </c>
      <c r="H94" s="6">
        <v>1.1000000000000001</v>
      </c>
    </row>
    <row r="95" spans="1:8" x14ac:dyDescent="0.25">
      <c r="A95" s="1" t="s">
        <v>2666</v>
      </c>
      <c r="B95" t="s">
        <v>2667</v>
      </c>
      <c r="C95" s="1" t="s">
        <v>7</v>
      </c>
      <c r="D95" t="s">
        <v>8</v>
      </c>
      <c r="E95" t="s">
        <v>9</v>
      </c>
      <c r="F95" t="s">
        <v>10</v>
      </c>
      <c r="G95" t="s">
        <v>2675</v>
      </c>
      <c r="H95">
        <v>8.1999999999999993</v>
      </c>
    </row>
    <row r="96" spans="1:8" x14ac:dyDescent="0.25">
      <c r="A96" s="7" t="s">
        <v>2666</v>
      </c>
      <c r="B96" s="6" t="s">
        <v>2667</v>
      </c>
      <c r="C96" s="7" t="s">
        <v>7</v>
      </c>
      <c r="D96" s="6" t="s">
        <v>8</v>
      </c>
      <c r="E96" s="6" t="s">
        <v>9</v>
      </c>
      <c r="F96" s="6" t="s">
        <v>10</v>
      </c>
      <c r="G96" s="6" t="s">
        <v>2235</v>
      </c>
      <c r="H96" s="6">
        <v>36</v>
      </c>
    </row>
    <row r="97" spans="1:8" x14ac:dyDescent="0.25">
      <c r="A97" s="1" t="s">
        <v>1902</v>
      </c>
      <c r="B97" t="s">
        <v>1903</v>
      </c>
      <c r="C97" s="1" t="s">
        <v>2668</v>
      </c>
      <c r="D97" t="s">
        <v>2669</v>
      </c>
      <c r="E97" t="s">
        <v>2670</v>
      </c>
      <c r="F97" t="s">
        <v>5</v>
      </c>
      <c r="G97" t="s">
        <v>2676</v>
      </c>
      <c r="H97">
        <v>2.7</v>
      </c>
    </row>
    <row r="98" spans="1:8" x14ac:dyDescent="0.25">
      <c r="A98" s="7" t="s">
        <v>1902</v>
      </c>
      <c r="B98" s="6" t="s">
        <v>1903</v>
      </c>
      <c r="C98" s="7" t="s">
        <v>1234</v>
      </c>
      <c r="D98" s="6" t="s">
        <v>1235</v>
      </c>
      <c r="E98" s="6" t="s">
        <v>108</v>
      </c>
      <c r="F98" s="6" t="s">
        <v>932</v>
      </c>
      <c r="G98" s="6" t="s">
        <v>2677</v>
      </c>
      <c r="H98" s="6">
        <v>1.8</v>
      </c>
    </row>
    <row r="99" spans="1:8" x14ac:dyDescent="0.25">
      <c r="A99" s="1" t="s">
        <v>1902</v>
      </c>
      <c r="B99" t="s">
        <v>1903</v>
      </c>
      <c r="C99" s="1" t="s">
        <v>7</v>
      </c>
      <c r="D99" t="s">
        <v>8</v>
      </c>
      <c r="E99" t="s">
        <v>9</v>
      </c>
      <c r="F99" t="s">
        <v>10</v>
      </c>
      <c r="G99" t="s">
        <v>2678</v>
      </c>
      <c r="H99">
        <v>8.35</v>
      </c>
    </row>
    <row r="100" spans="1:8" x14ac:dyDescent="0.25">
      <c r="A100" s="7" t="s">
        <v>1902</v>
      </c>
      <c r="B100" s="6" t="s">
        <v>1903</v>
      </c>
      <c r="C100" s="7" t="s">
        <v>7</v>
      </c>
      <c r="D100" s="6" t="s">
        <v>8</v>
      </c>
      <c r="E100" s="6" t="s">
        <v>9</v>
      </c>
      <c r="F100" s="6" t="s">
        <v>10</v>
      </c>
      <c r="G100" s="6" t="s">
        <v>2679</v>
      </c>
      <c r="H100" s="6">
        <v>14.45</v>
      </c>
    </row>
    <row r="101" spans="1:8" x14ac:dyDescent="0.25">
      <c r="A101" s="1" t="s">
        <v>1876</v>
      </c>
      <c r="B101" t="s">
        <v>1877</v>
      </c>
      <c r="C101" s="1" t="s">
        <v>1854</v>
      </c>
      <c r="D101" t="s">
        <v>1855</v>
      </c>
      <c r="E101" t="s">
        <v>1856</v>
      </c>
      <c r="F101" t="s">
        <v>1857</v>
      </c>
      <c r="G101" t="s">
        <v>1253</v>
      </c>
      <c r="H101">
        <v>0.02</v>
      </c>
    </row>
    <row r="102" spans="1:8" x14ac:dyDescent="0.25">
      <c r="A102" s="7" t="s">
        <v>1876</v>
      </c>
      <c r="B102" s="6" t="s">
        <v>1877</v>
      </c>
      <c r="C102" s="7" t="s">
        <v>1859</v>
      </c>
      <c r="D102" s="6" t="s">
        <v>1860</v>
      </c>
      <c r="E102" s="6" t="s">
        <v>1861</v>
      </c>
      <c r="F102" s="6" t="s">
        <v>1857</v>
      </c>
      <c r="G102" s="6" t="s">
        <v>1253</v>
      </c>
      <c r="H102" s="6">
        <v>0.03</v>
      </c>
    </row>
    <row r="103" spans="1:8" x14ac:dyDescent="0.25">
      <c r="A103" s="1" t="s">
        <v>1876</v>
      </c>
      <c r="B103" t="s">
        <v>1877</v>
      </c>
      <c r="C103" s="1" t="s">
        <v>41</v>
      </c>
      <c r="D103" t="s">
        <v>42</v>
      </c>
      <c r="E103" t="s">
        <v>43</v>
      </c>
      <c r="F103" t="s">
        <v>5</v>
      </c>
      <c r="G103" t="s">
        <v>227</v>
      </c>
      <c r="H103">
        <v>0.01</v>
      </c>
    </row>
    <row r="104" spans="1:8" x14ac:dyDescent="0.25">
      <c r="A104" s="7" t="s">
        <v>1876</v>
      </c>
      <c r="B104" s="6" t="s">
        <v>1877</v>
      </c>
      <c r="C104" s="7" t="s">
        <v>2666</v>
      </c>
      <c r="D104" s="6" t="s">
        <v>2667</v>
      </c>
      <c r="E104" s="6" t="s">
        <v>2681</v>
      </c>
      <c r="F104" s="6" t="s">
        <v>49</v>
      </c>
      <c r="G104" s="6" t="s">
        <v>50</v>
      </c>
      <c r="H104" s="6">
        <v>106.05</v>
      </c>
    </row>
    <row r="105" spans="1:8" x14ac:dyDescent="0.25">
      <c r="A105" s="1" t="s">
        <v>1876</v>
      </c>
      <c r="B105" t="s">
        <v>1877</v>
      </c>
      <c r="C105" s="1" t="s">
        <v>2682</v>
      </c>
      <c r="D105" t="s">
        <v>2683</v>
      </c>
      <c r="E105" t="s">
        <v>2684</v>
      </c>
      <c r="F105" t="s">
        <v>49</v>
      </c>
      <c r="G105" t="s">
        <v>50</v>
      </c>
      <c r="H105">
        <v>59</v>
      </c>
    </row>
    <row r="106" spans="1:8" x14ac:dyDescent="0.25">
      <c r="A106" s="7" t="s">
        <v>1876</v>
      </c>
      <c r="B106" s="6" t="s">
        <v>1877</v>
      </c>
      <c r="C106" s="7" t="s">
        <v>7</v>
      </c>
      <c r="D106" s="6" t="s">
        <v>8</v>
      </c>
      <c r="E106" s="6" t="s">
        <v>9</v>
      </c>
      <c r="F106" s="6" t="s">
        <v>10</v>
      </c>
      <c r="G106" s="6" t="s">
        <v>2685</v>
      </c>
      <c r="H106" s="6">
        <v>4.05</v>
      </c>
    </row>
    <row r="107" spans="1:8" x14ac:dyDescent="0.25">
      <c r="A107" s="1" t="s">
        <v>2632</v>
      </c>
      <c r="B107" t="s">
        <v>2633</v>
      </c>
      <c r="C107" s="1" t="s">
        <v>1249</v>
      </c>
      <c r="D107" t="s">
        <v>1250</v>
      </c>
      <c r="E107" t="s">
        <v>1251</v>
      </c>
      <c r="F107" t="s">
        <v>1252</v>
      </c>
      <c r="G107" t="s">
        <v>1772</v>
      </c>
      <c r="H107">
        <v>180</v>
      </c>
    </row>
    <row r="108" spans="1:8" x14ac:dyDescent="0.25">
      <c r="A108" s="7" t="s">
        <v>2632</v>
      </c>
      <c r="B108" s="6" t="s">
        <v>2633</v>
      </c>
      <c r="C108" s="7" t="s">
        <v>7</v>
      </c>
      <c r="D108" s="6" t="s">
        <v>8</v>
      </c>
      <c r="E108" s="6" t="s">
        <v>9</v>
      </c>
      <c r="F108" s="6" t="s">
        <v>10</v>
      </c>
      <c r="G108" s="6" t="s">
        <v>3052</v>
      </c>
      <c r="H108" s="6">
        <v>78.06</v>
      </c>
    </row>
    <row r="109" spans="1:8" x14ac:dyDescent="0.25">
      <c r="A109" s="1" t="s">
        <v>2635</v>
      </c>
      <c r="B109" t="s">
        <v>3053</v>
      </c>
      <c r="C109" s="1" t="s">
        <v>1249</v>
      </c>
      <c r="D109" t="s">
        <v>1250</v>
      </c>
      <c r="E109" t="s">
        <v>1251</v>
      </c>
      <c r="F109" t="s">
        <v>1252</v>
      </c>
      <c r="G109" t="s">
        <v>2302</v>
      </c>
      <c r="H109">
        <v>96</v>
      </c>
    </row>
    <row r="110" spans="1:8" x14ac:dyDescent="0.25">
      <c r="A110" s="7" t="s">
        <v>2635</v>
      </c>
      <c r="B110" s="6" t="s">
        <v>3053</v>
      </c>
      <c r="C110" s="7" t="s">
        <v>7</v>
      </c>
      <c r="D110" s="6" t="s">
        <v>8</v>
      </c>
      <c r="E110" s="6" t="s">
        <v>9</v>
      </c>
      <c r="F110" s="6" t="s">
        <v>10</v>
      </c>
      <c r="G110" s="6" t="s">
        <v>3054</v>
      </c>
      <c r="H110" s="6">
        <v>80.5</v>
      </c>
    </row>
    <row r="111" spans="1:8" x14ac:dyDescent="0.25">
      <c r="A111" s="1" t="s">
        <v>2638</v>
      </c>
      <c r="B111" t="s">
        <v>3055</v>
      </c>
      <c r="C111" s="1" t="s">
        <v>1249</v>
      </c>
      <c r="D111" t="s">
        <v>1250</v>
      </c>
      <c r="E111" t="s">
        <v>1251</v>
      </c>
      <c r="F111" t="s">
        <v>1252</v>
      </c>
      <c r="G111" t="s">
        <v>3056</v>
      </c>
      <c r="H111">
        <v>78</v>
      </c>
    </row>
    <row r="112" spans="1:8" x14ac:dyDescent="0.25">
      <c r="A112" s="7" t="s">
        <v>2638</v>
      </c>
      <c r="B112" s="6" t="s">
        <v>3055</v>
      </c>
      <c r="C112" s="7" t="s">
        <v>7</v>
      </c>
      <c r="D112" s="6" t="s">
        <v>8</v>
      </c>
      <c r="E112" s="6" t="s">
        <v>9</v>
      </c>
      <c r="F112" s="6" t="s">
        <v>10</v>
      </c>
      <c r="G112" s="6" t="s">
        <v>3057</v>
      </c>
      <c r="H112" s="6">
        <v>37.950000000000003</v>
      </c>
    </row>
    <row r="113" spans="1:8" x14ac:dyDescent="0.25">
      <c r="A113" s="1" t="s">
        <v>1091</v>
      </c>
      <c r="B113" t="s">
        <v>3062</v>
      </c>
      <c r="C113" s="1" t="s">
        <v>3063</v>
      </c>
      <c r="D113" t="s">
        <v>3064</v>
      </c>
      <c r="E113" t="s">
        <v>1017</v>
      </c>
      <c r="F113" t="s">
        <v>5</v>
      </c>
      <c r="G113" t="s">
        <v>3065</v>
      </c>
      <c r="H113">
        <v>4.3499999999999996</v>
      </c>
    </row>
    <row r="114" spans="1:8" x14ac:dyDescent="0.25">
      <c r="A114" s="7" t="s">
        <v>1091</v>
      </c>
      <c r="B114" s="6" t="s">
        <v>3062</v>
      </c>
      <c r="C114" s="7" t="s">
        <v>7</v>
      </c>
      <c r="D114" s="6" t="s">
        <v>8</v>
      </c>
      <c r="E114" s="6" t="s">
        <v>9</v>
      </c>
      <c r="F114" s="6" t="s">
        <v>10</v>
      </c>
      <c r="G114" s="6" t="s">
        <v>1254</v>
      </c>
      <c r="H114" s="6">
        <v>16.100000000000001</v>
      </c>
    </row>
    <row r="115" spans="1:8" x14ac:dyDescent="0.25">
      <c r="A115" s="1" t="s">
        <v>3085</v>
      </c>
      <c r="B115" t="s">
        <v>3086</v>
      </c>
      <c r="C115" s="1" t="s">
        <v>3087</v>
      </c>
      <c r="D115" t="s">
        <v>3088</v>
      </c>
      <c r="E115" t="s">
        <v>3089</v>
      </c>
      <c r="F115" t="s">
        <v>17</v>
      </c>
      <c r="G115" t="s">
        <v>3090</v>
      </c>
      <c r="H115">
        <v>12.4</v>
      </c>
    </row>
    <row r="116" spans="1:8" x14ac:dyDescent="0.25">
      <c r="A116" s="7" t="s">
        <v>3085</v>
      </c>
      <c r="B116" s="6" t="s">
        <v>3086</v>
      </c>
      <c r="C116" s="7" t="s">
        <v>7</v>
      </c>
      <c r="D116" s="6" t="s">
        <v>8</v>
      </c>
      <c r="E116" s="6" t="s">
        <v>9</v>
      </c>
      <c r="F116" s="6" t="s">
        <v>10</v>
      </c>
      <c r="G116" s="6" t="s">
        <v>3091</v>
      </c>
      <c r="H116" s="6">
        <v>8.6</v>
      </c>
    </row>
    <row r="117" spans="1:8" x14ac:dyDescent="0.25">
      <c r="A117" s="1" t="s">
        <v>3187</v>
      </c>
      <c r="B117" t="s">
        <v>3198</v>
      </c>
      <c r="C117" s="1" t="s">
        <v>2078</v>
      </c>
      <c r="D117" t="s">
        <v>2079</v>
      </c>
      <c r="E117" t="s">
        <v>1354</v>
      </c>
      <c r="F117" t="s">
        <v>5</v>
      </c>
      <c r="G117" t="s">
        <v>992</v>
      </c>
      <c r="H117">
        <v>21.15</v>
      </c>
    </row>
    <row r="118" spans="1:8" x14ac:dyDescent="0.25">
      <c r="A118" s="7" t="s">
        <v>3187</v>
      </c>
      <c r="B118" s="6" t="s">
        <v>3198</v>
      </c>
      <c r="C118" s="7" t="s">
        <v>541</v>
      </c>
      <c r="D118" s="6" t="s">
        <v>542</v>
      </c>
      <c r="E118" s="6" t="s">
        <v>9</v>
      </c>
      <c r="F118" s="6" t="s">
        <v>10</v>
      </c>
      <c r="G118" s="6" t="s">
        <v>3199</v>
      </c>
      <c r="H118" s="6">
        <v>14.85</v>
      </c>
    </row>
    <row r="119" spans="1:8" x14ac:dyDescent="0.25">
      <c r="A119" s="1" t="s">
        <v>3218</v>
      </c>
      <c r="B119" t="s">
        <v>3223</v>
      </c>
      <c r="C119" s="1" t="s">
        <v>3167</v>
      </c>
      <c r="D119" t="s">
        <v>3168</v>
      </c>
      <c r="E119" t="s">
        <v>111</v>
      </c>
      <c r="F119" t="s">
        <v>17</v>
      </c>
      <c r="G119" t="s">
        <v>3224</v>
      </c>
      <c r="H119">
        <v>5.8</v>
      </c>
    </row>
    <row r="120" spans="1:8" x14ac:dyDescent="0.25">
      <c r="A120" s="7" t="s">
        <v>3218</v>
      </c>
      <c r="B120" s="6" t="s">
        <v>3223</v>
      </c>
      <c r="C120" s="7" t="s">
        <v>3225</v>
      </c>
      <c r="D120" s="6" t="s">
        <v>3226</v>
      </c>
      <c r="E120" s="6" t="s">
        <v>3227</v>
      </c>
      <c r="F120" s="6" t="s">
        <v>121</v>
      </c>
      <c r="G120" s="6" t="s">
        <v>50</v>
      </c>
      <c r="H120" s="6">
        <v>15.93</v>
      </c>
    </row>
    <row r="121" spans="1:8" x14ac:dyDescent="0.25">
      <c r="A121" s="1" t="s">
        <v>3218</v>
      </c>
      <c r="B121" t="s">
        <v>3223</v>
      </c>
      <c r="C121" s="1" t="s">
        <v>3228</v>
      </c>
      <c r="D121" t="s">
        <v>3229</v>
      </c>
      <c r="E121" t="s">
        <v>3230</v>
      </c>
      <c r="F121" t="s">
        <v>121</v>
      </c>
      <c r="G121" t="s">
        <v>50</v>
      </c>
      <c r="H121">
        <v>171.3</v>
      </c>
    </row>
    <row r="122" spans="1:8" x14ac:dyDescent="0.25">
      <c r="A122" s="7" t="s">
        <v>3218</v>
      </c>
      <c r="B122" s="6" t="s">
        <v>3223</v>
      </c>
      <c r="C122" s="7" t="s">
        <v>3231</v>
      </c>
      <c r="D122" s="6" t="s">
        <v>3232</v>
      </c>
      <c r="E122" s="6" t="s">
        <v>3233</v>
      </c>
      <c r="F122" s="6" t="s">
        <v>121</v>
      </c>
      <c r="G122" s="6" t="s">
        <v>122</v>
      </c>
      <c r="H122" s="6">
        <v>23.32</v>
      </c>
    </row>
    <row r="123" spans="1:8" x14ac:dyDescent="0.25">
      <c r="A123" s="1" t="s">
        <v>3218</v>
      </c>
      <c r="B123" t="s">
        <v>3223</v>
      </c>
      <c r="C123" s="1" t="s">
        <v>3173</v>
      </c>
      <c r="D123" t="s">
        <v>3174</v>
      </c>
      <c r="E123" t="s">
        <v>3234</v>
      </c>
      <c r="F123" t="s">
        <v>121</v>
      </c>
      <c r="G123" t="s">
        <v>50</v>
      </c>
      <c r="H123">
        <v>7.01</v>
      </c>
    </row>
    <row r="124" spans="1:8" x14ac:dyDescent="0.25">
      <c r="A124" s="7" t="s">
        <v>3218</v>
      </c>
      <c r="B124" s="6" t="s">
        <v>3223</v>
      </c>
      <c r="C124" s="7" t="s">
        <v>3179</v>
      </c>
      <c r="D124" s="6" t="s">
        <v>3180</v>
      </c>
      <c r="E124" s="6" t="s">
        <v>151</v>
      </c>
      <c r="F124" s="6" t="s">
        <v>121</v>
      </c>
      <c r="G124" s="6" t="s">
        <v>92</v>
      </c>
      <c r="H124" s="6">
        <v>4</v>
      </c>
    </row>
    <row r="125" spans="1:8" x14ac:dyDescent="0.25">
      <c r="A125" s="1" t="s">
        <v>3218</v>
      </c>
      <c r="B125" t="s">
        <v>3223</v>
      </c>
      <c r="C125" s="1" t="s">
        <v>3235</v>
      </c>
      <c r="D125" t="s">
        <v>3236</v>
      </c>
      <c r="E125" t="s">
        <v>3237</v>
      </c>
      <c r="F125" t="s">
        <v>121</v>
      </c>
      <c r="G125" t="s">
        <v>92</v>
      </c>
      <c r="H125">
        <v>10.46</v>
      </c>
    </row>
    <row r="126" spans="1:8" x14ac:dyDescent="0.25">
      <c r="A126" s="7" t="s">
        <v>3218</v>
      </c>
      <c r="B126" s="6" t="s">
        <v>3223</v>
      </c>
      <c r="C126" s="7" t="s">
        <v>3182</v>
      </c>
      <c r="D126" s="6" t="s">
        <v>3183</v>
      </c>
      <c r="E126" s="6" t="s">
        <v>3184</v>
      </c>
      <c r="F126" s="6" t="s">
        <v>121</v>
      </c>
      <c r="G126" s="6" t="s">
        <v>50</v>
      </c>
      <c r="H126" s="6">
        <v>0.15</v>
      </c>
    </row>
    <row r="127" spans="1:8" x14ac:dyDescent="0.25">
      <c r="A127" s="1" t="s">
        <v>3218</v>
      </c>
      <c r="B127" t="s">
        <v>3223</v>
      </c>
      <c r="C127" s="1" t="s">
        <v>3185</v>
      </c>
      <c r="D127" t="s">
        <v>3186</v>
      </c>
      <c r="E127" t="s">
        <v>979</v>
      </c>
      <c r="F127" t="s">
        <v>121</v>
      </c>
      <c r="G127" t="s">
        <v>50</v>
      </c>
      <c r="H127">
        <v>0.52</v>
      </c>
    </row>
    <row r="128" spans="1:8" x14ac:dyDescent="0.25">
      <c r="A128" s="7" t="s">
        <v>3218</v>
      </c>
      <c r="B128" s="6" t="s">
        <v>3223</v>
      </c>
      <c r="C128" s="7" t="s">
        <v>3238</v>
      </c>
      <c r="D128" s="6" t="s">
        <v>3239</v>
      </c>
      <c r="E128" s="6" t="s">
        <v>3240</v>
      </c>
      <c r="F128" s="6" t="s">
        <v>121</v>
      </c>
      <c r="G128" s="6" t="s">
        <v>268</v>
      </c>
      <c r="H128" s="6">
        <v>86.73</v>
      </c>
    </row>
    <row r="129" spans="1:8" x14ac:dyDescent="0.25">
      <c r="A129" s="1" t="s">
        <v>3218</v>
      </c>
      <c r="B129" t="s">
        <v>3223</v>
      </c>
      <c r="C129" s="1" t="s">
        <v>3241</v>
      </c>
      <c r="D129" t="s">
        <v>3242</v>
      </c>
      <c r="E129" t="s">
        <v>336</v>
      </c>
      <c r="F129" t="s">
        <v>121</v>
      </c>
      <c r="G129" t="s">
        <v>92</v>
      </c>
      <c r="H129">
        <v>5.2</v>
      </c>
    </row>
    <row r="130" spans="1:8" x14ac:dyDescent="0.25">
      <c r="A130" s="7" t="s">
        <v>3218</v>
      </c>
      <c r="B130" s="6" t="s">
        <v>3223</v>
      </c>
      <c r="C130" s="7" t="s">
        <v>3243</v>
      </c>
      <c r="D130" s="6" t="s">
        <v>3244</v>
      </c>
      <c r="E130" s="6" t="s">
        <v>3245</v>
      </c>
      <c r="F130" s="6" t="s">
        <v>121</v>
      </c>
      <c r="G130" s="6" t="s">
        <v>50</v>
      </c>
      <c r="H130" s="6">
        <v>37.979999999999997</v>
      </c>
    </row>
    <row r="131" spans="1:8" x14ac:dyDescent="0.25">
      <c r="A131" s="1" t="s">
        <v>3218</v>
      </c>
      <c r="B131" t="s">
        <v>3223</v>
      </c>
      <c r="C131" s="1" t="s">
        <v>3246</v>
      </c>
      <c r="D131" t="s">
        <v>3247</v>
      </c>
      <c r="E131" t="s">
        <v>3248</v>
      </c>
      <c r="F131" t="s">
        <v>121</v>
      </c>
      <c r="G131" t="s">
        <v>50</v>
      </c>
      <c r="H131">
        <v>15.4</v>
      </c>
    </row>
    <row r="132" spans="1:8" x14ac:dyDescent="0.25">
      <c r="A132" s="7" t="s">
        <v>3218</v>
      </c>
      <c r="B132" s="6" t="s">
        <v>3223</v>
      </c>
      <c r="C132" s="7" t="s">
        <v>857</v>
      </c>
      <c r="D132" s="6" t="s">
        <v>858</v>
      </c>
      <c r="E132" s="6" t="s">
        <v>686</v>
      </c>
      <c r="F132" s="6" t="s">
        <v>49</v>
      </c>
      <c r="G132" s="6" t="s">
        <v>3249</v>
      </c>
      <c r="H132" s="6">
        <v>2.5</v>
      </c>
    </row>
    <row r="133" spans="1:8" x14ac:dyDescent="0.25">
      <c r="A133" s="1" t="s">
        <v>3218</v>
      </c>
      <c r="B133" t="s">
        <v>3223</v>
      </c>
      <c r="C133" s="1" t="s">
        <v>541</v>
      </c>
      <c r="D133" t="s">
        <v>542</v>
      </c>
      <c r="E133" t="s">
        <v>9</v>
      </c>
      <c r="F133" t="s">
        <v>10</v>
      </c>
      <c r="G133" t="s">
        <v>3250</v>
      </c>
      <c r="H133">
        <v>27.74</v>
      </c>
    </row>
    <row r="134" spans="1:8" x14ac:dyDescent="0.25">
      <c r="A134" s="7" t="s">
        <v>3238</v>
      </c>
      <c r="B134" s="6" t="s">
        <v>3251</v>
      </c>
      <c r="C134" s="7" t="s">
        <v>3231</v>
      </c>
      <c r="D134" s="6" t="s">
        <v>3232</v>
      </c>
      <c r="E134" s="6" t="s">
        <v>3233</v>
      </c>
      <c r="F134" s="6" t="s">
        <v>121</v>
      </c>
      <c r="G134" s="6" t="s">
        <v>50</v>
      </c>
      <c r="H134" s="6">
        <v>5.83</v>
      </c>
    </row>
    <row r="135" spans="1:8" x14ac:dyDescent="0.25">
      <c r="A135" s="1" t="s">
        <v>3238</v>
      </c>
      <c r="B135" t="s">
        <v>3251</v>
      </c>
      <c r="C135" s="1" t="s">
        <v>3235</v>
      </c>
      <c r="D135" t="s">
        <v>3236</v>
      </c>
      <c r="E135" t="s">
        <v>3237</v>
      </c>
      <c r="F135" t="s">
        <v>121</v>
      </c>
      <c r="G135" t="s">
        <v>92</v>
      </c>
      <c r="H135">
        <v>10.46</v>
      </c>
    </row>
    <row r="136" spans="1:8" x14ac:dyDescent="0.25">
      <c r="A136" s="7" t="s">
        <v>3238</v>
      </c>
      <c r="B136" s="6" t="s">
        <v>3251</v>
      </c>
      <c r="C136" s="7" t="s">
        <v>3241</v>
      </c>
      <c r="D136" s="6" t="s">
        <v>3242</v>
      </c>
      <c r="E136" s="6" t="s">
        <v>336</v>
      </c>
      <c r="F136" s="6" t="s">
        <v>121</v>
      </c>
      <c r="G136" s="6" t="s">
        <v>92</v>
      </c>
      <c r="H136" s="6">
        <v>5.2</v>
      </c>
    </row>
    <row r="137" spans="1:8" x14ac:dyDescent="0.25">
      <c r="A137" s="1" t="s">
        <v>3238</v>
      </c>
      <c r="B137" t="s">
        <v>3251</v>
      </c>
      <c r="C137" s="1" t="s">
        <v>857</v>
      </c>
      <c r="D137" t="s">
        <v>858</v>
      </c>
      <c r="E137" t="s">
        <v>686</v>
      </c>
      <c r="F137" t="s">
        <v>49</v>
      </c>
      <c r="G137" t="s">
        <v>3252</v>
      </c>
      <c r="H137">
        <v>1.7</v>
      </c>
    </row>
    <row r="138" spans="1:8" x14ac:dyDescent="0.25">
      <c r="A138" s="7" t="s">
        <v>3238</v>
      </c>
      <c r="B138" s="6" t="s">
        <v>3251</v>
      </c>
      <c r="C138" s="7" t="s">
        <v>541</v>
      </c>
      <c r="D138" s="6" t="s">
        <v>542</v>
      </c>
      <c r="E138" s="6" t="s">
        <v>9</v>
      </c>
      <c r="F138" s="6" t="s">
        <v>10</v>
      </c>
      <c r="G138" s="6" t="s">
        <v>3253</v>
      </c>
      <c r="H138" s="6">
        <v>5.72</v>
      </c>
    </row>
    <row r="139" spans="1:8" x14ac:dyDescent="0.25">
      <c r="A139" s="1" t="s">
        <v>3241</v>
      </c>
      <c r="B139" t="s">
        <v>3254</v>
      </c>
      <c r="C139" s="1" t="s">
        <v>3255</v>
      </c>
      <c r="D139" t="s">
        <v>3256</v>
      </c>
      <c r="E139" t="s">
        <v>1017</v>
      </c>
      <c r="F139" t="s">
        <v>5</v>
      </c>
      <c r="G139" t="s">
        <v>1210</v>
      </c>
      <c r="H139">
        <v>0.3</v>
      </c>
    </row>
    <row r="140" spans="1:8" x14ac:dyDescent="0.25">
      <c r="A140" s="7" t="s">
        <v>3241</v>
      </c>
      <c r="B140" s="6" t="s">
        <v>3254</v>
      </c>
      <c r="C140" s="7" t="s">
        <v>541</v>
      </c>
      <c r="D140" s="6" t="s">
        <v>542</v>
      </c>
      <c r="E140" s="6" t="s">
        <v>9</v>
      </c>
      <c r="F140" s="6" t="s">
        <v>10</v>
      </c>
      <c r="G140" s="6" t="s">
        <v>367</v>
      </c>
      <c r="H140" s="6">
        <v>2.2999999999999998</v>
      </c>
    </row>
    <row r="141" spans="1:8" x14ac:dyDescent="0.25">
      <c r="A141" s="1" t="s">
        <v>3243</v>
      </c>
      <c r="B141" t="s">
        <v>3257</v>
      </c>
      <c r="C141" s="1" t="s">
        <v>3258</v>
      </c>
      <c r="D141" t="s">
        <v>3259</v>
      </c>
      <c r="E141" t="s">
        <v>70</v>
      </c>
      <c r="F141" t="s">
        <v>5</v>
      </c>
      <c r="G141" t="s">
        <v>3260</v>
      </c>
      <c r="H141">
        <v>14</v>
      </c>
    </row>
    <row r="142" spans="1:8" x14ac:dyDescent="0.25">
      <c r="A142" s="7" t="s">
        <v>3243</v>
      </c>
      <c r="B142" s="6" t="s">
        <v>3257</v>
      </c>
      <c r="C142" s="7" t="s">
        <v>541</v>
      </c>
      <c r="D142" s="6" t="s">
        <v>542</v>
      </c>
      <c r="E142" s="6" t="s">
        <v>9</v>
      </c>
      <c r="F142" s="6" t="s">
        <v>10</v>
      </c>
      <c r="G142" s="6" t="s">
        <v>3261</v>
      </c>
      <c r="H142" s="6">
        <v>23.98</v>
      </c>
    </row>
    <row r="143" spans="1:8" x14ac:dyDescent="0.25">
      <c r="A143" s="1" t="s">
        <v>3246</v>
      </c>
      <c r="B143" t="s">
        <v>3262</v>
      </c>
      <c r="C143" s="1" t="s">
        <v>2941</v>
      </c>
      <c r="D143" t="s">
        <v>2942</v>
      </c>
      <c r="E143" t="s">
        <v>1394</v>
      </c>
      <c r="F143" t="s">
        <v>5</v>
      </c>
      <c r="G143" t="s">
        <v>607</v>
      </c>
      <c r="H143">
        <v>1.6</v>
      </c>
    </row>
    <row r="144" spans="1:8" x14ac:dyDescent="0.25">
      <c r="A144" s="7" t="s">
        <v>3246</v>
      </c>
      <c r="B144" s="6" t="s">
        <v>3262</v>
      </c>
      <c r="C144" s="7" t="s">
        <v>541</v>
      </c>
      <c r="D144" s="6" t="s">
        <v>542</v>
      </c>
      <c r="E144" s="6" t="s">
        <v>9</v>
      </c>
      <c r="F144" s="6" t="s">
        <v>10</v>
      </c>
      <c r="G144" s="6" t="s">
        <v>992</v>
      </c>
      <c r="H144" s="6">
        <v>13.8</v>
      </c>
    </row>
    <row r="145" spans="1:8" x14ac:dyDescent="0.25">
      <c r="A145" s="1" t="s">
        <v>3474</v>
      </c>
      <c r="B145" t="s">
        <v>3483</v>
      </c>
      <c r="C145" s="1" t="s">
        <v>22</v>
      </c>
      <c r="D145" t="s">
        <v>23</v>
      </c>
      <c r="E145" t="s">
        <v>3050</v>
      </c>
      <c r="F145" t="s">
        <v>17</v>
      </c>
      <c r="G145" t="s">
        <v>3484</v>
      </c>
      <c r="H145">
        <v>15.9</v>
      </c>
    </row>
    <row r="146" spans="1:8" x14ac:dyDescent="0.25">
      <c r="A146" s="7" t="s">
        <v>3474</v>
      </c>
      <c r="B146" s="6" t="s">
        <v>3483</v>
      </c>
      <c r="C146" s="7" t="s">
        <v>3485</v>
      </c>
      <c r="D146" s="6" t="s">
        <v>3486</v>
      </c>
      <c r="E146" s="6" t="s">
        <v>3487</v>
      </c>
      <c r="F146" s="6" t="s">
        <v>121</v>
      </c>
      <c r="G146" s="6" t="s">
        <v>50</v>
      </c>
      <c r="H146" s="6">
        <v>3.47</v>
      </c>
    </row>
    <row r="147" spans="1:8" x14ac:dyDescent="0.25">
      <c r="A147" s="1" t="s">
        <v>3474</v>
      </c>
      <c r="B147" t="s">
        <v>3483</v>
      </c>
      <c r="C147" s="1" t="s">
        <v>3488</v>
      </c>
      <c r="D147" t="s">
        <v>3489</v>
      </c>
      <c r="E147" t="s">
        <v>3490</v>
      </c>
      <c r="F147" t="s">
        <v>121</v>
      </c>
      <c r="G147" t="s">
        <v>50</v>
      </c>
      <c r="H147">
        <v>7.81</v>
      </c>
    </row>
    <row r="148" spans="1:8" x14ac:dyDescent="0.25">
      <c r="A148" s="7" t="s">
        <v>3474</v>
      </c>
      <c r="B148" s="6" t="s">
        <v>3483</v>
      </c>
      <c r="C148" s="7" t="s">
        <v>857</v>
      </c>
      <c r="D148" s="6" t="s">
        <v>858</v>
      </c>
      <c r="E148" s="6" t="s">
        <v>686</v>
      </c>
      <c r="F148" s="6" t="s">
        <v>49</v>
      </c>
      <c r="G148" s="6" t="s">
        <v>3491</v>
      </c>
      <c r="H148" s="6">
        <v>1.25</v>
      </c>
    </row>
    <row r="149" spans="1:8" x14ac:dyDescent="0.25">
      <c r="A149" s="1" t="s">
        <v>3474</v>
      </c>
      <c r="B149" t="s">
        <v>3483</v>
      </c>
      <c r="C149" s="1" t="s">
        <v>541</v>
      </c>
      <c r="D149" t="s">
        <v>542</v>
      </c>
      <c r="E149" t="s">
        <v>9</v>
      </c>
      <c r="F149" t="s">
        <v>10</v>
      </c>
      <c r="G149" t="s">
        <v>2890</v>
      </c>
      <c r="H149">
        <v>2.42</v>
      </c>
    </row>
    <row r="150" spans="1:8" x14ac:dyDescent="0.25">
      <c r="A150" s="7" t="s">
        <v>3474</v>
      </c>
      <c r="B150" s="6" t="s">
        <v>3483</v>
      </c>
      <c r="C150" s="7" t="s">
        <v>541</v>
      </c>
      <c r="D150" s="6" t="s">
        <v>542</v>
      </c>
      <c r="E150" s="6" t="s">
        <v>9</v>
      </c>
      <c r="F150" s="6" t="s">
        <v>10</v>
      </c>
      <c r="G150" s="6" t="s">
        <v>3427</v>
      </c>
      <c r="H150" s="6">
        <v>9.66</v>
      </c>
    </row>
    <row r="151" spans="1:8" x14ac:dyDescent="0.25">
      <c r="A151" s="1" t="s">
        <v>3474</v>
      </c>
      <c r="B151" t="s">
        <v>3483</v>
      </c>
      <c r="C151" s="1" t="s">
        <v>541</v>
      </c>
      <c r="D151" t="s">
        <v>542</v>
      </c>
      <c r="E151" t="s">
        <v>9</v>
      </c>
      <c r="F151" t="s">
        <v>10</v>
      </c>
      <c r="G151" t="s">
        <v>3047</v>
      </c>
      <c r="H151">
        <v>4.83</v>
      </c>
    </row>
    <row r="152" spans="1:8" x14ac:dyDescent="0.25">
      <c r="A152" s="7" t="s">
        <v>3474</v>
      </c>
      <c r="B152" s="6" t="s">
        <v>3483</v>
      </c>
      <c r="C152" s="7" t="s">
        <v>541</v>
      </c>
      <c r="D152" s="6" t="s">
        <v>542</v>
      </c>
      <c r="E152" s="6" t="s">
        <v>9</v>
      </c>
      <c r="F152" s="6" t="s">
        <v>10</v>
      </c>
      <c r="G152" s="6" t="s">
        <v>3047</v>
      </c>
      <c r="H152" s="6">
        <v>4.83</v>
      </c>
    </row>
    <row r="153" spans="1:8" x14ac:dyDescent="0.25">
      <c r="A153" s="1" t="s">
        <v>407</v>
      </c>
      <c r="B153" t="s">
        <v>408</v>
      </c>
      <c r="C153" s="1" t="s">
        <v>3288</v>
      </c>
      <c r="D153" t="s">
        <v>3289</v>
      </c>
      <c r="E153" t="s">
        <v>1970</v>
      </c>
      <c r="F153" t="s">
        <v>5</v>
      </c>
      <c r="G153" t="s">
        <v>3563</v>
      </c>
      <c r="H153">
        <v>0.1</v>
      </c>
    </row>
    <row r="154" spans="1:8" x14ac:dyDescent="0.25">
      <c r="A154" s="7" t="s">
        <v>407</v>
      </c>
      <c r="B154" s="6" t="s">
        <v>408</v>
      </c>
      <c r="C154" s="7" t="s">
        <v>7</v>
      </c>
      <c r="D154" s="6" t="s">
        <v>8</v>
      </c>
      <c r="E154" s="6" t="s">
        <v>9</v>
      </c>
      <c r="F154" s="6" t="s">
        <v>10</v>
      </c>
      <c r="G154" s="6" t="s">
        <v>1371</v>
      </c>
      <c r="H154" s="6">
        <v>1.1499999999999999</v>
      </c>
    </row>
    <row r="155" spans="1:8" x14ac:dyDescent="0.25">
      <c r="A155" s="1" t="s">
        <v>410</v>
      </c>
      <c r="B155" t="s">
        <v>411</v>
      </c>
      <c r="C155" s="1" t="s">
        <v>3288</v>
      </c>
      <c r="D155" t="s">
        <v>3289</v>
      </c>
      <c r="E155" t="s">
        <v>1970</v>
      </c>
      <c r="F155" t="s">
        <v>5</v>
      </c>
      <c r="G155" t="s">
        <v>3564</v>
      </c>
      <c r="H155">
        <v>0.1</v>
      </c>
    </row>
    <row r="156" spans="1:8" x14ac:dyDescent="0.25">
      <c r="A156" s="7" t="s">
        <v>410</v>
      </c>
      <c r="B156" s="6" t="s">
        <v>411</v>
      </c>
      <c r="C156" s="7" t="s">
        <v>7</v>
      </c>
      <c r="D156" s="6" t="s">
        <v>8</v>
      </c>
      <c r="E156" s="6" t="s">
        <v>9</v>
      </c>
      <c r="F156" s="6" t="s">
        <v>10</v>
      </c>
      <c r="G156" s="6" t="s">
        <v>1371</v>
      </c>
      <c r="H156" s="6">
        <v>1.1499999999999999</v>
      </c>
    </row>
    <row r="157" spans="1:8" x14ac:dyDescent="0.25">
      <c r="A157" s="1" t="s">
        <v>412</v>
      </c>
      <c r="B157" t="s">
        <v>413</v>
      </c>
      <c r="C157" s="1" t="s">
        <v>3565</v>
      </c>
      <c r="D157" t="s">
        <v>3566</v>
      </c>
      <c r="E157" t="s">
        <v>1017</v>
      </c>
      <c r="F157" t="s">
        <v>5</v>
      </c>
      <c r="G157" t="s">
        <v>3567</v>
      </c>
      <c r="H157">
        <v>9.9</v>
      </c>
    </row>
    <row r="158" spans="1:8" x14ac:dyDescent="0.25">
      <c r="A158" s="7" t="s">
        <v>412</v>
      </c>
      <c r="B158" s="6" t="s">
        <v>413</v>
      </c>
      <c r="C158" s="7" t="s">
        <v>541</v>
      </c>
      <c r="D158" s="6" t="s">
        <v>542</v>
      </c>
      <c r="E158" s="6" t="s">
        <v>9</v>
      </c>
      <c r="F158" s="6" t="s">
        <v>10</v>
      </c>
      <c r="G158" s="6" t="s">
        <v>594</v>
      </c>
      <c r="H158" s="6">
        <v>11.5</v>
      </c>
    </row>
    <row r="159" spans="1:8" x14ac:dyDescent="0.25">
      <c r="A159" s="1" t="s">
        <v>415</v>
      </c>
      <c r="B159" t="s">
        <v>416</v>
      </c>
      <c r="C159" s="1" t="s">
        <v>3568</v>
      </c>
      <c r="D159" t="s">
        <v>3569</v>
      </c>
      <c r="E159" t="s">
        <v>3570</v>
      </c>
      <c r="F159" t="s">
        <v>17</v>
      </c>
      <c r="G159" t="s">
        <v>3571</v>
      </c>
      <c r="H159">
        <v>1.61</v>
      </c>
    </row>
    <row r="160" spans="1:8" x14ac:dyDescent="0.25">
      <c r="A160" s="7" t="s">
        <v>415</v>
      </c>
      <c r="B160" s="6" t="s">
        <v>416</v>
      </c>
      <c r="C160" s="7" t="s">
        <v>541</v>
      </c>
      <c r="D160" s="6" t="s">
        <v>542</v>
      </c>
      <c r="E160" s="6" t="s">
        <v>9</v>
      </c>
      <c r="F160" s="6" t="s">
        <v>10</v>
      </c>
      <c r="G160" s="6" t="s">
        <v>1141</v>
      </c>
      <c r="H160" s="6">
        <v>5.75</v>
      </c>
    </row>
    <row r="161" spans="1:8" x14ac:dyDescent="0.25">
      <c r="A161" s="1" t="s">
        <v>418</v>
      </c>
      <c r="B161" t="s">
        <v>419</v>
      </c>
      <c r="C161" s="1" t="s">
        <v>3568</v>
      </c>
      <c r="D161" t="s">
        <v>3569</v>
      </c>
      <c r="E161" t="s">
        <v>3570</v>
      </c>
      <c r="F161" t="s">
        <v>17</v>
      </c>
      <c r="G161" t="s">
        <v>3572</v>
      </c>
      <c r="H161">
        <v>4.24</v>
      </c>
    </row>
    <row r="162" spans="1:8" x14ac:dyDescent="0.25">
      <c r="A162" s="7" t="s">
        <v>418</v>
      </c>
      <c r="B162" s="6" t="s">
        <v>419</v>
      </c>
      <c r="C162" s="7" t="s">
        <v>541</v>
      </c>
      <c r="D162" s="6" t="s">
        <v>542</v>
      </c>
      <c r="E162" s="6" t="s">
        <v>9</v>
      </c>
      <c r="F162" s="6" t="s">
        <v>10</v>
      </c>
      <c r="G162" s="6" t="s">
        <v>3573</v>
      </c>
      <c r="H162" s="6">
        <v>8.1</v>
      </c>
    </row>
    <row r="163" spans="1:8" x14ac:dyDescent="0.25">
      <c r="A163" s="1" t="s">
        <v>421</v>
      </c>
      <c r="B163" t="s">
        <v>422</v>
      </c>
      <c r="C163" s="1" t="s">
        <v>3574</v>
      </c>
      <c r="D163" t="s">
        <v>3575</v>
      </c>
      <c r="E163" t="s">
        <v>1354</v>
      </c>
      <c r="F163" t="s">
        <v>5</v>
      </c>
      <c r="G163" t="s">
        <v>3576</v>
      </c>
      <c r="H163">
        <v>0.5</v>
      </c>
    </row>
    <row r="164" spans="1:8" x14ac:dyDescent="0.25">
      <c r="A164" s="7" t="s">
        <v>421</v>
      </c>
      <c r="B164" s="6" t="s">
        <v>422</v>
      </c>
      <c r="C164" s="7" t="s">
        <v>7</v>
      </c>
      <c r="D164" s="6" t="s">
        <v>8</v>
      </c>
      <c r="E164" s="6" t="s">
        <v>9</v>
      </c>
      <c r="F164" s="6" t="s">
        <v>10</v>
      </c>
      <c r="G164" s="6" t="s">
        <v>367</v>
      </c>
      <c r="H164" s="6">
        <v>2.2999999999999998</v>
      </c>
    </row>
    <row r="165" spans="1:8" x14ac:dyDescent="0.25">
      <c r="A165" s="1" t="s">
        <v>424</v>
      </c>
      <c r="B165" t="s">
        <v>425</v>
      </c>
      <c r="C165" s="1" t="s">
        <v>3167</v>
      </c>
      <c r="D165" t="s">
        <v>3168</v>
      </c>
      <c r="E165" t="s">
        <v>111</v>
      </c>
      <c r="F165" t="s">
        <v>17</v>
      </c>
      <c r="G165" t="s">
        <v>3577</v>
      </c>
      <c r="H165">
        <v>1.1000000000000001</v>
      </c>
    </row>
    <row r="166" spans="1:8" x14ac:dyDescent="0.25">
      <c r="A166" s="7" t="s">
        <v>424</v>
      </c>
      <c r="B166" s="6" t="s">
        <v>425</v>
      </c>
      <c r="C166" s="7" t="s">
        <v>3231</v>
      </c>
      <c r="D166" s="6" t="s">
        <v>3232</v>
      </c>
      <c r="E166" s="6" t="s">
        <v>3233</v>
      </c>
      <c r="F166" s="6" t="s">
        <v>121</v>
      </c>
      <c r="G166" s="6" t="s">
        <v>268</v>
      </c>
      <c r="H166" s="6">
        <v>17.489999999999998</v>
      </c>
    </row>
    <row r="167" spans="1:8" x14ac:dyDescent="0.25">
      <c r="A167" s="1" t="s">
        <v>424</v>
      </c>
      <c r="B167" t="s">
        <v>425</v>
      </c>
      <c r="C167" s="1" t="s">
        <v>3179</v>
      </c>
      <c r="D167" t="s">
        <v>3180</v>
      </c>
      <c r="E167" t="s">
        <v>151</v>
      </c>
      <c r="F167" t="s">
        <v>121</v>
      </c>
      <c r="G167" t="s">
        <v>50</v>
      </c>
      <c r="H167">
        <v>2</v>
      </c>
    </row>
    <row r="168" spans="1:8" x14ac:dyDescent="0.25">
      <c r="A168" s="7" t="s">
        <v>424</v>
      </c>
      <c r="B168" s="6" t="s">
        <v>425</v>
      </c>
      <c r="C168" s="7" t="s">
        <v>3235</v>
      </c>
      <c r="D168" s="6" t="s">
        <v>3236</v>
      </c>
      <c r="E168" s="6" t="s">
        <v>3237</v>
      </c>
      <c r="F168" s="6" t="s">
        <v>121</v>
      </c>
      <c r="G168" s="6" t="s">
        <v>122</v>
      </c>
      <c r="H168" s="6">
        <v>20.92</v>
      </c>
    </row>
    <row r="169" spans="1:8" x14ac:dyDescent="0.25">
      <c r="A169" s="1" t="s">
        <v>424</v>
      </c>
      <c r="B169" t="s">
        <v>425</v>
      </c>
      <c r="C169" s="1" t="s">
        <v>3182</v>
      </c>
      <c r="D169" t="s">
        <v>3183</v>
      </c>
      <c r="E169" t="s">
        <v>3184</v>
      </c>
      <c r="F169" t="s">
        <v>121</v>
      </c>
      <c r="G169" t="s">
        <v>50</v>
      </c>
      <c r="H169">
        <v>0.15</v>
      </c>
    </row>
    <row r="170" spans="1:8" x14ac:dyDescent="0.25">
      <c r="A170" s="7" t="s">
        <v>424</v>
      </c>
      <c r="B170" s="6" t="s">
        <v>425</v>
      </c>
      <c r="C170" s="7" t="s">
        <v>3185</v>
      </c>
      <c r="D170" s="6" t="s">
        <v>3186</v>
      </c>
      <c r="E170" s="6" t="s">
        <v>979</v>
      </c>
      <c r="F170" s="6" t="s">
        <v>121</v>
      </c>
      <c r="G170" s="6" t="s">
        <v>50</v>
      </c>
      <c r="H170" s="6">
        <v>0.52</v>
      </c>
    </row>
    <row r="171" spans="1:8" x14ac:dyDescent="0.25">
      <c r="A171" s="1" t="s">
        <v>424</v>
      </c>
      <c r="B171" t="s">
        <v>425</v>
      </c>
      <c r="C171" s="1" t="s">
        <v>41</v>
      </c>
      <c r="D171" t="s">
        <v>42</v>
      </c>
      <c r="E171" t="s">
        <v>513</v>
      </c>
      <c r="F171" t="s">
        <v>5</v>
      </c>
      <c r="G171" t="s">
        <v>736</v>
      </c>
      <c r="H171">
        <v>0.04</v>
      </c>
    </row>
    <row r="172" spans="1:8" x14ac:dyDescent="0.25">
      <c r="A172" s="7" t="s">
        <v>424</v>
      </c>
      <c r="B172" s="6" t="s">
        <v>425</v>
      </c>
      <c r="C172" s="7" t="s">
        <v>3578</v>
      </c>
      <c r="D172" s="6" t="s">
        <v>3579</v>
      </c>
      <c r="E172" s="6" t="s">
        <v>3580</v>
      </c>
      <c r="F172" s="6" t="s">
        <v>121</v>
      </c>
      <c r="G172" s="6" t="s">
        <v>122</v>
      </c>
      <c r="H172" s="6">
        <v>12.24</v>
      </c>
    </row>
    <row r="173" spans="1:8" x14ac:dyDescent="0.25">
      <c r="A173" s="1" t="s">
        <v>424</v>
      </c>
      <c r="B173" t="s">
        <v>425</v>
      </c>
      <c r="C173" s="1" t="s">
        <v>3581</v>
      </c>
      <c r="D173" t="s">
        <v>3582</v>
      </c>
      <c r="E173" t="s">
        <v>3583</v>
      </c>
      <c r="F173" t="s">
        <v>121</v>
      </c>
      <c r="G173" t="s">
        <v>50</v>
      </c>
      <c r="H173">
        <v>20.9</v>
      </c>
    </row>
    <row r="174" spans="1:8" x14ac:dyDescent="0.25">
      <c r="A174" s="7" t="s">
        <v>424</v>
      </c>
      <c r="B174" s="6" t="s">
        <v>425</v>
      </c>
      <c r="C174" s="7" t="s">
        <v>1121</v>
      </c>
      <c r="D174" s="6" t="s">
        <v>3585</v>
      </c>
      <c r="E174" s="6" t="s">
        <v>3586</v>
      </c>
      <c r="F174" s="6" t="s">
        <v>121</v>
      </c>
      <c r="G174" s="6" t="s">
        <v>50</v>
      </c>
      <c r="H174" s="6">
        <v>12.4</v>
      </c>
    </row>
    <row r="175" spans="1:8" x14ac:dyDescent="0.25">
      <c r="A175" s="1" t="s">
        <v>424</v>
      </c>
      <c r="B175" t="s">
        <v>425</v>
      </c>
      <c r="C175" s="1" t="s">
        <v>541</v>
      </c>
      <c r="D175" t="s">
        <v>542</v>
      </c>
      <c r="E175" t="s">
        <v>9</v>
      </c>
      <c r="F175" t="s">
        <v>10</v>
      </c>
      <c r="G175" t="s">
        <v>1178</v>
      </c>
      <c r="H175">
        <v>10.45</v>
      </c>
    </row>
    <row r="176" spans="1:8" x14ac:dyDescent="0.25">
      <c r="A176" s="7" t="s">
        <v>3578</v>
      </c>
      <c r="B176" s="6" t="s">
        <v>3587</v>
      </c>
      <c r="C176" s="7" t="s">
        <v>3255</v>
      </c>
      <c r="D176" s="6" t="s">
        <v>3256</v>
      </c>
      <c r="E176" s="6" t="s">
        <v>1017</v>
      </c>
      <c r="F176" s="6" t="s">
        <v>5</v>
      </c>
      <c r="G176" s="6" t="s">
        <v>3433</v>
      </c>
      <c r="H176" s="6">
        <v>0.45</v>
      </c>
    </row>
    <row r="177" spans="1:8" x14ac:dyDescent="0.25">
      <c r="A177" s="1" t="s">
        <v>3578</v>
      </c>
      <c r="B177" t="s">
        <v>3587</v>
      </c>
      <c r="C177" s="1" t="s">
        <v>541</v>
      </c>
      <c r="D177" t="s">
        <v>542</v>
      </c>
      <c r="E177" t="s">
        <v>9</v>
      </c>
      <c r="F177" t="s">
        <v>10</v>
      </c>
      <c r="G177" t="s">
        <v>3588</v>
      </c>
      <c r="H177">
        <v>2.61</v>
      </c>
    </row>
    <row r="178" spans="1:8" x14ac:dyDescent="0.25">
      <c r="A178" s="7" t="s">
        <v>3581</v>
      </c>
      <c r="B178" s="6" t="s">
        <v>3589</v>
      </c>
      <c r="C178" s="7" t="s">
        <v>1447</v>
      </c>
      <c r="D178" s="6" t="s">
        <v>1448</v>
      </c>
      <c r="E178" s="6" t="s">
        <v>779</v>
      </c>
      <c r="F178" s="6" t="s">
        <v>5</v>
      </c>
      <c r="G178" s="6" t="s">
        <v>3590</v>
      </c>
      <c r="H178" s="6">
        <v>4.8</v>
      </c>
    </row>
    <row r="179" spans="1:8" x14ac:dyDescent="0.25">
      <c r="A179" s="1" t="s">
        <v>3581</v>
      </c>
      <c r="B179" t="s">
        <v>3589</v>
      </c>
      <c r="C179" s="1" t="s">
        <v>541</v>
      </c>
      <c r="D179" t="s">
        <v>542</v>
      </c>
      <c r="E179" t="s">
        <v>9</v>
      </c>
      <c r="F179" t="s">
        <v>10</v>
      </c>
      <c r="G179" t="s">
        <v>1254</v>
      </c>
      <c r="H179">
        <v>16.100000000000001</v>
      </c>
    </row>
    <row r="180" spans="1:8" x14ac:dyDescent="0.25">
      <c r="A180" s="7" t="s">
        <v>3620</v>
      </c>
      <c r="B180" s="6" t="s">
        <v>3626</v>
      </c>
      <c r="C180" s="7" t="s">
        <v>1249</v>
      </c>
      <c r="D180" s="6" t="s">
        <v>1250</v>
      </c>
      <c r="E180" s="6" t="s">
        <v>1251</v>
      </c>
      <c r="F180" s="6" t="s">
        <v>1252</v>
      </c>
      <c r="G180" s="6" t="s">
        <v>3627</v>
      </c>
      <c r="H180" s="6">
        <v>3.6</v>
      </c>
    </row>
    <row r="181" spans="1:8" x14ac:dyDescent="0.25">
      <c r="A181" s="1" t="s">
        <v>3620</v>
      </c>
      <c r="B181" t="s">
        <v>3626</v>
      </c>
      <c r="C181" s="1" t="s">
        <v>7</v>
      </c>
      <c r="D181" t="s">
        <v>8</v>
      </c>
      <c r="E181" t="s">
        <v>9</v>
      </c>
      <c r="F181" t="s">
        <v>10</v>
      </c>
      <c r="G181" t="s">
        <v>3628</v>
      </c>
      <c r="H181">
        <v>4.07</v>
      </c>
    </row>
    <row r="182" spans="1:8" x14ac:dyDescent="0.25">
      <c r="A182" s="7" t="s">
        <v>158</v>
      </c>
      <c r="B182" s="6" t="s">
        <v>159</v>
      </c>
      <c r="C182" s="7" t="s">
        <v>3715</v>
      </c>
      <c r="D182" s="6" t="s">
        <v>3716</v>
      </c>
      <c r="E182" s="6" t="s">
        <v>3189</v>
      </c>
      <c r="F182" s="6" t="s">
        <v>17</v>
      </c>
      <c r="G182" s="6" t="s">
        <v>3717</v>
      </c>
      <c r="H182" s="6">
        <v>0.45</v>
      </c>
    </row>
    <row r="183" spans="1:8" x14ac:dyDescent="0.25">
      <c r="A183" s="1" t="s">
        <v>158</v>
      </c>
      <c r="B183" t="s">
        <v>159</v>
      </c>
      <c r="C183" s="1" t="s">
        <v>7</v>
      </c>
      <c r="D183" t="s">
        <v>8</v>
      </c>
      <c r="E183" t="s">
        <v>9</v>
      </c>
      <c r="F183" t="s">
        <v>10</v>
      </c>
      <c r="G183" t="s">
        <v>1740</v>
      </c>
      <c r="H183">
        <v>3.7</v>
      </c>
    </row>
    <row r="184" spans="1:8" x14ac:dyDescent="0.25">
      <c r="A184" s="7" t="s">
        <v>161</v>
      </c>
      <c r="B184" s="6" t="s">
        <v>162</v>
      </c>
      <c r="C184" s="7" t="s">
        <v>3715</v>
      </c>
      <c r="D184" s="6" t="s">
        <v>3716</v>
      </c>
      <c r="E184" s="6" t="s">
        <v>3189</v>
      </c>
      <c r="F184" s="6" t="s">
        <v>17</v>
      </c>
      <c r="G184" s="6" t="s">
        <v>3717</v>
      </c>
      <c r="H184" s="6">
        <v>0.45</v>
      </c>
    </row>
    <row r="185" spans="1:8" x14ac:dyDescent="0.25">
      <c r="A185" s="1" t="s">
        <v>161</v>
      </c>
      <c r="B185" t="s">
        <v>162</v>
      </c>
      <c r="C185" s="1" t="s">
        <v>7</v>
      </c>
      <c r="D185" t="s">
        <v>8</v>
      </c>
      <c r="E185" t="s">
        <v>9</v>
      </c>
      <c r="F185" t="s">
        <v>10</v>
      </c>
      <c r="G185" t="s">
        <v>1740</v>
      </c>
      <c r="H185">
        <v>3.7</v>
      </c>
    </row>
    <row r="186" spans="1:8" x14ac:dyDescent="0.25">
      <c r="A186" s="7" t="s">
        <v>370</v>
      </c>
      <c r="B186" s="6" t="s">
        <v>371</v>
      </c>
      <c r="C186" s="7" t="s">
        <v>684</v>
      </c>
      <c r="D186" s="6" t="s">
        <v>685</v>
      </c>
      <c r="E186" s="6" t="s">
        <v>686</v>
      </c>
      <c r="F186" s="6" t="s">
        <v>49</v>
      </c>
      <c r="G186" s="6" t="s">
        <v>3745</v>
      </c>
      <c r="H186" s="6">
        <v>71.05</v>
      </c>
    </row>
    <row r="187" spans="1:8" x14ac:dyDescent="0.25">
      <c r="A187" s="1" t="s">
        <v>370</v>
      </c>
      <c r="B187" t="s">
        <v>371</v>
      </c>
      <c r="C187" s="1" t="s">
        <v>7</v>
      </c>
      <c r="D187" t="s">
        <v>8</v>
      </c>
      <c r="E187" t="s">
        <v>9</v>
      </c>
      <c r="F187" t="s">
        <v>10</v>
      </c>
      <c r="G187" t="s">
        <v>860</v>
      </c>
      <c r="H187">
        <v>23</v>
      </c>
    </row>
    <row r="188" spans="1:8" x14ac:dyDescent="0.25">
      <c r="A188" s="7" t="s">
        <v>373</v>
      </c>
      <c r="B188" s="6" t="s">
        <v>374</v>
      </c>
      <c r="C188" s="7" t="s">
        <v>429</v>
      </c>
      <c r="D188" s="6" t="s">
        <v>430</v>
      </c>
      <c r="E188" s="6" t="s">
        <v>145</v>
      </c>
      <c r="F188" s="6" t="s">
        <v>5</v>
      </c>
      <c r="G188" s="6" t="s">
        <v>3746</v>
      </c>
      <c r="H188" s="6">
        <v>1.2</v>
      </c>
    </row>
    <row r="189" spans="1:8" x14ac:dyDescent="0.25">
      <c r="A189" s="1" t="s">
        <v>373</v>
      </c>
      <c r="B189" t="s">
        <v>374</v>
      </c>
      <c r="C189" s="1" t="s">
        <v>432</v>
      </c>
      <c r="D189" t="s">
        <v>433</v>
      </c>
      <c r="E189" t="s">
        <v>434</v>
      </c>
      <c r="F189" t="s">
        <v>435</v>
      </c>
      <c r="G189" t="s">
        <v>50</v>
      </c>
      <c r="H189">
        <v>1.1000000000000001</v>
      </c>
    </row>
    <row r="190" spans="1:8" x14ac:dyDescent="0.25">
      <c r="A190" s="7" t="s">
        <v>373</v>
      </c>
      <c r="B190" s="6" t="s">
        <v>374</v>
      </c>
      <c r="C190" s="7" t="s">
        <v>7</v>
      </c>
      <c r="D190" s="6" t="s">
        <v>8</v>
      </c>
      <c r="E190" s="6" t="s">
        <v>9</v>
      </c>
      <c r="F190" s="6" t="s">
        <v>10</v>
      </c>
      <c r="G190" s="6" t="s">
        <v>1130</v>
      </c>
      <c r="H190" s="6">
        <v>34.5</v>
      </c>
    </row>
    <row r="191" spans="1:8" x14ac:dyDescent="0.25">
      <c r="A191" s="1" t="s">
        <v>376</v>
      </c>
      <c r="B191" t="s">
        <v>377</v>
      </c>
      <c r="C191" s="1" t="s">
        <v>684</v>
      </c>
      <c r="D191" t="s">
        <v>685</v>
      </c>
      <c r="E191" t="s">
        <v>686</v>
      </c>
      <c r="F191" t="s">
        <v>49</v>
      </c>
      <c r="G191" t="s">
        <v>3747</v>
      </c>
      <c r="H191">
        <v>1.1499999999999999</v>
      </c>
    </row>
    <row r="192" spans="1:8" x14ac:dyDescent="0.25">
      <c r="A192" s="7" t="s">
        <v>236</v>
      </c>
      <c r="B192" s="6" t="s">
        <v>237</v>
      </c>
      <c r="C192" s="7" t="s">
        <v>2161</v>
      </c>
      <c r="D192" s="6" t="s">
        <v>2162</v>
      </c>
      <c r="E192" s="6" t="s">
        <v>1354</v>
      </c>
      <c r="F192" s="6" t="s">
        <v>5</v>
      </c>
      <c r="G192" s="6" t="s">
        <v>3748</v>
      </c>
      <c r="H192" s="6">
        <v>4.9000000000000004</v>
      </c>
    </row>
    <row r="193" spans="1:8" x14ac:dyDescent="0.25">
      <c r="A193" s="1" t="s">
        <v>236</v>
      </c>
      <c r="B193" t="s">
        <v>237</v>
      </c>
      <c r="C193" s="1" t="s">
        <v>7</v>
      </c>
      <c r="D193" t="s">
        <v>8</v>
      </c>
      <c r="E193" t="s">
        <v>9</v>
      </c>
      <c r="F193" t="s">
        <v>10</v>
      </c>
      <c r="G193" t="s">
        <v>1649</v>
      </c>
      <c r="H193">
        <v>9.65</v>
      </c>
    </row>
    <row r="194" spans="1:8" x14ac:dyDescent="0.25">
      <c r="A194" s="7" t="s">
        <v>239</v>
      </c>
      <c r="B194" s="6" t="s">
        <v>240</v>
      </c>
      <c r="C194" s="7" t="s">
        <v>2161</v>
      </c>
      <c r="D194" s="6" t="s">
        <v>2162</v>
      </c>
      <c r="E194" s="6" t="s">
        <v>1354</v>
      </c>
      <c r="F194" s="6" t="s">
        <v>5</v>
      </c>
      <c r="G194" s="6" t="s">
        <v>3749</v>
      </c>
      <c r="H194" s="6">
        <v>0.7</v>
      </c>
    </row>
    <row r="195" spans="1:8" x14ac:dyDescent="0.25">
      <c r="A195" s="1" t="s">
        <v>239</v>
      </c>
      <c r="B195" t="s">
        <v>240</v>
      </c>
      <c r="C195" s="1" t="s">
        <v>7</v>
      </c>
      <c r="D195" t="s">
        <v>8</v>
      </c>
      <c r="E195" t="s">
        <v>9</v>
      </c>
      <c r="F195" t="s">
        <v>10</v>
      </c>
      <c r="G195" t="s">
        <v>601</v>
      </c>
      <c r="H195">
        <v>6.9</v>
      </c>
    </row>
    <row r="196" spans="1:8" x14ac:dyDescent="0.25">
      <c r="A196" s="7" t="s">
        <v>1156</v>
      </c>
      <c r="B196" s="6" t="s">
        <v>1157</v>
      </c>
      <c r="C196" s="7" t="s">
        <v>1249</v>
      </c>
      <c r="D196" s="6" t="s">
        <v>1250</v>
      </c>
      <c r="E196" s="6" t="s">
        <v>1251</v>
      </c>
      <c r="F196" s="6" t="s">
        <v>1252</v>
      </c>
      <c r="G196" s="6" t="s">
        <v>3754</v>
      </c>
      <c r="H196" s="6">
        <v>50.4</v>
      </c>
    </row>
    <row r="197" spans="1:8" x14ac:dyDescent="0.25">
      <c r="A197" s="1" t="s">
        <v>1156</v>
      </c>
      <c r="B197" t="s">
        <v>1157</v>
      </c>
      <c r="C197" s="1" t="s">
        <v>7</v>
      </c>
      <c r="D197" t="s">
        <v>8</v>
      </c>
      <c r="E197" t="s">
        <v>9</v>
      </c>
      <c r="F197" t="s">
        <v>10</v>
      </c>
      <c r="G197" t="s">
        <v>3755</v>
      </c>
      <c r="H197">
        <v>149.6</v>
      </c>
    </row>
    <row r="198" spans="1:8" x14ac:dyDescent="0.25">
      <c r="A198" s="7" t="s">
        <v>118</v>
      </c>
      <c r="B198" s="6" t="s">
        <v>119</v>
      </c>
      <c r="C198" s="7" t="s">
        <v>3317</v>
      </c>
      <c r="D198" s="6" t="s">
        <v>3318</v>
      </c>
      <c r="E198" s="6" t="s">
        <v>3756</v>
      </c>
      <c r="F198" s="6" t="s">
        <v>5</v>
      </c>
      <c r="G198" s="6" t="s">
        <v>19</v>
      </c>
      <c r="H198" s="6">
        <v>3.95</v>
      </c>
    </row>
    <row r="199" spans="1:8" x14ac:dyDescent="0.25">
      <c r="A199" s="1" t="s">
        <v>118</v>
      </c>
      <c r="B199" t="s">
        <v>119</v>
      </c>
      <c r="C199" s="1" t="s">
        <v>7</v>
      </c>
      <c r="D199" t="s">
        <v>8</v>
      </c>
      <c r="E199" t="s">
        <v>9</v>
      </c>
      <c r="F199" t="s">
        <v>10</v>
      </c>
      <c r="G199" t="s">
        <v>3757</v>
      </c>
      <c r="H199">
        <v>12</v>
      </c>
    </row>
    <row r="200" spans="1:8" x14ac:dyDescent="0.25">
      <c r="A200" s="7" t="s">
        <v>123</v>
      </c>
      <c r="B200" s="6" t="s">
        <v>3758</v>
      </c>
      <c r="C200" s="7" t="s">
        <v>2</v>
      </c>
      <c r="D200" s="6" t="s">
        <v>3</v>
      </c>
      <c r="E200" s="6" t="s">
        <v>4</v>
      </c>
      <c r="F200" s="6" t="s">
        <v>5</v>
      </c>
      <c r="G200" s="6" t="s">
        <v>3759</v>
      </c>
      <c r="H200" s="6">
        <v>1.1499999999999999</v>
      </c>
    </row>
    <row r="201" spans="1:8" x14ac:dyDescent="0.25">
      <c r="A201" s="1" t="s">
        <v>123</v>
      </c>
      <c r="B201" t="s">
        <v>3758</v>
      </c>
      <c r="C201" s="1" t="s">
        <v>432</v>
      </c>
      <c r="D201" t="s">
        <v>433</v>
      </c>
      <c r="E201" t="s">
        <v>434</v>
      </c>
      <c r="F201" t="s">
        <v>435</v>
      </c>
      <c r="G201" t="s">
        <v>50</v>
      </c>
      <c r="H201">
        <v>1.1000000000000001</v>
      </c>
    </row>
    <row r="202" spans="1:8" x14ac:dyDescent="0.25">
      <c r="A202" s="7" t="s">
        <v>123</v>
      </c>
      <c r="B202" s="6" t="s">
        <v>3758</v>
      </c>
      <c r="C202" s="7" t="s">
        <v>7</v>
      </c>
      <c r="D202" s="6" t="s">
        <v>8</v>
      </c>
      <c r="E202" s="6" t="s">
        <v>9</v>
      </c>
      <c r="F202" s="6" t="s">
        <v>10</v>
      </c>
      <c r="G202" s="6" t="s">
        <v>3760</v>
      </c>
      <c r="H202" s="6">
        <v>11.6</v>
      </c>
    </row>
    <row r="203" spans="1:8" x14ac:dyDescent="0.25">
      <c r="A203" s="1" t="s">
        <v>126</v>
      </c>
      <c r="B203" t="s">
        <v>127</v>
      </c>
      <c r="C203" s="1" t="s">
        <v>3317</v>
      </c>
      <c r="D203" t="s">
        <v>3318</v>
      </c>
      <c r="E203" t="s">
        <v>3756</v>
      </c>
      <c r="F203" t="s">
        <v>5</v>
      </c>
      <c r="G203" t="s">
        <v>3761</v>
      </c>
      <c r="H203">
        <v>3.65</v>
      </c>
    </row>
    <row r="204" spans="1:8" x14ac:dyDescent="0.25">
      <c r="A204" s="7" t="s">
        <v>126</v>
      </c>
      <c r="B204" s="6" t="s">
        <v>127</v>
      </c>
      <c r="C204" s="7" t="s">
        <v>7</v>
      </c>
      <c r="D204" s="6" t="s">
        <v>8</v>
      </c>
      <c r="E204" s="6" t="s">
        <v>9</v>
      </c>
      <c r="F204" s="6" t="s">
        <v>10</v>
      </c>
      <c r="G204" s="6" t="s">
        <v>3757</v>
      </c>
      <c r="H204" s="6">
        <v>12</v>
      </c>
    </row>
    <row r="205" spans="1:8" x14ac:dyDescent="0.25">
      <c r="A205" s="1" t="s">
        <v>129</v>
      </c>
      <c r="B205" t="s">
        <v>3762</v>
      </c>
      <c r="C205" s="1" t="s">
        <v>1188</v>
      </c>
      <c r="D205" t="s">
        <v>1189</v>
      </c>
      <c r="E205" t="s">
        <v>1190</v>
      </c>
      <c r="F205" t="s">
        <v>5</v>
      </c>
      <c r="G205" t="s">
        <v>3763</v>
      </c>
      <c r="H205">
        <v>1.1000000000000001</v>
      </c>
    </row>
    <row r="206" spans="1:8" x14ac:dyDescent="0.25">
      <c r="A206" s="7" t="s">
        <v>129</v>
      </c>
      <c r="B206" s="6" t="s">
        <v>3762</v>
      </c>
      <c r="C206" s="7" t="s">
        <v>432</v>
      </c>
      <c r="D206" s="6" t="s">
        <v>433</v>
      </c>
      <c r="E206" s="6" t="s">
        <v>434</v>
      </c>
      <c r="F206" s="6" t="s">
        <v>435</v>
      </c>
      <c r="G206" s="6" t="s">
        <v>50</v>
      </c>
      <c r="H206" s="6">
        <v>1.1000000000000001</v>
      </c>
    </row>
    <row r="207" spans="1:8" x14ac:dyDescent="0.25">
      <c r="A207" s="1" t="s">
        <v>129</v>
      </c>
      <c r="B207" t="s">
        <v>3762</v>
      </c>
      <c r="C207" s="1" t="s">
        <v>7</v>
      </c>
      <c r="D207" t="s">
        <v>8</v>
      </c>
      <c r="E207" t="s">
        <v>9</v>
      </c>
      <c r="F207" t="s">
        <v>10</v>
      </c>
      <c r="G207" t="s">
        <v>2415</v>
      </c>
      <c r="H207">
        <v>12</v>
      </c>
    </row>
    <row r="208" spans="1:8" x14ac:dyDescent="0.25">
      <c r="A208" s="7" t="s">
        <v>135</v>
      </c>
      <c r="B208" s="6" t="s">
        <v>136</v>
      </c>
      <c r="C208" s="7" t="s">
        <v>3764</v>
      </c>
      <c r="D208" s="6" t="s">
        <v>3765</v>
      </c>
      <c r="E208" s="6" t="s">
        <v>2883</v>
      </c>
      <c r="F208" s="6" t="s">
        <v>5</v>
      </c>
      <c r="G208" s="6" t="s">
        <v>3766</v>
      </c>
      <c r="H208" s="6">
        <v>1.3</v>
      </c>
    </row>
    <row r="209" spans="1:8" x14ac:dyDescent="0.25">
      <c r="A209" s="1" t="s">
        <v>135</v>
      </c>
      <c r="B209" t="s">
        <v>136</v>
      </c>
      <c r="C209" s="1" t="s">
        <v>432</v>
      </c>
      <c r="D209" t="s">
        <v>433</v>
      </c>
      <c r="E209" t="s">
        <v>434</v>
      </c>
      <c r="F209" t="s">
        <v>435</v>
      </c>
      <c r="G209" t="s">
        <v>50</v>
      </c>
      <c r="H209">
        <v>1.1000000000000001</v>
      </c>
    </row>
    <row r="210" spans="1:8" x14ac:dyDescent="0.25">
      <c r="A210" s="7" t="s">
        <v>135</v>
      </c>
      <c r="B210" s="6" t="s">
        <v>136</v>
      </c>
      <c r="C210" s="7" t="s">
        <v>7</v>
      </c>
      <c r="D210" s="6" t="s">
        <v>8</v>
      </c>
      <c r="E210" s="6" t="s">
        <v>9</v>
      </c>
      <c r="F210" s="6" t="s">
        <v>10</v>
      </c>
      <c r="G210" s="6" t="s">
        <v>33</v>
      </c>
      <c r="H210" s="6">
        <v>9.1999999999999993</v>
      </c>
    </row>
    <row r="211" spans="1:8" x14ac:dyDescent="0.25">
      <c r="A211" s="1" t="s">
        <v>138</v>
      </c>
      <c r="B211" t="s">
        <v>139</v>
      </c>
      <c r="C211" s="1" t="s">
        <v>3767</v>
      </c>
      <c r="D211" t="s">
        <v>3768</v>
      </c>
      <c r="E211" t="s">
        <v>1101</v>
      </c>
      <c r="F211" t="s">
        <v>5</v>
      </c>
      <c r="G211" t="s">
        <v>3769</v>
      </c>
      <c r="H211">
        <v>0.45</v>
      </c>
    </row>
    <row r="212" spans="1:8" x14ac:dyDescent="0.25">
      <c r="A212" s="7" t="s">
        <v>138</v>
      </c>
      <c r="B212" s="6" t="s">
        <v>139</v>
      </c>
      <c r="C212" s="7" t="s">
        <v>432</v>
      </c>
      <c r="D212" s="6" t="s">
        <v>433</v>
      </c>
      <c r="E212" s="6" t="s">
        <v>434</v>
      </c>
      <c r="F212" s="6" t="s">
        <v>435</v>
      </c>
      <c r="G212" s="6" t="s">
        <v>50</v>
      </c>
      <c r="H212" s="6">
        <v>1.1000000000000001</v>
      </c>
    </row>
    <row r="213" spans="1:8" x14ac:dyDescent="0.25">
      <c r="A213" s="1" t="s">
        <v>138</v>
      </c>
      <c r="B213" t="s">
        <v>139</v>
      </c>
      <c r="C213" s="1" t="s">
        <v>7</v>
      </c>
      <c r="D213" t="s">
        <v>8</v>
      </c>
      <c r="E213" t="s">
        <v>9</v>
      </c>
      <c r="F213" t="s">
        <v>10</v>
      </c>
      <c r="G213" t="s">
        <v>33</v>
      </c>
      <c r="H213">
        <v>9.1999999999999993</v>
      </c>
    </row>
    <row r="214" spans="1:8" x14ac:dyDescent="0.25">
      <c r="A214" s="7" t="s">
        <v>141</v>
      </c>
      <c r="B214" s="6" t="s">
        <v>142</v>
      </c>
      <c r="C214" s="7" t="s">
        <v>3764</v>
      </c>
      <c r="D214" s="6" t="s">
        <v>3765</v>
      </c>
      <c r="E214" s="6" t="s">
        <v>2883</v>
      </c>
      <c r="F214" s="6" t="s">
        <v>5</v>
      </c>
      <c r="G214" s="6" t="s">
        <v>2607</v>
      </c>
      <c r="H214" s="6">
        <v>1.6</v>
      </c>
    </row>
    <row r="215" spans="1:8" x14ac:dyDescent="0.25">
      <c r="A215" s="1" t="s">
        <v>141</v>
      </c>
      <c r="B215" t="s">
        <v>142</v>
      </c>
      <c r="C215" s="1" t="s">
        <v>432</v>
      </c>
      <c r="D215" t="s">
        <v>433</v>
      </c>
      <c r="E215" t="s">
        <v>434</v>
      </c>
      <c r="F215" t="s">
        <v>435</v>
      </c>
      <c r="G215" t="s">
        <v>50</v>
      </c>
      <c r="H215">
        <v>1.1000000000000001</v>
      </c>
    </row>
    <row r="216" spans="1:8" x14ac:dyDescent="0.25">
      <c r="A216" s="7" t="s">
        <v>141</v>
      </c>
      <c r="B216" s="6" t="s">
        <v>142</v>
      </c>
      <c r="C216" s="7" t="s">
        <v>7</v>
      </c>
      <c r="D216" s="6" t="s">
        <v>8</v>
      </c>
      <c r="E216" s="6" t="s">
        <v>9</v>
      </c>
      <c r="F216" s="6" t="s">
        <v>10</v>
      </c>
      <c r="G216" s="6" t="s">
        <v>33</v>
      </c>
      <c r="H216" s="6">
        <v>9.1999999999999993</v>
      </c>
    </row>
    <row r="217" spans="1:8" x14ac:dyDescent="0.25">
      <c r="A217" s="1" t="s">
        <v>143</v>
      </c>
      <c r="B217" t="s">
        <v>144</v>
      </c>
      <c r="C217" s="1" t="s">
        <v>3770</v>
      </c>
      <c r="D217" t="s">
        <v>3771</v>
      </c>
      <c r="E217" t="s">
        <v>216</v>
      </c>
      <c r="F217" t="s">
        <v>5</v>
      </c>
      <c r="G217" t="s">
        <v>3772</v>
      </c>
      <c r="H217">
        <v>0.9</v>
      </c>
    </row>
    <row r="218" spans="1:8" x14ac:dyDescent="0.25">
      <c r="A218" s="7" t="s">
        <v>143</v>
      </c>
      <c r="B218" s="6" t="s">
        <v>144</v>
      </c>
      <c r="C218" s="7" t="s">
        <v>432</v>
      </c>
      <c r="D218" s="6" t="s">
        <v>433</v>
      </c>
      <c r="E218" s="6" t="s">
        <v>434</v>
      </c>
      <c r="F218" s="6" t="s">
        <v>435</v>
      </c>
      <c r="G218" s="6" t="s">
        <v>50</v>
      </c>
      <c r="H218" s="6">
        <v>1.1000000000000001</v>
      </c>
    </row>
    <row r="219" spans="1:8" x14ac:dyDescent="0.25">
      <c r="A219" s="1" t="s">
        <v>143</v>
      </c>
      <c r="B219" t="s">
        <v>144</v>
      </c>
      <c r="C219" s="1" t="s">
        <v>7</v>
      </c>
      <c r="D219" t="s">
        <v>8</v>
      </c>
      <c r="E219" t="s">
        <v>9</v>
      </c>
      <c r="F219" t="s">
        <v>10</v>
      </c>
      <c r="G219" t="s">
        <v>33</v>
      </c>
      <c r="H219">
        <v>9.1999999999999993</v>
      </c>
    </row>
    <row r="220" spans="1:8" x14ac:dyDescent="0.25">
      <c r="A220" s="7" t="s">
        <v>146</v>
      </c>
      <c r="B220" s="6" t="s">
        <v>147</v>
      </c>
      <c r="C220" s="7" t="s">
        <v>3255</v>
      </c>
      <c r="D220" s="6" t="s">
        <v>3256</v>
      </c>
      <c r="E220" s="6" t="s">
        <v>3756</v>
      </c>
      <c r="F220" s="6" t="s">
        <v>5</v>
      </c>
      <c r="G220" s="6" t="s">
        <v>992</v>
      </c>
      <c r="H220" s="6">
        <v>11.85</v>
      </c>
    </row>
    <row r="221" spans="1:8" x14ac:dyDescent="0.25">
      <c r="A221" s="1" t="s">
        <v>146</v>
      </c>
      <c r="B221" t="s">
        <v>147</v>
      </c>
      <c r="C221" s="1" t="s">
        <v>7</v>
      </c>
      <c r="D221" t="s">
        <v>8</v>
      </c>
      <c r="E221" t="s">
        <v>9</v>
      </c>
      <c r="F221" t="s">
        <v>10</v>
      </c>
      <c r="G221" t="s">
        <v>3773</v>
      </c>
      <c r="H221">
        <v>16.600000000000001</v>
      </c>
    </row>
    <row r="222" spans="1:8" x14ac:dyDescent="0.25">
      <c r="A222" s="7" t="s">
        <v>149</v>
      </c>
      <c r="B222" s="6" t="s">
        <v>150</v>
      </c>
      <c r="C222" s="7" t="s">
        <v>3774</v>
      </c>
      <c r="D222" s="6" t="s">
        <v>3775</v>
      </c>
      <c r="E222" s="6" t="s">
        <v>191</v>
      </c>
      <c r="F222" s="6" t="s">
        <v>5</v>
      </c>
      <c r="G222" s="6" t="s">
        <v>3776</v>
      </c>
      <c r="H222" s="6">
        <v>0.15</v>
      </c>
    </row>
    <row r="223" spans="1:8" x14ac:dyDescent="0.25">
      <c r="A223" s="1" t="s">
        <v>149</v>
      </c>
      <c r="B223" t="s">
        <v>150</v>
      </c>
      <c r="C223" s="1" t="s">
        <v>7</v>
      </c>
      <c r="D223" t="s">
        <v>8</v>
      </c>
      <c r="E223" t="s">
        <v>9</v>
      </c>
      <c r="F223" t="s">
        <v>10</v>
      </c>
      <c r="G223" t="s">
        <v>3777</v>
      </c>
      <c r="H223">
        <v>1.85</v>
      </c>
    </row>
    <row r="224" spans="1:8" x14ac:dyDescent="0.25">
      <c r="A224" s="7" t="s">
        <v>163</v>
      </c>
      <c r="B224" s="6" t="s">
        <v>164</v>
      </c>
      <c r="C224" s="7" t="s">
        <v>1487</v>
      </c>
      <c r="D224" s="6" t="s">
        <v>1488</v>
      </c>
      <c r="E224" s="6" t="s">
        <v>31</v>
      </c>
      <c r="F224" s="6" t="s">
        <v>5</v>
      </c>
      <c r="G224" s="6" t="s">
        <v>3778</v>
      </c>
      <c r="H224" s="6">
        <v>1.1000000000000001</v>
      </c>
    </row>
    <row r="225" spans="1:8" x14ac:dyDescent="0.25">
      <c r="A225" s="1" t="s">
        <v>163</v>
      </c>
      <c r="B225" t="s">
        <v>164</v>
      </c>
      <c r="C225" s="1" t="s">
        <v>432</v>
      </c>
      <c r="D225" t="s">
        <v>433</v>
      </c>
      <c r="E225" t="s">
        <v>434</v>
      </c>
      <c r="F225" t="s">
        <v>435</v>
      </c>
      <c r="G225" t="s">
        <v>50</v>
      </c>
      <c r="H225">
        <v>1.1000000000000001</v>
      </c>
    </row>
    <row r="226" spans="1:8" x14ac:dyDescent="0.25">
      <c r="A226" s="7" t="s">
        <v>163</v>
      </c>
      <c r="B226" s="6" t="s">
        <v>164</v>
      </c>
      <c r="C226" s="7" t="s">
        <v>7</v>
      </c>
      <c r="D226" s="6" t="s">
        <v>1031</v>
      </c>
      <c r="E226" s="6" t="s">
        <v>9</v>
      </c>
      <c r="F226" s="6" t="s">
        <v>10</v>
      </c>
      <c r="G226" s="6" t="s">
        <v>594</v>
      </c>
      <c r="H226" s="6">
        <v>11.5</v>
      </c>
    </row>
    <row r="227" spans="1:8" x14ac:dyDescent="0.25">
      <c r="A227" s="1" t="s">
        <v>166</v>
      </c>
      <c r="B227" t="s">
        <v>167</v>
      </c>
      <c r="C227" s="1" t="s">
        <v>1203</v>
      </c>
      <c r="D227" t="s">
        <v>1204</v>
      </c>
      <c r="E227" t="s">
        <v>1232</v>
      </c>
      <c r="F227" t="s">
        <v>5</v>
      </c>
      <c r="G227" t="s">
        <v>2127</v>
      </c>
      <c r="H227">
        <v>0.5</v>
      </c>
    </row>
    <row r="228" spans="1:8" x14ac:dyDescent="0.25">
      <c r="A228" s="7" t="s">
        <v>166</v>
      </c>
      <c r="B228" s="6" t="s">
        <v>167</v>
      </c>
      <c r="C228" s="7" t="s">
        <v>432</v>
      </c>
      <c r="D228" s="6" t="s">
        <v>433</v>
      </c>
      <c r="E228" s="6" t="s">
        <v>434</v>
      </c>
      <c r="F228" s="6" t="s">
        <v>435</v>
      </c>
      <c r="G228" s="6" t="s">
        <v>50</v>
      </c>
      <c r="H228" s="6">
        <v>1.1000000000000001</v>
      </c>
    </row>
    <row r="229" spans="1:8" x14ac:dyDescent="0.25">
      <c r="A229" s="1" t="s">
        <v>166</v>
      </c>
      <c r="B229" t="s">
        <v>167</v>
      </c>
      <c r="C229" s="1" t="s">
        <v>7</v>
      </c>
      <c r="D229" t="s">
        <v>8</v>
      </c>
      <c r="E229" t="s">
        <v>9</v>
      </c>
      <c r="F229" t="s">
        <v>10</v>
      </c>
      <c r="G229" t="s">
        <v>3779</v>
      </c>
      <c r="H229">
        <v>6.75</v>
      </c>
    </row>
    <row r="230" spans="1:8" x14ac:dyDescent="0.25">
      <c r="A230" s="7" t="s">
        <v>169</v>
      </c>
      <c r="B230" s="6" t="s">
        <v>170</v>
      </c>
      <c r="C230" s="7" t="s">
        <v>3780</v>
      </c>
      <c r="D230" s="6" t="s">
        <v>3781</v>
      </c>
      <c r="E230" s="6" t="s">
        <v>3586</v>
      </c>
      <c r="F230" s="6" t="s">
        <v>5</v>
      </c>
      <c r="G230" s="6" t="s">
        <v>3782</v>
      </c>
      <c r="H230" s="6">
        <v>1.3</v>
      </c>
    </row>
    <row r="231" spans="1:8" x14ac:dyDescent="0.25">
      <c r="A231" s="1" t="s">
        <v>169</v>
      </c>
      <c r="B231" t="s">
        <v>170</v>
      </c>
      <c r="C231" s="1" t="s">
        <v>432</v>
      </c>
      <c r="D231" t="s">
        <v>433</v>
      </c>
      <c r="E231" t="s">
        <v>434</v>
      </c>
      <c r="F231" t="s">
        <v>435</v>
      </c>
      <c r="G231" t="s">
        <v>50</v>
      </c>
      <c r="H231">
        <v>1.1000000000000001</v>
      </c>
    </row>
    <row r="232" spans="1:8" x14ac:dyDescent="0.25">
      <c r="A232" s="7" t="s">
        <v>169</v>
      </c>
      <c r="B232" s="6" t="s">
        <v>170</v>
      </c>
      <c r="C232" s="7" t="s">
        <v>7</v>
      </c>
      <c r="D232" s="6" t="s">
        <v>8</v>
      </c>
      <c r="E232" s="6" t="s">
        <v>9</v>
      </c>
      <c r="F232" s="6" t="s">
        <v>10</v>
      </c>
      <c r="G232" s="6" t="s">
        <v>3783</v>
      </c>
      <c r="H232" s="6">
        <v>14.55</v>
      </c>
    </row>
    <row r="233" spans="1:8" x14ac:dyDescent="0.25">
      <c r="A233" s="1" t="s">
        <v>172</v>
      </c>
      <c r="B233" t="s">
        <v>173</v>
      </c>
      <c r="C233" s="1" t="s">
        <v>2</v>
      </c>
      <c r="D233" t="s">
        <v>3</v>
      </c>
      <c r="E233" t="s">
        <v>4</v>
      </c>
      <c r="F233" t="s">
        <v>5</v>
      </c>
      <c r="G233" t="s">
        <v>3784</v>
      </c>
      <c r="H233">
        <v>0.5</v>
      </c>
    </row>
    <row r="234" spans="1:8" x14ac:dyDescent="0.25">
      <c r="A234" s="7" t="s">
        <v>172</v>
      </c>
      <c r="B234" s="6" t="s">
        <v>173</v>
      </c>
      <c r="C234" s="7" t="s">
        <v>432</v>
      </c>
      <c r="D234" s="6" t="s">
        <v>433</v>
      </c>
      <c r="E234" s="6" t="s">
        <v>434</v>
      </c>
      <c r="F234" s="6" t="s">
        <v>435</v>
      </c>
      <c r="G234" s="6" t="s">
        <v>50</v>
      </c>
      <c r="H234" s="6">
        <v>1.1000000000000001</v>
      </c>
    </row>
    <row r="235" spans="1:8" x14ac:dyDescent="0.25">
      <c r="A235" s="1" t="s">
        <v>172</v>
      </c>
      <c r="B235" t="s">
        <v>173</v>
      </c>
      <c r="C235" s="1" t="s">
        <v>7</v>
      </c>
      <c r="D235" t="s">
        <v>8</v>
      </c>
      <c r="E235" t="s">
        <v>9</v>
      </c>
      <c r="F235" t="s">
        <v>10</v>
      </c>
      <c r="G235" t="s">
        <v>1384</v>
      </c>
      <c r="H235">
        <v>4.8499999999999996</v>
      </c>
    </row>
    <row r="236" spans="1:8" x14ac:dyDescent="0.25">
      <c r="A236" s="7" t="s">
        <v>172</v>
      </c>
      <c r="B236" s="6" t="s">
        <v>173</v>
      </c>
      <c r="C236" s="7" t="s">
        <v>7</v>
      </c>
      <c r="D236" s="6" t="s">
        <v>8</v>
      </c>
      <c r="E236" s="6" t="s">
        <v>9</v>
      </c>
      <c r="F236" s="6" t="s">
        <v>10</v>
      </c>
      <c r="G236" s="6" t="s">
        <v>1791</v>
      </c>
      <c r="H236" s="6">
        <v>2.4500000000000002</v>
      </c>
    </row>
    <row r="237" spans="1:8" x14ac:dyDescent="0.25">
      <c r="A237" s="1" t="s">
        <v>174</v>
      </c>
      <c r="B237" t="s">
        <v>175</v>
      </c>
      <c r="C237" s="1" t="s">
        <v>1203</v>
      </c>
      <c r="D237" t="s">
        <v>1204</v>
      </c>
      <c r="E237" t="s">
        <v>1232</v>
      </c>
      <c r="F237" t="s">
        <v>5</v>
      </c>
      <c r="G237" t="s">
        <v>3785</v>
      </c>
      <c r="H237">
        <v>0.2</v>
      </c>
    </row>
    <row r="238" spans="1:8" x14ac:dyDescent="0.25">
      <c r="A238" s="7" t="s">
        <v>174</v>
      </c>
      <c r="B238" s="6" t="s">
        <v>175</v>
      </c>
      <c r="C238" s="7" t="s">
        <v>432</v>
      </c>
      <c r="D238" s="6" t="s">
        <v>433</v>
      </c>
      <c r="E238" s="6" t="s">
        <v>434</v>
      </c>
      <c r="F238" s="6" t="s">
        <v>435</v>
      </c>
      <c r="G238" s="6" t="s">
        <v>50</v>
      </c>
      <c r="H238" s="6">
        <v>1.1000000000000001</v>
      </c>
    </row>
    <row r="239" spans="1:8" x14ac:dyDescent="0.25">
      <c r="A239" s="1" t="s">
        <v>174</v>
      </c>
      <c r="B239" t="s">
        <v>175</v>
      </c>
      <c r="C239" s="1" t="s">
        <v>7</v>
      </c>
      <c r="D239" t="s">
        <v>8</v>
      </c>
      <c r="E239" t="s">
        <v>9</v>
      </c>
      <c r="F239" t="s">
        <v>10</v>
      </c>
      <c r="G239" t="s">
        <v>367</v>
      </c>
      <c r="H239">
        <v>2.2999999999999998</v>
      </c>
    </row>
    <row r="240" spans="1:8" x14ac:dyDescent="0.25">
      <c r="A240" s="7" t="s">
        <v>177</v>
      </c>
      <c r="B240" s="6" t="s">
        <v>178</v>
      </c>
      <c r="C240" s="7" t="s">
        <v>3786</v>
      </c>
      <c r="D240" s="6" t="s">
        <v>3787</v>
      </c>
      <c r="E240" s="6" t="s">
        <v>117</v>
      </c>
      <c r="F240" s="6" t="s">
        <v>5</v>
      </c>
      <c r="G240" s="6" t="s">
        <v>1772</v>
      </c>
      <c r="H240" s="6">
        <v>0.3</v>
      </c>
    </row>
    <row r="241" spans="1:8" x14ac:dyDescent="0.25">
      <c r="A241" s="1" t="s">
        <v>177</v>
      </c>
      <c r="B241" t="s">
        <v>178</v>
      </c>
      <c r="C241" s="1" t="s">
        <v>7</v>
      </c>
      <c r="D241" t="s">
        <v>8</v>
      </c>
      <c r="E241" t="s">
        <v>9</v>
      </c>
      <c r="F241" t="s">
        <v>10</v>
      </c>
      <c r="G241" t="s">
        <v>3788</v>
      </c>
      <c r="H241">
        <v>2.35</v>
      </c>
    </row>
    <row r="242" spans="1:8" x14ac:dyDescent="0.25">
      <c r="A242" s="7" t="s">
        <v>180</v>
      </c>
      <c r="B242" s="6" t="s">
        <v>181</v>
      </c>
      <c r="C242" s="7" t="s">
        <v>3510</v>
      </c>
      <c r="D242" s="6" t="s">
        <v>3511</v>
      </c>
      <c r="E242" s="6" t="s">
        <v>1017</v>
      </c>
      <c r="F242" s="6" t="s">
        <v>5</v>
      </c>
      <c r="G242" s="6" t="s">
        <v>3789</v>
      </c>
      <c r="H242" s="6">
        <v>4.0999999999999996</v>
      </c>
    </row>
    <row r="243" spans="1:8" x14ac:dyDescent="0.25">
      <c r="A243" s="1" t="s">
        <v>180</v>
      </c>
      <c r="B243" t="s">
        <v>181</v>
      </c>
      <c r="C243" s="1" t="s">
        <v>7</v>
      </c>
      <c r="D243" t="s">
        <v>8</v>
      </c>
      <c r="E243" t="s">
        <v>9</v>
      </c>
      <c r="F243" t="s">
        <v>10</v>
      </c>
      <c r="G243" t="s">
        <v>1604</v>
      </c>
      <c r="H243">
        <v>9.6999999999999993</v>
      </c>
    </row>
    <row r="244" spans="1:8" x14ac:dyDescent="0.25">
      <c r="A244" s="7" t="s">
        <v>183</v>
      </c>
      <c r="B244" s="6" t="s">
        <v>184</v>
      </c>
      <c r="C244" s="7" t="s">
        <v>3790</v>
      </c>
      <c r="D244" s="6" t="s">
        <v>3791</v>
      </c>
      <c r="E244" s="6" t="s">
        <v>1017</v>
      </c>
      <c r="F244" s="6" t="s">
        <v>5</v>
      </c>
      <c r="G244" s="6" t="s">
        <v>3792</v>
      </c>
      <c r="H244" s="6">
        <v>1.5</v>
      </c>
    </row>
    <row r="245" spans="1:8" x14ac:dyDescent="0.25">
      <c r="A245" s="1" t="s">
        <v>183</v>
      </c>
      <c r="B245" t="s">
        <v>184</v>
      </c>
      <c r="C245" s="1" t="s">
        <v>7</v>
      </c>
      <c r="D245" t="s">
        <v>8</v>
      </c>
      <c r="E245" t="s">
        <v>9</v>
      </c>
      <c r="F245" t="s">
        <v>10</v>
      </c>
      <c r="G245" t="s">
        <v>2518</v>
      </c>
      <c r="H245">
        <v>2.4</v>
      </c>
    </row>
    <row r="246" spans="1:8" x14ac:dyDescent="0.25">
      <c r="A246" s="7" t="s">
        <v>186</v>
      </c>
      <c r="B246" s="6" t="s">
        <v>187</v>
      </c>
      <c r="C246" s="7" t="s">
        <v>3793</v>
      </c>
      <c r="D246" s="6" t="s">
        <v>3794</v>
      </c>
      <c r="E246" s="6" t="s">
        <v>3795</v>
      </c>
      <c r="F246" s="6" t="s">
        <v>5</v>
      </c>
      <c r="G246" s="6" t="s">
        <v>3796</v>
      </c>
      <c r="H246" s="6">
        <v>1.1499999999999999</v>
      </c>
    </row>
    <row r="247" spans="1:8" x14ac:dyDescent="0.25">
      <c r="A247" s="1" t="s">
        <v>186</v>
      </c>
      <c r="B247" t="s">
        <v>187</v>
      </c>
      <c r="C247" s="1" t="s">
        <v>7</v>
      </c>
      <c r="D247" t="s">
        <v>8</v>
      </c>
      <c r="E247" t="s">
        <v>9</v>
      </c>
      <c r="F247" t="s">
        <v>10</v>
      </c>
      <c r="G247" t="s">
        <v>3797</v>
      </c>
      <c r="H247">
        <v>7.25</v>
      </c>
    </row>
    <row r="248" spans="1:8" x14ac:dyDescent="0.25">
      <c r="A248" s="7" t="s">
        <v>189</v>
      </c>
      <c r="B248" s="6" t="s">
        <v>190</v>
      </c>
      <c r="C248" s="7" t="s">
        <v>1743</v>
      </c>
      <c r="D248" s="6" t="s">
        <v>1744</v>
      </c>
      <c r="E248" s="6" t="s">
        <v>1354</v>
      </c>
      <c r="F248" s="6" t="s">
        <v>5</v>
      </c>
      <c r="G248" s="6" t="s">
        <v>3798</v>
      </c>
      <c r="H248" s="6">
        <v>5.65</v>
      </c>
    </row>
    <row r="249" spans="1:8" x14ac:dyDescent="0.25">
      <c r="A249" s="1" t="s">
        <v>189</v>
      </c>
      <c r="B249" t="s">
        <v>190</v>
      </c>
      <c r="C249" s="1" t="s">
        <v>7</v>
      </c>
      <c r="D249" t="s">
        <v>8</v>
      </c>
      <c r="E249" t="s">
        <v>9</v>
      </c>
      <c r="F249" t="s">
        <v>10</v>
      </c>
      <c r="G249" t="s">
        <v>1755</v>
      </c>
      <c r="H249">
        <v>7.15</v>
      </c>
    </row>
    <row r="250" spans="1:8" x14ac:dyDescent="0.25">
      <c r="A250" s="7" t="s">
        <v>192</v>
      </c>
      <c r="B250" s="6" t="s">
        <v>193</v>
      </c>
      <c r="C250" s="7" t="s">
        <v>1128</v>
      </c>
      <c r="D250" s="6" t="s">
        <v>1129</v>
      </c>
      <c r="E250" s="6" t="s">
        <v>31</v>
      </c>
      <c r="F250" s="6" t="s">
        <v>5</v>
      </c>
      <c r="G250" s="6" t="s">
        <v>3802</v>
      </c>
      <c r="H250" s="6">
        <v>4</v>
      </c>
    </row>
    <row r="251" spans="1:8" x14ac:dyDescent="0.25">
      <c r="A251" s="1" t="s">
        <v>192</v>
      </c>
      <c r="B251" t="s">
        <v>193</v>
      </c>
      <c r="C251" s="1" t="s">
        <v>3803</v>
      </c>
      <c r="D251" t="s">
        <v>3804</v>
      </c>
      <c r="E251" t="s">
        <v>3805</v>
      </c>
      <c r="F251" t="s">
        <v>932</v>
      </c>
      <c r="G251" t="s">
        <v>3806</v>
      </c>
      <c r="H251">
        <v>0.84</v>
      </c>
    </row>
    <row r="252" spans="1:8" x14ac:dyDescent="0.25">
      <c r="A252" s="7" t="s">
        <v>192</v>
      </c>
      <c r="B252" s="6" t="s">
        <v>193</v>
      </c>
      <c r="C252" s="7" t="s">
        <v>41</v>
      </c>
      <c r="D252" s="6" t="s">
        <v>42</v>
      </c>
      <c r="E252" s="6" t="s">
        <v>513</v>
      </c>
      <c r="F252" s="6" t="s">
        <v>5</v>
      </c>
      <c r="G252" s="6" t="s">
        <v>44</v>
      </c>
      <c r="H252" s="6">
        <v>0.01</v>
      </c>
    </row>
    <row r="253" spans="1:8" x14ac:dyDescent="0.25">
      <c r="A253" s="1" t="s">
        <v>192</v>
      </c>
      <c r="B253" t="s">
        <v>193</v>
      </c>
      <c r="C253" s="1" t="s">
        <v>432</v>
      </c>
      <c r="D253" t="s">
        <v>433</v>
      </c>
      <c r="E253" t="s">
        <v>434</v>
      </c>
      <c r="F253" t="s">
        <v>435</v>
      </c>
      <c r="G253" t="s">
        <v>50</v>
      </c>
      <c r="H253">
        <v>1.1000000000000001</v>
      </c>
    </row>
    <row r="254" spans="1:8" x14ac:dyDescent="0.25">
      <c r="A254" s="7" t="s">
        <v>192</v>
      </c>
      <c r="B254" s="6" t="s">
        <v>193</v>
      </c>
      <c r="C254" s="7" t="s">
        <v>7</v>
      </c>
      <c r="D254" s="6" t="s">
        <v>8</v>
      </c>
      <c r="E254" s="6" t="s">
        <v>9</v>
      </c>
      <c r="F254" s="6" t="s">
        <v>10</v>
      </c>
      <c r="G254" s="6" t="s">
        <v>3807</v>
      </c>
      <c r="H254" s="6">
        <v>14.9</v>
      </c>
    </row>
    <row r="255" spans="1:8" x14ac:dyDescent="0.25">
      <c r="A255" s="1" t="s">
        <v>195</v>
      </c>
      <c r="B255" t="s">
        <v>196</v>
      </c>
      <c r="C255" s="1" t="s">
        <v>3808</v>
      </c>
      <c r="D255" t="s">
        <v>3809</v>
      </c>
      <c r="E255" t="s">
        <v>3795</v>
      </c>
      <c r="F255" t="s">
        <v>5</v>
      </c>
      <c r="G255" t="s">
        <v>25</v>
      </c>
      <c r="H255">
        <v>2.4</v>
      </c>
    </row>
    <row r="256" spans="1:8" x14ac:dyDescent="0.25">
      <c r="A256" s="7" t="s">
        <v>195</v>
      </c>
      <c r="B256" s="6" t="s">
        <v>196</v>
      </c>
      <c r="C256" s="7" t="s">
        <v>7</v>
      </c>
      <c r="D256" s="6" t="s">
        <v>8</v>
      </c>
      <c r="E256" s="6" t="s">
        <v>9</v>
      </c>
      <c r="F256" s="6" t="s">
        <v>10</v>
      </c>
      <c r="G256" s="6" t="s">
        <v>3810</v>
      </c>
      <c r="H256" s="6">
        <v>9.5500000000000007</v>
      </c>
    </row>
    <row r="257" spans="1:8" x14ac:dyDescent="0.25">
      <c r="A257" s="1" t="s">
        <v>198</v>
      </c>
      <c r="B257" t="s">
        <v>199</v>
      </c>
      <c r="C257" s="1" t="s">
        <v>3431</v>
      </c>
      <c r="D257" t="s">
        <v>3432</v>
      </c>
      <c r="E257" t="s">
        <v>1354</v>
      </c>
      <c r="F257" t="s">
        <v>5</v>
      </c>
      <c r="G257" t="s">
        <v>3815</v>
      </c>
      <c r="H257">
        <v>0.25</v>
      </c>
    </row>
    <row r="258" spans="1:8" x14ac:dyDescent="0.25">
      <c r="A258" s="7" t="s">
        <v>198</v>
      </c>
      <c r="B258" s="6" t="s">
        <v>199</v>
      </c>
      <c r="C258" s="7" t="s">
        <v>7</v>
      </c>
      <c r="D258" s="6" t="s">
        <v>8</v>
      </c>
      <c r="E258" s="6" t="s">
        <v>9</v>
      </c>
      <c r="F258" s="6" t="s">
        <v>10</v>
      </c>
      <c r="G258" s="6" t="s">
        <v>2518</v>
      </c>
      <c r="H258" s="6">
        <v>2.4</v>
      </c>
    </row>
    <row r="259" spans="1:8" x14ac:dyDescent="0.25">
      <c r="A259" s="1" t="s">
        <v>200</v>
      </c>
      <c r="B259" t="s">
        <v>201</v>
      </c>
      <c r="C259" s="1" t="s">
        <v>1743</v>
      </c>
      <c r="D259" t="s">
        <v>1744</v>
      </c>
      <c r="E259" t="s">
        <v>1354</v>
      </c>
      <c r="F259" t="s">
        <v>5</v>
      </c>
      <c r="G259" t="s">
        <v>3816</v>
      </c>
      <c r="H259">
        <v>4.95</v>
      </c>
    </row>
    <row r="260" spans="1:8" x14ac:dyDescent="0.25">
      <c r="A260" s="7" t="s">
        <v>200</v>
      </c>
      <c r="B260" s="6" t="s">
        <v>201</v>
      </c>
      <c r="C260" s="7" t="s">
        <v>7</v>
      </c>
      <c r="D260" s="6" t="s">
        <v>8</v>
      </c>
      <c r="E260" s="6" t="s">
        <v>9</v>
      </c>
      <c r="F260" s="6" t="s">
        <v>10</v>
      </c>
      <c r="G260" s="6" t="s">
        <v>1755</v>
      </c>
      <c r="H260" s="6">
        <v>7.15</v>
      </c>
    </row>
    <row r="261" spans="1:8" x14ac:dyDescent="0.25">
      <c r="A261" s="1" t="s">
        <v>203</v>
      </c>
      <c r="B261" t="s">
        <v>204</v>
      </c>
      <c r="C261" s="1" t="s">
        <v>2</v>
      </c>
      <c r="D261" t="s">
        <v>3</v>
      </c>
      <c r="E261" t="s">
        <v>4</v>
      </c>
      <c r="F261" t="s">
        <v>5</v>
      </c>
      <c r="G261" t="s">
        <v>3817</v>
      </c>
      <c r="H261">
        <v>0.4</v>
      </c>
    </row>
    <row r="262" spans="1:8" x14ac:dyDescent="0.25">
      <c r="A262" s="7" t="s">
        <v>203</v>
      </c>
      <c r="B262" s="6" t="s">
        <v>204</v>
      </c>
      <c r="C262" s="7" t="s">
        <v>432</v>
      </c>
      <c r="D262" s="6" t="s">
        <v>433</v>
      </c>
      <c r="E262" s="6" t="s">
        <v>434</v>
      </c>
      <c r="F262" s="6" t="s">
        <v>435</v>
      </c>
      <c r="G262" s="6" t="s">
        <v>50</v>
      </c>
      <c r="H262" s="6">
        <v>1.1000000000000001</v>
      </c>
    </row>
    <row r="263" spans="1:8" x14ac:dyDescent="0.25">
      <c r="A263" s="1" t="s">
        <v>203</v>
      </c>
      <c r="B263" t="s">
        <v>204</v>
      </c>
      <c r="C263" s="1" t="s">
        <v>7</v>
      </c>
      <c r="D263" t="s">
        <v>8</v>
      </c>
      <c r="E263" t="s">
        <v>9</v>
      </c>
      <c r="F263" t="s">
        <v>10</v>
      </c>
      <c r="G263" t="s">
        <v>1384</v>
      </c>
      <c r="H263">
        <v>4.8499999999999996</v>
      </c>
    </row>
    <row r="264" spans="1:8" x14ac:dyDescent="0.25">
      <c r="A264" s="7" t="s">
        <v>206</v>
      </c>
      <c r="B264" s="6" t="s">
        <v>207</v>
      </c>
      <c r="C264" s="7" t="s">
        <v>3818</v>
      </c>
      <c r="D264" s="6" t="s">
        <v>3819</v>
      </c>
      <c r="E264" s="6" t="s">
        <v>3820</v>
      </c>
      <c r="F264" s="6" t="s">
        <v>5</v>
      </c>
      <c r="G264" s="6" t="s">
        <v>3821</v>
      </c>
      <c r="H264" s="6">
        <v>5</v>
      </c>
    </row>
    <row r="265" spans="1:8" x14ac:dyDescent="0.25">
      <c r="A265" s="1" t="s">
        <v>206</v>
      </c>
      <c r="B265" t="s">
        <v>207</v>
      </c>
      <c r="C265" s="1" t="s">
        <v>7</v>
      </c>
      <c r="D265" t="s">
        <v>8</v>
      </c>
      <c r="E265" t="s">
        <v>9</v>
      </c>
      <c r="F265" t="s">
        <v>10</v>
      </c>
      <c r="G265" t="s">
        <v>3822</v>
      </c>
      <c r="H265">
        <v>7.2</v>
      </c>
    </row>
    <row r="266" spans="1:8" x14ac:dyDescent="0.25">
      <c r="A266" s="7" t="s">
        <v>209</v>
      </c>
      <c r="B266" s="6" t="s">
        <v>210</v>
      </c>
      <c r="C266" s="7" t="s">
        <v>3790</v>
      </c>
      <c r="D266" s="6" t="s">
        <v>3791</v>
      </c>
      <c r="E266" s="6" t="s">
        <v>1017</v>
      </c>
      <c r="F266" s="6" t="s">
        <v>5</v>
      </c>
      <c r="G266" s="6" t="s">
        <v>3823</v>
      </c>
      <c r="H266" s="6">
        <v>1.4</v>
      </c>
    </row>
    <row r="267" spans="1:8" x14ac:dyDescent="0.25">
      <c r="A267" s="1" t="s">
        <v>209</v>
      </c>
      <c r="B267" t="s">
        <v>210</v>
      </c>
      <c r="C267" s="1" t="s">
        <v>7</v>
      </c>
      <c r="D267" t="s">
        <v>8</v>
      </c>
      <c r="E267" t="s">
        <v>9</v>
      </c>
      <c r="F267" t="s">
        <v>10</v>
      </c>
      <c r="G267" t="s">
        <v>33</v>
      </c>
      <c r="H267">
        <v>9.1999999999999993</v>
      </c>
    </row>
    <row r="268" spans="1:8" x14ac:dyDescent="0.25">
      <c r="A268" s="7" t="s">
        <v>211</v>
      </c>
      <c r="B268" s="6" t="s">
        <v>212</v>
      </c>
      <c r="C268" s="7" t="s">
        <v>3824</v>
      </c>
      <c r="D268" s="6" t="s">
        <v>3825</v>
      </c>
      <c r="E268" s="6" t="s">
        <v>216</v>
      </c>
      <c r="F268" s="6" t="s">
        <v>5</v>
      </c>
      <c r="G268" s="6" t="s">
        <v>1338</v>
      </c>
      <c r="H268" s="6">
        <v>10.5</v>
      </c>
    </row>
    <row r="269" spans="1:8" x14ac:dyDescent="0.25">
      <c r="A269" s="1" t="s">
        <v>211</v>
      </c>
      <c r="B269" t="s">
        <v>212</v>
      </c>
      <c r="C269" s="1" t="s">
        <v>432</v>
      </c>
      <c r="D269" t="s">
        <v>433</v>
      </c>
      <c r="E269" t="s">
        <v>434</v>
      </c>
      <c r="F269" t="s">
        <v>435</v>
      </c>
      <c r="G269" t="s">
        <v>1414</v>
      </c>
      <c r="H269">
        <v>1.6</v>
      </c>
    </row>
    <row r="270" spans="1:8" x14ac:dyDescent="0.25">
      <c r="A270" s="7" t="s">
        <v>211</v>
      </c>
      <c r="B270" s="6" t="s">
        <v>212</v>
      </c>
      <c r="C270" s="7" t="s">
        <v>7</v>
      </c>
      <c r="D270" s="6" t="s">
        <v>8</v>
      </c>
      <c r="E270" s="6" t="s">
        <v>9</v>
      </c>
      <c r="F270" s="6" t="s">
        <v>10</v>
      </c>
      <c r="G270" s="6" t="s">
        <v>2825</v>
      </c>
      <c r="H270" s="6">
        <v>24.15</v>
      </c>
    </row>
    <row r="271" spans="1:8" x14ac:dyDescent="0.25">
      <c r="A271" s="1" t="s">
        <v>214</v>
      </c>
      <c r="B271" t="s">
        <v>215</v>
      </c>
      <c r="C271" s="1" t="s">
        <v>3824</v>
      </c>
      <c r="D271" t="s">
        <v>3825</v>
      </c>
      <c r="E271" t="s">
        <v>216</v>
      </c>
      <c r="F271" t="s">
        <v>5</v>
      </c>
      <c r="G271" t="s">
        <v>601</v>
      </c>
      <c r="H271">
        <v>1.05</v>
      </c>
    </row>
    <row r="272" spans="1:8" x14ac:dyDescent="0.25">
      <c r="A272" s="7" t="s">
        <v>214</v>
      </c>
      <c r="B272" s="6" t="s">
        <v>215</v>
      </c>
      <c r="C272" s="7" t="s">
        <v>432</v>
      </c>
      <c r="D272" s="6" t="s">
        <v>433</v>
      </c>
      <c r="E272" s="6" t="s">
        <v>434</v>
      </c>
      <c r="F272" s="6" t="s">
        <v>435</v>
      </c>
      <c r="G272" s="6" t="s">
        <v>50</v>
      </c>
      <c r="H272" s="6">
        <v>1.1000000000000001</v>
      </c>
    </row>
    <row r="273" spans="1:8" x14ac:dyDescent="0.25">
      <c r="A273" s="1" t="s">
        <v>214</v>
      </c>
      <c r="B273" t="s">
        <v>215</v>
      </c>
      <c r="C273" s="1" t="s">
        <v>7</v>
      </c>
      <c r="D273" t="s">
        <v>8</v>
      </c>
      <c r="E273" t="s">
        <v>9</v>
      </c>
      <c r="F273" t="s">
        <v>10</v>
      </c>
      <c r="G273" t="s">
        <v>1384</v>
      </c>
      <c r="H273">
        <v>4.8499999999999996</v>
      </c>
    </row>
    <row r="274" spans="1:8" x14ac:dyDescent="0.25">
      <c r="A274" s="7" t="s">
        <v>217</v>
      </c>
      <c r="B274" s="6" t="s">
        <v>218</v>
      </c>
      <c r="C274" s="7" t="s">
        <v>3824</v>
      </c>
      <c r="D274" s="6" t="s">
        <v>3825</v>
      </c>
      <c r="E274" s="6" t="s">
        <v>216</v>
      </c>
      <c r="F274" s="6" t="s">
        <v>5</v>
      </c>
      <c r="G274" s="6" t="s">
        <v>33</v>
      </c>
      <c r="H274" s="6">
        <v>1.4</v>
      </c>
    </row>
    <row r="275" spans="1:8" x14ac:dyDescent="0.25">
      <c r="A275" s="1" t="s">
        <v>217</v>
      </c>
      <c r="B275" t="s">
        <v>218</v>
      </c>
      <c r="C275" s="1" t="s">
        <v>432</v>
      </c>
      <c r="D275" t="s">
        <v>433</v>
      </c>
      <c r="E275" t="s">
        <v>434</v>
      </c>
      <c r="F275" t="s">
        <v>435</v>
      </c>
      <c r="G275" t="s">
        <v>50</v>
      </c>
      <c r="H275">
        <v>1.1000000000000001</v>
      </c>
    </row>
    <row r="276" spans="1:8" x14ac:dyDescent="0.25">
      <c r="A276" s="7" t="s">
        <v>217</v>
      </c>
      <c r="B276" s="6" t="s">
        <v>218</v>
      </c>
      <c r="C276" s="7" t="s">
        <v>7</v>
      </c>
      <c r="D276" s="6" t="s">
        <v>8</v>
      </c>
      <c r="E276" s="6" t="s">
        <v>9</v>
      </c>
      <c r="F276" s="6" t="s">
        <v>10</v>
      </c>
      <c r="G276" s="6" t="s">
        <v>1755</v>
      </c>
      <c r="H276" s="6">
        <v>7.15</v>
      </c>
    </row>
    <row r="277" spans="1:8" x14ac:dyDescent="0.25">
      <c r="A277" s="1" t="s">
        <v>2682</v>
      </c>
      <c r="B277" t="s">
        <v>2683</v>
      </c>
      <c r="C277" s="1" t="s">
        <v>3914</v>
      </c>
      <c r="D277" t="s">
        <v>3915</v>
      </c>
      <c r="E277" t="s">
        <v>3916</v>
      </c>
      <c r="F277" t="s">
        <v>5</v>
      </c>
      <c r="G277" t="s">
        <v>3917</v>
      </c>
      <c r="H277">
        <v>29.35</v>
      </c>
    </row>
    <row r="278" spans="1:8" x14ac:dyDescent="0.25">
      <c r="A278" s="7" t="s">
        <v>2682</v>
      </c>
      <c r="B278" s="6" t="s">
        <v>2683</v>
      </c>
      <c r="C278" s="7" t="s">
        <v>7</v>
      </c>
      <c r="D278" s="6" t="s">
        <v>8</v>
      </c>
      <c r="E278" s="6" t="s">
        <v>9</v>
      </c>
      <c r="F278" s="6" t="s">
        <v>10</v>
      </c>
      <c r="G278" s="6" t="s">
        <v>3918</v>
      </c>
      <c r="H278" s="6">
        <v>29.65</v>
      </c>
    </row>
    <row r="279" spans="1:8" x14ac:dyDescent="0.25">
      <c r="A279" s="1" t="s">
        <v>1872</v>
      </c>
      <c r="B279" t="s">
        <v>1873</v>
      </c>
      <c r="C279" s="1" t="s">
        <v>3919</v>
      </c>
      <c r="D279" t="s">
        <v>3920</v>
      </c>
      <c r="E279" t="s">
        <v>1888</v>
      </c>
      <c r="F279" t="s">
        <v>3921</v>
      </c>
      <c r="G279" t="s">
        <v>50</v>
      </c>
      <c r="H279">
        <v>22</v>
      </c>
    </row>
    <row r="280" spans="1:8" x14ac:dyDescent="0.25">
      <c r="A280" s="7" t="s">
        <v>1872</v>
      </c>
      <c r="B280" s="6" t="s">
        <v>1873</v>
      </c>
      <c r="C280" s="7" t="s">
        <v>7</v>
      </c>
      <c r="D280" s="6" t="s">
        <v>8</v>
      </c>
      <c r="E280" s="6" t="s">
        <v>9</v>
      </c>
      <c r="F280" s="6" t="s">
        <v>10</v>
      </c>
      <c r="G280" s="6" t="s">
        <v>992</v>
      </c>
      <c r="H280" s="6">
        <v>13.8</v>
      </c>
    </row>
    <row r="281" spans="1:8" x14ac:dyDescent="0.25">
      <c r="A281" s="1" t="s">
        <v>3932</v>
      </c>
      <c r="B281" t="s">
        <v>3933</v>
      </c>
      <c r="C281" s="1" t="s">
        <v>3919</v>
      </c>
      <c r="D281" t="s">
        <v>3920</v>
      </c>
      <c r="E281" t="s">
        <v>311</v>
      </c>
      <c r="F281" t="s">
        <v>3921</v>
      </c>
      <c r="G281" t="s">
        <v>50</v>
      </c>
      <c r="H281">
        <v>13</v>
      </c>
    </row>
    <row r="282" spans="1:8" x14ac:dyDescent="0.25">
      <c r="A282" s="7" t="s">
        <v>3932</v>
      </c>
      <c r="B282" s="6" t="s">
        <v>3933</v>
      </c>
      <c r="C282" s="7" t="s">
        <v>7</v>
      </c>
      <c r="D282" s="6" t="s">
        <v>8</v>
      </c>
      <c r="E282" s="6" t="s">
        <v>9</v>
      </c>
      <c r="F282" s="6" t="s">
        <v>10</v>
      </c>
      <c r="G282" s="6" t="s">
        <v>3934</v>
      </c>
      <c r="H282" s="6">
        <v>13.92</v>
      </c>
    </row>
    <row r="283" spans="1:8" x14ac:dyDescent="0.25">
      <c r="A283" s="1" t="s">
        <v>385</v>
      </c>
      <c r="B283" t="s">
        <v>386</v>
      </c>
      <c r="C283" s="1" t="s">
        <v>1203</v>
      </c>
      <c r="D283" t="s">
        <v>1204</v>
      </c>
      <c r="E283" t="s">
        <v>1232</v>
      </c>
      <c r="F283" t="s">
        <v>5</v>
      </c>
      <c r="G283" t="s">
        <v>3785</v>
      </c>
      <c r="H283">
        <v>0.2</v>
      </c>
    </row>
    <row r="284" spans="1:8" x14ac:dyDescent="0.25">
      <c r="A284" s="7" t="s">
        <v>385</v>
      </c>
      <c r="B284" s="6" t="s">
        <v>386</v>
      </c>
      <c r="C284" s="7" t="s">
        <v>432</v>
      </c>
      <c r="D284" s="6" t="s">
        <v>433</v>
      </c>
      <c r="E284" s="6" t="s">
        <v>434</v>
      </c>
      <c r="F284" s="6" t="s">
        <v>435</v>
      </c>
      <c r="G284" s="6" t="s">
        <v>50</v>
      </c>
      <c r="H284" s="6">
        <v>1.1000000000000001</v>
      </c>
    </row>
    <row r="285" spans="1:8" x14ac:dyDescent="0.25">
      <c r="A285" s="1" t="s">
        <v>385</v>
      </c>
      <c r="B285" t="s">
        <v>386</v>
      </c>
      <c r="C285" s="1" t="s">
        <v>7</v>
      </c>
      <c r="D285" t="s">
        <v>8</v>
      </c>
      <c r="E285" t="s">
        <v>9</v>
      </c>
      <c r="F285" t="s">
        <v>10</v>
      </c>
      <c r="G285" t="s">
        <v>594</v>
      </c>
      <c r="H285">
        <v>11.5</v>
      </c>
    </row>
    <row r="286" spans="1:8" x14ac:dyDescent="0.25">
      <c r="A286" s="7" t="s">
        <v>387</v>
      </c>
      <c r="B286" s="6" t="s">
        <v>388</v>
      </c>
      <c r="C286" s="7" t="s">
        <v>1162</v>
      </c>
      <c r="D286" s="6" t="s">
        <v>1163</v>
      </c>
      <c r="E286" s="6" t="s">
        <v>1164</v>
      </c>
      <c r="F286" s="6" t="s">
        <v>5</v>
      </c>
      <c r="G286" s="6" t="s">
        <v>3980</v>
      </c>
      <c r="H286" s="6">
        <v>0.25</v>
      </c>
    </row>
    <row r="287" spans="1:8" x14ac:dyDescent="0.25">
      <c r="A287" s="1" t="s">
        <v>387</v>
      </c>
      <c r="B287" t="s">
        <v>388</v>
      </c>
      <c r="C287" s="1" t="s">
        <v>3981</v>
      </c>
      <c r="D287" t="s">
        <v>3982</v>
      </c>
      <c r="E287" t="s">
        <v>3983</v>
      </c>
      <c r="F287" t="s">
        <v>5</v>
      </c>
      <c r="G287" t="s">
        <v>3984</v>
      </c>
      <c r="H287">
        <v>0.15</v>
      </c>
    </row>
    <row r="288" spans="1:8" x14ac:dyDescent="0.25">
      <c r="A288" s="7" t="s">
        <v>387</v>
      </c>
      <c r="B288" s="6" t="s">
        <v>388</v>
      </c>
      <c r="C288" s="7" t="s">
        <v>432</v>
      </c>
      <c r="D288" s="6" t="s">
        <v>433</v>
      </c>
      <c r="E288" s="6" t="s">
        <v>434</v>
      </c>
      <c r="F288" s="6" t="s">
        <v>435</v>
      </c>
      <c r="G288" s="6" t="s">
        <v>50</v>
      </c>
      <c r="H288" s="6">
        <v>1.1000000000000001</v>
      </c>
    </row>
    <row r="289" spans="1:8" x14ac:dyDescent="0.25">
      <c r="A289" s="1" t="s">
        <v>387</v>
      </c>
      <c r="B289" t="s">
        <v>388</v>
      </c>
      <c r="C289" s="1" t="s">
        <v>7</v>
      </c>
      <c r="D289" t="s">
        <v>8</v>
      </c>
      <c r="E289" t="s">
        <v>9</v>
      </c>
      <c r="F289" t="s">
        <v>10</v>
      </c>
      <c r="G289" t="s">
        <v>3985</v>
      </c>
      <c r="H289">
        <v>7.4</v>
      </c>
    </row>
    <row r="290" spans="1:8" x14ac:dyDescent="0.25">
      <c r="A290" s="7" t="s">
        <v>389</v>
      </c>
      <c r="B290" s="6" t="s">
        <v>390</v>
      </c>
      <c r="C290" s="7" t="s">
        <v>3986</v>
      </c>
      <c r="D290" s="6" t="s">
        <v>3987</v>
      </c>
      <c r="E290" s="6" t="s">
        <v>3988</v>
      </c>
      <c r="F290" s="6" t="s">
        <v>5</v>
      </c>
      <c r="G290" s="6" t="s">
        <v>3989</v>
      </c>
      <c r="H290" s="6">
        <v>1.25</v>
      </c>
    </row>
    <row r="291" spans="1:8" x14ac:dyDescent="0.25">
      <c r="A291" s="1" t="s">
        <v>389</v>
      </c>
      <c r="B291" t="s">
        <v>390</v>
      </c>
      <c r="C291" s="1" t="s">
        <v>432</v>
      </c>
      <c r="D291" t="s">
        <v>433</v>
      </c>
      <c r="E291" t="s">
        <v>434</v>
      </c>
      <c r="F291" t="s">
        <v>435</v>
      </c>
      <c r="G291" t="s">
        <v>50</v>
      </c>
      <c r="H291">
        <v>1.1000000000000001</v>
      </c>
    </row>
    <row r="292" spans="1:8" x14ac:dyDescent="0.25">
      <c r="A292" s="7" t="s">
        <v>389</v>
      </c>
      <c r="B292" s="6" t="s">
        <v>390</v>
      </c>
      <c r="C292" s="7" t="s">
        <v>7</v>
      </c>
      <c r="D292" s="6" t="s">
        <v>8</v>
      </c>
      <c r="E292" s="6" t="s">
        <v>9</v>
      </c>
      <c r="F292" s="6" t="s">
        <v>10</v>
      </c>
      <c r="G292" s="6" t="s">
        <v>3990</v>
      </c>
      <c r="H292" s="6">
        <v>9.4</v>
      </c>
    </row>
    <row r="293" spans="1:8" x14ac:dyDescent="0.25">
      <c r="A293" s="1" t="s">
        <v>392</v>
      </c>
      <c r="B293" t="s">
        <v>393</v>
      </c>
      <c r="C293" s="1" t="s">
        <v>1074</v>
      </c>
      <c r="D293" t="s">
        <v>1075</v>
      </c>
      <c r="E293" t="s">
        <v>1884</v>
      </c>
      <c r="F293" t="s">
        <v>5</v>
      </c>
      <c r="G293" t="s">
        <v>1070</v>
      </c>
      <c r="H293">
        <v>0.1</v>
      </c>
    </row>
    <row r="294" spans="1:8" x14ac:dyDescent="0.25">
      <c r="A294" s="7" t="s">
        <v>392</v>
      </c>
      <c r="B294" s="6" t="s">
        <v>393</v>
      </c>
      <c r="C294" s="7" t="s">
        <v>7</v>
      </c>
      <c r="D294" s="6" t="s">
        <v>8</v>
      </c>
      <c r="E294" s="6" t="s">
        <v>9</v>
      </c>
      <c r="F294" s="6" t="s">
        <v>10</v>
      </c>
      <c r="G294" s="6" t="s">
        <v>1141</v>
      </c>
      <c r="H294" s="6">
        <v>5.75</v>
      </c>
    </row>
    <row r="295" spans="1:8" x14ac:dyDescent="0.25">
      <c r="A295" s="1" t="s">
        <v>395</v>
      </c>
      <c r="B295" t="s">
        <v>396</v>
      </c>
      <c r="C295" s="1" t="s">
        <v>1074</v>
      </c>
      <c r="D295" t="s">
        <v>1075</v>
      </c>
      <c r="E295" t="s">
        <v>1884</v>
      </c>
      <c r="F295" t="s">
        <v>5</v>
      </c>
      <c r="G295" t="s">
        <v>1070</v>
      </c>
      <c r="H295">
        <v>0.1</v>
      </c>
    </row>
    <row r="296" spans="1:8" x14ac:dyDescent="0.25">
      <c r="A296" s="7" t="s">
        <v>395</v>
      </c>
      <c r="B296" s="6" t="s">
        <v>396</v>
      </c>
      <c r="C296" s="7" t="s">
        <v>7</v>
      </c>
      <c r="D296" s="6" t="s">
        <v>8</v>
      </c>
      <c r="E296" s="6" t="s">
        <v>9</v>
      </c>
      <c r="F296" s="6" t="s">
        <v>10</v>
      </c>
      <c r="G296" s="6" t="s">
        <v>1096</v>
      </c>
      <c r="H296" s="6">
        <v>4.7</v>
      </c>
    </row>
    <row r="297" spans="1:8" x14ac:dyDescent="0.25">
      <c r="A297" s="1" t="s">
        <v>398</v>
      </c>
      <c r="B297" t="s">
        <v>399</v>
      </c>
      <c r="C297" s="1" t="s">
        <v>1117</v>
      </c>
      <c r="D297" t="s">
        <v>1118</v>
      </c>
      <c r="E297" t="s">
        <v>876</v>
      </c>
      <c r="F297" t="s">
        <v>5</v>
      </c>
      <c r="G297" t="s">
        <v>3991</v>
      </c>
      <c r="H297">
        <v>0.85</v>
      </c>
    </row>
    <row r="298" spans="1:8" x14ac:dyDescent="0.25">
      <c r="A298" s="7" t="s">
        <v>398</v>
      </c>
      <c r="B298" s="6" t="s">
        <v>399</v>
      </c>
      <c r="C298" s="7" t="s">
        <v>432</v>
      </c>
      <c r="D298" s="6" t="s">
        <v>433</v>
      </c>
      <c r="E298" s="6" t="s">
        <v>434</v>
      </c>
      <c r="F298" s="6" t="s">
        <v>435</v>
      </c>
      <c r="G298" s="6" t="s">
        <v>50</v>
      </c>
      <c r="H298" s="6">
        <v>1.1000000000000001</v>
      </c>
    </row>
    <row r="299" spans="1:8" x14ac:dyDescent="0.25">
      <c r="A299" s="1" t="s">
        <v>398</v>
      </c>
      <c r="B299" t="s">
        <v>399</v>
      </c>
      <c r="C299" s="1" t="s">
        <v>7</v>
      </c>
      <c r="D299" t="s">
        <v>8</v>
      </c>
      <c r="E299" t="s">
        <v>9</v>
      </c>
      <c r="F299" t="s">
        <v>10</v>
      </c>
      <c r="G299" t="s">
        <v>1071</v>
      </c>
      <c r="H299">
        <v>3.95</v>
      </c>
    </row>
    <row r="300" spans="1:8" x14ac:dyDescent="0.25">
      <c r="A300" s="7" t="s">
        <v>401</v>
      </c>
      <c r="B300" s="6" t="s">
        <v>402</v>
      </c>
      <c r="C300" s="7" t="s">
        <v>1117</v>
      </c>
      <c r="D300" s="6" t="s">
        <v>1118</v>
      </c>
      <c r="E300" s="6" t="s">
        <v>876</v>
      </c>
      <c r="F300" s="6" t="s">
        <v>5</v>
      </c>
      <c r="G300" s="6" t="s">
        <v>367</v>
      </c>
      <c r="H300" s="6">
        <v>0.6</v>
      </c>
    </row>
    <row r="301" spans="1:8" x14ac:dyDescent="0.25">
      <c r="A301" s="1" t="s">
        <v>401</v>
      </c>
      <c r="B301" t="s">
        <v>402</v>
      </c>
      <c r="C301" s="1" t="s">
        <v>432</v>
      </c>
      <c r="D301" t="s">
        <v>433</v>
      </c>
      <c r="E301" t="s">
        <v>434</v>
      </c>
      <c r="F301" t="s">
        <v>435</v>
      </c>
      <c r="G301" t="s">
        <v>50</v>
      </c>
      <c r="H301">
        <v>1.1000000000000001</v>
      </c>
    </row>
    <row r="302" spans="1:8" x14ac:dyDescent="0.25">
      <c r="A302" s="7" t="s">
        <v>401</v>
      </c>
      <c r="B302" s="6" t="s">
        <v>402</v>
      </c>
      <c r="C302" s="7" t="s">
        <v>7</v>
      </c>
      <c r="D302" s="6" t="s">
        <v>8</v>
      </c>
      <c r="E302" s="6" t="s">
        <v>9</v>
      </c>
      <c r="F302" s="6" t="s">
        <v>10</v>
      </c>
      <c r="G302" s="6" t="s">
        <v>3992</v>
      </c>
      <c r="H302" s="6">
        <v>4.3</v>
      </c>
    </row>
    <row r="303" spans="1:8" x14ac:dyDescent="0.25">
      <c r="A303" s="1" t="s">
        <v>269</v>
      </c>
      <c r="B303" t="s">
        <v>270</v>
      </c>
      <c r="C303" s="1" t="s">
        <v>1487</v>
      </c>
      <c r="D303" t="s">
        <v>1488</v>
      </c>
      <c r="E303" t="s">
        <v>31</v>
      </c>
      <c r="F303" t="s">
        <v>5</v>
      </c>
      <c r="G303" t="s">
        <v>594</v>
      </c>
      <c r="H303">
        <v>2.65</v>
      </c>
    </row>
    <row r="304" spans="1:8" x14ac:dyDescent="0.25">
      <c r="A304" s="7" t="s">
        <v>269</v>
      </c>
      <c r="B304" s="6" t="s">
        <v>270</v>
      </c>
      <c r="C304" s="7" t="s">
        <v>432</v>
      </c>
      <c r="D304" s="6" t="s">
        <v>433</v>
      </c>
      <c r="E304" s="6" t="s">
        <v>434</v>
      </c>
      <c r="F304" s="6" t="s">
        <v>435</v>
      </c>
      <c r="G304" s="6" t="s">
        <v>50</v>
      </c>
      <c r="H304" s="6">
        <v>1.1000000000000001</v>
      </c>
    </row>
    <row r="305" spans="1:8" x14ac:dyDescent="0.25">
      <c r="A305" s="1" t="s">
        <v>269</v>
      </c>
      <c r="B305" t="s">
        <v>270</v>
      </c>
      <c r="C305" s="1" t="s">
        <v>7</v>
      </c>
      <c r="D305" t="s">
        <v>8</v>
      </c>
      <c r="E305" t="s">
        <v>9</v>
      </c>
      <c r="F305" t="s">
        <v>10</v>
      </c>
      <c r="G305" t="s">
        <v>3995</v>
      </c>
      <c r="H305">
        <v>9.5500000000000007</v>
      </c>
    </row>
    <row r="306" spans="1:8" x14ac:dyDescent="0.25">
      <c r="A306" s="7" t="s">
        <v>272</v>
      </c>
      <c r="B306" s="6" t="s">
        <v>273</v>
      </c>
      <c r="C306" s="7" t="s">
        <v>1487</v>
      </c>
      <c r="D306" s="6" t="s">
        <v>1488</v>
      </c>
      <c r="E306" s="6" t="s">
        <v>31</v>
      </c>
      <c r="F306" s="6" t="s">
        <v>5</v>
      </c>
      <c r="G306" s="6" t="s">
        <v>3996</v>
      </c>
      <c r="H306" s="6">
        <v>2.15</v>
      </c>
    </row>
    <row r="307" spans="1:8" x14ac:dyDescent="0.25">
      <c r="A307" s="1" t="s">
        <v>272</v>
      </c>
      <c r="B307" t="s">
        <v>273</v>
      </c>
      <c r="C307" s="1" t="s">
        <v>432</v>
      </c>
      <c r="D307" t="s">
        <v>433</v>
      </c>
      <c r="E307" t="s">
        <v>434</v>
      </c>
      <c r="F307" t="s">
        <v>435</v>
      </c>
      <c r="G307" t="s">
        <v>50</v>
      </c>
      <c r="H307">
        <v>1.1000000000000001</v>
      </c>
    </row>
    <row r="308" spans="1:8" x14ac:dyDescent="0.25">
      <c r="A308" s="7" t="s">
        <v>272</v>
      </c>
      <c r="B308" s="6" t="s">
        <v>273</v>
      </c>
      <c r="C308" s="7" t="s">
        <v>7</v>
      </c>
      <c r="D308" s="6" t="s">
        <v>8</v>
      </c>
      <c r="E308" s="6" t="s">
        <v>9</v>
      </c>
      <c r="F308" s="6" t="s">
        <v>10</v>
      </c>
      <c r="G308" s="6" t="s">
        <v>1649</v>
      </c>
      <c r="H308" s="6">
        <v>9.65</v>
      </c>
    </row>
    <row r="309" spans="1:8" x14ac:dyDescent="0.25">
      <c r="A309" s="1" t="s">
        <v>275</v>
      </c>
      <c r="B309" t="s">
        <v>276</v>
      </c>
      <c r="C309" s="1" t="s">
        <v>29</v>
      </c>
      <c r="D309" t="s">
        <v>30</v>
      </c>
      <c r="E309" t="s">
        <v>31</v>
      </c>
      <c r="F309" t="s">
        <v>5</v>
      </c>
      <c r="G309" t="s">
        <v>3997</v>
      </c>
      <c r="H309">
        <v>1.05</v>
      </c>
    </row>
    <row r="310" spans="1:8" x14ac:dyDescent="0.25">
      <c r="A310" s="7" t="s">
        <v>275</v>
      </c>
      <c r="B310" s="6" t="s">
        <v>276</v>
      </c>
      <c r="C310" s="7" t="s">
        <v>432</v>
      </c>
      <c r="D310" s="6" t="s">
        <v>433</v>
      </c>
      <c r="E310" s="6" t="s">
        <v>434</v>
      </c>
      <c r="F310" s="6" t="s">
        <v>435</v>
      </c>
      <c r="G310" s="6" t="s">
        <v>50</v>
      </c>
      <c r="H310" s="6">
        <v>1.1000000000000001</v>
      </c>
    </row>
    <row r="311" spans="1:8" x14ac:dyDescent="0.25">
      <c r="A311" s="1" t="s">
        <v>275</v>
      </c>
      <c r="B311" t="s">
        <v>276</v>
      </c>
      <c r="C311" s="1" t="s">
        <v>7</v>
      </c>
      <c r="D311" t="s">
        <v>8</v>
      </c>
      <c r="E311" t="s">
        <v>9</v>
      </c>
      <c r="F311" t="s">
        <v>10</v>
      </c>
      <c r="G311" t="s">
        <v>2544</v>
      </c>
      <c r="H311">
        <v>4.9000000000000004</v>
      </c>
    </row>
    <row r="312" spans="1:8" x14ac:dyDescent="0.25">
      <c r="A312" s="7" t="s">
        <v>278</v>
      </c>
      <c r="B312" s="6" t="s">
        <v>279</v>
      </c>
      <c r="C312" s="7" t="s">
        <v>3998</v>
      </c>
      <c r="D312" s="6" t="s">
        <v>3999</v>
      </c>
      <c r="E312" s="6" t="s">
        <v>1354</v>
      </c>
      <c r="F312" s="6" t="s">
        <v>5</v>
      </c>
      <c r="G312" s="6" t="s">
        <v>4000</v>
      </c>
      <c r="H312" s="6">
        <v>2.85</v>
      </c>
    </row>
    <row r="313" spans="1:8" x14ac:dyDescent="0.25">
      <c r="A313" s="1" t="s">
        <v>278</v>
      </c>
      <c r="B313" t="s">
        <v>279</v>
      </c>
      <c r="C313" s="1" t="s">
        <v>7</v>
      </c>
      <c r="D313" t="s">
        <v>8</v>
      </c>
      <c r="E313" t="s">
        <v>9</v>
      </c>
      <c r="F313" t="s">
        <v>10</v>
      </c>
      <c r="G313" t="s">
        <v>2138</v>
      </c>
      <c r="H313">
        <v>2.5499999999999998</v>
      </c>
    </row>
    <row r="314" spans="1:8" x14ac:dyDescent="0.25">
      <c r="A314" s="7" t="s">
        <v>280</v>
      </c>
      <c r="B314" s="6" t="s">
        <v>281</v>
      </c>
      <c r="C314" s="7" t="s">
        <v>3998</v>
      </c>
      <c r="D314" s="6" t="s">
        <v>3999</v>
      </c>
      <c r="E314" s="6" t="s">
        <v>1354</v>
      </c>
      <c r="F314" s="6" t="s">
        <v>5</v>
      </c>
      <c r="G314" s="6" t="s">
        <v>4000</v>
      </c>
      <c r="H314" s="6">
        <v>2.85</v>
      </c>
    </row>
    <row r="315" spans="1:8" x14ac:dyDescent="0.25">
      <c r="A315" s="1" t="s">
        <v>280</v>
      </c>
      <c r="B315" t="s">
        <v>281</v>
      </c>
      <c r="C315" s="1" t="s">
        <v>7</v>
      </c>
      <c r="D315" t="s">
        <v>8</v>
      </c>
      <c r="E315" t="s">
        <v>9</v>
      </c>
      <c r="F315" t="s">
        <v>10</v>
      </c>
      <c r="G315" t="s">
        <v>2138</v>
      </c>
      <c r="H315">
        <v>2.5499999999999998</v>
      </c>
    </row>
    <row r="316" spans="1:8" x14ac:dyDescent="0.25">
      <c r="A316" s="7" t="s">
        <v>282</v>
      </c>
      <c r="B316" s="6" t="s">
        <v>283</v>
      </c>
      <c r="C316" s="7" t="s">
        <v>1188</v>
      </c>
      <c r="D316" s="6" t="s">
        <v>1189</v>
      </c>
      <c r="E316" s="6" t="s">
        <v>1190</v>
      </c>
      <c r="F316" s="6" t="s">
        <v>5</v>
      </c>
      <c r="G316" s="6" t="s">
        <v>992</v>
      </c>
      <c r="H316" s="6">
        <v>2.85</v>
      </c>
    </row>
    <row r="317" spans="1:8" x14ac:dyDescent="0.25">
      <c r="A317" s="1" t="s">
        <v>282</v>
      </c>
      <c r="B317" t="s">
        <v>283</v>
      </c>
      <c r="C317" s="1" t="s">
        <v>432</v>
      </c>
      <c r="D317" t="s">
        <v>433</v>
      </c>
      <c r="E317" t="s">
        <v>434</v>
      </c>
      <c r="F317" t="s">
        <v>435</v>
      </c>
      <c r="G317" t="s">
        <v>50</v>
      </c>
      <c r="H317">
        <v>1.1000000000000001</v>
      </c>
    </row>
    <row r="318" spans="1:8" x14ac:dyDescent="0.25">
      <c r="A318" s="7" t="s">
        <v>282</v>
      </c>
      <c r="B318" s="6" t="s">
        <v>283</v>
      </c>
      <c r="C318" s="7" t="s">
        <v>7</v>
      </c>
      <c r="D318" s="6" t="s">
        <v>8</v>
      </c>
      <c r="E318" s="6" t="s">
        <v>9</v>
      </c>
      <c r="F318" s="6" t="s">
        <v>10</v>
      </c>
      <c r="G318" s="6" t="s">
        <v>1473</v>
      </c>
      <c r="H318" s="6">
        <v>7.25</v>
      </c>
    </row>
    <row r="319" spans="1:8" x14ac:dyDescent="0.25">
      <c r="A319" s="1" t="s">
        <v>284</v>
      </c>
      <c r="B319" t="s">
        <v>285</v>
      </c>
      <c r="C319" s="1" t="s">
        <v>2</v>
      </c>
      <c r="D319" t="s">
        <v>3</v>
      </c>
      <c r="E319" t="s">
        <v>4</v>
      </c>
      <c r="F319" t="s">
        <v>5</v>
      </c>
      <c r="G319" t="s">
        <v>4001</v>
      </c>
      <c r="H319">
        <v>0.35</v>
      </c>
    </row>
    <row r="320" spans="1:8" x14ac:dyDescent="0.25">
      <c r="A320" s="7" t="s">
        <v>284</v>
      </c>
      <c r="B320" s="6" t="s">
        <v>285</v>
      </c>
      <c r="C320" s="7" t="s">
        <v>432</v>
      </c>
      <c r="D320" s="6" t="s">
        <v>433</v>
      </c>
      <c r="E320" s="6" t="s">
        <v>434</v>
      </c>
      <c r="F320" s="6" t="s">
        <v>435</v>
      </c>
      <c r="G320" s="6" t="s">
        <v>50</v>
      </c>
      <c r="H320" s="6">
        <v>1.1000000000000001</v>
      </c>
    </row>
    <row r="321" spans="1:8" x14ac:dyDescent="0.25">
      <c r="A321" s="1" t="s">
        <v>284</v>
      </c>
      <c r="B321" t="s">
        <v>285</v>
      </c>
      <c r="C321" s="1" t="s">
        <v>7</v>
      </c>
      <c r="D321" t="s">
        <v>8</v>
      </c>
      <c r="E321" t="s">
        <v>9</v>
      </c>
      <c r="F321" t="s">
        <v>10</v>
      </c>
      <c r="G321" t="s">
        <v>1384</v>
      </c>
      <c r="H321">
        <v>4.8499999999999996</v>
      </c>
    </row>
    <row r="322" spans="1:8" x14ac:dyDescent="0.25">
      <c r="A322" s="7" t="s">
        <v>286</v>
      </c>
      <c r="B322" s="6" t="s">
        <v>287</v>
      </c>
      <c r="C322" s="7" t="s">
        <v>1487</v>
      </c>
      <c r="D322" s="6" t="s">
        <v>1488</v>
      </c>
      <c r="E322" s="6" t="s">
        <v>31</v>
      </c>
      <c r="F322" s="6" t="s">
        <v>5</v>
      </c>
      <c r="G322" s="6" t="s">
        <v>4002</v>
      </c>
      <c r="H322" s="6">
        <v>0.35</v>
      </c>
    </row>
    <row r="323" spans="1:8" x14ac:dyDescent="0.25">
      <c r="A323" s="1" t="s">
        <v>286</v>
      </c>
      <c r="B323" t="s">
        <v>287</v>
      </c>
      <c r="C323" s="1" t="s">
        <v>432</v>
      </c>
      <c r="D323" t="s">
        <v>433</v>
      </c>
      <c r="E323" t="s">
        <v>434</v>
      </c>
      <c r="F323" t="s">
        <v>435</v>
      </c>
      <c r="G323" t="s">
        <v>50</v>
      </c>
      <c r="H323">
        <v>1.1000000000000001</v>
      </c>
    </row>
    <row r="324" spans="1:8" x14ac:dyDescent="0.25">
      <c r="A324" s="7" t="s">
        <v>286</v>
      </c>
      <c r="B324" s="6" t="s">
        <v>287</v>
      </c>
      <c r="C324" s="7" t="s">
        <v>7</v>
      </c>
      <c r="D324" s="6" t="s">
        <v>8</v>
      </c>
      <c r="E324" s="6" t="s">
        <v>9</v>
      </c>
      <c r="F324" s="6" t="s">
        <v>10</v>
      </c>
      <c r="G324" s="6" t="s">
        <v>4003</v>
      </c>
      <c r="H324" s="6">
        <v>1.75</v>
      </c>
    </row>
    <row r="325" spans="1:8" x14ac:dyDescent="0.25">
      <c r="A325" s="1" t="s">
        <v>289</v>
      </c>
      <c r="B325" t="s">
        <v>290</v>
      </c>
      <c r="C325" s="1" t="s">
        <v>1487</v>
      </c>
      <c r="D325" t="s">
        <v>1488</v>
      </c>
      <c r="E325" t="s">
        <v>31</v>
      </c>
      <c r="F325" t="s">
        <v>5</v>
      </c>
      <c r="G325" t="s">
        <v>4004</v>
      </c>
      <c r="H325">
        <v>0.65</v>
      </c>
    </row>
    <row r="326" spans="1:8" x14ac:dyDescent="0.25">
      <c r="A326" s="7" t="s">
        <v>289</v>
      </c>
      <c r="B326" s="6" t="s">
        <v>290</v>
      </c>
      <c r="C326" s="7" t="s">
        <v>432</v>
      </c>
      <c r="D326" s="6" t="s">
        <v>433</v>
      </c>
      <c r="E326" s="6" t="s">
        <v>434</v>
      </c>
      <c r="F326" s="6" t="s">
        <v>435</v>
      </c>
      <c r="G326" s="6" t="s">
        <v>50</v>
      </c>
      <c r="H326" s="6">
        <v>1.1000000000000001</v>
      </c>
    </row>
    <row r="327" spans="1:8" x14ac:dyDescent="0.25">
      <c r="A327" s="1" t="s">
        <v>289</v>
      </c>
      <c r="B327" t="s">
        <v>290</v>
      </c>
      <c r="C327" s="1" t="s">
        <v>7</v>
      </c>
      <c r="D327" t="s">
        <v>8</v>
      </c>
      <c r="E327" t="s">
        <v>9</v>
      </c>
      <c r="F327" t="s">
        <v>10</v>
      </c>
      <c r="G327" t="s">
        <v>2544</v>
      </c>
      <c r="H327">
        <v>4.9000000000000004</v>
      </c>
    </row>
    <row r="328" spans="1:8" x14ac:dyDescent="0.25">
      <c r="A328" s="7" t="s">
        <v>292</v>
      </c>
      <c r="B328" s="6" t="s">
        <v>293</v>
      </c>
      <c r="C328" s="7" t="s">
        <v>1188</v>
      </c>
      <c r="D328" s="6" t="s">
        <v>1189</v>
      </c>
      <c r="E328" s="6" t="s">
        <v>1190</v>
      </c>
      <c r="F328" s="6" t="s">
        <v>5</v>
      </c>
      <c r="G328" s="6" t="s">
        <v>4005</v>
      </c>
      <c r="H328" s="6">
        <v>0.35</v>
      </c>
    </row>
    <row r="329" spans="1:8" x14ac:dyDescent="0.25">
      <c r="A329" s="1" t="s">
        <v>292</v>
      </c>
      <c r="B329" t="s">
        <v>293</v>
      </c>
      <c r="C329" s="1" t="s">
        <v>432</v>
      </c>
      <c r="D329" t="s">
        <v>433</v>
      </c>
      <c r="E329" t="s">
        <v>434</v>
      </c>
      <c r="F329" t="s">
        <v>435</v>
      </c>
      <c r="G329" t="s">
        <v>50</v>
      </c>
      <c r="H329">
        <v>1.1000000000000001</v>
      </c>
    </row>
    <row r="330" spans="1:8" x14ac:dyDescent="0.25">
      <c r="A330" s="7" t="s">
        <v>292</v>
      </c>
      <c r="B330" s="6" t="s">
        <v>293</v>
      </c>
      <c r="C330" s="7" t="s">
        <v>7</v>
      </c>
      <c r="D330" s="6" t="s">
        <v>8</v>
      </c>
      <c r="E330" s="6" t="s">
        <v>9</v>
      </c>
      <c r="F330" s="6" t="s">
        <v>10</v>
      </c>
      <c r="G330" s="6" t="s">
        <v>1791</v>
      </c>
      <c r="H330" s="6">
        <v>2.4500000000000002</v>
      </c>
    </row>
    <row r="331" spans="1:8" x14ac:dyDescent="0.25">
      <c r="A331" s="1" t="s">
        <v>294</v>
      </c>
      <c r="B331" t="s">
        <v>295</v>
      </c>
      <c r="C331" s="1" t="s">
        <v>2</v>
      </c>
      <c r="D331" t="s">
        <v>3</v>
      </c>
      <c r="E331" t="s">
        <v>4</v>
      </c>
      <c r="F331" t="s">
        <v>5</v>
      </c>
      <c r="G331" t="s">
        <v>3737</v>
      </c>
      <c r="H331">
        <v>4.3</v>
      </c>
    </row>
    <row r="332" spans="1:8" x14ac:dyDescent="0.25">
      <c r="A332" s="7" t="s">
        <v>294</v>
      </c>
      <c r="B332" s="6" t="s">
        <v>295</v>
      </c>
      <c r="C332" s="7" t="s">
        <v>432</v>
      </c>
      <c r="D332" s="6" t="s">
        <v>433</v>
      </c>
      <c r="E332" s="6" t="s">
        <v>434</v>
      </c>
      <c r="F332" s="6" t="s">
        <v>435</v>
      </c>
      <c r="G332" s="6" t="s">
        <v>50</v>
      </c>
      <c r="H332" s="6">
        <v>1.1000000000000001</v>
      </c>
    </row>
    <row r="333" spans="1:8" x14ac:dyDescent="0.25">
      <c r="A333" s="1" t="s">
        <v>294</v>
      </c>
      <c r="B333" t="s">
        <v>295</v>
      </c>
      <c r="C333" s="1" t="s">
        <v>7</v>
      </c>
      <c r="D333" t="s">
        <v>8</v>
      </c>
      <c r="E333" t="s">
        <v>9</v>
      </c>
      <c r="F333" t="s">
        <v>10</v>
      </c>
      <c r="G333" t="s">
        <v>1469</v>
      </c>
      <c r="H333">
        <v>7.25</v>
      </c>
    </row>
    <row r="334" spans="1:8" x14ac:dyDescent="0.25">
      <c r="A334" s="7" t="s">
        <v>297</v>
      </c>
      <c r="B334" s="6" t="s">
        <v>298</v>
      </c>
      <c r="C334" s="7" t="s">
        <v>1387</v>
      </c>
      <c r="D334" s="6" t="s">
        <v>1388</v>
      </c>
      <c r="E334" s="6" t="s">
        <v>879</v>
      </c>
      <c r="F334" s="6" t="s">
        <v>17</v>
      </c>
      <c r="G334" s="6" t="s">
        <v>601</v>
      </c>
      <c r="H334" s="6">
        <v>2.1</v>
      </c>
    </row>
    <row r="335" spans="1:8" x14ac:dyDescent="0.25">
      <c r="A335" s="1" t="s">
        <v>297</v>
      </c>
      <c r="B335" t="s">
        <v>298</v>
      </c>
      <c r="C335" s="1" t="s">
        <v>7</v>
      </c>
      <c r="D335" t="s">
        <v>8</v>
      </c>
      <c r="E335" t="s">
        <v>9</v>
      </c>
      <c r="F335" t="s">
        <v>10</v>
      </c>
      <c r="G335" t="s">
        <v>2138</v>
      </c>
      <c r="H335">
        <v>2.5499999999999998</v>
      </c>
    </row>
    <row r="336" spans="1:8" x14ac:dyDescent="0.25">
      <c r="A336" s="7" t="s">
        <v>300</v>
      </c>
      <c r="B336" s="6" t="s">
        <v>301</v>
      </c>
      <c r="C336" s="7" t="s">
        <v>1010</v>
      </c>
      <c r="D336" s="6" t="s">
        <v>1011</v>
      </c>
      <c r="E336" s="6" t="s">
        <v>1354</v>
      </c>
      <c r="F336" s="6" t="s">
        <v>5</v>
      </c>
      <c r="G336" s="6" t="s">
        <v>18</v>
      </c>
      <c r="H336" s="6">
        <v>2.1</v>
      </c>
    </row>
    <row r="337" spans="1:8" x14ac:dyDescent="0.25">
      <c r="A337" s="1" t="s">
        <v>300</v>
      </c>
      <c r="B337" t="s">
        <v>301</v>
      </c>
      <c r="C337" s="1" t="s">
        <v>7</v>
      </c>
      <c r="D337" t="s">
        <v>8</v>
      </c>
      <c r="E337" t="s">
        <v>9</v>
      </c>
      <c r="F337" t="s">
        <v>10</v>
      </c>
      <c r="G337" t="s">
        <v>1225</v>
      </c>
      <c r="H337">
        <v>2.5</v>
      </c>
    </row>
    <row r="338" spans="1:8" x14ac:dyDescent="0.25">
      <c r="A338" s="7" t="s">
        <v>303</v>
      </c>
      <c r="B338" s="6" t="s">
        <v>304</v>
      </c>
      <c r="C338" s="7" t="s">
        <v>1387</v>
      </c>
      <c r="D338" s="6" t="s">
        <v>1388</v>
      </c>
      <c r="E338" s="6" t="s">
        <v>879</v>
      </c>
      <c r="F338" s="6" t="s">
        <v>17</v>
      </c>
      <c r="G338" s="6" t="s">
        <v>601</v>
      </c>
      <c r="H338" s="6">
        <v>2.1</v>
      </c>
    </row>
    <row r="339" spans="1:8" x14ac:dyDescent="0.25">
      <c r="A339" s="1" t="s">
        <v>303</v>
      </c>
      <c r="B339" t="s">
        <v>304</v>
      </c>
      <c r="C339" s="1" t="s">
        <v>7</v>
      </c>
      <c r="D339" t="s">
        <v>8</v>
      </c>
      <c r="E339" t="s">
        <v>9</v>
      </c>
      <c r="F339" t="s">
        <v>10</v>
      </c>
      <c r="G339" t="s">
        <v>2544</v>
      </c>
      <c r="H339">
        <v>4.9000000000000004</v>
      </c>
    </row>
    <row r="340" spans="1:8" x14ac:dyDescent="0.25">
      <c r="A340" s="7" t="s">
        <v>4078</v>
      </c>
      <c r="B340" s="6" t="s">
        <v>4079</v>
      </c>
      <c r="C340" s="7" t="s">
        <v>4085</v>
      </c>
      <c r="D340" s="6" t="s">
        <v>4086</v>
      </c>
      <c r="E340" s="6" t="s">
        <v>1394</v>
      </c>
      <c r="F340" s="6" t="s">
        <v>5</v>
      </c>
      <c r="G340" s="6" t="s">
        <v>3642</v>
      </c>
      <c r="H340" s="6">
        <v>2.8</v>
      </c>
    </row>
    <row r="341" spans="1:8" x14ac:dyDescent="0.25">
      <c r="A341" s="1" t="s">
        <v>4078</v>
      </c>
      <c r="B341" t="s">
        <v>4079</v>
      </c>
      <c r="C341" s="1" t="s">
        <v>7</v>
      </c>
      <c r="D341" t="s">
        <v>8</v>
      </c>
      <c r="E341" t="s">
        <v>9</v>
      </c>
      <c r="F341" t="s">
        <v>10</v>
      </c>
      <c r="G341" t="s">
        <v>4087</v>
      </c>
      <c r="H341">
        <v>15.33</v>
      </c>
    </row>
    <row r="342" spans="1:8" x14ac:dyDescent="0.25">
      <c r="A342" s="7" t="s">
        <v>441</v>
      </c>
      <c r="B342" s="6" t="s">
        <v>442</v>
      </c>
      <c r="C342" s="7" t="s">
        <v>4122</v>
      </c>
      <c r="D342" s="6" t="s">
        <v>4123</v>
      </c>
      <c r="E342" s="6" t="s">
        <v>4124</v>
      </c>
      <c r="F342" s="6" t="s">
        <v>17</v>
      </c>
      <c r="G342" s="6" t="s">
        <v>4125</v>
      </c>
      <c r="H342" s="6">
        <v>5.98</v>
      </c>
    </row>
    <row r="343" spans="1:8" x14ac:dyDescent="0.25">
      <c r="A343" s="1" t="s">
        <v>441</v>
      </c>
      <c r="B343" t="s">
        <v>442</v>
      </c>
      <c r="C343" s="1" t="s">
        <v>7</v>
      </c>
      <c r="D343" t="s">
        <v>8</v>
      </c>
      <c r="E343" t="s">
        <v>9</v>
      </c>
      <c r="F343" t="s">
        <v>10</v>
      </c>
      <c r="G343" t="s">
        <v>33</v>
      </c>
      <c r="H343">
        <v>9.1999999999999993</v>
      </c>
    </row>
    <row r="344" spans="1:8" x14ac:dyDescent="0.25">
      <c r="A344" s="7" t="s">
        <v>444</v>
      </c>
      <c r="B344" s="6" t="s">
        <v>445</v>
      </c>
      <c r="C344" s="7" t="s">
        <v>4122</v>
      </c>
      <c r="D344" s="6" t="s">
        <v>4123</v>
      </c>
      <c r="E344" s="6" t="s">
        <v>4124</v>
      </c>
      <c r="F344" s="6" t="s">
        <v>17</v>
      </c>
      <c r="G344" s="6" t="s">
        <v>4126</v>
      </c>
      <c r="H344" s="6">
        <v>14.1</v>
      </c>
    </row>
    <row r="345" spans="1:8" x14ac:dyDescent="0.25">
      <c r="A345" s="1" t="s">
        <v>444</v>
      </c>
      <c r="B345" t="s">
        <v>445</v>
      </c>
      <c r="C345" s="1" t="s">
        <v>7</v>
      </c>
      <c r="D345" t="s">
        <v>8</v>
      </c>
      <c r="E345" t="s">
        <v>9</v>
      </c>
      <c r="F345" t="s">
        <v>10</v>
      </c>
      <c r="G345" t="s">
        <v>2315</v>
      </c>
      <c r="H345">
        <v>41.4</v>
      </c>
    </row>
    <row r="346" spans="1:8" x14ac:dyDescent="0.25">
      <c r="A346" s="7" t="s">
        <v>4278</v>
      </c>
      <c r="B346" s="6" t="s">
        <v>4279</v>
      </c>
      <c r="C346" s="7" t="s">
        <v>4284</v>
      </c>
      <c r="D346" s="6" t="s">
        <v>4285</v>
      </c>
      <c r="E346" s="6" t="s">
        <v>4286</v>
      </c>
      <c r="F346" s="6" t="s">
        <v>17</v>
      </c>
      <c r="G346" s="6" t="s">
        <v>3520</v>
      </c>
      <c r="H346" s="6">
        <v>117</v>
      </c>
    </row>
    <row r="347" spans="1:8" x14ac:dyDescent="0.25">
      <c r="A347" s="1" t="s">
        <v>4278</v>
      </c>
      <c r="B347" t="s">
        <v>4279</v>
      </c>
      <c r="C347" s="1" t="s">
        <v>7</v>
      </c>
      <c r="D347" t="s">
        <v>8</v>
      </c>
      <c r="E347" t="s">
        <v>9</v>
      </c>
      <c r="F347" t="s">
        <v>10</v>
      </c>
      <c r="G347" t="s">
        <v>860</v>
      </c>
      <c r="H347">
        <v>23</v>
      </c>
    </row>
    <row r="348" spans="1:8" x14ac:dyDescent="0.25">
      <c r="A348" s="7" t="s">
        <v>4278</v>
      </c>
      <c r="B348" s="6" t="s">
        <v>4279</v>
      </c>
      <c r="C348" s="7" t="s">
        <v>7</v>
      </c>
      <c r="D348" s="6" t="s">
        <v>8</v>
      </c>
      <c r="E348" s="6" t="s">
        <v>9</v>
      </c>
      <c r="F348" s="6" t="s">
        <v>10</v>
      </c>
      <c r="G348" s="6" t="s">
        <v>4283</v>
      </c>
      <c r="H348" s="6">
        <v>39.1</v>
      </c>
    </row>
    <row r="349" spans="1:8" x14ac:dyDescent="0.25">
      <c r="A349" s="1" t="s">
        <v>4294</v>
      </c>
      <c r="B349" t="s">
        <v>4295</v>
      </c>
      <c r="C349" s="1" t="s">
        <v>2509</v>
      </c>
      <c r="D349" t="s">
        <v>2510</v>
      </c>
      <c r="E349" t="s">
        <v>216</v>
      </c>
      <c r="F349" t="s">
        <v>5</v>
      </c>
      <c r="G349" t="s">
        <v>4298</v>
      </c>
      <c r="H349">
        <v>40.4</v>
      </c>
    </row>
    <row r="350" spans="1:8" x14ac:dyDescent="0.25">
      <c r="A350" s="7" t="s">
        <v>4294</v>
      </c>
      <c r="B350" s="6" t="s">
        <v>4295</v>
      </c>
      <c r="C350" s="7" t="s">
        <v>7</v>
      </c>
      <c r="D350" s="6" t="s">
        <v>8</v>
      </c>
      <c r="E350" s="6" t="s">
        <v>9</v>
      </c>
      <c r="F350" s="6" t="s">
        <v>10</v>
      </c>
      <c r="G350" s="6" t="s">
        <v>1130</v>
      </c>
      <c r="H350" s="6">
        <v>34.5</v>
      </c>
    </row>
    <row r="351" spans="1:8" x14ac:dyDescent="0.25">
      <c r="A351" s="1" t="s">
        <v>4306</v>
      </c>
      <c r="B351" t="s">
        <v>4307</v>
      </c>
      <c r="C351" s="1" t="s">
        <v>3011</v>
      </c>
      <c r="D351" t="s">
        <v>4309</v>
      </c>
      <c r="E351" t="s">
        <v>1394</v>
      </c>
      <c r="F351" t="s">
        <v>932</v>
      </c>
      <c r="G351" t="s">
        <v>33</v>
      </c>
      <c r="H351">
        <v>0.8</v>
      </c>
    </row>
    <row r="352" spans="1:8" x14ac:dyDescent="0.25">
      <c r="A352" s="7" t="s">
        <v>4306</v>
      </c>
      <c r="B352" s="6" t="s">
        <v>4307</v>
      </c>
      <c r="C352" s="7" t="s">
        <v>7</v>
      </c>
      <c r="D352" s="6" t="s">
        <v>8</v>
      </c>
      <c r="E352" s="6" t="s">
        <v>9</v>
      </c>
      <c r="F352" s="6" t="s">
        <v>10</v>
      </c>
      <c r="G352" s="6" t="s">
        <v>1428</v>
      </c>
      <c r="H352" s="6">
        <v>3.22</v>
      </c>
    </row>
    <row r="353" spans="1:8" x14ac:dyDescent="0.25">
      <c r="A353" s="1" t="s">
        <v>4321</v>
      </c>
      <c r="B353" t="s">
        <v>4322</v>
      </c>
      <c r="C353" s="1" t="s">
        <v>4331</v>
      </c>
      <c r="D353" t="s">
        <v>4332</v>
      </c>
      <c r="E353" t="s">
        <v>712</v>
      </c>
      <c r="F353" t="s">
        <v>5</v>
      </c>
      <c r="G353" t="s">
        <v>4333</v>
      </c>
      <c r="H353">
        <v>1.1000000000000001</v>
      </c>
    </row>
    <row r="354" spans="1:8" x14ac:dyDescent="0.25">
      <c r="A354" s="7" t="s">
        <v>4321</v>
      </c>
      <c r="B354" s="6" t="s">
        <v>4322</v>
      </c>
      <c r="C354" s="7" t="s">
        <v>7</v>
      </c>
      <c r="D354" s="6" t="s">
        <v>8</v>
      </c>
      <c r="E354" s="6" t="s">
        <v>9</v>
      </c>
      <c r="F354" s="6" t="s">
        <v>10</v>
      </c>
      <c r="G354" s="6" t="s">
        <v>25</v>
      </c>
      <c r="H354" s="6">
        <v>2.76</v>
      </c>
    </row>
    <row r="355" spans="1:8" x14ac:dyDescent="0.25">
      <c r="A355" s="1" t="s">
        <v>4324</v>
      </c>
      <c r="B355" t="s">
        <v>4325</v>
      </c>
      <c r="C355" s="1" t="s">
        <v>2529</v>
      </c>
      <c r="D355" t="s">
        <v>2530</v>
      </c>
      <c r="E355" t="s">
        <v>2469</v>
      </c>
      <c r="F355" t="s">
        <v>5</v>
      </c>
      <c r="G355" t="s">
        <v>652</v>
      </c>
      <c r="H355">
        <v>0.36</v>
      </c>
    </row>
    <row r="356" spans="1:8" x14ac:dyDescent="0.25">
      <c r="A356" s="7" t="s">
        <v>4324</v>
      </c>
      <c r="B356" s="6" t="s">
        <v>4325</v>
      </c>
      <c r="C356" s="7" t="s">
        <v>432</v>
      </c>
      <c r="D356" s="6" t="s">
        <v>433</v>
      </c>
      <c r="E356" s="6" t="s">
        <v>434</v>
      </c>
      <c r="F356" s="6" t="s">
        <v>435</v>
      </c>
      <c r="G356" s="6" t="s">
        <v>50</v>
      </c>
      <c r="H356" s="6">
        <v>1.1000000000000001</v>
      </c>
    </row>
    <row r="357" spans="1:8" x14ac:dyDescent="0.25">
      <c r="A357" s="1" t="s">
        <v>4324</v>
      </c>
      <c r="B357" t="s">
        <v>4325</v>
      </c>
      <c r="C357" s="1" t="s">
        <v>7</v>
      </c>
      <c r="D357" t="s">
        <v>8</v>
      </c>
      <c r="E357" t="s">
        <v>9</v>
      </c>
      <c r="F357" t="s">
        <v>10</v>
      </c>
      <c r="G357" t="s">
        <v>1425</v>
      </c>
      <c r="H357">
        <v>4.1399999999999997</v>
      </c>
    </row>
    <row r="358" spans="1:8" x14ac:dyDescent="0.25">
      <c r="A358" s="7" t="s">
        <v>4326</v>
      </c>
      <c r="B358" s="6" t="s">
        <v>4327</v>
      </c>
      <c r="C358" s="7" t="s">
        <v>1487</v>
      </c>
      <c r="D358" s="6" t="s">
        <v>1488</v>
      </c>
      <c r="E358" s="6" t="s">
        <v>31</v>
      </c>
      <c r="F358" s="6" t="s">
        <v>5</v>
      </c>
      <c r="G358" s="6" t="s">
        <v>1491</v>
      </c>
      <c r="H358" s="6">
        <v>1.3</v>
      </c>
    </row>
    <row r="359" spans="1:8" x14ac:dyDescent="0.25">
      <c r="A359" s="1" t="s">
        <v>4326</v>
      </c>
      <c r="B359" t="s">
        <v>4327</v>
      </c>
      <c r="C359" s="1" t="s">
        <v>432</v>
      </c>
      <c r="D359" t="s">
        <v>433</v>
      </c>
      <c r="E359" t="s">
        <v>434</v>
      </c>
      <c r="F359" t="s">
        <v>435</v>
      </c>
      <c r="G359" t="s">
        <v>50</v>
      </c>
      <c r="H359">
        <v>1.1000000000000001</v>
      </c>
    </row>
    <row r="360" spans="1:8" x14ac:dyDescent="0.25">
      <c r="A360" s="7" t="s">
        <v>4326</v>
      </c>
      <c r="B360" s="6" t="s">
        <v>4327</v>
      </c>
      <c r="C360" s="7" t="s">
        <v>7</v>
      </c>
      <c r="D360" s="6" t="s">
        <v>8</v>
      </c>
      <c r="E360" s="6" t="s">
        <v>9</v>
      </c>
      <c r="F360" s="6" t="s">
        <v>10</v>
      </c>
      <c r="G360" s="6" t="s">
        <v>607</v>
      </c>
      <c r="H360" s="6">
        <v>18.399999999999999</v>
      </c>
    </row>
    <row r="361" spans="1:8" x14ac:dyDescent="0.25">
      <c r="A361" s="1" t="s">
        <v>4328</v>
      </c>
      <c r="B361" t="s">
        <v>4329</v>
      </c>
      <c r="C361" s="1" t="s">
        <v>2668</v>
      </c>
      <c r="D361" t="s">
        <v>2669</v>
      </c>
      <c r="E361" t="s">
        <v>2670</v>
      </c>
      <c r="F361" t="s">
        <v>5</v>
      </c>
      <c r="G361" t="s">
        <v>4334</v>
      </c>
      <c r="H361">
        <v>7.1</v>
      </c>
    </row>
    <row r="362" spans="1:8" x14ac:dyDescent="0.25">
      <c r="A362" s="7" t="s">
        <v>4328</v>
      </c>
      <c r="B362" s="6" t="s">
        <v>4329</v>
      </c>
      <c r="C362" s="7" t="s">
        <v>2668</v>
      </c>
      <c r="D362" s="6" t="s">
        <v>2669</v>
      </c>
      <c r="E362" s="6" t="s">
        <v>2670</v>
      </c>
      <c r="F362" s="6" t="s">
        <v>5</v>
      </c>
      <c r="G362" s="6" t="s">
        <v>4335</v>
      </c>
      <c r="H362" s="6">
        <v>18.149999999999999</v>
      </c>
    </row>
    <row r="363" spans="1:8" x14ac:dyDescent="0.25">
      <c r="A363" s="1" t="s">
        <v>4328</v>
      </c>
      <c r="B363" t="s">
        <v>4329</v>
      </c>
      <c r="C363" s="1" t="s">
        <v>857</v>
      </c>
      <c r="D363" t="s">
        <v>858</v>
      </c>
      <c r="E363" t="s">
        <v>686</v>
      </c>
      <c r="F363" t="s">
        <v>49</v>
      </c>
      <c r="G363" t="s">
        <v>4336</v>
      </c>
      <c r="H363">
        <v>0.15</v>
      </c>
    </row>
    <row r="364" spans="1:8" x14ac:dyDescent="0.25">
      <c r="A364" s="7" t="s">
        <v>4328</v>
      </c>
      <c r="B364" s="6" t="s">
        <v>4329</v>
      </c>
      <c r="C364" s="7" t="s">
        <v>432</v>
      </c>
      <c r="D364" s="6" t="s">
        <v>433</v>
      </c>
      <c r="E364" s="6" t="s">
        <v>434</v>
      </c>
      <c r="F364" s="6" t="s">
        <v>435</v>
      </c>
      <c r="G364" s="6" t="s">
        <v>1300</v>
      </c>
      <c r="H364" s="6">
        <v>5.5</v>
      </c>
    </row>
    <row r="365" spans="1:8" x14ac:dyDescent="0.25">
      <c r="A365" s="1" t="s">
        <v>4328</v>
      </c>
      <c r="B365" t="s">
        <v>4329</v>
      </c>
      <c r="C365" s="1" t="s">
        <v>7</v>
      </c>
      <c r="D365" t="s">
        <v>8</v>
      </c>
      <c r="E365" t="s">
        <v>9</v>
      </c>
      <c r="F365" t="s">
        <v>10</v>
      </c>
      <c r="G365" t="s">
        <v>2600</v>
      </c>
      <c r="H365">
        <v>62.1</v>
      </c>
    </row>
    <row r="366" spans="1:8" x14ac:dyDescent="0.25">
      <c r="A366" s="7" t="s">
        <v>4328</v>
      </c>
      <c r="B366" s="6" t="s">
        <v>4329</v>
      </c>
      <c r="C366" s="7" t="s">
        <v>7</v>
      </c>
      <c r="D366" s="6" t="s">
        <v>8</v>
      </c>
      <c r="E366" s="6" t="s">
        <v>9</v>
      </c>
      <c r="F366" s="6" t="s">
        <v>10</v>
      </c>
      <c r="G366" s="6" t="s">
        <v>4197</v>
      </c>
      <c r="H366" s="6">
        <v>3.89</v>
      </c>
    </row>
    <row r="367" spans="1:8" x14ac:dyDescent="0.25">
      <c r="A367" s="1" t="s">
        <v>4328</v>
      </c>
      <c r="B367" t="s">
        <v>4329</v>
      </c>
      <c r="C367" s="1" t="s">
        <v>7</v>
      </c>
      <c r="D367" t="s">
        <v>8</v>
      </c>
      <c r="E367" t="s">
        <v>9</v>
      </c>
      <c r="F367" t="s">
        <v>10</v>
      </c>
      <c r="G367" t="s">
        <v>992</v>
      </c>
      <c r="H367">
        <v>13.8</v>
      </c>
    </row>
    <row r="368" spans="1:8" x14ac:dyDescent="0.25">
      <c r="A368" s="7" t="s">
        <v>4328</v>
      </c>
      <c r="B368" s="6" t="s">
        <v>4329</v>
      </c>
      <c r="C368" s="7" t="s">
        <v>7</v>
      </c>
      <c r="D368" s="6" t="s">
        <v>8</v>
      </c>
      <c r="E368" s="6" t="s">
        <v>9</v>
      </c>
      <c r="F368" s="6" t="s">
        <v>10</v>
      </c>
      <c r="G368" s="6" t="s">
        <v>2330</v>
      </c>
      <c r="H368" s="6">
        <v>25.3</v>
      </c>
    </row>
    <row r="369" spans="1:8" x14ac:dyDescent="0.25">
      <c r="A369" s="1" t="s">
        <v>1980</v>
      </c>
      <c r="B369" t="s">
        <v>1981</v>
      </c>
      <c r="C369" s="1" t="s">
        <v>1022</v>
      </c>
      <c r="D369" t="s">
        <v>1023</v>
      </c>
      <c r="E369" t="s">
        <v>1024</v>
      </c>
      <c r="F369" t="s">
        <v>932</v>
      </c>
      <c r="G369" t="s">
        <v>4353</v>
      </c>
      <c r="H369">
        <v>49</v>
      </c>
    </row>
    <row r="370" spans="1:8" x14ac:dyDescent="0.25">
      <c r="A370" s="7" t="s">
        <v>1980</v>
      </c>
      <c r="B370" s="6" t="s">
        <v>1981</v>
      </c>
      <c r="C370" s="7" t="s">
        <v>7</v>
      </c>
      <c r="D370" s="6" t="s">
        <v>8</v>
      </c>
      <c r="E370" s="6" t="s">
        <v>9</v>
      </c>
      <c r="F370" s="6" t="s">
        <v>10</v>
      </c>
      <c r="G370" s="6" t="s">
        <v>4354</v>
      </c>
      <c r="H370" s="6">
        <v>66</v>
      </c>
    </row>
    <row r="371" spans="1:8" x14ac:dyDescent="0.25">
      <c r="A371" s="1" t="s">
        <v>1983</v>
      </c>
      <c r="B371" t="s">
        <v>1984</v>
      </c>
      <c r="C371" s="1" t="s">
        <v>1022</v>
      </c>
      <c r="D371" t="s">
        <v>1023</v>
      </c>
      <c r="E371" t="s">
        <v>1024</v>
      </c>
      <c r="F371" t="s">
        <v>932</v>
      </c>
      <c r="G371" t="s">
        <v>4355</v>
      </c>
      <c r="H371">
        <v>52</v>
      </c>
    </row>
    <row r="372" spans="1:8" x14ac:dyDescent="0.25">
      <c r="A372" s="7" t="s">
        <v>1983</v>
      </c>
      <c r="B372" s="6" t="s">
        <v>1984</v>
      </c>
      <c r="C372" s="7" t="s">
        <v>7</v>
      </c>
      <c r="D372" s="6" t="s">
        <v>8</v>
      </c>
      <c r="E372" s="6" t="s">
        <v>9</v>
      </c>
      <c r="F372" s="6" t="s">
        <v>10</v>
      </c>
      <c r="G372" s="6" t="s">
        <v>4356</v>
      </c>
      <c r="H372" s="6">
        <v>75</v>
      </c>
    </row>
    <row r="373" spans="1:8" x14ac:dyDescent="0.25">
      <c r="A373" s="1" t="s">
        <v>1986</v>
      </c>
      <c r="B373" t="s">
        <v>1987</v>
      </c>
      <c r="C373" s="1" t="s">
        <v>1022</v>
      </c>
      <c r="D373" t="s">
        <v>1023</v>
      </c>
      <c r="E373" t="s">
        <v>1024</v>
      </c>
      <c r="F373" t="s">
        <v>932</v>
      </c>
      <c r="G373" t="s">
        <v>4357</v>
      </c>
      <c r="H373">
        <v>47</v>
      </c>
    </row>
    <row r="374" spans="1:8" x14ac:dyDescent="0.25">
      <c r="A374" s="7" t="s">
        <v>1986</v>
      </c>
      <c r="B374" s="6" t="s">
        <v>1987</v>
      </c>
      <c r="C374" s="7" t="s">
        <v>7</v>
      </c>
      <c r="D374" s="6" t="s">
        <v>8</v>
      </c>
      <c r="E374" s="6" t="s">
        <v>9</v>
      </c>
      <c r="F374" s="6" t="s">
        <v>10</v>
      </c>
      <c r="G374" s="6" t="s">
        <v>4358</v>
      </c>
      <c r="H374" s="6">
        <v>67</v>
      </c>
    </row>
    <row r="375" spans="1:8" x14ac:dyDescent="0.25">
      <c r="A375" s="1" t="s">
        <v>2016</v>
      </c>
      <c r="B375" t="s">
        <v>2017</v>
      </c>
      <c r="C375" s="1" t="s">
        <v>1022</v>
      </c>
      <c r="D375" t="s">
        <v>1023</v>
      </c>
      <c r="E375" t="s">
        <v>1024</v>
      </c>
      <c r="F375" t="s">
        <v>932</v>
      </c>
      <c r="G375" t="s">
        <v>4359</v>
      </c>
      <c r="H375">
        <v>69</v>
      </c>
    </row>
    <row r="376" spans="1:8" x14ac:dyDescent="0.25">
      <c r="A376" s="7" t="s">
        <v>2016</v>
      </c>
      <c r="B376" s="6" t="s">
        <v>2017</v>
      </c>
      <c r="C376" s="7" t="s">
        <v>7</v>
      </c>
      <c r="D376" s="6" t="s">
        <v>8</v>
      </c>
      <c r="E376" s="6" t="s">
        <v>9</v>
      </c>
      <c r="F376" s="6" t="s">
        <v>10</v>
      </c>
      <c r="G376" s="6" t="s">
        <v>4360</v>
      </c>
      <c r="H376" s="6">
        <v>96</v>
      </c>
    </row>
    <row r="377" spans="1:8" x14ac:dyDescent="0.25">
      <c r="A377" s="1" t="s">
        <v>2019</v>
      </c>
      <c r="B377" t="s">
        <v>2020</v>
      </c>
      <c r="C377" s="1" t="s">
        <v>1022</v>
      </c>
      <c r="D377" t="s">
        <v>1023</v>
      </c>
      <c r="E377" t="s">
        <v>1024</v>
      </c>
      <c r="F377" t="s">
        <v>932</v>
      </c>
      <c r="G377" t="s">
        <v>4361</v>
      </c>
      <c r="H377">
        <v>81</v>
      </c>
    </row>
    <row r="378" spans="1:8" x14ac:dyDescent="0.25">
      <c r="A378" s="7" t="s">
        <v>2019</v>
      </c>
      <c r="B378" s="6" t="s">
        <v>2020</v>
      </c>
      <c r="C378" s="7" t="s">
        <v>7</v>
      </c>
      <c r="D378" s="6" t="s">
        <v>8</v>
      </c>
      <c r="E378" s="6" t="s">
        <v>9</v>
      </c>
      <c r="F378" s="6" t="s">
        <v>10</v>
      </c>
      <c r="G378" s="6" t="s">
        <v>4362</v>
      </c>
      <c r="H378" s="6">
        <v>107</v>
      </c>
    </row>
    <row r="379" spans="1:8" x14ac:dyDescent="0.25">
      <c r="A379" s="1" t="s">
        <v>2022</v>
      </c>
      <c r="B379" t="s">
        <v>2023</v>
      </c>
      <c r="C379" s="1" t="s">
        <v>1022</v>
      </c>
      <c r="D379" t="s">
        <v>1023</v>
      </c>
      <c r="E379" t="s">
        <v>1024</v>
      </c>
      <c r="F379" t="s">
        <v>932</v>
      </c>
      <c r="G379" t="s">
        <v>4363</v>
      </c>
      <c r="H379">
        <v>62</v>
      </c>
    </row>
    <row r="380" spans="1:8" x14ac:dyDescent="0.25">
      <c r="A380" s="7" t="s">
        <v>2022</v>
      </c>
      <c r="B380" s="6" t="s">
        <v>2023</v>
      </c>
      <c r="C380" s="7" t="s">
        <v>7</v>
      </c>
      <c r="D380" s="6" t="s">
        <v>8</v>
      </c>
      <c r="E380" s="6" t="s">
        <v>9</v>
      </c>
      <c r="F380" s="6" t="s">
        <v>10</v>
      </c>
      <c r="G380" s="6" t="s">
        <v>4364</v>
      </c>
      <c r="H380" s="6">
        <v>76</v>
      </c>
    </row>
    <row r="381" spans="1:8" x14ac:dyDescent="0.25">
      <c r="A381" s="1" t="s">
        <v>4384</v>
      </c>
      <c r="B381" t="s">
        <v>4385</v>
      </c>
      <c r="C381" s="1" t="s">
        <v>3914</v>
      </c>
      <c r="D381" t="s">
        <v>3915</v>
      </c>
      <c r="E381" t="s">
        <v>3916</v>
      </c>
      <c r="F381" t="s">
        <v>5</v>
      </c>
      <c r="G381" t="s">
        <v>4393</v>
      </c>
      <c r="H381">
        <v>67.28</v>
      </c>
    </row>
    <row r="382" spans="1:8" x14ac:dyDescent="0.25">
      <c r="A382" s="7" t="s">
        <v>4384</v>
      </c>
      <c r="B382" s="6" t="s">
        <v>4385</v>
      </c>
      <c r="C382" s="7" t="s">
        <v>541</v>
      </c>
      <c r="D382" s="6" t="s">
        <v>542</v>
      </c>
      <c r="E382" s="6" t="s">
        <v>9</v>
      </c>
      <c r="F382" s="6" t="s">
        <v>10</v>
      </c>
      <c r="G382" s="6" t="s">
        <v>2971</v>
      </c>
      <c r="H382" s="6">
        <v>21.95</v>
      </c>
    </row>
    <row r="383" spans="1:8" x14ac:dyDescent="0.25">
      <c r="A383" s="1" t="s">
        <v>4387</v>
      </c>
      <c r="B383" t="s">
        <v>4388</v>
      </c>
      <c r="C383" s="1" t="s">
        <v>3914</v>
      </c>
      <c r="D383" t="s">
        <v>3915</v>
      </c>
      <c r="E383" t="s">
        <v>3916</v>
      </c>
      <c r="F383" t="s">
        <v>5</v>
      </c>
      <c r="G383" t="s">
        <v>3571</v>
      </c>
      <c r="H383">
        <v>5.37</v>
      </c>
    </row>
    <row r="384" spans="1:8" x14ac:dyDescent="0.25">
      <c r="A384" s="7" t="s">
        <v>4387</v>
      </c>
      <c r="B384" s="6" t="s">
        <v>4388</v>
      </c>
      <c r="C384" s="7" t="s">
        <v>541</v>
      </c>
      <c r="D384" s="6" t="s">
        <v>542</v>
      </c>
      <c r="E384" s="6" t="s">
        <v>9</v>
      </c>
      <c r="F384" s="6" t="s">
        <v>10</v>
      </c>
      <c r="G384" s="6" t="s">
        <v>4394</v>
      </c>
      <c r="H384" s="6">
        <v>8.35</v>
      </c>
    </row>
    <row r="385" spans="1:8" x14ac:dyDescent="0.25">
      <c r="A385" s="1" t="s">
        <v>4390</v>
      </c>
      <c r="B385" t="s">
        <v>4391</v>
      </c>
      <c r="C385" s="1" t="s">
        <v>1010</v>
      </c>
      <c r="D385" t="s">
        <v>1011</v>
      </c>
      <c r="E385" t="s">
        <v>1354</v>
      </c>
      <c r="F385" t="s">
        <v>5</v>
      </c>
      <c r="G385" t="s">
        <v>4395</v>
      </c>
      <c r="H385">
        <v>3.6</v>
      </c>
    </row>
    <row r="386" spans="1:8" x14ac:dyDescent="0.25">
      <c r="A386" s="7" t="s">
        <v>4390</v>
      </c>
      <c r="B386" s="6" t="s">
        <v>4391</v>
      </c>
      <c r="C386" s="7" t="s">
        <v>541</v>
      </c>
      <c r="D386" s="6" t="s">
        <v>542</v>
      </c>
      <c r="E386" s="6" t="s">
        <v>9</v>
      </c>
      <c r="F386" s="6" t="s">
        <v>10</v>
      </c>
      <c r="G386" s="6" t="s">
        <v>1733</v>
      </c>
      <c r="H386" s="6">
        <v>2.5</v>
      </c>
    </row>
    <row r="387" spans="1:8" x14ac:dyDescent="0.25">
      <c r="A387" s="1" t="s">
        <v>4400</v>
      </c>
      <c r="B387" t="s">
        <v>4401</v>
      </c>
      <c r="C387" s="1" t="s">
        <v>1785</v>
      </c>
      <c r="D387" t="s">
        <v>1786</v>
      </c>
      <c r="E387" t="s">
        <v>216</v>
      </c>
      <c r="F387" t="s">
        <v>5</v>
      </c>
      <c r="G387" t="s">
        <v>652</v>
      </c>
      <c r="H387">
        <v>0.21</v>
      </c>
    </row>
    <row r="388" spans="1:8" x14ac:dyDescent="0.25">
      <c r="A388" s="7" t="s">
        <v>4400</v>
      </c>
      <c r="B388" s="6" t="s">
        <v>4401</v>
      </c>
      <c r="C388" s="7" t="s">
        <v>541</v>
      </c>
      <c r="D388" s="6" t="s">
        <v>542</v>
      </c>
      <c r="E388" s="6" t="s">
        <v>9</v>
      </c>
      <c r="F388" s="6" t="s">
        <v>10</v>
      </c>
      <c r="G388" s="6" t="s">
        <v>4410</v>
      </c>
      <c r="H388" s="6">
        <v>6.05</v>
      </c>
    </row>
    <row r="389" spans="1:8" x14ac:dyDescent="0.25">
      <c r="A389" s="1" t="s">
        <v>4403</v>
      </c>
      <c r="B389" t="s">
        <v>4404</v>
      </c>
      <c r="C389" s="1" t="s">
        <v>4411</v>
      </c>
      <c r="D389" t="s">
        <v>4412</v>
      </c>
      <c r="E389" t="s">
        <v>4413</v>
      </c>
      <c r="F389" t="s">
        <v>17</v>
      </c>
      <c r="G389" t="s">
        <v>4414</v>
      </c>
      <c r="H389">
        <v>11.6</v>
      </c>
    </row>
    <row r="390" spans="1:8" x14ac:dyDescent="0.25">
      <c r="A390" s="7" t="s">
        <v>4403</v>
      </c>
      <c r="B390" s="6" t="s">
        <v>4404</v>
      </c>
      <c r="C390" s="7" t="s">
        <v>4415</v>
      </c>
      <c r="D390" s="6" t="s">
        <v>4416</v>
      </c>
      <c r="E390" s="6" t="s">
        <v>4417</v>
      </c>
      <c r="F390" s="6" t="s">
        <v>49</v>
      </c>
      <c r="G390" s="6" t="s">
        <v>50</v>
      </c>
      <c r="H390" s="6">
        <v>8.09</v>
      </c>
    </row>
    <row r="391" spans="1:8" x14ac:dyDescent="0.25">
      <c r="A391" s="1" t="s">
        <v>4403</v>
      </c>
      <c r="B391" t="s">
        <v>4404</v>
      </c>
      <c r="C391" s="1" t="s">
        <v>4418</v>
      </c>
      <c r="D391" t="s">
        <v>4419</v>
      </c>
      <c r="E391" t="s">
        <v>4420</v>
      </c>
      <c r="F391" t="s">
        <v>49</v>
      </c>
      <c r="G391" t="s">
        <v>50</v>
      </c>
      <c r="H391">
        <v>10.01</v>
      </c>
    </row>
    <row r="392" spans="1:8" x14ac:dyDescent="0.25">
      <c r="A392" s="7" t="s">
        <v>4403</v>
      </c>
      <c r="B392" s="6" t="s">
        <v>4404</v>
      </c>
      <c r="C392" s="7" t="s">
        <v>541</v>
      </c>
      <c r="D392" s="6" t="s">
        <v>542</v>
      </c>
      <c r="E392" s="6" t="s">
        <v>9</v>
      </c>
      <c r="F392" s="6" t="s">
        <v>10</v>
      </c>
      <c r="G392" s="6" t="s">
        <v>4421</v>
      </c>
      <c r="H392" s="6">
        <v>11.7</v>
      </c>
    </row>
    <row r="393" spans="1:8" x14ac:dyDescent="0.25">
      <c r="A393" s="1" t="s">
        <v>4415</v>
      </c>
      <c r="B393" t="s">
        <v>4416</v>
      </c>
      <c r="C393" s="1" t="s">
        <v>2474</v>
      </c>
      <c r="D393" t="s">
        <v>2475</v>
      </c>
      <c r="E393" t="s">
        <v>2469</v>
      </c>
      <c r="F393" t="s">
        <v>5</v>
      </c>
      <c r="G393" t="s">
        <v>3404</v>
      </c>
      <c r="H393">
        <v>2.64</v>
      </c>
    </row>
    <row r="394" spans="1:8" x14ac:dyDescent="0.25">
      <c r="A394" s="7" t="s">
        <v>4415</v>
      </c>
      <c r="B394" s="6" t="s">
        <v>4416</v>
      </c>
      <c r="C394" s="7" t="s">
        <v>7</v>
      </c>
      <c r="D394" s="6" t="s">
        <v>8</v>
      </c>
      <c r="E394" s="6" t="s">
        <v>9</v>
      </c>
      <c r="F394" s="6" t="s">
        <v>10</v>
      </c>
      <c r="G394" s="6" t="s">
        <v>4422</v>
      </c>
      <c r="H394" s="6">
        <v>5.45</v>
      </c>
    </row>
    <row r="395" spans="1:8" x14ac:dyDescent="0.25">
      <c r="A395" s="1" t="s">
        <v>4418</v>
      </c>
      <c r="B395" t="s">
        <v>4419</v>
      </c>
      <c r="C395" s="1" t="s">
        <v>4168</v>
      </c>
      <c r="D395" t="s">
        <v>4423</v>
      </c>
      <c r="E395" t="s">
        <v>70</v>
      </c>
      <c r="F395" t="s">
        <v>5</v>
      </c>
      <c r="G395" t="s">
        <v>4424</v>
      </c>
      <c r="H395">
        <v>2.85</v>
      </c>
    </row>
    <row r="396" spans="1:8" x14ac:dyDescent="0.25">
      <c r="A396" s="7" t="s">
        <v>4418</v>
      </c>
      <c r="B396" s="6" t="s">
        <v>4419</v>
      </c>
      <c r="C396" s="7" t="s">
        <v>541</v>
      </c>
      <c r="D396" s="6" t="s">
        <v>542</v>
      </c>
      <c r="E396" s="6" t="s">
        <v>9</v>
      </c>
      <c r="F396" s="6" t="s">
        <v>10</v>
      </c>
      <c r="G396" s="6" t="s">
        <v>3623</v>
      </c>
      <c r="H396" s="6">
        <v>7.16</v>
      </c>
    </row>
    <row r="397" spans="1:8" x14ac:dyDescent="0.25">
      <c r="A397" s="1" t="s">
        <v>4406</v>
      </c>
      <c r="B397" t="s">
        <v>4407</v>
      </c>
      <c r="C397" s="1" t="s">
        <v>1785</v>
      </c>
      <c r="D397" t="s">
        <v>1786</v>
      </c>
      <c r="E397" t="s">
        <v>216</v>
      </c>
      <c r="F397" t="s">
        <v>5</v>
      </c>
      <c r="G397" t="s">
        <v>652</v>
      </c>
      <c r="H397">
        <v>0.21</v>
      </c>
    </row>
    <row r="398" spans="1:8" x14ac:dyDescent="0.25">
      <c r="A398" s="7" t="s">
        <v>4406</v>
      </c>
      <c r="B398" s="6" t="s">
        <v>4407</v>
      </c>
      <c r="C398" s="7" t="s">
        <v>541</v>
      </c>
      <c r="D398" s="6" t="s">
        <v>542</v>
      </c>
      <c r="E398" s="6" t="s">
        <v>9</v>
      </c>
      <c r="F398" s="6" t="s">
        <v>10</v>
      </c>
      <c r="G398" s="6" t="s">
        <v>4425</v>
      </c>
      <c r="H398" s="6">
        <v>5.39</v>
      </c>
    </row>
    <row r="399" spans="1:8" x14ac:dyDescent="0.25">
      <c r="A399" s="1" t="s">
        <v>355</v>
      </c>
      <c r="B399" t="s">
        <v>356</v>
      </c>
      <c r="C399" s="1" t="s">
        <v>4439</v>
      </c>
      <c r="D399" t="s">
        <v>4440</v>
      </c>
      <c r="E399" t="s">
        <v>1043</v>
      </c>
      <c r="F399" t="s">
        <v>17</v>
      </c>
      <c r="G399" t="s">
        <v>607</v>
      </c>
      <c r="H399">
        <v>11.8</v>
      </c>
    </row>
    <row r="400" spans="1:8" x14ac:dyDescent="0.25">
      <c r="A400" s="7" t="s">
        <v>355</v>
      </c>
      <c r="B400" s="6" t="s">
        <v>356</v>
      </c>
      <c r="C400" s="7" t="s">
        <v>7</v>
      </c>
      <c r="D400" s="6" t="s">
        <v>8</v>
      </c>
      <c r="E400" s="6" t="s">
        <v>9</v>
      </c>
      <c r="F400" s="6" t="s">
        <v>10</v>
      </c>
      <c r="G400" s="6" t="s">
        <v>601</v>
      </c>
      <c r="H400" s="6">
        <v>6.9</v>
      </c>
    </row>
    <row r="401" spans="1:8" x14ac:dyDescent="0.25">
      <c r="A401" s="1" t="s">
        <v>358</v>
      </c>
      <c r="B401" t="s">
        <v>359</v>
      </c>
      <c r="C401" s="1" t="s">
        <v>4439</v>
      </c>
      <c r="D401" t="s">
        <v>4440</v>
      </c>
      <c r="E401" t="s">
        <v>1043</v>
      </c>
      <c r="F401" t="s">
        <v>17</v>
      </c>
      <c r="G401" t="s">
        <v>4441</v>
      </c>
      <c r="H401">
        <v>10.33</v>
      </c>
    </row>
    <row r="402" spans="1:8" x14ac:dyDescent="0.25">
      <c r="A402" s="7" t="s">
        <v>358</v>
      </c>
      <c r="B402" s="6" t="s">
        <v>359</v>
      </c>
      <c r="C402" s="7" t="s">
        <v>7</v>
      </c>
      <c r="D402" s="6" t="s">
        <v>8</v>
      </c>
      <c r="E402" s="6" t="s">
        <v>9</v>
      </c>
      <c r="F402" s="6" t="s">
        <v>10</v>
      </c>
      <c r="G402" s="6" t="s">
        <v>601</v>
      </c>
      <c r="H402" s="6">
        <v>6.9</v>
      </c>
    </row>
    <row r="403" spans="1:8" x14ac:dyDescent="0.25">
      <c r="A403" s="1" t="s">
        <v>361</v>
      </c>
      <c r="B403" t="s">
        <v>362</v>
      </c>
      <c r="C403" s="1" t="s">
        <v>4439</v>
      </c>
      <c r="D403" t="s">
        <v>4440</v>
      </c>
      <c r="E403" t="s">
        <v>1043</v>
      </c>
      <c r="F403" t="s">
        <v>17</v>
      </c>
      <c r="G403" t="s">
        <v>4442</v>
      </c>
      <c r="H403">
        <v>5.62</v>
      </c>
    </row>
    <row r="404" spans="1:8" x14ac:dyDescent="0.25">
      <c r="A404" s="7" t="s">
        <v>361</v>
      </c>
      <c r="B404" s="6" t="s">
        <v>362</v>
      </c>
      <c r="C404" s="7" t="s">
        <v>7</v>
      </c>
      <c r="D404" s="6" t="s">
        <v>8</v>
      </c>
      <c r="E404" s="6" t="s">
        <v>9</v>
      </c>
      <c r="F404" s="6" t="s">
        <v>10</v>
      </c>
      <c r="G404" s="6" t="s">
        <v>601</v>
      </c>
      <c r="H404" s="6">
        <v>6.9</v>
      </c>
    </row>
    <row r="405" spans="1:8" x14ac:dyDescent="0.25">
      <c r="A405" s="1" t="s">
        <v>364</v>
      </c>
      <c r="B405" t="s">
        <v>365</v>
      </c>
      <c r="C405" s="1" t="s">
        <v>4439</v>
      </c>
      <c r="D405" t="s">
        <v>4440</v>
      </c>
      <c r="E405" t="s">
        <v>1043</v>
      </c>
      <c r="F405" t="s">
        <v>17</v>
      </c>
      <c r="G405" t="s">
        <v>4443</v>
      </c>
      <c r="H405">
        <v>3.55</v>
      </c>
    </row>
    <row r="406" spans="1:8" x14ac:dyDescent="0.25">
      <c r="A406" s="7" t="s">
        <v>364</v>
      </c>
      <c r="B406" s="6" t="s">
        <v>365</v>
      </c>
      <c r="C406" s="7" t="s">
        <v>7</v>
      </c>
      <c r="D406" s="6" t="s">
        <v>8</v>
      </c>
      <c r="E406" s="6" t="s">
        <v>9</v>
      </c>
      <c r="F406" s="6" t="s">
        <v>10</v>
      </c>
      <c r="G406" s="6" t="s">
        <v>601</v>
      </c>
      <c r="H406" s="6">
        <v>6.9</v>
      </c>
    </row>
    <row r="407" spans="1:8" x14ac:dyDescent="0.25">
      <c r="A407" s="1" t="s">
        <v>4484</v>
      </c>
      <c r="B407" t="s">
        <v>4490</v>
      </c>
      <c r="C407" s="1" t="s">
        <v>2450</v>
      </c>
      <c r="D407" t="s">
        <v>2451</v>
      </c>
      <c r="E407" t="s">
        <v>31</v>
      </c>
      <c r="F407" t="s">
        <v>5</v>
      </c>
      <c r="G407" t="s">
        <v>4491</v>
      </c>
      <c r="H407">
        <v>3.25</v>
      </c>
    </row>
    <row r="408" spans="1:8" x14ac:dyDescent="0.25">
      <c r="A408" s="7" t="s">
        <v>4484</v>
      </c>
      <c r="B408" s="6" t="s">
        <v>4490</v>
      </c>
      <c r="C408" s="7" t="s">
        <v>4472</v>
      </c>
      <c r="D408" s="6" t="s">
        <v>4473</v>
      </c>
      <c r="E408" s="6" t="s">
        <v>4474</v>
      </c>
      <c r="F408" s="6" t="s">
        <v>17</v>
      </c>
      <c r="G408" s="6" t="s">
        <v>4492</v>
      </c>
      <c r="H408" s="6">
        <v>15.85</v>
      </c>
    </row>
    <row r="409" spans="1:8" x14ac:dyDescent="0.25">
      <c r="A409" s="1" t="s">
        <v>4484</v>
      </c>
      <c r="B409" t="s">
        <v>4490</v>
      </c>
      <c r="C409" s="1" t="s">
        <v>857</v>
      </c>
      <c r="D409" t="s">
        <v>858</v>
      </c>
      <c r="E409" t="s">
        <v>686</v>
      </c>
      <c r="F409" t="s">
        <v>49</v>
      </c>
      <c r="G409" t="s">
        <v>4493</v>
      </c>
      <c r="H409">
        <v>0.5</v>
      </c>
    </row>
    <row r="410" spans="1:8" x14ac:dyDescent="0.25">
      <c r="A410" s="7" t="s">
        <v>4484</v>
      </c>
      <c r="B410" s="6" t="s">
        <v>4490</v>
      </c>
      <c r="C410" s="7" t="s">
        <v>7</v>
      </c>
      <c r="D410" s="6" t="s">
        <v>8</v>
      </c>
      <c r="E410" s="6" t="s">
        <v>9</v>
      </c>
      <c r="F410" s="6" t="s">
        <v>10</v>
      </c>
      <c r="G410" s="6" t="s">
        <v>4494</v>
      </c>
      <c r="H410" s="6">
        <v>3.42</v>
      </c>
    </row>
    <row r="411" spans="1:8" x14ac:dyDescent="0.25">
      <c r="A411" s="1" t="s">
        <v>4484</v>
      </c>
      <c r="B411" t="s">
        <v>4490</v>
      </c>
      <c r="C411" s="1" t="s">
        <v>7</v>
      </c>
      <c r="D411" t="s">
        <v>8</v>
      </c>
      <c r="E411" t="s">
        <v>9</v>
      </c>
      <c r="F411" t="s">
        <v>10</v>
      </c>
      <c r="G411" t="s">
        <v>4495</v>
      </c>
      <c r="H411">
        <v>9.61</v>
      </c>
    </row>
    <row r="412" spans="1:8" x14ac:dyDescent="0.25">
      <c r="A412" s="7" t="s">
        <v>4484</v>
      </c>
      <c r="B412" s="6" t="s">
        <v>4490</v>
      </c>
      <c r="C412" s="7" t="s">
        <v>7</v>
      </c>
      <c r="D412" s="6" t="s">
        <v>8</v>
      </c>
      <c r="E412" s="6" t="s">
        <v>9</v>
      </c>
      <c r="F412" s="6" t="s">
        <v>10</v>
      </c>
      <c r="G412" s="6" t="s">
        <v>4099</v>
      </c>
      <c r="H412" s="6">
        <v>4.8899999999999997</v>
      </c>
    </row>
    <row r="413" spans="1:8" x14ac:dyDescent="0.25">
      <c r="A413" s="1" t="s">
        <v>4499</v>
      </c>
      <c r="B413" t="s">
        <v>4506</v>
      </c>
      <c r="C413" s="1" t="s">
        <v>4472</v>
      </c>
      <c r="D413" t="s">
        <v>4473</v>
      </c>
      <c r="E413" t="s">
        <v>4474</v>
      </c>
      <c r="F413" t="s">
        <v>17</v>
      </c>
      <c r="G413" t="s">
        <v>4507</v>
      </c>
      <c r="H413">
        <v>18</v>
      </c>
    </row>
    <row r="414" spans="1:8" x14ac:dyDescent="0.25">
      <c r="A414" s="7" t="s">
        <v>4499</v>
      </c>
      <c r="B414" s="6" t="s">
        <v>4506</v>
      </c>
      <c r="C414" s="7" t="s">
        <v>4472</v>
      </c>
      <c r="D414" s="6" t="s">
        <v>4473</v>
      </c>
      <c r="E414" s="6" t="s">
        <v>4474</v>
      </c>
      <c r="F414" s="6" t="s">
        <v>17</v>
      </c>
      <c r="G414" s="6" t="s">
        <v>4508</v>
      </c>
      <c r="H414" s="6">
        <v>2.25</v>
      </c>
    </row>
    <row r="415" spans="1:8" x14ac:dyDescent="0.25">
      <c r="A415" s="1" t="s">
        <v>4499</v>
      </c>
      <c r="B415" t="s">
        <v>4506</v>
      </c>
      <c r="C415" s="1" t="s">
        <v>857</v>
      </c>
      <c r="D415" t="s">
        <v>858</v>
      </c>
      <c r="E415" t="s">
        <v>686</v>
      </c>
      <c r="F415" t="s">
        <v>49</v>
      </c>
      <c r="G415" t="s">
        <v>4493</v>
      </c>
      <c r="H415">
        <v>0.5</v>
      </c>
    </row>
    <row r="416" spans="1:8" x14ac:dyDescent="0.25">
      <c r="A416" s="7" t="s">
        <v>4499</v>
      </c>
      <c r="B416" s="6" t="s">
        <v>4506</v>
      </c>
      <c r="C416" s="7" t="s">
        <v>7</v>
      </c>
      <c r="D416" s="6" t="s">
        <v>8</v>
      </c>
      <c r="E416" s="6" t="s">
        <v>9</v>
      </c>
      <c r="F416" s="6" t="s">
        <v>10</v>
      </c>
      <c r="G416" s="6" t="s">
        <v>3831</v>
      </c>
      <c r="H416" s="6">
        <v>9.6199999999999992</v>
      </c>
    </row>
    <row r="417" spans="1:8" x14ac:dyDescent="0.25">
      <c r="A417" s="1" t="s">
        <v>4499</v>
      </c>
      <c r="B417" t="s">
        <v>4506</v>
      </c>
      <c r="C417" s="1" t="s">
        <v>7</v>
      </c>
      <c r="D417" t="s">
        <v>8</v>
      </c>
      <c r="E417" t="s">
        <v>9</v>
      </c>
      <c r="F417" t="s">
        <v>10</v>
      </c>
      <c r="G417" t="s">
        <v>4509</v>
      </c>
      <c r="H417">
        <v>3.35</v>
      </c>
    </row>
    <row r="418" spans="1:8" x14ac:dyDescent="0.25">
      <c r="A418" s="7" t="s">
        <v>4499</v>
      </c>
      <c r="B418" s="6" t="s">
        <v>4506</v>
      </c>
      <c r="C418" s="7" t="s">
        <v>7</v>
      </c>
      <c r="D418" s="6" t="s">
        <v>8</v>
      </c>
      <c r="E418" s="6" t="s">
        <v>9</v>
      </c>
      <c r="F418" s="6" t="s">
        <v>10</v>
      </c>
      <c r="G418" s="6" t="s">
        <v>3446</v>
      </c>
      <c r="H418" s="6">
        <v>4.91</v>
      </c>
    </row>
    <row r="419" spans="1:8" x14ac:dyDescent="0.25">
      <c r="A419" s="1" t="s">
        <v>4499</v>
      </c>
      <c r="B419" t="s">
        <v>4506</v>
      </c>
      <c r="C419" s="1" t="s">
        <v>7</v>
      </c>
      <c r="D419" t="s">
        <v>8</v>
      </c>
      <c r="E419" t="s">
        <v>9</v>
      </c>
      <c r="F419" t="s">
        <v>10</v>
      </c>
      <c r="G419" t="s">
        <v>1544</v>
      </c>
      <c r="H419">
        <v>1.05</v>
      </c>
    </row>
    <row r="420" spans="1:8" x14ac:dyDescent="0.25">
      <c r="A420" s="7" t="s">
        <v>4513</v>
      </c>
      <c r="B420" s="6" t="s">
        <v>4518</v>
      </c>
      <c r="C420" s="7" t="s">
        <v>4472</v>
      </c>
      <c r="D420" s="6" t="s">
        <v>4473</v>
      </c>
      <c r="E420" s="6" t="s">
        <v>4474</v>
      </c>
      <c r="F420" s="6" t="s">
        <v>17</v>
      </c>
      <c r="G420" s="6" t="s">
        <v>4519</v>
      </c>
      <c r="H420" s="6">
        <v>4.45</v>
      </c>
    </row>
    <row r="421" spans="1:8" x14ac:dyDescent="0.25">
      <c r="A421" s="1" t="s">
        <v>4513</v>
      </c>
      <c r="B421" t="s">
        <v>4518</v>
      </c>
      <c r="C421" s="1" t="s">
        <v>4472</v>
      </c>
      <c r="D421" t="s">
        <v>4473</v>
      </c>
      <c r="E421" t="s">
        <v>4474</v>
      </c>
      <c r="F421" t="s">
        <v>17</v>
      </c>
      <c r="G421" t="s">
        <v>4520</v>
      </c>
      <c r="H421">
        <v>20.11</v>
      </c>
    </row>
    <row r="422" spans="1:8" x14ac:dyDescent="0.25">
      <c r="A422" s="7" t="s">
        <v>4513</v>
      </c>
      <c r="B422" s="6" t="s">
        <v>4518</v>
      </c>
      <c r="C422" s="7" t="s">
        <v>857</v>
      </c>
      <c r="D422" s="6" t="s">
        <v>858</v>
      </c>
      <c r="E422" s="6" t="s">
        <v>686</v>
      </c>
      <c r="F422" s="6" t="s">
        <v>49</v>
      </c>
      <c r="G422" s="6" t="s">
        <v>4493</v>
      </c>
      <c r="H422" s="6">
        <v>0.5</v>
      </c>
    </row>
    <row r="423" spans="1:8" x14ac:dyDescent="0.25">
      <c r="A423" s="1" t="s">
        <v>4513</v>
      </c>
      <c r="B423" t="s">
        <v>4518</v>
      </c>
      <c r="C423" s="1" t="s">
        <v>7</v>
      </c>
      <c r="D423" t="s">
        <v>8</v>
      </c>
      <c r="E423" t="s">
        <v>9</v>
      </c>
      <c r="F423" t="s">
        <v>10</v>
      </c>
      <c r="G423" t="s">
        <v>4495</v>
      </c>
      <c r="H423">
        <v>9.61</v>
      </c>
    </row>
    <row r="424" spans="1:8" x14ac:dyDescent="0.25">
      <c r="A424" s="7" t="s">
        <v>4513</v>
      </c>
      <c r="B424" s="6" t="s">
        <v>4518</v>
      </c>
      <c r="C424" s="7" t="s">
        <v>7</v>
      </c>
      <c r="D424" s="6" t="s">
        <v>8</v>
      </c>
      <c r="E424" s="6" t="s">
        <v>9</v>
      </c>
      <c r="F424" s="6" t="s">
        <v>10</v>
      </c>
      <c r="G424" s="6" t="s">
        <v>4099</v>
      </c>
      <c r="H424" s="6">
        <v>4.8899999999999997</v>
      </c>
    </row>
    <row r="425" spans="1:8" x14ac:dyDescent="0.25">
      <c r="A425" s="1" t="s">
        <v>4513</v>
      </c>
      <c r="B425" t="s">
        <v>4518</v>
      </c>
      <c r="C425" s="1" t="s">
        <v>7</v>
      </c>
      <c r="D425" t="s">
        <v>8</v>
      </c>
      <c r="E425" t="s">
        <v>9</v>
      </c>
      <c r="F425" t="s">
        <v>10</v>
      </c>
      <c r="G425" t="s">
        <v>4521</v>
      </c>
      <c r="H425">
        <v>1</v>
      </c>
    </row>
    <row r="426" spans="1:8" x14ac:dyDescent="0.25">
      <c r="A426" s="7" t="s">
        <v>4513</v>
      </c>
      <c r="B426" s="6" t="s">
        <v>4518</v>
      </c>
      <c r="C426" s="7" t="s">
        <v>7</v>
      </c>
      <c r="D426" s="6" t="s">
        <v>8</v>
      </c>
      <c r="E426" s="6" t="s">
        <v>9</v>
      </c>
      <c r="F426" s="6" t="s">
        <v>10</v>
      </c>
      <c r="G426" s="6" t="s">
        <v>4522</v>
      </c>
      <c r="H426" s="6">
        <v>3.36</v>
      </c>
    </row>
    <row r="427" spans="1:8" x14ac:dyDescent="0.25">
      <c r="A427" s="1" t="s">
        <v>502</v>
      </c>
      <c r="B427" t="s">
        <v>503</v>
      </c>
      <c r="C427" s="1" t="s">
        <v>684</v>
      </c>
      <c r="D427" t="s">
        <v>685</v>
      </c>
      <c r="E427" t="s">
        <v>686</v>
      </c>
      <c r="F427" t="s">
        <v>49</v>
      </c>
      <c r="G427" t="s">
        <v>4569</v>
      </c>
      <c r="H427">
        <v>1.4</v>
      </c>
    </row>
    <row r="428" spans="1:8" x14ac:dyDescent="0.25">
      <c r="A428" s="7" t="s">
        <v>502</v>
      </c>
      <c r="B428" s="6" t="s">
        <v>503</v>
      </c>
      <c r="C428" s="7" t="s">
        <v>7</v>
      </c>
      <c r="D428" s="6" t="s">
        <v>8</v>
      </c>
      <c r="E428" s="6" t="s">
        <v>9</v>
      </c>
      <c r="F428" s="6" t="s">
        <v>10</v>
      </c>
      <c r="G428" s="6" t="s">
        <v>33</v>
      </c>
      <c r="H428" s="6">
        <v>9.1999999999999993</v>
      </c>
    </row>
    <row r="429" spans="1:8" x14ac:dyDescent="0.25">
      <c r="A429" s="1" t="s">
        <v>242</v>
      </c>
      <c r="B429" t="s">
        <v>243</v>
      </c>
      <c r="C429" s="1" t="s">
        <v>2522</v>
      </c>
      <c r="D429" t="s">
        <v>2523</v>
      </c>
      <c r="E429" t="s">
        <v>1354</v>
      </c>
      <c r="F429" t="s">
        <v>5</v>
      </c>
      <c r="G429" t="s">
        <v>3749</v>
      </c>
      <c r="H429">
        <v>0.7</v>
      </c>
    </row>
    <row r="430" spans="1:8" x14ac:dyDescent="0.25">
      <c r="A430" s="7" t="s">
        <v>242</v>
      </c>
      <c r="B430" s="6" t="s">
        <v>243</v>
      </c>
      <c r="C430" s="7" t="s">
        <v>7</v>
      </c>
      <c r="D430" s="6" t="s">
        <v>8</v>
      </c>
      <c r="E430" s="6" t="s">
        <v>9</v>
      </c>
      <c r="F430" s="6" t="s">
        <v>10</v>
      </c>
      <c r="G430" s="6" t="s">
        <v>2518</v>
      </c>
      <c r="H430" s="6">
        <v>2.4</v>
      </c>
    </row>
    <row r="431" spans="1:8" x14ac:dyDescent="0.25">
      <c r="A431" s="1" t="s">
        <v>4589</v>
      </c>
      <c r="B431" t="s">
        <v>4590</v>
      </c>
      <c r="C431" s="1" t="s">
        <v>4595</v>
      </c>
      <c r="D431" t="s">
        <v>4596</v>
      </c>
      <c r="E431" t="s">
        <v>803</v>
      </c>
      <c r="F431" t="s">
        <v>49</v>
      </c>
      <c r="G431" t="s">
        <v>50</v>
      </c>
      <c r="H431">
        <v>48.1</v>
      </c>
    </row>
    <row r="432" spans="1:8" x14ac:dyDescent="0.25">
      <c r="A432" s="7" t="s">
        <v>4589</v>
      </c>
      <c r="B432" s="6" t="s">
        <v>4590</v>
      </c>
      <c r="C432" s="7" t="s">
        <v>857</v>
      </c>
      <c r="D432" s="6" t="s">
        <v>858</v>
      </c>
      <c r="E432" s="6" t="s">
        <v>686</v>
      </c>
      <c r="F432" s="6" t="s">
        <v>49</v>
      </c>
      <c r="G432" s="6" t="s">
        <v>3148</v>
      </c>
      <c r="H432" s="6">
        <v>2</v>
      </c>
    </row>
    <row r="433" spans="1:8" x14ac:dyDescent="0.25">
      <c r="A433" s="1" t="s">
        <v>4589</v>
      </c>
      <c r="B433" t="s">
        <v>4590</v>
      </c>
      <c r="C433" s="1" t="s">
        <v>541</v>
      </c>
      <c r="D433" t="s">
        <v>542</v>
      </c>
      <c r="E433" t="s">
        <v>9</v>
      </c>
      <c r="F433" t="s">
        <v>10</v>
      </c>
      <c r="G433" t="s">
        <v>992</v>
      </c>
      <c r="H433">
        <v>13.8</v>
      </c>
    </row>
    <row r="434" spans="1:8" x14ac:dyDescent="0.25">
      <c r="A434" s="7" t="s">
        <v>4589</v>
      </c>
      <c r="B434" s="6" t="s">
        <v>4590</v>
      </c>
      <c r="C434" s="7" t="s">
        <v>7</v>
      </c>
      <c r="D434" s="6" t="s">
        <v>8</v>
      </c>
      <c r="E434" s="6" t="s">
        <v>9</v>
      </c>
      <c r="F434" s="6" t="s">
        <v>10</v>
      </c>
      <c r="G434" s="6" t="s">
        <v>3047</v>
      </c>
      <c r="H434" s="6">
        <v>4.83</v>
      </c>
    </row>
    <row r="435" spans="1:8" x14ac:dyDescent="0.25">
      <c r="A435" s="1" t="s">
        <v>2385</v>
      </c>
      <c r="B435" t="s">
        <v>2386</v>
      </c>
      <c r="C435" s="1" t="s">
        <v>684</v>
      </c>
      <c r="D435" t="s">
        <v>685</v>
      </c>
      <c r="E435" t="s">
        <v>686</v>
      </c>
      <c r="F435" t="s">
        <v>49</v>
      </c>
      <c r="G435" t="s">
        <v>4639</v>
      </c>
      <c r="H435">
        <v>100</v>
      </c>
    </row>
    <row r="436" spans="1:8" x14ac:dyDescent="0.25">
      <c r="A436" s="7" t="s">
        <v>2385</v>
      </c>
      <c r="B436" s="6" t="s">
        <v>2386</v>
      </c>
      <c r="C436" s="7" t="s">
        <v>7</v>
      </c>
      <c r="D436" s="6" t="s">
        <v>8</v>
      </c>
      <c r="E436" s="6" t="s">
        <v>9</v>
      </c>
      <c r="F436" s="6" t="s">
        <v>10</v>
      </c>
      <c r="G436" s="6" t="s">
        <v>1027</v>
      </c>
      <c r="H436" s="6">
        <v>52.9</v>
      </c>
    </row>
    <row r="437" spans="1:8" x14ac:dyDescent="0.25">
      <c r="A437" s="1" t="s">
        <v>2388</v>
      </c>
      <c r="B437" t="s">
        <v>2389</v>
      </c>
      <c r="C437" s="1" t="s">
        <v>2703</v>
      </c>
      <c r="D437" t="s">
        <v>2704</v>
      </c>
      <c r="E437" t="s">
        <v>216</v>
      </c>
      <c r="F437" t="s">
        <v>17</v>
      </c>
      <c r="G437" t="s">
        <v>4640</v>
      </c>
      <c r="H437">
        <v>1</v>
      </c>
    </row>
    <row r="438" spans="1:8" x14ac:dyDescent="0.25">
      <c r="A438" s="7" t="s">
        <v>2388</v>
      </c>
      <c r="B438" s="6" t="s">
        <v>2389</v>
      </c>
      <c r="C438" s="7" t="s">
        <v>2705</v>
      </c>
      <c r="D438" s="6" t="s">
        <v>2706</v>
      </c>
      <c r="E438" s="6" t="s">
        <v>2707</v>
      </c>
      <c r="F438" s="6" t="s">
        <v>49</v>
      </c>
      <c r="G438" s="6" t="s">
        <v>50</v>
      </c>
      <c r="H438" s="6">
        <v>67</v>
      </c>
    </row>
    <row r="439" spans="1:8" x14ac:dyDescent="0.25">
      <c r="A439" s="1" t="s">
        <v>2388</v>
      </c>
      <c r="B439" t="s">
        <v>2389</v>
      </c>
      <c r="C439" s="1" t="s">
        <v>7</v>
      </c>
      <c r="D439" t="s">
        <v>8</v>
      </c>
      <c r="E439" t="s">
        <v>9</v>
      </c>
      <c r="F439" t="s">
        <v>10</v>
      </c>
      <c r="G439" t="s">
        <v>344</v>
      </c>
      <c r="H439">
        <v>5.5</v>
      </c>
    </row>
    <row r="440" spans="1:8" x14ac:dyDescent="0.25">
      <c r="A440" s="7" t="s">
        <v>2391</v>
      </c>
      <c r="B440" s="6" t="s">
        <v>2392</v>
      </c>
      <c r="C440" s="7" t="s">
        <v>4641</v>
      </c>
      <c r="D440" s="6" t="s">
        <v>4642</v>
      </c>
      <c r="E440" s="6" t="s">
        <v>4643</v>
      </c>
      <c r="F440" s="6" t="s">
        <v>39</v>
      </c>
      <c r="G440" s="6" t="s">
        <v>40</v>
      </c>
      <c r="H440" s="6">
        <v>0.12</v>
      </c>
    </row>
    <row r="441" spans="1:8" x14ac:dyDescent="0.25">
      <c r="A441" s="1" t="s">
        <v>2391</v>
      </c>
      <c r="B441" t="s">
        <v>2392</v>
      </c>
      <c r="C441" s="1" t="s">
        <v>2688</v>
      </c>
      <c r="D441" t="s">
        <v>2689</v>
      </c>
      <c r="E441" t="s">
        <v>2690</v>
      </c>
      <c r="F441" t="s">
        <v>39</v>
      </c>
      <c r="G441" t="s">
        <v>447</v>
      </c>
      <c r="H441">
        <v>0.33</v>
      </c>
    </row>
    <row r="442" spans="1:8" x14ac:dyDescent="0.25">
      <c r="A442" s="7" t="s">
        <v>2391</v>
      </c>
      <c r="B442" s="6" t="s">
        <v>2392</v>
      </c>
      <c r="C442" s="7" t="s">
        <v>649</v>
      </c>
      <c r="D442" s="6" t="s">
        <v>650</v>
      </c>
      <c r="E442" s="6" t="s">
        <v>2303</v>
      </c>
      <c r="F442" s="6" t="s">
        <v>39</v>
      </c>
      <c r="G442" s="6" t="s">
        <v>40</v>
      </c>
      <c r="H442" s="6">
        <v>0.09</v>
      </c>
    </row>
    <row r="443" spans="1:8" x14ac:dyDescent="0.25">
      <c r="A443" s="1" t="s">
        <v>2391</v>
      </c>
      <c r="B443" t="s">
        <v>2392</v>
      </c>
      <c r="C443" s="1" t="s">
        <v>2691</v>
      </c>
      <c r="D443" t="s">
        <v>2692</v>
      </c>
      <c r="E443" t="s">
        <v>2916</v>
      </c>
      <c r="F443" t="s">
        <v>1965</v>
      </c>
      <c r="G443" t="s">
        <v>40</v>
      </c>
      <c r="H443">
        <v>0.03</v>
      </c>
    </row>
    <row r="444" spans="1:8" x14ac:dyDescent="0.25">
      <c r="A444" s="7" t="s">
        <v>2391</v>
      </c>
      <c r="B444" s="6" t="s">
        <v>2392</v>
      </c>
      <c r="C444" s="7" t="s">
        <v>2694</v>
      </c>
      <c r="D444" s="6" t="s">
        <v>2695</v>
      </c>
      <c r="E444" s="6" t="s">
        <v>2112</v>
      </c>
      <c r="F444" s="6" t="s">
        <v>39</v>
      </c>
      <c r="G444" s="6" t="s">
        <v>40</v>
      </c>
      <c r="H444" s="6">
        <v>0.16</v>
      </c>
    </row>
    <row r="445" spans="1:8" x14ac:dyDescent="0.25">
      <c r="A445" s="1" t="s">
        <v>2391</v>
      </c>
      <c r="B445" t="s">
        <v>2392</v>
      </c>
      <c r="C445" s="1" t="s">
        <v>2343</v>
      </c>
      <c r="D445" t="s">
        <v>2344</v>
      </c>
      <c r="E445" t="s">
        <v>2345</v>
      </c>
      <c r="F445" t="s">
        <v>39</v>
      </c>
      <c r="G445" t="s">
        <v>40</v>
      </c>
      <c r="H445">
        <v>0.05</v>
      </c>
    </row>
    <row r="446" spans="1:8" x14ac:dyDescent="0.25">
      <c r="A446" s="7" t="s">
        <v>2391</v>
      </c>
      <c r="B446" s="6" t="s">
        <v>2392</v>
      </c>
      <c r="C446" s="7" t="s">
        <v>2375</v>
      </c>
      <c r="D446" s="6" t="s">
        <v>2376</v>
      </c>
      <c r="E446" s="6" t="s">
        <v>2377</v>
      </c>
      <c r="F446" s="6" t="s">
        <v>2378</v>
      </c>
      <c r="G446" s="6" t="s">
        <v>2838</v>
      </c>
      <c r="H446" s="6">
        <v>10.55</v>
      </c>
    </row>
    <row r="447" spans="1:8" x14ac:dyDescent="0.25">
      <c r="A447" s="1" t="s">
        <v>2391</v>
      </c>
      <c r="B447" t="s">
        <v>2392</v>
      </c>
      <c r="C447" s="1" t="s">
        <v>2917</v>
      </c>
      <c r="D447" t="s">
        <v>2918</v>
      </c>
      <c r="E447" t="s">
        <v>2346</v>
      </c>
      <c r="F447" t="s">
        <v>121</v>
      </c>
      <c r="G447" t="s">
        <v>50</v>
      </c>
      <c r="H447">
        <v>0.45</v>
      </c>
    </row>
    <row r="448" spans="1:8" x14ac:dyDescent="0.25">
      <c r="A448" s="7" t="s">
        <v>2391</v>
      </c>
      <c r="B448" s="6" t="s">
        <v>2392</v>
      </c>
      <c r="C448" s="7" t="s">
        <v>41</v>
      </c>
      <c r="D448" s="6" t="s">
        <v>42</v>
      </c>
      <c r="E448" s="6" t="s">
        <v>43</v>
      </c>
      <c r="F448" s="6" t="s">
        <v>5</v>
      </c>
      <c r="G448" s="6" t="s">
        <v>550</v>
      </c>
      <c r="H448" s="6">
        <v>0.02</v>
      </c>
    </row>
    <row r="449" spans="1:8" x14ac:dyDescent="0.25">
      <c r="A449" s="1" t="s">
        <v>2391</v>
      </c>
      <c r="B449" t="s">
        <v>2392</v>
      </c>
      <c r="C449" s="1" t="s">
        <v>2919</v>
      </c>
      <c r="D449" t="s">
        <v>2920</v>
      </c>
      <c r="E449" t="s">
        <v>2921</v>
      </c>
      <c r="F449" t="s">
        <v>49</v>
      </c>
      <c r="G449" t="s">
        <v>50</v>
      </c>
      <c r="H449">
        <v>1.9</v>
      </c>
    </row>
    <row r="450" spans="1:8" x14ac:dyDescent="0.25">
      <c r="A450" s="7" t="s">
        <v>2391</v>
      </c>
      <c r="B450" s="6" t="s">
        <v>2392</v>
      </c>
      <c r="C450" s="7" t="s">
        <v>2922</v>
      </c>
      <c r="D450" s="6" t="s">
        <v>2923</v>
      </c>
      <c r="E450" s="6" t="s">
        <v>1009</v>
      </c>
      <c r="F450" s="6" t="s">
        <v>49</v>
      </c>
      <c r="G450" s="6" t="s">
        <v>50</v>
      </c>
      <c r="H450" s="6">
        <v>0.25</v>
      </c>
    </row>
    <row r="451" spans="1:8" x14ac:dyDescent="0.25">
      <c r="A451" s="1" t="s">
        <v>2391</v>
      </c>
      <c r="B451" t="s">
        <v>2392</v>
      </c>
      <c r="C451" s="1" t="s">
        <v>4644</v>
      </c>
      <c r="D451" t="s">
        <v>4645</v>
      </c>
      <c r="E451" t="s">
        <v>2329</v>
      </c>
      <c r="F451" t="s">
        <v>49</v>
      </c>
      <c r="G451" t="s">
        <v>50</v>
      </c>
      <c r="H451">
        <v>0.6</v>
      </c>
    </row>
    <row r="452" spans="1:8" x14ac:dyDescent="0.25">
      <c r="A452" s="7" t="s">
        <v>2391</v>
      </c>
      <c r="B452" s="6" t="s">
        <v>2392</v>
      </c>
      <c r="C452" s="7" t="s">
        <v>2056</v>
      </c>
      <c r="D452" s="6" t="s">
        <v>2057</v>
      </c>
      <c r="E452" s="6" t="s">
        <v>2058</v>
      </c>
      <c r="F452" s="6" t="s">
        <v>49</v>
      </c>
      <c r="G452" s="6" t="s">
        <v>50</v>
      </c>
      <c r="H452" s="6">
        <v>4.3499999999999996</v>
      </c>
    </row>
    <row r="453" spans="1:8" x14ac:dyDescent="0.25">
      <c r="A453" s="1" t="s">
        <v>2391</v>
      </c>
      <c r="B453" t="s">
        <v>2392</v>
      </c>
      <c r="C453" s="1" t="s">
        <v>2060</v>
      </c>
      <c r="D453" t="s">
        <v>2061</v>
      </c>
      <c r="E453" t="s">
        <v>2062</v>
      </c>
      <c r="F453" t="s">
        <v>49</v>
      </c>
      <c r="G453" t="s">
        <v>50</v>
      </c>
      <c r="H453">
        <v>17.149999999999999</v>
      </c>
    </row>
    <row r="454" spans="1:8" x14ac:dyDescent="0.25">
      <c r="A454" s="7" t="s">
        <v>2391</v>
      </c>
      <c r="B454" s="6" t="s">
        <v>2392</v>
      </c>
      <c r="C454" s="7" t="s">
        <v>7</v>
      </c>
      <c r="D454" s="6" t="s">
        <v>8</v>
      </c>
      <c r="E454" s="6" t="s">
        <v>9</v>
      </c>
      <c r="F454" s="6" t="s">
        <v>10</v>
      </c>
      <c r="G454" s="6" t="s">
        <v>4283</v>
      </c>
      <c r="H454" s="6">
        <v>39.1</v>
      </c>
    </row>
    <row r="455" spans="1:8" x14ac:dyDescent="0.25">
      <c r="A455" s="1" t="s">
        <v>2394</v>
      </c>
      <c r="B455" t="s">
        <v>2395</v>
      </c>
      <c r="C455" s="1" t="s">
        <v>1345</v>
      </c>
      <c r="D455" t="s">
        <v>1346</v>
      </c>
      <c r="E455" t="s">
        <v>1347</v>
      </c>
      <c r="F455" t="s">
        <v>5</v>
      </c>
      <c r="G455" t="s">
        <v>4646</v>
      </c>
      <c r="H455">
        <v>0.72</v>
      </c>
    </row>
    <row r="456" spans="1:8" x14ac:dyDescent="0.25">
      <c r="A456" s="7" t="s">
        <v>2394</v>
      </c>
      <c r="B456" s="6" t="s">
        <v>2395</v>
      </c>
      <c r="C456" s="7" t="s">
        <v>7</v>
      </c>
      <c r="D456" s="6" t="s">
        <v>8</v>
      </c>
      <c r="E456" s="6" t="s">
        <v>9</v>
      </c>
      <c r="F456" s="6" t="s">
        <v>10</v>
      </c>
      <c r="G456" s="6" t="s">
        <v>478</v>
      </c>
      <c r="H456" s="6">
        <v>3.68</v>
      </c>
    </row>
    <row r="457" spans="1:8" x14ac:dyDescent="0.25">
      <c r="A457" s="1" t="s">
        <v>707</v>
      </c>
      <c r="B457" t="s">
        <v>708</v>
      </c>
      <c r="C457" s="1" t="s">
        <v>1022</v>
      </c>
      <c r="D457" t="s">
        <v>1023</v>
      </c>
      <c r="E457" t="s">
        <v>1024</v>
      </c>
      <c r="F457" t="s">
        <v>932</v>
      </c>
      <c r="G457" t="s">
        <v>4699</v>
      </c>
      <c r="H457">
        <v>9</v>
      </c>
    </row>
    <row r="458" spans="1:8" x14ac:dyDescent="0.25">
      <c r="A458" s="7" t="s">
        <v>707</v>
      </c>
      <c r="B458" s="6" t="s">
        <v>708</v>
      </c>
      <c r="C458" s="7" t="s">
        <v>7</v>
      </c>
      <c r="D458" s="6" t="s">
        <v>8</v>
      </c>
      <c r="E458" s="6" t="s">
        <v>9</v>
      </c>
      <c r="F458" s="6" t="s">
        <v>10</v>
      </c>
      <c r="G458" s="6" t="s">
        <v>4700</v>
      </c>
      <c r="H458" s="6">
        <v>15.5</v>
      </c>
    </row>
    <row r="459" spans="1:8" x14ac:dyDescent="0.25">
      <c r="A459" s="1" t="s">
        <v>710</v>
      </c>
      <c r="B459" t="s">
        <v>711</v>
      </c>
      <c r="C459" s="1" t="s">
        <v>1022</v>
      </c>
      <c r="D459" t="s">
        <v>1023</v>
      </c>
      <c r="E459" t="s">
        <v>1024</v>
      </c>
      <c r="F459" t="s">
        <v>932</v>
      </c>
      <c r="G459" t="s">
        <v>4701</v>
      </c>
      <c r="H459">
        <v>5.2</v>
      </c>
    </row>
    <row r="460" spans="1:8" x14ac:dyDescent="0.25">
      <c r="A460" s="7" t="s">
        <v>710</v>
      </c>
      <c r="B460" s="6" t="s">
        <v>711</v>
      </c>
      <c r="C460" s="7" t="s">
        <v>7</v>
      </c>
      <c r="D460" s="6" t="s">
        <v>1031</v>
      </c>
      <c r="E460" s="6" t="s">
        <v>9</v>
      </c>
      <c r="F460" s="6" t="s">
        <v>10</v>
      </c>
      <c r="G460" s="6" t="s">
        <v>4702</v>
      </c>
      <c r="H460" s="6">
        <v>19.8</v>
      </c>
    </row>
    <row r="461" spans="1:8" x14ac:dyDescent="0.25">
      <c r="A461" s="1" t="s">
        <v>729</v>
      </c>
      <c r="B461" t="s">
        <v>730</v>
      </c>
      <c r="C461" s="1" t="s">
        <v>1022</v>
      </c>
      <c r="D461" t="s">
        <v>1023</v>
      </c>
      <c r="E461" t="s">
        <v>1024</v>
      </c>
      <c r="F461" t="s">
        <v>932</v>
      </c>
      <c r="G461" t="s">
        <v>4703</v>
      </c>
      <c r="H461">
        <v>15.8</v>
      </c>
    </row>
    <row r="462" spans="1:8" x14ac:dyDescent="0.25">
      <c r="A462" s="7" t="s">
        <v>729</v>
      </c>
      <c r="B462" s="6" t="s">
        <v>730</v>
      </c>
      <c r="C462" s="7" t="s">
        <v>7</v>
      </c>
      <c r="D462" s="6" t="s">
        <v>1031</v>
      </c>
      <c r="E462" s="6" t="s">
        <v>9</v>
      </c>
      <c r="F462" s="6" t="s">
        <v>10</v>
      </c>
      <c r="G462" s="6" t="s">
        <v>4704</v>
      </c>
      <c r="H462" s="6">
        <v>18.5</v>
      </c>
    </row>
    <row r="463" spans="1:8" x14ac:dyDescent="0.25">
      <c r="A463" s="1" t="s">
        <v>713</v>
      </c>
      <c r="B463" t="s">
        <v>714</v>
      </c>
      <c r="C463" s="1" t="s">
        <v>1345</v>
      </c>
      <c r="D463" t="s">
        <v>1346</v>
      </c>
      <c r="E463" t="s">
        <v>1369</v>
      </c>
      <c r="F463" t="s">
        <v>5</v>
      </c>
      <c r="G463" t="s">
        <v>4705</v>
      </c>
      <c r="H463">
        <v>1.35</v>
      </c>
    </row>
    <row r="464" spans="1:8" x14ac:dyDescent="0.25">
      <c r="A464" s="7" t="s">
        <v>713</v>
      </c>
      <c r="B464" s="6" t="s">
        <v>714</v>
      </c>
      <c r="C464" s="7" t="s">
        <v>7</v>
      </c>
      <c r="D464" s="6" t="s">
        <v>8</v>
      </c>
      <c r="E464" s="6" t="s">
        <v>9</v>
      </c>
      <c r="F464" s="6" t="s">
        <v>10</v>
      </c>
      <c r="G464" s="6" t="s">
        <v>1114</v>
      </c>
      <c r="H464" s="6">
        <v>3.15</v>
      </c>
    </row>
    <row r="465" spans="1:8" x14ac:dyDescent="0.25">
      <c r="A465" s="1" t="s">
        <v>715</v>
      </c>
      <c r="B465" t="s">
        <v>716</v>
      </c>
      <c r="C465" s="1" t="s">
        <v>1345</v>
      </c>
      <c r="D465" t="s">
        <v>1346</v>
      </c>
      <c r="E465" t="s">
        <v>1369</v>
      </c>
      <c r="F465" t="s">
        <v>5</v>
      </c>
      <c r="G465" t="s">
        <v>4705</v>
      </c>
      <c r="H465">
        <v>1.35</v>
      </c>
    </row>
    <row r="466" spans="1:8" x14ac:dyDescent="0.25">
      <c r="A466" s="7" t="s">
        <v>715</v>
      </c>
      <c r="B466" s="6" t="s">
        <v>716</v>
      </c>
      <c r="C466" s="7" t="s">
        <v>7</v>
      </c>
      <c r="D466" s="6" t="s">
        <v>8</v>
      </c>
      <c r="E466" s="6" t="s">
        <v>9</v>
      </c>
      <c r="F466" s="6" t="s">
        <v>10</v>
      </c>
      <c r="G466" s="6" t="s">
        <v>1114</v>
      </c>
      <c r="H466" s="6">
        <v>3.15</v>
      </c>
    </row>
    <row r="467" spans="1:8" x14ac:dyDescent="0.25">
      <c r="A467" s="1" t="s">
        <v>717</v>
      </c>
      <c r="B467" t="s">
        <v>718</v>
      </c>
      <c r="C467" s="1" t="s">
        <v>1345</v>
      </c>
      <c r="D467" t="s">
        <v>1346</v>
      </c>
      <c r="E467" t="s">
        <v>1369</v>
      </c>
      <c r="F467" t="s">
        <v>5</v>
      </c>
      <c r="G467" t="s">
        <v>4706</v>
      </c>
      <c r="H467">
        <v>0.7</v>
      </c>
    </row>
    <row r="468" spans="1:8" x14ac:dyDescent="0.25">
      <c r="A468" s="7" t="s">
        <v>717</v>
      </c>
      <c r="B468" s="6" t="s">
        <v>718</v>
      </c>
      <c r="C468" s="7" t="s">
        <v>7</v>
      </c>
      <c r="D468" s="6" t="s">
        <v>8</v>
      </c>
      <c r="E468" s="6" t="s">
        <v>9</v>
      </c>
      <c r="F468" s="6" t="s">
        <v>10</v>
      </c>
      <c r="G468" s="6" t="s">
        <v>1114</v>
      </c>
      <c r="H468" s="6">
        <v>3.15</v>
      </c>
    </row>
    <row r="469" spans="1:8" x14ac:dyDescent="0.25">
      <c r="A469" s="1" t="s">
        <v>719</v>
      </c>
      <c r="B469" t="s">
        <v>720</v>
      </c>
      <c r="C469" s="1" t="s">
        <v>1022</v>
      </c>
      <c r="D469" t="s">
        <v>1023</v>
      </c>
      <c r="E469" t="s">
        <v>1024</v>
      </c>
      <c r="F469" t="s">
        <v>932</v>
      </c>
      <c r="G469" t="s">
        <v>4707</v>
      </c>
      <c r="H469">
        <v>10.8</v>
      </c>
    </row>
    <row r="470" spans="1:8" x14ac:dyDescent="0.25">
      <c r="A470" s="7" t="s">
        <v>719</v>
      </c>
      <c r="B470" s="6" t="s">
        <v>720</v>
      </c>
      <c r="C470" s="7" t="s">
        <v>7</v>
      </c>
      <c r="D470" s="6" t="s">
        <v>1031</v>
      </c>
      <c r="E470" s="6" t="s">
        <v>9</v>
      </c>
      <c r="F470" s="6" t="s">
        <v>10</v>
      </c>
      <c r="G470" s="6" t="s">
        <v>4708</v>
      </c>
      <c r="H470" s="6">
        <v>17.3</v>
      </c>
    </row>
    <row r="471" spans="1:8" x14ac:dyDescent="0.25">
      <c r="A471" s="1" t="s">
        <v>745</v>
      </c>
      <c r="B471" t="s">
        <v>746</v>
      </c>
      <c r="C471" s="1" t="s">
        <v>1022</v>
      </c>
      <c r="D471" t="s">
        <v>1023</v>
      </c>
      <c r="E471" t="s">
        <v>1024</v>
      </c>
      <c r="F471" t="s">
        <v>932</v>
      </c>
      <c r="G471" t="s">
        <v>1574</v>
      </c>
      <c r="H471">
        <v>16</v>
      </c>
    </row>
    <row r="472" spans="1:8" x14ac:dyDescent="0.25">
      <c r="A472" s="7" t="s">
        <v>745</v>
      </c>
      <c r="B472" s="6" t="s">
        <v>746</v>
      </c>
      <c r="C472" s="7" t="s">
        <v>7</v>
      </c>
      <c r="D472" s="6" t="s">
        <v>8</v>
      </c>
      <c r="E472" s="6" t="s">
        <v>9</v>
      </c>
      <c r="F472" s="6" t="s">
        <v>10</v>
      </c>
      <c r="G472" s="6" t="s">
        <v>4713</v>
      </c>
      <c r="H472" s="6">
        <v>12.65</v>
      </c>
    </row>
    <row r="473" spans="1:8" x14ac:dyDescent="0.25">
      <c r="A473" s="1" t="s">
        <v>745</v>
      </c>
      <c r="B473" t="s">
        <v>746</v>
      </c>
      <c r="C473" s="1" t="s">
        <v>7</v>
      </c>
      <c r="D473" t="s">
        <v>8</v>
      </c>
      <c r="E473" t="s">
        <v>9</v>
      </c>
      <c r="F473" t="s">
        <v>10</v>
      </c>
      <c r="G473" t="s">
        <v>601</v>
      </c>
      <c r="H473">
        <v>6.9</v>
      </c>
    </row>
    <row r="474" spans="1:8" x14ac:dyDescent="0.25">
      <c r="A474" s="7" t="s">
        <v>748</v>
      </c>
      <c r="B474" s="6" t="s">
        <v>749</v>
      </c>
      <c r="C474" s="7" t="s">
        <v>1345</v>
      </c>
      <c r="D474" s="6" t="s">
        <v>1346</v>
      </c>
      <c r="E474" s="6" t="s">
        <v>1369</v>
      </c>
      <c r="F474" s="6" t="s">
        <v>5</v>
      </c>
      <c r="G474" s="6" t="s">
        <v>4714</v>
      </c>
      <c r="H474" s="6">
        <v>2.15</v>
      </c>
    </row>
    <row r="475" spans="1:8" x14ac:dyDescent="0.25">
      <c r="A475" s="1" t="s">
        <v>748</v>
      </c>
      <c r="B475" t="s">
        <v>749</v>
      </c>
      <c r="C475" s="1" t="s">
        <v>7</v>
      </c>
      <c r="D475" t="s">
        <v>8</v>
      </c>
      <c r="E475" t="s">
        <v>9</v>
      </c>
      <c r="F475" t="s">
        <v>10</v>
      </c>
      <c r="G475" t="s">
        <v>1114</v>
      </c>
      <c r="H475">
        <v>3.15</v>
      </c>
    </row>
    <row r="476" spans="1:8" x14ac:dyDescent="0.25">
      <c r="A476" s="7" t="s">
        <v>751</v>
      </c>
      <c r="B476" s="6" t="s">
        <v>752</v>
      </c>
      <c r="C476" s="7" t="s">
        <v>1345</v>
      </c>
      <c r="D476" s="6" t="s">
        <v>1346</v>
      </c>
      <c r="E476" s="6" t="s">
        <v>1369</v>
      </c>
      <c r="F476" s="6" t="s">
        <v>5</v>
      </c>
      <c r="G476" s="6" t="s">
        <v>4714</v>
      </c>
      <c r="H476" s="6">
        <v>2.15</v>
      </c>
    </row>
    <row r="477" spans="1:8" x14ac:dyDescent="0.25">
      <c r="A477" s="1" t="s">
        <v>751</v>
      </c>
      <c r="B477" t="s">
        <v>752</v>
      </c>
      <c r="C477" s="1" t="s">
        <v>7</v>
      </c>
      <c r="D477" t="s">
        <v>8</v>
      </c>
      <c r="E477" t="s">
        <v>9</v>
      </c>
      <c r="F477" t="s">
        <v>10</v>
      </c>
      <c r="G477" t="s">
        <v>1114</v>
      </c>
      <c r="H477">
        <v>3.15</v>
      </c>
    </row>
    <row r="478" spans="1:8" x14ac:dyDescent="0.25">
      <c r="A478" s="7" t="s">
        <v>753</v>
      </c>
      <c r="B478" s="6" t="s">
        <v>754</v>
      </c>
      <c r="C478" s="7" t="s">
        <v>1345</v>
      </c>
      <c r="D478" s="6" t="s">
        <v>1346</v>
      </c>
      <c r="E478" s="6" t="s">
        <v>1369</v>
      </c>
      <c r="F478" s="6" t="s">
        <v>5</v>
      </c>
      <c r="G478" s="6" t="s">
        <v>4715</v>
      </c>
      <c r="H478" s="6">
        <v>0.85</v>
      </c>
    </row>
    <row r="479" spans="1:8" x14ac:dyDescent="0.25">
      <c r="A479" s="1" t="s">
        <v>753</v>
      </c>
      <c r="B479" t="s">
        <v>754</v>
      </c>
      <c r="C479" s="1" t="s">
        <v>7</v>
      </c>
      <c r="D479" t="s">
        <v>8</v>
      </c>
      <c r="E479" t="s">
        <v>9</v>
      </c>
      <c r="F479" t="s">
        <v>10</v>
      </c>
      <c r="G479" t="s">
        <v>1351</v>
      </c>
      <c r="H479">
        <v>2.9</v>
      </c>
    </row>
    <row r="480" spans="1:8" x14ac:dyDescent="0.25">
      <c r="A480" s="7" t="s">
        <v>756</v>
      </c>
      <c r="B480" s="6" t="s">
        <v>757</v>
      </c>
      <c r="C480" s="7" t="s">
        <v>1022</v>
      </c>
      <c r="D480" s="6" t="s">
        <v>1023</v>
      </c>
      <c r="E480" s="6" t="s">
        <v>1024</v>
      </c>
      <c r="F480" s="6" t="s">
        <v>932</v>
      </c>
      <c r="G480" s="6" t="s">
        <v>4716</v>
      </c>
      <c r="H480" s="6">
        <v>4.5999999999999996</v>
      </c>
    </row>
    <row r="481" spans="1:8" x14ac:dyDescent="0.25">
      <c r="A481" s="1" t="s">
        <v>756</v>
      </c>
      <c r="B481" t="s">
        <v>757</v>
      </c>
      <c r="C481" s="1" t="s">
        <v>7</v>
      </c>
      <c r="D481" t="s">
        <v>1031</v>
      </c>
      <c r="E481" t="s">
        <v>9</v>
      </c>
      <c r="F481" t="s">
        <v>10</v>
      </c>
      <c r="G481" t="s">
        <v>4717</v>
      </c>
      <c r="H481">
        <v>16.149999999999999</v>
      </c>
    </row>
    <row r="482" spans="1:8" x14ac:dyDescent="0.25">
      <c r="A482" s="7" t="s">
        <v>759</v>
      </c>
      <c r="B482" s="6" t="s">
        <v>760</v>
      </c>
      <c r="C482" s="7" t="s">
        <v>1022</v>
      </c>
      <c r="D482" s="6" t="s">
        <v>1023</v>
      </c>
      <c r="E482" s="6" t="s">
        <v>1024</v>
      </c>
      <c r="F482" s="6" t="s">
        <v>932</v>
      </c>
      <c r="G482" s="6" t="s">
        <v>4718</v>
      </c>
      <c r="H482" s="6">
        <v>17.399999999999999</v>
      </c>
    </row>
    <row r="483" spans="1:8" x14ac:dyDescent="0.25">
      <c r="A483" s="1" t="s">
        <v>759</v>
      </c>
      <c r="B483" t="s">
        <v>760</v>
      </c>
      <c r="C483" s="1" t="s">
        <v>7</v>
      </c>
      <c r="D483" t="s">
        <v>1031</v>
      </c>
      <c r="E483" t="s">
        <v>9</v>
      </c>
      <c r="F483" t="s">
        <v>10</v>
      </c>
      <c r="G483" t="s">
        <v>4719</v>
      </c>
      <c r="H483">
        <v>21.35</v>
      </c>
    </row>
    <row r="484" spans="1:8" x14ac:dyDescent="0.25">
      <c r="A484" s="7" t="s">
        <v>2040</v>
      </c>
      <c r="B484" s="6" t="s">
        <v>2041</v>
      </c>
      <c r="C484" s="7" t="s">
        <v>1207</v>
      </c>
      <c r="D484" s="6" t="s">
        <v>1208</v>
      </c>
      <c r="E484" s="6" t="s">
        <v>1017</v>
      </c>
      <c r="F484" s="6" t="s">
        <v>5</v>
      </c>
      <c r="G484" s="6" t="s">
        <v>3392</v>
      </c>
      <c r="H484" s="6">
        <v>0.4</v>
      </c>
    </row>
    <row r="485" spans="1:8" x14ac:dyDescent="0.25">
      <c r="A485" s="1" t="s">
        <v>2040</v>
      </c>
      <c r="B485" t="s">
        <v>2041</v>
      </c>
      <c r="C485" s="1" t="s">
        <v>7</v>
      </c>
      <c r="D485" t="s">
        <v>8</v>
      </c>
      <c r="E485" t="s">
        <v>9</v>
      </c>
      <c r="F485" t="s">
        <v>10</v>
      </c>
      <c r="G485" t="s">
        <v>4720</v>
      </c>
      <c r="H485">
        <v>13.9</v>
      </c>
    </row>
    <row r="486" spans="1:8" x14ac:dyDescent="0.25">
      <c r="A486" s="7" t="s">
        <v>768</v>
      </c>
      <c r="B486" s="6" t="s">
        <v>769</v>
      </c>
      <c r="C486" s="7" t="s">
        <v>1022</v>
      </c>
      <c r="D486" s="6" t="s">
        <v>1023</v>
      </c>
      <c r="E486" s="6" t="s">
        <v>1024</v>
      </c>
      <c r="F486" s="6" t="s">
        <v>932</v>
      </c>
      <c r="G486" s="6" t="s">
        <v>4721</v>
      </c>
      <c r="H486" s="6">
        <v>9.5500000000000007</v>
      </c>
    </row>
    <row r="487" spans="1:8" x14ac:dyDescent="0.25">
      <c r="A487" s="1" t="s">
        <v>768</v>
      </c>
      <c r="B487" t="s">
        <v>769</v>
      </c>
      <c r="C487" s="1" t="s">
        <v>7</v>
      </c>
      <c r="D487" t="s">
        <v>1031</v>
      </c>
      <c r="E487" t="s">
        <v>9</v>
      </c>
      <c r="F487" t="s">
        <v>10</v>
      </c>
      <c r="G487" t="s">
        <v>607</v>
      </c>
      <c r="H487">
        <v>18.399999999999999</v>
      </c>
    </row>
    <row r="488" spans="1:8" x14ac:dyDescent="0.25">
      <c r="A488" s="7" t="s">
        <v>771</v>
      </c>
      <c r="B488" s="6" t="s">
        <v>772</v>
      </c>
      <c r="C488" s="7" t="s">
        <v>1022</v>
      </c>
      <c r="D488" s="6" t="s">
        <v>1023</v>
      </c>
      <c r="E488" s="6" t="s">
        <v>1024</v>
      </c>
      <c r="F488" s="6" t="s">
        <v>932</v>
      </c>
      <c r="G488" s="6" t="s">
        <v>92</v>
      </c>
      <c r="H488" s="6">
        <v>27.8</v>
      </c>
    </row>
    <row r="489" spans="1:8" x14ac:dyDescent="0.25">
      <c r="A489" s="1" t="s">
        <v>771</v>
      </c>
      <c r="B489" t="s">
        <v>772</v>
      </c>
      <c r="C489" s="1" t="s">
        <v>7</v>
      </c>
      <c r="D489" t="s">
        <v>8</v>
      </c>
      <c r="E489" t="s">
        <v>9</v>
      </c>
      <c r="F489" t="s">
        <v>10</v>
      </c>
      <c r="G489" t="s">
        <v>4722</v>
      </c>
      <c r="H489">
        <v>22.75</v>
      </c>
    </row>
    <row r="490" spans="1:8" x14ac:dyDescent="0.25">
      <c r="A490" s="7" t="s">
        <v>774</v>
      </c>
      <c r="B490" s="6" t="s">
        <v>775</v>
      </c>
      <c r="C490" s="7" t="s">
        <v>1022</v>
      </c>
      <c r="D490" s="6" t="s">
        <v>1023</v>
      </c>
      <c r="E490" s="6" t="s">
        <v>1024</v>
      </c>
      <c r="F490" s="6" t="s">
        <v>932</v>
      </c>
      <c r="G490" s="6" t="s">
        <v>4723</v>
      </c>
      <c r="H490" s="6">
        <v>28.8</v>
      </c>
    </row>
    <row r="491" spans="1:8" x14ac:dyDescent="0.25">
      <c r="A491" s="1" t="s">
        <v>774</v>
      </c>
      <c r="B491" t="s">
        <v>775</v>
      </c>
      <c r="C491" s="1" t="s">
        <v>7</v>
      </c>
      <c r="D491" t="s">
        <v>8</v>
      </c>
      <c r="E491" t="s">
        <v>9</v>
      </c>
      <c r="F491" t="s">
        <v>10</v>
      </c>
      <c r="G491" t="s">
        <v>4724</v>
      </c>
      <c r="H491">
        <v>23.75</v>
      </c>
    </row>
    <row r="492" spans="1:8" x14ac:dyDescent="0.25">
      <c r="A492" s="7" t="s">
        <v>777</v>
      </c>
      <c r="B492" s="6" t="s">
        <v>778</v>
      </c>
      <c r="C492" s="7" t="s">
        <v>1345</v>
      </c>
      <c r="D492" s="6" t="s">
        <v>1346</v>
      </c>
      <c r="E492" s="6" t="s">
        <v>1369</v>
      </c>
      <c r="F492" s="6" t="s">
        <v>5</v>
      </c>
      <c r="G492" s="6" t="s">
        <v>4725</v>
      </c>
      <c r="H492" s="6">
        <v>2.84</v>
      </c>
    </row>
    <row r="493" spans="1:8" x14ac:dyDescent="0.25">
      <c r="A493" s="1" t="s">
        <v>777</v>
      </c>
      <c r="B493" t="s">
        <v>778</v>
      </c>
      <c r="C493" s="1" t="s">
        <v>7</v>
      </c>
      <c r="D493" t="s">
        <v>8</v>
      </c>
      <c r="E493" t="s">
        <v>9</v>
      </c>
      <c r="F493" t="s">
        <v>10</v>
      </c>
      <c r="G493" t="s">
        <v>1114</v>
      </c>
      <c r="H493">
        <v>3.15</v>
      </c>
    </row>
    <row r="494" spans="1:8" x14ac:dyDescent="0.25">
      <c r="A494" s="7" t="s">
        <v>780</v>
      </c>
      <c r="B494" s="6" t="s">
        <v>781</v>
      </c>
      <c r="C494" s="7" t="s">
        <v>1345</v>
      </c>
      <c r="D494" s="6" t="s">
        <v>1346</v>
      </c>
      <c r="E494" s="6" t="s">
        <v>1369</v>
      </c>
      <c r="F494" s="6" t="s">
        <v>5</v>
      </c>
      <c r="G494" s="6" t="s">
        <v>4726</v>
      </c>
      <c r="H494" s="6">
        <v>3.59</v>
      </c>
    </row>
    <row r="495" spans="1:8" x14ac:dyDescent="0.25">
      <c r="A495" s="1" t="s">
        <v>780</v>
      </c>
      <c r="B495" t="s">
        <v>781</v>
      </c>
      <c r="C495" s="1" t="s">
        <v>7</v>
      </c>
      <c r="D495" t="s">
        <v>8</v>
      </c>
      <c r="E495" t="s">
        <v>9</v>
      </c>
      <c r="F495" t="s">
        <v>10</v>
      </c>
      <c r="G495" t="s">
        <v>1114</v>
      </c>
      <c r="H495">
        <v>3.15</v>
      </c>
    </row>
    <row r="496" spans="1:8" x14ac:dyDescent="0.25">
      <c r="A496" s="7" t="s">
        <v>783</v>
      </c>
      <c r="B496" s="6" t="s">
        <v>784</v>
      </c>
      <c r="C496" s="7" t="s">
        <v>1345</v>
      </c>
      <c r="D496" s="6" t="s">
        <v>1346</v>
      </c>
      <c r="E496" s="6" t="s">
        <v>1369</v>
      </c>
      <c r="F496" s="6" t="s">
        <v>5</v>
      </c>
      <c r="G496" s="6" t="s">
        <v>4727</v>
      </c>
      <c r="H496" s="6">
        <v>11.3</v>
      </c>
    </row>
    <row r="497" spans="1:8" x14ac:dyDescent="0.25">
      <c r="A497" s="1" t="s">
        <v>783</v>
      </c>
      <c r="B497" t="s">
        <v>784</v>
      </c>
      <c r="C497" s="1" t="s">
        <v>7</v>
      </c>
      <c r="D497" t="s">
        <v>8</v>
      </c>
      <c r="E497" t="s">
        <v>9</v>
      </c>
      <c r="F497" t="s">
        <v>10</v>
      </c>
      <c r="G497" t="s">
        <v>4728</v>
      </c>
      <c r="H497">
        <v>2.85</v>
      </c>
    </row>
    <row r="498" spans="1:8" x14ac:dyDescent="0.25">
      <c r="A498" s="7" t="s">
        <v>2043</v>
      </c>
      <c r="B498" s="6" t="s">
        <v>2044</v>
      </c>
      <c r="C498" s="7" t="s">
        <v>3715</v>
      </c>
      <c r="D498" s="6" t="s">
        <v>3716</v>
      </c>
      <c r="E498" s="6" t="s">
        <v>3189</v>
      </c>
      <c r="F498" s="6" t="s">
        <v>17</v>
      </c>
      <c r="G498" s="6" t="s">
        <v>4729</v>
      </c>
      <c r="H498" s="6">
        <v>0.43</v>
      </c>
    </row>
    <row r="499" spans="1:8" x14ac:dyDescent="0.25">
      <c r="A499" s="1" t="s">
        <v>2043</v>
      </c>
      <c r="B499" t="s">
        <v>2044</v>
      </c>
      <c r="C499" s="1" t="s">
        <v>7</v>
      </c>
      <c r="D499" t="s">
        <v>8</v>
      </c>
      <c r="E499" t="s">
        <v>9</v>
      </c>
      <c r="F499" t="s">
        <v>10</v>
      </c>
      <c r="G499" t="s">
        <v>367</v>
      </c>
      <c r="H499">
        <v>2.2999999999999998</v>
      </c>
    </row>
    <row r="500" spans="1:8" x14ac:dyDescent="0.25">
      <c r="A500" s="7" t="s">
        <v>980</v>
      </c>
      <c r="B500" s="6" t="s">
        <v>981</v>
      </c>
      <c r="C500" s="7" t="s">
        <v>2</v>
      </c>
      <c r="D500" s="6" t="s">
        <v>3</v>
      </c>
      <c r="E500" s="6" t="s">
        <v>4</v>
      </c>
      <c r="F500" s="6" t="s">
        <v>5</v>
      </c>
      <c r="G500" s="6" t="s">
        <v>4796</v>
      </c>
      <c r="H500" s="6">
        <v>4.8</v>
      </c>
    </row>
    <row r="501" spans="1:8" x14ac:dyDescent="0.25">
      <c r="A501" s="1" t="s">
        <v>980</v>
      </c>
      <c r="B501" t="s">
        <v>981</v>
      </c>
      <c r="C501" s="1" t="s">
        <v>432</v>
      </c>
      <c r="D501" t="s">
        <v>433</v>
      </c>
      <c r="E501" t="s">
        <v>434</v>
      </c>
      <c r="F501" t="s">
        <v>435</v>
      </c>
      <c r="G501" t="s">
        <v>4797</v>
      </c>
      <c r="H501">
        <v>1.55</v>
      </c>
    </row>
    <row r="502" spans="1:8" x14ac:dyDescent="0.25">
      <c r="A502" s="7" t="s">
        <v>980</v>
      </c>
      <c r="B502" s="6" t="s">
        <v>981</v>
      </c>
      <c r="C502" s="7" t="s">
        <v>7</v>
      </c>
      <c r="D502" s="6" t="s">
        <v>8</v>
      </c>
      <c r="E502" s="6" t="s">
        <v>9</v>
      </c>
      <c r="F502" s="6" t="s">
        <v>10</v>
      </c>
      <c r="G502" s="6" t="s">
        <v>4798</v>
      </c>
      <c r="H502" s="6">
        <v>11.65</v>
      </c>
    </row>
    <row r="503" spans="1:8" x14ac:dyDescent="0.25">
      <c r="A503" s="1" t="s">
        <v>817</v>
      </c>
      <c r="B503" t="s">
        <v>4820</v>
      </c>
      <c r="C503" s="1" t="s">
        <v>1249</v>
      </c>
      <c r="D503" t="s">
        <v>1250</v>
      </c>
      <c r="E503" t="s">
        <v>1251</v>
      </c>
      <c r="F503" t="s">
        <v>1252</v>
      </c>
      <c r="G503" t="s">
        <v>4821</v>
      </c>
      <c r="H503">
        <v>13.92</v>
      </c>
    </row>
    <row r="504" spans="1:8" x14ac:dyDescent="0.25">
      <c r="A504" s="7" t="s">
        <v>817</v>
      </c>
      <c r="B504" s="6" t="s">
        <v>4820</v>
      </c>
      <c r="C504" s="7" t="s">
        <v>7</v>
      </c>
      <c r="D504" s="6" t="s">
        <v>1031</v>
      </c>
      <c r="E504" s="6" t="s">
        <v>9</v>
      </c>
      <c r="F504" s="6" t="s">
        <v>10</v>
      </c>
      <c r="G504" s="6" t="s">
        <v>4822</v>
      </c>
      <c r="H504" s="6">
        <v>19.64</v>
      </c>
    </row>
    <row r="505" spans="1:8" x14ac:dyDescent="0.25">
      <c r="A505" s="1" t="s">
        <v>820</v>
      </c>
      <c r="B505" t="s">
        <v>4823</v>
      </c>
      <c r="C505" s="1" t="s">
        <v>1249</v>
      </c>
      <c r="D505" t="s">
        <v>1250</v>
      </c>
      <c r="E505" t="s">
        <v>1251</v>
      </c>
      <c r="F505" t="s">
        <v>1252</v>
      </c>
      <c r="G505" t="s">
        <v>4824</v>
      </c>
      <c r="H505">
        <v>3.36</v>
      </c>
    </row>
    <row r="506" spans="1:8" x14ac:dyDescent="0.25">
      <c r="A506" s="7" t="s">
        <v>820</v>
      </c>
      <c r="B506" s="6" t="s">
        <v>4823</v>
      </c>
      <c r="C506" s="7" t="s">
        <v>7</v>
      </c>
      <c r="D506" s="6" t="s">
        <v>1031</v>
      </c>
      <c r="E506" s="6" t="s">
        <v>9</v>
      </c>
      <c r="F506" s="6" t="s">
        <v>10</v>
      </c>
      <c r="G506" s="6" t="s">
        <v>4825</v>
      </c>
      <c r="H506" s="6">
        <v>16.170000000000002</v>
      </c>
    </row>
    <row r="507" spans="1:8" x14ac:dyDescent="0.25">
      <c r="A507" s="1" t="s">
        <v>4828</v>
      </c>
      <c r="B507" t="s">
        <v>4838</v>
      </c>
      <c r="C507" s="1" t="s">
        <v>1249</v>
      </c>
      <c r="D507" t="s">
        <v>1250</v>
      </c>
      <c r="E507" t="s">
        <v>1251</v>
      </c>
      <c r="F507" t="s">
        <v>1252</v>
      </c>
      <c r="G507" t="s">
        <v>1348</v>
      </c>
      <c r="H507">
        <v>27</v>
      </c>
    </row>
    <row r="508" spans="1:8" x14ac:dyDescent="0.25">
      <c r="A508" s="7" t="s">
        <v>4828</v>
      </c>
      <c r="B508" s="6" t="s">
        <v>4838</v>
      </c>
      <c r="C508" s="7" t="s">
        <v>541</v>
      </c>
      <c r="D508" s="6" t="s">
        <v>542</v>
      </c>
      <c r="E508" s="6" t="s">
        <v>9</v>
      </c>
      <c r="F508" s="6" t="s">
        <v>10</v>
      </c>
      <c r="G508" s="6" t="s">
        <v>4839</v>
      </c>
      <c r="H508" s="6">
        <v>8.08</v>
      </c>
    </row>
    <row r="509" spans="1:8" x14ac:dyDescent="0.25">
      <c r="A509" s="1" t="s">
        <v>4828</v>
      </c>
      <c r="B509" t="s">
        <v>4838</v>
      </c>
      <c r="C509" s="1" t="s">
        <v>541</v>
      </c>
      <c r="D509" t="s">
        <v>542</v>
      </c>
      <c r="E509" t="s">
        <v>9</v>
      </c>
      <c r="F509" t="s">
        <v>10</v>
      </c>
      <c r="G509" t="s">
        <v>992</v>
      </c>
      <c r="H509">
        <v>13.8</v>
      </c>
    </row>
    <row r="510" spans="1:8" x14ac:dyDescent="0.25">
      <c r="A510" s="7" t="s">
        <v>4831</v>
      </c>
      <c r="B510" s="6" t="s">
        <v>4840</v>
      </c>
      <c r="C510" s="7" t="s">
        <v>1249</v>
      </c>
      <c r="D510" s="6" t="s">
        <v>1250</v>
      </c>
      <c r="E510" s="6" t="s">
        <v>1251</v>
      </c>
      <c r="F510" s="6" t="s">
        <v>1252</v>
      </c>
      <c r="G510" s="6" t="s">
        <v>1858</v>
      </c>
      <c r="H510" s="6">
        <v>24</v>
      </c>
    </row>
    <row r="511" spans="1:8" x14ac:dyDescent="0.25">
      <c r="A511" s="1" t="s">
        <v>4831</v>
      </c>
      <c r="B511" t="s">
        <v>4840</v>
      </c>
      <c r="C511" s="1" t="s">
        <v>541</v>
      </c>
      <c r="D511" t="s">
        <v>542</v>
      </c>
      <c r="E511" t="s">
        <v>9</v>
      </c>
      <c r="F511" t="s">
        <v>10</v>
      </c>
      <c r="G511" t="s">
        <v>4839</v>
      </c>
      <c r="H511">
        <v>8.08</v>
      </c>
    </row>
    <row r="512" spans="1:8" x14ac:dyDescent="0.25">
      <c r="A512" s="7" t="s">
        <v>4831</v>
      </c>
      <c r="B512" s="6" t="s">
        <v>4840</v>
      </c>
      <c r="C512" s="7" t="s">
        <v>541</v>
      </c>
      <c r="D512" s="6" t="s">
        <v>542</v>
      </c>
      <c r="E512" s="6" t="s">
        <v>9</v>
      </c>
      <c r="F512" s="6" t="s">
        <v>10</v>
      </c>
      <c r="G512" s="6" t="s">
        <v>4841</v>
      </c>
      <c r="H512" s="6">
        <v>17.809999999999999</v>
      </c>
    </row>
    <row r="513" spans="1:8" x14ac:dyDescent="0.25">
      <c r="A513" s="1" t="s">
        <v>4834</v>
      </c>
      <c r="B513" t="s">
        <v>4842</v>
      </c>
      <c r="C513" s="1" t="s">
        <v>1249</v>
      </c>
      <c r="D513" t="s">
        <v>1250</v>
      </c>
      <c r="E513" t="s">
        <v>1251</v>
      </c>
      <c r="F513" t="s">
        <v>1252</v>
      </c>
      <c r="G513" t="s">
        <v>4843</v>
      </c>
      <c r="H513">
        <v>10.08</v>
      </c>
    </row>
    <row r="514" spans="1:8" x14ac:dyDescent="0.25">
      <c r="A514" s="7" t="s">
        <v>4834</v>
      </c>
      <c r="B514" s="6" t="s">
        <v>4842</v>
      </c>
      <c r="C514" s="7" t="s">
        <v>541</v>
      </c>
      <c r="D514" s="6" t="s">
        <v>542</v>
      </c>
      <c r="E514" s="6" t="s">
        <v>9</v>
      </c>
      <c r="F514" s="6" t="s">
        <v>10</v>
      </c>
      <c r="G514" s="6" t="s">
        <v>4839</v>
      </c>
      <c r="H514" s="6">
        <v>8.08</v>
      </c>
    </row>
    <row r="515" spans="1:8" x14ac:dyDescent="0.25">
      <c r="A515" s="1" t="s">
        <v>4834</v>
      </c>
      <c r="B515" t="s">
        <v>4842</v>
      </c>
      <c r="C515" s="1" t="s">
        <v>541</v>
      </c>
      <c r="D515" t="s">
        <v>542</v>
      </c>
      <c r="E515" t="s">
        <v>9</v>
      </c>
      <c r="F515" t="s">
        <v>10</v>
      </c>
      <c r="G515" t="s">
        <v>4844</v>
      </c>
      <c r="H515">
        <v>10.38</v>
      </c>
    </row>
    <row r="516" spans="1:8" x14ac:dyDescent="0.25">
      <c r="A516" s="7" t="s">
        <v>823</v>
      </c>
      <c r="B516" s="6" t="s">
        <v>4855</v>
      </c>
      <c r="C516" s="7" t="s">
        <v>1249</v>
      </c>
      <c r="D516" s="6" t="s">
        <v>1250</v>
      </c>
      <c r="E516" s="6" t="s">
        <v>1251</v>
      </c>
      <c r="F516" s="6" t="s">
        <v>1252</v>
      </c>
      <c r="G516" s="6" t="s">
        <v>4856</v>
      </c>
      <c r="H516" s="6">
        <v>15.36</v>
      </c>
    </row>
    <row r="517" spans="1:8" x14ac:dyDescent="0.25">
      <c r="A517" s="1" t="s">
        <v>823</v>
      </c>
      <c r="B517" t="s">
        <v>4855</v>
      </c>
      <c r="C517" s="1" t="s">
        <v>7</v>
      </c>
      <c r="D517" t="s">
        <v>1031</v>
      </c>
      <c r="E517" t="s">
        <v>9</v>
      </c>
      <c r="F517" t="s">
        <v>10</v>
      </c>
      <c r="G517" t="s">
        <v>4857</v>
      </c>
      <c r="H517">
        <v>16.75</v>
      </c>
    </row>
    <row r="518" spans="1:8" x14ac:dyDescent="0.25">
      <c r="A518" s="7" t="s">
        <v>4888</v>
      </c>
      <c r="B518" s="6" t="s">
        <v>4889</v>
      </c>
      <c r="C518" s="7" t="s">
        <v>1249</v>
      </c>
      <c r="D518" s="6" t="s">
        <v>1250</v>
      </c>
      <c r="E518" s="6" t="s">
        <v>1251</v>
      </c>
      <c r="F518" s="6" t="s">
        <v>1252</v>
      </c>
      <c r="G518" s="6" t="s">
        <v>4896</v>
      </c>
      <c r="H518" s="6">
        <v>18.72</v>
      </c>
    </row>
    <row r="519" spans="1:8" x14ac:dyDescent="0.25">
      <c r="A519" s="1" t="s">
        <v>4888</v>
      </c>
      <c r="B519" t="s">
        <v>4889</v>
      </c>
      <c r="C519" s="1" t="s">
        <v>7</v>
      </c>
      <c r="D519" t="s">
        <v>8</v>
      </c>
      <c r="E519" t="s">
        <v>9</v>
      </c>
      <c r="F519" t="s">
        <v>10</v>
      </c>
      <c r="G519" t="s">
        <v>4897</v>
      </c>
      <c r="H519">
        <v>128.27000000000001</v>
      </c>
    </row>
    <row r="520" spans="1:8" x14ac:dyDescent="0.25">
      <c r="A520" s="7" t="s">
        <v>4888</v>
      </c>
      <c r="B520" s="6" t="s">
        <v>4889</v>
      </c>
      <c r="C520" s="7" t="s">
        <v>7</v>
      </c>
      <c r="D520" s="6" t="s">
        <v>8</v>
      </c>
      <c r="E520" s="6" t="s">
        <v>9</v>
      </c>
      <c r="F520" s="6" t="s">
        <v>10</v>
      </c>
      <c r="G520" s="6" t="s">
        <v>4898</v>
      </c>
      <c r="H520" s="6">
        <v>97.45</v>
      </c>
    </row>
    <row r="521" spans="1:8" x14ac:dyDescent="0.25">
      <c r="A521" s="1" t="s">
        <v>4891</v>
      </c>
      <c r="B521" t="s">
        <v>4892</v>
      </c>
      <c r="C521" s="1" t="s">
        <v>1249</v>
      </c>
      <c r="D521" t="s">
        <v>1250</v>
      </c>
      <c r="E521" t="s">
        <v>1251</v>
      </c>
      <c r="F521" t="s">
        <v>1252</v>
      </c>
      <c r="G521" t="s">
        <v>4899</v>
      </c>
      <c r="H521">
        <v>1.08</v>
      </c>
    </row>
    <row r="522" spans="1:8" x14ac:dyDescent="0.25">
      <c r="A522" s="7" t="s">
        <v>4891</v>
      </c>
      <c r="B522" s="6" t="s">
        <v>4892</v>
      </c>
      <c r="C522" s="7" t="s">
        <v>7</v>
      </c>
      <c r="D522" s="6" t="s">
        <v>8</v>
      </c>
      <c r="E522" s="6" t="s">
        <v>9</v>
      </c>
      <c r="F522" s="6" t="s">
        <v>10</v>
      </c>
      <c r="G522" s="6" t="s">
        <v>4900</v>
      </c>
      <c r="H522" s="6">
        <v>11.15</v>
      </c>
    </row>
    <row r="523" spans="1:8" x14ac:dyDescent="0.25">
      <c r="A523" s="1" t="s">
        <v>4891</v>
      </c>
      <c r="B523" t="s">
        <v>4892</v>
      </c>
      <c r="C523" s="1" t="s">
        <v>7</v>
      </c>
      <c r="D523" t="s">
        <v>8</v>
      </c>
      <c r="E523" t="s">
        <v>9</v>
      </c>
      <c r="F523" t="s">
        <v>10</v>
      </c>
      <c r="G523" t="s">
        <v>4901</v>
      </c>
      <c r="H523">
        <v>15.32</v>
      </c>
    </row>
    <row r="524" spans="1:8" x14ac:dyDescent="0.25">
      <c r="A524" s="7" t="s">
        <v>4908</v>
      </c>
      <c r="B524" s="6" t="s">
        <v>4909</v>
      </c>
      <c r="C524" s="7" t="s">
        <v>1249</v>
      </c>
      <c r="D524" s="6" t="s">
        <v>1250</v>
      </c>
      <c r="E524" s="6" t="s">
        <v>1251</v>
      </c>
      <c r="F524" s="6" t="s">
        <v>1252</v>
      </c>
      <c r="G524" s="6" t="s">
        <v>1348</v>
      </c>
      <c r="H524" s="6">
        <v>27</v>
      </c>
    </row>
    <row r="525" spans="1:8" x14ac:dyDescent="0.25">
      <c r="A525" s="1" t="s">
        <v>4908</v>
      </c>
      <c r="B525" t="s">
        <v>4909</v>
      </c>
      <c r="C525" s="1" t="s">
        <v>7</v>
      </c>
      <c r="D525" t="s">
        <v>8</v>
      </c>
      <c r="E525" t="s">
        <v>9</v>
      </c>
      <c r="F525" t="s">
        <v>10</v>
      </c>
      <c r="G525" t="s">
        <v>4913</v>
      </c>
      <c r="H525">
        <v>139.38</v>
      </c>
    </row>
    <row r="526" spans="1:8" x14ac:dyDescent="0.25">
      <c r="A526" s="7" t="s">
        <v>4908</v>
      </c>
      <c r="B526" s="6" t="s">
        <v>4909</v>
      </c>
      <c r="C526" s="7" t="s">
        <v>7</v>
      </c>
      <c r="D526" s="6" t="s">
        <v>8</v>
      </c>
      <c r="E526" s="6" t="s">
        <v>9</v>
      </c>
      <c r="F526" s="6" t="s">
        <v>10</v>
      </c>
      <c r="G526" s="6" t="s">
        <v>4914</v>
      </c>
      <c r="H526" s="6">
        <v>99.1</v>
      </c>
    </row>
    <row r="527" spans="1:8" x14ac:dyDescent="0.25">
      <c r="A527" s="1" t="s">
        <v>4917</v>
      </c>
      <c r="B527" t="s">
        <v>4918</v>
      </c>
      <c r="C527" s="1" t="s">
        <v>1249</v>
      </c>
      <c r="D527" t="s">
        <v>1250</v>
      </c>
      <c r="E527" t="s">
        <v>1251</v>
      </c>
      <c r="F527" t="s">
        <v>1252</v>
      </c>
      <c r="G527" t="s">
        <v>4925</v>
      </c>
      <c r="H527">
        <v>42.72</v>
      </c>
    </row>
    <row r="528" spans="1:8" x14ac:dyDescent="0.25">
      <c r="A528" s="7" t="s">
        <v>4917</v>
      </c>
      <c r="B528" s="6" t="s">
        <v>4918</v>
      </c>
      <c r="C528" s="7" t="s">
        <v>7</v>
      </c>
      <c r="D528" s="6" t="s">
        <v>8</v>
      </c>
      <c r="E528" s="6" t="s">
        <v>9</v>
      </c>
      <c r="F528" s="6" t="s">
        <v>10</v>
      </c>
      <c r="G528" s="6" t="s">
        <v>4926</v>
      </c>
      <c r="H528" s="6">
        <v>113.03</v>
      </c>
    </row>
    <row r="529" spans="1:8" x14ac:dyDescent="0.25">
      <c r="A529" s="1" t="s">
        <v>4917</v>
      </c>
      <c r="B529" t="s">
        <v>4918</v>
      </c>
      <c r="C529" s="1" t="s">
        <v>7</v>
      </c>
      <c r="D529" t="s">
        <v>8</v>
      </c>
      <c r="E529" t="s">
        <v>9</v>
      </c>
      <c r="F529" t="s">
        <v>10</v>
      </c>
      <c r="G529" t="s">
        <v>4927</v>
      </c>
      <c r="H529">
        <v>167.31</v>
      </c>
    </row>
    <row r="530" spans="1:8" x14ac:dyDescent="0.25">
      <c r="A530" s="7" t="s">
        <v>4920</v>
      </c>
      <c r="B530" s="6" t="s">
        <v>4921</v>
      </c>
      <c r="C530" s="7" t="s">
        <v>1249</v>
      </c>
      <c r="D530" s="6" t="s">
        <v>1250</v>
      </c>
      <c r="E530" s="6" t="s">
        <v>1251</v>
      </c>
      <c r="F530" s="6" t="s">
        <v>1252</v>
      </c>
      <c r="G530" s="6" t="s">
        <v>4928</v>
      </c>
      <c r="H530" s="6">
        <v>1.44</v>
      </c>
    </row>
    <row r="531" spans="1:8" x14ac:dyDescent="0.25">
      <c r="A531" s="1" t="s">
        <v>4920</v>
      </c>
      <c r="B531" t="s">
        <v>4921</v>
      </c>
      <c r="C531" s="1" t="s">
        <v>7</v>
      </c>
      <c r="D531" t="s">
        <v>8</v>
      </c>
      <c r="E531" t="s">
        <v>9</v>
      </c>
      <c r="F531" t="s">
        <v>10</v>
      </c>
      <c r="G531" t="s">
        <v>4901</v>
      </c>
      <c r="H531">
        <v>15.32</v>
      </c>
    </row>
    <row r="532" spans="1:8" x14ac:dyDescent="0.25">
      <c r="A532" s="7" t="s">
        <v>4920</v>
      </c>
      <c r="B532" s="6" t="s">
        <v>4921</v>
      </c>
      <c r="C532" s="7" t="s">
        <v>7</v>
      </c>
      <c r="D532" s="6" t="s">
        <v>8</v>
      </c>
      <c r="E532" s="6" t="s">
        <v>9</v>
      </c>
      <c r="F532" s="6" t="s">
        <v>10</v>
      </c>
      <c r="G532" s="6" t="s">
        <v>4900</v>
      </c>
      <c r="H532" s="6">
        <v>11.15</v>
      </c>
    </row>
    <row r="533" spans="1:8" x14ac:dyDescent="0.25">
      <c r="A533" s="1" t="s">
        <v>804</v>
      </c>
      <c r="B533" t="s">
        <v>805</v>
      </c>
      <c r="C533" s="1" t="s">
        <v>1345</v>
      </c>
      <c r="D533" t="s">
        <v>1346</v>
      </c>
      <c r="E533" t="s">
        <v>1369</v>
      </c>
      <c r="F533" t="s">
        <v>5</v>
      </c>
      <c r="G533" t="s">
        <v>4965</v>
      </c>
      <c r="H533">
        <v>9.75</v>
      </c>
    </row>
    <row r="534" spans="1:8" x14ac:dyDescent="0.25">
      <c r="A534" s="7" t="s">
        <v>804</v>
      </c>
      <c r="B534" s="6" t="s">
        <v>805</v>
      </c>
      <c r="C534" s="7" t="s">
        <v>7</v>
      </c>
      <c r="D534" s="6" t="s">
        <v>8</v>
      </c>
      <c r="E534" s="6" t="s">
        <v>9</v>
      </c>
      <c r="F534" s="6" t="s">
        <v>10</v>
      </c>
      <c r="G534" s="6" t="s">
        <v>1114</v>
      </c>
      <c r="H534" s="6">
        <v>3.15</v>
      </c>
    </row>
    <row r="535" spans="1:8" x14ac:dyDescent="0.25">
      <c r="A535" s="1" t="s">
        <v>806</v>
      </c>
      <c r="B535" t="s">
        <v>807</v>
      </c>
      <c r="C535" s="1" t="s">
        <v>1345</v>
      </c>
      <c r="D535" t="s">
        <v>1346</v>
      </c>
      <c r="E535" t="s">
        <v>1369</v>
      </c>
      <c r="F535" t="s">
        <v>5</v>
      </c>
      <c r="G535" t="s">
        <v>4965</v>
      </c>
      <c r="H535">
        <v>9.75</v>
      </c>
    </row>
    <row r="536" spans="1:8" x14ac:dyDescent="0.25">
      <c r="A536" s="7" t="s">
        <v>806</v>
      </c>
      <c r="B536" s="6" t="s">
        <v>807</v>
      </c>
      <c r="C536" s="7" t="s">
        <v>7</v>
      </c>
      <c r="D536" s="6" t="s">
        <v>8</v>
      </c>
      <c r="E536" s="6" t="s">
        <v>9</v>
      </c>
      <c r="F536" s="6" t="s">
        <v>10</v>
      </c>
      <c r="G536" s="6" t="s">
        <v>1114</v>
      </c>
      <c r="H536" s="6">
        <v>3.15</v>
      </c>
    </row>
    <row r="537" spans="1:8" x14ac:dyDescent="0.25">
      <c r="A537" s="1" t="s">
        <v>808</v>
      </c>
      <c r="B537" t="s">
        <v>809</v>
      </c>
      <c r="C537" s="1" t="s">
        <v>1345</v>
      </c>
      <c r="D537" t="s">
        <v>1346</v>
      </c>
      <c r="E537" t="s">
        <v>1369</v>
      </c>
      <c r="F537" t="s">
        <v>5</v>
      </c>
      <c r="G537" t="s">
        <v>4966</v>
      </c>
      <c r="H537">
        <v>1.45</v>
      </c>
    </row>
    <row r="538" spans="1:8" x14ac:dyDescent="0.25">
      <c r="A538" s="7" t="s">
        <v>808</v>
      </c>
      <c r="B538" s="6" t="s">
        <v>809</v>
      </c>
      <c r="C538" s="7" t="s">
        <v>7</v>
      </c>
      <c r="D538" s="6" t="s">
        <v>8</v>
      </c>
      <c r="E538" s="6" t="s">
        <v>9</v>
      </c>
      <c r="F538" s="6" t="s">
        <v>10</v>
      </c>
      <c r="G538" s="6" t="s">
        <v>1773</v>
      </c>
      <c r="H538" s="6">
        <v>3</v>
      </c>
    </row>
    <row r="539" spans="1:8" x14ac:dyDescent="0.25">
      <c r="A539" s="1" t="s">
        <v>845</v>
      </c>
      <c r="B539" t="s">
        <v>846</v>
      </c>
      <c r="C539" s="1" t="s">
        <v>4967</v>
      </c>
      <c r="D539" t="s">
        <v>4968</v>
      </c>
      <c r="E539" t="s">
        <v>4969</v>
      </c>
      <c r="F539" t="s">
        <v>49</v>
      </c>
      <c r="G539" t="s">
        <v>50</v>
      </c>
      <c r="H539">
        <v>61.1</v>
      </c>
    </row>
    <row r="540" spans="1:8" x14ac:dyDescent="0.25">
      <c r="A540" s="7" t="s">
        <v>845</v>
      </c>
      <c r="B540" s="6" t="s">
        <v>846</v>
      </c>
      <c r="C540" s="7" t="s">
        <v>4970</v>
      </c>
      <c r="D540" s="6" t="s">
        <v>4971</v>
      </c>
      <c r="E540" s="6" t="s">
        <v>4972</v>
      </c>
      <c r="F540" s="6" t="s">
        <v>49</v>
      </c>
      <c r="G540" s="6" t="s">
        <v>50</v>
      </c>
      <c r="H540" s="6">
        <v>32.9</v>
      </c>
    </row>
    <row r="541" spans="1:8" x14ac:dyDescent="0.25">
      <c r="A541" s="1" t="s">
        <v>845</v>
      </c>
      <c r="B541" t="s">
        <v>846</v>
      </c>
      <c r="C541" s="1" t="s">
        <v>857</v>
      </c>
      <c r="D541" t="s">
        <v>858</v>
      </c>
      <c r="E541" t="s">
        <v>686</v>
      </c>
      <c r="F541" t="s">
        <v>49</v>
      </c>
      <c r="G541" t="s">
        <v>4973</v>
      </c>
      <c r="H541">
        <v>10.15</v>
      </c>
    </row>
    <row r="542" spans="1:8" x14ac:dyDescent="0.25">
      <c r="A542" s="7" t="s">
        <v>845</v>
      </c>
      <c r="B542" s="6" t="s">
        <v>846</v>
      </c>
      <c r="C542" s="7" t="s">
        <v>7</v>
      </c>
      <c r="D542" s="6" t="s">
        <v>8</v>
      </c>
      <c r="E542" s="6" t="s">
        <v>9</v>
      </c>
      <c r="F542" s="6" t="s">
        <v>10</v>
      </c>
      <c r="G542" s="6" t="s">
        <v>3164</v>
      </c>
      <c r="H542" s="6">
        <v>29.5</v>
      </c>
    </row>
    <row r="543" spans="1:8" x14ac:dyDescent="0.25">
      <c r="A543" s="1" t="s">
        <v>845</v>
      </c>
      <c r="B543" t="s">
        <v>846</v>
      </c>
      <c r="C543" s="1" t="s">
        <v>7</v>
      </c>
      <c r="D543" t="s">
        <v>8</v>
      </c>
      <c r="E543" t="s">
        <v>9</v>
      </c>
      <c r="F543" t="s">
        <v>10</v>
      </c>
      <c r="G543" t="s">
        <v>4974</v>
      </c>
      <c r="H543">
        <v>42.35</v>
      </c>
    </row>
    <row r="544" spans="1:8" x14ac:dyDescent="0.25">
      <c r="A544" s="7" t="s">
        <v>848</v>
      </c>
      <c r="B544" s="6" t="s">
        <v>849</v>
      </c>
      <c r="C544" s="7" t="s">
        <v>1345</v>
      </c>
      <c r="D544" s="6" t="s">
        <v>1346</v>
      </c>
      <c r="E544" s="6" t="s">
        <v>1369</v>
      </c>
      <c r="F544" s="6" t="s">
        <v>5</v>
      </c>
      <c r="G544" s="6" t="s">
        <v>4975</v>
      </c>
      <c r="H544" s="6">
        <v>3.3</v>
      </c>
    </row>
    <row r="545" spans="1:8" x14ac:dyDescent="0.25">
      <c r="A545" s="1" t="s">
        <v>848</v>
      </c>
      <c r="B545" t="s">
        <v>849</v>
      </c>
      <c r="C545" s="1" t="s">
        <v>7</v>
      </c>
      <c r="D545" t="s">
        <v>8</v>
      </c>
      <c r="E545" t="s">
        <v>9</v>
      </c>
      <c r="F545" t="s">
        <v>10</v>
      </c>
      <c r="G545" t="s">
        <v>4976</v>
      </c>
      <c r="H545">
        <v>3.2</v>
      </c>
    </row>
    <row r="546" spans="1:8" x14ac:dyDescent="0.25">
      <c r="A546" s="7" t="s">
        <v>851</v>
      </c>
      <c r="B546" s="6" t="s">
        <v>852</v>
      </c>
      <c r="C546" s="7" t="s">
        <v>1345</v>
      </c>
      <c r="D546" s="6" t="s">
        <v>1346</v>
      </c>
      <c r="E546" s="6" t="s">
        <v>1369</v>
      </c>
      <c r="F546" s="6" t="s">
        <v>5</v>
      </c>
      <c r="G546" s="6" t="s">
        <v>4977</v>
      </c>
      <c r="H546" s="6">
        <v>3.9</v>
      </c>
    </row>
    <row r="547" spans="1:8" x14ac:dyDescent="0.25">
      <c r="A547" s="1" t="s">
        <v>851</v>
      </c>
      <c r="B547" t="s">
        <v>852</v>
      </c>
      <c r="C547" s="1" t="s">
        <v>7</v>
      </c>
      <c r="D547" t="s">
        <v>8</v>
      </c>
      <c r="E547" t="s">
        <v>9</v>
      </c>
      <c r="F547" t="s">
        <v>10</v>
      </c>
      <c r="G547" t="s">
        <v>4976</v>
      </c>
      <c r="H547">
        <v>3.2</v>
      </c>
    </row>
    <row r="548" spans="1:8" x14ac:dyDescent="0.25">
      <c r="A548" s="7" t="s">
        <v>854</v>
      </c>
      <c r="B548" s="6" t="s">
        <v>855</v>
      </c>
      <c r="C548" s="7" t="s">
        <v>1345</v>
      </c>
      <c r="D548" s="6" t="s">
        <v>1346</v>
      </c>
      <c r="E548" s="6" t="s">
        <v>1369</v>
      </c>
      <c r="F548" s="6" t="s">
        <v>5</v>
      </c>
      <c r="G548" s="6" t="s">
        <v>4978</v>
      </c>
      <c r="H548" s="6">
        <v>1.2</v>
      </c>
    </row>
    <row r="549" spans="1:8" x14ac:dyDescent="0.25">
      <c r="A549" s="1" t="s">
        <v>854</v>
      </c>
      <c r="B549" t="s">
        <v>855</v>
      </c>
      <c r="C549" s="1" t="s">
        <v>7</v>
      </c>
      <c r="D549" t="s">
        <v>8</v>
      </c>
      <c r="E549" t="s">
        <v>9</v>
      </c>
      <c r="F549" t="s">
        <v>10</v>
      </c>
      <c r="G549" t="s">
        <v>1351</v>
      </c>
      <c r="H549">
        <v>2.9</v>
      </c>
    </row>
    <row r="550" spans="1:8" x14ac:dyDescent="0.25">
      <c r="A550" s="7" t="s">
        <v>460</v>
      </c>
      <c r="B550" s="6" t="s">
        <v>461</v>
      </c>
      <c r="C550" s="7" t="s">
        <v>3506</v>
      </c>
      <c r="D550" s="6" t="s">
        <v>3507</v>
      </c>
      <c r="E550" s="6" t="s">
        <v>1394</v>
      </c>
      <c r="F550" s="6" t="s">
        <v>5</v>
      </c>
      <c r="G550" s="6" t="s">
        <v>4979</v>
      </c>
      <c r="H550" s="6">
        <v>10.199999999999999</v>
      </c>
    </row>
    <row r="551" spans="1:8" x14ac:dyDescent="0.25">
      <c r="A551" s="1" t="s">
        <v>460</v>
      </c>
      <c r="B551" t="s">
        <v>461</v>
      </c>
      <c r="C551" s="1" t="s">
        <v>7</v>
      </c>
      <c r="D551" t="s">
        <v>8</v>
      </c>
      <c r="E551" t="s">
        <v>9</v>
      </c>
      <c r="F551" t="s">
        <v>10</v>
      </c>
      <c r="G551" t="s">
        <v>1415</v>
      </c>
      <c r="H551">
        <v>9.6</v>
      </c>
    </row>
    <row r="552" spans="1:8" x14ac:dyDescent="0.25">
      <c r="A552" s="7" t="s">
        <v>463</v>
      </c>
      <c r="B552" s="6" t="s">
        <v>464</v>
      </c>
      <c r="C552" s="7" t="s">
        <v>4980</v>
      </c>
      <c r="D552" s="6" t="s">
        <v>4981</v>
      </c>
      <c r="E552" s="6" t="s">
        <v>117</v>
      </c>
      <c r="F552" s="6" t="s">
        <v>17</v>
      </c>
      <c r="G552" s="6" t="s">
        <v>4982</v>
      </c>
      <c r="H552" s="6">
        <v>1.51</v>
      </c>
    </row>
    <row r="553" spans="1:8" x14ac:dyDescent="0.25">
      <c r="A553" s="1" t="s">
        <v>463</v>
      </c>
      <c r="B553" t="s">
        <v>464</v>
      </c>
      <c r="C553" s="1" t="s">
        <v>7</v>
      </c>
      <c r="D553" t="s">
        <v>8</v>
      </c>
      <c r="E553" t="s">
        <v>9</v>
      </c>
      <c r="F553" t="s">
        <v>10</v>
      </c>
      <c r="G553" t="s">
        <v>1096</v>
      </c>
      <c r="H553">
        <v>4.7</v>
      </c>
    </row>
    <row r="554" spans="1:8" x14ac:dyDescent="0.25">
      <c r="A554" s="7" t="s">
        <v>466</v>
      </c>
      <c r="B554" s="6" t="s">
        <v>467</v>
      </c>
      <c r="C554" s="7" t="s">
        <v>3865</v>
      </c>
      <c r="D554" s="6" t="s">
        <v>3866</v>
      </c>
      <c r="E554" s="6" t="s">
        <v>403</v>
      </c>
      <c r="F554" s="6" t="s">
        <v>17</v>
      </c>
      <c r="G554" s="6" t="s">
        <v>3292</v>
      </c>
      <c r="H554" s="6">
        <v>0.4</v>
      </c>
    </row>
    <row r="555" spans="1:8" x14ac:dyDescent="0.25">
      <c r="A555" s="1" t="s">
        <v>466</v>
      </c>
      <c r="B555" t="s">
        <v>467</v>
      </c>
      <c r="C555" s="1" t="s">
        <v>2</v>
      </c>
      <c r="D555" t="s">
        <v>3</v>
      </c>
      <c r="E555" t="s">
        <v>4</v>
      </c>
      <c r="F555" t="s">
        <v>5</v>
      </c>
      <c r="G555" t="s">
        <v>4983</v>
      </c>
      <c r="H555">
        <v>1.3</v>
      </c>
    </row>
    <row r="556" spans="1:8" x14ac:dyDescent="0.25">
      <c r="A556" s="7" t="s">
        <v>466</v>
      </c>
      <c r="B556" s="6" t="s">
        <v>467</v>
      </c>
      <c r="C556" s="7" t="s">
        <v>7</v>
      </c>
      <c r="D556" s="6" t="s">
        <v>8</v>
      </c>
      <c r="E556" s="6" t="s">
        <v>9</v>
      </c>
      <c r="F556" s="6" t="s">
        <v>10</v>
      </c>
      <c r="G556" s="6" t="s">
        <v>4984</v>
      </c>
      <c r="H556" s="6">
        <v>5.0999999999999996</v>
      </c>
    </row>
    <row r="557" spans="1:8" x14ac:dyDescent="0.25">
      <c r="A557" s="1" t="s">
        <v>250</v>
      </c>
      <c r="B557" t="s">
        <v>251</v>
      </c>
      <c r="C557" s="1" t="s">
        <v>1487</v>
      </c>
      <c r="D557" t="s">
        <v>1488</v>
      </c>
      <c r="E557" t="s">
        <v>31</v>
      </c>
      <c r="F557" t="s">
        <v>5</v>
      </c>
      <c r="G557" t="s">
        <v>5003</v>
      </c>
      <c r="H557">
        <v>22.5</v>
      </c>
    </row>
    <row r="558" spans="1:8" x14ac:dyDescent="0.25">
      <c r="A558" s="7" t="s">
        <v>250</v>
      </c>
      <c r="B558" s="6" t="s">
        <v>251</v>
      </c>
      <c r="C558" s="7" t="s">
        <v>432</v>
      </c>
      <c r="D558" s="6" t="s">
        <v>433</v>
      </c>
      <c r="E558" s="6" t="s">
        <v>434</v>
      </c>
      <c r="F558" s="6" t="s">
        <v>435</v>
      </c>
      <c r="G558" s="6" t="s">
        <v>5004</v>
      </c>
      <c r="H558" s="6">
        <v>6</v>
      </c>
    </row>
    <row r="559" spans="1:8" x14ac:dyDescent="0.25">
      <c r="A559" s="1" t="s">
        <v>250</v>
      </c>
      <c r="B559" t="s">
        <v>251</v>
      </c>
      <c r="C559" s="1" t="s">
        <v>7</v>
      </c>
      <c r="D559" t="s">
        <v>8</v>
      </c>
      <c r="E559" t="s">
        <v>9</v>
      </c>
      <c r="F559" t="s">
        <v>10</v>
      </c>
      <c r="G559" t="s">
        <v>2114</v>
      </c>
      <c r="H559">
        <v>15.18</v>
      </c>
    </row>
    <row r="560" spans="1:8" x14ac:dyDescent="0.25">
      <c r="A560" s="7" t="s">
        <v>253</v>
      </c>
      <c r="B560" s="6" t="s">
        <v>254</v>
      </c>
      <c r="C560" s="7" t="s">
        <v>1547</v>
      </c>
      <c r="D560" s="6" t="s">
        <v>1548</v>
      </c>
      <c r="E560" s="6" t="s">
        <v>403</v>
      </c>
      <c r="F560" s="6" t="s">
        <v>5</v>
      </c>
      <c r="G560" s="6" t="s">
        <v>594</v>
      </c>
      <c r="H560" s="6">
        <v>1.5</v>
      </c>
    </row>
    <row r="561" spans="1:8" x14ac:dyDescent="0.25">
      <c r="A561" s="1" t="s">
        <v>253</v>
      </c>
      <c r="B561" t="s">
        <v>254</v>
      </c>
      <c r="C561" s="1" t="s">
        <v>432</v>
      </c>
      <c r="D561" t="s">
        <v>433</v>
      </c>
      <c r="E561" t="s">
        <v>434</v>
      </c>
      <c r="F561" t="s">
        <v>435</v>
      </c>
      <c r="G561" t="s">
        <v>50</v>
      </c>
      <c r="H561">
        <v>1.1000000000000001</v>
      </c>
    </row>
    <row r="562" spans="1:8" x14ac:dyDescent="0.25">
      <c r="A562" s="7" t="s">
        <v>253</v>
      </c>
      <c r="B562" s="6" t="s">
        <v>254</v>
      </c>
      <c r="C562" s="7" t="s">
        <v>7</v>
      </c>
      <c r="D562" s="6" t="s">
        <v>8</v>
      </c>
      <c r="E562" s="6" t="s">
        <v>9</v>
      </c>
      <c r="F562" s="6" t="s">
        <v>10</v>
      </c>
      <c r="G562" s="6" t="s">
        <v>1026</v>
      </c>
      <c r="H562" s="6">
        <v>29.9</v>
      </c>
    </row>
    <row r="563" spans="1:8" x14ac:dyDescent="0.25">
      <c r="A563" s="1" t="s">
        <v>256</v>
      </c>
      <c r="B563" t="s">
        <v>257</v>
      </c>
      <c r="C563" s="1" t="s">
        <v>2509</v>
      </c>
      <c r="D563" t="s">
        <v>5005</v>
      </c>
      <c r="E563" t="s">
        <v>31</v>
      </c>
      <c r="F563" t="s">
        <v>5</v>
      </c>
      <c r="G563" t="s">
        <v>690</v>
      </c>
      <c r="H563">
        <v>4.7699999999999996</v>
      </c>
    </row>
    <row r="564" spans="1:8" x14ac:dyDescent="0.25">
      <c r="A564" s="7" t="s">
        <v>256</v>
      </c>
      <c r="B564" s="6" t="s">
        <v>257</v>
      </c>
      <c r="C564" s="7" t="s">
        <v>432</v>
      </c>
      <c r="D564" s="6" t="s">
        <v>433</v>
      </c>
      <c r="E564" s="6" t="s">
        <v>434</v>
      </c>
      <c r="F564" s="6" t="s">
        <v>435</v>
      </c>
      <c r="G564" s="6" t="s">
        <v>1170</v>
      </c>
      <c r="H564" s="6">
        <v>3.85</v>
      </c>
    </row>
    <row r="565" spans="1:8" x14ac:dyDescent="0.25">
      <c r="A565" s="1" t="s">
        <v>256</v>
      </c>
      <c r="B565" t="s">
        <v>257</v>
      </c>
      <c r="C565" s="1" t="s">
        <v>7</v>
      </c>
      <c r="D565" t="s">
        <v>8</v>
      </c>
      <c r="E565" t="s">
        <v>9</v>
      </c>
      <c r="F565" t="s">
        <v>10</v>
      </c>
      <c r="G565" t="s">
        <v>1254</v>
      </c>
      <c r="H565">
        <v>16.100000000000001</v>
      </c>
    </row>
    <row r="566" spans="1:8" x14ac:dyDescent="0.25">
      <c r="A566" s="7" t="s">
        <v>75</v>
      </c>
      <c r="B566" s="6" t="s">
        <v>76</v>
      </c>
      <c r="C566" s="7" t="s">
        <v>2961</v>
      </c>
      <c r="D566" s="6" t="s">
        <v>2962</v>
      </c>
      <c r="E566" s="6" t="s">
        <v>2963</v>
      </c>
      <c r="F566" s="6" t="s">
        <v>5</v>
      </c>
      <c r="G566" s="6" t="s">
        <v>5008</v>
      </c>
      <c r="H566" s="6">
        <v>0.3</v>
      </c>
    </row>
    <row r="567" spans="1:8" x14ac:dyDescent="0.25">
      <c r="A567" s="1" t="s">
        <v>75</v>
      </c>
      <c r="B567" t="s">
        <v>76</v>
      </c>
      <c r="C567" s="1" t="s">
        <v>432</v>
      </c>
      <c r="D567" t="s">
        <v>433</v>
      </c>
      <c r="E567" t="s">
        <v>434</v>
      </c>
      <c r="F567" t="s">
        <v>435</v>
      </c>
      <c r="G567" t="s">
        <v>5009</v>
      </c>
      <c r="H567">
        <v>1.25</v>
      </c>
    </row>
    <row r="568" spans="1:8" x14ac:dyDescent="0.25">
      <c r="A568" s="7" t="s">
        <v>75</v>
      </c>
      <c r="B568" s="6" t="s">
        <v>76</v>
      </c>
      <c r="C568" s="7" t="s">
        <v>7</v>
      </c>
      <c r="D568" s="6" t="s">
        <v>8</v>
      </c>
      <c r="E568" s="6" t="s">
        <v>9</v>
      </c>
      <c r="F568" s="6" t="s">
        <v>10</v>
      </c>
      <c r="G568" s="6" t="s">
        <v>1733</v>
      </c>
      <c r="H568" s="6">
        <v>2.5</v>
      </c>
    </row>
    <row r="569" spans="1:8" x14ac:dyDescent="0.25">
      <c r="A569" s="1" t="s">
        <v>52</v>
      </c>
      <c r="B569" t="s">
        <v>53</v>
      </c>
      <c r="C569" s="1" t="s">
        <v>2961</v>
      </c>
      <c r="D569" t="s">
        <v>2962</v>
      </c>
      <c r="E569" t="s">
        <v>2963</v>
      </c>
      <c r="F569" t="s">
        <v>5</v>
      </c>
      <c r="G569" t="s">
        <v>5008</v>
      </c>
      <c r="H569">
        <v>0.3</v>
      </c>
    </row>
    <row r="570" spans="1:8" x14ac:dyDescent="0.25">
      <c r="A570" s="7" t="s">
        <v>52</v>
      </c>
      <c r="B570" s="6" t="s">
        <v>53</v>
      </c>
      <c r="C570" s="7" t="s">
        <v>432</v>
      </c>
      <c r="D570" s="6" t="s">
        <v>433</v>
      </c>
      <c r="E570" s="6" t="s">
        <v>434</v>
      </c>
      <c r="F570" s="6" t="s">
        <v>435</v>
      </c>
      <c r="G570" s="6" t="s">
        <v>50</v>
      </c>
      <c r="H570" s="6">
        <v>1.1000000000000001</v>
      </c>
    </row>
    <row r="571" spans="1:8" x14ac:dyDescent="0.25">
      <c r="A571" s="1" t="s">
        <v>52</v>
      </c>
      <c r="B571" t="s">
        <v>53</v>
      </c>
      <c r="C571" s="1" t="s">
        <v>7</v>
      </c>
      <c r="D571" t="s">
        <v>8</v>
      </c>
      <c r="E571" t="s">
        <v>9</v>
      </c>
      <c r="F571" t="s">
        <v>10</v>
      </c>
      <c r="G571" t="s">
        <v>2518</v>
      </c>
      <c r="H571">
        <v>2.4</v>
      </c>
    </row>
    <row r="572" spans="1:8" x14ac:dyDescent="0.25">
      <c r="A572" s="7" t="s">
        <v>56</v>
      </c>
      <c r="B572" s="6" t="s">
        <v>57</v>
      </c>
      <c r="C572" s="7" t="s">
        <v>1487</v>
      </c>
      <c r="D572" s="6" t="s">
        <v>1488</v>
      </c>
      <c r="E572" s="6" t="s">
        <v>31</v>
      </c>
      <c r="F572" s="6" t="s">
        <v>5</v>
      </c>
      <c r="G572" s="6" t="s">
        <v>1472</v>
      </c>
      <c r="H572" s="6">
        <v>0.55000000000000004</v>
      </c>
    </row>
    <row r="573" spans="1:8" x14ac:dyDescent="0.25">
      <c r="A573" s="1" t="s">
        <v>56</v>
      </c>
      <c r="B573" t="s">
        <v>57</v>
      </c>
      <c r="C573" s="1" t="s">
        <v>432</v>
      </c>
      <c r="D573" t="s">
        <v>433</v>
      </c>
      <c r="E573" t="s">
        <v>434</v>
      </c>
      <c r="F573" t="s">
        <v>435</v>
      </c>
      <c r="G573" t="s">
        <v>50</v>
      </c>
      <c r="H573">
        <v>1.1000000000000001</v>
      </c>
    </row>
    <row r="574" spans="1:8" x14ac:dyDescent="0.25">
      <c r="A574" s="7" t="s">
        <v>56</v>
      </c>
      <c r="B574" s="6" t="s">
        <v>57</v>
      </c>
      <c r="C574" s="7" t="s">
        <v>7</v>
      </c>
      <c r="D574" s="6" t="s">
        <v>8</v>
      </c>
      <c r="E574" s="6" t="s">
        <v>9</v>
      </c>
      <c r="F574" s="6" t="s">
        <v>10</v>
      </c>
      <c r="G574" s="6" t="s">
        <v>4756</v>
      </c>
      <c r="H574" s="6">
        <v>3.75</v>
      </c>
    </row>
    <row r="575" spans="1:8" x14ac:dyDescent="0.25">
      <c r="A575" s="1" t="s">
        <v>59</v>
      </c>
      <c r="B575" t="s">
        <v>60</v>
      </c>
      <c r="C575" s="1" t="s">
        <v>1162</v>
      </c>
      <c r="D575" t="s">
        <v>1163</v>
      </c>
      <c r="E575" t="s">
        <v>1164</v>
      </c>
      <c r="F575" t="s">
        <v>5</v>
      </c>
      <c r="G575" t="s">
        <v>3980</v>
      </c>
      <c r="H575">
        <v>0.25</v>
      </c>
    </row>
    <row r="576" spans="1:8" x14ac:dyDescent="0.25">
      <c r="A576" s="7" t="s">
        <v>59</v>
      </c>
      <c r="B576" s="6" t="s">
        <v>60</v>
      </c>
      <c r="C576" s="7" t="s">
        <v>432</v>
      </c>
      <c r="D576" s="6" t="s">
        <v>433</v>
      </c>
      <c r="E576" s="6" t="s">
        <v>434</v>
      </c>
      <c r="F576" s="6" t="s">
        <v>435</v>
      </c>
      <c r="G576" s="6" t="s">
        <v>50</v>
      </c>
      <c r="H576" s="6">
        <v>1.1000000000000001</v>
      </c>
    </row>
    <row r="577" spans="1:8" x14ac:dyDescent="0.25">
      <c r="A577" s="1" t="s">
        <v>59</v>
      </c>
      <c r="B577" t="s">
        <v>60</v>
      </c>
      <c r="C577" s="1" t="s">
        <v>7</v>
      </c>
      <c r="D577" t="s">
        <v>8</v>
      </c>
      <c r="E577" t="s">
        <v>9</v>
      </c>
      <c r="F577" t="s">
        <v>10</v>
      </c>
      <c r="G577" t="s">
        <v>1733</v>
      </c>
      <c r="H577">
        <v>2.5</v>
      </c>
    </row>
    <row r="578" spans="1:8" x14ac:dyDescent="0.25">
      <c r="A578" s="7" t="s">
        <v>62</v>
      </c>
      <c r="B578" s="6" t="s">
        <v>63</v>
      </c>
      <c r="C578" s="7" t="s">
        <v>429</v>
      </c>
      <c r="D578" s="6" t="s">
        <v>430</v>
      </c>
      <c r="E578" s="6" t="s">
        <v>145</v>
      </c>
      <c r="F578" s="6" t="s">
        <v>5</v>
      </c>
      <c r="G578" s="6" t="s">
        <v>5012</v>
      </c>
      <c r="H578" s="6">
        <v>0.45</v>
      </c>
    </row>
    <row r="579" spans="1:8" x14ac:dyDescent="0.25">
      <c r="A579" s="1" t="s">
        <v>62</v>
      </c>
      <c r="B579" t="s">
        <v>63</v>
      </c>
      <c r="C579" s="1" t="s">
        <v>432</v>
      </c>
      <c r="D579" t="s">
        <v>433</v>
      </c>
      <c r="E579" t="s">
        <v>434</v>
      </c>
      <c r="F579" t="s">
        <v>435</v>
      </c>
      <c r="G579" t="s">
        <v>50</v>
      </c>
      <c r="H579">
        <v>1.1000000000000001</v>
      </c>
    </row>
    <row r="580" spans="1:8" x14ac:dyDescent="0.25">
      <c r="A580" s="7" t="s">
        <v>62</v>
      </c>
      <c r="B580" s="6" t="s">
        <v>63</v>
      </c>
      <c r="C580" s="7" t="s">
        <v>7</v>
      </c>
      <c r="D580" s="6" t="s">
        <v>8</v>
      </c>
      <c r="E580" s="6" t="s">
        <v>9</v>
      </c>
      <c r="F580" s="6" t="s">
        <v>10</v>
      </c>
      <c r="G580" s="6" t="s">
        <v>607</v>
      </c>
      <c r="H580" s="6">
        <v>18.399999999999999</v>
      </c>
    </row>
    <row r="581" spans="1:8" x14ac:dyDescent="0.25">
      <c r="A581" s="1" t="s">
        <v>65</v>
      </c>
      <c r="B581" t="s">
        <v>66</v>
      </c>
      <c r="C581" s="1" t="s">
        <v>5013</v>
      </c>
      <c r="D581" t="s">
        <v>5014</v>
      </c>
      <c r="E581" t="s">
        <v>1354</v>
      </c>
      <c r="F581" t="s">
        <v>5</v>
      </c>
      <c r="G581" t="s">
        <v>5015</v>
      </c>
      <c r="H581">
        <v>0.9</v>
      </c>
    </row>
    <row r="582" spans="1:8" x14ac:dyDescent="0.25">
      <c r="A582" s="7" t="s">
        <v>65</v>
      </c>
      <c r="B582" s="6" t="s">
        <v>66</v>
      </c>
      <c r="C582" s="7" t="s">
        <v>7</v>
      </c>
      <c r="D582" s="6" t="s">
        <v>8</v>
      </c>
      <c r="E582" s="6" t="s">
        <v>9</v>
      </c>
      <c r="F582" s="6" t="s">
        <v>10</v>
      </c>
      <c r="G582" s="6" t="s">
        <v>5016</v>
      </c>
      <c r="H582" s="6">
        <v>1.65</v>
      </c>
    </row>
    <row r="583" spans="1:8" x14ac:dyDescent="0.25">
      <c r="A583" s="1" t="s">
        <v>68</v>
      </c>
      <c r="B583" t="s">
        <v>69</v>
      </c>
      <c r="C583" s="1" t="s">
        <v>3793</v>
      </c>
      <c r="D583" t="s">
        <v>3794</v>
      </c>
      <c r="E583" t="s">
        <v>3795</v>
      </c>
      <c r="F583" t="s">
        <v>5</v>
      </c>
      <c r="G583" t="s">
        <v>5017</v>
      </c>
      <c r="H583">
        <v>1.3</v>
      </c>
    </row>
    <row r="584" spans="1:8" x14ac:dyDescent="0.25">
      <c r="A584" s="7" t="s">
        <v>68</v>
      </c>
      <c r="B584" s="6" t="s">
        <v>69</v>
      </c>
      <c r="C584" s="7" t="s">
        <v>7</v>
      </c>
      <c r="D584" s="6" t="s">
        <v>8</v>
      </c>
      <c r="E584" s="6" t="s">
        <v>9</v>
      </c>
      <c r="F584" s="6" t="s">
        <v>10</v>
      </c>
      <c r="G584" s="6" t="s">
        <v>1740</v>
      </c>
      <c r="H584" s="6">
        <v>3.7</v>
      </c>
    </row>
    <row r="585" spans="1:8" x14ac:dyDescent="0.25">
      <c r="A585" s="1" t="s">
        <v>109</v>
      </c>
      <c r="B585" t="s">
        <v>110</v>
      </c>
      <c r="C585" s="1" t="s">
        <v>3026</v>
      </c>
      <c r="D585" t="s">
        <v>3027</v>
      </c>
      <c r="E585" t="s">
        <v>70</v>
      </c>
      <c r="F585" t="s">
        <v>5</v>
      </c>
      <c r="G585" t="s">
        <v>3404</v>
      </c>
      <c r="H585">
        <v>1.1000000000000001</v>
      </c>
    </row>
    <row r="586" spans="1:8" x14ac:dyDescent="0.25">
      <c r="A586" s="7" t="s">
        <v>109</v>
      </c>
      <c r="B586" s="6" t="s">
        <v>110</v>
      </c>
      <c r="C586" s="7" t="s">
        <v>432</v>
      </c>
      <c r="D586" s="6" t="s">
        <v>433</v>
      </c>
      <c r="E586" s="6" t="s">
        <v>434</v>
      </c>
      <c r="F586" s="6" t="s">
        <v>435</v>
      </c>
      <c r="G586" s="6" t="s">
        <v>5035</v>
      </c>
      <c r="H586" s="6">
        <v>0.6</v>
      </c>
    </row>
    <row r="587" spans="1:8" x14ac:dyDescent="0.25">
      <c r="A587" s="1" t="s">
        <v>109</v>
      </c>
      <c r="B587" t="s">
        <v>110</v>
      </c>
      <c r="C587" s="1" t="s">
        <v>7</v>
      </c>
      <c r="D587" t="s">
        <v>8</v>
      </c>
      <c r="E587" t="s">
        <v>9</v>
      </c>
      <c r="F587" t="s">
        <v>10</v>
      </c>
      <c r="G587" t="s">
        <v>1254</v>
      </c>
      <c r="H587">
        <v>16.100000000000001</v>
      </c>
    </row>
    <row r="588" spans="1:8" x14ac:dyDescent="0.25">
      <c r="A588" s="7" t="s">
        <v>331</v>
      </c>
      <c r="B588" s="6" t="s">
        <v>332</v>
      </c>
      <c r="C588" s="7" t="s">
        <v>1117</v>
      </c>
      <c r="D588" s="6" t="s">
        <v>1118</v>
      </c>
      <c r="E588" s="6" t="s">
        <v>876</v>
      </c>
      <c r="F588" s="6" t="s">
        <v>5</v>
      </c>
      <c r="G588" s="6" t="s">
        <v>3292</v>
      </c>
      <c r="H588" s="6">
        <v>0.8</v>
      </c>
    </row>
    <row r="589" spans="1:8" x14ac:dyDescent="0.25">
      <c r="A589" s="1" t="s">
        <v>331</v>
      </c>
      <c r="B589" t="s">
        <v>332</v>
      </c>
      <c r="C589" s="1" t="s">
        <v>7</v>
      </c>
      <c r="D589" t="s">
        <v>8</v>
      </c>
      <c r="E589" t="s">
        <v>9</v>
      </c>
      <c r="F589" t="s">
        <v>10</v>
      </c>
      <c r="G589" t="s">
        <v>594</v>
      </c>
      <c r="H589">
        <v>11.5</v>
      </c>
    </row>
    <row r="590" spans="1:8" x14ac:dyDescent="0.25">
      <c r="A590" s="7" t="s">
        <v>334</v>
      </c>
      <c r="B590" s="6" t="s">
        <v>335</v>
      </c>
      <c r="C590" s="7" t="s">
        <v>2961</v>
      </c>
      <c r="D590" s="6" t="s">
        <v>2962</v>
      </c>
      <c r="E590" s="6" t="s">
        <v>4430</v>
      </c>
      <c r="F590" s="6" t="s">
        <v>5</v>
      </c>
      <c r="G590" s="6" t="s">
        <v>5041</v>
      </c>
      <c r="H590" s="6">
        <v>0.15</v>
      </c>
    </row>
    <row r="591" spans="1:8" x14ac:dyDescent="0.25">
      <c r="A591" s="1" t="s">
        <v>334</v>
      </c>
      <c r="B591" t="s">
        <v>335</v>
      </c>
      <c r="C591" s="1" t="s">
        <v>7</v>
      </c>
      <c r="D591" t="s">
        <v>8</v>
      </c>
      <c r="E591" t="s">
        <v>9</v>
      </c>
      <c r="F591" t="s">
        <v>10</v>
      </c>
      <c r="G591" t="s">
        <v>1791</v>
      </c>
      <c r="H591">
        <v>2.4500000000000002</v>
      </c>
    </row>
    <row r="592" spans="1:8" x14ac:dyDescent="0.25">
      <c r="A592" s="7" t="s">
        <v>337</v>
      </c>
      <c r="B592" s="6" t="s">
        <v>338</v>
      </c>
      <c r="C592" s="7" t="s">
        <v>1162</v>
      </c>
      <c r="D592" s="6" t="s">
        <v>1163</v>
      </c>
      <c r="E592" s="6" t="s">
        <v>291</v>
      </c>
      <c r="F592" s="6" t="s">
        <v>5</v>
      </c>
      <c r="G592" s="6" t="s">
        <v>5042</v>
      </c>
      <c r="H592" s="6">
        <v>0.15</v>
      </c>
    </row>
    <row r="593" spans="1:8" x14ac:dyDescent="0.25">
      <c r="A593" s="1" t="s">
        <v>337</v>
      </c>
      <c r="B593" t="s">
        <v>338</v>
      </c>
      <c r="C593" s="1" t="s">
        <v>7</v>
      </c>
      <c r="D593" t="s">
        <v>8</v>
      </c>
      <c r="E593" t="s">
        <v>9</v>
      </c>
      <c r="F593" t="s">
        <v>10</v>
      </c>
      <c r="G593" t="s">
        <v>1791</v>
      </c>
      <c r="H593">
        <v>2.4500000000000002</v>
      </c>
    </row>
    <row r="594" spans="1:8" x14ac:dyDescent="0.25">
      <c r="A594" s="7" t="s">
        <v>339</v>
      </c>
      <c r="B594" s="6" t="s">
        <v>340</v>
      </c>
      <c r="C594" s="7" t="s">
        <v>1162</v>
      </c>
      <c r="D594" s="6" t="s">
        <v>1163</v>
      </c>
      <c r="E594" s="6" t="s">
        <v>291</v>
      </c>
      <c r="F594" s="6" t="s">
        <v>5</v>
      </c>
      <c r="G594" s="6" t="s">
        <v>5042</v>
      </c>
      <c r="H594" s="6">
        <v>0.15</v>
      </c>
    </row>
    <row r="595" spans="1:8" x14ac:dyDescent="0.25">
      <c r="A595" s="1" t="s">
        <v>339</v>
      </c>
      <c r="B595" t="s">
        <v>340</v>
      </c>
      <c r="C595" s="1" t="s">
        <v>7</v>
      </c>
      <c r="D595" t="s">
        <v>8</v>
      </c>
      <c r="E595" t="s">
        <v>9</v>
      </c>
      <c r="F595" t="s">
        <v>10</v>
      </c>
      <c r="G595" t="s">
        <v>1791</v>
      </c>
      <c r="H595">
        <v>2.4500000000000002</v>
      </c>
    </row>
    <row r="596" spans="1:8" x14ac:dyDescent="0.25">
      <c r="A596" s="7" t="s">
        <v>341</v>
      </c>
      <c r="B596" s="6" t="s">
        <v>5043</v>
      </c>
      <c r="C596" s="7" t="s">
        <v>3255</v>
      </c>
      <c r="D596" s="6" t="s">
        <v>3256</v>
      </c>
      <c r="E596" s="6" t="s">
        <v>3756</v>
      </c>
      <c r="F596" s="6" t="s">
        <v>5</v>
      </c>
      <c r="G596" s="6" t="s">
        <v>5044</v>
      </c>
      <c r="H596" s="6">
        <v>0.9</v>
      </c>
    </row>
    <row r="597" spans="1:8" x14ac:dyDescent="0.25">
      <c r="A597" s="1" t="s">
        <v>341</v>
      </c>
      <c r="B597" t="s">
        <v>5043</v>
      </c>
      <c r="C597" s="1" t="s">
        <v>7</v>
      </c>
      <c r="D597" t="s">
        <v>8</v>
      </c>
      <c r="E597" t="s">
        <v>9</v>
      </c>
      <c r="F597" t="s">
        <v>10</v>
      </c>
      <c r="G597" t="s">
        <v>1225</v>
      </c>
      <c r="H597">
        <v>2.5</v>
      </c>
    </row>
    <row r="598" spans="1:8" x14ac:dyDescent="0.25">
      <c r="A598" s="7" t="s">
        <v>322</v>
      </c>
      <c r="B598" s="6" t="s">
        <v>323</v>
      </c>
      <c r="C598" s="7" t="s">
        <v>3764</v>
      </c>
      <c r="D598" s="6" t="s">
        <v>3765</v>
      </c>
      <c r="E598" s="6" t="s">
        <v>2883</v>
      </c>
      <c r="F598" s="6" t="s">
        <v>5</v>
      </c>
      <c r="G598" s="6" t="s">
        <v>5090</v>
      </c>
      <c r="H598" s="6">
        <v>1.25</v>
      </c>
    </row>
    <row r="599" spans="1:8" x14ac:dyDescent="0.25">
      <c r="A599" s="1" t="s">
        <v>322</v>
      </c>
      <c r="B599" t="s">
        <v>323</v>
      </c>
      <c r="C599" s="1" t="s">
        <v>432</v>
      </c>
      <c r="D599" t="s">
        <v>433</v>
      </c>
      <c r="E599" t="s">
        <v>434</v>
      </c>
      <c r="F599" t="s">
        <v>435</v>
      </c>
      <c r="G599" t="s">
        <v>50</v>
      </c>
      <c r="H599">
        <v>1.1000000000000001</v>
      </c>
    </row>
    <row r="600" spans="1:8" x14ac:dyDescent="0.25">
      <c r="A600" s="7" t="s">
        <v>322</v>
      </c>
      <c r="B600" s="6" t="s">
        <v>323</v>
      </c>
      <c r="C600" s="7" t="s">
        <v>7</v>
      </c>
      <c r="D600" s="6" t="s">
        <v>8</v>
      </c>
      <c r="E600" s="6" t="s">
        <v>9</v>
      </c>
      <c r="F600" s="6" t="s">
        <v>10</v>
      </c>
      <c r="G600" s="6" t="s">
        <v>3810</v>
      </c>
      <c r="H600" s="6">
        <v>9.5500000000000007</v>
      </c>
    </row>
    <row r="601" spans="1:8" x14ac:dyDescent="0.25">
      <c r="A601" s="1" t="s">
        <v>324</v>
      </c>
      <c r="B601" t="s">
        <v>325</v>
      </c>
      <c r="C601" s="1" t="s">
        <v>2529</v>
      </c>
      <c r="D601" t="s">
        <v>2530</v>
      </c>
      <c r="E601" t="s">
        <v>2469</v>
      </c>
      <c r="F601" t="s">
        <v>5</v>
      </c>
      <c r="G601" t="s">
        <v>5091</v>
      </c>
      <c r="H601">
        <v>0.5</v>
      </c>
    </row>
    <row r="602" spans="1:8" x14ac:dyDescent="0.25">
      <c r="A602" s="7" t="s">
        <v>324</v>
      </c>
      <c r="B602" s="6" t="s">
        <v>325</v>
      </c>
      <c r="C602" s="7" t="s">
        <v>7</v>
      </c>
      <c r="D602" s="6" t="s">
        <v>8</v>
      </c>
      <c r="E602" s="6" t="s">
        <v>9</v>
      </c>
      <c r="F602" s="6" t="s">
        <v>10</v>
      </c>
      <c r="G602" s="6" t="s">
        <v>2544</v>
      </c>
      <c r="H602" s="6">
        <v>4.9000000000000004</v>
      </c>
    </row>
    <row r="603" spans="1:8" x14ac:dyDescent="0.25">
      <c r="A603" s="1" t="s">
        <v>326</v>
      </c>
      <c r="B603" t="s">
        <v>327</v>
      </c>
      <c r="C603" s="1" t="s">
        <v>5094</v>
      </c>
      <c r="D603" t="s">
        <v>5095</v>
      </c>
      <c r="E603" t="s">
        <v>3586</v>
      </c>
      <c r="F603" t="s">
        <v>5</v>
      </c>
      <c r="G603" t="s">
        <v>5098</v>
      </c>
      <c r="H603">
        <v>1.1499999999999999</v>
      </c>
    </row>
    <row r="604" spans="1:8" x14ac:dyDescent="0.25">
      <c r="A604" s="7" t="s">
        <v>326</v>
      </c>
      <c r="B604" s="6" t="s">
        <v>327</v>
      </c>
      <c r="C604" s="7" t="s">
        <v>7</v>
      </c>
      <c r="D604" s="6" t="s">
        <v>8</v>
      </c>
      <c r="E604" s="6" t="s">
        <v>9</v>
      </c>
      <c r="F604" s="6" t="s">
        <v>10</v>
      </c>
      <c r="G604" s="6" t="s">
        <v>5099</v>
      </c>
      <c r="H604" s="6">
        <v>5.05</v>
      </c>
    </row>
    <row r="605" spans="1:8" x14ac:dyDescent="0.25">
      <c r="A605" s="1" t="s">
        <v>2753</v>
      </c>
      <c r="B605" t="s">
        <v>2754</v>
      </c>
      <c r="C605" s="1" t="s">
        <v>1162</v>
      </c>
      <c r="D605" t="s">
        <v>1163</v>
      </c>
      <c r="E605" t="s">
        <v>1164</v>
      </c>
      <c r="F605" t="s">
        <v>5</v>
      </c>
      <c r="G605" t="s">
        <v>5123</v>
      </c>
      <c r="H605">
        <v>1</v>
      </c>
    </row>
    <row r="606" spans="1:8" x14ac:dyDescent="0.25">
      <c r="A606" s="7" t="s">
        <v>2753</v>
      </c>
      <c r="B606" s="6" t="s">
        <v>2754</v>
      </c>
      <c r="C606" s="7" t="s">
        <v>432</v>
      </c>
      <c r="D606" s="6" t="s">
        <v>433</v>
      </c>
      <c r="E606" s="6" t="s">
        <v>434</v>
      </c>
      <c r="F606" s="6" t="s">
        <v>435</v>
      </c>
      <c r="G606" s="6" t="s">
        <v>5124</v>
      </c>
      <c r="H606" s="6">
        <v>3.7</v>
      </c>
    </row>
    <row r="607" spans="1:8" x14ac:dyDescent="0.25">
      <c r="A607" s="1" t="s">
        <v>2753</v>
      </c>
      <c r="B607" t="s">
        <v>2754</v>
      </c>
      <c r="C607" s="1" t="s">
        <v>541</v>
      </c>
      <c r="D607" t="s">
        <v>542</v>
      </c>
      <c r="E607" t="s">
        <v>9</v>
      </c>
      <c r="F607" t="s">
        <v>10</v>
      </c>
      <c r="G607" t="s">
        <v>1178</v>
      </c>
      <c r="H607">
        <v>10.45</v>
      </c>
    </row>
    <row r="608" spans="1:8" x14ac:dyDescent="0.25">
      <c r="A608" s="7" t="s">
        <v>3532</v>
      </c>
      <c r="B608" s="6" t="s">
        <v>5171</v>
      </c>
      <c r="C608" s="7" t="s">
        <v>684</v>
      </c>
      <c r="D608" s="6" t="s">
        <v>685</v>
      </c>
      <c r="E608" s="6" t="s">
        <v>686</v>
      </c>
      <c r="F608" s="6" t="s">
        <v>49</v>
      </c>
      <c r="G608" s="6" t="s">
        <v>5172</v>
      </c>
      <c r="H608" s="6">
        <v>12.5</v>
      </c>
    </row>
    <row r="609" spans="1:8" x14ac:dyDescent="0.25">
      <c r="A609" s="1" t="s">
        <v>3532</v>
      </c>
      <c r="B609" t="s">
        <v>5171</v>
      </c>
      <c r="C609" s="1" t="s">
        <v>541</v>
      </c>
      <c r="D609" t="s">
        <v>542</v>
      </c>
      <c r="E609" t="s">
        <v>9</v>
      </c>
      <c r="F609" t="s">
        <v>10</v>
      </c>
      <c r="G609" t="s">
        <v>5173</v>
      </c>
      <c r="H609">
        <v>17.63</v>
      </c>
    </row>
    <row r="610" spans="1:8" x14ac:dyDescent="0.25">
      <c r="A610" s="7" t="s">
        <v>2800</v>
      </c>
      <c r="B610" s="6" t="s">
        <v>5189</v>
      </c>
      <c r="C610" s="7" t="s">
        <v>5190</v>
      </c>
      <c r="D610" s="6" t="s">
        <v>5191</v>
      </c>
      <c r="E610" s="6" t="s">
        <v>5192</v>
      </c>
      <c r="F610" s="6" t="s">
        <v>121</v>
      </c>
      <c r="G610" s="6" t="s">
        <v>50</v>
      </c>
      <c r="H610" s="6">
        <v>84.8</v>
      </c>
    </row>
    <row r="611" spans="1:8" x14ac:dyDescent="0.25">
      <c r="A611" s="1" t="s">
        <v>2800</v>
      </c>
      <c r="B611" t="s">
        <v>5189</v>
      </c>
      <c r="C611" s="1" t="s">
        <v>7</v>
      </c>
      <c r="D611" t="s">
        <v>8</v>
      </c>
      <c r="E611" t="s">
        <v>9</v>
      </c>
      <c r="F611" t="s">
        <v>10</v>
      </c>
      <c r="G611" t="s">
        <v>5193</v>
      </c>
      <c r="H611">
        <v>72.48</v>
      </c>
    </row>
    <row r="612" spans="1:8" x14ac:dyDescent="0.25">
      <c r="A612" s="7" t="s">
        <v>5190</v>
      </c>
      <c r="B612" s="6" t="s">
        <v>5194</v>
      </c>
      <c r="C612" s="7" t="s">
        <v>1249</v>
      </c>
      <c r="D612" s="6" t="s">
        <v>1250</v>
      </c>
      <c r="E612" s="6" t="s">
        <v>1251</v>
      </c>
      <c r="F612" s="6" t="s">
        <v>1252</v>
      </c>
      <c r="G612" s="6" t="s">
        <v>1006</v>
      </c>
      <c r="H612" s="6">
        <v>48</v>
      </c>
    </row>
    <row r="613" spans="1:8" x14ac:dyDescent="0.25">
      <c r="A613" s="1" t="s">
        <v>5190</v>
      </c>
      <c r="B613" t="s">
        <v>5194</v>
      </c>
      <c r="C613" s="1" t="s">
        <v>7</v>
      </c>
      <c r="D613" t="s">
        <v>8</v>
      </c>
      <c r="E613" t="s">
        <v>9</v>
      </c>
      <c r="F613" t="s">
        <v>10</v>
      </c>
      <c r="G613" t="s">
        <v>2214</v>
      </c>
      <c r="H613">
        <v>36.799999999999997</v>
      </c>
    </row>
    <row r="614" spans="1:8" x14ac:dyDescent="0.25">
      <c r="A614" s="7" t="s">
        <v>2803</v>
      </c>
      <c r="B614" s="6" t="s">
        <v>5195</v>
      </c>
      <c r="C614" s="7" t="s">
        <v>5196</v>
      </c>
      <c r="D614" s="6" t="s">
        <v>5197</v>
      </c>
      <c r="E614" s="6" t="s">
        <v>5198</v>
      </c>
      <c r="F614" s="6" t="s">
        <v>121</v>
      </c>
      <c r="G614" s="6" t="s">
        <v>50</v>
      </c>
      <c r="H614" s="6">
        <v>73.52</v>
      </c>
    </row>
    <row r="615" spans="1:8" x14ac:dyDescent="0.25">
      <c r="A615" s="1" t="s">
        <v>2803</v>
      </c>
      <c r="B615" t="s">
        <v>5195</v>
      </c>
      <c r="C615" s="1" t="s">
        <v>7</v>
      </c>
      <c r="D615" t="s">
        <v>8</v>
      </c>
      <c r="E615" t="s">
        <v>9</v>
      </c>
      <c r="F615" t="s">
        <v>10</v>
      </c>
      <c r="G615" t="s">
        <v>5199</v>
      </c>
      <c r="H615">
        <v>48.63</v>
      </c>
    </row>
    <row r="616" spans="1:8" x14ac:dyDescent="0.25">
      <c r="A616" s="7" t="s">
        <v>5196</v>
      </c>
      <c r="B616" s="6" t="s">
        <v>5200</v>
      </c>
      <c r="C616" s="7" t="s">
        <v>1249</v>
      </c>
      <c r="D616" s="6" t="s">
        <v>1250</v>
      </c>
      <c r="E616" s="6" t="s">
        <v>1251</v>
      </c>
      <c r="F616" s="6" t="s">
        <v>1252</v>
      </c>
      <c r="G616" s="6" t="s">
        <v>5201</v>
      </c>
      <c r="H616" s="6">
        <v>36.72</v>
      </c>
    </row>
    <row r="617" spans="1:8" x14ac:dyDescent="0.25">
      <c r="A617" s="1" t="s">
        <v>5196</v>
      </c>
      <c r="B617" t="s">
        <v>5200</v>
      </c>
      <c r="C617" s="1" t="s">
        <v>541</v>
      </c>
      <c r="D617" t="s">
        <v>542</v>
      </c>
      <c r="E617" t="s">
        <v>9</v>
      </c>
      <c r="F617" t="s">
        <v>10</v>
      </c>
      <c r="G617" t="s">
        <v>2214</v>
      </c>
      <c r="H617">
        <v>36.799999999999997</v>
      </c>
    </row>
    <row r="618" spans="1:8" x14ac:dyDescent="0.25">
      <c r="A618" s="7" t="s">
        <v>2806</v>
      </c>
      <c r="B618" s="6" t="s">
        <v>5202</v>
      </c>
      <c r="C618" s="7" t="s">
        <v>5203</v>
      </c>
      <c r="D618" s="6" t="s">
        <v>5204</v>
      </c>
      <c r="E618" s="6" t="s">
        <v>5192</v>
      </c>
      <c r="F618" s="6" t="s">
        <v>121</v>
      </c>
      <c r="G618" s="6" t="s">
        <v>50</v>
      </c>
      <c r="H618" s="6">
        <v>84.8</v>
      </c>
    </row>
    <row r="619" spans="1:8" x14ac:dyDescent="0.25">
      <c r="A619" s="1" t="s">
        <v>2806</v>
      </c>
      <c r="B619" t="s">
        <v>5202</v>
      </c>
      <c r="C619" s="1" t="s">
        <v>7</v>
      </c>
      <c r="D619" t="s">
        <v>8</v>
      </c>
      <c r="E619" t="s">
        <v>9</v>
      </c>
      <c r="F619" t="s">
        <v>10</v>
      </c>
      <c r="G619" t="s">
        <v>5205</v>
      </c>
      <c r="H619">
        <v>93.31</v>
      </c>
    </row>
    <row r="620" spans="1:8" x14ac:dyDescent="0.25">
      <c r="A620" s="7" t="s">
        <v>5203</v>
      </c>
      <c r="B620" s="6" t="s">
        <v>5206</v>
      </c>
      <c r="C620" s="7" t="s">
        <v>1249</v>
      </c>
      <c r="D620" s="6" t="s">
        <v>1250</v>
      </c>
      <c r="E620" s="6" t="s">
        <v>1251</v>
      </c>
      <c r="F620" s="6" t="s">
        <v>1252</v>
      </c>
      <c r="G620" s="6" t="s">
        <v>1006</v>
      </c>
      <c r="H620" s="6">
        <v>48</v>
      </c>
    </row>
    <row r="621" spans="1:8" x14ac:dyDescent="0.25">
      <c r="A621" s="1" t="s">
        <v>5203</v>
      </c>
      <c r="B621" t="s">
        <v>5206</v>
      </c>
      <c r="C621" s="1" t="s">
        <v>7</v>
      </c>
      <c r="D621" t="s">
        <v>8</v>
      </c>
      <c r="E621" t="s">
        <v>9</v>
      </c>
      <c r="F621" t="s">
        <v>10</v>
      </c>
      <c r="G621" t="s">
        <v>2214</v>
      </c>
      <c r="H621">
        <v>36.799999999999997</v>
      </c>
    </row>
    <row r="622" spans="1:8" x14ac:dyDescent="0.25">
      <c r="A622" s="7" t="s">
        <v>2809</v>
      </c>
      <c r="B622" s="6" t="s">
        <v>2810</v>
      </c>
      <c r="C622" s="7" t="s">
        <v>5207</v>
      </c>
      <c r="D622" s="6" t="s">
        <v>5208</v>
      </c>
      <c r="E622" s="6" t="s">
        <v>5209</v>
      </c>
      <c r="F622" s="6" t="s">
        <v>121</v>
      </c>
      <c r="G622" s="6" t="s">
        <v>50</v>
      </c>
      <c r="H622" s="6">
        <v>39.799999999999997</v>
      </c>
    </row>
    <row r="623" spans="1:8" x14ac:dyDescent="0.25">
      <c r="A623" s="1" t="s">
        <v>2809</v>
      </c>
      <c r="B623" t="s">
        <v>2810</v>
      </c>
      <c r="C623" s="1" t="s">
        <v>7</v>
      </c>
      <c r="D623" t="s">
        <v>8</v>
      </c>
      <c r="E623" t="s">
        <v>9</v>
      </c>
      <c r="F623" t="s">
        <v>10</v>
      </c>
      <c r="G623" t="s">
        <v>5210</v>
      </c>
      <c r="H623">
        <v>35.15</v>
      </c>
    </row>
    <row r="624" spans="1:8" x14ac:dyDescent="0.25">
      <c r="A624" s="7" t="s">
        <v>5207</v>
      </c>
      <c r="B624" s="6" t="s">
        <v>5208</v>
      </c>
      <c r="C624" s="7" t="s">
        <v>1249</v>
      </c>
      <c r="D624" s="6" t="s">
        <v>1250</v>
      </c>
      <c r="E624" s="6" t="s">
        <v>1251</v>
      </c>
      <c r="F624" s="6" t="s">
        <v>1252</v>
      </c>
      <c r="G624" s="6" t="s">
        <v>4856</v>
      </c>
      <c r="H624" s="6">
        <v>15.36</v>
      </c>
    </row>
    <row r="625" spans="1:8" x14ac:dyDescent="0.25">
      <c r="A625" s="1" t="s">
        <v>5207</v>
      </c>
      <c r="B625" t="s">
        <v>5208</v>
      </c>
      <c r="C625" s="1" t="s">
        <v>7</v>
      </c>
      <c r="D625" t="s">
        <v>8</v>
      </c>
      <c r="E625" t="s">
        <v>9</v>
      </c>
      <c r="F625" t="s">
        <v>10</v>
      </c>
      <c r="G625" t="s">
        <v>5211</v>
      </c>
      <c r="H625">
        <v>24.44</v>
      </c>
    </row>
    <row r="626" spans="1:8" x14ac:dyDescent="0.25">
      <c r="A626" s="7" t="s">
        <v>2812</v>
      </c>
      <c r="B626" s="6" t="s">
        <v>5212</v>
      </c>
      <c r="C626" s="7" t="s">
        <v>2509</v>
      </c>
      <c r="D626" s="6" t="s">
        <v>2510</v>
      </c>
      <c r="E626" s="6" t="s">
        <v>216</v>
      </c>
      <c r="F626" s="6" t="s">
        <v>5</v>
      </c>
      <c r="G626" s="6" t="s">
        <v>4640</v>
      </c>
      <c r="H626" s="6">
        <v>1</v>
      </c>
    </row>
    <row r="627" spans="1:8" x14ac:dyDescent="0.25">
      <c r="A627" s="1" t="s">
        <v>2812</v>
      </c>
      <c r="B627" t="s">
        <v>5212</v>
      </c>
      <c r="C627" s="1" t="s">
        <v>541</v>
      </c>
      <c r="D627" t="s">
        <v>542</v>
      </c>
      <c r="E627" t="s">
        <v>9</v>
      </c>
      <c r="F627" t="s">
        <v>10</v>
      </c>
      <c r="G627" t="s">
        <v>5213</v>
      </c>
      <c r="H627">
        <v>5.78</v>
      </c>
    </row>
    <row r="628" spans="1:8" x14ac:dyDescent="0.25">
      <c r="A628" s="7" t="s">
        <v>2815</v>
      </c>
      <c r="B628" s="6" t="s">
        <v>5219</v>
      </c>
      <c r="C628" s="7" t="s">
        <v>1249</v>
      </c>
      <c r="D628" s="6" t="s">
        <v>1250</v>
      </c>
      <c r="E628" s="6" t="s">
        <v>1251</v>
      </c>
      <c r="F628" s="6" t="s">
        <v>1252</v>
      </c>
      <c r="G628" s="6" t="s">
        <v>5220</v>
      </c>
      <c r="H628" s="6">
        <v>9.9600000000000009</v>
      </c>
    </row>
    <row r="629" spans="1:8" x14ac:dyDescent="0.25">
      <c r="A629" s="1" t="s">
        <v>2815</v>
      </c>
      <c r="B629" t="s">
        <v>5219</v>
      </c>
      <c r="C629" s="1" t="s">
        <v>541</v>
      </c>
      <c r="D629" t="s">
        <v>542</v>
      </c>
      <c r="E629" t="s">
        <v>9</v>
      </c>
      <c r="F629" t="s">
        <v>10</v>
      </c>
      <c r="G629" t="s">
        <v>5221</v>
      </c>
      <c r="H629">
        <v>12.68</v>
      </c>
    </row>
    <row r="630" spans="1:8" x14ac:dyDescent="0.25">
      <c r="A630" s="7" t="s">
        <v>2815</v>
      </c>
      <c r="B630" s="6" t="s">
        <v>5219</v>
      </c>
      <c r="C630" s="7" t="s">
        <v>7</v>
      </c>
      <c r="D630" s="6" t="s">
        <v>8</v>
      </c>
      <c r="E630" s="6" t="s">
        <v>9</v>
      </c>
      <c r="F630" s="6" t="s">
        <v>10</v>
      </c>
      <c r="G630" s="6" t="s">
        <v>5222</v>
      </c>
      <c r="H630" s="6">
        <v>17.02</v>
      </c>
    </row>
    <row r="631" spans="1:8" x14ac:dyDescent="0.25">
      <c r="A631" s="1" t="s">
        <v>2818</v>
      </c>
      <c r="B631" t="s">
        <v>5223</v>
      </c>
      <c r="C631" s="1" t="s">
        <v>1249</v>
      </c>
      <c r="D631" t="s">
        <v>1250</v>
      </c>
      <c r="E631" t="s">
        <v>1251</v>
      </c>
      <c r="F631" t="s">
        <v>1252</v>
      </c>
      <c r="G631" t="s">
        <v>5224</v>
      </c>
      <c r="H631">
        <v>9</v>
      </c>
    </row>
    <row r="632" spans="1:8" x14ac:dyDescent="0.25">
      <c r="A632" s="7" t="s">
        <v>2818</v>
      </c>
      <c r="B632" s="6" t="s">
        <v>5223</v>
      </c>
      <c r="C632" s="7" t="s">
        <v>541</v>
      </c>
      <c r="D632" s="6" t="s">
        <v>542</v>
      </c>
      <c r="E632" s="6" t="s">
        <v>9</v>
      </c>
      <c r="F632" s="6" t="s">
        <v>10</v>
      </c>
      <c r="G632" s="6" t="s">
        <v>594</v>
      </c>
      <c r="H632" s="6">
        <v>11.5</v>
      </c>
    </row>
    <row r="633" spans="1:8" x14ac:dyDescent="0.25">
      <c r="A633" s="1" t="s">
        <v>2818</v>
      </c>
      <c r="B633" t="s">
        <v>5223</v>
      </c>
      <c r="C633" s="1" t="s">
        <v>7</v>
      </c>
      <c r="D633" t="s">
        <v>8</v>
      </c>
      <c r="E633" t="s">
        <v>9</v>
      </c>
      <c r="F633" t="s">
        <v>10</v>
      </c>
      <c r="G633" t="s">
        <v>5225</v>
      </c>
      <c r="H633">
        <v>24.45</v>
      </c>
    </row>
    <row r="634" spans="1:8" x14ac:dyDescent="0.25">
      <c r="A634" s="7" t="s">
        <v>2855</v>
      </c>
      <c r="B634" s="6" t="s">
        <v>2856</v>
      </c>
      <c r="C634" s="7" t="s">
        <v>1447</v>
      </c>
      <c r="D634" s="6" t="s">
        <v>1448</v>
      </c>
      <c r="E634" s="6" t="s">
        <v>779</v>
      </c>
      <c r="F634" s="6" t="s">
        <v>5</v>
      </c>
      <c r="G634" s="6" t="s">
        <v>5239</v>
      </c>
      <c r="H634" s="6">
        <v>1.65</v>
      </c>
    </row>
    <row r="635" spans="1:8" x14ac:dyDescent="0.25">
      <c r="A635" s="1" t="s">
        <v>2855</v>
      </c>
      <c r="B635" t="s">
        <v>2856</v>
      </c>
      <c r="C635" s="1" t="s">
        <v>541</v>
      </c>
      <c r="D635" t="s">
        <v>542</v>
      </c>
      <c r="E635" t="s">
        <v>9</v>
      </c>
      <c r="F635" t="s">
        <v>10</v>
      </c>
      <c r="G635" t="s">
        <v>5240</v>
      </c>
      <c r="H635">
        <v>4.29</v>
      </c>
    </row>
    <row r="636" spans="1:8" x14ac:dyDescent="0.25">
      <c r="A636" s="7" t="s">
        <v>5254</v>
      </c>
      <c r="B636" s="6" t="s">
        <v>5255</v>
      </c>
      <c r="C636" s="7" t="s">
        <v>1249</v>
      </c>
      <c r="D636" s="6" t="s">
        <v>1250</v>
      </c>
      <c r="E636" s="6" t="s">
        <v>1251</v>
      </c>
      <c r="F636" s="6" t="s">
        <v>1252</v>
      </c>
      <c r="G636" s="6" t="s">
        <v>2213</v>
      </c>
      <c r="H636" s="6">
        <v>9.6</v>
      </c>
    </row>
    <row r="637" spans="1:8" x14ac:dyDescent="0.25">
      <c r="A637" s="1" t="s">
        <v>5254</v>
      </c>
      <c r="B637" t="s">
        <v>5255</v>
      </c>
      <c r="C637" s="1" t="s">
        <v>7</v>
      </c>
      <c r="D637" t="s">
        <v>8</v>
      </c>
      <c r="E637" t="s">
        <v>9</v>
      </c>
      <c r="F637" t="s">
        <v>10</v>
      </c>
      <c r="G637" t="s">
        <v>5256</v>
      </c>
      <c r="H637">
        <v>15.07</v>
      </c>
    </row>
    <row r="638" spans="1:8" x14ac:dyDescent="0.25">
      <c r="A638" s="7" t="s">
        <v>5254</v>
      </c>
      <c r="B638" s="6" t="s">
        <v>5255</v>
      </c>
      <c r="C638" s="7" t="s">
        <v>7</v>
      </c>
      <c r="D638" s="6" t="s">
        <v>8</v>
      </c>
      <c r="E638" s="6" t="s">
        <v>9</v>
      </c>
      <c r="F638" s="6" t="s">
        <v>10</v>
      </c>
      <c r="G638" s="6" t="s">
        <v>1254</v>
      </c>
      <c r="H638" s="6">
        <v>16.100000000000001</v>
      </c>
    </row>
    <row r="639" spans="1:8" x14ac:dyDescent="0.25">
      <c r="A639" s="1" t="s">
        <v>5257</v>
      </c>
      <c r="B639" t="s">
        <v>5258</v>
      </c>
      <c r="C639" s="1" t="s">
        <v>1249</v>
      </c>
      <c r="D639" t="s">
        <v>1250</v>
      </c>
      <c r="E639" t="s">
        <v>1251</v>
      </c>
      <c r="F639" t="s">
        <v>1252</v>
      </c>
      <c r="G639" t="s">
        <v>4856</v>
      </c>
      <c r="H639">
        <v>15.36</v>
      </c>
    </row>
    <row r="640" spans="1:8" x14ac:dyDescent="0.25">
      <c r="A640" s="7" t="s">
        <v>5257</v>
      </c>
      <c r="B640" s="6" t="s">
        <v>5258</v>
      </c>
      <c r="C640" s="7" t="s">
        <v>7</v>
      </c>
      <c r="D640" s="6" t="s">
        <v>8</v>
      </c>
      <c r="E640" s="6" t="s">
        <v>9</v>
      </c>
      <c r="F640" s="6" t="s">
        <v>10</v>
      </c>
      <c r="G640" s="6" t="s">
        <v>5259</v>
      </c>
      <c r="H640" s="6">
        <v>16.32</v>
      </c>
    </row>
    <row r="641" spans="1:8" x14ac:dyDescent="0.25">
      <c r="A641" s="1" t="s">
        <v>5315</v>
      </c>
      <c r="B641" t="s">
        <v>5316</v>
      </c>
      <c r="C641" s="1" t="s">
        <v>432</v>
      </c>
      <c r="D641" t="s">
        <v>433</v>
      </c>
      <c r="E641" t="s">
        <v>434</v>
      </c>
      <c r="F641" t="s">
        <v>435</v>
      </c>
      <c r="G641" t="s">
        <v>5317</v>
      </c>
      <c r="H641">
        <v>22.79</v>
      </c>
    </row>
    <row r="642" spans="1:8" x14ac:dyDescent="0.25">
      <c r="A642" s="7" t="s">
        <v>5315</v>
      </c>
      <c r="B642" s="6" t="s">
        <v>5316</v>
      </c>
      <c r="C642" s="7" t="s">
        <v>684</v>
      </c>
      <c r="D642" s="6" t="s">
        <v>685</v>
      </c>
      <c r="E642" s="6" t="s">
        <v>686</v>
      </c>
      <c r="F642" s="6" t="s">
        <v>49</v>
      </c>
      <c r="G642" s="6" t="s">
        <v>5318</v>
      </c>
      <c r="H642" s="6">
        <v>250</v>
      </c>
    </row>
    <row r="643" spans="1:8" x14ac:dyDescent="0.25">
      <c r="A643" s="1" t="s">
        <v>5315</v>
      </c>
      <c r="B643" t="s">
        <v>5316</v>
      </c>
      <c r="C643" s="1" t="s">
        <v>7</v>
      </c>
      <c r="D643" t="s">
        <v>8</v>
      </c>
      <c r="E643" t="s">
        <v>9</v>
      </c>
      <c r="F643" t="s">
        <v>10</v>
      </c>
      <c r="G643" t="s">
        <v>984</v>
      </c>
      <c r="H643">
        <v>644</v>
      </c>
    </row>
    <row r="644" spans="1:8" x14ac:dyDescent="0.25">
      <c r="A644" s="7" t="s">
        <v>5319</v>
      </c>
      <c r="B644" s="6" t="s">
        <v>5320</v>
      </c>
      <c r="C644" s="7" t="s">
        <v>432</v>
      </c>
      <c r="D644" s="6" t="s">
        <v>433</v>
      </c>
      <c r="E644" s="6" t="s">
        <v>434</v>
      </c>
      <c r="F644" s="6" t="s">
        <v>435</v>
      </c>
      <c r="G644" s="6" t="s">
        <v>5321</v>
      </c>
      <c r="H644" s="6">
        <v>15.99</v>
      </c>
    </row>
    <row r="645" spans="1:8" x14ac:dyDescent="0.25">
      <c r="A645" s="1" t="s">
        <v>5319</v>
      </c>
      <c r="B645" t="s">
        <v>5320</v>
      </c>
      <c r="C645" s="1" t="s">
        <v>684</v>
      </c>
      <c r="D645" t="s">
        <v>685</v>
      </c>
      <c r="E645" t="s">
        <v>686</v>
      </c>
      <c r="F645" t="s">
        <v>49</v>
      </c>
      <c r="G645" t="s">
        <v>5322</v>
      </c>
      <c r="H645">
        <v>200</v>
      </c>
    </row>
    <row r="646" spans="1:8" x14ac:dyDescent="0.25">
      <c r="A646" s="7" t="s">
        <v>5319</v>
      </c>
      <c r="B646" s="6" t="s">
        <v>5320</v>
      </c>
      <c r="C646" s="7" t="s">
        <v>7</v>
      </c>
      <c r="D646" s="6" t="s">
        <v>8</v>
      </c>
      <c r="E646" s="6" t="s">
        <v>9</v>
      </c>
      <c r="F646" s="6" t="s">
        <v>10</v>
      </c>
      <c r="G646" s="6" t="s">
        <v>984</v>
      </c>
      <c r="H646" s="6">
        <v>644</v>
      </c>
    </row>
    <row r="647" spans="1:8" x14ac:dyDescent="0.25">
      <c r="A647" s="1" t="s">
        <v>5323</v>
      </c>
      <c r="B647" t="s">
        <v>5324</v>
      </c>
      <c r="C647" s="1" t="s">
        <v>432</v>
      </c>
      <c r="D647" t="s">
        <v>433</v>
      </c>
      <c r="E647" t="s">
        <v>434</v>
      </c>
      <c r="F647" t="s">
        <v>435</v>
      </c>
      <c r="G647" t="s">
        <v>5325</v>
      </c>
      <c r="H647">
        <v>21.78</v>
      </c>
    </row>
    <row r="648" spans="1:8" x14ac:dyDescent="0.25">
      <c r="A648" s="7" t="s">
        <v>5323</v>
      </c>
      <c r="B648" s="6" t="s">
        <v>5324</v>
      </c>
      <c r="C648" s="7" t="s">
        <v>684</v>
      </c>
      <c r="D648" s="6" t="s">
        <v>685</v>
      </c>
      <c r="E648" s="6" t="s">
        <v>686</v>
      </c>
      <c r="F648" s="6" t="s">
        <v>49</v>
      </c>
      <c r="G648" s="6" t="s">
        <v>5326</v>
      </c>
      <c r="H648" s="6">
        <v>265</v>
      </c>
    </row>
    <row r="649" spans="1:8" x14ac:dyDescent="0.25">
      <c r="A649" s="1" t="s">
        <v>5323</v>
      </c>
      <c r="B649" t="s">
        <v>5324</v>
      </c>
      <c r="C649" s="1" t="s">
        <v>7</v>
      </c>
      <c r="D649" t="s">
        <v>8</v>
      </c>
      <c r="E649" t="s">
        <v>9</v>
      </c>
      <c r="F649" t="s">
        <v>10</v>
      </c>
      <c r="G649" t="s">
        <v>5327</v>
      </c>
      <c r="H649">
        <v>1104</v>
      </c>
    </row>
    <row r="650" spans="1:8" x14ac:dyDescent="0.25">
      <c r="A650" s="7" t="s">
        <v>5369</v>
      </c>
      <c r="B650" s="6" t="s">
        <v>5370</v>
      </c>
      <c r="C650" s="7" t="s">
        <v>5375</v>
      </c>
      <c r="D650" s="6" t="s">
        <v>5376</v>
      </c>
      <c r="E650" s="6" t="s">
        <v>1768</v>
      </c>
      <c r="F650" s="6" t="s">
        <v>5</v>
      </c>
      <c r="G650" s="6" t="s">
        <v>5377</v>
      </c>
      <c r="H650" s="6">
        <v>0</v>
      </c>
    </row>
    <row r="651" spans="1:8" x14ac:dyDescent="0.25">
      <c r="A651" s="1" t="s">
        <v>5369</v>
      </c>
      <c r="B651" t="s">
        <v>5370</v>
      </c>
      <c r="C651" s="1" t="s">
        <v>432</v>
      </c>
      <c r="D651" t="s">
        <v>433</v>
      </c>
      <c r="E651" t="s">
        <v>434</v>
      </c>
      <c r="F651" t="s">
        <v>435</v>
      </c>
      <c r="G651" t="s">
        <v>50</v>
      </c>
      <c r="H651">
        <v>1.1000000000000001</v>
      </c>
    </row>
    <row r="652" spans="1:8" x14ac:dyDescent="0.25">
      <c r="A652" s="7" t="s">
        <v>5369</v>
      </c>
      <c r="B652" s="6" t="s">
        <v>5370</v>
      </c>
      <c r="C652" s="7" t="s">
        <v>7</v>
      </c>
      <c r="D652" s="6" t="s">
        <v>8</v>
      </c>
      <c r="E652" s="6" t="s">
        <v>9</v>
      </c>
      <c r="F652" s="6" t="s">
        <v>10</v>
      </c>
      <c r="G652" s="6" t="s">
        <v>367</v>
      </c>
      <c r="H652" s="6">
        <v>2.2999999999999998</v>
      </c>
    </row>
    <row r="653" spans="1:8" x14ac:dyDescent="0.25">
      <c r="A653" s="1" t="s">
        <v>5399</v>
      </c>
      <c r="B653" t="s">
        <v>5400</v>
      </c>
      <c r="C653" s="1" t="s">
        <v>5403</v>
      </c>
      <c r="D653" t="s">
        <v>5404</v>
      </c>
      <c r="E653" t="s">
        <v>5405</v>
      </c>
      <c r="F653" t="s">
        <v>49</v>
      </c>
      <c r="G653" t="s">
        <v>50</v>
      </c>
      <c r="H653">
        <v>53.12</v>
      </c>
    </row>
    <row r="654" spans="1:8" x14ac:dyDescent="0.25">
      <c r="A654" s="7" t="s">
        <v>5399</v>
      </c>
      <c r="B654" s="6" t="s">
        <v>5400</v>
      </c>
      <c r="C654" s="7" t="s">
        <v>5406</v>
      </c>
      <c r="D654" s="6" t="s">
        <v>5407</v>
      </c>
      <c r="E654" s="6" t="s">
        <v>5408</v>
      </c>
      <c r="F654" s="6" t="s">
        <v>49</v>
      </c>
      <c r="G654" s="6" t="s">
        <v>50</v>
      </c>
      <c r="H654" s="6">
        <v>61.52</v>
      </c>
    </row>
    <row r="655" spans="1:8" x14ac:dyDescent="0.25">
      <c r="A655" s="1" t="s">
        <v>5399</v>
      </c>
      <c r="B655" t="s">
        <v>5400</v>
      </c>
      <c r="C655" s="1" t="s">
        <v>857</v>
      </c>
      <c r="D655" t="s">
        <v>858</v>
      </c>
      <c r="E655" t="s">
        <v>686</v>
      </c>
      <c r="F655" t="s">
        <v>49</v>
      </c>
      <c r="G655" t="s">
        <v>5409</v>
      </c>
      <c r="H655">
        <v>1.05</v>
      </c>
    </row>
    <row r="656" spans="1:8" x14ac:dyDescent="0.25">
      <c r="A656" s="7" t="s">
        <v>5399</v>
      </c>
      <c r="B656" s="6" t="s">
        <v>5400</v>
      </c>
      <c r="C656" s="7" t="s">
        <v>7</v>
      </c>
      <c r="D656" s="6" t="s">
        <v>8</v>
      </c>
      <c r="E656" s="6" t="s">
        <v>9</v>
      </c>
      <c r="F656" s="6" t="s">
        <v>10</v>
      </c>
      <c r="G656" s="6" t="s">
        <v>3839</v>
      </c>
      <c r="H656" s="6">
        <v>36.17</v>
      </c>
    </row>
    <row r="657" spans="1:8" x14ac:dyDescent="0.25">
      <c r="A657" s="1" t="s">
        <v>5399</v>
      </c>
      <c r="B657" t="s">
        <v>5400</v>
      </c>
      <c r="C657" s="1" t="s">
        <v>7</v>
      </c>
      <c r="D657" t="s">
        <v>8</v>
      </c>
      <c r="E657" t="s">
        <v>9</v>
      </c>
      <c r="F657" t="s">
        <v>10</v>
      </c>
      <c r="G657" t="s">
        <v>5410</v>
      </c>
      <c r="H657">
        <v>38.47</v>
      </c>
    </row>
    <row r="658" spans="1:8" x14ac:dyDescent="0.25">
      <c r="A658" s="7" t="s">
        <v>5399</v>
      </c>
      <c r="B658" s="6" t="s">
        <v>5400</v>
      </c>
      <c r="C658" s="7" t="s">
        <v>7</v>
      </c>
      <c r="D658" s="6" t="s">
        <v>8</v>
      </c>
      <c r="E658" s="6" t="s">
        <v>9</v>
      </c>
      <c r="F658" s="6" t="s">
        <v>10</v>
      </c>
      <c r="G658" s="6" t="s">
        <v>5411</v>
      </c>
      <c r="H658" s="6">
        <v>6.97</v>
      </c>
    </row>
    <row r="659" spans="1:8" x14ac:dyDescent="0.25">
      <c r="A659" s="1" t="s">
        <v>5403</v>
      </c>
      <c r="B659" t="s">
        <v>5404</v>
      </c>
      <c r="C659" s="1" t="s">
        <v>3258</v>
      </c>
      <c r="D659" t="s">
        <v>3259</v>
      </c>
      <c r="E659" t="s">
        <v>70</v>
      </c>
      <c r="F659" t="s">
        <v>5</v>
      </c>
      <c r="G659" t="s">
        <v>5412</v>
      </c>
      <c r="H659">
        <v>24.75</v>
      </c>
    </row>
    <row r="660" spans="1:8" x14ac:dyDescent="0.25">
      <c r="A660" s="7" t="s">
        <v>5403</v>
      </c>
      <c r="B660" s="6" t="s">
        <v>5404</v>
      </c>
      <c r="C660" s="7" t="s">
        <v>7</v>
      </c>
      <c r="D660" s="6" t="s">
        <v>8</v>
      </c>
      <c r="E660" s="6" t="s">
        <v>9</v>
      </c>
      <c r="F660" s="6" t="s">
        <v>10</v>
      </c>
      <c r="G660" s="6" t="s">
        <v>5413</v>
      </c>
      <c r="H660" s="6">
        <v>28.37</v>
      </c>
    </row>
    <row r="661" spans="1:8" x14ac:dyDescent="0.25">
      <c r="A661" s="1" t="s">
        <v>5406</v>
      </c>
      <c r="B661" t="s">
        <v>5407</v>
      </c>
      <c r="C661" s="1" t="s">
        <v>5414</v>
      </c>
      <c r="D661" t="s">
        <v>5415</v>
      </c>
      <c r="E661" t="s">
        <v>5416</v>
      </c>
      <c r="F661" t="s">
        <v>49</v>
      </c>
      <c r="G661" t="s">
        <v>50</v>
      </c>
      <c r="H661">
        <v>33.15</v>
      </c>
    </row>
    <row r="662" spans="1:8" x14ac:dyDescent="0.25">
      <c r="A662" s="7" t="s">
        <v>5406</v>
      </c>
      <c r="B662" s="6" t="s">
        <v>5407</v>
      </c>
      <c r="C662" s="7" t="s">
        <v>7</v>
      </c>
      <c r="D662" s="6" t="s">
        <v>8</v>
      </c>
      <c r="E662" s="6" t="s">
        <v>9</v>
      </c>
      <c r="F662" s="6" t="s">
        <v>10</v>
      </c>
      <c r="G662" s="6" t="s">
        <v>5413</v>
      </c>
      <c r="H662" s="6">
        <v>28.37</v>
      </c>
    </row>
    <row r="663" spans="1:8" x14ac:dyDescent="0.25">
      <c r="A663" s="1" t="s">
        <v>5502</v>
      </c>
      <c r="B663" t="s">
        <v>5503</v>
      </c>
      <c r="C663" s="1" t="s">
        <v>1249</v>
      </c>
      <c r="D663" t="s">
        <v>1250</v>
      </c>
      <c r="E663" t="s">
        <v>1251</v>
      </c>
      <c r="F663" t="s">
        <v>1252</v>
      </c>
      <c r="G663" t="s">
        <v>5220</v>
      </c>
      <c r="H663">
        <v>9.9600000000000009</v>
      </c>
    </row>
    <row r="664" spans="1:8" x14ac:dyDescent="0.25">
      <c r="A664" s="7" t="s">
        <v>5502</v>
      </c>
      <c r="B664" s="6" t="s">
        <v>5503</v>
      </c>
      <c r="C664" s="7" t="s">
        <v>7</v>
      </c>
      <c r="D664" s="6" t="s">
        <v>8</v>
      </c>
      <c r="E664" s="6" t="s">
        <v>9</v>
      </c>
      <c r="F664" s="6" t="s">
        <v>10</v>
      </c>
      <c r="G664" s="6" t="s">
        <v>5509</v>
      </c>
      <c r="H664" s="6">
        <v>15.84</v>
      </c>
    </row>
    <row r="665" spans="1:8" x14ac:dyDescent="0.25">
      <c r="A665" s="1" t="s">
        <v>5502</v>
      </c>
      <c r="B665" t="s">
        <v>5503</v>
      </c>
      <c r="C665" s="1" t="s">
        <v>7</v>
      </c>
      <c r="D665" t="s">
        <v>8</v>
      </c>
      <c r="E665" t="s">
        <v>9</v>
      </c>
      <c r="F665" t="s">
        <v>10</v>
      </c>
      <c r="G665" t="s">
        <v>5510</v>
      </c>
      <c r="H665">
        <v>14.98</v>
      </c>
    </row>
    <row r="666" spans="1:8" x14ac:dyDescent="0.25">
      <c r="A666" s="7" t="s">
        <v>5505</v>
      </c>
      <c r="B666" s="6" t="s">
        <v>5506</v>
      </c>
      <c r="C666" s="7" t="s">
        <v>1249</v>
      </c>
      <c r="D666" s="6" t="s">
        <v>1250</v>
      </c>
      <c r="E666" s="6" t="s">
        <v>1251</v>
      </c>
      <c r="F666" s="6" t="s">
        <v>1252</v>
      </c>
      <c r="G666" s="6" t="s">
        <v>1893</v>
      </c>
      <c r="H666" s="6">
        <v>15.96</v>
      </c>
    </row>
    <row r="667" spans="1:8" x14ac:dyDescent="0.25">
      <c r="A667" s="1" t="s">
        <v>5505</v>
      </c>
      <c r="B667" t="s">
        <v>5506</v>
      </c>
      <c r="C667" s="1" t="s">
        <v>7</v>
      </c>
      <c r="D667" t="s">
        <v>8</v>
      </c>
      <c r="E667" t="s">
        <v>9</v>
      </c>
      <c r="F667" t="s">
        <v>10</v>
      </c>
      <c r="G667" t="s">
        <v>5511</v>
      </c>
      <c r="H667">
        <v>16.03</v>
      </c>
    </row>
    <row r="668" spans="1:8" x14ac:dyDescent="0.25">
      <c r="A668" s="7" t="s">
        <v>2858</v>
      </c>
      <c r="B668" s="6" t="s">
        <v>2859</v>
      </c>
      <c r="C668" s="7" t="s">
        <v>5512</v>
      </c>
      <c r="D668" s="6" t="s">
        <v>5513</v>
      </c>
      <c r="E668" s="6" t="s">
        <v>3119</v>
      </c>
      <c r="F668" s="6" t="s">
        <v>49</v>
      </c>
      <c r="G668" s="6" t="s">
        <v>50</v>
      </c>
      <c r="H668" s="6">
        <v>195</v>
      </c>
    </row>
    <row r="669" spans="1:8" x14ac:dyDescent="0.25">
      <c r="A669" s="1" t="s">
        <v>2858</v>
      </c>
      <c r="B669" t="s">
        <v>2859</v>
      </c>
      <c r="C669" s="1" t="s">
        <v>7</v>
      </c>
      <c r="D669" t="s">
        <v>8</v>
      </c>
      <c r="E669" t="s">
        <v>9</v>
      </c>
      <c r="F669" t="s">
        <v>10</v>
      </c>
      <c r="G669" t="s">
        <v>5514</v>
      </c>
      <c r="H669">
        <v>88.46</v>
      </c>
    </row>
    <row r="670" spans="1:8" x14ac:dyDescent="0.25">
      <c r="A670" s="7" t="s">
        <v>2861</v>
      </c>
      <c r="B670" s="6" t="s">
        <v>2862</v>
      </c>
      <c r="C670" s="7" t="s">
        <v>5515</v>
      </c>
      <c r="D670" s="6" t="s">
        <v>5516</v>
      </c>
      <c r="E670" s="6" t="s">
        <v>5517</v>
      </c>
      <c r="F670" s="6" t="s">
        <v>49</v>
      </c>
      <c r="G670" s="6" t="s">
        <v>50</v>
      </c>
      <c r="H670" s="6">
        <v>185</v>
      </c>
    </row>
    <row r="671" spans="1:8" x14ac:dyDescent="0.25">
      <c r="A671" s="1" t="s">
        <v>2861</v>
      </c>
      <c r="B671" t="s">
        <v>2862</v>
      </c>
      <c r="C671" s="1" t="s">
        <v>7</v>
      </c>
      <c r="D671" t="s">
        <v>8</v>
      </c>
      <c r="E671" t="s">
        <v>9</v>
      </c>
      <c r="F671" t="s">
        <v>10</v>
      </c>
      <c r="G671" t="s">
        <v>3371</v>
      </c>
      <c r="H671">
        <v>58.97</v>
      </c>
    </row>
    <row r="672" spans="1:8" x14ac:dyDescent="0.25">
      <c r="A672" s="7" t="s">
        <v>2864</v>
      </c>
      <c r="B672" s="6" t="s">
        <v>2865</v>
      </c>
      <c r="C672" s="7" t="s">
        <v>5518</v>
      </c>
      <c r="D672" s="6" t="s">
        <v>5519</v>
      </c>
      <c r="E672" s="6" t="s">
        <v>5520</v>
      </c>
      <c r="F672" s="6" t="s">
        <v>49</v>
      </c>
      <c r="G672" s="6" t="s">
        <v>50</v>
      </c>
      <c r="H672" s="6">
        <v>160</v>
      </c>
    </row>
    <row r="673" spans="1:8" x14ac:dyDescent="0.25">
      <c r="A673" s="1" t="s">
        <v>2864</v>
      </c>
      <c r="B673" t="s">
        <v>2865</v>
      </c>
      <c r="C673" s="1" t="s">
        <v>2577</v>
      </c>
      <c r="D673" t="s">
        <v>2578</v>
      </c>
      <c r="E673" t="s">
        <v>686</v>
      </c>
      <c r="F673" t="s">
        <v>49</v>
      </c>
      <c r="G673" t="s">
        <v>5521</v>
      </c>
      <c r="H673">
        <v>160</v>
      </c>
    </row>
    <row r="674" spans="1:8" x14ac:dyDescent="0.25">
      <c r="A674" s="7" t="s">
        <v>2864</v>
      </c>
      <c r="B674" s="6" t="s">
        <v>2865</v>
      </c>
      <c r="C674" s="7" t="s">
        <v>7</v>
      </c>
      <c r="D674" s="6" t="s">
        <v>8</v>
      </c>
      <c r="E674" s="6" t="s">
        <v>9</v>
      </c>
      <c r="F674" s="6" t="s">
        <v>10</v>
      </c>
      <c r="G674" s="6" t="s">
        <v>5522</v>
      </c>
      <c r="H674" s="6">
        <v>117.95</v>
      </c>
    </row>
    <row r="675" spans="1:8" x14ac:dyDescent="0.25">
      <c r="A675" s="1" t="s">
        <v>2867</v>
      </c>
      <c r="B675" t="s">
        <v>2868</v>
      </c>
      <c r="C675" s="1" t="s">
        <v>5523</v>
      </c>
      <c r="D675" t="s">
        <v>5524</v>
      </c>
      <c r="E675" t="s">
        <v>2356</v>
      </c>
      <c r="F675" t="s">
        <v>49</v>
      </c>
      <c r="G675" t="s">
        <v>50</v>
      </c>
      <c r="H675">
        <v>50</v>
      </c>
    </row>
    <row r="676" spans="1:8" x14ac:dyDescent="0.25">
      <c r="A676" s="7" t="s">
        <v>2867</v>
      </c>
      <c r="B676" s="6" t="s">
        <v>2868</v>
      </c>
      <c r="C676" s="7" t="s">
        <v>7</v>
      </c>
      <c r="D676" s="6" t="s">
        <v>8</v>
      </c>
      <c r="E676" s="6" t="s">
        <v>9</v>
      </c>
      <c r="F676" s="6" t="s">
        <v>10</v>
      </c>
      <c r="G676" s="6" t="s">
        <v>5525</v>
      </c>
      <c r="H676" s="6">
        <v>8.26</v>
      </c>
    </row>
    <row r="677" spans="1:8" x14ac:dyDescent="0.25">
      <c r="A677" s="1" t="s">
        <v>2870</v>
      </c>
      <c r="B677" t="s">
        <v>2871</v>
      </c>
      <c r="C677" s="1" t="s">
        <v>5216</v>
      </c>
      <c r="D677" t="s">
        <v>5217</v>
      </c>
      <c r="E677" t="s">
        <v>1394</v>
      </c>
      <c r="F677" t="s">
        <v>49</v>
      </c>
      <c r="G677" t="s">
        <v>50</v>
      </c>
      <c r="H677">
        <v>4</v>
      </c>
    </row>
    <row r="678" spans="1:8" x14ac:dyDescent="0.25">
      <c r="A678" s="7" t="s">
        <v>2870</v>
      </c>
      <c r="B678" s="6" t="s">
        <v>2871</v>
      </c>
      <c r="C678" s="7" t="s">
        <v>2762</v>
      </c>
      <c r="D678" s="6" t="s">
        <v>2763</v>
      </c>
      <c r="E678" s="6" t="s">
        <v>311</v>
      </c>
      <c r="F678" s="6" t="s">
        <v>5</v>
      </c>
      <c r="G678" s="6" t="s">
        <v>2764</v>
      </c>
      <c r="H678" s="6">
        <v>18.850000000000001</v>
      </c>
    </row>
    <row r="679" spans="1:8" x14ac:dyDescent="0.25">
      <c r="A679" s="1" t="s">
        <v>2870</v>
      </c>
      <c r="B679" t="s">
        <v>2871</v>
      </c>
      <c r="C679" s="1" t="s">
        <v>3452</v>
      </c>
      <c r="D679" t="s">
        <v>3453</v>
      </c>
      <c r="E679" t="s">
        <v>1588</v>
      </c>
      <c r="F679" t="s">
        <v>39</v>
      </c>
      <c r="G679" t="s">
        <v>478</v>
      </c>
      <c r="H679">
        <v>1.56</v>
      </c>
    </row>
    <row r="680" spans="1:8" x14ac:dyDescent="0.25">
      <c r="A680" s="7" t="s">
        <v>2870</v>
      </c>
      <c r="B680" s="6" t="s">
        <v>2871</v>
      </c>
      <c r="C680" s="7" t="s">
        <v>1974</v>
      </c>
      <c r="D680" s="6" t="s">
        <v>1975</v>
      </c>
      <c r="E680" s="6" t="s">
        <v>879</v>
      </c>
      <c r="F680" s="6" t="s">
        <v>121</v>
      </c>
      <c r="G680" s="6" t="s">
        <v>5526</v>
      </c>
      <c r="H680" s="6">
        <v>0.67</v>
      </c>
    </row>
    <row r="681" spans="1:8" x14ac:dyDescent="0.25">
      <c r="A681" s="1" t="s">
        <v>2870</v>
      </c>
      <c r="B681" t="s">
        <v>2871</v>
      </c>
      <c r="C681" s="1" t="s">
        <v>41</v>
      </c>
      <c r="D681" t="s">
        <v>42</v>
      </c>
      <c r="E681" t="s">
        <v>513</v>
      </c>
      <c r="F681" t="s">
        <v>5</v>
      </c>
      <c r="G681" t="s">
        <v>4664</v>
      </c>
      <c r="H681">
        <v>0.02</v>
      </c>
    </row>
    <row r="682" spans="1:8" x14ac:dyDescent="0.25">
      <c r="A682" s="7" t="s">
        <v>2870</v>
      </c>
      <c r="B682" s="6" t="s">
        <v>2871</v>
      </c>
      <c r="C682" s="7" t="s">
        <v>5527</v>
      </c>
      <c r="D682" s="6" t="s">
        <v>5528</v>
      </c>
      <c r="E682" s="6" t="s">
        <v>5529</v>
      </c>
      <c r="F682" s="6" t="s">
        <v>49</v>
      </c>
      <c r="G682" s="6" t="s">
        <v>50</v>
      </c>
      <c r="H682" s="6">
        <v>47.33</v>
      </c>
    </row>
    <row r="683" spans="1:8" x14ac:dyDescent="0.25">
      <c r="A683" s="1" t="s">
        <v>2870</v>
      </c>
      <c r="B683" t="s">
        <v>2871</v>
      </c>
      <c r="C683" s="1" t="s">
        <v>5530</v>
      </c>
      <c r="D683" t="s">
        <v>5531</v>
      </c>
      <c r="E683" t="s">
        <v>5532</v>
      </c>
      <c r="F683" t="s">
        <v>49</v>
      </c>
      <c r="G683" t="s">
        <v>50</v>
      </c>
      <c r="H683">
        <v>58.41</v>
      </c>
    </row>
    <row r="684" spans="1:8" x14ac:dyDescent="0.25">
      <c r="A684" s="7" t="s">
        <v>2870</v>
      </c>
      <c r="B684" s="6" t="s">
        <v>2871</v>
      </c>
      <c r="C684" s="7" t="s">
        <v>684</v>
      </c>
      <c r="D684" s="6" t="s">
        <v>685</v>
      </c>
      <c r="E684" s="6" t="s">
        <v>686</v>
      </c>
      <c r="F684" s="6" t="s">
        <v>49</v>
      </c>
      <c r="G684" s="6" t="s">
        <v>5218</v>
      </c>
      <c r="H684" s="6">
        <v>4.3499999999999996</v>
      </c>
    </row>
    <row r="685" spans="1:8" x14ac:dyDescent="0.25">
      <c r="A685" s="1" t="s">
        <v>2870</v>
      </c>
      <c r="B685" t="s">
        <v>2871</v>
      </c>
      <c r="C685" s="1" t="s">
        <v>541</v>
      </c>
      <c r="D685" t="s">
        <v>542</v>
      </c>
      <c r="E685" t="s">
        <v>9</v>
      </c>
      <c r="F685" t="s">
        <v>10</v>
      </c>
      <c r="G685" t="s">
        <v>5533</v>
      </c>
      <c r="H685">
        <v>17.46</v>
      </c>
    </row>
    <row r="686" spans="1:8" x14ac:dyDescent="0.25">
      <c r="A686" s="7" t="s">
        <v>5527</v>
      </c>
      <c r="B686" s="6" t="s">
        <v>5528</v>
      </c>
      <c r="C686" s="7" t="s">
        <v>5534</v>
      </c>
      <c r="D686" s="6" t="s">
        <v>5535</v>
      </c>
      <c r="E686" s="6" t="s">
        <v>5536</v>
      </c>
      <c r="F686" s="6" t="s">
        <v>49</v>
      </c>
      <c r="G686" s="6" t="s">
        <v>50</v>
      </c>
      <c r="H686" s="6">
        <v>32</v>
      </c>
    </row>
    <row r="687" spans="1:8" x14ac:dyDescent="0.25">
      <c r="A687" s="1" t="s">
        <v>5527</v>
      </c>
      <c r="B687" t="s">
        <v>5528</v>
      </c>
      <c r="C687" s="1" t="s">
        <v>7</v>
      </c>
      <c r="D687" t="s">
        <v>8</v>
      </c>
      <c r="E687" t="s">
        <v>9</v>
      </c>
      <c r="F687" t="s">
        <v>10</v>
      </c>
      <c r="G687" t="s">
        <v>4087</v>
      </c>
      <c r="H687">
        <v>15.33</v>
      </c>
    </row>
    <row r="688" spans="1:8" x14ac:dyDescent="0.25">
      <c r="A688" s="7" t="s">
        <v>5530</v>
      </c>
      <c r="B688" s="6" t="s">
        <v>5531</v>
      </c>
      <c r="C688" s="7" t="s">
        <v>5537</v>
      </c>
      <c r="D688" s="6" t="s">
        <v>5538</v>
      </c>
      <c r="E688" s="6" t="s">
        <v>3189</v>
      </c>
      <c r="F688" s="6" t="s">
        <v>49</v>
      </c>
      <c r="G688" s="6" t="s">
        <v>50</v>
      </c>
      <c r="H688" s="6">
        <v>36</v>
      </c>
    </row>
    <row r="689" spans="1:8" x14ac:dyDescent="0.25">
      <c r="A689" s="1" t="s">
        <v>5530</v>
      </c>
      <c r="B689" t="s">
        <v>5531</v>
      </c>
      <c r="C689" s="1" t="s">
        <v>7</v>
      </c>
      <c r="D689" t="s">
        <v>8</v>
      </c>
      <c r="E689" t="s">
        <v>9</v>
      </c>
      <c r="F689" t="s">
        <v>10</v>
      </c>
      <c r="G689" t="s">
        <v>5539</v>
      </c>
      <c r="H689">
        <v>22.41</v>
      </c>
    </row>
    <row r="690" spans="1:8" x14ac:dyDescent="0.25">
      <c r="A690" s="7" t="s">
        <v>2894</v>
      </c>
      <c r="B690" s="6" t="s">
        <v>2895</v>
      </c>
      <c r="C690" s="7" t="s">
        <v>5540</v>
      </c>
      <c r="D690" s="6" t="s">
        <v>5541</v>
      </c>
      <c r="E690" s="6" t="s">
        <v>3163</v>
      </c>
      <c r="F690" s="6" t="s">
        <v>49</v>
      </c>
      <c r="G690" s="6" t="s">
        <v>50</v>
      </c>
      <c r="H690" s="6">
        <v>320</v>
      </c>
    </row>
    <row r="691" spans="1:8" x14ac:dyDescent="0.25">
      <c r="A691" s="1" t="s">
        <v>2894</v>
      </c>
      <c r="B691" t="s">
        <v>2895</v>
      </c>
      <c r="C691" s="1" t="s">
        <v>7</v>
      </c>
      <c r="D691" t="s">
        <v>8</v>
      </c>
      <c r="E691" t="s">
        <v>9</v>
      </c>
      <c r="F691" t="s">
        <v>10</v>
      </c>
      <c r="G691" t="s">
        <v>5542</v>
      </c>
      <c r="H691">
        <v>94.36</v>
      </c>
    </row>
    <row r="692" spans="1:8" x14ac:dyDescent="0.25">
      <c r="A692" s="7" t="s">
        <v>2897</v>
      </c>
      <c r="B692" s="6" t="s">
        <v>2898</v>
      </c>
      <c r="C692" s="7" t="s">
        <v>5543</v>
      </c>
      <c r="D692" s="6" t="s">
        <v>5544</v>
      </c>
      <c r="E692" s="6" t="s">
        <v>3163</v>
      </c>
      <c r="F692" s="6" t="s">
        <v>49</v>
      </c>
      <c r="G692" s="6" t="s">
        <v>50</v>
      </c>
      <c r="H692" s="6">
        <v>320</v>
      </c>
    </row>
    <row r="693" spans="1:8" x14ac:dyDescent="0.25">
      <c r="A693" s="1" t="s">
        <v>2897</v>
      </c>
      <c r="B693" t="s">
        <v>2898</v>
      </c>
      <c r="C693" s="1" t="s">
        <v>7</v>
      </c>
      <c r="D693" t="s">
        <v>8</v>
      </c>
      <c r="E693" t="s">
        <v>9</v>
      </c>
      <c r="F693" t="s">
        <v>10</v>
      </c>
      <c r="G693" t="s">
        <v>5545</v>
      </c>
      <c r="H693">
        <v>82.56</v>
      </c>
    </row>
    <row r="694" spans="1:8" x14ac:dyDescent="0.25">
      <c r="A694" s="7" t="s">
        <v>2900</v>
      </c>
      <c r="B694" s="6" t="s">
        <v>2901</v>
      </c>
      <c r="C694" s="7" t="s">
        <v>5546</v>
      </c>
      <c r="D694" s="6" t="s">
        <v>5547</v>
      </c>
      <c r="E694" s="6" t="s">
        <v>5548</v>
      </c>
      <c r="F694" s="6" t="s">
        <v>49</v>
      </c>
      <c r="G694" s="6" t="s">
        <v>50</v>
      </c>
      <c r="H694" s="6">
        <v>60</v>
      </c>
    </row>
    <row r="695" spans="1:8" x14ac:dyDescent="0.25">
      <c r="A695" s="1" t="s">
        <v>2900</v>
      </c>
      <c r="B695" t="s">
        <v>2901</v>
      </c>
      <c r="C695" s="1" t="s">
        <v>7</v>
      </c>
      <c r="D695" t="s">
        <v>8</v>
      </c>
      <c r="E695" t="s">
        <v>9</v>
      </c>
      <c r="F695" t="s">
        <v>10</v>
      </c>
      <c r="G695" t="s">
        <v>5549</v>
      </c>
      <c r="H695">
        <v>9.44</v>
      </c>
    </row>
    <row r="696" spans="1:8" x14ac:dyDescent="0.25">
      <c r="A696" s="7" t="s">
        <v>2903</v>
      </c>
      <c r="B696" s="6" t="s">
        <v>2904</v>
      </c>
      <c r="C696" s="7" t="s">
        <v>5550</v>
      </c>
      <c r="D696" s="6" t="s">
        <v>5551</v>
      </c>
      <c r="E696" s="6" t="s">
        <v>5552</v>
      </c>
      <c r="F696" s="6" t="s">
        <v>49</v>
      </c>
      <c r="G696" s="6" t="s">
        <v>50</v>
      </c>
      <c r="H696" s="6">
        <v>390</v>
      </c>
    </row>
    <row r="697" spans="1:8" x14ac:dyDescent="0.25">
      <c r="A697" s="1" t="s">
        <v>2903</v>
      </c>
      <c r="B697" t="s">
        <v>2904</v>
      </c>
      <c r="C697" s="1" t="s">
        <v>7</v>
      </c>
      <c r="D697" t="s">
        <v>8</v>
      </c>
      <c r="E697" t="s">
        <v>9</v>
      </c>
      <c r="F697" t="s">
        <v>10</v>
      </c>
      <c r="G697" t="s">
        <v>5553</v>
      </c>
      <c r="H697">
        <v>100.26</v>
      </c>
    </row>
    <row r="698" spans="1:8" x14ac:dyDescent="0.25">
      <c r="A698" s="7" t="s">
        <v>2906</v>
      </c>
      <c r="B698" s="6" t="s">
        <v>2907</v>
      </c>
      <c r="C698" s="7" t="s">
        <v>5262</v>
      </c>
      <c r="D698" s="6" t="s">
        <v>5263</v>
      </c>
      <c r="E698" s="6" t="s">
        <v>5264</v>
      </c>
      <c r="F698" s="6" t="s">
        <v>121</v>
      </c>
      <c r="G698" s="6" t="s">
        <v>5265</v>
      </c>
      <c r="H698" s="6">
        <v>3.5</v>
      </c>
    </row>
    <row r="699" spans="1:8" x14ac:dyDescent="0.25">
      <c r="A699" s="1" t="s">
        <v>2906</v>
      </c>
      <c r="B699" t="s">
        <v>2907</v>
      </c>
      <c r="C699" s="1" t="s">
        <v>5266</v>
      </c>
      <c r="D699" t="s">
        <v>5267</v>
      </c>
      <c r="E699" t="s">
        <v>311</v>
      </c>
      <c r="F699" t="s">
        <v>5</v>
      </c>
      <c r="G699" t="s">
        <v>5268</v>
      </c>
      <c r="H699">
        <v>51.5</v>
      </c>
    </row>
    <row r="700" spans="1:8" x14ac:dyDescent="0.25">
      <c r="A700" s="7" t="s">
        <v>2906</v>
      </c>
      <c r="B700" s="6" t="s">
        <v>2907</v>
      </c>
      <c r="C700" s="7" t="s">
        <v>3452</v>
      </c>
      <c r="D700" s="6" t="s">
        <v>3453</v>
      </c>
      <c r="E700" s="6" t="s">
        <v>1588</v>
      </c>
      <c r="F700" s="6" t="s">
        <v>39</v>
      </c>
      <c r="G700" s="6" t="s">
        <v>25</v>
      </c>
      <c r="H700" s="6">
        <v>1.17</v>
      </c>
    </row>
    <row r="701" spans="1:8" x14ac:dyDescent="0.25">
      <c r="A701" s="1" t="s">
        <v>2906</v>
      </c>
      <c r="B701" t="s">
        <v>2907</v>
      </c>
      <c r="C701" s="1" t="s">
        <v>2791</v>
      </c>
      <c r="D701" t="s">
        <v>2792</v>
      </c>
      <c r="E701" t="s">
        <v>2793</v>
      </c>
      <c r="F701" t="s">
        <v>121</v>
      </c>
      <c r="G701" t="s">
        <v>5269</v>
      </c>
      <c r="H701">
        <v>3.05</v>
      </c>
    </row>
    <row r="702" spans="1:8" x14ac:dyDescent="0.25">
      <c r="A702" s="7" t="s">
        <v>2906</v>
      </c>
      <c r="B702" s="6" t="s">
        <v>2907</v>
      </c>
      <c r="C702" s="7" t="s">
        <v>5554</v>
      </c>
      <c r="D702" s="6" t="s">
        <v>5555</v>
      </c>
      <c r="E702" s="6" t="s">
        <v>5556</v>
      </c>
      <c r="F702" s="6" t="s">
        <v>49</v>
      </c>
      <c r="G702" s="6" t="s">
        <v>50</v>
      </c>
      <c r="H702" s="6">
        <v>49.15</v>
      </c>
    </row>
    <row r="703" spans="1:8" x14ac:dyDescent="0.25">
      <c r="A703" s="1" t="s">
        <v>2906</v>
      </c>
      <c r="B703" t="s">
        <v>2907</v>
      </c>
      <c r="C703" s="1" t="s">
        <v>5557</v>
      </c>
      <c r="D703" t="s">
        <v>5558</v>
      </c>
      <c r="E703" t="s">
        <v>5559</v>
      </c>
      <c r="F703" t="s">
        <v>49</v>
      </c>
      <c r="G703" t="s">
        <v>50</v>
      </c>
      <c r="H703">
        <v>46.15</v>
      </c>
    </row>
    <row r="704" spans="1:8" x14ac:dyDescent="0.25">
      <c r="A704" s="7" t="s">
        <v>2906</v>
      </c>
      <c r="B704" s="6" t="s">
        <v>2907</v>
      </c>
      <c r="C704" s="7" t="s">
        <v>857</v>
      </c>
      <c r="D704" s="6" t="s">
        <v>858</v>
      </c>
      <c r="E704" s="6" t="s">
        <v>686</v>
      </c>
      <c r="F704" s="6" t="s">
        <v>49</v>
      </c>
      <c r="G704" s="6" t="s">
        <v>5560</v>
      </c>
      <c r="H704" s="6">
        <v>5.2</v>
      </c>
    </row>
    <row r="705" spans="1:8" x14ac:dyDescent="0.25">
      <c r="A705" s="1" t="s">
        <v>2906</v>
      </c>
      <c r="B705" t="s">
        <v>2907</v>
      </c>
      <c r="C705" s="1" t="s">
        <v>541</v>
      </c>
      <c r="D705" t="s">
        <v>542</v>
      </c>
      <c r="E705" t="s">
        <v>9</v>
      </c>
      <c r="F705" t="s">
        <v>10</v>
      </c>
      <c r="G705" t="s">
        <v>3642</v>
      </c>
      <c r="H705">
        <v>32.200000000000003</v>
      </c>
    </row>
    <row r="706" spans="1:8" x14ac:dyDescent="0.25">
      <c r="A706" s="7" t="s">
        <v>5554</v>
      </c>
      <c r="B706" s="6" t="s">
        <v>5555</v>
      </c>
      <c r="C706" s="7" t="s">
        <v>5561</v>
      </c>
      <c r="D706" s="6" t="s">
        <v>5562</v>
      </c>
      <c r="E706" s="6" t="s">
        <v>3155</v>
      </c>
      <c r="F706" s="6" t="s">
        <v>49</v>
      </c>
      <c r="G706" s="6" t="s">
        <v>50</v>
      </c>
      <c r="H706" s="6">
        <v>35</v>
      </c>
    </row>
    <row r="707" spans="1:8" x14ac:dyDescent="0.25">
      <c r="A707" s="1" t="s">
        <v>5554</v>
      </c>
      <c r="B707" t="s">
        <v>5555</v>
      </c>
      <c r="C707" s="1" t="s">
        <v>7</v>
      </c>
      <c r="D707" t="s">
        <v>8</v>
      </c>
      <c r="E707" t="s">
        <v>9</v>
      </c>
      <c r="F707" t="s">
        <v>10</v>
      </c>
      <c r="G707" t="s">
        <v>5563</v>
      </c>
      <c r="H707">
        <v>14.15</v>
      </c>
    </row>
    <row r="708" spans="1:8" x14ac:dyDescent="0.25">
      <c r="A708" s="7" t="s">
        <v>5557</v>
      </c>
      <c r="B708" s="6" t="s">
        <v>5558</v>
      </c>
      <c r="C708" s="7" t="s">
        <v>5564</v>
      </c>
      <c r="D708" s="6" t="s">
        <v>5565</v>
      </c>
      <c r="E708" s="6" t="s">
        <v>5536</v>
      </c>
      <c r="F708" s="6" t="s">
        <v>49</v>
      </c>
      <c r="G708" s="6" t="s">
        <v>50</v>
      </c>
      <c r="H708" s="6">
        <v>32</v>
      </c>
    </row>
    <row r="709" spans="1:8" x14ac:dyDescent="0.25">
      <c r="A709" s="1" t="s">
        <v>5557</v>
      </c>
      <c r="B709" t="s">
        <v>5558</v>
      </c>
      <c r="C709" s="1" t="s">
        <v>7</v>
      </c>
      <c r="D709" t="s">
        <v>8</v>
      </c>
      <c r="E709" t="s">
        <v>9</v>
      </c>
      <c r="F709" t="s">
        <v>10</v>
      </c>
      <c r="G709" t="s">
        <v>5563</v>
      </c>
      <c r="H709">
        <v>14.15</v>
      </c>
    </row>
    <row r="710" spans="1:8" x14ac:dyDescent="0.25">
      <c r="A710" s="7" t="s">
        <v>2909</v>
      </c>
      <c r="B710" s="6" t="s">
        <v>2910</v>
      </c>
      <c r="C710" s="7" t="s">
        <v>1447</v>
      </c>
      <c r="D710" s="6" t="s">
        <v>1448</v>
      </c>
      <c r="E710" s="6" t="s">
        <v>779</v>
      </c>
      <c r="F710" s="6" t="s">
        <v>5</v>
      </c>
      <c r="G710" s="6" t="s">
        <v>5239</v>
      </c>
      <c r="H710" s="6">
        <v>1.65</v>
      </c>
    </row>
    <row r="711" spans="1:8" x14ac:dyDescent="0.25">
      <c r="A711" s="1" t="s">
        <v>2909</v>
      </c>
      <c r="B711" t="s">
        <v>2910</v>
      </c>
      <c r="C711" s="1" t="s">
        <v>541</v>
      </c>
      <c r="D711" t="s">
        <v>542</v>
      </c>
      <c r="E711" t="s">
        <v>9</v>
      </c>
      <c r="F711" t="s">
        <v>10</v>
      </c>
      <c r="G711" t="s">
        <v>5240</v>
      </c>
      <c r="H711">
        <v>4.29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2FFC-FC0B-4206-B7BF-7A718EBC44F2}">
  <sheetPr>
    <tabColor theme="9" tint="0.39997558519241921"/>
  </sheetPr>
  <dimension ref="A1:J2754"/>
  <sheetViews>
    <sheetView tabSelected="1" workbookViewId="0">
      <selection activeCell="J11" sqref="J11"/>
    </sheetView>
  </sheetViews>
  <sheetFormatPr defaultRowHeight="15" x14ac:dyDescent="0.25"/>
  <cols>
    <col min="1" max="1" width="17.28515625" customWidth="1"/>
    <col min="2" max="2" width="53.42578125" customWidth="1"/>
    <col min="3" max="3" width="18.28515625" customWidth="1"/>
    <col min="4" max="4" width="51.85546875" customWidth="1"/>
    <col min="5" max="5" width="13.28515625" customWidth="1"/>
    <col min="6" max="6" width="5.28515625" bestFit="1" customWidth="1"/>
    <col min="7" max="7" width="12.5703125" bestFit="1" customWidth="1"/>
    <col min="8" max="8" width="8" bestFit="1" customWidth="1"/>
    <col min="9" max="9" width="28.140625" customWidth="1"/>
    <col min="10" max="10" width="17" customWidth="1"/>
  </cols>
  <sheetData>
    <row r="1" spans="1:10" ht="15.75" thickBot="1" x14ac:dyDescent="0.3">
      <c r="A1" s="8" t="s">
        <v>5593</v>
      </c>
      <c r="B1" s="9" t="s">
        <v>5594</v>
      </c>
      <c r="C1" s="8" t="s">
        <v>5609</v>
      </c>
      <c r="D1" s="8" t="s">
        <v>5595</v>
      </c>
      <c r="E1" s="8" t="s">
        <v>5596</v>
      </c>
      <c r="F1" s="8" t="s">
        <v>5597</v>
      </c>
      <c r="G1" s="8" t="s">
        <v>5598</v>
      </c>
      <c r="H1" s="8" t="s">
        <v>5599</v>
      </c>
      <c r="I1" s="8" t="s">
        <v>5615</v>
      </c>
      <c r="J1" s="8" t="s">
        <v>5619</v>
      </c>
    </row>
    <row r="2" spans="1:10" x14ac:dyDescent="0.25">
      <c r="A2" s="7" t="s">
        <v>0</v>
      </c>
      <c r="B2" s="6" t="s">
        <v>1</v>
      </c>
      <c r="C2" s="7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>
        <v>0.6</v>
      </c>
      <c r="I2" s="6" t="str">
        <f>_xlfn.CONCAT("Art. złączny do produktu ",Tabela10[[#This Row],[KOD_PRODUKTU]])</f>
        <v>Art. złączny do produktu 404C01</v>
      </c>
      <c r="J2" s="6" t="str">
        <f>_xlfn.CONCAT("VE-",Tabela10[[#This Row],[KOD_PRODUKTU]])</f>
        <v>VE-404C01</v>
      </c>
    </row>
    <row r="3" spans="1:10" x14ac:dyDescent="0.25">
      <c r="A3" s="1" t="s">
        <v>0</v>
      </c>
      <c r="B3" t="s">
        <v>1</v>
      </c>
      <c r="C3" s="1" t="s">
        <v>7</v>
      </c>
      <c r="D3" t="s">
        <v>8</v>
      </c>
      <c r="E3" t="s">
        <v>9</v>
      </c>
      <c r="F3" t="s">
        <v>10</v>
      </c>
      <c r="G3" t="s">
        <v>11</v>
      </c>
      <c r="H3">
        <v>4.8</v>
      </c>
      <c r="I3" s="6" t="str">
        <f>_xlfn.CONCAT("Art. złączny do produktu ",Tabela10[[#This Row],[KOD_PRODUKTU]])</f>
        <v>Art. złączny do produktu 404C01</v>
      </c>
      <c r="J3" s="6" t="str">
        <f>_xlfn.CONCAT("VE-",Tabela10[[#This Row],[KOD_PRODUKTU]])</f>
        <v>VE-404C01</v>
      </c>
    </row>
    <row r="4" spans="1:10" x14ac:dyDescent="0.25">
      <c r="A4" s="7" t="s">
        <v>12</v>
      </c>
      <c r="B4" s="6" t="s">
        <v>13</v>
      </c>
      <c r="C4" s="7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>
        <v>1.4</v>
      </c>
      <c r="I4" s="6" t="str">
        <f>_xlfn.CONCAT("Art. złączny do produktu ",Tabela10[[#This Row],[KOD_PRODUKTU]])</f>
        <v>Art. złączny do produktu 404D01</v>
      </c>
      <c r="J4" s="6" t="str">
        <f>_xlfn.CONCAT("VE-",Tabela10[[#This Row],[KOD_PRODUKTU]])</f>
        <v>VE-404D01</v>
      </c>
    </row>
    <row r="5" spans="1:10" x14ac:dyDescent="0.25">
      <c r="A5" s="1" t="s">
        <v>12</v>
      </c>
      <c r="B5" t="s">
        <v>13</v>
      </c>
      <c r="C5" s="1" t="s">
        <v>7</v>
      </c>
      <c r="D5" t="s">
        <v>8</v>
      </c>
      <c r="E5" t="s">
        <v>9</v>
      </c>
      <c r="F5" t="s">
        <v>10</v>
      </c>
      <c r="G5" t="s">
        <v>19</v>
      </c>
      <c r="H5">
        <v>4.5999999999999996</v>
      </c>
      <c r="I5" s="6" t="str">
        <f>_xlfn.CONCAT("Art. złączny do produktu ",Tabela10[[#This Row],[KOD_PRODUKTU]])</f>
        <v>Art. złączny do produktu 404D01</v>
      </c>
      <c r="J5" s="6" t="str">
        <f>_xlfn.CONCAT("VE-",Tabela10[[#This Row],[KOD_PRODUKTU]])</f>
        <v>VE-404D01</v>
      </c>
    </row>
    <row r="6" spans="1:10" x14ac:dyDescent="0.25">
      <c r="A6" s="7" t="s">
        <v>20</v>
      </c>
      <c r="B6" s="6" t="s">
        <v>21</v>
      </c>
      <c r="C6" s="7" t="s">
        <v>22</v>
      </c>
      <c r="D6" s="6" t="s">
        <v>23</v>
      </c>
      <c r="E6" s="6" t="s">
        <v>24</v>
      </c>
      <c r="F6" s="6" t="s">
        <v>17</v>
      </c>
      <c r="G6" s="6" t="s">
        <v>25</v>
      </c>
      <c r="H6" s="6">
        <v>4.17</v>
      </c>
      <c r="I6" s="6" t="str">
        <f>_xlfn.CONCAT("Art. złączny do produktu ",Tabela10[[#This Row],[KOD_PRODUKTU]])</f>
        <v>Art. złączny do produktu 404D02</v>
      </c>
      <c r="J6" s="6" t="str">
        <f>_xlfn.CONCAT("VE-",Tabela10[[#This Row],[KOD_PRODUKTU]])</f>
        <v>VE-404D02</v>
      </c>
    </row>
    <row r="7" spans="1:10" x14ac:dyDescent="0.25">
      <c r="A7" s="1" t="s">
        <v>20</v>
      </c>
      <c r="B7" t="s">
        <v>21</v>
      </c>
      <c r="C7" s="1" t="s">
        <v>7</v>
      </c>
      <c r="D7" t="s">
        <v>8</v>
      </c>
      <c r="E7" t="s">
        <v>9</v>
      </c>
      <c r="F7" t="s">
        <v>10</v>
      </c>
      <c r="G7" t="s">
        <v>26</v>
      </c>
      <c r="H7">
        <v>26.83</v>
      </c>
      <c r="I7" s="6" t="str">
        <f>_xlfn.CONCAT("Art. złączny do produktu ",Tabela10[[#This Row],[KOD_PRODUKTU]])</f>
        <v>Art. złączny do produktu 404D02</v>
      </c>
      <c r="J7" s="6" t="str">
        <f>_xlfn.CONCAT("VE-",Tabela10[[#This Row],[KOD_PRODUKTU]])</f>
        <v>VE-404D02</v>
      </c>
    </row>
    <row r="8" spans="1:10" x14ac:dyDescent="0.25">
      <c r="A8" s="7" t="s">
        <v>27</v>
      </c>
      <c r="B8" s="6" t="s">
        <v>28</v>
      </c>
      <c r="C8" s="7" t="s">
        <v>29</v>
      </c>
      <c r="D8" s="6" t="s">
        <v>30</v>
      </c>
      <c r="E8" s="6" t="s">
        <v>31</v>
      </c>
      <c r="F8" s="6" t="s">
        <v>5</v>
      </c>
      <c r="G8" s="6" t="s">
        <v>32</v>
      </c>
      <c r="H8" s="6">
        <v>0.75</v>
      </c>
      <c r="I8" s="6" t="str">
        <f>_xlfn.CONCAT("Art. złączny do produktu ",Tabela10[[#This Row],[KOD_PRODUKTU]])</f>
        <v>Art. złączny do produktu 404D03</v>
      </c>
      <c r="J8" s="6" t="str">
        <f>_xlfn.CONCAT("VE-",Tabela10[[#This Row],[KOD_PRODUKTU]])</f>
        <v>VE-404D03</v>
      </c>
    </row>
    <row r="9" spans="1:10" x14ac:dyDescent="0.25">
      <c r="A9" s="1" t="s">
        <v>27</v>
      </c>
      <c r="B9" t="s">
        <v>28</v>
      </c>
      <c r="C9" s="1" t="s">
        <v>7</v>
      </c>
      <c r="D9" t="s">
        <v>8</v>
      </c>
      <c r="E9" t="s">
        <v>9</v>
      </c>
      <c r="F9" t="s">
        <v>10</v>
      </c>
      <c r="G9" t="s">
        <v>33</v>
      </c>
      <c r="H9">
        <v>9.1999999999999993</v>
      </c>
      <c r="I9" s="6" t="str">
        <f>_xlfn.CONCAT("Art. złączny do produktu ",Tabela10[[#This Row],[KOD_PRODUKTU]])</f>
        <v>Art. złączny do produktu 404D03</v>
      </c>
      <c r="J9" s="6" t="str">
        <f>_xlfn.CONCAT("VE-",Tabela10[[#This Row],[KOD_PRODUKTU]])</f>
        <v>VE-404D03</v>
      </c>
    </row>
    <row r="10" spans="1:10" x14ac:dyDescent="0.25">
      <c r="A10" s="7" t="s">
        <v>34</v>
      </c>
      <c r="B10" s="6" t="s">
        <v>35</v>
      </c>
      <c r="C10" s="7" t="s">
        <v>36</v>
      </c>
      <c r="D10" s="6" t="s">
        <v>37</v>
      </c>
      <c r="E10" s="6" t="s">
        <v>38</v>
      </c>
      <c r="F10" s="6" t="s">
        <v>39</v>
      </c>
      <c r="G10" s="6" t="s">
        <v>40</v>
      </c>
      <c r="H10" s="6">
        <v>0.19</v>
      </c>
      <c r="I10" s="6" t="str">
        <f>_xlfn.CONCAT("Art. złączny do produktu ",Tabela10[[#This Row],[KOD_PRODUKTU]])</f>
        <v>Art. złączny do produktu 404E01</v>
      </c>
      <c r="J10" s="6" t="str">
        <f>_xlfn.CONCAT("VE-",Tabela10[[#This Row],[KOD_PRODUKTU]])</f>
        <v>VE-404E01</v>
      </c>
    </row>
    <row r="11" spans="1:10" x14ac:dyDescent="0.25">
      <c r="A11" s="1" t="s">
        <v>34</v>
      </c>
      <c r="B11" t="s">
        <v>35</v>
      </c>
      <c r="C11" s="1" t="s">
        <v>41</v>
      </c>
      <c r="D11" t="s">
        <v>42</v>
      </c>
      <c r="E11" t="s">
        <v>43</v>
      </c>
      <c r="F11" t="s">
        <v>5</v>
      </c>
      <c r="G11" t="s">
        <v>44</v>
      </c>
      <c r="H11">
        <v>0.01</v>
      </c>
      <c r="I11" s="6" t="str">
        <f>_xlfn.CONCAT("Art. złączny do produktu ",Tabela10[[#This Row],[KOD_PRODUKTU]])</f>
        <v>Art. złączny do produktu 404E01</v>
      </c>
      <c r="J11" s="6" t="str">
        <f>_xlfn.CONCAT("VE-",Tabela10[[#This Row],[KOD_PRODUKTU]])</f>
        <v>VE-404E01</v>
      </c>
    </row>
    <row r="12" spans="1:10" x14ac:dyDescent="0.25">
      <c r="A12" s="7" t="s">
        <v>34</v>
      </c>
      <c r="B12" s="6" t="s">
        <v>35</v>
      </c>
      <c r="C12" s="7" t="s">
        <v>7</v>
      </c>
      <c r="D12" s="6" t="s">
        <v>8</v>
      </c>
      <c r="E12" s="6" t="s">
        <v>9</v>
      </c>
      <c r="F12" s="6" t="s">
        <v>10</v>
      </c>
      <c r="G12" s="6" t="s">
        <v>71</v>
      </c>
      <c r="H12" s="6">
        <v>3.85</v>
      </c>
      <c r="I12" s="6" t="str">
        <f>_xlfn.CONCAT("Art. złączny do produktu ",Tabela10[[#This Row],[KOD_PRODUKTU]])</f>
        <v>Art. złączny do produktu 404E01</v>
      </c>
      <c r="J12" s="6" t="str">
        <f>_xlfn.CONCAT("VE-",Tabela10[[#This Row],[KOD_PRODUKTU]])</f>
        <v>VE-404E01</v>
      </c>
    </row>
    <row r="13" spans="1:10" x14ac:dyDescent="0.25">
      <c r="A13" s="1" t="s">
        <v>72</v>
      </c>
      <c r="B13" t="s">
        <v>73</v>
      </c>
      <c r="C13" s="1" t="s">
        <v>36</v>
      </c>
      <c r="D13" t="s">
        <v>37</v>
      </c>
      <c r="E13" t="s">
        <v>38</v>
      </c>
      <c r="F13" t="s">
        <v>39</v>
      </c>
      <c r="G13" t="s">
        <v>40</v>
      </c>
      <c r="H13">
        <v>0.19</v>
      </c>
      <c r="I13" s="6" t="str">
        <f>_xlfn.CONCAT("Art. złączny do produktu ",Tabela10[[#This Row],[KOD_PRODUKTU]])</f>
        <v>Art. złączny do produktu 404E02</v>
      </c>
      <c r="J13" s="6" t="str">
        <f>_xlfn.CONCAT("VE-",Tabela10[[#This Row],[KOD_PRODUKTU]])</f>
        <v>VE-404E02</v>
      </c>
    </row>
    <row r="14" spans="1:10" x14ac:dyDescent="0.25">
      <c r="A14" s="7" t="s">
        <v>72</v>
      </c>
      <c r="B14" s="6" t="s">
        <v>73</v>
      </c>
      <c r="C14" s="7" t="s">
        <v>41</v>
      </c>
      <c r="D14" s="6" t="s">
        <v>42</v>
      </c>
      <c r="E14" s="6" t="s">
        <v>43</v>
      </c>
      <c r="F14" s="6" t="s">
        <v>5</v>
      </c>
      <c r="G14" s="6" t="s">
        <v>74</v>
      </c>
      <c r="H14" s="6">
        <v>0.02</v>
      </c>
      <c r="I14" s="6" t="str">
        <f>_xlfn.CONCAT("Art. złączny do produktu ",Tabela10[[#This Row],[KOD_PRODUKTU]])</f>
        <v>Art. złączny do produktu 404E02</v>
      </c>
      <c r="J14" s="6" t="str">
        <f>_xlfn.CONCAT("VE-",Tabela10[[#This Row],[KOD_PRODUKTU]])</f>
        <v>VE-404E02</v>
      </c>
    </row>
    <row r="15" spans="1:10" x14ac:dyDescent="0.25">
      <c r="A15" s="1" t="s">
        <v>72</v>
      </c>
      <c r="B15" t="s">
        <v>73</v>
      </c>
      <c r="C15" s="1" t="s">
        <v>7</v>
      </c>
      <c r="D15" t="s">
        <v>8</v>
      </c>
      <c r="E15" t="s">
        <v>9</v>
      </c>
      <c r="F15" t="s">
        <v>10</v>
      </c>
      <c r="G15" t="s">
        <v>78</v>
      </c>
      <c r="H15">
        <v>3.85</v>
      </c>
      <c r="I15" s="6" t="str">
        <f>_xlfn.CONCAT("Art. złączny do produktu ",Tabela10[[#This Row],[KOD_PRODUKTU]])</f>
        <v>Art. złączny do produktu 404E02</v>
      </c>
      <c r="J15" s="6" t="str">
        <f>_xlfn.CONCAT("VE-",Tabela10[[#This Row],[KOD_PRODUKTU]])</f>
        <v>VE-404E02</v>
      </c>
    </row>
    <row r="16" spans="1:10" x14ac:dyDescent="0.25">
      <c r="A16" s="7" t="s">
        <v>79</v>
      </c>
      <c r="B16" s="6" t="s">
        <v>80</v>
      </c>
      <c r="C16" s="7" t="s">
        <v>81</v>
      </c>
      <c r="D16" s="6" t="s">
        <v>82</v>
      </c>
      <c r="E16" s="6" t="s">
        <v>83</v>
      </c>
      <c r="F16" s="6" t="s">
        <v>39</v>
      </c>
      <c r="G16" s="6" t="s">
        <v>40</v>
      </c>
      <c r="H16" s="6">
        <v>0.15</v>
      </c>
      <c r="I16" s="6" t="str">
        <f>_xlfn.CONCAT("Art. złączny do produktu ",Tabela10[[#This Row],[KOD_PRODUKTU]])</f>
        <v>Art. złączny do produktu 404E03</v>
      </c>
      <c r="J16" s="6" t="str">
        <f>_xlfn.CONCAT("VE-",Tabela10[[#This Row],[KOD_PRODUKTU]])</f>
        <v>VE-404E03</v>
      </c>
    </row>
    <row r="17" spans="1:10" x14ac:dyDescent="0.25">
      <c r="A17" s="1" t="s">
        <v>79</v>
      </c>
      <c r="B17" t="s">
        <v>80</v>
      </c>
      <c r="C17" s="1" t="s">
        <v>7</v>
      </c>
      <c r="D17" t="s">
        <v>8</v>
      </c>
      <c r="E17" t="s">
        <v>9</v>
      </c>
      <c r="F17" t="s">
        <v>10</v>
      </c>
      <c r="G17" t="s">
        <v>112</v>
      </c>
      <c r="H17">
        <v>3.9</v>
      </c>
      <c r="I17" s="6" t="str">
        <f>_xlfn.CONCAT("Art. złączny do produktu ",Tabela10[[#This Row],[KOD_PRODUKTU]])</f>
        <v>Art. złączny do produktu 404E03</v>
      </c>
      <c r="J17" s="6" t="str">
        <f>_xlfn.CONCAT("VE-",Tabela10[[#This Row],[KOD_PRODUKTU]])</f>
        <v>VE-404E03</v>
      </c>
    </row>
    <row r="18" spans="1:10" x14ac:dyDescent="0.25">
      <c r="A18" s="7" t="s">
        <v>113</v>
      </c>
      <c r="B18" s="6" t="s">
        <v>114</v>
      </c>
      <c r="C18" s="7" t="s">
        <v>115</v>
      </c>
      <c r="D18" s="6" t="s">
        <v>116</v>
      </c>
      <c r="E18" s="6" t="s">
        <v>117</v>
      </c>
      <c r="F18" s="6" t="s">
        <v>39</v>
      </c>
      <c r="G18" s="6" t="s">
        <v>40</v>
      </c>
      <c r="H18" s="6">
        <v>0.2</v>
      </c>
      <c r="I18" s="6" t="str">
        <f>_xlfn.CONCAT("Art. złączny do produktu ",Tabela10[[#This Row],[KOD_PRODUKTU]])</f>
        <v>Art. złączny do produktu 404E04</v>
      </c>
      <c r="J18" s="6" t="str">
        <f>_xlfn.CONCAT("VE-",Tabela10[[#This Row],[KOD_PRODUKTU]])</f>
        <v>VE-404E04</v>
      </c>
    </row>
    <row r="19" spans="1:10" x14ac:dyDescent="0.25">
      <c r="A19" s="1" t="s">
        <v>113</v>
      </c>
      <c r="B19" t="s">
        <v>114</v>
      </c>
      <c r="C19" s="1" t="s">
        <v>7</v>
      </c>
      <c r="D19" t="s">
        <v>8</v>
      </c>
      <c r="E19" t="s">
        <v>9</v>
      </c>
      <c r="F19" t="s">
        <v>10</v>
      </c>
      <c r="G19" t="s">
        <v>132</v>
      </c>
      <c r="H19">
        <v>10.9</v>
      </c>
      <c r="I19" s="6" t="str">
        <f>_xlfn.CONCAT("Art. złączny do produktu ",Tabela10[[#This Row],[KOD_PRODUKTU]])</f>
        <v>Art. złączny do produktu 404E04</v>
      </c>
      <c r="J19" s="6" t="str">
        <f>_xlfn.CONCAT("VE-",Tabela10[[#This Row],[KOD_PRODUKTU]])</f>
        <v>VE-404E04</v>
      </c>
    </row>
    <row r="20" spans="1:10" x14ac:dyDescent="0.25">
      <c r="A20" s="7" t="s">
        <v>133</v>
      </c>
      <c r="B20" s="6" t="s">
        <v>134</v>
      </c>
      <c r="C20" s="7" t="s">
        <v>115</v>
      </c>
      <c r="D20" s="6" t="s">
        <v>116</v>
      </c>
      <c r="E20" s="6" t="s">
        <v>117</v>
      </c>
      <c r="F20" s="6" t="s">
        <v>39</v>
      </c>
      <c r="G20" s="6" t="s">
        <v>40</v>
      </c>
      <c r="H20" s="6">
        <v>0.2</v>
      </c>
      <c r="I20" s="6" t="str">
        <f>_xlfn.CONCAT("Art. złączny do produktu ",Tabela10[[#This Row],[KOD_PRODUKTU]])</f>
        <v>Art. złączny do produktu 404E05</v>
      </c>
      <c r="J20" s="6" t="str">
        <f>_xlfn.CONCAT("VE-",Tabela10[[#This Row],[KOD_PRODUKTU]])</f>
        <v>VE-404E05</v>
      </c>
    </row>
    <row r="21" spans="1:10" x14ac:dyDescent="0.25">
      <c r="A21" s="1" t="s">
        <v>133</v>
      </c>
      <c r="B21" t="s">
        <v>134</v>
      </c>
      <c r="C21" s="1" t="s">
        <v>7</v>
      </c>
      <c r="D21" t="s">
        <v>8</v>
      </c>
      <c r="E21" t="s">
        <v>9</v>
      </c>
      <c r="F21" t="s">
        <v>10</v>
      </c>
      <c r="G21" t="s">
        <v>152</v>
      </c>
      <c r="H21">
        <v>5.7</v>
      </c>
      <c r="I21" s="6" t="str">
        <f>_xlfn.CONCAT("Art. złączny do produktu ",Tabela10[[#This Row],[KOD_PRODUKTU]])</f>
        <v>Art. złączny do produktu 404E05</v>
      </c>
      <c r="J21" s="6" t="str">
        <f>_xlfn.CONCAT("VE-",Tabela10[[#This Row],[KOD_PRODUKTU]])</f>
        <v>VE-404E05</v>
      </c>
    </row>
    <row r="22" spans="1:10" x14ac:dyDescent="0.25">
      <c r="A22" s="7" t="s">
        <v>153</v>
      </c>
      <c r="B22" s="6" t="s">
        <v>154</v>
      </c>
      <c r="C22" s="7" t="s">
        <v>81</v>
      </c>
      <c r="D22" s="6" t="s">
        <v>82</v>
      </c>
      <c r="E22" s="6" t="s">
        <v>83</v>
      </c>
      <c r="F22" s="6" t="s">
        <v>39</v>
      </c>
      <c r="G22" s="6" t="s">
        <v>40</v>
      </c>
      <c r="H22" s="6">
        <v>0.15</v>
      </c>
      <c r="I22" s="6" t="str">
        <f>_xlfn.CONCAT("Art. złączny do produktu ",Tabela10[[#This Row],[KOD_PRODUKTU]])</f>
        <v>Art. złączny do produktu 404E06</v>
      </c>
      <c r="J22" s="6" t="str">
        <f>_xlfn.CONCAT("VE-",Tabela10[[#This Row],[KOD_PRODUKTU]])</f>
        <v>VE-404E06</v>
      </c>
    </row>
    <row r="23" spans="1:10" x14ac:dyDescent="0.25">
      <c r="A23" s="1" t="s">
        <v>153</v>
      </c>
      <c r="B23" t="s">
        <v>154</v>
      </c>
      <c r="C23" s="1" t="s">
        <v>155</v>
      </c>
      <c r="D23" t="s">
        <v>156</v>
      </c>
      <c r="E23" t="s">
        <v>157</v>
      </c>
      <c r="F23" t="s">
        <v>121</v>
      </c>
      <c r="G23" t="s">
        <v>50</v>
      </c>
      <c r="H23">
        <v>2.4500000000000002</v>
      </c>
      <c r="I23" s="6" t="str">
        <f>_xlfn.CONCAT("Art. złączny do produktu ",Tabela10[[#This Row],[KOD_PRODUKTU]])</f>
        <v>Art. złączny do produktu 404E06</v>
      </c>
      <c r="J23" s="6" t="str">
        <f>_xlfn.CONCAT("VE-",Tabela10[[#This Row],[KOD_PRODUKTU]])</f>
        <v>VE-404E06</v>
      </c>
    </row>
    <row r="24" spans="1:10" x14ac:dyDescent="0.25">
      <c r="A24" s="7" t="s">
        <v>153</v>
      </c>
      <c r="B24" s="6" t="s">
        <v>154</v>
      </c>
      <c r="C24" s="7" t="s">
        <v>7</v>
      </c>
      <c r="D24" s="6" t="s">
        <v>8</v>
      </c>
      <c r="E24" s="6" t="s">
        <v>9</v>
      </c>
      <c r="F24" s="6" t="s">
        <v>10</v>
      </c>
      <c r="G24" s="6" t="s">
        <v>224</v>
      </c>
      <c r="H24" s="6">
        <v>6</v>
      </c>
      <c r="I24" s="6" t="str">
        <f>_xlfn.CONCAT("Art. złączny do produktu ",Tabela10[[#This Row],[KOD_PRODUKTU]])</f>
        <v>Art. złączny do produktu 404E06</v>
      </c>
      <c r="J24" s="6" t="str">
        <f>_xlfn.CONCAT("VE-",Tabela10[[#This Row],[KOD_PRODUKTU]])</f>
        <v>VE-404E06</v>
      </c>
    </row>
    <row r="25" spans="1:10" x14ac:dyDescent="0.25">
      <c r="A25" s="1" t="s">
        <v>225</v>
      </c>
      <c r="B25" t="s">
        <v>226</v>
      </c>
      <c r="C25" s="1" t="s">
        <v>36</v>
      </c>
      <c r="D25" t="s">
        <v>37</v>
      </c>
      <c r="E25" t="s">
        <v>38</v>
      </c>
      <c r="F25" t="s">
        <v>39</v>
      </c>
      <c r="G25" t="s">
        <v>40</v>
      </c>
      <c r="H25">
        <v>0.19</v>
      </c>
      <c r="I25" s="6" t="str">
        <f>_xlfn.CONCAT("Art. złączny do produktu ",Tabela10[[#This Row],[KOD_PRODUKTU]])</f>
        <v>Art. złączny do produktu 404E07</v>
      </c>
      <c r="J25" s="6" t="str">
        <f>_xlfn.CONCAT("VE-",Tabela10[[#This Row],[KOD_PRODUKTU]])</f>
        <v>VE-404E07</v>
      </c>
    </row>
    <row r="26" spans="1:10" x14ac:dyDescent="0.25">
      <c r="A26" s="7" t="s">
        <v>225</v>
      </c>
      <c r="B26" s="6" t="s">
        <v>226</v>
      </c>
      <c r="C26" s="7" t="s">
        <v>41</v>
      </c>
      <c r="D26" s="6" t="s">
        <v>42</v>
      </c>
      <c r="E26" s="6" t="s">
        <v>43</v>
      </c>
      <c r="F26" s="6" t="s">
        <v>5</v>
      </c>
      <c r="G26" s="6" t="s">
        <v>227</v>
      </c>
      <c r="H26" s="6">
        <v>0.01</v>
      </c>
      <c r="I26" s="6" t="str">
        <f>_xlfn.CONCAT("Art. złączny do produktu ",Tabela10[[#This Row],[KOD_PRODUKTU]])</f>
        <v>Art. złączny do produktu 404E07</v>
      </c>
      <c r="J26" s="6" t="str">
        <f>_xlfn.CONCAT("VE-",Tabela10[[#This Row],[KOD_PRODUKTU]])</f>
        <v>VE-404E07</v>
      </c>
    </row>
    <row r="27" spans="1:10" x14ac:dyDescent="0.25">
      <c r="A27" s="1" t="s">
        <v>225</v>
      </c>
      <c r="B27" t="s">
        <v>226</v>
      </c>
      <c r="C27" s="1" t="s">
        <v>7</v>
      </c>
      <c r="D27" t="s">
        <v>8</v>
      </c>
      <c r="E27" t="s">
        <v>9</v>
      </c>
      <c r="F27" t="s">
        <v>10</v>
      </c>
      <c r="G27" t="s">
        <v>245</v>
      </c>
      <c r="H27">
        <v>4</v>
      </c>
      <c r="I27" s="6" t="str">
        <f>_xlfn.CONCAT("Art. złączny do produktu ",Tabela10[[#This Row],[KOD_PRODUKTU]])</f>
        <v>Art. złączny do produktu 404E07</v>
      </c>
      <c r="J27" s="6" t="str">
        <f>_xlfn.CONCAT("VE-",Tabela10[[#This Row],[KOD_PRODUKTU]])</f>
        <v>VE-404E07</v>
      </c>
    </row>
    <row r="28" spans="1:10" x14ac:dyDescent="0.25">
      <c r="A28" s="7" t="s">
        <v>246</v>
      </c>
      <c r="B28" s="6" t="s">
        <v>247</v>
      </c>
      <c r="C28" s="7" t="s">
        <v>248</v>
      </c>
      <c r="D28" s="6" t="s">
        <v>249</v>
      </c>
      <c r="E28" s="6" t="s">
        <v>70</v>
      </c>
      <c r="F28" s="6" t="s">
        <v>39</v>
      </c>
      <c r="G28" s="6" t="s">
        <v>40</v>
      </c>
      <c r="H28" s="6">
        <v>0.05</v>
      </c>
      <c r="I28" s="6" t="str">
        <f>_xlfn.CONCAT("Art. złączny do produktu ",Tabela10[[#This Row],[KOD_PRODUKTU]])</f>
        <v>Art. złączny do produktu 404E08</v>
      </c>
      <c r="J28" s="6" t="str">
        <f>_xlfn.CONCAT("VE-",Tabela10[[#This Row],[KOD_PRODUKTU]])</f>
        <v>VE-404E08</v>
      </c>
    </row>
    <row r="29" spans="1:10" x14ac:dyDescent="0.25">
      <c r="A29" s="1" t="s">
        <v>246</v>
      </c>
      <c r="B29" t="s">
        <v>247</v>
      </c>
      <c r="C29" s="1" t="s">
        <v>7</v>
      </c>
      <c r="D29" t="s">
        <v>8</v>
      </c>
      <c r="E29" t="s">
        <v>9</v>
      </c>
      <c r="F29" t="s">
        <v>10</v>
      </c>
      <c r="G29" t="s">
        <v>71</v>
      </c>
      <c r="H29">
        <v>3.85</v>
      </c>
      <c r="I29" s="6" t="str">
        <f>_xlfn.CONCAT("Art. złączny do produktu ",Tabela10[[#This Row],[KOD_PRODUKTU]])</f>
        <v>Art. złączny do produktu 404E08</v>
      </c>
      <c r="J29" s="6" t="str">
        <f>_xlfn.CONCAT("VE-",Tabela10[[#This Row],[KOD_PRODUKTU]])</f>
        <v>VE-404E08</v>
      </c>
    </row>
    <row r="30" spans="1:10" x14ac:dyDescent="0.25">
      <c r="A30" s="7" t="s">
        <v>259</v>
      </c>
      <c r="B30" s="6" t="s">
        <v>260</v>
      </c>
      <c r="C30" s="7" t="s">
        <v>261</v>
      </c>
      <c r="D30" s="6" t="s">
        <v>262</v>
      </c>
      <c r="E30" s="6" t="s">
        <v>263</v>
      </c>
      <c r="F30" s="6" t="s">
        <v>39</v>
      </c>
      <c r="G30" s="6" t="s">
        <v>40</v>
      </c>
      <c r="H30" s="6">
        <v>0.3</v>
      </c>
      <c r="I30" s="6" t="str">
        <f>_xlfn.CONCAT("Art. złączny do produktu ",Tabela10[[#This Row],[KOD_PRODUKTU]])</f>
        <v>Art. złączny do produktu 404E09</v>
      </c>
      <c r="J30" s="6" t="str">
        <f>_xlfn.CONCAT("VE-",Tabela10[[#This Row],[KOD_PRODUKTU]])</f>
        <v>VE-404E09</v>
      </c>
    </row>
    <row r="31" spans="1:10" x14ac:dyDescent="0.25">
      <c r="A31" s="1" t="s">
        <v>259</v>
      </c>
      <c r="B31" t="s">
        <v>260</v>
      </c>
      <c r="C31" s="1" t="s">
        <v>7</v>
      </c>
      <c r="D31" t="s">
        <v>8</v>
      </c>
      <c r="E31" t="s">
        <v>9</v>
      </c>
      <c r="F31" t="s">
        <v>10</v>
      </c>
      <c r="G31" t="s">
        <v>305</v>
      </c>
      <c r="H31">
        <v>4</v>
      </c>
      <c r="I31" s="6" t="str">
        <f>_xlfn.CONCAT("Art. złączny do produktu ",Tabela10[[#This Row],[KOD_PRODUKTU]])</f>
        <v>Art. złączny do produktu 404E09</v>
      </c>
      <c r="J31" s="6" t="str">
        <f>_xlfn.CONCAT("VE-",Tabela10[[#This Row],[KOD_PRODUKTU]])</f>
        <v>VE-404E09</v>
      </c>
    </row>
    <row r="32" spans="1:10" x14ac:dyDescent="0.25">
      <c r="A32" s="7" t="s">
        <v>306</v>
      </c>
      <c r="B32" s="6" t="s">
        <v>307</v>
      </c>
      <c r="C32" s="7" t="s">
        <v>248</v>
      </c>
      <c r="D32" s="6" t="s">
        <v>249</v>
      </c>
      <c r="E32" s="6" t="s">
        <v>70</v>
      </c>
      <c r="F32" s="6" t="s">
        <v>39</v>
      </c>
      <c r="G32" s="6" t="s">
        <v>40</v>
      </c>
      <c r="H32" s="6">
        <v>0.05</v>
      </c>
      <c r="I32" s="6" t="str">
        <f>_xlfn.CONCAT("Art. złączny do produktu ",Tabela10[[#This Row],[KOD_PRODUKTU]])</f>
        <v>Art. złączny do produktu 404E10</v>
      </c>
      <c r="J32" s="6" t="str">
        <f>_xlfn.CONCAT("VE-",Tabela10[[#This Row],[KOD_PRODUKTU]])</f>
        <v>VE-404E10</v>
      </c>
    </row>
    <row r="33" spans="1:10" x14ac:dyDescent="0.25">
      <c r="A33" s="1" t="s">
        <v>306</v>
      </c>
      <c r="B33" t="s">
        <v>307</v>
      </c>
      <c r="C33" s="1" t="s">
        <v>7</v>
      </c>
      <c r="D33" t="s">
        <v>8</v>
      </c>
      <c r="E33" t="s">
        <v>9</v>
      </c>
      <c r="F33" t="s">
        <v>10</v>
      </c>
      <c r="G33" t="s">
        <v>316</v>
      </c>
      <c r="H33">
        <v>0.8</v>
      </c>
      <c r="I33" s="6" t="str">
        <f>_xlfn.CONCAT("Art. złączny do produktu ",Tabela10[[#This Row],[KOD_PRODUKTU]])</f>
        <v>Art. złączny do produktu 404E10</v>
      </c>
      <c r="J33" s="6" t="str">
        <f>_xlfn.CONCAT("VE-",Tabela10[[#This Row],[KOD_PRODUKTU]])</f>
        <v>VE-404E10</v>
      </c>
    </row>
    <row r="34" spans="1:10" x14ac:dyDescent="0.25">
      <c r="A34" s="7" t="s">
        <v>317</v>
      </c>
      <c r="B34" s="6" t="s">
        <v>318</v>
      </c>
      <c r="C34" s="7" t="s">
        <v>115</v>
      </c>
      <c r="D34" s="6" t="s">
        <v>116</v>
      </c>
      <c r="E34" s="6" t="s">
        <v>117</v>
      </c>
      <c r="F34" s="6" t="s">
        <v>39</v>
      </c>
      <c r="G34" s="6" t="s">
        <v>40</v>
      </c>
      <c r="H34" s="6">
        <v>0.2</v>
      </c>
      <c r="I34" s="6" t="str">
        <f>_xlfn.CONCAT("Art. złączny do produktu ",Tabela10[[#This Row],[KOD_PRODUKTU]])</f>
        <v>Art. złączny do produktu 404E12</v>
      </c>
      <c r="J34" s="6" t="str">
        <f>_xlfn.CONCAT("VE-",Tabela10[[#This Row],[KOD_PRODUKTU]])</f>
        <v>VE-404E12</v>
      </c>
    </row>
    <row r="35" spans="1:10" x14ac:dyDescent="0.25">
      <c r="A35" s="1" t="s">
        <v>317</v>
      </c>
      <c r="B35" t="s">
        <v>318</v>
      </c>
      <c r="C35" s="1" t="s">
        <v>7</v>
      </c>
      <c r="D35" t="s">
        <v>8</v>
      </c>
      <c r="E35" t="s">
        <v>9</v>
      </c>
      <c r="F35" t="s">
        <v>10</v>
      </c>
      <c r="G35" t="s">
        <v>132</v>
      </c>
      <c r="H35">
        <v>10.9</v>
      </c>
      <c r="I35" s="6" t="str">
        <f>_xlfn.CONCAT("Art. złączny do produktu ",Tabela10[[#This Row],[KOD_PRODUKTU]])</f>
        <v>Art. złączny do produktu 404E12</v>
      </c>
      <c r="J35" s="6" t="str">
        <f>_xlfn.CONCAT("VE-",Tabela10[[#This Row],[KOD_PRODUKTU]])</f>
        <v>VE-404E12</v>
      </c>
    </row>
    <row r="36" spans="1:10" x14ac:dyDescent="0.25">
      <c r="A36" s="7" t="s">
        <v>320</v>
      </c>
      <c r="B36" s="6" t="s">
        <v>321</v>
      </c>
      <c r="C36" s="7" t="s">
        <v>115</v>
      </c>
      <c r="D36" s="6" t="s">
        <v>116</v>
      </c>
      <c r="E36" s="6" t="s">
        <v>117</v>
      </c>
      <c r="F36" s="6" t="s">
        <v>39</v>
      </c>
      <c r="G36" s="6" t="s">
        <v>40</v>
      </c>
      <c r="H36" s="6">
        <v>0.2</v>
      </c>
      <c r="I36" s="6" t="str">
        <f>_xlfn.CONCAT("Art. złączny do produktu ",Tabela10[[#This Row],[KOD_PRODUKTU]])</f>
        <v>Art. złączny do produktu 404E13</v>
      </c>
      <c r="J36" s="6" t="str">
        <f>_xlfn.CONCAT("VE-",Tabela10[[#This Row],[KOD_PRODUKTU]])</f>
        <v>VE-404E13</v>
      </c>
    </row>
    <row r="37" spans="1:10" x14ac:dyDescent="0.25">
      <c r="A37" s="1" t="s">
        <v>320</v>
      </c>
      <c r="B37" t="s">
        <v>321</v>
      </c>
      <c r="C37" s="1" t="s">
        <v>7</v>
      </c>
      <c r="D37" t="s">
        <v>8</v>
      </c>
      <c r="E37" t="s">
        <v>9</v>
      </c>
      <c r="F37" t="s">
        <v>10</v>
      </c>
      <c r="G37" t="s">
        <v>152</v>
      </c>
      <c r="H37">
        <v>5.7</v>
      </c>
      <c r="I37" s="6" t="str">
        <f>_xlfn.CONCAT("Art. złączny do produktu ",Tabela10[[#This Row],[KOD_PRODUKTU]])</f>
        <v>Art. złączny do produktu 404E13</v>
      </c>
      <c r="J37" s="6" t="str">
        <f>_xlfn.CONCAT("VE-",Tabela10[[#This Row],[KOD_PRODUKTU]])</f>
        <v>VE-404E13</v>
      </c>
    </row>
    <row r="38" spans="1:10" x14ac:dyDescent="0.25">
      <c r="A38" s="7" t="s">
        <v>329</v>
      </c>
      <c r="B38" s="6" t="s">
        <v>330</v>
      </c>
      <c r="C38" s="7" t="s">
        <v>115</v>
      </c>
      <c r="D38" s="6" t="s">
        <v>116</v>
      </c>
      <c r="E38" s="6" t="s">
        <v>117</v>
      </c>
      <c r="F38" s="6" t="s">
        <v>39</v>
      </c>
      <c r="G38" s="6" t="s">
        <v>40</v>
      </c>
      <c r="H38" s="6">
        <v>0.2</v>
      </c>
      <c r="I38" s="6" t="str">
        <f>_xlfn.CONCAT("Art. złączny do produktu ",Tabela10[[#This Row],[KOD_PRODUKTU]])</f>
        <v>Art. złączny do produktu 404E14</v>
      </c>
      <c r="J38" s="6" t="str">
        <f>_xlfn.CONCAT("VE-",Tabela10[[#This Row],[KOD_PRODUKTU]])</f>
        <v>VE-404E14</v>
      </c>
    </row>
    <row r="39" spans="1:10" x14ac:dyDescent="0.25">
      <c r="A39" s="1" t="s">
        <v>329</v>
      </c>
      <c r="B39" t="s">
        <v>330</v>
      </c>
      <c r="C39" s="1" t="s">
        <v>7</v>
      </c>
      <c r="D39" t="s">
        <v>8</v>
      </c>
      <c r="E39" t="s">
        <v>9</v>
      </c>
      <c r="F39" t="s">
        <v>10</v>
      </c>
      <c r="G39" t="s">
        <v>344</v>
      </c>
      <c r="H39">
        <v>5.5</v>
      </c>
      <c r="I39" s="6" t="str">
        <f>_xlfn.CONCAT("Art. złączny do produktu ",Tabela10[[#This Row],[KOD_PRODUKTU]])</f>
        <v>Art. złączny do produktu 404E14</v>
      </c>
      <c r="J39" s="6" t="str">
        <f>_xlfn.CONCAT("VE-",Tabela10[[#This Row],[KOD_PRODUKTU]])</f>
        <v>VE-404E14</v>
      </c>
    </row>
    <row r="40" spans="1:10" x14ac:dyDescent="0.25">
      <c r="A40" s="7" t="s">
        <v>345</v>
      </c>
      <c r="B40" s="6" t="s">
        <v>346</v>
      </c>
      <c r="C40" s="7" t="s">
        <v>7</v>
      </c>
      <c r="D40" s="6" t="s">
        <v>8</v>
      </c>
      <c r="E40" s="6" t="s">
        <v>9</v>
      </c>
      <c r="F40" s="6" t="s">
        <v>10</v>
      </c>
      <c r="G40" s="6" t="s">
        <v>367</v>
      </c>
      <c r="H40" s="6">
        <v>2.2999999999999998</v>
      </c>
      <c r="I40" s="6" t="str">
        <f>_xlfn.CONCAT("Art. złączny do produktu ",Tabela10[[#This Row],[KOD_PRODUKTU]])</f>
        <v>Art. złączny do produktu 404E15</v>
      </c>
      <c r="J40" s="6" t="str">
        <f>_xlfn.CONCAT("VE-",Tabela10[[#This Row],[KOD_PRODUKTU]])</f>
        <v>VE-404E15</v>
      </c>
    </row>
    <row r="41" spans="1:10" x14ac:dyDescent="0.25">
      <c r="A41" s="1" t="s">
        <v>368</v>
      </c>
      <c r="B41" t="s">
        <v>369</v>
      </c>
      <c r="C41" s="1" t="s">
        <v>81</v>
      </c>
      <c r="D41" t="s">
        <v>82</v>
      </c>
      <c r="E41" t="s">
        <v>83</v>
      </c>
      <c r="F41" t="s">
        <v>39</v>
      </c>
      <c r="G41" t="s">
        <v>40</v>
      </c>
      <c r="H41">
        <v>0.15</v>
      </c>
      <c r="I41" s="6" t="str">
        <f>_xlfn.CONCAT("Art. złączny do produktu ",Tabela10[[#This Row],[KOD_PRODUKTU]])</f>
        <v>Art. złączny do produktu 404E16</v>
      </c>
      <c r="J41" s="6" t="str">
        <f>_xlfn.CONCAT("VE-",Tabela10[[#This Row],[KOD_PRODUKTU]])</f>
        <v>VE-404E16</v>
      </c>
    </row>
    <row r="42" spans="1:10" x14ac:dyDescent="0.25">
      <c r="A42" s="7" t="s">
        <v>368</v>
      </c>
      <c r="B42" s="6" t="s">
        <v>369</v>
      </c>
      <c r="C42" s="7" t="s">
        <v>7</v>
      </c>
      <c r="D42" s="6" t="s">
        <v>8</v>
      </c>
      <c r="E42" s="6" t="s">
        <v>9</v>
      </c>
      <c r="F42" s="6" t="s">
        <v>10</v>
      </c>
      <c r="G42" s="6" t="s">
        <v>19</v>
      </c>
      <c r="H42" s="6">
        <v>4.5999999999999996</v>
      </c>
      <c r="I42" s="6" t="str">
        <f>_xlfn.CONCAT("Art. złączny do produktu ",Tabela10[[#This Row],[KOD_PRODUKTU]])</f>
        <v>Art. złączny do produktu 404E16</v>
      </c>
      <c r="J42" s="6" t="str">
        <f>_xlfn.CONCAT("VE-",Tabela10[[#This Row],[KOD_PRODUKTU]])</f>
        <v>VE-404E16</v>
      </c>
    </row>
    <row r="43" spans="1:10" x14ac:dyDescent="0.25">
      <c r="A43" s="1" t="s">
        <v>379</v>
      </c>
      <c r="B43" t="s">
        <v>380</v>
      </c>
      <c r="C43" s="1" t="s">
        <v>36</v>
      </c>
      <c r="D43" t="s">
        <v>37</v>
      </c>
      <c r="E43" t="s">
        <v>38</v>
      </c>
      <c r="F43" t="s">
        <v>39</v>
      </c>
      <c r="G43" t="s">
        <v>40</v>
      </c>
      <c r="H43">
        <v>0.19</v>
      </c>
      <c r="I43" s="6" t="str">
        <f>_xlfn.CONCAT("Art. złączny do produktu ",Tabela10[[#This Row],[KOD_PRODUKTU]])</f>
        <v>Art. złączny do produktu 404E17</v>
      </c>
      <c r="J43" s="6" t="str">
        <f>_xlfn.CONCAT("VE-",Tabela10[[#This Row],[KOD_PRODUKTU]])</f>
        <v>VE-404E17</v>
      </c>
    </row>
    <row r="44" spans="1:10" x14ac:dyDescent="0.25">
      <c r="A44" s="7" t="s">
        <v>379</v>
      </c>
      <c r="B44" s="6" t="s">
        <v>380</v>
      </c>
      <c r="C44" s="7" t="s">
        <v>7</v>
      </c>
      <c r="D44" s="6" t="s">
        <v>8</v>
      </c>
      <c r="E44" s="6" t="s">
        <v>9</v>
      </c>
      <c r="F44" s="6" t="s">
        <v>10</v>
      </c>
      <c r="G44" s="6" t="s">
        <v>404</v>
      </c>
      <c r="H44" s="6">
        <v>1.01</v>
      </c>
      <c r="I44" s="6" t="str">
        <f>_xlfn.CONCAT("Art. złączny do produktu ",Tabela10[[#This Row],[KOD_PRODUKTU]])</f>
        <v>Art. złączny do produktu 404E17</v>
      </c>
      <c r="J44" s="6" t="str">
        <f>_xlfn.CONCAT("VE-",Tabela10[[#This Row],[KOD_PRODUKTU]])</f>
        <v>VE-404E17</v>
      </c>
    </row>
    <row r="45" spans="1:10" x14ac:dyDescent="0.25">
      <c r="A45" s="1" t="s">
        <v>405</v>
      </c>
      <c r="B45" t="s">
        <v>406</v>
      </c>
      <c r="C45" s="1" t="s">
        <v>7</v>
      </c>
      <c r="D45" t="s">
        <v>8</v>
      </c>
      <c r="E45" t="s">
        <v>9</v>
      </c>
      <c r="F45" t="s">
        <v>10</v>
      </c>
      <c r="G45" t="s">
        <v>19</v>
      </c>
      <c r="H45">
        <v>4.5999999999999996</v>
      </c>
      <c r="I45" s="6" t="str">
        <f>_xlfn.CONCAT("Art. złączny do produktu ",Tabela10[[#This Row],[KOD_PRODUKTU]])</f>
        <v>Art. złączny do produktu 404E18</v>
      </c>
      <c r="J45" s="6" t="str">
        <f>_xlfn.CONCAT("VE-",Tabela10[[#This Row],[KOD_PRODUKTU]])</f>
        <v>VE-404E18</v>
      </c>
    </row>
    <row r="46" spans="1:10" x14ac:dyDescent="0.25">
      <c r="A46" s="7" t="s">
        <v>427</v>
      </c>
      <c r="B46" s="6" t="s">
        <v>428</v>
      </c>
      <c r="C46" s="7" t="s">
        <v>429</v>
      </c>
      <c r="D46" s="6" t="s">
        <v>430</v>
      </c>
      <c r="E46" s="6" t="s">
        <v>145</v>
      </c>
      <c r="F46" s="6" t="s">
        <v>5</v>
      </c>
      <c r="G46" s="6" t="s">
        <v>431</v>
      </c>
      <c r="H46" s="6">
        <v>3.35</v>
      </c>
      <c r="I46" s="6" t="str">
        <f>_xlfn.CONCAT("Art. złączny do produktu ",Tabela10[[#This Row],[KOD_PRODUKTU]])</f>
        <v>Art. złączny do produktu 404E19</v>
      </c>
      <c r="J46" s="6" t="str">
        <f>_xlfn.CONCAT("VE-",Tabela10[[#This Row],[KOD_PRODUKTU]])</f>
        <v>VE-404E19</v>
      </c>
    </row>
    <row r="47" spans="1:10" x14ac:dyDescent="0.25">
      <c r="A47" s="1" t="s">
        <v>427</v>
      </c>
      <c r="B47" t="s">
        <v>428</v>
      </c>
      <c r="C47" s="1" t="s">
        <v>432</v>
      </c>
      <c r="D47" t="s">
        <v>433</v>
      </c>
      <c r="E47" t="s">
        <v>434</v>
      </c>
      <c r="F47" t="s">
        <v>435</v>
      </c>
      <c r="G47" t="s">
        <v>268</v>
      </c>
      <c r="H47">
        <v>3.3</v>
      </c>
      <c r="I47" s="6" t="str">
        <f>_xlfn.CONCAT("Art. złączny do produktu ",Tabela10[[#This Row],[KOD_PRODUKTU]])</f>
        <v>Art. złączny do produktu 404E19</v>
      </c>
      <c r="J47" s="6" t="str">
        <f>_xlfn.CONCAT("VE-",Tabela10[[#This Row],[KOD_PRODUKTU]])</f>
        <v>VE-404E19</v>
      </c>
    </row>
    <row r="48" spans="1:10" x14ac:dyDescent="0.25">
      <c r="A48" s="7" t="s">
        <v>427</v>
      </c>
      <c r="B48" s="6" t="s">
        <v>428</v>
      </c>
      <c r="C48" s="7" t="s">
        <v>7</v>
      </c>
      <c r="D48" s="6" t="s">
        <v>8</v>
      </c>
      <c r="E48" s="6" t="s">
        <v>9</v>
      </c>
      <c r="F48" s="6" t="s">
        <v>10</v>
      </c>
      <c r="G48" s="6" t="s">
        <v>436</v>
      </c>
      <c r="H48" s="6">
        <v>5.95</v>
      </c>
      <c r="I48" s="6" t="str">
        <f>_xlfn.CONCAT("Art. złączny do produktu ",Tabela10[[#This Row],[KOD_PRODUKTU]])</f>
        <v>Art. złączny do produktu 404E19</v>
      </c>
      <c r="J48" s="6" t="str">
        <f>_xlfn.CONCAT("VE-",Tabela10[[#This Row],[KOD_PRODUKTU]])</f>
        <v>VE-404E19</v>
      </c>
    </row>
    <row r="49" spans="1:10" x14ac:dyDescent="0.25">
      <c r="A49" s="1" t="s">
        <v>437</v>
      </c>
      <c r="B49" t="s">
        <v>438</v>
      </c>
      <c r="C49" s="1" t="s">
        <v>81</v>
      </c>
      <c r="D49" t="s">
        <v>82</v>
      </c>
      <c r="E49" t="s">
        <v>83</v>
      </c>
      <c r="F49" t="s">
        <v>39</v>
      </c>
      <c r="G49" t="s">
        <v>40</v>
      </c>
      <c r="H49">
        <v>0.15</v>
      </c>
      <c r="I49" s="6" t="str">
        <f>_xlfn.CONCAT("Art. złączny do produktu ",Tabela10[[#This Row],[KOD_PRODUKTU]])</f>
        <v>Art. złączny do produktu 404E20</v>
      </c>
      <c r="J49" s="6" t="str">
        <f>_xlfn.CONCAT("VE-",Tabela10[[#This Row],[KOD_PRODUKTU]])</f>
        <v>VE-404E20</v>
      </c>
    </row>
    <row r="50" spans="1:10" x14ac:dyDescent="0.25">
      <c r="A50" s="7" t="s">
        <v>437</v>
      </c>
      <c r="B50" s="6" t="s">
        <v>438</v>
      </c>
      <c r="C50" s="7" t="s">
        <v>7</v>
      </c>
      <c r="D50" s="6" t="s">
        <v>8</v>
      </c>
      <c r="E50" s="6" t="s">
        <v>9</v>
      </c>
      <c r="F50" s="6" t="s">
        <v>10</v>
      </c>
      <c r="G50" s="6" t="s">
        <v>112</v>
      </c>
      <c r="H50" s="6">
        <v>3.9</v>
      </c>
      <c r="I50" s="6" t="str">
        <f>_xlfn.CONCAT("Art. złączny do produktu ",Tabela10[[#This Row],[KOD_PRODUKTU]])</f>
        <v>Art. złączny do produktu 404E20</v>
      </c>
      <c r="J50" s="6" t="str">
        <f>_xlfn.CONCAT("VE-",Tabela10[[#This Row],[KOD_PRODUKTU]])</f>
        <v>VE-404E20</v>
      </c>
    </row>
    <row r="51" spans="1:10" x14ac:dyDescent="0.25">
      <c r="A51" s="1" t="s">
        <v>439</v>
      </c>
      <c r="B51" t="s">
        <v>440</v>
      </c>
      <c r="C51" s="1" t="s">
        <v>7</v>
      </c>
      <c r="D51" t="s">
        <v>8</v>
      </c>
      <c r="E51" t="s">
        <v>9</v>
      </c>
      <c r="F51" t="s">
        <v>10</v>
      </c>
      <c r="G51" t="s">
        <v>447</v>
      </c>
      <c r="H51">
        <v>0.92</v>
      </c>
      <c r="I51" s="6" t="str">
        <f>_xlfn.CONCAT("Art. złączny do produktu ",Tabela10[[#This Row],[KOD_PRODUKTU]])</f>
        <v>Art. złączny do produktu 404E21</v>
      </c>
      <c r="J51" s="6" t="str">
        <f>_xlfn.CONCAT("VE-",Tabela10[[#This Row],[KOD_PRODUKTU]])</f>
        <v>VE-404E21</v>
      </c>
    </row>
    <row r="52" spans="1:10" x14ac:dyDescent="0.25">
      <c r="A52" s="7" t="s">
        <v>448</v>
      </c>
      <c r="B52" s="6" t="s">
        <v>449</v>
      </c>
      <c r="C52" s="7" t="s">
        <v>248</v>
      </c>
      <c r="D52" s="6" t="s">
        <v>249</v>
      </c>
      <c r="E52" s="6" t="s">
        <v>70</v>
      </c>
      <c r="F52" s="6" t="s">
        <v>39</v>
      </c>
      <c r="G52" s="6" t="s">
        <v>40</v>
      </c>
      <c r="H52" s="6">
        <v>0.05</v>
      </c>
      <c r="I52" s="6" t="str">
        <f>_xlfn.CONCAT("Art. złączny do produktu ",Tabela10[[#This Row],[KOD_PRODUKTU]])</f>
        <v>Art. złączny do produktu 404E22</v>
      </c>
      <c r="J52" s="6" t="str">
        <f>_xlfn.CONCAT("VE-",Tabela10[[#This Row],[KOD_PRODUKTU]])</f>
        <v>VE-404E22</v>
      </c>
    </row>
    <row r="53" spans="1:10" x14ac:dyDescent="0.25">
      <c r="A53" s="1" t="s">
        <v>448</v>
      </c>
      <c r="B53" t="s">
        <v>449</v>
      </c>
      <c r="C53" s="1" t="s">
        <v>7</v>
      </c>
      <c r="D53" t="s">
        <v>8</v>
      </c>
      <c r="E53" t="s">
        <v>9</v>
      </c>
      <c r="F53" t="s">
        <v>10</v>
      </c>
      <c r="G53" t="s">
        <v>367</v>
      </c>
      <c r="H53">
        <v>2.2999999999999998</v>
      </c>
      <c r="I53" s="6" t="str">
        <f>_xlfn.CONCAT("Art. złączny do produktu ",Tabela10[[#This Row],[KOD_PRODUKTU]])</f>
        <v>Art. złączny do produktu 404E22</v>
      </c>
      <c r="J53" s="6" t="str">
        <f>_xlfn.CONCAT("VE-",Tabela10[[#This Row],[KOD_PRODUKTU]])</f>
        <v>VE-404E22</v>
      </c>
    </row>
    <row r="54" spans="1:10" x14ac:dyDescent="0.25">
      <c r="A54" s="7" t="s">
        <v>458</v>
      </c>
      <c r="B54" s="6" t="s">
        <v>459</v>
      </c>
      <c r="C54" s="7" t="s">
        <v>81</v>
      </c>
      <c r="D54" s="6" t="s">
        <v>82</v>
      </c>
      <c r="E54" s="6" t="s">
        <v>83</v>
      </c>
      <c r="F54" s="6" t="s">
        <v>39</v>
      </c>
      <c r="G54" s="6" t="s">
        <v>40</v>
      </c>
      <c r="H54" s="6">
        <v>0.15</v>
      </c>
      <c r="I54" s="6" t="str">
        <f>_xlfn.CONCAT("Art. złączny do produktu ",Tabela10[[#This Row],[KOD_PRODUKTU]])</f>
        <v>Art. złączny do produktu 404E23</v>
      </c>
      <c r="J54" s="6" t="str">
        <f>_xlfn.CONCAT("VE-",Tabela10[[#This Row],[KOD_PRODUKTU]])</f>
        <v>VE-404E23</v>
      </c>
    </row>
    <row r="55" spans="1:10" x14ac:dyDescent="0.25">
      <c r="A55" s="1" t="s">
        <v>458</v>
      </c>
      <c r="B55" t="s">
        <v>459</v>
      </c>
      <c r="C55" s="1" t="s">
        <v>7</v>
      </c>
      <c r="D55" t="s">
        <v>8</v>
      </c>
      <c r="E55" t="s">
        <v>9</v>
      </c>
      <c r="F55" t="s">
        <v>10</v>
      </c>
      <c r="G55" t="s">
        <v>19</v>
      </c>
      <c r="H55">
        <v>4.5999999999999996</v>
      </c>
      <c r="I55" s="6" t="str">
        <f>_xlfn.CONCAT("Art. złączny do produktu ",Tabela10[[#This Row],[KOD_PRODUKTU]])</f>
        <v>Art. złączny do produktu 404E23</v>
      </c>
      <c r="J55" s="6" t="str">
        <f>_xlfn.CONCAT("VE-",Tabela10[[#This Row],[KOD_PRODUKTU]])</f>
        <v>VE-404E23</v>
      </c>
    </row>
    <row r="56" spans="1:10" x14ac:dyDescent="0.25">
      <c r="A56" s="7" t="s">
        <v>469</v>
      </c>
      <c r="B56" s="6" t="s">
        <v>470</v>
      </c>
      <c r="C56" s="7" t="s">
        <v>471</v>
      </c>
      <c r="D56" s="6" t="s">
        <v>472</v>
      </c>
      <c r="E56" s="6" t="s">
        <v>473</v>
      </c>
      <c r="F56" s="6" t="s">
        <v>5</v>
      </c>
      <c r="G56" s="6" t="s">
        <v>474</v>
      </c>
      <c r="H56" s="6">
        <v>22.65</v>
      </c>
      <c r="I56" s="6" t="str">
        <f>_xlfn.CONCAT("Art. złączny do produktu ",Tabela10[[#This Row],[KOD_PRODUKTU]])</f>
        <v>Art. złączny do produktu 404F04</v>
      </c>
      <c r="J56" s="6" t="str">
        <f>_xlfn.CONCAT("VE-",Tabela10[[#This Row],[KOD_PRODUKTU]])</f>
        <v>VE-404F04</v>
      </c>
    </row>
    <row r="57" spans="1:10" x14ac:dyDescent="0.25">
      <c r="A57" s="1" t="s">
        <v>469</v>
      </c>
      <c r="B57" t="s">
        <v>470</v>
      </c>
      <c r="C57" s="1" t="s">
        <v>475</v>
      </c>
      <c r="D57" t="s">
        <v>476</v>
      </c>
      <c r="E57" t="s">
        <v>477</v>
      </c>
      <c r="F57" t="s">
        <v>39</v>
      </c>
      <c r="G57" t="s">
        <v>478</v>
      </c>
      <c r="H57">
        <v>0.41</v>
      </c>
      <c r="I57" s="6" t="str">
        <f>_xlfn.CONCAT("Art. złączny do produktu ",Tabela10[[#This Row],[KOD_PRODUKTU]])</f>
        <v>Art. złączny do produktu 404F04</v>
      </c>
      <c r="J57" s="6" t="str">
        <f>_xlfn.CONCAT("VE-",Tabela10[[#This Row],[KOD_PRODUKTU]])</f>
        <v>VE-404F04</v>
      </c>
    </row>
    <row r="58" spans="1:10" x14ac:dyDescent="0.25">
      <c r="A58" s="7" t="s">
        <v>469</v>
      </c>
      <c r="B58" s="6" t="s">
        <v>470</v>
      </c>
      <c r="C58" s="7" t="s">
        <v>479</v>
      </c>
      <c r="D58" s="6" t="s">
        <v>480</v>
      </c>
      <c r="E58" s="6" t="s">
        <v>481</v>
      </c>
      <c r="F58" s="6" t="s">
        <v>5</v>
      </c>
      <c r="G58" s="6" t="s">
        <v>482</v>
      </c>
      <c r="H58" s="6">
        <v>0.04</v>
      </c>
      <c r="I58" s="6" t="str">
        <f>_xlfn.CONCAT("Art. złączny do produktu ",Tabela10[[#This Row],[KOD_PRODUKTU]])</f>
        <v>Art. złączny do produktu 404F04</v>
      </c>
      <c r="J58" s="6" t="str">
        <f>_xlfn.CONCAT("VE-",Tabela10[[#This Row],[KOD_PRODUKTU]])</f>
        <v>VE-404F04</v>
      </c>
    </row>
    <row r="59" spans="1:10" x14ac:dyDescent="0.25">
      <c r="A59" s="1" t="s">
        <v>469</v>
      </c>
      <c r="B59" t="s">
        <v>470</v>
      </c>
      <c r="C59" s="1" t="s">
        <v>483</v>
      </c>
      <c r="D59" t="s">
        <v>484</v>
      </c>
      <c r="E59" t="s">
        <v>485</v>
      </c>
      <c r="F59" t="s">
        <v>5</v>
      </c>
      <c r="G59" t="s">
        <v>486</v>
      </c>
      <c r="H59">
        <v>0.03</v>
      </c>
      <c r="I59" s="6" t="str">
        <f>_xlfn.CONCAT("Art. złączny do produktu ",Tabela10[[#This Row],[KOD_PRODUKTU]])</f>
        <v>Art. złączny do produktu 404F04</v>
      </c>
      <c r="J59" s="6" t="str">
        <f>_xlfn.CONCAT("VE-",Tabela10[[#This Row],[KOD_PRODUKTU]])</f>
        <v>VE-404F04</v>
      </c>
    </row>
    <row r="60" spans="1:10" x14ac:dyDescent="0.25">
      <c r="A60" s="7" t="s">
        <v>469</v>
      </c>
      <c r="B60" s="6" t="s">
        <v>470</v>
      </c>
      <c r="C60" s="7" t="s">
        <v>487</v>
      </c>
      <c r="D60" s="6" t="s">
        <v>488</v>
      </c>
      <c r="E60" s="6" t="s">
        <v>489</v>
      </c>
      <c r="F60" s="6" t="s">
        <v>5</v>
      </c>
      <c r="G60" s="6" t="s">
        <v>490</v>
      </c>
      <c r="H60" s="6">
        <v>0.28999999999999998</v>
      </c>
      <c r="I60" s="6" t="str">
        <f>_xlfn.CONCAT("Art. złączny do produktu ",Tabela10[[#This Row],[KOD_PRODUKTU]])</f>
        <v>Art. złączny do produktu 404F04</v>
      </c>
      <c r="J60" s="6" t="str">
        <f>_xlfn.CONCAT("VE-",Tabela10[[#This Row],[KOD_PRODUKTU]])</f>
        <v>VE-404F04</v>
      </c>
    </row>
    <row r="61" spans="1:10" x14ac:dyDescent="0.25">
      <c r="A61" s="1" t="s">
        <v>469</v>
      </c>
      <c r="B61" t="s">
        <v>470</v>
      </c>
      <c r="C61" s="1" t="s">
        <v>491</v>
      </c>
      <c r="D61" t="s">
        <v>492</v>
      </c>
      <c r="E61" t="s">
        <v>493</v>
      </c>
      <c r="F61" t="s">
        <v>121</v>
      </c>
      <c r="G61" t="s">
        <v>92</v>
      </c>
      <c r="H61">
        <v>13.7</v>
      </c>
      <c r="I61" s="6" t="str">
        <f>_xlfn.CONCAT("Art. złączny do produktu ",Tabela10[[#This Row],[KOD_PRODUKTU]])</f>
        <v>Art. złączny do produktu 404F04</v>
      </c>
      <c r="J61" s="6" t="str">
        <f>_xlfn.CONCAT("VE-",Tabela10[[#This Row],[KOD_PRODUKTU]])</f>
        <v>VE-404F04</v>
      </c>
    </row>
    <row r="62" spans="1:10" x14ac:dyDescent="0.25">
      <c r="A62" s="7" t="s">
        <v>469</v>
      </c>
      <c r="B62" s="6" t="s">
        <v>470</v>
      </c>
      <c r="C62" s="7" t="s">
        <v>494</v>
      </c>
      <c r="D62" s="6" t="s">
        <v>495</v>
      </c>
      <c r="E62" s="6" t="s">
        <v>496</v>
      </c>
      <c r="F62" s="6" t="s">
        <v>121</v>
      </c>
      <c r="G62" s="6" t="s">
        <v>50</v>
      </c>
      <c r="H62" s="6">
        <v>17.45</v>
      </c>
      <c r="I62" s="6" t="str">
        <f>_xlfn.CONCAT("Art. złączny do produktu ",Tabela10[[#This Row],[KOD_PRODUKTU]])</f>
        <v>Art. złączny do produktu 404F04</v>
      </c>
      <c r="J62" s="6" t="str">
        <f>_xlfn.CONCAT("VE-",Tabela10[[#This Row],[KOD_PRODUKTU]])</f>
        <v>VE-404F04</v>
      </c>
    </row>
    <row r="63" spans="1:10" x14ac:dyDescent="0.25">
      <c r="A63" s="1" t="s">
        <v>469</v>
      </c>
      <c r="B63" t="s">
        <v>470</v>
      </c>
      <c r="C63" s="1" t="s">
        <v>497</v>
      </c>
      <c r="D63" t="s">
        <v>498</v>
      </c>
      <c r="E63" t="s">
        <v>496</v>
      </c>
      <c r="F63" t="s">
        <v>121</v>
      </c>
      <c r="G63" t="s">
        <v>50</v>
      </c>
      <c r="H63">
        <v>17.45</v>
      </c>
      <c r="I63" s="6" t="str">
        <f>_xlfn.CONCAT("Art. złączny do produktu ",Tabela10[[#This Row],[KOD_PRODUKTU]])</f>
        <v>Art. złączny do produktu 404F04</v>
      </c>
      <c r="J63" s="6" t="str">
        <f>_xlfn.CONCAT("VE-",Tabela10[[#This Row],[KOD_PRODUKTU]])</f>
        <v>VE-404F04</v>
      </c>
    </row>
    <row r="64" spans="1:10" x14ac:dyDescent="0.25">
      <c r="A64" s="7" t="s">
        <v>469</v>
      </c>
      <c r="B64" s="6" t="s">
        <v>470</v>
      </c>
      <c r="C64" s="7" t="s">
        <v>499</v>
      </c>
      <c r="D64" s="6" t="s">
        <v>500</v>
      </c>
      <c r="E64" s="6" t="s">
        <v>501</v>
      </c>
      <c r="F64" s="6" t="s">
        <v>121</v>
      </c>
      <c r="G64" s="6" t="s">
        <v>50</v>
      </c>
      <c r="H64" s="6">
        <v>4.5</v>
      </c>
      <c r="I64" s="6" t="str">
        <f>_xlfn.CONCAT("Art. złączny do produktu ",Tabela10[[#This Row],[KOD_PRODUKTU]])</f>
        <v>Art. złączny do produktu 404F04</v>
      </c>
      <c r="J64" s="6" t="str">
        <f>_xlfn.CONCAT("VE-",Tabela10[[#This Row],[KOD_PRODUKTU]])</f>
        <v>VE-404F04</v>
      </c>
    </row>
    <row r="65" spans="1:10" x14ac:dyDescent="0.25">
      <c r="A65" s="1" t="s">
        <v>469</v>
      </c>
      <c r="B65" t="s">
        <v>470</v>
      </c>
      <c r="C65" s="1" t="s">
        <v>7</v>
      </c>
      <c r="D65" t="s">
        <v>8</v>
      </c>
      <c r="E65" t="s">
        <v>9</v>
      </c>
      <c r="F65" t="s">
        <v>10</v>
      </c>
      <c r="G65" t="s">
        <v>504</v>
      </c>
      <c r="H65">
        <v>32</v>
      </c>
      <c r="I65" s="6" t="str">
        <f>_xlfn.CONCAT("Art. złączny do produktu ",Tabela10[[#This Row],[KOD_PRODUKTU]])</f>
        <v>Art. złączny do produktu 404F04</v>
      </c>
      <c r="J65" s="6" t="str">
        <f>_xlfn.CONCAT("VE-",Tabela10[[#This Row],[KOD_PRODUKTU]])</f>
        <v>VE-404F04</v>
      </c>
    </row>
    <row r="66" spans="1:10" x14ac:dyDescent="0.25">
      <c r="A66" s="7" t="s">
        <v>505</v>
      </c>
      <c r="B66" s="6" t="s">
        <v>506</v>
      </c>
      <c r="C66" s="7" t="s">
        <v>507</v>
      </c>
      <c r="D66" s="6" t="s">
        <v>508</v>
      </c>
      <c r="E66" s="6" t="s">
        <v>509</v>
      </c>
      <c r="F66" s="6" t="s">
        <v>5</v>
      </c>
      <c r="G66" s="6" t="s">
        <v>510</v>
      </c>
      <c r="H66" s="6">
        <v>5.49</v>
      </c>
      <c r="I66" s="6" t="str">
        <f>_xlfn.CONCAT("Art. złączny do produktu ",Tabela10[[#This Row],[KOD_PRODUKTU]])</f>
        <v>Art. złączny do produktu 404F07</v>
      </c>
      <c r="J66" s="6" t="str">
        <f>_xlfn.CONCAT("VE-",Tabela10[[#This Row],[KOD_PRODUKTU]])</f>
        <v>VE-404F07</v>
      </c>
    </row>
    <row r="67" spans="1:10" x14ac:dyDescent="0.25">
      <c r="A67" s="1" t="s">
        <v>505</v>
      </c>
      <c r="B67" t="s">
        <v>506</v>
      </c>
      <c r="C67" s="1" t="s">
        <v>511</v>
      </c>
      <c r="D67" t="s">
        <v>512</v>
      </c>
      <c r="E67" t="s">
        <v>513</v>
      </c>
      <c r="F67" t="s">
        <v>39</v>
      </c>
      <c r="G67" t="s">
        <v>478</v>
      </c>
      <c r="H67">
        <v>0.44</v>
      </c>
      <c r="I67" s="6" t="str">
        <f>_xlfn.CONCAT("Art. złączny do produktu ",Tabela10[[#This Row],[KOD_PRODUKTU]])</f>
        <v>Art. złączny do produktu 404F07</v>
      </c>
      <c r="J67" s="6" t="str">
        <f>_xlfn.CONCAT("VE-",Tabela10[[#This Row],[KOD_PRODUKTU]])</f>
        <v>VE-404F07</v>
      </c>
    </row>
    <row r="68" spans="1:10" x14ac:dyDescent="0.25">
      <c r="A68" s="7" t="s">
        <v>505</v>
      </c>
      <c r="B68" s="6" t="s">
        <v>506</v>
      </c>
      <c r="C68" s="7" t="s">
        <v>514</v>
      </c>
      <c r="D68" s="6" t="s">
        <v>515</v>
      </c>
      <c r="E68" s="6" t="s">
        <v>516</v>
      </c>
      <c r="F68" s="6" t="s">
        <v>121</v>
      </c>
      <c r="G68" s="6" t="s">
        <v>50</v>
      </c>
      <c r="H68" s="6">
        <v>0.27</v>
      </c>
      <c r="I68" s="6" t="str">
        <f>_xlfn.CONCAT("Art. złączny do produktu ",Tabela10[[#This Row],[KOD_PRODUKTU]])</f>
        <v>Art. złączny do produktu 404F07</v>
      </c>
      <c r="J68" s="6" t="str">
        <f>_xlfn.CONCAT("VE-",Tabela10[[#This Row],[KOD_PRODUKTU]])</f>
        <v>VE-404F07</v>
      </c>
    </row>
    <row r="69" spans="1:10" x14ac:dyDescent="0.25">
      <c r="A69" s="1" t="s">
        <v>505</v>
      </c>
      <c r="B69" t="s">
        <v>506</v>
      </c>
      <c r="C69" s="1" t="s">
        <v>517</v>
      </c>
      <c r="D69" t="s">
        <v>518</v>
      </c>
      <c r="E69" t="s">
        <v>519</v>
      </c>
      <c r="F69" t="s">
        <v>121</v>
      </c>
      <c r="G69" t="s">
        <v>92</v>
      </c>
      <c r="H69">
        <v>11.1</v>
      </c>
      <c r="I69" s="6" t="str">
        <f>_xlfn.CONCAT("Art. złączny do produktu ",Tabela10[[#This Row],[KOD_PRODUKTU]])</f>
        <v>Art. złączny do produktu 404F07</v>
      </c>
      <c r="J69" s="6" t="str">
        <f>_xlfn.CONCAT("VE-",Tabela10[[#This Row],[KOD_PRODUKTU]])</f>
        <v>VE-404F07</v>
      </c>
    </row>
    <row r="70" spans="1:10" x14ac:dyDescent="0.25">
      <c r="A70" s="7" t="s">
        <v>505</v>
      </c>
      <c r="B70" s="6" t="s">
        <v>506</v>
      </c>
      <c r="C70" s="7" t="s">
        <v>520</v>
      </c>
      <c r="D70" s="6" t="s">
        <v>521</v>
      </c>
      <c r="E70" s="6" t="s">
        <v>522</v>
      </c>
      <c r="F70" s="6" t="s">
        <v>121</v>
      </c>
      <c r="G70" s="6" t="s">
        <v>50</v>
      </c>
      <c r="H70" s="6">
        <v>3.45</v>
      </c>
      <c r="I70" s="6" t="str">
        <f>_xlfn.CONCAT("Art. złączny do produktu ",Tabela10[[#This Row],[KOD_PRODUKTU]])</f>
        <v>Art. złączny do produktu 404F07</v>
      </c>
      <c r="J70" s="6" t="str">
        <f>_xlfn.CONCAT("VE-",Tabela10[[#This Row],[KOD_PRODUKTU]])</f>
        <v>VE-404F07</v>
      </c>
    </row>
    <row r="71" spans="1:10" x14ac:dyDescent="0.25">
      <c r="A71" s="1" t="s">
        <v>505</v>
      </c>
      <c r="B71" t="s">
        <v>506</v>
      </c>
      <c r="C71" s="1" t="s">
        <v>7</v>
      </c>
      <c r="D71" t="s">
        <v>8</v>
      </c>
      <c r="E71" t="s">
        <v>9</v>
      </c>
      <c r="F71" t="s">
        <v>10</v>
      </c>
      <c r="G71" t="s">
        <v>523</v>
      </c>
      <c r="H71">
        <v>17</v>
      </c>
      <c r="I71" s="6" t="str">
        <f>_xlfn.CONCAT("Art. złączny do produktu ",Tabela10[[#This Row],[KOD_PRODUKTU]])</f>
        <v>Art. złączny do produktu 404F07</v>
      </c>
      <c r="J71" s="6" t="str">
        <f>_xlfn.CONCAT("VE-",Tabela10[[#This Row],[KOD_PRODUKTU]])</f>
        <v>VE-404F07</v>
      </c>
    </row>
    <row r="72" spans="1:10" x14ac:dyDescent="0.25">
      <c r="A72" s="7" t="s">
        <v>524</v>
      </c>
      <c r="B72" s="6" t="s">
        <v>525</v>
      </c>
      <c r="C72" s="7" t="s">
        <v>471</v>
      </c>
      <c r="D72" s="6" t="s">
        <v>472</v>
      </c>
      <c r="E72" s="6" t="s">
        <v>526</v>
      </c>
      <c r="F72" s="6" t="s">
        <v>5</v>
      </c>
      <c r="G72" s="6" t="s">
        <v>527</v>
      </c>
      <c r="H72" s="6">
        <v>22.5</v>
      </c>
      <c r="I72" s="6" t="str">
        <f>_xlfn.CONCAT("Art. złączny do produktu ",Tabela10[[#This Row],[KOD_PRODUKTU]])</f>
        <v>Art. złączny do produktu 404F08</v>
      </c>
      <c r="J72" s="6" t="str">
        <f>_xlfn.CONCAT("VE-",Tabela10[[#This Row],[KOD_PRODUKTU]])</f>
        <v>VE-404F08</v>
      </c>
    </row>
    <row r="73" spans="1:10" x14ac:dyDescent="0.25">
      <c r="A73" s="1" t="s">
        <v>524</v>
      </c>
      <c r="B73" t="s">
        <v>525</v>
      </c>
      <c r="C73" s="1" t="s">
        <v>511</v>
      </c>
      <c r="D73" t="s">
        <v>512</v>
      </c>
      <c r="E73" t="s">
        <v>513</v>
      </c>
      <c r="F73" t="s">
        <v>39</v>
      </c>
      <c r="G73" t="s">
        <v>478</v>
      </c>
      <c r="H73">
        <v>0.44</v>
      </c>
      <c r="I73" s="6" t="str">
        <f>_xlfn.CONCAT("Art. złączny do produktu ",Tabela10[[#This Row],[KOD_PRODUKTU]])</f>
        <v>Art. złączny do produktu 404F08</v>
      </c>
      <c r="J73" s="6" t="str">
        <f>_xlfn.CONCAT("VE-",Tabela10[[#This Row],[KOD_PRODUKTU]])</f>
        <v>VE-404F08</v>
      </c>
    </row>
    <row r="74" spans="1:10" x14ac:dyDescent="0.25">
      <c r="A74" s="7" t="s">
        <v>524</v>
      </c>
      <c r="B74" s="6" t="s">
        <v>525</v>
      </c>
      <c r="C74" s="7" t="s">
        <v>479</v>
      </c>
      <c r="D74" s="6" t="s">
        <v>480</v>
      </c>
      <c r="E74" s="6" t="s">
        <v>481</v>
      </c>
      <c r="F74" s="6" t="s">
        <v>5</v>
      </c>
      <c r="G74" s="6" t="s">
        <v>482</v>
      </c>
      <c r="H74" s="6">
        <v>0.04</v>
      </c>
      <c r="I74" s="6" t="str">
        <f>_xlfn.CONCAT("Art. złączny do produktu ",Tabela10[[#This Row],[KOD_PRODUKTU]])</f>
        <v>Art. złączny do produktu 404F08</v>
      </c>
      <c r="J74" s="6" t="str">
        <f>_xlfn.CONCAT("VE-",Tabela10[[#This Row],[KOD_PRODUKTU]])</f>
        <v>VE-404F08</v>
      </c>
    </row>
    <row r="75" spans="1:10" x14ac:dyDescent="0.25">
      <c r="A75" s="1" t="s">
        <v>524</v>
      </c>
      <c r="B75" t="s">
        <v>525</v>
      </c>
      <c r="C75" s="1" t="s">
        <v>483</v>
      </c>
      <c r="D75" t="s">
        <v>484</v>
      </c>
      <c r="E75" t="s">
        <v>485</v>
      </c>
      <c r="F75" t="s">
        <v>5</v>
      </c>
      <c r="G75" t="s">
        <v>528</v>
      </c>
      <c r="H75">
        <v>0.02</v>
      </c>
      <c r="I75" s="6" t="str">
        <f>_xlfn.CONCAT("Art. złączny do produktu ",Tabela10[[#This Row],[KOD_PRODUKTU]])</f>
        <v>Art. złączny do produktu 404F08</v>
      </c>
      <c r="J75" s="6" t="str">
        <f>_xlfn.CONCAT("VE-",Tabela10[[#This Row],[KOD_PRODUKTU]])</f>
        <v>VE-404F08</v>
      </c>
    </row>
    <row r="76" spans="1:10" x14ac:dyDescent="0.25">
      <c r="A76" s="7" t="s">
        <v>524</v>
      </c>
      <c r="B76" s="6" t="s">
        <v>525</v>
      </c>
      <c r="C76" s="7" t="s">
        <v>487</v>
      </c>
      <c r="D76" s="6" t="s">
        <v>488</v>
      </c>
      <c r="E76" s="6" t="s">
        <v>489</v>
      </c>
      <c r="F76" s="6" t="s">
        <v>5</v>
      </c>
      <c r="G76" s="6" t="s">
        <v>529</v>
      </c>
      <c r="H76" s="6">
        <v>0.3</v>
      </c>
      <c r="I76" s="6" t="str">
        <f>_xlfn.CONCAT("Art. złączny do produktu ",Tabela10[[#This Row],[KOD_PRODUKTU]])</f>
        <v>Art. złączny do produktu 404F08</v>
      </c>
      <c r="J76" s="6" t="str">
        <f>_xlfn.CONCAT("VE-",Tabela10[[#This Row],[KOD_PRODUKTU]])</f>
        <v>VE-404F08</v>
      </c>
    </row>
    <row r="77" spans="1:10" x14ac:dyDescent="0.25">
      <c r="A77" s="1" t="s">
        <v>524</v>
      </c>
      <c r="B77" t="s">
        <v>525</v>
      </c>
      <c r="C77" s="1" t="s">
        <v>491</v>
      </c>
      <c r="D77" t="s">
        <v>492</v>
      </c>
      <c r="E77" t="s">
        <v>493</v>
      </c>
      <c r="F77" t="s">
        <v>121</v>
      </c>
      <c r="G77" t="s">
        <v>92</v>
      </c>
      <c r="H77">
        <v>13.7</v>
      </c>
      <c r="I77" s="6" t="str">
        <f>_xlfn.CONCAT("Art. złączny do produktu ",Tabela10[[#This Row],[KOD_PRODUKTU]])</f>
        <v>Art. złączny do produktu 404F08</v>
      </c>
      <c r="J77" s="6" t="str">
        <f>_xlfn.CONCAT("VE-",Tabela10[[#This Row],[KOD_PRODUKTU]])</f>
        <v>VE-404F08</v>
      </c>
    </row>
    <row r="78" spans="1:10" x14ac:dyDescent="0.25">
      <c r="A78" s="7" t="s">
        <v>524</v>
      </c>
      <c r="B78" s="6" t="s">
        <v>525</v>
      </c>
      <c r="C78" s="7" t="s">
        <v>494</v>
      </c>
      <c r="D78" s="6" t="s">
        <v>495</v>
      </c>
      <c r="E78" s="6" t="s">
        <v>496</v>
      </c>
      <c r="F78" s="6" t="s">
        <v>121</v>
      </c>
      <c r="G78" s="6" t="s">
        <v>50</v>
      </c>
      <c r="H78" s="6">
        <v>17.45</v>
      </c>
      <c r="I78" s="6" t="str">
        <f>_xlfn.CONCAT("Art. złączny do produktu ",Tabela10[[#This Row],[KOD_PRODUKTU]])</f>
        <v>Art. złączny do produktu 404F08</v>
      </c>
      <c r="J78" s="6" t="str">
        <f>_xlfn.CONCAT("VE-",Tabela10[[#This Row],[KOD_PRODUKTU]])</f>
        <v>VE-404F08</v>
      </c>
    </row>
    <row r="79" spans="1:10" x14ac:dyDescent="0.25">
      <c r="A79" s="1" t="s">
        <v>524</v>
      </c>
      <c r="B79" t="s">
        <v>525</v>
      </c>
      <c r="C79" s="1" t="s">
        <v>497</v>
      </c>
      <c r="D79" t="s">
        <v>498</v>
      </c>
      <c r="E79" t="s">
        <v>496</v>
      </c>
      <c r="F79" t="s">
        <v>121</v>
      </c>
      <c r="G79" t="s">
        <v>50</v>
      </c>
      <c r="H79">
        <v>17.45</v>
      </c>
      <c r="I79" s="6" t="str">
        <f>_xlfn.CONCAT("Art. złączny do produktu ",Tabela10[[#This Row],[KOD_PRODUKTU]])</f>
        <v>Art. złączny do produktu 404F08</v>
      </c>
      <c r="J79" s="6" t="str">
        <f>_xlfn.CONCAT("VE-",Tabela10[[#This Row],[KOD_PRODUKTU]])</f>
        <v>VE-404F08</v>
      </c>
    </row>
    <row r="80" spans="1:10" x14ac:dyDescent="0.25">
      <c r="A80" s="7" t="s">
        <v>524</v>
      </c>
      <c r="B80" s="6" t="s">
        <v>525</v>
      </c>
      <c r="C80" s="7" t="s">
        <v>499</v>
      </c>
      <c r="D80" s="6" t="s">
        <v>500</v>
      </c>
      <c r="E80" s="6" t="s">
        <v>501</v>
      </c>
      <c r="F80" s="6" t="s">
        <v>121</v>
      </c>
      <c r="G80" s="6" t="s">
        <v>50</v>
      </c>
      <c r="H80" s="6">
        <v>4.5</v>
      </c>
      <c r="I80" s="6" t="str">
        <f>_xlfn.CONCAT("Art. złączny do produktu ",Tabela10[[#This Row],[KOD_PRODUKTU]])</f>
        <v>Art. złączny do produktu 404F08</v>
      </c>
      <c r="J80" s="6" t="str">
        <f>_xlfn.CONCAT("VE-",Tabela10[[#This Row],[KOD_PRODUKTU]])</f>
        <v>VE-404F08</v>
      </c>
    </row>
    <row r="81" spans="1:10" x14ac:dyDescent="0.25">
      <c r="A81" s="1" t="s">
        <v>524</v>
      </c>
      <c r="B81" t="s">
        <v>525</v>
      </c>
      <c r="C81" s="1" t="s">
        <v>7</v>
      </c>
      <c r="D81" t="s">
        <v>8</v>
      </c>
      <c r="E81" t="s">
        <v>9</v>
      </c>
      <c r="F81" t="s">
        <v>10</v>
      </c>
      <c r="G81" t="s">
        <v>530</v>
      </c>
      <c r="H81">
        <v>48.3</v>
      </c>
      <c r="I81" s="6" t="str">
        <f>_xlfn.CONCAT("Art. złączny do produktu ",Tabela10[[#This Row],[KOD_PRODUKTU]])</f>
        <v>Art. złączny do produktu 404F08</v>
      </c>
      <c r="J81" s="6" t="str">
        <f>_xlfn.CONCAT("VE-",Tabela10[[#This Row],[KOD_PRODUKTU]])</f>
        <v>VE-404F08</v>
      </c>
    </row>
    <row r="82" spans="1:10" x14ac:dyDescent="0.25">
      <c r="A82" s="7" t="s">
        <v>531</v>
      </c>
      <c r="B82" s="6" t="s">
        <v>532</v>
      </c>
      <c r="C82" s="7" t="s">
        <v>471</v>
      </c>
      <c r="D82" s="6" t="s">
        <v>472</v>
      </c>
      <c r="E82" s="6" t="s">
        <v>526</v>
      </c>
      <c r="F82" s="6" t="s">
        <v>5</v>
      </c>
      <c r="G82" s="6" t="s">
        <v>533</v>
      </c>
      <c r="H82" s="6">
        <v>13.51</v>
      </c>
      <c r="I82" s="6" t="str">
        <f>_xlfn.CONCAT("Art. złączny do produktu ",Tabela10[[#This Row],[KOD_PRODUKTU]])</f>
        <v>Art. złączny do produktu 404F09</v>
      </c>
      <c r="J82" s="6" t="str">
        <f>_xlfn.CONCAT("VE-",Tabela10[[#This Row],[KOD_PRODUKTU]])</f>
        <v>VE-404F09</v>
      </c>
    </row>
    <row r="83" spans="1:10" x14ac:dyDescent="0.25">
      <c r="A83" s="1" t="s">
        <v>531</v>
      </c>
      <c r="B83" t="s">
        <v>532</v>
      </c>
      <c r="C83" s="1" t="s">
        <v>475</v>
      </c>
      <c r="D83" t="s">
        <v>476</v>
      </c>
      <c r="E83" t="s">
        <v>477</v>
      </c>
      <c r="F83" t="s">
        <v>39</v>
      </c>
      <c r="G83" t="s">
        <v>478</v>
      </c>
      <c r="H83">
        <v>0.41</v>
      </c>
      <c r="I83" s="6" t="str">
        <f>_xlfn.CONCAT("Art. złączny do produktu ",Tabela10[[#This Row],[KOD_PRODUKTU]])</f>
        <v>Art. złączny do produktu 404F09</v>
      </c>
      <c r="J83" s="6" t="str">
        <f>_xlfn.CONCAT("VE-",Tabela10[[#This Row],[KOD_PRODUKTU]])</f>
        <v>VE-404F09</v>
      </c>
    </row>
    <row r="84" spans="1:10" x14ac:dyDescent="0.25">
      <c r="A84" s="7" t="s">
        <v>531</v>
      </c>
      <c r="B84" s="6" t="s">
        <v>532</v>
      </c>
      <c r="C84" s="7" t="s">
        <v>479</v>
      </c>
      <c r="D84" s="6" t="s">
        <v>480</v>
      </c>
      <c r="E84" s="6" t="s">
        <v>481</v>
      </c>
      <c r="F84" s="6" t="s">
        <v>5</v>
      </c>
      <c r="G84" s="6" t="s">
        <v>534</v>
      </c>
      <c r="H84" s="6">
        <v>0.05</v>
      </c>
      <c r="I84" s="6" t="str">
        <f>_xlfn.CONCAT("Art. złączny do produktu ",Tabela10[[#This Row],[KOD_PRODUKTU]])</f>
        <v>Art. złączny do produktu 404F09</v>
      </c>
      <c r="J84" s="6" t="str">
        <f>_xlfn.CONCAT("VE-",Tabela10[[#This Row],[KOD_PRODUKTU]])</f>
        <v>VE-404F09</v>
      </c>
    </row>
    <row r="85" spans="1:10" x14ac:dyDescent="0.25">
      <c r="A85" s="1" t="s">
        <v>531</v>
      </c>
      <c r="B85" t="s">
        <v>532</v>
      </c>
      <c r="C85" s="1" t="s">
        <v>483</v>
      </c>
      <c r="D85" t="s">
        <v>484</v>
      </c>
      <c r="E85" t="s">
        <v>485</v>
      </c>
      <c r="F85" t="s">
        <v>5</v>
      </c>
      <c r="G85" t="s">
        <v>535</v>
      </c>
      <c r="H85">
        <v>0.03</v>
      </c>
      <c r="I85" s="6" t="str">
        <f>_xlfn.CONCAT("Art. złączny do produktu ",Tabela10[[#This Row],[KOD_PRODUKTU]])</f>
        <v>Art. złączny do produktu 404F09</v>
      </c>
      <c r="J85" s="6" t="str">
        <f>_xlfn.CONCAT("VE-",Tabela10[[#This Row],[KOD_PRODUKTU]])</f>
        <v>VE-404F09</v>
      </c>
    </row>
    <row r="86" spans="1:10" x14ac:dyDescent="0.25">
      <c r="A86" s="7" t="s">
        <v>531</v>
      </c>
      <c r="B86" s="6" t="s">
        <v>532</v>
      </c>
      <c r="C86" s="7" t="s">
        <v>487</v>
      </c>
      <c r="D86" s="6" t="s">
        <v>488</v>
      </c>
      <c r="E86" s="6" t="s">
        <v>489</v>
      </c>
      <c r="F86" s="6" t="s">
        <v>5</v>
      </c>
      <c r="G86" s="6" t="s">
        <v>490</v>
      </c>
      <c r="H86" s="6">
        <v>0.28999999999999998</v>
      </c>
      <c r="I86" s="6" t="str">
        <f>_xlfn.CONCAT("Art. złączny do produktu ",Tabela10[[#This Row],[KOD_PRODUKTU]])</f>
        <v>Art. złączny do produktu 404F09</v>
      </c>
      <c r="J86" s="6" t="str">
        <f>_xlfn.CONCAT("VE-",Tabela10[[#This Row],[KOD_PRODUKTU]])</f>
        <v>VE-404F09</v>
      </c>
    </row>
    <row r="87" spans="1:10" x14ac:dyDescent="0.25">
      <c r="A87" s="1" t="s">
        <v>531</v>
      </c>
      <c r="B87" t="s">
        <v>532</v>
      </c>
      <c r="C87" s="1" t="s">
        <v>41</v>
      </c>
      <c r="D87" t="s">
        <v>42</v>
      </c>
      <c r="E87" t="s">
        <v>43</v>
      </c>
      <c r="F87" t="s">
        <v>5</v>
      </c>
      <c r="G87" t="s">
        <v>44</v>
      </c>
      <c r="H87">
        <v>0.01</v>
      </c>
      <c r="I87" s="6" t="str">
        <f>_xlfn.CONCAT("Art. złączny do produktu ",Tabela10[[#This Row],[KOD_PRODUKTU]])</f>
        <v>Art. złączny do produktu 404F09</v>
      </c>
      <c r="J87" s="6" t="str">
        <f>_xlfn.CONCAT("VE-",Tabela10[[#This Row],[KOD_PRODUKTU]])</f>
        <v>VE-404F09</v>
      </c>
    </row>
    <row r="88" spans="1:10" x14ac:dyDescent="0.25">
      <c r="A88" s="7" t="s">
        <v>531</v>
      </c>
      <c r="B88" s="6" t="s">
        <v>532</v>
      </c>
      <c r="C88" s="7" t="s">
        <v>491</v>
      </c>
      <c r="D88" s="6" t="s">
        <v>492</v>
      </c>
      <c r="E88" s="6" t="s">
        <v>493</v>
      </c>
      <c r="F88" s="6" t="s">
        <v>121</v>
      </c>
      <c r="G88" s="6" t="s">
        <v>92</v>
      </c>
      <c r="H88" s="6">
        <v>13.7</v>
      </c>
      <c r="I88" s="6" t="str">
        <f>_xlfn.CONCAT("Art. złączny do produktu ",Tabela10[[#This Row],[KOD_PRODUKTU]])</f>
        <v>Art. złączny do produktu 404F09</v>
      </c>
      <c r="J88" s="6" t="str">
        <f>_xlfn.CONCAT("VE-",Tabela10[[#This Row],[KOD_PRODUKTU]])</f>
        <v>VE-404F09</v>
      </c>
    </row>
    <row r="89" spans="1:10" x14ac:dyDescent="0.25">
      <c r="A89" s="1" t="s">
        <v>531</v>
      </c>
      <c r="B89" t="s">
        <v>532</v>
      </c>
      <c r="C89" s="1" t="s">
        <v>499</v>
      </c>
      <c r="D89" t="s">
        <v>500</v>
      </c>
      <c r="E89" t="s">
        <v>501</v>
      </c>
      <c r="F89" t="s">
        <v>121</v>
      </c>
      <c r="G89" t="s">
        <v>50</v>
      </c>
      <c r="H89">
        <v>4.5</v>
      </c>
      <c r="I89" s="6" t="str">
        <f>_xlfn.CONCAT("Art. złączny do produktu ",Tabela10[[#This Row],[KOD_PRODUKTU]])</f>
        <v>Art. złączny do produktu 404F09</v>
      </c>
      <c r="J89" s="6" t="str">
        <f>_xlfn.CONCAT("VE-",Tabela10[[#This Row],[KOD_PRODUKTU]])</f>
        <v>VE-404F09</v>
      </c>
    </row>
    <row r="90" spans="1:10" x14ac:dyDescent="0.25">
      <c r="A90" s="7" t="s">
        <v>531</v>
      </c>
      <c r="B90" s="6" t="s">
        <v>532</v>
      </c>
      <c r="C90" s="7" t="s">
        <v>536</v>
      </c>
      <c r="D90" s="6" t="s">
        <v>537</v>
      </c>
      <c r="E90" s="6" t="s">
        <v>538</v>
      </c>
      <c r="F90" s="6" t="s">
        <v>121</v>
      </c>
      <c r="G90" s="6" t="s">
        <v>50</v>
      </c>
      <c r="H90" s="6">
        <v>15.7</v>
      </c>
      <c r="I90" s="6" t="str">
        <f>_xlfn.CONCAT("Art. złączny do produktu ",Tabela10[[#This Row],[KOD_PRODUKTU]])</f>
        <v>Art. złączny do produktu 404F09</v>
      </c>
      <c r="J90" s="6" t="str">
        <f>_xlfn.CONCAT("VE-",Tabela10[[#This Row],[KOD_PRODUKTU]])</f>
        <v>VE-404F09</v>
      </c>
    </row>
    <row r="91" spans="1:10" x14ac:dyDescent="0.25">
      <c r="A91" s="1" t="s">
        <v>531</v>
      </c>
      <c r="B91" t="s">
        <v>532</v>
      </c>
      <c r="C91" s="1" t="s">
        <v>539</v>
      </c>
      <c r="D91" t="s">
        <v>540</v>
      </c>
      <c r="E91" t="s">
        <v>538</v>
      </c>
      <c r="F91" t="s">
        <v>121</v>
      </c>
      <c r="G91" t="s">
        <v>50</v>
      </c>
      <c r="H91">
        <v>15.7</v>
      </c>
      <c r="I91" s="6" t="str">
        <f>_xlfn.CONCAT("Art. złączny do produktu ",Tabela10[[#This Row],[KOD_PRODUKTU]])</f>
        <v>Art. złączny do produktu 404F09</v>
      </c>
      <c r="J91" s="6" t="str">
        <f>_xlfn.CONCAT("VE-",Tabela10[[#This Row],[KOD_PRODUKTU]])</f>
        <v>VE-404F09</v>
      </c>
    </row>
    <row r="92" spans="1:10" x14ac:dyDescent="0.25">
      <c r="A92" s="7" t="s">
        <v>531</v>
      </c>
      <c r="B92" s="6" t="s">
        <v>532</v>
      </c>
      <c r="C92" s="7" t="s">
        <v>541</v>
      </c>
      <c r="D92" s="6" t="s">
        <v>542</v>
      </c>
      <c r="E92" s="6" t="s">
        <v>9</v>
      </c>
      <c r="F92" s="6" t="s">
        <v>10</v>
      </c>
      <c r="G92" s="6" t="s">
        <v>543</v>
      </c>
      <c r="H92" s="6">
        <v>33.65</v>
      </c>
      <c r="I92" s="6" t="str">
        <f>_xlfn.CONCAT("Art. złączny do produktu ",Tabela10[[#This Row],[KOD_PRODUKTU]])</f>
        <v>Art. złączny do produktu 404F09</v>
      </c>
      <c r="J92" s="6" t="str">
        <f>_xlfn.CONCAT("VE-",Tabela10[[#This Row],[KOD_PRODUKTU]])</f>
        <v>VE-404F09</v>
      </c>
    </row>
    <row r="93" spans="1:10" x14ac:dyDescent="0.25">
      <c r="A93" s="1" t="s">
        <v>544</v>
      </c>
      <c r="B93" t="s">
        <v>545</v>
      </c>
      <c r="C93" s="1" t="s">
        <v>471</v>
      </c>
      <c r="D93" t="s">
        <v>472</v>
      </c>
      <c r="E93" t="s">
        <v>526</v>
      </c>
      <c r="F93" t="s">
        <v>5</v>
      </c>
      <c r="G93" t="s">
        <v>546</v>
      </c>
      <c r="H93">
        <v>26.41</v>
      </c>
      <c r="I93" s="6" t="str">
        <f>_xlfn.CONCAT("Art. złączny do produktu ",Tabela10[[#This Row],[KOD_PRODUKTU]])</f>
        <v>Art. złączny do produktu 404F10</v>
      </c>
      <c r="J93" s="6" t="str">
        <f>_xlfn.CONCAT("VE-",Tabela10[[#This Row],[KOD_PRODUKTU]])</f>
        <v>VE-404F10</v>
      </c>
    </row>
    <row r="94" spans="1:10" x14ac:dyDescent="0.25">
      <c r="A94" s="7" t="s">
        <v>544</v>
      </c>
      <c r="B94" s="6" t="s">
        <v>545</v>
      </c>
      <c r="C94" s="7" t="s">
        <v>475</v>
      </c>
      <c r="D94" s="6" t="s">
        <v>476</v>
      </c>
      <c r="E94" s="6" t="s">
        <v>477</v>
      </c>
      <c r="F94" s="6" t="s">
        <v>39</v>
      </c>
      <c r="G94" s="6" t="s">
        <v>478</v>
      </c>
      <c r="H94" s="6">
        <v>0.41</v>
      </c>
      <c r="I94" s="6" t="str">
        <f>_xlfn.CONCAT("Art. złączny do produktu ",Tabela10[[#This Row],[KOD_PRODUKTU]])</f>
        <v>Art. złączny do produktu 404F10</v>
      </c>
      <c r="J94" s="6" t="str">
        <f>_xlfn.CONCAT("VE-",Tabela10[[#This Row],[KOD_PRODUKTU]])</f>
        <v>VE-404F10</v>
      </c>
    </row>
    <row r="95" spans="1:10" x14ac:dyDescent="0.25">
      <c r="A95" s="1" t="s">
        <v>544</v>
      </c>
      <c r="B95" t="s">
        <v>545</v>
      </c>
      <c r="C95" s="1" t="s">
        <v>479</v>
      </c>
      <c r="D95" t="s">
        <v>480</v>
      </c>
      <c r="E95" t="s">
        <v>481</v>
      </c>
      <c r="F95" t="s">
        <v>5</v>
      </c>
      <c r="G95" t="s">
        <v>547</v>
      </c>
      <c r="H95">
        <v>0.17</v>
      </c>
      <c r="I95" s="6" t="str">
        <f>_xlfn.CONCAT("Art. złączny do produktu ",Tabela10[[#This Row],[KOD_PRODUKTU]])</f>
        <v>Art. złączny do produktu 404F10</v>
      </c>
      <c r="J95" s="6" t="str">
        <f>_xlfn.CONCAT("VE-",Tabela10[[#This Row],[KOD_PRODUKTU]])</f>
        <v>VE-404F10</v>
      </c>
    </row>
    <row r="96" spans="1:10" x14ac:dyDescent="0.25">
      <c r="A96" s="7" t="s">
        <v>544</v>
      </c>
      <c r="B96" s="6" t="s">
        <v>545</v>
      </c>
      <c r="C96" s="7" t="s">
        <v>483</v>
      </c>
      <c r="D96" s="6" t="s">
        <v>484</v>
      </c>
      <c r="E96" s="6" t="s">
        <v>485</v>
      </c>
      <c r="F96" s="6" t="s">
        <v>5</v>
      </c>
      <c r="G96" s="6" t="s">
        <v>548</v>
      </c>
      <c r="H96" s="6">
        <v>0.03</v>
      </c>
      <c r="I96" s="6" t="str">
        <f>_xlfn.CONCAT("Art. złączny do produktu ",Tabela10[[#This Row],[KOD_PRODUKTU]])</f>
        <v>Art. złączny do produktu 404F10</v>
      </c>
      <c r="J96" s="6" t="str">
        <f>_xlfn.CONCAT("VE-",Tabela10[[#This Row],[KOD_PRODUKTU]])</f>
        <v>VE-404F10</v>
      </c>
    </row>
    <row r="97" spans="1:10" x14ac:dyDescent="0.25">
      <c r="A97" s="1" t="s">
        <v>544</v>
      </c>
      <c r="B97" t="s">
        <v>545</v>
      </c>
      <c r="C97" s="1" t="s">
        <v>487</v>
      </c>
      <c r="D97" t="s">
        <v>488</v>
      </c>
      <c r="E97" t="s">
        <v>489</v>
      </c>
      <c r="F97" t="s">
        <v>5</v>
      </c>
      <c r="G97" t="s">
        <v>549</v>
      </c>
      <c r="H97">
        <v>0.35</v>
      </c>
      <c r="I97" s="6" t="str">
        <f>_xlfn.CONCAT("Art. złączny do produktu ",Tabela10[[#This Row],[KOD_PRODUKTU]])</f>
        <v>Art. złączny do produktu 404F10</v>
      </c>
      <c r="J97" s="6" t="str">
        <f>_xlfn.CONCAT("VE-",Tabela10[[#This Row],[KOD_PRODUKTU]])</f>
        <v>VE-404F10</v>
      </c>
    </row>
    <row r="98" spans="1:10" x14ac:dyDescent="0.25">
      <c r="A98" s="7" t="s">
        <v>544</v>
      </c>
      <c r="B98" s="6" t="s">
        <v>545</v>
      </c>
      <c r="C98" s="7" t="s">
        <v>41</v>
      </c>
      <c r="D98" s="6" t="s">
        <v>42</v>
      </c>
      <c r="E98" s="6" t="s">
        <v>43</v>
      </c>
      <c r="F98" s="6" t="s">
        <v>5</v>
      </c>
      <c r="G98" s="6" t="s">
        <v>550</v>
      </c>
      <c r="H98" s="6">
        <v>0.02</v>
      </c>
      <c r="I98" s="6" t="str">
        <f>_xlfn.CONCAT("Art. złączny do produktu ",Tabela10[[#This Row],[KOD_PRODUKTU]])</f>
        <v>Art. złączny do produktu 404F10</v>
      </c>
      <c r="J98" s="6" t="str">
        <f>_xlfn.CONCAT("VE-",Tabela10[[#This Row],[KOD_PRODUKTU]])</f>
        <v>VE-404F10</v>
      </c>
    </row>
    <row r="99" spans="1:10" x14ac:dyDescent="0.25">
      <c r="A99" s="1" t="s">
        <v>544</v>
      </c>
      <c r="B99" t="s">
        <v>545</v>
      </c>
      <c r="C99" s="1" t="s">
        <v>491</v>
      </c>
      <c r="D99" t="s">
        <v>492</v>
      </c>
      <c r="E99" t="s">
        <v>493</v>
      </c>
      <c r="F99" t="s">
        <v>121</v>
      </c>
      <c r="G99" t="s">
        <v>92</v>
      </c>
      <c r="H99">
        <v>13.7</v>
      </c>
      <c r="I99" s="6" t="str">
        <f>_xlfn.CONCAT("Art. złączny do produktu ",Tabela10[[#This Row],[KOD_PRODUKTU]])</f>
        <v>Art. złączny do produktu 404F10</v>
      </c>
      <c r="J99" s="6" t="str">
        <f>_xlfn.CONCAT("VE-",Tabela10[[#This Row],[KOD_PRODUKTU]])</f>
        <v>VE-404F10</v>
      </c>
    </row>
    <row r="100" spans="1:10" x14ac:dyDescent="0.25">
      <c r="A100" s="7" t="s">
        <v>544</v>
      </c>
      <c r="B100" s="6" t="s">
        <v>545</v>
      </c>
      <c r="C100" s="7" t="s">
        <v>499</v>
      </c>
      <c r="D100" s="6" t="s">
        <v>500</v>
      </c>
      <c r="E100" s="6" t="s">
        <v>501</v>
      </c>
      <c r="F100" s="6" t="s">
        <v>121</v>
      </c>
      <c r="G100" s="6" t="s">
        <v>50</v>
      </c>
      <c r="H100" s="6">
        <v>4.5</v>
      </c>
      <c r="I100" s="6" t="str">
        <f>_xlfn.CONCAT("Art. złączny do produktu ",Tabela10[[#This Row],[KOD_PRODUKTU]])</f>
        <v>Art. złączny do produktu 404F10</v>
      </c>
      <c r="J100" s="6" t="str">
        <f>_xlfn.CONCAT("VE-",Tabela10[[#This Row],[KOD_PRODUKTU]])</f>
        <v>VE-404F10</v>
      </c>
    </row>
    <row r="101" spans="1:10" x14ac:dyDescent="0.25">
      <c r="A101" s="1" t="s">
        <v>544</v>
      </c>
      <c r="B101" t="s">
        <v>545</v>
      </c>
      <c r="C101" s="1" t="s">
        <v>536</v>
      </c>
      <c r="D101" t="s">
        <v>537</v>
      </c>
      <c r="E101" t="s">
        <v>538</v>
      </c>
      <c r="F101" t="s">
        <v>121</v>
      </c>
      <c r="G101" t="s">
        <v>50</v>
      </c>
      <c r="H101">
        <v>15.7</v>
      </c>
      <c r="I101" s="6" t="str">
        <f>_xlfn.CONCAT("Art. złączny do produktu ",Tabela10[[#This Row],[KOD_PRODUKTU]])</f>
        <v>Art. złączny do produktu 404F10</v>
      </c>
      <c r="J101" s="6" t="str">
        <f>_xlfn.CONCAT("VE-",Tabela10[[#This Row],[KOD_PRODUKTU]])</f>
        <v>VE-404F10</v>
      </c>
    </row>
    <row r="102" spans="1:10" x14ac:dyDescent="0.25">
      <c r="A102" s="7" t="s">
        <v>544</v>
      </c>
      <c r="B102" s="6" t="s">
        <v>545</v>
      </c>
      <c r="C102" s="7" t="s">
        <v>539</v>
      </c>
      <c r="D102" s="6" t="s">
        <v>540</v>
      </c>
      <c r="E102" s="6" t="s">
        <v>538</v>
      </c>
      <c r="F102" s="6" t="s">
        <v>121</v>
      </c>
      <c r="G102" s="6" t="s">
        <v>50</v>
      </c>
      <c r="H102" s="6">
        <v>15.7</v>
      </c>
      <c r="I102" s="6" t="str">
        <f>_xlfn.CONCAT("Art. złączny do produktu ",Tabela10[[#This Row],[KOD_PRODUKTU]])</f>
        <v>Art. złączny do produktu 404F10</v>
      </c>
      <c r="J102" s="6" t="str">
        <f>_xlfn.CONCAT("VE-",Tabela10[[#This Row],[KOD_PRODUKTU]])</f>
        <v>VE-404F10</v>
      </c>
    </row>
    <row r="103" spans="1:10" x14ac:dyDescent="0.25">
      <c r="A103" s="1" t="s">
        <v>544</v>
      </c>
      <c r="B103" t="s">
        <v>545</v>
      </c>
      <c r="C103" s="1" t="s">
        <v>7</v>
      </c>
      <c r="D103" t="s">
        <v>8</v>
      </c>
      <c r="E103" t="s">
        <v>9</v>
      </c>
      <c r="F103" t="s">
        <v>10</v>
      </c>
      <c r="G103" t="s">
        <v>543</v>
      </c>
      <c r="H103">
        <v>33.65</v>
      </c>
      <c r="I103" s="6" t="str">
        <f>_xlfn.CONCAT("Art. złączny do produktu ",Tabela10[[#This Row],[KOD_PRODUKTU]])</f>
        <v>Art. złączny do produktu 404F10</v>
      </c>
      <c r="J103" s="6" t="str">
        <f>_xlfn.CONCAT("VE-",Tabela10[[#This Row],[KOD_PRODUKTU]])</f>
        <v>VE-404F10</v>
      </c>
    </row>
    <row r="104" spans="1:10" x14ac:dyDescent="0.25">
      <c r="A104" s="7" t="s">
        <v>551</v>
      </c>
      <c r="B104" s="6" t="s">
        <v>552</v>
      </c>
      <c r="C104" s="7" t="s">
        <v>471</v>
      </c>
      <c r="D104" s="6" t="s">
        <v>472</v>
      </c>
      <c r="E104" s="6" t="s">
        <v>553</v>
      </c>
      <c r="F104" s="6" t="s">
        <v>5</v>
      </c>
      <c r="G104" s="6" t="s">
        <v>554</v>
      </c>
      <c r="H104" s="6">
        <v>19.8</v>
      </c>
      <c r="I104" s="6" t="str">
        <f>_xlfn.CONCAT("Art. złączny do produktu ",Tabela10[[#This Row],[KOD_PRODUKTU]])</f>
        <v>Art. złączny do produktu 404F26</v>
      </c>
      <c r="J104" s="6" t="str">
        <f>_xlfn.CONCAT("VE-",Tabela10[[#This Row],[KOD_PRODUKTU]])</f>
        <v>VE-404F26</v>
      </c>
    </row>
    <row r="105" spans="1:10" x14ac:dyDescent="0.25">
      <c r="A105" s="1" t="s">
        <v>551</v>
      </c>
      <c r="B105" t="s">
        <v>552</v>
      </c>
      <c r="C105" s="1" t="s">
        <v>555</v>
      </c>
      <c r="D105" t="s">
        <v>556</v>
      </c>
      <c r="E105" t="s">
        <v>557</v>
      </c>
      <c r="F105" t="s">
        <v>39</v>
      </c>
      <c r="G105" t="s">
        <v>558</v>
      </c>
      <c r="H105">
        <v>1.36</v>
      </c>
      <c r="I105" s="6" t="str">
        <f>_xlfn.CONCAT("Art. złączny do produktu ",Tabela10[[#This Row],[KOD_PRODUKTU]])</f>
        <v>Art. złączny do produktu 404F26</v>
      </c>
      <c r="J105" s="6" t="str">
        <f>_xlfn.CONCAT("VE-",Tabela10[[#This Row],[KOD_PRODUKTU]])</f>
        <v>VE-404F26</v>
      </c>
    </row>
    <row r="106" spans="1:10" x14ac:dyDescent="0.25">
      <c r="A106" s="7" t="s">
        <v>551</v>
      </c>
      <c r="B106" s="6" t="s">
        <v>552</v>
      </c>
      <c r="C106" s="7" t="s">
        <v>41</v>
      </c>
      <c r="D106" s="6" t="s">
        <v>42</v>
      </c>
      <c r="E106" s="6" t="s">
        <v>513</v>
      </c>
      <c r="F106" s="6" t="s">
        <v>5</v>
      </c>
      <c r="G106" s="6" t="s">
        <v>559</v>
      </c>
      <c r="H106" s="6">
        <v>0.04</v>
      </c>
      <c r="I106" s="6" t="str">
        <f>_xlfn.CONCAT("Art. złączny do produktu ",Tabela10[[#This Row],[KOD_PRODUKTU]])</f>
        <v>Art. złączny do produktu 404F26</v>
      </c>
      <c r="J106" s="6" t="str">
        <f>_xlfn.CONCAT("VE-",Tabela10[[#This Row],[KOD_PRODUKTU]])</f>
        <v>VE-404F26</v>
      </c>
    </row>
    <row r="107" spans="1:10" x14ac:dyDescent="0.25">
      <c r="A107" s="1" t="s">
        <v>551</v>
      </c>
      <c r="B107" t="s">
        <v>552</v>
      </c>
      <c r="C107" s="1" t="s">
        <v>560</v>
      </c>
      <c r="D107" t="s">
        <v>561</v>
      </c>
      <c r="E107" t="s">
        <v>562</v>
      </c>
      <c r="F107" t="s">
        <v>121</v>
      </c>
      <c r="G107" t="s">
        <v>122</v>
      </c>
      <c r="H107">
        <v>6.2</v>
      </c>
      <c r="I107" s="6" t="str">
        <f>_xlfn.CONCAT("Art. złączny do produktu ",Tabela10[[#This Row],[KOD_PRODUKTU]])</f>
        <v>Art. złączny do produktu 404F26</v>
      </c>
      <c r="J107" s="6" t="str">
        <f>_xlfn.CONCAT("VE-",Tabela10[[#This Row],[KOD_PRODUKTU]])</f>
        <v>VE-404F26</v>
      </c>
    </row>
    <row r="108" spans="1:10" x14ac:dyDescent="0.25">
      <c r="A108" s="7" t="s">
        <v>551</v>
      </c>
      <c r="B108" s="6" t="s">
        <v>552</v>
      </c>
      <c r="C108" s="7" t="s">
        <v>7</v>
      </c>
      <c r="D108" s="6" t="s">
        <v>8</v>
      </c>
      <c r="E108" s="6" t="s">
        <v>9</v>
      </c>
      <c r="F108" s="6" t="s">
        <v>10</v>
      </c>
      <c r="G108" s="6" t="s">
        <v>563</v>
      </c>
      <c r="H108" s="6">
        <v>10.6</v>
      </c>
      <c r="I108" s="6" t="str">
        <f>_xlfn.CONCAT("Art. złączny do produktu ",Tabela10[[#This Row],[KOD_PRODUKTU]])</f>
        <v>Art. złączny do produktu 404F26</v>
      </c>
      <c r="J108" s="6" t="str">
        <f>_xlfn.CONCAT("VE-",Tabela10[[#This Row],[KOD_PRODUKTU]])</f>
        <v>VE-404F26</v>
      </c>
    </row>
    <row r="109" spans="1:10" x14ac:dyDescent="0.25">
      <c r="A109" s="1" t="s">
        <v>564</v>
      </c>
      <c r="B109" t="s">
        <v>565</v>
      </c>
      <c r="C109" s="1" t="s">
        <v>471</v>
      </c>
      <c r="D109" t="s">
        <v>472</v>
      </c>
      <c r="E109" t="s">
        <v>553</v>
      </c>
      <c r="F109" t="s">
        <v>5</v>
      </c>
      <c r="G109" t="s">
        <v>566</v>
      </c>
      <c r="H109">
        <v>30</v>
      </c>
      <c r="I109" s="6" t="str">
        <f>_xlfn.CONCAT("Art. złączny do produktu ",Tabela10[[#This Row],[KOD_PRODUKTU]])</f>
        <v>Art. złączny do produktu 404F29</v>
      </c>
      <c r="J109" s="6" t="str">
        <f>_xlfn.CONCAT("VE-",Tabela10[[#This Row],[KOD_PRODUKTU]])</f>
        <v>VE-404F29</v>
      </c>
    </row>
    <row r="110" spans="1:10" x14ac:dyDescent="0.25">
      <c r="A110" s="7" t="s">
        <v>564</v>
      </c>
      <c r="B110" s="6" t="s">
        <v>565</v>
      </c>
      <c r="C110" s="7" t="s">
        <v>555</v>
      </c>
      <c r="D110" s="6" t="s">
        <v>556</v>
      </c>
      <c r="E110" s="6" t="s">
        <v>557</v>
      </c>
      <c r="F110" s="6" t="s">
        <v>39</v>
      </c>
      <c r="G110" s="6" t="s">
        <v>558</v>
      </c>
      <c r="H110" s="6">
        <v>1.36</v>
      </c>
      <c r="I110" s="6" t="str">
        <f>_xlfn.CONCAT("Art. złączny do produktu ",Tabela10[[#This Row],[KOD_PRODUKTU]])</f>
        <v>Art. złączny do produktu 404F29</v>
      </c>
      <c r="J110" s="6" t="str">
        <f>_xlfn.CONCAT("VE-",Tabela10[[#This Row],[KOD_PRODUKTU]])</f>
        <v>VE-404F29</v>
      </c>
    </row>
    <row r="111" spans="1:10" x14ac:dyDescent="0.25">
      <c r="A111" s="1" t="s">
        <v>564</v>
      </c>
      <c r="B111" t="s">
        <v>565</v>
      </c>
      <c r="C111" s="1" t="s">
        <v>41</v>
      </c>
      <c r="D111" t="s">
        <v>42</v>
      </c>
      <c r="E111" t="s">
        <v>513</v>
      </c>
      <c r="F111" t="s">
        <v>5</v>
      </c>
      <c r="G111" t="s">
        <v>559</v>
      </c>
      <c r="H111">
        <v>0.04</v>
      </c>
      <c r="I111" s="6" t="str">
        <f>_xlfn.CONCAT("Art. złączny do produktu ",Tabela10[[#This Row],[KOD_PRODUKTU]])</f>
        <v>Art. złączny do produktu 404F29</v>
      </c>
      <c r="J111" s="6" t="str">
        <f>_xlfn.CONCAT("VE-",Tabela10[[#This Row],[KOD_PRODUKTU]])</f>
        <v>VE-404F29</v>
      </c>
    </row>
    <row r="112" spans="1:10" x14ac:dyDescent="0.25">
      <c r="A112" s="7" t="s">
        <v>564</v>
      </c>
      <c r="B112" s="6" t="s">
        <v>565</v>
      </c>
      <c r="C112" s="7" t="s">
        <v>560</v>
      </c>
      <c r="D112" s="6" t="s">
        <v>561</v>
      </c>
      <c r="E112" s="6" t="s">
        <v>562</v>
      </c>
      <c r="F112" s="6" t="s">
        <v>121</v>
      </c>
      <c r="G112" s="6" t="s">
        <v>268</v>
      </c>
      <c r="H112" s="6">
        <v>4.6500000000000004</v>
      </c>
      <c r="I112" s="6" t="str">
        <f>_xlfn.CONCAT("Art. złączny do produktu ",Tabela10[[#This Row],[KOD_PRODUKTU]])</f>
        <v>Art. złączny do produktu 404F29</v>
      </c>
      <c r="J112" s="6" t="str">
        <f>_xlfn.CONCAT("VE-",Tabela10[[#This Row],[KOD_PRODUKTU]])</f>
        <v>VE-404F29</v>
      </c>
    </row>
    <row r="113" spans="1:10" x14ac:dyDescent="0.25">
      <c r="A113" s="1" t="s">
        <v>564</v>
      </c>
      <c r="B113" t="s">
        <v>565</v>
      </c>
      <c r="C113" s="1" t="s">
        <v>567</v>
      </c>
      <c r="D113" t="s">
        <v>568</v>
      </c>
      <c r="E113" t="s">
        <v>569</v>
      </c>
      <c r="F113" t="s">
        <v>121</v>
      </c>
      <c r="G113" t="s">
        <v>50</v>
      </c>
      <c r="H113">
        <v>1.65</v>
      </c>
      <c r="I113" s="6" t="str">
        <f>_xlfn.CONCAT("Art. złączny do produktu ",Tabela10[[#This Row],[KOD_PRODUKTU]])</f>
        <v>Art. złączny do produktu 404F29</v>
      </c>
      <c r="J113" s="6" t="str">
        <f>_xlfn.CONCAT("VE-",Tabela10[[#This Row],[KOD_PRODUKTU]])</f>
        <v>VE-404F29</v>
      </c>
    </row>
    <row r="114" spans="1:10" x14ac:dyDescent="0.25">
      <c r="A114" s="7" t="s">
        <v>564</v>
      </c>
      <c r="B114" s="6" t="s">
        <v>565</v>
      </c>
      <c r="C114" s="7" t="s">
        <v>7</v>
      </c>
      <c r="D114" s="6" t="s">
        <v>8</v>
      </c>
      <c r="E114" s="6" t="s">
        <v>9</v>
      </c>
      <c r="F114" s="6" t="s">
        <v>10</v>
      </c>
      <c r="G114" s="6" t="s">
        <v>563</v>
      </c>
      <c r="H114" s="6">
        <v>10.6</v>
      </c>
      <c r="I114" s="6" t="str">
        <f>_xlfn.CONCAT("Art. złączny do produktu ",Tabela10[[#This Row],[KOD_PRODUKTU]])</f>
        <v>Art. złączny do produktu 404F29</v>
      </c>
      <c r="J114" s="6" t="str">
        <f>_xlfn.CONCAT("VE-",Tabela10[[#This Row],[KOD_PRODUKTU]])</f>
        <v>VE-404F29</v>
      </c>
    </row>
    <row r="115" spans="1:10" x14ac:dyDescent="0.25">
      <c r="A115" s="1" t="s">
        <v>570</v>
      </c>
      <c r="B115" t="s">
        <v>571</v>
      </c>
      <c r="C115" s="1" t="s">
        <v>471</v>
      </c>
      <c r="D115" t="s">
        <v>472</v>
      </c>
      <c r="E115" t="s">
        <v>526</v>
      </c>
      <c r="F115" t="s">
        <v>5</v>
      </c>
      <c r="G115" t="s">
        <v>566</v>
      </c>
      <c r="H115">
        <v>31.17</v>
      </c>
      <c r="I115" s="6" t="str">
        <f>_xlfn.CONCAT("Art. złączny do produktu ",Tabela10[[#This Row],[KOD_PRODUKTU]])</f>
        <v>Art. złączny do produktu 404F40</v>
      </c>
      <c r="J115" s="6" t="str">
        <f>_xlfn.CONCAT("VE-",Tabela10[[#This Row],[KOD_PRODUKTU]])</f>
        <v>VE-404F40</v>
      </c>
    </row>
    <row r="116" spans="1:10" x14ac:dyDescent="0.25">
      <c r="A116" s="7" t="s">
        <v>570</v>
      </c>
      <c r="B116" s="6" t="s">
        <v>571</v>
      </c>
      <c r="C116" s="7" t="s">
        <v>475</v>
      </c>
      <c r="D116" s="6" t="s">
        <v>476</v>
      </c>
      <c r="E116" s="6" t="s">
        <v>477</v>
      </c>
      <c r="F116" s="6" t="s">
        <v>39</v>
      </c>
      <c r="G116" s="6" t="s">
        <v>478</v>
      </c>
      <c r="H116" s="6">
        <v>0.41</v>
      </c>
      <c r="I116" s="6" t="str">
        <f>_xlfn.CONCAT("Art. złączny do produktu ",Tabela10[[#This Row],[KOD_PRODUKTU]])</f>
        <v>Art. złączny do produktu 404F40</v>
      </c>
      <c r="J116" s="6" t="str">
        <f>_xlfn.CONCAT("VE-",Tabela10[[#This Row],[KOD_PRODUKTU]])</f>
        <v>VE-404F40</v>
      </c>
    </row>
    <row r="117" spans="1:10" x14ac:dyDescent="0.25">
      <c r="A117" s="1" t="s">
        <v>570</v>
      </c>
      <c r="B117" t="s">
        <v>571</v>
      </c>
      <c r="C117" s="1" t="s">
        <v>479</v>
      </c>
      <c r="D117" t="s">
        <v>480</v>
      </c>
      <c r="E117" t="s">
        <v>481</v>
      </c>
      <c r="F117" t="s">
        <v>5</v>
      </c>
      <c r="G117" t="s">
        <v>572</v>
      </c>
      <c r="H117">
        <v>0.04</v>
      </c>
      <c r="I117" s="6" t="str">
        <f>_xlfn.CONCAT("Art. złączny do produktu ",Tabela10[[#This Row],[KOD_PRODUKTU]])</f>
        <v>Art. złączny do produktu 404F40</v>
      </c>
      <c r="J117" s="6" t="str">
        <f>_xlfn.CONCAT("VE-",Tabela10[[#This Row],[KOD_PRODUKTU]])</f>
        <v>VE-404F40</v>
      </c>
    </row>
    <row r="118" spans="1:10" x14ac:dyDescent="0.25">
      <c r="A118" s="7" t="s">
        <v>570</v>
      </c>
      <c r="B118" s="6" t="s">
        <v>571</v>
      </c>
      <c r="C118" s="7" t="s">
        <v>483</v>
      </c>
      <c r="D118" s="6" t="s">
        <v>484</v>
      </c>
      <c r="E118" s="6" t="s">
        <v>485</v>
      </c>
      <c r="F118" s="6" t="s">
        <v>5</v>
      </c>
      <c r="G118" s="6" t="s">
        <v>573</v>
      </c>
      <c r="H118" s="6">
        <v>0.01</v>
      </c>
      <c r="I118" s="6" t="str">
        <f>_xlfn.CONCAT("Art. złączny do produktu ",Tabela10[[#This Row],[KOD_PRODUKTU]])</f>
        <v>Art. złączny do produktu 404F40</v>
      </c>
      <c r="J118" s="6" t="str">
        <f>_xlfn.CONCAT("VE-",Tabela10[[#This Row],[KOD_PRODUKTU]])</f>
        <v>VE-404F40</v>
      </c>
    </row>
    <row r="119" spans="1:10" x14ac:dyDescent="0.25">
      <c r="A119" s="1" t="s">
        <v>570</v>
      </c>
      <c r="B119" t="s">
        <v>571</v>
      </c>
      <c r="C119" s="1" t="s">
        <v>487</v>
      </c>
      <c r="D119" t="s">
        <v>488</v>
      </c>
      <c r="E119" t="s">
        <v>489</v>
      </c>
      <c r="F119" t="s">
        <v>5</v>
      </c>
      <c r="G119" t="s">
        <v>574</v>
      </c>
      <c r="H119">
        <v>0.33</v>
      </c>
      <c r="I119" s="6" t="str">
        <f>_xlfn.CONCAT("Art. złączny do produktu ",Tabela10[[#This Row],[KOD_PRODUKTU]])</f>
        <v>Art. złączny do produktu 404F40</v>
      </c>
      <c r="J119" s="6" t="str">
        <f>_xlfn.CONCAT("VE-",Tabela10[[#This Row],[KOD_PRODUKTU]])</f>
        <v>VE-404F40</v>
      </c>
    </row>
    <row r="120" spans="1:10" x14ac:dyDescent="0.25">
      <c r="A120" s="7" t="s">
        <v>570</v>
      </c>
      <c r="B120" s="6" t="s">
        <v>571</v>
      </c>
      <c r="C120" s="7" t="s">
        <v>491</v>
      </c>
      <c r="D120" s="6" t="s">
        <v>492</v>
      </c>
      <c r="E120" s="6" t="s">
        <v>493</v>
      </c>
      <c r="F120" s="6" t="s">
        <v>121</v>
      </c>
      <c r="G120" s="6" t="s">
        <v>92</v>
      </c>
      <c r="H120" s="6">
        <v>13.7</v>
      </c>
      <c r="I120" s="6" t="str">
        <f>_xlfn.CONCAT("Art. złączny do produktu ",Tabela10[[#This Row],[KOD_PRODUKTU]])</f>
        <v>Art. złączny do produktu 404F40</v>
      </c>
      <c r="J120" s="6" t="str">
        <f>_xlfn.CONCAT("VE-",Tabela10[[#This Row],[KOD_PRODUKTU]])</f>
        <v>VE-404F40</v>
      </c>
    </row>
    <row r="121" spans="1:10" x14ac:dyDescent="0.25">
      <c r="A121" s="1" t="s">
        <v>570</v>
      </c>
      <c r="B121" t="s">
        <v>571</v>
      </c>
      <c r="C121" s="1" t="s">
        <v>499</v>
      </c>
      <c r="D121" t="s">
        <v>500</v>
      </c>
      <c r="E121" t="s">
        <v>501</v>
      </c>
      <c r="F121" t="s">
        <v>121</v>
      </c>
      <c r="G121" t="s">
        <v>50</v>
      </c>
      <c r="H121">
        <v>4.5</v>
      </c>
      <c r="I121" s="6" t="str">
        <f>_xlfn.CONCAT("Art. złączny do produktu ",Tabela10[[#This Row],[KOD_PRODUKTU]])</f>
        <v>Art. złączny do produktu 404F40</v>
      </c>
      <c r="J121" s="6" t="str">
        <f>_xlfn.CONCAT("VE-",Tabela10[[#This Row],[KOD_PRODUKTU]])</f>
        <v>VE-404F40</v>
      </c>
    </row>
    <row r="122" spans="1:10" x14ac:dyDescent="0.25">
      <c r="A122" s="7" t="s">
        <v>570</v>
      </c>
      <c r="B122" s="6" t="s">
        <v>571</v>
      </c>
      <c r="C122" s="7" t="s">
        <v>536</v>
      </c>
      <c r="D122" s="6" t="s">
        <v>537</v>
      </c>
      <c r="E122" s="6" t="s">
        <v>538</v>
      </c>
      <c r="F122" s="6" t="s">
        <v>121</v>
      </c>
      <c r="G122" s="6" t="s">
        <v>50</v>
      </c>
      <c r="H122" s="6">
        <v>15.7</v>
      </c>
      <c r="I122" s="6" t="str">
        <f>_xlfn.CONCAT("Art. złączny do produktu ",Tabela10[[#This Row],[KOD_PRODUKTU]])</f>
        <v>Art. złączny do produktu 404F40</v>
      </c>
      <c r="J122" s="6" t="str">
        <f>_xlfn.CONCAT("VE-",Tabela10[[#This Row],[KOD_PRODUKTU]])</f>
        <v>VE-404F40</v>
      </c>
    </row>
    <row r="123" spans="1:10" x14ac:dyDescent="0.25">
      <c r="A123" s="1" t="s">
        <v>570</v>
      </c>
      <c r="B123" t="s">
        <v>571</v>
      </c>
      <c r="C123" s="1" t="s">
        <v>539</v>
      </c>
      <c r="D123" t="s">
        <v>540</v>
      </c>
      <c r="E123" t="s">
        <v>538</v>
      </c>
      <c r="F123" t="s">
        <v>121</v>
      </c>
      <c r="G123" t="s">
        <v>50</v>
      </c>
      <c r="H123">
        <v>15.7</v>
      </c>
      <c r="I123" s="6" t="str">
        <f>_xlfn.CONCAT("Art. złączny do produktu ",Tabela10[[#This Row],[KOD_PRODUKTU]])</f>
        <v>Art. złączny do produktu 404F40</v>
      </c>
      <c r="J123" s="6" t="str">
        <f>_xlfn.CONCAT("VE-",Tabela10[[#This Row],[KOD_PRODUKTU]])</f>
        <v>VE-404F40</v>
      </c>
    </row>
    <row r="124" spans="1:10" x14ac:dyDescent="0.25">
      <c r="A124" s="7" t="s">
        <v>570</v>
      </c>
      <c r="B124" s="6" t="s">
        <v>571</v>
      </c>
      <c r="C124" s="7" t="s">
        <v>7</v>
      </c>
      <c r="D124" s="6" t="s">
        <v>8</v>
      </c>
      <c r="E124" s="6" t="s">
        <v>9</v>
      </c>
      <c r="F124" s="6" t="s">
        <v>10</v>
      </c>
      <c r="G124" s="6" t="s">
        <v>575</v>
      </c>
      <c r="H124" s="6">
        <v>33.799999999999997</v>
      </c>
      <c r="I124" s="6" t="str">
        <f>_xlfn.CONCAT("Art. złączny do produktu ",Tabela10[[#This Row],[KOD_PRODUKTU]])</f>
        <v>Art. złączny do produktu 404F40</v>
      </c>
      <c r="J124" s="6" t="str">
        <f>_xlfn.CONCAT("VE-",Tabela10[[#This Row],[KOD_PRODUKTU]])</f>
        <v>VE-404F40</v>
      </c>
    </row>
    <row r="125" spans="1:10" x14ac:dyDescent="0.25">
      <c r="A125" s="1" t="s">
        <v>576</v>
      </c>
      <c r="B125" t="s">
        <v>577</v>
      </c>
      <c r="C125" s="1" t="s">
        <v>471</v>
      </c>
      <c r="D125" t="s">
        <v>472</v>
      </c>
      <c r="E125" t="s">
        <v>578</v>
      </c>
      <c r="F125" t="s">
        <v>5</v>
      </c>
      <c r="G125" t="s">
        <v>579</v>
      </c>
      <c r="H125">
        <v>17.66</v>
      </c>
      <c r="I125" s="6" t="str">
        <f>_xlfn.CONCAT("Art. złączny do produktu ",Tabela10[[#This Row],[KOD_PRODUKTU]])</f>
        <v>Art. złączny do produktu 404F41</v>
      </c>
      <c r="J125" s="6" t="str">
        <f>_xlfn.CONCAT("VE-",Tabela10[[#This Row],[KOD_PRODUKTU]])</f>
        <v>VE-404F41</v>
      </c>
    </row>
    <row r="126" spans="1:10" x14ac:dyDescent="0.25">
      <c r="A126" s="7" t="s">
        <v>576</v>
      </c>
      <c r="B126" s="6" t="s">
        <v>577</v>
      </c>
      <c r="C126" s="7" t="s">
        <v>511</v>
      </c>
      <c r="D126" s="6" t="s">
        <v>512</v>
      </c>
      <c r="E126" s="6" t="s">
        <v>580</v>
      </c>
      <c r="F126" s="6" t="s">
        <v>39</v>
      </c>
      <c r="G126" s="6" t="s">
        <v>558</v>
      </c>
      <c r="H126" s="6">
        <v>1.19</v>
      </c>
      <c r="I126" s="6" t="str">
        <f>_xlfn.CONCAT("Art. złączny do produktu ",Tabela10[[#This Row],[KOD_PRODUKTU]])</f>
        <v>Art. złączny do produktu 404F41</v>
      </c>
      <c r="J126" s="6" t="str">
        <f>_xlfn.CONCAT("VE-",Tabela10[[#This Row],[KOD_PRODUKTU]])</f>
        <v>VE-404F41</v>
      </c>
    </row>
    <row r="127" spans="1:10" x14ac:dyDescent="0.25">
      <c r="A127" s="1" t="s">
        <v>576</v>
      </c>
      <c r="B127" t="s">
        <v>577</v>
      </c>
      <c r="C127" s="1" t="s">
        <v>581</v>
      </c>
      <c r="D127" t="s">
        <v>582</v>
      </c>
      <c r="E127" t="s">
        <v>216</v>
      </c>
      <c r="F127" t="s">
        <v>5</v>
      </c>
      <c r="G127" t="s">
        <v>583</v>
      </c>
      <c r="H127">
        <v>0.28000000000000003</v>
      </c>
      <c r="I127" s="6" t="str">
        <f>_xlfn.CONCAT("Art. złączny do produktu ",Tabela10[[#This Row],[KOD_PRODUKTU]])</f>
        <v>Art. złączny do produktu 404F41</v>
      </c>
      <c r="J127" s="6" t="str">
        <f>_xlfn.CONCAT("VE-",Tabela10[[#This Row],[KOD_PRODUKTU]])</f>
        <v>VE-404F41</v>
      </c>
    </row>
    <row r="128" spans="1:10" x14ac:dyDescent="0.25">
      <c r="A128" s="7" t="s">
        <v>576</v>
      </c>
      <c r="B128" s="6" t="s">
        <v>577</v>
      </c>
      <c r="C128" s="7" t="s">
        <v>584</v>
      </c>
      <c r="D128" s="6" t="s">
        <v>585</v>
      </c>
      <c r="E128" s="6" t="s">
        <v>191</v>
      </c>
      <c r="F128" s="6" t="s">
        <v>5</v>
      </c>
      <c r="G128" s="6" t="s">
        <v>586</v>
      </c>
      <c r="H128" s="6">
        <v>0.13</v>
      </c>
      <c r="I128" s="6" t="str">
        <f>_xlfn.CONCAT("Art. złączny do produktu ",Tabela10[[#This Row],[KOD_PRODUKTU]])</f>
        <v>Art. złączny do produktu 404F41</v>
      </c>
      <c r="J128" s="6" t="str">
        <f>_xlfn.CONCAT("VE-",Tabela10[[#This Row],[KOD_PRODUKTU]])</f>
        <v>VE-404F41</v>
      </c>
    </row>
    <row r="129" spans="1:10" x14ac:dyDescent="0.25">
      <c r="A129" s="1" t="s">
        <v>576</v>
      </c>
      <c r="B129" t="s">
        <v>577</v>
      </c>
      <c r="C129" s="1" t="s">
        <v>587</v>
      </c>
      <c r="D129" t="s">
        <v>588</v>
      </c>
      <c r="E129" t="s">
        <v>589</v>
      </c>
      <c r="F129" t="s">
        <v>5</v>
      </c>
      <c r="G129" t="s">
        <v>590</v>
      </c>
      <c r="H129">
        <v>0.13</v>
      </c>
      <c r="I129" s="6" t="str">
        <f>_xlfn.CONCAT("Art. złączny do produktu ",Tabela10[[#This Row],[KOD_PRODUKTU]])</f>
        <v>Art. złączny do produktu 404F41</v>
      </c>
      <c r="J129" s="6" t="str">
        <f>_xlfn.CONCAT("VE-",Tabela10[[#This Row],[KOD_PRODUKTU]])</f>
        <v>VE-404F41</v>
      </c>
    </row>
    <row r="130" spans="1:10" x14ac:dyDescent="0.25">
      <c r="A130" s="7" t="s">
        <v>576</v>
      </c>
      <c r="B130" s="6" t="s">
        <v>577</v>
      </c>
      <c r="C130" s="7" t="s">
        <v>41</v>
      </c>
      <c r="D130" s="6" t="s">
        <v>42</v>
      </c>
      <c r="E130" s="6" t="s">
        <v>513</v>
      </c>
      <c r="F130" s="6" t="s">
        <v>5</v>
      </c>
      <c r="G130" s="6" t="s">
        <v>591</v>
      </c>
      <c r="H130" s="6">
        <v>7.0000000000000007E-2</v>
      </c>
      <c r="I130" s="6" t="str">
        <f>_xlfn.CONCAT("Art. złączny do produktu ",Tabela10[[#This Row],[KOD_PRODUKTU]])</f>
        <v>Art. złączny do produktu 404F41</v>
      </c>
      <c r="J130" s="6" t="str">
        <f>_xlfn.CONCAT("VE-",Tabela10[[#This Row],[KOD_PRODUKTU]])</f>
        <v>VE-404F41</v>
      </c>
    </row>
    <row r="131" spans="1:10" x14ac:dyDescent="0.25">
      <c r="A131" s="1" t="s">
        <v>576</v>
      </c>
      <c r="B131" t="s">
        <v>577</v>
      </c>
      <c r="C131" s="1" t="s">
        <v>517</v>
      </c>
      <c r="D131" t="s">
        <v>518</v>
      </c>
      <c r="E131" t="s">
        <v>519</v>
      </c>
      <c r="F131" t="s">
        <v>121</v>
      </c>
      <c r="G131" t="s">
        <v>122</v>
      </c>
      <c r="H131">
        <v>22.2</v>
      </c>
      <c r="I131" s="6" t="str">
        <f>_xlfn.CONCAT("Art. złączny do produktu ",Tabela10[[#This Row],[KOD_PRODUKTU]])</f>
        <v>Art. złączny do produktu 404F41</v>
      </c>
      <c r="J131" s="6" t="str">
        <f>_xlfn.CONCAT("VE-",Tabela10[[#This Row],[KOD_PRODUKTU]])</f>
        <v>VE-404F41</v>
      </c>
    </row>
    <row r="132" spans="1:10" x14ac:dyDescent="0.25">
      <c r="A132" s="7" t="s">
        <v>576</v>
      </c>
      <c r="B132" s="6" t="s">
        <v>577</v>
      </c>
      <c r="C132" s="7" t="s">
        <v>499</v>
      </c>
      <c r="D132" s="6" t="s">
        <v>500</v>
      </c>
      <c r="E132" s="6" t="s">
        <v>501</v>
      </c>
      <c r="F132" s="6" t="s">
        <v>121</v>
      </c>
      <c r="G132" s="6" t="s">
        <v>92</v>
      </c>
      <c r="H132" s="6">
        <v>9</v>
      </c>
      <c r="I132" s="6" t="str">
        <f>_xlfn.CONCAT("Art. złączny do produktu ",Tabela10[[#This Row],[KOD_PRODUKTU]])</f>
        <v>Art. złączny do produktu 404F41</v>
      </c>
      <c r="J132" s="6" t="str">
        <f>_xlfn.CONCAT("VE-",Tabela10[[#This Row],[KOD_PRODUKTU]])</f>
        <v>VE-404F41</v>
      </c>
    </row>
    <row r="133" spans="1:10" x14ac:dyDescent="0.25">
      <c r="A133" s="1" t="s">
        <v>576</v>
      </c>
      <c r="B133" t="s">
        <v>577</v>
      </c>
      <c r="C133" s="1" t="s">
        <v>592</v>
      </c>
      <c r="D133" t="s">
        <v>593</v>
      </c>
      <c r="E133" t="s">
        <v>157</v>
      </c>
      <c r="F133" t="s">
        <v>49</v>
      </c>
      <c r="G133" t="s">
        <v>50</v>
      </c>
      <c r="H133">
        <v>2.4500000000000002</v>
      </c>
      <c r="I133" s="6" t="str">
        <f>_xlfn.CONCAT("Art. złączny do produktu ",Tabela10[[#This Row],[KOD_PRODUKTU]])</f>
        <v>Art. złączny do produktu 404F41</v>
      </c>
      <c r="J133" s="6" t="str">
        <f>_xlfn.CONCAT("VE-",Tabela10[[#This Row],[KOD_PRODUKTU]])</f>
        <v>VE-404F41</v>
      </c>
    </row>
    <row r="134" spans="1:10" x14ac:dyDescent="0.25">
      <c r="A134" s="7" t="s">
        <v>576</v>
      </c>
      <c r="B134" s="6" t="s">
        <v>577</v>
      </c>
      <c r="C134" s="7" t="s">
        <v>541</v>
      </c>
      <c r="D134" s="6" t="s">
        <v>542</v>
      </c>
      <c r="E134" s="6" t="s">
        <v>9</v>
      </c>
      <c r="F134" s="6" t="s">
        <v>10</v>
      </c>
      <c r="G134" s="6" t="s">
        <v>594</v>
      </c>
      <c r="H134" s="6">
        <v>11.5</v>
      </c>
      <c r="I134" s="6" t="str">
        <f>_xlfn.CONCAT("Art. złączny do produktu ",Tabela10[[#This Row],[KOD_PRODUKTU]])</f>
        <v>Art. złączny do produktu 404F41</v>
      </c>
      <c r="J134" s="6" t="str">
        <f>_xlfn.CONCAT("VE-",Tabela10[[#This Row],[KOD_PRODUKTU]])</f>
        <v>VE-404F41</v>
      </c>
    </row>
    <row r="135" spans="1:10" x14ac:dyDescent="0.25">
      <c r="A135" s="1" t="s">
        <v>595</v>
      </c>
      <c r="B135" t="s">
        <v>596</v>
      </c>
      <c r="C135" s="1" t="s">
        <v>507</v>
      </c>
      <c r="D135" t="s">
        <v>508</v>
      </c>
      <c r="E135" t="s">
        <v>578</v>
      </c>
      <c r="F135" t="s">
        <v>5</v>
      </c>
      <c r="G135" t="s">
        <v>597</v>
      </c>
      <c r="H135">
        <v>3.93</v>
      </c>
      <c r="I135" s="6" t="str">
        <f>_xlfn.CONCAT("Art. złączny do produktu ",Tabela10[[#This Row],[KOD_PRODUKTU]])</f>
        <v>Art. złączny do produktu 404F42</v>
      </c>
      <c r="J135" s="6" t="str">
        <f>_xlfn.CONCAT("VE-",Tabela10[[#This Row],[KOD_PRODUKTU]])</f>
        <v>VE-404F42</v>
      </c>
    </row>
    <row r="136" spans="1:10" x14ac:dyDescent="0.25">
      <c r="A136" s="7" t="s">
        <v>595</v>
      </c>
      <c r="B136" s="6" t="s">
        <v>596</v>
      </c>
      <c r="C136" s="7" t="s">
        <v>511</v>
      </c>
      <c r="D136" s="6" t="s">
        <v>512</v>
      </c>
      <c r="E136" s="6" t="s">
        <v>580</v>
      </c>
      <c r="F136" s="6" t="s">
        <v>39</v>
      </c>
      <c r="G136" s="6" t="s">
        <v>558</v>
      </c>
      <c r="H136" s="6">
        <v>1.19</v>
      </c>
      <c r="I136" s="6" t="str">
        <f>_xlfn.CONCAT("Art. złączny do produktu ",Tabela10[[#This Row],[KOD_PRODUKTU]])</f>
        <v>Art. złączny do produktu 404F42</v>
      </c>
      <c r="J136" s="6" t="str">
        <f>_xlfn.CONCAT("VE-",Tabela10[[#This Row],[KOD_PRODUKTU]])</f>
        <v>VE-404F42</v>
      </c>
    </row>
    <row r="137" spans="1:10" x14ac:dyDescent="0.25">
      <c r="A137" s="1" t="s">
        <v>595</v>
      </c>
      <c r="B137" t="s">
        <v>596</v>
      </c>
      <c r="C137" s="1" t="s">
        <v>41</v>
      </c>
      <c r="D137" t="s">
        <v>42</v>
      </c>
      <c r="E137" t="s">
        <v>513</v>
      </c>
      <c r="F137" t="s">
        <v>5</v>
      </c>
      <c r="G137" t="s">
        <v>598</v>
      </c>
      <c r="H137">
        <v>0.04</v>
      </c>
      <c r="I137" s="6" t="str">
        <f>_xlfn.CONCAT("Art. złączny do produktu ",Tabela10[[#This Row],[KOD_PRODUKTU]])</f>
        <v>Art. złączny do produktu 404F42</v>
      </c>
      <c r="J137" s="6" t="str">
        <f>_xlfn.CONCAT("VE-",Tabela10[[#This Row],[KOD_PRODUKTU]])</f>
        <v>VE-404F42</v>
      </c>
    </row>
    <row r="138" spans="1:10" x14ac:dyDescent="0.25">
      <c r="A138" s="7" t="s">
        <v>595</v>
      </c>
      <c r="B138" s="6" t="s">
        <v>596</v>
      </c>
      <c r="C138" s="7" t="s">
        <v>517</v>
      </c>
      <c r="D138" s="6" t="s">
        <v>518</v>
      </c>
      <c r="E138" s="6" t="s">
        <v>519</v>
      </c>
      <c r="F138" s="6" t="s">
        <v>121</v>
      </c>
      <c r="G138" s="6" t="s">
        <v>92</v>
      </c>
      <c r="H138" s="6">
        <v>11.1</v>
      </c>
      <c r="I138" s="6" t="str">
        <f>_xlfn.CONCAT("Art. złączny do produktu ",Tabela10[[#This Row],[KOD_PRODUKTU]])</f>
        <v>Art. złączny do produktu 404F42</v>
      </c>
      <c r="J138" s="6" t="str">
        <f>_xlfn.CONCAT("VE-",Tabela10[[#This Row],[KOD_PRODUKTU]])</f>
        <v>VE-404F42</v>
      </c>
    </row>
    <row r="139" spans="1:10" x14ac:dyDescent="0.25">
      <c r="A139" s="1" t="s">
        <v>595</v>
      </c>
      <c r="B139" t="s">
        <v>596</v>
      </c>
      <c r="C139" s="1" t="s">
        <v>520</v>
      </c>
      <c r="D139" t="s">
        <v>521</v>
      </c>
      <c r="E139" t="s">
        <v>522</v>
      </c>
      <c r="F139" t="s">
        <v>121</v>
      </c>
      <c r="G139" t="s">
        <v>92</v>
      </c>
      <c r="H139">
        <v>6.9</v>
      </c>
      <c r="I139" s="6" t="str">
        <f>_xlfn.CONCAT("Art. złączny do produktu ",Tabela10[[#This Row],[KOD_PRODUKTU]])</f>
        <v>Art. złączny do produktu 404F42</v>
      </c>
      <c r="J139" s="6" t="str">
        <f>_xlfn.CONCAT("VE-",Tabela10[[#This Row],[KOD_PRODUKTU]])</f>
        <v>VE-404F42</v>
      </c>
    </row>
    <row r="140" spans="1:10" x14ac:dyDescent="0.25">
      <c r="A140" s="7" t="s">
        <v>595</v>
      </c>
      <c r="B140" s="6" t="s">
        <v>596</v>
      </c>
      <c r="C140" s="7" t="s">
        <v>599</v>
      </c>
      <c r="D140" s="6" t="s">
        <v>600</v>
      </c>
      <c r="E140" s="6" t="s">
        <v>157</v>
      </c>
      <c r="F140" s="6" t="s">
        <v>49</v>
      </c>
      <c r="G140" s="6" t="s">
        <v>92</v>
      </c>
      <c r="H140" s="6">
        <v>4.9000000000000004</v>
      </c>
      <c r="I140" s="6" t="str">
        <f>_xlfn.CONCAT("Art. złączny do produktu ",Tabela10[[#This Row],[KOD_PRODUKTU]])</f>
        <v>Art. złączny do produktu 404F42</v>
      </c>
      <c r="J140" s="6" t="str">
        <f>_xlfn.CONCAT("VE-",Tabela10[[#This Row],[KOD_PRODUKTU]])</f>
        <v>VE-404F42</v>
      </c>
    </row>
    <row r="141" spans="1:10" x14ac:dyDescent="0.25">
      <c r="A141" s="1" t="s">
        <v>595</v>
      </c>
      <c r="B141" t="s">
        <v>596</v>
      </c>
      <c r="C141" s="1" t="s">
        <v>541</v>
      </c>
      <c r="D141" t="s">
        <v>542</v>
      </c>
      <c r="E141" t="s">
        <v>9</v>
      </c>
      <c r="F141" t="s">
        <v>10</v>
      </c>
      <c r="G141" t="s">
        <v>601</v>
      </c>
      <c r="H141">
        <v>6.9</v>
      </c>
      <c r="I141" s="6" t="str">
        <f>_xlfn.CONCAT("Art. złączny do produktu ",Tabela10[[#This Row],[KOD_PRODUKTU]])</f>
        <v>Art. złączny do produktu 404F42</v>
      </c>
      <c r="J141" s="6" t="str">
        <f>_xlfn.CONCAT("VE-",Tabela10[[#This Row],[KOD_PRODUKTU]])</f>
        <v>VE-404F42</v>
      </c>
    </row>
    <row r="142" spans="1:10" x14ac:dyDescent="0.25">
      <c r="A142" s="7" t="s">
        <v>602</v>
      </c>
      <c r="B142" s="6" t="s">
        <v>603</v>
      </c>
      <c r="C142" s="7" t="s">
        <v>471</v>
      </c>
      <c r="D142" s="6" t="s">
        <v>472</v>
      </c>
      <c r="E142" s="6" t="s">
        <v>526</v>
      </c>
      <c r="F142" s="6" t="s">
        <v>5</v>
      </c>
      <c r="G142" s="6" t="s">
        <v>604</v>
      </c>
      <c r="H142" s="6">
        <v>27.68</v>
      </c>
      <c r="I142" s="6" t="str">
        <f>_xlfn.CONCAT("Art. złączny do produktu ",Tabela10[[#This Row],[KOD_PRODUKTU]])</f>
        <v>Art. złączny do produktu 404F43</v>
      </c>
      <c r="J142" s="6" t="str">
        <f>_xlfn.CONCAT("VE-",Tabela10[[#This Row],[KOD_PRODUKTU]])</f>
        <v>VE-404F43</v>
      </c>
    </row>
    <row r="143" spans="1:10" x14ac:dyDescent="0.25">
      <c r="A143" s="1" t="s">
        <v>602</v>
      </c>
      <c r="B143" t="s">
        <v>603</v>
      </c>
      <c r="C143" s="1" t="s">
        <v>511</v>
      </c>
      <c r="D143" t="s">
        <v>512</v>
      </c>
      <c r="E143" t="s">
        <v>513</v>
      </c>
      <c r="F143" t="s">
        <v>39</v>
      </c>
      <c r="G143" t="s">
        <v>558</v>
      </c>
      <c r="H143">
        <v>0.88</v>
      </c>
      <c r="I143" s="6" t="str">
        <f>_xlfn.CONCAT("Art. złączny do produktu ",Tabela10[[#This Row],[KOD_PRODUKTU]])</f>
        <v>Art. złączny do produktu 404F43</v>
      </c>
      <c r="J143" s="6" t="str">
        <f>_xlfn.CONCAT("VE-",Tabela10[[#This Row],[KOD_PRODUKTU]])</f>
        <v>VE-404F43</v>
      </c>
    </row>
    <row r="144" spans="1:10" x14ac:dyDescent="0.25">
      <c r="A144" s="7" t="s">
        <v>602</v>
      </c>
      <c r="B144" s="6" t="s">
        <v>603</v>
      </c>
      <c r="C144" s="7" t="s">
        <v>581</v>
      </c>
      <c r="D144" s="6" t="s">
        <v>582</v>
      </c>
      <c r="E144" s="6" t="s">
        <v>191</v>
      </c>
      <c r="F144" s="6" t="s">
        <v>5</v>
      </c>
      <c r="G144" s="6" t="s">
        <v>605</v>
      </c>
      <c r="H144" s="6">
        <v>0.51</v>
      </c>
      <c r="I144" s="6" t="str">
        <f>_xlfn.CONCAT("Art. złączny do produktu ",Tabela10[[#This Row],[KOD_PRODUKTU]])</f>
        <v>Art. złączny do produktu 404F43</v>
      </c>
      <c r="J144" s="6" t="str">
        <f>_xlfn.CONCAT("VE-",Tabela10[[#This Row],[KOD_PRODUKTU]])</f>
        <v>VE-404F43</v>
      </c>
    </row>
    <row r="145" spans="1:10" x14ac:dyDescent="0.25">
      <c r="A145" s="1" t="s">
        <v>602</v>
      </c>
      <c r="B145" t="s">
        <v>603</v>
      </c>
      <c r="C145" s="1" t="s">
        <v>584</v>
      </c>
      <c r="D145" t="s">
        <v>585</v>
      </c>
      <c r="E145" t="s">
        <v>606</v>
      </c>
      <c r="F145" t="s">
        <v>5</v>
      </c>
      <c r="G145" t="s">
        <v>586</v>
      </c>
      <c r="H145">
        <v>7.0000000000000007E-2</v>
      </c>
      <c r="I145" s="6" t="str">
        <f>_xlfn.CONCAT("Art. złączny do produktu ",Tabela10[[#This Row],[KOD_PRODUKTU]])</f>
        <v>Art. złączny do produktu 404F43</v>
      </c>
      <c r="J145" s="6" t="str">
        <f>_xlfn.CONCAT("VE-",Tabela10[[#This Row],[KOD_PRODUKTU]])</f>
        <v>VE-404F43</v>
      </c>
    </row>
    <row r="146" spans="1:10" x14ac:dyDescent="0.25">
      <c r="A146" s="7" t="s">
        <v>602</v>
      </c>
      <c r="B146" s="6" t="s">
        <v>603</v>
      </c>
      <c r="C146" s="7" t="s">
        <v>587</v>
      </c>
      <c r="D146" s="6" t="s">
        <v>588</v>
      </c>
      <c r="E146" s="6" t="s">
        <v>191</v>
      </c>
      <c r="F146" s="6" t="s">
        <v>5</v>
      </c>
      <c r="G146" s="6" t="s">
        <v>590</v>
      </c>
      <c r="H146" s="6">
        <v>0.11</v>
      </c>
      <c r="I146" s="6" t="str">
        <f>_xlfn.CONCAT("Art. złączny do produktu ",Tabela10[[#This Row],[KOD_PRODUKTU]])</f>
        <v>Art. złączny do produktu 404F43</v>
      </c>
      <c r="J146" s="6" t="str">
        <f>_xlfn.CONCAT("VE-",Tabela10[[#This Row],[KOD_PRODUKTU]])</f>
        <v>VE-404F43</v>
      </c>
    </row>
    <row r="147" spans="1:10" x14ac:dyDescent="0.25">
      <c r="A147" s="1" t="s">
        <v>602</v>
      </c>
      <c r="B147" t="s">
        <v>603</v>
      </c>
      <c r="C147" s="1" t="s">
        <v>517</v>
      </c>
      <c r="D147" t="s">
        <v>518</v>
      </c>
      <c r="E147" t="s">
        <v>519</v>
      </c>
      <c r="F147" t="s">
        <v>121</v>
      </c>
      <c r="G147" t="s">
        <v>122</v>
      </c>
      <c r="H147">
        <v>22.2</v>
      </c>
      <c r="I147" s="6" t="str">
        <f>_xlfn.CONCAT("Art. złączny do produktu ",Tabela10[[#This Row],[KOD_PRODUKTU]])</f>
        <v>Art. złączny do produktu 404F43</v>
      </c>
      <c r="J147" s="6" t="str">
        <f>_xlfn.CONCAT("VE-",Tabela10[[#This Row],[KOD_PRODUKTU]])</f>
        <v>VE-404F43</v>
      </c>
    </row>
    <row r="148" spans="1:10" x14ac:dyDescent="0.25">
      <c r="A148" s="7" t="s">
        <v>602</v>
      </c>
      <c r="B148" s="6" t="s">
        <v>603</v>
      </c>
      <c r="C148" s="7" t="s">
        <v>499</v>
      </c>
      <c r="D148" s="6" t="s">
        <v>500</v>
      </c>
      <c r="E148" s="6" t="s">
        <v>501</v>
      </c>
      <c r="F148" s="6" t="s">
        <v>121</v>
      </c>
      <c r="G148" s="6" t="s">
        <v>92</v>
      </c>
      <c r="H148" s="6">
        <v>9</v>
      </c>
      <c r="I148" s="6" t="str">
        <f>_xlfn.CONCAT("Art. złączny do produktu ",Tabela10[[#This Row],[KOD_PRODUKTU]])</f>
        <v>Art. złączny do produktu 404F43</v>
      </c>
      <c r="J148" s="6" t="str">
        <f>_xlfn.CONCAT("VE-",Tabela10[[#This Row],[KOD_PRODUKTU]])</f>
        <v>VE-404F43</v>
      </c>
    </row>
    <row r="149" spans="1:10" x14ac:dyDescent="0.25">
      <c r="A149" s="1" t="s">
        <v>602</v>
      </c>
      <c r="B149" t="s">
        <v>603</v>
      </c>
      <c r="C149" s="1" t="s">
        <v>592</v>
      </c>
      <c r="D149" t="s">
        <v>593</v>
      </c>
      <c r="E149" t="s">
        <v>157</v>
      </c>
      <c r="F149" t="s">
        <v>49</v>
      </c>
      <c r="G149" t="s">
        <v>50</v>
      </c>
      <c r="H149">
        <v>2.4500000000000002</v>
      </c>
      <c r="I149" s="6" t="str">
        <f>_xlfn.CONCAT("Art. złączny do produktu ",Tabela10[[#This Row],[KOD_PRODUKTU]])</f>
        <v>Art. złączny do produktu 404F43</v>
      </c>
      <c r="J149" s="6" t="str">
        <f>_xlfn.CONCAT("VE-",Tabela10[[#This Row],[KOD_PRODUKTU]])</f>
        <v>VE-404F43</v>
      </c>
    </row>
    <row r="150" spans="1:10" x14ac:dyDescent="0.25">
      <c r="A150" s="7" t="s">
        <v>602</v>
      </c>
      <c r="B150" s="6" t="s">
        <v>603</v>
      </c>
      <c r="C150" s="7" t="s">
        <v>541</v>
      </c>
      <c r="D150" s="6" t="s">
        <v>542</v>
      </c>
      <c r="E150" s="6" t="s">
        <v>9</v>
      </c>
      <c r="F150" s="6" t="s">
        <v>10</v>
      </c>
      <c r="G150" s="6" t="s">
        <v>607</v>
      </c>
      <c r="H150" s="6">
        <v>18.399999999999999</v>
      </c>
      <c r="I150" s="6" t="str">
        <f>_xlfn.CONCAT("Art. złączny do produktu ",Tabela10[[#This Row],[KOD_PRODUKTU]])</f>
        <v>Art. złączny do produktu 404F43</v>
      </c>
      <c r="J150" s="6" t="str">
        <f>_xlfn.CONCAT("VE-",Tabela10[[#This Row],[KOD_PRODUKTU]])</f>
        <v>VE-404F43</v>
      </c>
    </row>
    <row r="151" spans="1:10" x14ac:dyDescent="0.25">
      <c r="A151" s="1" t="s">
        <v>608</v>
      </c>
      <c r="B151" t="s">
        <v>609</v>
      </c>
      <c r="C151" s="1" t="s">
        <v>507</v>
      </c>
      <c r="D151" t="s">
        <v>508</v>
      </c>
      <c r="E151" t="s">
        <v>578</v>
      </c>
      <c r="F151" t="s">
        <v>5</v>
      </c>
      <c r="G151" t="s">
        <v>610</v>
      </c>
      <c r="H151">
        <v>8.42</v>
      </c>
      <c r="I151" s="6" t="str">
        <f>_xlfn.CONCAT("Art. złączny do produktu ",Tabela10[[#This Row],[KOD_PRODUKTU]])</f>
        <v>Art. złączny do produktu 404F44</v>
      </c>
      <c r="J151" s="6" t="str">
        <f>_xlfn.CONCAT("VE-",Tabela10[[#This Row],[KOD_PRODUKTU]])</f>
        <v>VE-404F44</v>
      </c>
    </row>
    <row r="152" spans="1:10" x14ac:dyDescent="0.25">
      <c r="A152" s="7" t="s">
        <v>608</v>
      </c>
      <c r="B152" s="6" t="s">
        <v>609</v>
      </c>
      <c r="C152" s="7" t="s">
        <v>511</v>
      </c>
      <c r="D152" s="6" t="s">
        <v>512</v>
      </c>
      <c r="E152" s="6" t="s">
        <v>580</v>
      </c>
      <c r="F152" s="6" t="s">
        <v>39</v>
      </c>
      <c r="G152" s="6" t="s">
        <v>558</v>
      </c>
      <c r="H152" s="6">
        <v>1.19</v>
      </c>
      <c r="I152" s="6" t="str">
        <f>_xlfn.CONCAT("Art. złączny do produktu ",Tabela10[[#This Row],[KOD_PRODUKTU]])</f>
        <v>Art. złączny do produktu 404F44</v>
      </c>
      <c r="J152" s="6" t="str">
        <f>_xlfn.CONCAT("VE-",Tabela10[[#This Row],[KOD_PRODUKTU]])</f>
        <v>VE-404F44</v>
      </c>
    </row>
    <row r="153" spans="1:10" x14ac:dyDescent="0.25">
      <c r="A153" s="1" t="s">
        <v>608</v>
      </c>
      <c r="B153" t="s">
        <v>609</v>
      </c>
      <c r="C153" s="1" t="s">
        <v>41</v>
      </c>
      <c r="D153" t="s">
        <v>42</v>
      </c>
      <c r="E153" t="s">
        <v>513</v>
      </c>
      <c r="F153" t="s">
        <v>5</v>
      </c>
      <c r="G153" t="s">
        <v>598</v>
      </c>
      <c r="H153">
        <v>0.04</v>
      </c>
      <c r="I153" s="6" t="str">
        <f>_xlfn.CONCAT("Art. złączny do produktu ",Tabela10[[#This Row],[KOD_PRODUKTU]])</f>
        <v>Art. złączny do produktu 404F44</v>
      </c>
      <c r="J153" s="6" t="str">
        <f>_xlfn.CONCAT("VE-",Tabela10[[#This Row],[KOD_PRODUKTU]])</f>
        <v>VE-404F44</v>
      </c>
    </row>
    <row r="154" spans="1:10" x14ac:dyDescent="0.25">
      <c r="A154" s="7" t="s">
        <v>608</v>
      </c>
      <c r="B154" s="6" t="s">
        <v>609</v>
      </c>
      <c r="C154" s="7" t="s">
        <v>517</v>
      </c>
      <c r="D154" s="6" t="s">
        <v>518</v>
      </c>
      <c r="E154" s="6" t="s">
        <v>519</v>
      </c>
      <c r="F154" s="6" t="s">
        <v>121</v>
      </c>
      <c r="G154" s="6" t="s">
        <v>92</v>
      </c>
      <c r="H154" s="6">
        <v>11.1</v>
      </c>
      <c r="I154" s="6" t="str">
        <f>_xlfn.CONCAT("Art. złączny do produktu ",Tabela10[[#This Row],[KOD_PRODUKTU]])</f>
        <v>Art. złączny do produktu 404F44</v>
      </c>
      <c r="J154" s="6" t="str">
        <f>_xlfn.CONCAT("VE-",Tabela10[[#This Row],[KOD_PRODUKTU]])</f>
        <v>VE-404F44</v>
      </c>
    </row>
    <row r="155" spans="1:10" x14ac:dyDescent="0.25">
      <c r="A155" s="1" t="s">
        <v>608</v>
      </c>
      <c r="B155" t="s">
        <v>609</v>
      </c>
      <c r="C155" s="1" t="s">
        <v>520</v>
      </c>
      <c r="D155" t="s">
        <v>521</v>
      </c>
      <c r="E155" t="s">
        <v>522</v>
      </c>
      <c r="F155" t="s">
        <v>121</v>
      </c>
      <c r="G155" t="s">
        <v>92</v>
      </c>
      <c r="H155">
        <v>6.9</v>
      </c>
      <c r="I155" s="6" t="str">
        <f>_xlfn.CONCAT("Art. złączny do produktu ",Tabela10[[#This Row],[KOD_PRODUKTU]])</f>
        <v>Art. złączny do produktu 404F44</v>
      </c>
      <c r="J155" s="6" t="str">
        <f>_xlfn.CONCAT("VE-",Tabela10[[#This Row],[KOD_PRODUKTU]])</f>
        <v>VE-404F44</v>
      </c>
    </row>
    <row r="156" spans="1:10" x14ac:dyDescent="0.25">
      <c r="A156" s="7" t="s">
        <v>608</v>
      </c>
      <c r="B156" s="6" t="s">
        <v>609</v>
      </c>
      <c r="C156" s="7" t="s">
        <v>599</v>
      </c>
      <c r="D156" s="6" t="s">
        <v>600</v>
      </c>
      <c r="E156" s="6" t="s">
        <v>157</v>
      </c>
      <c r="F156" s="6" t="s">
        <v>49</v>
      </c>
      <c r="G156" s="6" t="s">
        <v>92</v>
      </c>
      <c r="H156" s="6">
        <v>4.9000000000000004</v>
      </c>
      <c r="I156" s="6" t="str">
        <f>_xlfn.CONCAT("Art. złączny do produktu ",Tabela10[[#This Row],[KOD_PRODUKTU]])</f>
        <v>Art. złączny do produktu 404F44</v>
      </c>
      <c r="J156" s="6" t="str">
        <f>_xlfn.CONCAT("VE-",Tabela10[[#This Row],[KOD_PRODUKTU]])</f>
        <v>VE-404F44</v>
      </c>
    </row>
    <row r="157" spans="1:10" x14ac:dyDescent="0.25">
      <c r="A157" s="1" t="s">
        <v>608</v>
      </c>
      <c r="B157" t="s">
        <v>609</v>
      </c>
      <c r="C157" s="1" t="s">
        <v>541</v>
      </c>
      <c r="D157" t="s">
        <v>542</v>
      </c>
      <c r="E157" t="s">
        <v>9</v>
      </c>
      <c r="F157" t="s">
        <v>10</v>
      </c>
      <c r="G157" t="s">
        <v>33</v>
      </c>
      <c r="H157">
        <v>9.1999999999999993</v>
      </c>
      <c r="I157" s="6" t="str">
        <f>_xlfn.CONCAT("Art. złączny do produktu ",Tabela10[[#This Row],[KOD_PRODUKTU]])</f>
        <v>Art. złączny do produktu 404F44</v>
      </c>
      <c r="J157" s="6" t="str">
        <f>_xlfn.CONCAT("VE-",Tabela10[[#This Row],[KOD_PRODUKTU]])</f>
        <v>VE-404F44</v>
      </c>
    </row>
    <row r="158" spans="1:10" x14ac:dyDescent="0.25">
      <c r="A158" s="7" t="s">
        <v>611</v>
      </c>
      <c r="B158" s="6" t="s">
        <v>612</v>
      </c>
      <c r="C158" s="7" t="s">
        <v>471</v>
      </c>
      <c r="D158" s="6" t="s">
        <v>472</v>
      </c>
      <c r="E158" s="6" t="s">
        <v>578</v>
      </c>
      <c r="F158" s="6" t="s">
        <v>5</v>
      </c>
      <c r="G158" s="6" t="s">
        <v>613</v>
      </c>
      <c r="H158" s="6">
        <v>37.85</v>
      </c>
      <c r="I158" s="6" t="str">
        <f>_xlfn.CONCAT("Art. złączny do produktu ",Tabela10[[#This Row],[KOD_PRODUKTU]])</f>
        <v>Art. złączny do produktu 404F45</v>
      </c>
      <c r="J158" s="6" t="str">
        <f>_xlfn.CONCAT("VE-",Tabela10[[#This Row],[KOD_PRODUKTU]])</f>
        <v>VE-404F45</v>
      </c>
    </row>
    <row r="159" spans="1:10" x14ac:dyDescent="0.25">
      <c r="A159" s="1" t="s">
        <v>611</v>
      </c>
      <c r="B159" t="s">
        <v>612</v>
      </c>
      <c r="C159" s="1" t="s">
        <v>511</v>
      </c>
      <c r="D159" t="s">
        <v>512</v>
      </c>
      <c r="E159" t="s">
        <v>580</v>
      </c>
      <c r="F159" t="s">
        <v>39</v>
      </c>
      <c r="G159" t="s">
        <v>558</v>
      </c>
      <c r="H159">
        <v>1.19</v>
      </c>
      <c r="I159" s="6" t="str">
        <f>_xlfn.CONCAT("Art. złączny do produktu ",Tabela10[[#This Row],[KOD_PRODUKTU]])</f>
        <v>Art. złączny do produktu 404F45</v>
      </c>
      <c r="J159" s="6" t="str">
        <f>_xlfn.CONCAT("VE-",Tabela10[[#This Row],[KOD_PRODUKTU]])</f>
        <v>VE-404F45</v>
      </c>
    </row>
    <row r="160" spans="1:10" x14ac:dyDescent="0.25">
      <c r="A160" s="7" t="s">
        <v>611</v>
      </c>
      <c r="B160" s="6" t="s">
        <v>612</v>
      </c>
      <c r="C160" s="7" t="s">
        <v>581</v>
      </c>
      <c r="D160" s="6" t="s">
        <v>582</v>
      </c>
      <c r="E160" s="6" t="s">
        <v>216</v>
      </c>
      <c r="F160" s="6" t="s">
        <v>5</v>
      </c>
      <c r="G160" s="6" t="s">
        <v>614</v>
      </c>
      <c r="H160" s="6">
        <v>0.28999999999999998</v>
      </c>
      <c r="I160" s="6" t="str">
        <f>_xlfn.CONCAT("Art. złączny do produktu ",Tabela10[[#This Row],[KOD_PRODUKTU]])</f>
        <v>Art. złączny do produktu 404F45</v>
      </c>
      <c r="J160" s="6" t="str">
        <f>_xlfn.CONCAT("VE-",Tabela10[[#This Row],[KOD_PRODUKTU]])</f>
        <v>VE-404F45</v>
      </c>
    </row>
    <row r="161" spans="1:10" x14ac:dyDescent="0.25">
      <c r="A161" s="1" t="s">
        <v>611</v>
      </c>
      <c r="B161" t="s">
        <v>612</v>
      </c>
      <c r="C161" s="1" t="s">
        <v>584</v>
      </c>
      <c r="D161" t="s">
        <v>585</v>
      </c>
      <c r="E161" t="s">
        <v>191</v>
      </c>
      <c r="F161" t="s">
        <v>5</v>
      </c>
      <c r="G161" t="s">
        <v>586</v>
      </c>
      <c r="H161">
        <v>0.13</v>
      </c>
      <c r="I161" s="6" t="str">
        <f>_xlfn.CONCAT("Art. złączny do produktu ",Tabela10[[#This Row],[KOD_PRODUKTU]])</f>
        <v>Art. złączny do produktu 404F45</v>
      </c>
      <c r="J161" s="6" t="str">
        <f>_xlfn.CONCAT("VE-",Tabela10[[#This Row],[KOD_PRODUKTU]])</f>
        <v>VE-404F45</v>
      </c>
    </row>
    <row r="162" spans="1:10" x14ac:dyDescent="0.25">
      <c r="A162" s="7" t="s">
        <v>611</v>
      </c>
      <c r="B162" s="6" t="s">
        <v>612</v>
      </c>
      <c r="C162" s="7" t="s">
        <v>587</v>
      </c>
      <c r="D162" s="6" t="s">
        <v>588</v>
      </c>
      <c r="E162" s="6" t="s">
        <v>589</v>
      </c>
      <c r="F162" s="6" t="s">
        <v>5</v>
      </c>
      <c r="G162" s="6" t="s">
        <v>590</v>
      </c>
      <c r="H162" s="6">
        <v>0.13</v>
      </c>
      <c r="I162" s="6" t="str">
        <f>_xlfn.CONCAT("Art. złączny do produktu ",Tabela10[[#This Row],[KOD_PRODUKTU]])</f>
        <v>Art. złączny do produktu 404F45</v>
      </c>
      <c r="J162" s="6" t="str">
        <f>_xlfn.CONCAT("VE-",Tabela10[[#This Row],[KOD_PRODUKTU]])</f>
        <v>VE-404F45</v>
      </c>
    </row>
    <row r="163" spans="1:10" x14ac:dyDescent="0.25">
      <c r="A163" s="1" t="s">
        <v>611</v>
      </c>
      <c r="B163" t="s">
        <v>612</v>
      </c>
      <c r="C163" s="1" t="s">
        <v>41</v>
      </c>
      <c r="D163" t="s">
        <v>42</v>
      </c>
      <c r="E163" t="s">
        <v>513</v>
      </c>
      <c r="F163" t="s">
        <v>5</v>
      </c>
      <c r="G163" t="s">
        <v>615</v>
      </c>
      <c r="H163">
        <v>0.02</v>
      </c>
      <c r="I163" s="6" t="str">
        <f>_xlfn.CONCAT("Art. złączny do produktu ",Tabela10[[#This Row],[KOD_PRODUKTU]])</f>
        <v>Art. złączny do produktu 404F45</v>
      </c>
      <c r="J163" s="6" t="str">
        <f>_xlfn.CONCAT("VE-",Tabela10[[#This Row],[KOD_PRODUKTU]])</f>
        <v>VE-404F45</v>
      </c>
    </row>
    <row r="164" spans="1:10" x14ac:dyDescent="0.25">
      <c r="A164" s="7" t="s">
        <v>611</v>
      </c>
      <c r="B164" s="6" t="s">
        <v>612</v>
      </c>
      <c r="C164" s="7" t="s">
        <v>517</v>
      </c>
      <c r="D164" s="6" t="s">
        <v>518</v>
      </c>
      <c r="E164" s="6" t="s">
        <v>519</v>
      </c>
      <c r="F164" s="6" t="s">
        <v>121</v>
      </c>
      <c r="G164" s="6" t="s">
        <v>122</v>
      </c>
      <c r="H164" s="6">
        <v>22.2</v>
      </c>
      <c r="I164" s="6" t="str">
        <f>_xlfn.CONCAT("Art. złączny do produktu ",Tabela10[[#This Row],[KOD_PRODUKTU]])</f>
        <v>Art. złączny do produktu 404F45</v>
      </c>
      <c r="J164" s="6" t="str">
        <f>_xlfn.CONCAT("VE-",Tabela10[[#This Row],[KOD_PRODUKTU]])</f>
        <v>VE-404F45</v>
      </c>
    </row>
    <row r="165" spans="1:10" x14ac:dyDescent="0.25">
      <c r="A165" s="1" t="s">
        <v>611</v>
      </c>
      <c r="B165" t="s">
        <v>612</v>
      </c>
      <c r="C165" s="1" t="s">
        <v>499</v>
      </c>
      <c r="D165" t="s">
        <v>500</v>
      </c>
      <c r="E165" t="s">
        <v>501</v>
      </c>
      <c r="F165" t="s">
        <v>121</v>
      </c>
      <c r="G165" t="s">
        <v>92</v>
      </c>
      <c r="H165">
        <v>9</v>
      </c>
      <c r="I165" s="6" t="str">
        <f>_xlfn.CONCAT("Art. złączny do produktu ",Tabela10[[#This Row],[KOD_PRODUKTU]])</f>
        <v>Art. złączny do produktu 404F45</v>
      </c>
      <c r="J165" s="6" t="str">
        <f>_xlfn.CONCAT("VE-",Tabela10[[#This Row],[KOD_PRODUKTU]])</f>
        <v>VE-404F45</v>
      </c>
    </row>
    <row r="166" spans="1:10" x14ac:dyDescent="0.25">
      <c r="A166" s="7" t="s">
        <v>611</v>
      </c>
      <c r="B166" s="6" t="s">
        <v>612</v>
      </c>
      <c r="C166" s="7" t="s">
        <v>592</v>
      </c>
      <c r="D166" s="6" t="s">
        <v>593</v>
      </c>
      <c r="E166" s="6" t="s">
        <v>157</v>
      </c>
      <c r="F166" s="6" t="s">
        <v>49</v>
      </c>
      <c r="G166" s="6" t="s">
        <v>50</v>
      </c>
      <c r="H166" s="6">
        <v>2.4500000000000002</v>
      </c>
      <c r="I166" s="6" t="str">
        <f>_xlfn.CONCAT("Art. złączny do produktu ",Tabela10[[#This Row],[KOD_PRODUKTU]])</f>
        <v>Art. złączny do produktu 404F45</v>
      </c>
      <c r="J166" s="6" t="str">
        <f>_xlfn.CONCAT("VE-",Tabela10[[#This Row],[KOD_PRODUKTU]])</f>
        <v>VE-404F45</v>
      </c>
    </row>
    <row r="167" spans="1:10" x14ac:dyDescent="0.25">
      <c r="A167" s="1" t="s">
        <v>611</v>
      </c>
      <c r="B167" t="s">
        <v>612</v>
      </c>
      <c r="C167" s="1" t="s">
        <v>541</v>
      </c>
      <c r="D167" t="s">
        <v>542</v>
      </c>
      <c r="E167" t="s">
        <v>9</v>
      </c>
      <c r="F167" t="s">
        <v>10</v>
      </c>
      <c r="G167" t="s">
        <v>616</v>
      </c>
      <c r="H167">
        <v>9.32</v>
      </c>
      <c r="I167" s="6" t="str">
        <f>_xlfn.CONCAT("Art. złączny do produktu ",Tabela10[[#This Row],[KOD_PRODUKTU]])</f>
        <v>Art. złączny do produktu 404F45</v>
      </c>
      <c r="J167" s="6" t="str">
        <f>_xlfn.CONCAT("VE-",Tabela10[[#This Row],[KOD_PRODUKTU]])</f>
        <v>VE-404F45</v>
      </c>
    </row>
    <row r="168" spans="1:10" x14ac:dyDescent="0.25">
      <c r="A168" s="7" t="s">
        <v>617</v>
      </c>
      <c r="B168" s="6" t="s">
        <v>618</v>
      </c>
      <c r="C168" s="7" t="s">
        <v>507</v>
      </c>
      <c r="D168" s="6" t="s">
        <v>508</v>
      </c>
      <c r="E168" s="6" t="s">
        <v>578</v>
      </c>
      <c r="F168" s="6" t="s">
        <v>5</v>
      </c>
      <c r="G168" s="6" t="s">
        <v>619</v>
      </c>
      <c r="H168" s="6">
        <v>14.92</v>
      </c>
      <c r="I168" s="6" t="str">
        <f>_xlfn.CONCAT("Art. złączny do produktu ",Tabela10[[#This Row],[KOD_PRODUKTU]])</f>
        <v>Art. złączny do produktu 404F46</v>
      </c>
      <c r="J168" s="6" t="str">
        <f>_xlfn.CONCAT("VE-",Tabela10[[#This Row],[KOD_PRODUKTU]])</f>
        <v>VE-404F46</v>
      </c>
    </row>
    <row r="169" spans="1:10" x14ac:dyDescent="0.25">
      <c r="A169" s="1" t="s">
        <v>617</v>
      </c>
      <c r="B169" t="s">
        <v>618</v>
      </c>
      <c r="C169" s="1" t="s">
        <v>511</v>
      </c>
      <c r="D169" t="s">
        <v>512</v>
      </c>
      <c r="E169" t="s">
        <v>580</v>
      </c>
      <c r="F169" t="s">
        <v>39</v>
      </c>
      <c r="G169" t="s">
        <v>558</v>
      </c>
      <c r="H169">
        <v>1.19</v>
      </c>
      <c r="I169" s="6" t="str">
        <f>_xlfn.CONCAT("Art. złączny do produktu ",Tabela10[[#This Row],[KOD_PRODUKTU]])</f>
        <v>Art. złączny do produktu 404F46</v>
      </c>
      <c r="J169" s="6" t="str">
        <f>_xlfn.CONCAT("VE-",Tabela10[[#This Row],[KOD_PRODUKTU]])</f>
        <v>VE-404F46</v>
      </c>
    </row>
    <row r="170" spans="1:10" x14ac:dyDescent="0.25">
      <c r="A170" s="7" t="s">
        <v>617</v>
      </c>
      <c r="B170" s="6" t="s">
        <v>618</v>
      </c>
      <c r="C170" s="7" t="s">
        <v>41</v>
      </c>
      <c r="D170" s="6" t="s">
        <v>42</v>
      </c>
      <c r="E170" s="6" t="s">
        <v>513</v>
      </c>
      <c r="F170" s="6" t="s">
        <v>5</v>
      </c>
      <c r="G170" s="6" t="s">
        <v>598</v>
      </c>
      <c r="H170" s="6">
        <v>0.04</v>
      </c>
      <c r="I170" s="6" t="str">
        <f>_xlfn.CONCAT("Art. złączny do produktu ",Tabela10[[#This Row],[KOD_PRODUKTU]])</f>
        <v>Art. złączny do produktu 404F46</v>
      </c>
      <c r="J170" s="6" t="str">
        <f>_xlfn.CONCAT("VE-",Tabela10[[#This Row],[KOD_PRODUKTU]])</f>
        <v>VE-404F46</v>
      </c>
    </row>
    <row r="171" spans="1:10" x14ac:dyDescent="0.25">
      <c r="A171" s="1" t="s">
        <v>617</v>
      </c>
      <c r="B171" t="s">
        <v>618</v>
      </c>
      <c r="C171" s="1" t="s">
        <v>517</v>
      </c>
      <c r="D171" t="s">
        <v>518</v>
      </c>
      <c r="E171" t="s">
        <v>519</v>
      </c>
      <c r="F171" t="s">
        <v>121</v>
      </c>
      <c r="G171" t="s">
        <v>92</v>
      </c>
      <c r="H171">
        <v>11.1</v>
      </c>
      <c r="I171" s="6" t="str">
        <f>_xlfn.CONCAT("Art. złączny do produktu ",Tabela10[[#This Row],[KOD_PRODUKTU]])</f>
        <v>Art. złączny do produktu 404F46</v>
      </c>
      <c r="J171" s="6" t="str">
        <f>_xlfn.CONCAT("VE-",Tabela10[[#This Row],[KOD_PRODUKTU]])</f>
        <v>VE-404F46</v>
      </c>
    </row>
    <row r="172" spans="1:10" x14ac:dyDescent="0.25">
      <c r="A172" s="7" t="s">
        <v>617</v>
      </c>
      <c r="B172" s="6" t="s">
        <v>618</v>
      </c>
      <c r="C172" s="7" t="s">
        <v>520</v>
      </c>
      <c r="D172" s="6" t="s">
        <v>521</v>
      </c>
      <c r="E172" s="6" t="s">
        <v>522</v>
      </c>
      <c r="F172" s="6" t="s">
        <v>121</v>
      </c>
      <c r="G172" s="6" t="s">
        <v>92</v>
      </c>
      <c r="H172" s="6">
        <v>6.9</v>
      </c>
      <c r="I172" s="6" t="str">
        <f>_xlfn.CONCAT("Art. złączny do produktu ",Tabela10[[#This Row],[KOD_PRODUKTU]])</f>
        <v>Art. złączny do produktu 404F46</v>
      </c>
      <c r="J172" s="6" t="str">
        <f>_xlfn.CONCAT("VE-",Tabela10[[#This Row],[KOD_PRODUKTU]])</f>
        <v>VE-404F46</v>
      </c>
    </row>
    <row r="173" spans="1:10" x14ac:dyDescent="0.25">
      <c r="A173" s="1" t="s">
        <v>617</v>
      </c>
      <c r="B173" t="s">
        <v>618</v>
      </c>
      <c r="C173" s="1" t="s">
        <v>599</v>
      </c>
      <c r="D173" t="s">
        <v>600</v>
      </c>
      <c r="E173" t="s">
        <v>157</v>
      </c>
      <c r="F173" t="s">
        <v>49</v>
      </c>
      <c r="G173" t="s">
        <v>92</v>
      </c>
      <c r="H173">
        <v>4.9000000000000004</v>
      </c>
      <c r="I173" s="6" t="str">
        <f>_xlfn.CONCAT("Art. złączny do produktu ",Tabela10[[#This Row],[KOD_PRODUKTU]])</f>
        <v>Art. złączny do produktu 404F46</v>
      </c>
      <c r="J173" s="6" t="str">
        <f>_xlfn.CONCAT("VE-",Tabela10[[#This Row],[KOD_PRODUKTU]])</f>
        <v>VE-404F46</v>
      </c>
    </row>
    <row r="174" spans="1:10" x14ac:dyDescent="0.25">
      <c r="A174" s="7" t="s">
        <v>617</v>
      </c>
      <c r="B174" s="6" t="s">
        <v>618</v>
      </c>
      <c r="C174" s="7" t="s">
        <v>541</v>
      </c>
      <c r="D174" s="6" t="s">
        <v>542</v>
      </c>
      <c r="E174" s="6" t="s">
        <v>9</v>
      </c>
      <c r="F174" s="6" t="s">
        <v>10</v>
      </c>
      <c r="G174" s="6" t="s">
        <v>601</v>
      </c>
      <c r="H174" s="6">
        <v>6.9</v>
      </c>
      <c r="I174" s="6" t="str">
        <f>_xlfn.CONCAT("Art. złączny do produktu ",Tabela10[[#This Row],[KOD_PRODUKTU]])</f>
        <v>Art. złączny do produktu 404F46</v>
      </c>
      <c r="J174" s="6" t="str">
        <f>_xlfn.CONCAT("VE-",Tabela10[[#This Row],[KOD_PRODUKTU]])</f>
        <v>VE-404F46</v>
      </c>
    </row>
    <row r="175" spans="1:10" x14ac:dyDescent="0.25">
      <c r="A175" s="1" t="s">
        <v>620</v>
      </c>
      <c r="B175" t="s">
        <v>621</v>
      </c>
      <c r="C175" s="1" t="s">
        <v>471</v>
      </c>
      <c r="D175" t="s">
        <v>472</v>
      </c>
      <c r="E175" t="s">
        <v>578</v>
      </c>
      <c r="F175" t="s">
        <v>5</v>
      </c>
      <c r="G175" t="s">
        <v>622</v>
      </c>
      <c r="H175">
        <v>24.25</v>
      </c>
      <c r="I175" s="6" t="str">
        <f>_xlfn.CONCAT("Art. złączny do produktu ",Tabela10[[#This Row],[KOD_PRODUKTU]])</f>
        <v>Art. złączny do produktu 404F47</v>
      </c>
      <c r="J175" s="6" t="str">
        <f>_xlfn.CONCAT("VE-",Tabela10[[#This Row],[KOD_PRODUKTU]])</f>
        <v>VE-404F47</v>
      </c>
    </row>
    <row r="176" spans="1:10" x14ac:dyDescent="0.25">
      <c r="A176" s="7" t="s">
        <v>620</v>
      </c>
      <c r="B176" s="6" t="s">
        <v>621</v>
      </c>
      <c r="C176" s="7" t="s">
        <v>511</v>
      </c>
      <c r="D176" s="6" t="s">
        <v>512</v>
      </c>
      <c r="E176" s="6" t="s">
        <v>580</v>
      </c>
      <c r="F176" s="6" t="s">
        <v>39</v>
      </c>
      <c r="G176" s="6" t="s">
        <v>558</v>
      </c>
      <c r="H176" s="6">
        <v>1.19</v>
      </c>
      <c r="I176" s="6" t="str">
        <f>_xlfn.CONCAT("Art. złączny do produktu ",Tabela10[[#This Row],[KOD_PRODUKTU]])</f>
        <v>Art. złączny do produktu 404F47</v>
      </c>
      <c r="J176" s="6" t="str">
        <f>_xlfn.CONCAT("VE-",Tabela10[[#This Row],[KOD_PRODUKTU]])</f>
        <v>VE-404F47</v>
      </c>
    </row>
    <row r="177" spans="1:10" x14ac:dyDescent="0.25">
      <c r="A177" s="1" t="s">
        <v>620</v>
      </c>
      <c r="B177" t="s">
        <v>621</v>
      </c>
      <c r="C177" s="1" t="s">
        <v>623</v>
      </c>
      <c r="D177" t="s">
        <v>624</v>
      </c>
      <c r="E177" t="s">
        <v>589</v>
      </c>
      <c r="F177" t="s">
        <v>5</v>
      </c>
      <c r="G177" t="s">
        <v>625</v>
      </c>
      <c r="H177">
        <v>0.27</v>
      </c>
      <c r="I177" s="6" t="str">
        <f>_xlfn.CONCAT("Art. złączny do produktu ",Tabela10[[#This Row],[KOD_PRODUKTU]])</f>
        <v>Art. złączny do produktu 404F47</v>
      </c>
      <c r="J177" s="6" t="str">
        <f>_xlfn.CONCAT("VE-",Tabela10[[#This Row],[KOD_PRODUKTU]])</f>
        <v>VE-404F47</v>
      </c>
    </row>
    <row r="178" spans="1:10" x14ac:dyDescent="0.25">
      <c r="A178" s="7" t="s">
        <v>620</v>
      </c>
      <c r="B178" s="6" t="s">
        <v>621</v>
      </c>
      <c r="C178" s="7" t="s">
        <v>479</v>
      </c>
      <c r="D178" s="6" t="s">
        <v>480</v>
      </c>
      <c r="E178" s="6" t="s">
        <v>626</v>
      </c>
      <c r="F178" s="6" t="s">
        <v>5</v>
      </c>
      <c r="G178" s="6" t="s">
        <v>627</v>
      </c>
      <c r="H178" s="6">
        <v>7.0000000000000007E-2</v>
      </c>
      <c r="I178" s="6" t="str">
        <f>_xlfn.CONCAT("Art. złączny do produktu ",Tabela10[[#This Row],[KOD_PRODUKTU]])</f>
        <v>Art. złączny do produktu 404F47</v>
      </c>
      <c r="J178" s="6" t="str">
        <f>_xlfn.CONCAT("VE-",Tabela10[[#This Row],[KOD_PRODUKTU]])</f>
        <v>VE-404F47</v>
      </c>
    </row>
    <row r="179" spans="1:10" x14ac:dyDescent="0.25">
      <c r="A179" s="1" t="s">
        <v>620</v>
      </c>
      <c r="B179" t="s">
        <v>621</v>
      </c>
      <c r="C179" s="1" t="s">
        <v>628</v>
      </c>
      <c r="D179" t="s">
        <v>629</v>
      </c>
      <c r="E179" t="s">
        <v>630</v>
      </c>
      <c r="F179" t="s">
        <v>5</v>
      </c>
      <c r="G179" t="s">
        <v>631</v>
      </c>
      <c r="H179">
        <v>0.03</v>
      </c>
      <c r="I179" s="6" t="str">
        <f>_xlfn.CONCAT("Art. złączny do produktu ",Tabela10[[#This Row],[KOD_PRODUKTU]])</f>
        <v>Art. złączny do produktu 404F47</v>
      </c>
      <c r="J179" s="6" t="str">
        <f>_xlfn.CONCAT("VE-",Tabela10[[#This Row],[KOD_PRODUKTU]])</f>
        <v>VE-404F47</v>
      </c>
    </row>
    <row r="180" spans="1:10" x14ac:dyDescent="0.25">
      <c r="A180" s="7" t="s">
        <v>620</v>
      </c>
      <c r="B180" s="6" t="s">
        <v>621</v>
      </c>
      <c r="C180" s="7" t="s">
        <v>41</v>
      </c>
      <c r="D180" s="6" t="s">
        <v>42</v>
      </c>
      <c r="E180" s="6" t="s">
        <v>513</v>
      </c>
      <c r="F180" s="6" t="s">
        <v>5</v>
      </c>
      <c r="G180" s="6" t="s">
        <v>591</v>
      </c>
      <c r="H180" s="6">
        <v>7.0000000000000007E-2</v>
      </c>
      <c r="I180" s="6" t="str">
        <f>_xlfn.CONCAT("Art. złączny do produktu ",Tabela10[[#This Row],[KOD_PRODUKTU]])</f>
        <v>Art. złączny do produktu 404F47</v>
      </c>
      <c r="J180" s="6" t="str">
        <f>_xlfn.CONCAT("VE-",Tabela10[[#This Row],[KOD_PRODUKTU]])</f>
        <v>VE-404F47</v>
      </c>
    </row>
    <row r="181" spans="1:10" x14ac:dyDescent="0.25">
      <c r="A181" s="1" t="s">
        <v>620</v>
      </c>
      <c r="B181" t="s">
        <v>621</v>
      </c>
      <c r="C181" s="1" t="s">
        <v>517</v>
      </c>
      <c r="D181" t="s">
        <v>518</v>
      </c>
      <c r="E181" t="s">
        <v>519</v>
      </c>
      <c r="F181" t="s">
        <v>121</v>
      </c>
      <c r="G181" t="s">
        <v>122</v>
      </c>
      <c r="H181">
        <v>22.2</v>
      </c>
      <c r="I181" s="6" t="str">
        <f>_xlfn.CONCAT("Art. złączny do produktu ",Tabela10[[#This Row],[KOD_PRODUKTU]])</f>
        <v>Art. złączny do produktu 404F47</v>
      </c>
      <c r="J181" s="6" t="str">
        <f>_xlfn.CONCAT("VE-",Tabela10[[#This Row],[KOD_PRODUKTU]])</f>
        <v>VE-404F47</v>
      </c>
    </row>
    <row r="182" spans="1:10" x14ac:dyDescent="0.25">
      <c r="A182" s="7" t="s">
        <v>620</v>
      </c>
      <c r="B182" s="6" t="s">
        <v>621</v>
      </c>
      <c r="C182" s="7" t="s">
        <v>499</v>
      </c>
      <c r="D182" s="6" t="s">
        <v>500</v>
      </c>
      <c r="E182" s="6" t="s">
        <v>501</v>
      </c>
      <c r="F182" s="6" t="s">
        <v>121</v>
      </c>
      <c r="G182" s="6" t="s">
        <v>92</v>
      </c>
      <c r="H182" s="6">
        <v>9</v>
      </c>
      <c r="I182" s="6" t="str">
        <f>_xlfn.CONCAT("Art. złączny do produktu ",Tabela10[[#This Row],[KOD_PRODUKTU]])</f>
        <v>Art. złączny do produktu 404F47</v>
      </c>
      <c r="J182" s="6" t="str">
        <f>_xlfn.CONCAT("VE-",Tabela10[[#This Row],[KOD_PRODUKTU]])</f>
        <v>VE-404F47</v>
      </c>
    </row>
    <row r="183" spans="1:10" x14ac:dyDescent="0.25">
      <c r="A183" s="1" t="s">
        <v>620</v>
      </c>
      <c r="B183" t="s">
        <v>621</v>
      </c>
      <c r="C183" s="1" t="s">
        <v>632</v>
      </c>
      <c r="D183" t="s">
        <v>633</v>
      </c>
      <c r="E183" t="s">
        <v>634</v>
      </c>
      <c r="F183" t="s">
        <v>49</v>
      </c>
      <c r="G183" t="s">
        <v>50</v>
      </c>
      <c r="H183">
        <v>2.2999999999999998</v>
      </c>
      <c r="I183" s="6" t="str">
        <f>_xlfn.CONCAT("Art. złączny do produktu ",Tabela10[[#This Row],[KOD_PRODUKTU]])</f>
        <v>Art. złączny do produktu 404F47</v>
      </c>
      <c r="J183" s="6" t="str">
        <f>_xlfn.CONCAT("VE-",Tabela10[[#This Row],[KOD_PRODUKTU]])</f>
        <v>VE-404F47</v>
      </c>
    </row>
    <row r="184" spans="1:10" x14ac:dyDescent="0.25">
      <c r="A184" s="7" t="s">
        <v>620</v>
      </c>
      <c r="B184" s="6" t="s">
        <v>621</v>
      </c>
      <c r="C184" s="7" t="s">
        <v>541</v>
      </c>
      <c r="D184" s="6" t="s">
        <v>542</v>
      </c>
      <c r="E184" s="6" t="s">
        <v>9</v>
      </c>
      <c r="F184" s="6" t="s">
        <v>10</v>
      </c>
      <c r="G184" s="6" t="s">
        <v>635</v>
      </c>
      <c r="H184" s="6">
        <v>6.61</v>
      </c>
      <c r="I184" s="6" t="str">
        <f>_xlfn.CONCAT("Art. złączny do produktu ",Tabela10[[#This Row],[KOD_PRODUKTU]])</f>
        <v>Art. złączny do produktu 404F47</v>
      </c>
      <c r="J184" s="6" t="str">
        <f>_xlfn.CONCAT("VE-",Tabela10[[#This Row],[KOD_PRODUKTU]])</f>
        <v>VE-404F47</v>
      </c>
    </row>
    <row r="185" spans="1:10" x14ac:dyDescent="0.25">
      <c r="A185" s="1" t="s">
        <v>636</v>
      </c>
      <c r="B185" t="s">
        <v>637</v>
      </c>
      <c r="C185" s="1" t="s">
        <v>507</v>
      </c>
      <c r="D185" t="s">
        <v>508</v>
      </c>
      <c r="E185" t="s">
        <v>578</v>
      </c>
      <c r="F185" t="s">
        <v>5</v>
      </c>
      <c r="G185" t="s">
        <v>638</v>
      </c>
      <c r="H185">
        <v>7.25</v>
      </c>
      <c r="I185" s="6" t="str">
        <f>_xlfn.CONCAT("Art. złączny do produktu ",Tabela10[[#This Row],[KOD_PRODUKTU]])</f>
        <v>Art. złączny do produktu 404F48</v>
      </c>
      <c r="J185" s="6" t="str">
        <f>_xlfn.CONCAT("VE-",Tabela10[[#This Row],[KOD_PRODUKTU]])</f>
        <v>VE-404F48</v>
      </c>
    </row>
    <row r="186" spans="1:10" x14ac:dyDescent="0.25">
      <c r="A186" s="7" t="s">
        <v>636</v>
      </c>
      <c r="B186" s="6" t="s">
        <v>637</v>
      </c>
      <c r="C186" s="7" t="s">
        <v>511</v>
      </c>
      <c r="D186" s="6" t="s">
        <v>512</v>
      </c>
      <c r="E186" s="6" t="s">
        <v>580</v>
      </c>
      <c r="F186" s="6" t="s">
        <v>39</v>
      </c>
      <c r="G186" s="6" t="s">
        <v>558</v>
      </c>
      <c r="H186" s="6">
        <v>1.19</v>
      </c>
      <c r="I186" s="6" t="str">
        <f>_xlfn.CONCAT("Art. złączny do produktu ",Tabela10[[#This Row],[KOD_PRODUKTU]])</f>
        <v>Art. złączny do produktu 404F48</v>
      </c>
      <c r="J186" s="6" t="str">
        <f>_xlfn.CONCAT("VE-",Tabela10[[#This Row],[KOD_PRODUKTU]])</f>
        <v>VE-404F48</v>
      </c>
    </row>
    <row r="187" spans="1:10" x14ac:dyDescent="0.25">
      <c r="A187" s="1" t="s">
        <v>636</v>
      </c>
      <c r="B187" t="s">
        <v>637</v>
      </c>
      <c r="C187" s="1" t="s">
        <v>517</v>
      </c>
      <c r="D187" t="s">
        <v>518</v>
      </c>
      <c r="E187" t="s">
        <v>519</v>
      </c>
      <c r="F187" t="s">
        <v>121</v>
      </c>
      <c r="G187" t="s">
        <v>92</v>
      </c>
      <c r="H187">
        <v>11.1</v>
      </c>
      <c r="I187" s="6" t="str">
        <f>_xlfn.CONCAT("Art. złączny do produktu ",Tabela10[[#This Row],[KOD_PRODUKTU]])</f>
        <v>Art. złączny do produktu 404F48</v>
      </c>
      <c r="J187" s="6" t="str">
        <f>_xlfn.CONCAT("VE-",Tabela10[[#This Row],[KOD_PRODUKTU]])</f>
        <v>VE-404F48</v>
      </c>
    </row>
    <row r="188" spans="1:10" x14ac:dyDescent="0.25">
      <c r="A188" s="7" t="s">
        <v>636</v>
      </c>
      <c r="B188" s="6" t="s">
        <v>637</v>
      </c>
      <c r="C188" s="7" t="s">
        <v>520</v>
      </c>
      <c r="D188" s="6" t="s">
        <v>521</v>
      </c>
      <c r="E188" s="6" t="s">
        <v>522</v>
      </c>
      <c r="F188" s="6" t="s">
        <v>121</v>
      </c>
      <c r="G188" s="6" t="s">
        <v>92</v>
      </c>
      <c r="H188" s="6">
        <v>6.9</v>
      </c>
      <c r="I188" s="6" t="str">
        <f>_xlfn.CONCAT("Art. złączny do produktu ",Tabela10[[#This Row],[KOD_PRODUKTU]])</f>
        <v>Art. złączny do produktu 404F48</v>
      </c>
      <c r="J188" s="6" t="str">
        <f>_xlfn.CONCAT("VE-",Tabela10[[#This Row],[KOD_PRODUKTU]])</f>
        <v>VE-404F48</v>
      </c>
    </row>
    <row r="189" spans="1:10" x14ac:dyDescent="0.25">
      <c r="A189" s="1" t="s">
        <v>636</v>
      </c>
      <c r="B189" t="s">
        <v>637</v>
      </c>
      <c r="C189" s="1" t="s">
        <v>599</v>
      </c>
      <c r="D189" t="s">
        <v>600</v>
      </c>
      <c r="E189" t="s">
        <v>157</v>
      </c>
      <c r="F189" t="s">
        <v>49</v>
      </c>
      <c r="G189" t="s">
        <v>92</v>
      </c>
      <c r="H189">
        <v>4.9000000000000004</v>
      </c>
      <c r="I189" s="6" t="str">
        <f>_xlfn.CONCAT("Art. złączny do produktu ",Tabela10[[#This Row],[KOD_PRODUKTU]])</f>
        <v>Art. złączny do produktu 404F48</v>
      </c>
      <c r="J189" s="6" t="str">
        <f>_xlfn.CONCAT("VE-",Tabela10[[#This Row],[KOD_PRODUKTU]])</f>
        <v>VE-404F48</v>
      </c>
    </row>
    <row r="190" spans="1:10" x14ac:dyDescent="0.25">
      <c r="A190" s="7" t="s">
        <v>636</v>
      </c>
      <c r="B190" s="6" t="s">
        <v>637</v>
      </c>
      <c r="C190" s="7" t="s">
        <v>541</v>
      </c>
      <c r="D190" s="6" t="s">
        <v>542</v>
      </c>
      <c r="E190" s="6" t="s">
        <v>9</v>
      </c>
      <c r="F190" s="6" t="s">
        <v>10</v>
      </c>
      <c r="G190" s="6" t="s">
        <v>639</v>
      </c>
      <c r="H190" s="6">
        <v>5.16</v>
      </c>
      <c r="I190" s="6" t="str">
        <f>_xlfn.CONCAT("Art. złączny do produktu ",Tabela10[[#This Row],[KOD_PRODUKTU]])</f>
        <v>Art. złączny do produktu 404F48</v>
      </c>
      <c r="J190" s="6" t="str">
        <f>_xlfn.CONCAT("VE-",Tabela10[[#This Row],[KOD_PRODUKTU]])</f>
        <v>VE-404F48</v>
      </c>
    </row>
    <row r="191" spans="1:10" x14ac:dyDescent="0.25">
      <c r="A191" s="1" t="s">
        <v>640</v>
      </c>
      <c r="B191" t="s">
        <v>641</v>
      </c>
      <c r="C191" s="1" t="s">
        <v>471</v>
      </c>
      <c r="D191" t="s">
        <v>472</v>
      </c>
      <c r="E191" t="s">
        <v>578</v>
      </c>
      <c r="F191" t="s">
        <v>5</v>
      </c>
      <c r="G191" t="s">
        <v>642</v>
      </c>
      <c r="H191">
        <v>36.11</v>
      </c>
      <c r="I191" s="6" t="str">
        <f>_xlfn.CONCAT("Art. złączny do produktu ",Tabela10[[#This Row],[KOD_PRODUKTU]])</f>
        <v>Art. złączny do produktu 404F49</v>
      </c>
      <c r="J191" s="6" t="str">
        <f>_xlfn.CONCAT("VE-",Tabela10[[#This Row],[KOD_PRODUKTU]])</f>
        <v>VE-404F49</v>
      </c>
    </row>
    <row r="192" spans="1:10" x14ac:dyDescent="0.25">
      <c r="A192" s="7" t="s">
        <v>640</v>
      </c>
      <c r="B192" s="6" t="s">
        <v>641</v>
      </c>
      <c r="C192" s="7" t="s">
        <v>511</v>
      </c>
      <c r="D192" s="6" t="s">
        <v>512</v>
      </c>
      <c r="E192" s="6" t="s">
        <v>580</v>
      </c>
      <c r="F192" s="6" t="s">
        <v>39</v>
      </c>
      <c r="G192" s="6" t="s">
        <v>558</v>
      </c>
      <c r="H192" s="6">
        <v>1.19</v>
      </c>
      <c r="I192" s="6" t="str">
        <f>_xlfn.CONCAT("Art. złączny do produktu ",Tabela10[[#This Row],[KOD_PRODUKTU]])</f>
        <v>Art. złączny do produktu 404F49</v>
      </c>
      <c r="J192" s="6" t="str">
        <f>_xlfn.CONCAT("VE-",Tabela10[[#This Row],[KOD_PRODUKTU]])</f>
        <v>VE-404F49</v>
      </c>
    </row>
    <row r="193" spans="1:10" x14ac:dyDescent="0.25">
      <c r="A193" s="1" t="s">
        <v>640</v>
      </c>
      <c r="B193" t="s">
        <v>641</v>
      </c>
      <c r="C193" s="1" t="s">
        <v>623</v>
      </c>
      <c r="D193" t="s">
        <v>624</v>
      </c>
      <c r="E193" t="s">
        <v>589</v>
      </c>
      <c r="F193" t="s">
        <v>5</v>
      </c>
      <c r="G193" t="s">
        <v>625</v>
      </c>
      <c r="H193">
        <v>0.27</v>
      </c>
      <c r="I193" s="6" t="str">
        <f>_xlfn.CONCAT("Art. złączny do produktu ",Tabela10[[#This Row],[KOD_PRODUKTU]])</f>
        <v>Art. złączny do produktu 404F49</v>
      </c>
      <c r="J193" s="6" t="str">
        <f>_xlfn.CONCAT("VE-",Tabela10[[#This Row],[KOD_PRODUKTU]])</f>
        <v>VE-404F49</v>
      </c>
    </row>
    <row r="194" spans="1:10" x14ac:dyDescent="0.25">
      <c r="A194" s="7" t="s">
        <v>640</v>
      </c>
      <c r="B194" s="6" t="s">
        <v>641</v>
      </c>
      <c r="C194" s="7" t="s">
        <v>479</v>
      </c>
      <c r="D194" s="6" t="s">
        <v>480</v>
      </c>
      <c r="E194" s="6" t="s">
        <v>626</v>
      </c>
      <c r="F194" s="6" t="s">
        <v>5</v>
      </c>
      <c r="G194" s="6" t="s">
        <v>627</v>
      </c>
      <c r="H194" s="6">
        <v>7.0000000000000007E-2</v>
      </c>
      <c r="I194" s="6" t="str">
        <f>_xlfn.CONCAT("Art. złączny do produktu ",Tabela10[[#This Row],[KOD_PRODUKTU]])</f>
        <v>Art. złączny do produktu 404F49</v>
      </c>
      <c r="J194" s="6" t="str">
        <f>_xlfn.CONCAT("VE-",Tabela10[[#This Row],[KOD_PRODUKTU]])</f>
        <v>VE-404F49</v>
      </c>
    </row>
    <row r="195" spans="1:10" x14ac:dyDescent="0.25">
      <c r="A195" s="1" t="s">
        <v>640</v>
      </c>
      <c r="B195" t="s">
        <v>641</v>
      </c>
      <c r="C195" s="1" t="s">
        <v>628</v>
      </c>
      <c r="D195" t="s">
        <v>629</v>
      </c>
      <c r="E195" t="s">
        <v>630</v>
      </c>
      <c r="F195" t="s">
        <v>5</v>
      </c>
      <c r="G195" t="s">
        <v>631</v>
      </c>
      <c r="H195">
        <v>0.03</v>
      </c>
      <c r="I195" s="6" t="str">
        <f>_xlfn.CONCAT("Art. złączny do produktu ",Tabela10[[#This Row],[KOD_PRODUKTU]])</f>
        <v>Art. złączny do produktu 404F49</v>
      </c>
      <c r="J195" s="6" t="str">
        <f>_xlfn.CONCAT("VE-",Tabela10[[#This Row],[KOD_PRODUKTU]])</f>
        <v>VE-404F49</v>
      </c>
    </row>
    <row r="196" spans="1:10" x14ac:dyDescent="0.25">
      <c r="A196" s="7" t="s">
        <v>640</v>
      </c>
      <c r="B196" s="6" t="s">
        <v>641</v>
      </c>
      <c r="C196" s="7" t="s">
        <v>41</v>
      </c>
      <c r="D196" s="6" t="s">
        <v>42</v>
      </c>
      <c r="E196" s="6" t="s">
        <v>513</v>
      </c>
      <c r="F196" s="6" t="s">
        <v>5</v>
      </c>
      <c r="G196" s="6" t="s">
        <v>643</v>
      </c>
      <c r="H196" s="6">
        <v>0.02</v>
      </c>
      <c r="I196" s="6" t="str">
        <f>_xlfn.CONCAT("Art. złączny do produktu ",Tabela10[[#This Row],[KOD_PRODUKTU]])</f>
        <v>Art. złączny do produktu 404F49</v>
      </c>
      <c r="J196" s="6" t="str">
        <f>_xlfn.CONCAT("VE-",Tabela10[[#This Row],[KOD_PRODUKTU]])</f>
        <v>VE-404F49</v>
      </c>
    </row>
    <row r="197" spans="1:10" x14ac:dyDescent="0.25">
      <c r="A197" s="1" t="s">
        <v>640</v>
      </c>
      <c r="B197" t="s">
        <v>641</v>
      </c>
      <c r="C197" s="1" t="s">
        <v>517</v>
      </c>
      <c r="D197" t="s">
        <v>518</v>
      </c>
      <c r="E197" t="s">
        <v>519</v>
      </c>
      <c r="F197" t="s">
        <v>121</v>
      </c>
      <c r="G197" t="s">
        <v>122</v>
      </c>
      <c r="H197">
        <v>22.2</v>
      </c>
      <c r="I197" s="6" t="str">
        <f>_xlfn.CONCAT("Art. złączny do produktu ",Tabela10[[#This Row],[KOD_PRODUKTU]])</f>
        <v>Art. złączny do produktu 404F49</v>
      </c>
      <c r="J197" s="6" t="str">
        <f>_xlfn.CONCAT("VE-",Tabela10[[#This Row],[KOD_PRODUKTU]])</f>
        <v>VE-404F49</v>
      </c>
    </row>
    <row r="198" spans="1:10" x14ac:dyDescent="0.25">
      <c r="A198" s="7" t="s">
        <v>640</v>
      </c>
      <c r="B198" s="6" t="s">
        <v>641</v>
      </c>
      <c r="C198" s="7" t="s">
        <v>499</v>
      </c>
      <c r="D198" s="6" t="s">
        <v>500</v>
      </c>
      <c r="E198" s="6" t="s">
        <v>501</v>
      </c>
      <c r="F198" s="6" t="s">
        <v>121</v>
      </c>
      <c r="G198" s="6" t="s">
        <v>92</v>
      </c>
      <c r="H198" s="6">
        <v>9</v>
      </c>
      <c r="I198" s="6" t="str">
        <f>_xlfn.CONCAT("Art. złączny do produktu ",Tabela10[[#This Row],[KOD_PRODUKTU]])</f>
        <v>Art. złączny do produktu 404F49</v>
      </c>
      <c r="J198" s="6" t="str">
        <f>_xlfn.CONCAT("VE-",Tabela10[[#This Row],[KOD_PRODUKTU]])</f>
        <v>VE-404F49</v>
      </c>
    </row>
    <row r="199" spans="1:10" x14ac:dyDescent="0.25">
      <c r="A199" s="1" t="s">
        <v>640</v>
      </c>
      <c r="B199" t="s">
        <v>641</v>
      </c>
      <c r="C199" s="1" t="s">
        <v>632</v>
      </c>
      <c r="D199" t="s">
        <v>633</v>
      </c>
      <c r="E199" t="s">
        <v>634</v>
      </c>
      <c r="F199" t="s">
        <v>49</v>
      </c>
      <c r="G199" t="s">
        <v>50</v>
      </c>
      <c r="H199">
        <v>2.2999999999999998</v>
      </c>
      <c r="I199" s="6" t="str">
        <f>_xlfn.CONCAT("Art. złączny do produktu ",Tabela10[[#This Row],[KOD_PRODUKTU]])</f>
        <v>Art. złączny do produktu 404F49</v>
      </c>
      <c r="J199" s="6" t="str">
        <f>_xlfn.CONCAT("VE-",Tabela10[[#This Row],[KOD_PRODUKTU]])</f>
        <v>VE-404F49</v>
      </c>
    </row>
    <row r="200" spans="1:10" x14ac:dyDescent="0.25">
      <c r="A200" s="7" t="s">
        <v>640</v>
      </c>
      <c r="B200" s="6" t="s">
        <v>641</v>
      </c>
      <c r="C200" s="7" t="s">
        <v>541</v>
      </c>
      <c r="D200" s="6" t="s">
        <v>542</v>
      </c>
      <c r="E200" s="6" t="s">
        <v>9</v>
      </c>
      <c r="F200" s="6" t="s">
        <v>10</v>
      </c>
      <c r="G200" s="6" t="s">
        <v>635</v>
      </c>
      <c r="H200" s="6">
        <v>6.61</v>
      </c>
      <c r="I200" s="6" t="str">
        <f>_xlfn.CONCAT("Art. złączny do produktu ",Tabela10[[#This Row],[KOD_PRODUKTU]])</f>
        <v>Art. złączny do produktu 404F49</v>
      </c>
      <c r="J200" s="6" t="str">
        <f>_xlfn.CONCAT("VE-",Tabela10[[#This Row],[KOD_PRODUKTU]])</f>
        <v>VE-404F49</v>
      </c>
    </row>
    <row r="201" spans="1:10" x14ac:dyDescent="0.25">
      <c r="A201" s="1" t="s">
        <v>644</v>
      </c>
      <c r="B201" t="s">
        <v>645</v>
      </c>
      <c r="C201" s="1" t="s">
        <v>471</v>
      </c>
      <c r="D201" t="s">
        <v>472</v>
      </c>
      <c r="E201" t="s">
        <v>578</v>
      </c>
      <c r="F201" t="s">
        <v>5</v>
      </c>
      <c r="G201" t="s">
        <v>646</v>
      </c>
      <c r="H201">
        <v>44.56</v>
      </c>
      <c r="I201" s="6" t="str">
        <f>_xlfn.CONCAT("Art. złączny do produktu ",Tabela10[[#This Row],[KOD_PRODUKTU]])</f>
        <v>Art. złączny do produktu 404F50</v>
      </c>
      <c r="J201" s="6" t="str">
        <f>_xlfn.CONCAT("VE-",Tabela10[[#This Row],[KOD_PRODUKTU]])</f>
        <v>VE-404F50</v>
      </c>
    </row>
    <row r="202" spans="1:10" x14ac:dyDescent="0.25">
      <c r="A202" s="7" t="s">
        <v>644</v>
      </c>
      <c r="B202" s="6" t="s">
        <v>645</v>
      </c>
      <c r="C202" s="7" t="s">
        <v>511</v>
      </c>
      <c r="D202" s="6" t="s">
        <v>512</v>
      </c>
      <c r="E202" s="6" t="s">
        <v>580</v>
      </c>
      <c r="F202" s="6" t="s">
        <v>39</v>
      </c>
      <c r="G202" s="6" t="s">
        <v>558</v>
      </c>
      <c r="H202" s="6">
        <v>1.19</v>
      </c>
      <c r="I202" s="6" t="str">
        <f>_xlfn.CONCAT("Art. złączny do produktu ",Tabela10[[#This Row],[KOD_PRODUKTU]])</f>
        <v>Art. złączny do produktu 404F50</v>
      </c>
      <c r="J202" s="6" t="str">
        <f>_xlfn.CONCAT("VE-",Tabela10[[#This Row],[KOD_PRODUKTU]])</f>
        <v>VE-404F50</v>
      </c>
    </row>
    <row r="203" spans="1:10" x14ac:dyDescent="0.25">
      <c r="A203" s="1" t="s">
        <v>644</v>
      </c>
      <c r="B203" t="s">
        <v>645</v>
      </c>
      <c r="C203" s="1" t="s">
        <v>623</v>
      </c>
      <c r="D203" t="s">
        <v>624</v>
      </c>
      <c r="E203" t="s">
        <v>589</v>
      </c>
      <c r="F203" t="s">
        <v>5</v>
      </c>
      <c r="G203" t="s">
        <v>625</v>
      </c>
      <c r="H203">
        <v>0.27</v>
      </c>
      <c r="I203" s="6" t="str">
        <f>_xlfn.CONCAT("Art. złączny do produktu ",Tabela10[[#This Row],[KOD_PRODUKTU]])</f>
        <v>Art. złączny do produktu 404F50</v>
      </c>
      <c r="J203" s="6" t="str">
        <f>_xlfn.CONCAT("VE-",Tabela10[[#This Row],[KOD_PRODUKTU]])</f>
        <v>VE-404F50</v>
      </c>
    </row>
    <row r="204" spans="1:10" x14ac:dyDescent="0.25">
      <c r="A204" s="7" t="s">
        <v>644</v>
      </c>
      <c r="B204" s="6" t="s">
        <v>645</v>
      </c>
      <c r="C204" s="7" t="s">
        <v>479</v>
      </c>
      <c r="D204" s="6" t="s">
        <v>480</v>
      </c>
      <c r="E204" s="6" t="s">
        <v>626</v>
      </c>
      <c r="F204" s="6" t="s">
        <v>5</v>
      </c>
      <c r="G204" s="6" t="s">
        <v>627</v>
      </c>
      <c r="H204" s="6">
        <v>7.0000000000000007E-2</v>
      </c>
      <c r="I204" s="6" t="str">
        <f>_xlfn.CONCAT("Art. złączny do produktu ",Tabela10[[#This Row],[KOD_PRODUKTU]])</f>
        <v>Art. złączny do produktu 404F50</v>
      </c>
      <c r="J204" s="6" t="str">
        <f>_xlfn.CONCAT("VE-",Tabela10[[#This Row],[KOD_PRODUKTU]])</f>
        <v>VE-404F50</v>
      </c>
    </row>
    <row r="205" spans="1:10" x14ac:dyDescent="0.25">
      <c r="A205" s="1" t="s">
        <v>644</v>
      </c>
      <c r="B205" t="s">
        <v>645</v>
      </c>
      <c r="C205" s="1" t="s">
        <v>628</v>
      </c>
      <c r="D205" t="s">
        <v>629</v>
      </c>
      <c r="E205" t="s">
        <v>630</v>
      </c>
      <c r="F205" t="s">
        <v>5</v>
      </c>
      <c r="G205" t="s">
        <v>631</v>
      </c>
      <c r="H205">
        <v>0.03</v>
      </c>
      <c r="I205" s="6" t="str">
        <f>_xlfn.CONCAT("Art. złączny do produktu ",Tabela10[[#This Row],[KOD_PRODUKTU]])</f>
        <v>Art. złączny do produktu 404F50</v>
      </c>
      <c r="J205" s="6" t="str">
        <f>_xlfn.CONCAT("VE-",Tabela10[[#This Row],[KOD_PRODUKTU]])</f>
        <v>VE-404F50</v>
      </c>
    </row>
    <row r="206" spans="1:10" x14ac:dyDescent="0.25">
      <c r="A206" s="7" t="s">
        <v>644</v>
      </c>
      <c r="B206" s="6" t="s">
        <v>645</v>
      </c>
      <c r="C206" s="7" t="s">
        <v>41</v>
      </c>
      <c r="D206" s="6" t="s">
        <v>42</v>
      </c>
      <c r="E206" s="6" t="s">
        <v>513</v>
      </c>
      <c r="F206" s="6" t="s">
        <v>5</v>
      </c>
      <c r="G206" s="6" t="s">
        <v>591</v>
      </c>
      <c r="H206" s="6">
        <v>7.0000000000000007E-2</v>
      </c>
      <c r="I206" s="6" t="str">
        <f>_xlfn.CONCAT("Art. złączny do produktu ",Tabela10[[#This Row],[KOD_PRODUKTU]])</f>
        <v>Art. złączny do produktu 404F50</v>
      </c>
      <c r="J206" s="6" t="str">
        <f>_xlfn.CONCAT("VE-",Tabela10[[#This Row],[KOD_PRODUKTU]])</f>
        <v>VE-404F50</v>
      </c>
    </row>
    <row r="207" spans="1:10" x14ac:dyDescent="0.25">
      <c r="A207" s="1" t="s">
        <v>644</v>
      </c>
      <c r="B207" t="s">
        <v>645</v>
      </c>
      <c r="C207" s="1" t="s">
        <v>517</v>
      </c>
      <c r="D207" t="s">
        <v>518</v>
      </c>
      <c r="E207" t="s">
        <v>519</v>
      </c>
      <c r="F207" t="s">
        <v>121</v>
      </c>
      <c r="G207" t="s">
        <v>122</v>
      </c>
      <c r="H207">
        <v>22.2</v>
      </c>
      <c r="I207" s="6" t="str">
        <f>_xlfn.CONCAT("Art. złączny do produktu ",Tabela10[[#This Row],[KOD_PRODUKTU]])</f>
        <v>Art. złączny do produktu 404F50</v>
      </c>
      <c r="J207" s="6" t="str">
        <f>_xlfn.CONCAT("VE-",Tabela10[[#This Row],[KOD_PRODUKTU]])</f>
        <v>VE-404F50</v>
      </c>
    </row>
    <row r="208" spans="1:10" x14ac:dyDescent="0.25">
      <c r="A208" s="7" t="s">
        <v>644</v>
      </c>
      <c r="B208" s="6" t="s">
        <v>645</v>
      </c>
      <c r="C208" s="7" t="s">
        <v>499</v>
      </c>
      <c r="D208" s="6" t="s">
        <v>500</v>
      </c>
      <c r="E208" s="6" t="s">
        <v>501</v>
      </c>
      <c r="F208" s="6" t="s">
        <v>121</v>
      </c>
      <c r="G208" s="6" t="s">
        <v>92</v>
      </c>
      <c r="H208" s="6">
        <v>9</v>
      </c>
      <c r="I208" s="6" t="str">
        <f>_xlfn.CONCAT("Art. złączny do produktu ",Tabela10[[#This Row],[KOD_PRODUKTU]])</f>
        <v>Art. złączny do produktu 404F50</v>
      </c>
      <c r="J208" s="6" t="str">
        <f>_xlfn.CONCAT("VE-",Tabela10[[#This Row],[KOD_PRODUKTU]])</f>
        <v>VE-404F50</v>
      </c>
    </row>
    <row r="209" spans="1:10" x14ac:dyDescent="0.25">
      <c r="A209" s="1" t="s">
        <v>644</v>
      </c>
      <c r="B209" t="s">
        <v>645</v>
      </c>
      <c r="C209" s="1" t="s">
        <v>632</v>
      </c>
      <c r="D209" t="s">
        <v>633</v>
      </c>
      <c r="E209" t="s">
        <v>634</v>
      </c>
      <c r="F209" t="s">
        <v>49</v>
      </c>
      <c r="G209" t="s">
        <v>50</v>
      </c>
      <c r="H209">
        <v>2.2999999999999998</v>
      </c>
      <c r="I209" s="6" t="str">
        <f>_xlfn.CONCAT("Art. złączny do produktu ",Tabela10[[#This Row],[KOD_PRODUKTU]])</f>
        <v>Art. złączny do produktu 404F50</v>
      </c>
      <c r="J209" s="6" t="str">
        <f>_xlfn.CONCAT("VE-",Tabela10[[#This Row],[KOD_PRODUKTU]])</f>
        <v>VE-404F50</v>
      </c>
    </row>
    <row r="210" spans="1:10" x14ac:dyDescent="0.25">
      <c r="A210" s="7" t="s">
        <v>644</v>
      </c>
      <c r="B210" s="6" t="s">
        <v>645</v>
      </c>
      <c r="C210" s="7" t="s">
        <v>541</v>
      </c>
      <c r="D210" s="6" t="s">
        <v>542</v>
      </c>
      <c r="E210" s="6" t="s">
        <v>9</v>
      </c>
      <c r="F210" s="6" t="s">
        <v>10</v>
      </c>
      <c r="G210" s="6" t="s">
        <v>635</v>
      </c>
      <c r="H210" s="6">
        <v>6.61</v>
      </c>
      <c r="I210" s="6" t="str">
        <f>_xlfn.CONCAT("Art. złączny do produktu ",Tabela10[[#This Row],[KOD_PRODUKTU]])</f>
        <v>Art. złączny do produktu 404F50</v>
      </c>
      <c r="J210" s="6" t="str">
        <f>_xlfn.CONCAT("VE-",Tabela10[[#This Row],[KOD_PRODUKTU]])</f>
        <v>VE-404F50</v>
      </c>
    </row>
    <row r="211" spans="1:10" x14ac:dyDescent="0.25">
      <c r="A211" s="1" t="s">
        <v>647</v>
      </c>
      <c r="B211" t="s">
        <v>648</v>
      </c>
      <c r="C211" s="1" t="s">
        <v>649</v>
      </c>
      <c r="D211" t="s">
        <v>650</v>
      </c>
      <c r="E211" t="s">
        <v>651</v>
      </c>
      <c r="F211" t="s">
        <v>39</v>
      </c>
      <c r="G211" t="s">
        <v>652</v>
      </c>
      <c r="H211">
        <v>0.25</v>
      </c>
      <c r="I211" s="6" t="str">
        <f>_xlfn.CONCAT("Art. złączny do produktu ",Tabela10[[#This Row],[KOD_PRODUKTU]])</f>
        <v>Art. złączny do produktu 404G01</v>
      </c>
      <c r="J211" s="6" t="str">
        <f>_xlfn.CONCAT("VE-",Tabela10[[#This Row],[KOD_PRODUKTU]])</f>
        <v>VE-404G01</v>
      </c>
    </row>
    <row r="212" spans="1:10" x14ac:dyDescent="0.25">
      <c r="A212" s="7" t="s">
        <v>647</v>
      </c>
      <c r="B212" s="6" t="s">
        <v>648</v>
      </c>
      <c r="C212" s="7" t="s">
        <v>653</v>
      </c>
      <c r="D212" s="6" t="s">
        <v>654</v>
      </c>
      <c r="E212" s="6" t="s">
        <v>655</v>
      </c>
      <c r="F212" s="6" t="s">
        <v>49</v>
      </c>
      <c r="G212" s="6" t="s">
        <v>319</v>
      </c>
      <c r="H212" s="6">
        <v>0.84</v>
      </c>
      <c r="I212" s="6" t="str">
        <f>_xlfn.CONCAT("Art. złączny do produktu ",Tabela10[[#This Row],[KOD_PRODUKTU]])</f>
        <v>Art. złączny do produktu 404G01</v>
      </c>
      <c r="J212" s="6" t="str">
        <f>_xlfn.CONCAT("VE-",Tabela10[[#This Row],[KOD_PRODUKTU]])</f>
        <v>VE-404G01</v>
      </c>
    </row>
    <row r="213" spans="1:10" x14ac:dyDescent="0.25">
      <c r="A213" s="1" t="s">
        <v>647</v>
      </c>
      <c r="B213" t="s">
        <v>648</v>
      </c>
      <c r="C213" s="1" t="s">
        <v>656</v>
      </c>
      <c r="D213" t="s">
        <v>657</v>
      </c>
      <c r="E213" t="s">
        <v>658</v>
      </c>
      <c r="F213" t="s">
        <v>39</v>
      </c>
      <c r="G213" t="s">
        <v>25</v>
      </c>
      <c r="H213">
        <v>0.34</v>
      </c>
      <c r="I213" s="6" t="str">
        <f>_xlfn.CONCAT("Art. złączny do produktu ",Tabela10[[#This Row],[KOD_PRODUKTU]])</f>
        <v>Art. złączny do produktu 404G01</v>
      </c>
      <c r="J213" s="6" t="str">
        <f>_xlfn.CONCAT("VE-",Tabela10[[#This Row],[KOD_PRODUKTU]])</f>
        <v>VE-404G01</v>
      </c>
    </row>
    <row r="214" spans="1:10" x14ac:dyDescent="0.25">
      <c r="A214" s="7" t="s">
        <v>647</v>
      </c>
      <c r="B214" s="6" t="s">
        <v>648</v>
      </c>
      <c r="C214" s="7" t="s">
        <v>659</v>
      </c>
      <c r="D214" s="6" t="s">
        <v>660</v>
      </c>
      <c r="E214" s="6" t="s">
        <v>661</v>
      </c>
      <c r="F214" s="6" t="s">
        <v>39</v>
      </c>
      <c r="G214" s="6" t="s">
        <v>605</v>
      </c>
      <c r="H214" s="6">
        <v>2</v>
      </c>
      <c r="I214" s="6" t="str">
        <f>_xlfn.CONCAT("Art. złączny do produktu ",Tabela10[[#This Row],[KOD_PRODUKTU]])</f>
        <v>Art. złączny do produktu 404G01</v>
      </c>
      <c r="J214" s="6" t="str">
        <f>_xlfn.CONCAT("VE-",Tabela10[[#This Row],[KOD_PRODUKTU]])</f>
        <v>VE-404G01</v>
      </c>
    </row>
    <row r="215" spans="1:10" x14ac:dyDescent="0.25">
      <c r="A215" s="1" t="s">
        <v>647</v>
      </c>
      <c r="B215" t="s">
        <v>648</v>
      </c>
      <c r="C215" s="1" t="s">
        <v>662</v>
      </c>
      <c r="D215" t="s">
        <v>663</v>
      </c>
      <c r="E215" t="s">
        <v>513</v>
      </c>
      <c r="F215" t="s">
        <v>39</v>
      </c>
      <c r="G215" t="s">
        <v>40</v>
      </c>
      <c r="H215">
        <v>0.06</v>
      </c>
      <c r="I215" s="6" t="str">
        <f>_xlfn.CONCAT("Art. złączny do produktu ",Tabela10[[#This Row],[KOD_PRODUKTU]])</f>
        <v>Art. złączny do produktu 404G01</v>
      </c>
      <c r="J215" s="6" t="str">
        <f>_xlfn.CONCAT("VE-",Tabela10[[#This Row],[KOD_PRODUKTU]])</f>
        <v>VE-404G01</v>
      </c>
    </row>
    <row r="216" spans="1:10" x14ac:dyDescent="0.25">
      <c r="A216" s="7" t="s">
        <v>647</v>
      </c>
      <c r="B216" s="6" t="s">
        <v>648</v>
      </c>
      <c r="C216" s="7" t="s">
        <v>664</v>
      </c>
      <c r="D216" s="6" t="s">
        <v>665</v>
      </c>
      <c r="E216" s="6" t="s">
        <v>666</v>
      </c>
      <c r="F216" s="6" t="s">
        <v>39</v>
      </c>
      <c r="G216" s="6" t="s">
        <v>652</v>
      </c>
      <c r="H216" s="6">
        <v>0.53</v>
      </c>
      <c r="I216" s="6" t="str">
        <f>_xlfn.CONCAT("Art. złączny do produktu ",Tabela10[[#This Row],[KOD_PRODUKTU]])</f>
        <v>Art. złączny do produktu 404G01</v>
      </c>
      <c r="J216" s="6" t="str">
        <f>_xlfn.CONCAT("VE-",Tabela10[[#This Row],[KOD_PRODUKTU]])</f>
        <v>VE-404G01</v>
      </c>
    </row>
    <row r="217" spans="1:10" x14ac:dyDescent="0.25">
      <c r="A217" s="1" t="s">
        <v>647</v>
      </c>
      <c r="B217" t="s">
        <v>648</v>
      </c>
      <c r="C217" s="1" t="s">
        <v>667</v>
      </c>
      <c r="D217" t="s">
        <v>668</v>
      </c>
      <c r="E217" t="s">
        <v>669</v>
      </c>
      <c r="F217" t="s">
        <v>121</v>
      </c>
      <c r="G217" t="s">
        <v>482</v>
      </c>
      <c r="H217">
        <v>0.09</v>
      </c>
      <c r="I217" s="6" t="str">
        <f>_xlfn.CONCAT("Art. złączny do produktu ",Tabela10[[#This Row],[KOD_PRODUKTU]])</f>
        <v>Art. złączny do produktu 404G01</v>
      </c>
      <c r="J217" s="6" t="str">
        <f>_xlfn.CONCAT("VE-",Tabela10[[#This Row],[KOD_PRODUKTU]])</f>
        <v>VE-404G01</v>
      </c>
    </row>
    <row r="218" spans="1:10" x14ac:dyDescent="0.25">
      <c r="A218" s="7" t="s">
        <v>647</v>
      </c>
      <c r="B218" s="6" t="s">
        <v>648</v>
      </c>
      <c r="C218" s="7" t="s">
        <v>41</v>
      </c>
      <c r="D218" s="6" t="s">
        <v>42</v>
      </c>
      <c r="E218" s="6" t="s">
        <v>43</v>
      </c>
      <c r="F218" s="6" t="s">
        <v>5</v>
      </c>
      <c r="G218" s="6" t="s">
        <v>44</v>
      </c>
      <c r="H218" s="6">
        <v>0.01</v>
      </c>
      <c r="I218" s="6" t="str">
        <f>_xlfn.CONCAT("Art. złączny do produktu ",Tabela10[[#This Row],[KOD_PRODUKTU]])</f>
        <v>Art. złączny do produktu 404G01</v>
      </c>
      <c r="J218" s="6" t="str">
        <f>_xlfn.CONCAT("VE-",Tabela10[[#This Row],[KOD_PRODUKTU]])</f>
        <v>VE-404G01</v>
      </c>
    </row>
    <row r="219" spans="1:10" x14ac:dyDescent="0.25">
      <c r="A219" s="1" t="s">
        <v>647</v>
      </c>
      <c r="B219" t="s">
        <v>648</v>
      </c>
      <c r="C219" s="1" t="s">
        <v>670</v>
      </c>
      <c r="D219" t="s">
        <v>671</v>
      </c>
      <c r="E219" t="s">
        <v>672</v>
      </c>
      <c r="F219" t="s">
        <v>49</v>
      </c>
      <c r="G219" t="s">
        <v>50</v>
      </c>
      <c r="H219">
        <v>46.8</v>
      </c>
      <c r="I219" s="6" t="str">
        <f>_xlfn.CONCAT("Art. złączny do produktu ",Tabela10[[#This Row],[KOD_PRODUKTU]])</f>
        <v>Art. złączny do produktu 404G01</v>
      </c>
      <c r="J219" s="6" t="str">
        <f>_xlfn.CONCAT("VE-",Tabela10[[#This Row],[KOD_PRODUKTU]])</f>
        <v>VE-404G01</v>
      </c>
    </row>
    <row r="220" spans="1:10" x14ac:dyDescent="0.25">
      <c r="A220" s="7" t="s">
        <v>647</v>
      </c>
      <c r="B220" s="6" t="s">
        <v>648</v>
      </c>
      <c r="C220" s="7" t="s">
        <v>673</v>
      </c>
      <c r="D220" s="6" t="s">
        <v>674</v>
      </c>
      <c r="E220" s="6" t="s">
        <v>675</v>
      </c>
      <c r="F220" s="6" t="s">
        <v>49</v>
      </c>
      <c r="G220" s="6" t="s">
        <v>50</v>
      </c>
      <c r="H220" s="6">
        <v>46.25</v>
      </c>
      <c r="I220" s="6" t="str">
        <f>_xlfn.CONCAT("Art. złączny do produktu ",Tabela10[[#This Row],[KOD_PRODUKTU]])</f>
        <v>Art. złączny do produktu 404G01</v>
      </c>
      <c r="J220" s="6" t="str">
        <f>_xlfn.CONCAT("VE-",Tabela10[[#This Row],[KOD_PRODUKTU]])</f>
        <v>VE-404G01</v>
      </c>
    </row>
    <row r="221" spans="1:10" x14ac:dyDescent="0.25">
      <c r="A221" s="1" t="s">
        <v>647</v>
      </c>
      <c r="B221" t="s">
        <v>648</v>
      </c>
      <c r="C221" s="1" t="s">
        <v>676</v>
      </c>
      <c r="D221" t="s">
        <v>677</v>
      </c>
      <c r="E221" t="s">
        <v>672</v>
      </c>
      <c r="F221" t="s">
        <v>49</v>
      </c>
      <c r="G221" t="s">
        <v>50</v>
      </c>
      <c r="H221">
        <v>46.8</v>
      </c>
      <c r="I221" s="6" t="str">
        <f>_xlfn.CONCAT("Art. złączny do produktu ",Tabela10[[#This Row],[KOD_PRODUKTU]])</f>
        <v>Art. złączny do produktu 404G01</v>
      </c>
      <c r="J221" s="6" t="str">
        <f>_xlfn.CONCAT("VE-",Tabela10[[#This Row],[KOD_PRODUKTU]])</f>
        <v>VE-404G01</v>
      </c>
    </row>
    <row r="222" spans="1:10" x14ac:dyDescent="0.25">
      <c r="A222" s="7" t="s">
        <v>647</v>
      </c>
      <c r="B222" s="6" t="s">
        <v>648</v>
      </c>
      <c r="C222" s="7" t="s">
        <v>678</v>
      </c>
      <c r="D222" s="6" t="s">
        <v>679</v>
      </c>
      <c r="E222" s="6" t="s">
        <v>680</v>
      </c>
      <c r="F222" s="6" t="s">
        <v>49</v>
      </c>
      <c r="G222" s="6" t="s">
        <v>50</v>
      </c>
      <c r="H222" s="6">
        <v>42.5</v>
      </c>
      <c r="I222" s="6" t="str">
        <f>_xlfn.CONCAT("Art. złączny do produktu ",Tabela10[[#This Row],[KOD_PRODUKTU]])</f>
        <v>Art. złączny do produktu 404G01</v>
      </c>
      <c r="J222" s="6" t="str">
        <f>_xlfn.CONCAT("VE-",Tabela10[[#This Row],[KOD_PRODUKTU]])</f>
        <v>VE-404G01</v>
      </c>
    </row>
    <row r="223" spans="1:10" x14ac:dyDescent="0.25">
      <c r="A223" s="1" t="s">
        <v>647</v>
      </c>
      <c r="B223" t="s">
        <v>648</v>
      </c>
      <c r="C223" s="1" t="s">
        <v>681</v>
      </c>
      <c r="D223" t="s">
        <v>682</v>
      </c>
      <c r="E223" t="s">
        <v>683</v>
      </c>
      <c r="F223" t="s">
        <v>49</v>
      </c>
      <c r="G223" t="s">
        <v>50</v>
      </c>
      <c r="H223">
        <v>44.2</v>
      </c>
      <c r="I223" s="6" t="str">
        <f>_xlfn.CONCAT("Art. złączny do produktu ",Tabela10[[#This Row],[KOD_PRODUKTU]])</f>
        <v>Art. złączny do produktu 404G01</v>
      </c>
      <c r="J223" s="6" t="str">
        <f>_xlfn.CONCAT("VE-",Tabela10[[#This Row],[KOD_PRODUKTU]])</f>
        <v>VE-404G01</v>
      </c>
    </row>
    <row r="224" spans="1:10" x14ac:dyDescent="0.25">
      <c r="A224" s="7" t="s">
        <v>647</v>
      </c>
      <c r="B224" s="6" t="s">
        <v>648</v>
      </c>
      <c r="C224" s="7" t="s">
        <v>684</v>
      </c>
      <c r="D224" s="6" t="s">
        <v>685</v>
      </c>
      <c r="E224" s="6" t="s">
        <v>686</v>
      </c>
      <c r="F224" s="6" t="s">
        <v>49</v>
      </c>
      <c r="G224" s="6" t="s">
        <v>687</v>
      </c>
      <c r="H224" s="6">
        <v>40</v>
      </c>
      <c r="I224" s="6" t="str">
        <f>_xlfn.CONCAT("Art. złączny do produktu ",Tabela10[[#This Row],[KOD_PRODUKTU]])</f>
        <v>Art. złączny do produktu 404G01</v>
      </c>
      <c r="J224" s="6" t="str">
        <f>_xlfn.CONCAT("VE-",Tabela10[[#This Row],[KOD_PRODUKTU]])</f>
        <v>VE-404G01</v>
      </c>
    </row>
    <row r="225" spans="1:10" x14ac:dyDescent="0.25">
      <c r="A225" s="1" t="s">
        <v>647</v>
      </c>
      <c r="B225" t="s">
        <v>648</v>
      </c>
      <c r="C225" s="1" t="s">
        <v>688</v>
      </c>
      <c r="D225" t="s">
        <v>689</v>
      </c>
      <c r="E225" t="s">
        <v>9</v>
      </c>
      <c r="F225" t="s">
        <v>10</v>
      </c>
      <c r="G225" t="s">
        <v>690</v>
      </c>
      <c r="H225">
        <v>20.7</v>
      </c>
      <c r="I225" s="6" t="str">
        <f>_xlfn.CONCAT("Art. złączny do produktu ",Tabela10[[#This Row],[KOD_PRODUKTU]])</f>
        <v>Art. złączny do produktu 404G01</v>
      </c>
      <c r="J225" s="6" t="str">
        <f>_xlfn.CONCAT("VE-",Tabela10[[#This Row],[KOD_PRODUKTU]])</f>
        <v>VE-404G01</v>
      </c>
    </row>
    <row r="226" spans="1:10" x14ac:dyDescent="0.25">
      <c r="A226" s="7" t="s">
        <v>647</v>
      </c>
      <c r="B226" s="6" t="s">
        <v>648</v>
      </c>
      <c r="C226" s="7" t="s">
        <v>7</v>
      </c>
      <c r="D226" s="6" t="s">
        <v>8</v>
      </c>
      <c r="E226" s="6" t="s">
        <v>9</v>
      </c>
      <c r="F226" s="6" t="s">
        <v>10</v>
      </c>
      <c r="G226" s="6" t="s">
        <v>691</v>
      </c>
      <c r="H226" s="6">
        <v>178.75</v>
      </c>
      <c r="I226" s="6" t="str">
        <f>_xlfn.CONCAT("Art. złączny do produktu ",Tabela10[[#This Row],[KOD_PRODUKTU]])</f>
        <v>Art. złączny do produktu 404G01</v>
      </c>
      <c r="J226" s="6" t="str">
        <f>_xlfn.CONCAT("VE-",Tabela10[[#This Row],[KOD_PRODUKTU]])</f>
        <v>VE-404G01</v>
      </c>
    </row>
    <row r="227" spans="1:10" x14ac:dyDescent="0.25">
      <c r="A227" s="1" t="s">
        <v>647</v>
      </c>
      <c r="B227" t="s">
        <v>648</v>
      </c>
      <c r="C227" s="1" t="s">
        <v>7</v>
      </c>
      <c r="D227" t="s">
        <v>8</v>
      </c>
      <c r="E227" t="s">
        <v>9</v>
      </c>
      <c r="F227" t="s">
        <v>10</v>
      </c>
      <c r="G227" t="s">
        <v>692</v>
      </c>
      <c r="H227">
        <v>58.95</v>
      </c>
      <c r="I227" s="6" t="str">
        <f>_xlfn.CONCAT("Art. złączny do produktu ",Tabela10[[#This Row],[KOD_PRODUKTU]])</f>
        <v>Art. złączny do produktu 404G01</v>
      </c>
      <c r="J227" s="6" t="str">
        <f>_xlfn.CONCAT("VE-",Tabela10[[#This Row],[KOD_PRODUKTU]])</f>
        <v>VE-404G01</v>
      </c>
    </row>
    <row r="228" spans="1:10" x14ac:dyDescent="0.25">
      <c r="A228" s="7" t="s">
        <v>693</v>
      </c>
      <c r="B228" s="6" t="s">
        <v>694</v>
      </c>
      <c r="C228" s="7" t="s">
        <v>695</v>
      </c>
      <c r="D228" s="6" t="s">
        <v>696</v>
      </c>
      <c r="E228" s="6" t="s">
        <v>501</v>
      </c>
      <c r="F228" s="6" t="s">
        <v>39</v>
      </c>
      <c r="G228" s="6" t="s">
        <v>605</v>
      </c>
      <c r="H228" s="6">
        <v>0.18</v>
      </c>
      <c r="I228" s="6" t="str">
        <f>_xlfn.CONCAT("Art. złączny do produktu ",Tabela10[[#This Row],[KOD_PRODUKTU]])</f>
        <v>Art. złączny do produktu 404G03</v>
      </c>
      <c r="J228" s="6" t="str">
        <f>_xlfn.CONCAT("VE-",Tabela10[[#This Row],[KOD_PRODUKTU]])</f>
        <v>VE-404G03</v>
      </c>
    </row>
    <row r="229" spans="1:10" x14ac:dyDescent="0.25">
      <c r="A229" s="1" t="s">
        <v>693</v>
      </c>
      <c r="B229" t="s">
        <v>694</v>
      </c>
      <c r="C229" s="1" t="s">
        <v>479</v>
      </c>
      <c r="D229" t="s">
        <v>480</v>
      </c>
      <c r="E229" t="s">
        <v>481</v>
      </c>
      <c r="F229" t="s">
        <v>5</v>
      </c>
      <c r="G229" t="s">
        <v>697</v>
      </c>
      <c r="H229">
        <v>0.06</v>
      </c>
      <c r="I229" s="6" t="str">
        <f>_xlfn.CONCAT("Art. złączny do produktu ",Tabela10[[#This Row],[KOD_PRODUKTU]])</f>
        <v>Art. złączny do produktu 404G03</v>
      </c>
      <c r="J229" s="6" t="str">
        <f>_xlfn.CONCAT("VE-",Tabela10[[#This Row],[KOD_PRODUKTU]])</f>
        <v>VE-404G03</v>
      </c>
    </row>
    <row r="230" spans="1:10" x14ac:dyDescent="0.25">
      <c r="A230" s="7" t="s">
        <v>693</v>
      </c>
      <c r="B230" s="6" t="s">
        <v>694</v>
      </c>
      <c r="C230" s="7" t="s">
        <v>628</v>
      </c>
      <c r="D230" s="6" t="s">
        <v>629</v>
      </c>
      <c r="E230" s="6" t="s">
        <v>698</v>
      </c>
      <c r="F230" s="6" t="s">
        <v>5</v>
      </c>
      <c r="G230" s="6" t="s">
        <v>699</v>
      </c>
      <c r="H230" s="6">
        <v>0.04</v>
      </c>
      <c r="I230" s="6" t="str">
        <f>_xlfn.CONCAT("Art. złączny do produktu ",Tabela10[[#This Row],[KOD_PRODUKTU]])</f>
        <v>Art. złączny do produktu 404G03</v>
      </c>
      <c r="J230" s="6" t="str">
        <f>_xlfn.CONCAT("VE-",Tabela10[[#This Row],[KOD_PRODUKTU]])</f>
        <v>VE-404G03</v>
      </c>
    </row>
    <row r="231" spans="1:10" x14ac:dyDescent="0.25">
      <c r="A231" s="1" t="s">
        <v>693</v>
      </c>
      <c r="B231" t="s">
        <v>694</v>
      </c>
      <c r="C231" s="1" t="s">
        <v>700</v>
      </c>
      <c r="D231" t="s">
        <v>701</v>
      </c>
      <c r="E231" t="s">
        <v>702</v>
      </c>
      <c r="F231" t="s">
        <v>5</v>
      </c>
      <c r="G231" t="s">
        <v>703</v>
      </c>
      <c r="H231">
        <v>0.76</v>
      </c>
      <c r="I231" s="6" t="str">
        <f>_xlfn.CONCAT("Art. złączny do produktu ",Tabela10[[#This Row],[KOD_PRODUKTU]])</f>
        <v>Art. złączny do produktu 404G03</v>
      </c>
      <c r="J231" s="6" t="str">
        <f>_xlfn.CONCAT("VE-",Tabela10[[#This Row],[KOD_PRODUKTU]])</f>
        <v>VE-404G03</v>
      </c>
    </row>
    <row r="232" spans="1:10" x14ac:dyDescent="0.25">
      <c r="A232" s="7" t="s">
        <v>693</v>
      </c>
      <c r="B232" s="6" t="s">
        <v>694</v>
      </c>
      <c r="C232" s="7" t="s">
        <v>704</v>
      </c>
      <c r="D232" s="6" t="s">
        <v>705</v>
      </c>
      <c r="E232" s="6" t="s">
        <v>706</v>
      </c>
      <c r="F232" s="6" t="s">
        <v>121</v>
      </c>
      <c r="G232" s="6" t="s">
        <v>50</v>
      </c>
      <c r="H232" s="6">
        <v>0.61</v>
      </c>
      <c r="I232" s="6" t="str">
        <f>_xlfn.CONCAT("Art. złączny do produktu ",Tabela10[[#This Row],[KOD_PRODUKTU]])</f>
        <v>Art. złączny do produktu 404G03</v>
      </c>
      <c r="J232" s="6" t="str">
        <f>_xlfn.CONCAT("VE-",Tabela10[[#This Row],[KOD_PRODUKTU]])</f>
        <v>VE-404G03</v>
      </c>
    </row>
    <row r="233" spans="1:10" x14ac:dyDescent="0.25">
      <c r="A233" s="1" t="s">
        <v>693</v>
      </c>
      <c r="B233" t="s">
        <v>694</v>
      </c>
      <c r="C233" s="1" t="s">
        <v>722</v>
      </c>
      <c r="D233" t="s">
        <v>723</v>
      </c>
      <c r="E233" t="s">
        <v>724</v>
      </c>
      <c r="F233" t="s">
        <v>49</v>
      </c>
      <c r="G233" t="s">
        <v>50</v>
      </c>
      <c r="H233">
        <v>4.3</v>
      </c>
      <c r="I233" s="6" t="str">
        <f>_xlfn.CONCAT("Art. złączny do produktu ",Tabela10[[#This Row],[KOD_PRODUKTU]])</f>
        <v>Art. złączny do produktu 404G03</v>
      </c>
      <c r="J233" s="6" t="str">
        <f>_xlfn.CONCAT("VE-",Tabela10[[#This Row],[KOD_PRODUKTU]])</f>
        <v>VE-404G03</v>
      </c>
    </row>
    <row r="234" spans="1:10" x14ac:dyDescent="0.25">
      <c r="A234" s="7" t="s">
        <v>693</v>
      </c>
      <c r="B234" s="6" t="s">
        <v>694</v>
      </c>
      <c r="C234" s="7" t="s">
        <v>7</v>
      </c>
      <c r="D234" s="6" t="s">
        <v>8</v>
      </c>
      <c r="E234" s="6" t="s">
        <v>9</v>
      </c>
      <c r="F234" s="6" t="s">
        <v>10</v>
      </c>
      <c r="G234" s="6" t="s">
        <v>725</v>
      </c>
      <c r="H234" s="6">
        <v>21.85</v>
      </c>
      <c r="I234" s="6" t="str">
        <f>_xlfn.CONCAT("Art. złączny do produktu ",Tabela10[[#This Row],[KOD_PRODUKTU]])</f>
        <v>Art. złączny do produktu 404G03</v>
      </c>
      <c r="J234" s="6" t="str">
        <f>_xlfn.CONCAT("VE-",Tabela10[[#This Row],[KOD_PRODUKTU]])</f>
        <v>VE-404G03</v>
      </c>
    </row>
    <row r="235" spans="1:10" x14ac:dyDescent="0.25">
      <c r="A235" s="1" t="s">
        <v>726</v>
      </c>
      <c r="B235" t="s">
        <v>727</v>
      </c>
      <c r="C235" s="1" t="s">
        <v>695</v>
      </c>
      <c r="D235" t="s">
        <v>696</v>
      </c>
      <c r="E235" t="s">
        <v>501</v>
      </c>
      <c r="F235" t="s">
        <v>39</v>
      </c>
      <c r="G235" t="s">
        <v>605</v>
      </c>
      <c r="H235">
        <v>0.18</v>
      </c>
      <c r="I235" s="6" t="str">
        <f>_xlfn.CONCAT("Art. złączny do produktu ",Tabela10[[#This Row],[KOD_PRODUKTU]])</f>
        <v>Art. złączny do produktu 404G04</v>
      </c>
      <c r="J235" s="6" t="str">
        <f>_xlfn.CONCAT("VE-",Tabela10[[#This Row],[KOD_PRODUKTU]])</f>
        <v>VE-404G04</v>
      </c>
    </row>
    <row r="236" spans="1:10" x14ac:dyDescent="0.25">
      <c r="A236" s="7" t="s">
        <v>726</v>
      </c>
      <c r="B236" s="6" t="s">
        <v>727</v>
      </c>
      <c r="C236" s="7" t="s">
        <v>479</v>
      </c>
      <c r="D236" s="6" t="s">
        <v>480</v>
      </c>
      <c r="E236" s="6" t="s">
        <v>481</v>
      </c>
      <c r="F236" s="6" t="s">
        <v>5</v>
      </c>
      <c r="G236" s="6" t="s">
        <v>697</v>
      </c>
      <c r="H236" s="6">
        <v>0.06</v>
      </c>
      <c r="I236" s="6" t="str">
        <f>_xlfn.CONCAT("Art. złączny do produktu ",Tabela10[[#This Row],[KOD_PRODUKTU]])</f>
        <v>Art. złączny do produktu 404G04</v>
      </c>
      <c r="J236" s="6" t="str">
        <f>_xlfn.CONCAT("VE-",Tabela10[[#This Row],[KOD_PRODUKTU]])</f>
        <v>VE-404G04</v>
      </c>
    </row>
    <row r="237" spans="1:10" x14ac:dyDescent="0.25">
      <c r="A237" s="1" t="s">
        <v>726</v>
      </c>
      <c r="B237" t="s">
        <v>727</v>
      </c>
      <c r="C237" s="1" t="s">
        <v>628</v>
      </c>
      <c r="D237" t="s">
        <v>629</v>
      </c>
      <c r="E237" t="s">
        <v>698</v>
      </c>
      <c r="F237" t="s">
        <v>5</v>
      </c>
      <c r="G237" t="s">
        <v>699</v>
      </c>
      <c r="H237">
        <v>0.04</v>
      </c>
      <c r="I237" s="6" t="str">
        <f>_xlfn.CONCAT("Art. złączny do produktu ",Tabela10[[#This Row],[KOD_PRODUKTU]])</f>
        <v>Art. złączny do produktu 404G04</v>
      </c>
      <c r="J237" s="6" t="str">
        <f>_xlfn.CONCAT("VE-",Tabela10[[#This Row],[KOD_PRODUKTU]])</f>
        <v>VE-404G04</v>
      </c>
    </row>
    <row r="238" spans="1:10" x14ac:dyDescent="0.25">
      <c r="A238" s="7" t="s">
        <v>726</v>
      </c>
      <c r="B238" s="6" t="s">
        <v>727</v>
      </c>
      <c r="C238" s="7" t="s">
        <v>700</v>
      </c>
      <c r="D238" s="6" t="s">
        <v>701</v>
      </c>
      <c r="E238" s="6" t="s">
        <v>702</v>
      </c>
      <c r="F238" s="6" t="s">
        <v>5</v>
      </c>
      <c r="G238" s="6" t="s">
        <v>728</v>
      </c>
      <c r="H238" s="6">
        <v>0.76</v>
      </c>
      <c r="I238" s="6" t="str">
        <f>_xlfn.CONCAT("Art. złączny do produktu ",Tabela10[[#This Row],[KOD_PRODUKTU]])</f>
        <v>Art. złączny do produktu 404G04</v>
      </c>
      <c r="J238" s="6" t="str">
        <f>_xlfn.CONCAT("VE-",Tabela10[[#This Row],[KOD_PRODUKTU]])</f>
        <v>VE-404G04</v>
      </c>
    </row>
    <row r="239" spans="1:10" x14ac:dyDescent="0.25">
      <c r="A239" s="1" t="s">
        <v>726</v>
      </c>
      <c r="B239" t="s">
        <v>727</v>
      </c>
      <c r="C239" s="1" t="s">
        <v>704</v>
      </c>
      <c r="D239" t="s">
        <v>705</v>
      </c>
      <c r="E239" t="s">
        <v>706</v>
      </c>
      <c r="F239" t="s">
        <v>121</v>
      </c>
      <c r="G239" t="s">
        <v>50</v>
      </c>
      <c r="H239">
        <v>0.61</v>
      </c>
      <c r="I239" s="6" t="str">
        <f>_xlfn.CONCAT("Art. złączny do produktu ",Tabela10[[#This Row],[KOD_PRODUKTU]])</f>
        <v>Art. złączny do produktu 404G04</v>
      </c>
      <c r="J239" s="6" t="str">
        <f>_xlfn.CONCAT("VE-",Tabela10[[#This Row],[KOD_PRODUKTU]])</f>
        <v>VE-404G04</v>
      </c>
    </row>
    <row r="240" spans="1:10" x14ac:dyDescent="0.25">
      <c r="A240" s="7" t="s">
        <v>726</v>
      </c>
      <c r="B240" s="6" t="s">
        <v>727</v>
      </c>
      <c r="C240" s="7" t="s">
        <v>732</v>
      </c>
      <c r="D240" s="6" t="s">
        <v>733</v>
      </c>
      <c r="E240" s="6" t="s">
        <v>108</v>
      </c>
      <c r="F240" s="6" t="s">
        <v>49</v>
      </c>
      <c r="G240" s="6" t="s">
        <v>50</v>
      </c>
      <c r="H240" s="6">
        <v>4.2</v>
      </c>
      <c r="I240" s="6" t="str">
        <f>_xlfn.CONCAT("Art. złączny do produktu ",Tabela10[[#This Row],[KOD_PRODUKTU]])</f>
        <v>Art. złączny do produktu 404G04</v>
      </c>
      <c r="J240" s="6" t="str">
        <f>_xlfn.CONCAT("VE-",Tabela10[[#This Row],[KOD_PRODUKTU]])</f>
        <v>VE-404G04</v>
      </c>
    </row>
    <row r="241" spans="1:10" x14ac:dyDescent="0.25">
      <c r="A241" s="1" t="s">
        <v>726</v>
      </c>
      <c r="B241" t="s">
        <v>727</v>
      </c>
      <c r="C241" s="1" t="s">
        <v>7</v>
      </c>
      <c r="D241" t="s">
        <v>8</v>
      </c>
      <c r="E241" t="s">
        <v>9</v>
      </c>
      <c r="F241" t="s">
        <v>10</v>
      </c>
      <c r="G241" t="s">
        <v>725</v>
      </c>
      <c r="H241">
        <v>21.85</v>
      </c>
      <c r="I241" s="6" t="str">
        <f>_xlfn.CONCAT("Art. złączny do produktu ",Tabela10[[#This Row],[KOD_PRODUKTU]])</f>
        <v>Art. złączny do produktu 404G04</v>
      </c>
      <c r="J241" s="6" t="str">
        <f>_xlfn.CONCAT("VE-",Tabela10[[#This Row],[KOD_PRODUKTU]])</f>
        <v>VE-404G04</v>
      </c>
    </row>
    <row r="242" spans="1:10" x14ac:dyDescent="0.25">
      <c r="A242" s="7" t="s">
        <v>734</v>
      </c>
      <c r="B242" s="6" t="s">
        <v>735</v>
      </c>
      <c r="C242" s="7" t="s">
        <v>479</v>
      </c>
      <c r="D242" s="6" t="s">
        <v>480</v>
      </c>
      <c r="E242" s="6" t="s">
        <v>651</v>
      </c>
      <c r="F242" s="6" t="s">
        <v>5</v>
      </c>
      <c r="G242" s="6" t="s">
        <v>736</v>
      </c>
      <c r="H242" s="6">
        <v>0.06</v>
      </c>
      <c r="I242" s="6" t="str">
        <f>_xlfn.CONCAT("Art. złączny do produktu ",Tabela10[[#This Row],[KOD_PRODUKTU]])</f>
        <v>Art. złączny do produktu 404G06</v>
      </c>
      <c r="J242" s="6" t="str">
        <f>_xlfn.CONCAT("VE-",Tabela10[[#This Row],[KOD_PRODUKTU]])</f>
        <v>VE-404G06</v>
      </c>
    </row>
    <row r="243" spans="1:10" x14ac:dyDescent="0.25">
      <c r="A243" s="1" t="s">
        <v>734</v>
      </c>
      <c r="B243" t="s">
        <v>735</v>
      </c>
      <c r="C243" s="1" t="s">
        <v>628</v>
      </c>
      <c r="D243" t="s">
        <v>629</v>
      </c>
      <c r="E243" t="s">
        <v>698</v>
      </c>
      <c r="F243" t="s">
        <v>5</v>
      </c>
      <c r="G243" t="s">
        <v>737</v>
      </c>
      <c r="H243">
        <v>0.04</v>
      </c>
      <c r="I243" s="6" t="str">
        <f>_xlfn.CONCAT("Art. złączny do produktu ",Tabela10[[#This Row],[KOD_PRODUKTU]])</f>
        <v>Art. złączny do produktu 404G06</v>
      </c>
      <c r="J243" s="6" t="str">
        <f>_xlfn.CONCAT("VE-",Tabela10[[#This Row],[KOD_PRODUKTU]])</f>
        <v>VE-404G06</v>
      </c>
    </row>
    <row r="244" spans="1:10" x14ac:dyDescent="0.25">
      <c r="A244" s="7" t="s">
        <v>734</v>
      </c>
      <c r="B244" s="6" t="s">
        <v>735</v>
      </c>
      <c r="C244" s="7" t="s">
        <v>738</v>
      </c>
      <c r="D244" s="6" t="s">
        <v>739</v>
      </c>
      <c r="E244" s="6" t="s">
        <v>516</v>
      </c>
      <c r="F244" s="6" t="s">
        <v>121</v>
      </c>
      <c r="G244" s="6" t="s">
        <v>268</v>
      </c>
      <c r="H244" s="6">
        <v>0.81</v>
      </c>
      <c r="I244" s="6" t="str">
        <f>_xlfn.CONCAT("Art. złączny do produktu ",Tabela10[[#This Row],[KOD_PRODUKTU]])</f>
        <v>Art. złączny do produktu 404G06</v>
      </c>
      <c r="J244" s="6" t="str">
        <f>_xlfn.CONCAT("VE-",Tabela10[[#This Row],[KOD_PRODUKTU]])</f>
        <v>VE-404G06</v>
      </c>
    </row>
    <row r="245" spans="1:10" x14ac:dyDescent="0.25">
      <c r="A245" s="1" t="s">
        <v>734</v>
      </c>
      <c r="B245" t="s">
        <v>735</v>
      </c>
      <c r="C245" s="1" t="s">
        <v>740</v>
      </c>
      <c r="D245" t="s">
        <v>741</v>
      </c>
      <c r="E245" t="s">
        <v>742</v>
      </c>
      <c r="F245" t="s">
        <v>743</v>
      </c>
      <c r="G245" t="s">
        <v>40</v>
      </c>
      <c r="H245">
        <v>1.69</v>
      </c>
      <c r="I245" s="6" t="str">
        <f>_xlfn.CONCAT("Art. złączny do produktu ",Tabela10[[#This Row],[KOD_PRODUKTU]])</f>
        <v>Art. złączny do produktu 404G06</v>
      </c>
      <c r="J245" s="6" t="str">
        <f>_xlfn.CONCAT("VE-",Tabela10[[#This Row],[KOD_PRODUKTU]])</f>
        <v>VE-404G06</v>
      </c>
    </row>
    <row r="246" spans="1:10" x14ac:dyDescent="0.25">
      <c r="A246" s="7" t="s">
        <v>734</v>
      </c>
      <c r="B246" s="6" t="s">
        <v>735</v>
      </c>
      <c r="C246" s="7" t="s">
        <v>704</v>
      </c>
      <c r="D246" s="6" t="s">
        <v>705</v>
      </c>
      <c r="E246" s="6" t="s">
        <v>744</v>
      </c>
      <c r="F246" s="6" t="s">
        <v>121</v>
      </c>
      <c r="G246" s="6" t="s">
        <v>50</v>
      </c>
      <c r="H246" s="6">
        <v>0.4</v>
      </c>
      <c r="I246" s="6" t="str">
        <f>_xlfn.CONCAT("Art. złączny do produktu ",Tabela10[[#This Row],[KOD_PRODUKTU]])</f>
        <v>Art. złączny do produktu 404G06</v>
      </c>
      <c r="J246" s="6" t="str">
        <f>_xlfn.CONCAT("VE-",Tabela10[[#This Row],[KOD_PRODUKTU]])</f>
        <v>VE-404G06</v>
      </c>
    </row>
    <row r="247" spans="1:10" x14ac:dyDescent="0.25">
      <c r="A247" s="1" t="s">
        <v>734</v>
      </c>
      <c r="B247" t="s">
        <v>735</v>
      </c>
      <c r="C247" s="1" t="s">
        <v>7</v>
      </c>
      <c r="D247" t="s">
        <v>8</v>
      </c>
      <c r="E247" t="s">
        <v>9</v>
      </c>
      <c r="F247" t="s">
        <v>10</v>
      </c>
      <c r="G247" t="s">
        <v>762</v>
      </c>
      <c r="H247">
        <v>16.3</v>
      </c>
      <c r="I247" s="6" t="str">
        <f>_xlfn.CONCAT("Art. złączny do produktu ",Tabela10[[#This Row],[KOD_PRODUKTU]])</f>
        <v>Art. złączny do produktu 404G06</v>
      </c>
      <c r="J247" s="6" t="str">
        <f>_xlfn.CONCAT("VE-",Tabela10[[#This Row],[KOD_PRODUKTU]])</f>
        <v>VE-404G06</v>
      </c>
    </row>
    <row r="248" spans="1:10" x14ac:dyDescent="0.25">
      <c r="A248" s="7" t="s">
        <v>763</v>
      </c>
      <c r="B248" s="6" t="s">
        <v>764</v>
      </c>
      <c r="C248" s="7" t="s">
        <v>479</v>
      </c>
      <c r="D248" s="6" t="s">
        <v>480</v>
      </c>
      <c r="E248" s="6" t="s">
        <v>651</v>
      </c>
      <c r="F248" s="6" t="s">
        <v>5</v>
      </c>
      <c r="G248" s="6" t="s">
        <v>765</v>
      </c>
      <c r="H248" s="6">
        <v>0.06</v>
      </c>
      <c r="I248" s="6" t="str">
        <f>_xlfn.CONCAT("Art. złączny do produktu ",Tabela10[[#This Row],[KOD_PRODUKTU]])</f>
        <v>Art. złączny do produktu 404G07</v>
      </c>
      <c r="J248" s="6" t="str">
        <f>_xlfn.CONCAT("VE-",Tabela10[[#This Row],[KOD_PRODUKTU]])</f>
        <v>VE-404G07</v>
      </c>
    </row>
    <row r="249" spans="1:10" x14ac:dyDescent="0.25">
      <c r="A249" s="1" t="s">
        <v>763</v>
      </c>
      <c r="B249" t="s">
        <v>764</v>
      </c>
      <c r="C249" s="1" t="s">
        <v>628</v>
      </c>
      <c r="D249" t="s">
        <v>629</v>
      </c>
      <c r="E249" t="s">
        <v>698</v>
      </c>
      <c r="F249" t="s">
        <v>5</v>
      </c>
      <c r="G249" t="s">
        <v>766</v>
      </c>
      <c r="H249">
        <v>0.04</v>
      </c>
      <c r="I249" s="6" t="str">
        <f>_xlfn.CONCAT("Art. złączny do produktu ",Tabela10[[#This Row],[KOD_PRODUKTU]])</f>
        <v>Art. złączny do produktu 404G07</v>
      </c>
      <c r="J249" s="6" t="str">
        <f>_xlfn.CONCAT("VE-",Tabela10[[#This Row],[KOD_PRODUKTU]])</f>
        <v>VE-404G07</v>
      </c>
    </row>
    <row r="250" spans="1:10" x14ac:dyDescent="0.25">
      <c r="A250" s="7" t="s">
        <v>763</v>
      </c>
      <c r="B250" s="6" t="s">
        <v>764</v>
      </c>
      <c r="C250" s="7" t="s">
        <v>738</v>
      </c>
      <c r="D250" s="6" t="s">
        <v>767</v>
      </c>
      <c r="E250" s="6" t="s">
        <v>516</v>
      </c>
      <c r="F250" s="6" t="s">
        <v>121</v>
      </c>
      <c r="G250" s="6" t="s">
        <v>268</v>
      </c>
      <c r="H250" s="6">
        <v>0.81</v>
      </c>
      <c r="I250" s="6" t="str">
        <f>_xlfn.CONCAT("Art. złączny do produktu ",Tabela10[[#This Row],[KOD_PRODUKTU]])</f>
        <v>Art. złączny do produktu 404G07</v>
      </c>
      <c r="J250" s="6" t="str">
        <f>_xlfn.CONCAT("VE-",Tabela10[[#This Row],[KOD_PRODUKTU]])</f>
        <v>VE-404G07</v>
      </c>
    </row>
    <row r="251" spans="1:10" x14ac:dyDescent="0.25">
      <c r="A251" s="1" t="s">
        <v>763</v>
      </c>
      <c r="B251" t="s">
        <v>764</v>
      </c>
      <c r="C251" s="1" t="s">
        <v>704</v>
      </c>
      <c r="D251" t="s">
        <v>705</v>
      </c>
      <c r="E251" t="s">
        <v>744</v>
      </c>
      <c r="F251" t="s">
        <v>121</v>
      </c>
      <c r="G251" t="s">
        <v>92</v>
      </c>
      <c r="H251">
        <v>0.8</v>
      </c>
      <c r="I251" s="6" t="str">
        <f>_xlfn.CONCAT("Art. złączny do produktu ",Tabela10[[#This Row],[KOD_PRODUKTU]])</f>
        <v>Art. złączny do produktu 404G07</v>
      </c>
      <c r="J251" s="6" t="str">
        <f>_xlfn.CONCAT("VE-",Tabela10[[#This Row],[KOD_PRODUKTU]])</f>
        <v>VE-404G07</v>
      </c>
    </row>
    <row r="252" spans="1:10" x14ac:dyDescent="0.25">
      <c r="A252" s="7" t="s">
        <v>763</v>
      </c>
      <c r="B252" s="6" t="s">
        <v>764</v>
      </c>
      <c r="C252" s="7" t="s">
        <v>41</v>
      </c>
      <c r="D252" s="6" t="s">
        <v>42</v>
      </c>
      <c r="E252" s="6" t="s">
        <v>43</v>
      </c>
      <c r="F252" s="6" t="s">
        <v>5</v>
      </c>
      <c r="G252" s="6" t="s">
        <v>559</v>
      </c>
      <c r="H252" s="6">
        <v>0.04</v>
      </c>
      <c r="I252" s="6" t="str">
        <f>_xlfn.CONCAT("Art. złączny do produktu ",Tabela10[[#This Row],[KOD_PRODUKTU]])</f>
        <v>Art. złączny do produktu 404G07</v>
      </c>
      <c r="J252" s="6" t="str">
        <f>_xlfn.CONCAT("VE-",Tabela10[[#This Row],[KOD_PRODUKTU]])</f>
        <v>VE-404G07</v>
      </c>
    </row>
    <row r="253" spans="1:10" x14ac:dyDescent="0.25">
      <c r="A253" s="1" t="s">
        <v>763</v>
      </c>
      <c r="B253" t="s">
        <v>764</v>
      </c>
      <c r="C253" s="1" t="s">
        <v>7</v>
      </c>
      <c r="D253" t="s">
        <v>8</v>
      </c>
      <c r="E253" t="s">
        <v>9</v>
      </c>
      <c r="F253" t="s">
        <v>10</v>
      </c>
      <c r="G253" t="s">
        <v>786</v>
      </c>
      <c r="H253">
        <v>17.5</v>
      </c>
      <c r="I253" s="6" t="str">
        <f>_xlfn.CONCAT("Art. złączny do produktu ",Tabela10[[#This Row],[KOD_PRODUKTU]])</f>
        <v>Art. złączny do produktu 404G07</v>
      </c>
      <c r="J253" s="6" t="str">
        <f>_xlfn.CONCAT("VE-",Tabela10[[#This Row],[KOD_PRODUKTU]])</f>
        <v>VE-404G07</v>
      </c>
    </row>
    <row r="254" spans="1:10" x14ac:dyDescent="0.25">
      <c r="A254" s="7" t="s">
        <v>787</v>
      </c>
      <c r="B254" s="6" t="s">
        <v>788</v>
      </c>
      <c r="C254" s="7" t="s">
        <v>649</v>
      </c>
      <c r="D254" s="6" t="s">
        <v>650</v>
      </c>
      <c r="E254" s="6" t="s">
        <v>651</v>
      </c>
      <c r="F254" s="6" t="s">
        <v>39</v>
      </c>
      <c r="G254" s="6" t="s">
        <v>652</v>
      </c>
      <c r="H254" s="6">
        <v>0.25</v>
      </c>
      <c r="I254" s="6" t="str">
        <f>_xlfn.CONCAT("Art. złączny do produktu ",Tabela10[[#This Row],[KOD_PRODUKTU]])</f>
        <v>Art. złączny do produktu 404G09</v>
      </c>
      <c r="J254" s="6" t="str">
        <f>_xlfn.CONCAT("VE-",Tabela10[[#This Row],[KOD_PRODUKTU]])</f>
        <v>VE-404G09</v>
      </c>
    </row>
    <row r="255" spans="1:10" x14ac:dyDescent="0.25">
      <c r="A255" s="1" t="s">
        <v>787</v>
      </c>
      <c r="B255" t="s">
        <v>788</v>
      </c>
      <c r="C255" s="1" t="s">
        <v>653</v>
      </c>
      <c r="D255" t="s">
        <v>654</v>
      </c>
      <c r="E255" t="s">
        <v>655</v>
      </c>
      <c r="F255" t="s">
        <v>49</v>
      </c>
      <c r="G255" t="s">
        <v>319</v>
      </c>
      <c r="H255">
        <v>0.84</v>
      </c>
      <c r="I255" s="6" t="str">
        <f>_xlfn.CONCAT("Art. złączny do produktu ",Tabela10[[#This Row],[KOD_PRODUKTU]])</f>
        <v>Art. złączny do produktu 404G09</v>
      </c>
      <c r="J255" s="6" t="str">
        <f>_xlfn.CONCAT("VE-",Tabela10[[#This Row],[KOD_PRODUKTU]])</f>
        <v>VE-404G09</v>
      </c>
    </row>
    <row r="256" spans="1:10" x14ac:dyDescent="0.25">
      <c r="A256" s="7" t="s">
        <v>787</v>
      </c>
      <c r="B256" s="6" t="s">
        <v>788</v>
      </c>
      <c r="C256" s="7" t="s">
        <v>656</v>
      </c>
      <c r="D256" s="6" t="s">
        <v>657</v>
      </c>
      <c r="E256" s="6" t="s">
        <v>658</v>
      </c>
      <c r="F256" s="6" t="s">
        <v>39</v>
      </c>
      <c r="G256" s="6" t="s">
        <v>25</v>
      </c>
      <c r="H256" s="6">
        <v>0.34</v>
      </c>
      <c r="I256" s="6" t="str">
        <f>_xlfn.CONCAT("Art. złączny do produktu ",Tabela10[[#This Row],[KOD_PRODUKTU]])</f>
        <v>Art. złączny do produktu 404G09</v>
      </c>
      <c r="J256" s="6" t="str">
        <f>_xlfn.CONCAT("VE-",Tabela10[[#This Row],[KOD_PRODUKTU]])</f>
        <v>VE-404G09</v>
      </c>
    </row>
    <row r="257" spans="1:10" x14ac:dyDescent="0.25">
      <c r="A257" s="1" t="s">
        <v>787</v>
      </c>
      <c r="B257" t="s">
        <v>788</v>
      </c>
      <c r="C257" s="1" t="s">
        <v>659</v>
      </c>
      <c r="D257" t="s">
        <v>660</v>
      </c>
      <c r="E257" t="s">
        <v>661</v>
      </c>
      <c r="F257" t="s">
        <v>39</v>
      </c>
      <c r="G257" t="s">
        <v>605</v>
      </c>
      <c r="H257">
        <v>2</v>
      </c>
      <c r="I257" s="6" t="str">
        <f>_xlfn.CONCAT("Art. złączny do produktu ",Tabela10[[#This Row],[KOD_PRODUKTU]])</f>
        <v>Art. złączny do produktu 404G09</v>
      </c>
      <c r="J257" s="6" t="str">
        <f>_xlfn.CONCAT("VE-",Tabela10[[#This Row],[KOD_PRODUKTU]])</f>
        <v>VE-404G09</v>
      </c>
    </row>
    <row r="258" spans="1:10" x14ac:dyDescent="0.25">
      <c r="A258" s="7" t="s">
        <v>787</v>
      </c>
      <c r="B258" s="6" t="s">
        <v>788</v>
      </c>
      <c r="C258" s="7" t="s">
        <v>662</v>
      </c>
      <c r="D258" s="6" t="s">
        <v>789</v>
      </c>
      <c r="E258" s="6" t="s">
        <v>513</v>
      </c>
      <c r="F258" s="6" t="s">
        <v>39</v>
      </c>
      <c r="G258" s="6" t="s">
        <v>40</v>
      </c>
      <c r="H258" s="6">
        <v>0.06</v>
      </c>
      <c r="I258" s="6" t="str">
        <f>_xlfn.CONCAT("Art. złączny do produktu ",Tabela10[[#This Row],[KOD_PRODUKTU]])</f>
        <v>Art. złączny do produktu 404G09</v>
      </c>
      <c r="J258" s="6" t="str">
        <f>_xlfn.CONCAT("VE-",Tabela10[[#This Row],[KOD_PRODUKTU]])</f>
        <v>VE-404G09</v>
      </c>
    </row>
    <row r="259" spans="1:10" x14ac:dyDescent="0.25">
      <c r="A259" s="1" t="s">
        <v>787</v>
      </c>
      <c r="B259" t="s">
        <v>788</v>
      </c>
      <c r="C259" s="1" t="s">
        <v>664</v>
      </c>
      <c r="D259" t="s">
        <v>665</v>
      </c>
      <c r="E259" t="s">
        <v>666</v>
      </c>
      <c r="F259" t="s">
        <v>39</v>
      </c>
      <c r="G259" t="s">
        <v>652</v>
      </c>
      <c r="H259">
        <v>0.53</v>
      </c>
      <c r="I259" s="6" t="str">
        <f>_xlfn.CONCAT("Art. złączny do produktu ",Tabela10[[#This Row],[KOD_PRODUKTU]])</f>
        <v>Art. złączny do produktu 404G09</v>
      </c>
      <c r="J259" s="6" t="str">
        <f>_xlfn.CONCAT("VE-",Tabela10[[#This Row],[KOD_PRODUKTU]])</f>
        <v>VE-404G09</v>
      </c>
    </row>
    <row r="260" spans="1:10" x14ac:dyDescent="0.25">
      <c r="A260" s="7" t="s">
        <v>787</v>
      </c>
      <c r="B260" s="6" t="s">
        <v>788</v>
      </c>
      <c r="C260" s="7" t="s">
        <v>41</v>
      </c>
      <c r="D260" s="6" t="s">
        <v>42</v>
      </c>
      <c r="E260" s="6" t="s">
        <v>43</v>
      </c>
      <c r="F260" s="6" t="s">
        <v>5</v>
      </c>
      <c r="G260" s="6" t="s">
        <v>790</v>
      </c>
      <c r="H260" s="6">
        <v>0.05</v>
      </c>
      <c r="I260" s="6" t="str">
        <f>_xlfn.CONCAT("Art. złączny do produktu ",Tabela10[[#This Row],[KOD_PRODUKTU]])</f>
        <v>Art. złączny do produktu 404G09</v>
      </c>
      <c r="J260" s="6" t="str">
        <f>_xlfn.CONCAT("VE-",Tabela10[[#This Row],[KOD_PRODUKTU]])</f>
        <v>VE-404G09</v>
      </c>
    </row>
    <row r="261" spans="1:10" x14ac:dyDescent="0.25">
      <c r="A261" s="1" t="s">
        <v>787</v>
      </c>
      <c r="B261" t="s">
        <v>788</v>
      </c>
      <c r="C261" s="1" t="s">
        <v>791</v>
      </c>
      <c r="D261" t="s">
        <v>792</v>
      </c>
      <c r="E261" t="s">
        <v>793</v>
      </c>
      <c r="F261" t="s">
        <v>121</v>
      </c>
      <c r="G261" t="s">
        <v>50</v>
      </c>
      <c r="H261">
        <v>30.95</v>
      </c>
      <c r="I261" s="6" t="str">
        <f>_xlfn.CONCAT("Art. złączny do produktu ",Tabela10[[#This Row],[KOD_PRODUKTU]])</f>
        <v>Art. złączny do produktu 404G09</v>
      </c>
      <c r="J261" s="6" t="str">
        <f>_xlfn.CONCAT("VE-",Tabela10[[#This Row],[KOD_PRODUKTU]])</f>
        <v>VE-404G09</v>
      </c>
    </row>
    <row r="262" spans="1:10" x14ac:dyDescent="0.25">
      <c r="A262" s="7" t="s">
        <v>787</v>
      </c>
      <c r="B262" s="6" t="s">
        <v>788</v>
      </c>
      <c r="C262" s="7" t="s">
        <v>794</v>
      </c>
      <c r="D262" s="6" t="s">
        <v>795</v>
      </c>
      <c r="E262" s="6" t="s">
        <v>796</v>
      </c>
      <c r="F262" s="6" t="s">
        <v>121</v>
      </c>
      <c r="G262" s="6" t="s">
        <v>50</v>
      </c>
      <c r="H262" s="6">
        <v>25.1</v>
      </c>
      <c r="I262" s="6" t="str">
        <f>_xlfn.CONCAT("Art. złączny do produktu ",Tabela10[[#This Row],[KOD_PRODUKTU]])</f>
        <v>Art. złączny do produktu 404G09</v>
      </c>
      <c r="J262" s="6" t="str">
        <f>_xlfn.CONCAT("VE-",Tabela10[[#This Row],[KOD_PRODUKTU]])</f>
        <v>VE-404G09</v>
      </c>
    </row>
    <row r="263" spans="1:10" x14ac:dyDescent="0.25">
      <c r="A263" s="1" t="s">
        <v>787</v>
      </c>
      <c r="B263" t="s">
        <v>788</v>
      </c>
      <c r="C263" s="1" t="s">
        <v>797</v>
      </c>
      <c r="D263" t="s">
        <v>798</v>
      </c>
      <c r="E263" t="s">
        <v>793</v>
      </c>
      <c r="F263" t="s">
        <v>121</v>
      </c>
      <c r="G263" t="s">
        <v>50</v>
      </c>
      <c r="H263">
        <v>30.95</v>
      </c>
      <c r="I263" s="6" t="str">
        <f>_xlfn.CONCAT("Art. złączny do produktu ",Tabela10[[#This Row],[KOD_PRODUKTU]])</f>
        <v>Art. złączny do produktu 404G09</v>
      </c>
      <c r="J263" s="6" t="str">
        <f>_xlfn.CONCAT("VE-",Tabela10[[#This Row],[KOD_PRODUKTU]])</f>
        <v>VE-404G09</v>
      </c>
    </row>
    <row r="264" spans="1:10" x14ac:dyDescent="0.25">
      <c r="A264" s="7" t="s">
        <v>787</v>
      </c>
      <c r="B264" s="6" t="s">
        <v>788</v>
      </c>
      <c r="C264" s="7" t="s">
        <v>799</v>
      </c>
      <c r="D264" s="6" t="s">
        <v>800</v>
      </c>
      <c r="E264" s="6" t="s">
        <v>255</v>
      </c>
      <c r="F264" s="6" t="s">
        <v>121</v>
      </c>
      <c r="G264" s="6" t="s">
        <v>50</v>
      </c>
      <c r="H264" s="6">
        <v>32.5</v>
      </c>
      <c r="I264" s="6" t="str">
        <f>_xlfn.CONCAT("Art. złączny do produktu ",Tabela10[[#This Row],[KOD_PRODUKTU]])</f>
        <v>Art. złączny do produktu 404G09</v>
      </c>
      <c r="J264" s="6" t="str">
        <f>_xlfn.CONCAT("VE-",Tabela10[[#This Row],[KOD_PRODUKTU]])</f>
        <v>VE-404G09</v>
      </c>
    </row>
    <row r="265" spans="1:10" x14ac:dyDescent="0.25">
      <c r="A265" s="1" t="s">
        <v>787</v>
      </c>
      <c r="B265" t="s">
        <v>788</v>
      </c>
      <c r="C265" s="1" t="s">
        <v>801</v>
      </c>
      <c r="D265" t="s">
        <v>802</v>
      </c>
      <c r="E265" t="s">
        <v>803</v>
      </c>
      <c r="F265" t="s">
        <v>121</v>
      </c>
      <c r="G265" t="s">
        <v>50</v>
      </c>
      <c r="H265">
        <v>48.1</v>
      </c>
      <c r="I265" s="6" t="str">
        <f>_xlfn.CONCAT("Art. złączny do produktu ",Tabela10[[#This Row],[KOD_PRODUKTU]])</f>
        <v>Art. złączny do produktu 404G09</v>
      </c>
      <c r="J265" s="6" t="str">
        <f>_xlfn.CONCAT("VE-",Tabela10[[#This Row],[KOD_PRODUKTU]])</f>
        <v>VE-404G09</v>
      </c>
    </row>
    <row r="266" spans="1:10" x14ac:dyDescent="0.25">
      <c r="A266" s="7" t="s">
        <v>787</v>
      </c>
      <c r="B266" s="6" t="s">
        <v>788</v>
      </c>
      <c r="C266" s="7" t="s">
        <v>688</v>
      </c>
      <c r="D266" s="6" t="s">
        <v>810</v>
      </c>
      <c r="E266" s="6" t="s">
        <v>811</v>
      </c>
      <c r="F266" s="6" t="s">
        <v>10</v>
      </c>
      <c r="G266" s="6" t="s">
        <v>812</v>
      </c>
      <c r="H266" s="6">
        <v>30</v>
      </c>
      <c r="I266" s="6" t="str">
        <f>_xlfn.CONCAT("Art. złączny do produktu ",Tabela10[[#This Row],[KOD_PRODUKTU]])</f>
        <v>Art. złączny do produktu 404G09</v>
      </c>
      <c r="J266" s="6" t="str">
        <f>_xlfn.CONCAT("VE-",Tabela10[[#This Row],[KOD_PRODUKTU]])</f>
        <v>VE-404G09</v>
      </c>
    </row>
    <row r="267" spans="1:10" x14ac:dyDescent="0.25">
      <c r="A267" s="1" t="s">
        <v>787</v>
      </c>
      <c r="B267" t="s">
        <v>788</v>
      </c>
      <c r="C267" s="1" t="s">
        <v>7</v>
      </c>
      <c r="D267" t="s">
        <v>8</v>
      </c>
      <c r="E267" t="s">
        <v>9</v>
      </c>
      <c r="F267" t="s">
        <v>10</v>
      </c>
      <c r="G267" t="s">
        <v>813</v>
      </c>
      <c r="H267">
        <v>259.75</v>
      </c>
      <c r="I267" s="6" t="str">
        <f>_xlfn.CONCAT("Art. złączny do produktu ",Tabela10[[#This Row],[KOD_PRODUKTU]])</f>
        <v>Art. złączny do produktu 404G09</v>
      </c>
      <c r="J267" s="6" t="str">
        <f>_xlfn.CONCAT("VE-",Tabela10[[#This Row],[KOD_PRODUKTU]])</f>
        <v>VE-404G09</v>
      </c>
    </row>
    <row r="268" spans="1:10" x14ac:dyDescent="0.25">
      <c r="A268" s="7" t="s">
        <v>814</v>
      </c>
      <c r="B268" s="6" t="s">
        <v>815</v>
      </c>
      <c r="C268" s="7" t="s">
        <v>479</v>
      </c>
      <c r="D268" s="6" t="s">
        <v>480</v>
      </c>
      <c r="E268" s="6" t="s">
        <v>626</v>
      </c>
      <c r="F268" s="6" t="s">
        <v>5</v>
      </c>
      <c r="G268" s="6" t="s">
        <v>736</v>
      </c>
      <c r="H268" s="6">
        <v>0.1</v>
      </c>
      <c r="I268" s="6" t="str">
        <f>_xlfn.CONCAT("Art. złączny do produktu ",Tabela10[[#This Row],[KOD_PRODUKTU]])</f>
        <v>Art. złączny do produktu 404G11</v>
      </c>
      <c r="J268" s="6" t="str">
        <f>_xlfn.CONCAT("VE-",Tabela10[[#This Row],[KOD_PRODUKTU]])</f>
        <v>VE-404G11</v>
      </c>
    </row>
    <row r="269" spans="1:10" x14ac:dyDescent="0.25">
      <c r="A269" s="1" t="s">
        <v>814</v>
      </c>
      <c r="B269" t="s">
        <v>815</v>
      </c>
      <c r="C269" s="1" t="s">
        <v>628</v>
      </c>
      <c r="D269" t="s">
        <v>629</v>
      </c>
      <c r="E269" t="s">
        <v>630</v>
      </c>
      <c r="F269" t="s">
        <v>5</v>
      </c>
      <c r="G269" t="s">
        <v>737</v>
      </c>
      <c r="H269">
        <v>0.04</v>
      </c>
      <c r="I269" s="6" t="str">
        <f>_xlfn.CONCAT("Art. złączny do produktu ",Tabela10[[#This Row],[KOD_PRODUKTU]])</f>
        <v>Art. złączny do produktu 404G11</v>
      </c>
      <c r="J269" s="6" t="str">
        <f>_xlfn.CONCAT("VE-",Tabela10[[#This Row],[KOD_PRODUKTU]])</f>
        <v>VE-404G11</v>
      </c>
    </row>
    <row r="270" spans="1:10" x14ac:dyDescent="0.25">
      <c r="A270" s="7" t="s">
        <v>814</v>
      </c>
      <c r="B270" s="6" t="s">
        <v>815</v>
      </c>
      <c r="C270" s="7" t="s">
        <v>738</v>
      </c>
      <c r="D270" s="6" t="s">
        <v>739</v>
      </c>
      <c r="E270" s="6" t="s">
        <v>816</v>
      </c>
      <c r="F270" s="6" t="s">
        <v>121</v>
      </c>
      <c r="G270" s="6" t="s">
        <v>268</v>
      </c>
      <c r="H270" s="6">
        <v>1.17</v>
      </c>
      <c r="I270" s="6" t="str">
        <f>_xlfn.CONCAT("Art. złączny do produktu ",Tabela10[[#This Row],[KOD_PRODUKTU]])</f>
        <v>Art. złączny do produktu 404G11</v>
      </c>
      <c r="J270" s="6" t="str">
        <f>_xlfn.CONCAT("VE-",Tabela10[[#This Row],[KOD_PRODUKTU]])</f>
        <v>VE-404G11</v>
      </c>
    </row>
    <row r="271" spans="1:10" x14ac:dyDescent="0.25">
      <c r="A271" s="1" t="s">
        <v>814</v>
      </c>
      <c r="B271" t="s">
        <v>815</v>
      </c>
      <c r="C271" s="1" t="s">
        <v>704</v>
      </c>
      <c r="D271" t="s">
        <v>705</v>
      </c>
      <c r="E271" t="s">
        <v>744</v>
      </c>
      <c r="F271" t="s">
        <v>121</v>
      </c>
      <c r="G271" t="s">
        <v>50</v>
      </c>
      <c r="H271">
        <v>0.4</v>
      </c>
      <c r="I271" s="6" t="str">
        <f>_xlfn.CONCAT("Art. złączny do produktu ",Tabela10[[#This Row],[KOD_PRODUKTU]])</f>
        <v>Art. złączny do produktu 404G11</v>
      </c>
      <c r="J271" s="6" t="str">
        <f>_xlfn.CONCAT("VE-",Tabela10[[#This Row],[KOD_PRODUKTU]])</f>
        <v>VE-404G11</v>
      </c>
    </row>
    <row r="272" spans="1:10" x14ac:dyDescent="0.25">
      <c r="A272" s="7" t="s">
        <v>814</v>
      </c>
      <c r="B272" s="6" t="s">
        <v>815</v>
      </c>
      <c r="C272" s="7" t="s">
        <v>684</v>
      </c>
      <c r="D272" s="6" t="s">
        <v>685</v>
      </c>
      <c r="E272" s="6" t="s">
        <v>686</v>
      </c>
      <c r="F272" s="6" t="s">
        <v>49</v>
      </c>
      <c r="G272" s="6" t="s">
        <v>826</v>
      </c>
      <c r="H272" s="6">
        <v>7.52</v>
      </c>
      <c r="I272" s="6" t="str">
        <f>_xlfn.CONCAT("Art. złączny do produktu ",Tabela10[[#This Row],[KOD_PRODUKTU]])</f>
        <v>Art. złączny do produktu 404G11</v>
      </c>
      <c r="J272" s="6" t="str">
        <f>_xlfn.CONCAT("VE-",Tabela10[[#This Row],[KOD_PRODUKTU]])</f>
        <v>VE-404G11</v>
      </c>
    </row>
    <row r="273" spans="1:10" x14ac:dyDescent="0.25">
      <c r="A273" s="1" t="s">
        <v>814</v>
      </c>
      <c r="B273" t="s">
        <v>815</v>
      </c>
      <c r="C273" s="1" t="s">
        <v>7</v>
      </c>
      <c r="D273" t="s">
        <v>8</v>
      </c>
      <c r="E273" t="s">
        <v>9</v>
      </c>
      <c r="F273" t="s">
        <v>10</v>
      </c>
      <c r="G273" t="s">
        <v>827</v>
      </c>
      <c r="H273">
        <v>16.149999999999999</v>
      </c>
      <c r="I273" s="6" t="str">
        <f>_xlfn.CONCAT("Art. złączny do produktu ",Tabela10[[#This Row],[KOD_PRODUKTU]])</f>
        <v>Art. złączny do produktu 404G11</v>
      </c>
      <c r="J273" s="6" t="str">
        <f>_xlfn.CONCAT("VE-",Tabela10[[#This Row],[KOD_PRODUKTU]])</f>
        <v>VE-404G11</v>
      </c>
    </row>
    <row r="274" spans="1:10" x14ac:dyDescent="0.25">
      <c r="A274" s="7" t="s">
        <v>828</v>
      </c>
      <c r="B274" s="6" t="s">
        <v>829</v>
      </c>
      <c r="C274" s="7" t="s">
        <v>649</v>
      </c>
      <c r="D274" s="6" t="s">
        <v>650</v>
      </c>
      <c r="E274" s="6" t="s">
        <v>651</v>
      </c>
      <c r="F274" s="6" t="s">
        <v>39</v>
      </c>
      <c r="G274" s="6" t="s">
        <v>652</v>
      </c>
      <c r="H274" s="6">
        <v>0.25</v>
      </c>
      <c r="I274" s="6" t="str">
        <f>_xlfn.CONCAT("Art. złączny do produktu ",Tabela10[[#This Row],[KOD_PRODUKTU]])</f>
        <v>Art. złączny do produktu 404G17</v>
      </c>
      <c r="J274" s="6" t="str">
        <f>_xlfn.CONCAT("VE-",Tabela10[[#This Row],[KOD_PRODUKTU]])</f>
        <v>VE-404G17</v>
      </c>
    </row>
    <row r="275" spans="1:10" x14ac:dyDescent="0.25">
      <c r="A275" s="1" t="s">
        <v>828</v>
      </c>
      <c r="B275" t="s">
        <v>829</v>
      </c>
      <c r="C275" s="1" t="s">
        <v>653</v>
      </c>
      <c r="D275" t="s">
        <v>654</v>
      </c>
      <c r="E275" t="s">
        <v>655</v>
      </c>
      <c r="F275" t="s">
        <v>49</v>
      </c>
      <c r="G275" t="s">
        <v>319</v>
      </c>
      <c r="H275">
        <v>0.84</v>
      </c>
      <c r="I275" s="6" t="str">
        <f>_xlfn.CONCAT("Art. złączny do produktu ",Tabela10[[#This Row],[KOD_PRODUKTU]])</f>
        <v>Art. złączny do produktu 404G17</v>
      </c>
      <c r="J275" s="6" t="str">
        <f>_xlfn.CONCAT("VE-",Tabela10[[#This Row],[KOD_PRODUKTU]])</f>
        <v>VE-404G17</v>
      </c>
    </row>
    <row r="276" spans="1:10" x14ac:dyDescent="0.25">
      <c r="A276" s="7" t="s">
        <v>828</v>
      </c>
      <c r="B276" s="6" t="s">
        <v>829</v>
      </c>
      <c r="C276" s="7" t="s">
        <v>656</v>
      </c>
      <c r="D276" s="6" t="s">
        <v>657</v>
      </c>
      <c r="E276" s="6" t="s">
        <v>658</v>
      </c>
      <c r="F276" s="6" t="s">
        <v>39</v>
      </c>
      <c r="G276" s="6" t="s">
        <v>25</v>
      </c>
      <c r="H276" s="6">
        <v>0.34</v>
      </c>
      <c r="I276" s="6" t="str">
        <f>_xlfn.CONCAT("Art. złączny do produktu ",Tabela10[[#This Row],[KOD_PRODUKTU]])</f>
        <v>Art. złączny do produktu 404G17</v>
      </c>
      <c r="J276" s="6" t="str">
        <f>_xlfn.CONCAT("VE-",Tabela10[[#This Row],[KOD_PRODUKTU]])</f>
        <v>VE-404G17</v>
      </c>
    </row>
    <row r="277" spans="1:10" x14ac:dyDescent="0.25">
      <c r="A277" s="1" t="s">
        <v>828</v>
      </c>
      <c r="B277" t="s">
        <v>829</v>
      </c>
      <c r="C277" s="1" t="s">
        <v>659</v>
      </c>
      <c r="D277" t="s">
        <v>660</v>
      </c>
      <c r="E277" t="s">
        <v>661</v>
      </c>
      <c r="F277" t="s">
        <v>39</v>
      </c>
      <c r="G277" t="s">
        <v>605</v>
      </c>
      <c r="H277">
        <v>2</v>
      </c>
      <c r="I277" s="6" t="str">
        <f>_xlfn.CONCAT("Art. złączny do produktu ",Tabela10[[#This Row],[KOD_PRODUKTU]])</f>
        <v>Art. złączny do produktu 404G17</v>
      </c>
      <c r="J277" s="6" t="str">
        <f>_xlfn.CONCAT("VE-",Tabela10[[#This Row],[KOD_PRODUKTU]])</f>
        <v>VE-404G17</v>
      </c>
    </row>
    <row r="278" spans="1:10" x14ac:dyDescent="0.25">
      <c r="A278" s="7" t="s">
        <v>828</v>
      </c>
      <c r="B278" s="6" t="s">
        <v>829</v>
      </c>
      <c r="C278" s="7" t="s">
        <v>664</v>
      </c>
      <c r="D278" s="6" t="s">
        <v>665</v>
      </c>
      <c r="E278" s="6" t="s">
        <v>666</v>
      </c>
      <c r="F278" s="6" t="s">
        <v>39</v>
      </c>
      <c r="G278" s="6" t="s">
        <v>652</v>
      </c>
      <c r="H278" s="6">
        <v>0.53</v>
      </c>
      <c r="I278" s="6" t="str">
        <f>_xlfn.CONCAT("Art. złączny do produktu ",Tabela10[[#This Row],[KOD_PRODUKTU]])</f>
        <v>Art. złączny do produktu 404G17</v>
      </c>
      <c r="J278" s="6" t="str">
        <f>_xlfn.CONCAT("VE-",Tabela10[[#This Row],[KOD_PRODUKTU]])</f>
        <v>VE-404G17</v>
      </c>
    </row>
    <row r="279" spans="1:10" x14ac:dyDescent="0.25">
      <c r="A279" s="1" t="s">
        <v>828</v>
      </c>
      <c r="B279" t="s">
        <v>829</v>
      </c>
      <c r="C279" s="1" t="s">
        <v>41</v>
      </c>
      <c r="D279" t="s">
        <v>42</v>
      </c>
      <c r="E279" t="s">
        <v>43</v>
      </c>
      <c r="F279" t="s">
        <v>5</v>
      </c>
      <c r="G279" t="s">
        <v>227</v>
      </c>
      <c r="H279">
        <v>0.01</v>
      </c>
      <c r="I279" s="6" t="str">
        <f>_xlfn.CONCAT("Art. złączny do produktu ",Tabela10[[#This Row],[KOD_PRODUKTU]])</f>
        <v>Art. złączny do produktu 404G17</v>
      </c>
      <c r="J279" s="6" t="str">
        <f>_xlfn.CONCAT("VE-",Tabela10[[#This Row],[KOD_PRODUKTU]])</f>
        <v>VE-404G17</v>
      </c>
    </row>
    <row r="280" spans="1:10" x14ac:dyDescent="0.25">
      <c r="A280" s="7" t="s">
        <v>828</v>
      </c>
      <c r="B280" s="6" t="s">
        <v>829</v>
      </c>
      <c r="C280" s="7" t="s">
        <v>830</v>
      </c>
      <c r="D280" s="6" t="s">
        <v>831</v>
      </c>
      <c r="E280" s="6" t="s">
        <v>832</v>
      </c>
      <c r="F280" s="6" t="s">
        <v>49</v>
      </c>
      <c r="G280" s="6" t="s">
        <v>50</v>
      </c>
      <c r="H280" s="6">
        <v>54.6</v>
      </c>
      <c r="I280" s="6" t="str">
        <f>_xlfn.CONCAT("Art. złączny do produktu ",Tabela10[[#This Row],[KOD_PRODUKTU]])</f>
        <v>Art. złączny do produktu 404G17</v>
      </c>
      <c r="J280" s="6" t="str">
        <f>_xlfn.CONCAT("VE-",Tabela10[[#This Row],[KOD_PRODUKTU]])</f>
        <v>VE-404G17</v>
      </c>
    </row>
    <row r="281" spans="1:10" x14ac:dyDescent="0.25">
      <c r="A281" s="1" t="s">
        <v>828</v>
      </c>
      <c r="B281" t="s">
        <v>829</v>
      </c>
      <c r="C281" s="1" t="s">
        <v>833</v>
      </c>
      <c r="D281" t="s">
        <v>834</v>
      </c>
      <c r="E281" t="s">
        <v>835</v>
      </c>
      <c r="F281" t="s">
        <v>49</v>
      </c>
      <c r="G281" t="s">
        <v>50</v>
      </c>
      <c r="H281">
        <v>40.299999999999997</v>
      </c>
      <c r="I281" s="6" t="str">
        <f>_xlfn.CONCAT("Art. złączny do produktu ",Tabela10[[#This Row],[KOD_PRODUKTU]])</f>
        <v>Art. złączny do produktu 404G17</v>
      </c>
      <c r="J281" s="6" t="str">
        <f>_xlfn.CONCAT("VE-",Tabela10[[#This Row],[KOD_PRODUKTU]])</f>
        <v>VE-404G17</v>
      </c>
    </row>
    <row r="282" spans="1:10" x14ac:dyDescent="0.25">
      <c r="A282" s="7" t="s">
        <v>828</v>
      </c>
      <c r="B282" s="6" t="s">
        <v>829</v>
      </c>
      <c r="C282" s="7" t="s">
        <v>836</v>
      </c>
      <c r="D282" s="6" t="s">
        <v>837</v>
      </c>
      <c r="E282" s="6" t="s">
        <v>838</v>
      </c>
      <c r="F282" s="6" t="s">
        <v>49</v>
      </c>
      <c r="G282" s="6" t="s">
        <v>50</v>
      </c>
      <c r="H282" s="6">
        <v>50.7</v>
      </c>
      <c r="I282" s="6" t="str">
        <f>_xlfn.CONCAT("Art. złączny do produktu ",Tabela10[[#This Row],[KOD_PRODUKTU]])</f>
        <v>Art. złączny do produktu 404G17</v>
      </c>
      <c r="J282" s="6" t="str">
        <f>_xlfn.CONCAT("VE-",Tabela10[[#This Row],[KOD_PRODUKTU]])</f>
        <v>VE-404G17</v>
      </c>
    </row>
    <row r="283" spans="1:10" x14ac:dyDescent="0.25">
      <c r="A283" s="1" t="s">
        <v>828</v>
      </c>
      <c r="B283" t="s">
        <v>829</v>
      </c>
      <c r="C283" s="1" t="s">
        <v>839</v>
      </c>
      <c r="D283" t="s">
        <v>840</v>
      </c>
      <c r="E283" t="s">
        <v>841</v>
      </c>
      <c r="F283" t="s">
        <v>49</v>
      </c>
      <c r="G283" t="s">
        <v>50</v>
      </c>
      <c r="H283">
        <v>5.91</v>
      </c>
      <c r="I283" s="6" t="str">
        <f>_xlfn.CONCAT("Art. złączny do produktu ",Tabela10[[#This Row],[KOD_PRODUKTU]])</f>
        <v>Art. złączny do produktu 404G17</v>
      </c>
      <c r="J283" s="6" t="str">
        <f>_xlfn.CONCAT("VE-",Tabela10[[#This Row],[KOD_PRODUKTU]])</f>
        <v>VE-404G17</v>
      </c>
    </row>
    <row r="284" spans="1:10" x14ac:dyDescent="0.25">
      <c r="A284" s="7" t="s">
        <v>828</v>
      </c>
      <c r="B284" s="6" t="s">
        <v>829</v>
      </c>
      <c r="C284" s="7" t="s">
        <v>842</v>
      </c>
      <c r="D284" s="6" t="s">
        <v>843</v>
      </c>
      <c r="E284" s="6" t="s">
        <v>844</v>
      </c>
      <c r="F284" s="6" t="s">
        <v>49</v>
      </c>
      <c r="G284" s="6" t="s">
        <v>92</v>
      </c>
      <c r="H284" s="6">
        <v>11.36</v>
      </c>
      <c r="I284" s="6" t="str">
        <f>_xlfn.CONCAT("Art. złączny do produktu ",Tabela10[[#This Row],[KOD_PRODUKTU]])</f>
        <v>Art. złączny do produktu 404G17</v>
      </c>
      <c r="J284" s="6" t="str">
        <f>_xlfn.CONCAT("VE-",Tabela10[[#This Row],[KOD_PRODUKTU]])</f>
        <v>VE-404G17</v>
      </c>
    </row>
    <row r="285" spans="1:10" x14ac:dyDescent="0.25">
      <c r="A285" s="1" t="s">
        <v>828</v>
      </c>
      <c r="B285" t="s">
        <v>829</v>
      </c>
      <c r="C285" s="1" t="s">
        <v>857</v>
      </c>
      <c r="D285" t="s">
        <v>858</v>
      </c>
      <c r="E285" t="s">
        <v>686</v>
      </c>
      <c r="F285" t="s">
        <v>49</v>
      </c>
      <c r="G285" t="s">
        <v>859</v>
      </c>
      <c r="H285">
        <v>8.6</v>
      </c>
      <c r="I285" s="6" t="str">
        <f>_xlfn.CONCAT("Art. złączny do produktu ",Tabela10[[#This Row],[KOD_PRODUKTU]])</f>
        <v>Art. złączny do produktu 404G17</v>
      </c>
      <c r="J285" s="6" t="str">
        <f>_xlfn.CONCAT("VE-",Tabela10[[#This Row],[KOD_PRODUKTU]])</f>
        <v>VE-404G17</v>
      </c>
    </row>
    <row r="286" spans="1:10" x14ac:dyDescent="0.25">
      <c r="A286" s="7" t="s">
        <v>828</v>
      </c>
      <c r="B286" s="6" t="s">
        <v>829</v>
      </c>
      <c r="C286" s="7" t="s">
        <v>7</v>
      </c>
      <c r="D286" s="6" t="s">
        <v>8</v>
      </c>
      <c r="E286" s="6" t="s">
        <v>9</v>
      </c>
      <c r="F286" s="6" t="s">
        <v>10</v>
      </c>
      <c r="G286" s="6" t="s">
        <v>860</v>
      </c>
      <c r="H286" s="6">
        <v>23</v>
      </c>
      <c r="I286" s="6" t="str">
        <f>_xlfn.CONCAT("Art. złączny do produktu ",Tabela10[[#This Row],[KOD_PRODUKTU]])</f>
        <v>Art. złączny do produktu 404G17</v>
      </c>
      <c r="J286" s="6" t="str">
        <f>_xlfn.CONCAT("VE-",Tabela10[[#This Row],[KOD_PRODUKTU]])</f>
        <v>VE-404G17</v>
      </c>
    </row>
    <row r="287" spans="1:10" x14ac:dyDescent="0.25">
      <c r="A287" s="1" t="s">
        <v>828</v>
      </c>
      <c r="B287" t="s">
        <v>829</v>
      </c>
      <c r="C287" s="1" t="s">
        <v>7</v>
      </c>
      <c r="D287" t="s">
        <v>8</v>
      </c>
      <c r="E287" t="s">
        <v>9</v>
      </c>
      <c r="F287" t="s">
        <v>10</v>
      </c>
      <c r="G287" t="s">
        <v>861</v>
      </c>
      <c r="H287">
        <v>103.5</v>
      </c>
      <c r="I287" s="6" t="str">
        <f>_xlfn.CONCAT("Art. złączny do produktu ",Tabela10[[#This Row],[KOD_PRODUKTU]])</f>
        <v>Art. złączny do produktu 404G17</v>
      </c>
      <c r="J287" s="6" t="str">
        <f>_xlfn.CONCAT("VE-",Tabela10[[#This Row],[KOD_PRODUKTU]])</f>
        <v>VE-404G17</v>
      </c>
    </row>
    <row r="288" spans="1:10" x14ac:dyDescent="0.25">
      <c r="A288" s="7" t="s">
        <v>862</v>
      </c>
      <c r="B288" s="6" t="s">
        <v>863</v>
      </c>
      <c r="C288" s="7" t="s">
        <v>649</v>
      </c>
      <c r="D288" s="6" t="s">
        <v>650</v>
      </c>
      <c r="E288" s="6" t="s">
        <v>651</v>
      </c>
      <c r="F288" s="6" t="s">
        <v>39</v>
      </c>
      <c r="G288" s="6" t="s">
        <v>25</v>
      </c>
      <c r="H288" s="6">
        <v>0.49</v>
      </c>
      <c r="I288" s="6" t="str">
        <f>_xlfn.CONCAT("Art. złączny do produktu ",Tabela10[[#This Row],[KOD_PRODUKTU]])</f>
        <v>Art. złączny do produktu 404G18</v>
      </c>
      <c r="J288" s="6" t="str">
        <f>_xlfn.CONCAT("VE-",Tabela10[[#This Row],[KOD_PRODUKTU]])</f>
        <v>VE-404G18</v>
      </c>
    </row>
    <row r="289" spans="1:10" x14ac:dyDescent="0.25">
      <c r="A289" s="1" t="s">
        <v>862</v>
      </c>
      <c r="B289" t="s">
        <v>863</v>
      </c>
      <c r="C289" s="1" t="s">
        <v>864</v>
      </c>
      <c r="D289" t="s">
        <v>865</v>
      </c>
      <c r="E289" t="s">
        <v>866</v>
      </c>
      <c r="F289" t="s">
        <v>39</v>
      </c>
      <c r="G289" t="s">
        <v>25</v>
      </c>
      <c r="H289">
        <v>0.18</v>
      </c>
      <c r="I289" s="6" t="str">
        <f>_xlfn.CONCAT("Art. złączny do produktu ",Tabela10[[#This Row],[KOD_PRODUKTU]])</f>
        <v>Art. złączny do produktu 404G18</v>
      </c>
      <c r="J289" s="6" t="str">
        <f>_xlfn.CONCAT("VE-",Tabela10[[#This Row],[KOD_PRODUKTU]])</f>
        <v>VE-404G18</v>
      </c>
    </row>
    <row r="290" spans="1:10" x14ac:dyDescent="0.25">
      <c r="A290" s="7" t="s">
        <v>862</v>
      </c>
      <c r="B290" s="6" t="s">
        <v>863</v>
      </c>
      <c r="C290" s="7" t="s">
        <v>867</v>
      </c>
      <c r="D290" s="6" t="s">
        <v>868</v>
      </c>
      <c r="E290" s="6" t="s">
        <v>255</v>
      </c>
      <c r="F290" s="6" t="s">
        <v>39</v>
      </c>
      <c r="G290" s="6" t="s">
        <v>25</v>
      </c>
      <c r="H290" s="6">
        <v>1.95</v>
      </c>
      <c r="I290" s="6" t="str">
        <f>_xlfn.CONCAT("Art. złączny do produktu ",Tabela10[[#This Row],[KOD_PRODUKTU]])</f>
        <v>Art. złączny do produktu 404G18</v>
      </c>
      <c r="J290" s="6" t="str">
        <f>_xlfn.CONCAT("VE-",Tabela10[[#This Row],[KOD_PRODUKTU]])</f>
        <v>VE-404G18</v>
      </c>
    </row>
    <row r="291" spans="1:10" x14ac:dyDescent="0.25">
      <c r="A291" s="1" t="s">
        <v>862</v>
      </c>
      <c r="B291" t="s">
        <v>863</v>
      </c>
      <c r="C291" s="1" t="s">
        <v>869</v>
      </c>
      <c r="D291" t="s">
        <v>870</v>
      </c>
      <c r="E291" t="s">
        <v>871</v>
      </c>
      <c r="F291" t="s">
        <v>39</v>
      </c>
      <c r="G291" t="s">
        <v>40</v>
      </c>
      <c r="H291">
        <v>1.8</v>
      </c>
      <c r="I291" s="6" t="str">
        <f>_xlfn.CONCAT("Art. złączny do produktu ",Tabela10[[#This Row],[KOD_PRODUKTU]])</f>
        <v>Art. złączny do produktu 404G18</v>
      </c>
      <c r="J291" s="6" t="str">
        <f>_xlfn.CONCAT("VE-",Tabela10[[#This Row],[KOD_PRODUKTU]])</f>
        <v>VE-404G18</v>
      </c>
    </row>
    <row r="292" spans="1:10" x14ac:dyDescent="0.25">
      <c r="A292" s="7" t="s">
        <v>862</v>
      </c>
      <c r="B292" s="6" t="s">
        <v>863</v>
      </c>
      <c r="C292" s="7" t="s">
        <v>41</v>
      </c>
      <c r="D292" s="6" t="s">
        <v>42</v>
      </c>
      <c r="E292" s="6" t="s">
        <v>43</v>
      </c>
      <c r="F292" s="6" t="s">
        <v>5</v>
      </c>
      <c r="G292" s="6" t="s">
        <v>550</v>
      </c>
      <c r="H292" s="6">
        <v>0.02</v>
      </c>
      <c r="I292" s="6" t="str">
        <f>_xlfn.CONCAT("Art. złączny do produktu ",Tabela10[[#This Row],[KOD_PRODUKTU]])</f>
        <v>Art. złączny do produktu 404G18</v>
      </c>
      <c r="J292" s="6" t="str">
        <f>_xlfn.CONCAT("VE-",Tabela10[[#This Row],[KOD_PRODUKTU]])</f>
        <v>VE-404G18</v>
      </c>
    </row>
    <row r="293" spans="1:10" x14ac:dyDescent="0.25">
      <c r="A293" s="1" t="s">
        <v>862</v>
      </c>
      <c r="B293" t="s">
        <v>863</v>
      </c>
      <c r="C293" s="1" t="s">
        <v>872</v>
      </c>
      <c r="D293" t="s">
        <v>873</v>
      </c>
      <c r="E293" t="s">
        <v>117</v>
      </c>
      <c r="F293" t="s">
        <v>49</v>
      </c>
      <c r="G293" t="s">
        <v>50</v>
      </c>
      <c r="H293">
        <v>20</v>
      </c>
      <c r="I293" s="6" t="str">
        <f>_xlfn.CONCAT("Art. złączny do produktu ",Tabela10[[#This Row],[KOD_PRODUKTU]])</f>
        <v>Art. złączny do produktu 404G18</v>
      </c>
      <c r="J293" s="6" t="str">
        <f>_xlfn.CONCAT("VE-",Tabela10[[#This Row],[KOD_PRODUKTU]])</f>
        <v>VE-404G18</v>
      </c>
    </row>
    <row r="294" spans="1:10" x14ac:dyDescent="0.25">
      <c r="A294" s="7" t="s">
        <v>862</v>
      </c>
      <c r="B294" s="6" t="s">
        <v>863</v>
      </c>
      <c r="C294" s="7" t="s">
        <v>874</v>
      </c>
      <c r="D294" s="6" t="s">
        <v>875</v>
      </c>
      <c r="E294" s="6" t="s">
        <v>876</v>
      </c>
      <c r="F294" s="6" t="s">
        <v>121</v>
      </c>
      <c r="G294" s="6" t="s">
        <v>50</v>
      </c>
      <c r="H294" s="6">
        <v>12</v>
      </c>
      <c r="I294" s="6" t="str">
        <f>_xlfn.CONCAT("Art. złączny do produktu ",Tabela10[[#This Row],[KOD_PRODUKTU]])</f>
        <v>Art. złączny do produktu 404G18</v>
      </c>
      <c r="J294" s="6" t="str">
        <f>_xlfn.CONCAT("VE-",Tabela10[[#This Row],[KOD_PRODUKTU]])</f>
        <v>VE-404G18</v>
      </c>
    </row>
    <row r="295" spans="1:10" x14ac:dyDescent="0.25">
      <c r="A295" s="1" t="s">
        <v>862</v>
      </c>
      <c r="B295" t="s">
        <v>863</v>
      </c>
      <c r="C295" s="1" t="s">
        <v>877</v>
      </c>
      <c r="D295" t="s">
        <v>878</v>
      </c>
      <c r="E295" t="s">
        <v>879</v>
      </c>
      <c r="F295" t="s">
        <v>49</v>
      </c>
      <c r="G295" t="s">
        <v>50</v>
      </c>
      <c r="H295">
        <v>14</v>
      </c>
      <c r="I295" s="6" t="str">
        <f>_xlfn.CONCAT("Art. złączny do produktu ",Tabela10[[#This Row],[KOD_PRODUKTU]])</f>
        <v>Art. złączny do produktu 404G18</v>
      </c>
      <c r="J295" s="6" t="str">
        <f>_xlfn.CONCAT("VE-",Tabela10[[#This Row],[KOD_PRODUKTU]])</f>
        <v>VE-404G18</v>
      </c>
    </row>
    <row r="296" spans="1:10" x14ac:dyDescent="0.25">
      <c r="A296" s="7" t="s">
        <v>862</v>
      </c>
      <c r="B296" s="6" t="s">
        <v>863</v>
      </c>
      <c r="C296" s="7" t="s">
        <v>880</v>
      </c>
      <c r="D296" s="6" t="s">
        <v>881</v>
      </c>
      <c r="E296" s="6" t="s">
        <v>263</v>
      </c>
      <c r="F296" s="6" t="s">
        <v>49</v>
      </c>
      <c r="G296" s="6" t="s">
        <v>50</v>
      </c>
      <c r="H296" s="6">
        <v>30</v>
      </c>
      <c r="I296" s="6" t="str">
        <f>_xlfn.CONCAT("Art. złączny do produktu ",Tabela10[[#This Row],[KOD_PRODUKTU]])</f>
        <v>Art. złączny do produktu 404G18</v>
      </c>
      <c r="J296" s="6" t="str">
        <f>_xlfn.CONCAT("VE-",Tabela10[[#This Row],[KOD_PRODUKTU]])</f>
        <v>VE-404G18</v>
      </c>
    </row>
    <row r="297" spans="1:10" x14ac:dyDescent="0.25">
      <c r="A297" s="1" t="s">
        <v>862</v>
      </c>
      <c r="B297" t="s">
        <v>863</v>
      </c>
      <c r="C297" s="1" t="s">
        <v>882</v>
      </c>
      <c r="D297" t="s">
        <v>883</v>
      </c>
      <c r="E297" t="s">
        <v>884</v>
      </c>
      <c r="F297" t="s">
        <v>49</v>
      </c>
      <c r="G297" t="s">
        <v>50</v>
      </c>
      <c r="H297">
        <v>24</v>
      </c>
      <c r="I297" s="6" t="str">
        <f>_xlfn.CONCAT("Art. złączny do produktu ",Tabela10[[#This Row],[KOD_PRODUKTU]])</f>
        <v>Art. złączny do produktu 404G18</v>
      </c>
      <c r="J297" s="6" t="str">
        <f>_xlfn.CONCAT("VE-",Tabela10[[#This Row],[KOD_PRODUKTU]])</f>
        <v>VE-404G18</v>
      </c>
    </row>
    <row r="298" spans="1:10" x14ac:dyDescent="0.25">
      <c r="A298" s="7" t="s">
        <v>862</v>
      </c>
      <c r="B298" s="6" t="s">
        <v>863</v>
      </c>
      <c r="C298" s="7" t="s">
        <v>885</v>
      </c>
      <c r="D298" s="6" t="s">
        <v>886</v>
      </c>
      <c r="E298" s="6" t="s">
        <v>887</v>
      </c>
      <c r="F298" s="6" t="s">
        <v>49</v>
      </c>
      <c r="G298" s="6" t="s">
        <v>50</v>
      </c>
      <c r="H298" s="6">
        <v>28</v>
      </c>
      <c r="I298" s="6" t="str">
        <f>_xlfn.CONCAT("Art. złączny do produktu ",Tabela10[[#This Row],[KOD_PRODUKTU]])</f>
        <v>Art. złączny do produktu 404G18</v>
      </c>
      <c r="J298" s="6" t="str">
        <f>_xlfn.CONCAT("VE-",Tabela10[[#This Row],[KOD_PRODUKTU]])</f>
        <v>VE-404G18</v>
      </c>
    </row>
    <row r="299" spans="1:10" x14ac:dyDescent="0.25">
      <c r="A299" s="1" t="s">
        <v>862</v>
      </c>
      <c r="B299" t="s">
        <v>863</v>
      </c>
      <c r="C299" s="1" t="s">
        <v>888</v>
      </c>
      <c r="D299" t="s">
        <v>889</v>
      </c>
      <c r="E299" t="s">
        <v>879</v>
      </c>
      <c r="F299" t="s">
        <v>49</v>
      </c>
      <c r="G299" t="s">
        <v>50</v>
      </c>
      <c r="H299">
        <v>14</v>
      </c>
      <c r="I299" s="6" t="str">
        <f>_xlfn.CONCAT("Art. złączny do produktu ",Tabela10[[#This Row],[KOD_PRODUKTU]])</f>
        <v>Art. złączny do produktu 404G18</v>
      </c>
      <c r="J299" s="6" t="str">
        <f>_xlfn.CONCAT("VE-",Tabela10[[#This Row],[KOD_PRODUKTU]])</f>
        <v>VE-404G18</v>
      </c>
    </row>
    <row r="300" spans="1:10" x14ac:dyDescent="0.25">
      <c r="A300" s="7" t="s">
        <v>862</v>
      </c>
      <c r="B300" s="6" t="s">
        <v>863</v>
      </c>
      <c r="C300" s="7" t="s">
        <v>857</v>
      </c>
      <c r="D300" s="6" t="s">
        <v>858</v>
      </c>
      <c r="E300" s="6" t="s">
        <v>686</v>
      </c>
      <c r="F300" s="6" t="s">
        <v>49</v>
      </c>
      <c r="G300" s="6" t="s">
        <v>890</v>
      </c>
      <c r="H300" s="6">
        <v>4.3</v>
      </c>
      <c r="I300" s="6" t="str">
        <f>_xlfn.CONCAT("Art. złączny do produktu ",Tabela10[[#This Row],[KOD_PRODUKTU]])</f>
        <v>Art. złączny do produktu 404G18</v>
      </c>
      <c r="J300" s="6" t="str">
        <f>_xlfn.CONCAT("VE-",Tabela10[[#This Row],[KOD_PRODUKTU]])</f>
        <v>VE-404G18</v>
      </c>
    </row>
    <row r="301" spans="1:10" x14ac:dyDescent="0.25">
      <c r="A301" s="1" t="s">
        <v>862</v>
      </c>
      <c r="B301" t="s">
        <v>863</v>
      </c>
      <c r="C301" s="1" t="s">
        <v>688</v>
      </c>
      <c r="D301" t="s">
        <v>810</v>
      </c>
      <c r="E301" t="s">
        <v>811</v>
      </c>
      <c r="F301" t="s">
        <v>10</v>
      </c>
      <c r="G301" t="s">
        <v>891</v>
      </c>
      <c r="H301">
        <v>132</v>
      </c>
      <c r="I301" s="6" t="str">
        <f>_xlfn.CONCAT("Art. złączny do produktu ",Tabela10[[#This Row],[KOD_PRODUKTU]])</f>
        <v>Art. złączny do produktu 404G18</v>
      </c>
      <c r="J301" s="6" t="str">
        <f>_xlfn.CONCAT("VE-",Tabela10[[#This Row],[KOD_PRODUKTU]])</f>
        <v>VE-404G18</v>
      </c>
    </row>
    <row r="302" spans="1:10" x14ac:dyDescent="0.25">
      <c r="A302" s="7" t="s">
        <v>862</v>
      </c>
      <c r="B302" s="6" t="s">
        <v>863</v>
      </c>
      <c r="C302" s="7" t="s">
        <v>7</v>
      </c>
      <c r="D302" s="6" t="s">
        <v>8</v>
      </c>
      <c r="E302" s="6" t="s">
        <v>9</v>
      </c>
      <c r="F302" s="6" t="s">
        <v>10</v>
      </c>
      <c r="G302" s="6" t="s">
        <v>860</v>
      </c>
      <c r="H302" s="6">
        <v>23</v>
      </c>
      <c r="I302" s="6" t="str">
        <f>_xlfn.CONCAT("Art. złączny do produktu ",Tabela10[[#This Row],[KOD_PRODUKTU]])</f>
        <v>Art. złączny do produktu 404G18</v>
      </c>
      <c r="J302" s="6" t="str">
        <f>_xlfn.CONCAT("VE-",Tabela10[[#This Row],[KOD_PRODUKTU]])</f>
        <v>VE-404G18</v>
      </c>
    </row>
    <row r="303" spans="1:10" x14ac:dyDescent="0.25">
      <c r="A303" s="1" t="s">
        <v>862</v>
      </c>
      <c r="B303" t="s">
        <v>863</v>
      </c>
      <c r="C303" s="1" t="s">
        <v>7</v>
      </c>
      <c r="D303" t="s">
        <v>8</v>
      </c>
      <c r="E303" t="s">
        <v>9</v>
      </c>
      <c r="F303" t="s">
        <v>10</v>
      </c>
      <c r="G303" t="s">
        <v>892</v>
      </c>
      <c r="H303">
        <v>146.4</v>
      </c>
      <c r="I303" s="6" t="str">
        <f>_xlfn.CONCAT("Art. złączny do produktu ",Tabela10[[#This Row],[KOD_PRODUKTU]])</f>
        <v>Art. złączny do produktu 404G18</v>
      </c>
      <c r="J303" s="6" t="str">
        <f>_xlfn.CONCAT("VE-",Tabela10[[#This Row],[KOD_PRODUKTU]])</f>
        <v>VE-404G18</v>
      </c>
    </row>
    <row r="304" spans="1:10" x14ac:dyDescent="0.25">
      <c r="A304" s="7" t="s">
        <v>893</v>
      </c>
      <c r="B304" s="6" t="s">
        <v>894</v>
      </c>
      <c r="C304" s="7" t="s">
        <v>895</v>
      </c>
      <c r="D304" s="6" t="s">
        <v>896</v>
      </c>
      <c r="E304" s="6" t="s">
        <v>897</v>
      </c>
      <c r="F304" s="6" t="s">
        <v>39</v>
      </c>
      <c r="G304" s="6" t="s">
        <v>25</v>
      </c>
      <c r="H304" s="6">
        <v>0.56999999999999995</v>
      </c>
      <c r="I304" s="6" t="str">
        <f>_xlfn.CONCAT("Art. złączny do produktu ",Tabela10[[#This Row],[KOD_PRODUKTU]])</f>
        <v>Art. złączny do produktu 404G19</v>
      </c>
      <c r="J304" s="6" t="str">
        <f>_xlfn.CONCAT("VE-",Tabela10[[#This Row],[KOD_PRODUKTU]])</f>
        <v>VE-404G19</v>
      </c>
    </row>
    <row r="305" spans="1:10" x14ac:dyDescent="0.25">
      <c r="A305" s="1" t="s">
        <v>893</v>
      </c>
      <c r="B305" t="s">
        <v>894</v>
      </c>
      <c r="C305" s="1" t="s">
        <v>898</v>
      </c>
      <c r="D305" t="s">
        <v>899</v>
      </c>
      <c r="E305" t="s">
        <v>866</v>
      </c>
      <c r="F305" t="s">
        <v>39</v>
      </c>
      <c r="G305" t="s">
        <v>25</v>
      </c>
      <c r="H305">
        <v>0.18</v>
      </c>
      <c r="I305" s="6" t="str">
        <f>_xlfn.CONCAT("Art. złączny do produktu ",Tabela10[[#This Row],[KOD_PRODUKTU]])</f>
        <v>Art. złączny do produktu 404G19</v>
      </c>
      <c r="J305" s="6" t="str">
        <f>_xlfn.CONCAT("VE-",Tabela10[[#This Row],[KOD_PRODUKTU]])</f>
        <v>VE-404G19</v>
      </c>
    </row>
    <row r="306" spans="1:10" x14ac:dyDescent="0.25">
      <c r="A306" s="7" t="s">
        <v>893</v>
      </c>
      <c r="B306" s="6" t="s">
        <v>894</v>
      </c>
      <c r="C306" s="7" t="s">
        <v>900</v>
      </c>
      <c r="D306" s="6" t="s">
        <v>901</v>
      </c>
      <c r="E306" s="6" t="s">
        <v>712</v>
      </c>
      <c r="F306" s="6" t="s">
        <v>39</v>
      </c>
      <c r="G306" s="6" t="s">
        <v>25</v>
      </c>
      <c r="H306" s="6">
        <v>1.5</v>
      </c>
      <c r="I306" s="6" t="str">
        <f>_xlfn.CONCAT("Art. złączny do produktu ",Tabela10[[#This Row],[KOD_PRODUKTU]])</f>
        <v>Art. złączny do produktu 404G19</v>
      </c>
      <c r="J306" s="6" t="str">
        <f>_xlfn.CONCAT("VE-",Tabela10[[#This Row],[KOD_PRODUKTU]])</f>
        <v>VE-404G19</v>
      </c>
    </row>
    <row r="307" spans="1:10" x14ac:dyDescent="0.25">
      <c r="A307" s="1" t="s">
        <v>893</v>
      </c>
      <c r="B307" t="s">
        <v>894</v>
      </c>
      <c r="C307" s="1" t="s">
        <v>869</v>
      </c>
      <c r="D307" t="s">
        <v>870</v>
      </c>
      <c r="E307" t="s">
        <v>871</v>
      </c>
      <c r="F307" t="s">
        <v>39</v>
      </c>
      <c r="G307" t="s">
        <v>40</v>
      </c>
      <c r="H307">
        <v>1.8</v>
      </c>
      <c r="I307" s="6" t="str">
        <f>_xlfn.CONCAT("Art. złączny do produktu ",Tabela10[[#This Row],[KOD_PRODUKTU]])</f>
        <v>Art. złączny do produktu 404G19</v>
      </c>
      <c r="J307" s="6" t="str">
        <f>_xlfn.CONCAT("VE-",Tabela10[[#This Row],[KOD_PRODUKTU]])</f>
        <v>VE-404G19</v>
      </c>
    </row>
    <row r="308" spans="1:10" x14ac:dyDescent="0.25">
      <c r="A308" s="7" t="s">
        <v>893</v>
      </c>
      <c r="B308" s="6" t="s">
        <v>894</v>
      </c>
      <c r="C308" s="7" t="s">
        <v>41</v>
      </c>
      <c r="D308" s="6" t="s">
        <v>42</v>
      </c>
      <c r="E308" s="6" t="s">
        <v>513</v>
      </c>
      <c r="F308" s="6" t="s">
        <v>5</v>
      </c>
      <c r="G308" s="6" t="s">
        <v>559</v>
      </c>
      <c r="H308" s="6">
        <v>0.04</v>
      </c>
      <c r="I308" s="6" t="str">
        <f>_xlfn.CONCAT("Art. złączny do produktu ",Tabela10[[#This Row],[KOD_PRODUKTU]])</f>
        <v>Art. złączny do produktu 404G19</v>
      </c>
      <c r="J308" s="6" t="str">
        <f>_xlfn.CONCAT("VE-",Tabela10[[#This Row],[KOD_PRODUKTU]])</f>
        <v>VE-404G19</v>
      </c>
    </row>
    <row r="309" spans="1:10" x14ac:dyDescent="0.25">
      <c r="A309" s="1" t="s">
        <v>893</v>
      </c>
      <c r="B309" t="s">
        <v>894</v>
      </c>
      <c r="C309" s="1" t="s">
        <v>902</v>
      </c>
      <c r="D309" t="s">
        <v>903</v>
      </c>
      <c r="E309" t="s">
        <v>904</v>
      </c>
      <c r="F309" t="s">
        <v>121</v>
      </c>
      <c r="G309" t="s">
        <v>50</v>
      </c>
      <c r="H309">
        <v>119.6</v>
      </c>
      <c r="I309" s="6" t="str">
        <f>_xlfn.CONCAT("Art. złączny do produktu ",Tabela10[[#This Row],[KOD_PRODUKTU]])</f>
        <v>Art. złączny do produktu 404G19</v>
      </c>
      <c r="J309" s="6" t="str">
        <f>_xlfn.CONCAT("VE-",Tabela10[[#This Row],[KOD_PRODUKTU]])</f>
        <v>VE-404G19</v>
      </c>
    </row>
    <row r="310" spans="1:10" x14ac:dyDescent="0.25">
      <c r="A310" s="7" t="s">
        <v>893</v>
      </c>
      <c r="B310" s="6" t="s">
        <v>894</v>
      </c>
      <c r="C310" s="7" t="s">
        <v>905</v>
      </c>
      <c r="D310" s="6" t="s">
        <v>906</v>
      </c>
      <c r="E310" s="6" t="s">
        <v>904</v>
      </c>
      <c r="F310" s="6" t="s">
        <v>121</v>
      </c>
      <c r="G310" s="6" t="s">
        <v>50</v>
      </c>
      <c r="H310" s="6">
        <v>119.6</v>
      </c>
      <c r="I310" s="6" t="str">
        <f>_xlfn.CONCAT("Art. złączny do produktu ",Tabela10[[#This Row],[KOD_PRODUKTU]])</f>
        <v>Art. złączny do produktu 404G19</v>
      </c>
      <c r="J310" s="6" t="str">
        <f>_xlfn.CONCAT("VE-",Tabela10[[#This Row],[KOD_PRODUKTU]])</f>
        <v>VE-404G19</v>
      </c>
    </row>
    <row r="311" spans="1:10" x14ac:dyDescent="0.25">
      <c r="A311" s="1" t="s">
        <v>893</v>
      </c>
      <c r="B311" t="s">
        <v>894</v>
      </c>
      <c r="C311" s="1" t="s">
        <v>907</v>
      </c>
      <c r="D311" t="s">
        <v>908</v>
      </c>
      <c r="E311" t="s">
        <v>909</v>
      </c>
      <c r="F311" t="s">
        <v>121</v>
      </c>
      <c r="G311" t="s">
        <v>50</v>
      </c>
      <c r="H311">
        <v>55.9</v>
      </c>
      <c r="I311" s="6" t="str">
        <f>_xlfn.CONCAT("Art. złączny do produktu ",Tabela10[[#This Row],[KOD_PRODUKTU]])</f>
        <v>Art. złączny do produktu 404G19</v>
      </c>
      <c r="J311" s="6" t="str">
        <f>_xlfn.CONCAT("VE-",Tabela10[[#This Row],[KOD_PRODUKTU]])</f>
        <v>VE-404G19</v>
      </c>
    </row>
    <row r="312" spans="1:10" x14ac:dyDescent="0.25">
      <c r="A312" s="7" t="s">
        <v>893</v>
      </c>
      <c r="B312" s="6" t="s">
        <v>894</v>
      </c>
      <c r="C312" s="7" t="s">
        <v>910</v>
      </c>
      <c r="D312" s="6" t="s">
        <v>911</v>
      </c>
      <c r="E312" s="6" t="s">
        <v>912</v>
      </c>
      <c r="F312" s="6" t="s">
        <v>121</v>
      </c>
      <c r="G312" s="6" t="s">
        <v>50</v>
      </c>
      <c r="H312" s="6">
        <v>114.4</v>
      </c>
      <c r="I312" s="6" t="str">
        <f>_xlfn.CONCAT("Art. złączny do produktu ",Tabela10[[#This Row],[KOD_PRODUKTU]])</f>
        <v>Art. złączny do produktu 404G19</v>
      </c>
      <c r="J312" s="6" t="str">
        <f>_xlfn.CONCAT("VE-",Tabela10[[#This Row],[KOD_PRODUKTU]])</f>
        <v>VE-404G19</v>
      </c>
    </row>
    <row r="313" spans="1:10" x14ac:dyDescent="0.25">
      <c r="A313" s="1" t="s">
        <v>893</v>
      </c>
      <c r="B313" t="s">
        <v>894</v>
      </c>
      <c r="C313" s="1" t="s">
        <v>913</v>
      </c>
      <c r="D313" t="s">
        <v>914</v>
      </c>
      <c r="E313" t="s">
        <v>915</v>
      </c>
      <c r="F313" t="s">
        <v>121</v>
      </c>
      <c r="G313" t="s">
        <v>50</v>
      </c>
      <c r="H313">
        <v>117</v>
      </c>
      <c r="I313" s="6" t="str">
        <f>_xlfn.CONCAT("Art. złączny do produktu ",Tabela10[[#This Row],[KOD_PRODUKTU]])</f>
        <v>Art. złączny do produktu 404G19</v>
      </c>
      <c r="J313" s="6" t="str">
        <f>_xlfn.CONCAT("VE-",Tabela10[[#This Row],[KOD_PRODUKTU]])</f>
        <v>VE-404G19</v>
      </c>
    </row>
    <row r="314" spans="1:10" x14ac:dyDescent="0.25">
      <c r="A314" s="7" t="s">
        <v>893</v>
      </c>
      <c r="B314" s="6" t="s">
        <v>894</v>
      </c>
      <c r="C314" s="7" t="s">
        <v>916</v>
      </c>
      <c r="D314" s="6" t="s">
        <v>917</v>
      </c>
      <c r="E314" s="6" t="s">
        <v>918</v>
      </c>
      <c r="F314" s="6" t="s">
        <v>121</v>
      </c>
      <c r="G314" s="6" t="s">
        <v>50</v>
      </c>
      <c r="H314" s="6">
        <v>89.7</v>
      </c>
      <c r="I314" s="6" t="str">
        <f>_xlfn.CONCAT("Art. złączny do produktu ",Tabela10[[#This Row],[KOD_PRODUKTU]])</f>
        <v>Art. złączny do produktu 404G19</v>
      </c>
      <c r="J314" s="6" t="str">
        <f>_xlfn.CONCAT("VE-",Tabela10[[#This Row],[KOD_PRODUKTU]])</f>
        <v>VE-404G19</v>
      </c>
    </row>
    <row r="315" spans="1:10" x14ac:dyDescent="0.25">
      <c r="A315" s="1" t="s">
        <v>893</v>
      </c>
      <c r="B315" t="s">
        <v>894</v>
      </c>
      <c r="C315" s="1" t="s">
        <v>919</v>
      </c>
      <c r="D315" t="s">
        <v>920</v>
      </c>
      <c r="E315" t="s">
        <v>921</v>
      </c>
      <c r="F315" t="s">
        <v>121</v>
      </c>
      <c r="G315" t="s">
        <v>50</v>
      </c>
      <c r="H315">
        <v>93.6</v>
      </c>
      <c r="I315" s="6" t="str">
        <f>_xlfn.CONCAT("Art. złączny do produktu ",Tabela10[[#This Row],[KOD_PRODUKTU]])</f>
        <v>Art. złączny do produktu 404G19</v>
      </c>
      <c r="J315" s="6" t="str">
        <f>_xlfn.CONCAT("VE-",Tabela10[[#This Row],[KOD_PRODUKTU]])</f>
        <v>VE-404G19</v>
      </c>
    </row>
    <row r="316" spans="1:10" x14ac:dyDescent="0.25">
      <c r="A316" s="7" t="s">
        <v>893</v>
      </c>
      <c r="B316" s="6" t="s">
        <v>894</v>
      </c>
      <c r="C316" s="7" t="s">
        <v>684</v>
      </c>
      <c r="D316" s="6" t="s">
        <v>685</v>
      </c>
      <c r="E316" s="6" t="s">
        <v>686</v>
      </c>
      <c r="F316" s="6" t="s">
        <v>49</v>
      </c>
      <c r="G316" s="6" t="s">
        <v>922</v>
      </c>
      <c r="H316" s="6">
        <v>3.75</v>
      </c>
      <c r="I316" s="6" t="str">
        <f>_xlfn.CONCAT("Art. złączny do produktu ",Tabela10[[#This Row],[KOD_PRODUKTU]])</f>
        <v>Art. złączny do produktu 404G19</v>
      </c>
      <c r="J316" s="6" t="str">
        <f>_xlfn.CONCAT("VE-",Tabela10[[#This Row],[KOD_PRODUKTU]])</f>
        <v>VE-404G19</v>
      </c>
    </row>
    <row r="317" spans="1:10" x14ac:dyDescent="0.25">
      <c r="A317" s="1" t="s">
        <v>893</v>
      </c>
      <c r="B317" t="s">
        <v>894</v>
      </c>
      <c r="C317" s="1" t="s">
        <v>7</v>
      </c>
      <c r="D317" t="s">
        <v>8</v>
      </c>
      <c r="E317" t="s">
        <v>9</v>
      </c>
      <c r="F317" t="s">
        <v>10</v>
      </c>
      <c r="G317" t="s">
        <v>923</v>
      </c>
      <c r="H317">
        <v>264.5</v>
      </c>
      <c r="I317" s="6" t="str">
        <f>_xlfn.CONCAT("Art. złączny do produktu ",Tabela10[[#This Row],[KOD_PRODUKTU]])</f>
        <v>Art. złączny do produktu 404G19</v>
      </c>
      <c r="J317" s="6" t="str">
        <f>_xlfn.CONCAT("VE-",Tabela10[[#This Row],[KOD_PRODUKTU]])</f>
        <v>VE-404G19</v>
      </c>
    </row>
    <row r="318" spans="1:10" x14ac:dyDescent="0.25">
      <c r="A318" s="7" t="s">
        <v>924</v>
      </c>
      <c r="B318" s="6" t="s">
        <v>925</v>
      </c>
      <c r="C318" s="7" t="s">
        <v>926</v>
      </c>
      <c r="D318" s="6" t="s">
        <v>927</v>
      </c>
      <c r="E318" s="6" t="s">
        <v>928</v>
      </c>
      <c r="F318" s="6" t="s">
        <v>5</v>
      </c>
      <c r="G318" s="6" t="s">
        <v>929</v>
      </c>
      <c r="H318" s="6">
        <v>0.41</v>
      </c>
      <c r="I318" s="6" t="str">
        <f>_xlfn.CONCAT("Art. złączny do produktu ",Tabela10[[#This Row],[KOD_PRODUKTU]])</f>
        <v>Art. złączny do produktu 404G20</v>
      </c>
      <c r="J318" s="6" t="str">
        <f>_xlfn.CONCAT("VE-",Tabela10[[#This Row],[KOD_PRODUKTU]])</f>
        <v>VE-404G20</v>
      </c>
    </row>
    <row r="319" spans="1:10" x14ac:dyDescent="0.25">
      <c r="A319" s="1" t="s">
        <v>924</v>
      </c>
      <c r="B319" t="s">
        <v>925</v>
      </c>
      <c r="C319" s="1" t="s">
        <v>930</v>
      </c>
      <c r="D319" t="s">
        <v>931</v>
      </c>
      <c r="E319" t="s">
        <v>414</v>
      </c>
      <c r="F319" t="s">
        <v>932</v>
      </c>
      <c r="G319" t="s">
        <v>933</v>
      </c>
      <c r="H319">
        <v>1.75</v>
      </c>
      <c r="I319" s="6" t="str">
        <f>_xlfn.CONCAT("Art. złączny do produktu ",Tabela10[[#This Row],[KOD_PRODUKTU]])</f>
        <v>Art. złączny do produktu 404G20</v>
      </c>
      <c r="J319" s="6" t="str">
        <f>_xlfn.CONCAT("VE-",Tabela10[[#This Row],[KOD_PRODUKTU]])</f>
        <v>VE-404G20</v>
      </c>
    </row>
    <row r="320" spans="1:10" x14ac:dyDescent="0.25">
      <c r="A320" s="7" t="s">
        <v>924</v>
      </c>
      <c r="B320" s="6" t="s">
        <v>925</v>
      </c>
      <c r="C320" s="7" t="s">
        <v>934</v>
      </c>
      <c r="D320" s="6" t="s">
        <v>935</v>
      </c>
      <c r="E320" s="6" t="s">
        <v>936</v>
      </c>
      <c r="F320" s="6" t="s">
        <v>121</v>
      </c>
      <c r="G320" s="6" t="s">
        <v>92</v>
      </c>
      <c r="H320" s="6">
        <v>0.66</v>
      </c>
      <c r="I320" s="6" t="str">
        <f>_xlfn.CONCAT("Art. złączny do produktu ",Tabela10[[#This Row],[KOD_PRODUKTU]])</f>
        <v>Art. złączny do produktu 404G20</v>
      </c>
      <c r="J320" s="6" t="str">
        <f>_xlfn.CONCAT("VE-",Tabela10[[#This Row],[KOD_PRODUKTU]])</f>
        <v>VE-404G20</v>
      </c>
    </row>
    <row r="321" spans="1:10" x14ac:dyDescent="0.25">
      <c r="A321" s="1" t="s">
        <v>924</v>
      </c>
      <c r="B321" t="s">
        <v>925</v>
      </c>
      <c r="C321" s="1" t="s">
        <v>937</v>
      </c>
      <c r="D321" t="s">
        <v>938</v>
      </c>
      <c r="E321" t="s">
        <v>939</v>
      </c>
      <c r="F321" t="s">
        <v>121</v>
      </c>
      <c r="G321" t="s">
        <v>319</v>
      </c>
      <c r="H321">
        <v>17.34</v>
      </c>
      <c r="I321" s="6" t="str">
        <f>_xlfn.CONCAT("Art. złączny do produktu ",Tabela10[[#This Row],[KOD_PRODUKTU]])</f>
        <v>Art. złączny do produktu 404G20</v>
      </c>
      <c r="J321" s="6" t="str">
        <f>_xlfn.CONCAT("VE-",Tabela10[[#This Row],[KOD_PRODUKTU]])</f>
        <v>VE-404G20</v>
      </c>
    </row>
    <row r="322" spans="1:10" x14ac:dyDescent="0.25">
      <c r="A322" s="7" t="s">
        <v>924</v>
      </c>
      <c r="B322" s="6" t="s">
        <v>925</v>
      </c>
      <c r="C322" s="7" t="s">
        <v>667</v>
      </c>
      <c r="D322" s="6" t="s">
        <v>668</v>
      </c>
      <c r="E322" s="6" t="s">
        <v>669</v>
      </c>
      <c r="F322" s="6" t="s">
        <v>121</v>
      </c>
      <c r="G322" s="6" t="s">
        <v>940</v>
      </c>
      <c r="H322" s="6">
        <v>2.79</v>
      </c>
      <c r="I322" s="6" t="str">
        <f>_xlfn.CONCAT("Art. złączny do produktu ",Tabela10[[#This Row],[KOD_PRODUKTU]])</f>
        <v>Art. złączny do produktu 404G20</v>
      </c>
      <c r="J322" s="6" t="str">
        <f>_xlfn.CONCAT("VE-",Tabela10[[#This Row],[KOD_PRODUKTU]])</f>
        <v>VE-404G20</v>
      </c>
    </row>
    <row r="323" spans="1:10" x14ac:dyDescent="0.25">
      <c r="A323" s="1" t="s">
        <v>924</v>
      </c>
      <c r="B323" t="s">
        <v>925</v>
      </c>
      <c r="C323" s="1" t="s">
        <v>960</v>
      </c>
      <c r="D323" t="s">
        <v>961</v>
      </c>
      <c r="E323" t="s">
        <v>962</v>
      </c>
      <c r="F323" t="s">
        <v>435</v>
      </c>
      <c r="G323" t="s">
        <v>963</v>
      </c>
      <c r="H323">
        <v>40.25</v>
      </c>
      <c r="I323" s="6" t="str">
        <f>_xlfn.CONCAT("Art. złączny do produktu ",Tabela10[[#This Row],[KOD_PRODUKTU]])</f>
        <v>Art. złączny do produktu 404G20</v>
      </c>
      <c r="J323" s="6" t="str">
        <f>_xlfn.CONCAT("VE-",Tabela10[[#This Row],[KOD_PRODUKTU]])</f>
        <v>VE-404G20</v>
      </c>
    </row>
    <row r="324" spans="1:10" x14ac:dyDescent="0.25">
      <c r="A324" s="7" t="s">
        <v>924</v>
      </c>
      <c r="B324" s="6" t="s">
        <v>925</v>
      </c>
      <c r="C324" s="7" t="s">
        <v>7</v>
      </c>
      <c r="D324" s="6" t="s">
        <v>8</v>
      </c>
      <c r="E324" s="6" t="s">
        <v>9</v>
      </c>
      <c r="F324" s="6" t="s">
        <v>10</v>
      </c>
      <c r="G324" s="6" t="s">
        <v>964</v>
      </c>
      <c r="H324" s="6">
        <v>43.5</v>
      </c>
      <c r="I324" s="6" t="str">
        <f>_xlfn.CONCAT("Art. złączny do produktu ",Tabela10[[#This Row],[KOD_PRODUKTU]])</f>
        <v>Art. złączny do produktu 404G20</v>
      </c>
      <c r="J324" s="6" t="str">
        <f>_xlfn.CONCAT("VE-",Tabela10[[#This Row],[KOD_PRODUKTU]])</f>
        <v>VE-404G20</v>
      </c>
    </row>
    <row r="325" spans="1:10" x14ac:dyDescent="0.25">
      <c r="A325" s="1" t="s">
        <v>965</v>
      </c>
      <c r="B325" t="s">
        <v>966</v>
      </c>
      <c r="C325" s="1" t="s">
        <v>967</v>
      </c>
      <c r="D325" t="s">
        <v>968</v>
      </c>
      <c r="E325" t="s">
        <v>658</v>
      </c>
      <c r="F325" t="s">
        <v>5</v>
      </c>
      <c r="G325" t="s">
        <v>969</v>
      </c>
      <c r="H325">
        <v>43.7</v>
      </c>
      <c r="I325" s="6" t="str">
        <f>_xlfn.CONCAT("Art. złączny do produktu ",Tabela10[[#This Row],[KOD_PRODUKTU]])</f>
        <v>Art. złączny do produktu 404G25</v>
      </c>
      <c r="J325" s="6" t="str">
        <f>_xlfn.CONCAT("VE-",Tabela10[[#This Row],[KOD_PRODUKTU]])</f>
        <v>VE-404G25</v>
      </c>
    </row>
    <row r="326" spans="1:10" x14ac:dyDescent="0.25">
      <c r="A326" s="7" t="s">
        <v>965</v>
      </c>
      <c r="B326" s="6" t="s">
        <v>966</v>
      </c>
      <c r="C326" s="7" t="s">
        <v>970</v>
      </c>
      <c r="D326" s="6" t="s">
        <v>971</v>
      </c>
      <c r="E326" s="6" t="s">
        <v>972</v>
      </c>
      <c r="F326" s="6" t="s">
        <v>17</v>
      </c>
      <c r="G326" s="6" t="s">
        <v>973</v>
      </c>
      <c r="H326" s="6">
        <v>373.75</v>
      </c>
      <c r="I326" s="6" t="str">
        <f>_xlfn.CONCAT("Art. złączny do produktu ",Tabela10[[#This Row],[KOD_PRODUKTU]])</f>
        <v>Art. złączny do produktu 404G25</v>
      </c>
      <c r="J326" s="6" t="str">
        <f>_xlfn.CONCAT("VE-",Tabela10[[#This Row],[KOD_PRODUKTU]])</f>
        <v>VE-404G25</v>
      </c>
    </row>
    <row r="327" spans="1:10" x14ac:dyDescent="0.25">
      <c r="A327" s="1" t="s">
        <v>965</v>
      </c>
      <c r="B327" t="s">
        <v>966</v>
      </c>
      <c r="C327" s="1" t="s">
        <v>974</v>
      </c>
      <c r="D327" t="s">
        <v>975</v>
      </c>
      <c r="E327" t="s">
        <v>976</v>
      </c>
      <c r="F327" t="s">
        <v>17</v>
      </c>
      <c r="G327" t="s">
        <v>607</v>
      </c>
      <c r="H327">
        <v>319.60000000000002</v>
      </c>
      <c r="I327" s="6" t="str">
        <f>_xlfn.CONCAT("Art. złączny do produktu ",Tabela10[[#This Row],[KOD_PRODUKTU]])</f>
        <v>Art. złączny do produktu 404G25</v>
      </c>
      <c r="J327" s="6" t="str">
        <f>_xlfn.CONCAT("VE-",Tabela10[[#This Row],[KOD_PRODUKTU]])</f>
        <v>VE-404G25</v>
      </c>
    </row>
    <row r="328" spans="1:10" x14ac:dyDescent="0.25">
      <c r="A328" s="7" t="s">
        <v>965</v>
      </c>
      <c r="B328" s="6" t="s">
        <v>966</v>
      </c>
      <c r="C328" s="7" t="s">
        <v>977</v>
      </c>
      <c r="D328" s="6" t="s">
        <v>978</v>
      </c>
      <c r="E328" s="6" t="s">
        <v>979</v>
      </c>
      <c r="F328" s="6" t="s">
        <v>121</v>
      </c>
      <c r="G328" s="6" t="s">
        <v>92</v>
      </c>
      <c r="H328" s="6">
        <v>1.04</v>
      </c>
      <c r="I328" s="6" t="str">
        <f>_xlfn.CONCAT("Art. złączny do produktu ",Tabela10[[#This Row],[KOD_PRODUKTU]])</f>
        <v>Art. złączny do produktu 404G25</v>
      </c>
      <c r="J328" s="6" t="str">
        <f>_xlfn.CONCAT("VE-",Tabela10[[#This Row],[KOD_PRODUKTU]])</f>
        <v>VE-404G25</v>
      </c>
    </row>
    <row r="329" spans="1:10" x14ac:dyDescent="0.25">
      <c r="A329" s="1" t="s">
        <v>965</v>
      </c>
      <c r="B329" t="s">
        <v>966</v>
      </c>
      <c r="C329" s="1" t="s">
        <v>41</v>
      </c>
      <c r="D329" t="s">
        <v>42</v>
      </c>
      <c r="E329" t="s">
        <v>43</v>
      </c>
      <c r="F329" t="s">
        <v>5</v>
      </c>
      <c r="G329" t="s">
        <v>550</v>
      </c>
      <c r="H329">
        <v>0.02</v>
      </c>
      <c r="I329" s="6" t="str">
        <f>_xlfn.CONCAT("Art. złączny do produktu ",Tabela10[[#This Row],[KOD_PRODUKTU]])</f>
        <v>Art. złączny do produktu 404G25</v>
      </c>
      <c r="J329" s="6" t="str">
        <f>_xlfn.CONCAT("VE-",Tabela10[[#This Row],[KOD_PRODUKTU]])</f>
        <v>VE-404G25</v>
      </c>
    </row>
    <row r="330" spans="1:10" x14ac:dyDescent="0.25">
      <c r="A330" s="7" t="s">
        <v>965</v>
      </c>
      <c r="B330" s="6" t="s">
        <v>966</v>
      </c>
      <c r="C330" s="7" t="s">
        <v>684</v>
      </c>
      <c r="D330" s="6" t="s">
        <v>685</v>
      </c>
      <c r="E330" s="6" t="s">
        <v>686</v>
      </c>
      <c r="F330" s="6" t="s">
        <v>49</v>
      </c>
      <c r="G330" s="6" t="s">
        <v>983</v>
      </c>
      <c r="H330" s="6">
        <v>18.100000000000001</v>
      </c>
      <c r="I330" s="6" t="str">
        <f>_xlfn.CONCAT("Art. złączny do produktu ",Tabela10[[#This Row],[KOD_PRODUKTU]])</f>
        <v>Art. złączny do produktu 404G25</v>
      </c>
      <c r="J330" s="6" t="str">
        <f>_xlfn.CONCAT("VE-",Tabela10[[#This Row],[KOD_PRODUKTU]])</f>
        <v>VE-404G25</v>
      </c>
    </row>
    <row r="331" spans="1:10" x14ac:dyDescent="0.25">
      <c r="A331" s="1" t="s">
        <v>965</v>
      </c>
      <c r="B331" t="s">
        <v>966</v>
      </c>
      <c r="C331" s="1" t="s">
        <v>541</v>
      </c>
      <c r="D331" t="s">
        <v>542</v>
      </c>
      <c r="E331" t="s">
        <v>9</v>
      </c>
      <c r="F331" t="s">
        <v>10</v>
      </c>
      <c r="G331" t="s">
        <v>984</v>
      </c>
      <c r="H331">
        <v>644</v>
      </c>
      <c r="I331" s="6" t="str">
        <f>_xlfn.CONCAT("Art. złączny do produktu ",Tabela10[[#This Row],[KOD_PRODUKTU]])</f>
        <v>Art. złączny do produktu 404G25</v>
      </c>
      <c r="J331" s="6" t="str">
        <f>_xlfn.CONCAT("VE-",Tabela10[[#This Row],[KOD_PRODUKTU]])</f>
        <v>VE-404G25</v>
      </c>
    </row>
    <row r="332" spans="1:10" x14ac:dyDescent="0.25">
      <c r="A332" s="7" t="s">
        <v>965</v>
      </c>
      <c r="B332" s="6" t="s">
        <v>966</v>
      </c>
      <c r="C332" s="7" t="s">
        <v>541</v>
      </c>
      <c r="D332" s="6" t="s">
        <v>542</v>
      </c>
      <c r="E332" s="6" t="s">
        <v>9</v>
      </c>
      <c r="F332" s="6" t="s">
        <v>10</v>
      </c>
      <c r="G332" s="6" t="s">
        <v>985</v>
      </c>
      <c r="H332" s="6">
        <v>144.80000000000001</v>
      </c>
      <c r="I332" s="6" t="str">
        <f>_xlfn.CONCAT("Art. złączny do produktu ",Tabela10[[#This Row],[KOD_PRODUKTU]])</f>
        <v>Art. złączny do produktu 404G25</v>
      </c>
      <c r="J332" s="6" t="str">
        <f>_xlfn.CONCAT("VE-",Tabela10[[#This Row],[KOD_PRODUKTU]])</f>
        <v>VE-404G25</v>
      </c>
    </row>
    <row r="333" spans="1:10" x14ac:dyDescent="0.25">
      <c r="A333" s="1" t="s">
        <v>986</v>
      </c>
      <c r="B333" t="s">
        <v>987</v>
      </c>
      <c r="C333" s="1" t="s">
        <v>988</v>
      </c>
      <c r="D333" t="s">
        <v>989</v>
      </c>
      <c r="E333" t="s">
        <v>990</v>
      </c>
      <c r="F333" t="s">
        <v>5</v>
      </c>
      <c r="G333" t="s">
        <v>991</v>
      </c>
      <c r="H333">
        <v>10.85</v>
      </c>
      <c r="I333" s="6" t="str">
        <f>_xlfn.CONCAT("Art. złączny do produktu ",Tabela10[[#This Row],[KOD_PRODUKTU]])</f>
        <v>Art. złączny do produktu 404G28</v>
      </c>
      <c r="J333" s="6" t="str">
        <f>_xlfn.CONCAT("VE-",Tabela10[[#This Row],[KOD_PRODUKTU]])</f>
        <v>VE-404G28</v>
      </c>
    </row>
    <row r="334" spans="1:10" x14ac:dyDescent="0.25">
      <c r="A334" s="7" t="s">
        <v>986</v>
      </c>
      <c r="B334" s="6" t="s">
        <v>987</v>
      </c>
      <c r="C334" s="7" t="s">
        <v>970</v>
      </c>
      <c r="D334" s="6" t="s">
        <v>971</v>
      </c>
      <c r="E334" s="6" t="s">
        <v>972</v>
      </c>
      <c r="F334" s="6" t="s">
        <v>17</v>
      </c>
      <c r="G334" s="6" t="s">
        <v>992</v>
      </c>
      <c r="H334" s="6">
        <v>509.7</v>
      </c>
      <c r="I334" s="6" t="str">
        <f>_xlfn.CONCAT("Art. złączny do produktu ",Tabela10[[#This Row],[KOD_PRODUKTU]])</f>
        <v>Art. złączny do produktu 404G28</v>
      </c>
      <c r="J334" s="6" t="str">
        <f>_xlfn.CONCAT("VE-",Tabela10[[#This Row],[KOD_PRODUKTU]])</f>
        <v>VE-404G28</v>
      </c>
    </row>
    <row r="335" spans="1:10" x14ac:dyDescent="0.25">
      <c r="A335" s="1" t="s">
        <v>986</v>
      </c>
      <c r="B335" t="s">
        <v>987</v>
      </c>
      <c r="C335" s="1" t="s">
        <v>974</v>
      </c>
      <c r="D335" t="s">
        <v>975</v>
      </c>
      <c r="E335" t="s">
        <v>976</v>
      </c>
      <c r="F335" t="s">
        <v>17</v>
      </c>
      <c r="G335" t="s">
        <v>607</v>
      </c>
      <c r="H335">
        <v>319.60000000000002</v>
      </c>
      <c r="I335" s="6" t="str">
        <f>_xlfn.CONCAT("Art. złączny do produktu ",Tabela10[[#This Row],[KOD_PRODUKTU]])</f>
        <v>Art. złączny do produktu 404G28</v>
      </c>
      <c r="J335" s="6" t="str">
        <f>_xlfn.CONCAT("VE-",Tabela10[[#This Row],[KOD_PRODUKTU]])</f>
        <v>VE-404G28</v>
      </c>
    </row>
    <row r="336" spans="1:10" x14ac:dyDescent="0.25">
      <c r="A336" s="7" t="s">
        <v>986</v>
      </c>
      <c r="B336" s="6" t="s">
        <v>987</v>
      </c>
      <c r="C336" s="7" t="s">
        <v>2</v>
      </c>
      <c r="D336" s="6" t="s">
        <v>3</v>
      </c>
      <c r="E336" s="6" t="s">
        <v>4</v>
      </c>
      <c r="F336" s="6" t="s">
        <v>5</v>
      </c>
      <c r="G336" s="6" t="s">
        <v>993</v>
      </c>
      <c r="H336" s="6">
        <v>4.25</v>
      </c>
      <c r="I336" s="6" t="str">
        <f>_xlfn.CONCAT("Art. złączny do produktu ",Tabela10[[#This Row],[KOD_PRODUKTU]])</f>
        <v>Art. złączny do produktu 404G28</v>
      </c>
      <c r="J336" s="6" t="str">
        <f>_xlfn.CONCAT("VE-",Tabela10[[#This Row],[KOD_PRODUKTU]])</f>
        <v>VE-404G28</v>
      </c>
    </row>
    <row r="337" spans="1:10" x14ac:dyDescent="0.25">
      <c r="A337" s="1" t="s">
        <v>986</v>
      </c>
      <c r="B337" t="s">
        <v>987</v>
      </c>
      <c r="C337" s="1" t="s">
        <v>977</v>
      </c>
      <c r="D337" t="s">
        <v>978</v>
      </c>
      <c r="E337" t="s">
        <v>979</v>
      </c>
      <c r="F337" t="s">
        <v>121</v>
      </c>
      <c r="G337" t="s">
        <v>92</v>
      </c>
      <c r="H337">
        <v>1.04</v>
      </c>
      <c r="I337" s="6" t="str">
        <f>_xlfn.CONCAT("Art. złączny do produktu ",Tabela10[[#This Row],[KOD_PRODUKTU]])</f>
        <v>Art. złączny do produktu 404G28</v>
      </c>
      <c r="J337" s="6" t="str">
        <f>_xlfn.CONCAT("VE-",Tabela10[[#This Row],[KOD_PRODUKTU]])</f>
        <v>VE-404G28</v>
      </c>
    </row>
    <row r="338" spans="1:10" x14ac:dyDescent="0.25">
      <c r="A338" s="7" t="s">
        <v>986</v>
      </c>
      <c r="B338" s="6" t="s">
        <v>987</v>
      </c>
      <c r="C338" s="7" t="s">
        <v>41</v>
      </c>
      <c r="D338" s="6" t="s">
        <v>42</v>
      </c>
      <c r="E338" s="6" t="s">
        <v>43</v>
      </c>
      <c r="F338" s="6" t="s">
        <v>5</v>
      </c>
      <c r="G338" s="6" t="s">
        <v>227</v>
      </c>
      <c r="H338" s="6">
        <v>0.01</v>
      </c>
      <c r="I338" s="6" t="str">
        <f>_xlfn.CONCAT("Art. złączny do produktu ",Tabela10[[#This Row],[KOD_PRODUKTU]])</f>
        <v>Art. złączny do produktu 404G28</v>
      </c>
      <c r="J338" s="6" t="str">
        <f>_xlfn.CONCAT("VE-",Tabela10[[#This Row],[KOD_PRODUKTU]])</f>
        <v>VE-404G28</v>
      </c>
    </row>
    <row r="339" spans="1:10" x14ac:dyDescent="0.25">
      <c r="A339" s="1" t="s">
        <v>986</v>
      </c>
      <c r="B339" t="s">
        <v>987</v>
      </c>
      <c r="C339" s="1" t="s">
        <v>432</v>
      </c>
      <c r="D339" t="s">
        <v>433</v>
      </c>
      <c r="E339" t="s">
        <v>434</v>
      </c>
      <c r="F339" t="s">
        <v>435</v>
      </c>
      <c r="G339" t="s">
        <v>994</v>
      </c>
      <c r="H339">
        <v>1.5</v>
      </c>
      <c r="I339" s="6" t="str">
        <f>_xlfn.CONCAT("Art. złączny do produktu ",Tabela10[[#This Row],[KOD_PRODUKTU]])</f>
        <v>Art. złączny do produktu 404G28</v>
      </c>
      <c r="J339" s="6" t="str">
        <f>_xlfn.CONCAT("VE-",Tabela10[[#This Row],[KOD_PRODUKTU]])</f>
        <v>VE-404G28</v>
      </c>
    </row>
    <row r="340" spans="1:10" x14ac:dyDescent="0.25">
      <c r="A340" s="7" t="s">
        <v>986</v>
      </c>
      <c r="B340" s="6" t="s">
        <v>987</v>
      </c>
      <c r="C340" s="7" t="s">
        <v>7</v>
      </c>
      <c r="D340" s="6" t="s">
        <v>8</v>
      </c>
      <c r="E340" s="6" t="s">
        <v>9</v>
      </c>
      <c r="F340" s="6" t="s">
        <v>10</v>
      </c>
      <c r="G340" s="6" t="s">
        <v>985</v>
      </c>
      <c r="H340" s="6">
        <v>144.80000000000001</v>
      </c>
      <c r="I340" s="6" t="str">
        <f>_xlfn.CONCAT("Art. złączny do produktu ",Tabela10[[#This Row],[KOD_PRODUKTU]])</f>
        <v>Art. złączny do produktu 404G28</v>
      </c>
      <c r="J340" s="6" t="str">
        <f>_xlfn.CONCAT("VE-",Tabela10[[#This Row],[KOD_PRODUKTU]])</f>
        <v>VE-404G28</v>
      </c>
    </row>
    <row r="341" spans="1:10" x14ac:dyDescent="0.25">
      <c r="A341" s="1" t="s">
        <v>986</v>
      </c>
      <c r="B341" t="s">
        <v>987</v>
      </c>
      <c r="C341" s="1" t="s">
        <v>7</v>
      </c>
      <c r="D341" t="s">
        <v>8</v>
      </c>
      <c r="E341" t="s">
        <v>9</v>
      </c>
      <c r="F341" t="s">
        <v>10</v>
      </c>
      <c r="G341" t="s">
        <v>995</v>
      </c>
      <c r="H341">
        <v>575</v>
      </c>
      <c r="I341" s="6" t="str">
        <f>_xlfn.CONCAT("Art. złączny do produktu ",Tabela10[[#This Row],[KOD_PRODUKTU]])</f>
        <v>Art. złączny do produktu 404G28</v>
      </c>
      <c r="J341" s="6" t="str">
        <f>_xlfn.CONCAT("VE-",Tabela10[[#This Row],[KOD_PRODUKTU]])</f>
        <v>VE-404G28</v>
      </c>
    </row>
    <row r="342" spans="1:10" x14ac:dyDescent="0.25">
      <c r="A342" s="7" t="s">
        <v>996</v>
      </c>
      <c r="B342" s="6" t="s">
        <v>997</v>
      </c>
      <c r="C342" s="7" t="s">
        <v>970</v>
      </c>
      <c r="D342" s="6" t="s">
        <v>971</v>
      </c>
      <c r="E342" s="6" t="s">
        <v>972</v>
      </c>
      <c r="F342" s="6" t="s">
        <v>17</v>
      </c>
      <c r="G342" s="6" t="s">
        <v>973</v>
      </c>
      <c r="H342" s="6">
        <v>373.75</v>
      </c>
      <c r="I342" s="6" t="str">
        <f>_xlfn.CONCAT("Art. złączny do produktu ",Tabela10[[#This Row],[KOD_PRODUKTU]])</f>
        <v>Art. złączny do produktu 404G29</v>
      </c>
      <c r="J342" s="6" t="str">
        <f>_xlfn.CONCAT("VE-",Tabela10[[#This Row],[KOD_PRODUKTU]])</f>
        <v>VE-404G29</v>
      </c>
    </row>
    <row r="343" spans="1:10" x14ac:dyDescent="0.25">
      <c r="A343" s="1" t="s">
        <v>996</v>
      </c>
      <c r="B343" t="s">
        <v>997</v>
      </c>
      <c r="C343" s="1" t="s">
        <v>974</v>
      </c>
      <c r="D343" t="s">
        <v>975</v>
      </c>
      <c r="E343" t="s">
        <v>976</v>
      </c>
      <c r="F343" t="s">
        <v>17</v>
      </c>
      <c r="G343" t="s">
        <v>998</v>
      </c>
      <c r="H343">
        <v>479.4</v>
      </c>
      <c r="I343" s="6" t="str">
        <f>_xlfn.CONCAT("Art. złączny do produktu ",Tabela10[[#This Row],[KOD_PRODUKTU]])</f>
        <v>Art. złączny do produktu 404G29</v>
      </c>
      <c r="J343" s="6" t="str">
        <f>_xlfn.CONCAT("VE-",Tabela10[[#This Row],[KOD_PRODUKTU]])</f>
        <v>VE-404G29</v>
      </c>
    </row>
    <row r="344" spans="1:10" x14ac:dyDescent="0.25">
      <c r="A344" s="7" t="s">
        <v>996</v>
      </c>
      <c r="B344" s="6" t="s">
        <v>997</v>
      </c>
      <c r="C344" s="7" t="s">
        <v>977</v>
      </c>
      <c r="D344" s="6" t="s">
        <v>978</v>
      </c>
      <c r="E344" s="6" t="s">
        <v>979</v>
      </c>
      <c r="F344" s="6" t="s">
        <v>121</v>
      </c>
      <c r="G344" s="6" t="s">
        <v>92</v>
      </c>
      <c r="H344" s="6">
        <v>1.04</v>
      </c>
      <c r="I344" s="6" t="str">
        <f>_xlfn.CONCAT("Art. złączny do produktu ",Tabela10[[#This Row],[KOD_PRODUKTU]])</f>
        <v>Art. złączny do produktu 404G29</v>
      </c>
      <c r="J344" s="6" t="str">
        <f>_xlfn.CONCAT("VE-",Tabela10[[#This Row],[KOD_PRODUKTU]])</f>
        <v>VE-404G29</v>
      </c>
    </row>
    <row r="345" spans="1:10" x14ac:dyDescent="0.25">
      <c r="A345" s="1" t="s">
        <v>996</v>
      </c>
      <c r="B345" t="s">
        <v>997</v>
      </c>
      <c r="C345" s="1" t="s">
        <v>7</v>
      </c>
      <c r="D345" t="s">
        <v>8</v>
      </c>
      <c r="E345" t="s">
        <v>9</v>
      </c>
      <c r="F345" t="s">
        <v>10</v>
      </c>
      <c r="G345" t="s">
        <v>999</v>
      </c>
      <c r="H345">
        <v>713</v>
      </c>
      <c r="I345" s="6" t="str">
        <f>_xlfn.CONCAT("Art. złączny do produktu ",Tabela10[[#This Row],[KOD_PRODUKTU]])</f>
        <v>Art. złączny do produktu 404G29</v>
      </c>
      <c r="J345" s="6" t="str">
        <f>_xlfn.CONCAT("VE-",Tabela10[[#This Row],[KOD_PRODUKTU]])</f>
        <v>VE-404G29</v>
      </c>
    </row>
    <row r="346" spans="1:10" x14ac:dyDescent="0.25">
      <c r="A346" s="7" t="s">
        <v>996</v>
      </c>
      <c r="B346" s="6" t="s">
        <v>997</v>
      </c>
      <c r="C346" s="7" t="s">
        <v>7</v>
      </c>
      <c r="D346" s="6" t="s">
        <v>8</v>
      </c>
      <c r="E346" s="6" t="s">
        <v>9</v>
      </c>
      <c r="F346" s="6" t="s">
        <v>10</v>
      </c>
      <c r="G346" s="6" t="s">
        <v>1000</v>
      </c>
      <c r="H346" s="6">
        <v>144.75</v>
      </c>
      <c r="I346" s="6" t="str">
        <f>_xlfn.CONCAT("Art. złączny do produktu ",Tabela10[[#This Row],[KOD_PRODUKTU]])</f>
        <v>Art. złączny do produktu 404G29</v>
      </c>
      <c r="J346" s="6" t="str">
        <f>_xlfn.CONCAT("VE-",Tabela10[[#This Row],[KOD_PRODUKTU]])</f>
        <v>VE-404G29</v>
      </c>
    </row>
    <row r="347" spans="1:10" x14ac:dyDescent="0.25">
      <c r="A347" s="1" t="s">
        <v>1001</v>
      </c>
      <c r="B347" t="s">
        <v>1002</v>
      </c>
      <c r="C347" s="1" t="s">
        <v>1003</v>
      </c>
      <c r="D347" t="s">
        <v>1004</v>
      </c>
      <c r="E347" t="s">
        <v>1005</v>
      </c>
      <c r="F347" t="s">
        <v>5</v>
      </c>
      <c r="G347" t="s">
        <v>1006</v>
      </c>
      <c r="H347">
        <v>0.05</v>
      </c>
      <c r="I347" s="6" t="str">
        <f>_xlfn.CONCAT("Art. złączny do produktu ",Tabela10[[#This Row],[KOD_PRODUKTU]])</f>
        <v>Art. złączny do produktu 404K47</v>
      </c>
      <c r="J347" s="6" t="str">
        <f>_xlfn.CONCAT("VE-",Tabela10[[#This Row],[KOD_PRODUKTU]])</f>
        <v>VE-404K47</v>
      </c>
    </row>
    <row r="348" spans="1:10" x14ac:dyDescent="0.25">
      <c r="A348" s="7" t="s">
        <v>1001</v>
      </c>
      <c r="B348" s="6" t="s">
        <v>1002</v>
      </c>
      <c r="C348" s="7" t="s">
        <v>1007</v>
      </c>
      <c r="D348" s="6" t="s">
        <v>1008</v>
      </c>
      <c r="E348" s="6" t="s">
        <v>1009</v>
      </c>
      <c r="F348" s="6" t="s">
        <v>121</v>
      </c>
      <c r="G348" s="6" t="s">
        <v>50</v>
      </c>
      <c r="H348" s="6">
        <v>0.25</v>
      </c>
      <c r="I348" s="6" t="str">
        <f>_xlfn.CONCAT("Art. złączny do produktu ",Tabela10[[#This Row],[KOD_PRODUKTU]])</f>
        <v>Art. złączny do produktu 404K47</v>
      </c>
      <c r="J348" s="6" t="str">
        <f>_xlfn.CONCAT("VE-",Tabela10[[#This Row],[KOD_PRODUKTU]])</f>
        <v>VE-404K47</v>
      </c>
    </row>
    <row r="349" spans="1:10" x14ac:dyDescent="0.25">
      <c r="A349" s="1" t="s">
        <v>1001</v>
      </c>
      <c r="B349" t="s">
        <v>1002</v>
      </c>
      <c r="C349" s="1" t="s">
        <v>1010</v>
      </c>
      <c r="D349" t="s">
        <v>1011</v>
      </c>
      <c r="E349" t="s">
        <v>1012</v>
      </c>
      <c r="F349" t="s">
        <v>5</v>
      </c>
      <c r="G349" t="s">
        <v>1013</v>
      </c>
      <c r="H349">
        <v>4.1500000000000004</v>
      </c>
      <c r="I349" s="6" t="str">
        <f>_xlfn.CONCAT("Art. złączny do produktu ",Tabela10[[#This Row],[KOD_PRODUKTU]])</f>
        <v>Art. złączny do produktu 404K47</v>
      </c>
      <c r="J349" s="6" t="str">
        <f>_xlfn.CONCAT("VE-",Tabela10[[#This Row],[KOD_PRODUKTU]])</f>
        <v>VE-404K47</v>
      </c>
    </row>
    <row r="350" spans="1:10" x14ac:dyDescent="0.25">
      <c r="A350" s="7" t="s">
        <v>1001</v>
      </c>
      <c r="B350" s="6" t="s">
        <v>1002</v>
      </c>
      <c r="C350" s="7" t="s">
        <v>7</v>
      </c>
      <c r="D350" s="6" t="s">
        <v>8</v>
      </c>
      <c r="E350" s="6" t="s">
        <v>9</v>
      </c>
      <c r="F350" s="6" t="s">
        <v>10</v>
      </c>
      <c r="G350" s="6" t="s">
        <v>1014</v>
      </c>
      <c r="H350" s="6">
        <v>9.35</v>
      </c>
      <c r="I350" s="6" t="str">
        <f>_xlfn.CONCAT("Art. złączny do produktu ",Tabela10[[#This Row],[KOD_PRODUKTU]])</f>
        <v>Art. złączny do produktu 404K47</v>
      </c>
      <c r="J350" s="6" t="str">
        <f>_xlfn.CONCAT("VE-",Tabela10[[#This Row],[KOD_PRODUKTU]])</f>
        <v>VE-404K47</v>
      </c>
    </row>
    <row r="351" spans="1:10" x14ac:dyDescent="0.25">
      <c r="A351" s="1" t="s">
        <v>1020</v>
      </c>
      <c r="B351" t="s">
        <v>1021</v>
      </c>
      <c r="C351" s="1" t="s">
        <v>1022</v>
      </c>
      <c r="D351" t="s">
        <v>1023</v>
      </c>
      <c r="E351" t="s">
        <v>1024</v>
      </c>
      <c r="F351" t="s">
        <v>932</v>
      </c>
      <c r="G351" t="s">
        <v>1025</v>
      </c>
      <c r="H351">
        <v>22</v>
      </c>
      <c r="I351" s="6" t="str">
        <f>_xlfn.CONCAT("Art. złączny do produktu ",Tabela10[[#This Row],[KOD_PRODUKTU]])</f>
        <v>Art. złączny do produktu 404K51</v>
      </c>
      <c r="J351" s="6" t="str">
        <f>_xlfn.CONCAT("VE-",Tabela10[[#This Row],[KOD_PRODUKTU]])</f>
        <v>VE-404K51</v>
      </c>
    </row>
    <row r="352" spans="1:10" x14ac:dyDescent="0.25">
      <c r="A352" s="7" t="s">
        <v>1020</v>
      </c>
      <c r="B352" s="6" t="s">
        <v>1021</v>
      </c>
      <c r="C352" s="7" t="s">
        <v>7</v>
      </c>
      <c r="D352" s="6" t="s">
        <v>8</v>
      </c>
      <c r="E352" s="6" t="s">
        <v>9</v>
      </c>
      <c r="F352" s="6" t="s">
        <v>10</v>
      </c>
      <c r="G352" s="6" t="s">
        <v>1026</v>
      </c>
      <c r="H352" s="6">
        <v>29.9</v>
      </c>
      <c r="I352" s="6" t="str">
        <f>_xlfn.CONCAT("Art. złączny do produktu ",Tabela10[[#This Row],[KOD_PRODUKTU]])</f>
        <v>Art. złączny do produktu 404K51</v>
      </c>
      <c r="J352" s="6" t="str">
        <f>_xlfn.CONCAT("VE-",Tabela10[[#This Row],[KOD_PRODUKTU]])</f>
        <v>VE-404K51</v>
      </c>
    </row>
    <row r="353" spans="1:10" x14ac:dyDescent="0.25">
      <c r="A353" s="1" t="s">
        <v>1020</v>
      </c>
      <c r="B353" t="s">
        <v>1021</v>
      </c>
      <c r="C353" s="1" t="s">
        <v>7</v>
      </c>
      <c r="D353" t="s">
        <v>8</v>
      </c>
      <c r="E353" t="s">
        <v>9</v>
      </c>
      <c r="F353" t="s">
        <v>10</v>
      </c>
      <c r="G353" t="s">
        <v>1027</v>
      </c>
      <c r="H353">
        <v>52.9</v>
      </c>
      <c r="I353" s="6" t="str">
        <f>_xlfn.CONCAT("Art. złączny do produktu ",Tabela10[[#This Row],[KOD_PRODUKTU]])</f>
        <v>Art. złączny do produktu 404K51</v>
      </c>
      <c r="J353" s="6" t="str">
        <f>_xlfn.CONCAT("VE-",Tabela10[[#This Row],[KOD_PRODUKTU]])</f>
        <v>VE-404K51</v>
      </c>
    </row>
    <row r="354" spans="1:10" x14ac:dyDescent="0.25">
      <c r="A354" s="7" t="s">
        <v>1028</v>
      </c>
      <c r="B354" s="6" t="s">
        <v>1029</v>
      </c>
      <c r="C354" s="7" t="s">
        <v>1022</v>
      </c>
      <c r="D354" s="6" t="s">
        <v>1023</v>
      </c>
      <c r="E354" s="6" t="s">
        <v>1024</v>
      </c>
      <c r="F354" s="6" t="s">
        <v>932</v>
      </c>
      <c r="G354" s="6" t="s">
        <v>1030</v>
      </c>
      <c r="H354" s="6">
        <v>10.6</v>
      </c>
      <c r="I354" s="6" t="str">
        <f>_xlfn.CONCAT("Art. złączny do produktu ",Tabela10[[#This Row],[KOD_PRODUKTU]])</f>
        <v>Art. złączny do produktu 404K52</v>
      </c>
      <c r="J354" s="6" t="str">
        <f>_xlfn.CONCAT("VE-",Tabela10[[#This Row],[KOD_PRODUKTU]])</f>
        <v>VE-404K52</v>
      </c>
    </row>
    <row r="355" spans="1:10" x14ac:dyDescent="0.25">
      <c r="A355" s="1" t="s">
        <v>1028</v>
      </c>
      <c r="B355" t="s">
        <v>1029</v>
      </c>
      <c r="C355" s="1" t="s">
        <v>7</v>
      </c>
      <c r="D355" t="s">
        <v>1031</v>
      </c>
      <c r="E355" t="s">
        <v>9</v>
      </c>
      <c r="F355" t="s">
        <v>10</v>
      </c>
      <c r="G355" t="s">
        <v>1032</v>
      </c>
      <c r="H355">
        <v>74.849999999999994</v>
      </c>
      <c r="I355" s="6" t="str">
        <f>_xlfn.CONCAT("Art. złączny do produktu ",Tabela10[[#This Row],[KOD_PRODUKTU]])</f>
        <v>Art. złączny do produktu 404K52</v>
      </c>
      <c r="J355" s="6" t="str">
        <f>_xlfn.CONCAT("VE-",Tabela10[[#This Row],[KOD_PRODUKTU]])</f>
        <v>VE-404K52</v>
      </c>
    </row>
    <row r="356" spans="1:10" x14ac:dyDescent="0.25">
      <c r="A356" s="7" t="s">
        <v>1033</v>
      </c>
      <c r="B356" s="6" t="s">
        <v>1034</v>
      </c>
      <c r="C356" s="7" t="s">
        <v>1035</v>
      </c>
      <c r="D356" s="6" t="s">
        <v>1036</v>
      </c>
      <c r="E356" s="6" t="s">
        <v>1037</v>
      </c>
      <c r="F356" s="6" t="s">
        <v>121</v>
      </c>
      <c r="G356" s="6" t="s">
        <v>50</v>
      </c>
      <c r="H356" s="6">
        <v>11.08</v>
      </c>
      <c r="I356" s="6" t="str">
        <f>_xlfn.CONCAT("Art. złączny do produktu ",Tabela10[[#This Row],[KOD_PRODUKTU]])</f>
        <v>Art. złączny do produktu 404K57</v>
      </c>
      <c r="J356" s="6" t="str">
        <f>_xlfn.CONCAT("VE-",Tabela10[[#This Row],[KOD_PRODUKTU]])</f>
        <v>VE-404K57</v>
      </c>
    </row>
    <row r="357" spans="1:10" x14ac:dyDescent="0.25">
      <c r="A357" s="1" t="s">
        <v>1033</v>
      </c>
      <c r="B357" t="s">
        <v>1034</v>
      </c>
      <c r="C357" s="1" t="s">
        <v>41</v>
      </c>
      <c r="D357" t="s">
        <v>42</v>
      </c>
      <c r="E357" t="s">
        <v>43</v>
      </c>
      <c r="F357" t="s">
        <v>5</v>
      </c>
      <c r="G357" t="s">
        <v>1038</v>
      </c>
      <c r="H357">
        <v>0.02</v>
      </c>
      <c r="I357" s="6" t="str">
        <f>_xlfn.CONCAT("Art. złączny do produktu ",Tabela10[[#This Row],[KOD_PRODUKTU]])</f>
        <v>Art. złączny do produktu 404K57</v>
      </c>
      <c r="J357" s="6" t="str">
        <f>_xlfn.CONCAT("VE-",Tabela10[[#This Row],[KOD_PRODUKTU]])</f>
        <v>VE-404K57</v>
      </c>
    </row>
    <row r="358" spans="1:10" x14ac:dyDescent="0.25">
      <c r="A358" s="7" t="s">
        <v>1033</v>
      </c>
      <c r="B358" s="6" t="s">
        <v>1034</v>
      </c>
      <c r="C358" s="7" t="s">
        <v>7</v>
      </c>
      <c r="D358" s="6" t="s">
        <v>8</v>
      </c>
      <c r="E358" s="6" t="s">
        <v>9</v>
      </c>
      <c r="F358" s="6" t="s">
        <v>10</v>
      </c>
      <c r="G358" s="6" t="s">
        <v>19</v>
      </c>
      <c r="H358" s="6">
        <v>4.5999999999999996</v>
      </c>
      <c r="I358" s="6" t="str">
        <f>_xlfn.CONCAT("Art. złączny do produktu ",Tabela10[[#This Row],[KOD_PRODUKTU]])</f>
        <v>Art. złączny do produktu 404K57</v>
      </c>
      <c r="J358" s="6" t="str">
        <f>_xlfn.CONCAT("VE-",Tabela10[[#This Row],[KOD_PRODUKTU]])</f>
        <v>VE-404K57</v>
      </c>
    </row>
    <row r="359" spans="1:10" x14ac:dyDescent="0.25">
      <c r="A359" s="1" t="s">
        <v>1039</v>
      </c>
      <c r="B359" t="s">
        <v>1040</v>
      </c>
      <c r="C359" s="1" t="s">
        <v>1041</v>
      </c>
      <c r="D359" t="s">
        <v>1042</v>
      </c>
      <c r="E359" t="s">
        <v>1043</v>
      </c>
      <c r="F359" t="s">
        <v>17</v>
      </c>
      <c r="G359" t="s">
        <v>33</v>
      </c>
      <c r="H359">
        <v>5.9</v>
      </c>
      <c r="I359" s="6" t="str">
        <f>_xlfn.CONCAT("Art. złączny do produktu ",Tabela10[[#This Row],[KOD_PRODUKTU]])</f>
        <v>Art. złączny do produktu 404K58</v>
      </c>
      <c r="J359" s="6" t="str">
        <f>_xlfn.CONCAT("VE-",Tabela10[[#This Row],[KOD_PRODUKTU]])</f>
        <v>VE-404K58</v>
      </c>
    </row>
    <row r="360" spans="1:10" x14ac:dyDescent="0.25">
      <c r="A360" s="7" t="s">
        <v>1039</v>
      </c>
      <c r="B360" s="6" t="s">
        <v>1040</v>
      </c>
      <c r="C360" s="7" t="s">
        <v>7</v>
      </c>
      <c r="D360" s="6" t="s">
        <v>8</v>
      </c>
      <c r="E360" s="6" t="s">
        <v>9</v>
      </c>
      <c r="F360" s="6" t="s">
        <v>10</v>
      </c>
      <c r="G360" s="6" t="s">
        <v>1044</v>
      </c>
      <c r="H360" s="6">
        <v>4.8</v>
      </c>
      <c r="I360" s="6" t="str">
        <f>_xlfn.CONCAT("Art. złączny do produktu ",Tabela10[[#This Row],[KOD_PRODUKTU]])</f>
        <v>Art. złączny do produktu 404K58</v>
      </c>
      <c r="J360" s="6" t="str">
        <f>_xlfn.CONCAT("VE-",Tabela10[[#This Row],[KOD_PRODUKTU]])</f>
        <v>VE-404K58</v>
      </c>
    </row>
    <row r="361" spans="1:10" x14ac:dyDescent="0.25">
      <c r="A361" s="1" t="s">
        <v>1045</v>
      </c>
      <c r="B361" t="s">
        <v>1046</v>
      </c>
      <c r="C361" s="1" t="s">
        <v>1047</v>
      </c>
      <c r="D361" t="s">
        <v>1048</v>
      </c>
      <c r="E361" t="s">
        <v>1049</v>
      </c>
      <c r="F361" t="s">
        <v>17</v>
      </c>
      <c r="G361" t="s">
        <v>1050</v>
      </c>
      <c r="H361">
        <v>12.3</v>
      </c>
      <c r="I361" s="6" t="str">
        <f>_xlfn.CONCAT("Art. złączny do produktu ",Tabela10[[#This Row],[KOD_PRODUKTU]])</f>
        <v>Art. złączny do produktu 404K59</v>
      </c>
      <c r="J361" s="6" t="str">
        <f>_xlfn.CONCAT("VE-",Tabela10[[#This Row],[KOD_PRODUKTU]])</f>
        <v>VE-404K59</v>
      </c>
    </row>
    <row r="362" spans="1:10" x14ac:dyDescent="0.25">
      <c r="A362" s="7" t="s">
        <v>1045</v>
      </c>
      <c r="B362" s="6" t="s">
        <v>1046</v>
      </c>
      <c r="C362" s="7" t="s">
        <v>7</v>
      </c>
      <c r="D362" s="6" t="s">
        <v>8</v>
      </c>
      <c r="E362" s="6" t="s">
        <v>9</v>
      </c>
      <c r="F362" s="6" t="s">
        <v>10</v>
      </c>
      <c r="G362" s="6" t="s">
        <v>1044</v>
      </c>
      <c r="H362" s="6">
        <v>4.8</v>
      </c>
      <c r="I362" s="6" t="str">
        <f>_xlfn.CONCAT("Art. złączny do produktu ",Tabela10[[#This Row],[KOD_PRODUKTU]])</f>
        <v>Art. złączny do produktu 404K59</v>
      </c>
      <c r="J362" s="6" t="str">
        <f>_xlfn.CONCAT("VE-",Tabela10[[#This Row],[KOD_PRODUKTU]])</f>
        <v>VE-404K59</v>
      </c>
    </row>
    <row r="363" spans="1:10" x14ac:dyDescent="0.25">
      <c r="A363" s="1" t="s">
        <v>1051</v>
      </c>
      <c r="B363" t="s">
        <v>1052</v>
      </c>
      <c r="C363" s="1" t="s">
        <v>1053</v>
      </c>
      <c r="D363" t="s">
        <v>1054</v>
      </c>
      <c r="E363" t="s">
        <v>1055</v>
      </c>
      <c r="F363" t="s">
        <v>49</v>
      </c>
      <c r="G363" t="s">
        <v>50</v>
      </c>
      <c r="H363">
        <v>120.25</v>
      </c>
      <c r="I363" s="6" t="str">
        <f>_xlfn.CONCAT("Art. złączny do produktu ",Tabela10[[#This Row],[KOD_PRODUKTU]])</f>
        <v>Art. złączny do produktu 404K60</v>
      </c>
      <c r="J363" s="6" t="str">
        <f>_xlfn.CONCAT("VE-",Tabela10[[#This Row],[KOD_PRODUKTU]])</f>
        <v>VE-404K60</v>
      </c>
    </row>
    <row r="364" spans="1:10" x14ac:dyDescent="0.25">
      <c r="A364" s="7" t="s">
        <v>1051</v>
      </c>
      <c r="B364" s="6" t="s">
        <v>1052</v>
      </c>
      <c r="C364" s="7" t="s">
        <v>7</v>
      </c>
      <c r="D364" s="6" t="s">
        <v>8</v>
      </c>
      <c r="E364" s="6" t="s">
        <v>9</v>
      </c>
      <c r="F364" s="6" t="s">
        <v>10</v>
      </c>
      <c r="G364" s="6" t="s">
        <v>19</v>
      </c>
      <c r="H364" s="6">
        <v>4.5999999999999996</v>
      </c>
      <c r="I364" s="6" t="str">
        <f>_xlfn.CONCAT("Art. złączny do produktu ",Tabela10[[#This Row],[KOD_PRODUKTU]])</f>
        <v>Art. złączny do produktu 404K60</v>
      </c>
      <c r="J364" s="6" t="str">
        <f>_xlfn.CONCAT("VE-",Tabela10[[#This Row],[KOD_PRODUKTU]])</f>
        <v>VE-404K60</v>
      </c>
    </row>
    <row r="365" spans="1:10" x14ac:dyDescent="0.25">
      <c r="A365" s="1" t="s">
        <v>1056</v>
      </c>
      <c r="B365" t="s">
        <v>1057</v>
      </c>
      <c r="C365" s="1" t="s">
        <v>1058</v>
      </c>
      <c r="D365" t="s">
        <v>1059</v>
      </c>
      <c r="E365" t="s">
        <v>216</v>
      </c>
      <c r="F365" t="s">
        <v>5</v>
      </c>
      <c r="G365" t="s">
        <v>594</v>
      </c>
      <c r="H365">
        <v>1.75</v>
      </c>
      <c r="I365" s="6" t="str">
        <f>_xlfn.CONCAT("Art. złączny do produktu ",Tabela10[[#This Row],[KOD_PRODUKTU]])</f>
        <v>Art. złączny do produktu 404L01</v>
      </c>
      <c r="J365" s="6" t="str">
        <f>_xlfn.CONCAT("VE-",Tabela10[[#This Row],[KOD_PRODUKTU]])</f>
        <v>VE-404L01</v>
      </c>
    </row>
    <row r="366" spans="1:10" x14ac:dyDescent="0.25">
      <c r="A366" s="7" t="s">
        <v>1056</v>
      </c>
      <c r="B366" s="6" t="s">
        <v>1057</v>
      </c>
      <c r="C366" s="7" t="s">
        <v>1060</v>
      </c>
      <c r="D366" s="6" t="s">
        <v>433</v>
      </c>
      <c r="E366" s="6" t="s">
        <v>1061</v>
      </c>
      <c r="F366" s="6" t="s">
        <v>121</v>
      </c>
      <c r="G366" s="6" t="s">
        <v>50</v>
      </c>
      <c r="H366" s="6">
        <v>1.7</v>
      </c>
      <c r="I366" s="6" t="str">
        <f>_xlfn.CONCAT("Art. złączny do produktu ",Tabela10[[#This Row],[KOD_PRODUKTU]])</f>
        <v>Art. złączny do produktu 404L01</v>
      </c>
      <c r="J366" s="6" t="str">
        <f>_xlfn.CONCAT("VE-",Tabela10[[#This Row],[KOD_PRODUKTU]])</f>
        <v>VE-404L01</v>
      </c>
    </row>
    <row r="367" spans="1:10" x14ac:dyDescent="0.25">
      <c r="A367" s="1" t="s">
        <v>1056</v>
      </c>
      <c r="B367" t="s">
        <v>1057</v>
      </c>
      <c r="C367" s="1" t="s">
        <v>7</v>
      </c>
      <c r="D367" t="s">
        <v>8</v>
      </c>
      <c r="E367" t="s">
        <v>9</v>
      </c>
      <c r="F367" t="s">
        <v>10</v>
      </c>
      <c r="G367" t="s">
        <v>33</v>
      </c>
      <c r="H367">
        <v>9.1999999999999993</v>
      </c>
      <c r="I367" s="6" t="str">
        <f>_xlfn.CONCAT("Art. złączny do produktu ",Tabela10[[#This Row],[KOD_PRODUKTU]])</f>
        <v>Art. złączny do produktu 404L01</v>
      </c>
      <c r="J367" s="6" t="str">
        <f>_xlfn.CONCAT("VE-",Tabela10[[#This Row],[KOD_PRODUKTU]])</f>
        <v>VE-404L01</v>
      </c>
    </row>
    <row r="368" spans="1:10" x14ac:dyDescent="0.25">
      <c r="A368" s="7" t="s">
        <v>1062</v>
      </c>
      <c r="B368" s="6" t="s">
        <v>1063</v>
      </c>
      <c r="C368" s="7" t="s">
        <v>22</v>
      </c>
      <c r="D368" s="6" t="s">
        <v>23</v>
      </c>
      <c r="E368" s="6" t="s">
        <v>24</v>
      </c>
      <c r="F368" s="6" t="s">
        <v>17</v>
      </c>
      <c r="G368" s="6" t="s">
        <v>1064</v>
      </c>
      <c r="H368" s="6">
        <v>12.2</v>
      </c>
      <c r="I368" s="6" t="str">
        <f>_xlfn.CONCAT("Art. złączny do produktu ",Tabela10[[#This Row],[KOD_PRODUKTU]])</f>
        <v>Art. złączny do produktu 404L02</v>
      </c>
      <c r="J368" s="6" t="str">
        <f>_xlfn.CONCAT("VE-",Tabela10[[#This Row],[KOD_PRODUKTU]])</f>
        <v>VE-404L02</v>
      </c>
    </row>
    <row r="369" spans="1:10" x14ac:dyDescent="0.25">
      <c r="A369" s="1" t="s">
        <v>1062</v>
      </c>
      <c r="B369" t="s">
        <v>1063</v>
      </c>
      <c r="C369" s="1" t="s">
        <v>7</v>
      </c>
      <c r="D369" t="s">
        <v>8</v>
      </c>
      <c r="E369" t="s">
        <v>9</v>
      </c>
      <c r="F369" t="s">
        <v>10</v>
      </c>
      <c r="G369" t="s">
        <v>1065</v>
      </c>
      <c r="H369">
        <v>5</v>
      </c>
      <c r="I369" s="6" t="str">
        <f>_xlfn.CONCAT("Art. złączny do produktu ",Tabela10[[#This Row],[KOD_PRODUKTU]])</f>
        <v>Art. złączny do produktu 404L02</v>
      </c>
      <c r="J369" s="6" t="str">
        <f>_xlfn.CONCAT("VE-",Tabela10[[#This Row],[KOD_PRODUKTU]])</f>
        <v>VE-404L02</v>
      </c>
    </row>
    <row r="370" spans="1:10" x14ac:dyDescent="0.25">
      <c r="A370" s="7" t="s">
        <v>1066</v>
      </c>
      <c r="B370" s="6" t="s">
        <v>1067</v>
      </c>
      <c r="C370" s="7" t="s">
        <v>1068</v>
      </c>
      <c r="D370" s="6" t="s">
        <v>1069</v>
      </c>
      <c r="E370" s="6" t="s">
        <v>884</v>
      </c>
      <c r="F370" s="6" t="s">
        <v>5</v>
      </c>
      <c r="G370" s="6" t="s">
        <v>1070</v>
      </c>
      <c r="H370" s="6">
        <v>0.25</v>
      </c>
      <c r="I370" s="6" t="str">
        <f>_xlfn.CONCAT("Art. złączny do produktu ",Tabela10[[#This Row],[KOD_PRODUKTU]])</f>
        <v>Art. złączny do produktu 404L03</v>
      </c>
      <c r="J370" s="6" t="str">
        <f>_xlfn.CONCAT("VE-",Tabela10[[#This Row],[KOD_PRODUKTU]])</f>
        <v>VE-404L03</v>
      </c>
    </row>
    <row r="371" spans="1:10" x14ac:dyDescent="0.25">
      <c r="A371" s="1" t="s">
        <v>1066</v>
      </c>
      <c r="B371" t="s">
        <v>1067</v>
      </c>
      <c r="C371" s="1" t="s">
        <v>7</v>
      </c>
      <c r="D371" t="s">
        <v>8</v>
      </c>
      <c r="E371" t="s">
        <v>9</v>
      </c>
      <c r="F371" t="s">
        <v>10</v>
      </c>
      <c r="G371" t="s">
        <v>1071</v>
      </c>
      <c r="H371">
        <v>3.95</v>
      </c>
      <c r="I371" s="6" t="str">
        <f>_xlfn.CONCAT("Art. złączny do produktu ",Tabela10[[#This Row],[KOD_PRODUKTU]])</f>
        <v>Art. złączny do produktu 404L03</v>
      </c>
      <c r="J371" s="6" t="str">
        <f>_xlfn.CONCAT("VE-",Tabela10[[#This Row],[KOD_PRODUKTU]])</f>
        <v>VE-404L03</v>
      </c>
    </row>
    <row r="372" spans="1:10" x14ac:dyDescent="0.25">
      <c r="A372" s="7" t="s">
        <v>1072</v>
      </c>
      <c r="B372" s="6" t="s">
        <v>1073</v>
      </c>
      <c r="C372" s="7" t="s">
        <v>1074</v>
      </c>
      <c r="D372" s="6" t="s">
        <v>1075</v>
      </c>
      <c r="E372" s="6" t="s">
        <v>1076</v>
      </c>
      <c r="F372" s="6" t="s">
        <v>5</v>
      </c>
      <c r="G372" s="6" t="s">
        <v>1077</v>
      </c>
      <c r="H372" s="6">
        <v>0.13</v>
      </c>
      <c r="I372" s="6" t="str">
        <f>_xlfn.CONCAT("Art. złączny do produktu ",Tabela10[[#This Row],[KOD_PRODUKTU]])</f>
        <v>Art. złączny do produktu 404M01</v>
      </c>
      <c r="J372" s="6" t="str">
        <f>_xlfn.CONCAT("VE-",Tabela10[[#This Row],[KOD_PRODUKTU]])</f>
        <v>VE-404M01</v>
      </c>
    </row>
    <row r="373" spans="1:10" x14ac:dyDescent="0.25">
      <c r="A373" s="1" t="s">
        <v>1072</v>
      </c>
      <c r="B373" t="s">
        <v>1073</v>
      </c>
      <c r="C373" s="1" t="s">
        <v>1078</v>
      </c>
      <c r="D373" t="s">
        <v>1079</v>
      </c>
      <c r="E373" t="s">
        <v>1080</v>
      </c>
      <c r="F373" t="s">
        <v>5</v>
      </c>
      <c r="G373" t="s">
        <v>1081</v>
      </c>
      <c r="H373">
        <v>0.51</v>
      </c>
      <c r="I373" s="6" t="str">
        <f>_xlfn.CONCAT("Art. złączny do produktu ",Tabela10[[#This Row],[KOD_PRODUKTU]])</f>
        <v>Art. złączny do produktu 404M01</v>
      </c>
      <c r="J373" s="6" t="str">
        <f>_xlfn.CONCAT("VE-",Tabela10[[#This Row],[KOD_PRODUKTU]])</f>
        <v>VE-404M01</v>
      </c>
    </row>
    <row r="374" spans="1:10" x14ac:dyDescent="0.25">
      <c r="A374" s="7" t="s">
        <v>1072</v>
      </c>
      <c r="B374" s="6" t="s">
        <v>1073</v>
      </c>
      <c r="C374" s="7" t="s">
        <v>1082</v>
      </c>
      <c r="D374" s="6" t="s">
        <v>1083</v>
      </c>
      <c r="E374" s="6" t="s">
        <v>1084</v>
      </c>
      <c r="F374" s="6" t="s">
        <v>121</v>
      </c>
      <c r="G374" s="6" t="s">
        <v>50</v>
      </c>
      <c r="H374" s="6">
        <v>0.84</v>
      </c>
      <c r="I374" s="6" t="str">
        <f>_xlfn.CONCAT("Art. złączny do produktu ",Tabela10[[#This Row],[KOD_PRODUKTU]])</f>
        <v>Art. złączny do produktu 404M01</v>
      </c>
      <c r="J374" s="6" t="str">
        <f>_xlfn.CONCAT("VE-",Tabela10[[#This Row],[KOD_PRODUKTU]])</f>
        <v>VE-404M01</v>
      </c>
    </row>
    <row r="375" spans="1:10" x14ac:dyDescent="0.25">
      <c r="A375" s="1" t="s">
        <v>1072</v>
      </c>
      <c r="B375" t="s">
        <v>1073</v>
      </c>
      <c r="C375" s="1" t="s">
        <v>1085</v>
      </c>
      <c r="D375" t="s">
        <v>1086</v>
      </c>
      <c r="E375" t="s">
        <v>1087</v>
      </c>
      <c r="F375" t="s">
        <v>121</v>
      </c>
      <c r="G375" t="s">
        <v>50</v>
      </c>
      <c r="H375">
        <v>0.17</v>
      </c>
      <c r="I375" s="6" t="str">
        <f>_xlfn.CONCAT("Art. złączny do produktu ",Tabela10[[#This Row],[KOD_PRODUKTU]])</f>
        <v>Art. złączny do produktu 404M01</v>
      </c>
      <c r="J375" s="6" t="str">
        <f>_xlfn.CONCAT("VE-",Tabela10[[#This Row],[KOD_PRODUKTU]])</f>
        <v>VE-404M01</v>
      </c>
    </row>
    <row r="376" spans="1:10" x14ac:dyDescent="0.25">
      <c r="A376" s="7" t="s">
        <v>1072</v>
      </c>
      <c r="B376" s="6" t="s">
        <v>1073</v>
      </c>
      <c r="C376" s="7" t="s">
        <v>1088</v>
      </c>
      <c r="D376" s="6" t="s">
        <v>1089</v>
      </c>
      <c r="E376" s="6" t="s">
        <v>1090</v>
      </c>
      <c r="F376" s="6" t="s">
        <v>121</v>
      </c>
      <c r="G376" s="6" t="s">
        <v>92</v>
      </c>
      <c r="H376" s="6">
        <v>0.2</v>
      </c>
      <c r="I376" s="6" t="str">
        <f>_xlfn.CONCAT("Art. złączny do produktu ",Tabela10[[#This Row],[KOD_PRODUKTU]])</f>
        <v>Art. złączny do produktu 404M01</v>
      </c>
      <c r="J376" s="6" t="str">
        <f>_xlfn.CONCAT("VE-",Tabela10[[#This Row],[KOD_PRODUKTU]])</f>
        <v>VE-404M01</v>
      </c>
    </row>
    <row r="377" spans="1:10" x14ac:dyDescent="0.25">
      <c r="A377" s="1" t="s">
        <v>1072</v>
      </c>
      <c r="B377" t="s">
        <v>1073</v>
      </c>
      <c r="C377" s="1" t="s">
        <v>7</v>
      </c>
      <c r="D377" t="s">
        <v>8</v>
      </c>
      <c r="E377" t="s">
        <v>9</v>
      </c>
      <c r="F377" t="s">
        <v>10</v>
      </c>
      <c r="G377" t="s">
        <v>601</v>
      </c>
      <c r="H377">
        <v>6.9</v>
      </c>
      <c r="I377" s="6" t="str">
        <f>_xlfn.CONCAT("Art. złączny do produktu ",Tabela10[[#This Row],[KOD_PRODUKTU]])</f>
        <v>Art. złączny do produktu 404M01</v>
      </c>
      <c r="J377" s="6" t="str">
        <f>_xlfn.CONCAT("VE-",Tabela10[[#This Row],[KOD_PRODUKTU]])</f>
        <v>VE-404M01</v>
      </c>
    </row>
    <row r="378" spans="1:10" x14ac:dyDescent="0.25">
      <c r="A378" s="7" t="s">
        <v>1097</v>
      </c>
      <c r="B378" s="6" t="s">
        <v>1098</v>
      </c>
      <c r="C378" s="7" t="s">
        <v>1099</v>
      </c>
      <c r="D378" s="6" t="s">
        <v>1100</v>
      </c>
      <c r="E378" s="6" t="s">
        <v>1101</v>
      </c>
      <c r="F378" s="6" t="s">
        <v>49</v>
      </c>
      <c r="G378" s="6" t="s">
        <v>1102</v>
      </c>
      <c r="H378" s="6">
        <v>2.65</v>
      </c>
      <c r="I378" s="6" t="str">
        <f>_xlfn.CONCAT("Art. złączny do produktu ",Tabela10[[#This Row],[KOD_PRODUKTU]])</f>
        <v>Art. złączny do produktu 404N02</v>
      </c>
      <c r="J378" s="6" t="str">
        <f>_xlfn.CONCAT("VE-",Tabela10[[#This Row],[KOD_PRODUKTU]])</f>
        <v>VE-404N02</v>
      </c>
    </row>
    <row r="379" spans="1:10" x14ac:dyDescent="0.25">
      <c r="A379" s="1" t="s">
        <v>1097</v>
      </c>
      <c r="B379" t="s">
        <v>1098</v>
      </c>
      <c r="C379" s="1" t="s">
        <v>432</v>
      </c>
      <c r="D379" t="s">
        <v>433</v>
      </c>
      <c r="E379" t="s">
        <v>434</v>
      </c>
      <c r="F379" t="s">
        <v>435</v>
      </c>
      <c r="G379" t="s">
        <v>50</v>
      </c>
      <c r="H379">
        <v>1.1000000000000001</v>
      </c>
      <c r="I379" s="6" t="str">
        <f>_xlfn.CONCAT("Art. złączny do produktu ",Tabela10[[#This Row],[KOD_PRODUKTU]])</f>
        <v>Art. złączny do produktu 404N02</v>
      </c>
      <c r="J379" s="6" t="str">
        <f>_xlfn.CONCAT("VE-",Tabela10[[#This Row],[KOD_PRODUKTU]])</f>
        <v>VE-404N02</v>
      </c>
    </row>
    <row r="380" spans="1:10" x14ac:dyDescent="0.25">
      <c r="A380" s="7" t="s">
        <v>1097</v>
      </c>
      <c r="B380" s="6" t="s">
        <v>1098</v>
      </c>
      <c r="C380" s="7" t="s">
        <v>7</v>
      </c>
      <c r="D380" s="6" t="s">
        <v>8</v>
      </c>
      <c r="E380" s="6" t="s">
        <v>9</v>
      </c>
      <c r="F380" s="6" t="s">
        <v>10</v>
      </c>
      <c r="G380" s="6" t="s">
        <v>594</v>
      </c>
      <c r="H380" s="6">
        <v>11.5</v>
      </c>
      <c r="I380" s="6" t="str">
        <f>_xlfn.CONCAT("Art. złączny do produktu ",Tabela10[[#This Row],[KOD_PRODUKTU]])</f>
        <v>Art. złączny do produktu 404N02</v>
      </c>
      <c r="J380" s="6" t="str">
        <f>_xlfn.CONCAT("VE-",Tabela10[[#This Row],[KOD_PRODUKTU]])</f>
        <v>VE-404N02</v>
      </c>
    </row>
    <row r="381" spans="1:10" x14ac:dyDescent="0.25">
      <c r="A381" s="1" t="s">
        <v>1103</v>
      </c>
      <c r="B381" t="s">
        <v>1104</v>
      </c>
      <c r="C381" s="1" t="s">
        <v>1105</v>
      </c>
      <c r="D381" t="s">
        <v>1106</v>
      </c>
      <c r="E381" t="s">
        <v>1107</v>
      </c>
      <c r="F381" t="s">
        <v>49</v>
      </c>
      <c r="G381" t="s">
        <v>50</v>
      </c>
      <c r="H381">
        <v>65.040000000000006</v>
      </c>
      <c r="I381" s="6" t="str">
        <f>_xlfn.CONCAT("Art. złączny do produktu ",Tabela10[[#This Row],[KOD_PRODUKTU]])</f>
        <v>Art. złączny do produktu 404N03</v>
      </c>
      <c r="J381" s="6" t="str">
        <f>_xlfn.CONCAT("VE-",Tabela10[[#This Row],[KOD_PRODUKTU]])</f>
        <v>VE-404N03</v>
      </c>
    </row>
    <row r="382" spans="1:10" x14ac:dyDescent="0.25">
      <c r="A382" s="7" t="s">
        <v>1103</v>
      </c>
      <c r="B382" s="6" t="s">
        <v>1104</v>
      </c>
      <c r="C382" s="7" t="s">
        <v>41</v>
      </c>
      <c r="D382" s="6" t="s">
        <v>42</v>
      </c>
      <c r="E382" s="6" t="s">
        <v>43</v>
      </c>
      <c r="F382" s="6" t="s">
        <v>5</v>
      </c>
      <c r="G382" s="6" t="s">
        <v>227</v>
      </c>
      <c r="H382" s="6">
        <v>0.01</v>
      </c>
      <c r="I382" s="6" t="str">
        <f>_xlfn.CONCAT("Art. złączny do produktu ",Tabela10[[#This Row],[KOD_PRODUKTU]])</f>
        <v>Art. złączny do produktu 404N03</v>
      </c>
      <c r="J382" s="6" t="str">
        <f>_xlfn.CONCAT("VE-",Tabela10[[#This Row],[KOD_PRODUKTU]])</f>
        <v>VE-404N03</v>
      </c>
    </row>
    <row r="383" spans="1:10" x14ac:dyDescent="0.25">
      <c r="A383" s="1" t="s">
        <v>1103</v>
      </c>
      <c r="B383" t="s">
        <v>1104</v>
      </c>
      <c r="C383" s="1" t="s">
        <v>7</v>
      </c>
      <c r="D383" t="s">
        <v>8</v>
      </c>
      <c r="E383" t="s">
        <v>9</v>
      </c>
      <c r="F383" t="s">
        <v>10</v>
      </c>
      <c r="G383" t="s">
        <v>245</v>
      </c>
      <c r="H383">
        <v>4</v>
      </c>
      <c r="I383" s="6" t="str">
        <f>_xlfn.CONCAT("Art. złączny do produktu ",Tabela10[[#This Row],[KOD_PRODUKTU]])</f>
        <v>Art. złączny do produktu 404N03</v>
      </c>
      <c r="J383" s="6" t="str">
        <f>_xlfn.CONCAT("VE-",Tabela10[[#This Row],[KOD_PRODUKTU]])</f>
        <v>VE-404N03</v>
      </c>
    </row>
    <row r="384" spans="1:10" x14ac:dyDescent="0.25">
      <c r="A384" s="7" t="s">
        <v>1115</v>
      </c>
      <c r="B384" s="6" t="s">
        <v>1116</v>
      </c>
      <c r="C384" s="7" t="s">
        <v>1117</v>
      </c>
      <c r="D384" s="6" t="s">
        <v>1118</v>
      </c>
      <c r="E384" s="6" t="s">
        <v>876</v>
      </c>
      <c r="F384" s="6" t="s">
        <v>5</v>
      </c>
      <c r="G384" s="6" t="s">
        <v>1119</v>
      </c>
      <c r="H384" s="6">
        <v>0.54</v>
      </c>
      <c r="I384" s="6" t="str">
        <f>_xlfn.CONCAT("Art. złączny do produktu ",Tabela10[[#This Row],[KOD_PRODUKTU]])</f>
        <v>Art. złączny do produktu 404N66</v>
      </c>
      <c r="J384" s="6" t="str">
        <f>_xlfn.CONCAT("VE-",Tabela10[[#This Row],[KOD_PRODUKTU]])</f>
        <v>VE-404N66</v>
      </c>
    </row>
    <row r="385" spans="1:10" x14ac:dyDescent="0.25">
      <c r="A385" s="1" t="s">
        <v>1115</v>
      </c>
      <c r="B385" t="s">
        <v>1116</v>
      </c>
      <c r="C385" s="1" t="s">
        <v>432</v>
      </c>
      <c r="D385" t="s">
        <v>433</v>
      </c>
      <c r="E385" t="s">
        <v>434</v>
      </c>
      <c r="F385" t="s">
        <v>435</v>
      </c>
      <c r="G385" t="s">
        <v>50</v>
      </c>
      <c r="H385">
        <v>1.1000000000000001</v>
      </c>
      <c r="I385" s="6" t="str">
        <f>_xlfn.CONCAT("Art. złączny do produktu ",Tabela10[[#This Row],[KOD_PRODUKTU]])</f>
        <v>Art. złączny do produktu 404N66</v>
      </c>
      <c r="J385" s="6" t="str">
        <f>_xlfn.CONCAT("VE-",Tabela10[[#This Row],[KOD_PRODUKTU]])</f>
        <v>VE-404N66</v>
      </c>
    </row>
    <row r="386" spans="1:10" x14ac:dyDescent="0.25">
      <c r="A386" s="7" t="s">
        <v>1115</v>
      </c>
      <c r="B386" s="6" t="s">
        <v>1116</v>
      </c>
      <c r="C386" s="7" t="s">
        <v>7</v>
      </c>
      <c r="D386" s="6" t="s">
        <v>8</v>
      </c>
      <c r="E386" s="6" t="s">
        <v>9</v>
      </c>
      <c r="F386" s="6" t="s">
        <v>10</v>
      </c>
      <c r="G386" s="6" t="s">
        <v>1120</v>
      </c>
      <c r="H386" s="6">
        <v>2.37</v>
      </c>
      <c r="I386" s="6" t="str">
        <f>_xlfn.CONCAT("Art. złączny do produktu ",Tabela10[[#This Row],[KOD_PRODUKTU]])</f>
        <v>Art. złączny do produktu 404N66</v>
      </c>
      <c r="J386" s="6" t="str">
        <f>_xlfn.CONCAT("VE-",Tabela10[[#This Row],[KOD_PRODUKTU]])</f>
        <v>VE-404N66</v>
      </c>
    </row>
    <row r="387" spans="1:10" x14ac:dyDescent="0.25">
      <c r="A387" s="1" t="s">
        <v>1132</v>
      </c>
      <c r="B387" t="s">
        <v>1133</v>
      </c>
      <c r="C387" s="1" t="s">
        <v>1022</v>
      </c>
      <c r="D387" t="s">
        <v>1023</v>
      </c>
      <c r="E387" t="s">
        <v>1024</v>
      </c>
      <c r="F387" t="s">
        <v>932</v>
      </c>
      <c r="G387" t="s">
        <v>1134</v>
      </c>
      <c r="H387">
        <v>1.4</v>
      </c>
      <c r="I387" s="6" t="str">
        <f>_xlfn.CONCAT("Art. złączny do produktu ",Tabela10[[#This Row],[KOD_PRODUKTU]])</f>
        <v>Art. złączny do produktu 404O23</v>
      </c>
      <c r="J387" s="6" t="str">
        <f>_xlfn.CONCAT("VE-",Tabela10[[#This Row],[KOD_PRODUKTU]])</f>
        <v>VE-404O23</v>
      </c>
    </row>
    <row r="388" spans="1:10" x14ac:dyDescent="0.25">
      <c r="A388" s="7" t="s">
        <v>1132</v>
      </c>
      <c r="B388" s="6" t="s">
        <v>1133</v>
      </c>
      <c r="C388" s="7" t="s">
        <v>7</v>
      </c>
      <c r="D388" s="6" t="s">
        <v>8</v>
      </c>
      <c r="E388" s="6" t="s">
        <v>9</v>
      </c>
      <c r="F388" s="6" t="s">
        <v>10</v>
      </c>
      <c r="G388" s="6" t="s">
        <v>860</v>
      </c>
      <c r="H388" s="6">
        <v>23</v>
      </c>
      <c r="I388" s="6" t="str">
        <f>_xlfn.CONCAT("Art. złączny do produktu ",Tabela10[[#This Row],[KOD_PRODUKTU]])</f>
        <v>Art. złączny do produktu 404O23</v>
      </c>
      <c r="J388" s="6" t="str">
        <f>_xlfn.CONCAT("VE-",Tabela10[[#This Row],[KOD_PRODUKTU]])</f>
        <v>VE-404O23</v>
      </c>
    </row>
    <row r="389" spans="1:10" x14ac:dyDescent="0.25">
      <c r="A389" s="1" t="s">
        <v>1135</v>
      </c>
      <c r="B389" t="s">
        <v>1136</v>
      </c>
      <c r="C389" s="1" t="s">
        <v>1022</v>
      </c>
      <c r="D389" t="s">
        <v>1023</v>
      </c>
      <c r="E389" t="s">
        <v>1024</v>
      </c>
      <c r="F389" t="s">
        <v>932</v>
      </c>
      <c r="G389" t="s">
        <v>1137</v>
      </c>
      <c r="H389">
        <v>11.6</v>
      </c>
      <c r="I389" s="6" t="str">
        <f>_xlfn.CONCAT("Art. złączny do produktu ",Tabela10[[#This Row],[KOD_PRODUKTU]])</f>
        <v>Art. złączny do produktu 404O24</v>
      </c>
      <c r="J389" s="6" t="str">
        <f>_xlfn.CONCAT("VE-",Tabela10[[#This Row],[KOD_PRODUKTU]])</f>
        <v>VE-404O24</v>
      </c>
    </row>
    <row r="390" spans="1:10" x14ac:dyDescent="0.25">
      <c r="A390" s="7" t="s">
        <v>1135</v>
      </c>
      <c r="B390" s="6" t="s">
        <v>1136</v>
      </c>
      <c r="C390" s="7" t="s">
        <v>7</v>
      </c>
      <c r="D390" s="6" t="s">
        <v>8</v>
      </c>
      <c r="E390" s="6" t="s">
        <v>9</v>
      </c>
      <c r="F390" s="6" t="s">
        <v>10</v>
      </c>
      <c r="G390" s="6" t="s">
        <v>152</v>
      </c>
      <c r="H390" s="6">
        <v>5.7</v>
      </c>
      <c r="I390" s="6" t="str">
        <f>_xlfn.CONCAT("Art. złączny do produktu ",Tabela10[[#This Row],[KOD_PRODUKTU]])</f>
        <v>Art. złączny do produktu 404O24</v>
      </c>
      <c r="J390" s="6" t="str">
        <f>_xlfn.CONCAT("VE-",Tabela10[[#This Row],[KOD_PRODUKTU]])</f>
        <v>VE-404O24</v>
      </c>
    </row>
    <row r="391" spans="1:10" x14ac:dyDescent="0.25">
      <c r="A391" s="1" t="s">
        <v>1135</v>
      </c>
      <c r="B391" t="s">
        <v>1136</v>
      </c>
      <c r="C391" s="1" t="s">
        <v>7</v>
      </c>
      <c r="D391" t="s">
        <v>8</v>
      </c>
      <c r="E391" t="s">
        <v>9</v>
      </c>
      <c r="F391" t="s">
        <v>10</v>
      </c>
      <c r="G391" t="s">
        <v>992</v>
      </c>
      <c r="H391">
        <v>13.8</v>
      </c>
      <c r="I391" s="6" t="str">
        <f>_xlfn.CONCAT("Art. złączny do produktu ",Tabela10[[#This Row],[KOD_PRODUKTU]])</f>
        <v>Art. złączny do produktu 404O24</v>
      </c>
      <c r="J391" s="6" t="str">
        <f>_xlfn.CONCAT("VE-",Tabela10[[#This Row],[KOD_PRODUKTU]])</f>
        <v>VE-404O24</v>
      </c>
    </row>
    <row r="392" spans="1:10" x14ac:dyDescent="0.25">
      <c r="A392" s="7" t="s">
        <v>1138</v>
      </c>
      <c r="B392" s="6" t="s">
        <v>1139</v>
      </c>
      <c r="C392" s="7" t="s">
        <v>1022</v>
      </c>
      <c r="D392" s="6" t="s">
        <v>1023</v>
      </c>
      <c r="E392" s="6" t="s">
        <v>1024</v>
      </c>
      <c r="F392" s="6" t="s">
        <v>932</v>
      </c>
      <c r="G392" s="6" t="s">
        <v>1140</v>
      </c>
      <c r="H392" s="6">
        <v>6.65</v>
      </c>
      <c r="I392" s="6" t="str">
        <f>_xlfn.CONCAT("Art. złączny do produktu ",Tabela10[[#This Row],[KOD_PRODUKTU]])</f>
        <v>Art. złączny do produktu 404O25</v>
      </c>
      <c r="J392" s="6" t="str">
        <f>_xlfn.CONCAT("VE-",Tabela10[[#This Row],[KOD_PRODUKTU]])</f>
        <v>VE-404O25</v>
      </c>
    </row>
    <row r="393" spans="1:10" x14ac:dyDescent="0.25">
      <c r="A393" s="1" t="s">
        <v>1138</v>
      </c>
      <c r="B393" t="s">
        <v>1139</v>
      </c>
      <c r="C393" s="1" t="s">
        <v>7</v>
      </c>
      <c r="D393" t="s">
        <v>8</v>
      </c>
      <c r="E393" t="s">
        <v>9</v>
      </c>
      <c r="F393" t="s">
        <v>10</v>
      </c>
      <c r="G393" t="s">
        <v>1141</v>
      </c>
      <c r="H393">
        <v>5.75</v>
      </c>
      <c r="I393" s="6" t="str">
        <f>_xlfn.CONCAT("Art. złączny do produktu ",Tabela10[[#This Row],[KOD_PRODUKTU]])</f>
        <v>Art. złączny do produktu 404O25</v>
      </c>
      <c r="J393" s="6" t="str">
        <f>_xlfn.CONCAT("VE-",Tabela10[[#This Row],[KOD_PRODUKTU]])</f>
        <v>VE-404O25</v>
      </c>
    </row>
    <row r="394" spans="1:10" x14ac:dyDescent="0.25">
      <c r="A394" s="7" t="s">
        <v>1138</v>
      </c>
      <c r="B394" s="6" t="s">
        <v>1139</v>
      </c>
      <c r="C394" s="7" t="s">
        <v>7</v>
      </c>
      <c r="D394" s="6" t="s">
        <v>8</v>
      </c>
      <c r="E394" s="6" t="s">
        <v>9</v>
      </c>
      <c r="F394" s="6" t="s">
        <v>10</v>
      </c>
      <c r="G394" s="6" t="s">
        <v>992</v>
      </c>
      <c r="H394" s="6">
        <v>13.8</v>
      </c>
      <c r="I394" s="6" t="str">
        <f>_xlfn.CONCAT("Art. złączny do produktu ",Tabela10[[#This Row],[KOD_PRODUKTU]])</f>
        <v>Art. złączny do produktu 404O25</v>
      </c>
      <c r="J394" s="6" t="str">
        <f>_xlfn.CONCAT("VE-",Tabela10[[#This Row],[KOD_PRODUKTU]])</f>
        <v>VE-404O25</v>
      </c>
    </row>
    <row r="395" spans="1:10" x14ac:dyDescent="0.25">
      <c r="A395" s="1" t="s">
        <v>1142</v>
      </c>
      <c r="B395" t="s">
        <v>1143</v>
      </c>
      <c r="C395" s="1" t="s">
        <v>1022</v>
      </c>
      <c r="D395" t="s">
        <v>1023</v>
      </c>
      <c r="E395" t="s">
        <v>1024</v>
      </c>
      <c r="F395" t="s">
        <v>932</v>
      </c>
      <c r="G395" t="s">
        <v>1144</v>
      </c>
      <c r="H395">
        <v>8</v>
      </c>
      <c r="I395" s="6" t="str">
        <f>_xlfn.CONCAT("Art. złączny do produktu ",Tabela10[[#This Row],[KOD_PRODUKTU]])</f>
        <v>Art. złączny do produktu 404O26</v>
      </c>
      <c r="J395" s="6" t="str">
        <f>_xlfn.CONCAT("VE-",Tabela10[[#This Row],[KOD_PRODUKTU]])</f>
        <v>VE-404O26</v>
      </c>
    </row>
    <row r="396" spans="1:10" x14ac:dyDescent="0.25">
      <c r="A396" s="7" t="s">
        <v>1142</v>
      </c>
      <c r="B396" s="6" t="s">
        <v>1143</v>
      </c>
      <c r="C396" s="7" t="s">
        <v>7</v>
      </c>
      <c r="D396" s="6" t="s">
        <v>8</v>
      </c>
      <c r="E396" s="6" t="s">
        <v>9</v>
      </c>
      <c r="F396" s="6" t="s">
        <v>10</v>
      </c>
      <c r="G396" s="6" t="s">
        <v>1141</v>
      </c>
      <c r="H396" s="6">
        <v>5.75</v>
      </c>
      <c r="I396" s="6" t="str">
        <f>_xlfn.CONCAT("Art. złączny do produktu ",Tabela10[[#This Row],[KOD_PRODUKTU]])</f>
        <v>Art. złączny do produktu 404O26</v>
      </c>
      <c r="J396" s="6" t="str">
        <f>_xlfn.CONCAT("VE-",Tabela10[[#This Row],[KOD_PRODUKTU]])</f>
        <v>VE-404O26</v>
      </c>
    </row>
    <row r="397" spans="1:10" x14ac:dyDescent="0.25">
      <c r="A397" s="1" t="s">
        <v>1142</v>
      </c>
      <c r="B397" t="s">
        <v>1143</v>
      </c>
      <c r="C397" s="1" t="s">
        <v>7</v>
      </c>
      <c r="D397" t="s">
        <v>8</v>
      </c>
      <c r="E397" t="s">
        <v>9</v>
      </c>
      <c r="F397" t="s">
        <v>10</v>
      </c>
      <c r="G397" t="s">
        <v>992</v>
      </c>
      <c r="H397">
        <v>13.8</v>
      </c>
      <c r="I397" s="6" t="str">
        <f>_xlfn.CONCAT("Art. złączny do produktu ",Tabela10[[#This Row],[KOD_PRODUKTU]])</f>
        <v>Art. złączny do produktu 404O26</v>
      </c>
      <c r="J397" s="6" t="str">
        <f>_xlfn.CONCAT("VE-",Tabela10[[#This Row],[KOD_PRODUKTU]])</f>
        <v>VE-404O26</v>
      </c>
    </row>
    <row r="398" spans="1:10" x14ac:dyDescent="0.25">
      <c r="A398" s="7" t="s">
        <v>1145</v>
      </c>
      <c r="B398" s="6" t="s">
        <v>1146</v>
      </c>
      <c r="C398" s="7" t="s">
        <v>1022</v>
      </c>
      <c r="D398" s="6" t="s">
        <v>1023</v>
      </c>
      <c r="E398" s="6" t="s">
        <v>1024</v>
      </c>
      <c r="F398" s="6" t="s">
        <v>932</v>
      </c>
      <c r="G398" s="6" t="s">
        <v>1147</v>
      </c>
      <c r="H398" s="6">
        <v>7.4</v>
      </c>
      <c r="I398" s="6" t="str">
        <f>_xlfn.CONCAT("Art. złączny do produktu ",Tabela10[[#This Row],[KOD_PRODUKTU]])</f>
        <v>Art. złączny do produktu 404O27</v>
      </c>
      <c r="J398" s="6" t="str">
        <f>_xlfn.CONCAT("VE-",Tabela10[[#This Row],[KOD_PRODUKTU]])</f>
        <v>VE-404O27</v>
      </c>
    </row>
    <row r="399" spans="1:10" x14ac:dyDescent="0.25">
      <c r="A399" s="1" t="s">
        <v>1145</v>
      </c>
      <c r="B399" t="s">
        <v>1146</v>
      </c>
      <c r="C399" s="1" t="s">
        <v>7</v>
      </c>
      <c r="D399" t="s">
        <v>8</v>
      </c>
      <c r="E399" t="s">
        <v>9</v>
      </c>
      <c r="F399" t="s">
        <v>10</v>
      </c>
      <c r="G399" t="s">
        <v>992</v>
      </c>
      <c r="H399">
        <v>13.8</v>
      </c>
      <c r="I399" s="6" t="str">
        <f>_xlfn.CONCAT("Art. złączny do produktu ",Tabela10[[#This Row],[KOD_PRODUKTU]])</f>
        <v>Art. złączny do produktu 404O27</v>
      </c>
      <c r="J399" s="6" t="str">
        <f>_xlfn.CONCAT("VE-",Tabela10[[#This Row],[KOD_PRODUKTU]])</f>
        <v>VE-404O27</v>
      </c>
    </row>
    <row r="400" spans="1:10" x14ac:dyDescent="0.25">
      <c r="A400" s="7" t="s">
        <v>1145</v>
      </c>
      <c r="B400" s="6" t="s">
        <v>1146</v>
      </c>
      <c r="C400" s="7" t="s">
        <v>7</v>
      </c>
      <c r="D400" s="6" t="s">
        <v>8</v>
      </c>
      <c r="E400" s="6" t="s">
        <v>9</v>
      </c>
      <c r="F400" s="6" t="s">
        <v>10</v>
      </c>
      <c r="G400" s="6" t="s">
        <v>1148</v>
      </c>
      <c r="H400" s="6">
        <v>5.8</v>
      </c>
      <c r="I400" s="6" t="str">
        <f>_xlfn.CONCAT("Art. złączny do produktu ",Tabela10[[#This Row],[KOD_PRODUKTU]])</f>
        <v>Art. złączny do produktu 404O27</v>
      </c>
      <c r="J400" s="6" t="str">
        <f>_xlfn.CONCAT("VE-",Tabela10[[#This Row],[KOD_PRODUKTU]])</f>
        <v>VE-404O27</v>
      </c>
    </row>
    <row r="401" spans="1:10" x14ac:dyDescent="0.25">
      <c r="A401" s="1" t="s">
        <v>1149</v>
      </c>
      <c r="B401" t="s">
        <v>1150</v>
      </c>
      <c r="C401" s="1" t="s">
        <v>1022</v>
      </c>
      <c r="D401" t="s">
        <v>1023</v>
      </c>
      <c r="E401" t="s">
        <v>1024</v>
      </c>
      <c r="F401" t="s">
        <v>932</v>
      </c>
      <c r="G401" t="s">
        <v>1151</v>
      </c>
      <c r="H401">
        <v>6.6</v>
      </c>
      <c r="I401" s="6" t="str">
        <f>_xlfn.CONCAT("Art. złączny do produktu ",Tabela10[[#This Row],[KOD_PRODUKTU]])</f>
        <v>Art. złączny do produktu 404O28</v>
      </c>
      <c r="J401" s="6" t="str">
        <f>_xlfn.CONCAT("VE-",Tabela10[[#This Row],[KOD_PRODUKTU]])</f>
        <v>VE-404O28</v>
      </c>
    </row>
    <row r="402" spans="1:10" x14ac:dyDescent="0.25">
      <c r="A402" s="7" t="s">
        <v>1149</v>
      </c>
      <c r="B402" s="6" t="s">
        <v>1150</v>
      </c>
      <c r="C402" s="7" t="s">
        <v>7</v>
      </c>
      <c r="D402" s="6" t="s">
        <v>8</v>
      </c>
      <c r="E402" s="6" t="s">
        <v>9</v>
      </c>
      <c r="F402" s="6" t="s">
        <v>10</v>
      </c>
      <c r="G402" s="6" t="s">
        <v>1141</v>
      </c>
      <c r="H402" s="6">
        <v>5.75</v>
      </c>
      <c r="I402" s="6" t="str">
        <f>_xlfn.CONCAT("Art. złączny do produktu ",Tabela10[[#This Row],[KOD_PRODUKTU]])</f>
        <v>Art. złączny do produktu 404O28</v>
      </c>
      <c r="J402" s="6" t="str">
        <f>_xlfn.CONCAT("VE-",Tabela10[[#This Row],[KOD_PRODUKTU]])</f>
        <v>VE-404O28</v>
      </c>
    </row>
    <row r="403" spans="1:10" x14ac:dyDescent="0.25">
      <c r="A403" s="1" t="s">
        <v>1149</v>
      </c>
      <c r="B403" t="s">
        <v>1150</v>
      </c>
      <c r="C403" s="1" t="s">
        <v>7</v>
      </c>
      <c r="D403" t="s">
        <v>8</v>
      </c>
      <c r="E403" t="s">
        <v>9</v>
      </c>
      <c r="F403" t="s">
        <v>10</v>
      </c>
      <c r="G403" t="s">
        <v>992</v>
      </c>
      <c r="H403">
        <v>13.8</v>
      </c>
      <c r="I403" s="6" t="str">
        <f>_xlfn.CONCAT("Art. złączny do produktu ",Tabela10[[#This Row],[KOD_PRODUKTU]])</f>
        <v>Art. złączny do produktu 404O28</v>
      </c>
      <c r="J403" s="6" t="str">
        <f>_xlfn.CONCAT("VE-",Tabela10[[#This Row],[KOD_PRODUKTU]])</f>
        <v>VE-404O28</v>
      </c>
    </row>
    <row r="404" spans="1:10" x14ac:dyDescent="0.25">
      <c r="A404" s="7" t="s">
        <v>1152</v>
      </c>
      <c r="B404" s="6" t="s">
        <v>1153</v>
      </c>
      <c r="C404" s="7" t="s">
        <v>695</v>
      </c>
      <c r="D404" s="6" t="s">
        <v>696</v>
      </c>
      <c r="E404" s="6" t="s">
        <v>501</v>
      </c>
      <c r="F404" s="6" t="s">
        <v>39</v>
      </c>
      <c r="G404" s="6" t="s">
        <v>19</v>
      </c>
      <c r="H404" s="6">
        <v>0.45</v>
      </c>
      <c r="I404" s="6" t="str">
        <f>_xlfn.CONCAT("Art. złączny do produktu ",Tabela10[[#This Row],[KOD_PRODUKTU]])</f>
        <v>Art. złączny do produktu 404O31</v>
      </c>
      <c r="J404" s="6" t="str">
        <f>_xlfn.CONCAT("VE-",Tabela10[[#This Row],[KOD_PRODUKTU]])</f>
        <v>VE-404O31</v>
      </c>
    </row>
    <row r="405" spans="1:10" x14ac:dyDescent="0.25">
      <c r="A405" s="1" t="s">
        <v>1152</v>
      </c>
      <c r="B405" t="s">
        <v>1153</v>
      </c>
      <c r="C405" s="1" t="s">
        <v>1154</v>
      </c>
      <c r="D405" t="s">
        <v>1155</v>
      </c>
      <c r="E405" t="s">
        <v>165</v>
      </c>
      <c r="F405" t="s">
        <v>121</v>
      </c>
      <c r="G405" t="s">
        <v>92</v>
      </c>
      <c r="H405">
        <v>27.4</v>
      </c>
      <c r="I405" s="6" t="str">
        <f>_xlfn.CONCAT("Art. złączny do produktu ",Tabela10[[#This Row],[KOD_PRODUKTU]])</f>
        <v>Art. złączny do produktu 404O31</v>
      </c>
      <c r="J405" s="6" t="str">
        <f>_xlfn.CONCAT("VE-",Tabela10[[#This Row],[KOD_PRODUKTU]])</f>
        <v>VE-404O31</v>
      </c>
    </row>
    <row r="406" spans="1:10" x14ac:dyDescent="0.25">
      <c r="A406" s="7" t="s">
        <v>1152</v>
      </c>
      <c r="B406" s="6" t="s">
        <v>1153</v>
      </c>
      <c r="C406" s="7" t="s">
        <v>7</v>
      </c>
      <c r="D406" s="6" t="s">
        <v>8</v>
      </c>
      <c r="E406" s="6" t="s">
        <v>9</v>
      </c>
      <c r="F406" s="6" t="s">
        <v>10</v>
      </c>
      <c r="G406" s="6" t="s">
        <v>1159</v>
      </c>
      <c r="H406" s="6">
        <v>142.15</v>
      </c>
      <c r="I406" s="6" t="str">
        <f>_xlfn.CONCAT("Art. złączny do produktu ",Tabela10[[#This Row],[KOD_PRODUKTU]])</f>
        <v>Art. złączny do produktu 404O31</v>
      </c>
      <c r="J406" s="6" t="str">
        <f>_xlfn.CONCAT("VE-",Tabela10[[#This Row],[KOD_PRODUKTU]])</f>
        <v>VE-404O31</v>
      </c>
    </row>
    <row r="407" spans="1:10" x14ac:dyDescent="0.25">
      <c r="A407" s="1" t="s">
        <v>1160</v>
      </c>
      <c r="B407" t="s">
        <v>1161</v>
      </c>
      <c r="C407" s="1" t="s">
        <v>1162</v>
      </c>
      <c r="D407" t="s">
        <v>1163</v>
      </c>
      <c r="E407" t="s">
        <v>1164</v>
      </c>
      <c r="F407" t="s">
        <v>5</v>
      </c>
      <c r="G407" t="s">
        <v>601</v>
      </c>
      <c r="H407">
        <v>1.2</v>
      </c>
      <c r="I407" s="6" t="str">
        <f>_xlfn.CONCAT("Art. złączny do produktu ",Tabela10[[#This Row],[KOD_PRODUKTU]])</f>
        <v>Art. złączny do produktu 404O68</v>
      </c>
      <c r="J407" s="6" t="str">
        <f>_xlfn.CONCAT("VE-",Tabela10[[#This Row],[KOD_PRODUKTU]])</f>
        <v>VE-404O68</v>
      </c>
    </row>
    <row r="408" spans="1:10" x14ac:dyDescent="0.25">
      <c r="A408" s="7" t="s">
        <v>1160</v>
      </c>
      <c r="B408" s="6" t="s">
        <v>1161</v>
      </c>
      <c r="C408" s="7" t="s">
        <v>432</v>
      </c>
      <c r="D408" s="6" t="s">
        <v>433</v>
      </c>
      <c r="E408" s="6" t="s">
        <v>434</v>
      </c>
      <c r="F408" s="6" t="s">
        <v>435</v>
      </c>
      <c r="G408" s="6" t="s">
        <v>1165</v>
      </c>
      <c r="H408" s="6">
        <v>3.7</v>
      </c>
      <c r="I408" s="6" t="str">
        <f>_xlfn.CONCAT("Art. złączny do produktu ",Tabela10[[#This Row],[KOD_PRODUKTU]])</f>
        <v>Art. złączny do produktu 404O68</v>
      </c>
      <c r="J408" s="6" t="str">
        <f>_xlfn.CONCAT("VE-",Tabela10[[#This Row],[KOD_PRODUKTU]])</f>
        <v>VE-404O68</v>
      </c>
    </row>
    <row r="409" spans="1:10" x14ac:dyDescent="0.25">
      <c r="A409" s="1" t="s">
        <v>1160</v>
      </c>
      <c r="B409" t="s">
        <v>1161</v>
      </c>
      <c r="C409" s="1" t="s">
        <v>541</v>
      </c>
      <c r="D409" t="s">
        <v>542</v>
      </c>
      <c r="E409" t="s">
        <v>9</v>
      </c>
      <c r="F409" t="s">
        <v>10</v>
      </c>
      <c r="G409" t="s">
        <v>1166</v>
      </c>
      <c r="H409">
        <v>10.5</v>
      </c>
      <c r="I409" s="6" t="str">
        <f>_xlfn.CONCAT("Art. złączny do produktu ",Tabela10[[#This Row],[KOD_PRODUKTU]])</f>
        <v>Art. złączny do produktu 404O68</v>
      </c>
      <c r="J409" s="6" t="str">
        <f>_xlfn.CONCAT("VE-",Tabela10[[#This Row],[KOD_PRODUKTU]])</f>
        <v>VE-404O68</v>
      </c>
    </row>
    <row r="410" spans="1:10" x14ac:dyDescent="0.25">
      <c r="A410" s="7" t="s">
        <v>1167</v>
      </c>
      <c r="B410" s="6" t="s">
        <v>1168</v>
      </c>
      <c r="C410" s="7" t="s">
        <v>1162</v>
      </c>
      <c r="D410" s="6" t="s">
        <v>1163</v>
      </c>
      <c r="E410" s="6" t="s">
        <v>291</v>
      </c>
      <c r="F410" s="6" t="s">
        <v>5</v>
      </c>
      <c r="G410" s="6" t="s">
        <v>1169</v>
      </c>
      <c r="H410" s="6">
        <v>2.25</v>
      </c>
      <c r="I410" s="6" t="str">
        <f>_xlfn.CONCAT("Art. złączny do produktu ",Tabela10[[#This Row],[KOD_PRODUKTU]])</f>
        <v>Art. złączny do produktu 404O69</v>
      </c>
      <c r="J410" s="6" t="str">
        <f>_xlfn.CONCAT("VE-",Tabela10[[#This Row],[KOD_PRODUKTU]])</f>
        <v>VE-404O69</v>
      </c>
    </row>
    <row r="411" spans="1:10" x14ac:dyDescent="0.25">
      <c r="A411" s="1" t="s">
        <v>1167</v>
      </c>
      <c r="B411" t="s">
        <v>1168</v>
      </c>
      <c r="C411" s="1" t="s">
        <v>432</v>
      </c>
      <c r="D411" t="s">
        <v>433</v>
      </c>
      <c r="E411" t="s">
        <v>434</v>
      </c>
      <c r="F411" t="s">
        <v>435</v>
      </c>
      <c r="G411" t="s">
        <v>1170</v>
      </c>
      <c r="H411">
        <v>3.85</v>
      </c>
      <c r="I411" s="6" t="str">
        <f>_xlfn.CONCAT("Art. złączny do produktu ",Tabela10[[#This Row],[KOD_PRODUKTU]])</f>
        <v>Art. złączny do produktu 404O69</v>
      </c>
      <c r="J411" s="6" t="str">
        <f>_xlfn.CONCAT("VE-",Tabela10[[#This Row],[KOD_PRODUKTU]])</f>
        <v>VE-404O69</v>
      </c>
    </row>
    <row r="412" spans="1:10" x14ac:dyDescent="0.25">
      <c r="A412" s="7" t="s">
        <v>1167</v>
      </c>
      <c r="B412" s="6" t="s">
        <v>1168</v>
      </c>
      <c r="C412" s="7" t="s">
        <v>541</v>
      </c>
      <c r="D412" s="6" t="s">
        <v>542</v>
      </c>
      <c r="E412" s="6" t="s">
        <v>9</v>
      </c>
      <c r="F412" s="6" t="s">
        <v>10</v>
      </c>
      <c r="G412" s="6" t="s">
        <v>594</v>
      </c>
      <c r="H412" s="6">
        <v>11.5</v>
      </c>
      <c r="I412" s="6" t="str">
        <f>_xlfn.CONCAT("Art. złączny do produktu ",Tabela10[[#This Row],[KOD_PRODUKTU]])</f>
        <v>Art. złączny do produktu 404O69</v>
      </c>
      <c r="J412" s="6" t="str">
        <f>_xlfn.CONCAT("VE-",Tabela10[[#This Row],[KOD_PRODUKTU]])</f>
        <v>VE-404O69</v>
      </c>
    </row>
    <row r="413" spans="1:10" x14ac:dyDescent="0.25">
      <c r="A413" s="1" t="s">
        <v>1171</v>
      </c>
      <c r="B413" t="s">
        <v>1172</v>
      </c>
      <c r="C413" s="1" t="s">
        <v>1162</v>
      </c>
      <c r="D413" t="s">
        <v>1163</v>
      </c>
      <c r="E413" t="s">
        <v>4</v>
      </c>
      <c r="F413" t="s">
        <v>5</v>
      </c>
      <c r="G413" t="s">
        <v>1173</v>
      </c>
      <c r="H413">
        <v>2.9</v>
      </c>
      <c r="I413" s="6" t="str">
        <f>_xlfn.CONCAT("Art. złączny do produktu ",Tabela10[[#This Row],[KOD_PRODUKTU]])</f>
        <v>Art. złączny do produktu 404O70</v>
      </c>
      <c r="J413" s="6" t="str">
        <f>_xlfn.CONCAT("VE-",Tabela10[[#This Row],[KOD_PRODUKTU]])</f>
        <v>VE-404O70</v>
      </c>
    </row>
    <row r="414" spans="1:10" x14ac:dyDescent="0.25">
      <c r="A414" s="7" t="s">
        <v>1171</v>
      </c>
      <c r="B414" s="6" t="s">
        <v>1172</v>
      </c>
      <c r="C414" s="7" t="s">
        <v>432</v>
      </c>
      <c r="D414" s="6" t="s">
        <v>433</v>
      </c>
      <c r="E414" s="6" t="s">
        <v>434</v>
      </c>
      <c r="F414" s="6" t="s">
        <v>435</v>
      </c>
      <c r="G414" s="6" t="s">
        <v>1170</v>
      </c>
      <c r="H414" s="6">
        <v>3.85</v>
      </c>
      <c r="I414" s="6" t="str">
        <f>_xlfn.CONCAT("Art. złączny do produktu ",Tabela10[[#This Row],[KOD_PRODUKTU]])</f>
        <v>Art. złączny do produktu 404O70</v>
      </c>
      <c r="J414" s="6" t="str">
        <f>_xlfn.CONCAT("VE-",Tabela10[[#This Row],[KOD_PRODUKTU]])</f>
        <v>VE-404O70</v>
      </c>
    </row>
    <row r="415" spans="1:10" x14ac:dyDescent="0.25">
      <c r="A415" s="1" t="s">
        <v>1171</v>
      </c>
      <c r="B415" t="s">
        <v>1172</v>
      </c>
      <c r="C415" s="1" t="s">
        <v>541</v>
      </c>
      <c r="D415" t="s">
        <v>542</v>
      </c>
      <c r="E415" t="s">
        <v>9</v>
      </c>
      <c r="F415" t="s">
        <v>10</v>
      </c>
      <c r="G415" t="s">
        <v>594</v>
      </c>
      <c r="H415">
        <v>11.5</v>
      </c>
      <c r="I415" s="6" t="str">
        <f>_xlfn.CONCAT("Art. złączny do produktu ",Tabela10[[#This Row],[KOD_PRODUKTU]])</f>
        <v>Art. złączny do produktu 404O70</v>
      </c>
      <c r="J415" s="6" t="str">
        <f>_xlfn.CONCAT("VE-",Tabela10[[#This Row],[KOD_PRODUKTU]])</f>
        <v>VE-404O70</v>
      </c>
    </row>
    <row r="416" spans="1:10" x14ac:dyDescent="0.25">
      <c r="A416" s="7" t="s">
        <v>1174</v>
      </c>
      <c r="B416" s="6" t="s">
        <v>1175</v>
      </c>
      <c r="C416" s="7" t="s">
        <v>1162</v>
      </c>
      <c r="D416" s="6" t="s">
        <v>1163</v>
      </c>
      <c r="E416" s="6" t="s">
        <v>4</v>
      </c>
      <c r="F416" s="6" t="s">
        <v>5</v>
      </c>
      <c r="G416" s="6" t="s">
        <v>1176</v>
      </c>
      <c r="H416" s="6">
        <v>1.74</v>
      </c>
      <c r="I416" s="6" t="str">
        <f>_xlfn.CONCAT("Art. złączny do produktu ",Tabela10[[#This Row],[KOD_PRODUKTU]])</f>
        <v>Art. złączny do produktu 404O71</v>
      </c>
      <c r="J416" s="6" t="str">
        <f>_xlfn.CONCAT("VE-",Tabela10[[#This Row],[KOD_PRODUKTU]])</f>
        <v>VE-404O71</v>
      </c>
    </row>
    <row r="417" spans="1:10" x14ac:dyDescent="0.25">
      <c r="A417" s="1" t="s">
        <v>1174</v>
      </c>
      <c r="B417" t="s">
        <v>1175</v>
      </c>
      <c r="C417" s="1" t="s">
        <v>432</v>
      </c>
      <c r="D417" t="s">
        <v>433</v>
      </c>
      <c r="E417" t="s">
        <v>434</v>
      </c>
      <c r="F417" t="s">
        <v>435</v>
      </c>
      <c r="G417" t="s">
        <v>1177</v>
      </c>
      <c r="H417">
        <v>3.8</v>
      </c>
      <c r="I417" s="6" t="str">
        <f>_xlfn.CONCAT("Art. złączny do produktu ",Tabela10[[#This Row],[KOD_PRODUKTU]])</f>
        <v>Art. złączny do produktu 404O71</v>
      </c>
      <c r="J417" s="6" t="str">
        <f>_xlfn.CONCAT("VE-",Tabela10[[#This Row],[KOD_PRODUKTU]])</f>
        <v>VE-404O71</v>
      </c>
    </row>
    <row r="418" spans="1:10" x14ac:dyDescent="0.25">
      <c r="A418" s="7" t="s">
        <v>1174</v>
      </c>
      <c r="B418" s="6" t="s">
        <v>1175</v>
      </c>
      <c r="C418" s="7" t="s">
        <v>541</v>
      </c>
      <c r="D418" s="6" t="s">
        <v>542</v>
      </c>
      <c r="E418" s="6" t="s">
        <v>9</v>
      </c>
      <c r="F418" s="6" t="s">
        <v>10</v>
      </c>
      <c r="G418" s="6" t="s">
        <v>1178</v>
      </c>
      <c r="H418" s="6">
        <v>10.45</v>
      </c>
      <c r="I418" s="6" t="str">
        <f>_xlfn.CONCAT("Art. złączny do produktu ",Tabela10[[#This Row],[KOD_PRODUKTU]])</f>
        <v>Art. złączny do produktu 404O71</v>
      </c>
      <c r="J418" s="6" t="str">
        <f>_xlfn.CONCAT("VE-",Tabela10[[#This Row],[KOD_PRODUKTU]])</f>
        <v>VE-404O71</v>
      </c>
    </row>
    <row r="419" spans="1:10" x14ac:dyDescent="0.25">
      <c r="A419" s="1" t="s">
        <v>1179</v>
      </c>
      <c r="B419" t="s">
        <v>1180</v>
      </c>
      <c r="C419" s="1" t="s">
        <v>1162</v>
      </c>
      <c r="D419" t="s">
        <v>1163</v>
      </c>
      <c r="E419" t="s">
        <v>4</v>
      </c>
      <c r="F419" t="s">
        <v>5</v>
      </c>
      <c r="G419" t="s">
        <v>1181</v>
      </c>
      <c r="H419">
        <v>1.9</v>
      </c>
      <c r="I419" s="6" t="str">
        <f>_xlfn.CONCAT("Art. złączny do produktu ",Tabela10[[#This Row],[KOD_PRODUKTU]])</f>
        <v>Art. złączny do produktu 404O72</v>
      </c>
      <c r="J419" s="6" t="str">
        <f>_xlfn.CONCAT("VE-",Tabela10[[#This Row],[KOD_PRODUKTU]])</f>
        <v>VE-404O72</v>
      </c>
    </row>
    <row r="420" spans="1:10" x14ac:dyDescent="0.25">
      <c r="A420" s="7" t="s">
        <v>1179</v>
      </c>
      <c r="B420" s="6" t="s">
        <v>1180</v>
      </c>
      <c r="C420" s="7" t="s">
        <v>432</v>
      </c>
      <c r="D420" s="6" t="s">
        <v>433</v>
      </c>
      <c r="E420" s="6" t="s">
        <v>434</v>
      </c>
      <c r="F420" s="6" t="s">
        <v>435</v>
      </c>
      <c r="G420" s="6" t="s">
        <v>1177</v>
      </c>
      <c r="H420" s="6">
        <v>3.8</v>
      </c>
      <c r="I420" s="6" t="str">
        <f>_xlfn.CONCAT("Art. złączny do produktu ",Tabela10[[#This Row],[KOD_PRODUKTU]])</f>
        <v>Art. złączny do produktu 404O72</v>
      </c>
      <c r="J420" s="6" t="str">
        <f>_xlfn.CONCAT("VE-",Tabela10[[#This Row],[KOD_PRODUKTU]])</f>
        <v>VE-404O72</v>
      </c>
    </row>
    <row r="421" spans="1:10" x14ac:dyDescent="0.25">
      <c r="A421" s="1" t="s">
        <v>1179</v>
      </c>
      <c r="B421" t="s">
        <v>1180</v>
      </c>
      <c r="C421" s="1" t="s">
        <v>541</v>
      </c>
      <c r="D421" t="s">
        <v>542</v>
      </c>
      <c r="E421" t="s">
        <v>9</v>
      </c>
      <c r="F421" t="s">
        <v>10</v>
      </c>
      <c r="G421" t="s">
        <v>1178</v>
      </c>
      <c r="H421">
        <v>10.45</v>
      </c>
      <c r="I421" s="6" t="str">
        <f>_xlfn.CONCAT("Art. złączny do produktu ",Tabela10[[#This Row],[KOD_PRODUKTU]])</f>
        <v>Art. złączny do produktu 404O72</v>
      </c>
      <c r="J421" s="6" t="str">
        <f>_xlfn.CONCAT("VE-",Tabela10[[#This Row],[KOD_PRODUKTU]])</f>
        <v>VE-404O72</v>
      </c>
    </row>
    <row r="422" spans="1:10" x14ac:dyDescent="0.25">
      <c r="A422" s="7" t="s">
        <v>1182</v>
      </c>
      <c r="B422" s="6" t="s">
        <v>1183</v>
      </c>
      <c r="C422" s="7" t="s">
        <v>1162</v>
      </c>
      <c r="D422" s="6" t="s">
        <v>1163</v>
      </c>
      <c r="E422" s="6" t="s">
        <v>1164</v>
      </c>
      <c r="F422" s="6" t="s">
        <v>5</v>
      </c>
      <c r="G422" s="6" t="s">
        <v>1184</v>
      </c>
      <c r="H422" s="6">
        <v>2.1</v>
      </c>
      <c r="I422" s="6" t="str">
        <f>_xlfn.CONCAT("Art. złączny do produktu ",Tabela10[[#This Row],[KOD_PRODUKTU]])</f>
        <v>Art. złączny do produktu 404O73</v>
      </c>
      <c r="J422" s="6" t="str">
        <f>_xlfn.CONCAT("VE-",Tabela10[[#This Row],[KOD_PRODUKTU]])</f>
        <v>VE-404O73</v>
      </c>
    </row>
    <row r="423" spans="1:10" x14ac:dyDescent="0.25">
      <c r="A423" s="1" t="s">
        <v>1182</v>
      </c>
      <c r="B423" t="s">
        <v>1183</v>
      </c>
      <c r="C423" s="1" t="s">
        <v>432</v>
      </c>
      <c r="D423" t="s">
        <v>433</v>
      </c>
      <c r="E423" t="s">
        <v>434</v>
      </c>
      <c r="F423" t="s">
        <v>435</v>
      </c>
      <c r="G423" t="s">
        <v>1165</v>
      </c>
      <c r="H423">
        <v>3.7</v>
      </c>
      <c r="I423" s="6" t="str">
        <f>_xlfn.CONCAT("Art. złączny do produktu ",Tabela10[[#This Row],[KOD_PRODUKTU]])</f>
        <v>Art. złączny do produktu 404O73</v>
      </c>
      <c r="J423" s="6" t="str">
        <f>_xlfn.CONCAT("VE-",Tabela10[[#This Row],[KOD_PRODUKTU]])</f>
        <v>VE-404O73</v>
      </c>
    </row>
    <row r="424" spans="1:10" x14ac:dyDescent="0.25">
      <c r="A424" s="7" t="s">
        <v>1182</v>
      </c>
      <c r="B424" s="6" t="s">
        <v>1183</v>
      </c>
      <c r="C424" s="7" t="s">
        <v>541</v>
      </c>
      <c r="D424" s="6" t="s">
        <v>542</v>
      </c>
      <c r="E424" s="6" t="s">
        <v>9</v>
      </c>
      <c r="F424" s="6" t="s">
        <v>10</v>
      </c>
      <c r="G424" s="6" t="s">
        <v>1185</v>
      </c>
      <c r="H424" s="6">
        <v>11.13</v>
      </c>
      <c r="I424" s="6" t="str">
        <f>_xlfn.CONCAT("Art. złączny do produktu ",Tabela10[[#This Row],[KOD_PRODUKTU]])</f>
        <v>Art. złączny do produktu 404O73</v>
      </c>
      <c r="J424" s="6" t="str">
        <f>_xlfn.CONCAT("VE-",Tabela10[[#This Row],[KOD_PRODUKTU]])</f>
        <v>VE-404O73</v>
      </c>
    </row>
    <row r="425" spans="1:10" x14ac:dyDescent="0.25">
      <c r="A425" s="1" t="s">
        <v>1186</v>
      </c>
      <c r="B425" t="s">
        <v>1187</v>
      </c>
      <c r="C425" s="1" t="s">
        <v>1188</v>
      </c>
      <c r="D425" t="s">
        <v>1189</v>
      </c>
      <c r="E425" t="s">
        <v>1190</v>
      </c>
      <c r="F425" t="s">
        <v>5</v>
      </c>
      <c r="G425" t="s">
        <v>1191</v>
      </c>
      <c r="H425">
        <v>10.45</v>
      </c>
      <c r="I425" s="6" t="str">
        <f>_xlfn.CONCAT("Art. złączny do produktu ",Tabela10[[#This Row],[KOD_PRODUKTU]])</f>
        <v>Art. złączny do produktu 404O74</v>
      </c>
      <c r="J425" s="6" t="str">
        <f>_xlfn.CONCAT("VE-",Tabela10[[#This Row],[KOD_PRODUKTU]])</f>
        <v>VE-404O74</v>
      </c>
    </row>
    <row r="426" spans="1:10" x14ac:dyDescent="0.25">
      <c r="A426" s="7" t="s">
        <v>1186</v>
      </c>
      <c r="B426" s="6" t="s">
        <v>1187</v>
      </c>
      <c r="C426" s="7" t="s">
        <v>7</v>
      </c>
      <c r="D426" s="6" t="s">
        <v>8</v>
      </c>
      <c r="E426" s="6" t="s">
        <v>9</v>
      </c>
      <c r="F426" s="6" t="s">
        <v>10</v>
      </c>
      <c r="G426" s="6" t="s">
        <v>1192</v>
      </c>
      <c r="H426" s="6">
        <v>11.92</v>
      </c>
      <c r="I426" s="6" t="str">
        <f>_xlfn.CONCAT("Art. złączny do produktu ",Tabela10[[#This Row],[KOD_PRODUKTU]])</f>
        <v>Art. złączny do produktu 404O74</v>
      </c>
      <c r="J426" s="6" t="str">
        <f>_xlfn.CONCAT("VE-",Tabela10[[#This Row],[KOD_PRODUKTU]])</f>
        <v>VE-404O74</v>
      </c>
    </row>
    <row r="427" spans="1:10" x14ac:dyDescent="0.25">
      <c r="A427" s="1" t="s">
        <v>1193</v>
      </c>
      <c r="B427" t="s">
        <v>1194</v>
      </c>
      <c r="C427" s="1" t="s">
        <v>1188</v>
      </c>
      <c r="D427" t="s">
        <v>1189</v>
      </c>
      <c r="E427" t="s">
        <v>1190</v>
      </c>
      <c r="F427" t="s">
        <v>5</v>
      </c>
      <c r="G427" t="s">
        <v>1195</v>
      </c>
      <c r="H427">
        <v>9.57</v>
      </c>
      <c r="I427" s="6" t="str">
        <f>_xlfn.CONCAT("Art. złączny do produktu ",Tabela10[[#This Row],[KOD_PRODUKTU]])</f>
        <v>Art. złączny do produktu 404O75</v>
      </c>
      <c r="J427" s="6" t="str">
        <f>_xlfn.CONCAT("VE-",Tabela10[[#This Row],[KOD_PRODUKTU]])</f>
        <v>VE-404O75</v>
      </c>
    </row>
    <row r="428" spans="1:10" x14ac:dyDescent="0.25">
      <c r="A428" s="7" t="s">
        <v>1193</v>
      </c>
      <c r="B428" s="6" t="s">
        <v>1194</v>
      </c>
      <c r="C428" s="7" t="s">
        <v>432</v>
      </c>
      <c r="D428" s="6" t="s">
        <v>433</v>
      </c>
      <c r="E428" s="6" t="s">
        <v>434</v>
      </c>
      <c r="F428" s="6" t="s">
        <v>435</v>
      </c>
      <c r="G428" s="6" t="s">
        <v>92</v>
      </c>
      <c r="H428" s="6">
        <v>2.2000000000000002</v>
      </c>
      <c r="I428" s="6" t="str">
        <f>_xlfn.CONCAT("Art. złączny do produktu ",Tabela10[[#This Row],[KOD_PRODUKTU]])</f>
        <v>Art. złączny do produktu 404O75</v>
      </c>
      <c r="J428" s="6" t="str">
        <f>_xlfn.CONCAT("VE-",Tabela10[[#This Row],[KOD_PRODUKTU]])</f>
        <v>VE-404O75</v>
      </c>
    </row>
    <row r="429" spans="1:10" x14ac:dyDescent="0.25">
      <c r="A429" s="1" t="s">
        <v>1193</v>
      </c>
      <c r="B429" t="s">
        <v>1194</v>
      </c>
      <c r="C429" s="1" t="s">
        <v>7</v>
      </c>
      <c r="D429" t="s">
        <v>8</v>
      </c>
      <c r="E429" t="s">
        <v>9</v>
      </c>
      <c r="F429" t="s">
        <v>10</v>
      </c>
      <c r="G429" t="s">
        <v>1196</v>
      </c>
      <c r="H429">
        <v>4.34</v>
      </c>
      <c r="I429" s="6" t="str">
        <f>_xlfn.CONCAT("Art. złączny do produktu ",Tabela10[[#This Row],[KOD_PRODUKTU]])</f>
        <v>Art. złączny do produktu 404O75</v>
      </c>
      <c r="J429" s="6" t="str">
        <f>_xlfn.CONCAT("VE-",Tabela10[[#This Row],[KOD_PRODUKTU]])</f>
        <v>VE-404O75</v>
      </c>
    </row>
    <row r="430" spans="1:10" x14ac:dyDescent="0.25">
      <c r="A430" s="7" t="s">
        <v>1197</v>
      </c>
      <c r="B430" s="6" t="s">
        <v>1198</v>
      </c>
      <c r="C430" s="7" t="s">
        <v>1188</v>
      </c>
      <c r="D430" s="6" t="s">
        <v>1189</v>
      </c>
      <c r="E430" s="6" t="s">
        <v>1190</v>
      </c>
      <c r="F430" s="6" t="s">
        <v>5</v>
      </c>
      <c r="G430" s="6" t="s">
        <v>1199</v>
      </c>
      <c r="H430" s="6">
        <v>6.79</v>
      </c>
      <c r="I430" s="6" t="str">
        <f>_xlfn.CONCAT("Art. złączny do produktu ",Tabela10[[#This Row],[KOD_PRODUKTU]])</f>
        <v>Art. złączny do produktu 404O76</v>
      </c>
      <c r="J430" s="6" t="str">
        <f>_xlfn.CONCAT("VE-",Tabela10[[#This Row],[KOD_PRODUKTU]])</f>
        <v>VE-404O76</v>
      </c>
    </row>
    <row r="431" spans="1:10" x14ac:dyDescent="0.25">
      <c r="A431" s="1" t="s">
        <v>1197</v>
      </c>
      <c r="B431" t="s">
        <v>1198</v>
      </c>
      <c r="C431" s="1" t="s">
        <v>7</v>
      </c>
      <c r="D431" t="s">
        <v>8</v>
      </c>
      <c r="E431" t="s">
        <v>9</v>
      </c>
      <c r="F431" t="s">
        <v>10</v>
      </c>
      <c r="G431" t="s">
        <v>1200</v>
      </c>
      <c r="H431">
        <v>3.87</v>
      </c>
      <c r="I431" s="6" t="str">
        <f>_xlfn.CONCAT("Art. złączny do produktu ",Tabela10[[#This Row],[KOD_PRODUKTU]])</f>
        <v>Art. złączny do produktu 404O76</v>
      </c>
      <c r="J431" s="6" t="str">
        <f>_xlfn.CONCAT("VE-",Tabela10[[#This Row],[KOD_PRODUKTU]])</f>
        <v>VE-404O76</v>
      </c>
    </row>
    <row r="432" spans="1:10" x14ac:dyDescent="0.25">
      <c r="A432" s="7" t="s">
        <v>1201</v>
      </c>
      <c r="B432" s="6" t="s">
        <v>1202</v>
      </c>
      <c r="C432" s="7" t="s">
        <v>1203</v>
      </c>
      <c r="D432" s="6" t="s">
        <v>1204</v>
      </c>
      <c r="E432" s="6" t="s">
        <v>216</v>
      </c>
      <c r="F432" s="6" t="s">
        <v>5</v>
      </c>
      <c r="G432" s="6" t="s">
        <v>1205</v>
      </c>
      <c r="H432" s="6">
        <v>0.85</v>
      </c>
      <c r="I432" s="6" t="str">
        <f>_xlfn.CONCAT("Art. złączny do produktu ",Tabela10[[#This Row],[KOD_PRODUKTU]])</f>
        <v>Art. złączny do produktu 404O77</v>
      </c>
      <c r="J432" s="6" t="str">
        <f>_xlfn.CONCAT("VE-",Tabela10[[#This Row],[KOD_PRODUKTU]])</f>
        <v>VE-404O77</v>
      </c>
    </row>
    <row r="433" spans="1:10" x14ac:dyDescent="0.25">
      <c r="A433" s="1" t="s">
        <v>1201</v>
      </c>
      <c r="B433" t="s">
        <v>1202</v>
      </c>
      <c r="C433" s="1" t="s">
        <v>7</v>
      </c>
      <c r="D433" t="s">
        <v>8</v>
      </c>
      <c r="E433" t="s">
        <v>9</v>
      </c>
      <c r="F433" t="s">
        <v>10</v>
      </c>
      <c r="G433" t="s">
        <v>1206</v>
      </c>
      <c r="H433">
        <v>9.9</v>
      </c>
      <c r="I433" s="6" t="str">
        <f>_xlfn.CONCAT("Art. złączny do produktu ",Tabela10[[#This Row],[KOD_PRODUKTU]])</f>
        <v>Art. złączny do produktu 404O77</v>
      </c>
      <c r="J433" s="6" t="str">
        <f>_xlfn.CONCAT("VE-",Tabela10[[#This Row],[KOD_PRODUKTU]])</f>
        <v>VE-404O77</v>
      </c>
    </row>
    <row r="434" spans="1:10" x14ac:dyDescent="0.25">
      <c r="A434" s="7" t="s">
        <v>1212</v>
      </c>
      <c r="B434" s="6" t="s">
        <v>1213</v>
      </c>
      <c r="C434" s="7" t="s">
        <v>1214</v>
      </c>
      <c r="D434" s="6" t="s">
        <v>1215</v>
      </c>
      <c r="E434" s="6" t="s">
        <v>1216</v>
      </c>
      <c r="F434" s="6" t="s">
        <v>121</v>
      </c>
      <c r="G434" s="6" t="s">
        <v>50</v>
      </c>
      <c r="H434" s="6">
        <v>106.4</v>
      </c>
      <c r="I434" s="6" t="str">
        <f>_xlfn.CONCAT("Art. złączny do produktu ",Tabela10[[#This Row],[KOD_PRODUKTU]])</f>
        <v>Art. złączny do produktu 404O80</v>
      </c>
      <c r="J434" s="6" t="str">
        <f>_xlfn.CONCAT("VE-",Tabela10[[#This Row],[KOD_PRODUKTU]])</f>
        <v>VE-404O80</v>
      </c>
    </row>
    <row r="435" spans="1:10" x14ac:dyDescent="0.25">
      <c r="A435" s="1" t="s">
        <v>1212</v>
      </c>
      <c r="B435" t="s">
        <v>1213</v>
      </c>
      <c r="C435" s="1" t="s">
        <v>7</v>
      </c>
      <c r="D435" t="s">
        <v>8</v>
      </c>
      <c r="E435" t="s">
        <v>9</v>
      </c>
      <c r="F435" t="s">
        <v>10</v>
      </c>
      <c r="G435" t="s">
        <v>992</v>
      </c>
      <c r="H435">
        <v>13.8</v>
      </c>
      <c r="I435" s="6" t="str">
        <f>_xlfn.CONCAT("Art. złączny do produktu ",Tabela10[[#This Row],[KOD_PRODUKTU]])</f>
        <v>Art. złączny do produktu 404O80</v>
      </c>
      <c r="J435" s="6" t="str">
        <f>_xlfn.CONCAT("VE-",Tabela10[[#This Row],[KOD_PRODUKTU]])</f>
        <v>VE-404O80</v>
      </c>
    </row>
    <row r="436" spans="1:10" x14ac:dyDescent="0.25">
      <c r="A436" s="7" t="s">
        <v>1217</v>
      </c>
      <c r="B436" s="6" t="s">
        <v>1218</v>
      </c>
      <c r="C436" s="7" t="s">
        <v>1203</v>
      </c>
      <c r="D436" s="6" t="s">
        <v>1204</v>
      </c>
      <c r="E436" s="6" t="s">
        <v>216</v>
      </c>
      <c r="F436" s="6" t="s">
        <v>5</v>
      </c>
      <c r="G436" s="6" t="s">
        <v>601</v>
      </c>
      <c r="H436" s="6">
        <v>1.05</v>
      </c>
      <c r="I436" s="6" t="str">
        <f>_xlfn.CONCAT("Art. złączny do produktu ",Tabela10[[#This Row],[KOD_PRODUKTU]])</f>
        <v>Art. złączny do produktu 404O84</v>
      </c>
      <c r="J436" s="6" t="str">
        <f>_xlfn.CONCAT("VE-",Tabela10[[#This Row],[KOD_PRODUKTU]])</f>
        <v>VE-404O84</v>
      </c>
    </row>
    <row r="437" spans="1:10" x14ac:dyDescent="0.25">
      <c r="A437" s="1" t="s">
        <v>1217</v>
      </c>
      <c r="B437" t="s">
        <v>1218</v>
      </c>
      <c r="C437" s="1" t="s">
        <v>7</v>
      </c>
      <c r="D437" t="s">
        <v>8</v>
      </c>
      <c r="E437" t="s">
        <v>9</v>
      </c>
      <c r="F437" t="s">
        <v>10</v>
      </c>
      <c r="G437" t="s">
        <v>1206</v>
      </c>
      <c r="H437">
        <v>9.9</v>
      </c>
      <c r="I437" s="6" t="str">
        <f>_xlfn.CONCAT("Art. złączny do produktu ",Tabela10[[#This Row],[KOD_PRODUKTU]])</f>
        <v>Art. złączny do produktu 404O84</v>
      </c>
      <c r="J437" s="6" t="str">
        <f>_xlfn.CONCAT("VE-",Tabela10[[#This Row],[KOD_PRODUKTU]])</f>
        <v>VE-404O84</v>
      </c>
    </row>
    <row r="438" spans="1:10" x14ac:dyDescent="0.25">
      <c r="A438" s="7" t="s">
        <v>1219</v>
      </c>
      <c r="B438" s="6" t="s">
        <v>1220</v>
      </c>
      <c r="C438" s="7" t="s">
        <v>1221</v>
      </c>
      <c r="D438" s="6" t="s">
        <v>1222</v>
      </c>
      <c r="E438" s="6" t="s">
        <v>1223</v>
      </c>
      <c r="F438" s="6" t="s">
        <v>5</v>
      </c>
      <c r="G438" s="6" t="s">
        <v>1224</v>
      </c>
      <c r="H438" s="6">
        <v>0.7</v>
      </c>
      <c r="I438" s="6" t="str">
        <f>_xlfn.CONCAT("Art. złączny do produktu ",Tabela10[[#This Row],[KOD_PRODUKTU]])</f>
        <v>Art. złączny do produktu 404O85</v>
      </c>
      <c r="J438" s="6" t="str">
        <f>_xlfn.CONCAT("VE-",Tabela10[[#This Row],[KOD_PRODUKTU]])</f>
        <v>VE-404O85</v>
      </c>
    </row>
    <row r="439" spans="1:10" x14ac:dyDescent="0.25">
      <c r="A439" s="1" t="s">
        <v>1219</v>
      </c>
      <c r="B439" t="s">
        <v>1220</v>
      </c>
      <c r="C439" s="1" t="s">
        <v>7</v>
      </c>
      <c r="D439" t="s">
        <v>8</v>
      </c>
      <c r="E439" t="s">
        <v>9</v>
      </c>
      <c r="F439" t="s">
        <v>10</v>
      </c>
      <c r="G439" t="s">
        <v>1225</v>
      </c>
      <c r="H439">
        <v>2.5</v>
      </c>
      <c r="I439" s="6" t="str">
        <f>_xlfn.CONCAT("Art. złączny do produktu ",Tabela10[[#This Row],[KOD_PRODUKTU]])</f>
        <v>Art. złączny do produktu 404O85</v>
      </c>
      <c r="J439" s="6" t="str">
        <f>_xlfn.CONCAT("VE-",Tabela10[[#This Row],[KOD_PRODUKTU]])</f>
        <v>VE-404O85</v>
      </c>
    </row>
    <row r="440" spans="1:10" x14ac:dyDescent="0.25">
      <c r="A440" s="7" t="s">
        <v>1229</v>
      </c>
      <c r="B440" s="6" t="s">
        <v>1230</v>
      </c>
      <c r="C440" s="7" t="s">
        <v>1203</v>
      </c>
      <c r="D440" s="6" t="s">
        <v>1204</v>
      </c>
      <c r="E440" s="6" t="s">
        <v>216</v>
      </c>
      <c r="F440" s="6" t="s">
        <v>5</v>
      </c>
      <c r="G440" s="6" t="s">
        <v>19</v>
      </c>
      <c r="H440" s="6">
        <v>0.7</v>
      </c>
      <c r="I440" s="6" t="str">
        <f>_xlfn.CONCAT("Art. złączny do produktu ",Tabela10[[#This Row],[KOD_PRODUKTU]])</f>
        <v>Art. złączny do produktu 404O87</v>
      </c>
      <c r="J440" s="6" t="str">
        <f>_xlfn.CONCAT("VE-",Tabela10[[#This Row],[KOD_PRODUKTU]])</f>
        <v>VE-404O87</v>
      </c>
    </row>
    <row r="441" spans="1:10" x14ac:dyDescent="0.25">
      <c r="A441" s="1" t="s">
        <v>1229</v>
      </c>
      <c r="B441" t="s">
        <v>1230</v>
      </c>
      <c r="C441" s="1" t="s">
        <v>7</v>
      </c>
      <c r="D441" t="s">
        <v>8</v>
      </c>
      <c r="E441" t="s">
        <v>9</v>
      </c>
      <c r="F441" t="s">
        <v>10</v>
      </c>
      <c r="G441" t="s">
        <v>1231</v>
      </c>
      <c r="H441">
        <v>7</v>
      </c>
      <c r="I441" s="6" t="str">
        <f>_xlfn.CONCAT("Art. złączny do produktu ",Tabela10[[#This Row],[KOD_PRODUKTU]])</f>
        <v>Art. złączny do produktu 404O87</v>
      </c>
      <c r="J441" s="6" t="str">
        <f>_xlfn.CONCAT("VE-",Tabela10[[#This Row],[KOD_PRODUKTU]])</f>
        <v>VE-404O87</v>
      </c>
    </row>
    <row r="442" spans="1:10" x14ac:dyDescent="0.25">
      <c r="A442" s="7" t="s">
        <v>1237</v>
      </c>
      <c r="B442" s="6" t="s">
        <v>1238</v>
      </c>
      <c r="C442" s="7" t="s">
        <v>1188</v>
      </c>
      <c r="D442" s="6" t="s">
        <v>1189</v>
      </c>
      <c r="E442" s="6" t="s">
        <v>1190</v>
      </c>
      <c r="F442" s="6" t="s">
        <v>5</v>
      </c>
      <c r="G442" s="6" t="s">
        <v>1239</v>
      </c>
      <c r="H442" s="6">
        <v>25.37</v>
      </c>
      <c r="I442" s="6" t="str">
        <f>_xlfn.CONCAT("Art. złączny do produktu ",Tabela10[[#This Row],[KOD_PRODUKTU]])</f>
        <v>Art. złączny do produktu 404O89</v>
      </c>
      <c r="J442" s="6" t="str">
        <f>_xlfn.CONCAT("VE-",Tabela10[[#This Row],[KOD_PRODUKTU]])</f>
        <v>VE-404O89</v>
      </c>
    </row>
    <row r="443" spans="1:10" x14ac:dyDescent="0.25">
      <c r="A443" s="1" t="s">
        <v>1237</v>
      </c>
      <c r="B443" t="s">
        <v>1238</v>
      </c>
      <c r="C443" s="1" t="s">
        <v>432</v>
      </c>
      <c r="D443" t="s">
        <v>433</v>
      </c>
      <c r="E443" t="s">
        <v>434</v>
      </c>
      <c r="F443" t="s">
        <v>435</v>
      </c>
      <c r="G443" t="s">
        <v>1240</v>
      </c>
      <c r="H443">
        <v>12</v>
      </c>
      <c r="I443" s="6" t="str">
        <f>_xlfn.CONCAT("Art. złączny do produktu ",Tabela10[[#This Row],[KOD_PRODUKTU]])</f>
        <v>Art. złączny do produktu 404O89</v>
      </c>
      <c r="J443" s="6" t="str">
        <f>_xlfn.CONCAT("VE-",Tabela10[[#This Row],[KOD_PRODUKTU]])</f>
        <v>VE-404O89</v>
      </c>
    </row>
    <row r="444" spans="1:10" x14ac:dyDescent="0.25">
      <c r="A444" s="7" t="s">
        <v>1237</v>
      </c>
      <c r="B444" s="6" t="s">
        <v>1238</v>
      </c>
      <c r="C444" s="7" t="s">
        <v>7</v>
      </c>
      <c r="D444" s="6" t="s">
        <v>8</v>
      </c>
      <c r="E444" s="6" t="s">
        <v>9</v>
      </c>
      <c r="F444" s="6" t="s">
        <v>10</v>
      </c>
      <c r="G444" s="6" t="s">
        <v>1241</v>
      </c>
      <c r="H444" s="6">
        <v>42.36</v>
      </c>
      <c r="I444" s="6" t="str">
        <f>_xlfn.CONCAT("Art. złączny do produktu ",Tabela10[[#This Row],[KOD_PRODUKTU]])</f>
        <v>Art. złączny do produktu 404O89</v>
      </c>
      <c r="J444" s="6" t="str">
        <f>_xlfn.CONCAT("VE-",Tabela10[[#This Row],[KOD_PRODUKTU]])</f>
        <v>VE-404O89</v>
      </c>
    </row>
    <row r="445" spans="1:10" x14ac:dyDescent="0.25">
      <c r="A445" s="1" t="s">
        <v>1242</v>
      </c>
      <c r="B445" t="s">
        <v>1243</v>
      </c>
      <c r="C445" s="1" t="s">
        <v>1244</v>
      </c>
      <c r="D445" t="s">
        <v>1245</v>
      </c>
      <c r="E445" t="s">
        <v>117</v>
      </c>
      <c r="F445" t="s">
        <v>49</v>
      </c>
      <c r="G445" t="s">
        <v>50</v>
      </c>
      <c r="H445">
        <v>20</v>
      </c>
      <c r="I445" s="6" t="str">
        <f>_xlfn.CONCAT("Art. złączny do produktu ",Tabela10[[#This Row],[KOD_PRODUKTU]])</f>
        <v>Art. złączny do produktu 404P34</v>
      </c>
      <c r="J445" s="6" t="str">
        <f>_xlfn.CONCAT("VE-",Tabela10[[#This Row],[KOD_PRODUKTU]])</f>
        <v>VE-404P34</v>
      </c>
    </row>
    <row r="446" spans="1:10" x14ac:dyDescent="0.25">
      <c r="A446" s="7" t="s">
        <v>1242</v>
      </c>
      <c r="B446" s="6" t="s">
        <v>1243</v>
      </c>
      <c r="C446" s="7" t="s">
        <v>7</v>
      </c>
      <c r="D446" s="6" t="s">
        <v>8</v>
      </c>
      <c r="E446" s="6" t="s">
        <v>9</v>
      </c>
      <c r="F446" s="6" t="s">
        <v>10</v>
      </c>
      <c r="G446" s="6" t="s">
        <v>1246</v>
      </c>
      <c r="H446" s="6">
        <v>8</v>
      </c>
      <c r="I446" s="6" t="str">
        <f>_xlfn.CONCAT("Art. złączny do produktu ",Tabela10[[#This Row],[KOD_PRODUKTU]])</f>
        <v>Art. złączny do produktu 404P34</v>
      </c>
      <c r="J446" s="6" t="str">
        <f>_xlfn.CONCAT("VE-",Tabela10[[#This Row],[KOD_PRODUKTU]])</f>
        <v>VE-404P34</v>
      </c>
    </row>
    <row r="447" spans="1:10" x14ac:dyDescent="0.25">
      <c r="A447" s="1" t="s">
        <v>1247</v>
      </c>
      <c r="B447" t="s">
        <v>1248</v>
      </c>
      <c r="C447" s="1" t="s">
        <v>1249</v>
      </c>
      <c r="D447" t="s">
        <v>1250</v>
      </c>
      <c r="E447" t="s">
        <v>1251</v>
      </c>
      <c r="F447" t="s">
        <v>1252</v>
      </c>
      <c r="G447" t="s">
        <v>1253</v>
      </c>
      <c r="H447">
        <v>12</v>
      </c>
      <c r="I447" s="6" t="str">
        <f>_xlfn.CONCAT("Art. złączny do produktu ",Tabela10[[#This Row],[KOD_PRODUKTU]])</f>
        <v>Art. złączny do produktu 404P38</v>
      </c>
      <c r="J447" s="6" t="str">
        <f>_xlfn.CONCAT("VE-",Tabela10[[#This Row],[KOD_PRODUKTU]])</f>
        <v>VE-404P38</v>
      </c>
    </row>
    <row r="448" spans="1:10" x14ac:dyDescent="0.25">
      <c r="A448" s="7" t="s">
        <v>1247</v>
      </c>
      <c r="B448" s="6" t="s">
        <v>1248</v>
      </c>
      <c r="C448" s="7" t="s">
        <v>7</v>
      </c>
      <c r="D448" s="6" t="s">
        <v>8</v>
      </c>
      <c r="E448" s="6" t="s">
        <v>9</v>
      </c>
      <c r="F448" s="6" t="s">
        <v>10</v>
      </c>
      <c r="G448" s="6" t="s">
        <v>1254</v>
      </c>
      <c r="H448" s="6">
        <v>16.100000000000001</v>
      </c>
      <c r="I448" s="6" t="str">
        <f>_xlfn.CONCAT("Art. złączny do produktu ",Tabela10[[#This Row],[KOD_PRODUKTU]])</f>
        <v>Art. złączny do produktu 404P38</v>
      </c>
      <c r="J448" s="6" t="str">
        <f>_xlfn.CONCAT("VE-",Tabela10[[#This Row],[KOD_PRODUKTU]])</f>
        <v>VE-404P38</v>
      </c>
    </row>
    <row r="449" spans="1:10" x14ac:dyDescent="0.25">
      <c r="A449" s="1" t="s">
        <v>1247</v>
      </c>
      <c r="B449" t="s">
        <v>1248</v>
      </c>
      <c r="C449" s="1" t="s">
        <v>7</v>
      </c>
      <c r="D449" t="s">
        <v>8</v>
      </c>
      <c r="E449" t="s">
        <v>9</v>
      </c>
      <c r="F449" t="s">
        <v>10</v>
      </c>
      <c r="G449" t="s">
        <v>601</v>
      </c>
      <c r="H449">
        <v>6.9</v>
      </c>
      <c r="I449" s="6" t="str">
        <f>_xlfn.CONCAT("Art. złączny do produktu ",Tabela10[[#This Row],[KOD_PRODUKTU]])</f>
        <v>Art. złączny do produktu 404P38</v>
      </c>
      <c r="J449" s="6" t="str">
        <f>_xlfn.CONCAT("VE-",Tabela10[[#This Row],[KOD_PRODUKTU]])</f>
        <v>VE-404P38</v>
      </c>
    </row>
    <row r="450" spans="1:10" x14ac:dyDescent="0.25">
      <c r="A450" s="7" t="s">
        <v>1255</v>
      </c>
      <c r="B450" s="6" t="s">
        <v>1256</v>
      </c>
      <c r="C450" s="7" t="s">
        <v>1249</v>
      </c>
      <c r="D450" s="6" t="s">
        <v>1250</v>
      </c>
      <c r="E450" s="6" t="s">
        <v>1251</v>
      </c>
      <c r="F450" s="6" t="s">
        <v>1252</v>
      </c>
      <c r="G450" s="6" t="s">
        <v>1253</v>
      </c>
      <c r="H450" s="6">
        <v>12</v>
      </c>
      <c r="I450" s="6" t="str">
        <f>_xlfn.CONCAT("Art. złączny do produktu ",Tabela10[[#This Row],[KOD_PRODUKTU]])</f>
        <v>Art. złączny do produktu 404P39</v>
      </c>
      <c r="J450" s="6" t="str">
        <f>_xlfn.CONCAT("VE-",Tabela10[[#This Row],[KOD_PRODUKTU]])</f>
        <v>VE-404P39</v>
      </c>
    </row>
    <row r="451" spans="1:10" x14ac:dyDescent="0.25">
      <c r="A451" s="1" t="s">
        <v>1255</v>
      </c>
      <c r="B451" t="s">
        <v>1256</v>
      </c>
      <c r="C451" s="1" t="s">
        <v>7</v>
      </c>
      <c r="D451" t="s">
        <v>8</v>
      </c>
      <c r="E451" t="s">
        <v>9</v>
      </c>
      <c r="F451" t="s">
        <v>10</v>
      </c>
      <c r="G451" t="s">
        <v>1254</v>
      </c>
      <c r="H451">
        <v>16.100000000000001</v>
      </c>
      <c r="I451" s="6" t="str">
        <f>_xlfn.CONCAT("Art. złączny do produktu ",Tabela10[[#This Row],[KOD_PRODUKTU]])</f>
        <v>Art. złączny do produktu 404P39</v>
      </c>
      <c r="J451" s="6" t="str">
        <f>_xlfn.CONCAT("VE-",Tabela10[[#This Row],[KOD_PRODUKTU]])</f>
        <v>VE-404P39</v>
      </c>
    </row>
    <row r="452" spans="1:10" x14ac:dyDescent="0.25">
      <c r="A452" s="7" t="s">
        <v>1255</v>
      </c>
      <c r="B452" s="6" t="s">
        <v>1256</v>
      </c>
      <c r="C452" s="7" t="s">
        <v>7</v>
      </c>
      <c r="D452" s="6" t="s">
        <v>8</v>
      </c>
      <c r="E452" s="6" t="s">
        <v>9</v>
      </c>
      <c r="F452" s="6" t="s">
        <v>10</v>
      </c>
      <c r="G452" s="6" t="s">
        <v>601</v>
      </c>
      <c r="H452" s="6">
        <v>6.9</v>
      </c>
      <c r="I452" s="6" t="str">
        <f>_xlfn.CONCAT("Art. złączny do produktu ",Tabela10[[#This Row],[KOD_PRODUKTU]])</f>
        <v>Art. złączny do produktu 404P39</v>
      </c>
      <c r="J452" s="6" t="str">
        <f>_xlfn.CONCAT("VE-",Tabela10[[#This Row],[KOD_PRODUKTU]])</f>
        <v>VE-404P39</v>
      </c>
    </row>
    <row r="453" spans="1:10" x14ac:dyDescent="0.25">
      <c r="A453" s="1" t="s">
        <v>1257</v>
      </c>
      <c r="B453" t="s">
        <v>1258</v>
      </c>
      <c r="C453" s="1" t="s">
        <v>41</v>
      </c>
      <c r="D453" t="s">
        <v>42</v>
      </c>
      <c r="E453" t="s">
        <v>43</v>
      </c>
      <c r="F453" t="s">
        <v>5</v>
      </c>
      <c r="G453" t="s">
        <v>550</v>
      </c>
      <c r="H453">
        <v>0.02</v>
      </c>
      <c r="I453" s="6" t="str">
        <f>_xlfn.CONCAT("Art. złączny do produktu ",Tabela10[[#This Row],[KOD_PRODUKTU]])</f>
        <v>Art. złączny do produktu 404P40</v>
      </c>
      <c r="J453" s="6" t="str">
        <f>_xlfn.CONCAT("VE-",Tabela10[[#This Row],[KOD_PRODUKTU]])</f>
        <v>VE-404P40</v>
      </c>
    </row>
    <row r="454" spans="1:10" x14ac:dyDescent="0.25">
      <c r="A454" s="7" t="s">
        <v>1257</v>
      </c>
      <c r="B454" s="6" t="s">
        <v>1258</v>
      </c>
      <c r="C454" s="7" t="s">
        <v>7</v>
      </c>
      <c r="D454" s="6" t="s">
        <v>8</v>
      </c>
      <c r="E454" s="6" t="s">
        <v>9</v>
      </c>
      <c r="F454" s="6" t="s">
        <v>10</v>
      </c>
      <c r="G454" s="6" t="s">
        <v>1262</v>
      </c>
      <c r="H454" s="6">
        <v>11.1</v>
      </c>
      <c r="I454" s="6" t="str">
        <f>_xlfn.CONCAT("Art. złączny do produktu ",Tabela10[[#This Row],[KOD_PRODUKTU]])</f>
        <v>Art. złączny do produktu 404P40</v>
      </c>
      <c r="J454" s="6" t="str">
        <f>_xlfn.CONCAT("VE-",Tabela10[[#This Row],[KOD_PRODUKTU]])</f>
        <v>VE-404P40</v>
      </c>
    </row>
    <row r="455" spans="1:10" x14ac:dyDescent="0.25">
      <c r="A455" s="1" t="s">
        <v>1263</v>
      </c>
      <c r="B455" t="s">
        <v>1264</v>
      </c>
      <c r="C455" s="1" t="s">
        <v>1249</v>
      </c>
      <c r="D455" t="s">
        <v>1250</v>
      </c>
      <c r="E455" t="s">
        <v>1251</v>
      </c>
      <c r="F455" t="s">
        <v>1252</v>
      </c>
      <c r="G455" t="s">
        <v>1265</v>
      </c>
      <c r="H455">
        <v>12.72</v>
      </c>
      <c r="I455" s="6" t="str">
        <f>_xlfn.CONCAT("Art. złączny do produktu ",Tabela10[[#This Row],[KOD_PRODUKTU]])</f>
        <v>Art. złączny do produktu 404P43</v>
      </c>
      <c r="J455" s="6" t="str">
        <f>_xlfn.CONCAT("VE-",Tabela10[[#This Row],[KOD_PRODUKTU]])</f>
        <v>VE-404P43</v>
      </c>
    </row>
    <row r="456" spans="1:10" x14ac:dyDescent="0.25">
      <c r="A456" s="7" t="s">
        <v>1263</v>
      </c>
      <c r="B456" s="6" t="s">
        <v>1264</v>
      </c>
      <c r="C456" s="7" t="s">
        <v>7</v>
      </c>
      <c r="D456" s="6" t="s">
        <v>8</v>
      </c>
      <c r="E456" s="6" t="s">
        <v>9</v>
      </c>
      <c r="F456" s="6" t="s">
        <v>10</v>
      </c>
      <c r="G456" s="6" t="s">
        <v>1254</v>
      </c>
      <c r="H456" s="6">
        <v>16.100000000000001</v>
      </c>
      <c r="I456" s="6" t="str">
        <f>_xlfn.CONCAT("Art. złączny do produktu ",Tabela10[[#This Row],[KOD_PRODUKTU]])</f>
        <v>Art. złączny do produktu 404P43</v>
      </c>
      <c r="J456" s="6" t="str">
        <f>_xlfn.CONCAT("VE-",Tabela10[[#This Row],[KOD_PRODUKTU]])</f>
        <v>VE-404P43</v>
      </c>
    </row>
    <row r="457" spans="1:10" x14ac:dyDescent="0.25">
      <c r="A457" s="1" t="s">
        <v>1263</v>
      </c>
      <c r="B457" t="s">
        <v>1264</v>
      </c>
      <c r="C457" s="1" t="s">
        <v>7</v>
      </c>
      <c r="D457" t="s">
        <v>8</v>
      </c>
      <c r="E457" t="s">
        <v>9</v>
      </c>
      <c r="F457" t="s">
        <v>10</v>
      </c>
      <c r="G457" t="s">
        <v>601</v>
      </c>
      <c r="H457">
        <v>6.9</v>
      </c>
      <c r="I457" s="6" t="str">
        <f>_xlfn.CONCAT("Art. złączny do produktu ",Tabela10[[#This Row],[KOD_PRODUKTU]])</f>
        <v>Art. złączny do produktu 404P43</v>
      </c>
      <c r="J457" s="6" t="str">
        <f>_xlfn.CONCAT("VE-",Tabela10[[#This Row],[KOD_PRODUKTU]])</f>
        <v>VE-404P43</v>
      </c>
    </row>
    <row r="458" spans="1:10" x14ac:dyDescent="0.25">
      <c r="A458" s="7" t="s">
        <v>1266</v>
      </c>
      <c r="B458" s="6" t="s">
        <v>1267</v>
      </c>
      <c r="C458" s="7" t="s">
        <v>1249</v>
      </c>
      <c r="D458" s="6" t="s">
        <v>1250</v>
      </c>
      <c r="E458" s="6" t="s">
        <v>1251</v>
      </c>
      <c r="F458" s="6" t="s">
        <v>1252</v>
      </c>
      <c r="G458" s="6" t="s">
        <v>1253</v>
      </c>
      <c r="H458" s="6">
        <v>12</v>
      </c>
      <c r="I458" s="6" t="str">
        <f>_xlfn.CONCAT("Art. złączny do produktu ",Tabela10[[#This Row],[KOD_PRODUKTU]])</f>
        <v>Art. złączny do produktu 404P44</v>
      </c>
      <c r="J458" s="6" t="str">
        <f>_xlfn.CONCAT("VE-",Tabela10[[#This Row],[KOD_PRODUKTU]])</f>
        <v>VE-404P44</v>
      </c>
    </row>
    <row r="459" spans="1:10" x14ac:dyDescent="0.25">
      <c r="A459" s="1" t="s">
        <v>1266</v>
      </c>
      <c r="B459" t="s">
        <v>1267</v>
      </c>
      <c r="C459" s="1" t="s">
        <v>7</v>
      </c>
      <c r="D459" t="s">
        <v>8</v>
      </c>
      <c r="E459" t="s">
        <v>9</v>
      </c>
      <c r="F459" t="s">
        <v>10</v>
      </c>
      <c r="G459" t="s">
        <v>1254</v>
      </c>
      <c r="H459">
        <v>16.100000000000001</v>
      </c>
      <c r="I459" s="6" t="str">
        <f>_xlfn.CONCAT("Art. złączny do produktu ",Tabela10[[#This Row],[KOD_PRODUKTU]])</f>
        <v>Art. złączny do produktu 404P44</v>
      </c>
      <c r="J459" s="6" t="str">
        <f>_xlfn.CONCAT("VE-",Tabela10[[#This Row],[KOD_PRODUKTU]])</f>
        <v>VE-404P44</v>
      </c>
    </row>
    <row r="460" spans="1:10" x14ac:dyDescent="0.25">
      <c r="A460" s="7" t="s">
        <v>1266</v>
      </c>
      <c r="B460" s="6" t="s">
        <v>1267</v>
      </c>
      <c r="C460" s="7" t="s">
        <v>7</v>
      </c>
      <c r="D460" s="6" t="s">
        <v>8</v>
      </c>
      <c r="E460" s="6" t="s">
        <v>9</v>
      </c>
      <c r="F460" s="6" t="s">
        <v>10</v>
      </c>
      <c r="G460" s="6" t="s">
        <v>601</v>
      </c>
      <c r="H460" s="6">
        <v>6.9</v>
      </c>
      <c r="I460" s="6" t="str">
        <f>_xlfn.CONCAT("Art. złączny do produktu ",Tabela10[[#This Row],[KOD_PRODUKTU]])</f>
        <v>Art. złączny do produktu 404P44</v>
      </c>
      <c r="J460" s="6" t="str">
        <f>_xlfn.CONCAT("VE-",Tabela10[[#This Row],[KOD_PRODUKTU]])</f>
        <v>VE-404P44</v>
      </c>
    </row>
    <row r="461" spans="1:10" x14ac:dyDescent="0.25">
      <c r="A461" s="1" t="s">
        <v>1268</v>
      </c>
      <c r="B461" t="s">
        <v>1269</v>
      </c>
      <c r="C461" s="1" t="s">
        <v>1022</v>
      </c>
      <c r="D461" t="s">
        <v>1023</v>
      </c>
      <c r="E461" t="s">
        <v>1024</v>
      </c>
      <c r="F461" t="s">
        <v>932</v>
      </c>
      <c r="G461" t="s">
        <v>1270</v>
      </c>
      <c r="H461">
        <v>20.8</v>
      </c>
      <c r="I461" s="6" t="str">
        <f>_xlfn.CONCAT("Art. złączny do produktu ",Tabela10[[#This Row],[KOD_PRODUKTU]])</f>
        <v>Art. złączny do produktu 404P45</v>
      </c>
      <c r="J461" s="6" t="str">
        <f>_xlfn.CONCAT("VE-",Tabela10[[#This Row],[KOD_PRODUKTU]])</f>
        <v>VE-404P45</v>
      </c>
    </row>
    <row r="462" spans="1:10" x14ac:dyDescent="0.25">
      <c r="A462" s="7" t="s">
        <v>1268</v>
      </c>
      <c r="B462" s="6" t="s">
        <v>1269</v>
      </c>
      <c r="C462" s="7" t="s">
        <v>7</v>
      </c>
      <c r="D462" s="6" t="s">
        <v>8</v>
      </c>
      <c r="E462" s="6" t="s">
        <v>9</v>
      </c>
      <c r="F462" s="6" t="s">
        <v>10</v>
      </c>
      <c r="G462" s="6" t="s">
        <v>1271</v>
      </c>
      <c r="H462" s="6">
        <v>27.2</v>
      </c>
      <c r="I462" s="6" t="str">
        <f>_xlfn.CONCAT("Art. złączny do produktu ",Tabela10[[#This Row],[KOD_PRODUKTU]])</f>
        <v>Art. złączny do produktu 404P45</v>
      </c>
      <c r="J462" s="6" t="str">
        <f>_xlfn.CONCAT("VE-",Tabela10[[#This Row],[KOD_PRODUKTU]])</f>
        <v>VE-404P45</v>
      </c>
    </row>
    <row r="463" spans="1:10" x14ac:dyDescent="0.25">
      <c r="A463" s="1" t="s">
        <v>1272</v>
      </c>
      <c r="B463" t="s">
        <v>1273</v>
      </c>
      <c r="C463" s="1" t="s">
        <v>1249</v>
      </c>
      <c r="D463" t="s">
        <v>1250</v>
      </c>
      <c r="E463" t="s">
        <v>1251</v>
      </c>
      <c r="F463" t="s">
        <v>1252</v>
      </c>
      <c r="G463" t="s">
        <v>1274</v>
      </c>
      <c r="H463">
        <v>14.4</v>
      </c>
      <c r="I463" s="6" t="str">
        <f>_xlfn.CONCAT("Art. złączny do produktu ",Tabela10[[#This Row],[KOD_PRODUKTU]])</f>
        <v>Art. złączny do produktu 404P49</v>
      </c>
      <c r="J463" s="6" t="str">
        <f>_xlfn.CONCAT("VE-",Tabela10[[#This Row],[KOD_PRODUKTU]])</f>
        <v>VE-404P49</v>
      </c>
    </row>
    <row r="464" spans="1:10" x14ac:dyDescent="0.25">
      <c r="A464" s="7" t="s">
        <v>1272</v>
      </c>
      <c r="B464" s="6" t="s">
        <v>1273</v>
      </c>
      <c r="C464" s="7" t="s">
        <v>7</v>
      </c>
      <c r="D464" s="6" t="s">
        <v>8</v>
      </c>
      <c r="E464" s="6" t="s">
        <v>9</v>
      </c>
      <c r="F464" s="6" t="s">
        <v>10</v>
      </c>
      <c r="G464" s="6" t="s">
        <v>1275</v>
      </c>
      <c r="H464" s="6">
        <v>18.09</v>
      </c>
      <c r="I464" s="6" t="str">
        <f>_xlfn.CONCAT("Art. złączny do produktu ",Tabela10[[#This Row],[KOD_PRODUKTU]])</f>
        <v>Art. złączny do produktu 404P49</v>
      </c>
      <c r="J464" s="6" t="str">
        <f>_xlfn.CONCAT("VE-",Tabela10[[#This Row],[KOD_PRODUKTU]])</f>
        <v>VE-404P49</v>
      </c>
    </row>
    <row r="465" spans="1:10" x14ac:dyDescent="0.25">
      <c r="A465" s="1" t="s">
        <v>1272</v>
      </c>
      <c r="B465" t="s">
        <v>1273</v>
      </c>
      <c r="C465" s="1" t="s">
        <v>7</v>
      </c>
      <c r="D465" t="s">
        <v>8</v>
      </c>
      <c r="E465" t="s">
        <v>9</v>
      </c>
      <c r="F465" t="s">
        <v>10</v>
      </c>
      <c r="G465" t="s">
        <v>33</v>
      </c>
      <c r="H465">
        <v>9.1999999999999993</v>
      </c>
      <c r="I465" s="6" t="str">
        <f>_xlfn.CONCAT("Art. złączny do produktu ",Tabela10[[#This Row],[KOD_PRODUKTU]])</f>
        <v>Art. złączny do produktu 404P49</v>
      </c>
      <c r="J465" s="6" t="str">
        <f>_xlfn.CONCAT("VE-",Tabela10[[#This Row],[KOD_PRODUKTU]])</f>
        <v>VE-404P49</v>
      </c>
    </row>
    <row r="466" spans="1:10" x14ac:dyDescent="0.25">
      <c r="A466" s="7" t="s">
        <v>1276</v>
      </c>
      <c r="B466" s="6" t="s">
        <v>1277</v>
      </c>
      <c r="C466" s="7" t="s">
        <v>1022</v>
      </c>
      <c r="D466" s="6" t="s">
        <v>1023</v>
      </c>
      <c r="E466" s="6" t="s">
        <v>1024</v>
      </c>
      <c r="F466" s="6" t="s">
        <v>932</v>
      </c>
      <c r="G466" s="6" t="s">
        <v>1278</v>
      </c>
      <c r="H466" s="6">
        <v>3.65</v>
      </c>
      <c r="I466" s="6" t="str">
        <f>_xlfn.CONCAT("Art. złączny do produktu ",Tabela10[[#This Row],[KOD_PRODUKTU]])</f>
        <v>Art. złączny do produktu 404P50</v>
      </c>
      <c r="J466" s="6" t="str">
        <f>_xlfn.CONCAT("VE-",Tabela10[[#This Row],[KOD_PRODUKTU]])</f>
        <v>VE-404P50</v>
      </c>
    </row>
    <row r="467" spans="1:10" x14ac:dyDescent="0.25">
      <c r="A467" s="1" t="s">
        <v>1276</v>
      </c>
      <c r="B467" t="s">
        <v>1277</v>
      </c>
      <c r="C467" s="1" t="s">
        <v>7</v>
      </c>
      <c r="D467" t="s">
        <v>1031</v>
      </c>
      <c r="E467" t="s">
        <v>9</v>
      </c>
      <c r="F467" t="s">
        <v>10</v>
      </c>
      <c r="G467" t="s">
        <v>1279</v>
      </c>
      <c r="H467">
        <v>16.7</v>
      </c>
      <c r="I467" s="6" t="str">
        <f>_xlfn.CONCAT("Art. złączny do produktu ",Tabela10[[#This Row],[KOD_PRODUKTU]])</f>
        <v>Art. złączny do produktu 404P50</v>
      </c>
      <c r="J467" s="6" t="str">
        <f>_xlfn.CONCAT("VE-",Tabela10[[#This Row],[KOD_PRODUKTU]])</f>
        <v>VE-404P50</v>
      </c>
    </row>
    <row r="468" spans="1:10" x14ac:dyDescent="0.25">
      <c r="A468" s="7" t="s">
        <v>1280</v>
      </c>
      <c r="B468" s="6" t="s">
        <v>1281</v>
      </c>
      <c r="C468" s="7" t="s">
        <v>1022</v>
      </c>
      <c r="D468" s="6" t="s">
        <v>1023</v>
      </c>
      <c r="E468" s="6" t="s">
        <v>1024</v>
      </c>
      <c r="F468" s="6" t="s">
        <v>932</v>
      </c>
      <c r="G468" s="6" t="s">
        <v>1282</v>
      </c>
      <c r="H468" s="6">
        <v>3.3</v>
      </c>
      <c r="I468" s="6" t="str">
        <f>_xlfn.CONCAT("Art. złączny do produktu ",Tabela10[[#This Row],[KOD_PRODUKTU]])</f>
        <v>Art. złączny do produktu 404P51</v>
      </c>
      <c r="J468" s="6" t="str">
        <f>_xlfn.CONCAT("VE-",Tabela10[[#This Row],[KOD_PRODUKTU]])</f>
        <v>VE-404P51</v>
      </c>
    </row>
    <row r="469" spans="1:10" x14ac:dyDescent="0.25">
      <c r="A469" s="1" t="s">
        <v>1280</v>
      </c>
      <c r="B469" t="s">
        <v>1281</v>
      </c>
      <c r="C469" s="1" t="s">
        <v>7</v>
      </c>
      <c r="D469" t="s">
        <v>1031</v>
      </c>
      <c r="E469" t="s">
        <v>9</v>
      </c>
      <c r="F469" t="s">
        <v>10</v>
      </c>
      <c r="G469" t="s">
        <v>1279</v>
      </c>
      <c r="H469">
        <v>16.7</v>
      </c>
      <c r="I469" s="6" t="str">
        <f>_xlfn.CONCAT("Art. złączny do produktu ",Tabela10[[#This Row],[KOD_PRODUKTU]])</f>
        <v>Art. złączny do produktu 404P51</v>
      </c>
      <c r="J469" s="6" t="str">
        <f>_xlfn.CONCAT("VE-",Tabela10[[#This Row],[KOD_PRODUKTU]])</f>
        <v>VE-404P51</v>
      </c>
    </row>
    <row r="470" spans="1:10" x14ac:dyDescent="0.25">
      <c r="A470" s="7" t="s">
        <v>1283</v>
      </c>
      <c r="B470" s="6" t="s">
        <v>1284</v>
      </c>
      <c r="C470" s="7" t="s">
        <v>1249</v>
      </c>
      <c r="D470" s="6" t="s">
        <v>1250</v>
      </c>
      <c r="E470" s="6" t="s">
        <v>1251</v>
      </c>
      <c r="F470" s="6" t="s">
        <v>1252</v>
      </c>
      <c r="G470" s="6" t="s">
        <v>1253</v>
      </c>
      <c r="H470" s="6">
        <v>12</v>
      </c>
      <c r="I470" s="6" t="str">
        <f>_xlfn.CONCAT("Art. złączny do produktu ",Tabela10[[#This Row],[KOD_PRODUKTU]])</f>
        <v>Art. złączny do produktu 404P52</v>
      </c>
      <c r="J470" s="6" t="str">
        <f>_xlfn.CONCAT("VE-",Tabela10[[#This Row],[KOD_PRODUKTU]])</f>
        <v>VE-404P52</v>
      </c>
    </row>
    <row r="471" spans="1:10" x14ac:dyDescent="0.25">
      <c r="A471" s="1" t="s">
        <v>1283</v>
      </c>
      <c r="B471" t="s">
        <v>1284</v>
      </c>
      <c r="C471" s="1" t="s">
        <v>7</v>
      </c>
      <c r="D471" t="s">
        <v>8</v>
      </c>
      <c r="E471" t="s">
        <v>9</v>
      </c>
      <c r="F471" t="s">
        <v>10</v>
      </c>
      <c r="G471" t="s">
        <v>1254</v>
      </c>
      <c r="H471">
        <v>16.100000000000001</v>
      </c>
      <c r="I471" s="6" t="str">
        <f>_xlfn.CONCAT("Art. złączny do produktu ",Tabela10[[#This Row],[KOD_PRODUKTU]])</f>
        <v>Art. złączny do produktu 404P52</v>
      </c>
      <c r="J471" s="6" t="str">
        <f>_xlfn.CONCAT("VE-",Tabela10[[#This Row],[KOD_PRODUKTU]])</f>
        <v>VE-404P52</v>
      </c>
    </row>
    <row r="472" spans="1:10" x14ac:dyDescent="0.25">
      <c r="A472" s="7" t="s">
        <v>1283</v>
      </c>
      <c r="B472" s="6" t="s">
        <v>1284</v>
      </c>
      <c r="C472" s="7" t="s">
        <v>7</v>
      </c>
      <c r="D472" s="6" t="s">
        <v>8</v>
      </c>
      <c r="E472" s="6" t="s">
        <v>9</v>
      </c>
      <c r="F472" s="6" t="s">
        <v>10</v>
      </c>
      <c r="G472" s="6" t="s">
        <v>601</v>
      </c>
      <c r="H472" s="6">
        <v>6.9</v>
      </c>
      <c r="I472" s="6" t="str">
        <f>_xlfn.CONCAT("Art. złączny do produktu ",Tabela10[[#This Row],[KOD_PRODUKTU]])</f>
        <v>Art. złączny do produktu 404P52</v>
      </c>
      <c r="J472" s="6" t="str">
        <f>_xlfn.CONCAT("VE-",Tabela10[[#This Row],[KOD_PRODUKTU]])</f>
        <v>VE-404P52</v>
      </c>
    </row>
    <row r="473" spans="1:10" x14ac:dyDescent="0.25">
      <c r="A473" s="1" t="s">
        <v>1285</v>
      </c>
      <c r="B473" t="s">
        <v>1286</v>
      </c>
      <c r="C473" s="1" t="s">
        <v>1249</v>
      </c>
      <c r="D473" t="s">
        <v>1250</v>
      </c>
      <c r="E473" t="s">
        <v>1251</v>
      </c>
      <c r="F473" t="s">
        <v>1252</v>
      </c>
      <c r="G473" t="s">
        <v>528</v>
      </c>
      <c r="H473">
        <v>16.8</v>
      </c>
      <c r="I473" s="6" t="str">
        <f>_xlfn.CONCAT("Art. złączny do produktu ",Tabela10[[#This Row],[KOD_PRODUKTU]])</f>
        <v>Art. złączny do produktu 404P53</v>
      </c>
      <c r="J473" s="6" t="str">
        <f>_xlfn.CONCAT("VE-",Tabela10[[#This Row],[KOD_PRODUKTU]])</f>
        <v>VE-404P53</v>
      </c>
    </row>
    <row r="474" spans="1:10" x14ac:dyDescent="0.25">
      <c r="A474" s="7" t="s">
        <v>1285</v>
      </c>
      <c r="B474" s="6" t="s">
        <v>1286</v>
      </c>
      <c r="C474" s="7" t="s">
        <v>7</v>
      </c>
      <c r="D474" s="6" t="s">
        <v>8</v>
      </c>
      <c r="E474" s="6" t="s">
        <v>9</v>
      </c>
      <c r="F474" s="6" t="s">
        <v>10</v>
      </c>
      <c r="G474" s="6" t="s">
        <v>607</v>
      </c>
      <c r="H474" s="6">
        <v>18.399999999999999</v>
      </c>
      <c r="I474" s="6" t="str">
        <f>_xlfn.CONCAT("Art. złączny do produktu ",Tabela10[[#This Row],[KOD_PRODUKTU]])</f>
        <v>Art. złączny do produktu 404P53</v>
      </c>
      <c r="J474" s="6" t="str">
        <f>_xlfn.CONCAT("VE-",Tabela10[[#This Row],[KOD_PRODUKTU]])</f>
        <v>VE-404P53</v>
      </c>
    </row>
    <row r="475" spans="1:10" x14ac:dyDescent="0.25">
      <c r="A475" s="1" t="s">
        <v>1285</v>
      </c>
      <c r="B475" t="s">
        <v>1286</v>
      </c>
      <c r="C475" s="1" t="s">
        <v>7</v>
      </c>
      <c r="D475" t="s">
        <v>8</v>
      </c>
      <c r="E475" t="s">
        <v>9</v>
      </c>
      <c r="F475" t="s">
        <v>10</v>
      </c>
      <c r="G475" t="s">
        <v>33</v>
      </c>
      <c r="H475">
        <v>9.1999999999999993</v>
      </c>
      <c r="I475" s="6" t="str">
        <f>_xlfn.CONCAT("Art. złączny do produktu ",Tabela10[[#This Row],[KOD_PRODUKTU]])</f>
        <v>Art. złączny do produktu 404P53</v>
      </c>
      <c r="J475" s="6" t="str">
        <f>_xlfn.CONCAT("VE-",Tabela10[[#This Row],[KOD_PRODUKTU]])</f>
        <v>VE-404P53</v>
      </c>
    </row>
    <row r="476" spans="1:10" x14ac:dyDescent="0.25">
      <c r="A476" s="7" t="s">
        <v>1287</v>
      </c>
      <c r="B476" s="6" t="s">
        <v>1288</v>
      </c>
      <c r="C476" s="7" t="s">
        <v>1022</v>
      </c>
      <c r="D476" s="6" t="s">
        <v>1023</v>
      </c>
      <c r="E476" s="6" t="s">
        <v>1024</v>
      </c>
      <c r="F476" s="6" t="s">
        <v>932</v>
      </c>
      <c r="G476" s="6" t="s">
        <v>1270</v>
      </c>
      <c r="H476" s="6">
        <v>20.8</v>
      </c>
      <c r="I476" s="6" t="str">
        <f>_xlfn.CONCAT("Art. złączny do produktu ",Tabela10[[#This Row],[KOD_PRODUKTU]])</f>
        <v>Art. złączny do produktu 404P54</v>
      </c>
      <c r="J476" s="6" t="str">
        <f>_xlfn.CONCAT("VE-",Tabela10[[#This Row],[KOD_PRODUKTU]])</f>
        <v>VE-404P54</v>
      </c>
    </row>
    <row r="477" spans="1:10" x14ac:dyDescent="0.25">
      <c r="A477" s="1" t="s">
        <v>1287</v>
      </c>
      <c r="B477" t="s">
        <v>1288</v>
      </c>
      <c r="C477" s="1" t="s">
        <v>7</v>
      </c>
      <c r="D477" t="s">
        <v>8</v>
      </c>
      <c r="E477" t="s">
        <v>9</v>
      </c>
      <c r="F477" t="s">
        <v>10</v>
      </c>
      <c r="G477" t="s">
        <v>1289</v>
      </c>
      <c r="H477">
        <v>27</v>
      </c>
      <c r="I477" s="6" t="str">
        <f>_xlfn.CONCAT("Art. złączny do produktu ",Tabela10[[#This Row],[KOD_PRODUKTU]])</f>
        <v>Art. złączny do produktu 404P54</v>
      </c>
      <c r="J477" s="6" t="str">
        <f>_xlfn.CONCAT("VE-",Tabela10[[#This Row],[KOD_PRODUKTU]])</f>
        <v>VE-404P54</v>
      </c>
    </row>
    <row r="478" spans="1:10" x14ac:dyDescent="0.25">
      <c r="A478" s="7" t="s">
        <v>1290</v>
      </c>
      <c r="B478" s="6" t="s">
        <v>1291</v>
      </c>
      <c r="C478" s="7" t="s">
        <v>1022</v>
      </c>
      <c r="D478" s="6" t="s">
        <v>1023</v>
      </c>
      <c r="E478" s="6" t="s">
        <v>1024</v>
      </c>
      <c r="F478" s="6" t="s">
        <v>932</v>
      </c>
      <c r="G478" s="6" t="s">
        <v>1292</v>
      </c>
      <c r="H478" s="6">
        <v>24.25</v>
      </c>
      <c r="I478" s="6" t="str">
        <f>_xlfn.CONCAT("Art. złączny do produktu ",Tabela10[[#This Row],[KOD_PRODUKTU]])</f>
        <v>Art. złączny do produktu 404P55</v>
      </c>
      <c r="J478" s="6" t="str">
        <f>_xlfn.CONCAT("VE-",Tabela10[[#This Row],[KOD_PRODUKTU]])</f>
        <v>VE-404P55</v>
      </c>
    </row>
    <row r="479" spans="1:10" x14ac:dyDescent="0.25">
      <c r="A479" s="1" t="s">
        <v>1290</v>
      </c>
      <c r="B479" t="s">
        <v>1291</v>
      </c>
      <c r="C479" s="1" t="s">
        <v>7</v>
      </c>
      <c r="D479" t="s">
        <v>8</v>
      </c>
      <c r="E479" t="s">
        <v>9</v>
      </c>
      <c r="F479" t="s">
        <v>10</v>
      </c>
      <c r="G479" t="s">
        <v>1293</v>
      </c>
      <c r="H479">
        <v>46.25</v>
      </c>
      <c r="I479" s="6" t="str">
        <f>_xlfn.CONCAT("Art. złączny do produktu ",Tabela10[[#This Row],[KOD_PRODUKTU]])</f>
        <v>Art. złączny do produktu 404P55</v>
      </c>
      <c r="J479" s="6" t="str">
        <f>_xlfn.CONCAT("VE-",Tabela10[[#This Row],[KOD_PRODUKTU]])</f>
        <v>VE-404P55</v>
      </c>
    </row>
    <row r="480" spans="1:10" x14ac:dyDescent="0.25">
      <c r="A480" s="7" t="s">
        <v>1294</v>
      </c>
      <c r="B480" s="6" t="s">
        <v>1295</v>
      </c>
      <c r="C480" s="7" t="s">
        <v>1296</v>
      </c>
      <c r="D480" s="6" t="s">
        <v>1297</v>
      </c>
      <c r="E480" s="6" t="s">
        <v>1017</v>
      </c>
      <c r="F480" s="6" t="s">
        <v>5</v>
      </c>
      <c r="G480" s="6" t="s">
        <v>1209</v>
      </c>
      <c r="H480" s="6">
        <v>0.25</v>
      </c>
      <c r="I480" s="6" t="str">
        <f>_xlfn.CONCAT("Art. złączny do produktu ",Tabela10[[#This Row],[KOD_PRODUKTU]])</f>
        <v>Art. złączny do produktu 404P56</v>
      </c>
      <c r="J480" s="6" t="str">
        <f>_xlfn.CONCAT("VE-",Tabela10[[#This Row],[KOD_PRODUKTU]])</f>
        <v>VE-404P56</v>
      </c>
    </row>
    <row r="481" spans="1:10" x14ac:dyDescent="0.25">
      <c r="A481" s="1" t="s">
        <v>1294</v>
      </c>
      <c r="B481" t="s">
        <v>1295</v>
      </c>
      <c r="C481" s="1" t="s">
        <v>7</v>
      </c>
      <c r="D481" t="s">
        <v>8</v>
      </c>
      <c r="E481" t="s">
        <v>9</v>
      </c>
      <c r="F481" t="s">
        <v>10</v>
      </c>
      <c r="G481" t="s">
        <v>594</v>
      </c>
      <c r="H481">
        <v>11.5</v>
      </c>
      <c r="I481" s="6" t="str">
        <f>_xlfn.CONCAT("Art. złączny do produktu ",Tabela10[[#This Row],[KOD_PRODUKTU]])</f>
        <v>Art. złączny do produktu 404P56</v>
      </c>
      <c r="J481" s="6" t="str">
        <f>_xlfn.CONCAT("VE-",Tabela10[[#This Row],[KOD_PRODUKTU]])</f>
        <v>VE-404P56</v>
      </c>
    </row>
    <row r="482" spans="1:10" x14ac:dyDescent="0.25">
      <c r="A482" s="7" t="s">
        <v>1298</v>
      </c>
      <c r="B482" s="6" t="s">
        <v>1299</v>
      </c>
      <c r="C482" s="7" t="s">
        <v>1022</v>
      </c>
      <c r="D482" s="6" t="s">
        <v>1023</v>
      </c>
      <c r="E482" s="6" t="s">
        <v>1024</v>
      </c>
      <c r="F482" s="6" t="s">
        <v>932</v>
      </c>
      <c r="G482" s="6" t="s">
        <v>1300</v>
      </c>
      <c r="H482" s="6">
        <v>69.5</v>
      </c>
      <c r="I482" s="6" t="str">
        <f>_xlfn.CONCAT("Art. złączny do produktu ",Tabela10[[#This Row],[KOD_PRODUKTU]])</f>
        <v>Art. złączny do produktu 404P57</v>
      </c>
      <c r="J482" s="6" t="str">
        <f>_xlfn.CONCAT("VE-",Tabela10[[#This Row],[KOD_PRODUKTU]])</f>
        <v>VE-404P57</v>
      </c>
    </row>
    <row r="483" spans="1:10" x14ac:dyDescent="0.25">
      <c r="A483" s="1" t="s">
        <v>1298</v>
      </c>
      <c r="B483" t="s">
        <v>1299</v>
      </c>
      <c r="C483" s="1" t="s">
        <v>7</v>
      </c>
      <c r="D483" t="s">
        <v>8</v>
      </c>
      <c r="E483" t="s">
        <v>9</v>
      </c>
      <c r="F483" t="s">
        <v>10</v>
      </c>
      <c r="G483" t="s">
        <v>1301</v>
      </c>
      <c r="H483">
        <v>60.5</v>
      </c>
      <c r="I483" s="6" t="str">
        <f>_xlfn.CONCAT("Art. złączny do produktu ",Tabela10[[#This Row],[KOD_PRODUKTU]])</f>
        <v>Art. złączny do produktu 404P57</v>
      </c>
      <c r="J483" s="6" t="str">
        <f>_xlfn.CONCAT("VE-",Tabela10[[#This Row],[KOD_PRODUKTU]])</f>
        <v>VE-404P57</v>
      </c>
    </row>
    <row r="484" spans="1:10" x14ac:dyDescent="0.25">
      <c r="A484" s="7" t="s">
        <v>1302</v>
      </c>
      <c r="B484" s="6" t="s">
        <v>1303</v>
      </c>
      <c r="C484" s="7" t="s">
        <v>1022</v>
      </c>
      <c r="D484" s="6" t="s">
        <v>1023</v>
      </c>
      <c r="E484" s="6" t="s">
        <v>1024</v>
      </c>
      <c r="F484" s="6" t="s">
        <v>932</v>
      </c>
      <c r="G484" s="6" t="s">
        <v>122</v>
      </c>
      <c r="H484" s="6">
        <v>55.6</v>
      </c>
      <c r="I484" s="6" t="str">
        <f>_xlfn.CONCAT("Art. złączny do produktu ",Tabela10[[#This Row],[KOD_PRODUKTU]])</f>
        <v>Art. złączny do produktu 404P58</v>
      </c>
      <c r="J484" s="6" t="str">
        <f>_xlfn.CONCAT("VE-",Tabela10[[#This Row],[KOD_PRODUKTU]])</f>
        <v>VE-404P58</v>
      </c>
    </row>
    <row r="485" spans="1:10" x14ac:dyDescent="0.25">
      <c r="A485" s="1" t="s">
        <v>1302</v>
      </c>
      <c r="B485" t="s">
        <v>1303</v>
      </c>
      <c r="C485" s="1" t="s">
        <v>7</v>
      </c>
      <c r="D485" t="s">
        <v>8</v>
      </c>
      <c r="E485" t="s">
        <v>9</v>
      </c>
      <c r="F485" t="s">
        <v>10</v>
      </c>
      <c r="G485" t="s">
        <v>1304</v>
      </c>
      <c r="H485">
        <v>38.200000000000003</v>
      </c>
      <c r="I485" s="6" t="str">
        <f>_xlfn.CONCAT("Art. złączny do produktu ",Tabela10[[#This Row],[KOD_PRODUKTU]])</f>
        <v>Art. złączny do produktu 404P58</v>
      </c>
      <c r="J485" s="6" t="str">
        <f>_xlfn.CONCAT("VE-",Tabela10[[#This Row],[KOD_PRODUKTU]])</f>
        <v>VE-404P58</v>
      </c>
    </row>
    <row r="486" spans="1:10" x14ac:dyDescent="0.25">
      <c r="A486" s="7" t="s">
        <v>1305</v>
      </c>
      <c r="B486" s="6" t="s">
        <v>1306</v>
      </c>
      <c r="C486" s="7" t="s">
        <v>1022</v>
      </c>
      <c r="D486" s="6" t="s">
        <v>1023</v>
      </c>
      <c r="E486" s="6" t="s">
        <v>1024</v>
      </c>
      <c r="F486" s="6" t="s">
        <v>932</v>
      </c>
      <c r="G486" s="6" t="s">
        <v>122</v>
      </c>
      <c r="H486" s="6">
        <v>55.6</v>
      </c>
      <c r="I486" s="6" t="str">
        <f>_xlfn.CONCAT("Art. złączny do produktu ",Tabela10[[#This Row],[KOD_PRODUKTU]])</f>
        <v>Art. złączny do produktu 404P59</v>
      </c>
      <c r="J486" s="6" t="str">
        <f>_xlfn.CONCAT("VE-",Tabela10[[#This Row],[KOD_PRODUKTU]])</f>
        <v>VE-404P59</v>
      </c>
    </row>
    <row r="487" spans="1:10" x14ac:dyDescent="0.25">
      <c r="A487" s="1" t="s">
        <v>1305</v>
      </c>
      <c r="B487" t="s">
        <v>1306</v>
      </c>
      <c r="C487" s="1" t="s">
        <v>7</v>
      </c>
      <c r="D487" t="s">
        <v>8</v>
      </c>
      <c r="E487" t="s">
        <v>9</v>
      </c>
      <c r="F487" t="s">
        <v>10</v>
      </c>
      <c r="G487" t="s">
        <v>1307</v>
      </c>
      <c r="H487">
        <v>41.9</v>
      </c>
      <c r="I487" s="6" t="str">
        <f>_xlfn.CONCAT("Art. złączny do produktu ",Tabela10[[#This Row],[KOD_PRODUKTU]])</f>
        <v>Art. złączny do produktu 404P59</v>
      </c>
      <c r="J487" s="6" t="str">
        <f>_xlfn.CONCAT("VE-",Tabela10[[#This Row],[KOD_PRODUKTU]])</f>
        <v>VE-404P59</v>
      </c>
    </row>
    <row r="488" spans="1:10" x14ac:dyDescent="0.25">
      <c r="A488" s="7" t="s">
        <v>1310</v>
      </c>
      <c r="B488" s="6" t="s">
        <v>1311</v>
      </c>
      <c r="C488" s="7" t="s">
        <v>1249</v>
      </c>
      <c r="D488" s="6" t="s">
        <v>1250</v>
      </c>
      <c r="E488" s="6" t="s">
        <v>1251</v>
      </c>
      <c r="F488" s="6" t="s">
        <v>1252</v>
      </c>
      <c r="G488" s="6" t="s">
        <v>1312</v>
      </c>
      <c r="H488" s="6">
        <v>12.6</v>
      </c>
      <c r="I488" s="6" t="str">
        <f>_xlfn.CONCAT("Art. złączny do produktu ",Tabela10[[#This Row],[KOD_PRODUKTU]])</f>
        <v>Art. złączny do produktu 404P79</v>
      </c>
      <c r="J488" s="6" t="str">
        <f>_xlfn.CONCAT("VE-",Tabela10[[#This Row],[KOD_PRODUKTU]])</f>
        <v>VE-404P79</v>
      </c>
    </row>
    <row r="489" spans="1:10" x14ac:dyDescent="0.25">
      <c r="A489" s="1" t="s">
        <v>1310</v>
      </c>
      <c r="B489" t="s">
        <v>1311</v>
      </c>
      <c r="C489" s="1" t="s">
        <v>7</v>
      </c>
      <c r="D489" t="s">
        <v>8</v>
      </c>
      <c r="E489" t="s">
        <v>9</v>
      </c>
      <c r="F489" t="s">
        <v>10</v>
      </c>
      <c r="G489" t="s">
        <v>1313</v>
      </c>
      <c r="H489">
        <v>16.05</v>
      </c>
      <c r="I489" s="6" t="str">
        <f>_xlfn.CONCAT("Art. złączny do produktu ",Tabela10[[#This Row],[KOD_PRODUKTU]])</f>
        <v>Art. złączny do produktu 404P79</v>
      </c>
      <c r="J489" s="6" t="str">
        <f>_xlfn.CONCAT("VE-",Tabela10[[#This Row],[KOD_PRODUKTU]])</f>
        <v>VE-404P79</v>
      </c>
    </row>
    <row r="490" spans="1:10" x14ac:dyDescent="0.25">
      <c r="A490" s="7" t="s">
        <v>1310</v>
      </c>
      <c r="B490" s="6" t="s">
        <v>1311</v>
      </c>
      <c r="C490" s="7" t="s">
        <v>7</v>
      </c>
      <c r="D490" s="6" t="s">
        <v>8</v>
      </c>
      <c r="E490" s="6" t="s">
        <v>9</v>
      </c>
      <c r="F490" s="6" t="s">
        <v>10</v>
      </c>
      <c r="G490" s="6" t="s">
        <v>1314</v>
      </c>
      <c r="H490" s="6">
        <v>6.95</v>
      </c>
      <c r="I490" s="6" t="str">
        <f>_xlfn.CONCAT("Art. złączny do produktu ",Tabela10[[#This Row],[KOD_PRODUKTU]])</f>
        <v>Art. złączny do produktu 404P79</v>
      </c>
      <c r="J490" s="6" t="str">
        <f>_xlfn.CONCAT("VE-",Tabela10[[#This Row],[KOD_PRODUKTU]])</f>
        <v>VE-404P79</v>
      </c>
    </row>
    <row r="491" spans="1:10" x14ac:dyDescent="0.25">
      <c r="A491" s="1" t="s">
        <v>1315</v>
      </c>
      <c r="B491" t="s">
        <v>1316</v>
      </c>
      <c r="C491" s="1" t="s">
        <v>1249</v>
      </c>
      <c r="D491" t="s">
        <v>1250</v>
      </c>
      <c r="E491" t="s">
        <v>1251</v>
      </c>
      <c r="F491" t="s">
        <v>1252</v>
      </c>
      <c r="G491" t="s">
        <v>1253</v>
      </c>
      <c r="H491">
        <v>12</v>
      </c>
      <c r="I491" s="6" t="str">
        <f>_xlfn.CONCAT("Art. złączny do produktu ",Tabela10[[#This Row],[KOD_PRODUKTU]])</f>
        <v>Art. złączny do produktu 404P80</v>
      </c>
      <c r="J491" s="6" t="str">
        <f>_xlfn.CONCAT("VE-",Tabela10[[#This Row],[KOD_PRODUKTU]])</f>
        <v>VE-404P80</v>
      </c>
    </row>
    <row r="492" spans="1:10" x14ac:dyDescent="0.25">
      <c r="A492" s="7" t="s">
        <v>1315</v>
      </c>
      <c r="B492" s="6" t="s">
        <v>1316</v>
      </c>
      <c r="C492" s="7" t="s">
        <v>7</v>
      </c>
      <c r="D492" s="6" t="s">
        <v>8</v>
      </c>
      <c r="E492" s="6" t="s">
        <v>9</v>
      </c>
      <c r="F492" s="6" t="s">
        <v>10</v>
      </c>
      <c r="G492" s="6" t="s">
        <v>601</v>
      </c>
      <c r="H492" s="6">
        <v>6.9</v>
      </c>
      <c r="I492" s="6" t="str">
        <f>_xlfn.CONCAT("Art. złączny do produktu ",Tabela10[[#This Row],[KOD_PRODUKTU]])</f>
        <v>Art. złączny do produktu 404P80</v>
      </c>
      <c r="J492" s="6" t="str">
        <f>_xlfn.CONCAT("VE-",Tabela10[[#This Row],[KOD_PRODUKTU]])</f>
        <v>VE-404P80</v>
      </c>
    </row>
    <row r="493" spans="1:10" x14ac:dyDescent="0.25">
      <c r="A493" s="1" t="s">
        <v>1315</v>
      </c>
      <c r="B493" t="s">
        <v>1316</v>
      </c>
      <c r="C493" s="1" t="s">
        <v>7</v>
      </c>
      <c r="D493" t="s">
        <v>8</v>
      </c>
      <c r="E493" t="s">
        <v>9</v>
      </c>
      <c r="F493" t="s">
        <v>10</v>
      </c>
      <c r="G493" t="s">
        <v>1254</v>
      </c>
      <c r="H493">
        <v>16.100000000000001</v>
      </c>
      <c r="I493" s="6" t="str">
        <f>_xlfn.CONCAT("Art. złączny do produktu ",Tabela10[[#This Row],[KOD_PRODUKTU]])</f>
        <v>Art. złączny do produktu 404P80</v>
      </c>
      <c r="J493" s="6" t="str">
        <f>_xlfn.CONCAT("VE-",Tabela10[[#This Row],[KOD_PRODUKTU]])</f>
        <v>VE-404P80</v>
      </c>
    </row>
    <row r="494" spans="1:10" x14ac:dyDescent="0.25">
      <c r="A494" s="7" t="s">
        <v>1317</v>
      </c>
      <c r="B494" s="6" t="s">
        <v>1318</v>
      </c>
      <c r="C494" s="7" t="s">
        <v>1249</v>
      </c>
      <c r="D494" s="6" t="s">
        <v>1250</v>
      </c>
      <c r="E494" s="6" t="s">
        <v>1251</v>
      </c>
      <c r="F494" s="6" t="s">
        <v>1252</v>
      </c>
      <c r="G494" s="6" t="s">
        <v>1319</v>
      </c>
      <c r="H494" s="6">
        <v>33</v>
      </c>
      <c r="I494" s="6" t="str">
        <f>_xlfn.CONCAT("Art. złączny do produktu ",Tabela10[[#This Row],[KOD_PRODUKTU]])</f>
        <v>Art. złączny do produktu 404P81</v>
      </c>
      <c r="J494" s="6" t="str">
        <f>_xlfn.CONCAT("VE-",Tabela10[[#This Row],[KOD_PRODUKTU]])</f>
        <v>VE-404P81</v>
      </c>
    </row>
    <row r="495" spans="1:10" x14ac:dyDescent="0.25">
      <c r="A495" s="1" t="s">
        <v>1317</v>
      </c>
      <c r="B495" t="s">
        <v>1318</v>
      </c>
      <c r="C495" s="1" t="s">
        <v>7</v>
      </c>
      <c r="D495" t="s">
        <v>8</v>
      </c>
      <c r="E495" t="s">
        <v>9</v>
      </c>
      <c r="F495" t="s">
        <v>10</v>
      </c>
      <c r="G495" t="s">
        <v>1320</v>
      </c>
      <c r="H495">
        <v>53.79</v>
      </c>
      <c r="I495" s="6" t="str">
        <f>_xlfn.CONCAT("Art. złączny do produktu ",Tabela10[[#This Row],[KOD_PRODUKTU]])</f>
        <v>Art. złączny do produktu 404P81</v>
      </c>
      <c r="J495" s="6" t="str">
        <f>_xlfn.CONCAT("VE-",Tabela10[[#This Row],[KOD_PRODUKTU]])</f>
        <v>VE-404P81</v>
      </c>
    </row>
    <row r="496" spans="1:10" x14ac:dyDescent="0.25">
      <c r="A496" s="7" t="s">
        <v>1321</v>
      </c>
      <c r="B496" s="6" t="s">
        <v>1322</v>
      </c>
      <c r="C496" s="7" t="s">
        <v>1249</v>
      </c>
      <c r="D496" s="6" t="s">
        <v>1250</v>
      </c>
      <c r="E496" s="6" t="s">
        <v>1251</v>
      </c>
      <c r="F496" s="6" t="s">
        <v>1252</v>
      </c>
      <c r="G496" s="6" t="s">
        <v>1323</v>
      </c>
      <c r="H496" s="6">
        <v>34.799999999999997</v>
      </c>
      <c r="I496" s="6" t="str">
        <f>_xlfn.CONCAT("Art. złączny do produktu ",Tabela10[[#This Row],[KOD_PRODUKTU]])</f>
        <v>Art. złączny do produktu 404P82</v>
      </c>
      <c r="J496" s="6" t="str">
        <f>_xlfn.CONCAT("VE-",Tabela10[[#This Row],[KOD_PRODUKTU]])</f>
        <v>VE-404P82</v>
      </c>
    </row>
    <row r="497" spans="1:10" x14ac:dyDescent="0.25">
      <c r="A497" s="1" t="s">
        <v>1321</v>
      </c>
      <c r="B497" t="s">
        <v>1322</v>
      </c>
      <c r="C497" s="1" t="s">
        <v>7</v>
      </c>
      <c r="D497" t="s">
        <v>1031</v>
      </c>
      <c r="E497" t="s">
        <v>9</v>
      </c>
      <c r="F497" t="s">
        <v>10</v>
      </c>
      <c r="G497" t="s">
        <v>1324</v>
      </c>
      <c r="H497">
        <v>53.4</v>
      </c>
      <c r="I497" s="6" t="str">
        <f>_xlfn.CONCAT("Art. złączny do produktu ",Tabela10[[#This Row],[KOD_PRODUKTU]])</f>
        <v>Art. złączny do produktu 404P82</v>
      </c>
      <c r="J497" s="6" t="str">
        <f>_xlfn.CONCAT("VE-",Tabela10[[#This Row],[KOD_PRODUKTU]])</f>
        <v>VE-404P82</v>
      </c>
    </row>
    <row r="498" spans="1:10" x14ac:dyDescent="0.25">
      <c r="A498" s="7" t="s">
        <v>1325</v>
      </c>
      <c r="B498" s="6" t="s">
        <v>1326</v>
      </c>
      <c r="C498" s="7" t="s">
        <v>1327</v>
      </c>
      <c r="D498" s="6" t="s">
        <v>1328</v>
      </c>
      <c r="E498" s="6" t="s">
        <v>1329</v>
      </c>
      <c r="F498" s="6" t="s">
        <v>49</v>
      </c>
      <c r="G498" s="6" t="s">
        <v>50</v>
      </c>
      <c r="H498" s="6">
        <v>220</v>
      </c>
      <c r="I498" s="6" t="str">
        <f>_xlfn.CONCAT("Art. złączny do produktu ",Tabela10[[#This Row],[KOD_PRODUKTU]])</f>
        <v>Art. złączny do produktu 404P83</v>
      </c>
      <c r="J498" s="6" t="str">
        <f>_xlfn.CONCAT("VE-",Tabela10[[#This Row],[KOD_PRODUKTU]])</f>
        <v>VE-404P83</v>
      </c>
    </row>
    <row r="499" spans="1:10" x14ac:dyDescent="0.25">
      <c r="A499" s="1" t="s">
        <v>1325</v>
      </c>
      <c r="B499" t="s">
        <v>1326</v>
      </c>
      <c r="C499" s="1" t="s">
        <v>7</v>
      </c>
      <c r="D499" t="s">
        <v>8</v>
      </c>
      <c r="E499" t="s">
        <v>9</v>
      </c>
      <c r="F499" t="s">
        <v>10</v>
      </c>
      <c r="G499" t="s">
        <v>1330</v>
      </c>
      <c r="H499">
        <v>98.9</v>
      </c>
      <c r="I499" s="6" t="str">
        <f>_xlfn.CONCAT("Art. złączny do produktu ",Tabela10[[#This Row],[KOD_PRODUKTU]])</f>
        <v>Art. złączny do produktu 404P83</v>
      </c>
      <c r="J499" s="6" t="str">
        <f>_xlfn.CONCAT("VE-",Tabela10[[#This Row],[KOD_PRODUKTU]])</f>
        <v>VE-404P83</v>
      </c>
    </row>
    <row r="500" spans="1:10" x14ac:dyDescent="0.25">
      <c r="A500" s="7" t="s">
        <v>1331</v>
      </c>
      <c r="B500" s="6" t="s">
        <v>1332</v>
      </c>
      <c r="C500" s="7" t="s">
        <v>1327</v>
      </c>
      <c r="D500" s="6" t="s">
        <v>1328</v>
      </c>
      <c r="E500" s="6" t="s">
        <v>1329</v>
      </c>
      <c r="F500" s="6" t="s">
        <v>49</v>
      </c>
      <c r="G500" s="6" t="s">
        <v>50</v>
      </c>
      <c r="H500" s="6">
        <v>220</v>
      </c>
      <c r="I500" s="6" t="str">
        <f>_xlfn.CONCAT("Art. złączny do produktu ",Tabela10[[#This Row],[KOD_PRODUKTU]])</f>
        <v>Art. złączny do produktu 404P84</v>
      </c>
      <c r="J500" s="6" t="str">
        <f>_xlfn.CONCAT("VE-",Tabela10[[#This Row],[KOD_PRODUKTU]])</f>
        <v>VE-404P84</v>
      </c>
    </row>
    <row r="501" spans="1:10" x14ac:dyDescent="0.25">
      <c r="A501" s="1" t="s">
        <v>1331</v>
      </c>
      <c r="B501" t="s">
        <v>1332</v>
      </c>
      <c r="C501" s="1" t="s">
        <v>541</v>
      </c>
      <c r="D501" t="s">
        <v>542</v>
      </c>
      <c r="E501" t="s">
        <v>9</v>
      </c>
      <c r="F501" t="s">
        <v>10</v>
      </c>
      <c r="G501" t="s">
        <v>1330</v>
      </c>
      <c r="H501">
        <v>98.9</v>
      </c>
      <c r="I501" s="6" t="str">
        <f>_xlfn.CONCAT("Art. złączny do produktu ",Tabela10[[#This Row],[KOD_PRODUKTU]])</f>
        <v>Art. złączny do produktu 404P84</v>
      </c>
      <c r="J501" s="6" t="str">
        <f>_xlfn.CONCAT("VE-",Tabela10[[#This Row],[KOD_PRODUKTU]])</f>
        <v>VE-404P84</v>
      </c>
    </row>
    <row r="502" spans="1:10" x14ac:dyDescent="0.25">
      <c r="A502" s="7" t="s">
        <v>1333</v>
      </c>
      <c r="B502" s="6" t="s">
        <v>1334</v>
      </c>
      <c r="C502" s="7" t="s">
        <v>1335</v>
      </c>
      <c r="D502" s="6" t="s">
        <v>1336</v>
      </c>
      <c r="E502" s="6" t="s">
        <v>1337</v>
      </c>
      <c r="F502" s="6" t="s">
        <v>49</v>
      </c>
      <c r="G502" s="6" t="s">
        <v>50</v>
      </c>
      <c r="H502" s="6">
        <v>90</v>
      </c>
      <c r="I502" s="6" t="str">
        <f>_xlfn.CONCAT("Art. złączny do produktu ",Tabela10[[#This Row],[KOD_PRODUKTU]])</f>
        <v>Art. złączny do produktu 404P85</v>
      </c>
      <c r="J502" s="6" t="str">
        <f>_xlfn.CONCAT("VE-",Tabela10[[#This Row],[KOD_PRODUKTU]])</f>
        <v>VE-404P85</v>
      </c>
    </row>
    <row r="503" spans="1:10" x14ac:dyDescent="0.25">
      <c r="A503" s="1" t="s">
        <v>1333</v>
      </c>
      <c r="B503" t="s">
        <v>1334</v>
      </c>
      <c r="C503" s="1" t="s">
        <v>541</v>
      </c>
      <c r="D503" t="s">
        <v>542</v>
      </c>
      <c r="E503" t="s">
        <v>811</v>
      </c>
      <c r="F503" t="s">
        <v>10</v>
      </c>
      <c r="G503" t="s">
        <v>1338</v>
      </c>
      <c r="H503">
        <v>191.25</v>
      </c>
      <c r="I503" s="6" t="str">
        <f>_xlfn.CONCAT("Art. złączny do produktu ",Tabela10[[#This Row],[KOD_PRODUKTU]])</f>
        <v>Art. złączny do produktu 404P85</v>
      </c>
      <c r="J503" s="6" t="str">
        <f>_xlfn.CONCAT("VE-",Tabela10[[#This Row],[KOD_PRODUKTU]])</f>
        <v>VE-404P85</v>
      </c>
    </row>
    <row r="504" spans="1:10" x14ac:dyDescent="0.25">
      <c r="A504" s="7" t="s">
        <v>1339</v>
      </c>
      <c r="B504" s="6" t="s">
        <v>1340</v>
      </c>
      <c r="C504" s="7" t="s">
        <v>1335</v>
      </c>
      <c r="D504" s="6" t="s">
        <v>1336</v>
      </c>
      <c r="E504" s="6" t="s">
        <v>1337</v>
      </c>
      <c r="F504" s="6" t="s">
        <v>49</v>
      </c>
      <c r="G504" s="6" t="s">
        <v>50</v>
      </c>
      <c r="H504" s="6">
        <v>90</v>
      </c>
      <c r="I504" s="6" t="str">
        <f>_xlfn.CONCAT("Art. złączny do produktu ",Tabela10[[#This Row],[KOD_PRODUKTU]])</f>
        <v>Art. złączny do produktu 404P86</v>
      </c>
      <c r="J504" s="6" t="str">
        <f>_xlfn.CONCAT("VE-",Tabela10[[#This Row],[KOD_PRODUKTU]])</f>
        <v>VE-404P86</v>
      </c>
    </row>
    <row r="505" spans="1:10" x14ac:dyDescent="0.25">
      <c r="A505" s="1" t="s">
        <v>1339</v>
      </c>
      <c r="B505" t="s">
        <v>1340</v>
      </c>
      <c r="C505" s="1" t="s">
        <v>541</v>
      </c>
      <c r="D505" t="s">
        <v>542</v>
      </c>
      <c r="E505" t="s">
        <v>9</v>
      </c>
      <c r="F505" t="s">
        <v>10</v>
      </c>
      <c r="G505" t="s">
        <v>1338</v>
      </c>
      <c r="H505">
        <v>69</v>
      </c>
      <c r="I505" s="6" t="str">
        <f>_xlfn.CONCAT("Art. złączny do produktu ",Tabela10[[#This Row],[KOD_PRODUKTU]])</f>
        <v>Art. złączny do produktu 404P86</v>
      </c>
      <c r="J505" s="6" t="str">
        <f>_xlfn.CONCAT("VE-",Tabela10[[#This Row],[KOD_PRODUKTU]])</f>
        <v>VE-404P86</v>
      </c>
    </row>
    <row r="506" spans="1:10" x14ac:dyDescent="0.25">
      <c r="A506" s="7" t="s">
        <v>1341</v>
      </c>
      <c r="B506" s="6" t="s">
        <v>1342</v>
      </c>
      <c r="C506" s="7" t="s">
        <v>1335</v>
      </c>
      <c r="D506" s="6" t="s">
        <v>1336</v>
      </c>
      <c r="E506" s="6" t="s">
        <v>1337</v>
      </c>
      <c r="F506" s="6" t="s">
        <v>49</v>
      </c>
      <c r="G506" s="6" t="s">
        <v>50</v>
      </c>
      <c r="H506" s="6">
        <v>90</v>
      </c>
      <c r="I506" s="6" t="str">
        <f>_xlfn.CONCAT("Art. złączny do produktu ",Tabela10[[#This Row],[KOD_PRODUKTU]])</f>
        <v>Art. złączny do produktu 404P87</v>
      </c>
      <c r="J506" s="6" t="str">
        <f>_xlfn.CONCAT("VE-",Tabela10[[#This Row],[KOD_PRODUKTU]])</f>
        <v>VE-404P87</v>
      </c>
    </row>
    <row r="507" spans="1:10" x14ac:dyDescent="0.25">
      <c r="A507" s="1" t="s">
        <v>1341</v>
      </c>
      <c r="B507" t="s">
        <v>1342</v>
      </c>
      <c r="C507" s="1" t="s">
        <v>541</v>
      </c>
      <c r="D507" t="s">
        <v>542</v>
      </c>
      <c r="E507" t="s">
        <v>9</v>
      </c>
      <c r="F507" t="s">
        <v>10</v>
      </c>
      <c r="G507" t="s">
        <v>1338</v>
      </c>
      <c r="H507">
        <v>69</v>
      </c>
      <c r="I507" s="6" t="str">
        <f>_xlfn.CONCAT("Art. złączny do produktu ",Tabela10[[#This Row],[KOD_PRODUKTU]])</f>
        <v>Art. złączny do produktu 404P87</v>
      </c>
      <c r="J507" s="6" t="str">
        <f>_xlfn.CONCAT("VE-",Tabela10[[#This Row],[KOD_PRODUKTU]])</f>
        <v>VE-404P87</v>
      </c>
    </row>
    <row r="508" spans="1:10" x14ac:dyDescent="0.25">
      <c r="A508" s="7" t="s">
        <v>1343</v>
      </c>
      <c r="B508" s="6" t="s">
        <v>1344</v>
      </c>
      <c r="C508" s="7" t="s">
        <v>1345</v>
      </c>
      <c r="D508" s="6" t="s">
        <v>1346</v>
      </c>
      <c r="E508" s="6" t="s">
        <v>1347</v>
      </c>
      <c r="F508" s="6" t="s">
        <v>5</v>
      </c>
      <c r="G508" s="6" t="s">
        <v>1348</v>
      </c>
      <c r="H508" s="6">
        <v>0.15</v>
      </c>
      <c r="I508" s="6" t="str">
        <f>_xlfn.CONCAT("Art. złączny do produktu ",Tabela10[[#This Row],[KOD_PRODUKTU]])</f>
        <v>Art. złączny do produktu 404P90</v>
      </c>
      <c r="J508" s="6" t="str">
        <f>_xlfn.CONCAT("VE-",Tabela10[[#This Row],[KOD_PRODUKTU]])</f>
        <v>VE-404P90</v>
      </c>
    </row>
    <row r="509" spans="1:10" x14ac:dyDescent="0.25">
      <c r="A509" s="1" t="s">
        <v>1343</v>
      </c>
      <c r="B509" t="s">
        <v>1344</v>
      </c>
      <c r="C509" s="1" t="s">
        <v>7</v>
      </c>
      <c r="D509" t="s">
        <v>8</v>
      </c>
      <c r="E509" t="s">
        <v>9</v>
      </c>
      <c r="F509" t="s">
        <v>10</v>
      </c>
      <c r="G509" t="s">
        <v>1349</v>
      </c>
      <c r="H509">
        <v>3.45</v>
      </c>
      <c r="I509" s="6" t="str">
        <f>_xlfn.CONCAT("Art. złączny do produktu ",Tabela10[[#This Row],[KOD_PRODUKTU]])</f>
        <v>Art. złączny do produktu 404P90</v>
      </c>
      <c r="J509" s="6" t="str">
        <f>_xlfn.CONCAT("VE-",Tabela10[[#This Row],[KOD_PRODUKTU]])</f>
        <v>VE-404P90</v>
      </c>
    </row>
    <row r="510" spans="1:10" x14ac:dyDescent="0.25">
      <c r="A510" s="7" t="s">
        <v>1357</v>
      </c>
      <c r="B510" s="6" t="s">
        <v>1358</v>
      </c>
      <c r="C510" s="7" t="s">
        <v>684</v>
      </c>
      <c r="D510" s="6" t="s">
        <v>685</v>
      </c>
      <c r="E510" s="6" t="s">
        <v>686</v>
      </c>
      <c r="F510" s="6" t="s">
        <v>49</v>
      </c>
      <c r="G510" s="6" t="s">
        <v>1359</v>
      </c>
      <c r="H510" s="6">
        <v>0.3</v>
      </c>
      <c r="I510" s="6" t="str">
        <f>_xlfn.CONCAT("Art. złączny do produktu ",Tabela10[[#This Row],[KOD_PRODUKTU]])</f>
        <v>Art. złączny do produktu 404P93</v>
      </c>
      <c r="J510" s="6" t="str">
        <f>_xlfn.CONCAT("VE-",Tabela10[[#This Row],[KOD_PRODUKTU]])</f>
        <v>VE-404P93</v>
      </c>
    </row>
    <row r="511" spans="1:10" x14ac:dyDescent="0.25">
      <c r="A511" s="1" t="s">
        <v>1357</v>
      </c>
      <c r="B511" t="s">
        <v>1358</v>
      </c>
      <c r="C511" s="1" t="s">
        <v>541</v>
      </c>
      <c r="D511" t="s">
        <v>542</v>
      </c>
      <c r="E511" t="s">
        <v>9</v>
      </c>
      <c r="F511" t="s">
        <v>10</v>
      </c>
      <c r="G511" t="s">
        <v>1360</v>
      </c>
      <c r="H511">
        <v>1.67</v>
      </c>
      <c r="I511" s="6" t="str">
        <f>_xlfn.CONCAT("Art. złączny do produktu ",Tabela10[[#This Row],[KOD_PRODUKTU]])</f>
        <v>Art. złączny do produktu 404P93</v>
      </c>
      <c r="J511" s="6" t="str">
        <f>_xlfn.CONCAT("VE-",Tabela10[[#This Row],[KOD_PRODUKTU]])</f>
        <v>VE-404P93</v>
      </c>
    </row>
    <row r="512" spans="1:10" x14ac:dyDescent="0.25">
      <c r="A512" s="7" t="s">
        <v>1361</v>
      </c>
      <c r="B512" s="6" t="s">
        <v>1362</v>
      </c>
      <c r="C512" s="7" t="s">
        <v>684</v>
      </c>
      <c r="D512" s="6" t="s">
        <v>685</v>
      </c>
      <c r="E512" s="6" t="s">
        <v>686</v>
      </c>
      <c r="F512" s="6" t="s">
        <v>49</v>
      </c>
      <c r="G512" s="6" t="s">
        <v>1363</v>
      </c>
      <c r="H512" s="6">
        <v>0.45</v>
      </c>
      <c r="I512" s="6" t="str">
        <f>_xlfn.CONCAT("Art. złączny do produktu ",Tabela10[[#This Row],[KOD_PRODUKTU]])</f>
        <v>Art. złączny do produktu 404P94</v>
      </c>
      <c r="J512" s="6" t="str">
        <f>_xlfn.CONCAT("VE-",Tabela10[[#This Row],[KOD_PRODUKTU]])</f>
        <v>VE-404P94</v>
      </c>
    </row>
    <row r="513" spans="1:10" x14ac:dyDescent="0.25">
      <c r="A513" s="1" t="s">
        <v>1361</v>
      </c>
      <c r="B513" t="s">
        <v>1362</v>
      </c>
      <c r="C513" s="1" t="s">
        <v>541</v>
      </c>
      <c r="D513" t="s">
        <v>542</v>
      </c>
      <c r="E513" t="s">
        <v>9</v>
      </c>
      <c r="F513" t="s">
        <v>10</v>
      </c>
      <c r="G513" t="s">
        <v>1364</v>
      </c>
      <c r="H513">
        <v>3.55</v>
      </c>
      <c r="I513" s="6" t="str">
        <f>_xlfn.CONCAT("Art. złączny do produktu ",Tabela10[[#This Row],[KOD_PRODUKTU]])</f>
        <v>Art. złączny do produktu 404P94</v>
      </c>
      <c r="J513" s="6" t="str">
        <f>_xlfn.CONCAT("VE-",Tabela10[[#This Row],[KOD_PRODUKTU]])</f>
        <v>VE-404P94</v>
      </c>
    </row>
    <row r="514" spans="1:10" x14ac:dyDescent="0.25">
      <c r="A514" s="7" t="s">
        <v>1365</v>
      </c>
      <c r="B514" s="6" t="s">
        <v>1366</v>
      </c>
      <c r="C514" s="7" t="s">
        <v>1367</v>
      </c>
      <c r="D514" s="6" t="s">
        <v>1368</v>
      </c>
      <c r="E514" s="6" t="s">
        <v>1369</v>
      </c>
      <c r="F514" s="6" t="s">
        <v>121</v>
      </c>
      <c r="G514" s="6" t="s">
        <v>1370</v>
      </c>
      <c r="H514" s="6">
        <v>0.05</v>
      </c>
      <c r="I514" s="6" t="str">
        <f>_xlfn.CONCAT("Art. złączny do produktu ",Tabela10[[#This Row],[KOD_PRODUKTU]])</f>
        <v>Art. złączny do produktu 404P95</v>
      </c>
      <c r="J514" s="6" t="str">
        <f>_xlfn.CONCAT("VE-",Tabela10[[#This Row],[KOD_PRODUKTU]])</f>
        <v>VE-404P95</v>
      </c>
    </row>
    <row r="515" spans="1:10" x14ac:dyDescent="0.25">
      <c r="A515" s="1" t="s">
        <v>1365</v>
      </c>
      <c r="B515" t="s">
        <v>1366</v>
      </c>
      <c r="C515" s="1" t="s">
        <v>7</v>
      </c>
      <c r="D515" t="s">
        <v>8</v>
      </c>
      <c r="E515" t="s">
        <v>9</v>
      </c>
      <c r="F515" t="s">
        <v>10</v>
      </c>
      <c r="G515" t="s">
        <v>1371</v>
      </c>
      <c r="H515">
        <v>1.1499999999999999</v>
      </c>
      <c r="I515" s="6" t="str">
        <f>_xlfn.CONCAT("Art. złączny do produktu ",Tabela10[[#This Row],[KOD_PRODUKTU]])</f>
        <v>Art. złączny do produktu 404P95</v>
      </c>
      <c r="J515" s="6" t="str">
        <f>_xlfn.CONCAT("VE-",Tabela10[[#This Row],[KOD_PRODUKTU]])</f>
        <v>VE-404P95</v>
      </c>
    </row>
    <row r="516" spans="1:10" x14ac:dyDescent="0.25">
      <c r="A516" s="7" t="s">
        <v>1376</v>
      </c>
      <c r="B516" s="6" t="s">
        <v>1377</v>
      </c>
      <c r="C516" s="7" t="s">
        <v>1378</v>
      </c>
      <c r="D516" s="6" t="s">
        <v>1379</v>
      </c>
      <c r="E516" s="6" t="s">
        <v>1043</v>
      </c>
      <c r="F516" s="6" t="s">
        <v>5</v>
      </c>
      <c r="G516" s="6" t="s">
        <v>1380</v>
      </c>
      <c r="H516" s="6">
        <v>18.899999999999999</v>
      </c>
      <c r="I516" s="6" t="str">
        <f>_xlfn.CONCAT("Art. złączny do produktu ",Tabela10[[#This Row],[KOD_PRODUKTU]])</f>
        <v>Art. złączny do produktu 404R16</v>
      </c>
      <c r="J516" s="6" t="str">
        <f>_xlfn.CONCAT("VE-",Tabela10[[#This Row],[KOD_PRODUKTU]])</f>
        <v>VE-404R16</v>
      </c>
    </row>
    <row r="517" spans="1:10" x14ac:dyDescent="0.25">
      <c r="A517" s="1" t="s">
        <v>1376</v>
      </c>
      <c r="B517" t="s">
        <v>1377</v>
      </c>
      <c r="C517" s="1" t="s">
        <v>7</v>
      </c>
      <c r="D517" t="s">
        <v>8</v>
      </c>
      <c r="E517" t="s">
        <v>9</v>
      </c>
      <c r="F517" t="s">
        <v>10</v>
      </c>
      <c r="G517" t="s">
        <v>245</v>
      </c>
      <c r="H517">
        <v>4</v>
      </c>
      <c r="I517" s="6" t="str">
        <f>_xlfn.CONCAT("Art. złączny do produktu ",Tabela10[[#This Row],[KOD_PRODUKTU]])</f>
        <v>Art. złączny do produktu 404R16</v>
      </c>
      <c r="J517" s="6" t="str">
        <f>_xlfn.CONCAT("VE-",Tabela10[[#This Row],[KOD_PRODUKTU]])</f>
        <v>VE-404R16</v>
      </c>
    </row>
    <row r="518" spans="1:10" x14ac:dyDescent="0.25">
      <c r="A518" s="7" t="s">
        <v>1381</v>
      </c>
      <c r="B518" s="6" t="s">
        <v>1382</v>
      </c>
      <c r="C518" s="7" t="s">
        <v>1041</v>
      </c>
      <c r="D518" s="6" t="s">
        <v>1042</v>
      </c>
      <c r="E518" s="6" t="s">
        <v>712</v>
      </c>
      <c r="F518" s="6" t="s">
        <v>17</v>
      </c>
      <c r="G518" s="6" t="s">
        <v>1383</v>
      </c>
      <c r="H518" s="6">
        <v>4.45</v>
      </c>
      <c r="I518" s="6" t="str">
        <f>_xlfn.CONCAT("Art. złączny do produktu ",Tabela10[[#This Row],[KOD_PRODUKTU]])</f>
        <v>Art. złączny do produktu 404R46</v>
      </c>
      <c r="J518" s="6" t="str">
        <f>_xlfn.CONCAT("VE-",Tabela10[[#This Row],[KOD_PRODUKTU]])</f>
        <v>VE-404R46</v>
      </c>
    </row>
    <row r="519" spans="1:10" x14ac:dyDescent="0.25">
      <c r="A519" s="1" t="s">
        <v>1381</v>
      </c>
      <c r="B519" t="s">
        <v>1382</v>
      </c>
      <c r="C519" s="1" t="s">
        <v>7</v>
      </c>
      <c r="D519" t="s">
        <v>8</v>
      </c>
      <c r="E519" t="s">
        <v>9</v>
      </c>
      <c r="F519" t="s">
        <v>10</v>
      </c>
      <c r="G519" t="s">
        <v>1384</v>
      </c>
      <c r="H519">
        <v>4.8499999999999996</v>
      </c>
      <c r="I519" s="6" t="str">
        <f>_xlfn.CONCAT("Art. złączny do produktu ",Tabela10[[#This Row],[KOD_PRODUKTU]])</f>
        <v>Art. złączny do produktu 404R46</v>
      </c>
      <c r="J519" s="6" t="str">
        <f>_xlfn.CONCAT("VE-",Tabela10[[#This Row],[KOD_PRODUKTU]])</f>
        <v>VE-404R46</v>
      </c>
    </row>
    <row r="520" spans="1:10" x14ac:dyDescent="0.25">
      <c r="A520" s="7" t="s">
        <v>1385</v>
      </c>
      <c r="B520" s="6" t="s">
        <v>1386</v>
      </c>
      <c r="C520" s="7" t="s">
        <v>1387</v>
      </c>
      <c r="D520" s="6" t="s">
        <v>1388</v>
      </c>
      <c r="E520" s="6" t="s">
        <v>879</v>
      </c>
      <c r="F520" s="6" t="s">
        <v>17</v>
      </c>
      <c r="G520" s="6" t="s">
        <v>1389</v>
      </c>
      <c r="H520" s="6">
        <v>2.85</v>
      </c>
      <c r="I520" s="6" t="str">
        <f>_xlfn.CONCAT("Art. złączny do produktu ",Tabela10[[#This Row],[KOD_PRODUKTU]])</f>
        <v>Art. złączny do produktu 404R47</v>
      </c>
      <c r="J520" s="6" t="str">
        <f>_xlfn.CONCAT("VE-",Tabela10[[#This Row],[KOD_PRODUKTU]])</f>
        <v>VE-404R47</v>
      </c>
    </row>
    <row r="521" spans="1:10" x14ac:dyDescent="0.25">
      <c r="A521" s="1" t="s">
        <v>1385</v>
      </c>
      <c r="B521" t="s">
        <v>1386</v>
      </c>
      <c r="C521" s="1" t="s">
        <v>7</v>
      </c>
      <c r="D521" t="s">
        <v>8</v>
      </c>
      <c r="E521" t="s">
        <v>9</v>
      </c>
      <c r="F521" t="s">
        <v>10</v>
      </c>
      <c r="G521" t="s">
        <v>1356</v>
      </c>
      <c r="H521">
        <v>4.75</v>
      </c>
      <c r="I521" s="6" t="str">
        <f>_xlfn.CONCAT("Art. złączny do produktu ",Tabela10[[#This Row],[KOD_PRODUKTU]])</f>
        <v>Art. złączny do produktu 404R47</v>
      </c>
      <c r="J521" s="6" t="str">
        <f>_xlfn.CONCAT("VE-",Tabela10[[#This Row],[KOD_PRODUKTU]])</f>
        <v>VE-404R47</v>
      </c>
    </row>
    <row r="522" spans="1:10" x14ac:dyDescent="0.25">
      <c r="A522" s="7" t="s">
        <v>1390</v>
      </c>
      <c r="B522" s="6" t="s">
        <v>1391</v>
      </c>
      <c r="C522" s="7" t="s">
        <v>1392</v>
      </c>
      <c r="D522" s="6" t="s">
        <v>1393</v>
      </c>
      <c r="E522" s="6" t="s">
        <v>1394</v>
      </c>
      <c r="F522" s="6" t="s">
        <v>5</v>
      </c>
      <c r="G522" s="6" t="s">
        <v>1395</v>
      </c>
      <c r="H522" s="6">
        <v>5.5</v>
      </c>
      <c r="I522" s="6" t="str">
        <f>_xlfn.CONCAT("Art. złączny do produktu ",Tabela10[[#This Row],[KOD_PRODUKTU]])</f>
        <v>Art. złączny do produktu 404R51</v>
      </c>
      <c r="J522" s="6" t="str">
        <f>_xlfn.CONCAT("VE-",Tabela10[[#This Row],[KOD_PRODUKTU]])</f>
        <v>VE-404R51</v>
      </c>
    </row>
    <row r="523" spans="1:10" x14ac:dyDescent="0.25">
      <c r="A523" s="1" t="s">
        <v>1390</v>
      </c>
      <c r="B523" t="s">
        <v>1391</v>
      </c>
      <c r="C523" s="1" t="s">
        <v>7</v>
      </c>
      <c r="D523" t="s">
        <v>1031</v>
      </c>
      <c r="E523" t="s">
        <v>9</v>
      </c>
      <c r="F523" t="s">
        <v>10</v>
      </c>
      <c r="G523" t="s">
        <v>1396</v>
      </c>
      <c r="H523">
        <v>52.85</v>
      </c>
      <c r="I523" s="6" t="str">
        <f>_xlfn.CONCAT("Art. złączny do produktu ",Tabela10[[#This Row],[KOD_PRODUKTU]])</f>
        <v>Art. złączny do produktu 404R51</v>
      </c>
      <c r="J523" s="6" t="str">
        <f>_xlfn.CONCAT("VE-",Tabela10[[#This Row],[KOD_PRODUKTU]])</f>
        <v>VE-404R51</v>
      </c>
    </row>
    <row r="524" spans="1:10" x14ac:dyDescent="0.25">
      <c r="A524" s="7" t="s">
        <v>1397</v>
      </c>
      <c r="B524" s="6" t="s">
        <v>1398</v>
      </c>
      <c r="C524" s="7" t="s">
        <v>22</v>
      </c>
      <c r="D524" s="6" t="s">
        <v>23</v>
      </c>
      <c r="E524" s="6" t="s">
        <v>24</v>
      </c>
      <c r="F524" s="6" t="s">
        <v>17</v>
      </c>
      <c r="G524" s="6" t="s">
        <v>1399</v>
      </c>
      <c r="H524" s="6">
        <v>70</v>
      </c>
      <c r="I524" s="6" t="str">
        <f>_xlfn.CONCAT("Art. złączny do produktu ",Tabela10[[#This Row],[KOD_PRODUKTU]])</f>
        <v>Art. złączny do produktu 404R52</v>
      </c>
      <c r="J524" s="6" t="str">
        <f>_xlfn.CONCAT("VE-",Tabela10[[#This Row],[KOD_PRODUKTU]])</f>
        <v>VE-404R52</v>
      </c>
    </row>
    <row r="525" spans="1:10" x14ac:dyDescent="0.25">
      <c r="A525" s="1" t="s">
        <v>1397</v>
      </c>
      <c r="B525" t="s">
        <v>1398</v>
      </c>
      <c r="C525" s="1" t="s">
        <v>7</v>
      </c>
      <c r="D525" t="s">
        <v>8</v>
      </c>
      <c r="E525" t="s">
        <v>9</v>
      </c>
      <c r="F525" t="s">
        <v>10</v>
      </c>
      <c r="G525" t="s">
        <v>1400</v>
      </c>
      <c r="H525">
        <v>11.7</v>
      </c>
      <c r="I525" s="6" t="str">
        <f>_xlfn.CONCAT("Art. złączny do produktu ",Tabela10[[#This Row],[KOD_PRODUKTU]])</f>
        <v>Art. złączny do produktu 404R52</v>
      </c>
      <c r="J525" s="6" t="str">
        <f>_xlfn.CONCAT("VE-",Tabela10[[#This Row],[KOD_PRODUKTU]])</f>
        <v>VE-404R52</v>
      </c>
    </row>
    <row r="526" spans="1:10" x14ac:dyDescent="0.25">
      <c r="A526" s="7" t="s">
        <v>1401</v>
      </c>
      <c r="B526" s="6" t="s">
        <v>1402</v>
      </c>
      <c r="C526" s="7" t="s">
        <v>22</v>
      </c>
      <c r="D526" s="6" t="s">
        <v>23</v>
      </c>
      <c r="E526" s="6" t="s">
        <v>24</v>
      </c>
      <c r="F526" s="6" t="s">
        <v>17</v>
      </c>
      <c r="G526" s="6" t="s">
        <v>1399</v>
      </c>
      <c r="H526" s="6">
        <v>70</v>
      </c>
      <c r="I526" s="6" t="str">
        <f>_xlfn.CONCAT("Art. złączny do produktu ",Tabela10[[#This Row],[KOD_PRODUKTU]])</f>
        <v>Art. złączny do produktu 404R53</v>
      </c>
      <c r="J526" s="6" t="str">
        <f>_xlfn.CONCAT("VE-",Tabela10[[#This Row],[KOD_PRODUKTU]])</f>
        <v>VE-404R53</v>
      </c>
    </row>
    <row r="527" spans="1:10" x14ac:dyDescent="0.25">
      <c r="A527" s="1" t="s">
        <v>1401</v>
      </c>
      <c r="B527" t="s">
        <v>1402</v>
      </c>
      <c r="C527" s="1" t="s">
        <v>7</v>
      </c>
      <c r="D527" t="s">
        <v>8</v>
      </c>
      <c r="E527" t="s">
        <v>9</v>
      </c>
      <c r="F527" t="s">
        <v>10</v>
      </c>
      <c r="G527" t="s">
        <v>1403</v>
      </c>
      <c r="H527">
        <v>19.16</v>
      </c>
      <c r="I527" s="6" t="str">
        <f>_xlfn.CONCAT("Art. złączny do produktu ",Tabela10[[#This Row],[KOD_PRODUKTU]])</f>
        <v>Art. złączny do produktu 404R53</v>
      </c>
      <c r="J527" s="6" t="str">
        <f>_xlfn.CONCAT("VE-",Tabela10[[#This Row],[KOD_PRODUKTU]])</f>
        <v>VE-404R53</v>
      </c>
    </row>
    <row r="528" spans="1:10" x14ac:dyDescent="0.25">
      <c r="A528" s="7" t="s">
        <v>1404</v>
      </c>
      <c r="B528" s="6" t="s">
        <v>1405</v>
      </c>
      <c r="C528" s="7" t="s">
        <v>1406</v>
      </c>
      <c r="D528" s="6" t="s">
        <v>1407</v>
      </c>
      <c r="E528" s="6" t="s">
        <v>1408</v>
      </c>
      <c r="F528" s="6" t="s">
        <v>17</v>
      </c>
      <c r="G528" s="6" t="s">
        <v>1409</v>
      </c>
      <c r="H528" s="6">
        <v>2.4300000000000002</v>
      </c>
      <c r="I528" s="6" t="str">
        <f>_xlfn.CONCAT("Art. złączny do produktu ",Tabela10[[#This Row],[KOD_PRODUKTU]])</f>
        <v>Art. złączny do produktu 404R54</v>
      </c>
      <c r="J528" s="6" t="str">
        <f>_xlfn.CONCAT("VE-",Tabela10[[#This Row],[KOD_PRODUKTU]])</f>
        <v>VE-404R54</v>
      </c>
    </row>
    <row r="529" spans="1:10" x14ac:dyDescent="0.25">
      <c r="A529" s="1" t="s">
        <v>1404</v>
      </c>
      <c r="B529" t="s">
        <v>1405</v>
      </c>
      <c r="C529" s="1" t="s">
        <v>7</v>
      </c>
      <c r="D529" t="s">
        <v>8</v>
      </c>
      <c r="E529" t="s">
        <v>9</v>
      </c>
      <c r="F529" t="s">
        <v>10</v>
      </c>
      <c r="G529" t="s">
        <v>1410</v>
      </c>
      <c r="H529">
        <v>11.04</v>
      </c>
      <c r="I529" s="6" t="str">
        <f>_xlfn.CONCAT("Art. złączny do produktu ",Tabela10[[#This Row],[KOD_PRODUKTU]])</f>
        <v>Art. złączny do produktu 404R54</v>
      </c>
      <c r="J529" s="6" t="str">
        <f>_xlfn.CONCAT("VE-",Tabela10[[#This Row],[KOD_PRODUKTU]])</f>
        <v>VE-404R54</v>
      </c>
    </row>
    <row r="530" spans="1:10" x14ac:dyDescent="0.25">
      <c r="A530" s="7" t="s">
        <v>1416</v>
      </c>
      <c r="B530" s="6" t="s">
        <v>1417</v>
      </c>
      <c r="C530" s="7" t="s">
        <v>1041</v>
      </c>
      <c r="D530" s="6" t="s">
        <v>1042</v>
      </c>
      <c r="E530" s="6" t="s">
        <v>712</v>
      </c>
      <c r="F530" s="6" t="s">
        <v>17</v>
      </c>
      <c r="G530" s="6" t="s">
        <v>1418</v>
      </c>
      <c r="H530" s="6">
        <v>2.15</v>
      </c>
      <c r="I530" s="6" t="str">
        <f>_xlfn.CONCAT("Art. złączny do produktu ",Tabela10[[#This Row],[KOD_PRODUKTU]])</f>
        <v>Art. złączny do produktu 404R58</v>
      </c>
      <c r="J530" s="6" t="str">
        <f>_xlfn.CONCAT("VE-",Tabela10[[#This Row],[KOD_PRODUKTU]])</f>
        <v>VE-404R58</v>
      </c>
    </row>
    <row r="531" spans="1:10" x14ac:dyDescent="0.25">
      <c r="A531" s="1" t="s">
        <v>1416</v>
      </c>
      <c r="B531" t="s">
        <v>1417</v>
      </c>
      <c r="C531" s="1" t="s">
        <v>7</v>
      </c>
      <c r="D531" t="s">
        <v>8</v>
      </c>
      <c r="E531" t="s">
        <v>9</v>
      </c>
      <c r="F531" t="s">
        <v>10</v>
      </c>
      <c r="G531" t="s">
        <v>1419</v>
      </c>
      <c r="H531">
        <v>4.7</v>
      </c>
      <c r="I531" s="6" t="str">
        <f>_xlfn.CONCAT("Art. złączny do produktu ",Tabela10[[#This Row],[KOD_PRODUKTU]])</f>
        <v>Art. złączny do produktu 404R58</v>
      </c>
      <c r="J531" s="6" t="str">
        <f>_xlfn.CONCAT("VE-",Tabela10[[#This Row],[KOD_PRODUKTU]])</f>
        <v>VE-404R58</v>
      </c>
    </row>
    <row r="532" spans="1:10" x14ac:dyDescent="0.25">
      <c r="A532" s="7" t="s">
        <v>1420</v>
      </c>
      <c r="B532" s="6" t="s">
        <v>1421</v>
      </c>
      <c r="C532" s="7" t="s">
        <v>1041</v>
      </c>
      <c r="D532" s="6" t="s">
        <v>1042</v>
      </c>
      <c r="E532" s="6" t="s">
        <v>712</v>
      </c>
      <c r="F532" s="6" t="s">
        <v>17</v>
      </c>
      <c r="G532" s="6" t="s">
        <v>1422</v>
      </c>
      <c r="H532" s="6">
        <v>7.3</v>
      </c>
      <c r="I532" s="6" t="str">
        <f>_xlfn.CONCAT("Art. złączny do produktu ",Tabela10[[#This Row],[KOD_PRODUKTU]])</f>
        <v>Art. złączny do produktu 404R59</v>
      </c>
      <c r="J532" s="6" t="str">
        <f>_xlfn.CONCAT("VE-",Tabela10[[#This Row],[KOD_PRODUKTU]])</f>
        <v>VE-404R59</v>
      </c>
    </row>
    <row r="533" spans="1:10" x14ac:dyDescent="0.25">
      <c r="A533" s="1" t="s">
        <v>1420</v>
      </c>
      <c r="B533" t="s">
        <v>1421</v>
      </c>
      <c r="C533" s="1" t="s">
        <v>7</v>
      </c>
      <c r="D533" t="s">
        <v>8</v>
      </c>
      <c r="E533" t="s">
        <v>9</v>
      </c>
      <c r="F533" t="s">
        <v>10</v>
      </c>
      <c r="G533" t="s">
        <v>1419</v>
      </c>
      <c r="H533">
        <v>4.7</v>
      </c>
      <c r="I533" s="6" t="str">
        <f>_xlfn.CONCAT("Art. złączny do produktu ",Tabela10[[#This Row],[KOD_PRODUKTU]])</f>
        <v>Art. złączny do produktu 404R59</v>
      </c>
      <c r="J533" s="6" t="str">
        <f>_xlfn.CONCAT("VE-",Tabela10[[#This Row],[KOD_PRODUKTU]])</f>
        <v>VE-404R59</v>
      </c>
    </row>
    <row r="534" spans="1:10" x14ac:dyDescent="0.25">
      <c r="A534" s="7" t="s">
        <v>1423</v>
      </c>
      <c r="B534" s="6" t="s">
        <v>1424</v>
      </c>
      <c r="C534" s="7" t="s">
        <v>1041</v>
      </c>
      <c r="D534" s="6" t="s">
        <v>1042</v>
      </c>
      <c r="E534" s="6" t="s">
        <v>712</v>
      </c>
      <c r="F534" s="6" t="s">
        <v>17</v>
      </c>
      <c r="G534" s="6" t="s">
        <v>1425</v>
      </c>
      <c r="H534" s="6">
        <v>2.25</v>
      </c>
      <c r="I534" s="6" t="str">
        <f>_xlfn.CONCAT("Art. złączny do produktu ",Tabela10[[#This Row],[KOD_PRODUKTU]])</f>
        <v>Art. złączny do produktu 404R60</v>
      </c>
      <c r="J534" s="6" t="str">
        <f>_xlfn.CONCAT("VE-",Tabela10[[#This Row],[KOD_PRODUKTU]])</f>
        <v>VE-404R60</v>
      </c>
    </row>
    <row r="535" spans="1:10" x14ac:dyDescent="0.25">
      <c r="A535" s="1" t="s">
        <v>1423</v>
      </c>
      <c r="B535" t="s">
        <v>1424</v>
      </c>
      <c r="C535" s="1" t="s">
        <v>7</v>
      </c>
      <c r="D535" t="s">
        <v>8</v>
      </c>
      <c r="E535" t="s">
        <v>9</v>
      </c>
      <c r="F535" t="s">
        <v>10</v>
      </c>
      <c r="G535" t="s">
        <v>1044</v>
      </c>
      <c r="H535">
        <v>4.8</v>
      </c>
      <c r="I535" s="6" t="str">
        <f>_xlfn.CONCAT("Art. złączny do produktu ",Tabela10[[#This Row],[KOD_PRODUKTU]])</f>
        <v>Art. złączny do produktu 404R60</v>
      </c>
      <c r="J535" s="6" t="str">
        <f>_xlfn.CONCAT("VE-",Tabela10[[#This Row],[KOD_PRODUKTU]])</f>
        <v>VE-404R60</v>
      </c>
    </row>
    <row r="536" spans="1:10" x14ac:dyDescent="0.25">
      <c r="A536" s="7" t="s">
        <v>1426</v>
      </c>
      <c r="B536" s="6" t="s">
        <v>1427</v>
      </c>
      <c r="C536" s="7" t="s">
        <v>1041</v>
      </c>
      <c r="D536" s="6" t="s">
        <v>1042</v>
      </c>
      <c r="E536" s="6" t="s">
        <v>712</v>
      </c>
      <c r="F536" s="6" t="s">
        <v>17</v>
      </c>
      <c r="G536" s="6" t="s">
        <v>1428</v>
      </c>
      <c r="H536" s="6">
        <v>1.75</v>
      </c>
      <c r="I536" s="6" t="str">
        <f>_xlfn.CONCAT("Art. złączny do produktu ",Tabela10[[#This Row],[KOD_PRODUKTU]])</f>
        <v>Art. złączny do produktu 404R61</v>
      </c>
      <c r="J536" s="6" t="str">
        <f>_xlfn.CONCAT("VE-",Tabela10[[#This Row],[KOD_PRODUKTU]])</f>
        <v>VE-404R61</v>
      </c>
    </row>
    <row r="537" spans="1:10" x14ac:dyDescent="0.25">
      <c r="A537" s="1" t="s">
        <v>1426</v>
      </c>
      <c r="B537" t="s">
        <v>1427</v>
      </c>
      <c r="C537" s="1" t="s">
        <v>7</v>
      </c>
      <c r="D537" t="s">
        <v>8</v>
      </c>
      <c r="E537" t="s">
        <v>9</v>
      </c>
      <c r="F537" t="s">
        <v>10</v>
      </c>
      <c r="G537" t="s">
        <v>1356</v>
      </c>
      <c r="H537">
        <v>4.75</v>
      </c>
      <c r="I537" s="6" t="str">
        <f>_xlfn.CONCAT("Art. złączny do produktu ",Tabela10[[#This Row],[KOD_PRODUKTU]])</f>
        <v>Art. złączny do produktu 404R61</v>
      </c>
      <c r="J537" s="6" t="str">
        <f>_xlfn.CONCAT("VE-",Tabela10[[#This Row],[KOD_PRODUKTU]])</f>
        <v>VE-404R61</v>
      </c>
    </row>
    <row r="538" spans="1:10" x14ac:dyDescent="0.25">
      <c r="A538" s="7" t="s">
        <v>1429</v>
      </c>
      <c r="B538" s="6" t="s">
        <v>1430</v>
      </c>
      <c r="C538" s="7" t="s">
        <v>1047</v>
      </c>
      <c r="D538" s="6" t="s">
        <v>1048</v>
      </c>
      <c r="E538" s="6" t="s">
        <v>1049</v>
      </c>
      <c r="F538" s="6" t="s">
        <v>17</v>
      </c>
      <c r="G538" s="6" t="s">
        <v>1431</v>
      </c>
      <c r="H538" s="6">
        <v>6.7</v>
      </c>
      <c r="I538" s="6" t="str">
        <f>_xlfn.CONCAT("Art. złączny do produktu ",Tabela10[[#This Row],[KOD_PRODUKTU]])</f>
        <v>Art. złączny do produktu 404R62</v>
      </c>
      <c r="J538" s="6" t="str">
        <f>_xlfn.CONCAT("VE-",Tabela10[[#This Row],[KOD_PRODUKTU]])</f>
        <v>VE-404R62</v>
      </c>
    </row>
    <row r="539" spans="1:10" x14ac:dyDescent="0.25">
      <c r="A539" s="1" t="s">
        <v>1429</v>
      </c>
      <c r="B539" t="s">
        <v>1430</v>
      </c>
      <c r="C539" s="1" t="s">
        <v>7</v>
      </c>
      <c r="D539" t="s">
        <v>8</v>
      </c>
      <c r="E539" t="s">
        <v>9</v>
      </c>
      <c r="F539" t="s">
        <v>10</v>
      </c>
      <c r="G539" t="s">
        <v>1044</v>
      </c>
      <c r="H539">
        <v>4.8</v>
      </c>
      <c r="I539" s="6" t="str">
        <f>_xlfn.CONCAT("Art. złączny do produktu ",Tabela10[[#This Row],[KOD_PRODUKTU]])</f>
        <v>Art. złączny do produktu 404R62</v>
      </c>
      <c r="J539" s="6" t="str">
        <f>_xlfn.CONCAT("VE-",Tabela10[[#This Row],[KOD_PRODUKTU]])</f>
        <v>VE-404R62</v>
      </c>
    </row>
    <row r="540" spans="1:10" x14ac:dyDescent="0.25">
      <c r="A540" s="7" t="s">
        <v>1432</v>
      </c>
      <c r="B540" s="6" t="s">
        <v>1433</v>
      </c>
      <c r="C540" s="7" t="s">
        <v>1047</v>
      </c>
      <c r="D540" s="6" t="s">
        <v>1048</v>
      </c>
      <c r="E540" s="6" t="s">
        <v>1434</v>
      </c>
      <c r="F540" s="6" t="s">
        <v>17</v>
      </c>
      <c r="G540" s="6" t="s">
        <v>1435</v>
      </c>
      <c r="H540" s="6">
        <v>5.65</v>
      </c>
      <c r="I540" s="6" t="str">
        <f>_xlfn.CONCAT("Art. złączny do produktu ",Tabela10[[#This Row],[KOD_PRODUKTU]])</f>
        <v>Art. złączny do produktu 404R63</v>
      </c>
      <c r="J540" s="6" t="str">
        <f>_xlfn.CONCAT("VE-",Tabela10[[#This Row],[KOD_PRODUKTU]])</f>
        <v>VE-404R63</v>
      </c>
    </row>
    <row r="541" spans="1:10" x14ac:dyDescent="0.25">
      <c r="A541" s="1" t="s">
        <v>1432</v>
      </c>
      <c r="B541" t="s">
        <v>1433</v>
      </c>
      <c r="C541" s="1" t="s">
        <v>7</v>
      </c>
      <c r="D541" t="s">
        <v>8</v>
      </c>
      <c r="E541" t="s">
        <v>9</v>
      </c>
      <c r="F541" t="s">
        <v>10</v>
      </c>
      <c r="G541" t="s">
        <v>1436</v>
      </c>
      <c r="H541">
        <v>4.95</v>
      </c>
      <c r="I541" s="6" t="str">
        <f>_xlfn.CONCAT("Art. złączny do produktu ",Tabela10[[#This Row],[KOD_PRODUKTU]])</f>
        <v>Art. złączny do produktu 404R63</v>
      </c>
      <c r="J541" s="6" t="str">
        <f>_xlfn.CONCAT("VE-",Tabela10[[#This Row],[KOD_PRODUKTU]])</f>
        <v>VE-404R63</v>
      </c>
    </row>
    <row r="542" spans="1:10" x14ac:dyDescent="0.25">
      <c r="A542" s="7" t="s">
        <v>1437</v>
      </c>
      <c r="B542" s="6" t="s">
        <v>1438</v>
      </c>
      <c r="C542" s="7" t="s">
        <v>1047</v>
      </c>
      <c r="D542" s="6" t="s">
        <v>1048</v>
      </c>
      <c r="E542" s="6" t="s">
        <v>1434</v>
      </c>
      <c r="F542" s="6" t="s">
        <v>17</v>
      </c>
      <c r="G542" s="6" t="s">
        <v>1439</v>
      </c>
      <c r="H542" s="6">
        <v>9.9499999999999993</v>
      </c>
      <c r="I542" s="6" t="str">
        <f>_xlfn.CONCAT("Art. złączny do produktu ",Tabela10[[#This Row],[KOD_PRODUKTU]])</f>
        <v>Art. złączny do produktu 404R64</v>
      </c>
      <c r="J542" s="6" t="str">
        <f>_xlfn.CONCAT("VE-",Tabela10[[#This Row],[KOD_PRODUKTU]])</f>
        <v>VE-404R64</v>
      </c>
    </row>
    <row r="543" spans="1:10" x14ac:dyDescent="0.25">
      <c r="A543" s="1" t="s">
        <v>1437</v>
      </c>
      <c r="B543" t="s">
        <v>1438</v>
      </c>
      <c r="C543" s="1" t="s">
        <v>7</v>
      </c>
      <c r="D543" t="s">
        <v>8</v>
      </c>
      <c r="E543" t="s">
        <v>9</v>
      </c>
      <c r="F543" t="s">
        <v>10</v>
      </c>
      <c r="G543" t="s">
        <v>1436</v>
      </c>
      <c r="H543">
        <v>4.95</v>
      </c>
      <c r="I543" s="6" t="str">
        <f>_xlfn.CONCAT("Art. złączny do produktu ",Tabela10[[#This Row],[KOD_PRODUKTU]])</f>
        <v>Art. złączny do produktu 404R64</v>
      </c>
      <c r="J543" s="6" t="str">
        <f>_xlfn.CONCAT("VE-",Tabela10[[#This Row],[KOD_PRODUKTU]])</f>
        <v>VE-404R64</v>
      </c>
    </row>
    <row r="544" spans="1:10" x14ac:dyDescent="0.25">
      <c r="A544" s="7" t="s">
        <v>1440</v>
      </c>
      <c r="B544" s="6" t="s">
        <v>1441</v>
      </c>
      <c r="C544" s="7" t="s">
        <v>1442</v>
      </c>
      <c r="D544" s="6" t="s">
        <v>1443</v>
      </c>
      <c r="E544" s="6" t="s">
        <v>1444</v>
      </c>
      <c r="F544" s="6" t="s">
        <v>17</v>
      </c>
      <c r="G544" s="6" t="s">
        <v>33</v>
      </c>
      <c r="H544" s="6">
        <v>2.85</v>
      </c>
      <c r="I544" s="6" t="str">
        <f>_xlfn.CONCAT("Art. złączny do produktu ",Tabela10[[#This Row],[KOD_PRODUKTU]])</f>
        <v>Art. złączny do produktu 404R65</v>
      </c>
      <c r="J544" s="6" t="str">
        <f>_xlfn.CONCAT("VE-",Tabela10[[#This Row],[KOD_PRODUKTU]])</f>
        <v>VE-404R65</v>
      </c>
    </row>
    <row r="545" spans="1:10" x14ac:dyDescent="0.25">
      <c r="A545" s="1" t="s">
        <v>1440</v>
      </c>
      <c r="B545" t="s">
        <v>1441</v>
      </c>
      <c r="C545" s="1" t="s">
        <v>7</v>
      </c>
      <c r="D545" t="s">
        <v>8</v>
      </c>
      <c r="E545" t="s">
        <v>9</v>
      </c>
      <c r="F545" t="s">
        <v>10</v>
      </c>
      <c r="G545" t="s">
        <v>1114</v>
      </c>
      <c r="H545">
        <v>3.15</v>
      </c>
      <c r="I545" s="6" t="str">
        <f>_xlfn.CONCAT("Art. złączny do produktu ",Tabela10[[#This Row],[KOD_PRODUKTU]])</f>
        <v>Art. złączny do produktu 404R65</v>
      </c>
      <c r="J545" s="6" t="str">
        <f>_xlfn.CONCAT("VE-",Tabela10[[#This Row],[KOD_PRODUKTU]])</f>
        <v>VE-404R65</v>
      </c>
    </row>
    <row r="546" spans="1:10" x14ac:dyDescent="0.25">
      <c r="A546" s="7" t="s">
        <v>1445</v>
      </c>
      <c r="B546" s="6" t="s">
        <v>1446</v>
      </c>
      <c r="C546" s="7" t="s">
        <v>1447</v>
      </c>
      <c r="D546" s="6" t="s">
        <v>1448</v>
      </c>
      <c r="E546" s="6" t="s">
        <v>1449</v>
      </c>
      <c r="F546" s="6" t="s">
        <v>5</v>
      </c>
      <c r="G546" s="6" t="s">
        <v>1450</v>
      </c>
      <c r="H546" s="6">
        <v>1.25</v>
      </c>
      <c r="I546" s="6" t="str">
        <f>_xlfn.CONCAT("Art. złączny do produktu ",Tabela10[[#This Row],[KOD_PRODUKTU]])</f>
        <v>Art. złączny do produktu 404R66</v>
      </c>
      <c r="J546" s="6" t="str">
        <f>_xlfn.CONCAT("VE-",Tabela10[[#This Row],[KOD_PRODUKTU]])</f>
        <v>VE-404R66</v>
      </c>
    </row>
    <row r="547" spans="1:10" x14ac:dyDescent="0.25">
      <c r="A547" s="1" t="s">
        <v>1445</v>
      </c>
      <c r="B547" t="s">
        <v>1446</v>
      </c>
      <c r="C547" s="1" t="s">
        <v>7</v>
      </c>
      <c r="D547" t="s">
        <v>8</v>
      </c>
      <c r="E547" t="s">
        <v>9</v>
      </c>
      <c r="F547" t="s">
        <v>10</v>
      </c>
      <c r="G547" t="s">
        <v>1451</v>
      </c>
      <c r="H547">
        <v>4.5</v>
      </c>
      <c r="I547" s="6" t="str">
        <f>_xlfn.CONCAT("Art. złączny do produktu ",Tabela10[[#This Row],[KOD_PRODUKTU]])</f>
        <v>Art. złączny do produktu 404R66</v>
      </c>
      <c r="J547" s="6" t="str">
        <f>_xlfn.CONCAT("VE-",Tabela10[[#This Row],[KOD_PRODUKTU]])</f>
        <v>VE-404R66</v>
      </c>
    </row>
    <row r="548" spans="1:10" x14ac:dyDescent="0.25">
      <c r="A548" s="7" t="s">
        <v>1452</v>
      </c>
      <c r="B548" s="6" t="s">
        <v>1453</v>
      </c>
      <c r="C548" s="7" t="s">
        <v>1041</v>
      </c>
      <c r="D548" s="6" t="s">
        <v>1042</v>
      </c>
      <c r="E548" s="6" t="s">
        <v>1043</v>
      </c>
      <c r="F548" s="6" t="s">
        <v>17</v>
      </c>
      <c r="G548" s="6" t="s">
        <v>1383</v>
      </c>
      <c r="H548" s="6">
        <v>5.25</v>
      </c>
      <c r="I548" s="6" t="str">
        <f>_xlfn.CONCAT("Art. złączny do produktu ",Tabela10[[#This Row],[KOD_PRODUKTU]])</f>
        <v>Art. złączny do produktu 404R67</v>
      </c>
      <c r="J548" s="6" t="str">
        <f>_xlfn.CONCAT("VE-",Tabela10[[#This Row],[KOD_PRODUKTU]])</f>
        <v>VE-404R67</v>
      </c>
    </row>
    <row r="549" spans="1:10" x14ac:dyDescent="0.25">
      <c r="A549" s="1" t="s">
        <v>1452</v>
      </c>
      <c r="B549" t="s">
        <v>1453</v>
      </c>
      <c r="C549" s="1" t="s">
        <v>7</v>
      </c>
      <c r="D549" t="s">
        <v>8</v>
      </c>
      <c r="E549" t="s">
        <v>9</v>
      </c>
      <c r="F549" t="s">
        <v>10</v>
      </c>
      <c r="G549" t="s">
        <v>594</v>
      </c>
      <c r="H549">
        <v>11.5</v>
      </c>
      <c r="I549" s="6" t="str">
        <f>_xlfn.CONCAT("Art. złączny do produktu ",Tabela10[[#This Row],[KOD_PRODUKTU]])</f>
        <v>Art. złączny do produktu 404R67</v>
      </c>
      <c r="J549" s="6" t="str">
        <f>_xlfn.CONCAT("VE-",Tabela10[[#This Row],[KOD_PRODUKTU]])</f>
        <v>VE-404R67</v>
      </c>
    </row>
    <row r="550" spans="1:10" x14ac:dyDescent="0.25">
      <c r="A550" s="7" t="s">
        <v>1454</v>
      </c>
      <c r="B550" s="6" t="s">
        <v>1455</v>
      </c>
      <c r="C550" s="7" t="s">
        <v>1022</v>
      </c>
      <c r="D550" s="6" t="s">
        <v>1023</v>
      </c>
      <c r="E550" s="6" t="s">
        <v>1024</v>
      </c>
      <c r="F550" s="6" t="s">
        <v>932</v>
      </c>
      <c r="G550" s="6" t="s">
        <v>1456</v>
      </c>
      <c r="H550" s="6">
        <v>2.2999999999999998</v>
      </c>
      <c r="I550" s="6" t="str">
        <f>_xlfn.CONCAT("Art. złączny do produktu ",Tabela10[[#This Row],[KOD_PRODUKTU]])</f>
        <v>Art. złączny do produktu 404S15</v>
      </c>
      <c r="J550" s="6" t="str">
        <f>_xlfn.CONCAT("VE-",Tabela10[[#This Row],[KOD_PRODUKTU]])</f>
        <v>VE-404S15</v>
      </c>
    </row>
    <row r="551" spans="1:10" x14ac:dyDescent="0.25">
      <c r="A551" s="1" t="s">
        <v>1454</v>
      </c>
      <c r="B551" t="s">
        <v>1455</v>
      </c>
      <c r="C551" s="1" t="s">
        <v>541</v>
      </c>
      <c r="D551" t="s">
        <v>542</v>
      </c>
      <c r="E551" t="s">
        <v>9</v>
      </c>
      <c r="F551" t="s">
        <v>10</v>
      </c>
      <c r="G551" t="s">
        <v>33</v>
      </c>
      <c r="H551">
        <v>9.1999999999999993</v>
      </c>
      <c r="I551" s="6" t="str">
        <f>_xlfn.CONCAT("Art. złączny do produktu ",Tabela10[[#This Row],[KOD_PRODUKTU]])</f>
        <v>Art. złączny do produktu 404S15</v>
      </c>
      <c r="J551" s="6" t="str">
        <f>_xlfn.CONCAT("VE-",Tabela10[[#This Row],[KOD_PRODUKTU]])</f>
        <v>VE-404S15</v>
      </c>
    </row>
    <row r="552" spans="1:10" x14ac:dyDescent="0.25">
      <c r="A552" s="7" t="s">
        <v>1457</v>
      </c>
      <c r="B552" s="6" t="s">
        <v>1458</v>
      </c>
      <c r="C552" s="7" t="s">
        <v>1022</v>
      </c>
      <c r="D552" s="6" t="s">
        <v>1023</v>
      </c>
      <c r="E552" s="6" t="s">
        <v>1024</v>
      </c>
      <c r="F552" s="6" t="s">
        <v>932</v>
      </c>
      <c r="G552" s="6" t="s">
        <v>1459</v>
      </c>
      <c r="H552" s="6">
        <v>2.1</v>
      </c>
      <c r="I552" s="6" t="str">
        <f>_xlfn.CONCAT("Art. złączny do produktu ",Tabela10[[#This Row],[KOD_PRODUKTU]])</f>
        <v>Art. złączny do produktu 404S16</v>
      </c>
      <c r="J552" s="6" t="str">
        <f>_xlfn.CONCAT("VE-",Tabela10[[#This Row],[KOD_PRODUKTU]])</f>
        <v>VE-404S16</v>
      </c>
    </row>
    <row r="553" spans="1:10" x14ac:dyDescent="0.25">
      <c r="A553" s="1" t="s">
        <v>1457</v>
      </c>
      <c r="B553" t="s">
        <v>1458</v>
      </c>
      <c r="C553" s="1" t="s">
        <v>541</v>
      </c>
      <c r="D553" t="s">
        <v>542</v>
      </c>
      <c r="E553" t="s">
        <v>9</v>
      </c>
      <c r="F553" t="s">
        <v>10</v>
      </c>
      <c r="G553" t="s">
        <v>33</v>
      </c>
      <c r="H553">
        <v>9.1999999999999993</v>
      </c>
      <c r="I553" s="6" t="str">
        <f>_xlfn.CONCAT("Art. złączny do produktu ",Tabela10[[#This Row],[KOD_PRODUKTU]])</f>
        <v>Art. złączny do produktu 404S16</v>
      </c>
      <c r="J553" s="6" t="str">
        <f>_xlfn.CONCAT("VE-",Tabela10[[#This Row],[KOD_PRODUKTU]])</f>
        <v>VE-404S16</v>
      </c>
    </row>
    <row r="554" spans="1:10" x14ac:dyDescent="0.25">
      <c r="A554" s="7" t="s">
        <v>1460</v>
      </c>
      <c r="B554" s="6" t="s">
        <v>1461</v>
      </c>
      <c r="C554" s="7" t="s">
        <v>1022</v>
      </c>
      <c r="D554" s="6" t="s">
        <v>1023</v>
      </c>
      <c r="E554" s="6" t="s">
        <v>1024</v>
      </c>
      <c r="F554" s="6" t="s">
        <v>932</v>
      </c>
      <c r="G554" s="6" t="s">
        <v>1462</v>
      </c>
      <c r="H554" s="6">
        <v>3.15</v>
      </c>
      <c r="I554" s="6" t="str">
        <f>_xlfn.CONCAT("Art. złączny do produktu ",Tabela10[[#This Row],[KOD_PRODUKTU]])</f>
        <v>Art. złączny do produktu 404S17</v>
      </c>
      <c r="J554" s="6" t="str">
        <f>_xlfn.CONCAT("VE-",Tabela10[[#This Row],[KOD_PRODUKTU]])</f>
        <v>VE-404S17</v>
      </c>
    </row>
    <row r="555" spans="1:10" x14ac:dyDescent="0.25">
      <c r="A555" s="1" t="s">
        <v>1460</v>
      </c>
      <c r="B555" t="s">
        <v>1461</v>
      </c>
      <c r="C555" s="1" t="s">
        <v>541</v>
      </c>
      <c r="D555" t="s">
        <v>542</v>
      </c>
      <c r="E555" t="s">
        <v>9</v>
      </c>
      <c r="F555" t="s">
        <v>10</v>
      </c>
      <c r="G555" t="s">
        <v>1463</v>
      </c>
      <c r="H555">
        <v>9.9499999999999993</v>
      </c>
      <c r="I555" s="6" t="str">
        <f>_xlfn.CONCAT("Art. złączny do produktu ",Tabela10[[#This Row],[KOD_PRODUKTU]])</f>
        <v>Art. złączny do produktu 404S17</v>
      </c>
      <c r="J555" s="6" t="str">
        <f>_xlfn.CONCAT("VE-",Tabela10[[#This Row],[KOD_PRODUKTU]])</f>
        <v>VE-404S17</v>
      </c>
    </row>
    <row r="556" spans="1:10" x14ac:dyDescent="0.25">
      <c r="A556" s="7" t="s">
        <v>1464</v>
      </c>
      <c r="B556" s="6" t="s">
        <v>1465</v>
      </c>
      <c r="C556" s="7" t="s">
        <v>1022</v>
      </c>
      <c r="D556" s="6" t="s">
        <v>1023</v>
      </c>
      <c r="E556" s="6" t="s">
        <v>1024</v>
      </c>
      <c r="F556" s="6" t="s">
        <v>932</v>
      </c>
      <c r="G556" s="6" t="s">
        <v>1466</v>
      </c>
      <c r="H556" s="6">
        <v>2.7</v>
      </c>
      <c r="I556" s="6" t="str">
        <f>_xlfn.CONCAT("Art. złączny do produktu ",Tabela10[[#This Row],[KOD_PRODUKTU]])</f>
        <v>Art. złączny do produktu 404S18</v>
      </c>
      <c r="J556" s="6" t="str">
        <f>_xlfn.CONCAT("VE-",Tabela10[[#This Row],[KOD_PRODUKTU]])</f>
        <v>VE-404S18</v>
      </c>
    </row>
    <row r="557" spans="1:10" x14ac:dyDescent="0.25">
      <c r="A557" s="1" t="s">
        <v>1464</v>
      </c>
      <c r="B557" t="s">
        <v>1465</v>
      </c>
      <c r="C557" s="1" t="s">
        <v>541</v>
      </c>
      <c r="D557" t="s">
        <v>542</v>
      </c>
      <c r="E557" t="s">
        <v>9</v>
      </c>
      <c r="F557" t="s">
        <v>10</v>
      </c>
      <c r="G557" t="s">
        <v>1463</v>
      </c>
      <c r="H557">
        <v>9.9499999999999993</v>
      </c>
      <c r="I557" s="6" t="str">
        <f>_xlfn.CONCAT("Art. złączny do produktu ",Tabela10[[#This Row],[KOD_PRODUKTU]])</f>
        <v>Art. złączny do produktu 404S18</v>
      </c>
      <c r="J557" s="6" t="str">
        <f>_xlfn.CONCAT("VE-",Tabela10[[#This Row],[KOD_PRODUKTU]])</f>
        <v>VE-404S18</v>
      </c>
    </row>
    <row r="558" spans="1:10" x14ac:dyDescent="0.25">
      <c r="A558" s="7" t="s">
        <v>1467</v>
      </c>
      <c r="B558" s="6" t="s">
        <v>1468</v>
      </c>
      <c r="C558" s="7" t="s">
        <v>2</v>
      </c>
      <c r="D558" s="6" t="s">
        <v>3</v>
      </c>
      <c r="E558" s="6" t="s">
        <v>4</v>
      </c>
      <c r="F558" s="6" t="s">
        <v>5</v>
      </c>
      <c r="G558" s="6" t="s">
        <v>6</v>
      </c>
      <c r="H558" s="6">
        <v>0.6</v>
      </c>
      <c r="I558" s="6" t="str">
        <f>_xlfn.CONCAT("Art. złączny do produktu ",Tabela10[[#This Row],[KOD_PRODUKTU]])</f>
        <v>Art. złączny do produktu 404S24</v>
      </c>
      <c r="J558" s="6" t="str">
        <f>_xlfn.CONCAT("VE-",Tabela10[[#This Row],[KOD_PRODUKTU]])</f>
        <v>VE-404S24</v>
      </c>
    </row>
    <row r="559" spans="1:10" x14ac:dyDescent="0.25">
      <c r="A559" s="1" t="s">
        <v>1467</v>
      </c>
      <c r="B559" t="s">
        <v>1468</v>
      </c>
      <c r="C559" s="1" t="s">
        <v>432</v>
      </c>
      <c r="D559" t="s">
        <v>433</v>
      </c>
      <c r="E559" t="s">
        <v>434</v>
      </c>
      <c r="F559" t="s">
        <v>435</v>
      </c>
      <c r="G559" t="s">
        <v>50</v>
      </c>
      <c r="H559">
        <v>1.1000000000000001</v>
      </c>
      <c r="I559" s="6" t="str">
        <f>_xlfn.CONCAT("Art. złączny do produktu ",Tabela10[[#This Row],[KOD_PRODUKTU]])</f>
        <v>Art. złączny do produktu 404S24</v>
      </c>
      <c r="J559" s="6" t="str">
        <f>_xlfn.CONCAT("VE-",Tabela10[[#This Row],[KOD_PRODUKTU]])</f>
        <v>VE-404S24</v>
      </c>
    </row>
    <row r="560" spans="1:10" x14ac:dyDescent="0.25">
      <c r="A560" s="7" t="s">
        <v>1467</v>
      </c>
      <c r="B560" s="6" t="s">
        <v>1468</v>
      </c>
      <c r="C560" s="7" t="s">
        <v>7</v>
      </c>
      <c r="D560" s="6" t="s">
        <v>8</v>
      </c>
      <c r="E560" s="6" t="s">
        <v>9</v>
      </c>
      <c r="F560" s="6" t="s">
        <v>10</v>
      </c>
      <c r="G560" s="6" t="s">
        <v>1469</v>
      </c>
      <c r="H560" s="6">
        <v>7.25</v>
      </c>
      <c r="I560" s="6" t="str">
        <f>_xlfn.CONCAT("Art. złączny do produktu ",Tabela10[[#This Row],[KOD_PRODUKTU]])</f>
        <v>Art. złączny do produktu 404S24</v>
      </c>
      <c r="J560" s="6" t="str">
        <f>_xlfn.CONCAT("VE-",Tabela10[[#This Row],[KOD_PRODUKTU]])</f>
        <v>VE-404S24</v>
      </c>
    </row>
    <row r="561" spans="1:10" x14ac:dyDescent="0.25">
      <c r="A561" s="1" t="s">
        <v>1470</v>
      </c>
      <c r="B561" t="s">
        <v>1471</v>
      </c>
      <c r="C561" s="1" t="s">
        <v>2</v>
      </c>
      <c r="D561" t="s">
        <v>3</v>
      </c>
      <c r="E561" t="s">
        <v>4</v>
      </c>
      <c r="F561" t="s">
        <v>5</v>
      </c>
      <c r="G561" t="s">
        <v>1472</v>
      </c>
      <c r="H561">
        <v>0.5</v>
      </c>
      <c r="I561" s="6" t="str">
        <f>_xlfn.CONCAT("Art. złączny do produktu ",Tabela10[[#This Row],[KOD_PRODUKTU]])</f>
        <v>Art. złączny do produktu 404S25</v>
      </c>
      <c r="J561" s="6" t="str">
        <f>_xlfn.CONCAT("VE-",Tabela10[[#This Row],[KOD_PRODUKTU]])</f>
        <v>VE-404S25</v>
      </c>
    </row>
    <row r="562" spans="1:10" x14ac:dyDescent="0.25">
      <c r="A562" s="7" t="s">
        <v>1470</v>
      </c>
      <c r="B562" s="6" t="s">
        <v>1471</v>
      </c>
      <c r="C562" s="7" t="s">
        <v>432</v>
      </c>
      <c r="D562" s="6" t="s">
        <v>433</v>
      </c>
      <c r="E562" s="6" t="s">
        <v>434</v>
      </c>
      <c r="F562" s="6" t="s">
        <v>435</v>
      </c>
      <c r="G562" s="6" t="s">
        <v>50</v>
      </c>
      <c r="H562" s="6">
        <v>1.1000000000000001</v>
      </c>
      <c r="I562" s="6" t="str">
        <f>_xlfn.CONCAT("Art. złączny do produktu ",Tabela10[[#This Row],[KOD_PRODUKTU]])</f>
        <v>Art. złączny do produktu 404S25</v>
      </c>
      <c r="J562" s="6" t="str">
        <f>_xlfn.CONCAT("VE-",Tabela10[[#This Row],[KOD_PRODUKTU]])</f>
        <v>VE-404S25</v>
      </c>
    </row>
    <row r="563" spans="1:10" x14ac:dyDescent="0.25">
      <c r="A563" s="1" t="s">
        <v>1470</v>
      </c>
      <c r="B563" t="s">
        <v>1471</v>
      </c>
      <c r="C563" s="1" t="s">
        <v>7</v>
      </c>
      <c r="D563" t="s">
        <v>8</v>
      </c>
      <c r="E563" t="s">
        <v>9</v>
      </c>
      <c r="F563" t="s">
        <v>10</v>
      </c>
      <c r="G563" t="s">
        <v>1473</v>
      </c>
      <c r="H563">
        <v>7.25</v>
      </c>
      <c r="I563" s="6" t="str">
        <f>_xlfn.CONCAT("Art. złączny do produktu ",Tabela10[[#This Row],[KOD_PRODUKTU]])</f>
        <v>Art. złączny do produktu 404S25</v>
      </c>
      <c r="J563" s="6" t="str">
        <f>_xlfn.CONCAT("VE-",Tabela10[[#This Row],[KOD_PRODUKTU]])</f>
        <v>VE-404S25</v>
      </c>
    </row>
    <row r="564" spans="1:10" x14ac:dyDescent="0.25">
      <c r="A564" s="7" t="s">
        <v>1475</v>
      </c>
      <c r="B564" s="6" t="s">
        <v>1476</v>
      </c>
      <c r="C564" s="7" t="s">
        <v>1477</v>
      </c>
      <c r="D564" s="6" t="s">
        <v>1478</v>
      </c>
      <c r="E564" s="6" t="s">
        <v>1479</v>
      </c>
      <c r="F564" s="6" t="s">
        <v>5</v>
      </c>
      <c r="G564" s="6" t="s">
        <v>1480</v>
      </c>
      <c r="H564" s="6">
        <v>0.7</v>
      </c>
      <c r="I564" s="6" t="str">
        <f>_xlfn.CONCAT("Art. złączny do produktu ",Tabela10[[#This Row],[KOD_PRODUKTU]])</f>
        <v>Art. złączny do produktu 404S27</v>
      </c>
      <c r="J564" s="6" t="str">
        <f>_xlfn.CONCAT("VE-",Tabela10[[#This Row],[KOD_PRODUKTU]])</f>
        <v>VE-404S27</v>
      </c>
    </row>
    <row r="565" spans="1:10" x14ac:dyDescent="0.25">
      <c r="A565" s="1" t="s">
        <v>1475</v>
      </c>
      <c r="B565" t="s">
        <v>1476</v>
      </c>
      <c r="C565" s="1" t="s">
        <v>7</v>
      </c>
      <c r="D565" t="s">
        <v>8</v>
      </c>
      <c r="E565" t="s">
        <v>9</v>
      </c>
      <c r="F565" t="s">
        <v>10</v>
      </c>
      <c r="G565" t="s">
        <v>1481</v>
      </c>
      <c r="H565">
        <v>2.7</v>
      </c>
      <c r="I565" s="6" t="str">
        <f>_xlfn.CONCAT("Art. złączny do produktu ",Tabela10[[#This Row],[KOD_PRODUKTU]])</f>
        <v>Art. złączny do produktu 404S27</v>
      </c>
      <c r="J565" s="6" t="str">
        <f>_xlfn.CONCAT("VE-",Tabela10[[#This Row],[KOD_PRODUKTU]])</f>
        <v>VE-404S27</v>
      </c>
    </row>
    <row r="566" spans="1:10" x14ac:dyDescent="0.25">
      <c r="A566" s="7" t="s">
        <v>1482</v>
      </c>
      <c r="B566" s="6" t="s">
        <v>1483</v>
      </c>
      <c r="C566" s="7" t="s">
        <v>2</v>
      </c>
      <c r="D566" s="6" t="s">
        <v>3</v>
      </c>
      <c r="E566" s="6" t="s">
        <v>4</v>
      </c>
      <c r="F566" s="6" t="s">
        <v>5</v>
      </c>
      <c r="G566" s="6" t="s">
        <v>1484</v>
      </c>
      <c r="H566" s="6">
        <v>3.35</v>
      </c>
      <c r="I566" s="6" t="str">
        <f>_xlfn.CONCAT("Art. złączny do produktu ",Tabela10[[#This Row],[KOD_PRODUKTU]])</f>
        <v>Art. złączny do produktu 404S28</v>
      </c>
      <c r="J566" s="6" t="str">
        <f>_xlfn.CONCAT("VE-",Tabela10[[#This Row],[KOD_PRODUKTU]])</f>
        <v>VE-404S28</v>
      </c>
    </row>
    <row r="567" spans="1:10" x14ac:dyDescent="0.25">
      <c r="A567" s="1" t="s">
        <v>1482</v>
      </c>
      <c r="B567" t="s">
        <v>1483</v>
      </c>
      <c r="C567" s="1" t="s">
        <v>432</v>
      </c>
      <c r="D567" t="s">
        <v>433</v>
      </c>
      <c r="E567" t="s">
        <v>434</v>
      </c>
      <c r="F567" t="s">
        <v>435</v>
      </c>
      <c r="G567" t="s">
        <v>994</v>
      </c>
      <c r="H567">
        <v>1.5</v>
      </c>
      <c r="I567" s="6" t="str">
        <f>_xlfn.CONCAT("Art. złączny do produktu ",Tabela10[[#This Row],[KOD_PRODUKTU]])</f>
        <v>Art. złączny do produktu 404S28</v>
      </c>
      <c r="J567" s="6" t="str">
        <f>_xlfn.CONCAT("VE-",Tabela10[[#This Row],[KOD_PRODUKTU]])</f>
        <v>VE-404S28</v>
      </c>
    </row>
    <row r="568" spans="1:10" x14ac:dyDescent="0.25">
      <c r="A568" s="7" t="s">
        <v>1482</v>
      </c>
      <c r="B568" s="6" t="s">
        <v>1483</v>
      </c>
      <c r="C568" s="7" t="s">
        <v>7</v>
      </c>
      <c r="D568" s="6" t="s">
        <v>8</v>
      </c>
      <c r="E568" s="6" t="s">
        <v>9</v>
      </c>
      <c r="F568" s="6" t="s">
        <v>10</v>
      </c>
      <c r="G568" s="6" t="s">
        <v>1415</v>
      </c>
      <c r="H568" s="6">
        <v>9.6</v>
      </c>
      <c r="I568" s="6" t="str">
        <f>_xlfn.CONCAT("Art. złączny do produktu ",Tabela10[[#This Row],[KOD_PRODUKTU]])</f>
        <v>Art. złączny do produktu 404S28</v>
      </c>
      <c r="J568" s="6" t="str">
        <f>_xlfn.CONCAT("VE-",Tabela10[[#This Row],[KOD_PRODUKTU]])</f>
        <v>VE-404S28</v>
      </c>
    </row>
    <row r="569" spans="1:10" x14ac:dyDescent="0.25">
      <c r="A569" s="1" t="s">
        <v>1485</v>
      </c>
      <c r="B569" t="s">
        <v>1486</v>
      </c>
      <c r="C569" s="1" t="s">
        <v>1487</v>
      </c>
      <c r="D569" t="s">
        <v>1488</v>
      </c>
      <c r="E569" t="s">
        <v>31</v>
      </c>
      <c r="F569" t="s">
        <v>5</v>
      </c>
      <c r="G569" t="s">
        <v>594</v>
      </c>
      <c r="H569">
        <v>2.65</v>
      </c>
      <c r="I569" s="6" t="str">
        <f>_xlfn.CONCAT("Art. złączny do produktu ",Tabela10[[#This Row],[KOD_PRODUKTU]])</f>
        <v>Art. złączny do produktu 404S30</v>
      </c>
      <c r="J569" s="6" t="str">
        <f>_xlfn.CONCAT("VE-",Tabela10[[#This Row],[KOD_PRODUKTU]])</f>
        <v>VE-404S30</v>
      </c>
    </row>
    <row r="570" spans="1:10" x14ac:dyDescent="0.25">
      <c r="A570" s="7" t="s">
        <v>1485</v>
      </c>
      <c r="B570" s="6" t="s">
        <v>1486</v>
      </c>
      <c r="C570" s="7" t="s">
        <v>432</v>
      </c>
      <c r="D570" s="6" t="s">
        <v>433</v>
      </c>
      <c r="E570" s="6" t="s">
        <v>434</v>
      </c>
      <c r="F570" s="6" t="s">
        <v>435</v>
      </c>
      <c r="G570" s="6" t="s">
        <v>50</v>
      </c>
      <c r="H570" s="6">
        <v>1.1000000000000001</v>
      </c>
      <c r="I570" s="6" t="str">
        <f>_xlfn.CONCAT("Art. złączny do produktu ",Tabela10[[#This Row],[KOD_PRODUKTU]])</f>
        <v>Art. złączny do produktu 404S30</v>
      </c>
      <c r="J570" s="6" t="str">
        <f>_xlfn.CONCAT("VE-",Tabela10[[#This Row],[KOD_PRODUKTU]])</f>
        <v>VE-404S30</v>
      </c>
    </row>
    <row r="571" spans="1:10" x14ac:dyDescent="0.25">
      <c r="A571" s="1" t="s">
        <v>1485</v>
      </c>
      <c r="B571" t="s">
        <v>1486</v>
      </c>
      <c r="C571" s="1" t="s">
        <v>7</v>
      </c>
      <c r="D571" t="s">
        <v>8</v>
      </c>
      <c r="E571" t="s">
        <v>9</v>
      </c>
      <c r="F571" t="s">
        <v>10</v>
      </c>
      <c r="G571" t="s">
        <v>1451</v>
      </c>
      <c r="H571">
        <v>4.5</v>
      </c>
      <c r="I571" s="6" t="str">
        <f>_xlfn.CONCAT("Art. złączny do produktu ",Tabela10[[#This Row],[KOD_PRODUKTU]])</f>
        <v>Art. złączny do produktu 404S30</v>
      </c>
      <c r="J571" s="6" t="str">
        <f>_xlfn.CONCAT("VE-",Tabela10[[#This Row],[KOD_PRODUKTU]])</f>
        <v>VE-404S30</v>
      </c>
    </row>
    <row r="572" spans="1:10" x14ac:dyDescent="0.25">
      <c r="A572" s="7" t="s">
        <v>1489</v>
      </c>
      <c r="B572" s="6" t="s">
        <v>1490</v>
      </c>
      <c r="C572" s="7" t="s">
        <v>1487</v>
      </c>
      <c r="D572" s="6" t="s">
        <v>1488</v>
      </c>
      <c r="E572" s="6" t="s">
        <v>31</v>
      </c>
      <c r="F572" s="6" t="s">
        <v>5</v>
      </c>
      <c r="G572" s="6" t="s">
        <v>1491</v>
      </c>
      <c r="H572" s="6">
        <v>1.3</v>
      </c>
      <c r="I572" s="6" t="str">
        <f>_xlfn.CONCAT("Art. złączny do produktu ",Tabela10[[#This Row],[KOD_PRODUKTU]])</f>
        <v>Art. złączny do produktu 404S31</v>
      </c>
      <c r="J572" s="6" t="str">
        <f>_xlfn.CONCAT("VE-",Tabela10[[#This Row],[KOD_PRODUKTU]])</f>
        <v>VE-404S31</v>
      </c>
    </row>
    <row r="573" spans="1:10" x14ac:dyDescent="0.25">
      <c r="A573" s="1" t="s">
        <v>1489</v>
      </c>
      <c r="B573" t="s">
        <v>1490</v>
      </c>
      <c r="C573" s="1" t="s">
        <v>432</v>
      </c>
      <c r="D573" t="s">
        <v>433</v>
      </c>
      <c r="E573" t="s">
        <v>434</v>
      </c>
      <c r="F573" t="s">
        <v>435</v>
      </c>
      <c r="G573" t="s">
        <v>50</v>
      </c>
      <c r="H573">
        <v>1.1000000000000001</v>
      </c>
      <c r="I573" s="6" t="str">
        <f>_xlfn.CONCAT("Art. złączny do produktu ",Tabela10[[#This Row],[KOD_PRODUKTU]])</f>
        <v>Art. złączny do produktu 404S31</v>
      </c>
      <c r="J573" s="6" t="str">
        <f>_xlfn.CONCAT("VE-",Tabela10[[#This Row],[KOD_PRODUKTU]])</f>
        <v>VE-404S31</v>
      </c>
    </row>
    <row r="574" spans="1:10" x14ac:dyDescent="0.25">
      <c r="A574" s="7" t="s">
        <v>1489</v>
      </c>
      <c r="B574" s="6" t="s">
        <v>1490</v>
      </c>
      <c r="C574" s="7" t="s">
        <v>7</v>
      </c>
      <c r="D574" s="6" t="s">
        <v>8</v>
      </c>
      <c r="E574" s="6" t="s">
        <v>9</v>
      </c>
      <c r="F574" s="6" t="s">
        <v>10</v>
      </c>
      <c r="G574" s="6" t="s">
        <v>1492</v>
      </c>
      <c r="H574" s="6">
        <v>3.5</v>
      </c>
      <c r="I574" s="6" t="str">
        <f>_xlfn.CONCAT("Art. złączny do produktu ",Tabela10[[#This Row],[KOD_PRODUKTU]])</f>
        <v>Art. złączny do produktu 404S31</v>
      </c>
      <c r="J574" s="6" t="str">
        <f>_xlfn.CONCAT("VE-",Tabela10[[#This Row],[KOD_PRODUKTU]])</f>
        <v>VE-404S31</v>
      </c>
    </row>
    <row r="575" spans="1:10" x14ac:dyDescent="0.25">
      <c r="A575" s="1" t="s">
        <v>1493</v>
      </c>
      <c r="B575" t="s">
        <v>1494</v>
      </c>
      <c r="C575" s="1" t="s">
        <v>1495</v>
      </c>
      <c r="D575" t="s">
        <v>1496</v>
      </c>
      <c r="E575" t="s">
        <v>1017</v>
      </c>
      <c r="F575" t="s">
        <v>5</v>
      </c>
      <c r="G575" t="s">
        <v>1497</v>
      </c>
      <c r="H575">
        <v>14.35</v>
      </c>
      <c r="I575" s="6" t="str">
        <f>_xlfn.CONCAT("Art. złączny do produktu ",Tabela10[[#This Row],[KOD_PRODUKTU]])</f>
        <v>Art. złączny do produktu 404S32</v>
      </c>
      <c r="J575" s="6" t="str">
        <f>_xlfn.CONCAT("VE-",Tabela10[[#This Row],[KOD_PRODUKTU]])</f>
        <v>VE-404S32</v>
      </c>
    </row>
    <row r="576" spans="1:10" x14ac:dyDescent="0.25">
      <c r="A576" s="7" t="s">
        <v>1493</v>
      </c>
      <c r="B576" s="6" t="s">
        <v>1494</v>
      </c>
      <c r="C576" s="7" t="s">
        <v>7</v>
      </c>
      <c r="D576" s="6" t="s">
        <v>8</v>
      </c>
      <c r="E576" s="6" t="s">
        <v>9</v>
      </c>
      <c r="F576" s="6" t="s">
        <v>10</v>
      </c>
      <c r="G576" s="6" t="s">
        <v>1498</v>
      </c>
      <c r="H576" s="6">
        <v>12.05</v>
      </c>
      <c r="I576" s="6" t="str">
        <f>_xlfn.CONCAT("Art. złączny do produktu ",Tabela10[[#This Row],[KOD_PRODUKTU]])</f>
        <v>Art. złączny do produktu 404S32</v>
      </c>
      <c r="J576" s="6" t="str">
        <f>_xlfn.CONCAT("VE-",Tabela10[[#This Row],[KOD_PRODUKTU]])</f>
        <v>VE-404S32</v>
      </c>
    </row>
    <row r="577" spans="1:10" x14ac:dyDescent="0.25">
      <c r="A577" s="1" t="s">
        <v>1493</v>
      </c>
      <c r="B577" t="s">
        <v>1494</v>
      </c>
      <c r="C577" s="1" t="s">
        <v>7</v>
      </c>
      <c r="D577" t="s">
        <v>8</v>
      </c>
      <c r="E577" t="s">
        <v>9</v>
      </c>
      <c r="F577" t="s">
        <v>10</v>
      </c>
      <c r="G577" t="s">
        <v>1499</v>
      </c>
      <c r="H577">
        <v>33.6</v>
      </c>
      <c r="I577" s="6" t="str">
        <f>_xlfn.CONCAT("Art. złączny do produktu ",Tabela10[[#This Row],[KOD_PRODUKTU]])</f>
        <v>Art. złączny do produktu 404S32</v>
      </c>
      <c r="J577" s="6" t="str">
        <f>_xlfn.CONCAT("VE-",Tabela10[[#This Row],[KOD_PRODUKTU]])</f>
        <v>VE-404S32</v>
      </c>
    </row>
    <row r="578" spans="1:10" x14ac:dyDescent="0.25">
      <c r="A578" s="7" t="s">
        <v>1500</v>
      </c>
      <c r="B578" s="6" t="s">
        <v>1501</v>
      </c>
      <c r="C578" s="7" t="s">
        <v>1502</v>
      </c>
      <c r="D578" s="6" t="s">
        <v>1503</v>
      </c>
      <c r="E578" s="6" t="s">
        <v>1017</v>
      </c>
      <c r="F578" s="6" t="s">
        <v>5</v>
      </c>
      <c r="G578" s="6" t="s">
        <v>1504</v>
      </c>
      <c r="H578" s="6">
        <v>19.649999999999999</v>
      </c>
      <c r="I578" s="6" t="str">
        <f>_xlfn.CONCAT("Art. złączny do produktu ",Tabela10[[#This Row],[KOD_PRODUKTU]])</f>
        <v>Art. złączny do produktu 404S33</v>
      </c>
      <c r="J578" s="6" t="str">
        <f>_xlfn.CONCAT("VE-",Tabela10[[#This Row],[KOD_PRODUKTU]])</f>
        <v>VE-404S33</v>
      </c>
    </row>
    <row r="579" spans="1:10" x14ac:dyDescent="0.25">
      <c r="A579" s="1" t="s">
        <v>1500</v>
      </c>
      <c r="B579" t="s">
        <v>1501</v>
      </c>
      <c r="C579" s="1" t="s">
        <v>7</v>
      </c>
      <c r="D579" t="s">
        <v>8</v>
      </c>
      <c r="E579" t="s">
        <v>9</v>
      </c>
      <c r="F579" t="s">
        <v>10</v>
      </c>
      <c r="G579" t="s">
        <v>1499</v>
      </c>
      <c r="H579">
        <v>33.6</v>
      </c>
      <c r="I579" s="6" t="str">
        <f>_xlfn.CONCAT("Art. złączny do produktu ",Tabela10[[#This Row],[KOD_PRODUKTU]])</f>
        <v>Art. złączny do produktu 404S33</v>
      </c>
      <c r="J579" s="6" t="str">
        <f>_xlfn.CONCAT("VE-",Tabela10[[#This Row],[KOD_PRODUKTU]])</f>
        <v>VE-404S33</v>
      </c>
    </row>
    <row r="580" spans="1:10" x14ac:dyDescent="0.25">
      <c r="A580" s="7" t="s">
        <v>1500</v>
      </c>
      <c r="B580" s="6" t="s">
        <v>1501</v>
      </c>
      <c r="C580" s="7" t="s">
        <v>7</v>
      </c>
      <c r="D580" s="6" t="s">
        <v>8</v>
      </c>
      <c r="E580" s="6" t="s">
        <v>9</v>
      </c>
      <c r="F580" s="6" t="s">
        <v>10</v>
      </c>
      <c r="G580" s="6" t="s">
        <v>1505</v>
      </c>
      <c r="H580" s="6">
        <v>11.95</v>
      </c>
      <c r="I580" s="6" t="str">
        <f>_xlfn.CONCAT("Art. złączny do produktu ",Tabela10[[#This Row],[KOD_PRODUKTU]])</f>
        <v>Art. złączny do produktu 404S33</v>
      </c>
      <c r="J580" s="6" t="str">
        <f>_xlfn.CONCAT("VE-",Tabela10[[#This Row],[KOD_PRODUKTU]])</f>
        <v>VE-404S33</v>
      </c>
    </row>
    <row r="581" spans="1:10" x14ac:dyDescent="0.25">
      <c r="A581" s="1" t="s">
        <v>1506</v>
      </c>
      <c r="B581" t="s">
        <v>1507</v>
      </c>
      <c r="C581" s="1" t="s">
        <v>1508</v>
      </c>
      <c r="D581" t="s">
        <v>1509</v>
      </c>
      <c r="E581" t="s">
        <v>1017</v>
      </c>
      <c r="F581" t="s">
        <v>5</v>
      </c>
      <c r="G581" t="s">
        <v>1510</v>
      </c>
      <c r="H581">
        <v>25.11</v>
      </c>
      <c r="I581" s="6" t="str">
        <f>_xlfn.CONCAT("Art. złączny do produktu ",Tabela10[[#This Row],[KOD_PRODUKTU]])</f>
        <v>Art. złączny do produktu 404S34</v>
      </c>
      <c r="J581" s="6" t="str">
        <f>_xlfn.CONCAT("VE-",Tabela10[[#This Row],[KOD_PRODUKTU]])</f>
        <v>VE-404S34</v>
      </c>
    </row>
    <row r="582" spans="1:10" x14ac:dyDescent="0.25">
      <c r="A582" s="7" t="s">
        <v>1506</v>
      </c>
      <c r="B582" s="6" t="s">
        <v>1507</v>
      </c>
      <c r="C582" s="7" t="s">
        <v>7</v>
      </c>
      <c r="D582" s="6" t="s">
        <v>8</v>
      </c>
      <c r="E582" s="6" t="s">
        <v>9</v>
      </c>
      <c r="F582" s="6" t="s">
        <v>10</v>
      </c>
      <c r="G582" s="6" t="s">
        <v>1511</v>
      </c>
      <c r="H582" s="6">
        <v>33.81</v>
      </c>
      <c r="I582" s="6" t="str">
        <f>_xlfn.CONCAT("Art. złączny do produktu ",Tabela10[[#This Row],[KOD_PRODUKTU]])</f>
        <v>Art. złączny do produktu 404S34</v>
      </c>
      <c r="J582" s="6" t="str">
        <f>_xlfn.CONCAT("VE-",Tabela10[[#This Row],[KOD_PRODUKTU]])</f>
        <v>VE-404S34</v>
      </c>
    </row>
    <row r="583" spans="1:10" x14ac:dyDescent="0.25">
      <c r="A583" s="1" t="s">
        <v>1506</v>
      </c>
      <c r="B583" t="s">
        <v>1507</v>
      </c>
      <c r="C583" s="1" t="s">
        <v>7</v>
      </c>
      <c r="D583" t="s">
        <v>8</v>
      </c>
      <c r="E583" t="s">
        <v>9</v>
      </c>
      <c r="F583" t="s">
        <v>10</v>
      </c>
      <c r="G583" t="s">
        <v>1512</v>
      </c>
      <c r="H583">
        <v>12</v>
      </c>
      <c r="I583" s="6" t="str">
        <f>_xlfn.CONCAT("Art. złączny do produktu ",Tabela10[[#This Row],[KOD_PRODUKTU]])</f>
        <v>Art. złączny do produktu 404S34</v>
      </c>
      <c r="J583" s="6" t="str">
        <f>_xlfn.CONCAT("VE-",Tabela10[[#This Row],[KOD_PRODUKTU]])</f>
        <v>VE-404S34</v>
      </c>
    </row>
    <row r="584" spans="1:10" x14ac:dyDescent="0.25">
      <c r="A584" s="7" t="s">
        <v>1513</v>
      </c>
      <c r="B584" s="6" t="s">
        <v>1514</v>
      </c>
      <c r="C584" s="7" t="s">
        <v>1117</v>
      </c>
      <c r="D584" s="6" t="s">
        <v>1118</v>
      </c>
      <c r="E584" s="6" t="s">
        <v>876</v>
      </c>
      <c r="F584" s="6" t="s">
        <v>5</v>
      </c>
      <c r="G584" s="6" t="s">
        <v>1349</v>
      </c>
      <c r="H584" s="6">
        <v>0.9</v>
      </c>
      <c r="I584" s="6" t="str">
        <f>_xlfn.CONCAT("Art. złączny do produktu ",Tabela10[[#This Row],[KOD_PRODUKTU]])</f>
        <v>Art. złączny do produktu 404Ś20</v>
      </c>
      <c r="J584" s="6" t="str">
        <f>_xlfn.CONCAT("VE-",Tabela10[[#This Row],[KOD_PRODUKTU]])</f>
        <v>VE-404Ś20</v>
      </c>
    </row>
    <row r="585" spans="1:10" x14ac:dyDescent="0.25">
      <c r="A585" s="1" t="s">
        <v>1513</v>
      </c>
      <c r="B585" t="s">
        <v>1514</v>
      </c>
      <c r="C585" s="1" t="s">
        <v>432</v>
      </c>
      <c r="D585" t="s">
        <v>433</v>
      </c>
      <c r="E585" t="s">
        <v>434</v>
      </c>
      <c r="F585" t="s">
        <v>435</v>
      </c>
      <c r="G585" t="s">
        <v>1515</v>
      </c>
      <c r="H585">
        <v>1.4</v>
      </c>
      <c r="I585" s="6" t="str">
        <f>_xlfn.CONCAT("Art. złączny do produktu ",Tabela10[[#This Row],[KOD_PRODUKTU]])</f>
        <v>Art. złączny do produktu 404Ś20</v>
      </c>
      <c r="J585" s="6" t="str">
        <f>_xlfn.CONCAT("VE-",Tabela10[[#This Row],[KOD_PRODUKTU]])</f>
        <v>VE-404Ś20</v>
      </c>
    </row>
    <row r="586" spans="1:10" x14ac:dyDescent="0.25">
      <c r="A586" s="7" t="s">
        <v>1513</v>
      </c>
      <c r="B586" s="6" t="s">
        <v>1514</v>
      </c>
      <c r="C586" s="7" t="s">
        <v>7</v>
      </c>
      <c r="D586" s="6" t="s">
        <v>8</v>
      </c>
      <c r="E586" s="6" t="s">
        <v>9</v>
      </c>
      <c r="F586" s="6" t="s">
        <v>10</v>
      </c>
      <c r="G586" s="6" t="s">
        <v>1516</v>
      </c>
      <c r="H586" s="6">
        <v>4.3899999999999997</v>
      </c>
      <c r="I586" s="6" t="str">
        <f>_xlfn.CONCAT("Art. złączny do produktu ",Tabela10[[#This Row],[KOD_PRODUKTU]])</f>
        <v>Art. złączny do produktu 404Ś20</v>
      </c>
      <c r="J586" s="6" t="str">
        <f>_xlfn.CONCAT("VE-",Tabela10[[#This Row],[KOD_PRODUKTU]])</f>
        <v>VE-404Ś20</v>
      </c>
    </row>
    <row r="587" spans="1:10" x14ac:dyDescent="0.25">
      <c r="A587" s="1" t="s">
        <v>1517</v>
      </c>
      <c r="B587" t="s">
        <v>1518</v>
      </c>
      <c r="C587" s="1" t="s">
        <v>1519</v>
      </c>
      <c r="D587" t="s">
        <v>1520</v>
      </c>
      <c r="E587" t="s">
        <v>1521</v>
      </c>
      <c r="F587" t="s">
        <v>5</v>
      </c>
      <c r="G587" t="s">
        <v>1522</v>
      </c>
      <c r="H587">
        <v>0.32</v>
      </c>
      <c r="I587" s="6" t="str">
        <f>_xlfn.CONCAT("Art. złączny do produktu ",Tabela10[[#This Row],[KOD_PRODUKTU]])</f>
        <v>Art. złączny do produktu 404T01</v>
      </c>
      <c r="J587" s="6" t="str">
        <f>_xlfn.CONCAT("VE-",Tabela10[[#This Row],[KOD_PRODUKTU]])</f>
        <v>VE-404T01</v>
      </c>
    </row>
    <row r="588" spans="1:10" x14ac:dyDescent="0.25">
      <c r="A588" s="7" t="s">
        <v>1517</v>
      </c>
      <c r="B588" s="6" t="s">
        <v>1518</v>
      </c>
      <c r="C588" s="7" t="s">
        <v>1523</v>
      </c>
      <c r="D588" s="6" t="s">
        <v>1524</v>
      </c>
      <c r="E588" s="6" t="s">
        <v>1525</v>
      </c>
      <c r="F588" s="6" t="s">
        <v>49</v>
      </c>
      <c r="G588" s="6" t="s">
        <v>50</v>
      </c>
      <c r="H588" s="6">
        <v>9.17</v>
      </c>
      <c r="I588" s="6" t="str">
        <f>_xlfn.CONCAT("Art. złączny do produktu ",Tabela10[[#This Row],[KOD_PRODUKTU]])</f>
        <v>Art. złączny do produktu 404T01</v>
      </c>
      <c r="J588" s="6" t="str">
        <f>_xlfn.CONCAT("VE-",Tabela10[[#This Row],[KOD_PRODUKTU]])</f>
        <v>VE-404T01</v>
      </c>
    </row>
    <row r="589" spans="1:10" x14ac:dyDescent="0.25">
      <c r="A589" s="1" t="s">
        <v>1517</v>
      </c>
      <c r="B589" t="s">
        <v>1518</v>
      </c>
      <c r="C589" s="1" t="s">
        <v>1526</v>
      </c>
      <c r="D589" t="s">
        <v>1527</v>
      </c>
      <c r="E589" t="s">
        <v>1528</v>
      </c>
      <c r="F589" t="s">
        <v>121</v>
      </c>
      <c r="G589" t="s">
        <v>50</v>
      </c>
      <c r="H589">
        <v>0.53</v>
      </c>
      <c r="I589" s="6" t="str">
        <f>_xlfn.CONCAT("Art. złączny do produktu ",Tabela10[[#This Row],[KOD_PRODUKTU]])</f>
        <v>Art. złączny do produktu 404T01</v>
      </c>
      <c r="J589" s="6" t="str">
        <f>_xlfn.CONCAT("VE-",Tabela10[[#This Row],[KOD_PRODUKTU]])</f>
        <v>VE-404T01</v>
      </c>
    </row>
    <row r="590" spans="1:10" x14ac:dyDescent="0.25">
      <c r="A590" s="7" t="s">
        <v>1517</v>
      </c>
      <c r="B590" s="6" t="s">
        <v>1518</v>
      </c>
      <c r="C590" s="7" t="s">
        <v>1529</v>
      </c>
      <c r="D590" s="6" t="s">
        <v>1530</v>
      </c>
      <c r="E590" s="6" t="s">
        <v>1531</v>
      </c>
      <c r="F590" s="6" t="s">
        <v>121</v>
      </c>
      <c r="G590" s="6" t="s">
        <v>50</v>
      </c>
      <c r="H590" s="6">
        <v>16.010000000000002</v>
      </c>
      <c r="I590" s="6" t="str">
        <f>_xlfn.CONCAT("Art. złączny do produktu ",Tabela10[[#This Row],[KOD_PRODUKTU]])</f>
        <v>Art. złączny do produktu 404T01</v>
      </c>
      <c r="J590" s="6" t="str">
        <f>_xlfn.CONCAT("VE-",Tabela10[[#This Row],[KOD_PRODUKTU]])</f>
        <v>VE-404T01</v>
      </c>
    </row>
    <row r="591" spans="1:10" x14ac:dyDescent="0.25">
      <c r="A591" s="1" t="s">
        <v>1517</v>
      </c>
      <c r="B591" t="s">
        <v>1518</v>
      </c>
      <c r="C591" s="1" t="s">
        <v>1532</v>
      </c>
      <c r="D591" t="s">
        <v>1533</v>
      </c>
      <c r="E591" t="s">
        <v>1534</v>
      </c>
      <c r="F591" t="s">
        <v>49</v>
      </c>
      <c r="G591" t="s">
        <v>50</v>
      </c>
      <c r="H591">
        <v>12.82</v>
      </c>
      <c r="I591" s="6" t="str">
        <f>_xlfn.CONCAT("Art. złączny do produktu ",Tabela10[[#This Row],[KOD_PRODUKTU]])</f>
        <v>Art. złączny do produktu 404T01</v>
      </c>
      <c r="J591" s="6" t="str">
        <f>_xlfn.CONCAT("VE-",Tabela10[[#This Row],[KOD_PRODUKTU]])</f>
        <v>VE-404T01</v>
      </c>
    </row>
    <row r="592" spans="1:10" x14ac:dyDescent="0.25">
      <c r="A592" s="7" t="s">
        <v>1517</v>
      </c>
      <c r="B592" s="6" t="s">
        <v>1518</v>
      </c>
      <c r="C592" s="7" t="s">
        <v>541</v>
      </c>
      <c r="D592" s="6" t="s">
        <v>542</v>
      </c>
      <c r="E592" s="6" t="s">
        <v>9</v>
      </c>
      <c r="F592" s="6" t="s">
        <v>10</v>
      </c>
      <c r="G592" s="6" t="s">
        <v>1535</v>
      </c>
      <c r="H592" s="6">
        <v>13.15</v>
      </c>
      <c r="I592" s="6" t="str">
        <f>_xlfn.CONCAT("Art. złączny do produktu ",Tabela10[[#This Row],[KOD_PRODUKTU]])</f>
        <v>Art. złączny do produktu 404T01</v>
      </c>
      <c r="J592" s="6" t="str">
        <f>_xlfn.CONCAT("VE-",Tabela10[[#This Row],[KOD_PRODUKTU]])</f>
        <v>VE-404T01</v>
      </c>
    </row>
    <row r="593" spans="1:10" x14ac:dyDescent="0.25">
      <c r="A593" s="1" t="s">
        <v>1536</v>
      </c>
      <c r="B593" t="s">
        <v>1537</v>
      </c>
      <c r="C593" s="1" t="s">
        <v>1538</v>
      </c>
      <c r="D593" t="s">
        <v>1539</v>
      </c>
      <c r="E593" t="s">
        <v>501</v>
      </c>
      <c r="F593" t="s">
        <v>5</v>
      </c>
      <c r="G593" t="s">
        <v>1540</v>
      </c>
      <c r="H593">
        <v>0.3</v>
      </c>
      <c r="I593" s="6" t="str">
        <f>_xlfn.CONCAT("Art. złączny do produktu ",Tabela10[[#This Row],[KOD_PRODUKTU]])</f>
        <v>Art. złączny do produktu 404T02</v>
      </c>
      <c r="J593" s="6" t="str">
        <f>_xlfn.CONCAT("VE-",Tabela10[[#This Row],[KOD_PRODUKTU]])</f>
        <v>VE-404T02</v>
      </c>
    </row>
    <row r="594" spans="1:10" x14ac:dyDescent="0.25">
      <c r="A594" s="7" t="s">
        <v>1536</v>
      </c>
      <c r="B594" s="6" t="s">
        <v>1537</v>
      </c>
      <c r="C594" s="7" t="s">
        <v>7</v>
      </c>
      <c r="D594" s="6" t="s">
        <v>8</v>
      </c>
      <c r="E594" s="6" t="s">
        <v>9</v>
      </c>
      <c r="F594" s="6" t="s">
        <v>10</v>
      </c>
      <c r="G594" s="6" t="s">
        <v>33</v>
      </c>
      <c r="H594" s="6">
        <v>9.1999999999999993</v>
      </c>
      <c r="I594" s="6" t="str">
        <f>_xlfn.CONCAT("Art. złączny do produktu ",Tabela10[[#This Row],[KOD_PRODUKTU]])</f>
        <v>Art. złączny do produktu 404T02</v>
      </c>
      <c r="J594" s="6" t="str">
        <f>_xlfn.CONCAT("VE-",Tabela10[[#This Row],[KOD_PRODUKTU]])</f>
        <v>VE-404T02</v>
      </c>
    </row>
    <row r="595" spans="1:10" x14ac:dyDescent="0.25">
      <c r="A595" s="1" t="s">
        <v>1541</v>
      </c>
      <c r="B595" t="s">
        <v>1542</v>
      </c>
      <c r="C595" s="1" t="s">
        <v>1207</v>
      </c>
      <c r="D595" t="s">
        <v>1208</v>
      </c>
      <c r="E595" t="s">
        <v>1017</v>
      </c>
      <c r="F595" t="s">
        <v>5</v>
      </c>
      <c r="G595" t="s">
        <v>1543</v>
      </c>
      <c r="H595">
        <v>0.1</v>
      </c>
      <c r="I595" s="6" t="str">
        <f>_xlfn.CONCAT("Art. złączny do produktu ",Tabela10[[#This Row],[KOD_PRODUKTU]])</f>
        <v>Art. złączny do produktu 404T03</v>
      </c>
      <c r="J595" s="6" t="str">
        <f>_xlfn.CONCAT("VE-",Tabela10[[#This Row],[KOD_PRODUKTU]])</f>
        <v>VE-404T03</v>
      </c>
    </row>
    <row r="596" spans="1:10" x14ac:dyDescent="0.25">
      <c r="A596" s="7" t="s">
        <v>1541</v>
      </c>
      <c r="B596" s="6" t="s">
        <v>1542</v>
      </c>
      <c r="C596" s="7" t="s">
        <v>7</v>
      </c>
      <c r="D596" s="6" t="s">
        <v>8</v>
      </c>
      <c r="E596" s="6" t="s">
        <v>9</v>
      </c>
      <c r="F596" s="6" t="s">
        <v>10</v>
      </c>
      <c r="G596" s="6" t="s">
        <v>1544</v>
      </c>
      <c r="H596" s="6">
        <v>1.05</v>
      </c>
      <c r="I596" s="6" t="str">
        <f>_xlfn.CONCAT("Art. złączny do produktu ",Tabela10[[#This Row],[KOD_PRODUKTU]])</f>
        <v>Art. złączny do produktu 404T03</v>
      </c>
      <c r="J596" s="6" t="str">
        <f>_xlfn.CONCAT("VE-",Tabela10[[#This Row],[KOD_PRODUKTU]])</f>
        <v>VE-404T03</v>
      </c>
    </row>
    <row r="597" spans="1:10" x14ac:dyDescent="0.25">
      <c r="A597" s="1" t="s">
        <v>1545</v>
      </c>
      <c r="B597" t="s">
        <v>1546</v>
      </c>
      <c r="C597" s="1" t="s">
        <v>1547</v>
      </c>
      <c r="D597" t="s">
        <v>1548</v>
      </c>
      <c r="E597" t="s">
        <v>403</v>
      </c>
      <c r="F597" t="s">
        <v>5</v>
      </c>
      <c r="G597" t="s">
        <v>1549</v>
      </c>
      <c r="H597">
        <v>2.19</v>
      </c>
      <c r="I597" s="6" t="str">
        <f>_xlfn.CONCAT("Art. złączny do produktu ",Tabela10[[#This Row],[KOD_PRODUKTU]])</f>
        <v>Art. złączny do produktu 404T04</v>
      </c>
      <c r="J597" s="6" t="str">
        <f>_xlfn.CONCAT("VE-",Tabela10[[#This Row],[KOD_PRODUKTU]])</f>
        <v>VE-404T04</v>
      </c>
    </row>
    <row r="598" spans="1:10" x14ac:dyDescent="0.25">
      <c r="A598" s="7" t="s">
        <v>1545</v>
      </c>
      <c r="B598" s="6" t="s">
        <v>1546</v>
      </c>
      <c r="C598" s="7" t="s">
        <v>7</v>
      </c>
      <c r="D598" s="6" t="s">
        <v>8</v>
      </c>
      <c r="E598" s="6" t="s">
        <v>9</v>
      </c>
      <c r="F598" s="6" t="s">
        <v>10</v>
      </c>
      <c r="G598" s="6" t="s">
        <v>1550</v>
      </c>
      <c r="H598" s="6">
        <v>18.86</v>
      </c>
      <c r="I598" s="6" t="str">
        <f>_xlfn.CONCAT("Art. złączny do produktu ",Tabela10[[#This Row],[KOD_PRODUKTU]])</f>
        <v>Art. złączny do produktu 404T04</v>
      </c>
      <c r="J598" s="6" t="str">
        <f>_xlfn.CONCAT("VE-",Tabela10[[#This Row],[KOD_PRODUKTU]])</f>
        <v>VE-404T04</v>
      </c>
    </row>
    <row r="599" spans="1:10" x14ac:dyDescent="0.25">
      <c r="A599" s="1" t="s">
        <v>1551</v>
      </c>
      <c r="B599" t="s">
        <v>1552</v>
      </c>
      <c r="C599" s="1" t="s">
        <v>1553</v>
      </c>
      <c r="D599" t="s">
        <v>1554</v>
      </c>
      <c r="E599" t="s">
        <v>70</v>
      </c>
      <c r="F599" t="s">
        <v>5</v>
      </c>
      <c r="G599" t="s">
        <v>1555</v>
      </c>
      <c r="H599">
        <v>46.2</v>
      </c>
      <c r="I599" s="6" t="str">
        <f>_xlfn.CONCAT("Art. złączny do produktu ",Tabela10[[#This Row],[KOD_PRODUKTU]])</f>
        <v>Art. złączny do produktu 404T05</v>
      </c>
      <c r="J599" s="6" t="str">
        <f>_xlfn.CONCAT("VE-",Tabela10[[#This Row],[KOD_PRODUKTU]])</f>
        <v>VE-404T05</v>
      </c>
    </row>
    <row r="600" spans="1:10" x14ac:dyDescent="0.25">
      <c r="A600" s="7" t="s">
        <v>1551</v>
      </c>
      <c r="B600" s="6" t="s">
        <v>1552</v>
      </c>
      <c r="C600" s="7" t="s">
        <v>7</v>
      </c>
      <c r="D600" s="6" t="s">
        <v>8</v>
      </c>
      <c r="E600" s="6" t="s">
        <v>9</v>
      </c>
      <c r="F600" s="6" t="s">
        <v>10</v>
      </c>
      <c r="G600" s="6" t="s">
        <v>860</v>
      </c>
      <c r="H600" s="6">
        <v>23</v>
      </c>
      <c r="I600" s="6" t="str">
        <f>_xlfn.CONCAT("Art. złączny do produktu ",Tabela10[[#This Row],[KOD_PRODUKTU]])</f>
        <v>Art. złączny do produktu 404T05</v>
      </c>
      <c r="J600" s="6" t="str">
        <f>_xlfn.CONCAT("VE-",Tabela10[[#This Row],[KOD_PRODUKTU]])</f>
        <v>VE-404T05</v>
      </c>
    </row>
    <row r="601" spans="1:10" x14ac:dyDescent="0.25">
      <c r="A601" s="1" t="s">
        <v>1556</v>
      </c>
      <c r="B601" t="s">
        <v>1557</v>
      </c>
      <c r="C601" s="1" t="s">
        <v>1022</v>
      </c>
      <c r="D601" t="s">
        <v>1023</v>
      </c>
      <c r="E601" t="s">
        <v>1024</v>
      </c>
      <c r="F601" t="s">
        <v>932</v>
      </c>
      <c r="G601" t="s">
        <v>1558</v>
      </c>
      <c r="H601">
        <v>26.6</v>
      </c>
      <c r="I601" s="6" t="str">
        <f>_xlfn.CONCAT("Art. złączny do produktu ",Tabela10[[#This Row],[KOD_PRODUKTU]])</f>
        <v>Art. złączny do produktu 404T06</v>
      </c>
      <c r="J601" s="6" t="str">
        <f>_xlfn.CONCAT("VE-",Tabela10[[#This Row],[KOD_PRODUKTU]])</f>
        <v>VE-404T06</v>
      </c>
    </row>
    <row r="602" spans="1:10" x14ac:dyDescent="0.25">
      <c r="A602" s="7" t="s">
        <v>1556</v>
      </c>
      <c r="B602" s="6" t="s">
        <v>1557</v>
      </c>
      <c r="C602" s="7" t="s">
        <v>7</v>
      </c>
      <c r="D602" s="6" t="s">
        <v>8</v>
      </c>
      <c r="E602" s="6" t="s">
        <v>9</v>
      </c>
      <c r="F602" s="6" t="s">
        <v>10</v>
      </c>
      <c r="G602" s="6" t="s">
        <v>1559</v>
      </c>
      <c r="H602" s="6">
        <v>32.9</v>
      </c>
      <c r="I602" s="6" t="str">
        <f>_xlfn.CONCAT("Art. złączny do produktu ",Tabela10[[#This Row],[KOD_PRODUKTU]])</f>
        <v>Art. złączny do produktu 404T06</v>
      </c>
      <c r="J602" s="6" t="str">
        <f>_xlfn.CONCAT("VE-",Tabela10[[#This Row],[KOD_PRODUKTU]])</f>
        <v>VE-404T06</v>
      </c>
    </row>
    <row r="603" spans="1:10" x14ac:dyDescent="0.25">
      <c r="A603" s="1" t="s">
        <v>1560</v>
      </c>
      <c r="B603" t="s">
        <v>1561</v>
      </c>
      <c r="C603" s="1" t="s">
        <v>1022</v>
      </c>
      <c r="D603" t="s">
        <v>1023</v>
      </c>
      <c r="E603" t="s">
        <v>1024</v>
      </c>
      <c r="F603" t="s">
        <v>932</v>
      </c>
      <c r="G603" t="s">
        <v>1562</v>
      </c>
      <c r="H603">
        <v>24.7</v>
      </c>
      <c r="I603" s="6" t="str">
        <f>_xlfn.CONCAT("Art. złączny do produktu ",Tabela10[[#This Row],[KOD_PRODUKTU]])</f>
        <v>Art. złączny do produktu 404T07</v>
      </c>
      <c r="J603" s="6" t="str">
        <f>_xlfn.CONCAT("VE-",Tabela10[[#This Row],[KOD_PRODUKTU]])</f>
        <v>VE-404T07</v>
      </c>
    </row>
    <row r="604" spans="1:10" x14ac:dyDescent="0.25">
      <c r="A604" s="7" t="s">
        <v>1560</v>
      </c>
      <c r="B604" s="6" t="s">
        <v>1561</v>
      </c>
      <c r="C604" s="7" t="s">
        <v>7</v>
      </c>
      <c r="D604" s="6" t="s">
        <v>8</v>
      </c>
      <c r="E604" s="6" t="s">
        <v>9</v>
      </c>
      <c r="F604" s="6" t="s">
        <v>10</v>
      </c>
      <c r="G604" s="6" t="s">
        <v>1563</v>
      </c>
      <c r="H604" s="6">
        <v>43.7</v>
      </c>
      <c r="I604" s="6" t="str">
        <f>_xlfn.CONCAT("Art. złączny do produktu ",Tabela10[[#This Row],[KOD_PRODUKTU]])</f>
        <v>Art. złączny do produktu 404T07</v>
      </c>
      <c r="J604" s="6" t="str">
        <f>_xlfn.CONCAT("VE-",Tabela10[[#This Row],[KOD_PRODUKTU]])</f>
        <v>VE-404T07</v>
      </c>
    </row>
    <row r="605" spans="1:10" x14ac:dyDescent="0.25">
      <c r="A605" s="1" t="s">
        <v>1564</v>
      </c>
      <c r="B605" t="s">
        <v>1565</v>
      </c>
      <c r="C605" s="1" t="s">
        <v>1022</v>
      </c>
      <c r="D605" t="s">
        <v>1023</v>
      </c>
      <c r="E605" t="s">
        <v>1024</v>
      </c>
      <c r="F605" t="s">
        <v>932</v>
      </c>
      <c r="G605" t="s">
        <v>1566</v>
      </c>
      <c r="H605">
        <v>28.9</v>
      </c>
      <c r="I605" s="6" t="str">
        <f>_xlfn.CONCAT("Art. złączny do produktu ",Tabela10[[#This Row],[KOD_PRODUKTU]])</f>
        <v>Art. złączny do produktu 404T08</v>
      </c>
      <c r="J605" s="6" t="str">
        <f>_xlfn.CONCAT("VE-",Tabela10[[#This Row],[KOD_PRODUKTU]])</f>
        <v>VE-404T08</v>
      </c>
    </row>
    <row r="606" spans="1:10" x14ac:dyDescent="0.25">
      <c r="A606" s="7" t="s">
        <v>1564</v>
      </c>
      <c r="B606" s="6" t="s">
        <v>1565</v>
      </c>
      <c r="C606" s="7" t="s">
        <v>7</v>
      </c>
      <c r="D606" s="6" t="s">
        <v>8</v>
      </c>
      <c r="E606" s="6" t="s">
        <v>9</v>
      </c>
      <c r="F606" s="6" t="s">
        <v>10</v>
      </c>
      <c r="G606" s="6" t="s">
        <v>1567</v>
      </c>
      <c r="H606" s="6">
        <v>46.1</v>
      </c>
      <c r="I606" s="6" t="str">
        <f>_xlfn.CONCAT("Art. złączny do produktu ",Tabela10[[#This Row],[KOD_PRODUKTU]])</f>
        <v>Art. złączny do produktu 404T08</v>
      </c>
      <c r="J606" s="6" t="str">
        <f>_xlfn.CONCAT("VE-",Tabela10[[#This Row],[KOD_PRODUKTU]])</f>
        <v>VE-404T08</v>
      </c>
    </row>
    <row r="607" spans="1:10" x14ac:dyDescent="0.25">
      <c r="A607" s="1" t="s">
        <v>1568</v>
      </c>
      <c r="B607" t="s">
        <v>1569</v>
      </c>
      <c r="C607" s="1" t="s">
        <v>1022</v>
      </c>
      <c r="D607" t="s">
        <v>1023</v>
      </c>
      <c r="E607" t="s">
        <v>1024</v>
      </c>
      <c r="F607" t="s">
        <v>932</v>
      </c>
      <c r="G607" t="s">
        <v>1570</v>
      </c>
      <c r="H607">
        <v>32.200000000000003</v>
      </c>
      <c r="I607" s="6" t="str">
        <f>_xlfn.CONCAT("Art. złączny do produktu ",Tabela10[[#This Row],[KOD_PRODUKTU]])</f>
        <v>Art. złączny do produktu 404T09</v>
      </c>
      <c r="J607" s="6" t="str">
        <f>_xlfn.CONCAT("VE-",Tabela10[[#This Row],[KOD_PRODUKTU]])</f>
        <v>VE-404T09</v>
      </c>
    </row>
    <row r="608" spans="1:10" x14ac:dyDescent="0.25">
      <c r="A608" s="7" t="s">
        <v>1568</v>
      </c>
      <c r="B608" s="6" t="s">
        <v>1569</v>
      </c>
      <c r="C608" s="7" t="s">
        <v>7</v>
      </c>
      <c r="D608" s="6" t="s">
        <v>8</v>
      </c>
      <c r="E608" s="6" t="s">
        <v>9</v>
      </c>
      <c r="F608" s="6" t="s">
        <v>10</v>
      </c>
      <c r="G608" s="6" t="s">
        <v>1571</v>
      </c>
      <c r="H608" s="6">
        <v>37.200000000000003</v>
      </c>
      <c r="I608" s="6" t="str">
        <f>_xlfn.CONCAT("Art. złączny do produktu ",Tabela10[[#This Row],[KOD_PRODUKTU]])</f>
        <v>Art. złączny do produktu 404T09</v>
      </c>
      <c r="J608" s="6" t="str">
        <f>_xlfn.CONCAT("VE-",Tabela10[[#This Row],[KOD_PRODUKTU]])</f>
        <v>VE-404T09</v>
      </c>
    </row>
    <row r="609" spans="1:10" x14ac:dyDescent="0.25">
      <c r="A609" s="1" t="s">
        <v>1572</v>
      </c>
      <c r="B609" t="s">
        <v>1573</v>
      </c>
      <c r="C609" s="1" t="s">
        <v>1022</v>
      </c>
      <c r="D609" t="s">
        <v>1023</v>
      </c>
      <c r="E609" t="s">
        <v>1024</v>
      </c>
      <c r="F609" t="s">
        <v>932</v>
      </c>
      <c r="G609" t="s">
        <v>1574</v>
      </c>
      <c r="H609">
        <v>16</v>
      </c>
      <c r="I609" s="6" t="str">
        <f>_xlfn.CONCAT("Art. złączny do produktu ",Tabela10[[#This Row],[KOD_PRODUKTU]])</f>
        <v>Art. złączny do produktu 404T10</v>
      </c>
      <c r="J609" s="6" t="str">
        <f>_xlfn.CONCAT("VE-",Tabela10[[#This Row],[KOD_PRODUKTU]])</f>
        <v>VE-404T10</v>
      </c>
    </row>
    <row r="610" spans="1:10" x14ac:dyDescent="0.25">
      <c r="A610" s="7" t="s">
        <v>1572</v>
      </c>
      <c r="B610" s="6" t="s">
        <v>1573</v>
      </c>
      <c r="C610" s="7" t="s">
        <v>7</v>
      </c>
      <c r="D610" s="6" t="s">
        <v>8</v>
      </c>
      <c r="E610" s="6" t="s">
        <v>9</v>
      </c>
      <c r="F610" s="6" t="s">
        <v>10</v>
      </c>
      <c r="G610" s="6" t="s">
        <v>1575</v>
      </c>
      <c r="H610" s="6">
        <v>32.299999999999997</v>
      </c>
      <c r="I610" s="6" t="str">
        <f>_xlfn.CONCAT("Art. złączny do produktu ",Tabela10[[#This Row],[KOD_PRODUKTU]])</f>
        <v>Art. złączny do produktu 404T10</v>
      </c>
      <c r="J610" s="6" t="str">
        <f>_xlfn.CONCAT("VE-",Tabela10[[#This Row],[KOD_PRODUKTU]])</f>
        <v>VE-404T10</v>
      </c>
    </row>
    <row r="611" spans="1:10" x14ac:dyDescent="0.25">
      <c r="A611" s="1" t="s">
        <v>1576</v>
      </c>
      <c r="B611" t="s">
        <v>1577</v>
      </c>
      <c r="C611" s="1" t="s">
        <v>1022</v>
      </c>
      <c r="D611" t="s">
        <v>1023</v>
      </c>
      <c r="E611" t="s">
        <v>1024</v>
      </c>
      <c r="F611" t="s">
        <v>932</v>
      </c>
      <c r="G611" t="s">
        <v>1570</v>
      </c>
      <c r="H611">
        <v>32.200000000000003</v>
      </c>
      <c r="I611" s="6" t="str">
        <f>_xlfn.CONCAT("Art. złączny do produktu ",Tabela10[[#This Row],[KOD_PRODUKTU]])</f>
        <v>Art. złączny do produktu 404T11</v>
      </c>
      <c r="J611" s="6" t="str">
        <f>_xlfn.CONCAT("VE-",Tabela10[[#This Row],[KOD_PRODUKTU]])</f>
        <v>VE-404T11</v>
      </c>
    </row>
    <row r="612" spans="1:10" x14ac:dyDescent="0.25">
      <c r="A612" s="7" t="s">
        <v>1576</v>
      </c>
      <c r="B612" s="6" t="s">
        <v>1577</v>
      </c>
      <c r="C612" s="7" t="s">
        <v>7</v>
      </c>
      <c r="D612" s="6" t="s">
        <v>8</v>
      </c>
      <c r="E612" s="6" t="s">
        <v>9</v>
      </c>
      <c r="F612" s="6" t="s">
        <v>10</v>
      </c>
      <c r="G612" s="6" t="s">
        <v>1578</v>
      </c>
      <c r="H612" s="6">
        <v>36.049999999999997</v>
      </c>
      <c r="I612" s="6" t="str">
        <f>_xlfn.CONCAT("Art. złączny do produktu ",Tabela10[[#This Row],[KOD_PRODUKTU]])</f>
        <v>Art. złączny do produktu 404T11</v>
      </c>
      <c r="J612" s="6" t="str">
        <f>_xlfn.CONCAT("VE-",Tabela10[[#This Row],[KOD_PRODUKTU]])</f>
        <v>VE-404T11</v>
      </c>
    </row>
    <row r="613" spans="1:10" x14ac:dyDescent="0.25">
      <c r="A613" s="1" t="s">
        <v>1579</v>
      </c>
      <c r="B613" t="s">
        <v>1580</v>
      </c>
      <c r="C613" s="1" t="s">
        <v>1022</v>
      </c>
      <c r="D613" t="s">
        <v>1023</v>
      </c>
      <c r="E613" t="s">
        <v>1024</v>
      </c>
      <c r="F613" t="s">
        <v>932</v>
      </c>
      <c r="G613" t="s">
        <v>1562</v>
      </c>
      <c r="H613">
        <v>24.7</v>
      </c>
      <c r="I613" s="6" t="str">
        <f>_xlfn.CONCAT("Art. złączny do produktu ",Tabela10[[#This Row],[KOD_PRODUKTU]])</f>
        <v>Art. złączny do produktu 404T12</v>
      </c>
      <c r="J613" s="6" t="str">
        <f>_xlfn.CONCAT("VE-",Tabela10[[#This Row],[KOD_PRODUKTU]])</f>
        <v>VE-404T12</v>
      </c>
    </row>
    <row r="614" spans="1:10" x14ac:dyDescent="0.25">
      <c r="A614" s="7" t="s">
        <v>1579</v>
      </c>
      <c r="B614" s="6" t="s">
        <v>1580</v>
      </c>
      <c r="C614" s="7" t="s">
        <v>7</v>
      </c>
      <c r="D614" s="6" t="s">
        <v>8</v>
      </c>
      <c r="E614" s="6" t="s">
        <v>9</v>
      </c>
      <c r="F614" s="6" t="s">
        <v>10</v>
      </c>
      <c r="G614" s="6" t="s">
        <v>1581</v>
      </c>
      <c r="H614" s="6">
        <v>36.5</v>
      </c>
      <c r="I614" s="6" t="str">
        <f>_xlfn.CONCAT("Art. złączny do produktu ",Tabela10[[#This Row],[KOD_PRODUKTU]])</f>
        <v>Art. złączny do produktu 404T12</v>
      </c>
      <c r="J614" s="6" t="str">
        <f>_xlfn.CONCAT("VE-",Tabela10[[#This Row],[KOD_PRODUKTU]])</f>
        <v>VE-404T12</v>
      </c>
    </row>
    <row r="615" spans="1:10" x14ac:dyDescent="0.25">
      <c r="A615" s="1" t="s">
        <v>1582</v>
      </c>
      <c r="B615" t="s">
        <v>1583</v>
      </c>
      <c r="C615" s="1" t="s">
        <v>1022</v>
      </c>
      <c r="D615" t="s">
        <v>1023</v>
      </c>
      <c r="E615" t="s">
        <v>1024</v>
      </c>
      <c r="F615" t="s">
        <v>932</v>
      </c>
      <c r="G615" t="s">
        <v>1570</v>
      </c>
      <c r="H615">
        <v>32.200000000000003</v>
      </c>
      <c r="I615" s="6" t="str">
        <f>_xlfn.CONCAT("Art. złączny do produktu ",Tabela10[[#This Row],[KOD_PRODUKTU]])</f>
        <v>Art. złączny do produktu 404T13</v>
      </c>
      <c r="J615" s="6" t="str">
        <f>_xlfn.CONCAT("VE-",Tabela10[[#This Row],[KOD_PRODUKTU]])</f>
        <v>VE-404T13</v>
      </c>
    </row>
    <row r="616" spans="1:10" x14ac:dyDescent="0.25">
      <c r="A616" s="7" t="s">
        <v>1582</v>
      </c>
      <c r="B616" s="6" t="s">
        <v>1583</v>
      </c>
      <c r="C616" s="7" t="s">
        <v>7</v>
      </c>
      <c r="D616" s="6" t="s">
        <v>8</v>
      </c>
      <c r="E616" s="6" t="s">
        <v>9</v>
      </c>
      <c r="F616" s="6" t="s">
        <v>10</v>
      </c>
      <c r="G616" s="6" t="s">
        <v>1584</v>
      </c>
      <c r="H616" s="6">
        <v>37.25</v>
      </c>
      <c r="I616" s="6" t="str">
        <f>_xlfn.CONCAT("Art. złączny do produktu ",Tabela10[[#This Row],[KOD_PRODUKTU]])</f>
        <v>Art. złączny do produktu 404T13</v>
      </c>
      <c r="J616" s="6" t="str">
        <f>_xlfn.CONCAT("VE-",Tabela10[[#This Row],[KOD_PRODUKTU]])</f>
        <v>VE-404T13</v>
      </c>
    </row>
    <row r="617" spans="1:10" x14ac:dyDescent="0.25">
      <c r="A617" s="1" t="s">
        <v>1585</v>
      </c>
      <c r="B617" t="s">
        <v>1586</v>
      </c>
      <c r="C617" s="1" t="s">
        <v>1587</v>
      </c>
      <c r="D617" t="s">
        <v>1586</v>
      </c>
      <c r="E617" t="s">
        <v>1588</v>
      </c>
      <c r="F617" t="s">
        <v>49</v>
      </c>
      <c r="G617" t="s">
        <v>50</v>
      </c>
      <c r="H617">
        <v>19.5</v>
      </c>
      <c r="I617" s="6" t="str">
        <f>_xlfn.CONCAT("Art. złączny do produktu ",Tabela10[[#This Row],[KOD_PRODUKTU]])</f>
        <v>Art. złączny do produktu 404T15</v>
      </c>
      <c r="J617" s="6" t="str">
        <f>_xlfn.CONCAT("VE-",Tabela10[[#This Row],[KOD_PRODUKTU]])</f>
        <v>VE-404T15</v>
      </c>
    </row>
    <row r="618" spans="1:10" x14ac:dyDescent="0.25">
      <c r="A618" s="7" t="s">
        <v>1585</v>
      </c>
      <c r="B618" s="6" t="s">
        <v>1586</v>
      </c>
      <c r="C618" s="7" t="s">
        <v>7</v>
      </c>
      <c r="D618" s="6" t="s">
        <v>8</v>
      </c>
      <c r="E618" s="6" t="s">
        <v>9</v>
      </c>
      <c r="F618" s="6" t="s">
        <v>10</v>
      </c>
      <c r="G618" s="6" t="s">
        <v>33</v>
      </c>
      <c r="H618" s="6">
        <v>9.1999999999999993</v>
      </c>
      <c r="I618" s="6" t="str">
        <f>_xlfn.CONCAT("Art. złączny do produktu ",Tabela10[[#This Row],[KOD_PRODUKTU]])</f>
        <v>Art. złączny do produktu 404T15</v>
      </c>
      <c r="J618" s="6" t="str">
        <f>_xlfn.CONCAT("VE-",Tabela10[[#This Row],[KOD_PRODUKTU]])</f>
        <v>VE-404T15</v>
      </c>
    </row>
    <row r="619" spans="1:10" x14ac:dyDescent="0.25">
      <c r="A619" s="1" t="s">
        <v>1589</v>
      </c>
      <c r="B619" t="s">
        <v>1590</v>
      </c>
      <c r="C619" s="1" t="s">
        <v>1591</v>
      </c>
      <c r="D619" t="s">
        <v>1592</v>
      </c>
      <c r="E619" t="s">
        <v>1593</v>
      </c>
      <c r="F619" t="s">
        <v>49</v>
      </c>
      <c r="G619" t="s">
        <v>50</v>
      </c>
      <c r="H619">
        <v>22.75</v>
      </c>
      <c r="I619" s="6" t="str">
        <f>_xlfn.CONCAT("Art. złączny do produktu ",Tabela10[[#This Row],[KOD_PRODUKTU]])</f>
        <v>Art. złączny do produktu 404T16</v>
      </c>
      <c r="J619" s="6" t="str">
        <f>_xlfn.CONCAT("VE-",Tabela10[[#This Row],[KOD_PRODUKTU]])</f>
        <v>VE-404T16</v>
      </c>
    </row>
    <row r="620" spans="1:10" x14ac:dyDescent="0.25">
      <c r="A620" s="7" t="s">
        <v>1589</v>
      </c>
      <c r="B620" s="6" t="s">
        <v>1590</v>
      </c>
      <c r="C620" s="7" t="s">
        <v>7</v>
      </c>
      <c r="D620" s="6" t="s">
        <v>8</v>
      </c>
      <c r="E620" s="6" t="s">
        <v>9</v>
      </c>
      <c r="F620" s="6" t="s">
        <v>10</v>
      </c>
      <c r="G620" s="6" t="s">
        <v>33</v>
      </c>
      <c r="H620" s="6">
        <v>9.1999999999999993</v>
      </c>
      <c r="I620" s="6" t="str">
        <f>_xlfn.CONCAT("Art. złączny do produktu ",Tabela10[[#This Row],[KOD_PRODUKTU]])</f>
        <v>Art. złączny do produktu 404T16</v>
      </c>
      <c r="J620" s="6" t="str">
        <f>_xlfn.CONCAT("VE-",Tabela10[[#This Row],[KOD_PRODUKTU]])</f>
        <v>VE-404T16</v>
      </c>
    </row>
    <row r="621" spans="1:10" x14ac:dyDescent="0.25">
      <c r="A621" s="1" t="s">
        <v>1594</v>
      </c>
      <c r="B621" t="s">
        <v>1595</v>
      </c>
      <c r="C621" s="1" t="s">
        <v>1596</v>
      </c>
      <c r="D621" t="s">
        <v>1597</v>
      </c>
      <c r="E621" t="s">
        <v>1598</v>
      </c>
      <c r="F621" t="s">
        <v>49</v>
      </c>
      <c r="G621" t="s">
        <v>50</v>
      </c>
      <c r="H621">
        <v>29.25</v>
      </c>
      <c r="I621" s="6" t="str">
        <f>_xlfn.CONCAT("Art. złączny do produktu ",Tabela10[[#This Row],[KOD_PRODUKTU]])</f>
        <v>Art. złączny do produktu 404T17</v>
      </c>
      <c r="J621" s="6" t="str">
        <f>_xlfn.CONCAT("VE-",Tabela10[[#This Row],[KOD_PRODUKTU]])</f>
        <v>VE-404T17</v>
      </c>
    </row>
    <row r="622" spans="1:10" x14ac:dyDescent="0.25">
      <c r="A622" s="7" t="s">
        <v>1594</v>
      </c>
      <c r="B622" s="6" t="s">
        <v>1595</v>
      </c>
      <c r="C622" s="7" t="s">
        <v>7</v>
      </c>
      <c r="D622" s="6" t="s">
        <v>8</v>
      </c>
      <c r="E622" s="6" t="s">
        <v>9</v>
      </c>
      <c r="F622" s="6" t="s">
        <v>10</v>
      </c>
      <c r="G622" s="6" t="s">
        <v>33</v>
      </c>
      <c r="H622" s="6">
        <v>9.1999999999999993</v>
      </c>
      <c r="I622" s="6" t="str">
        <f>_xlfn.CONCAT("Art. złączny do produktu ",Tabela10[[#This Row],[KOD_PRODUKTU]])</f>
        <v>Art. złączny do produktu 404T17</v>
      </c>
      <c r="J622" s="6" t="str">
        <f>_xlfn.CONCAT("VE-",Tabela10[[#This Row],[KOD_PRODUKTU]])</f>
        <v>VE-404T17</v>
      </c>
    </row>
    <row r="623" spans="1:10" x14ac:dyDescent="0.25">
      <c r="A623" s="1" t="s">
        <v>1599</v>
      </c>
      <c r="B623" t="s">
        <v>1600</v>
      </c>
      <c r="C623" s="1" t="s">
        <v>1601</v>
      </c>
      <c r="D623" t="s">
        <v>1602</v>
      </c>
      <c r="E623" t="s">
        <v>1603</v>
      </c>
      <c r="F623" t="s">
        <v>49</v>
      </c>
      <c r="G623" t="s">
        <v>50</v>
      </c>
      <c r="H623">
        <v>39</v>
      </c>
      <c r="I623" s="6" t="str">
        <f>_xlfn.CONCAT("Art. złączny do produktu ",Tabela10[[#This Row],[KOD_PRODUKTU]])</f>
        <v>Art. złączny do produktu 404T18</v>
      </c>
      <c r="J623" s="6" t="str">
        <f>_xlfn.CONCAT("VE-",Tabela10[[#This Row],[KOD_PRODUKTU]])</f>
        <v>VE-404T18</v>
      </c>
    </row>
    <row r="624" spans="1:10" x14ac:dyDescent="0.25">
      <c r="A624" s="7" t="s">
        <v>1599</v>
      </c>
      <c r="B624" s="6" t="s">
        <v>1600</v>
      </c>
      <c r="C624" s="7" t="s">
        <v>7</v>
      </c>
      <c r="D624" s="6" t="s">
        <v>8</v>
      </c>
      <c r="E624" s="6" t="s">
        <v>9</v>
      </c>
      <c r="F624" s="6" t="s">
        <v>10</v>
      </c>
      <c r="G624" s="6" t="s">
        <v>1604</v>
      </c>
      <c r="H624" s="6">
        <v>9.6999999999999993</v>
      </c>
      <c r="I624" s="6" t="str">
        <f>_xlfn.CONCAT("Art. złączny do produktu ",Tabela10[[#This Row],[KOD_PRODUKTU]])</f>
        <v>Art. złączny do produktu 404T18</v>
      </c>
      <c r="J624" s="6" t="str">
        <f>_xlfn.CONCAT("VE-",Tabela10[[#This Row],[KOD_PRODUKTU]])</f>
        <v>VE-404T18</v>
      </c>
    </row>
    <row r="625" spans="1:10" x14ac:dyDescent="0.25">
      <c r="A625" s="1" t="s">
        <v>1605</v>
      </c>
      <c r="B625" t="s">
        <v>1606</v>
      </c>
      <c r="C625" s="1" t="s">
        <v>1607</v>
      </c>
      <c r="D625" t="s">
        <v>1608</v>
      </c>
      <c r="E625" t="s">
        <v>16</v>
      </c>
      <c r="F625" t="s">
        <v>49</v>
      </c>
      <c r="G625" t="s">
        <v>50</v>
      </c>
      <c r="H625">
        <v>47</v>
      </c>
      <c r="I625" s="6" t="str">
        <f>_xlfn.CONCAT("Art. złączny do produktu ",Tabela10[[#This Row],[KOD_PRODUKTU]])</f>
        <v>Art. złączny do produktu 404T19</v>
      </c>
      <c r="J625" s="6" t="str">
        <f>_xlfn.CONCAT("VE-",Tabela10[[#This Row],[KOD_PRODUKTU]])</f>
        <v>VE-404T19</v>
      </c>
    </row>
    <row r="626" spans="1:10" x14ac:dyDescent="0.25">
      <c r="A626" s="7" t="s">
        <v>1605</v>
      </c>
      <c r="B626" s="6" t="s">
        <v>1606</v>
      </c>
      <c r="C626" s="7" t="s">
        <v>541</v>
      </c>
      <c r="D626" s="6" t="s">
        <v>542</v>
      </c>
      <c r="E626" s="6" t="s">
        <v>9</v>
      </c>
      <c r="F626" s="6" t="s">
        <v>10</v>
      </c>
      <c r="G626" s="6" t="s">
        <v>33</v>
      </c>
      <c r="H626" s="6">
        <v>9.1999999999999993</v>
      </c>
      <c r="I626" s="6" t="str">
        <f>_xlfn.CONCAT("Art. złączny do produktu ",Tabela10[[#This Row],[KOD_PRODUKTU]])</f>
        <v>Art. złączny do produktu 404T19</v>
      </c>
      <c r="J626" s="6" t="str">
        <f>_xlfn.CONCAT("VE-",Tabela10[[#This Row],[KOD_PRODUKTU]])</f>
        <v>VE-404T19</v>
      </c>
    </row>
    <row r="627" spans="1:10" x14ac:dyDescent="0.25">
      <c r="A627" s="1" t="s">
        <v>1609</v>
      </c>
      <c r="B627" t="s">
        <v>1610</v>
      </c>
      <c r="C627" s="1" t="s">
        <v>1611</v>
      </c>
      <c r="D627" t="s">
        <v>1612</v>
      </c>
      <c r="E627" t="s">
        <v>1613</v>
      </c>
      <c r="F627" t="s">
        <v>49</v>
      </c>
      <c r="G627" t="s">
        <v>50</v>
      </c>
      <c r="H627">
        <v>41.1</v>
      </c>
      <c r="I627" s="6" t="str">
        <f>_xlfn.CONCAT("Art. złączny do produktu ",Tabela10[[#This Row],[KOD_PRODUKTU]])</f>
        <v>Art. złączny do produktu 404T20</v>
      </c>
      <c r="J627" s="6" t="str">
        <f>_xlfn.CONCAT("VE-",Tabela10[[#This Row],[KOD_PRODUKTU]])</f>
        <v>VE-404T20</v>
      </c>
    </row>
    <row r="628" spans="1:10" x14ac:dyDescent="0.25">
      <c r="A628" s="7" t="s">
        <v>1609</v>
      </c>
      <c r="B628" s="6" t="s">
        <v>1610</v>
      </c>
      <c r="C628" s="7" t="s">
        <v>7</v>
      </c>
      <c r="D628" s="6" t="s">
        <v>8</v>
      </c>
      <c r="E628" s="6" t="s">
        <v>9</v>
      </c>
      <c r="F628" s="6" t="s">
        <v>10</v>
      </c>
      <c r="G628" s="6" t="s">
        <v>1604</v>
      </c>
      <c r="H628" s="6">
        <v>9.6999999999999993</v>
      </c>
      <c r="I628" s="6" t="str">
        <f>_xlfn.CONCAT("Art. złączny do produktu ",Tabela10[[#This Row],[KOD_PRODUKTU]])</f>
        <v>Art. złączny do produktu 404T20</v>
      </c>
      <c r="J628" s="6" t="str">
        <f>_xlfn.CONCAT("VE-",Tabela10[[#This Row],[KOD_PRODUKTU]])</f>
        <v>VE-404T20</v>
      </c>
    </row>
    <row r="629" spans="1:10" x14ac:dyDescent="0.25">
      <c r="A629" s="1" t="s">
        <v>1614</v>
      </c>
      <c r="B629" t="s">
        <v>1615</v>
      </c>
      <c r="C629" s="1" t="s">
        <v>1616</v>
      </c>
      <c r="D629" t="s">
        <v>1617</v>
      </c>
      <c r="E629" t="s">
        <v>1618</v>
      </c>
      <c r="F629" t="s">
        <v>49</v>
      </c>
      <c r="G629" t="s">
        <v>50</v>
      </c>
      <c r="H629">
        <v>56.4</v>
      </c>
      <c r="I629" s="6" t="str">
        <f>_xlfn.CONCAT("Art. złączny do produktu ",Tabela10[[#This Row],[KOD_PRODUKTU]])</f>
        <v>Art. złączny do produktu 404T21</v>
      </c>
      <c r="J629" s="6" t="str">
        <f>_xlfn.CONCAT("VE-",Tabela10[[#This Row],[KOD_PRODUKTU]])</f>
        <v>VE-404T21</v>
      </c>
    </row>
    <row r="630" spans="1:10" x14ac:dyDescent="0.25">
      <c r="A630" s="7" t="s">
        <v>1614</v>
      </c>
      <c r="B630" s="6" t="s">
        <v>1615</v>
      </c>
      <c r="C630" s="7" t="s">
        <v>7</v>
      </c>
      <c r="D630" s="6" t="s">
        <v>8</v>
      </c>
      <c r="E630" s="6" t="s">
        <v>9</v>
      </c>
      <c r="F630" s="6" t="s">
        <v>10</v>
      </c>
      <c r="G630" s="6" t="s">
        <v>1604</v>
      </c>
      <c r="H630" s="6">
        <v>9.6999999999999993</v>
      </c>
      <c r="I630" s="6" t="str">
        <f>_xlfn.CONCAT("Art. złączny do produktu ",Tabela10[[#This Row],[KOD_PRODUKTU]])</f>
        <v>Art. złączny do produktu 404T21</v>
      </c>
      <c r="J630" s="6" t="str">
        <f>_xlfn.CONCAT("VE-",Tabela10[[#This Row],[KOD_PRODUKTU]])</f>
        <v>VE-404T21</v>
      </c>
    </row>
    <row r="631" spans="1:10" x14ac:dyDescent="0.25">
      <c r="A631" s="1" t="s">
        <v>1619</v>
      </c>
      <c r="B631" t="s">
        <v>1620</v>
      </c>
      <c r="C631" s="1" t="s">
        <v>1621</v>
      </c>
      <c r="D631" t="s">
        <v>1622</v>
      </c>
      <c r="E631" t="s">
        <v>1623</v>
      </c>
      <c r="F631" t="s">
        <v>49</v>
      </c>
      <c r="G631" t="s">
        <v>50</v>
      </c>
      <c r="H631">
        <v>46.3</v>
      </c>
      <c r="I631" s="6" t="str">
        <f>_xlfn.CONCAT("Art. złączny do produktu ",Tabela10[[#This Row],[KOD_PRODUKTU]])</f>
        <v>Art. złączny do produktu 404T22</v>
      </c>
      <c r="J631" s="6" t="str">
        <f>_xlfn.CONCAT("VE-",Tabela10[[#This Row],[KOD_PRODUKTU]])</f>
        <v>VE-404T22</v>
      </c>
    </row>
    <row r="632" spans="1:10" x14ac:dyDescent="0.25">
      <c r="A632" s="7" t="s">
        <v>1619</v>
      </c>
      <c r="B632" s="6" t="s">
        <v>1620</v>
      </c>
      <c r="C632" s="7" t="s">
        <v>541</v>
      </c>
      <c r="D632" s="6" t="s">
        <v>542</v>
      </c>
      <c r="E632" s="6" t="s">
        <v>9</v>
      </c>
      <c r="F632" s="6" t="s">
        <v>10</v>
      </c>
      <c r="G632" s="6" t="s">
        <v>1019</v>
      </c>
      <c r="H632" s="6">
        <v>9.6999999999999993</v>
      </c>
      <c r="I632" s="6" t="str">
        <f>_xlfn.CONCAT("Art. złączny do produktu ",Tabela10[[#This Row],[KOD_PRODUKTU]])</f>
        <v>Art. złączny do produktu 404T22</v>
      </c>
      <c r="J632" s="6" t="str">
        <f>_xlfn.CONCAT("VE-",Tabela10[[#This Row],[KOD_PRODUKTU]])</f>
        <v>VE-404T22</v>
      </c>
    </row>
    <row r="633" spans="1:10" x14ac:dyDescent="0.25">
      <c r="A633" s="1" t="s">
        <v>1624</v>
      </c>
      <c r="B633" t="s">
        <v>1625</v>
      </c>
      <c r="C633" s="1" t="s">
        <v>1626</v>
      </c>
      <c r="D633" t="s">
        <v>1627</v>
      </c>
      <c r="E633" t="s">
        <v>1628</v>
      </c>
      <c r="F633" t="s">
        <v>49</v>
      </c>
      <c r="G633" t="s">
        <v>50</v>
      </c>
      <c r="H633">
        <v>26</v>
      </c>
      <c r="I633" s="6" t="str">
        <f>_xlfn.CONCAT("Art. złączny do produktu ",Tabela10[[#This Row],[KOD_PRODUKTU]])</f>
        <v>Art. złączny do produktu 404T23</v>
      </c>
      <c r="J633" s="6" t="str">
        <f>_xlfn.CONCAT("VE-",Tabela10[[#This Row],[KOD_PRODUKTU]])</f>
        <v>VE-404T23</v>
      </c>
    </row>
    <row r="634" spans="1:10" x14ac:dyDescent="0.25">
      <c r="A634" s="7" t="s">
        <v>1624</v>
      </c>
      <c r="B634" s="6" t="s">
        <v>1625</v>
      </c>
      <c r="C634" s="7" t="s">
        <v>7</v>
      </c>
      <c r="D634" s="6" t="s">
        <v>8</v>
      </c>
      <c r="E634" s="6" t="s">
        <v>9</v>
      </c>
      <c r="F634" s="6" t="s">
        <v>10</v>
      </c>
      <c r="G634" s="6" t="s">
        <v>33</v>
      </c>
      <c r="H634" s="6">
        <v>9.1999999999999993</v>
      </c>
      <c r="I634" s="6" t="str">
        <f>_xlfn.CONCAT("Art. złączny do produktu ",Tabela10[[#This Row],[KOD_PRODUKTU]])</f>
        <v>Art. złączny do produktu 404T23</v>
      </c>
      <c r="J634" s="6" t="str">
        <f>_xlfn.CONCAT("VE-",Tabela10[[#This Row],[KOD_PRODUKTU]])</f>
        <v>VE-404T23</v>
      </c>
    </row>
    <row r="635" spans="1:10" x14ac:dyDescent="0.25">
      <c r="A635" s="1" t="s">
        <v>1629</v>
      </c>
      <c r="B635" t="s">
        <v>1630</v>
      </c>
      <c r="C635" s="1" t="s">
        <v>1631</v>
      </c>
      <c r="D635" t="s">
        <v>1632</v>
      </c>
      <c r="E635" t="s">
        <v>311</v>
      </c>
      <c r="F635" t="s">
        <v>49</v>
      </c>
      <c r="G635" t="s">
        <v>50</v>
      </c>
      <c r="H635">
        <v>13</v>
      </c>
      <c r="I635" s="6" t="str">
        <f>_xlfn.CONCAT("Art. złączny do produktu ",Tabela10[[#This Row],[KOD_PRODUKTU]])</f>
        <v>Art. złączny do produktu 404T24</v>
      </c>
      <c r="J635" s="6" t="str">
        <f>_xlfn.CONCAT("VE-",Tabela10[[#This Row],[KOD_PRODUKTU]])</f>
        <v>VE-404T24</v>
      </c>
    </row>
    <row r="636" spans="1:10" x14ac:dyDescent="0.25">
      <c r="A636" s="7" t="s">
        <v>1629</v>
      </c>
      <c r="B636" s="6" t="s">
        <v>1630</v>
      </c>
      <c r="C636" s="7" t="s">
        <v>7</v>
      </c>
      <c r="D636" s="6" t="s">
        <v>8</v>
      </c>
      <c r="E636" s="6" t="s">
        <v>9</v>
      </c>
      <c r="F636" s="6" t="s">
        <v>10</v>
      </c>
      <c r="G636" s="6" t="s">
        <v>1633</v>
      </c>
      <c r="H636" s="6">
        <v>20</v>
      </c>
      <c r="I636" s="6" t="str">
        <f>_xlfn.CONCAT("Art. złączny do produktu ",Tabela10[[#This Row],[KOD_PRODUKTU]])</f>
        <v>Art. złączny do produktu 404T24</v>
      </c>
      <c r="J636" s="6" t="str">
        <f>_xlfn.CONCAT("VE-",Tabela10[[#This Row],[KOD_PRODUKTU]])</f>
        <v>VE-404T24</v>
      </c>
    </row>
    <row r="637" spans="1:10" x14ac:dyDescent="0.25">
      <c r="A637" s="1" t="s">
        <v>1634</v>
      </c>
      <c r="B637" t="s">
        <v>1635</v>
      </c>
      <c r="C637" s="1" t="s">
        <v>1636</v>
      </c>
      <c r="D637" t="s">
        <v>1637</v>
      </c>
      <c r="E637" t="s">
        <v>1638</v>
      </c>
      <c r="F637" t="s">
        <v>49</v>
      </c>
      <c r="G637" t="s">
        <v>50</v>
      </c>
      <c r="H637">
        <v>55.25</v>
      </c>
      <c r="I637" s="6" t="str">
        <f>_xlfn.CONCAT("Art. złączny do produktu ",Tabela10[[#This Row],[KOD_PRODUKTU]])</f>
        <v>Art. złączny do produktu 404T25</v>
      </c>
      <c r="J637" s="6" t="str">
        <f>_xlfn.CONCAT("VE-",Tabela10[[#This Row],[KOD_PRODUKTU]])</f>
        <v>VE-404T25</v>
      </c>
    </row>
    <row r="638" spans="1:10" x14ac:dyDescent="0.25">
      <c r="A638" s="7" t="s">
        <v>1634</v>
      </c>
      <c r="B638" s="6" t="s">
        <v>1635</v>
      </c>
      <c r="C638" s="7" t="s">
        <v>541</v>
      </c>
      <c r="D638" s="6" t="s">
        <v>542</v>
      </c>
      <c r="E638" s="6" t="s">
        <v>9</v>
      </c>
      <c r="F638" s="6" t="s">
        <v>10</v>
      </c>
      <c r="G638" s="6" t="s">
        <v>1639</v>
      </c>
      <c r="H638" s="6">
        <v>9.67</v>
      </c>
      <c r="I638" s="6" t="str">
        <f>_xlfn.CONCAT("Art. złączny do produktu ",Tabela10[[#This Row],[KOD_PRODUKTU]])</f>
        <v>Art. złączny do produktu 404T25</v>
      </c>
      <c r="J638" s="6" t="str">
        <f>_xlfn.CONCAT("VE-",Tabela10[[#This Row],[KOD_PRODUKTU]])</f>
        <v>VE-404T25</v>
      </c>
    </row>
    <row r="639" spans="1:10" x14ac:dyDescent="0.25">
      <c r="A639" s="1" t="s">
        <v>1640</v>
      </c>
      <c r="B639" t="s">
        <v>1641</v>
      </c>
      <c r="C639" s="1" t="s">
        <v>1642</v>
      </c>
      <c r="D639" t="s">
        <v>1643</v>
      </c>
      <c r="E639" t="s">
        <v>1644</v>
      </c>
      <c r="F639" t="s">
        <v>49</v>
      </c>
      <c r="G639" t="s">
        <v>50</v>
      </c>
      <c r="H639">
        <v>56.55</v>
      </c>
      <c r="I639" s="6" t="str">
        <f>_xlfn.CONCAT("Art. złączny do produktu ",Tabela10[[#This Row],[KOD_PRODUKTU]])</f>
        <v>Art. złączny do produktu 404T26</v>
      </c>
      <c r="J639" s="6" t="str">
        <f>_xlfn.CONCAT("VE-",Tabela10[[#This Row],[KOD_PRODUKTU]])</f>
        <v>VE-404T26</v>
      </c>
    </row>
    <row r="640" spans="1:10" x14ac:dyDescent="0.25">
      <c r="A640" s="7" t="s">
        <v>1640</v>
      </c>
      <c r="B640" s="6" t="s">
        <v>1641</v>
      </c>
      <c r="C640" s="7" t="s">
        <v>7</v>
      </c>
      <c r="D640" s="6" t="s">
        <v>8</v>
      </c>
      <c r="E640" s="6" t="s">
        <v>9</v>
      </c>
      <c r="F640" s="6" t="s">
        <v>10</v>
      </c>
      <c r="G640" s="6" t="s">
        <v>33</v>
      </c>
      <c r="H640" s="6">
        <v>9.1999999999999993</v>
      </c>
      <c r="I640" s="6" t="str">
        <f>_xlfn.CONCAT("Art. złączny do produktu ",Tabela10[[#This Row],[KOD_PRODUKTU]])</f>
        <v>Art. złączny do produktu 404T26</v>
      </c>
      <c r="J640" s="6" t="str">
        <f>_xlfn.CONCAT("VE-",Tabela10[[#This Row],[KOD_PRODUKTU]])</f>
        <v>VE-404T26</v>
      </c>
    </row>
    <row r="641" spans="1:10" x14ac:dyDescent="0.25">
      <c r="A641" s="1" t="s">
        <v>1645</v>
      </c>
      <c r="B641" t="s">
        <v>1646</v>
      </c>
      <c r="C641" s="1" t="s">
        <v>1647</v>
      </c>
      <c r="D641" t="s">
        <v>1646</v>
      </c>
      <c r="E641" t="s">
        <v>1648</v>
      </c>
      <c r="F641" t="s">
        <v>49</v>
      </c>
      <c r="G641" t="s">
        <v>50</v>
      </c>
      <c r="H641">
        <v>35.75</v>
      </c>
      <c r="I641" s="6" t="str">
        <f>_xlfn.CONCAT("Art. złączny do produktu ",Tabela10[[#This Row],[KOD_PRODUKTU]])</f>
        <v>Art. złączny do produktu 404T27</v>
      </c>
      <c r="J641" s="6" t="str">
        <f>_xlfn.CONCAT("VE-",Tabela10[[#This Row],[KOD_PRODUKTU]])</f>
        <v>VE-404T27</v>
      </c>
    </row>
    <row r="642" spans="1:10" x14ac:dyDescent="0.25">
      <c r="A642" s="7" t="s">
        <v>1645</v>
      </c>
      <c r="B642" s="6" t="s">
        <v>1646</v>
      </c>
      <c r="C642" s="7" t="s">
        <v>541</v>
      </c>
      <c r="D642" s="6" t="s">
        <v>542</v>
      </c>
      <c r="E642" s="6" t="s">
        <v>9</v>
      </c>
      <c r="F642" s="6" t="s">
        <v>10</v>
      </c>
      <c r="G642" s="6" t="s">
        <v>1649</v>
      </c>
      <c r="H642" s="6">
        <v>9.65</v>
      </c>
      <c r="I642" s="6" t="str">
        <f>_xlfn.CONCAT("Art. złączny do produktu ",Tabela10[[#This Row],[KOD_PRODUKTU]])</f>
        <v>Art. złączny do produktu 404T27</v>
      </c>
      <c r="J642" s="6" t="str">
        <f>_xlfn.CONCAT("VE-",Tabela10[[#This Row],[KOD_PRODUKTU]])</f>
        <v>VE-404T27</v>
      </c>
    </row>
    <row r="643" spans="1:10" x14ac:dyDescent="0.25">
      <c r="A643" s="1" t="s">
        <v>1650</v>
      </c>
      <c r="B643" t="s">
        <v>1651</v>
      </c>
      <c r="C643" s="1" t="s">
        <v>1652</v>
      </c>
      <c r="D643" t="s">
        <v>1653</v>
      </c>
      <c r="E643" t="s">
        <v>1593</v>
      </c>
      <c r="F643" t="s">
        <v>49</v>
      </c>
      <c r="G643" t="s">
        <v>50</v>
      </c>
      <c r="H643">
        <v>22.75</v>
      </c>
      <c r="I643" s="6" t="str">
        <f>_xlfn.CONCAT("Art. złączny do produktu ",Tabela10[[#This Row],[KOD_PRODUKTU]])</f>
        <v>Art. złączny do produktu 404T28</v>
      </c>
      <c r="J643" s="6" t="str">
        <f>_xlfn.CONCAT("VE-",Tabela10[[#This Row],[KOD_PRODUKTU]])</f>
        <v>VE-404T28</v>
      </c>
    </row>
    <row r="644" spans="1:10" x14ac:dyDescent="0.25">
      <c r="A644" s="7" t="s">
        <v>1650</v>
      </c>
      <c r="B644" s="6" t="s">
        <v>1651</v>
      </c>
      <c r="C644" s="7" t="s">
        <v>541</v>
      </c>
      <c r="D644" s="6" t="s">
        <v>542</v>
      </c>
      <c r="E644" s="6" t="s">
        <v>9</v>
      </c>
      <c r="F644" s="6" t="s">
        <v>10</v>
      </c>
      <c r="G644" s="6" t="s">
        <v>33</v>
      </c>
      <c r="H644" s="6">
        <v>9.1999999999999993</v>
      </c>
      <c r="I644" s="6" t="str">
        <f>_xlfn.CONCAT("Art. złączny do produktu ",Tabela10[[#This Row],[KOD_PRODUKTU]])</f>
        <v>Art. złączny do produktu 404T28</v>
      </c>
      <c r="J644" s="6" t="str">
        <f>_xlfn.CONCAT("VE-",Tabela10[[#This Row],[KOD_PRODUKTU]])</f>
        <v>VE-404T28</v>
      </c>
    </row>
    <row r="645" spans="1:10" x14ac:dyDescent="0.25">
      <c r="A645" s="1" t="s">
        <v>1654</v>
      </c>
      <c r="B645" t="s">
        <v>1655</v>
      </c>
      <c r="C645" s="1" t="s">
        <v>1656</v>
      </c>
      <c r="D645" t="s">
        <v>1657</v>
      </c>
      <c r="E645" t="s">
        <v>1628</v>
      </c>
      <c r="F645" t="s">
        <v>49</v>
      </c>
      <c r="G645" t="s">
        <v>50</v>
      </c>
      <c r="H645">
        <v>26</v>
      </c>
      <c r="I645" s="6" t="str">
        <f>_xlfn.CONCAT("Art. złączny do produktu ",Tabela10[[#This Row],[KOD_PRODUKTU]])</f>
        <v>Art. złączny do produktu 404T29</v>
      </c>
      <c r="J645" s="6" t="str">
        <f>_xlfn.CONCAT("VE-",Tabela10[[#This Row],[KOD_PRODUKTU]])</f>
        <v>VE-404T29</v>
      </c>
    </row>
    <row r="646" spans="1:10" x14ac:dyDescent="0.25">
      <c r="A646" s="7" t="s">
        <v>1654</v>
      </c>
      <c r="B646" s="6" t="s">
        <v>1655</v>
      </c>
      <c r="C646" s="7" t="s">
        <v>541</v>
      </c>
      <c r="D646" s="6" t="s">
        <v>542</v>
      </c>
      <c r="E646" s="6" t="s">
        <v>9</v>
      </c>
      <c r="F646" s="6" t="s">
        <v>10</v>
      </c>
      <c r="G646" s="6" t="s">
        <v>33</v>
      </c>
      <c r="H646" s="6">
        <v>9.1999999999999993</v>
      </c>
      <c r="I646" s="6" t="str">
        <f>_xlfn.CONCAT("Art. złączny do produktu ",Tabela10[[#This Row],[KOD_PRODUKTU]])</f>
        <v>Art. złączny do produktu 404T29</v>
      </c>
      <c r="J646" s="6" t="str">
        <f>_xlfn.CONCAT("VE-",Tabela10[[#This Row],[KOD_PRODUKTU]])</f>
        <v>VE-404T29</v>
      </c>
    </row>
    <row r="647" spans="1:10" x14ac:dyDescent="0.25">
      <c r="A647" s="1" t="s">
        <v>1658</v>
      </c>
      <c r="B647" t="s">
        <v>1659</v>
      </c>
      <c r="C647" s="1" t="s">
        <v>1660</v>
      </c>
      <c r="D647" t="s">
        <v>1661</v>
      </c>
      <c r="E647" t="s">
        <v>1662</v>
      </c>
      <c r="F647" t="s">
        <v>49</v>
      </c>
      <c r="G647" t="s">
        <v>50</v>
      </c>
      <c r="H647">
        <v>36.4</v>
      </c>
      <c r="I647" s="6" t="str">
        <f>_xlfn.CONCAT("Art. złączny do produktu ",Tabela10[[#This Row],[KOD_PRODUKTU]])</f>
        <v>Art. złączny do produktu 404T30</v>
      </c>
      <c r="J647" s="6" t="str">
        <f>_xlfn.CONCAT("VE-",Tabela10[[#This Row],[KOD_PRODUKTU]])</f>
        <v>VE-404T30</v>
      </c>
    </row>
    <row r="648" spans="1:10" x14ac:dyDescent="0.25">
      <c r="A648" s="7" t="s">
        <v>1658</v>
      </c>
      <c r="B648" s="6" t="s">
        <v>1659</v>
      </c>
      <c r="C648" s="7" t="s">
        <v>541</v>
      </c>
      <c r="D648" s="6" t="s">
        <v>542</v>
      </c>
      <c r="E648" s="6" t="s">
        <v>9</v>
      </c>
      <c r="F648" s="6" t="s">
        <v>10</v>
      </c>
      <c r="G648" s="6" t="s">
        <v>1649</v>
      </c>
      <c r="H648" s="6">
        <v>9.65</v>
      </c>
      <c r="I648" s="6" t="str">
        <f>_xlfn.CONCAT("Art. złączny do produktu ",Tabela10[[#This Row],[KOD_PRODUKTU]])</f>
        <v>Art. złączny do produktu 404T30</v>
      </c>
      <c r="J648" s="6" t="str">
        <f>_xlfn.CONCAT("VE-",Tabela10[[#This Row],[KOD_PRODUKTU]])</f>
        <v>VE-404T30</v>
      </c>
    </row>
    <row r="649" spans="1:10" x14ac:dyDescent="0.25">
      <c r="A649" s="1" t="s">
        <v>1663</v>
      </c>
      <c r="B649" t="s">
        <v>1664</v>
      </c>
      <c r="C649" s="1" t="s">
        <v>1665</v>
      </c>
      <c r="D649" t="s">
        <v>1666</v>
      </c>
      <c r="E649" t="s">
        <v>835</v>
      </c>
      <c r="F649" t="s">
        <v>49</v>
      </c>
      <c r="G649" t="s">
        <v>50</v>
      </c>
      <c r="H649">
        <v>40.299999999999997</v>
      </c>
      <c r="I649" s="6" t="str">
        <f>_xlfn.CONCAT("Art. złączny do produktu ",Tabela10[[#This Row],[KOD_PRODUKTU]])</f>
        <v>Art. złączny do produktu 404T31</v>
      </c>
      <c r="J649" s="6" t="str">
        <f>_xlfn.CONCAT("VE-",Tabela10[[#This Row],[KOD_PRODUKTU]])</f>
        <v>VE-404T31</v>
      </c>
    </row>
    <row r="650" spans="1:10" x14ac:dyDescent="0.25">
      <c r="A650" s="7" t="s">
        <v>1663</v>
      </c>
      <c r="B650" s="6" t="s">
        <v>1664</v>
      </c>
      <c r="C650" s="7" t="s">
        <v>541</v>
      </c>
      <c r="D650" s="6" t="s">
        <v>542</v>
      </c>
      <c r="E650" s="6" t="s">
        <v>9</v>
      </c>
      <c r="F650" s="6" t="s">
        <v>10</v>
      </c>
      <c r="G650" s="6" t="s">
        <v>33</v>
      </c>
      <c r="H650" s="6">
        <v>9.1999999999999993</v>
      </c>
      <c r="I650" s="6" t="str">
        <f>_xlfn.CONCAT("Art. złączny do produktu ",Tabela10[[#This Row],[KOD_PRODUKTU]])</f>
        <v>Art. złączny do produktu 404T31</v>
      </c>
      <c r="J650" s="6" t="str">
        <f>_xlfn.CONCAT("VE-",Tabela10[[#This Row],[KOD_PRODUKTU]])</f>
        <v>VE-404T31</v>
      </c>
    </row>
    <row r="651" spans="1:10" x14ac:dyDescent="0.25">
      <c r="A651" s="1" t="s">
        <v>1667</v>
      </c>
      <c r="B651" t="s">
        <v>1668</v>
      </c>
      <c r="C651" s="1" t="s">
        <v>1669</v>
      </c>
      <c r="D651" t="s">
        <v>1670</v>
      </c>
      <c r="E651" t="s">
        <v>1613</v>
      </c>
      <c r="F651" t="s">
        <v>49</v>
      </c>
      <c r="G651" t="s">
        <v>50</v>
      </c>
      <c r="H651">
        <v>41.1</v>
      </c>
      <c r="I651" s="6" t="str">
        <f>_xlfn.CONCAT("Art. złączny do produktu ",Tabela10[[#This Row],[KOD_PRODUKTU]])</f>
        <v>Art. złączny do produktu 404T32</v>
      </c>
      <c r="J651" s="6" t="str">
        <f>_xlfn.CONCAT("VE-",Tabela10[[#This Row],[KOD_PRODUKTU]])</f>
        <v>VE-404T32</v>
      </c>
    </row>
    <row r="652" spans="1:10" x14ac:dyDescent="0.25">
      <c r="A652" s="7" t="s">
        <v>1667</v>
      </c>
      <c r="B652" s="6" t="s">
        <v>1668</v>
      </c>
      <c r="C652" s="7" t="s">
        <v>7</v>
      </c>
      <c r="D652" s="6" t="s">
        <v>8</v>
      </c>
      <c r="E652" s="6" t="s">
        <v>9</v>
      </c>
      <c r="F652" s="6" t="s">
        <v>10</v>
      </c>
      <c r="G652" s="6" t="s">
        <v>1019</v>
      </c>
      <c r="H652" s="6">
        <v>9.6999999999999993</v>
      </c>
      <c r="I652" s="6" t="str">
        <f>_xlfn.CONCAT("Art. złączny do produktu ",Tabela10[[#This Row],[KOD_PRODUKTU]])</f>
        <v>Art. złączny do produktu 404T32</v>
      </c>
      <c r="J652" s="6" t="str">
        <f>_xlfn.CONCAT("VE-",Tabela10[[#This Row],[KOD_PRODUKTU]])</f>
        <v>VE-404T32</v>
      </c>
    </row>
    <row r="653" spans="1:10" x14ac:dyDescent="0.25">
      <c r="A653" s="1" t="s">
        <v>1671</v>
      </c>
      <c r="B653" t="s">
        <v>1672</v>
      </c>
      <c r="C653" s="1" t="s">
        <v>1673</v>
      </c>
      <c r="D653" t="s">
        <v>1674</v>
      </c>
      <c r="E653" t="s">
        <v>1675</v>
      </c>
      <c r="F653" t="s">
        <v>49</v>
      </c>
      <c r="G653" t="s">
        <v>50</v>
      </c>
      <c r="H653">
        <v>20.8</v>
      </c>
      <c r="I653" s="6" t="str">
        <f>_xlfn.CONCAT("Art. złączny do produktu ",Tabela10[[#This Row],[KOD_PRODUKTU]])</f>
        <v>Art. złączny do produktu 404T33</v>
      </c>
      <c r="J653" s="6" t="str">
        <f>_xlfn.CONCAT("VE-",Tabela10[[#This Row],[KOD_PRODUKTU]])</f>
        <v>VE-404T33</v>
      </c>
    </row>
    <row r="654" spans="1:10" x14ac:dyDescent="0.25">
      <c r="A654" s="7" t="s">
        <v>1671</v>
      </c>
      <c r="B654" s="6" t="s">
        <v>1672</v>
      </c>
      <c r="C654" s="7" t="s">
        <v>541</v>
      </c>
      <c r="D654" s="6" t="s">
        <v>542</v>
      </c>
      <c r="E654" s="6" t="s">
        <v>9</v>
      </c>
      <c r="F654" s="6" t="s">
        <v>10</v>
      </c>
      <c r="G654" s="6" t="s">
        <v>33</v>
      </c>
      <c r="H654" s="6">
        <v>9.1999999999999993</v>
      </c>
      <c r="I654" s="6" t="str">
        <f>_xlfn.CONCAT("Art. złączny do produktu ",Tabela10[[#This Row],[KOD_PRODUKTU]])</f>
        <v>Art. złączny do produktu 404T33</v>
      </c>
      <c r="J654" s="6" t="str">
        <f>_xlfn.CONCAT("VE-",Tabela10[[#This Row],[KOD_PRODUKTU]])</f>
        <v>VE-404T33</v>
      </c>
    </row>
    <row r="655" spans="1:10" x14ac:dyDescent="0.25">
      <c r="A655" s="1" t="s">
        <v>1676</v>
      </c>
      <c r="B655" t="s">
        <v>1677</v>
      </c>
      <c r="C655" s="1" t="s">
        <v>1678</v>
      </c>
      <c r="D655" t="s">
        <v>1679</v>
      </c>
      <c r="E655" t="s">
        <v>1680</v>
      </c>
      <c r="F655" t="s">
        <v>121</v>
      </c>
      <c r="G655" t="s">
        <v>50</v>
      </c>
      <c r="H655">
        <v>37.5</v>
      </c>
      <c r="I655" s="6" t="str">
        <f>_xlfn.CONCAT("Art. złączny do produktu ",Tabela10[[#This Row],[KOD_PRODUKTU]])</f>
        <v>Art. złączny do produktu 404T35</v>
      </c>
      <c r="J655" s="6" t="str">
        <f>_xlfn.CONCAT("VE-",Tabela10[[#This Row],[KOD_PRODUKTU]])</f>
        <v>VE-404T35</v>
      </c>
    </row>
    <row r="656" spans="1:10" x14ac:dyDescent="0.25">
      <c r="A656" s="7" t="s">
        <v>1676</v>
      </c>
      <c r="B656" s="6" t="s">
        <v>1677</v>
      </c>
      <c r="C656" s="7" t="s">
        <v>7</v>
      </c>
      <c r="D656" s="6" t="s">
        <v>8</v>
      </c>
      <c r="E656" s="6" t="s">
        <v>9</v>
      </c>
      <c r="F656" s="6" t="s">
        <v>10</v>
      </c>
      <c r="G656" s="6" t="s">
        <v>33</v>
      </c>
      <c r="H656" s="6">
        <v>9.1999999999999993</v>
      </c>
      <c r="I656" s="6" t="str">
        <f>_xlfn.CONCAT("Art. złączny do produktu ",Tabela10[[#This Row],[KOD_PRODUKTU]])</f>
        <v>Art. złączny do produktu 404T35</v>
      </c>
      <c r="J656" s="6" t="str">
        <f>_xlfn.CONCAT("VE-",Tabela10[[#This Row],[KOD_PRODUKTU]])</f>
        <v>VE-404T35</v>
      </c>
    </row>
    <row r="657" spans="1:10" x14ac:dyDescent="0.25">
      <c r="A657" s="1" t="s">
        <v>1681</v>
      </c>
      <c r="B657" t="s">
        <v>1682</v>
      </c>
      <c r="C657" s="1" t="s">
        <v>1683</v>
      </c>
      <c r="D657" t="s">
        <v>1684</v>
      </c>
      <c r="E657" t="s">
        <v>1685</v>
      </c>
      <c r="F657" t="s">
        <v>49</v>
      </c>
      <c r="G657" t="s">
        <v>50</v>
      </c>
      <c r="H657">
        <v>20.149999999999999</v>
      </c>
      <c r="I657" s="6" t="str">
        <f>_xlfn.CONCAT("Art. złączny do produktu ",Tabela10[[#This Row],[KOD_PRODUKTU]])</f>
        <v>Art. złączny do produktu 404T36</v>
      </c>
      <c r="J657" s="6" t="str">
        <f>_xlfn.CONCAT("VE-",Tabela10[[#This Row],[KOD_PRODUKTU]])</f>
        <v>VE-404T36</v>
      </c>
    </row>
    <row r="658" spans="1:10" x14ac:dyDescent="0.25">
      <c r="A658" s="7" t="s">
        <v>1681</v>
      </c>
      <c r="B658" s="6" t="s">
        <v>1682</v>
      </c>
      <c r="C658" s="7" t="s">
        <v>688</v>
      </c>
      <c r="D658" s="6" t="s">
        <v>689</v>
      </c>
      <c r="E658" s="6" t="s">
        <v>9</v>
      </c>
      <c r="F658" s="6" t="s">
        <v>10</v>
      </c>
      <c r="G658" s="6" t="s">
        <v>33</v>
      </c>
      <c r="H658" s="6">
        <v>9.1999999999999993</v>
      </c>
      <c r="I658" s="6" t="str">
        <f>_xlfn.CONCAT("Art. złączny do produktu ",Tabela10[[#This Row],[KOD_PRODUKTU]])</f>
        <v>Art. złączny do produktu 404T36</v>
      </c>
      <c r="J658" s="6" t="str">
        <f>_xlfn.CONCAT("VE-",Tabela10[[#This Row],[KOD_PRODUKTU]])</f>
        <v>VE-404T36</v>
      </c>
    </row>
    <row r="659" spans="1:10" x14ac:dyDescent="0.25">
      <c r="A659" s="1" t="s">
        <v>1686</v>
      </c>
      <c r="B659" t="s">
        <v>1687</v>
      </c>
      <c r="C659" s="1" t="s">
        <v>1688</v>
      </c>
      <c r="D659" t="s">
        <v>1690</v>
      </c>
      <c r="E659" t="s">
        <v>1216</v>
      </c>
      <c r="F659" t="s">
        <v>49</v>
      </c>
      <c r="G659" t="s">
        <v>50</v>
      </c>
      <c r="H659">
        <v>106.4</v>
      </c>
      <c r="I659" s="6" t="str">
        <f>_xlfn.CONCAT("Art. złączny do produktu ",Tabela10[[#This Row],[KOD_PRODUKTU]])</f>
        <v>Art. złączny do produktu 404T39</v>
      </c>
      <c r="J659" s="6" t="str">
        <f>_xlfn.CONCAT("VE-",Tabela10[[#This Row],[KOD_PRODUKTU]])</f>
        <v>VE-404T39</v>
      </c>
    </row>
    <row r="660" spans="1:10" x14ac:dyDescent="0.25">
      <c r="A660" s="7" t="s">
        <v>1686</v>
      </c>
      <c r="B660" s="6" t="s">
        <v>1687</v>
      </c>
      <c r="C660" s="7" t="s">
        <v>7</v>
      </c>
      <c r="D660" s="6" t="s">
        <v>8</v>
      </c>
      <c r="E660" s="6" t="s">
        <v>9</v>
      </c>
      <c r="F660" s="6" t="s">
        <v>10</v>
      </c>
      <c r="G660" s="6" t="s">
        <v>1499</v>
      </c>
      <c r="H660" s="6">
        <v>33.6</v>
      </c>
      <c r="I660" s="6" t="str">
        <f>_xlfn.CONCAT("Art. złączny do produktu ",Tabela10[[#This Row],[KOD_PRODUKTU]])</f>
        <v>Art. złączny do produktu 404T39</v>
      </c>
      <c r="J660" s="6" t="str">
        <f>_xlfn.CONCAT("VE-",Tabela10[[#This Row],[KOD_PRODUKTU]])</f>
        <v>VE-404T39</v>
      </c>
    </row>
    <row r="661" spans="1:10" x14ac:dyDescent="0.25">
      <c r="A661" s="1" t="s">
        <v>1697</v>
      </c>
      <c r="B661" t="s">
        <v>1698</v>
      </c>
      <c r="C661" s="1" t="s">
        <v>1699</v>
      </c>
      <c r="D661" t="s">
        <v>1700</v>
      </c>
      <c r="E661" t="s">
        <v>1701</v>
      </c>
      <c r="F661" t="s">
        <v>17</v>
      </c>
      <c r="G661" t="s">
        <v>1141</v>
      </c>
      <c r="H661">
        <v>312.5</v>
      </c>
      <c r="I661" s="6" t="str">
        <f>_xlfn.CONCAT("Art. złączny do produktu ",Tabela10[[#This Row],[KOD_PRODUKTU]])</f>
        <v>Art. złączny do produktu 404T42</v>
      </c>
      <c r="J661" s="6" t="str">
        <f>_xlfn.CONCAT("VE-",Tabela10[[#This Row],[KOD_PRODUKTU]])</f>
        <v>VE-404T42</v>
      </c>
    </row>
    <row r="662" spans="1:10" x14ac:dyDescent="0.25">
      <c r="A662" s="7" t="s">
        <v>1697</v>
      </c>
      <c r="B662" s="6" t="s">
        <v>1698</v>
      </c>
      <c r="C662" s="7" t="s">
        <v>7</v>
      </c>
      <c r="D662" s="6" t="s">
        <v>8</v>
      </c>
      <c r="E662" s="6" t="s">
        <v>9</v>
      </c>
      <c r="F662" s="6" t="s">
        <v>10</v>
      </c>
      <c r="G662" s="6" t="s">
        <v>594</v>
      </c>
      <c r="H662" s="6">
        <v>11.5</v>
      </c>
      <c r="I662" s="6" t="str">
        <f>_xlfn.CONCAT("Art. złączny do produktu ",Tabela10[[#This Row],[KOD_PRODUKTU]])</f>
        <v>Art. złączny do produktu 404T42</v>
      </c>
      <c r="J662" s="6" t="str">
        <f>_xlfn.CONCAT("VE-",Tabela10[[#This Row],[KOD_PRODUKTU]])</f>
        <v>VE-404T42</v>
      </c>
    </row>
    <row r="663" spans="1:10" x14ac:dyDescent="0.25">
      <c r="A663" s="1" t="s">
        <v>1702</v>
      </c>
      <c r="B663" t="s">
        <v>1703</v>
      </c>
      <c r="C663" s="1" t="s">
        <v>1704</v>
      </c>
      <c r="D663" t="s">
        <v>1705</v>
      </c>
      <c r="E663" t="s">
        <v>1706</v>
      </c>
      <c r="F663" t="s">
        <v>49</v>
      </c>
      <c r="G663" t="s">
        <v>50</v>
      </c>
      <c r="H663">
        <v>460.35</v>
      </c>
      <c r="I663" s="6" t="str">
        <f>_xlfn.CONCAT("Art. złączny do produktu ",Tabela10[[#This Row],[KOD_PRODUKTU]])</f>
        <v>Art. złączny do produktu 404T43</v>
      </c>
      <c r="J663" s="6" t="str">
        <f>_xlfn.CONCAT("VE-",Tabela10[[#This Row],[KOD_PRODUKTU]])</f>
        <v>VE-404T43</v>
      </c>
    </row>
    <row r="664" spans="1:10" x14ac:dyDescent="0.25">
      <c r="A664" s="7" t="s">
        <v>1702</v>
      </c>
      <c r="B664" s="6" t="s">
        <v>1703</v>
      </c>
      <c r="C664" s="7" t="s">
        <v>7</v>
      </c>
      <c r="D664" s="6" t="s">
        <v>8</v>
      </c>
      <c r="E664" s="6" t="s">
        <v>9</v>
      </c>
      <c r="F664" s="6" t="s">
        <v>10</v>
      </c>
      <c r="G664" s="6" t="s">
        <v>1707</v>
      </c>
      <c r="H664" s="6">
        <v>34.65</v>
      </c>
      <c r="I664" s="6" t="str">
        <f>_xlfn.CONCAT("Art. złączny do produktu ",Tabela10[[#This Row],[KOD_PRODUKTU]])</f>
        <v>Art. złączny do produktu 404T43</v>
      </c>
      <c r="J664" s="6" t="str">
        <f>_xlfn.CONCAT("VE-",Tabela10[[#This Row],[KOD_PRODUKTU]])</f>
        <v>VE-404T43</v>
      </c>
    </row>
    <row r="665" spans="1:10" x14ac:dyDescent="0.25">
      <c r="A665" s="1" t="s">
        <v>1708</v>
      </c>
      <c r="B665" t="s">
        <v>1709</v>
      </c>
      <c r="C665" s="1" t="s">
        <v>1710</v>
      </c>
      <c r="D665" t="s">
        <v>1711</v>
      </c>
      <c r="E665" t="s">
        <v>1712</v>
      </c>
      <c r="F665" t="s">
        <v>49</v>
      </c>
      <c r="G665" t="s">
        <v>50</v>
      </c>
      <c r="H665">
        <v>596.65</v>
      </c>
      <c r="I665" s="6" t="str">
        <f>_xlfn.CONCAT("Art. złączny do produktu ",Tabela10[[#This Row],[KOD_PRODUKTU]])</f>
        <v>Art. złączny do produktu 404T44</v>
      </c>
      <c r="J665" s="6" t="str">
        <f>_xlfn.CONCAT("VE-",Tabela10[[#This Row],[KOD_PRODUKTU]])</f>
        <v>VE-404T44</v>
      </c>
    </row>
    <row r="666" spans="1:10" x14ac:dyDescent="0.25">
      <c r="A666" s="7" t="s">
        <v>1708</v>
      </c>
      <c r="B666" s="6" t="s">
        <v>1709</v>
      </c>
      <c r="C666" s="7" t="s">
        <v>7</v>
      </c>
      <c r="D666" s="6" t="s">
        <v>8</v>
      </c>
      <c r="E666" s="6" t="s">
        <v>9</v>
      </c>
      <c r="F666" s="6" t="s">
        <v>10</v>
      </c>
      <c r="G666" s="6" t="s">
        <v>1713</v>
      </c>
      <c r="H666" s="6">
        <v>35.35</v>
      </c>
      <c r="I666" s="6" t="str">
        <f>_xlfn.CONCAT("Art. złączny do produktu ",Tabela10[[#This Row],[KOD_PRODUKTU]])</f>
        <v>Art. złączny do produktu 404T44</v>
      </c>
      <c r="J666" s="6" t="str">
        <f>_xlfn.CONCAT("VE-",Tabela10[[#This Row],[KOD_PRODUKTU]])</f>
        <v>VE-404T44</v>
      </c>
    </row>
    <row r="667" spans="1:10" x14ac:dyDescent="0.25">
      <c r="A667" s="1" t="s">
        <v>1714</v>
      </c>
      <c r="B667" t="s">
        <v>1715</v>
      </c>
      <c r="C667" s="1" t="s">
        <v>1699</v>
      </c>
      <c r="D667" t="s">
        <v>1700</v>
      </c>
      <c r="E667" t="s">
        <v>1701</v>
      </c>
      <c r="F667" t="s">
        <v>17</v>
      </c>
      <c r="G667" t="s">
        <v>1141</v>
      </c>
      <c r="H667">
        <v>312.5</v>
      </c>
      <c r="I667" s="6" t="str">
        <f>_xlfn.CONCAT("Art. złączny do produktu ",Tabela10[[#This Row],[KOD_PRODUKTU]])</f>
        <v>Art. złączny do produktu 404T45</v>
      </c>
      <c r="J667" s="6" t="str">
        <f>_xlfn.CONCAT("VE-",Tabela10[[#This Row],[KOD_PRODUKTU]])</f>
        <v>VE-404T45</v>
      </c>
    </row>
    <row r="668" spans="1:10" x14ac:dyDescent="0.25">
      <c r="A668" s="7" t="s">
        <v>1714</v>
      </c>
      <c r="B668" s="6" t="s">
        <v>1715</v>
      </c>
      <c r="C668" s="7" t="s">
        <v>7</v>
      </c>
      <c r="D668" s="6" t="s">
        <v>8</v>
      </c>
      <c r="E668" s="6" t="s">
        <v>9</v>
      </c>
      <c r="F668" s="6" t="s">
        <v>10</v>
      </c>
      <c r="G668" s="6" t="s">
        <v>594</v>
      </c>
      <c r="H668" s="6">
        <v>11.5</v>
      </c>
      <c r="I668" s="6" t="str">
        <f>_xlfn.CONCAT("Art. złączny do produktu ",Tabela10[[#This Row],[KOD_PRODUKTU]])</f>
        <v>Art. złączny do produktu 404T45</v>
      </c>
      <c r="J668" s="6" t="str">
        <f>_xlfn.CONCAT("VE-",Tabela10[[#This Row],[KOD_PRODUKTU]])</f>
        <v>VE-404T45</v>
      </c>
    </row>
    <row r="669" spans="1:10" x14ac:dyDescent="0.25">
      <c r="A669" s="1" t="s">
        <v>1716</v>
      </c>
      <c r="B669" t="s">
        <v>1717</v>
      </c>
      <c r="C669" s="1" t="s">
        <v>970</v>
      </c>
      <c r="D669" t="s">
        <v>1718</v>
      </c>
      <c r="E669" t="s">
        <v>972</v>
      </c>
      <c r="F669" t="s">
        <v>17</v>
      </c>
      <c r="G669" t="s">
        <v>1719</v>
      </c>
      <c r="H669">
        <v>127.1</v>
      </c>
      <c r="I669" s="6" t="str">
        <f>_xlfn.CONCAT("Art. złączny do produktu ",Tabela10[[#This Row],[KOD_PRODUKTU]])</f>
        <v>Art. złączny do produktu 404T46</v>
      </c>
      <c r="J669" s="6" t="str">
        <f>_xlfn.CONCAT("VE-",Tabela10[[#This Row],[KOD_PRODUKTU]])</f>
        <v>VE-404T46</v>
      </c>
    </row>
    <row r="670" spans="1:10" x14ac:dyDescent="0.25">
      <c r="A670" s="7" t="s">
        <v>1716</v>
      </c>
      <c r="B670" s="6" t="s">
        <v>1717</v>
      </c>
      <c r="C670" s="7" t="s">
        <v>7</v>
      </c>
      <c r="D670" s="6" t="s">
        <v>8</v>
      </c>
      <c r="E670" s="6" t="s">
        <v>9</v>
      </c>
      <c r="F670" s="6" t="s">
        <v>10</v>
      </c>
      <c r="G670" s="6" t="s">
        <v>601</v>
      </c>
      <c r="H670" s="6">
        <v>6.9</v>
      </c>
      <c r="I670" s="6" t="str">
        <f>_xlfn.CONCAT("Art. złączny do produktu ",Tabela10[[#This Row],[KOD_PRODUKTU]])</f>
        <v>Art. złączny do produktu 404T46</v>
      </c>
      <c r="J670" s="6" t="str">
        <f>_xlfn.CONCAT("VE-",Tabela10[[#This Row],[KOD_PRODUKTU]])</f>
        <v>VE-404T46</v>
      </c>
    </row>
    <row r="671" spans="1:10" x14ac:dyDescent="0.25">
      <c r="A671" s="1" t="s">
        <v>1720</v>
      </c>
      <c r="B671" t="s">
        <v>1721</v>
      </c>
      <c r="C671" s="1" t="s">
        <v>1722</v>
      </c>
      <c r="D671" t="s">
        <v>1723</v>
      </c>
      <c r="E671" t="s">
        <v>1724</v>
      </c>
      <c r="F671" t="s">
        <v>17</v>
      </c>
      <c r="G671" t="s">
        <v>1725</v>
      </c>
      <c r="H671">
        <v>21.4</v>
      </c>
      <c r="I671" s="6" t="str">
        <f>_xlfn.CONCAT("Art. złączny do produktu ",Tabela10[[#This Row],[KOD_PRODUKTU]])</f>
        <v>Art. złączny do produktu 404T51</v>
      </c>
      <c r="J671" s="6" t="str">
        <f>_xlfn.CONCAT("VE-",Tabela10[[#This Row],[KOD_PRODUKTU]])</f>
        <v>VE-404T51</v>
      </c>
    </row>
    <row r="672" spans="1:10" x14ac:dyDescent="0.25">
      <c r="A672" s="7" t="s">
        <v>1720</v>
      </c>
      <c r="B672" s="6" t="s">
        <v>1721</v>
      </c>
      <c r="C672" s="7" t="s">
        <v>7</v>
      </c>
      <c r="D672" s="6" t="s">
        <v>1031</v>
      </c>
      <c r="E672" s="6" t="s">
        <v>9</v>
      </c>
      <c r="F672" s="6" t="s">
        <v>10</v>
      </c>
      <c r="G672" s="6" t="s">
        <v>1726</v>
      </c>
      <c r="H672" s="6">
        <v>9.41</v>
      </c>
      <c r="I672" s="6" t="str">
        <f>_xlfn.CONCAT("Art. złączny do produktu ",Tabela10[[#This Row],[KOD_PRODUKTU]])</f>
        <v>Art. złączny do produktu 404T51</v>
      </c>
      <c r="J672" s="6" t="str">
        <f>_xlfn.CONCAT("VE-",Tabela10[[#This Row],[KOD_PRODUKTU]])</f>
        <v>VE-404T51</v>
      </c>
    </row>
    <row r="673" spans="1:10" x14ac:dyDescent="0.25">
      <c r="A673" s="1" t="s">
        <v>1727</v>
      </c>
      <c r="B673" t="s">
        <v>1728</v>
      </c>
      <c r="C673" s="1" t="s">
        <v>1547</v>
      </c>
      <c r="D673" t="s">
        <v>1548</v>
      </c>
      <c r="E673" t="s">
        <v>216</v>
      </c>
      <c r="F673" t="s">
        <v>5</v>
      </c>
      <c r="G673" t="s">
        <v>1729</v>
      </c>
      <c r="H673">
        <v>1.1000000000000001</v>
      </c>
      <c r="I673" s="6" t="str">
        <f>_xlfn.CONCAT("Art. złączny do produktu ",Tabela10[[#This Row],[KOD_PRODUKTU]])</f>
        <v>Art. złączny do produktu 404T52</v>
      </c>
      <c r="J673" s="6" t="str">
        <f>_xlfn.CONCAT("VE-",Tabela10[[#This Row],[KOD_PRODUKTU]])</f>
        <v>VE-404T52</v>
      </c>
    </row>
    <row r="674" spans="1:10" x14ac:dyDescent="0.25">
      <c r="A674" s="7" t="s">
        <v>1727</v>
      </c>
      <c r="B674" s="6" t="s">
        <v>1728</v>
      </c>
      <c r="C674" s="7" t="s">
        <v>7</v>
      </c>
      <c r="D674" s="6" t="s">
        <v>8</v>
      </c>
      <c r="E674" s="6" t="s">
        <v>9</v>
      </c>
      <c r="F674" s="6" t="s">
        <v>10</v>
      </c>
      <c r="G674" s="6" t="s">
        <v>1604</v>
      </c>
      <c r="H674" s="6">
        <v>9.6999999999999993</v>
      </c>
      <c r="I674" s="6" t="str">
        <f>_xlfn.CONCAT("Art. złączny do produktu ",Tabela10[[#This Row],[KOD_PRODUKTU]])</f>
        <v>Art. złączny do produktu 404T52</v>
      </c>
      <c r="J674" s="6" t="str">
        <f>_xlfn.CONCAT("VE-",Tabela10[[#This Row],[KOD_PRODUKTU]])</f>
        <v>VE-404T52</v>
      </c>
    </row>
    <row r="675" spans="1:10" x14ac:dyDescent="0.25">
      <c r="A675" s="1" t="s">
        <v>1730</v>
      </c>
      <c r="B675" t="s">
        <v>1731</v>
      </c>
      <c r="C675" s="1" t="s">
        <v>1387</v>
      </c>
      <c r="D675" t="s">
        <v>1388</v>
      </c>
      <c r="E675" t="s">
        <v>879</v>
      </c>
      <c r="F675" t="s">
        <v>17</v>
      </c>
      <c r="G675" t="s">
        <v>1732</v>
      </c>
      <c r="H675">
        <v>0.5</v>
      </c>
      <c r="I675" s="6" t="str">
        <f>_xlfn.CONCAT("Art. złączny do produktu ",Tabela10[[#This Row],[KOD_PRODUKTU]])</f>
        <v>Art. złączny do produktu 404T53</v>
      </c>
      <c r="J675" s="6" t="str">
        <f>_xlfn.CONCAT("VE-",Tabela10[[#This Row],[KOD_PRODUKTU]])</f>
        <v>VE-404T53</v>
      </c>
    </row>
    <row r="676" spans="1:10" x14ac:dyDescent="0.25">
      <c r="A676" s="7" t="s">
        <v>1730</v>
      </c>
      <c r="B676" s="6" t="s">
        <v>1731</v>
      </c>
      <c r="C676" s="7" t="s">
        <v>7</v>
      </c>
      <c r="D676" s="6" t="s">
        <v>8</v>
      </c>
      <c r="E676" s="6" t="s">
        <v>9</v>
      </c>
      <c r="F676" s="6" t="s">
        <v>10</v>
      </c>
      <c r="G676" s="6" t="s">
        <v>1733</v>
      </c>
      <c r="H676" s="6">
        <v>2.5</v>
      </c>
      <c r="I676" s="6" t="str">
        <f>_xlfn.CONCAT("Art. złączny do produktu ",Tabela10[[#This Row],[KOD_PRODUKTU]])</f>
        <v>Art. złączny do produktu 404T53</v>
      </c>
      <c r="J676" s="6" t="str">
        <f>_xlfn.CONCAT("VE-",Tabela10[[#This Row],[KOD_PRODUKTU]])</f>
        <v>VE-404T53</v>
      </c>
    </row>
    <row r="677" spans="1:10" x14ac:dyDescent="0.25">
      <c r="A677" s="1" t="s">
        <v>1741</v>
      </c>
      <c r="B677" t="s">
        <v>1742</v>
      </c>
      <c r="C677" s="1" t="s">
        <v>1743</v>
      </c>
      <c r="D677" t="s">
        <v>1744</v>
      </c>
      <c r="E677" t="s">
        <v>1354</v>
      </c>
      <c r="F677" t="s">
        <v>5</v>
      </c>
      <c r="G677" t="s">
        <v>1745</v>
      </c>
      <c r="H677">
        <v>9.4</v>
      </c>
      <c r="I677" s="6" t="str">
        <f>_xlfn.CONCAT("Art. złączny do produktu ",Tabela10[[#This Row],[KOD_PRODUKTU]])</f>
        <v>Art. złączny do produktu 404T60</v>
      </c>
      <c r="J677" s="6" t="str">
        <f>_xlfn.CONCAT("VE-",Tabela10[[#This Row],[KOD_PRODUKTU]])</f>
        <v>VE-404T60</v>
      </c>
    </row>
    <row r="678" spans="1:10" x14ac:dyDescent="0.25">
      <c r="A678" s="7" t="s">
        <v>1741</v>
      </c>
      <c r="B678" s="6" t="s">
        <v>1742</v>
      </c>
      <c r="C678" s="7" t="s">
        <v>541</v>
      </c>
      <c r="D678" s="6" t="s">
        <v>542</v>
      </c>
      <c r="E678" s="6" t="s">
        <v>9</v>
      </c>
      <c r="F678" s="6" t="s">
        <v>10</v>
      </c>
      <c r="G678" s="6" t="s">
        <v>1746</v>
      </c>
      <c r="H678" s="6">
        <v>15.35</v>
      </c>
      <c r="I678" s="6" t="str">
        <f>_xlfn.CONCAT("Art. złączny do produktu ",Tabela10[[#This Row],[KOD_PRODUKTU]])</f>
        <v>Art. złączny do produktu 404T60</v>
      </c>
      <c r="J678" s="6" t="str">
        <f>_xlfn.CONCAT("VE-",Tabela10[[#This Row],[KOD_PRODUKTU]])</f>
        <v>VE-404T60</v>
      </c>
    </row>
    <row r="679" spans="1:10" x14ac:dyDescent="0.25">
      <c r="A679" s="1" t="s">
        <v>1747</v>
      </c>
      <c r="B679" t="s">
        <v>1748</v>
      </c>
      <c r="C679" s="1" t="s">
        <v>1743</v>
      </c>
      <c r="D679" t="s">
        <v>1744</v>
      </c>
      <c r="E679" t="s">
        <v>1354</v>
      </c>
      <c r="F679" t="s">
        <v>5</v>
      </c>
      <c r="G679" t="s">
        <v>1745</v>
      </c>
      <c r="H679">
        <v>9.4</v>
      </c>
      <c r="I679" s="6" t="str">
        <f>_xlfn.CONCAT("Art. złączny do produktu ",Tabela10[[#This Row],[KOD_PRODUKTU]])</f>
        <v>Art. złączny do produktu 404T61</v>
      </c>
      <c r="J679" s="6" t="str">
        <f>_xlfn.CONCAT("VE-",Tabela10[[#This Row],[KOD_PRODUKTU]])</f>
        <v>VE-404T61</v>
      </c>
    </row>
    <row r="680" spans="1:10" x14ac:dyDescent="0.25">
      <c r="A680" s="7" t="s">
        <v>1747</v>
      </c>
      <c r="B680" s="6" t="s">
        <v>1748</v>
      </c>
      <c r="C680" s="7" t="s">
        <v>541</v>
      </c>
      <c r="D680" s="6" t="s">
        <v>542</v>
      </c>
      <c r="E680" s="6" t="s">
        <v>9</v>
      </c>
      <c r="F680" s="6" t="s">
        <v>10</v>
      </c>
      <c r="G680" s="6" t="s">
        <v>1749</v>
      </c>
      <c r="H680" s="6">
        <v>18.149999999999999</v>
      </c>
      <c r="I680" s="6" t="str">
        <f>_xlfn.CONCAT("Art. złączny do produktu ",Tabela10[[#This Row],[KOD_PRODUKTU]])</f>
        <v>Art. złączny do produktu 404T61</v>
      </c>
      <c r="J680" s="6" t="str">
        <f>_xlfn.CONCAT("VE-",Tabela10[[#This Row],[KOD_PRODUKTU]])</f>
        <v>VE-404T61</v>
      </c>
    </row>
    <row r="681" spans="1:10" x14ac:dyDescent="0.25">
      <c r="A681" s="1" t="s">
        <v>1750</v>
      </c>
      <c r="B681" t="s">
        <v>1751</v>
      </c>
      <c r="C681" s="1" t="s">
        <v>1752</v>
      </c>
      <c r="D681" t="s">
        <v>1753</v>
      </c>
      <c r="E681" t="s">
        <v>263</v>
      </c>
      <c r="F681" t="s">
        <v>17</v>
      </c>
      <c r="G681" t="s">
        <v>1754</v>
      </c>
      <c r="H681">
        <v>1.3</v>
      </c>
      <c r="I681" s="6" t="str">
        <f>_xlfn.CONCAT("Art. złączny do produktu ",Tabela10[[#This Row],[KOD_PRODUKTU]])</f>
        <v>Art. złączny do produktu 404T62</v>
      </c>
      <c r="J681" s="6" t="str">
        <f>_xlfn.CONCAT("VE-",Tabela10[[#This Row],[KOD_PRODUKTU]])</f>
        <v>VE-404T62</v>
      </c>
    </row>
    <row r="682" spans="1:10" x14ac:dyDescent="0.25">
      <c r="A682" s="7" t="s">
        <v>1750</v>
      </c>
      <c r="B682" s="6" t="s">
        <v>1751</v>
      </c>
      <c r="C682" s="7" t="s">
        <v>7</v>
      </c>
      <c r="D682" s="6" t="s">
        <v>8</v>
      </c>
      <c r="E682" s="6" t="s">
        <v>9</v>
      </c>
      <c r="F682" s="6" t="s">
        <v>10</v>
      </c>
      <c r="G682" s="6" t="s">
        <v>1755</v>
      </c>
      <c r="H682" s="6">
        <v>7.15</v>
      </c>
      <c r="I682" s="6" t="str">
        <f>_xlfn.CONCAT("Art. złączny do produktu ",Tabela10[[#This Row],[KOD_PRODUKTU]])</f>
        <v>Art. złączny do produktu 404T62</v>
      </c>
      <c r="J682" s="6" t="str">
        <f>_xlfn.CONCAT("VE-",Tabela10[[#This Row],[KOD_PRODUKTU]])</f>
        <v>VE-404T62</v>
      </c>
    </row>
    <row r="683" spans="1:10" x14ac:dyDescent="0.25">
      <c r="A683" s="1" t="s">
        <v>1756</v>
      </c>
      <c r="B683" t="s">
        <v>1757</v>
      </c>
      <c r="C683" s="1" t="s">
        <v>1022</v>
      </c>
      <c r="D683" t="s">
        <v>1023</v>
      </c>
      <c r="E683" t="s">
        <v>1024</v>
      </c>
      <c r="F683" t="s">
        <v>932</v>
      </c>
      <c r="G683" t="s">
        <v>1758</v>
      </c>
      <c r="H683">
        <v>52.1</v>
      </c>
      <c r="I683" s="6" t="str">
        <f>_xlfn.CONCAT("Art. złączny do produktu ",Tabela10[[#This Row],[KOD_PRODUKTU]])</f>
        <v>Art. złączny do produktu 404T63</v>
      </c>
      <c r="J683" s="6" t="str">
        <f>_xlfn.CONCAT("VE-",Tabela10[[#This Row],[KOD_PRODUKTU]])</f>
        <v>VE-404T63</v>
      </c>
    </row>
    <row r="684" spans="1:10" x14ac:dyDescent="0.25">
      <c r="A684" s="7" t="s">
        <v>1756</v>
      </c>
      <c r="B684" s="6" t="s">
        <v>1757</v>
      </c>
      <c r="C684" s="7" t="s">
        <v>1759</v>
      </c>
      <c r="D684" s="6" t="s">
        <v>1760</v>
      </c>
      <c r="E684" s="6" t="s">
        <v>1761</v>
      </c>
      <c r="F684" s="6" t="s">
        <v>435</v>
      </c>
      <c r="G684" s="6" t="s">
        <v>1762</v>
      </c>
      <c r="H684" s="6">
        <v>2.85</v>
      </c>
      <c r="I684" s="6" t="str">
        <f>_xlfn.CONCAT("Art. złączny do produktu ",Tabela10[[#This Row],[KOD_PRODUKTU]])</f>
        <v>Art. złączny do produktu 404T63</v>
      </c>
      <c r="J684" s="6" t="str">
        <f>_xlfn.CONCAT("VE-",Tabela10[[#This Row],[KOD_PRODUKTU]])</f>
        <v>VE-404T63</v>
      </c>
    </row>
    <row r="685" spans="1:10" x14ac:dyDescent="0.25">
      <c r="A685" s="1" t="s">
        <v>1756</v>
      </c>
      <c r="B685" t="s">
        <v>1757</v>
      </c>
      <c r="C685" s="1" t="s">
        <v>7</v>
      </c>
      <c r="D685" t="s">
        <v>8</v>
      </c>
      <c r="E685" t="s">
        <v>9</v>
      </c>
      <c r="F685" t="s">
        <v>10</v>
      </c>
      <c r="G685" t="s">
        <v>1763</v>
      </c>
      <c r="H685">
        <v>29.2</v>
      </c>
      <c r="I685" s="6" t="str">
        <f>_xlfn.CONCAT("Art. złączny do produktu ",Tabela10[[#This Row],[KOD_PRODUKTU]])</f>
        <v>Art. złączny do produktu 404T63</v>
      </c>
      <c r="J685" s="6" t="str">
        <f>_xlfn.CONCAT("VE-",Tabela10[[#This Row],[KOD_PRODUKTU]])</f>
        <v>VE-404T63</v>
      </c>
    </row>
    <row r="686" spans="1:10" x14ac:dyDescent="0.25">
      <c r="A686" s="7" t="s">
        <v>1764</v>
      </c>
      <c r="B686" s="6" t="s">
        <v>1765</v>
      </c>
      <c r="C686" s="7" t="s">
        <v>1689</v>
      </c>
      <c r="D686" s="6" t="s">
        <v>1767</v>
      </c>
      <c r="E686" s="6" t="s">
        <v>1768</v>
      </c>
      <c r="F686" s="6" t="s">
        <v>49</v>
      </c>
      <c r="G686" s="6" t="s">
        <v>50</v>
      </c>
      <c r="H686" s="6">
        <v>0</v>
      </c>
      <c r="I686" s="6" t="str">
        <f>_xlfn.CONCAT("Art. złączny do produktu ",Tabela10[[#This Row],[KOD_PRODUKTU]])</f>
        <v>Art. złączny do produktu 404T64</v>
      </c>
      <c r="J686" s="6" t="str">
        <f>_xlfn.CONCAT("VE-",Tabela10[[#This Row],[KOD_PRODUKTU]])</f>
        <v>VE-404T64</v>
      </c>
    </row>
    <row r="687" spans="1:10" x14ac:dyDescent="0.25">
      <c r="A687" s="1" t="s">
        <v>1764</v>
      </c>
      <c r="B687" t="s">
        <v>1765</v>
      </c>
      <c r="C687" s="1" t="s">
        <v>7</v>
      </c>
      <c r="D687" t="s">
        <v>8</v>
      </c>
      <c r="E687" t="s">
        <v>9</v>
      </c>
      <c r="F687" t="s">
        <v>10</v>
      </c>
      <c r="G687" t="s">
        <v>19</v>
      </c>
      <c r="H687">
        <v>4.5999999999999996</v>
      </c>
      <c r="I687" s="6" t="str">
        <f>_xlfn.CONCAT("Art. złączny do produktu ",Tabela10[[#This Row],[KOD_PRODUKTU]])</f>
        <v>Art. złączny do produktu 404T64</v>
      </c>
      <c r="J687" s="6" t="str">
        <f>_xlfn.CONCAT("VE-",Tabela10[[#This Row],[KOD_PRODUKTU]])</f>
        <v>VE-404T64</v>
      </c>
    </row>
    <row r="688" spans="1:10" x14ac:dyDescent="0.25">
      <c r="A688" s="7" t="s">
        <v>1779</v>
      </c>
      <c r="B688" s="6" t="s">
        <v>1780</v>
      </c>
      <c r="C688" s="7" t="s">
        <v>1774</v>
      </c>
      <c r="D688" s="6" t="s">
        <v>1775</v>
      </c>
      <c r="E688" s="6" t="s">
        <v>1776</v>
      </c>
      <c r="F688" s="6" t="s">
        <v>17</v>
      </c>
      <c r="G688" s="6" t="s">
        <v>1781</v>
      </c>
      <c r="H688" s="6">
        <v>0.35</v>
      </c>
      <c r="I688" s="6" t="str">
        <f>_xlfn.CONCAT("Art. złączny do produktu ",Tabela10[[#This Row],[KOD_PRODUKTU]])</f>
        <v>Art. złączny do produktu 404T67</v>
      </c>
      <c r="J688" s="6" t="str">
        <f>_xlfn.CONCAT("VE-",Tabela10[[#This Row],[KOD_PRODUKTU]])</f>
        <v>VE-404T67</v>
      </c>
    </row>
    <row r="689" spans="1:10" x14ac:dyDescent="0.25">
      <c r="A689" s="1" t="s">
        <v>1779</v>
      </c>
      <c r="B689" t="s">
        <v>1780</v>
      </c>
      <c r="C689" s="1" t="s">
        <v>432</v>
      </c>
      <c r="D689" t="s">
        <v>433</v>
      </c>
      <c r="E689" t="s">
        <v>434</v>
      </c>
      <c r="F689" t="s">
        <v>435</v>
      </c>
      <c r="G689" t="s">
        <v>50</v>
      </c>
      <c r="H689">
        <v>1.1000000000000001</v>
      </c>
      <c r="I689" s="6" t="str">
        <f>_xlfn.CONCAT("Art. złączny do produktu ",Tabela10[[#This Row],[KOD_PRODUKTU]])</f>
        <v>Art. złączny do produktu 404T67</v>
      </c>
      <c r="J689" s="6" t="str">
        <f>_xlfn.CONCAT("VE-",Tabela10[[#This Row],[KOD_PRODUKTU]])</f>
        <v>VE-404T67</v>
      </c>
    </row>
    <row r="690" spans="1:10" x14ac:dyDescent="0.25">
      <c r="A690" s="7" t="s">
        <v>1779</v>
      </c>
      <c r="B690" s="6" t="s">
        <v>1780</v>
      </c>
      <c r="C690" s="7" t="s">
        <v>7</v>
      </c>
      <c r="D690" s="6" t="s">
        <v>8</v>
      </c>
      <c r="E690" s="6" t="s">
        <v>9</v>
      </c>
      <c r="F690" s="6" t="s">
        <v>10</v>
      </c>
      <c r="G690" s="6" t="s">
        <v>71</v>
      </c>
      <c r="H690" s="6">
        <v>3.85</v>
      </c>
      <c r="I690" s="6" t="str">
        <f>_xlfn.CONCAT("Art. złączny do produktu ",Tabela10[[#This Row],[KOD_PRODUKTU]])</f>
        <v>Art. złączny do produktu 404T67</v>
      </c>
      <c r="J690" s="6" t="str">
        <f>_xlfn.CONCAT("VE-",Tabela10[[#This Row],[KOD_PRODUKTU]])</f>
        <v>VE-404T67</v>
      </c>
    </row>
    <row r="691" spans="1:10" x14ac:dyDescent="0.25">
      <c r="A691" s="1" t="s">
        <v>1782</v>
      </c>
      <c r="B691" t="s">
        <v>1783</v>
      </c>
      <c r="C691" s="1" t="s">
        <v>1774</v>
      </c>
      <c r="D691" t="s">
        <v>1775</v>
      </c>
      <c r="E691" t="s">
        <v>1776</v>
      </c>
      <c r="F691" t="s">
        <v>17</v>
      </c>
      <c r="G691" t="s">
        <v>1784</v>
      </c>
      <c r="H691">
        <v>0.25</v>
      </c>
      <c r="I691" s="6" t="str">
        <f>_xlfn.CONCAT("Art. złączny do produktu ",Tabela10[[#This Row],[KOD_PRODUKTU]])</f>
        <v>Art. złączny do produktu 404T68</v>
      </c>
      <c r="J691" s="6" t="str">
        <f>_xlfn.CONCAT("VE-",Tabela10[[#This Row],[KOD_PRODUKTU]])</f>
        <v>VE-404T68</v>
      </c>
    </row>
    <row r="692" spans="1:10" x14ac:dyDescent="0.25">
      <c r="A692" s="7" t="s">
        <v>1782</v>
      </c>
      <c r="B692" s="6" t="s">
        <v>1783</v>
      </c>
      <c r="C692" s="7" t="s">
        <v>432</v>
      </c>
      <c r="D692" s="6" t="s">
        <v>433</v>
      </c>
      <c r="E692" s="6" t="s">
        <v>434</v>
      </c>
      <c r="F692" s="6" t="s">
        <v>435</v>
      </c>
      <c r="G692" s="6" t="s">
        <v>50</v>
      </c>
      <c r="H692" s="6">
        <v>1.1000000000000001</v>
      </c>
      <c r="I692" s="6" t="str">
        <f>_xlfn.CONCAT("Art. złączny do produktu ",Tabela10[[#This Row],[KOD_PRODUKTU]])</f>
        <v>Art. złączny do produktu 404T68</v>
      </c>
      <c r="J692" s="6" t="str">
        <f>_xlfn.CONCAT("VE-",Tabela10[[#This Row],[KOD_PRODUKTU]])</f>
        <v>VE-404T68</v>
      </c>
    </row>
    <row r="693" spans="1:10" x14ac:dyDescent="0.25">
      <c r="A693" s="1" t="s">
        <v>1782</v>
      </c>
      <c r="B693" t="s">
        <v>1783</v>
      </c>
      <c r="C693" s="1" t="s">
        <v>7</v>
      </c>
      <c r="D693" t="s">
        <v>8</v>
      </c>
      <c r="E693" t="s">
        <v>9</v>
      </c>
      <c r="F693" t="s">
        <v>10</v>
      </c>
      <c r="G693" t="s">
        <v>71</v>
      </c>
      <c r="H693">
        <v>3.85</v>
      </c>
      <c r="I693" s="6" t="str">
        <f>_xlfn.CONCAT("Art. złączny do produktu ",Tabela10[[#This Row],[KOD_PRODUKTU]])</f>
        <v>Art. złączny do produktu 404T68</v>
      </c>
      <c r="J693" s="6" t="str">
        <f>_xlfn.CONCAT("VE-",Tabela10[[#This Row],[KOD_PRODUKTU]])</f>
        <v>VE-404T68</v>
      </c>
    </row>
    <row r="694" spans="1:10" x14ac:dyDescent="0.25">
      <c r="A694" s="7" t="s">
        <v>1792</v>
      </c>
      <c r="B694" s="6" t="s">
        <v>1793</v>
      </c>
      <c r="C694" s="7" t="s">
        <v>1794</v>
      </c>
      <c r="D694" s="6" t="s">
        <v>1795</v>
      </c>
      <c r="E694" s="6" t="s">
        <v>1796</v>
      </c>
      <c r="F694" s="6" t="s">
        <v>17</v>
      </c>
      <c r="G694" s="6" t="s">
        <v>1428</v>
      </c>
      <c r="H694" s="6">
        <v>3.36</v>
      </c>
      <c r="I694" s="6" t="str">
        <f>_xlfn.CONCAT("Art. złączny do produktu ",Tabela10[[#This Row],[KOD_PRODUKTU]])</f>
        <v>Art. złączny do produktu 404T71</v>
      </c>
      <c r="J694" s="6" t="str">
        <f>_xlfn.CONCAT("VE-",Tabela10[[#This Row],[KOD_PRODUKTU]])</f>
        <v>VE-404T71</v>
      </c>
    </row>
    <row r="695" spans="1:10" x14ac:dyDescent="0.25">
      <c r="A695" s="1" t="s">
        <v>1792</v>
      </c>
      <c r="B695" t="s">
        <v>1793</v>
      </c>
      <c r="C695" s="1" t="s">
        <v>7</v>
      </c>
      <c r="D695" t="s">
        <v>8</v>
      </c>
      <c r="E695" t="s">
        <v>9</v>
      </c>
      <c r="F695" t="s">
        <v>10</v>
      </c>
      <c r="G695" t="s">
        <v>1236</v>
      </c>
      <c r="H695">
        <v>5.52</v>
      </c>
      <c r="I695" s="6" t="str">
        <f>_xlfn.CONCAT("Art. złączny do produktu ",Tabela10[[#This Row],[KOD_PRODUKTU]])</f>
        <v>Art. złączny do produktu 404T71</v>
      </c>
      <c r="J695" s="6" t="str">
        <f>_xlfn.CONCAT("VE-",Tabela10[[#This Row],[KOD_PRODUKTU]])</f>
        <v>VE-404T71</v>
      </c>
    </row>
    <row r="696" spans="1:10" x14ac:dyDescent="0.25">
      <c r="A696" s="7" t="s">
        <v>1797</v>
      </c>
      <c r="B696" s="6" t="s">
        <v>1798</v>
      </c>
      <c r="C696" s="7" t="s">
        <v>1249</v>
      </c>
      <c r="D696" s="6" t="s">
        <v>1250</v>
      </c>
      <c r="E696" s="6" t="s">
        <v>1251</v>
      </c>
      <c r="F696" s="6" t="s">
        <v>1252</v>
      </c>
      <c r="G696" s="6" t="s">
        <v>1799</v>
      </c>
      <c r="H696" s="6">
        <v>59.28</v>
      </c>
      <c r="I696" s="6" t="str">
        <f>_xlfn.CONCAT("Art. złączny do produktu ",Tabela10[[#This Row],[KOD_PRODUKTU]])</f>
        <v>Art. złączny do produktu 404W02</v>
      </c>
      <c r="J696" s="6" t="str">
        <f>_xlfn.CONCAT("VE-",Tabela10[[#This Row],[KOD_PRODUKTU]])</f>
        <v>VE-404W02</v>
      </c>
    </row>
    <row r="697" spans="1:10" x14ac:dyDescent="0.25">
      <c r="A697" s="1" t="s">
        <v>1797</v>
      </c>
      <c r="B697" t="s">
        <v>1798</v>
      </c>
      <c r="C697" s="1" t="s">
        <v>541</v>
      </c>
      <c r="D697" t="s">
        <v>542</v>
      </c>
      <c r="E697" t="s">
        <v>9</v>
      </c>
      <c r="F697" t="s">
        <v>10</v>
      </c>
      <c r="G697" t="s">
        <v>860</v>
      </c>
      <c r="H697">
        <v>23</v>
      </c>
      <c r="I697" s="6" t="str">
        <f>_xlfn.CONCAT("Art. złączny do produktu ",Tabela10[[#This Row],[KOD_PRODUKTU]])</f>
        <v>Art. złączny do produktu 404W02</v>
      </c>
      <c r="J697" s="6" t="str">
        <f>_xlfn.CONCAT("VE-",Tabela10[[#This Row],[KOD_PRODUKTU]])</f>
        <v>VE-404W02</v>
      </c>
    </row>
    <row r="698" spans="1:10" x14ac:dyDescent="0.25">
      <c r="A698" s="7" t="s">
        <v>1797</v>
      </c>
      <c r="B698" s="6" t="s">
        <v>1798</v>
      </c>
      <c r="C698" s="7" t="s">
        <v>7</v>
      </c>
      <c r="D698" s="6" t="s">
        <v>8</v>
      </c>
      <c r="E698" s="6" t="s">
        <v>9</v>
      </c>
      <c r="F698" s="6" t="s">
        <v>10</v>
      </c>
      <c r="G698" s="6" t="s">
        <v>1800</v>
      </c>
      <c r="H698" s="6">
        <v>132.74</v>
      </c>
      <c r="I698" s="6" t="str">
        <f>_xlfn.CONCAT("Art. złączny do produktu ",Tabela10[[#This Row],[KOD_PRODUKTU]])</f>
        <v>Art. złączny do produktu 404W02</v>
      </c>
      <c r="J698" s="6" t="str">
        <f>_xlfn.CONCAT("VE-",Tabela10[[#This Row],[KOD_PRODUKTU]])</f>
        <v>VE-404W02</v>
      </c>
    </row>
    <row r="699" spans="1:10" x14ac:dyDescent="0.25">
      <c r="A699" s="1" t="s">
        <v>1801</v>
      </c>
      <c r="B699" t="s">
        <v>1802</v>
      </c>
      <c r="C699" s="1" t="s">
        <v>1249</v>
      </c>
      <c r="D699" t="s">
        <v>1250</v>
      </c>
      <c r="E699" t="s">
        <v>1251</v>
      </c>
      <c r="F699" t="s">
        <v>1252</v>
      </c>
      <c r="G699" t="s">
        <v>1803</v>
      </c>
      <c r="H699">
        <v>65.64</v>
      </c>
      <c r="I699" s="6" t="str">
        <f>_xlfn.CONCAT("Art. złączny do produktu ",Tabela10[[#This Row],[KOD_PRODUKTU]])</f>
        <v>Art. złączny do produktu 404W03</v>
      </c>
      <c r="J699" s="6" t="str">
        <f>_xlfn.CONCAT("VE-",Tabela10[[#This Row],[KOD_PRODUKTU]])</f>
        <v>VE-404W03</v>
      </c>
    </row>
    <row r="700" spans="1:10" x14ac:dyDescent="0.25">
      <c r="A700" s="7" t="s">
        <v>1801</v>
      </c>
      <c r="B700" s="6" t="s">
        <v>1802</v>
      </c>
      <c r="C700" s="7" t="s">
        <v>541</v>
      </c>
      <c r="D700" s="6" t="s">
        <v>542</v>
      </c>
      <c r="E700" s="6" t="s">
        <v>9</v>
      </c>
      <c r="F700" s="6" t="s">
        <v>10</v>
      </c>
      <c r="G700" s="6" t="s">
        <v>860</v>
      </c>
      <c r="H700" s="6">
        <v>23</v>
      </c>
      <c r="I700" s="6" t="str">
        <f>_xlfn.CONCAT("Art. złączny do produktu ",Tabela10[[#This Row],[KOD_PRODUKTU]])</f>
        <v>Art. złączny do produktu 404W03</v>
      </c>
      <c r="J700" s="6" t="str">
        <f>_xlfn.CONCAT("VE-",Tabela10[[#This Row],[KOD_PRODUKTU]])</f>
        <v>VE-404W03</v>
      </c>
    </row>
    <row r="701" spans="1:10" x14ac:dyDescent="0.25">
      <c r="A701" s="1" t="s">
        <v>1801</v>
      </c>
      <c r="B701" t="s">
        <v>1802</v>
      </c>
      <c r="C701" s="1" t="s">
        <v>7</v>
      </c>
      <c r="D701" t="s">
        <v>8</v>
      </c>
      <c r="E701" t="s">
        <v>9</v>
      </c>
      <c r="F701" t="s">
        <v>10</v>
      </c>
      <c r="G701" t="s">
        <v>1804</v>
      </c>
      <c r="H701">
        <v>166.32</v>
      </c>
      <c r="I701" s="6" t="str">
        <f>_xlfn.CONCAT("Art. złączny do produktu ",Tabela10[[#This Row],[KOD_PRODUKTU]])</f>
        <v>Art. złączny do produktu 404W03</v>
      </c>
      <c r="J701" s="6" t="str">
        <f>_xlfn.CONCAT("VE-",Tabela10[[#This Row],[KOD_PRODUKTU]])</f>
        <v>VE-404W03</v>
      </c>
    </row>
    <row r="702" spans="1:10" x14ac:dyDescent="0.25">
      <c r="A702" s="7" t="s">
        <v>1805</v>
      </c>
      <c r="B702" s="6" t="s">
        <v>1806</v>
      </c>
      <c r="C702" s="7" t="s">
        <v>1249</v>
      </c>
      <c r="D702" s="6" t="s">
        <v>1250</v>
      </c>
      <c r="E702" s="6" t="s">
        <v>1251</v>
      </c>
      <c r="F702" s="6" t="s">
        <v>1252</v>
      </c>
      <c r="G702" s="6" t="s">
        <v>1807</v>
      </c>
      <c r="H702" s="6">
        <v>58.8</v>
      </c>
      <c r="I702" s="6" t="str">
        <f>_xlfn.CONCAT("Art. złączny do produktu ",Tabela10[[#This Row],[KOD_PRODUKTU]])</f>
        <v>Art. złączny do produktu 404W04</v>
      </c>
      <c r="J702" s="6" t="str">
        <f>_xlfn.CONCAT("VE-",Tabela10[[#This Row],[KOD_PRODUKTU]])</f>
        <v>VE-404W04</v>
      </c>
    </row>
    <row r="703" spans="1:10" x14ac:dyDescent="0.25">
      <c r="A703" s="1" t="s">
        <v>1805</v>
      </c>
      <c r="B703" t="s">
        <v>1806</v>
      </c>
      <c r="C703" s="1" t="s">
        <v>541</v>
      </c>
      <c r="D703" t="s">
        <v>542</v>
      </c>
      <c r="E703" t="s">
        <v>9</v>
      </c>
      <c r="F703" t="s">
        <v>10</v>
      </c>
      <c r="G703" t="s">
        <v>860</v>
      </c>
      <c r="H703">
        <v>23</v>
      </c>
      <c r="I703" s="6" t="str">
        <f>_xlfn.CONCAT("Art. złączny do produktu ",Tabela10[[#This Row],[KOD_PRODUKTU]])</f>
        <v>Art. złączny do produktu 404W04</v>
      </c>
      <c r="J703" s="6" t="str">
        <f>_xlfn.CONCAT("VE-",Tabela10[[#This Row],[KOD_PRODUKTU]])</f>
        <v>VE-404W04</v>
      </c>
    </row>
    <row r="704" spans="1:10" x14ac:dyDescent="0.25">
      <c r="A704" s="7" t="s">
        <v>1805</v>
      </c>
      <c r="B704" s="6" t="s">
        <v>1806</v>
      </c>
      <c r="C704" s="7" t="s">
        <v>7</v>
      </c>
      <c r="D704" s="6" t="s">
        <v>8</v>
      </c>
      <c r="E704" s="6" t="s">
        <v>9</v>
      </c>
      <c r="F704" s="6" t="s">
        <v>10</v>
      </c>
      <c r="G704" s="6" t="s">
        <v>1808</v>
      </c>
      <c r="H704" s="6">
        <v>132.51</v>
      </c>
      <c r="I704" s="6" t="str">
        <f>_xlfn.CONCAT("Art. złączny do produktu ",Tabela10[[#This Row],[KOD_PRODUKTU]])</f>
        <v>Art. złączny do produktu 404W04</v>
      </c>
      <c r="J704" s="6" t="str">
        <f>_xlfn.CONCAT("VE-",Tabela10[[#This Row],[KOD_PRODUKTU]])</f>
        <v>VE-404W04</v>
      </c>
    </row>
    <row r="705" spans="1:10" x14ac:dyDescent="0.25">
      <c r="A705" s="1" t="s">
        <v>1809</v>
      </c>
      <c r="B705" t="s">
        <v>1810</v>
      </c>
      <c r="C705" s="1" t="s">
        <v>1249</v>
      </c>
      <c r="D705" t="s">
        <v>1250</v>
      </c>
      <c r="E705" t="s">
        <v>1251</v>
      </c>
      <c r="F705" t="s">
        <v>1252</v>
      </c>
      <c r="G705" t="s">
        <v>1811</v>
      </c>
      <c r="H705">
        <v>64.92</v>
      </c>
      <c r="I705" s="6" t="str">
        <f>_xlfn.CONCAT("Art. złączny do produktu ",Tabela10[[#This Row],[KOD_PRODUKTU]])</f>
        <v>Art. złączny do produktu 404W05</v>
      </c>
      <c r="J705" s="6" t="str">
        <f>_xlfn.CONCAT("VE-",Tabela10[[#This Row],[KOD_PRODUKTU]])</f>
        <v>VE-404W05</v>
      </c>
    </row>
    <row r="706" spans="1:10" x14ac:dyDescent="0.25">
      <c r="A706" s="7" t="s">
        <v>1809</v>
      </c>
      <c r="B706" s="6" t="s">
        <v>1810</v>
      </c>
      <c r="C706" s="7" t="s">
        <v>541</v>
      </c>
      <c r="D706" s="6" t="s">
        <v>542</v>
      </c>
      <c r="E706" s="6" t="s">
        <v>9</v>
      </c>
      <c r="F706" s="6" t="s">
        <v>10</v>
      </c>
      <c r="G706" s="6" t="s">
        <v>860</v>
      </c>
      <c r="H706" s="6">
        <v>23</v>
      </c>
      <c r="I706" s="6" t="str">
        <f>_xlfn.CONCAT("Art. złączny do produktu ",Tabela10[[#This Row],[KOD_PRODUKTU]])</f>
        <v>Art. złączny do produktu 404W05</v>
      </c>
      <c r="J706" s="6" t="str">
        <f>_xlfn.CONCAT("VE-",Tabela10[[#This Row],[KOD_PRODUKTU]])</f>
        <v>VE-404W05</v>
      </c>
    </row>
    <row r="707" spans="1:10" x14ac:dyDescent="0.25">
      <c r="A707" s="1" t="s">
        <v>1809</v>
      </c>
      <c r="B707" t="s">
        <v>1810</v>
      </c>
      <c r="C707" s="1" t="s">
        <v>7</v>
      </c>
      <c r="D707" t="s">
        <v>8</v>
      </c>
      <c r="E707" t="s">
        <v>9</v>
      </c>
      <c r="F707" t="s">
        <v>10</v>
      </c>
      <c r="G707" t="s">
        <v>1812</v>
      </c>
      <c r="H707">
        <v>164.71</v>
      </c>
      <c r="I707" s="6" t="str">
        <f>_xlfn.CONCAT("Art. złączny do produktu ",Tabela10[[#This Row],[KOD_PRODUKTU]])</f>
        <v>Art. złączny do produktu 404W05</v>
      </c>
      <c r="J707" s="6" t="str">
        <f>_xlfn.CONCAT("VE-",Tabela10[[#This Row],[KOD_PRODUKTU]])</f>
        <v>VE-404W05</v>
      </c>
    </row>
    <row r="708" spans="1:10" x14ac:dyDescent="0.25">
      <c r="A708" s="7" t="s">
        <v>1816</v>
      </c>
      <c r="B708" s="6" t="s">
        <v>1817</v>
      </c>
      <c r="C708" s="7" t="s">
        <v>1447</v>
      </c>
      <c r="D708" s="6" t="s">
        <v>1448</v>
      </c>
      <c r="E708" s="6" t="s">
        <v>31</v>
      </c>
      <c r="F708" s="6" t="s">
        <v>5</v>
      </c>
      <c r="G708" s="6" t="s">
        <v>1818</v>
      </c>
      <c r="H708" s="6">
        <v>51.5</v>
      </c>
      <c r="I708" s="6" t="str">
        <f>_xlfn.CONCAT("Art. złączny do produktu ",Tabela10[[#This Row],[KOD_PRODUKTU]])</f>
        <v>Art. złączny do produktu 404W95</v>
      </c>
      <c r="J708" s="6" t="str">
        <f>_xlfn.CONCAT("VE-",Tabela10[[#This Row],[KOD_PRODUKTU]])</f>
        <v>VE-404W95</v>
      </c>
    </row>
    <row r="709" spans="1:10" x14ac:dyDescent="0.25">
      <c r="A709" s="1" t="s">
        <v>1816</v>
      </c>
      <c r="B709" t="s">
        <v>1817</v>
      </c>
      <c r="C709" s="1" t="s">
        <v>7</v>
      </c>
      <c r="D709" t="s">
        <v>8</v>
      </c>
      <c r="E709" t="s">
        <v>9</v>
      </c>
      <c r="F709" t="s">
        <v>10</v>
      </c>
      <c r="G709" t="s">
        <v>1819</v>
      </c>
      <c r="H709">
        <v>35</v>
      </c>
      <c r="I709" s="6" t="str">
        <f>_xlfn.CONCAT("Art. złączny do produktu ",Tabela10[[#This Row],[KOD_PRODUKTU]])</f>
        <v>Art. złączny do produktu 404W95</v>
      </c>
      <c r="J709" s="6" t="str">
        <f>_xlfn.CONCAT("VE-",Tabela10[[#This Row],[KOD_PRODUKTU]])</f>
        <v>VE-404W95</v>
      </c>
    </row>
    <row r="710" spans="1:10" x14ac:dyDescent="0.25">
      <c r="A710" s="7" t="s">
        <v>1820</v>
      </c>
      <c r="B710" s="6" t="s">
        <v>1821</v>
      </c>
      <c r="C710" s="7" t="s">
        <v>1447</v>
      </c>
      <c r="D710" s="6" t="s">
        <v>1448</v>
      </c>
      <c r="E710" s="6" t="s">
        <v>31</v>
      </c>
      <c r="F710" s="6" t="s">
        <v>5</v>
      </c>
      <c r="G710" s="6" t="s">
        <v>1822</v>
      </c>
      <c r="H710" s="6">
        <v>41</v>
      </c>
      <c r="I710" s="6" t="str">
        <f>_xlfn.CONCAT("Art. złączny do produktu ",Tabela10[[#This Row],[KOD_PRODUKTU]])</f>
        <v>Art. złączny do produktu 404W96</v>
      </c>
      <c r="J710" s="6" t="str">
        <f>_xlfn.CONCAT("VE-",Tabela10[[#This Row],[KOD_PRODUKTU]])</f>
        <v>VE-404W96</v>
      </c>
    </row>
    <row r="711" spans="1:10" x14ac:dyDescent="0.25">
      <c r="A711" s="1" t="s">
        <v>1820</v>
      </c>
      <c r="B711" t="s">
        <v>1821</v>
      </c>
      <c r="C711" s="1" t="s">
        <v>7</v>
      </c>
      <c r="D711" t="s">
        <v>8</v>
      </c>
      <c r="E711" t="s">
        <v>9</v>
      </c>
      <c r="F711" t="s">
        <v>10</v>
      </c>
      <c r="G711" t="s">
        <v>1823</v>
      </c>
      <c r="H711">
        <v>30</v>
      </c>
      <c r="I711" s="6" t="str">
        <f>_xlfn.CONCAT("Art. złączny do produktu ",Tabela10[[#This Row],[KOD_PRODUKTU]])</f>
        <v>Art. złączny do produktu 404W96</v>
      </c>
      <c r="J711" s="6" t="str">
        <f>_xlfn.CONCAT("VE-",Tabela10[[#This Row],[KOD_PRODUKTU]])</f>
        <v>VE-404W96</v>
      </c>
    </row>
    <row r="712" spans="1:10" x14ac:dyDescent="0.25">
      <c r="A712" s="7" t="s">
        <v>1824</v>
      </c>
      <c r="B712" s="6" t="s">
        <v>1825</v>
      </c>
      <c r="C712" s="7" t="s">
        <v>1022</v>
      </c>
      <c r="D712" s="6" t="s">
        <v>1023</v>
      </c>
      <c r="E712" s="6" t="s">
        <v>1024</v>
      </c>
      <c r="F712" s="6" t="s">
        <v>932</v>
      </c>
      <c r="G712" s="6" t="s">
        <v>1826</v>
      </c>
      <c r="H712" s="6">
        <v>9.4</v>
      </c>
      <c r="I712" s="6" t="str">
        <f>_xlfn.CONCAT("Art. złączny do produktu ",Tabela10[[#This Row],[KOD_PRODUKTU]])</f>
        <v>Art. złączny do produktu 404Z02</v>
      </c>
      <c r="J712" s="6" t="str">
        <f>_xlfn.CONCAT("VE-",Tabela10[[#This Row],[KOD_PRODUKTU]])</f>
        <v>VE-404Z02</v>
      </c>
    </row>
    <row r="713" spans="1:10" x14ac:dyDescent="0.25">
      <c r="A713" s="1" t="s">
        <v>1824</v>
      </c>
      <c r="B713" t="s">
        <v>1825</v>
      </c>
      <c r="C713" s="1" t="s">
        <v>7</v>
      </c>
      <c r="D713" t="s">
        <v>1031</v>
      </c>
      <c r="E713" t="s">
        <v>9</v>
      </c>
      <c r="F713" t="s">
        <v>10</v>
      </c>
      <c r="G713" t="s">
        <v>1827</v>
      </c>
      <c r="H713">
        <v>28.2</v>
      </c>
      <c r="I713" s="6" t="str">
        <f>_xlfn.CONCAT("Art. złączny do produktu ",Tabela10[[#This Row],[KOD_PRODUKTU]])</f>
        <v>Art. złączny do produktu 404Z02</v>
      </c>
      <c r="J713" s="6" t="str">
        <f>_xlfn.CONCAT("VE-",Tabela10[[#This Row],[KOD_PRODUKTU]])</f>
        <v>VE-404Z02</v>
      </c>
    </row>
    <row r="714" spans="1:10" x14ac:dyDescent="0.25">
      <c r="A714" s="7" t="s">
        <v>1828</v>
      </c>
      <c r="B714" s="6" t="s">
        <v>1829</v>
      </c>
      <c r="C714" s="7" t="s">
        <v>1022</v>
      </c>
      <c r="D714" s="6" t="s">
        <v>1023</v>
      </c>
      <c r="E714" s="6" t="s">
        <v>1024</v>
      </c>
      <c r="F714" s="6" t="s">
        <v>932</v>
      </c>
      <c r="G714" s="6" t="s">
        <v>1830</v>
      </c>
      <c r="H714" s="6">
        <v>9.3000000000000007</v>
      </c>
      <c r="I714" s="6" t="str">
        <f>_xlfn.CONCAT("Art. złączny do produktu ",Tabela10[[#This Row],[KOD_PRODUKTU]])</f>
        <v>Art. złączny do produktu 404Z03</v>
      </c>
      <c r="J714" s="6" t="str">
        <f>_xlfn.CONCAT("VE-",Tabela10[[#This Row],[KOD_PRODUKTU]])</f>
        <v>VE-404Z03</v>
      </c>
    </row>
    <row r="715" spans="1:10" x14ac:dyDescent="0.25">
      <c r="A715" s="1" t="s">
        <v>1828</v>
      </c>
      <c r="B715" t="s">
        <v>1829</v>
      </c>
      <c r="C715" s="1" t="s">
        <v>7</v>
      </c>
      <c r="D715" t="s">
        <v>1031</v>
      </c>
      <c r="E715" t="s">
        <v>9</v>
      </c>
      <c r="F715" t="s">
        <v>10</v>
      </c>
      <c r="G715" t="s">
        <v>1831</v>
      </c>
      <c r="H715">
        <v>72.3</v>
      </c>
      <c r="I715" s="6" t="str">
        <f>_xlfn.CONCAT("Art. złączny do produktu ",Tabela10[[#This Row],[KOD_PRODUKTU]])</f>
        <v>Art. złączny do produktu 404Z03</v>
      </c>
      <c r="J715" s="6" t="str">
        <f>_xlfn.CONCAT("VE-",Tabela10[[#This Row],[KOD_PRODUKTU]])</f>
        <v>VE-404Z03</v>
      </c>
    </row>
    <row r="716" spans="1:10" x14ac:dyDescent="0.25">
      <c r="A716" s="7" t="s">
        <v>1832</v>
      </c>
      <c r="B716" s="6" t="s">
        <v>1833</v>
      </c>
      <c r="C716" s="7" t="s">
        <v>1203</v>
      </c>
      <c r="D716" s="6" t="s">
        <v>1204</v>
      </c>
      <c r="E716" s="6" t="s">
        <v>216</v>
      </c>
      <c r="F716" s="6" t="s">
        <v>5</v>
      </c>
      <c r="G716" s="6" t="s">
        <v>1787</v>
      </c>
      <c r="H716" s="6">
        <v>0.3</v>
      </c>
      <c r="I716" s="6" t="str">
        <f>_xlfn.CONCAT("Art. złączny do produktu ",Tabela10[[#This Row],[KOD_PRODUKTU]])</f>
        <v>Art. złączny do produktu 404Z05</v>
      </c>
      <c r="J716" s="6" t="str">
        <f>_xlfn.CONCAT("VE-",Tabela10[[#This Row],[KOD_PRODUKTU]])</f>
        <v>VE-404Z05</v>
      </c>
    </row>
    <row r="717" spans="1:10" x14ac:dyDescent="0.25">
      <c r="A717" s="1" t="s">
        <v>1832</v>
      </c>
      <c r="B717" t="s">
        <v>1833</v>
      </c>
      <c r="C717" s="1" t="s">
        <v>1834</v>
      </c>
      <c r="D717" t="s">
        <v>1835</v>
      </c>
      <c r="E717" t="s">
        <v>1836</v>
      </c>
      <c r="F717" t="s">
        <v>121</v>
      </c>
      <c r="G717" t="s">
        <v>50</v>
      </c>
      <c r="H717">
        <v>0.9</v>
      </c>
      <c r="I717" s="6" t="str">
        <f>_xlfn.CONCAT("Art. złączny do produktu ",Tabela10[[#This Row],[KOD_PRODUKTU]])</f>
        <v>Art. złączny do produktu 404Z05</v>
      </c>
      <c r="J717" s="6" t="str">
        <f>_xlfn.CONCAT("VE-",Tabela10[[#This Row],[KOD_PRODUKTU]])</f>
        <v>VE-404Z05</v>
      </c>
    </row>
    <row r="718" spans="1:10" x14ac:dyDescent="0.25">
      <c r="A718" s="7" t="s">
        <v>1832</v>
      </c>
      <c r="B718" s="6" t="s">
        <v>1833</v>
      </c>
      <c r="C718" s="7" t="s">
        <v>432</v>
      </c>
      <c r="D718" s="6" t="s">
        <v>433</v>
      </c>
      <c r="E718" s="6" t="s">
        <v>434</v>
      </c>
      <c r="F718" s="6" t="s">
        <v>435</v>
      </c>
      <c r="G718" s="6" t="s">
        <v>50</v>
      </c>
      <c r="H718" s="6">
        <v>1.1000000000000001</v>
      </c>
      <c r="I718" s="6" t="str">
        <f>_xlfn.CONCAT("Art. złączny do produktu ",Tabela10[[#This Row],[KOD_PRODUKTU]])</f>
        <v>Art. złączny do produktu 404Z05</v>
      </c>
      <c r="J718" s="6" t="str">
        <f>_xlfn.CONCAT("VE-",Tabela10[[#This Row],[KOD_PRODUKTU]])</f>
        <v>VE-404Z05</v>
      </c>
    </row>
    <row r="719" spans="1:10" x14ac:dyDescent="0.25">
      <c r="A719" s="1" t="s">
        <v>1832</v>
      </c>
      <c r="B719" t="s">
        <v>1833</v>
      </c>
      <c r="C719" s="1" t="s">
        <v>7</v>
      </c>
      <c r="D719" t="s">
        <v>8</v>
      </c>
      <c r="E719" t="s">
        <v>9</v>
      </c>
      <c r="F719" t="s">
        <v>10</v>
      </c>
      <c r="G719" t="s">
        <v>1371</v>
      </c>
      <c r="H719">
        <v>1.1499999999999999</v>
      </c>
      <c r="I719" s="6" t="str">
        <f>_xlfn.CONCAT("Art. złączny do produktu ",Tabela10[[#This Row],[KOD_PRODUKTU]])</f>
        <v>Art. złączny do produktu 404Z05</v>
      </c>
      <c r="J719" s="6" t="str">
        <f>_xlfn.CONCAT("VE-",Tabela10[[#This Row],[KOD_PRODUKTU]])</f>
        <v>VE-404Z05</v>
      </c>
    </row>
    <row r="720" spans="1:10" x14ac:dyDescent="0.25">
      <c r="A720" s="7" t="s">
        <v>1832</v>
      </c>
      <c r="B720" s="6" t="s">
        <v>1833</v>
      </c>
      <c r="C720" s="7" t="s">
        <v>7</v>
      </c>
      <c r="D720" s="6" t="s">
        <v>8</v>
      </c>
      <c r="E720" s="6" t="s">
        <v>9</v>
      </c>
      <c r="F720" s="6" t="s">
        <v>10</v>
      </c>
      <c r="G720" s="6" t="s">
        <v>1837</v>
      </c>
      <c r="H720" s="6">
        <v>2</v>
      </c>
      <c r="I720" s="6" t="str">
        <f>_xlfn.CONCAT("Art. złączny do produktu ",Tabela10[[#This Row],[KOD_PRODUKTU]])</f>
        <v>Art. złączny do produktu 404Z05</v>
      </c>
      <c r="J720" s="6" t="str">
        <f>_xlfn.CONCAT("VE-",Tabela10[[#This Row],[KOD_PRODUKTU]])</f>
        <v>VE-404Z05</v>
      </c>
    </row>
    <row r="721" spans="1:10" x14ac:dyDescent="0.25">
      <c r="A721" s="1" t="s">
        <v>1838</v>
      </c>
      <c r="B721" t="s">
        <v>1839</v>
      </c>
      <c r="C721" s="1" t="s">
        <v>1022</v>
      </c>
      <c r="D721" t="s">
        <v>1023</v>
      </c>
      <c r="E721" t="s">
        <v>1024</v>
      </c>
      <c r="F721" t="s">
        <v>932</v>
      </c>
      <c r="G721" t="s">
        <v>1840</v>
      </c>
      <c r="H721">
        <v>15</v>
      </c>
      <c r="I721" s="6" t="str">
        <f>_xlfn.CONCAT("Art. złączny do produktu ",Tabela10[[#This Row],[KOD_PRODUKTU]])</f>
        <v>Art. złączny do produktu 404Z06</v>
      </c>
      <c r="J721" s="6" t="str">
        <f>_xlfn.CONCAT("VE-",Tabela10[[#This Row],[KOD_PRODUKTU]])</f>
        <v>VE-404Z06</v>
      </c>
    </row>
    <row r="722" spans="1:10" x14ac:dyDescent="0.25">
      <c r="A722" s="7" t="s">
        <v>1838</v>
      </c>
      <c r="B722" s="6" t="s">
        <v>1839</v>
      </c>
      <c r="C722" s="7" t="s">
        <v>7</v>
      </c>
      <c r="D722" s="6" t="s">
        <v>1031</v>
      </c>
      <c r="E722" s="6" t="s">
        <v>9</v>
      </c>
      <c r="F722" s="6" t="s">
        <v>10</v>
      </c>
      <c r="G722" s="6" t="s">
        <v>1841</v>
      </c>
      <c r="H722" s="6">
        <v>42.4</v>
      </c>
      <c r="I722" s="6" t="str">
        <f>_xlfn.CONCAT("Art. złączny do produktu ",Tabela10[[#This Row],[KOD_PRODUKTU]])</f>
        <v>Art. złączny do produktu 404Z06</v>
      </c>
      <c r="J722" s="6" t="str">
        <f>_xlfn.CONCAT("VE-",Tabela10[[#This Row],[KOD_PRODUKTU]])</f>
        <v>VE-404Z06</v>
      </c>
    </row>
    <row r="723" spans="1:10" x14ac:dyDescent="0.25">
      <c r="A723" s="1" t="s">
        <v>1842</v>
      </c>
      <c r="B723" t="s">
        <v>1843</v>
      </c>
      <c r="C723" s="1" t="s">
        <v>1844</v>
      </c>
      <c r="D723" t="s">
        <v>1845</v>
      </c>
      <c r="E723" t="s">
        <v>1846</v>
      </c>
      <c r="F723" t="s">
        <v>121</v>
      </c>
      <c r="G723" t="s">
        <v>50</v>
      </c>
      <c r="H723">
        <v>15.52</v>
      </c>
      <c r="I723" s="6" t="str">
        <f>_xlfn.CONCAT("Art. złączny do produktu ",Tabela10[[#This Row],[KOD_PRODUKTU]])</f>
        <v>Art. złączny do produktu 404Z07</v>
      </c>
      <c r="J723" s="6" t="str">
        <f>_xlfn.CONCAT("VE-",Tabela10[[#This Row],[KOD_PRODUKTU]])</f>
        <v>VE-404Z07</v>
      </c>
    </row>
    <row r="724" spans="1:10" x14ac:dyDescent="0.25">
      <c r="A724" s="7" t="s">
        <v>1842</v>
      </c>
      <c r="B724" s="6" t="s">
        <v>1843</v>
      </c>
      <c r="C724" s="7" t="s">
        <v>1847</v>
      </c>
      <c r="D724" s="6" t="s">
        <v>1848</v>
      </c>
      <c r="E724" s="6" t="s">
        <v>1849</v>
      </c>
      <c r="F724" s="6" t="s">
        <v>121</v>
      </c>
      <c r="G724" s="6" t="s">
        <v>50</v>
      </c>
      <c r="H724" s="6">
        <v>15.74</v>
      </c>
      <c r="I724" s="6" t="str">
        <f>_xlfn.CONCAT("Art. złączny do produktu ",Tabela10[[#This Row],[KOD_PRODUKTU]])</f>
        <v>Art. złączny do produktu 404Z07</v>
      </c>
      <c r="J724" s="6" t="str">
        <f>_xlfn.CONCAT("VE-",Tabela10[[#This Row],[KOD_PRODUKTU]])</f>
        <v>VE-404Z07</v>
      </c>
    </row>
    <row r="725" spans="1:10" x14ac:dyDescent="0.25">
      <c r="A725" s="1" t="s">
        <v>1842</v>
      </c>
      <c r="B725" t="s">
        <v>1843</v>
      </c>
      <c r="C725" s="1" t="s">
        <v>41</v>
      </c>
      <c r="D725" t="s">
        <v>42</v>
      </c>
      <c r="E725" t="s">
        <v>513</v>
      </c>
      <c r="F725" t="s">
        <v>5</v>
      </c>
      <c r="G725" t="s">
        <v>1850</v>
      </c>
      <c r="H725">
        <v>0.12</v>
      </c>
      <c r="I725" s="6" t="str">
        <f>_xlfn.CONCAT("Art. złączny do produktu ",Tabela10[[#This Row],[KOD_PRODUKTU]])</f>
        <v>Art. złączny do produktu 404Z07</v>
      </c>
      <c r="J725" s="6" t="str">
        <f>_xlfn.CONCAT("VE-",Tabela10[[#This Row],[KOD_PRODUKTU]])</f>
        <v>VE-404Z07</v>
      </c>
    </row>
    <row r="726" spans="1:10" x14ac:dyDescent="0.25">
      <c r="A726" s="7" t="s">
        <v>1842</v>
      </c>
      <c r="B726" s="6" t="s">
        <v>1843</v>
      </c>
      <c r="C726" s="7" t="s">
        <v>7</v>
      </c>
      <c r="D726" s="6" t="s">
        <v>8</v>
      </c>
      <c r="E726" s="6" t="s">
        <v>9</v>
      </c>
      <c r="F726" s="6" t="s">
        <v>10</v>
      </c>
      <c r="G726" s="6" t="s">
        <v>1851</v>
      </c>
      <c r="H726" s="6">
        <v>19.32</v>
      </c>
      <c r="I726" s="6" t="str">
        <f>_xlfn.CONCAT("Art. złączny do produktu ",Tabela10[[#This Row],[KOD_PRODUKTU]])</f>
        <v>Art. złączny do produktu 404Z07</v>
      </c>
      <c r="J726" s="6" t="str">
        <f>_xlfn.CONCAT("VE-",Tabela10[[#This Row],[KOD_PRODUKTU]])</f>
        <v>VE-404Z07</v>
      </c>
    </row>
    <row r="727" spans="1:10" x14ac:dyDescent="0.25">
      <c r="A727" s="1" t="s">
        <v>1852</v>
      </c>
      <c r="B727" t="s">
        <v>1853</v>
      </c>
      <c r="C727" s="1" t="s">
        <v>1854</v>
      </c>
      <c r="D727" t="s">
        <v>1855</v>
      </c>
      <c r="E727" t="s">
        <v>1856</v>
      </c>
      <c r="F727" t="s">
        <v>1857</v>
      </c>
      <c r="G727" t="s">
        <v>1858</v>
      </c>
      <c r="H727">
        <v>0.04</v>
      </c>
      <c r="I727" s="6" t="str">
        <f>_xlfn.CONCAT("Art. złączny do produktu ",Tabela10[[#This Row],[KOD_PRODUKTU]])</f>
        <v>Art. złączny do produktu 404Z08</v>
      </c>
      <c r="J727" s="6" t="str">
        <f>_xlfn.CONCAT("VE-",Tabela10[[#This Row],[KOD_PRODUKTU]])</f>
        <v>VE-404Z08</v>
      </c>
    </row>
    <row r="728" spans="1:10" x14ac:dyDescent="0.25">
      <c r="A728" s="7" t="s">
        <v>1852</v>
      </c>
      <c r="B728" s="6" t="s">
        <v>1853</v>
      </c>
      <c r="C728" s="7" t="s">
        <v>1859</v>
      </c>
      <c r="D728" s="6" t="s">
        <v>1860</v>
      </c>
      <c r="E728" s="6" t="s">
        <v>1861</v>
      </c>
      <c r="F728" s="6" t="s">
        <v>1857</v>
      </c>
      <c r="G728" s="6" t="s">
        <v>1253</v>
      </c>
      <c r="H728" s="6">
        <v>0.03</v>
      </c>
      <c r="I728" s="6" t="str">
        <f>_xlfn.CONCAT("Art. złączny do produktu ",Tabela10[[#This Row],[KOD_PRODUKTU]])</f>
        <v>Art. złączny do produktu 404Z08</v>
      </c>
      <c r="J728" s="6" t="str">
        <f>_xlfn.CONCAT("VE-",Tabela10[[#This Row],[KOD_PRODUKTU]])</f>
        <v>VE-404Z08</v>
      </c>
    </row>
    <row r="729" spans="1:10" x14ac:dyDescent="0.25">
      <c r="A729" s="1" t="s">
        <v>1852</v>
      </c>
      <c r="B729" t="s">
        <v>1853</v>
      </c>
      <c r="C729" s="1" t="s">
        <v>1862</v>
      </c>
      <c r="D729" t="s">
        <v>1863</v>
      </c>
      <c r="E729" t="s">
        <v>1864</v>
      </c>
      <c r="F729" t="s">
        <v>121</v>
      </c>
      <c r="G729" t="s">
        <v>33</v>
      </c>
      <c r="H729">
        <v>0.57999999999999996</v>
      </c>
      <c r="I729" s="6" t="str">
        <f>_xlfn.CONCAT("Art. złączny do produktu ",Tabela10[[#This Row],[KOD_PRODUKTU]])</f>
        <v>Art. złączny do produktu 404Z08</v>
      </c>
      <c r="J729" s="6" t="str">
        <f>_xlfn.CONCAT("VE-",Tabela10[[#This Row],[KOD_PRODUKTU]])</f>
        <v>VE-404Z08</v>
      </c>
    </row>
    <row r="730" spans="1:10" x14ac:dyDescent="0.25">
      <c r="A730" s="7" t="s">
        <v>1852</v>
      </c>
      <c r="B730" s="6" t="s">
        <v>1853</v>
      </c>
      <c r="C730" s="7" t="s">
        <v>584</v>
      </c>
      <c r="D730" s="6" t="s">
        <v>585</v>
      </c>
      <c r="E730" s="6" t="s">
        <v>606</v>
      </c>
      <c r="F730" s="6" t="s">
        <v>5</v>
      </c>
      <c r="G730" s="6" t="s">
        <v>1865</v>
      </c>
      <c r="H730" s="6">
        <v>7.0000000000000007E-2</v>
      </c>
      <c r="I730" s="6" t="str">
        <f>_xlfn.CONCAT("Art. złączny do produktu ",Tabela10[[#This Row],[KOD_PRODUKTU]])</f>
        <v>Art. złączny do produktu 404Z08</v>
      </c>
      <c r="J730" s="6" t="str">
        <f>_xlfn.CONCAT("VE-",Tabela10[[#This Row],[KOD_PRODUKTU]])</f>
        <v>VE-404Z08</v>
      </c>
    </row>
    <row r="731" spans="1:10" x14ac:dyDescent="0.25">
      <c r="A731" s="1" t="s">
        <v>1852</v>
      </c>
      <c r="B731" t="s">
        <v>1853</v>
      </c>
      <c r="C731" s="1" t="s">
        <v>587</v>
      </c>
      <c r="D731" t="s">
        <v>588</v>
      </c>
      <c r="E731" t="s">
        <v>191</v>
      </c>
      <c r="F731" t="s">
        <v>5</v>
      </c>
      <c r="G731" t="s">
        <v>1866</v>
      </c>
      <c r="H731">
        <v>0.06</v>
      </c>
      <c r="I731" s="6" t="str">
        <f>_xlfn.CONCAT("Art. złączny do produktu ",Tabela10[[#This Row],[KOD_PRODUKTU]])</f>
        <v>Art. złączny do produktu 404Z08</v>
      </c>
      <c r="J731" s="6" t="str">
        <f>_xlfn.CONCAT("VE-",Tabela10[[#This Row],[KOD_PRODUKTU]])</f>
        <v>VE-404Z08</v>
      </c>
    </row>
    <row r="732" spans="1:10" x14ac:dyDescent="0.25">
      <c r="A732" s="7" t="s">
        <v>1852</v>
      </c>
      <c r="B732" s="6" t="s">
        <v>1853</v>
      </c>
      <c r="C732" s="7" t="s">
        <v>41</v>
      </c>
      <c r="D732" s="6" t="s">
        <v>42</v>
      </c>
      <c r="E732" s="6" t="s">
        <v>43</v>
      </c>
      <c r="F732" s="6" t="s">
        <v>5</v>
      </c>
      <c r="G732" s="6" t="s">
        <v>1867</v>
      </c>
      <c r="H732" s="6">
        <v>0.03</v>
      </c>
      <c r="I732" s="6" t="str">
        <f>_xlfn.CONCAT("Art. złączny do produktu ",Tabela10[[#This Row],[KOD_PRODUKTU]])</f>
        <v>Art. złączny do produktu 404Z08</v>
      </c>
      <c r="J732" s="6" t="str">
        <f>_xlfn.CONCAT("VE-",Tabela10[[#This Row],[KOD_PRODUKTU]])</f>
        <v>VE-404Z08</v>
      </c>
    </row>
    <row r="733" spans="1:10" x14ac:dyDescent="0.25">
      <c r="A733" s="1" t="s">
        <v>1852</v>
      </c>
      <c r="B733" t="s">
        <v>1853</v>
      </c>
      <c r="C733" s="1" t="s">
        <v>1868</v>
      </c>
      <c r="D733" t="s">
        <v>1869</v>
      </c>
      <c r="E733" t="s">
        <v>1870</v>
      </c>
      <c r="F733" t="s">
        <v>49</v>
      </c>
      <c r="G733" t="s">
        <v>50</v>
      </c>
      <c r="H733">
        <v>48.55</v>
      </c>
      <c r="I733" s="6" t="str">
        <f>_xlfn.CONCAT("Art. złączny do produktu ",Tabela10[[#This Row],[KOD_PRODUKTU]])</f>
        <v>Art. złączny do produktu 404Z08</v>
      </c>
      <c r="J733" s="6" t="str">
        <f>_xlfn.CONCAT("VE-",Tabela10[[#This Row],[KOD_PRODUKTU]])</f>
        <v>VE-404Z08</v>
      </c>
    </row>
    <row r="734" spans="1:10" x14ac:dyDescent="0.25">
      <c r="A734" s="7" t="s">
        <v>1852</v>
      </c>
      <c r="B734" s="6" t="s">
        <v>1853</v>
      </c>
      <c r="C734" s="7" t="s">
        <v>7</v>
      </c>
      <c r="D734" s="6" t="s">
        <v>8</v>
      </c>
      <c r="E734" s="6" t="s">
        <v>9</v>
      </c>
      <c r="F734" s="6" t="s">
        <v>10</v>
      </c>
      <c r="G734" s="6" t="s">
        <v>1879</v>
      </c>
      <c r="H734" s="6">
        <v>8.3000000000000007</v>
      </c>
      <c r="I734" s="6" t="str">
        <f>_xlfn.CONCAT("Art. złączny do produktu ",Tabela10[[#This Row],[KOD_PRODUKTU]])</f>
        <v>Art. złączny do produktu 404Z08</v>
      </c>
      <c r="J734" s="6" t="str">
        <f>_xlfn.CONCAT("VE-",Tabela10[[#This Row],[KOD_PRODUKTU]])</f>
        <v>VE-404Z08</v>
      </c>
    </row>
    <row r="735" spans="1:10" x14ac:dyDescent="0.25">
      <c r="A735" s="1" t="s">
        <v>1880</v>
      </c>
      <c r="B735" t="s">
        <v>1881</v>
      </c>
      <c r="C735" s="1" t="s">
        <v>1882</v>
      </c>
      <c r="D735" t="s">
        <v>1883</v>
      </c>
      <c r="E735" t="s">
        <v>1884</v>
      </c>
      <c r="F735" t="s">
        <v>5</v>
      </c>
      <c r="G735" t="s">
        <v>1885</v>
      </c>
      <c r="H735">
        <v>0.04</v>
      </c>
      <c r="I735" s="6" t="str">
        <f>_xlfn.CONCAT("Art. złączny do produktu ",Tabela10[[#This Row],[KOD_PRODUKTU]])</f>
        <v>Art. złączny do produktu 404Z09</v>
      </c>
      <c r="J735" s="6" t="str">
        <f>_xlfn.CONCAT("VE-",Tabela10[[#This Row],[KOD_PRODUKTU]])</f>
        <v>VE-404Z09</v>
      </c>
    </row>
    <row r="736" spans="1:10" x14ac:dyDescent="0.25">
      <c r="A736" s="7" t="s">
        <v>1880</v>
      </c>
      <c r="B736" s="6" t="s">
        <v>1881</v>
      </c>
      <c r="C736" s="7" t="s">
        <v>1886</v>
      </c>
      <c r="D736" s="6" t="s">
        <v>1887</v>
      </c>
      <c r="E736" s="6" t="s">
        <v>1888</v>
      </c>
      <c r="F736" s="6" t="s">
        <v>5</v>
      </c>
      <c r="G736" s="6" t="s">
        <v>1889</v>
      </c>
      <c r="H736" s="6">
        <v>0.04</v>
      </c>
      <c r="I736" s="6" t="str">
        <f>_xlfn.CONCAT("Art. złączny do produktu ",Tabela10[[#This Row],[KOD_PRODUKTU]])</f>
        <v>Art. złączny do produktu 404Z09</v>
      </c>
      <c r="J736" s="6" t="str">
        <f>_xlfn.CONCAT("VE-",Tabela10[[#This Row],[KOD_PRODUKTU]])</f>
        <v>VE-404Z09</v>
      </c>
    </row>
    <row r="737" spans="1:10" x14ac:dyDescent="0.25">
      <c r="A737" s="1" t="s">
        <v>1880</v>
      </c>
      <c r="B737" t="s">
        <v>1881</v>
      </c>
      <c r="C737" s="1" t="s">
        <v>1890</v>
      </c>
      <c r="D737" t="s">
        <v>1891</v>
      </c>
      <c r="E737" t="s">
        <v>1892</v>
      </c>
      <c r="F737" t="s">
        <v>5</v>
      </c>
      <c r="G737" t="s">
        <v>1893</v>
      </c>
      <c r="H737">
        <v>0.01</v>
      </c>
      <c r="I737" s="6" t="str">
        <f>_xlfn.CONCAT("Art. złączny do produktu ",Tabela10[[#This Row],[KOD_PRODUKTU]])</f>
        <v>Art. złączny do produktu 404Z09</v>
      </c>
      <c r="J737" s="6" t="str">
        <f>_xlfn.CONCAT("VE-",Tabela10[[#This Row],[KOD_PRODUKTU]])</f>
        <v>VE-404Z09</v>
      </c>
    </row>
    <row r="738" spans="1:10" x14ac:dyDescent="0.25">
      <c r="A738" s="7" t="s">
        <v>1880</v>
      </c>
      <c r="B738" s="6" t="s">
        <v>1881</v>
      </c>
      <c r="C738" s="7" t="s">
        <v>1894</v>
      </c>
      <c r="D738" s="6" t="s">
        <v>1895</v>
      </c>
      <c r="E738" s="6" t="s">
        <v>1896</v>
      </c>
      <c r="F738" s="6" t="s">
        <v>5</v>
      </c>
      <c r="G738" s="6" t="s">
        <v>1897</v>
      </c>
      <c r="H738" s="6">
        <v>0.21</v>
      </c>
      <c r="I738" s="6" t="str">
        <f>_xlfn.CONCAT("Art. złączny do produktu ",Tabela10[[#This Row],[KOD_PRODUKTU]])</f>
        <v>Art. złączny do produktu 404Z09</v>
      </c>
      <c r="J738" s="6" t="str">
        <f>_xlfn.CONCAT("VE-",Tabela10[[#This Row],[KOD_PRODUKTU]])</f>
        <v>VE-404Z09</v>
      </c>
    </row>
    <row r="739" spans="1:10" x14ac:dyDescent="0.25">
      <c r="A739" s="1" t="s">
        <v>1880</v>
      </c>
      <c r="B739" t="s">
        <v>1881</v>
      </c>
      <c r="C739" s="1" t="s">
        <v>1898</v>
      </c>
      <c r="D739" t="s">
        <v>1899</v>
      </c>
      <c r="E739" t="s">
        <v>669</v>
      </c>
      <c r="F739" t="s">
        <v>121</v>
      </c>
      <c r="G739" t="s">
        <v>50</v>
      </c>
      <c r="H739">
        <v>18.5</v>
      </c>
      <c r="I739" s="6" t="str">
        <f>_xlfn.CONCAT("Art. złączny do produktu ",Tabela10[[#This Row],[KOD_PRODUKTU]])</f>
        <v>Art. złączny do produktu 404Z09</v>
      </c>
      <c r="J739" s="6" t="str">
        <f>_xlfn.CONCAT("VE-",Tabela10[[#This Row],[KOD_PRODUKTU]])</f>
        <v>VE-404Z09</v>
      </c>
    </row>
    <row r="740" spans="1:10" x14ac:dyDescent="0.25">
      <c r="A740" s="7" t="s">
        <v>1880</v>
      </c>
      <c r="B740" s="6" t="s">
        <v>1881</v>
      </c>
      <c r="C740" s="7" t="s">
        <v>41</v>
      </c>
      <c r="D740" s="6" t="s">
        <v>42</v>
      </c>
      <c r="E740" s="6" t="s">
        <v>43</v>
      </c>
      <c r="F740" s="6" t="s">
        <v>5</v>
      </c>
      <c r="G740" s="6" t="s">
        <v>1900</v>
      </c>
      <c r="H740" s="6">
        <v>0.03</v>
      </c>
      <c r="I740" s="6" t="str">
        <f>_xlfn.CONCAT("Art. złączny do produktu ",Tabela10[[#This Row],[KOD_PRODUKTU]])</f>
        <v>Art. złączny do produktu 404Z09</v>
      </c>
      <c r="J740" s="6" t="str">
        <f>_xlfn.CONCAT("VE-",Tabela10[[#This Row],[KOD_PRODUKTU]])</f>
        <v>VE-404Z09</v>
      </c>
    </row>
    <row r="741" spans="1:10" x14ac:dyDescent="0.25">
      <c r="A741" s="1" t="s">
        <v>1880</v>
      </c>
      <c r="B741" t="s">
        <v>1881</v>
      </c>
      <c r="C741" s="1" t="s">
        <v>7</v>
      </c>
      <c r="D741" t="s">
        <v>8</v>
      </c>
      <c r="E741" t="s">
        <v>9</v>
      </c>
      <c r="F741" t="s">
        <v>10</v>
      </c>
      <c r="G741" t="s">
        <v>19</v>
      </c>
      <c r="H741">
        <v>4.5999999999999996</v>
      </c>
      <c r="I741" s="6" t="str">
        <f>_xlfn.CONCAT("Art. złączny do produktu ",Tabela10[[#This Row],[KOD_PRODUKTU]])</f>
        <v>Art. złączny do produktu 404Z09</v>
      </c>
      <c r="J741" s="6" t="str">
        <f>_xlfn.CONCAT("VE-",Tabela10[[#This Row],[KOD_PRODUKTU]])</f>
        <v>VE-404Z09</v>
      </c>
    </row>
    <row r="742" spans="1:10" x14ac:dyDescent="0.25">
      <c r="A742" s="7" t="s">
        <v>1905</v>
      </c>
      <c r="B742" s="6" t="s">
        <v>1906</v>
      </c>
      <c r="C742" s="7" t="s">
        <v>1907</v>
      </c>
      <c r="D742" s="6" t="s">
        <v>1908</v>
      </c>
      <c r="E742" s="6" t="s">
        <v>1909</v>
      </c>
      <c r="F742" s="6" t="s">
        <v>39</v>
      </c>
      <c r="G742" s="6" t="s">
        <v>478</v>
      </c>
      <c r="H742" s="6">
        <v>0.91</v>
      </c>
      <c r="I742" s="6" t="str">
        <f>_xlfn.CONCAT("Art. złączny do produktu ",Tabela10[[#This Row],[KOD_PRODUKTU]])</f>
        <v>Art. złączny do produktu 404Z10</v>
      </c>
      <c r="J742" s="6" t="str">
        <f>_xlfn.CONCAT("VE-",Tabela10[[#This Row],[KOD_PRODUKTU]])</f>
        <v>VE-404Z10</v>
      </c>
    </row>
    <row r="743" spans="1:10" x14ac:dyDescent="0.25">
      <c r="A743" s="1" t="s">
        <v>1905</v>
      </c>
      <c r="B743" t="s">
        <v>1906</v>
      </c>
      <c r="C743" s="1" t="s">
        <v>41</v>
      </c>
      <c r="D743" t="s">
        <v>42</v>
      </c>
      <c r="E743" t="s">
        <v>43</v>
      </c>
      <c r="F743" t="s">
        <v>5</v>
      </c>
      <c r="G743" t="s">
        <v>1910</v>
      </c>
      <c r="H743">
        <v>0.04</v>
      </c>
      <c r="I743" s="6" t="str">
        <f>_xlfn.CONCAT("Art. złączny do produktu ",Tabela10[[#This Row],[KOD_PRODUKTU]])</f>
        <v>Art. złączny do produktu 404Z10</v>
      </c>
      <c r="J743" s="6" t="str">
        <f>_xlfn.CONCAT("VE-",Tabela10[[#This Row],[KOD_PRODUKTU]])</f>
        <v>VE-404Z10</v>
      </c>
    </row>
    <row r="744" spans="1:10" x14ac:dyDescent="0.25">
      <c r="A744" s="7" t="s">
        <v>1905</v>
      </c>
      <c r="B744" s="6" t="s">
        <v>1906</v>
      </c>
      <c r="C744" s="7" t="s">
        <v>1911</v>
      </c>
      <c r="D744" s="6" t="s">
        <v>1912</v>
      </c>
      <c r="E744" s="6" t="s">
        <v>1598</v>
      </c>
      <c r="F744" s="6" t="s">
        <v>49</v>
      </c>
      <c r="G744" s="6" t="s">
        <v>92</v>
      </c>
      <c r="H744" s="6">
        <v>58.5</v>
      </c>
      <c r="I744" s="6" t="str">
        <f>_xlfn.CONCAT("Art. złączny do produktu ",Tabela10[[#This Row],[KOD_PRODUKTU]])</f>
        <v>Art. złączny do produktu 404Z10</v>
      </c>
      <c r="J744" s="6" t="str">
        <f>_xlfn.CONCAT("VE-",Tabela10[[#This Row],[KOD_PRODUKTU]])</f>
        <v>VE-404Z10</v>
      </c>
    </row>
    <row r="745" spans="1:10" x14ac:dyDescent="0.25">
      <c r="A745" s="1" t="s">
        <v>1905</v>
      </c>
      <c r="B745" t="s">
        <v>1906</v>
      </c>
      <c r="C745" s="1" t="s">
        <v>1913</v>
      </c>
      <c r="D745" t="s">
        <v>1914</v>
      </c>
      <c r="E745" t="s">
        <v>1588</v>
      </c>
      <c r="F745" t="s">
        <v>49</v>
      </c>
      <c r="G745" t="s">
        <v>50</v>
      </c>
      <c r="H745">
        <v>19.5</v>
      </c>
      <c r="I745" s="6" t="str">
        <f>_xlfn.CONCAT("Art. złączny do produktu ",Tabela10[[#This Row],[KOD_PRODUKTU]])</f>
        <v>Art. złączny do produktu 404Z10</v>
      </c>
      <c r="J745" s="6" t="str">
        <f>_xlfn.CONCAT("VE-",Tabela10[[#This Row],[KOD_PRODUKTU]])</f>
        <v>VE-404Z10</v>
      </c>
    </row>
    <row r="746" spans="1:10" x14ac:dyDescent="0.25">
      <c r="A746" s="7" t="s">
        <v>1905</v>
      </c>
      <c r="B746" s="6" t="s">
        <v>1906</v>
      </c>
      <c r="C746" s="7" t="s">
        <v>1915</v>
      </c>
      <c r="D746" s="6" t="s">
        <v>1916</v>
      </c>
      <c r="E746" s="6" t="s">
        <v>1917</v>
      </c>
      <c r="F746" s="6" t="s">
        <v>49</v>
      </c>
      <c r="G746" s="6" t="s">
        <v>50</v>
      </c>
      <c r="H746" s="6">
        <v>4.75</v>
      </c>
      <c r="I746" s="6" t="str">
        <f>_xlfn.CONCAT("Art. złączny do produktu ",Tabela10[[#This Row],[KOD_PRODUKTU]])</f>
        <v>Art. złączny do produktu 404Z10</v>
      </c>
      <c r="J746" s="6" t="str">
        <f>_xlfn.CONCAT("VE-",Tabela10[[#This Row],[KOD_PRODUKTU]])</f>
        <v>VE-404Z10</v>
      </c>
    </row>
    <row r="747" spans="1:10" x14ac:dyDescent="0.25">
      <c r="A747" s="1" t="s">
        <v>1905</v>
      </c>
      <c r="B747" t="s">
        <v>1906</v>
      </c>
      <c r="C747" s="1" t="s">
        <v>7</v>
      </c>
      <c r="D747" t="s">
        <v>8</v>
      </c>
      <c r="E747" t="s">
        <v>9</v>
      </c>
      <c r="F747" t="s">
        <v>10</v>
      </c>
      <c r="G747" t="s">
        <v>1918</v>
      </c>
      <c r="H747">
        <v>37</v>
      </c>
      <c r="I747" s="6" t="str">
        <f>_xlfn.CONCAT("Art. złączny do produktu ",Tabela10[[#This Row],[KOD_PRODUKTU]])</f>
        <v>Art. złączny do produktu 404Z10</v>
      </c>
      <c r="J747" s="6" t="str">
        <f>_xlfn.CONCAT("VE-",Tabela10[[#This Row],[KOD_PRODUKTU]])</f>
        <v>VE-404Z10</v>
      </c>
    </row>
    <row r="748" spans="1:10" x14ac:dyDescent="0.25">
      <c r="A748" s="7" t="s">
        <v>1919</v>
      </c>
      <c r="B748" s="6" t="s">
        <v>1920</v>
      </c>
      <c r="C748" s="7" t="s">
        <v>1921</v>
      </c>
      <c r="D748" s="6" t="s">
        <v>1922</v>
      </c>
      <c r="E748" s="6" t="s">
        <v>1923</v>
      </c>
      <c r="F748" s="6" t="s">
        <v>39</v>
      </c>
      <c r="G748" s="6" t="s">
        <v>478</v>
      </c>
      <c r="H748" s="6">
        <v>1.87</v>
      </c>
      <c r="I748" s="6" t="str">
        <f>_xlfn.CONCAT("Art. złączny do produktu ",Tabela10[[#This Row],[KOD_PRODUKTU]])</f>
        <v>Art. złączny do produktu 404Z11</v>
      </c>
      <c r="J748" s="6" t="str">
        <f>_xlfn.CONCAT("VE-",Tabela10[[#This Row],[KOD_PRODUKTU]])</f>
        <v>VE-404Z11</v>
      </c>
    </row>
    <row r="749" spans="1:10" x14ac:dyDescent="0.25">
      <c r="A749" s="1" t="s">
        <v>1919</v>
      </c>
      <c r="B749" t="s">
        <v>1920</v>
      </c>
      <c r="C749" s="1" t="s">
        <v>41</v>
      </c>
      <c r="D749" t="s">
        <v>42</v>
      </c>
      <c r="E749" t="s">
        <v>513</v>
      </c>
      <c r="F749" t="s">
        <v>5</v>
      </c>
      <c r="G749" t="s">
        <v>1900</v>
      </c>
      <c r="H749">
        <v>0.03</v>
      </c>
      <c r="I749" s="6" t="str">
        <f>_xlfn.CONCAT("Art. złączny do produktu ",Tabela10[[#This Row],[KOD_PRODUKTU]])</f>
        <v>Art. złączny do produktu 404Z11</v>
      </c>
      <c r="J749" s="6" t="str">
        <f>_xlfn.CONCAT("VE-",Tabela10[[#This Row],[KOD_PRODUKTU]])</f>
        <v>VE-404Z11</v>
      </c>
    </row>
    <row r="750" spans="1:10" x14ac:dyDescent="0.25">
      <c r="A750" s="7" t="s">
        <v>1919</v>
      </c>
      <c r="B750" s="6" t="s">
        <v>1920</v>
      </c>
      <c r="C750" s="7" t="s">
        <v>1924</v>
      </c>
      <c r="D750" s="6" t="s">
        <v>1925</v>
      </c>
      <c r="E750" s="6" t="s">
        <v>1926</v>
      </c>
      <c r="F750" s="6" t="s">
        <v>121</v>
      </c>
      <c r="G750" s="6" t="s">
        <v>92</v>
      </c>
      <c r="H750" s="6">
        <v>51.7</v>
      </c>
      <c r="I750" s="6" t="str">
        <f>_xlfn.CONCAT("Art. złączny do produktu ",Tabela10[[#This Row],[KOD_PRODUKTU]])</f>
        <v>Art. złączny do produktu 404Z11</v>
      </c>
      <c r="J750" s="6" t="str">
        <f>_xlfn.CONCAT("VE-",Tabela10[[#This Row],[KOD_PRODUKTU]])</f>
        <v>VE-404Z11</v>
      </c>
    </row>
    <row r="751" spans="1:10" x14ac:dyDescent="0.25">
      <c r="A751" s="1" t="s">
        <v>1919</v>
      </c>
      <c r="B751" t="s">
        <v>1920</v>
      </c>
      <c r="C751" s="1" t="s">
        <v>1927</v>
      </c>
      <c r="D751" t="s">
        <v>1928</v>
      </c>
      <c r="E751" t="s">
        <v>1929</v>
      </c>
      <c r="F751" t="s">
        <v>121</v>
      </c>
      <c r="G751" t="s">
        <v>50</v>
      </c>
      <c r="H751">
        <v>10.7</v>
      </c>
      <c r="I751" s="6" t="str">
        <f>_xlfn.CONCAT("Art. złączny do produktu ",Tabela10[[#This Row],[KOD_PRODUKTU]])</f>
        <v>Art. złączny do produktu 404Z11</v>
      </c>
      <c r="J751" s="6" t="str">
        <f>_xlfn.CONCAT("VE-",Tabela10[[#This Row],[KOD_PRODUKTU]])</f>
        <v>VE-404Z11</v>
      </c>
    </row>
    <row r="752" spans="1:10" x14ac:dyDescent="0.25">
      <c r="A752" s="7" t="s">
        <v>1919</v>
      </c>
      <c r="B752" s="6" t="s">
        <v>1920</v>
      </c>
      <c r="C752" s="7" t="s">
        <v>1930</v>
      </c>
      <c r="D752" s="6" t="s">
        <v>1931</v>
      </c>
      <c r="E752" s="6" t="s">
        <v>1932</v>
      </c>
      <c r="F752" s="6" t="s">
        <v>121</v>
      </c>
      <c r="G752" s="6" t="s">
        <v>50</v>
      </c>
      <c r="H752" s="6">
        <v>1.85</v>
      </c>
      <c r="I752" s="6" t="str">
        <f>_xlfn.CONCAT("Art. złączny do produktu ",Tabela10[[#This Row],[KOD_PRODUKTU]])</f>
        <v>Art. złączny do produktu 404Z11</v>
      </c>
      <c r="J752" s="6" t="str">
        <f>_xlfn.CONCAT("VE-",Tabela10[[#This Row],[KOD_PRODUKTU]])</f>
        <v>VE-404Z11</v>
      </c>
    </row>
    <row r="753" spans="1:10" x14ac:dyDescent="0.25">
      <c r="A753" s="1" t="s">
        <v>1919</v>
      </c>
      <c r="B753" t="s">
        <v>1920</v>
      </c>
      <c r="C753" s="1" t="s">
        <v>7</v>
      </c>
      <c r="D753" t="s">
        <v>8</v>
      </c>
      <c r="E753" t="s">
        <v>9</v>
      </c>
      <c r="F753" t="s">
        <v>10</v>
      </c>
      <c r="G753" t="s">
        <v>33</v>
      </c>
      <c r="H753">
        <v>9.1999999999999993</v>
      </c>
      <c r="I753" s="6" t="str">
        <f>_xlfn.CONCAT("Art. złączny do produktu ",Tabela10[[#This Row],[KOD_PRODUKTU]])</f>
        <v>Art. złączny do produktu 404Z11</v>
      </c>
      <c r="J753" s="6" t="str">
        <f>_xlfn.CONCAT("VE-",Tabela10[[#This Row],[KOD_PRODUKTU]])</f>
        <v>VE-404Z11</v>
      </c>
    </row>
    <row r="754" spans="1:10" x14ac:dyDescent="0.25">
      <c r="A754" s="7" t="s">
        <v>1919</v>
      </c>
      <c r="B754" s="6" t="s">
        <v>1920</v>
      </c>
      <c r="C754" s="7" t="s">
        <v>7</v>
      </c>
      <c r="D754" s="6" t="s">
        <v>8</v>
      </c>
      <c r="E754" s="6" t="s">
        <v>9</v>
      </c>
      <c r="F754" s="6" t="s">
        <v>10</v>
      </c>
      <c r="G754" s="6" t="s">
        <v>367</v>
      </c>
      <c r="H754" s="6">
        <v>2.2999999999999998</v>
      </c>
      <c r="I754" s="6" t="str">
        <f>_xlfn.CONCAT("Art. złączny do produktu ",Tabela10[[#This Row],[KOD_PRODUKTU]])</f>
        <v>Art. złączny do produktu 404Z11</v>
      </c>
      <c r="J754" s="6" t="str">
        <f>_xlfn.CONCAT("VE-",Tabela10[[#This Row],[KOD_PRODUKTU]])</f>
        <v>VE-404Z11</v>
      </c>
    </row>
    <row r="755" spans="1:10" x14ac:dyDescent="0.25">
      <c r="A755" s="1" t="s">
        <v>1933</v>
      </c>
      <c r="B755" t="s">
        <v>1934</v>
      </c>
      <c r="C755" s="1" t="s">
        <v>1921</v>
      </c>
      <c r="D755" t="s">
        <v>1922</v>
      </c>
      <c r="E755" t="s">
        <v>1923</v>
      </c>
      <c r="F755" t="s">
        <v>39</v>
      </c>
      <c r="G755" t="s">
        <v>478</v>
      </c>
      <c r="H755">
        <v>1.87</v>
      </c>
      <c r="I755" s="6" t="str">
        <f>_xlfn.CONCAT("Art. złączny do produktu ",Tabela10[[#This Row],[KOD_PRODUKTU]])</f>
        <v>Art. złączny do produktu 404Z12</v>
      </c>
      <c r="J755" s="6" t="str">
        <f>_xlfn.CONCAT("VE-",Tabela10[[#This Row],[KOD_PRODUKTU]])</f>
        <v>VE-404Z12</v>
      </c>
    </row>
    <row r="756" spans="1:10" x14ac:dyDescent="0.25">
      <c r="A756" s="7" t="s">
        <v>1933</v>
      </c>
      <c r="B756" s="6" t="s">
        <v>1934</v>
      </c>
      <c r="C756" s="7" t="s">
        <v>41</v>
      </c>
      <c r="D756" s="6" t="s">
        <v>42</v>
      </c>
      <c r="E756" s="6" t="s">
        <v>513</v>
      </c>
      <c r="F756" s="6" t="s">
        <v>5</v>
      </c>
      <c r="G756" s="6" t="s">
        <v>1900</v>
      </c>
      <c r="H756" s="6">
        <v>0.03</v>
      </c>
      <c r="I756" s="6" t="str">
        <f>_xlfn.CONCAT("Art. złączny do produktu ",Tabela10[[#This Row],[KOD_PRODUKTU]])</f>
        <v>Art. złączny do produktu 404Z12</v>
      </c>
      <c r="J756" s="6" t="str">
        <f>_xlfn.CONCAT("VE-",Tabela10[[#This Row],[KOD_PRODUKTU]])</f>
        <v>VE-404Z12</v>
      </c>
    </row>
    <row r="757" spans="1:10" x14ac:dyDescent="0.25">
      <c r="A757" s="1" t="s">
        <v>1933</v>
      </c>
      <c r="B757" t="s">
        <v>1934</v>
      </c>
      <c r="C757" s="1" t="s">
        <v>1935</v>
      </c>
      <c r="D757" t="s">
        <v>1936</v>
      </c>
      <c r="E757" t="s">
        <v>1937</v>
      </c>
      <c r="F757" t="s">
        <v>121</v>
      </c>
      <c r="G757" t="s">
        <v>92</v>
      </c>
      <c r="H757">
        <v>45.6</v>
      </c>
      <c r="I757" s="6" t="str">
        <f>_xlfn.CONCAT("Art. złączny do produktu ",Tabela10[[#This Row],[KOD_PRODUKTU]])</f>
        <v>Art. złączny do produktu 404Z12</v>
      </c>
      <c r="J757" s="6" t="str">
        <f>_xlfn.CONCAT("VE-",Tabela10[[#This Row],[KOD_PRODUKTU]])</f>
        <v>VE-404Z12</v>
      </c>
    </row>
    <row r="758" spans="1:10" x14ac:dyDescent="0.25">
      <c r="A758" s="7" t="s">
        <v>1933</v>
      </c>
      <c r="B758" s="6" t="s">
        <v>1934</v>
      </c>
      <c r="C758" s="7" t="s">
        <v>1938</v>
      </c>
      <c r="D758" s="6" t="s">
        <v>1939</v>
      </c>
      <c r="E758" s="6" t="s">
        <v>1940</v>
      </c>
      <c r="F758" s="6" t="s">
        <v>121</v>
      </c>
      <c r="G758" s="6" t="s">
        <v>50</v>
      </c>
      <c r="H758" s="6">
        <v>14.6</v>
      </c>
      <c r="I758" s="6" t="str">
        <f>_xlfn.CONCAT("Art. złączny do produktu ",Tabela10[[#This Row],[KOD_PRODUKTU]])</f>
        <v>Art. złączny do produktu 404Z12</v>
      </c>
      <c r="J758" s="6" t="str">
        <f>_xlfn.CONCAT("VE-",Tabela10[[#This Row],[KOD_PRODUKTU]])</f>
        <v>VE-404Z12</v>
      </c>
    </row>
    <row r="759" spans="1:10" x14ac:dyDescent="0.25">
      <c r="A759" s="1" t="s">
        <v>1933</v>
      </c>
      <c r="B759" t="s">
        <v>1934</v>
      </c>
      <c r="C759" s="1" t="s">
        <v>1941</v>
      </c>
      <c r="D759" t="s">
        <v>1942</v>
      </c>
      <c r="E759" t="s">
        <v>336</v>
      </c>
      <c r="F759" t="s">
        <v>121</v>
      </c>
      <c r="G759" t="s">
        <v>50</v>
      </c>
      <c r="H759">
        <v>2.6</v>
      </c>
      <c r="I759" s="6" t="str">
        <f>_xlfn.CONCAT("Art. złączny do produktu ",Tabela10[[#This Row],[KOD_PRODUKTU]])</f>
        <v>Art. złączny do produktu 404Z12</v>
      </c>
      <c r="J759" s="6" t="str">
        <f>_xlfn.CONCAT("VE-",Tabela10[[#This Row],[KOD_PRODUKTU]])</f>
        <v>VE-404Z12</v>
      </c>
    </row>
    <row r="760" spans="1:10" x14ac:dyDescent="0.25">
      <c r="A760" s="7" t="s">
        <v>1933</v>
      </c>
      <c r="B760" s="6" t="s">
        <v>1934</v>
      </c>
      <c r="C760" s="7" t="s">
        <v>7</v>
      </c>
      <c r="D760" s="6" t="s">
        <v>8</v>
      </c>
      <c r="E760" s="6" t="s">
        <v>9</v>
      </c>
      <c r="F760" s="6" t="s">
        <v>10</v>
      </c>
      <c r="G760" s="6" t="s">
        <v>367</v>
      </c>
      <c r="H760" s="6">
        <v>2.2999999999999998</v>
      </c>
      <c r="I760" s="6" t="str">
        <f>_xlfn.CONCAT("Art. złączny do produktu ",Tabela10[[#This Row],[KOD_PRODUKTU]])</f>
        <v>Art. złączny do produktu 404Z12</v>
      </c>
      <c r="J760" s="6" t="str">
        <f>_xlfn.CONCAT("VE-",Tabela10[[#This Row],[KOD_PRODUKTU]])</f>
        <v>VE-404Z12</v>
      </c>
    </row>
    <row r="761" spans="1:10" x14ac:dyDescent="0.25">
      <c r="A761" s="1" t="s">
        <v>1933</v>
      </c>
      <c r="B761" t="s">
        <v>1934</v>
      </c>
      <c r="C761" s="1" t="s">
        <v>7</v>
      </c>
      <c r="D761" t="s">
        <v>8</v>
      </c>
      <c r="E761" t="s">
        <v>9</v>
      </c>
      <c r="F761" t="s">
        <v>10</v>
      </c>
      <c r="G761" t="s">
        <v>33</v>
      </c>
      <c r="H761">
        <v>9.1999999999999993</v>
      </c>
      <c r="I761" s="6" t="str">
        <f>_xlfn.CONCAT("Art. złączny do produktu ",Tabela10[[#This Row],[KOD_PRODUKTU]])</f>
        <v>Art. złączny do produktu 404Z12</v>
      </c>
      <c r="J761" s="6" t="str">
        <f>_xlfn.CONCAT("VE-",Tabela10[[#This Row],[KOD_PRODUKTU]])</f>
        <v>VE-404Z12</v>
      </c>
    </row>
    <row r="762" spans="1:10" x14ac:dyDescent="0.25">
      <c r="A762" s="7" t="s">
        <v>1944</v>
      </c>
      <c r="B762" s="6" t="s">
        <v>1945</v>
      </c>
      <c r="C762" s="7" t="s">
        <v>1921</v>
      </c>
      <c r="D762" s="6" t="s">
        <v>1922</v>
      </c>
      <c r="E762" s="6" t="s">
        <v>1923</v>
      </c>
      <c r="F762" s="6" t="s">
        <v>39</v>
      </c>
      <c r="G762" s="6" t="s">
        <v>478</v>
      </c>
      <c r="H762" s="6">
        <v>1.87</v>
      </c>
      <c r="I762" s="6" t="str">
        <f>_xlfn.CONCAT("Art. złączny do produktu ",Tabela10[[#This Row],[KOD_PRODUKTU]])</f>
        <v>Art. złączny do produktu 404Z14</v>
      </c>
      <c r="J762" s="6" t="str">
        <f>_xlfn.CONCAT("VE-",Tabela10[[#This Row],[KOD_PRODUKTU]])</f>
        <v>VE-404Z14</v>
      </c>
    </row>
    <row r="763" spans="1:10" x14ac:dyDescent="0.25">
      <c r="A763" s="1" t="s">
        <v>1944</v>
      </c>
      <c r="B763" t="s">
        <v>1945</v>
      </c>
      <c r="C763" s="1" t="s">
        <v>41</v>
      </c>
      <c r="D763" t="s">
        <v>42</v>
      </c>
      <c r="E763" t="s">
        <v>43</v>
      </c>
      <c r="F763" t="s">
        <v>5</v>
      </c>
      <c r="G763" t="s">
        <v>1946</v>
      </c>
      <c r="H763">
        <v>0.04</v>
      </c>
      <c r="I763" s="6" t="str">
        <f>_xlfn.CONCAT("Art. złączny do produktu ",Tabela10[[#This Row],[KOD_PRODUKTU]])</f>
        <v>Art. złączny do produktu 404Z14</v>
      </c>
      <c r="J763" s="6" t="str">
        <f>_xlfn.CONCAT("VE-",Tabela10[[#This Row],[KOD_PRODUKTU]])</f>
        <v>VE-404Z14</v>
      </c>
    </row>
    <row r="764" spans="1:10" x14ac:dyDescent="0.25">
      <c r="A764" s="7" t="s">
        <v>1944</v>
      </c>
      <c r="B764" s="6" t="s">
        <v>1945</v>
      </c>
      <c r="C764" s="7" t="s">
        <v>1947</v>
      </c>
      <c r="D764" s="6" t="s">
        <v>1948</v>
      </c>
      <c r="E764" s="6" t="s">
        <v>1949</v>
      </c>
      <c r="F764" s="6" t="s">
        <v>121</v>
      </c>
      <c r="G764" s="6" t="s">
        <v>92</v>
      </c>
      <c r="H764" s="6">
        <v>39.5</v>
      </c>
      <c r="I764" s="6" t="str">
        <f>_xlfn.CONCAT("Art. złączny do produktu ",Tabela10[[#This Row],[KOD_PRODUKTU]])</f>
        <v>Art. złączny do produktu 404Z14</v>
      </c>
      <c r="J764" s="6" t="str">
        <f>_xlfn.CONCAT("VE-",Tabela10[[#This Row],[KOD_PRODUKTU]])</f>
        <v>VE-404Z14</v>
      </c>
    </row>
    <row r="765" spans="1:10" x14ac:dyDescent="0.25">
      <c r="A765" s="1" t="s">
        <v>1944</v>
      </c>
      <c r="B765" t="s">
        <v>1945</v>
      </c>
      <c r="C765" s="1" t="s">
        <v>1950</v>
      </c>
      <c r="D765" t="s">
        <v>1951</v>
      </c>
      <c r="E765" t="s">
        <v>165</v>
      </c>
      <c r="F765" t="s">
        <v>121</v>
      </c>
      <c r="G765" t="s">
        <v>50</v>
      </c>
      <c r="H765">
        <v>13.7</v>
      </c>
      <c r="I765" s="6" t="str">
        <f>_xlfn.CONCAT("Art. złączny do produktu ",Tabela10[[#This Row],[KOD_PRODUKTU]])</f>
        <v>Art. złączny do produktu 404Z14</v>
      </c>
      <c r="J765" s="6" t="str">
        <f>_xlfn.CONCAT("VE-",Tabela10[[#This Row],[KOD_PRODUKTU]])</f>
        <v>VE-404Z14</v>
      </c>
    </row>
    <row r="766" spans="1:10" x14ac:dyDescent="0.25">
      <c r="A766" s="7" t="s">
        <v>1944</v>
      </c>
      <c r="B766" s="6" t="s">
        <v>1945</v>
      </c>
      <c r="C766" s="7" t="s">
        <v>1952</v>
      </c>
      <c r="D766" s="6" t="s">
        <v>1953</v>
      </c>
      <c r="E766" s="6" t="s">
        <v>1884</v>
      </c>
      <c r="F766" s="6" t="s">
        <v>121</v>
      </c>
      <c r="G766" s="6" t="s">
        <v>50</v>
      </c>
      <c r="H766" s="6">
        <v>9.6</v>
      </c>
      <c r="I766" s="6" t="str">
        <f>_xlfn.CONCAT("Art. złączny do produktu ",Tabela10[[#This Row],[KOD_PRODUKTU]])</f>
        <v>Art. złączny do produktu 404Z14</v>
      </c>
      <c r="J766" s="6" t="str">
        <f>_xlfn.CONCAT("VE-",Tabela10[[#This Row],[KOD_PRODUKTU]])</f>
        <v>VE-404Z14</v>
      </c>
    </row>
    <row r="767" spans="1:10" x14ac:dyDescent="0.25">
      <c r="A767" s="1" t="s">
        <v>1944</v>
      </c>
      <c r="B767" t="s">
        <v>1945</v>
      </c>
      <c r="C767" s="1" t="s">
        <v>7</v>
      </c>
      <c r="D767" t="s">
        <v>8</v>
      </c>
      <c r="E767" t="s">
        <v>9</v>
      </c>
      <c r="F767" t="s">
        <v>10</v>
      </c>
      <c r="G767" t="s">
        <v>33</v>
      </c>
      <c r="H767">
        <v>9.1999999999999993</v>
      </c>
      <c r="I767" s="6" t="str">
        <f>_xlfn.CONCAT("Art. złączny do produktu ",Tabela10[[#This Row],[KOD_PRODUKTU]])</f>
        <v>Art. złączny do produktu 404Z14</v>
      </c>
      <c r="J767" s="6" t="str">
        <f>_xlfn.CONCAT("VE-",Tabela10[[#This Row],[KOD_PRODUKTU]])</f>
        <v>VE-404Z14</v>
      </c>
    </row>
    <row r="768" spans="1:10" x14ac:dyDescent="0.25">
      <c r="A768" s="7" t="s">
        <v>1944</v>
      </c>
      <c r="B768" s="6" t="s">
        <v>1945</v>
      </c>
      <c r="C768" s="7" t="s">
        <v>7</v>
      </c>
      <c r="D768" s="6" t="s">
        <v>8</v>
      </c>
      <c r="E768" s="6" t="s">
        <v>9</v>
      </c>
      <c r="F768" s="6" t="s">
        <v>10</v>
      </c>
      <c r="G768" s="6" t="s">
        <v>19</v>
      </c>
      <c r="H768" s="6">
        <v>4.5999999999999996</v>
      </c>
      <c r="I768" s="6" t="str">
        <f>_xlfn.CONCAT("Art. złączny do produktu ",Tabela10[[#This Row],[KOD_PRODUKTU]])</f>
        <v>Art. złączny do produktu 404Z14</v>
      </c>
      <c r="J768" s="6" t="str">
        <f>_xlfn.CONCAT("VE-",Tabela10[[#This Row],[KOD_PRODUKTU]])</f>
        <v>VE-404Z14</v>
      </c>
    </row>
    <row r="769" spans="1:10" x14ac:dyDescent="0.25">
      <c r="A769" s="1" t="s">
        <v>1954</v>
      </c>
      <c r="B769" t="s">
        <v>1955</v>
      </c>
      <c r="C769" s="1" t="s">
        <v>1956</v>
      </c>
      <c r="D769" t="s">
        <v>1957</v>
      </c>
      <c r="E769" t="s">
        <v>1958</v>
      </c>
      <c r="F769" t="s">
        <v>121</v>
      </c>
      <c r="G769" t="s">
        <v>50</v>
      </c>
      <c r="H769">
        <v>364</v>
      </c>
      <c r="I769" s="6" t="str">
        <f>_xlfn.CONCAT("Art. złączny do produktu ",Tabela10[[#This Row],[KOD_PRODUKTU]])</f>
        <v>Art. złączny do produktu 405W10</v>
      </c>
      <c r="J769" s="6" t="str">
        <f>_xlfn.CONCAT("VE-",Tabela10[[#This Row],[KOD_PRODUKTU]])</f>
        <v>VE-405W10</v>
      </c>
    </row>
    <row r="770" spans="1:10" x14ac:dyDescent="0.25">
      <c r="A770" s="7" t="s">
        <v>1954</v>
      </c>
      <c r="B770" s="6" t="s">
        <v>1955</v>
      </c>
      <c r="C770" s="7" t="s">
        <v>1074</v>
      </c>
      <c r="D770" s="6" t="s">
        <v>1075</v>
      </c>
      <c r="E770" s="6" t="s">
        <v>1076</v>
      </c>
      <c r="F770" s="6" t="s">
        <v>5</v>
      </c>
      <c r="G770" s="6" t="s">
        <v>605</v>
      </c>
      <c r="H770" s="6">
        <v>0.27</v>
      </c>
      <c r="I770" s="6" t="str">
        <f>_xlfn.CONCAT("Art. złączny do produktu ",Tabela10[[#This Row],[KOD_PRODUKTU]])</f>
        <v>Art. złączny do produktu 405W10</v>
      </c>
      <c r="J770" s="6" t="str">
        <f>_xlfn.CONCAT("VE-",Tabela10[[#This Row],[KOD_PRODUKTU]])</f>
        <v>VE-405W10</v>
      </c>
    </row>
    <row r="771" spans="1:10" x14ac:dyDescent="0.25">
      <c r="A771" s="1" t="s">
        <v>1954</v>
      </c>
      <c r="B771" t="s">
        <v>1955</v>
      </c>
      <c r="C771" s="1" t="s">
        <v>1959</v>
      </c>
      <c r="D771" t="s">
        <v>1960</v>
      </c>
      <c r="E771" t="s">
        <v>131</v>
      </c>
      <c r="F771" t="s">
        <v>5</v>
      </c>
      <c r="G771" t="s">
        <v>1961</v>
      </c>
      <c r="H771">
        <v>1.65</v>
      </c>
      <c r="I771" s="6" t="str">
        <f>_xlfn.CONCAT("Art. złączny do produktu ",Tabela10[[#This Row],[KOD_PRODUKTU]])</f>
        <v>Art. złączny do produktu 405W10</v>
      </c>
      <c r="J771" s="6" t="str">
        <f>_xlfn.CONCAT("VE-",Tabela10[[#This Row],[KOD_PRODUKTU]])</f>
        <v>VE-405W10</v>
      </c>
    </row>
    <row r="772" spans="1:10" x14ac:dyDescent="0.25">
      <c r="A772" s="7" t="s">
        <v>1954</v>
      </c>
      <c r="B772" s="6" t="s">
        <v>1955</v>
      </c>
      <c r="C772" s="7" t="s">
        <v>1962</v>
      </c>
      <c r="D772" s="6" t="s">
        <v>1963</v>
      </c>
      <c r="E772" s="6" t="s">
        <v>1964</v>
      </c>
      <c r="F772" s="6" t="s">
        <v>1965</v>
      </c>
      <c r="G772" s="6" t="s">
        <v>40</v>
      </c>
      <c r="H772" s="6">
        <v>0.15</v>
      </c>
      <c r="I772" s="6" t="str">
        <f>_xlfn.CONCAT("Art. złączny do produktu ",Tabela10[[#This Row],[KOD_PRODUKTU]])</f>
        <v>Art. złączny do produktu 405W10</v>
      </c>
      <c r="J772" s="6" t="str">
        <f>_xlfn.CONCAT("VE-",Tabela10[[#This Row],[KOD_PRODUKTU]])</f>
        <v>VE-405W10</v>
      </c>
    </row>
    <row r="773" spans="1:10" x14ac:dyDescent="0.25">
      <c r="A773" s="1" t="s">
        <v>1954</v>
      </c>
      <c r="B773" t="s">
        <v>1955</v>
      </c>
      <c r="C773" s="1" t="s">
        <v>479</v>
      </c>
      <c r="D773" t="s">
        <v>480</v>
      </c>
      <c r="E773" t="s">
        <v>481</v>
      </c>
      <c r="F773" t="s">
        <v>5</v>
      </c>
      <c r="G773" t="s">
        <v>1966</v>
      </c>
      <c r="H773">
        <v>0.33</v>
      </c>
      <c r="I773" s="6" t="str">
        <f>_xlfn.CONCAT("Art. złączny do produktu ",Tabela10[[#This Row],[KOD_PRODUKTU]])</f>
        <v>Art. złączny do produktu 405W10</v>
      </c>
      <c r="J773" s="6" t="str">
        <f>_xlfn.CONCAT("VE-",Tabela10[[#This Row],[KOD_PRODUKTU]])</f>
        <v>VE-405W10</v>
      </c>
    </row>
    <row r="774" spans="1:10" x14ac:dyDescent="0.25">
      <c r="A774" s="7" t="s">
        <v>1954</v>
      </c>
      <c r="B774" s="6" t="s">
        <v>1955</v>
      </c>
      <c r="C774" s="7" t="s">
        <v>628</v>
      </c>
      <c r="D774" s="6" t="s">
        <v>629</v>
      </c>
      <c r="E774" s="6" t="s">
        <v>698</v>
      </c>
      <c r="F774" s="6" t="s">
        <v>5</v>
      </c>
      <c r="G774" s="6" t="s">
        <v>1967</v>
      </c>
      <c r="H774" s="6">
        <v>0.46</v>
      </c>
      <c r="I774" s="6" t="str">
        <f>_xlfn.CONCAT("Art. złączny do produktu ",Tabela10[[#This Row],[KOD_PRODUKTU]])</f>
        <v>Art. złączny do produktu 405W10</v>
      </c>
      <c r="J774" s="6" t="str">
        <f>_xlfn.CONCAT("VE-",Tabela10[[#This Row],[KOD_PRODUKTU]])</f>
        <v>VE-405W10</v>
      </c>
    </row>
    <row r="775" spans="1:10" x14ac:dyDescent="0.25">
      <c r="A775" s="1" t="s">
        <v>1954</v>
      </c>
      <c r="B775" t="s">
        <v>1955</v>
      </c>
      <c r="C775" s="1" t="s">
        <v>1968</v>
      </c>
      <c r="D775" t="s">
        <v>1969</v>
      </c>
      <c r="E775" t="s">
        <v>1970</v>
      </c>
      <c r="F775" t="s">
        <v>5</v>
      </c>
      <c r="G775" t="s">
        <v>40</v>
      </c>
      <c r="H775">
        <v>0.13</v>
      </c>
      <c r="I775" s="6" t="str">
        <f>_xlfn.CONCAT("Art. złączny do produktu ",Tabela10[[#This Row],[KOD_PRODUKTU]])</f>
        <v>Art. złączny do produktu 405W10</v>
      </c>
      <c r="J775" s="6" t="str">
        <f>_xlfn.CONCAT("VE-",Tabela10[[#This Row],[KOD_PRODUKTU]])</f>
        <v>VE-405W10</v>
      </c>
    </row>
    <row r="776" spans="1:10" x14ac:dyDescent="0.25">
      <c r="A776" s="7" t="s">
        <v>1954</v>
      </c>
      <c r="B776" s="6" t="s">
        <v>1955</v>
      </c>
      <c r="C776" s="7" t="s">
        <v>1971</v>
      </c>
      <c r="D776" s="6" t="s">
        <v>1972</v>
      </c>
      <c r="E776" s="6" t="s">
        <v>1005</v>
      </c>
      <c r="F776" s="6" t="s">
        <v>5</v>
      </c>
      <c r="G776" s="6" t="s">
        <v>1973</v>
      </c>
      <c r="H776" s="6">
        <v>1.42</v>
      </c>
      <c r="I776" s="6" t="str">
        <f>_xlfn.CONCAT("Art. złączny do produktu ",Tabela10[[#This Row],[KOD_PRODUKTU]])</f>
        <v>Art. złączny do produktu 405W10</v>
      </c>
      <c r="J776" s="6" t="str">
        <f>_xlfn.CONCAT("VE-",Tabela10[[#This Row],[KOD_PRODUKTU]])</f>
        <v>VE-405W10</v>
      </c>
    </row>
    <row r="777" spans="1:10" x14ac:dyDescent="0.25">
      <c r="A777" s="1" t="s">
        <v>1954</v>
      </c>
      <c r="B777" t="s">
        <v>1955</v>
      </c>
      <c r="C777" s="1" t="s">
        <v>1974</v>
      </c>
      <c r="D777" t="s">
        <v>1975</v>
      </c>
      <c r="E777" t="s">
        <v>1479</v>
      </c>
      <c r="F777" t="s">
        <v>121</v>
      </c>
      <c r="G777" t="s">
        <v>1976</v>
      </c>
      <c r="H777">
        <v>4.3899999999999997</v>
      </c>
      <c r="I777" s="6" t="str">
        <f>_xlfn.CONCAT("Art. złączny do produktu ",Tabela10[[#This Row],[KOD_PRODUKTU]])</f>
        <v>Art. złączny do produktu 405W10</v>
      </c>
      <c r="J777" s="6" t="str">
        <f>_xlfn.CONCAT("VE-",Tabela10[[#This Row],[KOD_PRODUKTU]])</f>
        <v>VE-405W10</v>
      </c>
    </row>
    <row r="778" spans="1:10" x14ac:dyDescent="0.25">
      <c r="A778" s="7" t="s">
        <v>1954</v>
      </c>
      <c r="B778" s="6" t="s">
        <v>1955</v>
      </c>
      <c r="C778" s="7" t="s">
        <v>41</v>
      </c>
      <c r="D778" s="6" t="s">
        <v>42</v>
      </c>
      <c r="E778" s="6" t="s">
        <v>43</v>
      </c>
      <c r="F778" s="6" t="s">
        <v>5</v>
      </c>
      <c r="G778" s="6" t="s">
        <v>227</v>
      </c>
      <c r="H778" s="6">
        <v>0.01</v>
      </c>
      <c r="I778" s="6" t="str">
        <f>_xlfn.CONCAT("Art. złączny do produktu ",Tabela10[[#This Row],[KOD_PRODUKTU]])</f>
        <v>Art. złączny do produktu 405W10</v>
      </c>
      <c r="J778" s="6" t="str">
        <f>_xlfn.CONCAT("VE-",Tabela10[[#This Row],[KOD_PRODUKTU]])</f>
        <v>VE-405W10</v>
      </c>
    </row>
    <row r="779" spans="1:10" x14ac:dyDescent="0.25">
      <c r="A779" s="1" t="s">
        <v>1954</v>
      </c>
      <c r="B779" t="s">
        <v>1955</v>
      </c>
      <c r="C779" s="1" t="s">
        <v>1977</v>
      </c>
      <c r="D779" t="s">
        <v>1978</v>
      </c>
      <c r="E779" t="s">
        <v>1090</v>
      </c>
      <c r="F779" t="s">
        <v>121</v>
      </c>
      <c r="G779" t="s">
        <v>50</v>
      </c>
      <c r="H779">
        <v>0.1</v>
      </c>
      <c r="I779" s="6" t="str">
        <f>_xlfn.CONCAT("Art. złączny do produktu ",Tabela10[[#This Row],[KOD_PRODUKTU]])</f>
        <v>Art. złączny do produktu 405W10</v>
      </c>
      <c r="J779" s="6" t="str">
        <f>_xlfn.CONCAT("VE-",Tabela10[[#This Row],[KOD_PRODUKTU]])</f>
        <v>VE-405W10</v>
      </c>
    </row>
    <row r="780" spans="1:10" x14ac:dyDescent="0.25">
      <c r="A780" s="7" t="s">
        <v>1954</v>
      </c>
      <c r="B780" s="6" t="s">
        <v>1955</v>
      </c>
      <c r="C780" s="7" t="s">
        <v>1979</v>
      </c>
      <c r="D780" s="6" t="s">
        <v>1978</v>
      </c>
      <c r="E780" s="6" t="s">
        <v>1090</v>
      </c>
      <c r="F780" s="6" t="s">
        <v>121</v>
      </c>
      <c r="G780" s="6" t="s">
        <v>50</v>
      </c>
      <c r="H780" s="6">
        <v>0.1</v>
      </c>
      <c r="I780" s="6" t="str">
        <f>_xlfn.CONCAT("Art. złączny do produktu ",Tabela10[[#This Row],[KOD_PRODUKTU]])</f>
        <v>Art. złączny do produktu 405W10</v>
      </c>
      <c r="J780" s="6" t="str">
        <f>_xlfn.CONCAT("VE-",Tabela10[[#This Row],[KOD_PRODUKTU]])</f>
        <v>VE-405W10</v>
      </c>
    </row>
    <row r="781" spans="1:10" x14ac:dyDescent="0.25">
      <c r="A781" s="1" t="s">
        <v>1954</v>
      </c>
      <c r="B781" t="s">
        <v>1955</v>
      </c>
      <c r="C781" s="1" t="s">
        <v>1989</v>
      </c>
      <c r="D781" t="s">
        <v>1990</v>
      </c>
      <c r="E781" t="s">
        <v>1991</v>
      </c>
      <c r="F781" t="s">
        <v>435</v>
      </c>
      <c r="G781" t="s">
        <v>1992</v>
      </c>
      <c r="H781">
        <v>26.4</v>
      </c>
      <c r="I781" s="6" t="str">
        <f>_xlfn.CONCAT("Art. złączny do produktu ",Tabela10[[#This Row],[KOD_PRODUKTU]])</f>
        <v>Art. złączny do produktu 405W10</v>
      </c>
      <c r="J781" s="6" t="str">
        <f>_xlfn.CONCAT("VE-",Tabela10[[#This Row],[KOD_PRODUKTU]])</f>
        <v>VE-405W10</v>
      </c>
    </row>
    <row r="782" spans="1:10" x14ac:dyDescent="0.25">
      <c r="A782" s="7" t="s">
        <v>1954</v>
      </c>
      <c r="B782" s="6" t="s">
        <v>1955</v>
      </c>
      <c r="C782" s="7" t="s">
        <v>7</v>
      </c>
      <c r="D782" s="6" t="s">
        <v>8</v>
      </c>
      <c r="E782" s="6" t="s">
        <v>9</v>
      </c>
      <c r="F782" s="6" t="s">
        <v>10</v>
      </c>
      <c r="G782" s="6" t="s">
        <v>1993</v>
      </c>
      <c r="H782" s="6">
        <v>100</v>
      </c>
      <c r="I782" s="6" t="str">
        <f>_xlfn.CONCAT("Art. złączny do produktu ",Tabela10[[#This Row],[KOD_PRODUKTU]])</f>
        <v>Art. złączny do produktu 405W10</v>
      </c>
      <c r="J782" s="6" t="str">
        <f>_xlfn.CONCAT("VE-",Tabela10[[#This Row],[KOD_PRODUKTU]])</f>
        <v>VE-405W10</v>
      </c>
    </row>
    <row r="783" spans="1:10" x14ac:dyDescent="0.25">
      <c r="A783" s="1" t="s">
        <v>1994</v>
      </c>
      <c r="B783" t="s">
        <v>1995</v>
      </c>
      <c r="C783" s="1" t="s">
        <v>1996</v>
      </c>
      <c r="D783" t="s">
        <v>1997</v>
      </c>
      <c r="E783" t="s">
        <v>1998</v>
      </c>
      <c r="F783" t="s">
        <v>49</v>
      </c>
      <c r="G783" t="s">
        <v>50</v>
      </c>
      <c r="H783">
        <v>680</v>
      </c>
      <c r="I783" s="6" t="str">
        <f>_xlfn.CONCAT("Art. złączny do produktu ",Tabela10[[#This Row],[KOD_PRODUKTU]])</f>
        <v>Art. złączny do produktu 405W11</v>
      </c>
      <c r="J783" s="6" t="str">
        <f>_xlfn.CONCAT("VE-",Tabela10[[#This Row],[KOD_PRODUKTU]])</f>
        <v>VE-405W11</v>
      </c>
    </row>
    <row r="784" spans="1:10" x14ac:dyDescent="0.25">
      <c r="A784" s="7" t="s">
        <v>1994</v>
      </c>
      <c r="B784" s="6" t="s">
        <v>1995</v>
      </c>
      <c r="C784" s="7" t="s">
        <v>1999</v>
      </c>
      <c r="D784" s="6" t="s">
        <v>2000</v>
      </c>
      <c r="E784" s="6" t="s">
        <v>2001</v>
      </c>
      <c r="F784" s="6" t="s">
        <v>49</v>
      </c>
      <c r="G784" s="6" t="s">
        <v>2002</v>
      </c>
      <c r="H784" s="6">
        <v>0</v>
      </c>
      <c r="I784" s="6" t="str">
        <f>_xlfn.CONCAT("Art. złączny do produktu ",Tabela10[[#This Row],[KOD_PRODUKTU]])</f>
        <v>Art. złączny do produktu 405W11</v>
      </c>
      <c r="J784" s="6" t="str">
        <f>_xlfn.CONCAT("VE-",Tabela10[[#This Row],[KOD_PRODUKTU]])</f>
        <v>VE-405W11</v>
      </c>
    </row>
    <row r="785" spans="1:10" x14ac:dyDescent="0.25">
      <c r="A785" s="1" t="s">
        <v>1994</v>
      </c>
      <c r="B785" t="s">
        <v>1995</v>
      </c>
      <c r="C785" s="1" t="s">
        <v>623</v>
      </c>
      <c r="D785" t="s">
        <v>624</v>
      </c>
      <c r="E785" t="s">
        <v>589</v>
      </c>
      <c r="F785" t="s">
        <v>5</v>
      </c>
      <c r="G785" t="s">
        <v>2003</v>
      </c>
      <c r="H785">
        <v>0.14000000000000001</v>
      </c>
      <c r="I785" s="6" t="str">
        <f>_xlfn.CONCAT("Art. złączny do produktu ",Tabela10[[#This Row],[KOD_PRODUKTU]])</f>
        <v>Art. złączny do produktu 405W11</v>
      </c>
      <c r="J785" s="6" t="str">
        <f>_xlfn.CONCAT("VE-",Tabela10[[#This Row],[KOD_PRODUKTU]])</f>
        <v>VE-405W11</v>
      </c>
    </row>
    <row r="786" spans="1:10" x14ac:dyDescent="0.25">
      <c r="A786" s="7" t="s">
        <v>1994</v>
      </c>
      <c r="B786" s="6" t="s">
        <v>1995</v>
      </c>
      <c r="C786" s="7" t="s">
        <v>2004</v>
      </c>
      <c r="D786" s="6" t="s">
        <v>2005</v>
      </c>
      <c r="E786" s="6" t="s">
        <v>2006</v>
      </c>
      <c r="F786" s="6" t="s">
        <v>5</v>
      </c>
      <c r="G786" s="6" t="s">
        <v>558</v>
      </c>
      <c r="H786" s="6">
        <v>1.63</v>
      </c>
      <c r="I786" s="6" t="str">
        <f>_xlfn.CONCAT("Art. złączny do produktu ",Tabela10[[#This Row],[KOD_PRODUKTU]])</f>
        <v>Art. złączny do produktu 405W11</v>
      </c>
      <c r="J786" s="6" t="str">
        <f>_xlfn.CONCAT("VE-",Tabela10[[#This Row],[KOD_PRODUKTU]])</f>
        <v>VE-405W11</v>
      </c>
    </row>
    <row r="787" spans="1:10" x14ac:dyDescent="0.25">
      <c r="A787" s="1" t="s">
        <v>1994</v>
      </c>
      <c r="B787" t="s">
        <v>1995</v>
      </c>
      <c r="C787" s="1" t="s">
        <v>479</v>
      </c>
      <c r="D787" t="s">
        <v>480</v>
      </c>
      <c r="E787" t="s">
        <v>481</v>
      </c>
      <c r="F787" t="s">
        <v>5</v>
      </c>
      <c r="G787" t="s">
        <v>1119</v>
      </c>
      <c r="H787">
        <v>0.35</v>
      </c>
      <c r="I787" s="6" t="str">
        <f>_xlfn.CONCAT("Art. złączny do produktu ",Tabela10[[#This Row],[KOD_PRODUKTU]])</f>
        <v>Art. złączny do produktu 405W11</v>
      </c>
      <c r="J787" s="6" t="str">
        <f>_xlfn.CONCAT("VE-",Tabela10[[#This Row],[KOD_PRODUKTU]])</f>
        <v>VE-405W11</v>
      </c>
    </row>
    <row r="788" spans="1:10" x14ac:dyDescent="0.25">
      <c r="A788" s="7" t="s">
        <v>1994</v>
      </c>
      <c r="B788" s="6" t="s">
        <v>1995</v>
      </c>
      <c r="C788" s="7" t="s">
        <v>2007</v>
      </c>
      <c r="D788" s="6" t="s">
        <v>2008</v>
      </c>
      <c r="E788" s="6" t="s">
        <v>417</v>
      </c>
      <c r="F788" s="6" t="s">
        <v>5</v>
      </c>
      <c r="G788" s="6" t="s">
        <v>25</v>
      </c>
      <c r="H788" s="6">
        <v>0.44</v>
      </c>
      <c r="I788" s="6" t="str">
        <f>_xlfn.CONCAT("Art. złączny do produktu ",Tabela10[[#This Row],[KOD_PRODUKTU]])</f>
        <v>Art. złączny do produktu 405W11</v>
      </c>
      <c r="J788" s="6" t="str">
        <f>_xlfn.CONCAT("VE-",Tabela10[[#This Row],[KOD_PRODUKTU]])</f>
        <v>VE-405W11</v>
      </c>
    </row>
    <row r="789" spans="1:10" x14ac:dyDescent="0.25">
      <c r="A789" s="1" t="s">
        <v>1994</v>
      </c>
      <c r="B789" t="s">
        <v>1995</v>
      </c>
      <c r="C789" s="1" t="s">
        <v>2009</v>
      </c>
      <c r="D789" t="s">
        <v>2010</v>
      </c>
      <c r="E789" t="s">
        <v>274</v>
      </c>
      <c r="F789" t="s">
        <v>5</v>
      </c>
      <c r="G789" t="s">
        <v>2011</v>
      </c>
      <c r="H789">
        <v>0.18</v>
      </c>
      <c r="I789" s="6" t="str">
        <f>_xlfn.CONCAT("Art. złączny do produktu ",Tabela10[[#This Row],[KOD_PRODUKTU]])</f>
        <v>Art. złączny do produktu 405W11</v>
      </c>
      <c r="J789" s="6" t="str">
        <f>_xlfn.CONCAT("VE-",Tabela10[[#This Row],[KOD_PRODUKTU]])</f>
        <v>VE-405W11</v>
      </c>
    </row>
    <row r="790" spans="1:10" x14ac:dyDescent="0.25">
      <c r="A790" s="7" t="s">
        <v>1994</v>
      </c>
      <c r="B790" s="6" t="s">
        <v>1995</v>
      </c>
      <c r="C790" s="7" t="s">
        <v>628</v>
      </c>
      <c r="D790" s="6" t="s">
        <v>629</v>
      </c>
      <c r="E790" s="6" t="s">
        <v>698</v>
      </c>
      <c r="F790" s="6" t="s">
        <v>5</v>
      </c>
      <c r="G790" s="6" t="s">
        <v>2012</v>
      </c>
      <c r="H790" s="6">
        <v>0.48</v>
      </c>
      <c r="I790" s="6" t="str">
        <f>_xlfn.CONCAT("Art. złączny do produktu ",Tabela10[[#This Row],[KOD_PRODUKTU]])</f>
        <v>Art. złączny do produktu 405W11</v>
      </c>
      <c r="J790" s="6" t="str">
        <f>_xlfn.CONCAT("VE-",Tabela10[[#This Row],[KOD_PRODUKTU]])</f>
        <v>VE-405W11</v>
      </c>
    </row>
    <row r="791" spans="1:10" x14ac:dyDescent="0.25">
      <c r="A791" s="1" t="s">
        <v>1994</v>
      </c>
      <c r="B791" t="s">
        <v>1995</v>
      </c>
      <c r="C791" s="1" t="s">
        <v>1971</v>
      </c>
      <c r="D791" t="s">
        <v>1972</v>
      </c>
      <c r="E791" t="s">
        <v>1005</v>
      </c>
      <c r="F791" t="s">
        <v>5</v>
      </c>
      <c r="G791" t="s">
        <v>2013</v>
      </c>
      <c r="H791">
        <v>1.5</v>
      </c>
      <c r="I791" s="6" t="str">
        <f>_xlfn.CONCAT("Art. złączny do produktu ",Tabela10[[#This Row],[KOD_PRODUKTU]])</f>
        <v>Art. złączny do produktu 405W11</v>
      </c>
      <c r="J791" s="6" t="str">
        <f>_xlfn.CONCAT("VE-",Tabela10[[#This Row],[KOD_PRODUKTU]])</f>
        <v>VE-405W11</v>
      </c>
    </row>
    <row r="792" spans="1:10" x14ac:dyDescent="0.25">
      <c r="A792" s="7" t="s">
        <v>1994</v>
      </c>
      <c r="B792" s="6" t="s">
        <v>1995</v>
      </c>
      <c r="C792" s="7" t="s">
        <v>1974</v>
      </c>
      <c r="D792" s="6" t="s">
        <v>2014</v>
      </c>
      <c r="E792" s="6" t="s">
        <v>1479</v>
      </c>
      <c r="F792" s="6" t="s">
        <v>121</v>
      </c>
      <c r="G792" s="6" t="s">
        <v>2015</v>
      </c>
      <c r="H792" s="6">
        <v>3.28</v>
      </c>
      <c r="I792" s="6" t="str">
        <f>_xlfn.CONCAT("Art. złączny do produktu ",Tabela10[[#This Row],[KOD_PRODUKTU]])</f>
        <v>Art. złączny do produktu 405W11</v>
      </c>
      <c r="J792" s="6" t="str">
        <f>_xlfn.CONCAT("VE-",Tabela10[[#This Row],[KOD_PRODUKTU]])</f>
        <v>VE-405W11</v>
      </c>
    </row>
    <row r="793" spans="1:10" x14ac:dyDescent="0.25">
      <c r="A793" s="1" t="s">
        <v>1994</v>
      </c>
      <c r="B793" t="s">
        <v>1995</v>
      </c>
      <c r="C793" s="1" t="s">
        <v>41</v>
      </c>
      <c r="D793" t="s">
        <v>42</v>
      </c>
      <c r="E793" t="s">
        <v>43</v>
      </c>
      <c r="F793" t="s">
        <v>5</v>
      </c>
      <c r="G793" t="s">
        <v>227</v>
      </c>
      <c r="H793">
        <v>0.01</v>
      </c>
      <c r="I793" s="6" t="str">
        <f>_xlfn.CONCAT("Art. złączny do produktu ",Tabela10[[#This Row],[KOD_PRODUKTU]])</f>
        <v>Art. złączny do produktu 405W11</v>
      </c>
      <c r="J793" s="6" t="str">
        <f>_xlfn.CONCAT("VE-",Tabela10[[#This Row],[KOD_PRODUKTU]])</f>
        <v>VE-405W11</v>
      </c>
    </row>
    <row r="794" spans="1:10" x14ac:dyDescent="0.25">
      <c r="A794" s="7" t="s">
        <v>1994</v>
      </c>
      <c r="B794" s="6" t="s">
        <v>1995</v>
      </c>
      <c r="C794" s="7" t="s">
        <v>1977</v>
      </c>
      <c r="D794" s="6" t="s">
        <v>1978</v>
      </c>
      <c r="E794" s="6" t="s">
        <v>1090</v>
      </c>
      <c r="F794" s="6" t="s">
        <v>121</v>
      </c>
      <c r="G794" s="6" t="s">
        <v>50</v>
      </c>
      <c r="H794" s="6">
        <v>0.1</v>
      </c>
      <c r="I794" s="6" t="str">
        <f>_xlfn.CONCAT("Art. złączny do produktu ",Tabela10[[#This Row],[KOD_PRODUKTU]])</f>
        <v>Art. złączny do produktu 405W11</v>
      </c>
      <c r="J794" s="6" t="str">
        <f>_xlfn.CONCAT("VE-",Tabela10[[#This Row],[KOD_PRODUKTU]])</f>
        <v>VE-405W11</v>
      </c>
    </row>
    <row r="795" spans="1:10" x14ac:dyDescent="0.25">
      <c r="A795" s="1" t="s">
        <v>1994</v>
      </c>
      <c r="B795" t="s">
        <v>1995</v>
      </c>
      <c r="C795" s="1" t="s">
        <v>1979</v>
      </c>
      <c r="D795" t="s">
        <v>1978</v>
      </c>
      <c r="E795" t="s">
        <v>1090</v>
      </c>
      <c r="F795" t="s">
        <v>121</v>
      </c>
      <c r="G795" t="s">
        <v>50</v>
      </c>
      <c r="H795">
        <v>0.1</v>
      </c>
      <c r="I795" s="6" t="str">
        <f>_xlfn.CONCAT("Art. złączny do produktu ",Tabela10[[#This Row],[KOD_PRODUKTU]])</f>
        <v>Art. złączny do produktu 405W11</v>
      </c>
      <c r="J795" s="6" t="str">
        <f>_xlfn.CONCAT("VE-",Tabela10[[#This Row],[KOD_PRODUKTU]])</f>
        <v>VE-405W11</v>
      </c>
    </row>
    <row r="796" spans="1:10" x14ac:dyDescent="0.25">
      <c r="A796" s="7" t="s">
        <v>1994</v>
      </c>
      <c r="B796" s="6" t="s">
        <v>1995</v>
      </c>
      <c r="C796" s="7" t="s">
        <v>1989</v>
      </c>
      <c r="D796" s="6" t="s">
        <v>1990</v>
      </c>
      <c r="E796" s="6" t="s">
        <v>1991</v>
      </c>
      <c r="F796" s="6" t="s">
        <v>435</v>
      </c>
      <c r="G796" s="6" t="s">
        <v>2025</v>
      </c>
      <c r="H796" s="6">
        <v>39.5</v>
      </c>
      <c r="I796" s="6" t="str">
        <f>_xlfn.CONCAT("Art. złączny do produktu ",Tabela10[[#This Row],[KOD_PRODUKTU]])</f>
        <v>Art. złączny do produktu 405W11</v>
      </c>
      <c r="J796" s="6" t="str">
        <f>_xlfn.CONCAT("VE-",Tabela10[[#This Row],[KOD_PRODUKTU]])</f>
        <v>VE-405W11</v>
      </c>
    </row>
    <row r="797" spans="1:10" x14ac:dyDescent="0.25">
      <c r="A797" s="1" t="s">
        <v>1994</v>
      </c>
      <c r="B797" t="s">
        <v>1995</v>
      </c>
      <c r="C797" s="1" t="s">
        <v>7</v>
      </c>
      <c r="D797" t="s">
        <v>8</v>
      </c>
      <c r="E797" t="s">
        <v>9</v>
      </c>
      <c r="F797" t="s">
        <v>10</v>
      </c>
      <c r="G797" t="s">
        <v>2026</v>
      </c>
      <c r="H797">
        <v>122.5</v>
      </c>
      <c r="I797" s="6" t="str">
        <f>_xlfn.CONCAT("Art. złączny do produktu ",Tabela10[[#This Row],[KOD_PRODUKTU]])</f>
        <v>Art. złączny do produktu 405W11</v>
      </c>
      <c r="J797" s="6" t="str">
        <f>_xlfn.CONCAT("VE-",Tabela10[[#This Row],[KOD_PRODUKTU]])</f>
        <v>VE-405W11</v>
      </c>
    </row>
    <row r="798" spans="1:10" x14ac:dyDescent="0.25">
      <c r="A798" s="7" t="s">
        <v>2027</v>
      </c>
      <c r="B798" s="6" t="s">
        <v>2028</v>
      </c>
      <c r="C798" s="7" t="s">
        <v>2029</v>
      </c>
      <c r="D798" s="6" t="s">
        <v>2030</v>
      </c>
      <c r="E798" s="6" t="s">
        <v>2031</v>
      </c>
      <c r="F798" s="6" t="s">
        <v>49</v>
      </c>
      <c r="G798" s="6" t="s">
        <v>50</v>
      </c>
      <c r="H798" s="6">
        <v>349.34</v>
      </c>
      <c r="I798" s="6" t="str">
        <f>_xlfn.CONCAT("Art. złączny do produktu ",Tabela10[[#This Row],[KOD_PRODUKTU]])</f>
        <v>Art. złączny do produktu 405W12</v>
      </c>
      <c r="J798" s="6" t="str">
        <f>_xlfn.CONCAT("VE-",Tabela10[[#This Row],[KOD_PRODUKTU]])</f>
        <v>VE-405W12</v>
      </c>
    </row>
    <row r="799" spans="1:10" x14ac:dyDescent="0.25">
      <c r="A799" s="1" t="s">
        <v>2027</v>
      </c>
      <c r="B799" t="s">
        <v>2028</v>
      </c>
      <c r="C799" s="1" t="s">
        <v>623</v>
      </c>
      <c r="D799" t="s">
        <v>624</v>
      </c>
      <c r="E799" t="s">
        <v>589</v>
      </c>
      <c r="F799" t="s">
        <v>5</v>
      </c>
      <c r="G799" t="s">
        <v>2003</v>
      </c>
      <c r="H799">
        <v>0.14000000000000001</v>
      </c>
      <c r="I799" s="6" t="str">
        <f>_xlfn.CONCAT("Art. złączny do produktu ",Tabela10[[#This Row],[KOD_PRODUKTU]])</f>
        <v>Art. złączny do produktu 405W12</v>
      </c>
      <c r="J799" s="6" t="str">
        <f>_xlfn.CONCAT("VE-",Tabela10[[#This Row],[KOD_PRODUKTU]])</f>
        <v>VE-405W12</v>
      </c>
    </row>
    <row r="800" spans="1:10" x14ac:dyDescent="0.25">
      <c r="A800" s="7" t="s">
        <v>2027</v>
      </c>
      <c r="B800" s="6" t="s">
        <v>2028</v>
      </c>
      <c r="C800" s="7" t="s">
        <v>2004</v>
      </c>
      <c r="D800" s="6" t="s">
        <v>2005</v>
      </c>
      <c r="E800" s="6" t="s">
        <v>2006</v>
      </c>
      <c r="F800" s="6" t="s">
        <v>5</v>
      </c>
      <c r="G800" s="6" t="s">
        <v>558</v>
      </c>
      <c r="H800" s="6">
        <v>1.63</v>
      </c>
      <c r="I800" s="6" t="str">
        <f>_xlfn.CONCAT("Art. złączny do produktu ",Tabela10[[#This Row],[KOD_PRODUKTU]])</f>
        <v>Art. złączny do produktu 405W12</v>
      </c>
      <c r="J800" s="6" t="str">
        <f>_xlfn.CONCAT("VE-",Tabela10[[#This Row],[KOD_PRODUKTU]])</f>
        <v>VE-405W12</v>
      </c>
    </row>
    <row r="801" spans="1:10" x14ac:dyDescent="0.25">
      <c r="A801" s="1" t="s">
        <v>2027</v>
      </c>
      <c r="B801" t="s">
        <v>2028</v>
      </c>
      <c r="C801" s="1" t="s">
        <v>479</v>
      </c>
      <c r="D801" t="s">
        <v>480</v>
      </c>
      <c r="E801" t="s">
        <v>481</v>
      </c>
      <c r="F801" t="s">
        <v>5</v>
      </c>
      <c r="G801" t="s">
        <v>1119</v>
      </c>
      <c r="H801">
        <v>0.35</v>
      </c>
      <c r="I801" s="6" t="str">
        <f>_xlfn.CONCAT("Art. złączny do produktu ",Tabela10[[#This Row],[KOD_PRODUKTU]])</f>
        <v>Art. złączny do produktu 405W12</v>
      </c>
      <c r="J801" s="6" t="str">
        <f>_xlfn.CONCAT("VE-",Tabela10[[#This Row],[KOD_PRODUKTU]])</f>
        <v>VE-405W12</v>
      </c>
    </row>
    <row r="802" spans="1:10" x14ac:dyDescent="0.25">
      <c r="A802" s="7" t="s">
        <v>2027</v>
      </c>
      <c r="B802" s="6" t="s">
        <v>2028</v>
      </c>
      <c r="C802" s="7" t="s">
        <v>2007</v>
      </c>
      <c r="D802" s="6" t="s">
        <v>2008</v>
      </c>
      <c r="E802" s="6" t="s">
        <v>417</v>
      </c>
      <c r="F802" s="6" t="s">
        <v>5</v>
      </c>
      <c r="G802" s="6" t="s">
        <v>25</v>
      </c>
      <c r="H802" s="6">
        <v>0.44</v>
      </c>
      <c r="I802" s="6" t="str">
        <f>_xlfn.CONCAT("Art. złączny do produktu ",Tabela10[[#This Row],[KOD_PRODUKTU]])</f>
        <v>Art. złączny do produktu 405W12</v>
      </c>
      <c r="J802" s="6" t="str">
        <f>_xlfn.CONCAT("VE-",Tabela10[[#This Row],[KOD_PRODUKTU]])</f>
        <v>VE-405W12</v>
      </c>
    </row>
    <row r="803" spans="1:10" x14ac:dyDescent="0.25">
      <c r="A803" s="1" t="s">
        <v>2027</v>
      </c>
      <c r="B803" t="s">
        <v>2028</v>
      </c>
      <c r="C803" s="1" t="s">
        <v>2009</v>
      </c>
      <c r="D803" t="s">
        <v>2010</v>
      </c>
      <c r="E803" t="s">
        <v>274</v>
      </c>
      <c r="F803" t="s">
        <v>5</v>
      </c>
      <c r="G803" t="s">
        <v>2011</v>
      </c>
      <c r="H803">
        <v>0.18</v>
      </c>
      <c r="I803" s="6" t="str">
        <f>_xlfn.CONCAT("Art. złączny do produktu ",Tabela10[[#This Row],[KOD_PRODUKTU]])</f>
        <v>Art. złączny do produktu 405W12</v>
      </c>
      <c r="J803" s="6" t="str">
        <f>_xlfn.CONCAT("VE-",Tabela10[[#This Row],[KOD_PRODUKTU]])</f>
        <v>VE-405W12</v>
      </c>
    </row>
    <row r="804" spans="1:10" x14ac:dyDescent="0.25">
      <c r="A804" s="7" t="s">
        <v>2027</v>
      </c>
      <c r="B804" s="6" t="s">
        <v>2028</v>
      </c>
      <c r="C804" s="7" t="s">
        <v>628</v>
      </c>
      <c r="D804" s="6" t="s">
        <v>629</v>
      </c>
      <c r="E804" s="6" t="s">
        <v>698</v>
      </c>
      <c r="F804" s="6" t="s">
        <v>5</v>
      </c>
      <c r="G804" s="6" t="s">
        <v>2012</v>
      </c>
      <c r="H804" s="6">
        <v>0.48</v>
      </c>
      <c r="I804" s="6" t="str">
        <f>_xlfn.CONCAT("Art. złączny do produktu ",Tabela10[[#This Row],[KOD_PRODUKTU]])</f>
        <v>Art. złączny do produktu 405W12</v>
      </c>
      <c r="J804" s="6" t="str">
        <f>_xlfn.CONCAT("VE-",Tabela10[[#This Row],[KOD_PRODUKTU]])</f>
        <v>VE-405W12</v>
      </c>
    </row>
    <row r="805" spans="1:10" x14ac:dyDescent="0.25">
      <c r="A805" s="1" t="s">
        <v>2027</v>
      </c>
      <c r="B805" t="s">
        <v>2028</v>
      </c>
      <c r="C805" s="1" t="s">
        <v>1971</v>
      </c>
      <c r="D805" t="s">
        <v>1972</v>
      </c>
      <c r="E805" t="s">
        <v>1005</v>
      </c>
      <c r="F805" t="s">
        <v>5</v>
      </c>
      <c r="G805" t="s">
        <v>2013</v>
      </c>
      <c r="H805">
        <v>1.5</v>
      </c>
      <c r="I805" s="6" t="str">
        <f>_xlfn.CONCAT("Art. złączny do produktu ",Tabela10[[#This Row],[KOD_PRODUKTU]])</f>
        <v>Art. złączny do produktu 405W12</v>
      </c>
      <c r="J805" s="6" t="str">
        <f>_xlfn.CONCAT("VE-",Tabela10[[#This Row],[KOD_PRODUKTU]])</f>
        <v>VE-405W12</v>
      </c>
    </row>
    <row r="806" spans="1:10" x14ac:dyDescent="0.25">
      <c r="A806" s="7" t="s">
        <v>2027</v>
      </c>
      <c r="B806" s="6" t="s">
        <v>2028</v>
      </c>
      <c r="C806" s="7" t="s">
        <v>1974</v>
      </c>
      <c r="D806" s="6" t="s">
        <v>2014</v>
      </c>
      <c r="E806" s="6" t="s">
        <v>1479</v>
      </c>
      <c r="F806" s="6" t="s">
        <v>121</v>
      </c>
      <c r="G806" s="6" t="s">
        <v>2015</v>
      </c>
      <c r="H806" s="6">
        <v>3.28</v>
      </c>
      <c r="I806" s="6" t="str">
        <f>_xlfn.CONCAT("Art. złączny do produktu ",Tabela10[[#This Row],[KOD_PRODUKTU]])</f>
        <v>Art. złączny do produktu 405W12</v>
      </c>
      <c r="J806" s="6" t="str">
        <f>_xlfn.CONCAT("VE-",Tabela10[[#This Row],[KOD_PRODUKTU]])</f>
        <v>VE-405W12</v>
      </c>
    </row>
    <row r="807" spans="1:10" x14ac:dyDescent="0.25">
      <c r="A807" s="1" t="s">
        <v>2027</v>
      </c>
      <c r="B807" t="s">
        <v>2028</v>
      </c>
      <c r="C807" s="1" t="s">
        <v>41</v>
      </c>
      <c r="D807" t="s">
        <v>42</v>
      </c>
      <c r="E807" t="s">
        <v>43</v>
      </c>
      <c r="F807" t="s">
        <v>5</v>
      </c>
      <c r="G807" t="s">
        <v>227</v>
      </c>
      <c r="H807">
        <v>0.01</v>
      </c>
      <c r="I807" s="6" t="str">
        <f>_xlfn.CONCAT("Art. złączny do produktu ",Tabela10[[#This Row],[KOD_PRODUKTU]])</f>
        <v>Art. złączny do produktu 405W12</v>
      </c>
      <c r="J807" s="6" t="str">
        <f>_xlfn.CONCAT("VE-",Tabela10[[#This Row],[KOD_PRODUKTU]])</f>
        <v>VE-405W12</v>
      </c>
    </row>
    <row r="808" spans="1:10" x14ac:dyDescent="0.25">
      <c r="A808" s="7" t="s">
        <v>2027</v>
      </c>
      <c r="B808" s="6" t="s">
        <v>2028</v>
      </c>
      <c r="C808" s="7" t="s">
        <v>1977</v>
      </c>
      <c r="D808" s="6" t="s">
        <v>1978</v>
      </c>
      <c r="E808" s="6" t="s">
        <v>1090</v>
      </c>
      <c r="F808" s="6" t="s">
        <v>121</v>
      </c>
      <c r="G808" s="6" t="s">
        <v>50</v>
      </c>
      <c r="H808" s="6">
        <v>0.1</v>
      </c>
      <c r="I808" s="6" t="str">
        <f>_xlfn.CONCAT("Art. złączny do produktu ",Tabela10[[#This Row],[KOD_PRODUKTU]])</f>
        <v>Art. złączny do produktu 405W12</v>
      </c>
      <c r="J808" s="6" t="str">
        <f>_xlfn.CONCAT("VE-",Tabela10[[#This Row],[KOD_PRODUKTU]])</f>
        <v>VE-405W12</v>
      </c>
    </row>
    <row r="809" spans="1:10" x14ac:dyDescent="0.25">
      <c r="A809" s="1" t="s">
        <v>2027</v>
      </c>
      <c r="B809" t="s">
        <v>2028</v>
      </c>
      <c r="C809" s="1" t="s">
        <v>1979</v>
      </c>
      <c r="D809" t="s">
        <v>1978</v>
      </c>
      <c r="E809" t="s">
        <v>1090</v>
      </c>
      <c r="F809" t="s">
        <v>121</v>
      </c>
      <c r="G809" t="s">
        <v>50</v>
      </c>
      <c r="H809">
        <v>0.1</v>
      </c>
      <c r="I809" s="6" t="str">
        <f>_xlfn.CONCAT("Art. złączny do produktu ",Tabela10[[#This Row],[KOD_PRODUKTU]])</f>
        <v>Art. złączny do produktu 405W12</v>
      </c>
      <c r="J809" s="6" t="str">
        <f>_xlfn.CONCAT("VE-",Tabela10[[#This Row],[KOD_PRODUKTU]])</f>
        <v>VE-405W12</v>
      </c>
    </row>
    <row r="810" spans="1:10" x14ac:dyDescent="0.25">
      <c r="A810" s="7" t="s">
        <v>2027</v>
      </c>
      <c r="B810" s="6" t="s">
        <v>2028</v>
      </c>
      <c r="C810" s="7" t="s">
        <v>1989</v>
      </c>
      <c r="D810" s="6" t="s">
        <v>1990</v>
      </c>
      <c r="E810" s="6" t="s">
        <v>1991</v>
      </c>
      <c r="F810" s="6" t="s">
        <v>435</v>
      </c>
      <c r="G810" s="6" t="s">
        <v>2025</v>
      </c>
      <c r="H810" s="6">
        <v>39.5</v>
      </c>
      <c r="I810" s="6" t="str">
        <f>_xlfn.CONCAT("Art. złączny do produktu ",Tabela10[[#This Row],[KOD_PRODUKTU]])</f>
        <v>Art. złączny do produktu 405W12</v>
      </c>
      <c r="J810" s="6" t="str">
        <f>_xlfn.CONCAT("VE-",Tabela10[[#This Row],[KOD_PRODUKTU]])</f>
        <v>VE-405W12</v>
      </c>
    </row>
    <row r="811" spans="1:10" x14ac:dyDescent="0.25">
      <c r="A811" s="1" t="s">
        <v>2027</v>
      </c>
      <c r="B811" t="s">
        <v>2028</v>
      </c>
      <c r="C811" s="1" t="s">
        <v>7</v>
      </c>
      <c r="D811" t="s">
        <v>8</v>
      </c>
      <c r="E811" t="s">
        <v>9</v>
      </c>
      <c r="F811" t="s">
        <v>10</v>
      </c>
      <c r="G811" t="s">
        <v>2026</v>
      </c>
      <c r="H811">
        <v>122.5</v>
      </c>
      <c r="I811" s="6" t="str">
        <f>_xlfn.CONCAT("Art. złączny do produktu ",Tabela10[[#This Row],[KOD_PRODUKTU]])</f>
        <v>Art. złączny do produktu 405W12</v>
      </c>
      <c r="J811" s="6" t="str">
        <f>_xlfn.CONCAT("VE-",Tabela10[[#This Row],[KOD_PRODUKTU]])</f>
        <v>VE-405W12</v>
      </c>
    </row>
    <row r="812" spans="1:10" x14ac:dyDescent="0.25">
      <c r="A812" s="7" t="s">
        <v>2032</v>
      </c>
      <c r="B812" s="6" t="s">
        <v>2033</v>
      </c>
      <c r="C812" s="7" t="s">
        <v>2034</v>
      </c>
      <c r="D812" s="6" t="s">
        <v>2035</v>
      </c>
      <c r="E812" s="6" t="s">
        <v>2036</v>
      </c>
      <c r="F812" s="6" t="s">
        <v>121</v>
      </c>
      <c r="G812" s="6" t="s">
        <v>50</v>
      </c>
      <c r="H812" s="6">
        <v>0.8</v>
      </c>
      <c r="I812" s="6" t="str">
        <f>_xlfn.CONCAT("Art. złączny do produktu ",Tabela10[[#This Row],[KOD_PRODUKTU]])</f>
        <v>Art. złączny do produktu 410P30</v>
      </c>
      <c r="J812" s="6" t="str">
        <f>_xlfn.CONCAT("VE-",Tabela10[[#This Row],[KOD_PRODUKTU]])</f>
        <v>VE-410P30</v>
      </c>
    </row>
    <row r="813" spans="1:10" x14ac:dyDescent="0.25">
      <c r="A813" s="1" t="s">
        <v>2032</v>
      </c>
      <c r="B813" t="s">
        <v>2033</v>
      </c>
      <c r="C813" s="1" t="s">
        <v>432</v>
      </c>
      <c r="D813" t="s">
        <v>433</v>
      </c>
      <c r="E813" t="s">
        <v>434</v>
      </c>
      <c r="F813" t="s">
        <v>435</v>
      </c>
      <c r="G813" t="s">
        <v>50</v>
      </c>
      <c r="H813">
        <v>1.1000000000000001</v>
      </c>
      <c r="I813" s="6" t="str">
        <f>_xlfn.CONCAT("Art. złączny do produktu ",Tabela10[[#This Row],[KOD_PRODUKTU]])</f>
        <v>Art. złączny do produktu 410P30</v>
      </c>
      <c r="J813" s="6" t="str">
        <f>_xlfn.CONCAT("VE-",Tabela10[[#This Row],[KOD_PRODUKTU]])</f>
        <v>VE-410P30</v>
      </c>
    </row>
    <row r="814" spans="1:10" x14ac:dyDescent="0.25">
      <c r="A814" s="7" t="s">
        <v>2032</v>
      </c>
      <c r="B814" s="6" t="s">
        <v>2033</v>
      </c>
      <c r="C814" s="7" t="s">
        <v>541</v>
      </c>
      <c r="D814" s="6" t="s">
        <v>542</v>
      </c>
      <c r="E814" s="6" t="s">
        <v>9</v>
      </c>
      <c r="F814" s="6" t="s">
        <v>10</v>
      </c>
      <c r="G814" s="6" t="s">
        <v>2037</v>
      </c>
      <c r="H814" s="6">
        <v>1.3</v>
      </c>
      <c r="I814" s="6" t="str">
        <f>_xlfn.CONCAT("Art. złączny do produktu ",Tabela10[[#This Row],[KOD_PRODUKTU]])</f>
        <v>Art. złączny do produktu 410P30</v>
      </c>
      <c r="J814" s="6" t="str">
        <f>_xlfn.CONCAT("VE-",Tabela10[[#This Row],[KOD_PRODUKTU]])</f>
        <v>VE-410P30</v>
      </c>
    </row>
    <row r="815" spans="1:10" x14ac:dyDescent="0.25">
      <c r="A815" s="1" t="s">
        <v>2038</v>
      </c>
      <c r="B815" t="s">
        <v>2039</v>
      </c>
      <c r="C815" s="1" t="s">
        <v>248</v>
      </c>
      <c r="D815" t="s">
        <v>249</v>
      </c>
      <c r="E815" t="s">
        <v>70</v>
      </c>
      <c r="F815" t="s">
        <v>39</v>
      </c>
      <c r="G815" t="s">
        <v>40</v>
      </c>
      <c r="H815">
        <v>0.05</v>
      </c>
      <c r="I815" s="6" t="str">
        <f>_xlfn.CONCAT("Art. złączny do produktu ",Tabela10[[#This Row],[KOD_PRODUKTU]])</f>
        <v>Art. złączny do produktu 410P31</v>
      </c>
      <c r="J815" s="6" t="str">
        <f>_xlfn.CONCAT("VE-",Tabela10[[#This Row],[KOD_PRODUKTU]])</f>
        <v>VE-410P31</v>
      </c>
    </row>
    <row r="816" spans="1:10" x14ac:dyDescent="0.25">
      <c r="A816" s="7" t="s">
        <v>2038</v>
      </c>
      <c r="B816" s="6" t="s">
        <v>2039</v>
      </c>
      <c r="C816" s="7" t="s">
        <v>7</v>
      </c>
      <c r="D816" s="6" t="s">
        <v>8</v>
      </c>
      <c r="E816" s="6" t="s">
        <v>9</v>
      </c>
      <c r="F816" s="6" t="s">
        <v>10</v>
      </c>
      <c r="G816" s="6" t="s">
        <v>2046</v>
      </c>
      <c r="H816" s="6">
        <v>0.77</v>
      </c>
      <c r="I816" s="6" t="str">
        <f>_xlfn.CONCAT("Art. złączny do produktu ",Tabela10[[#This Row],[KOD_PRODUKTU]])</f>
        <v>Art. złączny do produktu 410P31</v>
      </c>
      <c r="J816" s="6" t="str">
        <f>_xlfn.CONCAT("VE-",Tabela10[[#This Row],[KOD_PRODUKTU]])</f>
        <v>VE-410P31</v>
      </c>
    </row>
    <row r="817" spans="1:10" x14ac:dyDescent="0.25">
      <c r="A817" s="1" t="s">
        <v>2047</v>
      </c>
      <c r="B817" t="s">
        <v>2048</v>
      </c>
      <c r="C817" s="1" t="s">
        <v>81</v>
      </c>
      <c r="D817" t="s">
        <v>82</v>
      </c>
      <c r="E817" t="s">
        <v>83</v>
      </c>
      <c r="F817" t="s">
        <v>39</v>
      </c>
      <c r="G817" t="s">
        <v>40</v>
      </c>
      <c r="H817">
        <v>0.15</v>
      </c>
      <c r="I817" s="6" t="str">
        <f>_xlfn.CONCAT("Art. złączny do produktu ",Tabela10[[#This Row],[KOD_PRODUKTU]])</f>
        <v>Art. złączny do produktu 410P32</v>
      </c>
      <c r="J817" s="6" t="str">
        <f>_xlfn.CONCAT("VE-",Tabela10[[#This Row],[KOD_PRODUKTU]])</f>
        <v>VE-410P32</v>
      </c>
    </row>
    <row r="818" spans="1:10" x14ac:dyDescent="0.25">
      <c r="A818" s="7" t="s">
        <v>2047</v>
      </c>
      <c r="B818" s="6" t="s">
        <v>2048</v>
      </c>
      <c r="C818" s="7" t="s">
        <v>7</v>
      </c>
      <c r="D818" s="6" t="s">
        <v>8</v>
      </c>
      <c r="E818" s="6" t="s">
        <v>9</v>
      </c>
      <c r="F818" s="6" t="s">
        <v>10</v>
      </c>
      <c r="G818" s="6" t="s">
        <v>2046</v>
      </c>
      <c r="H818" s="6">
        <v>0.77</v>
      </c>
      <c r="I818" s="6" t="str">
        <f>_xlfn.CONCAT("Art. złączny do produktu ",Tabela10[[#This Row],[KOD_PRODUKTU]])</f>
        <v>Art. złączny do produktu 410P32</v>
      </c>
      <c r="J818" s="6" t="str">
        <f>_xlfn.CONCAT("VE-",Tabela10[[#This Row],[KOD_PRODUKTU]])</f>
        <v>VE-410P32</v>
      </c>
    </row>
    <row r="819" spans="1:10" x14ac:dyDescent="0.25">
      <c r="A819" s="1" t="s">
        <v>2049</v>
      </c>
      <c r="B819" t="s">
        <v>2050</v>
      </c>
      <c r="C819" s="1" t="s">
        <v>248</v>
      </c>
      <c r="D819" t="s">
        <v>249</v>
      </c>
      <c r="E819" t="s">
        <v>70</v>
      </c>
      <c r="F819" t="s">
        <v>39</v>
      </c>
      <c r="G819" t="s">
        <v>40</v>
      </c>
      <c r="H819">
        <v>0.05</v>
      </c>
      <c r="I819" s="6" t="str">
        <f>_xlfn.CONCAT("Art. złączny do produktu ",Tabela10[[#This Row],[KOD_PRODUKTU]])</f>
        <v>Art. złączny do produktu 410P33</v>
      </c>
      <c r="J819" s="6" t="str">
        <f>_xlfn.CONCAT("VE-",Tabela10[[#This Row],[KOD_PRODUKTU]])</f>
        <v>VE-410P33</v>
      </c>
    </row>
    <row r="820" spans="1:10" x14ac:dyDescent="0.25">
      <c r="A820" s="7" t="s">
        <v>2049</v>
      </c>
      <c r="B820" s="6" t="s">
        <v>2050</v>
      </c>
      <c r="C820" s="7" t="s">
        <v>7</v>
      </c>
      <c r="D820" s="6" t="s">
        <v>8</v>
      </c>
      <c r="E820" s="6" t="s">
        <v>9</v>
      </c>
      <c r="F820" s="6" t="s">
        <v>10</v>
      </c>
      <c r="G820" s="6" t="s">
        <v>316</v>
      </c>
      <c r="H820" s="6">
        <v>0.8</v>
      </c>
      <c r="I820" s="6" t="str">
        <f>_xlfn.CONCAT("Art. złączny do produktu ",Tabela10[[#This Row],[KOD_PRODUKTU]])</f>
        <v>Art. złączny do produktu 410P33</v>
      </c>
      <c r="J820" s="6" t="str">
        <f>_xlfn.CONCAT("VE-",Tabela10[[#This Row],[KOD_PRODUKTU]])</f>
        <v>VE-410P33</v>
      </c>
    </row>
    <row r="821" spans="1:10" x14ac:dyDescent="0.25">
      <c r="A821" s="1" t="s">
        <v>2067</v>
      </c>
      <c r="B821" t="s">
        <v>2068</v>
      </c>
      <c r="C821" s="1" t="s">
        <v>1547</v>
      </c>
      <c r="D821" t="s">
        <v>1548</v>
      </c>
      <c r="E821" t="s">
        <v>403</v>
      </c>
      <c r="F821" t="s">
        <v>5</v>
      </c>
      <c r="G821" t="s">
        <v>367</v>
      </c>
      <c r="H821">
        <v>0.3</v>
      </c>
      <c r="I821" s="6" t="str">
        <f>_xlfn.CONCAT("Art. złączny do produktu ",Tabela10[[#This Row],[KOD_PRODUKTU]])</f>
        <v>Art. złączny do produktu 410P34</v>
      </c>
      <c r="J821" s="6" t="str">
        <f>_xlfn.CONCAT("VE-",Tabela10[[#This Row],[KOD_PRODUKTU]])</f>
        <v>VE-410P34</v>
      </c>
    </row>
    <row r="822" spans="1:10" x14ac:dyDescent="0.25">
      <c r="A822" s="7" t="s">
        <v>2067</v>
      </c>
      <c r="B822" s="6" t="s">
        <v>2068</v>
      </c>
      <c r="C822" s="7" t="s">
        <v>432</v>
      </c>
      <c r="D822" s="6" t="s">
        <v>433</v>
      </c>
      <c r="E822" s="6" t="s">
        <v>434</v>
      </c>
      <c r="F822" s="6" t="s">
        <v>435</v>
      </c>
      <c r="G822" s="6" t="s">
        <v>50</v>
      </c>
      <c r="H822" s="6">
        <v>1.1000000000000001</v>
      </c>
      <c r="I822" s="6" t="str">
        <f>_xlfn.CONCAT("Art. złączny do produktu ",Tabela10[[#This Row],[KOD_PRODUKTU]])</f>
        <v>Art. złączny do produktu 410P34</v>
      </c>
      <c r="J822" s="6" t="str">
        <f>_xlfn.CONCAT("VE-",Tabela10[[#This Row],[KOD_PRODUKTU]])</f>
        <v>VE-410P34</v>
      </c>
    </row>
    <row r="823" spans="1:10" x14ac:dyDescent="0.25">
      <c r="A823" s="1" t="s">
        <v>2067</v>
      </c>
      <c r="B823" t="s">
        <v>2068</v>
      </c>
      <c r="C823" s="1" t="s">
        <v>7</v>
      </c>
      <c r="D823" t="s">
        <v>8</v>
      </c>
      <c r="E823" t="s">
        <v>9</v>
      </c>
      <c r="F823" t="s">
        <v>10</v>
      </c>
      <c r="G823" t="s">
        <v>2069</v>
      </c>
      <c r="H823">
        <v>1.4</v>
      </c>
      <c r="I823" s="6" t="str">
        <f>_xlfn.CONCAT("Art. złączny do produktu ",Tabela10[[#This Row],[KOD_PRODUKTU]])</f>
        <v>Art. złączny do produktu 410P34</v>
      </c>
      <c r="J823" s="6" t="str">
        <f>_xlfn.CONCAT("VE-",Tabela10[[#This Row],[KOD_PRODUKTU]])</f>
        <v>VE-410P34</v>
      </c>
    </row>
    <row r="824" spans="1:10" x14ac:dyDescent="0.25">
      <c r="A824" s="7" t="s">
        <v>2070</v>
      </c>
      <c r="B824" s="6" t="s">
        <v>2071</v>
      </c>
      <c r="C824" s="7" t="s">
        <v>2072</v>
      </c>
      <c r="D824" s="6" t="s">
        <v>2073</v>
      </c>
      <c r="E824" s="6" t="s">
        <v>1354</v>
      </c>
      <c r="F824" s="6" t="s">
        <v>5</v>
      </c>
      <c r="G824" s="6" t="s">
        <v>2074</v>
      </c>
      <c r="H824" s="6">
        <v>7.7</v>
      </c>
      <c r="I824" s="6" t="str">
        <f>_xlfn.CONCAT("Art. złączny do produktu ",Tabela10[[#This Row],[KOD_PRODUKTU]])</f>
        <v>Art. złączny do produktu 410T10</v>
      </c>
      <c r="J824" s="6" t="str">
        <f>_xlfn.CONCAT("VE-",Tabela10[[#This Row],[KOD_PRODUKTU]])</f>
        <v>VE-410T10</v>
      </c>
    </row>
    <row r="825" spans="1:10" x14ac:dyDescent="0.25">
      <c r="A825" s="1" t="s">
        <v>2070</v>
      </c>
      <c r="B825" t="s">
        <v>2071</v>
      </c>
      <c r="C825" s="1" t="s">
        <v>7</v>
      </c>
      <c r="D825" t="s">
        <v>8</v>
      </c>
      <c r="E825" t="s">
        <v>9</v>
      </c>
      <c r="F825" t="s">
        <v>10</v>
      </c>
      <c r="G825" t="s">
        <v>2075</v>
      </c>
      <c r="H825">
        <v>1.25</v>
      </c>
      <c r="I825" s="6" t="str">
        <f>_xlfn.CONCAT("Art. złączny do produktu ",Tabela10[[#This Row],[KOD_PRODUKTU]])</f>
        <v>Art. złączny do produktu 410T10</v>
      </c>
      <c r="J825" s="6" t="str">
        <f>_xlfn.CONCAT("VE-",Tabela10[[#This Row],[KOD_PRODUKTU]])</f>
        <v>VE-410T10</v>
      </c>
    </row>
    <row r="826" spans="1:10" x14ac:dyDescent="0.25">
      <c r="A826" s="7" t="s">
        <v>2076</v>
      </c>
      <c r="B826" s="6" t="s">
        <v>2077</v>
      </c>
      <c r="C826" s="7" t="s">
        <v>2078</v>
      </c>
      <c r="D826" s="6" t="s">
        <v>2079</v>
      </c>
      <c r="E826" s="6" t="s">
        <v>1354</v>
      </c>
      <c r="F826" s="6" t="s">
        <v>5</v>
      </c>
      <c r="G826" s="6" t="s">
        <v>2080</v>
      </c>
      <c r="H826" s="6">
        <v>13.75</v>
      </c>
      <c r="I826" s="6" t="str">
        <f>_xlfn.CONCAT("Art. złączny do produktu ",Tabela10[[#This Row],[KOD_PRODUKTU]])</f>
        <v>Art. złączny do produktu 410T11</v>
      </c>
      <c r="J826" s="6" t="str">
        <f>_xlfn.CONCAT("VE-",Tabela10[[#This Row],[KOD_PRODUKTU]])</f>
        <v>VE-410T11</v>
      </c>
    </row>
    <row r="827" spans="1:10" x14ac:dyDescent="0.25">
      <c r="A827" s="1" t="s">
        <v>2076</v>
      </c>
      <c r="B827" t="s">
        <v>2077</v>
      </c>
      <c r="C827" s="1" t="s">
        <v>7</v>
      </c>
      <c r="D827" t="s">
        <v>8</v>
      </c>
      <c r="E827" t="s">
        <v>9</v>
      </c>
      <c r="F827" t="s">
        <v>10</v>
      </c>
      <c r="G827" t="s">
        <v>1791</v>
      </c>
      <c r="H827">
        <v>2.4500000000000002</v>
      </c>
      <c r="I827" s="6" t="str">
        <f>_xlfn.CONCAT("Art. złączny do produktu ",Tabela10[[#This Row],[KOD_PRODUKTU]])</f>
        <v>Art. złączny do produktu 410T11</v>
      </c>
      <c r="J827" s="6" t="str">
        <f>_xlfn.CONCAT("VE-",Tabela10[[#This Row],[KOD_PRODUKTU]])</f>
        <v>VE-410T11</v>
      </c>
    </row>
    <row r="828" spans="1:10" x14ac:dyDescent="0.25">
      <c r="A828" s="7" t="s">
        <v>2081</v>
      </c>
      <c r="B828" s="6" t="s">
        <v>2082</v>
      </c>
      <c r="C828" s="7" t="s">
        <v>2078</v>
      </c>
      <c r="D828" s="6" t="s">
        <v>2079</v>
      </c>
      <c r="E828" s="6" t="s">
        <v>1354</v>
      </c>
      <c r="F828" s="6" t="s">
        <v>5</v>
      </c>
      <c r="G828" s="6" t="s">
        <v>2083</v>
      </c>
      <c r="H828" s="6">
        <v>8.9499999999999993</v>
      </c>
      <c r="I828" s="6" t="str">
        <f>_xlfn.CONCAT("Art. złączny do produktu ",Tabela10[[#This Row],[KOD_PRODUKTU]])</f>
        <v>Art. złączny do produktu 410T12</v>
      </c>
      <c r="J828" s="6" t="str">
        <f>_xlfn.CONCAT("VE-",Tabela10[[#This Row],[KOD_PRODUKTU]])</f>
        <v>VE-410T12</v>
      </c>
    </row>
    <row r="829" spans="1:10" x14ac:dyDescent="0.25">
      <c r="A829" s="1" t="s">
        <v>2081</v>
      </c>
      <c r="B829" t="s">
        <v>2082</v>
      </c>
      <c r="C829" s="1" t="s">
        <v>541</v>
      </c>
      <c r="D829" t="s">
        <v>542</v>
      </c>
      <c r="E829" t="s">
        <v>9</v>
      </c>
      <c r="F829" t="s">
        <v>10</v>
      </c>
      <c r="G829" t="s">
        <v>1236</v>
      </c>
      <c r="H829">
        <v>5.52</v>
      </c>
      <c r="I829" s="6" t="str">
        <f>_xlfn.CONCAT("Art. złączny do produktu ",Tabela10[[#This Row],[KOD_PRODUKTU]])</f>
        <v>Art. złączny do produktu 410T12</v>
      </c>
      <c r="J829" s="6" t="str">
        <f>_xlfn.CONCAT("VE-",Tabela10[[#This Row],[KOD_PRODUKTU]])</f>
        <v>VE-410T12</v>
      </c>
    </row>
    <row r="830" spans="1:10" x14ac:dyDescent="0.25">
      <c r="A830" s="7" t="s">
        <v>2084</v>
      </c>
      <c r="B830" s="6" t="s">
        <v>2085</v>
      </c>
      <c r="C830" s="7" t="s">
        <v>2072</v>
      </c>
      <c r="D830" s="6" t="s">
        <v>2073</v>
      </c>
      <c r="E830" s="6" t="s">
        <v>1354</v>
      </c>
      <c r="F830" s="6" t="s">
        <v>5</v>
      </c>
      <c r="G830" s="6" t="s">
        <v>2086</v>
      </c>
      <c r="H830" s="6">
        <v>4.4000000000000004</v>
      </c>
      <c r="I830" s="6" t="str">
        <f>_xlfn.CONCAT("Art. złączny do produktu ",Tabela10[[#This Row],[KOD_PRODUKTU]])</f>
        <v>Art. złączny do produktu 410T13</v>
      </c>
      <c r="J830" s="6" t="str">
        <f>_xlfn.CONCAT("VE-",Tabela10[[#This Row],[KOD_PRODUKTU]])</f>
        <v>VE-410T13</v>
      </c>
    </row>
    <row r="831" spans="1:10" x14ac:dyDescent="0.25">
      <c r="A831" s="1" t="s">
        <v>2084</v>
      </c>
      <c r="B831" t="s">
        <v>2085</v>
      </c>
      <c r="C831" s="1" t="s">
        <v>541</v>
      </c>
      <c r="D831" t="s">
        <v>542</v>
      </c>
      <c r="E831" t="s">
        <v>9</v>
      </c>
      <c r="F831" t="s">
        <v>10</v>
      </c>
      <c r="G831" t="s">
        <v>601</v>
      </c>
      <c r="H831">
        <v>6.9</v>
      </c>
      <c r="I831" s="6" t="str">
        <f>_xlfn.CONCAT("Art. złączny do produktu ",Tabela10[[#This Row],[KOD_PRODUKTU]])</f>
        <v>Art. złączny do produktu 410T13</v>
      </c>
      <c r="J831" s="6" t="str">
        <f>_xlfn.CONCAT("VE-",Tabela10[[#This Row],[KOD_PRODUKTU]])</f>
        <v>VE-410T13</v>
      </c>
    </row>
    <row r="832" spans="1:10" x14ac:dyDescent="0.25">
      <c r="A832" s="7" t="s">
        <v>2087</v>
      </c>
      <c r="B832" s="6" t="s">
        <v>2088</v>
      </c>
      <c r="C832" s="7" t="s">
        <v>2078</v>
      </c>
      <c r="D832" s="6" t="s">
        <v>2079</v>
      </c>
      <c r="E832" s="6" t="s">
        <v>1354</v>
      </c>
      <c r="F832" s="6" t="s">
        <v>5</v>
      </c>
      <c r="G832" s="6" t="s">
        <v>2089</v>
      </c>
      <c r="H832" s="6">
        <v>7.6</v>
      </c>
      <c r="I832" s="6" t="str">
        <f>_xlfn.CONCAT("Art. złączny do produktu ",Tabela10[[#This Row],[KOD_PRODUKTU]])</f>
        <v>Art. złączny do produktu 410T14</v>
      </c>
      <c r="J832" s="6" t="str">
        <f>_xlfn.CONCAT("VE-",Tabela10[[#This Row],[KOD_PRODUKTU]])</f>
        <v>VE-410T14</v>
      </c>
    </row>
    <row r="833" spans="1:10" x14ac:dyDescent="0.25">
      <c r="A833" s="1" t="s">
        <v>2087</v>
      </c>
      <c r="B833" t="s">
        <v>2088</v>
      </c>
      <c r="C833" s="1" t="s">
        <v>7</v>
      </c>
      <c r="D833" t="s">
        <v>8</v>
      </c>
      <c r="E833" t="s">
        <v>9</v>
      </c>
      <c r="F833" t="s">
        <v>10</v>
      </c>
      <c r="G833" t="s">
        <v>2090</v>
      </c>
      <c r="H833">
        <v>7.3</v>
      </c>
      <c r="I833" s="6" t="str">
        <f>_xlfn.CONCAT("Art. złączny do produktu ",Tabela10[[#This Row],[KOD_PRODUKTU]])</f>
        <v>Art. złączny do produktu 410T14</v>
      </c>
      <c r="J833" s="6" t="str">
        <f>_xlfn.CONCAT("VE-",Tabela10[[#This Row],[KOD_PRODUKTU]])</f>
        <v>VE-410T14</v>
      </c>
    </row>
    <row r="834" spans="1:10" x14ac:dyDescent="0.25">
      <c r="A834" s="7" t="s">
        <v>2091</v>
      </c>
      <c r="B834" s="6" t="s">
        <v>2092</v>
      </c>
      <c r="C834" s="7" t="s">
        <v>1378</v>
      </c>
      <c r="D834" s="6" t="s">
        <v>1379</v>
      </c>
      <c r="E834" s="6" t="s">
        <v>1043</v>
      </c>
      <c r="F834" s="6" t="s">
        <v>5</v>
      </c>
      <c r="G834" s="6" t="s">
        <v>699</v>
      </c>
      <c r="H834" s="6">
        <v>0.1</v>
      </c>
      <c r="I834" s="6" t="str">
        <f>_xlfn.CONCAT("Art. złączny do produktu ",Tabela10[[#This Row],[KOD_PRODUKTU]])</f>
        <v>Art. złączny do produktu 410T15</v>
      </c>
      <c r="J834" s="6" t="str">
        <f>_xlfn.CONCAT("VE-",Tabela10[[#This Row],[KOD_PRODUKTU]])</f>
        <v>VE-410T15</v>
      </c>
    </row>
    <row r="835" spans="1:10" x14ac:dyDescent="0.25">
      <c r="A835" s="1" t="s">
        <v>2091</v>
      </c>
      <c r="B835" t="s">
        <v>2092</v>
      </c>
      <c r="C835" s="1" t="s">
        <v>7</v>
      </c>
      <c r="D835" t="s">
        <v>8</v>
      </c>
      <c r="E835" t="s">
        <v>9</v>
      </c>
      <c r="F835" t="s">
        <v>10</v>
      </c>
      <c r="G835" t="s">
        <v>2093</v>
      </c>
      <c r="H835">
        <v>1.7</v>
      </c>
      <c r="I835" s="6" t="str">
        <f>_xlfn.CONCAT("Art. złączny do produktu ",Tabela10[[#This Row],[KOD_PRODUKTU]])</f>
        <v>Art. złączny do produktu 410T15</v>
      </c>
      <c r="J835" s="6" t="str">
        <f>_xlfn.CONCAT("VE-",Tabela10[[#This Row],[KOD_PRODUKTU]])</f>
        <v>VE-410T15</v>
      </c>
    </row>
    <row r="836" spans="1:10" x14ac:dyDescent="0.25">
      <c r="A836" s="7" t="s">
        <v>2094</v>
      </c>
      <c r="B836" s="6" t="s">
        <v>2095</v>
      </c>
      <c r="C836" s="7" t="s">
        <v>1378</v>
      </c>
      <c r="D836" s="6" t="s">
        <v>1379</v>
      </c>
      <c r="E836" s="6" t="s">
        <v>1043</v>
      </c>
      <c r="F836" s="6" t="s">
        <v>5</v>
      </c>
      <c r="G836" s="6" t="s">
        <v>699</v>
      </c>
      <c r="H836" s="6">
        <v>0.1</v>
      </c>
      <c r="I836" s="6" t="str">
        <f>_xlfn.CONCAT("Art. złączny do produktu ",Tabela10[[#This Row],[KOD_PRODUKTU]])</f>
        <v>Art. złączny do produktu 410T16</v>
      </c>
      <c r="J836" s="6" t="str">
        <f>_xlfn.CONCAT("VE-",Tabela10[[#This Row],[KOD_PRODUKTU]])</f>
        <v>VE-410T16</v>
      </c>
    </row>
    <row r="837" spans="1:10" x14ac:dyDescent="0.25">
      <c r="A837" s="1" t="s">
        <v>2094</v>
      </c>
      <c r="B837" t="s">
        <v>2095</v>
      </c>
      <c r="C837" s="1" t="s">
        <v>7</v>
      </c>
      <c r="D837" t="s">
        <v>8</v>
      </c>
      <c r="E837" t="s">
        <v>9</v>
      </c>
      <c r="F837" t="s">
        <v>10</v>
      </c>
      <c r="G837" t="s">
        <v>2096</v>
      </c>
      <c r="H837">
        <v>1.7</v>
      </c>
      <c r="I837" s="6" t="str">
        <f>_xlfn.CONCAT("Art. złączny do produktu ",Tabela10[[#This Row],[KOD_PRODUKTU]])</f>
        <v>Art. złączny do produktu 410T16</v>
      </c>
      <c r="J837" s="6" t="str">
        <f>_xlfn.CONCAT("VE-",Tabela10[[#This Row],[KOD_PRODUKTU]])</f>
        <v>VE-410T16</v>
      </c>
    </row>
    <row r="838" spans="1:10" x14ac:dyDescent="0.25">
      <c r="A838" s="7" t="s">
        <v>2097</v>
      </c>
      <c r="B838" s="6" t="s">
        <v>2098</v>
      </c>
      <c r="C838" s="7" t="s">
        <v>1378</v>
      </c>
      <c r="D838" s="6" t="s">
        <v>1379</v>
      </c>
      <c r="E838" s="6" t="s">
        <v>1043</v>
      </c>
      <c r="F838" s="6" t="s">
        <v>5</v>
      </c>
      <c r="G838" s="6" t="s">
        <v>2099</v>
      </c>
      <c r="H838" s="6">
        <v>0.1</v>
      </c>
      <c r="I838" s="6" t="str">
        <f>_xlfn.CONCAT("Art. złączny do produktu ",Tabela10[[#This Row],[KOD_PRODUKTU]])</f>
        <v>Art. złączny do produktu 410T17</v>
      </c>
      <c r="J838" s="6" t="str">
        <f>_xlfn.CONCAT("VE-",Tabela10[[#This Row],[KOD_PRODUKTU]])</f>
        <v>VE-410T17</v>
      </c>
    </row>
    <row r="839" spans="1:10" x14ac:dyDescent="0.25">
      <c r="A839" s="1" t="s">
        <v>2097</v>
      </c>
      <c r="B839" t="s">
        <v>2098</v>
      </c>
      <c r="C839" s="1" t="s">
        <v>541</v>
      </c>
      <c r="D839" t="s">
        <v>542</v>
      </c>
      <c r="E839" t="s">
        <v>9</v>
      </c>
      <c r="F839" t="s">
        <v>10</v>
      </c>
      <c r="G839" t="s">
        <v>2096</v>
      </c>
      <c r="H839">
        <v>1.7</v>
      </c>
      <c r="I839" s="6" t="str">
        <f>_xlfn.CONCAT("Art. złączny do produktu ",Tabela10[[#This Row],[KOD_PRODUKTU]])</f>
        <v>Art. złączny do produktu 410T17</v>
      </c>
      <c r="J839" s="6" t="str">
        <f>_xlfn.CONCAT("VE-",Tabela10[[#This Row],[KOD_PRODUKTU]])</f>
        <v>VE-410T17</v>
      </c>
    </row>
    <row r="840" spans="1:10" x14ac:dyDescent="0.25">
      <c r="A840" s="7" t="s">
        <v>2100</v>
      </c>
      <c r="B840" s="6" t="s">
        <v>2101</v>
      </c>
      <c r="C840" s="7" t="s">
        <v>1378</v>
      </c>
      <c r="D840" s="6" t="s">
        <v>1379</v>
      </c>
      <c r="E840" s="6" t="s">
        <v>1043</v>
      </c>
      <c r="F840" s="6" t="s">
        <v>5</v>
      </c>
      <c r="G840" s="6" t="s">
        <v>2099</v>
      </c>
      <c r="H840" s="6">
        <v>0.1</v>
      </c>
      <c r="I840" s="6" t="str">
        <f>_xlfn.CONCAT("Art. złączny do produktu ",Tabela10[[#This Row],[KOD_PRODUKTU]])</f>
        <v>Art. złączny do produktu 410T18</v>
      </c>
      <c r="J840" s="6" t="str">
        <f>_xlfn.CONCAT("VE-",Tabela10[[#This Row],[KOD_PRODUKTU]])</f>
        <v>VE-410T18</v>
      </c>
    </row>
    <row r="841" spans="1:10" x14ac:dyDescent="0.25">
      <c r="A841" s="1" t="s">
        <v>2100</v>
      </c>
      <c r="B841" t="s">
        <v>2101</v>
      </c>
      <c r="C841" s="1" t="s">
        <v>541</v>
      </c>
      <c r="D841" t="s">
        <v>542</v>
      </c>
      <c r="E841" t="s">
        <v>9</v>
      </c>
      <c r="F841" t="s">
        <v>10</v>
      </c>
      <c r="G841" t="s">
        <v>2096</v>
      </c>
      <c r="H841">
        <v>1.7</v>
      </c>
      <c r="I841" s="6" t="str">
        <f>_xlfn.CONCAT("Art. złączny do produktu ",Tabela10[[#This Row],[KOD_PRODUKTU]])</f>
        <v>Art. złączny do produktu 410T18</v>
      </c>
      <c r="J841" s="6" t="str">
        <f>_xlfn.CONCAT("VE-",Tabela10[[#This Row],[KOD_PRODUKTU]])</f>
        <v>VE-410T18</v>
      </c>
    </row>
    <row r="842" spans="1:10" x14ac:dyDescent="0.25">
      <c r="A842" s="7" t="s">
        <v>2102</v>
      </c>
      <c r="B842" s="6" t="s">
        <v>2103</v>
      </c>
      <c r="C842" s="7" t="s">
        <v>1378</v>
      </c>
      <c r="D842" s="6" t="s">
        <v>1379</v>
      </c>
      <c r="E842" s="6" t="s">
        <v>1043</v>
      </c>
      <c r="F842" s="6" t="s">
        <v>5</v>
      </c>
      <c r="G842" s="6" t="s">
        <v>699</v>
      </c>
      <c r="H842" s="6">
        <v>0.1</v>
      </c>
      <c r="I842" s="6" t="str">
        <f>_xlfn.CONCAT("Art. złączny do produktu ",Tabela10[[#This Row],[KOD_PRODUKTU]])</f>
        <v>Art. złączny do produktu 410T19</v>
      </c>
      <c r="J842" s="6" t="str">
        <f>_xlfn.CONCAT("VE-",Tabela10[[#This Row],[KOD_PRODUKTU]])</f>
        <v>VE-410T19</v>
      </c>
    </row>
    <row r="843" spans="1:10" x14ac:dyDescent="0.25">
      <c r="A843" s="1" t="s">
        <v>2102</v>
      </c>
      <c r="B843" t="s">
        <v>2103</v>
      </c>
      <c r="C843" s="1" t="s">
        <v>7</v>
      </c>
      <c r="D843" t="s">
        <v>8</v>
      </c>
      <c r="E843" t="s">
        <v>9</v>
      </c>
      <c r="F843" t="s">
        <v>10</v>
      </c>
      <c r="G843" t="s">
        <v>2096</v>
      </c>
      <c r="H843">
        <v>1.7</v>
      </c>
      <c r="I843" s="6" t="str">
        <f>_xlfn.CONCAT("Art. złączny do produktu ",Tabela10[[#This Row],[KOD_PRODUKTU]])</f>
        <v>Art. złączny do produktu 410T19</v>
      </c>
      <c r="J843" s="6" t="str">
        <f>_xlfn.CONCAT("VE-",Tabela10[[#This Row],[KOD_PRODUKTU]])</f>
        <v>VE-410T19</v>
      </c>
    </row>
    <row r="844" spans="1:10" x14ac:dyDescent="0.25">
      <c r="A844" s="7" t="s">
        <v>2104</v>
      </c>
      <c r="B844" s="6" t="s">
        <v>2105</v>
      </c>
      <c r="C844" s="7" t="s">
        <v>1378</v>
      </c>
      <c r="D844" s="6" t="s">
        <v>1379</v>
      </c>
      <c r="E844" s="6" t="s">
        <v>1043</v>
      </c>
      <c r="F844" s="6" t="s">
        <v>5</v>
      </c>
      <c r="G844" s="6" t="s">
        <v>2106</v>
      </c>
      <c r="H844" s="6">
        <v>0.3</v>
      </c>
      <c r="I844" s="6" t="str">
        <f>_xlfn.CONCAT("Art. złączny do produktu ",Tabela10[[#This Row],[KOD_PRODUKTU]])</f>
        <v>Art. złączny do produktu 410T20</v>
      </c>
      <c r="J844" s="6" t="str">
        <f>_xlfn.CONCAT("VE-",Tabela10[[#This Row],[KOD_PRODUKTU]])</f>
        <v>VE-410T20</v>
      </c>
    </row>
    <row r="845" spans="1:10" x14ac:dyDescent="0.25">
      <c r="A845" s="1" t="s">
        <v>2104</v>
      </c>
      <c r="B845" t="s">
        <v>2105</v>
      </c>
      <c r="C845" s="1" t="s">
        <v>541</v>
      </c>
      <c r="D845" t="s">
        <v>542</v>
      </c>
      <c r="E845" t="s">
        <v>9</v>
      </c>
      <c r="F845" t="s">
        <v>10</v>
      </c>
      <c r="G845" t="s">
        <v>2107</v>
      </c>
      <c r="H845">
        <v>2.8</v>
      </c>
      <c r="I845" s="6" t="str">
        <f>_xlfn.CONCAT("Art. złączny do produktu ",Tabela10[[#This Row],[KOD_PRODUKTU]])</f>
        <v>Art. złączny do produktu 410T20</v>
      </c>
      <c r="J845" s="6" t="str">
        <f>_xlfn.CONCAT("VE-",Tabela10[[#This Row],[KOD_PRODUKTU]])</f>
        <v>VE-410T20</v>
      </c>
    </row>
    <row r="846" spans="1:10" x14ac:dyDescent="0.25">
      <c r="A846" s="7" t="s">
        <v>2108</v>
      </c>
      <c r="B846" s="6" t="s">
        <v>2109</v>
      </c>
      <c r="C846" s="7" t="s">
        <v>2110</v>
      </c>
      <c r="D846" s="6" t="s">
        <v>2111</v>
      </c>
      <c r="E846" s="6" t="s">
        <v>2112</v>
      </c>
      <c r="F846" s="6" t="s">
        <v>17</v>
      </c>
      <c r="G846" s="6" t="s">
        <v>2113</v>
      </c>
      <c r="H846" s="6">
        <v>1.74</v>
      </c>
      <c r="I846" s="6" t="str">
        <f>_xlfn.CONCAT("Art. złączny do produktu ",Tabela10[[#This Row],[KOD_PRODUKTU]])</f>
        <v>Art. złączny do produktu 410T21</v>
      </c>
      <c r="J846" s="6" t="str">
        <f>_xlfn.CONCAT("VE-",Tabela10[[#This Row],[KOD_PRODUKTU]])</f>
        <v>VE-410T21</v>
      </c>
    </row>
    <row r="847" spans="1:10" x14ac:dyDescent="0.25">
      <c r="A847" s="1" t="s">
        <v>2108</v>
      </c>
      <c r="B847" t="s">
        <v>2109</v>
      </c>
      <c r="C847" s="1" t="s">
        <v>7</v>
      </c>
      <c r="D847" t="s">
        <v>8</v>
      </c>
      <c r="E847" t="s">
        <v>9</v>
      </c>
      <c r="F847" t="s">
        <v>10</v>
      </c>
      <c r="G847" t="s">
        <v>2114</v>
      </c>
      <c r="H847">
        <v>15.18</v>
      </c>
      <c r="I847" s="6" t="str">
        <f>_xlfn.CONCAT("Art. złączny do produktu ",Tabela10[[#This Row],[KOD_PRODUKTU]])</f>
        <v>Art. złączny do produktu 410T21</v>
      </c>
      <c r="J847" s="6" t="str">
        <f>_xlfn.CONCAT("VE-",Tabela10[[#This Row],[KOD_PRODUKTU]])</f>
        <v>VE-410T21</v>
      </c>
    </row>
    <row r="848" spans="1:10" x14ac:dyDescent="0.25">
      <c r="A848" s="7" t="s">
        <v>2115</v>
      </c>
      <c r="B848" s="6" t="s">
        <v>2116</v>
      </c>
      <c r="C848" s="7" t="s">
        <v>2110</v>
      </c>
      <c r="D848" s="6" t="s">
        <v>2111</v>
      </c>
      <c r="E848" s="6" t="s">
        <v>2112</v>
      </c>
      <c r="F848" s="6" t="s">
        <v>17</v>
      </c>
      <c r="G848" s="6" t="s">
        <v>2117</v>
      </c>
      <c r="H848" s="6">
        <v>0.2</v>
      </c>
      <c r="I848" s="6" t="str">
        <f>_xlfn.CONCAT("Art. złączny do produktu ",Tabela10[[#This Row],[KOD_PRODUKTU]])</f>
        <v>Art. złączny do produktu 410T22</v>
      </c>
      <c r="J848" s="6" t="str">
        <f>_xlfn.CONCAT("VE-",Tabela10[[#This Row],[KOD_PRODUKTU]])</f>
        <v>VE-410T22</v>
      </c>
    </row>
    <row r="849" spans="1:10" x14ac:dyDescent="0.25">
      <c r="A849" s="1" t="s">
        <v>2115</v>
      </c>
      <c r="B849" t="s">
        <v>2116</v>
      </c>
      <c r="C849" s="1" t="s">
        <v>7</v>
      </c>
      <c r="D849" t="s">
        <v>8</v>
      </c>
      <c r="E849" t="s">
        <v>9</v>
      </c>
      <c r="F849" t="s">
        <v>10</v>
      </c>
      <c r="G849" t="s">
        <v>367</v>
      </c>
      <c r="H849">
        <v>2.2999999999999998</v>
      </c>
      <c r="I849" s="6" t="str">
        <f>_xlfn.CONCAT("Art. złączny do produktu ",Tabela10[[#This Row],[KOD_PRODUKTU]])</f>
        <v>Art. złączny do produktu 410T22</v>
      </c>
      <c r="J849" s="6" t="str">
        <f>_xlfn.CONCAT("VE-",Tabela10[[#This Row],[KOD_PRODUKTU]])</f>
        <v>VE-410T22</v>
      </c>
    </row>
    <row r="850" spans="1:10" x14ac:dyDescent="0.25">
      <c r="A850" s="7" t="s">
        <v>2118</v>
      </c>
      <c r="B850" s="6" t="s">
        <v>2119</v>
      </c>
      <c r="C850" s="7" t="s">
        <v>2110</v>
      </c>
      <c r="D850" s="6" t="s">
        <v>2111</v>
      </c>
      <c r="E850" s="6" t="s">
        <v>2112</v>
      </c>
      <c r="F850" s="6" t="s">
        <v>17</v>
      </c>
      <c r="G850" s="6" t="s">
        <v>2120</v>
      </c>
      <c r="H850" s="6">
        <v>0.25</v>
      </c>
      <c r="I850" s="6" t="str">
        <f>_xlfn.CONCAT("Art. złączny do produktu ",Tabela10[[#This Row],[KOD_PRODUKTU]])</f>
        <v>Art. złączny do produktu 410T23</v>
      </c>
      <c r="J850" s="6" t="str">
        <f>_xlfn.CONCAT("VE-",Tabela10[[#This Row],[KOD_PRODUKTU]])</f>
        <v>VE-410T23</v>
      </c>
    </row>
    <row r="851" spans="1:10" x14ac:dyDescent="0.25">
      <c r="A851" s="1" t="s">
        <v>2118</v>
      </c>
      <c r="B851" t="s">
        <v>2119</v>
      </c>
      <c r="C851" s="1" t="s">
        <v>7</v>
      </c>
      <c r="D851" t="s">
        <v>8</v>
      </c>
      <c r="E851" t="s">
        <v>9</v>
      </c>
      <c r="F851" t="s">
        <v>10</v>
      </c>
      <c r="G851" t="s">
        <v>367</v>
      </c>
      <c r="H851">
        <v>2.2999999999999998</v>
      </c>
      <c r="I851" s="6" t="str">
        <f>_xlfn.CONCAT("Art. złączny do produktu ",Tabela10[[#This Row],[KOD_PRODUKTU]])</f>
        <v>Art. złączny do produktu 410T23</v>
      </c>
      <c r="J851" s="6" t="str">
        <f>_xlfn.CONCAT("VE-",Tabela10[[#This Row],[KOD_PRODUKTU]])</f>
        <v>VE-410T23</v>
      </c>
    </row>
    <row r="852" spans="1:10" x14ac:dyDescent="0.25">
      <c r="A852" s="7" t="s">
        <v>2121</v>
      </c>
      <c r="B852" s="6" t="s">
        <v>2122</v>
      </c>
      <c r="C852" s="7" t="s">
        <v>2110</v>
      </c>
      <c r="D852" s="6" t="s">
        <v>2111</v>
      </c>
      <c r="E852" s="6" t="s">
        <v>2112</v>
      </c>
      <c r="F852" s="6" t="s">
        <v>17</v>
      </c>
      <c r="G852" s="6" t="s">
        <v>2123</v>
      </c>
      <c r="H852" s="6">
        <v>0.3</v>
      </c>
      <c r="I852" s="6" t="str">
        <f>_xlfn.CONCAT("Art. złączny do produktu ",Tabela10[[#This Row],[KOD_PRODUKTU]])</f>
        <v>Art. złączny do produktu 410T24</v>
      </c>
      <c r="J852" s="6" t="str">
        <f>_xlfn.CONCAT("VE-",Tabela10[[#This Row],[KOD_PRODUKTU]])</f>
        <v>VE-410T24</v>
      </c>
    </row>
    <row r="853" spans="1:10" x14ac:dyDescent="0.25">
      <c r="A853" s="1" t="s">
        <v>2121</v>
      </c>
      <c r="B853" t="s">
        <v>2122</v>
      </c>
      <c r="C853" s="1" t="s">
        <v>7</v>
      </c>
      <c r="D853" t="s">
        <v>8</v>
      </c>
      <c r="E853" t="s">
        <v>9</v>
      </c>
      <c r="F853" t="s">
        <v>10</v>
      </c>
      <c r="G853" t="s">
        <v>367</v>
      </c>
      <c r="H853">
        <v>2.2999999999999998</v>
      </c>
      <c r="I853" s="6" t="str">
        <f>_xlfn.CONCAT("Art. złączny do produktu ",Tabela10[[#This Row],[KOD_PRODUKTU]])</f>
        <v>Art. złączny do produktu 410T24</v>
      </c>
      <c r="J853" s="6" t="str">
        <f>_xlfn.CONCAT("VE-",Tabela10[[#This Row],[KOD_PRODUKTU]])</f>
        <v>VE-410T24</v>
      </c>
    </row>
    <row r="854" spans="1:10" x14ac:dyDescent="0.25">
      <c r="A854" s="7" t="s">
        <v>2124</v>
      </c>
      <c r="B854" s="6" t="s">
        <v>2125</v>
      </c>
      <c r="C854" s="7" t="s">
        <v>2110</v>
      </c>
      <c r="D854" s="6" t="s">
        <v>2111</v>
      </c>
      <c r="E854" s="6" t="s">
        <v>2112</v>
      </c>
      <c r="F854" s="6" t="s">
        <v>17</v>
      </c>
      <c r="G854" s="6" t="s">
        <v>2126</v>
      </c>
      <c r="H854" s="6">
        <v>0.35</v>
      </c>
      <c r="I854" s="6" t="str">
        <f>_xlfn.CONCAT("Art. złączny do produktu ",Tabela10[[#This Row],[KOD_PRODUKTU]])</f>
        <v>Art. złączny do produktu 410T25</v>
      </c>
      <c r="J854" s="6" t="str">
        <f>_xlfn.CONCAT("VE-",Tabela10[[#This Row],[KOD_PRODUKTU]])</f>
        <v>VE-410T25</v>
      </c>
    </row>
    <row r="855" spans="1:10" x14ac:dyDescent="0.25">
      <c r="A855" s="1" t="s">
        <v>2124</v>
      </c>
      <c r="B855" t="s">
        <v>2125</v>
      </c>
      <c r="C855" s="1" t="s">
        <v>7</v>
      </c>
      <c r="D855" t="s">
        <v>8</v>
      </c>
      <c r="E855" t="s">
        <v>9</v>
      </c>
      <c r="F855" t="s">
        <v>10</v>
      </c>
      <c r="G855" t="s">
        <v>367</v>
      </c>
      <c r="H855">
        <v>2.2999999999999998</v>
      </c>
      <c r="I855" s="6" t="str">
        <f>_xlfn.CONCAT("Art. złączny do produktu ",Tabela10[[#This Row],[KOD_PRODUKTU]])</f>
        <v>Art. złączny do produktu 410T25</v>
      </c>
      <c r="J855" s="6" t="str">
        <f>_xlfn.CONCAT("VE-",Tabela10[[#This Row],[KOD_PRODUKTU]])</f>
        <v>VE-410T25</v>
      </c>
    </row>
    <row r="856" spans="1:10" x14ac:dyDescent="0.25">
      <c r="A856" s="7" t="s">
        <v>2128</v>
      </c>
      <c r="B856" s="6" t="s">
        <v>2129</v>
      </c>
      <c r="C856" s="7" t="s">
        <v>1022</v>
      </c>
      <c r="D856" s="6" t="s">
        <v>1023</v>
      </c>
      <c r="E856" s="6" t="s">
        <v>1024</v>
      </c>
      <c r="F856" s="6" t="s">
        <v>932</v>
      </c>
      <c r="G856" s="6" t="s">
        <v>33</v>
      </c>
      <c r="H856" s="6">
        <v>2.78</v>
      </c>
      <c r="I856" s="6" t="str">
        <f>_xlfn.CONCAT("Art. złączny do produktu ",Tabela10[[#This Row],[KOD_PRODUKTU]])</f>
        <v>Art. złączny do produktu 411W01</v>
      </c>
      <c r="J856" s="6" t="str">
        <f>_xlfn.CONCAT("VE-",Tabela10[[#This Row],[KOD_PRODUKTU]])</f>
        <v>VE-411W01</v>
      </c>
    </row>
    <row r="857" spans="1:10" x14ac:dyDescent="0.25">
      <c r="A857" s="1" t="s">
        <v>2128</v>
      </c>
      <c r="B857" t="s">
        <v>2129</v>
      </c>
      <c r="C857" s="1" t="s">
        <v>541</v>
      </c>
      <c r="D857" t="s">
        <v>542</v>
      </c>
      <c r="E857" t="s">
        <v>9</v>
      </c>
      <c r="F857" t="s">
        <v>10</v>
      </c>
      <c r="G857" t="s">
        <v>1141</v>
      </c>
      <c r="H857">
        <v>5.75</v>
      </c>
      <c r="I857" s="6" t="str">
        <f>_xlfn.CONCAT("Art. złączny do produktu ",Tabela10[[#This Row],[KOD_PRODUKTU]])</f>
        <v>Art. złączny do produktu 411W01</v>
      </c>
      <c r="J857" s="6" t="str">
        <f>_xlfn.CONCAT("VE-",Tabela10[[#This Row],[KOD_PRODUKTU]])</f>
        <v>VE-411W01</v>
      </c>
    </row>
    <row r="858" spans="1:10" x14ac:dyDescent="0.25">
      <c r="A858" s="7" t="s">
        <v>2130</v>
      </c>
      <c r="B858" s="6" t="s">
        <v>2131</v>
      </c>
      <c r="C858" s="7" t="s">
        <v>1367</v>
      </c>
      <c r="D858" s="6" t="s">
        <v>2132</v>
      </c>
      <c r="E858" s="6" t="s">
        <v>1369</v>
      </c>
      <c r="F858" s="6" t="s">
        <v>5</v>
      </c>
      <c r="G858" s="6" t="s">
        <v>2133</v>
      </c>
      <c r="H858" s="6">
        <v>4.3</v>
      </c>
      <c r="I858" s="6" t="str">
        <f>_xlfn.CONCAT("Art. złączny do produktu ",Tabela10[[#This Row],[KOD_PRODUKTU]])</f>
        <v>Art. złączny do produktu 432P10</v>
      </c>
      <c r="J858" s="6" t="str">
        <f>_xlfn.CONCAT("VE-",Tabela10[[#This Row],[KOD_PRODUKTU]])</f>
        <v>VE-432P10</v>
      </c>
    </row>
    <row r="859" spans="1:10" x14ac:dyDescent="0.25">
      <c r="A859" s="1" t="s">
        <v>2130</v>
      </c>
      <c r="B859" t="s">
        <v>2131</v>
      </c>
      <c r="C859" s="1" t="s">
        <v>7</v>
      </c>
      <c r="D859" t="s">
        <v>8</v>
      </c>
      <c r="E859" t="s">
        <v>9</v>
      </c>
      <c r="F859" t="s">
        <v>10</v>
      </c>
      <c r="G859" t="s">
        <v>2134</v>
      </c>
      <c r="H859">
        <v>2.6</v>
      </c>
      <c r="I859" s="6" t="str">
        <f>_xlfn.CONCAT("Art. złączny do produktu ",Tabela10[[#This Row],[KOD_PRODUKTU]])</f>
        <v>Art. złączny do produktu 432P10</v>
      </c>
      <c r="J859" s="6" t="str">
        <f>_xlfn.CONCAT("VE-",Tabela10[[#This Row],[KOD_PRODUKTU]])</f>
        <v>VE-432P10</v>
      </c>
    </row>
    <row r="860" spans="1:10" x14ac:dyDescent="0.25">
      <c r="A860" s="7" t="s">
        <v>2135</v>
      </c>
      <c r="B860" s="6" t="s">
        <v>2136</v>
      </c>
      <c r="C860" s="7" t="s">
        <v>1367</v>
      </c>
      <c r="D860" s="6" t="s">
        <v>2132</v>
      </c>
      <c r="E860" s="6" t="s">
        <v>1369</v>
      </c>
      <c r="F860" s="6" t="s">
        <v>5</v>
      </c>
      <c r="G860" s="6" t="s">
        <v>2137</v>
      </c>
      <c r="H860" s="6">
        <v>2.75</v>
      </c>
      <c r="I860" s="6" t="str">
        <f>_xlfn.CONCAT("Art. złączny do produktu ",Tabela10[[#This Row],[KOD_PRODUKTU]])</f>
        <v>Art. złączny do produktu 432P11</v>
      </c>
      <c r="J860" s="6" t="str">
        <f>_xlfn.CONCAT("VE-",Tabela10[[#This Row],[KOD_PRODUKTU]])</f>
        <v>VE-432P11</v>
      </c>
    </row>
    <row r="861" spans="1:10" x14ac:dyDescent="0.25">
      <c r="A861" s="1" t="s">
        <v>2135</v>
      </c>
      <c r="B861" t="s">
        <v>2136</v>
      </c>
      <c r="C861" s="1" t="s">
        <v>7</v>
      </c>
      <c r="D861" t="s">
        <v>8</v>
      </c>
      <c r="E861" t="s">
        <v>9</v>
      </c>
      <c r="F861" t="s">
        <v>10</v>
      </c>
      <c r="G861" t="s">
        <v>2138</v>
      </c>
      <c r="H861">
        <v>2.5499999999999998</v>
      </c>
      <c r="I861" s="6" t="str">
        <f>_xlfn.CONCAT("Art. złączny do produktu ",Tabela10[[#This Row],[KOD_PRODUKTU]])</f>
        <v>Art. złączny do produktu 432P11</v>
      </c>
      <c r="J861" s="6" t="str">
        <f>_xlfn.CONCAT("VE-",Tabela10[[#This Row],[KOD_PRODUKTU]])</f>
        <v>VE-432P11</v>
      </c>
    </row>
    <row r="862" spans="1:10" x14ac:dyDescent="0.25">
      <c r="A862" s="7" t="s">
        <v>2139</v>
      </c>
      <c r="B862" s="6" t="s">
        <v>2140</v>
      </c>
      <c r="C862" s="7" t="s">
        <v>1345</v>
      </c>
      <c r="D862" s="6" t="s">
        <v>1346</v>
      </c>
      <c r="E862" s="6" t="s">
        <v>1369</v>
      </c>
      <c r="F862" s="6" t="s">
        <v>5</v>
      </c>
      <c r="G862" s="6" t="s">
        <v>2141</v>
      </c>
      <c r="H862" s="6">
        <v>0.05</v>
      </c>
      <c r="I862" s="6" t="str">
        <f>_xlfn.CONCAT("Art. złączny do produktu ",Tabela10[[#This Row],[KOD_PRODUKTU]])</f>
        <v>Art. złączny do produktu 432P17</v>
      </c>
      <c r="J862" s="6" t="str">
        <f>_xlfn.CONCAT("VE-",Tabela10[[#This Row],[KOD_PRODUKTU]])</f>
        <v>VE-432P17</v>
      </c>
    </row>
    <row r="863" spans="1:10" x14ac:dyDescent="0.25">
      <c r="A863" s="1" t="s">
        <v>2139</v>
      </c>
      <c r="B863" t="s">
        <v>2140</v>
      </c>
      <c r="C863" s="1" t="s">
        <v>7</v>
      </c>
      <c r="D863" t="s">
        <v>8</v>
      </c>
      <c r="E863" t="s">
        <v>9</v>
      </c>
      <c r="F863" t="s">
        <v>10</v>
      </c>
      <c r="G863" t="s">
        <v>2142</v>
      </c>
      <c r="H863">
        <v>0.95</v>
      </c>
      <c r="I863" s="6" t="str">
        <f>_xlfn.CONCAT("Art. złączny do produktu ",Tabela10[[#This Row],[KOD_PRODUKTU]])</f>
        <v>Art. złączny do produktu 432P17</v>
      </c>
      <c r="J863" s="6" t="str">
        <f>_xlfn.CONCAT("VE-",Tabela10[[#This Row],[KOD_PRODUKTU]])</f>
        <v>VE-432P17</v>
      </c>
    </row>
    <row r="864" spans="1:10" x14ac:dyDescent="0.25">
      <c r="A864" s="7" t="s">
        <v>2143</v>
      </c>
      <c r="B864" s="6" t="s">
        <v>2144</v>
      </c>
      <c r="C864" s="7" t="s">
        <v>1345</v>
      </c>
      <c r="D864" s="6" t="s">
        <v>1346</v>
      </c>
      <c r="E864" s="6" t="s">
        <v>1369</v>
      </c>
      <c r="F864" s="6" t="s">
        <v>5</v>
      </c>
      <c r="G864" s="6" t="s">
        <v>2145</v>
      </c>
      <c r="H864" s="6">
        <v>0.75</v>
      </c>
      <c r="I864" s="6" t="str">
        <f>_xlfn.CONCAT("Art. złączny do produktu ",Tabela10[[#This Row],[KOD_PRODUKTU]])</f>
        <v>Art. złączny do produktu 432P18</v>
      </c>
      <c r="J864" s="6" t="str">
        <f>_xlfn.CONCAT("VE-",Tabela10[[#This Row],[KOD_PRODUKTU]])</f>
        <v>VE-432P18</v>
      </c>
    </row>
    <row r="865" spans="1:10" x14ac:dyDescent="0.25">
      <c r="A865" s="1" t="s">
        <v>2143</v>
      </c>
      <c r="B865" t="s">
        <v>2144</v>
      </c>
      <c r="C865" s="1" t="s">
        <v>7</v>
      </c>
      <c r="D865" t="s">
        <v>8</v>
      </c>
      <c r="E865" t="s">
        <v>9</v>
      </c>
      <c r="F865" t="s">
        <v>10</v>
      </c>
      <c r="G865" t="s">
        <v>2146</v>
      </c>
      <c r="H865">
        <v>3.25</v>
      </c>
      <c r="I865" s="6" t="str">
        <f>_xlfn.CONCAT("Art. złączny do produktu ",Tabela10[[#This Row],[KOD_PRODUKTU]])</f>
        <v>Art. złączny do produktu 432P18</v>
      </c>
      <c r="J865" s="6" t="str">
        <f>_xlfn.CONCAT("VE-",Tabela10[[#This Row],[KOD_PRODUKTU]])</f>
        <v>VE-432P18</v>
      </c>
    </row>
    <row r="866" spans="1:10" x14ac:dyDescent="0.25">
      <c r="A866" s="7" t="s">
        <v>2147</v>
      </c>
      <c r="B866" s="6" t="s">
        <v>2148</v>
      </c>
      <c r="C866" s="7" t="s">
        <v>2149</v>
      </c>
      <c r="D866" s="6" t="s">
        <v>2150</v>
      </c>
      <c r="E866" s="6" t="s">
        <v>2151</v>
      </c>
      <c r="F866" s="6" t="s">
        <v>49</v>
      </c>
      <c r="G866" s="6" t="s">
        <v>605</v>
      </c>
      <c r="H866" s="6">
        <v>8.61</v>
      </c>
      <c r="I866" s="6" t="str">
        <f>_xlfn.CONCAT("Art. złączny do produktu ",Tabela10[[#This Row],[KOD_PRODUKTU]])</f>
        <v>Art. złączny do produktu 432P37</v>
      </c>
      <c r="J866" s="6" t="str">
        <f>_xlfn.CONCAT("VE-",Tabela10[[#This Row],[KOD_PRODUKTU]])</f>
        <v>VE-432P37</v>
      </c>
    </row>
    <row r="867" spans="1:10" x14ac:dyDescent="0.25">
      <c r="A867" s="1" t="s">
        <v>2147</v>
      </c>
      <c r="B867" t="s">
        <v>2148</v>
      </c>
      <c r="C867" s="1" t="s">
        <v>541</v>
      </c>
      <c r="D867" t="s">
        <v>542</v>
      </c>
      <c r="E867" t="s">
        <v>9</v>
      </c>
      <c r="F867" t="s">
        <v>10</v>
      </c>
      <c r="G867" t="s">
        <v>478</v>
      </c>
      <c r="H867">
        <v>3.68</v>
      </c>
      <c r="I867" s="6" t="str">
        <f>_xlfn.CONCAT("Art. złączny do produktu ",Tabela10[[#This Row],[KOD_PRODUKTU]])</f>
        <v>Art. złączny do produktu 432P37</v>
      </c>
      <c r="J867" s="6" t="str">
        <f>_xlfn.CONCAT("VE-",Tabela10[[#This Row],[KOD_PRODUKTU]])</f>
        <v>VE-432P37</v>
      </c>
    </row>
    <row r="868" spans="1:10" x14ac:dyDescent="0.25">
      <c r="A868" s="7" t="s">
        <v>2152</v>
      </c>
      <c r="B868" s="6" t="s">
        <v>2153</v>
      </c>
      <c r="C868" s="7" t="s">
        <v>1345</v>
      </c>
      <c r="D868" s="6" t="s">
        <v>1346</v>
      </c>
      <c r="E868" s="6" t="s">
        <v>1347</v>
      </c>
      <c r="F868" s="6" t="s">
        <v>5</v>
      </c>
      <c r="G868" s="6" t="s">
        <v>2154</v>
      </c>
      <c r="H868" s="6">
        <v>0.66</v>
      </c>
      <c r="I868" s="6" t="str">
        <f>_xlfn.CONCAT("Art. złączny do produktu ",Tabela10[[#This Row],[KOD_PRODUKTU]])</f>
        <v>Art. złączny do produktu 432P38</v>
      </c>
      <c r="J868" s="6" t="str">
        <f>_xlfn.CONCAT("VE-",Tabela10[[#This Row],[KOD_PRODUKTU]])</f>
        <v>VE-432P38</v>
      </c>
    </row>
    <row r="869" spans="1:10" x14ac:dyDescent="0.25">
      <c r="A869" s="1" t="s">
        <v>2152</v>
      </c>
      <c r="B869" t="s">
        <v>2153</v>
      </c>
      <c r="C869" s="1" t="s">
        <v>7</v>
      </c>
      <c r="D869" t="s">
        <v>8</v>
      </c>
      <c r="E869" t="s">
        <v>9</v>
      </c>
      <c r="F869" t="s">
        <v>10</v>
      </c>
      <c r="G869" t="s">
        <v>2155</v>
      </c>
      <c r="H869">
        <v>3.4</v>
      </c>
      <c r="I869" s="6" t="str">
        <f>_xlfn.CONCAT("Art. złączny do produktu ",Tabela10[[#This Row],[KOD_PRODUKTU]])</f>
        <v>Art. złączny do produktu 432P38</v>
      </c>
      <c r="J869" s="6" t="str">
        <f>_xlfn.CONCAT("VE-",Tabela10[[#This Row],[KOD_PRODUKTU]])</f>
        <v>VE-432P38</v>
      </c>
    </row>
    <row r="870" spans="1:10" x14ac:dyDescent="0.25">
      <c r="A870" s="7" t="s">
        <v>2156</v>
      </c>
      <c r="B870" s="6" t="s">
        <v>2157</v>
      </c>
      <c r="C870" s="7" t="s">
        <v>2149</v>
      </c>
      <c r="D870" s="6" t="s">
        <v>2150</v>
      </c>
      <c r="E870" s="6" t="s">
        <v>2151</v>
      </c>
      <c r="F870" s="6" t="s">
        <v>49</v>
      </c>
      <c r="G870" s="6" t="s">
        <v>605</v>
      </c>
      <c r="H870" s="6">
        <v>8.61</v>
      </c>
      <c r="I870" s="6" t="str">
        <f>_xlfn.CONCAT("Art. złączny do produktu ",Tabela10[[#This Row],[KOD_PRODUKTU]])</f>
        <v>Art. złączny do produktu 432P39</v>
      </c>
      <c r="J870" s="6" t="str">
        <f>_xlfn.CONCAT("VE-",Tabela10[[#This Row],[KOD_PRODUKTU]])</f>
        <v>VE-432P39</v>
      </c>
    </row>
    <row r="871" spans="1:10" x14ac:dyDescent="0.25">
      <c r="A871" s="1" t="s">
        <v>2156</v>
      </c>
      <c r="B871" t="s">
        <v>2157</v>
      </c>
      <c r="C871" s="1" t="s">
        <v>541</v>
      </c>
      <c r="D871" t="s">
        <v>542</v>
      </c>
      <c r="E871" t="s">
        <v>9</v>
      </c>
      <c r="F871" t="s">
        <v>10</v>
      </c>
      <c r="G871" t="s">
        <v>2158</v>
      </c>
      <c r="H871">
        <v>3.82</v>
      </c>
      <c r="I871" s="6" t="str">
        <f>_xlfn.CONCAT("Art. złączny do produktu ",Tabela10[[#This Row],[KOD_PRODUKTU]])</f>
        <v>Art. złączny do produktu 432P39</v>
      </c>
      <c r="J871" s="6" t="str">
        <f>_xlfn.CONCAT("VE-",Tabela10[[#This Row],[KOD_PRODUKTU]])</f>
        <v>VE-432P39</v>
      </c>
    </row>
    <row r="872" spans="1:10" x14ac:dyDescent="0.25">
      <c r="A872" s="7" t="s">
        <v>2164</v>
      </c>
      <c r="B872" s="6" t="s">
        <v>2165</v>
      </c>
      <c r="C872" s="7" t="s">
        <v>1345</v>
      </c>
      <c r="D872" s="6" t="s">
        <v>1346</v>
      </c>
      <c r="E872" s="6" t="s">
        <v>1369</v>
      </c>
      <c r="F872" s="6" t="s">
        <v>5</v>
      </c>
      <c r="G872" s="6" t="s">
        <v>2166</v>
      </c>
      <c r="H872" s="6">
        <v>0.15</v>
      </c>
      <c r="I872" s="6" t="str">
        <f>_xlfn.CONCAT("Art. złączny do produktu ",Tabela10[[#This Row],[KOD_PRODUKTU]])</f>
        <v>Art. złączny do produktu 432P43</v>
      </c>
      <c r="J872" s="6" t="str">
        <f>_xlfn.CONCAT("VE-",Tabela10[[#This Row],[KOD_PRODUKTU]])</f>
        <v>VE-432P43</v>
      </c>
    </row>
    <row r="873" spans="1:10" x14ac:dyDescent="0.25">
      <c r="A873" s="1" t="s">
        <v>2164</v>
      </c>
      <c r="B873" t="s">
        <v>2165</v>
      </c>
      <c r="C873" s="1" t="s">
        <v>7</v>
      </c>
      <c r="D873" t="s">
        <v>8</v>
      </c>
      <c r="E873" t="s">
        <v>9</v>
      </c>
      <c r="F873" t="s">
        <v>10</v>
      </c>
      <c r="G873" t="s">
        <v>2142</v>
      </c>
      <c r="H873">
        <v>0.95</v>
      </c>
      <c r="I873" s="6" t="str">
        <f>_xlfn.CONCAT("Art. złączny do produktu ",Tabela10[[#This Row],[KOD_PRODUKTU]])</f>
        <v>Art. złączny do produktu 432P43</v>
      </c>
      <c r="J873" s="6" t="str">
        <f>_xlfn.CONCAT("VE-",Tabela10[[#This Row],[KOD_PRODUKTU]])</f>
        <v>VE-432P43</v>
      </c>
    </row>
    <row r="874" spans="1:10" x14ac:dyDescent="0.25">
      <c r="A874" s="7" t="s">
        <v>2167</v>
      </c>
      <c r="B874" s="6" t="s">
        <v>2168</v>
      </c>
      <c r="C874" s="7" t="s">
        <v>2169</v>
      </c>
      <c r="D874" s="6" t="s">
        <v>2170</v>
      </c>
      <c r="E874" s="6" t="s">
        <v>2171</v>
      </c>
      <c r="F874" s="6" t="s">
        <v>17</v>
      </c>
      <c r="G874" s="6" t="s">
        <v>25</v>
      </c>
      <c r="H874" s="6">
        <v>33</v>
      </c>
      <c r="I874" s="6" t="str">
        <f>_xlfn.CONCAT("Art. złączny do produktu ",Tabela10[[#This Row],[KOD_PRODUKTU]])</f>
        <v>Art. złączny do produktu 434R26</v>
      </c>
      <c r="J874" s="6" t="str">
        <f>_xlfn.CONCAT("VE-",Tabela10[[#This Row],[KOD_PRODUKTU]])</f>
        <v>VE-434R26</v>
      </c>
    </row>
    <row r="875" spans="1:10" x14ac:dyDescent="0.25">
      <c r="A875" s="1" t="s">
        <v>2167</v>
      </c>
      <c r="B875" t="s">
        <v>2168</v>
      </c>
      <c r="C875" s="1" t="s">
        <v>7</v>
      </c>
      <c r="D875" t="s">
        <v>8</v>
      </c>
      <c r="E875" t="s">
        <v>9</v>
      </c>
      <c r="F875" t="s">
        <v>10</v>
      </c>
      <c r="G875" t="s">
        <v>2172</v>
      </c>
      <c r="H875">
        <v>24.1</v>
      </c>
      <c r="I875" s="6" t="str">
        <f>_xlfn.CONCAT("Art. złączny do produktu ",Tabela10[[#This Row],[KOD_PRODUKTU]])</f>
        <v>Art. złączny do produktu 434R26</v>
      </c>
      <c r="J875" s="6" t="str">
        <f>_xlfn.CONCAT("VE-",Tabela10[[#This Row],[KOD_PRODUKTU]])</f>
        <v>VE-434R26</v>
      </c>
    </row>
    <row r="876" spans="1:10" x14ac:dyDescent="0.25">
      <c r="A876" s="7" t="s">
        <v>2173</v>
      </c>
      <c r="B876" s="6" t="s">
        <v>2174</v>
      </c>
      <c r="C876" s="7" t="s">
        <v>2175</v>
      </c>
      <c r="D876" s="6" t="s">
        <v>2176</v>
      </c>
      <c r="E876" s="6" t="s">
        <v>1408</v>
      </c>
      <c r="F876" s="6" t="s">
        <v>2177</v>
      </c>
      <c r="G876" s="6" t="s">
        <v>2178</v>
      </c>
      <c r="H876" s="6">
        <v>0.6</v>
      </c>
      <c r="I876" s="6" t="str">
        <f>_xlfn.CONCAT("Art. złączny do produktu ",Tabela10[[#This Row],[KOD_PRODUKTU]])</f>
        <v>Art. złączny do produktu 434R28</v>
      </c>
      <c r="J876" s="6" t="str">
        <f>_xlfn.CONCAT("VE-",Tabela10[[#This Row],[KOD_PRODUKTU]])</f>
        <v>VE-434R28</v>
      </c>
    </row>
    <row r="877" spans="1:10" x14ac:dyDescent="0.25">
      <c r="A877" s="1" t="s">
        <v>2173</v>
      </c>
      <c r="B877" t="s">
        <v>2174</v>
      </c>
      <c r="C877" s="1" t="s">
        <v>7</v>
      </c>
      <c r="D877" t="s">
        <v>8</v>
      </c>
      <c r="E877" t="s">
        <v>9</v>
      </c>
      <c r="F877" t="s">
        <v>10</v>
      </c>
      <c r="G877" t="s">
        <v>2179</v>
      </c>
      <c r="H877">
        <v>1.9</v>
      </c>
      <c r="I877" s="6" t="str">
        <f>_xlfn.CONCAT("Art. złączny do produktu ",Tabela10[[#This Row],[KOD_PRODUKTU]])</f>
        <v>Art. złączny do produktu 434R28</v>
      </c>
      <c r="J877" s="6" t="str">
        <f>_xlfn.CONCAT("VE-",Tabela10[[#This Row],[KOD_PRODUKTU]])</f>
        <v>VE-434R28</v>
      </c>
    </row>
    <row r="878" spans="1:10" x14ac:dyDescent="0.25">
      <c r="A878" s="7" t="s">
        <v>2180</v>
      </c>
      <c r="B878" s="6" t="s">
        <v>2181</v>
      </c>
      <c r="C878" s="7" t="s">
        <v>2182</v>
      </c>
      <c r="D878" s="6" t="s">
        <v>2183</v>
      </c>
      <c r="E878" s="6" t="s">
        <v>2184</v>
      </c>
      <c r="F878" s="6" t="s">
        <v>121</v>
      </c>
      <c r="G878" s="6" t="s">
        <v>50</v>
      </c>
      <c r="H878" s="6">
        <v>2.86</v>
      </c>
      <c r="I878" s="6" t="str">
        <f>_xlfn.CONCAT("Art. złączny do produktu ",Tabela10[[#This Row],[KOD_PRODUKTU]])</f>
        <v>Art. złączny do produktu 441N07</v>
      </c>
      <c r="J878" s="6" t="str">
        <f>_xlfn.CONCAT("VE-",Tabela10[[#This Row],[KOD_PRODUKTU]])</f>
        <v>VE-441N07</v>
      </c>
    </row>
    <row r="879" spans="1:10" x14ac:dyDescent="0.25">
      <c r="A879" s="1" t="s">
        <v>2180</v>
      </c>
      <c r="B879" t="s">
        <v>2181</v>
      </c>
      <c r="C879" s="1" t="s">
        <v>7</v>
      </c>
      <c r="D879" t="s">
        <v>8</v>
      </c>
      <c r="E879" t="s">
        <v>9</v>
      </c>
      <c r="F879" t="s">
        <v>10</v>
      </c>
      <c r="G879" t="s">
        <v>607</v>
      </c>
      <c r="H879">
        <v>18.399999999999999</v>
      </c>
      <c r="I879" s="6" t="str">
        <f>_xlfn.CONCAT("Art. złączny do produktu ",Tabela10[[#This Row],[KOD_PRODUKTU]])</f>
        <v>Art. złączny do produktu 441N07</v>
      </c>
      <c r="J879" s="6" t="str">
        <f>_xlfn.CONCAT("VE-",Tabela10[[#This Row],[KOD_PRODUKTU]])</f>
        <v>VE-441N07</v>
      </c>
    </row>
    <row r="880" spans="1:10" x14ac:dyDescent="0.25">
      <c r="A880" s="7" t="s">
        <v>2185</v>
      </c>
      <c r="B880" s="6" t="s">
        <v>2186</v>
      </c>
      <c r="C880" s="7" t="s">
        <v>1249</v>
      </c>
      <c r="D880" s="6" t="s">
        <v>1250</v>
      </c>
      <c r="E880" s="6" t="s">
        <v>1251</v>
      </c>
      <c r="F880" s="6" t="s">
        <v>1252</v>
      </c>
      <c r="G880" s="6" t="s">
        <v>548</v>
      </c>
      <c r="H880" s="6">
        <v>22.2</v>
      </c>
      <c r="I880" s="6" t="str">
        <f>_xlfn.CONCAT("Art. złączny do produktu ",Tabela10[[#This Row],[KOD_PRODUKTU]])</f>
        <v>Art. złączny do produktu 443K28</v>
      </c>
      <c r="J880" s="6" t="str">
        <f>_xlfn.CONCAT("VE-",Tabela10[[#This Row],[KOD_PRODUKTU]])</f>
        <v>VE-443K28</v>
      </c>
    </row>
    <row r="881" spans="1:10" x14ac:dyDescent="0.25">
      <c r="A881" s="1" t="s">
        <v>2185</v>
      </c>
      <c r="B881" t="s">
        <v>2186</v>
      </c>
      <c r="C881" s="1" t="s">
        <v>541</v>
      </c>
      <c r="D881" t="s">
        <v>542</v>
      </c>
      <c r="E881" t="s">
        <v>9</v>
      </c>
      <c r="F881" t="s">
        <v>10</v>
      </c>
      <c r="G881" t="s">
        <v>33</v>
      </c>
      <c r="H881">
        <v>9.1999999999999993</v>
      </c>
      <c r="I881" s="6" t="str">
        <f>_xlfn.CONCAT("Art. złączny do produktu ",Tabela10[[#This Row],[KOD_PRODUKTU]])</f>
        <v>Art. złączny do produktu 443K28</v>
      </c>
      <c r="J881" s="6" t="str">
        <f>_xlfn.CONCAT("VE-",Tabela10[[#This Row],[KOD_PRODUKTU]])</f>
        <v>VE-443K28</v>
      </c>
    </row>
    <row r="882" spans="1:10" x14ac:dyDescent="0.25">
      <c r="A882" s="7" t="s">
        <v>2185</v>
      </c>
      <c r="B882" s="6" t="s">
        <v>2186</v>
      </c>
      <c r="C882" s="7" t="s">
        <v>541</v>
      </c>
      <c r="D882" s="6" t="s">
        <v>542</v>
      </c>
      <c r="E882" s="6" t="s">
        <v>9</v>
      </c>
      <c r="F882" s="6" t="s">
        <v>10</v>
      </c>
      <c r="G882" s="6" t="s">
        <v>2187</v>
      </c>
      <c r="H882" s="6">
        <v>67.63</v>
      </c>
      <c r="I882" s="6" t="str">
        <f>_xlfn.CONCAT("Art. złączny do produktu ",Tabela10[[#This Row],[KOD_PRODUKTU]])</f>
        <v>Art. złączny do produktu 443K28</v>
      </c>
      <c r="J882" s="6" t="str">
        <f>_xlfn.CONCAT("VE-",Tabela10[[#This Row],[KOD_PRODUKTU]])</f>
        <v>VE-443K28</v>
      </c>
    </row>
    <row r="883" spans="1:10" x14ac:dyDescent="0.25">
      <c r="A883" s="1" t="s">
        <v>2188</v>
      </c>
      <c r="B883" t="s">
        <v>2189</v>
      </c>
      <c r="C883" s="1" t="s">
        <v>1047</v>
      </c>
      <c r="D883" t="s">
        <v>1048</v>
      </c>
      <c r="E883" t="s">
        <v>1434</v>
      </c>
      <c r="F883" t="s">
        <v>17</v>
      </c>
      <c r="G883" t="s">
        <v>2190</v>
      </c>
      <c r="H883">
        <v>3.1</v>
      </c>
      <c r="I883" s="6" t="str">
        <f>_xlfn.CONCAT("Art. złączny do produktu ",Tabela10[[#This Row],[KOD_PRODUKTU]])</f>
        <v>Art. złączny do produktu 443K31</v>
      </c>
      <c r="J883" s="6" t="str">
        <f>_xlfn.CONCAT("VE-",Tabela10[[#This Row],[KOD_PRODUKTU]])</f>
        <v>VE-443K31</v>
      </c>
    </row>
    <row r="884" spans="1:10" x14ac:dyDescent="0.25">
      <c r="A884" s="7" t="s">
        <v>2188</v>
      </c>
      <c r="B884" s="6" t="s">
        <v>2189</v>
      </c>
      <c r="C884" s="7" t="s">
        <v>7</v>
      </c>
      <c r="D884" s="6" t="s">
        <v>8</v>
      </c>
      <c r="E884" s="6" t="s">
        <v>9</v>
      </c>
      <c r="F884" s="6" t="s">
        <v>10</v>
      </c>
      <c r="G884" s="6" t="s">
        <v>860</v>
      </c>
      <c r="H884" s="6">
        <v>23</v>
      </c>
      <c r="I884" s="6" t="str">
        <f>_xlfn.CONCAT("Art. złączny do produktu ",Tabela10[[#This Row],[KOD_PRODUKTU]])</f>
        <v>Art. złączny do produktu 443K31</v>
      </c>
      <c r="J884" s="6" t="str">
        <f>_xlfn.CONCAT("VE-",Tabela10[[#This Row],[KOD_PRODUKTU]])</f>
        <v>VE-443K31</v>
      </c>
    </row>
    <row r="885" spans="1:10" x14ac:dyDescent="0.25">
      <c r="A885" s="1" t="s">
        <v>2191</v>
      </c>
      <c r="B885" t="s">
        <v>2192</v>
      </c>
      <c r="C885" s="1" t="s">
        <v>2</v>
      </c>
      <c r="D885" t="s">
        <v>3</v>
      </c>
      <c r="E885" t="s">
        <v>4</v>
      </c>
      <c r="F885" t="s">
        <v>5</v>
      </c>
      <c r="G885" t="s">
        <v>2193</v>
      </c>
      <c r="H885">
        <v>0.45</v>
      </c>
      <c r="I885" s="6" t="str">
        <f>_xlfn.CONCAT("Art. złączny do produktu ",Tabela10[[#This Row],[KOD_PRODUKTU]])</f>
        <v>Art. złączny do produktu 445C01</v>
      </c>
      <c r="J885" s="6" t="str">
        <f>_xlfn.CONCAT("VE-",Tabela10[[#This Row],[KOD_PRODUKTU]])</f>
        <v>VE-445C01</v>
      </c>
    </row>
    <row r="886" spans="1:10" x14ac:dyDescent="0.25">
      <c r="A886" s="7" t="s">
        <v>2191</v>
      </c>
      <c r="B886" s="6" t="s">
        <v>2192</v>
      </c>
      <c r="C886" s="7" t="s">
        <v>541</v>
      </c>
      <c r="D886" s="6" t="s">
        <v>542</v>
      </c>
      <c r="E886" s="6" t="s">
        <v>9</v>
      </c>
      <c r="F886" s="6" t="s">
        <v>10</v>
      </c>
      <c r="G886" s="6" t="s">
        <v>2194</v>
      </c>
      <c r="H886" s="6">
        <v>8.2799999999999994</v>
      </c>
      <c r="I886" s="6" t="str">
        <f>_xlfn.CONCAT("Art. złączny do produktu ",Tabela10[[#This Row],[KOD_PRODUKTU]])</f>
        <v>Art. złączny do produktu 445C01</v>
      </c>
      <c r="J886" s="6" t="str">
        <f>_xlfn.CONCAT("VE-",Tabela10[[#This Row],[KOD_PRODUKTU]])</f>
        <v>VE-445C01</v>
      </c>
    </row>
    <row r="887" spans="1:10" x14ac:dyDescent="0.25">
      <c r="A887" s="1" t="s">
        <v>2195</v>
      </c>
      <c r="B887" t="s">
        <v>2196</v>
      </c>
      <c r="C887" s="1" t="s">
        <v>2197</v>
      </c>
      <c r="D887" t="s">
        <v>2198</v>
      </c>
      <c r="E887" t="s">
        <v>1768</v>
      </c>
      <c r="F887" t="s">
        <v>49</v>
      </c>
      <c r="G887" t="s">
        <v>50</v>
      </c>
      <c r="H887">
        <v>0</v>
      </c>
      <c r="I887" s="6" t="str">
        <f>_xlfn.CONCAT("Art. złączny do produktu ",Tabela10[[#This Row],[KOD_PRODUKTU]])</f>
        <v>Art. złączny do produktu 445K40</v>
      </c>
      <c r="J887" s="6" t="str">
        <f>_xlfn.CONCAT("VE-",Tabela10[[#This Row],[KOD_PRODUKTU]])</f>
        <v>VE-445K40</v>
      </c>
    </row>
    <row r="888" spans="1:10" x14ac:dyDescent="0.25">
      <c r="A888" s="7" t="s">
        <v>2195</v>
      </c>
      <c r="B888" s="6" t="s">
        <v>2196</v>
      </c>
      <c r="C888" s="7" t="s">
        <v>7</v>
      </c>
      <c r="D888" s="6" t="s">
        <v>8</v>
      </c>
      <c r="E888" s="6" t="s">
        <v>9</v>
      </c>
      <c r="F888" s="6" t="s">
        <v>10</v>
      </c>
      <c r="G888" s="6" t="s">
        <v>2199</v>
      </c>
      <c r="H888" s="6">
        <v>2.3199999999999998</v>
      </c>
      <c r="I888" s="6" t="str">
        <f>_xlfn.CONCAT("Art. złączny do produktu ",Tabela10[[#This Row],[KOD_PRODUKTU]])</f>
        <v>Art. złączny do produktu 445K40</v>
      </c>
      <c r="J888" s="6" t="str">
        <f>_xlfn.CONCAT("VE-",Tabela10[[#This Row],[KOD_PRODUKTU]])</f>
        <v>VE-445K40</v>
      </c>
    </row>
    <row r="889" spans="1:10" x14ac:dyDescent="0.25">
      <c r="A889" s="1" t="s">
        <v>2200</v>
      </c>
      <c r="B889" t="s">
        <v>2201</v>
      </c>
      <c r="C889" s="1" t="s">
        <v>471</v>
      </c>
      <c r="D889" t="s">
        <v>472</v>
      </c>
      <c r="E889" t="s">
        <v>473</v>
      </c>
      <c r="F889" t="s">
        <v>5</v>
      </c>
      <c r="G889" t="s">
        <v>2202</v>
      </c>
      <c r="H889">
        <v>12.8</v>
      </c>
      <c r="I889" s="6" t="str">
        <f>_xlfn.CONCAT("Art. złączny do produktu ",Tabela10[[#This Row],[KOD_PRODUKTU]])</f>
        <v>Art. złączny do produktu 445P03</v>
      </c>
      <c r="J889" s="6" t="str">
        <f>_xlfn.CONCAT("VE-",Tabela10[[#This Row],[KOD_PRODUKTU]])</f>
        <v>VE-445P03</v>
      </c>
    </row>
    <row r="890" spans="1:10" x14ac:dyDescent="0.25">
      <c r="A890" s="7" t="s">
        <v>2200</v>
      </c>
      <c r="B890" s="6" t="s">
        <v>2201</v>
      </c>
      <c r="C890" s="7" t="s">
        <v>475</v>
      </c>
      <c r="D890" s="6" t="s">
        <v>476</v>
      </c>
      <c r="E890" s="6" t="s">
        <v>477</v>
      </c>
      <c r="F890" s="6" t="s">
        <v>39</v>
      </c>
      <c r="G890" s="6" t="s">
        <v>478</v>
      </c>
      <c r="H890" s="6">
        <v>0.41</v>
      </c>
      <c r="I890" s="6" t="str">
        <f>_xlfn.CONCAT("Art. złączny do produktu ",Tabela10[[#This Row],[KOD_PRODUKTU]])</f>
        <v>Art. złączny do produktu 445P03</v>
      </c>
      <c r="J890" s="6" t="str">
        <f>_xlfn.CONCAT("VE-",Tabela10[[#This Row],[KOD_PRODUKTU]])</f>
        <v>VE-445P03</v>
      </c>
    </row>
    <row r="891" spans="1:10" x14ac:dyDescent="0.25">
      <c r="A891" s="1" t="s">
        <v>2200</v>
      </c>
      <c r="B891" t="s">
        <v>2201</v>
      </c>
      <c r="C891" s="1" t="s">
        <v>479</v>
      </c>
      <c r="D891" t="s">
        <v>480</v>
      </c>
      <c r="E891" t="s">
        <v>481</v>
      </c>
      <c r="F891" t="s">
        <v>5</v>
      </c>
      <c r="G891" t="s">
        <v>2203</v>
      </c>
      <c r="H891">
        <v>0.16</v>
      </c>
      <c r="I891" s="6" t="str">
        <f>_xlfn.CONCAT("Art. złączny do produktu ",Tabela10[[#This Row],[KOD_PRODUKTU]])</f>
        <v>Art. złączny do produktu 445P03</v>
      </c>
      <c r="J891" s="6" t="str">
        <f>_xlfn.CONCAT("VE-",Tabela10[[#This Row],[KOD_PRODUKTU]])</f>
        <v>VE-445P03</v>
      </c>
    </row>
    <row r="892" spans="1:10" x14ac:dyDescent="0.25">
      <c r="A892" s="7" t="s">
        <v>2200</v>
      </c>
      <c r="B892" s="6" t="s">
        <v>2201</v>
      </c>
      <c r="C892" s="7" t="s">
        <v>483</v>
      </c>
      <c r="D892" s="6" t="s">
        <v>484</v>
      </c>
      <c r="E892" s="6" t="s">
        <v>485</v>
      </c>
      <c r="F892" s="6" t="s">
        <v>5</v>
      </c>
      <c r="G892" s="6" t="s">
        <v>573</v>
      </c>
      <c r="H892" s="6">
        <v>0.01</v>
      </c>
      <c r="I892" s="6" t="str">
        <f>_xlfn.CONCAT("Art. złączny do produktu ",Tabela10[[#This Row],[KOD_PRODUKTU]])</f>
        <v>Art. złączny do produktu 445P03</v>
      </c>
      <c r="J892" s="6" t="str">
        <f>_xlfn.CONCAT("VE-",Tabela10[[#This Row],[KOD_PRODUKTU]])</f>
        <v>VE-445P03</v>
      </c>
    </row>
    <row r="893" spans="1:10" x14ac:dyDescent="0.25">
      <c r="A893" s="1" t="s">
        <v>2200</v>
      </c>
      <c r="B893" t="s">
        <v>2201</v>
      </c>
      <c r="C893" s="1" t="s">
        <v>487</v>
      </c>
      <c r="D893" t="s">
        <v>488</v>
      </c>
      <c r="E893" t="s">
        <v>489</v>
      </c>
      <c r="F893" t="s">
        <v>5</v>
      </c>
      <c r="G893" t="s">
        <v>2204</v>
      </c>
      <c r="H893">
        <v>0.36</v>
      </c>
      <c r="I893" s="6" t="str">
        <f>_xlfn.CONCAT("Art. złączny do produktu ",Tabela10[[#This Row],[KOD_PRODUKTU]])</f>
        <v>Art. złączny do produktu 445P03</v>
      </c>
      <c r="J893" s="6" t="str">
        <f>_xlfn.CONCAT("VE-",Tabela10[[#This Row],[KOD_PRODUKTU]])</f>
        <v>VE-445P03</v>
      </c>
    </row>
    <row r="894" spans="1:10" x14ac:dyDescent="0.25">
      <c r="A894" s="7" t="s">
        <v>2200</v>
      </c>
      <c r="B894" s="6" t="s">
        <v>2201</v>
      </c>
      <c r="C894" s="7" t="s">
        <v>41</v>
      </c>
      <c r="D894" s="6" t="s">
        <v>42</v>
      </c>
      <c r="E894" s="6" t="s">
        <v>43</v>
      </c>
      <c r="F894" s="6" t="s">
        <v>5</v>
      </c>
      <c r="G894" s="6" t="s">
        <v>227</v>
      </c>
      <c r="H894" s="6">
        <v>0.01</v>
      </c>
      <c r="I894" s="6" t="str">
        <f>_xlfn.CONCAT("Art. złączny do produktu ",Tabela10[[#This Row],[KOD_PRODUKTU]])</f>
        <v>Art. złączny do produktu 445P03</v>
      </c>
      <c r="J894" s="6" t="str">
        <f>_xlfn.CONCAT("VE-",Tabela10[[#This Row],[KOD_PRODUKTU]])</f>
        <v>VE-445P03</v>
      </c>
    </row>
    <row r="895" spans="1:10" x14ac:dyDescent="0.25">
      <c r="A895" s="1" t="s">
        <v>2200</v>
      </c>
      <c r="B895" t="s">
        <v>2201</v>
      </c>
      <c r="C895" s="1" t="s">
        <v>491</v>
      </c>
      <c r="D895" t="s">
        <v>492</v>
      </c>
      <c r="E895" t="s">
        <v>493</v>
      </c>
      <c r="F895" t="s">
        <v>121</v>
      </c>
      <c r="G895" t="s">
        <v>92</v>
      </c>
      <c r="H895">
        <v>13.7</v>
      </c>
      <c r="I895" s="6" t="str">
        <f>_xlfn.CONCAT("Art. złączny do produktu ",Tabela10[[#This Row],[KOD_PRODUKTU]])</f>
        <v>Art. złączny do produktu 445P03</v>
      </c>
      <c r="J895" s="6" t="str">
        <f>_xlfn.CONCAT("VE-",Tabela10[[#This Row],[KOD_PRODUKTU]])</f>
        <v>VE-445P03</v>
      </c>
    </row>
    <row r="896" spans="1:10" x14ac:dyDescent="0.25">
      <c r="A896" s="7" t="s">
        <v>2200</v>
      </c>
      <c r="B896" s="6" t="s">
        <v>2201</v>
      </c>
      <c r="C896" s="7" t="s">
        <v>494</v>
      </c>
      <c r="D896" s="6" t="s">
        <v>495</v>
      </c>
      <c r="E896" s="6" t="s">
        <v>496</v>
      </c>
      <c r="F896" s="6" t="s">
        <v>121</v>
      </c>
      <c r="G896" s="6" t="s">
        <v>50</v>
      </c>
      <c r="H896" s="6">
        <v>17.45</v>
      </c>
      <c r="I896" s="6" t="str">
        <f>_xlfn.CONCAT("Art. złączny do produktu ",Tabela10[[#This Row],[KOD_PRODUKTU]])</f>
        <v>Art. złączny do produktu 445P03</v>
      </c>
      <c r="J896" s="6" t="str">
        <f>_xlfn.CONCAT("VE-",Tabela10[[#This Row],[KOD_PRODUKTU]])</f>
        <v>VE-445P03</v>
      </c>
    </row>
    <row r="897" spans="1:10" x14ac:dyDescent="0.25">
      <c r="A897" s="1" t="s">
        <v>2200</v>
      </c>
      <c r="B897" t="s">
        <v>2201</v>
      </c>
      <c r="C897" s="1" t="s">
        <v>497</v>
      </c>
      <c r="D897" t="s">
        <v>498</v>
      </c>
      <c r="E897" t="s">
        <v>496</v>
      </c>
      <c r="F897" t="s">
        <v>121</v>
      </c>
      <c r="G897" t="s">
        <v>50</v>
      </c>
      <c r="H897">
        <v>17.45</v>
      </c>
      <c r="I897" s="6" t="str">
        <f>_xlfn.CONCAT("Art. złączny do produktu ",Tabela10[[#This Row],[KOD_PRODUKTU]])</f>
        <v>Art. złączny do produktu 445P03</v>
      </c>
      <c r="J897" s="6" t="str">
        <f>_xlfn.CONCAT("VE-",Tabela10[[#This Row],[KOD_PRODUKTU]])</f>
        <v>VE-445P03</v>
      </c>
    </row>
    <row r="898" spans="1:10" x14ac:dyDescent="0.25">
      <c r="A898" s="7" t="s">
        <v>2200</v>
      </c>
      <c r="B898" s="6" t="s">
        <v>2201</v>
      </c>
      <c r="C898" s="7" t="s">
        <v>499</v>
      </c>
      <c r="D898" s="6" t="s">
        <v>500</v>
      </c>
      <c r="E898" s="6" t="s">
        <v>501</v>
      </c>
      <c r="F898" s="6" t="s">
        <v>121</v>
      </c>
      <c r="G898" s="6" t="s">
        <v>50</v>
      </c>
      <c r="H898" s="6">
        <v>4.5</v>
      </c>
      <c r="I898" s="6" t="str">
        <f>_xlfn.CONCAT("Art. złączny do produktu ",Tabela10[[#This Row],[KOD_PRODUKTU]])</f>
        <v>Art. złączny do produktu 445P03</v>
      </c>
      <c r="J898" s="6" t="str">
        <f>_xlfn.CONCAT("VE-",Tabela10[[#This Row],[KOD_PRODUKTU]])</f>
        <v>VE-445P03</v>
      </c>
    </row>
    <row r="899" spans="1:10" x14ac:dyDescent="0.25">
      <c r="A899" s="1" t="s">
        <v>2200</v>
      </c>
      <c r="B899" t="s">
        <v>2201</v>
      </c>
      <c r="C899" s="1" t="s">
        <v>7</v>
      </c>
      <c r="D899" t="s">
        <v>8</v>
      </c>
      <c r="E899" t="s">
        <v>9</v>
      </c>
      <c r="F899" t="s">
        <v>10</v>
      </c>
      <c r="G899" t="s">
        <v>2205</v>
      </c>
      <c r="H899">
        <v>72.599999999999994</v>
      </c>
      <c r="I899" s="6" t="str">
        <f>_xlfn.CONCAT("Art. złączny do produktu ",Tabela10[[#This Row],[KOD_PRODUKTU]])</f>
        <v>Art. złączny do produktu 445P03</v>
      </c>
      <c r="J899" s="6" t="str">
        <f>_xlfn.CONCAT("VE-",Tabela10[[#This Row],[KOD_PRODUKTU]])</f>
        <v>VE-445P03</v>
      </c>
    </row>
    <row r="900" spans="1:10" x14ac:dyDescent="0.25">
      <c r="A900" s="7" t="s">
        <v>2206</v>
      </c>
      <c r="B900" s="6" t="s">
        <v>2207</v>
      </c>
      <c r="C900" s="7" t="s">
        <v>507</v>
      </c>
      <c r="D900" s="6" t="s">
        <v>508</v>
      </c>
      <c r="E900" s="6" t="s">
        <v>509</v>
      </c>
      <c r="F900" s="6" t="s">
        <v>5</v>
      </c>
      <c r="G900" s="6" t="s">
        <v>2208</v>
      </c>
      <c r="H900" s="6">
        <v>3.15</v>
      </c>
      <c r="I900" s="6" t="str">
        <f>_xlfn.CONCAT("Art. złączny do produktu ",Tabela10[[#This Row],[KOD_PRODUKTU]])</f>
        <v>Art. złączny do produktu 445P04</v>
      </c>
      <c r="J900" s="6" t="str">
        <f>_xlfn.CONCAT("VE-",Tabela10[[#This Row],[KOD_PRODUKTU]])</f>
        <v>VE-445P04</v>
      </c>
    </row>
    <row r="901" spans="1:10" x14ac:dyDescent="0.25">
      <c r="A901" s="1" t="s">
        <v>2206</v>
      </c>
      <c r="B901" t="s">
        <v>2207</v>
      </c>
      <c r="C901" s="1" t="s">
        <v>511</v>
      </c>
      <c r="D901" t="s">
        <v>512</v>
      </c>
      <c r="E901" t="s">
        <v>513</v>
      </c>
      <c r="F901" t="s">
        <v>39</v>
      </c>
      <c r="G901" t="s">
        <v>1425</v>
      </c>
      <c r="H901">
        <v>0.5</v>
      </c>
      <c r="I901" s="6" t="str">
        <f>_xlfn.CONCAT("Art. złączny do produktu ",Tabela10[[#This Row],[KOD_PRODUKTU]])</f>
        <v>Art. złączny do produktu 445P04</v>
      </c>
      <c r="J901" s="6" t="str">
        <f>_xlfn.CONCAT("VE-",Tabela10[[#This Row],[KOD_PRODUKTU]])</f>
        <v>VE-445P04</v>
      </c>
    </row>
    <row r="902" spans="1:10" x14ac:dyDescent="0.25">
      <c r="A902" s="7" t="s">
        <v>2206</v>
      </c>
      <c r="B902" s="6" t="s">
        <v>2207</v>
      </c>
      <c r="C902" s="7" t="s">
        <v>514</v>
      </c>
      <c r="D902" s="6" t="s">
        <v>515</v>
      </c>
      <c r="E902" s="6" t="s">
        <v>516</v>
      </c>
      <c r="F902" s="6" t="s">
        <v>121</v>
      </c>
      <c r="G902" s="6" t="s">
        <v>50</v>
      </c>
      <c r="H902" s="6">
        <v>0.27</v>
      </c>
      <c r="I902" s="6" t="str">
        <f>_xlfn.CONCAT("Art. złączny do produktu ",Tabela10[[#This Row],[KOD_PRODUKTU]])</f>
        <v>Art. złączny do produktu 445P04</v>
      </c>
      <c r="J902" s="6" t="str">
        <f>_xlfn.CONCAT("VE-",Tabela10[[#This Row],[KOD_PRODUKTU]])</f>
        <v>VE-445P04</v>
      </c>
    </row>
    <row r="903" spans="1:10" x14ac:dyDescent="0.25">
      <c r="A903" s="1" t="s">
        <v>2206</v>
      </c>
      <c r="B903" t="s">
        <v>2207</v>
      </c>
      <c r="C903" s="1" t="s">
        <v>41</v>
      </c>
      <c r="D903" t="s">
        <v>42</v>
      </c>
      <c r="E903" t="s">
        <v>43</v>
      </c>
      <c r="F903" t="s">
        <v>5</v>
      </c>
      <c r="G903" t="s">
        <v>2209</v>
      </c>
      <c r="H903">
        <v>0.03</v>
      </c>
      <c r="I903" s="6" t="str">
        <f>_xlfn.CONCAT("Art. złączny do produktu ",Tabela10[[#This Row],[KOD_PRODUKTU]])</f>
        <v>Art. złączny do produktu 445P04</v>
      </c>
      <c r="J903" s="6" t="str">
        <f>_xlfn.CONCAT("VE-",Tabela10[[#This Row],[KOD_PRODUKTU]])</f>
        <v>VE-445P04</v>
      </c>
    </row>
    <row r="904" spans="1:10" x14ac:dyDescent="0.25">
      <c r="A904" s="7" t="s">
        <v>2206</v>
      </c>
      <c r="B904" s="6" t="s">
        <v>2207</v>
      </c>
      <c r="C904" s="7" t="s">
        <v>517</v>
      </c>
      <c r="D904" s="6" t="s">
        <v>518</v>
      </c>
      <c r="E904" s="6" t="s">
        <v>519</v>
      </c>
      <c r="F904" s="6" t="s">
        <v>121</v>
      </c>
      <c r="G904" s="6" t="s">
        <v>92</v>
      </c>
      <c r="H904" s="6">
        <v>11.1</v>
      </c>
      <c r="I904" s="6" t="str">
        <f>_xlfn.CONCAT("Art. złączny do produktu ",Tabela10[[#This Row],[KOD_PRODUKTU]])</f>
        <v>Art. złączny do produktu 445P04</v>
      </c>
      <c r="J904" s="6" t="str">
        <f>_xlfn.CONCAT("VE-",Tabela10[[#This Row],[KOD_PRODUKTU]])</f>
        <v>VE-445P04</v>
      </c>
    </row>
    <row r="905" spans="1:10" x14ac:dyDescent="0.25">
      <c r="A905" s="1" t="s">
        <v>2206</v>
      </c>
      <c r="B905" t="s">
        <v>2207</v>
      </c>
      <c r="C905" s="1" t="s">
        <v>520</v>
      </c>
      <c r="D905" t="s">
        <v>521</v>
      </c>
      <c r="E905" t="s">
        <v>522</v>
      </c>
      <c r="F905" t="s">
        <v>121</v>
      </c>
      <c r="G905" t="s">
        <v>50</v>
      </c>
      <c r="H905">
        <v>3.45</v>
      </c>
      <c r="I905" s="6" t="str">
        <f>_xlfn.CONCAT("Art. złączny do produktu ",Tabela10[[#This Row],[KOD_PRODUKTU]])</f>
        <v>Art. złączny do produktu 445P04</v>
      </c>
      <c r="J905" s="6" t="str">
        <f>_xlfn.CONCAT("VE-",Tabela10[[#This Row],[KOD_PRODUKTU]])</f>
        <v>VE-445P04</v>
      </c>
    </row>
    <row r="906" spans="1:10" x14ac:dyDescent="0.25">
      <c r="A906" s="7" t="s">
        <v>2206</v>
      </c>
      <c r="B906" s="6" t="s">
        <v>2207</v>
      </c>
      <c r="C906" s="7" t="s">
        <v>7</v>
      </c>
      <c r="D906" s="6" t="s">
        <v>8</v>
      </c>
      <c r="E906" s="6" t="s">
        <v>9</v>
      </c>
      <c r="F906" s="6" t="s">
        <v>10</v>
      </c>
      <c r="G906" s="6" t="s">
        <v>504</v>
      </c>
      <c r="H906" s="6">
        <v>32</v>
      </c>
      <c r="I906" s="6" t="str">
        <f>_xlfn.CONCAT("Art. złączny do produktu ",Tabela10[[#This Row],[KOD_PRODUKTU]])</f>
        <v>Art. złączny do produktu 445P04</v>
      </c>
      <c r="J906" s="6" t="str">
        <f>_xlfn.CONCAT("VE-",Tabela10[[#This Row],[KOD_PRODUKTU]])</f>
        <v>VE-445P04</v>
      </c>
    </row>
    <row r="907" spans="1:10" x14ac:dyDescent="0.25">
      <c r="A907" s="1" t="s">
        <v>2210</v>
      </c>
      <c r="B907" t="s">
        <v>2211</v>
      </c>
      <c r="C907" s="1" t="s">
        <v>471</v>
      </c>
      <c r="D907" t="s">
        <v>472</v>
      </c>
      <c r="E907" t="s">
        <v>526</v>
      </c>
      <c r="F907" t="s">
        <v>5</v>
      </c>
      <c r="G907" t="s">
        <v>2212</v>
      </c>
      <c r="H907">
        <v>22.75</v>
      </c>
      <c r="I907" s="6" t="str">
        <f>_xlfn.CONCAT("Art. złączny do produktu ",Tabela10[[#This Row],[KOD_PRODUKTU]])</f>
        <v>Art. złączny do produktu 445P06</v>
      </c>
      <c r="J907" s="6" t="str">
        <f>_xlfn.CONCAT("VE-",Tabela10[[#This Row],[KOD_PRODUKTU]])</f>
        <v>VE-445P06</v>
      </c>
    </row>
    <row r="908" spans="1:10" x14ac:dyDescent="0.25">
      <c r="A908" s="7" t="s">
        <v>2210</v>
      </c>
      <c r="B908" s="6" t="s">
        <v>2211</v>
      </c>
      <c r="C908" s="7" t="s">
        <v>475</v>
      </c>
      <c r="D908" s="6" t="s">
        <v>476</v>
      </c>
      <c r="E908" s="6" t="s">
        <v>477</v>
      </c>
      <c r="F908" s="6" t="s">
        <v>39</v>
      </c>
      <c r="G908" s="6" t="s">
        <v>478</v>
      </c>
      <c r="H908" s="6">
        <v>0.41</v>
      </c>
      <c r="I908" s="6" t="str">
        <f>_xlfn.CONCAT("Art. złączny do produktu ",Tabela10[[#This Row],[KOD_PRODUKTU]])</f>
        <v>Art. złączny do produktu 445P06</v>
      </c>
      <c r="J908" s="6" t="str">
        <f>_xlfn.CONCAT("VE-",Tabela10[[#This Row],[KOD_PRODUKTU]])</f>
        <v>VE-445P06</v>
      </c>
    </row>
    <row r="909" spans="1:10" x14ac:dyDescent="0.25">
      <c r="A909" s="1" t="s">
        <v>2210</v>
      </c>
      <c r="B909" t="s">
        <v>2211</v>
      </c>
      <c r="C909" s="1" t="s">
        <v>479</v>
      </c>
      <c r="D909" t="s">
        <v>480</v>
      </c>
      <c r="E909" t="s">
        <v>481</v>
      </c>
      <c r="F909" t="s">
        <v>5</v>
      </c>
      <c r="G909" t="s">
        <v>482</v>
      </c>
      <c r="H909">
        <v>0.04</v>
      </c>
      <c r="I909" s="6" t="str">
        <f>_xlfn.CONCAT("Art. złączny do produktu ",Tabela10[[#This Row],[KOD_PRODUKTU]])</f>
        <v>Art. złączny do produktu 445P06</v>
      </c>
      <c r="J909" s="6" t="str">
        <f>_xlfn.CONCAT("VE-",Tabela10[[#This Row],[KOD_PRODUKTU]])</f>
        <v>VE-445P06</v>
      </c>
    </row>
    <row r="910" spans="1:10" x14ac:dyDescent="0.25">
      <c r="A910" s="7" t="s">
        <v>2210</v>
      </c>
      <c r="B910" s="6" t="s">
        <v>2211</v>
      </c>
      <c r="C910" s="7" t="s">
        <v>483</v>
      </c>
      <c r="D910" s="6" t="s">
        <v>484</v>
      </c>
      <c r="E910" s="6" t="s">
        <v>485</v>
      </c>
      <c r="F910" s="6" t="s">
        <v>5</v>
      </c>
      <c r="G910" s="6" t="s">
        <v>2213</v>
      </c>
      <c r="H910" s="6">
        <v>0.01</v>
      </c>
      <c r="I910" s="6" t="str">
        <f>_xlfn.CONCAT("Art. złączny do produktu ",Tabela10[[#This Row],[KOD_PRODUKTU]])</f>
        <v>Art. złączny do produktu 445P06</v>
      </c>
      <c r="J910" s="6" t="str">
        <f>_xlfn.CONCAT("VE-",Tabela10[[#This Row],[KOD_PRODUKTU]])</f>
        <v>VE-445P06</v>
      </c>
    </row>
    <row r="911" spans="1:10" x14ac:dyDescent="0.25">
      <c r="A911" s="1" t="s">
        <v>2210</v>
      </c>
      <c r="B911" t="s">
        <v>2211</v>
      </c>
      <c r="C911" s="1" t="s">
        <v>487</v>
      </c>
      <c r="D911" t="s">
        <v>488</v>
      </c>
      <c r="E911" t="s">
        <v>489</v>
      </c>
      <c r="F911" t="s">
        <v>5</v>
      </c>
      <c r="G911" t="s">
        <v>490</v>
      </c>
      <c r="H911">
        <v>0.28999999999999998</v>
      </c>
      <c r="I911" s="6" t="str">
        <f>_xlfn.CONCAT("Art. złączny do produktu ",Tabela10[[#This Row],[KOD_PRODUKTU]])</f>
        <v>Art. złączny do produktu 445P06</v>
      </c>
      <c r="J911" s="6" t="str">
        <f>_xlfn.CONCAT("VE-",Tabela10[[#This Row],[KOD_PRODUKTU]])</f>
        <v>VE-445P06</v>
      </c>
    </row>
    <row r="912" spans="1:10" x14ac:dyDescent="0.25">
      <c r="A912" s="7" t="s">
        <v>2210</v>
      </c>
      <c r="B912" s="6" t="s">
        <v>2211</v>
      </c>
      <c r="C912" s="7" t="s">
        <v>41</v>
      </c>
      <c r="D912" s="6" t="s">
        <v>42</v>
      </c>
      <c r="E912" s="6" t="s">
        <v>43</v>
      </c>
      <c r="F912" s="6" t="s">
        <v>5</v>
      </c>
      <c r="G912" s="6" t="s">
        <v>559</v>
      </c>
      <c r="H912" s="6">
        <v>0.04</v>
      </c>
      <c r="I912" s="6" t="str">
        <f>_xlfn.CONCAT("Art. złączny do produktu ",Tabela10[[#This Row],[KOD_PRODUKTU]])</f>
        <v>Art. złączny do produktu 445P06</v>
      </c>
      <c r="J912" s="6" t="str">
        <f>_xlfn.CONCAT("VE-",Tabela10[[#This Row],[KOD_PRODUKTU]])</f>
        <v>VE-445P06</v>
      </c>
    </row>
    <row r="913" spans="1:10" x14ac:dyDescent="0.25">
      <c r="A913" s="1" t="s">
        <v>2210</v>
      </c>
      <c r="B913" t="s">
        <v>2211</v>
      </c>
      <c r="C913" s="1" t="s">
        <v>491</v>
      </c>
      <c r="D913" t="s">
        <v>492</v>
      </c>
      <c r="E913" t="s">
        <v>493</v>
      </c>
      <c r="F913" t="s">
        <v>121</v>
      </c>
      <c r="G913" t="s">
        <v>92</v>
      </c>
      <c r="H913">
        <v>13.7</v>
      </c>
      <c r="I913" s="6" t="str">
        <f>_xlfn.CONCAT("Art. złączny do produktu ",Tabela10[[#This Row],[KOD_PRODUKTU]])</f>
        <v>Art. złączny do produktu 445P06</v>
      </c>
      <c r="J913" s="6" t="str">
        <f>_xlfn.CONCAT("VE-",Tabela10[[#This Row],[KOD_PRODUKTU]])</f>
        <v>VE-445P06</v>
      </c>
    </row>
    <row r="914" spans="1:10" x14ac:dyDescent="0.25">
      <c r="A914" s="7" t="s">
        <v>2210</v>
      </c>
      <c r="B914" s="6" t="s">
        <v>2211</v>
      </c>
      <c r="C914" s="7" t="s">
        <v>494</v>
      </c>
      <c r="D914" s="6" t="s">
        <v>495</v>
      </c>
      <c r="E914" s="6" t="s">
        <v>496</v>
      </c>
      <c r="F914" s="6" t="s">
        <v>121</v>
      </c>
      <c r="G914" s="6" t="s">
        <v>50</v>
      </c>
      <c r="H914" s="6">
        <v>17.45</v>
      </c>
      <c r="I914" s="6" t="str">
        <f>_xlfn.CONCAT("Art. złączny do produktu ",Tabela10[[#This Row],[KOD_PRODUKTU]])</f>
        <v>Art. złączny do produktu 445P06</v>
      </c>
      <c r="J914" s="6" t="str">
        <f>_xlfn.CONCAT("VE-",Tabela10[[#This Row],[KOD_PRODUKTU]])</f>
        <v>VE-445P06</v>
      </c>
    </row>
    <row r="915" spans="1:10" x14ac:dyDescent="0.25">
      <c r="A915" s="1" t="s">
        <v>2210</v>
      </c>
      <c r="B915" t="s">
        <v>2211</v>
      </c>
      <c r="C915" s="1" t="s">
        <v>497</v>
      </c>
      <c r="D915" t="s">
        <v>498</v>
      </c>
      <c r="E915" t="s">
        <v>496</v>
      </c>
      <c r="F915" t="s">
        <v>121</v>
      </c>
      <c r="G915" t="s">
        <v>50</v>
      </c>
      <c r="H915">
        <v>17.45</v>
      </c>
      <c r="I915" s="6" t="str">
        <f>_xlfn.CONCAT("Art. złączny do produktu ",Tabela10[[#This Row],[KOD_PRODUKTU]])</f>
        <v>Art. złączny do produktu 445P06</v>
      </c>
      <c r="J915" s="6" t="str">
        <f>_xlfn.CONCAT("VE-",Tabela10[[#This Row],[KOD_PRODUKTU]])</f>
        <v>VE-445P06</v>
      </c>
    </row>
    <row r="916" spans="1:10" x14ac:dyDescent="0.25">
      <c r="A916" s="7" t="s">
        <v>2210</v>
      </c>
      <c r="B916" s="6" t="s">
        <v>2211</v>
      </c>
      <c r="C916" s="7" t="s">
        <v>499</v>
      </c>
      <c r="D916" s="6" t="s">
        <v>500</v>
      </c>
      <c r="E916" s="6" t="s">
        <v>501</v>
      </c>
      <c r="F916" s="6" t="s">
        <v>121</v>
      </c>
      <c r="G916" s="6" t="s">
        <v>50</v>
      </c>
      <c r="H916" s="6">
        <v>4.5</v>
      </c>
      <c r="I916" s="6" t="str">
        <f>_xlfn.CONCAT("Art. złączny do produktu ",Tabela10[[#This Row],[KOD_PRODUKTU]])</f>
        <v>Art. złączny do produktu 445P06</v>
      </c>
      <c r="J916" s="6" t="str">
        <f>_xlfn.CONCAT("VE-",Tabela10[[#This Row],[KOD_PRODUKTU]])</f>
        <v>VE-445P06</v>
      </c>
    </row>
    <row r="917" spans="1:10" x14ac:dyDescent="0.25">
      <c r="A917" s="1" t="s">
        <v>2210</v>
      </c>
      <c r="B917" t="s">
        <v>2211</v>
      </c>
      <c r="C917" s="1" t="s">
        <v>7</v>
      </c>
      <c r="D917" t="s">
        <v>8</v>
      </c>
      <c r="E917" t="s">
        <v>9</v>
      </c>
      <c r="F917" t="s">
        <v>10</v>
      </c>
      <c r="G917" t="s">
        <v>2214</v>
      </c>
      <c r="H917">
        <v>36.799999999999997</v>
      </c>
      <c r="I917" s="6" t="str">
        <f>_xlfn.CONCAT("Art. złączny do produktu ",Tabela10[[#This Row],[KOD_PRODUKTU]])</f>
        <v>Art. złączny do produktu 445P06</v>
      </c>
      <c r="J917" s="6" t="str">
        <f>_xlfn.CONCAT("VE-",Tabela10[[#This Row],[KOD_PRODUKTU]])</f>
        <v>VE-445P06</v>
      </c>
    </row>
    <row r="918" spans="1:10" x14ac:dyDescent="0.25">
      <c r="A918" s="7" t="s">
        <v>2215</v>
      </c>
      <c r="B918" s="6" t="s">
        <v>2216</v>
      </c>
      <c r="C918" s="7" t="s">
        <v>507</v>
      </c>
      <c r="D918" s="6" t="s">
        <v>508</v>
      </c>
      <c r="E918" s="6" t="s">
        <v>578</v>
      </c>
      <c r="F918" s="6" t="s">
        <v>5</v>
      </c>
      <c r="G918" s="6" t="s">
        <v>2217</v>
      </c>
      <c r="H918" s="6">
        <v>7.14</v>
      </c>
      <c r="I918" s="6" t="str">
        <f>_xlfn.CONCAT("Art. złączny do produktu ",Tabela10[[#This Row],[KOD_PRODUKTU]])</f>
        <v>Art. złączny do produktu 445P07</v>
      </c>
      <c r="J918" s="6" t="str">
        <f>_xlfn.CONCAT("VE-",Tabela10[[#This Row],[KOD_PRODUKTU]])</f>
        <v>VE-445P07</v>
      </c>
    </row>
    <row r="919" spans="1:10" x14ac:dyDescent="0.25">
      <c r="A919" s="1" t="s">
        <v>2215</v>
      </c>
      <c r="B919" t="s">
        <v>2216</v>
      </c>
      <c r="C919" s="1" t="s">
        <v>511</v>
      </c>
      <c r="D919" t="s">
        <v>512</v>
      </c>
      <c r="E919" t="s">
        <v>2218</v>
      </c>
      <c r="F919" t="s">
        <v>39</v>
      </c>
      <c r="G919" t="s">
        <v>478</v>
      </c>
      <c r="H919">
        <v>0.6</v>
      </c>
      <c r="I919" s="6" t="str">
        <f>_xlfn.CONCAT("Art. złączny do produktu ",Tabela10[[#This Row],[KOD_PRODUKTU]])</f>
        <v>Art. złączny do produktu 445P07</v>
      </c>
      <c r="J919" s="6" t="str">
        <f>_xlfn.CONCAT("VE-",Tabela10[[#This Row],[KOD_PRODUKTU]])</f>
        <v>VE-445P07</v>
      </c>
    </row>
    <row r="920" spans="1:10" x14ac:dyDescent="0.25">
      <c r="A920" s="7" t="s">
        <v>2215</v>
      </c>
      <c r="B920" s="6" t="s">
        <v>2216</v>
      </c>
      <c r="C920" s="7" t="s">
        <v>514</v>
      </c>
      <c r="D920" s="6" t="s">
        <v>515</v>
      </c>
      <c r="E920" s="6" t="s">
        <v>516</v>
      </c>
      <c r="F920" s="6" t="s">
        <v>121</v>
      </c>
      <c r="G920" s="6" t="s">
        <v>50</v>
      </c>
      <c r="H920" s="6">
        <v>0.27</v>
      </c>
      <c r="I920" s="6" t="str">
        <f>_xlfn.CONCAT("Art. złączny do produktu ",Tabela10[[#This Row],[KOD_PRODUKTU]])</f>
        <v>Art. złączny do produktu 445P07</v>
      </c>
      <c r="J920" s="6" t="str">
        <f>_xlfn.CONCAT("VE-",Tabela10[[#This Row],[KOD_PRODUKTU]])</f>
        <v>VE-445P07</v>
      </c>
    </row>
    <row r="921" spans="1:10" x14ac:dyDescent="0.25">
      <c r="A921" s="1" t="s">
        <v>2215</v>
      </c>
      <c r="B921" t="s">
        <v>2216</v>
      </c>
      <c r="C921" s="1" t="s">
        <v>41</v>
      </c>
      <c r="D921" t="s">
        <v>42</v>
      </c>
      <c r="E921" t="s">
        <v>43</v>
      </c>
      <c r="F921" t="s">
        <v>5</v>
      </c>
      <c r="G921" t="s">
        <v>736</v>
      </c>
      <c r="H921">
        <v>0.04</v>
      </c>
      <c r="I921" s="6" t="str">
        <f>_xlfn.CONCAT("Art. złączny do produktu ",Tabela10[[#This Row],[KOD_PRODUKTU]])</f>
        <v>Art. złączny do produktu 445P07</v>
      </c>
      <c r="J921" s="6" t="str">
        <f>_xlfn.CONCAT("VE-",Tabela10[[#This Row],[KOD_PRODUKTU]])</f>
        <v>VE-445P07</v>
      </c>
    </row>
    <row r="922" spans="1:10" x14ac:dyDescent="0.25">
      <c r="A922" s="7" t="s">
        <v>2215</v>
      </c>
      <c r="B922" s="6" t="s">
        <v>2216</v>
      </c>
      <c r="C922" s="7" t="s">
        <v>517</v>
      </c>
      <c r="D922" s="6" t="s">
        <v>518</v>
      </c>
      <c r="E922" s="6" t="s">
        <v>519</v>
      </c>
      <c r="F922" s="6" t="s">
        <v>121</v>
      </c>
      <c r="G922" s="6" t="s">
        <v>92</v>
      </c>
      <c r="H922" s="6">
        <v>11.1</v>
      </c>
      <c r="I922" s="6" t="str">
        <f>_xlfn.CONCAT("Art. złączny do produktu ",Tabela10[[#This Row],[KOD_PRODUKTU]])</f>
        <v>Art. złączny do produktu 445P07</v>
      </c>
      <c r="J922" s="6" t="str">
        <f>_xlfn.CONCAT("VE-",Tabela10[[#This Row],[KOD_PRODUKTU]])</f>
        <v>VE-445P07</v>
      </c>
    </row>
    <row r="923" spans="1:10" x14ac:dyDescent="0.25">
      <c r="A923" s="1" t="s">
        <v>2215</v>
      </c>
      <c r="B923" t="s">
        <v>2216</v>
      </c>
      <c r="C923" s="1" t="s">
        <v>520</v>
      </c>
      <c r="D923" t="s">
        <v>521</v>
      </c>
      <c r="E923" t="s">
        <v>522</v>
      </c>
      <c r="F923" t="s">
        <v>121</v>
      </c>
      <c r="G923" t="s">
        <v>50</v>
      </c>
      <c r="H923">
        <v>3.45</v>
      </c>
      <c r="I923" s="6" t="str">
        <f>_xlfn.CONCAT("Art. złączny do produktu ",Tabela10[[#This Row],[KOD_PRODUKTU]])</f>
        <v>Art. złączny do produktu 445P07</v>
      </c>
      <c r="J923" s="6" t="str">
        <f>_xlfn.CONCAT("VE-",Tabela10[[#This Row],[KOD_PRODUKTU]])</f>
        <v>VE-445P07</v>
      </c>
    </row>
    <row r="924" spans="1:10" x14ac:dyDescent="0.25">
      <c r="A924" s="7" t="s">
        <v>2215</v>
      </c>
      <c r="B924" s="6" t="s">
        <v>2216</v>
      </c>
      <c r="C924" s="7" t="s">
        <v>7</v>
      </c>
      <c r="D924" s="6" t="s">
        <v>8</v>
      </c>
      <c r="E924" s="6" t="s">
        <v>9</v>
      </c>
      <c r="F924" s="6" t="s">
        <v>10</v>
      </c>
      <c r="G924" s="6" t="s">
        <v>690</v>
      </c>
      <c r="H924" s="6">
        <v>20.7</v>
      </c>
      <c r="I924" s="6" t="str">
        <f>_xlfn.CONCAT("Art. złączny do produktu ",Tabela10[[#This Row],[KOD_PRODUKTU]])</f>
        <v>Art. złączny do produktu 445P07</v>
      </c>
      <c r="J924" s="6" t="str">
        <f>_xlfn.CONCAT("VE-",Tabela10[[#This Row],[KOD_PRODUKTU]])</f>
        <v>VE-445P07</v>
      </c>
    </row>
    <row r="925" spans="1:10" x14ac:dyDescent="0.25">
      <c r="A925" s="1" t="s">
        <v>2219</v>
      </c>
      <c r="B925" t="s">
        <v>2220</v>
      </c>
      <c r="C925" s="1" t="s">
        <v>471</v>
      </c>
      <c r="D925" t="s">
        <v>472</v>
      </c>
      <c r="E925" t="s">
        <v>473</v>
      </c>
      <c r="F925" t="s">
        <v>5</v>
      </c>
      <c r="G925" t="s">
        <v>2221</v>
      </c>
      <c r="H925">
        <v>29</v>
      </c>
      <c r="I925" s="6" t="str">
        <f>_xlfn.CONCAT("Art. złączny do produktu ",Tabela10[[#This Row],[KOD_PRODUKTU]])</f>
        <v>Art. złączny do produktu 445P08</v>
      </c>
      <c r="J925" s="6" t="str">
        <f>_xlfn.CONCAT("VE-",Tabela10[[#This Row],[KOD_PRODUKTU]])</f>
        <v>VE-445P08</v>
      </c>
    </row>
    <row r="926" spans="1:10" x14ac:dyDescent="0.25">
      <c r="A926" s="7" t="s">
        <v>2219</v>
      </c>
      <c r="B926" s="6" t="s">
        <v>2220</v>
      </c>
      <c r="C926" s="7" t="s">
        <v>475</v>
      </c>
      <c r="D926" s="6" t="s">
        <v>476</v>
      </c>
      <c r="E926" s="6" t="s">
        <v>477</v>
      </c>
      <c r="F926" s="6" t="s">
        <v>39</v>
      </c>
      <c r="G926" s="6" t="s">
        <v>478</v>
      </c>
      <c r="H926" s="6">
        <v>0.41</v>
      </c>
      <c r="I926" s="6" t="str">
        <f>_xlfn.CONCAT("Art. złączny do produktu ",Tabela10[[#This Row],[KOD_PRODUKTU]])</f>
        <v>Art. złączny do produktu 445P08</v>
      </c>
      <c r="J926" s="6" t="str">
        <f>_xlfn.CONCAT("VE-",Tabela10[[#This Row],[KOD_PRODUKTU]])</f>
        <v>VE-445P08</v>
      </c>
    </row>
    <row r="927" spans="1:10" x14ac:dyDescent="0.25">
      <c r="A927" s="1" t="s">
        <v>2219</v>
      </c>
      <c r="B927" t="s">
        <v>2220</v>
      </c>
      <c r="C927" s="1" t="s">
        <v>479</v>
      </c>
      <c r="D927" t="s">
        <v>480</v>
      </c>
      <c r="E927" t="s">
        <v>481</v>
      </c>
      <c r="F927" t="s">
        <v>5</v>
      </c>
      <c r="G927" t="s">
        <v>534</v>
      </c>
      <c r="H927">
        <v>0.05</v>
      </c>
      <c r="I927" s="6" t="str">
        <f>_xlfn.CONCAT("Art. złączny do produktu ",Tabela10[[#This Row],[KOD_PRODUKTU]])</f>
        <v>Art. złączny do produktu 445P08</v>
      </c>
      <c r="J927" s="6" t="str">
        <f>_xlfn.CONCAT("VE-",Tabela10[[#This Row],[KOD_PRODUKTU]])</f>
        <v>VE-445P08</v>
      </c>
    </row>
    <row r="928" spans="1:10" x14ac:dyDescent="0.25">
      <c r="A928" s="7" t="s">
        <v>2219</v>
      </c>
      <c r="B928" s="6" t="s">
        <v>2220</v>
      </c>
      <c r="C928" s="7" t="s">
        <v>483</v>
      </c>
      <c r="D928" s="6" t="s">
        <v>484</v>
      </c>
      <c r="E928" s="6" t="s">
        <v>485</v>
      </c>
      <c r="F928" s="6" t="s">
        <v>5</v>
      </c>
      <c r="G928" s="6" t="s">
        <v>573</v>
      </c>
      <c r="H928" s="6">
        <v>0.01</v>
      </c>
      <c r="I928" s="6" t="str">
        <f>_xlfn.CONCAT("Art. złączny do produktu ",Tabela10[[#This Row],[KOD_PRODUKTU]])</f>
        <v>Art. złączny do produktu 445P08</v>
      </c>
      <c r="J928" s="6" t="str">
        <f>_xlfn.CONCAT("VE-",Tabela10[[#This Row],[KOD_PRODUKTU]])</f>
        <v>VE-445P08</v>
      </c>
    </row>
    <row r="929" spans="1:10" x14ac:dyDescent="0.25">
      <c r="A929" s="1" t="s">
        <v>2219</v>
      </c>
      <c r="B929" t="s">
        <v>2220</v>
      </c>
      <c r="C929" s="1" t="s">
        <v>487</v>
      </c>
      <c r="D929" t="s">
        <v>488</v>
      </c>
      <c r="E929" t="s">
        <v>489</v>
      </c>
      <c r="F929" t="s">
        <v>5</v>
      </c>
      <c r="G929" t="s">
        <v>2222</v>
      </c>
      <c r="H929">
        <v>0.32</v>
      </c>
      <c r="I929" s="6" t="str">
        <f>_xlfn.CONCAT("Art. złączny do produktu ",Tabela10[[#This Row],[KOD_PRODUKTU]])</f>
        <v>Art. złączny do produktu 445P08</v>
      </c>
      <c r="J929" s="6" t="str">
        <f>_xlfn.CONCAT("VE-",Tabela10[[#This Row],[KOD_PRODUKTU]])</f>
        <v>VE-445P08</v>
      </c>
    </row>
    <row r="930" spans="1:10" x14ac:dyDescent="0.25">
      <c r="A930" s="7" t="s">
        <v>2219</v>
      </c>
      <c r="B930" s="6" t="s">
        <v>2220</v>
      </c>
      <c r="C930" s="7" t="s">
        <v>41</v>
      </c>
      <c r="D930" s="6" t="s">
        <v>42</v>
      </c>
      <c r="E930" s="6" t="s">
        <v>43</v>
      </c>
      <c r="F930" s="6" t="s">
        <v>5</v>
      </c>
      <c r="G930" s="6" t="s">
        <v>227</v>
      </c>
      <c r="H930" s="6">
        <v>0.01</v>
      </c>
      <c r="I930" s="6" t="str">
        <f>_xlfn.CONCAT("Art. złączny do produktu ",Tabela10[[#This Row],[KOD_PRODUKTU]])</f>
        <v>Art. złączny do produktu 445P08</v>
      </c>
      <c r="J930" s="6" t="str">
        <f>_xlfn.CONCAT("VE-",Tabela10[[#This Row],[KOD_PRODUKTU]])</f>
        <v>VE-445P08</v>
      </c>
    </row>
    <row r="931" spans="1:10" x14ac:dyDescent="0.25">
      <c r="A931" s="1" t="s">
        <v>2219</v>
      </c>
      <c r="B931" t="s">
        <v>2220</v>
      </c>
      <c r="C931" s="1" t="s">
        <v>491</v>
      </c>
      <c r="D931" t="s">
        <v>492</v>
      </c>
      <c r="E931" t="s">
        <v>493</v>
      </c>
      <c r="F931" t="s">
        <v>121</v>
      </c>
      <c r="G931" t="s">
        <v>92</v>
      </c>
      <c r="H931">
        <v>13.7</v>
      </c>
      <c r="I931" s="6" t="str">
        <f>_xlfn.CONCAT("Art. złączny do produktu ",Tabela10[[#This Row],[KOD_PRODUKTU]])</f>
        <v>Art. złączny do produktu 445P08</v>
      </c>
      <c r="J931" s="6" t="str">
        <f>_xlfn.CONCAT("VE-",Tabela10[[#This Row],[KOD_PRODUKTU]])</f>
        <v>VE-445P08</v>
      </c>
    </row>
    <row r="932" spans="1:10" x14ac:dyDescent="0.25">
      <c r="A932" s="7" t="s">
        <v>2219</v>
      </c>
      <c r="B932" s="6" t="s">
        <v>2220</v>
      </c>
      <c r="C932" s="7" t="s">
        <v>494</v>
      </c>
      <c r="D932" s="6" t="s">
        <v>495</v>
      </c>
      <c r="E932" s="6" t="s">
        <v>496</v>
      </c>
      <c r="F932" s="6" t="s">
        <v>121</v>
      </c>
      <c r="G932" s="6" t="s">
        <v>50</v>
      </c>
      <c r="H932" s="6">
        <v>17.45</v>
      </c>
      <c r="I932" s="6" t="str">
        <f>_xlfn.CONCAT("Art. złączny do produktu ",Tabela10[[#This Row],[KOD_PRODUKTU]])</f>
        <v>Art. złączny do produktu 445P08</v>
      </c>
      <c r="J932" s="6" t="str">
        <f>_xlfn.CONCAT("VE-",Tabela10[[#This Row],[KOD_PRODUKTU]])</f>
        <v>VE-445P08</v>
      </c>
    </row>
    <row r="933" spans="1:10" x14ac:dyDescent="0.25">
      <c r="A933" s="1" t="s">
        <v>2219</v>
      </c>
      <c r="B933" t="s">
        <v>2220</v>
      </c>
      <c r="C933" s="1" t="s">
        <v>497</v>
      </c>
      <c r="D933" t="s">
        <v>498</v>
      </c>
      <c r="E933" t="s">
        <v>496</v>
      </c>
      <c r="F933" t="s">
        <v>121</v>
      </c>
      <c r="G933" t="s">
        <v>50</v>
      </c>
      <c r="H933">
        <v>17.45</v>
      </c>
      <c r="I933" s="6" t="str">
        <f>_xlfn.CONCAT("Art. złączny do produktu ",Tabela10[[#This Row],[KOD_PRODUKTU]])</f>
        <v>Art. złączny do produktu 445P08</v>
      </c>
      <c r="J933" s="6" t="str">
        <f>_xlfn.CONCAT("VE-",Tabela10[[#This Row],[KOD_PRODUKTU]])</f>
        <v>VE-445P08</v>
      </c>
    </row>
    <row r="934" spans="1:10" x14ac:dyDescent="0.25">
      <c r="A934" s="7" t="s">
        <v>2219</v>
      </c>
      <c r="B934" s="6" t="s">
        <v>2220</v>
      </c>
      <c r="C934" s="7" t="s">
        <v>499</v>
      </c>
      <c r="D934" s="6" t="s">
        <v>500</v>
      </c>
      <c r="E934" s="6" t="s">
        <v>501</v>
      </c>
      <c r="F934" s="6" t="s">
        <v>121</v>
      </c>
      <c r="G934" s="6" t="s">
        <v>50</v>
      </c>
      <c r="H934" s="6">
        <v>4.5</v>
      </c>
      <c r="I934" s="6" t="str">
        <f>_xlfn.CONCAT("Art. złączny do produktu ",Tabela10[[#This Row],[KOD_PRODUKTU]])</f>
        <v>Art. złączny do produktu 445P08</v>
      </c>
      <c r="J934" s="6" t="str">
        <f>_xlfn.CONCAT("VE-",Tabela10[[#This Row],[KOD_PRODUKTU]])</f>
        <v>VE-445P08</v>
      </c>
    </row>
    <row r="935" spans="1:10" x14ac:dyDescent="0.25">
      <c r="A935" s="1" t="s">
        <v>2219</v>
      </c>
      <c r="B935" t="s">
        <v>2220</v>
      </c>
      <c r="C935" s="1" t="s">
        <v>7</v>
      </c>
      <c r="D935" t="s">
        <v>8</v>
      </c>
      <c r="E935" t="s">
        <v>9</v>
      </c>
      <c r="F935" t="s">
        <v>10</v>
      </c>
      <c r="G935" t="s">
        <v>2223</v>
      </c>
      <c r="H935">
        <v>78.599999999999994</v>
      </c>
      <c r="I935" s="6" t="str">
        <f>_xlfn.CONCAT("Art. złączny do produktu ",Tabela10[[#This Row],[KOD_PRODUKTU]])</f>
        <v>Art. złączny do produktu 445P08</v>
      </c>
      <c r="J935" s="6" t="str">
        <f>_xlfn.CONCAT("VE-",Tabela10[[#This Row],[KOD_PRODUKTU]])</f>
        <v>VE-445P08</v>
      </c>
    </row>
    <row r="936" spans="1:10" x14ac:dyDescent="0.25">
      <c r="A936" s="7" t="s">
        <v>2224</v>
      </c>
      <c r="B936" s="6" t="s">
        <v>2225</v>
      </c>
      <c r="C936" s="7" t="s">
        <v>507</v>
      </c>
      <c r="D936" s="6" t="s">
        <v>508</v>
      </c>
      <c r="E936" s="6" t="s">
        <v>509</v>
      </c>
      <c r="F936" s="6" t="s">
        <v>5</v>
      </c>
      <c r="G936" s="6" t="s">
        <v>2226</v>
      </c>
      <c r="H936" s="6">
        <v>6.85</v>
      </c>
      <c r="I936" s="6" t="str">
        <f>_xlfn.CONCAT("Art. złączny do produktu ",Tabela10[[#This Row],[KOD_PRODUKTU]])</f>
        <v>Art. złączny do produktu 445P09</v>
      </c>
      <c r="J936" s="6" t="str">
        <f>_xlfn.CONCAT("VE-",Tabela10[[#This Row],[KOD_PRODUKTU]])</f>
        <v>VE-445P09</v>
      </c>
    </row>
    <row r="937" spans="1:10" x14ac:dyDescent="0.25">
      <c r="A937" s="1" t="s">
        <v>2224</v>
      </c>
      <c r="B937" t="s">
        <v>2225</v>
      </c>
      <c r="C937" s="1" t="s">
        <v>511</v>
      </c>
      <c r="D937" t="s">
        <v>512</v>
      </c>
      <c r="E937" t="s">
        <v>513</v>
      </c>
      <c r="F937" t="s">
        <v>39</v>
      </c>
      <c r="G937" t="s">
        <v>1425</v>
      </c>
      <c r="H937">
        <v>0.5</v>
      </c>
      <c r="I937" s="6" t="str">
        <f>_xlfn.CONCAT("Art. złączny do produktu ",Tabela10[[#This Row],[KOD_PRODUKTU]])</f>
        <v>Art. złączny do produktu 445P09</v>
      </c>
      <c r="J937" s="6" t="str">
        <f>_xlfn.CONCAT("VE-",Tabela10[[#This Row],[KOD_PRODUKTU]])</f>
        <v>VE-445P09</v>
      </c>
    </row>
    <row r="938" spans="1:10" x14ac:dyDescent="0.25">
      <c r="A938" s="7" t="s">
        <v>2224</v>
      </c>
      <c r="B938" s="6" t="s">
        <v>2225</v>
      </c>
      <c r="C938" s="7" t="s">
        <v>514</v>
      </c>
      <c r="D938" s="6" t="s">
        <v>515</v>
      </c>
      <c r="E938" s="6" t="s">
        <v>516</v>
      </c>
      <c r="F938" s="6" t="s">
        <v>121</v>
      </c>
      <c r="G938" s="6" t="s">
        <v>50</v>
      </c>
      <c r="H938" s="6">
        <v>0.27</v>
      </c>
      <c r="I938" s="6" t="str">
        <f>_xlfn.CONCAT("Art. złączny do produktu ",Tabela10[[#This Row],[KOD_PRODUKTU]])</f>
        <v>Art. złączny do produktu 445P09</v>
      </c>
      <c r="J938" s="6" t="str">
        <f>_xlfn.CONCAT("VE-",Tabela10[[#This Row],[KOD_PRODUKTU]])</f>
        <v>VE-445P09</v>
      </c>
    </row>
    <row r="939" spans="1:10" x14ac:dyDescent="0.25">
      <c r="A939" s="1" t="s">
        <v>2224</v>
      </c>
      <c r="B939" t="s">
        <v>2225</v>
      </c>
      <c r="C939" s="1" t="s">
        <v>41</v>
      </c>
      <c r="D939" t="s">
        <v>42</v>
      </c>
      <c r="E939" t="s">
        <v>43</v>
      </c>
      <c r="F939" t="s">
        <v>5</v>
      </c>
      <c r="G939" t="s">
        <v>1900</v>
      </c>
      <c r="H939">
        <v>0.03</v>
      </c>
      <c r="I939" s="6" t="str">
        <f>_xlfn.CONCAT("Art. złączny do produktu ",Tabela10[[#This Row],[KOD_PRODUKTU]])</f>
        <v>Art. złączny do produktu 445P09</v>
      </c>
      <c r="J939" s="6" t="str">
        <f>_xlfn.CONCAT("VE-",Tabela10[[#This Row],[KOD_PRODUKTU]])</f>
        <v>VE-445P09</v>
      </c>
    </row>
    <row r="940" spans="1:10" x14ac:dyDescent="0.25">
      <c r="A940" s="7" t="s">
        <v>2224</v>
      </c>
      <c r="B940" s="6" t="s">
        <v>2225</v>
      </c>
      <c r="C940" s="7" t="s">
        <v>517</v>
      </c>
      <c r="D940" s="6" t="s">
        <v>518</v>
      </c>
      <c r="E940" s="6" t="s">
        <v>519</v>
      </c>
      <c r="F940" s="6" t="s">
        <v>121</v>
      </c>
      <c r="G940" s="6" t="s">
        <v>92</v>
      </c>
      <c r="H940" s="6">
        <v>11.1</v>
      </c>
      <c r="I940" s="6" t="str">
        <f>_xlfn.CONCAT("Art. złączny do produktu ",Tabela10[[#This Row],[KOD_PRODUKTU]])</f>
        <v>Art. złączny do produktu 445P09</v>
      </c>
      <c r="J940" s="6" t="str">
        <f>_xlfn.CONCAT("VE-",Tabela10[[#This Row],[KOD_PRODUKTU]])</f>
        <v>VE-445P09</v>
      </c>
    </row>
    <row r="941" spans="1:10" x14ac:dyDescent="0.25">
      <c r="A941" s="1" t="s">
        <v>2224</v>
      </c>
      <c r="B941" t="s">
        <v>2225</v>
      </c>
      <c r="C941" s="1" t="s">
        <v>520</v>
      </c>
      <c r="D941" t="s">
        <v>521</v>
      </c>
      <c r="E941" t="s">
        <v>522</v>
      </c>
      <c r="F941" t="s">
        <v>121</v>
      </c>
      <c r="G941" t="s">
        <v>50</v>
      </c>
      <c r="H941">
        <v>3.45</v>
      </c>
      <c r="I941" s="6" t="str">
        <f>_xlfn.CONCAT("Art. złączny do produktu ",Tabela10[[#This Row],[KOD_PRODUKTU]])</f>
        <v>Art. złączny do produktu 445P09</v>
      </c>
      <c r="J941" s="6" t="str">
        <f>_xlfn.CONCAT("VE-",Tabela10[[#This Row],[KOD_PRODUKTU]])</f>
        <v>VE-445P09</v>
      </c>
    </row>
    <row r="942" spans="1:10" x14ac:dyDescent="0.25">
      <c r="A942" s="7" t="s">
        <v>2224</v>
      </c>
      <c r="B942" s="6" t="s">
        <v>2225</v>
      </c>
      <c r="C942" s="7" t="s">
        <v>7</v>
      </c>
      <c r="D942" s="6" t="s">
        <v>8</v>
      </c>
      <c r="E942" s="6" t="s">
        <v>9</v>
      </c>
      <c r="F942" s="6" t="s">
        <v>10</v>
      </c>
      <c r="G942" s="6" t="s">
        <v>504</v>
      </c>
      <c r="H942" s="6">
        <v>32</v>
      </c>
      <c r="I942" s="6" t="str">
        <f>_xlfn.CONCAT("Art. złączny do produktu ",Tabela10[[#This Row],[KOD_PRODUKTU]])</f>
        <v>Art. złączny do produktu 445P09</v>
      </c>
      <c r="J942" s="6" t="str">
        <f>_xlfn.CONCAT("VE-",Tabela10[[#This Row],[KOD_PRODUKTU]])</f>
        <v>VE-445P09</v>
      </c>
    </row>
    <row r="943" spans="1:10" x14ac:dyDescent="0.25">
      <c r="A943" s="1" t="s">
        <v>2227</v>
      </c>
      <c r="B943" t="s">
        <v>2228</v>
      </c>
      <c r="C943" s="1" t="s">
        <v>471</v>
      </c>
      <c r="D943" t="s">
        <v>472</v>
      </c>
      <c r="E943" t="s">
        <v>473</v>
      </c>
      <c r="F943" t="s">
        <v>5</v>
      </c>
      <c r="G943" t="s">
        <v>2229</v>
      </c>
      <c r="H943">
        <v>22.7</v>
      </c>
      <c r="I943" s="6" t="str">
        <f>_xlfn.CONCAT("Art. złączny do produktu ",Tabela10[[#This Row],[KOD_PRODUKTU]])</f>
        <v>Art. złączny do produktu 445P11</v>
      </c>
      <c r="J943" s="6" t="str">
        <f>_xlfn.CONCAT("VE-",Tabela10[[#This Row],[KOD_PRODUKTU]])</f>
        <v>VE-445P11</v>
      </c>
    </row>
    <row r="944" spans="1:10" x14ac:dyDescent="0.25">
      <c r="A944" s="7" t="s">
        <v>2227</v>
      </c>
      <c r="B944" s="6" t="s">
        <v>2228</v>
      </c>
      <c r="C944" s="7" t="s">
        <v>475</v>
      </c>
      <c r="D944" s="6" t="s">
        <v>476</v>
      </c>
      <c r="E944" s="6" t="s">
        <v>477</v>
      </c>
      <c r="F944" s="6" t="s">
        <v>39</v>
      </c>
      <c r="G944" s="6" t="s">
        <v>478</v>
      </c>
      <c r="H944" s="6">
        <v>0.41</v>
      </c>
      <c r="I944" s="6" t="str">
        <f>_xlfn.CONCAT("Art. złączny do produktu ",Tabela10[[#This Row],[KOD_PRODUKTU]])</f>
        <v>Art. złączny do produktu 445P11</v>
      </c>
      <c r="J944" s="6" t="str">
        <f>_xlfn.CONCAT("VE-",Tabela10[[#This Row],[KOD_PRODUKTU]])</f>
        <v>VE-445P11</v>
      </c>
    </row>
    <row r="945" spans="1:10" x14ac:dyDescent="0.25">
      <c r="A945" s="1" t="s">
        <v>2227</v>
      </c>
      <c r="B945" t="s">
        <v>2228</v>
      </c>
      <c r="C945" s="1" t="s">
        <v>479</v>
      </c>
      <c r="D945" t="s">
        <v>480</v>
      </c>
      <c r="E945" t="s">
        <v>481</v>
      </c>
      <c r="F945" t="s">
        <v>5</v>
      </c>
      <c r="G945" t="s">
        <v>572</v>
      </c>
      <c r="H945">
        <v>0.04</v>
      </c>
      <c r="I945" s="6" t="str">
        <f>_xlfn.CONCAT("Art. złączny do produktu ",Tabela10[[#This Row],[KOD_PRODUKTU]])</f>
        <v>Art. złączny do produktu 445P11</v>
      </c>
      <c r="J945" s="6" t="str">
        <f>_xlfn.CONCAT("VE-",Tabela10[[#This Row],[KOD_PRODUKTU]])</f>
        <v>VE-445P11</v>
      </c>
    </row>
    <row r="946" spans="1:10" x14ac:dyDescent="0.25">
      <c r="A946" s="7" t="s">
        <v>2227</v>
      </c>
      <c r="B946" s="6" t="s">
        <v>2228</v>
      </c>
      <c r="C946" s="7" t="s">
        <v>483</v>
      </c>
      <c r="D946" s="6" t="s">
        <v>484</v>
      </c>
      <c r="E946" s="6" t="s">
        <v>485</v>
      </c>
      <c r="F946" s="6" t="s">
        <v>5</v>
      </c>
      <c r="G946" s="6" t="s">
        <v>528</v>
      </c>
      <c r="H946" s="6">
        <v>0.02</v>
      </c>
      <c r="I946" s="6" t="str">
        <f>_xlfn.CONCAT("Art. złączny do produktu ",Tabela10[[#This Row],[KOD_PRODUKTU]])</f>
        <v>Art. złączny do produktu 445P11</v>
      </c>
      <c r="J946" s="6" t="str">
        <f>_xlfn.CONCAT("VE-",Tabela10[[#This Row],[KOD_PRODUKTU]])</f>
        <v>VE-445P11</v>
      </c>
    </row>
    <row r="947" spans="1:10" x14ac:dyDescent="0.25">
      <c r="A947" s="1" t="s">
        <v>2227</v>
      </c>
      <c r="B947" t="s">
        <v>2228</v>
      </c>
      <c r="C947" s="1" t="s">
        <v>487</v>
      </c>
      <c r="D947" t="s">
        <v>488</v>
      </c>
      <c r="E947" t="s">
        <v>489</v>
      </c>
      <c r="F947" t="s">
        <v>5</v>
      </c>
      <c r="G947" t="s">
        <v>2230</v>
      </c>
      <c r="H947">
        <v>0.28999999999999998</v>
      </c>
      <c r="I947" s="6" t="str">
        <f>_xlfn.CONCAT("Art. złączny do produktu ",Tabela10[[#This Row],[KOD_PRODUKTU]])</f>
        <v>Art. złączny do produktu 445P11</v>
      </c>
      <c r="J947" s="6" t="str">
        <f>_xlfn.CONCAT("VE-",Tabela10[[#This Row],[KOD_PRODUKTU]])</f>
        <v>VE-445P11</v>
      </c>
    </row>
    <row r="948" spans="1:10" x14ac:dyDescent="0.25">
      <c r="A948" s="7" t="s">
        <v>2227</v>
      </c>
      <c r="B948" s="6" t="s">
        <v>2228</v>
      </c>
      <c r="C948" s="7" t="s">
        <v>41</v>
      </c>
      <c r="D948" s="6" t="s">
        <v>42</v>
      </c>
      <c r="E948" s="6" t="s">
        <v>43</v>
      </c>
      <c r="F948" s="6" t="s">
        <v>5</v>
      </c>
      <c r="G948" s="6" t="s">
        <v>2231</v>
      </c>
      <c r="H948" s="6">
        <v>0.04</v>
      </c>
      <c r="I948" s="6" t="str">
        <f>_xlfn.CONCAT("Art. złączny do produktu ",Tabela10[[#This Row],[KOD_PRODUKTU]])</f>
        <v>Art. złączny do produktu 445P11</v>
      </c>
      <c r="J948" s="6" t="str">
        <f>_xlfn.CONCAT("VE-",Tabela10[[#This Row],[KOD_PRODUKTU]])</f>
        <v>VE-445P11</v>
      </c>
    </row>
    <row r="949" spans="1:10" x14ac:dyDescent="0.25">
      <c r="A949" s="1" t="s">
        <v>2227</v>
      </c>
      <c r="B949" t="s">
        <v>2228</v>
      </c>
      <c r="C949" s="1" t="s">
        <v>491</v>
      </c>
      <c r="D949" t="s">
        <v>492</v>
      </c>
      <c r="E949" t="s">
        <v>493</v>
      </c>
      <c r="F949" t="s">
        <v>121</v>
      </c>
      <c r="G949" t="s">
        <v>92</v>
      </c>
      <c r="H949">
        <v>13.7</v>
      </c>
      <c r="I949" s="6" t="str">
        <f>_xlfn.CONCAT("Art. złączny do produktu ",Tabela10[[#This Row],[KOD_PRODUKTU]])</f>
        <v>Art. złączny do produktu 445P11</v>
      </c>
      <c r="J949" s="6" t="str">
        <f>_xlfn.CONCAT("VE-",Tabela10[[#This Row],[KOD_PRODUKTU]])</f>
        <v>VE-445P11</v>
      </c>
    </row>
    <row r="950" spans="1:10" x14ac:dyDescent="0.25">
      <c r="A950" s="7" t="s">
        <v>2227</v>
      </c>
      <c r="B950" s="6" t="s">
        <v>2228</v>
      </c>
      <c r="C950" s="7" t="s">
        <v>494</v>
      </c>
      <c r="D950" s="6" t="s">
        <v>495</v>
      </c>
      <c r="E950" s="6" t="s">
        <v>496</v>
      </c>
      <c r="F950" s="6" t="s">
        <v>121</v>
      </c>
      <c r="G950" s="6" t="s">
        <v>50</v>
      </c>
      <c r="H950" s="6">
        <v>17.45</v>
      </c>
      <c r="I950" s="6" t="str">
        <f>_xlfn.CONCAT("Art. złączny do produktu ",Tabela10[[#This Row],[KOD_PRODUKTU]])</f>
        <v>Art. złączny do produktu 445P11</v>
      </c>
      <c r="J950" s="6" t="str">
        <f>_xlfn.CONCAT("VE-",Tabela10[[#This Row],[KOD_PRODUKTU]])</f>
        <v>VE-445P11</v>
      </c>
    </row>
    <row r="951" spans="1:10" x14ac:dyDescent="0.25">
      <c r="A951" s="1" t="s">
        <v>2227</v>
      </c>
      <c r="B951" t="s">
        <v>2228</v>
      </c>
      <c r="C951" s="1" t="s">
        <v>497</v>
      </c>
      <c r="D951" t="s">
        <v>498</v>
      </c>
      <c r="E951" t="s">
        <v>496</v>
      </c>
      <c r="F951" t="s">
        <v>121</v>
      </c>
      <c r="G951" t="s">
        <v>50</v>
      </c>
      <c r="H951">
        <v>17.45</v>
      </c>
      <c r="I951" s="6" t="str">
        <f>_xlfn.CONCAT("Art. złączny do produktu ",Tabela10[[#This Row],[KOD_PRODUKTU]])</f>
        <v>Art. złączny do produktu 445P11</v>
      </c>
      <c r="J951" s="6" t="str">
        <f>_xlfn.CONCAT("VE-",Tabela10[[#This Row],[KOD_PRODUKTU]])</f>
        <v>VE-445P11</v>
      </c>
    </row>
    <row r="952" spans="1:10" x14ac:dyDescent="0.25">
      <c r="A952" s="7" t="s">
        <v>2227</v>
      </c>
      <c r="B952" s="6" t="s">
        <v>2228</v>
      </c>
      <c r="C952" s="7" t="s">
        <v>499</v>
      </c>
      <c r="D952" s="6" t="s">
        <v>500</v>
      </c>
      <c r="E952" s="6" t="s">
        <v>501</v>
      </c>
      <c r="F952" s="6" t="s">
        <v>121</v>
      </c>
      <c r="G952" s="6" t="s">
        <v>50</v>
      </c>
      <c r="H952" s="6">
        <v>4.5</v>
      </c>
      <c r="I952" s="6" t="str">
        <f>_xlfn.CONCAT("Art. złączny do produktu ",Tabela10[[#This Row],[KOD_PRODUKTU]])</f>
        <v>Art. złączny do produktu 445P11</v>
      </c>
      <c r="J952" s="6" t="str">
        <f>_xlfn.CONCAT("VE-",Tabela10[[#This Row],[KOD_PRODUKTU]])</f>
        <v>VE-445P11</v>
      </c>
    </row>
    <row r="953" spans="1:10" x14ac:dyDescent="0.25">
      <c r="A953" s="1" t="s">
        <v>2227</v>
      </c>
      <c r="B953" t="s">
        <v>2228</v>
      </c>
      <c r="C953" s="1" t="s">
        <v>7</v>
      </c>
      <c r="D953" t="s">
        <v>8</v>
      </c>
      <c r="E953" t="s">
        <v>9</v>
      </c>
      <c r="F953" t="s">
        <v>10</v>
      </c>
      <c r="G953" t="s">
        <v>2205</v>
      </c>
      <c r="H953">
        <v>72.599999999999994</v>
      </c>
      <c r="I953" s="6" t="str">
        <f>_xlfn.CONCAT("Art. złączny do produktu ",Tabela10[[#This Row],[KOD_PRODUKTU]])</f>
        <v>Art. złączny do produktu 445P11</v>
      </c>
      <c r="J953" s="6" t="str">
        <f>_xlfn.CONCAT("VE-",Tabela10[[#This Row],[KOD_PRODUKTU]])</f>
        <v>VE-445P11</v>
      </c>
    </row>
    <row r="954" spans="1:10" x14ac:dyDescent="0.25">
      <c r="A954" s="7" t="s">
        <v>2232</v>
      </c>
      <c r="B954" s="6" t="s">
        <v>2233</v>
      </c>
      <c r="C954" s="7" t="s">
        <v>507</v>
      </c>
      <c r="D954" s="6" t="s">
        <v>508</v>
      </c>
      <c r="E954" s="6" t="s">
        <v>509</v>
      </c>
      <c r="F954" s="6" t="s">
        <v>5</v>
      </c>
      <c r="G954" s="6" t="s">
        <v>2234</v>
      </c>
      <c r="H954" s="6">
        <v>5.0999999999999996</v>
      </c>
      <c r="I954" s="6" t="str">
        <f>_xlfn.CONCAT("Art. złączny do produktu ",Tabela10[[#This Row],[KOD_PRODUKTU]])</f>
        <v>Art. złączny do produktu 445P12</v>
      </c>
      <c r="J954" s="6" t="str">
        <f>_xlfn.CONCAT("VE-",Tabela10[[#This Row],[KOD_PRODUKTU]])</f>
        <v>VE-445P12</v>
      </c>
    </row>
    <row r="955" spans="1:10" x14ac:dyDescent="0.25">
      <c r="A955" s="1" t="s">
        <v>2232</v>
      </c>
      <c r="B955" t="s">
        <v>2233</v>
      </c>
      <c r="C955" s="1" t="s">
        <v>511</v>
      </c>
      <c r="D955" t="s">
        <v>512</v>
      </c>
      <c r="E955" t="s">
        <v>513</v>
      </c>
      <c r="F955" t="s">
        <v>39</v>
      </c>
      <c r="G955" t="s">
        <v>478</v>
      </c>
      <c r="H955">
        <v>0.44</v>
      </c>
      <c r="I955" s="6" t="str">
        <f>_xlfn.CONCAT("Art. złączny do produktu ",Tabela10[[#This Row],[KOD_PRODUKTU]])</f>
        <v>Art. złączny do produktu 445P12</v>
      </c>
      <c r="J955" s="6" t="str">
        <f>_xlfn.CONCAT("VE-",Tabela10[[#This Row],[KOD_PRODUKTU]])</f>
        <v>VE-445P12</v>
      </c>
    </row>
    <row r="956" spans="1:10" x14ac:dyDescent="0.25">
      <c r="A956" s="7" t="s">
        <v>2232</v>
      </c>
      <c r="B956" s="6" t="s">
        <v>2233</v>
      </c>
      <c r="C956" s="7" t="s">
        <v>514</v>
      </c>
      <c r="D956" s="6" t="s">
        <v>515</v>
      </c>
      <c r="E956" s="6" t="s">
        <v>516</v>
      </c>
      <c r="F956" s="6" t="s">
        <v>121</v>
      </c>
      <c r="G956" s="6" t="s">
        <v>50</v>
      </c>
      <c r="H956" s="6">
        <v>0.27</v>
      </c>
      <c r="I956" s="6" t="str">
        <f>_xlfn.CONCAT("Art. złączny do produktu ",Tabela10[[#This Row],[KOD_PRODUKTU]])</f>
        <v>Art. złączny do produktu 445P12</v>
      </c>
      <c r="J956" s="6" t="str">
        <f>_xlfn.CONCAT("VE-",Tabela10[[#This Row],[KOD_PRODUKTU]])</f>
        <v>VE-445P12</v>
      </c>
    </row>
    <row r="957" spans="1:10" x14ac:dyDescent="0.25">
      <c r="A957" s="1" t="s">
        <v>2232</v>
      </c>
      <c r="B957" t="s">
        <v>2233</v>
      </c>
      <c r="C957" s="1" t="s">
        <v>41</v>
      </c>
      <c r="D957" t="s">
        <v>42</v>
      </c>
      <c r="E957" t="s">
        <v>43</v>
      </c>
      <c r="F957" t="s">
        <v>5</v>
      </c>
      <c r="G957" t="s">
        <v>2231</v>
      </c>
      <c r="H957">
        <v>0.04</v>
      </c>
      <c r="I957" s="6" t="str">
        <f>_xlfn.CONCAT("Art. złączny do produktu ",Tabela10[[#This Row],[KOD_PRODUKTU]])</f>
        <v>Art. złączny do produktu 445P12</v>
      </c>
      <c r="J957" s="6" t="str">
        <f>_xlfn.CONCAT("VE-",Tabela10[[#This Row],[KOD_PRODUKTU]])</f>
        <v>VE-445P12</v>
      </c>
    </row>
    <row r="958" spans="1:10" x14ac:dyDescent="0.25">
      <c r="A958" s="7" t="s">
        <v>2232</v>
      </c>
      <c r="B958" s="6" t="s">
        <v>2233</v>
      </c>
      <c r="C958" s="7" t="s">
        <v>517</v>
      </c>
      <c r="D958" s="6" t="s">
        <v>518</v>
      </c>
      <c r="E958" s="6" t="s">
        <v>519</v>
      </c>
      <c r="F958" s="6" t="s">
        <v>121</v>
      </c>
      <c r="G958" s="6" t="s">
        <v>92</v>
      </c>
      <c r="H958" s="6">
        <v>11.1</v>
      </c>
      <c r="I958" s="6" t="str">
        <f>_xlfn.CONCAT("Art. złączny do produktu ",Tabela10[[#This Row],[KOD_PRODUKTU]])</f>
        <v>Art. złączny do produktu 445P12</v>
      </c>
      <c r="J958" s="6" t="str">
        <f>_xlfn.CONCAT("VE-",Tabela10[[#This Row],[KOD_PRODUKTU]])</f>
        <v>VE-445P12</v>
      </c>
    </row>
    <row r="959" spans="1:10" x14ac:dyDescent="0.25">
      <c r="A959" s="1" t="s">
        <v>2232</v>
      </c>
      <c r="B959" t="s">
        <v>2233</v>
      </c>
      <c r="C959" s="1" t="s">
        <v>520</v>
      </c>
      <c r="D959" t="s">
        <v>521</v>
      </c>
      <c r="E959" t="s">
        <v>522</v>
      </c>
      <c r="F959" t="s">
        <v>121</v>
      </c>
      <c r="G959" t="s">
        <v>50</v>
      </c>
      <c r="H959">
        <v>3.45</v>
      </c>
      <c r="I959" s="6" t="str">
        <f>_xlfn.CONCAT("Art. złączny do produktu ",Tabela10[[#This Row],[KOD_PRODUKTU]])</f>
        <v>Art. złączny do produktu 445P12</v>
      </c>
      <c r="J959" s="6" t="str">
        <f>_xlfn.CONCAT("VE-",Tabela10[[#This Row],[KOD_PRODUKTU]])</f>
        <v>VE-445P12</v>
      </c>
    </row>
    <row r="960" spans="1:10" x14ac:dyDescent="0.25">
      <c r="A960" s="7" t="s">
        <v>2232</v>
      </c>
      <c r="B960" s="6" t="s">
        <v>2233</v>
      </c>
      <c r="C960" s="7" t="s">
        <v>7</v>
      </c>
      <c r="D960" s="6" t="s">
        <v>8</v>
      </c>
      <c r="E960" s="6" t="s">
        <v>9</v>
      </c>
      <c r="F960" s="6" t="s">
        <v>10</v>
      </c>
      <c r="G960" s="6" t="s">
        <v>2235</v>
      </c>
      <c r="H960" s="6">
        <v>36</v>
      </c>
      <c r="I960" s="6" t="str">
        <f>_xlfn.CONCAT("Art. złączny do produktu ",Tabela10[[#This Row],[KOD_PRODUKTU]])</f>
        <v>Art. złączny do produktu 445P12</v>
      </c>
      <c r="J960" s="6" t="str">
        <f>_xlfn.CONCAT("VE-",Tabela10[[#This Row],[KOD_PRODUKTU]])</f>
        <v>VE-445P12</v>
      </c>
    </row>
    <row r="961" spans="1:10" x14ac:dyDescent="0.25">
      <c r="A961" s="1" t="s">
        <v>2236</v>
      </c>
      <c r="B961" t="s">
        <v>2237</v>
      </c>
      <c r="C961" s="1" t="s">
        <v>507</v>
      </c>
      <c r="D961" t="s">
        <v>508</v>
      </c>
      <c r="E961" t="s">
        <v>578</v>
      </c>
      <c r="F961" t="s">
        <v>5</v>
      </c>
      <c r="G961" t="s">
        <v>2238</v>
      </c>
      <c r="H961">
        <v>2.73</v>
      </c>
      <c r="I961" s="6" t="str">
        <f>_xlfn.CONCAT("Art. złączny do produktu ",Tabela10[[#This Row],[KOD_PRODUKTU]])</f>
        <v>Art. złączny do produktu 445P19</v>
      </c>
      <c r="J961" s="6" t="str">
        <f>_xlfn.CONCAT("VE-",Tabela10[[#This Row],[KOD_PRODUKTU]])</f>
        <v>VE-445P19</v>
      </c>
    </row>
    <row r="962" spans="1:10" x14ac:dyDescent="0.25">
      <c r="A962" s="7" t="s">
        <v>2236</v>
      </c>
      <c r="B962" s="6" t="s">
        <v>2237</v>
      </c>
      <c r="C962" s="7" t="s">
        <v>511</v>
      </c>
      <c r="D962" s="6" t="s">
        <v>512</v>
      </c>
      <c r="E962" s="6" t="s">
        <v>580</v>
      </c>
      <c r="F962" s="6" t="s">
        <v>39</v>
      </c>
      <c r="G962" s="6" t="s">
        <v>478</v>
      </c>
      <c r="H962" s="6">
        <v>0.6</v>
      </c>
      <c r="I962" s="6" t="str">
        <f>_xlfn.CONCAT("Art. złączny do produktu ",Tabela10[[#This Row],[KOD_PRODUKTU]])</f>
        <v>Art. złączny do produktu 445P19</v>
      </c>
      <c r="J962" s="6" t="str">
        <f>_xlfn.CONCAT("VE-",Tabela10[[#This Row],[KOD_PRODUKTU]])</f>
        <v>VE-445P19</v>
      </c>
    </row>
    <row r="963" spans="1:10" x14ac:dyDescent="0.25">
      <c r="A963" s="1" t="s">
        <v>2236</v>
      </c>
      <c r="B963" t="s">
        <v>2237</v>
      </c>
      <c r="C963" s="1" t="s">
        <v>514</v>
      </c>
      <c r="D963" t="s">
        <v>515</v>
      </c>
      <c r="E963" t="s">
        <v>516</v>
      </c>
      <c r="F963" t="s">
        <v>121</v>
      </c>
      <c r="G963" t="s">
        <v>50</v>
      </c>
      <c r="H963">
        <v>0.27</v>
      </c>
      <c r="I963" s="6" t="str">
        <f>_xlfn.CONCAT("Art. złączny do produktu ",Tabela10[[#This Row],[KOD_PRODUKTU]])</f>
        <v>Art. złączny do produktu 445P19</v>
      </c>
      <c r="J963" s="6" t="str">
        <f>_xlfn.CONCAT("VE-",Tabela10[[#This Row],[KOD_PRODUKTU]])</f>
        <v>VE-445P19</v>
      </c>
    </row>
    <row r="964" spans="1:10" x14ac:dyDescent="0.25">
      <c r="A964" s="7" t="s">
        <v>2236</v>
      </c>
      <c r="B964" s="6" t="s">
        <v>2237</v>
      </c>
      <c r="C964" s="7" t="s">
        <v>517</v>
      </c>
      <c r="D964" s="6" t="s">
        <v>518</v>
      </c>
      <c r="E964" s="6" t="s">
        <v>519</v>
      </c>
      <c r="F964" s="6" t="s">
        <v>121</v>
      </c>
      <c r="G964" s="6" t="s">
        <v>92</v>
      </c>
      <c r="H964" s="6">
        <v>11.1</v>
      </c>
      <c r="I964" s="6" t="str">
        <f>_xlfn.CONCAT("Art. złączny do produktu ",Tabela10[[#This Row],[KOD_PRODUKTU]])</f>
        <v>Art. złączny do produktu 445P19</v>
      </c>
      <c r="J964" s="6" t="str">
        <f>_xlfn.CONCAT("VE-",Tabela10[[#This Row],[KOD_PRODUKTU]])</f>
        <v>VE-445P19</v>
      </c>
    </row>
    <row r="965" spans="1:10" x14ac:dyDescent="0.25">
      <c r="A965" s="1" t="s">
        <v>2236</v>
      </c>
      <c r="B965" t="s">
        <v>2237</v>
      </c>
      <c r="C965" s="1" t="s">
        <v>520</v>
      </c>
      <c r="D965" t="s">
        <v>521</v>
      </c>
      <c r="E965" t="s">
        <v>522</v>
      </c>
      <c r="F965" t="s">
        <v>121</v>
      </c>
      <c r="G965" t="s">
        <v>50</v>
      </c>
      <c r="H965">
        <v>3.45</v>
      </c>
      <c r="I965" s="6" t="str">
        <f>_xlfn.CONCAT("Art. złączny do produktu ",Tabela10[[#This Row],[KOD_PRODUKTU]])</f>
        <v>Art. złączny do produktu 445P19</v>
      </c>
      <c r="J965" s="6" t="str">
        <f>_xlfn.CONCAT("VE-",Tabela10[[#This Row],[KOD_PRODUKTU]])</f>
        <v>VE-445P19</v>
      </c>
    </row>
    <row r="966" spans="1:10" x14ac:dyDescent="0.25">
      <c r="A966" s="7" t="s">
        <v>2236</v>
      </c>
      <c r="B966" s="6" t="s">
        <v>2237</v>
      </c>
      <c r="C966" s="7" t="s">
        <v>541</v>
      </c>
      <c r="D966" s="6" t="s">
        <v>542</v>
      </c>
      <c r="E966" s="6" t="s">
        <v>9</v>
      </c>
      <c r="F966" s="6" t="s">
        <v>10</v>
      </c>
      <c r="G966" s="6" t="s">
        <v>607</v>
      </c>
      <c r="H966" s="6">
        <v>18.399999999999999</v>
      </c>
      <c r="I966" s="6" t="str">
        <f>_xlfn.CONCAT("Art. złączny do produktu ",Tabela10[[#This Row],[KOD_PRODUKTU]])</f>
        <v>Art. złączny do produktu 445P19</v>
      </c>
      <c r="J966" s="6" t="str">
        <f>_xlfn.CONCAT("VE-",Tabela10[[#This Row],[KOD_PRODUKTU]])</f>
        <v>VE-445P19</v>
      </c>
    </row>
    <row r="967" spans="1:10" x14ac:dyDescent="0.25">
      <c r="A967" s="1" t="s">
        <v>2239</v>
      </c>
      <c r="B967" t="s">
        <v>2240</v>
      </c>
      <c r="C967" s="1" t="s">
        <v>507</v>
      </c>
      <c r="D967" t="s">
        <v>508</v>
      </c>
      <c r="E967" t="s">
        <v>578</v>
      </c>
      <c r="F967" t="s">
        <v>5</v>
      </c>
      <c r="G967" t="s">
        <v>2241</v>
      </c>
      <c r="H967">
        <v>4.4000000000000004</v>
      </c>
      <c r="I967" s="6" t="str">
        <f>_xlfn.CONCAT("Art. złączny do produktu ",Tabela10[[#This Row],[KOD_PRODUKTU]])</f>
        <v>Art. złączny do produktu 445P21</v>
      </c>
      <c r="J967" s="6" t="str">
        <f>_xlfn.CONCAT("VE-",Tabela10[[#This Row],[KOD_PRODUKTU]])</f>
        <v>VE-445P21</v>
      </c>
    </row>
    <row r="968" spans="1:10" x14ac:dyDescent="0.25">
      <c r="A968" s="7" t="s">
        <v>2239</v>
      </c>
      <c r="B968" s="6" t="s">
        <v>2240</v>
      </c>
      <c r="C968" s="7" t="s">
        <v>1907</v>
      </c>
      <c r="D968" s="6" t="s">
        <v>1908</v>
      </c>
      <c r="E968" s="6" t="s">
        <v>1909</v>
      </c>
      <c r="F968" s="6" t="s">
        <v>39</v>
      </c>
      <c r="G968" s="6" t="s">
        <v>478</v>
      </c>
      <c r="H968" s="6">
        <v>0.91</v>
      </c>
      <c r="I968" s="6" t="str">
        <f>_xlfn.CONCAT("Art. złączny do produktu ",Tabela10[[#This Row],[KOD_PRODUKTU]])</f>
        <v>Art. złączny do produktu 445P21</v>
      </c>
      <c r="J968" s="6" t="str">
        <f>_xlfn.CONCAT("VE-",Tabela10[[#This Row],[KOD_PRODUKTU]])</f>
        <v>VE-445P21</v>
      </c>
    </row>
    <row r="969" spans="1:10" x14ac:dyDescent="0.25">
      <c r="A969" s="1" t="s">
        <v>2239</v>
      </c>
      <c r="B969" t="s">
        <v>2240</v>
      </c>
      <c r="C969" s="1" t="s">
        <v>2242</v>
      </c>
      <c r="D969" t="s">
        <v>2243</v>
      </c>
      <c r="E969" t="s">
        <v>557</v>
      </c>
      <c r="F969" t="s">
        <v>39</v>
      </c>
      <c r="G969" t="s">
        <v>605</v>
      </c>
      <c r="H969">
        <v>0.34</v>
      </c>
      <c r="I969" s="6" t="str">
        <f>_xlfn.CONCAT("Art. złączny do produktu ",Tabela10[[#This Row],[KOD_PRODUKTU]])</f>
        <v>Art. złączny do produktu 445P21</v>
      </c>
      <c r="J969" s="6" t="str">
        <f>_xlfn.CONCAT("VE-",Tabela10[[#This Row],[KOD_PRODUKTU]])</f>
        <v>VE-445P21</v>
      </c>
    </row>
    <row r="970" spans="1:10" x14ac:dyDescent="0.25">
      <c r="A970" s="7" t="s">
        <v>2239</v>
      </c>
      <c r="B970" s="6" t="s">
        <v>2240</v>
      </c>
      <c r="C970" s="7" t="s">
        <v>1971</v>
      </c>
      <c r="D970" s="6" t="s">
        <v>1972</v>
      </c>
      <c r="E970" s="6" t="s">
        <v>1964</v>
      </c>
      <c r="F970" s="6" t="s">
        <v>5</v>
      </c>
      <c r="G970" s="6" t="s">
        <v>2244</v>
      </c>
      <c r="H970" s="6">
        <v>0.41</v>
      </c>
      <c r="I970" s="6" t="str">
        <f>_xlfn.CONCAT("Art. złączny do produktu ",Tabela10[[#This Row],[KOD_PRODUKTU]])</f>
        <v>Art. złączny do produktu 445P21</v>
      </c>
      <c r="J970" s="6" t="str">
        <f>_xlfn.CONCAT("VE-",Tabela10[[#This Row],[KOD_PRODUKTU]])</f>
        <v>VE-445P21</v>
      </c>
    </row>
    <row r="971" spans="1:10" x14ac:dyDescent="0.25">
      <c r="A971" s="1" t="s">
        <v>2239</v>
      </c>
      <c r="B971" t="s">
        <v>2240</v>
      </c>
      <c r="C971" s="1" t="s">
        <v>514</v>
      </c>
      <c r="D971" t="s">
        <v>515</v>
      </c>
      <c r="E971" t="s">
        <v>516</v>
      </c>
      <c r="F971" t="s">
        <v>121</v>
      </c>
      <c r="G971" t="s">
        <v>50</v>
      </c>
      <c r="H971">
        <v>0.27</v>
      </c>
      <c r="I971" s="6" t="str">
        <f>_xlfn.CONCAT("Art. złączny do produktu ",Tabela10[[#This Row],[KOD_PRODUKTU]])</f>
        <v>Art. złączny do produktu 445P21</v>
      </c>
      <c r="J971" s="6" t="str">
        <f>_xlfn.CONCAT("VE-",Tabela10[[#This Row],[KOD_PRODUKTU]])</f>
        <v>VE-445P21</v>
      </c>
    </row>
    <row r="972" spans="1:10" x14ac:dyDescent="0.25">
      <c r="A972" s="7" t="s">
        <v>2239</v>
      </c>
      <c r="B972" s="6" t="s">
        <v>2240</v>
      </c>
      <c r="C972" s="7" t="s">
        <v>41</v>
      </c>
      <c r="D972" s="6" t="s">
        <v>42</v>
      </c>
      <c r="E972" s="6" t="s">
        <v>513</v>
      </c>
      <c r="F972" s="6" t="s">
        <v>5</v>
      </c>
      <c r="G972" s="6" t="s">
        <v>2245</v>
      </c>
      <c r="H972" s="6">
        <v>0.04</v>
      </c>
      <c r="I972" s="6" t="str">
        <f>_xlfn.CONCAT("Art. złączny do produktu ",Tabela10[[#This Row],[KOD_PRODUKTU]])</f>
        <v>Art. złączny do produktu 445P21</v>
      </c>
      <c r="J972" s="6" t="str">
        <f>_xlfn.CONCAT("VE-",Tabela10[[#This Row],[KOD_PRODUKTU]])</f>
        <v>VE-445P21</v>
      </c>
    </row>
    <row r="973" spans="1:10" x14ac:dyDescent="0.25">
      <c r="A973" s="1" t="s">
        <v>2239</v>
      </c>
      <c r="B973" t="s">
        <v>2240</v>
      </c>
      <c r="C973" s="1" t="s">
        <v>2246</v>
      </c>
      <c r="D973" t="s">
        <v>2247</v>
      </c>
      <c r="E973" t="s">
        <v>2248</v>
      </c>
      <c r="F973" t="s">
        <v>49</v>
      </c>
      <c r="G973" t="s">
        <v>92</v>
      </c>
      <c r="H973">
        <v>4.3</v>
      </c>
      <c r="I973" s="6" t="str">
        <f>_xlfn.CONCAT("Art. złączny do produktu ",Tabela10[[#This Row],[KOD_PRODUKTU]])</f>
        <v>Art. złączny do produktu 445P21</v>
      </c>
      <c r="J973" s="6" t="str">
        <f>_xlfn.CONCAT("VE-",Tabela10[[#This Row],[KOD_PRODUKTU]])</f>
        <v>VE-445P21</v>
      </c>
    </row>
    <row r="974" spans="1:10" x14ac:dyDescent="0.25">
      <c r="A974" s="7" t="s">
        <v>2239</v>
      </c>
      <c r="B974" s="6" t="s">
        <v>2240</v>
      </c>
      <c r="C974" s="7" t="s">
        <v>2249</v>
      </c>
      <c r="D974" s="6" t="s">
        <v>2250</v>
      </c>
      <c r="E974" s="6" t="s">
        <v>2251</v>
      </c>
      <c r="F974" s="6" t="s">
        <v>49</v>
      </c>
      <c r="G974" s="6" t="s">
        <v>50</v>
      </c>
      <c r="H974" s="6">
        <v>6.39</v>
      </c>
      <c r="I974" s="6" t="str">
        <f>_xlfn.CONCAT("Art. złączny do produktu ",Tabela10[[#This Row],[KOD_PRODUKTU]])</f>
        <v>Art. złączny do produktu 445P21</v>
      </c>
      <c r="J974" s="6" t="str">
        <f>_xlfn.CONCAT("VE-",Tabela10[[#This Row],[KOD_PRODUKTU]])</f>
        <v>VE-445P21</v>
      </c>
    </row>
    <row r="975" spans="1:10" x14ac:dyDescent="0.25">
      <c r="A975" s="1" t="s">
        <v>2239</v>
      </c>
      <c r="B975" t="s">
        <v>2240</v>
      </c>
      <c r="C975" s="1" t="s">
        <v>2252</v>
      </c>
      <c r="D975" t="s">
        <v>2253</v>
      </c>
      <c r="E975" t="s">
        <v>2251</v>
      </c>
      <c r="F975" t="s">
        <v>49</v>
      </c>
      <c r="G975" t="s">
        <v>50</v>
      </c>
      <c r="H975">
        <v>6.39</v>
      </c>
      <c r="I975" s="6" t="str">
        <f>_xlfn.CONCAT("Art. złączny do produktu ",Tabela10[[#This Row],[KOD_PRODUKTU]])</f>
        <v>Art. złączny do produktu 445P21</v>
      </c>
      <c r="J975" s="6" t="str">
        <f>_xlfn.CONCAT("VE-",Tabela10[[#This Row],[KOD_PRODUKTU]])</f>
        <v>VE-445P21</v>
      </c>
    </row>
    <row r="976" spans="1:10" x14ac:dyDescent="0.25">
      <c r="A976" s="7" t="s">
        <v>2239</v>
      </c>
      <c r="B976" s="6" t="s">
        <v>2240</v>
      </c>
      <c r="C976" s="7" t="s">
        <v>2254</v>
      </c>
      <c r="D976" s="6" t="s">
        <v>2255</v>
      </c>
      <c r="E976" s="6" t="s">
        <v>2256</v>
      </c>
      <c r="F976" s="6" t="s">
        <v>49</v>
      </c>
      <c r="G976" s="6" t="s">
        <v>50</v>
      </c>
      <c r="H976" s="6">
        <v>2.25</v>
      </c>
      <c r="I976" s="6" t="str">
        <f>_xlfn.CONCAT("Art. złączny do produktu ",Tabela10[[#This Row],[KOD_PRODUKTU]])</f>
        <v>Art. złączny do produktu 445P21</v>
      </c>
      <c r="J976" s="6" t="str">
        <f>_xlfn.CONCAT("VE-",Tabela10[[#This Row],[KOD_PRODUKTU]])</f>
        <v>VE-445P21</v>
      </c>
    </row>
    <row r="977" spans="1:10" x14ac:dyDescent="0.25">
      <c r="A977" s="1" t="s">
        <v>2239</v>
      </c>
      <c r="B977" t="s">
        <v>2240</v>
      </c>
      <c r="C977" s="1" t="s">
        <v>541</v>
      </c>
      <c r="D977" t="s">
        <v>542</v>
      </c>
      <c r="E977" t="s">
        <v>9</v>
      </c>
      <c r="F977" t="s">
        <v>10</v>
      </c>
      <c r="G977" t="s">
        <v>2257</v>
      </c>
      <c r="H977">
        <v>16.52</v>
      </c>
      <c r="I977" s="6" t="str">
        <f>_xlfn.CONCAT("Art. złączny do produktu ",Tabela10[[#This Row],[KOD_PRODUKTU]])</f>
        <v>Art. złączny do produktu 445P21</v>
      </c>
      <c r="J977" s="6" t="str">
        <f>_xlfn.CONCAT("VE-",Tabela10[[#This Row],[KOD_PRODUKTU]])</f>
        <v>VE-445P21</v>
      </c>
    </row>
    <row r="978" spans="1:10" x14ac:dyDescent="0.25">
      <c r="A978" s="7" t="s">
        <v>2258</v>
      </c>
      <c r="B978" s="6" t="s">
        <v>2259</v>
      </c>
      <c r="C978" s="7" t="s">
        <v>507</v>
      </c>
      <c r="D978" s="6" t="s">
        <v>508</v>
      </c>
      <c r="E978" s="6" t="s">
        <v>578</v>
      </c>
      <c r="F978" s="6" t="s">
        <v>5</v>
      </c>
      <c r="G978" s="6" t="s">
        <v>2260</v>
      </c>
      <c r="H978" s="6">
        <v>8.1999999999999993</v>
      </c>
      <c r="I978" s="6" t="str">
        <f>_xlfn.CONCAT("Art. złączny do produktu ",Tabela10[[#This Row],[KOD_PRODUKTU]])</f>
        <v>Art. złączny do produktu 445P22</v>
      </c>
      <c r="J978" s="6" t="str">
        <f>_xlfn.CONCAT("VE-",Tabela10[[#This Row],[KOD_PRODUKTU]])</f>
        <v>VE-445P22</v>
      </c>
    </row>
    <row r="979" spans="1:10" x14ac:dyDescent="0.25">
      <c r="A979" s="1" t="s">
        <v>2258</v>
      </c>
      <c r="B979" t="s">
        <v>2259</v>
      </c>
      <c r="C979" s="1" t="s">
        <v>1907</v>
      </c>
      <c r="D979" t="s">
        <v>1908</v>
      </c>
      <c r="E979" t="s">
        <v>1909</v>
      </c>
      <c r="F979" t="s">
        <v>39</v>
      </c>
      <c r="G979" t="s">
        <v>2194</v>
      </c>
      <c r="H979">
        <v>2.06</v>
      </c>
      <c r="I979" s="6" t="str">
        <f>_xlfn.CONCAT("Art. złączny do produktu ",Tabela10[[#This Row],[KOD_PRODUKTU]])</f>
        <v>Art. złączny do produktu 445P22</v>
      </c>
      <c r="J979" s="6" t="str">
        <f>_xlfn.CONCAT("VE-",Tabela10[[#This Row],[KOD_PRODUKTU]])</f>
        <v>VE-445P22</v>
      </c>
    </row>
    <row r="980" spans="1:10" x14ac:dyDescent="0.25">
      <c r="A980" s="7" t="s">
        <v>2258</v>
      </c>
      <c r="B980" s="6" t="s">
        <v>2259</v>
      </c>
      <c r="C980" s="7" t="s">
        <v>2242</v>
      </c>
      <c r="D980" s="6" t="s">
        <v>2243</v>
      </c>
      <c r="E980" s="6" t="s">
        <v>557</v>
      </c>
      <c r="F980" s="6" t="s">
        <v>39</v>
      </c>
      <c r="G980" s="6" t="s">
        <v>605</v>
      </c>
      <c r="H980" s="6">
        <v>0.34</v>
      </c>
      <c r="I980" s="6" t="str">
        <f>_xlfn.CONCAT("Art. złączny do produktu ",Tabela10[[#This Row],[KOD_PRODUKTU]])</f>
        <v>Art. złączny do produktu 445P22</v>
      </c>
      <c r="J980" s="6" t="str">
        <f>_xlfn.CONCAT("VE-",Tabela10[[#This Row],[KOD_PRODUKTU]])</f>
        <v>VE-445P22</v>
      </c>
    </row>
    <row r="981" spans="1:10" x14ac:dyDescent="0.25">
      <c r="A981" s="1" t="s">
        <v>2258</v>
      </c>
      <c r="B981" t="s">
        <v>2259</v>
      </c>
      <c r="C981" s="1" t="s">
        <v>1971</v>
      </c>
      <c r="D981" t="s">
        <v>1972</v>
      </c>
      <c r="E981" t="s">
        <v>1964</v>
      </c>
      <c r="F981" t="s">
        <v>5</v>
      </c>
      <c r="G981" t="s">
        <v>2244</v>
      </c>
      <c r="H981">
        <v>0.41</v>
      </c>
      <c r="I981" s="6" t="str">
        <f>_xlfn.CONCAT("Art. złączny do produktu ",Tabela10[[#This Row],[KOD_PRODUKTU]])</f>
        <v>Art. złączny do produktu 445P22</v>
      </c>
      <c r="J981" s="6" t="str">
        <f>_xlfn.CONCAT("VE-",Tabela10[[#This Row],[KOD_PRODUKTU]])</f>
        <v>VE-445P22</v>
      </c>
    </row>
    <row r="982" spans="1:10" x14ac:dyDescent="0.25">
      <c r="A982" s="7" t="s">
        <v>2258</v>
      </c>
      <c r="B982" s="6" t="s">
        <v>2259</v>
      </c>
      <c r="C982" s="7" t="s">
        <v>2261</v>
      </c>
      <c r="D982" s="6" t="s">
        <v>2262</v>
      </c>
      <c r="E982" s="6" t="s">
        <v>2263</v>
      </c>
      <c r="F982" s="6" t="s">
        <v>49</v>
      </c>
      <c r="G982" s="6" t="s">
        <v>92</v>
      </c>
      <c r="H982" s="6">
        <v>22.54</v>
      </c>
      <c r="I982" s="6" t="str">
        <f>_xlfn.CONCAT("Art. złączny do produktu ",Tabela10[[#This Row],[KOD_PRODUKTU]])</f>
        <v>Art. złączny do produktu 445P22</v>
      </c>
      <c r="J982" s="6" t="str">
        <f>_xlfn.CONCAT("VE-",Tabela10[[#This Row],[KOD_PRODUKTU]])</f>
        <v>VE-445P22</v>
      </c>
    </row>
    <row r="983" spans="1:10" x14ac:dyDescent="0.25">
      <c r="A983" s="1" t="s">
        <v>2258</v>
      </c>
      <c r="B983" t="s">
        <v>2259</v>
      </c>
      <c r="C983" s="1" t="s">
        <v>2246</v>
      </c>
      <c r="D983" t="s">
        <v>2247</v>
      </c>
      <c r="E983" t="s">
        <v>2248</v>
      </c>
      <c r="F983" t="s">
        <v>49</v>
      </c>
      <c r="G983" t="s">
        <v>92</v>
      </c>
      <c r="H983">
        <v>4.3</v>
      </c>
      <c r="I983" s="6" t="str">
        <f>_xlfn.CONCAT("Art. złączny do produktu ",Tabela10[[#This Row],[KOD_PRODUKTU]])</f>
        <v>Art. złączny do produktu 445P22</v>
      </c>
      <c r="J983" s="6" t="str">
        <f>_xlfn.CONCAT("VE-",Tabela10[[#This Row],[KOD_PRODUKTU]])</f>
        <v>VE-445P22</v>
      </c>
    </row>
    <row r="984" spans="1:10" x14ac:dyDescent="0.25">
      <c r="A984" s="7" t="s">
        <v>2258</v>
      </c>
      <c r="B984" s="6" t="s">
        <v>2259</v>
      </c>
      <c r="C984" s="7" t="s">
        <v>2249</v>
      </c>
      <c r="D984" s="6" t="s">
        <v>2250</v>
      </c>
      <c r="E984" s="6" t="s">
        <v>2251</v>
      </c>
      <c r="F984" s="6" t="s">
        <v>49</v>
      </c>
      <c r="G984" s="6" t="s">
        <v>50</v>
      </c>
      <c r="H984" s="6">
        <v>6.39</v>
      </c>
      <c r="I984" s="6" t="str">
        <f>_xlfn.CONCAT("Art. złączny do produktu ",Tabela10[[#This Row],[KOD_PRODUKTU]])</f>
        <v>Art. złączny do produktu 445P22</v>
      </c>
      <c r="J984" s="6" t="str">
        <f>_xlfn.CONCAT("VE-",Tabela10[[#This Row],[KOD_PRODUKTU]])</f>
        <v>VE-445P22</v>
      </c>
    </row>
    <row r="985" spans="1:10" x14ac:dyDescent="0.25">
      <c r="A985" s="1" t="s">
        <v>2258</v>
      </c>
      <c r="B985" t="s">
        <v>2259</v>
      </c>
      <c r="C985" s="1" t="s">
        <v>2252</v>
      </c>
      <c r="D985" t="s">
        <v>2253</v>
      </c>
      <c r="E985" t="s">
        <v>2251</v>
      </c>
      <c r="F985" t="s">
        <v>49</v>
      </c>
      <c r="G985" t="s">
        <v>50</v>
      </c>
      <c r="H985">
        <v>6.39</v>
      </c>
      <c r="I985" s="6" t="str">
        <f>_xlfn.CONCAT("Art. złączny do produktu ",Tabela10[[#This Row],[KOD_PRODUKTU]])</f>
        <v>Art. złączny do produktu 445P22</v>
      </c>
      <c r="J985" s="6" t="str">
        <f>_xlfn.CONCAT("VE-",Tabela10[[#This Row],[KOD_PRODUKTU]])</f>
        <v>VE-445P22</v>
      </c>
    </row>
    <row r="986" spans="1:10" x14ac:dyDescent="0.25">
      <c r="A986" s="7" t="s">
        <v>2258</v>
      </c>
      <c r="B986" s="6" t="s">
        <v>2259</v>
      </c>
      <c r="C986" s="7" t="s">
        <v>2254</v>
      </c>
      <c r="D986" s="6" t="s">
        <v>2255</v>
      </c>
      <c r="E986" s="6" t="s">
        <v>2256</v>
      </c>
      <c r="F986" s="6" t="s">
        <v>49</v>
      </c>
      <c r="G986" s="6" t="s">
        <v>92</v>
      </c>
      <c r="H986" s="6">
        <v>4.5</v>
      </c>
      <c r="I986" s="6" t="str">
        <f>_xlfn.CONCAT("Art. złączny do produktu ",Tabela10[[#This Row],[KOD_PRODUKTU]])</f>
        <v>Art. złączny do produktu 445P22</v>
      </c>
      <c r="J986" s="6" t="str">
        <f>_xlfn.CONCAT("VE-",Tabela10[[#This Row],[KOD_PRODUKTU]])</f>
        <v>VE-445P22</v>
      </c>
    </row>
    <row r="987" spans="1:10" x14ac:dyDescent="0.25">
      <c r="A987" s="1" t="s">
        <v>2258</v>
      </c>
      <c r="B987" t="s">
        <v>2259</v>
      </c>
      <c r="C987" s="1" t="s">
        <v>541</v>
      </c>
      <c r="D987" t="s">
        <v>542</v>
      </c>
      <c r="E987" t="s">
        <v>9</v>
      </c>
      <c r="F987" t="s">
        <v>10</v>
      </c>
      <c r="G987" t="s">
        <v>2264</v>
      </c>
      <c r="H987">
        <v>21.71</v>
      </c>
      <c r="I987" s="6" t="str">
        <f>_xlfn.CONCAT("Art. złączny do produktu ",Tabela10[[#This Row],[KOD_PRODUKTU]])</f>
        <v>Art. złączny do produktu 445P22</v>
      </c>
      <c r="J987" s="6" t="str">
        <f>_xlfn.CONCAT("VE-",Tabela10[[#This Row],[KOD_PRODUKTU]])</f>
        <v>VE-445P22</v>
      </c>
    </row>
    <row r="988" spans="1:10" x14ac:dyDescent="0.25">
      <c r="A988" s="7" t="s">
        <v>2265</v>
      </c>
      <c r="B988" s="6" t="s">
        <v>2266</v>
      </c>
      <c r="C988" s="7" t="s">
        <v>507</v>
      </c>
      <c r="D988" s="6" t="s">
        <v>508</v>
      </c>
      <c r="E988" s="6" t="s">
        <v>578</v>
      </c>
      <c r="F988" s="6" t="s">
        <v>5</v>
      </c>
      <c r="G988" s="6" t="s">
        <v>992</v>
      </c>
      <c r="H988" s="6">
        <v>5.53</v>
      </c>
      <c r="I988" s="6" t="str">
        <f>_xlfn.CONCAT("Art. złączny do produktu ",Tabela10[[#This Row],[KOD_PRODUKTU]])</f>
        <v>Art. złączny do produktu 445P23</v>
      </c>
      <c r="J988" s="6" t="str">
        <f>_xlfn.CONCAT("VE-",Tabela10[[#This Row],[KOD_PRODUKTU]])</f>
        <v>VE-445P23</v>
      </c>
    </row>
    <row r="989" spans="1:10" x14ac:dyDescent="0.25">
      <c r="A989" s="1" t="s">
        <v>2265</v>
      </c>
      <c r="B989" t="s">
        <v>2266</v>
      </c>
      <c r="C989" s="1" t="s">
        <v>1907</v>
      </c>
      <c r="D989" t="s">
        <v>1908</v>
      </c>
      <c r="E989" t="s">
        <v>1909</v>
      </c>
      <c r="F989" t="s">
        <v>39</v>
      </c>
      <c r="G989" t="s">
        <v>478</v>
      </c>
      <c r="H989">
        <v>0.91</v>
      </c>
      <c r="I989" s="6" t="str">
        <f>_xlfn.CONCAT("Art. złączny do produktu ",Tabela10[[#This Row],[KOD_PRODUKTU]])</f>
        <v>Art. złączny do produktu 445P23</v>
      </c>
      <c r="J989" s="6" t="str">
        <f>_xlfn.CONCAT("VE-",Tabela10[[#This Row],[KOD_PRODUKTU]])</f>
        <v>VE-445P23</v>
      </c>
    </row>
    <row r="990" spans="1:10" x14ac:dyDescent="0.25">
      <c r="A990" s="7" t="s">
        <v>2265</v>
      </c>
      <c r="B990" s="6" t="s">
        <v>2266</v>
      </c>
      <c r="C990" s="7" t="s">
        <v>2242</v>
      </c>
      <c r="D990" s="6" t="s">
        <v>2243</v>
      </c>
      <c r="E990" s="6" t="s">
        <v>557</v>
      </c>
      <c r="F990" s="6" t="s">
        <v>39</v>
      </c>
      <c r="G990" s="6" t="s">
        <v>605</v>
      </c>
      <c r="H990" s="6">
        <v>0.34</v>
      </c>
      <c r="I990" s="6" t="str">
        <f>_xlfn.CONCAT("Art. złączny do produktu ",Tabela10[[#This Row],[KOD_PRODUKTU]])</f>
        <v>Art. złączny do produktu 445P23</v>
      </c>
      <c r="J990" s="6" t="str">
        <f>_xlfn.CONCAT("VE-",Tabela10[[#This Row],[KOD_PRODUKTU]])</f>
        <v>VE-445P23</v>
      </c>
    </row>
    <row r="991" spans="1:10" x14ac:dyDescent="0.25">
      <c r="A991" s="1" t="s">
        <v>2265</v>
      </c>
      <c r="B991" t="s">
        <v>2266</v>
      </c>
      <c r="C991" s="1" t="s">
        <v>514</v>
      </c>
      <c r="D991" t="s">
        <v>515</v>
      </c>
      <c r="E991" t="s">
        <v>516</v>
      </c>
      <c r="F991" t="s">
        <v>121</v>
      </c>
      <c r="G991" t="s">
        <v>50</v>
      </c>
      <c r="H991">
        <v>0.27</v>
      </c>
      <c r="I991" s="6" t="str">
        <f>_xlfn.CONCAT("Art. złączny do produktu ",Tabela10[[#This Row],[KOD_PRODUKTU]])</f>
        <v>Art. złączny do produktu 445P23</v>
      </c>
      <c r="J991" s="6" t="str">
        <f>_xlfn.CONCAT("VE-",Tabela10[[#This Row],[KOD_PRODUKTU]])</f>
        <v>VE-445P23</v>
      </c>
    </row>
    <row r="992" spans="1:10" x14ac:dyDescent="0.25">
      <c r="A992" s="7" t="s">
        <v>2265</v>
      </c>
      <c r="B992" s="6" t="s">
        <v>2266</v>
      </c>
      <c r="C992" s="7" t="s">
        <v>41</v>
      </c>
      <c r="D992" s="6" t="s">
        <v>42</v>
      </c>
      <c r="E992" s="6" t="s">
        <v>513</v>
      </c>
      <c r="F992" s="6" t="s">
        <v>5</v>
      </c>
      <c r="G992" s="6" t="s">
        <v>2267</v>
      </c>
      <c r="H992" s="6">
        <v>0.02</v>
      </c>
      <c r="I992" s="6" t="str">
        <f>_xlfn.CONCAT("Art. złączny do produktu ",Tabela10[[#This Row],[KOD_PRODUKTU]])</f>
        <v>Art. złączny do produktu 445P23</v>
      </c>
      <c r="J992" s="6" t="str">
        <f>_xlfn.CONCAT("VE-",Tabela10[[#This Row],[KOD_PRODUKTU]])</f>
        <v>VE-445P23</v>
      </c>
    </row>
    <row r="993" spans="1:10" x14ac:dyDescent="0.25">
      <c r="A993" s="1" t="s">
        <v>2265</v>
      </c>
      <c r="B993" t="s">
        <v>2266</v>
      </c>
      <c r="C993" s="1" t="s">
        <v>2246</v>
      </c>
      <c r="D993" t="s">
        <v>2247</v>
      </c>
      <c r="E993" t="s">
        <v>2248</v>
      </c>
      <c r="F993" t="s">
        <v>49</v>
      </c>
      <c r="G993" t="s">
        <v>92</v>
      </c>
      <c r="H993">
        <v>4.3</v>
      </c>
      <c r="I993" s="6" t="str">
        <f>_xlfn.CONCAT("Art. złączny do produktu ",Tabela10[[#This Row],[KOD_PRODUKTU]])</f>
        <v>Art. złączny do produktu 445P23</v>
      </c>
      <c r="J993" s="6" t="str">
        <f>_xlfn.CONCAT("VE-",Tabela10[[#This Row],[KOD_PRODUKTU]])</f>
        <v>VE-445P23</v>
      </c>
    </row>
    <row r="994" spans="1:10" x14ac:dyDescent="0.25">
      <c r="A994" s="7" t="s">
        <v>2265</v>
      </c>
      <c r="B994" s="6" t="s">
        <v>2266</v>
      </c>
      <c r="C994" s="7" t="s">
        <v>2249</v>
      </c>
      <c r="D994" s="6" t="s">
        <v>2250</v>
      </c>
      <c r="E994" s="6" t="s">
        <v>2251</v>
      </c>
      <c r="F994" s="6" t="s">
        <v>49</v>
      </c>
      <c r="G994" s="6" t="s">
        <v>50</v>
      </c>
      <c r="H994" s="6">
        <v>6.39</v>
      </c>
      <c r="I994" s="6" t="str">
        <f>_xlfn.CONCAT("Art. złączny do produktu ",Tabela10[[#This Row],[KOD_PRODUKTU]])</f>
        <v>Art. złączny do produktu 445P23</v>
      </c>
      <c r="J994" s="6" t="str">
        <f>_xlfn.CONCAT("VE-",Tabela10[[#This Row],[KOD_PRODUKTU]])</f>
        <v>VE-445P23</v>
      </c>
    </row>
    <row r="995" spans="1:10" x14ac:dyDescent="0.25">
      <c r="A995" s="1" t="s">
        <v>2265</v>
      </c>
      <c r="B995" t="s">
        <v>2266</v>
      </c>
      <c r="C995" s="1" t="s">
        <v>2252</v>
      </c>
      <c r="D995" t="s">
        <v>2253</v>
      </c>
      <c r="E995" t="s">
        <v>2251</v>
      </c>
      <c r="F995" t="s">
        <v>49</v>
      </c>
      <c r="G995" t="s">
        <v>50</v>
      </c>
      <c r="H995">
        <v>6.39</v>
      </c>
      <c r="I995" s="6" t="str">
        <f>_xlfn.CONCAT("Art. złączny do produktu ",Tabela10[[#This Row],[KOD_PRODUKTU]])</f>
        <v>Art. złączny do produktu 445P23</v>
      </c>
      <c r="J995" s="6" t="str">
        <f>_xlfn.CONCAT("VE-",Tabela10[[#This Row],[KOD_PRODUKTU]])</f>
        <v>VE-445P23</v>
      </c>
    </row>
    <row r="996" spans="1:10" x14ac:dyDescent="0.25">
      <c r="A996" s="7" t="s">
        <v>2265</v>
      </c>
      <c r="B996" s="6" t="s">
        <v>2266</v>
      </c>
      <c r="C996" s="7" t="s">
        <v>2254</v>
      </c>
      <c r="D996" s="6" t="s">
        <v>2255</v>
      </c>
      <c r="E996" s="6" t="s">
        <v>2256</v>
      </c>
      <c r="F996" s="6" t="s">
        <v>49</v>
      </c>
      <c r="G996" s="6" t="s">
        <v>50</v>
      </c>
      <c r="H996" s="6">
        <v>2.25</v>
      </c>
      <c r="I996" s="6" t="str">
        <f>_xlfn.CONCAT("Art. złączny do produktu ",Tabela10[[#This Row],[KOD_PRODUKTU]])</f>
        <v>Art. złączny do produktu 445P23</v>
      </c>
      <c r="J996" s="6" t="str">
        <f>_xlfn.CONCAT("VE-",Tabela10[[#This Row],[KOD_PRODUKTU]])</f>
        <v>VE-445P23</v>
      </c>
    </row>
    <row r="997" spans="1:10" x14ac:dyDescent="0.25">
      <c r="A997" s="1" t="s">
        <v>2265</v>
      </c>
      <c r="B997" t="s">
        <v>2266</v>
      </c>
      <c r="C997" s="1" t="s">
        <v>541</v>
      </c>
      <c r="D997" t="s">
        <v>542</v>
      </c>
      <c r="E997" t="s">
        <v>9</v>
      </c>
      <c r="F997" t="s">
        <v>10</v>
      </c>
      <c r="G997" t="s">
        <v>2257</v>
      </c>
      <c r="H997">
        <v>16.52</v>
      </c>
      <c r="I997" s="6" t="str">
        <f>_xlfn.CONCAT("Art. złączny do produktu ",Tabela10[[#This Row],[KOD_PRODUKTU]])</f>
        <v>Art. złączny do produktu 445P23</v>
      </c>
      <c r="J997" s="6" t="str">
        <f>_xlfn.CONCAT("VE-",Tabela10[[#This Row],[KOD_PRODUKTU]])</f>
        <v>VE-445P23</v>
      </c>
    </row>
    <row r="998" spans="1:10" x14ac:dyDescent="0.25">
      <c r="A998" s="7" t="s">
        <v>2268</v>
      </c>
      <c r="B998" s="6" t="s">
        <v>2269</v>
      </c>
      <c r="C998" s="7" t="s">
        <v>507</v>
      </c>
      <c r="D998" s="6" t="s">
        <v>508</v>
      </c>
      <c r="E998" s="6" t="s">
        <v>578</v>
      </c>
      <c r="F998" s="6" t="s">
        <v>5</v>
      </c>
      <c r="G998" s="6" t="s">
        <v>2270</v>
      </c>
      <c r="H998" s="6">
        <v>13.13</v>
      </c>
      <c r="I998" s="6" t="str">
        <f>_xlfn.CONCAT("Art. złączny do produktu ",Tabela10[[#This Row],[KOD_PRODUKTU]])</f>
        <v>Art. złączny do produktu 445P24</v>
      </c>
      <c r="J998" s="6" t="str">
        <f>_xlfn.CONCAT("VE-",Tabela10[[#This Row],[KOD_PRODUKTU]])</f>
        <v>VE-445P24</v>
      </c>
    </row>
    <row r="999" spans="1:10" x14ac:dyDescent="0.25">
      <c r="A999" s="1" t="s">
        <v>2268</v>
      </c>
      <c r="B999" t="s">
        <v>2269</v>
      </c>
      <c r="C999" s="1" t="s">
        <v>1907</v>
      </c>
      <c r="D999" t="s">
        <v>1908</v>
      </c>
      <c r="E999" t="s">
        <v>1909</v>
      </c>
      <c r="F999" t="s">
        <v>39</v>
      </c>
      <c r="G999" t="s">
        <v>2194</v>
      </c>
      <c r="H999">
        <v>2.06</v>
      </c>
      <c r="I999" s="6" t="str">
        <f>_xlfn.CONCAT("Art. złączny do produktu ",Tabela10[[#This Row],[KOD_PRODUKTU]])</f>
        <v>Art. złączny do produktu 445P24</v>
      </c>
      <c r="J999" s="6" t="str">
        <f>_xlfn.CONCAT("VE-",Tabela10[[#This Row],[KOD_PRODUKTU]])</f>
        <v>VE-445P24</v>
      </c>
    </row>
    <row r="1000" spans="1:10" x14ac:dyDescent="0.25">
      <c r="A1000" s="7" t="s">
        <v>2268</v>
      </c>
      <c r="B1000" s="6" t="s">
        <v>2269</v>
      </c>
      <c r="C1000" s="7" t="s">
        <v>2242</v>
      </c>
      <c r="D1000" s="6" t="s">
        <v>2243</v>
      </c>
      <c r="E1000" s="6" t="s">
        <v>557</v>
      </c>
      <c r="F1000" s="6" t="s">
        <v>39</v>
      </c>
      <c r="G1000" s="6" t="s">
        <v>605</v>
      </c>
      <c r="H1000" s="6">
        <v>0.34</v>
      </c>
      <c r="I1000" s="6" t="str">
        <f>_xlfn.CONCAT("Art. złączny do produktu ",Tabela10[[#This Row],[KOD_PRODUKTU]])</f>
        <v>Art. złączny do produktu 445P24</v>
      </c>
      <c r="J1000" s="6" t="str">
        <f>_xlfn.CONCAT("VE-",Tabela10[[#This Row],[KOD_PRODUKTU]])</f>
        <v>VE-445P24</v>
      </c>
    </row>
    <row r="1001" spans="1:10" x14ac:dyDescent="0.25">
      <c r="A1001" s="1" t="s">
        <v>2268</v>
      </c>
      <c r="B1001" t="s">
        <v>2269</v>
      </c>
      <c r="C1001" s="1" t="s">
        <v>41</v>
      </c>
      <c r="D1001" t="s">
        <v>42</v>
      </c>
      <c r="E1001" t="s">
        <v>513</v>
      </c>
      <c r="F1001" t="s">
        <v>5</v>
      </c>
      <c r="G1001" t="s">
        <v>2271</v>
      </c>
      <c r="H1001">
        <v>0.08</v>
      </c>
      <c r="I1001" s="6" t="str">
        <f>_xlfn.CONCAT("Art. złączny do produktu ",Tabela10[[#This Row],[KOD_PRODUKTU]])</f>
        <v>Art. złączny do produktu 445P24</v>
      </c>
      <c r="J1001" s="6" t="str">
        <f>_xlfn.CONCAT("VE-",Tabela10[[#This Row],[KOD_PRODUKTU]])</f>
        <v>VE-445P24</v>
      </c>
    </row>
    <row r="1002" spans="1:10" x14ac:dyDescent="0.25">
      <c r="A1002" s="7" t="s">
        <v>2268</v>
      </c>
      <c r="B1002" s="6" t="s">
        <v>2269</v>
      </c>
      <c r="C1002" s="7" t="s">
        <v>2261</v>
      </c>
      <c r="D1002" s="6" t="s">
        <v>2262</v>
      </c>
      <c r="E1002" s="6" t="s">
        <v>2263</v>
      </c>
      <c r="F1002" s="6" t="s">
        <v>49</v>
      </c>
      <c r="G1002" s="6" t="s">
        <v>92</v>
      </c>
      <c r="H1002" s="6">
        <v>22.54</v>
      </c>
      <c r="I1002" s="6" t="str">
        <f>_xlfn.CONCAT("Art. złączny do produktu ",Tabela10[[#This Row],[KOD_PRODUKTU]])</f>
        <v>Art. złączny do produktu 445P24</v>
      </c>
      <c r="J1002" s="6" t="str">
        <f>_xlfn.CONCAT("VE-",Tabela10[[#This Row],[KOD_PRODUKTU]])</f>
        <v>VE-445P24</v>
      </c>
    </row>
    <row r="1003" spans="1:10" x14ac:dyDescent="0.25">
      <c r="A1003" s="1" t="s">
        <v>2268</v>
      </c>
      <c r="B1003" t="s">
        <v>2269</v>
      </c>
      <c r="C1003" s="1" t="s">
        <v>2246</v>
      </c>
      <c r="D1003" t="s">
        <v>2247</v>
      </c>
      <c r="E1003" t="s">
        <v>2248</v>
      </c>
      <c r="F1003" t="s">
        <v>49</v>
      </c>
      <c r="G1003" t="s">
        <v>92</v>
      </c>
      <c r="H1003">
        <v>4.3</v>
      </c>
      <c r="I1003" s="6" t="str">
        <f>_xlfn.CONCAT("Art. złączny do produktu ",Tabela10[[#This Row],[KOD_PRODUKTU]])</f>
        <v>Art. złączny do produktu 445P24</v>
      </c>
      <c r="J1003" s="6" t="str">
        <f>_xlfn.CONCAT("VE-",Tabela10[[#This Row],[KOD_PRODUKTU]])</f>
        <v>VE-445P24</v>
      </c>
    </row>
    <row r="1004" spans="1:10" x14ac:dyDescent="0.25">
      <c r="A1004" s="7" t="s">
        <v>2268</v>
      </c>
      <c r="B1004" s="6" t="s">
        <v>2269</v>
      </c>
      <c r="C1004" s="7" t="s">
        <v>2249</v>
      </c>
      <c r="D1004" s="6" t="s">
        <v>2250</v>
      </c>
      <c r="E1004" s="6" t="s">
        <v>2251</v>
      </c>
      <c r="F1004" s="6" t="s">
        <v>49</v>
      </c>
      <c r="G1004" s="6" t="s">
        <v>50</v>
      </c>
      <c r="H1004" s="6">
        <v>6.39</v>
      </c>
      <c r="I1004" s="6" t="str">
        <f>_xlfn.CONCAT("Art. złączny do produktu ",Tabela10[[#This Row],[KOD_PRODUKTU]])</f>
        <v>Art. złączny do produktu 445P24</v>
      </c>
      <c r="J1004" s="6" t="str">
        <f>_xlfn.CONCAT("VE-",Tabela10[[#This Row],[KOD_PRODUKTU]])</f>
        <v>VE-445P24</v>
      </c>
    </row>
    <row r="1005" spans="1:10" x14ac:dyDescent="0.25">
      <c r="A1005" s="1" t="s">
        <v>2268</v>
      </c>
      <c r="B1005" t="s">
        <v>2269</v>
      </c>
      <c r="C1005" s="1" t="s">
        <v>2252</v>
      </c>
      <c r="D1005" t="s">
        <v>2253</v>
      </c>
      <c r="E1005" t="s">
        <v>2251</v>
      </c>
      <c r="F1005" t="s">
        <v>49</v>
      </c>
      <c r="G1005" t="s">
        <v>50</v>
      </c>
      <c r="H1005">
        <v>6.39</v>
      </c>
      <c r="I1005" s="6" t="str">
        <f>_xlfn.CONCAT("Art. złączny do produktu ",Tabela10[[#This Row],[KOD_PRODUKTU]])</f>
        <v>Art. złączny do produktu 445P24</v>
      </c>
      <c r="J1005" s="6" t="str">
        <f>_xlfn.CONCAT("VE-",Tabela10[[#This Row],[KOD_PRODUKTU]])</f>
        <v>VE-445P24</v>
      </c>
    </row>
    <row r="1006" spans="1:10" x14ac:dyDescent="0.25">
      <c r="A1006" s="7" t="s">
        <v>2268</v>
      </c>
      <c r="B1006" s="6" t="s">
        <v>2269</v>
      </c>
      <c r="C1006" s="7" t="s">
        <v>2254</v>
      </c>
      <c r="D1006" s="6" t="s">
        <v>2255</v>
      </c>
      <c r="E1006" s="6" t="s">
        <v>2256</v>
      </c>
      <c r="F1006" s="6" t="s">
        <v>49</v>
      </c>
      <c r="G1006" s="6" t="s">
        <v>92</v>
      </c>
      <c r="H1006" s="6">
        <v>4.5</v>
      </c>
      <c r="I1006" s="6" t="str">
        <f>_xlfn.CONCAT("Art. złączny do produktu ",Tabela10[[#This Row],[KOD_PRODUKTU]])</f>
        <v>Art. złączny do produktu 445P24</v>
      </c>
      <c r="J1006" s="6" t="str">
        <f>_xlfn.CONCAT("VE-",Tabela10[[#This Row],[KOD_PRODUKTU]])</f>
        <v>VE-445P24</v>
      </c>
    </row>
    <row r="1007" spans="1:10" x14ac:dyDescent="0.25">
      <c r="A1007" s="1" t="s">
        <v>2268</v>
      </c>
      <c r="B1007" t="s">
        <v>2269</v>
      </c>
      <c r="C1007" s="1" t="s">
        <v>541</v>
      </c>
      <c r="D1007" t="s">
        <v>542</v>
      </c>
      <c r="E1007" t="s">
        <v>9</v>
      </c>
      <c r="F1007" t="s">
        <v>10</v>
      </c>
      <c r="G1007" t="s">
        <v>2272</v>
      </c>
      <c r="H1007">
        <v>21.68</v>
      </c>
      <c r="I1007" s="6" t="str">
        <f>_xlfn.CONCAT("Art. złączny do produktu ",Tabela10[[#This Row],[KOD_PRODUKTU]])</f>
        <v>Art. złączny do produktu 445P24</v>
      </c>
      <c r="J1007" s="6" t="str">
        <f>_xlfn.CONCAT("VE-",Tabela10[[#This Row],[KOD_PRODUKTU]])</f>
        <v>VE-445P24</v>
      </c>
    </row>
    <row r="1008" spans="1:10" x14ac:dyDescent="0.25">
      <c r="A1008" s="7" t="s">
        <v>2273</v>
      </c>
      <c r="B1008" s="6" t="s">
        <v>2274</v>
      </c>
      <c r="C1008" s="7" t="s">
        <v>507</v>
      </c>
      <c r="D1008" s="6" t="s">
        <v>508</v>
      </c>
      <c r="E1008" s="6" t="s">
        <v>578</v>
      </c>
      <c r="F1008" s="6" t="s">
        <v>5</v>
      </c>
      <c r="G1008" s="6" t="s">
        <v>2275</v>
      </c>
      <c r="H1008" s="6">
        <v>8.44</v>
      </c>
      <c r="I1008" s="6" t="str">
        <f>_xlfn.CONCAT("Art. złączny do produktu ",Tabela10[[#This Row],[KOD_PRODUKTU]])</f>
        <v>Art. złączny do produktu 445P25</v>
      </c>
      <c r="J1008" s="6" t="str">
        <f>_xlfn.CONCAT("VE-",Tabela10[[#This Row],[KOD_PRODUKTU]])</f>
        <v>VE-445P25</v>
      </c>
    </row>
    <row r="1009" spans="1:10" x14ac:dyDescent="0.25">
      <c r="A1009" s="1" t="s">
        <v>2273</v>
      </c>
      <c r="B1009" t="s">
        <v>2274</v>
      </c>
      <c r="C1009" s="1" t="s">
        <v>1907</v>
      </c>
      <c r="D1009" t="s">
        <v>1908</v>
      </c>
      <c r="E1009" t="s">
        <v>1909</v>
      </c>
      <c r="F1009" t="s">
        <v>39</v>
      </c>
      <c r="G1009" t="s">
        <v>478</v>
      </c>
      <c r="H1009">
        <v>0.91</v>
      </c>
      <c r="I1009" s="6" t="str">
        <f>_xlfn.CONCAT("Art. złączny do produktu ",Tabela10[[#This Row],[KOD_PRODUKTU]])</f>
        <v>Art. złączny do produktu 445P25</v>
      </c>
      <c r="J1009" s="6" t="str">
        <f>_xlfn.CONCAT("VE-",Tabela10[[#This Row],[KOD_PRODUKTU]])</f>
        <v>VE-445P25</v>
      </c>
    </row>
    <row r="1010" spans="1:10" x14ac:dyDescent="0.25">
      <c r="A1010" s="7" t="s">
        <v>2273</v>
      </c>
      <c r="B1010" s="6" t="s">
        <v>2274</v>
      </c>
      <c r="C1010" s="7" t="s">
        <v>2242</v>
      </c>
      <c r="D1010" s="6" t="s">
        <v>2243</v>
      </c>
      <c r="E1010" s="6" t="s">
        <v>557</v>
      </c>
      <c r="F1010" s="6" t="s">
        <v>39</v>
      </c>
      <c r="G1010" s="6" t="s">
        <v>605</v>
      </c>
      <c r="H1010" s="6">
        <v>0.34</v>
      </c>
      <c r="I1010" s="6" t="str">
        <f>_xlfn.CONCAT("Art. złączny do produktu ",Tabela10[[#This Row],[KOD_PRODUKTU]])</f>
        <v>Art. złączny do produktu 445P25</v>
      </c>
      <c r="J1010" s="6" t="str">
        <f>_xlfn.CONCAT("VE-",Tabela10[[#This Row],[KOD_PRODUKTU]])</f>
        <v>VE-445P25</v>
      </c>
    </row>
    <row r="1011" spans="1:10" x14ac:dyDescent="0.25">
      <c r="A1011" s="1" t="s">
        <v>2273</v>
      </c>
      <c r="B1011" t="s">
        <v>2274</v>
      </c>
      <c r="C1011" s="1" t="s">
        <v>514</v>
      </c>
      <c r="D1011" t="s">
        <v>515</v>
      </c>
      <c r="E1011" t="s">
        <v>516</v>
      </c>
      <c r="F1011" t="s">
        <v>121</v>
      </c>
      <c r="G1011" t="s">
        <v>50</v>
      </c>
      <c r="H1011">
        <v>0.27</v>
      </c>
      <c r="I1011" s="6" t="str">
        <f>_xlfn.CONCAT("Art. złączny do produktu ",Tabela10[[#This Row],[KOD_PRODUKTU]])</f>
        <v>Art. złączny do produktu 445P25</v>
      </c>
      <c r="J1011" s="6" t="str">
        <f>_xlfn.CONCAT("VE-",Tabela10[[#This Row],[KOD_PRODUKTU]])</f>
        <v>VE-445P25</v>
      </c>
    </row>
    <row r="1012" spans="1:10" x14ac:dyDescent="0.25">
      <c r="A1012" s="7" t="s">
        <v>2273</v>
      </c>
      <c r="B1012" s="6" t="s">
        <v>2274</v>
      </c>
      <c r="C1012" s="7" t="s">
        <v>2246</v>
      </c>
      <c r="D1012" s="6" t="s">
        <v>2247</v>
      </c>
      <c r="E1012" s="6" t="s">
        <v>2248</v>
      </c>
      <c r="F1012" s="6" t="s">
        <v>49</v>
      </c>
      <c r="G1012" s="6" t="s">
        <v>92</v>
      </c>
      <c r="H1012" s="6">
        <v>4.3</v>
      </c>
      <c r="I1012" s="6" t="str">
        <f>_xlfn.CONCAT("Art. złączny do produktu ",Tabela10[[#This Row],[KOD_PRODUKTU]])</f>
        <v>Art. złączny do produktu 445P25</v>
      </c>
      <c r="J1012" s="6" t="str">
        <f>_xlfn.CONCAT("VE-",Tabela10[[#This Row],[KOD_PRODUKTU]])</f>
        <v>VE-445P25</v>
      </c>
    </row>
    <row r="1013" spans="1:10" x14ac:dyDescent="0.25">
      <c r="A1013" s="1" t="s">
        <v>2273</v>
      </c>
      <c r="B1013" t="s">
        <v>2274</v>
      </c>
      <c r="C1013" s="1" t="s">
        <v>2249</v>
      </c>
      <c r="D1013" t="s">
        <v>2250</v>
      </c>
      <c r="E1013" t="s">
        <v>2251</v>
      </c>
      <c r="F1013" t="s">
        <v>49</v>
      </c>
      <c r="G1013" t="s">
        <v>50</v>
      </c>
      <c r="H1013">
        <v>6.39</v>
      </c>
      <c r="I1013" s="6" t="str">
        <f>_xlfn.CONCAT("Art. złączny do produktu ",Tabela10[[#This Row],[KOD_PRODUKTU]])</f>
        <v>Art. złączny do produktu 445P25</v>
      </c>
      <c r="J1013" s="6" t="str">
        <f>_xlfn.CONCAT("VE-",Tabela10[[#This Row],[KOD_PRODUKTU]])</f>
        <v>VE-445P25</v>
      </c>
    </row>
    <row r="1014" spans="1:10" x14ac:dyDescent="0.25">
      <c r="A1014" s="7" t="s">
        <v>2273</v>
      </c>
      <c r="B1014" s="6" t="s">
        <v>2274</v>
      </c>
      <c r="C1014" s="7" t="s">
        <v>2252</v>
      </c>
      <c r="D1014" s="6" t="s">
        <v>2253</v>
      </c>
      <c r="E1014" s="6" t="s">
        <v>2251</v>
      </c>
      <c r="F1014" s="6" t="s">
        <v>49</v>
      </c>
      <c r="G1014" s="6" t="s">
        <v>50</v>
      </c>
      <c r="H1014" s="6">
        <v>6.39</v>
      </c>
      <c r="I1014" s="6" t="str">
        <f>_xlfn.CONCAT("Art. złączny do produktu ",Tabela10[[#This Row],[KOD_PRODUKTU]])</f>
        <v>Art. złączny do produktu 445P25</v>
      </c>
      <c r="J1014" s="6" t="str">
        <f>_xlfn.CONCAT("VE-",Tabela10[[#This Row],[KOD_PRODUKTU]])</f>
        <v>VE-445P25</v>
      </c>
    </row>
    <row r="1015" spans="1:10" x14ac:dyDescent="0.25">
      <c r="A1015" s="1" t="s">
        <v>2273</v>
      </c>
      <c r="B1015" t="s">
        <v>2274</v>
      </c>
      <c r="C1015" s="1" t="s">
        <v>2254</v>
      </c>
      <c r="D1015" t="s">
        <v>2255</v>
      </c>
      <c r="E1015" t="s">
        <v>2256</v>
      </c>
      <c r="F1015" t="s">
        <v>49</v>
      </c>
      <c r="G1015" t="s">
        <v>50</v>
      </c>
      <c r="H1015">
        <v>2.25</v>
      </c>
      <c r="I1015" s="6" t="str">
        <f>_xlfn.CONCAT("Art. złączny do produktu ",Tabela10[[#This Row],[KOD_PRODUKTU]])</f>
        <v>Art. złączny do produktu 445P25</v>
      </c>
      <c r="J1015" s="6" t="str">
        <f>_xlfn.CONCAT("VE-",Tabela10[[#This Row],[KOD_PRODUKTU]])</f>
        <v>VE-445P25</v>
      </c>
    </row>
    <row r="1016" spans="1:10" x14ac:dyDescent="0.25">
      <c r="A1016" s="7" t="s">
        <v>2273</v>
      </c>
      <c r="B1016" s="6" t="s">
        <v>2274</v>
      </c>
      <c r="C1016" s="7" t="s">
        <v>541</v>
      </c>
      <c r="D1016" s="6" t="s">
        <v>542</v>
      </c>
      <c r="E1016" s="6" t="s">
        <v>9</v>
      </c>
      <c r="F1016" s="6" t="s">
        <v>10</v>
      </c>
      <c r="G1016" s="6" t="s">
        <v>2276</v>
      </c>
      <c r="H1016" s="6">
        <v>16.53</v>
      </c>
      <c r="I1016" s="6" t="str">
        <f>_xlfn.CONCAT("Art. złączny do produktu ",Tabela10[[#This Row],[KOD_PRODUKTU]])</f>
        <v>Art. złączny do produktu 445P25</v>
      </c>
      <c r="J1016" s="6" t="str">
        <f>_xlfn.CONCAT("VE-",Tabela10[[#This Row],[KOD_PRODUKTU]])</f>
        <v>VE-445P25</v>
      </c>
    </row>
    <row r="1017" spans="1:10" x14ac:dyDescent="0.25">
      <c r="A1017" s="1" t="s">
        <v>2277</v>
      </c>
      <c r="B1017" t="s">
        <v>2278</v>
      </c>
      <c r="C1017" s="1" t="s">
        <v>507</v>
      </c>
      <c r="D1017" t="s">
        <v>508</v>
      </c>
      <c r="E1017" t="s">
        <v>578</v>
      </c>
      <c r="F1017" t="s">
        <v>5</v>
      </c>
      <c r="G1017" t="s">
        <v>2279</v>
      </c>
      <c r="H1017">
        <v>16.64</v>
      </c>
      <c r="I1017" s="6" t="str">
        <f>_xlfn.CONCAT("Art. złączny do produktu ",Tabela10[[#This Row],[KOD_PRODUKTU]])</f>
        <v>Art. złączny do produktu 445P26</v>
      </c>
      <c r="J1017" s="6" t="str">
        <f>_xlfn.CONCAT("VE-",Tabela10[[#This Row],[KOD_PRODUKTU]])</f>
        <v>VE-445P26</v>
      </c>
    </row>
    <row r="1018" spans="1:10" x14ac:dyDescent="0.25">
      <c r="A1018" s="7" t="s">
        <v>2277</v>
      </c>
      <c r="B1018" s="6" t="s">
        <v>2278</v>
      </c>
      <c r="C1018" s="7" t="s">
        <v>1907</v>
      </c>
      <c r="D1018" s="6" t="s">
        <v>1908</v>
      </c>
      <c r="E1018" s="6" t="s">
        <v>1909</v>
      </c>
      <c r="F1018" s="6" t="s">
        <v>39</v>
      </c>
      <c r="G1018" s="6" t="s">
        <v>2194</v>
      </c>
      <c r="H1018" s="6">
        <v>2.06</v>
      </c>
      <c r="I1018" s="6" t="str">
        <f>_xlfn.CONCAT("Art. złączny do produktu ",Tabela10[[#This Row],[KOD_PRODUKTU]])</f>
        <v>Art. złączny do produktu 445P26</v>
      </c>
      <c r="J1018" s="6" t="str">
        <f>_xlfn.CONCAT("VE-",Tabela10[[#This Row],[KOD_PRODUKTU]])</f>
        <v>VE-445P26</v>
      </c>
    </row>
    <row r="1019" spans="1:10" x14ac:dyDescent="0.25">
      <c r="A1019" s="1" t="s">
        <v>2277</v>
      </c>
      <c r="B1019" t="s">
        <v>2278</v>
      </c>
      <c r="C1019" s="1" t="s">
        <v>2242</v>
      </c>
      <c r="D1019" t="s">
        <v>2243</v>
      </c>
      <c r="E1019" t="s">
        <v>557</v>
      </c>
      <c r="F1019" t="s">
        <v>39</v>
      </c>
      <c r="G1019" t="s">
        <v>605</v>
      </c>
      <c r="H1019">
        <v>0.34</v>
      </c>
      <c r="I1019" s="6" t="str">
        <f>_xlfn.CONCAT("Art. złączny do produktu ",Tabela10[[#This Row],[KOD_PRODUKTU]])</f>
        <v>Art. złączny do produktu 445P26</v>
      </c>
      <c r="J1019" s="6" t="str">
        <f>_xlfn.CONCAT("VE-",Tabela10[[#This Row],[KOD_PRODUKTU]])</f>
        <v>VE-445P26</v>
      </c>
    </row>
    <row r="1020" spans="1:10" x14ac:dyDescent="0.25">
      <c r="A1020" s="7" t="s">
        <v>2277</v>
      </c>
      <c r="B1020" s="6" t="s">
        <v>2278</v>
      </c>
      <c r="C1020" s="7" t="s">
        <v>2261</v>
      </c>
      <c r="D1020" s="6" t="s">
        <v>2262</v>
      </c>
      <c r="E1020" s="6" t="s">
        <v>2263</v>
      </c>
      <c r="F1020" s="6" t="s">
        <v>49</v>
      </c>
      <c r="G1020" s="6" t="s">
        <v>92</v>
      </c>
      <c r="H1020" s="6">
        <v>22.54</v>
      </c>
      <c r="I1020" s="6" t="str">
        <f>_xlfn.CONCAT("Art. złączny do produktu ",Tabela10[[#This Row],[KOD_PRODUKTU]])</f>
        <v>Art. złączny do produktu 445P26</v>
      </c>
      <c r="J1020" s="6" t="str">
        <f>_xlfn.CONCAT("VE-",Tabela10[[#This Row],[KOD_PRODUKTU]])</f>
        <v>VE-445P26</v>
      </c>
    </row>
    <row r="1021" spans="1:10" x14ac:dyDescent="0.25">
      <c r="A1021" s="1" t="s">
        <v>2277</v>
      </c>
      <c r="B1021" t="s">
        <v>2278</v>
      </c>
      <c r="C1021" s="1" t="s">
        <v>2246</v>
      </c>
      <c r="D1021" t="s">
        <v>2247</v>
      </c>
      <c r="E1021" t="s">
        <v>2248</v>
      </c>
      <c r="F1021" t="s">
        <v>49</v>
      </c>
      <c r="G1021" t="s">
        <v>92</v>
      </c>
      <c r="H1021">
        <v>4.3</v>
      </c>
      <c r="I1021" s="6" t="str">
        <f>_xlfn.CONCAT("Art. złączny do produktu ",Tabela10[[#This Row],[KOD_PRODUKTU]])</f>
        <v>Art. złączny do produktu 445P26</v>
      </c>
      <c r="J1021" s="6" t="str">
        <f>_xlfn.CONCAT("VE-",Tabela10[[#This Row],[KOD_PRODUKTU]])</f>
        <v>VE-445P26</v>
      </c>
    </row>
    <row r="1022" spans="1:10" x14ac:dyDescent="0.25">
      <c r="A1022" s="7" t="s">
        <v>2277</v>
      </c>
      <c r="B1022" s="6" t="s">
        <v>2278</v>
      </c>
      <c r="C1022" s="7" t="s">
        <v>2249</v>
      </c>
      <c r="D1022" s="6" t="s">
        <v>2250</v>
      </c>
      <c r="E1022" s="6" t="s">
        <v>2251</v>
      </c>
      <c r="F1022" s="6" t="s">
        <v>49</v>
      </c>
      <c r="G1022" s="6" t="s">
        <v>50</v>
      </c>
      <c r="H1022" s="6">
        <v>6.39</v>
      </c>
      <c r="I1022" s="6" t="str">
        <f>_xlfn.CONCAT("Art. złączny do produktu ",Tabela10[[#This Row],[KOD_PRODUKTU]])</f>
        <v>Art. złączny do produktu 445P26</v>
      </c>
      <c r="J1022" s="6" t="str">
        <f>_xlfn.CONCAT("VE-",Tabela10[[#This Row],[KOD_PRODUKTU]])</f>
        <v>VE-445P26</v>
      </c>
    </row>
    <row r="1023" spans="1:10" x14ac:dyDescent="0.25">
      <c r="A1023" s="1" t="s">
        <v>2277</v>
      </c>
      <c r="B1023" t="s">
        <v>2278</v>
      </c>
      <c r="C1023" s="1" t="s">
        <v>2252</v>
      </c>
      <c r="D1023" t="s">
        <v>2253</v>
      </c>
      <c r="E1023" t="s">
        <v>2251</v>
      </c>
      <c r="F1023" t="s">
        <v>49</v>
      </c>
      <c r="G1023" t="s">
        <v>50</v>
      </c>
      <c r="H1023">
        <v>6.39</v>
      </c>
      <c r="I1023" s="6" t="str">
        <f>_xlfn.CONCAT("Art. złączny do produktu ",Tabela10[[#This Row],[KOD_PRODUKTU]])</f>
        <v>Art. złączny do produktu 445P26</v>
      </c>
      <c r="J1023" s="6" t="str">
        <f>_xlfn.CONCAT("VE-",Tabela10[[#This Row],[KOD_PRODUKTU]])</f>
        <v>VE-445P26</v>
      </c>
    </row>
    <row r="1024" spans="1:10" x14ac:dyDescent="0.25">
      <c r="A1024" s="7" t="s">
        <v>2277</v>
      </c>
      <c r="B1024" s="6" t="s">
        <v>2278</v>
      </c>
      <c r="C1024" s="7" t="s">
        <v>2254</v>
      </c>
      <c r="D1024" s="6" t="s">
        <v>2255</v>
      </c>
      <c r="E1024" s="6" t="s">
        <v>2256</v>
      </c>
      <c r="F1024" s="6" t="s">
        <v>49</v>
      </c>
      <c r="G1024" s="6" t="s">
        <v>92</v>
      </c>
      <c r="H1024" s="6">
        <v>4.5</v>
      </c>
      <c r="I1024" s="6" t="str">
        <f>_xlfn.CONCAT("Art. złączny do produktu ",Tabela10[[#This Row],[KOD_PRODUKTU]])</f>
        <v>Art. złączny do produktu 445P26</v>
      </c>
      <c r="J1024" s="6" t="str">
        <f>_xlfn.CONCAT("VE-",Tabela10[[#This Row],[KOD_PRODUKTU]])</f>
        <v>VE-445P26</v>
      </c>
    </row>
    <row r="1025" spans="1:10" x14ac:dyDescent="0.25">
      <c r="A1025" s="1" t="s">
        <v>2277</v>
      </c>
      <c r="B1025" t="s">
        <v>2278</v>
      </c>
      <c r="C1025" s="1" t="s">
        <v>541</v>
      </c>
      <c r="D1025" t="s">
        <v>542</v>
      </c>
      <c r="E1025" t="s">
        <v>9</v>
      </c>
      <c r="F1025" t="s">
        <v>10</v>
      </c>
      <c r="G1025" t="s">
        <v>2264</v>
      </c>
      <c r="H1025">
        <v>21.71</v>
      </c>
      <c r="I1025" s="6" t="str">
        <f>_xlfn.CONCAT("Art. złączny do produktu ",Tabela10[[#This Row],[KOD_PRODUKTU]])</f>
        <v>Art. złączny do produktu 445P26</v>
      </c>
      <c r="J1025" s="6" t="str">
        <f>_xlfn.CONCAT("VE-",Tabela10[[#This Row],[KOD_PRODUKTU]])</f>
        <v>VE-445P26</v>
      </c>
    </row>
    <row r="1026" spans="1:10" x14ac:dyDescent="0.25">
      <c r="A1026" s="7" t="s">
        <v>2280</v>
      </c>
      <c r="B1026" s="6" t="s">
        <v>2281</v>
      </c>
      <c r="C1026" s="7" t="s">
        <v>507</v>
      </c>
      <c r="D1026" s="6" t="s">
        <v>508</v>
      </c>
      <c r="E1026" s="6" t="s">
        <v>578</v>
      </c>
      <c r="F1026" s="6" t="s">
        <v>5</v>
      </c>
      <c r="G1026" s="6" t="s">
        <v>2282</v>
      </c>
      <c r="H1026" s="6">
        <v>12.06</v>
      </c>
      <c r="I1026" s="6" t="str">
        <f>_xlfn.CONCAT("Art. złączny do produktu ",Tabela10[[#This Row],[KOD_PRODUKTU]])</f>
        <v>Art. złączny do produktu 445P27</v>
      </c>
      <c r="J1026" s="6" t="str">
        <f>_xlfn.CONCAT("VE-",Tabela10[[#This Row],[KOD_PRODUKTU]])</f>
        <v>VE-445P27</v>
      </c>
    </row>
    <row r="1027" spans="1:10" x14ac:dyDescent="0.25">
      <c r="A1027" s="1" t="s">
        <v>2280</v>
      </c>
      <c r="B1027" t="s">
        <v>2281</v>
      </c>
      <c r="C1027" s="1" t="s">
        <v>511</v>
      </c>
      <c r="D1027" t="s">
        <v>512</v>
      </c>
      <c r="E1027" t="s">
        <v>580</v>
      </c>
      <c r="F1027" t="s">
        <v>39</v>
      </c>
      <c r="G1027" t="s">
        <v>478</v>
      </c>
      <c r="H1027">
        <v>0.6</v>
      </c>
      <c r="I1027" s="6" t="str">
        <f>_xlfn.CONCAT("Art. złączny do produktu ",Tabela10[[#This Row],[KOD_PRODUKTU]])</f>
        <v>Art. złączny do produktu 445P27</v>
      </c>
      <c r="J1027" s="6" t="str">
        <f>_xlfn.CONCAT("VE-",Tabela10[[#This Row],[KOD_PRODUKTU]])</f>
        <v>VE-445P27</v>
      </c>
    </row>
    <row r="1028" spans="1:10" x14ac:dyDescent="0.25">
      <c r="A1028" s="7" t="s">
        <v>2280</v>
      </c>
      <c r="B1028" s="6" t="s">
        <v>2281</v>
      </c>
      <c r="C1028" s="7" t="s">
        <v>514</v>
      </c>
      <c r="D1028" s="6" t="s">
        <v>515</v>
      </c>
      <c r="E1028" s="6" t="s">
        <v>516</v>
      </c>
      <c r="F1028" s="6" t="s">
        <v>121</v>
      </c>
      <c r="G1028" s="6" t="s">
        <v>50</v>
      </c>
      <c r="H1028" s="6">
        <v>0.27</v>
      </c>
      <c r="I1028" s="6" t="str">
        <f>_xlfn.CONCAT("Art. złączny do produktu ",Tabela10[[#This Row],[KOD_PRODUKTU]])</f>
        <v>Art. złączny do produktu 445P27</v>
      </c>
      <c r="J1028" s="6" t="str">
        <f>_xlfn.CONCAT("VE-",Tabela10[[#This Row],[KOD_PRODUKTU]])</f>
        <v>VE-445P27</v>
      </c>
    </row>
    <row r="1029" spans="1:10" x14ac:dyDescent="0.25">
      <c r="A1029" s="1" t="s">
        <v>2280</v>
      </c>
      <c r="B1029" t="s">
        <v>2281</v>
      </c>
      <c r="C1029" s="1" t="s">
        <v>41</v>
      </c>
      <c r="D1029" t="s">
        <v>42</v>
      </c>
      <c r="E1029" t="s">
        <v>513</v>
      </c>
      <c r="F1029" t="s">
        <v>5</v>
      </c>
      <c r="G1029" t="s">
        <v>2283</v>
      </c>
      <c r="H1029">
        <v>0.06</v>
      </c>
      <c r="I1029" s="6" t="str">
        <f>_xlfn.CONCAT("Art. złączny do produktu ",Tabela10[[#This Row],[KOD_PRODUKTU]])</f>
        <v>Art. złączny do produktu 445P27</v>
      </c>
      <c r="J1029" s="6" t="str">
        <f>_xlfn.CONCAT("VE-",Tabela10[[#This Row],[KOD_PRODUKTU]])</f>
        <v>VE-445P27</v>
      </c>
    </row>
    <row r="1030" spans="1:10" x14ac:dyDescent="0.25">
      <c r="A1030" s="7" t="s">
        <v>2280</v>
      </c>
      <c r="B1030" s="6" t="s">
        <v>2281</v>
      </c>
      <c r="C1030" s="7" t="s">
        <v>517</v>
      </c>
      <c r="D1030" s="6" t="s">
        <v>518</v>
      </c>
      <c r="E1030" s="6" t="s">
        <v>519</v>
      </c>
      <c r="F1030" s="6" t="s">
        <v>121</v>
      </c>
      <c r="G1030" s="6" t="s">
        <v>92</v>
      </c>
      <c r="H1030" s="6">
        <v>11.1</v>
      </c>
      <c r="I1030" s="6" t="str">
        <f>_xlfn.CONCAT("Art. złączny do produktu ",Tabela10[[#This Row],[KOD_PRODUKTU]])</f>
        <v>Art. złączny do produktu 445P27</v>
      </c>
      <c r="J1030" s="6" t="str">
        <f>_xlfn.CONCAT("VE-",Tabela10[[#This Row],[KOD_PRODUKTU]])</f>
        <v>VE-445P27</v>
      </c>
    </row>
    <row r="1031" spans="1:10" x14ac:dyDescent="0.25">
      <c r="A1031" s="1" t="s">
        <v>2280</v>
      </c>
      <c r="B1031" t="s">
        <v>2281</v>
      </c>
      <c r="C1031" s="1" t="s">
        <v>520</v>
      </c>
      <c r="D1031" t="s">
        <v>521</v>
      </c>
      <c r="E1031" t="s">
        <v>522</v>
      </c>
      <c r="F1031" t="s">
        <v>121</v>
      </c>
      <c r="G1031" t="s">
        <v>50</v>
      </c>
      <c r="H1031">
        <v>3.45</v>
      </c>
      <c r="I1031" s="6" t="str">
        <f>_xlfn.CONCAT("Art. złączny do produktu ",Tabela10[[#This Row],[KOD_PRODUKTU]])</f>
        <v>Art. złączny do produktu 445P27</v>
      </c>
      <c r="J1031" s="6" t="str">
        <f>_xlfn.CONCAT("VE-",Tabela10[[#This Row],[KOD_PRODUKTU]])</f>
        <v>VE-445P27</v>
      </c>
    </row>
    <row r="1032" spans="1:10" x14ac:dyDescent="0.25">
      <c r="A1032" s="7" t="s">
        <v>2280</v>
      </c>
      <c r="B1032" s="6" t="s">
        <v>2281</v>
      </c>
      <c r="C1032" s="7" t="s">
        <v>541</v>
      </c>
      <c r="D1032" s="6" t="s">
        <v>542</v>
      </c>
      <c r="E1032" s="6" t="s">
        <v>9</v>
      </c>
      <c r="F1032" s="6" t="s">
        <v>10</v>
      </c>
      <c r="G1032" s="6" t="s">
        <v>2284</v>
      </c>
      <c r="H1032" s="6">
        <v>15.12</v>
      </c>
      <c r="I1032" s="6" t="str">
        <f>_xlfn.CONCAT("Art. złączny do produktu ",Tabela10[[#This Row],[KOD_PRODUKTU]])</f>
        <v>Art. złączny do produktu 445P27</v>
      </c>
      <c r="J1032" s="6" t="str">
        <f>_xlfn.CONCAT("VE-",Tabela10[[#This Row],[KOD_PRODUKTU]])</f>
        <v>VE-445P27</v>
      </c>
    </row>
    <row r="1033" spans="1:10" x14ac:dyDescent="0.25">
      <c r="A1033" s="1" t="s">
        <v>2285</v>
      </c>
      <c r="B1033" t="s">
        <v>2286</v>
      </c>
      <c r="C1033" s="1" t="s">
        <v>471</v>
      </c>
      <c r="D1033" t="s">
        <v>472</v>
      </c>
      <c r="E1033" t="s">
        <v>526</v>
      </c>
      <c r="F1033" t="s">
        <v>5</v>
      </c>
      <c r="G1033" t="s">
        <v>2287</v>
      </c>
      <c r="H1033">
        <v>32.94</v>
      </c>
      <c r="I1033" s="6" t="str">
        <f>_xlfn.CONCAT("Art. złączny do produktu ",Tabela10[[#This Row],[KOD_PRODUKTU]])</f>
        <v>Art. złączny do produktu 445P29</v>
      </c>
      <c r="J1033" s="6" t="str">
        <f>_xlfn.CONCAT("VE-",Tabela10[[#This Row],[KOD_PRODUKTU]])</f>
        <v>VE-445P29</v>
      </c>
    </row>
    <row r="1034" spans="1:10" x14ac:dyDescent="0.25">
      <c r="A1034" s="7" t="s">
        <v>2285</v>
      </c>
      <c r="B1034" s="6" t="s">
        <v>2286</v>
      </c>
      <c r="C1034" s="7" t="s">
        <v>475</v>
      </c>
      <c r="D1034" s="6" t="s">
        <v>476</v>
      </c>
      <c r="E1034" s="6" t="s">
        <v>477</v>
      </c>
      <c r="F1034" s="6" t="s">
        <v>39</v>
      </c>
      <c r="G1034" s="6" t="s">
        <v>478</v>
      </c>
      <c r="H1034" s="6">
        <v>0.41</v>
      </c>
      <c r="I1034" s="6" t="str">
        <f>_xlfn.CONCAT("Art. złączny do produktu ",Tabela10[[#This Row],[KOD_PRODUKTU]])</f>
        <v>Art. złączny do produktu 445P29</v>
      </c>
      <c r="J1034" s="6" t="str">
        <f>_xlfn.CONCAT("VE-",Tabela10[[#This Row],[KOD_PRODUKTU]])</f>
        <v>VE-445P29</v>
      </c>
    </row>
    <row r="1035" spans="1:10" x14ac:dyDescent="0.25">
      <c r="A1035" s="1" t="s">
        <v>2285</v>
      </c>
      <c r="B1035" t="s">
        <v>2286</v>
      </c>
      <c r="C1035" s="1" t="s">
        <v>479</v>
      </c>
      <c r="D1035" t="s">
        <v>480</v>
      </c>
      <c r="E1035" t="s">
        <v>481</v>
      </c>
      <c r="F1035" t="s">
        <v>5</v>
      </c>
      <c r="G1035" t="s">
        <v>534</v>
      </c>
      <c r="H1035">
        <v>0.05</v>
      </c>
      <c r="I1035" s="6" t="str">
        <f>_xlfn.CONCAT("Art. złączny do produktu ",Tabela10[[#This Row],[KOD_PRODUKTU]])</f>
        <v>Art. złączny do produktu 445P29</v>
      </c>
      <c r="J1035" s="6" t="str">
        <f>_xlfn.CONCAT("VE-",Tabela10[[#This Row],[KOD_PRODUKTU]])</f>
        <v>VE-445P29</v>
      </c>
    </row>
    <row r="1036" spans="1:10" x14ac:dyDescent="0.25">
      <c r="A1036" s="7" t="s">
        <v>2285</v>
      </c>
      <c r="B1036" s="6" t="s">
        <v>2286</v>
      </c>
      <c r="C1036" s="7" t="s">
        <v>483</v>
      </c>
      <c r="D1036" s="6" t="s">
        <v>484</v>
      </c>
      <c r="E1036" s="6" t="s">
        <v>485</v>
      </c>
      <c r="F1036" s="6" t="s">
        <v>5</v>
      </c>
      <c r="G1036" s="6" t="s">
        <v>573</v>
      </c>
      <c r="H1036" s="6">
        <v>0.01</v>
      </c>
      <c r="I1036" s="6" t="str">
        <f>_xlfn.CONCAT("Art. złączny do produktu ",Tabela10[[#This Row],[KOD_PRODUKTU]])</f>
        <v>Art. złączny do produktu 445P29</v>
      </c>
      <c r="J1036" s="6" t="str">
        <f>_xlfn.CONCAT("VE-",Tabela10[[#This Row],[KOD_PRODUKTU]])</f>
        <v>VE-445P29</v>
      </c>
    </row>
    <row r="1037" spans="1:10" x14ac:dyDescent="0.25">
      <c r="A1037" s="1" t="s">
        <v>2285</v>
      </c>
      <c r="B1037" t="s">
        <v>2286</v>
      </c>
      <c r="C1037" s="1" t="s">
        <v>487</v>
      </c>
      <c r="D1037" t="s">
        <v>488</v>
      </c>
      <c r="E1037" t="s">
        <v>489</v>
      </c>
      <c r="F1037" t="s">
        <v>5</v>
      </c>
      <c r="G1037" t="s">
        <v>2288</v>
      </c>
      <c r="H1037">
        <v>0.28999999999999998</v>
      </c>
      <c r="I1037" s="6" t="str">
        <f>_xlfn.CONCAT("Art. złączny do produktu ",Tabela10[[#This Row],[KOD_PRODUKTU]])</f>
        <v>Art. złączny do produktu 445P29</v>
      </c>
      <c r="J1037" s="6" t="str">
        <f>_xlfn.CONCAT("VE-",Tabela10[[#This Row],[KOD_PRODUKTU]])</f>
        <v>VE-445P29</v>
      </c>
    </row>
    <row r="1038" spans="1:10" x14ac:dyDescent="0.25">
      <c r="A1038" s="7" t="s">
        <v>2285</v>
      </c>
      <c r="B1038" s="6" t="s">
        <v>2286</v>
      </c>
      <c r="C1038" s="7" t="s">
        <v>41</v>
      </c>
      <c r="D1038" s="6" t="s">
        <v>42</v>
      </c>
      <c r="E1038" s="6" t="s">
        <v>43</v>
      </c>
      <c r="F1038" s="6" t="s">
        <v>5</v>
      </c>
      <c r="G1038" s="6" t="s">
        <v>1900</v>
      </c>
      <c r="H1038" s="6">
        <v>0.03</v>
      </c>
      <c r="I1038" s="6" t="str">
        <f>_xlfn.CONCAT("Art. złączny do produktu ",Tabela10[[#This Row],[KOD_PRODUKTU]])</f>
        <v>Art. złączny do produktu 445P29</v>
      </c>
      <c r="J1038" s="6" t="str">
        <f>_xlfn.CONCAT("VE-",Tabela10[[#This Row],[KOD_PRODUKTU]])</f>
        <v>VE-445P29</v>
      </c>
    </row>
    <row r="1039" spans="1:10" x14ac:dyDescent="0.25">
      <c r="A1039" s="1" t="s">
        <v>2285</v>
      </c>
      <c r="B1039" t="s">
        <v>2286</v>
      </c>
      <c r="C1039" s="1" t="s">
        <v>491</v>
      </c>
      <c r="D1039" t="s">
        <v>492</v>
      </c>
      <c r="E1039" t="s">
        <v>493</v>
      </c>
      <c r="F1039" t="s">
        <v>121</v>
      </c>
      <c r="G1039" t="s">
        <v>92</v>
      </c>
      <c r="H1039">
        <v>13.7</v>
      </c>
      <c r="I1039" s="6" t="str">
        <f>_xlfn.CONCAT("Art. złączny do produktu ",Tabela10[[#This Row],[KOD_PRODUKTU]])</f>
        <v>Art. złączny do produktu 445P29</v>
      </c>
      <c r="J1039" s="6" t="str">
        <f>_xlfn.CONCAT("VE-",Tabela10[[#This Row],[KOD_PRODUKTU]])</f>
        <v>VE-445P29</v>
      </c>
    </row>
    <row r="1040" spans="1:10" x14ac:dyDescent="0.25">
      <c r="A1040" s="7" t="s">
        <v>2285</v>
      </c>
      <c r="B1040" s="6" t="s">
        <v>2286</v>
      </c>
      <c r="C1040" s="7" t="s">
        <v>494</v>
      </c>
      <c r="D1040" s="6" t="s">
        <v>495</v>
      </c>
      <c r="E1040" s="6" t="s">
        <v>496</v>
      </c>
      <c r="F1040" s="6" t="s">
        <v>121</v>
      </c>
      <c r="G1040" s="6" t="s">
        <v>50</v>
      </c>
      <c r="H1040" s="6">
        <v>17.45</v>
      </c>
      <c r="I1040" s="6" t="str">
        <f>_xlfn.CONCAT("Art. złączny do produktu ",Tabela10[[#This Row],[KOD_PRODUKTU]])</f>
        <v>Art. złączny do produktu 445P29</v>
      </c>
      <c r="J1040" s="6" t="str">
        <f>_xlfn.CONCAT("VE-",Tabela10[[#This Row],[KOD_PRODUKTU]])</f>
        <v>VE-445P29</v>
      </c>
    </row>
    <row r="1041" spans="1:10" x14ac:dyDescent="0.25">
      <c r="A1041" s="1" t="s">
        <v>2285</v>
      </c>
      <c r="B1041" t="s">
        <v>2286</v>
      </c>
      <c r="C1041" s="1" t="s">
        <v>497</v>
      </c>
      <c r="D1041" t="s">
        <v>498</v>
      </c>
      <c r="E1041" t="s">
        <v>496</v>
      </c>
      <c r="F1041" t="s">
        <v>121</v>
      </c>
      <c r="G1041" t="s">
        <v>50</v>
      </c>
      <c r="H1041">
        <v>17.45</v>
      </c>
      <c r="I1041" s="6" t="str">
        <f>_xlfn.CONCAT("Art. złączny do produktu ",Tabela10[[#This Row],[KOD_PRODUKTU]])</f>
        <v>Art. złączny do produktu 445P29</v>
      </c>
      <c r="J1041" s="6" t="str">
        <f>_xlfn.CONCAT("VE-",Tabela10[[#This Row],[KOD_PRODUKTU]])</f>
        <v>VE-445P29</v>
      </c>
    </row>
    <row r="1042" spans="1:10" x14ac:dyDescent="0.25">
      <c r="A1042" s="7" t="s">
        <v>2285</v>
      </c>
      <c r="B1042" s="6" t="s">
        <v>2286</v>
      </c>
      <c r="C1042" s="7" t="s">
        <v>499</v>
      </c>
      <c r="D1042" s="6" t="s">
        <v>500</v>
      </c>
      <c r="E1042" s="6" t="s">
        <v>501</v>
      </c>
      <c r="F1042" s="6" t="s">
        <v>121</v>
      </c>
      <c r="G1042" s="6" t="s">
        <v>50</v>
      </c>
      <c r="H1042" s="6">
        <v>4.5</v>
      </c>
      <c r="I1042" s="6" t="str">
        <f>_xlfn.CONCAT("Art. złączny do produktu ",Tabela10[[#This Row],[KOD_PRODUKTU]])</f>
        <v>Art. złączny do produktu 445P29</v>
      </c>
      <c r="J1042" s="6" t="str">
        <f>_xlfn.CONCAT("VE-",Tabela10[[#This Row],[KOD_PRODUKTU]])</f>
        <v>VE-445P29</v>
      </c>
    </row>
    <row r="1043" spans="1:10" x14ac:dyDescent="0.25">
      <c r="A1043" s="1" t="s">
        <v>2285</v>
      </c>
      <c r="B1043" t="s">
        <v>2286</v>
      </c>
      <c r="C1043" s="1" t="s">
        <v>7</v>
      </c>
      <c r="D1043" t="s">
        <v>8</v>
      </c>
      <c r="E1043" t="s">
        <v>9</v>
      </c>
      <c r="F1043" t="s">
        <v>10</v>
      </c>
      <c r="G1043" t="s">
        <v>2289</v>
      </c>
      <c r="H1043">
        <v>44.2</v>
      </c>
      <c r="I1043" s="6" t="str">
        <f>_xlfn.CONCAT("Art. złączny do produktu ",Tabela10[[#This Row],[KOD_PRODUKTU]])</f>
        <v>Art. złączny do produktu 445P29</v>
      </c>
      <c r="J1043" s="6" t="str">
        <f>_xlfn.CONCAT("VE-",Tabela10[[#This Row],[KOD_PRODUKTU]])</f>
        <v>VE-445P29</v>
      </c>
    </row>
    <row r="1044" spans="1:10" x14ac:dyDescent="0.25">
      <c r="A1044" s="7" t="s">
        <v>2290</v>
      </c>
      <c r="B1044" s="6" t="s">
        <v>2291</v>
      </c>
      <c r="C1044" s="7" t="s">
        <v>2292</v>
      </c>
      <c r="D1044" s="6" t="s">
        <v>2293</v>
      </c>
      <c r="E1044" s="6" t="s">
        <v>2294</v>
      </c>
      <c r="F1044" s="6" t="s">
        <v>17</v>
      </c>
      <c r="G1044" s="6" t="s">
        <v>2295</v>
      </c>
      <c r="H1044" s="6">
        <v>18.600000000000001</v>
      </c>
      <c r="I1044" s="6" t="str">
        <f>_xlfn.CONCAT("Art. złączny do produktu ",Tabela10[[#This Row],[KOD_PRODUKTU]])</f>
        <v>Art. złączny do produktu 445P36</v>
      </c>
      <c r="J1044" s="6" t="str">
        <f>_xlfn.CONCAT("VE-",Tabela10[[#This Row],[KOD_PRODUKTU]])</f>
        <v>VE-445P36</v>
      </c>
    </row>
    <row r="1045" spans="1:10" x14ac:dyDescent="0.25">
      <c r="A1045" s="1" t="s">
        <v>2290</v>
      </c>
      <c r="B1045" t="s">
        <v>2291</v>
      </c>
      <c r="C1045" s="1" t="s">
        <v>2296</v>
      </c>
      <c r="D1045" t="s">
        <v>2297</v>
      </c>
      <c r="E1045" t="s">
        <v>2298</v>
      </c>
      <c r="F1045" t="s">
        <v>39</v>
      </c>
      <c r="G1045" t="s">
        <v>447</v>
      </c>
      <c r="H1045">
        <v>0.22</v>
      </c>
      <c r="I1045" s="6" t="str">
        <f>_xlfn.CONCAT("Art. złączny do produktu ",Tabela10[[#This Row],[KOD_PRODUKTU]])</f>
        <v>Art. złączny do produktu 445P36</v>
      </c>
      <c r="J1045" s="6" t="str">
        <f>_xlfn.CONCAT("VE-",Tabela10[[#This Row],[KOD_PRODUKTU]])</f>
        <v>VE-445P36</v>
      </c>
    </row>
    <row r="1046" spans="1:10" x14ac:dyDescent="0.25">
      <c r="A1046" s="7" t="s">
        <v>2290</v>
      </c>
      <c r="B1046" s="6" t="s">
        <v>2291</v>
      </c>
      <c r="C1046" s="7" t="s">
        <v>2299</v>
      </c>
      <c r="D1046" s="6" t="s">
        <v>2300</v>
      </c>
      <c r="E1046" s="6" t="s">
        <v>2301</v>
      </c>
      <c r="F1046" s="6" t="s">
        <v>1857</v>
      </c>
      <c r="G1046" s="6" t="s">
        <v>2302</v>
      </c>
      <c r="H1046" s="6">
        <v>2.2400000000000002</v>
      </c>
      <c r="I1046" s="6" t="str">
        <f>_xlfn.CONCAT("Art. złączny do produktu ",Tabela10[[#This Row],[KOD_PRODUKTU]])</f>
        <v>Art. złączny do produktu 445P36</v>
      </c>
      <c r="J1046" s="6" t="str">
        <f>_xlfn.CONCAT("VE-",Tabela10[[#This Row],[KOD_PRODUKTU]])</f>
        <v>VE-445P36</v>
      </c>
    </row>
    <row r="1047" spans="1:10" x14ac:dyDescent="0.25">
      <c r="A1047" s="1" t="s">
        <v>2290</v>
      </c>
      <c r="B1047" t="s">
        <v>2291</v>
      </c>
      <c r="C1047" s="1" t="s">
        <v>649</v>
      </c>
      <c r="D1047" t="s">
        <v>650</v>
      </c>
      <c r="E1047" t="s">
        <v>2303</v>
      </c>
      <c r="F1047" t="s">
        <v>39</v>
      </c>
      <c r="G1047" t="s">
        <v>447</v>
      </c>
      <c r="H1047">
        <v>0.18</v>
      </c>
      <c r="I1047" s="6" t="str">
        <f>_xlfn.CONCAT("Art. złączny do produktu ",Tabela10[[#This Row],[KOD_PRODUKTU]])</f>
        <v>Art. złączny do produktu 445P36</v>
      </c>
      <c r="J1047" s="6" t="str">
        <f>_xlfn.CONCAT("VE-",Tabela10[[#This Row],[KOD_PRODUKTU]])</f>
        <v>VE-445P36</v>
      </c>
    </row>
    <row r="1048" spans="1:10" x14ac:dyDescent="0.25">
      <c r="A1048" s="7" t="s">
        <v>2290</v>
      </c>
      <c r="B1048" s="6" t="s">
        <v>2291</v>
      </c>
      <c r="C1048" s="7" t="s">
        <v>898</v>
      </c>
      <c r="D1048" s="6" t="s">
        <v>865</v>
      </c>
      <c r="E1048" s="6" t="s">
        <v>866</v>
      </c>
      <c r="F1048" s="6" t="s">
        <v>39</v>
      </c>
      <c r="G1048" s="6" t="s">
        <v>605</v>
      </c>
      <c r="H1048" s="6">
        <v>0.12</v>
      </c>
      <c r="I1048" s="6" t="str">
        <f>_xlfn.CONCAT("Art. złączny do produktu ",Tabela10[[#This Row],[KOD_PRODUKTU]])</f>
        <v>Art. złączny do produktu 445P36</v>
      </c>
      <c r="J1048" s="6" t="str">
        <f>_xlfn.CONCAT("VE-",Tabela10[[#This Row],[KOD_PRODUKTU]])</f>
        <v>VE-445P36</v>
      </c>
    </row>
    <row r="1049" spans="1:10" x14ac:dyDescent="0.25">
      <c r="A1049" s="1" t="s">
        <v>2290</v>
      </c>
      <c r="B1049" t="s">
        <v>2291</v>
      </c>
      <c r="C1049" s="1" t="s">
        <v>2304</v>
      </c>
      <c r="D1049" t="s">
        <v>2305</v>
      </c>
      <c r="E1049" t="s">
        <v>2306</v>
      </c>
      <c r="F1049" t="s">
        <v>121</v>
      </c>
      <c r="G1049" t="s">
        <v>92</v>
      </c>
      <c r="H1049">
        <v>0.68</v>
      </c>
      <c r="I1049" s="6" t="str">
        <f>_xlfn.CONCAT("Art. złączny do produktu ",Tabela10[[#This Row],[KOD_PRODUKTU]])</f>
        <v>Art. złączny do produktu 445P36</v>
      </c>
      <c r="J1049" s="6" t="str">
        <f>_xlfn.CONCAT("VE-",Tabela10[[#This Row],[KOD_PRODUKTU]])</f>
        <v>VE-445P36</v>
      </c>
    </row>
    <row r="1050" spans="1:10" x14ac:dyDescent="0.25">
      <c r="A1050" s="7" t="s">
        <v>2290</v>
      </c>
      <c r="B1050" s="6" t="s">
        <v>2291</v>
      </c>
      <c r="C1050" s="7" t="s">
        <v>41</v>
      </c>
      <c r="D1050" s="6" t="s">
        <v>42</v>
      </c>
      <c r="E1050" s="6" t="s">
        <v>43</v>
      </c>
      <c r="F1050" s="6" t="s">
        <v>5</v>
      </c>
      <c r="G1050" s="6" t="s">
        <v>227</v>
      </c>
      <c r="H1050" s="6">
        <v>0.01</v>
      </c>
      <c r="I1050" s="6" t="str">
        <f>_xlfn.CONCAT("Art. złączny do produktu ",Tabela10[[#This Row],[KOD_PRODUKTU]])</f>
        <v>Art. złączny do produktu 445P36</v>
      </c>
      <c r="J1050" s="6" t="str">
        <f>_xlfn.CONCAT("VE-",Tabela10[[#This Row],[KOD_PRODUKTU]])</f>
        <v>VE-445P36</v>
      </c>
    </row>
    <row r="1051" spans="1:10" x14ac:dyDescent="0.25">
      <c r="A1051" s="1" t="s">
        <v>2290</v>
      </c>
      <c r="B1051" t="s">
        <v>2291</v>
      </c>
      <c r="C1051" s="1" t="s">
        <v>2307</v>
      </c>
      <c r="D1051" t="s">
        <v>2308</v>
      </c>
      <c r="E1051" t="s">
        <v>2309</v>
      </c>
      <c r="F1051" t="s">
        <v>121</v>
      </c>
      <c r="G1051" t="s">
        <v>92</v>
      </c>
      <c r="H1051">
        <v>19.5</v>
      </c>
      <c r="I1051" s="6" t="str">
        <f>_xlfn.CONCAT("Art. złączny do produktu ",Tabela10[[#This Row],[KOD_PRODUKTU]])</f>
        <v>Art. złączny do produktu 445P36</v>
      </c>
      <c r="J1051" s="6" t="str">
        <f>_xlfn.CONCAT("VE-",Tabela10[[#This Row],[KOD_PRODUKTU]])</f>
        <v>VE-445P36</v>
      </c>
    </row>
    <row r="1052" spans="1:10" x14ac:dyDescent="0.25">
      <c r="A1052" s="7" t="s">
        <v>2290</v>
      </c>
      <c r="B1052" s="6" t="s">
        <v>2291</v>
      </c>
      <c r="C1052" s="7" t="s">
        <v>2310</v>
      </c>
      <c r="D1052" s="6" t="s">
        <v>2311</v>
      </c>
      <c r="E1052" s="6" t="s">
        <v>2312</v>
      </c>
      <c r="F1052" s="6" t="s">
        <v>121</v>
      </c>
      <c r="G1052" s="6" t="s">
        <v>50</v>
      </c>
      <c r="H1052" s="6">
        <v>37.15</v>
      </c>
      <c r="I1052" s="6" t="str">
        <f>_xlfn.CONCAT("Art. złączny do produktu ",Tabela10[[#This Row],[KOD_PRODUKTU]])</f>
        <v>Art. złączny do produktu 445P36</v>
      </c>
      <c r="J1052" s="6" t="str">
        <f>_xlfn.CONCAT("VE-",Tabela10[[#This Row],[KOD_PRODUKTU]])</f>
        <v>VE-445P36</v>
      </c>
    </row>
    <row r="1053" spans="1:10" x14ac:dyDescent="0.25">
      <c r="A1053" s="1" t="s">
        <v>2290</v>
      </c>
      <c r="B1053" t="s">
        <v>2291</v>
      </c>
      <c r="C1053" s="1" t="s">
        <v>2313</v>
      </c>
      <c r="D1053" t="s">
        <v>2314</v>
      </c>
      <c r="E1053" t="s">
        <v>2312</v>
      </c>
      <c r="F1053" t="s">
        <v>121</v>
      </c>
      <c r="G1053" t="s">
        <v>50</v>
      </c>
      <c r="H1053">
        <v>37.15</v>
      </c>
      <c r="I1053" s="6" t="str">
        <f>_xlfn.CONCAT("Art. złączny do produktu ",Tabela10[[#This Row],[KOD_PRODUKTU]])</f>
        <v>Art. złączny do produktu 445P36</v>
      </c>
      <c r="J1053" s="6" t="str">
        <f>_xlfn.CONCAT("VE-",Tabela10[[#This Row],[KOD_PRODUKTU]])</f>
        <v>VE-445P36</v>
      </c>
    </row>
    <row r="1054" spans="1:10" x14ac:dyDescent="0.25">
      <c r="A1054" s="7" t="s">
        <v>2290</v>
      </c>
      <c r="B1054" s="6" t="s">
        <v>2291</v>
      </c>
      <c r="C1054" s="7" t="s">
        <v>7</v>
      </c>
      <c r="D1054" s="6" t="s">
        <v>8</v>
      </c>
      <c r="E1054" s="6" t="s">
        <v>9</v>
      </c>
      <c r="F1054" s="6" t="s">
        <v>10</v>
      </c>
      <c r="G1054" s="6" t="s">
        <v>2315</v>
      </c>
      <c r="H1054" s="6">
        <v>41.4</v>
      </c>
      <c r="I1054" s="6" t="str">
        <f>_xlfn.CONCAT("Art. złączny do produktu ",Tabela10[[#This Row],[KOD_PRODUKTU]])</f>
        <v>Art. złączny do produktu 445P36</v>
      </c>
      <c r="J1054" s="6" t="str">
        <f>_xlfn.CONCAT("VE-",Tabela10[[#This Row],[KOD_PRODUKTU]])</f>
        <v>VE-445P36</v>
      </c>
    </row>
    <row r="1055" spans="1:10" x14ac:dyDescent="0.25">
      <c r="A1055" s="1" t="s">
        <v>2316</v>
      </c>
      <c r="B1055" t="s">
        <v>2317</v>
      </c>
      <c r="C1055" s="1" t="s">
        <v>2318</v>
      </c>
      <c r="D1055" t="s">
        <v>2319</v>
      </c>
      <c r="E1055" t="s">
        <v>2320</v>
      </c>
      <c r="F1055" t="s">
        <v>17</v>
      </c>
      <c r="G1055" t="s">
        <v>2321</v>
      </c>
      <c r="H1055">
        <v>7.59</v>
      </c>
      <c r="I1055" s="6" t="str">
        <f>_xlfn.CONCAT("Art. złączny do produktu ",Tabela10[[#This Row],[KOD_PRODUKTU]])</f>
        <v>Art. złączny do produktu 445P37</v>
      </c>
      <c r="J1055" s="6" t="str">
        <f>_xlfn.CONCAT("VE-",Tabela10[[#This Row],[KOD_PRODUKTU]])</f>
        <v>VE-445P37</v>
      </c>
    </row>
    <row r="1056" spans="1:10" x14ac:dyDescent="0.25">
      <c r="A1056" s="7" t="s">
        <v>2316</v>
      </c>
      <c r="B1056" s="6" t="s">
        <v>2317</v>
      </c>
      <c r="C1056" s="7" t="s">
        <v>2322</v>
      </c>
      <c r="D1056" s="6" t="s">
        <v>2323</v>
      </c>
      <c r="E1056" s="6" t="s">
        <v>2324</v>
      </c>
      <c r="F1056" s="6" t="s">
        <v>39</v>
      </c>
      <c r="G1056" s="6" t="s">
        <v>478</v>
      </c>
      <c r="H1056" s="6">
        <v>2.96</v>
      </c>
      <c r="I1056" s="6" t="str">
        <f>_xlfn.CONCAT("Art. złączny do produktu ",Tabela10[[#This Row],[KOD_PRODUKTU]])</f>
        <v>Art. złączny do produktu 445P37</v>
      </c>
      <c r="J1056" s="6" t="str">
        <f>_xlfn.CONCAT("VE-",Tabela10[[#This Row],[KOD_PRODUKTU]])</f>
        <v>VE-445P37</v>
      </c>
    </row>
    <row r="1057" spans="1:10" x14ac:dyDescent="0.25">
      <c r="A1057" s="1" t="s">
        <v>2316</v>
      </c>
      <c r="B1057" t="s">
        <v>2317</v>
      </c>
      <c r="C1057" s="1" t="s">
        <v>514</v>
      </c>
      <c r="D1057" t="s">
        <v>515</v>
      </c>
      <c r="E1057" t="s">
        <v>516</v>
      </c>
      <c r="F1057" t="s">
        <v>121</v>
      </c>
      <c r="G1057" t="s">
        <v>92</v>
      </c>
      <c r="H1057">
        <v>0.54</v>
      </c>
      <c r="I1057" s="6" t="str">
        <f>_xlfn.CONCAT("Art. złączny do produktu ",Tabela10[[#This Row],[KOD_PRODUKTU]])</f>
        <v>Art. złączny do produktu 445P37</v>
      </c>
      <c r="J1057" s="6" t="str">
        <f>_xlfn.CONCAT("VE-",Tabela10[[#This Row],[KOD_PRODUKTU]])</f>
        <v>VE-445P37</v>
      </c>
    </row>
    <row r="1058" spans="1:10" x14ac:dyDescent="0.25">
      <c r="A1058" s="7" t="s">
        <v>2316</v>
      </c>
      <c r="B1058" s="6" t="s">
        <v>2317</v>
      </c>
      <c r="C1058" s="7" t="s">
        <v>41</v>
      </c>
      <c r="D1058" s="6" t="s">
        <v>42</v>
      </c>
      <c r="E1058" s="6" t="s">
        <v>43</v>
      </c>
      <c r="F1058" s="6" t="s">
        <v>5</v>
      </c>
      <c r="G1058" s="6" t="s">
        <v>227</v>
      </c>
      <c r="H1058" s="6">
        <v>0.01</v>
      </c>
      <c r="I1058" s="6" t="str">
        <f>_xlfn.CONCAT("Art. złączny do produktu ",Tabela10[[#This Row],[KOD_PRODUKTU]])</f>
        <v>Art. złączny do produktu 445P37</v>
      </c>
      <c r="J1058" s="6" t="str">
        <f>_xlfn.CONCAT("VE-",Tabela10[[#This Row],[KOD_PRODUKTU]])</f>
        <v>VE-445P37</v>
      </c>
    </row>
    <row r="1059" spans="1:10" x14ac:dyDescent="0.25">
      <c r="A1059" s="1" t="s">
        <v>2316</v>
      </c>
      <c r="B1059" t="s">
        <v>2317</v>
      </c>
      <c r="C1059" s="1" t="s">
        <v>2325</v>
      </c>
      <c r="D1059" t="s">
        <v>2326</v>
      </c>
      <c r="E1059" t="s">
        <v>580</v>
      </c>
      <c r="F1059" t="s">
        <v>121</v>
      </c>
      <c r="G1059" t="s">
        <v>92</v>
      </c>
      <c r="H1059">
        <v>14.9</v>
      </c>
      <c r="I1059" s="6" t="str">
        <f>_xlfn.CONCAT("Art. złączny do produktu ",Tabela10[[#This Row],[KOD_PRODUKTU]])</f>
        <v>Art. złączny do produktu 445P37</v>
      </c>
      <c r="J1059" s="6" t="str">
        <f>_xlfn.CONCAT("VE-",Tabela10[[#This Row],[KOD_PRODUKTU]])</f>
        <v>VE-445P37</v>
      </c>
    </row>
    <row r="1060" spans="1:10" x14ac:dyDescent="0.25">
      <c r="A1060" s="7" t="s">
        <v>2316</v>
      </c>
      <c r="B1060" s="6" t="s">
        <v>2317</v>
      </c>
      <c r="C1060" s="7" t="s">
        <v>2327</v>
      </c>
      <c r="D1060" s="6" t="s">
        <v>2328</v>
      </c>
      <c r="E1060" s="6" t="s">
        <v>2329</v>
      </c>
      <c r="F1060" s="6" t="s">
        <v>121</v>
      </c>
      <c r="G1060" s="6" t="s">
        <v>50</v>
      </c>
      <c r="H1060" s="6">
        <v>0.6</v>
      </c>
      <c r="I1060" s="6" t="str">
        <f>_xlfn.CONCAT("Art. złączny do produktu ",Tabela10[[#This Row],[KOD_PRODUKTU]])</f>
        <v>Art. złączny do produktu 445P37</v>
      </c>
      <c r="J1060" s="6" t="str">
        <f>_xlfn.CONCAT("VE-",Tabela10[[#This Row],[KOD_PRODUKTU]])</f>
        <v>VE-445P37</v>
      </c>
    </row>
    <row r="1061" spans="1:10" x14ac:dyDescent="0.25">
      <c r="A1061" s="1" t="s">
        <v>2316</v>
      </c>
      <c r="B1061" t="s">
        <v>2317</v>
      </c>
      <c r="C1061" s="1" t="s">
        <v>7</v>
      </c>
      <c r="D1061" t="s">
        <v>8</v>
      </c>
      <c r="E1061" t="s">
        <v>9</v>
      </c>
      <c r="F1061" t="s">
        <v>10</v>
      </c>
      <c r="G1061" t="s">
        <v>2330</v>
      </c>
      <c r="H1061">
        <v>25.3</v>
      </c>
      <c r="I1061" s="6" t="str">
        <f>_xlfn.CONCAT("Art. złączny do produktu ",Tabela10[[#This Row],[KOD_PRODUKTU]])</f>
        <v>Art. złączny do produktu 445P37</v>
      </c>
      <c r="J1061" s="6" t="str">
        <f>_xlfn.CONCAT("VE-",Tabela10[[#This Row],[KOD_PRODUKTU]])</f>
        <v>VE-445P37</v>
      </c>
    </row>
    <row r="1062" spans="1:10" x14ac:dyDescent="0.25">
      <c r="A1062" s="7" t="s">
        <v>2331</v>
      </c>
      <c r="B1062" s="6" t="s">
        <v>2332</v>
      </c>
      <c r="C1062" s="7" t="s">
        <v>2292</v>
      </c>
      <c r="D1062" s="6" t="s">
        <v>2293</v>
      </c>
      <c r="E1062" s="6" t="s">
        <v>2294</v>
      </c>
      <c r="F1062" s="6" t="s">
        <v>17</v>
      </c>
      <c r="G1062" s="6" t="s">
        <v>1338</v>
      </c>
      <c r="H1062" s="6">
        <v>32.49</v>
      </c>
      <c r="I1062" s="6" t="str">
        <f>_xlfn.CONCAT("Art. złączny do produktu ",Tabela10[[#This Row],[KOD_PRODUKTU]])</f>
        <v>Art. złączny do produktu 445P38</v>
      </c>
      <c r="J1062" s="6" t="str">
        <f>_xlfn.CONCAT("VE-",Tabela10[[#This Row],[KOD_PRODUKTU]])</f>
        <v>VE-445P38</v>
      </c>
    </row>
    <row r="1063" spans="1:10" x14ac:dyDescent="0.25">
      <c r="A1063" s="1" t="s">
        <v>2331</v>
      </c>
      <c r="B1063" t="s">
        <v>2332</v>
      </c>
      <c r="C1063" s="1" t="s">
        <v>2296</v>
      </c>
      <c r="D1063" t="s">
        <v>2297</v>
      </c>
      <c r="E1063" t="s">
        <v>2298</v>
      </c>
      <c r="F1063" t="s">
        <v>39</v>
      </c>
      <c r="G1063" t="s">
        <v>447</v>
      </c>
      <c r="H1063">
        <v>0.22</v>
      </c>
      <c r="I1063" s="6" t="str">
        <f>_xlfn.CONCAT("Art. złączny do produktu ",Tabela10[[#This Row],[KOD_PRODUKTU]])</f>
        <v>Art. złączny do produktu 445P38</v>
      </c>
      <c r="J1063" s="6" t="str">
        <f>_xlfn.CONCAT("VE-",Tabela10[[#This Row],[KOD_PRODUKTU]])</f>
        <v>VE-445P38</v>
      </c>
    </row>
    <row r="1064" spans="1:10" x14ac:dyDescent="0.25">
      <c r="A1064" s="7" t="s">
        <v>2331</v>
      </c>
      <c r="B1064" s="6" t="s">
        <v>2332</v>
      </c>
      <c r="C1064" s="7" t="s">
        <v>2299</v>
      </c>
      <c r="D1064" s="6" t="s">
        <v>2300</v>
      </c>
      <c r="E1064" s="6" t="s">
        <v>2301</v>
      </c>
      <c r="F1064" s="6" t="s">
        <v>1857</v>
      </c>
      <c r="G1064" s="6" t="s">
        <v>2302</v>
      </c>
      <c r="H1064" s="6">
        <v>2.2400000000000002</v>
      </c>
      <c r="I1064" s="6" t="str">
        <f>_xlfn.CONCAT("Art. złączny do produktu ",Tabela10[[#This Row],[KOD_PRODUKTU]])</f>
        <v>Art. złączny do produktu 445P38</v>
      </c>
      <c r="J1064" s="6" t="str">
        <f>_xlfn.CONCAT("VE-",Tabela10[[#This Row],[KOD_PRODUKTU]])</f>
        <v>VE-445P38</v>
      </c>
    </row>
    <row r="1065" spans="1:10" x14ac:dyDescent="0.25">
      <c r="A1065" s="1" t="s">
        <v>2331</v>
      </c>
      <c r="B1065" t="s">
        <v>2332</v>
      </c>
      <c r="C1065" s="1" t="s">
        <v>649</v>
      </c>
      <c r="D1065" t="s">
        <v>650</v>
      </c>
      <c r="E1065" t="s">
        <v>2303</v>
      </c>
      <c r="F1065" t="s">
        <v>39</v>
      </c>
      <c r="G1065" t="s">
        <v>447</v>
      </c>
      <c r="H1065">
        <v>0.18</v>
      </c>
      <c r="I1065" s="6" t="str">
        <f>_xlfn.CONCAT("Art. złączny do produktu ",Tabela10[[#This Row],[KOD_PRODUKTU]])</f>
        <v>Art. złączny do produktu 445P38</v>
      </c>
      <c r="J1065" s="6" t="str">
        <f>_xlfn.CONCAT("VE-",Tabela10[[#This Row],[KOD_PRODUKTU]])</f>
        <v>VE-445P38</v>
      </c>
    </row>
    <row r="1066" spans="1:10" x14ac:dyDescent="0.25">
      <c r="A1066" s="7" t="s">
        <v>2331</v>
      </c>
      <c r="B1066" s="6" t="s">
        <v>2332</v>
      </c>
      <c r="C1066" s="7" t="s">
        <v>864</v>
      </c>
      <c r="D1066" s="6" t="s">
        <v>865</v>
      </c>
      <c r="E1066" s="6" t="s">
        <v>866</v>
      </c>
      <c r="F1066" s="6" t="s">
        <v>39</v>
      </c>
      <c r="G1066" s="6" t="s">
        <v>447</v>
      </c>
      <c r="H1066" s="6">
        <v>0.06</v>
      </c>
      <c r="I1066" s="6" t="str">
        <f>_xlfn.CONCAT("Art. złączny do produktu ",Tabela10[[#This Row],[KOD_PRODUKTU]])</f>
        <v>Art. złączny do produktu 445P38</v>
      </c>
      <c r="J1066" s="6" t="str">
        <f>_xlfn.CONCAT("VE-",Tabela10[[#This Row],[KOD_PRODUKTU]])</f>
        <v>VE-445P38</v>
      </c>
    </row>
    <row r="1067" spans="1:10" x14ac:dyDescent="0.25">
      <c r="A1067" s="1" t="s">
        <v>2331</v>
      </c>
      <c r="B1067" t="s">
        <v>2332</v>
      </c>
      <c r="C1067" s="1" t="s">
        <v>2304</v>
      </c>
      <c r="D1067" t="s">
        <v>2305</v>
      </c>
      <c r="E1067" t="s">
        <v>2306</v>
      </c>
      <c r="F1067" t="s">
        <v>121</v>
      </c>
      <c r="G1067" t="s">
        <v>92</v>
      </c>
      <c r="H1067">
        <v>0.68</v>
      </c>
      <c r="I1067" s="6" t="str">
        <f>_xlfn.CONCAT("Art. złączny do produktu ",Tabela10[[#This Row],[KOD_PRODUKTU]])</f>
        <v>Art. złączny do produktu 445P38</v>
      </c>
      <c r="J1067" s="6" t="str">
        <f>_xlfn.CONCAT("VE-",Tabela10[[#This Row],[KOD_PRODUKTU]])</f>
        <v>VE-445P38</v>
      </c>
    </row>
    <row r="1068" spans="1:10" x14ac:dyDescent="0.25">
      <c r="A1068" s="7" t="s">
        <v>2331</v>
      </c>
      <c r="B1068" s="6" t="s">
        <v>2332</v>
      </c>
      <c r="C1068" s="7" t="s">
        <v>41</v>
      </c>
      <c r="D1068" s="6" t="s">
        <v>42</v>
      </c>
      <c r="E1068" s="6" t="s">
        <v>43</v>
      </c>
      <c r="F1068" s="6" t="s">
        <v>5</v>
      </c>
      <c r="G1068" s="6" t="s">
        <v>1867</v>
      </c>
      <c r="H1068" s="6">
        <v>0.03</v>
      </c>
      <c r="I1068" s="6" t="str">
        <f>_xlfn.CONCAT("Art. złączny do produktu ",Tabela10[[#This Row],[KOD_PRODUKTU]])</f>
        <v>Art. złączny do produktu 445P38</v>
      </c>
      <c r="J1068" s="6" t="str">
        <f>_xlfn.CONCAT("VE-",Tabela10[[#This Row],[KOD_PRODUKTU]])</f>
        <v>VE-445P38</v>
      </c>
    </row>
    <row r="1069" spans="1:10" x14ac:dyDescent="0.25">
      <c r="A1069" s="1" t="s">
        <v>2331</v>
      </c>
      <c r="B1069" t="s">
        <v>2332</v>
      </c>
      <c r="C1069" s="1" t="s">
        <v>2307</v>
      </c>
      <c r="D1069" t="s">
        <v>2308</v>
      </c>
      <c r="E1069" t="s">
        <v>2309</v>
      </c>
      <c r="F1069" t="s">
        <v>121</v>
      </c>
      <c r="G1069" t="s">
        <v>92</v>
      </c>
      <c r="H1069">
        <v>19.5</v>
      </c>
      <c r="I1069" s="6" t="str">
        <f>_xlfn.CONCAT("Art. złączny do produktu ",Tabela10[[#This Row],[KOD_PRODUKTU]])</f>
        <v>Art. złączny do produktu 445P38</v>
      </c>
      <c r="J1069" s="6" t="str">
        <f>_xlfn.CONCAT("VE-",Tabela10[[#This Row],[KOD_PRODUKTU]])</f>
        <v>VE-445P38</v>
      </c>
    </row>
    <row r="1070" spans="1:10" x14ac:dyDescent="0.25">
      <c r="A1070" s="7" t="s">
        <v>2331</v>
      </c>
      <c r="B1070" s="6" t="s">
        <v>2332</v>
      </c>
      <c r="C1070" s="7" t="s">
        <v>2310</v>
      </c>
      <c r="D1070" s="6" t="s">
        <v>2311</v>
      </c>
      <c r="E1070" s="6" t="s">
        <v>2312</v>
      </c>
      <c r="F1070" s="6" t="s">
        <v>121</v>
      </c>
      <c r="G1070" s="6" t="s">
        <v>50</v>
      </c>
      <c r="H1070" s="6">
        <v>37.15</v>
      </c>
      <c r="I1070" s="6" t="str">
        <f>_xlfn.CONCAT("Art. złączny do produktu ",Tabela10[[#This Row],[KOD_PRODUKTU]])</f>
        <v>Art. złączny do produktu 445P38</v>
      </c>
      <c r="J1070" s="6" t="str">
        <f>_xlfn.CONCAT("VE-",Tabela10[[#This Row],[KOD_PRODUKTU]])</f>
        <v>VE-445P38</v>
      </c>
    </row>
    <row r="1071" spans="1:10" x14ac:dyDescent="0.25">
      <c r="A1071" s="1" t="s">
        <v>2331</v>
      </c>
      <c r="B1071" t="s">
        <v>2332</v>
      </c>
      <c r="C1071" s="1" t="s">
        <v>2313</v>
      </c>
      <c r="D1071" t="s">
        <v>2314</v>
      </c>
      <c r="E1071" t="s">
        <v>2312</v>
      </c>
      <c r="F1071" t="s">
        <v>121</v>
      </c>
      <c r="G1071" t="s">
        <v>50</v>
      </c>
      <c r="H1071">
        <v>37.15</v>
      </c>
      <c r="I1071" s="6" t="str">
        <f>_xlfn.CONCAT("Art. złączny do produktu ",Tabela10[[#This Row],[KOD_PRODUKTU]])</f>
        <v>Art. złączny do produktu 445P38</v>
      </c>
      <c r="J1071" s="6" t="str">
        <f>_xlfn.CONCAT("VE-",Tabela10[[#This Row],[KOD_PRODUKTU]])</f>
        <v>VE-445P38</v>
      </c>
    </row>
    <row r="1072" spans="1:10" x14ac:dyDescent="0.25">
      <c r="A1072" s="7" t="s">
        <v>2331</v>
      </c>
      <c r="B1072" s="6" t="s">
        <v>2332</v>
      </c>
      <c r="C1072" s="7" t="s">
        <v>7</v>
      </c>
      <c r="D1072" s="6" t="s">
        <v>8</v>
      </c>
      <c r="E1072" s="6" t="s">
        <v>9</v>
      </c>
      <c r="F1072" s="6" t="s">
        <v>10</v>
      </c>
      <c r="G1072" s="6" t="s">
        <v>50</v>
      </c>
      <c r="H1072" s="6">
        <v>46</v>
      </c>
      <c r="I1072" s="6" t="str">
        <f>_xlfn.CONCAT("Art. złączny do produktu ",Tabela10[[#This Row],[KOD_PRODUKTU]])</f>
        <v>Art. złączny do produktu 445P38</v>
      </c>
      <c r="J1072" s="6" t="str">
        <f>_xlfn.CONCAT("VE-",Tabela10[[#This Row],[KOD_PRODUKTU]])</f>
        <v>VE-445P38</v>
      </c>
    </row>
    <row r="1073" spans="1:10" x14ac:dyDescent="0.25">
      <c r="A1073" s="1" t="s">
        <v>2333</v>
      </c>
      <c r="B1073" t="s">
        <v>2334</v>
      </c>
      <c r="C1073" s="1" t="s">
        <v>2318</v>
      </c>
      <c r="D1073" t="s">
        <v>2335</v>
      </c>
      <c r="E1073" t="s">
        <v>2336</v>
      </c>
      <c r="F1073" t="s">
        <v>17</v>
      </c>
      <c r="G1073" t="s">
        <v>2337</v>
      </c>
      <c r="H1073">
        <v>13.55</v>
      </c>
      <c r="I1073" s="6" t="str">
        <f>_xlfn.CONCAT("Art. złączny do produktu ",Tabela10[[#This Row],[KOD_PRODUKTU]])</f>
        <v>Art. złączny do produktu 445P39</v>
      </c>
      <c r="J1073" s="6" t="str">
        <f>_xlfn.CONCAT("VE-",Tabela10[[#This Row],[KOD_PRODUKTU]])</f>
        <v>VE-445P39</v>
      </c>
    </row>
    <row r="1074" spans="1:10" x14ac:dyDescent="0.25">
      <c r="A1074" s="7" t="s">
        <v>2333</v>
      </c>
      <c r="B1074" s="6" t="s">
        <v>2334</v>
      </c>
      <c r="C1074" s="7" t="s">
        <v>2322</v>
      </c>
      <c r="D1074" s="6" t="s">
        <v>2323</v>
      </c>
      <c r="E1074" s="6" t="s">
        <v>2324</v>
      </c>
      <c r="F1074" s="6" t="s">
        <v>39</v>
      </c>
      <c r="G1074" s="6" t="s">
        <v>478</v>
      </c>
      <c r="H1074" s="6">
        <v>2.96</v>
      </c>
      <c r="I1074" s="6" t="str">
        <f>_xlfn.CONCAT("Art. złączny do produktu ",Tabela10[[#This Row],[KOD_PRODUKTU]])</f>
        <v>Art. złączny do produktu 445P39</v>
      </c>
      <c r="J1074" s="6" t="str">
        <f>_xlfn.CONCAT("VE-",Tabela10[[#This Row],[KOD_PRODUKTU]])</f>
        <v>VE-445P39</v>
      </c>
    </row>
    <row r="1075" spans="1:10" x14ac:dyDescent="0.25">
      <c r="A1075" s="1" t="s">
        <v>2333</v>
      </c>
      <c r="B1075" t="s">
        <v>2334</v>
      </c>
      <c r="C1075" s="1" t="s">
        <v>514</v>
      </c>
      <c r="D1075" t="s">
        <v>515</v>
      </c>
      <c r="E1075" t="s">
        <v>516</v>
      </c>
      <c r="F1075" t="s">
        <v>121</v>
      </c>
      <c r="G1075" t="s">
        <v>92</v>
      </c>
      <c r="H1075">
        <v>0.54</v>
      </c>
      <c r="I1075" s="6" t="str">
        <f>_xlfn.CONCAT("Art. złączny do produktu ",Tabela10[[#This Row],[KOD_PRODUKTU]])</f>
        <v>Art. złączny do produktu 445P39</v>
      </c>
      <c r="J1075" s="6" t="str">
        <f>_xlfn.CONCAT("VE-",Tabela10[[#This Row],[KOD_PRODUKTU]])</f>
        <v>VE-445P39</v>
      </c>
    </row>
    <row r="1076" spans="1:10" x14ac:dyDescent="0.25">
      <c r="A1076" s="7" t="s">
        <v>2333</v>
      </c>
      <c r="B1076" s="6" t="s">
        <v>2334</v>
      </c>
      <c r="C1076" s="7" t="s">
        <v>41</v>
      </c>
      <c r="D1076" s="6" t="s">
        <v>42</v>
      </c>
      <c r="E1076" s="6" t="s">
        <v>43</v>
      </c>
      <c r="F1076" s="6" t="s">
        <v>5</v>
      </c>
      <c r="G1076" s="6" t="s">
        <v>550</v>
      </c>
      <c r="H1076" s="6">
        <v>0.02</v>
      </c>
      <c r="I1076" s="6" t="str">
        <f>_xlfn.CONCAT("Art. złączny do produktu ",Tabela10[[#This Row],[KOD_PRODUKTU]])</f>
        <v>Art. złączny do produktu 445P39</v>
      </c>
      <c r="J1076" s="6" t="str">
        <f>_xlfn.CONCAT("VE-",Tabela10[[#This Row],[KOD_PRODUKTU]])</f>
        <v>VE-445P39</v>
      </c>
    </row>
    <row r="1077" spans="1:10" x14ac:dyDescent="0.25">
      <c r="A1077" s="1" t="s">
        <v>2333</v>
      </c>
      <c r="B1077" t="s">
        <v>2334</v>
      </c>
      <c r="C1077" s="1" t="s">
        <v>2325</v>
      </c>
      <c r="D1077" t="s">
        <v>2326</v>
      </c>
      <c r="E1077" t="s">
        <v>580</v>
      </c>
      <c r="F1077" t="s">
        <v>121</v>
      </c>
      <c r="G1077" t="s">
        <v>92</v>
      </c>
      <c r="H1077">
        <v>14.9</v>
      </c>
      <c r="I1077" s="6" t="str">
        <f>_xlfn.CONCAT("Art. złączny do produktu ",Tabela10[[#This Row],[KOD_PRODUKTU]])</f>
        <v>Art. złączny do produktu 445P39</v>
      </c>
      <c r="J1077" s="6" t="str">
        <f>_xlfn.CONCAT("VE-",Tabela10[[#This Row],[KOD_PRODUKTU]])</f>
        <v>VE-445P39</v>
      </c>
    </row>
    <row r="1078" spans="1:10" x14ac:dyDescent="0.25">
      <c r="A1078" s="7" t="s">
        <v>2333</v>
      </c>
      <c r="B1078" s="6" t="s">
        <v>2334</v>
      </c>
      <c r="C1078" s="7" t="s">
        <v>2327</v>
      </c>
      <c r="D1078" s="6" t="s">
        <v>2328</v>
      </c>
      <c r="E1078" s="6" t="s">
        <v>2329</v>
      </c>
      <c r="F1078" s="6" t="s">
        <v>121</v>
      </c>
      <c r="G1078" s="6" t="s">
        <v>50</v>
      </c>
      <c r="H1078" s="6">
        <v>0.6</v>
      </c>
      <c r="I1078" s="6" t="str">
        <f>_xlfn.CONCAT("Art. złączny do produktu ",Tabela10[[#This Row],[KOD_PRODUKTU]])</f>
        <v>Art. złączny do produktu 445P39</v>
      </c>
      <c r="J1078" s="6" t="str">
        <f>_xlfn.CONCAT("VE-",Tabela10[[#This Row],[KOD_PRODUKTU]])</f>
        <v>VE-445P39</v>
      </c>
    </row>
    <row r="1079" spans="1:10" x14ac:dyDescent="0.25">
      <c r="A1079" s="1" t="s">
        <v>2333</v>
      </c>
      <c r="B1079" t="s">
        <v>2334</v>
      </c>
      <c r="C1079" s="1" t="s">
        <v>7</v>
      </c>
      <c r="D1079" t="s">
        <v>8</v>
      </c>
      <c r="E1079" t="s">
        <v>9</v>
      </c>
      <c r="F1079" t="s">
        <v>10</v>
      </c>
      <c r="G1079" t="s">
        <v>2338</v>
      </c>
      <c r="H1079">
        <v>26.68</v>
      </c>
      <c r="I1079" s="6" t="str">
        <f>_xlfn.CONCAT("Art. złączny do produktu ",Tabela10[[#This Row],[KOD_PRODUKTU]])</f>
        <v>Art. złączny do produktu 445P39</v>
      </c>
      <c r="J1079" s="6" t="str">
        <f>_xlfn.CONCAT("VE-",Tabela10[[#This Row],[KOD_PRODUKTU]])</f>
        <v>VE-445P39</v>
      </c>
    </row>
    <row r="1080" spans="1:10" x14ac:dyDescent="0.25">
      <c r="A1080" s="7" t="s">
        <v>2339</v>
      </c>
      <c r="B1080" s="6" t="s">
        <v>2340</v>
      </c>
      <c r="C1080" s="7" t="s">
        <v>2296</v>
      </c>
      <c r="D1080" s="6" t="s">
        <v>2297</v>
      </c>
      <c r="E1080" s="6" t="s">
        <v>2341</v>
      </c>
      <c r="F1080" s="6" t="s">
        <v>39</v>
      </c>
      <c r="G1080" s="6" t="s">
        <v>447</v>
      </c>
      <c r="H1080" s="6">
        <v>0.27</v>
      </c>
      <c r="I1080" s="6" t="str">
        <f>_xlfn.CONCAT("Art. złączny do produktu ",Tabela10[[#This Row],[KOD_PRODUKTU]])</f>
        <v>Art. złączny do produktu 445P40</v>
      </c>
      <c r="J1080" s="6" t="str">
        <f>_xlfn.CONCAT("VE-",Tabela10[[#This Row],[KOD_PRODUKTU]])</f>
        <v>VE-445P40</v>
      </c>
    </row>
    <row r="1081" spans="1:10" x14ac:dyDescent="0.25">
      <c r="A1081" s="1" t="s">
        <v>2339</v>
      </c>
      <c r="B1081" t="s">
        <v>2340</v>
      </c>
      <c r="C1081" s="1" t="s">
        <v>2299</v>
      </c>
      <c r="D1081" t="s">
        <v>2300</v>
      </c>
      <c r="E1081" t="s">
        <v>2342</v>
      </c>
      <c r="F1081" t="s">
        <v>1857</v>
      </c>
      <c r="G1081" t="s">
        <v>2302</v>
      </c>
      <c r="H1081">
        <v>2.16</v>
      </c>
      <c r="I1081" s="6" t="str">
        <f>_xlfn.CONCAT("Art. złączny do produktu ",Tabela10[[#This Row],[KOD_PRODUKTU]])</f>
        <v>Art. złączny do produktu 445P40</v>
      </c>
      <c r="J1081" s="6" t="str">
        <f>_xlfn.CONCAT("VE-",Tabela10[[#This Row],[KOD_PRODUKTU]])</f>
        <v>VE-445P40</v>
      </c>
    </row>
    <row r="1082" spans="1:10" x14ac:dyDescent="0.25">
      <c r="A1082" s="7" t="s">
        <v>2339</v>
      </c>
      <c r="B1082" s="6" t="s">
        <v>2340</v>
      </c>
      <c r="C1082" s="7" t="s">
        <v>649</v>
      </c>
      <c r="D1082" s="6" t="s">
        <v>650</v>
      </c>
      <c r="E1082" s="6" t="s">
        <v>651</v>
      </c>
      <c r="F1082" s="6" t="s">
        <v>39</v>
      </c>
      <c r="G1082" s="6" t="s">
        <v>447</v>
      </c>
      <c r="H1082" s="6">
        <v>0.16</v>
      </c>
      <c r="I1082" s="6" t="str">
        <f>_xlfn.CONCAT("Art. złączny do produktu ",Tabela10[[#This Row],[KOD_PRODUKTU]])</f>
        <v>Art. złączny do produktu 445P40</v>
      </c>
      <c r="J1082" s="6" t="str">
        <f>_xlfn.CONCAT("VE-",Tabela10[[#This Row],[KOD_PRODUKTU]])</f>
        <v>VE-445P40</v>
      </c>
    </row>
    <row r="1083" spans="1:10" x14ac:dyDescent="0.25">
      <c r="A1083" s="1" t="s">
        <v>2339</v>
      </c>
      <c r="B1083" t="s">
        <v>2340</v>
      </c>
      <c r="C1083" s="1" t="s">
        <v>2343</v>
      </c>
      <c r="D1083" t="s">
        <v>2344</v>
      </c>
      <c r="E1083" t="s">
        <v>2345</v>
      </c>
      <c r="F1083" t="s">
        <v>39</v>
      </c>
      <c r="G1083" t="s">
        <v>447</v>
      </c>
      <c r="H1083">
        <v>0.1</v>
      </c>
      <c r="I1083" s="6" t="str">
        <f>_xlfn.CONCAT("Art. złączny do produktu ",Tabela10[[#This Row],[KOD_PRODUKTU]])</f>
        <v>Art. złączny do produktu 445P40</v>
      </c>
      <c r="J1083" s="6" t="str">
        <f>_xlfn.CONCAT("VE-",Tabela10[[#This Row],[KOD_PRODUKTU]])</f>
        <v>VE-445P40</v>
      </c>
    </row>
    <row r="1084" spans="1:10" x14ac:dyDescent="0.25">
      <c r="A1084" s="7" t="s">
        <v>2339</v>
      </c>
      <c r="B1084" s="6" t="s">
        <v>2340</v>
      </c>
      <c r="C1084" s="7" t="s">
        <v>898</v>
      </c>
      <c r="D1084" s="6" t="s">
        <v>865</v>
      </c>
      <c r="E1084" s="6" t="s">
        <v>866</v>
      </c>
      <c r="F1084" s="6" t="s">
        <v>39</v>
      </c>
      <c r="G1084" s="6" t="s">
        <v>447</v>
      </c>
      <c r="H1084" s="6">
        <v>0.06</v>
      </c>
      <c r="I1084" s="6" t="str">
        <f>_xlfn.CONCAT("Art. złączny do produktu ",Tabela10[[#This Row],[KOD_PRODUKTU]])</f>
        <v>Art. złączny do produktu 445P40</v>
      </c>
      <c r="J1084" s="6" t="str">
        <f>_xlfn.CONCAT("VE-",Tabela10[[#This Row],[KOD_PRODUKTU]])</f>
        <v>VE-445P40</v>
      </c>
    </row>
    <row r="1085" spans="1:10" x14ac:dyDescent="0.25">
      <c r="A1085" s="1" t="s">
        <v>2339</v>
      </c>
      <c r="B1085" t="s">
        <v>2340</v>
      </c>
      <c r="C1085" s="1" t="s">
        <v>2304</v>
      </c>
      <c r="D1085" t="s">
        <v>2305</v>
      </c>
      <c r="E1085" t="s">
        <v>2346</v>
      </c>
      <c r="F1085" t="s">
        <v>121</v>
      </c>
      <c r="G1085" t="s">
        <v>92</v>
      </c>
      <c r="H1085">
        <v>0.9</v>
      </c>
      <c r="I1085" s="6" t="str">
        <f>_xlfn.CONCAT("Art. złączny do produktu ",Tabela10[[#This Row],[KOD_PRODUKTU]])</f>
        <v>Art. złączny do produktu 445P40</v>
      </c>
      <c r="J1085" s="6" t="str">
        <f>_xlfn.CONCAT("VE-",Tabela10[[#This Row],[KOD_PRODUKTU]])</f>
        <v>VE-445P40</v>
      </c>
    </row>
    <row r="1086" spans="1:10" x14ac:dyDescent="0.25">
      <c r="A1086" s="7" t="s">
        <v>2339</v>
      </c>
      <c r="B1086" s="6" t="s">
        <v>2340</v>
      </c>
      <c r="C1086" s="7" t="s">
        <v>2307</v>
      </c>
      <c r="D1086" s="6" t="s">
        <v>2308</v>
      </c>
      <c r="E1086" s="6" t="s">
        <v>2309</v>
      </c>
      <c r="F1086" s="6" t="s">
        <v>121</v>
      </c>
      <c r="G1086" s="6" t="s">
        <v>92</v>
      </c>
      <c r="H1086" s="6">
        <v>19.5</v>
      </c>
      <c r="I1086" s="6" t="str">
        <f>_xlfn.CONCAT("Art. złączny do produktu ",Tabela10[[#This Row],[KOD_PRODUKTU]])</f>
        <v>Art. złączny do produktu 445P40</v>
      </c>
      <c r="J1086" s="6" t="str">
        <f>_xlfn.CONCAT("VE-",Tabela10[[#This Row],[KOD_PRODUKTU]])</f>
        <v>VE-445P40</v>
      </c>
    </row>
    <row r="1087" spans="1:10" x14ac:dyDescent="0.25">
      <c r="A1087" s="1" t="s">
        <v>2339</v>
      </c>
      <c r="B1087" t="s">
        <v>2340</v>
      </c>
      <c r="C1087" s="1" t="s">
        <v>2347</v>
      </c>
      <c r="D1087" t="s">
        <v>2348</v>
      </c>
      <c r="E1087" t="s">
        <v>2329</v>
      </c>
      <c r="F1087" t="s">
        <v>121</v>
      </c>
      <c r="G1087" t="s">
        <v>319</v>
      </c>
      <c r="H1087">
        <v>3.6</v>
      </c>
      <c r="I1087" s="6" t="str">
        <f>_xlfn.CONCAT("Art. złączny do produktu ",Tabela10[[#This Row],[KOD_PRODUKTU]])</f>
        <v>Art. złączny do produktu 445P40</v>
      </c>
      <c r="J1087" s="6" t="str">
        <f>_xlfn.CONCAT("VE-",Tabela10[[#This Row],[KOD_PRODUKTU]])</f>
        <v>VE-445P40</v>
      </c>
    </row>
    <row r="1088" spans="1:10" x14ac:dyDescent="0.25">
      <c r="A1088" s="7" t="s">
        <v>2339</v>
      </c>
      <c r="B1088" s="6" t="s">
        <v>2340</v>
      </c>
      <c r="C1088" s="7" t="s">
        <v>2310</v>
      </c>
      <c r="D1088" s="6" t="s">
        <v>2311</v>
      </c>
      <c r="E1088" s="6" t="s">
        <v>2312</v>
      </c>
      <c r="F1088" s="6" t="s">
        <v>121</v>
      </c>
      <c r="G1088" s="6" t="s">
        <v>50</v>
      </c>
      <c r="H1088" s="6">
        <v>37.15</v>
      </c>
      <c r="I1088" s="6" t="str">
        <f>_xlfn.CONCAT("Art. złączny do produktu ",Tabela10[[#This Row],[KOD_PRODUKTU]])</f>
        <v>Art. złączny do produktu 445P40</v>
      </c>
      <c r="J1088" s="6" t="str">
        <f>_xlfn.CONCAT("VE-",Tabela10[[#This Row],[KOD_PRODUKTU]])</f>
        <v>VE-445P40</v>
      </c>
    </row>
    <row r="1089" spans="1:10" x14ac:dyDescent="0.25">
      <c r="A1089" s="1" t="s">
        <v>2339</v>
      </c>
      <c r="B1089" t="s">
        <v>2340</v>
      </c>
      <c r="C1089" s="1" t="s">
        <v>2313</v>
      </c>
      <c r="D1089" t="s">
        <v>2314</v>
      </c>
      <c r="E1089" t="s">
        <v>2312</v>
      </c>
      <c r="F1089" t="s">
        <v>121</v>
      </c>
      <c r="G1089" t="s">
        <v>50</v>
      </c>
      <c r="H1089">
        <v>37.15</v>
      </c>
      <c r="I1089" s="6" t="str">
        <f>_xlfn.CONCAT("Art. złączny do produktu ",Tabela10[[#This Row],[KOD_PRODUKTU]])</f>
        <v>Art. złączny do produktu 445P40</v>
      </c>
      <c r="J1089" s="6" t="str">
        <f>_xlfn.CONCAT("VE-",Tabela10[[#This Row],[KOD_PRODUKTU]])</f>
        <v>VE-445P40</v>
      </c>
    </row>
    <row r="1090" spans="1:10" x14ac:dyDescent="0.25">
      <c r="A1090" s="7" t="s">
        <v>2339</v>
      </c>
      <c r="B1090" s="6" t="s">
        <v>2340</v>
      </c>
      <c r="C1090" s="7" t="s">
        <v>2349</v>
      </c>
      <c r="D1090" s="6" t="s">
        <v>2350</v>
      </c>
      <c r="E1090" s="6" t="s">
        <v>2351</v>
      </c>
      <c r="F1090" s="6" t="s">
        <v>49</v>
      </c>
      <c r="G1090" s="6" t="s">
        <v>50</v>
      </c>
      <c r="H1090" s="6">
        <v>73.8</v>
      </c>
      <c r="I1090" s="6" t="str">
        <f>_xlfn.CONCAT("Art. złączny do produktu ",Tabela10[[#This Row],[KOD_PRODUKTU]])</f>
        <v>Art. złączny do produktu 445P40</v>
      </c>
      <c r="J1090" s="6" t="str">
        <f>_xlfn.CONCAT("VE-",Tabela10[[#This Row],[KOD_PRODUKTU]])</f>
        <v>VE-445P40</v>
      </c>
    </row>
    <row r="1091" spans="1:10" x14ac:dyDescent="0.25">
      <c r="A1091" s="1" t="s">
        <v>2339</v>
      </c>
      <c r="B1091" t="s">
        <v>2340</v>
      </c>
      <c r="C1091" s="1" t="s">
        <v>7</v>
      </c>
      <c r="D1091" t="s">
        <v>8</v>
      </c>
      <c r="E1091" t="s">
        <v>9</v>
      </c>
      <c r="F1091" t="s">
        <v>10</v>
      </c>
      <c r="G1091" t="s">
        <v>1027</v>
      </c>
      <c r="H1091">
        <v>52.9</v>
      </c>
      <c r="I1091" s="6" t="str">
        <f>_xlfn.CONCAT("Art. złączny do produktu ",Tabela10[[#This Row],[KOD_PRODUKTU]])</f>
        <v>Art. złączny do produktu 445P40</v>
      </c>
      <c r="J1091" s="6" t="str">
        <f>_xlfn.CONCAT("VE-",Tabela10[[#This Row],[KOD_PRODUKTU]])</f>
        <v>VE-445P40</v>
      </c>
    </row>
    <row r="1092" spans="1:10" x14ac:dyDescent="0.25">
      <c r="A1092" s="7" t="s">
        <v>2352</v>
      </c>
      <c r="B1092" s="6" t="s">
        <v>2353</v>
      </c>
      <c r="C1092" s="7" t="s">
        <v>2322</v>
      </c>
      <c r="D1092" s="6" t="s">
        <v>2323</v>
      </c>
      <c r="E1092" s="6" t="s">
        <v>2324</v>
      </c>
      <c r="F1092" s="6" t="s">
        <v>39</v>
      </c>
      <c r="G1092" s="6" t="s">
        <v>478</v>
      </c>
      <c r="H1092" s="6">
        <v>2.96</v>
      </c>
      <c r="I1092" s="6" t="str">
        <f>_xlfn.CONCAT("Art. złączny do produktu ",Tabela10[[#This Row],[KOD_PRODUKTU]])</f>
        <v>Art. złączny do produktu 445P41</v>
      </c>
      <c r="J1092" s="6" t="str">
        <f>_xlfn.CONCAT("VE-",Tabela10[[#This Row],[KOD_PRODUKTU]])</f>
        <v>VE-445P41</v>
      </c>
    </row>
    <row r="1093" spans="1:10" x14ac:dyDescent="0.25">
      <c r="A1093" s="1" t="s">
        <v>2352</v>
      </c>
      <c r="B1093" t="s">
        <v>2353</v>
      </c>
      <c r="C1093" s="1" t="s">
        <v>514</v>
      </c>
      <c r="D1093" t="s">
        <v>515</v>
      </c>
      <c r="E1093" t="s">
        <v>516</v>
      </c>
      <c r="F1093" t="s">
        <v>121</v>
      </c>
      <c r="G1093" t="s">
        <v>92</v>
      </c>
      <c r="H1093">
        <v>0.54</v>
      </c>
      <c r="I1093" s="6" t="str">
        <f>_xlfn.CONCAT("Art. złączny do produktu ",Tabela10[[#This Row],[KOD_PRODUKTU]])</f>
        <v>Art. złączny do produktu 445P41</v>
      </c>
      <c r="J1093" s="6" t="str">
        <f>_xlfn.CONCAT("VE-",Tabela10[[#This Row],[KOD_PRODUKTU]])</f>
        <v>VE-445P41</v>
      </c>
    </row>
    <row r="1094" spans="1:10" x14ac:dyDescent="0.25">
      <c r="A1094" s="7" t="s">
        <v>2352</v>
      </c>
      <c r="B1094" s="6" t="s">
        <v>2353</v>
      </c>
      <c r="C1094" s="7" t="s">
        <v>2325</v>
      </c>
      <c r="D1094" s="6" t="s">
        <v>2326</v>
      </c>
      <c r="E1094" s="6" t="s">
        <v>580</v>
      </c>
      <c r="F1094" s="6" t="s">
        <v>121</v>
      </c>
      <c r="G1094" s="6" t="s">
        <v>92</v>
      </c>
      <c r="H1094" s="6">
        <v>14.9</v>
      </c>
      <c r="I1094" s="6" t="str">
        <f>_xlfn.CONCAT("Art. złączny do produktu ",Tabela10[[#This Row],[KOD_PRODUKTU]])</f>
        <v>Art. złączny do produktu 445P41</v>
      </c>
      <c r="J1094" s="6" t="str">
        <f>_xlfn.CONCAT("VE-",Tabela10[[#This Row],[KOD_PRODUKTU]])</f>
        <v>VE-445P41</v>
      </c>
    </row>
    <row r="1095" spans="1:10" x14ac:dyDescent="0.25">
      <c r="A1095" s="1" t="s">
        <v>2352</v>
      </c>
      <c r="B1095" t="s">
        <v>2353</v>
      </c>
      <c r="C1095" s="1" t="s">
        <v>2327</v>
      </c>
      <c r="D1095" t="s">
        <v>2328</v>
      </c>
      <c r="E1095" t="s">
        <v>2329</v>
      </c>
      <c r="F1095" t="s">
        <v>121</v>
      </c>
      <c r="G1095" t="s">
        <v>50</v>
      </c>
      <c r="H1095">
        <v>0.6</v>
      </c>
      <c r="I1095" s="6" t="str">
        <f>_xlfn.CONCAT("Art. złączny do produktu ",Tabela10[[#This Row],[KOD_PRODUKTU]])</f>
        <v>Art. złączny do produktu 445P41</v>
      </c>
      <c r="J1095" s="6" t="str">
        <f>_xlfn.CONCAT("VE-",Tabela10[[#This Row],[KOD_PRODUKTU]])</f>
        <v>VE-445P41</v>
      </c>
    </row>
    <row r="1096" spans="1:10" x14ac:dyDescent="0.25">
      <c r="A1096" s="7" t="s">
        <v>2352</v>
      </c>
      <c r="B1096" s="6" t="s">
        <v>2353</v>
      </c>
      <c r="C1096" s="7" t="s">
        <v>2354</v>
      </c>
      <c r="D1096" s="6" t="s">
        <v>2355</v>
      </c>
      <c r="E1096" s="6" t="s">
        <v>2356</v>
      </c>
      <c r="F1096" s="6" t="s">
        <v>49</v>
      </c>
      <c r="G1096" s="6" t="s">
        <v>50</v>
      </c>
      <c r="H1096" s="6">
        <v>50</v>
      </c>
      <c r="I1096" s="6" t="str">
        <f>_xlfn.CONCAT("Art. złączny do produktu ",Tabela10[[#This Row],[KOD_PRODUKTU]])</f>
        <v>Art. złączny do produktu 445P41</v>
      </c>
      <c r="J1096" s="6" t="str">
        <f>_xlfn.CONCAT("VE-",Tabela10[[#This Row],[KOD_PRODUKTU]])</f>
        <v>VE-445P41</v>
      </c>
    </row>
    <row r="1097" spans="1:10" x14ac:dyDescent="0.25">
      <c r="A1097" s="1" t="s">
        <v>2352</v>
      </c>
      <c r="B1097" t="s">
        <v>2353</v>
      </c>
      <c r="C1097" s="1" t="s">
        <v>7</v>
      </c>
      <c r="D1097" t="s">
        <v>8</v>
      </c>
      <c r="E1097" t="s">
        <v>9</v>
      </c>
      <c r="F1097" t="s">
        <v>10</v>
      </c>
      <c r="G1097" t="s">
        <v>2357</v>
      </c>
      <c r="H1097">
        <v>29</v>
      </c>
      <c r="I1097" s="6" t="str">
        <f>_xlfn.CONCAT("Art. złączny do produktu ",Tabela10[[#This Row],[KOD_PRODUKTU]])</f>
        <v>Art. złączny do produktu 445P41</v>
      </c>
      <c r="J1097" s="6" t="str">
        <f>_xlfn.CONCAT("VE-",Tabela10[[#This Row],[KOD_PRODUKTU]])</f>
        <v>VE-445P41</v>
      </c>
    </row>
    <row r="1098" spans="1:10" x14ac:dyDescent="0.25">
      <c r="A1098" s="7" t="s">
        <v>2358</v>
      </c>
      <c r="B1098" s="6" t="s">
        <v>2359</v>
      </c>
      <c r="C1098" s="7" t="s">
        <v>471</v>
      </c>
      <c r="D1098" s="6" t="s">
        <v>472</v>
      </c>
      <c r="E1098" s="6" t="s">
        <v>526</v>
      </c>
      <c r="F1098" s="6" t="s">
        <v>5</v>
      </c>
      <c r="G1098" s="6" t="s">
        <v>2360</v>
      </c>
      <c r="H1098" s="6">
        <v>31.36</v>
      </c>
      <c r="I1098" s="6" t="str">
        <f>_xlfn.CONCAT("Art. złączny do produktu ",Tabela10[[#This Row],[KOD_PRODUKTU]])</f>
        <v>Art. złączny do produktu 445P42</v>
      </c>
      <c r="J1098" s="6" t="str">
        <f>_xlfn.CONCAT("VE-",Tabela10[[#This Row],[KOD_PRODUKTU]])</f>
        <v>VE-445P42</v>
      </c>
    </row>
    <row r="1099" spans="1:10" x14ac:dyDescent="0.25">
      <c r="A1099" s="1" t="s">
        <v>2358</v>
      </c>
      <c r="B1099" t="s">
        <v>2359</v>
      </c>
      <c r="C1099" s="1" t="s">
        <v>475</v>
      </c>
      <c r="D1099" t="s">
        <v>476</v>
      </c>
      <c r="E1099" t="s">
        <v>477</v>
      </c>
      <c r="F1099" t="s">
        <v>39</v>
      </c>
      <c r="G1099" t="s">
        <v>478</v>
      </c>
      <c r="H1099">
        <v>0.41</v>
      </c>
      <c r="I1099" s="6" t="str">
        <f>_xlfn.CONCAT("Art. złączny do produktu ",Tabela10[[#This Row],[KOD_PRODUKTU]])</f>
        <v>Art. złączny do produktu 445P42</v>
      </c>
      <c r="J1099" s="6" t="str">
        <f>_xlfn.CONCAT("VE-",Tabela10[[#This Row],[KOD_PRODUKTU]])</f>
        <v>VE-445P42</v>
      </c>
    </row>
    <row r="1100" spans="1:10" x14ac:dyDescent="0.25">
      <c r="A1100" s="7" t="s">
        <v>2358</v>
      </c>
      <c r="B1100" s="6" t="s">
        <v>2359</v>
      </c>
      <c r="C1100" s="7" t="s">
        <v>479</v>
      </c>
      <c r="D1100" s="6" t="s">
        <v>480</v>
      </c>
      <c r="E1100" s="6" t="s">
        <v>481</v>
      </c>
      <c r="F1100" s="6" t="s">
        <v>5</v>
      </c>
      <c r="G1100" s="6" t="s">
        <v>534</v>
      </c>
      <c r="H1100" s="6">
        <v>0.05</v>
      </c>
      <c r="I1100" s="6" t="str">
        <f>_xlfn.CONCAT("Art. złączny do produktu ",Tabela10[[#This Row],[KOD_PRODUKTU]])</f>
        <v>Art. złączny do produktu 445P42</v>
      </c>
      <c r="J1100" s="6" t="str">
        <f>_xlfn.CONCAT("VE-",Tabela10[[#This Row],[KOD_PRODUKTU]])</f>
        <v>VE-445P42</v>
      </c>
    </row>
    <row r="1101" spans="1:10" x14ac:dyDescent="0.25">
      <c r="A1101" s="1" t="s">
        <v>2358</v>
      </c>
      <c r="B1101" t="s">
        <v>2359</v>
      </c>
      <c r="C1101" s="1" t="s">
        <v>483</v>
      </c>
      <c r="D1101" t="s">
        <v>484</v>
      </c>
      <c r="E1101" t="s">
        <v>485</v>
      </c>
      <c r="F1101" t="s">
        <v>5</v>
      </c>
      <c r="G1101" t="s">
        <v>573</v>
      </c>
      <c r="H1101">
        <v>0.01</v>
      </c>
      <c r="I1101" s="6" t="str">
        <f>_xlfn.CONCAT("Art. złączny do produktu ",Tabela10[[#This Row],[KOD_PRODUKTU]])</f>
        <v>Art. złączny do produktu 445P42</v>
      </c>
      <c r="J1101" s="6" t="str">
        <f>_xlfn.CONCAT("VE-",Tabela10[[#This Row],[KOD_PRODUKTU]])</f>
        <v>VE-445P42</v>
      </c>
    </row>
    <row r="1102" spans="1:10" x14ac:dyDescent="0.25">
      <c r="A1102" s="7" t="s">
        <v>2358</v>
      </c>
      <c r="B1102" s="6" t="s">
        <v>2359</v>
      </c>
      <c r="C1102" s="7" t="s">
        <v>487</v>
      </c>
      <c r="D1102" s="6" t="s">
        <v>488</v>
      </c>
      <c r="E1102" s="6" t="s">
        <v>489</v>
      </c>
      <c r="F1102" s="6" t="s">
        <v>5</v>
      </c>
      <c r="G1102" s="6" t="s">
        <v>2361</v>
      </c>
      <c r="H1102" s="6">
        <v>0.31</v>
      </c>
      <c r="I1102" s="6" t="str">
        <f>_xlfn.CONCAT("Art. złączny do produktu ",Tabela10[[#This Row],[KOD_PRODUKTU]])</f>
        <v>Art. złączny do produktu 445P42</v>
      </c>
      <c r="J1102" s="6" t="str">
        <f>_xlfn.CONCAT("VE-",Tabela10[[#This Row],[KOD_PRODUKTU]])</f>
        <v>VE-445P42</v>
      </c>
    </row>
    <row r="1103" spans="1:10" x14ac:dyDescent="0.25">
      <c r="A1103" s="1" t="s">
        <v>2358</v>
      </c>
      <c r="B1103" t="s">
        <v>2359</v>
      </c>
      <c r="C1103" s="1" t="s">
        <v>41</v>
      </c>
      <c r="D1103" t="s">
        <v>42</v>
      </c>
      <c r="E1103" t="s">
        <v>43</v>
      </c>
      <c r="F1103" t="s">
        <v>5</v>
      </c>
      <c r="G1103" t="s">
        <v>1900</v>
      </c>
      <c r="H1103">
        <v>0.03</v>
      </c>
      <c r="I1103" s="6" t="str">
        <f>_xlfn.CONCAT("Art. złączny do produktu ",Tabela10[[#This Row],[KOD_PRODUKTU]])</f>
        <v>Art. złączny do produktu 445P42</v>
      </c>
      <c r="J1103" s="6" t="str">
        <f>_xlfn.CONCAT("VE-",Tabela10[[#This Row],[KOD_PRODUKTU]])</f>
        <v>VE-445P42</v>
      </c>
    </row>
    <row r="1104" spans="1:10" x14ac:dyDescent="0.25">
      <c r="A1104" s="7" t="s">
        <v>2358</v>
      </c>
      <c r="B1104" s="6" t="s">
        <v>2359</v>
      </c>
      <c r="C1104" s="7" t="s">
        <v>491</v>
      </c>
      <c r="D1104" s="6" t="s">
        <v>492</v>
      </c>
      <c r="E1104" s="6" t="s">
        <v>493</v>
      </c>
      <c r="F1104" s="6" t="s">
        <v>121</v>
      </c>
      <c r="G1104" s="6" t="s">
        <v>92</v>
      </c>
      <c r="H1104" s="6">
        <v>13.7</v>
      </c>
      <c r="I1104" s="6" t="str">
        <f>_xlfn.CONCAT("Art. złączny do produktu ",Tabela10[[#This Row],[KOD_PRODUKTU]])</f>
        <v>Art. złączny do produktu 445P42</v>
      </c>
      <c r="J1104" s="6" t="str">
        <f>_xlfn.CONCAT("VE-",Tabela10[[#This Row],[KOD_PRODUKTU]])</f>
        <v>VE-445P42</v>
      </c>
    </row>
    <row r="1105" spans="1:10" x14ac:dyDescent="0.25">
      <c r="A1105" s="1" t="s">
        <v>2358</v>
      </c>
      <c r="B1105" t="s">
        <v>2359</v>
      </c>
      <c r="C1105" s="1" t="s">
        <v>499</v>
      </c>
      <c r="D1105" t="s">
        <v>500</v>
      </c>
      <c r="E1105" t="s">
        <v>501</v>
      </c>
      <c r="F1105" t="s">
        <v>121</v>
      </c>
      <c r="G1105" t="s">
        <v>50</v>
      </c>
      <c r="H1105">
        <v>4.5</v>
      </c>
      <c r="I1105" s="6" t="str">
        <f>_xlfn.CONCAT("Art. złączny do produktu ",Tabela10[[#This Row],[KOD_PRODUKTU]])</f>
        <v>Art. złączny do produktu 445P42</v>
      </c>
      <c r="J1105" s="6" t="str">
        <f>_xlfn.CONCAT("VE-",Tabela10[[#This Row],[KOD_PRODUKTU]])</f>
        <v>VE-445P42</v>
      </c>
    </row>
    <row r="1106" spans="1:10" x14ac:dyDescent="0.25">
      <c r="A1106" s="7" t="s">
        <v>2358</v>
      </c>
      <c r="B1106" s="6" t="s">
        <v>2359</v>
      </c>
      <c r="C1106" s="7" t="s">
        <v>536</v>
      </c>
      <c r="D1106" s="6" t="s">
        <v>537</v>
      </c>
      <c r="E1106" s="6" t="s">
        <v>538</v>
      </c>
      <c r="F1106" s="6" t="s">
        <v>121</v>
      </c>
      <c r="G1106" s="6" t="s">
        <v>50</v>
      </c>
      <c r="H1106" s="6">
        <v>15.7</v>
      </c>
      <c r="I1106" s="6" t="str">
        <f>_xlfn.CONCAT("Art. złączny do produktu ",Tabela10[[#This Row],[KOD_PRODUKTU]])</f>
        <v>Art. złączny do produktu 445P42</v>
      </c>
      <c r="J1106" s="6" t="str">
        <f>_xlfn.CONCAT("VE-",Tabela10[[#This Row],[KOD_PRODUKTU]])</f>
        <v>VE-445P42</v>
      </c>
    </row>
    <row r="1107" spans="1:10" x14ac:dyDescent="0.25">
      <c r="A1107" s="1" t="s">
        <v>2358</v>
      </c>
      <c r="B1107" t="s">
        <v>2359</v>
      </c>
      <c r="C1107" s="1" t="s">
        <v>539</v>
      </c>
      <c r="D1107" t="s">
        <v>540</v>
      </c>
      <c r="E1107" t="s">
        <v>538</v>
      </c>
      <c r="F1107" t="s">
        <v>121</v>
      </c>
      <c r="G1107" t="s">
        <v>50</v>
      </c>
      <c r="H1107">
        <v>15.7</v>
      </c>
      <c r="I1107" s="6" t="str">
        <f>_xlfn.CONCAT("Art. złączny do produktu ",Tabela10[[#This Row],[KOD_PRODUKTU]])</f>
        <v>Art. złączny do produktu 445P42</v>
      </c>
      <c r="J1107" s="6" t="str">
        <f>_xlfn.CONCAT("VE-",Tabela10[[#This Row],[KOD_PRODUKTU]])</f>
        <v>VE-445P42</v>
      </c>
    </row>
    <row r="1108" spans="1:10" x14ac:dyDescent="0.25">
      <c r="A1108" s="7" t="s">
        <v>2358</v>
      </c>
      <c r="B1108" s="6" t="s">
        <v>2359</v>
      </c>
      <c r="C1108" s="7" t="s">
        <v>7</v>
      </c>
      <c r="D1108" s="6" t="s">
        <v>8</v>
      </c>
      <c r="E1108" s="6" t="s">
        <v>9</v>
      </c>
      <c r="F1108" s="6" t="s">
        <v>10</v>
      </c>
      <c r="G1108" s="6" t="s">
        <v>2362</v>
      </c>
      <c r="H1108" s="6">
        <v>40.25</v>
      </c>
      <c r="I1108" s="6" t="str">
        <f>_xlfn.CONCAT("Art. złączny do produktu ",Tabela10[[#This Row],[KOD_PRODUKTU]])</f>
        <v>Art. złączny do produktu 445P42</v>
      </c>
      <c r="J1108" s="6" t="str">
        <f>_xlfn.CONCAT("VE-",Tabela10[[#This Row],[KOD_PRODUKTU]])</f>
        <v>VE-445P42</v>
      </c>
    </row>
    <row r="1109" spans="1:10" x14ac:dyDescent="0.25">
      <c r="A1109" s="1" t="s">
        <v>2363</v>
      </c>
      <c r="B1109" t="s">
        <v>2364</v>
      </c>
      <c r="C1109" s="1" t="s">
        <v>2292</v>
      </c>
      <c r="D1109" t="s">
        <v>2293</v>
      </c>
      <c r="E1109" t="s">
        <v>2365</v>
      </c>
      <c r="F1109" t="s">
        <v>17</v>
      </c>
      <c r="G1109" t="s">
        <v>1338</v>
      </c>
      <c r="H1109">
        <v>34.5</v>
      </c>
      <c r="I1109" s="6" t="str">
        <f>_xlfn.CONCAT("Art. złączny do produktu ",Tabela10[[#This Row],[KOD_PRODUKTU]])</f>
        <v>Art. złączny do produktu 445P44</v>
      </c>
      <c r="J1109" s="6" t="str">
        <f>_xlfn.CONCAT("VE-",Tabela10[[#This Row],[KOD_PRODUKTU]])</f>
        <v>VE-445P44</v>
      </c>
    </row>
    <row r="1110" spans="1:10" x14ac:dyDescent="0.25">
      <c r="A1110" s="7" t="s">
        <v>2363</v>
      </c>
      <c r="B1110" s="6" t="s">
        <v>2364</v>
      </c>
      <c r="C1110" s="7" t="s">
        <v>2296</v>
      </c>
      <c r="D1110" s="6" t="s">
        <v>2297</v>
      </c>
      <c r="E1110" s="6" t="s">
        <v>2341</v>
      </c>
      <c r="F1110" s="6" t="s">
        <v>39</v>
      </c>
      <c r="G1110" s="6" t="s">
        <v>447</v>
      </c>
      <c r="H1110" s="6">
        <v>0.27</v>
      </c>
      <c r="I1110" s="6" t="str">
        <f>_xlfn.CONCAT("Art. złączny do produktu ",Tabela10[[#This Row],[KOD_PRODUKTU]])</f>
        <v>Art. złączny do produktu 445P44</v>
      </c>
      <c r="J1110" s="6" t="str">
        <f>_xlfn.CONCAT("VE-",Tabela10[[#This Row],[KOD_PRODUKTU]])</f>
        <v>VE-445P44</v>
      </c>
    </row>
    <row r="1111" spans="1:10" x14ac:dyDescent="0.25">
      <c r="A1111" s="1" t="s">
        <v>2363</v>
      </c>
      <c r="B1111" t="s">
        <v>2364</v>
      </c>
      <c r="C1111" s="1" t="s">
        <v>2299</v>
      </c>
      <c r="D1111" t="s">
        <v>2300</v>
      </c>
      <c r="E1111" t="s">
        <v>2342</v>
      </c>
      <c r="F1111" t="s">
        <v>1857</v>
      </c>
      <c r="G1111" t="s">
        <v>2302</v>
      </c>
      <c r="H1111">
        <v>2.16</v>
      </c>
      <c r="I1111" s="6" t="str">
        <f>_xlfn.CONCAT("Art. złączny do produktu ",Tabela10[[#This Row],[KOD_PRODUKTU]])</f>
        <v>Art. złączny do produktu 445P44</v>
      </c>
      <c r="J1111" s="6" t="str">
        <f>_xlfn.CONCAT("VE-",Tabela10[[#This Row],[KOD_PRODUKTU]])</f>
        <v>VE-445P44</v>
      </c>
    </row>
    <row r="1112" spans="1:10" x14ac:dyDescent="0.25">
      <c r="A1112" s="7" t="s">
        <v>2363</v>
      </c>
      <c r="B1112" s="6" t="s">
        <v>2364</v>
      </c>
      <c r="C1112" s="7" t="s">
        <v>649</v>
      </c>
      <c r="D1112" s="6" t="s">
        <v>650</v>
      </c>
      <c r="E1112" s="6" t="s">
        <v>651</v>
      </c>
      <c r="F1112" s="6" t="s">
        <v>39</v>
      </c>
      <c r="G1112" s="6" t="s">
        <v>447</v>
      </c>
      <c r="H1112" s="6">
        <v>0.16</v>
      </c>
      <c r="I1112" s="6" t="str">
        <f>_xlfn.CONCAT("Art. złączny do produktu ",Tabela10[[#This Row],[KOD_PRODUKTU]])</f>
        <v>Art. złączny do produktu 445P44</v>
      </c>
      <c r="J1112" s="6" t="str">
        <f>_xlfn.CONCAT("VE-",Tabela10[[#This Row],[KOD_PRODUKTU]])</f>
        <v>VE-445P44</v>
      </c>
    </row>
    <row r="1113" spans="1:10" x14ac:dyDescent="0.25">
      <c r="A1113" s="1" t="s">
        <v>2363</v>
      </c>
      <c r="B1113" t="s">
        <v>2364</v>
      </c>
      <c r="C1113" s="1" t="s">
        <v>864</v>
      </c>
      <c r="D1113" t="s">
        <v>865</v>
      </c>
      <c r="E1113" t="s">
        <v>866</v>
      </c>
      <c r="F1113" t="s">
        <v>39</v>
      </c>
      <c r="G1113" t="s">
        <v>447</v>
      </c>
      <c r="H1113">
        <v>0.06</v>
      </c>
      <c r="I1113" s="6" t="str">
        <f>_xlfn.CONCAT("Art. złączny do produktu ",Tabela10[[#This Row],[KOD_PRODUKTU]])</f>
        <v>Art. złączny do produktu 445P44</v>
      </c>
      <c r="J1113" s="6" t="str">
        <f>_xlfn.CONCAT("VE-",Tabela10[[#This Row],[KOD_PRODUKTU]])</f>
        <v>VE-445P44</v>
      </c>
    </row>
    <row r="1114" spans="1:10" x14ac:dyDescent="0.25">
      <c r="A1114" s="7" t="s">
        <v>2363</v>
      </c>
      <c r="B1114" s="6" t="s">
        <v>2364</v>
      </c>
      <c r="C1114" s="7" t="s">
        <v>2304</v>
      </c>
      <c r="D1114" s="6" t="s">
        <v>2305</v>
      </c>
      <c r="E1114" s="6" t="s">
        <v>2306</v>
      </c>
      <c r="F1114" s="6" t="s">
        <v>121</v>
      </c>
      <c r="G1114" s="6" t="s">
        <v>92</v>
      </c>
      <c r="H1114" s="6">
        <v>0.68</v>
      </c>
      <c r="I1114" s="6" t="str">
        <f>_xlfn.CONCAT("Art. złączny do produktu ",Tabela10[[#This Row],[KOD_PRODUKTU]])</f>
        <v>Art. złączny do produktu 445P44</v>
      </c>
      <c r="J1114" s="6" t="str">
        <f>_xlfn.CONCAT("VE-",Tabela10[[#This Row],[KOD_PRODUKTU]])</f>
        <v>VE-445P44</v>
      </c>
    </row>
    <row r="1115" spans="1:10" x14ac:dyDescent="0.25">
      <c r="A1115" s="1" t="s">
        <v>2363</v>
      </c>
      <c r="B1115" t="s">
        <v>2364</v>
      </c>
      <c r="C1115" s="1" t="s">
        <v>41</v>
      </c>
      <c r="D1115" t="s">
        <v>42</v>
      </c>
      <c r="E1115" t="s">
        <v>43</v>
      </c>
      <c r="F1115" t="s">
        <v>5</v>
      </c>
      <c r="G1115" t="s">
        <v>1867</v>
      </c>
      <c r="H1115">
        <v>0.03</v>
      </c>
      <c r="I1115" s="6" t="str">
        <f>_xlfn.CONCAT("Art. złączny do produktu ",Tabela10[[#This Row],[KOD_PRODUKTU]])</f>
        <v>Art. złączny do produktu 445P44</v>
      </c>
      <c r="J1115" s="6" t="str">
        <f>_xlfn.CONCAT("VE-",Tabela10[[#This Row],[KOD_PRODUKTU]])</f>
        <v>VE-445P44</v>
      </c>
    </row>
    <row r="1116" spans="1:10" x14ac:dyDescent="0.25">
      <c r="A1116" s="7" t="s">
        <v>2363</v>
      </c>
      <c r="B1116" s="6" t="s">
        <v>2364</v>
      </c>
      <c r="C1116" s="7" t="s">
        <v>2307</v>
      </c>
      <c r="D1116" s="6" t="s">
        <v>2308</v>
      </c>
      <c r="E1116" s="6" t="s">
        <v>2309</v>
      </c>
      <c r="F1116" s="6" t="s">
        <v>121</v>
      </c>
      <c r="G1116" s="6" t="s">
        <v>92</v>
      </c>
      <c r="H1116" s="6">
        <v>19.5</v>
      </c>
      <c r="I1116" s="6" t="str">
        <f>_xlfn.CONCAT("Art. złączny do produktu ",Tabela10[[#This Row],[KOD_PRODUKTU]])</f>
        <v>Art. złączny do produktu 445P44</v>
      </c>
      <c r="J1116" s="6" t="str">
        <f>_xlfn.CONCAT("VE-",Tabela10[[#This Row],[KOD_PRODUKTU]])</f>
        <v>VE-445P44</v>
      </c>
    </row>
    <row r="1117" spans="1:10" x14ac:dyDescent="0.25">
      <c r="A1117" s="1" t="s">
        <v>2363</v>
      </c>
      <c r="B1117" t="s">
        <v>2364</v>
      </c>
      <c r="C1117" s="1" t="s">
        <v>2310</v>
      </c>
      <c r="D1117" t="s">
        <v>2311</v>
      </c>
      <c r="E1117" t="s">
        <v>2312</v>
      </c>
      <c r="F1117" t="s">
        <v>121</v>
      </c>
      <c r="G1117" t="s">
        <v>50</v>
      </c>
      <c r="H1117">
        <v>37.15</v>
      </c>
      <c r="I1117" s="6" t="str">
        <f>_xlfn.CONCAT("Art. złączny do produktu ",Tabela10[[#This Row],[KOD_PRODUKTU]])</f>
        <v>Art. złączny do produktu 445P44</v>
      </c>
      <c r="J1117" s="6" t="str">
        <f>_xlfn.CONCAT("VE-",Tabela10[[#This Row],[KOD_PRODUKTU]])</f>
        <v>VE-445P44</v>
      </c>
    </row>
    <row r="1118" spans="1:10" x14ac:dyDescent="0.25">
      <c r="A1118" s="7" t="s">
        <v>2363</v>
      </c>
      <c r="B1118" s="6" t="s">
        <v>2364</v>
      </c>
      <c r="C1118" s="7" t="s">
        <v>2313</v>
      </c>
      <c r="D1118" s="6" t="s">
        <v>2314</v>
      </c>
      <c r="E1118" s="6" t="s">
        <v>2312</v>
      </c>
      <c r="F1118" s="6" t="s">
        <v>121</v>
      </c>
      <c r="G1118" s="6" t="s">
        <v>50</v>
      </c>
      <c r="H1118" s="6">
        <v>37.15</v>
      </c>
      <c r="I1118" s="6" t="str">
        <f>_xlfn.CONCAT("Art. złączny do produktu ",Tabela10[[#This Row],[KOD_PRODUKTU]])</f>
        <v>Art. złączny do produktu 445P44</v>
      </c>
      <c r="J1118" s="6" t="str">
        <f>_xlfn.CONCAT("VE-",Tabela10[[#This Row],[KOD_PRODUKTU]])</f>
        <v>VE-445P44</v>
      </c>
    </row>
    <row r="1119" spans="1:10" x14ac:dyDescent="0.25">
      <c r="A1119" s="1" t="s">
        <v>2363</v>
      </c>
      <c r="B1119" t="s">
        <v>2364</v>
      </c>
      <c r="C1119" s="1" t="s">
        <v>7</v>
      </c>
      <c r="D1119" t="s">
        <v>8</v>
      </c>
      <c r="E1119" t="s">
        <v>9</v>
      </c>
      <c r="F1119" t="s">
        <v>10</v>
      </c>
      <c r="G1119" t="s">
        <v>50</v>
      </c>
      <c r="H1119">
        <v>46</v>
      </c>
      <c r="I1119" s="6" t="str">
        <f>_xlfn.CONCAT("Art. złączny do produktu ",Tabela10[[#This Row],[KOD_PRODUKTU]])</f>
        <v>Art. złączny do produktu 445P44</v>
      </c>
      <c r="J1119" s="6" t="str">
        <f>_xlfn.CONCAT("VE-",Tabela10[[#This Row],[KOD_PRODUKTU]])</f>
        <v>VE-445P44</v>
      </c>
    </row>
    <row r="1120" spans="1:10" x14ac:dyDescent="0.25">
      <c r="A1120" s="7" t="s">
        <v>2366</v>
      </c>
      <c r="B1120" s="6" t="s">
        <v>2367</v>
      </c>
      <c r="C1120" s="7" t="s">
        <v>2318</v>
      </c>
      <c r="D1120" s="6" t="s">
        <v>2319</v>
      </c>
      <c r="E1120" s="6" t="s">
        <v>2336</v>
      </c>
      <c r="F1120" s="6" t="s">
        <v>17</v>
      </c>
      <c r="G1120" s="6" t="s">
        <v>2368</v>
      </c>
      <c r="H1120" s="6">
        <v>13.55</v>
      </c>
      <c r="I1120" s="6" t="str">
        <f>_xlfn.CONCAT("Art. złączny do produktu ",Tabela10[[#This Row],[KOD_PRODUKTU]])</f>
        <v>Art. złączny do produktu 445P45</v>
      </c>
      <c r="J1120" s="6" t="str">
        <f>_xlfn.CONCAT("VE-",Tabela10[[#This Row],[KOD_PRODUKTU]])</f>
        <v>VE-445P45</v>
      </c>
    </row>
    <row r="1121" spans="1:10" x14ac:dyDescent="0.25">
      <c r="A1121" s="1" t="s">
        <v>2366</v>
      </c>
      <c r="B1121" t="s">
        <v>2367</v>
      </c>
      <c r="C1121" s="1" t="s">
        <v>2322</v>
      </c>
      <c r="D1121" t="s">
        <v>2323</v>
      </c>
      <c r="E1121" t="s">
        <v>2324</v>
      </c>
      <c r="F1121" t="s">
        <v>39</v>
      </c>
      <c r="G1121" t="s">
        <v>478</v>
      </c>
      <c r="H1121">
        <v>2.96</v>
      </c>
      <c r="I1121" s="6" t="str">
        <f>_xlfn.CONCAT("Art. złączny do produktu ",Tabela10[[#This Row],[KOD_PRODUKTU]])</f>
        <v>Art. złączny do produktu 445P45</v>
      </c>
      <c r="J1121" s="6" t="str">
        <f>_xlfn.CONCAT("VE-",Tabela10[[#This Row],[KOD_PRODUKTU]])</f>
        <v>VE-445P45</v>
      </c>
    </row>
    <row r="1122" spans="1:10" x14ac:dyDescent="0.25">
      <c r="A1122" s="7" t="s">
        <v>2366</v>
      </c>
      <c r="B1122" s="6" t="s">
        <v>2367</v>
      </c>
      <c r="C1122" s="7" t="s">
        <v>514</v>
      </c>
      <c r="D1122" s="6" t="s">
        <v>515</v>
      </c>
      <c r="E1122" s="6" t="s">
        <v>516</v>
      </c>
      <c r="F1122" s="6" t="s">
        <v>121</v>
      </c>
      <c r="G1122" s="6" t="s">
        <v>92</v>
      </c>
      <c r="H1122" s="6">
        <v>0.54</v>
      </c>
      <c r="I1122" s="6" t="str">
        <f>_xlfn.CONCAT("Art. złączny do produktu ",Tabela10[[#This Row],[KOD_PRODUKTU]])</f>
        <v>Art. złączny do produktu 445P45</v>
      </c>
      <c r="J1122" s="6" t="str">
        <f>_xlfn.CONCAT("VE-",Tabela10[[#This Row],[KOD_PRODUKTU]])</f>
        <v>VE-445P45</v>
      </c>
    </row>
    <row r="1123" spans="1:10" x14ac:dyDescent="0.25">
      <c r="A1123" s="1" t="s">
        <v>2366</v>
      </c>
      <c r="B1123" t="s">
        <v>2367</v>
      </c>
      <c r="C1123" s="1" t="s">
        <v>41</v>
      </c>
      <c r="D1123" t="s">
        <v>42</v>
      </c>
      <c r="E1123" t="s">
        <v>43</v>
      </c>
      <c r="F1123" t="s">
        <v>5</v>
      </c>
      <c r="G1123" t="s">
        <v>550</v>
      </c>
      <c r="H1123">
        <v>0.02</v>
      </c>
      <c r="I1123" s="6" t="str">
        <f>_xlfn.CONCAT("Art. złączny do produktu ",Tabela10[[#This Row],[KOD_PRODUKTU]])</f>
        <v>Art. złączny do produktu 445P45</v>
      </c>
      <c r="J1123" s="6" t="str">
        <f>_xlfn.CONCAT("VE-",Tabela10[[#This Row],[KOD_PRODUKTU]])</f>
        <v>VE-445P45</v>
      </c>
    </row>
    <row r="1124" spans="1:10" x14ac:dyDescent="0.25">
      <c r="A1124" s="7" t="s">
        <v>2366</v>
      </c>
      <c r="B1124" s="6" t="s">
        <v>2367</v>
      </c>
      <c r="C1124" s="7" t="s">
        <v>2325</v>
      </c>
      <c r="D1124" s="6" t="s">
        <v>2326</v>
      </c>
      <c r="E1124" s="6" t="s">
        <v>580</v>
      </c>
      <c r="F1124" s="6" t="s">
        <v>121</v>
      </c>
      <c r="G1124" s="6" t="s">
        <v>92</v>
      </c>
      <c r="H1124" s="6">
        <v>14.9</v>
      </c>
      <c r="I1124" s="6" t="str">
        <f>_xlfn.CONCAT("Art. złączny do produktu ",Tabela10[[#This Row],[KOD_PRODUKTU]])</f>
        <v>Art. złączny do produktu 445P45</v>
      </c>
      <c r="J1124" s="6" t="str">
        <f>_xlfn.CONCAT("VE-",Tabela10[[#This Row],[KOD_PRODUKTU]])</f>
        <v>VE-445P45</v>
      </c>
    </row>
    <row r="1125" spans="1:10" x14ac:dyDescent="0.25">
      <c r="A1125" s="1" t="s">
        <v>2366</v>
      </c>
      <c r="B1125" t="s">
        <v>2367</v>
      </c>
      <c r="C1125" s="1" t="s">
        <v>2327</v>
      </c>
      <c r="D1125" t="s">
        <v>2328</v>
      </c>
      <c r="E1125" t="s">
        <v>2329</v>
      </c>
      <c r="F1125" t="s">
        <v>121</v>
      </c>
      <c r="G1125" t="s">
        <v>50</v>
      </c>
      <c r="H1125">
        <v>0.6</v>
      </c>
      <c r="I1125" s="6" t="str">
        <f>_xlfn.CONCAT("Art. złączny do produktu ",Tabela10[[#This Row],[KOD_PRODUKTU]])</f>
        <v>Art. złączny do produktu 445P45</v>
      </c>
      <c r="J1125" s="6" t="str">
        <f>_xlfn.CONCAT("VE-",Tabela10[[#This Row],[KOD_PRODUKTU]])</f>
        <v>VE-445P45</v>
      </c>
    </row>
    <row r="1126" spans="1:10" x14ac:dyDescent="0.25">
      <c r="A1126" s="7" t="s">
        <v>2366</v>
      </c>
      <c r="B1126" s="6" t="s">
        <v>2367</v>
      </c>
      <c r="C1126" s="7" t="s">
        <v>7</v>
      </c>
      <c r="D1126" s="6" t="s">
        <v>8</v>
      </c>
      <c r="E1126" s="6" t="s">
        <v>9</v>
      </c>
      <c r="F1126" s="6" t="s">
        <v>10</v>
      </c>
      <c r="G1126" s="6" t="s">
        <v>2338</v>
      </c>
      <c r="H1126" s="6">
        <v>26.68</v>
      </c>
      <c r="I1126" s="6" t="str">
        <f>_xlfn.CONCAT("Art. złączny do produktu ",Tabela10[[#This Row],[KOD_PRODUKTU]])</f>
        <v>Art. złączny do produktu 445P45</v>
      </c>
      <c r="J1126" s="6" t="str">
        <f>_xlfn.CONCAT("VE-",Tabela10[[#This Row],[KOD_PRODUKTU]])</f>
        <v>VE-445P45</v>
      </c>
    </row>
    <row r="1127" spans="1:10" x14ac:dyDescent="0.25">
      <c r="A1127" s="1" t="s">
        <v>2369</v>
      </c>
      <c r="B1127" t="s">
        <v>2370</v>
      </c>
      <c r="C1127" s="1" t="s">
        <v>2296</v>
      </c>
      <c r="D1127" t="s">
        <v>2297</v>
      </c>
      <c r="E1127" t="s">
        <v>2341</v>
      </c>
      <c r="F1127" t="s">
        <v>39</v>
      </c>
      <c r="G1127" t="s">
        <v>605</v>
      </c>
      <c r="H1127">
        <v>0.55000000000000004</v>
      </c>
      <c r="I1127" s="6" t="str">
        <f>_xlfn.CONCAT("Art. złączny do produktu ",Tabela10[[#This Row],[KOD_PRODUKTU]])</f>
        <v>Art. złączny do produktu 445R01</v>
      </c>
      <c r="J1127" s="6" t="str">
        <f>_xlfn.CONCAT("VE-",Tabela10[[#This Row],[KOD_PRODUKTU]])</f>
        <v>VE-445R01</v>
      </c>
    </row>
    <row r="1128" spans="1:10" x14ac:dyDescent="0.25">
      <c r="A1128" s="7" t="s">
        <v>2369</v>
      </c>
      <c r="B1128" s="6" t="s">
        <v>2370</v>
      </c>
      <c r="C1128" s="7" t="s">
        <v>2371</v>
      </c>
      <c r="D1128" s="6" t="s">
        <v>2372</v>
      </c>
      <c r="E1128" s="6" t="s">
        <v>185</v>
      </c>
      <c r="F1128" s="6" t="s">
        <v>49</v>
      </c>
      <c r="G1128" s="6" t="s">
        <v>1130</v>
      </c>
      <c r="H1128" s="6">
        <v>2.93</v>
      </c>
      <c r="I1128" s="6" t="str">
        <f>_xlfn.CONCAT("Art. złączny do produktu ",Tabela10[[#This Row],[KOD_PRODUKTU]])</f>
        <v>Art. złączny do produktu 445R01</v>
      </c>
      <c r="J1128" s="6" t="str">
        <f>_xlfn.CONCAT("VE-",Tabela10[[#This Row],[KOD_PRODUKTU]])</f>
        <v>VE-445R01</v>
      </c>
    </row>
    <row r="1129" spans="1:10" x14ac:dyDescent="0.25">
      <c r="A1129" s="1" t="s">
        <v>2369</v>
      </c>
      <c r="B1129" t="s">
        <v>2370</v>
      </c>
      <c r="C1129" s="1" t="s">
        <v>2373</v>
      </c>
      <c r="D1129" t="s">
        <v>2374</v>
      </c>
      <c r="E1129" t="s">
        <v>2112</v>
      </c>
      <c r="F1129" t="s">
        <v>49</v>
      </c>
      <c r="G1129" t="s">
        <v>319</v>
      </c>
      <c r="H1129">
        <v>93</v>
      </c>
      <c r="I1129" s="6" t="str">
        <f>_xlfn.CONCAT("Art. złączny do produktu ",Tabela10[[#This Row],[KOD_PRODUKTU]])</f>
        <v>Art. złączny do produktu 445R01</v>
      </c>
      <c r="J1129" s="6" t="str">
        <f>_xlfn.CONCAT("VE-",Tabela10[[#This Row],[KOD_PRODUKTU]])</f>
        <v>VE-445R01</v>
      </c>
    </row>
    <row r="1130" spans="1:10" x14ac:dyDescent="0.25">
      <c r="A1130" s="7" t="s">
        <v>2369</v>
      </c>
      <c r="B1130" s="6" t="s">
        <v>2370</v>
      </c>
      <c r="C1130" s="7" t="s">
        <v>2375</v>
      </c>
      <c r="D1130" s="6" t="s">
        <v>2376</v>
      </c>
      <c r="E1130" s="6" t="s">
        <v>2377</v>
      </c>
      <c r="F1130" s="6" t="s">
        <v>2378</v>
      </c>
      <c r="G1130" s="6" t="s">
        <v>50</v>
      </c>
      <c r="H1130" s="6">
        <v>45.89</v>
      </c>
      <c r="I1130" s="6" t="str">
        <f>_xlfn.CONCAT("Art. złączny do produktu ",Tabela10[[#This Row],[KOD_PRODUKTU]])</f>
        <v>Art. złączny do produktu 445R01</v>
      </c>
      <c r="J1130" s="6" t="str">
        <f>_xlfn.CONCAT("VE-",Tabela10[[#This Row],[KOD_PRODUKTU]])</f>
        <v>VE-445R01</v>
      </c>
    </row>
    <row r="1131" spans="1:10" x14ac:dyDescent="0.25">
      <c r="A1131" s="1" t="s">
        <v>2369</v>
      </c>
      <c r="B1131" t="s">
        <v>2370</v>
      </c>
      <c r="C1131" s="1" t="s">
        <v>2379</v>
      </c>
      <c r="D1131" t="s">
        <v>2380</v>
      </c>
      <c r="E1131" t="s">
        <v>580</v>
      </c>
      <c r="F1131" t="s">
        <v>121</v>
      </c>
      <c r="G1131" t="s">
        <v>319</v>
      </c>
      <c r="H1131">
        <v>44.7</v>
      </c>
      <c r="I1131" s="6" t="str">
        <f>_xlfn.CONCAT("Art. złączny do produktu ",Tabela10[[#This Row],[KOD_PRODUKTU]])</f>
        <v>Art. złączny do produktu 445R01</v>
      </c>
      <c r="J1131" s="6" t="str">
        <f>_xlfn.CONCAT("VE-",Tabela10[[#This Row],[KOD_PRODUKTU]])</f>
        <v>VE-445R01</v>
      </c>
    </row>
    <row r="1132" spans="1:10" x14ac:dyDescent="0.25">
      <c r="A1132" s="7" t="s">
        <v>2369</v>
      </c>
      <c r="B1132" s="6" t="s">
        <v>2370</v>
      </c>
      <c r="C1132" s="7" t="s">
        <v>41</v>
      </c>
      <c r="D1132" s="6" t="s">
        <v>42</v>
      </c>
      <c r="E1132" s="6" t="s">
        <v>43</v>
      </c>
      <c r="F1132" s="6" t="s">
        <v>5</v>
      </c>
      <c r="G1132" s="6" t="s">
        <v>1867</v>
      </c>
      <c r="H1132" s="6">
        <v>0.03</v>
      </c>
      <c r="I1132" s="6" t="str">
        <f>_xlfn.CONCAT("Art. złączny do produktu ",Tabela10[[#This Row],[KOD_PRODUKTU]])</f>
        <v>Art. złączny do produktu 445R01</v>
      </c>
      <c r="J1132" s="6" t="str">
        <f>_xlfn.CONCAT("VE-",Tabela10[[#This Row],[KOD_PRODUKTU]])</f>
        <v>VE-445R01</v>
      </c>
    </row>
    <row r="1133" spans="1:10" x14ac:dyDescent="0.25">
      <c r="A1133" s="1" t="s">
        <v>2369</v>
      </c>
      <c r="B1133" t="s">
        <v>2370</v>
      </c>
      <c r="C1133" s="1" t="s">
        <v>2381</v>
      </c>
      <c r="D1133" t="s">
        <v>2382</v>
      </c>
      <c r="E1133" t="s">
        <v>2383</v>
      </c>
      <c r="F1133" t="s">
        <v>49</v>
      </c>
      <c r="G1133" t="s">
        <v>2384</v>
      </c>
      <c r="H1133">
        <v>0.6</v>
      </c>
      <c r="I1133" s="6" t="str">
        <f>_xlfn.CONCAT("Art. złączny do produktu ",Tabela10[[#This Row],[KOD_PRODUKTU]])</f>
        <v>Art. złączny do produktu 445R01</v>
      </c>
      <c r="J1133" s="6" t="str">
        <f>_xlfn.CONCAT("VE-",Tabela10[[#This Row],[KOD_PRODUKTU]])</f>
        <v>VE-445R01</v>
      </c>
    </row>
    <row r="1134" spans="1:10" x14ac:dyDescent="0.25">
      <c r="A1134" s="7" t="s">
        <v>2369</v>
      </c>
      <c r="B1134" s="6" t="s">
        <v>2370</v>
      </c>
      <c r="C1134" s="7" t="s">
        <v>2396</v>
      </c>
      <c r="D1134" s="6" t="s">
        <v>2397</v>
      </c>
      <c r="E1134" s="6" t="s">
        <v>111</v>
      </c>
      <c r="F1134" s="6" t="s">
        <v>49</v>
      </c>
      <c r="G1134" s="6" t="s">
        <v>50</v>
      </c>
      <c r="H1134" s="6">
        <v>17.8</v>
      </c>
      <c r="I1134" s="6" t="str">
        <f>_xlfn.CONCAT("Art. złączny do produktu ",Tabela10[[#This Row],[KOD_PRODUKTU]])</f>
        <v>Art. złączny do produktu 445R01</v>
      </c>
      <c r="J1134" s="6" t="str">
        <f>_xlfn.CONCAT("VE-",Tabela10[[#This Row],[KOD_PRODUKTU]])</f>
        <v>VE-445R01</v>
      </c>
    </row>
    <row r="1135" spans="1:10" x14ac:dyDescent="0.25">
      <c r="A1135" s="1" t="s">
        <v>2369</v>
      </c>
      <c r="B1135" t="s">
        <v>2370</v>
      </c>
      <c r="C1135" s="1" t="s">
        <v>7</v>
      </c>
      <c r="D1135" t="s">
        <v>8</v>
      </c>
      <c r="E1135" t="s">
        <v>9</v>
      </c>
      <c r="F1135" t="s">
        <v>10</v>
      </c>
      <c r="G1135" t="s">
        <v>861</v>
      </c>
      <c r="H1135">
        <v>103.5</v>
      </c>
      <c r="I1135" s="6" t="str">
        <f>_xlfn.CONCAT("Art. złączny do produktu ",Tabela10[[#This Row],[KOD_PRODUKTU]])</f>
        <v>Art. złączny do produktu 445R01</v>
      </c>
      <c r="J1135" s="6" t="str">
        <f>_xlfn.CONCAT("VE-",Tabela10[[#This Row],[KOD_PRODUKTU]])</f>
        <v>VE-445R01</v>
      </c>
    </row>
    <row r="1136" spans="1:10" x14ac:dyDescent="0.25">
      <c r="A1136" s="7" t="s">
        <v>2398</v>
      </c>
      <c r="B1136" s="6" t="s">
        <v>2399</v>
      </c>
      <c r="C1136" s="7" t="s">
        <v>2296</v>
      </c>
      <c r="D1136" s="6" t="s">
        <v>2297</v>
      </c>
      <c r="E1136" s="6" t="s">
        <v>2341</v>
      </c>
      <c r="F1136" s="6" t="s">
        <v>39</v>
      </c>
      <c r="G1136" s="6" t="s">
        <v>605</v>
      </c>
      <c r="H1136" s="6">
        <v>0.55000000000000004</v>
      </c>
      <c r="I1136" s="6" t="str">
        <f>_xlfn.CONCAT("Art. złączny do produktu ",Tabela10[[#This Row],[KOD_PRODUKTU]])</f>
        <v>Art. złączny do produktu 445R04</v>
      </c>
      <c r="J1136" s="6" t="str">
        <f>_xlfn.CONCAT("VE-",Tabela10[[#This Row],[KOD_PRODUKTU]])</f>
        <v>VE-445R04</v>
      </c>
    </row>
    <row r="1137" spans="1:10" x14ac:dyDescent="0.25">
      <c r="A1137" s="1" t="s">
        <v>2398</v>
      </c>
      <c r="B1137" t="s">
        <v>2399</v>
      </c>
      <c r="C1137" s="1" t="s">
        <v>2371</v>
      </c>
      <c r="D1137" t="s">
        <v>2372</v>
      </c>
      <c r="E1137" t="s">
        <v>185</v>
      </c>
      <c r="F1137" t="s">
        <v>49</v>
      </c>
      <c r="G1137" t="s">
        <v>1130</v>
      </c>
      <c r="H1137">
        <v>2.93</v>
      </c>
      <c r="I1137" s="6" t="str">
        <f>_xlfn.CONCAT("Art. złączny do produktu ",Tabela10[[#This Row],[KOD_PRODUKTU]])</f>
        <v>Art. złączny do produktu 445R04</v>
      </c>
      <c r="J1137" s="6" t="str">
        <f>_xlfn.CONCAT("VE-",Tabela10[[#This Row],[KOD_PRODUKTU]])</f>
        <v>VE-445R04</v>
      </c>
    </row>
    <row r="1138" spans="1:10" x14ac:dyDescent="0.25">
      <c r="A1138" s="7" t="s">
        <v>2398</v>
      </c>
      <c r="B1138" s="6" t="s">
        <v>2399</v>
      </c>
      <c r="C1138" s="7" t="s">
        <v>2373</v>
      </c>
      <c r="D1138" s="6" t="s">
        <v>2374</v>
      </c>
      <c r="E1138" s="6" t="s">
        <v>2112</v>
      </c>
      <c r="F1138" s="6" t="s">
        <v>49</v>
      </c>
      <c r="G1138" s="6" t="s">
        <v>319</v>
      </c>
      <c r="H1138" s="6">
        <v>93</v>
      </c>
      <c r="I1138" s="6" t="str">
        <f>_xlfn.CONCAT("Art. złączny do produktu ",Tabela10[[#This Row],[KOD_PRODUKTU]])</f>
        <v>Art. złączny do produktu 445R04</v>
      </c>
      <c r="J1138" s="6" t="str">
        <f>_xlfn.CONCAT("VE-",Tabela10[[#This Row],[KOD_PRODUKTU]])</f>
        <v>VE-445R04</v>
      </c>
    </row>
    <row r="1139" spans="1:10" x14ac:dyDescent="0.25">
      <c r="A1139" s="1" t="s">
        <v>2398</v>
      </c>
      <c r="B1139" t="s">
        <v>2399</v>
      </c>
      <c r="C1139" s="1" t="s">
        <v>2375</v>
      </c>
      <c r="D1139" t="s">
        <v>2376</v>
      </c>
      <c r="E1139" t="s">
        <v>2377</v>
      </c>
      <c r="F1139" t="s">
        <v>2378</v>
      </c>
      <c r="G1139" t="s">
        <v>50</v>
      </c>
      <c r="H1139">
        <v>45.89</v>
      </c>
      <c r="I1139" s="6" t="str">
        <f>_xlfn.CONCAT("Art. złączny do produktu ",Tabela10[[#This Row],[KOD_PRODUKTU]])</f>
        <v>Art. złączny do produktu 445R04</v>
      </c>
      <c r="J1139" s="6" t="str">
        <f>_xlfn.CONCAT("VE-",Tabela10[[#This Row],[KOD_PRODUKTU]])</f>
        <v>VE-445R04</v>
      </c>
    </row>
    <row r="1140" spans="1:10" x14ac:dyDescent="0.25">
      <c r="A1140" s="7" t="s">
        <v>2398</v>
      </c>
      <c r="B1140" s="6" t="s">
        <v>2399</v>
      </c>
      <c r="C1140" s="7" t="s">
        <v>2379</v>
      </c>
      <c r="D1140" s="6" t="s">
        <v>2380</v>
      </c>
      <c r="E1140" s="6" t="s">
        <v>580</v>
      </c>
      <c r="F1140" s="6" t="s">
        <v>121</v>
      </c>
      <c r="G1140" s="6" t="s">
        <v>319</v>
      </c>
      <c r="H1140" s="6">
        <v>44.7</v>
      </c>
      <c r="I1140" s="6" t="str">
        <f>_xlfn.CONCAT("Art. złączny do produktu ",Tabela10[[#This Row],[KOD_PRODUKTU]])</f>
        <v>Art. złączny do produktu 445R04</v>
      </c>
      <c r="J1140" s="6" t="str">
        <f>_xlfn.CONCAT("VE-",Tabela10[[#This Row],[KOD_PRODUKTU]])</f>
        <v>VE-445R04</v>
      </c>
    </row>
    <row r="1141" spans="1:10" x14ac:dyDescent="0.25">
      <c r="A1141" s="1" t="s">
        <v>2398</v>
      </c>
      <c r="B1141" t="s">
        <v>2399</v>
      </c>
      <c r="C1141" s="1" t="s">
        <v>41</v>
      </c>
      <c r="D1141" t="s">
        <v>42</v>
      </c>
      <c r="E1141" t="s">
        <v>43</v>
      </c>
      <c r="F1141" t="s">
        <v>5</v>
      </c>
      <c r="G1141" t="s">
        <v>1867</v>
      </c>
      <c r="H1141">
        <v>0.03</v>
      </c>
      <c r="I1141" s="6" t="str">
        <f>_xlfn.CONCAT("Art. złączny do produktu ",Tabela10[[#This Row],[KOD_PRODUKTU]])</f>
        <v>Art. złączny do produktu 445R04</v>
      </c>
      <c r="J1141" s="6" t="str">
        <f>_xlfn.CONCAT("VE-",Tabela10[[#This Row],[KOD_PRODUKTU]])</f>
        <v>VE-445R04</v>
      </c>
    </row>
    <row r="1142" spans="1:10" x14ac:dyDescent="0.25">
      <c r="A1142" s="7" t="s">
        <v>2398</v>
      </c>
      <c r="B1142" s="6" t="s">
        <v>2399</v>
      </c>
      <c r="C1142" s="7" t="s">
        <v>2381</v>
      </c>
      <c r="D1142" s="6" t="s">
        <v>2382</v>
      </c>
      <c r="E1142" s="6" t="s">
        <v>2383</v>
      </c>
      <c r="F1142" s="6" t="s">
        <v>49</v>
      </c>
      <c r="G1142" s="6" t="s">
        <v>2384</v>
      </c>
      <c r="H1142" s="6">
        <v>0.6</v>
      </c>
      <c r="I1142" s="6" t="str">
        <f>_xlfn.CONCAT("Art. złączny do produktu ",Tabela10[[#This Row],[KOD_PRODUKTU]])</f>
        <v>Art. złączny do produktu 445R04</v>
      </c>
      <c r="J1142" s="6" t="str">
        <f>_xlfn.CONCAT("VE-",Tabela10[[#This Row],[KOD_PRODUKTU]])</f>
        <v>VE-445R04</v>
      </c>
    </row>
    <row r="1143" spans="1:10" x14ac:dyDescent="0.25">
      <c r="A1143" s="1" t="s">
        <v>2398</v>
      </c>
      <c r="B1143" t="s">
        <v>2399</v>
      </c>
      <c r="C1143" s="1" t="s">
        <v>2396</v>
      </c>
      <c r="D1143" t="s">
        <v>2397</v>
      </c>
      <c r="E1143" t="s">
        <v>111</v>
      </c>
      <c r="F1143" t="s">
        <v>49</v>
      </c>
      <c r="G1143" t="s">
        <v>50</v>
      </c>
      <c r="H1143">
        <v>17.8</v>
      </c>
      <c r="I1143" s="6" t="str">
        <f>_xlfn.CONCAT("Art. złączny do produktu ",Tabela10[[#This Row],[KOD_PRODUKTU]])</f>
        <v>Art. złączny do produktu 445R04</v>
      </c>
      <c r="J1143" s="6" t="str">
        <f>_xlfn.CONCAT("VE-",Tabela10[[#This Row],[KOD_PRODUKTU]])</f>
        <v>VE-445R04</v>
      </c>
    </row>
    <row r="1144" spans="1:10" x14ac:dyDescent="0.25">
      <c r="A1144" s="7" t="s">
        <v>2398</v>
      </c>
      <c r="B1144" s="6" t="s">
        <v>2399</v>
      </c>
      <c r="C1144" s="7" t="s">
        <v>7</v>
      </c>
      <c r="D1144" s="6" t="s">
        <v>8</v>
      </c>
      <c r="E1144" s="6" t="s">
        <v>9</v>
      </c>
      <c r="F1144" s="6" t="s">
        <v>10</v>
      </c>
      <c r="G1144" s="6" t="s">
        <v>861</v>
      </c>
      <c r="H1144" s="6">
        <v>103.5</v>
      </c>
      <c r="I1144" s="6" t="str">
        <f>_xlfn.CONCAT("Art. złączny do produktu ",Tabela10[[#This Row],[KOD_PRODUKTU]])</f>
        <v>Art. złączny do produktu 445R04</v>
      </c>
      <c r="J1144" s="6" t="str">
        <f>_xlfn.CONCAT("VE-",Tabela10[[#This Row],[KOD_PRODUKTU]])</f>
        <v>VE-445R04</v>
      </c>
    </row>
    <row r="1145" spans="1:10" x14ac:dyDescent="0.25">
      <c r="A1145" s="1" t="s">
        <v>2400</v>
      </c>
      <c r="B1145" t="s">
        <v>2401</v>
      </c>
      <c r="C1145" s="1" t="s">
        <v>22</v>
      </c>
      <c r="D1145" t="s">
        <v>23</v>
      </c>
      <c r="E1145" t="s">
        <v>24</v>
      </c>
      <c r="F1145" t="s">
        <v>17</v>
      </c>
      <c r="G1145" t="s">
        <v>2402</v>
      </c>
      <c r="H1145">
        <v>63.3</v>
      </c>
      <c r="I1145" s="6" t="str">
        <f>_xlfn.CONCAT("Art. złączny do produktu ",Tabela10[[#This Row],[KOD_PRODUKTU]])</f>
        <v>Art. złączny do produktu 445R51</v>
      </c>
      <c r="J1145" s="6" t="str">
        <f>_xlfn.CONCAT("VE-",Tabela10[[#This Row],[KOD_PRODUKTU]])</f>
        <v>VE-445R51</v>
      </c>
    </row>
    <row r="1146" spans="1:10" x14ac:dyDescent="0.25">
      <c r="A1146" s="7" t="s">
        <v>2400</v>
      </c>
      <c r="B1146" s="6" t="s">
        <v>2401</v>
      </c>
      <c r="C1146" s="7" t="s">
        <v>7</v>
      </c>
      <c r="D1146" s="6" t="s">
        <v>8</v>
      </c>
      <c r="E1146" s="6" t="s">
        <v>9</v>
      </c>
      <c r="F1146" s="6" t="s">
        <v>10</v>
      </c>
      <c r="G1146" s="6" t="s">
        <v>601</v>
      </c>
      <c r="H1146" s="6">
        <v>6.9</v>
      </c>
      <c r="I1146" s="6" t="str">
        <f>_xlfn.CONCAT("Art. złączny do produktu ",Tabela10[[#This Row],[KOD_PRODUKTU]])</f>
        <v>Art. złączny do produktu 445R51</v>
      </c>
      <c r="J1146" s="6" t="str">
        <f>_xlfn.CONCAT("VE-",Tabela10[[#This Row],[KOD_PRODUKTU]])</f>
        <v>VE-445R51</v>
      </c>
    </row>
    <row r="1147" spans="1:10" x14ac:dyDescent="0.25">
      <c r="A1147" s="1" t="s">
        <v>2403</v>
      </c>
      <c r="B1147" t="s">
        <v>2404</v>
      </c>
      <c r="C1147" s="1" t="s">
        <v>2405</v>
      </c>
      <c r="D1147" t="s">
        <v>2406</v>
      </c>
      <c r="E1147" t="s">
        <v>1768</v>
      </c>
      <c r="F1147" t="s">
        <v>17</v>
      </c>
      <c r="G1147" t="s">
        <v>478</v>
      </c>
      <c r="H1147">
        <v>0</v>
      </c>
      <c r="I1147" s="6" t="str">
        <f>_xlfn.CONCAT("Art. złączny do produktu ",Tabela10[[#This Row],[KOD_PRODUKTU]])</f>
        <v>Art. złączny do produktu 445R52</v>
      </c>
      <c r="J1147" s="6" t="str">
        <f>_xlfn.CONCAT("VE-",Tabela10[[#This Row],[KOD_PRODUKTU]])</f>
        <v>VE-445R52</v>
      </c>
    </row>
    <row r="1148" spans="1:10" x14ac:dyDescent="0.25">
      <c r="A1148" s="7" t="s">
        <v>2403</v>
      </c>
      <c r="B1148" s="6" t="s">
        <v>2404</v>
      </c>
      <c r="C1148" s="7" t="s">
        <v>7</v>
      </c>
      <c r="D1148" s="6" t="s">
        <v>8</v>
      </c>
      <c r="E1148" s="6" t="s">
        <v>9</v>
      </c>
      <c r="F1148" s="6" t="s">
        <v>10</v>
      </c>
      <c r="G1148" s="6" t="s">
        <v>2407</v>
      </c>
      <c r="H1148" s="6">
        <v>5.55</v>
      </c>
      <c r="I1148" s="6" t="str">
        <f>_xlfn.CONCAT("Art. złączny do produktu ",Tabela10[[#This Row],[KOD_PRODUKTU]])</f>
        <v>Art. złączny do produktu 445R52</v>
      </c>
      <c r="J1148" s="6" t="str">
        <f>_xlfn.CONCAT("VE-",Tabela10[[#This Row],[KOD_PRODUKTU]])</f>
        <v>VE-445R52</v>
      </c>
    </row>
    <row r="1149" spans="1:10" x14ac:dyDescent="0.25">
      <c r="A1149" s="1" t="s">
        <v>2408</v>
      </c>
      <c r="B1149" t="s">
        <v>2409</v>
      </c>
      <c r="C1149" s="1" t="s">
        <v>2197</v>
      </c>
      <c r="D1149" t="s">
        <v>2198</v>
      </c>
      <c r="E1149" t="s">
        <v>1768</v>
      </c>
      <c r="F1149" t="s">
        <v>49</v>
      </c>
      <c r="G1149" t="s">
        <v>50</v>
      </c>
      <c r="H1149">
        <v>0</v>
      </c>
      <c r="I1149" s="6" t="str">
        <f>_xlfn.CONCAT("Art. złączny do produktu ",Tabela10[[#This Row],[KOD_PRODUKTU]])</f>
        <v>Art. złączny do produktu 445R53</v>
      </c>
      <c r="J1149" s="6" t="str">
        <f>_xlfn.CONCAT("VE-",Tabela10[[#This Row],[KOD_PRODUKTU]])</f>
        <v>VE-445R53</v>
      </c>
    </row>
    <row r="1150" spans="1:10" x14ac:dyDescent="0.25">
      <c r="A1150" s="7" t="s">
        <v>2408</v>
      </c>
      <c r="B1150" s="6" t="s">
        <v>2409</v>
      </c>
      <c r="C1150" s="7" t="s">
        <v>41</v>
      </c>
      <c r="D1150" s="6" t="s">
        <v>42</v>
      </c>
      <c r="E1150" s="6" t="s">
        <v>43</v>
      </c>
      <c r="F1150" s="6" t="s">
        <v>5</v>
      </c>
      <c r="G1150" s="6" t="s">
        <v>550</v>
      </c>
      <c r="H1150" s="6">
        <v>0.02</v>
      </c>
      <c r="I1150" s="6" t="str">
        <f>_xlfn.CONCAT("Art. złączny do produktu ",Tabela10[[#This Row],[KOD_PRODUKTU]])</f>
        <v>Art. złączny do produktu 445R53</v>
      </c>
      <c r="J1150" s="6" t="str">
        <f>_xlfn.CONCAT("VE-",Tabela10[[#This Row],[KOD_PRODUKTU]])</f>
        <v>VE-445R53</v>
      </c>
    </row>
    <row r="1151" spans="1:10" x14ac:dyDescent="0.25">
      <c r="A1151" s="1" t="s">
        <v>2408</v>
      </c>
      <c r="B1151" t="s">
        <v>2409</v>
      </c>
      <c r="C1151" s="1" t="s">
        <v>7</v>
      </c>
      <c r="D1151" t="s">
        <v>8</v>
      </c>
      <c r="E1151" t="s">
        <v>9</v>
      </c>
      <c r="F1151" t="s">
        <v>10</v>
      </c>
      <c r="G1151" t="s">
        <v>33</v>
      </c>
      <c r="H1151">
        <v>9.1999999999999993</v>
      </c>
      <c r="I1151" s="6" t="str">
        <f>_xlfn.CONCAT("Art. złączny do produktu ",Tabela10[[#This Row],[KOD_PRODUKTU]])</f>
        <v>Art. złączny do produktu 445R53</v>
      </c>
      <c r="J1151" s="6" t="str">
        <f>_xlfn.CONCAT("VE-",Tabela10[[#This Row],[KOD_PRODUKTU]])</f>
        <v>VE-445R53</v>
      </c>
    </row>
    <row r="1152" spans="1:10" x14ac:dyDescent="0.25">
      <c r="A1152" s="7" t="s">
        <v>2410</v>
      </c>
      <c r="B1152" s="6" t="s">
        <v>2411</v>
      </c>
      <c r="C1152" s="7" t="s">
        <v>2412</v>
      </c>
      <c r="D1152" s="6" t="s">
        <v>2413</v>
      </c>
      <c r="E1152" s="6" t="s">
        <v>302</v>
      </c>
      <c r="F1152" s="6" t="s">
        <v>121</v>
      </c>
      <c r="G1152" s="6" t="s">
        <v>50</v>
      </c>
      <c r="H1152" s="6">
        <v>4.5999999999999996</v>
      </c>
      <c r="I1152" s="6" t="str">
        <f>_xlfn.CONCAT("Art. złączny do produktu ",Tabela10[[#This Row],[KOD_PRODUKTU]])</f>
        <v>Art. złączny do produktu 445S01</v>
      </c>
      <c r="J1152" s="6" t="str">
        <f>_xlfn.CONCAT("VE-",Tabela10[[#This Row],[KOD_PRODUKTU]])</f>
        <v>VE-445S01</v>
      </c>
    </row>
    <row r="1153" spans="1:10" x14ac:dyDescent="0.25">
      <c r="A1153" s="1" t="s">
        <v>2410</v>
      </c>
      <c r="B1153" t="s">
        <v>2411</v>
      </c>
      <c r="C1153" s="1" t="s">
        <v>684</v>
      </c>
      <c r="D1153" t="s">
        <v>685</v>
      </c>
      <c r="E1153" t="s">
        <v>686</v>
      </c>
      <c r="F1153" t="s">
        <v>49</v>
      </c>
      <c r="G1153" t="s">
        <v>2414</v>
      </c>
      <c r="H1153">
        <v>31.4</v>
      </c>
      <c r="I1153" s="6" t="str">
        <f>_xlfn.CONCAT("Art. złączny do produktu ",Tabela10[[#This Row],[KOD_PRODUKTU]])</f>
        <v>Art. złączny do produktu 445S01</v>
      </c>
      <c r="J1153" s="6" t="str">
        <f>_xlfn.CONCAT("VE-",Tabela10[[#This Row],[KOD_PRODUKTU]])</f>
        <v>VE-445S01</v>
      </c>
    </row>
    <row r="1154" spans="1:10" x14ac:dyDescent="0.25">
      <c r="A1154" s="7" t="s">
        <v>2410</v>
      </c>
      <c r="B1154" s="6" t="s">
        <v>2411</v>
      </c>
      <c r="C1154" s="7" t="s">
        <v>7</v>
      </c>
      <c r="D1154" s="6" t="s">
        <v>8</v>
      </c>
      <c r="E1154" s="6" t="s">
        <v>9</v>
      </c>
      <c r="F1154" s="6" t="s">
        <v>10</v>
      </c>
      <c r="G1154" s="6" t="s">
        <v>2415</v>
      </c>
      <c r="H1154" s="6">
        <v>12</v>
      </c>
      <c r="I1154" s="6" t="str">
        <f>_xlfn.CONCAT("Art. złączny do produktu ",Tabela10[[#This Row],[KOD_PRODUKTU]])</f>
        <v>Art. złączny do produktu 445S01</v>
      </c>
      <c r="J1154" s="6" t="str">
        <f>_xlfn.CONCAT("VE-",Tabela10[[#This Row],[KOD_PRODUKTU]])</f>
        <v>VE-445S01</v>
      </c>
    </row>
    <row r="1155" spans="1:10" x14ac:dyDescent="0.25">
      <c r="A1155" s="1" t="s">
        <v>2416</v>
      </c>
      <c r="B1155" t="s">
        <v>2417</v>
      </c>
      <c r="C1155" s="1" t="s">
        <v>2418</v>
      </c>
      <c r="D1155" t="s">
        <v>2419</v>
      </c>
      <c r="E1155" t="s">
        <v>2420</v>
      </c>
      <c r="F1155" t="s">
        <v>49</v>
      </c>
      <c r="G1155" t="s">
        <v>50</v>
      </c>
      <c r="H1155">
        <v>3.26</v>
      </c>
      <c r="I1155" s="6" t="str">
        <f>_xlfn.CONCAT("Art. złączny do produktu ",Tabela10[[#This Row],[KOD_PRODUKTU]])</f>
        <v>Art. złączny do produktu 445Ś01</v>
      </c>
      <c r="J1155" s="6" t="str">
        <f>_xlfn.CONCAT("VE-",Tabela10[[#This Row],[KOD_PRODUKTU]])</f>
        <v>VE-445Ś01</v>
      </c>
    </row>
    <row r="1156" spans="1:10" x14ac:dyDescent="0.25">
      <c r="A1156" s="7" t="s">
        <v>2416</v>
      </c>
      <c r="B1156" s="6" t="s">
        <v>2417</v>
      </c>
      <c r="C1156" s="7" t="s">
        <v>41</v>
      </c>
      <c r="D1156" s="6" t="s">
        <v>42</v>
      </c>
      <c r="E1156" s="6" t="s">
        <v>513</v>
      </c>
      <c r="F1156" s="6" t="s">
        <v>5</v>
      </c>
      <c r="G1156" s="6" t="s">
        <v>559</v>
      </c>
      <c r="H1156" s="6">
        <v>0.04</v>
      </c>
      <c r="I1156" s="6" t="str">
        <f>_xlfn.CONCAT("Art. złączny do produktu ",Tabela10[[#This Row],[KOD_PRODUKTU]])</f>
        <v>Art. złączny do produktu 445Ś01</v>
      </c>
      <c r="J1156" s="6" t="str">
        <f>_xlfn.CONCAT("VE-",Tabela10[[#This Row],[KOD_PRODUKTU]])</f>
        <v>VE-445Ś01</v>
      </c>
    </row>
    <row r="1157" spans="1:10" x14ac:dyDescent="0.25">
      <c r="A1157" s="1" t="s">
        <v>2416</v>
      </c>
      <c r="B1157" t="s">
        <v>2417</v>
      </c>
      <c r="C1157" s="1" t="s">
        <v>7</v>
      </c>
      <c r="D1157" t="s">
        <v>8</v>
      </c>
      <c r="E1157" t="s">
        <v>9</v>
      </c>
      <c r="F1157" t="s">
        <v>10</v>
      </c>
      <c r="G1157" t="s">
        <v>367</v>
      </c>
      <c r="H1157">
        <v>2.2999999999999998</v>
      </c>
      <c r="I1157" s="6" t="str">
        <f>_xlfn.CONCAT("Art. złączny do produktu ",Tabela10[[#This Row],[KOD_PRODUKTU]])</f>
        <v>Art. złączny do produktu 445Ś01</v>
      </c>
      <c r="J1157" s="6" t="str">
        <f>_xlfn.CONCAT("VE-",Tabela10[[#This Row],[KOD_PRODUKTU]])</f>
        <v>VE-445Ś01</v>
      </c>
    </row>
    <row r="1158" spans="1:10" x14ac:dyDescent="0.25">
      <c r="A1158" s="7" t="s">
        <v>2421</v>
      </c>
      <c r="B1158" s="6" t="s">
        <v>2422</v>
      </c>
      <c r="C1158" s="7" t="s">
        <v>649</v>
      </c>
      <c r="D1158" s="6" t="s">
        <v>650</v>
      </c>
      <c r="E1158" s="6" t="s">
        <v>2303</v>
      </c>
      <c r="F1158" s="6" t="s">
        <v>39</v>
      </c>
      <c r="G1158" s="6" t="s">
        <v>605</v>
      </c>
      <c r="H1158" s="6">
        <v>0.35</v>
      </c>
      <c r="I1158" s="6" t="str">
        <f>_xlfn.CONCAT("Art. złączny do produktu ",Tabela10[[#This Row],[KOD_PRODUKTU]])</f>
        <v>Art. złączny do produktu 445U01</v>
      </c>
      <c r="J1158" s="6" t="str">
        <f>_xlfn.CONCAT("VE-",Tabela10[[#This Row],[KOD_PRODUKTU]])</f>
        <v>VE-445U01</v>
      </c>
    </row>
    <row r="1159" spans="1:10" x14ac:dyDescent="0.25">
      <c r="A1159" s="1" t="s">
        <v>2421</v>
      </c>
      <c r="B1159" t="s">
        <v>2422</v>
      </c>
      <c r="C1159" s="1" t="s">
        <v>2343</v>
      </c>
      <c r="D1159" t="s">
        <v>2344</v>
      </c>
      <c r="E1159" t="s">
        <v>2345</v>
      </c>
      <c r="F1159" t="s">
        <v>39</v>
      </c>
      <c r="G1159" t="s">
        <v>605</v>
      </c>
      <c r="H1159">
        <v>0.19</v>
      </c>
      <c r="I1159" s="6" t="str">
        <f>_xlfn.CONCAT("Art. złączny do produktu ",Tabela10[[#This Row],[KOD_PRODUKTU]])</f>
        <v>Art. złączny do produktu 445U01</v>
      </c>
      <c r="J1159" s="6" t="str">
        <f>_xlfn.CONCAT("VE-",Tabela10[[#This Row],[KOD_PRODUKTU]])</f>
        <v>VE-445U01</v>
      </c>
    </row>
    <row r="1160" spans="1:10" x14ac:dyDescent="0.25">
      <c r="A1160" s="7" t="s">
        <v>2421</v>
      </c>
      <c r="B1160" s="6" t="s">
        <v>2422</v>
      </c>
      <c r="C1160" s="7" t="s">
        <v>2423</v>
      </c>
      <c r="D1160" s="6" t="s">
        <v>2424</v>
      </c>
      <c r="E1160" s="6" t="s">
        <v>2425</v>
      </c>
      <c r="F1160" s="6" t="s">
        <v>39</v>
      </c>
      <c r="G1160" s="6" t="s">
        <v>605</v>
      </c>
      <c r="H1160" s="6">
        <v>1.19</v>
      </c>
      <c r="I1160" s="6" t="str">
        <f>_xlfn.CONCAT("Art. złączny do produktu ",Tabela10[[#This Row],[KOD_PRODUKTU]])</f>
        <v>Art. złączny do produktu 445U01</v>
      </c>
      <c r="J1160" s="6" t="str">
        <f>_xlfn.CONCAT("VE-",Tabela10[[#This Row],[KOD_PRODUKTU]])</f>
        <v>VE-445U01</v>
      </c>
    </row>
    <row r="1161" spans="1:10" x14ac:dyDescent="0.25">
      <c r="A1161" s="1" t="s">
        <v>2421</v>
      </c>
      <c r="B1161" t="s">
        <v>2422</v>
      </c>
      <c r="C1161" s="1" t="s">
        <v>2426</v>
      </c>
      <c r="D1161" t="s">
        <v>2427</v>
      </c>
      <c r="E1161" t="s">
        <v>2428</v>
      </c>
      <c r="F1161" t="s">
        <v>121</v>
      </c>
      <c r="G1161" t="s">
        <v>92</v>
      </c>
      <c r="H1161">
        <v>2.66</v>
      </c>
      <c r="I1161" s="6" t="str">
        <f>_xlfn.CONCAT("Art. złączny do produktu ",Tabela10[[#This Row],[KOD_PRODUKTU]])</f>
        <v>Art. złączny do produktu 445U01</v>
      </c>
      <c r="J1161" s="6" t="str">
        <f>_xlfn.CONCAT("VE-",Tabela10[[#This Row],[KOD_PRODUKTU]])</f>
        <v>VE-445U01</v>
      </c>
    </row>
    <row r="1162" spans="1:10" x14ac:dyDescent="0.25">
      <c r="A1162" s="7" t="s">
        <v>2421</v>
      </c>
      <c r="B1162" s="6" t="s">
        <v>2422</v>
      </c>
      <c r="C1162" s="7" t="s">
        <v>2379</v>
      </c>
      <c r="D1162" s="6" t="s">
        <v>2380</v>
      </c>
      <c r="E1162" s="6" t="s">
        <v>580</v>
      </c>
      <c r="F1162" s="6" t="s">
        <v>121</v>
      </c>
      <c r="G1162" s="6" t="s">
        <v>92</v>
      </c>
      <c r="H1162" s="6">
        <v>14.9</v>
      </c>
      <c r="I1162" s="6" t="str">
        <f>_xlfn.CONCAT("Art. złączny do produktu ",Tabela10[[#This Row],[KOD_PRODUKTU]])</f>
        <v>Art. złączny do produktu 445U01</v>
      </c>
      <c r="J1162" s="6" t="str">
        <f>_xlfn.CONCAT("VE-",Tabela10[[#This Row],[KOD_PRODUKTU]])</f>
        <v>VE-445U01</v>
      </c>
    </row>
    <row r="1163" spans="1:10" x14ac:dyDescent="0.25">
      <c r="A1163" s="1" t="s">
        <v>2421</v>
      </c>
      <c r="B1163" t="s">
        <v>2422</v>
      </c>
      <c r="C1163" s="1" t="s">
        <v>2429</v>
      </c>
      <c r="D1163" t="s">
        <v>2430</v>
      </c>
      <c r="E1163" t="s">
        <v>2431</v>
      </c>
      <c r="F1163" t="s">
        <v>121</v>
      </c>
      <c r="G1163" t="s">
        <v>50</v>
      </c>
      <c r="H1163">
        <v>31.3</v>
      </c>
      <c r="I1163" s="6" t="str">
        <f>_xlfn.CONCAT("Art. złączny do produktu ",Tabela10[[#This Row],[KOD_PRODUKTU]])</f>
        <v>Art. złączny do produktu 445U01</v>
      </c>
      <c r="J1163" s="6" t="str">
        <f>_xlfn.CONCAT("VE-",Tabela10[[#This Row],[KOD_PRODUKTU]])</f>
        <v>VE-445U01</v>
      </c>
    </row>
    <row r="1164" spans="1:10" x14ac:dyDescent="0.25">
      <c r="A1164" s="7" t="s">
        <v>2421</v>
      </c>
      <c r="B1164" s="6" t="s">
        <v>2422</v>
      </c>
      <c r="C1164" s="7" t="s">
        <v>2432</v>
      </c>
      <c r="D1164" s="6" t="s">
        <v>2433</v>
      </c>
      <c r="E1164" s="6" t="s">
        <v>2434</v>
      </c>
      <c r="F1164" s="6" t="s">
        <v>121</v>
      </c>
      <c r="G1164" s="6" t="s">
        <v>50</v>
      </c>
      <c r="H1164" s="6">
        <v>31.8</v>
      </c>
      <c r="I1164" s="6" t="str">
        <f>_xlfn.CONCAT("Art. złączny do produktu ",Tabela10[[#This Row],[KOD_PRODUKTU]])</f>
        <v>Art. złączny do produktu 445U01</v>
      </c>
      <c r="J1164" s="6" t="str">
        <f>_xlfn.CONCAT("VE-",Tabela10[[#This Row],[KOD_PRODUKTU]])</f>
        <v>VE-445U01</v>
      </c>
    </row>
    <row r="1165" spans="1:10" x14ac:dyDescent="0.25">
      <c r="A1165" s="1" t="s">
        <v>2421</v>
      </c>
      <c r="B1165" t="s">
        <v>2422</v>
      </c>
      <c r="C1165" s="1" t="s">
        <v>2435</v>
      </c>
      <c r="D1165" t="s">
        <v>2436</v>
      </c>
      <c r="E1165" t="s">
        <v>70</v>
      </c>
      <c r="F1165" t="s">
        <v>121</v>
      </c>
      <c r="G1165" t="s">
        <v>50</v>
      </c>
      <c r="H1165">
        <v>5</v>
      </c>
      <c r="I1165" s="6" t="str">
        <f>_xlfn.CONCAT("Art. złączny do produktu ",Tabela10[[#This Row],[KOD_PRODUKTU]])</f>
        <v>Art. złączny do produktu 445U01</v>
      </c>
      <c r="J1165" s="6" t="str">
        <f>_xlfn.CONCAT("VE-",Tabela10[[#This Row],[KOD_PRODUKTU]])</f>
        <v>VE-445U01</v>
      </c>
    </row>
    <row r="1166" spans="1:10" x14ac:dyDescent="0.25">
      <c r="A1166" s="7" t="s">
        <v>2421</v>
      </c>
      <c r="B1166" s="6" t="s">
        <v>2422</v>
      </c>
      <c r="C1166" s="7" t="s">
        <v>684</v>
      </c>
      <c r="D1166" s="6" t="s">
        <v>685</v>
      </c>
      <c r="E1166" s="6" t="s">
        <v>686</v>
      </c>
      <c r="F1166" s="6" t="s">
        <v>49</v>
      </c>
      <c r="G1166" s="6" t="s">
        <v>2437</v>
      </c>
      <c r="H1166" s="6">
        <v>13.5</v>
      </c>
      <c r="I1166" s="6" t="str">
        <f>_xlfn.CONCAT("Art. złączny do produktu ",Tabela10[[#This Row],[KOD_PRODUKTU]])</f>
        <v>Art. złączny do produktu 445U01</v>
      </c>
      <c r="J1166" s="6" t="str">
        <f>_xlfn.CONCAT("VE-",Tabela10[[#This Row],[KOD_PRODUKTU]])</f>
        <v>VE-445U01</v>
      </c>
    </row>
    <row r="1167" spans="1:10" x14ac:dyDescent="0.25">
      <c r="A1167" s="1" t="s">
        <v>2421</v>
      </c>
      <c r="B1167" t="s">
        <v>2422</v>
      </c>
      <c r="C1167" s="1" t="s">
        <v>688</v>
      </c>
      <c r="D1167" t="s">
        <v>810</v>
      </c>
      <c r="E1167" t="s">
        <v>9</v>
      </c>
      <c r="F1167" t="s">
        <v>10</v>
      </c>
      <c r="G1167" t="s">
        <v>224</v>
      </c>
      <c r="H1167">
        <v>6</v>
      </c>
      <c r="I1167" s="6" t="str">
        <f>_xlfn.CONCAT("Art. złączny do produktu ",Tabela10[[#This Row],[KOD_PRODUKTU]])</f>
        <v>Art. złączny do produktu 445U01</v>
      </c>
      <c r="J1167" s="6" t="str">
        <f>_xlfn.CONCAT("VE-",Tabela10[[#This Row],[KOD_PRODUKTU]])</f>
        <v>VE-445U01</v>
      </c>
    </row>
    <row r="1168" spans="1:10" x14ac:dyDescent="0.25">
      <c r="A1168" s="7" t="s">
        <v>2421</v>
      </c>
      <c r="B1168" s="6" t="s">
        <v>2422</v>
      </c>
      <c r="C1168" s="7" t="s">
        <v>7</v>
      </c>
      <c r="D1168" s="6" t="s">
        <v>8</v>
      </c>
      <c r="E1168" s="6" t="s">
        <v>9</v>
      </c>
      <c r="F1168" s="6" t="s">
        <v>10</v>
      </c>
      <c r="G1168" s="6" t="s">
        <v>2438</v>
      </c>
      <c r="H1168" s="6">
        <v>42.16</v>
      </c>
      <c r="I1168" s="6" t="str">
        <f>_xlfn.CONCAT("Art. złączny do produktu ",Tabela10[[#This Row],[KOD_PRODUKTU]])</f>
        <v>Art. złączny do produktu 445U01</v>
      </c>
      <c r="J1168" s="6" t="str">
        <f>_xlfn.CONCAT("VE-",Tabela10[[#This Row],[KOD_PRODUKTU]])</f>
        <v>VE-445U01</v>
      </c>
    </row>
    <row r="1169" spans="1:10" x14ac:dyDescent="0.25">
      <c r="A1169" s="1" t="s">
        <v>2439</v>
      </c>
      <c r="B1169" t="s">
        <v>2440</v>
      </c>
      <c r="C1169" s="1" t="s">
        <v>1447</v>
      </c>
      <c r="D1169" t="s">
        <v>1448</v>
      </c>
      <c r="E1169" t="s">
        <v>31</v>
      </c>
      <c r="F1169" t="s">
        <v>5</v>
      </c>
      <c r="G1169" t="s">
        <v>2441</v>
      </c>
      <c r="H1169">
        <v>59.7</v>
      </c>
      <c r="I1169" s="6" t="str">
        <f>_xlfn.CONCAT("Art. złączny do produktu ",Tabela10[[#This Row],[KOD_PRODUKTU]])</f>
        <v>Art. złączny do produktu 445W39</v>
      </c>
      <c r="J1169" s="6" t="str">
        <f>_xlfn.CONCAT("VE-",Tabela10[[#This Row],[KOD_PRODUKTU]])</f>
        <v>VE-445W39</v>
      </c>
    </row>
    <row r="1170" spans="1:10" x14ac:dyDescent="0.25">
      <c r="A1170" s="7" t="s">
        <v>2439</v>
      </c>
      <c r="B1170" s="6" t="s">
        <v>2440</v>
      </c>
      <c r="C1170" s="7" t="s">
        <v>541</v>
      </c>
      <c r="D1170" s="6" t="s">
        <v>542</v>
      </c>
      <c r="E1170" s="6" t="s">
        <v>9</v>
      </c>
      <c r="F1170" s="6" t="s">
        <v>10</v>
      </c>
      <c r="G1170" s="6" t="s">
        <v>1130</v>
      </c>
      <c r="H1170" s="6">
        <v>34.5</v>
      </c>
      <c r="I1170" s="6" t="str">
        <f>_xlfn.CONCAT("Art. złączny do produktu ",Tabela10[[#This Row],[KOD_PRODUKTU]])</f>
        <v>Art. złączny do produktu 445W39</v>
      </c>
      <c r="J1170" s="6" t="str">
        <f>_xlfn.CONCAT("VE-",Tabela10[[#This Row],[KOD_PRODUKTU]])</f>
        <v>VE-445W39</v>
      </c>
    </row>
    <row r="1171" spans="1:10" x14ac:dyDescent="0.25">
      <c r="A1171" s="1" t="s">
        <v>2442</v>
      </c>
      <c r="B1171" t="s">
        <v>2443</v>
      </c>
      <c r="C1171" s="1" t="s">
        <v>1447</v>
      </c>
      <c r="D1171" t="s">
        <v>1448</v>
      </c>
      <c r="E1171" t="s">
        <v>31</v>
      </c>
      <c r="F1171" t="s">
        <v>5</v>
      </c>
      <c r="G1171" t="s">
        <v>2444</v>
      </c>
      <c r="H1171">
        <v>53.9</v>
      </c>
      <c r="I1171" s="6" t="str">
        <f>_xlfn.CONCAT("Art. złączny do produktu ",Tabela10[[#This Row],[KOD_PRODUKTU]])</f>
        <v>Art. złączny do produktu 445W40</v>
      </c>
      <c r="J1171" s="6" t="str">
        <f>_xlfn.CONCAT("VE-",Tabela10[[#This Row],[KOD_PRODUKTU]])</f>
        <v>VE-445W40</v>
      </c>
    </row>
    <row r="1172" spans="1:10" x14ac:dyDescent="0.25">
      <c r="A1172" s="7" t="s">
        <v>2442</v>
      </c>
      <c r="B1172" s="6" t="s">
        <v>2443</v>
      </c>
      <c r="C1172" s="7" t="s">
        <v>541</v>
      </c>
      <c r="D1172" s="6" t="s">
        <v>542</v>
      </c>
      <c r="E1172" s="6" t="s">
        <v>9</v>
      </c>
      <c r="F1172" s="6" t="s">
        <v>10</v>
      </c>
      <c r="G1172" s="6" t="s">
        <v>1254</v>
      </c>
      <c r="H1172" s="6">
        <v>16.100000000000001</v>
      </c>
      <c r="I1172" s="6" t="str">
        <f>_xlfn.CONCAT("Art. złączny do produktu ",Tabela10[[#This Row],[KOD_PRODUKTU]])</f>
        <v>Art. złączny do produktu 445W40</v>
      </c>
      <c r="J1172" s="6" t="str">
        <f>_xlfn.CONCAT("VE-",Tabela10[[#This Row],[KOD_PRODUKTU]])</f>
        <v>VE-445W40</v>
      </c>
    </row>
    <row r="1173" spans="1:10" x14ac:dyDescent="0.25">
      <c r="A1173" s="1" t="s">
        <v>2445</v>
      </c>
      <c r="B1173" t="s">
        <v>2446</v>
      </c>
      <c r="C1173" s="1" t="s">
        <v>29</v>
      </c>
      <c r="D1173" t="s">
        <v>30</v>
      </c>
      <c r="E1173" t="s">
        <v>31</v>
      </c>
      <c r="F1173" t="s">
        <v>5</v>
      </c>
      <c r="G1173" t="s">
        <v>2447</v>
      </c>
      <c r="H1173">
        <v>6.55</v>
      </c>
      <c r="I1173" s="6" t="str">
        <f>_xlfn.CONCAT("Art. złączny do produktu ",Tabela10[[#This Row],[KOD_PRODUKTU]])</f>
        <v>Art. złączny do produktu 445W41</v>
      </c>
      <c r="J1173" s="6" t="str">
        <f>_xlfn.CONCAT("VE-",Tabela10[[#This Row],[KOD_PRODUKTU]])</f>
        <v>VE-445W41</v>
      </c>
    </row>
    <row r="1174" spans="1:10" x14ac:dyDescent="0.25">
      <c r="A1174" s="7" t="s">
        <v>2445</v>
      </c>
      <c r="B1174" s="6" t="s">
        <v>2446</v>
      </c>
      <c r="C1174" s="7" t="s">
        <v>541</v>
      </c>
      <c r="D1174" s="6" t="s">
        <v>542</v>
      </c>
      <c r="E1174" s="6" t="s">
        <v>9</v>
      </c>
      <c r="F1174" s="6" t="s">
        <v>10</v>
      </c>
      <c r="G1174" s="6" t="s">
        <v>1254</v>
      </c>
      <c r="H1174" s="6">
        <v>16.100000000000001</v>
      </c>
      <c r="I1174" s="6" t="str">
        <f>_xlfn.CONCAT("Art. złączny do produktu ",Tabela10[[#This Row],[KOD_PRODUKTU]])</f>
        <v>Art. złączny do produktu 445W41</v>
      </c>
      <c r="J1174" s="6" t="str">
        <f>_xlfn.CONCAT("VE-",Tabela10[[#This Row],[KOD_PRODUKTU]])</f>
        <v>VE-445W41</v>
      </c>
    </row>
    <row r="1175" spans="1:10" x14ac:dyDescent="0.25">
      <c r="A1175" s="1" t="s">
        <v>2448</v>
      </c>
      <c r="B1175" t="s">
        <v>2449</v>
      </c>
      <c r="C1175" s="1" t="s">
        <v>2450</v>
      </c>
      <c r="D1175" t="s">
        <v>2451</v>
      </c>
      <c r="E1175" t="s">
        <v>31</v>
      </c>
      <c r="F1175" t="s">
        <v>5</v>
      </c>
      <c r="G1175" t="s">
        <v>2452</v>
      </c>
      <c r="H1175">
        <v>11.55</v>
      </c>
      <c r="I1175" s="6" t="str">
        <f>_xlfn.CONCAT("Art. złączny do produktu ",Tabela10[[#This Row],[KOD_PRODUKTU]])</f>
        <v>Art. złączny do produktu 445W42</v>
      </c>
      <c r="J1175" s="6" t="str">
        <f>_xlfn.CONCAT("VE-",Tabela10[[#This Row],[KOD_PRODUKTU]])</f>
        <v>VE-445W42</v>
      </c>
    </row>
    <row r="1176" spans="1:10" x14ac:dyDescent="0.25">
      <c r="A1176" s="7" t="s">
        <v>2448</v>
      </c>
      <c r="B1176" s="6" t="s">
        <v>2449</v>
      </c>
      <c r="C1176" s="7" t="s">
        <v>541</v>
      </c>
      <c r="D1176" s="6" t="s">
        <v>542</v>
      </c>
      <c r="E1176" s="6" t="s">
        <v>9</v>
      </c>
      <c r="F1176" s="6" t="s">
        <v>10</v>
      </c>
      <c r="G1176" s="6" t="s">
        <v>1254</v>
      </c>
      <c r="H1176" s="6">
        <v>16.100000000000001</v>
      </c>
      <c r="I1176" s="6" t="str">
        <f>_xlfn.CONCAT("Art. złączny do produktu ",Tabela10[[#This Row],[KOD_PRODUKTU]])</f>
        <v>Art. złączny do produktu 445W42</v>
      </c>
      <c r="J1176" s="6" t="str">
        <f>_xlfn.CONCAT("VE-",Tabela10[[#This Row],[KOD_PRODUKTU]])</f>
        <v>VE-445W42</v>
      </c>
    </row>
    <row r="1177" spans="1:10" x14ac:dyDescent="0.25">
      <c r="A1177" s="1" t="s">
        <v>2453</v>
      </c>
      <c r="B1177" t="s">
        <v>2454</v>
      </c>
      <c r="C1177" s="1" t="s">
        <v>29</v>
      </c>
      <c r="D1177" t="s">
        <v>30</v>
      </c>
      <c r="E1177" t="s">
        <v>31</v>
      </c>
      <c r="F1177" t="s">
        <v>5</v>
      </c>
      <c r="G1177" t="s">
        <v>2455</v>
      </c>
      <c r="H1177">
        <v>5.85</v>
      </c>
      <c r="I1177" s="6" t="str">
        <f>_xlfn.CONCAT("Art. złączny do produktu ",Tabela10[[#This Row],[KOD_PRODUKTU]])</f>
        <v>Art. złączny do produktu 445W43</v>
      </c>
      <c r="J1177" s="6" t="str">
        <f>_xlfn.CONCAT("VE-",Tabela10[[#This Row],[KOD_PRODUKTU]])</f>
        <v>VE-445W43</v>
      </c>
    </row>
    <row r="1178" spans="1:10" x14ac:dyDescent="0.25">
      <c r="A1178" s="7" t="s">
        <v>2453</v>
      </c>
      <c r="B1178" s="6" t="s">
        <v>2454</v>
      </c>
      <c r="C1178" s="7" t="s">
        <v>7</v>
      </c>
      <c r="D1178" s="6" t="s">
        <v>8</v>
      </c>
      <c r="E1178" s="6" t="s">
        <v>9</v>
      </c>
      <c r="F1178" s="6" t="s">
        <v>10</v>
      </c>
      <c r="G1178" s="6" t="s">
        <v>1254</v>
      </c>
      <c r="H1178" s="6">
        <v>16.100000000000001</v>
      </c>
      <c r="I1178" s="6" t="str">
        <f>_xlfn.CONCAT("Art. złączny do produktu ",Tabela10[[#This Row],[KOD_PRODUKTU]])</f>
        <v>Art. złączny do produktu 445W43</v>
      </c>
      <c r="J1178" s="6" t="str">
        <f>_xlfn.CONCAT("VE-",Tabela10[[#This Row],[KOD_PRODUKTU]])</f>
        <v>VE-445W43</v>
      </c>
    </row>
    <row r="1179" spans="1:10" x14ac:dyDescent="0.25">
      <c r="A1179" s="1" t="s">
        <v>2456</v>
      </c>
      <c r="B1179" t="s">
        <v>2457</v>
      </c>
      <c r="C1179" s="1" t="s">
        <v>2458</v>
      </c>
      <c r="D1179" t="s">
        <v>2459</v>
      </c>
      <c r="E1179" t="s">
        <v>384</v>
      </c>
      <c r="F1179" t="s">
        <v>5</v>
      </c>
      <c r="G1179" t="s">
        <v>2460</v>
      </c>
      <c r="H1179">
        <v>2.4</v>
      </c>
      <c r="I1179" s="6" t="str">
        <f>_xlfn.CONCAT("Art. złączny do produktu ",Tabela10[[#This Row],[KOD_PRODUKTU]])</f>
        <v>Art. złączny do produktu 445W44</v>
      </c>
      <c r="J1179" s="6" t="str">
        <f>_xlfn.CONCAT("VE-",Tabela10[[#This Row],[KOD_PRODUKTU]])</f>
        <v>VE-445W44</v>
      </c>
    </row>
    <row r="1180" spans="1:10" x14ac:dyDescent="0.25">
      <c r="A1180" s="7" t="s">
        <v>2456</v>
      </c>
      <c r="B1180" s="6" t="s">
        <v>2457</v>
      </c>
      <c r="C1180" s="7" t="s">
        <v>7</v>
      </c>
      <c r="D1180" s="6" t="s">
        <v>8</v>
      </c>
      <c r="E1180" s="6" t="s">
        <v>9</v>
      </c>
      <c r="F1180" s="6" t="s">
        <v>10</v>
      </c>
      <c r="G1180" s="6" t="s">
        <v>19</v>
      </c>
      <c r="H1180" s="6">
        <v>4.5999999999999996</v>
      </c>
      <c r="I1180" s="6" t="str">
        <f>_xlfn.CONCAT("Art. złączny do produktu ",Tabela10[[#This Row],[KOD_PRODUKTU]])</f>
        <v>Art. złączny do produktu 445W44</v>
      </c>
      <c r="J1180" s="6" t="str">
        <f>_xlfn.CONCAT("VE-",Tabela10[[#This Row],[KOD_PRODUKTU]])</f>
        <v>VE-445W44</v>
      </c>
    </row>
    <row r="1181" spans="1:10" x14ac:dyDescent="0.25">
      <c r="A1181" s="1" t="s">
        <v>2461</v>
      </c>
      <c r="B1181" t="s">
        <v>2462</v>
      </c>
      <c r="C1181" s="1" t="s">
        <v>2463</v>
      </c>
      <c r="D1181" t="s">
        <v>2464</v>
      </c>
      <c r="E1181" t="s">
        <v>216</v>
      </c>
      <c r="F1181" t="s">
        <v>5</v>
      </c>
      <c r="G1181" t="s">
        <v>1199</v>
      </c>
      <c r="H1181">
        <v>5</v>
      </c>
      <c r="I1181" s="6" t="str">
        <f>_xlfn.CONCAT("Art. złączny do produktu ",Tabela10[[#This Row],[KOD_PRODUKTU]])</f>
        <v>Art. złączny do produktu 451Z18</v>
      </c>
      <c r="J1181" s="6" t="str">
        <f>_xlfn.CONCAT("VE-",Tabela10[[#This Row],[KOD_PRODUKTU]])</f>
        <v>VE-451Z18</v>
      </c>
    </row>
    <row r="1182" spans="1:10" x14ac:dyDescent="0.25">
      <c r="A1182" s="7" t="s">
        <v>2461</v>
      </c>
      <c r="B1182" s="6" t="s">
        <v>2462</v>
      </c>
      <c r="C1182" s="7" t="s">
        <v>432</v>
      </c>
      <c r="D1182" s="6" t="s">
        <v>433</v>
      </c>
      <c r="E1182" s="6" t="s">
        <v>434</v>
      </c>
      <c r="F1182" s="6" t="s">
        <v>435</v>
      </c>
      <c r="G1182" s="6" t="s">
        <v>50</v>
      </c>
      <c r="H1182" s="6">
        <v>1.1000000000000001</v>
      </c>
      <c r="I1182" s="6" t="str">
        <f>_xlfn.CONCAT("Art. złączny do produktu ",Tabela10[[#This Row],[KOD_PRODUKTU]])</f>
        <v>Art. złączny do produktu 451Z18</v>
      </c>
      <c r="J1182" s="6" t="str">
        <f>_xlfn.CONCAT("VE-",Tabela10[[#This Row],[KOD_PRODUKTU]])</f>
        <v>VE-451Z18</v>
      </c>
    </row>
    <row r="1183" spans="1:10" x14ac:dyDescent="0.25">
      <c r="A1183" s="1" t="s">
        <v>2461</v>
      </c>
      <c r="B1183" t="s">
        <v>2462</v>
      </c>
      <c r="C1183" s="1" t="s">
        <v>541</v>
      </c>
      <c r="D1183" t="s">
        <v>542</v>
      </c>
      <c r="E1183" t="s">
        <v>9</v>
      </c>
      <c r="F1183" t="s">
        <v>10</v>
      </c>
      <c r="G1183" t="s">
        <v>33</v>
      </c>
      <c r="H1183">
        <v>9.1999999999999993</v>
      </c>
      <c r="I1183" s="6" t="str">
        <f>_xlfn.CONCAT("Art. złączny do produktu ",Tabela10[[#This Row],[KOD_PRODUKTU]])</f>
        <v>Art. złączny do produktu 451Z18</v>
      </c>
      <c r="J1183" s="6" t="str">
        <f>_xlfn.CONCAT("VE-",Tabela10[[#This Row],[KOD_PRODUKTU]])</f>
        <v>VE-451Z18</v>
      </c>
    </row>
    <row r="1184" spans="1:10" x14ac:dyDescent="0.25">
      <c r="A1184" s="7" t="s">
        <v>2472</v>
      </c>
      <c r="B1184" s="6" t="s">
        <v>2473</v>
      </c>
      <c r="C1184" s="7" t="s">
        <v>2474</v>
      </c>
      <c r="D1184" s="6" t="s">
        <v>2475</v>
      </c>
      <c r="E1184" s="6" t="s">
        <v>2469</v>
      </c>
      <c r="F1184" s="6" t="s">
        <v>5</v>
      </c>
      <c r="G1184" s="6" t="s">
        <v>2476</v>
      </c>
      <c r="H1184" s="6">
        <v>1.7</v>
      </c>
      <c r="I1184" s="6" t="str">
        <f>_xlfn.CONCAT("Art. złączny do produktu ",Tabela10[[#This Row],[KOD_PRODUKTU]])</f>
        <v>Art. złączny do produktu 453C03</v>
      </c>
      <c r="J1184" s="6" t="str">
        <f>_xlfn.CONCAT("VE-",Tabela10[[#This Row],[KOD_PRODUKTU]])</f>
        <v>VE-453C03</v>
      </c>
    </row>
    <row r="1185" spans="1:10" x14ac:dyDescent="0.25">
      <c r="A1185" s="1" t="s">
        <v>2472</v>
      </c>
      <c r="B1185" t="s">
        <v>2473</v>
      </c>
      <c r="C1185" s="1" t="s">
        <v>432</v>
      </c>
      <c r="D1185" t="s">
        <v>433</v>
      </c>
      <c r="E1185" t="s">
        <v>434</v>
      </c>
      <c r="F1185" t="s">
        <v>435</v>
      </c>
      <c r="G1185" t="s">
        <v>50</v>
      </c>
      <c r="H1185">
        <v>1.1000000000000001</v>
      </c>
      <c r="I1185" s="6" t="str">
        <f>_xlfn.CONCAT("Art. złączny do produktu ",Tabela10[[#This Row],[KOD_PRODUKTU]])</f>
        <v>Art. złączny do produktu 453C03</v>
      </c>
      <c r="J1185" s="6" t="str">
        <f>_xlfn.CONCAT("VE-",Tabela10[[#This Row],[KOD_PRODUKTU]])</f>
        <v>VE-453C03</v>
      </c>
    </row>
    <row r="1186" spans="1:10" x14ac:dyDescent="0.25">
      <c r="A1186" s="7" t="s">
        <v>2472</v>
      </c>
      <c r="B1186" s="6" t="s">
        <v>2473</v>
      </c>
      <c r="C1186" s="7" t="s">
        <v>7</v>
      </c>
      <c r="D1186" s="6" t="s">
        <v>8</v>
      </c>
      <c r="E1186" s="6" t="s">
        <v>9</v>
      </c>
      <c r="F1186" s="6" t="s">
        <v>10</v>
      </c>
      <c r="G1186" s="6" t="s">
        <v>1211</v>
      </c>
      <c r="H1186" s="6">
        <v>8.15</v>
      </c>
      <c r="I1186" s="6" t="str">
        <f>_xlfn.CONCAT("Art. złączny do produktu ",Tabela10[[#This Row],[KOD_PRODUKTU]])</f>
        <v>Art. złączny do produktu 453C03</v>
      </c>
      <c r="J1186" s="6" t="str">
        <f>_xlfn.CONCAT("VE-",Tabela10[[#This Row],[KOD_PRODUKTU]])</f>
        <v>VE-453C03</v>
      </c>
    </row>
    <row r="1187" spans="1:10" x14ac:dyDescent="0.25">
      <c r="A1187" s="1" t="s">
        <v>2477</v>
      </c>
      <c r="B1187" t="s">
        <v>2478</v>
      </c>
      <c r="C1187" s="1" t="s">
        <v>2479</v>
      </c>
      <c r="D1187" t="s">
        <v>2480</v>
      </c>
      <c r="E1187" t="s">
        <v>2469</v>
      </c>
      <c r="F1187" t="s">
        <v>5</v>
      </c>
      <c r="G1187" t="s">
        <v>2481</v>
      </c>
      <c r="H1187">
        <v>1.1000000000000001</v>
      </c>
      <c r="I1187" s="6" t="str">
        <f>_xlfn.CONCAT("Art. złączny do produktu ",Tabela10[[#This Row],[KOD_PRODUKTU]])</f>
        <v>Art. złączny do produktu 453C04</v>
      </c>
      <c r="J1187" s="6" t="str">
        <f>_xlfn.CONCAT("VE-",Tabela10[[#This Row],[KOD_PRODUKTU]])</f>
        <v>VE-453C04</v>
      </c>
    </row>
    <row r="1188" spans="1:10" x14ac:dyDescent="0.25">
      <c r="A1188" s="7" t="s">
        <v>2477</v>
      </c>
      <c r="B1188" s="6" t="s">
        <v>2478</v>
      </c>
      <c r="C1188" s="7" t="s">
        <v>432</v>
      </c>
      <c r="D1188" s="6" t="s">
        <v>433</v>
      </c>
      <c r="E1188" s="6" t="s">
        <v>434</v>
      </c>
      <c r="F1188" s="6" t="s">
        <v>435</v>
      </c>
      <c r="G1188" s="6" t="s">
        <v>50</v>
      </c>
      <c r="H1188" s="6">
        <v>1.1000000000000001</v>
      </c>
      <c r="I1188" s="6" t="str">
        <f>_xlfn.CONCAT("Art. złączny do produktu ",Tabela10[[#This Row],[KOD_PRODUKTU]])</f>
        <v>Art. złączny do produktu 453C04</v>
      </c>
      <c r="J1188" s="6" t="str">
        <f>_xlfn.CONCAT("VE-",Tabela10[[#This Row],[KOD_PRODUKTU]])</f>
        <v>VE-453C04</v>
      </c>
    </row>
    <row r="1189" spans="1:10" x14ac:dyDescent="0.25">
      <c r="A1189" s="1" t="s">
        <v>2477</v>
      </c>
      <c r="B1189" t="s">
        <v>2478</v>
      </c>
      <c r="C1189" s="1" t="s">
        <v>7</v>
      </c>
      <c r="D1189" t="s">
        <v>8</v>
      </c>
      <c r="E1189" t="s">
        <v>9</v>
      </c>
      <c r="F1189" t="s">
        <v>10</v>
      </c>
      <c r="G1189" t="s">
        <v>2482</v>
      </c>
      <c r="H1189">
        <v>5.3</v>
      </c>
      <c r="I1189" s="6" t="str">
        <f>_xlfn.CONCAT("Art. złączny do produktu ",Tabela10[[#This Row],[KOD_PRODUKTU]])</f>
        <v>Art. złączny do produktu 453C04</v>
      </c>
      <c r="J1189" s="6" t="str">
        <f>_xlfn.CONCAT("VE-",Tabela10[[#This Row],[KOD_PRODUKTU]])</f>
        <v>VE-453C04</v>
      </c>
    </row>
    <row r="1190" spans="1:10" x14ac:dyDescent="0.25">
      <c r="A1190" s="7" t="s">
        <v>2483</v>
      </c>
      <c r="B1190" s="6" t="s">
        <v>2484</v>
      </c>
      <c r="C1190" s="7" t="s">
        <v>2467</v>
      </c>
      <c r="D1190" s="6" t="s">
        <v>2468</v>
      </c>
      <c r="E1190" s="6" t="s">
        <v>2469</v>
      </c>
      <c r="F1190" s="6" t="s">
        <v>5</v>
      </c>
      <c r="G1190" s="6" t="s">
        <v>2315</v>
      </c>
      <c r="H1190" s="6">
        <v>10.79</v>
      </c>
      <c r="I1190" s="6" t="str">
        <f>_xlfn.CONCAT("Art. złączny do produktu ",Tabela10[[#This Row],[KOD_PRODUKTU]])</f>
        <v>Art. złączny do produktu 453C05</v>
      </c>
      <c r="J1190" s="6" t="str">
        <f>_xlfn.CONCAT("VE-",Tabela10[[#This Row],[KOD_PRODUKTU]])</f>
        <v>VE-453C05</v>
      </c>
    </row>
    <row r="1191" spans="1:10" x14ac:dyDescent="0.25">
      <c r="A1191" s="1" t="s">
        <v>2483</v>
      </c>
      <c r="B1191" t="s">
        <v>2484</v>
      </c>
      <c r="C1191" s="1" t="s">
        <v>2485</v>
      </c>
      <c r="D1191" t="s">
        <v>2486</v>
      </c>
      <c r="E1191" t="s">
        <v>2487</v>
      </c>
      <c r="F1191" t="s">
        <v>121</v>
      </c>
      <c r="G1191" t="s">
        <v>50</v>
      </c>
      <c r="H1191">
        <v>23.45</v>
      </c>
      <c r="I1191" s="6" t="str">
        <f>_xlfn.CONCAT("Art. złączny do produktu ",Tabela10[[#This Row],[KOD_PRODUKTU]])</f>
        <v>Art. złączny do produktu 453C05</v>
      </c>
      <c r="J1191" s="6" t="str">
        <f>_xlfn.CONCAT("VE-",Tabela10[[#This Row],[KOD_PRODUKTU]])</f>
        <v>VE-453C05</v>
      </c>
    </row>
    <row r="1192" spans="1:10" x14ac:dyDescent="0.25">
      <c r="A1192" s="7" t="s">
        <v>2483</v>
      </c>
      <c r="B1192" s="6" t="s">
        <v>2484</v>
      </c>
      <c r="C1192" s="7" t="s">
        <v>432</v>
      </c>
      <c r="D1192" s="6" t="s">
        <v>433</v>
      </c>
      <c r="E1192" s="6" t="s">
        <v>434</v>
      </c>
      <c r="F1192" s="6" t="s">
        <v>435</v>
      </c>
      <c r="G1192" s="6" t="s">
        <v>2488</v>
      </c>
      <c r="H1192" s="6">
        <v>8.5500000000000007</v>
      </c>
      <c r="I1192" s="6" t="str">
        <f>_xlfn.CONCAT("Art. złączny do produktu ",Tabela10[[#This Row],[KOD_PRODUKTU]])</f>
        <v>Art. złączny do produktu 453C05</v>
      </c>
      <c r="J1192" s="6" t="str">
        <f>_xlfn.CONCAT("VE-",Tabela10[[#This Row],[KOD_PRODUKTU]])</f>
        <v>VE-453C05</v>
      </c>
    </row>
    <row r="1193" spans="1:10" x14ac:dyDescent="0.25">
      <c r="A1193" s="1" t="s">
        <v>2483</v>
      </c>
      <c r="B1193" t="s">
        <v>2484</v>
      </c>
      <c r="C1193" s="1" t="s">
        <v>7</v>
      </c>
      <c r="D1193" t="s">
        <v>8</v>
      </c>
      <c r="E1193" t="s">
        <v>9</v>
      </c>
      <c r="F1193" t="s">
        <v>10</v>
      </c>
      <c r="G1193" t="s">
        <v>2489</v>
      </c>
      <c r="H1193">
        <v>12.13</v>
      </c>
      <c r="I1193" s="6" t="str">
        <f>_xlfn.CONCAT("Art. złączny do produktu ",Tabela10[[#This Row],[KOD_PRODUKTU]])</f>
        <v>Art. złączny do produktu 453C05</v>
      </c>
      <c r="J1193" s="6" t="str">
        <f>_xlfn.CONCAT("VE-",Tabela10[[#This Row],[KOD_PRODUKTU]])</f>
        <v>VE-453C05</v>
      </c>
    </row>
    <row r="1194" spans="1:10" x14ac:dyDescent="0.25">
      <c r="A1194" s="7" t="s">
        <v>2490</v>
      </c>
      <c r="B1194" s="6" t="s">
        <v>2491</v>
      </c>
      <c r="C1194" s="7" t="s">
        <v>2467</v>
      </c>
      <c r="D1194" s="6" t="s">
        <v>2468</v>
      </c>
      <c r="E1194" s="6" t="s">
        <v>2469</v>
      </c>
      <c r="F1194" s="6" t="s">
        <v>5</v>
      </c>
      <c r="G1194" s="6" t="s">
        <v>2315</v>
      </c>
      <c r="H1194" s="6">
        <v>10.79</v>
      </c>
      <c r="I1194" s="6" t="str">
        <f>_xlfn.CONCAT("Art. złączny do produktu ",Tabela10[[#This Row],[KOD_PRODUKTU]])</f>
        <v>Art. złączny do produktu 453C06</v>
      </c>
      <c r="J1194" s="6" t="str">
        <f>_xlfn.CONCAT("VE-",Tabela10[[#This Row],[KOD_PRODUKTU]])</f>
        <v>VE-453C06</v>
      </c>
    </row>
    <row r="1195" spans="1:10" x14ac:dyDescent="0.25">
      <c r="A1195" s="1" t="s">
        <v>2490</v>
      </c>
      <c r="B1195" t="s">
        <v>2491</v>
      </c>
      <c r="C1195" s="1" t="s">
        <v>2492</v>
      </c>
      <c r="D1195" t="s">
        <v>2493</v>
      </c>
      <c r="E1195" t="s">
        <v>2494</v>
      </c>
      <c r="F1195" t="s">
        <v>121</v>
      </c>
      <c r="G1195" t="s">
        <v>50</v>
      </c>
      <c r="H1195">
        <v>23.4</v>
      </c>
      <c r="I1195" s="6" t="str">
        <f>_xlfn.CONCAT("Art. złączny do produktu ",Tabela10[[#This Row],[KOD_PRODUKTU]])</f>
        <v>Art. złączny do produktu 453C06</v>
      </c>
      <c r="J1195" s="6" t="str">
        <f>_xlfn.CONCAT("VE-",Tabela10[[#This Row],[KOD_PRODUKTU]])</f>
        <v>VE-453C06</v>
      </c>
    </row>
    <row r="1196" spans="1:10" x14ac:dyDescent="0.25">
      <c r="A1196" s="7" t="s">
        <v>2490</v>
      </c>
      <c r="B1196" s="6" t="s">
        <v>2491</v>
      </c>
      <c r="C1196" s="7" t="s">
        <v>432</v>
      </c>
      <c r="D1196" s="6" t="s">
        <v>433</v>
      </c>
      <c r="E1196" s="6" t="s">
        <v>434</v>
      </c>
      <c r="F1196" s="6" t="s">
        <v>435</v>
      </c>
      <c r="G1196" s="6" t="s">
        <v>2495</v>
      </c>
      <c r="H1196" s="6">
        <v>8.43</v>
      </c>
      <c r="I1196" s="6" t="str">
        <f>_xlfn.CONCAT("Art. złączny do produktu ",Tabela10[[#This Row],[KOD_PRODUKTU]])</f>
        <v>Art. złączny do produktu 453C06</v>
      </c>
      <c r="J1196" s="6" t="str">
        <f>_xlfn.CONCAT("VE-",Tabela10[[#This Row],[KOD_PRODUKTU]])</f>
        <v>VE-453C06</v>
      </c>
    </row>
    <row r="1197" spans="1:10" x14ac:dyDescent="0.25">
      <c r="A1197" s="1" t="s">
        <v>2490</v>
      </c>
      <c r="B1197" t="s">
        <v>2491</v>
      </c>
      <c r="C1197" s="1" t="s">
        <v>7</v>
      </c>
      <c r="D1197" t="s">
        <v>8</v>
      </c>
      <c r="E1197" t="s">
        <v>9</v>
      </c>
      <c r="F1197" t="s">
        <v>10</v>
      </c>
      <c r="G1197" t="s">
        <v>2496</v>
      </c>
      <c r="H1197">
        <v>14.95</v>
      </c>
      <c r="I1197" s="6" t="str">
        <f>_xlfn.CONCAT("Art. złączny do produktu ",Tabela10[[#This Row],[KOD_PRODUKTU]])</f>
        <v>Art. złączny do produktu 453C06</v>
      </c>
      <c r="J1197" s="6" t="str">
        <f>_xlfn.CONCAT("VE-",Tabela10[[#This Row],[KOD_PRODUKTU]])</f>
        <v>VE-453C06</v>
      </c>
    </row>
    <row r="1198" spans="1:10" x14ac:dyDescent="0.25">
      <c r="A1198" s="7" t="s">
        <v>2497</v>
      </c>
      <c r="B1198" s="6" t="s">
        <v>2498</v>
      </c>
      <c r="C1198" s="7" t="s">
        <v>2492</v>
      </c>
      <c r="D1198" s="6" t="s">
        <v>2493</v>
      </c>
      <c r="E1198" s="6" t="s">
        <v>2494</v>
      </c>
      <c r="F1198" s="6" t="s">
        <v>121</v>
      </c>
      <c r="G1198" s="6" t="s">
        <v>50</v>
      </c>
      <c r="H1198" s="6">
        <v>23.4</v>
      </c>
      <c r="I1198" s="6" t="str">
        <f>_xlfn.CONCAT("Art. złączny do produktu ",Tabela10[[#This Row],[KOD_PRODUKTU]])</f>
        <v>Art. złączny do produktu 453C07</v>
      </c>
      <c r="J1198" s="6" t="str">
        <f>_xlfn.CONCAT("VE-",Tabela10[[#This Row],[KOD_PRODUKTU]])</f>
        <v>VE-453C07</v>
      </c>
    </row>
    <row r="1199" spans="1:10" x14ac:dyDescent="0.25">
      <c r="A1199" s="1" t="s">
        <v>2497</v>
      </c>
      <c r="B1199" t="s">
        <v>2498</v>
      </c>
      <c r="C1199" s="1" t="s">
        <v>857</v>
      </c>
      <c r="D1199" t="s">
        <v>858</v>
      </c>
      <c r="E1199" t="s">
        <v>686</v>
      </c>
      <c r="F1199" t="s">
        <v>49</v>
      </c>
      <c r="G1199" t="s">
        <v>2500</v>
      </c>
      <c r="H1199">
        <v>5</v>
      </c>
      <c r="I1199" s="6" t="str">
        <f>_xlfn.CONCAT("Art. złączny do produktu ",Tabela10[[#This Row],[KOD_PRODUKTU]])</f>
        <v>Art. złączny do produktu 453C07</v>
      </c>
      <c r="J1199" s="6" t="str">
        <f>_xlfn.CONCAT("VE-",Tabela10[[#This Row],[KOD_PRODUKTU]])</f>
        <v>VE-453C07</v>
      </c>
    </row>
    <row r="1200" spans="1:10" x14ac:dyDescent="0.25">
      <c r="A1200" s="7" t="s">
        <v>2497</v>
      </c>
      <c r="B1200" s="6" t="s">
        <v>2498</v>
      </c>
      <c r="C1200" s="7" t="s">
        <v>432</v>
      </c>
      <c r="D1200" s="6" t="s">
        <v>433</v>
      </c>
      <c r="E1200" s="6" t="s">
        <v>434</v>
      </c>
      <c r="F1200" s="6" t="s">
        <v>435</v>
      </c>
      <c r="G1200" s="6" t="s">
        <v>2501</v>
      </c>
      <c r="H1200" s="6">
        <v>7.25</v>
      </c>
      <c r="I1200" s="6" t="str">
        <f>_xlfn.CONCAT("Art. złączny do produktu ",Tabela10[[#This Row],[KOD_PRODUKTU]])</f>
        <v>Art. złączny do produktu 453C07</v>
      </c>
      <c r="J1200" s="6" t="str">
        <f>_xlfn.CONCAT("VE-",Tabela10[[#This Row],[KOD_PRODUKTU]])</f>
        <v>VE-453C07</v>
      </c>
    </row>
    <row r="1201" spans="1:10" x14ac:dyDescent="0.25">
      <c r="A1201" s="1" t="s">
        <v>2497</v>
      </c>
      <c r="B1201" t="s">
        <v>2498</v>
      </c>
      <c r="C1201" s="1" t="s">
        <v>688</v>
      </c>
      <c r="D1201" t="s">
        <v>810</v>
      </c>
      <c r="E1201" t="s">
        <v>811</v>
      </c>
      <c r="F1201" t="s">
        <v>10</v>
      </c>
      <c r="G1201" t="s">
        <v>2502</v>
      </c>
      <c r="H1201">
        <v>19.100000000000001</v>
      </c>
      <c r="I1201" s="6" t="str">
        <f>_xlfn.CONCAT("Art. złączny do produktu ",Tabela10[[#This Row],[KOD_PRODUKTU]])</f>
        <v>Art. złączny do produktu 453C07</v>
      </c>
      <c r="J1201" s="6" t="str">
        <f>_xlfn.CONCAT("VE-",Tabela10[[#This Row],[KOD_PRODUKTU]])</f>
        <v>VE-453C07</v>
      </c>
    </row>
    <row r="1202" spans="1:10" x14ac:dyDescent="0.25">
      <c r="A1202" s="7" t="s">
        <v>2497</v>
      </c>
      <c r="B1202" s="6" t="s">
        <v>2498</v>
      </c>
      <c r="C1202" s="7" t="s">
        <v>7</v>
      </c>
      <c r="D1202" s="6" t="s">
        <v>8</v>
      </c>
      <c r="E1202" s="6" t="s">
        <v>9</v>
      </c>
      <c r="F1202" s="6" t="s">
        <v>10</v>
      </c>
      <c r="G1202" s="6" t="s">
        <v>2471</v>
      </c>
      <c r="H1202" s="6">
        <v>12.1</v>
      </c>
      <c r="I1202" s="6" t="str">
        <f>_xlfn.CONCAT("Art. złączny do produktu ",Tabela10[[#This Row],[KOD_PRODUKTU]])</f>
        <v>Art. złączny do produktu 453C07</v>
      </c>
      <c r="J1202" s="6" t="str">
        <f>_xlfn.CONCAT("VE-",Tabela10[[#This Row],[KOD_PRODUKTU]])</f>
        <v>VE-453C07</v>
      </c>
    </row>
    <row r="1203" spans="1:10" x14ac:dyDescent="0.25">
      <c r="A1203" s="1" t="s">
        <v>2503</v>
      </c>
      <c r="B1203" t="s">
        <v>2504</v>
      </c>
      <c r="C1203" s="1" t="s">
        <v>2467</v>
      </c>
      <c r="D1203" t="s">
        <v>2468</v>
      </c>
      <c r="E1203" t="s">
        <v>2469</v>
      </c>
      <c r="F1203" t="s">
        <v>5</v>
      </c>
      <c r="G1203" t="s">
        <v>2505</v>
      </c>
      <c r="H1203">
        <v>11.35</v>
      </c>
      <c r="I1203" s="6" t="str">
        <f>_xlfn.CONCAT("Art. złączny do produktu ",Tabela10[[#This Row],[KOD_PRODUKTU]])</f>
        <v>Art. złączny do produktu 453C08</v>
      </c>
      <c r="J1203" s="6" t="str">
        <f>_xlfn.CONCAT("VE-",Tabela10[[#This Row],[KOD_PRODUKTU]])</f>
        <v>VE-453C08</v>
      </c>
    </row>
    <row r="1204" spans="1:10" x14ac:dyDescent="0.25">
      <c r="A1204" s="7" t="s">
        <v>2503</v>
      </c>
      <c r="B1204" s="6" t="s">
        <v>2504</v>
      </c>
      <c r="C1204" s="7" t="s">
        <v>7</v>
      </c>
      <c r="D1204" s="6" t="s">
        <v>8</v>
      </c>
      <c r="E1204" s="6" t="s">
        <v>9</v>
      </c>
      <c r="F1204" s="6" t="s">
        <v>10</v>
      </c>
      <c r="G1204" s="6" t="s">
        <v>2506</v>
      </c>
      <c r="H1204" s="6">
        <v>7.75</v>
      </c>
      <c r="I1204" s="6" t="str">
        <f>_xlfn.CONCAT("Art. złączny do produktu ",Tabela10[[#This Row],[KOD_PRODUKTU]])</f>
        <v>Art. złączny do produktu 453C08</v>
      </c>
      <c r="J1204" s="6" t="str">
        <f>_xlfn.CONCAT("VE-",Tabela10[[#This Row],[KOD_PRODUKTU]])</f>
        <v>VE-453C08</v>
      </c>
    </row>
    <row r="1205" spans="1:10" x14ac:dyDescent="0.25">
      <c r="A1205" s="1" t="s">
        <v>2520</v>
      </c>
      <c r="B1205" t="s">
        <v>2521</v>
      </c>
      <c r="C1205" s="1" t="s">
        <v>2522</v>
      </c>
      <c r="D1205" t="s">
        <v>2523</v>
      </c>
      <c r="E1205" t="s">
        <v>1354</v>
      </c>
      <c r="F1205" t="s">
        <v>5</v>
      </c>
      <c r="G1205" t="s">
        <v>40</v>
      </c>
      <c r="H1205">
        <v>0.71</v>
      </c>
      <c r="I1205" s="6" t="str">
        <f>_xlfn.CONCAT("Art. złączny do produktu ",Tabela10[[#This Row],[KOD_PRODUKTU]])</f>
        <v>Art. złączny do produktu 453W09</v>
      </c>
      <c r="J1205" s="6" t="str">
        <f>_xlfn.CONCAT("VE-",Tabela10[[#This Row],[KOD_PRODUKTU]])</f>
        <v>VE-453W09</v>
      </c>
    </row>
    <row r="1206" spans="1:10" x14ac:dyDescent="0.25">
      <c r="A1206" s="7" t="s">
        <v>2520</v>
      </c>
      <c r="B1206" s="6" t="s">
        <v>2521</v>
      </c>
      <c r="C1206" s="7" t="s">
        <v>7</v>
      </c>
      <c r="D1206" s="6" t="s">
        <v>8</v>
      </c>
      <c r="E1206" s="6" t="s">
        <v>9</v>
      </c>
      <c r="F1206" s="6" t="s">
        <v>10</v>
      </c>
      <c r="G1206" s="6" t="s">
        <v>1791</v>
      </c>
      <c r="H1206" s="6">
        <v>2.4500000000000002</v>
      </c>
      <c r="I1206" s="6" t="str">
        <f>_xlfn.CONCAT("Art. złączny do produktu ",Tabela10[[#This Row],[KOD_PRODUKTU]])</f>
        <v>Art. złączny do produktu 453W09</v>
      </c>
      <c r="J1206" s="6" t="str">
        <f>_xlfn.CONCAT("VE-",Tabela10[[#This Row],[KOD_PRODUKTU]])</f>
        <v>VE-453W09</v>
      </c>
    </row>
    <row r="1207" spans="1:10" x14ac:dyDescent="0.25">
      <c r="A1207" s="1" t="s">
        <v>2524</v>
      </c>
      <c r="B1207" t="s">
        <v>2525</v>
      </c>
      <c r="C1207" s="1" t="s">
        <v>2522</v>
      </c>
      <c r="D1207" t="s">
        <v>2523</v>
      </c>
      <c r="E1207" t="s">
        <v>1354</v>
      </c>
      <c r="F1207" t="s">
        <v>5</v>
      </c>
      <c r="G1207" t="s">
        <v>40</v>
      </c>
      <c r="H1207">
        <v>0.71</v>
      </c>
      <c r="I1207" s="6" t="str">
        <f>_xlfn.CONCAT("Art. złączny do produktu ",Tabela10[[#This Row],[KOD_PRODUKTU]])</f>
        <v>Art. złączny do produktu 453W10</v>
      </c>
      <c r="J1207" s="6" t="str">
        <f>_xlfn.CONCAT("VE-",Tabela10[[#This Row],[KOD_PRODUKTU]])</f>
        <v>VE-453W10</v>
      </c>
    </row>
    <row r="1208" spans="1:10" x14ac:dyDescent="0.25">
      <c r="A1208" s="7" t="s">
        <v>2524</v>
      </c>
      <c r="B1208" s="6" t="s">
        <v>2525</v>
      </c>
      <c r="C1208" s="7" t="s">
        <v>7</v>
      </c>
      <c r="D1208" s="6" t="s">
        <v>8</v>
      </c>
      <c r="E1208" s="6" t="s">
        <v>9</v>
      </c>
      <c r="F1208" s="6" t="s">
        <v>10</v>
      </c>
      <c r="G1208" s="6" t="s">
        <v>1791</v>
      </c>
      <c r="H1208" s="6">
        <v>2.4500000000000002</v>
      </c>
      <c r="I1208" s="6" t="str">
        <f>_xlfn.CONCAT("Art. złączny do produktu ",Tabela10[[#This Row],[KOD_PRODUKTU]])</f>
        <v>Art. złączny do produktu 453W10</v>
      </c>
      <c r="J1208" s="6" t="str">
        <f>_xlfn.CONCAT("VE-",Tabela10[[#This Row],[KOD_PRODUKTU]])</f>
        <v>VE-453W10</v>
      </c>
    </row>
    <row r="1209" spans="1:10" x14ac:dyDescent="0.25">
      <c r="A1209" s="1" t="s">
        <v>2527</v>
      </c>
      <c r="B1209" t="s">
        <v>2528</v>
      </c>
      <c r="C1209" s="1" t="s">
        <v>2529</v>
      </c>
      <c r="D1209" t="s">
        <v>2530</v>
      </c>
      <c r="E1209" t="s">
        <v>2469</v>
      </c>
      <c r="F1209" t="s">
        <v>5</v>
      </c>
      <c r="G1209" t="s">
        <v>478</v>
      </c>
      <c r="H1209">
        <v>0.96</v>
      </c>
      <c r="I1209" s="6" t="str">
        <f>_xlfn.CONCAT("Art. złączny do produktu ",Tabela10[[#This Row],[KOD_PRODUKTU]])</f>
        <v>Art. złączny do produktu 471Z05</v>
      </c>
      <c r="J1209" s="6" t="str">
        <f>_xlfn.CONCAT("VE-",Tabela10[[#This Row],[KOD_PRODUKTU]])</f>
        <v>VE-471Z05</v>
      </c>
    </row>
    <row r="1210" spans="1:10" x14ac:dyDescent="0.25">
      <c r="A1210" s="7" t="s">
        <v>2527</v>
      </c>
      <c r="B1210" s="6" t="s">
        <v>2528</v>
      </c>
      <c r="C1210" s="7" t="s">
        <v>432</v>
      </c>
      <c r="D1210" s="6" t="s">
        <v>433</v>
      </c>
      <c r="E1210" s="6" t="s">
        <v>434</v>
      </c>
      <c r="F1210" s="6" t="s">
        <v>435</v>
      </c>
      <c r="G1210" s="6" t="s">
        <v>50</v>
      </c>
      <c r="H1210" s="6">
        <v>1.1000000000000001</v>
      </c>
      <c r="I1210" s="6" t="str">
        <f>_xlfn.CONCAT("Art. złączny do produktu ",Tabela10[[#This Row],[KOD_PRODUKTU]])</f>
        <v>Art. złączny do produktu 471Z05</v>
      </c>
      <c r="J1210" s="6" t="str">
        <f>_xlfn.CONCAT("VE-",Tabela10[[#This Row],[KOD_PRODUKTU]])</f>
        <v>VE-471Z05</v>
      </c>
    </row>
    <row r="1211" spans="1:10" x14ac:dyDescent="0.25">
      <c r="A1211" s="1" t="s">
        <v>2527</v>
      </c>
      <c r="B1211" t="s">
        <v>2528</v>
      </c>
      <c r="C1211" s="1" t="s">
        <v>7</v>
      </c>
      <c r="D1211" t="s">
        <v>8</v>
      </c>
      <c r="E1211" t="s">
        <v>9</v>
      </c>
      <c r="F1211" t="s">
        <v>10</v>
      </c>
      <c r="G1211" t="s">
        <v>2531</v>
      </c>
      <c r="H1211">
        <v>4.82</v>
      </c>
      <c r="I1211" s="6" t="str">
        <f>_xlfn.CONCAT("Art. złączny do produktu ",Tabela10[[#This Row],[KOD_PRODUKTU]])</f>
        <v>Art. złączny do produktu 471Z05</v>
      </c>
      <c r="J1211" s="6" t="str">
        <f>_xlfn.CONCAT("VE-",Tabela10[[#This Row],[KOD_PRODUKTU]])</f>
        <v>VE-471Z05</v>
      </c>
    </row>
    <row r="1212" spans="1:10" x14ac:dyDescent="0.25">
      <c r="A1212" s="7" t="s">
        <v>2532</v>
      </c>
      <c r="B1212" s="6" t="s">
        <v>2533</v>
      </c>
      <c r="C1212" s="7" t="s">
        <v>2479</v>
      </c>
      <c r="D1212" s="6" t="s">
        <v>2480</v>
      </c>
      <c r="E1212" s="6" t="s">
        <v>2469</v>
      </c>
      <c r="F1212" s="6" t="s">
        <v>5</v>
      </c>
      <c r="G1212" s="6" t="s">
        <v>2481</v>
      </c>
      <c r="H1212" s="6">
        <v>1.1000000000000001</v>
      </c>
      <c r="I1212" s="6" t="str">
        <f>_xlfn.CONCAT("Art. złączny do produktu ",Tabela10[[#This Row],[KOD_PRODUKTU]])</f>
        <v>Art. złączny do produktu 471Z06</v>
      </c>
      <c r="J1212" s="6" t="str">
        <f>_xlfn.CONCAT("VE-",Tabela10[[#This Row],[KOD_PRODUKTU]])</f>
        <v>VE-471Z06</v>
      </c>
    </row>
    <row r="1213" spans="1:10" x14ac:dyDescent="0.25">
      <c r="A1213" s="1" t="s">
        <v>2532</v>
      </c>
      <c r="B1213" t="s">
        <v>2533</v>
      </c>
      <c r="C1213" s="1" t="s">
        <v>432</v>
      </c>
      <c r="D1213" t="s">
        <v>433</v>
      </c>
      <c r="E1213" t="s">
        <v>434</v>
      </c>
      <c r="F1213" t="s">
        <v>435</v>
      </c>
      <c r="G1213" t="s">
        <v>50</v>
      </c>
      <c r="H1213">
        <v>1.1000000000000001</v>
      </c>
      <c r="I1213" s="6" t="str">
        <f>_xlfn.CONCAT("Art. złączny do produktu ",Tabela10[[#This Row],[KOD_PRODUKTU]])</f>
        <v>Art. złączny do produktu 471Z06</v>
      </c>
      <c r="J1213" s="6" t="str">
        <f>_xlfn.CONCAT("VE-",Tabela10[[#This Row],[KOD_PRODUKTU]])</f>
        <v>VE-471Z06</v>
      </c>
    </row>
    <row r="1214" spans="1:10" x14ac:dyDescent="0.25">
      <c r="A1214" s="7" t="s">
        <v>2532</v>
      </c>
      <c r="B1214" s="6" t="s">
        <v>2533</v>
      </c>
      <c r="C1214" s="7" t="s">
        <v>7</v>
      </c>
      <c r="D1214" s="6" t="s">
        <v>8</v>
      </c>
      <c r="E1214" s="6" t="s">
        <v>9</v>
      </c>
      <c r="F1214" s="6" t="s">
        <v>10</v>
      </c>
      <c r="G1214" s="6" t="s">
        <v>2482</v>
      </c>
      <c r="H1214" s="6">
        <v>5.3</v>
      </c>
      <c r="I1214" s="6" t="str">
        <f>_xlfn.CONCAT("Art. złączny do produktu ",Tabela10[[#This Row],[KOD_PRODUKTU]])</f>
        <v>Art. złączny do produktu 471Z06</v>
      </c>
      <c r="J1214" s="6" t="str">
        <f>_xlfn.CONCAT("VE-",Tabela10[[#This Row],[KOD_PRODUKTU]])</f>
        <v>VE-471Z06</v>
      </c>
    </row>
    <row r="1215" spans="1:10" x14ac:dyDescent="0.25">
      <c r="A1215" s="1" t="s">
        <v>2534</v>
      </c>
      <c r="B1215" t="s">
        <v>2535</v>
      </c>
      <c r="C1215" s="1" t="s">
        <v>2</v>
      </c>
      <c r="D1215" t="s">
        <v>3</v>
      </c>
      <c r="E1215" t="s">
        <v>4</v>
      </c>
      <c r="F1215" t="s">
        <v>5</v>
      </c>
      <c r="G1215" t="s">
        <v>2536</v>
      </c>
      <c r="H1215">
        <v>1.72</v>
      </c>
      <c r="I1215" s="6" t="str">
        <f>_xlfn.CONCAT("Art. złączny do produktu ",Tabela10[[#This Row],[KOD_PRODUKTU]])</f>
        <v>Art. złączny do produktu 471Z07</v>
      </c>
      <c r="J1215" s="6" t="str">
        <f>_xlfn.CONCAT("VE-",Tabela10[[#This Row],[KOD_PRODUKTU]])</f>
        <v>VE-471Z07</v>
      </c>
    </row>
    <row r="1216" spans="1:10" x14ac:dyDescent="0.25">
      <c r="A1216" s="7" t="s">
        <v>2534</v>
      </c>
      <c r="B1216" s="6" t="s">
        <v>2535</v>
      </c>
      <c r="C1216" s="7" t="s">
        <v>432</v>
      </c>
      <c r="D1216" s="6" t="s">
        <v>433</v>
      </c>
      <c r="E1216" s="6" t="s">
        <v>434</v>
      </c>
      <c r="F1216" s="6" t="s">
        <v>435</v>
      </c>
      <c r="G1216" s="6" t="s">
        <v>50</v>
      </c>
      <c r="H1216" s="6">
        <v>1.1000000000000001</v>
      </c>
      <c r="I1216" s="6" t="str">
        <f>_xlfn.CONCAT("Art. złączny do produktu ",Tabela10[[#This Row],[KOD_PRODUKTU]])</f>
        <v>Art. złączny do produktu 471Z07</v>
      </c>
      <c r="J1216" s="6" t="str">
        <f>_xlfn.CONCAT("VE-",Tabela10[[#This Row],[KOD_PRODUKTU]])</f>
        <v>VE-471Z07</v>
      </c>
    </row>
    <row r="1217" spans="1:10" x14ac:dyDescent="0.25">
      <c r="A1217" s="1" t="s">
        <v>2534</v>
      </c>
      <c r="B1217" t="s">
        <v>2535</v>
      </c>
      <c r="C1217" s="1" t="s">
        <v>7</v>
      </c>
      <c r="D1217" t="s">
        <v>8</v>
      </c>
      <c r="E1217" t="s">
        <v>9</v>
      </c>
      <c r="F1217" t="s">
        <v>10</v>
      </c>
      <c r="G1217" t="s">
        <v>2537</v>
      </c>
      <c r="H1217">
        <v>7.19</v>
      </c>
      <c r="I1217" s="6" t="str">
        <f>_xlfn.CONCAT("Art. złączny do produktu ",Tabela10[[#This Row],[KOD_PRODUKTU]])</f>
        <v>Art. złączny do produktu 471Z07</v>
      </c>
      <c r="J1217" s="6" t="str">
        <f>_xlfn.CONCAT("VE-",Tabela10[[#This Row],[KOD_PRODUKTU]])</f>
        <v>VE-471Z07</v>
      </c>
    </row>
    <row r="1218" spans="1:10" x14ac:dyDescent="0.25">
      <c r="A1218" s="7" t="s">
        <v>2538</v>
      </c>
      <c r="B1218" s="6" t="s">
        <v>2539</v>
      </c>
      <c r="C1218" s="7" t="s">
        <v>2529</v>
      </c>
      <c r="D1218" s="6" t="s">
        <v>2530</v>
      </c>
      <c r="E1218" s="6" t="s">
        <v>2469</v>
      </c>
      <c r="F1218" s="6" t="s">
        <v>5</v>
      </c>
      <c r="G1218" s="6" t="s">
        <v>2540</v>
      </c>
      <c r="H1218" s="6">
        <v>1</v>
      </c>
      <c r="I1218" s="6" t="str">
        <f>_xlfn.CONCAT("Art. złączny do produktu ",Tabela10[[#This Row],[KOD_PRODUKTU]])</f>
        <v>Art. złączny do produktu 471Z08</v>
      </c>
      <c r="J1218" s="6" t="str">
        <f>_xlfn.CONCAT("VE-",Tabela10[[#This Row],[KOD_PRODUKTU]])</f>
        <v>VE-471Z08</v>
      </c>
    </row>
    <row r="1219" spans="1:10" x14ac:dyDescent="0.25">
      <c r="A1219" s="1" t="s">
        <v>2538</v>
      </c>
      <c r="B1219" t="s">
        <v>2539</v>
      </c>
      <c r="C1219" s="1" t="s">
        <v>432</v>
      </c>
      <c r="D1219" t="s">
        <v>433</v>
      </c>
      <c r="E1219" t="s">
        <v>434</v>
      </c>
      <c r="F1219" t="s">
        <v>435</v>
      </c>
      <c r="G1219" t="s">
        <v>50</v>
      </c>
      <c r="H1219">
        <v>1.1000000000000001</v>
      </c>
      <c r="I1219" s="6" t="str">
        <f>_xlfn.CONCAT("Art. złączny do produktu ",Tabela10[[#This Row],[KOD_PRODUKTU]])</f>
        <v>Art. złączny do produktu 471Z08</v>
      </c>
      <c r="J1219" s="6" t="str">
        <f>_xlfn.CONCAT("VE-",Tabela10[[#This Row],[KOD_PRODUKTU]])</f>
        <v>VE-471Z08</v>
      </c>
    </row>
    <row r="1220" spans="1:10" x14ac:dyDescent="0.25">
      <c r="A1220" s="7" t="s">
        <v>2538</v>
      </c>
      <c r="B1220" s="6" t="s">
        <v>2539</v>
      </c>
      <c r="C1220" s="7" t="s">
        <v>7</v>
      </c>
      <c r="D1220" s="6" t="s">
        <v>8</v>
      </c>
      <c r="E1220" s="6" t="s">
        <v>9</v>
      </c>
      <c r="F1220" s="6" t="s">
        <v>10</v>
      </c>
      <c r="G1220" s="6" t="s">
        <v>11</v>
      </c>
      <c r="H1220" s="6">
        <v>4.8</v>
      </c>
      <c r="I1220" s="6" t="str">
        <f>_xlfn.CONCAT("Art. złączny do produktu ",Tabela10[[#This Row],[KOD_PRODUKTU]])</f>
        <v>Art. złączny do produktu 471Z08</v>
      </c>
      <c r="J1220" s="6" t="str">
        <f>_xlfn.CONCAT("VE-",Tabela10[[#This Row],[KOD_PRODUKTU]])</f>
        <v>VE-471Z08</v>
      </c>
    </row>
    <row r="1221" spans="1:10" x14ac:dyDescent="0.25">
      <c r="A1221" s="1" t="s">
        <v>2541</v>
      </c>
      <c r="B1221" t="s">
        <v>2542</v>
      </c>
      <c r="C1221" s="1" t="s">
        <v>2529</v>
      </c>
      <c r="D1221" t="s">
        <v>2530</v>
      </c>
      <c r="E1221" t="s">
        <v>2469</v>
      </c>
      <c r="F1221" t="s">
        <v>5</v>
      </c>
      <c r="G1221" t="s">
        <v>2543</v>
      </c>
      <c r="H1221">
        <v>1.45</v>
      </c>
      <c r="I1221" s="6" t="str">
        <f>_xlfn.CONCAT("Art. złączny do produktu ",Tabela10[[#This Row],[KOD_PRODUKTU]])</f>
        <v>Art. złączny do produktu 471Z09</v>
      </c>
      <c r="J1221" s="6" t="str">
        <f>_xlfn.CONCAT("VE-",Tabela10[[#This Row],[KOD_PRODUKTU]])</f>
        <v>VE-471Z09</v>
      </c>
    </row>
    <row r="1222" spans="1:10" x14ac:dyDescent="0.25">
      <c r="A1222" s="7" t="s">
        <v>2541</v>
      </c>
      <c r="B1222" s="6" t="s">
        <v>2542</v>
      </c>
      <c r="C1222" s="7" t="s">
        <v>432</v>
      </c>
      <c r="D1222" s="6" t="s">
        <v>433</v>
      </c>
      <c r="E1222" s="6" t="s">
        <v>434</v>
      </c>
      <c r="F1222" s="6" t="s">
        <v>435</v>
      </c>
      <c r="G1222" s="6" t="s">
        <v>50</v>
      </c>
      <c r="H1222" s="6">
        <v>1.1000000000000001</v>
      </c>
      <c r="I1222" s="6" t="str">
        <f>_xlfn.CONCAT("Art. złączny do produktu ",Tabela10[[#This Row],[KOD_PRODUKTU]])</f>
        <v>Art. złączny do produktu 471Z09</v>
      </c>
      <c r="J1222" s="6" t="str">
        <f>_xlfn.CONCAT("VE-",Tabela10[[#This Row],[KOD_PRODUKTU]])</f>
        <v>VE-471Z09</v>
      </c>
    </row>
    <row r="1223" spans="1:10" x14ac:dyDescent="0.25">
      <c r="A1223" s="1" t="s">
        <v>2541</v>
      </c>
      <c r="B1223" t="s">
        <v>2542</v>
      </c>
      <c r="C1223" s="1" t="s">
        <v>7</v>
      </c>
      <c r="D1223" t="s">
        <v>8</v>
      </c>
      <c r="E1223" t="s">
        <v>9</v>
      </c>
      <c r="F1223" t="s">
        <v>10</v>
      </c>
      <c r="G1223" t="s">
        <v>2544</v>
      </c>
      <c r="H1223">
        <v>4.9000000000000004</v>
      </c>
      <c r="I1223" s="6" t="str">
        <f>_xlfn.CONCAT("Art. złączny do produktu ",Tabela10[[#This Row],[KOD_PRODUKTU]])</f>
        <v>Art. złączny do produktu 471Z09</v>
      </c>
      <c r="J1223" s="6" t="str">
        <f>_xlfn.CONCAT("VE-",Tabela10[[#This Row],[KOD_PRODUKTU]])</f>
        <v>VE-471Z09</v>
      </c>
    </row>
    <row r="1224" spans="1:10" x14ac:dyDescent="0.25">
      <c r="A1224" s="7" t="s">
        <v>2545</v>
      </c>
      <c r="B1224" s="6" t="s">
        <v>2546</v>
      </c>
      <c r="C1224" s="7" t="s">
        <v>2547</v>
      </c>
      <c r="D1224" s="6" t="s">
        <v>2548</v>
      </c>
      <c r="E1224" s="6" t="s">
        <v>1768</v>
      </c>
      <c r="F1224" s="6" t="s">
        <v>49</v>
      </c>
      <c r="G1224" s="6" t="s">
        <v>50</v>
      </c>
      <c r="H1224" s="6">
        <v>0</v>
      </c>
      <c r="I1224" s="6" t="str">
        <f>_xlfn.CONCAT("Art. złączny do produktu ",Tabela10[[#This Row],[KOD_PRODUKTU]])</f>
        <v>Art. złączny do produktu 485K49</v>
      </c>
      <c r="J1224" s="6" t="str">
        <f>_xlfn.CONCAT("VE-",Tabela10[[#This Row],[KOD_PRODUKTU]])</f>
        <v>VE-485K49</v>
      </c>
    </row>
    <row r="1225" spans="1:10" x14ac:dyDescent="0.25">
      <c r="A1225" s="1" t="s">
        <v>2545</v>
      </c>
      <c r="B1225" t="s">
        <v>2546</v>
      </c>
      <c r="C1225" s="1" t="s">
        <v>541</v>
      </c>
      <c r="D1225" t="s">
        <v>542</v>
      </c>
      <c r="E1225" t="s">
        <v>9</v>
      </c>
      <c r="F1225" t="s">
        <v>10</v>
      </c>
      <c r="G1225" t="s">
        <v>33</v>
      </c>
      <c r="H1225">
        <v>9.1999999999999993</v>
      </c>
      <c r="I1225" s="6" t="str">
        <f>_xlfn.CONCAT("Art. złączny do produktu ",Tabela10[[#This Row],[KOD_PRODUKTU]])</f>
        <v>Art. złączny do produktu 485K49</v>
      </c>
      <c r="J1225" s="6" t="str">
        <f>_xlfn.CONCAT("VE-",Tabela10[[#This Row],[KOD_PRODUKTU]])</f>
        <v>VE-485K49</v>
      </c>
    </row>
    <row r="1226" spans="1:10" x14ac:dyDescent="0.25">
      <c r="A1226" s="7" t="s">
        <v>2549</v>
      </c>
      <c r="B1226" s="6" t="s">
        <v>2550</v>
      </c>
      <c r="C1226" s="7" t="s">
        <v>2551</v>
      </c>
      <c r="D1226" s="6" t="s">
        <v>2552</v>
      </c>
      <c r="E1226" s="6" t="s">
        <v>1768</v>
      </c>
      <c r="F1226" s="6" t="s">
        <v>49</v>
      </c>
      <c r="G1226" s="6" t="s">
        <v>50</v>
      </c>
      <c r="H1226" s="6">
        <v>0</v>
      </c>
      <c r="I1226" s="6" t="str">
        <f>_xlfn.CONCAT("Art. złączny do produktu ",Tabela10[[#This Row],[KOD_PRODUKTU]])</f>
        <v>Art. złączny do produktu 485K51</v>
      </c>
      <c r="J1226" s="6" t="str">
        <f>_xlfn.CONCAT("VE-",Tabela10[[#This Row],[KOD_PRODUKTU]])</f>
        <v>VE-485K51</v>
      </c>
    </row>
    <row r="1227" spans="1:10" x14ac:dyDescent="0.25">
      <c r="A1227" s="1" t="s">
        <v>2549</v>
      </c>
      <c r="B1227" t="s">
        <v>2550</v>
      </c>
      <c r="C1227" s="1" t="s">
        <v>541</v>
      </c>
      <c r="D1227" t="s">
        <v>542</v>
      </c>
      <c r="E1227" t="s">
        <v>9</v>
      </c>
      <c r="F1227" t="s">
        <v>10</v>
      </c>
      <c r="G1227" t="s">
        <v>33</v>
      </c>
      <c r="H1227">
        <v>9.1999999999999993</v>
      </c>
      <c r="I1227" s="6" t="str">
        <f>_xlfn.CONCAT("Art. złączny do produktu ",Tabela10[[#This Row],[KOD_PRODUKTU]])</f>
        <v>Art. złączny do produktu 485K51</v>
      </c>
      <c r="J1227" s="6" t="str">
        <f>_xlfn.CONCAT("VE-",Tabela10[[#This Row],[KOD_PRODUKTU]])</f>
        <v>VE-485K51</v>
      </c>
    </row>
    <row r="1228" spans="1:10" x14ac:dyDescent="0.25">
      <c r="A1228" s="7" t="s">
        <v>2562</v>
      </c>
      <c r="B1228" s="6" t="s">
        <v>2563</v>
      </c>
      <c r="C1228" s="7" t="s">
        <v>2555</v>
      </c>
      <c r="D1228" s="6" t="s">
        <v>2556</v>
      </c>
      <c r="E1228" s="6" t="s">
        <v>2557</v>
      </c>
      <c r="F1228" s="6" t="s">
        <v>49</v>
      </c>
      <c r="G1228" s="6" t="s">
        <v>50</v>
      </c>
      <c r="H1228" s="6">
        <v>2100</v>
      </c>
      <c r="I1228" s="6" t="str">
        <f>_xlfn.CONCAT("Art. złączny do produktu ",Tabela10[[#This Row],[KOD_PRODUKTU]])</f>
        <v>Art. złączny do produktu 486W02</v>
      </c>
      <c r="J1228" s="6" t="str">
        <f>_xlfn.CONCAT("VE-",Tabela10[[#This Row],[KOD_PRODUKTU]])</f>
        <v>VE-486W02</v>
      </c>
    </row>
    <row r="1229" spans="1:10" x14ac:dyDescent="0.25">
      <c r="A1229" s="1" t="s">
        <v>2562</v>
      </c>
      <c r="B1229" t="s">
        <v>2563</v>
      </c>
      <c r="C1229" s="1" t="s">
        <v>2558</v>
      </c>
      <c r="D1229" t="s">
        <v>2559</v>
      </c>
      <c r="E1229" t="s">
        <v>1796</v>
      </c>
      <c r="F1229" t="s">
        <v>121</v>
      </c>
      <c r="G1229" t="s">
        <v>2560</v>
      </c>
      <c r="H1229">
        <v>41.5</v>
      </c>
      <c r="I1229" s="6" t="str">
        <f>_xlfn.CONCAT("Art. złączny do produktu ",Tabela10[[#This Row],[KOD_PRODUKTU]])</f>
        <v>Art. złączny do produktu 486W02</v>
      </c>
      <c r="J1229" s="6" t="str">
        <f>_xlfn.CONCAT("VE-",Tabela10[[#This Row],[KOD_PRODUKTU]])</f>
        <v>VE-486W02</v>
      </c>
    </row>
    <row r="1230" spans="1:10" x14ac:dyDescent="0.25">
      <c r="A1230" s="7" t="s">
        <v>2562</v>
      </c>
      <c r="B1230" s="6" t="s">
        <v>2563</v>
      </c>
      <c r="C1230" s="7" t="s">
        <v>7</v>
      </c>
      <c r="D1230" s="6" t="s">
        <v>8</v>
      </c>
      <c r="E1230" s="6" t="s">
        <v>9</v>
      </c>
      <c r="F1230" s="6" t="s">
        <v>10</v>
      </c>
      <c r="G1230" s="6" t="s">
        <v>2561</v>
      </c>
      <c r="H1230" s="6">
        <v>106.11</v>
      </c>
      <c r="I1230" s="6" t="str">
        <f>_xlfn.CONCAT("Art. złączny do produktu ",Tabela10[[#This Row],[KOD_PRODUKTU]])</f>
        <v>Art. złączny do produktu 486W02</v>
      </c>
      <c r="J1230" s="6" t="str">
        <f>_xlfn.CONCAT("VE-",Tabela10[[#This Row],[KOD_PRODUKTU]])</f>
        <v>VE-486W02</v>
      </c>
    </row>
    <row r="1231" spans="1:10" x14ac:dyDescent="0.25">
      <c r="A1231" s="1" t="s">
        <v>2571</v>
      </c>
      <c r="B1231" t="s">
        <v>2572</v>
      </c>
      <c r="C1231" s="1" t="s">
        <v>2573</v>
      </c>
      <c r="D1231" t="s">
        <v>2574</v>
      </c>
      <c r="E1231" t="s">
        <v>2575</v>
      </c>
      <c r="F1231" t="s">
        <v>49</v>
      </c>
      <c r="G1231" t="s">
        <v>50</v>
      </c>
      <c r="H1231">
        <v>3800</v>
      </c>
      <c r="I1231" s="6" t="str">
        <f>_xlfn.CONCAT("Art. złączny do produktu ",Tabela10[[#This Row],[KOD_PRODUKTU]])</f>
        <v>Art. złączny do produktu 486W04</v>
      </c>
      <c r="J1231" s="6" t="str">
        <f>_xlfn.CONCAT("VE-",Tabela10[[#This Row],[KOD_PRODUKTU]])</f>
        <v>VE-486W04</v>
      </c>
    </row>
    <row r="1232" spans="1:10" x14ac:dyDescent="0.25">
      <c r="A1232" s="7" t="s">
        <v>2571</v>
      </c>
      <c r="B1232" s="6" t="s">
        <v>2572</v>
      </c>
      <c r="C1232" s="7" t="s">
        <v>2558</v>
      </c>
      <c r="D1232" s="6" t="s">
        <v>2559</v>
      </c>
      <c r="E1232" s="6" t="s">
        <v>1796</v>
      </c>
      <c r="F1232" s="6" t="s">
        <v>121</v>
      </c>
      <c r="G1232" s="6" t="s">
        <v>2576</v>
      </c>
      <c r="H1232" s="6">
        <v>129</v>
      </c>
      <c r="I1232" s="6" t="str">
        <f>_xlfn.CONCAT("Art. złączny do produktu ",Tabela10[[#This Row],[KOD_PRODUKTU]])</f>
        <v>Art. złączny do produktu 486W04</v>
      </c>
      <c r="J1232" s="6" t="str">
        <f>_xlfn.CONCAT("VE-",Tabela10[[#This Row],[KOD_PRODUKTU]])</f>
        <v>VE-486W04</v>
      </c>
    </row>
    <row r="1233" spans="1:10" x14ac:dyDescent="0.25">
      <c r="A1233" s="1" t="s">
        <v>2571</v>
      </c>
      <c r="B1233" t="s">
        <v>2572</v>
      </c>
      <c r="C1233" s="1" t="s">
        <v>2577</v>
      </c>
      <c r="D1233" t="s">
        <v>2578</v>
      </c>
      <c r="E1233" t="s">
        <v>686</v>
      </c>
      <c r="F1233" t="s">
        <v>49</v>
      </c>
      <c r="G1233" t="s">
        <v>2579</v>
      </c>
      <c r="H1233">
        <v>500</v>
      </c>
      <c r="I1233" s="6" t="str">
        <f>_xlfn.CONCAT("Art. złączny do produktu ",Tabela10[[#This Row],[KOD_PRODUKTU]])</f>
        <v>Art. złączny do produktu 486W04</v>
      </c>
      <c r="J1233" s="6" t="str">
        <f>_xlfn.CONCAT("VE-",Tabela10[[#This Row],[KOD_PRODUKTU]])</f>
        <v>VE-486W04</v>
      </c>
    </row>
    <row r="1234" spans="1:10" x14ac:dyDescent="0.25">
      <c r="A1234" s="7" t="s">
        <v>2571</v>
      </c>
      <c r="B1234" s="6" t="s">
        <v>2572</v>
      </c>
      <c r="C1234" s="7" t="s">
        <v>7</v>
      </c>
      <c r="D1234" s="6" t="s">
        <v>8</v>
      </c>
      <c r="E1234" s="6" t="s">
        <v>9</v>
      </c>
      <c r="F1234" s="6" t="s">
        <v>10</v>
      </c>
      <c r="G1234" s="6" t="s">
        <v>2580</v>
      </c>
      <c r="H1234" s="6">
        <v>156.82</v>
      </c>
      <c r="I1234" s="6" t="str">
        <f>_xlfn.CONCAT("Art. złączny do produktu ",Tabela10[[#This Row],[KOD_PRODUKTU]])</f>
        <v>Art. złączny do produktu 486W04</v>
      </c>
      <c r="J1234" s="6" t="str">
        <f>_xlfn.CONCAT("VE-",Tabela10[[#This Row],[KOD_PRODUKTU]])</f>
        <v>VE-486W04</v>
      </c>
    </row>
    <row r="1235" spans="1:10" x14ac:dyDescent="0.25">
      <c r="A1235" s="1" t="s">
        <v>2581</v>
      </c>
      <c r="B1235" t="s">
        <v>2582</v>
      </c>
      <c r="C1235" s="1" t="s">
        <v>2566</v>
      </c>
      <c r="D1235" t="s">
        <v>2567</v>
      </c>
      <c r="E1235" t="s">
        <v>2568</v>
      </c>
      <c r="F1235" t="s">
        <v>49</v>
      </c>
      <c r="G1235" t="s">
        <v>50</v>
      </c>
      <c r="H1235">
        <v>3550</v>
      </c>
      <c r="I1235" s="6" t="str">
        <f>_xlfn.CONCAT("Art. złączny do produktu ",Tabela10[[#This Row],[KOD_PRODUKTU]])</f>
        <v>Art. złączny do produktu 486W05</v>
      </c>
      <c r="J1235" s="6" t="str">
        <f>_xlfn.CONCAT("VE-",Tabela10[[#This Row],[KOD_PRODUKTU]])</f>
        <v>VE-486W05</v>
      </c>
    </row>
    <row r="1236" spans="1:10" x14ac:dyDescent="0.25">
      <c r="A1236" s="7" t="s">
        <v>2581</v>
      </c>
      <c r="B1236" s="6" t="s">
        <v>2582</v>
      </c>
      <c r="C1236" s="7" t="s">
        <v>2558</v>
      </c>
      <c r="D1236" s="6" t="s">
        <v>2559</v>
      </c>
      <c r="E1236" s="6" t="s">
        <v>1796</v>
      </c>
      <c r="F1236" s="6" t="s">
        <v>121</v>
      </c>
      <c r="G1236" s="6" t="s">
        <v>2583</v>
      </c>
      <c r="H1236" s="6">
        <v>105.9</v>
      </c>
      <c r="I1236" s="6" t="str">
        <f>_xlfn.CONCAT("Art. złączny do produktu ",Tabela10[[#This Row],[KOD_PRODUKTU]])</f>
        <v>Art. złączny do produktu 486W05</v>
      </c>
      <c r="J1236" s="6" t="str">
        <f>_xlfn.CONCAT("VE-",Tabela10[[#This Row],[KOD_PRODUKTU]])</f>
        <v>VE-486W05</v>
      </c>
    </row>
    <row r="1237" spans="1:10" x14ac:dyDescent="0.25">
      <c r="A1237" s="1" t="s">
        <v>2581</v>
      </c>
      <c r="B1237" t="s">
        <v>2582</v>
      </c>
      <c r="C1237" s="1" t="s">
        <v>2577</v>
      </c>
      <c r="D1237" t="s">
        <v>2578</v>
      </c>
      <c r="E1237" t="s">
        <v>686</v>
      </c>
      <c r="F1237" t="s">
        <v>49</v>
      </c>
      <c r="G1237" t="s">
        <v>2584</v>
      </c>
      <c r="H1237">
        <v>1568</v>
      </c>
      <c r="I1237" s="6" t="str">
        <f>_xlfn.CONCAT("Art. złączny do produktu ",Tabela10[[#This Row],[KOD_PRODUKTU]])</f>
        <v>Art. złączny do produktu 486W05</v>
      </c>
      <c r="J1237" s="6" t="str">
        <f>_xlfn.CONCAT("VE-",Tabela10[[#This Row],[KOD_PRODUKTU]])</f>
        <v>VE-486W05</v>
      </c>
    </row>
    <row r="1238" spans="1:10" x14ac:dyDescent="0.25">
      <c r="A1238" s="7" t="s">
        <v>2581</v>
      </c>
      <c r="B1238" s="6" t="s">
        <v>2582</v>
      </c>
      <c r="C1238" s="7" t="s">
        <v>7</v>
      </c>
      <c r="D1238" s="6" t="s">
        <v>8</v>
      </c>
      <c r="E1238" s="6" t="s">
        <v>9</v>
      </c>
      <c r="F1238" s="6" t="s">
        <v>10</v>
      </c>
      <c r="G1238" s="6" t="s">
        <v>2585</v>
      </c>
      <c r="H1238" s="6">
        <v>159.22</v>
      </c>
      <c r="I1238" s="6" t="str">
        <f>_xlfn.CONCAT("Art. złączny do produktu ",Tabela10[[#This Row],[KOD_PRODUKTU]])</f>
        <v>Art. złączny do produktu 486W05</v>
      </c>
      <c r="J1238" s="6" t="str">
        <f>_xlfn.CONCAT("VE-",Tabela10[[#This Row],[KOD_PRODUKTU]])</f>
        <v>VE-486W05</v>
      </c>
    </row>
    <row r="1239" spans="1:10" x14ac:dyDescent="0.25">
      <c r="A1239" s="1" t="s">
        <v>2586</v>
      </c>
      <c r="B1239" t="s">
        <v>2587</v>
      </c>
      <c r="C1239" s="1" t="s">
        <v>2588</v>
      </c>
      <c r="D1239" t="s">
        <v>2589</v>
      </c>
      <c r="E1239" t="s">
        <v>2590</v>
      </c>
      <c r="F1239" t="s">
        <v>49</v>
      </c>
      <c r="G1239" t="s">
        <v>50</v>
      </c>
      <c r="H1239">
        <v>6950</v>
      </c>
      <c r="I1239" s="6" t="str">
        <f>_xlfn.CONCAT("Art. złączny do produktu ",Tabela10[[#This Row],[KOD_PRODUKTU]])</f>
        <v>Art. złączny do produktu 486W06</v>
      </c>
      <c r="J1239" s="6" t="str">
        <f>_xlfn.CONCAT("VE-",Tabela10[[#This Row],[KOD_PRODUKTU]])</f>
        <v>VE-486W06</v>
      </c>
    </row>
    <row r="1240" spans="1:10" x14ac:dyDescent="0.25">
      <c r="A1240" s="7" t="s">
        <v>2586</v>
      </c>
      <c r="B1240" s="6" t="s">
        <v>2587</v>
      </c>
      <c r="C1240" s="7" t="s">
        <v>2558</v>
      </c>
      <c r="D1240" s="6" t="s">
        <v>2559</v>
      </c>
      <c r="E1240" s="6" t="s">
        <v>1796</v>
      </c>
      <c r="F1240" s="6" t="s">
        <v>121</v>
      </c>
      <c r="G1240" s="6" t="s">
        <v>2591</v>
      </c>
      <c r="H1240" s="6">
        <v>100</v>
      </c>
      <c r="I1240" s="6" t="str">
        <f>_xlfn.CONCAT("Art. złączny do produktu ",Tabela10[[#This Row],[KOD_PRODUKTU]])</f>
        <v>Art. złączny do produktu 486W06</v>
      </c>
      <c r="J1240" s="6" t="str">
        <f>_xlfn.CONCAT("VE-",Tabela10[[#This Row],[KOD_PRODUKTU]])</f>
        <v>VE-486W06</v>
      </c>
    </row>
    <row r="1241" spans="1:10" x14ac:dyDescent="0.25">
      <c r="A1241" s="1" t="s">
        <v>2586</v>
      </c>
      <c r="B1241" t="s">
        <v>2587</v>
      </c>
      <c r="C1241" s="1" t="s">
        <v>541</v>
      </c>
      <c r="D1241" t="s">
        <v>542</v>
      </c>
      <c r="E1241" t="s">
        <v>9</v>
      </c>
      <c r="F1241" t="s">
        <v>10</v>
      </c>
      <c r="G1241" t="s">
        <v>2592</v>
      </c>
      <c r="H1241">
        <v>234</v>
      </c>
      <c r="I1241" s="6" t="str">
        <f>_xlfn.CONCAT("Art. złączny do produktu ",Tabela10[[#This Row],[KOD_PRODUKTU]])</f>
        <v>Art. złączny do produktu 486W06</v>
      </c>
      <c r="J1241" s="6" t="str">
        <f>_xlfn.CONCAT("VE-",Tabela10[[#This Row],[KOD_PRODUKTU]])</f>
        <v>VE-486W06</v>
      </c>
    </row>
    <row r="1242" spans="1:10" x14ac:dyDescent="0.25">
      <c r="A1242" s="7" t="s">
        <v>2593</v>
      </c>
      <c r="B1242" s="6" t="s">
        <v>2594</v>
      </c>
      <c r="C1242" s="7" t="s">
        <v>2555</v>
      </c>
      <c r="D1242" s="6" t="s">
        <v>2595</v>
      </c>
      <c r="E1242" s="6" t="s">
        <v>2557</v>
      </c>
      <c r="F1242" s="6" t="s">
        <v>49</v>
      </c>
      <c r="G1242" s="6" t="s">
        <v>50</v>
      </c>
      <c r="H1242" s="6">
        <v>2100</v>
      </c>
      <c r="I1242" s="6" t="str">
        <f>_xlfn.CONCAT("Art. złączny do produktu ",Tabela10[[#This Row],[KOD_PRODUKTU]])</f>
        <v>Art. złączny do produktu 486W07</v>
      </c>
      <c r="J1242" s="6" t="str">
        <f>_xlfn.CONCAT("VE-",Tabela10[[#This Row],[KOD_PRODUKTU]])</f>
        <v>VE-486W07</v>
      </c>
    </row>
    <row r="1243" spans="1:10" x14ac:dyDescent="0.25">
      <c r="A1243" s="1" t="s">
        <v>2593</v>
      </c>
      <c r="B1243" t="s">
        <v>2594</v>
      </c>
      <c r="C1243" s="1" t="s">
        <v>2558</v>
      </c>
      <c r="D1243" t="s">
        <v>2559</v>
      </c>
      <c r="E1243" t="s">
        <v>1796</v>
      </c>
      <c r="F1243" t="s">
        <v>121</v>
      </c>
      <c r="G1243" t="s">
        <v>2596</v>
      </c>
      <c r="H1243">
        <v>40</v>
      </c>
      <c r="I1243" s="6" t="str">
        <f>_xlfn.CONCAT("Art. złączny do produktu ",Tabela10[[#This Row],[KOD_PRODUKTU]])</f>
        <v>Art. złączny do produktu 486W07</v>
      </c>
      <c r="J1243" s="6" t="str">
        <f>_xlfn.CONCAT("VE-",Tabela10[[#This Row],[KOD_PRODUKTU]])</f>
        <v>VE-486W07</v>
      </c>
    </row>
    <row r="1244" spans="1:10" x14ac:dyDescent="0.25">
      <c r="A1244" s="7" t="s">
        <v>2593</v>
      </c>
      <c r="B1244" s="6" t="s">
        <v>2594</v>
      </c>
      <c r="C1244" s="7" t="s">
        <v>541</v>
      </c>
      <c r="D1244" s="6" t="s">
        <v>542</v>
      </c>
      <c r="E1244" s="6" t="s">
        <v>9</v>
      </c>
      <c r="F1244" s="6" t="s">
        <v>10</v>
      </c>
      <c r="G1244" s="6" t="s">
        <v>2597</v>
      </c>
      <c r="H1244" s="6">
        <v>167.3</v>
      </c>
      <c r="I1244" s="6" t="str">
        <f>_xlfn.CONCAT("Art. złączny do produktu ",Tabela10[[#This Row],[KOD_PRODUKTU]])</f>
        <v>Art. złączny do produktu 486W07</v>
      </c>
      <c r="J1244" s="6" t="str">
        <f>_xlfn.CONCAT("VE-",Tabela10[[#This Row],[KOD_PRODUKTU]])</f>
        <v>VE-486W07</v>
      </c>
    </row>
    <row r="1245" spans="1:10" x14ac:dyDescent="0.25">
      <c r="A1245" s="1" t="s">
        <v>2598</v>
      </c>
      <c r="B1245" t="s">
        <v>2599</v>
      </c>
      <c r="C1245" s="1" t="s">
        <v>2467</v>
      </c>
      <c r="D1245" t="s">
        <v>2468</v>
      </c>
      <c r="E1245" t="s">
        <v>2469</v>
      </c>
      <c r="F1245" t="s">
        <v>5</v>
      </c>
      <c r="G1245" t="s">
        <v>2600</v>
      </c>
      <c r="H1245">
        <v>16.190000000000001</v>
      </c>
      <c r="I1245" s="6" t="str">
        <f>_xlfn.CONCAT("Art. złączny do produktu ",Tabela10[[#This Row],[KOD_PRODUKTU]])</f>
        <v>Art. złączny do produktu 487W13</v>
      </c>
      <c r="J1245" s="6" t="str">
        <f>_xlfn.CONCAT("VE-",Tabela10[[#This Row],[KOD_PRODUKTU]])</f>
        <v>VE-487W13</v>
      </c>
    </row>
    <row r="1246" spans="1:10" x14ac:dyDescent="0.25">
      <c r="A1246" s="7" t="s">
        <v>2598</v>
      </c>
      <c r="B1246" s="6" t="s">
        <v>2599</v>
      </c>
      <c r="C1246" s="7" t="s">
        <v>2601</v>
      </c>
      <c r="D1246" s="6" t="s">
        <v>2602</v>
      </c>
      <c r="E1246" s="6" t="s">
        <v>651</v>
      </c>
      <c r="F1246" s="6" t="s">
        <v>5</v>
      </c>
      <c r="G1246" s="6" t="s">
        <v>2603</v>
      </c>
      <c r="H1246" s="6">
        <v>0.28000000000000003</v>
      </c>
      <c r="I1246" s="6" t="str">
        <f>_xlfn.CONCAT("Art. złączny do produktu ",Tabela10[[#This Row],[KOD_PRODUKTU]])</f>
        <v>Art. złączny do produktu 487W13</v>
      </c>
      <c r="J1246" s="6" t="str">
        <f>_xlfn.CONCAT("VE-",Tabela10[[#This Row],[KOD_PRODUKTU]])</f>
        <v>VE-487W13</v>
      </c>
    </row>
    <row r="1247" spans="1:10" x14ac:dyDescent="0.25">
      <c r="A1247" s="1" t="s">
        <v>2598</v>
      </c>
      <c r="B1247" t="s">
        <v>2599</v>
      </c>
      <c r="C1247" s="1" t="s">
        <v>2604</v>
      </c>
      <c r="D1247" t="s">
        <v>2605</v>
      </c>
      <c r="E1247" t="s">
        <v>1768</v>
      </c>
      <c r="F1247" t="s">
        <v>39</v>
      </c>
      <c r="G1247" t="s">
        <v>605</v>
      </c>
      <c r="H1247">
        <v>0</v>
      </c>
      <c r="I1247" s="6" t="str">
        <f>_xlfn.CONCAT("Art. złączny do produktu ",Tabela10[[#This Row],[KOD_PRODUKTU]])</f>
        <v>Art. złączny do produktu 487W13</v>
      </c>
      <c r="J1247" s="6" t="str">
        <f>_xlfn.CONCAT("VE-",Tabela10[[#This Row],[KOD_PRODUKTU]])</f>
        <v>VE-487W13</v>
      </c>
    </row>
    <row r="1248" spans="1:10" x14ac:dyDescent="0.25">
      <c r="A1248" s="7" t="s">
        <v>2598</v>
      </c>
      <c r="B1248" s="6" t="s">
        <v>2599</v>
      </c>
      <c r="C1248" s="7" t="s">
        <v>628</v>
      </c>
      <c r="D1248" s="6" t="s">
        <v>629</v>
      </c>
      <c r="E1248" s="6" t="s">
        <v>630</v>
      </c>
      <c r="F1248" s="6" t="s">
        <v>5</v>
      </c>
      <c r="G1248" s="6" t="s">
        <v>2606</v>
      </c>
      <c r="H1248" s="6">
        <v>0.22</v>
      </c>
      <c r="I1248" s="6" t="str">
        <f>_xlfn.CONCAT("Art. złączny do produktu ",Tabela10[[#This Row],[KOD_PRODUKTU]])</f>
        <v>Art. złączny do produktu 487W13</v>
      </c>
      <c r="J1248" s="6" t="str">
        <f>_xlfn.CONCAT("VE-",Tabela10[[#This Row],[KOD_PRODUKTU]])</f>
        <v>VE-487W13</v>
      </c>
    </row>
    <row r="1249" spans="1:10" x14ac:dyDescent="0.25">
      <c r="A1249" s="1" t="s">
        <v>2598</v>
      </c>
      <c r="B1249" t="s">
        <v>2599</v>
      </c>
      <c r="C1249" s="1" t="s">
        <v>1971</v>
      </c>
      <c r="D1249" t="s">
        <v>1972</v>
      </c>
      <c r="E1249" t="s">
        <v>1964</v>
      </c>
      <c r="F1249" t="s">
        <v>5</v>
      </c>
      <c r="G1249" t="s">
        <v>2607</v>
      </c>
      <c r="H1249">
        <v>1.67</v>
      </c>
      <c r="I1249" s="6" t="str">
        <f>_xlfn.CONCAT("Art. złączny do produktu ",Tabela10[[#This Row],[KOD_PRODUKTU]])</f>
        <v>Art. złączny do produktu 487W13</v>
      </c>
      <c r="J1249" s="6" t="str">
        <f>_xlfn.CONCAT("VE-",Tabela10[[#This Row],[KOD_PRODUKTU]])</f>
        <v>VE-487W13</v>
      </c>
    </row>
    <row r="1250" spans="1:10" x14ac:dyDescent="0.25">
      <c r="A1250" s="7" t="s">
        <v>2598</v>
      </c>
      <c r="B1250" s="6" t="s">
        <v>2599</v>
      </c>
      <c r="C1250" s="7" t="s">
        <v>1974</v>
      </c>
      <c r="D1250" s="6" t="s">
        <v>1975</v>
      </c>
      <c r="E1250" s="6" t="s">
        <v>879</v>
      </c>
      <c r="F1250" s="6" t="s">
        <v>121</v>
      </c>
      <c r="G1250" s="6" t="s">
        <v>601</v>
      </c>
      <c r="H1250" s="6">
        <v>2.1</v>
      </c>
      <c r="I1250" s="6" t="str">
        <f>_xlfn.CONCAT("Art. złączny do produktu ",Tabela10[[#This Row],[KOD_PRODUKTU]])</f>
        <v>Art. złączny do produktu 487W13</v>
      </c>
      <c r="J1250" s="6" t="str">
        <f>_xlfn.CONCAT("VE-",Tabela10[[#This Row],[KOD_PRODUKTU]])</f>
        <v>VE-487W13</v>
      </c>
    </row>
    <row r="1251" spans="1:10" x14ac:dyDescent="0.25">
      <c r="A1251" s="1" t="s">
        <v>2598</v>
      </c>
      <c r="B1251" t="s">
        <v>2599</v>
      </c>
      <c r="C1251" s="1" t="s">
        <v>2608</v>
      </c>
      <c r="D1251" t="s">
        <v>2609</v>
      </c>
      <c r="E1251" t="s">
        <v>2610</v>
      </c>
      <c r="F1251" t="s">
        <v>121</v>
      </c>
      <c r="G1251" t="s">
        <v>50</v>
      </c>
      <c r="H1251">
        <v>74.8</v>
      </c>
      <c r="I1251" s="6" t="str">
        <f>_xlfn.CONCAT("Art. złączny do produktu ",Tabela10[[#This Row],[KOD_PRODUKTU]])</f>
        <v>Art. złączny do produktu 487W13</v>
      </c>
      <c r="J1251" s="6" t="str">
        <f>_xlfn.CONCAT("VE-",Tabela10[[#This Row],[KOD_PRODUKTU]])</f>
        <v>VE-487W13</v>
      </c>
    </row>
    <row r="1252" spans="1:10" x14ac:dyDescent="0.25">
      <c r="A1252" s="7" t="s">
        <v>2598</v>
      </c>
      <c r="B1252" s="6" t="s">
        <v>2599</v>
      </c>
      <c r="C1252" s="7" t="s">
        <v>2611</v>
      </c>
      <c r="D1252" s="6" t="s">
        <v>2612</v>
      </c>
      <c r="E1252" s="6" t="s">
        <v>2613</v>
      </c>
      <c r="F1252" s="6" t="s">
        <v>121</v>
      </c>
      <c r="G1252" s="6" t="s">
        <v>50</v>
      </c>
      <c r="H1252" s="6">
        <v>17.59</v>
      </c>
      <c r="I1252" s="6" t="str">
        <f>_xlfn.CONCAT("Art. złączny do produktu ",Tabela10[[#This Row],[KOD_PRODUKTU]])</f>
        <v>Art. złączny do produktu 487W13</v>
      </c>
      <c r="J1252" s="6" t="str">
        <f>_xlfn.CONCAT("VE-",Tabela10[[#This Row],[KOD_PRODUKTU]])</f>
        <v>VE-487W13</v>
      </c>
    </row>
    <row r="1253" spans="1:10" x14ac:dyDescent="0.25">
      <c r="A1253" s="1" t="s">
        <v>2598</v>
      </c>
      <c r="B1253" t="s">
        <v>2599</v>
      </c>
      <c r="C1253" s="1" t="s">
        <v>2614</v>
      </c>
      <c r="D1253" t="s">
        <v>2615</v>
      </c>
      <c r="E1253" t="s">
        <v>1761</v>
      </c>
      <c r="F1253" t="s">
        <v>121</v>
      </c>
      <c r="G1253" t="s">
        <v>50</v>
      </c>
      <c r="H1253">
        <v>0.55000000000000004</v>
      </c>
      <c r="I1253" s="6" t="str">
        <f>_xlfn.CONCAT("Art. złączny do produktu ",Tabela10[[#This Row],[KOD_PRODUKTU]])</f>
        <v>Art. złączny do produktu 487W13</v>
      </c>
      <c r="J1253" s="6" t="str">
        <f>_xlfn.CONCAT("VE-",Tabela10[[#This Row],[KOD_PRODUKTU]])</f>
        <v>VE-487W13</v>
      </c>
    </row>
    <row r="1254" spans="1:10" x14ac:dyDescent="0.25">
      <c r="A1254" s="7" t="s">
        <v>2598</v>
      </c>
      <c r="B1254" s="6" t="s">
        <v>2599</v>
      </c>
      <c r="C1254" s="7" t="s">
        <v>2616</v>
      </c>
      <c r="D1254" s="6" t="s">
        <v>2617</v>
      </c>
      <c r="E1254" s="6" t="s">
        <v>288</v>
      </c>
      <c r="F1254" s="6" t="s">
        <v>39</v>
      </c>
      <c r="G1254" s="6" t="s">
        <v>40</v>
      </c>
      <c r="H1254" s="6">
        <v>0.03</v>
      </c>
      <c r="I1254" s="6" t="str">
        <f>_xlfn.CONCAT("Art. złączny do produktu ",Tabela10[[#This Row],[KOD_PRODUKTU]])</f>
        <v>Art. złączny do produktu 487W13</v>
      </c>
      <c r="J1254" s="6" t="str">
        <f>_xlfn.CONCAT("VE-",Tabela10[[#This Row],[KOD_PRODUKTU]])</f>
        <v>VE-487W13</v>
      </c>
    </row>
    <row r="1255" spans="1:10" x14ac:dyDescent="0.25">
      <c r="A1255" s="1" t="s">
        <v>2598</v>
      </c>
      <c r="B1255" t="s">
        <v>2599</v>
      </c>
      <c r="C1255" s="1" t="s">
        <v>2618</v>
      </c>
      <c r="D1255" t="s">
        <v>2619</v>
      </c>
      <c r="E1255" t="s">
        <v>1768</v>
      </c>
      <c r="F1255" t="s">
        <v>39</v>
      </c>
      <c r="G1255" t="s">
        <v>40</v>
      </c>
      <c r="H1255">
        <v>0</v>
      </c>
      <c r="I1255" s="6" t="str">
        <f>_xlfn.CONCAT("Art. złączny do produktu ",Tabela10[[#This Row],[KOD_PRODUKTU]])</f>
        <v>Art. złączny do produktu 487W13</v>
      </c>
      <c r="J1255" s="6" t="str">
        <f>_xlfn.CONCAT("VE-",Tabela10[[#This Row],[KOD_PRODUKTU]])</f>
        <v>VE-487W13</v>
      </c>
    </row>
    <row r="1256" spans="1:10" x14ac:dyDescent="0.25">
      <c r="A1256" s="7" t="s">
        <v>2598</v>
      </c>
      <c r="B1256" s="6" t="s">
        <v>2599</v>
      </c>
      <c r="C1256" s="7" t="s">
        <v>2620</v>
      </c>
      <c r="D1256" s="6" t="s">
        <v>2621</v>
      </c>
      <c r="E1256" s="6" t="s">
        <v>2622</v>
      </c>
      <c r="F1256" s="6" t="s">
        <v>121</v>
      </c>
      <c r="G1256" s="6" t="s">
        <v>50</v>
      </c>
      <c r="H1256" s="6">
        <v>1.08</v>
      </c>
      <c r="I1256" s="6" t="str">
        <f>_xlfn.CONCAT("Art. złączny do produktu ",Tabela10[[#This Row],[KOD_PRODUKTU]])</f>
        <v>Art. złączny do produktu 487W13</v>
      </c>
      <c r="J1256" s="6" t="str">
        <f>_xlfn.CONCAT("VE-",Tabela10[[#This Row],[KOD_PRODUKTU]])</f>
        <v>VE-487W13</v>
      </c>
    </row>
    <row r="1257" spans="1:10" x14ac:dyDescent="0.25">
      <c r="A1257" s="1" t="s">
        <v>2598</v>
      </c>
      <c r="B1257" t="s">
        <v>2599</v>
      </c>
      <c r="C1257" s="1" t="s">
        <v>2623</v>
      </c>
      <c r="D1257" t="s">
        <v>2624</v>
      </c>
      <c r="E1257" t="s">
        <v>2625</v>
      </c>
      <c r="F1257" t="s">
        <v>121</v>
      </c>
      <c r="G1257" t="s">
        <v>50</v>
      </c>
      <c r="H1257">
        <v>9.99</v>
      </c>
      <c r="I1257" s="6" t="str">
        <f>_xlfn.CONCAT("Art. złączny do produktu ",Tabela10[[#This Row],[KOD_PRODUKTU]])</f>
        <v>Art. złączny do produktu 487W13</v>
      </c>
      <c r="J1257" s="6" t="str">
        <f>_xlfn.CONCAT("VE-",Tabela10[[#This Row],[KOD_PRODUKTU]])</f>
        <v>VE-487W13</v>
      </c>
    </row>
    <row r="1258" spans="1:10" x14ac:dyDescent="0.25">
      <c r="A1258" s="7" t="s">
        <v>2598</v>
      </c>
      <c r="B1258" s="6" t="s">
        <v>2599</v>
      </c>
      <c r="C1258" s="7" t="s">
        <v>2626</v>
      </c>
      <c r="D1258" s="6" t="s">
        <v>2627</v>
      </c>
      <c r="E1258" s="6" t="s">
        <v>2628</v>
      </c>
      <c r="F1258" s="6" t="s">
        <v>121</v>
      </c>
      <c r="G1258" s="6" t="s">
        <v>50</v>
      </c>
      <c r="H1258" s="6">
        <v>0.21</v>
      </c>
      <c r="I1258" s="6" t="str">
        <f>_xlfn.CONCAT("Art. złączny do produktu ",Tabela10[[#This Row],[KOD_PRODUKTU]])</f>
        <v>Art. złączny do produktu 487W13</v>
      </c>
      <c r="J1258" s="6" t="str">
        <f>_xlfn.CONCAT("VE-",Tabela10[[#This Row],[KOD_PRODUKTU]])</f>
        <v>VE-487W13</v>
      </c>
    </row>
    <row r="1259" spans="1:10" x14ac:dyDescent="0.25">
      <c r="A1259" s="1" t="s">
        <v>2598</v>
      </c>
      <c r="B1259" t="s">
        <v>2599</v>
      </c>
      <c r="C1259" s="1" t="s">
        <v>2629</v>
      </c>
      <c r="D1259" t="s">
        <v>2630</v>
      </c>
      <c r="E1259" t="s">
        <v>2631</v>
      </c>
      <c r="F1259" t="s">
        <v>121</v>
      </c>
      <c r="G1259" t="s">
        <v>50</v>
      </c>
      <c r="H1259">
        <v>178.33</v>
      </c>
      <c r="I1259" s="6" t="str">
        <f>_xlfn.CONCAT("Art. złączny do produktu ",Tabela10[[#This Row],[KOD_PRODUKTU]])</f>
        <v>Art. złączny do produktu 487W13</v>
      </c>
      <c r="J1259" s="6" t="str">
        <f>_xlfn.CONCAT("VE-",Tabela10[[#This Row],[KOD_PRODUKTU]])</f>
        <v>VE-487W13</v>
      </c>
    </row>
    <row r="1260" spans="1:10" x14ac:dyDescent="0.25">
      <c r="A1260" s="7" t="s">
        <v>2598</v>
      </c>
      <c r="B1260" s="6" t="s">
        <v>2599</v>
      </c>
      <c r="C1260" s="7" t="s">
        <v>684</v>
      </c>
      <c r="D1260" s="6" t="s">
        <v>685</v>
      </c>
      <c r="E1260" s="6" t="s">
        <v>686</v>
      </c>
      <c r="F1260" s="6" t="s">
        <v>49</v>
      </c>
      <c r="G1260" s="6" t="s">
        <v>50</v>
      </c>
      <c r="H1260" s="6">
        <v>0.01</v>
      </c>
      <c r="I1260" s="6" t="str">
        <f>_xlfn.CONCAT("Art. złączny do produktu ",Tabela10[[#This Row],[KOD_PRODUKTU]])</f>
        <v>Art. złączny do produktu 487W13</v>
      </c>
      <c r="J1260" s="6" t="str">
        <f>_xlfn.CONCAT("VE-",Tabela10[[#This Row],[KOD_PRODUKTU]])</f>
        <v>VE-487W13</v>
      </c>
    </row>
    <row r="1261" spans="1:10" x14ac:dyDescent="0.25">
      <c r="A1261" s="1" t="s">
        <v>2598</v>
      </c>
      <c r="B1261" t="s">
        <v>2599</v>
      </c>
      <c r="C1261" s="1" t="s">
        <v>684</v>
      </c>
      <c r="D1261" t="s">
        <v>685</v>
      </c>
      <c r="E1261" t="s">
        <v>686</v>
      </c>
      <c r="F1261" t="s">
        <v>49</v>
      </c>
      <c r="G1261" t="s">
        <v>2641</v>
      </c>
      <c r="H1261">
        <v>9</v>
      </c>
      <c r="I1261" s="6" t="str">
        <f>_xlfn.CONCAT("Art. złączny do produktu ",Tabela10[[#This Row],[KOD_PRODUKTU]])</f>
        <v>Art. złączny do produktu 487W13</v>
      </c>
      <c r="J1261" s="6" t="str">
        <f>_xlfn.CONCAT("VE-",Tabela10[[#This Row],[KOD_PRODUKTU]])</f>
        <v>VE-487W13</v>
      </c>
    </row>
    <row r="1262" spans="1:10" x14ac:dyDescent="0.25">
      <c r="A1262" s="7" t="s">
        <v>2598</v>
      </c>
      <c r="B1262" s="6" t="s">
        <v>2599</v>
      </c>
      <c r="C1262" s="7" t="s">
        <v>684</v>
      </c>
      <c r="D1262" s="6" t="s">
        <v>685</v>
      </c>
      <c r="E1262" s="6" t="s">
        <v>686</v>
      </c>
      <c r="F1262" s="6" t="s">
        <v>49</v>
      </c>
      <c r="G1262" s="6" t="s">
        <v>2642</v>
      </c>
      <c r="H1262" s="6">
        <v>0.34</v>
      </c>
      <c r="I1262" s="6" t="str">
        <f>_xlfn.CONCAT("Art. złączny do produktu ",Tabela10[[#This Row],[KOD_PRODUKTU]])</f>
        <v>Art. złączny do produktu 487W13</v>
      </c>
      <c r="J1262" s="6" t="str">
        <f>_xlfn.CONCAT("VE-",Tabela10[[#This Row],[KOD_PRODUKTU]])</f>
        <v>VE-487W13</v>
      </c>
    </row>
    <row r="1263" spans="1:10" x14ac:dyDescent="0.25">
      <c r="A1263" s="1" t="s">
        <v>2598</v>
      </c>
      <c r="B1263" t="s">
        <v>2599</v>
      </c>
      <c r="C1263" s="1" t="s">
        <v>541</v>
      </c>
      <c r="D1263" t="s">
        <v>542</v>
      </c>
      <c r="E1263" t="s">
        <v>9</v>
      </c>
      <c r="F1263" t="s">
        <v>10</v>
      </c>
      <c r="G1263" t="s">
        <v>2643</v>
      </c>
      <c r="H1263">
        <v>72.45</v>
      </c>
      <c r="I1263" s="6" t="str">
        <f>_xlfn.CONCAT("Art. złączny do produktu ",Tabela10[[#This Row],[KOD_PRODUKTU]])</f>
        <v>Art. złączny do produktu 487W13</v>
      </c>
      <c r="J1263" s="6" t="str">
        <f>_xlfn.CONCAT("VE-",Tabela10[[#This Row],[KOD_PRODUKTU]])</f>
        <v>VE-487W13</v>
      </c>
    </row>
    <row r="1264" spans="1:10" x14ac:dyDescent="0.25">
      <c r="A1264" s="7" t="s">
        <v>2598</v>
      </c>
      <c r="B1264" s="6" t="s">
        <v>2599</v>
      </c>
      <c r="C1264" s="7" t="s">
        <v>541</v>
      </c>
      <c r="D1264" s="6" t="s">
        <v>542</v>
      </c>
      <c r="E1264" s="6" t="s">
        <v>9</v>
      </c>
      <c r="F1264" s="6" t="s">
        <v>10</v>
      </c>
      <c r="G1264" s="6" t="s">
        <v>1511</v>
      </c>
      <c r="H1264" s="6">
        <v>33.81</v>
      </c>
      <c r="I1264" s="6" t="str">
        <f>_xlfn.CONCAT("Art. złączny do produktu ",Tabela10[[#This Row],[KOD_PRODUKTU]])</f>
        <v>Art. złączny do produktu 487W13</v>
      </c>
      <c r="J1264" s="6" t="str">
        <f>_xlfn.CONCAT("VE-",Tabela10[[#This Row],[KOD_PRODUKTU]])</f>
        <v>VE-487W13</v>
      </c>
    </row>
    <row r="1265" spans="1:10" x14ac:dyDescent="0.25">
      <c r="A1265" s="1" t="s">
        <v>2598</v>
      </c>
      <c r="B1265" t="s">
        <v>2599</v>
      </c>
      <c r="C1265" s="1" t="s">
        <v>541</v>
      </c>
      <c r="D1265" t="s">
        <v>542</v>
      </c>
      <c r="E1265" t="s">
        <v>9</v>
      </c>
      <c r="F1265" t="s">
        <v>10</v>
      </c>
      <c r="G1265" t="s">
        <v>2315</v>
      </c>
      <c r="H1265">
        <v>41.4</v>
      </c>
      <c r="I1265" s="6" t="str">
        <f>_xlfn.CONCAT("Art. złączny do produktu ",Tabela10[[#This Row],[KOD_PRODUKTU]])</f>
        <v>Art. złączny do produktu 487W13</v>
      </c>
      <c r="J1265" s="6" t="str">
        <f>_xlfn.CONCAT("VE-",Tabela10[[#This Row],[KOD_PRODUKTU]])</f>
        <v>VE-487W13</v>
      </c>
    </row>
    <row r="1266" spans="1:10" x14ac:dyDescent="0.25">
      <c r="A1266" s="7" t="s">
        <v>2598</v>
      </c>
      <c r="B1266" s="6" t="s">
        <v>2599</v>
      </c>
      <c r="C1266" s="7" t="s">
        <v>541</v>
      </c>
      <c r="D1266" s="6" t="s">
        <v>542</v>
      </c>
      <c r="E1266" s="6" t="s">
        <v>9</v>
      </c>
      <c r="F1266" s="6" t="s">
        <v>10</v>
      </c>
      <c r="G1266" s="6" t="s">
        <v>33</v>
      </c>
      <c r="H1266" s="6">
        <v>9.1999999999999993</v>
      </c>
      <c r="I1266" s="6" t="str">
        <f>_xlfn.CONCAT("Art. złączny do produktu ",Tabela10[[#This Row],[KOD_PRODUKTU]])</f>
        <v>Art. złączny do produktu 487W13</v>
      </c>
      <c r="J1266" s="6" t="str">
        <f>_xlfn.CONCAT("VE-",Tabela10[[#This Row],[KOD_PRODUKTU]])</f>
        <v>VE-487W13</v>
      </c>
    </row>
    <row r="1267" spans="1:10" x14ac:dyDescent="0.25">
      <c r="A1267" s="1" t="s">
        <v>2644</v>
      </c>
      <c r="B1267" t="s">
        <v>2645</v>
      </c>
      <c r="C1267" s="1" t="s">
        <v>1249</v>
      </c>
      <c r="D1267" t="s">
        <v>1250</v>
      </c>
      <c r="E1267" t="s">
        <v>1251</v>
      </c>
      <c r="F1267" t="s">
        <v>1252</v>
      </c>
      <c r="G1267" t="s">
        <v>2646</v>
      </c>
      <c r="H1267">
        <v>462</v>
      </c>
      <c r="I1267" s="6" t="str">
        <f>_xlfn.CONCAT("Art. złączny do produktu ",Tabela10[[#This Row],[KOD_PRODUKTU]])</f>
        <v>Art. złączny do produktu 487W15</v>
      </c>
      <c r="J1267" s="6" t="str">
        <f>_xlfn.CONCAT("VE-",Tabela10[[#This Row],[KOD_PRODUKTU]])</f>
        <v>VE-487W15</v>
      </c>
    </row>
    <row r="1268" spans="1:10" x14ac:dyDescent="0.25">
      <c r="A1268" s="7" t="s">
        <v>2644</v>
      </c>
      <c r="B1268" s="6" t="s">
        <v>2645</v>
      </c>
      <c r="C1268" s="7" t="s">
        <v>541</v>
      </c>
      <c r="D1268" s="6" t="s">
        <v>542</v>
      </c>
      <c r="E1268" s="6" t="s">
        <v>9</v>
      </c>
      <c r="F1268" s="6" t="s">
        <v>10</v>
      </c>
      <c r="G1268" s="6" t="s">
        <v>2647</v>
      </c>
      <c r="H1268" s="6">
        <v>663.71</v>
      </c>
      <c r="I1268" s="6" t="str">
        <f>_xlfn.CONCAT("Art. złączny do produktu ",Tabela10[[#This Row],[KOD_PRODUKTU]])</f>
        <v>Art. złączny do produktu 487W15</v>
      </c>
      <c r="J1268" s="6" t="str">
        <f>_xlfn.CONCAT("VE-",Tabela10[[#This Row],[KOD_PRODUKTU]])</f>
        <v>VE-487W15</v>
      </c>
    </row>
    <row r="1269" spans="1:10" x14ac:dyDescent="0.25">
      <c r="A1269" s="1" t="s">
        <v>2644</v>
      </c>
      <c r="B1269" t="s">
        <v>2645</v>
      </c>
      <c r="C1269" s="1" t="s">
        <v>7</v>
      </c>
      <c r="D1269" t="s">
        <v>8</v>
      </c>
      <c r="E1269" t="s">
        <v>9</v>
      </c>
      <c r="F1269" t="s">
        <v>10</v>
      </c>
      <c r="G1269" t="s">
        <v>2648</v>
      </c>
      <c r="H1269">
        <v>104.62</v>
      </c>
      <c r="I1269" s="6" t="str">
        <f>_xlfn.CONCAT("Art. złączny do produktu ",Tabela10[[#This Row],[KOD_PRODUKTU]])</f>
        <v>Art. złączny do produktu 487W15</v>
      </c>
      <c r="J1269" s="6" t="str">
        <f>_xlfn.CONCAT("VE-",Tabela10[[#This Row],[KOD_PRODUKTU]])</f>
        <v>VE-487W15</v>
      </c>
    </row>
    <row r="1270" spans="1:10" x14ac:dyDescent="0.25">
      <c r="A1270" s="7" t="s">
        <v>2649</v>
      </c>
      <c r="B1270" s="6" t="s">
        <v>2650</v>
      </c>
      <c r="C1270" s="7" t="s">
        <v>1249</v>
      </c>
      <c r="D1270" s="6" t="s">
        <v>1250</v>
      </c>
      <c r="E1270" s="6" t="s">
        <v>1251</v>
      </c>
      <c r="F1270" s="6" t="s">
        <v>1252</v>
      </c>
      <c r="G1270" s="6" t="s">
        <v>2651</v>
      </c>
      <c r="H1270" s="6">
        <v>564.36</v>
      </c>
      <c r="I1270" s="6" t="str">
        <f>_xlfn.CONCAT("Art. złączny do produktu ",Tabela10[[#This Row],[KOD_PRODUKTU]])</f>
        <v>Art. złączny do produktu 487W16</v>
      </c>
      <c r="J1270" s="6" t="str">
        <f>_xlfn.CONCAT("VE-",Tabela10[[#This Row],[KOD_PRODUKTU]])</f>
        <v>VE-487W16</v>
      </c>
    </row>
    <row r="1271" spans="1:10" x14ac:dyDescent="0.25">
      <c r="A1271" s="1" t="s">
        <v>2649</v>
      </c>
      <c r="B1271" t="s">
        <v>2650</v>
      </c>
      <c r="C1271" s="1" t="s">
        <v>7</v>
      </c>
      <c r="D1271" t="s">
        <v>8</v>
      </c>
      <c r="E1271" t="s">
        <v>9</v>
      </c>
      <c r="F1271" t="s">
        <v>10</v>
      </c>
      <c r="G1271" t="s">
        <v>2652</v>
      </c>
      <c r="H1271">
        <v>160.30000000000001</v>
      </c>
      <c r="I1271" s="6" t="str">
        <f>_xlfn.CONCAT("Art. złączny do produktu ",Tabela10[[#This Row],[KOD_PRODUKTU]])</f>
        <v>Art. złączny do produktu 487W16</v>
      </c>
      <c r="J1271" s="6" t="str">
        <f>_xlfn.CONCAT("VE-",Tabela10[[#This Row],[KOD_PRODUKTU]])</f>
        <v>VE-487W16</v>
      </c>
    </row>
    <row r="1272" spans="1:10" x14ac:dyDescent="0.25">
      <c r="A1272" s="7" t="s">
        <v>2649</v>
      </c>
      <c r="B1272" s="6" t="s">
        <v>2650</v>
      </c>
      <c r="C1272" s="7" t="s">
        <v>7</v>
      </c>
      <c r="D1272" s="6" t="s">
        <v>8</v>
      </c>
      <c r="E1272" s="6" t="s">
        <v>9</v>
      </c>
      <c r="F1272" s="6" t="s">
        <v>10</v>
      </c>
      <c r="G1272" s="6" t="s">
        <v>2653</v>
      </c>
      <c r="H1272" s="6">
        <v>1052.3499999999999</v>
      </c>
      <c r="I1272" s="6" t="str">
        <f>_xlfn.CONCAT("Art. złączny do produktu ",Tabela10[[#This Row],[KOD_PRODUKTU]])</f>
        <v>Art. złączny do produktu 487W16</v>
      </c>
      <c r="J1272" s="6" t="str">
        <f>_xlfn.CONCAT("VE-",Tabela10[[#This Row],[KOD_PRODUKTU]])</f>
        <v>VE-487W16</v>
      </c>
    </row>
    <row r="1273" spans="1:10" x14ac:dyDescent="0.25">
      <c r="A1273" s="1" t="s">
        <v>2654</v>
      </c>
      <c r="B1273" t="s">
        <v>2655</v>
      </c>
      <c r="C1273" s="1" t="s">
        <v>1249</v>
      </c>
      <c r="D1273" t="s">
        <v>1250</v>
      </c>
      <c r="E1273" t="s">
        <v>1251</v>
      </c>
      <c r="F1273" t="s">
        <v>1252</v>
      </c>
      <c r="G1273" t="s">
        <v>2646</v>
      </c>
      <c r="H1273">
        <v>462</v>
      </c>
      <c r="I1273" s="6" t="str">
        <f>_xlfn.CONCAT("Art. złączny do produktu ",Tabela10[[#This Row],[KOD_PRODUKTU]])</f>
        <v>Art. złączny do produktu 487W35</v>
      </c>
      <c r="J1273" s="6" t="str">
        <f>_xlfn.CONCAT("VE-",Tabela10[[#This Row],[KOD_PRODUKTU]])</f>
        <v>VE-487W35</v>
      </c>
    </row>
    <row r="1274" spans="1:10" x14ac:dyDescent="0.25">
      <c r="A1274" s="7" t="s">
        <v>2654</v>
      </c>
      <c r="B1274" s="6" t="s">
        <v>2655</v>
      </c>
      <c r="C1274" s="7" t="s">
        <v>7</v>
      </c>
      <c r="D1274" s="6" t="s">
        <v>8</v>
      </c>
      <c r="E1274" s="6" t="s">
        <v>9</v>
      </c>
      <c r="F1274" s="6" t="s">
        <v>10</v>
      </c>
      <c r="G1274" s="6" t="s">
        <v>2656</v>
      </c>
      <c r="H1274" s="6">
        <v>104.81</v>
      </c>
      <c r="I1274" s="6" t="str">
        <f>_xlfn.CONCAT("Art. złączny do produktu ",Tabela10[[#This Row],[KOD_PRODUKTU]])</f>
        <v>Art. złączny do produktu 487W35</v>
      </c>
      <c r="J1274" s="6" t="str">
        <f>_xlfn.CONCAT("VE-",Tabela10[[#This Row],[KOD_PRODUKTU]])</f>
        <v>VE-487W35</v>
      </c>
    </row>
    <row r="1275" spans="1:10" x14ac:dyDescent="0.25">
      <c r="A1275" s="1" t="s">
        <v>2654</v>
      </c>
      <c r="B1275" t="s">
        <v>2655</v>
      </c>
      <c r="C1275" s="1" t="s">
        <v>7</v>
      </c>
      <c r="D1275" t="s">
        <v>8</v>
      </c>
      <c r="E1275" t="s">
        <v>9</v>
      </c>
      <c r="F1275" t="s">
        <v>10</v>
      </c>
      <c r="G1275" t="s">
        <v>2657</v>
      </c>
      <c r="H1275">
        <v>664.11</v>
      </c>
      <c r="I1275" s="6" t="str">
        <f>_xlfn.CONCAT("Art. złączny do produktu ",Tabela10[[#This Row],[KOD_PRODUKTU]])</f>
        <v>Art. złączny do produktu 487W35</v>
      </c>
      <c r="J1275" s="6" t="str">
        <f>_xlfn.CONCAT("VE-",Tabela10[[#This Row],[KOD_PRODUKTU]])</f>
        <v>VE-487W35</v>
      </c>
    </row>
    <row r="1276" spans="1:10" x14ac:dyDescent="0.25">
      <c r="A1276" s="7" t="s">
        <v>2658</v>
      </c>
      <c r="B1276" s="6" t="s">
        <v>2659</v>
      </c>
      <c r="C1276" s="7" t="s">
        <v>1249</v>
      </c>
      <c r="D1276" s="6" t="s">
        <v>1250</v>
      </c>
      <c r="E1276" s="6" t="s">
        <v>1251</v>
      </c>
      <c r="F1276" s="6" t="s">
        <v>1252</v>
      </c>
      <c r="G1276" s="6" t="s">
        <v>2660</v>
      </c>
      <c r="H1276" s="6">
        <v>572.28</v>
      </c>
      <c r="I1276" s="6" t="str">
        <f>_xlfn.CONCAT("Art. złączny do produktu ",Tabela10[[#This Row],[KOD_PRODUKTU]])</f>
        <v>Art. złączny do produktu 487W36</v>
      </c>
      <c r="J1276" s="6" t="str">
        <f>_xlfn.CONCAT("VE-",Tabela10[[#This Row],[KOD_PRODUKTU]])</f>
        <v>VE-487W36</v>
      </c>
    </row>
    <row r="1277" spans="1:10" x14ac:dyDescent="0.25">
      <c r="A1277" s="1" t="s">
        <v>2658</v>
      </c>
      <c r="B1277" t="s">
        <v>2659</v>
      </c>
      <c r="C1277" s="1" t="s">
        <v>7</v>
      </c>
      <c r="D1277" t="s">
        <v>8</v>
      </c>
      <c r="E1277" t="s">
        <v>9</v>
      </c>
      <c r="F1277" t="s">
        <v>10</v>
      </c>
      <c r="G1277" t="s">
        <v>2661</v>
      </c>
      <c r="H1277">
        <v>149.5</v>
      </c>
      <c r="I1277" s="6" t="str">
        <f>_xlfn.CONCAT("Art. złączny do produktu ",Tabela10[[#This Row],[KOD_PRODUKTU]])</f>
        <v>Art. złączny do produktu 487W36</v>
      </c>
      <c r="J1277" s="6" t="str">
        <f>_xlfn.CONCAT("VE-",Tabela10[[#This Row],[KOD_PRODUKTU]])</f>
        <v>VE-487W36</v>
      </c>
    </row>
    <row r="1278" spans="1:10" x14ac:dyDescent="0.25">
      <c r="A1278" s="7" t="s">
        <v>2658</v>
      </c>
      <c r="B1278" s="6" t="s">
        <v>2659</v>
      </c>
      <c r="C1278" s="7" t="s">
        <v>7</v>
      </c>
      <c r="D1278" s="6" t="s">
        <v>8</v>
      </c>
      <c r="E1278" s="6" t="s">
        <v>9</v>
      </c>
      <c r="F1278" s="6" t="s">
        <v>10</v>
      </c>
      <c r="G1278" s="6" t="s">
        <v>2662</v>
      </c>
      <c r="H1278" s="6">
        <v>1058.33</v>
      </c>
      <c r="I1278" s="6" t="str">
        <f>_xlfn.CONCAT("Art. złączny do produktu ",Tabela10[[#This Row],[KOD_PRODUKTU]])</f>
        <v>Art. złączny do produktu 487W36</v>
      </c>
      <c r="J1278" s="6" t="str">
        <f>_xlfn.CONCAT("VE-",Tabela10[[#This Row],[KOD_PRODUKTU]])</f>
        <v>VE-487W36</v>
      </c>
    </row>
    <row r="1279" spans="1:10" x14ac:dyDescent="0.25">
      <c r="A1279" s="1" t="s">
        <v>2663</v>
      </c>
      <c r="B1279" t="s">
        <v>2664</v>
      </c>
      <c r="C1279" s="1" t="s">
        <v>1249</v>
      </c>
      <c r="D1279" t="s">
        <v>1250</v>
      </c>
      <c r="E1279" t="s">
        <v>1251</v>
      </c>
      <c r="F1279" t="s">
        <v>1252</v>
      </c>
      <c r="G1279" t="s">
        <v>2660</v>
      </c>
      <c r="H1279">
        <v>572.28</v>
      </c>
      <c r="I1279" s="6" t="str">
        <f>_xlfn.CONCAT("Art. złączny do produktu ",Tabela10[[#This Row],[KOD_PRODUKTU]])</f>
        <v>Art. złączny do produktu 487W37</v>
      </c>
      <c r="J1279" s="6" t="str">
        <f>_xlfn.CONCAT("VE-",Tabela10[[#This Row],[KOD_PRODUKTU]])</f>
        <v>VE-487W37</v>
      </c>
    </row>
    <row r="1280" spans="1:10" x14ac:dyDescent="0.25">
      <c r="A1280" s="7" t="s">
        <v>2663</v>
      </c>
      <c r="B1280" s="6" t="s">
        <v>2664</v>
      </c>
      <c r="C1280" s="7" t="s">
        <v>541</v>
      </c>
      <c r="D1280" s="6" t="s">
        <v>542</v>
      </c>
      <c r="E1280" s="6" t="s">
        <v>9</v>
      </c>
      <c r="F1280" s="6" t="s">
        <v>10</v>
      </c>
      <c r="G1280" s="6" t="s">
        <v>2662</v>
      </c>
      <c r="H1280" s="6">
        <v>1058.33</v>
      </c>
      <c r="I1280" s="6" t="str">
        <f>_xlfn.CONCAT("Art. złączny do produktu ",Tabela10[[#This Row],[KOD_PRODUKTU]])</f>
        <v>Art. złączny do produktu 487W37</v>
      </c>
      <c r="J1280" s="6" t="str">
        <f>_xlfn.CONCAT("VE-",Tabela10[[#This Row],[KOD_PRODUKTU]])</f>
        <v>VE-487W37</v>
      </c>
    </row>
    <row r="1281" spans="1:10" x14ac:dyDescent="0.25">
      <c r="A1281" s="1" t="s">
        <v>2663</v>
      </c>
      <c r="B1281" t="s">
        <v>2664</v>
      </c>
      <c r="C1281" s="1" t="s">
        <v>541</v>
      </c>
      <c r="D1281" t="s">
        <v>542</v>
      </c>
      <c r="E1281" t="s">
        <v>9</v>
      </c>
      <c r="F1281" t="s">
        <v>10</v>
      </c>
      <c r="G1281" t="s">
        <v>2665</v>
      </c>
      <c r="H1281">
        <v>156.6</v>
      </c>
      <c r="I1281" s="6" t="str">
        <f>_xlfn.CONCAT("Art. złączny do produktu ",Tabela10[[#This Row],[KOD_PRODUKTU]])</f>
        <v>Art. złączny do produktu 487W37</v>
      </c>
      <c r="J1281" s="6" t="str">
        <f>_xlfn.CONCAT("VE-",Tabela10[[#This Row],[KOD_PRODUKTU]])</f>
        <v>VE-487W37</v>
      </c>
    </row>
    <row r="1282" spans="1:10" x14ac:dyDescent="0.25">
      <c r="A1282" s="7" t="s">
        <v>2686</v>
      </c>
      <c r="B1282" s="6" t="s">
        <v>2687</v>
      </c>
      <c r="C1282" s="7" t="s">
        <v>2296</v>
      </c>
      <c r="D1282" s="6" t="s">
        <v>2297</v>
      </c>
      <c r="E1282" s="6" t="s">
        <v>2341</v>
      </c>
      <c r="F1282" s="6" t="s">
        <v>39</v>
      </c>
      <c r="G1282" s="6" t="s">
        <v>605</v>
      </c>
      <c r="H1282" s="6">
        <v>0.55000000000000004</v>
      </c>
      <c r="I1282" s="6" t="str">
        <f>_xlfn.CONCAT("Art. złączny do produktu ",Tabela10[[#This Row],[KOD_PRODUKTU]])</f>
        <v>Art. złączny do produktu 810R53</v>
      </c>
      <c r="J1282" s="6" t="str">
        <f>_xlfn.CONCAT("VE-",Tabela10[[#This Row],[KOD_PRODUKTU]])</f>
        <v>VE-810R53</v>
      </c>
    </row>
    <row r="1283" spans="1:10" x14ac:dyDescent="0.25">
      <c r="A1283" s="1" t="s">
        <v>2686</v>
      </c>
      <c r="B1283" t="s">
        <v>2687</v>
      </c>
      <c r="C1283" s="1" t="s">
        <v>2688</v>
      </c>
      <c r="D1283" t="s">
        <v>2689</v>
      </c>
      <c r="E1283" t="s">
        <v>2690</v>
      </c>
      <c r="F1283" t="s">
        <v>39</v>
      </c>
      <c r="G1283" t="s">
        <v>447</v>
      </c>
      <c r="H1283">
        <v>0.33</v>
      </c>
      <c r="I1283" s="6" t="str">
        <f>_xlfn.CONCAT("Art. złączny do produktu ",Tabela10[[#This Row],[KOD_PRODUKTU]])</f>
        <v>Art. złączny do produktu 810R53</v>
      </c>
      <c r="J1283" s="6" t="str">
        <f>_xlfn.CONCAT("VE-",Tabela10[[#This Row],[KOD_PRODUKTU]])</f>
        <v>VE-810R53</v>
      </c>
    </row>
    <row r="1284" spans="1:10" x14ac:dyDescent="0.25">
      <c r="A1284" s="7" t="s">
        <v>2686</v>
      </c>
      <c r="B1284" s="6" t="s">
        <v>2687</v>
      </c>
      <c r="C1284" s="7" t="s">
        <v>649</v>
      </c>
      <c r="D1284" s="6" t="s">
        <v>650</v>
      </c>
      <c r="E1284" s="6" t="s">
        <v>651</v>
      </c>
      <c r="F1284" s="6" t="s">
        <v>39</v>
      </c>
      <c r="G1284" s="6" t="s">
        <v>40</v>
      </c>
      <c r="H1284" s="6">
        <v>0.08</v>
      </c>
      <c r="I1284" s="6" t="str">
        <f>_xlfn.CONCAT("Art. złączny do produktu ",Tabela10[[#This Row],[KOD_PRODUKTU]])</f>
        <v>Art. złączny do produktu 810R53</v>
      </c>
      <c r="J1284" s="6" t="str">
        <f>_xlfn.CONCAT("VE-",Tabela10[[#This Row],[KOD_PRODUKTU]])</f>
        <v>VE-810R53</v>
      </c>
    </row>
    <row r="1285" spans="1:10" x14ac:dyDescent="0.25">
      <c r="A1285" s="1" t="s">
        <v>2686</v>
      </c>
      <c r="B1285" t="s">
        <v>2687</v>
      </c>
      <c r="C1285" s="1" t="s">
        <v>2691</v>
      </c>
      <c r="D1285" t="s">
        <v>2692</v>
      </c>
      <c r="E1285" t="s">
        <v>2693</v>
      </c>
      <c r="F1285" t="s">
        <v>1965</v>
      </c>
      <c r="G1285" t="s">
        <v>40</v>
      </c>
      <c r="H1285">
        <v>0.03</v>
      </c>
      <c r="I1285" s="6" t="str">
        <f>_xlfn.CONCAT("Art. złączny do produktu ",Tabela10[[#This Row],[KOD_PRODUKTU]])</f>
        <v>Art. złączny do produktu 810R53</v>
      </c>
      <c r="J1285" s="6" t="str">
        <f>_xlfn.CONCAT("VE-",Tabela10[[#This Row],[KOD_PRODUKTU]])</f>
        <v>VE-810R53</v>
      </c>
    </row>
    <row r="1286" spans="1:10" x14ac:dyDescent="0.25">
      <c r="A1286" s="7" t="s">
        <v>2686</v>
      </c>
      <c r="B1286" s="6" t="s">
        <v>2687</v>
      </c>
      <c r="C1286" s="7" t="s">
        <v>2694</v>
      </c>
      <c r="D1286" s="6" t="s">
        <v>2695</v>
      </c>
      <c r="E1286" s="6" t="s">
        <v>2112</v>
      </c>
      <c r="F1286" s="6" t="s">
        <v>39</v>
      </c>
      <c r="G1286" s="6" t="s">
        <v>40</v>
      </c>
      <c r="H1286" s="6">
        <v>0.16</v>
      </c>
      <c r="I1286" s="6" t="str">
        <f>_xlfn.CONCAT("Art. złączny do produktu ",Tabela10[[#This Row],[KOD_PRODUKTU]])</f>
        <v>Art. złączny do produktu 810R53</v>
      </c>
      <c r="J1286" s="6" t="str">
        <f>_xlfn.CONCAT("VE-",Tabela10[[#This Row],[KOD_PRODUKTU]])</f>
        <v>VE-810R53</v>
      </c>
    </row>
    <row r="1287" spans="1:10" x14ac:dyDescent="0.25">
      <c r="A1287" s="1" t="s">
        <v>2686</v>
      </c>
      <c r="B1287" t="s">
        <v>2687</v>
      </c>
      <c r="C1287" s="1" t="s">
        <v>2343</v>
      </c>
      <c r="D1287" t="s">
        <v>2344</v>
      </c>
      <c r="E1287" t="s">
        <v>2345</v>
      </c>
      <c r="F1287" t="s">
        <v>39</v>
      </c>
      <c r="G1287" t="s">
        <v>2696</v>
      </c>
      <c r="H1287">
        <v>0.63</v>
      </c>
      <c r="I1287" s="6" t="str">
        <f>_xlfn.CONCAT("Art. złączny do produktu ",Tabela10[[#This Row],[KOD_PRODUKTU]])</f>
        <v>Art. złączny do produktu 810R53</v>
      </c>
      <c r="J1287" s="6" t="str">
        <f>_xlfn.CONCAT("VE-",Tabela10[[#This Row],[KOD_PRODUKTU]])</f>
        <v>VE-810R53</v>
      </c>
    </row>
    <row r="1288" spans="1:10" x14ac:dyDescent="0.25">
      <c r="A1288" s="7" t="s">
        <v>2686</v>
      </c>
      <c r="B1288" s="6" t="s">
        <v>2687</v>
      </c>
      <c r="C1288" s="7" t="s">
        <v>2697</v>
      </c>
      <c r="D1288" s="6" t="s">
        <v>2698</v>
      </c>
      <c r="E1288" s="6" t="s">
        <v>2699</v>
      </c>
      <c r="F1288" s="6" t="s">
        <v>39</v>
      </c>
      <c r="G1288" s="6" t="s">
        <v>605</v>
      </c>
      <c r="H1288" s="6">
        <v>1.41</v>
      </c>
      <c r="I1288" s="6" t="str">
        <f>_xlfn.CONCAT("Art. złączny do produktu ",Tabela10[[#This Row],[KOD_PRODUKTU]])</f>
        <v>Art. złączny do produktu 810R53</v>
      </c>
      <c r="J1288" s="6" t="str">
        <f>_xlfn.CONCAT("VE-",Tabela10[[#This Row],[KOD_PRODUKTU]])</f>
        <v>VE-810R53</v>
      </c>
    </row>
    <row r="1289" spans="1:10" x14ac:dyDescent="0.25">
      <c r="A1289" s="1" t="s">
        <v>2686</v>
      </c>
      <c r="B1289" t="s">
        <v>2687</v>
      </c>
      <c r="C1289" s="1" t="s">
        <v>2700</v>
      </c>
      <c r="D1289" t="s">
        <v>2701</v>
      </c>
      <c r="E1289" t="s">
        <v>2702</v>
      </c>
      <c r="F1289" t="s">
        <v>121</v>
      </c>
      <c r="G1289" t="s">
        <v>1130</v>
      </c>
      <c r="H1289">
        <v>1.54</v>
      </c>
      <c r="I1289" s="6" t="str">
        <f>_xlfn.CONCAT("Art. złączny do produktu ",Tabela10[[#This Row],[KOD_PRODUKTU]])</f>
        <v>Art. złączny do produktu 810R53</v>
      </c>
      <c r="J1289" s="6" t="str">
        <f>_xlfn.CONCAT("VE-",Tabela10[[#This Row],[KOD_PRODUKTU]])</f>
        <v>VE-810R53</v>
      </c>
    </row>
    <row r="1290" spans="1:10" x14ac:dyDescent="0.25">
      <c r="A1290" s="7" t="s">
        <v>2686</v>
      </c>
      <c r="B1290" s="6" t="s">
        <v>2687</v>
      </c>
      <c r="C1290" s="7" t="s">
        <v>1345</v>
      </c>
      <c r="D1290" s="6" t="s">
        <v>1346</v>
      </c>
      <c r="E1290" s="6" t="s">
        <v>1369</v>
      </c>
      <c r="F1290" s="6" t="s">
        <v>5</v>
      </c>
      <c r="G1290" s="6" t="s">
        <v>447</v>
      </c>
      <c r="H1290" s="6">
        <v>1.95</v>
      </c>
      <c r="I1290" s="6" t="str">
        <f>_xlfn.CONCAT("Art. złączny do produktu ",Tabela10[[#This Row],[KOD_PRODUKTU]])</f>
        <v>Art. złączny do produktu 810R53</v>
      </c>
      <c r="J1290" s="6" t="str">
        <f>_xlfn.CONCAT("VE-",Tabela10[[#This Row],[KOD_PRODUKTU]])</f>
        <v>VE-810R53</v>
      </c>
    </row>
    <row r="1291" spans="1:10" x14ac:dyDescent="0.25">
      <c r="A1291" s="1" t="s">
        <v>2686</v>
      </c>
      <c r="B1291" t="s">
        <v>2687</v>
      </c>
      <c r="C1291" s="1" t="s">
        <v>2373</v>
      </c>
      <c r="D1291" t="s">
        <v>2374</v>
      </c>
      <c r="E1291" t="s">
        <v>2112</v>
      </c>
      <c r="F1291" t="s">
        <v>49</v>
      </c>
      <c r="G1291" t="s">
        <v>319</v>
      </c>
      <c r="H1291">
        <v>93</v>
      </c>
      <c r="I1291" s="6" t="str">
        <f>_xlfn.CONCAT("Art. złączny do produktu ",Tabela10[[#This Row],[KOD_PRODUKTU]])</f>
        <v>Art. złączny do produktu 810R53</v>
      </c>
      <c r="J1291" s="6" t="str">
        <f>_xlfn.CONCAT("VE-",Tabela10[[#This Row],[KOD_PRODUKTU]])</f>
        <v>VE-810R53</v>
      </c>
    </row>
    <row r="1292" spans="1:10" x14ac:dyDescent="0.25">
      <c r="A1292" s="7" t="s">
        <v>2686</v>
      </c>
      <c r="B1292" s="6" t="s">
        <v>2687</v>
      </c>
      <c r="C1292" s="7" t="s">
        <v>2703</v>
      </c>
      <c r="D1292" s="6" t="s">
        <v>2704</v>
      </c>
      <c r="E1292" s="6" t="s">
        <v>216</v>
      </c>
      <c r="F1292" s="6" t="s">
        <v>17</v>
      </c>
      <c r="G1292" s="6" t="s">
        <v>2607</v>
      </c>
      <c r="H1292" s="6">
        <v>0.77</v>
      </c>
      <c r="I1292" s="6" t="str">
        <f>_xlfn.CONCAT("Art. złączny do produktu ",Tabela10[[#This Row],[KOD_PRODUKTU]])</f>
        <v>Art. złączny do produktu 810R53</v>
      </c>
      <c r="J1292" s="6" t="str">
        <f>_xlfn.CONCAT("VE-",Tabela10[[#This Row],[KOD_PRODUKTU]])</f>
        <v>VE-810R53</v>
      </c>
    </row>
    <row r="1293" spans="1:10" x14ac:dyDescent="0.25">
      <c r="A1293" s="1" t="s">
        <v>2686</v>
      </c>
      <c r="B1293" t="s">
        <v>2687</v>
      </c>
      <c r="C1293" s="1" t="s">
        <v>2375</v>
      </c>
      <c r="D1293" t="s">
        <v>2376</v>
      </c>
      <c r="E1293" t="s">
        <v>2377</v>
      </c>
      <c r="F1293" t="s">
        <v>2378</v>
      </c>
      <c r="G1293" t="s">
        <v>50</v>
      </c>
      <c r="H1293">
        <v>45.89</v>
      </c>
      <c r="I1293" s="6" t="str">
        <f>_xlfn.CONCAT("Art. złączny do produktu ",Tabela10[[#This Row],[KOD_PRODUKTU]])</f>
        <v>Art. złączny do produktu 810R53</v>
      </c>
      <c r="J1293" s="6" t="str">
        <f>_xlfn.CONCAT("VE-",Tabela10[[#This Row],[KOD_PRODUKTU]])</f>
        <v>VE-810R53</v>
      </c>
    </row>
    <row r="1294" spans="1:10" x14ac:dyDescent="0.25">
      <c r="A1294" s="7" t="s">
        <v>2686</v>
      </c>
      <c r="B1294" s="6" t="s">
        <v>2687</v>
      </c>
      <c r="C1294" s="7" t="s">
        <v>2379</v>
      </c>
      <c r="D1294" s="6" t="s">
        <v>2380</v>
      </c>
      <c r="E1294" s="6" t="s">
        <v>580</v>
      </c>
      <c r="F1294" s="6" t="s">
        <v>121</v>
      </c>
      <c r="G1294" s="6" t="s">
        <v>319</v>
      </c>
      <c r="H1294" s="6">
        <v>44.7</v>
      </c>
      <c r="I1294" s="6" t="str">
        <f>_xlfn.CONCAT("Art. złączny do produktu ",Tabela10[[#This Row],[KOD_PRODUKTU]])</f>
        <v>Art. złączny do produktu 810R53</v>
      </c>
      <c r="J1294" s="6" t="str">
        <f>_xlfn.CONCAT("VE-",Tabela10[[#This Row],[KOD_PRODUKTU]])</f>
        <v>VE-810R53</v>
      </c>
    </row>
    <row r="1295" spans="1:10" x14ac:dyDescent="0.25">
      <c r="A1295" s="1" t="s">
        <v>2686</v>
      </c>
      <c r="B1295" t="s">
        <v>2687</v>
      </c>
      <c r="C1295" s="1" t="s">
        <v>2705</v>
      </c>
      <c r="D1295" t="s">
        <v>2706</v>
      </c>
      <c r="E1295" t="s">
        <v>2707</v>
      </c>
      <c r="F1295" t="s">
        <v>49</v>
      </c>
      <c r="G1295" t="s">
        <v>50</v>
      </c>
      <c r="H1295">
        <v>67</v>
      </c>
      <c r="I1295" s="6" t="str">
        <f>_xlfn.CONCAT("Art. złączny do produktu ",Tabela10[[#This Row],[KOD_PRODUKTU]])</f>
        <v>Art. złączny do produktu 810R53</v>
      </c>
      <c r="J1295" s="6" t="str">
        <f>_xlfn.CONCAT("VE-",Tabela10[[#This Row],[KOD_PRODUKTU]])</f>
        <v>VE-810R53</v>
      </c>
    </row>
    <row r="1296" spans="1:10" x14ac:dyDescent="0.25">
      <c r="A1296" s="7" t="s">
        <v>2686</v>
      </c>
      <c r="B1296" s="6" t="s">
        <v>2687</v>
      </c>
      <c r="C1296" s="7" t="s">
        <v>41</v>
      </c>
      <c r="D1296" s="6" t="s">
        <v>42</v>
      </c>
      <c r="E1296" s="6" t="s">
        <v>43</v>
      </c>
      <c r="F1296" s="6" t="s">
        <v>5</v>
      </c>
      <c r="G1296" s="6" t="s">
        <v>44</v>
      </c>
      <c r="H1296" s="6">
        <v>0.01</v>
      </c>
      <c r="I1296" s="6" t="str">
        <f>_xlfn.CONCAT("Art. złączny do produktu ",Tabela10[[#This Row],[KOD_PRODUKTU]])</f>
        <v>Art. złączny do produktu 810R53</v>
      </c>
      <c r="J1296" s="6" t="str">
        <f>_xlfn.CONCAT("VE-",Tabela10[[#This Row],[KOD_PRODUKTU]])</f>
        <v>VE-810R53</v>
      </c>
    </row>
    <row r="1297" spans="1:10" x14ac:dyDescent="0.25">
      <c r="A1297" s="1" t="s">
        <v>2686</v>
      </c>
      <c r="B1297" t="s">
        <v>2687</v>
      </c>
      <c r="C1297" s="1" t="s">
        <v>2381</v>
      </c>
      <c r="D1297" t="s">
        <v>2382</v>
      </c>
      <c r="E1297" t="s">
        <v>2383</v>
      </c>
      <c r="F1297" t="s">
        <v>49</v>
      </c>
      <c r="G1297" t="s">
        <v>2384</v>
      </c>
      <c r="H1297">
        <v>0.6</v>
      </c>
      <c r="I1297" s="6" t="str">
        <f>_xlfn.CONCAT("Art. złączny do produktu ",Tabela10[[#This Row],[KOD_PRODUKTU]])</f>
        <v>Art. złączny do produktu 810R53</v>
      </c>
      <c r="J1297" s="6" t="str">
        <f>_xlfn.CONCAT("VE-",Tabela10[[#This Row],[KOD_PRODUKTU]])</f>
        <v>VE-810R53</v>
      </c>
    </row>
    <row r="1298" spans="1:10" x14ac:dyDescent="0.25">
      <c r="A1298" s="7" t="s">
        <v>2686</v>
      </c>
      <c r="B1298" s="6" t="s">
        <v>2687</v>
      </c>
      <c r="C1298" s="7" t="s">
        <v>2708</v>
      </c>
      <c r="D1298" s="6" t="s">
        <v>2709</v>
      </c>
      <c r="E1298" s="6" t="s">
        <v>2710</v>
      </c>
      <c r="F1298" s="6" t="s">
        <v>121</v>
      </c>
      <c r="G1298" s="6" t="s">
        <v>50</v>
      </c>
      <c r="H1298" s="6">
        <v>8.75</v>
      </c>
      <c r="I1298" s="6" t="str">
        <f>_xlfn.CONCAT("Art. złączny do produktu ",Tabela10[[#This Row],[KOD_PRODUKTU]])</f>
        <v>Art. złączny do produktu 810R53</v>
      </c>
      <c r="J1298" s="6" t="str">
        <f>_xlfn.CONCAT("VE-",Tabela10[[#This Row],[KOD_PRODUKTU]])</f>
        <v>VE-810R53</v>
      </c>
    </row>
    <row r="1299" spans="1:10" x14ac:dyDescent="0.25">
      <c r="A1299" s="1" t="s">
        <v>2686</v>
      </c>
      <c r="B1299" t="s">
        <v>2687</v>
      </c>
      <c r="C1299" s="1" t="s">
        <v>684</v>
      </c>
      <c r="D1299" t="s">
        <v>685</v>
      </c>
      <c r="E1299" t="s">
        <v>686</v>
      </c>
      <c r="F1299" t="s">
        <v>49</v>
      </c>
      <c r="G1299" t="s">
        <v>2711</v>
      </c>
      <c r="H1299">
        <v>192.45</v>
      </c>
      <c r="I1299" s="6" t="str">
        <f>_xlfn.CONCAT("Art. złączny do produktu ",Tabela10[[#This Row],[KOD_PRODUKTU]])</f>
        <v>Art. złączny do produktu 810R53</v>
      </c>
      <c r="J1299" s="6" t="str">
        <f>_xlfn.CONCAT("VE-",Tabela10[[#This Row],[KOD_PRODUKTU]])</f>
        <v>VE-810R53</v>
      </c>
    </row>
    <row r="1300" spans="1:10" x14ac:dyDescent="0.25">
      <c r="A1300" s="7" t="s">
        <v>2686</v>
      </c>
      <c r="B1300" s="6" t="s">
        <v>2687</v>
      </c>
      <c r="C1300" s="7" t="s">
        <v>684</v>
      </c>
      <c r="D1300" s="6" t="s">
        <v>685</v>
      </c>
      <c r="E1300" s="6" t="s">
        <v>686</v>
      </c>
      <c r="F1300" s="6" t="s">
        <v>49</v>
      </c>
      <c r="G1300" s="6" t="s">
        <v>2712</v>
      </c>
      <c r="H1300" s="6">
        <v>204</v>
      </c>
      <c r="I1300" s="6" t="str">
        <f>_xlfn.CONCAT("Art. złączny do produktu ",Tabela10[[#This Row],[KOD_PRODUKTU]])</f>
        <v>Art. złączny do produktu 810R53</v>
      </c>
      <c r="J1300" s="6" t="str">
        <f>_xlfn.CONCAT("VE-",Tabela10[[#This Row],[KOD_PRODUKTU]])</f>
        <v>VE-810R53</v>
      </c>
    </row>
    <row r="1301" spans="1:10" x14ac:dyDescent="0.25">
      <c r="A1301" s="1" t="s">
        <v>2686</v>
      </c>
      <c r="B1301" t="s">
        <v>2687</v>
      </c>
      <c r="C1301" s="1" t="s">
        <v>541</v>
      </c>
      <c r="D1301" t="s">
        <v>542</v>
      </c>
      <c r="E1301" t="s">
        <v>811</v>
      </c>
      <c r="F1301" t="s">
        <v>10</v>
      </c>
      <c r="G1301" t="s">
        <v>861</v>
      </c>
      <c r="H1301">
        <v>286.88</v>
      </c>
      <c r="I1301" s="6" t="str">
        <f>_xlfn.CONCAT("Art. złączny do produktu ",Tabela10[[#This Row],[KOD_PRODUKTU]])</f>
        <v>Art. złączny do produktu 810R53</v>
      </c>
      <c r="J1301" s="6" t="str">
        <f>_xlfn.CONCAT("VE-",Tabela10[[#This Row],[KOD_PRODUKTU]])</f>
        <v>VE-810R53</v>
      </c>
    </row>
    <row r="1302" spans="1:10" x14ac:dyDescent="0.25">
      <c r="A1302" s="7" t="s">
        <v>2713</v>
      </c>
      <c r="B1302" s="6" t="s">
        <v>2714</v>
      </c>
      <c r="C1302" s="7" t="s">
        <v>2715</v>
      </c>
      <c r="D1302" s="6" t="s">
        <v>2716</v>
      </c>
      <c r="E1302" s="6" t="s">
        <v>2717</v>
      </c>
      <c r="F1302" s="6" t="s">
        <v>121</v>
      </c>
      <c r="G1302" s="6" t="s">
        <v>50</v>
      </c>
      <c r="H1302" s="6">
        <v>0.7</v>
      </c>
      <c r="I1302" s="6" t="str">
        <f>_xlfn.CONCAT("Art. złączny do produktu ",Tabela10[[#This Row],[KOD_PRODUKTU]])</f>
        <v>Art. złączny do produktu 810S72</v>
      </c>
      <c r="J1302" s="6" t="str">
        <f>_xlfn.CONCAT("VE-",Tabela10[[#This Row],[KOD_PRODUKTU]])</f>
        <v>VE-810S72</v>
      </c>
    </row>
    <row r="1303" spans="1:10" x14ac:dyDescent="0.25">
      <c r="A1303" s="1" t="s">
        <v>2713</v>
      </c>
      <c r="B1303" t="s">
        <v>2714</v>
      </c>
      <c r="C1303" s="1" t="s">
        <v>684</v>
      </c>
      <c r="D1303" t="s">
        <v>685</v>
      </c>
      <c r="E1303" t="s">
        <v>686</v>
      </c>
      <c r="F1303" t="s">
        <v>49</v>
      </c>
      <c r="G1303" t="s">
        <v>2718</v>
      </c>
      <c r="H1303">
        <v>12</v>
      </c>
      <c r="I1303" s="6" t="str">
        <f>_xlfn.CONCAT("Art. złączny do produktu ",Tabela10[[#This Row],[KOD_PRODUKTU]])</f>
        <v>Art. złączny do produktu 810S72</v>
      </c>
      <c r="J1303" s="6" t="str">
        <f>_xlfn.CONCAT("VE-",Tabela10[[#This Row],[KOD_PRODUKTU]])</f>
        <v>VE-810S72</v>
      </c>
    </row>
    <row r="1304" spans="1:10" x14ac:dyDescent="0.25">
      <c r="A1304" s="7" t="s">
        <v>2713</v>
      </c>
      <c r="B1304" s="6" t="s">
        <v>2714</v>
      </c>
      <c r="C1304" s="7" t="s">
        <v>541</v>
      </c>
      <c r="D1304" s="6" t="s">
        <v>542</v>
      </c>
      <c r="E1304" s="6" t="s">
        <v>811</v>
      </c>
      <c r="F1304" s="6" t="s">
        <v>10</v>
      </c>
      <c r="G1304" s="6" t="s">
        <v>992</v>
      </c>
      <c r="H1304" s="6">
        <v>38.25</v>
      </c>
      <c r="I1304" s="6" t="str">
        <f>_xlfn.CONCAT("Art. złączny do produktu ",Tabela10[[#This Row],[KOD_PRODUKTU]])</f>
        <v>Art. złączny do produktu 810S72</v>
      </c>
      <c r="J1304" s="6" t="str">
        <f>_xlfn.CONCAT("VE-",Tabela10[[#This Row],[KOD_PRODUKTU]])</f>
        <v>VE-810S72</v>
      </c>
    </row>
    <row r="1305" spans="1:10" x14ac:dyDescent="0.25">
      <c r="A1305" s="1" t="s">
        <v>2719</v>
      </c>
      <c r="B1305" t="s">
        <v>2720</v>
      </c>
      <c r="C1305" s="1" t="s">
        <v>2412</v>
      </c>
      <c r="D1305" t="s">
        <v>2413</v>
      </c>
      <c r="E1305" t="s">
        <v>423</v>
      </c>
      <c r="F1305" t="s">
        <v>121</v>
      </c>
      <c r="G1305" t="s">
        <v>50</v>
      </c>
      <c r="H1305">
        <v>2.8</v>
      </c>
      <c r="I1305" s="6" t="str">
        <f>_xlfn.CONCAT("Art. złączny do produktu ",Tabela10[[#This Row],[KOD_PRODUKTU]])</f>
        <v>Art. złączny do produktu 810S73</v>
      </c>
      <c r="J1305" s="6" t="str">
        <f>_xlfn.CONCAT("VE-",Tabela10[[#This Row],[KOD_PRODUKTU]])</f>
        <v>VE-810S73</v>
      </c>
    </row>
    <row r="1306" spans="1:10" x14ac:dyDescent="0.25">
      <c r="A1306" s="7" t="s">
        <v>2719</v>
      </c>
      <c r="B1306" s="6" t="s">
        <v>2720</v>
      </c>
      <c r="C1306" s="7" t="s">
        <v>684</v>
      </c>
      <c r="D1306" s="6" t="s">
        <v>685</v>
      </c>
      <c r="E1306" s="6" t="s">
        <v>686</v>
      </c>
      <c r="F1306" s="6" t="s">
        <v>49</v>
      </c>
      <c r="G1306" s="6" t="s">
        <v>2721</v>
      </c>
      <c r="H1306" s="6">
        <v>20.100000000000001</v>
      </c>
      <c r="I1306" s="6" t="str">
        <f>_xlfn.CONCAT("Art. złączny do produktu ",Tabela10[[#This Row],[KOD_PRODUKTU]])</f>
        <v>Art. złączny do produktu 810S73</v>
      </c>
      <c r="J1306" s="6" t="str">
        <f>_xlfn.CONCAT("VE-",Tabela10[[#This Row],[KOD_PRODUKTU]])</f>
        <v>VE-810S73</v>
      </c>
    </row>
    <row r="1307" spans="1:10" x14ac:dyDescent="0.25">
      <c r="A1307" s="1" t="s">
        <v>2719</v>
      </c>
      <c r="B1307" t="s">
        <v>2720</v>
      </c>
      <c r="C1307" s="1" t="s">
        <v>541</v>
      </c>
      <c r="D1307" t="s">
        <v>542</v>
      </c>
      <c r="E1307" t="s">
        <v>9</v>
      </c>
      <c r="F1307" t="s">
        <v>10</v>
      </c>
      <c r="G1307" t="s">
        <v>2471</v>
      </c>
      <c r="H1307">
        <v>12.1</v>
      </c>
      <c r="I1307" s="6" t="str">
        <f>_xlfn.CONCAT("Art. złączny do produktu ",Tabela10[[#This Row],[KOD_PRODUKTU]])</f>
        <v>Art. złączny do produktu 810S73</v>
      </c>
      <c r="J1307" s="6" t="str">
        <f>_xlfn.CONCAT("VE-",Tabela10[[#This Row],[KOD_PRODUKTU]])</f>
        <v>VE-810S73</v>
      </c>
    </row>
    <row r="1308" spans="1:10" x14ac:dyDescent="0.25">
      <c r="A1308" s="7" t="s">
        <v>2722</v>
      </c>
      <c r="B1308" s="6" t="s">
        <v>2723</v>
      </c>
      <c r="C1308" s="7" t="s">
        <v>2724</v>
      </c>
      <c r="D1308" s="6" t="s">
        <v>2725</v>
      </c>
      <c r="E1308" s="6" t="s">
        <v>343</v>
      </c>
      <c r="F1308" s="6" t="s">
        <v>121</v>
      </c>
      <c r="G1308" s="6" t="s">
        <v>50</v>
      </c>
      <c r="H1308" s="6">
        <v>3.4</v>
      </c>
      <c r="I1308" s="6" t="str">
        <f>_xlfn.CONCAT("Art. złączny do produktu ",Tabela10[[#This Row],[KOD_PRODUKTU]])</f>
        <v>Art. złączny do produktu 810S74</v>
      </c>
      <c r="J1308" s="6" t="str">
        <f>_xlfn.CONCAT("VE-",Tabela10[[#This Row],[KOD_PRODUKTU]])</f>
        <v>VE-810S74</v>
      </c>
    </row>
    <row r="1309" spans="1:10" x14ac:dyDescent="0.25">
      <c r="A1309" s="1" t="s">
        <v>2722</v>
      </c>
      <c r="B1309" t="s">
        <v>2723</v>
      </c>
      <c r="C1309" s="1" t="s">
        <v>684</v>
      </c>
      <c r="D1309" t="s">
        <v>685</v>
      </c>
      <c r="E1309" t="s">
        <v>686</v>
      </c>
      <c r="F1309" t="s">
        <v>49</v>
      </c>
      <c r="G1309" t="s">
        <v>983</v>
      </c>
      <c r="H1309">
        <v>18.100000000000001</v>
      </c>
      <c r="I1309" s="6" t="str">
        <f>_xlfn.CONCAT("Art. złączny do produktu ",Tabela10[[#This Row],[KOD_PRODUKTU]])</f>
        <v>Art. złączny do produktu 810S74</v>
      </c>
      <c r="J1309" s="6" t="str">
        <f>_xlfn.CONCAT("VE-",Tabela10[[#This Row],[KOD_PRODUKTU]])</f>
        <v>VE-810S74</v>
      </c>
    </row>
    <row r="1310" spans="1:10" x14ac:dyDescent="0.25">
      <c r="A1310" s="7" t="s">
        <v>2722</v>
      </c>
      <c r="B1310" s="6" t="s">
        <v>2723</v>
      </c>
      <c r="C1310" s="7" t="s">
        <v>541</v>
      </c>
      <c r="D1310" s="6" t="s">
        <v>542</v>
      </c>
      <c r="E1310" s="6" t="s">
        <v>811</v>
      </c>
      <c r="F1310" s="6" t="s">
        <v>10</v>
      </c>
      <c r="G1310" s="6" t="s">
        <v>992</v>
      </c>
      <c r="H1310" s="6">
        <v>38.25</v>
      </c>
      <c r="I1310" s="6" t="str">
        <f>_xlfn.CONCAT("Art. złączny do produktu ",Tabela10[[#This Row],[KOD_PRODUKTU]])</f>
        <v>Art. złączny do produktu 810S74</v>
      </c>
      <c r="J1310" s="6" t="str">
        <f>_xlfn.CONCAT("VE-",Tabela10[[#This Row],[KOD_PRODUKTU]])</f>
        <v>VE-810S74</v>
      </c>
    </row>
    <row r="1311" spans="1:10" x14ac:dyDescent="0.25">
      <c r="A1311" s="1" t="s">
        <v>2726</v>
      </c>
      <c r="B1311" t="s">
        <v>2727</v>
      </c>
      <c r="C1311" s="1" t="s">
        <v>1890</v>
      </c>
      <c r="D1311" t="s">
        <v>1891</v>
      </c>
      <c r="E1311" t="s">
        <v>2728</v>
      </c>
      <c r="F1311" t="s">
        <v>5</v>
      </c>
      <c r="G1311" t="s">
        <v>2729</v>
      </c>
      <c r="H1311">
        <v>0.02</v>
      </c>
      <c r="I1311" s="6" t="str">
        <f>_xlfn.CONCAT("Art. złączny do produktu ",Tabela10[[#This Row],[KOD_PRODUKTU]])</f>
        <v>Art. złączny do produktu 840K21</v>
      </c>
      <c r="J1311" s="6" t="str">
        <f>_xlfn.CONCAT("VE-",Tabela10[[#This Row],[KOD_PRODUKTU]])</f>
        <v>VE-840K21</v>
      </c>
    </row>
    <row r="1312" spans="1:10" x14ac:dyDescent="0.25">
      <c r="A1312" s="7" t="s">
        <v>2726</v>
      </c>
      <c r="B1312" s="6" t="s">
        <v>2727</v>
      </c>
      <c r="C1312" s="7" t="s">
        <v>2730</v>
      </c>
      <c r="D1312" s="6" t="s">
        <v>2731</v>
      </c>
      <c r="E1312" s="6" t="s">
        <v>2732</v>
      </c>
      <c r="F1312" s="6" t="s">
        <v>5</v>
      </c>
      <c r="G1312" s="6" t="s">
        <v>598</v>
      </c>
      <c r="H1312" s="6">
        <v>0.23</v>
      </c>
      <c r="I1312" s="6" t="str">
        <f>_xlfn.CONCAT("Art. złączny do produktu ",Tabela10[[#This Row],[KOD_PRODUKTU]])</f>
        <v>Art. złączny do produktu 840K21</v>
      </c>
      <c r="J1312" s="6" t="str">
        <f>_xlfn.CONCAT("VE-",Tabela10[[#This Row],[KOD_PRODUKTU]])</f>
        <v>VE-840K21</v>
      </c>
    </row>
    <row r="1313" spans="1:10" x14ac:dyDescent="0.25">
      <c r="A1313" s="1" t="s">
        <v>2726</v>
      </c>
      <c r="B1313" t="s">
        <v>2727</v>
      </c>
      <c r="C1313" s="1" t="s">
        <v>2733</v>
      </c>
      <c r="D1313" t="s">
        <v>2734</v>
      </c>
      <c r="E1313" t="s">
        <v>990</v>
      </c>
      <c r="F1313" t="s">
        <v>39</v>
      </c>
      <c r="G1313" t="s">
        <v>605</v>
      </c>
      <c r="H1313">
        <v>0.18</v>
      </c>
      <c r="I1313" s="6" t="str">
        <f>_xlfn.CONCAT("Art. złączny do produktu ",Tabela10[[#This Row],[KOD_PRODUKTU]])</f>
        <v>Art. złączny do produktu 840K21</v>
      </c>
      <c r="J1313" s="6" t="str">
        <f>_xlfn.CONCAT("VE-",Tabela10[[#This Row],[KOD_PRODUKTU]])</f>
        <v>VE-840K21</v>
      </c>
    </row>
    <row r="1314" spans="1:10" x14ac:dyDescent="0.25">
      <c r="A1314" s="7" t="s">
        <v>2726</v>
      </c>
      <c r="B1314" s="6" t="s">
        <v>2727</v>
      </c>
      <c r="C1314" s="7" t="s">
        <v>2735</v>
      </c>
      <c r="D1314" s="6" t="s">
        <v>2736</v>
      </c>
      <c r="E1314" s="6" t="s">
        <v>2737</v>
      </c>
      <c r="F1314" s="6" t="s">
        <v>121</v>
      </c>
      <c r="G1314" s="6" t="s">
        <v>319</v>
      </c>
      <c r="H1314" s="6">
        <v>4.62</v>
      </c>
      <c r="I1314" s="6" t="str">
        <f>_xlfn.CONCAT("Art. złączny do produktu ",Tabela10[[#This Row],[KOD_PRODUKTU]])</f>
        <v>Art. złączny do produktu 840K21</v>
      </c>
      <c r="J1314" s="6" t="str">
        <f>_xlfn.CONCAT("VE-",Tabela10[[#This Row],[KOD_PRODUKTU]])</f>
        <v>VE-840K21</v>
      </c>
    </row>
    <row r="1315" spans="1:10" x14ac:dyDescent="0.25">
      <c r="A1315" s="1" t="s">
        <v>2726</v>
      </c>
      <c r="B1315" t="s">
        <v>2727</v>
      </c>
      <c r="C1315" s="1" t="s">
        <v>2738</v>
      </c>
      <c r="D1315" t="s">
        <v>2739</v>
      </c>
      <c r="E1315" t="s">
        <v>168</v>
      </c>
      <c r="F1315" t="s">
        <v>121</v>
      </c>
      <c r="G1315" t="s">
        <v>2740</v>
      </c>
      <c r="H1315">
        <v>0.53</v>
      </c>
      <c r="I1315" s="6" t="str">
        <f>_xlfn.CONCAT("Art. złączny do produktu ",Tabela10[[#This Row],[KOD_PRODUKTU]])</f>
        <v>Art. złączny do produktu 840K21</v>
      </c>
      <c r="J1315" s="6" t="str">
        <f>_xlfn.CONCAT("VE-",Tabela10[[#This Row],[KOD_PRODUKTU]])</f>
        <v>VE-840K21</v>
      </c>
    </row>
    <row r="1316" spans="1:10" x14ac:dyDescent="0.25">
      <c r="A1316" s="7" t="s">
        <v>2726</v>
      </c>
      <c r="B1316" s="6" t="s">
        <v>2727</v>
      </c>
      <c r="C1316" s="7" t="s">
        <v>2741</v>
      </c>
      <c r="D1316" s="6" t="s">
        <v>2742</v>
      </c>
      <c r="E1316" s="6" t="s">
        <v>2743</v>
      </c>
      <c r="F1316" s="6" t="s">
        <v>121</v>
      </c>
      <c r="G1316" s="6" t="s">
        <v>122</v>
      </c>
      <c r="H1316" s="6">
        <v>0.36</v>
      </c>
      <c r="I1316" s="6" t="str">
        <f>_xlfn.CONCAT("Art. złączny do produktu ",Tabela10[[#This Row],[KOD_PRODUKTU]])</f>
        <v>Art. złączny do produktu 840K21</v>
      </c>
      <c r="J1316" s="6" t="str">
        <f>_xlfn.CONCAT("VE-",Tabela10[[#This Row],[KOD_PRODUKTU]])</f>
        <v>VE-840K21</v>
      </c>
    </row>
    <row r="1317" spans="1:10" x14ac:dyDescent="0.25">
      <c r="A1317" s="1" t="s">
        <v>2726</v>
      </c>
      <c r="B1317" t="s">
        <v>2727</v>
      </c>
      <c r="C1317" s="1" t="s">
        <v>41</v>
      </c>
      <c r="D1317" t="s">
        <v>42</v>
      </c>
      <c r="E1317" t="s">
        <v>513</v>
      </c>
      <c r="F1317" t="s">
        <v>5</v>
      </c>
      <c r="G1317" t="s">
        <v>1543</v>
      </c>
      <c r="H1317">
        <v>0.02</v>
      </c>
      <c r="I1317" s="6" t="str">
        <f>_xlfn.CONCAT("Art. złączny do produktu ",Tabela10[[#This Row],[KOD_PRODUKTU]])</f>
        <v>Art. złączny do produktu 840K21</v>
      </c>
      <c r="J1317" s="6" t="str">
        <f>_xlfn.CONCAT("VE-",Tabela10[[#This Row],[KOD_PRODUKTU]])</f>
        <v>VE-840K21</v>
      </c>
    </row>
    <row r="1318" spans="1:10" x14ac:dyDescent="0.25">
      <c r="A1318" s="7" t="s">
        <v>2726</v>
      </c>
      <c r="B1318" s="6" t="s">
        <v>2727</v>
      </c>
      <c r="C1318" s="7" t="s">
        <v>2744</v>
      </c>
      <c r="D1318" s="6" t="s">
        <v>2745</v>
      </c>
      <c r="E1318" s="6" t="s">
        <v>1675</v>
      </c>
      <c r="F1318" s="6" t="s">
        <v>49</v>
      </c>
      <c r="G1318" s="6" t="s">
        <v>50</v>
      </c>
      <c r="H1318" s="6">
        <v>20.8</v>
      </c>
      <c r="I1318" s="6" t="str">
        <f>_xlfn.CONCAT("Art. złączny do produktu ",Tabela10[[#This Row],[KOD_PRODUKTU]])</f>
        <v>Art. złączny do produktu 840K21</v>
      </c>
      <c r="J1318" s="6" t="str">
        <f>_xlfn.CONCAT("VE-",Tabela10[[#This Row],[KOD_PRODUKTU]])</f>
        <v>VE-840K21</v>
      </c>
    </row>
    <row r="1319" spans="1:10" x14ac:dyDescent="0.25">
      <c r="A1319" s="1" t="s">
        <v>2726</v>
      </c>
      <c r="B1319" t="s">
        <v>2727</v>
      </c>
      <c r="C1319" s="1" t="s">
        <v>2746</v>
      </c>
      <c r="D1319" t="s">
        <v>2747</v>
      </c>
      <c r="E1319" t="s">
        <v>876</v>
      </c>
      <c r="F1319" t="s">
        <v>49</v>
      </c>
      <c r="G1319" t="s">
        <v>92</v>
      </c>
      <c r="H1319">
        <v>24</v>
      </c>
      <c r="I1319" s="6" t="str">
        <f>_xlfn.CONCAT("Art. złączny do produktu ",Tabela10[[#This Row],[KOD_PRODUKTU]])</f>
        <v>Art. złączny do produktu 840K21</v>
      </c>
      <c r="J1319" s="6" t="str">
        <f>_xlfn.CONCAT("VE-",Tabela10[[#This Row],[KOD_PRODUKTU]])</f>
        <v>VE-840K21</v>
      </c>
    </row>
    <row r="1320" spans="1:10" x14ac:dyDescent="0.25">
      <c r="A1320" s="7" t="s">
        <v>2726</v>
      </c>
      <c r="B1320" s="6" t="s">
        <v>2727</v>
      </c>
      <c r="C1320" s="7" t="s">
        <v>2748</v>
      </c>
      <c r="D1320" s="6" t="s">
        <v>2749</v>
      </c>
      <c r="E1320" s="6" t="s">
        <v>2750</v>
      </c>
      <c r="F1320" s="6" t="s">
        <v>49</v>
      </c>
      <c r="G1320" s="6" t="s">
        <v>122</v>
      </c>
      <c r="H1320" s="6">
        <v>62.4</v>
      </c>
      <c r="I1320" s="6" t="str">
        <f>_xlfn.CONCAT("Art. złączny do produktu ",Tabela10[[#This Row],[KOD_PRODUKTU]])</f>
        <v>Art. złączny do produktu 840K21</v>
      </c>
      <c r="J1320" s="6" t="str">
        <f>_xlfn.CONCAT("VE-",Tabela10[[#This Row],[KOD_PRODUKTU]])</f>
        <v>VE-840K21</v>
      </c>
    </row>
    <row r="1321" spans="1:10" x14ac:dyDescent="0.25">
      <c r="A1321" s="1" t="s">
        <v>2726</v>
      </c>
      <c r="B1321" t="s">
        <v>2727</v>
      </c>
      <c r="C1321" s="1" t="s">
        <v>2751</v>
      </c>
      <c r="D1321" t="s">
        <v>2752</v>
      </c>
      <c r="E1321" t="s">
        <v>2036</v>
      </c>
      <c r="F1321" t="s">
        <v>49</v>
      </c>
      <c r="G1321" t="s">
        <v>122</v>
      </c>
      <c r="H1321">
        <v>3.2</v>
      </c>
      <c r="I1321" s="6" t="str">
        <f>_xlfn.CONCAT("Art. złączny do produktu ",Tabela10[[#This Row],[KOD_PRODUKTU]])</f>
        <v>Art. złączny do produktu 840K21</v>
      </c>
      <c r="J1321" s="6" t="str">
        <f>_xlfn.CONCAT("VE-",Tabela10[[#This Row],[KOD_PRODUKTU]])</f>
        <v>VE-840K21</v>
      </c>
    </row>
    <row r="1322" spans="1:10" x14ac:dyDescent="0.25">
      <c r="A1322" s="7" t="s">
        <v>2726</v>
      </c>
      <c r="B1322" s="6" t="s">
        <v>2727</v>
      </c>
      <c r="C1322" s="7" t="s">
        <v>1989</v>
      </c>
      <c r="D1322" s="6" t="s">
        <v>1990</v>
      </c>
      <c r="E1322" s="6" t="s">
        <v>1991</v>
      </c>
      <c r="F1322" s="6" t="s">
        <v>435</v>
      </c>
      <c r="G1322" s="6" t="s">
        <v>1359</v>
      </c>
      <c r="H1322" s="6">
        <v>13.8</v>
      </c>
      <c r="I1322" s="6" t="str">
        <f>_xlfn.CONCAT("Art. złączny do produktu ",Tabela10[[#This Row],[KOD_PRODUKTU]])</f>
        <v>Art. złączny do produktu 840K21</v>
      </c>
      <c r="J1322" s="6" t="str">
        <f>_xlfn.CONCAT("VE-",Tabela10[[#This Row],[KOD_PRODUKTU]])</f>
        <v>VE-840K21</v>
      </c>
    </row>
    <row r="1323" spans="1:10" x14ac:dyDescent="0.25">
      <c r="A1323" s="1" t="s">
        <v>2726</v>
      </c>
      <c r="B1323" t="s">
        <v>2727</v>
      </c>
      <c r="C1323" s="1" t="s">
        <v>541</v>
      </c>
      <c r="D1323" t="s">
        <v>542</v>
      </c>
      <c r="E1323" t="s">
        <v>9</v>
      </c>
      <c r="F1323" t="s">
        <v>10</v>
      </c>
      <c r="G1323" t="s">
        <v>2756</v>
      </c>
      <c r="H1323">
        <v>5.85</v>
      </c>
      <c r="I1323" s="6" t="str">
        <f>_xlfn.CONCAT("Art. złączny do produktu ",Tabela10[[#This Row],[KOD_PRODUKTU]])</f>
        <v>Art. złączny do produktu 840K21</v>
      </c>
      <c r="J1323" s="6" t="str">
        <f>_xlfn.CONCAT("VE-",Tabela10[[#This Row],[KOD_PRODUKTU]])</f>
        <v>VE-840K21</v>
      </c>
    </row>
    <row r="1324" spans="1:10" x14ac:dyDescent="0.25">
      <c r="A1324" s="7" t="s">
        <v>2726</v>
      </c>
      <c r="B1324" s="6" t="s">
        <v>2727</v>
      </c>
      <c r="C1324" s="7" t="s">
        <v>541</v>
      </c>
      <c r="D1324" s="6" t="s">
        <v>542</v>
      </c>
      <c r="E1324" s="6" t="s">
        <v>9</v>
      </c>
      <c r="F1324" s="6" t="s">
        <v>10</v>
      </c>
      <c r="G1324" s="6" t="s">
        <v>2757</v>
      </c>
      <c r="H1324" s="6">
        <v>15.97</v>
      </c>
      <c r="I1324" s="6" t="str">
        <f>_xlfn.CONCAT("Art. złączny do produktu ",Tabela10[[#This Row],[KOD_PRODUKTU]])</f>
        <v>Art. złączny do produktu 840K21</v>
      </c>
      <c r="J1324" s="6" t="str">
        <f>_xlfn.CONCAT("VE-",Tabela10[[#This Row],[KOD_PRODUKTU]])</f>
        <v>VE-840K21</v>
      </c>
    </row>
    <row r="1325" spans="1:10" x14ac:dyDescent="0.25">
      <c r="A1325" s="1" t="s">
        <v>2758</v>
      </c>
      <c r="B1325" t="s">
        <v>2759</v>
      </c>
      <c r="C1325" s="1" t="s">
        <v>2760</v>
      </c>
      <c r="D1325" t="s">
        <v>2761</v>
      </c>
      <c r="E1325" t="s">
        <v>1768</v>
      </c>
      <c r="F1325" t="s">
        <v>121</v>
      </c>
      <c r="G1325" t="s">
        <v>50</v>
      </c>
      <c r="H1325">
        <v>0</v>
      </c>
      <c r="I1325" s="6" t="str">
        <f>_xlfn.CONCAT("Art. złączny do produktu ",Tabela10[[#This Row],[KOD_PRODUKTU]])</f>
        <v>Art. złączny do produktu 843W19</v>
      </c>
      <c r="J1325" s="6" t="str">
        <f>_xlfn.CONCAT("VE-",Tabela10[[#This Row],[KOD_PRODUKTU]])</f>
        <v>VE-843W19</v>
      </c>
    </row>
    <row r="1326" spans="1:10" x14ac:dyDescent="0.25">
      <c r="A1326" s="7" t="s">
        <v>2758</v>
      </c>
      <c r="B1326" s="6" t="s">
        <v>2759</v>
      </c>
      <c r="C1326" s="7" t="s">
        <v>2762</v>
      </c>
      <c r="D1326" s="6" t="s">
        <v>2763</v>
      </c>
      <c r="E1326" s="6" t="s">
        <v>311</v>
      </c>
      <c r="F1326" s="6" t="s">
        <v>5</v>
      </c>
      <c r="G1326" s="6" t="s">
        <v>2764</v>
      </c>
      <c r="H1326" s="6">
        <v>18.850000000000001</v>
      </c>
      <c r="I1326" s="6" t="str">
        <f>_xlfn.CONCAT("Art. złączny do produktu ",Tabela10[[#This Row],[KOD_PRODUKTU]])</f>
        <v>Art. złączny do produktu 843W19</v>
      </c>
      <c r="J1326" s="6" t="str">
        <f>_xlfn.CONCAT("VE-",Tabela10[[#This Row],[KOD_PRODUKTU]])</f>
        <v>VE-843W19</v>
      </c>
    </row>
    <row r="1327" spans="1:10" x14ac:dyDescent="0.25">
      <c r="A1327" s="1" t="s">
        <v>2758</v>
      </c>
      <c r="B1327" t="s">
        <v>2759</v>
      </c>
      <c r="C1327" s="1" t="s">
        <v>2765</v>
      </c>
      <c r="D1327" t="s">
        <v>2766</v>
      </c>
      <c r="E1327" t="s">
        <v>2767</v>
      </c>
      <c r="F1327" t="s">
        <v>121</v>
      </c>
      <c r="G1327" t="s">
        <v>50</v>
      </c>
      <c r="H1327">
        <v>349</v>
      </c>
      <c r="I1327" s="6" t="str">
        <f>_xlfn.CONCAT("Art. złączny do produktu ",Tabela10[[#This Row],[KOD_PRODUKTU]])</f>
        <v>Art. złączny do produktu 843W19</v>
      </c>
      <c r="J1327" s="6" t="str">
        <f>_xlfn.CONCAT("VE-",Tabela10[[#This Row],[KOD_PRODUKTU]])</f>
        <v>VE-843W19</v>
      </c>
    </row>
    <row r="1328" spans="1:10" x14ac:dyDescent="0.25">
      <c r="A1328" s="7" t="s">
        <v>2758</v>
      </c>
      <c r="B1328" s="6" t="s">
        <v>2759</v>
      </c>
      <c r="C1328" s="7" t="s">
        <v>2768</v>
      </c>
      <c r="D1328" s="6" t="s">
        <v>2769</v>
      </c>
      <c r="E1328" s="6" t="s">
        <v>311</v>
      </c>
      <c r="F1328" s="6" t="s">
        <v>5</v>
      </c>
      <c r="G1328" s="6" t="s">
        <v>2770</v>
      </c>
      <c r="H1328" s="6">
        <v>0.03</v>
      </c>
      <c r="I1328" s="6" t="str">
        <f>_xlfn.CONCAT("Art. złączny do produktu ",Tabela10[[#This Row],[KOD_PRODUKTU]])</f>
        <v>Art. złączny do produktu 843W19</v>
      </c>
      <c r="J1328" s="6" t="str">
        <f>_xlfn.CONCAT("VE-",Tabela10[[#This Row],[KOD_PRODUKTU]])</f>
        <v>VE-843W19</v>
      </c>
    </row>
    <row r="1329" spans="1:10" x14ac:dyDescent="0.25">
      <c r="A1329" s="1" t="s">
        <v>2758</v>
      </c>
      <c r="B1329" t="s">
        <v>2759</v>
      </c>
      <c r="C1329" s="1" t="s">
        <v>2771</v>
      </c>
      <c r="D1329" t="s">
        <v>2772</v>
      </c>
      <c r="E1329" t="s">
        <v>1964</v>
      </c>
      <c r="F1329" t="s">
        <v>5</v>
      </c>
      <c r="G1329" t="s">
        <v>2773</v>
      </c>
      <c r="H1329">
        <v>0.53</v>
      </c>
      <c r="I1329" s="6" t="str">
        <f>_xlfn.CONCAT("Art. złączny do produktu ",Tabela10[[#This Row],[KOD_PRODUKTU]])</f>
        <v>Art. złączny do produktu 843W19</v>
      </c>
      <c r="J1329" s="6" t="str">
        <f>_xlfn.CONCAT("VE-",Tabela10[[#This Row],[KOD_PRODUKTU]])</f>
        <v>VE-843W19</v>
      </c>
    </row>
    <row r="1330" spans="1:10" x14ac:dyDescent="0.25">
      <c r="A1330" s="7" t="s">
        <v>2758</v>
      </c>
      <c r="B1330" s="6" t="s">
        <v>2759</v>
      </c>
      <c r="C1330" s="7" t="s">
        <v>2774</v>
      </c>
      <c r="D1330" s="6" t="s">
        <v>2775</v>
      </c>
      <c r="E1330" s="6" t="s">
        <v>2776</v>
      </c>
      <c r="F1330" s="6" t="s">
        <v>5</v>
      </c>
      <c r="G1330" s="6" t="s">
        <v>2777</v>
      </c>
      <c r="H1330" s="6">
        <v>0.38</v>
      </c>
      <c r="I1330" s="6" t="str">
        <f>_xlfn.CONCAT("Art. złączny do produktu ",Tabela10[[#This Row],[KOD_PRODUKTU]])</f>
        <v>Art. złączny do produktu 843W19</v>
      </c>
      <c r="J1330" s="6" t="str">
        <f>_xlfn.CONCAT("VE-",Tabela10[[#This Row],[KOD_PRODUKTU]])</f>
        <v>VE-843W19</v>
      </c>
    </row>
    <row r="1331" spans="1:10" x14ac:dyDescent="0.25">
      <c r="A1331" s="1" t="s">
        <v>2758</v>
      </c>
      <c r="B1331" t="s">
        <v>2759</v>
      </c>
      <c r="C1331" s="1" t="s">
        <v>2778</v>
      </c>
      <c r="D1331" t="s">
        <v>2779</v>
      </c>
      <c r="E1331" t="s">
        <v>2780</v>
      </c>
      <c r="F1331" t="s">
        <v>1965</v>
      </c>
      <c r="G1331" t="s">
        <v>605</v>
      </c>
      <c r="H1331">
        <v>1.87</v>
      </c>
      <c r="I1331" s="6" t="str">
        <f>_xlfn.CONCAT("Art. złączny do produktu ",Tabela10[[#This Row],[KOD_PRODUKTU]])</f>
        <v>Art. złączny do produktu 843W19</v>
      </c>
      <c r="J1331" s="6" t="str">
        <f>_xlfn.CONCAT("VE-",Tabela10[[#This Row],[KOD_PRODUKTU]])</f>
        <v>VE-843W19</v>
      </c>
    </row>
    <row r="1332" spans="1:10" x14ac:dyDescent="0.25">
      <c r="A1332" s="7" t="s">
        <v>2758</v>
      </c>
      <c r="B1332" s="6" t="s">
        <v>2759</v>
      </c>
      <c r="C1332" s="7" t="s">
        <v>2781</v>
      </c>
      <c r="D1332" s="6" t="s">
        <v>2782</v>
      </c>
      <c r="E1332" s="6" t="s">
        <v>2783</v>
      </c>
      <c r="F1332" s="6" t="s">
        <v>1965</v>
      </c>
      <c r="G1332" s="6" t="s">
        <v>605</v>
      </c>
      <c r="H1332" s="6">
        <v>1.1200000000000001</v>
      </c>
      <c r="I1332" s="6" t="str">
        <f>_xlfn.CONCAT("Art. złączny do produktu ",Tabela10[[#This Row],[KOD_PRODUKTU]])</f>
        <v>Art. złączny do produktu 843W19</v>
      </c>
      <c r="J1332" s="6" t="str">
        <f>_xlfn.CONCAT("VE-",Tabela10[[#This Row],[KOD_PRODUKTU]])</f>
        <v>VE-843W19</v>
      </c>
    </row>
    <row r="1333" spans="1:10" x14ac:dyDescent="0.25">
      <c r="A1333" s="1" t="s">
        <v>2758</v>
      </c>
      <c r="B1333" t="s">
        <v>2759</v>
      </c>
      <c r="C1333" s="1" t="s">
        <v>2784</v>
      </c>
      <c r="D1333" t="s">
        <v>2785</v>
      </c>
      <c r="E1333" t="s">
        <v>2786</v>
      </c>
      <c r="F1333" t="s">
        <v>5</v>
      </c>
      <c r="G1333" t="s">
        <v>2787</v>
      </c>
      <c r="H1333">
        <v>1.01</v>
      </c>
      <c r="I1333" s="6" t="str">
        <f>_xlfn.CONCAT("Art. złączny do produktu ",Tabela10[[#This Row],[KOD_PRODUKTU]])</f>
        <v>Art. złączny do produktu 843W19</v>
      </c>
      <c r="J1333" s="6" t="str">
        <f>_xlfn.CONCAT("VE-",Tabela10[[#This Row],[KOD_PRODUKTU]])</f>
        <v>VE-843W19</v>
      </c>
    </row>
    <row r="1334" spans="1:10" x14ac:dyDescent="0.25">
      <c r="A1334" s="7" t="s">
        <v>2758</v>
      </c>
      <c r="B1334" s="6" t="s">
        <v>2759</v>
      </c>
      <c r="C1334" s="7" t="s">
        <v>628</v>
      </c>
      <c r="D1334" s="6" t="s">
        <v>629</v>
      </c>
      <c r="E1334" s="6" t="s">
        <v>630</v>
      </c>
      <c r="F1334" s="6" t="s">
        <v>5</v>
      </c>
      <c r="G1334" s="6" t="s">
        <v>2788</v>
      </c>
      <c r="H1334" s="6">
        <v>0.08</v>
      </c>
      <c r="I1334" s="6" t="str">
        <f>_xlfn.CONCAT("Art. złączny do produktu ",Tabela10[[#This Row],[KOD_PRODUKTU]])</f>
        <v>Art. złączny do produktu 843W19</v>
      </c>
      <c r="J1334" s="6" t="str">
        <f>_xlfn.CONCAT("VE-",Tabela10[[#This Row],[KOD_PRODUKTU]])</f>
        <v>VE-843W19</v>
      </c>
    </row>
    <row r="1335" spans="1:10" x14ac:dyDescent="0.25">
      <c r="A1335" s="1" t="s">
        <v>2758</v>
      </c>
      <c r="B1335" t="s">
        <v>2759</v>
      </c>
      <c r="C1335" s="1" t="s">
        <v>483</v>
      </c>
      <c r="D1335" t="s">
        <v>484</v>
      </c>
      <c r="E1335" t="s">
        <v>2789</v>
      </c>
      <c r="F1335" t="s">
        <v>5</v>
      </c>
      <c r="G1335" t="s">
        <v>615</v>
      </c>
      <c r="H1335">
        <v>0.08</v>
      </c>
      <c r="I1335" s="6" t="str">
        <f>_xlfn.CONCAT("Art. złączny do produktu ",Tabela10[[#This Row],[KOD_PRODUKTU]])</f>
        <v>Art. złączny do produktu 843W19</v>
      </c>
      <c r="J1335" s="6" t="str">
        <f>_xlfn.CONCAT("VE-",Tabela10[[#This Row],[KOD_PRODUKTU]])</f>
        <v>VE-843W19</v>
      </c>
    </row>
    <row r="1336" spans="1:10" x14ac:dyDescent="0.25">
      <c r="A1336" s="7" t="s">
        <v>2758</v>
      </c>
      <c r="B1336" s="6" t="s">
        <v>2759</v>
      </c>
      <c r="C1336" s="7" t="s">
        <v>1971</v>
      </c>
      <c r="D1336" s="6" t="s">
        <v>1972</v>
      </c>
      <c r="E1336" s="6" t="s">
        <v>1964</v>
      </c>
      <c r="F1336" s="6" t="s">
        <v>5</v>
      </c>
      <c r="G1336" s="6" t="s">
        <v>2790</v>
      </c>
      <c r="H1336" s="6">
        <v>0.1</v>
      </c>
      <c r="I1336" s="6" t="str">
        <f>_xlfn.CONCAT("Art. złączny do produktu ",Tabela10[[#This Row],[KOD_PRODUKTU]])</f>
        <v>Art. złączny do produktu 843W19</v>
      </c>
      <c r="J1336" s="6" t="str">
        <f>_xlfn.CONCAT("VE-",Tabela10[[#This Row],[KOD_PRODUKTU]])</f>
        <v>VE-843W19</v>
      </c>
    </row>
    <row r="1337" spans="1:10" x14ac:dyDescent="0.25">
      <c r="A1337" s="1" t="s">
        <v>2758</v>
      </c>
      <c r="B1337" t="s">
        <v>2759</v>
      </c>
      <c r="C1337" s="1" t="s">
        <v>2791</v>
      </c>
      <c r="D1337" t="s">
        <v>2792</v>
      </c>
      <c r="E1337" t="s">
        <v>2793</v>
      </c>
      <c r="F1337" t="s">
        <v>121</v>
      </c>
      <c r="G1337" t="s">
        <v>367</v>
      </c>
      <c r="H1337">
        <v>0.94</v>
      </c>
      <c r="I1337" s="6" t="str">
        <f>_xlfn.CONCAT("Art. złączny do produktu ",Tabela10[[#This Row],[KOD_PRODUKTU]])</f>
        <v>Art. złączny do produktu 843W19</v>
      </c>
      <c r="J1337" s="6" t="str">
        <f>_xlfn.CONCAT("VE-",Tabela10[[#This Row],[KOD_PRODUKTU]])</f>
        <v>VE-843W19</v>
      </c>
    </row>
    <row r="1338" spans="1:10" x14ac:dyDescent="0.25">
      <c r="A1338" s="7" t="s">
        <v>2758</v>
      </c>
      <c r="B1338" s="6" t="s">
        <v>2759</v>
      </c>
      <c r="C1338" s="7" t="s">
        <v>2738</v>
      </c>
      <c r="D1338" s="6" t="s">
        <v>2739</v>
      </c>
      <c r="E1338" s="6" t="s">
        <v>168</v>
      </c>
      <c r="F1338" s="6" t="s">
        <v>121</v>
      </c>
      <c r="G1338" s="6" t="s">
        <v>1371</v>
      </c>
      <c r="H1338" s="6">
        <v>0.21</v>
      </c>
      <c r="I1338" s="6" t="str">
        <f>_xlfn.CONCAT("Art. złączny do produktu ",Tabela10[[#This Row],[KOD_PRODUKTU]])</f>
        <v>Art. złączny do produktu 843W19</v>
      </c>
      <c r="J1338" s="6" t="str">
        <f>_xlfn.CONCAT("VE-",Tabela10[[#This Row],[KOD_PRODUKTU]])</f>
        <v>VE-843W19</v>
      </c>
    </row>
    <row r="1339" spans="1:10" x14ac:dyDescent="0.25">
      <c r="A1339" s="1" t="s">
        <v>2758</v>
      </c>
      <c r="B1339" t="s">
        <v>2759</v>
      </c>
      <c r="C1339" s="1" t="s">
        <v>2794</v>
      </c>
      <c r="D1339" t="s">
        <v>2795</v>
      </c>
      <c r="E1339" t="s">
        <v>712</v>
      </c>
      <c r="F1339" t="s">
        <v>121</v>
      </c>
      <c r="G1339" t="s">
        <v>594</v>
      </c>
      <c r="H1339">
        <v>6.25</v>
      </c>
      <c r="I1339" s="6" t="str">
        <f>_xlfn.CONCAT("Art. złączny do produktu ",Tabela10[[#This Row],[KOD_PRODUKTU]])</f>
        <v>Art. złączny do produktu 843W19</v>
      </c>
      <c r="J1339" s="6" t="str">
        <f>_xlfn.CONCAT("VE-",Tabela10[[#This Row],[KOD_PRODUKTU]])</f>
        <v>VE-843W19</v>
      </c>
    </row>
    <row r="1340" spans="1:10" x14ac:dyDescent="0.25">
      <c r="A1340" s="7" t="s">
        <v>2758</v>
      </c>
      <c r="B1340" s="6" t="s">
        <v>2759</v>
      </c>
      <c r="C1340" s="7" t="s">
        <v>41</v>
      </c>
      <c r="D1340" s="6" t="s">
        <v>42</v>
      </c>
      <c r="E1340" s="6" t="s">
        <v>513</v>
      </c>
      <c r="F1340" s="6" t="s">
        <v>5</v>
      </c>
      <c r="G1340" s="6" t="s">
        <v>2796</v>
      </c>
      <c r="H1340" s="6">
        <v>0.3</v>
      </c>
      <c r="I1340" s="6" t="str">
        <f>_xlfn.CONCAT("Art. złączny do produktu ",Tabela10[[#This Row],[KOD_PRODUKTU]])</f>
        <v>Art. złączny do produktu 843W19</v>
      </c>
      <c r="J1340" s="6" t="str">
        <f>_xlfn.CONCAT("VE-",Tabela10[[#This Row],[KOD_PRODUKTU]])</f>
        <v>VE-843W19</v>
      </c>
    </row>
    <row r="1341" spans="1:10" x14ac:dyDescent="0.25">
      <c r="A1341" s="1" t="s">
        <v>2758</v>
      </c>
      <c r="B1341" t="s">
        <v>2759</v>
      </c>
      <c r="C1341" s="1" t="s">
        <v>2797</v>
      </c>
      <c r="D1341" t="s">
        <v>2798</v>
      </c>
      <c r="E1341" t="s">
        <v>2799</v>
      </c>
      <c r="F1341" t="s">
        <v>121</v>
      </c>
      <c r="G1341" t="s">
        <v>50</v>
      </c>
      <c r="H1341">
        <v>2.41</v>
      </c>
      <c r="I1341" s="6" t="str">
        <f>_xlfn.CONCAT("Art. złączny do produktu ",Tabela10[[#This Row],[KOD_PRODUKTU]])</f>
        <v>Art. złączny do produktu 843W19</v>
      </c>
      <c r="J1341" s="6" t="str">
        <f>_xlfn.CONCAT("VE-",Tabela10[[#This Row],[KOD_PRODUKTU]])</f>
        <v>VE-843W19</v>
      </c>
    </row>
    <row r="1342" spans="1:10" x14ac:dyDescent="0.25">
      <c r="A1342" s="7" t="s">
        <v>2758</v>
      </c>
      <c r="B1342" s="6" t="s">
        <v>2759</v>
      </c>
      <c r="C1342" s="7" t="s">
        <v>684</v>
      </c>
      <c r="D1342" s="6" t="s">
        <v>685</v>
      </c>
      <c r="E1342" s="6" t="s">
        <v>686</v>
      </c>
      <c r="F1342" s="6" t="s">
        <v>49</v>
      </c>
      <c r="G1342" s="6" t="s">
        <v>2821</v>
      </c>
      <c r="H1342" s="6">
        <v>8.75</v>
      </c>
      <c r="I1342" s="6" t="str">
        <f>_xlfn.CONCAT("Art. złączny do produktu ",Tabela10[[#This Row],[KOD_PRODUKTU]])</f>
        <v>Art. złączny do produktu 843W19</v>
      </c>
      <c r="J1342" s="6" t="str">
        <f>_xlfn.CONCAT("VE-",Tabela10[[#This Row],[KOD_PRODUKTU]])</f>
        <v>VE-843W19</v>
      </c>
    </row>
    <row r="1343" spans="1:10" x14ac:dyDescent="0.25">
      <c r="A1343" s="1" t="s">
        <v>2758</v>
      </c>
      <c r="B1343" t="s">
        <v>2759</v>
      </c>
      <c r="C1343" s="1" t="s">
        <v>684</v>
      </c>
      <c r="D1343" t="s">
        <v>685</v>
      </c>
      <c r="E1343" t="s">
        <v>686</v>
      </c>
      <c r="F1343" t="s">
        <v>49</v>
      </c>
      <c r="G1343" t="s">
        <v>2822</v>
      </c>
      <c r="H1343">
        <v>3.03</v>
      </c>
      <c r="I1343" s="6" t="str">
        <f>_xlfn.CONCAT("Art. złączny do produktu ",Tabela10[[#This Row],[KOD_PRODUKTU]])</f>
        <v>Art. złączny do produktu 843W19</v>
      </c>
      <c r="J1343" s="6" t="str">
        <f>_xlfn.CONCAT("VE-",Tabela10[[#This Row],[KOD_PRODUKTU]])</f>
        <v>VE-843W19</v>
      </c>
    </row>
    <row r="1344" spans="1:10" x14ac:dyDescent="0.25">
      <c r="A1344" s="7" t="s">
        <v>2758</v>
      </c>
      <c r="B1344" s="6" t="s">
        <v>2759</v>
      </c>
      <c r="C1344" s="7" t="s">
        <v>684</v>
      </c>
      <c r="D1344" s="6" t="s">
        <v>685</v>
      </c>
      <c r="E1344" s="6" t="s">
        <v>686</v>
      </c>
      <c r="F1344" s="6" t="s">
        <v>49</v>
      </c>
      <c r="G1344" s="6" t="s">
        <v>2823</v>
      </c>
      <c r="H1344" s="6">
        <v>1.95</v>
      </c>
      <c r="I1344" s="6" t="str">
        <f>_xlfn.CONCAT("Art. złączny do produktu ",Tabela10[[#This Row],[KOD_PRODUKTU]])</f>
        <v>Art. złączny do produktu 843W19</v>
      </c>
      <c r="J1344" s="6" t="str">
        <f>_xlfn.CONCAT("VE-",Tabela10[[#This Row],[KOD_PRODUKTU]])</f>
        <v>VE-843W19</v>
      </c>
    </row>
    <row r="1345" spans="1:10" x14ac:dyDescent="0.25">
      <c r="A1345" s="1" t="s">
        <v>2758</v>
      </c>
      <c r="B1345" t="s">
        <v>2759</v>
      </c>
      <c r="C1345" s="1" t="s">
        <v>541</v>
      </c>
      <c r="D1345" t="s">
        <v>542</v>
      </c>
      <c r="E1345" t="s">
        <v>9</v>
      </c>
      <c r="F1345" t="s">
        <v>10</v>
      </c>
      <c r="G1345" t="s">
        <v>2824</v>
      </c>
      <c r="H1345">
        <v>120.52</v>
      </c>
      <c r="I1345" s="6" t="str">
        <f>_xlfn.CONCAT("Art. złączny do produktu ",Tabela10[[#This Row],[KOD_PRODUKTU]])</f>
        <v>Art. złączny do produktu 843W19</v>
      </c>
      <c r="J1345" s="6" t="str">
        <f>_xlfn.CONCAT("VE-",Tabela10[[#This Row],[KOD_PRODUKTU]])</f>
        <v>VE-843W19</v>
      </c>
    </row>
    <row r="1346" spans="1:10" x14ac:dyDescent="0.25">
      <c r="A1346" s="7" t="s">
        <v>2758</v>
      </c>
      <c r="B1346" s="6" t="s">
        <v>2759</v>
      </c>
      <c r="C1346" s="7" t="s">
        <v>541</v>
      </c>
      <c r="D1346" s="6" t="s">
        <v>542</v>
      </c>
      <c r="E1346" s="6" t="s">
        <v>9</v>
      </c>
      <c r="F1346" s="6" t="s">
        <v>10</v>
      </c>
      <c r="G1346" s="6" t="s">
        <v>2825</v>
      </c>
      <c r="H1346" s="6">
        <v>24.15</v>
      </c>
      <c r="I1346" s="6" t="str">
        <f>_xlfn.CONCAT("Art. złączny do produktu ",Tabela10[[#This Row],[KOD_PRODUKTU]])</f>
        <v>Art. złączny do produktu 843W19</v>
      </c>
      <c r="J1346" s="6" t="str">
        <f>_xlfn.CONCAT("VE-",Tabela10[[#This Row],[KOD_PRODUKTU]])</f>
        <v>VE-843W19</v>
      </c>
    </row>
    <row r="1347" spans="1:10" x14ac:dyDescent="0.25">
      <c r="A1347" s="1" t="s">
        <v>2758</v>
      </c>
      <c r="B1347" t="s">
        <v>2759</v>
      </c>
      <c r="C1347" s="1" t="s">
        <v>541</v>
      </c>
      <c r="D1347" t="s">
        <v>542</v>
      </c>
      <c r="E1347" t="s">
        <v>9</v>
      </c>
      <c r="F1347" t="s">
        <v>10</v>
      </c>
      <c r="G1347" t="s">
        <v>2826</v>
      </c>
      <c r="H1347">
        <v>16.79</v>
      </c>
      <c r="I1347" s="6" t="str">
        <f>_xlfn.CONCAT("Art. złączny do produktu ",Tabela10[[#This Row],[KOD_PRODUKTU]])</f>
        <v>Art. złączny do produktu 843W19</v>
      </c>
      <c r="J1347" s="6" t="str">
        <f>_xlfn.CONCAT("VE-",Tabela10[[#This Row],[KOD_PRODUKTU]])</f>
        <v>VE-843W19</v>
      </c>
    </row>
    <row r="1348" spans="1:10" x14ac:dyDescent="0.25">
      <c r="A1348" s="7" t="s">
        <v>2827</v>
      </c>
      <c r="B1348" s="6" t="s">
        <v>2828</v>
      </c>
      <c r="C1348" s="7" t="s">
        <v>2760</v>
      </c>
      <c r="D1348" s="6" t="s">
        <v>2761</v>
      </c>
      <c r="E1348" s="6" t="s">
        <v>1768</v>
      </c>
      <c r="F1348" s="6" t="s">
        <v>121</v>
      </c>
      <c r="G1348" s="6" t="s">
        <v>50</v>
      </c>
      <c r="H1348" s="6">
        <v>0</v>
      </c>
      <c r="I1348" s="6" t="str">
        <f>_xlfn.CONCAT("Art. złączny do produktu ",Tabela10[[#This Row],[KOD_PRODUKTU]])</f>
        <v>Art. złączny do produktu 843W55</v>
      </c>
      <c r="J1348" s="6" t="str">
        <f>_xlfn.CONCAT("VE-",Tabela10[[#This Row],[KOD_PRODUKTU]])</f>
        <v>VE-843W55</v>
      </c>
    </row>
    <row r="1349" spans="1:10" x14ac:dyDescent="0.25">
      <c r="A1349" s="1" t="s">
        <v>2827</v>
      </c>
      <c r="B1349" t="s">
        <v>2828</v>
      </c>
      <c r="C1349" s="1" t="s">
        <v>2762</v>
      </c>
      <c r="D1349" t="s">
        <v>2763</v>
      </c>
      <c r="E1349" t="s">
        <v>311</v>
      </c>
      <c r="F1349" t="s">
        <v>5</v>
      </c>
      <c r="G1349" t="s">
        <v>2764</v>
      </c>
      <c r="H1349">
        <v>18.850000000000001</v>
      </c>
      <c r="I1349" s="6" t="str">
        <f>_xlfn.CONCAT("Art. złączny do produktu ",Tabela10[[#This Row],[KOD_PRODUKTU]])</f>
        <v>Art. złączny do produktu 843W55</v>
      </c>
      <c r="J1349" s="6" t="str">
        <f>_xlfn.CONCAT("VE-",Tabela10[[#This Row],[KOD_PRODUKTU]])</f>
        <v>VE-843W55</v>
      </c>
    </row>
    <row r="1350" spans="1:10" x14ac:dyDescent="0.25">
      <c r="A1350" s="7" t="s">
        <v>2827</v>
      </c>
      <c r="B1350" s="6" t="s">
        <v>2828</v>
      </c>
      <c r="C1350" s="7" t="s">
        <v>2765</v>
      </c>
      <c r="D1350" s="6" t="s">
        <v>2766</v>
      </c>
      <c r="E1350" s="6" t="s">
        <v>2767</v>
      </c>
      <c r="F1350" s="6" t="s">
        <v>121</v>
      </c>
      <c r="G1350" s="6" t="s">
        <v>50</v>
      </c>
      <c r="H1350" s="6">
        <v>349</v>
      </c>
      <c r="I1350" s="6" t="str">
        <f>_xlfn.CONCAT("Art. złączny do produktu ",Tabela10[[#This Row],[KOD_PRODUKTU]])</f>
        <v>Art. złączny do produktu 843W55</v>
      </c>
      <c r="J1350" s="6" t="str">
        <f>_xlfn.CONCAT("VE-",Tabela10[[#This Row],[KOD_PRODUKTU]])</f>
        <v>VE-843W55</v>
      </c>
    </row>
    <row r="1351" spans="1:10" x14ac:dyDescent="0.25">
      <c r="A1351" s="1" t="s">
        <v>2827</v>
      </c>
      <c r="B1351" t="s">
        <v>2828</v>
      </c>
      <c r="C1351" s="1" t="s">
        <v>2768</v>
      </c>
      <c r="D1351" t="s">
        <v>2769</v>
      </c>
      <c r="E1351" t="s">
        <v>311</v>
      </c>
      <c r="F1351" t="s">
        <v>5</v>
      </c>
      <c r="G1351" t="s">
        <v>2770</v>
      </c>
      <c r="H1351">
        <v>0.03</v>
      </c>
      <c r="I1351" s="6" t="str">
        <f>_xlfn.CONCAT("Art. złączny do produktu ",Tabela10[[#This Row],[KOD_PRODUKTU]])</f>
        <v>Art. złączny do produktu 843W55</v>
      </c>
      <c r="J1351" s="6" t="str">
        <f>_xlfn.CONCAT("VE-",Tabela10[[#This Row],[KOD_PRODUKTU]])</f>
        <v>VE-843W55</v>
      </c>
    </row>
    <row r="1352" spans="1:10" x14ac:dyDescent="0.25">
      <c r="A1352" s="7" t="s">
        <v>2827</v>
      </c>
      <c r="B1352" s="6" t="s">
        <v>2828</v>
      </c>
      <c r="C1352" s="7" t="s">
        <v>2771</v>
      </c>
      <c r="D1352" s="6" t="s">
        <v>2772</v>
      </c>
      <c r="E1352" s="6" t="s">
        <v>1964</v>
      </c>
      <c r="F1352" s="6" t="s">
        <v>5</v>
      </c>
      <c r="G1352" s="6" t="s">
        <v>2773</v>
      </c>
      <c r="H1352" s="6">
        <v>0.53</v>
      </c>
      <c r="I1352" s="6" t="str">
        <f>_xlfn.CONCAT("Art. złączny do produktu ",Tabela10[[#This Row],[KOD_PRODUKTU]])</f>
        <v>Art. złączny do produktu 843W55</v>
      </c>
      <c r="J1352" s="6" t="str">
        <f>_xlfn.CONCAT("VE-",Tabela10[[#This Row],[KOD_PRODUKTU]])</f>
        <v>VE-843W55</v>
      </c>
    </row>
    <row r="1353" spans="1:10" x14ac:dyDescent="0.25">
      <c r="A1353" s="1" t="s">
        <v>2827</v>
      </c>
      <c r="B1353" t="s">
        <v>2828</v>
      </c>
      <c r="C1353" s="1" t="s">
        <v>2774</v>
      </c>
      <c r="D1353" t="s">
        <v>2775</v>
      </c>
      <c r="E1353" t="s">
        <v>2776</v>
      </c>
      <c r="F1353" t="s">
        <v>5</v>
      </c>
      <c r="G1353" t="s">
        <v>2777</v>
      </c>
      <c r="H1353">
        <v>0.38</v>
      </c>
      <c r="I1353" s="6" t="str">
        <f>_xlfn.CONCAT("Art. złączny do produktu ",Tabela10[[#This Row],[KOD_PRODUKTU]])</f>
        <v>Art. złączny do produktu 843W55</v>
      </c>
      <c r="J1353" s="6" t="str">
        <f>_xlfn.CONCAT("VE-",Tabela10[[#This Row],[KOD_PRODUKTU]])</f>
        <v>VE-843W55</v>
      </c>
    </row>
    <row r="1354" spans="1:10" x14ac:dyDescent="0.25">
      <c r="A1354" s="7" t="s">
        <v>2827</v>
      </c>
      <c r="B1354" s="6" t="s">
        <v>2828</v>
      </c>
      <c r="C1354" s="7" t="s">
        <v>2778</v>
      </c>
      <c r="D1354" s="6" t="s">
        <v>2779</v>
      </c>
      <c r="E1354" s="6" t="s">
        <v>2780</v>
      </c>
      <c r="F1354" s="6" t="s">
        <v>1965</v>
      </c>
      <c r="G1354" s="6" t="s">
        <v>605</v>
      </c>
      <c r="H1354" s="6">
        <v>1.87</v>
      </c>
      <c r="I1354" s="6" t="str">
        <f>_xlfn.CONCAT("Art. złączny do produktu ",Tabela10[[#This Row],[KOD_PRODUKTU]])</f>
        <v>Art. złączny do produktu 843W55</v>
      </c>
      <c r="J1354" s="6" t="str">
        <f>_xlfn.CONCAT("VE-",Tabela10[[#This Row],[KOD_PRODUKTU]])</f>
        <v>VE-843W55</v>
      </c>
    </row>
    <row r="1355" spans="1:10" x14ac:dyDescent="0.25">
      <c r="A1355" s="1" t="s">
        <v>2827</v>
      </c>
      <c r="B1355" t="s">
        <v>2828</v>
      </c>
      <c r="C1355" s="1" t="s">
        <v>2781</v>
      </c>
      <c r="D1355" t="s">
        <v>2782</v>
      </c>
      <c r="E1355" t="s">
        <v>2783</v>
      </c>
      <c r="F1355" t="s">
        <v>1965</v>
      </c>
      <c r="G1355" t="s">
        <v>605</v>
      </c>
      <c r="H1355">
        <v>1.1200000000000001</v>
      </c>
      <c r="I1355" s="6" t="str">
        <f>_xlfn.CONCAT("Art. złączny do produktu ",Tabela10[[#This Row],[KOD_PRODUKTU]])</f>
        <v>Art. złączny do produktu 843W55</v>
      </c>
      <c r="J1355" s="6" t="str">
        <f>_xlfn.CONCAT("VE-",Tabela10[[#This Row],[KOD_PRODUKTU]])</f>
        <v>VE-843W55</v>
      </c>
    </row>
    <row r="1356" spans="1:10" x14ac:dyDescent="0.25">
      <c r="A1356" s="7" t="s">
        <v>2827</v>
      </c>
      <c r="B1356" s="6" t="s">
        <v>2828</v>
      </c>
      <c r="C1356" s="7" t="s">
        <v>2784</v>
      </c>
      <c r="D1356" s="6" t="s">
        <v>2785</v>
      </c>
      <c r="E1356" s="6" t="s">
        <v>2786</v>
      </c>
      <c r="F1356" s="6" t="s">
        <v>5</v>
      </c>
      <c r="G1356" s="6" t="s">
        <v>2787</v>
      </c>
      <c r="H1356" s="6">
        <v>1.01</v>
      </c>
      <c r="I1356" s="6" t="str">
        <f>_xlfn.CONCAT("Art. złączny do produktu ",Tabela10[[#This Row],[KOD_PRODUKTU]])</f>
        <v>Art. złączny do produktu 843W55</v>
      </c>
      <c r="J1356" s="6" t="str">
        <f>_xlfn.CONCAT("VE-",Tabela10[[#This Row],[KOD_PRODUKTU]])</f>
        <v>VE-843W55</v>
      </c>
    </row>
    <row r="1357" spans="1:10" x14ac:dyDescent="0.25">
      <c r="A1357" s="1" t="s">
        <v>2827</v>
      </c>
      <c r="B1357" t="s">
        <v>2828</v>
      </c>
      <c r="C1357" s="1" t="s">
        <v>628</v>
      </c>
      <c r="D1357" t="s">
        <v>629</v>
      </c>
      <c r="E1357" t="s">
        <v>630</v>
      </c>
      <c r="F1357" t="s">
        <v>5</v>
      </c>
      <c r="G1357" t="s">
        <v>2788</v>
      </c>
      <c r="H1357">
        <v>0.08</v>
      </c>
      <c r="I1357" s="6" t="str">
        <f>_xlfn.CONCAT("Art. złączny do produktu ",Tabela10[[#This Row],[KOD_PRODUKTU]])</f>
        <v>Art. złączny do produktu 843W55</v>
      </c>
      <c r="J1357" s="6" t="str">
        <f>_xlfn.CONCAT("VE-",Tabela10[[#This Row],[KOD_PRODUKTU]])</f>
        <v>VE-843W55</v>
      </c>
    </row>
    <row r="1358" spans="1:10" x14ac:dyDescent="0.25">
      <c r="A1358" s="7" t="s">
        <v>2827</v>
      </c>
      <c r="B1358" s="6" t="s">
        <v>2828</v>
      </c>
      <c r="C1358" s="7" t="s">
        <v>483</v>
      </c>
      <c r="D1358" s="6" t="s">
        <v>484</v>
      </c>
      <c r="E1358" s="6" t="s">
        <v>2789</v>
      </c>
      <c r="F1358" s="6" t="s">
        <v>5</v>
      </c>
      <c r="G1358" s="6" t="s">
        <v>615</v>
      </c>
      <c r="H1358" s="6">
        <v>0.08</v>
      </c>
      <c r="I1358" s="6" t="str">
        <f>_xlfn.CONCAT("Art. złączny do produktu ",Tabela10[[#This Row],[KOD_PRODUKTU]])</f>
        <v>Art. złączny do produktu 843W55</v>
      </c>
      <c r="J1358" s="6" t="str">
        <f>_xlfn.CONCAT("VE-",Tabela10[[#This Row],[KOD_PRODUKTU]])</f>
        <v>VE-843W55</v>
      </c>
    </row>
    <row r="1359" spans="1:10" x14ac:dyDescent="0.25">
      <c r="A1359" s="1" t="s">
        <v>2827</v>
      </c>
      <c r="B1359" t="s">
        <v>2828</v>
      </c>
      <c r="C1359" s="1" t="s">
        <v>1971</v>
      </c>
      <c r="D1359" t="s">
        <v>1972</v>
      </c>
      <c r="E1359" t="s">
        <v>1964</v>
      </c>
      <c r="F1359" t="s">
        <v>5</v>
      </c>
      <c r="G1359" t="s">
        <v>2790</v>
      </c>
      <c r="H1359">
        <v>0.1</v>
      </c>
      <c r="I1359" s="6" t="str">
        <f>_xlfn.CONCAT("Art. złączny do produktu ",Tabela10[[#This Row],[KOD_PRODUKTU]])</f>
        <v>Art. złączny do produktu 843W55</v>
      </c>
      <c r="J1359" s="6" t="str">
        <f>_xlfn.CONCAT("VE-",Tabela10[[#This Row],[KOD_PRODUKTU]])</f>
        <v>VE-843W55</v>
      </c>
    </row>
    <row r="1360" spans="1:10" x14ac:dyDescent="0.25">
      <c r="A1360" s="7" t="s">
        <v>2827</v>
      </c>
      <c r="B1360" s="6" t="s">
        <v>2828</v>
      </c>
      <c r="C1360" s="7" t="s">
        <v>2791</v>
      </c>
      <c r="D1360" s="6" t="s">
        <v>2792</v>
      </c>
      <c r="E1360" s="6" t="s">
        <v>2793</v>
      </c>
      <c r="F1360" s="6" t="s">
        <v>121</v>
      </c>
      <c r="G1360" s="6" t="s">
        <v>367</v>
      </c>
      <c r="H1360" s="6">
        <v>0.94</v>
      </c>
      <c r="I1360" s="6" t="str">
        <f>_xlfn.CONCAT("Art. złączny do produktu ",Tabela10[[#This Row],[KOD_PRODUKTU]])</f>
        <v>Art. złączny do produktu 843W55</v>
      </c>
      <c r="J1360" s="6" t="str">
        <f>_xlfn.CONCAT("VE-",Tabela10[[#This Row],[KOD_PRODUKTU]])</f>
        <v>VE-843W55</v>
      </c>
    </row>
    <row r="1361" spans="1:10" x14ac:dyDescent="0.25">
      <c r="A1361" s="1" t="s">
        <v>2827</v>
      </c>
      <c r="B1361" t="s">
        <v>2828</v>
      </c>
      <c r="C1361" s="1" t="s">
        <v>2738</v>
      </c>
      <c r="D1361" t="s">
        <v>2739</v>
      </c>
      <c r="E1361" t="s">
        <v>168</v>
      </c>
      <c r="F1361" t="s">
        <v>121</v>
      </c>
      <c r="G1361" t="s">
        <v>1371</v>
      </c>
      <c r="H1361">
        <v>0.21</v>
      </c>
      <c r="I1361" s="6" t="str">
        <f>_xlfn.CONCAT("Art. złączny do produktu ",Tabela10[[#This Row],[KOD_PRODUKTU]])</f>
        <v>Art. złączny do produktu 843W55</v>
      </c>
      <c r="J1361" s="6" t="str">
        <f>_xlfn.CONCAT("VE-",Tabela10[[#This Row],[KOD_PRODUKTU]])</f>
        <v>VE-843W55</v>
      </c>
    </row>
    <row r="1362" spans="1:10" x14ac:dyDescent="0.25">
      <c r="A1362" s="7" t="s">
        <v>2827</v>
      </c>
      <c r="B1362" s="6" t="s">
        <v>2828</v>
      </c>
      <c r="C1362" s="7" t="s">
        <v>2794</v>
      </c>
      <c r="D1362" s="6" t="s">
        <v>2795</v>
      </c>
      <c r="E1362" s="6" t="s">
        <v>712</v>
      </c>
      <c r="F1362" s="6" t="s">
        <v>121</v>
      </c>
      <c r="G1362" s="6" t="s">
        <v>594</v>
      </c>
      <c r="H1362" s="6">
        <v>6.25</v>
      </c>
      <c r="I1362" s="6" t="str">
        <f>_xlfn.CONCAT("Art. złączny do produktu ",Tabela10[[#This Row],[KOD_PRODUKTU]])</f>
        <v>Art. złączny do produktu 843W55</v>
      </c>
      <c r="J1362" s="6" t="str">
        <f>_xlfn.CONCAT("VE-",Tabela10[[#This Row],[KOD_PRODUKTU]])</f>
        <v>VE-843W55</v>
      </c>
    </row>
    <row r="1363" spans="1:10" x14ac:dyDescent="0.25">
      <c r="A1363" s="1" t="s">
        <v>2827</v>
      </c>
      <c r="B1363" t="s">
        <v>2828</v>
      </c>
      <c r="C1363" s="1" t="s">
        <v>41</v>
      </c>
      <c r="D1363" t="s">
        <v>42</v>
      </c>
      <c r="E1363" t="s">
        <v>513</v>
      </c>
      <c r="F1363" t="s">
        <v>5</v>
      </c>
      <c r="G1363" t="s">
        <v>2796</v>
      </c>
      <c r="H1363">
        <v>0.3</v>
      </c>
      <c r="I1363" s="6" t="str">
        <f>_xlfn.CONCAT("Art. złączny do produktu ",Tabela10[[#This Row],[KOD_PRODUKTU]])</f>
        <v>Art. złączny do produktu 843W55</v>
      </c>
      <c r="J1363" s="6" t="str">
        <f>_xlfn.CONCAT("VE-",Tabela10[[#This Row],[KOD_PRODUKTU]])</f>
        <v>VE-843W55</v>
      </c>
    </row>
    <row r="1364" spans="1:10" x14ac:dyDescent="0.25">
      <c r="A1364" s="7" t="s">
        <v>2827</v>
      </c>
      <c r="B1364" s="6" t="s">
        <v>2828</v>
      </c>
      <c r="C1364" s="7" t="s">
        <v>2797</v>
      </c>
      <c r="D1364" s="6" t="s">
        <v>2798</v>
      </c>
      <c r="E1364" s="6" t="s">
        <v>2799</v>
      </c>
      <c r="F1364" s="6" t="s">
        <v>121</v>
      </c>
      <c r="G1364" s="6" t="s">
        <v>50</v>
      </c>
      <c r="H1364" s="6">
        <v>2.41</v>
      </c>
      <c r="I1364" s="6" t="str">
        <f>_xlfn.CONCAT("Art. złączny do produktu ",Tabela10[[#This Row],[KOD_PRODUKTU]])</f>
        <v>Art. złączny do produktu 843W55</v>
      </c>
      <c r="J1364" s="6" t="str">
        <f>_xlfn.CONCAT("VE-",Tabela10[[#This Row],[KOD_PRODUKTU]])</f>
        <v>VE-843W55</v>
      </c>
    </row>
    <row r="1365" spans="1:10" x14ac:dyDescent="0.25">
      <c r="A1365" s="1" t="s">
        <v>2827</v>
      </c>
      <c r="B1365" t="s">
        <v>2828</v>
      </c>
      <c r="C1365" s="1" t="s">
        <v>684</v>
      </c>
      <c r="D1365" t="s">
        <v>685</v>
      </c>
      <c r="E1365" t="s">
        <v>686</v>
      </c>
      <c r="F1365" t="s">
        <v>49</v>
      </c>
      <c r="G1365" t="s">
        <v>2821</v>
      </c>
      <c r="H1365">
        <v>8.75</v>
      </c>
      <c r="I1365" s="6" t="str">
        <f>_xlfn.CONCAT("Art. złączny do produktu ",Tabela10[[#This Row],[KOD_PRODUKTU]])</f>
        <v>Art. złączny do produktu 843W55</v>
      </c>
      <c r="J1365" s="6" t="str">
        <f>_xlfn.CONCAT("VE-",Tabela10[[#This Row],[KOD_PRODUKTU]])</f>
        <v>VE-843W55</v>
      </c>
    </row>
    <row r="1366" spans="1:10" x14ac:dyDescent="0.25">
      <c r="A1366" s="7" t="s">
        <v>2827</v>
      </c>
      <c r="B1366" s="6" t="s">
        <v>2828</v>
      </c>
      <c r="C1366" s="7" t="s">
        <v>684</v>
      </c>
      <c r="D1366" s="6" t="s">
        <v>685</v>
      </c>
      <c r="E1366" s="6" t="s">
        <v>686</v>
      </c>
      <c r="F1366" s="6" t="s">
        <v>49</v>
      </c>
      <c r="G1366" s="6" t="s">
        <v>2822</v>
      </c>
      <c r="H1366" s="6">
        <v>3.03</v>
      </c>
      <c r="I1366" s="6" t="str">
        <f>_xlfn.CONCAT("Art. złączny do produktu ",Tabela10[[#This Row],[KOD_PRODUKTU]])</f>
        <v>Art. złączny do produktu 843W55</v>
      </c>
      <c r="J1366" s="6" t="str">
        <f>_xlfn.CONCAT("VE-",Tabela10[[#This Row],[KOD_PRODUKTU]])</f>
        <v>VE-843W55</v>
      </c>
    </row>
    <row r="1367" spans="1:10" x14ac:dyDescent="0.25">
      <c r="A1367" s="1" t="s">
        <v>2827</v>
      </c>
      <c r="B1367" t="s">
        <v>2828</v>
      </c>
      <c r="C1367" s="1" t="s">
        <v>684</v>
      </c>
      <c r="D1367" t="s">
        <v>685</v>
      </c>
      <c r="E1367" t="s">
        <v>686</v>
      </c>
      <c r="F1367" t="s">
        <v>49</v>
      </c>
      <c r="G1367" t="s">
        <v>2823</v>
      </c>
      <c r="H1367">
        <v>1.95</v>
      </c>
      <c r="I1367" s="6" t="str">
        <f>_xlfn.CONCAT("Art. złączny do produktu ",Tabela10[[#This Row],[KOD_PRODUKTU]])</f>
        <v>Art. złączny do produktu 843W55</v>
      </c>
      <c r="J1367" s="6" t="str">
        <f>_xlfn.CONCAT("VE-",Tabela10[[#This Row],[KOD_PRODUKTU]])</f>
        <v>VE-843W55</v>
      </c>
    </row>
    <row r="1368" spans="1:10" x14ac:dyDescent="0.25">
      <c r="A1368" s="7" t="s">
        <v>2827</v>
      </c>
      <c r="B1368" s="6" t="s">
        <v>2828</v>
      </c>
      <c r="C1368" s="7" t="s">
        <v>541</v>
      </c>
      <c r="D1368" s="6" t="s">
        <v>542</v>
      </c>
      <c r="E1368" s="6" t="s">
        <v>9</v>
      </c>
      <c r="F1368" s="6" t="s">
        <v>10</v>
      </c>
      <c r="G1368" s="6" t="s">
        <v>2829</v>
      </c>
      <c r="H1368" s="6">
        <v>120.58</v>
      </c>
      <c r="I1368" s="6" t="str">
        <f>_xlfn.CONCAT("Art. złączny do produktu ",Tabela10[[#This Row],[KOD_PRODUKTU]])</f>
        <v>Art. złączny do produktu 843W55</v>
      </c>
      <c r="J1368" s="6" t="str">
        <f>_xlfn.CONCAT("VE-",Tabela10[[#This Row],[KOD_PRODUKTU]])</f>
        <v>VE-843W55</v>
      </c>
    </row>
    <row r="1369" spans="1:10" x14ac:dyDescent="0.25">
      <c r="A1369" s="1" t="s">
        <v>2827</v>
      </c>
      <c r="B1369" t="s">
        <v>2828</v>
      </c>
      <c r="C1369" s="1" t="s">
        <v>541</v>
      </c>
      <c r="D1369" t="s">
        <v>542</v>
      </c>
      <c r="E1369" t="s">
        <v>9</v>
      </c>
      <c r="F1369" t="s">
        <v>10</v>
      </c>
      <c r="G1369" t="s">
        <v>2825</v>
      </c>
      <c r="H1369">
        <v>24.15</v>
      </c>
      <c r="I1369" s="6" t="str">
        <f>_xlfn.CONCAT("Art. złączny do produktu ",Tabela10[[#This Row],[KOD_PRODUKTU]])</f>
        <v>Art. złączny do produktu 843W55</v>
      </c>
      <c r="J1369" s="6" t="str">
        <f>_xlfn.CONCAT("VE-",Tabela10[[#This Row],[KOD_PRODUKTU]])</f>
        <v>VE-843W55</v>
      </c>
    </row>
    <row r="1370" spans="1:10" x14ac:dyDescent="0.25">
      <c r="A1370" s="7" t="s">
        <v>2827</v>
      </c>
      <c r="B1370" s="6" t="s">
        <v>2828</v>
      </c>
      <c r="C1370" s="7" t="s">
        <v>541</v>
      </c>
      <c r="D1370" s="6" t="s">
        <v>542</v>
      </c>
      <c r="E1370" s="6" t="s">
        <v>9</v>
      </c>
      <c r="F1370" s="6" t="s">
        <v>10</v>
      </c>
      <c r="G1370" s="6" t="s">
        <v>2826</v>
      </c>
      <c r="H1370" s="6">
        <v>16.79</v>
      </c>
      <c r="I1370" s="6" t="str">
        <f>_xlfn.CONCAT("Art. złączny do produktu ",Tabela10[[#This Row],[KOD_PRODUKTU]])</f>
        <v>Art. złączny do produktu 843W55</v>
      </c>
      <c r="J1370" s="6" t="str">
        <f>_xlfn.CONCAT("VE-",Tabela10[[#This Row],[KOD_PRODUKTU]])</f>
        <v>VE-843W55</v>
      </c>
    </row>
    <row r="1371" spans="1:10" x14ac:dyDescent="0.25">
      <c r="A1371" s="1" t="s">
        <v>2830</v>
      </c>
      <c r="B1371" t="s">
        <v>2831</v>
      </c>
      <c r="C1371" s="1" t="s">
        <v>2832</v>
      </c>
      <c r="D1371" t="s">
        <v>2833</v>
      </c>
      <c r="E1371" t="s">
        <v>2834</v>
      </c>
      <c r="F1371" t="s">
        <v>121</v>
      </c>
      <c r="G1371" t="s">
        <v>50</v>
      </c>
      <c r="H1371">
        <v>592</v>
      </c>
      <c r="I1371" s="6" t="str">
        <f>_xlfn.CONCAT("Art. złączny do produktu ",Tabela10[[#This Row],[KOD_PRODUKTU]])</f>
        <v>Art. złączny do produktu 843W65</v>
      </c>
      <c r="J1371" s="6" t="str">
        <f>_xlfn.CONCAT("VE-",Tabela10[[#This Row],[KOD_PRODUKTU]])</f>
        <v>VE-843W65</v>
      </c>
    </row>
    <row r="1372" spans="1:10" x14ac:dyDescent="0.25">
      <c r="A1372" s="7" t="s">
        <v>2830</v>
      </c>
      <c r="B1372" s="6" t="s">
        <v>2831</v>
      </c>
      <c r="C1372" s="7" t="s">
        <v>2835</v>
      </c>
      <c r="D1372" s="6" t="s">
        <v>2836</v>
      </c>
      <c r="E1372" s="6" t="s">
        <v>2837</v>
      </c>
      <c r="F1372" s="6" t="s">
        <v>5</v>
      </c>
      <c r="G1372" s="6" t="s">
        <v>2838</v>
      </c>
      <c r="H1372" s="6">
        <v>2.35</v>
      </c>
      <c r="I1372" s="6" t="str">
        <f>_xlfn.CONCAT("Art. złączny do produktu ",Tabela10[[#This Row],[KOD_PRODUKTU]])</f>
        <v>Art. złączny do produktu 843W65</v>
      </c>
      <c r="J1372" s="6" t="str">
        <f>_xlfn.CONCAT("VE-",Tabela10[[#This Row],[KOD_PRODUKTU]])</f>
        <v>VE-843W65</v>
      </c>
    </row>
    <row r="1373" spans="1:10" x14ac:dyDescent="0.25">
      <c r="A1373" s="1" t="s">
        <v>2830</v>
      </c>
      <c r="B1373" t="s">
        <v>2831</v>
      </c>
      <c r="C1373" s="1" t="s">
        <v>2839</v>
      </c>
      <c r="D1373" t="s">
        <v>2840</v>
      </c>
      <c r="E1373" t="s">
        <v>2841</v>
      </c>
      <c r="F1373" t="s">
        <v>5</v>
      </c>
      <c r="G1373" t="s">
        <v>1428</v>
      </c>
      <c r="H1373">
        <v>1.1399999999999999</v>
      </c>
      <c r="I1373" s="6" t="str">
        <f>_xlfn.CONCAT("Art. złączny do produktu ",Tabela10[[#This Row],[KOD_PRODUKTU]])</f>
        <v>Art. złączny do produktu 843W65</v>
      </c>
      <c r="J1373" s="6" t="str">
        <f>_xlfn.CONCAT("VE-",Tabela10[[#This Row],[KOD_PRODUKTU]])</f>
        <v>VE-843W65</v>
      </c>
    </row>
    <row r="1374" spans="1:10" x14ac:dyDescent="0.25">
      <c r="A1374" s="7" t="s">
        <v>2830</v>
      </c>
      <c r="B1374" s="6" t="s">
        <v>2831</v>
      </c>
      <c r="C1374" s="7" t="s">
        <v>2842</v>
      </c>
      <c r="D1374" s="6" t="s">
        <v>2843</v>
      </c>
      <c r="E1374" s="6" t="s">
        <v>1768</v>
      </c>
      <c r="F1374" s="6" t="s">
        <v>1965</v>
      </c>
      <c r="G1374" s="6" t="s">
        <v>605</v>
      </c>
      <c r="H1374" s="6">
        <v>0</v>
      </c>
      <c r="I1374" s="6" t="str">
        <f>_xlfn.CONCAT("Art. złączny do produktu ",Tabela10[[#This Row],[KOD_PRODUKTU]])</f>
        <v>Art. złączny do produktu 843W65</v>
      </c>
      <c r="J1374" s="6" t="str">
        <f>_xlfn.CONCAT("VE-",Tabela10[[#This Row],[KOD_PRODUKTU]])</f>
        <v>VE-843W65</v>
      </c>
    </row>
    <row r="1375" spans="1:10" x14ac:dyDescent="0.25">
      <c r="A1375" s="1" t="s">
        <v>2830</v>
      </c>
      <c r="B1375" t="s">
        <v>2831</v>
      </c>
      <c r="C1375" s="1" t="s">
        <v>628</v>
      </c>
      <c r="D1375" t="s">
        <v>629</v>
      </c>
      <c r="E1375" t="s">
        <v>630</v>
      </c>
      <c r="F1375" t="s">
        <v>5</v>
      </c>
      <c r="G1375" t="s">
        <v>2788</v>
      </c>
      <c r="H1375">
        <v>0.08</v>
      </c>
      <c r="I1375" s="6" t="str">
        <f>_xlfn.CONCAT("Art. złączny do produktu ",Tabela10[[#This Row],[KOD_PRODUKTU]])</f>
        <v>Art. złączny do produktu 843W65</v>
      </c>
      <c r="J1375" s="6" t="str">
        <f>_xlfn.CONCAT("VE-",Tabela10[[#This Row],[KOD_PRODUKTU]])</f>
        <v>VE-843W65</v>
      </c>
    </row>
    <row r="1376" spans="1:10" x14ac:dyDescent="0.25">
      <c r="A1376" s="7" t="s">
        <v>2830</v>
      </c>
      <c r="B1376" s="6" t="s">
        <v>2831</v>
      </c>
      <c r="C1376" s="7" t="s">
        <v>483</v>
      </c>
      <c r="D1376" s="6" t="s">
        <v>484</v>
      </c>
      <c r="E1376" s="6" t="s">
        <v>2789</v>
      </c>
      <c r="F1376" s="6" t="s">
        <v>5</v>
      </c>
      <c r="G1376" s="6" t="s">
        <v>615</v>
      </c>
      <c r="H1376" s="6">
        <v>0.08</v>
      </c>
      <c r="I1376" s="6" t="str">
        <f>_xlfn.CONCAT("Art. złączny do produktu ",Tabela10[[#This Row],[KOD_PRODUKTU]])</f>
        <v>Art. złączny do produktu 843W65</v>
      </c>
      <c r="J1376" s="6" t="str">
        <f>_xlfn.CONCAT("VE-",Tabela10[[#This Row],[KOD_PRODUKTU]])</f>
        <v>VE-843W65</v>
      </c>
    </row>
    <row r="1377" spans="1:10" x14ac:dyDescent="0.25">
      <c r="A1377" s="1" t="s">
        <v>2830</v>
      </c>
      <c r="B1377" t="s">
        <v>2831</v>
      </c>
      <c r="C1377" s="1" t="s">
        <v>2844</v>
      </c>
      <c r="D1377" t="s">
        <v>2845</v>
      </c>
      <c r="E1377" t="s">
        <v>2846</v>
      </c>
      <c r="F1377" t="s">
        <v>5</v>
      </c>
      <c r="G1377" t="s">
        <v>2847</v>
      </c>
      <c r="H1377">
        <v>0.11</v>
      </c>
      <c r="I1377" s="6" t="str">
        <f>_xlfn.CONCAT("Art. złączny do produktu ",Tabela10[[#This Row],[KOD_PRODUKTU]])</f>
        <v>Art. złączny do produktu 843W65</v>
      </c>
      <c r="J1377" s="6" t="str">
        <f>_xlfn.CONCAT("VE-",Tabela10[[#This Row],[KOD_PRODUKTU]])</f>
        <v>VE-843W65</v>
      </c>
    </row>
    <row r="1378" spans="1:10" x14ac:dyDescent="0.25">
      <c r="A1378" s="7" t="s">
        <v>2830</v>
      </c>
      <c r="B1378" s="6" t="s">
        <v>2831</v>
      </c>
      <c r="C1378" s="7" t="s">
        <v>1971</v>
      </c>
      <c r="D1378" s="6" t="s">
        <v>1972</v>
      </c>
      <c r="E1378" s="6" t="s">
        <v>1964</v>
      </c>
      <c r="F1378" s="6" t="s">
        <v>5</v>
      </c>
      <c r="G1378" s="6" t="s">
        <v>605</v>
      </c>
      <c r="H1378" s="6">
        <v>0.61</v>
      </c>
      <c r="I1378" s="6" t="str">
        <f>_xlfn.CONCAT("Art. złączny do produktu ",Tabela10[[#This Row],[KOD_PRODUKTU]])</f>
        <v>Art. złączny do produktu 843W65</v>
      </c>
      <c r="J1378" s="6" t="str">
        <f>_xlfn.CONCAT("VE-",Tabela10[[#This Row],[KOD_PRODUKTU]])</f>
        <v>VE-843W65</v>
      </c>
    </row>
    <row r="1379" spans="1:10" x14ac:dyDescent="0.25">
      <c r="A1379" s="1" t="s">
        <v>2830</v>
      </c>
      <c r="B1379" t="s">
        <v>2831</v>
      </c>
      <c r="C1379" s="1" t="s">
        <v>2848</v>
      </c>
      <c r="D1379" t="s">
        <v>2849</v>
      </c>
      <c r="E1379" t="s">
        <v>879</v>
      </c>
      <c r="F1379" t="s">
        <v>5</v>
      </c>
      <c r="G1379" t="s">
        <v>2850</v>
      </c>
      <c r="H1379">
        <v>0.19</v>
      </c>
      <c r="I1379" s="6" t="str">
        <f>_xlfn.CONCAT("Art. złączny do produktu ",Tabela10[[#This Row],[KOD_PRODUKTU]])</f>
        <v>Art. złączny do produktu 843W65</v>
      </c>
      <c r="J1379" s="6" t="str">
        <f>_xlfn.CONCAT("VE-",Tabela10[[#This Row],[KOD_PRODUKTU]])</f>
        <v>VE-843W65</v>
      </c>
    </row>
    <row r="1380" spans="1:10" x14ac:dyDescent="0.25">
      <c r="A1380" s="7" t="s">
        <v>2830</v>
      </c>
      <c r="B1380" s="6" t="s">
        <v>2831</v>
      </c>
      <c r="C1380" s="7" t="s">
        <v>1974</v>
      </c>
      <c r="D1380" s="6" t="s">
        <v>1975</v>
      </c>
      <c r="E1380" s="6" t="s">
        <v>879</v>
      </c>
      <c r="F1380" s="6" t="s">
        <v>121</v>
      </c>
      <c r="G1380" s="6" t="s">
        <v>2851</v>
      </c>
      <c r="H1380" s="6">
        <v>0.78</v>
      </c>
      <c r="I1380" s="6" t="str">
        <f>_xlfn.CONCAT("Art. złączny do produktu ",Tabela10[[#This Row],[KOD_PRODUKTU]])</f>
        <v>Art. złączny do produktu 843W65</v>
      </c>
      <c r="J1380" s="6" t="str">
        <f>_xlfn.CONCAT("VE-",Tabela10[[#This Row],[KOD_PRODUKTU]])</f>
        <v>VE-843W65</v>
      </c>
    </row>
    <row r="1381" spans="1:10" x14ac:dyDescent="0.25">
      <c r="A1381" s="1" t="s">
        <v>2830</v>
      </c>
      <c r="B1381" t="s">
        <v>2831</v>
      </c>
      <c r="C1381" s="1" t="s">
        <v>2738</v>
      </c>
      <c r="D1381" t="s">
        <v>2739</v>
      </c>
      <c r="E1381" t="s">
        <v>168</v>
      </c>
      <c r="F1381" t="s">
        <v>121</v>
      </c>
      <c r="G1381" t="s">
        <v>1371</v>
      </c>
      <c r="H1381">
        <v>0.21</v>
      </c>
      <c r="I1381" s="6" t="str">
        <f>_xlfn.CONCAT("Art. złączny do produktu ",Tabela10[[#This Row],[KOD_PRODUKTU]])</f>
        <v>Art. złączny do produktu 843W65</v>
      </c>
      <c r="J1381" s="6" t="str">
        <f>_xlfn.CONCAT("VE-",Tabela10[[#This Row],[KOD_PRODUKTU]])</f>
        <v>VE-843W65</v>
      </c>
    </row>
    <row r="1382" spans="1:10" x14ac:dyDescent="0.25">
      <c r="A1382" s="7" t="s">
        <v>2830</v>
      </c>
      <c r="B1382" s="6" t="s">
        <v>2831</v>
      </c>
      <c r="C1382" s="7" t="s">
        <v>2852</v>
      </c>
      <c r="D1382" s="6" t="s">
        <v>2853</v>
      </c>
      <c r="E1382" s="6" t="s">
        <v>2854</v>
      </c>
      <c r="F1382" s="6" t="s">
        <v>49</v>
      </c>
      <c r="G1382" s="6" t="s">
        <v>50</v>
      </c>
      <c r="H1382" s="6">
        <v>16</v>
      </c>
      <c r="I1382" s="6" t="str">
        <f>_xlfn.CONCAT("Art. złączny do produktu ",Tabela10[[#This Row],[KOD_PRODUKTU]])</f>
        <v>Art. złączny do produktu 843W65</v>
      </c>
      <c r="J1382" s="6" t="str">
        <f>_xlfn.CONCAT("VE-",Tabela10[[#This Row],[KOD_PRODUKTU]])</f>
        <v>VE-843W65</v>
      </c>
    </row>
    <row r="1383" spans="1:10" x14ac:dyDescent="0.25">
      <c r="A1383" s="1" t="s">
        <v>2830</v>
      </c>
      <c r="B1383" t="s">
        <v>2831</v>
      </c>
      <c r="C1383" s="1" t="s">
        <v>2797</v>
      </c>
      <c r="D1383" t="s">
        <v>2798</v>
      </c>
      <c r="E1383" t="s">
        <v>2799</v>
      </c>
      <c r="F1383" t="s">
        <v>121</v>
      </c>
      <c r="G1383" t="s">
        <v>50</v>
      </c>
      <c r="H1383">
        <v>2.41</v>
      </c>
      <c r="I1383" s="6" t="str">
        <f>_xlfn.CONCAT("Art. złączny do produktu ",Tabela10[[#This Row],[KOD_PRODUKTU]])</f>
        <v>Art. złączny do produktu 843W65</v>
      </c>
      <c r="J1383" s="6" t="str">
        <f>_xlfn.CONCAT("VE-",Tabela10[[#This Row],[KOD_PRODUKTU]])</f>
        <v>VE-843W65</v>
      </c>
    </row>
    <row r="1384" spans="1:10" x14ac:dyDescent="0.25">
      <c r="A1384" s="7" t="s">
        <v>2830</v>
      </c>
      <c r="B1384" s="6" t="s">
        <v>2831</v>
      </c>
      <c r="C1384" s="7" t="s">
        <v>541</v>
      </c>
      <c r="D1384" s="6" t="s">
        <v>542</v>
      </c>
      <c r="E1384" s="6" t="s">
        <v>9</v>
      </c>
      <c r="F1384" s="6" t="s">
        <v>10</v>
      </c>
      <c r="G1384" s="6" t="s">
        <v>2873</v>
      </c>
      <c r="H1384" s="6">
        <v>16.75</v>
      </c>
      <c r="I1384" s="6" t="str">
        <f>_xlfn.CONCAT("Art. złączny do produktu ",Tabela10[[#This Row],[KOD_PRODUKTU]])</f>
        <v>Art. złączny do produktu 843W65</v>
      </c>
      <c r="J1384" s="6" t="str">
        <f>_xlfn.CONCAT("VE-",Tabela10[[#This Row],[KOD_PRODUKTU]])</f>
        <v>VE-843W65</v>
      </c>
    </row>
    <row r="1385" spans="1:10" x14ac:dyDescent="0.25">
      <c r="A1385" s="1" t="s">
        <v>2830</v>
      </c>
      <c r="B1385" t="s">
        <v>2831</v>
      </c>
      <c r="C1385" s="1" t="s">
        <v>541</v>
      </c>
      <c r="D1385" t="s">
        <v>542</v>
      </c>
      <c r="E1385" t="s">
        <v>9</v>
      </c>
      <c r="F1385" t="s">
        <v>10</v>
      </c>
      <c r="G1385" t="s">
        <v>2874</v>
      </c>
      <c r="H1385">
        <v>128.33000000000001</v>
      </c>
      <c r="I1385" s="6" t="str">
        <f>_xlfn.CONCAT("Art. złączny do produktu ",Tabela10[[#This Row],[KOD_PRODUKTU]])</f>
        <v>Art. złączny do produktu 843W65</v>
      </c>
      <c r="J1385" s="6" t="str">
        <f>_xlfn.CONCAT("VE-",Tabela10[[#This Row],[KOD_PRODUKTU]])</f>
        <v>VE-843W65</v>
      </c>
    </row>
    <row r="1386" spans="1:10" x14ac:dyDescent="0.25">
      <c r="A1386" s="7" t="s">
        <v>2875</v>
      </c>
      <c r="B1386" s="6" t="s">
        <v>2876</v>
      </c>
      <c r="C1386" s="7" t="s">
        <v>2877</v>
      </c>
      <c r="D1386" s="6" t="s">
        <v>2878</v>
      </c>
      <c r="E1386" s="6" t="s">
        <v>2879</v>
      </c>
      <c r="F1386" s="6" t="s">
        <v>121</v>
      </c>
      <c r="G1386" s="6" t="s">
        <v>50</v>
      </c>
      <c r="H1386" s="6">
        <v>1482</v>
      </c>
      <c r="I1386" s="6" t="str">
        <f>_xlfn.CONCAT("Art. złączny do produktu ",Tabela10[[#This Row],[KOD_PRODUKTU]])</f>
        <v>Art. złączny do produktu 843W66</v>
      </c>
      <c r="J1386" s="6" t="str">
        <f>_xlfn.CONCAT("VE-",Tabela10[[#This Row],[KOD_PRODUKTU]])</f>
        <v>VE-843W66</v>
      </c>
    </row>
    <row r="1387" spans="1:10" x14ac:dyDescent="0.25">
      <c r="A1387" s="1" t="s">
        <v>2875</v>
      </c>
      <c r="B1387" t="s">
        <v>2876</v>
      </c>
      <c r="C1387" s="1" t="s">
        <v>2771</v>
      </c>
      <c r="D1387" t="s">
        <v>2772</v>
      </c>
      <c r="E1387" t="s">
        <v>1964</v>
      </c>
      <c r="F1387" t="s">
        <v>5</v>
      </c>
      <c r="G1387" t="s">
        <v>2880</v>
      </c>
      <c r="H1387">
        <v>0.61</v>
      </c>
      <c r="I1387" s="6" t="str">
        <f>_xlfn.CONCAT("Art. złączny do produktu ",Tabela10[[#This Row],[KOD_PRODUKTU]])</f>
        <v>Art. złączny do produktu 843W66</v>
      </c>
      <c r="J1387" s="6" t="str">
        <f>_xlfn.CONCAT("VE-",Tabela10[[#This Row],[KOD_PRODUKTU]])</f>
        <v>VE-843W66</v>
      </c>
    </row>
    <row r="1388" spans="1:10" x14ac:dyDescent="0.25">
      <c r="A1388" s="7" t="s">
        <v>2875</v>
      </c>
      <c r="B1388" s="6" t="s">
        <v>2876</v>
      </c>
      <c r="C1388" s="7" t="s">
        <v>2881</v>
      </c>
      <c r="D1388" s="6" t="s">
        <v>2882</v>
      </c>
      <c r="E1388" s="6" t="s">
        <v>2883</v>
      </c>
      <c r="F1388" s="6" t="s">
        <v>5</v>
      </c>
      <c r="G1388" s="6" t="s">
        <v>2884</v>
      </c>
      <c r="H1388" s="6">
        <v>0.33</v>
      </c>
      <c r="I1388" s="6" t="str">
        <f>_xlfn.CONCAT("Art. złączny do produktu ",Tabela10[[#This Row],[KOD_PRODUKTU]])</f>
        <v>Art. złączny do produktu 843W66</v>
      </c>
      <c r="J1388" s="6" t="str">
        <f>_xlfn.CONCAT("VE-",Tabela10[[#This Row],[KOD_PRODUKTU]])</f>
        <v>VE-843W66</v>
      </c>
    </row>
    <row r="1389" spans="1:10" x14ac:dyDescent="0.25">
      <c r="A1389" s="1" t="s">
        <v>2875</v>
      </c>
      <c r="B1389" t="s">
        <v>2876</v>
      </c>
      <c r="C1389" s="1" t="s">
        <v>2885</v>
      </c>
      <c r="D1389" t="s">
        <v>2886</v>
      </c>
      <c r="E1389" t="s">
        <v>879</v>
      </c>
      <c r="F1389" t="s">
        <v>5</v>
      </c>
      <c r="G1389" t="s">
        <v>1236</v>
      </c>
      <c r="H1389">
        <v>1.68</v>
      </c>
      <c r="I1389" s="6" t="str">
        <f>_xlfn.CONCAT("Art. złączny do produktu ",Tabela10[[#This Row],[KOD_PRODUKTU]])</f>
        <v>Art. złączny do produktu 843W66</v>
      </c>
      <c r="J1389" s="6" t="str">
        <f>_xlfn.CONCAT("VE-",Tabela10[[#This Row],[KOD_PRODUKTU]])</f>
        <v>VE-843W66</v>
      </c>
    </row>
    <row r="1390" spans="1:10" x14ac:dyDescent="0.25">
      <c r="A1390" s="7" t="s">
        <v>2875</v>
      </c>
      <c r="B1390" s="6" t="s">
        <v>2876</v>
      </c>
      <c r="C1390" s="7" t="s">
        <v>2835</v>
      </c>
      <c r="D1390" s="6" t="s">
        <v>2836</v>
      </c>
      <c r="E1390" s="6" t="s">
        <v>2837</v>
      </c>
      <c r="F1390" s="6" t="s">
        <v>5</v>
      </c>
      <c r="G1390" s="6" t="s">
        <v>2838</v>
      </c>
      <c r="H1390" s="6">
        <v>2.35</v>
      </c>
      <c r="I1390" s="6" t="str">
        <f>_xlfn.CONCAT("Art. złączny do produktu ",Tabela10[[#This Row],[KOD_PRODUKTU]])</f>
        <v>Art. złączny do produktu 843W66</v>
      </c>
      <c r="J1390" s="6" t="str">
        <f>_xlfn.CONCAT("VE-",Tabela10[[#This Row],[KOD_PRODUKTU]])</f>
        <v>VE-843W66</v>
      </c>
    </row>
    <row r="1391" spans="1:10" x14ac:dyDescent="0.25">
      <c r="A1391" s="1" t="s">
        <v>2875</v>
      </c>
      <c r="B1391" t="s">
        <v>2876</v>
      </c>
      <c r="C1391" s="1" t="s">
        <v>2887</v>
      </c>
      <c r="D1391" t="s">
        <v>2888</v>
      </c>
      <c r="E1391" t="s">
        <v>2889</v>
      </c>
      <c r="F1391" t="s">
        <v>39</v>
      </c>
      <c r="G1391" t="s">
        <v>605</v>
      </c>
      <c r="H1391">
        <v>0.83</v>
      </c>
      <c r="I1391" s="6" t="str">
        <f>_xlfn.CONCAT("Art. złączny do produktu ",Tabela10[[#This Row],[KOD_PRODUKTU]])</f>
        <v>Art. złączny do produktu 843W66</v>
      </c>
      <c r="J1391" s="6" t="str">
        <f>_xlfn.CONCAT("VE-",Tabela10[[#This Row],[KOD_PRODUKTU]])</f>
        <v>VE-843W66</v>
      </c>
    </row>
    <row r="1392" spans="1:10" x14ac:dyDescent="0.25">
      <c r="A1392" s="7" t="s">
        <v>2875</v>
      </c>
      <c r="B1392" s="6" t="s">
        <v>2876</v>
      </c>
      <c r="C1392" s="7" t="s">
        <v>628</v>
      </c>
      <c r="D1392" s="6" t="s">
        <v>629</v>
      </c>
      <c r="E1392" s="6" t="s">
        <v>630</v>
      </c>
      <c r="F1392" s="6" t="s">
        <v>5</v>
      </c>
      <c r="G1392" s="6" t="s">
        <v>2788</v>
      </c>
      <c r="H1392" s="6">
        <v>0.08</v>
      </c>
      <c r="I1392" s="6" t="str">
        <f>_xlfn.CONCAT("Art. złączny do produktu ",Tabela10[[#This Row],[KOD_PRODUKTU]])</f>
        <v>Art. złączny do produktu 843W66</v>
      </c>
      <c r="J1392" s="6" t="str">
        <f>_xlfn.CONCAT("VE-",Tabela10[[#This Row],[KOD_PRODUKTU]])</f>
        <v>VE-843W66</v>
      </c>
    </row>
    <row r="1393" spans="1:10" x14ac:dyDescent="0.25">
      <c r="A1393" s="1" t="s">
        <v>2875</v>
      </c>
      <c r="B1393" t="s">
        <v>2876</v>
      </c>
      <c r="C1393" s="1" t="s">
        <v>483</v>
      </c>
      <c r="D1393" t="s">
        <v>484</v>
      </c>
      <c r="E1393" t="s">
        <v>2789</v>
      </c>
      <c r="F1393" t="s">
        <v>5</v>
      </c>
      <c r="G1393" t="s">
        <v>2890</v>
      </c>
      <c r="H1393">
        <v>1.23</v>
      </c>
      <c r="I1393" s="6" t="str">
        <f>_xlfn.CONCAT("Art. złączny do produktu ",Tabela10[[#This Row],[KOD_PRODUKTU]])</f>
        <v>Art. złączny do produktu 843W66</v>
      </c>
      <c r="J1393" s="6" t="str">
        <f>_xlfn.CONCAT("VE-",Tabela10[[#This Row],[KOD_PRODUKTU]])</f>
        <v>VE-843W66</v>
      </c>
    </row>
    <row r="1394" spans="1:10" x14ac:dyDescent="0.25">
      <c r="A1394" s="7" t="s">
        <v>2875</v>
      </c>
      <c r="B1394" s="6" t="s">
        <v>2876</v>
      </c>
      <c r="C1394" s="7" t="s">
        <v>1968</v>
      </c>
      <c r="D1394" s="6" t="s">
        <v>1969</v>
      </c>
      <c r="E1394" s="6" t="s">
        <v>485</v>
      </c>
      <c r="F1394" s="6" t="s">
        <v>5</v>
      </c>
      <c r="G1394" s="6" t="s">
        <v>1889</v>
      </c>
      <c r="H1394" s="6">
        <v>0.03</v>
      </c>
      <c r="I1394" s="6" t="str">
        <f>_xlfn.CONCAT("Art. złączny do produktu ",Tabela10[[#This Row],[KOD_PRODUKTU]])</f>
        <v>Art. złączny do produktu 843W66</v>
      </c>
      <c r="J1394" s="6" t="str">
        <f>_xlfn.CONCAT("VE-",Tabela10[[#This Row],[KOD_PRODUKTU]])</f>
        <v>VE-843W66</v>
      </c>
    </row>
    <row r="1395" spans="1:10" x14ac:dyDescent="0.25">
      <c r="A1395" s="1" t="s">
        <v>2875</v>
      </c>
      <c r="B1395" t="s">
        <v>2876</v>
      </c>
      <c r="C1395" s="1" t="s">
        <v>2791</v>
      </c>
      <c r="D1395" t="s">
        <v>2792</v>
      </c>
      <c r="E1395" t="s">
        <v>2793</v>
      </c>
      <c r="F1395" t="s">
        <v>121</v>
      </c>
      <c r="G1395" t="s">
        <v>2891</v>
      </c>
      <c r="H1395">
        <v>2.72</v>
      </c>
      <c r="I1395" s="6" t="str">
        <f>_xlfn.CONCAT("Art. złączny do produktu ",Tabela10[[#This Row],[KOD_PRODUKTU]])</f>
        <v>Art. złączny do produktu 843W66</v>
      </c>
      <c r="J1395" s="6" t="str">
        <f>_xlfn.CONCAT("VE-",Tabela10[[#This Row],[KOD_PRODUKTU]])</f>
        <v>VE-843W66</v>
      </c>
    </row>
    <row r="1396" spans="1:10" x14ac:dyDescent="0.25">
      <c r="A1396" s="7" t="s">
        <v>2875</v>
      </c>
      <c r="B1396" s="6" t="s">
        <v>2876</v>
      </c>
      <c r="C1396" s="7" t="s">
        <v>2738</v>
      </c>
      <c r="D1396" s="6" t="s">
        <v>2739</v>
      </c>
      <c r="E1396" s="6" t="s">
        <v>168</v>
      </c>
      <c r="F1396" s="6" t="s">
        <v>121</v>
      </c>
      <c r="G1396" s="6" t="s">
        <v>1371</v>
      </c>
      <c r="H1396" s="6">
        <v>0.21</v>
      </c>
      <c r="I1396" s="6" t="str">
        <f>_xlfn.CONCAT("Art. złączny do produktu ",Tabela10[[#This Row],[KOD_PRODUKTU]])</f>
        <v>Art. złączny do produktu 843W66</v>
      </c>
      <c r="J1396" s="6" t="str">
        <f>_xlfn.CONCAT("VE-",Tabela10[[#This Row],[KOD_PRODUKTU]])</f>
        <v>VE-843W66</v>
      </c>
    </row>
    <row r="1397" spans="1:10" x14ac:dyDescent="0.25">
      <c r="A1397" s="1" t="s">
        <v>2875</v>
      </c>
      <c r="B1397" t="s">
        <v>2876</v>
      </c>
      <c r="C1397" s="1" t="s">
        <v>2852</v>
      </c>
      <c r="D1397" t="s">
        <v>2853</v>
      </c>
      <c r="E1397" t="s">
        <v>2854</v>
      </c>
      <c r="F1397" t="s">
        <v>49</v>
      </c>
      <c r="G1397" t="s">
        <v>50</v>
      </c>
      <c r="H1397">
        <v>16</v>
      </c>
      <c r="I1397" s="6" t="str">
        <f>_xlfn.CONCAT("Art. złączny do produktu ",Tabela10[[#This Row],[KOD_PRODUKTU]])</f>
        <v>Art. złączny do produktu 843W66</v>
      </c>
      <c r="J1397" s="6" t="str">
        <f>_xlfn.CONCAT("VE-",Tabela10[[#This Row],[KOD_PRODUKTU]])</f>
        <v>VE-843W66</v>
      </c>
    </row>
    <row r="1398" spans="1:10" x14ac:dyDescent="0.25">
      <c r="A1398" s="7" t="s">
        <v>2875</v>
      </c>
      <c r="B1398" s="6" t="s">
        <v>2876</v>
      </c>
      <c r="C1398" s="7" t="s">
        <v>41</v>
      </c>
      <c r="D1398" s="6" t="s">
        <v>42</v>
      </c>
      <c r="E1398" s="6" t="s">
        <v>513</v>
      </c>
      <c r="F1398" s="6" t="s">
        <v>5</v>
      </c>
      <c r="G1398" s="6" t="s">
        <v>598</v>
      </c>
      <c r="H1398" s="6">
        <v>0.04</v>
      </c>
      <c r="I1398" s="6" t="str">
        <f>_xlfn.CONCAT("Art. złączny do produktu ",Tabela10[[#This Row],[KOD_PRODUKTU]])</f>
        <v>Art. złączny do produktu 843W66</v>
      </c>
      <c r="J1398" s="6" t="str">
        <f>_xlfn.CONCAT("VE-",Tabela10[[#This Row],[KOD_PRODUKTU]])</f>
        <v>VE-843W66</v>
      </c>
    </row>
    <row r="1399" spans="1:10" x14ac:dyDescent="0.25">
      <c r="A1399" s="1" t="s">
        <v>2875</v>
      </c>
      <c r="B1399" t="s">
        <v>2876</v>
      </c>
      <c r="C1399" s="1" t="s">
        <v>2892</v>
      </c>
      <c r="D1399" t="s">
        <v>2893</v>
      </c>
      <c r="E1399" t="s">
        <v>336</v>
      </c>
      <c r="F1399" t="s">
        <v>121</v>
      </c>
      <c r="G1399" t="s">
        <v>50</v>
      </c>
      <c r="H1399">
        <v>2.6</v>
      </c>
      <c r="I1399" s="6" t="str">
        <f>_xlfn.CONCAT("Art. złączny do produktu ",Tabela10[[#This Row],[KOD_PRODUKTU]])</f>
        <v>Art. złączny do produktu 843W66</v>
      </c>
      <c r="J1399" s="6" t="str">
        <f>_xlfn.CONCAT("VE-",Tabela10[[#This Row],[KOD_PRODUKTU]])</f>
        <v>VE-843W66</v>
      </c>
    </row>
    <row r="1400" spans="1:10" x14ac:dyDescent="0.25">
      <c r="A1400" s="7" t="s">
        <v>2875</v>
      </c>
      <c r="B1400" s="6" t="s">
        <v>2876</v>
      </c>
      <c r="C1400" s="7" t="s">
        <v>541</v>
      </c>
      <c r="D1400" s="6" t="s">
        <v>542</v>
      </c>
      <c r="E1400" s="6" t="s">
        <v>9</v>
      </c>
      <c r="F1400" s="6" t="s">
        <v>10</v>
      </c>
      <c r="G1400" s="6" t="s">
        <v>860</v>
      </c>
      <c r="H1400" s="6">
        <v>23</v>
      </c>
      <c r="I1400" s="6" t="str">
        <f>_xlfn.CONCAT("Art. złączny do produktu ",Tabela10[[#This Row],[KOD_PRODUKTU]])</f>
        <v>Art. złączny do produktu 843W66</v>
      </c>
      <c r="J1400" s="6" t="str">
        <f>_xlfn.CONCAT("VE-",Tabela10[[#This Row],[KOD_PRODUKTU]])</f>
        <v>VE-843W66</v>
      </c>
    </row>
    <row r="1401" spans="1:10" x14ac:dyDescent="0.25">
      <c r="A1401" s="1" t="s">
        <v>2875</v>
      </c>
      <c r="B1401" t="s">
        <v>2876</v>
      </c>
      <c r="C1401" s="1" t="s">
        <v>541</v>
      </c>
      <c r="D1401" t="s">
        <v>542</v>
      </c>
      <c r="E1401" t="s">
        <v>9</v>
      </c>
      <c r="F1401" t="s">
        <v>10</v>
      </c>
      <c r="G1401" t="s">
        <v>2911</v>
      </c>
      <c r="H1401">
        <v>137.22999999999999</v>
      </c>
      <c r="I1401" s="6" t="str">
        <f>_xlfn.CONCAT("Art. złączny do produktu ",Tabela10[[#This Row],[KOD_PRODUKTU]])</f>
        <v>Art. złączny do produktu 843W66</v>
      </c>
      <c r="J1401" s="6" t="str">
        <f>_xlfn.CONCAT("VE-",Tabela10[[#This Row],[KOD_PRODUKTU]])</f>
        <v>VE-843W66</v>
      </c>
    </row>
    <row r="1402" spans="1:10" x14ac:dyDescent="0.25">
      <c r="A1402" s="7" t="s">
        <v>2912</v>
      </c>
      <c r="B1402" s="6" t="s">
        <v>2392</v>
      </c>
      <c r="C1402" s="7" t="s">
        <v>2913</v>
      </c>
      <c r="D1402" s="6" t="s">
        <v>2914</v>
      </c>
      <c r="E1402" s="6" t="s">
        <v>2915</v>
      </c>
      <c r="F1402" s="6" t="s">
        <v>1857</v>
      </c>
      <c r="G1402" s="6" t="s">
        <v>1253</v>
      </c>
      <c r="H1402" s="6">
        <v>0.03</v>
      </c>
      <c r="I1402" s="6" t="str">
        <f>_xlfn.CONCAT("Art. złączny do produktu ",Tabela10[[#This Row],[KOD_PRODUKTU]])</f>
        <v>Art. złączny do produktu 850W99-126</v>
      </c>
      <c r="J1402" s="6" t="str">
        <f>_xlfn.CONCAT("VE-",Tabela10[[#This Row],[KOD_PRODUKTU]])</f>
        <v>VE-850W99-126</v>
      </c>
    </row>
    <row r="1403" spans="1:10" x14ac:dyDescent="0.25">
      <c r="A1403" s="1" t="s">
        <v>2912</v>
      </c>
      <c r="B1403" t="s">
        <v>2392</v>
      </c>
      <c r="C1403" s="1" t="s">
        <v>2688</v>
      </c>
      <c r="D1403" t="s">
        <v>2689</v>
      </c>
      <c r="E1403" t="s">
        <v>2690</v>
      </c>
      <c r="F1403" t="s">
        <v>39</v>
      </c>
      <c r="G1403" t="s">
        <v>447</v>
      </c>
      <c r="H1403">
        <v>0.33</v>
      </c>
      <c r="I1403" s="6" t="str">
        <f>_xlfn.CONCAT("Art. złączny do produktu ",Tabela10[[#This Row],[KOD_PRODUKTU]])</f>
        <v>Art. złączny do produktu 850W99-126</v>
      </c>
      <c r="J1403" s="6" t="str">
        <f>_xlfn.CONCAT("VE-",Tabela10[[#This Row],[KOD_PRODUKTU]])</f>
        <v>VE-850W99-126</v>
      </c>
    </row>
    <row r="1404" spans="1:10" x14ac:dyDescent="0.25">
      <c r="A1404" s="7" t="s">
        <v>2912</v>
      </c>
      <c r="B1404" s="6" t="s">
        <v>2392</v>
      </c>
      <c r="C1404" s="7" t="s">
        <v>649</v>
      </c>
      <c r="D1404" s="6" t="s">
        <v>650</v>
      </c>
      <c r="E1404" s="6" t="s">
        <v>2303</v>
      </c>
      <c r="F1404" s="6" t="s">
        <v>39</v>
      </c>
      <c r="G1404" s="6" t="s">
        <v>40</v>
      </c>
      <c r="H1404" s="6">
        <v>0.09</v>
      </c>
      <c r="I1404" s="6" t="str">
        <f>_xlfn.CONCAT("Art. złączny do produktu ",Tabela10[[#This Row],[KOD_PRODUKTU]])</f>
        <v>Art. złączny do produktu 850W99-126</v>
      </c>
      <c r="J1404" s="6" t="str">
        <f>_xlfn.CONCAT("VE-",Tabela10[[#This Row],[KOD_PRODUKTU]])</f>
        <v>VE-850W99-126</v>
      </c>
    </row>
    <row r="1405" spans="1:10" x14ac:dyDescent="0.25">
      <c r="A1405" s="1" t="s">
        <v>2912</v>
      </c>
      <c r="B1405" t="s">
        <v>2392</v>
      </c>
      <c r="C1405" s="1" t="s">
        <v>2691</v>
      </c>
      <c r="D1405" t="s">
        <v>2692</v>
      </c>
      <c r="E1405" t="s">
        <v>2916</v>
      </c>
      <c r="F1405" t="s">
        <v>1965</v>
      </c>
      <c r="G1405" t="s">
        <v>40</v>
      </c>
      <c r="H1405">
        <v>0.03</v>
      </c>
      <c r="I1405" s="6" t="str">
        <f>_xlfn.CONCAT("Art. złączny do produktu ",Tabela10[[#This Row],[KOD_PRODUKTU]])</f>
        <v>Art. złączny do produktu 850W99-126</v>
      </c>
      <c r="J1405" s="6" t="str">
        <f>_xlfn.CONCAT("VE-",Tabela10[[#This Row],[KOD_PRODUKTU]])</f>
        <v>VE-850W99-126</v>
      </c>
    </row>
    <row r="1406" spans="1:10" x14ac:dyDescent="0.25">
      <c r="A1406" s="7" t="s">
        <v>2912</v>
      </c>
      <c r="B1406" s="6" t="s">
        <v>2392</v>
      </c>
      <c r="C1406" s="7" t="s">
        <v>2694</v>
      </c>
      <c r="D1406" s="6" t="s">
        <v>2695</v>
      </c>
      <c r="E1406" s="6" t="s">
        <v>2112</v>
      </c>
      <c r="F1406" s="6" t="s">
        <v>39</v>
      </c>
      <c r="G1406" s="6" t="s">
        <v>40</v>
      </c>
      <c r="H1406" s="6">
        <v>0.16</v>
      </c>
      <c r="I1406" s="6" t="str">
        <f>_xlfn.CONCAT("Art. złączny do produktu ",Tabela10[[#This Row],[KOD_PRODUKTU]])</f>
        <v>Art. złączny do produktu 850W99-126</v>
      </c>
      <c r="J1406" s="6" t="str">
        <f>_xlfn.CONCAT("VE-",Tabela10[[#This Row],[KOD_PRODUKTU]])</f>
        <v>VE-850W99-126</v>
      </c>
    </row>
    <row r="1407" spans="1:10" x14ac:dyDescent="0.25">
      <c r="A1407" s="1" t="s">
        <v>2912</v>
      </c>
      <c r="B1407" t="s">
        <v>2392</v>
      </c>
      <c r="C1407" s="1" t="s">
        <v>2343</v>
      </c>
      <c r="D1407" t="s">
        <v>2344</v>
      </c>
      <c r="E1407" t="s">
        <v>2345</v>
      </c>
      <c r="F1407" t="s">
        <v>39</v>
      </c>
      <c r="G1407" t="s">
        <v>40</v>
      </c>
      <c r="H1407">
        <v>0.05</v>
      </c>
      <c r="I1407" s="6" t="str">
        <f>_xlfn.CONCAT("Art. złączny do produktu ",Tabela10[[#This Row],[KOD_PRODUKTU]])</f>
        <v>Art. złączny do produktu 850W99-126</v>
      </c>
      <c r="J1407" s="6" t="str">
        <f>_xlfn.CONCAT("VE-",Tabela10[[#This Row],[KOD_PRODUKTU]])</f>
        <v>VE-850W99-126</v>
      </c>
    </row>
    <row r="1408" spans="1:10" x14ac:dyDescent="0.25">
      <c r="A1408" s="7" t="s">
        <v>2912</v>
      </c>
      <c r="B1408" s="6" t="s">
        <v>2392</v>
      </c>
      <c r="C1408" s="7" t="s">
        <v>2917</v>
      </c>
      <c r="D1408" s="6" t="s">
        <v>2918</v>
      </c>
      <c r="E1408" s="6" t="s">
        <v>2346</v>
      </c>
      <c r="F1408" s="6" t="s">
        <v>121</v>
      </c>
      <c r="G1408" s="6" t="s">
        <v>50</v>
      </c>
      <c r="H1408" s="6">
        <v>0.45</v>
      </c>
      <c r="I1408" s="6" t="str">
        <f>_xlfn.CONCAT("Art. złączny do produktu ",Tabela10[[#This Row],[KOD_PRODUKTU]])</f>
        <v>Art. złączny do produktu 850W99-126</v>
      </c>
      <c r="J1408" s="6" t="str">
        <f>_xlfn.CONCAT("VE-",Tabela10[[#This Row],[KOD_PRODUKTU]])</f>
        <v>VE-850W99-126</v>
      </c>
    </row>
    <row r="1409" spans="1:10" x14ac:dyDescent="0.25">
      <c r="A1409" s="1" t="s">
        <v>2912</v>
      </c>
      <c r="B1409" t="s">
        <v>2392</v>
      </c>
      <c r="C1409" s="1" t="s">
        <v>2919</v>
      </c>
      <c r="D1409" t="s">
        <v>2920</v>
      </c>
      <c r="E1409" t="s">
        <v>2921</v>
      </c>
      <c r="F1409" t="s">
        <v>49</v>
      </c>
      <c r="G1409" t="s">
        <v>50</v>
      </c>
      <c r="H1409">
        <v>1.9</v>
      </c>
      <c r="I1409" s="6" t="str">
        <f>_xlfn.CONCAT("Art. złączny do produktu ",Tabela10[[#This Row],[KOD_PRODUKTU]])</f>
        <v>Art. złączny do produktu 850W99-126</v>
      </c>
      <c r="J1409" s="6" t="str">
        <f>_xlfn.CONCAT("VE-",Tabela10[[#This Row],[KOD_PRODUKTU]])</f>
        <v>VE-850W99-126</v>
      </c>
    </row>
    <row r="1410" spans="1:10" x14ac:dyDescent="0.25">
      <c r="A1410" s="7" t="s">
        <v>2912</v>
      </c>
      <c r="B1410" s="6" t="s">
        <v>2392</v>
      </c>
      <c r="C1410" s="7" t="s">
        <v>2922</v>
      </c>
      <c r="D1410" s="6" t="s">
        <v>2923</v>
      </c>
      <c r="E1410" s="6" t="s">
        <v>1009</v>
      </c>
      <c r="F1410" s="6" t="s">
        <v>49</v>
      </c>
      <c r="G1410" s="6" t="s">
        <v>50</v>
      </c>
      <c r="H1410" s="6">
        <v>0.25</v>
      </c>
      <c r="I1410" s="6" t="str">
        <f>_xlfn.CONCAT("Art. złączny do produktu ",Tabela10[[#This Row],[KOD_PRODUKTU]])</f>
        <v>Art. złączny do produktu 850W99-126</v>
      </c>
      <c r="J1410" s="6" t="str">
        <f>_xlfn.CONCAT("VE-",Tabela10[[#This Row],[KOD_PRODUKTU]])</f>
        <v>VE-850W99-126</v>
      </c>
    </row>
    <row r="1411" spans="1:10" x14ac:dyDescent="0.25">
      <c r="A1411" s="1" t="s">
        <v>2912</v>
      </c>
      <c r="B1411" t="s">
        <v>2392</v>
      </c>
      <c r="C1411" s="1" t="s">
        <v>2922</v>
      </c>
      <c r="D1411" t="s">
        <v>2923</v>
      </c>
      <c r="E1411" t="s">
        <v>1009</v>
      </c>
      <c r="F1411" t="s">
        <v>49</v>
      </c>
      <c r="G1411" t="s">
        <v>50</v>
      </c>
      <c r="H1411">
        <v>0.25</v>
      </c>
      <c r="I1411" s="6" t="str">
        <f>_xlfn.CONCAT("Art. złączny do produktu ",Tabela10[[#This Row],[KOD_PRODUKTU]])</f>
        <v>Art. złączny do produktu 850W99-126</v>
      </c>
      <c r="J1411" s="6" t="str">
        <f>_xlfn.CONCAT("VE-",Tabela10[[#This Row],[KOD_PRODUKTU]])</f>
        <v>VE-850W99-126</v>
      </c>
    </row>
    <row r="1412" spans="1:10" x14ac:dyDescent="0.25">
      <c r="A1412" s="7" t="s">
        <v>2912</v>
      </c>
      <c r="B1412" s="6" t="s">
        <v>2392</v>
      </c>
      <c r="C1412" s="7" t="s">
        <v>7</v>
      </c>
      <c r="D1412" s="6" t="s">
        <v>8</v>
      </c>
      <c r="E1412" s="6" t="s">
        <v>9</v>
      </c>
      <c r="F1412" s="6" t="s">
        <v>10</v>
      </c>
      <c r="G1412" s="6" t="s">
        <v>607</v>
      </c>
      <c r="H1412" s="6">
        <v>18.399999999999999</v>
      </c>
      <c r="I1412" s="6" t="str">
        <f>_xlfn.CONCAT("Art. złączny do produktu ",Tabela10[[#This Row],[KOD_PRODUKTU]])</f>
        <v>Art. złączny do produktu 850W99-126</v>
      </c>
      <c r="J1412" s="6" t="str">
        <f>_xlfn.CONCAT("VE-",Tabela10[[#This Row],[KOD_PRODUKTU]])</f>
        <v>VE-850W99-126</v>
      </c>
    </row>
    <row r="1413" spans="1:10" x14ac:dyDescent="0.25">
      <c r="A1413" s="1" t="s">
        <v>2924</v>
      </c>
      <c r="B1413" t="s">
        <v>2925</v>
      </c>
      <c r="C1413" s="1" t="s">
        <v>1047</v>
      </c>
      <c r="D1413" t="s">
        <v>1048</v>
      </c>
      <c r="E1413" t="s">
        <v>1434</v>
      </c>
      <c r="F1413" t="s">
        <v>17</v>
      </c>
      <c r="G1413" t="s">
        <v>2926</v>
      </c>
      <c r="H1413">
        <v>20.81</v>
      </c>
      <c r="I1413" s="6" t="str">
        <f>_xlfn.CONCAT("Art. złączny do produktu ",Tabela10[[#This Row],[KOD_PRODUKTU]])</f>
        <v>Art. złączny do produktu 900E02-600</v>
      </c>
      <c r="J1413" s="6" t="str">
        <f>_xlfn.CONCAT("VE-",Tabela10[[#This Row],[KOD_PRODUKTU]])</f>
        <v>VE-900E02-600</v>
      </c>
    </row>
    <row r="1414" spans="1:10" x14ac:dyDescent="0.25">
      <c r="A1414" s="7" t="s">
        <v>2924</v>
      </c>
      <c r="B1414" s="6" t="s">
        <v>2925</v>
      </c>
      <c r="C1414" s="7" t="s">
        <v>7</v>
      </c>
      <c r="D1414" s="6" t="s">
        <v>8</v>
      </c>
      <c r="E1414" s="6" t="s">
        <v>9</v>
      </c>
      <c r="F1414" s="6" t="s">
        <v>10</v>
      </c>
      <c r="G1414" s="6" t="s">
        <v>19</v>
      </c>
      <c r="H1414" s="6">
        <v>4.5999999999999996</v>
      </c>
      <c r="I1414" s="6" t="str">
        <f>_xlfn.CONCAT("Art. złączny do produktu ",Tabela10[[#This Row],[KOD_PRODUKTU]])</f>
        <v>Art. złączny do produktu 900E02-600</v>
      </c>
      <c r="J1414" s="6" t="str">
        <f>_xlfn.CONCAT("VE-",Tabela10[[#This Row],[KOD_PRODUKTU]])</f>
        <v>VE-900E02-600</v>
      </c>
    </row>
    <row r="1415" spans="1:10" x14ac:dyDescent="0.25">
      <c r="A1415" s="1" t="s">
        <v>2927</v>
      </c>
      <c r="B1415" t="s">
        <v>2928</v>
      </c>
      <c r="C1415" s="1" t="s">
        <v>1047</v>
      </c>
      <c r="D1415" t="s">
        <v>1048</v>
      </c>
      <c r="E1415" t="s">
        <v>1434</v>
      </c>
      <c r="F1415" t="s">
        <v>17</v>
      </c>
      <c r="G1415" t="s">
        <v>2929</v>
      </c>
      <c r="H1415">
        <v>16.77</v>
      </c>
      <c r="I1415" s="6" t="str">
        <f>_xlfn.CONCAT("Art. złączny do produktu ",Tabela10[[#This Row],[KOD_PRODUKTU]])</f>
        <v>Art. złączny do produktu 900E02-610</v>
      </c>
      <c r="J1415" s="6" t="str">
        <f>_xlfn.CONCAT("VE-",Tabela10[[#This Row],[KOD_PRODUKTU]])</f>
        <v>VE-900E02-610</v>
      </c>
    </row>
    <row r="1416" spans="1:10" x14ac:dyDescent="0.25">
      <c r="A1416" s="7" t="s">
        <v>2927</v>
      </c>
      <c r="B1416" s="6" t="s">
        <v>2928</v>
      </c>
      <c r="C1416" s="7" t="s">
        <v>7</v>
      </c>
      <c r="D1416" s="6" t="s">
        <v>8</v>
      </c>
      <c r="E1416" s="6" t="s">
        <v>9</v>
      </c>
      <c r="F1416" s="6" t="s">
        <v>10</v>
      </c>
      <c r="G1416" s="6" t="s">
        <v>19</v>
      </c>
      <c r="H1416" s="6">
        <v>4.5999999999999996</v>
      </c>
      <c r="I1416" s="6" t="str">
        <f>_xlfn.CONCAT("Art. złączny do produktu ",Tabela10[[#This Row],[KOD_PRODUKTU]])</f>
        <v>Art. złączny do produktu 900E02-610</v>
      </c>
      <c r="J1416" s="6" t="str">
        <f>_xlfn.CONCAT("VE-",Tabela10[[#This Row],[KOD_PRODUKTU]])</f>
        <v>VE-900E02-610</v>
      </c>
    </row>
    <row r="1417" spans="1:10" x14ac:dyDescent="0.25">
      <c r="A1417" s="1" t="s">
        <v>2930</v>
      </c>
      <c r="B1417" t="s">
        <v>2931</v>
      </c>
      <c r="C1417" s="1" t="s">
        <v>1047</v>
      </c>
      <c r="D1417" t="s">
        <v>1048</v>
      </c>
      <c r="E1417" t="s">
        <v>1434</v>
      </c>
      <c r="F1417" t="s">
        <v>17</v>
      </c>
      <c r="G1417" t="s">
        <v>2932</v>
      </c>
      <c r="H1417">
        <v>3.47</v>
      </c>
      <c r="I1417" s="6" t="str">
        <f>_xlfn.CONCAT("Art. złączny do produktu ",Tabela10[[#This Row],[KOD_PRODUKTU]])</f>
        <v>Art. złączny do produktu 900E02-620</v>
      </c>
      <c r="J1417" s="6" t="str">
        <f>_xlfn.CONCAT("VE-",Tabela10[[#This Row],[KOD_PRODUKTU]])</f>
        <v>VE-900E02-620</v>
      </c>
    </row>
    <row r="1418" spans="1:10" x14ac:dyDescent="0.25">
      <c r="A1418" s="7" t="s">
        <v>2930</v>
      </c>
      <c r="B1418" s="6" t="s">
        <v>2931</v>
      </c>
      <c r="C1418" s="7" t="s">
        <v>7</v>
      </c>
      <c r="D1418" s="6" t="s">
        <v>8</v>
      </c>
      <c r="E1418" s="6" t="s">
        <v>9</v>
      </c>
      <c r="F1418" s="6" t="s">
        <v>10</v>
      </c>
      <c r="G1418" s="6" t="s">
        <v>19</v>
      </c>
      <c r="H1418" s="6">
        <v>4.5999999999999996</v>
      </c>
      <c r="I1418" s="6" t="str">
        <f>_xlfn.CONCAT("Art. złączny do produktu ",Tabela10[[#This Row],[KOD_PRODUKTU]])</f>
        <v>Art. złączny do produktu 900E02-620</v>
      </c>
      <c r="J1418" s="6" t="str">
        <f>_xlfn.CONCAT("VE-",Tabela10[[#This Row],[KOD_PRODUKTU]])</f>
        <v>VE-900E02-620</v>
      </c>
    </row>
    <row r="1419" spans="1:10" x14ac:dyDescent="0.25">
      <c r="A1419" s="1" t="s">
        <v>2933</v>
      </c>
      <c r="B1419" t="s">
        <v>2934</v>
      </c>
      <c r="C1419" s="1" t="s">
        <v>1743</v>
      </c>
      <c r="D1419" t="s">
        <v>1744</v>
      </c>
      <c r="E1419" t="s">
        <v>1354</v>
      </c>
      <c r="F1419" t="s">
        <v>5</v>
      </c>
      <c r="G1419" t="s">
        <v>2935</v>
      </c>
      <c r="H1419">
        <v>9.1</v>
      </c>
      <c r="I1419" s="6" t="str">
        <f>_xlfn.CONCAT("Art. złączny do produktu ",Tabela10[[#This Row],[KOD_PRODUKTU]])</f>
        <v>Art. złączny do produktu 900E03-331</v>
      </c>
      <c r="J1419" s="6" t="str">
        <f>_xlfn.CONCAT("VE-",Tabela10[[#This Row],[KOD_PRODUKTU]])</f>
        <v>VE-900E03-331</v>
      </c>
    </row>
    <row r="1420" spans="1:10" x14ac:dyDescent="0.25">
      <c r="A1420" s="7" t="s">
        <v>2933</v>
      </c>
      <c r="B1420" s="6" t="s">
        <v>2934</v>
      </c>
      <c r="C1420" s="7" t="s">
        <v>7</v>
      </c>
      <c r="D1420" s="6" t="s">
        <v>8</v>
      </c>
      <c r="E1420" s="6" t="s">
        <v>9</v>
      </c>
      <c r="F1420" s="6" t="s">
        <v>10</v>
      </c>
      <c r="G1420" s="6" t="s">
        <v>523</v>
      </c>
      <c r="H1420" s="6">
        <v>17</v>
      </c>
      <c r="I1420" s="6" t="str">
        <f>_xlfn.CONCAT("Art. złączny do produktu ",Tabela10[[#This Row],[KOD_PRODUKTU]])</f>
        <v>Art. złączny do produktu 900E03-331</v>
      </c>
      <c r="J1420" s="6" t="str">
        <f>_xlfn.CONCAT("VE-",Tabela10[[#This Row],[KOD_PRODUKTU]])</f>
        <v>VE-900E03-331</v>
      </c>
    </row>
    <row r="1421" spans="1:10" x14ac:dyDescent="0.25">
      <c r="A1421" s="1" t="s">
        <v>2936</v>
      </c>
      <c r="B1421" t="s">
        <v>2937</v>
      </c>
      <c r="C1421" s="1" t="s">
        <v>1743</v>
      </c>
      <c r="D1421" t="s">
        <v>1744</v>
      </c>
      <c r="E1421" t="s">
        <v>1354</v>
      </c>
      <c r="F1421" t="s">
        <v>5</v>
      </c>
      <c r="G1421" t="s">
        <v>2938</v>
      </c>
      <c r="H1421">
        <v>10.5</v>
      </c>
      <c r="I1421" s="6" t="str">
        <f>_xlfn.CONCAT("Art. złączny do produktu ",Tabela10[[#This Row],[KOD_PRODUKTU]])</f>
        <v>Art. złączny do produktu 900E03-332</v>
      </c>
      <c r="J1421" s="6" t="str">
        <f>_xlfn.CONCAT("VE-",Tabela10[[#This Row],[KOD_PRODUKTU]])</f>
        <v>VE-900E03-332</v>
      </c>
    </row>
    <row r="1422" spans="1:10" x14ac:dyDescent="0.25">
      <c r="A1422" s="7" t="s">
        <v>2936</v>
      </c>
      <c r="B1422" s="6" t="s">
        <v>2937</v>
      </c>
      <c r="C1422" s="7" t="s">
        <v>7</v>
      </c>
      <c r="D1422" s="6" t="s">
        <v>8</v>
      </c>
      <c r="E1422" s="6" t="s">
        <v>9</v>
      </c>
      <c r="F1422" s="6" t="s">
        <v>10</v>
      </c>
      <c r="G1422" s="6" t="s">
        <v>860</v>
      </c>
      <c r="H1422" s="6">
        <v>23</v>
      </c>
      <c r="I1422" s="6" t="str">
        <f>_xlfn.CONCAT("Art. złączny do produktu ",Tabela10[[#This Row],[KOD_PRODUKTU]])</f>
        <v>Art. złączny do produktu 900E03-332</v>
      </c>
      <c r="J1422" s="6" t="str">
        <f>_xlfn.CONCAT("VE-",Tabela10[[#This Row],[KOD_PRODUKTU]])</f>
        <v>VE-900E03-332</v>
      </c>
    </row>
    <row r="1423" spans="1:10" x14ac:dyDescent="0.25">
      <c r="A1423" s="1" t="s">
        <v>2939</v>
      </c>
      <c r="B1423" t="s">
        <v>2940</v>
      </c>
      <c r="C1423" s="1" t="s">
        <v>2941</v>
      </c>
      <c r="D1423" t="s">
        <v>2942</v>
      </c>
      <c r="E1423" t="s">
        <v>1394</v>
      </c>
      <c r="F1423" t="s">
        <v>5</v>
      </c>
      <c r="G1423" t="s">
        <v>2943</v>
      </c>
      <c r="H1423">
        <v>0.95</v>
      </c>
      <c r="I1423" s="6" t="str">
        <f>_xlfn.CONCAT("Art. złączny do produktu ",Tabela10[[#This Row],[KOD_PRODUKTU]])</f>
        <v>Art. złączny do produktu 900K01-110</v>
      </c>
      <c r="J1423" s="6" t="str">
        <f>_xlfn.CONCAT("VE-",Tabela10[[#This Row],[KOD_PRODUKTU]])</f>
        <v>VE-900K01-110</v>
      </c>
    </row>
    <row r="1424" spans="1:10" x14ac:dyDescent="0.25">
      <c r="A1424" s="7" t="s">
        <v>2939</v>
      </c>
      <c r="B1424" s="6" t="s">
        <v>2940</v>
      </c>
      <c r="C1424" s="7" t="s">
        <v>541</v>
      </c>
      <c r="D1424" s="6" t="s">
        <v>542</v>
      </c>
      <c r="E1424" s="6" t="s">
        <v>9</v>
      </c>
      <c r="F1424" s="6" t="s">
        <v>10</v>
      </c>
      <c r="G1424" s="6" t="s">
        <v>2944</v>
      </c>
      <c r="H1424" s="6">
        <v>7.58</v>
      </c>
      <c r="I1424" s="6" t="str">
        <f>_xlfn.CONCAT("Art. złączny do produktu ",Tabela10[[#This Row],[KOD_PRODUKTU]])</f>
        <v>Art. złączny do produktu 900K01-110</v>
      </c>
      <c r="J1424" s="6" t="str">
        <f>_xlfn.CONCAT("VE-",Tabela10[[#This Row],[KOD_PRODUKTU]])</f>
        <v>VE-900K01-110</v>
      </c>
    </row>
    <row r="1425" spans="1:10" x14ac:dyDescent="0.25">
      <c r="A1425" s="1" t="s">
        <v>2945</v>
      </c>
      <c r="B1425" t="s">
        <v>2946</v>
      </c>
      <c r="C1425" s="1" t="s">
        <v>2947</v>
      </c>
      <c r="D1425" t="s">
        <v>2948</v>
      </c>
      <c r="E1425" t="s">
        <v>70</v>
      </c>
      <c r="F1425" t="s">
        <v>5</v>
      </c>
      <c r="G1425" t="s">
        <v>2949</v>
      </c>
      <c r="H1425">
        <v>1.4</v>
      </c>
      <c r="I1425" s="6" t="str">
        <f>_xlfn.CONCAT("Art. złączny do produktu ",Tabela10[[#This Row],[KOD_PRODUKTU]])</f>
        <v>Art. złączny do produktu 900K01-211</v>
      </c>
      <c r="J1425" s="6" t="str">
        <f>_xlfn.CONCAT("VE-",Tabela10[[#This Row],[KOD_PRODUKTU]])</f>
        <v>VE-900K01-211</v>
      </c>
    </row>
    <row r="1426" spans="1:10" x14ac:dyDescent="0.25">
      <c r="A1426" s="7" t="s">
        <v>2945</v>
      </c>
      <c r="B1426" s="6" t="s">
        <v>2946</v>
      </c>
      <c r="C1426" s="7" t="s">
        <v>7</v>
      </c>
      <c r="D1426" s="6" t="s">
        <v>8</v>
      </c>
      <c r="E1426" s="6" t="s">
        <v>9</v>
      </c>
      <c r="F1426" s="6" t="s">
        <v>10</v>
      </c>
      <c r="G1426" s="6" t="s">
        <v>2950</v>
      </c>
      <c r="H1426" s="6">
        <v>7.74</v>
      </c>
      <c r="I1426" s="6" t="str">
        <f>_xlfn.CONCAT("Art. złączny do produktu ",Tabela10[[#This Row],[KOD_PRODUKTU]])</f>
        <v>Art. złączny do produktu 900K01-211</v>
      </c>
      <c r="J1426" s="6" t="str">
        <f>_xlfn.CONCAT("VE-",Tabela10[[#This Row],[KOD_PRODUKTU]])</f>
        <v>VE-900K01-211</v>
      </c>
    </row>
    <row r="1427" spans="1:10" x14ac:dyDescent="0.25">
      <c r="A1427" s="1" t="s">
        <v>2951</v>
      </c>
      <c r="B1427" t="s">
        <v>2952</v>
      </c>
      <c r="C1427" s="1" t="s">
        <v>2474</v>
      </c>
      <c r="D1427" t="s">
        <v>2475</v>
      </c>
      <c r="E1427" t="s">
        <v>2469</v>
      </c>
      <c r="F1427" t="s">
        <v>5</v>
      </c>
      <c r="G1427" t="s">
        <v>1026</v>
      </c>
      <c r="H1427">
        <v>7.79</v>
      </c>
      <c r="I1427" s="6" t="str">
        <f>_xlfn.CONCAT("Art. złączny do produktu ",Tabela10[[#This Row],[KOD_PRODUKTU]])</f>
        <v>Art. złączny do produktu 900K01-221</v>
      </c>
      <c r="J1427" s="6" t="str">
        <f>_xlfn.CONCAT("VE-",Tabela10[[#This Row],[KOD_PRODUKTU]])</f>
        <v>VE-900K01-221</v>
      </c>
    </row>
    <row r="1428" spans="1:10" x14ac:dyDescent="0.25">
      <c r="A1428" s="7" t="s">
        <v>2951</v>
      </c>
      <c r="B1428" s="6" t="s">
        <v>2952</v>
      </c>
      <c r="C1428" s="7" t="s">
        <v>7</v>
      </c>
      <c r="D1428" s="6" t="s">
        <v>8</v>
      </c>
      <c r="E1428" s="6" t="s">
        <v>9</v>
      </c>
      <c r="F1428" s="6" t="s">
        <v>10</v>
      </c>
      <c r="G1428" s="6" t="s">
        <v>2944</v>
      </c>
      <c r="H1428" s="6">
        <v>7.58</v>
      </c>
      <c r="I1428" s="6" t="str">
        <f>_xlfn.CONCAT("Art. złączny do produktu ",Tabela10[[#This Row],[KOD_PRODUKTU]])</f>
        <v>Art. złączny do produktu 900K01-221</v>
      </c>
      <c r="J1428" s="6" t="str">
        <f>_xlfn.CONCAT("VE-",Tabela10[[#This Row],[KOD_PRODUKTU]])</f>
        <v>VE-900K01-221</v>
      </c>
    </row>
    <row r="1429" spans="1:10" x14ac:dyDescent="0.25">
      <c r="A1429" s="1" t="s">
        <v>2953</v>
      </c>
      <c r="B1429" t="s">
        <v>2954</v>
      </c>
      <c r="C1429" s="1" t="s">
        <v>2955</v>
      </c>
      <c r="D1429" t="s">
        <v>2956</v>
      </c>
      <c r="E1429" t="s">
        <v>311</v>
      </c>
      <c r="F1429" t="s">
        <v>17</v>
      </c>
      <c r="G1429" t="s">
        <v>2957</v>
      </c>
      <c r="H1429">
        <v>0.3</v>
      </c>
      <c r="I1429" s="6" t="str">
        <f>_xlfn.CONCAT("Art. złączny do produktu ",Tabela10[[#This Row],[KOD_PRODUKTU]])</f>
        <v>Art. złączny do produktu 900K01-222</v>
      </c>
      <c r="J1429" s="6" t="str">
        <f>_xlfn.CONCAT("VE-",Tabela10[[#This Row],[KOD_PRODUKTU]])</f>
        <v>VE-900K01-222</v>
      </c>
    </row>
    <row r="1430" spans="1:10" x14ac:dyDescent="0.25">
      <c r="A1430" s="7" t="s">
        <v>2953</v>
      </c>
      <c r="B1430" s="6" t="s">
        <v>2954</v>
      </c>
      <c r="C1430" s="7" t="s">
        <v>7</v>
      </c>
      <c r="D1430" s="6" t="s">
        <v>8</v>
      </c>
      <c r="E1430" s="6" t="s">
        <v>9</v>
      </c>
      <c r="F1430" s="6" t="s">
        <v>10</v>
      </c>
      <c r="G1430" s="6" t="s">
        <v>2958</v>
      </c>
      <c r="H1430" s="6">
        <v>3.97</v>
      </c>
      <c r="I1430" s="6" t="str">
        <f>_xlfn.CONCAT("Art. złączny do produktu ",Tabela10[[#This Row],[KOD_PRODUKTU]])</f>
        <v>Art. złączny do produktu 900K01-222</v>
      </c>
      <c r="J1430" s="6" t="str">
        <f>_xlfn.CONCAT("VE-",Tabela10[[#This Row],[KOD_PRODUKTU]])</f>
        <v>VE-900K01-222</v>
      </c>
    </row>
    <row r="1431" spans="1:10" x14ac:dyDescent="0.25">
      <c r="A1431" s="1" t="s">
        <v>2959</v>
      </c>
      <c r="B1431" t="s">
        <v>2960</v>
      </c>
      <c r="C1431" s="1" t="s">
        <v>2961</v>
      </c>
      <c r="D1431" t="s">
        <v>2962</v>
      </c>
      <c r="E1431" t="s">
        <v>2963</v>
      </c>
      <c r="F1431" t="s">
        <v>5</v>
      </c>
      <c r="G1431" t="s">
        <v>2964</v>
      </c>
      <c r="H1431">
        <v>0.25</v>
      </c>
      <c r="I1431" s="6" t="str">
        <f>_xlfn.CONCAT("Art. złączny do produktu ",Tabela10[[#This Row],[KOD_PRODUKTU]])</f>
        <v>Art. złączny do produktu 900K01-223</v>
      </c>
      <c r="J1431" s="6" t="str">
        <f>_xlfn.CONCAT("VE-",Tabela10[[#This Row],[KOD_PRODUKTU]])</f>
        <v>VE-900K01-223</v>
      </c>
    </row>
    <row r="1432" spans="1:10" x14ac:dyDescent="0.25">
      <c r="A1432" s="7" t="s">
        <v>2959</v>
      </c>
      <c r="B1432" s="6" t="s">
        <v>2960</v>
      </c>
      <c r="C1432" s="7" t="s">
        <v>7</v>
      </c>
      <c r="D1432" s="6" t="s">
        <v>8</v>
      </c>
      <c r="E1432" s="6" t="s">
        <v>9</v>
      </c>
      <c r="F1432" s="6" t="s">
        <v>10</v>
      </c>
      <c r="G1432" s="6" t="s">
        <v>1200</v>
      </c>
      <c r="H1432" s="6">
        <v>3.87</v>
      </c>
      <c r="I1432" s="6" t="str">
        <f>_xlfn.CONCAT("Art. złączny do produktu ",Tabela10[[#This Row],[KOD_PRODUKTU]])</f>
        <v>Art. złączny do produktu 900K01-223</v>
      </c>
      <c r="J1432" s="6" t="str">
        <f>_xlfn.CONCAT("VE-",Tabela10[[#This Row],[KOD_PRODUKTU]])</f>
        <v>VE-900K01-223</v>
      </c>
    </row>
    <row r="1433" spans="1:10" x14ac:dyDescent="0.25">
      <c r="A1433" s="1" t="s">
        <v>2965</v>
      </c>
      <c r="B1433" t="s">
        <v>2966</v>
      </c>
      <c r="C1433" s="1" t="s">
        <v>2967</v>
      </c>
      <c r="D1433" t="s">
        <v>2968</v>
      </c>
      <c r="E1433" t="s">
        <v>2969</v>
      </c>
      <c r="F1433" t="s">
        <v>49</v>
      </c>
      <c r="G1433" t="s">
        <v>2970</v>
      </c>
      <c r="H1433">
        <v>37</v>
      </c>
      <c r="I1433" s="6" t="str">
        <f>_xlfn.CONCAT("Art. złączny do produktu ",Tabela10[[#This Row],[KOD_PRODUKTU]])</f>
        <v>Art. złączny do produktu 900K03-210</v>
      </c>
      <c r="J1433" s="6" t="str">
        <f>_xlfn.CONCAT("VE-",Tabela10[[#This Row],[KOD_PRODUKTU]])</f>
        <v>VE-900K03-210</v>
      </c>
    </row>
    <row r="1434" spans="1:10" x14ac:dyDescent="0.25">
      <c r="A1434" s="7" t="s">
        <v>2965</v>
      </c>
      <c r="B1434" s="6" t="s">
        <v>2966</v>
      </c>
      <c r="C1434" s="7" t="s">
        <v>7</v>
      </c>
      <c r="D1434" s="6" t="s">
        <v>8</v>
      </c>
      <c r="E1434" s="6" t="s">
        <v>9</v>
      </c>
      <c r="F1434" s="6" t="s">
        <v>10</v>
      </c>
      <c r="G1434" s="6" t="s">
        <v>2971</v>
      </c>
      <c r="H1434" s="6">
        <v>21.95</v>
      </c>
      <c r="I1434" s="6" t="str">
        <f>_xlfn.CONCAT("Art. złączny do produktu ",Tabela10[[#This Row],[KOD_PRODUKTU]])</f>
        <v>Art. złączny do produktu 900K03-210</v>
      </c>
      <c r="J1434" s="6" t="str">
        <f>_xlfn.CONCAT("VE-",Tabela10[[#This Row],[KOD_PRODUKTU]])</f>
        <v>VE-900K03-210</v>
      </c>
    </row>
    <row r="1435" spans="1:10" x14ac:dyDescent="0.25">
      <c r="A1435" s="1" t="s">
        <v>2972</v>
      </c>
      <c r="B1435" t="s">
        <v>2973</v>
      </c>
      <c r="C1435" s="1" t="s">
        <v>2967</v>
      </c>
      <c r="D1435" t="s">
        <v>2968</v>
      </c>
      <c r="E1435" t="s">
        <v>2969</v>
      </c>
      <c r="F1435" t="s">
        <v>49</v>
      </c>
      <c r="G1435" t="s">
        <v>50</v>
      </c>
      <c r="H1435">
        <v>73.92</v>
      </c>
      <c r="I1435" s="6" t="str">
        <f>_xlfn.CONCAT("Art. złączny do produktu ",Tabela10[[#This Row],[KOD_PRODUKTU]])</f>
        <v>Art. złączny do produktu 900K03-211</v>
      </c>
      <c r="J1435" s="6" t="str">
        <f>_xlfn.CONCAT("VE-",Tabela10[[#This Row],[KOD_PRODUKTU]])</f>
        <v>VE-900K03-211</v>
      </c>
    </row>
    <row r="1436" spans="1:10" x14ac:dyDescent="0.25">
      <c r="A1436" s="7" t="s">
        <v>2972</v>
      </c>
      <c r="B1436" s="6" t="s">
        <v>2973</v>
      </c>
      <c r="C1436" s="7" t="s">
        <v>41</v>
      </c>
      <c r="D1436" s="6" t="s">
        <v>42</v>
      </c>
      <c r="E1436" s="6" t="s">
        <v>513</v>
      </c>
      <c r="F1436" s="6" t="s">
        <v>5</v>
      </c>
      <c r="G1436" s="6" t="s">
        <v>2974</v>
      </c>
      <c r="H1436" s="6">
        <v>0.03</v>
      </c>
      <c r="I1436" s="6" t="str">
        <f>_xlfn.CONCAT("Art. złączny do produktu ",Tabela10[[#This Row],[KOD_PRODUKTU]])</f>
        <v>Art. złączny do produktu 900K03-211</v>
      </c>
      <c r="J1436" s="6" t="str">
        <f>_xlfn.CONCAT("VE-",Tabela10[[#This Row],[KOD_PRODUKTU]])</f>
        <v>VE-900K03-211</v>
      </c>
    </row>
    <row r="1437" spans="1:10" x14ac:dyDescent="0.25">
      <c r="A1437" s="1" t="s">
        <v>2972</v>
      </c>
      <c r="B1437" t="s">
        <v>2973</v>
      </c>
      <c r="C1437" s="1" t="s">
        <v>7</v>
      </c>
      <c r="D1437" t="s">
        <v>8</v>
      </c>
      <c r="E1437" t="s">
        <v>9</v>
      </c>
      <c r="F1437" t="s">
        <v>10</v>
      </c>
      <c r="G1437" t="s">
        <v>2975</v>
      </c>
      <c r="H1437">
        <v>15.68</v>
      </c>
      <c r="I1437" s="6" t="str">
        <f>_xlfn.CONCAT("Art. złączny do produktu ",Tabela10[[#This Row],[KOD_PRODUKTU]])</f>
        <v>Art. złączny do produktu 900K03-211</v>
      </c>
      <c r="J1437" s="6" t="str">
        <f>_xlfn.CONCAT("VE-",Tabela10[[#This Row],[KOD_PRODUKTU]])</f>
        <v>VE-900K03-211</v>
      </c>
    </row>
    <row r="1438" spans="1:10" x14ac:dyDescent="0.25">
      <c r="A1438" s="7" t="s">
        <v>2976</v>
      </c>
      <c r="B1438" s="6" t="s">
        <v>2977</v>
      </c>
      <c r="C1438" s="7" t="s">
        <v>2941</v>
      </c>
      <c r="D1438" s="6" t="s">
        <v>2942</v>
      </c>
      <c r="E1438" s="6" t="s">
        <v>1394</v>
      </c>
      <c r="F1438" s="6" t="s">
        <v>5</v>
      </c>
      <c r="G1438" s="6" t="s">
        <v>601</v>
      </c>
      <c r="H1438" s="6">
        <v>0.6</v>
      </c>
      <c r="I1438" s="6" t="str">
        <f>_xlfn.CONCAT("Art. złączny do produktu ",Tabela10[[#This Row],[KOD_PRODUKTU]])</f>
        <v>Art. złączny do produktu 900K03-410</v>
      </c>
      <c r="J1438" s="6" t="str">
        <f>_xlfn.CONCAT("VE-",Tabela10[[#This Row],[KOD_PRODUKTU]])</f>
        <v>VE-900K03-410</v>
      </c>
    </row>
    <row r="1439" spans="1:10" x14ac:dyDescent="0.25">
      <c r="A1439" s="1" t="s">
        <v>2976</v>
      </c>
      <c r="B1439" t="s">
        <v>2977</v>
      </c>
      <c r="C1439" s="1" t="s">
        <v>7</v>
      </c>
      <c r="D1439" t="s">
        <v>8</v>
      </c>
      <c r="E1439" t="s">
        <v>9</v>
      </c>
      <c r="F1439" t="s">
        <v>10</v>
      </c>
      <c r="G1439" t="s">
        <v>2978</v>
      </c>
      <c r="H1439">
        <v>21.28</v>
      </c>
      <c r="I1439" s="6" t="str">
        <f>_xlfn.CONCAT("Art. złączny do produktu ",Tabela10[[#This Row],[KOD_PRODUKTU]])</f>
        <v>Art. złączny do produktu 900K03-410</v>
      </c>
      <c r="J1439" s="6" t="str">
        <f>_xlfn.CONCAT("VE-",Tabela10[[#This Row],[KOD_PRODUKTU]])</f>
        <v>VE-900K03-410</v>
      </c>
    </row>
    <row r="1440" spans="1:10" x14ac:dyDescent="0.25">
      <c r="A1440" s="7" t="s">
        <v>2979</v>
      </c>
      <c r="B1440" s="6" t="s">
        <v>2980</v>
      </c>
      <c r="C1440" s="7" t="s">
        <v>2981</v>
      </c>
      <c r="D1440" s="6" t="s">
        <v>2982</v>
      </c>
      <c r="E1440" s="6" t="s">
        <v>2983</v>
      </c>
      <c r="F1440" s="6" t="s">
        <v>49</v>
      </c>
      <c r="G1440" s="6" t="s">
        <v>50</v>
      </c>
      <c r="H1440" s="6">
        <v>8.58</v>
      </c>
      <c r="I1440" s="6" t="str">
        <f>_xlfn.CONCAT("Art. złączny do produktu ",Tabela10[[#This Row],[KOD_PRODUKTU]])</f>
        <v>Art. złączny do produktu 900K03-510</v>
      </c>
      <c r="J1440" s="6" t="str">
        <f>_xlfn.CONCAT("VE-",Tabela10[[#This Row],[KOD_PRODUKTU]])</f>
        <v>VE-900K03-510</v>
      </c>
    </row>
    <row r="1441" spans="1:10" x14ac:dyDescent="0.25">
      <c r="A1441" s="1" t="s">
        <v>2979</v>
      </c>
      <c r="B1441" t="s">
        <v>2980</v>
      </c>
      <c r="C1441" s="1" t="s">
        <v>7</v>
      </c>
      <c r="D1441" t="s">
        <v>8</v>
      </c>
      <c r="E1441" t="s">
        <v>9</v>
      </c>
      <c r="F1441" t="s">
        <v>10</v>
      </c>
      <c r="G1441" t="s">
        <v>2984</v>
      </c>
      <c r="H1441">
        <v>3.88</v>
      </c>
      <c r="I1441" s="6" t="str">
        <f>_xlfn.CONCAT("Art. złączny do produktu ",Tabela10[[#This Row],[KOD_PRODUKTU]])</f>
        <v>Art. złączny do produktu 900K03-510</v>
      </c>
      <c r="J1441" s="6" t="str">
        <f>_xlfn.CONCAT("VE-",Tabela10[[#This Row],[KOD_PRODUKTU]])</f>
        <v>VE-900K03-510</v>
      </c>
    </row>
    <row r="1442" spans="1:10" x14ac:dyDescent="0.25">
      <c r="A1442" s="7" t="s">
        <v>2985</v>
      </c>
      <c r="B1442" s="6" t="s">
        <v>2986</v>
      </c>
      <c r="C1442" s="7" t="s">
        <v>2987</v>
      </c>
      <c r="D1442" s="6" t="s">
        <v>2988</v>
      </c>
      <c r="E1442" s="6" t="s">
        <v>2989</v>
      </c>
      <c r="F1442" s="6" t="s">
        <v>49</v>
      </c>
      <c r="G1442" s="6" t="s">
        <v>50</v>
      </c>
      <c r="H1442" s="6">
        <v>1.56</v>
      </c>
      <c r="I1442" s="6" t="str">
        <f>_xlfn.CONCAT("Art. złączny do produktu ",Tabela10[[#This Row],[KOD_PRODUKTU]])</f>
        <v>Art. złączny do produktu 900K03-520</v>
      </c>
      <c r="J1442" s="6" t="str">
        <f>_xlfn.CONCAT("VE-",Tabela10[[#This Row],[KOD_PRODUKTU]])</f>
        <v>VE-900K03-520</v>
      </c>
    </row>
    <row r="1443" spans="1:10" x14ac:dyDescent="0.25">
      <c r="A1443" s="1" t="s">
        <v>2985</v>
      </c>
      <c r="B1443" t="s">
        <v>2986</v>
      </c>
      <c r="C1443" s="1" t="s">
        <v>7</v>
      </c>
      <c r="D1443" t="s">
        <v>8</v>
      </c>
      <c r="E1443" t="s">
        <v>9</v>
      </c>
      <c r="F1443" t="s">
        <v>10</v>
      </c>
      <c r="G1443" t="s">
        <v>2984</v>
      </c>
      <c r="H1443">
        <v>3.88</v>
      </c>
      <c r="I1443" s="6" t="str">
        <f>_xlfn.CONCAT("Art. złączny do produktu ",Tabela10[[#This Row],[KOD_PRODUKTU]])</f>
        <v>Art. złączny do produktu 900K03-520</v>
      </c>
      <c r="J1443" s="6" t="str">
        <f>_xlfn.CONCAT("VE-",Tabela10[[#This Row],[KOD_PRODUKTU]])</f>
        <v>VE-900K03-520</v>
      </c>
    </row>
    <row r="1444" spans="1:10" x14ac:dyDescent="0.25">
      <c r="A1444" s="7" t="s">
        <v>2990</v>
      </c>
      <c r="B1444" s="6" t="s">
        <v>2991</v>
      </c>
      <c r="C1444" s="7" t="s">
        <v>2992</v>
      </c>
      <c r="D1444" s="6" t="s">
        <v>2993</v>
      </c>
      <c r="E1444" s="6" t="s">
        <v>2994</v>
      </c>
      <c r="F1444" s="6" t="s">
        <v>49</v>
      </c>
      <c r="G1444" s="6" t="s">
        <v>50</v>
      </c>
      <c r="H1444" s="6">
        <v>17.899999999999999</v>
      </c>
      <c r="I1444" s="6" t="str">
        <f>_xlfn.CONCAT("Art. złączny do produktu ",Tabela10[[#This Row],[KOD_PRODUKTU]])</f>
        <v>Art. złączny do produktu 900K04-221</v>
      </c>
      <c r="J1444" s="6" t="str">
        <f>_xlfn.CONCAT("VE-",Tabela10[[#This Row],[KOD_PRODUKTU]])</f>
        <v>VE-900K04-221</v>
      </c>
    </row>
    <row r="1445" spans="1:10" x14ac:dyDescent="0.25">
      <c r="A1445" s="1" t="s">
        <v>2990</v>
      </c>
      <c r="B1445" t="s">
        <v>2991</v>
      </c>
      <c r="C1445" s="1" t="s">
        <v>541</v>
      </c>
      <c r="D1445" t="s">
        <v>542</v>
      </c>
      <c r="E1445" t="s">
        <v>9</v>
      </c>
      <c r="F1445" t="s">
        <v>10</v>
      </c>
      <c r="G1445" t="s">
        <v>1349</v>
      </c>
      <c r="H1445">
        <v>3.45</v>
      </c>
      <c r="I1445" s="6" t="str">
        <f>_xlfn.CONCAT("Art. złączny do produktu ",Tabela10[[#This Row],[KOD_PRODUKTU]])</f>
        <v>Art. złączny do produktu 900K04-221</v>
      </c>
      <c r="J1445" s="6" t="str">
        <f>_xlfn.CONCAT("VE-",Tabela10[[#This Row],[KOD_PRODUKTU]])</f>
        <v>VE-900K04-221</v>
      </c>
    </row>
    <row r="1446" spans="1:10" x14ac:dyDescent="0.25">
      <c r="A1446" s="7" t="s">
        <v>2995</v>
      </c>
      <c r="B1446" s="6" t="s">
        <v>2996</v>
      </c>
      <c r="C1446" s="7" t="s">
        <v>2997</v>
      </c>
      <c r="D1446" s="6" t="s">
        <v>2998</v>
      </c>
      <c r="E1446" s="6" t="s">
        <v>2994</v>
      </c>
      <c r="F1446" s="6" t="s">
        <v>49</v>
      </c>
      <c r="G1446" s="6" t="s">
        <v>50</v>
      </c>
      <c r="H1446" s="6">
        <v>17.899999999999999</v>
      </c>
      <c r="I1446" s="6" t="str">
        <f>_xlfn.CONCAT("Art. złączny do produktu ",Tabela10[[#This Row],[KOD_PRODUKTU]])</f>
        <v>Art. złączny do produktu 900K04-231</v>
      </c>
      <c r="J1446" s="6" t="str">
        <f>_xlfn.CONCAT("VE-",Tabela10[[#This Row],[KOD_PRODUKTU]])</f>
        <v>VE-900K04-231</v>
      </c>
    </row>
    <row r="1447" spans="1:10" x14ac:dyDescent="0.25">
      <c r="A1447" s="1" t="s">
        <v>2995</v>
      </c>
      <c r="B1447" t="s">
        <v>2996</v>
      </c>
      <c r="C1447" s="1" t="s">
        <v>541</v>
      </c>
      <c r="D1447" t="s">
        <v>542</v>
      </c>
      <c r="E1447" t="s">
        <v>9</v>
      </c>
      <c r="F1447" t="s">
        <v>10</v>
      </c>
      <c r="G1447" t="s">
        <v>1349</v>
      </c>
      <c r="H1447">
        <v>3.45</v>
      </c>
      <c r="I1447" s="6" t="str">
        <f>_xlfn.CONCAT("Art. złączny do produktu ",Tabela10[[#This Row],[KOD_PRODUKTU]])</f>
        <v>Art. złączny do produktu 900K04-231</v>
      </c>
      <c r="J1447" s="6" t="str">
        <f>_xlfn.CONCAT("VE-",Tabela10[[#This Row],[KOD_PRODUKTU]])</f>
        <v>VE-900K04-231</v>
      </c>
    </row>
    <row r="1448" spans="1:10" x14ac:dyDescent="0.25">
      <c r="A1448" s="7" t="s">
        <v>2999</v>
      </c>
      <c r="B1448" s="6" t="s">
        <v>3000</v>
      </c>
      <c r="C1448" s="7" t="s">
        <v>2458</v>
      </c>
      <c r="D1448" s="6" t="s">
        <v>2459</v>
      </c>
      <c r="E1448" s="6" t="s">
        <v>384</v>
      </c>
      <c r="F1448" s="6" t="s">
        <v>5</v>
      </c>
      <c r="G1448" s="6" t="s">
        <v>860</v>
      </c>
      <c r="H1448" s="6">
        <v>5.45</v>
      </c>
      <c r="I1448" s="6" t="str">
        <f>_xlfn.CONCAT("Art. złączny do produktu ",Tabela10[[#This Row],[KOD_PRODUKTU]])</f>
        <v>Art. złączny do produktu 900K04-240</v>
      </c>
      <c r="J1448" s="6" t="str">
        <f>_xlfn.CONCAT("VE-",Tabela10[[#This Row],[KOD_PRODUKTU]])</f>
        <v>VE-900K04-240</v>
      </c>
    </row>
    <row r="1449" spans="1:10" x14ac:dyDescent="0.25">
      <c r="A1449" s="1" t="s">
        <v>2999</v>
      </c>
      <c r="B1449" t="s">
        <v>3000</v>
      </c>
      <c r="C1449" s="1" t="s">
        <v>7</v>
      </c>
      <c r="D1449" t="s">
        <v>8</v>
      </c>
      <c r="E1449" t="s">
        <v>9</v>
      </c>
      <c r="F1449" t="s">
        <v>10</v>
      </c>
      <c r="G1449" t="s">
        <v>3001</v>
      </c>
      <c r="H1449">
        <v>2.67</v>
      </c>
      <c r="I1449" s="6" t="str">
        <f>_xlfn.CONCAT("Art. złączny do produktu ",Tabela10[[#This Row],[KOD_PRODUKTU]])</f>
        <v>Art. złączny do produktu 900K04-240</v>
      </c>
      <c r="J1449" s="6" t="str">
        <f>_xlfn.CONCAT("VE-",Tabela10[[#This Row],[KOD_PRODUKTU]])</f>
        <v>VE-900K04-240</v>
      </c>
    </row>
    <row r="1450" spans="1:10" x14ac:dyDescent="0.25">
      <c r="A1450" s="7" t="s">
        <v>3002</v>
      </c>
      <c r="B1450" s="6" t="s">
        <v>3003</v>
      </c>
      <c r="C1450" s="7" t="s">
        <v>29</v>
      </c>
      <c r="D1450" s="6" t="s">
        <v>30</v>
      </c>
      <c r="E1450" s="6" t="s">
        <v>31</v>
      </c>
      <c r="F1450" s="6" t="s">
        <v>5</v>
      </c>
      <c r="G1450" s="6" t="s">
        <v>3004</v>
      </c>
      <c r="H1450" s="6">
        <v>2.95</v>
      </c>
      <c r="I1450" s="6" t="str">
        <f>_xlfn.CONCAT("Art. złączny do produktu ",Tabela10[[#This Row],[KOD_PRODUKTU]])</f>
        <v>Art. złączny do produktu 900M04-201</v>
      </c>
      <c r="J1450" s="6" t="str">
        <f>_xlfn.CONCAT("VE-",Tabela10[[#This Row],[KOD_PRODUKTU]])</f>
        <v>VE-900M04-201</v>
      </c>
    </row>
    <row r="1451" spans="1:10" x14ac:dyDescent="0.25">
      <c r="A1451" s="1" t="s">
        <v>3002</v>
      </c>
      <c r="B1451" t="s">
        <v>3003</v>
      </c>
      <c r="C1451" s="1" t="s">
        <v>432</v>
      </c>
      <c r="D1451" t="s">
        <v>433</v>
      </c>
      <c r="E1451" t="s">
        <v>434</v>
      </c>
      <c r="F1451" t="s">
        <v>435</v>
      </c>
      <c r="G1451" t="s">
        <v>50</v>
      </c>
      <c r="H1451">
        <v>1.1000000000000001</v>
      </c>
      <c r="I1451" s="6" t="str">
        <f>_xlfn.CONCAT("Art. złączny do produktu ",Tabela10[[#This Row],[KOD_PRODUKTU]])</f>
        <v>Art. złączny do produktu 900M04-201</v>
      </c>
      <c r="J1451" s="6" t="str">
        <f>_xlfn.CONCAT("VE-",Tabela10[[#This Row],[KOD_PRODUKTU]])</f>
        <v>VE-900M04-201</v>
      </c>
    </row>
    <row r="1452" spans="1:10" x14ac:dyDescent="0.25">
      <c r="A1452" s="7" t="s">
        <v>3002</v>
      </c>
      <c r="B1452" s="6" t="s">
        <v>3003</v>
      </c>
      <c r="C1452" s="7" t="s">
        <v>541</v>
      </c>
      <c r="D1452" s="6" t="s">
        <v>542</v>
      </c>
      <c r="E1452" s="6" t="s">
        <v>9</v>
      </c>
      <c r="F1452" s="6" t="s">
        <v>10</v>
      </c>
      <c r="G1452" s="6" t="s">
        <v>1435</v>
      </c>
      <c r="H1452" s="6">
        <v>6.31</v>
      </c>
      <c r="I1452" s="6" t="str">
        <f>_xlfn.CONCAT("Art. złączny do produktu ",Tabela10[[#This Row],[KOD_PRODUKTU]])</f>
        <v>Art. złączny do produktu 900M04-201</v>
      </c>
      <c r="J1452" s="6" t="str">
        <f>_xlfn.CONCAT("VE-",Tabela10[[#This Row],[KOD_PRODUKTU]])</f>
        <v>VE-900M04-201</v>
      </c>
    </row>
    <row r="1453" spans="1:10" x14ac:dyDescent="0.25">
      <c r="A1453" s="1" t="s">
        <v>3005</v>
      </c>
      <c r="B1453" t="s">
        <v>3006</v>
      </c>
      <c r="C1453" s="1" t="s">
        <v>3007</v>
      </c>
      <c r="D1453" t="s">
        <v>3008</v>
      </c>
      <c r="E1453" t="s">
        <v>70</v>
      </c>
      <c r="F1453" t="s">
        <v>5</v>
      </c>
      <c r="G1453" t="s">
        <v>2214</v>
      </c>
      <c r="H1453">
        <v>4</v>
      </c>
      <c r="I1453" s="6" t="str">
        <f>_xlfn.CONCAT("Art. złączny do produktu ",Tabela10[[#This Row],[KOD_PRODUKTU]])</f>
        <v>Art. złączny do produktu 900M04-210</v>
      </c>
      <c r="J1453" s="6" t="str">
        <f>_xlfn.CONCAT("VE-",Tabela10[[#This Row],[KOD_PRODUKTU]])</f>
        <v>VE-900M04-210</v>
      </c>
    </row>
    <row r="1454" spans="1:10" x14ac:dyDescent="0.25">
      <c r="A1454" s="7" t="s">
        <v>3005</v>
      </c>
      <c r="B1454" s="6" t="s">
        <v>3006</v>
      </c>
      <c r="C1454" s="7" t="s">
        <v>432</v>
      </c>
      <c r="D1454" s="6" t="s">
        <v>433</v>
      </c>
      <c r="E1454" s="6" t="s">
        <v>434</v>
      </c>
      <c r="F1454" s="6" t="s">
        <v>435</v>
      </c>
      <c r="G1454" s="6" t="s">
        <v>50</v>
      </c>
      <c r="H1454" s="6">
        <v>1.1000000000000001</v>
      </c>
      <c r="I1454" s="6" t="str">
        <f>_xlfn.CONCAT("Art. złączny do produktu ",Tabela10[[#This Row],[KOD_PRODUKTU]])</f>
        <v>Art. złączny do produktu 900M04-210</v>
      </c>
      <c r="J1454" s="6" t="str">
        <f>_xlfn.CONCAT("VE-",Tabela10[[#This Row],[KOD_PRODUKTU]])</f>
        <v>VE-900M04-210</v>
      </c>
    </row>
    <row r="1455" spans="1:10" x14ac:dyDescent="0.25">
      <c r="A1455" s="1" t="s">
        <v>3005</v>
      </c>
      <c r="B1455" t="s">
        <v>3006</v>
      </c>
      <c r="C1455" s="1" t="s">
        <v>541</v>
      </c>
      <c r="D1455" t="s">
        <v>542</v>
      </c>
      <c r="E1455" t="s">
        <v>9</v>
      </c>
      <c r="F1455" t="s">
        <v>10</v>
      </c>
      <c r="G1455" t="s">
        <v>33</v>
      </c>
      <c r="H1455">
        <v>9.1999999999999993</v>
      </c>
      <c r="I1455" s="6" t="str">
        <f>_xlfn.CONCAT("Art. złączny do produktu ",Tabela10[[#This Row],[KOD_PRODUKTU]])</f>
        <v>Art. złączny do produktu 900M04-210</v>
      </c>
      <c r="J1455" s="6" t="str">
        <f>_xlfn.CONCAT("VE-",Tabela10[[#This Row],[KOD_PRODUKTU]])</f>
        <v>VE-900M04-210</v>
      </c>
    </row>
    <row r="1456" spans="1:10" x14ac:dyDescent="0.25">
      <c r="A1456" s="7" t="s">
        <v>3009</v>
      </c>
      <c r="B1456" s="6" t="s">
        <v>3010</v>
      </c>
      <c r="C1456" s="7" t="s">
        <v>3011</v>
      </c>
      <c r="D1456" s="6" t="s">
        <v>3012</v>
      </c>
      <c r="E1456" s="6" t="s">
        <v>1394</v>
      </c>
      <c r="F1456" s="6" t="s">
        <v>932</v>
      </c>
      <c r="G1456" s="6" t="s">
        <v>860</v>
      </c>
      <c r="H1456" s="6">
        <v>2</v>
      </c>
      <c r="I1456" s="6" t="str">
        <f>_xlfn.CONCAT("Art. złączny do produktu ",Tabela10[[#This Row],[KOD_PRODUKTU]])</f>
        <v>Art. złączny do produktu 900M04-230</v>
      </c>
      <c r="J1456" s="6" t="str">
        <f>_xlfn.CONCAT("VE-",Tabela10[[#This Row],[KOD_PRODUKTU]])</f>
        <v>VE-900M04-230</v>
      </c>
    </row>
    <row r="1457" spans="1:10" x14ac:dyDescent="0.25">
      <c r="A1457" s="1" t="s">
        <v>3009</v>
      </c>
      <c r="B1457" t="s">
        <v>3010</v>
      </c>
      <c r="C1457" s="1" t="s">
        <v>541</v>
      </c>
      <c r="D1457" t="s">
        <v>542</v>
      </c>
      <c r="E1457" t="s">
        <v>9</v>
      </c>
      <c r="F1457" t="s">
        <v>10</v>
      </c>
      <c r="G1457" t="s">
        <v>367</v>
      </c>
      <c r="H1457">
        <v>2.2999999999999998</v>
      </c>
      <c r="I1457" s="6" t="str">
        <f>_xlfn.CONCAT("Art. złączny do produktu ",Tabela10[[#This Row],[KOD_PRODUKTU]])</f>
        <v>Art. złączny do produktu 900M04-230</v>
      </c>
      <c r="J1457" s="6" t="str">
        <f>_xlfn.CONCAT("VE-",Tabela10[[#This Row],[KOD_PRODUKTU]])</f>
        <v>VE-900M04-230</v>
      </c>
    </row>
    <row r="1458" spans="1:10" x14ac:dyDescent="0.25">
      <c r="A1458" s="7" t="s">
        <v>3013</v>
      </c>
      <c r="B1458" s="6" t="s">
        <v>3014</v>
      </c>
      <c r="C1458" s="7" t="s">
        <v>3015</v>
      </c>
      <c r="D1458" s="6" t="s">
        <v>3016</v>
      </c>
      <c r="E1458" s="6" t="s">
        <v>3017</v>
      </c>
      <c r="F1458" s="6" t="s">
        <v>49</v>
      </c>
      <c r="G1458" s="6" t="s">
        <v>50</v>
      </c>
      <c r="H1458" s="6">
        <v>8.36</v>
      </c>
      <c r="I1458" s="6" t="str">
        <f>_xlfn.CONCAT("Art. złączny do produktu ",Tabela10[[#This Row],[KOD_PRODUKTU]])</f>
        <v>Art. złączny do produktu 900M04-240</v>
      </c>
      <c r="J1458" s="6" t="str">
        <f>_xlfn.CONCAT("VE-",Tabela10[[#This Row],[KOD_PRODUKTU]])</f>
        <v>VE-900M04-240</v>
      </c>
    </row>
    <row r="1459" spans="1:10" x14ac:dyDescent="0.25">
      <c r="A1459" s="1" t="s">
        <v>3013</v>
      </c>
      <c r="B1459" t="s">
        <v>3014</v>
      </c>
      <c r="C1459" s="1" t="s">
        <v>541</v>
      </c>
      <c r="D1459" t="s">
        <v>542</v>
      </c>
      <c r="E1459" t="s">
        <v>9</v>
      </c>
      <c r="F1459" t="s">
        <v>10</v>
      </c>
      <c r="G1459" t="s">
        <v>19</v>
      </c>
      <c r="H1459">
        <v>4.5999999999999996</v>
      </c>
      <c r="I1459" s="6" t="str">
        <f>_xlfn.CONCAT("Art. złączny do produktu ",Tabela10[[#This Row],[KOD_PRODUKTU]])</f>
        <v>Art. złączny do produktu 900M04-240</v>
      </c>
      <c r="J1459" s="6" t="str">
        <f>_xlfn.CONCAT("VE-",Tabela10[[#This Row],[KOD_PRODUKTU]])</f>
        <v>VE-900M04-240</v>
      </c>
    </row>
    <row r="1460" spans="1:10" x14ac:dyDescent="0.25">
      <c r="A1460" s="7" t="s">
        <v>3018</v>
      </c>
      <c r="B1460" s="6" t="s">
        <v>3019</v>
      </c>
      <c r="C1460" s="7" t="s">
        <v>3011</v>
      </c>
      <c r="D1460" s="6" t="s">
        <v>3012</v>
      </c>
      <c r="E1460" s="6" t="s">
        <v>1394</v>
      </c>
      <c r="F1460" s="6" t="s">
        <v>932</v>
      </c>
      <c r="G1460" s="6" t="s">
        <v>607</v>
      </c>
      <c r="H1460" s="6">
        <v>1.6</v>
      </c>
      <c r="I1460" s="6" t="str">
        <f>_xlfn.CONCAT("Art. złączny do produktu ",Tabela10[[#This Row],[KOD_PRODUKTU]])</f>
        <v>Art. złączny do produktu 900M04-260</v>
      </c>
      <c r="J1460" s="6" t="str">
        <f>_xlfn.CONCAT("VE-",Tabela10[[#This Row],[KOD_PRODUKTU]])</f>
        <v>VE-900M04-260</v>
      </c>
    </row>
    <row r="1461" spans="1:10" x14ac:dyDescent="0.25">
      <c r="A1461" s="1" t="s">
        <v>3018</v>
      </c>
      <c r="B1461" t="s">
        <v>3019</v>
      </c>
      <c r="C1461" s="1" t="s">
        <v>541</v>
      </c>
      <c r="D1461" t="s">
        <v>542</v>
      </c>
      <c r="E1461" t="s">
        <v>9</v>
      </c>
      <c r="F1461" t="s">
        <v>10</v>
      </c>
      <c r="G1461" t="s">
        <v>367</v>
      </c>
      <c r="H1461">
        <v>2.2999999999999998</v>
      </c>
      <c r="I1461" s="6" t="str">
        <f>_xlfn.CONCAT("Art. złączny do produktu ",Tabela10[[#This Row],[KOD_PRODUKTU]])</f>
        <v>Art. złączny do produktu 900M04-260</v>
      </c>
      <c r="J1461" s="6" t="str">
        <f>_xlfn.CONCAT("VE-",Tabela10[[#This Row],[KOD_PRODUKTU]])</f>
        <v>VE-900M04-260</v>
      </c>
    </row>
    <row r="1462" spans="1:10" x14ac:dyDescent="0.25">
      <c r="A1462" s="7" t="s">
        <v>3020</v>
      </c>
      <c r="B1462" s="6" t="s">
        <v>3021</v>
      </c>
      <c r="C1462" s="7" t="s">
        <v>3022</v>
      </c>
      <c r="D1462" s="6" t="s">
        <v>3023</v>
      </c>
      <c r="E1462" s="6" t="s">
        <v>2309</v>
      </c>
      <c r="F1462" s="6" t="s">
        <v>49</v>
      </c>
      <c r="G1462" s="6" t="s">
        <v>50</v>
      </c>
      <c r="H1462" s="6">
        <v>9.75</v>
      </c>
      <c r="I1462" s="6" t="str">
        <f>_xlfn.CONCAT("Art. złączny do produktu ",Tabela10[[#This Row],[KOD_PRODUKTU]])</f>
        <v>Art. złączny do produktu 900M04-270</v>
      </c>
      <c r="J1462" s="6" t="str">
        <f>_xlfn.CONCAT("VE-",Tabela10[[#This Row],[KOD_PRODUKTU]])</f>
        <v>VE-900M04-270</v>
      </c>
    </row>
    <row r="1463" spans="1:10" x14ac:dyDescent="0.25">
      <c r="A1463" s="1" t="s">
        <v>3020</v>
      </c>
      <c r="B1463" t="s">
        <v>3021</v>
      </c>
      <c r="C1463" s="1" t="s">
        <v>541</v>
      </c>
      <c r="D1463" t="s">
        <v>542</v>
      </c>
      <c r="E1463" t="s">
        <v>9</v>
      </c>
      <c r="F1463" t="s">
        <v>10</v>
      </c>
      <c r="G1463" t="s">
        <v>19</v>
      </c>
      <c r="H1463">
        <v>4.5999999999999996</v>
      </c>
      <c r="I1463" s="6" t="str">
        <f>_xlfn.CONCAT("Art. złączny do produktu ",Tabela10[[#This Row],[KOD_PRODUKTU]])</f>
        <v>Art. złączny do produktu 900M04-270</v>
      </c>
      <c r="J1463" s="6" t="str">
        <f>_xlfn.CONCAT("VE-",Tabela10[[#This Row],[KOD_PRODUKTU]])</f>
        <v>VE-900M04-270</v>
      </c>
    </row>
    <row r="1464" spans="1:10" x14ac:dyDescent="0.25">
      <c r="A1464" s="7" t="s">
        <v>3024</v>
      </c>
      <c r="B1464" s="6" t="s">
        <v>3025</v>
      </c>
      <c r="C1464" s="7" t="s">
        <v>3026</v>
      </c>
      <c r="D1464" s="6" t="s">
        <v>3027</v>
      </c>
      <c r="E1464" s="6" t="s">
        <v>70</v>
      </c>
      <c r="F1464" s="6" t="s">
        <v>5</v>
      </c>
      <c r="G1464" s="6" t="s">
        <v>3028</v>
      </c>
      <c r="H1464" s="6">
        <v>1.6</v>
      </c>
      <c r="I1464" s="6" t="str">
        <f>_xlfn.CONCAT("Art. złączny do produktu ",Tabela10[[#This Row],[KOD_PRODUKTU]])</f>
        <v>Art. złączny do produktu 900M04-411</v>
      </c>
      <c r="J1464" s="6" t="str">
        <f>_xlfn.CONCAT("VE-",Tabela10[[#This Row],[KOD_PRODUKTU]])</f>
        <v>VE-900M04-411</v>
      </c>
    </row>
    <row r="1465" spans="1:10" x14ac:dyDescent="0.25">
      <c r="A1465" s="1" t="s">
        <v>3024</v>
      </c>
      <c r="B1465" t="s">
        <v>3025</v>
      </c>
      <c r="C1465" s="1" t="s">
        <v>541</v>
      </c>
      <c r="D1465" t="s">
        <v>542</v>
      </c>
      <c r="E1465" t="s">
        <v>9</v>
      </c>
      <c r="F1465" t="s">
        <v>10</v>
      </c>
      <c r="G1465" t="s">
        <v>33</v>
      </c>
      <c r="H1465">
        <v>9.1999999999999993</v>
      </c>
      <c r="I1465" s="6" t="str">
        <f>_xlfn.CONCAT("Art. złączny do produktu ",Tabela10[[#This Row],[KOD_PRODUKTU]])</f>
        <v>Art. złączny do produktu 900M04-411</v>
      </c>
      <c r="J1465" s="6" t="str">
        <f>_xlfn.CONCAT("VE-",Tabela10[[#This Row],[KOD_PRODUKTU]])</f>
        <v>VE-900M04-411</v>
      </c>
    </row>
    <row r="1466" spans="1:10" x14ac:dyDescent="0.25">
      <c r="A1466" s="7" t="s">
        <v>3029</v>
      </c>
      <c r="B1466" s="6" t="s">
        <v>3030</v>
      </c>
      <c r="C1466" s="7" t="s">
        <v>29</v>
      </c>
      <c r="D1466" s="6" t="s">
        <v>30</v>
      </c>
      <c r="E1466" s="6" t="s">
        <v>31</v>
      </c>
      <c r="F1466" s="6" t="s">
        <v>5</v>
      </c>
      <c r="G1466" s="6" t="s">
        <v>3031</v>
      </c>
      <c r="H1466" s="6">
        <v>3.6</v>
      </c>
      <c r="I1466" s="6" t="str">
        <f>_xlfn.CONCAT("Art. złączny do produktu ",Tabela10[[#This Row],[KOD_PRODUKTU]])</f>
        <v>Art. złączny do produktu 900M04-581</v>
      </c>
      <c r="J1466" s="6" t="str">
        <f>_xlfn.CONCAT("VE-",Tabela10[[#This Row],[KOD_PRODUKTU]])</f>
        <v>VE-900M04-581</v>
      </c>
    </row>
    <row r="1467" spans="1:10" x14ac:dyDescent="0.25">
      <c r="A1467" s="1" t="s">
        <v>3029</v>
      </c>
      <c r="B1467" t="s">
        <v>3030</v>
      </c>
      <c r="C1467" s="1" t="s">
        <v>541</v>
      </c>
      <c r="D1467" t="s">
        <v>542</v>
      </c>
      <c r="E1467" t="s">
        <v>9</v>
      </c>
      <c r="F1467" t="s">
        <v>10</v>
      </c>
      <c r="G1467" t="s">
        <v>1435</v>
      </c>
      <c r="H1467">
        <v>6.31</v>
      </c>
      <c r="I1467" s="6" t="str">
        <f>_xlfn.CONCAT("Art. złączny do produktu ",Tabela10[[#This Row],[KOD_PRODUKTU]])</f>
        <v>Art. złączny do produktu 900M04-581</v>
      </c>
      <c r="J1467" s="6" t="str">
        <f>_xlfn.CONCAT("VE-",Tabela10[[#This Row],[KOD_PRODUKTU]])</f>
        <v>VE-900M04-581</v>
      </c>
    </row>
    <row r="1468" spans="1:10" x14ac:dyDescent="0.25">
      <c r="A1468" s="7" t="s">
        <v>3032</v>
      </c>
      <c r="B1468" s="6" t="s">
        <v>3033</v>
      </c>
      <c r="C1468" s="7" t="s">
        <v>3034</v>
      </c>
      <c r="D1468" s="6" t="s">
        <v>3035</v>
      </c>
      <c r="E1468" s="6" t="s">
        <v>83</v>
      </c>
      <c r="F1468" s="6" t="s">
        <v>17</v>
      </c>
      <c r="G1468" s="6" t="s">
        <v>3036</v>
      </c>
      <c r="H1468" s="6">
        <v>3.8</v>
      </c>
      <c r="I1468" s="6" t="str">
        <f>_xlfn.CONCAT("Art. złączny do produktu ",Tabela10[[#This Row],[KOD_PRODUKTU]])</f>
        <v>Art. złączny do produktu 900O01-321</v>
      </c>
      <c r="J1468" s="6" t="str">
        <f>_xlfn.CONCAT("VE-",Tabela10[[#This Row],[KOD_PRODUKTU]])</f>
        <v>VE-900O01-321</v>
      </c>
    </row>
    <row r="1469" spans="1:10" x14ac:dyDescent="0.25">
      <c r="A1469" s="1" t="s">
        <v>3032</v>
      </c>
      <c r="B1469" t="s">
        <v>3033</v>
      </c>
      <c r="C1469" s="1" t="s">
        <v>541</v>
      </c>
      <c r="D1469" t="s">
        <v>542</v>
      </c>
      <c r="E1469" t="s">
        <v>9</v>
      </c>
      <c r="F1469" t="s">
        <v>10</v>
      </c>
      <c r="G1469" t="s">
        <v>3037</v>
      </c>
      <c r="H1469">
        <v>3.83</v>
      </c>
      <c r="I1469" s="6" t="str">
        <f>_xlfn.CONCAT("Art. złączny do produktu ",Tabela10[[#This Row],[KOD_PRODUKTU]])</f>
        <v>Art. złączny do produktu 900O01-321</v>
      </c>
      <c r="J1469" s="6" t="str">
        <f>_xlfn.CONCAT("VE-",Tabela10[[#This Row],[KOD_PRODUKTU]])</f>
        <v>VE-900O01-321</v>
      </c>
    </row>
    <row r="1470" spans="1:10" x14ac:dyDescent="0.25">
      <c r="A1470" s="7" t="s">
        <v>3038</v>
      </c>
      <c r="B1470" s="6" t="s">
        <v>3039</v>
      </c>
      <c r="C1470" s="7" t="s">
        <v>2463</v>
      </c>
      <c r="D1470" s="6" t="s">
        <v>2464</v>
      </c>
      <c r="E1470" s="6" t="s">
        <v>216</v>
      </c>
      <c r="F1470" s="6" t="s">
        <v>5</v>
      </c>
      <c r="G1470" s="6" t="s">
        <v>3040</v>
      </c>
      <c r="H1470" s="6">
        <v>4.97</v>
      </c>
      <c r="I1470" s="6" t="str">
        <f>_xlfn.CONCAT("Art. złączny do produktu ",Tabela10[[#This Row],[KOD_PRODUKTU]])</f>
        <v>Art. złączny do produktu 900O01-322</v>
      </c>
      <c r="J1470" s="6" t="str">
        <f>_xlfn.CONCAT("VE-",Tabela10[[#This Row],[KOD_PRODUKTU]])</f>
        <v>VE-900O01-322</v>
      </c>
    </row>
    <row r="1471" spans="1:10" x14ac:dyDescent="0.25">
      <c r="A1471" s="1" t="s">
        <v>3038</v>
      </c>
      <c r="B1471" t="s">
        <v>3039</v>
      </c>
      <c r="C1471" s="1" t="s">
        <v>541</v>
      </c>
      <c r="D1471" t="s">
        <v>542</v>
      </c>
      <c r="E1471" t="s">
        <v>9</v>
      </c>
      <c r="F1471" t="s">
        <v>10</v>
      </c>
      <c r="G1471" t="s">
        <v>3041</v>
      </c>
      <c r="H1471">
        <v>9.69</v>
      </c>
      <c r="I1471" s="6" t="str">
        <f>_xlfn.CONCAT("Art. złączny do produktu ",Tabela10[[#This Row],[KOD_PRODUKTU]])</f>
        <v>Art. złączny do produktu 900O01-322</v>
      </c>
      <c r="J1471" s="6" t="str">
        <f>_xlfn.CONCAT("VE-",Tabela10[[#This Row],[KOD_PRODUKTU]])</f>
        <v>VE-900O01-322</v>
      </c>
    </row>
    <row r="1472" spans="1:10" x14ac:dyDescent="0.25">
      <c r="A1472" s="7" t="s">
        <v>3042</v>
      </c>
      <c r="B1472" s="6" t="s">
        <v>3043</v>
      </c>
      <c r="C1472" s="7" t="s">
        <v>429</v>
      </c>
      <c r="D1472" s="6" t="s">
        <v>430</v>
      </c>
      <c r="E1472" s="6" t="s">
        <v>145</v>
      </c>
      <c r="F1472" s="6" t="s">
        <v>5</v>
      </c>
      <c r="G1472" s="6" t="s">
        <v>3044</v>
      </c>
      <c r="H1472" s="6">
        <v>13.4</v>
      </c>
      <c r="I1472" s="6" t="str">
        <f>_xlfn.CONCAT("Art. złączny do produktu ",Tabela10[[#This Row],[KOD_PRODUKTU]])</f>
        <v>Art. złączny do produktu 900O07-201</v>
      </c>
      <c r="J1472" s="6" t="str">
        <f>_xlfn.CONCAT("VE-",Tabela10[[#This Row],[KOD_PRODUKTU]])</f>
        <v>VE-900O07-201</v>
      </c>
    </row>
    <row r="1473" spans="1:10" x14ac:dyDescent="0.25">
      <c r="A1473" s="1" t="s">
        <v>3042</v>
      </c>
      <c r="B1473" t="s">
        <v>3043</v>
      </c>
      <c r="C1473" s="1" t="s">
        <v>7</v>
      </c>
      <c r="D1473" t="s">
        <v>8</v>
      </c>
      <c r="E1473" t="s">
        <v>9</v>
      </c>
      <c r="F1473" t="s">
        <v>10</v>
      </c>
      <c r="G1473" t="s">
        <v>2471</v>
      </c>
      <c r="H1473">
        <v>12.1</v>
      </c>
      <c r="I1473" s="6" t="str">
        <f>_xlfn.CONCAT("Art. złączny do produktu ",Tabela10[[#This Row],[KOD_PRODUKTU]])</f>
        <v>Art. złączny do produktu 900O07-201</v>
      </c>
      <c r="J1473" s="6" t="str">
        <f>_xlfn.CONCAT("VE-",Tabela10[[#This Row],[KOD_PRODUKTU]])</f>
        <v>VE-900O07-201</v>
      </c>
    </row>
    <row r="1474" spans="1:10" x14ac:dyDescent="0.25">
      <c r="A1474" s="7" t="s">
        <v>3045</v>
      </c>
      <c r="B1474" s="6" t="s">
        <v>3046</v>
      </c>
      <c r="C1474" s="7" t="s">
        <v>7</v>
      </c>
      <c r="D1474" s="6" t="s">
        <v>8</v>
      </c>
      <c r="E1474" s="6" t="s">
        <v>9</v>
      </c>
      <c r="F1474" s="6" t="s">
        <v>10</v>
      </c>
      <c r="G1474" s="6" t="s">
        <v>3047</v>
      </c>
      <c r="H1474" s="6">
        <v>4.83</v>
      </c>
      <c r="I1474" s="6" t="str">
        <f>_xlfn.CONCAT("Art. złączny do produktu ",Tabela10[[#This Row],[KOD_PRODUKTU]])</f>
        <v>Art. złączny do produktu 900O07-400</v>
      </c>
      <c r="J1474" s="6" t="str">
        <f>_xlfn.CONCAT("VE-",Tabela10[[#This Row],[KOD_PRODUKTU]])</f>
        <v>VE-900O07-400</v>
      </c>
    </row>
    <row r="1475" spans="1:10" x14ac:dyDescent="0.25">
      <c r="A1475" s="1" t="s">
        <v>3048</v>
      </c>
      <c r="B1475" t="s">
        <v>3049</v>
      </c>
      <c r="C1475" s="1" t="s">
        <v>22</v>
      </c>
      <c r="D1475" t="s">
        <v>23</v>
      </c>
      <c r="E1475" t="s">
        <v>3050</v>
      </c>
      <c r="F1475" t="s">
        <v>17</v>
      </c>
      <c r="G1475" t="s">
        <v>3051</v>
      </c>
      <c r="H1475">
        <v>40.049999999999997</v>
      </c>
      <c r="I1475" s="6" t="str">
        <f>_xlfn.CONCAT("Art. złączny do produktu ",Tabela10[[#This Row],[KOD_PRODUKTU]])</f>
        <v>Art. złączny do produktu 900O09-221</v>
      </c>
      <c r="J1475" s="6" t="str">
        <f>_xlfn.CONCAT("VE-",Tabela10[[#This Row],[KOD_PRODUKTU]])</f>
        <v>VE-900O09-221</v>
      </c>
    </row>
    <row r="1476" spans="1:10" x14ac:dyDescent="0.25">
      <c r="A1476" s="7" t="s">
        <v>3048</v>
      </c>
      <c r="B1476" s="6" t="s">
        <v>3049</v>
      </c>
      <c r="C1476" s="7" t="s">
        <v>7</v>
      </c>
      <c r="D1476" s="6" t="s">
        <v>8</v>
      </c>
      <c r="E1476" s="6" t="s">
        <v>9</v>
      </c>
      <c r="F1476" s="6" t="s">
        <v>10</v>
      </c>
      <c r="G1476" s="6" t="s">
        <v>2756</v>
      </c>
      <c r="H1476" s="6">
        <v>5.85</v>
      </c>
      <c r="I1476" s="6" t="str">
        <f>_xlfn.CONCAT("Art. złączny do produktu ",Tabela10[[#This Row],[KOD_PRODUKTU]])</f>
        <v>Art. złączny do produktu 900O09-221</v>
      </c>
      <c r="J1476" s="6" t="str">
        <f>_xlfn.CONCAT("VE-",Tabela10[[#This Row],[KOD_PRODUKTU]])</f>
        <v>VE-900O09-221</v>
      </c>
    </row>
    <row r="1477" spans="1:10" x14ac:dyDescent="0.25">
      <c r="A1477" s="1" t="s">
        <v>3058</v>
      </c>
      <c r="B1477" t="s">
        <v>3059</v>
      </c>
      <c r="C1477" s="1" t="s">
        <v>1249</v>
      </c>
      <c r="D1477" t="s">
        <v>1250</v>
      </c>
      <c r="E1477" t="s">
        <v>1251</v>
      </c>
      <c r="F1477" t="s">
        <v>1252</v>
      </c>
      <c r="G1477" t="s">
        <v>3060</v>
      </c>
      <c r="H1477">
        <v>7.32</v>
      </c>
      <c r="I1477" s="6" t="str">
        <f>_xlfn.CONCAT("Art. złączny do produktu ",Tabela10[[#This Row],[KOD_PRODUKTU]])</f>
        <v>Art. złączny do produktu 900O10-150</v>
      </c>
      <c r="J1477" s="6" t="str">
        <f>_xlfn.CONCAT("VE-",Tabela10[[#This Row],[KOD_PRODUKTU]])</f>
        <v>VE-900O10-150</v>
      </c>
    </row>
    <row r="1478" spans="1:10" x14ac:dyDescent="0.25">
      <c r="A1478" s="7" t="s">
        <v>3058</v>
      </c>
      <c r="B1478" s="6" t="s">
        <v>3059</v>
      </c>
      <c r="C1478" s="7" t="s">
        <v>1022</v>
      </c>
      <c r="D1478" s="6" t="s">
        <v>1023</v>
      </c>
      <c r="E1478" s="6" t="s">
        <v>1024</v>
      </c>
      <c r="F1478" s="6" t="s">
        <v>932</v>
      </c>
      <c r="G1478" s="6" t="s">
        <v>3061</v>
      </c>
      <c r="H1478" s="6">
        <v>4.57</v>
      </c>
      <c r="I1478" s="6" t="str">
        <f>_xlfn.CONCAT("Art. złączny do produktu ",Tabela10[[#This Row],[KOD_PRODUKTU]])</f>
        <v>Art. złączny do produktu 900O10-150</v>
      </c>
      <c r="J1478" s="6" t="str">
        <f>_xlfn.CONCAT("VE-",Tabela10[[#This Row],[KOD_PRODUKTU]])</f>
        <v>VE-900O10-150</v>
      </c>
    </row>
    <row r="1479" spans="1:10" x14ac:dyDescent="0.25">
      <c r="A1479" s="1" t="s">
        <v>3058</v>
      </c>
      <c r="B1479" t="s">
        <v>3059</v>
      </c>
      <c r="C1479" s="1" t="s">
        <v>7</v>
      </c>
      <c r="D1479" t="s">
        <v>8</v>
      </c>
      <c r="E1479" t="s">
        <v>9</v>
      </c>
      <c r="F1479" t="s">
        <v>10</v>
      </c>
      <c r="G1479" t="s">
        <v>607</v>
      </c>
      <c r="H1479">
        <v>18.399999999999999</v>
      </c>
      <c r="I1479" s="6" t="str">
        <f>_xlfn.CONCAT("Art. złączny do produktu ",Tabela10[[#This Row],[KOD_PRODUKTU]])</f>
        <v>Art. złączny do produktu 900O10-150</v>
      </c>
      <c r="J1479" s="6" t="str">
        <f>_xlfn.CONCAT("VE-",Tabela10[[#This Row],[KOD_PRODUKTU]])</f>
        <v>VE-900O10-150</v>
      </c>
    </row>
    <row r="1480" spans="1:10" x14ac:dyDescent="0.25">
      <c r="A1480" s="7" t="s">
        <v>3066</v>
      </c>
      <c r="B1480" s="6" t="s">
        <v>3067</v>
      </c>
      <c r="C1480" s="7" t="s">
        <v>2479</v>
      </c>
      <c r="D1480" s="6" t="s">
        <v>2480</v>
      </c>
      <c r="E1480" s="6" t="s">
        <v>2469</v>
      </c>
      <c r="F1480" s="6" t="s">
        <v>5</v>
      </c>
      <c r="G1480" s="6" t="s">
        <v>3068</v>
      </c>
      <c r="H1480" s="6">
        <v>1.2</v>
      </c>
      <c r="I1480" s="6" t="str">
        <f>_xlfn.CONCAT("Art. złączny do produktu ",Tabela10[[#This Row],[KOD_PRODUKTU]])</f>
        <v>Art. złączny do produktu 900O10-500</v>
      </c>
      <c r="J1480" s="6" t="str">
        <f>_xlfn.CONCAT("VE-",Tabela10[[#This Row],[KOD_PRODUKTU]])</f>
        <v>VE-900O10-500</v>
      </c>
    </row>
    <row r="1481" spans="1:10" x14ac:dyDescent="0.25">
      <c r="A1481" s="1" t="s">
        <v>3066</v>
      </c>
      <c r="B1481" t="s">
        <v>3067</v>
      </c>
      <c r="C1481" s="1" t="s">
        <v>541</v>
      </c>
      <c r="D1481" t="s">
        <v>542</v>
      </c>
      <c r="E1481" t="s">
        <v>9</v>
      </c>
      <c r="F1481" t="s">
        <v>10</v>
      </c>
      <c r="G1481" t="s">
        <v>1729</v>
      </c>
      <c r="H1481">
        <v>7.23</v>
      </c>
      <c r="I1481" s="6" t="str">
        <f>_xlfn.CONCAT("Art. złączny do produktu ",Tabela10[[#This Row],[KOD_PRODUKTU]])</f>
        <v>Art. złączny do produktu 900O10-500</v>
      </c>
      <c r="J1481" s="6" t="str">
        <f>_xlfn.CONCAT("VE-",Tabela10[[#This Row],[KOD_PRODUKTU]])</f>
        <v>VE-900O10-500</v>
      </c>
    </row>
    <row r="1482" spans="1:10" x14ac:dyDescent="0.25">
      <c r="A1482" s="7" t="s">
        <v>3069</v>
      </c>
      <c r="B1482" s="6" t="s">
        <v>3070</v>
      </c>
      <c r="C1482" s="7" t="s">
        <v>3071</v>
      </c>
      <c r="D1482" s="6" t="s">
        <v>3072</v>
      </c>
      <c r="E1482" s="6" t="s">
        <v>879</v>
      </c>
      <c r="F1482" s="6" t="s">
        <v>17</v>
      </c>
      <c r="G1482" s="6" t="s">
        <v>3073</v>
      </c>
      <c r="H1482" s="6">
        <v>0.65</v>
      </c>
      <c r="I1482" s="6" t="str">
        <f>_xlfn.CONCAT("Art. złączny do produktu ",Tabela10[[#This Row],[KOD_PRODUKTU]])</f>
        <v>Art. złączny do produktu 900O13-141</v>
      </c>
      <c r="J1482" s="6" t="str">
        <f>_xlfn.CONCAT("VE-",Tabela10[[#This Row],[KOD_PRODUKTU]])</f>
        <v>VE-900O13-141</v>
      </c>
    </row>
    <row r="1483" spans="1:10" x14ac:dyDescent="0.25">
      <c r="A1483" s="1" t="s">
        <v>3069</v>
      </c>
      <c r="B1483" t="s">
        <v>3070</v>
      </c>
      <c r="C1483" s="1" t="s">
        <v>541</v>
      </c>
      <c r="D1483" t="s">
        <v>542</v>
      </c>
      <c r="E1483" t="s">
        <v>9</v>
      </c>
      <c r="F1483" t="s">
        <v>10</v>
      </c>
      <c r="G1483" t="s">
        <v>3074</v>
      </c>
      <c r="H1483">
        <v>7.67</v>
      </c>
      <c r="I1483" s="6" t="str">
        <f>_xlfn.CONCAT("Art. złączny do produktu ",Tabela10[[#This Row],[KOD_PRODUKTU]])</f>
        <v>Art. złączny do produktu 900O13-141</v>
      </c>
      <c r="J1483" s="6" t="str">
        <f>_xlfn.CONCAT("VE-",Tabela10[[#This Row],[KOD_PRODUKTU]])</f>
        <v>VE-900O13-141</v>
      </c>
    </row>
    <row r="1484" spans="1:10" x14ac:dyDescent="0.25">
      <c r="A1484" s="7" t="s">
        <v>3075</v>
      </c>
      <c r="B1484" s="6" t="s">
        <v>3076</v>
      </c>
      <c r="C1484" s="7" t="s">
        <v>3077</v>
      </c>
      <c r="D1484" s="6" t="s">
        <v>3078</v>
      </c>
      <c r="E1484" s="6" t="s">
        <v>2883</v>
      </c>
      <c r="F1484" s="6" t="s">
        <v>5</v>
      </c>
      <c r="G1484" s="6" t="s">
        <v>3079</v>
      </c>
      <c r="H1484" s="6">
        <v>2.1800000000000002</v>
      </c>
      <c r="I1484" s="6" t="str">
        <f>_xlfn.CONCAT("Art. złączny do produktu ",Tabela10[[#This Row],[KOD_PRODUKTU]])</f>
        <v>Art. złączny do produktu 900O13-201</v>
      </c>
      <c r="J1484" s="6" t="str">
        <f>_xlfn.CONCAT("VE-",Tabela10[[#This Row],[KOD_PRODUKTU]])</f>
        <v>VE-900O13-201</v>
      </c>
    </row>
    <row r="1485" spans="1:10" x14ac:dyDescent="0.25">
      <c r="A1485" s="1" t="s">
        <v>3075</v>
      </c>
      <c r="B1485" t="s">
        <v>3076</v>
      </c>
      <c r="C1485" s="1" t="s">
        <v>41</v>
      </c>
      <c r="D1485" t="s">
        <v>42</v>
      </c>
      <c r="E1485" t="s">
        <v>43</v>
      </c>
      <c r="F1485" t="s">
        <v>5</v>
      </c>
      <c r="G1485" t="s">
        <v>550</v>
      </c>
      <c r="H1485">
        <v>0.02</v>
      </c>
      <c r="I1485" s="6" t="str">
        <f>_xlfn.CONCAT("Art. złączny do produktu ",Tabela10[[#This Row],[KOD_PRODUKTU]])</f>
        <v>Art. złączny do produktu 900O13-201</v>
      </c>
      <c r="J1485" s="6" t="str">
        <f>_xlfn.CONCAT("VE-",Tabela10[[#This Row],[KOD_PRODUKTU]])</f>
        <v>VE-900O13-201</v>
      </c>
    </row>
    <row r="1486" spans="1:10" x14ac:dyDescent="0.25">
      <c r="A1486" s="7" t="s">
        <v>3075</v>
      </c>
      <c r="B1486" s="6" t="s">
        <v>3076</v>
      </c>
      <c r="C1486" s="7" t="s">
        <v>7</v>
      </c>
      <c r="D1486" s="6" t="s">
        <v>8</v>
      </c>
      <c r="E1486" s="6" t="s">
        <v>9</v>
      </c>
      <c r="F1486" s="6" t="s">
        <v>10</v>
      </c>
      <c r="G1486" s="6" t="s">
        <v>2482</v>
      </c>
      <c r="H1486" s="6">
        <v>5.3</v>
      </c>
      <c r="I1486" s="6" t="str">
        <f>_xlfn.CONCAT("Art. złączny do produktu ",Tabela10[[#This Row],[KOD_PRODUKTU]])</f>
        <v>Art. złączny do produktu 900O13-201</v>
      </c>
      <c r="J1486" s="6" t="str">
        <f>_xlfn.CONCAT("VE-",Tabela10[[#This Row],[KOD_PRODUKTU]])</f>
        <v>VE-900O13-201</v>
      </c>
    </row>
    <row r="1487" spans="1:10" x14ac:dyDescent="0.25">
      <c r="A1487" s="1" t="s">
        <v>3080</v>
      </c>
      <c r="B1487" t="s">
        <v>3081</v>
      </c>
      <c r="C1487" s="1" t="s">
        <v>3082</v>
      </c>
      <c r="D1487" t="s">
        <v>3083</v>
      </c>
      <c r="E1487" t="s">
        <v>1110</v>
      </c>
      <c r="F1487" t="s">
        <v>17</v>
      </c>
      <c r="G1487" t="s">
        <v>367</v>
      </c>
      <c r="H1487">
        <v>2.4500000000000002</v>
      </c>
      <c r="I1487" s="6" t="str">
        <f>_xlfn.CONCAT("Art. złączny do produktu ",Tabela10[[#This Row],[KOD_PRODUKTU]])</f>
        <v>Art. złączny do produktu 900O13-232</v>
      </c>
      <c r="J1487" s="6" t="str">
        <f>_xlfn.CONCAT("VE-",Tabela10[[#This Row],[KOD_PRODUKTU]])</f>
        <v>VE-900O13-232</v>
      </c>
    </row>
    <row r="1488" spans="1:10" x14ac:dyDescent="0.25">
      <c r="A1488" s="7" t="s">
        <v>3080</v>
      </c>
      <c r="B1488" s="6" t="s">
        <v>3081</v>
      </c>
      <c r="C1488" s="7" t="s">
        <v>7</v>
      </c>
      <c r="D1488" s="6" t="s">
        <v>8</v>
      </c>
      <c r="E1488" s="6" t="s">
        <v>9</v>
      </c>
      <c r="F1488" s="6" t="s">
        <v>10</v>
      </c>
      <c r="G1488" s="6" t="s">
        <v>3084</v>
      </c>
      <c r="H1488" s="6">
        <v>7.65</v>
      </c>
      <c r="I1488" s="6" t="str">
        <f>_xlfn.CONCAT("Art. złączny do produktu ",Tabela10[[#This Row],[KOD_PRODUKTU]])</f>
        <v>Art. złączny do produktu 900O13-232</v>
      </c>
      <c r="J1488" s="6" t="str">
        <f>_xlfn.CONCAT("VE-",Tabela10[[#This Row],[KOD_PRODUKTU]])</f>
        <v>VE-900O13-232</v>
      </c>
    </row>
    <row r="1489" spans="1:10" x14ac:dyDescent="0.25">
      <c r="A1489" s="1" t="s">
        <v>3092</v>
      </c>
      <c r="B1489" t="s">
        <v>3093</v>
      </c>
      <c r="C1489" s="1" t="s">
        <v>3094</v>
      </c>
      <c r="D1489" t="s">
        <v>3095</v>
      </c>
      <c r="E1489" t="s">
        <v>3096</v>
      </c>
      <c r="F1489" t="s">
        <v>17</v>
      </c>
      <c r="G1489" t="s">
        <v>3097</v>
      </c>
      <c r="H1489">
        <v>60.5</v>
      </c>
      <c r="I1489" s="6" t="str">
        <f>_xlfn.CONCAT("Art. złączny do produktu ",Tabela10[[#This Row],[KOD_PRODUKTU]])</f>
        <v>Art. złączny do produktu 900O13-240</v>
      </c>
      <c r="J1489" s="6" t="str">
        <f>_xlfn.CONCAT("VE-",Tabela10[[#This Row],[KOD_PRODUKTU]])</f>
        <v>VE-900O13-240</v>
      </c>
    </row>
    <row r="1490" spans="1:10" x14ac:dyDescent="0.25">
      <c r="A1490" s="7" t="s">
        <v>3092</v>
      </c>
      <c r="B1490" s="6" t="s">
        <v>3093</v>
      </c>
      <c r="C1490" s="7" t="s">
        <v>7</v>
      </c>
      <c r="D1490" s="6" t="s">
        <v>8</v>
      </c>
      <c r="E1490" s="6" t="s">
        <v>9</v>
      </c>
      <c r="F1490" s="6" t="s">
        <v>10</v>
      </c>
      <c r="G1490" s="6" t="s">
        <v>3098</v>
      </c>
      <c r="H1490" s="6">
        <v>12.3</v>
      </c>
      <c r="I1490" s="6" t="str">
        <f>_xlfn.CONCAT("Art. złączny do produktu ",Tabela10[[#This Row],[KOD_PRODUKTU]])</f>
        <v>Art. złączny do produktu 900O13-240</v>
      </c>
      <c r="J1490" s="6" t="str">
        <f>_xlfn.CONCAT("VE-",Tabela10[[#This Row],[KOD_PRODUKTU]])</f>
        <v>VE-900O13-240</v>
      </c>
    </row>
    <row r="1491" spans="1:10" x14ac:dyDescent="0.25">
      <c r="A1491" s="1" t="s">
        <v>3099</v>
      </c>
      <c r="B1491" t="s">
        <v>3100</v>
      </c>
      <c r="C1491" s="1" t="s">
        <v>1041</v>
      </c>
      <c r="D1491" t="s">
        <v>1042</v>
      </c>
      <c r="E1491" t="s">
        <v>712</v>
      </c>
      <c r="F1491" t="s">
        <v>17</v>
      </c>
      <c r="G1491" t="s">
        <v>3101</v>
      </c>
      <c r="H1491">
        <v>2.2000000000000002</v>
      </c>
      <c r="I1491" s="6" t="str">
        <f>_xlfn.CONCAT("Art. złączny do produktu ",Tabela10[[#This Row],[KOD_PRODUKTU]])</f>
        <v>Art. złączny do produktu 900O13-252</v>
      </c>
      <c r="J1491" s="6" t="str">
        <f>_xlfn.CONCAT("VE-",Tabela10[[#This Row],[KOD_PRODUKTU]])</f>
        <v>VE-900O13-252</v>
      </c>
    </row>
    <row r="1492" spans="1:10" x14ac:dyDescent="0.25">
      <c r="A1492" s="7" t="s">
        <v>3099</v>
      </c>
      <c r="B1492" s="6" t="s">
        <v>3100</v>
      </c>
      <c r="C1492" s="7" t="s">
        <v>7</v>
      </c>
      <c r="D1492" s="6" t="s">
        <v>8</v>
      </c>
      <c r="E1492" s="6" t="s">
        <v>9</v>
      </c>
      <c r="F1492" s="6" t="s">
        <v>10</v>
      </c>
      <c r="G1492" s="6" t="s">
        <v>3102</v>
      </c>
      <c r="H1492" s="6">
        <v>4.95</v>
      </c>
      <c r="I1492" s="6" t="str">
        <f>_xlfn.CONCAT("Art. złączny do produktu ",Tabela10[[#This Row],[KOD_PRODUKTU]])</f>
        <v>Art. złączny do produktu 900O13-252</v>
      </c>
      <c r="J1492" s="6" t="str">
        <f>_xlfn.CONCAT("VE-",Tabela10[[#This Row],[KOD_PRODUKTU]])</f>
        <v>VE-900O13-252</v>
      </c>
    </row>
    <row r="1493" spans="1:10" x14ac:dyDescent="0.25">
      <c r="A1493" s="1" t="s">
        <v>3103</v>
      </c>
      <c r="B1493" t="s">
        <v>3104</v>
      </c>
      <c r="C1493" s="1" t="s">
        <v>1041</v>
      </c>
      <c r="D1493" t="s">
        <v>1042</v>
      </c>
      <c r="E1493" t="s">
        <v>712</v>
      </c>
      <c r="F1493" t="s">
        <v>17</v>
      </c>
      <c r="G1493" t="s">
        <v>3105</v>
      </c>
      <c r="H1493">
        <v>1.1499999999999999</v>
      </c>
      <c r="I1493" s="6" t="str">
        <f>_xlfn.CONCAT("Art. złączny do produktu ",Tabela10[[#This Row],[KOD_PRODUKTU]])</f>
        <v>Art. złączny do produktu 900O13-253</v>
      </c>
      <c r="J1493" s="6" t="str">
        <f>_xlfn.CONCAT("VE-",Tabela10[[#This Row],[KOD_PRODUKTU]])</f>
        <v>VE-900O13-253</v>
      </c>
    </row>
    <row r="1494" spans="1:10" x14ac:dyDescent="0.25">
      <c r="A1494" s="7" t="s">
        <v>3103</v>
      </c>
      <c r="B1494" s="6" t="s">
        <v>3104</v>
      </c>
      <c r="C1494" s="7" t="s">
        <v>541</v>
      </c>
      <c r="D1494" s="6" t="s">
        <v>542</v>
      </c>
      <c r="E1494" s="6" t="s">
        <v>9</v>
      </c>
      <c r="F1494" s="6" t="s">
        <v>10</v>
      </c>
      <c r="G1494" s="6" t="s">
        <v>3106</v>
      </c>
      <c r="H1494" s="6">
        <v>4.42</v>
      </c>
      <c r="I1494" s="6" t="str">
        <f>_xlfn.CONCAT("Art. złączny do produktu ",Tabela10[[#This Row],[KOD_PRODUKTU]])</f>
        <v>Art. złączny do produktu 900O13-253</v>
      </c>
      <c r="J1494" s="6" t="str">
        <f>_xlfn.CONCAT("VE-",Tabela10[[#This Row],[KOD_PRODUKTU]])</f>
        <v>VE-900O13-253</v>
      </c>
    </row>
    <row r="1495" spans="1:10" x14ac:dyDescent="0.25">
      <c r="A1495" s="1" t="s">
        <v>3107</v>
      </c>
      <c r="B1495" t="s">
        <v>3108</v>
      </c>
      <c r="C1495" s="1" t="s">
        <v>3109</v>
      </c>
      <c r="D1495" t="s">
        <v>3110</v>
      </c>
      <c r="E1495" t="s">
        <v>43</v>
      </c>
      <c r="F1495" t="s">
        <v>5</v>
      </c>
      <c r="G1495" t="s">
        <v>367</v>
      </c>
      <c r="H1495">
        <v>0.28999999999999998</v>
      </c>
      <c r="I1495" s="6" t="str">
        <f>_xlfn.CONCAT("Art. złączny do produktu ",Tabela10[[#This Row],[KOD_PRODUKTU]])</f>
        <v>Art. złączny do produktu 900O13-410</v>
      </c>
      <c r="J1495" s="6" t="str">
        <f>_xlfn.CONCAT("VE-",Tabela10[[#This Row],[KOD_PRODUKTU]])</f>
        <v>VE-900O13-410</v>
      </c>
    </row>
    <row r="1496" spans="1:10" x14ac:dyDescent="0.25">
      <c r="A1496" s="7" t="s">
        <v>3107</v>
      </c>
      <c r="B1496" s="6" t="s">
        <v>3108</v>
      </c>
      <c r="C1496" s="7" t="s">
        <v>541</v>
      </c>
      <c r="D1496" s="6" t="s">
        <v>542</v>
      </c>
      <c r="E1496" s="6" t="s">
        <v>9</v>
      </c>
      <c r="F1496" s="6" t="s">
        <v>10</v>
      </c>
      <c r="G1496" s="6" t="s">
        <v>3111</v>
      </c>
      <c r="H1496" s="6">
        <v>5.58</v>
      </c>
      <c r="I1496" s="6" t="str">
        <f>_xlfn.CONCAT("Art. złączny do produktu ",Tabela10[[#This Row],[KOD_PRODUKTU]])</f>
        <v>Art. złączny do produktu 900O13-410</v>
      </c>
      <c r="J1496" s="6" t="str">
        <f>_xlfn.CONCAT("VE-",Tabela10[[#This Row],[KOD_PRODUKTU]])</f>
        <v>VE-900O13-410</v>
      </c>
    </row>
    <row r="1497" spans="1:10" x14ac:dyDescent="0.25">
      <c r="A1497" s="1" t="s">
        <v>3112</v>
      </c>
      <c r="B1497" t="s">
        <v>3108</v>
      </c>
      <c r="C1497" s="1" t="s">
        <v>3109</v>
      </c>
      <c r="D1497" t="s">
        <v>3110</v>
      </c>
      <c r="E1497" t="s">
        <v>43</v>
      </c>
      <c r="F1497" t="s">
        <v>5</v>
      </c>
      <c r="G1497" t="s">
        <v>3113</v>
      </c>
      <c r="H1497">
        <v>0.35</v>
      </c>
      <c r="I1497" s="6" t="str">
        <f>_xlfn.CONCAT("Art. złączny do produktu ",Tabela10[[#This Row],[KOD_PRODUKTU]])</f>
        <v>Art. złączny do produktu 900O13-421</v>
      </c>
      <c r="J1497" s="6" t="str">
        <f>_xlfn.CONCAT("VE-",Tabela10[[#This Row],[KOD_PRODUKTU]])</f>
        <v>VE-900O13-421</v>
      </c>
    </row>
    <row r="1498" spans="1:10" x14ac:dyDescent="0.25">
      <c r="A1498" s="7" t="s">
        <v>3112</v>
      </c>
      <c r="B1498" s="6" t="s">
        <v>3108</v>
      </c>
      <c r="C1498" s="7" t="s">
        <v>7</v>
      </c>
      <c r="D1498" s="6" t="s">
        <v>8</v>
      </c>
      <c r="E1498" s="6" t="s">
        <v>9</v>
      </c>
      <c r="F1498" s="6" t="s">
        <v>10</v>
      </c>
      <c r="G1498" s="6" t="s">
        <v>3114</v>
      </c>
      <c r="H1498" s="6">
        <v>6.25</v>
      </c>
      <c r="I1498" s="6" t="str">
        <f>_xlfn.CONCAT("Art. złączny do produktu ",Tabela10[[#This Row],[KOD_PRODUKTU]])</f>
        <v>Art. złączny do produktu 900O13-421</v>
      </c>
      <c r="J1498" s="6" t="str">
        <f>_xlfn.CONCAT("VE-",Tabela10[[#This Row],[KOD_PRODUKTU]])</f>
        <v>VE-900O13-421</v>
      </c>
    </row>
    <row r="1499" spans="1:10" x14ac:dyDescent="0.25">
      <c r="A1499" s="1" t="s">
        <v>3115</v>
      </c>
      <c r="B1499" t="s">
        <v>3116</v>
      </c>
      <c r="C1499" s="1" t="s">
        <v>3117</v>
      </c>
      <c r="D1499" t="s">
        <v>3118</v>
      </c>
      <c r="E1499" t="s">
        <v>3119</v>
      </c>
      <c r="F1499" t="s">
        <v>17</v>
      </c>
      <c r="G1499" t="s">
        <v>992</v>
      </c>
      <c r="H1499">
        <v>58.5</v>
      </c>
      <c r="I1499" s="6" t="str">
        <f>_xlfn.CONCAT("Art. złączny do produktu ",Tabela10[[#This Row],[KOD_PRODUKTU]])</f>
        <v>Art. złączny do produktu 900O13-430</v>
      </c>
      <c r="J1499" s="6" t="str">
        <f>_xlfn.CONCAT("VE-",Tabela10[[#This Row],[KOD_PRODUKTU]])</f>
        <v>VE-900O13-430</v>
      </c>
    </row>
    <row r="1500" spans="1:10" x14ac:dyDescent="0.25">
      <c r="A1500" s="7" t="s">
        <v>3115</v>
      </c>
      <c r="B1500" s="6" t="s">
        <v>3116</v>
      </c>
      <c r="C1500" s="7" t="s">
        <v>541</v>
      </c>
      <c r="D1500" s="6" t="s">
        <v>542</v>
      </c>
      <c r="E1500" s="6" t="s">
        <v>9</v>
      </c>
      <c r="F1500" s="6" t="s">
        <v>10</v>
      </c>
      <c r="G1500" s="6" t="s">
        <v>594</v>
      </c>
      <c r="H1500" s="6">
        <v>11.5</v>
      </c>
      <c r="I1500" s="6" t="str">
        <f>_xlfn.CONCAT("Art. złączny do produktu ",Tabela10[[#This Row],[KOD_PRODUKTU]])</f>
        <v>Art. złączny do produktu 900O13-430</v>
      </c>
      <c r="J1500" s="6" t="str">
        <f>_xlfn.CONCAT("VE-",Tabela10[[#This Row],[KOD_PRODUKTU]])</f>
        <v>VE-900O13-430</v>
      </c>
    </row>
    <row r="1501" spans="1:10" x14ac:dyDescent="0.25">
      <c r="A1501" s="1" t="s">
        <v>3120</v>
      </c>
      <c r="B1501" t="s">
        <v>3121</v>
      </c>
      <c r="C1501" s="1" t="s">
        <v>3122</v>
      </c>
      <c r="D1501" t="s">
        <v>3123</v>
      </c>
      <c r="E1501" t="s">
        <v>3124</v>
      </c>
      <c r="F1501" t="s">
        <v>17</v>
      </c>
      <c r="G1501" t="s">
        <v>3125</v>
      </c>
      <c r="H1501">
        <v>24.3</v>
      </c>
      <c r="I1501" s="6" t="str">
        <f>_xlfn.CONCAT("Art. złączny do produktu ",Tabela10[[#This Row],[KOD_PRODUKTU]])</f>
        <v>Art. złączny do produktu 900O14-440</v>
      </c>
      <c r="J1501" s="6" t="str">
        <f>_xlfn.CONCAT("VE-",Tabela10[[#This Row],[KOD_PRODUKTU]])</f>
        <v>VE-900O14-440</v>
      </c>
    </row>
    <row r="1502" spans="1:10" x14ac:dyDescent="0.25">
      <c r="A1502" s="7" t="s">
        <v>3120</v>
      </c>
      <c r="B1502" s="6" t="s">
        <v>3121</v>
      </c>
      <c r="C1502" s="7" t="s">
        <v>3126</v>
      </c>
      <c r="D1502" s="6" t="s">
        <v>3127</v>
      </c>
      <c r="E1502" s="6" t="s">
        <v>3128</v>
      </c>
      <c r="F1502" s="6" t="s">
        <v>49</v>
      </c>
      <c r="G1502" s="6" t="s">
        <v>50</v>
      </c>
      <c r="H1502" s="6">
        <v>96.2</v>
      </c>
      <c r="I1502" s="6" t="str">
        <f>_xlfn.CONCAT("Art. złączny do produktu ",Tabela10[[#This Row],[KOD_PRODUKTU]])</f>
        <v>Art. złączny do produktu 900O14-440</v>
      </c>
      <c r="J1502" s="6" t="str">
        <f>_xlfn.CONCAT("VE-",Tabela10[[#This Row],[KOD_PRODUKTU]])</f>
        <v>VE-900O14-440</v>
      </c>
    </row>
    <row r="1503" spans="1:10" x14ac:dyDescent="0.25">
      <c r="A1503" s="1" t="s">
        <v>3120</v>
      </c>
      <c r="B1503" t="s">
        <v>3121</v>
      </c>
      <c r="C1503" s="1" t="s">
        <v>3129</v>
      </c>
      <c r="D1503" t="s">
        <v>3130</v>
      </c>
      <c r="E1503" t="s">
        <v>3131</v>
      </c>
      <c r="F1503" t="s">
        <v>49</v>
      </c>
      <c r="G1503" t="s">
        <v>50</v>
      </c>
      <c r="H1503">
        <v>91</v>
      </c>
      <c r="I1503" s="6" t="str">
        <f>_xlfn.CONCAT("Art. złączny do produktu ",Tabela10[[#This Row],[KOD_PRODUKTU]])</f>
        <v>Art. złączny do produktu 900O14-440</v>
      </c>
      <c r="J1503" s="6" t="str">
        <f>_xlfn.CONCAT("VE-",Tabela10[[#This Row],[KOD_PRODUKTU]])</f>
        <v>VE-900O14-440</v>
      </c>
    </row>
    <row r="1504" spans="1:10" x14ac:dyDescent="0.25">
      <c r="A1504" s="7" t="s">
        <v>3120</v>
      </c>
      <c r="B1504" s="6" t="s">
        <v>3121</v>
      </c>
      <c r="C1504" s="7" t="s">
        <v>1989</v>
      </c>
      <c r="D1504" s="6" t="s">
        <v>1990</v>
      </c>
      <c r="E1504" s="6" t="s">
        <v>1991</v>
      </c>
      <c r="F1504" s="6" t="s">
        <v>435</v>
      </c>
      <c r="G1504" s="6" t="s">
        <v>3132</v>
      </c>
      <c r="H1504" s="6">
        <v>15.3</v>
      </c>
      <c r="I1504" s="6" t="str">
        <f>_xlfn.CONCAT("Art. złączny do produktu ",Tabela10[[#This Row],[KOD_PRODUKTU]])</f>
        <v>Art. złączny do produktu 900O14-440</v>
      </c>
      <c r="J1504" s="6" t="str">
        <f>_xlfn.CONCAT("VE-",Tabela10[[#This Row],[KOD_PRODUKTU]])</f>
        <v>VE-900O14-440</v>
      </c>
    </row>
    <row r="1505" spans="1:10" x14ac:dyDescent="0.25">
      <c r="A1505" s="1" t="s">
        <v>3120</v>
      </c>
      <c r="B1505" t="s">
        <v>3121</v>
      </c>
      <c r="C1505" s="1" t="s">
        <v>688</v>
      </c>
      <c r="D1505" t="s">
        <v>689</v>
      </c>
      <c r="E1505" t="s">
        <v>9</v>
      </c>
      <c r="F1505" t="s">
        <v>10</v>
      </c>
      <c r="G1505" t="s">
        <v>3133</v>
      </c>
      <c r="H1505">
        <v>23.85</v>
      </c>
      <c r="I1505" s="6" t="str">
        <f>_xlfn.CONCAT("Art. złączny do produktu ",Tabela10[[#This Row],[KOD_PRODUKTU]])</f>
        <v>Art. złączny do produktu 900O14-440</v>
      </c>
      <c r="J1505" s="6" t="str">
        <f>_xlfn.CONCAT("VE-",Tabela10[[#This Row],[KOD_PRODUKTU]])</f>
        <v>VE-900O14-440</v>
      </c>
    </row>
    <row r="1506" spans="1:10" x14ac:dyDescent="0.25">
      <c r="A1506" s="7" t="s">
        <v>3134</v>
      </c>
      <c r="B1506" s="6" t="s">
        <v>3135</v>
      </c>
      <c r="C1506" s="7" t="s">
        <v>3136</v>
      </c>
      <c r="D1506" s="6" t="s">
        <v>3137</v>
      </c>
      <c r="E1506" s="6" t="s">
        <v>3138</v>
      </c>
      <c r="F1506" s="6" t="s">
        <v>39</v>
      </c>
      <c r="G1506" s="6" t="s">
        <v>478</v>
      </c>
      <c r="H1506" s="6">
        <v>6.32</v>
      </c>
      <c r="I1506" s="6" t="str">
        <f>_xlfn.CONCAT("Art. złączny do produktu ",Tabela10[[#This Row],[KOD_PRODUKTU]])</f>
        <v>Art. złączny do produktu 900O14-452</v>
      </c>
      <c r="J1506" s="6" t="str">
        <f>_xlfn.CONCAT("VE-",Tabela10[[#This Row],[KOD_PRODUKTU]])</f>
        <v>VE-900O14-452</v>
      </c>
    </row>
    <row r="1507" spans="1:10" x14ac:dyDescent="0.25">
      <c r="A1507" s="1" t="s">
        <v>3134</v>
      </c>
      <c r="B1507" t="s">
        <v>3135</v>
      </c>
      <c r="C1507" s="1" t="s">
        <v>41</v>
      </c>
      <c r="D1507" t="s">
        <v>42</v>
      </c>
      <c r="E1507" t="s">
        <v>43</v>
      </c>
      <c r="F1507" t="s">
        <v>5</v>
      </c>
      <c r="G1507" t="s">
        <v>1867</v>
      </c>
      <c r="H1507">
        <v>0.03</v>
      </c>
      <c r="I1507" s="6" t="str">
        <f>_xlfn.CONCAT("Art. złączny do produktu ",Tabela10[[#This Row],[KOD_PRODUKTU]])</f>
        <v>Art. złączny do produktu 900O14-452</v>
      </c>
      <c r="J1507" s="6" t="str">
        <f>_xlfn.CONCAT("VE-",Tabela10[[#This Row],[KOD_PRODUKTU]])</f>
        <v>VE-900O14-452</v>
      </c>
    </row>
    <row r="1508" spans="1:10" x14ac:dyDescent="0.25">
      <c r="A1508" s="7" t="s">
        <v>3134</v>
      </c>
      <c r="B1508" s="6" t="s">
        <v>3135</v>
      </c>
      <c r="C1508" s="7" t="s">
        <v>3139</v>
      </c>
      <c r="D1508" s="6" t="s">
        <v>3140</v>
      </c>
      <c r="E1508" s="6" t="s">
        <v>3141</v>
      </c>
      <c r="F1508" s="6" t="s">
        <v>49</v>
      </c>
      <c r="G1508" s="6" t="s">
        <v>50</v>
      </c>
      <c r="H1508" s="6">
        <v>45.35</v>
      </c>
      <c r="I1508" s="6" t="str">
        <f>_xlfn.CONCAT("Art. złączny do produktu ",Tabela10[[#This Row],[KOD_PRODUKTU]])</f>
        <v>Art. złączny do produktu 900O14-452</v>
      </c>
      <c r="J1508" s="6" t="str">
        <f>_xlfn.CONCAT("VE-",Tabela10[[#This Row],[KOD_PRODUKTU]])</f>
        <v>VE-900O14-452</v>
      </c>
    </row>
    <row r="1509" spans="1:10" x14ac:dyDescent="0.25">
      <c r="A1509" s="1" t="s">
        <v>3134</v>
      </c>
      <c r="B1509" t="s">
        <v>3135</v>
      </c>
      <c r="C1509" s="1" t="s">
        <v>3142</v>
      </c>
      <c r="D1509" t="s">
        <v>3143</v>
      </c>
      <c r="E1509" t="s">
        <v>3144</v>
      </c>
      <c r="F1509" t="s">
        <v>49</v>
      </c>
      <c r="G1509" t="s">
        <v>50</v>
      </c>
      <c r="H1509">
        <v>57.2</v>
      </c>
      <c r="I1509" s="6" t="str">
        <f>_xlfn.CONCAT("Art. złączny do produktu ",Tabela10[[#This Row],[KOD_PRODUKTU]])</f>
        <v>Art. złączny do produktu 900O14-452</v>
      </c>
      <c r="J1509" s="6" t="str">
        <f>_xlfn.CONCAT("VE-",Tabela10[[#This Row],[KOD_PRODUKTU]])</f>
        <v>VE-900O14-452</v>
      </c>
    </row>
    <row r="1510" spans="1:10" x14ac:dyDescent="0.25">
      <c r="A1510" s="7" t="s">
        <v>3134</v>
      </c>
      <c r="B1510" s="6" t="s">
        <v>3135</v>
      </c>
      <c r="C1510" s="7" t="s">
        <v>3145</v>
      </c>
      <c r="D1510" s="6" t="s">
        <v>3146</v>
      </c>
      <c r="E1510" s="6" t="s">
        <v>3147</v>
      </c>
      <c r="F1510" s="6" t="s">
        <v>49</v>
      </c>
      <c r="G1510" s="6" t="s">
        <v>50</v>
      </c>
      <c r="H1510" s="6">
        <v>124.5</v>
      </c>
      <c r="I1510" s="6" t="str">
        <f>_xlfn.CONCAT("Art. złączny do produktu ",Tabela10[[#This Row],[KOD_PRODUKTU]])</f>
        <v>Art. złączny do produktu 900O14-452</v>
      </c>
      <c r="J1510" s="6" t="str">
        <f>_xlfn.CONCAT("VE-",Tabela10[[#This Row],[KOD_PRODUKTU]])</f>
        <v>VE-900O14-452</v>
      </c>
    </row>
    <row r="1511" spans="1:10" x14ac:dyDescent="0.25">
      <c r="A1511" s="1" t="s">
        <v>3134</v>
      </c>
      <c r="B1511" t="s">
        <v>3135</v>
      </c>
      <c r="C1511" s="1" t="s">
        <v>857</v>
      </c>
      <c r="D1511" t="s">
        <v>858</v>
      </c>
      <c r="E1511" t="s">
        <v>686</v>
      </c>
      <c r="F1511" t="s">
        <v>49</v>
      </c>
      <c r="G1511" t="s">
        <v>3148</v>
      </c>
      <c r="H1511">
        <v>2</v>
      </c>
      <c r="I1511" s="6" t="str">
        <f>_xlfn.CONCAT("Art. złączny do produktu ",Tabela10[[#This Row],[KOD_PRODUKTU]])</f>
        <v>Art. złączny do produktu 900O14-452</v>
      </c>
      <c r="J1511" s="6" t="str">
        <f>_xlfn.CONCAT("VE-",Tabela10[[#This Row],[KOD_PRODUKTU]])</f>
        <v>VE-900O14-452</v>
      </c>
    </row>
    <row r="1512" spans="1:10" x14ac:dyDescent="0.25">
      <c r="A1512" s="7" t="s">
        <v>3134</v>
      </c>
      <c r="B1512" s="6" t="s">
        <v>3135</v>
      </c>
      <c r="C1512" s="7" t="s">
        <v>688</v>
      </c>
      <c r="D1512" s="6" t="s">
        <v>689</v>
      </c>
      <c r="E1512" s="6" t="s">
        <v>9</v>
      </c>
      <c r="F1512" s="6" t="s">
        <v>10</v>
      </c>
      <c r="G1512" s="6" t="s">
        <v>3149</v>
      </c>
      <c r="H1512" s="6">
        <v>27.1</v>
      </c>
      <c r="I1512" s="6" t="str">
        <f>_xlfn.CONCAT("Art. złączny do produktu ",Tabela10[[#This Row],[KOD_PRODUKTU]])</f>
        <v>Art. złączny do produktu 900O14-452</v>
      </c>
      <c r="J1512" s="6" t="str">
        <f>_xlfn.CONCAT("VE-",Tabela10[[#This Row],[KOD_PRODUKTU]])</f>
        <v>VE-900O14-452</v>
      </c>
    </row>
    <row r="1513" spans="1:10" x14ac:dyDescent="0.25">
      <c r="A1513" s="1" t="s">
        <v>3150</v>
      </c>
      <c r="B1513" t="s">
        <v>3151</v>
      </c>
      <c r="C1513" s="1" t="s">
        <v>3122</v>
      </c>
      <c r="D1513" t="s">
        <v>3123</v>
      </c>
      <c r="E1513" t="s">
        <v>3124</v>
      </c>
      <c r="F1513" t="s">
        <v>17</v>
      </c>
      <c r="G1513" t="s">
        <v>3152</v>
      </c>
      <c r="H1513">
        <v>10.65</v>
      </c>
      <c r="I1513" s="6" t="str">
        <f>_xlfn.CONCAT("Art. złączny do produktu ",Tabela10[[#This Row],[KOD_PRODUKTU]])</f>
        <v>Art. złączny do produktu 900O14-453</v>
      </c>
      <c r="J1513" s="6" t="str">
        <f>_xlfn.CONCAT("VE-",Tabela10[[#This Row],[KOD_PRODUKTU]])</f>
        <v>VE-900O14-453</v>
      </c>
    </row>
    <row r="1514" spans="1:10" x14ac:dyDescent="0.25">
      <c r="A1514" s="7" t="s">
        <v>3150</v>
      </c>
      <c r="B1514" s="6" t="s">
        <v>3151</v>
      </c>
      <c r="C1514" s="7" t="s">
        <v>3153</v>
      </c>
      <c r="D1514" s="6" t="s">
        <v>3154</v>
      </c>
      <c r="E1514" s="6" t="s">
        <v>3155</v>
      </c>
      <c r="F1514" s="6" t="s">
        <v>49</v>
      </c>
      <c r="G1514" s="6" t="s">
        <v>50</v>
      </c>
      <c r="H1514" s="6">
        <v>35</v>
      </c>
      <c r="I1514" s="6" t="str">
        <f>_xlfn.CONCAT("Art. złączny do produktu ",Tabela10[[#This Row],[KOD_PRODUKTU]])</f>
        <v>Art. złączny do produktu 900O14-453</v>
      </c>
      <c r="J1514" s="6" t="str">
        <f>_xlfn.CONCAT("VE-",Tabela10[[#This Row],[KOD_PRODUKTU]])</f>
        <v>VE-900O14-453</v>
      </c>
    </row>
    <row r="1515" spans="1:10" x14ac:dyDescent="0.25">
      <c r="A1515" s="1" t="s">
        <v>3150</v>
      </c>
      <c r="B1515" t="s">
        <v>3151</v>
      </c>
      <c r="C1515" s="1" t="s">
        <v>3126</v>
      </c>
      <c r="D1515" t="s">
        <v>3127</v>
      </c>
      <c r="E1515" t="s">
        <v>3128</v>
      </c>
      <c r="F1515" t="s">
        <v>49</v>
      </c>
      <c r="G1515" t="s">
        <v>50</v>
      </c>
      <c r="H1515">
        <v>96.2</v>
      </c>
      <c r="I1515" s="6" t="str">
        <f>_xlfn.CONCAT("Art. złączny do produktu ",Tabela10[[#This Row],[KOD_PRODUKTU]])</f>
        <v>Art. złączny do produktu 900O14-453</v>
      </c>
      <c r="J1515" s="6" t="str">
        <f>_xlfn.CONCAT("VE-",Tabela10[[#This Row],[KOD_PRODUKTU]])</f>
        <v>VE-900O14-453</v>
      </c>
    </row>
    <row r="1516" spans="1:10" x14ac:dyDescent="0.25">
      <c r="A1516" s="7" t="s">
        <v>3150</v>
      </c>
      <c r="B1516" s="6" t="s">
        <v>3151</v>
      </c>
      <c r="C1516" s="7" t="s">
        <v>857</v>
      </c>
      <c r="D1516" s="6" t="s">
        <v>858</v>
      </c>
      <c r="E1516" s="6" t="s">
        <v>686</v>
      </c>
      <c r="F1516" s="6" t="s">
        <v>49</v>
      </c>
      <c r="G1516" s="6" t="s">
        <v>3156</v>
      </c>
      <c r="H1516" s="6">
        <v>8</v>
      </c>
      <c r="I1516" s="6" t="str">
        <f>_xlfn.CONCAT("Art. złączny do produktu ",Tabela10[[#This Row],[KOD_PRODUKTU]])</f>
        <v>Art. złączny do produktu 900O14-453</v>
      </c>
      <c r="J1516" s="6" t="str">
        <f>_xlfn.CONCAT("VE-",Tabela10[[#This Row],[KOD_PRODUKTU]])</f>
        <v>VE-900O14-453</v>
      </c>
    </row>
    <row r="1517" spans="1:10" x14ac:dyDescent="0.25">
      <c r="A1517" s="1" t="s">
        <v>3150</v>
      </c>
      <c r="B1517" t="s">
        <v>3151</v>
      </c>
      <c r="C1517" s="1" t="s">
        <v>688</v>
      </c>
      <c r="D1517" t="s">
        <v>689</v>
      </c>
      <c r="E1517" t="s">
        <v>9</v>
      </c>
      <c r="F1517" t="s">
        <v>10</v>
      </c>
      <c r="G1517" t="s">
        <v>3157</v>
      </c>
      <c r="H1517">
        <v>14.2</v>
      </c>
      <c r="I1517" s="6" t="str">
        <f>_xlfn.CONCAT("Art. złączny do produktu ",Tabela10[[#This Row],[KOD_PRODUKTU]])</f>
        <v>Art. złączny do produktu 900O14-453</v>
      </c>
      <c r="J1517" s="6" t="str">
        <f>_xlfn.CONCAT("VE-",Tabela10[[#This Row],[KOD_PRODUKTU]])</f>
        <v>VE-900O14-453</v>
      </c>
    </row>
    <row r="1518" spans="1:10" x14ac:dyDescent="0.25">
      <c r="A1518" s="7" t="s">
        <v>3150</v>
      </c>
      <c r="B1518" s="6" t="s">
        <v>3151</v>
      </c>
      <c r="C1518" s="7" t="s">
        <v>7</v>
      </c>
      <c r="D1518" s="6" t="s">
        <v>8</v>
      </c>
      <c r="E1518" s="6" t="s">
        <v>9</v>
      </c>
      <c r="F1518" s="6" t="s">
        <v>10</v>
      </c>
      <c r="G1518" s="6" t="s">
        <v>3158</v>
      </c>
      <c r="H1518" s="6">
        <v>9.85</v>
      </c>
      <c r="I1518" s="6" t="str">
        <f>_xlfn.CONCAT("Art. złączny do produktu ",Tabela10[[#This Row],[KOD_PRODUKTU]])</f>
        <v>Art. złączny do produktu 900O14-453</v>
      </c>
      <c r="J1518" s="6" t="str">
        <f>_xlfn.CONCAT("VE-",Tabela10[[#This Row],[KOD_PRODUKTU]])</f>
        <v>VE-900O14-453</v>
      </c>
    </row>
    <row r="1519" spans="1:10" x14ac:dyDescent="0.25">
      <c r="A1519" s="1" t="s">
        <v>3159</v>
      </c>
      <c r="B1519" t="s">
        <v>3160</v>
      </c>
      <c r="C1519" s="1" t="s">
        <v>3161</v>
      </c>
      <c r="D1519" t="s">
        <v>3162</v>
      </c>
      <c r="E1519" t="s">
        <v>3163</v>
      </c>
      <c r="F1519" t="s">
        <v>17</v>
      </c>
      <c r="G1519" t="s">
        <v>992</v>
      </c>
      <c r="H1519">
        <v>96</v>
      </c>
      <c r="I1519" s="6" t="str">
        <f>_xlfn.CONCAT("Art. złączny do produktu ",Tabela10[[#This Row],[KOD_PRODUKTU]])</f>
        <v>Art. złączny do produktu 900O14-511</v>
      </c>
      <c r="J1519" s="6" t="str">
        <f>_xlfn.CONCAT("VE-",Tabela10[[#This Row],[KOD_PRODUKTU]])</f>
        <v>VE-900O14-511</v>
      </c>
    </row>
    <row r="1520" spans="1:10" x14ac:dyDescent="0.25">
      <c r="A1520" s="7" t="s">
        <v>3159</v>
      </c>
      <c r="B1520" s="6" t="s">
        <v>3160</v>
      </c>
      <c r="C1520" s="7" t="s">
        <v>7</v>
      </c>
      <c r="D1520" s="6" t="s">
        <v>8</v>
      </c>
      <c r="E1520" s="6" t="s">
        <v>9</v>
      </c>
      <c r="F1520" s="6" t="s">
        <v>10</v>
      </c>
      <c r="G1520" s="6" t="s">
        <v>3164</v>
      </c>
      <c r="H1520" s="6">
        <v>29.5</v>
      </c>
      <c r="I1520" s="6" t="str">
        <f>_xlfn.CONCAT("Art. złączny do produktu ",Tabela10[[#This Row],[KOD_PRODUKTU]])</f>
        <v>Art. złączny do produktu 900O14-511</v>
      </c>
      <c r="J1520" s="6" t="str">
        <f>_xlfn.CONCAT("VE-",Tabela10[[#This Row],[KOD_PRODUKTU]])</f>
        <v>VE-900O14-511</v>
      </c>
    </row>
    <row r="1521" spans="1:10" x14ac:dyDescent="0.25">
      <c r="A1521" s="1" t="s">
        <v>3165</v>
      </c>
      <c r="B1521" t="s">
        <v>3166</v>
      </c>
      <c r="C1521" s="1" t="s">
        <v>3167</v>
      </c>
      <c r="D1521" t="s">
        <v>3168</v>
      </c>
      <c r="E1521" t="s">
        <v>111</v>
      </c>
      <c r="F1521" t="s">
        <v>17</v>
      </c>
      <c r="G1521" t="s">
        <v>860</v>
      </c>
      <c r="H1521">
        <v>8.9</v>
      </c>
      <c r="I1521" s="6" t="str">
        <f>_xlfn.CONCAT("Art. złączny do produktu ",Tabela10[[#This Row],[KOD_PRODUKTU]])</f>
        <v>Art. złączny do produktu 900O28-410</v>
      </c>
      <c r="J1521" s="6" t="str">
        <f>_xlfn.CONCAT("VE-",Tabela10[[#This Row],[KOD_PRODUKTU]])</f>
        <v>VE-900O28-410</v>
      </c>
    </row>
    <row r="1522" spans="1:10" x14ac:dyDescent="0.25">
      <c r="A1522" s="7" t="s">
        <v>3165</v>
      </c>
      <c r="B1522" s="6" t="s">
        <v>3166</v>
      </c>
      <c r="C1522" s="7" t="s">
        <v>3169</v>
      </c>
      <c r="D1522" s="6" t="s">
        <v>3170</v>
      </c>
      <c r="E1522" s="6" t="s">
        <v>4</v>
      </c>
      <c r="F1522" s="6" t="s">
        <v>121</v>
      </c>
      <c r="G1522" s="6" t="s">
        <v>50</v>
      </c>
      <c r="H1522" s="6">
        <v>9.59</v>
      </c>
      <c r="I1522" s="6" t="str">
        <f>_xlfn.CONCAT("Art. złączny do produktu ",Tabela10[[#This Row],[KOD_PRODUKTU]])</f>
        <v>Art. złączny do produktu 900O28-410</v>
      </c>
      <c r="J1522" s="6" t="str">
        <f>_xlfn.CONCAT("VE-",Tabela10[[#This Row],[KOD_PRODUKTU]])</f>
        <v>VE-900O28-410</v>
      </c>
    </row>
    <row r="1523" spans="1:10" x14ac:dyDescent="0.25">
      <c r="A1523" s="1" t="s">
        <v>3165</v>
      </c>
      <c r="B1523" t="s">
        <v>3166</v>
      </c>
      <c r="C1523" s="1" t="s">
        <v>3171</v>
      </c>
      <c r="D1523" t="s">
        <v>3172</v>
      </c>
      <c r="E1523" t="s">
        <v>1087</v>
      </c>
      <c r="F1523" t="s">
        <v>121</v>
      </c>
      <c r="G1523" t="s">
        <v>50</v>
      </c>
      <c r="H1523">
        <v>0.17</v>
      </c>
      <c r="I1523" s="6" t="str">
        <f>_xlfn.CONCAT("Art. złączny do produktu ",Tabela10[[#This Row],[KOD_PRODUKTU]])</f>
        <v>Art. złączny do produktu 900O28-410</v>
      </c>
      <c r="J1523" s="6" t="str">
        <f>_xlfn.CONCAT("VE-",Tabela10[[#This Row],[KOD_PRODUKTU]])</f>
        <v>VE-900O28-410</v>
      </c>
    </row>
    <row r="1524" spans="1:10" x14ac:dyDescent="0.25">
      <c r="A1524" s="7" t="s">
        <v>3165</v>
      </c>
      <c r="B1524" s="6" t="s">
        <v>3166</v>
      </c>
      <c r="C1524" s="7" t="s">
        <v>3173</v>
      </c>
      <c r="D1524" s="6" t="s">
        <v>3174</v>
      </c>
      <c r="E1524" s="6" t="s">
        <v>3175</v>
      </c>
      <c r="F1524" s="6" t="s">
        <v>121</v>
      </c>
      <c r="G1524" s="6" t="s">
        <v>50</v>
      </c>
      <c r="H1524" s="6">
        <v>8.81</v>
      </c>
      <c r="I1524" s="6" t="str">
        <f>_xlfn.CONCAT("Art. złączny do produktu ",Tabela10[[#This Row],[KOD_PRODUKTU]])</f>
        <v>Art. złączny do produktu 900O28-410</v>
      </c>
      <c r="J1524" s="6" t="str">
        <f>_xlfn.CONCAT("VE-",Tabela10[[#This Row],[KOD_PRODUKTU]])</f>
        <v>VE-900O28-410</v>
      </c>
    </row>
    <row r="1525" spans="1:10" x14ac:dyDescent="0.25">
      <c r="A1525" s="1" t="s">
        <v>3165</v>
      </c>
      <c r="B1525" t="s">
        <v>3166</v>
      </c>
      <c r="C1525" s="1" t="s">
        <v>3176</v>
      </c>
      <c r="D1525" t="s">
        <v>3177</v>
      </c>
      <c r="E1525" t="s">
        <v>3178</v>
      </c>
      <c r="F1525" t="s">
        <v>121</v>
      </c>
      <c r="G1525" t="s">
        <v>50</v>
      </c>
      <c r="H1525">
        <v>10.52</v>
      </c>
      <c r="I1525" s="6" t="str">
        <f>_xlfn.CONCAT("Art. złączny do produktu ",Tabela10[[#This Row],[KOD_PRODUKTU]])</f>
        <v>Art. złączny do produktu 900O28-410</v>
      </c>
      <c r="J1525" s="6" t="str">
        <f>_xlfn.CONCAT("VE-",Tabela10[[#This Row],[KOD_PRODUKTU]])</f>
        <v>VE-900O28-410</v>
      </c>
    </row>
    <row r="1526" spans="1:10" x14ac:dyDescent="0.25">
      <c r="A1526" s="7" t="s">
        <v>3165</v>
      </c>
      <c r="B1526" s="6" t="s">
        <v>3166</v>
      </c>
      <c r="C1526" s="7" t="s">
        <v>3179</v>
      </c>
      <c r="D1526" s="6" t="s">
        <v>3180</v>
      </c>
      <c r="E1526" s="6" t="s">
        <v>3181</v>
      </c>
      <c r="F1526" s="6" t="s">
        <v>121</v>
      </c>
      <c r="G1526" s="6" t="s">
        <v>50</v>
      </c>
      <c r="H1526" s="6">
        <v>4.16</v>
      </c>
      <c r="I1526" s="6" t="str">
        <f>_xlfn.CONCAT("Art. złączny do produktu ",Tabela10[[#This Row],[KOD_PRODUKTU]])</f>
        <v>Art. złączny do produktu 900O28-410</v>
      </c>
      <c r="J1526" s="6" t="str">
        <f>_xlfn.CONCAT("VE-",Tabela10[[#This Row],[KOD_PRODUKTU]])</f>
        <v>VE-900O28-410</v>
      </c>
    </row>
    <row r="1527" spans="1:10" x14ac:dyDescent="0.25">
      <c r="A1527" s="1" t="s">
        <v>3165</v>
      </c>
      <c r="B1527" t="s">
        <v>3166</v>
      </c>
      <c r="C1527" s="1" t="s">
        <v>3182</v>
      </c>
      <c r="D1527" t="s">
        <v>3183</v>
      </c>
      <c r="E1527" t="s">
        <v>3184</v>
      </c>
      <c r="F1527" t="s">
        <v>121</v>
      </c>
      <c r="G1527" t="s">
        <v>50</v>
      </c>
      <c r="H1527">
        <v>0.15</v>
      </c>
      <c r="I1527" s="6" t="str">
        <f>_xlfn.CONCAT("Art. złączny do produktu ",Tabela10[[#This Row],[KOD_PRODUKTU]])</f>
        <v>Art. złączny do produktu 900O28-410</v>
      </c>
      <c r="J1527" s="6" t="str">
        <f>_xlfn.CONCAT("VE-",Tabela10[[#This Row],[KOD_PRODUKTU]])</f>
        <v>VE-900O28-410</v>
      </c>
    </row>
    <row r="1528" spans="1:10" x14ac:dyDescent="0.25">
      <c r="A1528" s="7" t="s">
        <v>3165</v>
      </c>
      <c r="B1528" s="6" t="s">
        <v>3166</v>
      </c>
      <c r="C1528" s="7" t="s">
        <v>3185</v>
      </c>
      <c r="D1528" s="6" t="s">
        <v>3186</v>
      </c>
      <c r="E1528" s="6" t="s">
        <v>979</v>
      </c>
      <c r="F1528" s="6" t="s">
        <v>121</v>
      </c>
      <c r="G1528" s="6" t="s">
        <v>50</v>
      </c>
      <c r="H1528" s="6">
        <v>0.52</v>
      </c>
      <c r="I1528" s="6" t="str">
        <f>_xlfn.CONCAT("Art. złączny do produktu ",Tabela10[[#This Row],[KOD_PRODUKTU]])</f>
        <v>Art. złączny do produktu 900O28-410</v>
      </c>
      <c r="J1528" s="6" t="str">
        <f>_xlfn.CONCAT("VE-",Tabela10[[#This Row],[KOD_PRODUKTU]])</f>
        <v>VE-900O28-410</v>
      </c>
    </row>
    <row r="1529" spans="1:10" x14ac:dyDescent="0.25">
      <c r="A1529" s="1" t="s">
        <v>3165</v>
      </c>
      <c r="B1529" t="s">
        <v>3166</v>
      </c>
      <c r="C1529" s="1" t="s">
        <v>3190</v>
      </c>
      <c r="D1529" t="s">
        <v>3191</v>
      </c>
      <c r="E1529" t="s">
        <v>3192</v>
      </c>
      <c r="F1529" t="s">
        <v>121</v>
      </c>
      <c r="G1529" t="s">
        <v>50</v>
      </c>
      <c r="H1529">
        <v>41.79</v>
      </c>
      <c r="I1529" s="6" t="str">
        <f>_xlfn.CONCAT("Art. złączny do produktu ",Tabela10[[#This Row],[KOD_PRODUKTU]])</f>
        <v>Art. złączny do produktu 900O28-410</v>
      </c>
      <c r="J1529" s="6" t="str">
        <f>_xlfn.CONCAT("VE-",Tabela10[[#This Row],[KOD_PRODUKTU]])</f>
        <v>VE-900O28-410</v>
      </c>
    </row>
    <row r="1530" spans="1:10" x14ac:dyDescent="0.25">
      <c r="A1530" s="7" t="s">
        <v>3165</v>
      </c>
      <c r="B1530" s="6" t="s">
        <v>3166</v>
      </c>
      <c r="C1530" s="7" t="s">
        <v>857</v>
      </c>
      <c r="D1530" s="6" t="s">
        <v>858</v>
      </c>
      <c r="E1530" s="6" t="s">
        <v>686</v>
      </c>
      <c r="F1530" s="6" t="s">
        <v>49</v>
      </c>
      <c r="G1530" s="6" t="s">
        <v>3196</v>
      </c>
      <c r="H1530" s="6">
        <v>2.5499999999999998</v>
      </c>
      <c r="I1530" s="6" t="str">
        <f>_xlfn.CONCAT("Art. złączny do produktu ",Tabela10[[#This Row],[KOD_PRODUKTU]])</f>
        <v>Art. złączny do produktu 900O28-410</v>
      </c>
      <c r="J1530" s="6" t="str">
        <f>_xlfn.CONCAT("VE-",Tabela10[[#This Row],[KOD_PRODUKTU]])</f>
        <v>VE-900O28-410</v>
      </c>
    </row>
    <row r="1531" spans="1:10" x14ac:dyDescent="0.25">
      <c r="A1531" s="1" t="s">
        <v>3165</v>
      </c>
      <c r="B1531" t="s">
        <v>3166</v>
      </c>
      <c r="C1531" s="1" t="s">
        <v>541</v>
      </c>
      <c r="D1531" t="s">
        <v>542</v>
      </c>
      <c r="E1531" t="s">
        <v>9</v>
      </c>
      <c r="F1531" t="s">
        <v>10</v>
      </c>
      <c r="G1531" t="s">
        <v>3197</v>
      </c>
      <c r="H1531">
        <v>10.32</v>
      </c>
      <c r="I1531" s="6" t="str">
        <f>_xlfn.CONCAT("Art. złączny do produktu ",Tabela10[[#This Row],[KOD_PRODUKTU]])</f>
        <v>Art. złączny do produktu 900O28-410</v>
      </c>
      <c r="J1531" s="6" t="str">
        <f>_xlfn.CONCAT("VE-",Tabela10[[#This Row],[KOD_PRODUKTU]])</f>
        <v>VE-900O28-410</v>
      </c>
    </row>
    <row r="1532" spans="1:10" x14ac:dyDescent="0.25">
      <c r="A1532" s="7" t="s">
        <v>3200</v>
      </c>
      <c r="B1532" s="6" t="s">
        <v>3201</v>
      </c>
      <c r="C1532" s="7" t="s">
        <v>3202</v>
      </c>
      <c r="D1532" s="6" t="s">
        <v>3203</v>
      </c>
      <c r="E1532" s="6" t="s">
        <v>3204</v>
      </c>
      <c r="F1532" s="6" t="s">
        <v>1857</v>
      </c>
      <c r="G1532" s="6" t="s">
        <v>1006</v>
      </c>
      <c r="H1532" s="6">
        <v>0.3</v>
      </c>
      <c r="I1532" s="6" t="str">
        <f>_xlfn.CONCAT("Art. złączny do produktu ",Tabela10[[#This Row],[KOD_PRODUKTU]])</f>
        <v>Art. złączny do produktu 900O29-200</v>
      </c>
      <c r="J1532" s="6" t="str">
        <f>_xlfn.CONCAT("VE-",Tabela10[[#This Row],[KOD_PRODUKTU]])</f>
        <v>VE-900O29-200</v>
      </c>
    </row>
    <row r="1533" spans="1:10" x14ac:dyDescent="0.25">
      <c r="A1533" s="1" t="s">
        <v>3200</v>
      </c>
      <c r="B1533" t="s">
        <v>3201</v>
      </c>
      <c r="C1533" s="1" t="s">
        <v>1890</v>
      </c>
      <c r="D1533" t="s">
        <v>1891</v>
      </c>
      <c r="E1533" t="s">
        <v>2728</v>
      </c>
      <c r="F1533" t="s">
        <v>5</v>
      </c>
      <c r="G1533" t="s">
        <v>3205</v>
      </c>
      <c r="H1533">
        <v>0.04</v>
      </c>
      <c r="I1533" s="6" t="str">
        <f>_xlfn.CONCAT("Art. złączny do produktu ",Tabela10[[#This Row],[KOD_PRODUKTU]])</f>
        <v>Art. złączny do produktu 900O29-200</v>
      </c>
      <c r="J1533" s="6" t="str">
        <f>_xlfn.CONCAT("VE-",Tabela10[[#This Row],[KOD_PRODUKTU]])</f>
        <v>VE-900O29-200</v>
      </c>
    </row>
    <row r="1534" spans="1:10" x14ac:dyDescent="0.25">
      <c r="A1534" s="7" t="s">
        <v>3200</v>
      </c>
      <c r="B1534" s="6" t="s">
        <v>3201</v>
      </c>
      <c r="C1534" s="7" t="s">
        <v>3206</v>
      </c>
      <c r="D1534" s="6" t="s">
        <v>3207</v>
      </c>
      <c r="E1534" s="6" t="s">
        <v>2750</v>
      </c>
      <c r="F1534" s="6" t="s">
        <v>5</v>
      </c>
      <c r="G1534" s="6" t="s">
        <v>1858</v>
      </c>
      <c r="H1534" s="6">
        <v>0.03</v>
      </c>
      <c r="I1534" s="6" t="str">
        <f>_xlfn.CONCAT("Art. złączny do produktu ",Tabela10[[#This Row],[KOD_PRODUKTU]])</f>
        <v>Art. złączny do produktu 900O29-200</v>
      </c>
      <c r="J1534" s="6" t="str">
        <f>_xlfn.CONCAT("VE-",Tabela10[[#This Row],[KOD_PRODUKTU]])</f>
        <v>VE-900O29-200</v>
      </c>
    </row>
    <row r="1535" spans="1:10" x14ac:dyDescent="0.25">
      <c r="A1535" s="1" t="s">
        <v>3200</v>
      </c>
      <c r="B1535" t="s">
        <v>3201</v>
      </c>
      <c r="C1535" s="1" t="s">
        <v>1894</v>
      </c>
      <c r="D1535" t="s">
        <v>3208</v>
      </c>
      <c r="E1535" t="s">
        <v>83</v>
      </c>
      <c r="F1535" t="s">
        <v>5</v>
      </c>
      <c r="G1535" t="s">
        <v>1772</v>
      </c>
      <c r="H1535">
        <v>0.23</v>
      </c>
      <c r="I1535" s="6" t="str">
        <f>_xlfn.CONCAT("Art. złączny do produktu ",Tabela10[[#This Row],[KOD_PRODUKTU]])</f>
        <v>Art. złączny do produktu 900O29-200</v>
      </c>
      <c r="J1535" s="6" t="str">
        <f>_xlfn.CONCAT("VE-",Tabela10[[#This Row],[KOD_PRODUKTU]])</f>
        <v>VE-900O29-200</v>
      </c>
    </row>
    <row r="1536" spans="1:10" x14ac:dyDescent="0.25">
      <c r="A1536" s="7" t="s">
        <v>3200</v>
      </c>
      <c r="B1536" s="6" t="s">
        <v>3201</v>
      </c>
      <c r="C1536" s="7" t="s">
        <v>628</v>
      </c>
      <c r="D1536" s="6" t="s">
        <v>629</v>
      </c>
      <c r="E1536" s="6" t="s">
        <v>630</v>
      </c>
      <c r="F1536" s="6" t="s">
        <v>5</v>
      </c>
      <c r="G1536" s="6" t="s">
        <v>3209</v>
      </c>
      <c r="H1536" s="6">
        <v>7.0000000000000007E-2</v>
      </c>
      <c r="I1536" s="6" t="str">
        <f>_xlfn.CONCAT("Art. złączny do produktu ",Tabela10[[#This Row],[KOD_PRODUKTU]])</f>
        <v>Art. złączny do produktu 900O29-200</v>
      </c>
      <c r="J1536" s="6" t="str">
        <f>_xlfn.CONCAT("VE-",Tabela10[[#This Row],[KOD_PRODUKTU]])</f>
        <v>VE-900O29-200</v>
      </c>
    </row>
    <row r="1537" spans="1:10" x14ac:dyDescent="0.25">
      <c r="A1537" s="1" t="s">
        <v>3200</v>
      </c>
      <c r="B1537" t="s">
        <v>3201</v>
      </c>
      <c r="C1537" s="1" t="s">
        <v>3210</v>
      </c>
      <c r="D1537" t="s">
        <v>3211</v>
      </c>
      <c r="E1537" t="s">
        <v>3212</v>
      </c>
      <c r="F1537" t="s">
        <v>17</v>
      </c>
      <c r="G1537" t="s">
        <v>50</v>
      </c>
      <c r="H1537">
        <v>1.49</v>
      </c>
      <c r="I1537" s="6" t="str">
        <f>_xlfn.CONCAT("Art. złączny do produktu ",Tabela10[[#This Row],[KOD_PRODUKTU]])</f>
        <v>Art. złączny do produktu 900O29-200</v>
      </c>
      <c r="J1537" s="6" t="str">
        <f>_xlfn.CONCAT("VE-",Tabela10[[#This Row],[KOD_PRODUKTU]])</f>
        <v>VE-900O29-200</v>
      </c>
    </row>
    <row r="1538" spans="1:10" x14ac:dyDescent="0.25">
      <c r="A1538" s="7" t="s">
        <v>3200</v>
      </c>
      <c r="B1538" s="6" t="s">
        <v>3201</v>
      </c>
      <c r="C1538" s="7" t="s">
        <v>3213</v>
      </c>
      <c r="D1538" s="6" t="s">
        <v>3214</v>
      </c>
      <c r="E1538" s="6" t="s">
        <v>2693</v>
      </c>
      <c r="F1538" s="6" t="s">
        <v>121</v>
      </c>
      <c r="G1538" s="6" t="s">
        <v>92</v>
      </c>
      <c r="H1538" s="6">
        <v>5</v>
      </c>
      <c r="I1538" s="6" t="str">
        <f>_xlfn.CONCAT("Art. złączny do produktu ",Tabela10[[#This Row],[KOD_PRODUKTU]])</f>
        <v>Art. złączny do produktu 900O29-200</v>
      </c>
      <c r="J1538" s="6" t="str">
        <f>_xlfn.CONCAT("VE-",Tabela10[[#This Row],[KOD_PRODUKTU]])</f>
        <v>VE-900O29-200</v>
      </c>
    </row>
    <row r="1539" spans="1:10" x14ac:dyDescent="0.25">
      <c r="A1539" s="1" t="s">
        <v>3200</v>
      </c>
      <c r="B1539" t="s">
        <v>3201</v>
      </c>
      <c r="C1539" s="1" t="s">
        <v>3215</v>
      </c>
      <c r="D1539" t="s">
        <v>3216</v>
      </c>
      <c r="E1539" t="s">
        <v>3217</v>
      </c>
      <c r="F1539" t="s">
        <v>121</v>
      </c>
      <c r="G1539" t="s">
        <v>50</v>
      </c>
      <c r="H1539">
        <v>36.479999999999997</v>
      </c>
      <c r="I1539" s="6" t="str">
        <f>_xlfn.CONCAT("Art. złączny do produktu ",Tabela10[[#This Row],[KOD_PRODUKTU]])</f>
        <v>Art. złączny do produktu 900O29-200</v>
      </c>
      <c r="J1539" s="6" t="str">
        <f>_xlfn.CONCAT("VE-",Tabela10[[#This Row],[KOD_PRODUKTU]])</f>
        <v>VE-900O29-200</v>
      </c>
    </row>
    <row r="1540" spans="1:10" x14ac:dyDescent="0.25">
      <c r="A1540" s="7" t="s">
        <v>3200</v>
      </c>
      <c r="B1540" s="6" t="s">
        <v>3201</v>
      </c>
      <c r="C1540" s="7" t="s">
        <v>1989</v>
      </c>
      <c r="D1540" s="6" t="s">
        <v>1990</v>
      </c>
      <c r="E1540" s="6" t="s">
        <v>1991</v>
      </c>
      <c r="F1540" s="6" t="s">
        <v>435</v>
      </c>
      <c r="G1540" s="6" t="s">
        <v>3221</v>
      </c>
      <c r="H1540" s="6">
        <v>11.5</v>
      </c>
      <c r="I1540" s="6" t="str">
        <f>_xlfn.CONCAT("Art. złączny do produktu ",Tabela10[[#This Row],[KOD_PRODUKTU]])</f>
        <v>Art. złączny do produktu 900O29-200</v>
      </c>
      <c r="J1540" s="6" t="str">
        <f>_xlfn.CONCAT("VE-",Tabela10[[#This Row],[KOD_PRODUKTU]])</f>
        <v>VE-900O29-200</v>
      </c>
    </row>
    <row r="1541" spans="1:10" x14ac:dyDescent="0.25">
      <c r="A1541" s="1" t="s">
        <v>3200</v>
      </c>
      <c r="B1541" t="s">
        <v>3201</v>
      </c>
      <c r="C1541" s="1" t="s">
        <v>541</v>
      </c>
      <c r="D1541" t="s">
        <v>542</v>
      </c>
      <c r="E1541" t="s">
        <v>9</v>
      </c>
      <c r="F1541" t="s">
        <v>10</v>
      </c>
      <c r="G1541" t="s">
        <v>3222</v>
      </c>
      <c r="H1541">
        <v>9.5500000000000007</v>
      </c>
      <c r="I1541" s="6" t="str">
        <f>_xlfn.CONCAT("Art. złączny do produktu ",Tabela10[[#This Row],[KOD_PRODUKTU]])</f>
        <v>Art. złączny do produktu 900O29-200</v>
      </c>
      <c r="J1541" s="6" t="str">
        <f>_xlfn.CONCAT("VE-",Tabela10[[#This Row],[KOD_PRODUKTU]])</f>
        <v>VE-900O29-200</v>
      </c>
    </row>
    <row r="1542" spans="1:10" x14ac:dyDescent="0.25">
      <c r="A1542" s="7" t="s">
        <v>3263</v>
      </c>
      <c r="B1542" s="6" t="s">
        <v>3264</v>
      </c>
      <c r="C1542" s="7" t="s">
        <v>3265</v>
      </c>
      <c r="D1542" s="6" t="s">
        <v>3266</v>
      </c>
      <c r="E1542" s="6" t="s">
        <v>311</v>
      </c>
      <c r="F1542" s="6" t="s">
        <v>17</v>
      </c>
      <c r="G1542" s="6" t="s">
        <v>3047</v>
      </c>
      <c r="H1542" s="6">
        <v>1.37</v>
      </c>
      <c r="I1542" s="6" t="str">
        <f>_xlfn.CONCAT("Art. złączny do produktu ",Tabela10[[#This Row],[KOD_PRODUKTU]])</f>
        <v>Art. złączny do produktu 900O42-250</v>
      </c>
      <c r="J1542" s="6" t="str">
        <f>_xlfn.CONCAT("VE-",Tabela10[[#This Row],[KOD_PRODUKTU]])</f>
        <v>VE-900O42-250</v>
      </c>
    </row>
    <row r="1543" spans="1:10" x14ac:dyDescent="0.25">
      <c r="A1543" s="1" t="s">
        <v>3263</v>
      </c>
      <c r="B1543" t="s">
        <v>3264</v>
      </c>
      <c r="C1543" s="1" t="s">
        <v>541</v>
      </c>
      <c r="D1543" t="s">
        <v>542</v>
      </c>
      <c r="E1543" t="s">
        <v>9</v>
      </c>
      <c r="F1543" t="s">
        <v>10</v>
      </c>
      <c r="G1543" t="s">
        <v>3267</v>
      </c>
      <c r="H1543">
        <v>3.73</v>
      </c>
      <c r="I1543" s="6" t="str">
        <f>_xlfn.CONCAT("Art. złączny do produktu ",Tabela10[[#This Row],[KOD_PRODUKTU]])</f>
        <v>Art. złączny do produktu 900O42-250</v>
      </c>
      <c r="J1543" s="6" t="str">
        <f>_xlfn.CONCAT("VE-",Tabela10[[#This Row],[KOD_PRODUKTU]])</f>
        <v>VE-900O42-250</v>
      </c>
    </row>
    <row r="1544" spans="1:10" x14ac:dyDescent="0.25">
      <c r="A1544" s="7" t="s">
        <v>3268</v>
      </c>
      <c r="B1544" s="6" t="s">
        <v>3269</v>
      </c>
      <c r="C1544" s="7" t="s">
        <v>2458</v>
      </c>
      <c r="D1544" s="6" t="s">
        <v>2459</v>
      </c>
      <c r="E1544" s="6" t="s">
        <v>384</v>
      </c>
      <c r="F1544" s="6" t="s">
        <v>5</v>
      </c>
      <c r="G1544" s="6" t="s">
        <v>3270</v>
      </c>
      <c r="H1544" s="6">
        <v>2.7</v>
      </c>
      <c r="I1544" s="6" t="str">
        <f>_xlfn.CONCAT("Art. złączny do produktu ",Tabela10[[#This Row],[KOD_PRODUKTU]])</f>
        <v>Art. złączny do produktu 900O44-500</v>
      </c>
      <c r="J1544" s="6" t="str">
        <f>_xlfn.CONCAT("VE-",Tabela10[[#This Row],[KOD_PRODUKTU]])</f>
        <v>VE-900O44-500</v>
      </c>
    </row>
    <row r="1545" spans="1:10" x14ac:dyDescent="0.25">
      <c r="A1545" s="1" t="s">
        <v>3268</v>
      </c>
      <c r="B1545" t="s">
        <v>3269</v>
      </c>
      <c r="C1545" s="1" t="s">
        <v>541</v>
      </c>
      <c r="D1545" t="s">
        <v>542</v>
      </c>
      <c r="E1545" t="s">
        <v>811</v>
      </c>
      <c r="F1545" t="s">
        <v>10</v>
      </c>
      <c r="G1545" t="s">
        <v>19</v>
      </c>
      <c r="H1545">
        <v>12.75</v>
      </c>
      <c r="I1545" s="6" t="str">
        <f>_xlfn.CONCAT("Art. złączny do produktu ",Tabela10[[#This Row],[KOD_PRODUKTU]])</f>
        <v>Art. złączny do produktu 900O44-500</v>
      </c>
      <c r="J1545" s="6" t="str">
        <f>_xlfn.CONCAT("VE-",Tabela10[[#This Row],[KOD_PRODUKTU]])</f>
        <v>VE-900O44-500</v>
      </c>
    </row>
    <row r="1546" spans="1:10" x14ac:dyDescent="0.25">
      <c r="A1546" s="7" t="s">
        <v>3271</v>
      </c>
      <c r="B1546" s="6" t="s">
        <v>3272</v>
      </c>
      <c r="C1546" s="7" t="s">
        <v>7</v>
      </c>
      <c r="D1546" s="6" t="s">
        <v>8</v>
      </c>
      <c r="E1546" s="6" t="s">
        <v>9</v>
      </c>
      <c r="F1546" s="6" t="s">
        <v>10</v>
      </c>
      <c r="G1546" s="6" t="s">
        <v>3273</v>
      </c>
      <c r="H1546" s="6">
        <v>11.35</v>
      </c>
      <c r="I1546" s="6" t="str">
        <f>_xlfn.CONCAT("Art. złączny do produktu ",Tabela10[[#This Row],[KOD_PRODUKTU]])</f>
        <v>Art. złączny do produktu 900O50-102</v>
      </c>
      <c r="J1546" s="6" t="str">
        <f>_xlfn.CONCAT("VE-",Tabela10[[#This Row],[KOD_PRODUKTU]])</f>
        <v>VE-900O50-102</v>
      </c>
    </row>
    <row r="1547" spans="1:10" x14ac:dyDescent="0.25">
      <c r="A1547" s="1" t="s">
        <v>3274</v>
      </c>
      <c r="B1547" t="s">
        <v>3275</v>
      </c>
      <c r="C1547" s="1" t="s">
        <v>1487</v>
      </c>
      <c r="D1547" t="s">
        <v>1488</v>
      </c>
      <c r="E1547" t="s">
        <v>31</v>
      </c>
      <c r="F1547" t="s">
        <v>5</v>
      </c>
      <c r="G1547" t="s">
        <v>3276</v>
      </c>
      <c r="H1547">
        <v>2.2999999999999998</v>
      </c>
      <c r="I1547" s="6" t="str">
        <f>_xlfn.CONCAT("Art. złączny do produktu ",Tabela10[[#This Row],[KOD_PRODUKTU]])</f>
        <v>Art. złączny do produktu 900O51-203</v>
      </c>
      <c r="J1547" s="6" t="str">
        <f>_xlfn.CONCAT("VE-",Tabela10[[#This Row],[KOD_PRODUKTU]])</f>
        <v>VE-900O51-203</v>
      </c>
    </row>
    <row r="1548" spans="1:10" x14ac:dyDescent="0.25">
      <c r="A1548" s="7" t="s">
        <v>3274</v>
      </c>
      <c r="B1548" s="6" t="s">
        <v>3275</v>
      </c>
      <c r="C1548" s="7" t="s">
        <v>7</v>
      </c>
      <c r="D1548" s="6" t="s">
        <v>8</v>
      </c>
      <c r="E1548" s="6" t="s">
        <v>9</v>
      </c>
      <c r="F1548" s="6" t="s">
        <v>10</v>
      </c>
      <c r="G1548" s="6" t="s">
        <v>3277</v>
      </c>
      <c r="H1548" s="6">
        <v>9.67</v>
      </c>
      <c r="I1548" s="6" t="str">
        <f>_xlfn.CONCAT("Art. złączny do produktu ",Tabela10[[#This Row],[KOD_PRODUKTU]])</f>
        <v>Art. złączny do produktu 900O51-203</v>
      </c>
      <c r="J1548" s="6" t="str">
        <f>_xlfn.CONCAT("VE-",Tabela10[[#This Row],[KOD_PRODUKTU]])</f>
        <v>VE-900O51-203</v>
      </c>
    </row>
    <row r="1549" spans="1:10" x14ac:dyDescent="0.25">
      <c r="A1549" s="1" t="s">
        <v>3278</v>
      </c>
      <c r="B1549" t="s">
        <v>3279</v>
      </c>
      <c r="C1549" s="1" t="s">
        <v>3280</v>
      </c>
      <c r="D1549" t="s">
        <v>3281</v>
      </c>
      <c r="E1549" t="s">
        <v>876</v>
      </c>
      <c r="F1549" t="s">
        <v>5</v>
      </c>
      <c r="G1549" t="s">
        <v>2330</v>
      </c>
      <c r="H1549">
        <v>6.6</v>
      </c>
      <c r="I1549" s="6" t="str">
        <f>_xlfn.CONCAT("Art. złączny do produktu ",Tabela10[[#This Row],[KOD_PRODUKTU]])</f>
        <v>Art. złączny do produktu 900O51-301</v>
      </c>
      <c r="J1549" s="6" t="str">
        <f>_xlfn.CONCAT("VE-",Tabela10[[#This Row],[KOD_PRODUKTU]])</f>
        <v>VE-900O51-301</v>
      </c>
    </row>
    <row r="1550" spans="1:10" x14ac:dyDescent="0.25">
      <c r="A1550" s="7" t="s">
        <v>3278</v>
      </c>
      <c r="B1550" s="6" t="s">
        <v>3279</v>
      </c>
      <c r="C1550" s="7" t="s">
        <v>7</v>
      </c>
      <c r="D1550" s="6" t="s">
        <v>8</v>
      </c>
      <c r="E1550" s="6" t="s">
        <v>9</v>
      </c>
      <c r="F1550" s="6" t="s">
        <v>10</v>
      </c>
      <c r="G1550" s="6" t="s">
        <v>3277</v>
      </c>
      <c r="H1550" s="6">
        <v>9.67</v>
      </c>
      <c r="I1550" s="6" t="str">
        <f>_xlfn.CONCAT("Art. złączny do produktu ",Tabela10[[#This Row],[KOD_PRODUKTU]])</f>
        <v>Art. złączny do produktu 900O51-301</v>
      </c>
      <c r="J1550" s="6" t="str">
        <f>_xlfn.CONCAT("VE-",Tabela10[[#This Row],[KOD_PRODUKTU]])</f>
        <v>VE-900O51-301</v>
      </c>
    </row>
    <row r="1551" spans="1:10" x14ac:dyDescent="0.25">
      <c r="A1551" s="1" t="s">
        <v>3282</v>
      </c>
      <c r="B1551" t="s">
        <v>3283</v>
      </c>
      <c r="C1551" s="1" t="s">
        <v>1487</v>
      </c>
      <c r="D1551" t="s">
        <v>1488</v>
      </c>
      <c r="E1551" t="s">
        <v>31</v>
      </c>
      <c r="F1551" t="s">
        <v>5</v>
      </c>
      <c r="G1551" t="s">
        <v>3284</v>
      </c>
      <c r="H1551">
        <v>2.5499999999999998</v>
      </c>
      <c r="I1551" s="6" t="str">
        <f>_xlfn.CONCAT("Art. złączny do produktu ",Tabela10[[#This Row],[KOD_PRODUKTU]])</f>
        <v>Art. złączny do produktu 900O53-203</v>
      </c>
      <c r="J1551" s="6" t="str">
        <f>_xlfn.CONCAT("VE-",Tabela10[[#This Row],[KOD_PRODUKTU]])</f>
        <v>VE-900O53-203</v>
      </c>
    </row>
    <row r="1552" spans="1:10" x14ac:dyDescent="0.25">
      <c r="A1552" s="7" t="s">
        <v>3282</v>
      </c>
      <c r="B1552" s="6" t="s">
        <v>3283</v>
      </c>
      <c r="C1552" s="7" t="s">
        <v>7</v>
      </c>
      <c r="D1552" s="6" t="s">
        <v>8</v>
      </c>
      <c r="E1552" s="6" t="s">
        <v>9</v>
      </c>
      <c r="F1552" s="6" t="s">
        <v>10</v>
      </c>
      <c r="G1552" s="6" t="s">
        <v>3285</v>
      </c>
      <c r="H1552" s="6">
        <v>9.5500000000000007</v>
      </c>
      <c r="I1552" s="6" t="str">
        <f>_xlfn.CONCAT("Art. złączny do produktu ",Tabela10[[#This Row],[KOD_PRODUKTU]])</f>
        <v>Art. złączny do produktu 900O53-203</v>
      </c>
      <c r="J1552" s="6" t="str">
        <f>_xlfn.CONCAT("VE-",Tabela10[[#This Row],[KOD_PRODUKTU]])</f>
        <v>VE-900O53-203</v>
      </c>
    </row>
    <row r="1553" spans="1:10" x14ac:dyDescent="0.25">
      <c r="A1553" s="1" t="s">
        <v>3286</v>
      </c>
      <c r="B1553" t="s">
        <v>3287</v>
      </c>
      <c r="C1553" s="1" t="s">
        <v>3288</v>
      </c>
      <c r="D1553" t="s">
        <v>3289</v>
      </c>
      <c r="E1553" t="s">
        <v>1970</v>
      </c>
      <c r="F1553" t="s">
        <v>5</v>
      </c>
      <c r="G1553" t="s">
        <v>478</v>
      </c>
      <c r="H1553">
        <v>1.01</v>
      </c>
      <c r="I1553" s="6" t="str">
        <f>_xlfn.CONCAT("Art. złączny do produktu ",Tabela10[[#This Row],[KOD_PRODUKTU]])</f>
        <v>Art. złączny do produktu 900O56-130</v>
      </c>
      <c r="J1553" s="6" t="str">
        <f>_xlfn.CONCAT("VE-",Tabela10[[#This Row],[KOD_PRODUKTU]])</f>
        <v>VE-900O56-130</v>
      </c>
    </row>
    <row r="1554" spans="1:10" x14ac:dyDescent="0.25">
      <c r="A1554" s="7" t="s">
        <v>3286</v>
      </c>
      <c r="B1554" s="6" t="s">
        <v>3287</v>
      </c>
      <c r="C1554" s="7" t="s">
        <v>541</v>
      </c>
      <c r="D1554" s="6" t="s">
        <v>542</v>
      </c>
      <c r="E1554" s="6" t="s">
        <v>9</v>
      </c>
      <c r="F1554" s="6" t="s">
        <v>10</v>
      </c>
      <c r="G1554" s="6" t="s">
        <v>2230</v>
      </c>
      <c r="H1554" s="6">
        <v>0.99</v>
      </c>
      <c r="I1554" s="6" t="str">
        <f>_xlfn.CONCAT("Art. złączny do produktu ",Tabela10[[#This Row],[KOD_PRODUKTU]])</f>
        <v>Art. złączny do produktu 900O56-130</v>
      </c>
      <c r="J1554" s="6" t="str">
        <f>_xlfn.CONCAT("VE-",Tabela10[[#This Row],[KOD_PRODUKTU]])</f>
        <v>VE-900O56-130</v>
      </c>
    </row>
    <row r="1555" spans="1:10" x14ac:dyDescent="0.25">
      <c r="A1555" s="1" t="s">
        <v>3290</v>
      </c>
      <c r="B1555" t="s">
        <v>3291</v>
      </c>
      <c r="C1555" s="1" t="s">
        <v>2961</v>
      </c>
      <c r="D1555" t="s">
        <v>2962</v>
      </c>
      <c r="E1555" t="s">
        <v>2963</v>
      </c>
      <c r="F1555" t="s">
        <v>5</v>
      </c>
      <c r="G1555" t="s">
        <v>3292</v>
      </c>
      <c r="H1555">
        <v>0.7</v>
      </c>
      <c r="I1555" s="6" t="str">
        <f>_xlfn.CONCAT("Art. złączny do produktu ",Tabela10[[#This Row],[KOD_PRODUKTU]])</f>
        <v>Art. złączny do produktu 900O71-130</v>
      </c>
      <c r="J1555" s="6" t="str">
        <f>_xlfn.CONCAT("VE-",Tabela10[[#This Row],[KOD_PRODUKTU]])</f>
        <v>VE-900O71-130</v>
      </c>
    </row>
    <row r="1556" spans="1:10" x14ac:dyDescent="0.25">
      <c r="A1556" s="7" t="s">
        <v>3290</v>
      </c>
      <c r="B1556" s="6" t="s">
        <v>3291</v>
      </c>
      <c r="C1556" s="7" t="s">
        <v>2379</v>
      </c>
      <c r="D1556" s="6" t="s">
        <v>2380</v>
      </c>
      <c r="E1556" s="6" t="s">
        <v>328</v>
      </c>
      <c r="F1556" s="6" t="s">
        <v>121</v>
      </c>
      <c r="G1556" s="6" t="s">
        <v>50</v>
      </c>
      <c r="H1556" s="6">
        <v>6.2</v>
      </c>
      <c r="I1556" s="6" t="str">
        <f>_xlfn.CONCAT("Art. złączny do produktu ",Tabela10[[#This Row],[KOD_PRODUKTU]])</f>
        <v>Art. złączny do produktu 900O71-130</v>
      </c>
      <c r="J1556" s="6" t="str">
        <f>_xlfn.CONCAT("VE-",Tabela10[[#This Row],[KOD_PRODUKTU]])</f>
        <v>VE-900O71-130</v>
      </c>
    </row>
    <row r="1557" spans="1:10" x14ac:dyDescent="0.25">
      <c r="A1557" s="1" t="s">
        <v>3290</v>
      </c>
      <c r="B1557" t="s">
        <v>3291</v>
      </c>
      <c r="C1557" s="1" t="s">
        <v>7</v>
      </c>
      <c r="D1557" t="s">
        <v>8</v>
      </c>
      <c r="E1557" t="s">
        <v>9</v>
      </c>
      <c r="F1557" t="s">
        <v>10</v>
      </c>
      <c r="G1557" t="s">
        <v>3293</v>
      </c>
      <c r="H1557">
        <v>9.25</v>
      </c>
      <c r="I1557" s="6" t="str">
        <f>_xlfn.CONCAT("Art. złączny do produktu ",Tabela10[[#This Row],[KOD_PRODUKTU]])</f>
        <v>Art. złączny do produktu 900O71-130</v>
      </c>
      <c r="J1557" s="6" t="str">
        <f>_xlfn.CONCAT("VE-",Tabela10[[#This Row],[KOD_PRODUKTU]])</f>
        <v>VE-900O71-130</v>
      </c>
    </row>
    <row r="1558" spans="1:10" x14ac:dyDescent="0.25">
      <c r="A1558" s="7" t="s">
        <v>3294</v>
      </c>
      <c r="B1558" s="6" t="s">
        <v>3295</v>
      </c>
      <c r="C1558" s="7" t="s">
        <v>1249</v>
      </c>
      <c r="D1558" s="6" t="s">
        <v>3296</v>
      </c>
      <c r="E1558" s="6" t="s">
        <v>1251</v>
      </c>
      <c r="F1558" s="6" t="s">
        <v>1252</v>
      </c>
      <c r="G1558" s="6" t="s">
        <v>3297</v>
      </c>
      <c r="H1558" s="6">
        <v>2.04</v>
      </c>
      <c r="I1558" s="6" t="str">
        <f>_xlfn.CONCAT("Art. złączny do produktu ",Tabela10[[#This Row],[KOD_PRODUKTU]])</f>
        <v>Art. złączny do produktu 900O71-220</v>
      </c>
      <c r="J1558" s="6" t="str">
        <f>_xlfn.CONCAT("VE-",Tabela10[[#This Row],[KOD_PRODUKTU]])</f>
        <v>VE-900O71-220</v>
      </c>
    </row>
    <row r="1559" spans="1:10" x14ac:dyDescent="0.25">
      <c r="A1559" s="1" t="s">
        <v>3294</v>
      </c>
      <c r="B1559" t="s">
        <v>3295</v>
      </c>
      <c r="C1559" s="1" t="s">
        <v>3298</v>
      </c>
      <c r="D1559" t="s">
        <v>3299</v>
      </c>
      <c r="E1559" t="s">
        <v>3300</v>
      </c>
      <c r="F1559" t="s">
        <v>435</v>
      </c>
      <c r="G1559" t="s">
        <v>92</v>
      </c>
      <c r="H1559">
        <v>1.5</v>
      </c>
      <c r="I1559" s="6" t="str">
        <f>_xlfn.CONCAT("Art. złączny do produktu ",Tabela10[[#This Row],[KOD_PRODUKTU]])</f>
        <v>Art. złączny do produktu 900O71-220</v>
      </c>
      <c r="J1559" s="6" t="str">
        <f>_xlfn.CONCAT("VE-",Tabela10[[#This Row],[KOD_PRODUKTU]])</f>
        <v>VE-900O71-220</v>
      </c>
    </row>
    <row r="1560" spans="1:10" x14ac:dyDescent="0.25">
      <c r="A1560" s="7" t="s">
        <v>3294</v>
      </c>
      <c r="B1560" s="6" t="s">
        <v>3295</v>
      </c>
      <c r="C1560" s="7" t="s">
        <v>541</v>
      </c>
      <c r="D1560" s="6" t="s">
        <v>542</v>
      </c>
      <c r="E1560" s="6" t="s">
        <v>9</v>
      </c>
      <c r="F1560" s="6" t="s">
        <v>10</v>
      </c>
      <c r="G1560" s="6" t="s">
        <v>3301</v>
      </c>
      <c r="H1560" s="6">
        <v>5.54</v>
      </c>
      <c r="I1560" s="6" t="str">
        <f>_xlfn.CONCAT("Art. złączny do produktu ",Tabela10[[#This Row],[KOD_PRODUKTU]])</f>
        <v>Art. złączny do produktu 900O71-220</v>
      </c>
      <c r="J1560" s="6" t="str">
        <f>_xlfn.CONCAT("VE-",Tabela10[[#This Row],[KOD_PRODUKTU]])</f>
        <v>VE-900O71-220</v>
      </c>
    </row>
    <row r="1561" spans="1:10" x14ac:dyDescent="0.25">
      <c r="A1561" s="1" t="s">
        <v>3302</v>
      </c>
      <c r="B1561" t="s">
        <v>3303</v>
      </c>
      <c r="C1561" s="1" t="s">
        <v>1249</v>
      </c>
      <c r="D1561" t="s">
        <v>3296</v>
      </c>
      <c r="E1561" t="s">
        <v>1251</v>
      </c>
      <c r="F1561" t="s">
        <v>1252</v>
      </c>
      <c r="G1561" t="s">
        <v>3304</v>
      </c>
      <c r="H1561">
        <v>0.96</v>
      </c>
      <c r="I1561" s="6" t="str">
        <f>_xlfn.CONCAT("Art. złączny do produktu ",Tabela10[[#This Row],[KOD_PRODUKTU]])</f>
        <v>Art. złączny do produktu 900O71-231</v>
      </c>
      <c r="J1561" s="6" t="str">
        <f>_xlfn.CONCAT("VE-",Tabela10[[#This Row],[KOD_PRODUKTU]])</f>
        <v>VE-900O71-231</v>
      </c>
    </row>
    <row r="1562" spans="1:10" x14ac:dyDescent="0.25">
      <c r="A1562" s="7" t="s">
        <v>3302</v>
      </c>
      <c r="B1562" s="6" t="s">
        <v>3303</v>
      </c>
      <c r="C1562" s="7" t="s">
        <v>3298</v>
      </c>
      <c r="D1562" s="6" t="s">
        <v>3299</v>
      </c>
      <c r="E1562" s="6" t="s">
        <v>3300</v>
      </c>
      <c r="F1562" s="6" t="s">
        <v>435</v>
      </c>
      <c r="G1562" s="6" t="s">
        <v>50</v>
      </c>
      <c r="H1562" s="6">
        <v>0.75</v>
      </c>
      <c r="I1562" s="6" t="str">
        <f>_xlfn.CONCAT("Art. złączny do produktu ",Tabela10[[#This Row],[KOD_PRODUKTU]])</f>
        <v>Art. złączny do produktu 900O71-231</v>
      </c>
      <c r="J1562" s="6" t="str">
        <f>_xlfn.CONCAT("VE-",Tabela10[[#This Row],[KOD_PRODUKTU]])</f>
        <v>VE-900O71-231</v>
      </c>
    </row>
    <row r="1563" spans="1:10" x14ac:dyDescent="0.25">
      <c r="A1563" s="1" t="s">
        <v>3302</v>
      </c>
      <c r="B1563" t="s">
        <v>3303</v>
      </c>
      <c r="C1563" s="1" t="s">
        <v>541</v>
      </c>
      <c r="D1563" t="s">
        <v>542</v>
      </c>
      <c r="E1563" t="s">
        <v>9</v>
      </c>
      <c r="F1563" t="s">
        <v>10</v>
      </c>
      <c r="G1563" t="s">
        <v>19</v>
      </c>
      <c r="H1563">
        <v>4.5999999999999996</v>
      </c>
      <c r="I1563" s="6" t="str">
        <f>_xlfn.CONCAT("Art. złączny do produktu ",Tabela10[[#This Row],[KOD_PRODUKTU]])</f>
        <v>Art. złączny do produktu 900O71-231</v>
      </c>
      <c r="J1563" s="6" t="str">
        <f>_xlfn.CONCAT("VE-",Tabela10[[#This Row],[KOD_PRODUKTU]])</f>
        <v>VE-900O71-231</v>
      </c>
    </row>
    <row r="1564" spans="1:10" x14ac:dyDescent="0.25">
      <c r="A1564" s="7" t="s">
        <v>3305</v>
      </c>
      <c r="B1564" s="6" t="s">
        <v>3306</v>
      </c>
      <c r="C1564" s="7" t="s">
        <v>1249</v>
      </c>
      <c r="D1564" s="6" t="s">
        <v>3296</v>
      </c>
      <c r="E1564" s="6" t="s">
        <v>1251</v>
      </c>
      <c r="F1564" s="6" t="s">
        <v>1252</v>
      </c>
      <c r="G1564" s="6" t="s">
        <v>3304</v>
      </c>
      <c r="H1564" s="6">
        <v>0.96</v>
      </c>
      <c r="I1564" s="6" t="str">
        <f>_xlfn.CONCAT("Art. złączny do produktu ",Tabela10[[#This Row],[KOD_PRODUKTU]])</f>
        <v>Art. złączny do produktu 900O71-232</v>
      </c>
      <c r="J1564" s="6" t="str">
        <f>_xlfn.CONCAT("VE-",Tabela10[[#This Row],[KOD_PRODUKTU]])</f>
        <v>VE-900O71-232</v>
      </c>
    </row>
    <row r="1565" spans="1:10" x14ac:dyDescent="0.25">
      <c r="A1565" s="1" t="s">
        <v>3305</v>
      </c>
      <c r="B1565" t="s">
        <v>3306</v>
      </c>
      <c r="C1565" s="1" t="s">
        <v>1989</v>
      </c>
      <c r="D1565" t="s">
        <v>1990</v>
      </c>
      <c r="E1565" t="s">
        <v>1991</v>
      </c>
      <c r="F1565" t="s">
        <v>435</v>
      </c>
      <c r="G1565" t="s">
        <v>3307</v>
      </c>
      <c r="H1565">
        <v>0.55000000000000004</v>
      </c>
      <c r="I1565" s="6" t="str">
        <f>_xlfn.CONCAT("Art. złączny do produktu ",Tabela10[[#This Row],[KOD_PRODUKTU]])</f>
        <v>Art. złączny do produktu 900O71-232</v>
      </c>
      <c r="J1565" s="6" t="str">
        <f>_xlfn.CONCAT("VE-",Tabela10[[#This Row],[KOD_PRODUKTU]])</f>
        <v>VE-900O71-232</v>
      </c>
    </row>
    <row r="1566" spans="1:10" x14ac:dyDescent="0.25">
      <c r="A1566" s="7" t="s">
        <v>3305</v>
      </c>
      <c r="B1566" s="6" t="s">
        <v>3306</v>
      </c>
      <c r="C1566" s="7" t="s">
        <v>541</v>
      </c>
      <c r="D1566" s="6" t="s">
        <v>542</v>
      </c>
      <c r="E1566" s="6" t="s">
        <v>9</v>
      </c>
      <c r="F1566" s="6" t="s">
        <v>10</v>
      </c>
      <c r="G1566" s="6" t="s">
        <v>3301</v>
      </c>
      <c r="H1566" s="6">
        <v>5.54</v>
      </c>
      <c r="I1566" s="6" t="str">
        <f>_xlfn.CONCAT("Art. złączny do produktu ",Tabela10[[#This Row],[KOD_PRODUKTU]])</f>
        <v>Art. złączny do produktu 900O71-232</v>
      </c>
      <c r="J1566" s="6" t="str">
        <f>_xlfn.CONCAT("VE-",Tabela10[[#This Row],[KOD_PRODUKTU]])</f>
        <v>VE-900O71-232</v>
      </c>
    </row>
    <row r="1567" spans="1:10" x14ac:dyDescent="0.25">
      <c r="A1567" s="1" t="s">
        <v>3308</v>
      </c>
      <c r="B1567" t="s">
        <v>3309</v>
      </c>
      <c r="C1567" s="1" t="s">
        <v>1249</v>
      </c>
      <c r="D1567" t="s">
        <v>3296</v>
      </c>
      <c r="E1567" t="s">
        <v>1251</v>
      </c>
      <c r="F1567" t="s">
        <v>1252</v>
      </c>
      <c r="G1567" t="s">
        <v>3304</v>
      </c>
      <c r="H1567">
        <v>0.96</v>
      </c>
      <c r="I1567" s="6" t="str">
        <f>_xlfn.CONCAT("Art. złączny do produktu ",Tabela10[[#This Row],[KOD_PRODUKTU]])</f>
        <v>Art. złączny do produktu 900O71-241</v>
      </c>
      <c r="J1567" s="6" t="str">
        <f>_xlfn.CONCAT("VE-",Tabela10[[#This Row],[KOD_PRODUKTU]])</f>
        <v>VE-900O71-241</v>
      </c>
    </row>
    <row r="1568" spans="1:10" x14ac:dyDescent="0.25">
      <c r="A1568" s="7" t="s">
        <v>3308</v>
      </c>
      <c r="B1568" s="6" t="s">
        <v>3309</v>
      </c>
      <c r="C1568" s="7" t="s">
        <v>3298</v>
      </c>
      <c r="D1568" s="6" t="s">
        <v>3299</v>
      </c>
      <c r="E1568" s="6" t="s">
        <v>3300</v>
      </c>
      <c r="F1568" s="6" t="s">
        <v>435</v>
      </c>
      <c r="G1568" s="6" t="s">
        <v>3310</v>
      </c>
      <c r="H1568" s="6">
        <v>0.35</v>
      </c>
      <c r="I1568" s="6" t="str">
        <f>_xlfn.CONCAT("Art. złączny do produktu ",Tabela10[[#This Row],[KOD_PRODUKTU]])</f>
        <v>Art. złączny do produktu 900O71-241</v>
      </c>
      <c r="J1568" s="6" t="str">
        <f>_xlfn.CONCAT("VE-",Tabela10[[#This Row],[KOD_PRODUKTU]])</f>
        <v>VE-900O71-241</v>
      </c>
    </row>
    <row r="1569" spans="1:10" x14ac:dyDescent="0.25">
      <c r="A1569" s="1" t="s">
        <v>3308</v>
      </c>
      <c r="B1569" t="s">
        <v>3309</v>
      </c>
      <c r="C1569" s="1" t="s">
        <v>541</v>
      </c>
      <c r="D1569" t="s">
        <v>542</v>
      </c>
      <c r="E1569" t="s">
        <v>9</v>
      </c>
      <c r="F1569" t="s">
        <v>10</v>
      </c>
      <c r="G1569" t="s">
        <v>594</v>
      </c>
      <c r="H1569">
        <v>11.5</v>
      </c>
      <c r="I1569" s="6" t="str">
        <f>_xlfn.CONCAT("Art. złączny do produktu ",Tabela10[[#This Row],[KOD_PRODUKTU]])</f>
        <v>Art. złączny do produktu 900O71-241</v>
      </c>
      <c r="J1569" s="6" t="str">
        <f>_xlfn.CONCAT("VE-",Tabela10[[#This Row],[KOD_PRODUKTU]])</f>
        <v>VE-900O71-241</v>
      </c>
    </row>
    <row r="1570" spans="1:10" x14ac:dyDescent="0.25">
      <c r="A1570" s="7" t="s">
        <v>3311</v>
      </c>
      <c r="B1570" s="6" t="s">
        <v>3312</v>
      </c>
      <c r="C1570" s="7" t="s">
        <v>1249</v>
      </c>
      <c r="D1570" s="6" t="s">
        <v>3296</v>
      </c>
      <c r="E1570" s="6" t="s">
        <v>1251</v>
      </c>
      <c r="F1570" s="6" t="s">
        <v>1252</v>
      </c>
      <c r="G1570" s="6" t="s">
        <v>3304</v>
      </c>
      <c r="H1570" s="6">
        <v>0.96</v>
      </c>
      <c r="I1570" s="6" t="str">
        <f>_xlfn.CONCAT("Art. złączny do produktu ",Tabela10[[#This Row],[KOD_PRODUKTU]])</f>
        <v>Art. złączny do produktu 900O71-251</v>
      </c>
      <c r="J1570" s="6" t="str">
        <f>_xlfn.CONCAT("VE-",Tabela10[[#This Row],[KOD_PRODUKTU]])</f>
        <v>VE-900O71-251</v>
      </c>
    </row>
    <row r="1571" spans="1:10" x14ac:dyDescent="0.25">
      <c r="A1571" s="1" t="s">
        <v>3311</v>
      </c>
      <c r="B1571" t="s">
        <v>3312</v>
      </c>
      <c r="C1571" s="1" t="s">
        <v>3298</v>
      </c>
      <c r="D1571" t="s">
        <v>3299</v>
      </c>
      <c r="E1571" t="s">
        <v>3300</v>
      </c>
      <c r="F1571" t="s">
        <v>435</v>
      </c>
      <c r="G1571" t="s">
        <v>3313</v>
      </c>
      <c r="H1571">
        <v>0.4</v>
      </c>
      <c r="I1571" s="6" t="str">
        <f>_xlfn.CONCAT("Art. złączny do produktu ",Tabela10[[#This Row],[KOD_PRODUKTU]])</f>
        <v>Art. złączny do produktu 900O71-251</v>
      </c>
      <c r="J1571" s="6" t="str">
        <f>_xlfn.CONCAT("VE-",Tabela10[[#This Row],[KOD_PRODUKTU]])</f>
        <v>VE-900O71-251</v>
      </c>
    </row>
    <row r="1572" spans="1:10" x14ac:dyDescent="0.25">
      <c r="A1572" s="7" t="s">
        <v>3311</v>
      </c>
      <c r="B1572" s="6" t="s">
        <v>3312</v>
      </c>
      <c r="C1572" s="7" t="s">
        <v>541</v>
      </c>
      <c r="D1572" s="6" t="s">
        <v>542</v>
      </c>
      <c r="E1572" s="6" t="s">
        <v>9</v>
      </c>
      <c r="F1572" s="6" t="s">
        <v>10</v>
      </c>
      <c r="G1572" s="6" t="s">
        <v>3314</v>
      </c>
      <c r="H1572" s="6">
        <v>7.79</v>
      </c>
      <c r="I1572" s="6" t="str">
        <f>_xlfn.CONCAT("Art. złączny do produktu ",Tabela10[[#This Row],[KOD_PRODUKTU]])</f>
        <v>Art. złączny do produktu 900O71-251</v>
      </c>
      <c r="J1572" s="6" t="str">
        <f>_xlfn.CONCAT("VE-",Tabela10[[#This Row],[KOD_PRODUKTU]])</f>
        <v>VE-900O71-251</v>
      </c>
    </row>
    <row r="1573" spans="1:10" x14ac:dyDescent="0.25">
      <c r="A1573" s="1" t="s">
        <v>3315</v>
      </c>
      <c r="B1573" t="s">
        <v>3316</v>
      </c>
      <c r="C1573" s="1" t="s">
        <v>3317</v>
      </c>
      <c r="D1573" t="s">
        <v>3318</v>
      </c>
      <c r="E1573" t="s">
        <v>1017</v>
      </c>
      <c r="F1573" t="s">
        <v>5</v>
      </c>
      <c r="G1573" t="s">
        <v>1209</v>
      </c>
      <c r="H1573">
        <v>0.25</v>
      </c>
      <c r="I1573" s="6" t="str">
        <f>_xlfn.CONCAT("Art. złączny do produktu ",Tabela10[[#This Row],[KOD_PRODUKTU]])</f>
        <v>Art. złączny do produktu 900O71-260</v>
      </c>
      <c r="J1573" s="6" t="str">
        <f>_xlfn.CONCAT("VE-",Tabela10[[#This Row],[KOD_PRODUKTU]])</f>
        <v>VE-900O71-260</v>
      </c>
    </row>
    <row r="1574" spans="1:10" x14ac:dyDescent="0.25">
      <c r="A1574" s="7" t="s">
        <v>3315</v>
      </c>
      <c r="B1574" s="6" t="s">
        <v>3316</v>
      </c>
      <c r="C1574" s="7" t="s">
        <v>541</v>
      </c>
      <c r="D1574" s="6" t="s">
        <v>542</v>
      </c>
      <c r="E1574" s="6" t="s">
        <v>9</v>
      </c>
      <c r="F1574" s="6" t="s">
        <v>10</v>
      </c>
      <c r="G1574" s="6" t="s">
        <v>3319</v>
      </c>
      <c r="H1574" s="6">
        <v>4.76</v>
      </c>
      <c r="I1574" s="6" t="str">
        <f>_xlfn.CONCAT("Art. złączny do produktu ",Tabela10[[#This Row],[KOD_PRODUKTU]])</f>
        <v>Art. złączny do produktu 900O71-260</v>
      </c>
      <c r="J1574" s="6" t="str">
        <f>_xlfn.CONCAT("VE-",Tabela10[[#This Row],[KOD_PRODUKTU]])</f>
        <v>VE-900O71-260</v>
      </c>
    </row>
    <row r="1575" spans="1:10" x14ac:dyDescent="0.25">
      <c r="A1575" s="1" t="s">
        <v>3320</v>
      </c>
      <c r="B1575" t="s">
        <v>3321</v>
      </c>
      <c r="C1575" s="1" t="s">
        <v>1249</v>
      </c>
      <c r="D1575" t="s">
        <v>3296</v>
      </c>
      <c r="E1575" t="s">
        <v>1251</v>
      </c>
      <c r="F1575" t="s">
        <v>1252</v>
      </c>
      <c r="G1575" t="s">
        <v>3297</v>
      </c>
      <c r="H1575">
        <v>2.04</v>
      </c>
      <c r="I1575" s="6" t="str">
        <f>_xlfn.CONCAT("Art. złączny do produktu ",Tabela10[[#This Row],[KOD_PRODUKTU]])</f>
        <v>Art. złączny do produktu 900O71-270</v>
      </c>
      <c r="J1575" s="6" t="str">
        <f>_xlfn.CONCAT("VE-",Tabela10[[#This Row],[KOD_PRODUKTU]])</f>
        <v>VE-900O71-270</v>
      </c>
    </row>
    <row r="1576" spans="1:10" x14ac:dyDescent="0.25">
      <c r="A1576" s="7" t="s">
        <v>3320</v>
      </c>
      <c r="B1576" s="6" t="s">
        <v>3321</v>
      </c>
      <c r="C1576" s="7" t="s">
        <v>541</v>
      </c>
      <c r="D1576" s="6" t="s">
        <v>542</v>
      </c>
      <c r="E1576" s="6" t="s">
        <v>9</v>
      </c>
      <c r="F1576" s="6" t="s">
        <v>10</v>
      </c>
      <c r="G1576" s="6" t="s">
        <v>3322</v>
      </c>
      <c r="H1576" s="6">
        <v>5.65</v>
      </c>
      <c r="I1576" s="6" t="str">
        <f>_xlfn.CONCAT("Art. złączny do produktu ",Tabela10[[#This Row],[KOD_PRODUKTU]])</f>
        <v>Art. złączny do produktu 900O71-270</v>
      </c>
      <c r="J1576" s="6" t="str">
        <f>_xlfn.CONCAT("VE-",Tabela10[[#This Row],[KOD_PRODUKTU]])</f>
        <v>VE-900O71-270</v>
      </c>
    </row>
    <row r="1577" spans="1:10" x14ac:dyDescent="0.25">
      <c r="A1577" s="1" t="s">
        <v>3323</v>
      </c>
      <c r="B1577" t="s">
        <v>3324</v>
      </c>
      <c r="C1577" s="1" t="s">
        <v>1249</v>
      </c>
      <c r="D1577" t="s">
        <v>3296</v>
      </c>
      <c r="E1577" t="s">
        <v>1251</v>
      </c>
      <c r="F1577" t="s">
        <v>1252</v>
      </c>
      <c r="G1577" t="s">
        <v>3297</v>
      </c>
      <c r="H1577">
        <v>2.04</v>
      </c>
      <c r="I1577" s="6" t="str">
        <f>_xlfn.CONCAT("Art. złączny do produktu ",Tabela10[[#This Row],[KOD_PRODUKTU]])</f>
        <v>Art. złączny do produktu 900O71-280</v>
      </c>
      <c r="J1577" s="6" t="str">
        <f>_xlfn.CONCAT("VE-",Tabela10[[#This Row],[KOD_PRODUKTU]])</f>
        <v>VE-900O71-280</v>
      </c>
    </row>
    <row r="1578" spans="1:10" x14ac:dyDescent="0.25">
      <c r="A1578" s="7" t="s">
        <v>3323</v>
      </c>
      <c r="B1578" s="6" t="s">
        <v>3324</v>
      </c>
      <c r="C1578" s="7" t="s">
        <v>541</v>
      </c>
      <c r="D1578" s="6" t="s">
        <v>542</v>
      </c>
      <c r="E1578" s="6" t="s">
        <v>9</v>
      </c>
      <c r="F1578" s="6" t="s">
        <v>10</v>
      </c>
      <c r="G1578" s="6" t="s">
        <v>3325</v>
      </c>
      <c r="H1578" s="6">
        <v>5.12</v>
      </c>
      <c r="I1578" s="6" t="str">
        <f>_xlfn.CONCAT("Art. złączny do produktu ",Tabela10[[#This Row],[KOD_PRODUKTU]])</f>
        <v>Art. złączny do produktu 900O71-280</v>
      </c>
      <c r="J1578" s="6" t="str">
        <f>_xlfn.CONCAT("VE-",Tabela10[[#This Row],[KOD_PRODUKTU]])</f>
        <v>VE-900O71-280</v>
      </c>
    </row>
    <row r="1579" spans="1:10" x14ac:dyDescent="0.25">
      <c r="A1579" s="1" t="s">
        <v>3326</v>
      </c>
      <c r="B1579" t="s">
        <v>3327</v>
      </c>
      <c r="C1579" s="1" t="s">
        <v>1162</v>
      </c>
      <c r="D1579" t="s">
        <v>1163</v>
      </c>
      <c r="E1579" t="s">
        <v>1164</v>
      </c>
      <c r="F1579" t="s">
        <v>5</v>
      </c>
      <c r="G1579" t="s">
        <v>3328</v>
      </c>
      <c r="H1579">
        <v>0.7</v>
      </c>
      <c r="I1579" s="6" t="str">
        <f>_xlfn.CONCAT("Art. złączny do produktu ",Tabela10[[#This Row],[KOD_PRODUKTU]])</f>
        <v>Art. złączny do produktu 900O79-211</v>
      </c>
      <c r="J1579" s="6" t="str">
        <f>_xlfn.CONCAT("VE-",Tabela10[[#This Row],[KOD_PRODUKTU]])</f>
        <v>VE-900O79-211</v>
      </c>
    </row>
    <row r="1580" spans="1:10" x14ac:dyDescent="0.25">
      <c r="A1580" s="7" t="s">
        <v>3326</v>
      </c>
      <c r="B1580" s="6" t="s">
        <v>3327</v>
      </c>
      <c r="C1580" s="7" t="s">
        <v>7</v>
      </c>
      <c r="D1580" s="6" t="s">
        <v>8</v>
      </c>
      <c r="E1580" s="6" t="s">
        <v>9</v>
      </c>
      <c r="F1580" s="6" t="s">
        <v>10</v>
      </c>
      <c r="G1580" s="6" t="s">
        <v>305</v>
      </c>
      <c r="H1580" s="6">
        <v>4</v>
      </c>
      <c r="I1580" s="6" t="str">
        <f>_xlfn.CONCAT("Art. złączny do produktu ",Tabela10[[#This Row],[KOD_PRODUKTU]])</f>
        <v>Art. złączny do produktu 900O79-211</v>
      </c>
      <c r="J1580" s="6" t="str">
        <f>_xlfn.CONCAT("VE-",Tabela10[[#This Row],[KOD_PRODUKTU]])</f>
        <v>VE-900O79-211</v>
      </c>
    </row>
    <row r="1581" spans="1:10" x14ac:dyDescent="0.25">
      <c r="A1581" s="1" t="s">
        <v>3329</v>
      </c>
      <c r="B1581" t="s">
        <v>3330</v>
      </c>
      <c r="C1581" s="1" t="s">
        <v>1785</v>
      </c>
      <c r="D1581" t="s">
        <v>1786</v>
      </c>
      <c r="E1581" t="s">
        <v>216</v>
      </c>
      <c r="F1581" t="s">
        <v>5</v>
      </c>
      <c r="G1581" t="s">
        <v>367</v>
      </c>
      <c r="H1581">
        <v>0.35</v>
      </c>
      <c r="I1581" s="6" t="str">
        <f>_xlfn.CONCAT("Art. złączny do produktu ",Tabela10[[#This Row],[KOD_PRODUKTU]])</f>
        <v>Art. złączny do produktu 900O80-101</v>
      </c>
      <c r="J1581" s="6" t="str">
        <f>_xlfn.CONCAT("VE-",Tabela10[[#This Row],[KOD_PRODUKTU]])</f>
        <v>VE-900O80-101</v>
      </c>
    </row>
    <row r="1582" spans="1:10" x14ac:dyDescent="0.25">
      <c r="A1582" s="7" t="s">
        <v>3329</v>
      </c>
      <c r="B1582" s="6" t="s">
        <v>3330</v>
      </c>
      <c r="C1582" s="7" t="s">
        <v>541</v>
      </c>
      <c r="D1582" s="6" t="s">
        <v>542</v>
      </c>
      <c r="E1582" s="6" t="s">
        <v>9</v>
      </c>
      <c r="F1582" s="6" t="s">
        <v>10</v>
      </c>
      <c r="G1582" s="6" t="s">
        <v>601</v>
      </c>
      <c r="H1582" s="6">
        <v>6.9</v>
      </c>
      <c r="I1582" s="6" t="str">
        <f>_xlfn.CONCAT("Art. złączny do produktu ",Tabela10[[#This Row],[KOD_PRODUKTU]])</f>
        <v>Art. złączny do produktu 900O80-101</v>
      </c>
      <c r="J1582" s="6" t="str">
        <f>_xlfn.CONCAT("VE-",Tabela10[[#This Row],[KOD_PRODUKTU]])</f>
        <v>VE-900O80-101</v>
      </c>
    </row>
    <row r="1583" spans="1:10" x14ac:dyDescent="0.25">
      <c r="A1583" s="1" t="s">
        <v>3331</v>
      </c>
      <c r="B1583" t="s">
        <v>3332</v>
      </c>
      <c r="C1583" s="1" t="s">
        <v>3333</v>
      </c>
      <c r="D1583" t="s">
        <v>3334</v>
      </c>
      <c r="E1583" t="s">
        <v>140</v>
      </c>
      <c r="F1583" t="s">
        <v>49</v>
      </c>
      <c r="G1583" t="s">
        <v>50</v>
      </c>
      <c r="H1583">
        <v>10.75</v>
      </c>
      <c r="I1583" s="6" t="str">
        <f>_xlfn.CONCAT("Art. złączny do produktu ",Tabela10[[#This Row],[KOD_PRODUKTU]])</f>
        <v>Art. złączny do produktu 900O80-310</v>
      </c>
      <c r="J1583" s="6" t="str">
        <f>_xlfn.CONCAT("VE-",Tabela10[[#This Row],[KOD_PRODUKTU]])</f>
        <v>VE-900O80-310</v>
      </c>
    </row>
    <row r="1584" spans="1:10" x14ac:dyDescent="0.25">
      <c r="A1584" s="7" t="s">
        <v>3331</v>
      </c>
      <c r="B1584" s="6" t="s">
        <v>3332</v>
      </c>
      <c r="C1584" s="7" t="s">
        <v>7</v>
      </c>
      <c r="D1584" s="6" t="s">
        <v>8</v>
      </c>
      <c r="E1584" s="6" t="s">
        <v>9</v>
      </c>
      <c r="F1584" s="6" t="s">
        <v>10</v>
      </c>
      <c r="G1584" s="6" t="s">
        <v>3335</v>
      </c>
      <c r="H1584" s="6">
        <v>26.83</v>
      </c>
      <c r="I1584" s="6" t="str">
        <f>_xlfn.CONCAT("Art. złączny do produktu ",Tabela10[[#This Row],[KOD_PRODUKTU]])</f>
        <v>Art. złączny do produktu 900O80-310</v>
      </c>
      <c r="J1584" s="6" t="str">
        <f>_xlfn.CONCAT("VE-",Tabela10[[#This Row],[KOD_PRODUKTU]])</f>
        <v>VE-900O80-310</v>
      </c>
    </row>
    <row r="1585" spans="1:10" x14ac:dyDescent="0.25">
      <c r="A1585" s="1" t="s">
        <v>3336</v>
      </c>
      <c r="B1585" t="s">
        <v>3337</v>
      </c>
      <c r="C1585" s="1" t="s">
        <v>3280</v>
      </c>
      <c r="D1585" t="s">
        <v>3281</v>
      </c>
      <c r="E1585" t="s">
        <v>876</v>
      </c>
      <c r="F1585" t="s">
        <v>5</v>
      </c>
      <c r="G1585" t="s">
        <v>3338</v>
      </c>
      <c r="H1585">
        <v>7.45</v>
      </c>
      <c r="I1585" s="6" t="str">
        <f>_xlfn.CONCAT("Art. złączny do produktu ",Tabela10[[#This Row],[KOD_PRODUKTU]])</f>
        <v>Art. złączny do produktu 900O87-310</v>
      </c>
      <c r="J1585" s="6" t="str">
        <f>_xlfn.CONCAT("VE-",Tabela10[[#This Row],[KOD_PRODUKTU]])</f>
        <v>VE-900O87-310</v>
      </c>
    </row>
    <row r="1586" spans="1:10" x14ac:dyDescent="0.25">
      <c r="A1586" s="7" t="s">
        <v>3336</v>
      </c>
      <c r="B1586" s="6" t="s">
        <v>3337</v>
      </c>
      <c r="C1586" s="7" t="s">
        <v>7</v>
      </c>
      <c r="D1586" s="6" t="s">
        <v>8</v>
      </c>
      <c r="E1586" s="6" t="s">
        <v>9</v>
      </c>
      <c r="F1586" s="6" t="s">
        <v>10</v>
      </c>
      <c r="G1586" s="6" t="s">
        <v>3339</v>
      </c>
      <c r="H1586" s="6">
        <v>11.85</v>
      </c>
      <c r="I1586" s="6" t="str">
        <f>_xlfn.CONCAT("Art. złączny do produktu ",Tabela10[[#This Row],[KOD_PRODUKTU]])</f>
        <v>Art. złączny do produktu 900O87-310</v>
      </c>
      <c r="J1586" s="6" t="str">
        <f>_xlfn.CONCAT("VE-",Tabela10[[#This Row],[KOD_PRODUKTU]])</f>
        <v>VE-900O87-310</v>
      </c>
    </row>
    <row r="1587" spans="1:10" x14ac:dyDescent="0.25">
      <c r="A1587" s="1" t="s">
        <v>3340</v>
      </c>
      <c r="B1587" t="s">
        <v>3341</v>
      </c>
      <c r="C1587" s="1" t="s">
        <v>3342</v>
      </c>
      <c r="D1587" t="s">
        <v>3343</v>
      </c>
      <c r="E1587" t="s">
        <v>3344</v>
      </c>
      <c r="F1587" t="s">
        <v>5</v>
      </c>
      <c r="G1587" t="s">
        <v>3345</v>
      </c>
      <c r="H1587">
        <v>11.5</v>
      </c>
      <c r="I1587" s="6" t="str">
        <f>_xlfn.CONCAT("Art. złączny do produktu ",Tabela10[[#This Row],[KOD_PRODUKTU]])</f>
        <v>Art. złączny do produktu 900O87-400</v>
      </c>
      <c r="J1587" s="6" t="str">
        <f>_xlfn.CONCAT("VE-",Tabela10[[#This Row],[KOD_PRODUKTU]])</f>
        <v>VE-900O87-400</v>
      </c>
    </row>
    <row r="1588" spans="1:10" x14ac:dyDescent="0.25">
      <c r="A1588" s="7" t="s">
        <v>3340</v>
      </c>
      <c r="B1588" s="6" t="s">
        <v>3341</v>
      </c>
      <c r="C1588" s="7" t="s">
        <v>7</v>
      </c>
      <c r="D1588" s="6" t="s">
        <v>8</v>
      </c>
      <c r="E1588" s="6" t="s">
        <v>9</v>
      </c>
      <c r="F1588" s="6" t="s">
        <v>10</v>
      </c>
      <c r="G1588" s="6" t="s">
        <v>3346</v>
      </c>
      <c r="H1588" s="6">
        <v>11.19</v>
      </c>
      <c r="I1588" s="6" t="str">
        <f>_xlfn.CONCAT("Art. złączny do produktu ",Tabela10[[#This Row],[KOD_PRODUKTU]])</f>
        <v>Art. złączny do produktu 900O87-400</v>
      </c>
      <c r="J1588" s="6" t="str">
        <f>_xlfn.CONCAT("VE-",Tabela10[[#This Row],[KOD_PRODUKTU]])</f>
        <v>VE-900O87-400</v>
      </c>
    </row>
    <row r="1589" spans="1:10" x14ac:dyDescent="0.25">
      <c r="A1589" s="1" t="s">
        <v>3347</v>
      </c>
      <c r="B1589" t="s">
        <v>3348</v>
      </c>
      <c r="C1589" s="1" t="s">
        <v>1249</v>
      </c>
      <c r="D1589" t="s">
        <v>1250</v>
      </c>
      <c r="E1589" t="s">
        <v>1251</v>
      </c>
      <c r="F1589" t="s">
        <v>1252</v>
      </c>
      <c r="G1589" t="s">
        <v>1253</v>
      </c>
      <c r="H1589">
        <v>12</v>
      </c>
      <c r="I1589" s="6" t="str">
        <f>_xlfn.CONCAT("Art. złączny do produktu ",Tabela10[[#This Row],[KOD_PRODUKTU]])</f>
        <v>Art. złączny do produktu 900O87-500</v>
      </c>
      <c r="J1589" s="6" t="str">
        <f>_xlfn.CONCAT("VE-",Tabela10[[#This Row],[KOD_PRODUKTU]])</f>
        <v>VE-900O87-500</v>
      </c>
    </row>
    <row r="1590" spans="1:10" x14ac:dyDescent="0.25">
      <c r="A1590" s="7" t="s">
        <v>3347</v>
      </c>
      <c r="B1590" s="6" t="s">
        <v>3348</v>
      </c>
      <c r="C1590" s="7" t="s">
        <v>7</v>
      </c>
      <c r="D1590" s="6" t="s">
        <v>8</v>
      </c>
      <c r="E1590" s="6" t="s">
        <v>9</v>
      </c>
      <c r="F1590" s="6" t="s">
        <v>10</v>
      </c>
      <c r="G1590" s="6" t="s">
        <v>33</v>
      </c>
      <c r="H1590" s="6">
        <v>9.1999999999999993</v>
      </c>
      <c r="I1590" s="6" t="str">
        <f>_xlfn.CONCAT("Art. złączny do produktu ",Tabela10[[#This Row],[KOD_PRODUKTU]])</f>
        <v>Art. złączny do produktu 900O87-500</v>
      </c>
      <c r="J1590" s="6" t="str">
        <f>_xlfn.CONCAT("VE-",Tabela10[[#This Row],[KOD_PRODUKTU]])</f>
        <v>VE-900O87-500</v>
      </c>
    </row>
    <row r="1591" spans="1:10" x14ac:dyDescent="0.25">
      <c r="A1591" s="1" t="s">
        <v>3347</v>
      </c>
      <c r="B1591" t="s">
        <v>3348</v>
      </c>
      <c r="C1591" s="1" t="s">
        <v>7</v>
      </c>
      <c r="D1591" t="s">
        <v>8</v>
      </c>
      <c r="E1591" t="s">
        <v>9</v>
      </c>
      <c r="F1591" t="s">
        <v>10</v>
      </c>
      <c r="G1591" t="s">
        <v>594</v>
      </c>
      <c r="H1591">
        <v>11.5</v>
      </c>
      <c r="I1591" s="6" t="str">
        <f>_xlfn.CONCAT("Art. złączny do produktu ",Tabela10[[#This Row],[KOD_PRODUKTU]])</f>
        <v>Art. złączny do produktu 900O87-500</v>
      </c>
      <c r="J1591" s="6" t="str">
        <f>_xlfn.CONCAT("VE-",Tabela10[[#This Row],[KOD_PRODUKTU]])</f>
        <v>VE-900O87-500</v>
      </c>
    </row>
    <row r="1592" spans="1:10" x14ac:dyDescent="0.25">
      <c r="A1592" s="7" t="s">
        <v>3349</v>
      </c>
      <c r="B1592" s="6" t="s">
        <v>3350</v>
      </c>
      <c r="C1592" s="7" t="s">
        <v>3280</v>
      </c>
      <c r="D1592" s="6" t="s">
        <v>3281</v>
      </c>
      <c r="E1592" s="6" t="s">
        <v>876</v>
      </c>
      <c r="F1592" s="6" t="s">
        <v>5</v>
      </c>
      <c r="G1592" s="6" t="s">
        <v>3351</v>
      </c>
      <c r="H1592" s="6">
        <v>7.55</v>
      </c>
      <c r="I1592" s="6" t="str">
        <f>_xlfn.CONCAT("Art. złączny do produktu ",Tabela10[[#This Row],[KOD_PRODUKTU]])</f>
        <v>Art. złączny do produktu 900O89-310</v>
      </c>
      <c r="J1592" s="6" t="str">
        <f>_xlfn.CONCAT("VE-",Tabela10[[#This Row],[KOD_PRODUKTU]])</f>
        <v>VE-900O89-310</v>
      </c>
    </row>
    <row r="1593" spans="1:10" x14ac:dyDescent="0.25">
      <c r="A1593" s="1" t="s">
        <v>3349</v>
      </c>
      <c r="B1593" t="s">
        <v>3350</v>
      </c>
      <c r="C1593" s="1" t="s">
        <v>7</v>
      </c>
      <c r="D1593" t="s">
        <v>8</v>
      </c>
      <c r="E1593" t="s">
        <v>9</v>
      </c>
      <c r="F1593" t="s">
        <v>10</v>
      </c>
      <c r="G1593" t="s">
        <v>3352</v>
      </c>
      <c r="H1593">
        <v>11.87</v>
      </c>
      <c r="I1593" s="6" t="str">
        <f>_xlfn.CONCAT("Art. złączny do produktu ",Tabela10[[#This Row],[KOD_PRODUKTU]])</f>
        <v>Art. złączny do produktu 900O89-310</v>
      </c>
      <c r="J1593" s="6" t="str">
        <f>_xlfn.CONCAT("VE-",Tabela10[[#This Row],[KOD_PRODUKTU]])</f>
        <v>VE-900O89-310</v>
      </c>
    </row>
    <row r="1594" spans="1:10" x14ac:dyDescent="0.25">
      <c r="A1594" s="7" t="s">
        <v>3353</v>
      </c>
      <c r="B1594" s="6" t="s">
        <v>3354</v>
      </c>
      <c r="C1594" s="7" t="s">
        <v>3355</v>
      </c>
      <c r="D1594" s="6" t="s">
        <v>3356</v>
      </c>
      <c r="E1594" s="6" t="s">
        <v>70</v>
      </c>
      <c r="F1594" s="6" t="s">
        <v>5</v>
      </c>
      <c r="G1594" s="6" t="s">
        <v>3357</v>
      </c>
      <c r="H1594" s="6">
        <v>2.35</v>
      </c>
      <c r="I1594" s="6" t="str">
        <f>_xlfn.CONCAT("Art. złączny do produktu ",Tabela10[[#This Row],[KOD_PRODUKTU]])</f>
        <v>Art. złączny do produktu 900O93-161</v>
      </c>
      <c r="J1594" s="6" t="str">
        <f>_xlfn.CONCAT("VE-",Tabela10[[#This Row],[KOD_PRODUKTU]])</f>
        <v>VE-900O93-161</v>
      </c>
    </row>
    <row r="1595" spans="1:10" x14ac:dyDescent="0.25">
      <c r="A1595" s="1" t="s">
        <v>3353</v>
      </c>
      <c r="B1595" t="s">
        <v>3354</v>
      </c>
      <c r="C1595" s="1" t="s">
        <v>541</v>
      </c>
      <c r="D1595" t="s">
        <v>542</v>
      </c>
      <c r="E1595" t="s">
        <v>811</v>
      </c>
      <c r="F1595" t="s">
        <v>10</v>
      </c>
      <c r="G1595" t="s">
        <v>607</v>
      </c>
      <c r="H1595">
        <v>51</v>
      </c>
      <c r="I1595" s="6" t="str">
        <f>_xlfn.CONCAT("Art. złączny do produktu ",Tabela10[[#This Row],[KOD_PRODUKTU]])</f>
        <v>Art. złączny do produktu 900O93-161</v>
      </c>
      <c r="J1595" s="6" t="str">
        <f>_xlfn.CONCAT("VE-",Tabela10[[#This Row],[KOD_PRODUKTU]])</f>
        <v>VE-900O93-161</v>
      </c>
    </row>
    <row r="1596" spans="1:10" x14ac:dyDescent="0.25">
      <c r="A1596" s="7" t="s">
        <v>3358</v>
      </c>
      <c r="B1596" s="6" t="s">
        <v>3359</v>
      </c>
      <c r="C1596" s="7" t="s">
        <v>1487</v>
      </c>
      <c r="D1596" s="6" t="s">
        <v>1488</v>
      </c>
      <c r="E1596" s="6" t="s">
        <v>31</v>
      </c>
      <c r="F1596" s="6" t="s">
        <v>5</v>
      </c>
      <c r="G1596" s="6" t="s">
        <v>3360</v>
      </c>
      <c r="H1596" s="6">
        <v>1.2</v>
      </c>
      <c r="I1596" s="6" t="str">
        <f>_xlfn.CONCAT("Art. złączny do produktu ",Tabela10[[#This Row],[KOD_PRODUKTU]])</f>
        <v>Art. złączny do produktu 900O93-162</v>
      </c>
      <c r="J1596" s="6" t="str">
        <f>_xlfn.CONCAT("VE-",Tabela10[[#This Row],[KOD_PRODUKTU]])</f>
        <v>VE-900O93-162</v>
      </c>
    </row>
    <row r="1597" spans="1:10" x14ac:dyDescent="0.25">
      <c r="A1597" s="1" t="s">
        <v>3358</v>
      </c>
      <c r="B1597" t="s">
        <v>3359</v>
      </c>
      <c r="C1597" s="1" t="s">
        <v>432</v>
      </c>
      <c r="D1597" t="s">
        <v>433</v>
      </c>
      <c r="E1597" t="s">
        <v>434</v>
      </c>
      <c r="F1597" t="s">
        <v>435</v>
      </c>
      <c r="G1597" t="s">
        <v>50</v>
      </c>
      <c r="H1597">
        <v>1.1000000000000001</v>
      </c>
      <c r="I1597" s="6" t="str">
        <f>_xlfn.CONCAT("Art. złączny do produktu ",Tabela10[[#This Row],[KOD_PRODUKTU]])</f>
        <v>Art. złączny do produktu 900O93-162</v>
      </c>
      <c r="J1597" s="6" t="str">
        <f>_xlfn.CONCAT("VE-",Tabela10[[#This Row],[KOD_PRODUKTU]])</f>
        <v>VE-900O93-162</v>
      </c>
    </row>
    <row r="1598" spans="1:10" x14ac:dyDescent="0.25">
      <c r="A1598" s="7" t="s">
        <v>3358</v>
      </c>
      <c r="B1598" s="6" t="s">
        <v>3359</v>
      </c>
      <c r="C1598" s="7" t="s">
        <v>541</v>
      </c>
      <c r="D1598" s="6" t="s">
        <v>542</v>
      </c>
      <c r="E1598" s="6" t="s">
        <v>811</v>
      </c>
      <c r="F1598" s="6" t="s">
        <v>10</v>
      </c>
      <c r="G1598" s="6" t="s">
        <v>3277</v>
      </c>
      <c r="H1598" s="6">
        <v>26.81</v>
      </c>
      <c r="I1598" s="6" t="str">
        <f>_xlfn.CONCAT("Art. złączny do produktu ",Tabela10[[#This Row],[KOD_PRODUKTU]])</f>
        <v>Art. złączny do produktu 900O93-162</v>
      </c>
      <c r="J1598" s="6" t="str">
        <f>_xlfn.CONCAT("VE-",Tabela10[[#This Row],[KOD_PRODUKTU]])</f>
        <v>VE-900O93-162</v>
      </c>
    </row>
    <row r="1599" spans="1:10" x14ac:dyDescent="0.25">
      <c r="A1599" s="1" t="s">
        <v>3361</v>
      </c>
      <c r="B1599" t="s">
        <v>3362</v>
      </c>
      <c r="C1599" s="1" t="s">
        <v>3363</v>
      </c>
      <c r="D1599" t="s">
        <v>3364</v>
      </c>
      <c r="E1599" t="s">
        <v>3365</v>
      </c>
      <c r="F1599" t="s">
        <v>17</v>
      </c>
      <c r="G1599" t="s">
        <v>3366</v>
      </c>
      <c r="H1599">
        <v>4.1500000000000004</v>
      </c>
      <c r="I1599" s="6" t="str">
        <f>_xlfn.CONCAT("Art. złączny do produktu ",Tabela10[[#This Row],[KOD_PRODUKTU]])</f>
        <v>Art. złączny do produktu 900O94-211</v>
      </c>
      <c r="J1599" s="6" t="str">
        <f>_xlfn.CONCAT("VE-",Tabela10[[#This Row],[KOD_PRODUKTU]])</f>
        <v>VE-900O94-211</v>
      </c>
    </row>
    <row r="1600" spans="1:10" x14ac:dyDescent="0.25">
      <c r="A1600" s="7" t="s">
        <v>3361</v>
      </c>
      <c r="B1600" s="6" t="s">
        <v>3362</v>
      </c>
      <c r="C1600" s="7" t="s">
        <v>541</v>
      </c>
      <c r="D1600" s="6" t="s">
        <v>542</v>
      </c>
      <c r="E1600" s="6" t="s">
        <v>9</v>
      </c>
      <c r="F1600" s="6" t="s">
        <v>10</v>
      </c>
      <c r="G1600" s="6" t="s">
        <v>3074</v>
      </c>
      <c r="H1600" s="6">
        <v>7.67</v>
      </c>
      <c r="I1600" s="6" t="str">
        <f>_xlfn.CONCAT("Art. złączny do produktu ",Tabela10[[#This Row],[KOD_PRODUKTU]])</f>
        <v>Art. złączny do produktu 900O94-211</v>
      </c>
      <c r="J1600" s="6" t="str">
        <f>_xlfn.CONCAT("VE-",Tabela10[[#This Row],[KOD_PRODUKTU]])</f>
        <v>VE-900O94-211</v>
      </c>
    </row>
    <row r="1601" spans="1:10" x14ac:dyDescent="0.25">
      <c r="A1601" s="1" t="s">
        <v>3367</v>
      </c>
      <c r="B1601" t="s">
        <v>3368</v>
      </c>
      <c r="C1601" s="1" t="s">
        <v>541</v>
      </c>
      <c r="D1601" t="s">
        <v>542</v>
      </c>
      <c r="E1601" t="s">
        <v>9</v>
      </c>
      <c r="F1601" t="s">
        <v>10</v>
      </c>
      <c r="G1601" t="s">
        <v>3371</v>
      </c>
      <c r="H1601">
        <v>58.97</v>
      </c>
      <c r="I1601" s="6" t="str">
        <f>_xlfn.CONCAT("Art. złączny do produktu ",Tabela10[[#This Row],[KOD_PRODUKTU]])</f>
        <v>Art. złączny do produktu 900O94-721</v>
      </c>
      <c r="J1601" s="6" t="str">
        <f>_xlfn.CONCAT("VE-",Tabela10[[#This Row],[KOD_PRODUKTU]])</f>
        <v>VE-900O94-721</v>
      </c>
    </row>
    <row r="1602" spans="1:10" x14ac:dyDescent="0.25">
      <c r="A1602" s="7" t="s">
        <v>3372</v>
      </c>
      <c r="B1602" s="6" t="s">
        <v>3373</v>
      </c>
      <c r="C1602" s="7" t="s">
        <v>541</v>
      </c>
      <c r="D1602" s="6" t="s">
        <v>542</v>
      </c>
      <c r="E1602" s="6" t="s">
        <v>9</v>
      </c>
      <c r="F1602" s="6" t="s">
        <v>10</v>
      </c>
      <c r="G1602" s="6" t="s">
        <v>3371</v>
      </c>
      <c r="H1602" s="6">
        <v>58.97</v>
      </c>
      <c r="I1602" s="6" t="str">
        <f>_xlfn.CONCAT("Art. złączny do produktu ",Tabela10[[#This Row],[KOD_PRODUKTU]])</f>
        <v>Art. złączny do produktu 900O95-321</v>
      </c>
      <c r="J1602" s="6" t="str">
        <f>_xlfn.CONCAT("VE-",Tabela10[[#This Row],[KOD_PRODUKTU]])</f>
        <v>VE-900O95-321</v>
      </c>
    </row>
    <row r="1603" spans="1:10" x14ac:dyDescent="0.25">
      <c r="A1603" s="1" t="s">
        <v>3376</v>
      </c>
      <c r="B1603" t="s">
        <v>3377</v>
      </c>
      <c r="C1603" s="1" t="s">
        <v>684</v>
      </c>
      <c r="D1603" t="s">
        <v>685</v>
      </c>
      <c r="E1603" t="s">
        <v>686</v>
      </c>
      <c r="F1603" t="s">
        <v>49</v>
      </c>
      <c r="G1603" t="s">
        <v>3378</v>
      </c>
      <c r="H1603">
        <v>173.4</v>
      </c>
      <c r="I1603" s="6" t="str">
        <f>_xlfn.CONCAT("Art. złączny do produktu ",Tabela10[[#This Row],[KOD_PRODUKTU]])</f>
        <v>Art. złączny do produktu 900O96-111</v>
      </c>
      <c r="J1603" s="6" t="str">
        <f>_xlfn.CONCAT("VE-",Tabela10[[#This Row],[KOD_PRODUKTU]])</f>
        <v>VE-900O96-111</v>
      </c>
    </row>
    <row r="1604" spans="1:10" x14ac:dyDescent="0.25">
      <c r="A1604" s="7" t="s">
        <v>3376</v>
      </c>
      <c r="B1604" s="6" t="s">
        <v>3377</v>
      </c>
      <c r="C1604" s="7" t="s">
        <v>7</v>
      </c>
      <c r="D1604" s="6" t="s">
        <v>8</v>
      </c>
      <c r="E1604" s="6" t="s">
        <v>9</v>
      </c>
      <c r="F1604" s="6" t="s">
        <v>10</v>
      </c>
      <c r="G1604" s="6" t="s">
        <v>3379</v>
      </c>
      <c r="H1604" s="6">
        <v>241.5</v>
      </c>
      <c r="I1604" s="6" t="str">
        <f>_xlfn.CONCAT("Art. złączny do produktu ",Tabela10[[#This Row],[KOD_PRODUKTU]])</f>
        <v>Art. złączny do produktu 900O96-111</v>
      </c>
      <c r="J1604" s="6" t="str">
        <f>_xlfn.CONCAT("VE-",Tabela10[[#This Row],[KOD_PRODUKTU]])</f>
        <v>VE-900O96-111</v>
      </c>
    </row>
    <row r="1605" spans="1:10" x14ac:dyDescent="0.25">
      <c r="A1605" s="1" t="s">
        <v>3380</v>
      </c>
      <c r="B1605" t="s">
        <v>3381</v>
      </c>
      <c r="C1605" s="1" t="s">
        <v>1074</v>
      </c>
      <c r="D1605" t="s">
        <v>1075</v>
      </c>
      <c r="E1605" t="s">
        <v>1076</v>
      </c>
      <c r="F1605" t="s">
        <v>5</v>
      </c>
      <c r="G1605" t="s">
        <v>1077</v>
      </c>
      <c r="H1605">
        <v>0.13</v>
      </c>
      <c r="I1605" s="6" t="str">
        <f>_xlfn.CONCAT("Art. złączny do produktu ",Tabela10[[#This Row],[KOD_PRODUKTU]])</f>
        <v>Art. złączny do produktu 900O98-240</v>
      </c>
      <c r="J1605" s="6" t="str">
        <f>_xlfn.CONCAT("VE-",Tabela10[[#This Row],[KOD_PRODUKTU]])</f>
        <v>VE-900O98-240</v>
      </c>
    </row>
    <row r="1606" spans="1:10" x14ac:dyDescent="0.25">
      <c r="A1606" s="7" t="s">
        <v>3380</v>
      </c>
      <c r="B1606" s="6" t="s">
        <v>3381</v>
      </c>
      <c r="C1606" s="7" t="s">
        <v>3382</v>
      </c>
      <c r="D1606" s="6" t="s">
        <v>3383</v>
      </c>
      <c r="E1606" s="6" t="s">
        <v>3384</v>
      </c>
      <c r="F1606" s="6" t="s">
        <v>5</v>
      </c>
      <c r="G1606" s="6" t="s">
        <v>3385</v>
      </c>
      <c r="H1606" s="6">
        <v>0.31</v>
      </c>
      <c r="I1606" s="6" t="str">
        <f>_xlfn.CONCAT("Art. złączny do produktu ",Tabela10[[#This Row],[KOD_PRODUKTU]])</f>
        <v>Art. złączny do produktu 900O98-240</v>
      </c>
      <c r="J1606" s="6" t="str">
        <f>_xlfn.CONCAT("VE-",Tabela10[[#This Row],[KOD_PRODUKTU]])</f>
        <v>VE-900O98-240</v>
      </c>
    </row>
    <row r="1607" spans="1:10" x14ac:dyDescent="0.25">
      <c r="A1607" s="1" t="s">
        <v>3380</v>
      </c>
      <c r="B1607" t="s">
        <v>3381</v>
      </c>
      <c r="C1607" s="1" t="s">
        <v>1078</v>
      </c>
      <c r="D1607" t="s">
        <v>1079</v>
      </c>
      <c r="E1607" t="s">
        <v>1080</v>
      </c>
      <c r="F1607" t="s">
        <v>5</v>
      </c>
      <c r="G1607" t="s">
        <v>3386</v>
      </c>
      <c r="H1607">
        <v>0.51</v>
      </c>
      <c r="I1607" s="6" t="str">
        <f>_xlfn.CONCAT("Art. złączny do produktu ",Tabela10[[#This Row],[KOD_PRODUKTU]])</f>
        <v>Art. złączny do produktu 900O98-240</v>
      </c>
      <c r="J1607" s="6" t="str">
        <f>_xlfn.CONCAT("VE-",Tabela10[[#This Row],[KOD_PRODUKTU]])</f>
        <v>VE-900O98-240</v>
      </c>
    </row>
    <row r="1608" spans="1:10" x14ac:dyDescent="0.25">
      <c r="A1608" s="7" t="s">
        <v>3380</v>
      </c>
      <c r="B1608" s="6" t="s">
        <v>3381</v>
      </c>
      <c r="C1608" s="7" t="s">
        <v>3387</v>
      </c>
      <c r="D1608" s="6" t="s">
        <v>3388</v>
      </c>
      <c r="E1608" s="6" t="s">
        <v>2383</v>
      </c>
      <c r="F1608" s="6" t="s">
        <v>49</v>
      </c>
      <c r="G1608" s="6" t="s">
        <v>92</v>
      </c>
      <c r="H1608" s="6">
        <v>0.1</v>
      </c>
      <c r="I1608" s="6" t="str">
        <f>_xlfn.CONCAT("Art. złączny do produktu ",Tabela10[[#This Row],[KOD_PRODUKTU]])</f>
        <v>Art. złączny do produktu 900O98-240</v>
      </c>
      <c r="J1608" s="6" t="str">
        <f>_xlfn.CONCAT("VE-",Tabela10[[#This Row],[KOD_PRODUKTU]])</f>
        <v>VE-900O98-240</v>
      </c>
    </row>
    <row r="1609" spans="1:10" x14ac:dyDescent="0.25">
      <c r="A1609" s="1" t="s">
        <v>3380</v>
      </c>
      <c r="B1609" t="s">
        <v>3381</v>
      </c>
      <c r="C1609" s="1" t="s">
        <v>3389</v>
      </c>
      <c r="D1609" t="s">
        <v>3390</v>
      </c>
      <c r="E1609" t="s">
        <v>3391</v>
      </c>
      <c r="F1609" t="s">
        <v>49</v>
      </c>
      <c r="G1609" t="s">
        <v>92</v>
      </c>
      <c r="H1609">
        <v>0.04</v>
      </c>
      <c r="I1609" s="6" t="str">
        <f>_xlfn.CONCAT("Art. złączny do produktu ",Tabela10[[#This Row],[KOD_PRODUKTU]])</f>
        <v>Art. złączny do produktu 900O98-240</v>
      </c>
      <c r="J1609" s="6" t="str">
        <f>_xlfn.CONCAT("VE-",Tabela10[[#This Row],[KOD_PRODUKTU]])</f>
        <v>VE-900O98-240</v>
      </c>
    </row>
    <row r="1610" spans="1:10" x14ac:dyDescent="0.25">
      <c r="A1610" s="7" t="s">
        <v>3380</v>
      </c>
      <c r="B1610" s="6" t="s">
        <v>3381</v>
      </c>
      <c r="C1610" s="7" t="s">
        <v>1082</v>
      </c>
      <c r="D1610" s="6" t="s">
        <v>1083</v>
      </c>
      <c r="E1610" s="6" t="s">
        <v>1084</v>
      </c>
      <c r="F1610" s="6" t="s">
        <v>121</v>
      </c>
      <c r="G1610" s="6" t="s">
        <v>50</v>
      </c>
      <c r="H1610" s="6">
        <v>0.84</v>
      </c>
      <c r="I1610" s="6" t="str">
        <f>_xlfn.CONCAT("Art. złączny do produktu ",Tabela10[[#This Row],[KOD_PRODUKTU]])</f>
        <v>Art. złączny do produktu 900O98-240</v>
      </c>
      <c r="J1610" s="6" t="str">
        <f>_xlfn.CONCAT("VE-",Tabela10[[#This Row],[KOD_PRODUKTU]])</f>
        <v>VE-900O98-240</v>
      </c>
    </row>
    <row r="1611" spans="1:10" x14ac:dyDescent="0.25">
      <c r="A1611" s="1" t="s">
        <v>3380</v>
      </c>
      <c r="B1611" t="s">
        <v>3381</v>
      </c>
      <c r="C1611" s="1" t="s">
        <v>1085</v>
      </c>
      <c r="D1611" t="s">
        <v>1086</v>
      </c>
      <c r="E1611" t="s">
        <v>1087</v>
      </c>
      <c r="F1611" t="s">
        <v>121</v>
      </c>
      <c r="G1611" t="s">
        <v>50</v>
      </c>
      <c r="H1611">
        <v>0.17</v>
      </c>
      <c r="I1611" s="6" t="str">
        <f>_xlfn.CONCAT("Art. złączny do produktu ",Tabela10[[#This Row],[KOD_PRODUKTU]])</f>
        <v>Art. złączny do produktu 900O98-240</v>
      </c>
      <c r="J1611" s="6" t="str">
        <f>_xlfn.CONCAT("VE-",Tabela10[[#This Row],[KOD_PRODUKTU]])</f>
        <v>VE-900O98-240</v>
      </c>
    </row>
    <row r="1612" spans="1:10" x14ac:dyDescent="0.25">
      <c r="A1612" s="7" t="s">
        <v>3380</v>
      </c>
      <c r="B1612" s="6" t="s">
        <v>3381</v>
      </c>
      <c r="C1612" s="7" t="s">
        <v>41</v>
      </c>
      <c r="D1612" s="6" t="s">
        <v>42</v>
      </c>
      <c r="E1612" s="6" t="s">
        <v>43</v>
      </c>
      <c r="F1612" s="6" t="s">
        <v>5</v>
      </c>
      <c r="G1612" s="6" t="s">
        <v>3392</v>
      </c>
      <c r="H1612" s="6">
        <v>0.09</v>
      </c>
      <c r="I1612" s="6" t="str">
        <f>_xlfn.CONCAT("Art. złączny do produktu ",Tabela10[[#This Row],[KOD_PRODUKTU]])</f>
        <v>Art. złączny do produktu 900O98-240</v>
      </c>
      <c r="J1612" s="6" t="str">
        <f>_xlfn.CONCAT("VE-",Tabela10[[#This Row],[KOD_PRODUKTU]])</f>
        <v>VE-900O98-240</v>
      </c>
    </row>
    <row r="1613" spans="1:10" x14ac:dyDescent="0.25">
      <c r="A1613" s="1" t="s">
        <v>3380</v>
      </c>
      <c r="B1613" t="s">
        <v>3381</v>
      </c>
      <c r="C1613" s="1" t="s">
        <v>1088</v>
      </c>
      <c r="D1613" t="s">
        <v>1089</v>
      </c>
      <c r="E1613" t="s">
        <v>1090</v>
      </c>
      <c r="F1613" t="s">
        <v>121</v>
      </c>
      <c r="G1613" t="s">
        <v>50</v>
      </c>
      <c r="H1613">
        <v>0.1</v>
      </c>
      <c r="I1613" s="6" t="str">
        <f>_xlfn.CONCAT("Art. złączny do produktu ",Tabela10[[#This Row],[KOD_PRODUKTU]])</f>
        <v>Art. złączny do produktu 900O98-240</v>
      </c>
      <c r="J1613" s="6" t="str">
        <f>_xlfn.CONCAT("VE-",Tabela10[[#This Row],[KOD_PRODUKTU]])</f>
        <v>VE-900O98-240</v>
      </c>
    </row>
    <row r="1614" spans="1:10" x14ac:dyDescent="0.25">
      <c r="A1614" s="7" t="s">
        <v>3380</v>
      </c>
      <c r="B1614" s="6" t="s">
        <v>3381</v>
      </c>
      <c r="C1614" s="7" t="s">
        <v>7</v>
      </c>
      <c r="D1614" s="6" t="s">
        <v>8</v>
      </c>
      <c r="E1614" s="6" t="s">
        <v>9</v>
      </c>
      <c r="F1614" s="6" t="s">
        <v>10</v>
      </c>
      <c r="G1614" s="6" t="s">
        <v>3393</v>
      </c>
      <c r="H1614" s="6">
        <v>2.4300000000000002</v>
      </c>
      <c r="I1614" s="6" t="str">
        <f>_xlfn.CONCAT("Art. złączny do produktu ",Tabela10[[#This Row],[KOD_PRODUKTU]])</f>
        <v>Art. złączny do produktu 900O98-240</v>
      </c>
      <c r="J1614" s="6" t="str">
        <f>_xlfn.CONCAT("VE-",Tabela10[[#This Row],[KOD_PRODUKTU]])</f>
        <v>VE-900O98-240</v>
      </c>
    </row>
    <row r="1615" spans="1:10" x14ac:dyDescent="0.25">
      <c r="A1615" s="1" t="s">
        <v>3394</v>
      </c>
      <c r="B1615" t="s">
        <v>3395</v>
      </c>
      <c r="C1615" s="1" t="s">
        <v>1123</v>
      </c>
      <c r="D1615" t="s">
        <v>1124</v>
      </c>
      <c r="E1615" t="s">
        <v>70</v>
      </c>
      <c r="F1615" t="s">
        <v>5</v>
      </c>
      <c r="G1615" t="s">
        <v>3396</v>
      </c>
      <c r="H1615">
        <v>1.3</v>
      </c>
      <c r="I1615" s="6" t="str">
        <f>_xlfn.CONCAT("Art. złączny do produktu ",Tabela10[[#This Row],[KOD_PRODUKTU]])</f>
        <v>Art. złączny do produktu 900P05-330</v>
      </c>
      <c r="J1615" s="6" t="str">
        <f>_xlfn.CONCAT("VE-",Tabela10[[#This Row],[KOD_PRODUKTU]])</f>
        <v>VE-900P05-330</v>
      </c>
    </row>
    <row r="1616" spans="1:10" x14ac:dyDescent="0.25">
      <c r="A1616" s="7" t="s">
        <v>3394</v>
      </c>
      <c r="B1616" s="6" t="s">
        <v>3395</v>
      </c>
      <c r="C1616" s="7" t="s">
        <v>541</v>
      </c>
      <c r="D1616" s="6" t="s">
        <v>542</v>
      </c>
      <c r="E1616" s="6" t="s">
        <v>9</v>
      </c>
      <c r="F1616" s="6" t="s">
        <v>10</v>
      </c>
      <c r="G1616" s="6" t="s">
        <v>3397</v>
      </c>
      <c r="H1616" s="6">
        <v>5.96</v>
      </c>
      <c r="I1616" s="6" t="str">
        <f>_xlfn.CONCAT("Art. złączny do produktu ",Tabela10[[#This Row],[KOD_PRODUKTU]])</f>
        <v>Art. złączny do produktu 900P05-330</v>
      </c>
      <c r="J1616" s="6" t="str">
        <f>_xlfn.CONCAT("VE-",Tabela10[[#This Row],[KOD_PRODUKTU]])</f>
        <v>VE-900P05-330</v>
      </c>
    </row>
    <row r="1617" spans="1:10" x14ac:dyDescent="0.25">
      <c r="A1617" s="1" t="s">
        <v>3398</v>
      </c>
      <c r="B1617" t="s">
        <v>3399</v>
      </c>
      <c r="C1617" s="1" t="s">
        <v>1547</v>
      </c>
      <c r="D1617" t="s">
        <v>1548</v>
      </c>
      <c r="E1617" t="s">
        <v>216</v>
      </c>
      <c r="F1617" t="s">
        <v>5</v>
      </c>
      <c r="G1617" t="s">
        <v>3400</v>
      </c>
      <c r="H1617">
        <v>2.15</v>
      </c>
      <c r="I1617" s="6" t="str">
        <f>_xlfn.CONCAT("Art. złączny do produktu ",Tabela10[[#This Row],[KOD_PRODUKTU]])</f>
        <v>Art. złączny do produktu 900P05-340</v>
      </c>
      <c r="J1617" s="6" t="str">
        <f>_xlfn.CONCAT("VE-",Tabela10[[#This Row],[KOD_PRODUKTU]])</f>
        <v>VE-900P05-340</v>
      </c>
    </row>
    <row r="1618" spans="1:10" x14ac:dyDescent="0.25">
      <c r="A1618" s="7" t="s">
        <v>3398</v>
      </c>
      <c r="B1618" s="6" t="s">
        <v>3399</v>
      </c>
      <c r="C1618" s="7" t="s">
        <v>7</v>
      </c>
      <c r="D1618" s="6" t="s">
        <v>8</v>
      </c>
      <c r="E1618" s="6" t="s">
        <v>9</v>
      </c>
      <c r="F1618" s="6" t="s">
        <v>10</v>
      </c>
      <c r="G1618" s="6" t="s">
        <v>3401</v>
      </c>
      <c r="H1618" s="6">
        <v>5.91</v>
      </c>
      <c r="I1618" s="6" t="str">
        <f>_xlfn.CONCAT("Art. złączny do produktu ",Tabela10[[#This Row],[KOD_PRODUKTU]])</f>
        <v>Art. złączny do produktu 900P05-340</v>
      </c>
      <c r="J1618" s="6" t="str">
        <f>_xlfn.CONCAT("VE-",Tabela10[[#This Row],[KOD_PRODUKTU]])</f>
        <v>VE-900P05-340</v>
      </c>
    </row>
    <row r="1619" spans="1:10" x14ac:dyDescent="0.25">
      <c r="A1619" s="1" t="s">
        <v>3402</v>
      </c>
      <c r="B1619" t="s">
        <v>3403</v>
      </c>
      <c r="C1619" s="1" t="s">
        <v>1123</v>
      </c>
      <c r="D1619" t="s">
        <v>1124</v>
      </c>
      <c r="E1619" t="s">
        <v>70</v>
      </c>
      <c r="F1619" t="s">
        <v>5</v>
      </c>
      <c r="G1619" t="s">
        <v>3404</v>
      </c>
      <c r="H1619">
        <v>1.1000000000000001</v>
      </c>
      <c r="I1619" s="6" t="str">
        <f>_xlfn.CONCAT("Art. złączny do produktu ",Tabela10[[#This Row],[KOD_PRODUKTU]])</f>
        <v>Art. złączny do produktu 900P05-360</v>
      </c>
      <c r="J1619" s="6" t="str">
        <f>_xlfn.CONCAT("VE-",Tabela10[[#This Row],[KOD_PRODUKTU]])</f>
        <v>VE-900P05-360</v>
      </c>
    </row>
    <row r="1620" spans="1:10" x14ac:dyDescent="0.25">
      <c r="A1620" s="7" t="s">
        <v>3402</v>
      </c>
      <c r="B1620" s="6" t="s">
        <v>3403</v>
      </c>
      <c r="C1620" s="7" t="s">
        <v>7</v>
      </c>
      <c r="D1620" s="6" t="s">
        <v>8</v>
      </c>
      <c r="E1620" s="6" t="s">
        <v>9</v>
      </c>
      <c r="F1620" s="6" t="s">
        <v>10</v>
      </c>
      <c r="G1620" s="6" t="s">
        <v>3397</v>
      </c>
      <c r="H1620" s="6">
        <v>5.96</v>
      </c>
      <c r="I1620" s="6" t="str">
        <f>_xlfn.CONCAT("Art. złączny do produktu ",Tabela10[[#This Row],[KOD_PRODUKTU]])</f>
        <v>Art. złączny do produktu 900P05-360</v>
      </c>
      <c r="J1620" s="6" t="str">
        <f>_xlfn.CONCAT("VE-",Tabela10[[#This Row],[KOD_PRODUKTU]])</f>
        <v>VE-900P05-360</v>
      </c>
    </row>
    <row r="1621" spans="1:10" x14ac:dyDescent="0.25">
      <c r="A1621" s="1" t="s">
        <v>3405</v>
      </c>
      <c r="B1621" t="s">
        <v>3406</v>
      </c>
      <c r="C1621" s="1" t="s">
        <v>3407</v>
      </c>
      <c r="D1621" t="s">
        <v>3408</v>
      </c>
      <c r="E1621" t="s">
        <v>70</v>
      </c>
      <c r="F1621" t="s">
        <v>5</v>
      </c>
      <c r="G1621" t="s">
        <v>447</v>
      </c>
      <c r="H1621">
        <v>0.1</v>
      </c>
      <c r="I1621" s="6" t="str">
        <f>_xlfn.CONCAT("Art. złączny do produktu ",Tabela10[[#This Row],[KOD_PRODUKTU]])</f>
        <v>Art. złączny do produktu 900P05-390</v>
      </c>
      <c r="J1621" s="6" t="str">
        <f>_xlfn.CONCAT("VE-",Tabela10[[#This Row],[KOD_PRODUKTU]])</f>
        <v>VE-900P05-390</v>
      </c>
    </row>
    <row r="1622" spans="1:10" x14ac:dyDescent="0.25">
      <c r="A1622" s="7" t="s">
        <v>3405</v>
      </c>
      <c r="B1622" s="6" t="s">
        <v>3406</v>
      </c>
      <c r="C1622" s="7" t="s">
        <v>7</v>
      </c>
      <c r="D1622" s="6" t="s">
        <v>8</v>
      </c>
      <c r="E1622" s="6" t="s">
        <v>9</v>
      </c>
      <c r="F1622" s="6" t="s">
        <v>10</v>
      </c>
      <c r="G1622" s="6" t="s">
        <v>3409</v>
      </c>
      <c r="H1622" s="6">
        <v>5.91</v>
      </c>
      <c r="I1622" s="6" t="str">
        <f>_xlfn.CONCAT("Art. złączny do produktu ",Tabela10[[#This Row],[KOD_PRODUKTU]])</f>
        <v>Art. złączny do produktu 900P05-390</v>
      </c>
      <c r="J1622" s="6" t="str">
        <f>_xlfn.CONCAT("VE-",Tabela10[[#This Row],[KOD_PRODUKTU]])</f>
        <v>VE-900P05-390</v>
      </c>
    </row>
    <row r="1623" spans="1:10" x14ac:dyDescent="0.25">
      <c r="A1623" s="1" t="s">
        <v>3410</v>
      </c>
      <c r="B1623" t="s">
        <v>3411</v>
      </c>
      <c r="C1623" s="1" t="s">
        <v>29</v>
      </c>
      <c r="D1623" t="s">
        <v>30</v>
      </c>
      <c r="E1623" t="s">
        <v>31</v>
      </c>
      <c r="F1623" t="s">
        <v>5</v>
      </c>
      <c r="G1623" t="s">
        <v>32</v>
      </c>
      <c r="H1623">
        <v>0.75</v>
      </c>
      <c r="I1623" s="6" t="str">
        <f>_xlfn.CONCAT("Art. złączny do produktu ",Tabela10[[#This Row],[KOD_PRODUKTU]])</f>
        <v>Art. złączny do produktu 900P05-411</v>
      </c>
      <c r="J1623" s="6" t="str">
        <f>_xlfn.CONCAT("VE-",Tabela10[[#This Row],[KOD_PRODUKTU]])</f>
        <v>VE-900P05-411</v>
      </c>
    </row>
    <row r="1624" spans="1:10" x14ac:dyDescent="0.25">
      <c r="A1624" s="7" t="s">
        <v>3410</v>
      </c>
      <c r="B1624" s="6" t="s">
        <v>3411</v>
      </c>
      <c r="C1624" s="7" t="s">
        <v>7</v>
      </c>
      <c r="D1624" s="6" t="s">
        <v>8</v>
      </c>
      <c r="E1624" s="6" t="s">
        <v>9</v>
      </c>
      <c r="F1624" s="6" t="s">
        <v>10</v>
      </c>
      <c r="G1624" s="6" t="s">
        <v>3401</v>
      </c>
      <c r="H1624" s="6">
        <v>5.91</v>
      </c>
      <c r="I1624" s="6" t="str">
        <f>_xlfn.CONCAT("Art. złączny do produktu ",Tabela10[[#This Row],[KOD_PRODUKTU]])</f>
        <v>Art. złączny do produktu 900P05-411</v>
      </c>
      <c r="J1624" s="6" t="str">
        <f>_xlfn.CONCAT("VE-",Tabela10[[#This Row],[KOD_PRODUKTU]])</f>
        <v>VE-900P05-411</v>
      </c>
    </row>
    <row r="1625" spans="1:10" x14ac:dyDescent="0.25">
      <c r="A1625" s="1" t="s">
        <v>3412</v>
      </c>
      <c r="B1625" t="s">
        <v>3413</v>
      </c>
      <c r="C1625" s="1" t="s">
        <v>1487</v>
      </c>
      <c r="D1625" t="s">
        <v>1488</v>
      </c>
      <c r="E1625" t="s">
        <v>31</v>
      </c>
      <c r="F1625" t="s">
        <v>5</v>
      </c>
      <c r="G1625" t="s">
        <v>1851</v>
      </c>
      <c r="H1625">
        <v>4.45</v>
      </c>
      <c r="I1625" s="6" t="str">
        <f>_xlfn.CONCAT("Art. złączny do produktu ",Tabela10[[#This Row],[KOD_PRODUKTU]])</f>
        <v>Art. złączny do produktu 900S03-400</v>
      </c>
      <c r="J1625" s="6" t="str">
        <f>_xlfn.CONCAT("VE-",Tabela10[[#This Row],[KOD_PRODUKTU]])</f>
        <v>VE-900S03-400</v>
      </c>
    </row>
    <row r="1626" spans="1:10" x14ac:dyDescent="0.25">
      <c r="A1626" s="7" t="s">
        <v>3412</v>
      </c>
      <c r="B1626" s="6" t="s">
        <v>3413</v>
      </c>
      <c r="C1626" s="7" t="s">
        <v>432</v>
      </c>
      <c r="D1626" s="6" t="s">
        <v>433</v>
      </c>
      <c r="E1626" s="6" t="s">
        <v>434</v>
      </c>
      <c r="F1626" s="6" t="s">
        <v>435</v>
      </c>
      <c r="G1626" s="6" t="s">
        <v>50</v>
      </c>
      <c r="H1626" s="6">
        <v>1.1000000000000001</v>
      </c>
      <c r="I1626" s="6" t="str">
        <f>_xlfn.CONCAT("Art. złączny do produktu ",Tabela10[[#This Row],[KOD_PRODUKTU]])</f>
        <v>Art. złączny do produktu 900S03-400</v>
      </c>
      <c r="J1626" s="6" t="str">
        <f>_xlfn.CONCAT("VE-",Tabela10[[#This Row],[KOD_PRODUKTU]])</f>
        <v>VE-900S03-400</v>
      </c>
    </row>
    <row r="1627" spans="1:10" x14ac:dyDescent="0.25">
      <c r="A1627" s="1" t="s">
        <v>3412</v>
      </c>
      <c r="B1627" t="s">
        <v>3413</v>
      </c>
      <c r="C1627" s="1" t="s">
        <v>541</v>
      </c>
      <c r="D1627" t="s">
        <v>542</v>
      </c>
      <c r="E1627" t="s">
        <v>9</v>
      </c>
      <c r="F1627" t="s">
        <v>10</v>
      </c>
      <c r="G1627" t="s">
        <v>2537</v>
      </c>
      <c r="H1627">
        <v>7.19</v>
      </c>
      <c r="I1627" s="6" t="str">
        <f>_xlfn.CONCAT("Art. złączny do produktu ",Tabela10[[#This Row],[KOD_PRODUKTU]])</f>
        <v>Art. złączny do produktu 900S03-400</v>
      </c>
      <c r="J1627" s="6" t="str">
        <f>_xlfn.CONCAT("VE-",Tabela10[[#This Row],[KOD_PRODUKTU]])</f>
        <v>VE-900S03-400</v>
      </c>
    </row>
    <row r="1628" spans="1:10" x14ac:dyDescent="0.25">
      <c r="A1628" s="7" t="s">
        <v>3414</v>
      </c>
      <c r="B1628" s="6" t="s">
        <v>3415</v>
      </c>
      <c r="C1628" s="7" t="s">
        <v>2961</v>
      </c>
      <c r="D1628" s="6" t="s">
        <v>2962</v>
      </c>
      <c r="E1628" s="6" t="s">
        <v>2963</v>
      </c>
      <c r="F1628" s="6" t="s">
        <v>5</v>
      </c>
      <c r="G1628" s="6" t="s">
        <v>601</v>
      </c>
      <c r="H1628" s="6">
        <v>1.58</v>
      </c>
      <c r="I1628" s="6" t="str">
        <f>_xlfn.CONCAT("Art. złączny do produktu ",Tabela10[[#This Row],[KOD_PRODUKTU]])</f>
        <v>Art. złączny do produktu 900S03-500</v>
      </c>
      <c r="J1628" s="6" t="str">
        <f>_xlfn.CONCAT("VE-",Tabela10[[#This Row],[KOD_PRODUKTU]])</f>
        <v>VE-900S03-500</v>
      </c>
    </row>
    <row r="1629" spans="1:10" x14ac:dyDescent="0.25">
      <c r="A1629" s="1" t="s">
        <v>3414</v>
      </c>
      <c r="B1629" t="s">
        <v>3415</v>
      </c>
      <c r="C1629" s="1" t="s">
        <v>432</v>
      </c>
      <c r="D1629" t="s">
        <v>433</v>
      </c>
      <c r="E1629" t="s">
        <v>434</v>
      </c>
      <c r="F1629" t="s">
        <v>435</v>
      </c>
      <c r="G1629" t="s">
        <v>3416</v>
      </c>
      <c r="H1629">
        <v>1.34</v>
      </c>
      <c r="I1629" s="6" t="str">
        <f>_xlfn.CONCAT("Art. złączny do produktu ",Tabela10[[#This Row],[KOD_PRODUKTU]])</f>
        <v>Art. złączny do produktu 900S03-500</v>
      </c>
      <c r="J1629" s="6" t="str">
        <f>_xlfn.CONCAT("VE-",Tabela10[[#This Row],[KOD_PRODUKTU]])</f>
        <v>VE-900S03-500</v>
      </c>
    </row>
    <row r="1630" spans="1:10" x14ac:dyDescent="0.25">
      <c r="A1630" s="7" t="s">
        <v>3414</v>
      </c>
      <c r="B1630" s="6" t="s">
        <v>3415</v>
      </c>
      <c r="C1630" s="7" t="s">
        <v>541</v>
      </c>
      <c r="D1630" s="6" t="s">
        <v>542</v>
      </c>
      <c r="E1630" s="6" t="s">
        <v>9</v>
      </c>
      <c r="F1630" s="6" t="s">
        <v>10</v>
      </c>
      <c r="G1630" s="6" t="s">
        <v>3417</v>
      </c>
      <c r="H1630" s="6">
        <v>1.25</v>
      </c>
      <c r="I1630" s="6" t="str">
        <f>_xlfn.CONCAT("Art. złączny do produktu ",Tabela10[[#This Row],[KOD_PRODUKTU]])</f>
        <v>Art. złączny do produktu 900S03-500</v>
      </c>
      <c r="J1630" s="6" t="str">
        <f>_xlfn.CONCAT("VE-",Tabela10[[#This Row],[KOD_PRODUKTU]])</f>
        <v>VE-900S03-500</v>
      </c>
    </row>
    <row r="1631" spans="1:10" x14ac:dyDescent="0.25">
      <c r="A1631" s="1" t="s">
        <v>3418</v>
      </c>
      <c r="B1631" t="s">
        <v>3419</v>
      </c>
      <c r="C1631" s="1" t="s">
        <v>1367</v>
      </c>
      <c r="D1631" t="s">
        <v>1368</v>
      </c>
      <c r="E1631" t="s">
        <v>1347</v>
      </c>
      <c r="F1631" t="s">
        <v>121</v>
      </c>
      <c r="G1631" t="s">
        <v>3420</v>
      </c>
      <c r="H1631">
        <v>0.08</v>
      </c>
      <c r="I1631" s="6" t="str">
        <f>_xlfn.CONCAT("Art. złączny do produktu ",Tabela10[[#This Row],[KOD_PRODUKTU]])</f>
        <v>Art. złączny do produktu 900S15-800</v>
      </c>
      <c r="J1631" s="6" t="str">
        <f>_xlfn.CONCAT("VE-",Tabela10[[#This Row],[KOD_PRODUKTU]])</f>
        <v>VE-900S15-800</v>
      </c>
    </row>
    <row r="1632" spans="1:10" x14ac:dyDescent="0.25">
      <c r="A1632" s="7" t="s">
        <v>3418</v>
      </c>
      <c r="B1632" s="6" t="s">
        <v>3419</v>
      </c>
      <c r="C1632" s="7" t="s">
        <v>7</v>
      </c>
      <c r="D1632" s="6" t="s">
        <v>8</v>
      </c>
      <c r="E1632" s="6" t="s">
        <v>9</v>
      </c>
      <c r="F1632" s="6" t="s">
        <v>10</v>
      </c>
      <c r="G1632" s="6" t="s">
        <v>3421</v>
      </c>
      <c r="H1632" s="6">
        <v>1.1200000000000001</v>
      </c>
      <c r="I1632" s="6" t="str">
        <f>_xlfn.CONCAT("Art. złączny do produktu ",Tabela10[[#This Row],[KOD_PRODUKTU]])</f>
        <v>Art. złączny do produktu 900S15-800</v>
      </c>
      <c r="J1632" s="6" t="str">
        <f>_xlfn.CONCAT("VE-",Tabela10[[#This Row],[KOD_PRODUKTU]])</f>
        <v>VE-900S15-800</v>
      </c>
    </row>
    <row r="1633" spans="1:10" x14ac:dyDescent="0.25">
      <c r="A1633" s="1" t="s">
        <v>3422</v>
      </c>
      <c r="B1633" t="s">
        <v>3423</v>
      </c>
      <c r="C1633" s="1" t="s">
        <v>1367</v>
      </c>
      <c r="D1633" t="s">
        <v>1368</v>
      </c>
      <c r="E1633" t="s">
        <v>1347</v>
      </c>
      <c r="F1633" t="s">
        <v>121</v>
      </c>
      <c r="G1633" t="s">
        <v>3424</v>
      </c>
      <c r="H1633">
        <v>0.03</v>
      </c>
      <c r="I1633" s="6" t="str">
        <f>_xlfn.CONCAT("Art. złączny do produktu ",Tabela10[[#This Row],[KOD_PRODUKTU]])</f>
        <v>Art. złączny do produktu 900S16-130</v>
      </c>
      <c r="J1633" s="6" t="str">
        <f>_xlfn.CONCAT("VE-",Tabela10[[#This Row],[KOD_PRODUKTU]])</f>
        <v>VE-900S16-130</v>
      </c>
    </row>
    <row r="1634" spans="1:10" x14ac:dyDescent="0.25">
      <c r="A1634" s="7" t="s">
        <v>3422</v>
      </c>
      <c r="B1634" s="6" t="s">
        <v>3423</v>
      </c>
      <c r="C1634" s="7" t="s">
        <v>541</v>
      </c>
      <c r="D1634" s="6" t="s">
        <v>542</v>
      </c>
      <c r="E1634" s="6" t="s">
        <v>9</v>
      </c>
      <c r="F1634" s="6" t="s">
        <v>10</v>
      </c>
      <c r="G1634" s="6" t="s">
        <v>1371</v>
      </c>
      <c r="H1634" s="6">
        <v>1.1499999999999999</v>
      </c>
      <c r="I1634" s="6" t="str">
        <f>_xlfn.CONCAT("Art. złączny do produktu ",Tabela10[[#This Row],[KOD_PRODUKTU]])</f>
        <v>Art. złączny do produktu 900S16-130</v>
      </c>
      <c r="J1634" s="6" t="str">
        <f>_xlfn.CONCAT("VE-",Tabela10[[#This Row],[KOD_PRODUKTU]])</f>
        <v>VE-900S16-130</v>
      </c>
    </row>
    <row r="1635" spans="1:10" x14ac:dyDescent="0.25">
      <c r="A1635" s="1" t="s">
        <v>3425</v>
      </c>
      <c r="B1635" t="s">
        <v>3426</v>
      </c>
      <c r="C1635" s="1" t="s">
        <v>1785</v>
      </c>
      <c r="D1635" t="s">
        <v>1786</v>
      </c>
      <c r="E1635" t="s">
        <v>216</v>
      </c>
      <c r="F1635" t="s">
        <v>5</v>
      </c>
      <c r="G1635" t="s">
        <v>3427</v>
      </c>
      <c r="H1635">
        <v>1.47</v>
      </c>
      <c r="I1635" s="6" t="str">
        <f>_xlfn.CONCAT("Art. złączny do produktu ",Tabela10[[#This Row],[KOD_PRODUKTU]])</f>
        <v>Art. złączny do produktu 900W10-010</v>
      </c>
      <c r="J1635" s="6" t="str">
        <f>_xlfn.CONCAT("VE-",Tabela10[[#This Row],[KOD_PRODUKTU]])</f>
        <v>VE-900W10-010</v>
      </c>
    </row>
    <row r="1636" spans="1:10" x14ac:dyDescent="0.25">
      <c r="A1636" s="7" t="s">
        <v>3425</v>
      </c>
      <c r="B1636" s="6" t="s">
        <v>3426</v>
      </c>
      <c r="C1636" s="7" t="s">
        <v>541</v>
      </c>
      <c r="D1636" s="6" t="s">
        <v>542</v>
      </c>
      <c r="E1636" s="6" t="s">
        <v>9</v>
      </c>
      <c r="F1636" s="6" t="s">
        <v>10</v>
      </c>
      <c r="G1636" s="6" t="s">
        <v>3428</v>
      </c>
      <c r="H1636" s="6">
        <v>6.51</v>
      </c>
      <c r="I1636" s="6" t="str">
        <f>_xlfn.CONCAT("Art. złączny do produktu ",Tabela10[[#This Row],[KOD_PRODUKTU]])</f>
        <v>Art. złączny do produktu 900W10-010</v>
      </c>
      <c r="J1636" s="6" t="str">
        <f>_xlfn.CONCAT("VE-",Tabela10[[#This Row],[KOD_PRODUKTU]])</f>
        <v>VE-900W10-010</v>
      </c>
    </row>
    <row r="1637" spans="1:10" x14ac:dyDescent="0.25">
      <c r="A1637" s="1" t="s">
        <v>3429</v>
      </c>
      <c r="B1637" t="s">
        <v>3430</v>
      </c>
      <c r="C1637" s="1" t="s">
        <v>3431</v>
      </c>
      <c r="D1637" t="s">
        <v>3432</v>
      </c>
      <c r="E1637" t="s">
        <v>1354</v>
      </c>
      <c r="F1637" t="s">
        <v>5</v>
      </c>
      <c r="G1637" t="s">
        <v>3433</v>
      </c>
      <c r="H1637">
        <v>1.18</v>
      </c>
      <c r="I1637" s="6" t="str">
        <f>_xlfn.CONCAT("Art. złączny do produktu ",Tabela10[[#This Row],[KOD_PRODUKTU]])</f>
        <v>Art. złączny do produktu 900W10-020</v>
      </c>
      <c r="J1637" s="6" t="str">
        <f>_xlfn.CONCAT("VE-",Tabela10[[#This Row],[KOD_PRODUKTU]])</f>
        <v>VE-900W10-020</v>
      </c>
    </row>
    <row r="1638" spans="1:10" x14ac:dyDescent="0.25">
      <c r="A1638" s="7" t="s">
        <v>3429</v>
      </c>
      <c r="B1638" s="6" t="s">
        <v>3430</v>
      </c>
      <c r="C1638" s="7" t="s">
        <v>7</v>
      </c>
      <c r="D1638" s="6" t="s">
        <v>8</v>
      </c>
      <c r="E1638" s="6" t="s">
        <v>9</v>
      </c>
      <c r="F1638" s="6" t="s">
        <v>10</v>
      </c>
      <c r="G1638" s="6" t="s">
        <v>3434</v>
      </c>
      <c r="H1638" s="6">
        <v>8.5399999999999991</v>
      </c>
      <c r="I1638" s="6" t="str">
        <f>_xlfn.CONCAT("Art. złączny do produktu ",Tabela10[[#This Row],[KOD_PRODUKTU]])</f>
        <v>Art. złączny do produktu 900W10-020</v>
      </c>
      <c r="J1638" s="6" t="str">
        <f>_xlfn.CONCAT("VE-",Tabela10[[#This Row],[KOD_PRODUKTU]])</f>
        <v>VE-900W10-020</v>
      </c>
    </row>
    <row r="1639" spans="1:10" x14ac:dyDescent="0.25">
      <c r="A1639" s="1" t="s">
        <v>3435</v>
      </c>
      <c r="B1639" t="s">
        <v>3436</v>
      </c>
      <c r="C1639" s="1" t="s">
        <v>2161</v>
      </c>
      <c r="D1639" t="s">
        <v>2162</v>
      </c>
      <c r="E1639" t="s">
        <v>1354</v>
      </c>
      <c r="F1639" t="s">
        <v>5</v>
      </c>
      <c r="G1639" t="s">
        <v>3437</v>
      </c>
      <c r="H1639">
        <v>0.1</v>
      </c>
      <c r="I1639" s="6" t="str">
        <f>_xlfn.CONCAT("Art. złączny do produktu ",Tabela10[[#This Row],[KOD_PRODUKTU]])</f>
        <v>Art. złączny do produktu 900W10-111</v>
      </c>
      <c r="J1639" s="6" t="str">
        <f>_xlfn.CONCAT("VE-",Tabela10[[#This Row],[KOD_PRODUKTU]])</f>
        <v>VE-900W10-111</v>
      </c>
    </row>
    <row r="1640" spans="1:10" x14ac:dyDescent="0.25">
      <c r="A1640" s="7" t="s">
        <v>3435</v>
      </c>
      <c r="B1640" s="6" t="s">
        <v>3436</v>
      </c>
      <c r="C1640" s="7" t="s">
        <v>7</v>
      </c>
      <c r="D1640" s="6" t="s">
        <v>8</v>
      </c>
      <c r="E1640" s="6" t="s">
        <v>9</v>
      </c>
      <c r="F1640" s="6" t="s">
        <v>10</v>
      </c>
      <c r="G1640" s="6" t="s">
        <v>3438</v>
      </c>
      <c r="H1640" s="6">
        <v>1.8</v>
      </c>
      <c r="I1640" s="6" t="str">
        <f>_xlfn.CONCAT("Art. złączny do produktu ",Tabela10[[#This Row],[KOD_PRODUKTU]])</f>
        <v>Art. złączny do produktu 900W10-111</v>
      </c>
      <c r="J1640" s="6" t="str">
        <f>_xlfn.CONCAT("VE-",Tabela10[[#This Row],[KOD_PRODUKTU]])</f>
        <v>VE-900W10-111</v>
      </c>
    </row>
    <row r="1641" spans="1:10" x14ac:dyDescent="0.25">
      <c r="A1641" s="1" t="s">
        <v>3439</v>
      </c>
      <c r="B1641" t="s">
        <v>3440</v>
      </c>
      <c r="C1641" s="1" t="s">
        <v>1345</v>
      </c>
      <c r="D1641" t="s">
        <v>1346</v>
      </c>
      <c r="E1641" t="s">
        <v>1347</v>
      </c>
      <c r="F1641" t="s">
        <v>5</v>
      </c>
      <c r="G1641" t="s">
        <v>3441</v>
      </c>
      <c r="H1641">
        <v>7.0000000000000007E-2</v>
      </c>
      <c r="I1641" s="6" t="str">
        <f>_xlfn.CONCAT("Art. złączny do produktu ",Tabela10[[#This Row],[KOD_PRODUKTU]])</f>
        <v>Art. złączny do produktu 900W10-710</v>
      </c>
      <c r="J1641" s="6" t="str">
        <f>_xlfn.CONCAT("VE-",Tabela10[[#This Row],[KOD_PRODUKTU]])</f>
        <v>VE-900W10-710</v>
      </c>
    </row>
    <row r="1642" spans="1:10" x14ac:dyDescent="0.25">
      <c r="A1642" s="7" t="s">
        <v>3439</v>
      </c>
      <c r="B1642" s="6" t="s">
        <v>3440</v>
      </c>
      <c r="C1642" s="7" t="s">
        <v>7</v>
      </c>
      <c r="D1642" s="6" t="s">
        <v>8</v>
      </c>
      <c r="E1642" s="6" t="s">
        <v>9</v>
      </c>
      <c r="F1642" s="6" t="s">
        <v>10</v>
      </c>
      <c r="G1642" s="6" t="s">
        <v>40</v>
      </c>
      <c r="H1642" s="6">
        <v>0.46</v>
      </c>
      <c r="I1642" s="6" t="str">
        <f>_xlfn.CONCAT("Art. złączny do produktu ",Tabela10[[#This Row],[KOD_PRODUKTU]])</f>
        <v>Art. złączny do produktu 900W10-710</v>
      </c>
      <c r="J1642" s="6" t="str">
        <f>_xlfn.CONCAT("VE-",Tabela10[[#This Row],[KOD_PRODUKTU]])</f>
        <v>VE-900W10-710</v>
      </c>
    </row>
    <row r="1643" spans="1:10" x14ac:dyDescent="0.25">
      <c r="A1643" s="1" t="s">
        <v>3442</v>
      </c>
      <c r="B1643" t="s">
        <v>3443</v>
      </c>
      <c r="C1643" s="1" t="s">
        <v>1345</v>
      </c>
      <c r="D1643" t="s">
        <v>1346</v>
      </c>
      <c r="E1643" t="s">
        <v>1347</v>
      </c>
      <c r="F1643" t="s">
        <v>5</v>
      </c>
      <c r="G1643" t="s">
        <v>3441</v>
      </c>
      <c r="H1643">
        <v>7.0000000000000007E-2</v>
      </c>
      <c r="I1643" s="6" t="str">
        <f>_xlfn.CONCAT("Art. złączny do produktu ",Tabela10[[#This Row],[KOD_PRODUKTU]])</f>
        <v>Art. złączny do produktu 900W10-720</v>
      </c>
      <c r="J1643" s="6" t="str">
        <f>_xlfn.CONCAT("VE-",Tabela10[[#This Row],[KOD_PRODUKTU]])</f>
        <v>VE-900W10-720</v>
      </c>
    </row>
    <row r="1644" spans="1:10" x14ac:dyDescent="0.25">
      <c r="A1644" s="7" t="s">
        <v>3442</v>
      </c>
      <c r="B1644" s="6" t="s">
        <v>3443</v>
      </c>
      <c r="C1644" s="7" t="s">
        <v>7</v>
      </c>
      <c r="D1644" s="6" t="s">
        <v>8</v>
      </c>
      <c r="E1644" s="6" t="s">
        <v>9</v>
      </c>
      <c r="F1644" s="6" t="s">
        <v>10</v>
      </c>
      <c r="G1644" s="6" t="s">
        <v>40</v>
      </c>
      <c r="H1644" s="6">
        <v>0.46</v>
      </c>
      <c r="I1644" s="6" t="str">
        <f>_xlfn.CONCAT("Art. złączny do produktu ",Tabela10[[#This Row],[KOD_PRODUKTU]])</f>
        <v>Art. złączny do produktu 900W10-720</v>
      </c>
      <c r="J1644" s="6" t="str">
        <f>_xlfn.CONCAT("VE-",Tabela10[[#This Row],[KOD_PRODUKTU]])</f>
        <v>VE-900W10-720</v>
      </c>
    </row>
    <row r="1645" spans="1:10" x14ac:dyDescent="0.25">
      <c r="A1645" s="1" t="s">
        <v>3444</v>
      </c>
      <c r="B1645" t="s">
        <v>3445</v>
      </c>
      <c r="C1645" s="1" t="s">
        <v>2458</v>
      </c>
      <c r="D1645" t="s">
        <v>2459</v>
      </c>
      <c r="E1645" t="s">
        <v>384</v>
      </c>
      <c r="F1645" t="s">
        <v>5</v>
      </c>
      <c r="G1645" t="s">
        <v>3270</v>
      </c>
      <c r="H1645">
        <v>2.7</v>
      </c>
      <c r="I1645" s="6" t="str">
        <f>_xlfn.CONCAT("Art. złączny do produktu ",Tabela10[[#This Row],[KOD_PRODUKTU]])</f>
        <v>Art. złączny do produktu 901A01-300</v>
      </c>
      <c r="J1645" s="6" t="str">
        <f>_xlfn.CONCAT("VE-",Tabela10[[#This Row],[KOD_PRODUKTU]])</f>
        <v>VE-901A01-300</v>
      </c>
    </row>
    <row r="1646" spans="1:10" x14ac:dyDescent="0.25">
      <c r="A1646" s="7" t="s">
        <v>3444</v>
      </c>
      <c r="B1646" s="6" t="s">
        <v>3445</v>
      </c>
      <c r="C1646" s="7" t="s">
        <v>432</v>
      </c>
      <c r="D1646" s="6" t="s">
        <v>433</v>
      </c>
      <c r="E1646" s="6" t="s">
        <v>434</v>
      </c>
      <c r="F1646" s="6" t="s">
        <v>435</v>
      </c>
      <c r="G1646" s="6" t="s">
        <v>50</v>
      </c>
      <c r="H1646" s="6">
        <v>1.1000000000000001</v>
      </c>
      <c r="I1646" s="6" t="str">
        <f>_xlfn.CONCAT("Art. złączny do produktu ",Tabela10[[#This Row],[KOD_PRODUKTU]])</f>
        <v>Art. złączny do produktu 901A01-300</v>
      </c>
      <c r="J1646" s="6" t="str">
        <f>_xlfn.CONCAT("VE-",Tabela10[[#This Row],[KOD_PRODUKTU]])</f>
        <v>VE-901A01-300</v>
      </c>
    </row>
    <row r="1647" spans="1:10" x14ac:dyDescent="0.25">
      <c r="A1647" s="1" t="s">
        <v>3444</v>
      </c>
      <c r="B1647" t="s">
        <v>3445</v>
      </c>
      <c r="C1647" s="1" t="s">
        <v>541</v>
      </c>
      <c r="D1647" t="s">
        <v>542</v>
      </c>
      <c r="E1647" t="s">
        <v>9</v>
      </c>
      <c r="F1647" t="s">
        <v>10</v>
      </c>
      <c r="G1647" t="s">
        <v>3446</v>
      </c>
      <c r="H1647">
        <v>4.91</v>
      </c>
      <c r="I1647" s="6" t="str">
        <f>_xlfn.CONCAT("Art. złączny do produktu ",Tabela10[[#This Row],[KOD_PRODUKTU]])</f>
        <v>Art. złączny do produktu 901A01-300</v>
      </c>
      <c r="J1647" s="6" t="str">
        <f>_xlfn.CONCAT("VE-",Tabela10[[#This Row],[KOD_PRODUKTU]])</f>
        <v>VE-901A01-300</v>
      </c>
    </row>
    <row r="1648" spans="1:10" x14ac:dyDescent="0.25">
      <c r="A1648" s="7" t="s">
        <v>3447</v>
      </c>
      <c r="B1648" s="6" t="s">
        <v>3448</v>
      </c>
      <c r="C1648" s="7" t="s">
        <v>3449</v>
      </c>
      <c r="D1648" s="6" t="s">
        <v>3450</v>
      </c>
      <c r="E1648" s="6" t="s">
        <v>3451</v>
      </c>
      <c r="F1648" s="6" t="s">
        <v>17</v>
      </c>
      <c r="G1648" s="6" t="s">
        <v>33</v>
      </c>
      <c r="H1648" s="6">
        <v>1.74</v>
      </c>
      <c r="I1648" s="6" t="str">
        <f>_xlfn.CONCAT("Art. złączny do produktu ",Tabela10[[#This Row],[KOD_PRODUKTU]])</f>
        <v>Art. złączny do produktu 901A21-100</v>
      </c>
      <c r="J1648" s="6" t="str">
        <f>_xlfn.CONCAT("VE-",Tabela10[[#This Row],[KOD_PRODUKTU]])</f>
        <v>VE-901A21-100</v>
      </c>
    </row>
    <row r="1649" spans="1:10" x14ac:dyDescent="0.25">
      <c r="A1649" s="1" t="s">
        <v>3447</v>
      </c>
      <c r="B1649" t="s">
        <v>3448</v>
      </c>
      <c r="C1649" s="1" t="s">
        <v>2765</v>
      </c>
      <c r="D1649" t="s">
        <v>2766</v>
      </c>
      <c r="E1649" t="s">
        <v>2767</v>
      </c>
      <c r="F1649" t="s">
        <v>121</v>
      </c>
      <c r="G1649" t="s">
        <v>50</v>
      </c>
      <c r="H1649">
        <v>349</v>
      </c>
      <c r="I1649" s="6" t="str">
        <f>_xlfn.CONCAT("Art. złączny do produktu ",Tabela10[[#This Row],[KOD_PRODUKTU]])</f>
        <v>Art. złączny do produktu 901A21-100</v>
      </c>
      <c r="J1649" s="6" t="str">
        <f>_xlfn.CONCAT("VE-",Tabela10[[#This Row],[KOD_PRODUKTU]])</f>
        <v>VE-901A21-100</v>
      </c>
    </row>
    <row r="1650" spans="1:10" x14ac:dyDescent="0.25">
      <c r="A1650" s="7" t="s">
        <v>3447</v>
      </c>
      <c r="B1650" s="6" t="s">
        <v>3448</v>
      </c>
      <c r="C1650" s="7" t="s">
        <v>3452</v>
      </c>
      <c r="D1650" s="6" t="s">
        <v>3453</v>
      </c>
      <c r="E1650" s="6" t="s">
        <v>1588</v>
      </c>
      <c r="F1650" s="6" t="s">
        <v>39</v>
      </c>
      <c r="G1650" s="6" t="s">
        <v>478</v>
      </c>
      <c r="H1650" s="6">
        <v>1.56</v>
      </c>
      <c r="I1650" s="6" t="str">
        <f>_xlfn.CONCAT("Art. złączny do produktu ",Tabela10[[#This Row],[KOD_PRODUKTU]])</f>
        <v>Art. złączny do produktu 901A21-100</v>
      </c>
      <c r="J1650" s="6" t="str">
        <f>_xlfn.CONCAT("VE-",Tabela10[[#This Row],[KOD_PRODUKTU]])</f>
        <v>VE-901A21-100</v>
      </c>
    </row>
    <row r="1651" spans="1:10" x14ac:dyDescent="0.25">
      <c r="A1651" s="1" t="s">
        <v>3447</v>
      </c>
      <c r="B1651" t="s">
        <v>3448</v>
      </c>
      <c r="C1651" s="1" t="s">
        <v>2835</v>
      </c>
      <c r="D1651" t="s">
        <v>2836</v>
      </c>
      <c r="E1651" t="s">
        <v>2837</v>
      </c>
      <c r="F1651" t="s">
        <v>5</v>
      </c>
      <c r="G1651" t="s">
        <v>3454</v>
      </c>
      <c r="H1651">
        <v>1.89</v>
      </c>
      <c r="I1651" s="6" t="str">
        <f>_xlfn.CONCAT("Art. złączny do produktu ",Tabela10[[#This Row],[KOD_PRODUKTU]])</f>
        <v>Art. złączny do produktu 901A21-100</v>
      </c>
      <c r="J1651" s="6" t="str">
        <f>_xlfn.CONCAT("VE-",Tabela10[[#This Row],[KOD_PRODUKTU]])</f>
        <v>VE-901A21-100</v>
      </c>
    </row>
    <row r="1652" spans="1:10" x14ac:dyDescent="0.25">
      <c r="A1652" s="7" t="s">
        <v>3447</v>
      </c>
      <c r="B1652" s="6" t="s">
        <v>3448</v>
      </c>
      <c r="C1652" s="7" t="s">
        <v>2839</v>
      </c>
      <c r="D1652" s="6" t="s">
        <v>2840</v>
      </c>
      <c r="E1652" s="6" t="s">
        <v>2841</v>
      </c>
      <c r="F1652" s="6" t="s">
        <v>5</v>
      </c>
      <c r="G1652" s="6" t="s">
        <v>3455</v>
      </c>
      <c r="H1652" s="6">
        <v>1</v>
      </c>
      <c r="I1652" s="6" t="str">
        <f>_xlfn.CONCAT("Art. złączny do produktu ",Tabela10[[#This Row],[KOD_PRODUKTU]])</f>
        <v>Art. złączny do produktu 901A21-100</v>
      </c>
      <c r="J1652" s="6" t="str">
        <f>_xlfn.CONCAT("VE-",Tabela10[[#This Row],[KOD_PRODUKTU]])</f>
        <v>VE-901A21-100</v>
      </c>
    </row>
    <row r="1653" spans="1:10" x14ac:dyDescent="0.25">
      <c r="A1653" s="1" t="s">
        <v>3447</v>
      </c>
      <c r="B1653" t="s">
        <v>3448</v>
      </c>
      <c r="C1653" s="1" t="s">
        <v>3456</v>
      </c>
      <c r="D1653" t="s">
        <v>3457</v>
      </c>
      <c r="E1653" t="s">
        <v>3458</v>
      </c>
      <c r="F1653" t="s">
        <v>39</v>
      </c>
      <c r="G1653" t="s">
        <v>605</v>
      </c>
      <c r="H1653">
        <v>0.66</v>
      </c>
      <c r="I1653" s="6" t="str">
        <f>_xlfn.CONCAT("Art. złączny do produktu ",Tabela10[[#This Row],[KOD_PRODUKTU]])</f>
        <v>Art. złączny do produktu 901A21-100</v>
      </c>
      <c r="J1653" s="6" t="str">
        <f>_xlfn.CONCAT("VE-",Tabela10[[#This Row],[KOD_PRODUKTU]])</f>
        <v>VE-901A21-100</v>
      </c>
    </row>
    <row r="1654" spans="1:10" x14ac:dyDescent="0.25">
      <c r="A1654" s="7" t="s">
        <v>3447</v>
      </c>
      <c r="B1654" s="6" t="s">
        <v>3448</v>
      </c>
      <c r="C1654" s="7" t="s">
        <v>628</v>
      </c>
      <c r="D1654" s="6" t="s">
        <v>629</v>
      </c>
      <c r="E1654" s="6" t="s">
        <v>630</v>
      </c>
      <c r="F1654" s="6" t="s">
        <v>5</v>
      </c>
      <c r="G1654" s="6" t="s">
        <v>598</v>
      </c>
      <c r="H1654" s="6">
        <v>0.08</v>
      </c>
      <c r="I1654" s="6" t="str">
        <f>_xlfn.CONCAT("Art. złączny do produktu ",Tabela10[[#This Row],[KOD_PRODUKTU]])</f>
        <v>Art. złączny do produktu 901A21-100</v>
      </c>
      <c r="J1654" s="6" t="str">
        <f>_xlfn.CONCAT("VE-",Tabela10[[#This Row],[KOD_PRODUKTU]])</f>
        <v>VE-901A21-100</v>
      </c>
    </row>
    <row r="1655" spans="1:10" x14ac:dyDescent="0.25">
      <c r="A1655" s="1" t="s">
        <v>3447</v>
      </c>
      <c r="B1655" t="s">
        <v>3448</v>
      </c>
      <c r="C1655" s="1" t="s">
        <v>483</v>
      </c>
      <c r="D1655" t="s">
        <v>484</v>
      </c>
      <c r="E1655" t="s">
        <v>2789</v>
      </c>
      <c r="F1655" t="s">
        <v>5</v>
      </c>
      <c r="G1655" t="s">
        <v>3459</v>
      </c>
      <c r="H1655">
        <v>7.0000000000000007E-2</v>
      </c>
      <c r="I1655" s="6" t="str">
        <f>_xlfn.CONCAT("Art. złączny do produktu ",Tabela10[[#This Row],[KOD_PRODUKTU]])</f>
        <v>Art. złączny do produktu 901A21-100</v>
      </c>
      <c r="J1655" s="6" t="str">
        <f>_xlfn.CONCAT("VE-",Tabela10[[#This Row],[KOD_PRODUKTU]])</f>
        <v>VE-901A21-100</v>
      </c>
    </row>
    <row r="1656" spans="1:10" x14ac:dyDescent="0.25">
      <c r="A1656" s="7" t="s">
        <v>3447</v>
      </c>
      <c r="B1656" s="6" t="s">
        <v>3448</v>
      </c>
      <c r="C1656" s="7" t="s">
        <v>2844</v>
      </c>
      <c r="D1656" s="6" t="s">
        <v>2845</v>
      </c>
      <c r="E1656" s="6" t="s">
        <v>2846</v>
      </c>
      <c r="F1656" s="6" t="s">
        <v>5</v>
      </c>
      <c r="G1656" s="6" t="s">
        <v>2847</v>
      </c>
      <c r="H1656" s="6">
        <v>0.11</v>
      </c>
      <c r="I1656" s="6" t="str">
        <f>_xlfn.CONCAT("Art. złączny do produktu ",Tabela10[[#This Row],[KOD_PRODUKTU]])</f>
        <v>Art. złączny do produktu 901A21-100</v>
      </c>
      <c r="J1656" s="6" t="str">
        <f>_xlfn.CONCAT("VE-",Tabela10[[#This Row],[KOD_PRODUKTU]])</f>
        <v>VE-901A21-100</v>
      </c>
    </row>
    <row r="1657" spans="1:10" x14ac:dyDescent="0.25">
      <c r="A1657" s="1" t="s">
        <v>3447</v>
      </c>
      <c r="B1657" t="s">
        <v>3448</v>
      </c>
      <c r="C1657" s="1" t="s">
        <v>1971</v>
      </c>
      <c r="D1657" t="s">
        <v>1972</v>
      </c>
      <c r="E1657" t="s">
        <v>1964</v>
      </c>
      <c r="F1657" t="s">
        <v>5</v>
      </c>
      <c r="G1657" t="s">
        <v>3460</v>
      </c>
      <c r="H1657">
        <v>0.62</v>
      </c>
      <c r="I1657" s="6" t="str">
        <f>_xlfn.CONCAT("Art. złączny do produktu ",Tabela10[[#This Row],[KOD_PRODUKTU]])</f>
        <v>Art. złączny do produktu 901A21-100</v>
      </c>
      <c r="J1657" s="6" t="str">
        <f>_xlfn.CONCAT("VE-",Tabela10[[#This Row],[KOD_PRODUKTU]])</f>
        <v>VE-901A21-100</v>
      </c>
    </row>
    <row r="1658" spans="1:10" x14ac:dyDescent="0.25">
      <c r="A1658" s="7" t="s">
        <v>3447</v>
      </c>
      <c r="B1658" s="6" t="s">
        <v>3448</v>
      </c>
      <c r="C1658" s="7" t="s">
        <v>2848</v>
      </c>
      <c r="D1658" s="6" t="s">
        <v>2849</v>
      </c>
      <c r="E1658" s="6" t="s">
        <v>879</v>
      </c>
      <c r="F1658" s="6" t="s">
        <v>5</v>
      </c>
      <c r="G1658" s="6" t="s">
        <v>3461</v>
      </c>
      <c r="H1658" s="6">
        <v>0.19</v>
      </c>
      <c r="I1658" s="6" t="str">
        <f>_xlfn.CONCAT("Art. złączny do produktu ",Tabela10[[#This Row],[KOD_PRODUKTU]])</f>
        <v>Art. złączny do produktu 901A21-100</v>
      </c>
      <c r="J1658" s="6" t="str">
        <f>_xlfn.CONCAT("VE-",Tabela10[[#This Row],[KOD_PRODUKTU]])</f>
        <v>VE-901A21-100</v>
      </c>
    </row>
    <row r="1659" spans="1:10" x14ac:dyDescent="0.25">
      <c r="A1659" s="1" t="s">
        <v>3447</v>
      </c>
      <c r="B1659" t="s">
        <v>3448</v>
      </c>
      <c r="C1659" s="1" t="s">
        <v>1974</v>
      </c>
      <c r="D1659" t="s">
        <v>1975</v>
      </c>
      <c r="E1659" t="s">
        <v>879</v>
      </c>
      <c r="F1659" t="s">
        <v>121</v>
      </c>
      <c r="G1659" t="s">
        <v>3462</v>
      </c>
      <c r="H1659">
        <v>2.74</v>
      </c>
      <c r="I1659" s="6" t="str">
        <f>_xlfn.CONCAT("Art. złączny do produktu ",Tabela10[[#This Row],[KOD_PRODUKTU]])</f>
        <v>Art. złączny do produktu 901A21-100</v>
      </c>
      <c r="J1659" s="6" t="str">
        <f>_xlfn.CONCAT("VE-",Tabela10[[#This Row],[KOD_PRODUKTU]])</f>
        <v>VE-901A21-100</v>
      </c>
    </row>
    <row r="1660" spans="1:10" x14ac:dyDescent="0.25">
      <c r="A1660" s="7" t="s">
        <v>3447</v>
      </c>
      <c r="B1660" s="6" t="s">
        <v>3448</v>
      </c>
      <c r="C1660" s="7" t="s">
        <v>3463</v>
      </c>
      <c r="D1660" s="6" t="s">
        <v>3464</v>
      </c>
      <c r="E1660" s="6" t="s">
        <v>1768</v>
      </c>
      <c r="F1660" s="6" t="s">
        <v>121</v>
      </c>
      <c r="G1660" s="6" t="s">
        <v>268</v>
      </c>
      <c r="H1660" s="6">
        <v>0</v>
      </c>
      <c r="I1660" s="6" t="str">
        <f>_xlfn.CONCAT("Art. złączny do produktu ",Tabela10[[#This Row],[KOD_PRODUKTU]])</f>
        <v>Art. złączny do produktu 901A21-100</v>
      </c>
      <c r="J1660" s="6" t="str">
        <f>_xlfn.CONCAT("VE-",Tabela10[[#This Row],[KOD_PRODUKTU]])</f>
        <v>VE-901A21-100</v>
      </c>
    </row>
    <row r="1661" spans="1:10" x14ac:dyDescent="0.25">
      <c r="A1661" s="1" t="s">
        <v>3447</v>
      </c>
      <c r="B1661" t="s">
        <v>3448</v>
      </c>
      <c r="C1661" s="1" t="s">
        <v>3465</v>
      </c>
      <c r="D1661" t="s">
        <v>3466</v>
      </c>
      <c r="E1661" t="s">
        <v>1768</v>
      </c>
      <c r="F1661" t="s">
        <v>121</v>
      </c>
      <c r="G1661" t="s">
        <v>605</v>
      </c>
      <c r="H1661">
        <v>0</v>
      </c>
      <c r="I1661" s="6" t="str">
        <f>_xlfn.CONCAT("Art. złączny do produktu ",Tabela10[[#This Row],[KOD_PRODUKTU]])</f>
        <v>Art. złączny do produktu 901A21-100</v>
      </c>
      <c r="J1661" s="6" t="str">
        <f>_xlfn.CONCAT("VE-",Tabela10[[#This Row],[KOD_PRODUKTU]])</f>
        <v>VE-901A21-100</v>
      </c>
    </row>
    <row r="1662" spans="1:10" x14ac:dyDescent="0.25">
      <c r="A1662" s="7" t="s">
        <v>3447</v>
      </c>
      <c r="B1662" s="6" t="s">
        <v>3448</v>
      </c>
      <c r="C1662" s="7" t="s">
        <v>3467</v>
      </c>
      <c r="D1662" s="6" t="s">
        <v>3468</v>
      </c>
      <c r="E1662" s="6" t="s">
        <v>1768</v>
      </c>
      <c r="F1662" s="6" t="s">
        <v>121</v>
      </c>
      <c r="G1662" s="6" t="s">
        <v>50</v>
      </c>
      <c r="H1662" s="6">
        <v>0</v>
      </c>
      <c r="I1662" s="6" t="str">
        <f>_xlfn.CONCAT("Art. złączny do produktu ",Tabela10[[#This Row],[KOD_PRODUKTU]])</f>
        <v>Art. złączny do produktu 901A21-100</v>
      </c>
      <c r="J1662" s="6" t="str">
        <f>_xlfn.CONCAT("VE-",Tabela10[[#This Row],[KOD_PRODUKTU]])</f>
        <v>VE-901A21-100</v>
      </c>
    </row>
    <row r="1663" spans="1:10" x14ac:dyDescent="0.25">
      <c r="A1663" s="1" t="s">
        <v>3447</v>
      </c>
      <c r="B1663" t="s">
        <v>3448</v>
      </c>
      <c r="C1663" s="1" t="s">
        <v>3469</v>
      </c>
      <c r="D1663" t="s">
        <v>3470</v>
      </c>
      <c r="E1663" t="s">
        <v>1768</v>
      </c>
      <c r="F1663" t="s">
        <v>121</v>
      </c>
      <c r="G1663" t="s">
        <v>50</v>
      </c>
      <c r="H1663">
        <v>0</v>
      </c>
      <c r="I1663" s="6" t="str">
        <f>_xlfn.CONCAT("Art. złączny do produktu ",Tabela10[[#This Row],[KOD_PRODUKTU]])</f>
        <v>Art. złączny do produktu 901A21-100</v>
      </c>
      <c r="J1663" s="6" t="str">
        <f>_xlfn.CONCAT("VE-",Tabela10[[#This Row],[KOD_PRODUKTU]])</f>
        <v>VE-901A21-100</v>
      </c>
    </row>
    <row r="1664" spans="1:10" x14ac:dyDescent="0.25">
      <c r="A1664" s="7" t="s">
        <v>3447</v>
      </c>
      <c r="B1664" s="6" t="s">
        <v>3448</v>
      </c>
      <c r="C1664" s="7" t="s">
        <v>3471</v>
      </c>
      <c r="D1664" s="6" t="s">
        <v>3472</v>
      </c>
      <c r="E1664" s="6" t="s">
        <v>1768</v>
      </c>
      <c r="F1664" s="6" t="s">
        <v>121</v>
      </c>
      <c r="G1664" s="6" t="s">
        <v>40</v>
      </c>
      <c r="H1664" s="6">
        <v>0</v>
      </c>
      <c r="I1664" s="6" t="str">
        <f>_xlfn.CONCAT("Art. złączny do produktu ",Tabela10[[#This Row],[KOD_PRODUKTU]])</f>
        <v>Art. złączny do produktu 901A21-100</v>
      </c>
      <c r="J1664" s="6" t="str">
        <f>_xlfn.CONCAT("VE-",Tabela10[[#This Row],[KOD_PRODUKTU]])</f>
        <v>VE-901A21-100</v>
      </c>
    </row>
    <row r="1665" spans="1:10" x14ac:dyDescent="0.25">
      <c r="A1665" s="1" t="s">
        <v>3447</v>
      </c>
      <c r="B1665" t="s">
        <v>3448</v>
      </c>
      <c r="C1665" s="1" t="s">
        <v>41</v>
      </c>
      <c r="D1665" t="s">
        <v>42</v>
      </c>
      <c r="E1665" t="s">
        <v>513</v>
      </c>
      <c r="F1665" t="s">
        <v>5</v>
      </c>
      <c r="G1665" t="s">
        <v>3473</v>
      </c>
      <c r="H1665">
        <v>0.89</v>
      </c>
      <c r="I1665" s="6" t="str">
        <f>_xlfn.CONCAT("Art. złączny do produktu ",Tabela10[[#This Row],[KOD_PRODUKTU]])</f>
        <v>Art. złączny do produktu 901A21-100</v>
      </c>
      <c r="J1665" s="6" t="str">
        <f>_xlfn.CONCAT("VE-",Tabela10[[#This Row],[KOD_PRODUKTU]])</f>
        <v>VE-901A21-100</v>
      </c>
    </row>
    <row r="1666" spans="1:10" x14ac:dyDescent="0.25">
      <c r="A1666" s="7" t="s">
        <v>3447</v>
      </c>
      <c r="B1666" s="6" t="s">
        <v>3448</v>
      </c>
      <c r="C1666" s="7" t="s">
        <v>2797</v>
      </c>
      <c r="D1666" s="6" t="s">
        <v>2798</v>
      </c>
      <c r="E1666" s="6" t="s">
        <v>2799</v>
      </c>
      <c r="F1666" s="6" t="s">
        <v>121</v>
      </c>
      <c r="G1666" s="6" t="s">
        <v>50</v>
      </c>
      <c r="H1666" s="6">
        <v>2.41</v>
      </c>
      <c r="I1666" s="6" t="str">
        <f>_xlfn.CONCAT("Art. złączny do produktu ",Tabela10[[#This Row],[KOD_PRODUKTU]])</f>
        <v>Art. złączny do produktu 901A21-100</v>
      </c>
      <c r="J1666" s="6" t="str">
        <f>_xlfn.CONCAT("VE-",Tabela10[[#This Row],[KOD_PRODUKTU]])</f>
        <v>VE-901A21-100</v>
      </c>
    </row>
    <row r="1667" spans="1:10" x14ac:dyDescent="0.25">
      <c r="A1667" s="1" t="s">
        <v>3447</v>
      </c>
      <c r="B1667" t="s">
        <v>3448</v>
      </c>
      <c r="C1667" s="1" t="s">
        <v>684</v>
      </c>
      <c r="D1667" t="s">
        <v>685</v>
      </c>
      <c r="E1667" t="s">
        <v>686</v>
      </c>
      <c r="F1667" t="s">
        <v>49</v>
      </c>
      <c r="G1667" t="s">
        <v>1363</v>
      </c>
      <c r="H1667">
        <v>0.45</v>
      </c>
      <c r="I1667" s="6" t="str">
        <f>_xlfn.CONCAT("Art. złączny do produktu ",Tabela10[[#This Row],[KOD_PRODUKTU]])</f>
        <v>Art. złączny do produktu 901A21-100</v>
      </c>
      <c r="J1667" s="6" t="str">
        <f>_xlfn.CONCAT("VE-",Tabela10[[#This Row],[KOD_PRODUKTU]])</f>
        <v>VE-901A21-100</v>
      </c>
    </row>
    <row r="1668" spans="1:10" x14ac:dyDescent="0.25">
      <c r="A1668" s="7" t="s">
        <v>3447</v>
      </c>
      <c r="B1668" s="6" t="s">
        <v>3448</v>
      </c>
      <c r="C1668" s="7" t="s">
        <v>684</v>
      </c>
      <c r="D1668" s="6" t="s">
        <v>685</v>
      </c>
      <c r="E1668" s="6" t="s">
        <v>686</v>
      </c>
      <c r="F1668" s="6" t="s">
        <v>49</v>
      </c>
      <c r="G1668" s="6" t="s">
        <v>2822</v>
      </c>
      <c r="H1668" s="6">
        <v>3.03</v>
      </c>
      <c r="I1668" s="6" t="str">
        <f>_xlfn.CONCAT("Art. złączny do produktu ",Tabela10[[#This Row],[KOD_PRODUKTU]])</f>
        <v>Art. złączny do produktu 901A21-100</v>
      </c>
      <c r="J1668" s="6" t="str">
        <f>_xlfn.CONCAT("VE-",Tabela10[[#This Row],[KOD_PRODUKTU]])</f>
        <v>VE-901A21-100</v>
      </c>
    </row>
    <row r="1669" spans="1:10" x14ac:dyDescent="0.25">
      <c r="A1669" s="1" t="s">
        <v>3447</v>
      </c>
      <c r="B1669" t="s">
        <v>3448</v>
      </c>
      <c r="C1669" s="1" t="s">
        <v>684</v>
      </c>
      <c r="D1669" t="s">
        <v>685</v>
      </c>
      <c r="E1669" t="s">
        <v>686</v>
      </c>
      <c r="F1669" t="s">
        <v>49</v>
      </c>
      <c r="G1669" t="s">
        <v>3477</v>
      </c>
      <c r="H1669">
        <v>4.1399999999999997</v>
      </c>
      <c r="I1669" s="6" t="str">
        <f>_xlfn.CONCAT("Art. złączny do produktu ",Tabela10[[#This Row],[KOD_PRODUKTU]])</f>
        <v>Art. złączny do produktu 901A21-100</v>
      </c>
      <c r="J1669" s="6" t="str">
        <f>_xlfn.CONCAT("VE-",Tabela10[[#This Row],[KOD_PRODUKTU]])</f>
        <v>VE-901A21-100</v>
      </c>
    </row>
    <row r="1670" spans="1:10" x14ac:dyDescent="0.25">
      <c r="A1670" s="7" t="s">
        <v>3447</v>
      </c>
      <c r="B1670" s="6" t="s">
        <v>3448</v>
      </c>
      <c r="C1670" s="7" t="s">
        <v>684</v>
      </c>
      <c r="D1670" s="6" t="s">
        <v>685</v>
      </c>
      <c r="E1670" s="6" t="s">
        <v>686</v>
      </c>
      <c r="F1670" s="6" t="s">
        <v>49</v>
      </c>
      <c r="G1670" s="6" t="s">
        <v>3478</v>
      </c>
      <c r="H1670" s="6">
        <v>16.8</v>
      </c>
      <c r="I1670" s="6" t="str">
        <f>_xlfn.CONCAT("Art. złączny do produktu ",Tabela10[[#This Row],[KOD_PRODUKTU]])</f>
        <v>Art. złączny do produktu 901A21-100</v>
      </c>
      <c r="J1670" s="6" t="str">
        <f>_xlfn.CONCAT("VE-",Tabela10[[#This Row],[KOD_PRODUKTU]])</f>
        <v>VE-901A21-100</v>
      </c>
    </row>
    <row r="1671" spans="1:10" x14ac:dyDescent="0.25">
      <c r="A1671" s="1" t="s">
        <v>3447</v>
      </c>
      <c r="B1671" t="s">
        <v>3448</v>
      </c>
      <c r="C1671" s="1" t="s">
        <v>684</v>
      </c>
      <c r="D1671" t="s">
        <v>685</v>
      </c>
      <c r="E1671" t="s">
        <v>686</v>
      </c>
      <c r="F1671" t="s">
        <v>49</v>
      </c>
      <c r="G1671" t="s">
        <v>3479</v>
      </c>
      <c r="H1671">
        <v>52.2</v>
      </c>
      <c r="I1671" s="6" t="str">
        <f>_xlfn.CONCAT("Art. złączny do produktu ",Tabela10[[#This Row],[KOD_PRODUKTU]])</f>
        <v>Art. złączny do produktu 901A21-100</v>
      </c>
      <c r="J1671" s="6" t="str">
        <f>_xlfn.CONCAT("VE-",Tabela10[[#This Row],[KOD_PRODUKTU]])</f>
        <v>VE-901A21-100</v>
      </c>
    </row>
    <row r="1672" spans="1:10" x14ac:dyDescent="0.25">
      <c r="A1672" s="7" t="s">
        <v>3447</v>
      </c>
      <c r="B1672" s="6" t="s">
        <v>3448</v>
      </c>
      <c r="C1672" s="7" t="s">
        <v>684</v>
      </c>
      <c r="D1672" s="6" t="s">
        <v>685</v>
      </c>
      <c r="E1672" s="6" t="s">
        <v>686</v>
      </c>
      <c r="F1672" s="6" t="s">
        <v>49</v>
      </c>
      <c r="G1672" s="6" t="s">
        <v>3480</v>
      </c>
      <c r="H1672" s="6">
        <v>4.1500000000000004</v>
      </c>
      <c r="I1672" s="6" t="str">
        <f>_xlfn.CONCAT("Art. złączny do produktu ",Tabela10[[#This Row],[KOD_PRODUKTU]])</f>
        <v>Art. złączny do produktu 901A21-100</v>
      </c>
      <c r="J1672" s="6" t="str">
        <f>_xlfn.CONCAT("VE-",Tabela10[[#This Row],[KOD_PRODUKTU]])</f>
        <v>VE-901A21-100</v>
      </c>
    </row>
    <row r="1673" spans="1:10" x14ac:dyDescent="0.25">
      <c r="A1673" s="1" t="s">
        <v>3447</v>
      </c>
      <c r="B1673" t="s">
        <v>3448</v>
      </c>
      <c r="C1673" s="1" t="s">
        <v>541</v>
      </c>
      <c r="D1673" t="s">
        <v>542</v>
      </c>
      <c r="E1673" t="s">
        <v>9</v>
      </c>
      <c r="F1673" t="s">
        <v>10</v>
      </c>
      <c r="G1673" t="s">
        <v>3481</v>
      </c>
      <c r="H1673">
        <v>145.49</v>
      </c>
      <c r="I1673" s="6" t="str">
        <f>_xlfn.CONCAT("Art. złączny do produktu ",Tabela10[[#This Row],[KOD_PRODUKTU]])</f>
        <v>Art. złączny do produktu 901A21-100</v>
      </c>
      <c r="J1673" s="6" t="str">
        <f>_xlfn.CONCAT("VE-",Tabela10[[#This Row],[KOD_PRODUKTU]])</f>
        <v>VE-901A21-100</v>
      </c>
    </row>
    <row r="1674" spans="1:10" x14ac:dyDescent="0.25">
      <c r="A1674" s="7" t="s">
        <v>3447</v>
      </c>
      <c r="B1674" s="6" t="s">
        <v>3448</v>
      </c>
      <c r="C1674" s="7" t="s">
        <v>541</v>
      </c>
      <c r="D1674" s="6" t="s">
        <v>542</v>
      </c>
      <c r="E1674" s="6" t="s">
        <v>9</v>
      </c>
      <c r="F1674" s="6" t="s">
        <v>10</v>
      </c>
      <c r="G1674" s="6" t="s">
        <v>3482</v>
      </c>
      <c r="H1674" s="6">
        <v>16.91</v>
      </c>
      <c r="I1674" s="6" t="str">
        <f>_xlfn.CONCAT("Art. złączny do produktu ",Tabela10[[#This Row],[KOD_PRODUKTU]])</f>
        <v>Art. złączny do produktu 901A21-100</v>
      </c>
      <c r="J1674" s="6" t="str">
        <f>_xlfn.CONCAT("VE-",Tabela10[[#This Row],[KOD_PRODUKTU]])</f>
        <v>VE-901A21-100</v>
      </c>
    </row>
    <row r="1675" spans="1:10" x14ac:dyDescent="0.25">
      <c r="A1675" s="1" t="s">
        <v>3447</v>
      </c>
      <c r="B1675" t="s">
        <v>3448</v>
      </c>
      <c r="C1675" s="1" t="s">
        <v>541</v>
      </c>
      <c r="D1675" t="s">
        <v>542</v>
      </c>
      <c r="E1675" t="s">
        <v>9</v>
      </c>
      <c r="F1675" t="s">
        <v>10</v>
      </c>
      <c r="G1675" t="s">
        <v>2825</v>
      </c>
      <c r="H1675">
        <v>24.15</v>
      </c>
      <c r="I1675" s="6" t="str">
        <f>_xlfn.CONCAT("Art. złączny do produktu ",Tabela10[[#This Row],[KOD_PRODUKTU]])</f>
        <v>Art. złączny do produktu 901A21-100</v>
      </c>
      <c r="J1675" s="6" t="str">
        <f>_xlfn.CONCAT("VE-",Tabela10[[#This Row],[KOD_PRODUKTU]])</f>
        <v>VE-901A21-100</v>
      </c>
    </row>
    <row r="1676" spans="1:10" x14ac:dyDescent="0.25">
      <c r="A1676" s="7" t="s">
        <v>3492</v>
      </c>
      <c r="B1676" s="6" t="s">
        <v>3493</v>
      </c>
      <c r="C1676" s="7" t="s">
        <v>3494</v>
      </c>
      <c r="D1676" s="6" t="s">
        <v>3495</v>
      </c>
      <c r="E1676" s="6" t="s">
        <v>3344</v>
      </c>
      <c r="F1676" s="6" t="s">
        <v>17</v>
      </c>
      <c r="G1676" s="6" t="s">
        <v>3496</v>
      </c>
      <c r="H1676" s="6">
        <v>3</v>
      </c>
      <c r="I1676" s="6" t="str">
        <f>_xlfn.CONCAT("Art. złączny do produktu ",Tabela10[[#This Row],[KOD_PRODUKTU]])</f>
        <v>Art. złączny do produktu 901A21-200</v>
      </c>
      <c r="J1676" s="6" t="str">
        <f>_xlfn.CONCAT("VE-",Tabela10[[#This Row],[KOD_PRODUKTU]])</f>
        <v>VE-901A21-200</v>
      </c>
    </row>
    <row r="1677" spans="1:10" x14ac:dyDescent="0.25">
      <c r="A1677" s="1" t="s">
        <v>3492</v>
      </c>
      <c r="B1677" t="s">
        <v>3493</v>
      </c>
      <c r="C1677" s="1" t="s">
        <v>3497</v>
      </c>
      <c r="D1677" t="s">
        <v>3498</v>
      </c>
      <c r="E1677" t="s">
        <v>3490</v>
      </c>
      <c r="F1677" t="s">
        <v>121</v>
      </c>
      <c r="G1677" t="s">
        <v>50</v>
      </c>
      <c r="H1677">
        <v>7.81</v>
      </c>
      <c r="I1677" s="6" t="str">
        <f>_xlfn.CONCAT("Art. złączny do produktu ",Tabela10[[#This Row],[KOD_PRODUKTU]])</f>
        <v>Art. złączny do produktu 901A21-200</v>
      </c>
      <c r="J1677" s="6" t="str">
        <f>_xlfn.CONCAT("VE-",Tabela10[[#This Row],[KOD_PRODUKTU]])</f>
        <v>VE-901A21-200</v>
      </c>
    </row>
    <row r="1678" spans="1:10" x14ac:dyDescent="0.25">
      <c r="A1678" s="7" t="s">
        <v>3492</v>
      </c>
      <c r="B1678" s="6" t="s">
        <v>3493</v>
      </c>
      <c r="C1678" s="7" t="s">
        <v>432</v>
      </c>
      <c r="D1678" s="6" t="s">
        <v>433</v>
      </c>
      <c r="E1678" s="6" t="s">
        <v>434</v>
      </c>
      <c r="F1678" s="6" t="s">
        <v>435</v>
      </c>
      <c r="G1678" s="6" t="s">
        <v>122</v>
      </c>
      <c r="H1678" s="6">
        <v>4.4000000000000004</v>
      </c>
      <c r="I1678" s="6" t="str">
        <f>_xlfn.CONCAT("Art. złączny do produktu ",Tabela10[[#This Row],[KOD_PRODUKTU]])</f>
        <v>Art. złączny do produktu 901A21-200</v>
      </c>
      <c r="J1678" s="6" t="str">
        <f>_xlfn.CONCAT("VE-",Tabela10[[#This Row],[KOD_PRODUKTU]])</f>
        <v>VE-901A21-200</v>
      </c>
    </row>
    <row r="1679" spans="1:10" x14ac:dyDescent="0.25">
      <c r="A1679" s="1" t="s">
        <v>3492</v>
      </c>
      <c r="B1679" t="s">
        <v>3493</v>
      </c>
      <c r="C1679" s="1" t="s">
        <v>541</v>
      </c>
      <c r="D1679" t="s">
        <v>542</v>
      </c>
      <c r="E1679" t="s">
        <v>9</v>
      </c>
      <c r="F1679" t="s">
        <v>10</v>
      </c>
      <c r="G1679" t="s">
        <v>3499</v>
      </c>
      <c r="H1679">
        <v>9.0299999999999994</v>
      </c>
      <c r="I1679" s="6" t="str">
        <f>_xlfn.CONCAT("Art. złączny do produktu ",Tabela10[[#This Row],[KOD_PRODUKTU]])</f>
        <v>Art. złączny do produktu 901A21-200</v>
      </c>
      <c r="J1679" s="6" t="str">
        <f>_xlfn.CONCAT("VE-",Tabela10[[#This Row],[KOD_PRODUKTU]])</f>
        <v>VE-901A21-200</v>
      </c>
    </row>
    <row r="1680" spans="1:10" x14ac:dyDescent="0.25">
      <c r="A1680" s="7" t="s">
        <v>3500</v>
      </c>
      <c r="B1680" s="6" t="s">
        <v>3501</v>
      </c>
      <c r="C1680" s="7" t="s">
        <v>684</v>
      </c>
      <c r="D1680" s="6" t="s">
        <v>685</v>
      </c>
      <c r="E1680" s="6" t="s">
        <v>686</v>
      </c>
      <c r="F1680" s="6" t="s">
        <v>49</v>
      </c>
      <c r="G1680" s="6" t="s">
        <v>3502</v>
      </c>
      <c r="H1680" s="6">
        <v>7.2</v>
      </c>
      <c r="I1680" s="6" t="str">
        <f>_xlfn.CONCAT("Art. złączny do produktu ",Tabela10[[#This Row],[KOD_PRODUKTU]])</f>
        <v>Art. złączny do produktu 901A21-210</v>
      </c>
      <c r="J1680" s="6" t="str">
        <f>_xlfn.CONCAT("VE-",Tabela10[[#This Row],[KOD_PRODUKTU]])</f>
        <v>VE-901A21-210</v>
      </c>
    </row>
    <row r="1681" spans="1:10" x14ac:dyDescent="0.25">
      <c r="A1681" s="1" t="s">
        <v>3500</v>
      </c>
      <c r="B1681" t="s">
        <v>3501</v>
      </c>
      <c r="C1681" s="1" t="s">
        <v>541</v>
      </c>
      <c r="D1681" t="s">
        <v>542</v>
      </c>
      <c r="E1681" t="s">
        <v>9</v>
      </c>
      <c r="F1681" t="s">
        <v>10</v>
      </c>
      <c r="G1681" t="s">
        <v>3503</v>
      </c>
      <c r="H1681">
        <v>10.35</v>
      </c>
      <c r="I1681" s="6" t="str">
        <f>_xlfn.CONCAT("Art. złączny do produktu ",Tabela10[[#This Row],[KOD_PRODUKTU]])</f>
        <v>Art. złączny do produktu 901A21-210</v>
      </c>
      <c r="J1681" s="6" t="str">
        <f>_xlfn.CONCAT("VE-",Tabela10[[#This Row],[KOD_PRODUKTU]])</f>
        <v>VE-901A21-210</v>
      </c>
    </row>
    <row r="1682" spans="1:10" x14ac:dyDescent="0.25">
      <c r="A1682" s="7" t="s">
        <v>3504</v>
      </c>
      <c r="B1682" s="6" t="s">
        <v>3505</v>
      </c>
      <c r="C1682" s="7" t="s">
        <v>3506</v>
      </c>
      <c r="D1682" s="6" t="s">
        <v>3507</v>
      </c>
      <c r="E1682" s="6" t="s">
        <v>1394</v>
      </c>
      <c r="F1682" s="6" t="s">
        <v>5</v>
      </c>
      <c r="G1682" s="6" t="s">
        <v>2214</v>
      </c>
      <c r="H1682" s="6">
        <v>3.2</v>
      </c>
      <c r="I1682" s="6" t="str">
        <f>_xlfn.CONCAT("Art. złączny do produktu ",Tabela10[[#This Row],[KOD_PRODUKTU]])</f>
        <v>Art. złączny do produktu 901A21-300</v>
      </c>
      <c r="J1682" s="6" t="str">
        <f>_xlfn.CONCAT("VE-",Tabela10[[#This Row],[KOD_PRODUKTU]])</f>
        <v>VE-901A21-300</v>
      </c>
    </row>
    <row r="1683" spans="1:10" x14ac:dyDescent="0.25">
      <c r="A1683" s="1" t="s">
        <v>3504</v>
      </c>
      <c r="B1683" t="s">
        <v>3505</v>
      </c>
      <c r="C1683" s="1" t="s">
        <v>432</v>
      </c>
      <c r="D1683" t="s">
        <v>433</v>
      </c>
      <c r="E1683" t="s">
        <v>434</v>
      </c>
      <c r="F1683" t="s">
        <v>435</v>
      </c>
      <c r="G1683" t="s">
        <v>92</v>
      </c>
      <c r="H1683">
        <v>2.2000000000000002</v>
      </c>
      <c r="I1683" s="6" t="str">
        <f>_xlfn.CONCAT("Art. złączny do produktu ",Tabela10[[#This Row],[KOD_PRODUKTU]])</f>
        <v>Art. złączny do produktu 901A21-300</v>
      </c>
      <c r="J1683" s="6" t="str">
        <f>_xlfn.CONCAT("VE-",Tabela10[[#This Row],[KOD_PRODUKTU]])</f>
        <v>VE-901A21-300</v>
      </c>
    </row>
    <row r="1684" spans="1:10" x14ac:dyDescent="0.25">
      <c r="A1684" s="7" t="s">
        <v>3504</v>
      </c>
      <c r="B1684" s="6" t="s">
        <v>3505</v>
      </c>
      <c r="C1684" s="7" t="s">
        <v>541</v>
      </c>
      <c r="D1684" s="6" t="s">
        <v>542</v>
      </c>
      <c r="E1684" s="6" t="s">
        <v>9</v>
      </c>
      <c r="F1684" s="6" t="s">
        <v>10</v>
      </c>
      <c r="G1684" s="6" t="s">
        <v>601</v>
      </c>
      <c r="H1684" s="6">
        <v>6.9</v>
      </c>
      <c r="I1684" s="6" t="str">
        <f>_xlfn.CONCAT("Art. złączny do produktu ",Tabela10[[#This Row],[KOD_PRODUKTU]])</f>
        <v>Art. złączny do produktu 901A21-300</v>
      </c>
      <c r="J1684" s="6" t="str">
        <f>_xlfn.CONCAT("VE-",Tabela10[[#This Row],[KOD_PRODUKTU]])</f>
        <v>VE-901A21-300</v>
      </c>
    </row>
    <row r="1685" spans="1:10" x14ac:dyDescent="0.25">
      <c r="A1685" s="1" t="s">
        <v>3508</v>
      </c>
      <c r="B1685" t="s">
        <v>3509</v>
      </c>
      <c r="C1685" s="1" t="s">
        <v>3510</v>
      </c>
      <c r="D1685" t="s">
        <v>3511</v>
      </c>
      <c r="E1685" t="s">
        <v>1017</v>
      </c>
      <c r="F1685" t="s">
        <v>5</v>
      </c>
      <c r="G1685" t="s">
        <v>558</v>
      </c>
      <c r="H1685">
        <v>4.32</v>
      </c>
      <c r="I1685" s="6" t="str">
        <f>_xlfn.CONCAT("Art. złączny do produktu ",Tabela10[[#This Row],[KOD_PRODUKTU]])</f>
        <v>Art. złączny do produktu 901A21-310</v>
      </c>
      <c r="J1685" s="6" t="str">
        <f>_xlfn.CONCAT("VE-",Tabela10[[#This Row],[KOD_PRODUKTU]])</f>
        <v>VE-901A21-310</v>
      </c>
    </row>
    <row r="1686" spans="1:10" x14ac:dyDescent="0.25">
      <c r="A1686" s="7" t="s">
        <v>3508</v>
      </c>
      <c r="B1686" s="6" t="s">
        <v>3509</v>
      </c>
      <c r="C1686" s="7" t="s">
        <v>541</v>
      </c>
      <c r="D1686" s="6" t="s">
        <v>542</v>
      </c>
      <c r="E1686" s="6" t="s">
        <v>9</v>
      </c>
      <c r="F1686" s="6" t="s">
        <v>10</v>
      </c>
      <c r="G1686" s="6" t="s">
        <v>33</v>
      </c>
      <c r="H1686" s="6">
        <v>9.1999999999999993</v>
      </c>
      <c r="I1686" s="6" t="str">
        <f>_xlfn.CONCAT("Art. złączny do produktu ",Tabela10[[#This Row],[KOD_PRODUKTU]])</f>
        <v>Art. złączny do produktu 901A21-310</v>
      </c>
      <c r="J1686" s="6" t="str">
        <f>_xlfn.CONCAT("VE-",Tabela10[[#This Row],[KOD_PRODUKTU]])</f>
        <v>VE-901A21-310</v>
      </c>
    </row>
    <row r="1687" spans="1:10" x14ac:dyDescent="0.25">
      <c r="A1687" s="1" t="s">
        <v>3512</v>
      </c>
      <c r="B1687" t="s">
        <v>3513</v>
      </c>
      <c r="C1687" s="1" t="s">
        <v>1203</v>
      </c>
      <c r="D1687" t="s">
        <v>1204</v>
      </c>
      <c r="E1687" t="s">
        <v>216</v>
      </c>
      <c r="F1687" t="s">
        <v>5</v>
      </c>
      <c r="G1687" t="s">
        <v>1236</v>
      </c>
      <c r="H1687">
        <v>0.84</v>
      </c>
      <c r="I1687" s="6" t="str">
        <f>_xlfn.CONCAT("Art. złączny do produktu ",Tabela10[[#This Row],[KOD_PRODUKTU]])</f>
        <v>Art. złączny do produktu 901O02-100</v>
      </c>
      <c r="J1687" s="6" t="str">
        <f>_xlfn.CONCAT("VE-",Tabela10[[#This Row],[KOD_PRODUKTU]])</f>
        <v>VE-901O02-100</v>
      </c>
    </row>
    <row r="1688" spans="1:10" x14ac:dyDescent="0.25">
      <c r="A1688" s="7" t="s">
        <v>3512</v>
      </c>
      <c r="B1688" s="6" t="s">
        <v>3513</v>
      </c>
      <c r="C1688" s="7" t="s">
        <v>541</v>
      </c>
      <c r="D1688" s="6" t="s">
        <v>542</v>
      </c>
      <c r="E1688" s="6" t="s">
        <v>9</v>
      </c>
      <c r="F1688" s="6" t="s">
        <v>10</v>
      </c>
      <c r="G1688" s="6" t="s">
        <v>3514</v>
      </c>
      <c r="H1688" s="6">
        <v>4.8499999999999996</v>
      </c>
      <c r="I1688" s="6" t="str">
        <f>_xlfn.CONCAT("Art. złączny do produktu ",Tabela10[[#This Row],[KOD_PRODUKTU]])</f>
        <v>Art. złączny do produktu 901O02-100</v>
      </c>
      <c r="J1688" s="6" t="str">
        <f>_xlfn.CONCAT("VE-",Tabela10[[#This Row],[KOD_PRODUKTU]])</f>
        <v>VE-901O02-100</v>
      </c>
    </row>
    <row r="1689" spans="1:10" x14ac:dyDescent="0.25">
      <c r="A1689" s="1" t="s">
        <v>3515</v>
      </c>
      <c r="B1689" t="s">
        <v>3516</v>
      </c>
      <c r="C1689" s="1" t="s">
        <v>3517</v>
      </c>
      <c r="D1689" t="s">
        <v>3518</v>
      </c>
      <c r="E1689" t="s">
        <v>3519</v>
      </c>
      <c r="F1689" t="s">
        <v>17</v>
      </c>
      <c r="G1689" t="s">
        <v>3520</v>
      </c>
      <c r="H1689">
        <v>14.76</v>
      </c>
      <c r="I1689" s="6" t="str">
        <f>_xlfn.CONCAT("Art. złączny do produktu ",Tabela10[[#This Row],[KOD_PRODUKTU]])</f>
        <v>Art. złączny do produktu 901O03-100</v>
      </c>
      <c r="J1689" s="6" t="str">
        <f>_xlfn.CONCAT("VE-",Tabela10[[#This Row],[KOD_PRODUKTU]])</f>
        <v>VE-901O03-100</v>
      </c>
    </row>
    <row r="1690" spans="1:10" x14ac:dyDescent="0.25">
      <c r="A1690" s="7" t="s">
        <v>3515</v>
      </c>
      <c r="B1690" s="6" t="s">
        <v>3516</v>
      </c>
      <c r="C1690" s="7" t="s">
        <v>3521</v>
      </c>
      <c r="D1690" s="6" t="s">
        <v>3522</v>
      </c>
      <c r="E1690" s="6" t="s">
        <v>1768</v>
      </c>
      <c r="F1690" s="6" t="s">
        <v>121</v>
      </c>
      <c r="G1690" s="6" t="s">
        <v>50</v>
      </c>
      <c r="H1690" s="6">
        <v>0</v>
      </c>
      <c r="I1690" s="6" t="str">
        <f>_xlfn.CONCAT("Art. złączny do produktu ",Tabela10[[#This Row],[KOD_PRODUKTU]])</f>
        <v>Art. złączny do produktu 901O03-100</v>
      </c>
      <c r="J1690" s="6" t="str">
        <f>_xlfn.CONCAT("VE-",Tabela10[[#This Row],[KOD_PRODUKTU]])</f>
        <v>VE-901O03-100</v>
      </c>
    </row>
    <row r="1691" spans="1:10" x14ac:dyDescent="0.25">
      <c r="A1691" s="1" t="s">
        <v>3515</v>
      </c>
      <c r="B1691" t="s">
        <v>3516</v>
      </c>
      <c r="C1691" s="1" t="s">
        <v>3521</v>
      </c>
      <c r="D1691" t="s">
        <v>3522</v>
      </c>
      <c r="E1691" t="s">
        <v>1768</v>
      </c>
      <c r="F1691" t="s">
        <v>121</v>
      </c>
      <c r="G1691" t="s">
        <v>50</v>
      </c>
      <c r="H1691">
        <v>0</v>
      </c>
      <c r="I1691" s="6" t="str">
        <f>_xlfn.CONCAT("Art. złączny do produktu ",Tabela10[[#This Row],[KOD_PRODUKTU]])</f>
        <v>Art. złączny do produktu 901O03-100</v>
      </c>
      <c r="J1691" s="6" t="str">
        <f>_xlfn.CONCAT("VE-",Tabela10[[#This Row],[KOD_PRODUKTU]])</f>
        <v>VE-901O03-100</v>
      </c>
    </row>
    <row r="1692" spans="1:10" x14ac:dyDescent="0.25">
      <c r="A1692" s="7" t="s">
        <v>3515</v>
      </c>
      <c r="B1692" s="6" t="s">
        <v>3516</v>
      </c>
      <c r="C1692" s="7" t="s">
        <v>3523</v>
      </c>
      <c r="D1692" s="6" t="s">
        <v>3524</v>
      </c>
      <c r="E1692" s="6" t="s">
        <v>3525</v>
      </c>
      <c r="F1692" s="6" t="s">
        <v>49</v>
      </c>
      <c r="G1692" s="6" t="s">
        <v>50</v>
      </c>
      <c r="H1692" s="6">
        <v>449.19</v>
      </c>
      <c r="I1692" s="6" t="str">
        <f>_xlfn.CONCAT("Art. złączny do produktu ",Tabela10[[#This Row],[KOD_PRODUKTU]])</f>
        <v>Art. złączny do produktu 901O03-100</v>
      </c>
      <c r="J1692" s="6" t="str">
        <f>_xlfn.CONCAT("VE-",Tabela10[[#This Row],[KOD_PRODUKTU]])</f>
        <v>VE-901O03-100</v>
      </c>
    </row>
    <row r="1693" spans="1:10" x14ac:dyDescent="0.25">
      <c r="A1693" s="1" t="s">
        <v>3515</v>
      </c>
      <c r="B1693" t="s">
        <v>3516</v>
      </c>
      <c r="C1693" s="1" t="s">
        <v>3526</v>
      </c>
      <c r="D1693" t="s">
        <v>3527</v>
      </c>
      <c r="E1693" t="s">
        <v>3528</v>
      </c>
      <c r="F1693" t="s">
        <v>121</v>
      </c>
      <c r="G1693" t="s">
        <v>2002</v>
      </c>
      <c r="H1693">
        <v>0</v>
      </c>
      <c r="I1693" s="6" t="str">
        <f>_xlfn.CONCAT("Art. złączny do produktu ",Tabela10[[#This Row],[KOD_PRODUKTU]])</f>
        <v>Art. złączny do produktu 901O03-100</v>
      </c>
      <c r="J1693" s="6" t="str">
        <f>_xlfn.CONCAT("VE-",Tabela10[[#This Row],[KOD_PRODUKTU]])</f>
        <v>VE-901O03-100</v>
      </c>
    </row>
    <row r="1694" spans="1:10" x14ac:dyDescent="0.25">
      <c r="A1694" s="7" t="s">
        <v>3515</v>
      </c>
      <c r="B1694" s="6" t="s">
        <v>3516</v>
      </c>
      <c r="C1694" s="7" t="s">
        <v>3452</v>
      </c>
      <c r="D1694" s="6" t="s">
        <v>3453</v>
      </c>
      <c r="E1694" s="6" t="s">
        <v>1588</v>
      </c>
      <c r="F1694" s="6" t="s">
        <v>39</v>
      </c>
      <c r="G1694" s="6" t="s">
        <v>1236</v>
      </c>
      <c r="H1694" s="6">
        <v>2.34</v>
      </c>
      <c r="I1694" s="6" t="str">
        <f>_xlfn.CONCAT("Art. złączny do produktu ",Tabela10[[#This Row],[KOD_PRODUKTU]])</f>
        <v>Art. złączny do produktu 901O03-100</v>
      </c>
      <c r="J1694" s="6" t="str">
        <f>_xlfn.CONCAT("VE-",Tabela10[[#This Row],[KOD_PRODUKTU]])</f>
        <v>VE-901O03-100</v>
      </c>
    </row>
    <row r="1695" spans="1:10" x14ac:dyDescent="0.25">
      <c r="A1695" s="1" t="s">
        <v>3515</v>
      </c>
      <c r="B1695" t="s">
        <v>3516</v>
      </c>
      <c r="C1695" s="1" t="s">
        <v>2835</v>
      </c>
      <c r="D1695" t="s">
        <v>2836</v>
      </c>
      <c r="E1695" t="s">
        <v>2837</v>
      </c>
      <c r="F1695" t="s">
        <v>5</v>
      </c>
      <c r="G1695" t="s">
        <v>3454</v>
      </c>
      <c r="H1695">
        <v>1.89</v>
      </c>
      <c r="I1695" s="6" t="str">
        <f>_xlfn.CONCAT("Art. złączny do produktu ",Tabela10[[#This Row],[KOD_PRODUKTU]])</f>
        <v>Art. złączny do produktu 901O03-100</v>
      </c>
      <c r="J1695" s="6" t="str">
        <f>_xlfn.CONCAT("VE-",Tabela10[[#This Row],[KOD_PRODUKTU]])</f>
        <v>VE-901O03-100</v>
      </c>
    </row>
    <row r="1696" spans="1:10" x14ac:dyDescent="0.25">
      <c r="A1696" s="7" t="s">
        <v>3515</v>
      </c>
      <c r="B1696" s="6" t="s">
        <v>3516</v>
      </c>
      <c r="C1696" s="7" t="s">
        <v>3456</v>
      </c>
      <c r="D1696" s="6" t="s">
        <v>3457</v>
      </c>
      <c r="E1696" s="6" t="s">
        <v>3458</v>
      </c>
      <c r="F1696" s="6" t="s">
        <v>39</v>
      </c>
      <c r="G1696" s="6" t="s">
        <v>605</v>
      </c>
      <c r="H1696" s="6">
        <v>0.66</v>
      </c>
      <c r="I1696" s="6" t="str">
        <f>_xlfn.CONCAT("Art. złączny do produktu ",Tabela10[[#This Row],[KOD_PRODUKTU]])</f>
        <v>Art. złączny do produktu 901O03-100</v>
      </c>
      <c r="J1696" s="6" t="str">
        <f>_xlfn.CONCAT("VE-",Tabela10[[#This Row],[KOD_PRODUKTU]])</f>
        <v>VE-901O03-100</v>
      </c>
    </row>
    <row r="1697" spans="1:10" x14ac:dyDescent="0.25">
      <c r="A1697" s="1" t="s">
        <v>3515</v>
      </c>
      <c r="B1697" t="s">
        <v>3516</v>
      </c>
      <c r="C1697" s="1" t="s">
        <v>3529</v>
      </c>
      <c r="D1697" t="s">
        <v>3530</v>
      </c>
      <c r="E1697" t="s">
        <v>1888</v>
      </c>
      <c r="F1697" t="s">
        <v>5</v>
      </c>
      <c r="G1697" t="s">
        <v>2302</v>
      </c>
      <c r="H1697">
        <v>0.18</v>
      </c>
      <c r="I1697" s="6" t="str">
        <f>_xlfn.CONCAT("Art. złączny do produktu ",Tabela10[[#This Row],[KOD_PRODUKTU]])</f>
        <v>Art. złączny do produktu 901O03-100</v>
      </c>
      <c r="J1697" s="6" t="str">
        <f>_xlfn.CONCAT("VE-",Tabela10[[#This Row],[KOD_PRODUKTU]])</f>
        <v>VE-901O03-100</v>
      </c>
    </row>
    <row r="1698" spans="1:10" x14ac:dyDescent="0.25">
      <c r="A1698" s="7" t="s">
        <v>3515</v>
      </c>
      <c r="B1698" s="6" t="s">
        <v>3516</v>
      </c>
      <c r="C1698" s="7" t="s">
        <v>628</v>
      </c>
      <c r="D1698" s="6" t="s">
        <v>629</v>
      </c>
      <c r="E1698" s="6" t="s">
        <v>630</v>
      </c>
      <c r="F1698" s="6" t="s">
        <v>5</v>
      </c>
      <c r="G1698" s="6" t="s">
        <v>598</v>
      </c>
      <c r="H1698" s="6">
        <v>0.08</v>
      </c>
      <c r="I1698" s="6" t="str">
        <f>_xlfn.CONCAT("Art. złączny do produktu ",Tabela10[[#This Row],[KOD_PRODUKTU]])</f>
        <v>Art. złączny do produktu 901O03-100</v>
      </c>
      <c r="J1698" s="6" t="str">
        <f>_xlfn.CONCAT("VE-",Tabela10[[#This Row],[KOD_PRODUKTU]])</f>
        <v>VE-901O03-100</v>
      </c>
    </row>
    <row r="1699" spans="1:10" x14ac:dyDescent="0.25">
      <c r="A1699" s="1" t="s">
        <v>3515</v>
      </c>
      <c r="B1699" t="s">
        <v>3516</v>
      </c>
      <c r="C1699" s="1" t="s">
        <v>483</v>
      </c>
      <c r="D1699" t="s">
        <v>484</v>
      </c>
      <c r="E1699" t="s">
        <v>2789</v>
      </c>
      <c r="F1699" t="s">
        <v>5</v>
      </c>
      <c r="G1699" t="s">
        <v>3531</v>
      </c>
      <c r="H1699">
        <v>0.11</v>
      </c>
      <c r="I1699" s="6" t="str">
        <f>_xlfn.CONCAT("Art. złączny do produktu ",Tabela10[[#This Row],[KOD_PRODUKTU]])</f>
        <v>Art. złączny do produktu 901O03-100</v>
      </c>
      <c r="J1699" s="6" t="str">
        <f>_xlfn.CONCAT("VE-",Tabela10[[#This Row],[KOD_PRODUKTU]])</f>
        <v>VE-901O03-100</v>
      </c>
    </row>
    <row r="1700" spans="1:10" x14ac:dyDescent="0.25">
      <c r="A1700" s="7" t="s">
        <v>3515</v>
      </c>
      <c r="B1700" s="6" t="s">
        <v>3516</v>
      </c>
      <c r="C1700" s="7" t="s">
        <v>2844</v>
      </c>
      <c r="D1700" s="6" t="s">
        <v>2845</v>
      </c>
      <c r="E1700" s="6" t="s">
        <v>2846</v>
      </c>
      <c r="F1700" s="6" t="s">
        <v>5</v>
      </c>
      <c r="G1700" s="6" t="s">
        <v>2213</v>
      </c>
      <c r="H1700" s="6">
        <v>0.01</v>
      </c>
      <c r="I1700" s="6" t="str">
        <f>_xlfn.CONCAT("Art. złączny do produktu ",Tabela10[[#This Row],[KOD_PRODUKTU]])</f>
        <v>Art. złączny do produktu 901O03-100</v>
      </c>
      <c r="J1700" s="6" t="str">
        <f>_xlfn.CONCAT("VE-",Tabela10[[#This Row],[KOD_PRODUKTU]])</f>
        <v>VE-901O03-100</v>
      </c>
    </row>
    <row r="1701" spans="1:10" x14ac:dyDescent="0.25">
      <c r="A1701" s="1" t="s">
        <v>3515</v>
      </c>
      <c r="B1701" t="s">
        <v>3516</v>
      </c>
      <c r="C1701" s="1" t="s">
        <v>1971</v>
      </c>
      <c r="D1701" t="s">
        <v>1972</v>
      </c>
      <c r="E1701" t="s">
        <v>1964</v>
      </c>
      <c r="F1701" t="s">
        <v>5</v>
      </c>
      <c r="G1701" t="s">
        <v>3460</v>
      </c>
      <c r="H1701">
        <v>0.62</v>
      </c>
      <c r="I1701" s="6" t="str">
        <f>_xlfn.CONCAT("Art. złączny do produktu ",Tabela10[[#This Row],[KOD_PRODUKTU]])</f>
        <v>Art. złączny do produktu 901O03-100</v>
      </c>
      <c r="J1701" s="6" t="str">
        <f>_xlfn.CONCAT("VE-",Tabela10[[#This Row],[KOD_PRODUKTU]])</f>
        <v>VE-901O03-100</v>
      </c>
    </row>
    <row r="1702" spans="1:10" x14ac:dyDescent="0.25">
      <c r="A1702" s="7" t="s">
        <v>3515</v>
      </c>
      <c r="B1702" s="6" t="s">
        <v>3516</v>
      </c>
      <c r="C1702" s="7" t="s">
        <v>2848</v>
      </c>
      <c r="D1702" s="6" t="s">
        <v>2849</v>
      </c>
      <c r="E1702" s="6" t="s">
        <v>879</v>
      </c>
      <c r="F1702" s="6" t="s">
        <v>5</v>
      </c>
      <c r="G1702" s="6" t="s">
        <v>3461</v>
      </c>
      <c r="H1702" s="6">
        <v>0.19</v>
      </c>
      <c r="I1702" s="6" t="str">
        <f>_xlfn.CONCAT("Art. złączny do produktu ",Tabela10[[#This Row],[KOD_PRODUKTU]])</f>
        <v>Art. złączny do produktu 901O03-100</v>
      </c>
      <c r="J1702" s="6" t="str">
        <f>_xlfn.CONCAT("VE-",Tabela10[[#This Row],[KOD_PRODUKTU]])</f>
        <v>VE-901O03-100</v>
      </c>
    </row>
    <row r="1703" spans="1:10" x14ac:dyDescent="0.25">
      <c r="A1703" s="1" t="s">
        <v>3515</v>
      </c>
      <c r="B1703" t="s">
        <v>3516</v>
      </c>
      <c r="C1703" s="1" t="s">
        <v>1974</v>
      </c>
      <c r="D1703" t="s">
        <v>1975</v>
      </c>
      <c r="E1703" t="s">
        <v>879</v>
      </c>
      <c r="F1703" t="s">
        <v>121</v>
      </c>
      <c r="G1703" t="s">
        <v>367</v>
      </c>
      <c r="H1703">
        <v>0.7</v>
      </c>
      <c r="I1703" s="6" t="str">
        <f>_xlfn.CONCAT("Art. złączny do produktu ",Tabela10[[#This Row],[KOD_PRODUKTU]])</f>
        <v>Art. złączny do produktu 901O03-100</v>
      </c>
      <c r="J1703" s="6" t="str">
        <f>_xlfn.CONCAT("VE-",Tabela10[[#This Row],[KOD_PRODUKTU]])</f>
        <v>VE-901O03-100</v>
      </c>
    </row>
    <row r="1704" spans="1:10" x14ac:dyDescent="0.25">
      <c r="A1704" s="7" t="s">
        <v>3515</v>
      </c>
      <c r="B1704" s="6" t="s">
        <v>3516</v>
      </c>
      <c r="C1704" s="7" t="s">
        <v>41</v>
      </c>
      <c r="D1704" s="6" t="s">
        <v>42</v>
      </c>
      <c r="E1704" s="6" t="s">
        <v>513</v>
      </c>
      <c r="F1704" s="6" t="s">
        <v>5</v>
      </c>
      <c r="G1704" s="6" t="s">
        <v>19</v>
      </c>
      <c r="H1704" s="6">
        <v>0.55000000000000004</v>
      </c>
      <c r="I1704" s="6" t="str">
        <f>_xlfn.CONCAT("Art. złączny do produktu ",Tabela10[[#This Row],[KOD_PRODUKTU]])</f>
        <v>Art. złączny do produktu 901O03-100</v>
      </c>
      <c r="J1704" s="6" t="str">
        <f>_xlfn.CONCAT("VE-",Tabela10[[#This Row],[KOD_PRODUKTU]])</f>
        <v>VE-901O03-100</v>
      </c>
    </row>
    <row r="1705" spans="1:10" x14ac:dyDescent="0.25">
      <c r="A1705" s="1" t="s">
        <v>3515</v>
      </c>
      <c r="B1705" t="s">
        <v>3516</v>
      </c>
      <c r="C1705" s="1" t="s">
        <v>2797</v>
      </c>
      <c r="D1705" t="s">
        <v>2798</v>
      </c>
      <c r="E1705" t="s">
        <v>2799</v>
      </c>
      <c r="F1705" t="s">
        <v>121</v>
      </c>
      <c r="G1705" t="s">
        <v>50</v>
      </c>
      <c r="H1705">
        <v>2.41</v>
      </c>
      <c r="I1705" s="6" t="str">
        <f>_xlfn.CONCAT("Art. złączny do produktu ",Tabela10[[#This Row],[KOD_PRODUKTU]])</f>
        <v>Art. złączny do produktu 901O03-100</v>
      </c>
      <c r="J1705" s="6" t="str">
        <f>_xlfn.CONCAT("VE-",Tabela10[[#This Row],[KOD_PRODUKTU]])</f>
        <v>VE-901O03-100</v>
      </c>
    </row>
    <row r="1706" spans="1:10" x14ac:dyDescent="0.25">
      <c r="A1706" s="7" t="s">
        <v>3515</v>
      </c>
      <c r="B1706" s="6" t="s">
        <v>3516</v>
      </c>
      <c r="C1706" s="7" t="s">
        <v>2577</v>
      </c>
      <c r="D1706" s="6" t="s">
        <v>2578</v>
      </c>
      <c r="E1706" s="6" t="s">
        <v>686</v>
      </c>
      <c r="F1706" s="6" t="s">
        <v>49</v>
      </c>
      <c r="G1706" s="6" t="s">
        <v>3535</v>
      </c>
      <c r="H1706" s="6">
        <v>388.96</v>
      </c>
      <c r="I1706" s="6" t="str">
        <f>_xlfn.CONCAT("Art. złączny do produktu ",Tabela10[[#This Row],[KOD_PRODUKTU]])</f>
        <v>Art. złączny do produktu 901O03-100</v>
      </c>
      <c r="J1706" s="6" t="str">
        <f>_xlfn.CONCAT("VE-",Tabela10[[#This Row],[KOD_PRODUKTU]])</f>
        <v>VE-901O03-100</v>
      </c>
    </row>
    <row r="1707" spans="1:10" x14ac:dyDescent="0.25">
      <c r="A1707" s="1" t="s">
        <v>3515</v>
      </c>
      <c r="B1707" t="s">
        <v>3516</v>
      </c>
      <c r="C1707" s="1" t="s">
        <v>684</v>
      </c>
      <c r="D1707" t="s">
        <v>685</v>
      </c>
      <c r="E1707" t="s">
        <v>686</v>
      </c>
      <c r="F1707" t="s">
        <v>49</v>
      </c>
      <c r="G1707" t="s">
        <v>3536</v>
      </c>
      <c r="H1707">
        <v>1.01</v>
      </c>
      <c r="I1707" s="6" t="str">
        <f>_xlfn.CONCAT("Art. złączny do produktu ",Tabela10[[#This Row],[KOD_PRODUKTU]])</f>
        <v>Art. złączny do produktu 901O03-100</v>
      </c>
      <c r="J1707" s="6" t="str">
        <f>_xlfn.CONCAT("VE-",Tabela10[[#This Row],[KOD_PRODUKTU]])</f>
        <v>VE-901O03-100</v>
      </c>
    </row>
    <row r="1708" spans="1:10" x14ac:dyDescent="0.25">
      <c r="A1708" s="7" t="s">
        <v>3515</v>
      </c>
      <c r="B1708" s="6" t="s">
        <v>3516</v>
      </c>
      <c r="C1708" s="7" t="s">
        <v>684</v>
      </c>
      <c r="D1708" s="6" t="s">
        <v>685</v>
      </c>
      <c r="E1708" s="6" t="s">
        <v>686</v>
      </c>
      <c r="F1708" s="6" t="s">
        <v>49</v>
      </c>
      <c r="G1708" s="6" t="s">
        <v>3537</v>
      </c>
      <c r="H1708" s="6">
        <v>2.02</v>
      </c>
      <c r="I1708" s="6" t="str">
        <f>_xlfn.CONCAT("Art. złączny do produktu ",Tabela10[[#This Row],[KOD_PRODUKTU]])</f>
        <v>Art. złączny do produktu 901O03-100</v>
      </c>
      <c r="J1708" s="6" t="str">
        <f>_xlfn.CONCAT("VE-",Tabela10[[#This Row],[KOD_PRODUKTU]])</f>
        <v>VE-901O03-100</v>
      </c>
    </row>
    <row r="1709" spans="1:10" x14ac:dyDescent="0.25">
      <c r="A1709" s="1" t="s">
        <v>3515</v>
      </c>
      <c r="B1709" t="s">
        <v>3516</v>
      </c>
      <c r="C1709" s="1" t="s">
        <v>684</v>
      </c>
      <c r="D1709" t="s">
        <v>685</v>
      </c>
      <c r="E1709" t="s">
        <v>686</v>
      </c>
      <c r="F1709" t="s">
        <v>49</v>
      </c>
      <c r="G1709" t="s">
        <v>3538</v>
      </c>
      <c r="H1709">
        <v>1.96</v>
      </c>
      <c r="I1709" s="6" t="str">
        <f>_xlfn.CONCAT("Art. złączny do produktu ",Tabela10[[#This Row],[KOD_PRODUKTU]])</f>
        <v>Art. złączny do produktu 901O03-100</v>
      </c>
      <c r="J1709" s="6" t="str">
        <f>_xlfn.CONCAT("VE-",Tabela10[[#This Row],[KOD_PRODUKTU]])</f>
        <v>VE-901O03-100</v>
      </c>
    </row>
    <row r="1710" spans="1:10" x14ac:dyDescent="0.25">
      <c r="A1710" s="7" t="s">
        <v>3515</v>
      </c>
      <c r="B1710" s="6" t="s">
        <v>3516</v>
      </c>
      <c r="C1710" s="7" t="s">
        <v>541</v>
      </c>
      <c r="D1710" s="6" t="s">
        <v>542</v>
      </c>
      <c r="E1710" s="6" t="s">
        <v>9</v>
      </c>
      <c r="F1710" s="6" t="s">
        <v>10</v>
      </c>
      <c r="G1710" s="6" t="s">
        <v>3482</v>
      </c>
      <c r="H1710" s="6">
        <v>16.91</v>
      </c>
      <c r="I1710" s="6" t="str">
        <f>_xlfn.CONCAT("Art. złączny do produktu ",Tabela10[[#This Row],[KOD_PRODUKTU]])</f>
        <v>Art. złączny do produktu 901O03-100</v>
      </c>
      <c r="J1710" s="6" t="str">
        <f>_xlfn.CONCAT("VE-",Tabela10[[#This Row],[KOD_PRODUKTU]])</f>
        <v>VE-901O03-100</v>
      </c>
    </row>
    <row r="1711" spans="1:10" x14ac:dyDescent="0.25">
      <c r="A1711" s="1" t="s">
        <v>3515</v>
      </c>
      <c r="B1711" t="s">
        <v>3516</v>
      </c>
      <c r="C1711" s="1" t="s">
        <v>541</v>
      </c>
      <c r="D1711" t="s">
        <v>542</v>
      </c>
      <c r="E1711" t="s">
        <v>9</v>
      </c>
      <c r="F1711" t="s">
        <v>10</v>
      </c>
      <c r="G1711" t="s">
        <v>3539</v>
      </c>
      <c r="H1711">
        <v>166.64</v>
      </c>
      <c r="I1711" s="6" t="str">
        <f>_xlfn.CONCAT("Art. złączny do produktu ",Tabela10[[#This Row],[KOD_PRODUKTU]])</f>
        <v>Art. złączny do produktu 901O03-100</v>
      </c>
      <c r="J1711" s="6" t="str">
        <f>_xlfn.CONCAT("VE-",Tabela10[[#This Row],[KOD_PRODUKTU]])</f>
        <v>VE-901O03-100</v>
      </c>
    </row>
    <row r="1712" spans="1:10" x14ac:dyDescent="0.25">
      <c r="A1712" s="7" t="s">
        <v>3515</v>
      </c>
      <c r="B1712" s="6" t="s">
        <v>3516</v>
      </c>
      <c r="C1712" s="7" t="s">
        <v>541</v>
      </c>
      <c r="D1712" s="6" t="s">
        <v>542</v>
      </c>
      <c r="E1712" s="6" t="s">
        <v>9</v>
      </c>
      <c r="F1712" s="6" t="s">
        <v>10</v>
      </c>
      <c r="G1712" s="6" t="s">
        <v>3540</v>
      </c>
      <c r="H1712" s="6">
        <v>7.25</v>
      </c>
      <c r="I1712" s="6" t="str">
        <f>_xlfn.CONCAT("Art. złączny do produktu ",Tabela10[[#This Row],[KOD_PRODUKTU]])</f>
        <v>Art. złączny do produktu 901O03-100</v>
      </c>
      <c r="J1712" s="6" t="str">
        <f>_xlfn.CONCAT("VE-",Tabela10[[#This Row],[KOD_PRODUKTU]])</f>
        <v>VE-901O03-100</v>
      </c>
    </row>
    <row r="1713" spans="1:10" x14ac:dyDescent="0.25">
      <c r="A1713" s="1" t="s">
        <v>3541</v>
      </c>
      <c r="B1713" t="s">
        <v>3542</v>
      </c>
      <c r="C1713" s="1" t="s">
        <v>1794</v>
      </c>
      <c r="D1713" t="s">
        <v>1795</v>
      </c>
      <c r="E1713" t="s">
        <v>117</v>
      </c>
      <c r="F1713" t="s">
        <v>17</v>
      </c>
      <c r="G1713" t="s">
        <v>1425</v>
      </c>
      <c r="H1713">
        <v>1.8</v>
      </c>
      <c r="I1713" s="6" t="str">
        <f>_xlfn.CONCAT("Art. złączny do produktu ",Tabela10[[#This Row],[KOD_PRODUKTU]])</f>
        <v>Art. złączny do produktu 901O03-200</v>
      </c>
      <c r="J1713" s="6" t="str">
        <f>_xlfn.CONCAT("VE-",Tabela10[[#This Row],[KOD_PRODUKTU]])</f>
        <v>VE-901O03-200</v>
      </c>
    </row>
    <row r="1714" spans="1:10" x14ac:dyDescent="0.25">
      <c r="A1714" s="7" t="s">
        <v>3541</v>
      </c>
      <c r="B1714" s="6" t="s">
        <v>3542</v>
      </c>
      <c r="C1714" s="7" t="s">
        <v>541</v>
      </c>
      <c r="D1714" s="6" t="s">
        <v>542</v>
      </c>
      <c r="E1714" s="6" t="s">
        <v>9</v>
      </c>
      <c r="F1714" s="6" t="s">
        <v>10</v>
      </c>
      <c r="G1714" s="6" t="s">
        <v>3514</v>
      </c>
      <c r="H1714" s="6">
        <v>4.8499999999999996</v>
      </c>
      <c r="I1714" s="6" t="str">
        <f>_xlfn.CONCAT("Art. złączny do produktu ",Tabela10[[#This Row],[KOD_PRODUKTU]])</f>
        <v>Art. złączny do produktu 901O03-200</v>
      </c>
      <c r="J1714" s="6" t="str">
        <f>_xlfn.CONCAT("VE-",Tabela10[[#This Row],[KOD_PRODUKTU]])</f>
        <v>VE-901O03-200</v>
      </c>
    </row>
    <row r="1715" spans="1:10" x14ac:dyDescent="0.25">
      <c r="A1715" s="1" t="s">
        <v>3543</v>
      </c>
      <c r="B1715" t="s">
        <v>3544</v>
      </c>
      <c r="C1715" s="1" t="s">
        <v>3363</v>
      </c>
      <c r="D1715" t="s">
        <v>3364</v>
      </c>
      <c r="E1715" t="s">
        <v>3365</v>
      </c>
      <c r="F1715" t="s">
        <v>17</v>
      </c>
      <c r="G1715" t="s">
        <v>3545</v>
      </c>
      <c r="H1715">
        <v>3.15</v>
      </c>
      <c r="I1715" s="6" t="str">
        <f>_xlfn.CONCAT("Art. złączny do produktu ",Tabela10[[#This Row],[KOD_PRODUKTU]])</f>
        <v>Art. złączny do produktu 901O03-210</v>
      </c>
      <c r="J1715" s="6" t="str">
        <f>_xlfn.CONCAT("VE-",Tabela10[[#This Row],[KOD_PRODUKTU]])</f>
        <v>VE-901O03-210</v>
      </c>
    </row>
    <row r="1716" spans="1:10" x14ac:dyDescent="0.25">
      <c r="A1716" s="7" t="s">
        <v>3543</v>
      </c>
      <c r="B1716" s="6" t="s">
        <v>3544</v>
      </c>
      <c r="C1716" s="7" t="s">
        <v>541</v>
      </c>
      <c r="D1716" s="6" t="s">
        <v>542</v>
      </c>
      <c r="E1716" s="6" t="s">
        <v>9</v>
      </c>
      <c r="F1716" s="6" t="s">
        <v>10</v>
      </c>
      <c r="G1716" s="6" t="s">
        <v>3546</v>
      </c>
      <c r="H1716" s="6">
        <v>4.8099999999999996</v>
      </c>
      <c r="I1716" s="6" t="str">
        <f>_xlfn.CONCAT("Art. złączny do produktu ",Tabela10[[#This Row],[KOD_PRODUKTU]])</f>
        <v>Art. złączny do produktu 901O03-210</v>
      </c>
      <c r="J1716" s="6" t="str">
        <f>_xlfn.CONCAT("VE-",Tabela10[[#This Row],[KOD_PRODUKTU]])</f>
        <v>VE-901O03-210</v>
      </c>
    </row>
    <row r="1717" spans="1:10" x14ac:dyDescent="0.25">
      <c r="A1717" s="1" t="s">
        <v>3547</v>
      </c>
      <c r="B1717" t="s">
        <v>3548</v>
      </c>
      <c r="C1717" s="1" t="s">
        <v>1862</v>
      </c>
      <c r="D1717" t="s">
        <v>1863</v>
      </c>
      <c r="E1717" t="s">
        <v>3549</v>
      </c>
      <c r="F1717" t="s">
        <v>121</v>
      </c>
      <c r="G1717" t="s">
        <v>860</v>
      </c>
      <c r="H1717">
        <v>2.38</v>
      </c>
      <c r="I1717" s="6" t="str">
        <f>_xlfn.CONCAT("Art. złączny do produktu ",Tabela10[[#This Row],[KOD_PRODUKTU]])</f>
        <v>Art. złączny do produktu 901O03-220</v>
      </c>
      <c r="J1717" s="6" t="str">
        <f>_xlfn.CONCAT("VE-",Tabela10[[#This Row],[KOD_PRODUKTU]])</f>
        <v>VE-901O03-220</v>
      </c>
    </row>
    <row r="1718" spans="1:10" x14ac:dyDescent="0.25">
      <c r="A1718" s="7" t="s">
        <v>3547</v>
      </c>
      <c r="B1718" s="6" t="s">
        <v>3548</v>
      </c>
      <c r="C1718" s="7" t="s">
        <v>7</v>
      </c>
      <c r="D1718" s="6" t="s">
        <v>8</v>
      </c>
      <c r="E1718" s="6" t="s">
        <v>9</v>
      </c>
      <c r="F1718" s="6" t="s">
        <v>10</v>
      </c>
      <c r="G1718" s="6" t="s">
        <v>1371</v>
      </c>
      <c r="H1718" s="6">
        <v>1.1499999999999999</v>
      </c>
      <c r="I1718" s="6" t="str">
        <f>_xlfn.CONCAT("Art. złączny do produktu ",Tabela10[[#This Row],[KOD_PRODUKTU]])</f>
        <v>Art. złączny do produktu 901O03-220</v>
      </c>
      <c r="J1718" s="6" t="str">
        <f>_xlfn.CONCAT("VE-",Tabela10[[#This Row],[KOD_PRODUKTU]])</f>
        <v>VE-901O03-220</v>
      </c>
    </row>
    <row r="1719" spans="1:10" x14ac:dyDescent="0.25">
      <c r="A1719" s="1" t="s">
        <v>3550</v>
      </c>
      <c r="B1719" t="s">
        <v>3551</v>
      </c>
      <c r="C1719" s="1" t="s">
        <v>3552</v>
      </c>
      <c r="D1719" t="s">
        <v>3553</v>
      </c>
      <c r="E1719" t="s">
        <v>3554</v>
      </c>
      <c r="F1719" t="s">
        <v>17</v>
      </c>
      <c r="G1719" t="s">
        <v>3555</v>
      </c>
      <c r="H1719">
        <v>1.58</v>
      </c>
      <c r="I1719" s="6" t="str">
        <f>_xlfn.CONCAT("Art. złączny do produktu ",Tabela10[[#This Row],[KOD_PRODUKTU]])</f>
        <v>Art. złączny do produktu 901O03-230</v>
      </c>
      <c r="J1719" s="6" t="str">
        <f>_xlfn.CONCAT("VE-",Tabela10[[#This Row],[KOD_PRODUKTU]])</f>
        <v>VE-901O03-230</v>
      </c>
    </row>
    <row r="1720" spans="1:10" x14ac:dyDescent="0.25">
      <c r="A1720" s="7" t="s">
        <v>3550</v>
      </c>
      <c r="B1720" s="6" t="s">
        <v>3551</v>
      </c>
      <c r="C1720" s="7" t="s">
        <v>541</v>
      </c>
      <c r="D1720" s="6" t="s">
        <v>542</v>
      </c>
      <c r="E1720" s="6" t="s">
        <v>9</v>
      </c>
      <c r="F1720" s="6" t="s">
        <v>10</v>
      </c>
      <c r="G1720" s="6" t="s">
        <v>3556</v>
      </c>
      <c r="H1720" s="6">
        <v>1.71</v>
      </c>
      <c r="I1720" s="6" t="str">
        <f>_xlfn.CONCAT("Art. złączny do produktu ",Tabela10[[#This Row],[KOD_PRODUKTU]])</f>
        <v>Art. złączny do produktu 901O03-230</v>
      </c>
      <c r="J1720" s="6" t="str">
        <f>_xlfn.CONCAT("VE-",Tabela10[[#This Row],[KOD_PRODUKTU]])</f>
        <v>VE-901O03-230</v>
      </c>
    </row>
    <row r="1721" spans="1:10" x14ac:dyDescent="0.25">
      <c r="A1721" s="1" t="s">
        <v>3557</v>
      </c>
      <c r="B1721" t="s">
        <v>3558</v>
      </c>
      <c r="C1721" s="1" t="s">
        <v>541</v>
      </c>
      <c r="D1721" t="s">
        <v>542</v>
      </c>
      <c r="E1721" t="s">
        <v>9</v>
      </c>
      <c r="F1721" t="s">
        <v>10</v>
      </c>
      <c r="G1721" t="s">
        <v>2890</v>
      </c>
      <c r="H1721">
        <v>2.42</v>
      </c>
      <c r="I1721" s="6" t="str">
        <f>_xlfn.CONCAT("Art. złączny do produktu ",Tabela10[[#This Row],[KOD_PRODUKTU]])</f>
        <v>Art. złączny do produktu 901O03-310</v>
      </c>
      <c r="J1721" s="6" t="str">
        <f>_xlfn.CONCAT("VE-",Tabela10[[#This Row],[KOD_PRODUKTU]])</f>
        <v>VE-901O03-310</v>
      </c>
    </row>
    <row r="1722" spans="1:10" x14ac:dyDescent="0.25">
      <c r="A1722" s="7" t="s">
        <v>3559</v>
      </c>
      <c r="B1722" s="6" t="s">
        <v>3560</v>
      </c>
      <c r="C1722" s="7" t="s">
        <v>1794</v>
      </c>
      <c r="D1722" s="6" t="s">
        <v>1795</v>
      </c>
      <c r="E1722" s="6" t="s">
        <v>117</v>
      </c>
      <c r="F1722" s="6" t="s">
        <v>17</v>
      </c>
      <c r="G1722" s="6" t="s">
        <v>25</v>
      </c>
      <c r="H1722" s="6">
        <v>1.2</v>
      </c>
      <c r="I1722" s="6" t="str">
        <f>_xlfn.CONCAT("Art. złączny do produktu ",Tabela10[[#This Row],[KOD_PRODUKTU]])</f>
        <v>Art. złączny do produktu 901O03-320</v>
      </c>
      <c r="J1722" s="6" t="str">
        <f>_xlfn.CONCAT("VE-",Tabela10[[#This Row],[KOD_PRODUKTU]])</f>
        <v>VE-901O03-320</v>
      </c>
    </row>
    <row r="1723" spans="1:10" x14ac:dyDescent="0.25">
      <c r="A1723" s="1" t="s">
        <v>3559</v>
      </c>
      <c r="B1723" t="s">
        <v>3560</v>
      </c>
      <c r="C1723" s="1" t="s">
        <v>541</v>
      </c>
      <c r="D1723" t="s">
        <v>542</v>
      </c>
      <c r="E1723" t="s">
        <v>9</v>
      </c>
      <c r="F1723" t="s">
        <v>10</v>
      </c>
      <c r="G1723" t="s">
        <v>3514</v>
      </c>
      <c r="H1723">
        <v>4.8499999999999996</v>
      </c>
      <c r="I1723" s="6" t="str">
        <f>_xlfn.CONCAT("Art. złączny do produktu ",Tabela10[[#This Row],[KOD_PRODUKTU]])</f>
        <v>Art. złączny do produktu 901O03-320</v>
      </c>
      <c r="J1723" s="6" t="str">
        <f>_xlfn.CONCAT("VE-",Tabela10[[#This Row],[KOD_PRODUKTU]])</f>
        <v>VE-901O03-320</v>
      </c>
    </row>
    <row r="1724" spans="1:10" x14ac:dyDescent="0.25">
      <c r="A1724" s="7" t="s">
        <v>3561</v>
      </c>
      <c r="B1724" s="6" t="s">
        <v>3562</v>
      </c>
      <c r="C1724" s="7" t="s">
        <v>1794</v>
      </c>
      <c r="D1724" s="6" t="s">
        <v>1795</v>
      </c>
      <c r="E1724" s="6" t="s">
        <v>117</v>
      </c>
      <c r="F1724" s="6" t="s">
        <v>17</v>
      </c>
      <c r="G1724" s="6" t="s">
        <v>25</v>
      </c>
      <c r="H1724" s="6">
        <v>1.2</v>
      </c>
      <c r="I1724" s="6" t="str">
        <f>_xlfn.CONCAT("Art. złączny do produktu ",Tabela10[[#This Row],[KOD_PRODUKTU]])</f>
        <v>Art. złączny do produktu 901O03-410</v>
      </c>
      <c r="J1724" s="6" t="str">
        <f>_xlfn.CONCAT("VE-",Tabela10[[#This Row],[KOD_PRODUKTU]])</f>
        <v>VE-901O03-410</v>
      </c>
    </row>
    <row r="1725" spans="1:10" x14ac:dyDescent="0.25">
      <c r="A1725" s="1" t="s">
        <v>3561</v>
      </c>
      <c r="B1725" t="s">
        <v>3562</v>
      </c>
      <c r="C1725" s="1" t="s">
        <v>541</v>
      </c>
      <c r="D1725" t="s">
        <v>542</v>
      </c>
      <c r="E1725" t="s">
        <v>9</v>
      </c>
      <c r="F1725" t="s">
        <v>10</v>
      </c>
      <c r="G1725" t="s">
        <v>3514</v>
      </c>
      <c r="H1725">
        <v>4.8499999999999996</v>
      </c>
      <c r="I1725" s="6" t="str">
        <f>_xlfn.CONCAT("Art. złączny do produktu ",Tabela10[[#This Row],[KOD_PRODUKTU]])</f>
        <v>Art. złączny do produktu 901O03-410</v>
      </c>
      <c r="J1725" s="6" t="str">
        <f>_xlfn.CONCAT("VE-",Tabela10[[#This Row],[KOD_PRODUKTU]])</f>
        <v>VE-901O03-410</v>
      </c>
    </row>
    <row r="1726" spans="1:10" x14ac:dyDescent="0.25">
      <c r="A1726" s="7" t="s">
        <v>3591</v>
      </c>
      <c r="B1726" s="6" t="s">
        <v>3592</v>
      </c>
      <c r="C1726" s="7" t="s">
        <v>1188</v>
      </c>
      <c r="D1726" s="6" t="s">
        <v>1189</v>
      </c>
      <c r="E1726" s="6" t="s">
        <v>1190</v>
      </c>
      <c r="F1726" s="6" t="s">
        <v>5</v>
      </c>
      <c r="G1726" s="6" t="s">
        <v>3593</v>
      </c>
      <c r="H1726" s="6">
        <v>1.0900000000000001</v>
      </c>
      <c r="I1726" s="6" t="str">
        <f>_xlfn.CONCAT("Art. złączny do produktu ",Tabela10[[#This Row],[KOD_PRODUKTU]])</f>
        <v>Art. złączny do produktu 901O09-200</v>
      </c>
      <c r="J1726" s="6" t="str">
        <f>_xlfn.CONCAT("VE-",Tabela10[[#This Row],[KOD_PRODUKTU]])</f>
        <v>VE-901O09-200</v>
      </c>
    </row>
    <row r="1727" spans="1:10" x14ac:dyDescent="0.25">
      <c r="A1727" s="1" t="s">
        <v>3591</v>
      </c>
      <c r="B1727" t="s">
        <v>3592</v>
      </c>
      <c r="C1727" s="1" t="s">
        <v>541</v>
      </c>
      <c r="D1727" t="s">
        <v>542</v>
      </c>
      <c r="E1727" t="s">
        <v>9</v>
      </c>
      <c r="F1727" t="s">
        <v>10</v>
      </c>
      <c r="G1727" t="s">
        <v>3594</v>
      </c>
      <c r="H1727">
        <v>7.53</v>
      </c>
      <c r="I1727" s="6" t="str">
        <f>_xlfn.CONCAT("Art. złączny do produktu ",Tabela10[[#This Row],[KOD_PRODUKTU]])</f>
        <v>Art. złączny do produktu 901O09-200</v>
      </c>
      <c r="J1727" s="6" t="str">
        <f>_xlfn.CONCAT("VE-",Tabela10[[#This Row],[KOD_PRODUKTU]])</f>
        <v>VE-901O09-200</v>
      </c>
    </row>
    <row r="1728" spans="1:10" x14ac:dyDescent="0.25">
      <c r="A1728" s="7" t="s">
        <v>3595</v>
      </c>
      <c r="B1728" s="6" t="s">
        <v>3596</v>
      </c>
      <c r="C1728" s="7" t="s">
        <v>3288</v>
      </c>
      <c r="D1728" s="6" t="s">
        <v>3289</v>
      </c>
      <c r="E1728" s="6" t="s">
        <v>1970</v>
      </c>
      <c r="F1728" s="6" t="s">
        <v>5</v>
      </c>
      <c r="G1728" s="6" t="s">
        <v>2847</v>
      </c>
      <c r="H1728" s="6">
        <v>0.08</v>
      </c>
      <c r="I1728" s="6" t="str">
        <f>_xlfn.CONCAT("Art. złączny do produktu ",Tabela10[[#This Row],[KOD_PRODUKTU]])</f>
        <v>Art. złączny do produktu 901O11-200</v>
      </c>
      <c r="J1728" s="6" t="str">
        <f>_xlfn.CONCAT("VE-",Tabela10[[#This Row],[KOD_PRODUKTU]])</f>
        <v>VE-901O11-200</v>
      </c>
    </row>
    <row r="1729" spans="1:10" x14ac:dyDescent="0.25">
      <c r="A1729" s="1" t="s">
        <v>3595</v>
      </c>
      <c r="B1729" t="s">
        <v>3596</v>
      </c>
      <c r="C1729" s="1" t="s">
        <v>7</v>
      </c>
      <c r="D1729" t="s">
        <v>8</v>
      </c>
      <c r="E1729" t="s">
        <v>9</v>
      </c>
      <c r="F1729" t="s">
        <v>10</v>
      </c>
      <c r="G1729" t="s">
        <v>3597</v>
      </c>
      <c r="H1729">
        <v>1.08</v>
      </c>
      <c r="I1729" s="6" t="str">
        <f>_xlfn.CONCAT("Art. złączny do produktu ",Tabela10[[#This Row],[KOD_PRODUKTU]])</f>
        <v>Art. złączny do produktu 901O11-200</v>
      </c>
      <c r="J1729" s="6" t="str">
        <f>_xlfn.CONCAT("VE-",Tabela10[[#This Row],[KOD_PRODUKTU]])</f>
        <v>VE-901O11-200</v>
      </c>
    </row>
    <row r="1730" spans="1:10" x14ac:dyDescent="0.25">
      <c r="A1730" s="7" t="s">
        <v>3598</v>
      </c>
      <c r="B1730" s="6" t="s">
        <v>3599</v>
      </c>
      <c r="C1730" s="7" t="s">
        <v>3600</v>
      </c>
      <c r="D1730" s="6" t="s">
        <v>3601</v>
      </c>
      <c r="E1730" s="6" t="s">
        <v>887</v>
      </c>
      <c r="F1730" s="6" t="s">
        <v>17</v>
      </c>
      <c r="G1730" s="6" t="s">
        <v>3602</v>
      </c>
      <c r="H1730" s="6">
        <v>10.5</v>
      </c>
      <c r="I1730" s="6" t="str">
        <f>_xlfn.CONCAT("Art. złączny do produktu ",Tabela10[[#This Row],[KOD_PRODUKTU]])</f>
        <v>Art. złączny do produktu 901Z02-100</v>
      </c>
      <c r="J1730" s="6" t="str">
        <f>_xlfn.CONCAT("VE-",Tabela10[[#This Row],[KOD_PRODUKTU]])</f>
        <v>VE-901Z02-100</v>
      </c>
    </row>
    <row r="1731" spans="1:10" x14ac:dyDescent="0.25">
      <c r="A1731" s="1" t="s">
        <v>3598</v>
      </c>
      <c r="B1731" t="s">
        <v>3599</v>
      </c>
      <c r="C1731" s="1" t="s">
        <v>7</v>
      </c>
      <c r="D1731" t="s">
        <v>8</v>
      </c>
      <c r="E1731" t="s">
        <v>9</v>
      </c>
      <c r="F1731" t="s">
        <v>10</v>
      </c>
      <c r="G1731" t="s">
        <v>607</v>
      </c>
      <c r="H1731">
        <v>18.399999999999999</v>
      </c>
      <c r="I1731" s="6" t="str">
        <f>_xlfn.CONCAT("Art. złączny do produktu ",Tabela10[[#This Row],[KOD_PRODUKTU]])</f>
        <v>Art. złączny do produktu 901Z02-100</v>
      </c>
      <c r="J1731" s="6" t="str">
        <f>_xlfn.CONCAT("VE-",Tabela10[[#This Row],[KOD_PRODUKTU]])</f>
        <v>VE-901Z02-100</v>
      </c>
    </row>
    <row r="1732" spans="1:10" x14ac:dyDescent="0.25">
      <c r="A1732" s="7" t="s">
        <v>3603</v>
      </c>
      <c r="B1732" s="6" t="s">
        <v>3604</v>
      </c>
      <c r="C1732" s="7" t="s">
        <v>7</v>
      </c>
      <c r="D1732" s="6" t="s">
        <v>8</v>
      </c>
      <c r="E1732" s="6" t="s">
        <v>9</v>
      </c>
      <c r="F1732" s="6" t="s">
        <v>10</v>
      </c>
      <c r="G1732" s="6" t="s">
        <v>3605</v>
      </c>
      <c r="H1732" s="6">
        <v>3.86</v>
      </c>
      <c r="I1732" s="6" t="str">
        <f>_xlfn.CONCAT("Art. złączny do produktu ",Tabela10[[#This Row],[KOD_PRODUKTU]])</f>
        <v>Art. złączny do produktu 902O00-402</v>
      </c>
      <c r="J1732" s="6" t="str">
        <f>_xlfn.CONCAT("VE-",Tabela10[[#This Row],[KOD_PRODUKTU]])</f>
        <v>VE-902O00-402</v>
      </c>
    </row>
    <row r="1733" spans="1:10" x14ac:dyDescent="0.25">
      <c r="A1733" s="1" t="s">
        <v>3606</v>
      </c>
      <c r="B1733" t="s">
        <v>3607</v>
      </c>
      <c r="C1733" s="1" t="s">
        <v>3280</v>
      </c>
      <c r="D1733" t="s">
        <v>3281</v>
      </c>
      <c r="E1733" t="s">
        <v>876</v>
      </c>
      <c r="F1733" t="s">
        <v>5</v>
      </c>
      <c r="G1733" t="s">
        <v>50</v>
      </c>
      <c r="H1733">
        <v>12</v>
      </c>
      <c r="I1733" s="6" t="str">
        <f>_xlfn.CONCAT("Art. złączny do produktu ",Tabela10[[#This Row],[KOD_PRODUKTU]])</f>
        <v>Art. złączny do produktu 902O00-502</v>
      </c>
      <c r="J1733" s="6" t="str">
        <f>_xlfn.CONCAT("VE-",Tabela10[[#This Row],[KOD_PRODUKTU]])</f>
        <v>VE-902O00-502</v>
      </c>
    </row>
    <row r="1734" spans="1:10" x14ac:dyDescent="0.25">
      <c r="A1734" s="7" t="s">
        <v>3606</v>
      </c>
      <c r="B1734" s="6" t="s">
        <v>3607</v>
      </c>
      <c r="C1734" s="7" t="s">
        <v>541</v>
      </c>
      <c r="D1734" s="6" t="s">
        <v>542</v>
      </c>
      <c r="E1734" s="6" t="s">
        <v>9</v>
      </c>
      <c r="F1734" s="6" t="s">
        <v>10</v>
      </c>
      <c r="G1734" s="6" t="s">
        <v>3608</v>
      </c>
      <c r="H1734" s="6">
        <v>11.97</v>
      </c>
      <c r="I1734" s="6" t="str">
        <f>_xlfn.CONCAT("Art. złączny do produktu ",Tabela10[[#This Row],[KOD_PRODUKTU]])</f>
        <v>Art. złączny do produktu 902O00-502</v>
      </c>
      <c r="J1734" s="6" t="str">
        <f>_xlfn.CONCAT("VE-",Tabela10[[#This Row],[KOD_PRODUKTU]])</f>
        <v>VE-902O00-502</v>
      </c>
    </row>
    <row r="1735" spans="1:10" x14ac:dyDescent="0.25">
      <c r="A1735" s="1" t="s">
        <v>3609</v>
      </c>
      <c r="B1735" t="s">
        <v>3610</v>
      </c>
      <c r="C1735" s="1" t="s">
        <v>432</v>
      </c>
      <c r="D1735" t="s">
        <v>433</v>
      </c>
      <c r="E1735" t="s">
        <v>434</v>
      </c>
      <c r="F1735" t="s">
        <v>435</v>
      </c>
      <c r="G1735" t="s">
        <v>50</v>
      </c>
      <c r="H1735">
        <v>1.1000000000000001</v>
      </c>
      <c r="I1735" s="6" t="str">
        <f>_xlfn.CONCAT("Art. złączny do produktu ",Tabela10[[#This Row],[KOD_PRODUKTU]])</f>
        <v>Art. złączny do produktu 902O00-800</v>
      </c>
      <c r="J1735" s="6" t="str">
        <f>_xlfn.CONCAT("VE-",Tabela10[[#This Row],[KOD_PRODUKTU]])</f>
        <v>VE-902O00-800</v>
      </c>
    </row>
    <row r="1736" spans="1:10" x14ac:dyDescent="0.25">
      <c r="A1736" s="7" t="s">
        <v>3609</v>
      </c>
      <c r="B1736" s="6" t="s">
        <v>3610</v>
      </c>
      <c r="C1736" s="7" t="s">
        <v>7</v>
      </c>
      <c r="D1736" s="6" t="s">
        <v>8</v>
      </c>
      <c r="E1736" s="6" t="s">
        <v>9</v>
      </c>
      <c r="F1736" s="6" t="s">
        <v>10</v>
      </c>
      <c r="G1736" s="6" t="s">
        <v>3611</v>
      </c>
      <c r="H1736" s="6">
        <v>8.2100000000000009</v>
      </c>
      <c r="I1736" s="6" t="str">
        <f>_xlfn.CONCAT("Art. złączny do produktu ",Tabela10[[#This Row],[KOD_PRODUKTU]])</f>
        <v>Art. złączny do produktu 902O00-800</v>
      </c>
      <c r="J1736" s="6" t="str">
        <f>_xlfn.CONCAT("VE-",Tabela10[[#This Row],[KOD_PRODUKTU]])</f>
        <v>VE-902O00-800</v>
      </c>
    </row>
    <row r="1737" spans="1:10" x14ac:dyDescent="0.25">
      <c r="A1737" s="1" t="s">
        <v>3612</v>
      </c>
      <c r="B1737" t="s">
        <v>3613</v>
      </c>
      <c r="C1737" s="1" t="s">
        <v>432</v>
      </c>
      <c r="D1737" t="s">
        <v>433</v>
      </c>
      <c r="E1737" t="s">
        <v>434</v>
      </c>
      <c r="F1737" t="s">
        <v>435</v>
      </c>
      <c r="G1737" t="s">
        <v>50</v>
      </c>
      <c r="H1737">
        <v>1.1000000000000001</v>
      </c>
      <c r="I1737" s="6" t="str">
        <f>_xlfn.CONCAT("Art. złączny do produktu ",Tabela10[[#This Row],[KOD_PRODUKTU]])</f>
        <v>Art. złączny do produktu 902O00-801</v>
      </c>
      <c r="J1737" s="6" t="str">
        <f>_xlfn.CONCAT("VE-",Tabela10[[#This Row],[KOD_PRODUKTU]])</f>
        <v>VE-902O00-801</v>
      </c>
    </row>
    <row r="1738" spans="1:10" x14ac:dyDescent="0.25">
      <c r="A1738" s="7" t="s">
        <v>3612</v>
      </c>
      <c r="B1738" s="6" t="s">
        <v>3613</v>
      </c>
      <c r="C1738" s="7" t="s">
        <v>7</v>
      </c>
      <c r="D1738" s="6" t="s">
        <v>8</v>
      </c>
      <c r="E1738" s="6" t="s">
        <v>9</v>
      </c>
      <c r="F1738" s="6" t="s">
        <v>10</v>
      </c>
      <c r="G1738" s="6" t="s">
        <v>3611</v>
      </c>
      <c r="H1738" s="6">
        <v>8.2100000000000009</v>
      </c>
      <c r="I1738" s="6" t="str">
        <f>_xlfn.CONCAT("Art. złączny do produktu ",Tabela10[[#This Row],[KOD_PRODUKTU]])</f>
        <v>Art. złączny do produktu 902O00-801</v>
      </c>
      <c r="J1738" s="6" t="str">
        <f>_xlfn.CONCAT("VE-",Tabela10[[#This Row],[KOD_PRODUKTU]])</f>
        <v>VE-902O00-801</v>
      </c>
    </row>
    <row r="1739" spans="1:10" x14ac:dyDescent="0.25">
      <c r="A1739" s="1" t="s">
        <v>3614</v>
      </c>
      <c r="B1739" t="s">
        <v>3615</v>
      </c>
      <c r="C1739" s="1" t="s">
        <v>3616</v>
      </c>
      <c r="D1739" t="s">
        <v>3617</v>
      </c>
      <c r="E1739" t="s">
        <v>3618</v>
      </c>
      <c r="F1739" t="s">
        <v>121</v>
      </c>
      <c r="G1739" t="s">
        <v>50</v>
      </c>
      <c r="H1739">
        <v>3.79</v>
      </c>
      <c r="I1739" s="6" t="str">
        <f>_xlfn.CONCAT("Art. złączny do produktu ",Tabela10[[#This Row],[KOD_PRODUKTU]])</f>
        <v>Art. złączny do produktu 902O00-804</v>
      </c>
      <c r="J1739" s="6" t="str">
        <f>_xlfn.CONCAT("VE-",Tabela10[[#This Row],[KOD_PRODUKTU]])</f>
        <v>VE-902O00-804</v>
      </c>
    </row>
    <row r="1740" spans="1:10" x14ac:dyDescent="0.25">
      <c r="A1740" s="7" t="s">
        <v>3614</v>
      </c>
      <c r="B1740" s="6" t="s">
        <v>3615</v>
      </c>
      <c r="C1740" s="7" t="s">
        <v>41</v>
      </c>
      <c r="D1740" s="6" t="s">
        <v>42</v>
      </c>
      <c r="E1740" s="6" t="s">
        <v>513</v>
      </c>
      <c r="F1740" s="6" t="s">
        <v>5</v>
      </c>
      <c r="G1740" s="6" t="s">
        <v>3619</v>
      </c>
      <c r="H1740" s="6">
        <v>0.01</v>
      </c>
      <c r="I1740" s="6" t="str">
        <f>_xlfn.CONCAT("Art. złączny do produktu ",Tabela10[[#This Row],[KOD_PRODUKTU]])</f>
        <v>Art. złączny do produktu 902O00-804</v>
      </c>
      <c r="J1740" s="6" t="str">
        <f>_xlfn.CONCAT("VE-",Tabela10[[#This Row],[KOD_PRODUKTU]])</f>
        <v>VE-902O00-804</v>
      </c>
    </row>
    <row r="1741" spans="1:10" x14ac:dyDescent="0.25">
      <c r="A1741" s="1" t="s">
        <v>3614</v>
      </c>
      <c r="B1741" t="s">
        <v>3615</v>
      </c>
      <c r="C1741" s="1" t="s">
        <v>7</v>
      </c>
      <c r="D1741" t="s">
        <v>8</v>
      </c>
      <c r="E1741" t="s">
        <v>9</v>
      </c>
      <c r="F1741" t="s">
        <v>10</v>
      </c>
      <c r="G1741" t="s">
        <v>1200</v>
      </c>
      <c r="H1741">
        <v>3.87</v>
      </c>
      <c r="I1741" s="6" t="str">
        <f>_xlfn.CONCAT("Art. złączny do produktu ",Tabela10[[#This Row],[KOD_PRODUKTU]])</f>
        <v>Art. złączny do produktu 902O00-804</v>
      </c>
      <c r="J1741" s="6" t="str">
        <f>_xlfn.CONCAT("VE-",Tabela10[[#This Row],[KOD_PRODUKTU]])</f>
        <v>VE-902O00-804</v>
      </c>
    </row>
    <row r="1742" spans="1:10" x14ac:dyDescent="0.25">
      <c r="A1742" s="7" t="s">
        <v>3614</v>
      </c>
      <c r="B1742" s="6" t="s">
        <v>3615</v>
      </c>
      <c r="C1742" s="7" t="s">
        <v>7</v>
      </c>
      <c r="D1742" s="6" t="s">
        <v>8</v>
      </c>
      <c r="E1742" s="6" t="s">
        <v>9</v>
      </c>
      <c r="F1742" s="6" t="s">
        <v>10</v>
      </c>
      <c r="G1742" s="6" t="s">
        <v>3623</v>
      </c>
      <c r="H1742" s="6">
        <v>7.16</v>
      </c>
      <c r="I1742" s="6" t="str">
        <f>_xlfn.CONCAT("Art. złączny do produktu ",Tabela10[[#This Row],[KOD_PRODUKTU]])</f>
        <v>Art. złączny do produktu 902O00-804</v>
      </c>
      <c r="J1742" s="6" t="str">
        <f>_xlfn.CONCAT("VE-",Tabela10[[#This Row],[KOD_PRODUKTU]])</f>
        <v>VE-902O00-804</v>
      </c>
    </row>
    <row r="1743" spans="1:10" x14ac:dyDescent="0.25">
      <c r="A1743" s="1" t="s">
        <v>3624</v>
      </c>
      <c r="B1743" t="s">
        <v>3625</v>
      </c>
      <c r="C1743" s="1" t="s">
        <v>7</v>
      </c>
      <c r="D1743" t="s">
        <v>8</v>
      </c>
      <c r="E1743" t="s">
        <v>9</v>
      </c>
      <c r="F1743" t="s">
        <v>10</v>
      </c>
      <c r="G1743" t="s">
        <v>3047</v>
      </c>
      <c r="H1743">
        <v>4.83</v>
      </c>
      <c r="I1743" s="6" t="str">
        <f>_xlfn.CONCAT("Art. złączny do produktu ",Tabela10[[#This Row],[KOD_PRODUKTU]])</f>
        <v>Art. złączny do produktu 902O00-805</v>
      </c>
      <c r="J1743" s="6" t="str">
        <f>_xlfn.CONCAT("VE-",Tabela10[[#This Row],[KOD_PRODUKTU]])</f>
        <v>VE-902O00-805</v>
      </c>
    </row>
    <row r="1744" spans="1:10" x14ac:dyDescent="0.25">
      <c r="A1744" s="7" t="s">
        <v>3629</v>
      </c>
      <c r="B1744" s="6" t="s">
        <v>3630</v>
      </c>
      <c r="C1744" s="7" t="s">
        <v>432</v>
      </c>
      <c r="D1744" s="6" t="s">
        <v>433</v>
      </c>
      <c r="E1744" s="6" t="s">
        <v>434</v>
      </c>
      <c r="F1744" s="6" t="s">
        <v>435</v>
      </c>
      <c r="G1744" s="6" t="s">
        <v>50</v>
      </c>
      <c r="H1744" s="6">
        <v>1.1000000000000001</v>
      </c>
      <c r="I1744" s="6" t="str">
        <f>_xlfn.CONCAT("Art. złączny do produktu ",Tabela10[[#This Row],[KOD_PRODUKTU]])</f>
        <v>Art. złączny do produktu 902O03-102</v>
      </c>
      <c r="J1744" s="6" t="str">
        <f>_xlfn.CONCAT("VE-",Tabela10[[#This Row],[KOD_PRODUKTU]])</f>
        <v>VE-902O03-102</v>
      </c>
    </row>
    <row r="1745" spans="1:10" x14ac:dyDescent="0.25">
      <c r="A1745" s="1" t="s">
        <v>3629</v>
      </c>
      <c r="B1745" t="s">
        <v>3630</v>
      </c>
      <c r="C1745" s="1" t="s">
        <v>7</v>
      </c>
      <c r="D1745" t="s">
        <v>8</v>
      </c>
      <c r="E1745" t="s">
        <v>9</v>
      </c>
      <c r="F1745" t="s">
        <v>10</v>
      </c>
      <c r="G1745" t="s">
        <v>3631</v>
      </c>
      <c r="H1745">
        <v>8.66</v>
      </c>
      <c r="I1745" s="6" t="str">
        <f>_xlfn.CONCAT("Art. złączny do produktu ",Tabela10[[#This Row],[KOD_PRODUKTU]])</f>
        <v>Art. złączny do produktu 902O03-102</v>
      </c>
      <c r="J1745" s="6" t="str">
        <f>_xlfn.CONCAT("VE-",Tabela10[[#This Row],[KOD_PRODUKTU]])</f>
        <v>VE-902O03-102</v>
      </c>
    </row>
    <row r="1746" spans="1:10" x14ac:dyDescent="0.25">
      <c r="A1746" s="7" t="s">
        <v>3632</v>
      </c>
      <c r="B1746" s="6" t="s">
        <v>3633</v>
      </c>
      <c r="C1746" s="7" t="s">
        <v>3288</v>
      </c>
      <c r="D1746" s="6" t="s">
        <v>3289</v>
      </c>
      <c r="E1746" s="6" t="s">
        <v>1970</v>
      </c>
      <c r="F1746" s="6" t="s">
        <v>5</v>
      </c>
      <c r="G1746" s="6" t="s">
        <v>3564</v>
      </c>
      <c r="H1746" s="6">
        <v>0.1</v>
      </c>
      <c r="I1746" s="6" t="str">
        <f>_xlfn.CONCAT("Art. złączny do produktu ",Tabela10[[#This Row],[KOD_PRODUKTU]])</f>
        <v>Art. złączny do produktu 902O07-700</v>
      </c>
      <c r="J1746" s="6" t="str">
        <f>_xlfn.CONCAT("VE-",Tabela10[[#This Row],[KOD_PRODUKTU]])</f>
        <v>VE-902O07-700</v>
      </c>
    </row>
    <row r="1747" spans="1:10" x14ac:dyDescent="0.25">
      <c r="A1747" s="1" t="s">
        <v>3632</v>
      </c>
      <c r="B1747" t="s">
        <v>3633</v>
      </c>
      <c r="C1747" s="1" t="s">
        <v>7</v>
      </c>
      <c r="D1747" t="s">
        <v>8</v>
      </c>
      <c r="E1747" t="s">
        <v>9</v>
      </c>
      <c r="F1747" t="s">
        <v>10</v>
      </c>
      <c r="G1747" t="s">
        <v>2230</v>
      </c>
      <c r="H1747">
        <v>0.99</v>
      </c>
      <c r="I1747" s="6" t="str">
        <f>_xlfn.CONCAT("Art. złączny do produktu ",Tabela10[[#This Row],[KOD_PRODUKTU]])</f>
        <v>Art. złączny do produktu 902O07-700</v>
      </c>
      <c r="J1747" s="6" t="str">
        <f>_xlfn.CONCAT("VE-",Tabela10[[#This Row],[KOD_PRODUKTU]])</f>
        <v>VE-902O07-700</v>
      </c>
    </row>
    <row r="1748" spans="1:10" x14ac:dyDescent="0.25">
      <c r="A1748" s="7" t="s">
        <v>3634</v>
      </c>
      <c r="B1748" s="6" t="s">
        <v>3635</v>
      </c>
      <c r="C1748" s="7" t="s">
        <v>1249</v>
      </c>
      <c r="D1748" s="6" t="s">
        <v>1250</v>
      </c>
      <c r="E1748" s="6" t="s">
        <v>1251</v>
      </c>
      <c r="F1748" s="6" t="s">
        <v>1252</v>
      </c>
      <c r="G1748" s="6" t="s">
        <v>3636</v>
      </c>
      <c r="H1748" s="6">
        <v>8.2799999999999994</v>
      </c>
      <c r="I1748" s="6" t="str">
        <f>_xlfn.CONCAT("Art. złączny do produktu ",Tabela10[[#This Row],[KOD_PRODUKTU]])</f>
        <v>Art. złączny do produktu 902O11-700</v>
      </c>
      <c r="J1748" s="6" t="str">
        <f>_xlfn.CONCAT("VE-",Tabela10[[#This Row],[KOD_PRODUKTU]])</f>
        <v>VE-902O11-700</v>
      </c>
    </row>
    <row r="1749" spans="1:10" x14ac:dyDescent="0.25">
      <c r="A1749" s="1" t="s">
        <v>3634</v>
      </c>
      <c r="B1749" t="s">
        <v>3635</v>
      </c>
      <c r="C1749" s="1" t="s">
        <v>541</v>
      </c>
      <c r="D1749" t="s">
        <v>542</v>
      </c>
      <c r="E1749" t="s">
        <v>9</v>
      </c>
      <c r="F1749" t="s">
        <v>10</v>
      </c>
      <c r="G1749" t="s">
        <v>3637</v>
      </c>
      <c r="H1749">
        <v>33.729999999999997</v>
      </c>
      <c r="I1749" s="6" t="str">
        <f>_xlfn.CONCAT("Art. złączny do produktu ",Tabela10[[#This Row],[KOD_PRODUKTU]])</f>
        <v>Art. złączny do produktu 902O11-700</v>
      </c>
      <c r="J1749" s="6" t="str">
        <f>_xlfn.CONCAT("VE-",Tabela10[[#This Row],[KOD_PRODUKTU]])</f>
        <v>VE-902O11-700</v>
      </c>
    </row>
    <row r="1750" spans="1:10" x14ac:dyDescent="0.25">
      <c r="A1750" s="7" t="s">
        <v>3638</v>
      </c>
      <c r="B1750" s="6" t="s">
        <v>3639</v>
      </c>
      <c r="C1750" s="7" t="s">
        <v>1249</v>
      </c>
      <c r="D1750" s="6" t="s">
        <v>1250</v>
      </c>
      <c r="E1750" s="6" t="s">
        <v>1251</v>
      </c>
      <c r="F1750" s="6" t="s">
        <v>1252</v>
      </c>
      <c r="G1750" s="6" t="s">
        <v>3640</v>
      </c>
      <c r="H1750" s="6">
        <v>216</v>
      </c>
      <c r="I1750" s="6" t="str">
        <f>_xlfn.CONCAT("Art. złączny do produktu ",Tabela10[[#This Row],[KOD_PRODUKTU]])</f>
        <v>Art. złączny do produktu 902O12-310</v>
      </c>
      <c r="J1750" s="6" t="str">
        <f>_xlfn.CONCAT("VE-",Tabela10[[#This Row],[KOD_PRODUKTU]])</f>
        <v>VE-902O12-310</v>
      </c>
    </row>
    <row r="1751" spans="1:10" x14ac:dyDescent="0.25">
      <c r="A1751" s="1" t="s">
        <v>3638</v>
      </c>
      <c r="B1751" t="s">
        <v>3639</v>
      </c>
      <c r="C1751" s="1" t="s">
        <v>541</v>
      </c>
      <c r="D1751" t="s">
        <v>542</v>
      </c>
      <c r="E1751" t="s">
        <v>9</v>
      </c>
      <c r="F1751" t="s">
        <v>10</v>
      </c>
      <c r="G1751" t="s">
        <v>3641</v>
      </c>
      <c r="H1751">
        <v>84.18</v>
      </c>
      <c r="I1751" s="6" t="str">
        <f>_xlfn.CONCAT("Art. złączny do produktu ",Tabela10[[#This Row],[KOD_PRODUKTU]])</f>
        <v>Art. złączny do produktu 902O12-310</v>
      </c>
      <c r="J1751" s="6" t="str">
        <f>_xlfn.CONCAT("VE-",Tabela10[[#This Row],[KOD_PRODUKTU]])</f>
        <v>VE-902O12-310</v>
      </c>
    </row>
    <row r="1752" spans="1:10" x14ac:dyDescent="0.25">
      <c r="A1752" s="7" t="s">
        <v>3638</v>
      </c>
      <c r="B1752" s="6" t="s">
        <v>3639</v>
      </c>
      <c r="C1752" s="7" t="s">
        <v>7</v>
      </c>
      <c r="D1752" s="6" t="s">
        <v>8</v>
      </c>
      <c r="E1752" s="6" t="s">
        <v>9</v>
      </c>
      <c r="F1752" s="6" t="s">
        <v>10</v>
      </c>
      <c r="G1752" s="6" t="s">
        <v>3642</v>
      </c>
      <c r="H1752" s="6">
        <v>32.200000000000003</v>
      </c>
      <c r="I1752" s="6" t="str">
        <f>_xlfn.CONCAT("Art. złączny do produktu ",Tabela10[[#This Row],[KOD_PRODUKTU]])</f>
        <v>Art. złączny do produktu 902O12-310</v>
      </c>
      <c r="J1752" s="6" t="str">
        <f>_xlfn.CONCAT("VE-",Tabela10[[#This Row],[KOD_PRODUKTU]])</f>
        <v>VE-902O12-310</v>
      </c>
    </row>
    <row r="1753" spans="1:10" x14ac:dyDescent="0.25">
      <c r="A1753" s="1" t="s">
        <v>3643</v>
      </c>
      <c r="B1753" t="s">
        <v>3644</v>
      </c>
      <c r="C1753" s="1" t="s">
        <v>1249</v>
      </c>
      <c r="D1753" t="s">
        <v>1250</v>
      </c>
      <c r="E1753" t="s">
        <v>1251</v>
      </c>
      <c r="F1753" t="s">
        <v>1252</v>
      </c>
      <c r="G1753" t="s">
        <v>3645</v>
      </c>
      <c r="H1753">
        <v>108</v>
      </c>
      <c r="I1753" s="6" t="str">
        <f>_xlfn.CONCAT("Art. złączny do produktu ",Tabela10[[#This Row],[KOD_PRODUKTU]])</f>
        <v>Art. złączny do produktu 902O12-320</v>
      </c>
      <c r="J1753" s="6" t="str">
        <f>_xlfn.CONCAT("VE-",Tabela10[[#This Row],[KOD_PRODUKTU]])</f>
        <v>VE-902O12-320</v>
      </c>
    </row>
    <row r="1754" spans="1:10" x14ac:dyDescent="0.25">
      <c r="A1754" s="7" t="s">
        <v>3643</v>
      </c>
      <c r="B1754" s="6" t="s">
        <v>3644</v>
      </c>
      <c r="C1754" s="7" t="s">
        <v>7</v>
      </c>
      <c r="D1754" s="6" t="s">
        <v>8</v>
      </c>
      <c r="E1754" s="6" t="s">
        <v>9</v>
      </c>
      <c r="F1754" s="6" t="s">
        <v>10</v>
      </c>
      <c r="G1754" s="6" t="s">
        <v>3646</v>
      </c>
      <c r="H1754" s="6">
        <v>126.5</v>
      </c>
      <c r="I1754" s="6" t="str">
        <f>_xlfn.CONCAT("Art. złączny do produktu ",Tabela10[[#This Row],[KOD_PRODUKTU]])</f>
        <v>Art. złączny do produktu 902O12-320</v>
      </c>
      <c r="J1754" s="6" t="str">
        <f>_xlfn.CONCAT("VE-",Tabela10[[#This Row],[KOD_PRODUKTU]])</f>
        <v>VE-902O12-320</v>
      </c>
    </row>
    <row r="1755" spans="1:10" x14ac:dyDescent="0.25">
      <c r="A1755" s="1" t="s">
        <v>3643</v>
      </c>
      <c r="B1755" t="s">
        <v>3644</v>
      </c>
      <c r="C1755" s="1" t="s">
        <v>7</v>
      </c>
      <c r="D1755" t="s">
        <v>8</v>
      </c>
      <c r="E1755" t="s">
        <v>9</v>
      </c>
      <c r="F1755" t="s">
        <v>10</v>
      </c>
      <c r="G1755" t="s">
        <v>3647</v>
      </c>
      <c r="H1755">
        <v>67.62</v>
      </c>
      <c r="I1755" s="6" t="str">
        <f>_xlfn.CONCAT("Art. złączny do produktu ",Tabela10[[#This Row],[KOD_PRODUKTU]])</f>
        <v>Art. złączny do produktu 902O12-320</v>
      </c>
      <c r="J1755" s="6" t="str">
        <f>_xlfn.CONCAT("VE-",Tabela10[[#This Row],[KOD_PRODUKTU]])</f>
        <v>VE-902O12-320</v>
      </c>
    </row>
    <row r="1756" spans="1:10" x14ac:dyDescent="0.25">
      <c r="A1756" s="7" t="s">
        <v>3648</v>
      </c>
      <c r="B1756" s="6" t="s">
        <v>3649</v>
      </c>
      <c r="C1756" s="7" t="s">
        <v>1249</v>
      </c>
      <c r="D1756" s="6" t="s">
        <v>1250</v>
      </c>
      <c r="E1756" s="6" t="s">
        <v>1251</v>
      </c>
      <c r="F1756" s="6" t="s">
        <v>1252</v>
      </c>
      <c r="G1756" s="6" t="s">
        <v>3650</v>
      </c>
      <c r="H1756" s="6">
        <v>7.2</v>
      </c>
      <c r="I1756" s="6" t="str">
        <f>_xlfn.CONCAT("Art. złączny do produktu ",Tabela10[[#This Row],[KOD_PRODUKTU]])</f>
        <v>Art. złączny do produktu 902O12-810</v>
      </c>
      <c r="J1756" s="6" t="str">
        <f>_xlfn.CONCAT("VE-",Tabela10[[#This Row],[KOD_PRODUKTU]])</f>
        <v>VE-902O12-810</v>
      </c>
    </row>
    <row r="1757" spans="1:10" x14ac:dyDescent="0.25">
      <c r="A1757" s="1" t="s">
        <v>3648</v>
      </c>
      <c r="B1757" t="s">
        <v>3649</v>
      </c>
      <c r="C1757" s="1" t="s">
        <v>7</v>
      </c>
      <c r="D1757" t="s">
        <v>8</v>
      </c>
      <c r="E1757" t="s">
        <v>9</v>
      </c>
      <c r="F1757" t="s">
        <v>10</v>
      </c>
      <c r="G1757" t="s">
        <v>1130</v>
      </c>
      <c r="H1757">
        <v>34.5</v>
      </c>
      <c r="I1757" s="6" t="str">
        <f>_xlfn.CONCAT("Art. złączny do produktu ",Tabela10[[#This Row],[KOD_PRODUKTU]])</f>
        <v>Art. złączny do produktu 902O12-810</v>
      </c>
      <c r="J1757" s="6" t="str">
        <f>_xlfn.CONCAT("VE-",Tabela10[[#This Row],[KOD_PRODUKTU]])</f>
        <v>VE-902O12-810</v>
      </c>
    </row>
    <row r="1758" spans="1:10" x14ac:dyDescent="0.25">
      <c r="A1758" s="7" t="s">
        <v>3651</v>
      </c>
      <c r="B1758" s="6" t="s">
        <v>3652</v>
      </c>
      <c r="C1758" s="7" t="s">
        <v>1487</v>
      </c>
      <c r="D1758" s="6" t="s">
        <v>1488</v>
      </c>
      <c r="E1758" s="6" t="s">
        <v>31</v>
      </c>
      <c r="F1758" s="6" t="s">
        <v>5</v>
      </c>
      <c r="G1758" s="6" t="s">
        <v>3653</v>
      </c>
      <c r="H1758" s="6">
        <v>1.4</v>
      </c>
      <c r="I1758" s="6" t="str">
        <f>_xlfn.CONCAT("Art. złączny do produktu ",Tabela10[[#This Row],[KOD_PRODUKTU]])</f>
        <v>Art. złączny do produktu 902O19-215</v>
      </c>
      <c r="J1758" s="6" t="str">
        <f>_xlfn.CONCAT("VE-",Tabela10[[#This Row],[KOD_PRODUKTU]])</f>
        <v>VE-902O19-215</v>
      </c>
    </row>
    <row r="1759" spans="1:10" x14ac:dyDescent="0.25">
      <c r="A1759" s="1" t="s">
        <v>3651</v>
      </c>
      <c r="B1759" t="s">
        <v>3652</v>
      </c>
      <c r="C1759" s="1" t="s">
        <v>541</v>
      </c>
      <c r="D1759" t="s">
        <v>542</v>
      </c>
      <c r="E1759" t="s">
        <v>9</v>
      </c>
      <c r="F1759" t="s">
        <v>10</v>
      </c>
      <c r="G1759" t="s">
        <v>2958</v>
      </c>
      <c r="H1759">
        <v>3.97</v>
      </c>
      <c r="I1759" s="6" t="str">
        <f>_xlfn.CONCAT("Art. złączny do produktu ",Tabela10[[#This Row],[KOD_PRODUKTU]])</f>
        <v>Art. złączny do produktu 902O19-215</v>
      </c>
      <c r="J1759" s="6" t="str">
        <f>_xlfn.CONCAT("VE-",Tabela10[[#This Row],[KOD_PRODUKTU]])</f>
        <v>VE-902O19-215</v>
      </c>
    </row>
    <row r="1760" spans="1:10" x14ac:dyDescent="0.25">
      <c r="A1760" s="7" t="s">
        <v>3654</v>
      </c>
      <c r="B1760" s="6" t="s">
        <v>3655</v>
      </c>
      <c r="C1760" s="7" t="s">
        <v>1162</v>
      </c>
      <c r="D1760" s="6" t="s">
        <v>1163</v>
      </c>
      <c r="E1760" s="6" t="s">
        <v>1164</v>
      </c>
      <c r="F1760" s="6" t="s">
        <v>5</v>
      </c>
      <c r="G1760" s="6" t="s">
        <v>3656</v>
      </c>
      <c r="H1760" s="6">
        <v>0.24</v>
      </c>
      <c r="I1760" s="6" t="str">
        <f>_xlfn.CONCAT("Art. złączny do produktu ",Tabela10[[#This Row],[KOD_PRODUKTU]])</f>
        <v>Art. złączny do produktu 902O19-221</v>
      </c>
      <c r="J1760" s="6" t="str">
        <f>_xlfn.CONCAT("VE-",Tabela10[[#This Row],[KOD_PRODUKTU]])</f>
        <v>VE-902O19-221</v>
      </c>
    </row>
    <row r="1761" spans="1:10" x14ac:dyDescent="0.25">
      <c r="A1761" s="1" t="s">
        <v>3654</v>
      </c>
      <c r="B1761" t="s">
        <v>3655</v>
      </c>
      <c r="C1761" s="1" t="s">
        <v>541</v>
      </c>
      <c r="D1761" t="s">
        <v>542</v>
      </c>
      <c r="E1761" t="s">
        <v>9</v>
      </c>
      <c r="F1761" t="s">
        <v>10</v>
      </c>
      <c r="G1761" t="s">
        <v>1200</v>
      </c>
      <c r="H1761">
        <v>3.87</v>
      </c>
      <c r="I1761" s="6" t="str">
        <f>_xlfn.CONCAT("Art. złączny do produktu ",Tabela10[[#This Row],[KOD_PRODUKTU]])</f>
        <v>Art. złączny do produktu 902O19-221</v>
      </c>
      <c r="J1761" s="6" t="str">
        <f>_xlfn.CONCAT("VE-",Tabela10[[#This Row],[KOD_PRODUKTU]])</f>
        <v>VE-902O19-221</v>
      </c>
    </row>
    <row r="1762" spans="1:10" x14ac:dyDescent="0.25">
      <c r="A1762" s="7" t="s">
        <v>3657</v>
      </c>
      <c r="B1762" s="6" t="s">
        <v>3658</v>
      </c>
      <c r="C1762" s="7" t="s">
        <v>1162</v>
      </c>
      <c r="D1762" s="6" t="s">
        <v>1163</v>
      </c>
      <c r="E1762" s="6" t="s">
        <v>1164</v>
      </c>
      <c r="F1762" s="6" t="s">
        <v>5</v>
      </c>
      <c r="G1762" s="6" t="s">
        <v>3659</v>
      </c>
      <c r="H1762" s="6">
        <v>0.54</v>
      </c>
      <c r="I1762" s="6" t="str">
        <f>_xlfn.CONCAT("Art. złączny do produktu ",Tabela10[[#This Row],[KOD_PRODUKTU]])</f>
        <v>Art. złączny do produktu 902O19-240</v>
      </c>
      <c r="J1762" s="6" t="str">
        <f>_xlfn.CONCAT("VE-",Tabela10[[#This Row],[KOD_PRODUKTU]])</f>
        <v>VE-902O19-240</v>
      </c>
    </row>
    <row r="1763" spans="1:10" x14ac:dyDescent="0.25">
      <c r="A1763" s="1" t="s">
        <v>3657</v>
      </c>
      <c r="B1763" t="s">
        <v>3658</v>
      </c>
      <c r="C1763" s="1" t="s">
        <v>541</v>
      </c>
      <c r="D1763" t="s">
        <v>542</v>
      </c>
      <c r="E1763" t="s">
        <v>9</v>
      </c>
      <c r="F1763" t="s">
        <v>10</v>
      </c>
      <c r="G1763" t="s">
        <v>19</v>
      </c>
      <c r="H1763">
        <v>4.5999999999999996</v>
      </c>
      <c r="I1763" s="6" t="str">
        <f>_xlfn.CONCAT("Art. złączny do produktu ",Tabela10[[#This Row],[KOD_PRODUKTU]])</f>
        <v>Art. złączny do produktu 902O19-240</v>
      </c>
      <c r="J1763" s="6" t="str">
        <f>_xlfn.CONCAT("VE-",Tabela10[[#This Row],[KOD_PRODUKTU]])</f>
        <v>VE-902O19-240</v>
      </c>
    </row>
    <row r="1764" spans="1:10" x14ac:dyDescent="0.25">
      <c r="A1764" s="7" t="s">
        <v>3660</v>
      </c>
      <c r="B1764" s="6" t="s">
        <v>3661</v>
      </c>
      <c r="C1764" s="7" t="s">
        <v>1508</v>
      </c>
      <c r="D1764" s="6" t="s">
        <v>1509</v>
      </c>
      <c r="E1764" s="6" t="s">
        <v>1017</v>
      </c>
      <c r="F1764" s="6" t="s">
        <v>5</v>
      </c>
      <c r="G1764" s="6" t="s">
        <v>3662</v>
      </c>
      <c r="H1764" s="6">
        <v>4.2</v>
      </c>
      <c r="I1764" s="6" t="str">
        <f>_xlfn.CONCAT("Art. złączny do produktu ",Tabela10[[#This Row],[KOD_PRODUKTU]])</f>
        <v>Art. złączny do produktu 902O22-120</v>
      </c>
      <c r="J1764" s="6" t="str">
        <f>_xlfn.CONCAT("VE-",Tabela10[[#This Row],[KOD_PRODUKTU]])</f>
        <v>VE-902O22-120</v>
      </c>
    </row>
    <row r="1765" spans="1:10" x14ac:dyDescent="0.25">
      <c r="A1765" s="1" t="s">
        <v>3660</v>
      </c>
      <c r="B1765" t="s">
        <v>3661</v>
      </c>
      <c r="C1765" s="1" t="s">
        <v>7</v>
      </c>
      <c r="D1765" t="s">
        <v>8</v>
      </c>
      <c r="E1765" t="s">
        <v>9</v>
      </c>
      <c r="F1765" t="s">
        <v>10</v>
      </c>
      <c r="G1765" t="s">
        <v>1254</v>
      </c>
      <c r="H1765">
        <v>16.100000000000001</v>
      </c>
      <c r="I1765" s="6" t="str">
        <f>_xlfn.CONCAT("Art. złączny do produktu ",Tabela10[[#This Row],[KOD_PRODUKTU]])</f>
        <v>Art. złączny do produktu 902O22-120</v>
      </c>
      <c r="J1765" s="6" t="str">
        <f>_xlfn.CONCAT("VE-",Tabela10[[#This Row],[KOD_PRODUKTU]])</f>
        <v>VE-902O22-120</v>
      </c>
    </row>
    <row r="1766" spans="1:10" x14ac:dyDescent="0.25">
      <c r="A1766" s="7" t="s">
        <v>3663</v>
      </c>
      <c r="B1766" s="6" t="s">
        <v>3664</v>
      </c>
      <c r="C1766" s="7" t="s">
        <v>3665</v>
      </c>
      <c r="D1766" s="6" t="s">
        <v>3666</v>
      </c>
      <c r="E1766" s="6" t="s">
        <v>83</v>
      </c>
      <c r="F1766" s="6" t="s">
        <v>17</v>
      </c>
      <c r="G1766" s="6" t="s">
        <v>3267</v>
      </c>
      <c r="H1766" s="6">
        <v>1.22</v>
      </c>
      <c r="I1766" s="6" t="str">
        <f>_xlfn.CONCAT("Art. złączny do produktu ",Tabela10[[#This Row],[KOD_PRODUKTU]])</f>
        <v>Art. złączny do produktu 902U12-100</v>
      </c>
      <c r="J1766" s="6" t="str">
        <f>_xlfn.CONCAT("VE-",Tabela10[[#This Row],[KOD_PRODUKTU]])</f>
        <v>VE-902U12-100</v>
      </c>
    </row>
    <row r="1767" spans="1:10" x14ac:dyDescent="0.25">
      <c r="A1767" s="1" t="s">
        <v>3663</v>
      </c>
      <c r="B1767" t="s">
        <v>3664</v>
      </c>
      <c r="C1767" s="1" t="s">
        <v>432</v>
      </c>
      <c r="D1767" t="s">
        <v>433</v>
      </c>
      <c r="E1767" t="s">
        <v>434</v>
      </c>
      <c r="F1767" t="s">
        <v>435</v>
      </c>
      <c r="G1767" t="s">
        <v>92</v>
      </c>
      <c r="H1767">
        <v>2.2000000000000002</v>
      </c>
      <c r="I1767" s="6" t="str">
        <f>_xlfn.CONCAT("Art. złączny do produktu ",Tabela10[[#This Row],[KOD_PRODUKTU]])</f>
        <v>Art. złączny do produktu 902U12-100</v>
      </c>
      <c r="J1767" s="6" t="str">
        <f>_xlfn.CONCAT("VE-",Tabela10[[#This Row],[KOD_PRODUKTU]])</f>
        <v>VE-902U12-100</v>
      </c>
    </row>
    <row r="1768" spans="1:10" x14ac:dyDescent="0.25">
      <c r="A1768" s="7" t="s">
        <v>3663</v>
      </c>
      <c r="B1768" s="6" t="s">
        <v>3664</v>
      </c>
      <c r="C1768" s="7" t="s">
        <v>541</v>
      </c>
      <c r="D1768" s="6" t="s">
        <v>542</v>
      </c>
      <c r="E1768" s="6" t="s">
        <v>9</v>
      </c>
      <c r="F1768" s="6" t="s">
        <v>10</v>
      </c>
      <c r="G1768" s="6" t="s">
        <v>3427</v>
      </c>
      <c r="H1768" s="6">
        <v>9.66</v>
      </c>
      <c r="I1768" s="6" t="str">
        <f>_xlfn.CONCAT("Art. złączny do produktu ",Tabela10[[#This Row],[KOD_PRODUKTU]])</f>
        <v>Art. złączny do produktu 902U12-100</v>
      </c>
      <c r="J1768" s="6" t="str">
        <f>_xlfn.CONCAT("VE-",Tabela10[[#This Row],[KOD_PRODUKTU]])</f>
        <v>VE-902U12-100</v>
      </c>
    </row>
    <row r="1769" spans="1:10" x14ac:dyDescent="0.25">
      <c r="A1769" s="1" t="s">
        <v>3667</v>
      </c>
      <c r="B1769" t="s">
        <v>3668</v>
      </c>
      <c r="C1769" s="1" t="s">
        <v>3669</v>
      </c>
      <c r="D1769" t="s">
        <v>3670</v>
      </c>
      <c r="E1769" t="s">
        <v>2854</v>
      </c>
      <c r="F1769" t="s">
        <v>5</v>
      </c>
      <c r="G1769" t="s">
        <v>3671</v>
      </c>
      <c r="H1769">
        <v>0.42</v>
      </c>
      <c r="I1769" s="6" t="str">
        <f>_xlfn.CONCAT("Art. złączny do produktu ",Tabela10[[#This Row],[KOD_PRODUKTU]])</f>
        <v>Art. złączny do produktu 902U12-200</v>
      </c>
      <c r="J1769" s="6" t="str">
        <f>_xlfn.CONCAT("VE-",Tabela10[[#This Row],[KOD_PRODUKTU]])</f>
        <v>VE-902U12-200</v>
      </c>
    </row>
    <row r="1770" spans="1:10" x14ac:dyDescent="0.25">
      <c r="A1770" s="7" t="s">
        <v>3667</v>
      </c>
      <c r="B1770" s="6" t="s">
        <v>3668</v>
      </c>
      <c r="C1770" s="7" t="s">
        <v>541</v>
      </c>
      <c r="D1770" s="6" t="s">
        <v>542</v>
      </c>
      <c r="E1770" s="6" t="s">
        <v>9</v>
      </c>
      <c r="F1770" s="6" t="s">
        <v>10</v>
      </c>
      <c r="G1770" s="6" t="s">
        <v>3047</v>
      </c>
      <c r="H1770" s="6">
        <v>4.83</v>
      </c>
      <c r="I1770" s="6" t="str">
        <f>_xlfn.CONCAT("Art. złączny do produktu ",Tabela10[[#This Row],[KOD_PRODUKTU]])</f>
        <v>Art. złączny do produktu 902U12-200</v>
      </c>
      <c r="J1770" s="6" t="str">
        <f>_xlfn.CONCAT("VE-",Tabela10[[#This Row],[KOD_PRODUKTU]])</f>
        <v>VE-902U12-200</v>
      </c>
    </row>
    <row r="1771" spans="1:10" x14ac:dyDescent="0.25">
      <c r="A1771" s="1" t="s">
        <v>3672</v>
      </c>
      <c r="B1771" t="s">
        <v>3673</v>
      </c>
      <c r="C1771" s="1" t="s">
        <v>1862</v>
      </c>
      <c r="D1771" t="s">
        <v>1863</v>
      </c>
      <c r="E1771" t="s">
        <v>3549</v>
      </c>
      <c r="F1771" t="s">
        <v>121</v>
      </c>
      <c r="G1771" t="s">
        <v>3674</v>
      </c>
      <c r="H1771">
        <v>2.42</v>
      </c>
      <c r="I1771" s="6" t="str">
        <f>_xlfn.CONCAT("Art. złączny do produktu ",Tabela10[[#This Row],[KOD_PRODUKTU]])</f>
        <v>Art. złączny do produktu 902U12-300</v>
      </c>
      <c r="J1771" s="6" t="str">
        <f>_xlfn.CONCAT("VE-",Tabela10[[#This Row],[KOD_PRODUKTU]])</f>
        <v>VE-902U12-300</v>
      </c>
    </row>
    <row r="1772" spans="1:10" x14ac:dyDescent="0.25">
      <c r="A1772" s="7" t="s">
        <v>3672</v>
      </c>
      <c r="B1772" s="6" t="s">
        <v>3673</v>
      </c>
      <c r="C1772" s="7" t="s">
        <v>432</v>
      </c>
      <c r="D1772" s="6" t="s">
        <v>433</v>
      </c>
      <c r="E1772" s="6" t="s">
        <v>434</v>
      </c>
      <c r="F1772" s="6" t="s">
        <v>435</v>
      </c>
      <c r="G1772" s="6" t="s">
        <v>50</v>
      </c>
      <c r="H1772" s="6">
        <v>1.1000000000000001</v>
      </c>
      <c r="I1772" s="6" t="str">
        <f>_xlfn.CONCAT("Art. złączny do produktu ",Tabela10[[#This Row],[KOD_PRODUKTU]])</f>
        <v>Art. złączny do produktu 902U12-300</v>
      </c>
      <c r="J1772" s="6" t="str">
        <f>_xlfn.CONCAT("VE-",Tabela10[[#This Row],[KOD_PRODUKTU]])</f>
        <v>VE-902U12-300</v>
      </c>
    </row>
    <row r="1773" spans="1:10" x14ac:dyDescent="0.25">
      <c r="A1773" s="1" t="s">
        <v>3672</v>
      </c>
      <c r="B1773" t="s">
        <v>3673</v>
      </c>
      <c r="C1773" s="1" t="s">
        <v>541</v>
      </c>
      <c r="D1773" t="s">
        <v>542</v>
      </c>
      <c r="E1773" t="s">
        <v>9</v>
      </c>
      <c r="F1773" t="s">
        <v>10</v>
      </c>
      <c r="G1773" t="s">
        <v>3675</v>
      </c>
      <c r="H1773">
        <v>2.4500000000000002</v>
      </c>
      <c r="I1773" s="6" t="str">
        <f>_xlfn.CONCAT("Art. złączny do produktu ",Tabela10[[#This Row],[KOD_PRODUKTU]])</f>
        <v>Art. złączny do produktu 902U12-300</v>
      </c>
      <c r="J1773" s="6" t="str">
        <f>_xlfn.CONCAT("VE-",Tabela10[[#This Row],[KOD_PRODUKTU]])</f>
        <v>VE-902U12-300</v>
      </c>
    </row>
    <row r="1774" spans="1:10" x14ac:dyDescent="0.25">
      <c r="A1774" s="7" t="s">
        <v>3676</v>
      </c>
      <c r="B1774" s="6" t="s">
        <v>3677</v>
      </c>
      <c r="C1774" s="7" t="s">
        <v>3678</v>
      </c>
      <c r="D1774" s="6" t="s">
        <v>3679</v>
      </c>
      <c r="E1774" s="6" t="s">
        <v>3365</v>
      </c>
      <c r="F1774" s="6" t="s">
        <v>17</v>
      </c>
      <c r="G1774" s="6" t="s">
        <v>3680</v>
      </c>
      <c r="H1774" s="6">
        <v>3.17</v>
      </c>
      <c r="I1774" s="6" t="str">
        <f>_xlfn.CONCAT("Art. złączny do produktu ",Tabela10[[#This Row],[KOD_PRODUKTU]])</f>
        <v>Art. złączny do produktu 902U12-400</v>
      </c>
      <c r="J1774" s="6" t="str">
        <f>_xlfn.CONCAT("VE-",Tabela10[[#This Row],[KOD_PRODUKTU]])</f>
        <v>VE-902U12-400</v>
      </c>
    </row>
    <row r="1775" spans="1:10" x14ac:dyDescent="0.25">
      <c r="A1775" s="1" t="s">
        <v>3676</v>
      </c>
      <c r="B1775" t="s">
        <v>3677</v>
      </c>
      <c r="C1775" s="1" t="s">
        <v>432</v>
      </c>
      <c r="D1775" t="s">
        <v>433</v>
      </c>
      <c r="E1775" t="s">
        <v>434</v>
      </c>
      <c r="F1775" t="s">
        <v>435</v>
      </c>
      <c r="G1775" t="s">
        <v>50</v>
      </c>
      <c r="H1775">
        <v>1.1000000000000001</v>
      </c>
      <c r="I1775" s="6" t="str">
        <f>_xlfn.CONCAT("Art. złączny do produktu ",Tabela10[[#This Row],[KOD_PRODUKTU]])</f>
        <v>Art. złączny do produktu 902U12-400</v>
      </c>
      <c r="J1775" s="6" t="str">
        <f>_xlfn.CONCAT("VE-",Tabela10[[#This Row],[KOD_PRODUKTU]])</f>
        <v>VE-902U12-400</v>
      </c>
    </row>
    <row r="1776" spans="1:10" x14ac:dyDescent="0.25">
      <c r="A1776" s="7" t="s">
        <v>3676</v>
      </c>
      <c r="B1776" s="6" t="s">
        <v>3677</v>
      </c>
      <c r="C1776" s="7" t="s">
        <v>541</v>
      </c>
      <c r="D1776" s="6" t="s">
        <v>542</v>
      </c>
      <c r="E1776" s="6" t="s">
        <v>9</v>
      </c>
      <c r="F1776" s="6" t="s">
        <v>10</v>
      </c>
      <c r="G1776" s="6" t="s">
        <v>3681</v>
      </c>
      <c r="H1776" s="6">
        <v>7.22</v>
      </c>
      <c r="I1776" s="6" t="str">
        <f>_xlfn.CONCAT("Art. złączny do produktu ",Tabela10[[#This Row],[KOD_PRODUKTU]])</f>
        <v>Art. złączny do produktu 902U12-400</v>
      </c>
      <c r="J1776" s="6" t="str">
        <f>_xlfn.CONCAT("VE-",Tabela10[[#This Row],[KOD_PRODUKTU]])</f>
        <v>VE-902U12-400</v>
      </c>
    </row>
    <row r="1777" spans="1:10" x14ac:dyDescent="0.25">
      <c r="A1777" s="1" t="s">
        <v>3682</v>
      </c>
      <c r="B1777" t="s">
        <v>3683</v>
      </c>
      <c r="C1777" s="1" t="s">
        <v>3684</v>
      </c>
      <c r="D1777" t="s">
        <v>3685</v>
      </c>
      <c r="E1777" t="s">
        <v>1768</v>
      </c>
      <c r="F1777" t="s">
        <v>5</v>
      </c>
      <c r="G1777" t="s">
        <v>860</v>
      </c>
      <c r="H1777">
        <v>0</v>
      </c>
      <c r="I1777" s="6" t="str">
        <f>_xlfn.CONCAT("Art. złączny do produktu ",Tabela10[[#This Row],[KOD_PRODUKTU]])</f>
        <v>Art. złączny do produktu 902U12-500</v>
      </c>
      <c r="J1777" s="6" t="str">
        <f>_xlfn.CONCAT("VE-",Tabela10[[#This Row],[KOD_PRODUKTU]])</f>
        <v>VE-902U12-500</v>
      </c>
    </row>
    <row r="1778" spans="1:10" x14ac:dyDescent="0.25">
      <c r="A1778" s="7" t="s">
        <v>3682</v>
      </c>
      <c r="B1778" s="6" t="s">
        <v>3683</v>
      </c>
      <c r="C1778" s="7" t="s">
        <v>3686</v>
      </c>
      <c r="D1778" s="6" t="s">
        <v>3687</v>
      </c>
      <c r="E1778" s="6" t="s">
        <v>1768</v>
      </c>
      <c r="F1778" s="6" t="s">
        <v>5</v>
      </c>
      <c r="G1778" s="6" t="s">
        <v>478</v>
      </c>
      <c r="H1778" s="6">
        <v>0</v>
      </c>
      <c r="I1778" s="6" t="str">
        <f>_xlfn.CONCAT("Art. złączny do produktu ",Tabela10[[#This Row],[KOD_PRODUKTU]])</f>
        <v>Art. złączny do produktu 902U12-500</v>
      </c>
      <c r="J1778" s="6" t="str">
        <f>_xlfn.CONCAT("VE-",Tabela10[[#This Row],[KOD_PRODUKTU]])</f>
        <v>VE-902U12-500</v>
      </c>
    </row>
    <row r="1779" spans="1:10" x14ac:dyDescent="0.25">
      <c r="A1779" s="1" t="s">
        <v>3682</v>
      </c>
      <c r="B1779" t="s">
        <v>3683</v>
      </c>
      <c r="C1779" s="1" t="s">
        <v>3688</v>
      </c>
      <c r="D1779" t="s">
        <v>3689</v>
      </c>
      <c r="E1779" t="s">
        <v>1768</v>
      </c>
      <c r="F1779" t="s">
        <v>5</v>
      </c>
      <c r="G1779" t="s">
        <v>605</v>
      </c>
      <c r="H1779">
        <v>0</v>
      </c>
      <c r="I1779" s="6" t="str">
        <f>_xlfn.CONCAT("Art. złączny do produktu ",Tabela10[[#This Row],[KOD_PRODUKTU]])</f>
        <v>Art. złączny do produktu 902U12-500</v>
      </c>
      <c r="J1779" s="6" t="str">
        <f>_xlfn.CONCAT("VE-",Tabela10[[#This Row],[KOD_PRODUKTU]])</f>
        <v>VE-902U12-500</v>
      </c>
    </row>
    <row r="1780" spans="1:10" x14ac:dyDescent="0.25">
      <c r="A1780" s="7" t="s">
        <v>3682</v>
      </c>
      <c r="B1780" s="6" t="s">
        <v>3683</v>
      </c>
      <c r="C1780" s="7" t="s">
        <v>7</v>
      </c>
      <c r="D1780" s="6" t="s">
        <v>8</v>
      </c>
      <c r="E1780" s="6" t="s">
        <v>9</v>
      </c>
      <c r="F1780" s="6" t="s">
        <v>10</v>
      </c>
      <c r="G1780" s="6" t="s">
        <v>3690</v>
      </c>
      <c r="H1780" s="6">
        <v>3.8</v>
      </c>
      <c r="I1780" s="6" t="str">
        <f>_xlfn.CONCAT("Art. złączny do produktu ",Tabela10[[#This Row],[KOD_PRODUKTU]])</f>
        <v>Art. złączny do produktu 902U12-500</v>
      </c>
      <c r="J1780" s="6" t="str">
        <f>_xlfn.CONCAT("VE-",Tabela10[[#This Row],[KOD_PRODUKTU]])</f>
        <v>VE-902U12-500</v>
      </c>
    </row>
    <row r="1781" spans="1:10" x14ac:dyDescent="0.25">
      <c r="A1781" s="1" t="s">
        <v>3682</v>
      </c>
      <c r="B1781" t="s">
        <v>3683</v>
      </c>
      <c r="C1781" s="1" t="s">
        <v>7</v>
      </c>
      <c r="D1781" t="s">
        <v>8</v>
      </c>
      <c r="E1781" t="s">
        <v>9</v>
      </c>
      <c r="F1781" t="s">
        <v>10</v>
      </c>
      <c r="G1781" t="s">
        <v>1851</v>
      </c>
      <c r="H1781">
        <v>19.32</v>
      </c>
      <c r="I1781" s="6" t="str">
        <f>_xlfn.CONCAT("Art. złączny do produktu ",Tabela10[[#This Row],[KOD_PRODUKTU]])</f>
        <v>Art. złączny do produktu 902U12-500</v>
      </c>
      <c r="J1781" s="6" t="str">
        <f>_xlfn.CONCAT("VE-",Tabela10[[#This Row],[KOD_PRODUKTU]])</f>
        <v>VE-902U12-500</v>
      </c>
    </row>
    <row r="1782" spans="1:10" x14ac:dyDescent="0.25">
      <c r="A1782" s="7" t="s">
        <v>3682</v>
      </c>
      <c r="B1782" s="6" t="s">
        <v>3683</v>
      </c>
      <c r="C1782" s="7" t="s">
        <v>7</v>
      </c>
      <c r="D1782" s="6" t="s">
        <v>8</v>
      </c>
      <c r="E1782" s="6" t="s">
        <v>9</v>
      </c>
      <c r="F1782" s="6" t="s">
        <v>10</v>
      </c>
      <c r="G1782" s="6" t="s">
        <v>3427</v>
      </c>
      <c r="H1782" s="6">
        <v>9.66</v>
      </c>
      <c r="I1782" s="6" t="str">
        <f>_xlfn.CONCAT("Art. złączny do produktu ",Tabela10[[#This Row],[KOD_PRODUKTU]])</f>
        <v>Art. złączny do produktu 902U12-500</v>
      </c>
      <c r="J1782" s="6" t="str">
        <f>_xlfn.CONCAT("VE-",Tabela10[[#This Row],[KOD_PRODUKTU]])</f>
        <v>VE-902U12-500</v>
      </c>
    </row>
    <row r="1783" spans="1:10" x14ac:dyDescent="0.25">
      <c r="A1783" s="1" t="s">
        <v>3691</v>
      </c>
      <c r="B1783" t="s">
        <v>3692</v>
      </c>
      <c r="C1783" s="1" t="s">
        <v>3693</v>
      </c>
      <c r="D1783" t="s">
        <v>3694</v>
      </c>
      <c r="E1783" t="s">
        <v>1394</v>
      </c>
      <c r="F1783" t="s">
        <v>5</v>
      </c>
      <c r="G1783" t="s">
        <v>992</v>
      </c>
      <c r="H1783">
        <v>1.2</v>
      </c>
      <c r="I1783" s="6" t="str">
        <f>_xlfn.CONCAT("Art. złączny do produktu ",Tabela10[[#This Row],[KOD_PRODUKTU]])</f>
        <v>Art. złączny do produktu 902U12-600</v>
      </c>
      <c r="J1783" s="6" t="str">
        <f>_xlfn.CONCAT("VE-",Tabela10[[#This Row],[KOD_PRODUKTU]])</f>
        <v>VE-902U12-600</v>
      </c>
    </row>
    <row r="1784" spans="1:10" x14ac:dyDescent="0.25">
      <c r="A1784" s="7" t="s">
        <v>3691</v>
      </c>
      <c r="B1784" s="6" t="s">
        <v>3692</v>
      </c>
      <c r="C1784" s="7" t="s">
        <v>541</v>
      </c>
      <c r="D1784" s="6" t="s">
        <v>542</v>
      </c>
      <c r="E1784" s="6" t="s">
        <v>9</v>
      </c>
      <c r="F1784" s="6" t="s">
        <v>10</v>
      </c>
      <c r="G1784" s="6" t="s">
        <v>3695</v>
      </c>
      <c r="H1784" s="6">
        <v>12.08</v>
      </c>
      <c r="I1784" s="6" t="str">
        <f>_xlfn.CONCAT("Art. złączny do produktu ",Tabela10[[#This Row],[KOD_PRODUKTU]])</f>
        <v>Art. złączny do produktu 902U12-600</v>
      </c>
      <c r="J1784" s="6" t="str">
        <f>_xlfn.CONCAT("VE-",Tabela10[[#This Row],[KOD_PRODUKTU]])</f>
        <v>VE-902U12-600</v>
      </c>
    </row>
    <row r="1785" spans="1:10" x14ac:dyDescent="0.25">
      <c r="A1785" s="1" t="s">
        <v>3696</v>
      </c>
      <c r="B1785" t="s">
        <v>3697</v>
      </c>
      <c r="C1785" s="1" t="s">
        <v>3698</v>
      </c>
      <c r="D1785" t="s">
        <v>3699</v>
      </c>
      <c r="E1785" t="s">
        <v>1768</v>
      </c>
      <c r="F1785" t="s">
        <v>5</v>
      </c>
      <c r="G1785" t="s">
        <v>3700</v>
      </c>
      <c r="H1785">
        <v>0</v>
      </c>
      <c r="I1785" s="6" t="str">
        <f>_xlfn.CONCAT("Art. złączny do produktu ",Tabela10[[#This Row],[KOD_PRODUKTU]])</f>
        <v>Art. złączny do produktu 902U12-700</v>
      </c>
      <c r="J1785" s="6" t="str">
        <f>_xlfn.CONCAT("VE-",Tabela10[[#This Row],[KOD_PRODUKTU]])</f>
        <v>VE-902U12-700</v>
      </c>
    </row>
    <row r="1786" spans="1:10" x14ac:dyDescent="0.25">
      <c r="A1786" s="7" t="s">
        <v>3696</v>
      </c>
      <c r="B1786" s="6" t="s">
        <v>3697</v>
      </c>
      <c r="C1786" s="7" t="s">
        <v>541</v>
      </c>
      <c r="D1786" s="6" t="s">
        <v>542</v>
      </c>
      <c r="E1786" s="6" t="s">
        <v>9</v>
      </c>
      <c r="F1786" s="6" t="s">
        <v>10</v>
      </c>
      <c r="G1786" s="6" t="s">
        <v>3701</v>
      </c>
      <c r="H1786" s="6">
        <v>7.2</v>
      </c>
      <c r="I1786" s="6" t="str">
        <f>_xlfn.CONCAT("Art. złączny do produktu ",Tabela10[[#This Row],[KOD_PRODUKTU]])</f>
        <v>Art. złączny do produktu 902U12-700</v>
      </c>
      <c r="J1786" s="6" t="str">
        <f>_xlfn.CONCAT("VE-",Tabela10[[#This Row],[KOD_PRODUKTU]])</f>
        <v>VE-902U12-700</v>
      </c>
    </row>
    <row r="1787" spans="1:10" x14ac:dyDescent="0.25">
      <c r="A1787" s="1" t="s">
        <v>3702</v>
      </c>
      <c r="B1787" t="s">
        <v>3703</v>
      </c>
      <c r="C1787" s="1" t="s">
        <v>1162</v>
      </c>
      <c r="D1787" t="s">
        <v>1163</v>
      </c>
      <c r="E1787" t="s">
        <v>1164</v>
      </c>
      <c r="F1787" t="s">
        <v>5</v>
      </c>
      <c r="G1787" t="s">
        <v>3704</v>
      </c>
      <c r="H1787">
        <v>1.74</v>
      </c>
      <c r="I1787" s="6" t="str">
        <f>_xlfn.CONCAT("Art. złączny do produktu ",Tabela10[[#This Row],[KOD_PRODUKTU]])</f>
        <v>Art. złączny do produktu 902U30-210</v>
      </c>
      <c r="J1787" s="6" t="str">
        <f>_xlfn.CONCAT("VE-",Tabela10[[#This Row],[KOD_PRODUKTU]])</f>
        <v>VE-902U30-210</v>
      </c>
    </row>
    <row r="1788" spans="1:10" x14ac:dyDescent="0.25">
      <c r="A1788" s="7" t="s">
        <v>3702</v>
      </c>
      <c r="B1788" s="6" t="s">
        <v>3703</v>
      </c>
      <c r="C1788" s="7" t="s">
        <v>541</v>
      </c>
      <c r="D1788" s="6" t="s">
        <v>542</v>
      </c>
      <c r="E1788" s="6" t="s">
        <v>9</v>
      </c>
      <c r="F1788" s="6" t="s">
        <v>10</v>
      </c>
      <c r="G1788" s="6" t="s">
        <v>3705</v>
      </c>
      <c r="H1788" s="6">
        <v>2.4300000000000002</v>
      </c>
      <c r="I1788" s="6" t="str">
        <f>_xlfn.CONCAT("Art. złączny do produktu ",Tabela10[[#This Row],[KOD_PRODUKTU]])</f>
        <v>Art. złączny do produktu 902U30-210</v>
      </c>
      <c r="J1788" s="6" t="str">
        <f>_xlfn.CONCAT("VE-",Tabela10[[#This Row],[KOD_PRODUKTU]])</f>
        <v>VE-902U30-210</v>
      </c>
    </row>
    <row r="1789" spans="1:10" x14ac:dyDescent="0.25">
      <c r="A1789" s="1" t="s">
        <v>3706</v>
      </c>
      <c r="B1789" t="s">
        <v>3707</v>
      </c>
      <c r="C1789" s="1" t="s">
        <v>429</v>
      </c>
      <c r="D1789" t="s">
        <v>430</v>
      </c>
      <c r="E1789" t="s">
        <v>145</v>
      </c>
      <c r="F1789" t="s">
        <v>5</v>
      </c>
      <c r="G1789" t="s">
        <v>3708</v>
      </c>
      <c r="H1789">
        <v>4.03</v>
      </c>
      <c r="I1789" s="6" t="str">
        <f>_xlfn.CONCAT("Art. złączny do produktu ",Tabela10[[#This Row],[KOD_PRODUKTU]])</f>
        <v>Art. złączny do produktu 902U32-121</v>
      </c>
      <c r="J1789" s="6" t="str">
        <f>_xlfn.CONCAT("VE-",Tabela10[[#This Row],[KOD_PRODUKTU]])</f>
        <v>VE-902U32-121</v>
      </c>
    </row>
    <row r="1790" spans="1:10" x14ac:dyDescent="0.25">
      <c r="A1790" s="7" t="s">
        <v>3706</v>
      </c>
      <c r="B1790" s="6" t="s">
        <v>3707</v>
      </c>
      <c r="C1790" s="7" t="s">
        <v>541</v>
      </c>
      <c r="D1790" s="6" t="s">
        <v>542</v>
      </c>
      <c r="E1790" s="6" t="s">
        <v>9</v>
      </c>
      <c r="F1790" s="6" t="s">
        <v>10</v>
      </c>
      <c r="G1790" s="6" t="s">
        <v>3709</v>
      </c>
      <c r="H1790" s="6">
        <v>5.92</v>
      </c>
      <c r="I1790" s="6" t="str">
        <f>_xlfn.CONCAT("Art. złączny do produktu ",Tabela10[[#This Row],[KOD_PRODUKTU]])</f>
        <v>Art. złączny do produktu 902U32-121</v>
      </c>
      <c r="J1790" s="6" t="str">
        <f>_xlfn.CONCAT("VE-",Tabela10[[#This Row],[KOD_PRODUKTU]])</f>
        <v>VE-902U32-121</v>
      </c>
    </row>
    <row r="1791" spans="1:10" x14ac:dyDescent="0.25">
      <c r="A1791" s="1" t="s">
        <v>3710</v>
      </c>
      <c r="B1791" t="s">
        <v>3711</v>
      </c>
      <c r="C1791" s="1" t="s">
        <v>7</v>
      </c>
      <c r="D1791" t="s">
        <v>8</v>
      </c>
      <c r="E1791" t="s">
        <v>9</v>
      </c>
      <c r="F1791" t="s">
        <v>10</v>
      </c>
      <c r="G1791" t="s">
        <v>3712</v>
      </c>
      <c r="H1791">
        <v>0.99</v>
      </c>
      <c r="I1791" s="6" t="str">
        <f>_xlfn.CONCAT("Art. złączny do produktu ",Tabela10[[#This Row],[KOD_PRODUKTU]])</f>
        <v>Art. złączny do produktu 903O10-111</v>
      </c>
      <c r="J1791" s="6" t="str">
        <f>_xlfn.CONCAT("VE-",Tabela10[[#This Row],[KOD_PRODUKTU]])</f>
        <v>VE-903O10-111</v>
      </c>
    </row>
    <row r="1792" spans="1:10" x14ac:dyDescent="0.25">
      <c r="A1792" s="7" t="s">
        <v>3713</v>
      </c>
      <c r="B1792" s="6" t="s">
        <v>3714</v>
      </c>
      <c r="C1792" s="7" t="s">
        <v>7</v>
      </c>
      <c r="D1792" s="6" t="s">
        <v>8</v>
      </c>
      <c r="E1792" s="6" t="s">
        <v>9</v>
      </c>
      <c r="F1792" s="6" t="s">
        <v>10</v>
      </c>
      <c r="G1792" s="6" t="s">
        <v>3712</v>
      </c>
      <c r="H1792" s="6">
        <v>0.99</v>
      </c>
      <c r="I1792" s="6" t="str">
        <f>_xlfn.CONCAT("Art. złączny do produktu ",Tabela10[[#This Row],[KOD_PRODUKTU]])</f>
        <v>Art. złączny do produktu 903O11-311</v>
      </c>
      <c r="J1792" s="6" t="str">
        <f>_xlfn.CONCAT("VE-",Tabela10[[#This Row],[KOD_PRODUKTU]])</f>
        <v>VE-903O11-311</v>
      </c>
    </row>
    <row r="1793" spans="1:10" x14ac:dyDescent="0.25">
      <c r="A1793" s="1" t="s">
        <v>3718</v>
      </c>
      <c r="B1793" t="s">
        <v>3719</v>
      </c>
      <c r="C1793" s="1" t="s">
        <v>29</v>
      </c>
      <c r="D1793" t="s">
        <v>30</v>
      </c>
      <c r="E1793" t="s">
        <v>31</v>
      </c>
      <c r="F1793" t="s">
        <v>5</v>
      </c>
      <c r="G1793" t="s">
        <v>860</v>
      </c>
      <c r="H1793">
        <v>5.3</v>
      </c>
      <c r="I1793" s="6" t="str">
        <f>_xlfn.CONCAT("Art. złączny do produktu ",Tabela10[[#This Row],[KOD_PRODUKTU]])</f>
        <v>Art. złączny do produktu 903W03-111</v>
      </c>
      <c r="J1793" s="6" t="str">
        <f>_xlfn.CONCAT("VE-",Tabela10[[#This Row],[KOD_PRODUKTU]])</f>
        <v>VE-903W03-111</v>
      </c>
    </row>
    <row r="1794" spans="1:10" x14ac:dyDescent="0.25">
      <c r="A1794" s="7" t="s">
        <v>3718</v>
      </c>
      <c r="B1794" s="6" t="s">
        <v>3719</v>
      </c>
      <c r="C1794" s="7" t="s">
        <v>541</v>
      </c>
      <c r="D1794" s="6" t="s">
        <v>542</v>
      </c>
      <c r="E1794" s="6" t="s">
        <v>9</v>
      </c>
      <c r="F1794" s="6" t="s">
        <v>10</v>
      </c>
      <c r="G1794" s="6" t="s">
        <v>1755</v>
      </c>
      <c r="H1794" s="6">
        <v>7.15</v>
      </c>
      <c r="I1794" s="6" t="str">
        <f>_xlfn.CONCAT("Art. złączny do produktu ",Tabela10[[#This Row],[KOD_PRODUKTU]])</f>
        <v>Art. złączny do produktu 903W03-111</v>
      </c>
      <c r="J1794" s="6" t="str">
        <f>_xlfn.CONCAT("VE-",Tabela10[[#This Row],[KOD_PRODUKTU]])</f>
        <v>VE-903W03-111</v>
      </c>
    </row>
    <row r="1795" spans="1:10" x14ac:dyDescent="0.25">
      <c r="A1795" s="1" t="s">
        <v>3720</v>
      </c>
      <c r="B1795" t="s">
        <v>3721</v>
      </c>
      <c r="C1795" s="1" t="s">
        <v>1335</v>
      </c>
      <c r="D1795" t="s">
        <v>1336</v>
      </c>
      <c r="E1795" t="s">
        <v>3722</v>
      </c>
      <c r="F1795" t="s">
        <v>49</v>
      </c>
      <c r="G1795" t="s">
        <v>50</v>
      </c>
      <c r="H1795">
        <v>34</v>
      </c>
      <c r="I1795" s="6" t="str">
        <f>_xlfn.CONCAT("Art. złączny do produktu ",Tabela10[[#This Row],[KOD_PRODUKTU]])</f>
        <v>Art. złączny do produktu 903W06-210</v>
      </c>
      <c r="J1795" s="6" t="str">
        <f>_xlfn.CONCAT("VE-",Tabela10[[#This Row],[KOD_PRODUKTU]])</f>
        <v>VE-903W06-210</v>
      </c>
    </row>
    <row r="1796" spans="1:10" x14ac:dyDescent="0.25">
      <c r="A1796" s="7" t="s">
        <v>3720</v>
      </c>
      <c r="B1796" s="6" t="s">
        <v>3721</v>
      </c>
      <c r="C1796" s="7" t="s">
        <v>541</v>
      </c>
      <c r="D1796" s="6" t="s">
        <v>542</v>
      </c>
      <c r="E1796" s="6" t="s">
        <v>9</v>
      </c>
      <c r="F1796" s="6" t="s">
        <v>10</v>
      </c>
      <c r="G1796" s="6" t="s">
        <v>998</v>
      </c>
      <c r="H1796" s="6">
        <v>27.6</v>
      </c>
      <c r="I1796" s="6" t="str">
        <f>_xlfn.CONCAT("Art. złączny do produktu ",Tabela10[[#This Row],[KOD_PRODUKTU]])</f>
        <v>Art. złączny do produktu 903W06-210</v>
      </c>
      <c r="J1796" s="6" t="str">
        <f>_xlfn.CONCAT("VE-",Tabela10[[#This Row],[KOD_PRODUKTU]])</f>
        <v>VE-903W06-210</v>
      </c>
    </row>
    <row r="1797" spans="1:10" x14ac:dyDescent="0.25">
      <c r="A1797" s="1" t="s">
        <v>3723</v>
      </c>
      <c r="B1797" t="s">
        <v>3724</v>
      </c>
      <c r="C1797" s="1" t="s">
        <v>1335</v>
      </c>
      <c r="D1797" t="s">
        <v>1336</v>
      </c>
      <c r="E1797" t="s">
        <v>3722</v>
      </c>
      <c r="F1797" t="s">
        <v>49</v>
      </c>
      <c r="G1797" t="s">
        <v>50</v>
      </c>
      <c r="H1797">
        <v>34</v>
      </c>
      <c r="I1797" s="6" t="str">
        <f>_xlfn.CONCAT("Art. złączny do produktu ",Tabela10[[#This Row],[KOD_PRODUKTU]])</f>
        <v>Art. złączny do produktu 903W08-210</v>
      </c>
      <c r="J1797" s="6" t="str">
        <f>_xlfn.CONCAT("VE-",Tabela10[[#This Row],[KOD_PRODUKTU]])</f>
        <v>VE-903W08-210</v>
      </c>
    </row>
    <row r="1798" spans="1:10" x14ac:dyDescent="0.25">
      <c r="A1798" s="7" t="s">
        <v>3723</v>
      </c>
      <c r="B1798" s="6" t="s">
        <v>3724</v>
      </c>
      <c r="C1798" s="7" t="s">
        <v>541</v>
      </c>
      <c r="D1798" s="6" t="s">
        <v>542</v>
      </c>
      <c r="E1798" s="6" t="s">
        <v>9</v>
      </c>
      <c r="F1798" s="6" t="s">
        <v>10</v>
      </c>
      <c r="G1798" s="6" t="s">
        <v>998</v>
      </c>
      <c r="H1798" s="6">
        <v>27.6</v>
      </c>
      <c r="I1798" s="6" t="str">
        <f>_xlfn.CONCAT("Art. złączny do produktu ",Tabela10[[#This Row],[KOD_PRODUKTU]])</f>
        <v>Art. złączny do produktu 903W08-210</v>
      </c>
      <c r="J1798" s="6" t="str">
        <f>_xlfn.CONCAT("VE-",Tabela10[[#This Row],[KOD_PRODUKTU]])</f>
        <v>VE-903W08-210</v>
      </c>
    </row>
    <row r="1799" spans="1:10" x14ac:dyDescent="0.25">
      <c r="A1799" s="1" t="s">
        <v>3725</v>
      </c>
      <c r="B1799" t="s">
        <v>3726</v>
      </c>
      <c r="C1799" s="1" t="s">
        <v>1327</v>
      </c>
      <c r="D1799" t="s">
        <v>3727</v>
      </c>
      <c r="E1799" t="s">
        <v>1329</v>
      </c>
      <c r="F1799" t="s">
        <v>49</v>
      </c>
      <c r="G1799" t="s">
        <v>50</v>
      </c>
      <c r="H1799">
        <v>220</v>
      </c>
      <c r="I1799" s="6" t="str">
        <f>_xlfn.CONCAT("Art. złączny do produktu ",Tabela10[[#This Row],[KOD_PRODUKTU]])</f>
        <v>Art. złączny do produktu 903W17-210</v>
      </c>
      <c r="J1799" s="6" t="str">
        <f>_xlfn.CONCAT("VE-",Tabela10[[#This Row],[KOD_PRODUKTU]])</f>
        <v>VE-903W17-210</v>
      </c>
    </row>
    <row r="1800" spans="1:10" x14ac:dyDescent="0.25">
      <c r="A1800" s="7" t="s">
        <v>3725</v>
      </c>
      <c r="B1800" s="6" t="s">
        <v>3726</v>
      </c>
      <c r="C1800" s="7" t="s">
        <v>541</v>
      </c>
      <c r="D1800" s="6" t="s">
        <v>542</v>
      </c>
      <c r="E1800" s="6" t="s">
        <v>9</v>
      </c>
      <c r="F1800" s="6" t="s">
        <v>10</v>
      </c>
      <c r="G1800" s="6" t="s">
        <v>3728</v>
      </c>
      <c r="H1800" s="6">
        <v>39.5</v>
      </c>
      <c r="I1800" s="6" t="str">
        <f>_xlfn.CONCAT("Art. złączny do produktu ",Tabela10[[#This Row],[KOD_PRODUKTU]])</f>
        <v>Art. złączny do produktu 903W17-210</v>
      </c>
      <c r="J1800" s="6" t="str">
        <f>_xlfn.CONCAT("VE-",Tabela10[[#This Row],[KOD_PRODUKTU]])</f>
        <v>VE-903W17-210</v>
      </c>
    </row>
    <row r="1801" spans="1:10" x14ac:dyDescent="0.25">
      <c r="A1801" s="1" t="s">
        <v>3729</v>
      </c>
      <c r="B1801" t="s">
        <v>3730</v>
      </c>
      <c r="C1801" s="1" t="s">
        <v>1447</v>
      </c>
      <c r="D1801" t="s">
        <v>1448</v>
      </c>
      <c r="E1801" t="s">
        <v>779</v>
      </c>
      <c r="F1801" t="s">
        <v>5</v>
      </c>
      <c r="G1801" t="s">
        <v>3731</v>
      </c>
      <c r="H1801">
        <v>37.799999999999997</v>
      </c>
      <c r="I1801" s="6" t="str">
        <f>_xlfn.CONCAT("Art. złączny do produktu ",Tabela10[[#This Row],[KOD_PRODUKTU]])</f>
        <v>Art. złączny do produktu 903W19-111</v>
      </c>
      <c r="J1801" s="6" t="str">
        <f>_xlfn.CONCAT("VE-",Tabela10[[#This Row],[KOD_PRODUKTU]])</f>
        <v>VE-903W19-111</v>
      </c>
    </row>
    <row r="1802" spans="1:10" x14ac:dyDescent="0.25">
      <c r="A1802" s="7" t="s">
        <v>3729</v>
      </c>
      <c r="B1802" s="6" t="s">
        <v>3730</v>
      </c>
      <c r="C1802" s="7" t="s">
        <v>541</v>
      </c>
      <c r="D1802" s="6" t="s">
        <v>542</v>
      </c>
      <c r="E1802" s="6" t="s">
        <v>9</v>
      </c>
      <c r="F1802" s="6" t="s">
        <v>10</v>
      </c>
      <c r="G1802" s="6" t="s">
        <v>3732</v>
      </c>
      <c r="H1802" s="6">
        <v>8.99</v>
      </c>
      <c r="I1802" s="6" t="str">
        <f>_xlfn.CONCAT("Art. złączny do produktu ",Tabela10[[#This Row],[KOD_PRODUKTU]])</f>
        <v>Art. złączny do produktu 903W19-111</v>
      </c>
      <c r="J1802" s="6" t="str">
        <f>_xlfn.CONCAT("VE-",Tabela10[[#This Row],[KOD_PRODUKTU]])</f>
        <v>VE-903W19-111</v>
      </c>
    </row>
    <row r="1803" spans="1:10" x14ac:dyDescent="0.25">
      <c r="A1803" s="1" t="s">
        <v>3733</v>
      </c>
      <c r="B1803" t="s">
        <v>3734</v>
      </c>
      <c r="C1803" s="1" t="s">
        <v>1327</v>
      </c>
      <c r="D1803" t="s">
        <v>3727</v>
      </c>
      <c r="E1803" t="s">
        <v>1329</v>
      </c>
      <c r="F1803" t="s">
        <v>49</v>
      </c>
      <c r="G1803" t="s">
        <v>50</v>
      </c>
      <c r="H1803">
        <v>220</v>
      </c>
      <c r="I1803" s="6" t="str">
        <f>_xlfn.CONCAT("Art. złączny do produktu ",Tabela10[[#This Row],[KOD_PRODUKTU]])</f>
        <v>Art. złączny do produktu 903W45-210</v>
      </c>
      <c r="J1803" s="6" t="str">
        <f>_xlfn.CONCAT("VE-",Tabela10[[#This Row],[KOD_PRODUKTU]])</f>
        <v>VE-903W45-210</v>
      </c>
    </row>
    <row r="1804" spans="1:10" x14ac:dyDescent="0.25">
      <c r="A1804" s="7" t="s">
        <v>3733</v>
      </c>
      <c r="B1804" s="6" t="s">
        <v>3734</v>
      </c>
      <c r="C1804" s="7" t="s">
        <v>541</v>
      </c>
      <c r="D1804" s="6" t="s">
        <v>542</v>
      </c>
      <c r="E1804" s="6" t="s">
        <v>9</v>
      </c>
      <c r="F1804" s="6" t="s">
        <v>10</v>
      </c>
      <c r="G1804" s="6" t="s">
        <v>268</v>
      </c>
      <c r="H1804" s="6">
        <v>138</v>
      </c>
      <c r="I1804" s="6" t="str">
        <f>_xlfn.CONCAT("Art. złączny do produktu ",Tabela10[[#This Row],[KOD_PRODUKTU]])</f>
        <v>Art. złączny do produktu 903W45-210</v>
      </c>
      <c r="J1804" s="6" t="str">
        <f>_xlfn.CONCAT("VE-",Tabela10[[#This Row],[KOD_PRODUKTU]])</f>
        <v>VE-903W45-210</v>
      </c>
    </row>
    <row r="1805" spans="1:10" x14ac:dyDescent="0.25">
      <c r="A1805" s="1" t="s">
        <v>3735</v>
      </c>
      <c r="B1805" t="s">
        <v>3736</v>
      </c>
      <c r="C1805" s="1" t="s">
        <v>29</v>
      </c>
      <c r="D1805" t="s">
        <v>30</v>
      </c>
      <c r="E1805" t="s">
        <v>31</v>
      </c>
      <c r="F1805" t="s">
        <v>5</v>
      </c>
      <c r="G1805" t="s">
        <v>3737</v>
      </c>
      <c r="H1805">
        <v>4.75</v>
      </c>
      <c r="I1805" s="6" t="str">
        <f>_xlfn.CONCAT("Art. złączny do produktu ",Tabela10[[#This Row],[KOD_PRODUKTU]])</f>
        <v>Art. złączny do produktu 903W63-110</v>
      </c>
      <c r="J1805" s="6" t="str">
        <f>_xlfn.CONCAT("VE-",Tabela10[[#This Row],[KOD_PRODUKTU]])</f>
        <v>VE-903W63-110</v>
      </c>
    </row>
    <row r="1806" spans="1:10" x14ac:dyDescent="0.25">
      <c r="A1806" s="7" t="s">
        <v>3735</v>
      </c>
      <c r="B1806" s="6" t="s">
        <v>3736</v>
      </c>
      <c r="C1806" s="7" t="s">
        <v>1989</v>
      </c>
      <c r="D1806" s="6" t="s">
        <v>1990</v>
      </c>
      <c r="E1806" s="6" t="s">
        <v>1991</v>
      </c>
      <c r="F1806" s="6" t="s">
        <v>435</v>
      </c>
      <c r="G1806" s="6" t="s">
        <v>3738</v>
      </c>
      <c r="H1806" s="6">
        <v>1.32</v>
      </c>
      <c r="I1806" s="6" t="str">
        <f>_xlfn.CONCAT("Art. złączny do produktu ",Tabela10[[#This Row],[KOD_PRODUKTU]])</f>
        <v>Art. złączny do produktu 903W63-110</v>
      </c>
      <c r="J1806" s="6" t="str">
        <f>_xlfn.CONCAT("VE-",Tabela10[[#This Row],[KOD_PRODUKTU]])</f>
        <v>VE-903W63-110</v>
      </c>
    </row>
    <row r="1807" spans="1:10" x14ac:dyDescent="0.25">
      <c r="A1807" s="1" t="s">
        <v>3735</v>
      </c>
      <c r="B1807" t="s">
        <v>3736</v>
      </c>
      <c r="C1807" s="1" t="s">
        <v>541</v>
      </c>
      <c r="D1807" t="s">
        <v>542</v>
      </c>
      <c r="E1807" t="s">
        <v>9</v>
      </c>
      <c r="F1807" t="s">
        <v>10</v>
      </c>
      <c r="G1807" t="s">
        <v>2537</v>
      </c>
      <c r="H1807">
        <v>7.19</v>
      </c>
      <c r="I1807" s="6" t="str">
        <f>_xlfn.CONCAT("Art. złączny do produktu ",Tabela10[[#This Row],[KOD_PRODUKTU]])</f>
        <v>Art. złączny do produktu 903W63-110</v>
      </c>
      <c r="J1807" s="6" t="str">
        <f>_xlfn.CONCAT("VE-",Tabela10[[#This Row],[KOD_PRODUKTU]])</f>
        <v>VE-903W63-110</v>
      </c>
    </row>
    <row r="1808" spans="1:10" x14ac:dyDescent="0.25">
      <c r="A1808" s="7" t="s">
        <v>3739</v>
      </c>
      <c r="B1808" s="6" t="s">
        <v>3740</v>
      </c>
      <c r="C1808" s="7" t="s">
        <v>29</v>
      </c>
      <c r="D1808" s="6" t="s">
        <v>30</v>
      </c>
      <c r="E1808" s="6" t="s">
        <v>31</v>
      </c>
      <c r="F1808" s="6" t="s">
        <v>5</v>
      </c>
      <c r="G1808" s="6" t="s">
        <v>3741</v>
      </c>
      <c r="H1808" s="6">
        <v>4.8</v>
      </c>
      <c r="I1808" s="6" t="str">
        <f>_xlfn.CONCAT("Art. złączny do produktu ",Tabela10[[#This Row],[KOD_PRODUKTU]])</f>
        <v>Art. złączny do produktu 903W65-131</v>
      </c>
      <c r="J1808" s="6" t="str">
        <f>_xlfn.CONCAT("VE-",Tabela10[[#This Row],[KOD_PRODUKTU]])</f>
        <v>VE-903W65-131</v>
      </c>
    </row>
    <row r="1809" spans="1:10" x14ac:dyDescent="0.25">
      <c r="A1809" s="1" t="s">
        <v>3739</v>
      </c>
      <c r="B1809" t="s">
        <v>3740</v>
      </c>
      <c r="C1809" s="1" t="s">
        <v>541</v>
      </c>
      <c r="D1809" t="s">
        <v>542</v>
      </c>
      <c r="E1809" t="s">
        <v>9</v>
      </c>
      <c r="F1809" t="s">
        <v>10</v>
      </c>
      <c r="G1809" t="s">
        <v>2537</v>
      </c>
      <c r="H1809">
        <v>7.19</v>
      </c>
      <c r="I1809" s="6" t="str">
        <f>_xlfn.CONCAT("Art. złączny do produktu ",Tabela10[[#This Row],[KOD_PRODUKTU]])</f>
        <v>Art. złączny do produktu 903W65-131</v>
      </c>
      <c r="J1809" s="6" t="str">
        <f>_xlfn.CONCAT("VE-",Tabela10[[#This Row],[KOD_PRODUKTU]])</f>
        <v>VE-903W65-131</v>
      </c>
    </row>
    <row r="1810" spans="1:10" x14ac:dyDescent="0.25">
      <c r="A1810" s="7" t="s">
        <v>3742</v>
      </c>
      <c r="B1810" s="6" t="s">
        <v>3743</v>
      </c>
      <c r="C1810" s="7" t="s">
        <v>2516</v>
      </c>
      <c r="D1810" s="6" t="s">
        <v>2517</v>
      </c>
      <c r="E1810" s="6" t="s">
        <v>1110</v>
      </c>
      <c r="F1810" s="6" t="s">
        <v>17</v>
      </c>
      <c r="G1810" s="6" t="s">
        <v>3744</v>
      </c>
      <c r="H1810" s="6">
        <v>33.9</v>
      </c>
      <c r="I1810" s="6" t="str">
        <f>_xlfn.CONCAT("Art. złączny do produktu ",Tabela10[[#This Row],[KOD_PRODUKTU]])</f>
        <v>Art. złączny do produktu 903W70-111</v>
      </c>
      <c r="J1810" s="6" t="str">
        <f>_xlfn.CONCAT("VE-",Tabela10[[#This Row],[KOD_PRODUKTU]])</f>
        <v>VE-903W70-111</v>
      </c>
    </row>
    <row r="1811" spans="1:10" x14ac:dyDescent="0.25">
      <c r="A1811" s="1" t="s">
        <v>3742</v>
      </c>
      <c r="B1811" t="s">
        <v>3743</v>
      </c>
      <c r="C1811" s="1" t="s">
        <v>541</v>
      </c>
      <c r="D1811" t="s">
        <v>542</v>
      </c>
      <c r="E1811" t="s">
        <v>9</v>
      </c>
      <c r="F1811" t="s">
        <v>10</v>
      </c>
      <c r="G1811" t="s">
        <v>2537</v>
      </c>
      <c r="H1811">
        <v>7.19</v>
      </c>
      <c r="I1811" s="6" t="str">
        <f>_xlfn.CONCAT("Art. złączny do produktu ",Tabela10[[#This Row],[KOD_PRODUKTU]])</f>
        <v>Art. złączny do produktu 903W70-111</v>
      </c>
      <c r="J1811" s="6" t="str">
        <f>_xlfn.CONCAT("VE-",Tabela10[[#This Row],[KOD_PRODUKTU]])</f>
        <v>VE-903W70-111</v>
      </c>
    </row>
    <row r="1812" spans="1:10" x14ac:dyDescent="0.25">
      <c r="A1812" s="7" t="s">
        <v>3750</v>
      </c>
      <c r="B1812" s="6" t="s">
        <v>3751</v>
      </c>
      <c r="C1812" s="7" t="s">
        <v>2467</v>
      </c>
      <c r="D1812" s="6" t="s">
        <v>2468</v>
      </c>
      <c r="E1812" s="6" t="s">
        <v>2469</v>
      </c>
      <c r="F1812" s="6" t="s">
        <v>5</v>
      </c>
      <c r="G1812" s="6" t="s">
        <v>3752</v>
      </c>
      <c r="H1812" s="6">
        <v>8.6300000000000008</v>
      </c>
      <c r="I1812" s="6" t="str">
        <f>_xlfn.CONCAT("Art. złączny do produktu ",Tabela10[[#This Row],[KOD_PRODUKTU]])</f>
        <v>Art. złączny do produktu 904O11-700</v>
      </c>
      <c r="J1812" s="6" t="str">
        <f>_xlfn.CONCAT("VE-",Tabela10[[#This Row],[KOD_PRODUKTU]])</f>
        <v>VE-904O11-700</v>
      </c>
    </row>
    <row r="1813" spans="1:10" x14ac:dyDescent="0.25">
      <c r="A1813" s="1" t="s">
        <v>3750</v>
      </c>
      <c r="B1813" t="s">
        <v>3751</v>
      </c>
      <c r="C1813" s="1" t="s">
        <v>2492</v>
      </c>
      <c r="D1813" t="s">
        <v>2493</v>
      </c>
      <c r="E1813" t="s">
        <v>2494</v>
      </c>
      <c r="F1813" t="s">
        <v>121</v>
      </c>
      <c r="G1813" t="s">
        <v>50</v>
      </c>
      <c r="H1813">
        <v>23.4</v>
      </c>
      <c r="I1813" s="6" t="str">
        <f>_xlfn.CONCAT("Art. złączny do produktu ",Tabela10[[#This Row],[KOD_PRODUKTU]])</f>
        <v>Art. złączny do produktu 904O11-700</v>
      </c>
      <c r="J1813" s="6" t="str">
        <f>_xlfn.CONCAT("VE-",Tabela10[[#This Row],[KOD_PRODUKTU]])</f>
        <v>VE-904O11-700</v>
      </c>
    </row>
    <row r="1814" spans="1:10" x14ac:dyDescent="0.25">
      <c r="A1814" s="7" t="s">
        <v>3750</v>
      </c>
      <c r="B1814" s="6" t="s">
        <v>3751</v>
      </c>
      <c r="C1814" s="7" t="s">
        <v>432</v>
      </c>
      <c r="D1814" s="6" t="s">
        <v>433</v>
      </c>
      <c r="E1814" s="6" t="s">
        <v>434</v>
      </c>
      <c r="F1814" s="6" t="s">
        <v>435</v>
      </c>
      <c r="G1814" s="6" t="s">
        <v>3753</v>
      </c>
      <c r="H1814" s="6">
        <v>7.27</v>
      </c>
      <c r="I1814" s="6" t="str">
        <f>_xlfn.CONCAT("Art. złączny do produktu ",Tabela10[[#This Row],[KOD_PRODUKTU]])</f>
        <v>Art. złączny do produktu 904O11-700</v>
      </c>
      <c r="J1814" s="6" t="str">
        <f>_xlfn.CONCAT("VE-",Tabela10[[#This Row],[KOD_PRODUKTU]])</f>
        <v>VE-904O11-700</v>
      </c>
    </row>
    <row r="1815" spans="1:10" x14ac:dyDescent="0.25">
      <c r="A1815" s="1" t="s">
        <v>3750</v>
      </c>
      <c r="B1815" t="s">
        <v>3751</v>
      </c>
      <c r="C1815" s="1" t="s">
        <v>7</v>
      </c>
      <c r="D1815" t="s">
        <v>8</v>
      </c>
      <c r="E1815" t="s">
        <v>9</v>
      </c>
      <c r="F1815" t="s">
        <v>10</v>
      </c>
      <c r="G1815" t="s">
        <v>3695</v>
      </c>
      <c r="H1815">
        <v>12.08</v>
      </c>
      <c r="I1815" s="6" t="str">
        <f>_xlfn.CONCAT("Art. złączny do produktu ",Tabela10[[#This Row],[KOD_PRODUKTU]])</f>
        <v>Art. złączny do produktu 904O11-700</v>
      </c>
      <c r="J1815" s="6" t="str">
        <f>_xlfn.CONCAT("VE-",Tabela10[[#This Row],[KOD_PRODUKTU]])</f>
        <v>VE-904O11-700</v>
      </c>
    </row>
    <row r="1816" spans="1:10" x14ac:dyDescent="0.25">
      <c r="A1816" s="7" t="s">
        <v>3799</v>
      </c>
      <c r="B1816" s="6" t="s">
        <v>3800</v>
      </c>
      <c r="C1816" s="7" t="s">
        <v>1203</v>
      </c>
      <c r="D1816" s="6" t="s">
        <v>1204</v>
      </c>
      <c r="E1816" s="6" t="s">
        <v>216</v>
      </c>
      <c r="F1816" s="6" t="s">
        <v>5</v>
      </c>
      <c r="G1816" s="6" t="s">
        <v>3801</v>
      </c>
      <c r="H1816" s="6">
        <v>0.15</v>
      </c>
      <c r="I1816" s="6" t="str">
        <f>_xlfn.CONCAT("Art. złączny do produktu ",Tabela10[[#This Row],[KOD_PRODUKTU]])</f>
        <v>Art. złączny do produktu 904O25-351</v>
      </c>
      <c r="J1816" s="6" t="str">
        <f>_xlfn.CONCAT("VE-",Tabela10[[#This Row],[KOD_PRODUKTU]])</f>
        <v>VE-904O25-351</v>
      </c>
    </row>
    <row r="1817" spans="1:10" x14ac:dyDescent="0.25">
      <c r="A1817" s="1" t="s">
        <v>3799</v>
      </c>
      <c r="B1817" t="s">
        <v>3800</v>
      </c>
      <c r="C1817" s="1" t="s">
        <v>432</v>
      </c>
      <c r="D1817" t="s">
        <v>433</v>
      </c>
      <c r="E1817" t="s">
        <v>434</v>
      </c>
      <c r="F1817" t="s">
        <v>435</v>
      </c>
      <c r="G1817" t="s">
        <v>50</v>
      </c>
      <c r="H1817">
        <v>1.1000000000000001</v>
      </c>
      <c r="I1817" s="6" t="str">
        <f>_xlfn.CONCAT("Art. złączny do produktu ",Tabela10[[#This Row],[KOD_PRODUKTU]])</f>
        <v>Art. złączny do produktu 904O25-351</v>
      </c>
      <c r="J1817" s="6" t="str">
        <f>_xlfn.CONCAT("VE-",Tabela10[[#This Row],[KOD_PRODUKTU]])</f>
        <v>VE-904O25-351</v>
      </c>
    </row>
    <row r="1818" spans="1:10" x14ac:dyDescent="0.25">
      <c r="A1818" s="7" t="s">
        <v>3799</v>
      </c>
      <c r="B1818" s="6" t="s">
        <v>3800</v>
      </c>
      <c r="C1818" s="7" t="s">
        <v>7</v>
      </c>
      <c r="D1818" s="6" t="s">
        <v>8</v>
      </c>
      <c r="E1818" s="6" t="s">
        <v>9</v>
      </c>
      <c r="F1818" s="6" t="s">
        <v>10</v>
      </c>
      <c r="G1818" s="6" t="s">
        <v>367</v>
      </c>
      <c r="H1818" s="6">
        <v>2.2999999999999998</v>
      </c>
      <c r="I1818" s="6" t="str">
        <f>_xlfn.CONCAT("Art. złączny do produktu ",Tabela10[[#This Row],[KOD_PRODUKTU]])</f>
        <v>Art. złączny do produktu 904O25-351</v>
      </c>
      <c r="J1818" s="6" t="str">
        <f>_xlfn.CONCAT("VE-",Tabela10[[#This Row],[KOD_PRODUKTU]])</f>
        <v>VE-904O25-351</v>
      </c>
    </row>
    <row r="1819" spans="1:10" x14ac:dyDescent="0.25">
      <c r="A1819" s="1" t="s">
        <v>3811</v>
      </c>
      <c r="B1819" t="s">
        <v>3812</v>
      </c>
      <c r="C1819" s="1" t="s">
        <v>3456</v>
      </c>
      <c r="D1819" t="s">
        <v>3457</v>
      </c>
      <c r="E1819" t="s">
        <v>3458</v>
      </c>
      <c r="F1819" t="s">
        <v>39</v>
      </c>
      <c r="G1819" t="s">
        <v>40</v>
      </c>
      <c r="H1819">
        <v>0.17</v>
      </c>
      <c r="I1819" s="6" t="str">
        <f>_xlfn.CONCAT("Art. złączny do produktu ",Tabela10[[#This Row],[KOD_PRODUKTU]])</f>
        <v>Art. złączny do produktu 904O25-354</v>
      </c>
      <c r="J1819" s="6" t="str">
        <f>_xlfn.CONCAT("VE-",Tabela10[[#This Row],[KOD_PRODUKTU]])</f>
        <v>VE-904O25-354</v>
      </c>
    </row>
    <row r="1820" spans="1:10" x14ac:dyDescent="0.25">
      <c r="A1820" s="7" t="s">
        <v>3811</v>
      </c>
      <c r="B1820" s="6" t="s">
        <v>3812</v>
      </c>
      <c r="C1820" s="7" t="s">
        <v>41</v>
      </c>
      <c r="D1820" s="6" t="s">
        <v>42</v>
      </c>
      <c r="E1820" s="6" t="s">
        <v>513</v>
      </c>
      <c r="F1820" s="6" t="s">
        <v>5</v>
      </c>
      <c r="G1820" s="6" t="s">
        <v>3813</v>
      </c>
      <c r="H1820" s="6">
        <v>0.02</v>
      </c>
      <c r="I1820" s="6" t="str">
        <f>_xlfn.CONCAT("Art. złączny do produktu ",Tabela10[[#This Row],[KOD_PRODUKTU]])</f>
        <v>Art. złączny do produktu 904O25-354</v>
      </c>
      <c r="J1820" s="6" t="str">
        <f>_xlfn.CONCAT("VE-",Tabela10[[#This Row],[KOD_PRODUKTU]])</f>
        <v>VE-904O25-354</v>
      </c>
    </row>
    <row r="1821" spans="1:10" x14ac:dyDescent="0.25">
      <c r="A1821" s="1" t="s">
        <v>3811</v>
      </c>
      <c r="B1821" t="s">
        <v>3812</v>
      </c>
      <c r="C1821" s="1" t="s">
        <v>7</v>
      </c>
      <c r="D1821" t="s">
        <v>8</v>
      </c>
      <c r="E1821" t="s">
        <v>9</v>
      </c>
      <c r="F1821" t="s">
        <v>10</v>
      </c>
      <c r="G1821" t="s">
        <v>3814</v>
      </c>
      <c r="H1821">
        <v>2.37</v>
      </c>
      <c r="I1821" s="6" t="str">
        <f>_xlfn.CONCAT("Art. złączny do produktu ",Tabela10[[#This Row],[KOD_PRODUKTU]])</f>
        <v>Art. złączny do produktu 904O25-354</v>
      </c>
      <c r="J1821" s="6" t="str">
        <f>_xlfn.CONCAT("VE-",Tabela10[[#This Row],[KOD_PRODUKTU]])</f>
        <v>VE-904O25-354</v>
      </c>
    </row>
    <row r="1822" spans="1:10" x14ac:dyDescent="0.25">
      <c r="A1822" s="7" t="s">
        <v>3826</v>
      </c>
      <c r="B1822" s="6" t="s">
        <v>3827</v>
      </c>
      <c r="C1822" s="7" t="s">
        <v>3828</v>
      </c>
      <c r="D1822" s="6" t="s">
        <v>3829</v>
      </c>
      <c r="E1822" s="6" t="s">
        <v>87</v>
      </c>
      <c r="F1822" s="6" t="s">
        <v>5</v>
      </c>
      <c r="G1822" s="6" t="s">
        <v>3830</v>
      </c>
      <c r="H1822" s="6">
        <v>3.58</v>
      </c>
      <c r="I1822" s="6" t="str">
        <f>_xlfn.CONCAT("Art. złączny do produktu ",Tabela10[[#This Row],[KOD_PRODUKTU]])</f>
        <v>Art. złączny do produktu 904O50-110</v>
      </c>
      <c r="J1822" s="6" t="str">
        <f>_xlfn.CONCAT("VE-",Tabela10[[#This Row],[KOD_PRODUKTU]])</f>
        <v>VE-904O50-110</v>
      </c>
    </row>
    <row r="1823" spans="1:10" x14ac:dyDescent="0.25">
      <c r="A1823" s="1" t="s">
        <v>3826</v>
      </c>
      <c r="B1823" t="s">
        <v>3827</v>
      </c>
      <c r="C1823" s="1" t="s">
        <v>7</v>
      </c>
      <c r="D1823" t="s">
        <v>8</v>
      </c>
      <c r="E1823" t="s">
        <v>9</v>
      </c>
      <c r="F1823" t="s">
        <v>10</v>
      </c>
      <c r="G1823" t="s">
        <v>3831</v>
      </c>
      <c r="H1823">
        <v>9.6199999999999992</v>
      </c>
      <c r="I1823" s="6" t="str">
        <f>_xlfn.CONCAT("Art. złączny do produktu ",Tabela10[[#This Row],[KOD_PRODUKTU]])</f>
        <v>Art. złączny do produktu 904O50-110</v>
      </c>
      <c r="J1823" s="6" t="str">
        <f>_xlfn.CONCAT("VE-",Tabela10[[#This Row],[KOD_PRODUKTU]])</f>
        <v>VE-904O50-110</v>
      </c>
    </row>
    <row r="1824" spans="1:10" x14ac:dyDescent="0.25">
      <c r="A1824" s="7" t="s">
        <v>3832</v>
      </c>
      <c r="B1824" s="6" t="s">
        <v>3833</v>
      </c>
      <c r="C1824" s="7" t="s">
        <v>3834</v>
      </c>
      <c r="D1824" s="6" t="s">
        <v>3835</v>
      </c>
      <c r="E1824" s="6" t="s">
        <v>3836</v>
      </c>
      <c r="F1824" s="6" t="s">
        <v>5</v>
      </c>
      <c r="G1824" s="6" t="s">
        <v>992</v>
      </c>
      <c r="H1824" s="6">
        <v>2.82</v>
      </c>
      <c r="I1824" s="6" t="str">
        <f>_xlfn.CONCAT("Art. złączny do produktu ",Tabela10[[#This Row],[KOD_PRODUKTU]])</f>
        <v>Art. złączny do produktu 904O50-120</v>
      </c>
      <c r="J1824" s="6" t="str">
        <f>_xlfn.CONCAT("VE-",Tabela10[[#This Row],[KOD_PRODUKTU]])</f>
        <v>VE-904O50-120</v>
      </c>
    </row>
    <row r="1825" spans="1:10" x14ac:dyDescent="0.25">
      <c r="A1825" s="1" t="s">
        <v>3832</v>
      </c>
      <c r="B1825" t="s">
        <v>3833</v>
      </c>
      <c r="C1825" s="1" t="s">
        <v>3837</v>
      </c>
      <c r="D1825" t="s">
        <v>3838</v>
      </c>
      <c r="E1825" t="s">
        <v>2963</v>
      </c>
      <c r="F1825" t="s">
        <v>17</v>
      </c>
      <c r="G1825" t="s">
        <v>19</v>
      </c>
      <c r="H1825">
        <v>1.05</v>
      </c>
      <c r="I1825" s="6" t="str">
        <f>_xlfn.CONCAT("Art. złączny do produktu ",Tabela10[[#This Row],[KOD_PRODUKTU]])</f>
        <v>Art. złączny do produktu 904O50-120</v>
      </c>
      <c r="J1825" s="6" t="str">
        <f>_xlfn.CONCAT("VE-",Tabela10[[#This Row],[KOD_PRODUKTU]])</f>
        <v>VE-904O50-120</v>
      </c>
    </row>
    <row r="1826" spans="1:10" x14ac:dyDescent="0.25">
      <c r="A1826" s="7" t="s">
        <v>3832</v>
      </c>
      <c r="B1826" s="6" t="s">
        <v>3833</v>
      </c>
      <c r="C1826" s="7" t="s">
        <v>7</v>
      </c>
      <c r="D1826" s="6" t="s">
        <v>8</v>
      </c>
      <c r="E1826" s="6" t="s">
        <v>9</v>
      </c>
      <c r="F1826" s="6" t="s">
        <v>10</v>
      </c>
      <c r="G1826" s="6" t="s">
        <v>3839</v>
      </c>
      <c r="H1826" s="6">
        <v>36.17</v>
      </c>
      <c r="I1826" s="6" t="str">
        <f>_xlfn.CONCAT("Art. złączny do produktu ",Tabela10[[#This Row],[KOD_PRODUKTU]])</f>
        <v>Art. złączny do produktu 904O50-120</v>
      </c>
      <c r="J1826" s="6" t="str">
        <f>_xlfn.CONCAT("VE-",Tabela10[[#This Row],[KOD_PRODUKTU]])</f>
        <v>VE-904O50-120</v>
      </c>
    </row>
    <row r="1827" spans="1:10" x14ac:dyDescent="0.25">
      <c r="A1827" s="1" t="s">
        <v>3840</v>
      </c>
      <c r="B1827" t="s">
        <v>3841</v>
      </c>
      <c r="C1827" s="1" t="s">
        <v>2668</v>
      </c>
      <c r="D1827" t="s">
        <v>2669</v>
      </c>
      <c r="E1827" t="s">
        <v>2670</v>
      </c>
      <c r="F1827" t="s">
        <v>5</v>
      </c>
      <c r="G1827" t="s">
        <v>3842</v>
      </c>
      <c r="H1827">
        <v>4.8</v>
      </c>
      <c r="I1827" s="6" t="str">
        <f>_xlfn.CONCAT("Art. złączny do produktu ",Tabela10[[#This Row],[KOD_PRODUKTU]])</f>
        <v>Art. złączny do produktu 904O50-130</v>
      </c>
      <c r="J1827" s="6" t="str">
        <f>_xlfn.CONCAT("VE-",Tabela10[[#This Row],[KOD_PRODUKTU]])</f>
        <v>VE-904O50-130</v>
      </c>
    </row>
    <row r="1828" spans="1:10" x14ac:dyDescent="0.25">
      <c r="A1828" s="7" t="s">
        <v>3840</v>
      </c>
      <c r="B1828" s="6" t="s">
        <v>3841</v>
      </c>
      <c r="C1828" s="7" t="s">
        <v>1234</v>
      </c>
      <c r="D1828" s="6" t="s">
        <v>1235</v>
      </c>
      <c r="E1828" s="6" t="s">
        <v>108</v>
      </c>
      <c r="F1828" s="6" t="s">
        <v>932</v>
      </c>
      <c r="G1828" s="6" t="s">
        <v>2677</v>
      </c>
      <c r="H1828" s="6">
        <v>1.8</v>
      </c>
      <c r="I1828" s="6" t="str">
        <f>_xlfn.CONCAT("Art. złączny do produktu ",Tabela10[[#This Row],[KOD_PRODUKTU]])</f>
        <v>Art. złączny do produktu 904O50-130</v>
      </c>
      <c r="J1828" s="6" t="str">
        <f>_xlfn.CONCAT("VE-",Tabela10[[#This Row],[KOD_PRODUKTU]])</f>
        <v>VE-904O50-130</v>
      </c>
    </row>
    <row r="1829" spans="1:10" x14ac:dyDescent="0.25">
      <c r="A1829" s="1" t="s">
        <v>3840</v>
      </c>
      <c r="B1829" t="s">
        <v>3841</v>
      </c>
      <c r="C1829" s="1" t="s">
        <v>684</v>
      </c>
      <c r="D1829" t="s">
        <v>685</v>
      </c>
      <c r="E1829" t="s">
        <v>686</v>
      </c>
      <c r="F1829" t="s">
        <v>49</v>
      </c>
      <c r="G1829" t="s">
        <v>3843</v>
      </c>
      <c r="H1829">
        <v>10</v>
      </c>
      <c r="I1829" s="6" t="str">
        <f>_xlfn.CONCAT("Art. złączny do produktu ",Tabela10[[#This Row],[KOD_PRODUKTU]])</f>
        <v>Art. złączny do produktu 904O50-130</v>
      </c>
      <c r="J1829" s="6" t="str">
        <f>_xlfn.CONCAT("VE-",Tabela10[[#This Row],[KOD_PRODUKTU]])</f>
        <v>VE-904O50-130</v>
      </c>
    </row>
    <row r="1830" spans="1:10" x14ac:dyDescent="0.25">
      <c r="A1830" s="7" t="s">
        <v>3840</v>
      </c>
      <c r="B1830" s="6" t="s">
        <v>3841</v>
      </c>
      <c r="C1830" s="7" t="s">
        <v>684</v>
      </c>
      <c r="D1830" s="6" t="s">
        <v>685</v>
      </c>
      <c r="E1830" s="6" t="s">
        <v>686</v>
      </c>
      <c r="F1830" s="6" t="s">
        <v>49</v>
      </c>
      <c r="G1830" s="6" t="s">
        <v>3844</v>
      </c>
      <c r="H1830" s="6">
        <v>28.75</v>
      </c>
      <c r="I1830" s="6" t="str">
        <f>_xlfn.CONCAT("Art. złączny do produktu ",Tabela10[[#This Row],[KOD_PRODUKTU]])</f>
        <v>Art. złączny do produktu 904O50-130</v>
      </c>
      <c r="J1830" s="6" t="str">
        <f>_xlfn.CONCAT("VE-",Tabela10[[#This Row],[KOD_PRODUKTU]])</f>
        <v>VE-904O50-130</v>
      </c>
    </row>
    <row r="1831" spans="1:10" x14ac:dyDescent="0.25">
      <c r="A1831" s="1" t="s">
        <v>3840</v>
      </c>
      <c r="B1831" t="s">
        <v>3841</v>
      </c>
      <c r="C1831" s="1" t="s">
        <v>7</v>
      </c>
      <c r="D1831" t="s">
        <v>8</v>
      </c>
      <c r="E1831" t="s">
        <v>9</v>
      </c>
      <c r="F1831" t="s">
        <v>10</v>
      </c>
      <c r="G1831" t="s">
        <v>3845</v>
      </c>
      <c r="H1831">
        <v>36.33</v>
      </c>
      <c r="I1831" s="6" t="str">
        <f>_xlfn.CONCAT("Art. złączny do produktu ",Tabela10[[#This Row],[KOD_PRODUKTU]])</f>
        <v>Art. złączny do produktu 904O50-130</v>
      </c>
      <c r="J1831" s="6" t="str">
        <f>_xlfn.CONCAT("VE-",Tabela10[[#This Row],[KOD_PRODUKTU]])</f>
        <v>VE-904O50-130</v>
      </c>
    </row>
    <row r="1832" spans="1:10" x14ac:dyDescent="0.25">
      <c r="A1832" s="7" t="s">
        <v>3840</v>
      </c>
      <c r="B1832" s="6" t="s">
        <v>3841</v>
      </c>
      <c r="C1832" s="7" t="s">
        <v>7</v>
      </c>
      <c r="D1832" s="6" t="s">
        <v>8</v>
      </c>
      <c r="E1832" s="6" t="s">
        <v>9</v>
      </c>
      <c r="F1832" s="6" t="s">
        <v>10</v>
      </c>
      <c r="G1832" s="6" t="s">
        <v>3846</v>
      </c>
      <c r="H1832" s="6">
        <v>8.43</v>
      </c>
      <c r="I1832" s="6" t="str">
        <f>_xlfn.CONCAT("Art. złączny do produktu ",Tabela10[[#This Row],[KOD_PRODUKTU]])</f>
        <v>Art. złączny do produktu 904O50-130</v>
      </c>
      <c r="J1832" s="6" t="str">
        <f>_xlfn.CONCAT("VE-",Tabela10[[#This Row],[KOD_PRODUKTU]])</f>
        <v>VE-904O50-130</v>
      </c>
    </row>
    <row r="1833" spans="1:10" x14ac:dyDescent="0.25">
      <c r="A1833" s="1" t="s">
        <v>3847</v>
      </c>
      <c r="B1833" t="s">
        <v>3848</v>
      </c>
      <c r="C1833" s="1" t="s">
        <v>2668</v>
      </c>
      <c r="D1833" t="s">
        <v>2669</v>
      </c>
      <c r="E1833" t="s">
        <v>2670</v>
      </c>
      <c r="F1833" t="s">
        <v>5</v>
      </c>
      <c r="G1833" t="s">
        <v>3849</v>
      </c>
      <c r="H1833">
        <v>3.15</v>
      </c>
      <c r="I1833" s="6" t="str">
        <f>_xlfn.CONCAT("Art. złączny do produktu ",Tabela10[[#This Row],[KOD_PRODUKTU]])</f>
        <v>Art. złączny do produktu 904O50-140</v>
      </c>
      <c r="J1833" s="6" t="str">
        <f>_xlfn.CONCAT("VE-",Tabela10[[#This Row],[KOD_PRODUKTU]])</f>
        <v>VE-904O50-140</v>
      </c>
    </row>
    <row r="1834" spans="1:10" x14ac:dyDescent="0.25">
      <c r="A1834" s="7" t="s">
        <v>3847</v>
      </c>
      <c r="B1834" s="6" t="s">
        <v>3848</v>
      </c>
      <c r="C1834" s="7" t="s">
        <v>1234</v>
      </c>
      <c r="D1834" s="6" t="s">
        <v>1235</v>
      </c>
      <c r="E1834" s="6" t="s">
        <v>108</v>
      </c>
      <c r="F1834" s="6" t="s">
        <v>932</v>
      </c>
      <c r="G1834" s="6" t="s">
        <v>2677</v>
      </c>
      <c r="H1834" s="6">
        <v>1.8</v>
      </c>
      <c r="I1834" s="6" t="str">
        <f>_xlfn.CONCAT("Art. złączny do produktu ",Tabela10[[#This Row],[KOD_PRODUKTU]])</f>
        <v>Art. złączny do produktu 904O50-140</v>
      </c>
      <c r="J1834" s="6" t="str">
        <f>_xlfn.CONCAT("VE-",Tabela10[[#This Row],[KOD_PRODUKTU]])</f>
        <v>VE-904O50-140</v>
      </c>
    </row>
    <row r="1835" spans="1:10" x14ac:dyDescent="0.25">
      <c r="A1835" s="1" t="s">
        <v>3847</v>
      </c>
      <c r="B1835" t="s">
        <v>3848</v>
      </c>
      <c r="C1835" s="1" t="s">
        <v>684</v>
      </c>
      <c r="D1835" t="s">
        <v>685</v>
      </c>
      <c r="E1835" t="s">
        <v>686</v>
      </c>
      <c r="F1835" t="s">
        <v>49</v>
      </c>
      <c r="G1835" t="s">
        <v>2500</v>
      </c>
      <c r="H1835">
        <v>5</v>
      </c>
      <c r="I1835" s="6" t="str">
        <f>_xlfn.CONCAT("Art. złączny do produktu ",Tabela10[[#This Row],[KOD_PRODUKTU]])</f>
        <v>Art. złączny do produktu 904O50-140</v>
      </c>
      <c r="J1835" s="6" t="str">
        <f>_xlfn.CONCAT("VE-",Tabela10[[#This Row],[KOD_PRODUKTU]])</f>
        <v>VE-904O50-140</v>
      </c>
    </row>
    <row r="1836" spans="1:10" x14ac:dyDescent="0.25">
      <c r="A1836" s="7" t="s">
        <v>3847</v>
      </c>
      <c r="B1836" s="6" t="s">
        <v>3848</v>
      </c>
      <c r="C1836" s="7" t="s">
        <v>7</v>
      </c>
      <c r="D1836" s="6" t="s">
        <v>8</v>
      </c>
      <c r="E1836" s="6" t="s">
        <v>9</v>
      </c>
      <c r="F1836" s="6" t="s">
        <v>10</v>
      </c>
      <c r="G1836" s="6" t="s">
        <v>3850</v>
      </c>
      <c r="H1836" s="6">
        <v>8.3699999999999992</v>
      </c>
      <c r="I1836" s="6" t="str">
        <f>_xlfn.CONCAT("Art. złączny do produktu ",Tabela10[[#This Row],[KOD_PRODUKTU]])</f>
        <v>Art. złączny do produktu 904O50-140</v>
      </c>
      <c r="J1836" s="6" t="str">
        <f>_xlfn.CONCAT("VE-",Tabela10[[#This Row],[KOD_PRODUKTU]])</f>
        <v>VE-904O50-140</v>
      </c>
    </row>
    <row r="1837" spans="1:10" x14ac:dyDescent="0.25">
      <c r="A1837" s="1" t="s">
        <v>3847</v>
      </c>
      <c r="B1837" t="s">
        <v>3848</v>
      </c>
      <c r="C1837" s="1" t="s">
        <v>7</v>
      </c>
      <c r="D1837" t="s">
        <v>8</v>
      </c>
      <c r="E1837" t="s">
        <v>9</v>
      </c>
      <c r="F1837" t="s">
        <v>10</v>
      </c>
      <c r="G1837" t="s">
        <v>3851</v>
      </c>
      <c r="H1837">
        <v>14.33</v>
      </c>
      <c r="I1837" s="6" t="str">
        <f>_xlfn.CONCAT("Art. złączny do produktu ",Tabela10[[#This Row],[KOD_PRODUKTU]])</f>
        <v>Art. złączny do produktu 904O50-140</v>
      </c>
      <c r="J1837" s="6" t="str">
        <f>_xlfn.CONCAT("VE-",Tabela10[[#This Row],[KOD_PRODUKTU]])</f>
        <v>VE-904O50-140</v>
      </c>
    </row>
    <row r="1838" spans="1:10" x14ac:dyDescent="0.25">
      <c r="A1838" s="7" t="s">
        <v>3852</v>
      </c>
      <c r="B1838" s="6" t="s">
        <v>3853</v>
      </c>
      <c r="C1838" s="7" t="s">
        <v>684</v>
      </c>
      <c r="D1838" s="6" t="s">
        <v>685</v>
      </c>
      <c r="E1838" s="6" t="s">
        <v>686</v>
      </c>
      <c r="F1838" s="6" t="s">
        <v>49</v>
      </c>
      <c r="G1838" s="6" t="s">
        <v>3854</v>
      </c>
      <c r="H1838" s="6">
        <v>52.5</v>
      </c>
      <c r="I1838" s="6" t="str">
        <f>_xlfn.CONCAT("Art. złączny do produktu ",Tabela10[[#This Row],[KOD_PRODUKTU]])</f>
        <v>Art. złączny do produktu 904O50-200</v>
      </c>
      <c r="J1838" s="6" t="str">
        <f>_xlfn.CONCAT("VE-",Tabela10[[#This Row],[KOD_PRODUKTU]])</f>
        <v>VE-904O50-200</v>
      </c>
    </row>
    <row r="1839" spans="1:10" x14ac:dyDescent="0.25">
      <c r="A1839" s="1" t="s">
        <v>3852</v>
      </c>
      <c r="B1839" t="s">
        <v>3853</v>
      </c>
      <c r="C1839" s="1" t="s">
        <v>541</v>
      </c>
      <c r="D1839" t="s">
        <v>542</v>
      </c>
      <c r="E1839" t="s">
        <v>9</v>
      </c>
      <c r="F1839" t="s">
        <v>10</v>
      </c>
      <c r="G1839" t="s">
        <v>3855</v>
      </c>
      <c r="H1839">
        <v>96.6</v>
      </c>
      <c r="I1839" s="6" t="str">
        <f>_xlfn.CONCAT("Art. złączny do produktu ",Tabela10[[#This Row],[KOD_PRODUKTU]])</f>
        <v>Art. złączny do produktu 904O50-200</v>
      </c>
      <c r="J1839" s="6" t="str">
        <f>_xlfn.CONCAT("VE-",Tabela10[[#This Row],[KOD_PRODUKTU]])</f>
        <v>VE-904O50-200</v>
      </c>
    </row>
    <row r="1840" spans="1:10" x14ac:dyDescent="0.25">
      <c r="A1840" s="7" t="s">
        <v>3856</v>
      </c>
      <c r="B1840" s="6" t="s">
        <v>3857</v>
      </c>
      <c r="C1840" s="7" t="s">
        <v>2</v>
      </c>
      <c r="D1840" s="6" t="s">
        <v>3</v>
      </c>
      <c r="E1840" s="6" t="s">
        <v>4</v>
      </c>
      <c r="F1840" s="6" t="s">
        <v>5</v>
      </c>
      <c r="G1840" s="6" t="s">
        <v>3817</v>
      </c>
      <c r="H1840" s="6">
        <v>0.4</v>
      </c>
      <c r="I1840" s="6" t="str">
        <f>_xlfn.CONCAT("Art. złączny do produktu ",Tabela10[[#This Row],[KOD_PRODUKTU]])</f>
        <v>Art. złączny do produktu 904O50-300</v>
      </c>
      <c r="J1840" s="6" t="str">
        <f>_xlfn.CONCAT("VE-",Tabela10[[#This Row],[KOD_PRODUKTU]])</f>
        <v>VE-904O50-300</v>
      </c>
    </row>
    <row r="1841" spans="1:10" x14ac:dyDescent="0.25">
      <c r="A1841" s="1" t="s">
        <v>3856</v>
      </c>
      <c r="B1841" t="s">
        <v>3857</v>
      </c>
      <c r="C1841" s="1" t="s">
        <v>432</v>
      </c>
      <c r="D1841" t="s">
        <v>433</v>
      </c>
      <c r="E1841" t="s">
        <v>434</v>
      </c>
      <c r="F1841" t="s">
        <v>435</v>
      </c>
      <c r="G1841" t="s">
        <v>50</v>
      </c>
      <c r="H1841">
        <v>1.1000000000000001</v>
      </c>
      <c r="I1841" s="6" t="str">
        <f>_xlfn.CONCAT("Art. złączny do produktu ",Tabela10[[#This Row],[KOD_PRODUKTU]])</f>
        <v>Art. złączny do produktu 904O50-300</v>
      </c>
      <c r="J1841" s="6" t="str">
        <f>_xlfn.CONCAT("VE-",Tabela10[[#This Row],[KOD_PRODUKTU]])</f>
        <v>VE-904O50-300</v>
      </c>
    </row>
    <row r="1842" spans="1:10" x14ac:dyDescent="0.25">
      <c r="A1842" s="7" t="s">
        <v>3856</v>
      </c>
      <c r="B1842" s="6" t="s">
        <v>3857</v>
      </c>
      <c r="C1842" s="7" t="s">
        <v>541</v>
      </c>
      <c r="D1842" s="6" t="s">
        <v>542</v>
      </c>
      <c r="E1842" s="6" t="s">
        <v>9</v>
      </c>
      <c r="F1842" s="6" t="s">
        <v>10</v>
      </c>
      <c r="G1842" s="6" t="s">
        <v>1225</v>
      </c>
      <c r="H1842" s="6">
        <v>2.5</v>
      </c>
      <c r="I1842" s="6" t="str">
        <f>_xlfn.CONCAT("Art. złączny do produktu ",Tabela10[[#This Row],[KOD_PRODUKTU]])</f>
        <v>Art. złączny do produktu 904O50-300</v>
      </c>
      <c r="J1842" s="6" t="str">
        <f>_xlfn.CONCAT("VE-",Tabela10[[#This Row],[KOD_PRODUKTU]])</f>
        <v>VE-904O50-300</v>
      </c>
    </row>
    <row r="1843" spans="1:10" x14ac:dyDescent="0.25">
      <c r="A1843" s="1" t="s">
        <v>3856</v>
      </c>
      <c r="B1843" t="s">
        <v>3857</v>
      </c>
      <c r="C1843" s="1" t="s">
        <v>7</v>
      </c>
      <c r="D1843" t="s">
        <v>8</v>
      </c>
      <c r="E1843" t="s">
        <v>9</v>
      </c>
      <c r="F1843" t="s">
        <v>10</v>
      </c>
      <c r="G1843" t="s">
        <v>1044</v>
      </c>
      <c r="H1843">
        <v>4.8</v>
      </c>
      <c r="I1843" s="6" t="str">
        <f>_xlfn.CONCAT("Art. złączny do produktu ",Tabela10[[#This Row],[KOD_PRODUKTU]])</f>
        <v>Art. złączny do produktu 904O50-300</v>
      </c>
      <c r="J1843" s="6" t="str">
        <f>_xlfn.CONCAT("VE-",Tabela10[[#This Row],[KOD_PRODUKTU]])</f>
        <v>VE-904O50-300</v>
      </c>
    </row>
    <row r="1844" spans="1:10" x14ac:dyDescent="0.25">
      <c r="A1844" s="7" t="s">
        <v>3858</v>
      </c>
      <c r="B1844" s="6" t="s">
        <v>3859</v>
      </c>
      <c r="C1844" s="7" t="s">
        <v>3407</v>
      </c>
      <c r="D1844" s="6" t="s">
        <v>3408</v>
      </c>
      <c r="E1844" s="6" t="s">
        <v>70</v>
      </c>
      <c r="F1844" s="6" t="s">
        <v>5</v>
      </c>
      <c r="G1844" s="6" t="s">
        <v>367</v>
      </c>
      <c r="H1844" s="6">
        <v>0.25</v>
      </c>
      <c r="I1844" s="6" t="str">
        <f>_xlfn.CONCAT("Art. złączny do produktu ",Tabela10[[#This Row],[KOD_PRODUKTU]])</f>
        <v>Art. złączny do produktu 904O50-310</v>
      </c>
      <c r="J1844" s="6" t="str">
        <f>_xlfn.CONCAT("VE-",Tabela10[[#This Row],[KOD_PRODUKTU]])</f>
        <v>VE-904O50-310</v>
      </c>
    </row>
    <row r="1845" spans="1:10" x14ac:dyDescent="0.25">
      <c r="A1845" s="1" t="s">
        <v>3858</v>
      </c>
      <c r="B1845" t="s">
        <v>3859</v>
      </c>
      <c r="C1845" s="1" t="s">
        <v>432</v>
      </c>
      <c r="D1845" t="s">
        <v>433</v>
      </c>
      <c r="E1845" t="s">
        <v>434</v>
      </c>
      <c r="F1845" t="s">
        <v>435</v>
      </c>
      <c r="G1845" t="s">
        <v>50</v>
      </c>
      <c r="H1845">
        <v>1.1000000000000001</v>
      </c>
      <c r="I1845" s="6" t="str">
        <f>_xlfn.CONCAT("Art. złączny do produktu ",Tabela10[[#This Row],[KOD_PRODUKTU]])</f>
        <v>Art. złączny do produktu 904O50-310</v>
      </c>
      <c r="J1845" s="6" t="str">
        <f>_xlfn.CONCAT("VE-",Tabela10[[#This Row],[KOD_PRODUKTU]])</f>
        <v>VE-904O50-310</v>
      </c>
    </row>
    <row r="1846" spans="1:10" x14ac:dyDescent="0.25">
      <c r="A1846" s="7" t="s">
        <v>3858</v>
      </c>
      <c r="B1846" s="6" t="s">
        <v>3859</v>
      </c>
      <c r="C1846" s="7" t="s">
        <v>7</v>
      </c>
      <c r="D1846" s="6" t="s">
        <v>8</v>
      </c>
      <c r="E1846" s="6" t="s">
        <v>9</v>
      </c>
      <c r="F1846" s="6" t="s">
        <v>10</v>
      </c>
      <c r="G1846" s="6" t="s">
        <v>367</v>
      </c>
      <c r="H1846" s="6">
        <v>2.2999999999999998</v>
      </c>
      <c r="I1846" s="6" t="str">
        <f>_xlfn.CONCAT("Art. złączny do produktu ",Tabela10[[#This Row],[KOD_PRODUKTU]])</f>
        <v>Art. złączny do produktu 904O50-310</v>
      </c>
      <c r="J1846" s="6" t="str">
        <f>_xlfn.CONCAT("VE-",Tabela10[[#This Row],[KOD_PRODUKTU]])</f>
        <v>VE-904O50-310</v>
      </c>
    </row>
    <row r="1847" spans="1:10" x14ac:dyDescent="0.25">
      <c r="A1847" s="1" t="s">
        <v>3860</v>
      </c>
      <c r="B1847" t="s">
        <v>3861</v>
      </c>
      <c r="C1847" s="1" t="s">
        <v>1495</v>
      </c>
      <c r="D1847" t="s">
        <v>1496</v>
      </c>
      <c r="E1847" t="s">
        <v>1017</v>
      </c>
      <c r="F1847" t="s">
        <v>5</v>
      </c>
      <c r="G1847" t="s">
        <v>601</v>
      </c>
      <c r="H1847">
        <v>4.05</v>
      </c>
      <c r="I1847" s="6" t="str">
        <f>_xlfn.CONCAT("Art. złączny do produktu ",Tabela10[[#This Row],[KOD_PRODUKTU]])</f>
        <v>Art. złączny do produktu 904O50-320</v>
      </c>
      <c r="J1847" s="6" t="str">
        <f>_xlfn.CONCAT("VE-",Tabela10[[#This Row],[KOD_PRODUKTU]])</f>
        <v>VE-904O50-320</v>
      </c>
    </row>
    <row r="1848" spans="1:10" x14ac:dyDescent="0.25">
      <c r="A1848" s="7" t="s">
        <v>3860</v>
      </c>
      <c r="B1848" s="6" t="s">
        <v>3861</v>
      </c>
      <c r="C1848" s="7" t="s">
        <v>7</v>
      </c>
      <c r="D1848" s="6" t="s">
        <v>8</v>
      </c>
      <c r="E1848" s="6" t="s">
        <v>9</v>
      </c>
      <c r="F1848" s="6" t="s">
        <v>10</v>
      </c>
      <c r="G1848" s="6" t="s">
        <v>3862</v>
      </c>
      <c r="H1848" s="6">
        <v>9.3000000000000007</v>
      </c>
      <c r="I1848" s="6" t="str">
        <f>_xlfn.CONCAT("Art. złączny do produktu ",Tabela10[[#This Row],[KOD_PRODUKTU]])</f>
        <v>Art. złączny do produktu 904O50-320</v>
      </c>
      <c r="J1848" s="6" t="str">
        <f>_xlfn.CONCAT("VE-",Tabela10[[#This Row],[KOD_PRODUKTU]])</f>
        <v>VE-904O50-320</v>
      </c>
    </row>
    <row r="1849" spans="1:10" x14ac:dyDescent="0.25">
      <c r="A1849" s="1" t="s">
        <v>3863</v>
      </c>
      <c r="B1849" t="s">
        <v>3864</v>
      </c>
      <c r="C1849" s="1" t="s">
        <v>3865</v>
      </c>
      <c r="D1849" t="s">
        <v>3866</v>
      </c>
      <c r="E1849" t="s">
        <v>403</v>
      </c>
      <c r="F1849" t="s">
        <v>17</v>
      </c>
      <c r="G1849" t="s">
        <v>3433</v>
      </c>
      <c r="H1849">
        <v>0.1</v>
      </c>
      <c r="I1849" s="6" t="str">
        <f>_xlfn.CONCAT("Art. złączny do produktu ",Tabela10[[#This Row],[KOD_PRODUKTU]])</f>
        <v>Art. złączny do produktu 904O50-330</v>
      </c>
      <c r="J1849" s="6" t="str">
        <f>_xlfn.CONCAT("VE-",Tabela10[[#This Row],[KOD_PRODUKTU]])</f>
        <v>VE-904O50-330</v>
      </c>
    </row>
    <row r="1850" spans="1:10" x14ac:dyDescent="0.25">
      <c r="A1850" s="7" t="s">
        <v>3863</v>
      </c>
      <c r="B1850" s="6" t="s">
        <v>3864</v>
      </c>
      <c r="C1850" s="7" t="s">
        <v>432</v>
      </c>
      <c r="D1850" s="6" t="s">
        <v>433</v>
      </c>
      <c r="E1850" s="6" t="s">
        <v>434</v>
      </c>
      <c r="F1850" s="6" t="s">
        <v>435</v>
      </c>
      <c r="G1850" s="6" t="s">
        <v>50</v>
      </c>
      <c r="H1850" s="6">
        <v>1.1000000000000001</v>
      </c>
      <c r="I1850" s="6" t="str">
        <f>_xlfn.CONCAT("Art. złączny do produktu ",Tabela10[[#This Row],[KOD_PRODUKTU]])</f>
        <v>Art. złączny do produktu 904O50-330</v>
      </c>
      <c r="J1850" s="6" t="str">
        <f>_xlfn.CONCAT("VE-",Tabela10[[#This Row],[KOD_PRODUKTU]])</f>
        <v>VE-904O50-330</v>
      </c>
    </row>
    <row r="1851" spans="1:10" x14ac:dyDescent="0.25">
      <c r="A1851" s="1" t="s">
        <v>3863</v>
      </c>
      <c r="B1851" t="s">
        <v>3864</v>
      </c>
      <c r="C1851" s="1" t="s">
        <v>7</v>
      </c>
      <c r="D1851" t="s">
        <v>8</v>
      </c>
      <c r="E1851" t="s">
        <v>9</v>
      </c>
      <c r="F1851" t="s">
        <v>10</v>
      </c>
      <c r="G1851" t="s">
        <v>3867</v>
      </c>
      <c r="H1851">
        <v>2.4500000000000002</v>
      </c>
      <c r="I1851" s="6" t="str">
        <f>_xlfn.CONCAT("Art. złączny do produktu ",Tabela10[[#This Row],[KOD_PRODUKTU]])</f>
        <v>Art. złączny do produktu 904O50-330</v>
      </c>
      <c r="J1851" s="6" t="str">
        <f>_xlfn.CONCAT("VE-",Tabela10[[#This Row],[KOD_PRODUKTU]])</f>
        <v>VE-904O50-330</v>
      </c>
    </row>
    <row r="1852" spans="1:10" x14ac:dyDescent="0.25">
      <c r="A1852" s="7" t="s">
        <v>3868</v>
      </c>
      <c r="B1852" s="6" t="s">
        <v>3869</v>
      </c>
      <c r="C1852" s="7" t="s">
        <v>3510</v>
      </c>
      <c r="D1852" s="6" t="s">
        <v>3511</v>
      </c>
      <c r="E1852" s="6" t="s">
        <v>1017</v>
      </c>
      <c r="F1852" s="6" t="s">
        <v>5</v>
      </c>
      <c r="G1852" s="6" t="s">
        <v>19</v>
      </c>
      <c r="H1852" s="6">
        <v>2.7</v>
      </c>
      <c r="I1852" s="6" t="str">
        <f>_xlfn.CONCAT("Art. złączny do produktu ",Tabela10[[#This Row],[KOD_PRODUKTU]])</f>
        <v>Art. złączny do produktu 904O50-340</v>
      </c>
      <c r="J1852" s="6" t="str">
        <f>_xlfn.CONCAT("VE-",Tabela10[[#This Row],[KOD_PRODUKTU]])</f>
        <v>VE-904O50-340</v>
      </c>
    </row>
    <row r="1853" spans="1:10" x14ac:dyDescent="0.25">
      <c r="A1853" s="1" t="s">
        <v>3868</v>
      </c>
      <c r="B1853" t="s">
        <v>3869</v>
      </c>
      <c r="C1853" s="1" t="s">
        <v>541</v>
      </c>
      <c r="D1853" t="s">
        <v>542</v>
      </c>
      <c r="E1853" t="s">
        <v>9</v>
      </c>
      <c r="F1853" t="s">
        <v>10</v>
      </c>
      <c r="G1853" t="s">
        <v>3870</v>
      </c>
      <c r="H1853">
        <v>9.61</v>
      </c>
      <c r="I1853" s="6" t="str">
        <f>_xlfn.CONCAT("Art. złączny do produktu ",Tabela10[[#This Row],[KOD_PRODUKTU]])</f>
        <v>Art. złączny do produktu 904O50-340</v>
      </c>
      <c r="J1853" s="6" t="str">
        <f>_xlfn.CONCAT("VE-",Tabela10[[#This Row],[KOD_PRODUKTU]])</f>
        <v>VE-904O50-340</v>
      </c>
    </row>
    <row r="1854" spans="1:10" x14ac:dyDescent="0.25">
      <c r="A1854" s="7" t="s">
        <v>3871</v>
      </c>
      <c r="B1854" s="6" t="s">
        <v>3872</v>
      </c>
      <c r="C1854" s="7" t="s">
        <v>3873</v>
      </c>
      <c r="D1854" s="6" t="s">
        <v>3874</v>
      </c>
      <c r="E1854" s="6" t="s">
        <v>1892</v>
      </c>
      <c r="F1854" s="6" t="s">
        <v>17</v>
      </c>
      <c r="G1854" s="6" t="s">
        <v>19</v>
      </c>
      <c r="H1854" s="6">
        <v>1</v>
      </c>
      <c r="I1854" s="6" t="str">
        <f>_xlfn.CONCAT("Art. złączny do produktu ",Tabela10[[#This Row],[KOD_PRODUKTU]])</f>
        <v>Art. złączny do produktu 904O50-341</v>
      </c>
      <c r="J1854" s="6" t="str">
        <f>_xlfn.CONCAT("VE-",Tabela10[[#This Row],[KOD_PRODUKTU]])</f>
        <v>VE-904O50-341</v>
      </c>
    </row>
    <row r="1855" spans="1:10" x14ac:dyDescent="0.25">
      <c r="A1855" s="1" t="s">
        <v>3871</v>
      </c>
      <c r="B1855" t="s">
        <v>3872</v>
      </c>
      <c r="C1855" s="1" t="s">
        <v>432</v>
      </c>
      <c r="D1855" t="s">
        <v>433</v>
      </c>
      <c r="E1855" t="s">
        <v>434</v>
      </c>
      <c r="F1855" t="s">
        <v>435</v>
      </c>
      <c r="G1855" t="s">
        <v>50</v>
      </c>
      <c r="H1855">
        <v>1.1000000000000001</v>
      </c>
      <c r="I1855" s="6" t="str">
        <f>_xlfn.CONCAT("Art. złączny do produktu ",Tabela10[[#This Row],[KOD_PRODUKTU]])</f>
        <v>Art. złączny do produktu 904O50-341</v>
      </c>
      <c r="J1855" s="6" t="str">
        <f>_xlfn.CONCAT("VE-",Tabela10[[#This Row],[KOD_PRODUKTU]])</f>
        <v>VE-904O50-341</v>
      </c>
    </row>
    <row r="1856" spans="1:10" x14ac:dyDescent="0.25">
      <c r="A1856" s="7" t="s">
        <v>3871</v>
      </c>
      <c r="B1856" s="6" t="s">
        <v>3872</v>
      </c>
      <c r="C1856" s="7" t="s">
        <v>541</v>
      </c>
      <c r="D1856" s="6" t="s">
        <v>542</v>
      </c>
      <c r="E1856" s="6" t="s">
        <v>9</v>
      </c>
      <c r="F1856" s="6" t="s">
        <v>10</v>
      </c>
      <c r="G1856" s="6" t="s">
        <v>3867</v>
      </c>
      <c r="H1856" s="6">
        <v>2.4500000000000002</v>
      </c>
      <c r="I1856" s="6" t="str">
        <f>_xlfn.CONCAT("Art. złączny do produktu ",Tabela10[[#This Row],[KOD_PRODUKTU]])</f>
        <v>Art. złączny do produktu 904O50-341</v>
      </c>
      <c r="J1856" s="6" t="str">
        <f>_xlfn.CONCAT("VE-",Tabela10[[#This Row],[KOD_PRODUKTU]])</f>
        <v>VE-904O50-341</v>
      </c>
    </row>
    <row r="1857" spans="1:10" x14ac:dyDescent="0.25">
      <c r="A1857" s="1" t="s">
        <v>3875</v>
      </c>
      <c r="B1857" t="s">
        <v>3876</v>
      </c>
      <c r="C1857" s="1" t="s">
        <v>1188</v>
      </c>
      <c r="D1857" t="s">
        <v>1189</v>
      </c>
      <c r="E1857" t="s">
        <v>1190</v>
      </c>
      <c r="F1857" t="s">
        <v>5</v>
      </c>
      <c r="G1857" t="s">
        <v>652</v>
      </c>
      <c r="H1857">
        <v>0.28999999999999998</v>
      </c>
      <c r="I1857" s="6" t="str">
        <f>_xlfn.CONCAT("Art. złączny do produktu ",Tabela10[[#This Row],[KOD_PRODUKTU]])</f>
        <v>Art. złączny do produktu 904O50-342</v>
      </c>
      <c r="J1857" s="6" t="str">
        <f>_xlfn.CONCAT("VE-",Tabela10[[#This Row],[KOD_PRODUKTU]])</f>
        <v>VE-904O50-342</v>
      </c>
    </row>
    <row r="1858" spans="1:10" x14ac:dyDescent="0.25">
      <c r="A1858" s="7" t="s">
        <v>3875</v>
      </c>
      <c r="B1858" s="6" t="s">
        <v>3876</v>
      </c>
      <c r="C1858" s="7" t="s">
        <v>432</v>
      </c>
      <c r="D1858" s="6" t="s">
        <v>433</v>
      </c>
      <c r="E1858" s="6" t="s">
        <v>434</v>
      </c>
      <c r="F1858" s="6" t="s">
        <v>435</v>
      </c>
      <c r="G1858" s="6" t="s">
        <v>50</v>
      </c>
      <c r="H1858" s="6">
        <v>1.1000000000000001</v>
      </c>
      <c r="I1858" s="6" t="str">
        <f>_xlfn.CONCAT("Art. złączny do produktu ",Tabela10[[#This Row],[KOD_PRODUKTU]])</f>
        <v>Art. złączny do produktu 904O50-342</v>
      </c>
      <c r="J1858" s="6" t="str">
        <f>_xlfn.CONCAT("VE-",Tabela10[[#This Row],[KOD_PRODUKTU]])</f>
        <v>VE-904O50-342</v>
      </c>
    </row>
    <row r="1859" spans="1:10" x14ac:dyDescent="0.25">
      <c r="A1859" s="1" t="s">
        <v>3875</v>
      </c>
      <c r="B1859" t="s">
        <v>3876</v>
      </c>
      <c r="C1859" s="1" t="s">
        <v>541</v>
      </c>
      <c r="D1859" t="s">
        <v>542</v>
      </c>
      <c r="E1859" t="s">
        <v>9</v>
      </c>
      <c r="F1859" t="s">
        <v>10</v>
      </c>
      <c r="G1859" t="s">
        <v>367</v>
      </c>
      <c r="H1859">
        <v>2.2999999999999998</v>
      </c>
      <c r="I1859" s="6" t="str">
        <f>_xlfn.CONCAT("Art. złączny do produktu ",Tabela10[[#This Row],[KOD_PRODUKTU]])</f>
        <v>Art. złączny do produktu 904O50-342</v>
      </c>
      <c r="J1859" s="6" t="str">
        <f>_xlfn.CONCAT("VE-",Tabela10[[#This Row],[KOD_PRODUKTU]])</f>
        <v>VE-904O50-342</v>
      </c>
    </row>
    <row r="1860" spans="1:10" x14ac:dyDescent="0.25">
      <c r="A1860" s="7" t="s">
        <v>3877</v>
      </c>
      <c r="B1860" s="6" t="s">
        <v>3878</v>
      </c>
      <c r="C1860" s="7" t="s">
        <v>3879</v>
      </c>
      <c r="D1860" s="6" t="s">
        <v>3880</v>
      </c>
      <c r="E1860" s="6" t="s">
        <v>1888</v>
      </c>
      <c r="F1860" s="6" t="s">
        <v>5</v>
      </c>
      <c r="G1860" s="6" t="s">
        <v>652</v>
      </c>
      <c r="H1860" s="6">
        <v>0.66</v>
      </c>
      <c r="I1860" s="6" t="str">
        <f>_xlfn.CONCAT("Art. złączny do produktu ",Tabela10[[#This Row],[KOD_PRODUKTU]])</f>
        <v>Art. złączny do produktu 904O50-343</v>
      </c>
      <c r="J1860" s="6" t="str">
        <f>_xlfn.CONCAT("VE-",Tabela10[[#This Row],[KOD_PRODUKTU]])</f>
        <v>VE-904O50-343</v>
      </c>
    </row>
    <row r="1861" spans="1:10" x14ac:dyDescent="0.25">
      <c r="A1861" s="1" t="s">
        <v>3877</v>
      </c>
      <c r="B1861" t="s">
        <v>3878</v>
      </c>
      <c r="C1861" s="1" t="s">
        <v>541</v>
      </c>
      <c r="D1861" t="s">
        <v>542</v>
      </c>
      <c r="E1861" t="s">
        <v>9</v>
      </c>
      <c r="F1861" t="s">
        <v>10</v>
      </c>
      <c r="G1861" t="s">
        <v>3047</v>
      </c>
      <c r="H1861">
        <v>4.83</v>
      </c>
      <c r="I1861" s="6" t="str">
        <f>_xlfn.CONCAT("Art. złączny do produktu ",Tabela10[[#This Row],[KOD_PRODUKTU]])</f>
        <v>Art. złączny do produktu 904O50-343</v>
      </c>
      <c r="J1861" s="6" t="str">
        <f>_xlfn.CONCAT("VE-",Tabela10[[#This Row],[KOD_PRODUKTU]])</f>
        <v>VE-904O50-343</v>
      </c>
    </row>
    <row r="1862" spans="1:10" x14ac:dyDescent="0.25">
      <c r="A1862" s="7" t="s">
        <v>3881</v>
      </c>
      <c r="B1862" s="6" t="s">
        <v>3882</v>
      </c>
      <c r="C1862" s="7" t="s">
        <v>2</v>
      </c>
      <c r="D1862" s="6" t="s">
        <v>3</v>
      </c>
      <c r="E1862" s="6" t="s">
        <v>4</v>
      </c>
      <c r="F1862" s="6" t="s">
        <v>5</v>
      </c>
      <c r="G1862" s="6" t="s">
        <v>478</v>
      </c>
      <c r="H1862" s="6">
        <v>0.77</v>
      </c>
      <c r="I1862" s="6" t="str">
        <f>_xlfn.CONCAT("Art. złączny do produktu ",Tabela10[[#This Row],[KOD_PRODUKTU]])</f>
        <v>Art. złączny do produktu 904O50-344</v>
      </c>
      <c r="J1862" s="6" t="str">
        <f>_xlfn.CONCAT("VE-",Tabela10[[#This Row],[KOD_PRODUKTU]])</f>
        <v>VE-904O50-344</v>
      </c>
    </row>
    <row r="1863" spans="1:10" x14ac:dyDescent="0.25">
      <c r="A1863" s="1" t="s">
        <v>3881</v>
      </c>
      <c r="B1863" t="s">
        <v>3882</v>
      </c>
      <c r="C1863" s="1" t="s">
        <v>432</v>
      </c>
      <c r="D1863" t="s">
        <v>433</v>
      </c>
      <c r="E1863" t="s">
        <v>434</v>
      </c>
      <c r="F1863" t="s">
        <v>435</v>
      </c>
      <c r="G1863" t="s">
        <v>50</v>
      </c>
      <c r="H1863">
        <v>1.1000000000000001</v>
      </c>
      <c r="I1863" s="6" t="str">
        <f>_xlfn.CONCAT("Art. złączny do produktu ",Tabela10[[#This Row],[KOD_PRODUKTU]])</f>
        <v>Art. złączny do produktu 904O50-344</v>
      </c>
      <c r="J1863" s="6" t="str">
        <f>_xlfn.CONCAT("VE-",Tabela10[[#This Row],[KOD_PRODUKTU]])</f>
        <v>VE-904O50-344</v>
      </c>
    </row>
    <row r="1864" spans="1:10" x14ac:dyDescent="0.25">
      <c r="A1864" s="7" t="s">
        <v>3881</v>
      </c>
      <c r="B1864" s="6" t="s">
        <v>3882</v>
      </c>
      <c r="C1864" s="7" t="s">
        <v>541</v>
      </c>
      <c r="D1864" s="6" t="s">
        <v>542</v>
      </c>
      <c r="E1864" s="6" t="s">
        <v>9</v>
      </c>
      <c r="F1864" s="6" t="s">
        <v>10</v>
      </c>
      <c r="G1864" s="6" t="s">
        <v>19</v>
      </c>
      <c r="H1864" s="6">
        <v>4.5999999999999996</v>
      </c>
      <c r="I1864" s="6" t="str">
        <f>_xlfn.CONCAT("Art. złączny do produktu ",Tabela10[[#This Row],[KOD_PRODUKTU]])</f>
        <v>Art. złączny do produktu 904O50-344</v>
      </c>
      <c r="J1864" s="6" t="str">
        <f>_xlfn.CONCAT("VE-",Tabela10[[#This Row],[KOD_PRODUKTU]])</f>
        <v>VE-904O50-344</v>
      </c>
    </row>
    <row r="1865" spans="1:10" x14ac:dyDescent="0.25">
      <c r="A1865" s="1" t="s">
        <v>3883</v>
      </c>
      <c r="B1865" t="s">
        <v>3884</v>
      </c>
      <c r="C1865" s="1" t="s">
        <v>1447</v>
      </c>
      <c r="D1865" t="s">
        <v>1448</v>
      </c>
      <c r="E1865" t="s">
        <v>779</v>
      </c>
      <c r="F1865" t="s">
        <v>5</v>
      </c>
      <c r="G1865" t="s">
        <v>3885</v>
      </c>
      <c r="H1865">
        <v>5.4</v>
      </c>
      <c r="I1865" s="6" t="str">
        <f>_xlfn.CONCAT("Art. złączny do produktu ",Tabela10[[#This Row],[KOD_PRODUKTU]])</f>
        <v>Art. złączny do produktu 904O50-350</v>
      </c>
      <c r="J1865" s="6" t="str">
        <f>_xlfn.CONCAT("VE-",Tabela10[[#This Row],[KOD_PRODUKTU]])</f>
        <v>VE-904O50-350</v>
      </c>
    </row>
    <row r="1866" spans="1:10" x14ac:dyDescent="0.25">
      <c r="A1866" s="7" t="s">
        <v>3883</v>
      </c>
      <c r="B1866" s="6" t="s">
        <v>3884</v>
      </c>
      <c r="C1866" s="7" t="s">
        <v>432</v>
      </c>
      <c r="D1866" s="6" t="s">
        <v>433</v>
      </c>
      <c r="E1866" s="6" t="s">
        <v>434</v>
      </c>
      <c r="F1866" s="6" t="s">
        <v>435</v>
      </c>
      <c r="G1866" s="6" t="s">
        <v>3886</v>
      </c>
      <c r="H1866" s="6">
        <v>1.7</v>
      </c>
      <c r="I1866" s="6" t="str">
        <f>_xlfn.CONCAT("Art. złączny do produktu ",Tabela10[[#This Row],[KOD_PRODUKTU]])</f>
        <v>Art. złączny do produktu 904O50-350</v>
      </c>
      <c r="J1866" s="6" t="str">
        <f>_xlfn.CONCAT("VE-",Tabela10[[#This Row],[KOD_PRODUKTU]])</f>
        <v>VE-904O50-350</v>
      </c>
    </row>
    <row r="1867" spans="1:10" x14ac:dyDescent="0.25">
      <c r="A1867" s="1" t="s">
        <v>3883</v>
      </c>
      <c r="B1867" t="s">
        <v>3884</v>
      </c>
      <c r="C1867" s="1" t="s">
        <v>541</v>
      </c>
      <c r="D1867" t="s">
        <v>542</v>
      </c>
      <c r="E1867" t="s">
        <v>9</v>
      </c>
      <c r="F1867" t="s">
        <v>10</v>
      </c>
      <c r="G1867" t="s">
        <v>3887</v>
      </c>
      <c r="H1867">
        <v>14.43</v>
      </c>
      <c r="I1867" s="6" t="str">
        <f>_xlfn.CONCAT("Art. złączny do produktu ",Tabela10[[#This Row],[KOD_PRODUKTU]])</f>
        <v>Art. złączny do produktu 904O50-350</v>
      </c>
      <c r="J1867" s="6" t="str">
        <f>_xlfn.CONCAT("VE-",Tabela10[[#This Row],[KOD_PRODUKTU]])</f>
        <v>VE-904O50-350</v>
      </c>
    </row>
    <row r="1868" spans="1:10" x14ac:dyDescent="0.25">
      <c r="A1868" s="7" t="s">
        <v>3888</v>
      </c>
      <c r="B1868" s="6" t="s">
        <v>3889</v>
      </c>
      <c r="C1868" s="7" t="s">
        <v>1502</v>
      </c>
      <c r="D1868" s="6" t="s">
        <v>1503</v>
      </c>
      <c r="E1868" s="6" t="s">
        <v>1017</v>
      </c>
      <c r="F1868" s="6" t="s">
        <v>5</v>
      </c>
      <c r="G1868" s="6" t="s">
        <v>1254</v>
      </c>
      <c r="H1868" s="6">
        <v>9.4499999999999993</v>
      </c>
      <c r="I1868" s="6" t="str">
        <f>_xlfn.CONCAT("Art. złączny do produktu ",Tabela10[[#This Row],[KOD_PRODUKTU]])</f>
        <v>Art. złączny do produktu 904O50-351</v>
      </c>
      <c r="J1868" s="6" t="str">
        <f>_xlfn.CONCAT("VE-",Tabela10[[#This Row],[KOD_PRODUKTU]])</f>
        <v>VE-904O50-351</v>
      </c>
    </row>
    <row r="1869" spans="1:10" x14ac:dyDescent="0.25">
      <c r="A1869" s="1" t="s">
        <v>3888</v>
      </c>
      <c r="B1869" t="s">
        <v>3889</v>
      </c>
      <c r="C1869" s="1" t="s">
        <v>541</v>
      </c>
      <c r="D1869" t="s">
        <v>542</v>
      </c>
      <c r="E1869" t="s">
        <v>9</v>
      </c>
      <c r="F1869" t="s">
        <v>10</v>
      </c>
      <c r="G1869" t="s">
        <v>3890</v>
      </c>
      <c r="H1869">
        <v>36.21</v>
      </c>
      <c r="I1869" s="6" t="str">
        <f>_xlfn.CONCAT("Art. złączny do produktu ",Tabela10[[#This Row],[KOD_PRODUKTU]])</f>
        <v>Art. złączny do produktu 904O50-351</v>
      </c>
      <c r="J1869" s="6" t="str">
        <f>_xlfn.CONCAT("VE-",Tabela10[[#This Row],[KOD_PRODUKTU]])</f>
        <v>VE-904O50-351</v>
      </c>
    </row>
    <row r="1870" spans="1:10" x14ac:dyDescent="0.25">
      <c r="A1870" s="7" t="s">
        <v>3891</v>
      </c>
      <c r="B1870" s="6" t="s">
        <v>3892</v>
      </c>
      <c r="C1870" s="7" t="s">
        <v>3893</v>
      </c>
      <c r="D1870" s="6" t="s">
        <v>3894</v>
      </c>
      <c r="E1870" s="6" t="s">
        <v>70</v>
      </c>
      <c r="F1870" s="6" t="s">
        <v>932</v>
      </c>
      <c r="G1870" s="6" t="s">
        <v>3895</v>
      </c>
      <c r="H1870" s="6">
        <v>18.75</v>
      </c>
      <c r="I1870" s="6" t="str">
        <f>_xlfn.CONCAT("Art. złączny do produktu ",Tabela10[[#This Row],[KOD_PRODUKTU]])</f>
        <v>Art. złączny do produktu 904O50-352</v>
      </c>
      <c r="J1870" s="6" t="str">
        <f>_xlfn.CONCAT("VE-",Tabela10[[#This Row],[KOD_PRODUKTU]])</f>
        <v>VE-904O50-352</v>
      </c>
    </row>
    <row r="1871" spans="1:10" x14ac:dyDescent="0.25">
      <c r="A1871" s="1" t="s">
        <v>3891</v>
      </c>
      <c r="B1871" t="s">
        <v>3892</v>
      </c>
      <c r="C1871" s="1" t="s">
        <v>432</v>
      </c>
      <c r="D1871" t="s">
        <v>433</v>
      </c>
      <c r="E1871" t="s">
        <v>434</v>
      </c>
      <c r="F1871" t="s">
        <v>435</v>
      </c>
      <c r="G1871" t="s">
        <v>50</v>
      </c>
      <c r="H1871">
        <v>1.1000000000000001</v>
      </c>
      <c r="I1871" s="6" t="str">
        <f>_xlfn.CONCAT("Art. złączny do produktu ",Tabela10[[#This Row],[KOD_PRODUKTU]])</f>
        <v>Art. złączny do produktu 904O50-352</v>
      </c>
      <c r="J1871" s="6" t="str">
        <f>_xlfn.CONCAT("VE-",Tabela10[[#This Row],[KOD_PRODUKTU]])</f>
        <v>VE-904O50-352</v>
      </c>
    </row>
    <row r="1872" spans="1:10" x14ac:dyDescent="0.25">
      <c r="A1872" s="7" t="s">
        <v>3891</v>
      </c>
      <c r="B1872" s="6" t="s">
        <v>3892</v>
      </c>
      <c r="C1872" s="7" t="s">
        <v>541</v>
      </c>
      <c r="D1872" s="6" t="s">
        <v>542</v>
      </c>
      <c r="E1872" s="6" t="s">
        <v>9</v>
      </c>
      <c r="F1872" s="6" t="s">
        <v>10</v>
      </c>
      <c r="G1872" s="6" t="s">
        <v>594</v>
      </c>
      <c r="H1872" s="6">
        <v>11.5</v>
      </c>
      <c r="I1872" s="6" t="str">
        <f>_xlfn.CONCAT("Art. złączny do produktu ",Tabela10[[#This Row],[KOD_PRODUKTU]])</f>
        <v>Art. złączny do produktu 904O50-352</v>
      </c>
      <c r="J1872" s="6" t="str">
        <f>_xlfn.CONCAT("VE-",Tabela10[[#This Row],[KOD_PRODUKTU]])</f>
        <v>VE-904O50-352</v>
      </c>
    </row>
    <row r="1873" spans="1:10" x14ac:dyDescent="0.25">
      <c r="A1873" s="1" t="s">
        <v>3896</v>
      </c>
      <c r="B1873" t="s">
        <v>3897</v>
      </c>
      <c r="C1873" s="1" t="s">
        <v>1487</v>
      </c>
      <c r="D1873" t="s">
        <v>1488</v>
      </c>
      <c r="E1873" t="s">
        <v>31</v>
      </c>
      <c r="F1873" t="s">
        <v>5</v>
      </c>
      <c r="G1873" t="s">
        <v>3898</v>
      </c>
      <c r="H1873">
        <v>0.3</v>
      </c>
      <c r="I1873" s="6" t="str">
        <f>_xlfn.CONCAT("Art. złączny do produktu ",Tabela10[[#This Row],[KOD_PRODUKTU]])</f>
        <v>Art. złączny do produktu 904O50-360</v>
      </c>
      <c r="J1873" s="6" t="str">
        <f>_xlfn.CONCAT("VE-",Tabela10[[#This Row],[KOD_PRODUKTU]])</f>
        <v>VE-904O50-360</v>
      </c>
    </row>
    <row r="1874" spans="1:10" x14ac:dyDescent="0.25">
      <c r="A1874" s="7" t="s">
        <v>3896</v>
      </c>
      <c r="B1874" s="6" t="s">
        <v>3897</v>
      </c>
      <c r="C1874" s="7" t="s">
        <v>1128</v>
      </c>
      <c r="D1874" s="6" t="s">
        <v>1129</v>
      </c>
      <c r="E1874" s="6" t="s">
        <v>31</v>
      </c>
      <c r="F1874" s="6" t="s">
        <v>5</v>
      </c>
      <c r="G1874" s="6" t="s">
        <v>3899</v>
      </c>
      <c r="H1874" s="6">
        <v>4.2</v>
      </c>
      <c r="I1874" s="6" t="str">
        <f>_xlfn.CONCAT("Art. złączny do produktu ",Tabela10[[#This Row],[KOD_PRODUKTU]])</f>
        <v>Art. złączny do produktu 904O50-360</v>
      </c>
      <c r="J1874" s="6" t="str">
        <f>_xlfn.CONCAT("VE-",Tabela10[[#This Row],[KOD_PRODUKTU]])</f>
        <v>VE-904O50-360</v>
      </c>
    </row>
    <row r="1875" spans="1:10" x14ac:dyDescent="0.25">
      <c r="A1875" s="1" t="s">
        <v>3896</v>
      </c>
      <c r="B1875" t="s">
        <v>3897</v>
      </c>
      <c r="C1875" s="1" t="s">
        <v>1117</v>
      </c>
      <c r="D1875" t="s">
        <v>1118</v>
      </c>
      <c r="E1875" t="s">
        <v>876</v>
      </c>
      <c r="F1875" t="s">
        <v>5</v>
      </c>
      <c r="G1875" t="s">
        <v>3900</v>
      </c>
      <c r="H1875">
        <v>2.4500000000000002</v>
      </c>
      <c r="I1875" s="6" t="str">
        <f>_xlfn.CONCAT("Art. złączny do produktu ",Tabela10[[#This Row],[KOD_PRODUKTU]])</f>
        <v>Art. złączny do produktu 904O50-360</v>
      </c>
      <c r="J1875" s="6" t="str">
        <f>_xlfn.CONCAT("VE-",Tabela10[[#This Row],[KOD_PRODUKTU]])</f>
        <v>VE-904O50-360</v>
      </c>
    </row>
    <row r="1876" spans="1:10" x14ac:dyDescent="0.25">
      <c r="A1876" s="7" t="s">
        <v>3896</v>
      </c>
      <c r="B1876" s="6" t="s">
        <v>3897</v>
      </c>
      <c r="C1876" s="7" t="s">
        <v>432</v>
      </c>
      <c r="D1876" s="6" t="s">
        <v>433</v>
      </c>
      <c r="E1876" s="6" t="s">
        <v>434</v>
      </c>
      <c r="F1876" s="6" t="s">
        <v>435</v>
      </c>
      <c r="G1876" s="6" t="s">
        <v>50</v>
      </c>
      <c r="H1876" s="6">
        <v>1.1000000000000001</v>
      </c>
      <c r="I1876" s="6" t="str">
        <f>_xlfn.CONCAT("Art. złączny do produktu ",Tabela10[[#This Row],[KOD_PRODUKTU]])</f>
        <v>Art. złączny do produktu 904O50-360</v>
      </c>
      <c r="J1876" s="6" t="str">
        <f>_xlfn.CONCAT("VE-",Tabela10[[#This Row],[KOD_PRODUKTU]])</f>
        <v>VE-904O50-360</v>
      </c>
    </row>
    <row r="1877" spans="1:10" x14ac:dyDescent="0.25">
      <c r="A1877" s="1" t="s">
        <v>3896</v>
      </c>
      <c r="B1877" t="s">
        <v>3897</v>
      </c>
      <c r="C1877" s="1" t="s">
        <v>541</v>
      </c>
      <c r="D1877" t="s">
        <v>542</v>
      </c>
      <c r="E1877" t="s">
        <v>9</v>
      </c>
      <c r="F1877" t="s">
        <v>10</v>
      </c>
      <c r="G1877" t="s">
        <v>3901</v>
      </c>
      <c r="H1877">
        <v>24.24</v>
      </c>
      <c r="I1877" s="6" t="str">
        <f>_xlfn.CONCAT("Art. złączny do produktu ",Tabela10[[#This Row],[KOD_PRODUKTU]])</f>
        <v>Art. złączny do produktu 904O50-360</v>
      </c>
      <c r="J1877" s="6" t="str">
        <f>_xlfn.CONCAT("VE-",Tabela10[[#This Row],[KOD_PRODUKTU]])</f>
        <v>VE-904O50-360</v>
      </c>
    </row>
    <row r="1878" spans="1:10" x14ac:dyDescent="0.25">
      <c r="A1878" s="7" t="s">
        <v>3902</v>
      </c>
      <c r="B1878" s="6" t="s">
        <v>3903</v>
      </c>
      <c r="C1878" s="7" t="s">
        <v>1547</v>
      </c>
      <c r="D1878" s="6" t="s">
        <v>1548</v>
      </c>
      <c r="E1878" s="6" t="s">
        <v>216</v>
      </c>
      <c r="F1878" s="6" t="s">
        <v>5</v>
      </c>
      <c r="G1878" s="6" t="s">
        <v>3904</v>
      </c>
      <c r="H1878" s="6">
        <v>0.95</v>
      </c>
      <c r="I1878" s="6" t="str">
        <f>_xlfn.CONCAT("Art. złączny do produktu ",Tabela10[[#This Row],[KOD_PRODUKTU]])</f>
        <v>Art. złączny do produktu 904O50-361</v>
      </c>
      <c r="J1878" s="6" t="str">
        <f>_xlfn.CONCAT("VE-",Tabela10[[#This Row],[KOD_PRODUKTU]])</f>
        <v>VE-904O50-361</v>
      </c>
    </row>
    <row r="1879" spans="1:10" x14ac:dyDescent="0.25">
      <c r="A1879" s="1" t="s">
        <v>3902</v>
      </c>
      <c r="B1879" t="s">
        <v>3903</v>
      </c>
      <c r="C1879" s="1" t="s">
        <v>541</v>
      </c>
      <c r="D1879" t="s">
        <v>542</v>
      </c>
      <c r="E1879" t="s">
        <v>9</v>
      </c>
      <c r="F1879" t="s">
        <v>10</v>
      </c>
      <c r="G1879" t="s">
        <v>3905</v>
      </c>
      <c r="H1879">
        <v>5.07</v>
      </c>
      <c r="I1879" s="6" t="str">
        <f>_xlfn.CONCAT("Art. złączny do produktu ",Tabela10[[#This Row],[KOD_PRODUKTU]])</f>
        <v>Art. złączny do produktu 904O50-361</v>
      </c>
      <c r="J1879" s="6" t="str">
        <f>_xlfn.CONCAT("VE-",Tabela10[[#This Row],[KOD_PRODUKTU]])</f>
        <v>VE-904O50-361</v>
      </c>
    </row>
    <row r="1880" spans="1:10" x14ac:dyDescent="0.25">
      <c r="A1880" s="7" t="s">
        <v>3902</v>
      </c>
      <c r="B1880" s="6" t="s">
        <v>3903</v>
      </c>
      <c r="C1880" s="7" t="s">
        <v>541</v>
      </c>
      <c r="D1880" s="6" t="s">
        <v>542</v>
      </c>
      <c r="E1880" s="6" t="s">
        <v>9</v>
      </c>
      <c r="F1880" s="6" t="s">
        <v>10</v>
      </c>
      <c r="G1880" s="6" t="s">
        <v>3906</v>
      </c>
      <c r="H1880" s="6">
        <v>14.45</v>
      </c>
      <c r="I1880" s="6" t="str">
        <f>_xlfn.CONCAT("Art. złączny do produktu ",Tabela10[[#This Row],[KOD_PRODUKTU]])</f>
        <v>Art. złączny do produktu 904O50-361</v>
      </c>
      <c r="J1880" s="6" t="str">
        <f>_xlfn.CONCAT("VE-",Tabela10[[#This Row],[KOD_PRODUKTU]])</f>
        <v>VE-904O50-361</v>
      </c>
    </row>
    <row r="1881" spans="1:10" x14ac:dyDescent="0.25">
      <c r="A1881" s="1" t="s">
        <v>3907</v>
      </c>
      <c r="B1881" t="s">
        <v>3908</v>
      </c>
      <c r="C1881" s="1" t="s">
        <v>3824</v>
      </c>
      <c r="D1881" t="s">
        <v>3825</v>
      </c>
      <c r="E1881" t="s">
        <v>216</v>
      </c>
      <c r="F1881" t="s">
        <v>5</v>
      </c>
      <c r="G1881" t="s">
        <v>19</v>
      </c>
      <c r="H1881">
        <v>0.7</v>
      </c>
      <c r="I1881" s="6" t="str">
        <f>_xlfn.CONCAT("Art. złączny do produktu ",Tabela10[[#This Row],[KOD_PRODUKTU]])</f>
        <v>Art. złączny do produktu 904O50-362</v>
      </c>
      <c r="J1881" s="6" t="str">
        <f>_xlfn.CONCAT("VE-",Tabela10[[#This Row],[KOD_PRODUKTU]])</f>
        <v>VE-904O50-362</v>
      </c>
    </row>
    <row r="1882" spans="1:10" x14ac:dyDescent="0.25">
      <c r="A1882" s="7" t="s">
        <v>3907</v>
      </c>
      <c r="B1882" s="6" t="s">
        <v>3908</v>
      </c>
      <c r="C1882" s="7" t="s">
        <v>432</v>
      </c>
      <c r="D1882" s="6" t="s">
        <v>433</v>
      </c>
      <c r="E1882" s="6" t="s">
        <v>434</v>
      </c>
      <c r="F1882" s="6" t="s">
        <v>435</v>
      </c>
      <c r="G1882" s="6" t="s">
        <v>50</v>
      </c>
      <c r="H1882" s="6">
        <v>1.1000000000000001</v>
      </c>
      <c r="I1882" s="6" t="str">
        <f>_xlfn.CONCAT("Art. złączny do produktu ",Tabela10[[#This Row],[KOD_PRODUKTU]])</f>
        <v>Art. złączny do produktu 904O50-362</v>
      </c>
      <c r="J1882" s="6" t="str">
        <f>_xlfn.CONCAT("VE-",Tabela10[[#This Row],[KOD_PRODUKTU]])</f>
        <v>VE-904O50-362</v>
      </c>
    </row>
    <row r="1883" spans="1:10" x14ac:dyDescent="0.25">
      <c r="A1883" s="1" t="s">
        <v>3907</v>
      </c>
      <c r="B1883" t="s">
        <v>3908</v>
      </c>
      <c r="C1883" s="1" t="s">
        <v>541</v>
      </c>
      <c r="D1883" t="s">
        <v>542</v>
      </c>
      <c r="E1883" t="s">
        <v>9</v>
      </c>
      <c r="F1883" t="s">
        <v>10</v>
      </c>
      <c r="G1883" t="s">
        <v>367</v>
      </c>
      <c r="H1883">
        <v>2.2999999999999998</v>
      </c>
      <c r="I1883" s="6" t="str">
        <f>_xlfn.CONCAT("Art. złączny do produktu ",Tabela10[[#This Row],[KOD_PRODUKTU]])</f>
        <v>Art. złączny do produktu 904O50-362</v>
      </c>
      <c r="J1883" s="6" t="str">
        <f>_xlfn.CONCAT("VE-",Tabela10[[#This Row],[KOD_PRODUKTU]])</f>
        <v>VE-904O50-362</v>
      </c>
    </row>
    <row r="1884" spans="1:10" x14ac:dyDescent="0.25">
      <c r="A1884" s="7" t="s">
        <v>3909</v>
      </c>
      <c r="B1884" s="6" t="s">
        <v>3910</v>
      </c>
      <c r="C1884" s="7" t="s">
        <v>3007</v>
      </c>
      <c r="D1884" s="6" t="s">
        <v>3008</v>
      </c>
      <c r="E1884" s="6" t="s">
        <v>70</v>
      </c>
      <c r="F1884" s="6" t="s">
        <v>5</v>
      </c>
      <c r="G1884" s="6" t="s">
        <v>992</v>
      </c>
      <c r="H1884" s="6">
        <v>1.5</v>
      </c>
      <c r="I1884" s="6" t="str">
        <f>_xlfn.CONCAT("Art. złączny do produktu ",Tabela10[[#This Row],[KOD_PRODUKTU]])</f>
        <v>Art. złączny do produktu 904O50-370</v>
      </c>
      <c r="J1884" s="6" t="str">
        <f>_xlfn.CONCAT("VE-",Tabela10[[#This Row],[KOD_PRODUKTU]])</f>
        <v>VE-904O50-370</v>
      </c>
    </row>
    <row r="1885" spans="1:10" x14ac:dyDescent="0.25">
      <c r="A1885" s="1" t="s">
        <v>3909</v>
      </c>
      <c r="B1885" t="s">
        <v>3910</v>
      </c>
      <c r="C1885" s="1" t="s">
        <v>432</v>
      </c>
      <c r="D1885" t="s">
        <v>433</v>
      </c>
      <c r="E1885" t="s">
        <v>434</v>
      </c>
      <c r="F1885" t="s">
        <v>435</v>
      </c>
      <c r="G1885" t="s">
        <v>50</v>
      </c>
      <c r="H1885">
        <v>1.1000000000000001</v>
      </c>
      <c r="I1885" s="6" t="str">
        <f>_xlfn.CONCAT("Art. złączny do produktu ",Tabela10[[#This Row],[KOD_PRODUKTU]])</f>
        <v>Art. złączny do produktu 904O50-370</v>
      </c>
      <c r="J1885" s="6" t="str">
        <f>_xlfn.CONCAT("VE-",Tabela10[[#This Row],[KOD_PRODUKTU]])</f>
        <v>VE-904O50-370</v>
      </c>
    </row>
    <row r="1886" spans="1:10" x14ac:dyDescent="0.25">
      <c r="A1886" s="7" t="s">
        <v>3909</v>
      </c>
      <c r="B1886" s="6" t="s">
        <v>3910</v>
      </c>
      <c r="C1886" s="7" t="s">
        <v>541</v>
      </c>
      <c r="D1886" s="6" t="s">
        <v>542</v>
      </c>
      <c r="E1886" s="6" t="s">
        <v>9</v>
      </c>
      <c r="F1886" s="6" t="s">
        <v>10</v>
      </c>
      <c r="G1886" s="6" t="s">
        <v>594</v>
      </c>
      <c r="H1886" s="6">
        <v>11.5</v>
      </c>
      <c r="I1886" s="6" t="str">
        <f>_xlfn.CONCAT("Art. złączny do produktu ",Tabela10[[#This Row],[KOD_PRODUKTU]])</f>
        <v>Art. złączny do produktu 904O50-370</v>
      </c>
      <c r="J1886" s="6" t="str">
        <f>_xlfn.CONCAT("VE-",Tabela10[[#This Row],[KOD_PRODUKTU]])</f>
        <v>VE-904O50-370</v>
      </c>
    </row>
    <row r="1887" spans="1:10" x14ac:dyDescent="0.25">
      <c r="A1887" s="1" t="s">
        <v>3911</v>
      </c>
      <c r="B1887" t="s">
        <v>3912</v>
      </c>
      <c r="C1887" s="1" t="s">
        <v>1296</v>
      </c>
      <c r="D1887" t="s">
        <v>1297</v>
      </c>
      <c r="E1887" t="s">
        <v>1017</v>
      </c>
      <c r="F1887" t="s">
        <v>5</v>
      </c>
      <c r="G1887" t="s">
        <v>1210</v>
      </c>
      <c r="H1887">
        <v>0.3</v>
      </c>
      <c r="I1887" s="6" t="str">
        <f>_xlfn.CONCAT("Art. złączny do produktu ",Tabela10[[#This Row],[KOD_PRODUKTU]])</f>
        <v>Art. złączny do produktu 904O50-380</v>
      </c>
      <c r="J1887" s="6" t="str">
        <f>_xlfn.CONCAT("VE-",Tabela10[[#This Row],[KOD_PRODUKTU]])</f>
        <v>VE-904O50-380</v>
      </c>
    </row>
    <row r="1888" spans="1:10" x14ac:dyDescent="0.25">
      <c r="A1888" s="7" t="s">
        <v>3911</v>
      </c>
      <c r="B1888" s="6" t="s">
        <v>3912</v>
      </c>
      <c r="C1888" s="7" t="s">
        <v>541</v>
      </c>
      <c r="D1888" s="6" t="s">
        <v>542</v>
      </c>
      <c r="E1888" s="6" t="s">
        <v>9</v>
      </c>
      <c r="F1888" s="6" t="s">
        <v>10</v>
      </c>
      <c r="G1888" s="6" t="s">
        <v>3913</v>
      </c>
      <c r="H1888" s="6">
        <v>2.48</v>
      </c>
      <c r="I1888" s="6" t="str">
        <f>_xlfn.CONCAT("Art. złączny do produktu ",Tabela10[[#This Row],[KOD_PRODUKTU]])</f>
        <v>Art. złączny do produktu 904O50-380</v>
      </c>
      <c r="J1888" s="6" t="str">
        <f>_xlfn.CONCAT("VE-",Tabela10[[#This Row],[KOD_PRODUKTU]])</f>
        <v>VE-904O50-380</v>
      </c>
    </row>
    <row r="1889" spans="1:10" x14ac:dyDescent="0.25">
      <c r="A1889" s="1" t="s">
        <v>3922</v>
      </c>
      <c r="B1889" t="s">
        <v>3923</v>
      </c>
      <c r="C1889" s="1" t="s">
        <v>1844</v>
      </c>
      <c r="D1889" t="s">
        <v>1845</v>
      </c>
      <c r="E1889" t="s">
        <v>1846</v>
      </c>
      <c r="F1889" t="s">
        <v>121</v>
      </c>
      <c r="G1889" t="s">
        <v>50</v>
      </c>
      <c r="H1889">
        <v>15.52</v>
      </c>
      <c r="I1889" s="6" t="str">
        <f>_xlfn.CONCAT("Art. złączny do produktu ",Tabela10[[#This Row],[KOD_PRODUKTU]])</f>
        <v>Art. złączny do produktu 904O52-250</v>
      </c>
      <c r="J1889" s="6" t="str">
        <f>_xlfn.CONCAT("VE-",Tabela10[[#This Row],[KOD_PRODUKTU]])</f>
        <v>VE-904O52-250</v>
      </c>
    </row>
    <row r="1890" spans="1:10" x14ac:dyDescent="0.25">
      <c r="A1890" s="7" t="s">
        <v>3922</v>
      </c>
      <c r="B1890" s="6" t="s">
        <v>3923</v>
      </c>
      <c r="C1890" s="7" t="s">
        <v>41</v>
      </c>
      <c r="D1890" s="6" t="s">
        <v>42</v>
      </c>
      <c r="E1890" s="6" t="s">
        <v>513</v>
      </c>
      <c r="F1890" s="6" t="s">
        <v>5</v>
      </c>
      <c r="G1890" s="6" t="s">
        <v>1900</v>
      </c>
      <c r="H1890" s="6">
        <v>0.03</v>
      </c>
      <c r="I1890" s="6" t="str">
        <f>_xlfn.CONCAT("Art. złączny do produktu ",Tabela10[[#This Row],[KOD_PRODUKTU]])</f>
        <v>Art. złączny do produktu 904O52-250</v>
      </c>
      <c r="J1890" s="6" t="str">
        <f>_xlfn.CONCAT("VE-",Tabela10[[#This Row],[KOD_PRODUKTU]])</f>
        <v>VE-904O52-250</v>
      </c>
    </row>
    <row r="1891" spans="1:10" x14ac:dyDescent="0.25">
      <c r="A1891" s="1" t="s">
        <v>3922</v>
      </c>
      <c r="B1891" t="s">
        <v>3923</v>
      </c>
      <c r="C1891" s="1" t="s">
        <v>7</v>
      </c>
      <c r="D1891" t="s">
        <v>8</v>
      </c>
      <c r="E1891" t="s">
        <v>9</v>
      </c>
      <c r="F1891" t="s">
        <v>10</v>
      </c>
      <c r="G1891" t="s">
        <v>3924</v>
      </c>
      <c r="H1891">
        <v>9.8000000000000007</v>
      </c>
      <c r="I1891" s="6" t="str">
        <f>_xlfn.CONCAT("Art. złączny do produktu ",Tabela10[[#This Row],[KOD_PRODUKTU]])</f>
        <v>Art. złączny do produktu 904O52-250</v>
      </c>
      <c r="J1891" s="6" t="str">
        <f>_xlfn.CONCAT("VE-",Tabela10[[#This Row],[KOD_PRODUKTU]])</f>
        <v>VE-904O52-250</v>
      </c>
    </row>
    <row r="1892" spans="1:10" x14ac:dyDescent="0.25">
      <c r="A1892" s="7" t="s">
        <v>3925</v>
      </c>
      <c r="B1892" s="6" t="s">
        <v>3926</v>
      </c>
      <c r="C1892" s="7" t="s">
        <v>1847</v>
      </c>
      <c r="D1892" s="6" t="s">
        <v>1848</v>
      </c>
      <c r="E1892" s="6" t="s">
        <v>1849</v>
      </c>
      <c r="F1892" s="6" t="s">
        <v>121</v>
      </c>
      <c r="G1892" s="6" t="s">
        <v>50</v>
      </c>
      <c r="H1892" s="6">
        <v>15.74</v>
      </c>
      <c r="I1892" s="6" t="str">
        <f>_xlfn.CONCAT("Art. złączny do produktu ",Tabela10[[#This Row],[KOD_PRODUKTU]])</f>
        <v>Art. złączny do produktu 904O52-260</v>
      </c>
      <c r="J1892" s="6" t="str">
        <f>_xlfn.CONCAT("VE-",Tabela10[[#This Row],[KOD_PRODUKTU]])</f>
        <v>VE-904O52-260</v>
      </c>
    </row>
    <row r="1893" spans="1:10" x14ac:dyDescent="0.25">
      <c r="A1893" s="1" t="s">
        <v>3925</v>
      </c>
      <c r="B1893" t="s">
        <v>3926</v>
      </c>
      <c r="C1893" s="1" t="s">
        <v>41</v>
      </c>
      <c r="D1893" t="s">
        <v>42</v>
      </c>
      <c r="E1893" t="s">
        <v>513</v>
      </c>
      <c r="F1893" t="s">
        <v>5</v>
      </c>
      <c r="G1893" t="s">
        <v>44</v>
      </c>
      <c r="H1893">
        <v>0.01</v>
      </c>
      <c r="I1893" s="6" t="str">
        <f>_xlfn.CONCAT("Art. złączny do produktu ",Tabela10[[#This Row],[KOD_PRODUKTU]])</f>
        <v>Art. złączny do produktu 904O52-260</v>
      </c>
      <c r="J1893" s="6" t="str">
        <f>_xlfn.CONCAT("VE-",Tabela10[[#This Row],[KOD_PRODUKTU]])</f>
        <v>VE-904O52-260</v>
      </c>
    </row>
    <row r="1894" spans="1:10" x14ac:dyDescent="0.25">
      <c r="A1894" s="7" t="s">
        <v>3925</v>
      </c>
      <c r="B1894" s="6" t="s">
        <v>3926</v>
      </c>
      <c r="C1894" s="7" t="s">
        <v>7</v>
      </c>
      <c r="D1894" s="6" t="s">
        <v>8</v>
      </c>
      <c r="E1894" s="6" t="s">
        <v>9</v>
      </c>
      <c r="F1894" s="6" t="s">
        <v>10</v>
      </c>
      <c r="G1894" s="6" t="s">
        <v>3924</v>
      </c>
      <c r="H1894" s="6">
        <v>9.8000000000000007</v>
      </c>
      <c r="I1894" s="6" t="str">
        <f>_xlfn.CONCAT("Art. złączny do produktu ",Tabela10[[#This Row],[KOD_PRODUKTU]])</f>
        <v>Art. złączny do produktu 904O52-260</v>
      </c>
      <c r="J1894" s="6" t="str">
        <f>_xlfn.CONCAT("VE-",Tabela10[[#This Row],[KOD_PRODUKTU]])</f>
        <v>VE-904O52-260</v>
      </c>
    </row>
    <row r="1895" spans="1:10" x14ac:dyDescent="0.25">
      <c r="A1895" s="1" t="s">
        <v>3927</v>
      </c>
      <c r="B1895" t="s">
        <v>3928</v>
      </c>
      <c r="C1895" s="1" t="s">
        <v>1736</v>
      </c>
      <c r="D1895" t="s">
        <v>3929</v>
      </c>
      <c r="E1895" t="s">
        <v>3930</v>
      </c>
      <c r="F1895" t="s">
        <v>49</v>
      </c>
      <c r="G1895" t="s">
        <v>1777</v>
      </c>
      <c r="H1895">
        <v>2.77</v>
      </c>
      <c r="I1895" s="6" t="str">
        <f>_xlfn.CONCAT("Art. złączny do produktu ",Tabela10[[#This Row],[KOD_PRODUKTU]])</f>
        <v>Art. złączny do produktu 904O52-721</v>
      </c>
      <c r="J1895" s="6" t="str">
        <f>_xlfn.CONCAT("VE-",Tabela10[[#This Row],[KOD_PRODUKTU]])</f>
        <v>VE-904O52-721</v>
      </c>
    </row>
    <row r="1896" spans="1:10" x14ac:dyDescent="0.25">
      <c r="A1896" s="7" t="s">
        <v>3927</v>
      </c>
      <c r="B1896" s="6" t="s">
        <v>3928</v>
      </c>
      <c r="C1896" s="7" t="s">
        <v>541</v>
      </c>
      <c r="D1896" s="6" t="s">
        <v>542</v>
      </c>
      <c r="E1896" s="6" t="s">
        <v>9</v>
      </c>
      <c r="F1896" s="6" t="s">
        <v>10</v>
      </c>
      <c r="G1896" s="6" t="s">
        <v>3931</v>
      </c>
      <c r="H1896" s="6">
        <v>3.73</v>
      </c>
      <c r="I1896" s="6" t="str">
        <f>_xlfn.CONCAT("Art. złączny do produktu ",Tabela10[[#This Row],[KOD_PRODUKTU]])</f>
        <v>Art. złączny do produktu 904O52-721</v>
      </c>
      <c r="J1896" s="6" t="str">
        <f>_xlfn.CONCAT("VE-",Tabela10[[#This Row],[KOD_PRODUKTU]])</f>
        <v>VE-904O52-721</v>
      </c>
    </row>
    <row r="1897" spans="1:10" x14ac:dyDescent="0.25">
      <c r="A1897" s="1" t="s">
        <v>3935</v>
      </c>
      <c r="B1897" t="s">
        <v>3936</v>
      </c>
      <c r="C1897" s="1" t="s">
        <v>3937</v>
      </c>
      <c r="D1897" t="s">
        <v>3938</v>
      </c>
      <c r="E1897" t="s">
        <v>1896</v>
      </c>
      <c r="F1897" t="s">
        <v>5</v>
      </c>
      <c r="G1897" t="s">
        <v>50</v>
      </c>
      <c r="H1897">
        <v>16.5</v>
      </c>
      <c r="I1897" s="6" t="str">
        <f>_xlfn.CONCAT("Art. złączny do produktu ",Tabela10[[#This Row],[KOD_PRODUKTU]])</f>
        <v>Art. złączny do produktu 904O58-111</v>
      </c>
      <c r="J1897" s="6" t="str">
        <f>_xlfn.CONCAT("VE-",Tabela10[[#This Row],[KOD_PRODUKTU]])</f>
        <v>VE-904O58-111</v>
      </c>
    </row>
    <row r="1898" spans="1:10" x14ac:dyDescent="0.25">
      <c r="A1898" s="7" t="s">
        <v>3935</v>
      </c>
      <c r="B1898" s="6" t="s">
        <v>3936</v>
      </c>
      <c r="C1898" s="7" t="s">
        <v>7</v>
      </c>
      <c r="D1898" s="6" t="s">
        <v>8</v>
      </c>
      <c r="E1898" s="6" t="s">
        <v>9</v>
      </c>
      <c r="F1898" s="6" t="s">
        <v>10</v>
      </c>
      <c r="G1898" s="6" t="s">
        <v>3074</v>
      </c>
      <c r="H1898" s="6">
        <v>7.67</v>
      </c>
      <c r="I1898" s="6" t="str">
        <f>_xlfn.CONCAT("Art. złączny do produktu ",Tabela10[[#This Row],[KOD_PRODUKTU]])</f>
        <v>Art. złączny do produktu 904O58-111</v>
      </c>
      <c r="J1898" s="6" t="str">
        <f>_xlfn.CONCAT("VE-",Tabela10[[#This Row],[KOD_PRODUKTU]])</f>
        <v>VE-904O58-111</v>
      </c>
    </row>
    <row r="1899" spans="1:10" x14ac:dyDescent="0.25">
      <c r="A1899" s="1" t="s">
        <v>3939</v>
      </c>
      <c r="B1899" t="s">
        <v>3940</v>
      </c>
      <c r="C1899" s="1" t="s">
        <v>3941</v>
      </c>
      <c r="D1899" t="s">
        <v>3942</v>
      </c>
      <c r="E1899" t="s">
        <v>311</v>
      </c>
      <c r="F1899" t="s">
        <v>5</v>
      </c>
      <c r="G1899" t="s">
        <v>3943</v>
      </c>
      <c r="H1899">
        <v>0.75</v>
      </c>
      <c r="I1899" s="6" t="str">
        <f>_xlfn.CONCAT("Art. złączny do produktu ",Tabela10[[#This Row],[KOD_PRODUKTU]])</f>
        <v>Art. złączny do produktu 904O58-112</v>
      </c>
      <c r="J1899" s="6" t="str">
        <f>_xlfn.CONCAT("VE-",Tabela10[[#This Row],[KOD_PRODUKTU]])</f>
        <v>VE-904O58-112</v>
      </c>
    </row>
    <row r="1900" spans="1:10" x14ac:dyDescent="0.25">
      <c r="A1900" s="7" t="s">
        <v>3939</v>
      </c>
      <c r="B1900" s="6" t="s">
        <v>3940</v>
      </c>
      <c r="C1900" s="7" t="s">
        <v>7</v>
      </c>
      <c r="D1900" s="6" t="s">
        <v>8</v>
      </c>
      <c r="E1900" s="6" t="s">
        <v>9</v>
      </c>
      <c r="F1900" s="6" t="s">
        <v>10</v>
      </c>
      <c r="G1900" s="6" t="s">
        <v>3074</v>
      </c>
      <c r="H1900" s="6">
        <v>7.67</v>
      </c>
      <c r="I1900" s="6" t="str">
        <f>_xlfn.CONCAT("Art. złączny do produktu ",Tabela10[[#This Row],[KOD_PRODUKTU]])</f>
        <v>Art. złączny do produktu 904O58-112</v>
      </c>
      <c r="J1900" s="6" t="str">
        <f>_xlfn.CONCAT("VE-",Tabela10[[#This Row],[KOD_PRODUKTU]])</f>
        <v>VE-904O58-112</v>
      </c>
    </row>
    <row r="1901" spans="1:10" x14ac:dyDescent="0.25">
      <c r="A1901" s="1" t="s">
        <v>3944</v>
      </c>
      <c r="B1901" t="s">
        <v>3945</v>
      </c>
      <c r="C1901" s="1" t="s">
        <v>3946</v>
      </c>
      <c r="D1901" t="s">
        <v>3947</v>
      </c>
      <c r="E1901" t="s">
        <v>3948</v>
      </c>
      <c r="F1901" t="s">
        <v>49</v>
      </c>
      <c r="G1901" t="s">
        <v>50</v>
      </c>
      <c r="H1901">
        <v>8.41</v>
      </c>
      <c r="I1901" s="6" t="str">
        <f>_xlfn.CONCAT("Art. złączny do produktu ",Tabela10[[#This Row],[KOD_PRODUKTU]])</f>
        <v>Art. złączny do produktu 904O58-113</v>
      </c>
      <c r="J1901" s="6" t="str">
        <f>_xlfn.CONCAT("VE-",Tabela10[[#This Row],[KOD_PRODUKTU]])</f>
        <v>VE-904O58-113</v>
      </c>
    </row>
    <row r="1902" spans="1:10" x14ac:dyDescent="0.25">
      <c r="A1902" s="7" t="s">
        <v>3944</v>
      </c>
      <c r="B1902" s="6" t="s">
        <v>3945</v>
      </c>
      <c r="C1902" s="7" t="s">
        <v>3949</v>
      </c>
      <c r="D1902" s="6" t="s">
        <v>3950</v>
      </c>
      <c r="E1902" s="6" t="s">
        <v>3951</v>
      </c>
      <c r="F1902" s="6" t="s">
        <v>39</v>
      </c>
      <c r="G1902" s="6" t="s">
        <v>605</v>
      </c>
      <c r="H1902" s="6">
        <v>0.81</v>
      </c>
      <c r="I1902" s="6" t="str">
        <f>_xlfn.CONCAT("Art. złączny do produktu ",Tabela10[[#This Row],[KOD_PRODUKTU]])</f>
        <v>Art. złączny do produktu 904O58-113</v>
      </c>
      <c r="J1902" s="6" t="str">
        <f>_xlfn.CONCAT("VE-",Tabela10[[#This Row],[KOD_PRODUKTU]])</f>
        <v>VE-904O58-113</v>
      </c>
    </row>
    <row r="1903" spans="1:10" x14ac:dyDescent="0.25">
      <c r="A1903" s="1" t="s">
        <v>3944</v>
      </c>
      <c r="B1903" t="s">
        <v>3945</v>
      </c>
      <c r="C1903" s="1" t="s">
        <v>1854</v>
      </c>
      <c r="D1903" t="s">
        <v>1855</v>
      </c>
      <c r="E1903" t="s">
        <v>1856</v>
      </c>
      <c r="F1903" t="s">
        <v>1857</v>
      </c>
      <c r="G1903" t="s">
        <v>1253</v>
      </c>
      <c r="H1903">
        <v>0.02</v>
      </c>
      <c r="I1903" s="6" t="str">
        <f>_xlfn.CONCAT("Art. złączny do produktu ",Tabela10[[#This Row],[KOD_PRODUKTU]])</f>
        <v>Art. złączny do produktu 904O58-113</v>
      </c>
      <c r="J1903" s="6" t="str">
        <f>_xlfn.CONCAT("VE-",Tabela10[[#This Row],[KOD_PRODUKTU]])</f>
        <v>VE-904O58-113</v>
      </c>
    </row>
    <row r="1904" spans="1:10" x14ac:dyDescent="0.25">
      <c r="A1904" s="7" t="s">
        <v>3944</v>
      </c>
      <c r="B1904" s="6" t="s">
        <v>3945</v>
      </c>
      <c r="C1904" s="7" t="s">
        <v>3952</v>
      </c>
      <c r="D1904" s="6" t="s">
        <v>3953</v>
      </c>
      <c r="E1904" s="6" t="s">
        <v>216</v>
      </c>
      <c r="F1904" s="6" t="s">
        <v>5</v>
      </c>
      <c r="G1904" s="6" t="s">
        <v>3954</v>
      </c>
      <c r="H1904" s="6">
        <v>0.02</v>
      </c>
      <c r="I1904" s="6" t="str">
        <f>_xlfn.CONCAT("Art. złączny do produktu ",Tabela10[[#This Row],[KOD_PRODUKTU]])</f>
        <v>Art. złączny do produktu 904O58-113</v>
      </c>
      <c r="J1904" s="6" t="str">
        <f>_xlfn.CONCAT("VE-",Tabela10[[#This Row],[KOD_PRODUKTU]])</f>
        <v>VE-904O58-113</v>
      </c>
    </row>
    <row r="1905" spans="1:10" x14ac:dyDescent="0.25">
      <c r="A1905" s="1" t="s">
        <v>3944</v>
      </c>
      <c r="B1905" t="s">
        <v>3945</v>
      </c>
      <c r="C1905" s="1" t="s">
        <v>3955</v>
      </c>
      <c r="D1905" t="s">
        <v>3956</v>
      </c>
      <c r="E1905" t="s">
        <v>3957</v>
      </c>
      <c r="F1905" t="s">
        <v>39</v>
      </c>
      <c r="G1905" t="s">
        <v>605</v>
      </c>
      <c r="H1905">
        <v>0.75</v>
      </c>
      <c r="I1905" s="6" t="str">
        <f>_xlfn.CONCAT("Art. złączny do produktu ",Tabela10[[#This Row],[KOD_PRODUKTU]])</f>
        <v>Art. złączny do produktu 904O58-113</v>
      </c>
      <c r="J1905" s="6" t="str">
        <f>_xlfn.CONCAT("VE-",Tabela10[[#This Row],[KOD_PRODUKTU]])</f>
        <v>VE-904O58-113</v>
      </c>
    </row>
    <row r="1906" spans="1:10" x14ac:dyDescent="0.25">
      <c r="A1906" s="7" t="s">
        <v>3944</v>
      </c>
      <c r="B1906" s="6" t="s">
        <v>3945</v>
      </c>
      <c r="C1906" s="7" t="s">
        <v>587</v>
      </c>
      <c r="D1906" s="6" t="s">
        <v>588</v>
      </c>
      <c r="E1906" s="6" t="s">
        <v>191</v>
      </c>
      <c r="F1906" s="6" t="s">
        <v>5</v>
      </c>
      <c r="G1906" s="6" t="s">
        <v>3958</v>
      </c>
      <c r="H1906" s="6">
        <v>0.03</v>
      </c>
      <c r="I1906" s="6" t="str">
        <f>_xlfn.CONCAT("Art. złączny do produktu ",Tabela10[[#This Row],[KOD_PRODUKTU]])</f>
        <v>Art. złączny do produktu 904O58-113</v>
      </c>
      <c r="J1906" s="6" t="str">
        <f>_xlfn.CONCAT("VE-",Tabela10[[#This Row],[KOD_PRODUKTU]])</f>
        <v>VE-904O58-113</v>
      </c>
    </row>
    <row r="1907" spans="1:10" x14ac:dyDescent="0.25">
      <c r="A1907" s="1" t="s">
        <v>3944</v>
      </c>
      <c r="B1907" t="s">
        <v>3945</v>
      </c>
      <c r="C1907" s="1" t="s">
        <v>2844</v>
      </c>
      <c r="D1907" t="s">
        <v>2845</v>
      </c>
      <c r="E1907" t="s">
        <v>1005</v>
      </c>
      <c r="F1907" t="s">
        <v>5</v>
      </c>
      <c r="G1907" t="s">
        <v>2213</v>
      </c>
      <c r="H1907">
        <v>0.01</v>
      </c>
      <c r="I1907" s="6" t="str">
        <f>_xlfn.CONCAT("Art. złączny do produktu ",Tabela10[[#This Row],[KOD_PRODUKTU]])</f>
        <v>Art. złączny do produktu 904O58-113</v>
      </c>
      <c r="J1907" s="6" t="str">
        <f>_xlfn.CONCAT("VE-",Tabela10[[#This Row],[KOD_PRODUKTU]])</f>
        <v>VE-904O58-113</v>
      </c>
    </row>
    <row r="1908" spans="1:10" x14ac:dyDescent="0.25">
      <c r="A1908" s="7" t="s">
        <v>3944</v>
      </c>
      <c r="B1908" s="6" t="s">
        <v>3945</v>
      </c>
      <c r="C1908" s="7" t="s">
        <v>3959</v>
      </c>
      <c r="D1908" s="6" t="s">
        <v>3960</v>
      </c>
      <c r="E1908" s="6" t="s">
        <v>3961</v>
      </c>
      <c r="F1908" s="6" t="s">
        <v>39</v>
      </c>
      <c r="G1908" s="6" t="s">
        <v>605</v>
      </c>
      <c r="H1908" s="6">
        <v>0.14000000000000001</v>
      </c>
      <c r="I1908" s="6" t="str">
        <f>_xlfn.CONCAT("Art. złączny do produktu ",Tabela10[[#This Row],[KOD_PRODUKTU]])</f>
        <v>Art. złączny do produktu 904O58-113</v>
      </c>
      <c r="J1908" s="6" t="str">
        <f>_xlfn.CONCAT("VE-",Tabela10[[#This Row],[KOD_PRODUKTU]])</f>
        <v>VE-904O58-113</v>
      </c>
    </row>
    <row r="1909" spans="1:10" x14ac:dyDescent="0.25">
      <c r="A1909" s="1" t="s">
        <v>3944</v>
      </c>
      <c r="B1909" t="s">
        <v>3945</v>
      </c>
      <c r="C1909" s="1" t="s">
        <v>41</v>
      </c>
      <c r="D1909" t="s">
        <v>42</v>
      </c>
      <c r="E1909" t="s">
        <v>43</v>
      </c>
      <c r="F1909" t="s">
        <v>5</v>
      </c>
      <c r="G1909" t="s">
        <v>3962</v>
      </c>
      <c r="H1909">
        <v>0.06</v>
      </c>
      <c r="I1909" s="6" t="str">
        <f>_xlfn.CONCAT("Art. złączny do produktu ",Tabela10[[#This Row],[KOD_PRODUKTU]])</f>
        <v>Art. złączny do produktu 904O58-113</v>
      </c>
      <c r="J1909" s="6" t="str">
        <f>_xlfn.CONCAT("VE-",Tabela10[[#This Row],[KOD_PRODUKTU]])</f>
        <v>VE-904O58-113</v>
      </c>
    </row>
    <row r="1910" spans="1:10" x14ac:dyDescent="0.25">
      <c r="A1910" s="7" t="s">
        <v>3944</v>
      </c>
      <c r="B1910" s="6" t="s">
        <v>3945</v>
      </c>
      <c r="C1910" s="7" t="s">
        <v>3963</v>
      </c>
      <c r="D1910" s="6" t="s">
        <v>3964</v>
      </c>
      <c r="E1910" s="6" t="s">
        <v>54</v>
      </c>
      <c r="F1910" s="6" t="s">
        <v>49</v>
      </c>
      <c r="G1910" s="6" t="s">
        <v>50</v>
      </c>
      <c r="H1910" s="6">
        <v>3.8</v>
      </c>
      <c r="I1910" s="6" t="str">
        <f>_xlfn.CONCAT("Art. złączny do produktu ",Tabela10[[#This Row],[KOD_PRODUKTU]])</f>
        <v>Art. złączny do produktu 904O58-113</v>
      </c>
      <c r="J1910" s="6" t="str">
        <f>_xlfn.CONCAT("VE-",Tabela10[[#This Row],[KOD_PRODUKTU]])</f>
        <v>VE-904O58-113</v>
      </c>
    </row>
    <row r="1911" spans="1:10" x14ac:dyDescent="0.25">
      <c r="A1911" s="1" t="s">
        <v>3944</v>
      </c>
      <c r="B1911" t="s">
        <v>3945</v>
      </c>
      <c r="C1911" s="1" t="s">
        <v>7</v>
      </c>
      <c r="D1911" t="s">
        <v>8</v>
      </c>
      <c r="E1911" t="s">
        <v>9</v>
      </c>
      <c r="F1911" t="s">
        <v>10</v>
      </c>
      <c r="G1911" t="s">
        <v>3966</v>
      </c>
      <c r="H1911">
        <v>6.07</v>
      </c>
      <c r="I1911" s="6" t="str">
        <f>_xlfn.CONCAT("Art. złączny do produktu ",Tabela10[[#This Row],[KOD_PRODUKTU]])</f>
        <v>Art. złączny do produktu 904O58-113</v>
      </c>
      <c r="J1911" s="6" t="str">
        <f>_xlfn.CONCAT("VE-",Tabela10[[#This Row],[KOD_PRODUKTU]])</f>
        <v>VE-904O58-113</v>
      </c>
    </row>
    <row r="1912" spans="1:10" x14ac:dyDescent="0.25">
      <c r="A1912" s="7" t="s">
        <v>3967</v>
      </c>
      <c r="B1912" s="6" t="s">
        <v>3968</v>
      </c>
      <c r="C1912" s="7" t="s">
        <v>2458</v>
      </c>
      <c r="D1912" s="6" t="s">
        <v>2459</v>
      </c>
      <c r="E1912" s="6" t="s">
        <v>384</v>
      </c>
      <c r="F1912" s="6" t="s">
        <v>5</v>
      </c>
      <c r="G1912" s="6" t="s">
        <v>367</v>
      </c>
      <c r="H1912" s="6">
        <v>0.55000000000000004</v>
      </c>
      <c r="I1912" s="6" t="str">
        <f>_xlfn.CONCAT("Art. złączny do produktu ",Tabela10[[#This Row],[KOD_PRODUKTU]])</f>
        <v>Art. złączny do produktu 904O70-110</v>
      </c>
      <c r="J1912" s="6" t="str">
        <f>_xlfn.CONCAT("VE-",Tabela10[[#This Row],[KOD_PRODUKTU]])</f>
        <v>VE-904O70-110</v>
      </c>
    </row>
    <row r="1913" spans="1:10" x14ac:dyDescent="0.25">
      <c r="A1913" s="1" t="s">
        <v>3967</v>
      </c>
      <c r="B1913" t="s">
        <v>3968</v>
      </c>
      <c r="C1913" s="1" t="s">
        <v>432</v>
      </c>
      <c r="D1913" t="s">
        <v>433</v>
      </c>
      <c r="E1913" t="s">
        <v>434</v>
      </c>
      <c r="F1913" t="s">
        <v>435</v>
      </c>
      <c r="G1913" t="s">
        <v>50</v>
      </c>
      <c r="H1913">
        <v>1.1000000000000001</v>
      </c>
      <c r="I1913" s="6" t="str">
        <f>_xlfn.CONCAT("Art. złączny do produktu ",Tabela10[[#This Row],[KOD_PRODUKTU]])</f>
        <v>Art. złączny do produktu 904O70-110</v>
      </c>
      <c r="J1913" s="6" t="str">
        <f>_xlfn.CONCAT("VE-",Tabela10[[#This Row],[KOD_PRODUKTU]])</f>
        <v>VE-904O70-110</v>
      </c>
    </row>
    <row r="1914" spans="1:10" x14ac:dyDescent="0.25">
      <c r="A1914" s="7" t="s">
        <v>3967</v>
      </c>
      <c r="B1914" s="6" t="s">
        <v>3968</v>
      </c>
      <c r="C1914" s="7" t="s">
        <v>7</v>
      </c>
      <c r="D1914" s="6" t="s">
        <v>8</v>
      </c>
      <c r="E1914" s="6" t="s">
        <v>9</v>
      </c>
      <c r="F1914" s="6" t="s">
        <v>10</v>
      </c>
      <c r="G1914" s="6" t="s">
        <v>601</v>
      </c>
      <c r="H1914" s="6">
        <v>6.9</v>
      </c>
      <c r="I1914" s="6" t="str">
        <f>_xlfn.CONCAT("Art. złączny do produktu ",Tabela10[[#This Row],[KOD_PRODUKTU]])</f>
        <v>Art. złączny do produktu 904O70-110</v>
      </c>
      <c r="J1914" s="6" t="str">
        <f>_xlfn.CONCAT("VE-",Tabela10[[#This Row],[KOD_PRODUKTU]])</f>
        <v>VE-904O70-110</v>
      </c>
    </row>
    <row r="1915" spans="1:10" x14ac:dyDescent="0.25">
      <c r="A1915" s="1" t="s">
        <v>3969</v>
      </c>
      <c r="B1915" t="s">
        <v>3970</v>
      </c>
      <c r="C1915" s="1" t="s">
        <v>1203</v>
      </c>
      <c r="D1915" t="s">
        <v>1204</v>
      </c>
      <c r="E1915" t="s">
        <v>216</v>
      </c>
      <c r="F1915" t="s">
        <v>5</v>
      </c>
      <c r="G1915" t="s">
        <v>3971</v>
      </c>
      <c r="H1915">
        <v>0.45</v>
      </c>
      <c r="I1915" s="6" t="str">
        <f>_xlfn.CONCAT("Art. złączny do produktu ",Tabela10[[#This Row],[KOD_PRODUKTU]])</f>
        <v>Art. złączny do produktu 904O70-120</v>
      </c>
      <c r="J1915" s="6" t="str">
        <f>_xlfn.CONCAT("VE-",Tabela10[[#This Row],[KOD_PRODUKTU]])</f>
        <v>VE-904O70-120</v>
      </c>
    </row>
    <row r="1916" spans="1:10" x14ac:dyDescent="0.25">
      <c r="A1916" s="7" t="s">
        <v>3969</v>
      </c>
      <c r="B1916" s="6" t="s">
        <v>3970</v>
      </c>
      <c r="C1916" s="7" t="s">
        <v>432</v>
      </c>
      <c r="D1916" s="6" t="s">
        <v>433</v>
      </c>
      <c r="E1916" s="6" t="s">
        <v>434</v>
      </c>
      <c r="F1916" s="6" t="s">
        <v>435</v>
      </c>
      <c r="G1916" s="6" t="s">
        <v>50</v>
      </c>
      <c r="H1916" s="6">
        <v>1.1000000000000001</v>
      </c>
      <c r="I1916" s="6" t="str">
        <f>_xlfn.CONCAT("Art. złączny do produktu ",Tabela10[[#This Row],[KOD_PRODUKTU]])</f>
        <v>Art. złączny do produktu 904O70-120</v>
      </c>
      <c r="J1916" s="6" t="str">
        <f>_xlfn.CONCAT("VE-",Tabela10[[#This Row],[KOD_PRODUKTU]])</f>
        <v>VE-904O70-120</v>
      </c>
    </row>
    <row r="1917" spans="1:10" x14ac:dyDescent="0.25">
      <c r="A1917" s="1" t="s">
        <v>3969</v>
      </c>
      <c r="B1917" t="s">
        <v>3970</v>
      </c>
      <c r="C1917" s="1" t="s">
        <v>7</v>
      </c>
      <c r="D1917" t="s">
        <v>8</v>
      </c>
      <c r="E1917" t="s">
        <v>9</v>
      </c>
      <c r="F1917" t="s">
        <v>10</v>
      </c>
      <c r="G1917" t="s">
        <v>33</v>
      </c>
      <c r="H1917">
        <v>9.1999999999999993</v>
      </c>
      <c r="I1917" s="6" t="str">
        <f>_xlfn.CONCAT("Art. złączny do produktu ",Tabela10[[#This Row],[KOD_PRODUKTU]])</f>
        <v>Art. złączny do produktu 904O70-120</v>
      </c>
      <c r="J1917" s="6" t="str">
        <f>_xlfn.CONCAT("VE-",Tabela10[[#This Row],[KOD_PRODUKTU]])</f>
        <v>VE-904O70-120</v>
      </c>
    </row>
    <row r="1918" spans="1:10" x14ac:dyDescent="0.25">
      <c r="A1918" s="7" t="s">
        <v>3972</v>
      </c>
      <c r="B1918" s="6" t="s">
        <v>3973</v>
      </c>
      <c r="C1918" s="7" t="s">
        <v>3974</v>
      </c>
      <c r="D1918" s="6" t="s">
        <v>3975</v>
      </c>
      <c r="E1918" s="6" t="s">
        <v>3976</v>
      </c>
      <c r="F1918" s="6" t="s">
        <v>121</v>
      </c>
      <c r="G1918" s="6" t="s">
        <v>50</v>
      </c>
      <c r="H1918" s="6">
        <v>2.2000000000000002</v>
      </c>
      <c r="I1918" s="6" t="str">
        <f>_xlfn.CONCAT("Art. złączny do produktu ",Tabela10[[#This Row],[KOD_PRODUKTU]])</f>
        <v>Art. złączny do produktu 904O75-210</v>
      </c>
      <c r="J1918" s="6" t="str">
        <f>_xlfn.CONCAT("VE-",Tabela10[[#This Row],[KOD_PRODUKTU]])</f>
        <v>VE-904O75-210</v>
      </c>
    </row>
    <row r="1919" spans="1:10" x14ac:dyDescent="0.25">
      <c r="A1919" s="1" t="s">
        <v>3972</v>
      </c>
      <c r="B1919" t="s">
        <v>3973</v>
      </c>
      <c r="C1919" s="1" t="s">
        <v>3977</v>
      </c>
      <c r="D1919" t="s">
        <v>3978</v>
      </c>
      <c r="E1919" t="s">
        <v>3976</v>
      </c>
      <c r="F1919" t="s">
        <v>121</v>
      </c>
      <c r="G1919" t="s">
        <v>50</v>
      </c>
      <c r="H1919">
        <v>2.2000000000000002</v>
      </c>
      <c r="I1919" s="6" t="str">
        <f>_xlfn.CONCAT("Art. złączny do produktu ",Tabela10[[#This Row],[KOD_PRODUKTU]])</f>
        <v>Art. złączny do produktu 904O75-210</v>
      </c>
      <c r="J1919" s="6" t="str">
        <f>_xlfn.CONCAT("VE-",Tabela10[[#This Row],[KOD_PRODUKTU]])</f>
        <v>VE-904O75-210</v>
      </c>
    </row>
    <row r="1920" spans="1:10" x14ac:dyDescent="0.25">
      <c r="A1920" s="7" t="s">
        <v>3972</v>
      </c>
      <c r="B1920" s="6" t="s">
        <v>3973</v>
      </c>
      <c r="C1920" s="7" t="s">
        <v>7</v>
      </c>
      <c r="D1920" s="6" t="s">
        <v>8</v>
      </c>
      <c r="E1920" s="6" t="s">
        <v>9</v>
      </c>
      <c r="F1920" s="6" t="s">
        <v>10</v>
      </c>
      <c r="G1920" s="6" t="s">
        <v>3979</v>
      </c>
      <c r="H1920" s="6">
        <v>19.100000000000001</v>
      </c>
      <c r="I1920" s="6" t="str">
        <f>_xlfn.CONCAT("Art. złączny do produktu ",Tabela10[[#This Row],[KOD_PRODUKTU]])</f>
        <v>Art. złączny do produktu 904O75-210</v>
      </c>
      <c r="J1920" s="6" t="str">
        <f>_xlfn.CONCAT("VE-",Tabela10[[#This Row],[KOD_PRODUKTU]])</f>
        <v>VE-904O75-210</v>
      </c>
    </row>
    <row r="1921" spans="1:10" x14ac:dyDescent="0.25">
      <c r="A1921" s="1" t="s">
        <v>3993</v>
      </c>
      <c r="B1921" t="s">
        <v>3994</v>
      </c>
      <c r="C1921" s="1" t="s">
        <v>7</v>
      </c>
      <c r="D1921" t="s">
        <v>8</v>
      </c>
      <c r="E1921" t="s">
        <v>9</v>
      </c>
      <c r="F1921" t="s">
        <v>10</v>
      </c>
      <c r="G1921" t="s">
        <v>19</v>
      </c>
      <c r="H1921">
        <v>4.5999999999999996</v>
      </c>
      <c r="I1921" s="6" t="str">
        <f>_xlfn.CONCAT("Art. złączny do produktu ",Tabela10[[#This Row],[KOD_PRODUKTU]])</f>
        <v>Art. złączny do produktu 904O80-410</v>
      </c>
      <c r="J1921" s="6" t="str">
        <f>_xlfn.CONCAT("VE-",Tabela10[[#This Row],[KOD_PRODUKTU]])</f>
        <v>VE-904O80-410</v>
      </c>
    </row>
    <row r="1922" spans="1:10" x14ac:dyDescent="0.25">
      <c r="A1922" s="7" t="s">
        <v>4006</v>
      </c>
      <c r="B1922" s="6" t="s">
        <v>4007</v>
      </c>
      <c r="C1922" s="7" t="s">
        <v>4008</v>
      </c>
      <c r="D1922" s="6" t="s">
        <v>4009</v>
      </c>
      <c r="E1922" s="6" t="s">
        <v>4010</v>
      </c>
      <c r="F1922" s="6" t="s">
        <v>5</v>
      </c>
      <c r="G1922" s="6" t="s">
        <v>4011</v>
      </c>
      <c r="H1922" s="6">
        <v>19.3</v>
      </c>
      <c r="I1922" s="6" t="str">
        <f>_xlfn.CONCAT("Art. złączny do produktu ",Tabela10[[#This Row],[KOD_PRODUKTU]])</f>
        <v>Art. złączny do produktu 904O90-500</v>
      </c>
      <c r="J1922" s="6" t="str">
        <f>_xlfn.CONCAT("VE-",Tabela10[[#This Row],[KOD_PRODUKTU]])</f>
        <v>VE-904O90-500</v>
      </c>
    </row>
    <row r="1923" spans="1:10" x14ac:dyDescent="0.25">
      <c r="A1923" s="1" t="s">
        <v>4006</v>
      </c>
      <c r="B1923" t="s">
        <v>4007</v>
      </c>
      <c r="C1923" s="1" t="s">
        <v>541</v>
      </c>
      <c r="D1923" t="s">
        <v>542</v>
      </c>
      <c r="E1923" t="s">
        <v>9</v>
      </c>
      <c r="F1923" t="s">
        <v>10</v>
      </c>
      <c r="G1923" t="s">
        <v>33</v>
      </c>
      <c r="H1923">
        <v>9.1999999999999993</v>
      </c>
      <c r="I1923" s="6" t="str">
        <f>_xlfn.CONCAT("Art. złączny do produktu ",Tabela10[[#This Row],[KOD_PRODUKTU]])</f>
        <v>Art. złączny do produktu 904O90-500</v>
      </c>
      <c r="J1923" s="6" t="str">
        <f>_xlfn.CONCAT("VE-",Tabela10[[#This Row],[KOD_PRODUKTU]])</f>
        <v>VE-904O90-500</v>
      </c>
    </row>
    <row r="1924" spans="1:10" x14ac:dyDescent="0.25">
      <c r="A1924" s="7" t="s">
        <v>4006</v>
      </c>
      <c r="B1924" s="6" t="s">
        <v>4007</v>
      </c>
      <c r="C1924" s="7" t="s">
        <v>7</v>
      </c>
      <c r="D1924" s="6" t="s">
        <v>8</v>
      </c>
      <c r="E1924" s="6" t="s">
        <v>9</v>
      </c>
      <c r="F1924" s="6" t="s">
        <v>10</v>
      </c>
      <c r="G1924" s="6" t="s">
        <v>4012</v>
      </c>
      <c r="H1924" s="6">
        <v>1.3</v>
      </c>
      <c r="I1924" s="6" t="str">
        <f>_xlfn.CONCAT("Art. złączny do produktu ",Tabela10[[#This Row],[KOD_PRODUKTU]])</f>
        <v>Art. złączny do produktu 904O90-500</v>
      </c>
      <c r="J1924" s="6" t="str">
        <f>_xlfn.CONCAT("VE-",Tabela10[[#This Row],[KOD_PRODUKTU]])</f>
        <v>VE-904O90-500</v>
      </c>
    </row>
    <row r="1925" spans="1:10" x14ac:dyDescent="0.25">
      <c r="A1925" s="1" t="s">
        <v>4013</v>
      </c>
      <c r="B1925" t="s">
        <v>4014</v>
      </c>
      <c r="C1925" s="1" t="s">
        <v>1047</v>
      </c>
      <c r="D1925" t="s">
        <v>1048</v>
      </c>
      <c r="E1925" t="s">
        <v>1434</v>
      </c>
      <c r="F1925" t="s">
        <v>17</v>
      </c>
      <c r="G1925" t="s">
        <v>4015</v>
      </c>
      <c r="H1925">
        <v>13.1</v>
      </c>
      <c r="I1925" s="6" t="str">
        <f>_xlfn.CONCAT("Art. złączny do produktu ",Tabela10[[#This Row],[KOD_PRODUKTU]])</f>
        <v>Art. złączny do produktu 904U01-301</v>
      </c>
      <c r="J1925" s="6" t="str">
        <f>_xlfn.CONCAT("VE-",Tabela10[[#This Row],[KOD_PRODUKTU]])</f>
        <v>VE-904U01-301</v>
      </c>
    </row>
    <row r="1926" spans="1:10" x14ac:dyDescent="0.25">
      <c r="A1926" s="7" t="s">
        <v>4013</v>
      </c>
      <c r="B1926" s="6" t="s">
        <v>4014</v>
      </c>
      <c r="C1926" s="7" t="s">
        <v>541</v>
      </c>
      <c r="D1926" s="6" t="s">
        <v>542</v>
      </c>
      <c r="E1926" s="6" t="s">
        <v>9</v>
      </c>
      <c r="F1926" s="6" t="s">
        <v>10</v>
      </c>
      <c r="G1926" s="6" t="s">
        <v>3514</v>
      </c>
      <c r="H1926" s="6">
        <v>4.8499999999999996</v>
      </c>
      <c r="I1926" s="6" t="str">
        <f>_xlfn.CONCAT("Art. złączny do produktu ",Tabela10[[#This Row],[KOD_PRODUKTU]])</f>
        <v>Art. złączny do produktu 904U01-301</v>
      </c>
      <c r="J1926" s="6" t="str">
        <f>_xlfn.CONCAT("VE-",Tabela10[[#This Row],[KOD_PRODUKTU]])</f>
        <v>VE-904U01-301</v>
      </c>
    </row>
    <row r="1927" spans="1:10" x14ac:dyDescent="0.25">
      <c r="A1927" s="1" t="s">
        <v>4016</v>
      </c>
      <c r="B1927" t="s">
        <v>4017</v>
      </c>
      <c r="C1927" s="1" t="s">
        <v>1047</v>
      </c>
      <c r="D1927" t="s">
        <v>1048</v>
      </c>
      <c r="E1927" t="s">
        <v>1434</v>
      </c>
      <c r="F1927" t="s">
        <v>17</v>
      </c>
      <c r="G1927" t="s">
        <v>4018</v>
      </c>
      <c r="H1927">
        <v>3.96</v>
      </c>
      <c r="I1927" s="6" t="str">
        <f>_xlfn.CONCAT("Art. złączny do produktu ",Tabela10[[#This Row],[KOD_PRODUKTU]])</f>
        <v>Art. złączny do produktu 904U01-302</v>
      </c>
      <c r="J1927" s="6" t="str">
        <f>_xlfn.CONCAT("VE-",Tabela10[[#This Row],[KOD_PRODUKTU]])</f>
        <v>VE-904U01-302</v>
      </c>
    </row>
    <row r="1928" spans="1:10" x14ac:dyDescent="0.25">
      <c r="A1928" s="7" t="s">
        <v>4016</v>
      </c>
      <c r="B1928" s="6" t="s">
        <v>4017</v>
      </c>
      <c r="C1928" s="7" t="s">
        <v>541</v>
      </c>
      <c r="D1928" s="6" t="s">
        <v>542</v>
      </c>
      <c r="E1928" s="6" t="s">
        <v>9</v>
      </c>
      <c r="F1928" s="6" t="s">
        <v>10</v>
      </c>
      <c r="G1928" s="6" t="s">
        <v>3047</v>
      </c>
      <c r="H1928" s="6">
        <v>4.83</v>
      </c>
      <c r="I1928" s="6" t="str">
        <f>_xlfn.CONCAT("Art. złączny do produktu ",Tabela10[[#This Row],[KOD_PRODUKTU]])</f>
        <v>Art. złączny do produktu 904U01-302</v>
      </c>
      <c r="J1928" s="6" t="str">
        <f>_xlfn.CONCAT("VE-",Tabela10[[#This Row],[KOD_PRODUKTU]])</f>
        <v>VE-904U01-302</v>
      </c>
    </row>
    <row r="1929" spans="1:10" x14ac:dyDescent="0.25">
      <c r="A1929" s="1" t="s">
        <v>4019</v>
      </c>
      <c r="B1929" t="s">
        <v>4020</v>
      </c>
      <c r="C1929" s="1" t="s">
        <v>1047</v>
      </c>
      <c r="D1929" t="s">
        <v>1048</v>
      </c>
      <c r="E1929" t="s">
        <v>1434</v>
      </c>
      <c r="F1929" t="s">
        <v>17</v>
      </c>
      <c r="G1929" t="s">
        <v>594</v>
      </c>
      <c r="H1929">
        <v>10.3</v>
      </c>
      <c r="I1929" s="6" t="str">
        <f>_xlfn.CONCAT("Art. złączny do produktu ",Tabela10[[#This Row],[KOD_PRODUKTU]])</f>
        <v>Art. złączny do produktu 904U01-303</v>
      </c>
      <c r="J1929" s="6" t="str">
        <f>_xlfn.CONCAT("VE-",Tabela10[[#This Row],[KOD_PRODUKTU]])</f>
        <v>VE-904U01-303</v>
      </c>
    </row>
    <row r="1930" spans="1:10" x14ac:dyDescent="0.25">
      <c r="A1930" s="7" t="s">
        <v>4019</v>
      </c>
      <c r="B1930" s="6" t="s">
        <v>4020</v>
      </c>
      <c r="C1930" s="7" t="s">
        <v>541</v>
      </c>
      <c r="D1930" s="6" t="s">
        <v>542</v>
      </c>
      <c r="E1930" s="6" t="s">
        <v>9</v>
      </c>
      <c r="F1930" s="6" t="s">
        <v>10</v>
      </c>
      <c r="G1930" s="6" t="s">
        <v>3514</v>
      </c>
      <c r="H1930" s="6">
        <v>4.8499999999999996</v>
      </c>
      <c r="I1930" s="6" t="str">
        <f>_xlfn.CONCAT("Art. złączny do produktu ",Tabela10[[#This Row],[KOD_PRODUKTU]])</f>
        <v>Art. złączny do produktu 904U01-303</v>
      </c>
      <c r="J1930" s="6" t="str">
        <f>_xlfn.CONCAT("VE-",Tabela10[[#This Row],[KOD_PRODUKTU]])</f>
        <v>VE-904U01-303</v>
      </c>
    </row>
    <row r="1931" spans="1:10" x14ac:dyDescent="0.25">
      <c r="A1931" s="1" t="s">
        <v>4021</v>
      </c>
      <c r="B1931" t="s">
        <v>4022</v>
      </c>
      <c r="C1931" s="1" t="s">
        <v>1099</v>
      </c>
      <c r="D1931" t="s">
        <v>1100</v>
      </c>
      <c r="E1931" t="s">
        <v>1101</v>
      </c>
      <c r="F1931" t="s">
        <v>49</v>
      </c>
      <c r="G1931" t="s">
        <v>4023</v>
      </c>
      <c r="H1931">
        <v>2</v>
      </c>
      <c r="I1931" s="6" t="str">
        <f>_xlfn.CONCAT("Art. złączny do produktu ",Tabela10[[#This Row],[KOD_PRODUKTU]])</f>
        <v>Art. złączny do produktu 904U01-304</v>
      </c>
      <c r="J1931" s="6" t="str">
        <f>_xlfn.CONCAT("VE-",Tabela10[[#This Row],[KOD_PRODUKTU]])</f>
        <v>VE-904U01-304</v>
      </c>
    </row>
    <row r="1932" spans="1:10" x14ac:dyDescent="0.25">
      <c r="A1932" s="7" t="s">
        <v>4021</v>
      </c>
      <c r="B1932" s="6" t="s">
        <v>4022</v>
      </c>
      <c r="C1932" s="7" t="s">
        <v>432</v>
      </c>
      <c r="D1932" s="6" t="s">
        <v>433</v>
      </c>
      <c r="E1932" s="6" t="s">
        <v>434</v>
      </c>
      <c r="F1932" s="6" t="s">
        <v>435</v>
      </c>
      <c r="G1932" s="6" t="s">
        <v>4024</v>
      </c>
      <c r="H1932" s="6">
        <v>1.59</v>
      </c>
      <c r="I1932" s="6" t="str">
        <f>_xlfn.CONCAT("Art. złączny do produktu ",Tabela10[[#This Row],[KOD_PRODUKTU]])</f>
        <v>Art. złączny do produktu 904U01-304</v>
      </c>
      <c r="J1932" s="6" t="str">
        <f>_xlfn.CONCAT("VE-",Tabela10[[#This Row],[KOD_PRODUKTU]])</f>
        <v>VE-904U01-304</v>
      </c>
    </row>
    <row r="1933" spans="1:10" x14ac:dyDescent="0.25">
      <c r="A1933" s="1" t="s">
        <v>4021</v>
      </c>
      <c r="B1933" t="s">
        <v>4022</v>
      </c>
      <c r="C1933" s="1" t="s">
        <v>7</v>
      </c>
      <c r="D1933" t="s">
        <v>8</v>
      </c>
      <c r="E1933" t="s">
        <v>9</v>
      </c>
      <c r="F1933" t="s">
        <v>10</v>
      </c>
      <c r="G1933" t="s">
        <v>4025</v>
      </c>
      <c r="H1933">
        <v>16.73</v>
      </c>
      <c r="I1933" s="6" t="str">
        <f>_xlfn.CONCAT("Art. złączny do produktu ",Tabela10[[#This Row],[KOD_PRODUKTU]])</f>
        <v>Art. złączny do produktu 904U01-304</v>
      </c>
      <c r="J1933" s="6" t="str">
        <f>_xlfn.CONCAT("VE-",Tabela10[[#This Row],[KOD_PRODUKTU]])</f>
        <v>VE-904U01-304</v>
      </c>
    </row>
    <row r="1934" spans="1:10" x14ac:dyDescent="0.25">
      <c r="A1934" s="7" t="s">
        <v>4026</v>
      </c>
      <c r="B1934" s="6" t="s">
        <v>4027</v>
      </c>
      <c r="C1934" s="7" t="s">
        <v>1203</v>
      </c>
      <c r="D1934" s="6" t="s">
        <v>1204</v>
      </c>
      <c r="E1934" s="6" t="s">
        <v>216</v>
      </c>
      <c r="F1934" s="6" t="s">
        <v>5</v>
      </c>
      <c r="G1934" s="6" t="s">
        <v>1732</v>
      </c>
      <c r="H1934" s="6">
        <v>0.25</v>
      </c>
      <c r="I1934" s="6" t="str">
        <f>_xlfn.CONCAT("Art. złączny do produktu ",Tabela10[[#This Row],[KOD_PRODUKTU]])</f>
        <v>Art. złączny do produktu 904U01-600</v>
      </c>
      <c r="J1934" s="6" t="str">
        <f>_xlfn.CONCAT("VE-",Tabela10[[#This Row],[KOD_PRODUKTU]])</f>
        <v>VE-904U01-600</v>
      </c>
    </row>
    <row r="1935" spans="1:10" x14ac:dyDescent="0.25">
      <c r="A1935" s="1" t="s">
        <v>4026</v>
      </c>
      <c r="B1935" t="s">
        <v>4027</v>
      </c>
      <c r="C1935" s="1" t="s">
        <v>4028</v>
      </c>
      <c r="D1935" t="s">
        <v>4029</v>
      </c>
      <c r="E1935" t="s">
        <v>4030</v>
      </c>
      <c r="F1935" t="s">
        <v>121</v>
      </c>
      <c r="G1935" t="s">
        <v>50</v>
      </c>
      <c r="H1935">
        <v>0.85</v>
      </c>
      <c r="I1935" s="6" t="str">
        <f>_xlfn.CONCAT("Art. złączny do produktu ",Tabela10[[#This Row],[KOD_PRODUKTU]])</f>
        <v>Art. złączny do produktu 904U01-600</v>
      </c>
      <c r="J1935" s="6" t="str">
        <f>_xlfn.CONCAT("VE-",Tabela10[[#This Row],[KOD_PRODUKTU]])</f>
        <v>VE-904U01-600</v>
      </c>
    </row>
    <row r="1936" spans="1:10" x14ac:dyDescent="0.25">
      <c r="A1936" s="7" t="s">
        <v>4026</v>
      </c>
      <c r="B1936" s="6" t="s">
        <v>4027</v>
      </c>
      <c r="C1936" s="7" t="s">
        <v>432</v>
      </c>
      <c r="D1936" s="6" t="s">
        <v>433</v>
      </c>
      <c r="E1936" s="6" t="s">
        <v>434</v>
      </c>
      <c r="F1936" s="6" t="s">
        <v>435</v>
      </c>
      <c r="G1936" s="6" t="s">
        <v>50</v>
      </c>
      <c r="H1936" s="6">
        <v>1.1000000000000001</v>
      </c>
      <c r="I1936" s="6" t="str">
        <f>_xlfn.CONCAT("Art. złączny do produktu ",Tabela10[[#This Row],[KOD_PRODUKTU]])</f>
        <v>Art. złączny do produktu 904U01-600</v>
      </c>
      <c r="J1936" s="6" t="str">
        <f>_xlfn.CONCAT("VE-",Tabela10[[#This Row],[KOD_PRODUKTU]])</f>
        <v>VE-904U01-600</v>
      </c>
    </row>
    <row r="1937" spans="1:10" x14ac:dyDescent="0.25">
      <c r="A1937" s="1" t="s">
        <v>4026</v>
      </c>
      <c r="B1937" t="s">
        <v>4027</v>
      </c>
      <c r="C1937" s="1" t="s">
        <v>688</v>
      </c>
      <c r="D1937" t="s">
        <v>810</v>
      </c>
      <c r="E1937" t="s">
        <v>9</v>
      </c>
      <c r="F1937" t="s">
        <v>10</v>
      </c>
      <c r="G1937" t="s">
        <v>4031</v>
      </c>
      <c r="H1937">
        <v>0.85</v>
      </c>
      <c r="I1937" s="6" t="str">
        <f>_xlfn.CONCAT("Art. złączny do produktu ",Tabela10[[#This Row],[KOD_PRODUKTU]])</f>
        <v>Art. złączny do produktu 904U01-600</v>
      </c>
      <c r="J1937" s="6" t="str">
        <f>_xlfn.CONCAT("VE-",Tabela10[[#This Row],[KOD_PRODUKTU]])</f>
        <v>VE-904U01-600</v>
      </c>
    </row>
    <row r="1938" spans="1:10" x14ac:dyDescent="0.25">
      <c r="A1938" s="7" t="s">
        <v>4026</v>
      </c>
      <c r="B1938" s="6" t="s">
        <v>4027</v>
      </c>
      <c r="C1938" s="7" t="s">
        <v>7</v>
      </c>
      <c r="D1938" s="6" t="s">
        <v>8</v>
      </c>
      <c r="E1938" s="6" t="s">
        <v>9</v>
      </c>
      <c r="F1938" s="6" t="s">
        <v>10</v>
      </c>
      <c r="G1938" s="6" t="s">
        <v>4032</v>
      </c>
      <c r="H1938" s="6">
        <v>1.95</v>
      </c>
      <c r="I1938" s="6" t="str">
        <f>_xlfn.CONCAT("Art. złączny do produktu ",Tabela10[[#This Row],[KOD_PRODUKTU]])</f>
        <v>Art. złączny do produktu 904U01-600</v>
      </c>
      <c r="J1938" s="6" t="str">
        <f>_xlfn.CONCAT("VE-",Tabela10[[#This Row],[KOD_PRODUKTU]])</f>
        <v>VE-904U01-600</v>
      </c>
    </row>
    <row r="1939" spans="1:10" x14ac:dyDescent="0.25">
      <c r="A1939" s="1" t="s">
        <v>4033</v>
      </c>
      <c r="B1939" t="s">
        <v>4034</v>
      </c>
      <c r="C1939" s="1" t="s">
        <v>1487</v>
      </c>
      <c r="D1939" t="s">
        <v>1488</v>
      </c>
      <c r="E1939" t="s">
        <v>31</v>
      </c>
      <c r="F1939" t="s">
        <v>5</v>
      </c>
      <c r="G1939" t="s">
        <v>4035</v>
      </c>
      <c r="H1939">
        <v>2.4500000000000002</v>
      </c>
      <c r="I1939" s="6" t="str">
        <f>_xlfn.CONCAT("Art. złączny do produktu ",Tabela10[[#This Row],[KOD_PRODUKTU]])</f>
        <v>Art. złączny do produktu 904U01-700</v>
      </c>
      <c r="J1939" s="6" t="str">
        <f>_xlfn.CONCAT("VE-",Tabela10[[#This Row],[KOD_PRODUKTU]])</f>
        <v>VE-904U01-700</v>
      </c>
    </row>
    <row r="1940" spans="1:10" x14ac:dyDescent="0.25">
      <c r="A1940" s="7" t="s">
        <v>4033</v>
      </c>
      <c r="B1940" s="6" t="s">
        <v>4034</v>
      </c>
      <c r="C1940" s="7" t="s">
        <v>432</v>
      </c>
      <c r="D1940" s="6" t="s">
        <v>433</v>
      </c>
      <c r="E1940" s="6" t="s">
        <v>434</v>
      </c>
      <c r="F1940" s="6" t="s">
        <v>435</v>
      </c>
      <c r="G1940" s="6" t="s">
        <v>50</v>
      </c>
      <c r="H1940" s="6">
        <v>1.1000000000000001</v>
      </c>
      <c r="I1940" s="6" t="str">
        <f>_xlfn.CONCAT("Art. złączny do produktu ",Tabela10[[#This Row],[KOD_PRODUKTU]])</f>
        <v>Art. złączny do produktu 904U01-700</v>
      </c>
      <c r="J1940" s="6" t="str">
        <f>_xlfn.CONCAT("VE-",Tabela10[[#This Row],[KOD_PRODUKTU]])</f>
        <v>VE-904U01-700</v>
      </c>
    </row>
    <row r="1941" spans="1:10" x14ac:dyDescent="0.25">
      <c r="A1941" s="1" t="s">
        <v>4033</v>
      </c>
      <c r="B1941" t="s">
        <v>4034</v>
      </c>
      <c r="C1941" s="1" t="s">
        <v>541</v>
      </c>
      <c r="D1941" t="s">
        <v>542</v>
      </c>
      <c r="E1941" t="s">
        <v>9</v>
      </c>
      <c r="F1941" t="s">
        <v>10</v>
      </c>
      <c r="G1941" t="s">
        <v>4036</v>
      </c>
      <c r="H1941">
        <v>4.84</v>
      </c>
      <c r="I1941" s="6" t="str">
        <f>_xlfn.CONCAT("Art. złączny do produktu ",Tabela10[[#This Row],[KOD_PRODUKTU]])</f>
        <v>Art. złączny do produktu 904U01-700</v>
      </c>
      <c r="J1941" s="6" t="str">
        <f>_xlfn.CONCAT("VE-",Tabela10[[#This Row],[KOD_PRODUKTU]])</f>
        <v>VE-904U01-700</v>
      </c>
    </row>
    <row r="1942" spans="1:10" x14ac:dyDescent="0.25">
      <c r="A1942" s="7" t="s">
        <v>4037</v>
      </c>
      <c r="B1942" s="6" t="s">
        <v>4038</v>
      </c>
      <c r="C1942" s="7" t="s">
        <v>4039</v>
      </c>
      <c r="D1942" s="6" t="s">
        <v>4040</v>
      </c>
      <c r="E1942" s="6" t="s">
        <v>216</v>
      </c>
      <c r="F1942" s="6" t="s">
        <v>17</v>
      </c>
      <c r="G1942" s="6" t="s">
        <v>1254</v>
      </c>
      <c r="H1942" s="6">
        <v>2.4500000000000002</v>
      </c>
      <c r="I1942" s="6" t="str">
        <f>_xlfn.CONCAT("Art. złączny do produktu ",Tabela10[[#This Row],[KOD_PRODUKTU]])</f>
        <v>Art. złączny do produktu 904U01-801</v>
      </c>
      <c r="J1942" s="6" t="str">
        <f>_xlfn.CONCAT("VE-",Tabela10[[#This Row],[KOD_PRODUKTU]])</f>
        <v>VE-904U01-801</v>
      </c>
    </row>
    <row r="1943" spans="1:10" x14ac:dyDescent="0.25">
      <c r="A1943" s="1" t="s">
        <v>4037</v>
      </c>
      <c r="B1943" t="s">
        <v>4038</v>
      </c>
      <c r="C1943" s="1" t="s">
        <v>541</v>
      </c>
      <c r="D1943" t="s">
        <v>542</v>
      </c>
      <c r="E1943" t="s">
        <v>9</v>
      </c>
      <c r="F1943" t="s">
        <v>10</v>
      </c>
      <c r="G1943" t="s">
        <v>3514</v>
      </c>
      <c r="H1943">
        <v>4.8499999999999996</v>
      </c>
      <c r="I1943" s="6" t="str">
        <f>_xlfn.CONCAT("Art. złączny do produktu ",Tabela10[[#This Row],[KOD_PRODUKTU]])</f>
        <v>Art. złączny do produktu 904U01-801</v>
      </c>
      <c r="J1943" s="6" t="str">
        <f>_xlfn.CONCAT("VE-",Tabela10[[#This Row],[KOD_PRODUKTU]])</f>
        <v>VE-904U01-801</v>
      </c>
    </row>
    <row r="1944" spans="1:10" x14ac:dyDescent="0.25">
      <c r="A1944" s="7" t="s">
        <v>4041</v>
      </c>
      <c r="B1944" s="6" t="s">
        <v>4042</v>
      </c>
      <c r="C1944" s="7" t="s">
        <v>4039</v>
      </c>
      <c r="D1944" s="6" t="s">
        <v>4040</v>
      </c>
      <c r="E1944" s="6" t="s">
        <v>216</v>
      </c>
      <c r="F1944" s="6" t="s">
        <v>17</v>
      </c>
      <c r="G1944" s="6" t="s">
        <v>33</v>
      </c>
      <c r="H1944" s="6">
        <v>1.4</v>
      </c>
      <c r="I1944" s="6" t="str">
        <f>_xlfn.CONCAT("Art. złączny do produktu ",Tabela10[[#This Row],[KOD_PRODUKTU]])</f>
        <v>Art. złączny do produktu 904U01-802</v>
      </c>
      <c r="J1944" s="6" t="str">
        <f>_xlfn.CONCAT("VE-",Tabela10[[#This Row],[KOD_PRODUKTU]])</f>
        <v>VE-904U01-802</v>
      </c>
    </row>
    <row r="1945" spans="1:10" x14ac:dyDescent="0.25">
      <c r="A1945" s="1" t="s">
        <v>4041</v>
      </c>
      <c r="B1945" t="s">
        <v>4042</v>
      </c>
      <c r="C1945" s="1" t="s">
        <v>541</v>
      </c>
      <c r="D1945" t="s">
        <v>542</v>
      </c>
      <c r="E1945" t="s">
        <v>9</v>
      </c>
      <c r="F1945" t="s">
        <v>10</v>
      </c>
      <c r="G1945" t="s">
        <v>3514</v>
      </c>
      <c r="H1945">
        <v>4.8499999999999996</v>
      </c>
      <c r="I1945" s="6" t="str">
        <f>_xlfn.CONCAT("Art. złączny do produktu ",Tabela10[[#This Row],[KOD_PRODUKTU]])</f>
        <v>Art. złączny do produktu 904U01-802</v>
      </c>
      <c r="J1945" s="6" t="str">
        <f>_xlfn.CONCAT("VE-",Tabela10[[#This Row],[KOD_PRODUKTU]])</f>
        <v>VE-904U01-802</v>
      </c>
    </row>
    <row r="1946" spans="1:10" x14ac:dyDescent="0.25">
      <c r="A1946" s="7" t="s">
        <v>4043</v>
      </c>
      <c r="B1946" s="6" t="s">
        <v>4044</v>
      </c>
      <c r="C1946" s="7" t="s">
        <v>4039</v>
      </c>
      <c r="D1946" s="6" t="s">
        <v>4040</v>
      </c>
      <c r="E1946" s="6" t="s">
        <v>216</v>
      </c>
      <c r="F1946" s="6" t="s">
        <v>17</v>
      </c>
      <c r="G1946" s="6" t="s">
        <v>992</v>
      </c>
      <c r="H1946" s="6">
        <v>2.1</v>
      </c>
      <c r="I1946" s="6" t="str">
        <f>_xlfn.CONCAT("Art. złączny do produktu ",Tabela10[[#This Row],[KOD_PRODUKTU]])</f>
        <v>Art. złączny do produktu 904U01-803</v>
      </c>
      <c r="J1946" s="6" t="str">
        <f>_xlfn.CONCAT("VE-",Tabela10[[#This Row],[KOD_PRODUKTU]])</f>
        <v>VE-904U01-803</v>
      </c>
    </row>
    <row r="1947" spans="1:10" x14ac:dyDescent="0.25">
      <c r="A1947" s="1" t="s">
        <v>4043</v>
      </c>
      <c r="B1947" t="s">
        <v>4044</v>
      </c>
      <c r="C1947" s="1" t="s">
        <v>541</v>
      </c>
      <c r="D1947" t="s">
        <v>542</v>
      </c>
      <c r="E1947" t="s">
        <v>9</v>
      </c>
      <c r="F1947" t="s">
        <v>10</v>
      </c>
      <c r="G1947" t="s">
        <v>3514</v>
      </c>
      <c r="H1947">
        <v>4.8499999999999996</v>
      </c>
      <c r="I1947" s="6" t="str">
        <f>_xlfn.CONCAT("Art. złączny do produktu ",Tabela10[[#This Row],[KOD_PRODUKTU]])</f>
        <v>Art. złączny do produktu 904U01-803</v>
      </c>
      <c r="J1947" s="6" t="str">
        <f>_xlfn.CONCAT("VE-",Tabela10[[#This Row],[KOD_PRODUKTU]])</f>
        <v>VE-904U01-803</v>
      </c>
    </row>
    <row r="1948" spans="1:10" x14ac:dyDescent="0.25">
      <c r="A1948" s="7" t="s">
        <v>4045</v>
      </c>
      <c r="B1948" s="6" t="s">
        <v>4046</v>
      </c>
      <c r="C1948" s="7" t="s">
        <v>1047</v>
      </c>
      <c r="D1948" s="6" t="s">
        <v>1048</v>
      </c>
      <c r="E1948" s="6" t="s">
        <v>1434</v>
      </c>
      <c r="F1948" s="6" t="s">
        <v>17</v>
      </c>
      <c r="G1948" s="6" t="s">
        <v>4047</v>
      </c>
      <c r="H1948" s="6">
        <v>12.57</v>
      </c>
      <c r="I1948" s="6" t="str">
        <f>_xlfn.CONCAT("Art. złączny do produktu ",Tabela10[[#This Row],[KOD_PRODUKTU]])</f>
        <v>Art. złączny do produktu 904U08-221</v>
      </c>
      <c r="J1948" s="6" t="str">
        <f>_xlfn.CONCAT("VE-",Tabela10[[#This Row],[KOD_PRODUKTU]])</f>
        <v>VE-904U08-221</v>
      </c>
    </row>
    <row r="1949" spans="1:10" x14ac:dyDescent="0.25">
      <c r="A1949" s="1" t="s">
        <v>4045</v>
      </c>
      <c r="B1949" t="s">
        <v>4046</v>
      </c>
      <c r="C1949" s="1" t="s">
        <v>541</v>
      </c>
      <c r="D1949" t="s">
        <v>542</v>
      </c>
      <c r="E1949" t="s">
        <v>9</v>
      </c>
      <c r="F1949" t="s">
        <v>10</v>
      </c>
      <c r="G1949" t="s">
        <v>4048</v>
      </c>
      <c r="H1949">
        <v>5.6</v>
      </c>
      <c r="I1949" s="6" t="str">
        <f>_xlfn.CONCAT("Art. złączny do produktu ",Tabela10[[#This Row],[KOD_PRODUKTU]])</f>
        <v>Art. złączny do produktu 904U08-221</v>
      </c>
      <c r="J1949" s="6" t="str">
        <f>_xlfn.CONCAT("VE-",Tabela10[[#This Row],[KOD_PRODUKTU]])</f>
        <v>VE-904U08-221</v>
      </c>
    </row>
    <row r="1950" spans="1:10" x14ac:dyDescent="0.25">
      <c r="A1950" s="7" t="s">
        <v>4049</v>
      </c>
      <c r="B1950" s="6" t="s">
        <v>4050</v>
      </c>
      <c r="C1950" s="7" t="s">
        <v>1047</v>
      </c>
      <c r="D1950" s="6" t="s">
        <v>1048</v>
      </c>
      <c r="E1950" s="6" t="s">
        <v>1434</v>
      </c>
      <c r="F1950" s="6" t="s">
        <v>17</v>
      </c>
      <c r="G1950" s="6" t="s">
        <v>3047</v>
      </c>
      <c r="H1950" s="6">
        <v>4.33</v>
      </c>
      <c r="I1950" s="6" t="str">
        <f>_xlfn.CONCAT("Art. złączny do produktu ",Tabela10[[#This Row],[KOD_PRODUKTU]])</f>
        <v>Art. złączny do produktu 904U08-222</v>
      </c>
      <c r="J1950" s="6" t="str">
        <f>_xlfn.CONCAT("VE-",Tabela10[[#This Row],[KOD_PRODUKTU]])</f>
        <v>VE-904U08-222</v>
      </c>
    </row>
    <row r="1951" spans="1:10" x14ac:dyDescent="0.25">
      <c r="A1951" s="1" t="s">
        <v>4049</v>
      </c>
      <c r="B1951" t="s">
        <v>4050</v>
      </c>
      <c r="C1951" s="1" t="s">
        <v>541</v>
      </c>
      <c r="D1951" t="s">
        <v>542</v>
      </c>
      <c r="E1951" t="s">
        <v>9</v>
      </c>
      <c r="F1951" t="s">
        <v>10</v>
      </c>
      <c r="G1951" t="s">
        <v>3047</v>
      </c>
      <c r="H1951">
        <v>4.83</v>
      </c>
      <c r="I1951" s="6" t="str">
        <f>_xlfn.CONCAT("Art. złączny do produktu ",Tabela10[[#This Row],[KOD_PRODUKTU]])</f>
        <v>Art. złączny do produktu 904U08-222</v>
      </c>
      <c r="J1951" s="6" t="str">
        <f>_xlfn.CONCAT("VE-",Tabela10[[#This Row],[KOD_PRODUKTU]])</f>
        <v>VE-904U08-222</v>
      </c>
    </row>
    <row r="1952" spans="1:10" x14ac:dyDescent="0.25">
      <c r="A1952" s="7" t="s">
        <v>4051</v>
      </c>
      <c r="B1952" s="6" t="s">
        <v>4052</v>
      </c>
      <c r="C1952" s="7" t="s">
        <v>1047</v>
      </c>
      <c r="D1952" s="6" t="s">
        <v>1048</v>
      </c>
      <c r="E1952" s="6" t="s">
        <v>1434</v>
      </c>
      <c r="F1952" s="6" t="s">
        <v>17</v>
      </c>
      <c r="G1952" s="6" t="s">
        <v>4053</v>
      </c>
      <c r="H1952" s="6">
        <v>16.05</v>
      </c>
      <c r="I1952" s="6" t="str">
        <f>_xlfn.CONCAT("Art. złączny do produktu ",Tabela10[[#This Row],[KOD_PRODUKTU]])</f>
        <v>Art. złączny do produktu 904U08-223</v>
      </c>
      <c r="J1952" s="6" t="str">
        <f>_xlfn.CONCAT("VE-",Tabela10[[#This Row],[KOD_PRODUKTU]])</f>
        <v>VE-904U08-223</v>
      </c>
    </row>
    <row r="1953" spans="1:10" x14ac:dyDescent="0.25">
      <c r="A1953" s="1" t="s">
        <v>4051</v>
      </c>
      <c r="B1953" t="s">
        <v>4052</v>
      </c>
      <c r="C1953" s="1" t="s">
        <v>541</v>
      </c>
      <c r="D1953" t="s">
        <v>542</v>
      </c>
      <c r="E1953" t="s">
        <v>9</v>
      </c>
      <c r="F1953" t="s">
        <v>10</v>
      </c>
      <c r="G1953" t="s">
        <v>3047</v>
      </c>
      <c r="H1953">
        <v>4.83</v>
      </c>
      <c r="I1953" s="6" t="str">
        <f>_xlfn.CONCAT("Art. złączny do produktu ",Tabela10[[#This Row],[KOD_PRODUKTU]])</f>
        <v>Art. złączny do produktu 904U08-223</v>
      </c>
      <c r="J1953" s="6" t="str">
        <f>_xlfn.CONCAT("VE-",Tabela10[[#This Row],[KOD_PRODUKTU]])</f>
        <v>VE-904U08-223</v>
      </c>
    </row>
    <row r="1954" spans="1:10" x14ac:dyDescent="0.25">
      <c r="A1954" s="7" t="s">
        <v>4054</v>
      </c>
      <c r="B1954" s="6" t="s">
        <v>4055</v>
      </c>
      <c r="C1954" s="7" t="s">
        <v>1047</v>
      </c>
      <c r="D1954" s="6" t="s">
        <v>1048</v>
      </c>
      <c r="E1954" s="6" t="s">
        <v>1434</v>
      </c>
      <c r="F1954" s="6" t="s">
        <v>17</v>
      </c>
      <c r="G1954" s="6" t="s">
        <v>4056</v>
      </c>
      <c r="H1954" s="6">
        <v>6.07</v>
      </c>
      <c r="I1954" s="6" t="str">
        <f>_xlfn.CONCAT("Art. złączny do produktu ",Tabela10[[#This Row],[KOD_PRODUKTU]])</f>
        <v>Art. złączny do produktu 904U08-224</v>
      </c>
      <c r="J1954" s="6" t="str">
        <f>_xlfn.CONCAT("VE-",Tabela10[[#This Row],[KOD_PRODUKTU]])</f>
        <v>VE-904U08-224</v>
      </c>
    </row>
    <row r="1955" spans="1:10" x14ac:dyDescent="0.25">
      <c r="A1955" s="1" t="s">
        <v>4054</v>
      </c>
      <c r="B1955" t="s">
        <v>4055</v>
      </c>
      <c r="C1955" s="1" t="s">
        <v>541</v>
      </c>
      <c r="D1955" t="s">
        <v>542</v>
      </c>
      <c r="E1955" t="s">
        <v>9</v>
      </c>
      <c r="F1955" t="s">
        <v>10</v>
      </c>
      <c r="G1955" t="s">
        <v>3047</v>
      </c>
      <c r="H1955">
        <v>4.83</v>
      </c>
      <c r="I1955" s="6" t="str">
        <f>_xlfn.CONCAT("Art. złączny do produktu ",Tabela10[[#This Row],[KOD_PRODUKTU]])</f>
        <v>Art. złączny do produktu 904U08-224</v>
      </c>
      <c r="J1955" s="6" t="str">
        <f>_xlfn.CONCAT("VE-",Tabela10[[#This Row],[KOD_PRODUKTU]])</f>
        <v>VE-904U08-224</v>
      </c>
    </row>
    <row r="1956" spans="1:10" x14ac:dyDescent="0.25">
      <c r="A1956" s="7" t="s">
        <v>4057</v>
      </c>
      <c r="B1956" s="6" t="s">
        <v>4058</v>
      </c>
      <c r="C1956" s="7" t="s">
        <v>1047</v>
      </c>
      <c r="D1956" s="6" t="s">
        <v>1048</v>
      </c>
      <c r="E1956" s="6" t="s">
        <v>1434</v>
      </c>
      <c r="F1956" s="6" t="s">
        <v>17</v>
      </c>
      <c r="G1956" s="6" t="s">
        <v>4059</v>
      </c>
      <c r="H1956" s="6">
        <v>2.68</v>
      </c>
      <c r="I1956" s="6" t="str">
        <f>_xlfn.CONCAT("Art. złączny do produktu ",Tabela10[[#This Row],[KOD_PRODUKTU]])</f>
        <v>Art. złączny do produktu 904U08-225</v>
      </c>
      <c r="J1956" s="6" t="str">
        <f>_xlfn.CONCAT("VE-",Tabela10[[#This Row],[KOD_PRODUKTU]])</f>
        <v>VE-904U08-225</v>
      </c>
    </row>
    <row r="1957" spans="1:10" x14ac:dyDescent="0.25">
      <c r="A1957" s="1" t="s">
        <v>4057</v>
      </c>
      <c r="B1957" t="s">
        <v>4058</v>
      </c>
      <c r="C1957" s="1" t="s">
        <v>541</v>
      </c>
      <c r="D1957" t="s">
        <v>542</v>
      </c>
      <c r="E1957" t="s">
        <v>9</v>
      </c>
      <c r="F1957" t="s">
        <v>10</v>
      </c>
      <c r="G1957" t="s">
        <v>4060</v>
      </c>
      <c r="H1957">
        <v>5.55</v>
      </c>
      <c r="I1957" s="6" t="str">
        <f>_xlfn.CONCAT("Art. złączny do produktu ",Tabela10[[#This Row],[KOD_PRODUKTU]])</f>
        <v>Art. złączny do produktu 904U08-225</v>
      </c>
      <c r="J1957" s="6" t="str">
        <f>_xlfn.CONCAT("VE-",Tabela10[[#This Row],[KOD_PRODUKTU]])</f>
        <v>VE-904U08-225</v>
      </c>
    </row>
    <row r="1958" spans="1:10" x14ac:dyDescent="0.25">
      <c r="A1958" s="7" t="s">
        <v>4061</v>
      </c>
      <c r="B1958" s="6" t="s">
        <v>4062</v>
      </c>
      <c r="C1958" s="7" t="s">
        <v>1094</v>
      </c>
      <c r="D1958" s="6" t="s">
        <v>1095</v>
      </c>
      <c r="E1958" s="6" t="s">
        <v>887</v>
      </c>
      <c r="F1958" s="6" t="s">
        <v>5</v>
      </c>
      <c r="G1958" s="6" t="s">
        <v>1125</v>
      </c>
      <c r="H1958" s="6">
        <v>5.03</v>
      </c>
      <c r="I1958" s="6" t="str">
        <f>_xlfn.CONCAT("Art. złączny do produktu ",Tabela10[[#This Row],[KOD_PRODUKTU]])</f>
        <v>Art. złączny do produktu 904U08-226</v>
      </c>
      <c r="J1958" s="6" t="str">
        <f>_xlfn.CONCAT("VE-",Tabela10[[#This Row],[KOD_PRODUKTU]])</f>
        <v>VE-904U08-226</v>
      </c>
    </row>
    <row r="1959" spans="1:10" x14ac:dyDescent="0.25">
      <c r="A1959" s="1" t="s">
        <v>4061</v>
      </c>
      <c r="B1959" t="s">
        <v>4062</v>
      </c>
      <c r="C1959" s="1" t="s">
        <v>541</v>
      </c>
      <c r="D1959" t="s">
        <v>542</v>
      </c>
      <c r="E1959" t="s">
        <v>9</v>
      </c>
      <c r="F1959" t="s">
        <v>10</v>
      </c>
      <c r="G1959" t="s">
        <v>3681</v>
      </c>
      <c r="H1959">
        <v>7.22</v>
      </c>
      <c r="I1959" s="6" t="str">
        <f>_xlfn.CONCAT("Art. złączny do produktu ",Tabela10[[#This Row],[KOD_PRODUKTU]])</f>
        <v>Art. złączny do produktu 904U08-226</v>
      </c>
      <c r="J1959" s="6" t="str">
        <f>_xlfn.CONCAT("VE-",Tabela10[[#This Row],[KOD_PRODUKTU]])</f>
        <v>VE-904U08-226</v>
      </c>
    </row>
    <row r="1960" spans="1:10" x14ac:dyDescent="0.25">
      <c r="A1960" s="7" t="s">
        <v>4063</v>
      </c>
      <c r="B1960" s="6" t="s">
        <v>4064</v>
      </c>
      <c r="C1960" s="7" t="s">
        <v>1099</v>
      </c>
      <c r="D1960" s="6" t="s">
        <v>1100</v>
      </c>
      <c r="E1960" s="6" t="s">
        <v>1101</v>
      </c>
      <c r="F1960" s="6" t="s">
        <v>932</v>
      </c>
      <c r="G1960" s="6" t="s">
        <v>4065</v>
      </c>
      <c r="H1960" s="6">
        <v>3.2</v>
      </c>
      <c r="I1960" s="6" t="str">
        <f>_xlfn.CONCAT("Art. złączny do produktu ",Tabela10[[#This Row],[KOD_PRODUKTU]])</f>
        <v>Art. złączny do produktu 904U08-227</v>
      </c>
      <c r="J1960" s="6" t="str">
        <f>_xlfn.CONCAT("VE-",Tabela10[[#This Row],[KOD_PRODUKTU]])</f>
        <v>VE-904U08-227</v>
      </c>
    </row>
    <row r="1961" spans="1:10" x14ac:dyDescent="0.25">
      <c r="A1961" s="1" t="s">
        <v>4063</v>
      </c>
      <c r="B1961" t="s">
        <v>4064</v>
      </c>
      <c r="C1961" s="1" t="s">
        <v>432</v>
      </c>
      <c r="D1961" t="s">
        <v>433</v>
      </c>
      <c r="E1961" t="s">
        <v>434</v>
      </c>
      <c r="F1961" t="s">
        <v>435</v>
      </c>
      <c r="G1961" t="s">
        <v>50</v>
      </c>
      <c r="H1961">
        <v>1.1000000000000001</v>
      </c>
      <c r="I1961" s="6" t="str">
        <f>_xlfn.CONCAT("Art. złączny do produktu ",Tabela10[[#This Row],[KOD_PRODUKTU]])</f>
        <v>Art. złączny do produktu 904U08-227</v>
      </c>
      <c r="J1961" s="6" t="str">
        <f>_xlfn.CONCAT("VE-",Tabela10[[#This Row],[KOD_PRODUKTU]])</f>
        <v>VE-904U08-227</v>
      </c>
    </row>
    <row r="1962" spans="1:10" x14ac:dyDescent="0.25">
      <c r="A1962" s="7" t="s">
        <v>4063</v>
      </c>
      <c r="B1962" s="6" t="s">
        <v>4064</v>
      </c>
      <c r="C1962" s="7" t="s">
        <v>541</v>
      </c>
      <c r="D1962" s="6" t="s">
        <v>542</v>
      </c>
      <c r="E1962" s="6" t="s">
        <v>9</v>
      </c>
      <c r="F1962" s="6" t="s">
        <v>10</v>
      </c>
      <c r="G1962" s="6" t="s">
        <v>3567</v>
      </c>
      <c r="H1962" s="6">
        <v>16.87</v>
      </c>
      <c r="I1962" s="6" t="str">
        <f>_xlfn.CONCAT("Art. złączny do produktu ",Tabela10[[#This Row],[KOD_PRODUKTU]])</f>
        <v>Art. złączny do produktu 904U08-227</v>
      </c>
      <c r="J1962" s="6" t="str">
        <f>_xlfn.CONCAT("VE-",Tabela10[[#This Row],[KOD_PRODUKTU]])</f>
        <v>VE-904U08-227</v>
      </c>
    </row>
    <row r="1963" spans="1:10" x14ac:dyDescent="0.25">
      <c r="A1963" s="1" t="s">
        <v>4066</v>
      </c>
      <c r="B1963" t="s">
        <v>4067</v>
      </c>
      <c r="C1963" s="1" t="s">
        <v>1047</v>
      </c>
      <c r="D1963" t="s">
        <v>1048</v>
      </c>
      <c r="E1963" t="s">
        <v>1434</v>
      </c>
      <c r="F1963" t="s">
        <v>17</v>
      </c>
      <c r="G1963" t="s">
        <v>2696</v>
      </c>
      <c r="H1963">
        <v>5.36</v>
      </c>
      <c r="I1963" s="6" t="str">
        <f>_xlfn.CONCAT("Art. złączny do produktu ",Tabela10[[#This Row],[KOD_PRODUKTU]])</f>
        <v>Art. złączny do produktu 904U08-272</v>
      </c>
      <c r="J1963" s="6" t="str">
        <f>_xlfn.CONCAT("VE-",Tabela10[[#This Row],[KOD_PRODUKTU]])</f>
        <v>VE-904U08-272</v>
      </c>
    </row>
    <row r="1964" spans="1:10" x14ac:dyDescent="0.25">
      <c r="A1964" s="7" t="s">
        <v>4066</v>
      </c>
      <c r="B1964" s="6" t="s">
        <v>4067</v>
      </c>
      <c r="C1964" s="7" t="s">
        <v>541</v>
      </c>
      <c r="D1964" s="6" t="s">
        <v>542</v>
      </c>
      <c r="E1964" s="6" t="s">
        <v>9</v>
      </c>
      <c r="F1964" s="6" t="s">
        <v>10</v>
      </c>
      <c r="G1964" s="6" t="s">
        <v>4068</v>
      </c>
      <c r="H1964" s="6">
        <v>5.6</v>
      </c>
      <c r="I1964" s="6" t="str">
        <f>_xlfn.CONCAT("Art. złączny do produktu ",Tabela10[[#This Row],[KOD_PRODUKTU]])</f>
        <v>Art. złączny do produktu 904U08-272</v>
      </c>
      <c r="J1964" s="6" t="str">
        <f>_xlfn.CONCAT("VE-",Tabela10[[#This Row],[KOD_PRODUKTU]])</f>
        <v>VE-904U08-272</v>
      </c>
    </row>
    <row r="1965" spans="1:10" x14ac:dyDescent="0.25">
      <c r="A1965" s="1" t="s">
        <v>4069</v>
      </c>
      <c r="B1965" t="s">
        <v>4070</v>
      </c>
      <c r="C1965" s="1" t="s">
        <v>4071</v>
      </c>
      <c r="D1965" t="s">
        <v>4072</v>
      </c>
      <c r="E1965" t="s">
        <v>2963</v>
      </c>
      <c r="F1965" t="s">
        <v>121</v>
      </c>
      <c r="G1965" t="s">
        <v>50</v>
      </c>
      <c r="H1965">
        <v>10.5</v>
      </c>
      <c r="I1965" s="6" t="str">
        <f>_xlfn.CONCAT("Art. złączny do produktu ",Tabela10[[#This Row],[KOD_PRODUKTU]])</f>
        <v>Art. złączny do produktu 904U09-250</v>
      </c>
      <c r="J1965" s="6" t="str">
        <f>_xlfn.CONCAT("VE-",Tabela10[[#This Row],[KOD_PRODUKTU]])</f>
        <v>VE-904U09-250</v>
      </c>
    </row>
    <row r="1966" spans="1:10" x14ac:dyDescent="0.25">
      <c r="A1966" s="7" t="s">
        <v>4069</v>
      </c>
      <c r="B1966" s="6" t="s">
        <v>4070</v>
      </c>
      <c r="C1966" s="7" t="s">
        <v>4073</v>
      </c>
      <c r="D1966" s="6" t="s">
        <v>4074</v>
      </c>
      <c r="E1966" s="6" t="s">
        <v>4075</v>
      </c>
      <c r="F1966" s="6" t="s">
        <v>49</v>
      </c>
      <c r="G1966" s="6" t="s">
        <v>50</v>
      </c>
      <c r="H1966" s="6">
        <v>13.89</v>
      </c>
      <c r="I1966" s="6" t="str">
        <f>_xlfn.CONCAT("Art. złączny do produktu ",Tabela10[[#This Row],[KOD_PRODUKTU]])</f>
        <v>Art. złączny do produktu 904U09-250</v>
      </c>
      <c r="J1966" s="6" t="str">
        <f>_xlfn.CONCAT("VE-",Tabela10[[#This Row],[KOD_PRODUKTU]])</f>
        <v>VE-904U09-250</v>
      </c>
    </row>
    <row r="1967" spans="1:10" x14ac:dyDescent="0.25">
      <c r="A1967" s="1" t="s">
        <v>4069</v>
      </c>
      <c r="B1967" t="s">
        <v>4070</v>
      </c>
      <c r="C1967" s="1" t="s">
        <v>4076</v>
      </c>
      <c r="D1967" t="s">
        <v>4077</v>
      </c>
      <c r="E1967" t="s">
        <v>394</v>
      </c>
      <c r="F1967" t="s">
        <v>49</v>
      </c>
      <c r="G1967" t="s">
        <v>122</v>
      </c>
      <c r="H1967">
        <v>23.4</v>
      </c>
      <c r="I1967" s="6" t="str">
        <f>_xlfn.CONCAT("Art. złączny do produktu ",Tabela10[[#This Row],[KOD_PRODUKTU]])</f>
        <v>Art. złączny do produktu 904U09-250</v>
      </c>
      <c r="J1967" s="6" t="str">
        <f>_xlfn.CONCAT("VE-",Tabela10[[#This Row],[KOD_PRODUKTU]])</f>
        <v>VE-904U09-250</v>
      </c>
    </row>
    <row r="1968" spans="1:10" x14ac:dyDescent="0.25">
      <c r="A1968" s="7" t="s">
        <v>4069</v>
      </c>
      <c r="B1968" s="6" t="s">
        <v>4070</v>
      </c>
      <c r="C1968" s="7" t="s">
        <v>1989</v>
      </c>
      <c r="D1968" s="6" t="s">
        <v>1990</v>
      </c>
      <c r="E1968" s="6" t="s">
        <v>1991</v>
      </c>
      <c r="F1968" s="6" t="s">
        <v>435</v>
      </c>
      <c r="G1968" s="6" t="s">
        <v>4081</v>
      </c>
      <c r="H1968" s="6">
        <v>1.1200000000000001</v>
      </c>
      <c r="I1968" s="6" t="str">
        <f>_xlfn.CONCAT("Art. złączny do produktu ",Tabela10[[#This Row],[KOD_PRODUKTU]])</f>
        <v>Art. złączny do produktu 904U09-250</v>
      </c>
      <c r="J1968" s="6" t="str">
        <f>_xlfn.CONCAT("VE-",Tabela10[[#This Row],[KOD_PRODUKTU]])</f>
        <v>VE-904U09-250</v>
      </c>
    </row>
    <row r="1969" spans="1:10" x14ac:dyDescent="0.25">
      <c r="A1969" s="1" t="s">
        <v>4069</v>
      </c>
      <c r="B1969" t="s">
        <v>4070</v>
      </c>
      <c r="C1969" s="1" t="s">
        <v>2577</v>
      </c>
      <c r="D1969" t="s">
        <v>2578</v>
      </c>
      <c r="E1969" t="s">
        <v>686</v>
      </c>
      <c r="F1969" t="s">
        <v>49</v>
      </c>
      <c r="G1969" t="s">
        <v>4082</v>
      </c>
      <c r="H1969">
        <v>2.8</v>
      </c>
      <c r="I1969" s="6" t="str">
        <f>_xlfn.CONCAT("Art. złączny do produktu ",Tabela10[[#This Row],[KOD_PRODUKTU]])</f>
        <v>Art. złączny do produktu 904U09-250</v>
      </c>
      <c r="J1969" s="6" t="str">
        <f>_xlfn.CONCAT("VE-",Tabela10[[#This Row],[KOD_PRODUKTU]])</f>
        <v>VE-904U09-250</v>
      </c>
    </row>
    <row r="1970" spans="1:10" x14ac:dyDescent="0.25">
      <c r="A1970" s="7" t="s">
        <v>4069</v>
      </c>
      <c r="B1970" s="6" t="s">
        <v>4070</v>
      </c>
      <c r="C1970" s="7" t="s">
        <v>7</v>
      </c>
      <c r="D1970" s="6" t="s">
        <v>8</v>
      </c>
      <c r="E1970" s="6" t="s">
        <v>9</v>
      </c>
      <c r="F1970" s="6" t="s">
        <v>10</v>
      </c>
      <c r="G1970" s="6" t="s">
        <v>4083</v>
      </c>
      <c r="H1970" s="6">
        <v>2.37</v>
      </c>
      <c r="I1970" s="6" t="str">
        <f>_xlfn.CONCAT("Art. złączny do produktu ",Tabela10[[#This Row],[KOD_PRODUKTU]])</f>
        <v>Art. złączny do produktu 904U09-250</v>
      </c>
      <c r="J1970" s="6" t="str">
        <f>_xlfn.CONCAT("VE-",Tabela10[[#This Row],[KOD_PRODUKTU]])</f>
        <v>VE-904U09-250</v>
      </c>
    </row>
    <row r="1971" spans="1:10" x14ac:dyDescent="0.25">
      <c r="A1971" s="1" t="s">
        <v>4069</v>
      </c>
      <c r="B1971" t="s">
        <v>4070</v>
      </c>
      <c r="C1971" s="1" t="s">
        <v>7</v>
      </c>
      <c r="D1971" t="s">
        <v>8</v>
      </c>
      <c r="E1971" t="s">
        <v>9</v>
      </c>
      <c r="F1971" t="s">
        <v>10</v>
      </c>
      <c r="G1971" t="s">
        <v>4084</v>
      </c>
      <c r="H1971">
        <v>4.18</v>
      </c>
      <c r="I1971" s="6" t="str">
        <f>_xlfn.CONCAT("Art. złączny do produktu ",Tabela10[[#This Row],[KOD_PRODUKTU]])</f>
        <v>Art. złączny do produktu 904U09-250</v>
      </c>
      <c r="J1971" s="6" t="str">
        <f>_xlfn.CONCAT("VE-",Tabela10[[#This Row],[KOD_PRODUKTU]])</f>
        <v>VE-904U09-250</v>
      </c>
    </row>
    <row r="1972" spans="1:10" x14ac:dyDescent="0.25">
      <c r="A1972" s="7" t="s">
        <v>4088</v>
      </c>
      <c r="B1972" s="6" t="s">
        <v>4089</v>
      </c>
      <c r="C1972" s="7" t="s">
        <v>1047</v>
      </c>
      <c r="D1972" s="6" t="s">
        <v>1048</v>
      </c>
      <c r="E1972" s="6" t="s">
        <v>1434</v>
      </c>
      <c r="F1972" s="6" t="s">
        <v>17</v>
      </c>
      <c r="G1972" s="6" t="s">
        <v>4059</v>
      </c>
      <c r="H1972" s="6">
        <v>2.68</v>
      </c>
      <c r="I1972" s="6" t="str">
        <f>_xlfn.CONCAT("Art. złączny do produktu ",Tabela10[[#This Row],[KOD_PRODUKTU]])</f>
        <v>Art. złączny do produktu 904U09-310</v>
      </c>
      <c r="J1972" s="6" t="str">
        <f>_xlfn.CONCAT("VE-",Tabela10[[#This Row],[KOD_PRODUKTU]])</f>
        <v>VE-904U09-310</v>
      </c>
    </row>
    <row r="1973" spans="1:10" x14ac:dyDescent="0.25">
      <c r="A1973" s="1" t="s">
        <v>4088</v>
      </c>
      <c r="B1973" t="s">
        <v>4089</v>
      </c>
      <c r="C1973" s="1" t="s">
        <v>541</v>
      </c>
      <c r="D1973" t="s">
        <v>542</v>
      </c>
      <c r="E1973" t="s">
        <v>9</v>
      </c>
      <c r="F1973" t="s">
        <v>10</v>
      </c>
      <c r="G1973" t="s">
        <v>4060</v>
      </c>
      <c r="H1973">
        <v>5.55</v>
      </c>
      <c r="I1973" s="6" t="str">
        <f>_xlfn.CONCAT("Art. złączny do produktu ",Tabela10[[#This Row],[KOD_PRODUKTU]])</f>
        <v>Art. złączny do produktu 904U09-310</v>
      </c>
      <c r="J1973" s="6" t="str">
        <f>_xlfn.CONCAT("VE-",Tabela10[[#This Row],[KOD_PRODUKTU]])</f>
        <v>VE-904U09-310</v>
      </c>
    </row>
    <row r="1974" spans="1:10" x14ac:dyDescent="0.25">
      <c r="A1974" s="7" t="s">
        <v>4090</v>
      </c>
      <c r="B1974" s="6" t="s">
        <v>4091</v>
      </c>
      <c r="C1974" s="7" t="s">
        <v>1094</v>
      </c>
      <c r="D1974" s="6" t="s">
        <v>1095</v>
      </c>
      <c r="E1974" s="6" t="s">
        <v>887</v>
      </c>
      <c r="F1974" s="6" t="s">
        <v>5</v>
      </c>
      <c r="G1974" s="6" t="s">
        <v>1125</v>
      </c>
      <c r="H1974" s="6">
        <v>5.03</v>
      </c>
      <c r="I1974" s="6" t="str">
        <f>_xlfn.CONCAT("Art. złączny do produktu ",Tabela10[[#This Row],[KOD_PRODUKTU]])</f>
        <v>Art. złączny do produktu 904U09-320</v>
      </c>
      <c r="J1974" s="6" t="str">
        <f>_xlfn.CONCAT("VE-",Tabela10[[#This Row],[KOD_PRODUKTU]])</f>
        <v>VE-904U09-320</v>
      </c>
    </row>
    <row r="1975" spans="1:10" x14ac:dyDescent="0.25">
      <c r="A1975" s="1" t="s">
        <v>4090</v>
      </c>
      <c r="B1975" t="s">
        <v>4091</v>
      </c>
      <c r="C1975" s="1" t="s">
        <v>541</v>
      </c>
      <c r="D1975" t="s">
        <v>542</v>
      </c>
      <c r="E1975" t="s">
        <v>9</v>
      </c>
      <c r="F1975" t="s">
        <v>10</v>
      </c>
      <c r="G1975" t="s">
        <v>3681</v>
      </c>
      <c r="H1975">
        <v>7.22</v>
      </c>
      <c r="I1975" s="6" t="str">
        <f>_xlfn.CONCAT("Art. złączny do produktu ",Tabela10[[#This Row],[KOD_PRODUKTU]])</f>
        <v>Art. złączny do produktu 904U09-320</v>
      </c>
      <c r="J1975" s="6" t="str">
        <f>_xlfn.CONCAT("VE-",Tabela10[[#This Row],[KOD_PRODUKTU]])</f>
        <v>VE-904U09-320</v>
      </c>
    </row>
    <row r="1976" spans="1:10" x14ac:dyDescent="0.25">
      <c r="A1976" s="7" t="s">
        <v>4092</v>
      </c>
      <c r="B1976" s="6" t="s">
        <v>4093</v>
      </c>
      <c r="C1976" s="7" t="s">
        <v>1099</v>
      </c>
      <c r="D1976" s="6" t="s">
        <v>1100</v>
      </c>
      <c r="E1976" s="6" t="s">
        <v>1101</v>
      </c>
      <c r="F1976" s="6" t="s">
        <v>49</v>
      </c>
      <c r="G1976" s="6" t="s">
        <v>4065</v>
      </c>
      <c r="H1976" s="6">
        <v>3.2</v>
      </c>
      <c r="I1976" s="6" t="str">
        <f>_xlfn.CONCAT("Art. złączny do produktu ",Tabela10[[#This Row],[KOD_PRODUKTU]])</f>
        <v>Art. złączny do produktu 904U09-330</v>
      </c>
      <c r="J1976" s="6" t="str">
        <f>_xlfn.CONCAT("VE-",Tabela10[[#This Row],[KOD_PRODUKTU]])</f>
        <v>VE-904U09-330</v>
      </c>
    </row>
    <row r="1977" spans="1:10" x14ac:dyDescent="0.25">
      <c r="A1977" s="1" t="s">
        <v>4092</v>
      </c>
      <c r="B1977" t="s">
        <v>4093</v>
      </c>
      <c r="C1977" s="1" t="s">
        <v>432</v>
      </c>
      <c r="D1977" t="s">
        <v>433</v>
      </c>
      <c r="E1977" t="s">
        <v>434</v>
      </c>
      <c r="F1977" t="s">
        <v>435</v>
      </c>
      <c r="G1977" t="s">
        <v>50</v>
      </c>
      <c r="H1977">
        <v>1.1000000000000001</v>
      </c>
      <c r="I1977" s="6" t="str">
        <f>_xlfn.CONCAT("Art. złączny do produktu ",Tabela10[[#This Row],[KOD_PRODUKTU]])</f>
        <v>Art. złączny do produktu 904U09-330</v>
      </c>
      <c r="J1977" s="6" t="str">
        <f>_xlfn.CONCAT("VE-",Tabela10[[#This Row],[KOD_PRODUKTU]])</f>
        <v>VE-904U09-330</v>
      </c>
    </row>
    <row r="1978" spans="1:10" x14ac:dyDescent="0.25">
      <c r="A1978" s="7" t="s">
        <v>4092</v>
      </c>
      <c r="B1978" s="6" t="s">
        <v>4093</v>
      </c>
      <c r="C1978" s="7" t="s">
        <v>541</v>
      </c>
      <c r="D1978" s="6" t="s">
        <v>542</v>
      </c>
      <c r="E1978" s="6" t="s">
        <v>9</v>
      </c>
      <c r="F1978" s="6" t="s">
        <v>10</v>
      </c>
      <c r="G1978" s="6" t="s">
        <v>3567</v>
      </c>
      <c r="H1978" s="6">
        <v>16.87</v>
      </c>
      <c r="I1978" s="6" t="str">
        <f>_xlfn.CONCAT("Art. złączny do produktu ",Tabela10[[#This Row],[KOD_PRODUKTU]])</f>
        <v>Art. złączny do produktu 904U09-330</v>
      </c>
      <c r="J1978" s="6" t="str">
        <f>_xlfn.CONCAT("VE-",Tabela10[[#This Row],[KOD_PRODUKTU]])</f>
        <v>VE-904U09-330</v>
      </c>
    </row>
    <row r="1979" spans="1:10" x14ac:dyDescent="0.25">
      <c r="A1979" s="1" t="s">
        <v>4094</v>
      </c>
      <c r="B1979" t="s">
        <v>4095</v>
      </c>
      <c r="C1979" s="1" t="s">
        <v>3087</v>
      </c>
      <c r="D1979" t="s">
        <v>3088</v>
      </c>
      <c r="E1979" t="s">
        <v>3089</v>
      </c>
      <c r="F1979" t="s">
        <v>17</v>
      </c>
      <c r="G1979" t="s">
        <v>1338</v>
      </c>
      <c r="H1979">
        <v>110.55</v>
      </c>
      <c r="I1979" s="6" t="str">
        <f>_xlfn.CONCAT("Art. złączny do produktu ",Tabela10[[#This Row],[KOD_PRODUKTU]])</f>
        <v>Art. złączny do produktu 904U09-611</v>
      </c>
      <c r="J1979" s="6" t="str">
        <f>_xlfn.CONCAT("VE-",Tabela10[[#This Row],[KOD_PRODUKTU]])</f>
        <v>VE-904U09-611</v>
      </c>
    </row>
    <row r="1980" spans="1:10" x14ac:dyDescent="0.25">
      <c r="A1980" s="7" t="s">
        <v>4094</v>
      </c>
      <c r="B1980" s="6" t="s">
        <v>4095</v>
      </c>
      <c r="C1980" s="7" t="s">
        <v>7</v>
      </c>
      <c r="D1980" s="6" t="s">
        <v>8</v>
      </c>
      <c r="E1980" s="6" t="s">
        <v>9</v>
      </c>
      <c r="F1980" s="6" t="s">
        <v>10</v>
      </c>
      <c r="G1980" s="6" t="s">
        <v>4096</v>
      </c>
      <c r="H1980" s="6">
        <v>11.71</v>
      </c>
      <c r="I1980" s="6" t="str">
        <f>_xlfn.CONCAT("Art. złączny do produktu ",Tabela10[[#This Row],[KOD_PRODUKTU]])</f>
        <v>Art. złączny do produktu 904U09-611</v>
      </c>
      <c r="J1980" s="6" t="str">
        <f>_xlfn.CONCAT("VE-",Tabela10[[#This Row],[KOD_PRODUKTU]])</f>
        <v>VE-904U09-611</v>
      </c>
    </row>
    <row r="1981" spans="1:10" x14ac:dyDescent="0.25">
      <c r="A1981" s="1" t="s">
        <v>4097</v>
      </c>
      <c r="B1981" t="s">
        <v>4098</v>
      </c>
      <c r="C1981" s="1" t="s">
        <v>1041</v>
      </c>
      <c r="D1981" t="s">
        <v>1042</v>
      </c>
      <c r="E1981" t="s">
        <v>712</v>
      </c>
      <c r="F1981" t="s">
        <v>17</v>
      </c>
      <c r="G1981" t="s">
        <v>860</v>
      </c>
      <c r="H1981">
        <v>12.5</v>
      </c>
      <c r="I1981" s="6" t="str">
        <f>_xlfn.CONCAT("Art. złączny do produktu ",Tabela10[[#This Row],[KOD_PRODUKTU]])</f>
        <v>Art. złączny do produktu 904U12-610</v>
      </c>
      <c r="J1981" s="6" t="str">
        <f>_xlfn.CONCAT("VE-",Tabela10[[#This Row],[KOD_PRODUKTU]])</f>
        <v>VE-904U12-610</v>
      </c>
    </row>
    <row r="1982" spans="1:10" x14ac:dyDescent="0.25">
      <c r="A1982" s="7" t="s">
        <v>4097</v>
      </c>
      <c r="B1982" s="6" t="s">
        <v>4098</v>
      </c>
      <c r="C1982" s="7" t="s">
        <v>541</v>
      </c>
      <c r="D1982" s="6" t="s">
        <v>542</v>
      </c>
      <c r="E1982" s="6" t="s">
        <v>9</v>
      </c>
      <c r="F1982" s="6" t="s">
        <v>10</v>
      </c>
      <c r="G1982" s="6" t="s">
        <v>4099</v>
      </c>
      <c r="H1982" s="6">
        <v>4.8899999999999997</v>
      </c>
      <c r="I1982" s="6" t="str">
        <f>_xlfn.CONCAT("Art. złączny do produktu ",Tabela10[[#This Row],[KOD_PRODUKTU]])</f>
        <v>Art. złączny do produktu 904U12-610</v>
      </c>
      <c r="J1982" s="6" t="str">
        <f>_xlfn.CONCAT("VE-",Tabela10[[#This Row],[KOD_PRODUKTU]])</f>
        <v>VE-904U12-610</v>
      </c>
    </row>
    <row r="1983" spans="1:10" x14ac:dyDescent="0.25">
      <c r="A1983" s="1" t="s">
        <v>4100</v>
      </c>
      <c r="B1983" t="s">
        <v>4101</v>
      </c>
      <c r="C1983" s="1" t="s">
        <v>1041</v>
      </c>
      <c r="D1983" t="s">
        <v>1042</v>
      </c>
      <c r="E1983" t="s">
        <v>712</v>
      </c>
      <c r="F1983" t="s">
        <v>17</v>
      </c>
      <c r="G1983" t="s">
        <v>4102</v>
      </c>
      <c r="H1983">
        <v>1.8</v>
      </c>
      <c r="I1983" s="6" t="str">
        <f>_xlfn.CONCAT("Art. złączny do produktu ",Tabela10[[#This Row],[KOD_PRODUKTU]])</f>
        <v>Art. złączny do produktu 904U12-620</v>
      </c>
      <c r="J1983" s="6" t="str">
        <f>_xlfn.CONCAT("VE-",Tabela10[[#This Row],[KOD_PRODUKTU]])</f>
        <v>VE-904U12-620</v>
      </c>
    </row>
    <row r="1984" spans="1:10" x14ac:dyDescent="0.25">
      <c r="A1984" s="7" t="s">
        <v>4100</v>
      </c>
      <c r="B1984" s="6" t="s">
        <v>4101</v>
      </c>
      <c r="C1984" s="7" t="s">
        <v>541</v>
      </c>
      <c r="D1984" s="6" t="s">
        <v>542</v>
      </c>
      <c r="E1984" s="6" t="s">
        <v>9</v>
      </c>
      <c r="F1984" s="6" t="s">
        <v>10</v>
      </c>
      <c r="G1984" s="6" t="s">
        <v>4099</v>
      </c>
      <c r="H1984" s="6">
        <v>4.8899999999999997</v>
      </c>
      <c r="I1984" s="6" t="str">
        <f>_xlfn.CONCAT("Art. złączny do produktu ",Tabela10[[#This Row],[KOD_PRODUKTU]])</f>
        <v>Art. złączny do produktu 904U12-620</v>
      </c>
      <c r="J1984" s="6" t="str">
        <f>_xlfn.CONCAT("VE-",Tabela10[[#This Row],[KOD_PRODUKTU]])</f>
        <v>VE-904U12-620</v>
      </c>
    </row>
    <row r="1985" spans="1:10" x14ac:dyDescent="0.25">
      <c r="A1985" s="1" t="s">
        <v>4103</v>
      </c>
      <c r="B1985" t="s">
        <v>4104</v>
      </c>
      <c r="C1985" s="1" t="s">
        <v>1041</v>
      </c>
      <c r="D1985" t="s">
        <v>1042</v>
      </c>
      <c r="E1985" t="s">
        <v>712</v>
      </c>
      <c r="F1985" t="s">
        <v>17</v>
      </c>
      <c r="G1985" t="s">
        <v>4105</v>
      </c>
      <c r="H1985">
        <v>5.0999999999999996</v>
      </c>
      <c r="I1985" s="6" t="str">
        <f>_xlfn.CONCAT("Art. złączny do produktu ",Tabela10[[#This Row],[KOD_PRODUKTU]])</f>
        <v>Art. złączny do produktu 904U12-630</v>
      </c>
      <c r="J1985" s="6" t="str">
        <f>_xlfn.CONCAT("VE-",Tabela10[[#This Row],[KOD_PRODUKTU]])</f>
        <v>VE-904U12-630</v>
      </c>
    </row>
    <row r="1986" spans="1:10" x14ac:dyDescent="0.25">
      <c r="A1986" s="7" t="s">
        <v>4103</v>
      </c>
      <c r="B1986" s="6" t="s">
        <v>4104</v>
      </c>
      <c r="C1986" s="7" t="s">
        <v>541</v>
      </c>
      <c r="D1986" s="6" t="s">
        <v>542</v>
      </c>
      <c r="E1986" s="6" t="s">
        <v>9</v>
      </c>
      <c r="F1986" s="6" t="s">
        <v>10</v>
      </c>
      <c r="G1986" s="6" t="s">
        <v>4099</v>
      </c>
      <c r="H1986" s="6">
        <v>4.8899999999999997</v>
      </c>
      <c r="I1986" s="6" t="str">
        <f>_xlfn.CONCAT("Art. złączny do produktu ",Tabela10[[#This Row],[KOD_PRODUKTU]])</f>
        <v>Art. złączny do produktu 904U12-630</v>
      </c>
      <c r="J1986" s="6" t="str">
        <f>_xlfn.CONCAT("VE-",Tabela10[[#This Row],[KOD_PRODUKTU]])</f>
        <v>VE-904U12-630</v>
      </c>
    </row>
    <row r="1987" spans="1:10" x14ac:dyDescent="0.25">
      <c r="A1987" s="1" t="s">
        <v>4106</v>
      </c>
      <c r="B1987" t="s">
        <v>4107</v>
      </c>
      <c r="C1987" s="1" t="s">
        <v>1041</v>
      </c>
      <c r="D1987" t="s">
        <v>1042</v>
      </c>
      <c r="E1987" t="s">
        <v>712</v>
      </c>
      <c r="F1987" t="s">
        <v>17</v>
      </c>
      <c r="G1987" t="s">
        <v>4108</v>
      </c>
      <c r="H1987">
        <v>6.35</v>
      </c>
      <c r="I1987" s="6" t="str">
        <f>_xlfn.CONCAT("Art. złączny do produktu ",Tabela10[[#This Row],[KOD_PRODUKTU]])</f>
        <v>Art. złączny do produktu 904U12-640</v>
      </c>
      <c r="J1987" s="6" t="str">
        <f>_xlfn.CONCAT("VE-",Tabela10[[#This Row],[KOD_PRODUKTU]])</f>
        <v>VE-904U12-640</v>
      </c>
    </row>
    <row r="1988" spans="1:10" x14ac:dyDescent="0.25">
      <c r="A1988" s="7" t="s">
        <v>4106</v>
      </c>
      <c r="B1988" s="6" t="s">
        <v>4107</v>
      </c>
      <c r="C1988" s="7" t="s">
        <v>541</v>
      </c>
      <c r="D1988" s="6" t="s">
        <v>542</v>
      </c>
      <c r="E1988" s="6" t="s">
        <v>9</v>
      </c>
      <c r="F1988" s="6" t="s">
        <v>10</v>
      </c>
      <c r="G1988" s="6" t="s">
        <v>4099</v>
      </c>
      <c r="H1988" s="6">
        <v>4.8899999999999997</v>
      </c>
      <c r="I1988" s="6" t="str">
        <f>_xlfn.CONCAT("Art. złączny do produktu ",Tabela10[[#This Row],[KOD_PRODUKTU]])</f>
        <v>Art. złączny do produktu 904U12-640</v>
      </c>
      <c r="J1988" s="6" t="str">
        <f>_xlfn.CONCAT("VE-",Tabela10[[#This Row],[KOD_PRODUKTU]])</f>
        <v>VE-904U12-640</v>
      </c>
    </row>
    <row r="1989" spans="1:10" x14ac:dyDescent="0.25">
      <c r="A1989" s="1" t="s">
        <v>4109</v>
      </c>
      <c r="B1989" t="s">
        <v>4110</v>
      </c>
      <c r="C1989" s="1" t="s">
        <v>1203</v>
      </c>
      <c r="D1989" t="s">
        <v>1204</v>
      </c>
      <c r="E1989" t="s">
        <v>216</v>
      </c>
      <c r="F1989" t="s">
        <v>5</v>
      </c>
      <c r="G1989" t="s">
        <v>4111</v>
      </c>
      <c r="H1989">
        <v>0.3</v>
      </c>
      <c r="I1989" s="6" t="str">
        <f>_xlfn.CONCAT("Art. złączny do produktu ",Tabela10[[#This Row],[KOD_PRODUKTU]])</f>
        <v>Art. złączny do produktu 904U12-810</v>
      </c>
      <c r="J1989" s="6" t="str">
        <f>_xlfn.CONCAT("VE-",Tabela10[[#This Row],[KOD_PRODUKTU]])</f>
        <v>VE-904U12-810</v>
      </c>
    </row>
    <row r="1990" spans="1:10" x14ac:dyDescent="0.25">
      <c r="A1990" s="7" t="s">
        <v>4109</v>
      </c>
      <c r="B1990" s="6" t="s">
        <v>4110</v>
      </c>
      <c r="C1990" s="7" t="s">
        <v>432</v>
      </c>
      <c r="D1990" s="6" t="s">
        <v>433</v>
      </c>
      <c r="E1990" s="6" t="s">
        <v>434</v>
      </c>
      <c r="F1990" s="6" t="s">
        <v>435</v>
      </c>
      <c r="G1990" s="6" t="s">
        <v>50</v>
      </c>
      <c r="H1990" s="6">
        <v>1.1000000000000001</v>
      </c>
      <c r="I1990" s="6" t="str">
        <f>_xlfn.CONCAT("Art. złączny do produktu ",Tabela10[[#This Row],[KOD_PRODUKTU]])</f>
        <v>Art. złączny do produktu 904U12-810</v>
      </c>
      <c r="J1990" s="6" t="str">
        <f>_xlfn.CONCAT("VE-",Tabela10[[#This Row],[KOD_PRODUKTU]])</f>
        <v>VE-904U12-810</v>
      </c>
    </row>
    <row r="1991" spans="1:10" x14ac:dyDescent="0.25">
      <c r="A1991" s="1" t="s">
        <v>4109</v>
      </c>
      <c r="B1991" t="s">
        <v>4110</v>
      </c>
      <c r="C1991" s="1" t="s">
        <v>541</v>
      </c>
      <c r="D1991" t="s">
        <v>542</v>
      </c>
      <c r="E1991" t="s">
        <v>9</v>
      </c>
      <c r="F1991" t="s">
        <v>10</v>
      </c>
      <c r="G1991" t="s">
        <v>4112</v>
      </c>
      <c r="H1991">
        <v>11.18</v>
      </c>
      <c r="I1991" s="6" t="str">
        <f>_xlfn.CONCAT("Art. złączny do produktu ",Tabela10[[#This Row],[KOD_PRODUKTU]])</f>
        <v>Art. złączny do produktu 904U12-810</v>
      </c>
      <c r="J1991" s="6" t="str">
        <f>_xlfn.CONCAT("VE-",Tabela10[[#This Row],[KOD_PRODUKTU]])</f>
        <v>VE-904U12-810</v>
      </c>
    </row>
    <row r="1992" spans="1:10" x14ac:dyDescent="0.25">
      <c r="A1992" s="7" t="s">
        <v>4113</v>
      </c>
      <c r="B1992" s="6" t="s">
        <v>4114</v>
      </c>
      <c r="C1992" s="7" t="s">
        <v>2463</v>
      </c>
      <c r="D1992" s="6" t="s">
        <v>2464</v>
      </c>
      <c r="E1992" s="6" t="s">
        <v>216</v>
      </c>
      <c r="F1992" s="6" t="s">
        <v>5</v>
      </c>
      <c r="G1992" s="6" t="s">
        <v>3040</v>
      </c>
      <c r="H1992" s="6">
        <v>4.97</v>
      </c>
      <c r="I1992" s="6" t="str">
        <f>_xlfn.CONCAT("Art. złączny do produktu ",Tabela10[[#This Row],[KOD_PRODUKTU]])</f>
        <v>Art. złączny do produktu 904U17-141</v>
      </c>
      <c r="J1992" s="6" t="str">
        <f>_xlfn.CONCAT("VE-",Tabela10[[#This Row],[KOD_PRODUKTU]])</f>
        <v>VE-904U17-141</v>
      </c>
    </row>
    <row r="1993" spans="1:10" x14ac:dyDescent="0.25">
      <c r="A1993" s="1" t="s">
        <v>4113</v>
      </c>
      <c r="B1993" t="s">
        <v>4114</v>
      </c>
      <c r="C1993" s="1" t="s">
        <v>541</v>
      </c>
      <c r="D1993" t="s">
        <v>542</v>
      </c>
      <c r="E1993" t="s">
        <v>9</v>
      </c>
      <c r="F1993" t="s">
        <v>10</v>
      </c>
      <c r="G1993" t="s">
        <v>4115</v>
      </c>
      <c r="H1993">
        <v>9.27</v>
      </c>
      <c r="I1993" s="6" t="str">
        <f>_xlfn.CONCAT("Art. złączny do produktu ",Tabela10[[#This Row],[KOD_PRODUKTU]])</f>
        <v>Art. złączny do produktu 904U17-141</v>
      </c>
      <c r="J1993" s="6" t="str">
        <f>_xlfn.CONCAT("VE-",Tabela10[[#This Row],[KOD_PRODUKTU]])</f>
        <v>VE-904U17-141</v>
      </c>
    </row>
    <row r="1994" spans="1:10" x14ac:dyDescent="0.25">
      <c r="A1994" s="7" t="s">
        <v>4116</v>
      </c>
      <c r="B1994" s="6" t="s">
        <v>4117</v>
      </c>
      <c r="C1994" s="7" t="s">
        <v>1203</v>
      </c>
      <c r="D1994" s="6" t="s">
        <v>1204</v>
      </c>
      <c r="E1994" s="6" t="s">
        <v>216</v>
      </c>
      <c r="F1994" s="6" t="s">
        <v>5</v>
      </c>
      <c r="G1994" s="6" t="s">
        <v>4118</v>
      </c>
      <c r="H1994" s="6">
        <v>3.22</v>
      </c>
      <c r="I1994" s="6" t="str">
        <f>_xlfn.CONCAT("Art. złączny do produktu ",Tabela10[[#This Row],[KOD_PRODUKTU]])</f>
        <v>Art. złączny do produktu 904U18-140</v>
      </c>
      <c r="J1994" s="6" t="str">
        <f>_xlfn.CONCAT("VE-",Tabela10[[#This Row],[KOD_PRODUKTU]])</f>
        <v>VE-904U18-140</v>
      </c>
    </row>
    <row r="1995" spans="1:10" x14ac:dyDescent="0.25">
      <c r="A1995" s="1" t="s">
        <v>4116</v>
      </c>
      <c r="B1995" t="s">
        <v>4117</v>
      </c>
      <c r="C1995" s="1" t="s">
        <v>7</v>
      </c>
      <c r="D1995" t="s">
        <v>8</v>
      </c>
      <c r="E1995" t="s">
        <v>9</v>
      </c>
      <c r="F1995" t="s">
        <v>10</v>
      </c>
      <c r="G1995" t="s">
        <v>4119</v>
      </c>
      <c r="H1995">
        <v>3.18</v>
      </c>
      <c r="I1995" s="6" t="str">
        <f>_xlfn.CONCAT("Art. złączny do produktu ",Tabela10[[#This Row],[KOD_PRODUKTU]])</f>
        <v>Art. złączny do produktu 904U18-140</v>
      </c>
      <c r="J1995" s="6" t="str">
        <f>_xlfn.CONCAT("VE-",Tabela10[[#This Row],[KOD_PRODUKTU]])</f>
        <v>VE-904U18-140</v>
      </c>
    </row>
    <row r="1996" spans="1:10" x14ac:dyDescent="0.25">
      <c r="A1996" s="7" t="s">
        <v>4120</v>
      </c>
      <c r="B1996" s="6" t="s">
        <v>4121</v>
      </c>
      <c r="C1996" s="7" t="s">
        <v>2458</v>
      </c>
      <c r="D1996" s="6" t="s">
        <v>2459</v>
      </c>
      <c r="E1996" s="6" t="s">
        <v>384</v>
      </c>
      <c r="F1996" s="6" t="s">
        <v>5</v>
      </c>
      <c r="G1996" s="6" t="s">
        <v>3270</v>
      </c>
      <c r="H1996" s="6">
        <v>2.7</v>
      </c>
      <c r="I1996" s="6" t="str">
        <f>_xlfn.CONCAT("Art. złączny do produktu ",Tabela10[[#This Row],[KOD_PRODUKTU]])</f>
        <v>Art. złączny do produktu 904U19E-600</v>
      </c>
      <c r="J1996" s="6" t="str">
        <f>_xlfn.CONCAT("VE-",Tabela10[[#This Row],[KOD_PRODUKTU]])</f>
        <v>VE-904U19E-600</v>
      </c>
    </row>
    <row r="1997" spans="1:10" x14ac:dyDescent="0.25">
      <c r="A1997" s="1" t="s">
        <v>4120</v>
      </c>
      <c r="B1997" t="s">
        <v>4121</v>
      </c>
      <c r="C1997" s="1" t="s">
        <v>541</v>
      </c>
      <c r="D1997" t="s">
        <v>542</v>
      </c>
      <c r="E1997" t="s">
        <v>9</v>
      </c>
      <c r="F1997" t="s">
        <v>10</v>
      </c>
      <c r="G1997" t="s">
        <v>601</v>
      </c>
      <c r="H1997">
        <v>6.9</v>
      </c>
      <c r="I1997" s="6" t="str">
        <f>_xlfn.CONCAT("Art. złączny do produktu ",Tabela10[[#This Row],[KOD_PRODUKTU]])</f>
        <v>Art. złączny do produktu 904U19E-600</v>
      </c>
      <c r="J1997" s="6" t="str">
        <f>_xlfn.CONCAT("VE-",Tabela10[[#This Row],[KOD_PRODUKTU]])</f>
        <v>VE-904U19E-600</v>
      </c>
    </row>
    <row r="1998" spans="1:10" x14ac:dyDescent="0.25">
      <c r="A1998" s="7" t="s">
        <v>4127</v>
      </c>
      <c r="B1998" s="6" t="s">
        <v>4128</v>
      </c>
      <c r="C1998" s="7" t="s">
        <v>1188</v>
      </c>
      <c r="D1998" s="6" t="s">
        <v>1189</v>
      </c>
      <c r="E1998" s="6" t="s">
        <v>1190</v>
      </c>
      <c r="F1998" s="6" t="s">
        <v>5</v>
      </c>
      <c r="G1998" s="6" t="s">
        <v>1026</v>
      </c>
      <c r="H1998" s="6">
        <v>6.18</v>
      </c>
      <c r="I1998" s="6" t="str">
        <f>_xlfn.CONCAT("Art. złączny do produktu ",Tabela10[[#This Row],[KOD_PRODUKTU]])</f>
        <v>Art. złączny do produktu 904U40-300</v>
      </c>
      <c r="J1998" s="6" t="str">
        <f>_xlfn.CONCAT("VE-",Tabela10[[#This Row],[KOD_PRODUKTU]])</f>
        <v>VE-904U40-300</v>
      </c>
    </row>
    <row r="1999" spans="1:10" x14ac:dyDescent="0.25">
      <c r="A1999" s="1" t="s">
        <v>4127</v>
      </c>
      <c r="B1999" t="s">
        <v>4128</v>
      </c>
      <c r="C1999" s="1" t="s">
        <v>541</v>
      </c>
      <c r="D1999" t="s">
        <v>542</v>
      </c>
      <c r="E1999" t="s">
        <v>9</v>
      </c>
      <c r="F1999" t="s">
        <v>10</v>
      </c>
      <c r="G1999" t="s">
        <v>3540</v>
      </c>
      <c r="H1999">
        <v>7.25</v>
      </c>
      <c r="I1999" s="6" t="str">
        <f>_xlfn.CONCAT("Art. złączny do produktu ",Tabela10[[#This Row],[KOD_PRODUKTU]])</f>
        <v>Art. złączny do produktu 904U40-300</v>
      </c>
      <c r="J1999" s="6" t="str">
        <f>_xlfn.CONCAT("VE-",Tabela10[[#This Row],[KOD_PRODUKTU]])</f>
        <v>VE-904U40-300</v>
      </c>
    </row>
    <row r="2000" spans="1:10" x14ac:dyDescent="0.25">
      <c r="A2000" s="7" t="s">
        <v>4129</v>
      </c>
      <c r="B2000" s="6" t="s">
        <v>4130</v>
      </c>
      <c r="C2000" s="7" t="s">
        <v>1785</v>
      </c>
      <c r="D2000" s="6" t="s">
        <v>1786</v>
      </c>
      <c r="E2000" s="6" t="s">
        <v>216</v>
      </c>
      <c r="F2000" s="6" t="s">
        <v>5</v>
      </c>
      <c r="G2000" s="6" t="s">
        <v>33</v>
      </c>
      <c r="H2000" s="6">
        <v>1.4</v>
      </c>
      <c r="I2000" s="6" t="str">
        <f>_xlfn.CONCAT("Art. złączny do produktu ",Tabela10[[#This Row],[KOD_PRODUKTU]])</f>
        <v>Art. złączny do produktu 904U40-400</v>
      </c>
      <c r="J2000" s="6" t="str">
        <f>_xlfn.CONCAT("VE-",Tabela10[[#This Row],[KOD_PRODUKTU]])</f>
        <v>VE-904U40-400</v>
      </c>
    </row>
    <row r="2001" spans="1:10" x14ac:dyDescent="0.25">
      <c r="A2001" s="1" t="s">
        <v>4129</v>
      </c>
      <c r="B2001" t="s">
        <v>4130</v>
      </c>
      <c r="C2001" s="1" t="s">
        <v>432</v>
      </c>
      <c r="D2001" t="s">
        <v>433</v>
      </c>
      <c r="E2001" t="s">
        <v>434</v>
      </c>
      <c r="F2001" t="s">
        <v>435</v>
      </c>
      <c r="G2001" t="s">
        <v>50</v>
      </c>
      <c r="H2001">
        <v>1.1000000000000001</v>
      </c>
      <c r="I2001" s="6" t="str">
        <f>_xlfn.CONCAT("Art. złączny do produktu ",Tabela10[[#This Row],[KOD_PRODUKTU]])</f>
        <v>Art. złączny do produktu 904U40-400</v>
      </c>
      <c r="J2001" s="6" t="str">
        <f>_xlfn.CONCAT("VE-",Tabela10[[#This Row],[KOD_PRODUKTU]])</f>
        <v>VE-904U40-400</v>
      </c>
    </row>
    <row r="2002" spans="1:10" x14ac:dyDescent="0.25">
      <c r="A2002" s="7" t="s">
        <v>4129</v>
      </c>
      <c r="B2002" s="6" t="s">
        <v>4130</v>
      </c>
      <c r="C2002" s="7" t="s">
        <v>541</v>
      </c>
      <c r="D2002" s="6" t="s">
        <v>542</v>
      </c>
      <c r="E2002" s="6" t="s">
        <v>9</v>
      </c>
      <c r="F2002" s="6" t="s">
        <v>10</v>
      </c>
      <c r="G2002" s="6" t="s">
        <v>3041</v>
      </c>
      <c r="H2002" s="6">
        <v>9.69</v>
      </c>
      <c r="I2002" s="6" t="str">
        <f>_xlfn.CONCAT("Art. złączny do produktu ",Tabela10[[#This Row],[KOD_PRODUKTU]])</f>
        <v>Art. złączny do produktu 904U40-400</v>
      </c>
      <c r="J2002" s="6" t="str">
        <f>_xlfn.CONCAT("VE-",Tabela10[[#This Row],[KOD_PRODUKTU]])</f>
        <v>VE-904U40-400</v>
      </c>
    </row>
    <row r="2003" spans="1:10" x14ac:dyDescent="0.25">
      <c r="A2003" s="1" t="s">
        <v>4131</v>
      </c>
      <c r="B2003" t="s">
        <v>4132</v>
      </c>
      <c r="C2003" s="1" t="s">
        <v>1188</v>
      </c>
      <c r="D2003" t="s">
        <v>1189</v>
      </c>
      <c r="E2003" t="s">
        <v>1190</v>
      </c>
      <c r="F2003" t="s">
        <v>5</v>
      </c>
      <c r="G2003" t="s">
        <v>1026</v>
      </c>
      <c r="H2003">
        <v>6.18</v>
      </c>
      <c r="I2003" s="6" t="str">
        <f>_xlfn.CONCAT("Art. złączny do produktu ",Tabela10[[#This Row],[KOD_PRODUKTU]])</f>
        <v>Art. złączny do produktu 904U40-401</v>
      </c>
      <c r="J2003" s="6" t="str">
        <f>_xlfn.CONCAT("VE-",Tabela10[[#This Row],[KOD_PRODUKTU]])</f>
        <v>VE-904U40-401</v>
      </c>
    </row>
    <row r="2004" spans="1:10" x14ac:dyDescent="0.25">
      <c r="A2004" s="7" t="s">
        <v>4131</v>
      </c>
      <c r="B2004" s="6" t="s">
        <v>4132</v>
      </c>
      <c r="C2004" s="7" t="s">
        <v>541</v>
      </c>
      <c r="D2004" s="6" t="s">
        <v>542</v>
      </c>
      <c r="E2004" s="6" t="s">
        <v>9</v>
      </c>
      <c r="F2004" s="6" t="s">
        <v>10</v>
      </c>
      <c r="G2004" s="6" t="s">
        <v>2890</v>
      </c>
      <c r="H2004" s="6">
        <v>2.42</v>
      </c>
      <c r="I2004" s="6" t="str">
        <f>_xlfn.CONCAT("Art. złączny do produktu ",Tabela10[[#This Row],[KOD_PRODUKTU]])</f>
        <v>Art. złączny do produktu 904U40-401</v>
      </c>
      <c r="J2004" s="6" t="str">
        <f>_xlfn.CONCAT("VE-",Tabela10[[#This Row],[KOD_PRODUKTU]])</f>
        <v>VE-904U40-401</v>
      </c>
    </row>
    <row r="2005" spans="1:10" x14ac:dyDescent="0.25">
      <c r="A2005" s="1" t="s">
        <v>4131</v>
      </c>
      <c r="B2005" t="s">
        <v>4132</v>
      </c>
      <c r="C2005" s="1" t="s">
        <v>541</v>
      </c>
      <c r="D2005" t="s">
        <v>542</v>
      </c>
      <c r="E2005" t="s">
        <v>9</v>
      </c>
      <c r="F2005" t="s">
        <v>10</v>
      </c>
      <c r="G2005" t="s">
        <v>3047</v>
      </c>
      <c r="H2005">
        <v>4.83</v>
      </c>
      <c r="I2005" s="6" t="str">
        <f>_xlfn.CONCAT("Art. złączny do produktu ",Tabela10[[#This Row],[KOD_PRODUKTU]])</f>
        <v>Art. złączny do produktu 904U40-401</v>
      </c>
      <c r="J2005" s="6" t="str">
        <f>_xlfn.CONCAT("VE-",Tabela10[[#This Row],[KOD_PRODUKTU]])</f>
        <v>VE-904U40-401</v>
      </c>
    </row>
    <row r="2006" spans="1:10" x14ac:dyDescent="0.25">
      <c r="A2006" s="7" t="s">
        <v>4133</v>
      </c>
      <c r="B2006" s="6" t="s">
        <v>4134</v>
      </c>
      <c r="C2006" s="7" t="s">
        <v>1188</v>
      </c>
      <c r="D2006" s="6" t="s">
        <v>1189</v>
      </c>
      <c r="E2006" s="6" t="s">
        <v>1190</v>
      </c>
      <c r="F2006" s="6" t="s">
        <v>5</v>
      </c>
      <c r="G2006" s="6" t="s">
        <v>1026</v>
      </c>
      <c r="H2006" s="6">
        <v>6.18</v>
      </c>
      <c r="I2006" s="6" t="str">
        <f>_xlfn.CONCAT("Art. złączny do produktu ",Tabela10[[#This Row],[KOD_PRODUKTU]])</f>
        <v>Art. złączny do produktu 904U40-402</v>
      </c>
      <c r="J2006" s="6" t="str">
        <f>_xlfn.CONCAT("VE-",Tabela10[[#This Row],[KOD_PRODUKTU]])</f>
        <v>VE-904U40-402</v>
      </c>
    </row>
    <row r="2007" spans="1:10" x14ac:dyDescent="0.25">
      <c r="A2007" s="1" t="s">
        <v>4133</v>
      </c>
      <c r="B2007" t="s">
        <v>4134</v>
      </c>
      <c r="C2007" s="1" t="s">
        <v>541</v>
      </c>
      <c r="D2007" t="s">
        <v>542</v>
      </c>
      <c r="E2007" t="s">
        <v>9</v>
      </c>
      <c r="F2007" t="s">
        <v>10</v>
      </c>
      <c r="G2007" t="s">
        <v>3047</v>
      </c>
      <c r="H2007">
        <v>4.83</v>
      </c>
      <c r="I2007" s="6" t="str">
        <f>_xlfn.CONCAT("Art. złączny do produktu ",Tabela10[[#This Row],[KOD_PRODUKTU]])</f>
        <v>Art. złączny do produktu 904U40-402</v>
      </c>
      <c r="J2007" s="6" t="str">
        <f>_xlfn.CONCAT("VE-",Tabela10[[#This Row],[KOD_PRODUKTU]])</f>
        <v>VE-904U40-402</v>
      </c>
    </row>
    <row r="2008" spans="1:10" x14ac:dyDescent="0.25">
      <c r="A2008" s="7" t="s">
        <v>4133</v>
      </c>
      <c r="B2008" s="6" t="s">
        <v>4134</v>
      </c>
      <c r="C2008" s="7" t="s">
        <v>541</v>
      </c>
      <c r="D2008" s="6" t="s">
        <v>542</v>
      </c>
      <c r="E2008" s="6" t="s">
        <v>9</v>
      </c>
      <c r="F2008" s="6" t="s">
        <v>10</v>
      </c>
      <c r="G2008" s="6" t="s">
        <v>2890</v>
      </c>
      <c r="H2008" s="6">
        <v>2.42</v>
      </c>
      <c r="I2008" s="6" t="str">
        <f>_xlfn.CONCAT("Art. złączny do produktu ",Tabela10[[#This Row],[KOD_PRODUKTU]])</f>
        <v>Art. złączny do produktu 904U40-402</v>
      </c>
      <c r="J2008" s="6" t="str">
        <f>_xlfn.CONCAT("VE-",Tabela10[[#This Row],[KOD_PRODUKTU]])</f>
        <v>VE-904U40-402</v>
      </c>
    </row>
    <row r="2009" spans="1:10" x14ac:dyDescent="0.25">
      <c r="A2009" s="1" t="s">
        <v>4135</v>
      </c>
      <c r="B2009" t="s">
        <v>4136</v>
      </c>
      <c r="C2009" s="1" t="s">
        <v>2</v>
      </c>
      <c r="D2009" t="s">
        <v>3</v>
      </c>
      <c r="E2009" t="s">
        <v>4</v>
      </c>
      <c r="F2009" t="s">
        <v>5</v>
      </c>
      <c r="G2009" t="s">
        <v>4137</v>
      </c>
      <c r="H2009">
        <v>6.06</v>
      </c>
      <c r="I2009" s="6" t="str">
        <f>_xlfn.CONCAT("Art. złączny do produktu ",Tabela10[[#This Row],[KOD_PRODUKTU]])</f>
        <v>Art. złączny do produktu 904U40-500</v>
      </c>
      <c r="J2009" s="6" t="str">
        <f>_xlfn.CONCAT("VE-",Tabela10[[#This Row],[KOD_PRODUKTU]])</f>
        <v>VE-904U40-500</v>
      </c>
    </row>
    <row r="2010" spans="1:10" x14ac:dyDescent="0.25">
      <c r="A2010" s="7" t="s">
        <v>4135</v>
      </c>
      <c r="B2010" s="6" t="s">
        <v>4136</v>
      </c>
      <c r="C2010" s="7" t="s">
        <v>541</v>
      </c>
      <c r="D2010" s="6" t="s">
        <v>542</v>
      </c>
      <c r="E2010" s="6" t="s">
        <v>9</v>
      </c>
      <c r="F2010" s="6" t="s">
        <v>10</v>
      </c>
      <c r="G2010" s="6" t="s">
        <v>3913</v>
      </c>
      <c r="H2010" s="6">
        <v>2.48</v>
      </c>
      <c r="I2010" s="6" t="str">
        <f>_xlfn.CONCAT("Art. złączny do produktu ",Tabela10[[#This Row],[KOD_PRODUKTU]])</f>
        <v>Art. złączny do produktu 904U40-500</v>
      </c>
      <c r="J2010" s="6" t="str">
        <f>_xlfn.CONCAT("VE-",Tabela10[[#This Row],[KOD_PRODUKTU]])</f>
        <v>VE-904U40-500</v>
      </c>
    </row>
    <row r="2011" spans="1:10" x14ac:dyDescent="0.25">
      <c r="A2011" s="1" t="s">
        <v>4138</v>
      </c>
      <c r="B2011" t="s">
        <v>4139</v>
      </c>
      <c r="C2011" s="1" t="s">
        <v>1047</v>
      </c>
      <c r="D2011" t="s">
        <v>1048</v>
      </c>
      <c r="E2011" t="s">
        <v>1434</v>
      </c>
      <c r="F2011" t="s">
        <v>17</v>
      </c>
      <c r="G2011" t="s">
        <v>4140</v>
      </c>
      <c r="H2011">
        <v>7.48</v>
      </c>
      <c r="I2011" s="6" t="str">
        <f>_xlfn.CONCAT("Art. złączny do produktu ",Tabela10[[#This Row],[KOD_PRODUKTU]])</f>
        <v>Art. złączny do produktu 904U40-800</v>
      </c>
      <c r="J2011" s="6" t="str">
        <f>_xlfn.CONCAT("VE-",Tabela10[[#This Row],[KOD_PRODUKTU]])</f>
        <v>VE-904U40-800</v>
      </c>
    </row>
    <row r="2012" spans="1:10" x14ac:dyDescent="0.25">
      <c r="A2012" s="7" t="s">
        <v>4138</v>
      </c>
      <c r="B2012" s="6" t="s">
        <v>4139</v>
      </c>
      <c r="C2012" s="7" t="s">
        <v>7</v>
      </c>
      <c r="D2012" s="6" t="s">
        <v>8</v>
      </c>
      <c r="E2012" s="6" t="s">
        <v>9</v>
      </c>
      <c r="F2012" s="6" t="s">
        <v>10</v>
      </c>
      <c r="G2012" s="6" t="s">
        <v>4141</v>
      </c>
      <c r="H2012" s="6">
        <v>4.92</v>
      </c>
      <c r="I2012" s="6" t="str">
        <f>_xlfn.CONCAT("Art. złączny do produktu ",Tabela10[[#This Row],[KOD_PRODUKTU]])</f>
        <v>Art. złączny do produktu 904U40-800</v>
      </c>
      <c r="J2012" s="6" t="str">
        <f>_xlfn.CONCAT("VE-",Tabela10[[#This Row],[KOD_PRODUKTU]])</f>
        <v>VE-904U40-800</v>
      </c>
    </row>
    <row r="2013" spans="1:10" x14ac:dyDescent="0.25">
      <c r="A2013" s="1" t="s">
        <v>4142</v>
      </c>
      <c r="B2013" t="s">
        <v>4143</v>
      </c>
      <c r="C2013" s="1" t="s">
        <v>1047</v>
      </c>
      <c r="D2013" t="s">
        <v>1048</v>
      </c>
      <c r="E2013" t="s">
        <v>1434</v>
      </c>
      <c r="F2013" t="s">
        <v>17</v>
      </c>
      <c r="G2013" t="s">
        <v>4144</v>
      </c>
      <c r="H2013">
        <v>8.49</v>
      </c>
      <c r="I2013" s="6" t="str">
        <f>_xlfn.CONCAT("Art. złączny do produktu ",Tabela10[[#This Row],[KOD_PRODUKTU]])</f>
        <v>Art. złączny do produktu 904U40-801</v>
      </c>
      <c r="J2013" s="6" t="str">
        <f>_xlfn.CONCAT("VE-",Tabela10[[#This Row],[KOD_PRODUKTU]])</f>
        <v>VE-904U40-801</v>
      </c>
    </row>
    <row r="2014" spans="1:10" x14ac:dyDescent="0.25">
      <c r="A2014" s="7" t="s">
        <v>4142</v>
      </c>
      <c r="B2014" s="6" t="s">
        <v>4143</v>
      </c>
      <c r="C2014" s="7" t="s">
        <v>7</v>
      </c>
      <c r="D2014" s="6" t="s">
        <v>8</v>
      </c>
      <c r="E2014" s="6" t="s">
        <v>9</v>
      </c>
      <c r="F2014" s="6" t="s">
        <v>10</v>
      </c>
      <c r="G2014" s="6" t="s">
        <v>4145</v>
      </c>
      <c r="H2014" s="6">
        <v>4.8099999999999996</v>
      </c>
      <c r="I2014" s="6" t="str">
        <f>_xlfn.CONCAT("Art. złączny do produktu ",Tabela10[[#This Row],[KOD_PRODUKTU]])</f>
        <v>Art. złączny do produktu 904U40-801</v>
      </c>
      <c r="J2014" s="6" t="str">
        <f>_xlfn.CONCAT("VE-",Tabela10[[#This Row],[KOD_PRODUKTU]])</f>
        <v>VE-904U40-801</v>
      </c>
    </row>
    <row r="2015" spans="1:10" x14ac:dyDescent="0.25">
      <c r="A2015" s="1" t="s">
        <v>4146</v>
      </c>
      <c r="B2015" t="s">
        <v>4147</v>
      </c>
      <c r="C2015" s="1" t="s">
        <v>1041</v>
      </c>
      <c r="D2015" t="s">
        <v>1042</v>
      </c>
      <c r="E2015" t="s">
        <v>712</v>
      </c>
      <c r="F2015" t="s">
        <v>17</v>
      </c>
      <c r="G2015" t="s">
        <v>4148</v>
      </c>
      <c r="H2015">
        <v>3.95</v>
      </c>
      <c r="I2015" s="6" t="str">
        <f>_xlfn.CONCAT("Art. złączny do produktu ",Tabela10[[#This Row],[KOD_PRODUKTU]])</f>
        <v>Art. złączny do produktu 904U45-310</v>
      </c>
      <c r="J2015" s="6" t="str">
        <f>_xlfn.CONCAT("VE-",Tabela10[[#This Row],[KOD_PRODUKTU]])</f>
        <v>VE-904U45-310</v>
      </c>
    </row>
    <row r="2016" spans="1:10" x14ac:dyDescent="0.25">
      <c r="A2016" s="7" t="s">
        <v>4146</v>
      </c>
      <c r="B2016" s="6" t="s">
        <v>4147</v>
      </c>
      <c r="C2016" s="7" t="s">
        <v>7</v>
      </c>
      <c r="D2016" s="6" t="s">
        <v>8</v>
      </c>
      <c r="E2016" s="6" t="s">
        <v>9</v>
      </c>
      <c r="F2016" s="6" t="s">
        <v>10</v>
      </c>
      <c r="G2016" s="6" t="s">
        <v>4099</v>
      </c>
      <c r="H2016" s="6">
        <v>4.8899999999999997</v>
      </c>
      <c r="I2016" s="6" t="str">
        <f>_xlfn.CONCAT("Art. złączny do produktu ",Tabela10[[#This Row],[KOD_PRODUKTU]])</f>
        <v>Art. złączny do produktu 904U45-310</v>
      </c>
      <c r="J2016" s="6" t="str">
        <f>_xlfn.CONCAT("VE-",Tabela10[[#This Row],[KOD_PRODUKTU]])</f>
        <v>VE-904U45-310</v>
      </c>
    </row>
    <row r="2017" spans="1:10" x14ac:dyDescent="0.25">
      <c r="A2017" s="1" t="s">
        <v>4149</v>
      </c>
      <c r="B2017" t="s">
        <v>4150</v>
      </c>
      <c r="C2017" s="1" t="s">
        <v>1041</v>
      </c>
      <c r="D2017" t="s">
        <v>1042</v>
      </c>
      <c r="E2017" t="s">
        <v>712</v>
      </c>
      <c r="F2017" t="s">
        <v>17</v>
      </c>
      <c r="G2017" t="s">
        <v>4151</v>
      </c>
      <c r="H2017">
        <v>3.15</v>
      </c>
      <c r="I2017" s="6" t="str">
        <f>_xlfn.CONCAT("Art. złączny do produktu ",Tabela10[[#This Row],[KOD_PRODUKTU]])</f>
        <v>Art. złączny do produktu 904U47-310</v>
      </c>
      <c r="J2017" s="6" t="str">
        <f>_xlfn.CONCAT("VE-",Tabela10[[#This Row],[KOD_PRODUKTU]])</f>
        <v>VE-904U47-310</v>
      </c>
    </row>
    <row r="2018" spans="1:10" x14ac:dyDescent="0.25">
      <c r="A2018" s="7" t="s">
        <v>4149</v>
      </c>
      <c r="B2018" s="6" t="s">
        <v>4150</v>
      </c>
      <c r="C2018" s="7" t="s">
        <v>541</v>
      </c>
      <c r="D2018" s="6" t="s">
        <v>542</v>
      </c>
      <c r="E2018" s="6" t="s">
        <v>9</v>
      </c>
      <c r="F2018" s="6" t="s">
        <v>10</v>
      </c>
      <c r="G2018" s="6" t="s">
        <v>4099</v>
      </c>
      <c r="H2018" s="6">
        <v>4.8899999999999997</v>
      </c>
      <c r="I2018" s="6" t="str">
        <f>_xlfn.CONCAT("Art. złączny do produktu ",Tabela10[[#This Row],[KOD_PRODUKTU]])</f>
        <v>Art. złączny do produktu 904U47-310</v>
      </c>
      <c r="J2018" s="6" t="str">
        <f>_xlfn.CONCAT("VE-",Tabela10[[#This Row],[KOD_PRODUKTU]])</f>
        <v>VE-904U47-310</v>
      </c>
    </row>
    <row r="2019" spans="1:10" x14ac:dyDescent="0.25">
      <c r="A2019" s="1" t="s">
        <v>4152</v>
      </c>
      <c r="B2019" t="s">
        <v>4153</v>
      </c>
      <c r="C2019" s="1" t="s">
        <v>1041</v>
      </c>
      <c r="D2019" t="s">
        <v>1042</v>
      </c>
      <c r="E2019" t="s">
        <v>712</v>
      </c>
      <c r="F2019" t="s">
        <v>17</v>
      </c>
      <c r="G2019" t="s">
        <v>4154</v>
      </c>
      <c r="H2019">
        <v>3.95</v>
      </c>
      <c r="I2019" s="6" t="str">
        <f>_xlfn.CONCAT("Art. złączny do produktu ",Tabela10[[#This Row],[KOD_PRODUKTU]])</f>
        <v>Art. złączny do produktu 904U47-320</v>
      </c>
      <c r="J2019" s="6" t="str">
        <f>_xlfn.CONCAT("VE-",Tabela10[[#This Row],[KOD_PRODUKTU]])</f>
        <v>VE-904U47-320</v>
      </c>
    </row>
    <row r="2020" spans="1:10" x14ac:dyDescent="0.25">
      <c r="A2020" s="7" t="s">
        <v>4152</v>
      </c>
      <c r="B2020" s="6" t="s">
        <v>4153</v>
      </c>
      <c r="C2020" s="7" t="s">
        <v>541</v>
      </c>
      <c r="D2020" s="6" t="s">
        <v>542</v>
      </c>
      <c r="E2020" s="6" t="s">
        <v>9</v>
      </c>
      <c r="F2020" s="6" t="s">
        <v>10</v>
      </c>
      <c r="G2020" s="6" t="s">
        <v>4099</v>
      </c>
      <c r="H2020" s="6">
        <v>4.8899999999999997</v>
      </c>
      <c r="I2020" s="6" t="str">
        <f>_xlfn.CONCAT("Art. złączny do produktu ",Tabela10[[#This Row],[KOD_PRODUKTU]])</f>
        <v>Art. złączny do produktu 904U47-320</v>
      </c>
      <c r="J2020" s="6" t="str">
        <f>_xlfn.CONCAT("VE-",Tabela10[[#This Row],[KOD_PRODUKTU]])</f>
        <v>VE-904U47-320</v>
      </c>
    </row>
    <row r="2021" spans="1:10" x14ac:dyDescent="0.25">
      <c r="A2021" s="1" t="s">
        <v>4155</v>
      </c>
      <c r="B2021" t="s">
        <v>4156</v>
      </c>
      <c r="C2021" s="1" t="s">
        <v>2458</v>
      </c>
      <c r="D2021" t="s">
        <v>2459</v>
      </c>
      <c r="E2021" t="s">
        <v>384</v>
      </c>
      <c r="F2021" t="s">
        <v>5</v>
      </c>
      <c r="G2021" t="s">
        <v>4157</v>
      </c>
      <c r="H2021">
        <v>2.2999999999999998</v>
      </c>
      <c r="I2021" s="6" t="str">
        <f>_xlfn.CONCAT("Art. złączny do produktu ",Tabela10[[#This Row],[KOD_PRODUKTU]])</f>
        <v>Art. złączny do produktu 904U49-310</v>
      </c>
      <c r="J2021" s="6" t="str">
        <f>_xlfn.CONCAT("VE-",Tabela10[[#This Row],[KOD_PRODUKTU]])</f>
        <v>VE-904U49-310</v>
      </c>
    </row>
    <row r="2022" spans="1:10" x14ac:dyDescent="0.25">
      <c r="A2022" s="7" t="s">
        <v>4155</v>
      </c>
      <c r="B2022" s="6" t="s">
        <v>4156</v>
      </c>
      <c r="C2022" s="7" t="s">
        <v>541</v>
      </c>
      <c r="D2022" s="6" t="s">
        <v>542</v>
      </c>
      <c r="E2022" s="6" t="s">
        <v>9</v>
      </c>
      <c r="F2022" s="6" t="s">
        <v>10</v>
      </c>
      <c r="G2022" s="6" t="s">
        <v>3546</v>
      </c>
      <c r="H2022" s="6">
        <v>4.8099999999999996</v>
      </c>
      <c r="I2022" s="6" t="str">
        <f>_xlfn.CONCAT("Art. złączny do produktu ",Tabela10[[#This Row],[KOD_PRODUKTU]])</f>
        <v>Art. złączny do produktu 904U49-310</v>
      </c>
      <c r="J2022" s="6" t="str">
        <f>_xlfn.CONCAT("VE-",Tabela10[[#This Row],[KOD_PRODUKTU]])</f>
        <v>VE-904U49-310</v>
      </c>
    </row>
    <row r="2023" spans="1:10" x14ac:dyDescent="0.25">
      <c r="A2023" s="1" t="s">
        <v>4158</v>
      </c>
      <c r="B2023" t="s">
        <v>4159</v>
      </c>
      <c r="C2023" s="1" t="s">
        <v>1041</v>
      </c>
      <c r="D2023" t="s">
        <v>1042</v>
      </c>
      <c r="E2023" t="s">
        <v>712</v>
      </c>
      <c r="F2023" t="s">
        <v>17</v>
      </c>
      <c r="G2023" t="s">
        <v>2949</v>
      </c>
      <c r="H2023">
        <v>7</v>
      </c>
      <c r="I2023" s="6" t="str">
        <f>_xlfn.CONCAT("Art. złączny do produktu ",Tabela10[[#This Row],[KOD_PRODUKTU]])</f>
        <v>Art. złączny do produktu 904U49-410</v>
      </c>
      <c r="J2023" s="6" t="str">
        <f>_xlfn.CONCAT("VE-",Tabela10[[#This Row],[KOD_PRODUKTU]])</f>
        <v>VE-904U49-410</v>
      </c>
    </row>
    <row r="2024" spans="1:10" x14ac:dyDescent="0.25">
      <c r="A2024" s="7" t="s">
        <v>4158</v>
      </c>
      <c r="B2024" s="6" t="s">
        <v>4159</v>
      </c>
      <c r="C2024" s="7" t="s">
        <v>541</v>
      </c>
      <c r="D2024" s="6" t="s">
        <v>542</v>
      </c>
      <c r="E2024" s="6" t="s">
        <v>9</v>
      </c>
      <c r="F2024" s="6" t="s">
        <v>10</v>
      </c>
      <c r="G2024" s="6" t="s">
        <v>4099</v>
      </c>
      <c r="H2024" s="6">
        <v>4.8899999999999997</v>
      </c>
      <c r="I2024" s="6" t="str">
        <f>_xlfn.CONCAT("Art. złączny do produktu ",Tabela10[[#This Row],[KOD_PRODUKTU]])</f>
        <v>Art. złączny do produktu 904U49-410</v>
      </c>
      <c r="J2024" s="6" t="str">
        <f>_xlfn.CONCAT("VE-",Tabela10[[#This Row],[KOD_PRODUKTU]])</f>
        <v>VE-904U49-410</v>
      </c>
    </row>
    <row r="2025" spans="1:10" x14ac:dyDescent="0.25">
      <c r="A2025" s="1" t="s">
        <v>4160</v>
      </c>
      <c r="B2025" t="s">
        <v>4161</v>
      </c>
      <c r="C2025" s="1" t="s">
        <v>1047</v>
      </c>
      <c r="D2025" t="s">
        <v>1048</v>
      </c>
      <c r="E2025" t="s">
        <v>1434</v>
      </c>
      <c r="F2025" t="s">
        <v>17</v>
      </c>
      <c r="G2025" t="s">
        <v>4162</v>
      </c>
      <c r="H2025">
        <v>11.87</v>
      </c>
      <c r="I2025" s="6" t="str">
        <f>_xlfn.CONCAT("Art. złączny do produktu ",Tabela10[[#This Row],[KOD_PRODUKTU]])</f>
        <v>Art. złączny do produktu 904U49-451</v>
      </c>
      <c r="J2025" s="6" t="str">
        <f>_xlfn.CONCAT("VE-",Tabela10[[#This Row],[KOD_PRODUKTU]])</f>
        <v>VE-904U49-451</v>
      </c>
    </row>
    <row r="2026" spans="1:10" x14ac:dyDescent="0.25">
      <c r="A2026" s="7" t="s">
        <v>4160</v>
      </c>
      <c r="B2026" s="6" t="s">
        <v>4161</v>
      </c>
      <c r="C2026" s="7" t="s">
        <v>7</v>
      </c>
      <c r="D2026" s="6" t="s">
        <v>8</v>
      </c>
      <c r="E2026" s="6" t="s">
        <v>9</v>
      </c>
      <c r="F2026" s="6" t="s">
        <v>10</v>
      </c>
      <c r="G2026" s="6" t="s">
        <v>4163</v>
      </c>
      <c r="H2026" s="6">
        <v>4.88</v>
      </c>
      <c r="I2026" s="6" t="str">
        <f>_xlfn.CONCAT("Art. złączny do produktu ",Tabela10[[#This Row],[KOD_PRODUKTU]])</f>
        <v>Art. złączny do produktu 904U49-451</v>
      </c>
      <c r="J2026" s="6" t="str">
        <f>_xlfn.CONCAT("VE-",Tabela10[[#This Row],[KOD_PRODUKTU]])</f>
        <v>VE-904U49-451</v>
      </c>
    </row>
    <row r="2027" spans="1:10" x14ac:dyDescent="0.25">
      <c r="A2027" s="1" t="s">
        <v>4164</v>
      </c>
      <c r="B2027" t="s">
        <v>4165</v>
      </c>
      <c r="C2027" s="1" t="s">
        <v>1188</v>
      </c>
      <c r="D2027" t="s">
        <v>1189</v>
      </c>
      <c r="E2027" t="s">
        <v>1190</v>
      </c>
      <c r="F2027" t="s">
        <v>5</v>
      </c>
      <c r="G2027" t="s">
        <v>601</v>
      </c>
      <c r="H2027">
        <v>1.43</v>
      </c>
      <c r="I2027" s="6" t="str">
        <f>_xlfn.CONCAT("Art. złączny do produktu ",Tabela10[[#This Row],[KOD_PRODUKTU]])</f>
        <v>Art. złączny do produktu 904U60-100</v>
      </c>
      <c r="J2027" s="6" t="str">
        <f>_xlfn.CONCAT("VE-",Tabela10[[#This Row],[KOD_PRODUKTU]])</f>
        <v>VE-904U60-100</v>
      </c>
    </row>
    <row r="2028" spans="1:10" x14ac:dyDescent="0.25">
      <c r="A2028" s="7" t="s">
        <v>4164</v>
      </c>
      <c r="B2028" s="6" t="s">
        <v>4165</v>
      </c>
      <c r="C2028" s="7" t="s">
        <v>432</v>
      </c>
      <c r="D2028" s="6" t="s">
        <v>433</v>
      </c>
      <c r="E2028" s="6" t="s">
        <v>434</v>
      </c>
      <c r="F2028" s="6" t="s">
        <v>435</v>
      </c>
      <c r="G2028" s="6" t="s">
        <v>50</v>
      </c>
      <c r="H2028" s="6">
        <v>1.1000000000000001</v>
      </c>
      <c r="I2028" s="6" t="str">
        <f>_xlfn.CONCAT("Art. złączny do produktu ",Tabela10[[#This Row],[KOD_PRODUKTU]])</f>
        <v>Art. złączny do produktu 904U60-100</v>
      </c>
      <c r="J2028" s="6" t="str">
        <f>_xlfn.CONCAT("VE-",Tabela10[[#This Row],[KOD_PRODUKTU]])</f>
        <v>VE-904U60-100</v>
      </c>
    </row>
    <row r="2029" spans="1:10" x14ac:dyDescent="0.25">
      <c r="A2029" s="1" t="s">
        <v>4164</v>
      </c>
      <c r="B2029" t="s">
        <v>4165</v>
      </c>
      <c r="C2029" s="1" t="s">
        <v>541</v>
      </c>
      <c r="D2029" t="s">
        <v>542</v>
      </c>
      <c r="E2029" t="s">
        <v>9</v>
      </c>
      <c r="F2029" t="s">
        <v>10</v>
      </c>
      <c r="G2029" t="s">
        <v>3675</v>
      </c>
      <c r="H2029">
        <v>2.4500000000000002</v>
      </c>
      <c r="I2029" s="6" t="str">
        <f>_xlfn.CONCAT("Art. złączny do produktu ",Tabela10[[#This Row],[KOD_PRODUKTU]])</f>
        <v>Art. złączny do produktu 904U60-100</v>
      </c>
      <c r="J2029" s="6" t="str">
        <f>_xlfn.CONCAT("VE-",Tabela10[[#This Row],[KOD_PRODUKTU]])</f>
        <v>VE-904U60-100</v>
      </c>
    </row>
    <row r="2030" spans="1:10" x14ac:dyDescent="0.25">
      <c r="A2030" s="7" t="s">
        <v>4166</v>
      </c>
      <c r="B2030" s="6" t="s">
        <v>4167</v>
      </c>
      <c r="C2030" s="7" t="s">
        <v>4168</v>
      </c>
      <c r="D2030" s="6" t="s">
        <v>4169</v>
      </c>
      <c r="E2030" s="6" t="s">
        <v>70</v>
      </c>
      <c r="F2030" s="6" t="s">
        <v>5</v>
      </c>
      <c r="G2030" s="6" t="s">
        <v>860</v>
      </c>
      <c r="H2030" s="6">
        <v>2.5</v>
      </c>
      <c r="I2030" s="6" t="str">
        <f>_xlfn.CONCAT("Art. złączny do produktu ",Tabela10[[#This Row],[KOD_PRODUKTU]])</f>
        <v>Art. złączny do produktu 904U60-200</v>
      </c>
      <c r="J2030" s="6" t="str">
        <f>_xlfn.CONCAT("VE-",Tabela10[[#This Row],[KOD_PRODUKTU]])</f>
        <v>VE-904U60-200</v>
      </c>
    </row>
    <row r="2031" spans="1:10" x14ac:dyDescent="0.25">
      <c r="A2031" s="1" t="s">
        <v>4166</v>
      </c>
      <c r="B2031" t="s">
        <v>4167</v>
      </c>
      <c r="C2031" s="1" t="s">
        <v>432</v>
      </c>
      <c r="D2031" t="s">
        <v>433</v>
      </c>
      <c r="E2031" t="s">
        <v>434</v>
      </c>
      <c r="F2031" t="s">
        <v>435</v>
      </c>
      <c r="G2031" t="s">
        <v>50</v>
      </c>
      <c r="H2031">
        <v>1.1000000000000001</v>
      </c>
      <c r="I2031" s="6" t="str">
        <f>_xlfn.CONCAT("Art. złączny do produktu ",Tabela10[[#This Row],[KOD_PRODUKTU]])</f>
        <v>Art. złączny do produktu 904U60-200</v>
      </c>
      <c r="J2031" s="6" t="str">
        <f>_xlfn.CONCAT("VE-",Tabela10[[#This Row],[KOD_PRODUKTU]])</f>
        <v>VE-904U60-200</v>
      </c>
    </row>
    <row r="2032" spans="1:10" x14ac:dyDescent="0.25">
      <c r="A2032" s="7" t="s">
        <v>4166</v>
      </c>
      <c r="B2032" s="6" t="s">
        <v>4167</v>
      </c>
      <c r="C2032" s="7" t="s">
        <v>541</v>
      </c>
      <c r="D2032" s="6" t="s">
        <v>542</v>
      </c>
      <c r="E2032" s="6" t="s">
        <v>9</v>
      </c>
      <c r="F2032" s="6" t="s">
        <v>10</v>
      </c>
      <c r="G2032" s="6" t="s">
        <v>4170</v>
      </c>
      <c r="H2032" s="6">
        <v>17.28</v>
      </c>
      <c r="I2032" s="6" t="str">
        <f>_xlfn.CONCAT("Art. złączny do produktu ",Tabela10[[#This Row],[KOD_PRODUKTU]])</f>
        <v>Art. złączny do produktu 904U60-200</v>
      </c>
      <c r="J2032" s="6" t="str">
        <f>_xlfn.CONCAT("VE-",Tabela10[[#This Row],[KOD_PRODUKTU]])</f>
        <v>VE-904U60-200</v>
      </c>
    </row>
    <row r="2033" spans="1:10" x14ac:dyDescent="0.25">
      <c r="A2033" s="1" t="s">
        <v>4171</v>
      </c>
      <c r="B2033" t="s">
        <v>4172</v>
      </c>
      <c r="C2033" s="1" t="s">
        <v>1041</v>
      </c>
      <c r="D2033" t="s">
        <v>1042</v>
      </c>
      <c r="E2033" t="s">
        <v>712</v>
      </c>
      <c r="F2033" t="s">
        <v>17</v>
      </c>
      <c r="G2033" t="s">
        <v>4173</v>
      </c>
      <c r="H2033">
        <v>4.2</v>
      </c>
      <c r="I2033" s="6" t="str">
        <f>_xlfn.CONCAT("Art. złączny do produktu ",Tabela10[[#This Row],[KOD_PRODUKTU]])</f>
        <v>Art. złączny do produktu 904U60-310</v>
      </c>
      <c r="J2033" s="6" t="str">
        <f>_xlfn.CONCAT("VE-",Tabela10[[#This Row],[KOD_PRODUKTU]])</f>
        <v>VE-904U60-310</v>
      </c>
    </row>
    <row r="2034" spans="1:10" x14ac:dyDescent="0.25">
      <c r="A2034" s="7" t="s">
        <v>4171</v>
      </c>
      <c r="B2034" s="6" t="s">
        <v>4172</v>
      </c>
      <c r="C2034" s="7" t="s">
        <v>7</v>
      </c>
      <c r="D2034" s="6" t="s">
        <v>8</v>
      </c>
      <c r="E2034" s="6" t="s">
        <v>9</v>
      </c>
      <c r="F2034" s="6" t="s">
        <v>10</v>
      </c>
      <c r="G2034" s="6" t="s">
        <v>4099</v>
      </c>
      <c r="H2034" s="6">
        <v>4.8899999999999997</v>
      </c>
      <c r="I2034" s="6" t="str">
        <f>_xlfn.CONCAT("Art. złączny do produktu ",Tabela10[[#This Row],[KOD_PRODUKTU]])</f>
        <v>Art. złączny do produktu 904U60-310</v>
      </c>
      <c r="J2034" s="6" t="str">
        <f>_xlfn.CONCAT("VE-",Tabela10[[#This Row],[KOD_PRODUKTU]])</f>
        <v>VE-904U60-310</v>
      </c>
    </row>
    <row r="2035" spans="1:10" x14ac:dyDescent="0.25">
      <c r="A2035" s="1" t="s">
        <v>4174</v>
      </c>
      <c r="B2035" t="s">
        <v>4175</v>
      </c>
      <c r="C2035" s="1" t="s">
        <v>1041</v>
      </c>
      <c r="D2035" t="s">
        <v>1042</v>
      </c>
      <c r="E2035" t="s">
        <v>712</v>
      </c>
      <c r="F2035" t="s">
        <v>17</v>
      </c>
      <c r="G2035" t="s">
        <v>4176</v>
      </c>
      <c r="H2035">
        <v>4.25</v>
      </c>
      <c r="I2035" s="6" t="str">
        <f>_xlfn.CONCAT("Art. złączny do produktu ",Tabela10[[#This Row],[KOD_PRODUKTU]])</f>
        <v>Art. złączny do produktu 904U60-320</v>
      </c>
      <c r="J2035" s="6" t="str">
        <f>_xlfn.CONCAT("VE-",Tabela10[[#This Row],[KOD_PRODUKTU]])</f>
        <v>VE-904U60-320</v>
      </c>
    </row>
    <row r="2036" spans="1:10" x14ac:dyDescent="0.25">
      <c r="A2036" s="7" t="s">
        <v>4174</v>
      </c>
      <c r="B2036" s="6" t="s">
        <v>4175</v>
      </c>
      <c r="C2036" s="7" t="s">
        <v>7</v>
      </c>
      <c r="D2036" s="6" t="s">
        <v>8</v>
      </c>
      <c r="E2036" s="6" t="s">
        <v>9</v>
      </c>
      <c r="F2036" s="6" t="s">
        <v>10</v>
      </c>
      <c r="G2036" s="6" t="s">
        <v>4099</v>
      </c>
      <c r="H2036" s="6">
        <v>4.8899999999999997</v>
      </c>
      <c r="I2036" s="6" t="str">
        <f>_xlfn.CONCAT("Art. złączny do produktu ",Tabela10[[#This Row],[KOD_PRODUKTU]])</f>
        <v>Art. złączny do produktu 904U60-320</v>
      </c>
      <c r="J2036" s="6" t="str">
        <f>_xlfn.CONCAT("VE-",Tabela10[[#This Row],[KOD_PRODUKTU]])</f>
        <v>VE-904U60-320</v>
      </c>
    </row>
    <row r="2037" spans="1:10" x14ac:dyDescent="0.25">
      <c r="A2037" s="1" t="s">
        <v>4177</v>
      </c>
      <c r="B2037" t="s">
        <v>4178</v>
      </c>
      <c r="C2037" s="1" t="s">
        <v>1047</v>
      </c>
      <c r="D2037" t="s">
        <v>1048</v>
      </c>
      <c r="E2037" t="s">
        <v>1434</v>
      </c>
      <c r="F2037" t="s">
        <v>17</v>
      </c>
      <c r="G2037" t="s">
        <v>4179</v>
      </c>
      <c r="H2037">
        <v>2.99</v>
      </c>
      <c r="I2037" s="6" t="str">
        <f>_xlfn.CONCAT("Art. złączny do produktu ",Tabela10[[#This Row],[KOD_PRODUKTU]])</f>
        <v>Art. złączny do produktu 904U61-100</v>
      </c>
      <c r="J2037" s="6" t="str">
        <f>_xlfn.CONCAT("VE-",Tabela10[[#This Row],[KOD_PRODUKTU]])</f>
        <v>VE-904U61-100</v>
      </c>
    </row>
    <row r="2038" spans="1:10" x14ac:dyDescent="0.25">
      <c r="A2038" s="7" t="s">
        <v>4177</v>
      </c>
      <c r="B2038" s="6" t="s">
        <v>4178</v>
      </c>
      <c r="C2038" s="7" t="s">
        <v>541</v>
      </c>
      <c r="D2038" s="6" t="s">
        <v>542</v>
      </c>
      <c r="E2038" s="6" t="s">
        <v>9</v>
      </c>
      <c r="F2038" s="6" t="s">
        <v>10</v>
      </c>
      <c r="G2038" s="6" t="s">
        <v>3514</v>
      </c>
      <c r="H2038" s="6">
        <v>4.8499999999999996</v>
      </c>
      <c r="I2038" s="6" t="str">
        <f>_xlfn.CONCAT("Art. złączny do produktu ",Tabela10[[#This Row],[KOD_PRODUKTU]])</f>
        <v>Art. złączny do produktu 904U61-100</v>
      </c>
      <c r="J2038" s="6" t="str">
        <f>_xlfn.CONCAT("VE-",Tabela10[[#This Row],[KOD_PRODUKTU]])</f>
        <v>VE-904U61-100</v>
      </c>
    </row>
    <row r="2039" spans="1:10" x14ac:dyDescent="0.25">
      <c r="A2039" s="1" t="s">
        <v>4180</v>
      </c>
      <c r="B2039" t="s">
        <v>4181</v>
      </c>
      <c r="C2039" s="1" t="s">
        <v>1047</v>
      </c>
      <c r="D2039" t="s">
        <v>1048</v>
      </c>
      <c r="E2039" t="s">
        <v>1434</v>
      </c>
      <c r="F2039" t="s">
        <v>17</v>
      </c>
      <c r="G2039" t="s">
        <v>4173</v>
      </c>
      <c r="H2039">
        <v>6.92</v>
      </c>
      <c r="I2039" s="6" t="str">
        <f>_xlfn.CONCAT("Art. złączny do produktu ",Tabela10[[#This Row],[KOD_PRODUKTU]])</f>
        <v>Art. złączny do produktu 904U61-200</v>
      </c>
      <c r="J2039" s="6" t="str">
        <f>_xlfn.CONCAT("VE-",Tabela10[[#This Row],[KOD_PRODUKTU]])</f>
        <v>VE-904U61-200</v>
      </c>
    </row>
    <row r="2040" spans="1:10" x14ac:dyDescent="0.25">
      <c r="A2040" s="7" t="s">
        <v>4180</v>
      </c>
      <c r="B2040" s="6" t="s">
        <v>4181</v>
      </c>
      <c r="C2040" s="7" t="s">
        <v>541</v>
      </c>
      <c r="D2040" s="6" t="s">
        <v>542</v>
      </c>
      <c r="E2040" s="6" t="s">
        <v>9</v>
      </c>
      <c r="F2040" s="6" t="s">
        <v>10</v>
      </c>
      <c r="G2040" s="6" t="s">
        <v>3514</v>
      </c>
      <c r="H2040" s="6">
        <v>4.8499999999999996</v>
      </c>
      <c r="I2040" s="6" t="str">
        <f>_xlfn.CONCAT("Art. złączny do produktu ",Tabela10[[#This Row],[KOD_PRODUKTU]])</f>
        <v>Art. złączny do produktu 904U61-200</v>
      </c>
      <c r="J2040" s="6" t="str">
        <f>_xlfn.CONCAT("VE-",Tabela10[[#This Row],[KOD_PRODUKTU]])</f>
        <v>VE-904U61-200</v>
      </c>
    </row>
    <row r="2041" spans="1:10" x14ac:dyDescent="0.25">
      <c r="A2041" s="1" t="s">
        <v>4182</v>
      </c>
      <c r="B2041" t="s">
        <v>4183</v>
      </c>
      <c r="C2041" s="1" t="s">
        <v>1099</v>
      </c>
      <c r="D2041" t="s">
        <v>1100</v>
      </c>
      <c r="E2041" t="s">
        <v>1101</v>
      </c>
      <c r="F2041" t="s">
        <v>932</v>
      </c>
      <c r="G2041" t="s">
        <v>4184</v>
      </c>
      <c r="H2041">
        <v>2.7</v>
      </c>
      <c r="I2041" s="6" t="str">
        <f>_xlfn.CONCAT("Art. złączny do produktu ",Tabela10[[#This Row],[KOD_PRODUKTU]])</f>
        <v>Art. złączny do produktu 904U61-300</v>
      </c>
      <c r="J2041" s="6" t="str">
        <f>_xlfn.CONCAT("VE-",Tabela10[[#This Row],[KOD_PRODUKTU]])</f>
        <v>VE-904U61-300</v>
      </c>
    </row>
    <row r="2042" spans="1:10" x14ac:dyDescent="0.25">
      <c r="A2042" s="7" t="s">
        <v>4182</v>
      </c>
      <c r="B2042" s="6" t="s">
        <v>4183</v>
      </c>
      <c r="C2042" s="7" t="s">
        <v>432</v>
      </c>
      <c r="D2042" s="6" t="s">
        <v>433</v>
      </c>
      <c r="E2042" s="6" t="s">
        <v>434</v>
      </c>
      <c r="F2042" s="6" t="s">
        <v>435</v>
      </c>
      <c r="G2042" s="6" t="s">
        <v>50</v>
      </c>
      <c r="H2042" s="6">
        <v>1.1000000000000001</v>
      </c>
      <c r="I2042" s="6" t="str">
        <f>_xlfn.CONCAT("Art. złączny do produktu ",Tabela10[[#This Row],[KOD_PRODUKTU]])</f>
        <v>Art. złączny do produktu 904U61-300</v>
      </c>
      <c r="J2042" s="6" t="str">
        <f>_xlfn.CONCAT("VE-",Tabela10[[#This Row],[KOD_PRODUKTU]])</f>
        <v>VE-904U61-300</v>
      </c>
    </row>
    <row r="2043" spans="1:10" x14ac:dyDescent="0.25">
      <c r="A2043" s="1" t="s">
        <v>4182</v>
      </c>
      <c r="B2043" t="s">
        <v>4183</v>
      </c>
      <c r="C2043" s="1" t="s">
        <v>7</v>
      </c>
      <c r="D2043" t="s">
        <v>8</v>
      </c>
      <c r="E2043" t="s">
        <v>9</v>
      </c>
      <c r="F2043" t="s">
        <v>10</v>
      </c>
      <c r="G2043" t="s">
        <v>594</v>
      </c>
      <c r="H2043">
        <v>11.5</v>
      </c>
      <c r="I2043" s="6" t="str">
        <f>_xlfn.CONCAT("Art. złączny do produktu ",Tabela10[[#This Row],[KOD_PRODUKTU]])</f>
        <v>Art. złączny do produktu 904U61-300</v>
      </c>
      <c r="J2043" s="6" t="str">
        <f>_xlfn.CONCAT("VE-",Tabela10[[#This Row],[KOD_PRODUKTU]])</f>
        <v>VE-904U61-300</v>
      </c>
    </row>
    <row r="2044" spans="1:10" x14ac:dyDescent="0.25">
      <c r="A2044" s="7" t="s">
        <v>4185</v>
      </c>
      <c r="B2044" s="6" t="s">
        <v>4186</v>
      </c>
      <c r="C2044" s="7" t="s">
        <v>3834</v>
      </c>
      <c r="D2044" s="6" t="s">
        <v>3835</v>
      </c>
      <c r="E2044" s="6" t="s">
        <v>3836</v>
      </c>
      <c r="F2044" s="6" t="s">
        <v>5</v>
      </c>
      <c r="G2044" s="6" t="s">
        <v>367</v>
      </c>
      <c r="H2044" s="6">
        <v>0.47</v>
      </c>
      <c r="I2044" s="6" t="str">
        <f>_xlfn.CONCAT("Art. złączny do produktu ",Tabela10[[#This Row],[KOD_PRODUKTU]])</f>
        <v>Art. złączny do produktu 904U63-400</v>
      </c>
      <c r="J2044" s="6" t="str">
        <f>_xlfn.CONCAT("VE-",Tabela10[[#This Row],[KOD_PRODUKTU]])</f>
        <v>VE-904U63-400</v>
      </c>
    </row>
    <row r="2045" spans="1:10" x14ac:dyDescent="0.25">
      <c r="A2045" s="1" t="s">
        <v>4185</v>
      </c>
      <c r="B2045" t="s">
        <v>4186</v>
      </c>
      <c r="C2045" s="1" t="s">
        <v>7</v>
      </c>
      <c r="D2045" t="s">
        <v>8</v>
      </c>
      <c r="E2045" t="s">
        <v>9</v>
      </c>
      <c r="F2045" t="s">
        <v>10</v>
      </c>
      <c r="G2045" t="s">
        <v>4187</v>
      </c>
      <c r="H2045">
        <v>2.88</v>
      </c>
      <c r="I2045" s="6" t="str">
        <f>_xlfn.CONCAT("Art. złączny do produktu ",Tabela10[[#This Row],[KOD_PRODUKTU]])</f>
        <v>Art. złączny do produktu 904U63-400</v>
      </c>
      <c r="J2045" s="6" t="str">
        <f>_xlfn.CONCAT("VE-",Tabela10[[#This Row],[KOD_PRODUKTU]])</f>
        <v>VE-904U63-400</v>
      </c>
    </row>
    <row r="2046" spans="1:10" x14ac:dyDescent="0.25">
      <c r="A2046" s="7" t="s">
        <v>4188</v>
      </c>
      <c r="B2046" s="6" t="s">
        <v>4189</v>
      </c>
      <c r="C2046" s="7" t="s">
        <v>1099</v>
      </c>
      <c r="D2046" s="6" t="s">
        <v>1100</v>
      </c>
      <c r="E2046" s="6" t="s">
        <v>1101</v>
      </c>
      <c r="F2046" s="6" t="s">
        <v>49</v>
      </c>
      <c r="G2046" s="6" t="s">
        <v>4190</v>
      </c>
      <c r="H2046" s="6">
        <v>2.15</v>
      </c>
      <c r="I2046" s="6" t="str">
        <f>_xlfn.CONCAT("Art. złączny do produktu ",Tabela10[[#This Row],[KOD_PRODUKTU]])</f>
        <v>Art. złączny do produktu 904U64-520</v>
      </c>
      <c r="J2046" s="6" t="str">
        <f>_xlfn.CONCAT("VE-",Tabela10[[#This Row],[KOD_PRODUKTU]])</f>
        <v>VE-904U64-520</v>
      </c>
    </row>
    <row r="2047" spans="1:10" x14ac:dyDescent="0.25">
      <c r="A2047" s="1" t="s">
        <v>4188</v>
      </c>
      <c r="B2047" t="s">
        <v>4189</v>
      </c>
      <c r="C2047" s="1" t="s">
        <v>857</v>
      </c>
      <c r="D2047" t="s">
        <v>858</v>
      </c>
      <c r="E2047" t="s">
        <v>686</v>
      </c>
      <c r="F2047" t="s">
        <v>49</v>
      </c>
      <c r="G2047" t="s">
        <v>4191</v>
      </c>
      <c r="H2047">
        <v>0.85</v>
      </c>
      <c r="I2047" s="6" t="str">
        <f>_xlfn.CONCAT("Art. złączny do produktu ",Tabela10[[#This Row],[KOD_PRODUKTU]])</f>
        <v>Art. złączny do produktu 904U64-520</v>
      </c>
      <c r="J2047" s="6" t="str">
        <f>_xlfn.CONCAT("VE-",Tabela10[[#This Row],[KOD_PRODUKTU]])</f>
        <v>VE-904U64-520</v>
      </c>
    </row>
    <row r="2048" spans="1:10" x14ac:dyDescent="0.25">
      <c r="A2048" s="7" t="s">
        <v>4188</v>
      </c>
      <c r="B2048" s="6" t="s">
        <v>4189</v>
      </c>
      <c r="C2048" s="7" t="s">
        <v>432</v>
      </c>
      <c r="D2048" s="6" t="s">
        <v>433</v>
      </c>
      <c r="E2048" s="6" t="s">
        <v>434</v>
      </c>
      <c r="F2048" s="6" t="s">
        <v>435</v>
      </c>
      <c r="G2048" s="6" t="s">
        <v>50</v>
      </c>
      <c r="H2048" s="6">
        <v>1.1000000000000001</v>
      </c>
      <c r="I2048" s="6" t="str">
        <f>_xlfn.CONCAT("Art. złączny do produktu ",Tabela10[[#This Row],[KOD_PRODUKTU]])</f>
        <v>Art. złączny do produktu 904U64-520</v>
      </c>
      <c r="J2048" s="6" t="str">
        <f>_xlfn.CONCAT("VE-",Tabela10[[#This Row],[KOD_PRODUKTU]])</f>
        <v>VE-904U64-520</v>
      </c>
    </row>
    <row r="2049" spans="1:10" x14ac:dyDescent="0.25">
      <c r="A2049" s="1" t="s">
        <v>4188</v>
      </c>
      <c r="B2049" t="s">
        <v>4189</v>
      </c>
      <c r="C2049" s="1" t="s">
        <v>541</v>
      </c>
      <c r="D2049" t="s">
        <v>542</v>
      </c>
      <c r="E2049" t="s">
        <v>9</v>
      </c>
      <c r="F2049" t="s">
        <v>10</v>
      </c>
      <c r="G2049" t="s">
        <v>601</v>
      </c>
      <c r="H2049">
        <v>6.9</v>
      </c>
      <c r="I2049" s="6" t="str">
        <f>_xlfn.CONCAT("Art. złączny do produktu ",Tabela10[[#This Row],[KOD_PRODUKTU]])</f>
        <v>Art. złączny do produktu 904U64-520</v>
      </c>
      <c r="J2049" s="6" t="str">
        <f>_xlfn.CONCAT("VE-",Tabela10[[#This Row],[KOD_PRODUKTU]])</f>
        <v>VE-904U64-520</v>
      </c>
    </row>
    <row r="2050" spans="1:10" x14ac:dyDescent="0.25">
      <c r="A2050" s="7" t="s">
        <v>4192</v>
      </c>
      <c r="B2050" s="6" t="s">
        <v>4193</v>
      </c>
      <c r="C2050" s="7" t="s">
        <v>1487</v>
      </c>
      <c r="D2050" s="6" t="s">
        <v>1488</v>
      </c>
      <c r="E2050" s="6" t="s">
        <v>31</v>
      </c>
      <c r="F2050" s="6" t="s">
        <v>5</v>
      </c>
      <c r="G2050" s="6" t="s">
        <v>594</v>
      </c>
      <c r="H2050" s="6">
        <v>2.65</v>
      </c>
      <c r="I2050" s="6" t="str">
        <f>_xlfn.CONCAT("Art. złączny do produktu ",Tabela10[[#This Row],[KOD_PRODUKTU]])</f>
        <v>Art. złączny do produktu 904U65-121</v>
      </c>
      <c r="J2050" s="6" t="str">
        <f>_xlfn.CONCAT("VE-",Tabela10[[#This Row],[KOD_PRODUKTU]])</f>
        <v>VE-904U65-121</v>
      </c>
    </row>
    <row r="2051" spans="1:10" x14ac:dyDescent="0.25">
      <c r="A2051" s="1" t="s">
        <v>4192</v>
      </c>
      <c r="B2051" t="s">
        <v>4193</v>
      </c>
      <c r="C2051" s="1" t="s">
        <v>432</v>
      </c>
      <c r="D2051" t="s">
        <v>433</v>
      </c>
      <c r="E2051" t="s">
        <v>434</v>
      </c>
      <c r="F2051" t="s">
        <v>435</v>
      </c>
      <c r="G2051" t="s">
        <v>50</v>
      </c>
      <c r="H2051">
        <v>1.1000000000000001</v>
      </c>
      <c r="I2051" s="6" t="str">
        <f>_xlfn.CONCAT("Art. złączny do produktu ",Tabela10[[#This Row],[KOD_PRODUKTU]])</f>
        <v>Art. złączny do produktu 904U65-121</v>
      </c>
      <c r="J2051" s="6" t="str">
        <f>_xlfn.CONCAT("VE-",Tabela10[[#This Row],[KOD_PRODUKTU]])</f>
        <v>VE-904U65-121</v>
      </c>
    </row>
    <row r="2052" spans="1:10" x14ac:dyDescent="0.25">
      <c r="A2052" s="7" t="s">
        <v>4192</v>
      </c>
      <c r="B2052" s="6" t="s">
        <v>4193</v>
      </c>
      <c r="C2052" s="7" t="s">
        <v>541</v>
      </c>
      <c r="D2052" s="6" t="s">
        <v>542</v>
      </c>
      <c r="E2052" s="6" t="s">
        <v>9</v>
      </c>
      <c r="F2052" s="6" t="s">
        <v>10</v>
      </c>
      <c r="G2052" s="6" t="s">
        <v>4194</v>
      </c>
      <c r="H2052" s="6">
        <v>4.72</v>
      </c>
      <c r="I2052" s="6" t="str">
        <f>_xlfn.CONCAT("Art. złączny do produktu ",Tabela10[[#This Row],[KOD_PRODUKTU]])</f>
        <v>Art. złączny do produktu 904U65-121</v>
      </c>
      <c r="J2052" s="6" t="str">
        <f>_xlfn.CONCAT("VE-",Tabela10[[#This Row],[KOD_PRODUKTU]])</f>
        <v>VE-904U65-121</v>
      </c>
    </row>
    <row r="2053" spans="1:10" x14ac:dyDescent="0.25">
      <c r="A2053" s="1" t="s">
        <v>4195</v>
      </c>
      <c r="B2053" t="s">
        <v>4196</v>
      </c>
      <c r="C2053" s="1" t="s">
        <v>1487</v>
      </c>
      <c r="D2053" t="s">
        <v>1488</v>
      </c>
      <c r="E2053" t="s">
        <v>31</v>
      </c>
      <c r="F2053" t="s">
        <v>5</v>
      </c>
      <c r="G2053" t="s">
        <v>1491</v>
      </c>
      <c r="H2053">
        <v>1.3</v>
      </c>
      <c r="I2053" s="6" t="str">
        <f>_xlfn.CONCAT("Art. złączny do produktu ",Tabela10[[#This Row],[KOD_PRODUKTU]])</f>
        <v>Art. złączny do produktu 904U65-122</v>
      </c>
      <c r="J2053" s="6" t="str">
        <f>_xlfn.CONCAT("VE-",Tabela10[[#This Row],[KOD_PRODUKTU]])</f>
        <v>VE-904U65-122</v>
      </c>
    </row>
    <row r="2054" spans="1:10" x14ac:dyDescent="0.25">
      <c r="A2054" s="7" t="s">
        <v>4195</v>
      </c>
      <c r="B2054" s="6" t="s">
        <v>4196</v>
      </c>
      <c r="C2054" s="7" t="s">
        <v>432</v>
      </c>
      <c r="D2054" s="6" t="s">
        <v>433</v>
      </c>
      <c r="E2054" s="6" t="s">
        <v>434</v>
      </c>
      <c r="F2054" s="6" t="s">
        <v>435</v>
      </c>
      <c r="G2054" s="6" t="s">
        <v>50</v>
      </c>
      <c r="H2054" s="6">
        <v>1.1000000000000001</v>
      </c>
      <c r="I2054" s="6" t="str">
        <f>_xlfn.CONCAT("Art. złączny do produktu ",Tabela10[[#This Row],[KOD_PRODUKTU]])</f>
        <v>Art. złączny do produktu 904U65-122</v>
      </c>
      <c r="J2054" s="6" t="str">
        <f>_xlfn.CONCAT("VE-",Tabela10[[#This Row],[KOD_PRODUKTU]])</f>
        <v>VE-904U65-122</v>
      </c>
    </row>
    <row r="2055" spans="1:10" x14ac:dyDescent="0.25">
      <c r="A2055" s="1" t="s">
        <v>4195</v>
      </c>
      <c r="B2055" t="s">
        <v>4196</v>
      </c>
      <c r="C2055" s="1" t="s">
        <v>541</v>
      </c>
      <c r="D2055" t="s">
        <v>542</v>
      </c>
      <c r="E2055" t="s">
        <v>9</v>
      </c>
      <c r="F2055" t="s">
        <v>10</v>
      </c>
      <c r="G2055" t="s">
        <v>4197</v>
      </c>
      <c r="H2055">
        <v>3.89</v>
      </c>
      <c r="I2055" s="6" t="str">
        <f>_xlfn.CONCAT("Art. złączny do produktu ",Tabela10[[#This Row],[KOD_PRODUKTU]])</f>
        <v>Art. złączny do produktu 904U65-122</v>
      </c>
      <c r="J2055" s="6" t="str">
        <f>_xlfn.CONCAT("VE-",Tabela10[[#This Row],[KOD_PRODUKTU]])</f>
        <v>VE-904U65-122</v>
      </c>
    </row>
    <row r="2056" spans="1:10" x14ac:dyDescent="0.25">
      <c r="A2056" s="7" t="s">
        <v>4198</v>
      </c>
      <c r="B2056" s="6" t="s">
        <v>4199</v>
      </c>
      <c r="C2056" s="7" t="s">
        <v>4200</v>
      </c>
      <c r="D2056" s="6" t="s">
        <v>4201</v>
      </c>
      <c r="E2056" s="6" t="s">
        <v>1768</v>
      </c>
      <c r="F2056" s="6" t="s">
        <v>5</v>
      </c>
      <c r="G2056" s="6" t="s">
        <v>4202</v>
      </c>
      <c r="H2056" s="6">
        <v>0</v>
      </c>
      <c r="I2056" s="6" t="str">
        <f>_xlfn.CONCAT("Art. złączny do produktu ",Tabela10[[#This Row],[KOD_PRODUKTU]])</f>
        <v>Art. złączny do produktu 904U65-130</v>
      </c>
      <c r="J2056" s="6" t="str">
        <f>_xlfn.CONCAT("VE-",Tabela10[[#This Row],[KOD_PRODUKTU]])</f>
        <v>VE-904U65-130</v>
      </c>
    </row>
    <row r="2057" spans="1:10" x14ac:dyDescent="0.25">
      <c r="A2057" s="1" t="s">
        <v>4198</v>
      </c>
      <c r="B2057" t="s">
        <v>4199</v>
      </c>
      <c r="C2057" s="1" t="s">
        <v>541</v>
      </c>
      <c r="D2057" t="s">
        <v>542</v>
      </c>
      <c r="E2057" t="s">
        <v>9</v>
      </c>
      <c r="F2057" t="s">
        <v>10</v>
      </c>
      <c r="G2057" t="s">
        <v>4203</v>
      </c>
      <c r="H2057">
        <v>7.23</v>
      </c>
      <c r="I2057" s="6" t="str">
        <f>_xlfn.CONCAT("Art. złączny do produktu ",Tabela10[[#This Row],[KOD_PRODUKTU]])</f>
        <v>Art. złączny do produktu 904U65-130</v>
      </c>
      <c r="J2057" s="6" t="str">
        <f>_xlfn.CONCAT("VE-",Tabela10[[#This Row],[KOD_PRODUKTU]])</f>
        <v>VE-904U65-130</v>
      </c>
    </row>
    <row r="2058" spans="1:10" x14ac:dyDescent="0.25">
      <c r="A2058" s="7" t="s">
        <v>4204</v>
      </c>
      <c r="B2058" s="6" t="s">
        <v>4205</v>
      </c>
      <c r="C2058" s="7" t="s">
        <v>1099</v>
      </c>
      <c r="D2058" s="6" t="s">
        <v>1100</v>
      </c>
      <c r="E2058" s="6" t="s">
        <v>1101</v>
      </c>
      <c r="F2058" s="6" t="s">
        <v>49</v>
      </c>
      <c r="G2058" s="6" t="s">
        <v>4206</v>
      </c>
      <c r="H2058" s="6">
        <v>3.75</v>
      </c>
      <c r="I2058" s="6" t="str">
        <f>_xlfn.CONCAT("Art. złączny do produktu ",Tabela10[[#This Row],[KOD_PRODUKTU]])</f>
        <v>Art. złączny do produktu 904U65-140</v>
      </c>
      <c r="J2058" s="6" t="str">
        <f>_xlfn.CONCAT("VE-",Tabela10[[#This Row],[KOD_PRODUKTU]])</f>
        <v>VE-904U65-140</v>
      </c>
    </row>
    <row r="2059" spans="1:10" x14ac:dyDescent="0.25">
      <c r="A2059" s="1" t="s">
        <v>4204</v>
      </c>
      <c r="B2059" t="s">
        <v>4205</v>
      </c>
      <c r="C2059" s="1" t="s">
        <v>432</v>
      </c>
      <c r="D2059" t="s">
        <v>433</v>
      </c>
      <c r="E2059" t="s">
        <v>434</v>
      </c>
      <c r="F2059" t="s">
        <v>435</v>
      </c>
      <c r="G2059" t="s">
        <v>50</v>
      </c>
      <c r="H2059">
        <v>1.1000000000000001</v>
      </c>
      <c r="I2059" s="6" t="str">
        <f>_xlfn.CONCAT("Art. złączny do produktu ",Tabela10[[#This Row],[KOD_PRODUKTU]])</f>
        <v>Art. złączny do produktu 904U65-140</v>
      </c>
      <c r="J2059" s="6" t="str">
        <f>_xlfn.CONCAT("VE-",Tabela10[[#This Row],[KOD_PRODUKTU]])</f>
        <v>VE-904U65-140</v>
      </c>
    </row>
    <row r="2060" spans="1:10" x14ac:dyDescent="0.25">
      <c r="A2060" s="7" t="s">
        <v>4204</v>
      </c>
      <c r="B2060" s="6" t="s">
        <v>4205</v>
      </c>
      <c r="C2060" s="7" t="s">
        <v>541</v>
      </c>
      <c r="D2060" s="6" t="s">
        <v>542</v>
      </c>
      <c r="E2060" s="6" t="s">
        <v>9</v>
      </c>
      <c r="F2060" s="6" t="s">
        <v>10</v>
      </c>
      <c r="G2060" s="6" t="s">
        <v>4207</v>
      </c>
      <c r="H2060" s="6">
        <v>7.14</v>
      </c>
      <c r="I2060" s="6" t="str">
        <f>_xlfn.CONCAT("Art. złączny do produktu ",Tabela10[[#This Row],[KOD_PRODUKTU]])</f>
        <v>Art. złączny do produktu 904U65-140</v>
      </c>
      <c r="J2060" s="6" t="str">
        <f>_xlfn.CONCAT("VE-",Tabela10[[#This Row],[KOD_PRODUKTU]])</f>
        <v>VE-904U65-140</v>
      </c>
    </row>
    <row r="2061" spans="1:10" x14ac:dyDescent="0.25">
      <c r="A2061" s="1" t="s">
        <v>4208</v>
      </c>
      <c r="B2061" t="s">
        <v>4209</v>
      </c>
      <c r="C2061" s="1" t="s">
        <v>1047</v>
      </c>
      <c r="D2061" t="s">
        <v>1048</v>
      </c>
      <c r="E2061" t="s">
        <v>1434</v>
      </c>
      <c r="F2061" t="s">
        <v>17</v>
      </c>
      <c r="G2061" t="s">
        <v>4210</v>
      </c>
      <c r="H2061">
        <v>8.82</v>
      </c>
      <c r="I2061" s="6" t="str">
        <f>_xlfn.CONCAT("Art. złączny do produktu ",Tabela10[[#This Row],[KOD_PRODUKTU]])</f>
        <v>Art. złączny do produktu 904U65-150</v>
      </c>
      <c r="J2061" s="6" t="str">
        <f>_xlfn.CONCAT("VE-",Tabela10[[#This Row],[KOD_PRODUKTU]])</f>
        <v>VE-904U65-150</v>
      </c>
    </row>
    <row r="2062" spans="1:10" x14ac:dyDescent="0.25">
      <c r="A2062" s="7" t="s">
        <v>4208</v>
      </c>
      <c r="B2062" s="6" t="s">
        <v>4209</v>
      </c>
      <c r="C2062" s="7" t="s">
        <v>541</v>
      </c>
      <c r="D2062" s="6" t="s">
        <v>542</v>
      </c>
      <c r="E2062" s="6" t="s">
        <v>9</v>
      </c>
      <c r="F2062" s="6" t="s">
        <v>10</v>
      </c>
      <c r="G2062" s="6" t="s">
        <v>4211</v>
      </c>
      <c r="H2062" s="6">
        <v>4.87</v>
      </c>
      <c r="I2062" s="6" t="str">
        <f>_xlfn.CONCAT("Art. złączny do produktu ",Tabela10[[#This Row],[KOD_PRODUKTU]])</f>
        <v>Art. złączny do produktu 904U65-150</v>
      </c>
      <c r="J2062" s="6" t="str">
        <f>_xlfn.CONCAT("VE-",Tabela10[[#This Row],[KOD_PRODUKTU]])</f>
        <v>VE-904U65-150</v>
      </c>
    </row>
    <row r="2063" spans="1:10" x14ac:dyDescent="0.25">
      <c r="A2063" s="1" t="s">
        <v>4212</v>
      </c>
      <c r="B2063" t="s">
        <v>4213</v>
      </c>
      <c r="C2063" s="1" t="s">
        <v>1047</v>
      </c>
      <c r="D2063" t="s">
        <v>1048</v>
      </c>
      <c r="E2063" t="s">
        <v>1434</v>
      </c>
      <c r="F2063" t="s">
        <v>17</v>
      </c>
      <c r="G2063" t="s">
        <v>4214</v>
      </c>
      <c r="H2063">
        <v>12.87</v>
      </c>
      <c r="I2063" s="6" t="str">
        <f>_xlfn.CONCAT("Art. złączny do produktu ",Tabela10[[#This Row],[KOD_PRODUKTU]])</f>
        <v>Art. złączny do produktu 904U65-151</v>
      </c>
      <c r="J2063" s="6" t="str">
        <f>_xlfn.CONCAT("VE-",Tabela10[[#This Row],[KOD_PRODUKTU]])</f>
        <v>VE-904U65-151</v>
      </c>
    </row>
    <row r="2064" spans="1:10" x14ac:dyDescent="0.25">
      <c r="A2064" s="7" t="s">
        <v>4212</v>
      </c>
      <c r="B2064" s="6" t="s">
        <v>4213</v>
      </c>
      <c r="C2064" s="7" t="s">
        <v>541</v>
      </c>
      <c r="D2064" s="6" t="s">
        <v>542</v>
      </c>
      <c r="E2064" s="6" t="s">
        <v>9</v>
      </c>
      <c r="F2064" s="6" t="s">
        <v>10</v>
      </c>
      <c r="G2064" s="6" t="s">
        <v>4163</v>
      </c>
      <c r="H2064" s="6">
        <v>4.88</v>
      </c>
      <c r="I2064" s="6" t="str">
        <f>_xlfn.CONCAT("Art. złączny do produktu ",Tabela10[[#This Row],[KOD_PRODUKTU]])</f>
        <v>Art. złączny do produktu 904U65-151</v>
      </c>
      <c r="J2064" s="6" t="str">
        <f>_xlfn.CONCAT("VE-",Tabela10[[#This Row],[KOD_PRODUKTU]])</f>
        <v>VE-904U65-151</v>
      </c>
    </row>
    <row r="2065" spans="1:10" x14ac:dyDescent="0.25">
      <c r="A2065" s="1" t="s">
        <v>4215</v>
      </c>
      <c r="B2065" t="s">
        <v>4216</v>
      </c>
      <c r="C2065" s="1" t="s">
        <v>1547</v>
      </c>
      <c r="D2065" t="s">
        <v>1548</v>
      </c>
      <c r="E2065" t="s">
        <v>216</v>
      </c>
      <c r="F2065" t="s">
        <v>5</v>
      </c>
      <c r="G2065" t="s">
        <v>4217</v>
      </c>
      <c r="H2065">
        <v>8.1999999999999993</v>
      </c>
      <c r="I2065" s="6" t="str">
        <f>_xlfn.CONCAT("Art. złączny do produktu ",Tabela10[[#This Row],[KOD_PRODUKTU]])</f>
        <v>Art. złączny do produktu 904U65-210</v>
      </c>
      <c r="J2065" s="6" t="str">
        <f>_xlfn.CONCAT("VE-",Tabela10[[#This Row],[KOD_PRODUKTU]])</f>
        <v>VE-904U65-210</v>
      </c>
    </row>
    <row r="2066" spans="1:10" x14ac:dyDescent="0.25">
      <c r="A2066" s="7" t="s">
        <v>4215</v>
      </c>
      <c r="B2066" s="6" t="s">
        <v>4216</v>
      </c>
      <c r="C2066" s="7" t="s">
        <v>432</v>
      </c>
      <c r="D2066" s="6" t="s">
        <v>433</v>
      </c>
      <c r="E2066" s="6" t="s">
        <v>434</v>
      </c>
      <c r="F2066" s="6" t="s">
        <v>435</v>
      </c>
      <c r="G2066" s="6" t="s">
        <v>4218</v>
      </c>
      <c r="H2066" s="6">
        <v>1.75</v>
      </c>
      <c r="I2066" s="6" t="str">
        <f>_xlfn.CONCAT("Art. złączny do produktu ",Tabela10[[#This Row],[KOD_PRODUKTU]])</f>
        <v>Art. złączny do produktu 904U65-210</v>
      </c>
      <c r="J2066" s="6" t="str">
        <f>_xlfn.CONCAT("VE-",Tabela10[[#This Row],[KOD_PRODUKTU]])</f>
        <v>VE-904U65-210</v>
      </c>
    </row>
    <row r="2067" spans="1:10" x14ac:dyDescent="0.25">
      <c r="A2067" s="1" t="s">
        <v>4215</v>
      </c>
      <c r="B2067" t="s">
        <v>4216</v>
      </c>
      <c r="C2067" s="1" t="s">
        <v>541</v>
      </c>
      <c r="D2067" t="s">
        <v>542</v>
      </c>
      <c r="E2067" t="s">
        <v>9</v>
      </c>
      <c r="F2067" t="s">
        <v>10</v>
      </c>
      <c r="G2067" t="s">
        <v>2537</v>
      </c>
      <c r="H2067">
        <v>7.19</v>
      </c>
      <c r="I2067" s="6" t="str">
        <f>_xlfn.CONCAT("Art. złączny do produktu ",Tabela10[[#This Row],[KOD_PRODUKTU]])</f>
        <v>Art. złączny do produktu 904U65-210</v>
      </c>
      <c r="J2067" s="6" t="str">
        <f>_xlfn.CONCAT("VE-",Tabela10[[#This Row],[KOD_PRODUKTU]])</f>
        <v>VE-904U65-210</v>
      </c>
    </row>
    <row r="2068" spans="1:10" x14ac:dyDescent="0.25">
      <c r="A2068" s="7" t="s">
        <v>4219</v>
      </c>
      <c r="B2068" s="6" t="s">
        <v>4220</v>
      </c>
      <c r="C2068" s="7" t="s">
        <v>1547</v>
      </c>
      <c r="D2068" s="6" t="s">
        <v>1548</v>
      </c>
      <c r="E2068" s="6" t="s">
        <v>216</v>
      </c>
      <c r="F2068" s="6" t="s">
        <v>5</v>
      </c>
      <c r="G2068" s="6" t="s">
        <v>4221</v>
      </c>
      <c r="H2068" s="6">
        <v>9.35</v>
      </c>
      <c r="I2068" s="6" t="str">
        <f>_xlfn.CONCAT("Art. złączny do produktu ",Tabela10[[#This Row],[KOD_PRODUKTU]])</f>
        <v>Art. złączny do produktu 904U66-210</v>
      </c>
      <c r="J2068" s="6" t="str">
        <f>_xlfn.CONCAT("VE-",Tabela10[[#This Row],[KOD_PRODUKTU]])</f>
        <v>VE-904U66-210</v>
      </c>
    </row>
    <row r="2069" spans="1:10" x14ac:dyDescent="0.25">
      <c r="A2069" s="1" t="s">
        <v>4219</v>
      </c>
      <c r="B2069" t="s">
        <v>4220</v>
      </c>
      <c r="C2069" s="1" t="s">
        <v>432</v>
      </c>
      <c r="D2069" t="s">
        <v>433</v>
      </c>
      <c r="E2069" t="s">
        <v>434</v>
      </c>
      <c r="F2069" t="s">
        <v>435</v>
      </c>
      <c r="G2069" t="s">
        <v>4222</v>
      </c>
      <c r="H2069">
        <v>2.0499999999999998</v>
      </c>
      <c r="I2069" s="6" t="str">
        <f>_xlfn.CONCAT("Art. złączny do produktu ",Tabela10[[#This Row],[KOD_PRODUKTU]])</f>
        <v>Art. złączny do produktu 904U66-210</v>
      </c>
      <c r="J2069" s="6" t="str">
        <f>_xlfn.CONCAT("VE-",Tabela10[[#This Row],[KOD_PRODUKTU]])</f>
        <v>VE-904U66-210</v>
      </c>
    </row>
    <row r="2070" spans="1:10" x14ac:dyDescent="0.25">
      <c r="A2070" s="7" t="s">
        <v>4219</v>
      </c>
      <c r="B2070" s="6" t="s">
        <v>4220</v>
      </c>
      <c r="C2070" s="7" t="s">
        <v>541</v>
      </c>
      <c r="D2070" s="6" t="s">
        <v>542</v>
      </c>
      <c r="E2070" s="6" t="s">
        <v>9</v>
      </c>
      <c r="F2070" s="6" t="s">
        <v>10</v>
      </c>
      <c r="G2070" s="6" t="s">
        <v>2537</v>
      </c>
      <c r="H2070" s="6">
        <v>7.19</v>
      </c>
      <c r="I2070" s="6" t="str">
        <f>_xlfn.CONCAT("Art. złączny do produktu ",Tabela10[[#This Row],[KOD_PRODUKTU]])</f>
        <v>Art. złączny do produktu 904U66-210</v>
      </c>
      <c r="J2070" s="6" t="str">
        <f>_xlfn.CONCAT("VE-",Tabela10[[#This Row],[KOD_PRODUKTU]])</f>
        <v>VE-904U66-210</v>
      </c>
    </row>
    <row r="2071" spans="1:10" x14ac:dyDescent="0.25">
      <c r="A2071" s="1" t="s">
        <v>4223</v>
      </c>
      <c r="B2071" t="s">
        <v>4224</v>
      </c>
      <c r="C2071" s="1" t="s">
        <v>684</v>
      </c>
      <c r="D2071" t="s">
        <v>685</v>
      </c>
      <c r="E2071" t="s">
        <v>686</v>
      </c>
      <c r="F2071" t="s">
        <v>49</v>
      </c>
      <c r="G2071" t="s">
        <v>4225</v>
      </c>
      <c r="H2071">
        <v>53</v>
      </c>
      <c r="I2071" s="6" t="str">
        <f>_xlfn.CONCAT("Art. złączny do produktu ",Tabela10[[#This Row],[KOD_PRODUKTU]])</f>
        <v>Art. złączny do produktu 904U66-310</v>
      </c>
      <c r="J2071" s="6" t="str">
        <f>_xlfn.CONCAT("VE-",Tabela10[[#This Row],[KOD_PRODUKTU]])</f>
        <v>VE-904U66-310</v>
      </c>
    </row>
    <row r="2072" spans="1:10" x14ac:dyDescent="0.25">
      <c r="A2072" s="7" t="s">
        <v>4223</v>
      </c>
      <c r="B2072" s="6" t="s">
        <v>4224</v>
      </c>
      <c r="C2072" s="7" t="s">
        <v>541</v>
      </c>
      <c r="D2072" s="6" t="s">
        <v>542</v>
      </c>
      <c r="E2072" s="6" t="s">
        <v>9</v>
      </c>
      <c r="F2072" s="6" t="s">
        <v>10</v>
      </c>
      <c r="G2072" s="6" t="s">
        <v>4226</v>
      </c>
      <c r="H2072" s="6">
        <v>58.49</v>
      </c>
      <c r="I2072" s="6" t="str">
        <f>_xlfn.CONCAT("Art. złączny do produktu ",Tabela10[[#This Row],[KOD_PRODUKTU]])</f>
        <v>Art. złączny do produktu 904U66-310</v>
      </c>
      <c r="J2072" s="6" t="str">
        <f>_xlfn.CONCAT("VE-",Tabela10[[#This Row],[KOD_PRODUKTU]])</f>
        <v>VE-904U66-310</v>
      </c>
    </row>
    <row r="2073" spans="1:10" x14ac:dyDescent="0.25">
      <c r="A2073" s="1" t="s">
        <v>4223</v>
      </c>
      <c r="B2073" t="s">
        <v>4224</v>
      </c>
      <c r="C2073" s="1" t="s">
        <v>541</v>
      </c>
      <c r="D2073" t="s">
        <v>542</v>
      </c>
      <c r="E2073" t="s">
        <v>9</v>
      </c>
      <c r="F2073" t="s">
        <v>10</v>
      </c>
      <c r="G2073" t="s">
        <v>2315</v>
      </c>
      <c r="H2073">
        <v>41.4</v>
      </c>
      <c r="I2073" s="6" t="str">
        <f>_xlfn.CONCAT("Art. złączny do produktu ",Tabela10[[#This Row],[KOD_PRODUKTU]])</f>
        <v>Art. złączny do produktu 904U66-310</v>
      </c>
      <c r="J2073" s="6" t="str">
        <f>_xlfn.CONCAT("VE-",Tabela10[[#This Row],[KOD_PRODUKTU]])</f>
        <v>VE-904U66-310</v>
      </c>
    </row>
    <row r="2074" spans="1:10" x14ac:dyDescent="0.25">
      <c r="A2074" s="7" t="s">
        <v>4223</v>
      </c>
      <c r="B2074" s="6" t="s">
        <v>4224</v>
      </c>
      <c r="C2074" s="7" t="s">
        <v>541</v>
      </c>
      <c r="D2074" s="6" t="s">
        <v>542</v>
      </c>
      <c r="E2074" s="6" t="s">
        <v>9</v>
      </c>
      <c r="F2074" s="6" t="s">
        <v>10</v>
      </c>
      <c r="G2074" s="6" t="s">
        <v>367</v>
      </c>
      <c r="H2074" s="6">
        <v>2.2999999999999998</v>
      </c>
      <c r="I2074" s="6" t="str">
        <f>_xlfn.CONCAT("Art. złączny do produktu ",Tabela10[[#This Row],[KOD_PRODUKTU]])</f>
        <v>Art. złączny do produktu 904U66-310</v>
      </c>
      <c r="J2074" s="6" t="str">
        <f>_xlfn.CONCAT("VE-",Tabela10[[#This Row],[KOD_PRODUKTU]])</f>
        <v>VE-904U66-310</v>
      </c>
    </row>
    <row r="2075" spans="1:10" x14ac:dyDescent="0.25">
      <c r="A2075" s="1" t="s">
        <v>4227</v>
      </c>
      <c r="B2075" t="s">
        <v>4228</v>
      </c>
      <c r="C2075" s="1" t="s">
        <v>4229</v>
      </c>
      <c r="D2075" t="s">
        <v>4230</v>
      </c>
      <c r="E2075" t="s">
        <v>4231</v>
      </c>
      <c r="F2075" t="s">
        <v>5</v>
      </c>
      <c r="G2075" t="s">
        <v>4232</v>
      </c>
      <c r="H2075">
        <v>17.100000000000001</v>
      </c>
      <c r="I2075" s="6" t="str">
        <f>_xlfn.CONCAT("Art. złączny do produktu ",Tabela10[[#This Row],[KOD_PRODUKTU]])</f>
        <v>Art. złączny do produktu 904U78-211</v>
      </c>
      <c r="J2075" s="6" t="str">
        <f>_xlfn.CONCAT("VE-",Tabela10[[#This Row],[KOD_PRODUKTU]])</f>
        <v>VE-904U78-211</v>
      </c>
    </row>
    <row r="2076" spans="1:10" x14ac:dyDescent="0.25">
      <c r="A2076" s="7" t="s">
        <v>4227</v>
      </c>
      <c r="B2076" s="6" t="s">
        <v>4228</v>
      </c>
      <c r="C2076" s="7" t="s">
        <v>4233</v>
      </c>
      <c r="D2076" s="6" t="s">
        <v>4234</v>
      </c>
      <c r="E2076" s="6" t="s">
        <v>4235</v>
      </c>
      <c r="F2076" s="6" t="s">
        <v>121</v>
      </c>
      <c r="G2076" s="6" t="s">
        <v>50</v>
      </c>
      <c r="H2076" s="6">
        <v>62.99</v>
      </c>
      <c r="I2076" s="6" t="str">
        <f>_xlfn.CONCAT("Art. złączny do produktu ",Tabela10[[#This Row],[KOD_PRODUKTU]])</f>
        <v>Art. złączny do produktu 904U78-211</v>
      </c>
      <c r="J2076" s="6" t="str">
        <f>_xlfn.CONCAT("VE-",Tabela10[[#This Row],[KOD_PRODUKTU]])</f>
        <v>VE-904U78-211</v>
      </c>
    </row>
    <row r="2077" spans="1:10" x14ac:dyDescent="0.25">
      <c r="A2077" s="1" t="s">
        <v>4227</v>
      </c>
      <c r="B2077" t="s">
        <v>4228</v>
      </c>
      <c r="C2077" s="1" t="s">
        <v>857</v>
      </c>
      <c r="D2077" t="s">
        <v>858</v>
      </c>
      <c r="E2077" t="s">
        <v>686</v>
      </c>
      <c r="F2077" t="s">
        <v>49</v>
      </c>
      <c r="G2077" t="s">
        <v>4236</v>
      </c>
      <c r="H2077">
        <v>3.02</v>
      </c>
      <c r="I2077" s="6" t="str">
        <f>_xlfn.CONCAT("Art. złączny do produktu ",Tabela10[[#This Row],[KOD_PRODUKTU]])</f>
        <v>Art. złączny do produktu 904U78-211</v>
      </c>
      <c r="J2077" s="6" t="str">
        <f>_xlfn.CONCAT("VE-",Tabela10[[#This Row],[KOD_PRODUKTU]])</f>
        <v>VE-904U78-211</v>
      </c>
    </row>
    <row r="2078" spans="1:10" x14ac:dyDescent="0.25">
      <c r="A2078" s="7" t="s">
        <v>4227</v>
      </c>
      <c r="B2078" s="6" t="s">
        <v>4228</v>
      </c>
      <c r="C2078" s="7" t="s">
        <v>541</v>
      </c>
      <c r="D2078" s="6" t="s">
        <v>542</v>
      </c>
      <c r="E2078" s="6" t="s">
        <v>9</v>
      </c>
      <c r="F2078" s="6" t="s">
        <v>10</v>
      </c>
      <c r="G2078" s="6" t="s">
        <v>3427</v>
      </c>
      <c r="H2078" s="6">
        <v>9.66</v>
      </c>
      <c r="I2078" s="6" t="str">
        <f>_xlfn.CONCAT("Art. złączny do produktu ",Tabela10[[#This Row],[KOD_PRODUKTU]])</f>
        <v>Art. złączny do produktu 904U78-211</v>
      </c>
      <c r="J2078" s="6" t="str">
        <f>_xlfn.CONCAT("VE-",Tabela10[[#This Row],[KOD_PRODUKTU]])</f>
        <v>VE-904U78-211</v>
      </c>
    </row>
    <row r="2079" spans="1:10" x14ac:dyDescent="0.25">
      <c r="A2079" s="1" t="s">
        <v>4227</v>
      </c>
      <c r="B2079" t="s">
        <v>4228</v>
      </c>
      <c r="C2079" s="1" t="s">
        <v>541</v>
      </c>
      <c r="D2079" t="s">
        <v>542</v>
      </c>
      <c r="E2079" t="s">
        <v>9</v>
      </c>
      <c r="F2079" t="s">
        <v>10</v>
      </c>
      <c r="G2079" t="s">
        <v>3427</v>
      </c>
      <c r="H2079">
        <v>9.66</v>
      </c>
      <c r="I2079" s="6" t="str">
        <f>_xlfn.CONCAT("Art. złączny do produktu ",Tabela10[[#This Row],[KOD_PRODUKTU]])</f>
        <v>Art. złączny do produktu 904U78-211</v>
      </c>
      <c r="J2079" s="6" t="str">
        <f>_xlfn.CONCAT("VE-",Tabela10[[#This Row],[KOD_PRODUKTU]])</f>
        <v>VE-904U78-211</v>
      </c>
    </row>
    <row r="2080" spans="1:10" x14ac:dyDescent="0.25">
      <c r="A2080" s="7" t="s">
        <v>4227</v>
      </c>
      <c r="B2080" s="6" t="s">
        <v>4228</v>
      </c>
      <c r="C2080" s="7" t="s">
        <v>541</v>
      </c>
      <c r="D2080" s="6" t="s">
        <v>542</v>
      </c>
      <c r="E2080" s="6" t="s">
        <v>9</v>
      </c>
      <c r="F2080" s="6" t="s">
        <v>10</v>
      </c>
      <c r="G2080" s="6" t="s">
        <v>4237</v>
      </c>
      <c r="H2080" s="6">
        <v>41.08</v>
      </c>
      <c r="I2080" s="6" t="str">
        <f>_xlfn.CONCAT("Art. złączny do produktu ",Tabela10[[#This Row],[KOD_PRODUKTU]])</f>
        <v>Art. złączny do produktu 904U78-211</v>
      </c>
      <c r="J2080" s="6" t="str">
        <f>_xlfn.CONCAT("VE-",Tabela10[[#This Row],[KOD_PRODUKTU]])</f>
        <v>VE-904U78-211</v>
      </c>
    </row>
    <row r="2081" spans="1:10" x14ac:dyDescent="0.25">
      <c r="A2081" s="1" t="s">
        <v>4227</v>
      </c>
      <c r="B2081" t="s">
        <v>4228</v>
      </c>
      <c r="C2081" s="1" t="s">
        <v>541</v>
      </c>
      <c r="D2081" t="s">
        <v>542</v>
      </c>
      <c r="E2081" t="s">
        <v>9</v>
      </c>
      <c r="F2081" t="s">
        <v>10</v>
      </c>
      <c r="G2081" t="s">
        <v>2890</v>
      </c>
      <c r="H2081">
        <v>2.42</v>
      </c>
      <c r="I2081" s="6" t="str">
        <f>_xlfn.CONCAT("Art. złączny do produktu ",Tabela10[[#This Row],[KOD_PRODUKTU]])</f>
        <v>Art. złączny do produktu 904U78-211</v>
      </c>
      <c r="J2081" s="6" t="str">
        <f>_xlfn.CONCAT("VE-",Tabela10[[#This Row],[KOD_PRODUKTU]])</f>
        <v>VE-904U78-211</v>
      </c>
    </row>
    <row r="2082" spans="1:10" x14ac:dyDescent="0.25">
      <c r="A2082" s="7" t="s">
        <v>4227</v>
      </c>
      <c r="B2082" s="6" t="s">
        <v>4228</v>
      </c>
      <c r="C2082" s="7" t="s">
        <v>7</v>
      </c>
      <c r="D2082" s="6" t="s">
        <v>8</v>
      </c>
      <c r="E2082" s="6" t="s">
        <v>9</v>
      </c>
      <c r="F2082" s="6" t="s">
        <v>10</v>
      </c>
      <c r="G2082" s="6" t="s">
        <v>4238</v>
      </c>
      <c r="H2082" s="6">
        <v>60.38</v>
      </c>
      <c r="I2082" s="6" t="str">
        <f>_xlfn.CONCAT("Art. złączny do produktu ",Tabela10[[#This Row],[KOD_PRODUKTU]])</f>
        <v>Art. złączny do produktu 904U78-211</v>
      </c>
      <c r="J2082" s="6" t="str">
        <f>_xlfn.CONCAT("VE-",Tabela10[[#This Row],[KOD_PRODUKTU]])</f>
        <v>VE-904U78-211</v>
      </c>
    </row>
    <row r="2083" spans="1:10" x14ac:dyDescent="0.25">
      <c r="A2083" s="1" t="s">
        <v>4239</v>
      </c>
      <c r="B2083" t="s">
        <v>4240</v>
      </c>
      <c r="C2083" s="1" t="s">
        <v>3688</v>
      </c>
      <c r="D2083" t="s">
        <v>3689</v>
      </c>
      <c r="E2083" t="s">
        <v>1768</v>
      </c>
      <c r="F2083" t="s">
        <v>5</v>
      </c>
      <c r="G2083" t="s">
        <v>4241</v>
      </c>
      <c r="H2083">
        <v>0</v>
      </c>
      <c r="I2083" s="6" t="str">
        <f>_xlfn.CONCAT("Art. złączny do produktu ",Tabela10[[#This Row],[KOD_PRODUKTU]])</f>
        <v>Art. złączny do produktu 904U78-212</v>
      </c>
      <c r="J2083" s="6" t="str">
        <f>_xlfn.CONCAT("VE-",Tabela10[[#This Row],[KOD_PRODUKTU]])</f>
        <v>VE-904U78-212</v>
      </c>
    </row>
    <row r="2084" spans="1:10" x14ac:dyDescent="0.25">
      <c r="A2084" s="7" t="s">
        <v>4239</v>
      </c>
      <c r="B2084" s="6" t="s">
        <v>4240</v>
      </c>
      <c r="C2084" s="7" t="s">
        <v>541</v>
      </c>
      <c r="D2084" s="6" t="s">
        <v>542</v>
      </c>
      <c r="E2084" s="6" t="s">
        <v>9</v>
      </c>
      <c r="F2084" s="6" t="s">
        <v>10</v>
      </c>
      <c r="G2084" s="6" t="s">
        <v>3514</v>
      </c>
      <c r="H2084" s="6">
        <v>4.8499999999999996</v>
      </c>
      <c r="I2084" s="6" t="str">
        <f>_xlfn.CONCAT("Art. złączny do produktu ",Tabela10[[#This Row],[KOD_PRODUKTU]])</f>
        <v>Art. złączny do produktu 904U78-212</v>
      </c>
      <c r="J2084" s="6" t="str">
        <f>_xlfn.CONCAT("VE-",Tabela10[[#This Row],[KOD_PRODUKTU]])</f>
        <v>VE-904U78-212</v>
      </c>
    </row>
    <row r="2085" spans="1:10" x14ac:dyDescent="0.25">
      <c r="A2085" s="1" t="s">
        <v>4242</v>
      </c>
      <c r="B2085" t="s">
        <v>4243</v>
      </c>
      <c r="C2085" s="1" t="s">
        <v>684</v>
      </c>
      <c r="D2085" t="s">
        <v>685</v>
      </c>
      <c r="E2085" t="s">
        <v>686</v>
      </c>
      <c r="F2085" t="s">
        <v>49</v>
      </c>
      <c r="G2085" t="s">
        <v>4244</v>
      </c>
      <c r="H2085">
        <v>55.5</v>
      </c>
      <c r="I2085" s="6" t="str">
        <f>_xlfn.CONCAT("Art. złączny do produktu ",Tabela10[[#This Row],[KOD_PRODUKTU]])</f>
        <v>Art. złączny do produktu 904U83-221</v>
      </c>
      <c r="J2085" s="6" t="str">
        <f>_xlfn.CONCAT("VE-",Tabela10[[#This Row],[KOD_PRODUKTU]])</f>
        <v>VE-904U83-221</v>
      </c>
    </row>
    <row r="2086" spans="1:10" x14ac:dyDescent="0.25">
      <c r="A2086" s="7" t="s">
        <v>4242</v>
      </c>
      <c r="B2086" s="6" t="s">
        <v>4243</v>
      </c>
      <c r="C2086" s="7" t="s">
        <v>541</v>
      </c>
      <c r="D2086" s="6" t="s">
        <v>542</v>
      </c>
      <c r="E2086" s="6" t="s">
        <v>9</v>
      </c>
      <c r="F2086" s="6" t="s">
        <v>10</v>
      </c>
      <c r="G2086" s="6" t="s">
        <v>2315</v>
      </c>
      <c r="H2086" s="6">
        <v>41.4</v>
      </c>
      <c r="I2086" s="6" t="str">
        <f>_xlfn.CONCAT("Art. złączny do produktu ",Tabela10[[#This Row],[KOD_PRODUKTU]])</f>
        <v>Art. złączny do produktu 904U83-221</v>
      </c>
      <c r="J2086" s="6" t="str">
        <f>_xlfn.CONCAT("VE-",Tabela10[[#This Row],[KOD_PRODUKTU]])</f>
        <v>VE-904U83-221</v>
      </c>
    </row>
    <row r="2087" spans="1:10" x14ac:dyDescent="0.25">
      <c r="A2087" s="1" t="s">
        <v>4242</v>
      </c>
      <c r="B2087" t="s">
        <v>4243</v>
      </c>
      <c r="C2087" s="1" t="s">
        <v>541</v>
      </c>
      <c r="D2087" t="s">
        <v>542</v>
      </c>
      <c r="E2087" t="s">
        <v>9</v>
      </c>
      <c r="F2087" t="s">
        <v>10</v>
      </c>
      <c r="G2087" t="s">
        <v>4245</v>
      </c>
      <c r="H2087">
        <v>60.72</v>
      </c>
      <c r="I2087" s="6" t="str">
        <f>_xlfn.CONCAT("Art. złączny do produktu ",Tabela10[[#This Row],[KOD_PRODUKTU]])</f>
        <v>Art. złączny do produktu 904U83-221</v>
      </c>
      <c r="J2087" s="6" t="str">
        <f>_xlfn.CONCAT("VE-",Tabela10[[#This Row],[KOD_PRODUKTU]])</f>
        <v>VE-904U83-221</v>
      </c>
    </row>
    <row r="2088" spans="1:10" x14ac:dyDescent="0.25">
      <c r="A2088" s="7" t="s">
        <v>4242</v>
      </c>
      <c r="B2088" s="6" t="s">
        <v>4243</v>
      </c>
      <c r="C2088" s="7" t="s">
        <v>541</v>
      </c>
      <c r="D2088" s="6" t="s">
        <v>542</v>
      </c>
      <c r="E2088" s="6" t="s">
        <v>9</v>
      </c>
      <c r="F2088" s="6" t="s">
        <v>10</v>
      </c>
      <c r="G2088" s="6" t="s">
        <v>367</v>
      </c>
      <c r="H2088" s="6">
        <v>2.2999999999999998</v>
      </c>
      <c r="I2088" s="6" t="str">
        <f>_xlfn.CONCAT("Art. złączny do produktu ",Tabela10[[#This Row],[KOD_PRODUKTU]])</f>
        <v>Art. złączny do produktu 904U83-221</v>
      </c>
      <c r="J2088" s="6" t="str">
        <f>_xlfn.CONCAT("VE-",Tabela10[[#This Row],[KOD_PRODUKTU]])</f>
        <v>VE-904U83-221</v>
      </c>
    </row>
    <row r="2089" spans="1:10" x14ac:dyDescent="0.25">
      <c r="A2089" s="1" t="s">
        <v>4246</v>
      </c>
      <c r="B2089" t="s">
        <v>4247</v>
      </c>
      <c r="C2089" s="1" t="s">
        <v>1099</v>
      </c>
      <c r="D2089" t="s">
        <v>1100</v>
      </c>
      <c r="E2089" t="s">
        <v>1101</v>
      </c>
      <c r="F2089" t="s">
        <v>932</v>
      </c>
      <c r="G2089" t="s">
        <v>4248</v>
      </c>
      <c r="H2089">
        <v>2.1</v>
      </c>
      <c r="I2089" s="6" t="str">
        <f>_xlfn.CONCAT("Art. złączny do produktu ",Tabela10[[#This Row],[KOD_PRODUKTU]])</f>
        <v>Art. złączny do produktu 904U88-202</v>
      </c>
      <c r="J2089" s="6" t="str">
        <f>_xlfn.CONCAT("VE-",Tabela10[[#This Row],[KOD_PRODUKTU]])</f>
        <v>VE-904U88-202</v>
      </c>
    </row>
    <row r="2090" spans="1:10" x14ac:dyDescent="0.25">
      <c r="A2090" s="7" t="s">
        <v>4246</v>
      </c>
      <c r="B2090" s="6" t="s">
        <v>4247</v>
      </c>
      <c r="C2090" s="7" t="s">
        <v>432</v>
      </c>
      <c r="D2090" s="6" t="s">
        <v>433</v>
      </c>
      <c r="E2090" s="6" t="s">
        <v>434</v>
      </c>
      <c r="F2090" s="6" t="s">
        <v>435</v>
      </c>
      <c r="G2090" s="6" t="s">
        <v>50</v>
      </c>
      <c r="H2090" s="6">
        <v>1.1000000000000001</v>
      </c>
      <c r="I2090" s="6" t="str">
        <f>_xlfn.CONCAT("Art. złączny do produktu ",Tabela10[[#This Row],[KOD_PRODUKTU]])</f>
        <v>Art. złączny do produktu 904U88-202</v>
      </c>
      <c r="J2090" s="6" t="str">
        <f>_xlfn.CONCAT("VE-",Tabela10[[#This Row],[KOD_PRODUKTU]])</f>
        <v>VE-904U88-202</v>
      </c>
    </row>
    <row r="2091" spans="1:10" x14ac:dyDescent="0.25">
      <c r="A2091" s="1" t="s">
        <v>4246</v>
      </c>
      <c r="B2091" t="s">
        <v>4247</v>
      </c>
      <c r="C2091" s="1" t="s">
        <v>541</v>
      </c>
      <c r="D2091" t="s">
        <v>542</v>
      </c>
      <c r="E2091" t="s">
        <v>9</v>
      </c>
      <c r="F2091" t="s">
        <v>10</v>
      </c>
      <c r="G2091" t="s">
        <v>33</v>
      </c>
      <c r="H2091">
        <v>9.1999999999999993</v>
      </c>
      <c r="I2091" s="6" t="str">
        <f>_xlfn.CONCAT("Art. złączny do produktu ",Tabela10[[#This Row],[KOD_PRODUKTU]])</f>
        <v>Art. złączny do produktu 904U88-202</v>
      </c>
      <c r="J2091" s="6" t="str">
        <f>_xlfn.CONCAT("VE-",Tabela10[[#This Row],[KOD_PRODUKTU]])</f>
        <v>VE-904U88-202</v>
      </c>
    </row>
    <row r="2092" spans="1:10" x14ac:dyDescent="0.25">
      <c r="A2092" s="7" t="s">
        <v>4249</v>
      </c>
      <c r="B2092" s="6" t="s">
        <v>4250</v>
      </c>
      <c r="C2092" s="7" t="s">
        <v>1047</v>
      </c>
      <c r="D2092" s="6" t="s">
        <v>1048</v>
      </c>
      <c r="E2092" s="6" t="s">
        <v>1434</v>
      </c>
      <c r="F2092" s="6" t="s">
        <v>17</v>
      </c>
      <c r="G2092" s="6" t="s">
        <v>4251</v>
      </c>
      <c r="H2092" s="6">
        <v>7.83</v>
      </c>
      <c r="I2092" s="6" t="str">
        <f>_xlfn.CONCAT("Art. złączny do produktu ",Tabela10[[#This Row],[KOD_PRODUKTU]])</f>
        <v>Art. złączny do produktu 904U88-203</v>
      </c>
      <c r="J2092" s="6" t="str">
        <f>_xlfn.CONCAT("VE-",Tabela10[[#This Row],[KOD_PRODUKTU]])</f>
        <v>VE-904U88-203</v>
      </c>
    </row>
    <row r="2093" spans="1:10" x14ac:dyDescent="0.25">
      <c r="A2093" s="1" t="s">
        <v>4249</v>
      </c>
      <c r="B2093" t="s">
        <v>4250</v>
      </c>
      <c r="C2093" s="1" t="s">
        <v>7</v>
      </c>
      <c r="D2093" t="s">
        <v>8</v>
      </c>
      <c r="E2093" t="s">
        <v>9</v>
      </c>
      <c r="F2093" t="s">
        <v>10</v>
      </c>
      <c r="G2093" t="s">
        <v>19</v>
      </c>
      <c r="H2093">
        <v>4.5999999999999996</v>
      </c>
      <c r="I2093" s="6" t="str">
        <f>_xlfn.CONCAT("Art. złączny do produktu ",Tabela10[[#This Row],[KOD_PRODUKTU]])</f>
        <v>Art. złączny do produktu 904U88-203</v>
      </c>
      <c r="J2093" s="6" t="str">
        <f>_xlfn.CONCAT("VE-",Tabela10[[#This Row],[KOD_PRODUKTU]])</f>
        <v>VE-904U88-203</v>
      </c>
    </row>
    <row r="2094" spans="1:10" x14ac:dyDescent="0.25">
      <c r="A2094" s="7" t="s">
        <v>4252</v>
      </c>
      <c r="B2094" s="6" t="s">
        <v>4253</v>
      </c>
      <c r="C2094" s="7" t="s">
        <v>1047</v>
      </c>
      <c r="D2094" s="6" t="s">
        <v>1048</v>
      </c>
      <c r="E2094" s="6" t="s">
        <v>1434</v>
      </c>
      <c r="F2094" s="6" t="s">
        <v>17</v>
      </c>
      <c r="G2094" s="6" t="s">
        <v>4254</v>
      </c>
      <c r="H2094" s="6">
        <v>5.58</v>
      </c>
      <c r="I2094" s="6" t="str">
        <f>_xlfn.CONCAT("Art. złączny do produktu ",Tabela10[[#This Row],[KOD_PRODUKTU]])</f>
        <v>Art. złączny do produktu 904U88-261</v>
      </c>
      <c r="J2094" s="6" t="str">
        <f>_xlfn.CONCAT("VE-",Tabela10[[#This Row],[KOD_PRODUKTU]])</f>
        <v>VE-904U88-261</v>
      </c>
    </row>
    <row r="2095" spans="1:10" x14ac:dyDescent="0.25">
      <c r="A2095" s="1" t="s">
        <v>4252</v>
      </c>
      <c r="B2095" t="s">
        <v>4253</v>
      </c>
      <c r="C2095" s="1" t="s">
        <v>7</v>
      </c>
      <c r="D2095" t="s">
        <v>8</v>
      </c>
      <c r="E2095" t="s">
        <v>9</v>
      </c>
      <c r="F2095" t="s">
        <v>10</v>
      </c>
      <c r="G2095" t="s">
        <v>19</v>
      </c>
      <c r="H2095">
        <v>4.5999999999999996</v>
      </c>
      <c r="I2095" s="6" t="str">
        <f>_xlfn.CONCAT("Art. złączny do produktu ",Tabela10[[#This Row],[KOD_PRODUKTU]])</f>
        <v>Art. złączny do produktu 904U88-261</v>
      </c>
      <c r="J2095" s="6" t="str">
        <f>_xlfn.CONCAT("VE-",Tabela10[[#This Row],[KOD_PRODUKTU]])</f>
        <v>VE-904U88-261</v>
      </c>
    </row>
    <row r="2096" spans="1:10" x14ac:dyDescent="0.25">
      <c r="A2096" s="7" t="s">
        <v>4255</v>
      </c>
      <c r="B2096" s="6" t="s">
        <v>4256</v>
      </c>
      <c r="C2096" s="7" t="s">
        <v>1041</v>
      </c>
      <c r="D2096" s="6" t="s">
        <v>1042</v>
      </c>
      <c r="E2096" s="6" t="s">
        <v>712</v>
      </c>
      <c r="F2096" s="6" t="s">
        <v>17</v>
      </c>
      <c r="G2096" s="6" t="s">
        <v>4257</v>
      </c>
      <c r="H2096" s="6">
        <v>2.65</v>
      </c>
      <c r="I2096" s="6" t="str">
        <f>_xlfn.CONCAT("Art. złączny do produktu ",Tabela10[[#This Row],[KOD_PRODUKTU]])</f>
        <v>Art. złączny do produktu 904U88-262</v>
      </c>
      <c r="J2096" s="6" t="str">
        <f>_xlfn.CONCAT("VE-",Tabela10[[#This Row],[KOD_PRODUKTU]])</f>
        <v>VE-904U88-262</v>
      </c>
    </row>
    <row r="2097" spans="1:10" x14ac:dyDescent="0.25">
      <c r="A2097" s="1" t="s">
        <v>4255</v>
      </c>
      <c r="B2097" t="s">
        <v>4256</v>
      </c>
      <c r="C2097" s="1" t="s">
        <v>432</v>
      </c>
      <c r="D2097" t="s">
        <v>433</v>
      </c>
      <c r="E2097" t="s">
        <v>434</v>
      </c>
      <c r="F2097" t="s">
        <v>435</v>
      </c>
      <c r="G2097" t="s">
        <v>92</v>
      </c>
      <c r="H2097">
        <v>2.2000000000000002</v>
      </c>
      <c r="I2097" s="6" t="str">
        <f>_xlfn.CONCAT("Art. złączny do produktu ",Tabela10[[#This Row],[KOD_PRODUKTU]])</f>
        <v>Art. złączny do produktu 904U88-262</v>
      </c>
      <c r="J2097" s="6" t="str">
        <f>_xlfn.CONCAT("VE-",Tabela10[[#This Row],[KOD_PRODUKTU]])</f>
        <v>VE-904U88-262</v>
      </c>
    </row>
    <row r="2098" spans="1:10" x14ac:dyDescent="0.25">
      <c r="A2098" s="7" t="s">
        <v>4255</v>
      </c>
      <c r="B2098" s="6" t="s">
        <v>4256</v>
      </c>
      <c r="C2098" s="7" t="s">
        <v>7</v>
      </c>
      <c r="D2098" s="6" t="s">
        <v>8</v>
      </c>
      <c r="E2098" s="6" t="s">
        <v>9</v>
      </c>
      <c r="F2098" s="6" t="s">
        <v>10</v>
      </c>
      <c r="G2098" s="6" t="s">
        <v>601</v>
      </c>
      <c r="H2098" s="6">
        <v>6.9</v>
      </c>
      <c r="I2098" s="6" t="str">
        <f>_xlfn.CONCAT("Art. złączny do produktu ",Tabela10[[#This Row],[KOD_PRODUKTU]])</f>
        <v>Art. złączny do produktu 904U88-262</v>
      </c>
      <c r="J2098" s="6" t="str">
        <f>_xlfn.CONCAT("VE-",Tabela10[[#This Row],[KOD_PRODUKTU]])</f>
        <v>VE-904U88-262</v>
      </c>
    </row>
    <row r="2099" spans="1:10" x14ac:dyDescent="0.25">
      <c r="A2099" s="1" t="s">
        <v>4258</v>
      </c>
      <c r="B2099" t="s">
        <v>4259</v>
      </c>
      <c r="C2099" s="1" t="s">
        <v>4260</v>
      </c>
      <c r="D2099" t="s">
        <v>4261</v>
      </c>
      <c r="E2099" t="s">
        <v>4262</v>
      </c>
      <c r="F2099" t="s">
        <v>121</v>
      </c>
      <c r="G2099" t="s">
        <v>25</v>
      </c>
      <c r="H2099">
        <v>4.5</v>
      </c>
      <c r="I2099" s="6" t="str">
        <f>_xlfn.CONCAT("Art. złączny do produktu ",Tabela10[[#This Row],[KOD_PRODUKTU]])</f>
        <v>Art. złączny do produktu 904U88-810</v>
      </c>
      <c r="J2099" s="6" t="str">
        <f>_xlfn.CONCAT("VE-",Tabela10[[#This Row],[KOD_PRODUKTU]])</f>
        <v>VE-904U88-810</v>
      </c>
    </row>
    <row r="2100" spans="1:10" x14ac:dyDescent="0.25">
      <c r="A2100" s="7" t="s">
        <v>4258</v>
      </c>
      <c r="B2100" s="6" t="s">
        <v>4259</v>
      </c>
      <c r="C2100" s="7" t="s">
        <v>4263</v>
      </c>
      <c r="D2100" s="6" t="s">
        <v>4264</v>
      </c>
      <c r="E2100" s="6" t="s">
        <v>1603</v>
      </c>
      <c r="F2100" s="6" t="s">
        <v>49</v>
      </c>
      <c r="G2100" s="6" t="s">
        <v>92</v>
      </c>
      <c r="H2100" s="6">
        <v>78</v>
      </c>
      <c r="I2100" s="6" t="str">
        <f>_xlfn.CONCAT("Art. złączny do produktu ",Tabela10[[#This Row],[KOD_PRODUKTU]])</f>
        <v>Art. złączny do produktu 904U88-810</v>
      </c>
      <c r="J2100" s="6" t="str">
        <f>_xlfn.CONCAT("VE-",Tabela10[[#This Row],[KOD_PRODUKTU]])</f>
        <v>VE-904U88-810</v>
      </c>
    </row>
    <row r="2101" spans="1:10" x14ac:dyDescent="0.25">
      <c r="A2101" s="1" t="s">
        <v>4258</v>
      </c>
      <c r="B2101" t="s">
        <v>4259</v>
      </c>
      <c r="C2101" s="1" t="s">
        <v>4265</v>
      </c>
      <c r="D2101" t="s">
        <v>4266</v>
      </c>
      <c r="E2101" t="s">
        <v>1904</v>
      </c>
      <c r="F2101" t="s">
        <v>49</v>
      </c>
      <c r="G2101" t="s">
        <v>50</v>
      </c>
      <c r="H2101">
        <v>27.3</v>
      </c>
      <c r="I2101" s="6" t="str">
        <f>_xlfn.CONCAT("Art. złączny do produktu ",Tabela10[[#This Row],[KOD_PRODUKTU]])</f>
        <v>Art. złączny do produktu 904U88-810</v>
      </c>
      <c r="J2101" s="6" t="str">
        <f>_xlfn.CONCAT("VE-",Tabela10[[#This Row],[KOD_PRODUKTU]])</f>
        <v>VE-904U88-810</v>
      </c>
    </row>
    <row r="2102" spans="1:10" x14ac:dyDescent="0.25">
      <c r="A2102" s="7" t="s">
        <v>4258</v>
      </c>
      <c r="B2102" s="6" t="s">
        <v>4259</v>
      </c>
      <c r="C2102" s="7" t="s">
        <v>4267</v>
      </c>
      <c r="D2102" s="6" t="s">
        <v>4268</v>
      </c>
      <c r="E2102" s="6" t="s">
        <v>311</v>
      </c>
      <c r="F2102" s="6" t="s">
        <v>49</v>
      </c>
      <c r="G2102" s="6" t="s">
        <v>50</v>
      </c>
      <c r="H2102" s="6">
        <v>13</v>
      </c>
      <c r="I2102" s="6" t="str">
        <f>_xlfn.CONCAT("Art. złączny do produktu ",Tabela10[[#This Row],[KOD_PRODUKTU]])</f>
        <v>Art. złączny do produktu 904U88-810</v>
      </c>
      <c r="J2102" s="6" t="str">
        <f>_xlfn.CONCAT("VE-",Tabela10[[#This Row],[KOD_PRODUKTU]])</f>
        <v>VE-904U88-810</v>
      </c>
    </row>
    <row r="2103" spans="1:10" x14ac:dyDescent="0.25">
      <c r="A2103" s="1" t="s">
        <v>4258</v>
      </c>
      <c r="B2103" t="s">
        <v>4259</v>
      </c>
      <c r="C2103" s="1" t="s">
        <v>4269</v>
      </c>
      <c r="D2103" t="s">
        <v>4270</v>
      </c>
      <c r="E2103" t="s">
        <v>4271</v>
      </c>
      <c r="F2103" t="s">
        <v>49</v>
      </c>
      <c r="G2103" t="s">
        <v>92</v>
      </c>
      <c r="H2103">
        <v>39.520000000000003</v>
      </c>
      <c r="I2103" s="6" t="str">
        <f>_xlfn.CONCAT("Art. złączny do produktu ",Tabela10[[#This Row],[KOD_PRODUKTU]])</f>
        <v>Art. złączny do produktu 904U88-810</v>
      </c>
      <c r="J2103" s="6" t="str">
        <f>_xlfn.CONCAT("VE-",Tabela10[[#This Row],[KOD_PRODUKTU]])</f>
        <v>VE-904U88-810</v>
      </c>
    </row>
    <row r="2104" spans="1:10" x14ac:dyDescent="0.25">
      <c r="A2104" s="7" t="s">
        <v>4258</v>
      </c>
      <c r="B2104" s="6" t="s">
        <v>4259</v>
      </c>
      <c r="C2104" s="7" t="s">
        <v>4272</v>
      </c>
      <c r="D2104" s="6" t="s">
        <v>4273</v>
      </c>
      <c r="E2104" s="6" t="s">
        <v>4274</v>
      </c>
      <c r="F2104" s="6" t="s">
        <v>49</v>
      </c>
      <c r="G2104" s="6" t="s">
        <v>92</v>
      </c>
      <c r="H2104" s="6">
        <v>22.88</v>
      </c>
      <c r="I2104" s="6" t="str">
        <f>_xlfn.CONCAT("Art. złączny do produktu ",Tabela10[[#This Row],[KOD_PRODUKTU]])</f>
        <v>Art. złączny do produktu 904U88-810</v>
      </c>
      <c r="J2104" s="6" t="str">
        <f>_xlfn.CONCAT("VE-",Tabela10[[#This Row],[KOD_PRODUKTU]])</f>
        <v>VE-904U88-810</v>
      </c>
    </row>
    <row r="2105" spans="1:10" x14ac:dyDescent="0.25">
      <c r="A2105" s="1" t="s">
        <v>4258</v>
      </c>
      <c r="B2105" t="s">
        <v>4259</v>
      </c>
      <c r="C2105" s="1" t="s">
        <v>4275</v>
      </c>
      <c r="D2105" t="s">
        <v>4276</v>
      </c>
      <c r="E2105" t="s">
        <v>4277</v>
      </c>
      <c r="F2105" t="s">
        <v>49</v>
      </c>
      <c r="G2105" t="s">
        <v>50</v>
      </c>
      <c r="H2105">
        <v>29.38</v>
      </c>
      <c r="I2105" s="6" t="str">
        <f>_xlfn.CONCAT("Art. złączny do produktu ",Tabela10[[#This Row],[KOD_PRODUKTU]])</f>
        <v>Art. złączny do produktu 904U88-810</v>
      </c>
      <c r="J2105" s="6" t="str">
        <f>_xlfn.CONCAT("VE-",Tabela10[[#This Row],[KOD_PRODUKTU]])</f>
        <v>VE-904U88-810</v>
      </c>
    </row>
    <row r="2106" spans="1:10" x14ac:dyDescent="0.25">
      <c r="A2106" s="7" t="s">
        <v>4258</v>
      </c>
      <c r="B2106" s="6" t="s">
        <v>4259</v>
      </c>
      <c r="C2106" s="7" t="s">
        <v>1989</v>
      </c>
      <c r="D2106" s="6" t="s">
        <v>1990</v>
      </c>
      <c r="E2106" s="6" t="s">
        <v>1991</v>
      </c>
      <c r="F2106" s="6" t="s">
        <v>435</v>
      </c>
      <c r="G2106" s="6" t="s">
        <v>4281</v>
      </c>
      <c r="H2106" s="6">
        <v>31.19</v>
      </c>
      <c r="I2106" s="6" t="str">
        <f>_xlfn.CONCAT("Art. złączny do produktu ",Tabela10[[#This Row],[KOD_PRODUKTU]])</f>
        <v>Art. złączny do produktu 904U88-810</v>
      </c>
      <c r="J2106" s="6" t="str">
        <f>_xlfn.CONCAT("VE-",Tabela10[[#This Row],[KOD_PRODUKTU]])</f>
        <v>VE-904U88-810</v>
      </c>
    </row>
    <row r="2107" spans="1:10" x14ac:dyDescent="0.25">
      <c r="A2107" s="1" t="s">
        <v>4258</v>
      </c>
      <c r="B2107" t="s">
        <v>4259</v>
      </c>
      <c r="C2107" s="1" t="s">
        <v>7</v>
      </c>
      <c r="D2107" t="s">
        <v>8</v>
      </c>
      <c r="E2107" t="s">
        <v>9</v>
      </c>
      <c r="F2107" t="s">
        <v>10</v>
      </c>
      <c r="G2107" t="s">
        <v>1563</v>
      </c>
      <c r="H2107">
        <v>43.7</v>
      </c>
      <c r="I2107" s="6" t="str">
        <f>_xlfn.CONCAT("Art. złączny do produktu ",Tabela10[[#This Row],[KOD_PRODUKTU]])</f>
        <v>Art. złączny do produktu 904U88-810</v>
      </c>
      <c r="J2107" s="6" t="str">
        <f>_xlfn.CONCAT("VE-",Tabela10[[#This Row],[KOD_PRODUKTU]])</f>
        <v>VE-904U88-810</v>
      </c>
    </row>
    <row r="2108" spans="1:10" x14ac:dyDescent="0.25">
      <c r="A2108" s="7" t="s">
        <v>4258</v>
      </c>
      <c r="B2108" s="6" t="s">
        <v>4259</v>
      </c>
      <c r="C2108" s="7" t="s">
        <v>7</v>
      </c>
      <c r="D2108" s="6" t="s">
        <v>8</v>
      </c>
      <c r="E2108" s="6" t="s">
        <v>9</v>
      </c>
      <c r="F2108" s="6" t="s">
        <v>10</v>
      </c>
      <c r="G2108" s="6" t="s">
        <v>4282</v>
      </c>
      <c r="H2108" s="6">
        <v>121.9</v>
      </c>
      <c r="I2108" s="6" t="str">
        <f>_xlfn.CONCAT("Art. złączny do produktu ",Tabela10[[#This Row],[KOD_PRODUKTU]])</f>
        <v>Art. złączny do produktu 904U88-810</v>
      </c>
      <c r="J2108" s="6" t="str">
        <f>_xlfn.CONCAT("VE-",Tabela10[[#This Row],[KOD_PRODUKTU]])</f>
        <v>VE-904U88-810</v>
      </c>
    </row>
    <row r="2109" spans="1:10" x14ac:dyDescent="0.25">
      <c r="A2109" s="1" t="s">
        <v>4258</v>
      </c>
      <c r="B2109" t="s">
        <v>4259</v>
      </c>
      <c r="C2109" s="1" t="s">
        <v>7</v>
      </c>
      <c r="D2109" t="s">
        <v>8</v>
      </c>
      <c r="E2109" t="s">
        <v>9</v>
      </c>
      <c r="F2109" t="s">
        <v>10</v>
      </c>
      <c r="G2109" t="s">
        <v>4283</v>
      </c>
      <c r="H2109">
        <v>39.1</v>
      </c>
      <c r="I2109" s="6" t="str">
        <f>_xlfn.CONCAT("Art. złączny do produktu ",Tabela10[[#This Row],[KOD_PRODUKTU]])</f>
        <v>Art. złączny do produktu 904U88-810</v>
      </c>
      <c r="J2109" s="6" t="str">
        <f>_xlfn.CONCAT("VE-",Tabela10[[#This Row],[KOD_PRODUKTU]])</f>
        <v>VE-904U88-810</v>
      </c>
    </row>
    <row r="2110" spans="1:10" x14ac:dyDescent="0.25">
      <c r="A2110" s="7" t="s">
        <v>4258</v>
      </c>
      <c r="B2110" s="6" t="s">
        <v>4259</v>
      </c>
      <c r="C2110" s="7" t="s">
        <v>7</v>
      </c>
      <c r="D2110" s="6" t="s">
        <v>8</v>
      </c>
      <c r="E2110" s="6" t="s">
        <v>9</v>
      </c>
      <c r="F2110" s="6" t="s">
        <v>10</v>
      </c>
      <c r="G2110" s="6" t="s">
        <v>992</v>
      </c>
      <c r="H2110" s="6">
        <v>13.8</v>
      </c>
      <c r="I2110" s="6" t="str">
        <f>_xlfn.CONCAT("Art. złączny do produktu ",Tabela10[[#This Row],[KOD_PRODUKTU]])</f>
        <v>Art. złączny do produktu 904U88-810</v>
      </c>
      <c r="J2110" s="6" t="str">
        <f>_xlfn.CONCAT("VE-",Tabela10[[#This Row],[KOD_PRODUKTU]])</f>
        <v>VE-904U88-810</v>
      </c>
    </row>
    <row r="2111" spans="1:10" x14ac:dyDescent="0.25">
      <c r="A2111" s="1" t="s">
        <v>4287</v>
      </c>
      <c r="B2111" t="s">
        <v>4288</v>
      </c>
      <c r="C2111" s="1" t="s">
        <v>4289</v>
      </c>
      <c r="D2111" t="s">
        <v>4290</v>
      </c>
      <c r="E2111" t="s">
        <v>3144</v>
      </c>
      <c r="F2111" t="s">
        <v>49</v>
      </c>
      <c r="G2111" t="s">
        <v>92</v>
      </c>
      <c r="H2111">
        <v>114.4</v>
      </c>
      <c r="I2111" s="6" t="str">
        <f>_xlfn.CONCAT("Art. złączny do produktu ",Tabela10[[#This Row],[KOD_PRODUKTU]])</f>
        <v>Art. złączny do produktu 904U88-825</v>
      </c>
      <c r="J2111" s="6" t="str">
        <f>_xlfn.CONCAT("VE-",Tabela10[[#This Row],[KOD_PRODUKTU]])</f>
        <v>VE-904U88-825</v>
      </c>
    </row>
    <row r="2112" spans="1:10" x14ac:dyDescent="0.25">
      <c r="A2112" s="7" t="s">
        <v>4287</v>
      </c>
      <c r="B2112" s="6" t="s">
        <v>4288</v>
      </c>
      <c r="C2112" s="7" t="s">
        <v>4291</v>
      </c>
      <c r="D2112" s="6" t="s">
        <v>4292</v>
      </c>
      <c r="E2112" s="6" t="s">
        <v>4293</v>
      </c>
      <c r="F2112" s="6" t="s">
        <v>49</v>
      </c>
      <c r="G2112" s="6" t="s">
        <v>312</v>
      </c>
      <c r="H2112" s="6">
        <v>176.8</v>
      </c>
      <c r="I2112" s="6" t="str">
        <f>_xlfn.CONCAT("Art. złączny do produktu ",Tabela10[[#This Row],[KOD_PRODUKTU]])</f>
        <v>Art. złączny do produktu 904U88-825</v>
      </c>
      <c r="J2112" s="6" t="str">
        <f>_xlfn.CONCAT("VE-",Tabela10[[#This Row],[KOD_PRODUKTU]])</f>
        <v>VE-904U88-825</v>
      </c>
    </row>
    <row r="2113" spans="1:10" x14ac:dyDescent="0.25">
      <c r="A2113" s="1" t="s">
        <v>4287</v>
      </c>
      <c r="B2113" t="s">
        <v>4288</v>
      </c>
      <c r="C2113" s="1" t="s">
        <v>857</v>
      </c>
      <c r="D2113" t="s">
        <v>858</v>
      </c>
      <c r="E2113" t="s">
        <v>686</v>
      </c>
      <c r="F2113" t="s">
        <v>49</v>
      </c>
      <c r="G2113" t="s">
        <v>4297</v>
      </c>
      <c r="H2113">
        <v>7.5</v>
      </c>
      <c r="I2113" s="6" t="str">
        <f>_xlfn.CONCAT("Art. złączny do produktu ",Tabela10[[#This Row],[KOD_PRODUKTU]])</f>
        <v>Art. złączny do produktu 904U88-825</v>
      </c>
      <c r="J2113" s="6" t="str">
        <f>_xlfn.CONCAT("VE-",Tabela10[[#This Row],[KOD_PRODUKTU]])</f>
        <v>VE-904U88-825</v>
      </c>
    </row>
    <row r="2114" spans="1:10" x14ac:dyDescent="0.25">
      <c r="A2114" s="7" t="s">
        <v>4287</v>
      </c>
      <c r="B2114" s="6" t="s">
        <v>4288</v>
      </c>
      <c r="C2114" s="7" t="s">
        <v>7</v>
      </c>
      <c r="D2114" s="6" t="s">
        <v>8</v>
      </c>
      <c r="E2114" s="6" t="s">
        <v>9</v>
      </c>
      <c r="F2114" s="6" t="s">
        <v>10</v>
      </c>
      <c r="G2114" s="6" t="s">
        <v>2330</v>
      </c>
      <c r="H2114" s="6">
        <v>25.3</v>
      </c>
      <c r="I2114" s="6" t="str">
        <f>_xlfn.CONCAT("Art. złączny do produktu ",Tabela10[[#This Row],[KOD_PRODUKTU]])</f>
        <v>Art. złączny do produktu 904U88-825</v>
      </c>
      <c r="J2114" s="6" t="str">
        <f>_xlfn.CONCAT("VE-",Tabela10[[#This Row],[KOD_PRODUKTU]])</f>
        <v>VE-904U88-825</v>
      </c>
    </row>
    <row r="2115" spans="1:10" x14ac:dyDescent="0.25">
      <c r="A2115" s="1" t="s">
        <v>4287</v>
      </c>
      <c r="B2115" t="s">
        <v>4288</v>
      </c>
      <c r="C2115" s="1" t="s">
        <v>7</v>
      </c>
      <c r="D2115" t="s">
        <v>8</v>
      </c>
      <c r="E2115" t="s">
        <v>9</v>
      </c>
      <c r="F2115" t="s">
        <v>10</v>
      </c>
      <c r="G2115" t="s">
        <v>3307</v>
      </c>
      <c r="H2115">
        <v>55.2</v>
      </c>
      <c r="I2115" s="6" t="str">
        <f>_xlfn.CONCAT("Art. złączny do produktu ",Tabela10[[#This Row],[KOD_PRODUKTU]])</f>
        <v>Art. złączny do produktu 904U88-825</v>
      </c>
      <c r="J2115" s="6" t="str">
        <f>_xlfn.CONCAT("VE-",Tabela10[[#This Row],[KOD_PRODUKTU]])</f>
        <v>VE-904U88-825</v>
      </c>
    </row>
    <row r="2116" spans="1:10" x14ac:dyDescent="0.25">
      <c r="A2116" s="7" t="s">
        <v>4299</v>
      </c>
      <c r="B2116" s="6" t="s">
        <v>4300</v>
      </c>
      <c r="C2116" s="7" t="s">
        <v>3007</v>
      </c>
      <c r="D2116" s="6" t="s">
        <v>3008</v>
      </c>
      <c r="E2116" s="6" t="s">
        <v>70</v>
      </c>
      <c r="F2116" s="6" t="s">
        <v>5</v>
      </c>
      <c r="G2116" s="6" t="s">
        <v>3031</v>
      </c>
      <c r="H2116" s="6">
        <v>1.7</v>
      </c>
      <c r="I2116" s="6" t="str">
        <f>_xlfn.CONCAT("Art. złączny do produktu ",Tabela10[[#This Row],[KOD_PRODUKTU]])</f>
        <v>Art. złączny do produktu 904U88-835</v>
      </c>
      <c r="J2116" s="6" t="str">
        <f>_xlfn.CONCAT("VE-",Tabela10[[#This Row],[KOD_PRODUKTU]])</f>
        <v>VE-904U88-835</v>
      </c>
    </row>
    <row r="2117" spans="1:10" x14ac:dyDescent="0.25">
      <c r="A2117" s="1" t="s">
        <v>4299</v>
      </c>
      <c r="B2117" t="s">
        <v>4300</v>
      </c>
      <c r="C2117" s="1" t="s">
        <v>7</v>
      </c>
      <c r="D2117" t="s">
        <v>8</v>
      </c>
      <c r="E2117" t="s">
        <v>9</v>
      </c>
      <c r="F2117" t="s">
        <v>10</v>
      </c>
      <c r="G2117" t="s">
        <v>1236</v>
      </c>
      <c r="H2117">
        <v>5.52</v>
      </c>
      <c r="I2117" s="6" t="str">
        <f>_xlfn.CONCAT("Art. złączny do produktu ",Tabela10[[#This Row],[KOD_PRODUKTU]])</f>
        <v>Art. złączny do produktu 904U88-835</v>
      </c>
      <c r="J2117" s="6" t="str">
        <f>_xlfn.CONCAT("VE-",Tabela10[[#This Row],[KOD_PRODUKTU]])</f>
        <v>VE-904U88-835</v>
      </c>
    </row>
    <row r="2118" spans="1:10" x14ac:dyDescent="0.25">
      <c r="A2118" s="7" t="s">
        <v>4301</v>
      </c>
      <c r="B2118" s="6" t="s">
        <v>4302</v>
      </c>
      <c r="C2118" s="7" t="s">
        <v>4303</v>
      </c>
      <c r="D2118" s="6" t="s">
        <v>4304</v>
      </c>
      <c r="E2118" s="6" t="s">
        <v>4305</v>
      </c>
      <c r="F2118" s="6" t="s">
        <v>49</v>
      </c>
      <c r="G2118" s="6" t="s">
        <v>50</v>
      </c>
      <c r="H2118" s="6">
        <v>15.86</v>
      </c>
      <c r="I2118" s="6" t="str">
        <f>_xlfn.CONCAT("Art. złączny do produktu ",Tabela10[[#This Row],[KOD_PRODUKTU]])</f>
        <v>Art. złączny do produktu 904U88-840</v>
      </c>
      <c r="J2118" s="6" t="str">
        <f>_xlfn.CONCAT("VE-",Tabela10[[#This Row],[KOD_PRODUKTU]])</f>
        <v>VE-904U88-840</v>
      </c>
    </row>
    <row r="2119" spans="1:10" x14ac:dyDescent="0.25">
      <c r="A2119" s="1" t="s">
        <v>4301</v>
      </c>
      <c r="B2119" t="s">
        <v>4302</v>
      </c>
      <c r="C2119" s="1" t="s">
        <v>432</v>
      </c>
      <c r="D2119" t="s">
        <v>433</v>
      </c>
      <c r="E2119" t="s">
        <v>434</v>
      </c>
      <c r="F2119" t="s">
        <v>435</v>
      </c>
      <c r="G2119" t="s">
        <v>50</v>
      </c>
      <c r="H2119">
        <v>1.1000000000000001</v>
      </c>
      <c r="I2119" s="6" t="str">
        <f>_xlfn.CONCAT("Art. złączny do produktu ",Tabela10[[#This Row],[KOD_PRODUKTU]])</f>
        <v>Art. złączny do produktu 904U88-840</v>
      </c>
      <c r="J2119" s="6" t="str">
        <f>_xlfn.CONCAT("VE-",Tabela10[[#This Row],[KOD_PRODUKTU]])</f>
        <v>VE-904U88-840</v>
      </c>
    </row>
    <row r="2120" spans="1:10" x14ac:dyDescent="0.25">
      <c r="A2120" s="7" t="s">
        <v>4301</v>
      </c>
      <c r="B2120" s="6" t="s">
        <v>4302</v>
      </c>
      <c r="C2120" s="7" t="s">
        <v>7</v>
      </c>
      <c r="D2120" s="6" t="s">
        <v>8</v>
      </c>
      <c r="E2120" s="6" t="s">
        <v>9</v>
      </c>
      <c r="F2120" s="6" t="s">
        <v>10</v>
      </c>
      <c r="G2120" s="6" t="s">
        <v>19</v>
      </c>
      <c r="H2120" s="6">
        <v>4.5999999999999996</v>
      </c>
      <c r="I2120" s="6" t="str">
        <f>_xlfn.CONCAT("Art. złączny do produktu ",Tabela10[[#This Row],[KOD_PRODUKTU]])</f>
        <v>Art. złączny do produktu 904U88-840</v>
      </c>
      <c r="J2120" s="6" t="str">
        <f>_xlfn.CONCAT("VE-",Tabela10[[#This Row],[KOD_PRODUKTU]])</f>
        <v>VE-904U88-840</v>
      </c>
    </row>
    <row r="2121" spans="1:10" x14ac:dyDescent="0.25">
      <c r="A2121" s="1" t="s">
        <v>4301</v>
      </c>
      <c r="B2121" t="s">
        <v>4302</v>
      </c>
      <c r="C2121" s="1" t="s">
        <v>7</v>
      </c>
      <c r="D2121" t="s">
        <v>8</v>
      </c>
      <c r="E2121" t="s">
        <v>9</v>
      </c>
      <c r="F2121" t="s">
        <v>10</v>
      </c>
      <c r="G2121" t="s">
        <v>447</v>
      </c>
      <c r="H2121">
        <v>0.92</v>
      </c>
      <c r="I2121" s="6" t="str">
        <f>_xlfn.CONCAT("Art. złączny do produktu ",Tabela10[[#This Row],[KOD_PRODUKTU]])</f>
        <v>Art. złączny do produktu 904U88-840</v>
      </c>
      <c r="J2121" s="6" t="str">
        <f>_xlfn.CONCAT("VE-",Tabela10[[#This Row],[KOD_PRODUKTU]])</f>
        <v>VE-904U88-840</v>
      </c>
    </row>
    <row r="2122" spans="1:10" x14ac:dyDescent="0.25">
      <c r="A2122" s="7" t="s">
        <v>4301</v>
      </c>
      <c r="B2122" s="6" t="s">
        <v>4302</v>
      </c>
      <c r="C2122" s="7" t="s">
        <v>7</v>
      </c>
      <c r="D2122" s="6" t="s">
        <v>8</v>
      </c>
      <c r="E2122" s="6" t="s">
        <v>9</v>
      </c>
      <c r="F2122" s="6" t="s">
        <v>10</v>
      </c>
      <c r="G2122" s="6" t="s">
        <v>367</v>
      </c>
      <c r="H2122" s="6">
        <v>2.2999999999999998</v>
      </c>
      <c r="I2122" s="6" t="str">
        <f>_xlfn.CONCAT("Art. złączny do produktu ",Tabela10[[#This Row],[KOD_PRODUKTU]])</f>
        <v>Art. złączny do produktu 904U88-840</v>
      </c>
      <c r="J2122" s="6" t="str">
        <f>_xlfn.CONCAT("VE-",Tabela10[[#This Row],[KOD_PRODUKTU]])</f>
        <v>VE-904U88-840</v>
      </c>
    </row>
    <row r="2123" spans="1:10" x14ac:dyDescent="0.25">
      <c r="A2123" s="1" t="s">
        <v>4310</v>
      </c>
      <c r="B2123" t="s">
        <v>4311</v>
      </c>
      <c r="C2123" s="1" t="s">
        <v>4312</v>
      </c>
      <c r="D2123" t="s">
        <v>4313</v>
      </c>
      <c r="E2123" t="s">
        <v>131</v>
      </c>
      <c r="F2123" t="s">
        <v>5</v>
      </c>
      <c r="G2123" t="s">
        <v>1254</v>
      </c>
      <c r="H2123">
        <v>4.97</v>
      </c>
      <c r="I2123" s="6" t="str">
        <f>_xlfn.CONCAT("Art. złączny do produktu ",Tabela10[[#This Row],[KOD_PRODUKTU]])</f>
        <v>Art. złączny do produktu 904U88-850</v>
      </c>
      <c r="J2123" s="6" t="str">
        <f>_xlfn.CONCAT("VE-",Tabela10[[#This Row],[KOD_PRODUKTU]])</f>
        <v>VE-904U88-850</v>
      </c>
    </row>
    <row r="2124" spans="1:10" x14ac:dyDescent="0.25">
      <c r="A2124" s="7" t="s">
        <v>4310</v>
      </c>
      <c r="B2124" s="6" t="s">
        <v>4311</v>
      </c>
      <c r="C2124" s="7" t="s">
        <v>432</v>
      </c>
      <c r="D2124" s="6" t="s">
        <v>433</v>
      </c>
      <c r="E2124" s="6" t="s">
        <v>434</v>
      </c>
      <c r="F2124" s="6" t="s">
        <v>435</v>
      </c>
      <c r="G2124" s="6" t="s">
        <v>50</v>
      </c>
      <c r="H2124" s="6">
        <v>1.1000000000000001</v>
      </c>
      <c r="I2124" s="6" t="str">
        <f>_xlfn.CONCAT("Art. złączny do produktu ",Tabela10[[#This Row],[KOD_PRODUKTU]])</f>
        <v>Art. złączny do produktu 904U88-850</v>
      </c>
      <c r="J2124" s="6" t="str">
        <f>_xlfn.CONCAT("VE-",Tabela10[[#This Row],[KOD_PRODUKTU]])</f>
        <v>VE-904U88-850</v>
      </c>
    </row>
    <row r="2125" spans="1:10" x14ac:dyDescent="0.25">
      <c r="A2125" s="1" t="s">
        <v>4310</v>
      </c>
      <c r="B2125" t="s">
        <v>4311</v>
      </c>
      <c r="C2125" s="1" t="s">
        <v>7</v>
      </c>
      <c r="D2125" t="s">
        <v>8</v>
      </c>
      <c r="E2125" t="s">
        <v>9</v>
      </c>
      <c r="F2125" t="s">
        <v>10</v>
      </c>
      <c r="G2125" t="s">
        <v>478</v>
      </c>
      <c r="H2125">
        <v>3.68</v>
      </c>
      <c r="I2125" s="6" t="str">
        <f>_xlfn.CONCAT("Art. złączny do produktu ",Tabela10[[#This Row],[KOD_PRODUKTU]])</f>
        <v>Art. złączny do produktu 904U88-850</v>
      </c>
      <c r="J2125" s="6" t="str">
        <f>_xlfn.CONCAT("VE-",Tabela10[[#This Row],[KOD_PRODUKTU]])</f>
        <v>VE-904U88-850</v>
      </c>
    </row>
    <row r="2126" spans="1:10" x14ac:dyDescent="0.25">
      <c r="A2126" s="7" t="s">
        <v>4314</v>
      </c>
      <c r="B2126" s="6" t="s">
        <v>4315</v>
      </c>
      <c r="C2126" s="7" t="s">
        <v>4316</v>
      </c>
      <c r="D2126" s="6" t="s">
        <v>4317</v>
      </c>
      <c r="E2126" s="6" t="s">
        <v>1394</v>
      </c>
      <c r="F2126" s="6" t="s">
        <v>5</v>
      </c>
      <c r="G2126" s="6" t="s">
        <v>3717</v>
      </c>
      <c r="H2126" s="6">
        <v>0.05</v>
      </c>
      <c r="I2126" s="6" t="str">
        <f>_xlfn.CONCAT("Art. złączny do produktu ",Tabela10[[#This Row],[KOD_PRODUKTU]])</f>
        <v>Art. złączny do produktu 904U88-900</v>
      </c>
      <c r="J2126" s="6" t="str">
        <f>_xlfn.CONCAT("VE-",Tabela10[[#This Row],[KOD_PRODUKTU]])</f>
        <v>VE-904U88-900</v>
      </c>
    </row>
    <row r="2127" spans="1:10" x14ac:dyDescent="0.25">
      <c r="A2127" s="1" t="s">
        <v>4314</v>
      </c>
      <c r="B2127" t="s">
        <v>4315</v>
      </c>
      <c r="C2127" s="1" t="s">
        <v>4318</v>
      </c>
      <c r="D2127" t="s">
        <v>4319</v>
      </c>
      <c r="E2127" t="s">
        <v>4320</v>
      </c>
      <c r="F2127" t="s">
        <v>49</v>
      </c>
      <c r="G2127" t="s">
        <v>50</v>
      </c>
      <c r="H2127">
        <v>1.24</v>
      </c>
      <c r="I2127" s="6" t="str">
        <f>_xlfn.CONCAT("Art. złączny do produktu ",Tabela10[[#This Row],[KOD_PRODUKTU]])</f>
        <v>Art. złączny do produktu 904U88-900</v>
      </c>
      <c r="J2127" s="6" t="str">
        <f>_xlfn.CONCAT("VE-",Tabela10[[#This Row],[KOD_PRODUKTU]])</f>
        <v>VE-904U88-900</v>
      </c>
    </row>
    <row r="2128" spans="1:10" x14ac:dyDescent="0.25">
      <c r="A2128" s="7" t="s">
        <v>4314</v>
      </c>
      <c r="B2128" s="6" t="s">
        <v>4315</v>
      </c>
      <c r="C2128" s="7" t="s">
        <v>7</v>
      </c>
      <c r="D2128" s="6" t="s">
        <v>8</v>
      </c>
      <c r="E2128" s="6" t="s">
        <v>9</v>
      </c>
      <c r="F2128" s="6" t="s">
        <v>10</v>
      </c>
      <c r="G2128" s="6" t="s">
        <v>367</v>
      </c>
      <c r="H2128" s="6">
        <v>2.2999999999999998</v>
      </c>
      <c r="I2128" s="6" t="str">
        <f>_xlfn.CONCAT("Art. złączny do produktu ",Tabela10[[#This Row],[KOD_PRODUKTU]])</f>
        <v>Art. złączny do produktu 904U88-900</v>
      </c>
      <c r="J2128" s="6" t="str">
        <f>_xlfn.CONCAT("VE-",Tabela10[[#This Row],[KOD_PRODUKTU]])</f>
        <v>VE-904U88-900</v>
      </c>
    </row>
    <row r="2129" spans="1:10" x14ac:dyDescent="0.25">
      <c r="A2129" s="1" t="s">
        <v>4314</v>
      </c>
      <c r="B2129" t="s">
        <v>4315</v>
      </c>
      <c r="C2129" s="1" t="s">
        <v>7</v>
      </c>
      <c r="D2129" t="s">
        <v>8</v>
      </c>
      <c r="E2129" t="s">
        <v>9</v>
      </c>
      <c r="F2129" t="s">
        <v>10</v>
      </c>
      <c r="G2129" t="s">
        <v>1254</v>
      </c>
      <c r="H2129">
        <v>16.100000000000001</v>
      </c>
      <c r="I2129" s="6" t="str">
        <f>_xlfn.CONCAT("Art. złączny do produktu ",Tabela10[[#This Row],[KOD_PRODUKTU]])</f>
        <v>Art. złączny do produktu 904U88-900</v>
      </c>
      <c r="J2129" s="6" t="str">
        <f>_xlfn.CONCAT("VE-",Tabela10[[#This Row],[KOD_PRODUKTU]])</f>
        <v>VE-904U88-900</v>
      </c>
    </row>
    <row r="2130" spans="1:10" x14ac:dyDescent="0.25">
      <c r="A2130" s="7" t="s">
        <v>4337</v>
      </c>
      <c r="B2130" s="6" t="s">
        <v>4338</v>
      </c>
      <c r="C2130" s="7" t="s">
        <v>1249</v>
      </c>
      <c r="D2130" s="6" t="s">
        <v>1250</v>
      </c>
      <c r="E2130" s="6" t="s">
        <v>1251</v>
      </c>
      <c r="F2130" s="6" t="s">
        <v>1252</v>
      </c>
      <c r="G2130" s="6" t="s">
        <v>4339</v>
      </c>
      <c r="H2130" s="6">
        <v>17.28</v>
      </c>
      <c r="I2130" s="6" t="str">
        <f>_xlfn.CONCAT("Art. złączny do produktu ",Tabela10[[#This Row],[KOD_PRODUKTU]])</f>
        <v>Art. złączny do produktu 904U89-221</v>
      </c>
      <c r="J2130" s="6" t="str">
        <f>_xlfn.CONCAT("VE-",Tabela10[[#This Row],[KOD_PRODUKTU]])</f>
        <v>VE-904U89-221</v>
      </c>
    </row>
    <row r="2131" spans="1:10" x14ac:dyDescent="0.25">
      <c r="A2131" s="1" t="s">
        <v>4337</v>
      </c>
      <c r="B2131" t="s">
        <v>4338</v>
      </c>
      <c r="C2131" s="1" t="s">
        <v>7</v>
      </c>
      <c r="D2131" t="s">
        <v>8</v>
      </c>
      <c r="E2131" t="s">
        <v>9</v>
      </c>
      <c r="F2131" t="s">
        <v>10</v>
      </c>
      <c r="G2131" t="s">
        <v>1254</v>
      </c>
      <c r="H2131">
        <v>16.100000000000001</v>
      </c>
      <c r="I2131" s="6" t="str">
        <f>_xlfn.CONCAT("Art. złączny do produktu ",Tabela10[[#This Row],[KOD_PRODUKTU]])</f>
        <v>Art. złączny do produktu 904U89-221</v>
      </c>
      <c r="J2131" s="6" t="str">
        <f>_xlfn.CONCAT("VE-",Tabela10[[#This Row],[KOD_PRODUKTU]])</f>
        <v>VE-904U89-221</v>
      </c>
    </row>
    <row r="2132" spans="1:10" x14ac:dyDescent="0.25">
      <c r="A2132" s="7" t="s">
        <v>4337</v>
      </c>
      <c r="B2132" s="6" t="s">
        <v>4338</v>
      </c>
      <c r="C2132" s="7" t="s">
        <v>7</v>
      </c>
      <c r="D2132" s="6" t="s">
        <v>8</v>
      </c>
      <c r="E2132" s="6" t="s">
        <v>9</v>
      </c>
      <c r="F2132" s="6" t="s">
        <v>10</v>
      </c>
      <c r="G2132" s="6" t="s">
        <v>601</v>
      </c>
      <c r="H2132" s="6">
        <v>6.9</v>
      </c>
      <c r="I2132" s="6" t="str">
        <f>_xlfn.CONCAT("Art. złączny do produktu ",Tabela10[[#This Row],[KOD_PRODUKTU]])</f>
        <v>Art. złączny do produktu 904U89-221</v>
      </c>
      <c r="J2132" s="6" t="str">
        <f>_xlfn.CONCAT("VE-",Tabela10[[#This Row],[KOD_PRODUKTU]])</f>
        <v>VE-904U89-221</v>
      </c>
    </row>
    <row r="2133" spans="1:10" x14ac:dyDescent="0.25">
      <c r="A2133" s="1" t="s">
        <v>4340</v>
      </c>
      <c r="B2133" t="s">
        <v>4341</v>
      </c>
      <c r="C2133" s="1" t="s">
        <v>4342</v>
      </c>
      <c r="D2133" t="s">
        <v>4343</v>
      </c>
      <c r="E2133" t="s">
        <v>70</v>
      </c>
      <c r="F2133" t="s">
        <v>5</v>
      </c>
      <c r="G2133" t="s">
        <v>4344</v>
      </c>
      <c r="H2133">
        <v>0.05</v>
      </c>
      <c r="I2133" s="6" t="str">
        <f>_xlfn.CONCAT("Art. złączny do produktu ",Tabela10[[#This Row],[KOD_PRODUKTU]])</f>
        <v>Art. złączny do produktu 904U91-210</v>
      </c>
      <c r="J2133" s="6" t="str">
        <f>_xlfn.CONCAT("VE-",Tabela10[[#This Row],[KOD_PRODUKTU]])</f>
        <v>VE-904U91-210</v>
      </c>
    </row>
    <row r="2134" spans="1:10" x14ac:dyDescent="0.25">
      <c r="A2134" s="7" t="s">
        <v>4340</v>
      </c>
      <c r="B2134" s="6" t="s">
        <v>4341</v>
      </c>
      <c r="C2134" s="7" t="s">
        <v>541</v>
      </c>
      <c r="D2134" s="6" t="s">
        <v>542</v>
      </c>
      <c r="E2134" s="6" t="s">
        <v>9</v>
      </c>
      <c r="F2134" s="6" t="s">
        <v>10</v>
      </c>
      <c r="G2134" s="6" t="s">
        <v>19</v>
      </c>
      <c r="H2134" s="6">
        <v>4.5999999999999996</v>
      </c>
      <c r="I2134" s="6" t="str">
        <f>_xlfn.CONCAT("Art. złączny do produktu ",Tabela10[[#This Row],[KOD_PRODUKTU]])</f>
        <v>Art. złączny do produktu 904U91-210</v>
      </c>
      <c r="J2134" s="6" t="str">
        <f>_xlfn.CONCAT("VE-",Tabela10[[#This Row],[KOD_PRODUKTU]])</f>
        <v>VE-904U91-210</v>
      </c>
    </row>
    <row r="2135" spans="1:10" x14ac:dyDescent="0.25">
      <c r="A2135" s="1" t="s">
        <v>4345</v>
      </c>
      <c r="B2135" t="s">
        <v>4346</v>
      </c>
      <c r="C2135" s="1" t="s">
        <v>1345</v>
      </c>
      <c r="D2135" t="s">
        <v>1346</v>
      </c>
      <c r="E2135" t="s">
        <v>1347</v>
      </c>
      <c r="F2135" t="s">
        <v>5</v>
      </c>
      <c r="G2135" t="s">
        <v>40</v>
      </c>
      <c r="H2135">
        <v>0.65</v>
      </c>
      <c r="I2135" s="6" t="str">
        <f>_xlfn.CONCAT("Art. złączny do produktu ",Tabela10[[#This Row],[KOD_PRODUKTU]])</f>
        <v>Art. złączny do produktu 904U91-400</v>
      </c>
      <c r="J2135" s="6" t="str">
        <f>_xlfn.CONCAT("VE-",Tabela10[[#This Row],[KOD_PRODUKTU]])</f>
        <v>VE-904U91-400</v>
      </c>
    </row>
    <row r="2136" spans="1:10" x14ac:dyDescent="0.25">
      <c r="A2136" s="7" t="s">
        <v>4345</v>
      </c>
      <c r="B2136" s="6" t="s">
        <v>4346</v>
      </c>
      <c r="C2136" s="7" t="s">
        <v>541</v>
      </c>
      <c r="D2136" s="6" t="s">
        <v>542</v>
      </c>
      <c r="E2136" s="6" t="s">
        <v>9</v>
      </c>
      <c r="F2136" s="6" t="s">
        <v>10</v>
      </c>
      <c r="G2136" s="6" t="s">
        <v>4347</v>
      </c>
      <c r="H2136" s="6">
        <v>3.37</v>
      </c>
      <c r="I2136" s="6" t="str">
        <f>_xlfn.CONCAT("Art. złączny do produktu ",Tabela10[[#This Row],[KOD_PRODUKTU]])</f>
        <v>Art. złączny do produktu 904U91-400</v>
      </c>
      <c r="J2136" s="6" t="str">
        <f>_xlfn.CONCAT("VE-",Tabela10[[#This Row],[KOD_PRODUKTU]])</f>
        <v>VE-904U91-400</v>
      </c>
    </row>
    <row r="2137" spans="1:10" x14ac:dyDescent="0.25">
      <c r="A2137" s="1" t="s">
        <v>4348</v>
      </c>
      <c r="B2137" t="s">
        <v>4349</v>
      </c>
      <c r="C2137" s="1" t="s">
        <v>2072</v>
      </c>
      <c r="D2137" t="s">
        <v>2073</v>
      </c>
      <c r="E2137" t="s">
        <v>1354</v>
      </c>
      <c r="F2137" t="s">
        <v>5</v>
      </c>
      <c r="G2137" t="s">
        <v>607</v>
      </c>
      <c r="H2137">
        <v>28.2</v>
      </c>
      <c r="I2137" s="6" t="str">
        <f>_xlfn.CONCAT("Art. złączny do produktu ",Tabela10[[#This Row],[KOD_PRODUKTU]])</f>
        <v>Art. złączny do produktu 904U92-100</v>
      </c>
      <c r="J2137" s="6" t="str">
        <f>_xlfn.CONCAT("VE-",Tabela10[[#This Row],[KOD_PRODUKTU]])</f>
        <v>VE-904U92-100</v>
      </c>
    </row>
    <row r="2138" spans="1:10" x14ac:dyDescent="0.25">
      <c r="A2138" s="7" t="s">
        <v>4348</v>
      </c>
      <c r="B2138" s="6" t="s">
        <v>4349</v>
      </c>
      <c r="C2138" s="7" t="s">
        <v>541</v>
      </c>
      <c r="D2138" s="6" t="s">
        <v>542</v>
      </c>
      <c r="E2138" s="6" t="s">
        <v>9</v>
      </c>
      <c r="F2138" s="6" t="s">
        <v>10</v>
      </c>
      <c r="G2138" s="6" t="s">
        <v>4350</v>
      </c>
      <c r="H2138" s="6">
        <v>8.0500000000000007</v>
      </c>
      <c r="I2138" s="6" t="str">
        <f>_xlfn.CONCAT("Art. złączny do produktu ",Tabela10[[#This Row],[KOD_PRODUKTU]])</f>
        <v>Art. złączny do produktu 904U92-100</v>
      </c>
      <c r="J2138" s="6" t="str">
        <f>_xlfn.CONCAT("VE-",Tabela10[[#This Row],[KOD_PRODUKTU]])</f>
        <v>VE-904U92-100</v>
      </c>
    </row>
    <row r="2139" spans="1:10" x14ac:dyDescent="0.25">
      <c r="A2139" s="1" t="s">
        <v>4351</v>
      </c>
      <c r="B2139" t="s">
        <v>4352</v>
      </c>
      <c r="C2139" s="1" t="s">
        <v>3255</v>
      </c>
      <c r="D2139" t="s">
        <v>3256</v>
      </c>
      <c r="E2139" t="s">
        <v>3756</v>
      </c>
      <c r="F2139" t="s">
        <v>5</v>
      </c>
      <c r="G2139" t="s">
        <v>1210</v>
      </c>
      <c r="H2139">
        <v>0.44</v>
      </c>
      <c r="I2139" s="6" t="str">
        <f>_xlfn.CONCAT("Art. złączny do produktu ",Tabela10[[#This Row],[KOD_PRODUKTU]])</f>
        <v>Art. złączny do produktu 904U92-212</v>
      </c>
      <c r="J2139" s="6" t="str">
        <f>_xlfn.CONCAT("VE-",Tabela10[[#This Row],[KOD_PRODUKTU]])</f>
        <v>VE-904U92-212</v>
      </c>
    </row>
    <row r="2140" spans="1:10" x14ac:dyDescent="0.25">
      <c r="A2140" s="7" t="s">
        <v>4351</v>
      </c>
      <c r="B2140" s="6" t="s">
        <v>4352</v>
      </c>
      <c r="C2140" s="7" t="s">
        <v>541</v>
      </c>
      <c r="D2140" s="6" t="s">
        <v>542</v>
      </c>
      <c r="E2140" s="6" t="s">
        <v>9</v>
      </c>
      <c r="F2140" s="6" t="s">
        <v>10</v>
      </c>
      <c r="G2140" s="6" t="s">
        <v>19</v>
      </c>
      <c r="H2140" s="6">
        <v>4.5999999999999996</v>
      </c>
      <c r="I2140" s="6" t="str">
        <f>_xlfn.CONCAT("Art. złączny do produktu ",Tabela10[[#This Row],[KOD_PRODUKTU]])</f>
        <v>Art. złączny do produktu 904U92-212</v>
      </c>
      <c r="J2140" s="6" t="str">
        <f>_xlfn.CONCAT("VE-",Tabela10[[#This Row],[KOD_PRODUKTU]])</f>
        <v>VE-904U92-212</v>
      </c>
    </row>
    <row r="2141" spans="1:10" x14ac:dyDescent="0.25">
      <c r="A2141" s="1" t="s">
        <v>4365</v>
      </c>
      <c r="B2141" t="s">
        <v>4366</v>
      </c>
      <c r="C2141" s="1" t="s">
        <v>4229</v>
      </c>
      <c r="D2141" t="s">
        <v>4230</v>
      </c>
      <c r="E2141" t="s">
        <v>4231</v>
      </c>
      <c r="F2141" t="s">
        <v>5</v>
      </c>
      <c r="G2141" t="s">
        <v>4367</v>
      </c>
      <c r="H2141">
        <v>12.75</v>
      </c>
      <c r="I2141" s="6" t="str">
        <f>_xlfn.CONCAT("Art. złączny do produktu ",Tabela10[[#This Row],[KOD_PRODUKTU]])</f>
        <v>Art. złączny do produktu 904W71-110</v>
      </c>
      <c r="J2141" s="6" t="str">
        <f>_xlfn.CONCAT("VE-",Tabela10[[#This Row],[KOD_PRODUKTU]])</f>
        <v>VE-904W71-110</v>
      </c>
    </row>
    <row r="2142" spans="1:10" x14ac:dyDescent="0.25">
      <c r="A2142" s="7" t="s">
        <v>4365</v>
      </c>
      <c r="B2142" s="6" t="s">
        <v>4366</v>
      </c>
      <c r="C2142" s="7" t="s">
        <v>857</v>
      </c>
      <c r="D2142" s="6" t="s">
        <v>858</v>
      </c>
      <c r="E2142" s="6" t="s">
        <v>686</v>
      </c>
      <c r="F2142" s="6" t="s">
        <v>49</v>
      </c>
      <c r="G2142" s="6" t="s">
        <v>4368</v>
      </c>
      <c r="H2142" s="6">
        <v>1.89</v>
      </c>
      <c r="I2142" s="6" t="str">
        <f>_xlfn.CONCAT("Art. złączny do produktu ",Tabela10[[#This Row],[KOD_PRODUKTU]])</f>
        <v>Art. złączny do produktu 904W71-110</v>
      </c>
      <c r="J2142" s="6" t="str">
        <f>_xlfn.CONCAT("VE-",Tabela10[[#This Row],[KOD_PRODUKTU]])</f>
        <v>VE-904W71-110</v>
      </c>
    </row>
    <row r="2143" spans="1:10" x14ac:dyDescent="0.25">
      <c r="A2143" s="1" t="s">
        <v>4365</v>
      </c>
      <c r="B2143" t="s">
        <v>4366</v>
      </c>
      <c r="C2143" s="1" t="s">
        <v>541</v>
      </c>
      <c r="D2143" t="s">
        <v>542</v>
      </c>
      <c r="E2143" t="s">
        <v>9</v>
      </c>
      <c r="F2143" t="s">
        <v>10</v>
      </c>
      <c r="G2143" t="s">
        <v>3427</v>
      </c>
      <c r="H2143">
        <v>9.66</v>
      </c>
      <c r="I2143" s="6" t="str">
        <f>_xlfn.CONCAT("Art. złączny do produktu ",Tabela10[[#This Row],[KOD_PRODUKTU]])</f>
        <v>Art. złączny do produktu 904W71-110</v>
      </c>
      <c r="J2143" s="6" t="str">
        <f>_xlfn.CONCAT("VE-",Tabela10[[#This Row],[KOD_PRODUKTU]])</f>
        <v>VE-904W71-110</v>
      </c>
    </row>
    <row r="2144" spans="1:10" x14ac:dyDescent="0.25">
      <c r="A2144" s="7" t="s">
        <v>4365</v>
      </c>
      <c r="B2144" s="6" t="s">
        <v>4366</v>
      </c>
      <c r="C2144" s="7" t="s">
        <v>541</v>
      </c>
      <c r="D2144" s="6" t="s">
        <v>542</v>
      </c>
      <c r="E2144" s="6" t="s">
        <v>9</v>
      </c>
      <c r="F2144" s="6" t="s">
        <v>10</v>
      </c>
      <c r="G2144" s="6" t="s">
        <v>2890</v>
      </c>
      <c r="H2144" s="6">
        <v>2.42</v>
      </c>
      <c r="I2144" s="6" t="str">
        <f>_xlfn.CONCAT("Art. złączny do produktu ",Tabela10[[#This Row],[KOD_PRODUKTU]])</f>
        <v>Art. złączny do produktu 904W71-110</v>
      </c>
      <c r="J2144" s="6" t="str">
        <f>_xlfn.CONCAT("VE-",Tabela10[[#This Row],[KOD_PRODUKTU]])</f>
        <v>VE-904W71-110</v>
      </c>
    </row>
    <row r="2145" spans="1:10" x14ac:dyDescent="0.25">
      <c r="A2145" s="1" t="s">
        <v>4365</v>
      </c>
      <c r="B2145" t="s">
        <v>4366</v>
      </c>
      <c r="C2145" s="1" t="s">
        <v>541</v>
      </c>
      <c r="D2145" t="s">
        <v>542</v>
      </c>
      <c r="E2145" t="s">
        <v>9</v>
      </c>
      <c r="F2145" t="s">
        <v>10</v>
      </c>
      <c r="G2145" t="s">
        <v>4369</v>
      </c>
      <c r="H2145">
        <v>41.07</v>
      </c>
      <c r="I2145" s="6" t="str">
        <f>_xlfn.CONCAT("Art. złączny do produktu ",Tabela10[[#This Row],[KOD_PRODUKTU]])</f>
        <v>Art. złączny do produktu 904W71-110</v>
      </c>
      <c r="J2145" s="6" t="str">
        <f>_xlfn.CONCAT("VE-",Tabela10[[#This Row],[KOD_PRODUKTU]])</f>
        <v>VE-904W71-110</v>
      </c>
    </row>
    <row r="2146" spans="1:10" x14ac:dyDescent="0.25">
      <c r="A2146" s="7" t="s">
        <v>4365</v>
      </c>
      <c r="B2146" s="6" t="s">
        <v>4366</v>
      </c>
      <c r="C2146" s="7" t="s">
        <v>541</v>
      </c>
      <c r="D2146" s="6" t="s">
        <v>542</v>
      </c>
      <c r="E2146" s="6" t="s">
        <v>9</v>
      </c>
      <c r="F2146" s="6" t="s">
        <v>10</v>
      </c>
      <c r="G2146" s="6" t="s">
        <v>3427</v>
      </c>
      <c r="H2146" s="6">
        <v>9.66</v>
      </c>
      <c r="I2146" s="6" t="str">
        <f>_xlfn.CONCAT("Art. złączny do produktu ",Tabela10[[#This Row],[KOD_PRODUKTU]])</f>
        <v>Art. złączny do produktu 904W71-110</v>
      </c>
      <c r="J2146" s="6" t="str">
        <f>_xlfn.CONCAT("VE-",Tabela10[[#This Row],[KOD_PRODUKTU]])</f>
        <v>VE-904W71-110</v>
      </c>
    </row>
    <row r="2147" spans="1:10" x14ac:dyDescent="0.25">
      <c r="A2147" s="1" t="s">
        <v>4365</v>
      </c>
      <c r="B2147" t="s">
        <v>4366</v>
      </c>
      <c r="C2147" s="1" t="s">
        <v>7</v>
      </c>
      <c r="D2147" t="s">
        <v>8</v>
      </c>
      <c r="E2147" t="s">
        <v>9</v>
      </c>
      <c r="F2147" t="s">
        <v>10</v>
      </c>
      <c r="G2147" t="s">
        <v>4370</v>
      </c>
      <c r="H2147">
        <v>57.96</v>
      </c>
      <c r="I2147" s="6" t="str">
        <f>_xlfn.CONCAT("Art. złączny do produktu ",Tabela10[[#This Row],[KOD_PRODUKTU]])</f>
        <v>Art. złączny do produktu 904W71-110</v>
      </c>
      <c r="J2147" s="6" t="str">
        <f>_xlfn.CONCAT("VE-",Tabela10[[#This Row],[KOD_PRODUKTU]])</f>
        <v>VE-904W71-110</v>
      </c>
    </row>
    <row r="2148" spans="1:10" x14ac:dyDescent="0.25">
      <c r="A2148" s="7" t="s">
        <v>4371</v>
      </c>
      <c r="B2148" s="6" t="s">
        <v>4372</v>
      </c>
      <c r="C2148" s="7" t="s">
        <v>36</v>
      </c>
      <c r="D2148" s="6" t="s">
        <v>37</v>
      </c>
      <c r="E2148" s="6" t="s">
        <v>38</v>
      </c>
      <c r="F2148" s="6" t="s">
        <v>39</v>
      </c>
      <c r="G2148" s="6" t="s">
        <v>40</v>
      </c>
      <c r="H2148" s="6">
        <v>0.19</v>
      </c>
      <c r="I2148" s="6" t="str">
        <f>_xlfn.CONCAT("Art. złączny do produktu ",Tabela10[[#This Row],[KOD_PRODUKTU]])</f>
        <v>Art. złączny do produktu 905O16-100</v>
      </c>
      <c r="J2148" s="6" t="str">
        <f>_xlfn.CONCAT("VE-",Tabela10[[#This Row],[KOD_PRODUKTU]])</f>
        <v>VE-905O16-100</v>
      </c>
    </row>
    <row r="2149" spans="1:10" x14ac:dyDescent="0.25">
      <c r="A2149" s="1" t="s">
        <v>4371</v>
      </c>
      <c r="B2149" t="s">
        <v>4372</v>
      </c>
      <c r="C2149" s="1" t="s">
        <v>41</v>
      </c>
      <c r="D2149" t="s">
        <v>42</v>
      </c>
      <c r="E2149" t="s">
        <v>43</v>
      </c>
      <c r="F2149" t="s">
        <v>5</v>
      </c>
      <c r="G2149" t="s">
        <v>227</v>
      </c>
      <c r="H2149">
        <v>0.01</v>
      </c>
      <c r="I2149" s="6" t="str">
        <f>_xlfn.CONCAT("Art. złączny do produktu ",Tabela10[[#This Row],[KOD_PRODUKTU]])</f>
        <v>Art. złączny do produktu 905O16-100</v>
      </c>
      <c r="J2149" s="6" t="str">
        <f>_xlfn.CONCAT("VE-",Tabela10[[#This Row],[KOD_PRODUKTU]])</f>
        <v>VE-905O16-100</v>
      </c>
    </row>
    <row r="2150" spans="1:10" x14ac:dyDescent="0.25">
      <c r="A2150" s="7" t="s">
        <v>4371</v>
      </c>
      <c r="B2150" s="6" t="s">
        <v>4372</v>
      </c>
      <c r="C2150" s="7" t="s">
        <v>7</v>
      </c>
      <c r="D2150" s="6" t="s">
        <v>8</v>
      </c>
      <c r="E2150" s="6" t="s">
        <v>9</v>
      </c>
      <c r="F2150" s="6" t="s">
        <v>10</v>
      </c>
      <c r="G2150" s="6" t="s">
        <v>245</v>
      </c>
      <c r="H2150" s="6">
        <v>4</v>
      </c>
      <c r="I2150" s="6" t="str">
        <f>_xlfn.CONCAT("Art. złączny do produktu ",Tabela10[[#This Row],[KOD_PRODUKTU]])</f>
        <v>Art. złączny do produktu 905O16-100</v>
      </c>
      <c r="J2150" s="6" t="str">
        <f>_xlfn.CONCAT("VE-",Tabela10[[#This Row],[KOD_PRODUKTU]])</f>
        <v>VE-905O16-100</v>
      </c>
    </row>
    <row r="2151" spans="1:10" x14ac:dyDescent="0.25">
      <c r="A2151" s="1" t="s">
        <v>4373</v>
      </c>
      <c r="B2151" t="s">
        <v>4374</v>
      </c>
      <c r="C2151" s="1" t="s">
        <v>4375</v>
      </c>
      <c r="D2151" t="s">
        <v>4376</v>
      </c>
      <c r="E2151" t="s">
        <v>1017</v>
      </c>
      <c r="F2151" t="s">
        <v>5</v>
      </c>
      <c r="G2151" t="s">
        <v>4377</v>
      </c>
      <c r="H2151">
        <v>24</v>
      </c>
      <c r="I2151" s="6" t="str">
        <f>_xlfn.CONCAT("Art. złączny do produktu ",Tabela10[[#This Row],[KOD_PRODUKTU]])</f>
        <v>Art. złączny do produktu 905U01-120</v>
      </c>
      <c r="J2151" s="6" t="str">
        <f>_xlfn.CONCAT("VE-",Tabela10[[#This Row],[KOD_PRODUKTU]])</f>
        <v>VE-905U01-120</v>
      </c>
    </row>
    <row r="2152" spans="1:10" x14ac:dyDescent="0.25">
      <c r="A2152" s="7" t="s">
        <v>4373</v>
      </c>
      <c r="B2152" s="6" t="s">
        <v>4374</v>
      </c>
      <c r="C2152" s="7" t="s">
        <v>7</v>
      </c>
      <c r="D2152" s="6" t="s">
        <v>8</v>
      </c>
      <c r="E2152" s="6" t="s">
        <v>9</v>
      </c>
      <c r="F2152" s="6" t="s">
        <v>10</v>
      </c>
      <c r="G2152" s="6" t="s">
        <v>4378</v>
      </c>
      <c r="H2152" s="6">
        <v>27.13</v>
      </c>
      <c r="I2152" s="6" t="str">
        <f>_xlfn.CONCAT("Art. złączny do produktu ",Tabela10[[#This Row],[KOD_PRODUKTU]])</f>
        <v>Art. złączny do produktu 905U01-120</v>
      </c>
      <c r="J2152" s="6" t="str">
        <f>_xlfn.CONCAT("VE-",Tabela10[[#This Row],[KOD_PRODUKTU]])</f>
        <v>VE-905U01-120</v>
      </c>
    </row>
    <row r="2153" spans="1:10" x14ac:dyDescent="0.25">
      <c r="A2153" s="1" t="s">
        <v>4379</v>
      </c>
      <c r="B2153" t="s">
        <v>4380</v>
      </c>
      <c r="C2153" s="1" t="s">
        <v>2774</v>
      </c>
      <c r="D2153" t="s">
        <v>2775</v>
      </c>
      <c r="E2153" t="s">
        <v>2776</v>
      </c>
      <c r="F2153" t="s">
        <v>5</v>
      </c>
      <c r="G2153" t="s">
        <v>4381</v>
      </c>
      <c r="H2153">
        <v>0.94</v>
      </c>
      <c r="I2153" s="6" t="str">
        <f>_xlfn.CONCAT("Art. złączny do produktu ",Tabela10[[#This Row],[KOD_PRODUKTU]])</f>
        <v>Art. złączny do produktu 905U01-600</v>
      </c>
      <c r="J2153" s="6" t="str">
        <f>_xlfn.CONCAT("VE-",Tabela10[[#This Row],[KOD_PRODUKTU]])</f>
        <v>VE-905U01-600</v>
      </c>
    </row>
    <row r="2154" spans="1:10" x14ac:dyDescent="0.25">
      <c r="A2154" s="7" t="s">
        <v>4379</v>
      </c>
      <c r="B2154" s="6" t="s">
        <v>4380</v>
      </c>
      <c r="C2154" s="7" t="s">
        <v>4382</v>
      </c>
      <c r="D2154" s="6" t="s">
        <v>4383</v>
      </c>
      <c r="E2154" s="6" t="s">
        <v>1768</v>
      </c>
      <c r="F2154" s="6" t="s">
        <v>49</v>
      </c>
      <c r="G2154" s="6" t="s">
        <v>92</v>
      </c>
      <c r="H2154" s="6">
        <v>0</v>
      </c>
      <c r="I2154" s="6" t="str">
        <f>_xlfn.CONCAT("Art. złączny do produktu ",Tabela10[[#This Row],[KOD_PRODUKTU]])</f>
        <v>Art. złączny do produktu 905U01-600</v>
      </c>
      <c r="J2154" s="6" t="str">
        <f>_xlfn.CONCAT("VE-",Tabela10[[#This Row],[KOD_PRODUKTU]])</f>
        <v>VE-905U01-600</v>
      </c>
    </row>
    <row r="2155" spans="1:10" x14ac:dyDescent="0.25">
      <c r="A2155" s="1" t="s">
        <v>4379</v>
      </c>
      <c r="B2155" t="s">
        <v>4380</v>
      </c>
      <c r="C2155" s="1" t="s">
        <v>41</v>
      </c>
      <c r="D2155" t="s">
        <v>42</v>
      </c>
      <c r="E2155" t="s">
        <v>513</v>
      </c>
      <c r="F2155" t="s">
        <v>5</v>
      </c>
      <c r="G2155" t="s">
        <v>2245</v>
      </c>
      <c r="H2155">
        <v>0.04</v>
      </c>
      <c r="I2155" s="6" t="str">
        <f>_xlfn.CONCAT("Art. złączny do produktu ",Tabela10[[#This Row],[KOD_PRODUKTU]])</f>
        <v>Art. złączny do produktu 905U01-600</v>
      </c>
      <c r="J2155" s="6" t="str">
        <f>_xlfn.CONCAT("VE-",Tabela10[[#This Row],[KOD_PRODUKTU]])</f>
        <v>VE-905U01-600</v>
      </c>
    </row>
    <row r="2156" spans="1:10" x14ac:dyDescent="0.25">
      <c r="A2156" s="7" t="s">
        <v>4379</v>
      </c>
      <c r="B2156" s="6" t="s">
        <v>4380</v>
      </c>
      <c r="C2156" s="7" t="s">
        <v>2577</v>
      </c>
      <c r="D2156" s="6" t="s">
        <v>2578</v>
      </c>
      <c r="E2156" s="6" t="s">
        <v>686</v>
      </c>
      <c r="F2156" s="6" t="s">
        <v>49</v>
      </c>
      <c r="G2156" s="6" t="s">
        <v>4392</v>
      </c>
      <c r="H2156" s="6">
        <v>14</v>
      </c>
      <c r="I2156" s="6" t="str">
        <f>_xlfn.CONCAT("Art. złączny do produktu ",Tabela10[[#This Row],[KOD_PRODUKTU]])</f>
        <v>Art. złączny do produktu 905U01-600</v>
      </c>
      <c r="J2156" s="6" t="str">
        <f>_xlfn.CONCAT("VE-",Tabela10[[#This Row],[KOD_PRODUKTU]])</f>
        <v>VE-905U01-600</v>
      </c>
    </row>
    <row r="2157" spans="1:10" x14ac:dyDescent="0.25">
      <c r="A2157" s="1" t="s">
        <v>4379</v>
      </c>
      <c r="B2157" t="s">
        <v>4380</v>
      </c>
      <c r="C2157" s="1" t="s">
        <v>541</v>
      </c>
      <c r="D2157" t="s">
        <v>542</v>
      </c>
      <c r="E2157" t="s">
        <v>9</v>
      </c>
      <c r="F2157" t="s">
        <v>10</v>
      </c>
      <c r="G2157" t="s">
        <v>3680</v>
      </c>
      <c r="H2157">
        <v>3.48</v>
      </c>
      <c r="I2157" s="6" t="str">
        <f>_xlfn.CONCAT("Art. złączny do produktu ",Tabela10[[#This Row],[KOD_PRODUKTU]])</f>
        <v>Art. złączny do produktu 905U01-600</v>
      </c>
      <c r="J2157" s="6" t="str">
        <f>_xlfn.CONCAT("VE-",Tabela10[[#This Row],[KOD_PRODUKTU]])</f>
        <v>VE-905U01-600</v>
      </c>
    </row>
    <row r="2158" spans="1:10" x14ac:dyDescent="0.25">
      <c r="A2158" s="7" t="s">
        <v>4396</v>
      </c>
      <c r="B2158" s="6" t="s">
        <v>4397</v>
      </c>
      <c r="C2158" s="7" t="s">
        <v>4398</v>
      </c>
      <c r="D2158" s="6" t="s">
        <v>4399</v>
      </c>
      <c r="E2158" s="6" t="s">
        <v>1768</v>
      </c>
      <c r="F2158" s="6" t="s">
        <v>17</v>
      </c>
      <c r="G2158" s="6" t="s">
        <v>19</v>
      </c>
      <c r="H2158" s="6">
        <v>0</v>
      </c>
      <c r="I2158" s="6" t="str">
        <f>_xlfn.CONCAT("Art. złączny do produktu ",Tabela10[[#This Row],[KOD_PRODUKTU]])</f>
        <v>Art. złączny do produktu 905U01-700</v>
      </c>
      <c r="J2158" s="6" t="str">
        <f>_xlfn.CONCAT("VE-",Tabela10[[#This Row],[KOD_PRODUKTU]])</f>
        <v>VE-905U01-700</v>
      </c>
    </row>
    <row r="2159" spans="1:10" x14ac:dyDescent="0.25">
      <c r="A2159" s="1" t="s">
        <v>4396</v>
      </c>
      <c r="B2159" t="s">
        <v>4397</v>
      </c>
      <c r="C2159" s="1" t="s">
        <v>2577</v>
      </c>
      <c r="D2159" t="s">
        <v>2578</v>
      </c>
      <c r="E2159" t="s">
        <v>686</v>
      </c>
      <c r="F2159" t="s">
        <v>49</v>
      </c>
      <c r="G2159" t="s">
        <v>4408</v>
      </c>
      <c r="H2159">
        <v>8.35</v>
      </c>
      <c r="I2159" s="6" t="str">
        <f>_xlfn.CONCAT("Art. złączny do produktu ",Tabela10[[#This Row],[KOD_PRODUKTU]])</f>
        <v>Art. złączny do produktu 905U01-700</v>
      </c>
      <c r="J2159" s="6" t="str">
        <f>_xlfn.CONCAT("VE-",Tabela10[[#This Row],[KOD_PRODUKTU]])</f>
        <v>VE-905U01-700</v>
      </c>
    </row>
    <row r="2160" spans="1:10" x14ac:dyDescent="0.25">
      <c r="A2160" s="7" t="s">
        <v>4396</v>
      </c>
      <c r="B2160" s="6" t="s">
        <v>4397</v>
      </c>
      <c r="C2160" s="7" t="s">
        <v>541</v>
      </c>
      <c r="D2160" s="6" t="s">
        <v>542</v>
      </c>
      <c r="E2160" s="6" t="s">
        <v>9</v>
      </c>
      <c r="F2160" s="6" t="s">
        <v>10</v>
      </c>
      <c r="G2160" s="6" t="s">
        <v>4409</v>
      </c>
      <c r="H2160" s="6">
        <v>11.3</v>
      </c>
      <c r="I2160" s="6" t="str">
        <f>_xlfn.CONCAT("Art. złączny do produktu ",Tabela10[[#This Row],[KOD_PRODUKTU]])</f>
        <v>Art. złączny do produktu 905U01-700</v>
      </c>
      <c r="J2160" s="6" t="str">
        <f>_xlfn.CONCAT("VE-",Tabela10[[#This Row],[KOD_PRODUKTU]])</f>
        <v>VE-905U01-700</v>
      </c>
    </row>
    <row r="2161" spans="1:10" x14ac:dyDescent="0.25">
      <c r="A2161" s="1" t="s">
        <v>4426</v>
      </c>
      <c r="B2161" t="s">
        <v>4427</v>
      </c>
      <c r="C2161" s="1" t="s">
        <v>1547</v>
      </c>
      <c r="D2161" t="s">
        <v>1548</v>
      </c>
      <c r="E2161" t="s">
        <v>216</v>
      </c>
      <c r="F2161" t="s">
        <v>5</v>
      </c>
      <c r="G2161" t="s">
        <v>3642</v>
      </c>
      <c r="H2161">
        <v>4.9000000000000004</v>
      </c>
      <c r="I2161" s="6" t="str">
        <f>_xlfn.CONCAT("Art. złączny do produktu ",Tabela10[[#This Row],[KOD_PRODUKTU]])</f>
        <v>Art. złączny do produktu 905U02-751</v>
      </c>
      <c r="J2161" s="6" t="str">
        <f>_xlfn.CONCAT("VE-",Tabela10[[#This Row],[KOD_PRODUKTU]])</f>
        <v>VE-905U02-751</v>
      </c>
    </row>
    <row r="2162" spans="1:10" x14ac:dyDescent="0.25">
      <c r="A2162" s="7" t="s">
        <v>4426</v>
      </c>
      <c r="B2162" s="6" t="s">
        <v>4427</v>
      </c>
      <c r="C2162" s="7" t="s">
        <v>7</v>
      </c>
      <c r="D2162" s="6" t="s">
        <v>8</v>
      </c>
      <c r="E2162" s="6" t="s">
        <v>9</v>
      </c>
      <c r="F2162" s="6" t="s">
        <v>10</v>
      </c>
      <c r="G2162" s="6" t="s">
        <v>594</v>
      </c>
      <c r="H2162" s="6">
        <v>11.5</v>
      </c>
      <c r="I2162" s="6" t="str">
        <f>_xlfn.CONCAT("Art. złączny do produktu ",Tabela10[[#This Row],[KOD_PRODUKTU]])</f>
        <v>Art. złączny do produktu 905U02-751</v>
      </c>
      <c r="J2162" s="6" t="str">
        <f>_xlfn.CONCAT("VE-",Tabela10[[#This Row],[KOD_PRODUKTU]])</f>
        <v>VE-905U02-751</v>
      </c>
    </row>
    <row r="2163" spans="1:10" x14ac:dyDescent="0.25">
      <c r="A2163" s="1" t="s">
        <v>4428</v>
      </c>
      <c r="B2163" t="s">
        <v>4429</v>
      </c>
      <c r="C2163" s="1" t="s">
        <v>2961</v>
      </c>
      <c r="D2163" t="s">
        <v>2962</v>
      </c>
      <c r="E2163" t="s">
        <v>4430</v>
      </c>
      <c r="F2163" t="s">
        <v>5</v>
      </c>
      <c r="G2163" t="s">
        <v>4431</v>
      </c>
      <c r="H2163">
        <v>1.03</v>
      </c>
      <c r="I2163" s="6" t="str">
        <f>_xlfn.CONCAT("Art. złączny do produktu ",Tabela10[[#This Row],[KOD_PRODUKTU]])</f>
        <v>Art. złączny do produktu 905U02-810</v>
      </c>
      <c r="J2163" s="6" t="str">
        <f>_xlfn.CONCAT("VE-",Tabela10[[#This Row],[KOD_PRODUKTU]])</f>
        <v>VE-905U02-810</v>
      </c>
    </row>
    <row r="2164" spans="1:10" x14ac:dyDescent="0.25">
      <c r="A2164" s="7" t="s">
        <v>4428</v>
      </c>
      <c r="B2164" s="6" t="s">
        <v>4429</v>
      </c>
      <c r="C2164" s="7" t="s">
        <v>541</v>
      </c>
      <c r="D2164" s="6" t="s">
        <v>542</v>
      </c>
      <c r="E2164" s="6" t="s">
        <v>811</v>
      </c>
      <c r="F2164" s="6" t="s">
        <v>10</v>
      </c>
      <c r="G2164" s="6" t="s">
        <v>4432</v>
      </c>
      <c r="H2164" s="6">
        <v>12.57</v>
      </c>
      <c r="I2164" s="6" t="str">
        <f>_xlfn.CONCAT("Art. złączny do produktu ",Tabela10[[#This Row],[KOD_PRODUKTU]])</f>
        <v>Art. złączny do produktu 905U02-810</v>
      </c>
      <c r="J2164" s="6" t="str">
        <f>_xlfn.CONCAT("VE-",Tabela10[[#This Row],[KOD_PRODUKTU]])</f>
        <v>VE-905U02-810</v>
      </c>
    </row>
    <row r="2165" spans="1:10" x14ac:dyDescent="0.25">
      <c r="A2165" s="1" t="s">
        <v>4433</v>
      </c>
      <c r="B2165" t="s">
        <v>4434</v>
      </c>
      <c r="C2165" s="1" t="s">
        <v>1722</v>
      </c>
      <c r="D2165" t="s">
        <v>1723</v>
      </c>
      <c r="E2165" t="s">
        <v>1724</v>
      </c>
      <c r="F2165" t="s">
        <v>17</v>
      </c>
      <c r="G2165" t="s">
        <v>4435</v>
      </c>
      <c r="H2165">
        <v>3.3</v>
      </c>
      <c r="I2165" s="6" t="str">
        <f>_xlfn.CONCAT("Art. złączny do produktu ",Tabela10[[#This Row],[KOD_PRODUKTU]])</f>
        <v>Art. złączny do produktu 905U21-642</v>
      </c>
      <c r="J2165" s="6" t="str">
        <f>_xlfn.CONCAT("VE-",Tabela10[[#This Row],[KOD_PRODUKTU]])</f>
        <v>VE-905U21-642</v>
      </c>
    </row>
    <row r="2166" spans="1:10" x14ac:dyDescent="0.25">
      <c r="A2166" s="7" t="s">
        <v>4433</v>
      </c>
      <c r="B2166" s="6" t="s">
        <v>4434</v>
      </c>
      <c r="C2166" s="7" t="s">
        <v>7</v>
      </c>
      <c r="D2166" s="6" t="s">
        <v>8</v>
      </c>
      <c r="E2166" s="6" t="s">
        <v>9</v>
      </c>
      <c r="F2166" s="6" t="s">
        <v>10</v>
      </c>
      <c r="G2166" s="6" t="s">
        <v>601</v>
      </c>
      <c r="H2166" s="6">
        <v>6.9</v>
      </c>
      <c r="I2166" s="6" t="str">
        <f>_xlfn.CONCAT("Art. złączny do produktu ",Tabela10[[#This Row],[KOD_PRODUKTU]])</f>
        <v>Art. złączny do produktu 905U21-642</v>
      </c>
      <c r="J2166" s="6" t="str">
        <f>_xlfn.CONCAT("VE-",Tabela10[[#This Row],[KOD_PRODUKTU]])</f>
        <v>VE-905U21-642</v>
      </c>
    </row>
    <row r="2167" spans="1:10" x14ac:dyDescent="0.25">
      <c r="A2167" s="1" t="s">
        <v>4436</v>
      </c>
      <c r="B2167" t="s">
        <v>4437</v>
      </c>
      <c r="C2167" s="1" t="s">
        <v>22</v>
      </c>
      <c r="D2167" t="s">
        <v>23</v>
      </c>
      <c r="E2167" t="s">
        <v>24</v>
      </c>
      <c r="F2167" t="s">
        <v>17</v>
      </c>
      <c r="G2167" t="s">
        <v>4438</v>
      </c>
      <c r="H2167">
        <v>69.599999999999994</v>
      </c>
      <c r="I2167" s="6" t="str">
        <f>_xlfn.CONCAT("Art. złączny do produktu ",Tabela10[[#This Row],[KOD_PRODUKTU]])</f>
        <v>Art. złączny do produktu 905U21-643</v>
      </c>
      <c r="J2167" s="6" t="str">
        <f>_xlfn.CONCAT("VE-",Tabela10[[#This Row],[KOD_PRODUKTU]])</f>
        <v>VE-905U21-643</v>
      </c>
    </row>
    <row r="2168" spans="1:10" x14ac:dyDescent="0.25">
      <c r="A2168" s="7" t="s">
        <v>4436</v>
      </c>
      <c r="B2168" s="6" t="s">
        <v>4437</v>
      </c>
      <c r="C2168" s="7" t="s">
        <v>7</v>
      </c>
      <c r="D2168" s="6" t="s">
        <v>8</v>
      </c>
      <c r="E2168" s="6" t="s">
        <v>9</v>
      </c>
      <c r="F2168" s="6" t="s">
        <v>10</v>
      </c>
      <c r="G2168" s="6" t="s">
        <v>860</v>
      </c>
      <c r="H2168" s="6">
        <v>23</v>
      </c>
      <c r="I2168" s="6" t="str">
        <f>_xlfn.CONCAT("Art. złączny do produktu ",Tabela10[[#This Row],[KOD_PRODUKTU]])</f>
        <v>Art. złączny do produktu 905U21-643</v>
      </c>
      <c r="J2168" s="6" t="str">
        <f>_xlfn.CONCAT("VE-",Tabela10[[#This Row],[KOD_PRODUKTU]])</f>
        <v>VE-905U21-643</v>
      </c>
    </row>
    <row r="2169" spans="1:10" x14ac:dyDescent="0.25">
      <c r="A2169" s="1" t="s">
        <v>4444</v>
      </c>
      <c r="B2169" t="s">
        <v>4445</v>
      </c>
      <c r="C2169" s="1" t="s">
        <v>684</v>
      </c>
      <c r="D2169" t="s">
        <v>685</v>
      </c>
      <c r="E2169" t="s">
        <v>686</v>
      </c>
      <c r="F2169" t="s">
        <v>49</v>
      </c>
      <c r="G2169" t="s">
        <v>4446</v>
      </c>
      <c r="H2169">
        <v>70.400000000000006</v>
      </c>
      <c r="I2169" s="6" t="str">
        <f>_xlfn.CONCAT("Art. złączny do produktu ",Tabela10[[#This Row],[KOD_PRODUKTU]])</f>
        <v>Art. złączny do produktu 905W35-200</v>
      </c>
      <c r="J2169" s="6" t="str">
        <f>_xlfn.CONCAT("VE-",Tabela10[[#This Row],[KOD_PRODUKTU]])</f>
        <v>VE-905W35-200</v>
      </c>
    </row>
    <row r="2170" spans="1:10" x14ac:dyDescent="0.25">
      <c r="A2170" s="7" t="s">
        <v>4444</v>
      </c>
      <c r="B2170" s="6" t="s">
        <v>4445</v>
      </c>
      <c r="C2170" s="7" t="s">
        <v>7</v>
      </c>
      <c r="D2170" s="6" t="s">
        <v>8</v>
      </c>
      <c r="E2170" s="6" t="s">
        <v>9</v>
      </c>
      <c r="F2170" s="6" t="s">
        <v>10</v>
      </c>
      <c r="G2170" s="6" t="s">
        <v>4447</v>
      </c>
      <c r="H2170" s="6">
        <v>48.23</v>
      </c>
      <c r="I2170" s="6" t="str">
        <f>_xlfn.CONCAT("Art. złączny do produktu ",Tabela10[[#This Row],[KOD_PRODUKTU]])</f>
        <v>Art. złączny do produktu 905W35-200</v>
      </c>
      <c r="J2170" s="6" t="str">
        <f>_xlfn.CONCAT("VE-",Tabela10[[#This Row],[KOD_PRODUKTU]])</f>
        <v>VE-905W35-200</v>
      </c>
    </row>
    <row r="2171" spans="1:10" x14ac:dyDescent="0.25">
      <c r="A2171" s="1" t="s">
        <v>4448</v>
      </c>
      <c r="B2171" t="s">
        <v>4449</v>
      </c>
      <c r="C2171" s="1" t="s">
        <v>684</v>
      </c>
      <c r="D2171" t="s">
        <v>685</v>
      </c>
      <c r="E2171" t="s">
        <v>686</v>
      </c>
      <c r="F2171" t="s">
        <v>49</v>
      </c>
      <c r="G2171" t="s">
        <v>4450</v>
      </c>
      <c r="H2171">
        <v>79.2</v>
      </c>
      <c r="I2171" s="6" t="str">
        <f>_xlfn.CONCAT("Art. złączny do produktu ",Tabela10[[#This Row],[KOD_PRODUKTU]])</f>
        <v>Art. złączny do produktu 905W35-300</v>
      </c>
      <c r="J2171" s="6" t="str">
        <f>_xlfn.CONCAT("VE-",Tabela10[[#This Row],[KOD_PRODUKTU]])</f>
        <v>VE-905W35-300</v>
      </c>
    </row>
    <row r="2172" spans="1:10" x14ac:dyDescent="0.25">
      <c r="A2172" s="7" t="s">
        <v>4448</v>
      </c>
      <c r="B2172" s="6" t="s">
        <v>4449</v>
      </c>
      <c r="C2172" s="7" t="s">
        <v>7</v>
      </c>
      <c r="D2172" s="6" t="s">
        <v>8</v>
      </c>
      <c r="E2172" s="6" t="s">
        <v>9</v>
      </c>
      <c r="F2172" s="6" t="s">
        <v>10</v>
      </c>
      <c r="G2172" s="6" t="s">
        <v>4451</v>
      </c>
      <c r="H2172" s="6">
        <v>24.87</v>
      </c>
      <c r="I2172" s="6" t="str">
        <f>_xlfn.CONCAT("Art. złączny do produktu ",Tabela10[[#This Row],[KOD_PRODUKTU]])</f>
        <v>Art. złączny do produktu 905W35-300</v>
      </c>
      <c r="J2172" s="6" t="str">
        <f>_xlfn.CONCAT("VE-",Tabela10[[#This Row],[KOD_PRODUKTU]])</f>
        <v>VE-905W35-300</v>
      </c>
    </row>
    <row r="2173" spans="1:10" x14ac:dyDescent="0.25">
      <c r="A2173" s="1" t="s">
        <v>4452</v>
      </c>
      <c r="B2173" t="s">
        <v>4453</v>
      </c>
      <c r="C2173" s="1" t="s">
        <v>684</v>
      </c>
      <c r="D2173" t="s">
        <v>685</v>
      </c>
      <c r="E2173" t="s">
        <v>686</v>
      </c>
      <c r="F2173" t="s">
        <v>49</v>
      </c>
      <c r="G2173" t="s">
        <v>4454</v>
      </c>
      <c r="H2173">
        <v>242</v>
      </c>
      <c r="I2173" s="6" t="str">
        <f>_xlfn.CONCAT("Art. złączny do produktu ",Tabela10[[#This Row],[KOD_PRODUKTU]])</f>
        <v>Art. złączny do produktu 905W36-200</v>
      </c>
      <c r="J2173" s="6" t="str">
        <f>_xlfn.CONCAT("VE-",Tabela10[[#This Row],[KOD_PRODUKTU]])</f>
        <v>VE-905W36-200</v>
      </c>
    </row>
    <row r="2174" spans="1:10" x14ac:dyDescent="0.25">
      <c r="A2174" s="7" t="s">
        <v>4452</v>
      </c>
      <c r="B2174" s="6" t="s">
        <v>4453</v>
      </c>
      <c r="C2174" s="7" t="s">
        <v>7</v>
      </c>
      <c r="D2174" s="6" t="s">
        <v>8</v>
      </c>
      <c r="E2174" s="6" t="s">
        <v>9</v>
      </c>
      <c r="F2174" s="6" t="s">
        <v>10</v>
      </c>
      <c r="G2174" s="6" t="s">
        <v>4455</v>
      </c>
      <c r="H2174" s="6">
        <v>78.73</v>
      </c>
      <c r="I2174" s="6" t="str">
        <f>_xlfn.CONCAT("Art. złączny do produktu ",Tabela10[[#This Row],[KOD_PRODUKTU]])</f>
        <v>Art. złączny do produktu 905W36-200</v>
      </c>
      <c r="J2174" s="6" t="str">
        <f>_xlfn.CONCAT("VE-",Tabela10[[#This Row],[KOD_PRODUKTU]])</f>
        <v>VE-905W36-200</v>
      </c>
    </row>
    <row r="2175" spans="1:10" x14ac:dyDescent="0.25">
      <c r="A2175" s="1" t="s">
        <v>4456</v>
      </c>
      <c r="B2175" t="s">
        <v>4457</v>
      </c>
      <c r="C2175" s="1" t="s">
        <v>1249</v>
      </c>
      <c r="D2175" t="s">
        <v>1250</v>
      </c>
      <c r="E2175" t="s">
        <v>1251</v>
      </c>
      <c r="F2175" t="s">
        <v>1252</v>
      </c>
      <c r="G2175" t="s">
        <v>4458</v>
      </c>
      <c r="H2175">
        <v>122.28</v>
      </c>
      <c r="I2175" s="6" t="str">
        <f>_xlfn.CONCAT("Art. złączny do produktu ",Tabela10[[#This Row],[KOD_PRODUKTU]])</f>
        <v>Art. złączny do produktu 905W36-300</v>
      </c>
      <c r="J2175" s="6" t="str">
        <f>_xlfn.CONCAT("VE-",Tabela10[[#This Row],[KOD_PRODUKTU]])</f>
        <v>VE-905W36-300</v>
      </c>
    </row>
    <row r="2176" spans="1:10" x14ac:dyDescent="0.25">
      <c r="A2176" s="7" t="s">
        <v>4456</v>
      </c>
      <c r="B2176" s="6" t="s">
        <v>4457</v>
      </c>
      <c r="C2176" s="7" t="s">
        <v>7</v>
      </c>
      <c r="D2176" s="6" t="s">
        <v>8</v>
      </c>
      <c r="E2176" s="6" t="s">
        <v>9</v>
      </c>
      <c r="F2176" s="6" t="s">
        <v>10</v>
      </c>
      <c r="G2176" s="6" t="s">
        <v>4459</v>
      </c>
      <c r="H2176" s="6">
        <v>60.33</v>
      </c>
      <c r="I2176" s="6" t="str">
        <f>_xlfn.CONCAT("Art. złączny do produktu ",Tabela10[[#This Row],[KOD_PRODUKTU]])</f>
        <v>Art. złączny do produktu 905W36-300</v>
      </c>
      <c r="J2176" s="6" t="str">
        <f>_xlfn.CONCAT("VE-",Tabela10[[#This Row],[KOD_PRODUKTU]])</f>
        <v>VE-905W36-300</v>
      </c>
    </row>
    <row r="2177" spans="1:10" x14ac:dyDescent="0.25">
      <c r="A2177" s="1" t="s">
        <v>4460</v>
      </c>
      <c r="B2177" t="s">
        <v>4461</v>
      </c>
      <c r="C2177" s="1" t="s">
        <v>1249</v>
      </c>
      <c r="D2177" t="s">
        <v>1250</v>
      </c>
      <c r="E2177" t="s">
        <v>1251</v>
      </c>
      <c r="F2177" t="s">
        <v>1252</v>
      </c>
      <c r="G2177" t="s">
        <v>4462</v>
      </c>
      <c r="H2177">
        <v>144.36000000000001</v>
      </c>
      <c r="I2177" s="6" t="str">
        <f>_xlfn.CONCAT("Art. złączny do produktu ",Tabela10[[#This Row],[KOD_PRODUKTU]])</f>
        <v>Art. złączny do produktu 905W36-400</v>
      </c>
      <c r="J2177" s="6" t="str">
        <f>_xlfn.CONCAT("VE-",Tabela10[[#This Row],[KOD_PRODUKTU]])</f>
        <v>VE-905W36-400</v>
      </c>
    </row>
    <row r="2178" spans="1:10" x14ac:dyDescent="0.25">
      <c r="A2178" s="7" t="s">
        <v>4460</v>
      </c>
      <c r="B2178" s="6" t="s">
        <v>4461</v>
      </c>
      <c r="C2178" s="7" t="s">
        <v>7</v>
      </c>
      <c r="D2178" s="6" t="s">
        <v>8</v>
      </c>
      <c r="E2178" s="6" t="s">
        <v>9</v>
      </c>
      <c r="F2178" s="6" t="s">
        <v>10</v>
      </c>
      <c r="G2178" s="6" t="s">
        <v>4463</v>
      </c>
      <c r="H2178" s="6">
        <v>26.55</v>
      </c>
      <c r="I2178" s="6" t="str">
        <f>_xlfn.CONCAT("Art. złączny do produktu ",Tabela10[[#This Row],[KOD_PRODUKTU]])</f>
        <v>Art. złączny do produktu 905W36-400</v>
      </c>
      <c r="J2178" s="6" t="str">
        <f>_xlfn.CONCAT("VE-",Tabela10[[#This Row],[KOD_PRODUKTU]])</f>
        <v>VE-905W36-400</v>
      </c>
    </row>
    <row r="2179" spans="1:10" x14ac:dyDescent="0.25">
      <c r="A2179" s="1" t="s">
        <v>4464</v>
      </c>
      <c r="B2179" t="s">
        <v>4465</v>
      </c>
      <c r="C2179" s="1" t="s">
        <v>7</v>
      </c>
      <c r="D2179" t="s">
        <v>8</v>
      </c>
      <c r="E2179" t="s">
        <v>9</v>
      </c>
      <c r="F2179" t="s">
        <v>10</v>
      </c>
      <c r="G2179" t="s">
        <v>3593</v>
      </c>
      <c r="H2179">
        <v>5.26</v>
      </c>
      <c r="I2179" s="6" t="str">
        <f>_xlfn.CONCAT("Art. złączny do produktu ",Tabela10[[#This Row],[KOD_PRODUKTU]])</f>
        <v>Art. złączny do produktu 905W36-500</v>
      </c>
      <c r="J2179" s="6" t="str">
        <f>_xlfn.CONCAT("VE-",Tabela10[[#This Row],[KOD_PRODUKTU]])</f>
        <v>VE-905W36-500</v>
      </c>
    </row>
    <row r="2180" spans="1:10" x14ac:dyDescent="0.25">
      <c r="A2180" s="7" t="s">
        <v>4466</v>
      </c>
      <c r="B2180" s="6" t="s">
        <v>4467</v>
      </c>
      <c r="C2180" s="7" t="s">
        <v>1378</v>
      </c>
      <c r="D2180" s="6" t="s">
        <v>1379</v>
      </c>
      <c r="E2180" s="6" t="s">
        <v>1043</v>
      </c>
      <c r="F2180" s="6" t="s">
        <v>5</v>
      </c>
      <c r="G2180" s="6" t="s">
        <v>4468</v>
      </c>
      <c r="H2180" s="6">
        <v>0.2</v>
      </c>
      <c r="I2180" s="6" t="str">
        <f>_xlfn.CONCAT("Art. złączny do produktu ",Tabela10[[#This Row],[KOD_PRODUKTU]])</f>
        <v>Art. złączny do produktu 907W65-110</v>
      </c>
      <c r="J2180" s="6" t="str">
        <f>_xlfn.CONCAT("VE-",Tabela10[[#This Row],[KOD_PRODUKTU]])</f>
        <v>VE-907W65-110</v>
      </c>
    </row>
    <row r="2181" spans="1:10" x14ac:dyDescent="0.25">
      <c r="A2181" s="1" t="s">
        <v>4466</v>
      </c>
      <c r="B2181" t="s">
        <v>4467</v>
      </c>
      <c r="C2181" s="1" t="s">
        <v>7</v>
      </c>
      <c r="D2181" t="s">
        <v>8</v>
      </c>
      <c r="E2181" t="s">
        <v>9</v>
      </c>
      <c r="F2181" t="s">
        <v>10</v>
      </c>
      <c r="G2181" t="s">
        <v>4469</v>
      </c>
      <c r="H2181">
        <v>1.71</v>
      </c>
      <c r="I2181" s="6" t="str">
        <f>_xlfn.CONCAT("Art. złączny do produktu ",Tabela10[[#This Row],[KOD_PRODUKTU]])</f>
        <v>Art. złączny do produktu 907W65-110</v>
      </c>
      <c r="J2181" s="6" t="str">
        <f>_xlfn.CONCAT("VE-",Tabela10[[#This Row],[KOD_PRODUKTU]])</f>
        <v>VE-907W65-110</v>
      </c>
    </row>
    <row r="2182" spans="1:10" x14ac:dyDescent="0.25">
      <c r="A2182" s="7" t="s">
        <v>4470</v>
      </c>
      <c r="B2182" s="6" t="s">
        <v>4471</v>
      </c>
      <c r="C2182" s="7" t="s">
        <v>4472</v>
      </c>
      <c r="D2182" s="6" t="s">
        <v>4473</v>
      </c>
      <c r="E2182" s="6" t="s">
        <v>4474</v>
      </c>
      <c r="F2182" s="6" t="s">
        <v>17</v>
      </c>
      <c r="G2182" s="6" t="s">
        <v>4475</v>
      </c>
      <c r="H2182" s="6">
        <v>81.59</v>
      </c>
      <c r="I2182" s="6" t="str">
        <f>_xlfn.CONCAT("Art. złączny do produktu ",Tabela10[[#This Row],[KOD_PRODUKTU]])</f>
        <v>Art. złączny do produktu 907W76-100</v>
      </c>
      <c r="J2182" s="6" t="str">
        <f>_xlfn.CONCAT("VE-",Tabela10[[#This Row],[KOD_PRODUKTU]])</f>
        <v>VE-907W76-100</v>
      </c>
    </row>
    <row r="2183" spans="1:10" x14ac:dyDescent="0.25">
      <c r="A2183" s="1" t="s">
        <v>4470</v>
      </c>
      <c r="B2183" t="s">
        <v>4471</v>
      </c>
      <c r="C2183" s="1" t="s">
        <v>3568</v>
      </c>
      <c r="D2183" t="s">
        <v>3569</v>
      </c>
      <c r="E2183" t="s">
        <v>3570</v>
      </c>
      <c r="F2183" t="s">
        <v>17</v>
      </c>
      <c r="G2183" t="s">
        <v>4476</v>
      </c>
      <c r="H2183">
        <v>1.68</v>
      </c>
      <c r="I2183" s="6" t="str">
        <f>_xlfn.CONCAT("Art. złączny do produktu ",Tabela10[[#This Row],[KOD_PRODUKTU]])</f>
        <v>Art. złączny do produktu 907W76-100</v>
      </c>
      <c r="J2183" s="6" t="str">
        <f>_xlfn.CONCAT("VE-",Tabela10[[#This Row],[KOD_PRODUKTU]])</f>
        <v>VE-907W76-100</v>
      </c>
    </row>
    <row r="2184" spans="1:10" x14ac:dyDescent="0.25">
      <c r="A2184" s="7" t="s">
        <v>4470</v>
      </c>
      <c r="B2184" s="6" t="s">
        <v>4471</v>
      </c>
      <c r="C2184" s="7" t="s">
        <v>4477</v>
      </c>
      <c r="D2184" s="6" t="s">
        <v>4478</v>
      </c>
      <c r="E2184" s="6" t="s">
        <v>434</v>
      </c>
      <c r="F2184" s="6" t="s">
        <v>121</v>
      </c>
      <c r="G2184" s="6" t="s">
        <v>92</v>
      </c>
      <c r="H2184" s="6">
        <v>2.2000000000000002</v>
      </c>
      <c r="I2184" s="6" t="str">
        <f>_xlfn.CONCAT("Art. złączny do produktu ",Tabela10[[#This Row],[KOD_PRODUKTU]])</f>
        <v>Art. złączny do produktu 907W76-100</v>
      </c>
      <c r="J2184" s="6" t="str">
        <f>_xlfn.CONCAT("VE-",Tabela10[[#This Row],[KOD_PRODUKTU]])</f>
        <v>VE-907W76-100</v>
      </c>
    </row>
    <row r="2185" spans="1:10" x14ac:dyDescent="0.25">
      <c r="A2185" s="1" t="s">
        <v>4470</v>
      </c>
      <c r="B2185" t="s">
        <v>4471</v>
      </c>
      <c r="C2185" s="1" t="s">
        <v>4479</v>
      </c>
      <c r="D2185" t="s">
        <v>4480</v>
      </c>
      <c r="E2185" t="s">
        <v>151</v>
      </c>
      <c r="F2185" t="s">
        <v>121</v>
      </c>
      <c r="G2185" t="s">
        <v>92</v>
      </c>
      <c r="H2185">
        <v>4</v>
      </c>
      <c r="I2185" s="6" t="str">
        <f>_xlfn.CONCAT("Art. złączny do produktu ",Tabela10[[#This Row],[KOD_PRODUKTU]])</f>
        <v>Art. złączny do produktu 907W76-100</v>
      </c>
      <c r="J2185" s="6" t="str">
        <f>_xlfn.CONCAT("VE-",Tabela10[[#This Row],[KOD_PRODUKTU]])</f>
        <v>VE-907W76-100</v>
      </c>
    </row>
    <row r="2186" spans="1:10" x14ac:dyDescent="0.25">
      <c r="A2186" s="7" t="s">
        <v>4470</v>
      </c>
      <c r="B2186" s="6" t="s">
        <v>4471</v>
      </c>
      <c r="C2186" s="7" t="s">
        <v>4481</v>
      </c>
      <c r="D2186" s="6" t="s">
        <v>4482</v>
      </c>
      <c r="E2186" s="6" t="s">
        <v>4483</v>
      </c>
      <c r="F2186" s="6" t="s">
        <v>121</v>
      </c>
      <c r="G2186" s="6" t="s">
        <v>50</v>
      </c>
      <c r="H2186" s="6">
        <v>3.05</v>
      </c>
      <c r="I2186" s="6" t="str">
        <f>_xlfn.CONCAT("Art. złączny do produktu ",Tabela10[[#This Row],[KOD_PRODUKTU]])</f>
        <v>Art. złączny do produktu 907W76-100</v>
      </c>
      <c r="J2186" s="6" t="str">
        <f>_xlfn.CONCAT("VE-",Tabela10[[#This Row],[KOD_PRODUKTU]])</f>
        <v>VE-907W76-100</v>
      </c>
    </row>
    <row r="2187" spans="1:10" x14ac:dyDescent="0.25">
      <c r="A2187" s="1" t="s">
        <v>4470</v>
      </c>
      <c r="B2187" t="s">
        <v>4471</v>
      </c>
      <c r="C2187" s="1" t="s">
        <v>857</v>
      </c>
      <c r="D2187" t="s">
        <v>858</v>
      </c>
      <c r="E2187" t="s">
        <v>686</v>
      </c>
      <c r="F2187" t="s">
        <v>49</v>
      </c>
      <c r="G2187" t="s">
        <v>4487</v>
      </c>
      <c r="H2187">
        <v>1.9</v>
      </c>
      <c r="I2187" s="6" t="str">
        <f>_xlfn.CONCAT("Art. złączny do produktu ",Tabela10[[#This Row],[KOD_PRODUKTU]])</f>
        <v>Art. złączny do produktu 907W76-100</v>
      </c>
      <c r="J2187" s="6" t="str">
        <f>_xlfn.CONCAT("VE-",Tabela10[[#This Row],[KOD_PRODUKTU]])</f>
        <v>VE-907W76-100</v>
      </c>
    </row>
    <row r="2188" spans="1:10" x14ac:dyDescent="0.25">
      <c r="A2188" s="7" t="s">
        <v>4470</v>
      </c>
      <c r="B2188" s="6" t="s">
        <v>4471</v>
      </c>
      <c r="C2188" s="7" t="s">
        <v>1989</v>
      </c>
      <c r="D2188" s="6" t="s">
        <v>1990</v>
      </c>
      <c r="E2188" s="6" t="s">
        <v>1991</v>
      </c>
      <c r="F2188" s="6" t="s">
        <v>435</v>
      </c>
      <c r="G2188" s="6" t="s">
        <v>4488</v>
      </c>
      <c r="H2188" s="6">
        <v>14.78</v>
      </c>
      <c r="I2188" s="6" t="str">
        <f>_xlfn.CONCAT("Art. złączny do produktu ",Tabela10[[#This Row],[KOD_PRODUKTU]])</f>
        <v>Art. złączny do produktu 907W76-100</v>
      </c>
      <c r="J2188" s="6" t="str">
        <f>_xlfn.CONCAT("VE-",Tabela10[[#This Row],[KOD_PRODUKTU]])</f>
        <v>VE-907W76-100</v>
      </c>
    </row>
    <row r="2189" spans="1:10" x14ac:dyDescent="0.25">
      <c r="A2189" s="1" t="s">
        <v>4470</v>
      </c>
      <c r="B2189" t="s">
        <v>4471</v>
      </c>
      <c r="C2189" s="1" t="s">
        <v>7</v>
      </c>
      <c r="D2189" t="s">
        <v>8</v>
      </c>
      <c r="E2189" t="s">
        <v>9</v>
      </c>
      <c r="F2189" t="s">
        <v>10</v>
      </c>
      <c r="G2189" t="s">
        <v>4099</v>
      </c>
      <c r="H2189">
        <v>4.8899999999999997</v>
      </c>
      <c r="I2189" s="6" t="str">
        <f>_xlfn.CONCAT("Art. złączny do produktu ",Tabela10[[#This Row],[KOD_PRODUKTU]])</f>
        <v>Art. złączny do produktu 907W76-100</v>
      </c>
      <c r="J2189" s="6" t="str">
        <f>_xlfn.CONCAT("VE-",Tabela10[[#This Row],[KOD_PRODUKTU]])</f>
        <v>VE-907W76-100</v>
      </c>
    </row>
    <row r="2190" spans="1:10" x14ac:dyDescent="0.25">
      <c r="A2190" s="7" t="s">
        <v>4470</v>
      </c>
      <c r="B2190" s="6" t="s">
        <v>4471</v>
      </c>
      <c r="C2190" s="7" t="s">
        <v>7</v>
      </c>
      <c r="D2190" s="6" t="s">
        <v>8</v>
      </c>
      <c r="E2190" s="6" t="s">
        <v>9</v>
      </c>
      <c r="F2190" s="6" t="s">
        <v>10</v>
      </c>
      <c r="G2190" s="6" t="s">
        <v>4489</v>
      </c>
      <c r="H2190" s="6">
        <v>36.03</v>
      </c>
      <c r="I2190" s="6" t="str">
        <f>_xlfn.CONCAT("Art. złączny do produktu ",Tabela10[[#This Row],[KOD_PRODUKTU]])</f>
        <v>Art. złączny do produktu 907W76-100</v>
      </c>
      <c r="J2190" s="6" t="str">
        <f>_xlfn.CONCAT("VE-",Tabela10[[#This Row],[KOD_PRODUKTU]])</f>
        <v>VE-907W76-100</v>
      </c>
    </row>
    <row r="2191" spans="1:10" x14ac:dyDescent="0.25">
      <c r="A2191" s="1" t="s">
        <v>4496</v>
      </c>
      <c r="B2191" t="s">
        <v>4497</v>
      </c>
      <c r="C2191" s="1" t="s">
        <v>4472</v>
      </c>
      <c r="D2191" t="s">
        <v>4473</v>
      </c>
      <c r="E2191" t="s">
        <v>4474</v>
      </c>
      <c r="F2191" t="s">
        <v>17</v>
      </c>
      <c r="G2191" t="s">
        <v>4498</v>
      </c>
      <c r="H2191">
        <v>85.51</v>
      </c>
      <c r="I2191" s="6" t="str">
        <f>_xlfn.CONCAT("Art. złączny do produktu ",Tabela10[[#This Row],[KOD_PRODUKTU]])</f>
        <v>Art. złączny do produktu 907W77-100</v>
      </c>
      <c r="J2191" s="6" t="str">
        <f>_xlfn.CONCAT("VE-",Tabela10[[#This Row],[KOD_PRODUKTU]])</f>
        <v>VE-907W77-100</v>
      </c>
    </row>
    <row r="2192" spans="1:10" x14ac:dyDescent="0.25">
      <c r="A2192" s="7" t="s">
        <v>4496</v>
      </c>
      <c r="B2192" s="6" t="s">
        <v>4497</v>
      </c>
      <c r="C2192" s="7" t="s">
        <v>3568</v>
      </c>
      <c r="D2192" s="6" t="s">
        <v>3569</v>
      </c>
      <c r="E2192" s="6" t="s">
        <v>3570</v>
      </c>
      <c r="F2192" s="6" t="s">
        <v>17</v>
      </c>
      <c r="G2192" s="6" t="s">
        <v>4194</v>
      </c>
      <c r="H2192" s="6">
        <v>1.76</v>
      </c>
      <c r="I2192" s="6" t="str">
        <f>_xlfn.CONCAT("Art. złączny do produktu ",Tabela10[[#This Row],[KOD_PRODUKTU]])</f>
        <v>Art. złączny do produktu 907W77-100</v>
      </c>
      <c r="J2192" s="6" t="str">
        <f>_xlfn.CONCAT("VE-",Tabela10[[#This Row],[KOD_PRODUKTU]])</f>
        <v>VE-907W77-100</v>
      </c>
    </row>
    <row r="2193" spans="1:10" x14ac:dyDescent="0.25">
      <c r="A2193" s="1" t="s">
        <v>4496</v>
      </c>
      <c r="B2193" t="s">
        <v>4497</v>
      </c>
      <c r="C2193" s="1" t="s">
        <v>4477</v>
      </c>
      <c r="D2193" t="s">
        <v>4478</v>
      </c>
      <c r="E2193" t="s">
        <v>434</v>
      </c>
      <c r="F2193" t="s">
        <v>121</v>
      </c>
      <c r="G2193" t="s">
        <v>92</v>
      </c>
      <c r="H2193">
        <v>2.2000000000000002</v>
      </c>
      <c r="I2193" s="6" t="str">
        <f>_xlfn.CONCAT("Art. złączny do produktu ",Tabela10[[#This Row],[KOD_PRODUKTU]])</f>
        <v>Art. złączny do produktu 907W77-100</v>
      </c>
      <c r="J2193" s="6" t="str">
        <f>_xlfn.CONCAT("VE-",Tabela10[[#This Row],[KOD_PRODUKTU]])</f>
        <v>VE-907W77-100</v>
      </c>
    </row>
    <row r="2194" spans="1:10" x14ac:dyDescent="0.25">
      <c r="A2194" s="7" t="s">
        <v>4496</v>
      </c>
      <c r="B2194" s="6" t="s">
        <v>4497</v>
      </c>
      <c r="C2194" s="7" t="s">
        <v>4479</v>
      </c>
      <c r="D2194" s="6" t="s">
        <v>4480</v>
      </c>
      <c r="E2194" s="6" t="s">
        <v>151</v>
      </c>
      <c r="F2194" s="6" t="s">
        <v>121</v>
      </c>
      <c r="G2194" s="6" t="s">
        <v>92</v>
      </c>
      <c r="H2194" s="6">
        <v>4</v>
      </c>
      <c r="I2194" s="6" t="str">
        <f>_xlfn.CONCAT("Art. złączny do produktu ",Tabela10[[#This Row],[KOD_PRODUKTU]])</f>
        <v>Art. złączny do produktu 907W77-100</v>
      </c>
      <c r="J2194" s="6" t="str">
        <f>_xlfn.CONCAT("VE-",Tabela10[[#This Row],[KOD_PRODUKTU]])</f>
        <v>VE-907W77-100</v>
      </c>
    </row>
    <row r="2195" spans="1:10" x14ac:dyDescent="0.25">
      <c r="A2195" s="1" t="s">
        <v>4496</v>
      </c>
      <c r="B2195" t="s">
        <v>4497</v>
      </c>
      <c r="C2195" s="1" t="s">
        <v>4481</v>
      </c>
      <c r="D2195" t="s">
        <v>4482</v>
      </c>
      <c r="E2195" t="s">
        <v>4483</v>
      </c>
      <c r="F2195" t="s">
        <v>121</v>
      </c>
      <c r="G2195" t="s">
        <v>50</v>
      </c>
      <c r="H2195">
        <v>3.05</v>
      </c>
      <c r="I2195" s="6" t="str">
        <f>_xlfn.CONCAT("Art. złączny do produktu ",Tabela10[[#This Row],[KOD_PRODUKTU]])</f>
        <v>Art. złączny do produktu 907W77-100</v>
      </c>
      <c r="J2195" s="6" t="str">
        <f>_xlfn.CONCAT("VE-",Tabela10[[#This Row],[KOD_PRODUKTU]])</f>
        <v>VE-907W77-100</v>
      </c>
    </row>
    <row r="2196" spans="1:10" x14ac:dyDescent="0.25">
      <c r="A2196" s="7" t="s">
        <v>4496</v>
      </c>
      <c r="B2196" s="6" t="s">
        <v>4497</v>
      </c>
      <c r="C2196" s="7" t="s">
        <v>1989</v>
      </c>
      <c r="D2196" s="6" t="s">
        <v>1990</v>
      </c>
      <c r="E2196" s="6" t="s">
        <v>1991</v>
      </c>
      <c r="F2196" s="6" t="s">
        <v>435</v>
      </c>
      <c r="G2196" s="6" t="s">
        <v>4502</v>
      </c>
      <c r="H2196" s="6">
        <v>15.89</v>
      </c>
      <c r="I2196" s="6" t="str">
        <f>_xlfn.CONCAT("Art. złączny do produktu ",Tabela10[[#This Row],[KOD_PRODUKTU]])</f>
        <v>Art. złączny do produktu 907W77-100</v>
      </c>
      <c r="J2196" s="6" t="str">
        <f>_xlfn.CONCAT("VE-",Tabela10[[#This Row],[KOD_PRODUKTU]])</f>
        <v>VE-907W77-100</v>
      </c>
    </row>
    <row r="2197" spans="1:10" x14ac:dyDescent="0.25">
      <c r="A2197" s="1" t="s">
        <v>4496</v>
      </c>
      <c r="B2197" t="s">
        <v>4497</v>
      </c>
      <c r="C2197" s="1" t="s">
        <v>7</v>
      </c>
      <c r="D2197" t="s">
        <v>8</v>
      </c>
      <c r="E2197" t="s">
        <v>9</v>
      </c>
      <c r="F2197" t="s">
        <v>10</v>
      </c>
      <c r="G2197" t="s">
        <v>4503</v>
      </c>
      <c r="H2197">
        <v>4.8600000000000003</v>
      </c>
      <c r="I2197" s="6" t="str">
        <f>_xlfn.CONCAT("Art. złączny do produktu ",Tabela10[[#This Row],[KOD_PRODUKTU]])</f>
        <v>Art. złączny do produktu 907W77-100</v>
      </c>
      <c r="J2197" s="6" t="str">
        <f>_xlfn.CONCAT("VE-",Tabela10[[#This Row],[KOD_PRODUKTU]])</f>
        <v>VE-907W77-100</v>
      </c>
    </row>
    <row r="2198" spans="1:10" x14ac:dyDescent="0.25">
      <c r="A2198" s="7" t="s">
        <v>4496</v>
      </c>
      <c r="B2198" s="6" t="s">
        <v>4497</v>
      </c>
      <c r="C2198" s="7" t="s">
        <v>7</v>
      </c>
      <c r="D2198" s="6" t="s">
        <v>8</v>
      </c>
      <c r="E2198" s="6" t="s">
        <v>9</v>
      </c>
      <c r="F2198" s="6" t="s">
        <v>10</v>
      </c>
      <c r="G2198" s="6" t="s">
        <v>4504</v>
      </c>
      <c r="H2198" s="6">
        <v>36.21</v>
      </c>
      <c r="I2198" s="6" t="str">
        <f>_xlfn.CONCAT("Art. złączny do produktu ",Tabela10[[#This Row],[KOD_PRODUKTU]])</f>
        <v>Art. złączny do produktu 907W77-100</v>
      </c>
      <c r="J2198" s="6" t="str">
        <f>_xlfn.CONCAT("VE-",Tabela10[[#This Row],[KOD_PRODUKTU]])</f>
        <v>VE-907W77-100</v>
      </c>
    </row>
    <row r="2199" spans="1:10" x14ac:dyDescent="0.25">
      <c r="A2199" s="1" t="s">
        <v>4496</v>
      </c>
      <c r="B2199" t="s">
        <v>4497</v>
      </c>
      <c r="C2199" s="1" t="s">
        <v>7</v>
      </c>
      <c r="D2199" t="s">
        <v>8</v>
      </c>
      <c r="E2199" t="s">
        <v>9</v>
      </c>
      <c r="F2199" t="s">
        <v>10</v>
      </c>
      <c r="G2199" t="s">
        <v>4505</v>
      </c>
      <c r="H2199">
        <v>1.91</v>
      </c>
      <c r="I2199" s="6" t="str">
        <f>_xlfn.CONCAT("Art. złączny do produktu ",Tabela10[[#This Row],[KOD_PRODUKTU]])</f>
        <v>Art. złączny do produktu 907W77-100</v>
      </c>
      <c r="J2199" s="6" t="str">
        <f>_xlfn.CONCAT("VE-",Tabela10[[#This Row],[KOD_PRODUKTU]])</f>
        <v>VE-907W77-100</v>
      </c>
    </row>
    <row r="2200" spans="1:10" x14ac:dyDescent="0.25">
      <c r="A2200" s="7" t="s">
        <v>4510</v>
      </c>
      <c r="B2200" s="6" t="s">
        <v>4511</v>
      </c>
      <c r="C2200" s="7" t="s">
        <v>4472</v>
      </c>
      <c r="D2200" s="6" t="s">
        <v>4473</v>
      </c>
      <c r="E2200" s="6" t="s">
        <v>4474</v>
      </c>
      <c r="F2200" s="6" t="s">
        <v>17</v>
      </c>
      <c r="G2200" s="6" t="s">
        <v>4512</v>
      </c>
      <c r="H2200" s="6">
        <v>88.35</v>
      </c>
      <c r="I2200" s="6" t="str">
        <f>_xlfn.CONCAT("Art. złączny do produktu ",Tabela10[[#This Row],[KOD_PRODUKTU]])</f>
        <v>Art. złączny do produktu 907W78-100</v>
      </c>
      <c r="J2200" s="6" t="str">
        <f>_xlfn.CONCAT("VE-",Tabela10[[#This Row],[KOD_PRODUKTU]])</f>
        <v>VE-907W78-100</v>
      </c>
    </row>
    <row r="2201" spans="1:10" x14ac:dyDescent="0.25">
      <c r="A2201" s="1" t="s">
        <v>4510</v>
      </c>
      <c r="B2201" t="s">
        <v>4511</v>
      </c>
      <c r="C2201" s="1" t="s">
        <v>3568</v>
      </c>
      <c r="D2201" t="s">
        <v>3569</v>
      </c>
      <c r="E2201" t="s">
        <v>3570</v>
      </c>
      <c r="F2201" t="s">
        <v>17</v>
      </c>
      <c r="G2201" t="s">
        <v>4476</v>
      </c>
      <c r="H2201">
        <v>1.68</v>
      </c>
      <c r="I2201" s="6" t="str">
        <f>_xlfn.CONCAT("Art. złączny do produktu ",Tabela10[[#This Row],[KOD_PRODUKTU]])</f>
        <v>Art. złączny do produktu 907W78-100</v>
      </c>
      <c r="J2201" s="6" t="str">
        <f>_xlfn.CONCAT("VE-",Tabela10[[#This Row],[KOD_PRODUKTU]])</f>
        <v>VE-907W78-100</v>
      </c>
    </row>
    <row r="2202" spans="1:10" x14ac:dyDescent="0.25">
      <c r="A2202" s="7" t="s">
        <v>4510</v>
      </c>
      <c r="B2202" s="6" t="s">
        <v>4511</v>
      </c>
      <c r="C2202" s="7" t="s">
        <v>4477</v>
      </c>
      <c r="D2202" s="6" t="s">
        <v>4478</v>
      </c>
      <c r="E2202" s="6" t="s">
        <v>434</v>
      </c>
      <c r="F2202" s="6" t="s">
        <v>121</v>
      </c>
      <c r="G2202" s="6" t="s">
        <v>92</v>
      </c>
      <c r="H2202" s="6">
        <v>2.2000000000000002</v>
      </c>
      <c r="I2202" s="6" t="str">
        <f>_xlfn.CONCAT("Art. złączny do produktu ",Tabela10[[#This Row],[KOD_PRODUKTU]])</f>
        <v>Art. złączny do produktu 907W78-100</v>
      </c>
      <c r="J2202" s="6" t="str">
        <f>_xlfn.CONCAT("VE-",Tabela10[[#This Row],[KOD_PRODUKTU]])</f>
        <v>VE-907W78-100</v>
      </c>
    </row>
    <row r="2203" spans="1:10" x14ac:dyDescent="0.25">
      <c r="A2203" s="1" t="s">
        <v>4510</v>
      </c>
      <c r="B2203" t="s">
        <v>4511</v>
      </c>
      <c r="C2203" s="1" t="s">
        <v>4479</v>
      </c>
      <c r="D2203" t="s">
        <v>4480</v>
      </c>
      <c r="E2203" t="s">
        <v>151</v>
      </c>
      <c r="F2203" t="s">
        <v>121</v>
      </c>
      <c r="G2203" t="s">
        <v>92</v>
      </c>
      <c r="H2203">
        <v>4</v>
      </c>
      <c r="I2203" s="6" t="str">
        <f>_xlfn.CONCAT("Art. złączny do produktu ",Tabela10[[#This Row],[KOD_PRODUKTU]])</f>
        <v>Art. złączny do produktu 907W78-100</v>
      </c>
      <c r="J2203" s="6" t="str">
        <f>_xlfn.CONCAT("VE-",Tabela10[[#This Row],[KOD_PRODUKTU]])</f>
        <v>VE-907W78-100</v>
      </c>
    </row>
    <row r="2204" spans="1:10" x14ac:dyDescent="0.25">
      <c r="A2204" s="7" t="s">
        <v>4510</v>
      </c>
      <c r="B2204" s="6" t="s">
        <v>4511</v>
      </c>
      <c r="C2204" s="7" t="s">
        <v>4481</v>
      </c>
      <c r="D2204" s="6" t="s">
        <v>4482</v>
      </c>
      <c r="E2204" s="6" t="s">
        <v>4483</v>
      </c>
      <c r="F2204" s="6" t="s">
        <v>121</v>
      </c>
      <c r="G2204" s="6" t="s">
        <v>50</v>
      </c>
      <c r="H2204" s="6">
        <v>3.05</v>
      </c>
      <c r="I2204" s="6" t="str">
        <f>_xlfn.CONCAT("Art. złączny do produktu ",Tabela10[[#This Row],[KOD_PRODUKTU]])</f>
        <v>Art. złączny do produktu 907W78-100</v>
      </c>
      <c r="J2204" s="6" t="str">
        <f>_xlfn.CONCAT("VE-",Tabela10[[#This Row],[KOD_PRODUKTU]])</f>
        <v>VE-907W78-100</v>
      </c>
    </row>
    <row r="2205" spans="1:10" x14ac:dyDescent="0.25">
      <c r="A2205" s="1" t="s">
        <v>4510</v>
      </c>
      <c r="B2205" t="s">
        <v>4511</v>
      </c>
      <c r="C2205" s="1" t="s">
        <v>857</v>
      </c>
      <c r="D2205" t="s">
        <v>858</v>
      </c>
      <c r="E2205" t="s">
        <v>686</v>
      </c>
      <c r="F2205" t="s">
        <v>49</v>
      </c>
      <c r="G2205" t="s">
        <v>4487</v>
      </c>
      <c r="H2205">
        <v>1.9</v>
      </c>
      <c r="I2205" s="6" t="str">
        <f>_xlfn.CONCAT("Art. złączny do produktu ",Tabela10[[#This Row],[KOD_PRODUKTU]])</f>
        <v>Art. złączny do produktu 907W78-100</v>
      </c>
      <c r="J2205" s="6" t="str">
        <f>_xlfn.CONCAT("VE-",Tabela10[[#This Row],[KOD_PRODUKTU]])</f>
        <v>VE-907W78-100</v>
      </c>
    </row>
    <row r="2206" spans="1:10" x14ac:dyDescent="0.25">
      <c r="A2206" s="7" t="s">
        <v>4510</v>
      </c>
      <c r="B2206" s="6" t="s">
        <v>4511</v>
      </c>
      <c r="C2206" s="7" t="s">
        <v>1989</v>
      </c>
      <c r="D2206" s="6" t="s">
        <v>1990</v>
      </c>
      <c r="E2206" s="6" t="s">
        <v>1991</v>
      </c>
      <c r="F2206" s="6" t="s">
        <v>435</v>
      </c>
      <c r="G2206" s="6" t="s">
        <v>4516</v>
      </c>
      <c r="H2206" s="6">
        <v>16.73</v>
      </c>
      <c r="I2206" s="6" t="str">
        <f>_xlfn.CONCAT("Art. złączny do produktu ",Tabela10[[#This Row],[KOD_PRODUKTU]])</f>
        <v>Art. złączny do produktu 907W78-100</v>
      </c>
      <c r="J2206" s="6" t="str">
        <f>_xlfn.CONCAT("VE-",Tabela10[[#This Row],[KOD_PRODUKTU]])</f>
        <v>VE-907W78-100</v>
      </c>
    </row>
    <row r="2207" spans="1:10" x14ac:dyDescent="0.25">
      <c r="A2207" s="1" t="s">
        <v>4510</v>
      </c>
      <c r="B2207" t="s">
        <v>4511</v>
      </c>
      <c r="C2207" s="1" t="s">
        <v>7</v>
      </c>
      <c r="D2207" t="s">
        <v>8</v>
      </c>
      <c r="E2207" t="s">
        <v>9</v>
      </c>
      <c r="F2207" t="s">
        <v>10</v>
      </c>
      <c r="G2207" t="s">
        <v>4517</v>
      </c>
      <c r="H2207">
        <v>38.57</v>
      </c>
      <c r="I2207" s="6" t="str">
        <f>_xlfn.CONCAT("Art. złączny do produktu ",Tabela10[[#This Row],[KOD_PRODUKTU]])</f>
        <v>Art. złączny do produktu 907W78-100</v>
      </c>
      <c r="J2207" s="6" t="str">
        <f>_xlfn.CONCAT("VE-",Tabela10[[#This Row],[KOD_PRODUKTU]])</f>
        <v>VE-907W78-100</v>
      </c>
    </row>
    <row r="2208" spans="1:10" x14ac:dyDescent="0.25">
      <c r="A2208" s="7" t="s">
        <v>4510</v>
      </c>
      <c r="B2208" s="6" t="s">
        <v>4511</v>
      </c>
      <c r="C2208" s="7" t="s">
        <v>7</v>
      </c>
      <c r="D2208" s="6" t="s">
        <v>8</v>
      </c>
      <c r="E2208" s="6" t="s">
        <v>9</v>
      </c>
      <c r="F2208" s="6" t="s">
        <v>10</v>
      </c>
      <c r="G2208" s="6" t="s">
        <v>4099</v>
      </c>
      <c r="H2208" s="6">
        <v>4.8899999999999997</v>
      </c>
      <c r="I2208" s="6" t="str">
        <f>_xlfn.CONCAT("Art. złączny do produktu ",Tabela10[[#This Row],[KOD_PRODUKTU]])</f>
        <v>Art. złączny do produktu 907W78-100</v>
      </c>
      <c r="J2208" s="6" t="str">
        <f>_xlfn.CONCAT("VE-",Tabela10[[#This Row],[KOD_PRODUKTU]])</f>
        <v>VE-907W78-100</v>
      </c>
    </row>
    <row r="2209" spans="1:10" x14ac:dyDescent="0.25">
      <c r="A2209" s="1" t="s">
        <v>4523</v>
      </c>
      <c r="B2209" t="s">
        <v>4524</v>
      </c>
      <c r="C2209" s="1" t="s">
        <v>3333</v>
      </c>
      <c r="D2209" t="s">
        <v>3334</v>
      </c>
      <c r="E2209" t="s">
        <v>140</v>
      </c>
      <c r="F2209" t="s">
        <v>49</v>
      </c>
      <c r="G2209" t="s">
        <v>50</v>
      </c>
      <c r="H2209">
        <v>10.75</v>
      </c>
      <c r="I2209" s="6" t="str">
        <f>_xlfn.CONCAT("Art. złączny do produktu ",Tabela10[[#This Row],[KOD_PRODUKTU]])</f>
        <v>Art. złączny do produktu 908W40-110</v>
      </c>
      <c r="J2209" s="6" t="str">
        <f>_xlfn.CONCAT("VE-",Tabela10[[#This Row],[KOD_PRODUKTU]])</f>
        <v>VE-908W40-110</v>
      </c>
    </row>
    <row r="2210" spans="1:10" x14ac:dyDescent="0.25">
      <c r="A2210" s="7" t="s">
        <v>4523</v>
      </c>
      <c r="B2210" s="6" t="s">
        <v>4524</v>
      </c>
      <c r="C2210" s="7" t="s">
        <v>7</v>
      </c>
      <c r="D2210" s="6" t="s">
        <v>8</v>
      </c>
      <c r="E2210" s="6" t="s">
        <v>9</v>
      </c>
      <c r="F2210" s="6" t="s">
        <v>10</v>
      </c>
      <c r="G2210" s="6" t="s">
        <v>4525</v>
      </c>
      <c r="H2210" s="6">
        <v>37.15</v>
      </c>
      <c r="I2210" s="6" t="str">
        <f>_xlfn.CONCAT("Art. złączny do produktu ",Tabela10[[#This Row],[KOD_PRODUKTU]])</f>
        <v>Art. złączny do produktu 908W40-110</v>
      </c>
      <c r="J2210" s="6" t="str">
        <f>_xlfn.CONCAT("VE-",Tabela10[[#This Row],[KOD_PRODUKTU]])</f>
        <v>VE-908W40-110</v>
      </c>
    </row>
    <row r="2211" spans="1:10" x14ac:dyDescent="0.25">
      <c r="A2211" s="1" t="s">
        <v>4526</v>
      </c>
      <c r="B2211" t="s">
        <v>4527</v>
      </c>
      <c r="C2211" s="1" t="s">
        <v>3333</v>
      </c>
      <c r="D2211" t="s">
        <v>3334</v>
      </c>
      <c r="E2211" t="s">
        <v>140</v>
      </c>
      <c r="F2211" t="s">
        <v>49</v>
      </c>
      <c r="G2211" t="s">
        <v>50</v>
      </c>
      <c r="H2211">
        <v>10.75</v>
      </c>
      <c r="I2211" s="6" t="str">
        <f>_xlfn.CONCAT("Art. złączny do produktu ",Tabela10[[#This Row],[KOD_PRODUKTU]])</f>
        <v>Art. złączny do produktu 908W42-110</v>
      </c>
      <c r="J2211" s="6" t="str">
        <f>_xlfn.CONCAT("VE-",Tabela10[[#This Row],[KOD_PRODUKTU]])</f>
        <v>VE-908W42-110</v>
      </c>
    </row>
    <row r="2212" spans="1:10" x14ac:dyDescent="0.25">
      <c r="A2212" s="7" t="s">
        <v>4526</v>
      </c>
      <c r="B2212" s="6" t="s">
        <v>4527</v>
      </c>
      <c r="C2212" s="7" t="s">
        <v>7</v>
      </c>
      <c r="D2212" s="6" t="s">
        <v>8</v>
      </c>
      <c r="E2212" s="6" t="s">
        <v>9</v>
      </c>
      <c r="F2212" s="6" t="s">
        <v>10</v>
      </c>
      <c r="G2212" s="6" t="s">
        <v>4528</v>
      </c>
      <c r="H2212" s="6">
        <v>40.68</v>
      </c>
      <c r="I2212" s="6" t="str">
        <f>_xlfn.CONCAT("Art. złączny do produktu ",Tabela10[[#This Row],[KOD_PRODUKTU]])</f>
        <v>Art. złączny do produktu 908W42-110</v>
      </c>
      <c r="J2212" s="6" t="str">
        <f>_xlfn.CONCAT("VE-",Tabela10[[#This Row],[KOD_PRODUKTU]])</f>
        <v>VE-908W42-110</v>
      </c>
    </row>
    <row r="2213" spans="1:10" x14ac:dyDescent="0.25">
      <c r="A2213" s="1" t="s">
        <v>4529</v>
      </c>
      <c r="B2213" t="s">
        <v>4530</v>
      </c>
      <c r="C2213" s="1" t="s">
        <v>1335</v>
      </c>
      <c r="D2213" t="s">
        <v>1336</v>
      </c>
      <c r="E2213" t="s">
        <v>3722</v>
      </c>
      <c r="F2213" t="s">
        <v>49</v>
      </c>
      <c r="G2213" t="s">
        <v>50</v>
      </c>
      <c r="H2213">
        <v>34</v>
      </c>
      <c r="I2213" s="6" t="str">
        <f>_xlfn.CONCAT("Art. złączny do produktu ",Tabela10[[#This Row],[KOD_PRODUKTU]])</f>
        <v>Art. złączny do produktu 908W43-110</v>
      </c>
      <c r="J2213" s="6" t="str">
        <f>_xlfn.CONCAT("VE-",Tabela10[[#This Row],[KOD_PRODUKTU]])</f>
        <v>VE-908W43-110</v>
      </c>
    </row>
    <row r="2214" spans="1:10" x14ac:dyDescent="0.25">
      <c r="A2214" s="7" t="s">
        <v>4529</v>
      </c>
      <c r="B2214" s="6" t="s">
        <v>4530</v>
      </c>
      <c r="C2214" s="7" t="s">
        <v>541</v>
      </c>
      <c r="D2214" s="6" t="s">
        <v>542</v>
      </c>
      <c r="E2214" s="6" t="s">
        <v>9</v>
      </c>
      <c r="F2214" s="6" t="s">
        <v>10</v>
      </c>
      <c r="G2214" s="6" t="s">
        <v>4531</v>
      </c>
      <c r="H2214" s="6">
        <v>25.79</v>
      </c>
      <c r="I2214" s="6" t="str">
        <f>_xlfn.CONCAT("Art. złączny do produktu ",Tabela10[[#This Row],[KOD_PRODUKTU]])</f>
        <v>Art. złączny do produktu 908W43-110</v>
      </c>
      <c r="J2214" s="6" t="str">
        <f>_xlfn.CONCAT("VE-",Tabela10[[#This Row],[KOD_PRODUKTU]])</f>
        <v>VE-908W43-110</v>
      </c>
    </row>
    <row r="2215" spans="1:10" x14ac:dyDescent="0.25">
      <c r="A2215" s="1" t="s">
        <v>4532</v>
      </c>
      <c r="B2215" t="s">
        <v>4533</v>
      </c>
      <c r="C2215" s="1" t="s">
        <v>1335</v>
      </c>
      <c r="D2215" t="s">
        <v>1336</v>
      </c>
      <c r="E2215" t="s">
        <v>3722</v>
      </c>
      <c r="F2215" t="s">
        <v>49</v>
      </c>
      <c r="G2215" t="s">
        <v>50</v>
      </c>
      <c r="H2215">
        <v>34</v>
      </c>
      <c r="I2215" s="6" t="str">
        <f>_xlfn.CONCAT("Art. złączny do produktu ",Tabela10[[#This Row],[KOD_PRODUKTU]])</f>
        <v>Art. złączny do produktu 908W61-110</v>
      </c>
      <c r="J2215" s="6" t="str">
        <f>_xlfn.CONCAT("VE-",Tabela10[[#This Row],[KOD_PRODUKTU]])</f>
        <v>VE-908W61-110</v>
      </c>
    </row>
    <row r="2216" spans="1:10" x14ac:dyDescent="0.25">
      <c r="A2216" s="7" t="s">
        <v>4532</v>
      </c>
      <c r="B2216" s="6" t="s">
        <v>4533</v>
      </c>
      <c r="C2216" s="7" t="s">
        <v>7</v>
      </c>
      <c r="D2216" s="6" t="s">
        <v>8</v>
      </c>
      <c r="E2216" s="6" t="s">
        <v>9</v>
      </c>
      <c r="F2216" s="6" t="s">
        <v>10</v>
      </c>
      <c r="G2216" s="6" t="s">
        <v>4534</v>
      </c>
      <c r="H2216" s="6">
        <v>41.17</v>
      </c>
      <c r="I2216" s="6" t="str">
        <f>_xlfn.CONCAT("Art. złączny do produktu ",Tabela10[[#This Row],[KOD_PRODUKTU]])</f>
        <v>Art. złączny do produktu 908W61-110</v>
      </c>
      <c r="J2216" s="6" t="str">
        <f>_xlfn.CONCAT("VE-",Tabela10[[#This Row],[KOD_PRODUKTU]])</f>
        <v>VE-908W61-110</v>
      </c>
    </row>
    <row r="2217" spans="1:10" x14ac:dyDescent="0.25">
      <c r="A2217" s="1" t="s">
        <v>4535</v>
      </c>
      <c r="B2217" t="s">
        <v>4536</v>
      </c>
      <c r="C2217" s="1" t="s">
        <v>1335</v>
      </c>
      <c r="D2217" t="s">
        <v>1336</v>
      </c>
      <c r="E2217" t="s">
        <v>3722</v>
      </c>
      <c r="F2217" t="s">
        <v>49</v>
      </c>
      <c r="G2217" t="s">
        <v>50</v>
      </c>
      <c r="H2217">
        <v>34</v>
      </c>
      <c r="I2217" s="6" t="str">
        <f>_xlfn.CONCAT("Art. złączny do produktu ",Tabela10[[#This Row],[KOD_PRODUKTU]])</f>
        <v>Art. złączny do produktu 908W68-110</v>
      </c>
      <c r="J2217" s="6" t="str">
        <f>_xlfn.CONCAT("VE-",Tabela10[[#This Row],[KOD_PRODUKTU]])</f>
        <v>VE-908W68-110</v>
      </c>
    </row>
    <row r="2218" spans="1:10" x14ac:dyDescent="0.25">
      <c r="A2218" s="7" t="s">
        <v>4535</v>
      </c>
      <c r="B2218" s="6" t="s">
        <v>4536</v>
      </c>
      <c r="C2218" s="7" t="s">
        <v>541</v>
      </c>
      <c r="D2218" s="6" t="s">
        <v>542</v>
      </c>
      <c r="E2218" s="6" t="s">
        <v>9</v>
      </c>
      <c r="F2218" s="6" t="s">
        <v>10</v>
      </c>
      <c r="G2218" s="6" t="s">
        <v>4537</v>
      </c>
      <c r="H2218" s="6">
        <v>41.16</v>
      </c>
      <c r="I2218" s="6" t="str">
        <f>_xlfn.CONCAT("Art. złączny do produktu ",Tabela10[[#This Row],[KOD_PRODUKTU]])</f>
        <v>Art. złączny do produktu 908W68-110</v>
      </c>
      <c r="J2218" s="6" t="str">
        <f>_xlfn.CONCAT("VE-",Tabela10[[#This Row],[KOD_PRODUKTU]])</f>
        <v>VE-908W68-110</v>
      </c>
    </row>
    <row r="2219" spans="1:10" x14ac:dyDescent="0.25">
      <c r="A2219" s="1" t="s">
        <v>4538</v>
      </c>
      <c r="B2219" t="s">
        <v>4539</v>
      </c>
      <c r="C2219" s="1" t="s">
        <v>1335</v>
      </c>
      <c r="D2219" t="s">
        <v>1336</v>
      </c>
      <c r="E2219" t="s">
        <v>3722</v>
      </c>
      <c r="F2219" t="s">
        <v>49</v>
      </c>
      <c r="G2219" t="s">
        <v>50</v>
      </c>
      <c r="H2219">
        <v>34</v>
      </c>
      <c r="I2219" s="6" t="str">
        <f>_xlfn.CONCAT("Art. złączny do produktu ",Tabela10[[#This Row],[KOD_PRODUKTU]])</f>
        <v>Art. złączny do produktu 908W69-110</v>
      </c>
      <c r="J2219" s="6" t="str">
        <f>_xlfn.CONCAT("VE-",Tabela10[[#This Row],[KOD_PRODUKTU]])</f>
        <v>VE-908W69-110</v>
      </c>
    </row>
    <row r="2220" spans="1:10" x14ac:dyDescent="0.25">
      <c r="A2220" s="7" t="s">
        <v>4538</v>
      </c>
      <c r="B2220" s="6" t="s">
        <v>4539</v>
      </c>
      <c r="C2220" s="7" t="s">
        <v>541</v>
      </c>
      <c r="D2220" s="6" t="s">
        <v>542</v>
      </c>
      <c r="E2220" s="6" t="s">
        <v>9</v>
      </c>
      <c r="F2220" s="6" t="s">
        <v>10</v>
      </c>
      <c r="G2220" s="6" t="s">
        <v>4534</v>
      </c>
      <c r="H2220" s="6">
        <v>41.17</v>
      </c>
      <c r="I2220" s="6" t="str">
        <f>_xlfn.CONCAT("Art. złączny do produktu ",Tabela10[[#This Row],[KOD_PRODUKTU]])</f>
        <v>Art. złączny do produktu 908W69-110</v>
      </c>
      <c r="J2220" s="6" t="str">
        <f>_xlfn.CONCAT("VE-",Tabela10[[#This Row],[KOD_PRODUKTU]])</f>
        <v>VE-908W69-110</v>
      </c>
    </row>
    <row r="2221" spans="1:10" x14ac:dyDescent="0.25">
      <c r="A2221" s="1" t="s">
        <v>4540</v>
      </c>
      <c r="B2221" t="s">
        <v>4541</v>
      </c>
      <c r="C2221" s="1" t="s">
        <v>1327</v>
      </c>
      <c r="D2221" t="s">
        <v>3727</v>
      </c>
      <c r="E2221" t="s">
        <v>1329</v>
      </c>
      <c r="F2221" t="s">
        <v>49</v>
      </c>
      <c r="G2221" t="s">
        <v>50</v>
      </c>
      <c r="H2221">
        <v>220</v>
      </c>
      <c r="I2221" s="6" t="str">
        <f>_xlfn.CONCAT("Art. złączny do produktu ",Tabela10[[#This Row],[KOD_PRODUKTU]])</f>
        <v>Art. złączny do produktu 908W70-110</v>
      </c>
      <c r="J2221" s="6" t="str">
        <f>_xlfn.CONCAT("VE-",Tabela10[[#This Row],[KOD_PRODUKTU]])</f>
        <v>VE-908W70-110</v>
      </c>
    </row>
    <row r="2222" spans="1:10" x14ac:dyDescent="0.25">
      <c r="A2222" s="7" t="s">
        <v>4540</v>
      </c>
      <c r="B2222" s="6" t="s">
        <v>4541</v>
      </c>
      <c r="C2222" s="7" t="s">
        <v>541</v>
      </c>
      <c r="D2222" s="6" t="s">
        <v>542</v>
      </c>
      <c r="E2222" s="6" t="s">
        <v>9</v>
      </c>
      <c r="F2222" s="6" t="s">
        <v>10</v>
      </c>
      <c r="G2222" s="6" t="s">
        <v>4542</v>
      </c>
      <c r="H2222" s="6">
        <v>38.89</v>
      </c>
      <c r="I2222" s="6" t="str">
        <f>_xlfn.CONCAT("Art. złączny do produktu ",Tabela10[[#This Row],[KOD_PRODUKTU]])</f>
        <v>Art. złączny do produktu 908W70-110</v>
      </c>
      <c r="J2222" s="6" t="str">
        <f>_xlfn.CONCAT("VE-",Tabela10[[#This Row],[KOD_PRODUKTU]])</f>
        <v>VE-908W70-110</v>
      </c>
    </row>
    <row r="2223" spans="1:10" x14ac:dyDescent="0.25">
      <c r="A2223" s="1" t="s">
        <v>4540</v>
      </c>
      <c r="B2223" t="s">
        <v>4541</v>
      </c>
      <c r="C2223" s="1" t="s">
        <v>541</v>
      </c>
      <c r="D2223" t="s">
        <v>542</v>
      </c>
      <c r="E2223" t="s">
        <v>9</v>
      </c>
      <c r="F2223" t="s">
        <v>10</v>
      </c>
      <c r="G2223" t="s">
        <v>4543</v>
      </c>
      <c r="H2223">
        <v>53</v>
      </c>
      <c r="I2223" s="6" t="str">
        <f>_xlfn.CONCAT("Art. złączny do produktu ",Tabela10[[#This Row],[KOD_PRODUKTU]])</f>
        <v>Art. złączny do produktu 908W70-110</v>
      </c>
      <c r="J2223" s="6" t="str">
        <f>_xlfn.CONCAT("VE-",Tabela10[[#This Row],[KOD_PRODUKTU]])</f>
        <v>VE-908W70-110</v>
      </c>
    </row>
    <row r="2224" spans="1:10" x14ac:dyDescent="0.25">
      <c r="A2224" s="7" t="s">
        <v>4544</v>
      </c>
      <c r="B2224" s="6" t="s">
        <v>4545</v>
      </c>
      <c r="C2224" s="7" t="s">
        <v>1041</v>
      </c>
      <c r="D2224" s="6" t="s">
        <v>4546</v>
      </c>
      <c r="E2224" s="6" t="s">
        <v>712</v>
      </c>
      <c r="F2224" s="6" t="s">
        <v>17</v>
      </c>
      <c r="G2224" s="6" t="s">
        <v>4547</v>
      </c>
      <c r="H2224" s="6">
        <v>24.8</v>
      </c>
      <c r="I2224" s="6" t="str">
        <f>_xlfn.CONCAT("Art. złączny do produktu ",Tabela10[[#This Row],[KOD_PRODUKTU]])</f>
        <v>Art. złączny do produktu 909C14-100</v>
      </c>
      <c r="J2224" s="6" t="str">
        <f>_xlfn.CONCAT("VE-",Tabela10[[#This Row],[KOD_PRODUKTU]])</f>
        <v>VE-909C14-100</v>
      </c>
    </row>
    <row r="2225" spans="1:10" x14ac:dyDescent="0.25">
      <c r="A2225" s="1" t="s">
        <v>4544</v>
      </c>
      <c r="B2225" t="s">
        <v>4545</v>
      </c>
      <c r="C2225" s="1" t="s">
        <v>7</v>
      </c>
      <c r="D2225" t="s">
        <v>8</v>
      </c>
      <c r="E2225" t="s">
        <v>9</v>
      </c>
      <c r="F2225" t="s">
        <v>10</v>
      </c>
      <c r="G2225" t="s">
        <v>19</v>
      </c>
      <c r="H2225">
        <v>4.5999999999999996</v>
      </c>
      <c r="I2225" s="6" t="str">
        <f>_xlfn.CONCAT("Art. złączny do produktu ",Tabela10[[#This Row],[KOD_PRODUKTU]])</f>
        <v>Art. złączny do produktu 909C14-100</v>
      </c>
      <c r="J2225" s="6" t="str">
        <f>_xlfn.CONCAT("VE-",Tabela10[[#This Row],[KOD_PRODUKTU]])</f>
        <v>VE-909C14-100</v>
      </c>
    </row>
    <row r="2226" spans="1:10" x14ac:dyDescent="0.25">
      <c r="A2226" s="7" t="s">
        <v>4548</v>
      </c>
      <c r="B2226" s="6" t="s">
        <v>4549</v>
      </c>
      <c r="C2226" s="7" t="s">
        <v>3407</v>
      </c>
      <c r="D2226" s="6" t="s">
        <v>3408</v>
      </c>
      <c r="E2226" s="6" t="s">
        <v>70</v>
      </c>
      <c r="F2226" s="6" t="s">
        <v>5</v>
      </c>
      <c r="G2226" s="6" t="s">
        <v>367</v>
      </c>
      <c r="H2226" s="6">
        <v>0.25</v>
      </c>
      <c r="I2226" s="6" t="str">
        <f>_xlfn.CONCAT("Art. złączny do produktu ",Tabela10[[#This Row],[KOD_PRODUKTU]])</f>
        <v>Art. złączny do produktu 909P40-100</v>
      </c>
      <c r="J2226" s="6" t="str">
        <f>_xlfn.CONCAT("VE-",Tabela10[[#This Row],[KOD_PRODUKTU]])</f>
        <v>VE-909P40-100</v>
      </c>
    </row>
    <row r="2227" spans="1:10" x14ac:dyDescent="0.25">
      <c r="A2227" s="1" t="s">
        <v>4548</v>
      </c>
      <c r="B2227" t="s">
        <v>4549</v>
      </c>
      <c r="C2227" s="1" t="s">
        <v>432</v>
      </c>
      <c r="D2227" t="s">
        <v>433</v>
      </c>
      <c r="E2227" t="s">
        <v>434</v>
      </c>
      <c r="F2227" t="s">
        <v>435</v>
      </c>
      <c r="G2227" t="s">
        <v>50</v>
      </c>
      <c r="H2227">
        <v>1.1000000000000001</v>
      </c>
      <c r="I2227" s="6" t="str">
        <f>_xlfn.CONCAT("Art. złączny do produktu ",Tabela10[[#This Row],[KOD_PRODUKTU]])</f>
        <v>Art. złączny do produktu 909P40-100</v>
      </c>
      <c r="J2227" s="6" t="str">
        <f>_xlfn.CONCAT("VE-",Tabela10[[#This Row],[KOD_PRODUKTU]])</f>
        <v>VE-909P40-100</v>
      </c>
    </row>
    <row r="2228" spans="1:10" x14ac:dyDescent="0.25">
      <c r="A2228" s="7" t="s">
        <v>4548</v>
      </c>
      <c r="B2228" s="6" t="s">
        <v>4549</v>
      </c>
      <c r="C2228" s="7" t="s">
        <v>7</v>
      </c>
      <c r="D2228" s="6" t="s">
        <v>8</v>
      </c>
      <c r="E2228" s="6" t="s">
        <v>9</v>
      </c>
      <c r="F2228" s="6" t="s">
        <v>10</v>
      </c>
      <c r="G2228" s="6" t="s">
        <v>33</v>
      </c>
      <c r="H2228" s="6">
        <v>9.1999999999999993</v>
      </c>
      <c r="I2228" s="6" t="str">
        <f>_xlfn.CONCAT("Art. złączny do produktu ",Tabela10[[#This Row],[KOD_PRODUKTU]])</f>
        <v>Art. złączny do produktu 909P40-100</v>
      </c>
      <c r="J2228" s="6" t="str">
        <f>_xlfn.CONCAT("VE-",Tabela10[[#This Row],[KOD_PRODUKTU]])</f>
        <v>VE-909P40-100</v>
      </c>
    </row>
    <row r="2229" spans="1:10" x14ac:dyDescent="0.25">
      <c r="A2229" s="1" t="s">
        <v>4550</v>
      </c>
      <c r="B2229" t="s">
        <v>4551</v>
      </c>
      <c r="C2229" s="1" t="s">
        <v>4552</v>
      </c>
      <c r="D2229" t="s">
        <v>4553</v>
      </c>
      <c r="E2229" t="s">
        <v>4554</v>
      </c>
      <c r="F2229" t="s">
        <v>5</v>
      </c>
      <c r="G2229" t="s">
        <v>4555</v>
      </c>
      <c r="H2229">
        <v>0.25</v>
      </c>
      <c r="I2229" s="6" t="str">
        <f>_xlfn.CONCAT("Art. złączny do produktu ",Tabela10[[#This Row],[KOD_PRODUKTU]])</f>
        <v>Art. złączny do produktu 909P40-101</v>
      </c>
      <c r="J2229" s="6" t="str">
        <f>_xlfn.CONCAT("VE-",Tabela10[[#This Row],[KOD_PRODUKTU]])</f>
        <v>VE-909P40-101</v>
      </c>
    </row>
    <row r="2230" spans="1:10" x14ac:dyDescent="0.25">
      <c r="A2230" s="7" t="s">
        <v>4550</v>
      </c>
      <c r="B2230" s="6" t="s">
        <v>4551</v>
      </c>
      <c r="C2230" s="7" t="s">
        <v>7</v>
      </c>
      <c r="D2230" s="6" t="s">
        <v>8</v>
      </c>
      <c r="E2230" s="6" t="s">
        <v>9</v>
      </c>
      <c r="F2230" s="6" t="s">
        <v>10</v>
      </c>
      <c r="G2230" s="6" t="s">
        <v>4556</v>
      </c>
      <c r="H2230" s="6">
        <v>2.56</v>
      </c>
      <c r="I2230" s="6" t="str">
        <f>_xlfn.CONCAT("Art. złączny do produktu ",Tabela10[[#This Row],[KOD_PRODUKTU]])</f>
        <v>Art. złączny do produktu 909P40-101</v>
      </c>
      <c r="J2230" s="6" t="str">
        <f>_xlfn.CONCAT("VE-",Tabela10[[#This Row],[KOD_PRODUKTU]])</f>
        <v>VE-909P40-101</v>
      </c>
    </row>
    <row r="2231" spans="1:10" x14ac:dyDescent="0.25">
      <c r="A2231" s="1" t="s">
        <v>4557</v>
      </c>
      <c r="B2231" t="s">
        <v>4558</v>
      </c>
      <c r="C2231" s="1" t="s">
        <v>2522</v>
      </c>
      <c r="D2231" t="s">
        <v>2523</v>
      </c>
      <c r="E2231" t="s">
        <v>1354</v>
      </c>
      <c r="F2231" t="s">
        <v>5</v>
      </c>
      <c r="G2231" t="s">
        <v>4559</v>
      </c>
      <c r="H2231">
        <v>5.9</v>
      </c>
      <c r="I2231" s="6" t="str">
        <f>_xlfn.CONCAT("Art. złączny do produktu ",Tabela10[[#This Row],[KOD_PRODUKTU]])</f>
        <v>Art. złączny do produktu 909P40-102</v>
      </c>
      <c r="J2231" s="6" t="str">
        <f>_xlfn.CONCAT("VE-",Tabela10[[#This Row],[KOD_PRODUKTU]])</f>
        <v>VE-909P40-102</v>
      </c>
    </row>
    <row r="2232" spans="1:10" x14ac:dyDescent="0.25">
      <c r="A2232" s="7" t="s">
        <v>4557</v>
      </c>
      <c r="B2232" s="6" t="s">
        <v>4558</v>
      </c>
      <c r="C2232" s="7" t="s">
        <v>7</v>
      </c>
      <c r="D2232" s="6" t="s">
        <v>8</v>
      </c>
      <c r="E2232" s="6" t="s">
        <v>9</v>
      </c>
      <c r="F2232" s="6" t="s">
        <v>10</v>
      </c>
      <c r="G2232" s="6" t="s">
        <v>367</v>
      </c>
      <c r="H2232" s="6">
        <v>2.2999999999999998</v>
      </c>
      <c r="I2232" s="6" t="str">
        <f>_xlfn.CONCAT("Art. złączny do produktu ",Tabela10[[#This Row],[KOD_PRODUKTU]])</f>
        <v>Art. złączny do produktu 909P40-102</v>
      </c>
      <c r="J2232" s="6" t="str">
        <f>_xlfn.CONCAT("VE-",Tabela10[[#This Row],[KOD_PRODUKTU]])</f>
        <v>VE-909P40-102</v>
      </c>
    </row>
    <row r="2233" spans="1:10" x14ac:dyDescent="0.25">
      <c r="A2233" s="1" t="s">
        <v>4560</v>
      </c>
      <c r="B2233" t="s">
        <v>4561</v>
      </c>
      <c r="C2233" s="1" t="s">
        <v>7</v>
      </c>
      <c r="D2233" t="s">
        <v>8</v>
      </c>
      <c r="E2233" t="s">
        <v>9</v>
      </c>
      <c r="F2233" t="s">
        <v>10</v>
      </c>
      <c r="G2233" t="s">
        <v>1966</v>
      </c>
      <c r="H2233">
        <v>1.93</v>
      </c>
      <c r="I2233" s="6" t="str">
        <f>_xlfn.CONCAT("Art. złączny do produktu ",Tabela10[[#This Row],[KOD_PRODUKTU]])</f>
        <v>Art. złączny do produktu 910H01-100</v>
      </c>
      <c r="J2233" s="6" t="str">
        <f>_xlfn.CONCAT("VE-",Tabela10[[#This Row],[KOD_PRODUKTU]])</f>
        <v>VE-910H01-100</v>
      </c>
    </row>
    <row r="2234" spans="1:10" x14ac:dyDescent="0.25">
      <c r="A2234" s="7" t="s">
        <v>4562</v>
      </c>
      <c r="B2234" s="6" t="s">
        <v>4563</v>
      </c>
      <c r="C2234" s="7" t="s">
        <v>7</v>
      </c>
      <c r="D2234" s="6" t="s">
        <v>8</v>
      </c>
      <c r="E2234" s="6" t="s">
        <v>9</v>
      </c>
      <c r="F2234" s="6" t="s">
        <v>10</v>
      </c>
      <c r="G2234" s="6" t="s">
        <v>3611</v>
      </c>
      <c r="H2234" s="6">
        <v>8.2100000000000009</v>
      </c>
      <c r="I2234" s="6" t="str">
        <f>_xlfn.CONCAT("Art. złączny do produktu ",Tabela10[[#This Row],[KOD_PRODUKTU]])</f>
        <v>Art. złączny do produktu 910H01-200</v>
      </c>
      <c r="J2234" s="6" t="str">
        <f>_xlfn.CONCAT("VE-",Tabela10[[#This Row],[KOD_PRODUKTU]])</f>
        <v>VE-910H01-200</v>
      </c>
    </row>
    <row r="2235" spans="1:10" x14ac:dyDescent="0.25">
      <c r="A2235" s="1" t="s">
        <v>4564</v>
      </c>
      <c r="B2235" t="s">
        <v>4565</v>
      </c>
      <c r="C2235" s="1" t="s">
        <v>1367</v>
      </c>
      <c r="D2235" t="s">
        <v>2132</v>
      </c>
      <c r="E2235" t="s">
        <v>1347</v>
      </c>
      <c r="F2235" t="s">
        <v>5</v>
      </c>
      <c r="G2235" t="s">
        <v>2770</v>
      </c>
      <c r="H2235">
        <v>0.15</v>
      </c>
      <c r="I2235" s="6" t="str">
        <f>_xlfn.CONCAT("Art. złączny do produktu ",Tabela10[[#This Row],[KOD_PRODUKTU]])</f>
        <v>Art. złączny do produktu 910H49-210</v>
      </c>
      <c r="J2235" s="6" t="str">
        <f>_xlfn.CONCAT("VE-",Tabela10[[#This Row],[KOD_PRODUKTU]])</f>
        <v>VE-910H49-210</v>
      </c>
    </row>
    <row r="2236" spans="1:10" x14ac:dyDescent="0.25">
      <c r="A2236" s="7" t="s">
        <v>4564</v>
      </c>
      <c r="B2236" s="6" t="s">
        <v>4565</v>
      </c>
      <c r="C2236" s="7" t="s">
        <v>7</v>
      </c>
      <c r="D2236" s="6" t="s">
        <v>8</v>
      </c>
      <c r="E2236" s="6" t="s">
        <v>9</v>
      </c>
      <c r="F2236" s="6" t="s">
        <v>10</v>
      </c>
      <c r="G2236" s="6" t="s">
        <v>4566</v>
      </c>
      <c r="H2236" s="6">
        <v>0.55000000000000004</v>
      </c>
      <c r="I2236" s="6" t="str">
        <f>_xlfn.CONCAT("Art. złączny do produktu ",Tabela10[[#This Row],[KOD_PRODUKTU]])</f>
        <v>Art. złączny do produktu 910H49-210</v>
      </c>
      <c r="J2236" s="6" t="str">
        <f>_xlfn.CONCAT("VE-",Tabela10[[#This Row],[KOD_PRODUKTU]])</f>
        <v>VE-910H49-210</v>
      </c>
    </row>
    <row r="2237" spans="1:10" x14ac:dyDescent="0.25">
      <c r="A2237" s="1" t="s">
        <v>4567</v>
      </c>
      <c r="B2237" t="s">
        <v>4568</v>
      </c>
      <c r="C2237" s="1" t="s">
        <v>1367</v>
      </c>
      <c r="D2237" t="s">
        <v>2132</v>
      </c>
      <c r="E2237" t="s">
        <v>1347</v>
      </c>
      <c r="F2237" t="s">
        <v>5</v>
      </c>
      <c r="G2237" t="s">
        <v>2770</v>
      </c>
      <c r="H2237">
        <v>0.15</v>
      </c>
      <c r="I2237" s="6" t="str">
        <f>_xlfn.CONCAT("Art. złączny do produktu ",Tabela10[[#This Row],[KOD_PRODUKTU]])</f>
        <v>Art. złączny do produktu 910H49-220</v>
      </c>
      <c r="J2237" s="6" t="str">
        <f>_xlfn.CONCAT("VE-",Tabela10[[#This Row],[KOD_PRODUKTU]])</f>
        <v>VE-910H49-220</v>
      </c>
    </row>
    <row r="2238" spans="1:10" x14ac:dyDescent="0.25">
      <c r="A2238" s="7" t="s">
        <v>4567</v>
      </c>
      <c r="B2238" s="6" t="s">
        <v>4568</v>
      </c>
      <c r="C2238" s="7" t="s">
        <v>541</v>
      </c>
      <c r="D2238" s="6" t="s">
        <v>542</v>
      </c>
      <c r="E2238" s="6" t="s">
        <v>9</v>
      </c>
      <c r="F2238" s="6" t="s">
        <v>10</v>
      </c>
      <c r="G2238" s="6" t="s">
        <v>4566</v>
      </c>
      <c r="H2238" s="6">
        <v>0.55000000000000004</v>
      </c>
      <c r="I2238" s="6" t="str">
        <f>_xlfn.CONCAT("Art. złączny do produktu ",Tabela10[[#This Row],[KOD_PRODUKTU]])</f>
        <v>Art. złączny do produktu 910H49-220</v>
      </c>
      <c r="J2238" s="6" t="str">
        <f>_xlfn.CONCAT("VE-",Tabela10[[#This Row],[KOD_PRODUKTU]])</f>
        <v>VE-910H49-220</v>
      </c>
    </row>
    <row r="2239" spans="1:10" x14ac:dyDescent="0.25">
      <c r="A2239" s="1" t="s">
        <v>4570</v>
      </c>
      <c r="B2239" t="s">
        <v>4571</v>
      </c>
      <c r="C2239" s="1" t="s">
        <v>4552</v>
      </c>
      <c r="D2239" t="s">
        <v>4553</v>
      </c>
      <c r="E2239" t="s">
        <v>4554</v>
      </c>
      <c r="F2239" t="s">
        <v>5</v>
      </c>
      <c r="G2239" t="s">
        <v>4118</v>
      </c>
      <c r="H2239">
        <v>7.45</v>
      </c>
      <c r="I2239" s="6" t="str">
        <f>_xlfn.CONCAT("Art. złączny do produktu ",Tabela10[[#This Row],[KOD_PRODUKTU]])</f>
        <v>Art. złączny do produktu 910R01-510</v>
      </c>
      <c r="J2239" s="6" t="str">
        <f>_xlfn.CONCAT("VE-",Tabela10[[#This Row],[KOD_PRODUKTU]])</f>
        <v>VE-910R01-510</v>
      </c>
    </row>
    <row r="2240" spans="1:10" x14ac:dyDescent="0.25">
      <c r="A2240" s="7" t="s">
        <v>4570</v>
      </c>
      <c r="B2240" s="6" t="s">
        <v>4571</v>
      </c>
      <c r="C2240" s="7" t="s">
        <v>7</v>
      </c>
      <c r="D2240" s="6" t="s">
        <v>8</v>
      </c>
      <c r="E2240" s="6" t="s">
        <v>9</v>
      </c>
      <c r="F2240" s="6" t="s">
        <v>10</v>
      </c>
      <c r="G2240" s="6" t="s">
        <v>1791</v>
      </c>
      <c r="H2240" s="6">
        <v>2.4500000000000002</v>
      </c>
      <c r="I2240" s="6" t="str">
        <f>_xlfn.CONCAT("Art. złączny do produktu ",Tabela10[[#This Row],[KOD_PRODUKTU]])</f>
        <v>Art. złączny do produktu 910R01-510</v>
      </c>
      <c r="J2240" s="6" t="str">
        <f>_xlfn.CONCAT("VE-",Tabela10[[#This Row],[KOD_PRODUKTU]])</f>
        <v>VE-910R01-510</v>
      </c>
    </row>
    <row r="2241" spans="1:10" x14ac:dyDescent="0.25">
      <c r="A2241" s="1" t="s">
        <v>4572</v>
      </c>
      <c r="B2241" t="s">
        <v>4573</v>
      </c>
      <c r="C2241" s="1" t="s">
        <v>1378</v>
      </c>
      <c r="D2241" t="s">
        <v>1379</v>
      </c>
      <c r="E2241" t="s">
        <v>1043</v>
      </c>
      <c r="F2241" t="s">
        <v>5</v>
      </c>
      <c r="G2241" t="s">
        <v>4468</v>
      </c>
      <c r="H2241">
        <v>0.2</v>
      </c>
      <c r="I2241" s="6" t="str">
        <f>_xlfn.CONCAT("Art. złączny do produktu ",Tabela10[[#This Row],[KOD_PRODUKTU]])</f>
        <v>Art. złączny do produktu 910R02-550</v>
      </c>
      <c r="J2241" s="6" t="str">
        <f>_xlfn.CONCAT("VE-",Tabela10[[#This Row],[KOD_PRODUKTU]])</f>
        <v>VE-910R02-550</v>
      </c>
    </row>
    <row r="2242" spans="1:10" x14ac:dyDescent="0.25">
      <c r="A2242" s="7" t="s">
        <v>4572</v>
      </c>
      <c r="B2242" s="6" t="s">
        <v>4573</v>
      </c>
      <c r="C2242" s="7" t="s">
        <v>7</v>
      </c>
      <c r="D2242" s="6" t="s">
        <v>8</v>
      </c>
      <c r="E2242" s="6" t="s">
        <v>9</v>
      </c>
      <c r="F2242" s="6" t="s">
        <v>10</v>
      </c>
      <c r="G2242" s="6" t="s">
        <v>4003</v>
      </c>
      <c r="H2242" s="6">
        <v>1.75</v>
      </c>
      <c r="I2242" s="6" t="str">
        <f>_xlfn.CONCAT("Art. złączny do produktu ",Tabela10[[#This Row],[KOD_PRODUKTU]])</f>
        <v>Art. złączny do produktu 910R02-550</v>
      </c>
      <c r="J2242" s="6" t="str">
        <f>_xlfn.CONCAT("VE-",Tabela10[[#This Row],[KOD_PRODUKTU]])</f>
        <v>VE-910R02-550</v>
      </c>
    </row>
    <row r="2243" spans="1:10" x14ac:dyDescent="0.25">
      <c r="A2243" s="1" t="s">
        <v>4574</v>
      </c>
      <c r="B2243" t="s">
        <v>4575</v>
      </c>
      <c r="C2243" s="1" t="s">
        <v>4576</v>
      </c>
      <c r="D2243" t="s">
        <v>4577</v>
      </c>
      <c r="E2243" t="s">
        <v>4578</v>
      </c>
      <c r="F2243" t="s">
        <v>49</v>
      </c>
      <c r="G2243" t="s">
        <v>50</v>
      </c>
      <c r="H2243">
        <v>133.30000000000001</v>
      </c>
      <c r="I2243" s="6" t="str">
        <f>_xlfn.CONCAT("Art. złączny do produktu ",Tabela10[[#This Row],[KOD_PRODUKTU]])</f>
        <v>Art. złączny do produktu 910R16E-210</v>
      </c>
      <c r="J2243" s="6" t="str">
        <f>_xlfn.CONCAT("VE-",Tabela10[[#This Row],[KOD_PRODUKTU]])</f>
        <v>VE-910R16E-210</v>
      </c>
    </row>
    <row r="2244" spans="1:10" x14ac:dyDescent="0.25">
      <c r="A2244" s="7" t="s">
        <v>4574</v>
      </c>
      <c r="B2244" s="6" t="s">
        <v>4575</v>
      </c>
      <c r="C2244" s="7" t="s">
        <v>4579</v>
      </c>
      <c r="D2244" s="6" t="s">
        <v>4580</v>
      </c>
      <c r="E2244" s="6" t="s">
        <v>4578</v>
      </c>
      <c r="F2244" s="6" t="s">
        <v>49</v>
      </c>
      <c r="G2244" s="6" t="s">
        <v>50</v>
      </c>
      <c r="H2244" s="6">
        <v>133.30000000000001</v>
      </c>
      <c r="I2244" s="6" t="str">
        <f>_xlfn.CONCAT("Art. złączny do produktu ",Tabela10[[#This Row],[KOD_PRODUKTU]])</f>
        <v>Art. złączny do produktu 910R16E-210</v>
      </c>
      <c r="J2244" s="6" t="str">
        <f>_xlfn.CONCAT("VE-",Tabela10[[#This Row],[KOD_PRODUKTU]])</f>
        <v>VE-910R16E-210</v>
      </c>
    </row>
    <row r="2245" spans="1:10" x14ac:dyDescent="0.25">
      <c r="A2245" s="1" t="s">
        <v>4574</v>
      </c>
      <c r="B2245" t="s">
        <v>4575</v>
      </c>
      <c r="C2245" s="1" t="s">
        <v>4581</v>
      </c>
      <c r="D2245" t="s">
        <v>4582</v>
      </c>
      <c r="E2245" t="s">
        <v>4583</v>
      </c>
      <c r="F2245" t="s">
        <v>49</v>
      </c>
      <c r="G2245" t="s">
        <v>50</v>
      </c>
      <c r="H2245">
        <v>62</v>
      </c>
      <c r="I2245" s="6" t="str">
        <f>_xlfn.CONCAT("Art. złączny do produktu ",Tabela10[[#This Row],[KOD_PRODUKTU]])</f>
        <v>Art. złączny do produktu 910R16E-210</v>
      </c>
      <c r="J2245" s="6" t="str">
        <f>_xlfn.CONCAT("VE-",Tabela10[[#This Row],[KOD_PRODUKTU]])</f>
        <v>VE-910R16E-210</v>
      </c>
    </row>
    <row r="2246" spans="1:10" x14ac:dyDescent="0.25">
      <c r="A2246" s="7" t="s">
        <v>4574</v>
      </c>
      <c r="B2246" s="6" t="s">
        <v>4575</v>
      </c>
      <c r="C2246" s="7" t="s">
        <v>4584</v>
      </c>
      <c r="D2246" s="6" t="s">
        <v>4585</v>
      </c>
      <c r="E2246" s="6" t="s">
        <v>4586</v>
      </c>
      <c r="F2246" s="6" t="s">
        <v>49</v>
      </c>
      <c r="G2246" s="6" t="s">
        <v>50</v>
      </c>
      <c r="H2246" s="6">
        <v>52</v>
      </c>
      <c r="I2246" s="6" t="str">
        <f>_xlfn.CONCAT("Art. złączny do produktu ",Tabela10[[#This Row],[KOD_PRODUKTU]])</f>
        <v>Art. złączny do produktu 910R16E-210</v>
      </c>
      <c r="J2246" s="6" t="str">
        <f>_xlfn.CONCAT("VE-",Tabela10[[#This Row],[KOD_PRODUKTU]])</f>
        <v>VE-910R16E-210</v>
      </c>
    </row>
    <row r="2247" spans="1:10" x14ac:dyDescent="0.25">
      <c r="A2247" s="1" t="s">
        <v>4574</v>
      </c>
      <c r="B2247" t="s">
        <v>4575</v>
      </c>
      <c r="C2247" s="1" t="s">
        <v>4587</v>
      </c>
      <c r="D2247" t="s">
        <v>4588</v>
      </c>
      <c r="E2247" t="s">
        <v>151</v>
      </c>
      <c r="F2247" t="s">
        <v>49</v>
      </c>
      <c r="G2247" t="s">
        <v>92</v>
      </c>
      <c r="H2247">
        <v>4</v>
      </c>
      <c r="I2247" s="6" t="str">
        <f>_xlfn.CONCAT("Art. złączny do produktu ",Tabela10[[#This Row],[KOD_PRODUKTU]])</f>
        <v>Art. złączny do produktu 910R16E-210</v>
      </c>
      <c r="J2247" s="6" t="str">
        <f>_xlfn.CONCAT("VE-",Tabela10[[#This Row],[KOD_PRODUKTU]])</f>
        <v>VE-910R16E-210</v>
      </c>
    </row>
    <row r="2248" spans="1:10" x14ac:dyDescent="0.25">
      <c r="A2248" s="7" t="s">
        <v>4574</v>
      </c>
      <c r="B2248" s="6" t="s">
        <v>4575</v>
      </c>
      <c r="C2248" s="7" t="s">
        <v>857</v>
      </c>
      <c r="D2248" s="6" t="s">
        <v>858</v>
      </c>
      <c r="E2248" s="6" t="s">
        <v>686</v>
      </c>
      <c r="F2248" s="6" t="s">
        <v>49</v>
      </c>
      <c r="G2248" s="6" t="s">
        <v>4594</v>
      </c>
      <c r="H2248" s="6">
        <v>6</v>
      </c>
      <c r="I2248" s="6" t="str">
        <f>_xlfn.CONCAT("Art. złączny do produktu ",Tabela10[[#This Row],[KOD_PRODUKTU]])</f>
        <v>Art. złączny do produktu 910R16E-210</v>
      </c>
      <c r="J2248" s="6" t="str">
        <f>_xlfn.CONCAT("VE-",Tabela10[[#This Row],[KOD_PRODUKTU]])</f>
        <v>VE-910R16E-210</v>
      </c>
    </row>
    <row r="2249" spans="1:10" x14ac:dyDescent="0.25">
      <c r="A2249" s="1" t="s">
        <v>4574</v>
      </c>
      <c r="B2249" t="s">
        <v>4575</v>
      </c>
      <c r="C2249" s="1" t="s">
        <v>7</v>
      </c>
      <c r="D2249" t="s">
        <v>8</v>
      </c>
      <c r="E2249" t="s">
        <v>9</v>
      </c>
      <c r="F2249" t="s">
        <v>10</v>
      </c>
      <c r="G2249" t="s">
        <v>1254</v>
      </c>
      <c r="H2249">
        <v>16.100000000000001</v>
      </c>
      <c r="I2249" s="6" t="str">
        <f>_xlfn.CONCAT("Art. złączny do produktu ",Tabela10[[#This Row],[KOD_PRODUKTU]])</f>
        <v>Art. złączny do produktu 910R16E-210</v>
      </c>
      <c r="J2249" s="6" t="str">
        <f>_xlfn.CONCAT("VE-",Tabela10[[#This Row],[KOD_PRODUKTU]])</f>
        <v>VE-910R16E-210</v>
      </c>
    </row>
    <row r="2250" spans="1:10" x14ac:dyDescent="0.25">
      <c r="A2250" s="7" t="s">
        <v>4574</v>
      </c>
      <c r="B2250" s="6" t="s">
        <v>4575</v>
      </c>
      <c r="C2250" s="7" t="s">
        <v>7</v>
      </c>
      <c r="D2250" s="6" t="s">
        <v>8</v>
      </c>
      <c r="E2250" s="6" t="s">
        <v>9</v>
      </c>
      <c r="F2250" s="6" t="s">
        <v>10</v>
      </c>
      <c r="G2250" s="6" t="s">
        <v>3307</v>
      </c>
      <c r="H2250" s="6">
        <v>55.2</v>
      </c>
      <c r="I2250" s="6" t="str">
        <f>_xlfn.CONCAT("Art. złączny do produktu ",Tabela10[[#This Row],[KOD_PRODUKTU]])</f>
        <v>Art. złączny do produktu 910R16E-210</v>
      </c>
      <c r="J2250" s="6" t="str">
        <f>_xlfn.CONCAT("VE-",Tabela10[[#This Row],[KOD_PRODUKTU]])</f>
        <v>VE-910R16E-210</v>
      </c>
    </row>
    <row r="2251" spans="1:10" x14ac:dyDescent="0.25">
      <c r="A2251" s="1" t="s">
        <v>4597</v>
      </c>
      <c r="B2251" t="s">
        <v>4598</v>
      </c>
      <c r="C2251" s="1" t="s">
        <v>4599</v>
      </c>
      <c r="D2251" t="s">
        <v>4600</v>
      </c>
      <c r="E2251" t="s">
        <v>4601</v>
      </c>
      <c r="F2251" t="s">
        <v>49</v>
      </c>
      <c r="G2251" t="s">
        <v>50</v>
      </c>
      <c r="H2251">
        <v>38.4</v>
      </c>
      <c r="I2251" s="6" t="str">
        <f>_xlfn.CONCAT("Art. złączny do produktu ",Tabela10[[#This Row],[KOD_PRODUKTU]])</f>
        <v>Art. złączny do produktu 910R16E-250</v>
      </c>
      <c r="J2251" s="6" t="str">
        <f>_xlfn.CONCAT("VE-",Tabela10[[#This Row],[KOD_PRODUKTU]])</f>
        <v>VE-910R16E-250</v>
      </c>
    </row>
    <row r="2252" spans="1:10" x14ac:dyDescent="0.25">
      <c r="A2252" s="7" t="s">
        <v>4597</v>
      </c>
      <c r="B2252" s="6" t="s">
        <v>4598</v>
      </c>
      <c r="C2252" s="7" t="s">
        <v>4602</v>
      </c>
      <c r="D2252" s="6" t="s">
        <v>4603</v>
      </c>
      <c r="E2252" s="6" t="s">
        <v>4604</v>
      </c>
      <c r="F2252" s="6" t="s">
        <v>49</v>
      </c>
      <c r="G2252" s="6" t="s">
        <v>50</v>
      </c>
      <c r="H2252" s="6">
        <v>48.4</v>
      </c>
      <c r="I2252" s="6" t="str">
        <f>_xlfn.CONCAT("Art. złączny do produktu ",Tabela10[[#This Row],[KOD_PRODUKTU]])</f>
        <v>Art. złączny do produktu 910R16E-250</v>
      </c>
      <c r="J2252" s="6" t="str">
        <f>_xlfn.CONCAT("VE-",Tabela10[[#This Row],[KOD_PRODUKTU]])</f>
        <v>VE-910R16E-250</v>
      </c>
    </row>
    <row r="2253" spans="1:10" x14ac:dyDescent="0.25">
      <c r="A2253" s="1" t="s">
        <v>4597</v>
      </c>
      <c r="B2253" t="s">
        <v>4598</v>
      </c>
      <c r="C2253" s="1" t="s">
        <v>857</v>
      </c>
      <c r="D2253" t="s">
        <v>858</v>
      </c>
      <c r="E2253" t="s">
        <v>686</v>
      </c>
      <c r="F2253" t="s">
        <v>49</v>
      </c>
      <c r="G2253" t="s">
        <v>4605</v>
      </c>
      <c r="H2253">
        <v>3</v>
      </c>
      <c r="I2253" s="6" t="str">
        <f>_xlfn.CONCAT("Art. złączny do produktu ",Tabela10[[#This Row],[KOD_PRODUKTU]])</f>
        <v>Art. złączny do produktu 910R16E-250</v>
      </c>
      <c r="J2253" s="6" t="str">
        <f>_xlfn.CONCAT("VE-",Tabela10[[#This Row],[KOD_PRODUKTU]])</f>
        <v>VE-910R16E-250</v>
      </c>
    </row>
    <row r="2254" spans="1:10" x14ac:dyDescent="0.25">
      <c r="A2254" s="7" t="s">
        <v>4597</v>
      </c>
      <c r="B2254" s="6" t="s">
        <v>4598</v>
      </c>
      <c r="C2254" s="7" t="s">
        <v>7</v>
      </c>
      <c r="D2254" s="6" t="s">
        <v>8</v>
      </c>
      <c r="E2254" s="6" t="s">
        <v>9</v>
      </c>
      <c r="F2254" s="6" t="s">
        <v>10</v>
      </c>
      <c r="G2254" s="6" t="s">
        <v>1254</v>
      </c>
      <c r="H2254" s="6">
        <v>16.100000000000001</v>
      </c>
      <c r="I2254" s="6" t="str">
        <f>_xlfn.CONCAT("Art. złączny do produktu ",Tabela10[[#This Row],[KOD_PRODUKTU]])</f>
        <v>Art. złączny do produktu 910R16E-250</v>
      </c>
      <c r="J2254" s="6" t="str">
        <f>_xlfn.CONCAT("VE-",Tabela10[[#This Row],[KOD_PRODUKTU]])</f>
        <v>VE-910R16E-250</v>
      </c>
    </row>
    <row r="2255" spans="1:10" x14ac:dyDescent="0.25">
      <c r="A2255" s="1" t="s">
        <v>4597</v>
      </c>
      <c r="B2255" t="s">
        <v>4598</v>
      </c>
      <c r="C2255" s="1" t="s">
        <v>7</v>
      </c>
      <c r="D2255" t="s">
        <v>8</v>
      </c>
      <c r="E2255" t="s">
        <v>9</v>
      </c>
      <c r="F2255" t="s">
        <v>10</v>
      </c>
      <c r="G2255" t="s">
        <v>2330</v>
      </c>
      <c r="H2255">
        <v>25.3</v>
      </c>
      <c r="I2255" s="6" t="str">
        <f>_xlfn.CONCAT("Art. złączny do produktu ",Tabela10[[#This Row],[KOD_PRODUKTU]])</f>
        <v>Art. złączny do produktu 910R16E-250</v>
      </c>
      <c r="J2255" s="6" t="str">
        <f>_xlfn.CONCAT("VE-",Tabela10[[#This Row],[KOD_PRODUKTU]])</f>
        <v>VE-910R16E-250</v>
      </c>
    </row>
    <row r="2256" spans="1:10" x14ac:dyDescent="0.25">
      <c r="A2256" s="7" t="s">
        <v>4606</v>
      </c>
      <c r="B2256" s="6" t="s">
        <v>4607</v>
      </c>
      <c r="C2256" s="7" t="s">
        <v>4608</v>
      </c>
      <c r="D2256" s="6" t="s">
        <v>4609</v>
      </c>
      <c r="E2256" s="6" t="s">
        <v>83</v>
      </c>
      <c r="F2256" s="6" t="s">
        <v>5</v>
      </c>
      <c r="G2256" s="6" t="s">
        <v>4610</v>
      </c>
      <c r="H2256" s="6">
        <v>8.4</v>
      </c>
      <c r="I2256" s="6" t="str">
        <f>_xlfn.CONCAT("Art. złączny do produktu ",Tabela10[[#This Row],[KOD_PRODUKTU]])</f>
        <v>Art. złączny do produktu 910R16E-500</v>
      </c>
      <c r="J2256" s="6" t="str">
        <f>_xlfn.CONCAT("VE-",Tabela10[[#This Row],[KOD_PRODUKTU]])</f>
        <v>VE-910R16E-500</v>
      </c>
    </row>
    <row r="2257" spans="1:10" x14ac:dyDescent="0.25">
      <c r="A2257" s="1" t="s">
        <v>4606</v>
      </c>
      <c r="B2257" t="s">
        <v>4607</v>
      </c>
      <c r="C2257" s="1" t="s">
        <v>7</v>
      </c>
      <c r="D2257" t="s">
        <v>8</v>
      </c>
      <c r="E2257" t="s">
        <v>9</v>
      </c>
      <c r="F2257" t="s">
        <v>10</v>
      </c>
      <c r="G2257" t="s">
        <v>4611</v>
      </c>
      <c r="H2257">
        <v>10.14</v>
      </c>
      <c r="I2257" s="6" t="str">
        <f>_xlfn.CONCAT("Art. złączny do produktu ",Tabela10[[#This Row],[KOD_PRODUKTU]])</f>
        <v>Art. złączny do produktu 910R16E-500</v>
      </c>
      <c r="J2257" s="6" t="str">
        <f>_xlfn.CONCAT("VE-",Tabela10[[#This Row],[KOD_PRODUKTU]])</f>
        <v>VE-910R16E-500</v>
      </c>
    </row>
    <row r="2258" spans="1:10" x14ac:dyDescent="0.25">
      <c r="A2258" s="7" t="s">
        <v>4612</v>
      </c>
      <c r="B2258" s="6" t="s">
        <v>4613</v>
      </c>
      <c r="C2258" s="7" t="s">
        <v>1378</v>
      </c>
      <c r="D2258" s="6" t="s">
        <v>1379</v>
      </c>
      <c r="E2258" s="6" t="s">
        <v>1043</v>
      </c>
      <c r="F2258" s="6" t="s">
        <v>5</v>
      </c>
      <c r="G2258" s="6" t="s">
        <v>3056</v>
      </c>
      <c r="H2258" s="6">
        <v>0.19</v>
      </c>
      <c r="I2258" s="6" t="str">
        <f>_xlfn.CONCAT("Art. złączny do produktu ",Tabela10[[#This Row],[KOD_PRODUKTU]])</f>
        <v>Art. złączny do produktu 910R45-500</v>
      </c>
      <c r="J2258" s="6" t="str">
        <f>_xlfn.CONCAT("VE-",Tabela10[[#This Row],[KOD_PRODUKTU]])</f>
        <v>VE-910R45-500</v>
      </c>
    </row>
    <row r="2259" spans="1:10" x14ac:dyDescent="0.25">
      <c r="A2259" s="1" t="s">
        <v>4612</v>
      </c>
      <c r="B2259" t="s">
        <v>4613</v>
      </c>
      <c r="C2259" s="1" t="s">
        <v>541</v>
      </c>
      <c r="D2259" t="s">
        <v>542</v>
      </c>
      <c r="E2259" t="s">
        <v>9</v>
      </c>
      <c r="F2259" t="s">
        <v>10</v>
      </c>
      <c r="G2259" t="s">
        <v>4614</v>
      </c>
      <c r="H2259">
        <v>1.01</v>
      </c>
      <c r="I2259" s="6" t="str">
        <f>_xlfn.CONCAT("Art. złączny do produktu ",Tabela10[[#This Row],[KOD_PRODUKTU]])</f>
        <v>Art. złączny do produktu 910R45-500</v>
      </c>
      <c r="J2259" s="6" t="str">
        <f>_xlfn.CONCAT("VE-",Tabela10[[#This Row],[KOD_PRODUKTU]])</f>
        <v>VE-910R45-500</v>
      </c>
    </row>
    <row r="2260" spans="1:10" x14ac:dyDescent="0.25">
      <c r="A2260" s="7" t="s">
        <v>4615</v>
      </c>
      <c r="B2260" s="6" t="s">
        <v>4616</v>
      </c>
      <c r="C2260" s="7" t="s">
        <v>895</v>
      </c>
      <c r="D2260" s="6" t="s">
        <v>896</v>
      </c>
      <c r="E2260" s="6" t="s">
        <v>897</v>
      </c>
      <c r="F2260" s="6" t="s">
        <v>39</v>
      </c>
      <c r="G2260" s="6" t="s">
        <v>25</v>
      </c>
      <c r="H2260" s="6">
        <v>0.56999999999999995</v>
      </c>
      <c r="I2260" s="6" t="str">
        <f>_xlfn.CONCAT("Art. złączny do produktu ",Tabela10[[#This Row],[KOD_PRODUKTU]])</f>
        <v>Art. złączny do produktu 910R52E-100</v>
      </c>
      <c r="J2260" s="6" t="str">
        <f>_xlfn.CONCAT("VE-",Tabela10[[#This Row],[KOD_PRODUKTU]])</f>
        <v>VE-910R52E-100</v>
      </c>
    </row>
    <row r="2261" spans="1:10" x14ac:dyDescent="0.25">
      <c r="A2261" s="1" t="s">
        <v>4615</v>
      </c>
      <c r="B2261" t="s">
        <v>4616</v>
      </c>
      <c r="C2261" s="1" t="s">
        <v>898</v>
      </c>
      <c r="D2261" t="s">
        <v>899</v>
      </c>
      <c r="E2261" t="s">
        <v>866</v>
      </c>
      <c r="F2261" t="s">
        <v>39</v>
      </c>
      <c r="G2261" t="s">
        <v>25</v>
      </c>
      <c r="H2261">
        <v>0.18</v>
      </c>
      <c r="I2261" s="6" t="str">
        <f>_xlfn.CONCAT("Art. złączny do produktu ",Tabela10[[#This Row],[KOD_PRODUKTU]])</f>
        <v>Art. złączny do produktu 910R52E-100</v>
      </c>
      <c r="J2261" s="6" t="str">
        <f>_xlfn.CONCAT("VE-",Tabela10[[#This Row],[KOD_PRODUKTU]])</f>
        <v>VE-910R52E-100</v>
      </c>
    </row>
    <row r="2262" spans="1:10" x14ac:dyDescent="0.25">
      <c r="A2262" s="7" t="s">
        <v>4615</v>
      </c>
      <c r="B2262" s="6" t="s">
        <v>4616</v>
      </c>
      <c r="C2262" s="7" t="s">
        <v>4617</v>
      </c>
      <c r="D2262" s="6" t="s">
        <v>2344</v>
      </c>
      <c r="E2262" s="6" t="s">
        <v>2345</v>
      </c>
      <c r="F2262" s="6" t="s">
        <v>39</v>
      </c>
      <c r="G2262" s="6" t="s">
        <v>1236</v>
      </c>
      <c r="H2262" s="6">
        <v>0.57999999999999996</v>
      </c>
      <c r="I2262" s="6" t="str">
        <f>_xlfn.CONCAT("Art. złączny do produktu ",Tabela10[[#This Row],[KOD_PRODUKTU]])</f>
        <v>Art. złączny do produktu 910R52E-100</v>
      </c>
      <c r="J2262" s="6" t="str">
        <f>_xlfn.CONCAT("VE-",Tabela10[[#This Row],[KOD_PRODUKTU]])</f>
        <v>VE-910R52E-100</v>
      </c>
    </row>
    <row r="2263" spans="1:10" x14ac:dyDescent="0.25">
      <c r="A2263" s="1" t="s">
        <v>4615</v>
      </c>
      <c r="B2263" t="s">
        <v>4616</v>
      </c>
      <c r="C2263" s="1" t="s">
        <v>867</v>
      </c>
      <c r="D2263" t="s">
        <v>4618</v>
      </c>
      <c r="E2263" t="s">
        <v>4619</v>
      </c>
      <c r="F2263" t="s">
        <v>39</v>
      </c>
      <c r="G2263" t="s">
        <v>25</v>
      </c>
      <c r="H2263">
        <v>2.7</v>
      </c>
      <c r="I2263" s="6" t="str">
        <f>_xlfn.CONCAT("Art. złączny do produktu ",Tabela10[[#This Row],[KOD_PRODUKTU]])</f>
        <v>Art. złączny do produktu 910R52E-100</v>
      </c>
      <c r="J2263" s="6" t="str">
        <f>_xlfn.CONCAT("VE-",Tabela10[[#This Row],[KOD_PRODUKTU]])</f>
        <v>VE-910R52E-100</v>
      </c>
    </row>
    <row r="2264" spans="1:10" x14ac:dyDescent="0.25">
      <c r="A2264" s="7" t="s">
        <v>4615</v>
      </c>
      <c r="B2264" s="6" t="s">
        <v>4616</v>
      </c>
      <c r="C2264" s="7" t="s">
        <v>41</v>
      </c>
      <c r="D2264" s="6" t="s">
        <v>42</v>
      </c>
      <c r="E2264" s="6" t="s">
        <v>513</v>
      </c>
      <c r="F2264" s="6" t="s">
        <v>5</v>
      </c>
      <c r="G2264" s="6" t="s">
        <v>44</v>
      </c>
      <c r="H2264" s="6">
        <v>0.01</v>
      </c>
      <c r="I2264" s="6" t="str">
        <f>_xlfn.CONCAT("Art. złączny do produktu ",Tabela10[[#This Row],[KOD_PRODUKTU]])</f>
        <v>Art. złączny do produktu 910R52E-100</v>
      </c>
      <c r="J2264" s="6" t="str">
        <f>_xlfn.CONCAT("VE-",Tabela10[[#This Row],[KOD_PRODUKTU]])</f>
        <v>VE-910R52E-100</v>
      </c>
    </row>
    <row r="2265" spans="1:10" x14ac:dyDescent="0.25">
      <c r="A2265" s="1" t="s">
        <v>4615</v>
      </c>
      <c r="B2265" t="s">
        <v>4616</v>
      </c>
      <c r="C2265" s="1" t="s">
        <v>4620</v>
      </c>
      <c r="D2265" t="s">
        <v>4621</v>
      </c>
      <c r="E2265" t="s">
        <v>4622</v>
      </c>
      <c r="F2265" t="s">
        <v>121</v>
      </c>
      <c r="G2265" t="s">
        <v>50</v>
      </c>
      <c r="H2265">
        <v>22.6</v>
      </c>
      <c r="I2265" s="6" t="str">
        <f>_xlfn.CONCAT("Art. złączny do produktu ",Tabela10[[#This Row],[KOD_PRODUKTU]])</f>
        <v>Art. złączny do produktu 910R52E-100</v>
      </c>
      <c r="J2265" s="6" t="str">
        <f>_xlfn.CONCAT("VE-",Tabela10[[#This Row],[KOD_PRODUKTU]])</f>
        <v>VE-910R52E-100</v>
      </c>
    </row>
    <row r="2266" spans="1:10" x14ac:dyDescent="0.25">
      <c r="A2266" s="7" t="s">
        <v>4615</v>
      </c>
      <c r="B2266" s="6" t="s">
        <v>4616</v>
      </c>
      <c r="C2266" s="7" t="s">
        <v>4623</v>
      </c>
      <c r="D2266" s="6" t="s">
        <v>4624</v>
      </c>
      <c r="E2266" s="6" t="s">
        <v>4625</v>
      </c>
      <c r="F2266" s="6" t="s">
        <v>121</v>
      </c>
      <c r="G2266" s="6" t="s">
        <v>50</v>
      </c>
      <c r="H2266" s="6">
        <v>41.6</v>
      </c>
      <c r="I2266" s="6" t="str">
        <f>_xlfn.CONCAT("Art. złączny do produktu ",Tabela10[[#This Row],[KOD_PRODUKTU]])</f>
        <v>Art. złączny do produktu 910R52E-100</v>
      </c>
      <c r="J2266" s="6" t="str">
        <f>_xlfn.CONCAT("VE-",Tabela10[[#This Row],[KOD_PRODUKTU]])</f>
        <v>VE-910R52E-100</v>
      </c>
    </row>
    <row r="2267" spans="1:10" x14ac:dyDescent="0.25">
      <c r="A2267" s="1" t="s">
        <v>4615</v>
      </c>
      <c r="B2267" t="s">
        <v>4616</v>
      </c>
      <c r="C2267" s="1" t="s">
        <v>4626</v>
      </c>
      <c r="D2267" t="s">
        <v>4627</v>
      </c>
      <c r="E2267" t="s">
        <v>4628</v>
      </c>
      <c r="F2267" t="s">
        <v>121</v>
      </c>
      <c r="G2267" t="s">
        <v>50</v>
      </c>
      <c r="H2267">
        <v>28.6</v>
      </c>
      <c r="I2267" s="6" t="str">
        <f>_xlfn.CONCAT("Art. złączny do produktu ",Tabela10[[#This Row],[KOD_PRODUKTU]])</f>
        <v>Art. złączny do produktu 910R52E-100</v>
      </c>
      <c r="J2267" s="6" t="str">
        <f>_xlfn.CONCAT("VE-",Tabela10[[#This Row],[KOD_PRODUKTU]])</f>
        <v>VE-910R52E-100</v>
      </c>
    </row>
    <row r="2268" spans="1:10" x14ac:dyDescent="0.25">
      <c r="A2268" s="7" t="s">
        <v>4615</v>
      </c>
      <c r="B2268" s="6" t="s">
        <v>4616</v>
      </c>
      <c r="C2268" s="7" t="s">
        <v>4629</v>
      </c>
      <c r="D2268" s="6" t="s">
        <v>4630</v>
      </c>
      <c r="E2268" s="6" t="s">
        <v>4631</v>
      </c>
      <c r="F2268" s="6" t="s">
        <v>121</v>
      </c>
      <c r="G2268" s="6" t="s">
        <v>50</v>
      </c>
      <c r="H2268" s="6">
        <v>32.6</v>
      </c>
      <c r="I2268" s="6" t="str">
        <f>_xlfn.CONCAT("Art. złączny do produktu ",Tabela10[[#This Row],[KOD_PRODUKTU]])</f>
        <v>Art. złączny do produktu 910R52E-100</v>
      </c>
      <c r="J2268" s="6" t="str">
        <f>_xlfn.CONCAT("VE-",Tabela10[[#This Row],[KOD_PRODUKTU]])</f>
        <v>VE-910R52E-100</v>
      </c>
    </row>
    <row r="2269" spans="1:10" x14ac:dyDescent="0.25">
      <c r="A2269" s="1" t="s">
        <v>4615</v>
      </c>
      <c r="B2269" t="s">
        <v>4616</v>
      </c>
      <c r="C2269" s="1" t="s">
        <v>4632</v>
      </c>
      <c r="D2269" t="s">
        <v>4633</v>
      </c>
      <c r="E2269" t="s">
        <v>4634</v>
      </c>
      <c r="F2269" t="s">
        <v>121</v>
      </c>
      <c r="G2269" t="s">
        <v>50</v>
      </c>
      <c r="H2269">
        <v>29.9</v>
      </c>
      <c r="I2269" s="6" t="str">
        <f>_xlfn.CONCAT("Art. złączny do produktu ",Tabela10[[#This Row],[KOD_PRODUKTU]])</f>
        <v>Art. złączny do produktu 910R52E-100</v>
      </c>
      <c r="J2269" s="6" t="str">
        <f>_xlfn.CONCAT("VE-",Tabela10[[#This Row],[KOD_PRODUKTU]])</f>
        <v>VE-910R52E-100</v>
      </c>
    </row>
    <row r="2270" spans="1:10" x14ac:dyDescent="0.25">
      <c r="A2270" s="7" t="s">
        <v>4615</v>
      </c>
      <c r="B2270" s="6" t="s">
        <v>4616</v>
      </c>
      <c r="C2270" s="7" t="s">
        <v>4635</v>
      </c>
      <c r="D2270" s="6" t="s">
        <v>4636</v>
      </c>
      <c r="E2270" s="6" t="s">
        <v>145</v>
      </c>
      <c r="F2270" s="6" t="s">
        <v>121</v>
      </c>
      <c r="G2270" s="6" t="s">
        <v>50</v>
      </c>
      <c r="H2270" s="6">
        <v>11.2</v>
      </c>
      <c r="I2270" s="6" t="str">
        <f>_xlfn.CONCAT("Art. złączny do produktu ",Tabela10[[#This Row],[KOD_PRODUKTU]])</f>
        <v>Art. złączny do produktu 910R52E-100</v>
      </c>
      <c r="J2270" s="6" t="str">
        <f>_xlfn.CONCAT("VE-",Tabela10[[#This Row],[KOD_PRODUKTU]])</f>
        <v>VE-910R52E-100</v>
      </c>
    </row>
    <row r="2271" spans="1:10" x14ac:dyDescent="0.25">
      <c r="A2271" s="1" t="s">
        <v>4615</v>
      </c>
      <c r="B2271" t="s">
        <v>4616</v>
      </c>
      <c r="C2271" s="1" t="s">
        <v>874</v>
      </c>
      <c r="D2271" t="s">
        <v>875</v>
      </c>
      <c r="E2271" t="s">
        <v>876</v>
      </c>
      <c r="F2271" t="s">
        <v>121</v>
      </c>
      <c r="G2271" t="s">
        <v>50</v>
      </c>
      <c r="H2271">
        <v>12</v>
      </c>
      <c r="I2271" s="6" t="str">
        <f>_xlfn.CONCAT("Art. złączny do produktu ",Tabela10[[#This Row],[KOD_PRODUKTU]])</f>
        <v>Art. złączny do produktu 910R52E-100</v>
      </c>
      <c r="J2271" s="6" t="str">
        <f>_xlfn.CONCAT("VE-",Tabela10[[#This Row],[KOD_PRODUKTU]])</f>
        <v>VE-910R52E-100</v>
      </c>
    </row>
    <row r="2272" spans="1:10" x14ac:dyDescent="0.25">
      <c r="A2272" s="7" t="s">
        <v>4615</v>
      </c>
      <c r="B2272" s="6" t="s">
        <v>4616</v>
      </c>
      <c r="C2272" s="7" t="s">
        <v>857</v>
      </c>
      <c r="D2272" s="6" t="s">
        <v>858</v>
      </c>
      <c r="E2272" s="6" t="s">
        <v>686</v>
      </c>
      <c r="F2272" s="6" t="s">
        <v>49</v>
      </c>
      <c r="G2272" s="6" t="s">
        <v>4637</v>
      </c>
      <c r="H2272" s="6">
        <v>20</v>
      </c>
      <c r="I2272" s="6" t="str">
        <f>_xlfn.CONCAT("Art. złączny do produktu ",Tabela10[[#This Row],[KOD_PRODUKTU]])</f>
        <v>Art. złączny do produktu 910R52E-100</v>
      </c>
      <c r="J2272" s="6" t="str">
        <f>_xlfn.CONCAT("VE-",Tabela10[[#This Row],[KOD_PRODUKTU]])</f>
        <v>VE-910R52E-100</v>
      </c>
    </row>
    <row r="2273" spans="1:10" x14ac:dyDescent="0.25">
      <c r="A2273" s="1" t="s">
        <v>4615</v>
      </c>
      <c r="B2273" t="s">
        <v>4616</v>
      </c>
      <c r="C2273" s="1" t="s">
        <v>688</v>
      </c>
      <c r="D2273" t="s">
        <v>810</v>
      </c>
      <c r="E2273" t="s">
        <v>9</v>
      </c>
      <c r="F2273" t="s">
        <v>10</v>
      </c>
      <c r="G2273" t="s">
        <v>860</v>
      </c>
      <c r="H2273">
        <v>23</v>
      </c>
      <c r="I2273" s="6" t="str">
        <f>_xlfn.CONCAT("Art. złączny do produktu ",Tabela10[[#This Row],[KOD_PRODUKTU]])</f>
        <v>Art. złączny do produktu 910R52E-100</v>
      </c>
      <c r="J2273" s="6" t="str">
        <f>_xlfn.CONCAT("VE-",Tabela10[[#This Row],[KOD_PRODUKTU]])</f>
        <v>VE-910R52E-100</v>
      </c>
    </row>
    <row r="2274" spans="1:10" x14ac:dyDescent="0.25">
      <c r="A2274" s="7" t="s">
        <v>4615</v>
      </c>
      <c r="B2274" s="6" t="s">
        <v>4616</v>
      </c>
      <c r="C2274" s="7" t="s">
        <v>7</v>
      </c>
      <c r="D2274" s="6" t="s">
        <v>8</v>
      </c>
      <c r="E2274" s="6" t="s">
        <v>9</v>
      </c>
      <c r="F2274" s="6" t="s">
        <v>10</v>
      </c>
      <c r="G2274" s="6" t="s">
        <v>4638</v>
      </c>
      <c r="H2274" s="6">
        <v>190</v>
      </c>
      <c r="I2274" s="6" t="str">
        <f>_xlfn.CONCAT("Art. złączny do produktu ",Tabela10[[#This Row],[KOD_PRODUKTU]])</f>
        <v>Art. złączny do produktu 910R52E-100</v>
      </c>
      <c r="J2274" s="6" t="str">
        <f>_xlfn.CONCAT("VE-",Tabela10[[#This Row],[KOD_PRODUKTU]])</f>
        <v>VE-910R52E-100</v>
      </c>
    </row>
    <row r="2275" spans="1:10" x14ac:dyDescent="0.25">
      <c r="A2275" s="1" t="s">
        <v>4647</v>
      </c>
      <c r="B2275" t="s">
        <v>4648</v>
      </c>
      <c r="C2275" s="1" t="s">
        <v>4649</v>
      </c>
      <c r="D2275" t="s">
        <v>4650</v>
      </c>
      <c r="E2275" t="s">
        <v>1929</v>
      </c>
      <c r="F2275" t="s">
        <v>17</v>
      </c>
      <c r="G2275" t="s">
        <v>33</v>
      </c>
      <c r="H2275">
        <v>2.14</v>
      </c>
      <c r="I2275" s="6" t="str">
        <f>_xlfn.CONCAT("Art. złączny do produktu ",Tabela10[[#This Row],[KOD_PRODUKTU]])</f>
        <v>Art. złączny do produktu 910R69-100</v>
      </c>
      <c r="J2275" s="6" t="str">
        <f>_xlfn.CONCAT("VE-",Tabela10[[#This Row],[KOD_PRODUKTU]])</f>
        <v>VE-910R69-100</v>
      </c>
    </row>
    <row r="2276" spans="1:10" x14ac:dyDescent="0.25">
      <c r="A2276" s="7" t="s">
        <v>4647</v>
      </c>
      <c r="B2276" s="6" t="s">
        <v>4648</v>
      </c>
      <c r="C2276" s="7" t="s">
        <v>4651</v>
      </c>
      <c r="D2276" s="6" t="s">
        <v>4652</v>
      </c>
      <c r="E2276" s="6" t="s">
        <v>887</v>
      </c>
      <c r="F2276" s="6" t="s">
        <v>39</v>
      </c>
      <c r="G2276" s="6" t="s">
        <v>40</v>
      </c>
      <c r="H2276" s="6">
        <v>0.28000000000000003</v>
      </c>
      <c r="I2276" s="6" t="str">
        <f>_xlfn.CONCAT("Art. złączny do produktu ",Tabela10[[#This Row],[KOD_PRODUKTU]])</f>
        <v>Art. złączny do produktu 910R69-100</v>
      </c>
      <c r="J2276" s="6" t="str">
        <f>_xlfn.CONCAT("VE-",Tabela10[[#This Row],[KOD_PRODUKTU]])</f>
        <v>VE-910R69-100</v>
      </c>
    </row>
    <row r="2277" spans="1:10" x14ac:dyDescent="0.25">
      <c r="A2277" s="1" t="s">
        <v>4647</v>
      </c>
      <c r="B2277" t="s">
        <v>4648</v>
      </c>
      <c r="C2277" s="1" t="s">
        <v>479</v>
      </c>
      <c r="D2277" t="s">
        <v>480</v>
      </c>
      <c r="E2277" t="s">
        <v>626</v>
      </c>
      <c r="F2277" t="s">
        <v>5</v>
      </c>
      <c r="G2277" t="s">
        <v>4653</v>
      </c>
      <c r="H2277">
        <v>0.03</v>
      </c>
      <c r="I2277" s="6" t="str">
        <f>_xlfn.CONCAT("Art. złączny do produktu ",Tabela10[[#This Row],[KOD_PRODUKTU]])</f>
        <v>Art. złączny do produktu 910R69-100</v>
      </c>
      <c r="J2277" s="6" t="str">
        <f>_xlfn.CONCAT("VE-",Tabela10[[#This Row],[KOD_PRODUKTU]])</f>
        <v>VE-910R69-100</v>
      </c>
    </row>
    <row r="2278" spans="1:10" x14ac:dyDescent="0.25">
      <c r="A2278" s="7" t="s">
        <v>4647</v>
      </c>
      <c r="B2278" s="6" t="s">
        <v>4648</v>
      </c>
      <c r="C2278" s="7" t="s">
        <v>4654</v>
      </c>
      <c r="D2278" s="6" t="s">
        <v>4655</v>
      </c>
      <c r="E2278" s="6" t="s">
        <v>1896</v>
      </c>
      <c r="F2278" s="6" t="s">
        <v>5</v>
      </c>
      <c r="G2278" s="6" t="s">
        <v>4656</v>
      </c>
      <c r="H2278" s="6">
        <v>0.85</v>
      </c>
      <c r="I2278" s="6" t="str">
        <f>_xlfn.CONCAT("Art. złączny do produktu ",Tabela10[[#This Row],[KOD_PRODUKTU]])</f>
        <v>Art. złączny do produktu 910R69-100</v>
      </c>
      <c r="J2278" s="6" t="str">
        <f>_xlfn.CONCAT("VE-",Tabela10[[#This Row],[KOD_PRODUKTU]])</f>
        <v>VE-910R69-100</v>
      </c>
    </row>
    <row r="2279" spans="1:10" x14ac:dyDescent="0.25">
      <c r="A2279" s="1" t="s">
        <v>4647</v>
      </c>
      <c r="B2279" t="s">
        <v>4648</v>
      </c>
      <c r="C2279" s="1" t="s">
        <v>4657</v>
      </c>
      <c r="D2279" t="s">
        <v>4658</v>
      </c>
      <c r="E2279" t="s">
        <v>4659</v>
      </c>
      <c r="F2279" t="s">
        <v>49</v>
      </c>
      <c r="G2279" t="s">
        <v>4660</v>
      </c>
      <c r="H2279">
        <v>6.8</v>
      </c>
      <c r="I2279" s="6" t="str">
        <f>_xlfn.CONCAT("Art. złączny do produktu ",Tabela10[[#This Row],[KOD_PRODUKTU]])</f>
        <v>Art. złączny do produktu 910R69-100</v>
      </c>
      <c r="J2279" s="6" t="str">
        <f>_xlfn.CONCAT("VE-",Tabela10[[#This Row],[KOD_PRODUKTU]])</f>
        <v>VE-910R69-100</v>
      </c>
    </row>
    <row r="2280" spans="1:10" x14ac:dyDescent="0.25">
      <c r="A2280" s="7" t="s">
        <v>4647</v>
      </c>
      <c r="B2280" s="6" t="s">
        <v>4648</v>
      </c>
      <c r="C2280" s="7" t="s">
        <v>4661</v>
      </c>
      <c r="D2280" s="6" t="s">
        <v>4662</v>
      </c>
      <c r="E2280" s="6" t="s">
        <v>4663</v>
      </c>
      <c r="F2280" s="6" t="s">
        <v>39</v>
      </c>
      <c r="G2280" s="6" t="s">
        <v>40</v>
      </c>
      <c r="H2280" s="6">
        <v>0.03</v>
      </c>
      <c r="I2280" s="6" t="str">
        <f>_xlfn.CONCAT("Art. złączny do produktu ",Tabela10[[#This Row],[KOD_PRODUKTU]])</f>
        <v>Art. złączny do produktu 910R69-100</v>
      </c>
      <c r="J2280" s="6" t="str">
        <f>_xlfn.CONCAT("VE-",Tabela10[[#This Row],[KOD_PRODUKTU]])</f>
        <v>VE-910R69-100</v>
      </c>
    </row>
    <row r="2281" spans="1:10" x14ac:dyDescent="0.25">
      <c r="A2281" s="1" t="s">
        <v>4647</v>
      </c>
      <c r="B2281" t="s">
        <v>4648</v>
      </c>
      <c r="C2281" s="1" t="s">
        <v>41</v>
      </c>
      <c r="D2281" t="s">
        <v>42</v>
      </c>
      <c r="E2281" t="s">
        <v>513</v>
      </c>
      <c r="F2281" t="s">
        <v>5</v>
      </c>
      <c r="G2281" t="s">
        <v>4664</v>
      </c>
      <c r="H2281">
        <v>0.02</v>
      </c>
      <c r="I2281" s="6" t="str">
        <f>_xlfn.CONCAT("Art. złączny do produktu ",Tabela10[[#This Row],[KOD_PRODUKTU]])</f>
        <v>Art. złączny do produktu 910R69-100</v>
      </c>
      <c r="J2281" s="6" t="str">
        <f>_xlfn.CONCAT("VE-",Tabela10[[#This Row],[KOD_PRODUKTU]])</f>
        <v>VE-910R69-100</v>
      </c>
    </row>
    <row r="2282" spans="1:10" x14ac:dyDescent="0.25">
      <c r="A2282" s="7" t="s">
        <v>4647</v>
      </c>
      <c r="B2282" s="6" t="s">
        <v>4648</v>
      </c>
      <c r="C2282" s="7" t="s">
        <v>4665</v>
      </c>
      <c r="D2282" s="6" t="s">
        <v>4666</v>
      </c>
      <c r="E2282" s="6" t="s">
        <v>4667</v>
      </c>
      <c r="F2282" s="6" t="s">
        <v>49</v>
      </c>
      <c r="G2282" s="6" t="s">
        <v>50</v>
      </c>
      <c r="H2282" s="6">
        <v>1.32</v>
      </c>
      <c r="I2282" s="6" t="str">
        <f>_xlfn.CONCAT("Art. złączny do produktu ",Tabela10[[#This Row],[KOD_PRODUKTU]])</f>
        <v>Art. złączny do produktu 910R69-100</v>
      </c>
      <c r="J2282" s="6" t="str">
        <f>_xlfn.CONCAT("VE-",Tabela10[[#This Row],[KOD_PRODUKTU]])</f>
        <v>VE-910R69-100</v>
      </c>
    </row>
    <row r="2283" spans="1:10" x14ac:dyDescent="0.25">
      <c r="A2283" s="1" t="s">
        <v>4647</v>
      </c>
      <c r="B2283" t="s">
        <v>4648</v>
      </c>
      <c r="C2283" s="1" t="s">
        <v>4668</v>
      </c>
      <c r="D2283" t="s">
        <v>4669</v>
      </c>
      <c r="E2283" t="s">
        <v>4670</v>
      </c>
      <c r="F2283" t="s">
        <v>49</v>
      </c>
      <c r="G2283" t="s">
        <v>50</v>
      </c>
      <c r="H2283">
        <v>28.5</v>
      </c>
      <c r="I2283" s="6" t="str">
        <f>_xlfn.CONCAT("Art. złączny do produktu ",Tabela10[[#This Row],[KOD_PRODUKTU]])</f>
        <v>Art. złączny do produktu 910R69-100</v>
      </c>
      <c r="J2283" s="6" t="str">
        <f>_xlfn.CONCAT("VE-",Tabela10[[#This Row],[KOD_PRODUKTU]])</f>
        <v>VE-910R69-100</v>
      </c>
    </row>
    <row r="2284" spans="1:10" x14ac:dyDescent="0.25">
      <c r="A2284" s="7" t="s">
        <v>4647</v>
      </c>
      <c r="B2284" s="6" t="s">
        <v>4648</v>
      </c>
      <c r="C2284" s="7" t="s">
        <v>4671</v>
      </c>
      <c r="D2284" s="6" t="s">
        <v>4672</v>
      </c>
      <c r="E2284" s="6" t="s">
        <v>884</v>
      </c>
      <c r="F2284" s="6" t="s">
        <v>49</v>
      </c>
      <c r="G2284" s="6" t="s">
        <v>50</v>
      </c>
      <c r="H2284" s="6">
        <v>24</v>
      </c>
      <c r="I2284" s="6" t="str">
        <f>_xlfn.CONCAT("Art. złączny do produktu ",Tabela10[[#This Row],[KOD_PRODUKTU]])</f>
        <v>Art. złączny do produktu 910R69-100</v>
      </c>
      <c r="J2284" s="6" t="str">
        <f>_xlfn.CONCAT("VE-",Tabela10[[#This Row],[KOD_PRODUKTU]])</f>
        <v>VE-910R69-100</v>
      </c>
    </row>
    <row r="2285" spans="1:10" x14ac:dyDescent="0.25">
      <c r="A2285" s="1" t="s">
        <v>4647</v>
      </c>
      <c r="B2285" t="s">
        <v>4648</v>
      </c>
      <c r="C2285" s="1" t="s">
        <v>4673</v>
      </c>
      <c r="D2285" t="s">
        <v>4674</v>
      </c>
      <c r="E2285" t="s">
        <v>4675</v>
      </c>
      <c r="F2285" t="s">
        <v>49</v>
      </c>
      <c r="G2285" t="s">
        <v>50</v>
      </c>
      <c r="H2285">
        <v>0.44</v>
      </c>
      <c r="I2285" s="6" t="str">
        <f>_xlfn.CONCAT("Art. złączny do produktu ",Tabela10[[#This Row],[KOD_PRODUKTU]])</f>
        <v>Art. złączny do produktu 910R69-100</v>
      </c>
      <c r="J2285" s="6" t="str">
        <f>_xlfn.CONCAT("VE-",Tabela10[[#This Row],[KOD_PRODUKTU]])</f>
        <v>VE-910R69-100</v>
      </c>
    </row>
    <row r="2286" spans="1:10" x14ac:dyDescent="0.25">
      <c r="A2286" s="7" t="s">
        <v>4647</v>
      </c>
      <c r="B2286" s="6" t="s">
        <v>4648</v>
      </c>
      <c r="C2286" s="7" t="s">
        <v>541</v>
      </c>
      <c r="D2286" s="6" t="s">
        <v>542</v>
      </c>
      <c r="E2286" s="6" t="s">
        <v>9</v>
      </c>
      <c r="F2286" s="6" t="s">
        <v>10</v>
      </c>
      <c r="G2286" s="6" t="s">
        <v>4676</v>
      </c>
      <c r="H2286" s="6">
        <v>21.64</v>
      </c>
      <c r="I2286" s="6" t="str">
        <f>_xlfn.CONCAT("Art. złączny do produktu ",Tabela10[[#This Row],[KOD_PRODUKTU]])</f>
        <v>Art. złączny do produktu 910R69-100</v>
      </c>
      <c r="J2286" s="6" t="str">
        <f>_xlfn.CONCAT("VE-",Tabela10[[#This Row],[KOD_PRODUKTU]])</f>
        <v>VE-910R69-100</v>
      </c>
    </row>
    <row r="2287" spans="1:10" x14ac:dyDescent="0.25">
      <c r="A2287" s="1" t="s">
        <v>4677</v>
      </c>
      <c r="B2287" t="s">
        <v>4678</v>
      </c>
      <c r="C2287" s="1" t="s">
        <v>4679</v>
      </c>
      <c r="D2287" t="s">
        <v>4680</v>
      </c>
      <c r="E2287" t="s">
        <v>4681</v>
      </c>
      <c r="F2287" t="s">
        <v>5</v>
      </c>
      <c r="G2287" t="s">
        <v>4682</v>
      </c>
      <c r="H2287">
        <v>2.97</v>
      </c>
      <c r="I2287" s="6" t="str">
        <f>_xlfn.CONCAT("Art. złączny do produktu ",Tabela10[[#This Row],[KOD_PRODUKTU]])</f>
        <v>Art. złączny do produktu 910R69-200</v>
      </c>
      <c r="J2287" s="6" t="str">
        <f>_xlfn.CONCAT("VE-",Tabela10[[#This Row],[KOD_PRODUKTU]])</f>
        <v>VE-910R69-200</v>
      </c>
    </row>
    <row r="2288" spans="1:10" x14ac:dyDescent="0.25">
      <c r="A2288" s="7" t="s">
        <v>4677</v>
      </c>
      <c r="B2288" s="6" t="s">
        <v>4678</v>
      </c>
      <c r="C2288" s="7" t="s">
        <v>4683</v>
      </c>
      <c r="D2288" s="6" t="s">
        <v>4684</v>
      </c>
      <c r="E2288" s="6" t="s">
        <v>3300</v>
      </c>
      <c r="F2288" s="6" t="s">
        <v>121</v>
      </c>
      <c r="G2288" s="6" t="s">
        <v>92</v>
      </c>
      <c r="H2288" s="6">
        <v>1.5</v>
      </c>
      <c r="I2288" s="6" t="str">
        <f>_xlfn.CONCAT("Art. złączny do produktu ",Tabela10[[#This Row],[KOD_PRODUKTU]])</f>
        <v>Art. złączny do produktu 910R69-200</v>
      </c>
      <c r="J2288" s="6" t="str">
        <f>_xlfn.CONCAT("VE-",Tabela10[[#This Row],[KOD_PRODUKTU]])</f>
        <v>VE-910R69-200</v>
      </c>
    </row>
    <row r="2289" spans="1:10" x14ac:dyDescent="0.25">
      <c r="A2289" s="1" t="s">
        <v>4677</v>
      </c>
      <c r="B2289" t="s">
        <v>4678</v>
      </c>
      <c r="C2289" s="1" t="s">
        <v>4685</v>
      </c>
      <c r="D2289" t="s">
        <v>4686</v>
      </c>
      <c r="E2289" t="s">
        <v>4687</v>
      </c>
      <c r="F2289" t="s">
        <v>49</v>
      </c>
      <c r="G2289" t="s">
        <v>50</v>
      </c>
      <c r="H2289">
        <v>10.4</v>
      </c>
      <c r="I2289" s="6" t="str">
        <f>_xlfn.CONCAT("Art. złączny do produktu ",Tabela10[[#This Row],[KOD_PRODUKTU]])</f>
        <v>Art. złączny do produktu 910R69-200</v>
      </c>
      <c r="J2289" s="6" t="str">
        <f>_xlfn.CONCAT("VE-",Tabela10[[#This Row],[KOD_PRODUKTU]])</f>
        <v>VE-910R69-200</v>
      </c>
    </row>
    <row r="2290" spans="1:10" x14ac:dyDescent="0.25">
      <c r="A2290" s="7" t="s">
        <v>4677</v>
      </c>
      <c r="B2290" s="6" t="s">
        <v>4678</v>
      </c>
      <c r="C2290" s="7" t="s">
        <v>857</v>
      </c>
      <c r="D2290" s="6" t="s">
        <v>858</v>
      </c>
      <c r="E2290" s="6" t="s">
        <v>686</v>
      </c>
      <c r="F2290" s="6" t="s">
        <v>49</v>
      </c>
      <c r="G2290" s="6" t="s">
        <v>4688</v>
      </c>
      <c r="H2290" s="6">
        <v>2.0499999999999998</v>
      </c>
      <c r="I2290" s="6" t="str">
        <f>_xlfn.CONCAT("Art. złączny do produktu ",Tabela10[[#This Row],[KOD_PRODUKTU]])</f>
        <v>Art. złączny do produktu 910R69-200</v>
      </c>
      <c r="J2290" s="6" t="str">
        <f>_xlfn.CONCAT("VE-",Tabela10[[#This Row],[KOD_PRODUKTU]])</f>
        <v>VE-910R69-200</v>
      </c>
    </row>
    <row r="2291" spans="1:10" x14ac:dyDescent="0.25">
      <c r="A2291" s="1" t="s">
        <v>4677</v>
      </c>
      <c r="B2291" t="s">
        <v>4678</v>
      </c>
      <c r="C2291" s="1" t="s">
        <v>1989</v>
      </c>
      <c r="D2291" t="s">
        <v>1990</v>
      </c>
      <c r="E2291" t="s">
        <v>1991</v>
      </c>
      <c r="F2291" t="s">
        <v>435</v>
      </c>
      <c r="G2291" t="s">
        <v>4689</v>
      </c>
      <c r="H2291">
        <v>1.9</v>
      </c>
      <c r="I2291" s="6" t="str">
        <f>_xlfn.CONCAT("Art. złączny do produktu ",Tabela10[[#This Row],[KOD_PRODUKTU]])</f>
        <v>Art. złączny do produktu 910R69-200</v>
      </c>
      <c r="J2291" s="6" t="str">
        <f>_xlfn.CONCAT("VE-",Tabela10[[#This Row],[KOD_PRODUKTU]])</f>
        <v>VE-910R69-200</v>
      </c>
    </row>
    <row r="2292" spans="1:10" x14ac:dyDescent="0.25">
      <c r="A2292" s="7" t="s">
        <v>4677</v>
      </c>
      <c r="B2292" s="6" t="s">
        <v>4678</v>
      </c>
      <c r="C2292" s="7" t="s">
        <v>541</v>
      </c>
      <c r="D2292" s="6" t="s">
        <v>542</v>
      </c>
      <c r="E2292" s="6" t="s">
        <v>9</v>
      </c>
      <c r="F2292" s="6" t="s">
        <v>10</v>
      </c>
      <c r="G2292" s="6" t="s">
        <v>601</v>
      </c>
      <c r="H2292" s="6">
        <v>6.9</v>
      </c>
      <c r="I2292" s="6" t="str">
        <f>_xlfn.CONCAT("Art. złączny do produktu ",Tabela10[[#This Row],[KOD_PRODUKTU]])</f>
        <v>Art. złączny do produktu 910R69-200</v>
      </c>
      <c r="J2292" s="6" t="str">
        <f>_xlfn.CONCAT("VE-",Tabela10[[#This Row],[KOD_PRODUKTU]])</f>
        <v>VE-910R69-200</v>
      </c>
    </row>
    <row r="2293" spans="1:10" x14ac:dyDescent="0.25">
      <c r="A2293" s="1" t="s">
        <v>4690</v>
      </c>
      <c r="B2293" t="s">
        <v>4691</v>
      </c>
      <c r="C2293" s="1" t="s">
        <v>4692</v>
      </c>
      <c r="D2293" t="s">
        <v>4693</v>
      </c>
      <c r="E2293" t="s">
        <v>4694</v>
      </c>
      <c r="F2293" t="s">
        <v>49</v>
      </c>
      <c r="G2293" t="s">
        <v>50</v>
      </c>
      <c r="H2293">
        <v>1</v>
      </c>
      <c r="I2293" s="6" t="str">
        <f>_xlfn.CONCAT("Art. złączny do produktu ",Tabela10[[#This Row],[KOD_PRODUKTU]])</f>
        <v>Art. złączny do produktu 910R70-110</v>
      </c>
      <c r="J2293" s="6" t="str">
        <f>_xlfn.CONCAT("VE-",Tabela10[[#This Row],[KOD_PRODUKTU]])</f>
        <v>VE-910R70-110</v>
      </c>
    </row>
    <row r="2294" spans="1:10" x14ac:dyDescent="0.25">
      <c r="A2294" s="7" t="s">
        <v>4690</v>
      </c>
      <c r="B2294" s="6" t="s">
        <v>4691</v>
      </c>
      <c r="C2294" s="7" t="s">
        <v>432</v>
      </c>
      <c r="D2294" s="6" t="s">
        <v>433</v>
      </c>
      <c r="E2294" s="6" t="s">
        <v>434</v>
      </c>
      <c r="F2294" s="6" t="s">
        <v>435</v>
      </c>
      <c r="G2294" s="6" t="s">
        <v>4697</v>
      </c>
      <c r="H2294" s="6">
        <v>1.57</v>
      </c>
      <c r="I2294" s="6" t="str">
        <f>_xlfn.CONCAT("Art. złączny do produktu ",Tabela10[[#This Row],[KOD_PRODUKTU]])</f>
        <v>Art. złączny do produktu 910R70-110</v>
      </c>
      <c r="J2294" s="6" t="str">
        <f>_xlfn.CONCAT("VE-",Tabela10[[#This Row],[KOD_PRODUKTU]])</f>
        <v>VE-910R70-110</v>
      </c>
    </row>
    <row r="2295" spans="1:10" x14ac:dyDescent="0.25">
      <c r="A2295" s="1" t="s">
        <v>4690</v>
      </c>
      <c r="B2295" t="s">
        <v>4691</v>
      </c>
      <c r="C2295" s="1" t="s">
        <v>541</v>
      </c>
      <c r="D2295" t="s">
        <v>542</v>
      </c>
      <c r="E2295" t="s">
        <v>9</v>
      </c>
      <c r="F2295" t="s">
        <v>10</v>
      </c>
      <c r="G2295" t="s">
        <v>4698</v>
      </c>
      <c r="H2295">
        <v>3.74</v>
      </c>
      <c r="I2295" s="6" t="str">
        <f>_xlfn.CONCAT("Art. złączny do produktu ",Tabela10[[#This Row],[KOD_PRODUKTU]])</f>
        <v>Art. złączny do produktu 910R70-110</v>
      </c>
      <c r="J2295" s="6" t="str">
        <f>_xlfn.CONCAT("VE-",Tabela10[[#This Row],[KOD_PRODUKTU]])</f>
        <v>VE-910R70-110</v>
      </c>
    </row>
    <row r="2296" spans="1:10" x14ac:dyDescent="0.25">
      <c r="A2296" s="7" t="s">
        <v>4709</v>
      </c>
      <c r="B2296" s="6" t="s">
        <v>4710</v>
      </c>
      <c r="C2296" s="7" t="s">
        <v>4168</v>
      </c>
      <c r="D2296" s="6" t="s">
        <v>4423</v>
      </c>
      <c r="E2296" s="6" t="s">
        <v>70</v>
      </c>
      <c r="F2296" s="6" t="s">
        <v>5</v>
      </c>
      <c r="G2296" s="6" t="s">
        <v>1141</v>
      </c>
      <c r="H2296" s="6">
        <v>0.63</v>
      </c>
      <c r="I2296" s="6" t="str">
        <f>_xlfn.CONCAT("Art. złączny do produktu ",Tabela10[[#This Row],[KOD_PRODUKTU]])</f>
        <v>Art. złączny do produktu 910R74-010</v>
      </c>
      <c r="J2296" s="6" t="str">
        <f>_xlfn.CONCAT("VE-",Tabela10[[#This Row],[KOD_PRODUKTU]])</f>
        <v>VE-910R74-010</v>
      </c>
    </row>
    <row r="2297" spans="1:10" x14ac:dyDescent="0.25">
      <c r="A2297" s="1" t="s">
        <v>4709</v>
      </c>
      <c r="B2297" t="s">
        <v>4710</v>
      </c>
      <c r="C2297" s="1" t="s">
        <v>432</v>
      </c>
      <c r="D2297" t="s">
        <v>433</v>
      </c>
      <c r="E2297" t="s">
        <v>434</v>
      </c>
      <c r="F2297" t="s">
        <v>435</v>
      </c>
      <c r="G2297" t="s">
        <v>50</v>
      </c>
      <c r="H2297">
        <v>1.1000000000000001</v>
      </c>
      <c r="I2297" s="6" t="str">
        <f>_xlfn.CONCAT("Art. złączny do produktu ",Tabela10[[#This Row],[KOD_PRODUKTU]])</f>
        <v>Art. złączny do produktu 910R74-010</v>
      </c>
      <c r="J2297" s="6" t="str">
        <f>_xlfn.CONCAT("VE-",Tabela10[[#This Row],[KOD_PRODUKTU]])</f>
        <v>VE-910R74-010</v>
      </c>
    </row>
    <row r="2298" spans="1:10" x14ac:dyDescent="0.25">
      <c r="A2298" s="7" t="s">
        <v>4709</v>
      </c>
      <c r="B2298" s="6" t="s">
        <v>4710</v>
      </c>
      <c r="C2298" s="7" t="s">
        <v>541</v>
      </c>
      <c r="D2298" s="6" t="s">
        <v>542</v>
      </c>
      <c r="E2298" s="6" t="s">
        <v>9</v>
      </c>
      <c r="F2298" s="6" t="s">
        <v>10</v>
      </c>
      <c r="G2298" s="6" t="s">
        <v>19</v>
      </c>
      <c r="H2298" s="6">
        <v>4.5999999999999996</v>
      </c>
      <c r="I2298" s="6" t="str">
        <f>_xlfn.CONCAT("Art. złączny do produktu ",Tabela10[[#This Row],[KOD_PRODUKTU]])</f>
        <v>Art. złączny do produktu 910R74-010</v>
      </c>
      <c r="J2298" s="6" t="str">
        <f>_xlfn.CONCAT("VE-",Tabela10[[#This Row],[KOD_PRODUKTU]])</f>
        <v>VE-910R74-010</v>
      </c>
    </row>
    <row r="2299" spans="1:10" x14ac:dyDescent="0.25">
      <c r="A2299" s="1" t="s">
        <v>4711</v>
      </c>
      <c r="B2299" t="s">
        <v>4712</v>
      </c>
      <c r="C2299" s="1" t="s">
        <v>3770</v>
      </c>
      <c r="D2299" t="s">
        <v>3771</v>
      </c>
      <c r="E2299" t="s">
        <v>216</v>
      </c>
      <c r="F2299" t="s">
        <v>5</v>
      </c>
      <c r="G2299" t="s">
        <v>478</v>
      </c>
      <c r="H2299">
        <v>0.56000000000000005</v>
      </c>
      <c r="I2299" s="6" t="str">
        <f>_xlfn.CONCAT("Art. złączny do produktu ",Tabela10[[#This Row],[KOD_PRODUKTU]])</f>
        <v>Art. złączny do produktu 910R74-020</v>
      </c>
      <c r="J2299" s="6" t="str">
        <f>_xlfn.CONCAT("VE-",Tabela10[[#This Row],[KOD_PRODUKTU]])</f>
        <v>VE-910R74-020</v>
      </c>
    </row>
    <row r="2300" spans="1:10" x14ac:dyDescent="0.25">
      <c r="A2300" s="7" t="s">
        <v>4711</v>
      </c>
      <c r="B2300" s="6" t="s">
        <v>4712</v>
      </c>
      <c r="C2300" s="7" t="s">
        <v>432</v>
      </c>
      <c r="D2300" s="6" t="s">
        <v>433</v>
      </c>
      <c r="E2300" s="6" t="s">
        <v>434</v>
      </c>
      <c r="F2300" s="6" t="s">
        <v>435</v>
      </c>
      <c r="G2300" s="6" t="s">
        <v>50</v>
      </c>
      <c r="H2300" s="6">
        <v>1.1000000000000001</v>
      </c>
      <c r="I2300" s="6" t="str">
        <f>_xlfn.CONCAT("Art. złączny do produktu ",Tabela10[[#This Row],[KOD_PRODUKTU]])</f>
        <v>Art. złączny do produktu 910R74-020</v>
      </c>
      <c r="J2300" s="6" t="str">
        <f>_xlfn.CONCAT("VE-",Tabela10[[#This Row],[KOD_PRODUKTU]])</f>
        <v>VE-910R74-020</v>
      </c>
    </row>
    <row r="2301" spans="1:10" x14ac:dyDescent="0.25">
      <c r="A2301" s="1" t="s">
        <v>4711</v>
      </c>
      <c r="B2301" t="s">
        <v>4712</v>
      </c>
      <c r="C2301" s="1" t="s">
        <v>541</v>
      </c>
      <c r="D2301" t="s">
        <v>542</v>
      </c>
      <c r="E2301" t="s">
        <v>9</v>
      </c>
      <c r="F2301" t="s">
        <v>10</v>
      </c>
      <c r="G2301" t="s">
        <v>19</v>
      </c>
      <c r="H2301">
        <v>4.5999999999999996</v>
      </c>
      <c r="I2301" s="6" t="str">
        <f>_xlfn.CONCAT("Art. złączny do produktu ",Tabela10[[#This Row],[KOD_PRODUKTU]])</f>
        <v>Art. złączny do produktu 910R74-020</v>
      </c>
      <c r="J2301" s="6" t="str">
        <f>_xlfn.CONCAT("VE-",Tabela10[[#This Row],[KOD_PRODUKTU]])</f>
        <v>VE-910R74-020</v>
      </c>
    </row>
    <row r="2302" spans="1:10" x14ac:dyDescent="0.25">
      <c r="A2302" s="7" t="s">
        <v>4730</v>
      </c>
      <c r="B2302" s="6" t="s">
        <v>4731</v>
      </c>
      <c r="C2302" s="7" t="s">
        <v>2318</v>
      </c>
      <c r="D2302" s="6" t="s">
        <v>2319</v>
      </c>
      <c r="E2302" s="6" t="s">
        <v>4732</v>
      </c>
      <c r="F2302" s="6" t="s">
        <v>17</v>
      </c>
      <c r="G2302" s="6" t="s">
        <v>4733</v>
      </c>
      <c r="H2302" s="6">
        <v>8.4</v>
      </c>
      <c r="I2302" s="6" t="str">
        <f>_xlfn.CONCAT("Art. złączny do produktu ",Tabela10[[#This Row],[KOD_PRODUKTU]])</f>
        <v>Art. złączny do produktu 910R90E-300</v>
      </c>
      <c r="J2302" s="6" t="str">
        <f>_xlfn.CONCAT("VE-",Tabela10[[#This Row],[KOD_PRODUKTU]])</f>
        <v>VE-910R90E-300</v>
      </c>
    </row>
    <row r="2303" spans="1:10" x14ac:dyDescent="0.25">
      <c r="A2303" s="1" t="s">
        <v>4730</v>
      </c>
      <c r="B2303" t="s">
        <v>4731</v>
      </c>
      <c r="C2303" s="1" t="s">
        <v>2322</v>
      </c>
      <c r="D2303" t="s">
        <v>2323</v>
      </c>
      <c r="E2303" t="s">
        <v>2324</v>
      </c>
      <c r="F2303" t="s">
        <v>39</v>
      </c>
      <c r="G2303" t="s">
        <v>478</v>
      </c>
      <c r="H2303">
        <v>2.96</v>
      </c>
      <c r="I2303" s="6" t="str">
        <f>_xlfn.CONCAT("Art. złączny do produktu ",Tabela10[[#This Row],[KOD_PRODUKTU]])</f>
        <v>Art. złączny do produktu 910R90E-300</v>
      </c>
      <c r="J2303" s="6" t="str">
        <f>_xlfn.CONCAT("VE-",Tabela10[[#This Row],[KOD_PRODUKTU]])</f>
        <v>VE-910R90E-300</v>
      </c>
    </row>
    <row r="2304" spans="1:10" x14ac:dyDescent="0.25">
      <c r="A2304" s="7" t="s">
        <v>4730</v>
      </c>
      <c r="B2304" s="6" t="s">
        <v>4731</v>
      </c>
      <c r="C2304" s="7" t="s">
        <v>41</v>
      </c>
      <c r="D2304" s="6" t="s">
        <v>42</v>
      </c>
      <c r="E2304" s="6" t="s">
        <v>513</v>
      </c>
      <c r="F2304" s="6" t="s">
        <v>5</v>
      </c>
      <c r="G2304" s="6" t="s">
        <v>559</v>
      </c>
      <c r="H2304" s="6">
        <v>0.04</v>
      </c>
      <c r="I2304" s="6" t="str">
        <f>_xlfn.CONCAT("Art. złączny do produktu ",Tabela10[[#This Row],[KOD_PRODUKTU]])</f>
        <v>Art. złączny do produktu 910R90E-300</v>
      </c>
      <c r="J2304" s="6" t="str">
        <f>_xlfn.CONCAT("VE-",Tabela10[[#This Row],[KOD_PRODUKTU]])</f>
        <v>VE-910R90E-300</v>
      </c>
    </row>
    <row r="2305" spans="1:10" x14ac:dyDescent="0.25">
      <c r="A2305" s="1" t="s">
        <v>4730</v>
      </c>
      <c r="B2305" t="s">
        <v>4731</v>
      </c>
      <c r="C2305" s="1" t="s">
        <v>4734</v>
      </c>
      <c r="D2305" t="s">
        <v>4735</v>
      </c>
      <c r="E2305" t="s">
        <v>4736</v>
      </c>
      <c r="F2305" t="s">
        <v>121</v>
      </c>
      <c r="G2305" t="s">
        <v>92</v>
      </c>
      <c r="H2305">
        <v>15.4</v>
      </c>
      <c r="I2305" s="6" t="str">
        <f>_xlfn.CONCAT("Art. złączny do produktu ",Tabela10[[#This Row],[KOD_PRODUKTU]])</f>
        <v>Art. złączny do produktu 910R90E-300</v>
      </c>
      <c r="J2305" s="6" t="str">
        <f>_xlfn.CONCAT("VE-",Tabela10[[#This Row],[KOD_PRODUKTU]])</f>
        <v>VE-910R90E-300</v>
      </c>
    </row>
    <row r="2306" spans="1:10" x14ac:dyDescent="0.25">
      <c r="A2306" s="7" t="s">
        <v>4730</v>
      </c>
      <c r="B2306" s="6" t="s">
        <v>4731</v>
      </c>
      <c r="C2306" s="7" t="s">
        <v>4737</v>
      </c>
      <c r="D2306" s="6" t="s">
        <v>4738</v>
      </c>
      <c r="E2306" s="6" t="s">
        <v>634</v>
      </c>
      <c r="F2306" s="6" t="s">
        <v>121</v>
      </c>
      <c r="G2306" s="6" t="s">
        <v>50</v>
      </c>
      <c r="H2306" s="6">
        <v>2.2999999999999998</v>
      </c>
      <c r="I2306" s="6" t="str">
        <f>_xlfn.CONCAT("Art. złączny do produktu ",Tabela10[[#This Row],[KOD_PRODUKTU]])</f>
        <v>Art. złączny do produktu 910R90E-300</v>
      </c>
      <c r="J2306" s="6" t="str">
        <f>_xlfn.CONCAT("VE-",Tabela10[[#This Row],[KOD_PRODUKTU]])</f>
        <v>VE-910R90E-300</v>
      </c>
    </row>
    <row r="2307" spans="1:10" x14ac:dyDescent="0.25">
      <c r="A2307" s="1" t="s">
        <v>4730</v>
      </c>
      <c r="B2307" t="s">
        <v>4731</v>
      </c>
      <c r="C2307" s="1" t="s">
        <v>7</v>
      </c>
      <c r="D2307" t="s">
        <v>8</v>
      </c>
      <c r="E2307" t="s">
        <v>9</v>
      </c>
      <c r="F2307" t="s">
        <v>10</v>
      </c>
      <c r="G2307" t="s">
        <v>523</v>
      </c>
      <c r="H2307">
        <v>17</v>
      </c>
      <c r="I2307" s="6" t="str">
        <f>_xlfn.CONCAT("Art. złączny do produktu ",Tabela10[[#This Row],[KOD_PRODUKTU]])</f>
        <v>Art. złączny do produktu 910R90E-300</v>
      </c>
      <c r="J2307" s="6" t="str">
        <f>_xlfn.CONCAT("VE-",Tabela10[[#This Row],[KOD_PRODUKTU]])</f>
        <v>VE-910R90E-300</v>
      </c>
    </row>
    <row r="2308" spans="1:10" x14ac:dyDescent="0.25">
      <c r="A2308" s="7" t="s">
        <v>4739</v>
      </c>
      <c r="B2308" s="6" t="s">
        <v>4740</v>
      </c>
      <c r="C2308" s="7" t="s">
        <v>1249</v>
      </c>
      <c r="D2308" s="6" t="s">
        <v>1250</v>
      </c>
      <c r="E2308" s="6" t="s">
        <v>1251</v>
      </c>
      <c r="F2308" s="6" t="s">
        <v>1252</v>
      </c>
      <c r="G2308" s="6" t="s">
        <v>4741</v>
      </c>
      <c r="H2308" s="6">
        <v>23.4</v>
      </c>
      <c r="I2308" s="6" t="str">
        <f>_xlfn.CONCAT("Art. złączny do produktu ",Tabela10[[#This Row],[KOD_PRODUKTU]])</f>
        <v>Art. złączny do produktu 910R91-300</v>
      </c>
      <c r="J2308" s="6" t="str">
        <f>_xlfn.CONCAT("VE-",Tabela10[[#This Row],[KOD_PRODUKTU]])</f>
        <v>VE-910R91-300</v>
      </c>
    </row>
    <row r="2309" spans="1:10" x14ac:dyDescent="0.25">
      <c r="A2309" s="1" t="s">
        <v>4739</v>
      </c>
      <c r="B2309" t="s">
        <v>4740</v>
      </c>
      <c r="C2309" s="1" t="s">
        <v>4742</v>
      </c>
      <c r="D2309" t="s">
        <v>4743</v>
      </c>
      <c r="E2309" t="s">
        <v>182</v>
      </c>
      <c r="F2309" t="s">
        <v>5</v>
      </c>
      <c r="G2309" t="s">
        <v>4744</v>
      </c>
      <c r="H2309">
        <v>0.75</v>
      </c>
      <c r="I2309" s="6" t="str">
        <f>_xlfn.CONCAT("Art. złączny do produktu ",Tabela10[[#This Row],[KOD_PRODUKTU]])</f>
        <v>Art. złączny do produktu 910R91-300</v>
      </c>
      <c r="J2309" s="6" t="str">
        <f>_xlfn.CONCAT("VE-",Tabela10[[#This Row],[KOD_PRODUKTU]])</f>
        <v>VE-910R91-300</v>
      </c>
    </row>
    <row r="2310" spans="1:10" x14ac:dyDescent="0.25">
      <c r="A2310" s="7" t="s">
        <v>4739</v>
      </c>
      <c r="B2310" s="6" t="s">
        <v>4740</v>
      </c>
      <c r="C2310" s="7" t="s">
        <v>479</v>
      </c>
      <c r="D2310" s="6" t="s">
        <v>480</v>
      </c>
      <c r="E2310" s="6" t="s">
        <v>626</v>
      </c>
      <c r="F2310" s="6" t="s">
        <v>5</v>
      </c>
      <c r="G2310" s="6" t="s">
        <v>1772</v>
      </c>
      <c r="H2310" s="6">
        <v>0.2</v>
      </c>
      <c r="I2310" s="6" t="str">
        <f>_xlfn.CONCAT("Art. złączny do produktu ",Tabela10[[#This Row],[KOD_PRODUKTU]])</f>
        <v>Art. złączny do produktu 910R91-300</v>
      </c>
      <c r="J2310" s="6" t="str">
        <f>_xlfn.CONCAT("VE-",Tabela10[[#This Row],[KOD_PRODUKTU]])</f>
        <v>VE-910R91-300</v>
      </c>
    </row>
    <row r="2311" spans="1:10" x14ac:dyDescent="0.25">
      <c r="A2311" s="1" t="s">
        <v>4739</v>
      </c>
      <c r="B2311" t="s">
        <v>4740</v>
      </c>
      <c r="C2311" s="1" t="s">
        <v>628</v>
      </c>
      <c r="D2311" t="s">
        <v>629</v>
      </c>
      <c r="E2311" t="s">
        <v>630</v>
      </c>
      <c r="F2311" t="s">
        <v>5</v>
      </c>
      <c r="G2311" t="s">
        <v>598</v>
      </c>
      <c r="H2311">
        <v>0.08</v>
      </c>
      <c r="I2311" s="6" t="str">
        <f>_xlfn.CONCAT("Art. złączny do produktu ",Tabela10[[#This Row],[KOD_PRODUKTU]])</f>
        <v>Art. złączny do produktu 910R91-300</v>
      </c>
      <c r="J2311" s="6" t="str">
        <f>_xlfn.CONCAT("VE-",Tabela10[[#This Row],[KOD_PRODUKTU]])</f>
        <v>VE-910R91-300</v>
      </c>
    </row>
    <row r="2312" spans="1:10" x14ac:dyDescent="0.25">
      <c r="A2312" s="7" t="s">
        <v>4739</v>
      </c>
      <c r="B2312" s="6" t="s">
        <v>4740</v>
      </c>
      <c r="C2312" s="7" t="s">
        <v>483</v>
      </c>
      <c r="D2312" s="6" t="s">
        <v>484</v>
      </c>
      <c r="E2312" s="6" t="s">
        <v>2789</v>
      </c>
      <c r="F2312" s="6" t="s">
        <v>5</v>
      </c>
      <c r="G2312" s="6" t="s">
        <v>1858</v>
      </c>
      <c r="H2312" s="6">
        <v>0.05</v>
      </c>
      <c r="I2312" s="6" t="str">
        <f>_xlfn.CONCAT("Art. złączny do produktu ",Tabela10[[#This Row],[KOD_PRODUKTU]])</f>
        <v>Art. złączny do produktu 910R91-300</v>
      </c>
      <c r="J2312" s="6" t="str">
        <f>_xlfn.CONCAT("VE-",Tabela10[[#This Row],[KOD_PRODUKTU]])</f>
        <v>VE-910R91-300</v>
      </c>
    </row>
    <row r="2313" spans="1:10" x14ac:dyDescent="0.25">
      <c r="A2313" s="1" t="s">
        <v>4739</v>
      </c>
      <c r="B2313" t="s">
        <v>4740</v>
      </c>
      <c r="C2313" s="1" t="s">
        <v>704</v>
      </c>
      <c r="D2313" t="s">
        <v>705</v>
      </c>
      <c r="E2313" t="s">
        <v>744</v>
      </c>
      <c r="F2313" t="s">
        <v>121</v>
      </c>
      <c r="G2313" t="s">
        <v>50</v>
      </c>
      <c r="H2313">
        <v>0.4</v>
      </c>
      <c r="I2313" s="6" t="str">
        <f>_xlfn.CONCAT("Art. złączny do produktu ",Tabela10[[#This Row],[KOD_PRODUKTU]])</f>
        <v>Art. złączny do produktu 910R91-300</v>
      </c>
      <c r="J2313" s="6" t="str">
        <f>_xlfn.CONCAT("VE-",Tabela10[[#This Row],[KOD_PRODUKTU]])</f>
        <v>VE-910R91-300</v>
      </c>
    </row>
    <row r="2314" spans="1:10" x14ac:dyDescent="0.25">
      <c r="A2314" s="7" t="s">
        <v>4739</v>
      </c>
      <c r="B2314" s="6" t="s">
        <v>4740</v>
      </c>
      <c r="C2314" s="7" t="s">
        <v>7</v>
      </c>
      <c r="D2314" s="6" t="s">
        <v>8</v>
      </c>
      <c r="E2314" s="6" t="s">
        <v>9</v>
      </c>
      <c r="F2314" s="6" t="s">
        <v>10</v>
      </c>
      <c r="G2314" s="6" t="s">
        <v>4745</v>
      </c>
      <c r="H2314" s="6">
        <v>30.92</v>
      </c>
      <c r="I2314" s="6" t="str">
        <f>_xlfn.CONCAT("Art. złączny do produktu ",Tabela10[[#This Row],[KOD_PRODUKTU]])</f>
        <v>Art. złączny do produktu 910R91-300</v>
      </c>
      <c r="J2314" s="6" t="str">
        <f>_xlfn.CONCAT("VE-",Tabela10[[#This Row],[KOD_PRODUKTU]])</f>
        <v>VE-910R91-300</v>
      </c>
    </row>
    <row r="2315" spans="1:10" x14ac:dyDescent="0.25">
      <c r="A2315" s="1" t="s">
        <v>4739</v>
      </c>
      <c r="B2315" t="s">
        <v>4740</v>
      </c>
      <c r="C2315" s="1" t="s">
        <v>7</v>
      </c>
      <c r="D2315" t="s">
        <v>8</v>
      </c>
      <c r="E2315" t="s">
        <v>9</v>
      </c>
      <c r="F2315" t="s">
        <v>10</v>
      </c>
      <c r="G2315" t="s">
        <v>4746</v>
      </c>
      <c r="H2315">
        <v>55.57</v>
      </c>
      <c r="I2315" s="6" t="str">
        <f>_xlfn.CONCAT("Art. złączny do produktu ",Tabela10[[#This Row],[KOD_PRODUKTU]])</f>
        <v>Art. złączny do produktu 910R91-300</v>
      </c>
      <c r="J2315" s="6" t="str">
        <f>_xlfn.CONCAT("VE-",Tabela10[[#This Row],[KOD_PRODUKTU]])</f>
        <v>VE-910R91-300</v>
      </c>
    </row>
    <row r="2316" spans="1:10" x14ac:dyDescent="0.25">
      <c r="A2316" s="7" t="s">
        <v>4747</v>
      </c>
      <c r="B2316" s="6" t="s">
        <v>4748</v>
      </c>
      <c r="C2316" s="7" t="s">
        <v>4749</v>
      </c>
      <c r="D2316" s="6" t="s">
        <v>4750</v>
      </c>
      <c r="E2316" s="6" t="s">
        <v>4751</v>
      </c>
      <c r="F2316" s="6" t="s">
        <v>5</v>
      </c>
      <c r="G2316" s="6" t="s">
        <v>1754</v>
      </c>
      <c r="H2316" s="6">
        <v>1.99</v>
      </c>
      <c r="I2316" s="6" t="str">
        <f>_xlfn.CONCAT("Art. złączny do produktu ",Tabela10[[#This Row],[KOD_PRODUKTU]])</f>
        <v>Art. złączny do produktu 910R91-600</v>
      </c>
      <c r="J2316" s="6" t="str">
        <f>_xlfn.CONCAT("VE-",Tabela10[[#This Row],[KOD_PRODUKTU]])</f>
        <v>VE-910R91-600</v>
      </c>
    </row>
    <row r="2317" spans="1:10" x14ac:dyDescent="0.25">
      <c r="A2317" s="1" t="s">
        <v>4747</v>
      </c>
      <c r="B2317" t="s">
        <v>4748</v>
      </c>
      <c r="C2317" s="1" t="s">
        <v>541</v>
      </c>
      <c r="D2317" t="s">
        <v>542</v>
      </c>
      <c r="E2317" t="s">
        <v>9</v>
      </c>
      <c r="F2317" t="s">
        <v>10</v>
      </c>
      <c r="G2317" t="s">
        <v>4752</v>
      </c>
      <c r="H2317">
        <v>27.82</v>
      </c>
      <c r="I2317" s="6" t="str">
        <f>_xlfn.CONCAT("Art. złączny do produktu ",Tabela10[[#This Row],[KOD_PRODUKTU]])</f>
        <v>Art. złączny do produktu 910R91-600</v>
      </c>
      <c r="J2317" s="6" t="str">
        <f>_xlfn.CONCAT("VE-",Tabela10[[#This Row],[KOD_PRODUKTU]])</f>
        <v>VE-910R91-600</v>
      </c>
    </row>
    <row r="2318" spans="1:10" x14ac:dyDescent="0.25">
      <c r="A2318" s="7" t="s">
        <v>4753</v>
      </c>
      <c r="B2318" s="6" t="s">
        <v>4754</v>
      </c>
      <c r="C2318" s="7" t="s">
        <v>2110</v>
      </c>
      <c r="D2318" s="6" t="s">
        <v>2111</v>
      </c>
      <c r="E2318" s="6" t="s">
        <v>182</v>
      </c>
      <c r="F2318" s="6" t="s">
        <v>17</v>
      </c>
      <c r="G2318" s="6" t="s">
        <v>4755</v>
      </c>
      <c r="H2318" s="6">
        <v>0.25</v>
      </c>
      <c r="I2318" s="6" t="str">
        <f>_xlfn.CONCAT("Art. złączny do produktu ",Tabela10[[#This Row],[KOD_PRODUKTU]])</f>
        <v>Art. złączny do produktu 910R91-700</v>
      </c>
      <c r="J2318" s="6" t="str">
        <f>_xlfn.CONCAT("VE-",Tabela10[[#This Row],[KOD_PRODUKTU]])</f>
        <v>VE-910R91-700</v>
      </c>
    </row>
    <row r="2319" spans="1:10" x14ac:dyDescent="0.25">
      <c r="A2319" s="1" t="s">
        <v>4753</v>
      </c>
      <c r="B2319" t="s">
        <v>4754</v>
      </c>
      <c r="C2319" s="1" t="s">
        <v>7</v>
      </c>
      <c r="D2319" t="s">
        <v>8</v>
      </c>
      <c r="E2319" t="s">
        <v>9</v>
      </c>
      <c r="F2319" t="s">
        <v>10</v>
      </c>
      <c r="G2319" t="s">
        <v>4756</v>
      </c>
      <c r="H2319">
        <v>3.75</v>
      </c>
      <c r="I2319" s="6" t="str">
        <f>_xlfn.CONCAT("Art. złączny do produktu ",Tabela10[[#This Row],[KOD_PRODUKTU]])</f>
        <v>Art. złączny do produktu 910R91-700</v>
      </c>
      <c r="J2319" s="6" t="str">
        <f>_xlfn.CONCAT("VE-",Tabela10[[#This Row],[KOD_PRODUKTU]])</f>
        <v>VE-910R91-700</v>
      </c>
    </row>
    <row r="2320" spans="1:10" x14ac:dyDescent="0.25">
      <c r="A2320" s="7" t="s">
        <v>4757</v>
      </c>
      <c r="B2320" s="6" t="s">
        <v>4758</v>
      </c>
      <c r="C2320" s="7" t="s">
        <v>684</v>
      </c>
      <c r="D2320" s="6" t="s">
        <v>685</v>
      </c>
      <c r="E2320" s="6" t="s">
        <v>686</v>
      </c>
      <c r="F2320" s="6" t="s">
        <v>49</v>
      </c>
      <c r="G2320" s="6" t="s">
        <v>4759</v>
      </c>
      <c r="H2320" s="6">
        <v>3.5</v>
      </c>
      <c r="I2320" s="6" t="str">
        <f>_xlfn.CONCAT("Art. złączny do produktu ",Tabela10[[#This Row],[KOD_PRODUKTU]])</f>
        <v>Art. złączny do produktu 910R92-510</v>
      </c>
      <c r="J2320" s="6" t="str">
        <f>_xlfn.CONCAT("VE-",Tabela10[[#This Row],[KOD_PRODUKTU]])</f>
        <v>VE-910R92-510</v>
      </c>
    </row>
    <row r="2321" spans="1:10" x14ac:dyDescent="0.25">
      <c r="A2321" s="1" t="s">
        <v>4760</v>
      </c>
      <c r="B2321" t="s">
        <v>4761</v>
      </c>
      <c r="C2321" s="1" t="s">
        <v>1249</v>
      </c>
      <c r="D2321" t="s">
        <v>1250</v>
      </c>
      <c r="E2321" t="s">
        <v>1251</v>
      </c>
      <c r="F2321" t="s">
        <v>1252</v>
      </c>
      <c r="G2321" t="s">
        <v>3205</v>
      </c>
      <c r="H2321">
        <v>21</v>
      </c>
      <c r="I2321" s="6" t="str">
        <f>_xlfn.CONCAT("Art. złączny do produktu ",Tabela10[[#This Row],[KOD_PRODUKTU]])</f>
        <v>Art. złączny do produktu 910R92-800</v>
      </c>
      <c r="J2321" s="6" t="str">
        <f>_xlfn.CONCAT("VE-",Tabela10[[#This Row],[KOD_PRODUKTU]])</f>
        <v>VE-910R92-800</v>
      </c>
    </row>
    <row r="2322" spans="1:10" x14ac:dyDescent="0.25">
      <c r="A2322" s="7" t="s">
        <v>4760</v>
      </c>
      <c r="B2322" s="6" t="s">
        <v>4761</v>
      </c>
      <c r="C2322" s="7" t="s">
        <v>4742</v>
      </c>
      <c r="D2322" s="6" t="s">
        <v>4743</v>
      </c>
      <c r="E2322" s="6" t="s">
        <v>182</v>
      </c>
      <c r="F2322" s="6" t="s">
        <v>5</v>
      </c>
      <c r="G2322" s="6" t="s">
        <v>4744</v>
      </c>
      <c r="H2322" s="6">
        <v>0.75</v>
      </c>
      <c r="I2322" s="6" t="str">
        <f>_xlfn.CONCAT("Art. złączny do produktu ",Tabela10[[#This Row],[KOD_PRODUKTU]])</f>
        <v>Art. złączny do produktu 910R92-800</v>
      </c>
      <c r="J2322" s="6" t="str">
        <f>_xlfn.CONCAT("VE-",Tabela10[[#This Row],[KOD_PRODUKTU]])</f>
        <v>VE-910R92-800</v>
      </c>
    </row>
    <row r="2323" spans="1:10" x14ac:dyDescent="0.25">
      <c r="A2323" s="1" t="s">
        <v>4760</v>
      </c>
      <c r="B2323" t="s">
        <v>4761</v>
      </c>
      <c r="C2323" s="1" t="s">
        <v>479</v>
      </c>
      <c r="D2323" t="s">
        <v>480</v>
      </c>
      <c r="E2323" t="s">
        <v>626</v>
      </c>
      <c r="F2323" t="s">
        <v>5</v>
      </c>
      <c r="G2323" t="s">
        <v>1772</v>
      </c>
      <c r="H2323">
        <v>0.2</v>
      </c>
      <c r="I2323" s="6" t="str">
        <f>_xlfn.CONCAT("Art. złączny do produktu ",Tabela10[[#This Row],[KOD_PRODUKTU]])</f>
        <v>Art. złączny do produktu 910R92-800</v>
      </c>
      <c r="J2323" s="6" t="str">
        <f>_xlfn.CONCAT("VE-",Tabela10[[#This Row],[KOD_PRODUKTU]])</f>
        <v>VE-910R92-800</v>
      </c>
    </row>
    <row r="2324" spans="1:10" x14ac:dyDescent="0.25">
      <c r="A2324" s="7" t="s">
        <v>4760</v>
      </c>
      <c r="B2324" s="6" t="s">
        <v>4761</v>
      </c>
      <c r="C2324" s="7" t="s">
        <v>628</v>
      </c>
      <c r="D2324" s="6" t="s">
        <v>629</v>
      </c>
      <c r="E2324" s="6" t="s">
        <v>630</v>
      </c>
      <c r="F2324" s="6" t="s">
        <v>5</v>
      </c>
      <c r="G2324" s="6" t="s">
        <v>598</v>
      </c>
      <c r="H2324" s="6">
        <v>0.08</v>
      </c>
      <c r="I2324" s="6" t="str">
        <f>_xlfn.CONCAT("Art. złączny do produktu ",Tabela10[[#This Row],[KOD_PRODUKTU]])</f>
        <v>Art. złączny do produktu 910R92-800</v>
      </c>
      <c r="J2324" s="6" t="str">
        <f>_xlfn.CONCAT("VE-",Tabela10[[#This Row],[KOD_PRODUKTU]])</f>
        <v>VE-910R92-800</v>
      </c>
    </row>
    <row r="2325" spans="1:10" x14ac:dyDescent="0.25">
      <c r="A2325" s="1" t="s">
        <v>4760</v>
      </c>
      <c r="B2325" t="s">
        <v>4761</v>
      </c>
      <c r="C2325" s="1" t="s">
        <v>2844</v>
      </c>
      <c r="D2325" t="s">
        <v>2845</v>
      </c>
      <c r="E2325" t="s">
        <v>2846</v>
      </c>
      <c r="F2325" t="s">
        <v>5</v>
      </c>
      <c r="G2325" t="s">
        <v>1858</v>
      </c>
      <c r="H2325">
        <v>0.03</v>
      </c>
      <c r="I2325" s="6" t="str">
        <f>_xlfn.CONCAT("Art. złączny do produktu ",Tabela10[[#This Row],[KOD_PRODUKTU]])</f>
        <v>Art. złączny do produktu 910R92-800</v>
      </c>
      <c r="J2325" s="6" t="str">
        <f>_xlfn.CONCAT("VE-",Tabela10[[#This Row],[KOD_PRODUKTU]])</f>
        <v>VE-910R92-800</v>
      </c>
    </row>
    <row r="2326" spans="1:10" x14ac:dyDescent="0.25">
      <c r="A2326" s="7" t="s">
        <v>4760</v>
      </c>
      <c r="B2326" s="6" t="s">
        <v>4761</v>
      </c>
      <c r="C2326" s="7" t="s">
        <v>704</v>
      </c>
      <c r="D2326" s="6" t="s">
        <v>705</v>
      </c>
      <c r="E2326" s="6" t="s">
        <v>744</v>
      </c>
      <c r="F2326" s="6" t="s">
        <v>121</v>
      </c>
      <c r="G2326" s="6" t="s">
        <v>50</v>
      </c>
      <c r="H2326" s="6">
        <v>0.4</v>
      </c>
      <c r="I2326" s="6" t="str">
        <f>_xlfn.CONCAT("Art. złączny do produktu ",Tabela10[[#This Row],[KOD_PRODUKTU]])</f>
        <v>Art. złączny do produktu 910R92-800</v>
      </c>
      <c r="J2326" s="6" t="str">
        <f>_xlfn.CONCAT("VE-",Tabela10[[#This Row],[KOD_PRODUKTU]])</f>
        <v>VE-910R92-800</v>
      </c>
    </row>
    <row r="2327" spans="1:10" x14ac:dyDescent="0.25">
      <c r="A2327" s="1" t="s">
        <v>4760</v>
      </c>
      <c r="B2327" t="s">
        <v>4761</v>
      </c>
      <c r="C2327" s="1" t="s">
        <v>7</v>
      </c>
      <c r="D2327" t="s">
        <v>8</v>
      </c>
      <c r="E2327" t="s">
        <v>9</v>
      </c>
      <c r="F2327" t="s">
        <v>10</v>
      </c>
      <c r="G2327" t="s">
        <v>3307</v>
      </c>
      <c r="H2327">
        <v>55.2</v>
      </c>
      <c r="I2327" s="6" t="str">
        <f>_xlfn.CONCAT("Art. złączny do produktu ",Tabela10[[#This Row],[KOD_PRODUKTU]])</f>
        <v>Art. złączny do produktu 910R92-800</v>
      </c>
      <c r="J2327" s="6" t="str">
        <f>_xlfn.CONCAT("VE-",Tabela10[[#This Row],[KOD_PRODUKTU]])</f>
        <v>VE-910R92-800</v>
      </c>
    </row>
    <row r="2328" spans="1:10" x14ac:dyDescent="0.25">
      <c r="A2328" s="7" t="s">
        <v>4760</v>
      </c>
      <c r="B2328" s="6" t="s">
        <v>4761</v>
      </c>
      <c r="C2328" s="7" t="s">
        <v>7</v>
      </c>
      <c r="D2328" s="6" t="s">
        <v>8</v>
      </c>
      <c r="E2328" s="6" t="s">
        <v>9</v>
      </c>
      <c r="F2328" s="6" t="s">
        <v>10</v>
      </c>
      <c r="G2328" s="6" t="s">
        <v>4745</v>
      </c>
      <c r="H2328" s="6">
        <v>30.92</v>
      </c>
      <c r="I2328" s="6" t="str">
        <f>_xlfn.CONCAT("Art. złączny do produktu ",Tabela10[[#This Row],[KOD_PRODUKTU]])</f>
        <v>Art. złączny do produktu 910R92-800</v>
      </c>
      <c r="J2328" s="6" t="str">
        <f>_xlfn.CONCAT("VE-",Tabela10[[#This Row],[KOD_PRODUKTU]])</f>
        <v>VE-910R92-800</v>
      </c>
    </row>
    <row r="2329" spans="1:10" x14ac:dyDescent="0.25">
      <c r="A2329" s="1" t="s">
        <v>4762</v>
      </c>
      <c r="B2329" t="s">
        <v>4763</v>
      </c>
      <c r="C2329" s="1" t="s">
        <v>2318</v>
      </c>
      <c r="D2329" t="s">
        <v>2319</v>
      </c>
      <c r="E2329" t="s">
        <v>4732</v>
      </c>
      <c r="F2329" t="s">
        <v>17</v>
      </c>
      <c r="G2329" t="s">
        <v>4764</v>
      </c>
      <c r="H2329">
        <v>16.5</v>
      </c>
      <c r="I2329" s="6" t="str">
        <f>_xlfn.CONCAT("Art. złączny do produktu ",Tabela10[[#This Row],[KOD_PRODUKTU]])</f>
        <v>Art. złączny do produktu 910R92E-400</v>
      </c>
      <c r="J2329" s="6" t="str">
        <f>_xlfn.CONCAT("VE-",Tabela10[[#This Row],[KOD_PRODUKTU]])</f>
        <v>VE-910R92E-400</v>
      </c>
    </row>
    <row r="2330" spans="1:10" x14ac:dyDescent="0.25">
      <c r="A2330" s="7" t="s">
        <v>4762</v>
      </c>
      <c r="B2330" s="6" t="s">
        <v>4763</v>
      </c>
      <c r="C2330" s="7" t="s">
        <v>2322</v>
      </c>
      <c r="D2330" s="6" t="s">
        <v>2323</v>
      </c>
      <c r="E2330" s="6" t="s">
        <v>2324</v>
      </c>
      <c r="F2330" s="6" t="s">
        <v>39</v>
      </c>
      <c r="G2330" s="6" t="s">
        <v>478</v>
      </c>
      <c r="H2330" s="6">
        <v>2.96</v>
      </c>
      <c r="I2330" s="6" t="str">
        <f>_xlfn.CONCAT("Art. złączny do produktu ",Tabela10[[#This Row],[KOD_PRODUKTU]])</f>
        <v>Art. złączny do produktu 910R92E-400</v>
      </c>
      <c r="J2330" s="6" t="str">
        <f>_xlfn.CONCAT("VE-",Tabela10[[#This Row],[KOD_PRODUKTU]])</f>
        <v>VE-910R92E-400</v>
      </c>
    </row>
    <row r="2331" spans="1:10" x14ac:dyDescent="0.25">
      <c r="A2331" s="1" t="s">
        <v>4762</v>
      </c>
      <c r="B2331" t="s">
        <v>4763</v>
      </c>
      <c r="C2331" s="1" t="s">
        <v>41</v>
      </c>
      <c r="D2331" t="s">
        <v>42</v>
      </c>
      <c r="E2331" t="s">
        <v>513</v>
      </c>
      <c r="F2331" t="s">
        <v>5</v>
      </c>
      <c r="G2331" t="s">
        <v>559</v>
      </c>
      <c r="H2331">
        <v>0.04</v>
      </c>
      <c r="I2331" s="6" t="str">
        <f>_xlfn.CONCAT("Art. złączny do produktu ",Tabela10[[#This Row],[KOD_PRODUKTU]])</f>
        <v>Art. złączny do produktu 910R92E-400</v>
      </c>
      <c r="J2331" s="6" t="str">
        <f>_xlfn.CONCAT("VE-",Tabela10[[#This Row],[KOD_PRODUKTU]])</f>
        <v>VE-910R92E-400</v>
      </c>
    </row>
    <row r="2332" spans="1:10" x14ac:dyDescent="0.25">
      <c r="A2332" s="7" t="s">
        <v>4762</v>
      </c>
      <c r="B2332" s="6" t="s">
        <v>4763</v>
      </c>
      <c r="C2332" s="7" t="s">
        <v>4734</v>
      </c>
      <c r="D2332" s="6" t="s">
        <v>4735</v>
      </c>
      <c r="E2332" s="6" t="s">
        <v>4736</v>
      </c>
      <c r="F2332" s="6" t="s">
        <v>121</v>
      </c>
      <c r="G2332" s="6" t="s">
        <v>92</v>
      </c>
      <c r="H2332" s="6">
        <v>15.4</v>
      </c>
      <c r="I2332" s="6" t="str">
        <f>_xlfn.CONCAT("Art. złączny do produktu ",Tabela10[[#This Row],[KOD_PRODUKTU]])</f>
        <v>Art. złączny do produktu 910R92E-400</v>
      </c>
      <c r="J2332" s="6" t="str">
        <f>_xlfn.CONCAT("VE-",Tabela10[[#This Row],[KOD_PRODUKTU]])</f>
        <v>VE-910R92E-400</v>
      </c>
    </row>
    <row r="2333" spans="1:10" x14ac:dyDescent="0.25">
      <c r="A2333" s="1" t="s">
        <v>4762</v>
      </c>
      <c r="B2333" t="s">
        <v>4763</v>
      </c>
      <c r="C2333" s="1" t="s">
        <v>7</v>
      </c>
      <c r="D2333" t="s">
        <v>8</v>
      </c>
      <c r="E2333" t="s">
        <v>9</v>
      </c>
      <c r="F2333" t="s">
        <v>10</v>
      </c>
      <c r="G2333" t="s">
        <v>523</v>
      </c>
      <c r="H2333">
        <v>17</v>
      </c>
      <c r="I2333" s="6" t="str">
        <f>_xlfn.CONCAT("Art. złączny do produktu ",Tabela10[[#This Row],[KOD_PRODUKTU]])</f>
        <v>Art. złączny do produktu 910R92E-400</v>
      </c>
      <c r="J2333" s="6" t="str">
        <f>_xlfn.CONCAT("VE-",Tabela10[[#This Row],[KOD_PRODUKTU]])</f>
        <v>VE-910R92E-400</v>
      </c>
    </row>
    <row r="2334" spans="1:10" x14ac:dyDescent="0.25">
      <c r="A2334" s="7" t="s">
        <v>4765</v>
      </c>
      <c r="B2334" s="6" t="s">
        <v>4766</v>
      </c>
      <c r="C2334" s="7" t="s">
        <v>2318</v>
      </c>
      <c r="D2334" s="6" t="s">
        <v>2319</v>
      </c>
      <c r="E2334" s="6" t="s">
        <v>4732</v>
      </c>
      <c r="F2334" s="6" t="s">
        <v>17</v>
      </c>
      <c r="G2334" s="6" t="s">
        <v>4733</v>
      </c>
      <c r="H2334" s="6">
        <v>8.4</v>
      </c>
      <c r="I2334" s="6" t="str">
        <f>_xlfn.CONCAT("Art. złączny do produktu ",Tabela10[[#This Row],[KOD_PRODUKTU]])</f>
        <v>Art. złączny do produktu 910R93E-500</v>
      </c>
      <c r="J2334" s="6" t="str">
        <f>_xlfn.CONCAT("VE-",Tabela10[[#This Row],[KOD_PRODUKTU]])</f>
        <v>VE-910R93E-500</v>
      </c>
    </row>
    <row r="2335" spans="1:10" x14ac:dyDescent="0.25">
      <c r="A2335" s="1" t="s">
        <v>4765</v>
      </c>
      <c r="B2335" t="s">
        <v>4766</v>
      </c>
      <c r="C2335" s="1" t="s">
        <v>4767</v>
      </c>
      <c r="D2335" t="s">
        <v>4768</v>
      </c>
      <c r="E2335" t="s">
        <v>2112</v>
      </c>
      <c r="F2335" t="s">
        <v>39</v>
      </c>
      <c r="G2335" t="s">
        <v>478</v>
      </c>
      <c r="H2335">
        <v>1.24</v>
      </c>
      <c r="I2335" s="6" t="str">
        <f>_xlfn.CONCAT("Art. złączny do produktu ",Tabela10[[#This Row],[KOD_PRODUKTU]])</f>
        <v>Art. złączny do produktu 910R93E-500</v>
      </c>
      <c r="J2335" s="6" t="str">
        <f>_xlfn.CONCAT("VE-",Tabela10[[#This Row],[KOD_PRODUKTU]])</f>
        <v>VE-910R93E-500</v>
      </c>
    </row>
    <row r="2336" spans="1:10" x14ac:dyDescent="0.25">
      <c r="A2336" s="7" t="s">
        <v>4765</v>
      </c>
      <c r="B2336" s="6" t="s">
        <v>4766</v>
      </c>
      <c r="C2336" s="7" t="s">
        <v>514</v>
      </c>
      <c r="D2336" s="6" t="s">
        <v>515</v>
      </c>
      <c r="E2336" s="6" t="s">
        <v>816</v>
      </c>
      <c r="F2336" s="6" t="s">
        <v>121</v>
      </c>
      <c r="G2336" s="6" t="s">
        <v>92</v>
      </c>
      <c r="H2336" s="6">
        <v>0.78</v>
      </c>
      <c r="I2336" s="6" t="str">
        <f>_xlfn.CONCAT("Art. złączny do produktu ",Tabela10[[#This Row],[KOD_PRODUKTU]])</f>
        <v>Art. złączny do produktu 910R93E-500</v>
      </c>
      <c r="J2336" s="6" t="str">
        <f>_xlfn.CONCAT("VE-",Tabela10[[#This Row],[KOD_PRODUKTU]])</f>
        <v>VE-910R93E-500</v>
      </c>
    </row>
    <row r="2337" spans="1:10" x14ac:dyDescent="0.25">
      <c r="A2337" s="1" t="s">
        <v>4765</v>
      </c>
      <c r="B2337" t="s">
        <v>4766</v>
      </c>
      <c r="C2337" s="1" t="s">
        <v>41</v>
      </c>
      <c r="D2337" t="s">
        <v>42</v>
      </c>
      <c r="E2337" t="s">
        <v>513</v>
      </c>
      <c r="F2337" t="s">
        <v>5</v>
      </c>
      <c r="G2337" t="s">
        <v>1900</v>
      </c>
      <c r="H2337">
        <v>0.03</v>
      </c>
      <c r="I2337" s="6" t="str">
        <f>_xlfn.CONCAT("Art. złączny do produktu ",Tabela10[[#This Row],[KOD_PRODUKTU]])</f>
        <v>Art. złączny do produktu 910R93E-500</v>
      </c>
      <c r="J2337" s="6" t="str">
        <f>_xlfn.CONCAT("VE-",Tabela10[[#This Row],[KOD_PRODUKTU]])</f>
        <v>VE-910R93E-500</v>
      </c>
    </row>
    <row r="2338" spans="1:10" x14ac:dyDescent="0.25">
      <c r="A2338" s="7" t="s">
        <v>4765</v>
      </c>
      <c r="B2338" s="6" t="s">
        <v>4766</v>
      </c>
      <c r="C2338" s="7" t="s">
        <v>4734</v>
      </c>
      <c r="D2338" s="6" t="s">
        <v>4735</v>
      </c>
      <c r="E2338" s="6" t="s">
        <v>4736</v>
      </c>
      <c r="F2338" s="6" t="s">
        <v>121</v>
      </c>
      <c r="G2338" s="6" t="s">
        <v>92</v>
      </c>
      <c r="H2338" s="6">
        <v>15.4</v>
      </c>
      <c r="I2338" s="6" t="str">
        <f>_xlfn.CONCAT("Art. złączny do produktu ",Tabela10[[#This Row],[KOD_PRODUKTU]])</f>
        <v>Art. złączny do produktu 910R93E-500</v>
      </c>
      <c r="J2338" s="6" t="str">
        <f>_xlfn.CONCAT("VE-",Tabela10[[#This Row],[KOD_PRODUKTU]])</f>
        <v>VE-910R93E-500</v>
      </c>
    </row>
    <row r="2339" spans="1:10" x14ac:dyDescent="0.25">
      <c r="A2339" s="1" t="s">
        <v>4765</v>
      </c>
      <c r="B2339" t="s">
        <v>4766</v>
      </c>
      <c r="C2339" s="1" t="s">
        <v>4737</v>
      </c>
      <c r="D2339" t="s">
        <v>4738</v>
      </c>
      <c r="E2339" t="s">
        <v>634</v>
      </c>
      <c r="F2339" t="s">
        <v>121</v>
      </c>
      <c r="G2339" t="s">
        <v>50</v>
      </c>
      <c r="H2339">
        <v>2.2999999999999998</v>
      </c>
      <c r="I2339" s="6" t="str">
        <f>_xlfn.CONCAT("Art. złączny do produktu ",Tabela10[[#This Row],[KOD_PRODUKTU]])</f>
        <v>Art. złączny do produktu 910R93E-500</v>
      </c>
      <c r="J2339" s="6" t="str">
        <f>_xlfn.CONCAT("VE-",Tabela10[[#This Row],[KOD_PRODUKTU]])</f>
        <v>VE-910R93E-500</v>
      </c>
    </row>
    <row r="2340" spans="1:10" x14ac:dyDescent="0.25">
      <c r="A2340" s="7" t="s">
        <v>4765</v>
      </c>
      <c r="B2340" s="6" t="s">
        <v>4766</v>
      </c>
      <c r="C2340" s="7" t="s">
        <v>7</v>
      </c>
      <c r="D2340" s="6" t="s">
        <v>8</v>
      </c>
      <c r="E2340" s="6" t="s">
        <v>9</v>
      </c>
      <c r="F2340" s="6" t="s">
        <v>10</v>
      </c>
      <c r="G2340" s="6" t="s">
        <v>4769</v>
      </c>
      <c r="H2340" s="6">
        <v>16.8</v>
      </c>
      <c r="I2340" s="6" t="str">
        <f>_xlfn.CONCAT("Art. złączny do produktu ",Tabela10[[#This Row],[KOD_PRODUKTU]])</f>
        <v>Art. złączny do produktu 910R93E-500</v>
      </c>
      <c r="J2340" s="6" t="str">
        <f>_xlfn.CONCAT("VE-",Tabela10[[#This Row],[KOD_PRODUKTU]])</f>
        <v>VE-910R93E-500</v>
      </c>
    </row>
    <row r="2341" spans="1:10" x14ac:dyDescent="0.25">
      <c r="A2341" s="1" t="s">
        <v>4770</v>
      </c>
      <c r="B2341" t="s">
        <v>4771</v>
      </c>
      <c r="C2341" s="1" t="s">
        <v>2318</v>
      </c>
      <c r="D2341" t="s">
        <v>2319</v>
      </c>
      <c r="E2341" t="s">
        <v>4732</v>
      </c>
      <c r="F2341" t="s">
        <v>17</v>
      </c>
      <c r="G2341" t="s">
        <v>4772</v>
      </c>
      <c r="H2341">
        <v>7.56</v>
      </c>
      <c r="I2341" s="6" t="str">
        <f>_xlfn.CONCAT("Art. złączny do produktu ",Tabela10[[#This Row],[KOD_PRODUKTU]])</f>
        <v>Art. złączny do produktu 910R94E-200</v>
      </c>
      <c r="J2341" s="6" t="str">
        <f>_xlfn.CONCAT("VE-",Tabela10[[#This Row],[KOD_PRODUKTU]])</f>
        <v>VE-910R94E-200</v>
      </c>
    </row>
    <row r="2342" spans="1:10" x14ac:dyDescent="0.25">
      <c r="A2342" s="7" t="s">
        <v>4770</v>
      </c>
      <c r="B2342" s="6" t="s">
        <v>4771</v>
      </c>
      <c r="C2342" s="7" t="s">
        <v>4767</v>
      </c>
      <c r="D2342" s="6" t="s">
        <v>4768</v>
      </c>
      <c r="E2342" s="6" t="s">
        <v>2112</v>
      </c>
      <c r="F2342" s="6" t="s">
        <v>39</v>
      </c>
      <c r="G2342" s="6" t="s">
        <v>478</v>
      </c>
      <c r="H2342" s="6">
        <v>1.24</v>
      </c>
      <c r="I2342" s="6" t="str">
        <f>_xlfn.CONCAT("Art. złączny do produktu ",Tabela10[[#This Row],[KOD_PRODUKTU]])</f>
        <v>Art. złączny do produktu 910R94E-200</v>
      </c>
      <c r="J2342" s="6" t="str">
        <f>_xlfn.CONCAT("VE-",Tabela10[[#This Row],[KOD_PRODUKTU]])</f>
        <v>VE-910R94E-200</v>
      </c>
    </row>
    <row r="2343" spans="1:10" x14ac:dyDescent="0.25">
      <c r="A2343" s="1" t="s">
        <v>4770</v>
      </c>
      <c r="B2343" t="s">
        <v>4771</v>
      </c>
      <c r="C2343" s="1" t="s">
        <v>514</v>
      </c>
      <c r="D2343" t="s">
        <v>515</v>
      </c>
      <c r="E2343" t="s">
        <v>816</v>
      </c>
      <c r="F2343" t="s">
        <v>121</v>
      </c>
      <c r="G2343" t="s">
        <v>50</v>
      </c>
      <c r="H2343">
        <v>0.39</v>
      </c>
      <c r="I2343" s="6" t="str">
        <f>_xlfn.CONCAT("Art. złączny do produktu ",Tabela10[[#This Row],[KOD_PRODUKTU]])</f>
        <v>Art. złączny do produktu 910R94E-200</v>
      </c>
      <c r="J2343" s="6" t="str">
        <f>_xlfn.CONCAT("VE-",Tabela10[[#This Row],[KOD_PRODUKTU]])</f>
        <v>VE-910R94E-200</v>
      </c>
    </row>
    <row r="2344" spans="1:10" x14ac:dyDescent="0.25">
      <c r="A2344" s="7" t="s">
        <v>4770</v>
      </c>
      <c r="B2344" s="6" t="s">
        <v>4771</v>
      </c>
      <c r="C2344" s="7" t="s">
        <v>41</v>
      </c>
      <c r="D2344" s="6" t="s">
        <v>42</v>
      </c>
      <c r="E2344" s="6" t="s">
        <v>513</v>
      </c>
      <c r="F2344" s="6" t="s">
        <v>5</v>
      </c>
      <c r="G2344" s="6" t="s">
        <v>44</v>
      </c>
      <c r="H2344" s="6">
        <v>0.01</v>
      </c>
      <c r="I2344" s="6" t="str">
        <f>_xlfn.CONCAT("Art. złączny do produktu ",Tabela10[[#This Row],[KOD_PRODUKTU]])</f>
        <v>Art. złączny do produktu 910R94E-200</v>
      </c>
      <c r="J2344" s="6" t="str">
        <f>_xlfn.CONCAT("VE-",Tabela10[[#This Row],[KOD_PRODUKTU]])</f>
        <v>VE-910R94E-200</v>
      </c>
    </row>
    <row r="2345" spans="1:10" x14ac:dyDescent="0.25">
      <c r="A2345" s="1" t="s">
        <v>4770</v>
      </c>
      <c r="B2345" t="s">
        <v>4771</v>
      </c>
      <c r="C2345" s="1" t="s">
        <v>4734</v>
      </c>
      <c r="D2345" t="s">
        <v>4735</v>
      </c>
      <c r="E2345" t="s">
        <v>4736</v>
      </c>
      <c r="F2345" t="s">
        <v>121</v>
      </c>
      <c r="G2345" t="s">
        <v>92</v>
      </c>
      <c r="H2345">
        <v>15.4</v>
      </c>
      <c r="I2345" s="6" t="str">
        <f>_xlfn.CONCAT("Art. złączny do produktu ",Tabela10[[#This Row],[KOD_PRODUKTU]])</f>
        <v>Art. złączny do produktu 910R94E-200</v>
      </c>
      <c r="J2345" s="6" t="str">
        <f>_xlfn.CONCAT("VE-",Tabela10[[#This Row],[KOD_PRODUKTU]])</f>
        <v>VE-910R94E-200</v>
      </c>
    </row>
    <row r="2346" spans="1:10" x14ac:dyDescent="0.25">
      <c r="A2346" s="7" t="s">
        <v>4770</v>
      </c>
      <c r="B2346" s="6" t="s">
        <v>4771</v>
      </c>
      <c r="C2346" s="7" t="s">
        <v>4737</v>
      </c>
      <c r="D2346" s="6" t="s">
        <v>4738</v>
      </c>
      <c r="E2346" s="6" t="s">
        <v>634</v>
      </c>
      <c r="F2346" s="6" t="s">
        <v>121</v>
      </c>
      <c r="G2346" s="6" t="s">
        <v>50</v>
      </c>
      <c r="H2346" s="6">
        <v>2.2999999999999998</v>
      </c>
      <c r="I2346" s="6" t="str">
        <f>_xlfn.CONCAT("Art. złączny do produktu ",Tabela10[[#This Row],[KOD_PRODUKTU]])</f>
        <v>Art. złączny do produktu 910R94E-200</v>
      </c>
      <c r="J2346" s="6" t="str">
        <f>_xlfn.CONCAT("VE-",Tabela10[[#This Row],[KOD_PRODUKTU]])</f>
        <v>VE-910R94E-200</v>
      </c>
    </row>
    <row r="2347" spans="1:10" x14ac:dyDescent="0.25">
      <c r="A2347" s="1" t="s">
        <v>4770</v>
      </c>
      <c r="B2347" t="s">
        <v>4771</v>
      </c>
      <c r="C2347" s="1" t="s">
        <v>7</v>
      </c>
      <c r="D2347" t="s">
        <v>8</v>
      </c>
      <c r="E2347" t="s">
        <v>9</v>
      </c>
      <c r="F2347" t="s">
        <v>10</v>
      </c>
      <c r="G2347" t="s">
        <v>4773</v>
      </c>
      <c r="H2347">
        <v>16.899999999999999</v>
      </c>
      <c r="I2347" s="6" t="str">
        <f>_xlfn.CONCAT("Art. złączny do produktu ",Tabela10[[#This Row],[KOD_PRODUKTU]])</f>
        <v>Art. złączny do produktu 910R94E-200</v>
      </c>
      <c r="J2347" s="6" t="str">
        <f>_xlfn.CONCAT("VE-",Tabela10[[#This Row],[KOD_PRODUKTU]])</f>
        <v>VE-910R94E-200</v>
      </c>
    </row>
    <row r="2348" spans="1:10" x14ac:dyDescent="0.25">
      <c r="A2348" s="7" t="s">
        <v>4774</v>
      </c>
      <c r="B2348" s="6" t="s">
        <v>4775</v>
      </c>
      <c r="C2348" s="7" t="s">
        <v>2110</v>
      </c>
      <c r="D2348" s="6" t="s">
        <v>2111</v>
      </c>
      <c r="E2348" s="6" t="s">
        <v>182</v>
      </c>
      <c r="F2348" s="6" t="s">
        <v>17</v>
      </c>
      <c r="G2348" s="6" t="s">
        <v>4776</v>
      </c>
      <c r="H2348" s="6">
        <v>0.75</v>
      </c>
      <c r="I2348" s="6" t="str">
        <f>_xlfn.CONCAT("Art. złączny do produktu ",Tabela10[[#This Row],[KOD_PRODUKTU]])</f>
        <v>Art. złączny do produktu 910R97E-910</v>
      </c>
      <c r="J2348" s="6" t="str">
        <f>_xlfn.CONCAT("VE-",Tabela10[[#This Row],[KOD_PRODUKTU]])</f>
        <v>VE-910R97E-910</v>
      </c>
    </row>
    <row r="2349" spans="1:10" x14ac:dyDescent="0.25">
      <c r="A2349" s="1" t="s">
        <v>4774</v>
      </c>
      <c r="B2349" t="s">
        <v>4775</v>
      </c>
      <c r="C2349" s="1" t="s">
        <v>7</v>
      </c>
      <c r="D2349" t="s">
        <v>8</v>
      </c>
      <c r="E2349" t="s">
        <v>9</v>
      </c>
      <c r="F2349" t="s">
        <v>10</v>
      </c>
      <c r="G2349" t="s">
        <v>601</v>
      </c>
      <c r="H2349">
        <v>6.9</v>
      </c>
      <c r="I2349" s="6" t="str">
        <f>_xlfn.CONCAT("Art. złączny do produktu ",Tabela10[[#This Row],[KOD_PRODUKTU]])</f>
        <v>Art. złączny do produktu 910R97E-910</v>
      </c>
      <c r="J2349" s="6" t="str">
        <f>_xlfn.CONCAT("VE-",Tabela10[[#This Row],[KOD_PRODUKTU]])</f>
        <v>VE-910R97E-910</v>
      </c>
    </row>
    <row r="2350" spans="1:10" x14ac:dyDescent="0.25">
      <c r="A2350" s="7" t="s">
        <v>4777</v>
      </c>
      <c r="B2350" s="6" t="s">
        <v>4778</v>
      </c>
      <c r="C2350" s="7" t="s">
        <v>4749</v>
      </c>
      <c r="D2350" s="6" t="s">
        <v>4750</v>
      </c>
      <c r="E2350" s="6" t="s">
        <v>4751</v>
      </c>
      <c r="F2350" s="6" t="s">
        <v>5</v>
      </c>
      <c r="G2350" s="6" t="s">
        <v>4779</v>
      </c>
      <c r="H2350" s="6">
        <v>1.2</v>
      </c>
      <c r="I2350" s="6" t="str">
        <f>_xlfn.CONCAT("Art. złączny do produktu ",Tabela10[[#This Row],[KOD_PRODUKTU]])</f>
        <v>Art. złączny do produktu 910R97E-920</v>
      </c>
      <c r="J2350" s="6" t="str">
        <f>_xlfn.CONCAT("VE-",Tabela10[[#This Row],[KOD_PRODUKTU]])</f>
        <v>VE-910R97E-920</v>
      </c>
    </row>
    <row r="2351" spans="1:10" x14ac:dyDescent="0.25">
      <c r="A2351" s="1" t="s">
        <v>4777</v>
      </c>
      <c r="B2351" t="s">
        <v>4778</v>
      </c>
      <c r="C2351" s="1" t="s">
        <v>7</v>
      </c>
      <c r="D2351" t="s">
        <v>8</v>
      </c>
      <c r="E2351" t="s">
        <v>9</v>
      </c>
      <c r="F2351" t="s">
        <v>10</v>
      </c>
      <c r="G2351" t="s">
        <v>33</v>
      </c>
      <c r="H2351">
        <v>9.1999999999999993</v>
      </c>
      <c r="I2351" s="6" t="str">
        <f>_xlfn.CONCAT("Art. złączny do produktu ",Tabela10[[#This Row],[KOD_PRODUKTU]])</f>
        <v>Art. złączny do produktu 910R97E-920</v>
      </c>
      <c r="J2351" s="6" t="str">
        <f>_xlfn.CONCAT("VE-",Tabela10[[#This Row],[KOD_PRODUKTU]])</f>
        <v>VE-910R97E-920</v>
      </c>
    </row>
    <row r="2352" spans="1:10" x14ac:dyDescent="0.25">
      <c r="A2352" s="7" t="s">
        <v>4780</v>
      </c>
      <c r="B2352" s="6" t="s">
        <v>4781</v>
      </c>
      <c r="C2352" s="7" t="s">
        <v>2318</v>
      </c>
      <c r="D2352" s="6" t="s">
        <v>2319</v>
      </c>
      <c r="E2352" s="6" t="s">
        <v>4732</v>
      </c>
      <c r="F2352" s="6" t="s">
        <v>17</v>
      </c>
      <c r="G2352" s="6" t="s">
        <v>4782</v>
      </c>
      <c r="H2352" s="6">
        <v>12.08</v>
      </c>
      <c r="I2352" s="6" t="str">
        <f>_xlfn.CONCAT("Art. złączny do produktu ",Tabela10[[#This Row],[KOD_PRODUKTU]])</f>
        <v>Art. złączny do produktu 910R99E-300</v>
      </c>
      <c r="J2352" s="6" t="str">
        <f>_xlfn.CONCAT("VE-",Tabela10[[#This Row],[KOD_PRODUKTU]])</f>
        <v>VE-910R99E-300</v>
      </c>
    </row>
    <row r="2353" spans="1:10" x14ac:dyDescent="0.25">
      <c r="A2353" s="1" t="s">
        <v>4780</v>
      </c>
      <c r="B2353" t="s">
        <v>4781</v>
      </c>
      <c r="C2353" s="1" t="s">
        <v>4767</v>
      </c>
      <c r="D2353" t="s">
        <v>4768</v>
      </c>
      <c r="E2353" t="s">
        <v>2112</v>
      </c>
      <c r="F2353" t="s">
        <v>39</v>
      </c>
      <c r="G2353" t="s">
        <v>478</v>
      </c>
      <c r="H2353">
        <v>1.24</v>
      </c>
      <c r="I2353" s="6" t="str">
        <f>_xlfn.CONCAT("Art. złączny do produktu ",Tabela10[[#This Row],[KOD_PRODUKTU]])</f>
        <v>Art. złączny do produktu 910R99E-300</v>
      </c>
      <c r="J2353" s="6" t="str">
        <f>_xlfn.CONCAT("VE-",Tabela10[[#This Row],[KOD_PRODUKTU]])</f>
        <v>VE-910R99E-300</v>
      </c>
    </row>
    <row r="2354" spans="1:10" x14ac:dyDescent="0.25">
      <c r="A2354" s="7" t="s">
        <v>4780</v>
      </c>
      <c r="B2354" s="6" t="s">
        <v>4781</v>
      </c>
      <c r="C2354" s="7" t="s">
        <v>514</v>
      </c>
      <c r="D2354" s="6" t="s">
        <v>515</v>
      </c>
      <c r="E2354" s="6" t="s">
        <v>816</v>
      </c>
      <c r="F2354" s="6" t="s">
        <v>121</v>
      </c>
      <c r="G2354" s="6" t="s">
        <v>50</v>
      </c>
      <c r="H2354" s="6">
        <v>0.39</v>
      </c>
      <c r="I2354" s="6" t="str">
        <f>_xlfn.CONCAT("Art. złączny do produktu ",Tabela10[[#This Row],[KOD_PRODUKTU]])</f>
        <v>Art. złączny do produktu 910R99E-300</v>
      </c>
      <c r="J2354" s="6" t="str">
        <f>_xlfn.CONCAT("VE-",Tabela10[[#This Row],[KOD_PRODUKTU]])</f>
        <v>VE-910R99E-300</v>
      </c>
    </row>
    <row r="2355" spans="1:10" x14ac:dyDescent="0.25">
      <c r="A2355" s="1" t="s">
        <v>4780</v>
      </c>
      <c r="B2355" t="s">
        <v>4781</v>
      </c>
      <c r="C2355" s="1" t="s">
        <v>41</v>
      </c>
      <c r="D2355" t="s">
        <v>42</v>
      </c>
      <c r="E2355" t="s">
        <v>513</v>
      </c>
      <c r="F2355" t="s">
        <v>5</v>
      </c>
      <c r="G2355" t="s">
        <v>559</v>
      </c>
      <c r="H2355">
        <v>0.04</v>
      </c>
      <c r="I2355" s="6" t="str">
        <f>_xlfn.CONCAT("Art. złączny do produktu ",Tabela10[[#This Row],[KOD_PRODUKTU]])</f>
        <v>Art. złączny do produktu 910R99E-300</v>
      </c>
      <c r="J2355" s="6" t="str">
        <f>_xlfn.CONCAT("VE-",Tabela10[[#This Row],[KOD_PRODUKTU]])</f>
        <v>VE-910R99E-300</v>
      </c>
    </row>
    <row r="2356" spans="1:10" x14ac:dyDescent="0.25">
      <c r="A2356" s="7" t="s">
        <v>4780</v>
      </c>
      <c r="B2356" s="6" t="s">
        <v>4781</v>
      </c>
      <c r="C2356" s="7" t="s">
        <v>4734</v>
      </c>
      <c r="D2356" s="6" t="s">
        <v>4735</v>
      </c>
      <c r="E2356" s="6" t="s">
        <v>4736</v>
      </c>
      <c r="F2356" s="6" t="s">
        <v>121</v>
      </c>
      <c r="G2356" s="6" t="s">
        <v>92</v>
      </c>
      <c r="H2356" s="6">
        <v>15.4</v>
      </c>
      <c r="I2356" s="6" t="str">
        <f>_xlfn.CONCAT("Art. złączny do produktu ",Tabela10[[#This Row],[KOD_PRODUKTU]])</f>
        <v>Art. złączny do produktu 910R99E-300</v>
      </c>
      <c r="J2356" s="6" t="str">
        <f>_xlfn.CONCAT("VE-",Tabela10[[#This Row],[KOD_PRODUKTU]])</f>
        <v>VE-910R99E-300</v>
      </c>
    </row>
    <row r="2357" spans="1:10" x14ac:dyDescent="0.25">
      <c r="A2357" s="1" t="s">
        <v>4780</v>
      </c>
      <c r="B2357" t="s">
        <v>4781</v>
      </c>
      <c r="C2357" s="1" t="s">
        <v>7</v>
      </c>
      <c r="D2357" t="s">
        <v>8</v>
      </c>
      <c r="E2357" t="s">
        <v>9</v>
      </c>
      <c r="F2357" t="s">
        <v>10</v>
      </c>
      <c r="G2357" t="s">
        <v>4773</v>
      </c>
      <c r="H2357">
        <v>16.899999999999999</v>
      </c>
      <c r="I2357" s="6" t="str">
        <f>_xlfn.CONCAT("Art. złączny do produktu ",Tabela10[[#This Row],[KOD_PRODUKTU]])</f>
        <v>Art. złączny do produktu 910R99E-300</v>
      </c>
      <c r="J2357" s="6" t="str">
        <f>_xlfn.CONCAT("VE-",Tabela10[[#This Row],[KOD_PRODUKTU]])</f>
        <v>VE-910R99E-300</v>
      </c>
    </row>
    <row r="2358" spans="1:10" x14ac:dyDescent="0.25">
      <c r="A2358" s="7" t="s">
        <v>4783</v>
      </c>
      <c r="B2358" s="6" t="s">
        <v>4784</v>
      </c>
      <c r="C2358" s="7" t="s">
        <v>2292</v>
      </c>
      <c r="D2358" s="6" t="s">
        <v>2293</v>
      </c>
      <c r="E2358" s="6" t="s">
        <v>2365</v>
      </c>
      <c r="F2358" s="6" t="s">
        <v>17</v>
      </c>
      <c r="G2358" s="6" t="s">
        <v>4785</v>
      </c>
      <c r="H2358" s="6">
        <v>33.47</v>
      </c>
      <c r="I2358" s="6" t="str">
        <f>_xlfn.CONCAT("Art. złączny do produktu ",Tabela10[[#This Row],[KOD_PRODUKTU]])</f>
        <v>Art. złączny do produktu 910R99E-400</v>
      </c>
      <c r="J2358" s="6" t="str">
        <f>_xlfn.CONCAT("VE-",Tabela10[[#This Row],[KOD_PRODUKTU]])</f>
        <v>VE-910R99E-400</v>
      </c>
    </row>
    <row r="2359" spans="1:10" x14ac:dyDescent="0.25">
      <c r="A2359" s="1" t="s">
        <v>4783</v>
      </c>
      <c r="B2359" t="s">
        <v>4784</v>
      </c>
      <c r="C2359" s="1" t="s">
        <v>895</v>
      </c>
      <c r="D2359" t="s">
        <v>896</v>
      </c>
      <c r="E2359" t="s">
        <v>897</v>
      </c>
      <c r="F2359" t="s">
        <v>39</v>
      </c>
      <c r="G2359" t="s">
        <v>447</v>
      </c>
      <c r="H2359">
        <v>0.19</v>
      </c>
      <c r="I2359" s="6" t="str">
        <f>_xlfn.CONCAT("Art. złączny do produktu ",Tabela10[[#This Row],[KOD_PRODUKTU]])</f>
        <v>Art. złączny do produktu 910R99E-400</v>
      </c>
      <c r="J2359" s="6" t="str">
        <f>_xlfn.CONCAT("VE-",Tabela10[[#This Row],[KOD_PRODUKTU]])</f>
        <v>VE-910R99E-400</v>
      </c>
    </row>
    <row r="2360" spans="1:10" x14ac:dyDescent="0.25">
      <c r="A2360" s="7" t="s">
        <v>4783</v>
      </c>
      <c r="B2360" s="6" t="s">
        <v>4784</v>
      </c>
      <c r="C2360" s="7" t="s">
        <v>4767</v>
      </c>
      <c r="D2360" s="6" t="s">
        <v>4768</v>
      </c>
      <c r="E2360" s="6" t="s">
        <v>2112</v>
      </c>
      <c r="F2360" s="6" t="s">
        <v>39</v>
      </c>
      <c r="G2360" s="6" t="s">
        <v>478</v>
      </c>
      <c r="H2360" s="6">
        <v>1.24</v>
      </c>
      <c r="I2360" s="6" t="str">
        <f>_xlfn.CONCAT("Art. złączny do produktu ",Tabela10[[#This Row],[KOD_PRODUKTU]])</f>
        <v>Art. złączny do produktu 910R99E-400</v>
      </c>
      <c r="J2360" s="6" t="str">
        <f>_xlfn.CONCAT("VE-",Tabela10[[#This Row],[KOD_PRODUKTU]])</f>
        <v>VE-910R99E-400</v>
      </c>
    </row>
    <row r="2361" spans="1:10" x14ac:dyDescent="0.25">
      <c r="A2361" s="1" t="s">
        <v>4783</v>
      </c>
      <c r="B2361" t="s">
        <v>4784</v>
      </c>
      <c r="C2361" s="1" t="s">
        <v>898</v>
      </c>
      <c r="D2361" t="s">
        <v>899</v>
      </c>
      <c r="E2361" t="s">
        <v>866</v>
      </c>
      <c r="F2361" t="s">
        <v>39</v>
      </c>
      <c r="G2361" t="s">
        <v>447</v>
      </c>
      <c r="H2361">
        <v>0.06</v>
      </c>
      <c r="I2361" s="6" t="str">
        <f>_xlfn.CONCAT("Art. złączny do produktu ",Tabela10[[#This Row],[KOD_PRODUKTU]])</f>
        <v>Art. złączny do produktu 910R99E-400</v>
      </c>
      <c r="J2361" s="6" t="str">
        <f>_xlfn.CONCAT("VE-",Tabela10[[#This Row],[KOD_PRODUKTU]])</f>
        <v>VE-910R99E-400</v>
      </c>
    </row>
    <row r="2362" spans="1:10" x14ac:dyDescent="0.25">
      <c r="A2362" s="7" t="s">
        <v>4783</v>
      </c>
      <c r="B2362" s="6" t="s">
        <v>4784</v>
      </c>
      <c r="C2362" s="7" t="s">
        <v>2304</v>
      </c>
      <c r="D2362" s="6" t="s">
        <v>4786</v>
      </c>
      <c r="E2362" s="6" t="s">
        <v>2306</v>
      </c>
      <c r="F2362" s="6" t="s">
        <v>121</v>
      </c>
      <c r="G2362" s="6" t="s">
        <v>92</v>
      </c>
      <c r="H2362" s="6">
        <v>0.68</v>
      </c>
      <c r="I2362" s="6" t="str">
        <f>_xlfn.CONCAT("Art. złączny do produktu ",Tabela10[[#This Row],[KOD_PRODUKTU]])</f>
        <v>Art. złączny do produktu 910R99E-400</v>
      </c>
      <c r="J2362" s="6" t="str">
        <f>_xlfn.CONCAT("VE-",Tabela10[[#This Row],[KOD_PRODUKTU]])</f>
        <v>VE-910R99E-400</v>
      </c>
    </row>
    <row r="2363" spans="1:10" x14ac:dyDescent="0.25">
      <c r="A2363" s="1" t="s">
        <v>4783</v>
      </c>
      <c r="B2363" t="s">
        <v>4784</v>
      </c>
      <c r="C2363" s="1" t="s">
        <v>41</v>
      </c>
      <c r="D2363" t="s">
        <v>42</v>
      </c>
      <c r="E2363" t="s">
        <v>43</v>
      </c>
      <c r="F2363" t="s">
        <v>5</v>
      </c>
      <c r="G2363" t="s">
        <v>44</v>
      </c>
      <c r="H2363">
        <v>0.01</v>
      </c>
      <c r="I2363" s="6" t="str">
        <f>_xlfn.CONCAT("Art. złączny do produktu ",Tabela10[[#This Row],[KOD_PRODUKTU]])</f>
        <v>Art. złączny do produktu 910R99E-400</v>
      </c>
      <c r="J2363" s="6" t="str">
        <f>_xlfn.CONCAT("VE-",Tabela10[[#This Row],[KOD_PRODUKTU]])</f>
        <v>VE-910R99E-400</v>
      </c>
    </row>
    <row r="2364" spans="1:10" x14ac:dyDescent="0.25">
      <c r="A2364" s="7" t="s">
        <v>4783</v>
      </c>
      <c r="B2364" s="6" t="s">
        <v>4784</v>
      </c>
      <c r="C2364" s="7" t="s">
        <v>4787</v>
      </c>
      <c r="D2364" s="6" t="s">
        <v>4788</v>
      </c>
      <c r="E2364" s="6" t="s">
        <v>4789</v>
      </c>
      <c r="F2364" s="6" t="s">
        <v>121</v>
      </c>
      <c r="G2364" s="6" t="s">
        <v>92</v>
      </c>
      <c r="H2364" s="6">
        <v>15.6</v>
      </c>
      <c r="I2364" s="6" t="str">
        <f>_xlfn.CONCAT("Art. złączny do produktu ",Tabela10[[#This Row],[KOD_PRODUKTU]])</f>
        <v>Art. złączny do produktu 910R99E-400</v>
      </c>
      <c r="J2364" s="6" t="str">
        <f>_xlfn.CONCAT("VE-",Tabela10[[#This Row],[KOD_PRODUKTU]])</f>
        <v>VE-910R99E-400</v>
      </c>
    </row>
    <row r="2365" spans="1:10" x14ac:dyDescent="0.25">
      <c r="A2365" s="1" t="s">
        <v>4783</v>
      </c>
      <c r="B2365" t="s">
        <v>4784</v>
      </c>
      <c r="C2365" s="1" t="s">
        <v>4790</v>
      </c>
      <c r="D2365" t="s">
        <v>4791</v>
      </c>
      <c r="E2365" t="s">
        <v>4792</v>
      </c>
      <c r="F2365" t="s">
        <v>121</v>
      </c>
      <c r="G2365" t="s">
        <v>50</v>
      </c>
      <c r="H2365">
        <v>21.25</v>
      </c>
      <c r="I2365" s="6" t="str">
        <f>_xlfn.CONCAT("Art. złączny do produktu ",Tabela10[[#This Row],[KOD_PRODUKTU]])</f>
        <v>Art. złączny do produktu 910R99E-400</v>
      </c>
      <c r="J2365" s="6" t="str">
        <f>_xlfn.CONCAT("VE-",Tabela10[[#This Row],[KOD_PRODUKTU]])</f>
        <v>VE-910R99E-400</v>
      </c>
    </row>
    <row r="2366" spans="1:10" x14ac:dyDescent="0.25">
      <c r="A2366" s="7" t="s">
        <v>4783</v>
      </c>
      <c r="B2366" s="6" t="s">
        <v>4784</v>
      </c>
      <c r="C2366" s="7" t="s">
        <v>4793</v>
      </c>
      <c r="D2366" s="6" t="s">
        <v>4794</v>
      </c>
      <c r="E2366" s="6" t="s">
        <v>4792</v>
      </c>
      <c r="F2366" s="6" t="s">
        <v>121</v>
      </c>
      <c r="G2366" s="6" t="s">
        <v>50</v>
      </c>
      <c r="H2366" s="6">
        <v>21.25</v>
      </c>
      <c r="I2366" s="6" t="str">
        <f>_xlfn.CONCAT("Art. złączny do produktu ",Tabela10[[#This Row],[KOD_PRODUKTU]])</f>
        <v>Art. złączny do produktu 910R99E-400</v>
      </c>
      <c r="J2366" s="6" t="str">
        <f>_xlfn.CONCAT("VE-",Tabela10[[#This Row],[KOD_PRODUKTU]])</f>
        <v>VE-910R99E-400</v>
      </c>
    </row>
    <row r="2367" spans="1:10" x14ac:dyDescent="0.25">
      <c r="A2367" s="1" t="s">
        <v>4783</v>
      </c>
      <c r="B2367" t="s">
        <v>4784</v>
      </c>
      <c r="C2367" s="1" t="s">
        <v>7</v>
      </c>
      <c r="D2367" t="s">
        <v>8</v>
      </c>
      <c r="E2367" t="s">
        <v>9</v>
      </c>
      <c r="F2367" t="s">
        <v>10</v>
      </c>
      <c r="G2367" t="s">
        <v>4795</v>
      </c>
      <c r="H2367">
        <v>48.65</v>
      </c>
      <c r="I2367" s="6" t="str">
        <f>_xlfn.CONCAT("Art. złączny do produktu ",Tabela10[[#This Row],[KOD_PRODUKTU]])</f>
        <v>Art. złączny do produktu 910R99E-400</v>
      </c>
      <c r="J2367" s="6" t="str">
        <f>_xlfn.CONCAT("VE-",Tabela10[[#This Row],[KOD_PRODUKTU]])</f>
        <v>VE-910R99E-400</v>
      </c>
    </row>
    <row r="2368" spans="1:10" x14ac:dyDescent="0.25">
      <c r="A2368" s="7" t="s">
        <v>4799</v>
      </c>
      <c r="B2368" s="6" t="s">
        <v>4800</v>
      </c>
      <c r="C2368" s="7" t="s">
        <v>1487</v>
      </c>
      <c r="D2368" s="6" t="s">
        <v>1488</v>
      </c>
      <c r="E2368" s="6" t="s">
        <v>31</v>
      </c>
      <c r="F2368" s="6" t="s">
        <v>5</v>
      </c>
      <c r="G2368" s="6" t="s">
        <v>4801</v>
      </c>
      <c r="H2368" s="6">
        <v>5.85</v>
      </c>
      <c r="I2368" s="6" t="str">
        <f>_xlfn.CONCAT("Art. złączny do produktu ",Tabela10[[#This Row],[KOD_PRODUKTU]])</f>
        <v>Art. złączny do produktu 911R17E-200</v>
      </c>
      <c r="J2368" s="6" t="str">
        <f>_xlfn.CONCAT("VE-",Tabela10[[#This Row],[KOD_PRODUKTU]])</f>
        <v>VE-911R17E-200</v>
      </c>
    </row>
    <row r="2369" spans="1:10" x14ac:dyDescent="0.25">
      <c r="A2369" s="1" t="s">
        <v>4799</v>
      </c>
      <c r="B2369" t="s">
        <v>4800</v>
      </c>
      <c r="C2369" s="1" t="s">
        <v>1989</v>
      </c>
      <c r="D2369" t="s">
        <v>1990</v>
      </c>
      <c r="E2369" t="s">
        <v>1991</v>
      </c>
      <c r="F2369" t="s">
        <v>435</v>
      </c>
      <c r="G2369" t="s">
        <v>4802</v>
      </c>
      <c r="H2369">
        <v>0.7</v>
      </c>
      <c r="I2369" s="6" t="str">
        <f>_xlfn.CONCAT("Art. złączny do produktu ",Tabela10[[#This Row],[KOD_PRODUKTU]])</f>
        <v>Art. złączny do produktu 911R17E-200</v>
      </c>
      <c r="J2369" s="6" t="str">
        <f>_xlfn.CONCAT("VE-",Tabela10[[#This Row],[KOD_PRODUKTU]])</f>
        <v>VE-911R17E-200</v>
      </c>
    </row>
    <row r="2370" spans="1:10" x14ac:dyDescent="0.25">
      <c r="A2370" s="7" t="s">
        <v>4799</v>
      </c>
      <c r="B2370" s="6" t="s">
        <v>4800</v>
      </c>
      <c r="C2370" s="7" t="s">
        <v>7</v>
      </c>
      <c r="D2370" s="6" t="s">
        <v>8</v>
      </c>
      <c r="E2370" s="6" t="s">
        <v>9</v>
      </c>
      <c r="F2370" s="6" t="s">
        <v>10</v>
      </c>
      <c r="G2370" s="6" t="s">
        <v>4803</v>
      </c>
      <c r="H2370" s="6">
        <v>8.73</v>
      </c>
      <c r="I2370" s="6" t="str">
        <f>_xlfn.CONCAT("Art. złączny do produktu ",Tabela10[[#This Row],[KOD_PRODUKTU]])</f>
        <v>Art. złączny do produktu 911R17E-200</v>
      </c>
      <c r="J2370" s="6" t="str">
        <f>_xlfn.CONCAT("VE-",Tabela10[[#This Row],[KOD_PRODUKTU]])</f>
        <v>VE-911R17E-200</v>
      </c>
    </row>
    <row r="2371" spans="1:10" x14ac:dyDescent="0.25">
      <c r="A2371" s="1" t="s">
        <v>4804</v>
      </c>
      <c r="B2371" t="s">
        <v>4805</v>
      </c>
      <c r="C2371" s="1" t="s">
        <v>1862</v>
      </c>
      <c r="D2371" t="s">
        <v>1863</v>
      </c>
      <c r="E2371" t="s">
        <v>3549</v>
      </c>
      <c r="F2371" t="s">
        <v>121</v>
      </c>
      <c r="G2371" t="s">
        <v>2773</v>
      </c>
      <c r="H2371">
        <v>0.17</v>
      </c>
      <c r="I2371" s="6" t="str">
        <f>_xlfn.CONCAT("Art. złączny do produktu ",Tabela10[[#This Row],[KOD_PRODUKTU]])</f>
        <v>Art. złączny do produktu 911R25-200</v>
      </c>
      <c r="J2371" s="6" t="str">
        <f>_xlfn.CONCAT("VE-",Tabela10[[#This Row],[KOD_PRODUKTU]])</f>
        <v>VE-911R25-200</v>
      </c>
    </row>
    <row r="2372" spans="1:10" x14ac:dyDescent="0.25">
      <c r="A2372" s="7" t="s">
        <v>4804</v>
      </c>
      <c r="B2372" s="6" t="s">
        <v>4805</v>
      </c>
      <c r="C2372" s="7" t="s">
        <v>4806</v>
      </c>
      <c r="D2372" s="6" t="s">
        <v>4807</v>
      </c>
      <c r="E2372" s="6" t="s">
        <v>2857</v>
      </c>
      <c r="F2372" s="6" t="s">
        <v>121</v>
      </c>
      <c r="G2372" s="6" t="s">
        <v>50</v>
      </c>
      <c r="H2372" s="6">
        <v>5.94</v>
      </c>
      <c r="I2372" s="6" t="str">
        <f>_xlfn.CONCAT("Art. złączny do produktu ",Tabela10[[#This Row],[KOD_PRODUKTU]])</f>
        <v>Art. złączny do produktu 911R25-200</v>
      </c>
      <c r="J2372" s="6" t="str">
        <f>_xlfn.CONCAT("VE-",Tabela10[[#This Row],[KOD_PRODUKTU]])</f>
        <v>VE-911R25-200</v>
      </c>
    </row>
    <row r="2373" spans="1:10" x14ac:dyDescent="0.25">
      <c r="A2373" s="1" t="s">
        <v>4804</v>
      </c>
      <c r="B2373" t="s">
        <v>4805</v>
      </c>
      <c r="C2373" s="1" t="s">
        <v>2741</v>
      </c>
      <c r="D2373" t="s">
        <v>2742</v>
      </c>
      <c r="E2373" t="s">
        <v>2743</v>
      </c>
      <c r="F2373" t="s">
        <v>121</v>
      </c>
      <c r="G2373" t="s">
        <v>92</v>
      </c>
      <c r="H2373">
        <v>0.18</v>
      </c>
      <c r="I2373" s="6" t="str">
        <f>_xlfn.CONCAT("Art. złączny do produktu ",Tabela10[[#This Row],[KOD_PRODUKTU]])</f>
        <v>Art. złączny do produktu 911R25-200</v>
      </c>
      <c r="J2373" s="6" t="str">
        <f>_xlfn.CONCAT("VE-",Tabela10[[#This Row],[KOD_PRODUKTU]])</f>
        <v>VE-911R25-200</v>
      </c>
    </row>
    <row r="2374" spans="1:10" x14ac:dyDescent="0.25">
      <c r="A2374" s="7" t="s">
        <v>4804</v>
      </c>
      <c r="B2374" s="6" t="s">
        <v>4805</v>
      </c>
      <c r="C2374" s="7" t="s">
        <v>4808</v>
      </c>
      <c r="D2374" s="6" t="s">
        <v>4809</v>
      </c>
      <c r="E2374" s="6" t="s">
        <v>2329</v>
      </c>
      <c r="F2374" s="6" t="s">
        <v>49</v>
      </c>
      <c r="G2374" s="6" t="s">
        <v>50</v>
      </c>
      <c r="H2374" s="6">
        <v>0.6</v>
      </c>
      <c r="I2374" s="6" t="str">
        <f>_xlfn.CONCAT("Art. złączny do produktu ",Tabela10[[#This Row],[KOD_PRODUKTU]])</f>
        <v>Art. złączny do produktu 911R25-200</v>
      </c>
      <c r="J2374" s="6" t="str">
        <f>_xlfn.CONCAT("VE-",Tabela10[[#This Row],[KOD_PRODUKTU]])</f>
        <v>VE-911R25-200</v>
      </c>
    </row>
    <row r="2375" spans="1:10" x14ac:dyDescent="0.25">
      <c r="A2375" s="1" t="s">
        <v>4804</v>
      </c>
      <c r="B2375" t="s">
        <v>4805</v>
      </c>
      <c r="C2375" s="1" t="s">
        <v>432</v>
      </c>
      <c r="D2375" t="s">
        <v>433</v>
      </c>
      <c r="E2375" t="s">
        <v>434</v>
      </c>
      <c r="F2375" t="s">
        <v>435</v>
      </c>
      <c r="G2375" t="s">
        <v>50</v>
      </c>
      <c r="H2375">
        <v>1.1000000000000001</v>
      </c>
      <c r="I2375" s="6" t="str">
        <f>_xlfn.CONCAT("Art. złączny do produktu ",Tabela10[[#This Row],[KOD_PRODUKTU]])</f>
        <v>Art. złączny do produktu 911R25-200</v>
      </c>
      <c r="J2375" s="6" t="str">
        <f>_xlfn.CONCAT("VE-",Tabela10[[#This Row],[KOD_PRODUKTU]])</f>
        <v>VE-911R25-200</v>
      </c>
    </row>
    <row r="2376" spans="1:10" x14ac:dyDescent="0.25">
      <c r="A2376" s="7" t="s">
        <v>4804</v>
      </c>
      <c r="B2376" s="6" t="s">
        <v>4805</v>
      </c>
      <c r="C2376" s="7" t="s">
        <v>7</v>
      </c>
      <c r="D2376" s="6" t="s">
        <v>8</v>
      </c>
      <c r="E2376" s="6" t="s">
        <v>9</v>
      </c>
      <c r="F2376" s="6" t="s">
        <v>10</v>
      </c>
      <c r="G2376" s="6" t="s">
        <v>652</v>
      </c>
      <c r="H2376" s="6">
        <v>1.38</v>
      </c>
      <c r="I2376" s="6" t="str">
        <f>_xlfn.CONCAT("Art. złączny do produktu ",Tabela10[[#This Row],[KOD_PRODUKTU]])</f>
        <v>Art. złączny do produktu 911R25-200</v>
      </c>
      <c r="J2376" s="6" t="str">
        <f>_xlfn.CONCAT("VE-",Tabela10[[#This Row],[KOD_PRODUKTU]])</f>
        <v>VE-911R25-200</v>
      </c>
    </row>
    <row r="2377" spans="1:10" x14ac:dyDescent="0.25">
      <c r="A2377" s="1" t="s">
        <v>4804</v>
      </c>
      <c r="B2377" t="s">
        <v>4805</v>
      </c>
      <c r="C2377" s="1" t="s">
        <v>7</v>
      </c>
      <c r="D2377" t="s">
        <v>8</v>
      </c>
      <c r="E2377" t="s">
        <v>9</v>
      </c>
      <c r="F2377" t="s">
        <v>10</v>
      </c>
      <c r="G2377" t="s">
        <v>367</v>
      </c>
      <c r="H2377">
        <v>2.2999999999999998</v>
      </c>
      <c r="I2377" s="6" t="str">
        <f>_xlfn.CONCAT("Art. złączny do produktu ",Tabela10[[#This Row],[KOD_PRODUKTU]])</f>
        <v>Art. złączny do produktu 911R25-200</v>
      </c>
      <c r="J2377" s="6" t="str">
        <f>_xlfn.CONCAT("VE-",Tabela10[[#This Row],[KOD_PRODUKTU]])</f>
        <v>VE-911R25-200</v>
      </c>
    </row>
    <row r="2378" spans="1:10" x14ac:dyDescent="0.25">
      <c r="A2378" s="7" t="s">
        <v>4804</v>
      </c>
      <c r="B2378" s="6" t="s">
        <v>4805</v>
      </c>
      <c r="C2378" s="7" t="s">
        <v>7</v>
      </c>
      <c r="D2378" s="6" t="s">
        <v>8</v>
      </c>
      <c r="E2378" s="6" t="s">
        <v>9</v>
      </c>
      <c r="F2378" s="6" t="s">
        <v>10</v>
      </c>
      <c r="G2378" s="6" t="s">
        <v>19</v>
      </c>
      <c r="H2378" s="6">
        <v>4.5999999999999996</v>
      </c>
      <c r="I2378" s="6" t="str">
        <f>_xlfn.CONCAT("Art. złączny do produktu ",Tabela10[[#This Row],[KOD_PRODUKTU]])</f>
        <v>Art. złączny do produktu 911R25-200</v>
      </c>
      <c r="J2378" s="6" t="str">
        <f>_xlfn.CONCAT("VE-",Tabela10[[#This Row],[KOD_PRODUKTU]])</f>
        <v>VE-911R25-200</v>
      </c>
    </row>
    <row r="2379" spans="1:10" x14ac:dyDescent="0.25">
      <c r="A2379" s="1" t="s">
        <v>4810</v>
      </c>
      <c r="B2379" t="s">
        <v>4811</v>
      </c>
      <c r="C2379" s="1" t="s">
        <v>1345</v>
      </c>
      <c r="D2379" t="s">
        <v>1346</v>
      </c>
      <c r="E2379" t="s">
        <v>1347</v>
      </c>
      <c r="F2379" t="s">
        <v>5</v>
      </c>
      <c r="G2379" t="s">
        <v>4812</v>
      </c>
      <c r="H2379">
        <v>0.1</v>
      </c>
      <c r="I2379" s="6" t="str">
        <f>_xlfn.CONCAT("Art. złączny do produktu ",Tabela10[[#This Row],[KOD_PRODUKTU]])</f>
        <v>Art. złączny do produktu 911R50-010</v>
      </c>
      <c r="J2379" s="6" t="str">
        <f>_xlfn.CONCAT("VE-",Tabela10[[#This Row],[KOD_PRODUKTU]])</f>
        <v>VE-911R50-010</v>
      </c>
    </row>
    <row r="2380" spans="1:10" x14ac:dyDescent="0.25">
      <c r="A2380" s="7" t="s">
        <v>4810</v>
      </c>
      <c r="B2380" s="6" t="s">
        <v>4811</v>
      </c>
      <c r="C2380" s="7" t="s">
        <v>7</v>
      </c>
      <c r="D2380" s="6" t="s">
        <v>8</v>
      </c>
      <c r="E2380" s="6" t="s">
        <v>9</v>
      </c>
      <c r="F2380" s="6" t="s">
        <v>10</v>
      </c>
      <c r="G2380" s="6" t="s">
        <v>4813</v>
      </c>
      <c r="H2380" s="6">
        <v>0.5</v>
      </c>
      <c r="I2380" s="6" t="str">
        <f>_xlfn.CONCAT("Art. złączny do produktu ",Tabela10[[#This Row],[KOD_PRODUKTU]])</f>
        <v>Art. złączny do produktu 911R50-010</v>
      </c>
      <c r="J2380" s="6" t="str">
        <f>_xlfn.CONCAT("VE-",Tabela10[[#This Row],[KOD_PRODUKTU]])</f>
        <v>VE-911R50-010</v>
      </c>
    </row>
    <row r="2381" spans="1:10" x14ac:dyDescent="0.25">
      <c r="A2381" s="1" t="s">
        <v>4814</v>
      </c>
      <c r="B2381" t="s">
        <v>4815</v>
      </c>
      <c r="C2381" s="1" t="s">
        <v>1345</v>
      </c>
      <c r="D2381" t="s">
        <v>1346</v>
      </c>
      <c r="E2381" t="s">
        <v>1369</v>
      </c>
      <c r="F2381" t="s">
        <v>5</v>
      </c>
      <c r="G2381" t="s">
        <v>4816</v>
      </c>
      <c r="H2381">
        <v>0.1</v>
      </c>
      <c r="I2381" s="6" t="str">
        <f>_xlfn.CONCAT("Art. złączny do produktu ",Tabela10[[#This Row],[KOD_PRODUKTU]])</f>
        <v>Art. złączny do produktu 911R54-610</v>
      </c>
      <c r="J2381" s="6" t="str">
        <f>_xlfn.CONCAT("VE-",Tabela10[[#This Row],[KOD_PRODUKTU]])</f>
        <v>VE-911R54-610</v>
      </c>
    </row>
    <row r="2382" spans="1:10" x14ac:dyDescent="0.25">
      <c r="A2382" s="7" t="s">
        <v>4814</v>
      </c>
      <c r="B2382" s="6" t="s">
        <v>4815</v>
      </c>
      <c r="C2382" s="7" t="s">
        <v>7</v>
      </c>
      <c r="D2382" s="6" t="s">
        <v>8</v>
      </c>
      <c r="E2382" s="6" t="s">
        <v>9</v>
      </c>
      <c r="F2382" s="6" t="s">
        <v>10</v>
      </c>
      <c r="G2382" s="6" t="s">
        <v>4813</v>
      </c>
      <c r="H2382" s="6">
        <v>0.5</v>
      </c>
      <c r="I2382" s="6" t="str">
        <f>_xlfn.CONCAT("Art. złączny do produktu ",Tabela10[[#This Row],[KOD_PRODUKTU]])</f>
        <v>Art. złączny do produktu 911R54-610</v>
      </c>
      <c r="J2382" s="6" t="str">
        <f>_xlfn.CONCAT("VE-",Tabela10[[#This Row],[KOD_PRODUKTU]])</f>
        <v>VE-911R54-610</v>
      </c>
    </row>
    <row r="2383" spans="1:10" x14ac:dyDescent="0.25">
      <c r="A2383" s="1" t="s">
        <v>4817</v>
      </c>
      <c r="B2383" t="s">
        <v>4818</v>
      </c>
      <c r="C2383" s="1" t="s">
        <v>1249</v>
      </c>
      <c r="D2383" t="s">
        <v>1250</v>
      </c>
      <c r="E2383" t="s">
        <v>1251</v>
      </c>
      <c r="F2383" t="s">
        <v>1252</v>
      </c>
      <c r="G2383" t="s">
        <v>4819</v>
      </c>
      <c r="H2383">
        <v>15.84</v>
      </c>
      <c r="I2383" s="6" t="str">
        <f>_xlfn.CONCAT("Art. złączny do produktu ",Tabela10[[#This Row],[KOD_PRODUKTU]])</f>
        <v>Art. złączny do produktu 911R54-811</v>
      </c>
      <c r="J2383" s="6" t="str">
        <f>_xlfn.CONCAT("VE-",Tabela10[[#This Row],[KOD_PRODUKTU]])</f>
        <v>VE-911R54-811</v>
      </c>
    </row>
    <row r="2384" spans="1:10" x14ac:dyDescent="0.25">
      <c r="A2384" s="7" t="s">
        <v>4817</v>
      </c>
      <c r="B2384" s="6" t="s">
        <v>4818</v>
      </c>
      <c r="C2384" s="7" t="s">
        <v>541</v>
      </c>
      <c r="D2384" s="6" t="s">
        <v>542</v>
      </c>
      <c r="E2384" s="6" t="s">
        <v>9</v>
      </c>
      <c r="F2384" s="6" t="s">
        <v>10</v>
      </c>
      <c r="G2384" s="6" t="s">
        <v>601</v>
      </c>
      <c r="H2384" s="6">
        <v>6.9</v>
      </c>
      <c r="I2384" s="6" t="str">
        <f>_xlfn.CONCAT("Art. złączny do produktu ",Tabela10[[#This Row],[KOD_PRODUKTU]])</f>
        <v>Art. złączny do produktu 911R54-811</v>
      </c>
      <c r="J2384" s="6" t="str">
        <f>_xlfn.CONCAT("VE-",Tabela10[[#This Row],[KOD_PRODUKTU]])</f>
        <v>VE-911R54-811</v>
      </c>
    </row>
    <row r="2385" spans="1:10" x14ac:dyDescent="0.25">
      <c r="A2385" s="1" t="s">
        <v>4817</v>
      </c>
      <c r="B2385" t="s">
        <v>4818</v>
      </c>
      <c r="C2385" s="1" t="s">
        <v>541</v>
      </c>
      <c r="D2385" t="s">
        <v>542</v>
      </c>
      <c r="E2385" t="s">
        <v>9</v>
      </c>
      <c r="F2385" t="s">
        <v>10</v>
      </c>
      <c r="G2385" t="s">
        <v>594</v>
      </c>
      <c r="H2385">
        <v>11.5</v>
      </c>
      <c r="I2385" s="6" t="str">
        <f>_xlfn.CONCAT("Art. złączny do produktu ",Tabela10[[#This Row],[KOD_PRODUKTU]])</f>
        <v>Art. złączny do produktu 911R54-811</v>
      </c>
      <c r="J2385" s="6" t="str">
        <f>_xlfn.CONCAT("VE-",Tabela10[[#This Row],[KOD_PRODUKTU]])</f>
        <v>VE-911R54-811</v>
      </c>
    </row>
    <row r="2386" spans="1:10" x14ac:dyDescent="0.25">
      <c r="A2386" s="7" t="s">
        <v>4826</v>
      </c>
      <c r="B2386" s="6" t="s">
        <v>4827</v>
      </c>
      <c r="C2386" s="7" t="s">
        <v>479</v>
      </c>
      <c r="D2386" s="6" t="s">
        <v>480</v>
      </c>
      <c r="E2386" s="6" t="s">
        <v>626</v>
      </c>
      <c r="F2386" s="6" t="s">
        <v>5</v>
      </c>
      <c r="G2386" s="6" t="s">
        <v>736</v>
      </c>
      <c r="H2386" s="6">
        <v>0.1</v>
      </c>
      <c r="I2386" s="6" t="str">
        <f>_xlfn.CONCAT("Art. złączny do produktu ",Tabela10[[#This Row],[KOD_PRODUKTU]])</f>
        <v>Art. złączny do produktu 911R57-600</v>
      </c>
      <c r="J2386" s="6" t="str">
        <f>_xlfn.CONCAT("VE-",Tabela10[[#This Row],[KOD_PRODUKTU]])</f>
        <v>VE-911R57-600</v>
      </c>
    </row>
    <row r="2387" spans="1:10" x14ac:dyDescent="0.25">
      <c r="A2387" s="1" t="s">
        <v>4826</v>
      </c>
      <c r="B2387" t="s">
        <v>4827</v>
      </c>
      <c r="C2387" s="1" t="s">
        <v>628</v>
      </c>
      <c r="D2387" t="s">
        <v>629</v>
      </c>
      <c r="E2387" t="s">
        <v>630</v>
      </c>
      <c r="F2387" t="s">
        <v>5</v>
      </c>
      <c r="G2387" t="s">
        <v>2603</v>
      </c>
      <c r="H2387">
        <v>0.4</v>
      </c>
      <c r="I2387" s="6" t="str">
        <f>_xlfn.CONCAT("Art. złączny do produktu ",Tabela10[[#This Row],[KOD_PRODUKTU]])</f>
        <v>Art. złączny do produktu 911R57-600</v>
      </c>
      <c r="J2387" s="6" t="str">
        <f>_xlfn.CONCAT("VE-",Tabela10[[#This Row],[KOD_PRODUKTU]])</f>
        <v>VE-911R57-600</v>
      </c>
    </row>
    <row r="2388" spans="1:10" x14ac:dyDescent="0.25">
      <c r="A2388" s="7" t="s">
        <v>4826</v>
      </c>
      <c r="B2388" s="6" t="s">
        <v>4827</v>
      </c>
      <c r="C2388" s="7" t="s">
        <v>738</v>
      </c>
      <c r="D2388" s="6" t="s">
        <v>739</v>
      </c>
      <c r="E2388" s="6" t="s">
        <v>816</v>
      </c>
      <c r="F2388" s="6" t="s">
        <v>121</v>
      </c>
      <c r="G2388" s="6" t="s">
        <v>268</v>
      </c>
      <c r="H2388" s="6">
        <v>1.17</v>
      </c>
      <c r="I2388" s="6" t="str">
        <f>_xlfn.CONCAT("Art. złączny do produktu ",Tabela10[[#This Row],[KOD_PRODUKTU]])</f>
        <v>Art. złączny do produktu 911R57-600</v>
      </c>
      <c r="J2388" s="6" t="str">
        <f>_xlfn.CONCAT("VE-",Tabela10[[#This Row],[KOD_PRODUKTU]])</f>
        <v>VE-911R57-600</v>
      </c>
    </row>
    <row r="2389" spans="1:10" x14ac:dyDescent="0.25">
      <c r="A2389" s="1" t="s">
        <v>4826</v>
      </c>
      <c r="B2389" t="s">
        <v>4827</v>
      </c>
      <c r="C2389" s="1" t="s">
        <v>704</v>
      </c>
      <c r="D2389" t="s">
        <v>705</v>
      </c>
      <c r="E2389" t="s">
        <v>744</v>
      </c>
      <c r="F2389" t="s">
        <v>121</v>
      </c>
      <c r="G2389" t="s">
        <v>92</v>
      </c>
      <c r="H2389">
        <v>0.8</v>
      </c>
      <c r="I2389" s="6" t="str">
        <f>_xlfn.CONCAT("Art. złączny do produktu ",Tabela10[[#This Row],[KOD_PRODUKTU]])</f>
        <v>Art. złączny do produktu 911R57-600</v>
      </c>
      <c r="J2389" s="6" t="str">
        <f>_xlfn.CONCAT("VE-",Tabela10[[#This Row],[KOD_PRODUKTU]])</f>
        <v>VE-911R57-600</v>
      </c>
    </row>
    <row r="2390" spans="1:10" x14ac:dyDescent="0.25">
      <c r="A2390" s="7" t="s">
        <v>4826</v>
      </c>
      <c r="B2390" s="6" t="s">
        <v>4827</v>
      </c>
      <c r="C2390" s="7" t="s">
        <v>41</v>
      </c>
      <c r="D2390" s="6" t="s">
        <v>42</v>
      </c>
      <c r="E2390" s="6" t="s">
        <v>513</v>
      </c>
      <c r="F2390" s="6" t="s">
        <v>5</v>
      </c>
      <c r="G2390" s="6" t="s">
        <v>615</v>
      </c>
      <c r="H2390" s="6">
        <v>0.02</v>
      </c>
      <c r="I2390" s="6" t="str">
        <f>_xlfn.CONCAT("Art. złączny do produktu ",Tabela10[[#This Row],[KOD_PRODUKTU]])</f>
        <v>Art. złączny do produktu 911R57-600</v>
      </c>
      <c r="J2390" s="6" t="str">
        <f>_xlfn.CONCAT("VE-",Tabela10[[#This Row],[KOD_PRODUKTU]])</f>
        <v>VE-911R57-600</v>
      </c>
    </row>
    <row r="2391" spans="1:10" x14ac:dyDescent="0.25">
      <c r="A2391" s="1" t="s">
        <v>4826</v>
      </c>
      <c r="B2391" t="s">
        <v>4827</v>
      </c>
      <c r="C2391" s="1" t="s">
        <v>684</v>
      </c>
      <c r="D2391" t="s">
        <v>685</v>
      </c>
      <c r="E2391" t="s">
        <v>686</v>
      </c>
      <c r="F2391" t="s">
        <v>49</v>
      </c>
      <c r="G2391" t="s">
        <v>4837</v>
      </c>
      <c r="H2391">
        <v>6.05</v>
      </c>
      <c r="I2391" s="6" t="str">
        <f>_xlfn.CONCAT("Art. złączny do produktu ",Tabela10[[#This Row],[KOD_PRODUKTU]])</f>
        <v>Art. złączny do produktu 911R57-600</v>
      </c>
      <c r="J2391" s="6" t="str">
        <f>_xlfn.CONCAT("VE-",Tabela10[[#This Row],[KOD_PRODUKTU]])</f>
        <v>VE-911R57-600</v>
      </c>
    </row>
    <row r="2392" spans="1:10" x14ac:dyDescent="0.25">
      <c r="A2392" s="7" t="s">
        <v>4826</v>
      </c>
      <c r="B2392" s="6" t="s">
        <v>4827</v>
      </c>
      <c r="C2392" s="7" t="s">
        <v>541</v>
      </c>
      <c r="D2392" s="6" t="s">
        <v>542</v>
      </c>
      <c r="E2392" s="6" t="s">
        <v>9</v>
      </c>
      <c r="F2392" s="6" t="s">
        <v>10</v>
      </c>
      <c r="G2392" s="6" t="s">
        <v>607</v>
      </c>
      <c r="H2392" s="6">
        <v>18.399999999999999</v>
      </c>
      <c r="I2392" s="6" t="str">
        <f>_xlfn.CONCAT("Art. złączny do produktu ",Tabela10[[#This Row],[KOD_PRODUKTU]])</f>
        <v>Art. złączny do produktu 911R57-600</v>
      </c>
      <c r="J2392" s="6" t="str">
        <f>_xlfn.CONCAT("VE-",Tabela10[[#This Row],[KOD_PRODUKTU]])</f>
        <v>VE-911R57-600</v>
      </c>
    </row>
    <row r="2393" spans="1:10" x14ac:dyDescent="0.25">
      <c r="A2393" s="1" t="s">
        <v>4845</v>
      </c>
      <c r="B2393" t="s">
        <v>4846</v>
      </c>
      <c r="C2393" s="1" t="s">
        <v>1547</v>
      </c>
      <c r="D2393" t="s">
        <v>1548</v>
      </c>
      <c r="E2393" t="s">
        <v>216</v>
      </c>
      <c r="F2393" t="s">
        <v>5</v>
      </c>
      <c r="G2393" t="s">
        <v>367</v>
      </c>
      <c r="H2393">
        <v>0.35</v>
      </c>
      <c r="I2393" s="6" t="str">
        <f>_xlfn.CONCAT("Art. złączny do produktu ",Tabela10[[#This Row],[KOD_PRODUKTU]])</f>
        <v>Art. złączny do produktu 911R82-010</v>
      </c>
      <c r="J2393" s="6" t="str">
        <f>_xlfn.CONCAT("VE-",Tabela10[[#This Row],[KOD_PRODUKTU]])</f>
        <v>VE-911R82-010</v>
      </c>
    </row>
    <row r="2394" spans="1:10" x14ac:dyDescent="0.25">
      <c r="A2394" s="7" t="s">
        <v>4845</v>
      </c>
      <c r="B2394" s="6" t="s">
        <v>4846</v>
      </c>
      <c r="C2394" s="7" t="s">
        <v>541</v>
      </c>
      <c r="D2394" s="6" t="s">
        <v>542</v>
      </c>
      <c r="E2394" s="6" t="s">
        <v>9</v>
      </c>
      <c r="F2394" s="6" t="s">
        <v>10</v>
      </c>
      <c r="G2394" s="6" t="s">
        <v>19</v>
      </c>
      <c r="H2394" s="6">
        <v>4.5999999999999996</v>
      </c>
      <c r="I2394" s="6" t="str">
        <f>_xlfn.CONCAT("Art. złączny do produktu ",Tabela10[[#This Row],[KOD_PRODUKTU]])</f>
        <v>Art. złączny do produktu 911R82-010</v>
      </c>
      <c r="J2394" s="6" t="str">
        <f>_xlfn.CONCAT("VE-",Tabela10[[#This Row],[KOD_PRODUKTU]])</f>
        <v>VE-911R82-010</v>
      </c>
    </row>
    <row r="2395" spans="1:10" x14ac:dyDescent="0.25">
      <c r="A2395" s="1" t="s">
        <v>4847</v>
      </c>
      <c r="B2395" t="s">
        <v>4848</v>
      </c>
      <c r="C2395" s="1" t="s">
        <v>1367</v>
      </c>
      <c r="D2395" t="s">
        <v>2132</v>
      </c>
      <c r="E2395" t="s">
        <v>1347</v>
      </c>
      <c r="F2395" t="s">
        <v>5</v>
      </c>
      <c r="G2395" t="s">
        <v>4849</v>
      </c>
      <c r="H2395">
        <v>1.82</v>
      </c>
      <c r="I2395" s="6" t="str">
        <f>_xlfn.CONCAT("Art. złączny do produktu ",Tabela10[[#This Row],[KOD_PRODUKTU]])</f>
        <v>Art. złączny do produktu 911R82-020</v>
      </c>
      <c r="J2395" s="6" t="str">
        <f>_xlfn.CONCAT("VE-",Tabela10[[#This Row],[KOD_PRODUKTU]])</f>
        <v>VE-911R82-020</v>
      </c>
    </row>
    <row r="2396" spans="1:10" x14ac:dyDescent="0.25">
      <c r="A2396" s="7" t="s">
        <v>4847</v>
      </c>
      <c r="B2396" s="6" t="s">
        <v>4848</v>
      </c>
      <c r="C2396" s="7" t="s">
        <v>541</v>
      </c>
      <c r="D2396" s="6" t="s">
        <v>542</v>
      </c>
      <c r="E2396" s="6" t="s">
        <v>9</v>
      </c>
      <c r="F2396" s="6" t="s">
        <v>10</v>
      </c>
      <c r="G2396" s="6" t="s">
        <v>4850</v>
      </c>
      <c r="H2396" s="6">
        <v>2.5499999999999998</v>
      </c>
      <c r="I2396" s="6" t="str">
        <f>_xlfn.CONCAT("Art. złączny do produktu ",Tabela10[[#This Row],[KOD_PRODUKTU]])</f>
        <v>Art. złączny do produktu 911R82-020</v>
      </c>
      <c r="J2396" s="6" t="str">
        <f>_xlfn.CONCAT("VE-",Tabela10[[#This Row],[KOD_PRODUKTU]])</f>
        <v>VE-911R82-020</v>
      </c>
    </row>
    <row r="2397" spans="1:10" x14ac:dyDescent="0.25">
      <c r="A2397" s="1" t="s">
        <v>4851</v>
      </c>
      <c r="B2397" t="s">
        <v>4852</v>
      </c>
      <c r="C2397" s="1" t="s">
        <v>1367</v>
      </c>
      <c r="D2397" t="s">
        <v>2132</v>
      </c>
      <c r="E2397" t="s">
        <v>1347</v>
      </c>
      <c r="F2397" t="s">
        <v>5</v>
      </c>
      <c r="G2397" t="s">
        <v>2773</v>
      </c>
      <c r="H2397">
        <v>2.2799999999999998</v>
      </c>
      <c r="I2397" s="6" t="str">
        <f>_xlfn.CONCAT("Art. złączny do produktu ",Tabela10[[#This Row],[KOD_PRODUKTU]])</f>
        <v>Art. złączny do produktu 911R82-030</v>
      </c>
      <c r="J2397" s="6" t="str">
        <f>_xlfn.CONCAT("VE-",Tabela10[[#This Row],[KOD_PRODUKTU]])</f>
        <v>VE-911R82-030</v>
      </c>
    </row>
    <row r="2398" spans="1:10" x14ac:dyDescent="0.25">
      <c r="A2398" s="7" t="s">
        <v>4851</v>
      </c>
      <c r="B2398" s="6" t="s">
        <v>4852</v>
      </c>
      <c r="C2398" s="7" t="s">
        <v>541</v>
      </c>
      <c r="D2398" s="6" t="s">
        <v>542</v>
      </c>
      <c r="E2398" s="6" t="s">
        <v>9</v>
      </c>
      <c r="F2398" s="6" t="s">
        <v>10</v>
      </c>
      <c r="G2398" s="6" t="s">
        <v>4850</v>
      </c>
      <c r="H2398" s="6">
        <v>2.5499999999999998</v>
      </c>
      <c r="I2398" s="6" t="str">
        <f>_xlfn.CONCAT("Art. złączny do produktu ",Tabela10[[#This Row],[KOD_PRODUKTU]])</f>
        <v>Art. złączny do produktu 911R82-030</v>
      </c>
      <c r="J2398" s="6" t="str">
        <f>_xlfn.CONCAT("VE-",Tabela10[[#This Row],[KOD_PRODUKTU]])</f>
        <v>VE-911R82-030</v>
      </c>
    </row>
    <row r="2399" spans="1:10" x14ac:dyDescent="0.25">
      <c r="A2399" s="1" t="s">
        <v>4853</v>
      </c>
      <c r="B2399" t="s">
        <v>4854</v>
      </c>
      <c r="C2399" s="1" t="s">
        <v>1367</v>
      </c>
      <c r="D2399" t="s">
        <v>2132</v>
      </c>
      <c r="E2399" t="s">
        <v>1347</v>
      </c>
      <c r="F2399" t="s">
        <v>5</v>
      </c>
      <c r="G2399" t="s">
        <v>2011</v>
      </c>
      <c r="H2399">
        <v>0.91</v>
      </c>
      <c r="I2399" s="6" t="str">
        <f>_xlfn.CONCAT("Art. złączny do produktu ",Tabela10[[#This Row],[KOD_PRODUKTU]])</f>
        <v>Art. złączny do produktu 911R82-040</v>
      </c>
      <c r="J2399" s="6" t="str">
        <f>_xlfn.CONCAT("VE-",Tabela10[[#This Row],[KOD_PRODUKTU]])</f>
        <v>VE-911R82-040</v>
      </c>
    </row>
    <row r="2400" spans="1:10" x14ac:dyDescent="0.25">
      <c r="A2400" s="7" t="s">
        <v>4853</v>
      </c>
      <c r="B2400" s="6" t="s">
        <v>4854</v>
      </c>
      <c r="C2400" s="7" t="s">
        <v>541</v>
      </c>
      <c r="D2400" s="6" t="s">
        <v>542</v>
      </c>
      <c r="E2400" s="6" t="s">
        <v>9</v>
      </c>
      <c r="F2400" s="6" t="s">
        <v>10</v>
      </c>
      <c r="G2400" s="6" t="s">
        <v>4850</v>
      </c>
      <c r="H2400" s="6">
        <v>2.5499999999999998</v>
      </c>
      <c r="I2400" s="6" t="str">
        <f>_xlfn.CONCAT("Art. złączny do produktu ",Tabela10[[#This Row],[KOD_PRODUKTU]])</f>
        <v>Art. złączny do produktu 911R82-040</v>
      </c>
      <c r="J2400" s="6" t="str">
        <f>_xlfn.CONCAT("VE-",Tabela10[[#This Row],[KOD_PRODUKTU]])</f>
        <v>VE-911R82-040</v>
      </c>
    </row>
    <row r="2401" spans="1:10" x14ac:dyDescent="0.25">
      <c r="A2401" s="1" t="s">
        <v>4858</v>
      </c>
      <c r="B2401" t="s">
        <v>4859</v>
      </c>
      <c r="C2401" s="1" t="s">
        <v>3568</v>
      </c>
      <c r="D2401" t="s">
        <v>3569</v>
      </c>
      <c r="E2401" t="s">
        <v>3570</v>
      </c>
      <c r="F2401" t="s">
        <v>17</v>
      </c>
      <c r="G2401" t="s">
        <v>4860</v>
      </c>
      <c r="H2401">
        <v>2.2599999999999998</v>
      </c>
      <c r="I2401" s="6" t="str">
        <f>_xlfn.CONCAT("Art. złączny do produktu ",Tabela10[[#This Row],[KOD_PRODUKTU]])</f>
        <v>Art. złączny do produktu 911R82-810</v>
      </c>
      <c r="J2401" s="6" t="str">
        <f>_xlfn.CONCAT("VE-",Tabela10[[#This Row],[KOD_PRODUKTU]])</f>
        <v>VE-911R82-810</v>
      </c>
    </row>
    <row r="2402" spans="1:10" x14ac:dyDescent="0.25">
      <c r="A2402" s="7" t="s">
        <v>4858</v>
      </c>
      <c r="B2402" s="6" t="s">
        <v>4859</v>
      </c>
      <c r="C2402" s="7" t="s">
        <v>7</v>
      </c>
      <c r="D2402" s="6" t="s">
        <v>8</v>
      </c>
      <c r="E2402" s="6" t="s">
        <v>9</v>
      </c>
      <c r="F2402" s="6" t="s">
        <v>10</v>
      </c>
      <c r="G2402" s="6" t="s">
        <v>601</v>
      </c>
      <c r="H2402" s="6">
        <v>6.9</v>
      </c>
      <c r="I2402" s="6" t="str">
        <f>_xlfn.CONCAT("Art. złączny do produktu ",Tabela10[[#This Row],[KOD_PRODUKTU]])</f>
        <v>Art. złączny do produktu 911R82-810</v>
      </c>
      <c r="J2402" s="6" t="str">
        <f>_xlfn.CONCAT("VE-",Tabela10[[#This Row],[KOD_PRODUKTU]])</f>
        <v>VE-911R82-810</v>
      </c>
    </row>
    <row r="2403" spans="1:10" x14ac:dyDescent="0.25">
      <c r="A2403" s="1" t="s">
        <v>4861</v>
      </c>
      <c r="B2403" t="s">
        <v>4862</v>
      </c>
      <c r="C2403" s="1" t="s">
        <v>1487</v>
      </c>
      <c r="D2403" t="s">
        <v>1488</v>
      </c>
      <c r="E2403" t="s">
        <v>31</v>
      </c>
      <c r="F2403" t="s">
        <v>5</v>
      </c>
      <c r="G2403" t="s">
        <v>4004</v>
      </c>
      <c r="H2403">
        <v>0.65</v>
      </c>
      <c r="I2403" s="6" t="str">
        <f>_xlfn.CONCAT("Art. złączny do produktu ",Tabela10[[#This Row],[KOD_PRODUKTU]])</f>
        <v>Art. złączny do produktu 911R82-820</v>
      </c>
      <c r="J2403" s="6" t="str">
        <f>_xlfn.CONCAT("VE-",Tabela10[[#This Row],[KOD_PRODUKTU]])</f>
        <v>VE-911R82-820</v>
      </c>
    </row>
    <row r="2404" spans="1:10" x14ac:dyDescent="0.25">
      <c r="A2404" s="7" t="s">
        <v>4861</v>
      </c>
      <c r="B2404" s="6" t="s">
        <v>4862</v>
      </c>
      <c r="C2404" s="7" t="s">
        <v>7</v>
      </c>
      <c r="D2404" s="6" t="s">
        <v>8</v>
      </c>
      <c r="E2404" s="6" t="s">
        <v>9</v>
      </c>
      <c r="F2404" s="6" t="s">
        <v>10</v>
      </c>
      <c r="G2404" s="6" t="s">
        <v>367</v>
      </c>
      <c r="H2404" s="6">
        <v>2.2999999999999998</v>
      </c>
      <c r="I2404" s="6" t="str">
        <f>_xlfn.CONCAT("Art. złączny do produktu ",Tabela10[[#This Row],[KOD_PRODUKTU]])</f>
        <v>Art. złączny do produktu 911R82-820</v>
      </c>
      <c r="J2404" s="6" t="str">
        <f>_xlfn.CONCAT("VE-",Tabela10[[#This Row],[KOD_PRODUKTU]])</f>
        <v>VE-911R82-820</v>
      </c>
    </row>
    <row r="2405" spans="1:10" x14ac:dyDescent="0.25">
      <c r="A2405" s="1" t="s">
        <v>4863</v>
      </c>
      <c r="B2405" t="s">
        <v>4864</v>
      </c>
      <c r="C2405" s="1" t="s">
        <v>1487</v>
      </c>
      <c r="D2405" t="s">
        <v>1488</v>
      </c>
      <c r="E2405" t="s">
        <v>31</v>
      </c>
      <c r="F2405" t="s">
        <v>5</v>
      </c>
      <c r="G2405" t="s">
        <v>4004</v>
      </c>
      <c r="H2405">
        <v>0.65</v>
      </c>
      <c r="I2405" s="6" t="str">
        <f>_xlfn.CONCAT("Art. złączny do produktu ",Tabela10[[#This Row],[KOD_PRODUKTU]])</f>
        <v>Art. złączny do produktu 911R82-830</v>
      </c>
      <c r="J2405" s="6" t="str">
        <f>_xlfn.CONCAT("VE-",Tabela10[[#This Row],[KOD_PRODUKTU]])</f>
        <v>VE-911R82-830</v>
      </c>
    </row>
    <row r="2406" spans="1:10" x14ac:dyDescent="0.25">
      <c r="A2406" s="7" t="s">
        <v>4863</v>
      </c>
      <c r="B2406" s="6" t="s">
        <v>4864</v>
      </c>
      <c r="C2406" s="7" t="s">
        <v>7</v>
      </c>
      <c r="D2406" s="6" t="s">
        <v>8</v>
      </c>
      <c r="E2406" s="6" t="s">
        <v>9</v>
      </c>
      <c r="F2406" s="6" t="s">
        <v>10</v>
      </c>
      <c r="G2406" s="6" t="s">
        <v>367</v>
      </c>
      <c r="H2406" s="6">
        <v>2.2999999999999998</v>
      </c>
      <c r="I2406" s="6" t="str">
        <f>_xlfn.CONCAT("Art. złączny do produktu ",Tabela10[[#This Row],[KOD_PRODUKTU]])</f>
        <v>Art. złączny do produktu 911R82-830</v>
      </c>
      <c r="J2406" s="6" t="str">
        <f>_xlfn.CONCAT("VE-",Tabela10[[#This Row],[KOD_PRODUKTU]])</f>
        <v>VE-911R82-830</v>
      </c>
    </row>
    <row r="2407" spans="1:10" x14ac:dyDescent="0.25">
      <c r="A2407" s="1" t="s">
        <v>4865</v>
      </c>
      <c r="B2407" t="s">
        <v>4866</v>
      </c>
      <c r="C2407" s="1" t="s">
        <v>3568</v>
      </c>
      <c r="D2407" t="s">
        <v>3569</v>
      </c>
      <c r="E2407" t="s">
        <v>3570</v>
      </c>
      <c r="F2407" t="s">
        <v>17</v>
      </c>
      <c r="G2407" t="s">
        <v>4867</v>
      </c>
      <c r="H2407">
        <v>6.12</v>
      </c>
      <c r="I2407" s="6" t="str">
        <f>_xlfn.CONCAT("Art. złączny do produktu ",Tabela10[[#This Row],[KOD_PRODUKTU]])</f>
        <v>Art. złączny do produktu 911R83-510</v>
      </c>
      <c r="J2407" s="6" t="str">
        <f>_xlfn.CONCAT("VE-",Tabela10[[#This Row],[KOD_PRODUKTU]])</f>
        <v>VE-911R83-510</v>
      </c>
    </row>
    <row r="2408" spans="1:10" x14ac:dyDescent="0.25">
      <c r="A2408" s="7" t="s">
        <v>4865</v>
      </c>
      <c r="B2408" s="6" t="s">
        <v>4866</v>
      </c>
      <c r="C2408" s="7" t="s">
        <v>7</v>
      </c>
      <c r="D2408" s="6" t="s">
        <v>8</v>
      </c>
      <c r="E2408" s="6" t="s">
        <v>9</v>
      </c>
      <c r="F2408" s="6" t="s">
        <v>10</v>
      </c>
      <c r="G2408" s="6" t="s">
        <v>601</v>
      </c>
      <c r="H2408" s="6">
        <v>6.9</v>
      </c>
      <c r="I2408" s="6" t="str">
        <f>_xlfn.CONCAT("Art. złączny do produktu ",Tabela10[[#This Row],[KOD_PRODUKTU]])</f>
        <v>Art. złączny do produktu 911R83-510</v>
      </c>
      <c r="J2408" s="6" t="str">
        <f>_xlfn.CONCAT("VE-",Tabela10[[#This Row],[KOD_PRODUKTU]])</f>
        <v>VE-911R83-510</v>
      </c>
    </row>
    <row r="2409" spans="1:10" x14ac:dyDescent="0.25">
      <c r="A2409" s="1" t="s">
        <v>4868</v>
      </c>
      <c r="B2409" t="s">
        <v>4869</v>
      </c>
      <c r="C2409" s="1" t="s">
        <v>1487</v>
      </c>
      <c r="D2409" t="s">
        <v>1488</v>
      </c>
      <c r="E2409" t="s">
        <v>31</v>
      </c>
      <c r="F2409" t="s">
        <v>5</v>
      </c>
      <c r="G2409" t="s">
        <v>4004</v>
      </c>
      <c r="H2409">
        <v>0.65</v>
      </c>
      <c r="I2409" s="6" t="str">
        <f>_xlfn.CONCAT("Art. złączny do produktu ",Tabela10[[#This Row],[KOD_PRODUKTU]])</f>
        <v>Art. złączny do produktu 911R83-520</v>
      </c>
      <c r="J2409" s="6" t="str">
        <f>_xlfn.CONCAT("VE-",Tabela10[[#This Row],[KOD_PRODUKTU]])</f>
        <v>VE-911R83-520</v>
      </c>
    </row>
    <row r="2410" spans="1:10" x14ac:dyDescent="0.25">
      <c r="A2410" s="7" t="s">
        <v>4868</v>
      </c>
      <c r="B2410" s="6" t="s">
        <v>4869</v>
      </c>
      <c r="C2410" s="7" t="s">
        <v>541</v>
      </c>
      <c r="D2410" s="6" t="s">
        <v>542</v>
      </c>
      <c r="E2410" s="6" t="s">
        <v>9</v>
      </c>
      <c r="F2410" s="6" t="s">
        <v>10</v>
      </c>
      <c r="G2410" s="6" t="s">
        <v>367</v>
      </c>
      <c r="H2410" s="6">
        <v>2.2999999999999998</v>
      </c>
      <c r="I2410" s="6" t="str">
        <f>_xlfn.CONCAT("Art. złączny do produktu ",Tabela10[[#This Row],[KOD_PRODUKTU]])</f>
        <v>Art. złączny do produktu 911R83-520</v>
      </c>
      <c r="J2410" s="6" t="str">
        <f>_xlfn.CONCAT("VE-",Tabela10[[#This Row],[KOD_PRODUKTU]])</f>
        <v>VE-911R83-520</v>
      </c>
    </row>
    <row r="2411" spans="1:10" x14ac:dyDescent="0.25">
      <c r="A2411" s="1" t="s">
        <v>4870</v>
      </c>
      <c r="B2411" t="s">
        <v>4871</v>
      </c>
      <c r="C2411" s="1" t="s">
        <v>1487</v>
      </c>
      <c r="D2411" t="s">
        <v>1488</v>
      </c>
      <c r="E2411" t="s">
        <v>31</v>
      </c>
      <c r="F2411" t="s">
        <v>5</v>
      </c>
      <c r="G2411" t="s">
        <v>4004</v>
      </c>
      <c r="H2411">
        <v>0.65</v>
      </c>
      <c r="I2411" s="6" t="str">
        <f>_xlfn.CONCAT("Art. złączny do produktu ",Tabela10[[#This Row],[KOD_PRODUKTU]])</f>
        <v>Art. złączny do produktu 911R83-530</v>
      </c>
      <c r="J2411" s="6" t="str">
        <f>_xlfn.CONCAT("VE-",Tabela10[[#This Row],[KOD_PRODUKTU]])</f>
        <v>VE-911R83-530</v>
      </c>
    </row>
    <row r="2412" spans="1:10" x14ac:dyDescent="0.25">
      <c r="A2412" s="7" t="s">
        <v>4870</v>
      </c>
      <c r="B2412" s="6" t="s">
        <v>4871</v>
      </c>
      <c r="C2412" s="7" t="s">
        <v>541</v>
      </c>
      <c r="D2412" s="6" t="s">
        <v>542</v>
      </c>
      <c r="E2412" s="6" t="s">
        <v>9</v>
      </c>
      <c r="F2412" s="6" t="s">
        <v>10</v>
      </c>
      <c r="G2412" s="6" t="s">
        <v>367</v>
      </c>
      <c r="H2412" s="6">
        <v>2.2999999999999998</v>
      </c>
      <c r="I2412" s="6" t="str">
        <f>_xlfn.CONCAT("Art. złączny do produktu ",Tabela10[[#This Row],[KOD_PRODUKTU]])</f>
        <v>Art. złączny do produktu 911R83-530</v>
      </c>
      <c r="J2412" s="6" t="str">
        <f>_xlfn.CONCAT("VE-",Tabela10[[#This Row],[KOD_PRODUKTU]])</f>
        <v>VE-911R83-530</v>
      </c>
    </row>
    <row r="2413" spans="1:10" x14ac:dyDescent="0.25">
      <c r="A2413" s="1" t="s">
        <v>4872</v>
      </c>
      <c r="B2413" t="s">
        <v>4873</v>
      </c>
      <c r="C2413" s="1" t="s">
        <v>684</v>
      </c>
      <c r="D2413" t="s">
        <v>685</v>
      </c>
      <c r="E2413" t="s">
        <v>686</v>
      </c>
      <c r="F2413" t="s">
        <v>49</v>
      </c>
      <c r="G2413" t="s">
        <v>4874</v>
      </c>
      <c r="H2413">
        <v>1</v>
      </c>
      <c r="I2413" s="6" t="str">
        <f>_xlfn.CONCAT("Art. złączny do produktu ",Tabela10[[#This Row],[KOD_PRODUKTU]])</f>
        <v>Art. złączny do produktu 911R85-110</v>
      </c>
      <c r="J2413" s="6" t="str">
        <f>_xlfn.CONCAT("VE-",Tabela10[[#This Row],[KOD_PRODUKTU]])</f>
        <v>VE-911R85-110</v>
      </c>
    </row>
    <row r="2414" spans="1:10" x14ac:dyDescent="0.25">
      <c r="A2414" s="7" t="s">
        <v>4872</v>
      </c>
      <c r="B2414" s="6" t="s">
        <v>4873</v>
      </c>
      <c r="C2414" s="7" t="s">
        <v>7</v>
      </c>
      <c r="D2414" s="6" t="s">
        <v>8</v>
      </c>
      <c r="E2414" s="6" t="s">
        <v>9</v>
      </c>
      <c r="F2414" s="6" t="s">
        <v>10</v>
      </c>
      <c r="G2414" s="6" t="s">
        <v>4875</v>
      </c>
      <c r="H2414" s="6">
        <v>5.85</v>
      </c>
      <c r="I2414" s="6" t="str">
        <f>_xlfn.CONCAT("Art. złączny do produktu ",Tabela10[[#This Row],[KOD_PRODUKTU]])</f>
        <v>Art. złączny do produktu 911R85-110</v>
      </c>
      <c r="J2414" s="6" t="str">
        <f>_xlfn.CONCAT("VE-",Tabela10[[#This Row],[KOD_PRODUKTU]])</f>
        <v>VE-911R85-110</v>
      </c>
    </row>
    <row r="2415" spans="1:10" x14ac:dyDescent="0.25">
      <c r="A2415" s="1" t="s">
        <v>4876</v>
      </c>
      <c r="B2415" t="s">
        <v>4877</v>
      </c>
      <c r="C2415" s="1" t="s">
        <v>4878</v>
      </c>
      <c r="D2415" t="s">
        <v>4879</v>
      </c>
      <c r="E2415" t="s">
        <v>4880</v>
      </c>
      <c r="F2415" t="s">
        <v>5</v>
      </c>
      <c r="G2415" t="s">
        <v>4881</v>
      </c>
      <c r="H2415">
        <v>0.82</v>
      </c>
      <c r="I2415" s="6" t="str">
        <f>_xlfn.CONCAT("Art. złączny do produktu ",Tabela10[[#This Row],[KOD_PRODUKTU]])</f>
        <v>Art. złączny do produktu 911W50-200</v>
      </c>
      <c r="J2415" s="6" t="str">
        <f>_xlfn.CONCAT("VE-",Tabela10[[#This Row],[KOD_PRODUKTU]])</f>
        <v>VE-911W50-200</v>
      </c>
    </row>
    <row r="2416" spans="1:10" x14ac:dyDescent="0.25">
      <c r="A2416" s="7" t="s">
        <v>4876</v>
      </c>
      <c r="B2416" s="6" t="s">
        <v>4877</v>
      </c>
      <c r="C2416" s="7" t="s">
        <v>483</v>
      </c>
      <c r="D2416" s="6" t="s">
        <v>484</v>
      </c>
      <c r="E2416" s="6" t="s">
        <v>485</v>
      </c>
      <c r="F2416" s="6" t="s">
        <v>5</v>
      </c>
      <c r="G2416" s="6" t="s">
        <v>4882</v>
      </c>
      <c r="H2416" s="6">
        <v>0.05</v>
      </c>
      <c r="I2416" s="6" t="str">
        <f>_xlfn.CONCAT("Art. złączny do produktu ",Tabela10[[#This Row],[KOD_PRODUKTU]])</f>
        <v>Art. złączny do produktu 911W50-200</v>
      </c>
      <c r="J2416" s="6" t="str">
        <f>_xlfn.CONCAT("VE-",Tabela10[[#This Row],[KOD_PRODUKTU]])</f>
        <v>VE-911W50-200</v>
      </c>
    </row>
    <row r="2417" spans="1:10" x14ac:dyDescent="0.25">
      <c r="A2417" s="1" t="s">
        <v>4876</v>
      </c>
      <c r="B2417" t="s">
        <v>4877</v>
      </c>
      <c r="C2417" s="1" t="s">
        <v>41</v>
      </c>
      <c r="D2417" t="s">
        <v>42</v>
      </c>
      <c r="E2417" t="s">
        <v>43</v>
      </c>
      <c r="F2417" t="s">
        <v>5</v>
      </c>
      <c r="G2417" t="s">
        <v>4883</v>
      </c>
      <c r="H2417">
        <v>0.02</v>
      </c>
      <c r="I2417" s="6" t="str">
        <f>_xlfn.CONCAT("Art. złączny do produktu ",Tabela10[[#This Row],[KOD_PRODUKTU]])</f>
        <v>Art. złączny do produktu 911W50-200</v>
      </c>
      <c r="J2417" s="6" t="str">
        <f>_xlfn.CONCAT("VE-",Tabela10[[#This Row],[KOD_PRODUKTU]])</f>
        <v>VE-911W50-200</v>
      </c>
    </row>
    <row r="2418" spans="1:10" x14ac:dyDescent="0.25">
      <c r="A2418" s="7" t="s">
        <v>4876</v>
      </c>
      <c r="B2418" s="6" t="s">
        <v>4877</v>
      </c>
      <c r="C2418" s="7" t="s">
        <v>4884</v>
      </c>
      <c r="D2418" s="6" t="s">
        <v>4885</v>
      </c>
      <c r="E2418" s="6" t="s">
        <v>4886</v>
      </c>
      <c r="F2418" s="6" t="s">
        <v>49</v>
      </c>
      <c r="G2418" s="6" t="s">
        <v>4887</v>
      </c>
      <c r="H2418" s="6">
        <v>4.8600000000000003</v>
      </c>
      <c r="I2418" s="6" t="str">
        <f>_xlfn.CONCAT("Art. złączny do produktu ",Tabela10[[#This Row],[KOD_PRODUKTU]])</f>
        <v>Art. złączny do produktu 911W50-200</v>
      </c>
      <c r="J2418" s="6" t="str">
        <f>_xlfn.CONCAT("VE-",Tabela10[[#This Row],[KOD_PRODUKTU]])</f>
        <v>VE-911W50-200</v>
      </c>
    </row>
    <row r="2419" spans="1:10" x14ac:dyDescent="0.25">
      <c r="A2419" s="1" t="s">
        <v>4876</v>
      </c>
      <c r="B2419" t="s">
        <v>4877</v>
      </c>
      <c r="C2419" s="1" t="s">
        <v>541</v>
      </c>
      <c r="D2419" t="s">
        <v>542</v>
      </c>
      <c r="E2419" t="s">
        <v>811</v>
      </c>
      <c r="F2419" t="s">
        <v>10</v>
      </c>
      <c r="G2419" t="s">
        <v>4894</v>
      </c>
      <c r="H2419">
        <v>29.98</v>
      </c>
      <c r="I2419" s="6" t="str">
        <f>_xlfn.CONCAT("Art. złączny do produktu ",Tabela10[[#This Row],[KOD_PRODUKTU]])</f>
        <v>Art. złączny do produktu 911W50-200</v>
      </c>
      <c r="J2419" s="6" t="str">
        <f>_xlfn.CONCAT("VE-",Tabela10[[#This Row],[KOD_PRODUKTU]])</f>
        <v>VE-911W50-200</v>
      </c>
    </row>
    <row r="2420" spans="1:10" x14ac:dyDescent="0.25">
      <c r="A2420" s="7" t="s">
        <v>4876</v>
      </c>
      <c r="B2420" s="6" t="s">
        <v>4877</v>
      </c>
      <c r="C2420" s="7" t="s">
        <v>541</v>
      </c>
      <c r="D2420" s="6" t="s">
        <v>542</v>
      </c>
      <c r="E2420" s="6" t="s">
        <v>811</v>
      </c>
      <c r="F2420" s="6" t="s">
        <v>10</v>
      </c>
      <c r="G2420" s="6" t="s">
        <v>4895</v>
      </c>
      <c r="H2420" s="6">
        <v>27.05</v>
      </c>
      <c r="I2420" s="6" t="str">
        <f>_xlfn.CONCAT("Art. złączny do produktu ",Tabela10[[#This Row],[KOD_PRODUKTU]])</f>
        <v>Art. złączny do produktu 911W50-200</v>
      </c>
      <c r="J2420" s="6" t="str">
        <f>_xlfn.CONCAT("VE-",Tabela10[[#This Row],[KOD_PRODUKTU]])</f>
        <v>VE-911W50-200</v>
      </c>
    </row>
    <row r="2421" spans="1:10" x14ac:dyDescent="0.25">
      <c r="A2421" s="1" t="s">
        <v>4902</v>
      </c>
      <c r="B2421" t="s">
        <v>4903</v>
      </c>
      <c r="C2421" s="1" t="s">
        <v>4878</v>
      </c>
      <c r="D2421" t="s">
        <v>4879</v>
      </c>
      <c r="E2421" t="s">
        <v>1964</v>
      </c>
      <c r="F2421" t="s">
        <v>5</v>
      </c>
      <c r="G2421" t="s">
        <v>4904</v>
      </c>
      <c r="H2421">
        <v>1.1399999999999999</v>
      </c>
      <c r="I2421" s="6" t="str">
        <f>_xlfn.CONCAT("Art. złączny do produktu ",Tabela10[[#This Row],[KOD_PRODUKTU]])</f>
        <v>Art. złączny do produktu 911W51-200</v>
      </c>
      <c r="J2421" s="6" t="str">
        <f>_xlfn.CONCAT("VE-",Tabela10[[#This Row],[KOD_PRODUKTU]])</f>
        <v>VE-911W51-200</v>
      </c>
    </row>
    <row r="2422" spans="1:10" x14ac:dyDescent="0.25">
      <c r="A2422" s="7" t="s">
        <v>4902</v>
      </c>
      <c r="B2422" s="6" t="s">
        <v>4903</v>
      </c>
      <c r="C2422" s="7" t="s">
        <v>483</v>
      </c>
      <c r="D2422" s="6" t="s">
        <v>484</v>
      </c>
      <c r="E2422" s="6" t="s">
        <v>2789</v>
      </c>
      <c r="F2422" s="6" t="s">
        <v>5</v>
      </c>
      <c r="G2422" s="6" t="s">
        <v>4905</v>
      </c>
      <c r="H2422" s="6">
        <v>0.09</v>
      </c>
      <c r="I2422" s="6" t="str">
        <f>_xlfn.CONCAT("Art. złączny do produktu ",Tabela10[[#This Row],[KOD_PRODUKTU]])</f>
        <v>Art. złączny do produktu 911W51-200</v>
      </c>
      <c r="J2422" s="6" t="str">
        <f>_xlfn.CONCAT("VE-",Tabela10[[#This Row],[KOD_PRODUKTU]])</f>
        <v>VE-911W51-200</v>
      </c>
    </row>
    <row r="2423" spans="1:10" x14ac:dyDescent="0.25">
      <c r="A2423" s="1" t="s">
        <v>4902</v>
      </c>
      <c r="B2423" t="s">
        <v>4903</v>
      </c>
      <c r="C2423" s="1" t="s">
        <v>41</v>
      </c>
      <c r="D2423" t="s">
        <v>42</v>
      </c>
      <c r="E2423" t="s">
        <v>513</v>
      </c>
      <c r="F2423" t="s">
        <v>5</v>
      </c>
      <c r="G2423" t="s">
        <v>4906</v>
      </c>
      <c r="H2423">
        <v>0.11</v>
      </c>
      <c r="I2423" s="6" t="str">
        <f>_xlfn.CONCAT("Art. złączny do produktu ",Tabela10[[#This Row],[KOD_PRODUKTU]])</f>
        <v>Art. złączny do produktu 911W51-200</v>
      </c>
      <c r="J2423" s="6" t="str">
        <f>_xlfn.CONCAT("VE-",Tabela10[[#This Row],[KOD_PRODUKTU]])</f>
        <v>VE-911W51-200</v>
      </c>
    </row>
    <row r="2424" spans="1:10" x14ac:dyDescent="0.25">
      <c r="A2424" s="7" t="s">
        <v>4902</v>
      </c>
      <c r="B2424" s="6" t="s">
        <v>4903</v>
      </c>
      <c r="C2424" s="7" t="s">
        <v>4884</v>
      </c>
      <c r="D2424" s="6" t="s">
        <v>4885</v>
      </c>
      <c r="E2424" s="6" t="s">
        <v>4886</v>
      </c>
      <c r="F2424" s="6" t="s">
        <v>49</v>
      </c>
      <c r="G2424" s="6" t="s">
        <v>4907</v>
      </c>
      <c r="H2424" s="6">
        <v>5.4</v>
      </c>
      <c r="I2424" s="6" t="str">
        <f>_xlfn.CONCAT("Art. złączny do produktu ",Tabela10[[#This Row],[KOD_PRODUKTU]])</f>
        <v>Art. złączny do produktu 911W51-200</v>
      </c>
      <c r="J2424" s="6" t="str">
        <f>_xlfn.CONCAT("VE-",Tabela10[[#This Row],[KOD_PRODUKTU]])</f>
        <v>VE-911W51-200</v>
      </c>
    </row>
    <row r="2425" spans="1:10" x14ac:dyDescent="0.25">
      <c r="A2425" s="1" t="s">
        <v>4902</v>
      </c>
      <c r="B2425" t="s">
        <v>4903</v>
      </c>
      <c r="C2425" s="1" t="s">
        <v>541</v>
      </c>
      <c r="D2425" t="s">
        <v>542</v>
      </c>
      <c r="E2425" t="s">
        <v>9</v>
      </c>
      <c r="F2425" t="s">
        <v>10</v>
      </c>
      <c r="G2425" t="s">
        <v>4911</v>
      </c>
      <c r="H2425">
        <v>9.73</v>
      </c>
      <c r="I2425" s="6" t="str">
        <f>_xlfn.CONCAT("Art. złączny do produktu ",Tabela10[[#This Row],[KOD_PRODUKTU]])</f>
        <v>Art. złączny do produktu 911W51-200</v>
      </c>
      <c r="J2425" s="6" t="str">
        <f>_xlfn.CONCAT("VE-",Tabela10[[#This Row],[KOD_PRODUKTU]])</f>
        <v>VE-911W51-200</v>
      </c>
    </row>
    <row r="2426" spans="1:10" x14ac:dyDescent="0.25">
      <c r="A2426" s="7" t="s">
        <v>4902</v>
      </c>
      <c r="B2426" s="6" t="s">
        <v>4903</v>
      </c>
      <c r="C2426" s="7" t="s">
        <v>541</v>
      </c>
      <c r="D2426" s="6" t="s">
        <v>542</v>
      </c>
      <c r="E2426" s="6" t="s">
        <v>9</v>
      </c>
      <c r="F2426" s="6" t="s">
        <v>10</v>
      </c>
      <c r="G2426" s="6" t="s">
        <v>4912</v>
      </c>
      <c r="H2426" s="6">
        <v>11.89</v>
      </c>
      <c r="I2426" s="6" t="str">
        <f>_xlfn.CONCAT("Art. złączny do produktu ",Tabela10[[#This Row],[KOD_PRODUKTU]])</f>
        <v>Art. złączny do produktu 911W51-200</v>
      </c>
      <c r="J2426" s="6" t="str">
        <f>_xlfn.CONCAT("VE-",Tabela10[[#This Row],[KOD_PRODUKTU]])</f>
        <v>VE-911W51-200</v>
      </c>
    </row>
    <row r="2427" spans="1:10" x14ac:dyDescent="0.25">
      <c r="A2427" s="1" t="s">
        <v>4915</v>
      </c>
      <c r="B2427" t="s">
        <v>4916</v>
      </c>
      <c r="C2427" s="1" t="s">
        <v>4878</v>
      </c>
      <c r="D2427" t="s">
        <v>4879</v>
      </c>
      <c r="E2427" t="s">
        <v>4880</v>
      </c>
      <c r="F2427" t="s">
        <v>5</v>
      </c>
      <c r="G2427" t="s">
        <v>4904</v>
      </c>
      <c r="H2427">
        <v>0.91</v>
      </c>
      <c r="I2427" s="6" t="str">
        <f>_xlfn.CONCAT("Art. złączny do produktu ",Tabela10[[#This Row],[KOD_PRODUKTU]])</f>
        <v>Art. złączny do produktu 911W52-200</v>
      </c>
      <c r="J2427" s="6" t="str">
        <f>_xlfn.CONCAT("VE-",Tabela10[[#This Row],[KOD_PRODUKTU]])</f>
        <v>VE-911W52-200</v>
      </c>
    </row>
    <row r="2428" spans="1:10" x14ac:dyDescent="0.25">
      <c r="A2428" s="7" t="s">
        <v>4915</v>
      </c>
      <c r="B2428" s="6" t="s">
        <v>4916</v>
      </c>
      <c r="C2428" s="7" t="s">
        <v>483</v>
      </c>
      <c r="D2428" s="6" t="s">
        <v>484</v>
      </c>
      <c r="E2428" s="6" t="s">
        <v>485</v>
      </c>
      <c r="F2428" s="6" t="s">
        <v>5</v>
      </c>
      <c r="G2428" s="6" t="s">
        <v>4905</v>
      </c>
      <c r="H2428" s="6">
        <v>0.06</v>
      </c>
      <c r="I2428" s="6" t="str">
        <f>_xlfn.CONCAT("Art. złączny do produktu ",Tabela10[[#This Row],[KOD_PRODUKTU]])</f>
        <v>Art. złączny do produktu 911W52-200</v>
      </c>
      <c r="J2428" s="6" t="str">
        <f>_xlfn.CONCAT("VE-",Tabela10[[#This Row],[KOD_PRODUKTU]])</f>
        <v>VE-911W52-200</v>
      </c>
    </row>
    <row r="2429" spans="1:10" x14ac:dyDescent="0.25">
      <c r="A2429" s="1" t="s">
        <v>4915</v>
      </c>
      <c r="B2429" t="s">
        <v>4916</v>
      </c>
      <c r="C2429" s="1" t="s">
        <v>41</v>
      </c>
      <c r="D2429" t="s">
        <v>42</v>
      </c>
      <c r="E2429" t="s">
        <v>43</v>
      </c>
      <c r="F2429" t="s">
        <v>5</v>
      </c>
      <c r="G2429" t="s">
        <v>4906</v>
      </c>
      <c r="H2429">
        <v>0.11</v>
      </c>
      <c r="I2429" s="6" t="str">
        <f>_xlfn.CONCAT("Art. złączny do produktu ",Tabela10[[#This Row],[KOD_PRODUKTU]])</f>
        <v>Art. złączny do produktu 911W52-200</v>
      </c>
      <c r="J2429" s="6" t="str">
        <f>_xlfn.CONCAT("VE-",Tabela10[[#This Row],[KOD_PRODUKTU]])</f>
        <v>VE-911W52-200</v>
      </c>
    </row>
    <row r="2430" spans="1:10" x14ac:dyDescent="0.25">
      <c r="A2430" s="7" t="s">
        <v>4915</v>
      </c>
      <c r="B2430" s="6" t="s">
        <v>4916</v>
      </c>
      <c r="C2430" s="7" t="s">
        <v>4884</v>
      </c>
      <c r="D2430" s="6" t="s">
        <v>4885</v>
      </c>
      <c r="E2430" s="6" t="s">
        <v>4886</v>
      </c>
      <c r="F2430" s="6" t="s">
        <v>49</v>
      </c>
      <c r="G2430" s="6" t="s">
        <v>4907</v>
      </c>
      <c r="H2430" s="6">
        <v>5.4</v>
      </c>
      <c r="I2430" s="6" t="str">
        <f>_xlfn.CONCAT("Art. złączny do produktu ",Tabela10[[#This Row],[KOD_PRODUKTU]])</f>
        <v>Art. złączny do produktu 911W52-200</v>
      </c>
      <c r="J2430" s="6" t="str">
        <f>_xlfn.CONCAT("VE-",Tabela10[[#This Row],[KOD_PRODUKTU]])</f>
        <v>VE-911W52-200</v>
      </c>
    </row>
    <row r="2431" spans="1:10" x14ac:dyDescent="0.25">
      <c r="A2431" s="1" t="s">
        <v>4915</v>
      </c>
      <c r="B2431" t="s">
        <v>4916</v>
      </c>
      <c r="C2431" s="1" t="s">
        <v>541</v>
      </c>
      <c r="D2431" t="s">
        <v>542</v>
      </c>
      <c r="E2431" t="s">
        <v>811</v>
      </c>
      <c r="F2431" t="s">
        <v>10</v>
      </c>
      <c r="G2431" t="s">
        <v>4923</v>
      </c>
      <c r="H2431">
        <v>34.79</v>
      </c>
      <c r="I2431" s="6" t="str">
        <f>_xlfn.CONCAT("Art. złączny do produktu ",Tabela10[[#This Row],[KOD_PRODUKTU]])</f>
        <v>Art. złączny do produktu 911W52-200</v>
      </c>
      <c r="J2431" s="6" t="str">
        <f>_xlfn.CONCAT("VE-",Tabela10[[#This Row],[KOD_PRODUKTU]])</f>
        <v>VE-911W52-200</v>
      </c>
    </row>
    <row r="2432" spans="1:10" x14ac:dyDescent="0.25">
      <c r="A2432" s="7" t="s">
        <v>4915</v>
      </c>
      <c r="B2432" s="6" t="s">
        <v>4916</v>
      </c>
      <c r="C2432" s="7" t="s">
        <v>541</v>
      </c>
      <c r="D2432" s="6" t="s">
        <v>542</v>
      </c>
      <c r="E2432" s="6" t="s">
        <v>811</v>
      </c>
      <c r="F2432" s="6" t="s">
        <v>10</v>
      </c>
      <c r="G2432" s="6" t="s">
        <v>4924</v>
      </c>
      <c r="H2432" s="6">
        <v>26.96</v>
      </c>
      <c r="I2432" s="6" t="str">
        <f>_xlfn.CONCAT("Art. złączny do produktu ",Tabela10[[#This Row],[KOD_PRODUKTU]])</f>
        <v>Art. złączny do produktu 911W52-200</v>
      </c>
      <c r="J2432" s="6" t="str">
        <f>_xlfn.CONCAT("VE-",Tabela10[[#This Row],[KOD_PRODUKTU]])</f>
        <v>VE-911W52-200</v>
      </c>
    </row>
    <row r="2433" spans="1:10" x14ac:dyDescent="0.25">
      <c r="A2433" s="1" t="s">
        <v>4929</v>
      </c>
      <c r="B2433" t="s">
        <v>4930</v>
      </c>
      <c r="C2433" s="1" t="s">
        <v>1989</v>
      </c>
      <c r="D2433" t="s">
        <v>1990</v>
      </c>
      <c r="E2433" t="s">
        <v>1991</v>
      </c>
      <c r="F2433" t="s">
        <v>435</v>
      </c>
      <c r="G2433" t="s">
        <v>4931</v>
      </c>
      <c r="H2433">
        <v>0.64</v>
      </c>
      <c r="I2433" s="6" t="str">
        <f>_xlfn.CONCAT("Art. złączny do produktu ",Tabela10[[#This Row],[KOD_PRODUKTU]])</f>
        <v>Art. złączny do produktu 912W09-200</v>
      </c>
      <c r="J2433" s="6" t="str">
        <f>_xlfn.CONCAT("VE-",Tabela10[[#This Row],[KOD_PRODUKTU]])</f>
        <v>VE-912W09-200</v>
      </c>
    </row>
    <row r="2434" spans="1:10" x14ac:dyDescent="0.25">
      <c r="A2434" s="7" t="s">
        <v>4929</v>
      </c>
      <c r="B2434" s="6" t="s">
        <v>4930</v>
      </c>
      <c r="C2434" s="7" t="s">
        <v>7</v>
      </c>
      <c r="D2434" s="6" t="s">
        <v>8</v>
      </c>
      <c r="E2434" s="6" t="s">
        <v>9</v>
      </c>
      <c r="F2434" s="6" t="s">
        <v>10</v>
      </c>
      <c r="G2434" s="6" t="s">
        <v>4932</v>
      </c>
      <c r="H2434" s="6">
        <v>3.38</v>
      </c>
      <c r="I2434" s="6" t="str">
        <f>_xlfn.CONCAT("Art. złączny do produktu ",Tabela10[[#This Row],[KOD_PRODUKTU]])</f>
        <v>Art. złączny do produktu 912W09-200</v>
      </c>
      <c r="J2434" s="6" t="str">
        <f>_xlfn.CONCAT("VE-",Tabela10[[#This Row],[KOD_PRODUKTU]])</f>
        <v>VE-912W09-200</v>
      </c>
    </row>
    <row r="2435" spans="1:10" x14ac:dyDescent="0.25">
      <c r="A2435" s="1" t="s">
        <v>4933</v>
      </c>
      <c r="B2435" t="s">
        <v>4934</v>
      </c>
      <c r="C2435" s="1" t="s">
        <v>1335</v>
      </c>
      <c r="D2435" t="s">
        <v>1336</v>
      </c>
      <c r="E2435" t="s">
        <v>3722</v>
      </c>
      <c r="F2435" t="s">
        <v>49</v>
      </c>
      <c r="G2435" t="s">
        <v>50</v>
      </c>
      <c r="H2435">
        <v>34</v>
      </c>
      <c r="I2435" s="6" t="str">
        <f>_xlfn.CONCAT("Art. złączny do produktu ",Tabela10[[#This Row],[KOD_PRODUKTU]])</f>
        <v>Art. złączny do produktu 912W09-990</v>
      </c>
      <c r="J2435" s="6" t="str">
        <f>_xlfn.CONCAT("VE-",Tabela10[[#This Row],[KOD_PRODUKTU]])</f>
        <v>VE-912W09-990</v>
      </c>
    </row>
    <row r="2436" spans="1:10" x14ac:dyDescent="0.25">
      <c r="A2436" s="7" t="s">
        <v>4933</v>
      </c>
      <c r="B2436" s="6" t="s">
        <v>4934</v>
      </c>
      <c r="C2436" s="7" t="s">
        <v>7</v>
      </c>
      <c r="D2436" s="6" t="s">
        <v>8</v>
      </c>
      <c r="E2436" s="6" t="s">
        <v>9</v>
      </c>
      <c r="F2436" s="6" t="s">
        <v>10</v>
      </c>
      <c r="G2436" s="6" t="s">
        <v>4534</v>
      </c>
      <c r="H2436" s="6">
        <v>41.17</v>
      </c>
      <c r="I2436" s="6" t="str">
        <f>_xlfn.CONCAT("Art. złączny do produktu ",Tabela10[[#This Row],[KOD_PRODUKTU]])</f>
        <v>Art. złączny do produktu 912W09-990</v>
      </c>
      <c r="J2436" s="6" t="str">
        <f>_xlfn.CONCAT("VE-",Tabela10[[#This Row],[KOD_PRODUKTU]])</f>
        <v>VE-912W09-990</v>
      </c>
    </row>
    <row r="2437" spans="1:10" x14ac:dyDescent="0.25">
      <c r="A2437" s="1" t="s">
        <v>4935</v>
      </c>
      <c r="B2437" t="s">
        <v>4936</v>
      </c>
      <c r="C2437" s="1" t="s">
        <v>1989</v>
      </c>
      <c r="D2437" t="s">
        <v>1990</v>
      </c>
      <c r="E2437" t="s">
        <v>1991</v>
      </c>
      <c r="F2437" t="s">
        <v>435</v>
      </c>
      <c r="G2437" t="s">
        <v>1191</v>
      </c>
      <c r="H2437">
        <v>0.51</v>
      </c>
      <c r="I2437" s="6" t="str">
        <f>_xlfn.CONCAT("Art. złączny do produktu ",Tabela10[[#This Row],[KOD_PRODUKTU]])</f>
        <v>Art. złączny do produktu 912W11-300</v>
      </c>
      <c r="J2437" s="6" t="str">
        <f>_xlfn.CONCAT("VE-",Tabela10[[#This Row],[KOD_PRODUKTU]])</f>
        <v>VE-912W11-300</v>
      </c>
    </row>
    <row r="2438" spans="1:10" x14ac:dyDescent="0.25">
      <c r="A2438" s="7" t="s">
        <v>4935</v>
      </c>
      <c r="B2438" s="6" t="s">
        <v>4936</v>
      </c>
      <c r="C2438" s="7" t="s">
        <v>7</v>
      </c>
      <c r="D2438" s="6" t="s">
        <v>8</v>
      </c>
      <c r="E2438" s="6" t="s">
        <v>9</v>
      </c>
      <c r="F2438" s="6" t="s">
        <v>10</v>
      </c>
      <c r="G2438" s="6" t="s">
        <v>4932</v>
      </c>
      <c r="H2438" s="6">
        <v>3.38</v>
      </c>
      <c r="I2438" s="6" t="str">
        <f>_xlfn.CONCAT("Art. złączny do produktu ",Tabela10[[#This Row],[KOD_PRODUKTU]])</f>
        <v>Art. złączny do produktu 912W11-300</v>
      </c>
      <c r="J2438" s="6" t="str">
        <f>_xlfn.CONCAT("VE-",Tabela10[[#This Row],[KOD_PRODUKTU]])</f>
        <v>VE-912W11-300</v>
      </c>
    </row>
    <row r="2439" spans="1:10" x14ac:dyDescent="0.25">
      <c r="A2439" s="1" t="s">
        <v>4937</v>
      </c>
      <c r="B2439" t="s">
        <v>4938</v>
      </c>
      <c r="C2439" s="1" t="s">
        <v>3333</v>
      </c>
      <c r="D2439" t="s">
        <v>3334</v>
      </c>
      <c r="E2439" t="s">
        <v>140</v>
      </c>
      <c r="F2439" t="s">
        <v>49</v>
      </c>
      <c r="G2439" t="s">
        <v>50</v>
      </c>
      <c r="H2439">
        <v>10.75</v>
      </c>
      <c r="I2439" s="6" t="str">
        <f>_xlfn.CONCAT("Art. złączny do produktu ",Tabela10[[#This Row],[KOD_PRODUKTU]])</f>
        <v>Art. złączny do produktu 912W13-990</v>
      </c>
      <c r="J2439" s="6" t="str">
        <f>_xlfn.CONCAT("VE-",Tabela10[[#This Row],[KOD_PRODUKTU]])</f>
        <v>VE-912W13-990</v>
      </c>
    </row>
    <row r="2440" spans="1:10" x14ac:dyDescent="0.25">
      <c r="A2440" s="7" t="s">
        <v>4937</v>
      </c>
      <c r="B2440" s="6" t="s">
        <v>4938</v>
      </c>
      <c r="C2440" s="7" t="s">
        <v>7</v>
      </c>
      <c r="D2440" s="6" t="s">
        <v>8</v>
      </c>
      <c r="E2440" s="6" t="s">
        <v>9</v>
      </c>
      <c r="F2440" s="6" t="s">
        <v>10</v>
      </c>
      <c r="G2440" s="6" t="s">
        <v>4939</v>
      </c>
      <c r="H2440" s="6">
        <v>40.71</v>
      </c>
      <c r="I2440" s="6" t="str">
        <f>_xlfn.CONCAT("Art. złączny do produktu ",Tabela10[[#This Row],[KOD_PRODUKTU]])</f>
        <v>Art. złączny do produktu 912W13-990</v>
      </c>
      <c r="J2440" s="6" t="str">
        <f>_xlfn.CONCAT("VE-",Tabela10[[#This Row],[KOD_PRODUKTU]])</f>
        <v>VE-912W13-990</v>
      </c>
    </row>
    <row r="2441" spans="1:10" x14ac:dyDescent="0.25">
      <c r="A2441" s="1" t="s">
        <v>4940</v>
      </c>
      <c r="B2441" t="s">
        <v>4941</v>
      </c>
      <c r="C2441" s="1" t="s">
        <v>1203</v>
      </c>
      <c r="D2441" t="s">
        <v>1204</v>
      </c>
      <c r="E2441" t="s">
        <v>216</v>
      </c>
      <c r="F2441" t="s">
        <v>5</v>
      </c>
      <c r="G2441" t="s">
        <v>367</v>
      </c>
      <c r="H2441">
        <v>0.35</v>
      </c>
      <c r="I2441" s="6" t="str">
        <f>_xlfn.CONCAT("Art. złączny do produktu ",Tabela10[[#This Row],[KOD_PRODUKTU]])</f>
        <v>Art. złączny do produktu 912W32-400</v>
      </c>
      <c r="J2441" s="6" t="str">
        <f>_xlfn.CONCAT("VE-",Tabela10[[#This Row],[KOD_PRODUKTU]])</f>
        <v>VE-912W32-400</v>
      </c>
    </row>
    <row r="2442" spans="1:10" x14ac:dyDescent="0.25">
      <c r="A2442" s="7" t="s">
        <v>4940</v>
      </c>
      <c r="B2442" s="6" t="s">
        <v>4941</v>
      </c>
      <c r="C2442" s="7" t="s">
        <v>541</v>
      </c>
      <c r="D2442" s="6" t="s">
        <v>542</v>
      </c>
      <c r="E2442" s="6" t="s">
        <v>9</v>
      </c>
      <c r="F2442" s="6" t="s">
        <v>10</v>
      </c>
      <c r="G2442" s="6" t="s">
        <v>19</v>
      </c>
      <c r="H2442" s="6">
        <v>4.5999999999999996</v>
      </c>
      <c r="I2442" s="6" t="str">
        <f>_xlfn.CONCAT("Art. złączny do produktu ",Tabela10[[#This Row],[KOD_PRODUKTU]])</f>
        <v>Art. złączny do produktu 912W32-400</v>
      </c>
      <c r="J2442" s="6" t="str">
        <f>_xlfn.CONCAT("VE-",Tabela10[[#This Row],[KOD_PRODUKTU]])</f>
        <v>VE-912W32-400</v>
      </c>
    </row>
    <row r="2443" spans="1:10" x14ac:dyDescent="0.25">
      <c r="A2443" s="1" t="s">
        <v>4942</v>
      </c>
      <c r="B2443" t="s">
        <v>4943</v>
      </c>
      <c r="C2443" s="1" t="s">
        <v>3506</v>
      </c>
      <c r="D2443" t="s">
        <v>3507</v>
      </c>
      <c r="E2443" t="s">
        <v>1394</v>
      </c>
      <c r="F2443" t="s">
        <v>5</v>
      </c>
      <c r="G2443" t="s">
        <v>4944</v>
      </c>
      <c r="H2443">
        <v>4.45</v>
      </c>
      <c r="I2443" s="6" t="str">
        <f>_xlfn.CONCAT("Art. złączny do produktu ",Tabela10[[#This Row],[KOD_PRODUKTU]])</f>
        <v>Art. złączny do produktu 913S03-200</v>
      </c>
      <c r="J2443" s="6" t="str">
        <f>_xlfn.CONCAT("VE-",Tabela10[[#This Row],[KOD_PRODUKTU]])</f>
        <v>VE-913S03-200</v>
      </c>
    </row>
    <row r="2444" spans="1:10" x14ac:dyDescent="0.25">
      <c r="A2444" s="7" t="s">
        <v>4942</v>
      </c>
      <c r="B2444" s="6" t="s">
        <v>4943</v>
      </c>
      <c r="C2444" s="7" t="s">
        <v>7</v>
      </c>
      <c r="D2444" s="6" t="s">
        <v>8</v>
      </c>
      <c r="E2444" s="6" t="s">
        <v>9</v>
      </c>
      <c r="F2444" s="6" t="s">
        <v>10</v>
      </c>
      <c r="G2444" s="6" t="s">
        <v>1649</v>
      </c>
      <c r="H2444" s="6">
        <v>9.65</v>
      </c>
      <c r="I2444" s="6" t="str">
        <f>_xlfn.CONCAT("Art. złączny do produktu ",Tabela10[[#This Row],[KOD_PRODUKTU]])</f>
        <v>Art. złączny do produktu 913S03-200</v>
      </c>
      <c r="J2444" s="6" t="str">
        <f>_xlfn.CONCAT("VE-",Tabela10[[#This Row],[KOD_PRODUKTU]])</f>
        <v>VE-913S03-200</v>
      </c>
    </row>
    <row r="2445" spans="1:10" x14ac:dyDescent="0.25">
      <c r="A2445" s="1" t="s">
        <v>4945</v>
      </c>
      <c r="B2445" t="s">
        <v>4946</v>
      </c>
      <c r="C2445" s="1" t="s">
        <v>4947</v>
      </c>
      <c r="D2445" t="s">
        <v>4948</v>
      </c>
      <c r="E2445" t="s">
        <v>117</v>
      </c>
      <c r="F2445" t="s">
        <v>5</v>
      </c>
      <c r="G2445" t="s">
        <v>1026</v>
      </c>
      <c r="H2445">
        <v>13</v>
      </c>
      <c r="I2445" s="6" t="str">
        <f>_xlfn.CONCAT("Art. złączny do produktu ",Tabela10[[#This Row],[KOD_PRODUKTU]])</f>
        <v>Art. złączny do produktu 913S03-210</v>
      </c>
      <c r="J2445" s="6" t="str">
        <f>_xlfn.CONCAT("VE-",Tabela10[[#This Row],[KOD_PRODUKTU]])</f>
        <v>VE-913S03-210</v>
      </c>
    </row>
    <row r="2446" spans="1:10" x14ac:dyDescent="0.25">
      <c r="A2446" s="7" t="s">
        <v>4945</v>
      </c>
      <c r="B2446" s="6" t="s">
        <v>4946</v>
      </c>
      <c r="C2446" s="7" t="s">
        <v>7</v>
      </c>
      <c r="D2446" s="6" t="s">
        <v>8</v>
      </c>
      <c r="E2446" s="6" t="s">
        <v>9</v>
      </c>
      <c r="F2446" s="6" t="s">
        <v>10</v>
      </c>
      <c r="G2446" s="6" t="s">
        <v>3822</v>
      </c>
      <c r="H2446" s="6">
        <v>7.2</v>
      </c>
      <c r="I2446" s="6" t="str">
        <f>_xlfn.CONCAT("Art. złączny do produktu ",Tabela10[[#This Row],[KOD_PRODUKTU]])</f>
        <v>Art. złączny do produktu 913S03-210</v>
      </c>
      <c r="J2446" s="6" t="str">
        <f>_xlfn.CONCAT("VE-",Tabela10[[#This Row],[KOD_PRODUKTU]])</f>
        <v>VE-913S03-210</v>
      </c>
    </row>
    <row r="2447" spans="1:10" x14ac:dyDescent="0.25">
      <c r="A2447" s="1" t="s">
        <v>4949</v>
      </c>
      <c r="B2447" t="s">
        <v>4950</v>
      </c>
      <c r="C2447" s="1" t="s">
        <v>4951</v>
      </c>
      <c r="D2447" t="s">
        <v>4952</v>
      </c>
      <c r="E2447" t="s">
        <v>1394</v>
      </c>
      <c r="F2447" t="s">
        <v>5</v>
      </c>
      <c r="G2447" t="s">
        <v>50</v>
      </c>
      <c r="H2447">
        <v>4</v>
      </c>
      <c r="I2447" s="6" t="str">
        <f>_xlfn.CONCAT("Art. złączny do produktu ",Tabela10[[#This Row],[KOD_PRODUKTU]])</f>
        <v>Art. złączny do produktu 913S03-220</v>
      </c>
      <c r="J2447" s="6" t="str">
        <f>_xlfn.CONCAT("VE-",Tabela10[[#This Row],[KOD_PRODUKTU]])</f>
        <v>VE-913S03-220</v>
      </c>
    </row>
    <row r="2448" spans="1:10" x14ac:dyDescent="0.25">
      <c r="A2448" s="7" t="s">
        <v>4949</v>
      </c>
      <c r="B2448" s="6" t="s">
        <v>4950</v>
      </c>
      <c r="C2448" s="7" t="s">
        <v>7</v>
      </c>
      <c r="D2448" s="6" t="s">
        <v>8</v>
      </c>
      <c r="E2448" s="6" t="s">
        <v>9</v>
      </c>
      <c r="F2448" s="6" t="s">
        <v>10</v>
      </c>
      <c r="G2448" s="6" t="s">
        <v>3822</v>
      </c>
      <c r="H2448" s="6">
        <v>7.2</v>
      </c>
      <c r="I2448" s="6" t="str">
        <f>_xlfn.CONCAT("Art. złączny do produktu ",Tabela10[[#This Row],[KOD_PRODUKTU]])</f>
        <v>Art. złączny do produktu 913S03-220</v>
      </c>
      <c r="J2448" s="6" t="str">
        <f>_xlfn.CONCAT("VE-",Tabela10[[#This Row],[KOD_PRODUKTU]])</f>
        <v>VE-913S03-220</v>
      </c>
    </row>
    <row r="2449" spans="1:10" x14ac:dyDescent="0.25">
      <c r="A2449" s="1" t="s">
        <v>4953</v>
      </c>
      <c r="B2449" t="s">
        <v>4954</v>
      </c>
      <c r="C2449" s="1" t="s">
        <v>1203</v>
      </c>
      <c r="D2449" t="s">
        <v>1204</v>
      </c>
      <c r="E2449" t="s">
        <v>216</v>
      </c>
      <c r="F2449" t="s">
        <v>5</v>
      </c>
      <c r="G2449" t="s">
        <v>33</v>
      </c>
      <c r="H2449">
        <v>1.4</v>
      </c>
      <c r="I2449" s="6" t="str">
        <f>_xlfn.CONCAT("Art. złączny do produktu ",Tabela10[[#This Row],[KOD_PRODUKTU]])</f>
        <v>Art. złączny do produktu 913S03-230</v>
      </c>
      <c r="J2449" s="6" t="str">
        <f>_xlfn.CONCAT("VE-",Tabela10[[#This Row],[KOD_PRODUKTU]])</f>
        <v>VE-913S03-230</v>
      </c>
    </row>
    <row r="2450" spans="1:10" x14ac:dyDescent="0.25">
      <c r="A2450" s="7" t="s">
        <v>4953</v>
      </c>
      <c r="B2450" s="6" t="s">
        <v>4954</v>
      </c>
      <c r="C2450" s="7" t="s">
        <v>7</v>
      </c>
      <c r="D2450" s="6" t="s">
        <v>8</v>
      </c>
      <c r="E2450" s="6" t="s">
        <v>9</v>
      </c>
      <c r="F2450" s="6" t="s">
        <v>10</v>
      </c>
      <c r="G2450" s="6" t="s">
        <v>1733</v>
      </c>
      <c r="H2450" s="6">
        <v>2.5</v>
      </c>
      <c r="I2450" s="6" t="str">
        <f>_xlfn.CONCAT("Art. złączny do produktu ",Tabela10[[#This Row],[KOD_PRODUKTU]])</f>
        <v>Art. złączny do produktu 913S03-230</v>
      </c>
      <c r="J2450" s="6" t="str">
        <f>_xlfn.CONCAT("VE-",Tabela10[[#This Row],[KOD_PRODUKTU]])</f>
        <v>VE-913S03-230</v>
      </c>
    </row>
    <row r="2451" spans="1:10" x14ac:dyDescent="0.25">
      <c r="A2451" s="1" t="s">
        <v>4955</v>
      </c>
      <c r="B2451" t="s">
        <v>4956</v>
      </c>
      <c r="C2451" s="1" t="s">
        <v>2961</v>
      </c>
      <c r="D2451" t="s">
        <v>2962</v>
      </c>
      <c r="E2451" t="s">
        <v>4430</v>
      </c>
      <c r="F2451" t="s">
        <v>5</v>
      </c>
      <c r="G2451" t="s">
        <v>4957</v>
      </c>
      <c r="H2451">
        <v>0.55000000000000004</v>
      </c>
      <c r="I2451" s="6" t="str">
        <f>_xlfn.CONCAT("Art. złączny do produktu ",Tabela10[[#This Row],[KOD_PRODUKTU]])</f>
        <v>Art. złączny do produktu 913S03-240</v>
      </c>
      <c r="J2451" s="6" t="str">
        <f>_xlfn.CONCAT("VE-",Tabela10[[#This Row],[KOD_PRODUKTU]])</f>
        <v>VE-913S03-240</v>
      </c>
    </row>
    <row r="2452" spans="1:10" x14ac:dyDescent="0.25">
      <c r="A2452" s="7" t="s">
        <v>4955</v>
      </c>
      <c r="B2452" s="6" t="s">
        <v>4956</v>
      </c>
      <c r="C2452" s="7" t="s">
        <v>7</v>
      </c>
      <c r="D2452" s="6" t="s">
        <v>8</v>
      </c>
      <c r="E2452" s="6" t="s">
        <v>9</v>
      </c>
      <c r="F2452" s="6" t="s">
        <v>10</v>
      </c>
      <c r="G2452" s="6" t="s">
        <v>1791</v>
      </c>
      <c r="H2452" s="6">
        <v>2.4500000000000002</v>
      </c>
      <c r="I2452" s="6" t="str">
        <f>_xlfn.CONCAT("Art. złączny do produktu ",Tabela10[[#This Row],[KOD_PRODUKTU]])</f>
        <v>Art. złączny do produktu 913S03-240</v>
      </c>
      <c r="J2452" s="6" t="str">
        <f>_xlfn.CONCAT("VE-",Tabela10[[#This Row],[KOD_PRODUKTU]])</f>
        <v>VE-913S03-240</v>
      </c>
    </row>
    <row r="2453" spans="1:10" x14ac:dyDescent="0.25">
      <c r="A2453" s="1" t="s">
        <v>4958</v>
      </c>
      <c r="B2453" t="s">
        <v>4959</v>
      </c>
      <c r="C2453" s="1" t="s">
        <v>3063</v>
      </c>
      <c r="D2453" t="s">
        <v>3064</v>
      </c>
      <c r="E2453" t="s">
        <v>1017</v>
      </c>
      <c r="F2453" t="s">
        <v>5</v>
      </c>
      <c r="G2453" t="s">
        <v>4960</v>
      </c>
      <c r="H2453">
        <v>1.95</v>
      </c>
      <c r="I2453" s="6" t="str">
        <f>_xlfn.CONCAT("Art. złączny do produktu ",Tabela10[[#This Row],[KOD_PRODUKTU]])</f>
        <v>Art. złączny do produktu 913S08-500</v>
      </c>
      <c r="J2453" s="6" t="str">
        <f>_xlfn.CONCAT("VE-",Tabela10[[#This Row],[KOD_PRODUKTU]])</f>
        <v>VE-913S08-500</v>
      </c>
    </row>
    <row r="2454" spans="1:10" x14ac:dyDescent="0.25">
      <c r="A2454" s="7" t="s">
        <v>4958</v>
      </c>
      <c r="B2454" s="6" t="s">
        <v>4959</v>
      </c>
      <c r="C2454" s="7" t="s">
        <v>7</v>
      </c>
      <c r="D2454" s="6" t="s">
        <v>8</v>
      </c>
      <c r="E2454" s="6" t="s">
        <v>9</v>
      </c>
      <c r="F2454" s="6" t="s">
        <v>10</v>
      </c>
      <c r="G2454" s="6" t="s">
        <v>33</v>
      </c>
      <c r="H2454" s="6">
        <v>9.1999999999999993</v>
      </c>
      <c r="I2454" s="6" t="str">
        <f>_xlfn.CONCAT("Art. złączny do produktu ",Tabela10[[#This Row],[KOD_PRODUKTU]])</f>
        <v>Art. złączny do produktu 913S08-500</v>
      </c>
      <c r="J2454" s="6" t="str">
        <f>_xlfn.CONCAT("VE-",Tabela10[[#This Row],[KOD_PRODUKTU]])</f>
        <v>VE-913S08-500</v>
      </c>
    </row>
    <row r="2455" spans="1:10" x14ac:dyDescent="0.25">
      <c r="A2455" s="1" t="s">
        <v>4961</v>
      </c>
      <c r="B2455" t="s">
        <v>4962</v>
      </c>
      <c r="C2455" s="1" t="s">
        <v>4963</v>
      </c>
      <c r="D2455" t="s">
        <v>4964</v>
      </c>
      <c r="E2455" t="s">
        <v>666</v>
      </c>
      <c r="F2455" t="s">
        <v>5</v>
      </c>
      <c r="G2455" t="s">
        <v>605</v>
      </c>
      <c r="H2455">
        <v>0.7</v>
      </c>
      <c r="I2455" s="6" t="str">
        <f>_xlfn.CONCAT("Art. złączny do produktu ",Tabela10[[#This Row],[KOD_PRODUKTU]])</f>
        <v>Art. złączny do produktu 913S08-550</v>
      </c>
      <c r="J2455" s="6" t="str">
        <f>_xlfn.CONCAT("VE-",Tabela10[[#This Row],[KOD_PRODUKTU]])</f>
        <v>VE-913S08-550</v>
      </c>
    </row>
    <row r="2456" spans="1:10" x14ac:dyDescent="0.25">
      <c r="A2456" s="7" t="s">
        <v>4961</v>
      </c>
      <c r="B2456" s="6" t="s">
        <v>4962</v>
      </c>
      <c r="C2456" s="7" t="s">
        <v>7</v>
      </c>
      <c r="D2456" s="6" t="s">
        <v>8</v>
      </c>
      <c r="E2456" s="6" t="s">
        <v>9</v>
      </c>
      <c r="F2456" s="6" t="s">
        <v>10</v>
      </c>
      <c r="G2456" s="6" t="s">
        <v>33</v>
      </c>
      <c r="H2456" s="6">
        <v>9.1999999999999993</v>
      </c>
      <c r="I2456" s="6" t="str">
        <f>_xlfn.CONCAT("Art. złączny do produktu ",Tabela10[[#This Row],[KOD_PRODUKTU]])</f>
        <v>Art. złączny do produktu 913S08-550</v>
      </c>
      <c r="J2456" s="6" t="str">
        <f>_xlfn.CONCAT("VE-",Tabela10[[#This Row],[KOD_PRODUKTU]])</f>
        <v>VE-913S08-550</v>
      </c>
    </row>
    <row r="2457" spans="1:10" x14ac:dyDescent="0.25">
      <c r="A2457" s="1" t="s">
        <v>4985</v>
      </c>
      <c r="B2457" t="s">
        <v>4986</v>
      </c>
      <c r="C2457" s="1" t="s">
        <v>3715</v>
      </c>
      <c r="D2457" t="s">
        <v>3716</v>
      </c>
      <c r="E2457" t="s">
        <v>3189</v>
      </c>
      <c r="F2457" t="s">
        <v>2378</v>
      </c>
      <c r="G2457" t="s">
        <v>1141</v>
      </c>
      <c r="H2457">
        <v>4.5</v>
      </c>
      <c r="I2457" s="6" t="str">
        <f>_xlfn.CONCAT("Art. złączny do produktu ",Tabela10[[#This Row],[KOD_PRODUKTU]])</f>
        <v>Art. złączny do produktu 915S01-200</v>
      </c>
      <c r="J2457" s="6" t="str">
        <f>_xlfn.CONCAT("VE-",Tabela10[[#This Row],[KOD_PRODUKTU]])</f>
        <v>VE-915S01-200</v>
      </c>
    </row>
    <row r="2458" spans="1:10" x14ac:dyDescent="0.25">
      <c r="A2458" s="7" t="s">
        <v>4985</v>
      </c>
      <c r="B2458" s="6" t="s">
        <v>4986</v>
      </c>
      <c r="C2458" s="7" t="s">
        <v>541</v>
      </c>
      <c r="D2458" s="6" t="s">
        <v>542</v>
      </c>
      <c r="E2458" s="6" t="s">
        <v>9</v>
      </c>
      <c r="F2458" s="6" t="s">
        <v>10</v>
      </c>
      <c r="G2458" s="6" t="s">
        <v>4987</v>
      </c>
      <c r="H2458" s="6">
        <v>3.55</v>
      </c>
      <c r="I2458" s="6" t="str">
        <f>_xlfn.CONCAT("Art. złączny do produktu ",Tabela10[[#This Row],[KOD_PRODUKTU]])</f>
        <v>Art. złączny do produktu 915S01-200</v>
      </c>
      <c r="J2458" s="6" t="str">
        <f>_xlfn.CONCAT("VE-",Tabela10[[#This Row],[KOD_PRODUKTU]])</f>
        <v>VE-915S01-200</v>
      </c>
    </row>
    <row r="2459" spans="1:10" x14ac:dyDescent="0.25">
      <c r="A2459" s="1" t="s">
        <v>4988</v>
      </c>
      <c r="B2459" t="s">
        <v>4989</v>
      </c>
      <c r="C2459" s="1" t="s">
        <v>2182</v>
      </c>
      <c r="D2459" t="s">
        <v>2183</v>
      </c>
      <c r="E2459" t="s">
        <v>2184</v>
      </c>
      <c r="F2459" t="s">
        <v>121</v>
      </c>
      <c r="G2459" t="s">
        <v>50</v>
      </c>
      <c r="H2459">
        <v>2.86</v>
      </c>
      <c r="I2459" s="6" t="str">
        <f>_xlfn.CONCAT("Art. złączny do produktu ",Tabela10[[#This Row],[KOD_PRODUKTU]])</f>
        <v>Art. złączny do produktu 915S01-400</v>
      </c>
      <c r="J2459" s="6" t="str">
        <f>_xlfn.CONCAT("VE-",Tabela10[[#This Row],[KOD_PRODUKTU]])</f>
        <v>VE-915S01-400</v>
      </c>
    </row>
    <row r="2460" spans="1:10" x14ac:dyDescent="0.25">
      <c r="A2460" s="7" t="s">
        <v>4988</v>
      </c>
      <c r="B2460" s="6" t="s">
        <v>4989</v>
      </c>
      <c r="C2460" s="7" t="s">
        <v>541</v>
      </c>
      <c r="D2460" s="6" t="s">
        <v>542</v>
      </c>
      <c r="E2460" s="6" t="s">
        <v>9</v>
      </c>
      <c r="F2460" s="6" t="s">
        <v>10</v>
      </c>
      <c r="G2460" s="6" t="s">
        <v>367</v>
      </c>
      <c r="H2460" s="6">
        <v>2.2999999999999998</v>
      </c>
      <c r="I2460" s="6" t="str">
        <f>_xlfn.CONCAT("Art. złączny do produktu ",Tabela10[[#This Row],[KOD_PRODUKTU]])</f>
        <v>Art. złączny do produktu 915S01-400</v>
      </c>
      <c r="J2460" s="6" t="str">
        <f>_xlfn.CONCAT("VE-",Tabela10[[#This Row],[KOD_PRODUKTU]])</f>
        <v>VE-915S01-400</v>
      </c>
    </row>
    <row r="2461" spans="1:10" x14ac:dyDescent="0.25">
      <c r="A2461" s="1" t="s">
        <v>4990</v>
      </c>
      <c r="B2461" t="s">
        <v>4991</v>
      </c>
      <c r="C2461" s="1" t="s">
        <v>4992</v>
      </c>
      <c r="D2461" t="s">
        <v>4991</v>
      </c>
      <c r="E2461" t="s">
        <v>4993</v>
      </c>
      <c r="F2461" t="s">
        <v>49</v>
      </c>
      <c r="G2461" t="s">
        <v>50</v>
      </c>
      <c r="H2461">
        <v>84.5</v>
      </c>
      <c r="I2461" s="6" t="str">
        <f>_xlfn.CONCAT("Art. złączny do produktu ",Tabela10[[#This Row],[KOD_PRODUKTU]])</f>
        <v>Art. złączny do produktu 915S01-720</v>
      </c>
      <c r="J2461" s="6" t="str">
        <f>_xlfn.CONCAT("VE-",Tabela10[[#This Row],[KOD_PRODUKTU]])</f>
        <v>VE-915S01-720</v>
      </c>
    </row>
    <row r="2462" spans="1:10" x14ac:dyDescent="0.25">
      <c r="A2462" s="7" t="s">
        <v>4990</v>
      </c>
      <c r="B2462" s="6" t="s">
        <v>4991</v>
      </c>
      <c r="C2462" s="7" t="s">
        <v>541</v>
      </c>
      <c r="D2462" s="6" t="s">
        <v>542</v>
      </c>
      <c r="E2462" s="6" t="s">
        <v>9</v>
      </c>
      <c r="F2462" s="6" t="s">
        <v>10</v>
      </c>
      <c r="G2462" s="6" t="s">
        <v>4994</v>
      </c>
      <c r="H2462" s="6">
        <v>4.13</v>
      </c>
      <c r="I2462" s="6" t="str">
        <f>_xlfn.CONCAT("Art. złączny do produktu ",Tabela10[[#This Row],[KOD_PRODUKTU]])</f>
        <v>Art. złączny do produktu 915S01-720</v>
      </c>
      <c r="J2462" s="6" t="str">
        <f>_xlfn.CONCAT("VE-",Tabela10[[#This Row],[KOD_PRODUKTU]])</f>
        <v>VE-915S01-720</v>
      </c>
    </row>
    <row r="2463" spans="1:10" x14ac:dyDescent="0.25">
      <c r="A2463" s="1" t="s">
        <v>4995</v>
      </c>
      <c r="B2463" t="s">
        <v>4996</v>
      </c>
      <c r="C2463" s="1" t="s">
        <v>3317</v>
      </c>
      <c r="D2463" t="s">
        <v>3318</v>
      </c>
      <c r="E2463" t="s">
        <v>1017</v>
      </c>
      <c r="F2463" t="s">
        <v>5</v>
      </c>
      <c r="G2463" t="s">
        <v>4997</v>
      </c>
      <c r="H2463">
        <v>0.95</v>
      </c>
      <c r="I2463" s="6" t="str">
        <f>_xlfn.CONCAT("Art. złączny do produktu ",Tabela10[[#This Row],[KOD_PRODUKTU]])</f>
        <v>Art. złączny do produktu 918P01-100</v>
      </c>
      <c r="J2463" s="6" t="str">
        <f>_xlfn.CONCAT("VE-",Tabela10[[#This Row],[KOD_PRODUKTU]])</f>
        <v>VE-918P01-100</v>
      </c>
    </row>
    <row r="2464" spans="1:10" x14ac:dyDescent="0.25">
      <c r="A2464" s="7" t="s">
        <v>4995</v>
      </c>
      <c r="B2464" s="6" t="s">
        <v>4996</v>
      </c>
      <c r="C2464" s="7" t="s">
        <v>7</v>
      </c>
      <c r="D2464" s="6" t="s">
        <v>8</v>
      </c>
      <c r="E2464" s="6" t="s">
        <v>9</v>
      </c>
      <c r="F2464" s="6" t="s">
        <v>10</v>
      </c>
      <c r="G2464" s="6" t="s">
        <v>4998</v>
      </c>
      <c r="H2464" s="6">
        <v>2.77</v>
      </c>
      <c r="I2464" s="6" t="str">
        <f>_xlfn.CONCAT("Art. złączny do produktu ",Tabela10[[#This Row],[KOD_PRODUKTU]])</f>
        <v>Art. złączny do produktu 918P01-100</v>
      </c>
      <c r="J2464" s="6" t="str">
        <f>_xlfn.CONCAT("VE-",Tabela10[[#This Row],[KOD_PRODUKTU]])</f>
        <v>VE-918P01-100</v>
      </c>
    </row>
    <row r="2465" spans="1:10" x14ac:dyDescent="0.25">
      <c r="A2465" s="1" t="s">
        <v>4999</v>
      </c>
      <c r="B2465" t="s">
        <v>5000</v>
      </c>
      <c r="C2465" s="1" t="s">
        <v>5001</v>
      </c>
      <c r="D2465" t="s">
        <v>5002</v>
      </c>
      <c r="E2465" t="s">
        <v>104</v>
      </c>
      <c r="F2465" t="s">
        <v>121</v>
      </c>
      <c r="G2465" t="s">
        <v>2002</v>
      </c>
      <c r="H2465">
        <v>0</v>
      </c>
      <c r="I2465" s="6" t="str">
        <f>_xlfn.CONCAT("Art. złączny do produktu ",Tabela10[[#This Row],[KOD_PRODUKTU]])</f>
        <v>Art. złączny do produktu 918S01-111</v>
      </c>
      <c r="J2465" s="6" t="str">
        <f>_xlfn.CONCAT("VE-",Tabela10[[#This Row],[KOD_PRODUKTU]])</f>
        <v>VE-918S01-111</v>
      </c>
    </row>
    <row r="2466" spans="1:10" x14ac:dyDescent="0.25">
      <c r="A2466" s="7" t="s">
        <v>4999</v>
      </c>
      <c r="B2466" s="6" t="s">
        <v>5000</v>
      </c>
      <c r="C2466" s="7" t="s">
        <v>688</v>
      </c>
      <c r="D2466" s="6" t="s">
        <v>810</v>
      </c>
      <c r="E2466" s="6" t="s">
        <v>811</v>
      </c>
      <c r="F2466" s="6" t="s">
        <v>10</v>
      </c>
      <c r="G2466" s="6" t="s">
        <v>1225</v>
      </c>
      <c r="H2466" s="6">
        <v>6.93</v>
      </c>
      <c r="I2466" s="6" t="str">
        <f>_xlfn.CONCAT("Art. złączny do produktu ",Tabela10[[#This Row],[KOD_PRODUKTU]])</f>
        <v>Art. złączny do produktu 918S01-111</v>
      </c>
      <c r="J2466" s="6" t="str">
        <f>_xlfn.CONCAT("VE-",Tabela10[[#This Row],[KOD_PRODUKTU]])</f>
        <v>VE-918S01-111</v>
      </c>
    </row>
    <row r="2467" spans="1:10" x14ac:dyDescent="0.25">
      <c r="A2467" s="1" t="s">
        <v>5006</v>
      </c>
      <c r="B2467" t="s">
        <v>5007</v>
      </c>
      <c r="C2467" s="1" t="s">
        <v>1487</v>
      </c>
      <c r="D2467" t="s">
        <v>1488</v>
      </c>
      <c r="E2467" t="s">
        <v>31</v>
      </c>
      <c r="F2467" t="s">
        <v>5</v>
      </c>
      <c r="G2467" t="s">
        <v>4004</v>
      </c>
      <c r="H2467">
        <v>0.65</v>
      </c>
      <c r="I2467" s="6" t="str">
        <f>_xlfn.CONCAT("Art. złączny do produktu ",Tabela10[[#This Row],[KOD_PRODUKTU]])</f>
        <v>Art. złączny do produktu 918S14-410</v>
      </c>
      <c r="J2467" s="6" t="str">
        <f>_xlfn.CONCAT("VE-",Tabela10[[#This Row],[KOD_PRODUKTU]])</f>
        <v>VE-918S14-410</v>
      </c>
    </row>
    <row r="2468" spans="1:10" x14ac:dyDescent="0.25">
      <c r="A2468" s="7" t="s">
        <v>5006</v>
      </c>
      <c r="B2468" s="6" t="s">
        <v>5007</v>
      </c>
      <c r="C2468" s="7" t="s">
        <v>541</v>
      </c>
      <c r="D2468" s="6" t="s">
        <v>542</v>
      </c>
      <c r="E2468" s="6" t="s">
        <v>9</v>
      </c>
      <c r="F2468" s="6" t="s">
        <v>10</v>
      </c>
      <c r="G2468" s="6" t="s">
        <v>367</v>
      </c>
      <c r="H2468" s="6">
        <v>2.2999999999999998</v>
      </c>
      <c r="I2468" s="6" t="str">
        <f>_xlfn.CONCAT("Art. złączny do produktu ",Tabela10[[#This Row],[KOD_PRODUKTU]])</f>
        <v>Art. złączny do produktu 918S14-410</v>
      </c>
      <c r="J2468" s="6" t="str">
        <f>_xlfn.CONCAT("VE-",Tabela10[[#This Row],[KOD_PRODUKTU]])</f>
        <v>VE-918S14-410</v>
      </c>
    </row>
    <row r="2469" spans="1:10" x14ac:dyDescent="0.25">
      <c r="A2469" s="1" t="s">
        <v>5010</v>
      </c>
      <c r="B2469" t="s">
        <v>5011</v>
      </c>
      <c r="C2469" s="1" t="s">
        <v>432</v>
      </c>
      <c r="D2469" t="s">
        <v>433</v>
      </c>
      <c r="E2469" t="s">
        <v>434</v>
      </c>
      <c r="F2469" t="s">
        <v>435</v>
      </c>
      <c r="G2469" t="s">
        <v>50</v>
      </c>
      <c r="H2469">
        <v>1.1000000000000001</v>
      </c>
      <c r="I2469" s="6" t="str">
        <f>_xlfn.CONCAT("Art. złączny do produktu ",Tabela10[[#This Row],[KOD_PRODUKTU]])</f>
        <v>Art. złączny do produktu 919S01-200</v>
      </c>
      <c r="J2469" s="6" t="str">
        <f>_xlfn.CONCAT("VE-",Tabela10[[#This Row],[KOD_PRODUKTU]])</f>
        <v>VE-919S01-200</v>
      </c>
    </row>
    <row r="2470" spans="1:10" x14ac:dyDescent="0.25">
      <c r="A2470" s="7" t="s">
        <v>5010</v>
      </c>
      <c r="B2470" s="6" t="s">
        <v>5011</v>
      </c>
      <c r="C2470" s="7" t="s">
        <v>7</v>
      </c>
      <c r="D2470" s="6" t="s">
        <v>8</v>
      </c>
      <c r="E2470" s="6" t="s">
        <v>9</v>
      </c>
      <c r="F2470" s="6" t="s">
        <v>10</v>
      </c>
      <c r="G2470" s="6" t="s">
        <v>25</v>
      </c>
      <c r="H2470" s="6">
        <v>2.76</v>
      </c>
      <c r="I2470" s="6" t="str">
        <f>_xlfn.CONCAT("Art. złączny do produktu ",Tabela10[[#This Row],[KOD_PRODUKTU]])</f>
        <v>Art. złączny do produktu 919S01-200</v>
      </c>
      <c r="J2470" s="6" t="str">
        <f>_xlfn.CONCAT("VE-",Tabela10[[#This Row],[KOD_PRODUKTU]])</f>
        <v>VE-919S01-200</v>
      </c>
    </row>
    <row r="2471" spans="1:10" x14ac:dyDescent="0.25">
      <c r="A2471" s="1" t="s">
        <v>5018</v>
      </c>
      <c r="B2471" t="s">
        <v>5019</v>
      </c>
      <c r="C2471" s="1" t="s">
        <v>5020</v>
      </c>
      <c r="D2471" t="s">
        <v>5021</v>
      </c>
      <c r="E2471" t="s">
        <v>216</v>
      </c>
      <c r="F2471" t="s">
        <v>5</v>
      </c>
      <c r="G2471" t="s">
        <v>5022</v>
      </c>
      <c r="H2471">
        <v>0.05</v>
      </c>
      <c r="I2471" s="6" t="str">
        <f>_xlfn.CONCAT("Art. złączny do produktu ",Tabela10[[#This Row],[KOD_PRODUKTU]])</f>
        <v>Art. złączny do produktu 919S09-300</v>
      </c>
      <c r="J2471" s="6" t="str">
        <f>_xlfn.CONCAT("VE-",Tabela10[[#This Row],[KOD_PRODUKTU]])</f>
        <v>VE-919S09-300</v>
      </c>
    </row>
    <row r="2472" spans="1:10" x14ac:dyDescent="0.25">
      <c r="A2472" s="7" t="s">
        <v>5018</v>
      </c>
      <c r="B2472" s="6" t="s">
        <v>5019</v>
      </c>
      <c r="C2472" s="7" t="s">
        <v>7</v>
      </c>
      <c r="D2472" s="6" t="s">
        <v>8</v>
      </c>
      <c r="E2472" s="6" t="s">
        <v>9</v>
      </c>
      <c r="F2472" s="6" t="s">
        <v>10</v>
      </c>
      <c r="G2472" s="6" t="s">
        <v>5023</v>
      </c>
      <c r="H2472" s="6">
        <v>3.42</v>
      </c>
      <c r="I2472" s="6" t="str">
        <f>_xlfn.CONCAT("Art. złączny do produktu ",Tabela10[[#This Row],[KOD_PRODUKTU]])</f>
        <v>Art. złączny do produktu 919S09-300</v>
      </c>
      <c r="J2472" s="6" t="str">
        <f>_xlfn.CONCAT("VE-",Tabela10[[#This Row],[KOD_PRODUKTU]])</f>
        <v>VE-919S09-300</v>
      </c>
    </row>
    <row r="2473" spans="1:10" x14ac:dyDescent="0.25">
      <c r="A2473" s="1" t="s">
        <v>5024</v>
      </c>
      <c r="B2473" t="s">
        <v>5025</v>
      </c>
      <c r="C2473" s="1" t="s">
        <v>5026</v>
      </c>
      <c r="D2473" t="s">
        <v>5027</v>
      </c>
      <c r="E2473" t="s">
        <v>1892</v>
      </c>
      <c r="F2473" t="s">
        <v>17</v>
      </c>
      <c r="G2473" t="s">
        <v>5028</v>
      </c>
      <c r="H2473">
        <v>1.55</v>
      </c>
      <c r="I2473" s="6" t="str">
        <f>_xlfn.CONCAT("Art. złączny do produktu ",Tabela10[[#This Row],[KOD_PRODUKTU]])</f>
        <v>Art. złączny do produktu 919S09-400</v>
      </c>
      <c r="J2473" s="6" t="str">
        <f>_xlfn.CONCAT("VE-",Tabela10[[#This Row],[KOD_PRODUKTU]])</f>
        <v>VE-919S09-400</v>
      </c>
    </row>
    <row r="2474" spans="1:10" x14ac:dyDescent="0.25">
      <c r="A2474" s="7" t="s">
        <v>5024</v>
      </c>
      <c r="B2474" s="6" t="s">
        <v>5025</v>
      </c>
      <c r="C2474" s="7" t="s">
        <v>7</v>
      </c>
      <c r="D2474" s="6" t="s">
        <v>8</v>
      </c>
      <c r="E2474" s="6" t="s">
        <v>9</v>
      </c>
      <c r="F2474" s="6" t="s">
        <v>10</v>
      </c>
      <c r="G2474" s="6" t="s">
        <v>2796</v>
      </c>
      <c r="H2474" s="6">
        <v>2.5299999999999998</v>
      </c>
      <c r="I2474" s="6" t="str">
        <f>_xlfn.CONCAT("Art. złączny do produktu ",Tabela10[[#This Row],[KOD_PRODUKTU]])</f>
        <v>Art. złączny do produktu 919S09-400</v>
      </c>
      <c r="J2474" s="6" t="str">
        <f>_xlfn.CONCAT("VE-",Tabela10[[#This Row],[KOD_PRODUKTU]])</f>
        <v>VE-919S09-400</v>
      </c>
    </row>
    <row r="2475" spans="1:10" x14ac:dyDescent="0.25">
      <c r="A2475" s="1" t="s">
        <v>5029</v>
      </c>
      <c r="B2475" t="s">
        <v>5030</v>
      </c>
      <c r="C2475" s="1" t="s">
        <v>3828</v>
      </c>
      <c r="D2475" t="s">
        <v>3829</v>
      </c>
      <c r="E2475" t="s">
        <v>87</v>
      </c>
      <c r="F2475" t="s">
        <v>5</v>
      </c>
      <c r="G2475" t="s">
        <v>5031</v>
      </c>
      <c r="H2475">
        <v>0.3</v>
      </c>
      <c r="I2475" s="6" t="str">
        <f>_xlfn.CONCAT("Art. złączny do produktu ",Tabela10[[#This Row],[KOD_PRODUKTU]])</f>
        <v>Art. złączny do produktu 919S09-500</v>
      </c>
      <c r="J2475" s="6" t="str">
        <f>_xlfn.CONCAT("VE-",Tabela10[[#This Row],[KOD_PRODUKTU]])</f>
        <v>VE-919S09-500</v>
      </c>
    </row>
    <row r="2476" spans="1:10" x14ac:dyDescent="0.25">
      <c r="A2476" s="7" t="s">
        <v>5029</v>
      </c>
      <c r="B2476" s="6" t="s">
        <v>5030</v>
      </c>
      <c r="C2476" s="7" t="s">
        <v>7</v>
      </c>
      <c r="D2476" s="6" t="s">
        <v>8</v>
      </c>
      <c r="E2476" s="6" t="s">
        <v>9</v>
      </c>
      <c r="F2476" s="6" t="s">
        <v>10</v>
      </c>
      <c r="G2476" s="6" t="s">
        <v>1469</v>
      </c>
      <c r="H2476" s="6">
        <v>7.25</v>
      </c>
      <c r="I2476" s="6" t="str">
        <f>_xlfn.CONCAT("Art. złączny do produktu ",Tabela10[[#This Row],[KOD_PRODUKTU]])</f>
        <v>Art. złączny do produktu 919S09-500</v>
      </c>
      <c r="J2476" s="6" t="str">
        <f>_xlfn.CONCAT("VE-",Tabela10[[#This Row],[KOD_PRODUKTU]])</f>
        <v>VE-919S09-500</v>
      </c>
    </row>
    <row r="2477" spans="1:10" x14ac:dyDescent="0.25">
      <c r="A2477" s="1" t="s">
        <v>5032</v>
      </c>
      <c r="B2477" t="s">
        <v>5033</v>
      </c>
      <c r="C2477" s="1" t="s">
        <v>432</v>
      </c>
      <c r="D2477" t="s">
        <v>433</v>
      </c>
      <c r="E2477" t="s">
        <v>434</v>
      </c>
      <c r="F2477" t="s">
        <v>435</v>
      </c>
      <c r="G2477" t="s">
        <v>50</v>
      </c>
      <c r="H2477">
        <v>1.1000000000000001</v>
      </c>
      <c r="I2477" s="6" t="str">
        <f>_xlfn.CONCAT("Art. złączny do produktu ",Tabela10[[#This Row],[KOD_PRODUKTU]])</f>
        <v>Art. złączny do produktu 919S13-200</v>
      </c>
      <c r="J2477" s="6" t="str">
        <f>_xlfn.CONCAT("VE-",Tabela10[[#This Row],[KOD_PRODUKTU]])</f>
        <v>VE-919S13-200</v>
      </c>
    </row>
    <row r="2478" spans="1:10" x14ac:dyDescent="0.25">
      <c r="A2478" s="7" t="s">
        <v>5032</v>
      </c>
      <c r="B2478" s="6" t="s">
        <v>5033</v>
      </c>
      <c r="C2478" s="7" t="s">
        <v>7</v>
      </c>
      <c r="D2478" s="6" t="s">
        <v>8</v>
      </c>
      <c r="E2478" s="6" t="s">
        <v>9</v>
      </c>
      <c r="F2478" s="6" t="s">
        <v>10</v>
      </c>
      <c r="G2478" s="6" t="s">
        <v>5034</v>
      </c>
      <c r="H2478" s="6">
        <v>2.93</v>
      </c>
      <c r="I2478" s="6" t="str">
        <f>_xlfn.CONCAT("Art. złączny do produktu ",Tabela10[[#This Row],[KOD_PRODUKTU]])</f>
        <v>Art. złączny do produktu 919S13-200</v>
      </c>
      <c r="J2478" s="6" t="str">
        <f>_xlfn.CONCAT("VE-",Tabela10[[#This Row],[KOD_PRODUKTU]])</f>
        <v>VE-919S13-200</v>
      </c>
    </row>
    <row r="2479" spans="1:10" x14ac:dyDescent="0.25">
      <c r="A2479" s="1" t="s">
        <v>5036</v>
      </c>
      <c r="B2479" t="s">
        <v>5037</v>
      </c>
      <c r="C2479" s="1" t="s">
        <v>432</v>
      </c>
      <c r="D2479" t="s">
        <v>433</v>
      </c>
      <c r="E2479" t="s">
        <v>434</v>
      </c>
      <c r="F2479" t="s">
        <v>435</v>
      </c>
      <c r="G2479" t="s">
        <v>50</v>
      </c>
      <c r="H2479">
        <v>1.1000000000000001</v>
      </c>
      <c r="I2479" s="6" t="str">
        <f>_xlfn.CONCAT("Art. złączny do produktu ",Tabela10[[#This Row],[KOD_PRODUKTU]])</f>
        <v>Art. złączny do produktu 919S28-302</v>
      </c>
      <c r="J2479" s="6" t="str">
        <f>_xlfn.CONCAT("VE-",Tabela10[[#This Row],[KOD_PRODUKTU]])</f>
        <v>VE-919S28-302</v>
      </c>
    </row>
    <row r="2480" spans="1:10" x14ac:dyDescent="0.25">
      <c r="A2480" s="7" t="s">
        <v>5036</v>
      </c>
      <c r="B2480" s="6" t="s">
        <v>5037</v>
      </c>
      <c r="C2480" s="7" t="s">
        <v>7</v>
      </c>
      <c r="D2480" s="6" t="s">
        <v>8</v>
      </c>
      <c r="E2480" s="6" t="s">
        <v>9</v>
      </c>
      <c r="F2480" s="6" t="s">
        <v>10</v>
      </c>
      <c r="G2480" s="6" t="s">
        <v>5038</v>
      </c>
      <c r="H2480" s="6">
        <v>3.42</v>
      </c>
      <c r="I2480" s="6" t="str">
        <f>_xlfn.CONCAT("Art. złączny do produktu ",Tabela10[[#This Row],[KOD_PRODUKTU]])</f>
        <v>Art. złączny do produktu 919S28-302</v>
      </c>
      <c r="J2480" s="6" t="str">
        <f>_xlfn.CONCAT("VE-",Tabela10[[#This Row],[KOD_PRODUKTU]])</f>
        <v>VE-919S28-302</v>
      </c>
    </row>
    <row r="2481" spans="1:10" x14ac:dyDescent="0.25">
      <c r="A2481" s="1" t="s">
        <v>5039</v>
      </c>
      <c r="B2481" t="s">
        <v>5040</v>
      </c>
      <c r="C2481" s="1" t="s">
        <v>1117</v>
      </c>
      <c r="D2481" t="s">
        <v>1118</v>
      </c>
      <c r="E2481" t="s">
        <v>876</v>
      </c>
      <c r="F2481" t="s">
        <v>5</v>
      </c>
      <c r="G2481" t="s">
        <v>19</v>
      </c>
      <c r="H2481">
        <v>1.2</v>
      </c>
      <c r="I2481" s="6" t="str">
        <f>_xlfn.CONCAT("Art. złączny do produktu ",Tabela10[[#This Row],[KOD_PRODUKTU]])</f>
        <v>Art. złączny do produktu 919S28-303</v>
      </c>
      <c r="J2481" s="6" t="str">
        <f>_xlfn.CONCAT("VE-",Tabela10[[#This Row],[KOD_PRODUKTU]])</f>
        <v>VE-919S28-303</v>
      </c>
    </row>
    <row r="2482" spans="1:10" x14ac:dyDescent="0.25">
      <c r="A2482" s="7" t="s">
        <v>5039</v>
      </c>
      <c r="B2482" s="6" t="s">
        <v>5040</v>
      </c>
      <c r="C2482" s="7" t="s">
        <v>432</v>
      </c>
      <c r="D2482" s="6" t="s">
        <v>433</v>
      </c>
      <c r="E2482" s="6" t="s">
        <v>434</v>
      </c>
      <c r="F2482" s="6" t="s">
        <v>435</v>
      </c>
      <c r="G2482" s="6" t="s">
        <v>50</v>
      </c>
      <c r="H2482" s="6">
        <v>1.1000000000000001</v>
      </c>
      <c r="I2482" s="6" t="str">
        <f>_xlfn.CONCAT("Art. złączny do produktu ",Tabela10[[#This Row],[KOD_PRODUKTU]])</f>
        <v>Art. złączny do produktu 919S28-303</v>
      </c>
      <c r="J2482" s="6" t="str">
        <f>_xlfn.CONCAT("VE-",Tabela10[[#This Row],[KOD_PRODUKTU]])</f>
        <v>VE-919S28-303</v>
      </c>
    </row>
    <row r="2483" spans="1:10" x14ac:dyDescent="0.25">
      <c r="A2483" s="1" t="s">
        <v>5039</v>
      </c>
      <c r="B2483" t="s">
        <v>5040</v>
      </c>
      <c r="C2483" s="1" t="s">
        <v>7</v>
      </c>
      <c r="D2483" t="s">
        <v>8</v>
      </c>
      <c r="E2483" t="s">
        <v>9</v>
      </c>
      <c r="F2483" t="s">
        <v>10</v>
      </c>
      <c r="G2483" t="s">
        <v>3704</v>
      </c>
      <c r="H2483">
        <v>10</v>
      </c>
      <c r="I2483" s="6" t="str">
        <f>_xlfn.CONCAT("Art. złączny do produktu ",Tabela10[[#This Row],[KOD_PRODUKTU]])</f>
        <v>Art. złączny do produktu 919S28-303</v>
      </c>
      <c r="J2483" s="6" t="str">
        <f>_xlfn.CONCAT("VE-",Tabela10[[#This Row],[KOD_PRODUKTU]])</f>
        <v>VE-919S28-303</v>
      </c>
    </row>
    <row r="2484" spans="1:10" x14ac:dyDescent="0.25">
      <c r="A2484" s="7" t="s">
        <v>5045</v>
      </c>
      <c r="B2484" s="6" t="s">
        <v>5046</v>
      </c>
      <c r="C2484" s="7" t="s">
        <v>1207</v>
      </c>
      <c r="D2484" s="6" t="s">
        <v>5047</v>
      </c>
      <c r="E2484" s="6" t="s">
        <v>1017</v>
      </c>
      <c r="F2484" s="6" t="s">
        <v>5</v>
      </c>
      <c r="G2484" s="6" t="s">
        <v>5048</v>
      </c>
      <c r="H2484" s="6">
        <v>0.5</v>
      </c>
      <c r="I2484" s="6" t="str">
        <f>_xlfn.CONCAT("Art. złączny do produktu ",Tabela10[[#This Row],[KOD_PRODUKTU]])</f>
        <v>Art. złączny do produktu 919S33-010</v>
      </c>
      <c r="J2484" s="6" t="str">
        <f>_xlfn.CONCAT("VE-",Tabela10[[#This Row],[KOD_PRODUKTU]])</f>
        <v>VE-919S33-010</v>
      </c>
    </row>
    <row r="2485" spans="1:10" x14ac:dyDescent="0.25">
      <c r="A2485" s="1" t="s">
        <v>5045</v>
      </c>
      <c r="B2485" t="s">
        <v>5046</v>
      </c>
      <c r="C2485" s="1" t="s">
        <v>7</v>
      </c>
      <c r="D2485" t="s">
        <v>8</v>
      </c>
      <c r="E2485" t="s">
        <v>9</v>
      </c>
      <c r="F2485" t="s">
        <v>10</v>
      </c>
      <c r="G2485" t="s">
        <v>19</v>
      </c>
      <c r="H2485">
        <v>4.5999999999999996</v>
      </c>
      <c r="I2485" s="6" t="str">
        <f>_xlfn.CONCAT("Art. złączny do produktu ",Tabela10[[#This Row],[KOD_PRODUKTU]])</f>
        <v>Art. złączny do produktu 919S33-010</v>
      </c>
      <c r="J2485" s="6" t="str">
        <f>_xlfn.CONCAT("VE-",Tabela10[[#This Row],[KOD_PRODUKTU]])</f>
        <v>VE-919S33-010</v>
      </c>
    </row>
    <row r="2486" spans="1:10" x14ac:dyDescent="0.25">
      <c r="A2486" s="7" t="s">
        <v>5049</v>
      </c>
      <c r="B2486" s="6" t="s">
        <v>5050</v>
      </c>
      <c r="C2486" s="7" t="s">
        <v>1207</v>
      </c>
      <c r="D2486" s="6" t="s">
        <v>5047</v>
      </c>
      <c r="E2486" s="6" t="s">
        <v>1017</v>
      </c>
      <c r="F2486" s="6" t="s">
        <v>5</v>
      </c>
      <c r="G2486" s="6" t="s">
        <v>1210</v>
      </c>
      <c r="H2486" s="6">
        <v>0.3</v>
      </c>
      <c r="I2486" s="6" t="str">
        <f>_xlfn.CONCAT("Art. złączny do produktu ",Tabela10[[#This Row],[KOD_PRODUKTU]])</f>
        <v>Art. złączny do produktu 919S33-020</v>
      </c>
      <c r="J2486" s="6" t="str">
        <f>_xlfn.CONCAT("VE-",Tabela10[[#This Row],[KOD_PRODUKTU]])</f>
        <v>VE-919S33-020</v>
      </c>
    </row>
    <row r="2487" spans="1:10" x14ac:dyDescent="0.25">
      <c r="A2487" s="1" t="s">
        <v>5049</v>
      </c>
      <c r="B2487" t="s">
        <v>5050</v>
      </c>
      <c r="C2487" s="1" t="s">
        <v>7</v>
      </c>
      <c r="D2487" t="s">
        <v>8</v>
      </c>
      <c r="E2487" t="s">
        <v>9</v>
      </c>
      <c r="F2487" t="s">
        <v>10</v>
      </c>
      <c r="G2487" t="s">
        <v>19</v>
      </c>
      <c r="H2487">
        <v>4.5999999999999996</v>
      </c>
      <c r="I2487" s="6" t="str">
        <f>_xlfn.CONCAT("Art. złączny do produktu ",Tabela10[[#This Row],[KOD_PRODUKTU]])</f>
        <v>Art. złączny do produktu 919S33-020</v>
      </c>
      <c r="J2487" s="6" t="str">
        <f>_xlfn.CONCAT("VE-",Tabela10[[#This Row],[KOD_PRODUKTU]])</f>
        <v>VE-919S33-020</v>
      </c>
    </row>
    <row r="2488" spans="1:10" x14ac:dyDescent="0.25">
      <c r="A2488" s="7" t="s">
        <v>5051</v>
      </c>
      <c r="B2488" s="6" t="s">
        <v>5052</v>
      </c>
      <c r="C2488" s="7" t="s">
        <v>3834</v>
      </c>
      <c r="D2488" s="6" t="s">
        <v>3835</v>
      </c>
      <c r="E2488" s="6" t="s">
        <v>3836</v>
      </c>
      <c r="F2488" s="6" t="s">
        <v>5</v>
      </c>
      <c r="G2488" s="6" t="s">
        <v>5053</v>
      </c>
      <c r="H2488" s="6">
        <v>0.5</v>
      </c>
      <c r="I2488" s="6" t="str">
        <f>_xlfn.CONCAT("Art. złączny do produktu ",Tabela10[[#This Row],[KOD_PRODUKTU]])</f>
        <v>Art. złączny do produktu 919S33-110</v>
      </c>
      <c r="J2488" s="6" t="str">
        <f>_xlfn.CONCAT("VE-",Tabela10[[#This Row],[KOD_PRODUKTU]])</f>
        <v>VE-919S33-110</v>
      </c>
    </row>
    <row r="2489" spans="1:10" x14ac:dyDescent="0.25">
      <c r="A2489" s="1" t="s">
        <v>5051</v>
      </c>
      <c r="B2489" t="s">
        <v>5052</v>
      </c>
      <c r="C2489" s="1" t="s">
        <v>7</v>
      </c>
      <c r="D2489" t="s">
        <v>8</v>
      </c>
      <c r="E2489" t="s">
        <v>9</v>
      </c>
      <c r="F2489" t="s">
        <v>10</v>
      </c>
      <c r="G2489" t="s">
        <v>601</v>
      </c>
      <c r="H2489">
        <v>6.9</v>
      </c>
      <c r="I2489" s="6" t="str">
        <f>_xlfn.CONCAT("Art. złączny do produktu ",Tabela10[[#This Row],[KOD_PRODUKTU]])</f>
        <v>Art. złączny do produktu 919S33-110</v>
      </c>
      <c r="J2489" s="6" t="str">
        <f>_xlfn.CONCAT("VE-",Tabela10[[#This Row],[KOD_PRODUKTU]])</f>
        <v>VE-919S33-110</v>
      </c>
    </row>
    <row r="2490" spans="1:10" x14ac:dyDescent="0.25">
      <c r="A2490" s="7" t="s">
        <v>5054</v>
      </c>
      <c r="B2490" s="6" t="s">
        <v>5055</v>
      </c>
      <c r="C2490" s="7" t="s">
        <v>5056</v>
      </c>
      <c r="D2490" s="6" t="s">
        <v>5057</v>
      </c>
      <c r="E2490" s="6" t="s">
        <v>553</v>
      </c>
      <c r="F2490" s="6" t="s">
        <v>17</v>
      </c>
      <c r="G2490" s="6" t="s">
        <v>5058</v>
      </c>
      <c r="H2490" s="6">
        <v>3.5</v>
      </c>
      <c r="I2490" s="6" t="str">
        <f>_xlfn.CONCAT("Art. złączny do produktu ",Tabela10[[#This Row],[KOD_PRODUKTU]])</f>
        <v>Art. złączny do produktu 919S33-210</v>
      </c>
      <c r="J2490" s="6" t="str">
        <f>_xlfn.CONCAT("VE-",Tabela10[[#This Row],[KOD_PRODUKTU]])</f>
        <v>VE-919S33-210</v>
      </c>
    </row>
    <row r="2491" spans="1:10" x14ac:dyDescent="0.25">
      <c r="A2491" s="1" t="s">
        <v>5054</v>
      </c>
      <c r="B2491" t="s">
        <v>5055</v>
      </c>
      <c r="C2491" s="1" t="s">
        <v>7</v>
      </c>
      <c r="D2491" t="s">
        <v>8</v>
      </c>
      <c r="E2491" t="s">
        <v>9</v>
      </c>
      <c r="F2491" t="s">
        <v>10</v>
      </c>
      <c r="G2491" t="s">
        <v>5059</v>
      </c>
      <c r="H2491">
        <v>8.5</v>
      </c>
      <c r="I2491" s="6" t="str">
        <f>_xlfn.CONCAT("Art. złączny do produktu ",Tabela10[[#This Row],[KOD_PRODUKTU]])</f>
        <v>Art. złączny do produktu 919S33-210</v>
      </c>
      <c r="J2491" s="6" t="str">
        <f>_xlfn.CONCAT("VE-",Tabela10[[#This Row],[KOD_PRODUKTU]])</f>
        <v>VE-919S33-210</v>
      </c>
    </row>
    <row r="2492" spans="1:10" x14ac:dyDescent="0.25">
      <c r="A2492" s="7" t="s">
        <v>5060</v>
      </c>
      <c r="B2492" s="6" t="s">
        <v>5061</v>
      </c>
      <c r="C2492" s="7" t="s">
        <v>5062</v>
      </c>
      <c r="D2492" s="6" t="s">
        <v>5061</v>
      </c>
      <c r="E2492" s="6" t="s">
        <v>5063</v>
      </c>
      <c r="F2492" s="6" t="s">
        <v>49</v>
      </c>
      <c r="G2492" s="6" t="s">
        <v>50</v>
      </c>
      <c r="H2492" s="6">
        <v>3.25</v>
      </c>
      <c r="I2492" s="6" t="str">
        <f>_xlfn.CONCAT("Art. złączny do produktu ",Tabela10[[#This Row],[KOD_PRODUKTU]])</f>
        <v>Art. złączny do produktu 919S33-310</v>
      </c>
      <c r="J2492" s="6" t="str">
        <f>_xlfn.CONCAT("VE-",Tabela10[[#This Row],[KOD_PRODUKTU]])</f>
        <v>VE-919S33-310</v>
      </c>
    </row>
    <row r="2493" spans="1:10" x14ac:dyDescent="0.25">
      <c r="A2493" s="1" t="s">
        <v>5060</v>
      </c>
      <c r="B2493" t="s">
        <v>5061</v>
      </c>
      <c r="C2493" s="1" t="s">
        <v>7</v>
      </c>
      <c r="D2493" t="s">
        <v>8</v>
      </c>
      <c r="E2493" t="s">
        <v>9</v>
      </c>
      <c r="F2493" t="s">
        <v>10</v>
      </c>
      <c r="G2493" t="s">
        <v>5064</v>
      </c>
      <c r="H2493">
        <v>17.75</v>
      </c>
      <c r="I2493" s="6" t="str">
        <f>_xlfn.CONCAT("Art. złączny do produktu ",Tabela10[[#This Row],[KOD_PRODUKTU]])</f>
        <v>Art. złączny do produktu 919S33-310</v>
      </c>
      <c r="J2493" s="6" t="str">
        <f>_xlfn.CONCAT("VE-",Tabela10[[#This Row],[KOD_PRODUKTU]])</f>
        <v>VE-919S33-310</v>
      </c>
    </row>
    <row r="2494" spans="1:10" x14ac:dyDescent="0.25">
      <c r="A2494" s="7" t="s">
        <v>5065</v>
      </c>
      <c r="B2494" s="6" t="s">
        <v>5066</v>
      </c>
      <c r="C2494" s="7" t="s">
        <v>5067</v>
      </c>
      <c r="D2494" s="6" t="s">
        <v>5068</v>
      </c>
      <c r="E2494" s="6" t="s">
        <v>5069</v>
      </c>
      <c r="F2494" s="6" t="s">
        <v>49</v>
      </c>
      <c r="G2494" s="6" t="s">
        <v>50</v>
      </c>
      <c r="H2494" s="6">
        <v>1.3</v>
      </c>
      <c r="I2494" s="6" t="str">
        <f>_xlfn.CONCAT("Art. złączny do produktu ",Tabela10[[#This Row],[KOD_PRODUKTU]])</f>
        <v>Art. złączny do produktu 919S33-320</v>
      </c>
      <c r="J2494" s="6" t="str">
        <f>_xlfn.CONCAT("VE-",Tabela10[[#This Row],[KOD_PRODUKTU]])</f>
        <v>VE-919S33-320</v>
      </c>
    </row>
    <row r="2495" spans="1:10" x14ac:dyDescent="0.25">
      <c r="A2495" s="1" t="s">
        <v>5065</v>
      </c>
      <c r="B2495" t="s">
        <v>5066</v>
      </c>
      <c r="C2495" s="1" t="s">
        <v>432</v>
      </c>
      <c r="D2495" t="s">
        <v>433</v>
      </c>
      <c r="E2495" t="s">
        <v>434</v>
      </c>
      <c r="F2495" t="s">
        <v>435</v>
      </c>
      <c r="G2495" t="s">
        <v>50</v>
      </c>
      <c r="H2495">
        <v>1.1000000000000001</v>
      </c>
      <c r="I2495" s="6" t="str">
        <f>_xlfn.CONCAT("Art. złączny do produktu ",Tabela10[[#This Row],[KOD_PRODUKTU]])</f>
        <v>Art. złączny do produktu 919S33-320</v>
      </c>
      <c r="J2495" s="6" t="str">
        <f>_xlfn.CONCAT("VE-",Tabela10[[#This Row],[KOD_PRODUKTU]])</f>
        <v>VE-919S33-320</v>
      </c>
    </row>
    <row r="2496" spans="1:10" x14ac:dyDescent="0.25">
      <c r="A2496" s="7" t="s">
        <v>5065</v>
      </c>
      <c r="B2496" s="6" t="s">
        <v>5066</v>
      </c>
      <c r="C2496" s="7" t="s">
        <v>541</v>
      </c>
      <c r="D2496" s="6" t="s">
        <v>542</v>
      </c>
      <c r="E2496" s="6" t="s">
        <v>9</v>
      </c>
      <c r="F2496" s="6" t="s">
        <v>10</v>
      </c>
      <c r="G2496" s="6" t="s">
        <v>19</v>
      </c>
      <c r="H2496" s="6">
        <v>4.5999999999999996</v>
      </c>
      <c r="I2496" s="6" t="str">
        <f>_xlfn.CONCAT("Art. złączny do produktu ",Tabela10[[#This Row],[KOD_PRODUKTU]])</f>
        <v>Art. złączny do produktu 919S33-320</v>
      </c>
      <c r="J2496" s="6" t="str">
        <f>_xlfn.CONCAT("VE-",Tabela10[[#This Row],[KOD_PRODUKTU]])</f>
        <v>VE-919S33-320</v>
      </c>
    </row>
    <row r="2497" spans="1:10" x14ac:dyDescent="0.25">
      <c r="A2497" s="1" t="s">
        <v>5070</v>
      </c>
      <c r="B2497" t="s">
        <v>5071</v>
      </c>
      <c r="C2497" s="1" t="s">
        <v>5072</v>
      </c>
      <c r="D2497" t="s">
        <v>5073</v>
      </c>
      <c r="E2497" t="s">
        <v>336</v>
      </c>
      <c r="F2497" t="s">
        <v>49</v>
      </c>
      <c r="G2497" t="s">
        <v>50</v>
      </c>
      <c r="H2497">
        <v>2.6</v>
      </c>
      <c r="I2497" s="6" t="str">
        <f>_xlfn.CONCAT("Art. złączny do produktu ",Tabela10[[#This Row],[KOD_PRODUKTU]])</f>
        <v>Art. złączny do produktu 919S33-330</v>
      </c>
      <c r="J2497" s="6" t="str">
        <f>_xlfn.CONCAT("VE-",Tabela10[[#This Row],[KOD_PRODUKTU]])</f>
        <v>VE-919S33-330</v>
      </c>
    </row>
    <row r="2498" spans="1:10" x14ac:dyDescent="0.25">
      <c r="A2498" s="7" t="s">
        <v>5070</v>
      </c>
      <c r="B2498" s="6" t="s">
        <v>5071</v>
      </c>
      <c r="C2498" s="7" t="s">
        <v>7</v>
      </c>
      <c r="D2498" s="6" t="s">
        <v>8</v>
      </c>
      <c r="E2498" s="6" t="s">
        <v>9</v>
      </c>
      <c r="F2498" s="6" t="s">
        <v>10</v>
      </c>
      <c r="G2498" s="6" t="s">
        <v>5074</v>
      </c>
      <c r="H2498" s="6">
        <v>12.4</v>
      </c>
      <c r="I2498" s="6" t="str">
        <f>_xlfn.CONCAT("Art. złączny do produktu ",Tabela10[[#This Row],[KOD_PRODUKTU]])</f>
        <v>Art. złączny do produktu 919S33-330</v>
      </c>
      <c r="J2498" s="6" t="str">
        <f>_xlfn.CONCAT("VE-",Tabela10[[#This Row],[KOD_PRODUKTU]])</f>
        <v>VE-919S33-330</v>
      </c>
    </row>
    <row r="2499" spans="1:10" x14ac:dyDescent="0.25">
      <c r="A2499" s="1" t="s">
        <v>5075</v>
      </c>
      <c r="B2499" t="s">
        <v>5076</v>
      </c>
      <c r="C2499" s="1" t="s">
        <v>3834</v>
      </c>
      <c r="D2499" t="s">
        <v>3835</v>
      </c>
      <c r="E2499" t="s">
        <v>3836</v>
      </c>
      <c r="F2499" t="s">
        <v>5</v>
      </c>
      <c r="G2499" t="s">
        <v>5077</v>
      </c>
      <c r="H2499">
        <v>0.6</v>
      </c>
      <c r="I2499" s="6" t="str">
        <f>_xlfn.CONCAT("Art. złączny do produktu ",Tabela10[[#This Row],[KOD_PRODUKTU]])</f>
        <v>Art. złączny do produktu 919S33-510</v>
      </c>
      <c r="J2499" s="6" t="str">
        <f>_xlfn.CONCAT("VE-",Tabela10[[#This Row],[KOD_PRODUKTU]])</f>
        <v>VE-919S33-510</v>
      </c>
    </row>
    <row r="2500" spans="1:10" x14ac:dyDescent="0.25">
      <c r="A2500" s="7" t="s">
        <v>5075</v>
      </c>
      <c r="B2500" s="6" t="s">
        <v>5076</v>
      </c>
      <c r="C2500" s="7" t="s">
        <v>7</v>
      </c>
      <c r="D2500" s="6" t="s">
        <v>8</v>
      </c>
      <c r="E2500" s="6" t="s">
        <v>9</v>
      </c>
      <c r="F2500" s="6" t="s">
        <v>10</v>
      </c>
      <c r="G2500" s="6" t="s">
        <v>33</v>
      </c>
      <c r="H2500" s="6">
        <v>9.1999999999999993</v>
      </c>
      <c r="I2500" s="6" t="str">
        <f>_xlfn.CONCAT("Art. złączny do produktu ",Tabela10[[#This Row],[KOD_PRODUKTU]])</f>
        <v>Art. złączny do produktu 919S33-510</v>
      </c>
      <c r="J2500" s="6" t="str">
        <f>_xlfn.CONCAT("VE-",Tabela10[[#This Row],[KOD_PRODUKTU]])</f>
        <v>VE-919S33-510</v>
      </c>
    </row>
    <row r="2501" spans="1:10" x14ac:dyDescent="0.25">
      <c r="A2501" s="1" t="s">
        <v>5078</v>
      </c>
      <c r="B2501" t="s">
        <v>5079</v>
      </c>
      <c r="C2501" s="1" t="s">
        <v>5080</v>
      </c>
      <c r="D2501" t="s">
        <v>5081</v>
      </c>
      <c r="E2501" t="s">
        <v>1932</v>
      </c>
      <c r="F2501" t="s">
        <v>49</v>
      </c>
      <c r="G2501" t="s">
        <v>50</v>
      </c>
      <c r="H2501">
        <v>1.85</v>
      </c>
      <c r="I2501" s="6" t="str">
        <f>_xlfn.CONCAT("Art. złączny do produktu ",Tabela10[[#This Row],[KOD_PRODUKTU]])</f>
        <v>Art. złączny do produktu 919S33-600</v>
      </c>
      <c r="J2501" s="6" t="str">
        <f>_xlfn.CONCAT("VE-",Tabela10[[#This Row],[KOD_PRODUKTU]])</f>
        <v>VE-919S33-600</v>
      </c>
    </row>
    <row r="2502" spans="1:10" x14ac:dyDescent="0.25">
      <c r="A2502" s="7" t="s">
        <v>5078</v>
      </c>
      <c r="B2502" s="6" t="s">
        <v>5079</v>
      </c>
      <c r="C2502" s="7" t="s">
        <v>432</v>
      </c>
      <c r="D2502" s="6" t="s">
        <v>433</v>
      </c>
      <c r="E2502" s="6" t="s">
        <v>434</v>
      </c>
      <c r="F2502" s="6" t="s">
        <v>435</v>
      </c>
      <c r="G2502" s="6" t="s">
        <v>50</v>
      </c>
      <c r="H2502" s="6">
        <v>1.1000000000000001</v>
      </c>
      <c r="I2502" s="6" t="str">
        <f>_xlfn.CONCAT("Art. złączny do produktu ",Tabela10[[#This Row],[KOD_PRODUKTU]])</f>
        <v>Art. złączny do produktu 919S33-600</v>
      </c>
      <c r="J2502" s="6" t="str">
        <f>_xlfn.CONCAT("VE-",Tabela10[[#This Row],[KOD_PRODUKTU]])</f>
        <v>VE-919S33-600</v>
      </c>
    </row>
    <row r="2503" spans="1:10" x14ac:dyDescent="0.25">
      <c r="A2503" s="1" t="s">
        <v>5078</v>
      </c>
      <c r="B2503" t="s">
        <v>5079</v>
      </c>
      <c r="C2503" s="1" t="s">
        <v>7</v>
      </c>
      <c r="D2503" t="s">
        <v>8</v>
      </c>
      <c r="E2503" t="s">
        <v>9</v>
      </c>
      <c r="F2503" t="s">
        <v>10</v>
      </c>
      <c r="G2503" t="s">
        <v>5082</v>
      </c>
      <c r="H2503">
        <v>15.75</v>
      </c>
      <c r="I2503" s="6" t="str">
        <f>_xlfn.CONCAT("Art. złączny do produktu ",Tabela10[[#This Row],[KOD_PRODUKTU]])</f>
        <v>Art. złączny do produktu 919S33-600</v>
      </c>
      <c r="J2503" s="6" t="str">
        <f>_xlfn.CONCAT("VE-",Tabela10[[#This Row],[KOD_PRODUKTU]])</f>
        <v>VE-919S33-600</v>
      </c>
    </row>
    <row r="2504" spans="1:10" x14ac:dyDescent="0.25">
      <c r="A2504" s="7" t="s">
        <v>5083</v>
      </c>
      <c r="B2504" s="6" t="s">
        <v>5084</v>
      </c>
      <c r="C2504" s="7" t="s">
        <v>1813</v>
      </c>
      <c r="D2504" s="6" t="s">
        <v>1814</v>
      </c>
      <c r="E2504" s="6" t="s">
        <v>1101</v>
      </c>
      <c r="F2504" s="6" t="s">
        <v>5</v>
      </c>
      <c r="G2504" s="6" t="s">
        <v>1176</v>
      </c>
      <c r="H2504" s="6">
        <v>1.1000000000000001</v>
      </c>
      <c r="I2504" s="6" t="str">
        <f>_xlfn.CONCAT("Art. złączny do produktu ",Tabela10[[#This Row],[KOD_PRODUKTU]])</f>
        <v>Art. złączny do produktu 919S35-400</v>
      </c>
      <c r="J2504" s="6" t="str">
        <f>_xlfn.CONCAT("VE-",Tabela10[[#This Row],[KOD_PRODUKTU]])</f>
        <v>VE-919S35-400</v>
      </c>
    </row>
    <row r="2505" spans="1:10" x14ac:dyDescent="0.25">
      <c r="A2505" s="1" t="s">
        <v>5083</v>
      </c>
      <c r="B2505" t="s">
        <v>5084</v>
      </c>
      <c r="C2505" s="1" t="s">
        <v>7</v>
      </c>
      <c r="D2505" t="s">
        <v>8</v>
      </c>
      <c r="E2505" t="s">
        <v>9</v>
      </c>
      <c r="F2505" t="s">
        <v>10</v>
      </c>
      <c r="G2505" t="s">
        <v>5085</v>
      </c>
      <c r="H2505">
        <v>3.9</v>
      </c>
      <c r="I2505" s="6" t="str">
        <f>_xlfn.CONCAT("Art. złączny do produktu ",Tabela10[[#This Row],[KOD_PRODUKTU]])</f>
        <v>Art. złączny do produktu 919S35-400</v>
      </c>
      <c r="J2505" s="6" t="str">
        <f>_xlfn.CONCAT("VE-",Tabela10[[#This Row],[KOD_PRODUKTU]])</f>
        <v>VE-919S35-400</v>
      </c>
    </row>
    <row r="2506" spans="1:10" x14ac:dyDescent="0.25">
      <c r="A2506" s="7" t="s">
        <v>5086</v>
      </c>
      <c r="B2506" s="6" t="s">
        <v>5087</v>
      </c>
      <c r="C2506" s="7" t="s">
        <v>1352</v>
      </c>
      <c r="D2506" s="6" t="s">
        <v>1353</v>
      </c>
      <c r="E2506" s="6" t="s">
        <v>1354</v>
      </c>
      <c r="F2506" s="6" t="s">
        <v>5</v>
      </c>
      <c r="G2506" s="6" t="s">
        <v>3749</v>
      </c>
      <c r="H2506" s="6">
        <v>0.7</v>
      </c>
      <c r="I2506" s="6" t="str">
        <f>_xlfn.CONCAT("Art. złączny do produktu ",Tabela10[[#This Row],[KOD_PRODUKTU]])</f>
        <v>Art. złączny do produktu 919S35-500</v>
      </c>
      <c r="J2506" s="6" t="str">
        <f>_xlfn.CONCAT("VE-",Tabela10[[#This Row],[KOD_PRODUKTU]])</f>
        <v>VE-919S35-500</v>
      </c>
    </row>
    <row r="2507" spans="1:10" x14ac:dyDescent="0.25">
      <c r="A2507" s="1" t="s">
        <v>5086</v>
      </c>
      <c r="B2507" t="s">
        <v>5087</v>
      </c>
      <c r="C2507" s="1" t="s">
        <v>7</v>
      </c>
      <c r="D2507" t="s">
        <v>8</v>
      </c>
      <c r="E2507" t="s">
        <v>9</v>
      </c>
      <c r="F2507" t="s">
        <v>10</v>
      </c>
      <c r="G2507" t="s">
        <v>4756</v>
      </c>
      <c r="H2507">
        <v>3.75</v>
      </c>
      <c r="I2507" s="6" t="str">
        <f>_xlfn.CONCAT("Art. złączny do produktu ",Tabela10[[#This Row],[KOD_PRODUKTU]])</f>
        <v>Art. złączny do produktu 919S35-500</v>
      </c>
      <c r="J2507" s="6" t="str">
        <f>_xlfn.CONCAT("VE-",Tabela10[[#This Row],[KOD_PRODUKTU]])</f>
        <v>VE-919S35-500</v>
      </c>
    </row>
    <row r="2508" spans="1:10" x14ac:dyDescent="0.25">
      <c r="A2508" s="7" t="s">
        <v>5088</v>
      </c>
      <c r="B2508" s="6" t="s">
        <v>5089</v>
      </c>
      <c r="C2508" s="7" t="s">
        <v>5013</v>
      </c>
      <c r="D2508" s="6" t="s">
        <v>5014</v>
      </c>
      <c r="E2508" s="6" t="s">
        <v>1354</v>
      </c>
      <c r="F2508" s="6" t="s">
        <v>5</v>
      </c>
      <c r="G2508" s="6" t="s">
        <v>2163</v>
      </c>
      <c r="H2508" s="6">
        <v>0.35</v>
      </c>
      <c r="I2508" s="6" t="str">
        <f>_xlfn.CONCAT("Art. złączny do produktu ",Tabela10[[#This Row],[KOD_PRODUKTU]])</f>
        <v>Art. złączny do produktu 919S35-600</v>
      </c>
      <c r="J2508" s="6" t="str">
        <f>_xlfn.CONCAT("VE-",Tabela10[[#This Row],[KOD_PRODUKTU]])</f>
        <v>VE-919S35-600</v>
      </c>
    </row>
    <row r="2509" spans="1:10" x14ac:dyDescent="0.25">
      <c r="A2509" s="1" t="s">
        <v>5088</v>
      </c>
      <c r="B2509" t="s">
        <v>5089</v>
      </c>
      <c r="C2509" s="1" t="s">
        <v>7</v>
      </c>
      <c r="D2509" t="s">
        <v>8</v>
      </c>
      <c r="E2509" t="s">
        <v>9</v>
      </c>
      <c r="F2509" t="s">
        <v>10</v>
      </c>
      <c r="G2509" t="s">
        <v>4756</v>
      </c>
      <c r="H2509">
        <v>3.75</v>
      </c>
      <c r="I2509" s="6" t="str">
        <f>_xlfn.CONCAT("Art. złączny do produktu ",Tabela10[[#This Row],[KOD_PRODUKTU]])</f>
        <v>Art. złączny do produktu 919S35-600</v>
      </c>
      <c r="J2509" s="6" t="str">
        <f>_xlfn.CONCAT("VE-",Tabela10[[#This Row],[KOD_PRODUKTU]])</f>
        <v>VE-919S35-600</v>
      </c>
    </row>
    <row r="2510" spans="1:10" x14ac:dyDescent="0.25">
      <c r="A2510" s="7" t="s">
        <v>5092</v>
      </c>
      <c r="B2510" s="6" t="s">
        <v>5093</v>
      </c>
      <c r="C2510" s="7" t="s">
        <v>5094</v>
      </c>
      <c r="D2510" s="6" t="s">
        <v>5095</v>
      </c>
      <c r="E2510" s="6" t="s">
        <v>651</v>
      </c>
      <c r="F2510" s="6" t="s">
        <v>5</v>
      </c>
      <c r="G2510" s="6" t="s">
        <v>5096</v>
      </c>
      <c r="H2510" s="6">
        <v>0.75</v>
      </c>
      <c r="I2510" s="6" t="str">
        <f>_xlfn.CONCAT("Art. złączny do produktu ",Tabela10[[#This Row],[KOD_PRODUKTU]])</f>
        <v>Art. złączny do produktu 919S36-442</v>
      </c>
      <c r="J2510" s="6" t="str">
        <f>_xlfn.CONCAT("VE-",Tabela10[[#This Row],[KOD_PRODUKTU]])</f>
        <v>VE-919S36-442</v>
      </c>
    </row>
    <row r="2511" spans="1:10" x14ac:dyDescent="0.25">
      <c r="A2511" s="1" t="s">
        <v>5092</v>
      </c>
      <c r="B2511" t="s">
        <v>5093</v>
      </c>
      <c r="C2511" s="1" t="s">
        <v>7</v>
      </c>
      <c r="D2511" t="s">
        <v>8</v>
      </c>
      <c r="E2511" t="s">
        <v>9</v>
      </c>
      <c r="F2511" t="s">
        <v>10</v>
      </c>
      <c r="G2511" t="s">
        <v>5097</v>
      </c>
      <c r="H2511">
        <v>4.97</v>
      </c>
      <c r="I2511" s="6" t="str">
        <f>_xlfn.CONCAT("Art. złączny do produktu ",Tabela10[[#This Row],[KOD_PRODUKTU]])</f>
        <v>Art. złączny do produktu 919S36-442</v>
      </c>
      <c r="J2511" s="6" t="str">
        <f>_xlfn.CONCAT("VE-",Tabela10[[#This Row],[KOD_PRODUKTU]])</f>
        <v>VE-919S36-442</v>
      </c>
    </row>
    <row r="2512" spans="1:10" x14ac:dyDescent="0.25">
      <c r="A2512" s="7" t="s">
        <v>5100</v>
      </c>
      <c r="B2512" s="6" t="s">
        <v>5101</v>
      </c>
      <c r="C2512" s="7" t="s">
        <v>5102</v>
      </c>
      <c r="D2512" s="6" t="s">
        <v>5103</v>
      </c>
      <c r="E2512" s="6" t="s">
        <v>3131</v>
      </c>
      <c r="F2512" s="6" t="s">
        <v>932</v>
      </c>
      <c r="G2512" s="6" t="s">
        <v>5104</v>
      </c>
      <c r="H2512" s="6">
        <v>0.8</v>
      </c>
      <c r="I2512" s="6" t="str">
        <f>_xlfn.CONCAT("Art. złączny do produktu ",Tabela10[[#This Row],[KOD_PRODUKTU]])</f>
        <v>Art. złączny do produktu 919S37-100</v>
      </c>
      <c r="J2512" s="6" t="str">
        <f>_xlfn.CONCAT("VE-",Tabela10[[#This Row],[KOD_PRODUKTU]])</f>
        <v>VE-919S37-100</v>
      </c>
    </row>
    <row r="2513" spans="1:10" x14ac:dyDescent="0.25">
      <c r="A2513" s="1" t="s">
        <v>5100</v>
      </c>
      <c r="B2513" t="s">
        <v>5101</v>
      </c>
      <c r="C2513" s="1" t="s">
        <v>541</v>
      </c>
      <c r="D2513" t="s">
        <v>542</v>
      </c>
      <c r="E2513" t="s">
        <v>9</v>
      </c>
      <c r="F2513" t="s">
        <v>10</v>
      </c>
      <c r="G2513" t="s">
        <v>19</v>
      </c>
      <c r="H2513">
        <v>4.5999999999999996</v>
      </c>
      <c r="I2513" s="6" t="str">
        <f>_xlfn.CONCAT("Art. złączny do produktu ",Tabela10[[#This Row],[KOD_PRODUKTU]])</f>
        <v>Art. złączny do produktu 919S37-100</v>
      </c>
      <c r="J2513" s="6" t="str">
        <f>_xlfn.CONCAT("VE-",Tabela10[[#This Row],[KOD_PRODUKTU]])</f>
        <v>VE-919S37-100</v>
      </c>
    </row>
    <row r="2514" spans="1:10" x14ac:dyDescent="0.25">
      <c r="A2514" s="7" t="s">
        <v>5105</v>
      </c>
      <c r="B2514" s="6" t="s">
        <v>5106</v>
      </c>
      <c r="C2514" s="7" t="s">
        <v>3317</v>
      </c>
      <c r="D2514" s="6" t="s">
        <v>3318</v>
      </c>
      <c r="E2514" s="6" t="s">
        <v>3756</v>
      </c>
      <c r="F2514" s="6" t="s">
        <v>5</v>
      </c>
      <c r="G2514" s="6" t="s">
        <v>5107</v>
      </c>
      <c r="H2514" s="6">
        <v>2.35</v>
      </c>
      <c r="I2514" s="6" t="str">
        <f>_xlfn.CONCAT("Art. złączny do produktu ",Tabela10[[#This Row],[KOD_PRODUKTU]])</f>
        <v>Art. złączny do produktu 919S37-200</v>
      </c>
      <c r="J2514" s="6" t="str">
        <f>_xlfn.CONCAT("VE-",Tabela10[[#This Row],[KOD_PRODUKTU]])</f>
        <v>VE-919S37-200</v>
      </c>
    </row>
    <row r="2515" spans="1:10" x14ac:dyDescent="0.25">
      <c r="A2515" s="1" t="s">
        <v>5105</v>
      </c>
      <c r="B2515" t="s">
        <v>5106</v>
      </c>
      <c r="C2515" s="1" t="s">
        <v>541</v>
      </c>
      <c r="D2515" t="s">
        <v>542</v>
      </c>
      <c r="E2515" t="s">
        <v>9</v>
      </c>
      <c r="F2515" t="s">
        <v>10</v>
      </c>
      <c r="G2515" t="s">
        <v>2407</v>
      </c>
      <c r="H2515">
        <v>5.55</v>
      </c>
      <c r="I2515" s="6" t="str">
        <f>_xlfn.CONCAT("Art. złączny do produktu ",Tabela10[[#This Row],[KOD_PRODUKTU]])</f>
        <v>Art. złączny do produktu 919S37-200</v>
      </c>
      <c r="J2515" s="6" t="str">
        <f>_xlfn.CONCAT("VE-",Tabela10[[#This Row],[KOD_PRODUKTU]])</f>
        <v>VE-919S37-200</v>
      </c>
    </row>
    <row r="2516" spans="1:10" x14ac:dyDescent="0.25">
      <c r="A2516" s="7" t="s">
        <v>5108</v>
      </c>
      <c r="B2516" s="6" t="s">
        <v>5109</v>
      </c>
      <c r="C2516" s="7" t="s">
        <v>3317</v>
      </c>
      <c r="D2516" s="6" t="s">
        <v>3318</v>
      </c>
      <c r="E2516" s="6" t="s">
        <v>3756</v>
      </c>
      <c r="F2516" s="6" t="s">
        <v>5</v>
      </c>
      <c r="G2516" s="6" t="s">
        <v>5107</v>
      </c>
      <c r="H2516" s="6">
        <v>2.35</v>
      </c>
      <c r="I2516" s="6" t="str">
        <f>_xlfn.CONCAT("Art. złączny do produktu ",Tabela10[[#This Row],[KOD_PRODUKTU]])</f>
        <v>Art. złączny do produktu 919S37-300</v>
      </c>
      <c r="J2516" s="6" t="str">
        <f>_xlfn.CONCAT("VE-",Tabela10[[#This Row],[KOD_PRODUKTU]])</f>
        <v>VE-919S37-300</v>
      </c>
    </row>
    <row r="2517" spans="1:10" x14ac:dyDescent="0.25">
      <c r="A2517" s="1" t="s">
        <v>5108</v>
      </c>
      <c r="B2517" t="s">
        <v>5109</v>
      </c>
      <c r="C2517" s="1" t="s">
        <v>7</v>
      </c>
      <c r="D2517" t="s">
        <v>8</v>
      </c>
      <c r="E2517" t="s">
        <v>9</v>
      </c>
      <c r="F2517" t="s">
        <v>10</v>
      </c>
      <c r="G2517" t="s">
        <v>2407</v>
      </c>
      <c r="H2517">
        <v>5.55</v>
      </c>
      <c r="I2517" s="6" t="str">
        <f>_xlfn.CONCAT("Art. złączny do produktu ",Tabela10[[#This Row],[KOD_PRODUKTU]])</f>
        <v>Art. złączny do produktu 919S37-300</v>
      </c>
      <c r="J2517" s="6" t="str">
        <f>_xlfn.CONCAT("VE-",Tabela10[[#This Row],[KOD_PRODUKTU]])</f>
        <v>VE-919S37-300</v>
      </c>
    </row>
    <row r="2518" spans="1:10" x14ac:dyDescent="0.25">
      <c r="A2518" s="7" t="s">
        <v>5110</v>
      </c>
      <c r="B2518" s="6" t="s">
        <v>5111</v>
      </c>
      <c r="C2518" s="7" t="s">
        <v>1203</v>
      </c>
      <c r="D2518" s="6" t="s">
        <v>1204</v>
      </c>
      <c r="E2518" s="6" t="s">
        <v>216</v>
      </c>
      <c r="F2518" s="6" t="s">
        <v>5</v>
      </c>
      <c r="G2518" s="6" t="s">
        <v>5112</v>
      </c>
      <c r="H2518" s="6">
        <v>0.1</v>
      </c>
      <c r="I2518" s="6" t="str">
        <f>_xlfn.CONCAT("Art. złączny do produktu ",Tabela10[[#This Row],[KOD_PRODUKTU]])</f>
        <v>Art. złączny do produktu 919S37-400</v>
      </c>
      <c r="J2518" s="6" t="str">
        <f>_xlfn.CONCAT("VE-",Tabela10[[#This Row],[KOD_PRODUKTU]])</f>
        <v>VE-919S37-400</v>
      </c>
    </row>
    <row r="2519" spans="1:10" x14ac:dyDescent="0.25">
      <c r="A2519" s="1" t="s">
        <v>5110</v>
      </c>
      <c r="B2519" t="s">
        <v>5111</v>
      </c>
      <c r="C2519" s="1" t="s">
        <v>7</v>
      </c>
      <c r="D2519" t="s">
        <v>8</v>
      </c>
      <c r="E2519" t="s">
        <v>9</v>
      </c>
      <c r="F2519" t="s">
        <v>10</v>
      </c>
      <c r="G2519" t="s">
        <v>5113</v>
      </c>
      <c r="H2519">
        <v>3.1</v>
      </c>
      <c r="I2519" s="6" t="str">
        <f>_xlfn.CONCAT("Art. złączny do produktu ",Tabela10[[#This Row],[KOD_PRODUKTU]])</f>
        <v>Art. złączny do produktu 919S37-400</v>
      </c>
      <c r="J2519" s="6" t="str">
        <f>_xlfn.CONCAT("VE-",Tabela10[[#This Row],[KOD_PRODUKTU]])</f>
        <v>VE-919S37-400</v>
      </c>
    </row>
    <row r="2520" spans="1:10" x14ac:dyDescent="0.25">
      <c r="A2520" s="7" t="s">
        <v>5114</v>
      </c>
      <c r="B2520" s="6" t="s">
        <v>5115</v>
      </c>
      <c r="C2520" s="7" t="s">
        <v>3317</v>
      </c>
      <c r="D2520" s="6" t="s">
        <v>3318</v>
      </c>
      <c r="E2520" s="6" t="s">
        <v>3756</v>
      </c>
      <c r="F2520" s="6" t="s">
        <v>5</v>
      </c>
      <c r="G2520" s="6" t="s">
        <v>5116</v>
      </c>
      <c r="H2520" s="6">
        <v>1.35</v>
      </c>
      <c r="I2520" s="6" t="str">
        <f>_xlfn.CONCAT("Art. złączny do produktu ",Tabela10[[#This Row],[KOD_PRODUKTU]])</f>
        <v>Art. złączny do produktu 919S45-310</v>
      </c>
      <c r="J2520" s="6" t="str">
        <f>_xlfn.CONCAT("VE-",Tabela10[[#This Row],[KOD_PRODUKTU]])</f>
        <v>VE-919S45-310</v>
      </c>
    </row>
    <row r="2521" spans="1:10" x14ac:dyDescent="0.25">
      <c r="A2521" s="1" t="s">
        <v>5114</v>
      </c>
      <c r="B2521" t="s">
        <v>5115</v>
      </c>
      <c r="C2521" s="1" t="s">
        <v>7</v>
      </c>
      <c r="D2521" t="s">
        <v>8</v>
      </c>
      <c r="E2521" t="s">
        <v>9</v>
      </c>
      <c r="F2521" t="s">
        <v>10</v>
      </c>
      <c r="G2521" t="s">
        <v>19</v>
      </c>
      <c r="H2521">
        <v>4.5999999999999996</v>
      </c>
      <c r="I2521" s="6" t="str">
        <f>_xlfn.CONCAT("Art. złączny do produktu ",Tabela10[[#This Row],[KOD_PRODUKTU]])</f>
        <v>Art. złączny do produktu 919S45-310</v>
      </c>
      <c r="J2521" s="6" t="str">
        <f>_xlfn.CONCAT("VE-",Tabela10[[#This Row],[KOD_PRODUKTU]])</f>
        <v>VE-919S45-310</v>
      </c>
    </row>
    <row r="2522" spans="1:10" x14ac:dyDescent="0.25">
      <c r="A2522" s="7" t="s">
        <v>5117</v>
      </c>
      <c r="B2522" s="6" t="s">
        <v>5118</v>
      </c>
      <c r="C2522" s="7" t="s">
        <v>3317</v>
      </c>
      <c r="D2522" s="6" t="s">
        <v>3318</v>
      </c>
      <c r="E2522" s="6" t="s">
        <v>3756</v>
      </c>
      <c r="F2522" s="6" t="s">
        <v>5</v>
      </c>
      <c r="G2522" s="6" t="s">
        <v>5119</v>
      </c>
      <c r="H2522" s="6">
        <v>1.55</v>
      </c>
      <c r="I2522" s="6" t="str">
        <f>_xlfn.CONCAT("Art. złączny do produktu ",Tabela10[[#This Row],[KOD_PRODUKTU]])</f>
        <v>Art. złączny do produktu 919S45-320</v>
      </c>
      <c r="J2522" s="6" t="str">
        <f>_xlfn.CONCAT("VE-",Tabela10[[#This Row],[KOD_PRODUKTU]])</f>
        <v>VE-919S45-320</v>
      </c>
    </row>
    <row r="2523" spans="1:10" x14ac:dyDescent="0.25">
      <c r="A2523" s="1" t="s">
        <v>5117</v>
      </c>
      <c r="B2523" t="s">
        <v>5118</v>
      </c>
      <c r="C2523" s="1" t="s">
        <v>7</v>
      </c>
      <c r="D2523" t="s">
        <v>8</v>
      </c>
      <c r="E2523" t="s">
        <v>9</v>
      </c>
      <c r="F2523" t="s">
        <v>10</v>
      </c>
      <c r="G2523" t="s">
        <v>1384</v>
      </c>
      <c r="H2523">
        <v>4.8499999999999996</v>
      </c>
      <c r="I2523" s="6" t="str">
        <f>_xlfn.CONCAT("Art. złączny do produktu ",Tabela10[[#This Row],[KOD_PRODUKTU]])</f>
        <v>Art. złączny do produktu 919S45-320</v>
      </c>
      <c r="J2523" s="6" t="str">
        <f>_xlfn.CONCAT("VE-",Tabela10[[#This Row],[KOD_PRODUKTU]])</f>
        <v>VE-919S45-320</v>
      </c>
    </row>
    <row r="2524" spans="1:10" x14ac:dyDescent="0.25">
      <c r="A2524" s="7" t="s">
        <v>5120</v>
      </c>
      <c r="B2524" s="6" t="s">
        <v>5121</v>
      </c>
      <c r="C2524" s="7" t="s">
        <v>1345</v>
      </c>
      <c r="D2524" s="6" t="s">
        <v>1346</v>
      </c>
      <c r="E2524" s="6" t="s">
        <v>1347</v>
      </c>
      <c r="F2524" s="6" t="s">
        <v>5</v>
      </c>
      <c r="G2524" s="6" t="s">
        <v>5122</v>
      </c>
      <c r="H2524" s="6">
        <v>0.28999999999999998</v>
      </c>
      <c r="I2524" s="6" t="str">
        <f>_xlfn.CONCAT("Art. złączny do produktu ",Tabela10[[#This Row],[KOD_PRODUKTU]])</f>
        <v>Art. złączny do produktu 919S67-010</v>
      </c>
      <c r="J2524" s="6" t="str">
        <f>_xlfn.CONCAT("VE-",Tabela10[[#This Row],[KOD_PRODUKTU]])</f>
        <v>VE-919S67-010</v>
      </c>
    </row>
    <row r="2525" spans="1:10" x14ac:dyDescent="0.25">
      <c r="A2525" s="1" t="s">
        <v>5120</v>
      </c>
      <c r="B2525" t="s">
        <v>5121</v>
      </c>
      <c r="C2525" s="1" t="s">
        <v>541</v>
      </c>
      <c r="D2525" t="s">
        <v>542</v>
      </c>
      <c r="E2525" t="s">
        <v>9</v>
      </c>
      <c r="F2525" t="s">
        <v>10</v>
      </c>
      <c r="G2525" t="s">
        <v>605</v>
      </c>
      <c r="H2525">
        <v>1.84</v>
      </c>
      <c r="I2525" s="6" t="str">
        <f>_xlfn.CONCAT("Art. złączny do produktu ",Tabela10[[#This Row],[KOD_PRODUKTU]])</f>
        <v>Art. złączny do produktu 919S67-010</v>
      </c>
      <c r="J2525" s="6" t="str">
        <f>_xlfn.CONCAT("VE-",Tabela10[[#This Row],[KOD_PRODUKTU]])</f>
        <v>VE-919S67-010</v>
      </c>
    </row>
    <row r="2526" spans="1:10" x14ac:dyDescent="0.25">
      <c r="A2526" s="7" t="s">
        <v>5125</v>
      </c>
      <c r="B2526" s="6" t="s">
        <v>5126</v>
      </c>
      <c r="C2526" s="7" t="s">
        <v>1188</v>
      </c>
      <c r="D2526" s="6" t="s">
        <v>1189</v>
      </c>
      <c r="E2526" s="6" t="s">
        <v>1190</v>
      </c>
      <c r="F2526" s="6" t="s">
        <v>5</v>
      </c>
      <c r="G2526" s="6" t="s">
        <v>5127</v>
      </c>
      <c r="H2526" s="6">
        <v>7.79</v>
      </c>
      <c r="I2526" s="6" t="str">
        <f>_xlfn.CONCAT("Art. złączny do produktu ",Tabela10[[#This Row],[KOD_PRODUKTU]])</f>
        <v>Art. złączny do produktu 940K29-121</v>
      </c>
      <c r="J2526" s="6" t="str">
        <f>_xlfn.CONCAT("VE-",Tabela10[[#This Row],[KOD_PRODUKTU]])</f>
        <v>VE-940K29-121</v>
      </c>
    </row>
    <row r="2527" spans="1:10" x14ac:dyDescent="0.25">
      <c r="A2527" s="1" t="s">
        <v>5125</v>
      </c>
      <c r="B2527" t="s">
        <v>5126</v>
      </c>
      <c r="C2527" s="1" t="s">
        <v>541</v>
      </c>
      <c r="D2527" t="s">
        <v>542</v>
      </c>
      <c r="E2527" t="s">
        <v>9</v>
      </c>
      <c r="F2527" t="s">
        <v>10</v>
      </c>
      <c r="G2527" t="s">
        <v>1196</v>
      </c>
      <c r="H2527">
        <v>4.34</v>
      </c>
      <c r="I2527" s="6" t="str">
        <f>_xlfn.CONCAT("Art. złączny do produktu ",Tabela10[[#This Row],[KOD_PRODUKTU]])</f>
        <v>Art. złączny do produktu 940K29-121</v>
      </c>
      <c r="J2527" s="6" t="str">
        <f>_xlfn.CONCAT("VE-",Tabela10[[#This Row],[KOD_PRODUKTU]])</f>
        <v>VE-940K29-121</v>
      </c>
    </row>
    <row r="2528" spans="1:10" x14ac:dyDescent="0.25">
      <c r="A2528" s="7" t="s">
        <v>5128</v>
      </c>
      <c r="B2528" s="6" t="s">
        <v>5129</v>
      </c>
      <c r="C2528" s="7" t="s">
        <v>1188</v>
      </c>
      <c r="D2528" s="6" t="s">
        <v>1189</v>
      </c>
      <c r="E2528" s="6" t="s">
        <v>1190</v>
      </c>
      <c r="F2528" s="6" t="s">
        <v>5</v>
      </c>
      <c r="G2528" s="6" t="s">
        <v>5127</v>
      </c>
      <c r="H2528" s="6">
        <v>7.79</v>
      </c>
      <c r="I2528" s="6" t="str">
        <f>_xlfn.CONCAT("Art. złączny do produktu ",Tabela10[[#This Row],[KOD_PRODUKTU]])</f>
        <v>Art. złączny do produktu 940K29-210</v>
      </c>
      <c r="J2528" s="6" t="str">
        <f>_xlfn.CONCAT("VE-",Tabela10[[#This Row],[KOD_PRODUKTU]])</f>
        <v>VE-940K29-210</v>
      </c>
    </row>
    <row r="2529" spans="1:10" x14ac:dyDescent="0.25">
      <c r="A2529" s="1" t="s">
        <v>5128</v>
      </c>
      <c r="B2529" t="s">
        <v>5129</v>
      </c>
      <c r="C2529" s="1" t="s">
        <v>432</v>
      </c>
      <c r="D2529" t="s">
        <v>433</v>
      </c>
      <c r="E2529" t="s">
        <v>434</v>
      </c>
      <c r="F2529" t="s">
        <v>435</v>
      </c>
      <c r="G2529" t="s">
        <v>5130</v>
      </c>
      <c r="H2529">
        <v>3.91</v>
      </c>
      <c r="I2529" s="6" t="str">
        <f>_xlfn.CONCAT("Art. złączny do produktu ",Tabela10[[#This Row],[KOD_PRODUKTU]])</f>
        <v>Art. złączny do produktu 940K29-210</v>
      </c>
      <c r="J2529" s="6" t="str">
        <f>_xlfn.CONCAT("VE-",Tabela10[[#This Row],[KOD_PRODUKTU]])</f>
        <v>VE-940K29-210</v>
      </c>
    </row>
    <row r="2530" spans="1:10" x14ac:dyDescent="0.25">
      <c r="A2530" s="7" t="s">
        <v>5128</v>
      </c>
      <c r="B2530" s="6" t="s">
        <v>5129</v>
      </c>
      <c r="C2530" s="7" t="s">
        <v>541</v>
      </c>
      <c r="D2530" s="6" t="s">
        <v>542</v>
      </c>
      <c r="E2530" s="6" t="s">
        <v>9</v>
      </c>
      <c r="F2530" s="6" t="s">
        <v>10</v>
      </c>
      <c r="G2530" s="6" t="s">
        <v>5131</v>
      </c>
      <c r="H2530" s="6">
        <v>12.09</v>
      </c>
      <c r="I2530" s="6" t="str">
        <f>_xlfn.CONCAT("Art. złączny do produktu ",Tabela10[[#This Row],[KOD_PRODUKTU]])</f>
        <v>Art. złączny do produktu 940K29-210</v>
      </c>
      <c r="J2530" s="6" t="str">
        <f>_xlfn.CONCAT("VE-",Tabela10[[#This Row],[KOD_PRODUKTU]])</f>
        <v>VE-940K29-210</v>
      </c>
    </row>
    <row r="2531" spans="1:10" x14ac:dyDescent="0.25">
      <c r="A2531" s="1" t="s">
        <v>5132</v>
      </c>
      <c r="B2531" t="s">
        <v>5133</v>
      </c>
      <c r="C2531" s="1" t="s">
        <v>2161</v>
      </c>
      <c r="D2531" t="s">
        <v>2162</v>
      </c>
      <c r="E2531" t="s">
        <v>1354</v>
      </c>
      <c r="F2531" t="s">
        <v>5</v>
      </c>
      <c r="G2531" t="s">
        <v>3437</v>
      </c>
      <c r="H2531">
        <v>0.1</v>
      </c>
      <c r="I2531" s="6" t="str">
        <f>_xlfn.CONCAT("Art. złączny do produktu ",Tabela10[[#This Row],[KOD_PRODUKTU]])</f>
        <v>Art. złączny do produktu 940K29-220</v>
      </c>
      <c r="J2531" s="6" t="str">
        <f>_xlfn.CONCAT("VE-",Tabela10[[#This Row],[KOD_PRODUKTU]])</f>
        <v>VE-940K29-220</v>
      </c>
    </row>
    <row r="2532" spans="1:10" x14ac:dyDescent="0.25">
      <c r="A2532" s="7" t="s">
        <v>5132</v>
      </c>
      <c r="B2532" s="6" t="s">
        <v>5133</v>
      </c>
      <c r="C2532" s="7" t="s">
        <v>7</v>
      </c>
      <c r="D2532" s="6" t="s">
        <v>8</v>
      </c>
      <c r="E2532" s="6" t="s">
        <v>9</v>
      </c>
      <c r="F2532" s="6" t="s">
        <v>10</v>
      </c>
      <c r="G2532" s="6" t="s">
        <v>1349</v>
      </c>
      <c r="H2532" s="6">
        <v>3.45</v>
      </c>
      <c r="I2532" s="6" t="str">
        <f>_xlfn.CONCAT("Art. złączny do produktu ",Tabela10[[#This Row],[KOD_PRODUKTU]])</f>
        <v>Art. złączny do produktu 940K29-220</v>
      </c>
      <c r="J2532" s="6" t="str">
        <f>_xlfn.CONCAT("VE-",Tabela10[[#This Row],[KOD_PRODUKTU]])</f>
        <v>VE-940K29-220</v>
      </c>
    </row>
    <row r="2533" spans="1:10" x14ac:dyDescent="0.25">
      <c r="A2533" s="1" t="s">
        <v>5134</v>
      </c>
      <c r="B2533" t="s">
        <v>5135</v>
      </c>
      <c r="C2533" s="1" t="s">
        <v>3834</v>
      </c>
      <c r="D2533" t="s">
        <v>3835</v>
      </c>
      <c r="E2533" t="s">
        <v>3836</v>
      </c>
      <c r="F2533" t="s">
        <v>5</v>
      </c>
      <c r="G2533" t="s">
        <v>5136</v>
      </c>
      <c r="H2533">
        <v>1.82</v>
      </c>
      <c r="I2533" s="6" t="str">
        <f>_xlfn.CONCAT("Art. złączny do produktu ",Tabela10[[#This Row],[KOD_PRODUKTU]])</f>
        <v>Art. złączny do produktu 940K31-200</v>
      </c>
      <c r="J2533" s="6" t="str">
        <f>_xlfn.CONCAT("VE-",Tabela10[[#This Row],[KOD_PRODUKTU]])</f>
        <v>VE-940K31-200</v>
      </c>
    </row>
    <row r="2534" spans="1:10" x14ac:dyDescent="0.25">
      <c r="A2534" s="7" t="s">
        <v>5134</v>
      </c>
      <c r="B2534" s="6" t="s">
        <v>5135</v>
      </c>
      <c r="C2534" s="7" t="s">
        <v>432</v>
      </c>
      <c r="D2534" s="6" t="s">
        <v>433</v>
      </c>
      <c r="E2534" s="6" t="s">
        <v>434</v>
      </c>
      <c r="F2534" s="6" t="s">
        <v>435</v>
      </c>
      <c r="G2534" s="6" t="s">
        <v>5137</v>
      </c>
      <c r="H2534" s="6">
        <v>1.24</v>
      </c>
      <c r="I2534" s="6" t="str">
        <f>_xlfn.CONCAT("Art. złączny do produktu ",Tabela10[[#This Row],[KOD_PRODUKTU]])</f>
        <v>Art. złączny do produktu 940K31-200</v>
      </c>
      <c r="J2534" s="6" t="str">
        <f>_xlfn.CONCAT("VE-",Tabela10[[#This Row],[KOD_PRODUKTU]])</f>
        <v>VE-940K31-200</v>
      </c>
    </row>
    <row r="2535" spans="1:10" x14ac:dyDescent="0.25">
      <c r="A2535" s="1" t="s">
        <v>5134</v>
      </c>
      <c r="B2535" t="s">
        <v>5135</v>
      </c>
      <c r="C2535" s="1" t="s">
        <v>541</v>
      </c>
      <c r="D2535" t="s">
        <v>542</v>
      </c>
      <c r="E2535" t="s">
        <v>9</v>
      </c>
      <c r="F2535" t="s">
        <v>10</v>
      </c>
      <c r="G2535" t="s">
        <v>3404</v>
      </c>
      <c r="H2535">
        <v>10.119999999999999</v>
      </c>
      <c r="I2535" s="6" t="str">
        <f>_xlfn.CONCAT("Art. złączny do produktu ",Tabela10[[#This Row],[KOD_PRODUKTU]])</f>
        <v>Art. złączny do produktu 940K31-200</v>
      </c>
      <c r="J2535" s="6" t="str">
        <f>_xlfn.CONCAT("VE-",Tabela10[[#This Row],[KOD_PRODUKTU]])</f>
        <v>VE-940K31-200</v>
      </c>
    </row>
    <row r="2536" spans="1:10" x14ac:dyDescent="0.25">
      <c r="A2536" s="7" t="s">
        <v>5138</v>
      </c>
      <c r="B2536" s="6" t="s">
        <v>5139</v>
      </c>
      <c r="C2536" s="7" t="s">
        <v>1188</v>
      </c>
      <c r="D2536" s="6" t="s">
        <v>1189</v>
      </c>
      <c r="E2536" s="6" t="s">
        <v>1190</v>
      </c>
      <c r="F2536" s="6" t="s">
        <v>5</v>
      </c>
      <c r="G2536" s="6" t="s">
        <v>5140</v>
      </c>
      <c r="H2536" s="6">
        <v>4.8899999999999997</v>
      </c>
      <c r="I2536" s="6" t="str">
        <f>_xlfn.CONCAT("Art. złączny do produktu ",Tabela10[[#This Row],[KOD_PRODUKTU]])</f>
        <v>Art. złączny do produktu 940K32-111</v>
      </c>
      <c r="J2536" s="6" t="str">
        <f>_xlfn.CONCAT("VE-",Tabela10[[#This Row],[KOD_PRODUKTU]])</f>
        <v>VE-940K32-111</v>
      </c>
    </row>
    <row r="2537" spans="1:10" x14ac:dyDescent="0.25">
      <c r="A2537" s="1" t="s">
        <v>5138</v>
      </c>
      <c r="B2537" t="s">
        <v>5139</v>
      </c>
      <c r="C2537" s="1" t="s">
        <v>432</v>
      </c>
      <c r="D2537" t="s">
        <v>433</v>
      </c>
      <c r="E2537" t="s">
        <v>434</v>
      </c>
      <c r="F2537" t="s">
        <v>435</v>
      </c>
      <c r="G2537" t="s">
        <v>92</v>
      </c>
      <c r="H2537">
        <v>2.2000000000000002</v>
      </c>
      <c r="I2537" s="6" t="str">
        <f>_xlfn.CONCAT("Art. złączny do produktu ",Tabela10[[#This Row],[KOD_PRODUKTU]])</f>
        <v>Art. złączny do produktu 940K32-111</v>
      </c>
      <c r="J2537" s="6" t="str">
        <f>_xlfn.CONCAT("VE-",Tabela10[[#This Row],[KOD_PRODUKTU]])</f>
        <v>VE-940K32-111</v>
      </c>
    </row>
    <row r="2538" spans="1:10" x14ac:dyDescent="0.25">
      <c r="A2538" s="7" t="s">
        <v>5138</v>
      </c>
      <c r="B2538" s="6" t="s">
        <v>5139</v>
      </c>
      <c r="C2538" s="7" t="s">
        <v>541</v>
      </c>
      <c r="D2538" s="6" t="s">
        <v>542</v>
      </c>
      <c r="E2538" s="6" t="s">
        <v>9</v>
      </c>
      <c r="F2538" s="6" t="s">
        <v>10</v>
      </c>
      <c r="G2538" s="6" t="s">
        <v>1196</v>
      </c>
      <c r="H2538" s="6">
        <v>4.34</v>
      </c>
      <c r="I2538" s="6" t="str">
        <f>_xlfn.CONCAT("Art. złączny do produktu ",Tabela10[[#This Row],[KOD_PRODUKTU]])</f>
        <v>Art. złączny do produktu 940K32-111</v>
      </c>
      <c r="J2538" s="6" t="str">
        <f>_xlfn.CONCAT("VE-",Tabela10[[#This Row],[KOD_PRODUKTU]])</f>
        <v>VE-940K32-111</v>
      </c>
    </row>
    <row r="2539" spans="1:10" x14ac:dyDescent="0.25">
      <c r="A2539" s="1" t="s">
        <v>5141</v>
      </c>
      <c r="B2539" t="s">
        <v>5142</v>
      </c>
      <c r="C2539" s="1" t="s">
        <v>1188</v>
      </c>
      <c r="D2539" t="s">
        <v>1189</v>
      </c>
      <c r="E2539" t="s">
        <v>1190</v>
      </c>
      <c r="F2539" t="s">
        <v>5</v>
      </c>
      <c r="G2539" t="s">
        <v>5143</v>
      </c>
      <c r="H2539">
        <v>4.82</v>
      </c>
      <c r="I2539" s="6" t="str">
        <f>_xlfn.CONCAT("Art. złączny do produktu ",Tabela10[[#This Row],[KOD_PRODUKTU]])</f>
        <v>Art. złączny do produktu 940K32-210</v>
      </c>
      <c r="J2539" s="6" t="str">
        <f>_xlfn.CONCAT("VE-",Tabela10[[#This Row],[KOD_PRODUKTU]])</f>
        <v>VE-940K32-210</v>
      </c>
    </row>
    <row r="2540" spans="1:10" x14ac:dyDescent="0.25">
      <c r="A2540" s="7" t="s">
        <v>5141</v>
      </c>
      <c r="B2540" s="6" t="s">
        <v>5142</v>
      </c>
      <c r="C2540" s="7" t="s">
        <v>432</v>
      </c>
      <c r="D2540" s="6" t="s">
        <v>433</v>
      </c>
      <c r="E2540" s="6" t="s">
        <v>434</v>
      </c>
      <c r="F2540" s="6" t="s">
        <v>435</v>
      </c>
      <c r="G2540" s="6" t="s">
        <v>50</v>
      </c>
      <c r="H2540" s="6">
        <v>1.1000000000000001</v>
      </c>
      <c r="I2540" s="6" t="str">
        <f>_xlfn.CONCAT("Art. złączny do produktu ",Tabela10[[#This Row],[KOD_PRODUKTU]])</f>
        <v>Art. złączny do produktu 940K32-210</v>
      </c>
      <c r="J2540" s="6" t="str">
        <f>_xlfn.CONCAT("VE-",Tabela10[[#This Row],[KOD_PRODUKTU]])</f>
        <v>VE-940K32-210</v>
      </c>
    </row>
    <row r="2541" spans="1:10" x14ac:dyDescent="0.25">
      <c r="A2541" s="1" t="s">
        <v>5141</v>
      </c>
      <c r="B2541" t="s">
        <v>5142</v>
      </c>
      <c r="C2541" s="1" t="s">
        <v>541</v>
      </c>
      <c r="D2541" t="s">
        <v>542</v>
      </c>
      <c r="E2541" t="s">
        <v>9</v>
      </c>
      <c r="F2541" t="s">
        <v>10</v>
      </c>
      <c r="G2541" t="s">
        <v>5144</v>
      </c>
      <c r="H2541">
        <v>11.81</v>
      </c>
      <c r="I2541" s="6" t="str">
        <f>_xlfn.CONCAT("Art. złączny do produktu ",Tabela10[[#This Row],[KOD_PRODUKTU]])</f>
        <v>Art. złączny do produktu 940K32-210</v>
      </c>
      <c r="J2541" s="6" t="str">
        <f>_xlfn.CONCAT("VE-",Tabela10[[#This Row],[KOD_PRODUKTU]])</f>
        <v>VE-940K32-210</v>
      </c>
    </row>
    <row r="2542" spans="1:10" x14ac:dyDescent="0.25">
      <c r="A2542" s="7" t="s">
        <v>5145</v>
      </c>
      <c r="B2542" s="6" t="s">
        <v>5146</v>
      </c>
      <c r="C2542" s="7" t="s">
        <v>1203</v>
      </c>
      <c r="D2542" s="6" t="s">
        <v>1204</v>
      </c>
      <c r="E2542" s="6" t="s">
        <v>216</v>
      </c>
      <c r="F2542" s="6" t="s">
        <v>5</v>
      </c>
      <c r="G2542" s="6" t="s">
        <v>5147</v>
      </c>
      <c r="H2542" s="6">
        <v>2.25</v>
      </c>
      <c r="I2542" s="6" t="str">
        <f>_xlfn.CONCAT("Art. złączny do produktu ",Tabela10[[#This Row],[KOD_PRODUKTU]])</f>
        <v>Art. złączny do produktu 940K34-111</v>
      </c>
      <c r="J2542" s="6" t="str">
        <f>_xlfn.CONCAT("VE-",Tabela10[[#This Row],[KOD_PRODUKTU]])</f>
        <v>VE-940K34-111</v>
      </c>
    </row>
    <row r="2543" spans="1:10" x14ac:dyDescent="0.25">
      <c r="A2543" s="1" t="s">
        <v>5145</v>
      </c>
      <c r="B2543" t="s">
        <v>5146</v>
      </c>
      <c r="C2543" s="1" t="s">
        <v>1234</v>
      </c>
      <c r="D2543" t="s">
        <v>1235</v>
      </c>
      <c r="E2543" t="s">
        <v>108</v>
      </c>
      <c r="F2543" t="s">
        <v>932</v>
      </c>
      <c r="G2543" t="s">
        <v>50</v>
      </c>
      <c r="H2543">
        <v>4.2</v>
      </c>
      <c r="I2543" s="6" t="str">
        <f>_xlfn.CONCAT("Art. złączny do produktu ",Tabela10[[#This Row],[KOD_PRODUKTU]])</f>
        <v>Art. złączny do produktu 940K34-111</v>
      </c>
      <c r="J2543" s="6" t="str">
        <f>_xlfn.CONCAT("VE-",Tabela10[[#This Row],[KOD_PRODUKTU]])</f>
        <v>VE-940K34-111</v>
      </c>
    </row>
    <row r="2544" spans="1:10" x14ac:dyDescent="0.25">
      <c r="A2544" s="7" t="s">
        <v>5145</v>
      </c>
      <c r="B2544" s="6" t="s">
        <v>5146</v>
      </c>
      <c r="C2544" s="7" t="s">
        <v>541</v>
      </c>
      <c r="D2544" s="6" t="s">
        <v>542</v>
      </c>
      <c r="E2544" s="6" t="s">
        <v>9</v>
      </c>
      <c r="F2544" s="6" t="s">
        <v>10</v>
      </c>
      <c r="G2544" s="6" t="s">
        <v>5148</v>
      </c>
      <c r="H2544" s="6">
        <v>4.3099999999999996</v>
      </c>
      <c r="I2544" s="6" t="str">
        <f>_xlfn.CONCAT("Art. złączny do produktu ",Tabela10[[#This Row],[KOD_PRODUKTU]])</f>
        <v>Art. złączny do produktu 940K34-111</v>
      </c>
      <c r="J2544" s="6" t="str">
        <f>_xlfn.CONCAT("VE-",Tabela10[[#This Row],[KOD_PRODUKTU]])</f>
        <v>VE-940K34-111</v>
      </c>
    </row>
    <row r="2545" spans="1:10" x14ac:dyDescent="0.25">
      <c r="A2545" s="1" t="s">
        <v>5149</v>
      </c>
      <c r="B2545" t="s">
        <v>5150</v>
      </c>
      <c r="C2545" s="1" t="s">
        <v>1188</v>
      </c>
      <c r="D2545" t="s">
        <v>1189</v>
      </c>
      <c r="E2545" t="s">
        <v>1190</v>
      </c>
      <c r="F2545" t="s">
        <v>5</v>
      </c>
      <c r="G2545" t="s">
        <v>5151</v>
      </c>
      <c r="H2545">
        <v>4.34</v>
      </c>
      <c r="I2545" s="6" t="str">
        <f>_xlfn.CONCAT("Art. złączny do produktu ",Tabela10[[#This Row],[KOD_PRODUKTU]])</f>
        <v>Art. złączny do produktu 940K34-210</v>
      </c>
      <c r="J2545" s="6" t="str">
        <f>_xlfn.CONCAT("VE-",Tabela10[[#This Row],[KOD_PRODUKTU]])</f>
        <v>VE-940K34-210</v>
      </c>
    </row>
    <row r="2546" spans="1:10" x14ac:dyDescent="0.25">
      <c r="A2546" s="7" t="s">
        <v>5149</v>
      </c>
      <c r="B2546" s="6" t="s">
        <v>5150</v>
      </c>
      <c r="C2546" s="7" t="s">
        <v>1234</v>
      </c>
      <c r="D2546" s="6" t="s">
        <v>1235</v>
      </c>
      <c r="E2546" s="6" t="s">
        <v>108</v>
      </c>
      <c r="F2546" s="6" t="s">
        <v>932</v>
      </c>
      <c r="G2546" s="6" t="s">
        <v>50</v>
      </c>
      <c r="H2546" s="6">
        <v>4.2</v>
      </c>
      <c r="I2546" s="6" t="str">
        <f>_xlfn.CONCAT("Art. złączny do produktu ",Tabela10[[#This Row],[KOD_PRODUKTU]])</f>
        <v>Art. złączny do produktu 940K34-210</v>
      </c>
      <c r="J2546" s="6" t="str">
        <f>_xlfn.CONCAT("VE-",Tabela10[[#This Row],[KOD_PRODUKTU]])</f>
        <v>VE-940K34-210</v>
      </c>
    </row>
    <row r="2547" spans="1:10" x14ac:dyDescent="0.25">
      <c r="A2547" s="1" t="s">
        <v>5149</v>
      </c>
      <c r="B2547" t="s">
        <v>5150</v>
      </c>
      <c r="C2547" s="1" t="s">
        <v>541</v>
      </c>
      <c r="D2547" t="s">
        <v>542</v>
      </c>
      <c r="E2547" t="s">
        <v>9</v>
      </c>
      <c r="F2547" t="s">
        <v>10</v>
      </c>
      <c r="G2547" t="s">
        <v>5152</v>
      </c>
      <c r="H2547">
        <v>11.91</v>
      </c>
      <c r="I2547" s="6" t="str">
        <f>_xlfn.CONCAT("Art. złączny do produktu ",Tabela10[[#This Row],[KOD_PRODUKTU]])</f>
        <v>Art. złączny do produktu 940K34-210</v>
      </c>
      <c r="J2547" s="6" t="str">
        <f>_xlfn.CONCAT("VE-",Tabela10[[#This Row],[KOD_PRODUKTU]])</f>
        <v>VE-940K34-210</v>
      </c>
    </row>
    <row r="2548" spans="1:10" x14ac:dyDescent="0.25">
      <c r="A2548" s="7" t="s">
        <v>5153</v>
      </c>
      <c r="B2548" s="6" t="s">
        <v>5154</v>
      </c>
      <c r="C2548" s="7" t="s">
        <v>1188</v>
      </c>
      <c r="D2548" s="6" t="s">
        <v>1189</v>
      </c>
      <c r="E2548" s="6" t="s">
        <v>1190</v>
      </c>
      <c r="F2548" s="6" t="s">
        <v>5</v>
      </c>
      <c r="G2548" s="6" t="s">
        <v>2315</v>
      </c>
      <c r="H2548" s="6">
        <v>8.5500000000000007</v>
      </c>
      <c r="I2548" s="6" t="str">
        <f>_xlfn.CONCAT("Art. złączny do produktu ",Tabela10[[#This Row],[KOD_PRODUKTU]])</f>
        <v>Art. złączny do produktu 940K35-121</v>
      </c>
      <c r="J2548" s="6" t="str">
        <f>_xlfn.CONCAT("VE-",Tabela10[[#This Row],[KOD_PRODUKTU]])</f>
        <v>VE-940K35-121</v>
      </c>
    </row>
    <row r="2549" spans="1:10" x14ac:dyDescent="0.25">
      <c r="A2549" s="1" t="s">
        <v>5153</v>
      </c>
      <c r="B2549" t="s">
        <v>5154</v>
      </c>
      <c r="C2549" s="1" t="s">
        <v>432</v>
      </c>
      <c r="D2549" t="s">
        <v>433</v>
      </c>
      <c r="E2549" t="s">
        <v>434</v>
      </c>
      <c r="F2549" t="s">
        <v>435</v>
      </c>
      <c r="G2549" t="s">
        <v>92</v>
      </c>
      <c r="H2549">
        <v>2.2000000000000002</v>
      </c>
      <c r="I2549" s="6" t="str">
        <f>_xlfn.CONCAT("Art. złączny do produktu ",Tabela10[[#This Row],[KOD_PRODUKTU]])</f>
        <v>Art. złączny do produktu 940K35-121</v>
      </c>
      <c r="J2549" s="6" t="str">
        <f>_xlfn.CONCAT("VE-",Tabela10[[#This Row],[KOD_PRODUKTU]])</f>
        <v>VE-940K35-121</v>
      </c>
    </row>
    <row r="2550" spans="1:10" x14ac:dyDescent="0.25">
      <c r="A2550" s="7" t="s">
        <v>5153</v>
      </c>
      <c r="B2550" s="6" t="s">
        <v>5154</v>
      </c>
      <c r="C2550" s="7" t="s">
        <v>7</v>
      </c>
      <c r="D2550" s="6" t="s">
        <v>8</v>
      </c>
      <c r="E2550" s="6" t="s">
        <v>9</v>
      </c>
      <c r="F2550" s="6" t="s">
        <v>10</v>
      </c>
      <c r="G2550" s="6" t="s">
        <v>1096</v>
      </c>
      <c r="H2550" s="6">
        <v>4.7</v>
      </c>
      <c r="I2550" s="6" t="str">
        <f>_xlfn.CONCAT("Art. złączny do produktu ",Tabela10[[#This Row],[KOD_PRODUKTU]])</f>
        <v>Art. złączny do produktu 940K35-121</v>
      </c>
      <c r="J2550" s="6" t="str">
        <f>_xlfn.CONCAT("VE-",Tabela10[[#This Row],[KOD_PRODUKTU]])</f>
        <v>VE-940K35-121</v>
      </c>
    </row>
    <row r="2551" spans="1:10" x14ac:dyDescent="0.25">
      <c r="A2551" s="1" t="s">
        <v>5155</v>
      </c>
      <c r="B2551" t="s">
        <v>5156</v>
      </c>
      <c r="C2551" s="1" t="s">
        <v>1188</v>
      </c>
      <c r="D2551" t="s">
        <v>1189</v>
      </c>
      <c r="E2551" t="s">
        <v>1190</v>
      </c>
      <c r="F2551" t="s">
        <v>5</v>
      </c>
      <c r="G2551" t="s">
        <v>2315</v>
      </c>
      <c r="H2551">
        <v>8.5500000000000007</v>
      </c>
      <c r="I2551" s="6" t="str">
        <f>_xlfn.CONCAT("Art. złączny do produktu ",Tabela10[[#This Row],[KOD_PRODUKTU]])</f>
        <v>Art. złączny do produktu 940K35-210</v>
      </c>
      <c r="J2551" s="6" t="str">
        <f>_xlfn.CONCAT("VE-",Tabela10[[#This Row],[KOD_PRODUKTU]])</f>
        <v>VE-940K35-210</v>
      </c>
    </row>
    <row r="2552" spans="1:10" x14ac:dyDescent="0.25">
      <c r="A2552" s="7" t="s">
        <v>5155</v>
      </c>
      <c r="B2552" s="6" t="s">
        <v>5156</v>
      </c>
      <c r="C2552" s="7" t="s">
        <v>432</v>
      </c>
      <c r="D2552" s="6" t="s">
        <v>433</v>
      </c>
      <c r="E2552" s="6" t="s">
        <v>434</v>
      </c>
      <c r="F2552" s="6" t="s">
        <v>435</v>
      </c>
      <c r="G2552" s="6" t="s">
        <v>1177</v>
      </c>
      <c r="H2552" s="6">
        <v>3.8</v>
      </c>
      <c r="I2552" s="6" t="str">
        <f>_xlfn.CONCAT("Art. złączny do produktu ",Tabela10[[#This Row],[KOD_PRODUKTU]])</f>
        <v>Art. złączny do produktu 940K35-210</v>
      </c>
      <c r="J2552" s="6" t="str">
        <f>_xlfn.CONCAT("VE-",Tabela10[[#This Row],[KOD_PRODUKTU]])</f>
        <v>VE-940K35-210</v>
      </c>
    </row>
    <row r="2553" spans="1:10" x14ac:dyDescent="0.25">
      <c r="A2553" s="1" t="s">
        <v>5155</v>
      </c>
      <c r="B2553" t="s">
        <v>5156</v>
      </c>
      <c r="C2553" s="1" t="s">
        <v>7</v>
      </c>
      <c r="D2553" t="s">
        <v>8</v>
      </c>
      <c r="E2553" t="s">
        <v>9</v>
      </c>
      <c r="F2553" t="s">
        <v>10</v>
      </c>
      <c r="G2553" t="s">
        <v>1192</v>
      </c>
      <c r="H2553">
        <v>11.92</v>
      </c>
      <c r="I2553" s="6" t="str">
        <f>_xlfn.CONCAT("Art. złączny do produktu ",Tabela10[[#This Row],[KOD_PRODUKTU]])</f>
        <v>Art. złączny do produktu 940K35-210</v>
      </c>
      <c r="J2553" s="6" t="str">
        <f>_xlfn.CONCAT("VE-",Tabela10[[#This Row],[KOD_PRODUKTU]])</f>
        <v>VE-940K35-210</v>
      </c>
    </row>
    <row r="2554" spans="1:10" x14ac:dyDescent="0.25">
      <c r="A2554" s="7" t="s">
        <v>5157</v>
      </c>
      <c r="B2554" s="6" t="s">
        <v>5158</v>
      </c>
      <c r="C2554" s="7" t="s">
        <v>1188</v>
      </c>
      <c r="D2554" s="6" t="s">
        <v>1189</v>
      </c>
      <c r="E2554" s="6" t="s">
        <v>1190</v>
      </c>
      <c r="F2554" s="6" t="s">
        <v>5</v>
      </c>
      <c r="G2554" s="6" t="s">
        <v>5159</v>
      </c>
      <c r="H2554" s="6">
        <v>3.94</v>
      </c>
      <c r="I2554" s="6" t="str">
        <f>_xlfn.CONCAT("Art. złączny do produktu ",Tabela10[[#This Row],[KOD_PRODUKTU]])</f>
        <v>Art. złączny do produktu 940K36-210</v>
      </c>
      <c r="J2554" s="6" t="str">
        <f>_xlfn.CONCAT("VE-",Tabela10[[#This Row],[KOD_PRODUKTU]])</f>
        <v>VE-940K36-210</v>
      </c>
    </row>
    <row r="2555" spans="1:10" x14ac:dyDescent="0.25">
      <c r="A2555" s="1" t="s">
        <v>5157</v>
      </c>
      <c r="B2555" t="s">
        <v>5158</v>
      </c>
      <c r="C2555" s="1" t="s">
        <v>432</v>
      </c>
      <c r="D2555" t="s">
        <v>433</v>
      </c>
      <c r="E2555" t="s">
        <v>434</v>
      </c>
      <c r="F2555" t="s">
        <v>435</v>
      </c>
      <c r="G2555" t="s">
        <v>5160</v>
      </c>
      <c r="H2555">
        <v>1.9</v>
      </c>
      <c r="I2555" s="6" t="str">
        <f>_xlfn.CONCAT("Art. złączny do produktu ",Tabela10[[#This Row],[KOD_PRODUKTU]])</f>
        <v>Art. złączny do produktu 940K36-210</v>
      </c>
      <c r="J2555" s="6" t="str">
        <f>_xlfn.CONCAT("VE-",Tabela10[[#This Row],[KOD_PRODUKTU]])</f>
        <v>VE-940K36-210</v>
      </c>
    </row>
    <row r="2556" spans="1:10" x14ac:dyDescent="0.25">
      <c r="A2556" s="7" t="s">
        <v>5157</v>
      </c>
      <c r="B2556" s="6" t="s">
        <v>5158</v>
      </c>
      <c r="C2556" s="7" t="s">
        <v>541</v>
      </c>
      <c r="D2556" s="6" t="s">
        <v>542</v>
      </c>
      <c r="E2556" s="6" t="s">
        <v>9</v>
      </c>
      <c r="F2556" s="6" t="s">
        <v>10</v>
      </c>
      <c r="G2556" s="6" t="s">
        <v>5161</v>
      </c>
      <c r="H2556" s="6">
        <v>4.25</v>
      </c>
      <c r="I2556" s="6" t="str">
        <f>_xlfn.CONCAT("Art. złączny do produktu ",Tabela10[[#This Row],[KOD_PRODUKTU]])</f>
        <v>Art. złączny do produktu 940K36-210</v>
      </c>
      <c r="J2556" s="6" t="str">
        <f>_xlfn.CONCAT("VE-",Tabela10[[#This Row],[KOD_PRODUKTU]])</f>
        <v>VE-940K36-210</v>
      </c>
    </row>
    <row r="2557" spans="1:10" x14ac:dyDescent="0.25">
      <c r="A2557" s="1" t="s">
        <v>5162</v>
      </c>
      <c r="B2557" t="s">
        <v>5163</v>
      </c>
      <c r="C2557" s="1" t="s">
        <v>1188</v>
      </c>
      <c r="D2557" t="s">
        <v>1189</v>
      </c>
      <c r="E2557" t="s">
        <v>1190</v>
      </c>
      <c r="F2557" t="s">
        <v>5</v>
      </c>
      <c r="G2557" t="s">
        <v>5164</v>
      </c>
      <c r="H2557">
        <v>6.85</v>
      </c>
      <c r="I2557" s="6" t="str">
        <f>_xlfn.CONCAT("Art. złączny do produktu ",Tabela10[[#This Row],[KOD_PRODUKTU]])</f>
        <v>Art. złączny do produktu 940K37-210</v>
      </c>
      <c r="J2557" s="6" t="str">
        <f>_xlfn.CONCAT("VE-",Tabela10[[#This Row],[KOD_PRODUKTU]])</f>
        <v>VE-940K37-210</v>
      </c>
    </row>
    <row r="2558" spans="1:10" x14ac:dyDescent="0.25">
      <c r="A2558" s="7" t="s">
        <v>5162</v>
      </c>
      <c r="B2558" s="6" t="s">
        <v>5163</v>
      </c>
      <c r="C2558" s="7" t="s">
        <v>432</v>
      </c>
      <c r="D2558" s="6" t="s">
        <v>433</v>
      </c>
      <c r="E2558" s="6" t="s">
        <v>434</v>
      </c>
      <c r="F2558" s="6" t="s">
        <v>435</v>
      </c>
      <c r="G2558" s="6" t="s">
        <v>5165</v>
      </c>
      <c r="H2558" s="6">
        <v>0.35</v>
      </c>
      <c r="I2558" s="6" t="str">
        <f>_xlfn.CONCAT("Art. złączny do produktu ",Tabela10[[#This Row],[KOD_PRODUKTU]])</f>
        <v>Art. złączny do produktu 940K37-210</v>
      </c>
      <c r="J2558" s="6" t="str">
        <f>_xlfn.CONCAT("VE-",Tabela10[[#This Row],[KOD_PRODUKTU]])</f>
        <v>VE-940K37-210</v>
      </c>
    </row>
    <row r="2559" spans="1:10" x14ac:dyDescent="0.25">
      <c r="A2559" s="1" t="s">
        <v>5162</v>
      </c>
      <c r="B2559" t="s">
        <v>5163</v>
      </c>
      <c r="C2559" s="1" t="s">
        <v>7</v>
      </c>
      <c r="D2559" t="s">
        <v>8</v>
      </c>
      <c r="E2559" t="s">
        <v>9</v>
      </c>
      <c r="F2559" t="s">
        <v>10</v>
      </c>
      <c r="G2559" t="s">
        <v>5144</v>
      </c>
      <c r="H2559">
        <v>11.81</v>
      </c>
      <c r="I2559" s="6" t="str">
        <f>_xlfn.CONCAT("Art. złączny do produktu ",Tabela10[[#This Row],[KOD_PRODUKTU]])</f>
        <v>Art. złączny do produktu 940K37-210</v>
      </c>
      <c r="J2559" s="6" t="str">
        <f>_xlfn.CONCAT("VE-",Tabela10[[#This Row],[KOD_PRODUKTU]])</f>
        <v>VE-940K37-210</v>
      </c>
    </row>
    <row r="2560" spans="1:10" x14ac:dyDescent="0.25">
      <c r="A2560" s="7" t="s">
        <v>5166</v>
      </c>
      <c r="B2560" s="6" t="s">
        <v>5167</v>
      </c>
      <c r="C2560" s="7" t="s">
        <v>1203</v>
      </c>
      <c r="D2560" s="6" t="s">
        <v>1204</v>
      </c>
      <c r="E2560" s="6" t="s">
        <v>216</v>
      </c>
      <c r="F2560" s="6" t="s">
        <v>5</v>
      </c>
      <c r="G2560" s="6" t="s">
        <v>25</v>
      </c>
      <c r="H2560" s="6">
        <v>0.42</v>
      </c>
      <c r="I2560" s="6" t="str">
        <f>_xlfn.CONCAT("Art. złączny do produktu ",Tabela10[[#This Row],[KOD_PRODUKTU]])</f>
        <v>Art. złączny do produktu 940M99-100</v>
      </c>
      <c r="J2560" s="6" t="str">
        <f>_xlfn.CONCAT("VE-",Tabela10[[#This Row],[KOD_PRODUKTU]])</f>
        <v>VE-940M99-100</v>
      </c>
    </row>
    <row r="2561" spans="1:10" x14ac:dyDescent="0.25">
      <c r="A2561" s="1" t="s">
        <v>5166</v>
      </c>
      <c r="B2561" t="s">
        <v>5167</v>
      </c>
      <c r="C2561" s="1" t="s">
        <v>432</v>
      </c>
      <c r="D2561" t="s">
        <v>433</v>
      </c>
      <c r="E2561" t="s">
        <v>434</v>
      </c>
      <c r="F2561" t="s">
        <v>435</v>
      </c>
      <c r="G2561" t="s">
        <v>50</v>
      </c>
      <c r="H2561">
        <v>1.1000000000000001</v>
      </c>
      <c r="I2561" s="6" t="str">
        <f>_xlfn.CONCAT("Art. złączny do produktu ",Tabela10[[#This Row],[KOD_PRODUKTU]])</f>
        <v>Art. złączny do produktu 940M99-100</v>
      </c>
      <c r="J2561" s="6" t="str">
        <f>_xlfn.CONCAT("VE-",Tabela10[[#This Row],[KOD_PRODUKTU]])</f>
        <v>VE-940M99-100</v>
      </c>
    </row>
    <row r="2562" spans="1:10" x14ac:dyDescent="0.25">
      <c r="A2562" s="7" t="s">
        <v>5166</v>
      </c>
      <c r="B2562" s="6" t="s">
        <v>5167</v>
      </c>
      <c r="C2562" s="7" t="s">
        <v>541</v>
      </c>
      <c r="D2562" s="6" t="s">
        <v>542</v>
      </c>
      <c r="E2562" s="6" t="s">
        <v>9</v>
      </c>
      <c r="F2562" s="6" t="s">
        <v>10</v>
      </c>
      <c r="G2562" s="6" t="s">
        <v>5168</v>
      </c>
      <c r="H2562" s="6">
        <v>3.3</v>
      </c>
      <c r="I2562" s="6" t="str">
        <f>_xlfn.CONCAT("Art. złączny do produktu ",Tabela10[[#This Row],[KOD_PRODUKTU]])</f>
        <v>Art. złączny do produktu 940M99-100</v>
      </c>
      <c r="J2562" s="6" t="str">
        <f>_xlfn.CONCAT("VE-",Tabela10[[#This Row],[KOD_PRODUKTU]])</f>
        <v>VE-940M99-100</v>
      </c>
    </row>
    <row r="2563" spans="1:10" x14ac:dyDescent="0.25">
      <c r="A2563" s="1" t="s">
        <v>5169</v>
      </c>
      <c r="B2563" t="s">
        <v>5170</v>
      </c>
      <c r="C2563" s="1" t="s">
        <v>1188</v>
      </c>
      <c r="D2563" t="s">
        <v>1189</v>
      </c>
      <c r="E2563" t="s">
        <v>1190</v>
      </c>
      <c r="F2563" t="s">
        <v>5</v>
      </c>
      <c r="G2563" t="s">
        <v>1787</v>
      </c>
      <c r="H2563">
        <v>0.41</v>
      </c>
      <c r="I2563" s="6" t="str">
        <f>_xlfn.CONCAT("Art. złączny do produktu ",Tabela10[[#This Row],[KOD_PRODUKTU]])</f>
        <v>Art. złączny do produktu 943P28-500</v>
      </c>
      <c r="J2563" s="6" t="str">
        <f>_xlfn.CONCAT("VE-",Tabela10[[#This Row],[KOD_PRODUKTU]])</f>
        <v>VE-943P28-500</v>
      </c>
    </row>
    <row r="2564" spans="1:10" x14ac:dyDescent="0.25">
      <c r="A2564" s="7" t="s">
        <v>5169</v>
      </c>
      <c r="B2564" s="6" t="s">
        <v>5170</v>
      </c>
      <c r="C2564" s="7" t="s">
        <v>7</v>
      </c>
      <c r="D2564" s="6" t="s">
        <v>8</v>
      </c>
      <c r="E2564" s="6" t="s">
        <v>9</v>
      </c>
      <c r="F2564" s="6" t="s">
        <v>10</v>
      </c>
      <c r="G2564" s="6" t="s">
        <v>367</v>
      </c>
      <c r="H2564" s="6">
        <v>2.2999999999999998</v>
      </c>
      <c r="I2564" s="6" t="str">
        <f>_xlfn.CONCAT("Art. złączny do produktu ",Tabela10[[#This Row],[KOD_PRODUKTU]])</f>
        <v>Art. złączny do produktu 943P28-500</v>
      </c>
      <c r="J2564" s="6" t="str">
        <f>_xlfn.CONCAT("VE-",Tabela10[[#This Row],[KOD_PRODUKTU]])</f>
        <v>VE-943P28-500</v>
      </c>
    </row>
    <row r="2565" spans="1:10" x14ac:dyDescent="0.25">
      <c r="A2565" s="1" t="s">
        <v>5174</v>
      </c>
      <c r="B2565" t="s">
        <v>5175</v>
      </c>
      <c r="C2565" s="1" t="s">
        <v>3087</v>
      </c>
      <c r="D2565" t="s">
        <v>3088</v>
      </c>
      <c r="E2565" t="s">
        <v>3089</v>
      </c>
      <c r="F2565" t="s">
        <v>17</v>
      </c>
      <c r="G2565" t="s">
        <v>5176</v>
      </c>
      <c r="H2565">
        <v>6.82</v>
      </c>
      <c r="I2565" s="6" t="str">
        <f>_xlfn.CONCAT("Art. złączny do produktu ",Tabela10[[#This Row],[KOD_PRODUKTU]])</f>
        <v>Art. złączny do produktu 943W18-200</v>
      </c>
      <c r="J2565" s="6" t="str">
        <f>_xlfn.CONCAT("VE-",Tabela10[[#This Row],[KOD_PRODUKTU]])</f>
        <v>VE-943W18-200</v>
      </c>
    </row>
    <row r="2566" spans="1:10" x14ac:dyDescent="0.25">
      <c r="A2566" s="7" t="s">
        <v>5174</v>
      </c>
      <c r="B2566" s="6" t="s">
        <v>5175</v>
      </c>
      <c r="C2566" s="7" t="s">
        <v>541</v>
      </c>
      <c r="D2566" s="6" t="s">
        <v>542</v>
      </c>
      <c r="E2566" s="6" t="s">
        <v>9</v>
      </c>
      <c r="F2566" s="6" t="s">
        <v>10</v>
      </c>
      <c r="G2566" s="6" t="s">
        <v>5177</v>
      </c>
      <c r="H2566" s="6">
        <v>3.89</v>
      </c>
      <c r="I2566" s="6" t="str">
        <f>_xlfn.CONCAT("Art. złączny do produktu ",Tabela10[[#This Row],[KOD_PRODUKTU]])</f>
        <v>Art. złączny do produktu 943W18-200</v>
      </c>
      <c r="J2566" s="6" t="str">
        <f>_xlfn.CONCAT("VE-",Tabela10[[#This Row],[KOD_PRODUKTU]])</f>
        <v>VE-943W18-200</v>
      </c>
    </row>
    <row r="2567" spans="1:10" x14ac:dyDescent="0.25">
      <c r="A2567" s="1" t="s">
        <v>5178</v>
      </c>
      <c r="B2567" t="s">
        <v>5179</v>
      </c>
      <c r="C2567" s="1" t="s">
        <v>3317</v>
      </c>
      <c r="D2567" t="s">
        <v>3318</v>
      </c>
      <c r="E2567" t="s">
        <v>1017</v>
      </c>
      <c r="F2567" t="s">
        <v>5</v>
      </c>
      <c r="G2567" t="s">
        <v>1961</v>
      </c>
      <c r="H2567">
        <v>3.13</v>
      </c>
      <c r="I2567" s="6" t="str">
        <f>_xlfn.CONCAT("Art. złączny do produktu ",Tabela10[[#This Row],[KOD_PRODUKTU]])</f>
        <v>Art. złączny do produktu 943W18-300</v>
      </c>
      <c r="J2567" s="6" t="str">
        <f>_xlfn.CONCAT("VE-",Tabela10[[#This Row],[KOD_PRODUKTU]])</f>
        <v>VE-943W18-300</v>
      </c>
    </row>
    <row r="2568" spans="1:10" x14ac:dyDescent="0.25">
      <c r="A2568" s="7" t="s">
        <v>5178</v>
      </c>
      <c r="B2568" s="6" t="s">
        <v>5179</v>
      </c>
      <c r="C2568" s="7" t="s">
        <v>541</v>
      </c>
      <c r="D2568" s="6" t="s">
        <v>542</v>
      </c>
      <c r="E2568" s="6" t="s">
        <v>9</v>
      </c>
      <c r="F2568" s="6" t="s">
        <v>10</v>
      </c>
      <c r="G2568" s="6" t="s">
        <v>3514</v>
      </c>
      <c r="H2568" s="6">
        <v>4.8499999999999996</v>
      </c>
      <c r="I2568" s="6" t="str">
        <f>_xlfn.CONCAT("Art. złączny do produktu ",Tabela10[[#This Row],[KOD_PRODUKTU]])</f>
        <v>Art. złączny do produktu 943W18-300</v>
      </c>
      <c r="J2568" s="6" t="str">
        <f>_xlfn.CONCAT("VE-",Tabela10[[#This Row],[KOD_PRODUKTU]])</f>
        <v>VE-943W18-300</v>
      </c>
    </row>
    <row r="2569" spans="1:10" x14ac:dyDescent="0.25">
      <c r="A2569" s="1" t="s">
        <v>5180</v>
      </c>
      <c r="B2569" t="s">
        <v>5181</v>
      </c>
      <c r="C2569" s="1" t="s">
        <v>3087</v>
      </c>
      <c r="D2569" t="s">
        <v>3088</v>
      </c>
      <c r="E2569" t="s">
        <v>3089</v>
      </c>
      <c r="F2569" t="s">
        <v>17</v>
      </c>
      <c r="G2569" t="s">
        <v>19</v>
      </c>
      <c r="H2569">
        <v>7.37</v>
      </c>
      <c r="I2569" s="6" t="str">
        <f>_xlfn.CONCAT("Art. złączny do produktu ",Tabela10[[#This Row],[KOD_PRODUKTU]])</f>
        <v>Art. złączny do produktu 943W18-400</v>
      </c>
      <c r="J2569" s="6" t="str">
        <f>_xlfn.CONCAT("VE-",Tabela10[[#This Row],[KOD_PRODUKTU]])</f>
        <v>VE-943W18-400</v>
      </c>
    </row>
    <row r="2570" spans="1:10" x14ac:dyDescent="0.25">
      <c r="A2570" s="7" t="s">
        <v>5180</v>
      </c>
      <c r="B2570" s="6" t="s">
        <v>5181</v>
      </c>
      <c r="C2570" s="7" t="s">
        <v>7</v>
      </c>
      <c r="D2570" s="6" t="s">
        <v>8</v>
      </c>
      <c r="E2570" s="6" t="s">
        <v>9</v>
      </c>
      <c r="F2570" s="6" t="s">
        <v>10</v>
      </c>
      <c r="G2570" s="6" t="s">
        <v>4203</v>
      </c>
      <c r="H2570" s="6">
        <v>7.23</v>
      </c>
      <c r="I2570" s="6" t="str">
        <f>_xlfn.CONCAT("Art. złączny do produktu ",Tabela10[[#This Row],[KOD_PRODUKTU]])</f>
        <v>Art. złączny do produktu 943W18-400</v>
      </c>
      <c r="J2570" s="6" t="str">
        <f>_xlfn.CONCAT("VE-",Tabela10[[#This Row],[KOD_PRODUKTU]])</f>
        <v>VE-943W18-400</v>
      </c>
    </row>
    <row r="2571" spans="1:10" x14ac:dyDescent="0.25">
      <c r="A2571" s="1" t="s">
        <v>5182</v>
      </c>
      <c r="B2571" t="s">
        <v>5183</v>
      </c>
      <c r="C2571" s="1" t="s">
        <v>5184</v>
      </c>
      <c r="D2571" t="s">
        <v>5185</v>
      </c>
      <c r="E2571" t="s">
        <v>1768</v>
      </c>
      <c r="F2571" t="s">
        <v>17</v>
      </c>
      <c r="G2571" t="s">
        <v>367</v>
      </c>
      <c r="H2571">
        <v>0</v>
      </c>
      <c r="I2571" s="6" t="str">
        <f>_xlfn.CONCAT("Art. złączny do produktu ",Tabela10[[#This Row],[KOD_PRODUKTU]])</f>
        <v>Art. złączny do produktu 943W18-500</v>
      </c>
      <c r="J2571" s="6" t="str">
        <f>_xlfn.CONCAT("VE-",Tabela10[[#This Row],[KOD_PRODUKTU]])</f>
        <v>VE-943W18-500</v>
      </c>
    </row>
    <row r="2572" spans="1:10" x14ac:dyDescent="0.25">
      <c r="A2572" s="7" t="s">
        <v>5182</v>
      </c>
      <c r="B2572" s="6" t="s">
        <v>5183</v>
      </c>
      <c r="C2572" s="7" t="s">
        <v>541</v>
      </c>
      <c r="D2572" s="6" t="s">
        <v>542</v>
      </c>
      <c r="E2572" s="6" t="s">
        <v>9</v>
      </c>
      <c r="F2572" s="6" t="s">
        <v>10</v>
      </c>
      <c r="G2572" s="6" t="s">
        <v>4203</v>
      </c>
      <c r="H2572" s="6">
        <v>7.23</v>
      </c>
      <c r="I2572" s="6" t="str">
        <f>_xlfn.CONCAT("Art. złączny do produktu ",Tabela10[[#This Row],[KOD_PRODUKTU]])</f>
        <v>Art. złączny do produktu 943W18-500</v>
      </c>
      <c r="J2572" s="6" t="str">
        <f>_xlfn.CONCAT("VE-",Tabela10[[#This Row],[KOD_PRODUKTU]])</f>
        <v>VE-943W18-500</v>
      </c>
    </row>
    <row r="2573" spans="1:10" x14ac:dyDescent="0.25">
      <c r="A2573" s="1" t="s">
        <v>5186</v>
      </c>
      <c r="B2573" t="s">
        <v>5187</v>
      </c>
      <c r="C2573" s="1" t="s">
        <v>1162</v>
      </c>
      <c r="D2573" t="s">
        <v>1163</v>
      </c>
      <c r="E2573" t="s">
        <v>291</v>
      </c>
      <c r="F2573" t="s">
        <v>5</v>
      </c>
      <c r="G2573" t="s">
        <v>478</v>
      </c>
      <c r="H2573">
        <v>0.53</v>
      </c>
      <c r="I2573" s="6" t="str">
        <f>_xlfn.CONCAT("Art. złączny do produktu ",Tabela10[[#This Row],[KOD_PRODUKTU]])</f>
        <v>Art. złączny do produktu 943W18-600</v>
      </c>
      <c r="J2573" s="6" t="str">
        <f>_xlfn.CONCAT("VE-",Tabela10[[#This Row],[KOD_PRODUKTU]])</f>
        <v>VE-943W18-600</v>
      </c>
    </row>
    <row r="2574" spans="1:10" x14ac:dyDescent="0.25">
      <c r="A2574" s="7" t="s">
        <v>5186</v>
      </c>
      <c r="B2574" s="6" t="s">
        <v>5187</v>
      </c>
      <c r="C2574" s="7" t="s">
        <v>541</v>
      </c>
      <c r="D2574" s="6" t="s">
        <v>542</v>
      </c>
      <c r="E2574" s="6" t="s">
        <v>9</v>
      </c>
      <c r="F2574" s="6" t="s">
        <v>10</v>
      </c>
      <c r="G2574" s="6" t="s">
        <v>5188</v>
      </c>
      <c r="H2574" s="6">
        <v>2.46</v>
      </c>
      <c r="I2574" s="6" t="str">
        <f>_xlfn.CONCAT("Art. złączny do produktu ",Tabela10[[#This Row],[KOD_PRODUKTU]])</f>
        <v>Art. złączny do produktu 943W18-600</v>
      </c>
      <c r="J2574" s="6" t="str">
        <f>_xlfn.CONCAT("VE-",Tabela10[[#This Row],[KOD_PRODUKTU]])</f>
        <v>VE-943W18-600</v>
      </c>
    </row>
    <row r="2575" spans="1:10" x14ac:dyDescent="0.25">
      <c r="A2575" s="1" t="s">
        <v>5214</v>
      </c>
      <c r="B2575" t="s">
        <v>5215</v>
      </c>
      <c r="C2575" s="1" t="s">
        <v>5216</v>
      </c>
      <c r="D2575" t="s">
        <v>5217</v>
      </c>
      <c r="E2575" t="s">
        <v>1394</v>
      </c>
      <c r="F2575" t="s">
        <v>49</v>
      </c>
      <c r="G2575" t="s">
        <v>50</v>
      </c>
      <c r="H2575">
        <v>4</v>
      </c>
      <c r="I2575" s="6" t="str">
        <f>_xlfn.CONCAT("Art. złączny do produktu ",Tabela10[[#This Row],[KOD_PRODUKTU]])</f>
        <v>Art. złączny do produktu 943W21-100</v>
      </c>
      <c r="J2575" s="6" t="str">
        <f>_xlfn.CONCAT("VE-",Tabela10[[#This Row],[KOD_PRODUKTU]])</f>
        <v>VE-943W21-100</v>
      </c>
    </row>
    <row r="2576" spans="1:10" x14ac:dyDescent="0.25">
      <c r="A2576" s="7" t="s">
        <v>5214</v>
      </c>
      <c r="B2576" s="6" t="s">
        <v>5215</v>
      </c>
      <c r="C2576" s="7" t="s">
        <v>2762</v>
      </c>
      <c r="D2576" s="6" t="s">
        <v>2763</v>
      </c>
      <c r="E2576" s="6" t="s">
        <v>311</v>
      </c>
      <c r="F2576" s="6" t="s">
        <v>5</v>
      </c>
      <c r="G2576" s="6" t="s">
        <v>2764</v>
      </c>
      <c r="H2576" s="6">
        <v>18.850000000000001</v>
      </c>
      <c r="I2576" s="6" t="str">
        <f>_xlfn.CONCAT("Art. złączny do produktu ",Tabela10[[#This Row],[KOD_PRODUKTU]])</f>
        <v>Art. złączny do produktu 943W21-100</v>
      </c>
      <c r="J2576" s="6" t="str">
        <f>_xlfn.CONCAT("VE-",Tabela10[[#This Row],[KOD_PRODUKTU]])</f>
        <v>VE-943W21-100</v>
      </c>
    </row>
    <row r="2577" spans="1:10" x14ac:dyDescent="0.25">
      <c r="A2577" s="1" t="s">
        <v>5214</v>
      </c>
      <c r="B2577" t="s">
        <v>5215</v>
      </c>
      <c r="C2577" s="1" t="s">
        <v>3452</v>
      </c>
      <c r="D2577" t="s">
        <v>3453</v>
      </c>
      <c r="E2577" t="s">
        <v>1588</v>
      </c>
      <c r="F2577" t="s">
        <v>39</v>
      </c>
      <c r="G2577" t="s">
        <v>478</v>
      </c>
      <c r="H2577">
        <v>1.56</v>
      </c>
      <c r="I2577" s="6" t="str">
        <f>_xlfn.CONCAT("Art. złączny do produktu ",Tabela10[[#This Row],[KOD_PRODUKTU]])</f>
        <v>Art. złączny do produktu 943W21-100</v>
      </c>
      <c r="J2577" s="6" t="str">
        <f>_xlfn.CONCAT("VE-",Tabela10[[#This Row],[KOD_PRODUKTU]])</f>
        <v>VE-943W21-100</v>
      </c>
    </row>
    <row r="2578" spans="1:10" x14ac:dyDescent="0.25">
      <c r="A2578" s="7" t="s">
        <v>5214</v>
      </c>
      <c r="B2578" s="6" t="s">
        <v>5215</v>
      </c>
      <c r="C2578" s="7" t="s">
        <v>1974</v>
      </c>
      <c r="D2578" s="6" t="s">
        <v>1975</v>
      </c>
      <c r="E2578" s="6" t="s">
        <v>879</v>
      </c>
      <c r="F2578" s="6" t="s">
        <v>121</v>
      </c>
      <c r="G2578" s="6" t="s">
        <v>367</v>
      </c>
      <c r="H2578" s="6">
        <v>0.7</v>
      </c>
      <c r="I2578" s="6" t="str">
        <f>_xlfn.CONCAT("Art. złączny do produktu ",Tabela10[[#This Row],[KOD_PRODUKTU]])</f>
        <v>Art. złączny do produktu 943W21-100</v>
      </c>
      <c r="J2578" s="6" t="str">
        <f>_xlfn.CONCAT("VE-",Tabela10[[#This Row],[KOD_PRODUKTU]])</f>
        <v>VE-943W21-100</v>
      </c>
    </row>
    <row r="2579" spans="1:10" x14ac:dyDescent="0.25">
      <c r="A2579" s="1" t="s">
        <v>5214</v>
      </c>
      <c r="B2579" t="s">
        <v>5215</v>
      </c>
      <c r="C2579" s="1" t="s">
        <v>41</v>
      </c>
      <c r="D2579" t="s">
        <v>42</v>
      </c>
      <c r="E2579" t="s">
        <v>513</v>
      </c>
      <c r="F2579" t="s">
        <v>5</v>
      </c>
      <c r="G2579" t="s">
        <v>615</v>
      </c>
      <c r="H2579">
        <v>0.02</v>
      </c>
      <c r="I2579" s="6" t="str">
        <f>_xlfn.CONCAT("Art. złączny do produktu ",Tabela10[[#This Row],[KOD_PRODUKTU]])</f>
        <v>Art. złączny do produktu 943W21-100</v>
      </c>
      <c r="J2579" s="6" t="str">
        <f>_xlfn.CONCAT("VE-",Tabela10[[#This Row],[KOD_PRODUKTU]])</f>
        <v>VE-943W21-100</v>
      </c>
    </row>
    <row r="2580" spans="1:10" x14ac:dyDescent="0.25">
      <c r="A2580" s="7" t="s">
        <v>5214</v>
      </c>
      <c r="B2580" s="6" t="s">
        <v>5215</v>
      </c>
      <c r="C2580" s="7" t="s">
        <v>684</v>
      </c>
      <c r="D2580" s="6" t="s">
        <v>685</v>
      </c>
      <c r="E2580" s="6" t="s">
        <v>686</v>
      </c>
      <c r="F2580" s="6" t="s">
        <v>49</v>
      </c>
      <c r="G2580" s="6" t="s">
        <v>5218</v>
      </c>
      <c r="H2580" s="6">
        <v>4.3499999999999996</v>
      </c>
      <c r="I2580" s="6" t="str">
        <f>_xlfn.CONCAT("Art. złączny do produktu ",Tabela10[[#This Row],[KOD_PRODUKTU]])</f>
        <v>Art. złączny do produktu 943W21-100</v>
      </c>
      <c r="J2580" s="6" t="str">
        <f>_xlfn.CONCAT("VE-",Tabela10[[#This Row],[KOD_PRODUKTU]])</f>
        <v>VE-943W21-100</v>
      </c>
    </row>
    <row r="2581" spans="1:10" x14ac:dyDescent="0.25">
      <c r="A2581" s="1" t="s">
        <v>5214</v>
      </c>
      <c r="B2581" t="s">
        <v>5215</v>
      </c>
      <c r="C2581" s="1" t="s">
        <v>541</v>
      </c>
      <c r="D2581" t="s">
        <v>542</v>
      </c>
      <c r="E2581" t="s">
        <v>9</v>
      </c>
      <c r="F2581" t="s">
        <v>10</v>
      </c>
      <c r="G2581" t="s">
        <v>4463</v>
      </c>
      <c r="H2581">
        <v>26.55</v>
      </c>
      <c r="I2581" s="6" t="str">
        <f>_xlfn.CONCAT("Art. złączny do produktu ",Tabela10[[#This Row],[KOD_PRODUKTU]])</f>
        <v>Art. złączny do produktu 943W21-100</v>
      </c>
      <c r="J2581" s="6" t="str">
        <f>_xlfn.CONCAT("VE-",Tabela10[[#This Row],[KOD_PRODUKTU]])</f>
        <v>VE-943W21-100</v>
      </c>
    </row>
    <row r="2582" spans="1:10" x14ac:dyDescent="0.25">
      <c r="A2582" s="7" t="s">
        <v>5226</v>
      </c>
      <c r="B2582" s="6" t="s">
        <v>5227</v>
      </c>
      <c r="C2582" s="7" t="s">
        <v>1249</v>
      </c>
      <c r="D2582" s="6" t="s">
        <v>1250</v>
      </c>
      <c r="E2582" s="6" t="s">
        <v>1251</v>
      </c>
      <c r="F2582" s="6" t="s">
        <v>1252</v>
      </c>
      <c r="G2582" s="6" t="s">
        <v>5228</v>
      </c>
      <c r="H2582" s="6">
        <v>63</v>
      </c>
      <c r="I2582" s="6" t="str">
        <f>_xlfn.CONCAT("Art. złączny do produktu ",Tabela10[[#This Row],[KOD_PRODUKTU]])</f>
        <v>Art. złączny do produktu 943W21-200</v>
      </c>
      <c r="J2582" s="6" t="str">
        <f>_xlfn.CONCAT("VE-",Tabela10[[#This Row],[KOD_PRODUKTU]])</f>
        <v>VE-943W21-200</v>
      </c>
    </row>
    <row r="2583" spans="1:10" x14ac:dyDescent="0.25">
      <c r="A2583" s="1" t="s">
        <v>5226</v>
      </c>
      <c r="B2583" t="s">
        <v>5227</v>
      </c>
      <c r="C2583" s="1" t="s">
        <v>7</v>
      </c>
      <c r="D2583" t="s">
        <v>8</v>
      </c>
      <c r="E2583" t="s">
        <v>9</v>
      </c>
      <c r="F2583" t="s">
        <v>10</v>
      </c>
      <c r="G2583" t="s">
        <v>1330</v>
      </c>
      <c r="H2583">
        <v>98.9</v>
      </c>
      <c r="I2583" s="6" t="str">
        <f>_xlfn.CONCAT("Art. złączny do produktu ",Tabela10[[#This Row],[KOD_PRODUKTU]])</f>
        <v>Art. złączny do produktu 943W21-200</v>
      </c>
      <c r="J2583" s="6" t="str">
        <f>_xlfn.CONCAT("VE-",Tabela10[[#This Row],[KOD_PRODUKTU]])</f>
        <v>VE-943W21-200</v>
      </c>
    </row>
    <row r="2584" spans="1:10" x14ac:dyDescent="0.25">
      <c r="A2584" s="7" t="s">
        <v>5226</v>
      </c>
      <c r="B2584" s="6" t="s">
        <v>5227</v>
      </c>
      <c r="C2584" s="7" t="s">
        <v>7</v>
      </c>
      <c r="D2584" s="6" t="s">
        <v>8</v>
      </c>
      <c r="E2584" s="6" t="s">
        <v>9</v>
      </c>
      <c r="F2584" s="6" t="s">
        <v>10</v>
      </c>
      <c r="G2584" s="6" t="s">
        <v>50</v>
      </c>
      <c r="H2584" s="6">
        <v>46</v>
      </c>
      <c r="I2584" s="6" t="str">
        <f>_xlfn.CONCAT("Art. złączny do produktu ",Tabela10[[#This Row],[KOD_PRODUKTU]])</f>
        <v>Art. złączny do produktu 943W21-200</v>
      </c>
      <c r="J2584" s="6" t="str">
        <f>_xlfn.CONCAT("VE-",Tabela10[[#This Row],[KOD_PRODUKTU]])</f>
        <v>VE-943W21-200</v>
      </c>
    </row>
    <row r="2585" spans="1:10" x14ac:dyDescent="0.25">
      <c r="A2585" s="1" t="s">
        <v>5229</v>
      </c>
      <c r="B2585" t="s">
        <v>5230</v>
      </c>
      <c r="C2585" s="1" t="s">
        <v>1249</v>
      </c>
      <c r="D2585" t="s">
        <v>1250</v>
      </c>
      <c r="E2585" t="s">
        <v>1251</v>
      </c>
      <c r="F2585" t="s">
        <v>1252</v>
      </c>
      <c r="G2585" t="s">
        <v>5231</v>
      </c>
      <c r="H2585">
        <v>57</v>
      </c>
      <c r="I2585" s="6" t="str">
        <f>_xlfn.CONCAT("Art. złączny do produktu ",Tabela10[[#This Row],[KOD_PRODUKTU]])</f>
        <v>Art. złączny do produktu 943W21-300</v>
      </c>
      <c r="J2585" s="6" t="str">
        <f>_xlfn.CONCAT("VE-",Tabela10[[#This Row],[KOD_PRODUKTU]])</f>
        <v>VE-943W21-300</v>
      </c>
    </row>
    <row r="2586" spans="1:10" x14ac:dyDescent="0.25">
      <c r="A2586" s="7" t="s">
        <v>5229</v>
      </c>
      <c r="B2586" s="6" t="s">
        <v>5230</v>
      </c>
      <c r="C2586" s="7" t="s">
        <v>7</v>
      </c>
      <c r="D2586" s="6" t="s">
        <v>8</v>
      </c>
      <c r="E2586" s="6" t="s">
        <v>9</v>
      </c>
      <c r="F2586" s="6" t="s">
        <v>10</v>
      </c>
      <c r="G2586" s="6" t="s">
        <v>50</v>
      </c>
      <c r="H2586" s="6">
        <v>46</v>
      </c>
      <c r="I2586" s="6" t="str">
        <f>_xlfn.CONCAT("Art. złączny do produktu ",Tabela10[[#This Row],[KOD_PRODUKTU]])</f>
        <v>Art. złączny do produktu 943W21-300</v>
      </c>
      <c r="J2586" s="6" t="str">
        <f>_xlfn.CONCAT("VE-",Tabela10[[#This Row],[KOD_PRODUKTU]])</f>
        <v>VE-943W21-300</v>
      </c>
    </row>
    <row r="2587" spans="1:10" x14ac:dyDescent="0.25">
      <c r="A2587" s="1" t="s">
        <v>5229</v>
      </c>
      <c r="B2587" t="s">
        <v>5230</v>
      </c>
      <c r="C2587" s="1" t="s">
        <v>7</v>
      </c>
      <c r="D2587" t="s">
        <v>8</v>
      </c>
      <c r="E2587" t="s">
        <v>9</v>
      </c>
      <c r="F2587" t="s">
        <v>10</v>
      </c>
      <c r="G2587" t="s">
        <v>5232</v>
      </c>
      <c r="H2587">
        <v>60.39</v>
      </c>
      <c r="I2587" s="6" t="str">
        <f>_xlfn.CONCAT("Art. złączny do produktu ",Tabela10[[#This Row],[KOD_PRODUKTU]])</f>
        <v>Art. złączny do produktu 943W21-300</v>
      </c>
      <c r="J2587" s="6" t="str">
        <f>_xlfn.CONCAT("VE-",Tabela10[[#This Row],[KOD_PRODUKTU]])</f>
        <v>VE-943W21-300</v>
      </c>
    </row>
    <row r="2588" spans="1:10" x14ac:dyDescent="0.25">
      <c r="A2588" s="7" t="s">
        <v>5233</v>
      </c>
      <c r="B2588" s="6" t="s">
        <v>5234</v>
      </c>
      <c r="C2588" s="7" t="s">
        <v>1249</v>
      </c>
      <c r="D2588" s="6" t="s">
        <v>1250</v>
      </c>
      <c r="E2588" s="6" t="s">
        <v>1251</v>
      </c>
      <c r="F2588" s="6" t="s">
        <v>1252</v>
      </c>
      <c r="G2588" s="6" t="s">
        <v>5231</v>
      </c>
      <c r="H2588" s="6">
        <v>57</v>
      </c>
      <c r="I2588" s="6" t="str">
        <f>_xlfn.CONCAT("Art. złączny do produktu ",Tabela10[[#This Row],[KOD_PRODUKTU]])</f>
        <v>Art. złączny do produktu 943W21-400</v>
      </c>
      <c r="J2588" s="6" t="str">
        <f>_xlfn.CONCAT("VE-",Tabela10[[#This Row],[KOD_PRODUKTU]])</f>
        <v>VE-943W21-400</v>
      </c>
    </row>
    <row r="2589" spans="1:10" x14ac:dyDescent="0.25">
      <c r="A2589" s="1" t="s">
        <v>5233</v>
      </c>
      <c r="B2589" t="s">
        <v>5234</v>
      </c>
      <c r="C2589" s="1" t="s">
        <v>7</v>
      </c>
      <c r="D2589" t="s">
        <v>8</v>
      </c>
      <c r="E2589" t="s">
        <v>9</v>
      </c>
      <c r="F2589" t="s">
        <v>10</v>
      </c>
      <c r="G2589" t="s">
        <v>5235</v>
      </c>
      <c r="H2589">
        <v>121.37</v>
      </c>
      <c r="I2589" s="6" t="str">
        <f>_xlfn.CONCAT("Art. złączny do produktu ",Tabela10[[#This Row],[KOD_PRODUKTU]])</f>
        <v>Art. złączny do produktu 943W21-400</v>
      </c>
      <c r="J2589" s="6" t="str">
        <f>_xlfn.CONCAT("VE-",Tabela10[[#This Row],[KOD_PRODUKTU]])</f>
        <v>VE-943W21-400</v>
      </c>
    </row>
    <row r="2590" spans="1:10" x14ac:dyDescent="0.25">
      <c r="A2590" s="7" t="s">
        <v>5233</v>
      </c>
      <c r="B2590" s="6" t="s">
        <v>5234</v>
      </c>
      <c r="C2590" s="7" t="s">
        <v>7</v>
      </c>
      <c r="D2590" s="6" t="s">
        <v>8</v>
      </c>
      <c r="E2590" s="6" t="s">
        <v>9</v>
      </c>
      <c r="F2590" s="6" t="s">
        <v>10</v>
      </c>
      <c r="G2590" s="6" t="s">
        <v>50</v>
      </c>
      <c r="H2590" s="6">
        <v>46</v>
      </c>
      <c r="I2590" s="6" t="str">
        <f>_xlfn.CONCAT("Art. złączny do produktu ",Tabela10[[#This Row],[KOD_PRODUKTU]])</f>
        <v>Art. złączny do produktu 943W21-400</v>
      </c>
      <c r="J2590" s="6" t="str">
        <f>_xlfn.CONCAT("VE-",Tabela10[[#This Row],[KOD_PRODUKTU]])</f>
        <v>VE-943W21-400</v>
      </c>
    </row>
    <row r="2591" spans="1:10" x14ac:dyDescent="0.25">
      <c r="A2591" s="1" t="s">
        <v>5236</v>
      </c>
      <c r="B2591" t="s">
        <v>5237</v>
      </c>
      <c r="C2591" s="1" t="s">
        <v>1249</v>
      </c>
      <c r="D2591" t="s">
        <v>1250</v>
      </c>
      <c r="E2591" t="s">
        <v>1251</v>
      </c>
      <c r="F2591" t="s">
        <v>1252</v>
      </c>
      <c r="G2591" t="s">
        <v>5238</v>
      </c>
      <c r="H2591">
        <v>6.96</v>
      </c>
      <c r="I2591" s="6" t="str">
        <f>_xlfn.CONCAT("Art. złączny do produktu ",Tabela10[[#This Row],[KOD_PRODUKTU]])</f>
        <v>Art. złączny do produktu 943W21-500</v>
      </c>
      <c r="J2591" s="6" t="str">
        <f>_xlfn.CONCAT("VE-",Tabela10[[#This Row],[KOD_PRODUKTU]])</f>
        <v>VE-943W21-500</v>
      </c>
    </row>
    <row r="2592" spans="1:10" x14ac:dyDescent="0.25">
      <c r="A2592" s="7" t="s">
        <v>5236</v>
      </c>
      <c r="B2592" s="6" t="s">
        <v>5237</v>
      </c>
      <c r="C2592" s="7" t="s">
        <v>7</v>
      </c>
      <c r="D2592" s="6" t="s">
        <v>8</v>
      </c>
      <c r="E2592" s="6" t="s">
        <v>9</v>
      </c>
      <c r="F2592" s="6" t="s">
        <v>10</v>
      </c>
      <c r="G2592" s="6" t="s">
        <v>4839</v>
      </c>
      <c r="H2592" s="6">
        <v>8.08</v>
      </c>
      <c r="I2592" s="6" t="str">
        <f>_xlfn.CONCAT("Art. złączny do produktu ",Tabela10[[#This Row],[KOD_PRODUKTU]])</f>
        <v>Art. złączny do produktu 943W21-500</v>
      </c>
      <c r="J2592" s="6" t="str">
        <f>_xlfn.CONCAT("VE-",Tabela10[[#This Row],[KOD_PRODUKTU]])</f>
        <v>VE-943W21-500</v>
      </c>
    </row>
    <row r="2593" spans="1:10" x14ac:dyDescent="0.25">
      <c r="A2593" s="1" t="s">
        <v>5241</v>
      </c>
      <c r="B2593" t="s">
        <v>5242</v>
      </c>
      <c r="C2593" s="1" t="s">
        <v>1249</v>
      </c>
      <c r="D2593" t="s">
        <v>1250</v>
      </c>
      <c r="E2593" t="s">
        <v>1251</v>
      </c>
      <c r="F2593" t="s">
        <v>1252</v>
      </c>
      <c r="G2593" t="s">
        <v>5243</v>
      </c>
      <c r="H2593">
        <v>113.04</v>
      </c>
      <c r="I2593" s="6" t="str">
        <f>_xlfn.CONCAT("Art. złączny do produktu ",Tabela10[[#This Row],[KOD_PRODUKTU]])</f>
        <v>Art. złączny do produktu 943W22-100</v>
      </c>
      <c r="J2593" s="6" t="str">
        <f>_xlfn.CONCAT("VE-",Tabela10[[#This Row],[KOD_PRODUKTU]])</f>
        <v>VE-943W22-100</v>
      </c>
    </row>
    <row r="2594" spans="1:10" x14ac:dyDescent="0.25">
      <c r="A2594" s="7" t="s">
        <v>5241</v>
      </c>
      <c r="B2594" s="6" t="s">
        <v>5242</v>
      </c>
      <c r="C2594" s="7" t="s">
        <v>7</v>
      </c>
      <c r="D2594" s="6" t="s">
        <v>8</v>
      </c>
      <c r="E2594" s="6" t="s">
        <v>9</v>
      </c>
      <c r="F2594" s="6" t="s">
        <v>10</v>
      </c>
      <c r="G2594" s="6" t="s">
        <v>5244</v>
      </c>
      <c r="H2594" s="6">
        <v>136.71</v>
      </c>
      <c r="I2594" s="6" t="str">
        <f>_xlfn.CONCAT("Art. złączny do produktu ",Tabela10[[#This Row],[KOD_PRODUKTU]])</f>
        <v>Art. złączny do produktu 943W22-100</v>
      </c>
      <c r="J2594" s="6" t="str">
        <f>_xlfn.CONCAT("VE-",Tabela10[[#This Row],[KOD_PRODUKTU]])</f>
        <v>VE-943W22-100</v>
      </c>
    </row>
    <row r="2595" spans="1:10" x14ac:dyDescent="0.25">
      <c r="A2595" s="1" t="s">
        <v>5241</v>
      </c>
      <c r="B2595" t="s">
        <v>5242</v>
      </c>
      <c r="C2595" s="1" t="s">
        <v>7</v>
      </c>
      <c r="D2595" t="s">
        <v>8</v>
      </c>
      <c r="E2595" t="s">
        <v>9</v>
      </c>
      <c r="F2595" t="s">
        <v>10</v>
      </c>
      <c r="G2595" t="s">
        <v>92</v>
      </c>
      <c r="H2595">
        <v>92</v>
      </c>
      <c r="I2595" s="6" t="str">
        <f>_xlfn.CONCAT("Art. złączny do produktu ",Tabela10[[#This Row],[KOD_PRODUKTU]])</f>
        <v>Art. złączny do produktu 943W22-100</v>
      </c>
      <c r="J2595" s="6" t="str">
        <f>_xlfn.CONCAT("VE-",Tabela10[[#This Row],[KOD_PRODUKTU]])</f>
        <v>VE-943W22-100</v>
      </c>
    </row>
    <row r="2596" spans="1:10" x14ac:dyDescent="0.25">
      <c r="A2596" s="7" t="s">
        <v>5245</v>
      </c>
      <c r="B2596" s="6" t="s">
        <v>5246</v>
      </c>
      <c r="C2596" s="7" t="s">
        <v>1249</v>
      </c>
      <c r="D2596" s="6" t="s">
        <v>1250</v>
      </c>
      <c r="E2596" s="6" t="s">
        <v>1251</v>
      </c>
      <c r="F2596" s="6" t="s">
        <v>1252</v>
      </c>
      <c r="G2596" s="6" t="s">
        <v>5247</v>
      </c>
      <c r="H2596" s="6">
        <v>109.56</v>
      </c>
      <c r="I2596" s="6" t="str">
        <f>_xlfn.CONCAT("Art. złączny do produktu ",Tabela10[[#This Row],[KOD_PRODUKTU]])</f>
        <v>Art. złączny do produktu 943W22-200</v>
      </c>
      <c r="J2596" s="6" t="str">
        <f>_xlfn.CONCAT("VE-",Tabela10[[#This Row],[KOD_PRODUKTU]])</f>
        <v>VE-943W22-200</v>
      </c>
    </row>
    <row r="2597" spans="1:10" x14ac:dyDescent="0.25">
      <c r="A2597" s="1" t="s">
        <v>5245</v>
      </c>
      <c r="B2597" t="s">
        <v>5246</v>
      </c>
      <c r="C2597" s="1" t="s">
        <v>7</v>
      </c>
      <c r="D2597" t="s">
        <v>8</v>
      </c>
      <c r="E2597" t="s">
        <v>9</v>
      </c>
      <c r="F2597" t="s">
        <v>10</v>
      </c>
      <c r="G2597" t="s">
        <v>5248</v>
      </c>
      <c r="H2597">
        <v>128.08000000000001</v>
      </c>
      <c r="I2597" s="6" t="str">
        <f>_xlfn.CONCAT("Art. złączny do produktu ",Tabela10[[#This Row],[KOD_PRODUKTU]])</f>
        <v>Art. złączny do produktu 943W22-200</v>
      </c>
      <c r="J2597" s="6" t="str">
        <f>_xlfn.CONCAT("VE-",Tabela10[[#This Row],[KOD_PRODUKTU]])</f>
        <v>VE-943W22-200</v>
      </c>
    </row>
    <row r="2598" spans="1:10" x14ac:dyDescent="0.25">
      <c r="A2598" s="7" t="s">
        <v>5245</v>
      </c>
      <c r="B2598" s="6" t="s">
        <v>5246</v>
      </c>
      <c r="C2598" s="7" t="s">
        <v>7</v>
      </c>
      <c r="D2598" s="6" t="s">
        <v>8</v>
      </c>
      <c r="E2598" s="6" t="s">
        <v>9</v>
      </c>
      <c r="F2598" s="6" t="s">
        <v>10</v>
      </c>
      <c r="G2598" s="6" t="s">
        <v>92</v>
      </c>
      <c r="H2598" s="6">
        <v>92</v>
      </c>
      <c r="I2598" s="6" t="str">
        <f>_xlfn.CONCAT("Art. złączny do produktu ",Tabela10[[#This Row],[KOD_PRODUKTU]])</f>
        <v>Art. złączny do produktu 943W22-200</v>
      </c>
      <c r="J2598" s="6" t="str">
        <f>_xlfn.CONCAT("VE-",Tabela10[[#This Row],[KOD_PRODUKTU]])</f>
        <v>VE-943W22-200</v>
      </c>
    </row>
    <row r="2599" spans="1:10" x14ac:dyDescent="0.25">
      <c r="A2599" s="1" t="s">
        <v>5249</v>
      </c>
      <c r="B2599" t="s">
        <v>5250</v>
      </c>
      <c r="C2599" s="1" t="s">
        <v>1249</v>
      </c>
      <c r="D2599" t="s">
        <v>1250</v>
      </c>
      <c r="E2599" t="s">
        <v>1251</v>
      </c>
      <c r="F2599" t="s">
        <v>1252</v>
      </c>
      <c r="G2599" t="s">
        <v>5247</v>
      </c>
      <c r="H2599">
        <v>109.56</v>
      </c>
      <c r="I2599" s="6" t="str">
        <f>_xlfn.CONCAT("Art. złączny do produktu ",Tabela10[[#This Row],[KOD_PRODUKTU]])</f>
        <v>Art. złączny do produktu 943W22-300</v>
      </c>
      <c r="J2599" s="6" t="str">
        <f>_xlfn.CONCAT("VE-",Tabela10[[#This Row],[KOD_PRODUKTU]])</f>
        <v>VE-943W22-300</v>
      </c>
    </row>
    <row r="2600" spans="1:10" x14ac:dyDescent="0.25">
      <c r="A2600" s="7" t="s">
        <v>5249</v>
      </c>
      <c r="B2600" s="6" t="s">
        <v>5250</v>
      </c>
      <c r="C2600" s="7" t="s">
        <v>7</v>
      </c>
      <c r="D2600" s="6" t="s">
        <v>8</v>
      </c>
      <c r="E2600" s="6" t="s">
        <v>9</v>
      </c>
      <c r="F2600" s="6" t="s">
        <v>10</v>
      </c>
      <c r="G2600" s="6" t="s">
        <v>268</v>
      </c>
      <c r="H2600" s="6">
        <v>138</v>
      </c>
      <c r="I2600" s="6" t="str">
        <f>_xlfn.CONCAT("Art. złączny do produktu ",Tabela10[[#This Row],[KOD_PRODUKTU]])</f>
        <v>Art. złączny do produktu 943W22-300</v>
      </c>
      <c r="J2600" s="6" t="str">
        <f>_xlfn.CONCAT("VE-",Tabela10[[#This Row],[KOD_PRODUKTU]])</f>
        <v>VE-943W22-300</v>
      </c>
    </row>
    <row r="2601" spans="1:10" x14ac:dyDescent="0.25">
      <c r="A2601" s="1" t="s">
        <v>5249</v>
      </c>
      <c r="B2601" t="s">
        <v>5250</v>
      </c>
      <c r="C2601" s="1" t="s">
        <v>7</v>
      </c>
      <c r="D2601" t="s">
        <v>8</v>
      </c>
      <c r="E2601" t="s">
        <v>9</v>
      </c>
      <c r="F2601" t="s">
        <v>10</v>
      </c>
      <c r="G2601" t="s">
        <v>92</v>
      </c>
      <c r="H2601">
        <v>92</v>
      </c>
      <c r="I2601" s="6" t="str">
        <f>_xlfn.CONCAT("Art. złączny do produktu ",Tabela10[[#This Row],[KOD_PRODUKTU]])</f>
        <v>Art. złączny do produktu 943W22-300</v>
      </c>
      <c r="J2601" s="6" t="str">
        <f>_xlfn.CONCAT("VE-",Tabela10[[#This Row],[KOD_PRODUKTU]])</f>
        <v>VE-943W22-300</v>
      </c>
    </row>
    <row r="2602" spans="1:10" x14ac:dyDescent="0.25">
      <c r="A2602" s="7" t="s">
        <v>5251</v>
      </c>
      <c r="B2602" s="6" t="s">
        <v>5252</v>
      </c>
      <c r="C2602" s="7" t="s">
        <v>1249</v>
      </c>
      <c r="D2602" s="6" t="s">
        <v>1250</v>
      </c>
      <c r="E2602" s="6" t="s">
        <v>1251</v>
      </c>
      <c r="F2602" s="6" t="s">
        <v>1252</v>
      </c>
      <c r="G2602" s="6" t="s">
        <v>548</v>
      </c>
      <c r="H2602" s="6">
        <v>22.2</v>
      </c>
      <c r="I2602" s="6" t="str">
        <f>_xlfn.CONCAT("Art. złączny do produktu ",Tabela10[[#This Row],[KOD_PRODUKTU]])</f>
        <v>Art. złączny do produktu 943W22-400</v>
      </c>
      <c r="J2602" s="6" t="str">
        <f>_xlfn.CONCAT("VE-",Tabela10[[#This Row],[KOD_PRODUKTU]])</f>
        <v>VE-943W22-400</v>
      </c>
    </row>
    <row r="2603" spans="1:10" x14ac:dyDescent="0.25">
      <c r="A2603" s="1" t="s">
        <v>5251</v>
      </c>
      <c r="B2603" t="s">
        <v>5252</v>
      </c>
      <c r="C2603" s="1" t="s">
        <v>7</v>
      </c>
      <c r="D2603" t="s">
        <v>8</v>
      </c>
      <c r="E2603" t="s">
        <v>9</v>
      </c>
      <c r="F2603" t="s">
        <v>10</v>
      </c>
      <c r="G2603" t="s">
        <v>5253</v>
      </c>
      <c r="H2603">
        <v>23.49</v>
      </c>
      <c r="I2603" s="6" t="str">
        <f>_xlfn.CONCAT("Art. złączny do produktu ",Tabela10[[#This Row],[KOD_PRODUKTU]])</f>
        <v>Art. złączny do produktu 943W22-400</v>
      </c>
      <c r="J2603" s="6" t="str">
        <f>_xlfn.CONCAT("VE-",Tabela10[[#This Row],[KOD_PRODUKTU]])</f>
        <v>VE-943W22-400</v>
      </c>
    </row>
    <row r="2604" spans="1:10" x14ac:dyDescent="0.25">
      <c r="A2604" s="7" t="s">
        <v>5251</v>
      </c>
      <c r="B2604" s="6" t="s">
        <v>5252</v>
      </c>
      <c r="C2604" s="7" t="s">
        <v>7</v>
      </c>
      <c r="D2604" s="6" t="s">
        <v>8</v>
      </c>
      <c r="E2604" s="6" t="s">
        <v>9</v>
      </c>
      <c r="F2604" s="6" t="s">
        <v>10</v>
      </c>
      <c r="G2604" s="6" t="s">
        <v>860</v>
      </c>
      <c r="H2604" s="6">
        <v>23</v>
      </c>
      <c r="I2604" s="6" t="str">
        <f>_xlfn.CONCAT("Art. złączny do produktu ",Tabela10[[#This Row],[KOD_PRODUKTU]])</f>
        <v>Art. złączny do produktu 943W22-400</v>
      </c>
      <c r="J2604" s="6" t="str">
        <f>_xlfn.CONCAT("VE-",Tabela10[[#This Row],[KOD_PRODUKTU]])</f>
        <v>VE-943W22-400</v>
      </c>
    </row>
    <row r="2605" spans="1:10" x14ac:dyDescent="0.25">
      <c r="A2605" s="1" t="s">
        <v>5260</v>
      </c>
      <c r="B2605" t="s">
        <v>5261</v>
      </c>
      <c r="C2605" s="1" t="s">
        <v>5262</v>
      </c>
      <c r="D2605" t="s">
        <v>5263</v>
      </c>
      <c r="E2605" t="s">
        <v>5264</v>
      </c>
      <c r="F2605" t="s">
        <v>121</v>
      </c>
      <c r="G2605" t="s">
        <v>5265</v>
      </c>
      <c r="H2605">
        <v>3.5</v>
      </c>
      <c r="I2605" s="6" t="str">
        <f>_xlfn.CONCAT("Art. złączny do produktu ",Tabela10[[#This Row],[KOD_PRODUKTU]])</f>
        <v>Art. złączny do produktu 943W22-700</v>
      </c>
      <c r="J2605" s="6" t="str">
        <f>_xlfn.CONCAT("VE-",Tabela10[[#This Row],[KOD_PRODUKTU]])</f>
        <v>VE-943W22-700</v>
      </c>
    </row>
    <row r="2606" spans="1:10" x14ac:dyDescent="0.25">
      <c r="A2606" s="7" t="s">
        <v>5260</v>
      </c>
      <c r="B2606" s="6" t="s">
        <v>5261</v>
      </c>
      <c r="C2606" s="7" t="s">
        <v>5266</v>
      </c>
      <c r="D2606" s="6" t="s">
        <v>5267</v>
      </c>
      <c r="E2606" s="6" t="s">
        <v>311</v>
      </c>
      <c r="F2606" s="6" t="s">
        <v>5</v>
      </c>
      <c r="G2606" s="6" t="s">
        <v>5268</v>
      </c>
      <c r="H2606" s="6">
        <v>51.5</v>
      </c>
      <c r="I2606" s="6" t="str">
        <f>_xlfn.CONCAT("Art. złączny do produktu ",Tabela10[[#This Row],[KOD_PRODUKTU]])</f>
        <v>Art. złączny do produktu 943W22-700</v>
      </c>
      <c r="J2606" s="6" t="str">
        <f>_xlfn.CONCAT("VE-",Tabela10[[#This Row],[KOD_PRODUKTU]])</f>
        <v>VE-943W22-700</v>
      </c>
    </row>
    <row r="2607" spans="1:10" x14ac:dyDescent="0.25">
      <c r="A2607" s="1" t="s">
        <v>5260</v>
      </c>
      <c r="B2607" t="s">
        <v>5261</v>
      </c>
      <c r="C2607" s="1" t="s">
        <v>3452</v>
      </c>
      <c r="D2607" t="s">
        <v>3453</v>
      </c>
      <c r="E2607" t="s">
        <v>1588</v>
      </c>
      <c r="F2607" t="s">
        <v>39</v>
      </c>
      <c r="G2607" t="s">
        <v>25</v>
      </c>
      <c r="H2607">
        <v>1.17</v>
      </c>
      <c r="I2607" s="6" t="str">
        <f>_xlfn.CONCAT("Art. złączny do produktu ",Tabela10[[#This Row],[KOD_PRODUKTU]])</f>
        <v>Art. złączny do produktu 943W22-700</v>
      </c>
      <c r="J2607" s="6" t="str">
        <f>_xlfn.CONCAT("VE-",Tabela10[[#This Row],[KOD_PRODUKTU]])</f>
        <v>VE-943W22-700</v>
      </c>
    </row>
    <row r="2608" spans="1:10" x14ac:dyDescent="0.25">
      <c r="A2608" s="7" t="s">
        <v>5260</v>
      </c>
      <c r="B2608" s="6" t="s">
        <v>5261</v>
      </c>
      <c r="C2608" s="7" t="s">
        <v>2791</v>
      </c>
      <c r="D2608" s="6" t="s">
        <v>2792</v>
      </c>
      <c r="E2608" s="6" t="s">
        <v>2793</v>
      </c>
      <c r="F2608" s="6" t="s">
        <v>121</v>
      </c>
      <c r="G2608" s="6" t="s">
        <v>5269</v>
      </c>
      <c r="H2608" s="6">
        <v>3.05</v>
      </c>
      <c r="I2608" s="6" t="str">
        <f>_xlfn.CONCAT("Art. złączny do produktu ",Tabela10[[#This Row],[KOD_PRODUKTU]])</f>
        <v>Art. złączny do produktu 943W22-700</v>
      </c>
      <c r="J2608" s="6" t="str">
        <f>_xlfn.CONCAT("VE-",Tabela10[[#This Row],[KOD_PRODUKTU]])</f>
        <v>VE-943W22-700</v>
      </c>
    </row>
    <row r="2609" spans="1:10" x14ac:dyDescent="0.25">
      <c r="A2609" s="1" t="s">
        <v>5260</v>
      </c>
      <c r="B2609" t="s">
        <v>5261</v>
      </c>
      <c r="C2609" s="1" t="s">
        <v>684</v>
      </c>
      <c r="D2609" t="s">
        <v>685</v>
      </c>
      <c r="E2609" t="s">
        <v>686</v>
      </c>
      <c r="F2609" t="s">
        <v>49</v>
      </c>
      <c r="G2609" t="s">
        <v>5274</v>
      </c>
      <c r="H2609">
        <v>3.7</v>
      </c>
      <c r="I2609" s="6" t="str">
        <f>_xlfn.CONCAT("Art. złączny do produktu ",Tabela10[[#This Row],[KOD_PRODUKTU]])</f>
        <v>Art. złączny do produktu 943W22-700</v>
      </c>
      <c r="J2609" s="6" t="str">
        <f>_xlfn.CONCAT("VE-",Tabela10[[#This Row],[KOD_PRODUKTU]])</f>
        <v>VE-943W22-700</v>
      </c>
    </row>
    <row r="2610" spans="1:10" x14ac:dyDescent="0.25">
      <c r="A2610" s="7" t="s">
        <v>5260</v>
      </c>
      <c r="B2610" s="6" t="s">
        <v>5261</v>
      </c>
      <c r="C2610" s="7" t="s">
        <v>541</v>
      </c>
      <c r="D2610" s="6" t="s">
        <v>542</v>
      </c>
      <c r="E2610" s="6" t="s">
        <v>9</v>
      </c>
      <c r="F2610" s="6" t="s">
        <v>10</v>
      </c>
      <c r="G2610" s="6" t="s">
        <v>5275</v>
      </c>
      <c r="H2610" s="6">
        <v>5.0199999999999996</v>
      </c>
      <c r="I2610" s="6" t="str">
        <f>_xlfn.CONCAT("Art. złączny do produktu ",Tabela10[[#This Row],[KOD_PRODUKTU]])</f>
        <v>Art. złączny do produktu 943W22-700</v>
      </c>
      <c r="J2610" s="6" t="str">
        <f>_xlfn.CONCAT("VE-",Tabela10[[#This Row],[KOD_PRODUKTU]])</f>
        <v>VE-943W22-700</v>
      </c>
    </row>
    <row r="2611" spans="1:10" x14ac:dyDescent="0.25">
      <c r="A2611" s="1" t="s">
        <v>5260</v>
      </c>
      <c r="B2611" t="s">
        <v>5261</v>
      </c>
      <c r="C2611" s="1" t="s">
        <v>541</v>
      </c>
      <c r="D2611" t="s">
        <v>542</v>
      </c>
      <c r="E2611" t="s">
        <v>9</v>
      </c>
      <c r="F2611" t="s">
        <v>10</v>
      </c>
      <c r="G2611" t="s">
        <v>5276</v>
      </c>
      <c r="H2611">
        <v>33.35</v>
      </c>
      <c r="I2611" s="6" t="str">
        <f>_xlfn.CONCAT("Art. złączny do produktu ",Tabela10[[#This Row],[KOD_PRODUKTU]])</f>
        <v>Art. złączny do produktu 943W22-700</v>
      </c>
      <c r="J2611" s="6" t="str">
        <f>_xlfn.CONCAT("VE-",Tabela10[[#This Row],[KOD_PRODUKTU]])</f>
        <v>VE-943W22-700</v>
      </c>
    </row>
    <row r="2612" spans="1:10" x14ac:dyDescent="0.25">
      <c r="A2612" s="7" t="s">
        <v>5277</v>
      </c>
      <c r="B2612" s="6" t="s">
        <v>5278</v>
      </c>
      <c r="C2612" s="7" t="s">
        <v>432</v>
      </c>
      <c r="D2612" s="6" t="s">
        <v>433</v>
      </c>
      <c r="E2612" s="6" t="s">
        <v>434</v>
      </c>
      <c r="F2612" s="6" t="s">
        <v>435</v>
      </c>
      <c r="G2612" s="6" t="s">
        <v>5279</v>
      </c>
      <c r="H2612" s="6">
        <v>4.8600000000000003</v>
      </c>
      <c r="I2612" s="6" t="str">
        <f>_xlfn.CONCAT("Art. złączny do produktu ",Tabela10[[#This Row],[KOD_PRODUKTU]])</f>
        <v>Art. złączny do produktu 943W33-100</v>
      </c>
      <c r="J2612" s="6" t="str">
        <f>_xlfn.CONCAT("VE-",Tabela10[[#This Row],[KOD_PRODUKTU]])</f>
        <v>VE-943W33-100</v>
      </c>
    </row>
    <row r="2613" spans="1:10" x14ac:dyDescent="0.25">
      <c r="A2613" s="1" t="s">
        <v>5277</v>
      </c>
      <c r="B2613" t="s">
        <v>5278</v>
      </c>
      <c r="C2613" s="1" t="s">
        <v>684</v>
      </c>
      <c r="D2613" t="s">
        <v>685</v>
      </c>
      <c r="E2613" t="s">
        <v>686</v>
      </c>
      <c r="F2613" t="s">
        <v>49</v>
      </c>
      <c r="G2613" t="s">
        <v>5280</v>
      </c>
      <c r="H2613">
        <v>6.75</v>
      </c>
      <c r="I2613" s="6" t="str">
        <f>_xlfn.CONCAT("Art. złączny do produktu ",Tabela10[[#This Row],[KOD_PRODUKTU]])</f>
        <v>Art. złączny do produktu 943W33-100</v>
      </c>
      <c r="J2613" s="6" t="str">
        <f>_xlfn.CONCAT("VE-",Tabela10[[#This Row],[KOD_PRODUKTU]])</f>
        <v>VE-943W33-100</v>
      </c>
    </row>
    <row r="2614" spans="1:10" x14ac:dyDescent="0.25">
      <c r="A2614" s="7" t="s">
        <v>5277</v>
      </c>
      <c r="B2614" s="6" t="s">
        <v>5278</v>
      </c>
      <c r="C2614" s="7" t="s">
        <v>7</v>
      </c>
      <c r="D2614" s="6" t="s">
        <v>8</v>
      </c>
      <c r="E2614" s="6" t="s">
        <v>9</v>
      </c>
      <c r="F2614" s="6" t="s">
        <v>10</v>
      </c>
      <c r="G2614" s="6" t="s">
        <v>1191</v>
      </c>
      <c r="H2614" s="6">
        <v>50.6</v>
      </c>
      <c r="I2614" s="6" t="str">
        <f>_xlfn.CONCAT("Art. złączny do produktu ",Tabela10[[#This Row],[KOD_PRODUKTU]])</f>
        <v>Art. złączny do produktu 943W33-100</v>
      </c>
      <c r="J2614" s="6" t="str">
        <f>_xlfn.CONCAT("VE-",Tabela10[[#This Row],[KOD_PRODUKTU]])</f>
        <v>VE-943W33-100</v>
      </c>
    </row>
    <row r="2615" spans="1:10" x14ac:dyDescent="0.25">
      <c r="A2615" s="1" t="s">
        <v>5281</v>
      </c>
      <c r="B2615" t="s">
        <v>5282</v>
      </c>
      <c r="C2615" s="1" t="s">
        <v>5283</v>
      </c>
      <c r="D2615" t="s">
        <v>5284</v>
      </c>
      <c r="E2615" t="s">
        <v>328</v>
      </c>
      <c r="F2615" t="s">
        <v>39</v>
      </c>
      <c r="G2615" t="s">
        <v>25</v>
      </c>
      <c r="H2615">
        <v>0.37</v>
      </c>
      <c r="I2615" s="6" t="str">
        <f>_xlfn.CONCAT("Art. złączny do produktu ",Tabela10[[#This Row],[KOD_PRODUKTU]])</f>
        <v>Art. złączny do produktu 943W33-220</v>
      </c>
      <c r="J2615" s="6" t="str">
        <f>_xlfn.CONCAT("VE-",Tabela10[[#This Row],[KOD_PRODUKTU]])</f>
        <v>VE-943W33-220</v>
      </c>
    </row>
    <row r="2616" spans="1:10" x14ac:dyDescent="0.25">
      <c r="A2616" s="7" t="s">
        <v>5281</v>
      </c>
      <c r="B2616" s="6" t="s">
        <v>5282</v>
      </c>
      <c r="C2616" s="7" t="s">
        <v>5285</v>
      </c>
      <c r="D2616" s="6" t="s">
        <v>5286</v>
      </c>
      <c r="E2616" s="6" t="s">
        <v>2670</v>
      </c>
      <c r="F2616" s="6" t="s">
        <v>121</v>
      </c>
      <c r="G2616" s="6" t="s">
        <v>1410</v>
      </c>
      <c r="H2616" s="6">
        <v>1.0900000000000001</v>
      </c>
      <c r="I2616" s="6" t="str">
        <f>_xlfn.CONCAT("Art. złączny do produktu ",Tabela10[[#This Row],[KOD_PRODUKTU]])</f>
        <v>Art. złączny do produktu 943W33-220</v>
      </c>
      <c r="J2616" s="6" t="str">
        <f>_xlfn.CONCAT("VE-",Tabela10[[#This Row],[KOD_PRODUKTU]])</f>
        <v>VE-943W33-220</v>
      </c>
    </row>
    <row r="2617" spans="1:10" x14ac:dyDescent="0.25">
      <c r="A2617" s="1" t="s">
        <v>5281</v>
      </c>
      <c r="B2617" t="s">
        <v>5282</v>
      </c>
      <c r="C2617" s="1" t="s">
        <v>5287</v>
      </c>
      <c r="D2617" t="s">
        <v>5288</v>
      </c>
      <c r="E2617" t="s">
        <v>5289</v>
      </c>
      <c r="F2617" t="s">
        <v>49</v>
      </c>
      <c r="G2617" t="s">
        <v>50</v>
      </c>
      <c r="H2617">
        <v>113.1</v>
      </c>
      <c r="I2617" s="6" t="str">
        <f>_xlfn.CONCAT("Art. złączny do produktu ",Tabela10[[#This Row],[KOD_PRODUKTU]])</f>
        <v>Art. złączny do produktu 943W33-220</v>
      </c>
      <c r="J2617" s="6" t="str">
        <f>_xlfn.CONCAT("VE-",Tabela10[[#This Row],[KOD_PRODUKTU]])</f>
        <v>VE-943W33-220</v>
      </c>
    </row>
    <row r="2618" spans="1:10" x14ac:dyDescent="0.25">
      <c r="A2618" s="7" t="s">
        <v>5281</v>
      </c>
      <c r="B2618" s="6" t="s">
        <v>5282</v>
      </c>
      <c r="C2618" s="7" t="s">
        <v>5290</v>
      </c>
      <c r="D2618" s="6" t="s">
        <v>5291</v>
      </c>
      <c r="E2618" s="6" t="s">
        <v>5292</v>
      </c>
      <c r="F2618" s="6" t="s">
        <v>49</v>
      </c>
      <c r="G2618" s="6" t="s">
        <v>319</v>
      </c>
      <c r="H2618" s="6">
        <v>6.24</v>
      </c>
      <c r="I2618" s="6" t="str">
        <f>_xlfn.CONCAT("Art. złączny do produktu ",Tabela10[[#This Row],[KOD_PRODUKTU]])</f>
        <v>Art. złączny do produktu 943W33-220</v>
      </c>
      <c r="J2618" s="6" t="str">
        <f>_xlfn.CONCAT("VE-",Tabela10[[#This Row],[KOD_PRODUKTU]])</f>
        <v>VE-943W33-220</v>
      </c>
    </row>
    <row r="2619" spans="1:10" x14ac:dyDescent="0.25">
      <c r="A2619" s="1" t="s">
        <v>5281</v>
      </c>
      <c r="B2619" t="s">
        <v>5282</v>
      </c>
      <c r="C2619" s="1" t="s">
        <v>5293</v>
      </c>
      <c r="D2619" t="s">
        <v>5294</v>
      </c>
      <c r="E2619" t="s">
        <v>5295</v>
      </c>
      <c r="F2619" t="s">
        <v>49</v>
      </c>
      <c r="G2619" t="s">
        <v>122</v>
      </c>
      <c r="H2619">
        <v>27.04</v>
      </c>
      <c r="I2619" s="6" t="str">
        <f>_xlfn.CONCAT("Art. złączny do produktu ",Tabela10[[#This Row],[KOD_PRODUKTU]])</f>
        <v>Art. złączny do produktu 943W33-220</v>
      </c>
      <c r="J2619" s="6" t="str">
        <f>_xlfn.CONCAT("VE-",Tabela10[[#This Row],[KOD_PRODUKTU]])</f>
        <v>VE-943W33-220</v>
      </c>
    </row>
    <row r="2620" spans="1:10" x14ac:dyDescent="0.25">
      <c r="A2620" s="7" t="s">
        <v>5281</v>
      </c>
      <c r="B2620" s="6" t="s">
        <v>5282</v>
      </c>
      <c r="C2620" s="7" t="s">
        <v>5296</v>
      </c>
      <c r="D2620" s="6" t="s">
        <v>5297</v>
      </c>
      <c r="E2620" s="6" t="s">
        <v>5298</v>
      </c>
      <c r="F2620" s="6" t="s">
        <v>49</v>
      </c>
      <c r="G2620" s="6" t="s">
        <v>122</v>
      </c>
      <c r="H2620" s="6">
        <v>100.88</v>
      </c>
      <c r="I2620" s="6" t="str">
        <f>_xlfn.CONCAT("Art. złączny do produktu ",Tabela10[[#This Row],[KOD_PRODUKTU]])</f>
        <v>Art. złączny do produktu 943W33-220</v>
      </c>
      <c r="J2620" s="6" t="str">
        <f>_xlfn.CONCAT("VE-",Tabela10[[#This Row],[KOD_PRODUKTU]])</f>
        <v>VE-943W33-220</v>
      </c>
    </row>
    <row r="2621" spans="1:10" x14ac:dyDescent="0.25">
      <c r="A2621" s="1" t="s">
        <v>5281</v>
      </c>
      <c r="B2621" t="s">
        <v>5282</v>
      </c>
      <c r="C2621" s="1" t="s">
        <v>5299</v>
      </c>
      <c r="D2621" t="s">
        <v>5300</v>
      </c>
      <c r="E2621" t="s">
        <v>4305</v>
      </c>
      <c r="F2621" t="s">
        <v>49</v>
      </c>
      <c r="G2621" t="s">
        <v>122</v>
      </c>
      <c r="H2621">
        <v>63.44</v>
      </c>
      <c r="I2621" s="6" t="str">
        <f>_xlfn.CONCAT("Art. złączny do produktu ",Tabela10[[#This Row],[KOD_PRODUKTU]])</f>
        <v>Art. złączny do produktu 943W33-220</v>
      </c>
      <c r="J2621" s="6" t="str">
        <f>_xlfn.CONCAT("VE-",Tabela10[[#This Row],[KOD_PRODUKTU]])</f>
        <v>VE-943W33-220</v>
      </c>
    </row>
    <row r="2622" spans="1:10" x14ac:dyDescent="0.25">
      <c r="A2622" s="7" t="s">
        <v>5281</v>
      </c>
      <c r="B2622" s="6" t="s">
        <v>5282</v>
      </c>
      <c r="C2622" s="7" t="s">
        <v>857</v>
      </c>
      <c r="D2622" s="6" t="s">
        <v>858</v>
      </c>
      <c r="E2622" s="6" t="s">
        <v>686</v>
      </c>
      <c r="F2622" s="6" t="s">
        <v>49</v>
      </c>
      <c r="G2622" s="6" t="s">
        <v>5301</v>
      </c>
      <c r="H2622" s="6">
        <v>32</v>
      </c>
      <c r="I2622" s="6" t="str">
        <f>_xlfn.CONCAT("Art. złączny do produktu ",Tabela10[[#This Row],[KOD_PRODUKTU]])</f>
        <v>Art. złączny do produktu 943W33-220</v>
      </c>
      <c r="J2622" s="6" t="str">
        <f>_xlfn.CONCAT("VE-",Tabela10[[#This Row],[KOD_PRODUKTU]])</f>
        <v>VE-943W33-220</v>
      </c>
    </row>
    <row r="2623" spans="1:10" x14ac:dyDescent="0.25">
      <c r="A2623" s="1" t="s">
        <v>5281</v>
      </c>
      <c r="B2623" t="s">
        <v>5282</v>
      </c>
      <c r="C2623" s="1" t="s">
        <v>1989</v>
      </c>
      <c r="D2623" t="s">
        <v>1990</v>
      </c>
      <c r="E2623" t="s">
        <v>1991</v>
      </c>
      <c r="F2623" t="s">
        <v>435</v>
      </c>
      <c r="G2623" t="s">
        <v>5302</v>
      </c>
      <c r="H2623">
        <v>109.02</v>
      </c>
      <c r="I2623" s="6" t="str">
        <f>_xlfn.CONCAT("Art. złączny do produktu ",Tabela10[[#This Row],[KOD_PRODUKTU]])</f>
        <v>Art. złączny do produktu 943W33-220</v>
      </c>
      <c r="J2623" s="6" t="str">
        <f>_xlfn.CONCAT("VE-",Tabela10[[#This Row],[KOD_PRODUKTU]])</f>
        <v>VE-943W33-220</v>
      </c>
    </row>
    <row r="2624" spans="1:10" x14ac:dyDescent="0.25">
      <c r="A2624" s="7" t="s">
        <v>5281</v>
      </c>
      <c r="B2624" s="6" t="s">
        <v>5282</v>
      </c>
      <c r="C2624" s="7" t="s">
        <v>684</v>
      </c>
      <c r="D2624" s="6" t="s">
        <v>685</v>
      </c>
      <c r="E2624" s="6" t="s">
        <v>686</v>
      </c>
      <c r="F2624" s="6" t="s">
        <v>49</v>
      </c>
      <c r="G2624" s="6" t="s">
        <v>5303</v>
      </c>
      <c r="H2624" s="6">
        <v>110</v>
      </c>
      <c r="I2624" s="6" t="str">
        <f>_xlfn.CONCAT("Art. złączny do produktu ",Tabela10[[#This Row],[KOD_PRODUKTU]])</f>
        <v>Art. złączny do produktu 943W33-220</v>
      </c>
      <c r="J2624" s="6" t="str">
        <f>_xlfn.CONCAT("VE-",Tabela10[[#This Row],[KOD_PRODUKTU]])</f>
        <v>VE-943W33-220</v>
      </c>
    </row>
    <row r="2625" spans="1:10" x14ac:dyDescent="0.25">
      <c r="A2625" s="1" t="s">
        <v>5281</v>
      </c>
      <c r="B2625" t="s">
        <v>5282</v>
      </c>
      <c r="C2625" s="1" t="s">
        <v>684</v>
      </c>
      <c r="D2625" t="s">
        <v>685</v>
      </c>
      <c r="E2625" t="s">
        <v>686</v>
      </c>
      <c r="F2625" t="s">
        <v>49</v>
      </c>
      <c r="G2625" t="s">
        <v>5304</v>
      </c>
      <c r="H2625">
        <v>15.72</v>
      </c>
      <c r="I2625" s="6" t="str">
        <f>_xlfn.CONCAT("Art. złączny do produktu ",Tabela10[[#This Row],[KOD_PRODUKTU]])</f>
        <v>Art. złączny do produktu 943W33-220</v>
      </c>
      <c r="J2625" s="6" t="str">
        <f>_xlfn.CONCAT("VE-",Tabela10[[#This Row],[KOD_PRODUKTU]])</f>
        <v>VE-943W33-220</v>
      </c>
    </row>
    <row r="2626" spans="1:10" x14ac:dyDescent="0.25">
      <c r="A2626" s="7" t="s">
        <v>5281</v>
      </c>
      <c r="B2626" s="6" t="s">
        <v>5282</v>
      </c>
      <c r="C2626" s="7" t="s">
        <v>684</v>
      </c>
      <c r="D2626" s="6" t="s">
        <v>685</v>
      </c>
      <c r="E2626" s="6" t="s">
        <v>686</v>
      </c>
      <c r="F2626" s="6" t="s">
        <v>49</v>
      </c>
      <c r="G2626" s="6" t="s">
        <v>5305</v>
      </c>
      <c r="H2626" s="6">
        <v>14.48</v>
      </c>
      <c r="I2626" s="6" t="str">
        <f>_xlfn.CONCAT("Art. złączny do produktu ",Tabela10[[#This Row],[KOD_PRODUKTU]])</f>
        <v>Art. złączny do produktu 943W33-220</v>
      </c>
      <c r="J2626" s="6" t="str">
        <f>_xlfn.CONCAT("VE-",Tabela10[[#This Row],[KOD_PRODUKTU]])</f>
        <v>VE-943W33-220</v>
      </c>
    </row>
    <row r="2627" spans="1:10" x14ac:dyDescent="0.25">
      <c r="A2627" s="1" t="s">
        <v>5281</v>
      </c>
      <c r="B2627" t="s">
        <v>5282</v>
      </c>
      <c r="C2627" s="1" t="s">
        <v>541</v>
      </c>
      <c r="D2627" t="s">
        <v>542</v>
      </c>
      <c r="E2627" t="s">
        <v>9</v>
      </c>
      <c r="F2627" t="s">
        <v>10</v>
      </c>
      <c r="G2627" t="s">
        <v>3642</v>
      </c>
      <c r="H2627">
        <v>32.200000000000003</v>
      </c>
      <c r="I2627" s="6" t="str">
        <f>_xlfn.CONCAT("Art. złączny do produktu ",Tabela10[[#This Row],[KOD_PRODUKTU]])</f>
        <v>Art. złączny do produktu 943W33-220</v>
      </c>
      <c r="J2627" s="6" t="str">
        <f>_xlfn.CONCAT("VE-",Tabela10[[#This Row],[KOD_PRODUKTU]])</f>
        <v>VE-943W33-220</v>
      </c>
    </row>
    <row r="2628" spans="1:10" x14ac:dyDescent="0.25">
      <c r="A2628" s="7" t="s">
        <v>5281</v>
      </c>
      <c r="B2628" s="6" t="s">
        <v>5282</v>
      </c>
      <c r="C2628" s="7" t="s">
        <v>7</v>
      </c>
      <c r="D2628" s="6" t="s">
        <v>8</v>
      </c>
      <c r="E2628" s="6" t="s">
        <v>9</v>
      </c>
      <c r="F2628" s="6" t="s">
        <v>10</v>
      </c>
      <c r="G2628" s="6" t="s">
        <v>19</v>
      </c>
      <c r="H2628" s="6">
        <v>4.5999999999999996</v>
      </c>
      <c r="I2628" s="6" t="str">
        <f>_xlfn.CONCAT("Art. złączny do produktu ",Tabela10[[#This Row],[KOD_PRODUKTU]])</f>
        <v>Art. złączny do produktu 943W33-220</v>
      </c>
      <c r="J2628" s="6" t="str">
        <f>_xlfn.CONCAT("VE-",Tabela10[[#This Row],[KOD_PRODUKTU]])</f>
        <v>VE-943W33-220</v>
      </c>
    </row>
    <row r="2629" spans="1:10" x14ac:dyDescent="0.25">
      <c r="A2629" s="1" t="s">
        <v>5281</v>
      </c>
      <c r="B2629" t="s">
        <v>5282</v>
      </c>
      <c r="C2629" s="1" t="s">
        <v>7</v>
      </c>
      <c r="D2629" t="s">
        <v>8</v>
      </c>
      <c r="E2629" t="s">
        <v>9</v>
      </c>
      <c r="F2629" t="s">
        <v>10</v>
      </c>
      <c r="G2629" t="s">
        <v>5306</v>
      </c>
      <c r="H2629">
        <v>30.82</v>
      </c>
      <c r="I2629" s="6" t="str">
        <f>_xlfn.CONCAT("Art. złączny do produktu ",Tabela10[[#This Row],[KOD_PRODUKTU]])</f>
        <v>Art. złączny do produktu 943W33-220</v>
      </c>
      <c r="J2629" s="6" t="str">
        <f>_xlfn.CONCAT("VE-",Tabela10[[#This Row],[KOD_PRODUKTU]])</f>
        <v>VE-943W33-220</v>
      </c>
    </row>
    <row r="2630" spans="1:10" x14ac:dyDescent="0.25">
      <c r="A2630" s="7" t="s">
        <v>5281</v>
      </c>
      <c r="B2630" s="6" t="s">
        <v>5282</v>
      </c>
      <c r="C2630" s="7" t="s">
        <v>7</v>
      </c>
      <c r="D2630" s="6" t="s">
        <v>8</v>
      </c>
      <c r="E2630" s="6" t="s">
        <v>9</v>
      </c>
      <c r="F2630" s="6" t="s">
        <v>10</v>
      </c>
      <c r="G2630" s="6" t="s">
        <v>5307</v>
      </c>
      <c r="H2630" s="6">
        <v>339.48</v>
      </c>
      <c r="I2630" s="6" t="str">
        <f>_xlfn.CONCAT("Art. złączny do produktu ",Tabela10[[#This Row],[KOD_PRODUKTU]])</f>
        <v>Art. złączny do produktu 943W33-220</v>
      </c>
      <c r="J2630" s="6" t="str">
        <f>_xlfn.CONCAT("VE-",Tabela10[[#This Row],[KOD_PRODUKTU]])</f>
        <v>VE-943W33-220</v>
      </c>
    </row>
    <row r="2631" spans="1:10" x14ac:dyDescent="0.25">
      <c r="A2631" s="1" t="s">
        <v>5281</v>
      </c>
      <c r="B2631" t="s">
        <v>5282</v>
      </c>
      <c r="C2631" s="1" t="s">
        <v>7</v>
      </c>
      <c r="D2631" t="s">
        <v>8</v>
      </c>
      <c r="E2631" t="s">
        <v>9</v>
      </c>
      <c r="F2631" t="s">
        <v>10</v>
      </c>
      <c r="G2631" t="s">
        <v>1563</v>
      </c>
      <c r="H2631">
        <v>43.7</v>
      </c>
      <c r="I2631" s="6" t="str">
        <f>_xlfn.CONCAT("Art. złączny do produktu ",Tabela10[[#This Row],[KOD_PRODUKTU]])</f>
        <v>Art. złączny do produktu 943W33-220</v>
      </c>
      <c r="J2631" s="6" t="str">
        <f>_xlfn.CONCAT("VE-",Tabela10[[#This Row],[KOD_PRODUKTU]])</f>
        <v>VE-943W33-220</v>
      </c>
    </row>
    <row r="2632" spans="1:10" x14ac:dyDescent="0.25">
      <c r="A2632" s="7" t="s">
        <v>5308</v>
      </c>
      <c r="B2632" s="6" t="s">
        <v>5309</v>
      </c>
      <c r="C2632" s="7" t="s">
        <v>684</v>
      </c>
      <c r="D2632" s="6" t="s">
        <v>685</v>
      </c>
      <c r="E2632" s="6" t="s">
        <v>686</v>
      </c>
      <c r="F2632" s="6" t="s">
        <v>49</v>
      </c>
      <c r="G2632" s="6" t="s">
        <v>5310</v>
      </c>
      <c r="H2632" s="6">
        <v>40.22</v>
      </c>
      <c r="I2632" s="6" t="str">
        <f>_xlfn.CONCAT("Art. złączny do produktu ",Tabela10[[#This Row],[KOD_PRODUKTU]])</f>
        <v>Art. złączny do produktu 943W33-250</v>
      </c>
      <c r="J2632" s="6" t="str">
        <f>_xlfn.CONCAT("VE-",Tabela10[[#This Row],[KOD_PRODUKTU]])</f>
        <v>VE-943W33-250</v>
      </c>
    </row>
    <row r="2633" spans="1:10" x14ac:dyDescent="0.25">
      <c r="A2633" s="1" t="s">
        <v>5308</v>
      </c>
      <c r="B2633" t="s">
        <v>5309</v>
      </c>
      <c r="C2633" s="1" t="s">
        <v>7</v>
      </c>
      <c r="D2633" t="s">
        <v>8</v>
      </c>
      <c r="E2633" t="s">
        <v>9</v>
      </c>
      <c r="F2633" t="s">
        <v>10</v>
      </c>
      <c r="G2633" t="s">
        <v>1254</v>
      </c>
      <c r="H2633">
        <v>16.100000000000001</v>
      </c>
      <c r="I2633" s="6" t="str">
        <f>_xlfn.CONCAT("Art. złączny do produktu ",Tabela10[[#This Row],[KOD_PRODUKTU]])</f>
        <v>Art. złączny do produktu 943W33-250</v>
      </c>
      <c r="J2633" s="6" t="str">
        <f>_xlfn.CONCAT("VE-",Tabela10[[#This Row],[KOD_PRODUKTU]])</f>
        <v>VE-943W33-250</v>
      </c>
    </row>
    <row r="2634" spans="1:10" x14ac:dyDescent="0.25">
      <c r="A2634" s="7" t="s">
        <v>5308</v>
      </c>
      <c r="B2634" s="6" t="s">
        <v>5309</v>
      </c>
      <c r="C2634" s="7" t="s">
        <v>7</v>
      </c>
      <c r="D2634" s="6" t="s">
        <v>8</v>
      </c>
      <c r="E2634" s="6" t="s">
        <v>9</v>
      </c>
      <c r="F2634" s="6" t="s">
        <v>10</v>
      </c>
      <c r="G2634" s="6" t="s">
        <v>1254</v>
      </c>
      <c r="H2634" s="6">
        <v>16.100000000000001</v>
      </c>
      <c r="I2634" s="6" t="str">
        <f>_xlfn.CONCAT("Art. złączny do produktu ",Tabela10[[#This Row],[KOD_PRODUKTU]])</f>
        <v>Art. złączny do produktu 943W33-250</v>
      </c>
      <c r="J2634" s="6" t="str">
        <f>_xlfn.CONCAT("VE-",Tabela10[[#This Row],[KOD_PRODUKTU]])</f>
        <v>VE-943W33-250</v>
      </c>
    </row>
    <row r="2635" spans="1:10" x14ac:dyDescent="0.25">
      <c r="A2635" s="1" t="s">
        <v>5311</v>
      </c>
      <c r="B2635" t="s">
        <v>5312</v>
      </c>
      <c r="C2635" s="1" t="s">
        <v>684</v>
      </c>
      <c r="D2635" t="s">
        <v>685</v>
      </c>
      <c r="E2635" t="s">
        <v>686</v>
      </c>
      <c r="F2635" t="s">
        <v>49</v>
      </c>
      <c r="G2635" t="s">
        <v>5313</v>
      </c>
      <c r="H2635">
        <v>282.89999999999998</v>
      </c>
      <c r="I2635" s="6" t="str">
        <f>_xlfn.CONCAT("Art. złączny do produktu ",Tabela10[[#This Row],[KOD_PRODUKTU]])</f>
        <v>Art. złączny do produktu 943W33-265</v>
      </c>
      <c r="J2635" s="6" t="str">
        <f>_xlfn.CONCAT("VE-",Tabela10[[#This Row],[KOD_PRODUKTU]])</f>
        <v>VE-943W33-265</v>
      </c>
    </row>
    <row r="2636" spans="1:10" x14ac:dyDescent="0.25">
      <c r="A2636" s="7" t="s">
        <v>5311</v>
      </c>
      <c r="B2636" s="6" t="s">
        <v>5312</v>
      </c>
      <c r="C2636" s="7" t="s">
        <v>7</v>
      </c>
      <c r="D2636" s="6" t="s">
        <v>8</v>
      </c>
      <c r="E2636" s="6" t="s">
        <v>9</v>
      </c>
      <c r="F2636" s="6" t="s">
        <v>10</v>
      </c>
      <c r="G2636" s="6" t="s">
        <v>690</v>
      </c>
      <c r="H2636" s="6">
        <v>20.7</v>
      </c>
      <c r="I2636" s="6" t="str">
        <f>_xlfn.CONCAT("Art. złączny do produktu ",Tabela10[[#This Row],[KOD_PRODUKTU]])</f>
        <v>Art. złączny do produktu 943W33-265</v>
      </c>
      <c r="J2636" s="6" t="str">
        <f>_xlfn.CONCAT("VE-",Tabela10[[#This Row],[KOD_PRODUKTU]])</f>
        <v>VE-943W33-265</v>
      </c>
    </row>
    <row r="2637" spans="1:10" x14ac:dyDescent="0.25">
      <c r="A2637" s="1" t="s">
        <v>5311</v>
      </c>
      <c r="B2637" t="s">
        <v>5312</v>
      </c>
      <c r="C2637" s="1" t="s">
        <v>7</v>
      </c>
      <c r="D2637" t="s">
        <v>8</v>
      </c>
      <c r="E2637" t="s">
        <v>9</v>
      </c>
      <c r="F2637" t="s">
        <v>10</v>
      </c>
      <c r="G2637" t="s">
        <v>5314</v>
      </c>
      <c r="H2637">
        <v>9.6300000000000008</v>
      </c>
      <c r="I2637" s="6" t="str">
        <f>_xlfn.CONCAT("Art. złączny do produktu ",Tabela10[[#This Row],[KOD_PRODUKTU]])</f>
        <v>Art. złączny do produktu 943W33-265</v>
      </c>
      <c r="J2637" s="6" t="str">
        <f>_xlfn.CONCAT("VE-",Tabela10[[#This Row],[KOD_PRODUKTU]])</f>
        <v>VE-943W33-265</v>
      </c>
    </row>
    <row r="2638" spans="1:10" x14ac:dyDescent="0.25">
      <c r="A2638" s="7" t="s">
        <v>5328</v>
      </c>
      <c r="B2638" s="6" t="s">
        <v>5329</v>
      </c>
      <c r="C2638" s="7" t="s">
        <v>5330</v>
      </c>
      <c r="D2638" s="6" t="s">
        <v>5331</v>
      </c>
      <c r="E2638" s="6" t="s">
        <v>1768</v>
      </c>
      <c r="F2638" s="6" t="s">
        <v>5</v>
      </c>
      <c r="G2638" s="6" t="s">
        <v>3404</v>
      </c>
      <c r="H2638" s="6">
        <v>0</v>
      </c>
      <c r="I2638" s="6" t="str">
        <f>_xlfn.CONCAT("Art. złączny do produktu ",Tabela10[[#This Row],[KOD_PRODUKTU]])</f>
        <v>Art. złączny do produktu 943W33-300</v>
      </c>
      <c r="J2638" s="6" t="str">
        <f>_xlfn.CONCAT("VE-",Tabela10[[#This Row],[KOD_PRODUKTU]])</f>
        <v>VE-943W33-300</v>
      </c>
    </row>
    <row r="2639" spans="1:10" x14ac:dyDescent="0.25">
      <c r="A2639" s="1" t="s">
        <v>5328</v>
      </c>
      <c r="B2639" t="s">
        <v>5329</v>
      </c>
      <c r="C2639" s="1" t="s">
        <v>5332</v>
      </c>
      <c r="D2639" t="s">
        <v>5333</v>
      </c>
      <c r="E2639" t="s">
        <v>1768</v>
      </c>
      <c r="F2639" t="s">
        <v>17</v>
      </c>
      <c r="G2639" t="s">
        <v>3260</v>
      </c>
      <c r="H2639">
        <v>0</v>
      </c>
      <c r="I2639" s="6" t="str">
        <f>_xlfn.CONCAT("Art. złączny do produktu ",Tabela10[[#This Row],[KOD_PRODUKTU]])</f>
        <v>Art. złączny do produktu 943W33-300</v>
      </c>
      <c r="J2639" s="6" t="str">
        <f>_xlfn.CONCAT("VE-",Tabela10[[#This Row],[KOD_PRODUKTU]])</f>
        <v>VE-943W33-300</v>
      </c>
    </row>
    <row r="2640" spans="1:10" x14ac:dyDescent="0.25">
      <c r="A2640" s="7" t="s">
        <v>5328</v>
      </c>
      <c r="B2640" s="6" t="s">
        <v>5329</v>
      </c>
      <c r="C2640" s="7" t="s">
        <v>977</v>
      </c>
      <c r="D2640" s="6" t="s">
        <v>978</v>
      </c>
      <c r="E2640" s="6" t="s">
        <v>5334</v>
      </c>
      <c r="F2640" s="6" t="s">
        <v>121</v>
      </c>
      <c r="G2640" s="6" t="s">
        <v>50</v>
      </c>
      <c r="H2640" s="6">
        <v>0.23</v>
      </c>
      <c r="I2640" s="6" t="str">
        <f>_xlfn.CONCAT("Art. złączny do produktu ",Tabela10[[#This Row],[KOD_PRODUKTU]])</f>
        <v>Art. złączny do produktu 943W33-300</v>
      </c>
      <c r="J2640" s="6" t="str">
        <f>_xlfn.CONCAT("VE-",Tabela10[[#This Row],[KOD_PRODUKTU]])</f>
        <v>VE-943W33-300</v>
      </c>
    </row>
    <row r="2641" spans="1:10" x14ac:dyDescent="0.25">
      <c r="A2641" s="1" t="s">
        <v>5328</v>
      </c>
      <c r="B2641" t="s">
        <v>5329</v>
      </c>
      <c r="C2641" s="1" t="s">
        <v>5335</v>
      </c>
      <c r="D2641" t="s">
        <v>5336</v>
      </c>
      <c r="E2641" t="s">
        <v>5337</v>
      </c>
      <c r="F2641" t="s">
        <v>49</v>
      </c>
      <c r="G2641" t="s">
        <v>5338</v>
      </c>
      <c r="H2641">
        <v>30.4</v>
      </c>
      <c r="I2641" s="6" t="str">
        <f>_xlfn.CONCAT("Art. złączny do produktu ",Tabela10[[#This Row],[KOD_PRODUKTU]])</f>
        <v>Art. złączny do produktu 943W33-300</v>
      </c>
      <c r="J2641" s="6" t="str">
        <f>_xlfn.CONCAT("VE-",Tabela10[[#This Row],[KOD_PRODUKTU]])</f>
        <v>VE-943W33-300</v>
      </c>
    </row>
    <row r="2642" spans="1:10" x14ac:dyDescent="0.25">
      <c r="A2642" s="7" t="s">
        <v>5328</v>
      </c>
      <c r="B2642" s="6" t="s">
        <v>5329</v>
      </c>
      <c r="C2642" s="7" t="s">
        <v>684</v>
      </c>
      <c r="D2642" s="6" t="s">
        <v>685</v>
      </c>
      <c r="E2642" s="6" t="s">
        <v>686</v>
      </c>
      <c r="F2642" s="6" t="s">
        <v>49</v>
      </c>
      <c r="G2642" s="6" t="s">
        <v>2641</v>
      </c>
      <c r="H2642" s="6">
        <v>9</v>
      </c>
      <c r="I2642" s="6" t="str">
        <f>_xlfn.CONCAT("Art. złączny do produktu ",Tabela10[[#This Row],[KOD_PRODUKTU]])</f>
        <v>Art. złączny do produktu 943W33-300</v>
      </c>
      <c r="J2642" s="6" t="str">
        <f>_xlfn.CONCAT("VE-",Tabela10[[#This Row],[KOD_PRODUKTU]])</f>
        <v>VE-943W33-300</v>
      </c>
    </row>
    <row r="2643" spans="1:10" x14ac:dyDescent="0.25">
      <c r="A2643" s="1" t="s">
        <v>5328</v>
      </c>
      <c r="B2643" t="s">
        <v>5329</v>
      </c>
      <c r="C2643" s="1" t="s">
        <v>684</v>
      </c>
      <c r="D2643" t="s">
        <v>685</v>
      </c>
      <c r="E2643" t="s">
        <v>686</v>
      </c>
      <c r="F2643" t="s">
        <v>49</v>
      </c>
      <c r="G2643" t="s">
        <v>3843</v>
      </c>
      <c r="H2643">
        <v>10</v>
      </c>
      <c r="I2643" s="6" t="str">
        <f>_xlfn.CONCAT("Art. złączny do produktu ",Tabela10[[#This Row],[KOD_PRODUKTU]])</f>
        <v>Art. złączny do produktu 943W33-300</v>
      </c>
      <c r="J2643" s="6" t="str">
        <f>_xlfn.CONCAT("VE-",Tabela10[[#This Row],[KOD_PRODUKTU]])</f>
        <v>VE-943W33-300</v>
      </c>
    </row>
    <row r="2644" spans="1:10" x14ac:dyDescent="0.25">
      <c r="A2644" s="7" t="s">
        <v>5328</v>
      </c>
      <c r="B2644" s="6" t="s">
        <v>5329</v>
      </c>
      <c r="C2644" s="7" t="s">
        <v>7</v>
      </c>
      <c r="D2644" s="6" t="s">
        <v>8</v>
      </c>
      <c r="E2644" s="6" t="s">
        <v>9</v>
      </c>
      <c r="F2644" s="6" t="s">
        <v>10</v>
      </c>
      <c r="G2644" s="6" t="s">
        <v>122</v>
      </c>
      <c r="H2644" s="6">
        <v>184</v>
      </c>
      <c r="I2644" s="6" t="str">
        <f>_xlfn.CONCAT("Art. złączny do produktu ",Tabela10[[#This Row],[KOD_PRODUKTU]])</f>
        <v>Art. złączny do produktu 943W33-300</v>
      </c>
      <c r="J2644" s="6" t="str">
        <f>_xlfn.CONCAT("VE-",Tabela10[[#This Row],[KOD_PRODUKTU]])</f>
        <v>VE-943W33-300</v>
      </c>
    </row>
    <row r="2645" spans="1:10" x14ac:dyDescent="0.25">
      <c r="A2645" s="1" t="s">
        <v>5342</v>
      </c>
      <c r="B2645" t="s">
        <v>5343</v>
      </c>
      <c r="C2645" s="1" t="s">
        <v>5344</v>
      </c>
      <c r="D2645" t="s">
        <v>5345</v>
      </c>
      <c r="E2645" t="s">
        <v>1768</v>
      </c>
      <c r="F2645" t="s">
        <v>5</v>
      </c>
      <c r="G2645" t="s">
        <v>5346</v>
      </c>
      <c r="H2645">
        <v>0</v>
      </c>
      <c r="I2645" s="6" t="str">
        <f>_xlfn.CONCAT("Art. złączny do produktu ",Tabela10[[#This Row],[KOD_PRODUKTU]])</f>
        <v>Art. złączny do produktu 943W33-350</v>
      </c>
      <c r="J2645" s="6" t="str">
        <f>_xlfn.CONCAT("VE-",Tabela10[[#This Row],[KOD_PRODUKTU]])</f>
        <v>VE-943W33-350</v>
      </c>
    </row>
    <row r="2646" spans="1:10" x14ac:dyDescent="0.25">
      <c r="A2646" s="7" t="s">
        <v>5342</v>
      </c>
      <c r="B2646" s="6" t="s">
        <v>5343</v>
      </c>
      <c r="C2646" s="7" t="s">
        <v>5347</v>
      </c>
      <c r="D2646" s="6" t="s">
        <v>5348</v>
      </c>
      <c r="E2646" s="6" t="s">
        <v>1768</v>
      </c>
      <c r="F2646" s="6" t="s">
        <v>39</v>
      </c>
      <c r="G2646" s="6" t="s">
        <v>478</v>
      </c>
      <c r="H2646" s="6">
        <v>0</v>
      </c>
      <c r="I2646" s="6" t="str">
        <f>_xlfn.CONCAT("Art. złączny do produktu ",Tabela10[[#This Row],[KOD_PRODUKTU]])</f>
        <v>Art. złączny do produktu 943W33-350</v>
      </c>
      <c r="J2646" s="6" t="str">
        <f>_xlfn.CONCAT("VE-",Tabela10[[#This Row],[KOD_PRODUKTU]])</f>
        <v>VE-943W33-350</v>
      </c>
    </row>
    <row r="2647" spans="1:10" x14ac:dyDescent="0.25">
      <c r="A2647" s="1" t="s">
        <v>5342</v>
      </c>
      <c r="B2647" t="s">
        <v>5343</v>
      </c>
      <c r="C2647" s="1" t="s">
        <v>5349</v>
      </c>
      <c r="D2647" t="s">
        <v>5350</v>
      </c>
      <c r="E2647" t="s">
        <v>879</v>
      </c>
      <c r="F2647" t="s">
        <v>5</v>
      </c>
      <c r="G2647" t="s">
        <v>19</v>
      </c>
      <c r="H2647">
        <v>1.4</v>
      </c>
      <c r="I2647" s="6" t="str">
        <f>_xlfn.CONCAT("Art. złączny do produktu ",Tabela10[[#This Row],[KOD_PRODUKTU]])</f>
        <v>Art. złączny do produktu 943W33-350</v>
      </c>
      <c r="J2647" s="6" t="str">
        <f>_xlfn.CONCAT("VE-",Tabela10[[#This Row],[KOD_PRODUKTU]])</f>
        <v>VE-943W33-350</v>
      </c>
    </row>
    <row r="2648" spans="1:10" x14ac:dyDescent="0.25">
      <c r="A2648" s="7" t="s">
        <v>5342</v>
      </c>
      <c r="B2648" s="6" t="s">
        <v>5343</v>
      </c>
      <c r="C2648" s="7" t="s">
        <v>587</v>
      </c>
      <c r="D2648" s="6" t="s">
        <v>588</v>
      </c>
      <c r="E2648" s="6" t="s">
        <v>589</v>
      </c>
      <c r="F2648" s="6" t="s">
        <v>5</v>
      </c>
      <c r="G2648" s="6" t="s">
        <v>5351</v>
      </c>
      <c r="H2648" s="6">
        <v>0.25</v>
      </c>
      <c r="I2648" s="6" t="str">
        <f>_xlfn.CONCAT("Art. złączny do produktu ",Tabela10[[#This Row],[KOD_PRODUKTU]])</f>
        <v>Art. złączny do produktu 943W33-350</v>
      </c>
      <c r="J2648" s="6" t="str">
        <f>_xlfn.CONCAT("VE-",Tabela10[[#This Row],[KOD_PRODUKTU]])</f>
        <v>VE-943W33-350</v>
      </c>
    </row>
    <row r="2649" spans="1:10" x14ac:dyDescent="0.25">
      <c r="A2649" s="1" t="s">
        <v>5342</v>
      </c>
      <c r="B2649" t="s">
        <v>5343</v>
      </c>
      <c r="C2649" s="1" t="s">
        <v>5352</v>
      </c>
      <c r="D2649" t="s">
        <v>5353</v>
      </c>
      <c r="E2649" t="s">
        <v>1768</v>
      </c>
      <c r="F2649" t="s">
        <v>49</v>
      </c>
      <c r="G2649" t="s">
        <v>40</v>
      </c>
      <c r="H2649">
        <v>0</v>
      </c>
      <c r="I2649" s="6" t="str">
        <f>_xlfn.CONCAT("Art. złączny do produktu ",Tabela10[[#This Row],[KOD_PRODUKTU]])</f>
        <v>Art. złączny do produktu 943W33-350</v>
      </c>
      <c r="J2649" s="6" t="str">
        <f>_xlfn.CONCAT("VE-",Tabela10[[#This Row],[KOD_PRODUKTU]])</f>
        <v>VE-943W33-350</v>
      </c>
    </row>
    <row r="2650" spans="1:10" x14ac:dyDescent="0.25">
      <c r="A2650" s="7" t="s">
        <v>5342</v>
      </c>
      <c r="B2650" s="6" t="s">
        <v>5343</v>
      </c>
      <c r="C2650" s="7" t="s">
        <v>5354</v>
      </c>
      <c r="D2650" s="6" t="s">
        <v>5355</v>
      </c>
      <c r="E2650" s="6" t="s">
        <v>1768</v>
      </c>
      <c r="F2650" s="6" t="s">
        <v>49</v>
      </c>
      <c r="G2650" s="6" t="s">
        <v>50</v>
      </c>
      <c r="H2650" s="6">
        <v>0</v>
      </c>
      <c r="I2650" s="6" t="str">
        <f>_xlfn.CONCAT("Art. złączny do produktu ",Tabela10[[#This Row],[KOD_PRODUKTU]])</f>
        <v>Art. złączny do produktu 943W33-350</v>
      </c>
      <c r="J2650" s="6" t="str">
        <f>_xlfn.CONCAT("VE-",Tabela10[[#This Row],[KOD_PRODUKTU]])</f>
        <v>VE-943W33-350</v>
      </c>
    </row>
    <row r="2651" spans="1:10" x14ac:dyDescent="0.25">
      <c r="A2651" s="1" t="s">
        <v>5342</v>
      </c>
      <c r="B2651" t="s">
        <v>5343</v>
      </c>
      <c r="C2651" s="1" t="s">
        <v>5356</v>
      </c>
      <c r="D2651" t="s">
        <v>5357</v>
      </c>
      <c r="E2651" t="s">
        <v>1768</v>
      </c>
      <c r="F2651" t="s">
        <v>49</v>
      </c>
      <c r="G2651" t="s">
        <v>50</v>
      </c>
      <c r="H2651">
        <v>0</v>
      </c>
      <c r="I2651" s="6" t="str">
        <f>_xlfn.CONCAT("Art. złączny do produktu ",Tabela10[[#This Row],[KOD_PRODUKTU]])</f>
        <v>Art. złączny do produktu 943W33-350</v>
      </c>
      <c r="J2651" s="6" t="str">
        <f>_xlfn.CONCAT("VE-",Tabela10[[#This Row],[KOD_PRODUKTU]])</f>
        <v>VE-943W33-350</v>
      </c>
    </row>
    <row r="2652" spans="1:10" x14ac:dyDescent="0.25">
      <c r="A2652" s="7" t="s">
        <v>5342</v>
      </c>
      <c r="B2652" s="6" t="s">
        <v>5343</v>
      </c>
      <c r="C2652" s="7" t="s">
        <v>5358</v>
      </c>
      <c r="D2652" s="6" t="s">
        <v>5359</v>
      </c>
      <c r="E2652" s="6" t="s">
        <v>1768</v>
      </c>
      <c r="F2652" s="6" t="s">
        <v>49</v>
      </c>
      <c r="G2652" s="6" t="s">
        <v>92</v>
      </c>
      <c r="H2652" s="6">
        <v>0</v>
      </c>
      <c r="I2652" s="6" t="str">
        <f>_xlfn.CONCAT("Art. złączny do produktu ",Tabela10[[#This Row],[KOD_PRODUKTU]])</f>
        <v>Art. złączny do produktu 943W33-350</v>
      </c>
      <c r="J2652" s="6" t="str">
        <f>_xlfn.CONCAT("VE-",Tabela10[[#This Row],[KOD_PRODUKTU]])</f>
        <v>VE-943W33-350</v>
      </c>
    </row>
    <row r="2653" spans="1:10" x14ac:dyDescent="0.25">
      <c r="A2653" s="1" t="s">
        <v>5342</v>
      </c>
      <c r="B2653" t="s">
        <v>5343</v>
      </c>
      <c r="C2653" s="1" t="s">
        <v>5360</v>
      </c>
      <c r="D2653" t="s">
        <v>5361</v>
      </c>
      <c r="E2653" t="s">
        <v>1768</v>
      </c>
      <c r="F2653" t="s">
        <v>49</v>
      </c>
      <c r="G2653" t="s">
        <v>50</v>
      </c>
      <c r="H2653">
        <v>0</v>
      </c>
      <c r="I2653" s="6" t="str">
        <f>_xlfn.CONCAT("Art. złączny do produktu ",Tabela10[[#This Row],[KOD_PRODUKTU]])</f>
        <v>Art. złączny do produktu 943W33-350</v>
      </c>
      <c r="J2653" s="6" t="str">
        <f>_xlfn.CONCAT("VE-",Tabela10[[#This Row],[KOD_PRODUKTU]])</f>
        <v>VE-943W33-350</v>
      </c>
    </row>
    <row r="2654" spans="1:10" x14ac:dyDescent="0.25">
      <c r="A2654" s="7" t="s">
        <v>5342</v>
      </c>
      <c r="B2654" s="6" t="s">
        <v>5343</v>
      </c>
      <c r="C2654" s="7" t="s">
        <v>5362</v>
      </c>
      <c r="D2654" s="6" t="s">
        <v>5363</v>
      </c>
      <c r="E2654" s="6" t="s">
        <v>1768</v>
      </c>
      <c r="F2654" s="6" t="s">
        <v>49</v>
      </c>
      <c r="G2654" s="6" t="s">
        <v>50</v>
      </c>
      <c r="H2654" s="6">
        <v>0</v>
      </c>
      <c r="I2654" s="6" t="str">
        <f>_xlfn.CONCAT("Art. złączny do produktu ",Tabela10[[#This Row],[KOD_PRODUKTU]])</f>
        <v>Art. złączny do produktu 943W33-350</v>
      </c>
      <c r="J2654" s="6" t="str">
        <f>_xlfn.CONCAT("VE-",Tabela10[[#This Row],[KOD_PRODUKTU]])</f>
        <v>VE-943W33-350</v>
      </c>
    </row>
    <row r="2655" spans="1:10" x14ac:dyDescent="0.25">
      <c r="A2655" s="1" t="s">
        <v>5342</v>
      </c>
      <c r="B2655" t="s">
        <v>5343</v>
      </c>
      <c r="C2655" s="1" t="s">
        <v>5364</v>
      </c>
      <c r="D2655" t="s">
        <v>5365</v>
      </c>
      <c r="E2655" t="s">
        <v>1768</v>
      </c>
      <c r="F2655" t="s">
        <v>49</v>
      </c>
      <c r="G2655" t="s">
        <v>50</v>
      </c>
      <c r="H2655">
        <v>0</v>
      </c>
      <c r="I2655" s="6" t="str">
        <f>_xlfn.CONCAT("Art. złączny do produktu ",Tabela10[[#This Row],[KOD_PRODUKTU]])</f>
        <v>Art. złączny do produktu 943W33-350</v>
      </c>
      <c r="J2655" s="6" t="str">
        <f>_xlfn.CONCAT("VE-",Tabela10[[#This Row],[KOD_PRODUKTU]])</f>
        <v>VE-943W33-350</v>
      </c>
    </row>
    <row r="2656" spans="1:10" x14ac:dyDescent="0.25">
      <c r="A2656" s="7" t="s">
        <v>5342</v>
      </c>
      <c r="B2656" s="6" t="s">
        <v>5343</v>
      </c>
      <c r="C2656" s="7" t="s">
        <v>5366</v>
      </c>
      <c r="D2656" s="6" t="s">
        <v>5367</v>
      </c>
      <c r="E2656" s="6" t="s">
        <v>5368</v>
      </c>
      <c r="F2656" s="6" t="s">
        <v>39</v>
      </c>
      <c r="G2656" s="6" t="s">
        <v>558</v>
      </c>
      <c r="H2656" s="6">
        <v>0.05</v>
      </c>
      <c r="I2656" s="6" t="str">
        <f>_xlfn.CONCAT("Art. złączny do produktu ",Tabela10[[#This Row],[KOD_PRODUKTU]])</f>
        <v>Art. złączny do produktu 943W33-350</v>
      </c>
      <c r="J2656" s="6" t="str">
        <f>_xlfn.CONCAT("VE-",Tabela10[[#This Row],[KOD_PRODUKTU]])</f>
        <v>VE-943W33-350</v>
      </c>
    </row>
    <row r="2657" spans="1:10" x14ac:dyDescent="0.25">
      <c r="A2657" s="1" t="s">
        <v>5342</v>
      </c>
      <c r="B2657" t="s">
        <v>5343</v>
      </c>
      <c r="C2657" s="1" t="s">
        <v>857</v>
      </c>
      <c r="D2657" t="s">
        <v>858</v>
      </c>
      <c r="E2657" t="s">
        <v>686</v>
      </c>
      <c r="F2657" t="s">
        <v>49</v>
      </c>
      <c r="G2657" t="s">
        <v>4605</v>
      </c>
      <c r="H2657">
        <v>3</v>
      </c>
      <c r="I2657" s="6" t="str">
        <f>_xlfn.CONCAT("Art. złączny do produktu ",Tabela10[[#This Row],[KOD_PRODUKTU]])</f>
        <v>Art. złączny do produktu 943W33-350</v>
      </c>
      <c r="J2657" s="6" t="str">
        <f>_xlfn.CONCAT("VE-",Tabela10[[#This Row],[KOD_PRODUKTU]])</f>
        <v>VE-943W33-350</v>
      </c>
    </row>
    <row r="2658" spans="1:10" x14ac:dyDescent="0.25">
      <c r="A2658" s="7" t="s">
        <v>5342</v>
      </c>
      <c r="B2658" s="6" t="s">
        <v>5343</v>
      </c>
      <c r="C2658" s="7" t="s">
        <v>432</v>
      </c>
      <c r="D2658" s="6" t="s">
        <v>433</v>
      </c>
      <c r="E2658" s="6" t="s">
        <v>434</v>
      </c>
      <c r="F2658" s="6" t="s">
        <v>435</v>
      </c>
      <c r="G2658" s="6" t="s">
        <v>5371</v>
      </c>
      <c r="H2658" s="6">
        <v>9.8800000000000008</v>
      </c>
      <c r="I2658" s="6" t="str">
        <f>_xlfn.CONCAT("Art. złączny do produktu ",Tabela10[[#This Row],[KOD_PRODUKTU]])</f>
        <v>Art. złączny do produktu 943W33-350</v>
      </c>
      <c r="J2658" s="6" t="str">
        <f>_xlfn.CONCAT("VE-",Tabela10[[#This Row],[KOD_PRODUKTU]])</f>
        <v>VE-943W33-350</v>
      </c>
    </row>
    <row r="2659" spans="1:10" x14ac:dyDescent="0.25">
      <c r="A2659" s="1" t="s">
        <v>5342</v>
      </c>
      <c r="B2659" t="s">
        <v>5343</v>
      </c>
      <c r="C2659" s="1" t="s">
        <v>684</v>
      </c>
      <c r="D2659" t="s">
        <v>685</v>
      </c>
      <c r="E2659" t="s">
        <v>686</v>
      </c>
      <c r="F2659" t="s">
        <v>49</v>
      </c>
      <c r="G2659" t="s">
        <v>687</v>
      </c>
      <c r="H2659">
        <v>40</v>
      </c>
      <c r="I2659" s="6" t="str">
        <f>_xlfn.CONCAT("Art. złączny do produktu ",Tabela10[[#This Row],[KOD_PRODUKTU]])</f>
        <v>Art. złączny do produktu 943W33-350</v>
      </c>
      <c r="J2659" s="6" t="str">
        <f>_xlfn.CONCAT("VE-",Tabela10[[#This Row],[KOD_PRODUKTU]])</f>
        <v>VE-943W33-350</v>
      </c>
    </row>
    <row r="2660" spans="1:10" x14ac:dyDescent="0.25">
      <c r="A2660" s="7" t="s">
        <v>5342</v>
      </c>
      <c r="B2660" s="6" t="s">
        <v>5343</v>
      </c>
      <c r="C2660" s="7" t="s">
        <v>684</v>
      </c>
      <c r="D2660" s="6" t="s">
        <v>685</v>
      </c>
      <c r="E2660" s="6" t="s">
        <v>686</v>
      </c>
      <c r="F2660" s="6" t="s">
        <v>49</v>
      </c>
      <c r="G2660" s="6" t="s">
        <v>5372</v>
      </c>
      <c r="H2660" s="6">
        <v>78.599999999999994</v>
      </c>
      <c r="I2660" s="6" t="str">
        <f>_xlfn.CONCAT("Art. złączny do produktu ",Tabela10[[#This Row],[KOD_PRODUKTU]])</f>
        <v>Art. złączny do produktu 943W33-350</v>
      </c>
      <c r="J2660" s="6" t="str">
        <f>_xlfn.CONCAT("VE-",Tabela10[[#This Row],[KOD_PRODUKTU]])</f>
        <v>VE-943W33-350</v>
      </c>
    </row>
    <row r="2661" spans="1:10" x14ac:dyDescent="0.25">
      <c r="A2661" s="1" t="s">
        <v>5342</v>
      </c>
      <c r="B2661" t="s">
        <v>5343</v>
      </c>
      <c r="C2661" s="1" t="s">
        <v>684</v>
      </c>
      <c r="D2661" t="s">
        <v>685</v>
      </c>
      <c r="E2661" t="s">
        <v>686</v>
      </c>
      <c r="F2661" t="s">
        <v>49</v>
      </c>
      <c r="G2661" t="s">
        <v>5373</v>
      </c>
      <c r="H2661">
        <v>4</v>
      </c>
      <c r="I2661" s="6" t="str">
        <f>_xlfn.CONCAT("Art. złączny do produktu ",Tabela10[[#This Row],[KOD_PRODUKTU]])</f>
        <v>Art. złączny do produktu 943W33-350</v>
      </c>
      <c r="J2661" s="6" t="str">
        <f>_xlfn.CONCAT("VE-",Tabela10[[#This Row],[KOD_PRODUKTU]])</f>
        <v>VE-943W33-350</v>
      </c>
    </row>
    <row r="2662" spans="1:10" x14ac:dyDescent="0.25">
      <c r="A2662" s="7" t="s">
        <v>5342</v>
      </c>
      <c r="B2662" s="6" t="s">
        <v>5343</v>
      </c>
      <c r="C2662" s="7" t="s">
        <v>7</v>
      </c>
      <c r="D2662" s="6" t="s">
        <v>8</v>
      </c>
      <c r="E2662" s="6" t="s">
        <v>9</v>
      </c>
      <c r="F2662" s="6" t="s">
        <v>10</v>
      </c>
      <c r="G2662" s="6" t="s">
        <v>50</v>
      </c>
      <c r="H2662" s="6">
        <v>46</v>
      </c>
      <c r="I2662" s="6" t="str">
        <f>_xlfn.CONCAT("Art. złączny do produktu ",Tabela10[[#This Row],[KOD_PRODUKTU]])</f>
        <v>Art. złączny do produktu 943W33-350</v>
      </c>
      <c r="J2662" s="6" t="str">
        <f>_xlfn.CONCAT("VE-",Tabela10[[#This Row],[KOD_PRODUKTU]])</f>
        <v>VE-943W33-350</v>
      </c>
    </row>
    <row r="2663" spans="1:10" x14ac:dyDescent="0.25">
      <c r="A2663" s="1" t="s">
        <v>5342</v>
      </c>
      <c r="B2663" t="s">
        <v>5343</v>
      </c>
      <c r="C2663" s="1" t="s">
        <v>7</v>
      </c>
      <c r="D2663" t="s">
        <v>8</v>
      </c>
      <c r="E2663" t="s">
        <v>9</v>
      </c>
      <c r="F2663" t="s">
        <v>10</v>
      </c>
      <c r="G2663" t="s">
        <v>5374</v>
      </c>
      <c r="H2663">
        <v>1495</v>
      </c>
      <c r="I2663" s="6" t="str">
        <f>_xlfn.CONCAT("Art. złączny do produktu ",Tabela10[[#This Row],[KOD_PRODUKTU]])</f>
        <v>Art. złączny do produktu 943W33-350</v>
      </c>
      <c r="J2663" s="6" t="str">
        <f>_xlfn.CONCAT("VE-",Tabela10[[#This Row],[KOD_PRODUKTU]])</f>
        <v>VE-943W33-350</v>
      </c>
    </row>
    <row r="2664" spans="1:10" x14ac:dyDescent="0.25">
      <c r="A2664" s="7" t="s">
        <v>5378</v>
      </c>
      <c r="B2664" s="6" t="s">
        <v>5379</v>
      </c>
      <c r="C2664" s="7" t="s">
        <v>1074</v>
      </c>
      <c r="D2664" s="6" t="s">
        <v>1075</v>
      </c>
      <c r="E2664" s="6" t="s">
        <v>87</v>
      </c>
      <c r="F2664" s="6" t="s">
        <v>5</v>
      </c>
      <c r="G2664" s="6" t="s">
        <v>4059</v>
      </c>
      <c r="H2664" s="6">
        <v>0.57999999999999996</v>
      </c>
      <c r="I2664" s="6" t="str">
        <f>_xlfn.CONCAT("Art. złączny do produktu ",Tabela10[[#This Row],[KOD_PRODUKTU]])</f>
        <v>Art. złączny do produktu 943W33-490</v>
      </c>
      <c r="J2664" s="6" t="str">
        <f>_xlfn.CONCAT("VE-",Tabela10[[#This Row],[KOD_PRODUKTU]])</f>
        <v>VE-943W33-490</v>
      </c>
    </row>
    <row r="2665" spans="1:10" x14ac:dyDescent="0.25">
      <c r="A2665" s="1" t="s">
        <v>5378</v>
      </c>
      <c r="B2665" t="s">
        <v>5379</v>
      </c>
      <c r="C2665" s="1" t="s">
        <v>2881</v>
      </c>
      <c r="D2665" t="s">
        <v>2882</v>
      </c>
      <c r="E2665" t="s">
        <v>5380</v>
      </c>
      <c r="F2665" t="s">
        <v>5</v>
      </c>
      <c r="G2665" t="s">
        <v>601</v>
      </c>
      <c r="H2665">
        <v>2</v>
      </c>
      <c r="I2665" s="6" t="str">
        <f>_xlfn.CONCAT("Art. złączny do produktu ",Tabela10[[#This Row],[KOD_PRODUKTU]])</f>
        <v>Art. złączny do produktu 943W33-490</v>
      </c>
      <c r="J2665" s="6" t="str">
        <f>_xlfn.CONCAT("VE-",Tabela10[[#This Row],[KOD_PRODUKTU]])</f>
        <v>VE-943W33-490</v>
      </c>
    </row>
    <row r="2666" spans="1:10" x14ac:dyDescent="0.25">
      <c r="A2666" s="7" t="s">
        <v>5378</v>
      </c>
      <c r="B2666" s="6" t="s">
        <v>5379</v>
      </c>
      <c r="C2666" s="7" t="s">
        <v>5383</v>
      </c>
      <c r="D2666" s="6" t="s">
        <v>5384</v>
      </c>
      <c r="E2666" s="6" t="s">
        <v>5385</v>
      </c>
      <c r="F2666" s="6" t="s">
        <v>49</v>
      </c>
      <c r="G2666" s="6" t="s">
        <v>50</v>
      </c>
      <c r="H2666" s="6">
        <v>355.63</v>
      </c>
      <c r="I2666" s="6" t="str">
        <f>_xlfn.CONCAT("Art. złączny do produktu ",Tabela10[[#This Row],[KOD_PRODUKTU]])</f>
        <v>Art. złączny do produktu 943W33-490</v>
      </c>
      <c r="J2666" s="6" t="str">
        <f>_xlfn.CONCAT("VE-",Tabela10[[#This Row],[KOD_PRODUKTU]])</f>
        <v>VE-943W33-490</v>
      </c>
    </row>
    <row r="2667" spans="1:10" x14ac:dyDescent="0.25">
      <c r="A2667" s="1" t="s">
        <v>5378</v>
      </c>
      <c r="B2667" t="s">
        <v>5379</v>
      </c>
      <c r="C2667" s="1" t="s">
        <v>684</v>
      </c>
      <c r="D2667" t="s">
        <v>685</v>
      </c>
      <c r="E2667" t="s">
        <v>686</v>
      </c>
      <c r="F2667" t="s">
        <v>49</v>
      </c>
      <c r="G2667" t="s">
        <v>5386</v>
      </c>
      <c r="H2667">
        <v>29.9</v>
      </c>
      <c r="I2667" s="6" t="str">
        <f>_xlfn.CONCAT("Art. złączny do produktu ",Tabela10[[#This Row],[KOD_PRODUKTU]])</f>
        <v>Art. złączny do produktu 943W33-490</v>
      </c>
      <c r="J2667" s="6" t="str">
        <f>_xlfn.CONCAT("VE-",Tabela10[[#This Row],[KOD_PRODUKTU]])</f>
        <v>VE-943W33-490</v>
      </c>
    </row>
    <row r="2668" spans="1:10" x14ac:dyDescent="0.25">
      <c r="A2668" s="7" t="s">
        <v>5378</v>
      </c>
      <c r="B2668" s="6" t="s">
        <v>5379</v>
      </c>
      <c r="C2668" s="7" t="s">
        <v>541</v>
      </c>
      <c r="D2668" s="6" t="s">
        <v>542</v>
      </c>
      <c r="E2668" s="6" t="s">
        <v>9</v>
      </c>
      <c r="F2668" s="6" t="s">
        <v>10</v>
      </c>
      <c r="G2668" s="6" t="s">
        <v>3047</v>
      </c>
      <c r="H2668" s="6">
        <v>4.83</v>
      </c>
      <c r="I2668" s="6" t="str">
        <f>_xlfn.CONCAT("Art. złączny do produktu ",Tabela10[[#This Row],[KOD_PRODUKTU]])</f>
        <v>Art. złączny do produktu 943W33-490</v>
      </c>
      <c r="J2668" s="6" t="str">
        <f>_xlfn.CONCAT("VE-",Tabela10[[#This Row],[KOD_PRODUKTU]])</f>
        <v>VE-943W33-490</v>
      </c>
    </row>
    <row r="2669" spans="1:10" x14ac:dyDescent="0.25">
      <c r="A2669" s="1" t="s">
        <v>5378</v>
      </c>
      <c r="B2669" t="s">
        <v>5379</v>
      </c>
      <c r="C2669" s="1" t="s">
        <v>541</v>
      </c>
      <c r="D2669" t="s">
        <v>542</v>
      </c>
      <c r="E2669" t="s">
        <v>9</v>
      </c>
      <c r="F2669" t="s">
        <v>10</v>
      </c>
      <c r="G2669" t="s">
        <v>5387</v>
      </c>
      <c r="H2669">
        <v>15.92</v>
      </c>
      <c r="I2669" s="6" t="str">
        <f>_xlfn.CONCAT("Art. złączny do produktu ",Tabela10[[#This Row],[KOD_PRODUKTU]])</f>
        <v>Art. złączny do produktu 943W33-490</v>
      </c>
      <c r="J2669" s="6" t="str">
        <f>_xlfn.CONCAT("VE-",Tabela10[[#This Row],[KOD_PRODUKTU]])</f>
        <v>VE-943W33-490</v>
      </c>
    </row>
    <row r="2670" spans="1:10" x14ac:dyDescent="0.25">
      <c r="A2670" s="7" t="s">
        <v>5378</v>
      </c>
      <c r="B2670" s="6" t="s">
        <v>5379</v>
      </c>
      <c r="C2670" s="7" t="s">
        <v>541</v>
      </c>
      <c r="D2670" s="6" t="s">
        <v>542</v>
      </c>
      <c r="E2670" s="6" t="s">
        <v>9</v>
      </c>
      <c r="F2670" s="6" t="s">
        <v>10</v>
      </c>
      <c r="G2670" s="6" t="s">
        <v>5388</v>
      </c>
      <c r="H2670" s="6">
        <v>3.61</v>
      </c>
      <c r="I2670" s="6" t="str">
        <f>_xlfn.CONCAT("Art. złączny do produktu ",Tabela10[[#This Row],[KOD_PRODUKTU]])</f>
        <v>Art. złączny do produktu 943W33-490</v>
      </c>
      <c r="J2670" s="6" t="str">
        <f>_xlfn.CONCAT("VE-",Tabela10[[#This Row],[KOD_PRODUKTU]])</f>
        <v>VE-943W33-490</v>
      </c>
    </row>
    <row r="2671" spans="1:10" x14ac:dyDescent="0.25">
      <c r="A2671" s="1" t="s">
        <v>5378</v>
      </c>
      <c r="B2671" t="s">
        <v>5379</v>
      </c>
      <c r="C2671" s="1" t="s">
        <v>7</v>
      </c>
      <c r="D2671" t="s">
        <v>8</v>
      </c>
      <c r="E2671" t="s">
        <v>9</v>
      </c>
      <c r="F2671" t="s">
        <v>10</v>
      </c>
      <c r="G2671" t="s">
        <v>5389</v>
      </c>
      <c r="H2671">
        <v>40.630000000000003</v>
      </c>
      <c r="I2671" s="6" t="str">
        <f>_xlfn.CONCAT("Art. złączny do produktu ",Tabela10[[#This Row],[KOD_PRODUKTU]])</f>
        <v>Art. złączny do produktu 943W33-490</v>
      </c>
      <c r="J2671" s="6" t="str">
        <f>_xlfn.CONCAT("VE-",Tabela10[[#This Row],[KOD_PRODUKTU]])</f>
        <v>VE-943W33-490</v>
      </c>
    </row>
    <row r="2672" spans="1:10" x14ac:dyDescent="0.25">
      <c r="A2672" s="7" t="s">
        <v>5390</v>
      </c>
      <c r="B2672" s="6" t="s">
        <v>5391</v>
      </c>
      <c r="C2672" s="7" t="s">
        <v>1249</v>
      </c>
      <c r="D2672" s="6" t="s">
        <v>1250</v>
      </c>
      <c r="E2672" s="6" t="s">
        <v>1251</v>
      </c>
      <c r="F2672" s="6" t="s">
        <v>1252</v>
      </c>
      <c r="G2672" s="6" t="s">
        <v>367</v>
      </c>
      <c r="H2672" s="6">
        <v>600</v>
      </c>
      <c r="I2672" s="6" t="str">
        <f>_xlfn.CONCAT("Art. złączny do produktu ",Tabela10[[#This Row],[KOD_PRODUKTU]])</f>
        <v>Art. złączny do produktu 943W33-660</v>
      </c>
      <c r="J2672" s="6" t="str">
        <f>_xlfn.CONCAT("VE-",Tabela10[[#This Row],[KOD_PRODUKTU]])</f>
        <v>VE-943W33-660</v>
      </c>
    </row>
    <row r="2673" spans="1:10" x14ac:dyDescent="0.25">
      <c r="A2673" s="1" t="s">
        <v>5390</v>
      </c>
      <c r="B2673" t="s">
        <v>5391</v>
      </c>
      <c r="C2673" s="1" t="s">
        <v>1989</v>
      </c>
      <c r="D2673" t="s">
        <v>1990</v>
      </c>
      <c r="E2673" t="s">
        <v>1991</v>
      </c>
      <c r="F2673" t="s">
        <v>435</v>
      </c>
      <c r="G2673" t="s">
        <v>5392</v>
      </c>
      <c r="H2673">
        <v>79.349999999999994</v>
      </c>
      <c r="I2673" s="6" t="str">
        <f>_xlfn.CONCAT("Art. złączny do produktu ",Tabela10[[#This Row],[KOD_PRODUKTU]])</f>
        <v>Art. złączny do produktu 943W33-660</v>
      </c>
      <c r="J2673" s="6" t="str">
        <f>_xlfn.CONCAT("VE-",Tabela10[[#This Row],[KOD_PRODUKTU]])</f>
        <v>VE-943W33-660</v>
      </c>
    </row>
    <row r="2674" spans="1:10" x14ac:dyDescent="0.25">
      <c r="A2674" s="7" t="s">
        <v>5390</v>
      </c>
      <c r="B2674" s="6" t="s">
        <v>5391</v>
      </c>
      <c r="C2674" s="7" t="s">
        <v>7</v>
      </c>
      <c r="D2674" s="6" t="s">
        <v>8</v>
      </c>
      <c r="E2674" s="6" t="s">
        <v>9</v>
      </c>
      <c r="F2674" s="6" t="s">
        <v>10</v>
      </c>
      <c r="G2674" s="6" t="s">
        <v>5327</v>
      </c>
      <c r="H2674" s="6">
        <v>1104</v>
      </c>
      <c r="I2674" s="6" t="str">
        <f>_xlfn.CONCAT("Art. złączny do produktu ",Tabela10[[#This Row],[KOD_PRODUKTU]])</f>
        <v>Art. złączny do produktu 943W33-660</v>
      </c>
      <c r="J2674" s="6" t="str">
        <f>_xlfn.CONCAT("VE-",Tabela10[[#This Row],[KOD_PRODUKTU]])</f>
        <v>VE-943W33-660</v>
      </c>
    </row>
    <row r="2675" spans="1:10" x14ac:dyDescent="0.25">
      <c r="A2675" s="1" t="s">
        <v>5390</v>
      </c>
      <c r="B2675" t="s">
        <v>5391</v>
      </c>
      <c r="C2675" s="1" t="s">
        <v>7</v>
      </c>
      <c r="D2675" t="s">
        <v>8</v>
      </c>
      <c r="E2675" t="s">
        <v>9</v>
      </c>
      <c r="F2675" t="s">
        <v>10</v>
      </c>
      <c r="G2675" t="s">
        <v>5393</v>
      </c>
      <c r="H2675">
        <v>207</v>
      </c>
      <c r="I2675" s="6" t="str">
        <f>_xlfn.CONCAT("Art. złączny do produktu ",Tabela10[[#This Row],[KOD_PRODUKTU]])</f>
        <v>Art. złączny do produktu 943W33-660</v>
      </c>
      <c r="J2675" s="6" t="str">
        <f>_xlfn.CONCAT("VE-",Tabela10[[#This Row],[KOD_PRODUKTU]])</f>
        <v>VE-943W33-660</v>
      </c>
    </row>
    <row r="2676" spans="1:10" x14ac:dyDescent="0.25">
      <c r="A2676" s="7" t="s">
        <v>5394</v>
      </c>
      <c r="B2676" s="6" t="s">
        <v>5395</v>
      </c>
      <c r="C2676" s="7" t="s">
        <v>1074</v>
      </c>
      <c r="D2676" s="6" t="s">
        <v>1075</v>
      </c>
      <c r="E2676" s="6" t="s">
        <v>1884</v>
      </c>
      <c r="F2676" s="6" t="s">
        <v>5</v>
      </c>
      <c r="G2676" s="6" t="s">
        <v>478</v>
      </c>
      <c r="H2676" s="6">
        <v>0.77</v>
      </c>
      <c r="I2676" s="6" t="str">
        <f>_xlfn.CONCAT("Art. złączny do produktu ",Tabela10[[#This Row],[KOD_PRODUKTU]])</f>
        <v>Art. złączny do produktu 943W33-682</v>
      </c>
      <c r="J2676" s="6" t="str">
        <f>_xlfn.CONCAT("VE-",Tabela10[[#This Row],[KOD_PRODUKTU]])</f>
        <v>VE-943W33-682</v>
      </c>
    </row>
    <row r="2677" spans="1:10" x14ac:dyDescent="0.25">
      <c r="A2677" s="1" t="s">
        <v>5394</v>
      </c>
      <c r="B2677" t="s">
        <v>5395</v>
      </c>
      <c r="C2677" s="1" t="s">
        <v>1959</v>
      </c>
      <c r="D2677" t="s">
        <v>1960</v>
      </c>
      <c r="E2677" t="s">
        <v>131</v>
      </c>
      <c r="F2677" t="s">
        <v>5</v>
      </c>
      <c r="G2677" t="s">
        <v>3404</v>
      </c>
      <c r="H2677">
        <v>3.12</v>
      </c>
      <c r="I2677" s="6" t="str">
        <f>_xlfn.CONCAT("Art. złączny do produktu ",Tabela10[[#This Row],[KOD_PRODUKTU]])</f>
        <v>Art. złączny do produktu 943W33-682</v>
      </c>
      <c r="J2677" s="6" t="str">
        <f>_xlfn.CONCAT("VE-",Tabela10[[#This Row],[KOD_PRODUKTU]])</f>
        <v>VE-943W33-682</v>
      </c>
    </row>
    <row r="2678" spans="1:10" x14ac:dyDescent="0.25">
      <c r="A2678" s="7" t="s">
        <v>5394</v>
      </c>
      <c r="B2678" s="6" t="s">
        <v>5395</v>
      </c>
      <c r="C2678" s="7" t="s">
        <v>41</v>
      </c>
      <c r="D2678" s="6" t="s">
        <v>42</v>
      </c>
      <c r="E2678" s="6" t="s">
        <v>513</v>
      </c>
      <c r="F2678" s="6" t="s">
        <v>5</v>
      </c>
      <c r="G2678" s="6" t="s">
        <v>4883</v>
      </c>
      <c r="H2678" s="6">
        <v>0.02</v>
      </c>
      <c r="I2678" s="6" t="str">
        <f>_xlfn.CONCAT("Art. złączny do produktu ",Tabela10[[#This Row],[KOD_PRODUKTU]])</f>
        <v>Art. złączny do produktu 943W33-682</v>
      </c>
      <c r="J2678" s="6" t="str">
        <f>_xlfn.CONCAT("VE-",Tabela10[[#This Row],[KOD_PRODUKTU]])</f>
        <v>VE-943W33-682</v>
      </c>
    </row>
    <row r="2679" spans="1:10" x14ac:dyDescent="0.25">
      <c r="A2679" s="1" t="s">
        <v>5394</v>
      </c>
      <c r="B2679" t="s">
        <v>5395</v>
      </c>
      <c r="C2679" s="1" t="s">
        <v>5396</v>
      </c>
      <c r="D2679" t="s">
        <v>5397</v>
      </c>
      <c r="E2679" t="s">
        <v>5398</v>
      </c>
      <c r="F2679" t="s">
        <v>49</v>
      </c>
      <c r="G2679" t="s">
        <v>50</v>
      </c>
      <c r="H2679">
        <v>140.24</v>
      </c>
      <c r="I2679" s="6" t="str">
        <f>_xlfn.CONCAT("Art. złączny do produktu ",Tabela10[[#This Row],[KOD_PRODUKTU]])</f>
        <v>Art. złączny do produktu 943W33-682</v>
      </c>
      <c r="J2679" s="6" t="str">
        <f>_xlfn.CONCAT("VE-",Tabela10[[#This Row],[KOD_PRODUKTU]])</f>
        <v>VE-943W33-682</v>
      </c>
    </row>
    <row r="2680" spans="1:10" x14ac:dyDescent="0.25">
      <c r="A2680" s="7" t="s">
        <v>5394</v>
      </c>
      <c r="B2680" s="6" t="s">
        <v>5395</v>
      </c>
      <c r="C2680" s="7" t="s">
        <v>7</v>
      </c>
      <c r="D2680" s="6" t="s">
        <v>8</v>
      </c>
      <c r="E2680" s="6" t="s">
        <v>9</v>
      </c>
      <c r="F2680" s="6" t="s">
        <v>10</v>
      </c>
      <c r="G2680" s="6" t="s">
        <v>5402</v>
      </c>
      <c r="H2680" s="6">
        <v>16.170000000000002</v>
      </c>
      <c r="I2680" s="6" t="str">
        <f>_xlfn.CONCAT("Art. złączny do produktu ",Tabela10[[#This Row],[KOD_PRODUKTU]])</f>
        <v>Art. złączny do produktu 943W33-682</v>
      </c>
      <c r="J2680" s="6" t="str">
        <f>_xlfn.CONCAT("VE-",Tabela10[[#This Row],[KOD_PRODUKTU]])</f>
        <v>VE-943W33-682</v>
      </c>
    </row>
    <row r="2681" spans="1:10" x14ac:dyDescent="0.25">
      <c r="A2681" s="1" t="s">
        <v>5417</v>
      </c>
      <c r="B2681" t="s">
        <v>5418</v>
      </c>
      <c r="C2681" s="1" t="s">
        <v>4085</v>
      </c>
      <c r="D2681" t="s">
        <v>4086</v>
      </c>
      <c r="E2681" t="s">
        <v>1394</v>
      </c>
      <c r="F2681" t="s">
        <v>5</v>
      </c>
      <c r="G2681" t="s">
        <v>5419</v>
      </c>
      <c r="H2681">
        <v>2.25</v>
      </c>
      <c r="I2681" s="6" t="str">
        <f>_xlfn.CONCAT("Art. złączny do produktu ",Tabela10[[#This Row],[KOD_PRODUKTU]])</f>
        <v>Art. złączny do produktu 943W37-211</v>
      </c>
      <c r="J2681" s="6" t="str">
        <f>_xlfn.CONCAT("VE-",Tabela10[[#This Row],[KOD_PRODUKTU]])</f>
        <v>VE-943W37-211</v>
      </c>
    </row>
    <row r="2682" spans="1:10" x14ac:dyDescent="0.25">
      <c r="A2682" s="7" t="s">
        <v>5417</v>
      </c>
      <c r="B2682" s="6" t="s">
        <v>5418</v>
      </c>
      <c r="C2682" s="7" t="s">
        <v>432</v>
      </c>
      <c r="D2682" s="6" t="s">
        <v>433</v>
      </c>
      <c r="E2682" s="6" t="s">
        <v>434</v>
      </c>
      <c r="F2682" s="6" t="s">
        <v>435</v>
      </c>
      <c r="G2682" s="6" t="s">
        <v>50</v>
      </c>
      <c r="H2682" s="6">
        <v>1.1000000000000001</v>
      </c>
      <c r="I2682" s="6" t="str">
        <f>_xlfn.CONCAT("Art. złączny do produktu ",Tabela10[[#This Row],[KOD_PRODUKTU]])</f>
        <v>Art. złączny do produktu 943W37-211</v>
      </c>
      <c r="J2682" s="6" t="str">
        <f>_xlfn.CONCAT("VE-",Tabela10[[#This Row],[KOD_PRODUKTU]])</f>
        <v>VE-943W37-211</v>
      </c>
    </row>
    <row r="2683" spans="1:10" x14ac:dyDescent="0.25">
      <c r="A2683" s="1" t="s">
        <v>5417</v>
      </c>
      <c r="B2683" t="s">
        <v>5418</v>
      </c>
      <c r="C2683" s="1" t="s">
        <v>541</v>
      </c>
      <c r="D2683" t="s">
        <v>542</v>
      </c>
      <c r="E2683" t="s">
        <v>9</v>
      </c>
      <c r="F2683" t="s">
        <v>10</v>
      </c>
      <c r="G2683" t="s">
        <v>3037</v>
      </c>
      <c r="H2683">
        <v>3.83</v>
      </c>
      <c r="I2683" s="6" t="str">
        <f>_xlfn.CONCAT("Art. złączny do produktu ",Tabela10[[#This Row],[KOD_PRODUKTU]])</f>
        <v>Art. złączny do produktu 943W37-211</v>
      </c>
      <c r="J2683" s="6" t="str">
        <f>_xlfn.CONCAT("VE-",Tabela10[[#This Row],[KOD_PRODUKTU]])</f>
        <v>VE-943W37-211</v>
      </c>
    </row>
    <row r="2684" spans="1:10" x14ac:dyDescent="0.25">
      <c r="A2684" s="7" t="s">
        <v>5420</v>
      </c>
      <c r="B2684" s="6" t="s">
        <v>5421</v>
      </c>
      <c r="C2684" s="7" t="s">
        <v>4168</v>
      </c>
      <c r="D2684" s="6" t="s">
        <v>4423</v>
      </c>
      <c r="E2684" s="6" t="s">
        <v>70</v>
      </c>
      <c r="F2684" s="6" t="s">
        <v>5</v>
      </c>
      <c r="G2684" s="6" t="s">
        <v>5422</v>
      </c>
      <c r="H2684" s="6">
        <v>11.75</v>
      </c>
      <c r="I2684" s="6" t="str">
        <f>_xlfn.CONCAT("Art. złączny do produktu ",Tabela10[[#This Row],[KOD_PRODUKTU]])</f>
        <v>Art. złączny do produktu 943W37-221</v>
      </c>
      <c r="J2684" s="6" t="str">
        <f>_xlfn.CONCAT("VE-",Tabela10[[#This Row],[KOD_PRODUKTU]])</f>
        <v>VE-943W37-221</v>
      </c>
    </row>
    <row r="2685" spans="1:10" x14ac:dyDescent="0.25">
      <c r="A2685" s="1" t="s">
        <v>5420</v>
      </c>
      <c r="B2685" t="s">
        <v>5421</v>
      </c>
      <c r="C2685" s="1" t="s">
        <v>541</v>
      </c>
      <c r="D2685" t="s">
        <v>542</v>
      </c>
      <c r="E2685" t="s">
        <v>9</v>
      </c>
      <c r="F2685" t="s">
        <v>10</v>
      </c>
      <c r="G2685" t="s">
        <v>594</v>
      </c>
      <c r="H2685">
        <v>11.5</v>
      </c>
      <c r="I2685" s="6" t="str">
        <f>_xlfn.CONCAT("Art. złączny do produktu ",Tabela10[[#This Row],[KOD_PRODUKTU]])</f>
        <v>Art. złączny do produktu 943W37-221</v>
      </c>
      <c r="J2685" s="6" t="str">
        <f>_xlfn.CONCAT("VE-",Tabela10[[#This Row],[KOD_PRODUKTU]])</f>
        <v>VE-943W37-221</v>
      </c>
    </row>
    <row r="2686" spans="1:10" x14ac:dyDescent="0.25">
      <c r="A2686" s="7" t="s">
        <v>5423</v>
      </c>
      <c r="B2686" s="6" t="s">
        <v>5424</v>
      </c>
      <c r="C2686" s="7" t="s">
        <v>1128</v>
      </c>
      <c r="D2686" s="6" t="s">
        <v>1129</v>
      </c>
      <c r="E2686" s="6" t="s">
        <v>31</v>
      </c>
      <c r="F2686" s="6" t="s">
        <v>5</v>
      </c>
      <c r="G2686" s="6" t="s">
        <v>5425</v>
      </c>
      <c r="H2686" s="6">
        <v>16.850000000000001</v>
      </c>
      <c r="I2686" s="6" t="str">
        <f>_xlfn.CONCAT("Art. złączny do produktu ",Tabela10[[#This Row],[KOD_PRODUKTU]])</f>
        <v>Art. złączny do produktu 943W37-241</v>
      </c>
      <c r="J2686" s="6" t="str">
        <f>_xlfn.CONCAT("VE-",Tabela10[[#This Row],[KOD_PRODUKTU]])</f>
        <v>VE-943W37-241</v>
      </c>
    </row>
    <row r="2687" spans="1:10" x14ac:dyDescent="0.25">
      <c r="A2687" s="1" t="s">
        <v>5423</v>
      </c>
      <c r="B2687" t="s">
        <v>5424</v>
      </c>
      <c r="C2687" s="1" t="s">
        <v>541</v>
      </c>
      <c r="D2687" t="s">
        <v>542</v>
      </c>
      <c r="E2687" t="s">
        <v>9</v>
      </c>
      <c r="F2687" t="s">
        <v>10</v>
      </c>
      <c r="G2687" t="s">
        <v>5426</v>
      </c>
      <c r="H2687">
        <v>4.67</v>
      </c>
      <c r="I2687" s="6" t="str">
        <f>_xlfn.CONCAT("Art. złączny do produktu ",Tabela10[[#This Row],[KOD_PRODUKTU]])</f>
        <v>Art. złączny do produktu 943W37-241</v>
      </c>
      <c r="J2687" s="6" t="str">
        <f>_xlfn.CONCAT("VE-",Tabela10[[#This Row],[KOD_PRODUKTU]])</f>
        <v>VE-943W37-241</v>
      </c>
    </row>
    <row r="2688" spans="1:10" x14ac:dyDescent="0.25">
      <c r="A2688" s="7" t="s">
        <v>5427</v>
      </c>
      <c r="B2688" s="6" t="s">
        <v>5428</v>
      </c>
      <c r="C2688" s="7" t="s">
        <v>5429</v>
      </c>
      <c r="D2688" s="6" t="s">
        <v>5430</v>
      </c>
      <c r="E2688" s="6" t="s">
        <v>1768</v>
      </c>
      <c r="F2688" s="6" t="s">
        <v>49</v>
      </c>
      <c r="G2688" s="6" t="s">
        <v>50</v>
      </c>
      <c r="H2688" s="6">
        <v>0</v>
      </c>
      <c r="I2688" s="6" t="str">
        <f>_xlfn.CONCAT("Art. złączny do produktu ",Tabela10[[#This Row],[KOD_PRODUKTU]])</f>
        <v>Art. złączny do produktu 943W37-250</v>
      </c>
      <c r="J2688" s="6" t="str">
        <f>_xlfn.CONCAT("VE-",Tabela10[[#This Row],[KOD_PRODUKTU]])</f>
        <v>VE-943W37-250</v>
      </c>
    </row>
    <row r="2689" spans="1:10" x14ac:dyDescent="0.25">
      <c r="A2689" s="1" t="s">
        <v>5427</v>
      </c>
      <c r="B2689" t="s">
        <v>5428</v>
      </c>
      <c r="C2689" s="1" t="s">
        <v>1234</v>
      </c>
      <c r="D2689" t="s">
        <v>433</v>
      </c>
      <c r="E2689" t="s">
        <v>108</v>
      </c>
      <c r="F2689" t="s">
        <v>932</v>
      </c>
      <c r="G2689" t="s">
        <v>5431</v>
      </c>
      <c r="H2689">
        <v>20.43</v>
      </c>
      <c r="I2689" s="6" t="str">
        <f>_xlfn.CONCAT("Art. złączny do produktu ",Tabela10[[#This Row],[KOD_PRODUKTU]])</f>
        <v>Art. złączny do produktu 943W37-250</v>
      </c>
      <c r="J2689" s="6" t="str">
        <f>_xlfn.CONCAT("VE-",Tabela10[[#This Row],[KOD_PRODUKTU]])</f>
        <v>VE-943W37-250</v>
      </c>
    </row>
    <row r="2690" spans="1:10" x14ac:dyDescent="0.25">
      <c r="A2690" s="7" t="s">
        <v>5427</v>
      </c>
      <c r="B2690" s="6" t="s">
        <v>5428</v>
      </c>
      <c r="C2690" s="7" t="s">
        <v>541</v>
      </c>
      <c r="D2690" s="6" t="s">
        <v>542</v>
      </c>
      <c r="E2690" s="6" t="s">
        <v>9</v>
      </c>
      <c r="F2690" s="6" t="s">
        <v>10</v>
      </c>
      <c r="G2690" s="6" t="s">
        <v>5432</v>
      </c>
      <c r="H2690" s="6">
        <v>20.98</v>
      </c>
      <c r="I2690" s="6" t="str">
        <f>_xlfn.CONCAT("Art. złączny do produktu ",Tabela10[[#This Row],[KOD_PRODUKTU]])</f>
        <v>Art. złączny do produktu 943W37-250</v>
      </c>
      <c r="J2690" s="6" t="str">
        <f>_xlfn.CONCAT("VE-",Tabela10[[#This Row],[KOD_PRODUKTU]])</f>
        <v>VE-943W37-250</v>
      </c>
    </row>
    <row r="2691" spans="1:10" x14ac:dyDescent="0.25">
      <c r="A2691" s="1" t="s">
        <v>5433</v>
      </c>
      <c r="B2691" t="s">
        <v>5434</v>
      </c>
      <c r="C2691" s="1" t="s">
        <v>1553</v>
      </c>
      <c r="D2691" t="s">
        <v>1554</v>
      </c>
      <c r="E2691" t="s">
        <v>70</v>
      </c>
      <c r="F2691" t="s">
        <v>5</v>
      </c>
      <c r="G2691" t="s">
        <v>5435</v>
      </c>
      <c r="H2691">
        <v>20.05</v>
      </c>
      <c r="I2691" s="6" t="str">
        <f>_xlfn.CONCAT("Art. złączny do produktu ",Tabela10[[#This Row],[KOD_PRODUKTU]])</f>
        <v>Art. złączny do produktu 943W37-260</v>
      </c>
      <c r="J2691" s="6" t="str">
        <f>_xlfn.CONCAT("VE-",Tabela10[[#This Row],[KOD_PRODUKTU]])</f>
        <v>VE-943W37-260</v>
      </c>
    </row>
    <row r="2692" spans="1:10" x14ac:dyDescent="0.25">
      <c r="A2692" s="7" t="s">
        <v>5433</v>
      </c>
      <c r="B2692" s="6" t="s">
        <v>5434</v>
      </c>
      <c r="C2692" s="7" t="s">
        <v>1234</v>
      </c>
      <c r="D2692" s="6" t="s">
        <v>1235</v>
      </c>
      <c r="E2692" s="6" t="s">
        <v>108</v>
      </c>
      <c r="F2692" s="6" t="s">
        <v>932</v>
      </c>
      <c r="G2692" s="6" t="s">
        <v>5436</v>
      </c>
      <c r="H2692" s="6">
        <v>11.79</v>
      </c>
      <c r="I2692" s="6" t="str">
        <f>_xlfn.CONCAT("Art. złączny do produktu ",Tabela10[[#This Row],[KOD_PRODUKTU]])</f>
        <v>Art. złączny do produktu 943W37-260</v>
      </c>
      <c r="J2692" s="6" t="str">
        <f>_xlfn.CONCAT("VE-",Tabela10[[#This Row],[KOD_PRODUKTU]])</f>
        <v>VE-943W37-260</v>
      </c>
    </row>
    <row r="2693" spans="1:10" x14ac:dyDescent="0.25">
      <c r="A2693" s="1" t="s">
        <v>5433</v>
      </c>
      <c r="B2693" t="s">
        <v>5434</v>
      </c>
      <c r="C2693" s="1" t="s">
        <v>541</v>
      </c>
      <c r="D2693" t="s">
        <v>542</v>
      </c>
      <c r="E2693" t="s">
        <v>9</v>
      </c>
      <c r="F2693" t="s">
        <v>10</v>
      </c>
      <c r="G2693" t="s">
        <v>33</v>
      </c>
      <c r="H2693">
        <v>9.1999999999999993</v>
      </c>
      <c r="I2693" s="6" t="str">
        <f>_xlfn.CONCAT("Art. złączny do produktu ",Tabela10[[#This Row],[KOD_PRODUKTU]])</f>
        <v>Art. złączny do produktu 943W37-260</v>
      </c>
      <c r="J2693" s="6" t="str">
        <f>_xlfn.CONCAT("VE-",Tabela10[[#This Row],[KOD_PRODUKTU]])</f>
        <v>VE-943W37-260</v>
      </c>
    </row>
    <row r="2694" spans="1:10" x14ac:dyDescent="0.25">
      <c r="A2694" s="7" t="s">
        <v>5437</v>
      </c>
      <c r="B2694" s="6" t="s">
        <v>5438</v>
      </c>
      <c r="C2694" s="7" t="s">
        <v>1128</v>
      </c>
      <c r="D2694" s="6" t="s">
        <v>1129</v>
      </c>
      <c r="E2694" s="6" t="s">
        <v>31</v>
      </c>
      <c r="F2694" s="6" t="s">
        <v>5</v>
      </c>
      <c r="G2694" s="6" t="s">
        <v>5439</v>
      </c>
      <c r="H2694" s="6">
        <v>19.079999999999998</v>
      </c>
      <c r="I2694" s="6" t="str">
        <f>_xlfn.CONCAT("Art. złączny do produktu ",Tabela10[[#This Row],[KOD_PRODUKTU]])</f>
        <v>Art. złączny do produktu 943W37-270</v>
      </c>
      <c r="J2694" s="6" t="str">
        <f>_xlfn.CONCAT("VE-",Tabela10[[#This Row],[KOD_PRODUKTU]])</f>
        <v>VE-943W37-270</v>
      </c>
    </row>
    <row r="2695" spans="1:10" x14ac:dyDescent="0.25">
      <c r="A2695" s="1" t="s">
        <v>5437</v>
      </c>
      <c r="B2695" t="s">
        <v>5438</v>
      </c>
      <c r="C2695" s="1" t="s">
        <v>1234</v>
      </c>
      <c r="D2695" t="s">
        <v>1235</v>
      </c>
      <c r="E2695" t="s">
        <v>108</v>
      </c>
      <c r="F2695" t="s">
        <v>932</v>
      </c>
      <c r="G2695" t="s">
        <v>50</v>
      </c>
      <c r="H2695">
        <v>4.2</v>
      </c>
      <c r="I2695" s="6" t="str">
        <f>_xlfn.CONCAT("Art. złączny do produktu ",Tabela10[[#This Row],[KOD_PRODUKTU]])</f>
        <v>Art. złączny do produktu 943W37-270</v>
      </c>
      <c r="J2695" s="6" t="str">
        <f>_xlfn.CONCAT("VE-",Tabela10[[#This Row],[KOD_PRODUKTU]])</f>
        <v>VE-943W37-270</v>
      </c>
    </row>
    <row r="2696" spans="1:10" x14ac:dyDescent="0.25">
      <c r="A2696" s="7" t="s">
        <v>5437</v>
      </c>
      <c r="B2696" s="6" t="s">
        <v>5438</v>
      </c>
      <c r="C2696" s="7" t="s">
        <v>541</v>
      </c>
      <c r="D2696" s="6" t="s">
        <v>542</v>
      </c>
      <c r="E2696" s="6" t="s">
        <v>9</v>
      </c>
      <c r="F2696" s="6" t="s">
        <v>10</v>
      </c>
      <c r="G2696" s="6" t="s">
        <v>5440</v>
      </c>
      <c r="H2696" s="6">
        <v>4.0599999999999996</v>
      </c>
      <c r="I2696" s="6" t="str">
        <f>_xlfn.CONCAT("Art. złączny do produktu ",Tabela10[[#This Row],[KOD_PRODUKTU]])</f>
        <v>Art. złączny do produktu 943W37-270</v>
      </c>
      <c r="J2696" s="6" t="str">
        <f>_xlfn.CONCAT("VE-",Tabela10[[#This Row],[KOD_PRODUKTU]])</f>
        <v>VE-943W37-270</v>
      </c>
    </row>
    <row r="2697" spans="1:10" x14ac:dyDescent="0.25">
      <c r="A2697" s="1" t="s">
        <v>5441</v>
      </c>
      <c r="B2697" t="s">
        <v>5442</v>
      </c>
      <c r="C2697" s="1" t="s">
        <v>1128</v>
      </c>
      <c r="D2697" t="s">
        <v>1129</v>
      </c>
      <c r="E2697" t="s">
        <v>31</v>
      </c>
      <c r="F2697" t="s">
        <v>5</v>
      </c>
      <c r="G2697" t="s">
        <v>5443</v>
      </c>
      <c r="H2697">
        <v>15.79</v>
      </c>
      <c r="I2697" s="6" t="str">
        <f>_xlfn.CONCAT("Art. złączny do produktu ",Tabela10[[#This Row],[KOD_PRODUKTU]])</f>
        <v>Art. złączny do produktu 943W39-232</v>
      </c>
      <c r="J2697" s="6" t="str">
        <f>_xlfn.CONCAT("VE-",Tabela10[[#This Row],[KOD_PRODUKTU]])</f>
        <v>VE-943W39-232</v>
      </c>
    </row>
    <row r="2698" spans="1:10" x14ac:dyDescent="0.25">
      <c r="A2698" s="7" t="s">
        <v>5441</v>
      </c>
      <c r="B2698" s="6" t="s">
        <v>5442</v>
      </c>
      <c r="C2698" s="7" t="s">
        <v>541</v>
      </c>
      <c r="D2698" s="6" t="s">
        <v>542</v>
      </c>
      <c r="E2698" s="6" t="s">
        <v>9</v>
      </c>
      <c r="F2698" s="6" t="s">
        <v>10</v>
      </c>
      <c r="G2698" s="6" t="s">
        <v>5444</v>
      </c>
      <c r="H2698" s="6">
        <v>3.91</v>
      </c>
      <c r="I2698" s="6" t="str">
        <f>_xlfn.CONCAT("Art. złączny do produktu ",Tabela10[[#This Row],[KOD_PRODUKTU]])</f>
        <v>Art. złączny do produktu 943W39-232</v>
      </c>
      <c r="J2698" s="6" t="str">
        <f>_xlfn.CONCAT("VE-",Tabela10[[#This Row],[KOD_PRODUKTU]])</f>
        <v>VE-943W39-232</v>
      </c>
    </row>
    <row r="2699" spans="1:10" x14ac:dyDescent="0.25">
      <c r="A2699" s="1" t="s">
        <v>5445</v>
      </c>
      <c r="B2699" t="s">
        <v>5446</v>
      </c>
      <c r="C2699" s="1" t="s">
        <v>1553</v>
      </c>
      <c r="D2699" t="s">
        <v>1554</v>
      </c>
      <c r="E2699" t="s">
        <v>70</v>
      </c>
      <c r="F2699" t="s">
        <v>5</v>
      </c>
      <c r="G2699" t="s">
        <v>122</v>
      </c>
      <c r="H2699">
        <v>20</v>
      </c>
      <c r="I2699" s="6" t="str">
        <f>_xlfn.CONCAT("Art. złączny do produktu ",Tabela10[[#This Row],[KOD_PRODUKTU]])</f>
        <v>Art. złączny do produktu 943W39-233</v>
      </c>
      <c r="J2699" s="6" t="str">
        <f>_xlfn.CONCAT("VE-",Tabela10[[#This Row],[KOD_PRODUKTU]])</f>
        <v>VE-943W39-233</v>
      </c>
    </row>
    <row r="2700" spans="1:10" x14ac:dyDescent="0.25">
      <c r="A2700" s="7" t="s">
        <v>5445</v>
      </c>
      <c r="B2700" s="6" t="s">
        <v>5446</v>
      </c>
      <c r="C2700" s="7" t="s">
        <v>541</v>
      </c>
      <c r="D2700" s="6" t="s">
        <v>542</v>
      </c>
      <c r="E2700" s="6" t="s">
        <v>9</v>
      </c>
      <c r="F2700" s="6" t="s">
        <v>10</v>
      </c>
      <c r="G2700" s="6" t="s">
        <v>601</v>
      </c>
      <c r="H2700" s="6">
        <v>6.9</v>
      </c>
      <c r="I2700" s="6" t="str">
        <f>_xlfn.CONCAT("Art. złączny do produktu ",Tabela10[[#This Row],[KOD_PRODUKTU]])</f>
        <v>Art. złączny do produktu 943W39-233</v>
      </c>
      <c r="J2700" s="6" t="str">
        <f>_xlfn.CONCAT("VE-",Tabela10[[#This Row],[KOD_PRODUKTU]])</f>
        <v>VE-943W39-233</v>
      </c>
    </row>
    <row r="2701" spans="1:10" x14ac:dyDescent="0.25">
      <c r="A2701" s="1" t="s">
        <v>5447</v>
      </c>
      <c r="B2701" t="s">
        <v>5448</v>
      </c>
      <c r="C2701" s="1" t="s">
        <v>5449</v>
      </c>
      <c r="D2701" t="s">
        <v>5450</v>
      </c>
      <c r="E2701" t="s">
        <v>1768</v>
      </c>
      <c r="F2701" t="s">
        <v>49</v>
      </c>
      <c r="G2701" t="s">
        <v>50</v>
      </c>
      <c r="H2701">
        <v>0</v>
      </c>
      <c r="I2701" s="6" t="str">
        <f>_xlfn.CONCAT("Art. złączny do produktu ",Tabela10[[#This Row],[KOD_PRODUKTU]])</f>
        <v>Art. złączny do produktu 943W39-234</v>
      </c>
      <c r="J2701" s="6" t="str">
        <f>_xlfn.CONCAT("VE-",Tabela10[[#This Row],[KOD_PRODUKTU]])</f>
        <v>VE-943W39-234</v>
      </c>
    </row>
    <row r="2702" spans="1:10" x14ac:dyDescent="0.25">
      <c r="A2702" s="7" t="s">
        <v>5447</v>
      </c>
      <c r="B2702" s="6" t="s">
        <v>5448</v>
      </c>
      <c r="C2702" s="7" t="s">
        <v>1234</v>
      </c>
      <c r="D2702" s="6" t="s">
        <v>433</v>
      </c>
      <c r="E2702" s="6" t="s">
        <v>108</v>
      </c>
      <c r="F2702" s="6" t="s">
        <v>932</v>
      </c>
      <c r="G2702" s="6" t="s">
        <v>5431</v>
      </c>
      <c r="H2702" s="6">
        <v>20.43</v>
      </c>
      <c r="I2702" s="6" t="str">
        <f>_xlfn.CONCAT("Art. złączny do produktu ",Tabela10[[#This Row],[KOD_PRODUKTU]])</f>
        <v>Art. złączny do produktu 943W39-234</v>
      </c>
      <c r="J2702" s="6" t="str">
        <f>_xlfn.CONCAT("VE-",Tabela10[[#This Row],[KOD_PRODUKTU]])</f>
        <v>VE-943W39-234</v>
      </c>
    </row>
    <row r="2703" spans="1:10" x14ac:dyDescent="0.25">
      <c r="A2703" s="1" t="s">
        <v>5447</v>
      </c>
      <c r="B2703" t="s">
        <v>5448</v>
      </c>
      <c r="C2703" s="1" t="s">
        <v>541</v>
      </c>
      <c r="D2703" t="s">
        <v>542</v>
      </c>
      <c r="E2703" t="s">
        <v>9</v>
      </c>
      <c r="F2703" t="s">
        <v>10</v>
      </c>
      <c r="G2703" t="s">
        <v>5451</v>
      </c>
      <c r="H2703">
        <v>13.31</v>
      </c>
      <c r="I2703" s="6" t="str">
        <f>_xlfn.CONCAT("Art. złączny do produktu ",Tabela10[[#This Row],[KOD_PRODUKTU]])</f>
        <v>Art. złączny do produktu 943W39-234</v>
      </c>
      <c r="J2703" s="6" t="str">
        <f>_xlfn.CONCAT("VE-",Tabela10[[#This Row],[KOD_PRODUKTU]])</f>
        <v>VE-943W39-234</v>
      </c>
    </row>
    <row r="2704" spans="1:10" x14ac:dyDescent="0.25">
      <c r="A2704" s="7" t="s">
        <v>5452</v>
      </c>
      <c r="B2704" s="6" t="s">
        <v>5453</v>
      </c>
      <c r="C2704" s="7" t="s">
        <v>1547</v>
      </c>
      <c r="D2704" s="6" t="s">
        <v>1548</v>
      </c>
      <c r="E2704" s="6" t="s">
        <v>216</v>
      </c>
      <c r="F2704" s="6" t="s">
        <v>5</v>
      </c>
      <c r="G2704" s="6" t="s">
        <v>1787</v>
      </c>
      <c r="H2704" s="6">
        <v>0.3</v>
      </c>
      <c r="I2704" s="6" t="str">
        <f>_xlfn.CONCAT("Art. złączny do produktu ",Tabela10[[#This Row],[KOD_PRODUKTU]])</f>
        <v>Art. złączny do produktu 943W39-235</v>
      </c>
      <c r="J2704" s="6" t="str">
        <f>_xlfn.CONCAT("VE-",Tabela10[[#This Row],[KOD_PRODUKTU]])</f>
        <v>VE-943W39-235</v>
      </c>
    </row>
    <row r="2705" spans="1:10" x14ac:dyDescent="0.25">
      <c r="A2705" s="1" t="s">
        <v>5452</v>
      </c>
      <c r="B2705" t="s">
        <v>5453</v>
      </c>
      <c r="C2705" s="1" t="s">
        <v>1234</v>
      </c>
      <c r="D2705" t="s">
        <v>433</v>
      </c>
      <c r="E2705" t="s">
        <v>108</v>
      </c>
      <c r="F2705" t="s">
        <v>932</v>
      </c>
      <c r="G2705" t="s">
        <v>5454</v>
      </c>
      <c r="H2705">
        <v>1.3</v>
      </c>
      <c r="I2705" s="6" t="str">
        <f>_xlfn.CONCAT("Art. złączny do produktu ",Tabela10[[#This Row],[KOD_PRODUKTU]])</f>
        <v>Art. złączny do produktu 943W39-235</v>
      </c>
      <c r="J2705" s="6" t="str">
        <f>_xlfn.CONCAT("VE-",Tabela10[[#This Row],[KOD_PRODUKTU]])</f>
        <v>VE-943W39-235</v>
      </c>
    </row>
    <row r="2706" spans="1:10" x14ac:dyDescent="0.25">
      <c r="A2706" s="7" t="s">
        <v>5452</v>
      </c>
      <c r="B2706" s="6" t="s">
        <v>5453</v>
      </c>
      <c r="C2706" s="7" t="s">
        <v>541</v>
      </c>
      <c r="D2706" s="6" t="s">
        <v>542</v>
      </c>
      <c r="E2706" s="6" t="s">
        <v>9</v>
      </c>
      <c r="F2706" s="6" t="s">
        <v>10</v>
      </c>
      <c r="G2706" s="6" t="s">
        <v>19</v>
      </c>
      <c r="H2706" s="6">
        <v>4.5999999999999996</v>
      </c>
      <c r="I2706" s="6" t="str">
        <f>_xlfn.CONCAT("Art. złączny do produktu ",Tabela10[[#This Row],[KOD_PRODUKTU]])</f>
        <v>Art. złączny do produktu 943W39-235</v>
      </c>
      <c r="J2706" s="6" t="str">
        <f>_xlfn.CONCAT("VE-",Tabela10[[#This Row],[KOD_PRODUKTU]])</f>
        <v>VE-943W39-235</v>
      </c>
    </row>
    <row r="2707" spans="1:10" x14ac:dyDescent="0.25">
      <c r="A2707" s="1" t="s">
        <v>5455</v>
      </c>
      <c r="B2707" t="s">
        <v>5456</v>
      </c>
      <c r="C2707" s="1" t="s">
        <v>4168</v>
      </c>
      <c r="D2707" t="s">
        <v>4423</v>
      </c>
      <c r="E2707" t="s">
        <v>70</v>
      </c>
      <c r="F2707" t="s">
        <v>5</v>
      </c>
      <c r="G2707" t="s">
        <v>319</v>
      </c>
      <c r="H2707">
        <v>30</v>
      </c>
      <c r="I2707" s="6" t="str">
        <f>_xlfn.CONCAT("Art. złączny do produktu ",Tabela10[[#This Row],[KOD_PRODUKTU]])</f>
        <v>Art. złączny do produktu 943W39-251</v>
      </c>
      <c r="J2707" s="6" t="str">
        <f>_xlfn.CONCAT("VE-",Tabela10[[#This Row],[KOD_PRODUKTU]])</f>
        <v>VE-943W39-251</v>
      </c>
    </row>
    <row r="2708" spans="1:10" x14ac:dyDescent="0.25">
      <c r="A2708" s="7" t="s">
        <v>5455</v>
      </c>
      <c r="B2708" s="6" t="s">
        <v>5456</v>
      </c>
      <c r="C2708" s="7" t="s">
        <v>541</v>
      </c>
      <c r="D2708" s="6" t="s">
        <v>542</v>
      </c>
      <c r="E2708" s="6" t="s">
        <v>9</v>
      </c>
      <c r="F2708" s="6" t="s">
        <v>10</v>
      </c>
      <c r="G2708" s="6" t="s">
        <v>4176</v>
      </c>
      <c r="H2708" s="6">
        <v>7.82</v>
      </c>
      <c r="I2708" s="6" t="str">
        <f>_xlfn.CONCAT("Art. złączny do produktu ",Tabela10[[#This Row],[KOD_PRODUKTU]])</f>
        <v>Art. złączny do produktu 943W39-251</v>
      </c>
      <c r="J2708" s="6" t="str">
        <f>_xlfn.CONCAT("VE-",Tabela10[[#This Row],[KOD_PRODUKTU]])</f>
        <v>VE-943W39-251</v>
      </c>
    </row>
    <row r="2709" spans="1:10" x14ac:dyDescent="0.25">
      <c r="A2709" s="1" t="s">
        <v>5457</v>
      </c>
      <c r="B2709" t="s">
        <v>5458</v>
      </c>
      <c r="C2709" s="1" t="s">
        <v>5459</v>
      </c>
      <c r="D2709" t="s">
        <v>5460</v>
      </c>
      <c r="E2709" t="s">
        <v>1588</v>
      </c>
      <c r="F2709" t="s">
        <v>49</v>
      </c>
      <c r="G2709" t="s">
        <v>50</v>
      </c>
      <c r="H2709">
        <v>19.5</v>
      </c>
      <c r="I2709" s="6" t="str">
        <f>_xlfn.CONCAT("Art. złączny do produktu ",Tabela10[[#This Row],[KOD_PRODUKTU]])</f>
        <v>Art. złączny do produktu 943W39-252</v>
      </c>
      <c r="J2709" s="6" t="str">
        <f>_xlfn.CONCAT("VE-",Tabela10[[#This Row],[KOD_PRODUKTU]])</f>
        <v>VE-943W39-252</v>
      </c>
    </row>
    <row r="2710" spans="1:10" x14ac:dyDescent="0.25">
      <c r="A2710" s="7" t="s">
        <v>5457</v>
      </c>
      <c r="B2710" s="6" t="s">
        <v>5458</v>
      </c>
      <c r="C2710" s="7" t="s">
        <v>541</v>
      </c>
      <c r="D2710" s="6" t="s">
        <v>542</v>
      </c>
      <c r="E2710" s="6" t="s">
        <v>9</v>
      </c>
      <c r="F2710" s="6" t="s">
        <v>10</v>
      </c>
      <c r="G2710" s="6" t="s">
        <v>4176</v>
      </c>
      <c r="H2710" s="6">
        <v>7.82</v>
      </c>
      <c r="I2710" s="6" t="str">
        <f>_xlfn.CONCAT("Art. złączny do produktu ",Tabela10[[#This Row],[KOD_PRODUKTU]])</f>
        <v>Art. złączny do produktu 943W39-252</v>
      </c>
      <c r="J2710" s="6" t="str">
        <f>_xlfn.CONCAT("VE-",Tabela10[[#This Row],[KOD_PRODUKTU]])</f>
        <v>VE-943W39-252</v>
      </c>
    </row>
    <row r="2711" spans="1:10" x14ac:dyDescent="0.25">
      <c r="A2711" s="1" t="s">
        <v>5461</v>
      </c>
      <c r="B2711" t="s">
        <v>5462</v>
      </c>
      <c r="C2711" s="1" t="s">
        <v>4168</v>
      </c>
      <c r="D2711" t="s">
        <v>4423</v>
      </c>
      <c r="E2711" t="s">
        <v>70</v>
      </c>
      <c r="F2711" t="s">
        <v>5</v>
      </c>
      <c r="G2711" t="s">
        <v>5463</v>
      </c>
      <c r="H2711">
        <v>95</v>
      </c>
      <c r="I2711" s="6" t="str">
        <f>_xlfn.CONCAT("Art. złączny do produktu ",Tabela10[[#This Row],[KOD_PRODUKTU]])</f>
        <v>Art. złączny do produktu 943W39-261</v>
      </c>
      <c r="J2711" s="6" t="str">
        <f>_xlfn.CONCAT("VE-",Tabela10[[#This Row],[KOD_PRODUKTU]])</f>
        <v>VE-943W39-261</v>
      </c>
    </row>
    <row r="2712" spans="1:10" x14ac:dyDescent="0.25">
      <c r="A2712" s="7" t="s">
        <v>5461</v>
      </c>
      <c r="B2712" s="6" t="s">
        <v>5462</v>
      </c>
      <c r="C2712" s="7" t="s">
        <v>541</v>
      </c>
      <c r="D2712" s="6" t="s">
        <v>542</v>
      </c>
      <c r="E2712" s="6" t="s">
        <v>9</v>
      </c>
      <c r="F2712" s="6" t="s">
        <v>10</v>
      </c>
      <c r="G2712" s="6" t="s">
        <v>594</v>
      </c>
      <c r="H2712" s="6">
        <v>11.5</v>
      </c>
      <c r="I2712" s="6" t="str">
        <f>_xlfn.CONCAT("Art. złączny do produktu ",Tabela10[[#This Row],[KOD_PRODUKTU]])</f>
        <v>Art. złączny do produktu 943W39-261</v>
      </c>
      <c r="J2712" s="6" t="str">
        <f>_xlfn.CONCAT("VE-",Tabela10[[#This Row],[KOD_PRODUKTU]])</f>
        <v>VE-943W39-261</v>
      </c>
    </row>
    <row r="2713" spans="1:10" x14ac:dyDescent="0.25">
      <c r="A2713" s="1" t="s">
        <v>5464</v>
      </c>
      <c r="B2713" t="s">
        <v>5465</v>
      </c>
      <c r="C2713" s="1" t="s">
        <v>4316</v>
      </c>
      <c r="D2713" t="s">
        <v>4317</v>
      </c>
      <c r="E2713" t="s">
        <v>1394</v>
      </c>
      <c r="F2713" t="s">
        <v>5</v>
      </c>
      <c r="G2713" t="s">
        <v>447</v>
      </c>
      <c r="H2713">
        <v>0.08</v>
      </c>
      <c r="I2713" s="6" t="str">
        <f>_xlfn.CONCAT("Art. złączny do produktu ",Tabela10[[#This Row],[KOD_PRODUKTU]])</f>
        <v>Art. złączny do produktu 943W39-271</v>
      </c>
      <c r="J2713" s="6" t="str">
        <f>_xlfn.CONCAT("VE-",Tabela10[[#This Row],[KOD_PRODUKTU]])</f>
        <v>VE-943W39-271</v>
      </c>
    </row>
    <row r="2714" spans="1:10" x14ac:dyDescent="0.25">
      <c r="A2714" s="7" t="s">
        <v>5464</v>
      </c>
      <c r="B2714" s="6" t="s">
        <v>5465</v>
      </c>
      <c r="C2714" s="7" t="s">
        <v>541</v>
      </c>
      <c r="D2714" s="6" t="s">
        <v>542</v>
      </c>
      <c r="E2714" s="6" t="s">
        <v>9</v>
      </c>
      <c r="F2714" s="6" t="s">
        <v>10</v>
      </c>
      <c r="G2714" s="6" t="s">
        <v>5466</v>
      </c>
      <c r="H2714" s="6">
        <v>3.79</v>
      </c>
      <c r="I2714" s="6" t="str">
        <f>_xlfn.CONCAT("Art. złączny do produktu ",Tabela10[[#This Row],[KOD_PRODUKTU]])</f>
        <v>Art. złączny do produktu 943W39-271</v>
      </c>
      <c r="J2714" s="6" t="str">
        <f>_xlfn.CONCAT("VE-",Tabela10[[#This Row],[KOD_PRODUKTU]])</f>
        <v>VE-943W39-271</v>
      </c>
    </row>
    <row r="2715" spans="1:10" x14ac:dyDescent="0.25">
      <c r="A2715" s="1" t="s">
        <v>5467</v>
      </c>
      <c r="B2715" t="s">
        <v>5468</v>
      </c>
      <c r="C2715" s="1" t="s">
        <v>2947</v>
      </c>
      <c r="D2715" t="s">
        <v>5469</v>
      </c>
      <c r="E2715" t="s">
        <v>70</v>
      </c>
      <c r="F2715" t="s">
        <v>5</v>
      </c>
      <c r="G2715" t="s">
        <v>5470</v>
      </c>
      <c r="H2715">
        <v>0.6</v>
      </c>
      <c r="I2715" s="6" t="str">
        <f>_xlfn.CONCAT("Art. złączny do produktu ",Tabela10[[#This Row],[KOD_PRODUKTU]])</f>
        <v>Art. złączny do produktu 943W39-312</v>
      </c>
      <c r="J2715" s="6" t="str">
        <f>_xlfn.CONCAT("VE-",Tabela10[[#This Row],[KOD_PRODUKTU]])</f>
        <v>VE-943W39-312</v>
      </c>
    </row>
    <row r="2716" spans="1:10" x14ac:dyDescent="0.25">
      <c r="A2716" s="7" t="s">
        <v>5467</v>
      </c>
      <c r="B2716" s="6" t="s">
        <v>5468</v>
      </c>
      <c r="C2716" s="7" t="s">
        <v>541</v>
      </c>
      <c r="D2716" s="6" t="s">
        <v>542</v>
      </c>
      <c r="E2716" s="6" t="s">
        <v>9</v>
      </c>
      <c r="F2716" s="6" t="s">
        <v>10</v>
      </c>
      <c r="G2716" s="6" t="s">
        <v>5471</v>
      </c>
      <c r="H2716" s="6">
        <v>4.45</v>
      </c>
      <c r="I2716" s="6" t="str">
        <f>_xlfn.CONCAT("Art. złączny do produktu ",Tabela10[[#This Row],[KOD_PRODUKTU]])</f>
        <v>Art. złączny do produktu 943W39-312</v>
      </c>
      <c r="J2716" s="6" t="str">
        <f>_xlfn.CONCAT("VE-",Tabela10[[#This Row],[KOD_PRODUKTU]])</f>
        <v>VE-943W39-312</v>
      </c>
    </row>
    <row r="2717" spans="1:10" x14ac:dyDescent="0.25">
      <c r="A2717" s="1" t="s">
        <v>5472</v>
      </c>
      <c r="B2717" t="s">
        <v>5473</v>
      </c>
      <c r="C2717" s="1" t="s">
        <v>1123</v>
      </c>
      <c r="D2717" t="s">
        <v>1124</v>
      </c>
      <c r="E2717" t="s">
        <v>70</v>
      </c>
      <c r="F2717" t="s">
        <v>5</v>
      </c>
      <c r="G2717" t="s">
        <v>5474</v>
      </c>
      <c r="H2717">
        <v>10.4</v>
      </c>
      <c r="I2717" s="6" t="str">
        <f>_xlfn.CONCAT("Art. złączny do produktu ",Tabela10[[#This Row],[KOD_PRODUKTU]])</f>
        <v>Art. złączny do produktu 943W39-314</v>
      </c>
      <c r="J2717" s="6" t="str">
        <f>_xlfn.CONCAT("VE-",Tabela10[[#This Row],[KOD_PRODUKTU]])</f>
        <v>VE-943W39-314</v>
      </c>
    </row>
    <row r="2718" spans="1:10" x14ac:dyDescent="0.25">
      <c r="A2718" s="7" t="s">
        <v>5472</v>
      </c>
      <c r="B2718" s="6" t="s">
        <v>5473</v>
      </c>
      <c r="C2718" s="7" t="s">
        <v>541</v>
      </c>
      <c r="D2718" s="6" t="s">
        <v>542</v>
      </c>
      <c r="E2718" s="6" t="s">
        <v>9</v>
      </c>
      <c r="F2718" s="6" t="s">
        <v>10</v>
      </c>
      <c r="G2718" s="6" t="s">
        <v>5475</v>
      </c>
      <c r="H2718" s="6">
        <v>16.25</v>
      </c>
      <c r="I2718" s="6" t="str">
        <f>_xlfn.CONCAT("Art. złączny do produktu ",Tabela10[[#This Row],[KOD_PRODUKTU]])</f>
        <v>Art. złączny do produktu 943W39-314</v>
      </c>
      <c r="J2718" s="6" t="str">
        <f>_xlfn.CONCAT("VE-",Tabela10[[#This Row],[KOD_PRODUKTU]])</f>
        <v>VE-943W39-314</v>
      </c>
    </row>
    <row r="2719" spans="1:10" x14ac:dyDescent="0.25">
      <c r="A2719" s="1" t="s">
        <v>5476</v>
      </c>
      <c r="B2719" t="s">
        <v>5477</v>
      </c>
      <c r="C2719" s="1" t="s">
        <v>5478</v>
      </c>
      <c r="D2719" t="s">
        <v>5479</v>
      </c>
      <c r="E2719" t="s">
        <v>70</v>
      </c>
      <c r="F2719" t="s">
        <v>5</v>
      </c>
      <c r="G2719" t="s">
        <v>5480</v>
      </c>
      <c r="H2719">
        <v>1.55</v>
      </c>
      <c r="I2719" s="6" t="str">
        <f>_xlfn.CONCAT("Art. złączny do produktu ",Tabela10[[#This Row],[KOD_PRODUKTU]])</f>
        <v>Art. złączny do produktu 943W39-323</v>
      </c>
      <c r="J2719" s="6" t="str">
        <f>_xlfn.CONCAT("VE-",Tabela10[[#This Row],[KOD_PRODUKTU]])</f>
        <v>VE-943W39-323</v>
      </c>
    </row>
    <row r="2720" spans="1:10" x14ac:dyDescent="0.25">
      <c r="A2720" s="7" t="s">
        <v>5476</v>
      </c>
      <c r="B2720" s="6" t="s">
        <v>5477</v>
      </c>
      <c r="C2720" s="7" t="s">
        <v>541</v>
      </c>
      <c r="D2720" s="6" t="s">
        <v>542</v>
      </c>
      <c r="E2720" s="6" t="s">
        <v>9</v>
      </c>
      <c r="F2720" s="6" t="s">
        <v>10</v>
      </c>
      <c r="G2720" s="6" t="s">
        <v>5481</v>
      </c>
      <c r="H2720" s="6">
        <v>4.5199999999999996</v>
      </c>
      <c r="I2720" s="6" t="str">
        <f>_xlfn.CONCAT("Art. złączny do produktu ",Tabela10[[#This Row],[KOD_PRODUKTU]])</f>
        <v>Art. złączny do produktu 943W39-323</v>
      </c>
      <c r="J2720" s="6" t="str">
        <f>_xlfn.CONCAT("VE-",Tabela10[[#This Row],[KOD_PRODUKTU]])</f>
        <v>VE-943W39-323</v>
      </c>
    </row>
    <row r="2721" spans="1:10" x14ac:dyDescent="0.25">
      <c r="A2721" s="1" t="s">
        <v>5482</v>
      </c>
      <c r="B2721" t="s">
        <v>5483</v>
      </c>
      <c r="C2721" s="1" t="s">
        <v>1249</v>
      </c>
      <c r="D2721" t="s">
        <v>1250</v>
      </c>
      <c r="E2721" t="s">
        <v>1251</v>
      </c>
      <c r="F2721" t="s">
        <v>1252</v>
      </c>
      <c r="G2721" t="s">
        <v>367</v>
      </c>
      <c r="H2721">
        <v>600</v>
      </c>
      <c r="I2721" s="6" t="str">
        <f>_xlfn.CONCAT("Art. złączny do produktu ",Tabela10[[#This Row],[KOD_PRODUKTU]])</f>
        <v>Art. złączny do produktu 943W45-100</v>
      </c>
      <c r="J2721" s="6" t="str">
        <f>_xlfn.CONCAT("VE-",Tabela10[[#This Row],[KOD_PRODUKTU]])</f>
        <v>VE-943W45-100</v>
      </c>
    </row>
    <row r="2722" spans="1:10" x14ac:dyDescent="0.25">
      <c r="A2722" s="7" t="s">
        <v>5482</v>
      </c>
      <c r="B2722" s="6" t="s">
        <v>5483</v>
      </c>
      <c r="C2722" s="7" t="s">
        <v>541</v>
      </c>
      <c r="D2722" s="6" t="s">
        <v>542</v>
      </c>
      <c r="E2722" s="6" t="s">
        <v>9</v>
      </c>
      <c r="F2722" s="6" t="s">
        <v>10</v>
      </c>
      <c r="G2722" s="6" t="s">
        <v>5484</v>
      </c>
      <c r="H2722" s="6">
        <v>176.33</v>
      </c>
      <c r="I2722" s="6" t="str">
        <f>_xlfn.CONCAT("Art. złączny do produktu ",Tabela10[[#This Row],[KOD_PRODUKTU]])</f>
        <v>Art. złączny do produktu 943W45-100</v>
      </c>
      <c r="J2722" s="6" t="str">
        <f>_xlfn.CONCAT("VE-",Tabela10[[#This Row],[KOD_PRODUKTU]])</f>
        <v>VE-943W45-100</v>
      </c>
    </row>
    <row r="2723" spans="1:10" x14ac:dyDescent="0.25">
      <c r="A2723" s="1" t="s">
        <v>5482</v>
      </c>
      <c r="B2723" t="s">
        <v>5483</v>
      </c>
      <c r="C2723" s="1" t="s">
        <v>541</v>
      </c>
      <c r="D2723" t="s">
        <v>542</v>
      </c>
      <c r="E2723" t="s">
        <v>9</v>
      </c>
      <c r="F2723" t="s">
        <v>10</v>
      </c>
      <c r="G2723" t="s">
        <v>5327</v>
      </c>
      <c r="H2723">
        <v>1104</v>
      </c>
      <c r="I2723" s="6" t="str">
        <f>_xlfn.CONCAT("Art. złączny do produktu ",Tabela10[[#This Row],[KOD_PRODUKTU]])</f>
        <v>Art. złączny do produktu 943W45-100</v>
      </c>
      <c r="J2723" s="6" t="str">
        <f>_xlfn.CONCAT("VE-",Tabela10[[#This Row],[KOD_PRODUKTU]])</f>
        <v>VE-943W45-100</v>
      </c>
    </row>
    <row r="2724" spans="1:10" x14ac:dyDescent="0.25">
      <c r="A2724" s="7" t="s">
        <v>5485</v>
      </c>
      <c r="B2724" s="6" t="s">
        <v>5486</v>
      </c>
      <c r="C2724" s="7" t="s">
        <v>1249</v>
      </c>
      <c r="D2724" s="6" t="s">
        <v>1250</v>
      </c>
      <c r="E2724" s="6" t="s">
        <v>1251</v>
      </c>
      <c r="F2724" s="6" t="s">
        <v>1252</v>
      </c>
      <c r="G2724" s="6" t="s">
        <v>5487</v>
      </c>
      <c r="H2724" s="6">
        <v>111.96</v>
      </c>
      <c r="I2724" s="6" t="str">
        <f>_xlfn.CONCAT("Art. złączny do produktu ",Tabela10[[#This Row],[KOD_PRODUKTU]])</f>
        <v>Art. złączny do produktu 943W57-100</v>
      </c>
      <c r="J2724" s="6" t="str">
        <f>_xlfn.CONCAT("VE-",Tabela10[[#This Row],[KOD_PRODUKTU]])</f>
        <v>VE-943W57-100</v>
      </c>
    </row>
    <row r="2725" spans="1:10" x14ac:dyDescent="0.25">
      <c r="A2725" s="1" t="s">
        <v>5485</v>
      </c>
      <c r="B2725" t="s">
        <v>5486</v>
      </c>
      <c r="C2725" s="1" t="s">
        <v>7</v>
      </c>
      <c r="D2725" t="s">
        <v>8</v>
      </c>
      <c r="E2725" t="s">
        <v>9</v>
      </c>
      <c r="F2725" t="s">
        <v>10</v>
      </c>
      <c r="G2725" t="s">
        <v>5488</v>
      </c>
      <c r="H2725">
        <v>125.12</v>
      </c>
      <c r="I2725" s="6" t="str">
        <f>_xlfn.CONCAT("Art. złączny do produktu ",Tabela10[[#This Row],[KOD_PRODUKTU]])</f>
        <v>Art. złączny do produktu 943W57-100</v>
      </c>
      <c r="J2725" s="6" t="str">
        <f>_xlfn.CONCAT("VE-",Tabela10[[#This Row],[KOD_PRODUKTU]])</f>
        <v>VE-943W57-100</v>
      </c>
    </row>
    <row r="2726" spans="1:10" x14ac:dyDescent="0.25">
      <c r="A2726" s="7" t="s">
        <v>5485</v>
      </c>
      <c r="B2726" s="6" t="s">
        <v>5486</v>
      </c>
      <c r="C2726" s="7" t="s">
        <v>7</v>
      </c>
      <c r="D2726" s="6" t="s">
        <v>8</v>
      </c>
      <c r="E2726" s="6" t="s">
        <v>9</v>
      </c>
      <c r="F2726" s="6" t="s">
        <v>10</v>
      </c>
      <c r="G2726" s="6" t="s">
        <v>5489</v>
      </c>
      <c r="H2726" s="6">
        <v>78.989999999999995</v>
      </c>
      <c r="I2726" s="6" t="str">
        <f>_xlfn.CONCAT("Art. złączny do produktu ",Tabela10[[#This Row],[KOD_PRODUKTU]])</f>
        <v>Art. złączny do produktu 943W57-100</v>
      </c>
      <c r="J2726" s="6" t="str">
        <f>_xlfn.CONCAT("VE-",Tabela10[[#This Row],[KOD_PRODUKTU]])</f>
        <v>VE-943W57-100</v>
      </c>
    </row>
    <row r="2727" spans="1:10" x14ac:dyDescent="0.25">
      <c r="A2727" s="1" t="s">
        <v>5490</v>
      </c>
      <c r="B2727" t="s">
        <v>5491</v>
      </c>
      <c r="C2727" s="1" t="s">
        <v>1249</v>
      </c>
      <c r="D2727" t="s">
        <v>1250</v>
      </c>
      <c r="E2727" t="s">
        <v>1251</v>
      </c>
      <c r="F2727" t="s">
        <v>1252</v>
      </c>
      <c r="G2727" t="s">
        <v>3645</v>
      </c>
      <c r="H2727">
        <v>108</v>
      </c>
      <c r="I2727" s="6" t="str">
        <f>_xlfn.CONCAT("Art. złączny do produktu ",Tabela10[[#This Row],[KOD_PRODUKTU]])</f>
        <v>Art. złączny do produktu 943W57-200</v>
      </c>
      <c r="J2727" s="6" t="str">
        <f>_xlfn.CONCAT("VE-",Tabela10[[#This Row],[KOD_PRODUKTU]])</f>
        <v>VE-943W57-200</v>
      </c>
    </row>
    <row r="2728" spans="1:10" x14ac:dyDescent="0.25">
      <c r="A2728" s="7" t="s">
        <v>5490</v>
      </c>
      <c r="B2728" s="6" t="s">
        <v>5491</v>
      </c>
      <c r="C2728" s="7" t="s">
        <v>7</v>
      </c>
      <c r="D2728" s="6" t="s">
        <v>8</v>
      </c>
      <c r="E2728" s="6" t="s">
        <v>9</v>
      </c>
      <c r="F2728" s="6" t="s">
        <v>10</v>
      </c>
      <c r="G2728" s="6" t="s">
        <v>5492</v>
      </c>
      <c r="H2728" s="6">
        <v>124.2</v>
      </c>
      <c r="I2728" s="6" t="str">
        <f>_xlfn.CONCAT("Art. złączny do produktu ",Tabela10[[#This Row],[KOD_PRODUKTU]])</f>
        <v>Art. złączny do produktu 943W57-200</v>
      </c>
      <c r="J2728" s="6" t="str">
        <f>_xlfn.CONCAT("VE-",Tabela10[[#This Row],[KOD_PRODUKTU]])</f>
        <v>VE-943W57-200</v>
      </c>
    </row>
    <row r="2729" spans="1:10" x14ac:dyDescent="0.25">
      <c r="A2729" s="1" t="s">
        <v>5490</v>
      </c>
      <c r="B2729" t="s">
        <v>5491</v>
      </c>
      <c r="C2729" s="1" t="s">
        <v>7</v>
      </c>
      <c r="D2729" t="s">
        <v>8</v>
      </c>
      <c r="E2729" t="s">
        <v>9</v>
      </c>
      <c r="F2729" t="s">
        <v>10</v>
      </c>
      <c r="G2729" t="s">
        <v>5493</v>
      </c>
      <c r="H2729">
        <v>79.05</v>
      </c>
      <c r="I2729" s="6" t="str">
        <f>_xlfn.CONCAT("Art. złączny do produktu ",Tabela10[[#This Row],[KOD_PRODUKTU]])</f>
        <v>Art. złączny do produktu 943W57-200</v>
      </c>
      <c r="J2729" s="6" t="str">
        <f>_xlfn.CONCAT("VE-",Tabela10[[#This Row],[KOD_PRODUKTU]])</f>
        <v>VE-943W57-200</v>
      </c>
    </row>
    <row r="2730" spans="1:10" x14ac:dyDescent="0.25">
      <c r="A2730" s="7" t="s">
        <v>5494</v>
      </c>
      <c r="B2730" s="6" t="s">
        <v>5495</v>
      </c>
      <c r="C2730" s="7" t="s">
        <v>1249</v>
      </c>
      <c r="D2730" s="6" t="s">
        <v>1250</v>
      </c>
      <c r="E2730" s="6" t="s">
        <v>1251</v>
      </c>
      <c r="F2730" s="6" t="s">
        <v>1252</v>
      </c>
      <c r="G2730" s="6" t="s">
        <v>3645</v>
      </c>
      <c r="H2730" s="6">
        <v>108</v>
      </c>
      <c r="I2730" s="6" t="str">
        <f>_xlfn.CONCAT("Art. złączny do produktu ",Tabela10[[#This Row],[KOD_PRODUKTU]])</f>
        <v>Art. złączny do produktu 943W57-300</v>
      </c>
      <c r="J2730" s="6" t="str">
        <f>_xlfn.CONCAT("VE-",Tabela10[[#This Row],[KOD_PRODUKTU]])</f>
        <v>VE-943W57-300</v>
      </c>
    </row>
    <row r="2731" spans="1:10" x14ac:dyDescent="0.25">
      <c r="A2731" s="1" t="s">
        <v>5494</v>
      </c>
      <c r="B2731" t="s">
        <v>5495</v>
      </c>
      <c r="C2731" s="1" t="s">
        <v>7</v>
      </c>
      <c r="D2731" t="s">
        <v>8</v>
      </c>
      <c r="E2731" t="s">
        <v>9</v>
      </c>
      <c r="F2731" t="s">
        <v>10</v>
      </c>
      <c r="G2731" t="s">
        <v>5493</v>
      </c>
      <c r="H2731">
        <v>79.05</v>
      </c>
      <c r="I2731" s="6" t="str">
        <f>_xlfn.CONCAT("Art. złączny do produktu ",Tabela10[[#This Row],[KOD_PRODUKTU]])</f>
        <v>Art. złączny do produktu 943W57-300</v>
      </c>
      <c r="J2731" s="6" t="str">
        <f>_xlfn.CONCAT("VE-",Tabela10[[#This Row],[KOD_PRODUKTU]])</f>
        <v>VE-943W57-300</v>
      </c>
    </row>
    <row r="2732" spans="1:10" x14ac:dyDescent="0.25">
      <c r="A2732" s="7" t="s">
        <v>5494</v>
      </c>
      <c r="B2732" s="6" t="s">
        <v>5495</v>
      </c>
      <c r="C2732" s="7" t="s">
        <v>7</v>
      </c>
      <c r="D2732" s="6" t="s">
        <v>8</v>
      </c>
      <c r="E2732" s="6" t="s">
        <v>9</v>
      </c>
      <c r="F2732" s="6" t="s">
        <v>10</v>
      </c>
      <c r="G2732" s="6" t="s">
        <v>5496</v>
      </c>
      <c r="H2732" s="6">
        <v>135.69999999999999</v>
      </c>
      <c r="I2732" s="6" t="str">
        <f>_xlfn.CONCAT("Art. złączny do produktu ",Tabela10[[#This Row],[KOD_PRODUKTU]])</f>
        <v>Art. złączny do produktu 943W57-300</v>
      </c>
      <c r="J2732" s="6" t="str">
        <f>_xlfn.CONCAT("VE-",Tabela10[[#This Row],[KOD_PRODUKTU]])</f>
        <v>VE-943W57-300</v>
      </c>
    </row>
    <row r="2733" spans="1:10" x14ac:dyDescent="0.25">
      <c r="A2733" s="1" t="s">
        <v>5497</v>
      </c>
      <c r="B2733" t="s">
        <v>5498</v>
      </c>
      <c r="C2733" s="1" t="s">
        <v>1249</v>
      </c>
      <c r="D2733" t="s">
        <v>1250</v>
      </c>
      <c r="E2733" t="s">
        <v>1251</v>
      </c>
      <c r="F2733" t="s">
        <v>1252</v>
      </c>
      <c r="G2733" t="s">
        <v>535</v>
      </c>
      <c r="H2733">
        <v>21.96</v>
      </c>
      <c r="I2733" s="6" t="str">
        <f>_xlfn.CONCAT("Art. złączny do produktu ",Tabela10[[#This Row],[KOD_PRODUKTU]])</f>
        <v>Art. złączny do produktu 943W57-400</v>
      </c>
      <c r="J2733" s="6" t="str">
        <f>_xlfn.CONCAT("VE-",Tabela10[[#This Row],[KOD_PRODUKTU]])</f>
        <v>VE-943W57-400</v>
      </c>
    </row>
    <row r="2734" spans="1:10" x14ac:dyDescent="0.25">
      <c r="A2734" s="7" t="s">
        <v>5497</v>
      </c>
      <c r="B2734" s="6" t="s">
        <v>5498</v>
      </c>
      <c r="C2734" s="7" t="s">
        <v>7</v>
      </c>
      <c r="D2734" s="6" t="s">
        <v>8</v>
      </c>
      <c r="E2734" s="6" t="s">
        <v>9</v>
      </c>
      <c r="F2734" s="6" t="s">
        <v>10</v>
      </c>
      <c r="G2734" s="6" t="s">
        <v>860</v>
      </c>
      <c r="H2734" s="6">
        <v>23</v>
      </c>
      <c r="I2734" s="6" t="str">
        <f>_xlfn.CONCAT("Art. złączny do produktu ",Tabela10[[#This Row],[KOD_PRODUKTU]])</f>
        <v>Art. złączny do produktu 943W57-400</v>
      </c>
      <c r="J2734" s="6" t="str">
        <f>_xlfn.CONCAT("VE-",Tabela10[[#This Row],[KOD_PRODUKTU]])</f>
        <v>VE-943W57-400</v>
      </c>
    </row>
    <row r="2735" spans="1:10" x14ac:dyDescent="0.25">
      <c r="A2735" s="1" t="s">
        <v>5497</v>
      </c>
      <c r="B2735" t="s">
        <v>5498</v>
      </c>
      <c r="C2735" s="1" t="s">
        <v>7</v>
      </c>
      <c r="D2735" t="s">
        <v>8</v>
      </c>
      <c r="E2735" t="s">
        <v>9</v>
      </c>
      <c r="F2735" t="s">
        <v>10</v>
      </c>
      <c r="G2735" t="s">
        <v>5499</v>
      </c>
      <c r="H2735">
        <v>23.39</v>
      </c>
      <c r="I2735" s="6" t="str">
        <f>_xlfn.CONCAT("Art. złączny do produktu ",Tabela10[[#This Row],[KOD_PRODUKTU]])</f>
        <v>Art. złączny do produktu 943W57-400</v>
      </c>
      <c r="J2735" s="6" t="str">
        <f>_xlfn.CONCAT("VE-",Tabela10[[#This Row],[KOD_PRODUKTU]])</f>
        <v>VE-943W57-400</v>
      </c>
    </row>
    <row r="2736" spans="1:10" x14ac:dyDescent="0.25">
      <c r="A2736" s="7" t="s">
        <v>5500</v>
      </c>
      <c r="B2736" s="6" t="s">
        <v>5501</v>
      </c>
      <c r="C2736" s="7" t="s">
        <v>5262</v>
      </c>
      <c r="D2736" s="6" t="s">
        <v>5263</v>
      </c>
      <c r="E2736" s="6" t="s">
        <v>5264</v>
      </c>
      <c r="F2736" s="6" t="s">
        <v>121</v>
      </c>
      <c r="G2736" s="6" t="s">
        <v>5265</v>
      </c>
      <c r="H2736" s="6">
        <v>3.5</v>
      </c>
      <c r="I2736" s="6" t="str">
        <f>_xlfn.CONCAT("Art. złączny do produktu ",Tabela10[[#This Row],[KOD_PRODUKTU]])</f>
        <v>Art. złączny do produktu 943W57-500</v>
      </c>
      <c r="J2736" s="6" t="str">
        <f>_xlfn.CONCAT("VE-",Tabela10[[#This Row],[KOD_PRODUKTU]])</f>
        <v>VE-943W57-500</v>
      </c>
    </row>
    <row r="2737" spans="1:10" x14ac:dyDescent="0.25">
      <c r="A2737" s="1" t="s">
        <v>5500</v>
      </c>
      <c r="B2737" t="s">
        <v>5501</v>
      </c>
      <c r="C2737" s="1" t="s">
        <v>5266</v>
      </c>
      <c r="D2737" t="s">
        <v>5267</v>
      </c>
      <c r="E2737" t="s">
        <v>311</v>
      </c>
      <c r="F2737" t="s">
        <v>5</v>
      </c>
      <c r="G2737" t="s">
        <v>5268</v>
      </c>
      <c r="H2737">
        <v>51.5</v>
      </c>
      <c r="I2737" s="6" t="str">
        <f>_xlfn.CONCAT("Art. złączny do produktu ",Tabela10[[#This Row],[KOD_PRODUKTU]])</f>
        <v>Art. złączny do produktu 943W57-500</v>
      </c>
      <c r="J2737" s="6" t="str">
        <f>_xlfn.CONCAT("VE-",Tabela10[[#This Row],[KOD_PRODUKTU]])</f>
        <v>VE-943W57-500</v>
      </c>
    </row>
    <row r="2738" spans="1:10" x14ac:dyDescent="0.25">
      <c r="A2738" s="7" t="s">
        <v>5500</v>
      </c>
      <c r="B2738" s="6" t="s">
        <v>5501</v>
      </c>
      <c r="C2738" s="7" t="s">
        <v>3452</v>
      </c>
      <c r="D2738" s="6" t="s">
        <v>3453</v>
      </c>
      <c r="E2738" s="6" t="s">
        <v>1588</v>
      </c>
      <c r="F2738" s="6" t="s">
        <v>39</v>
      </c>
      <c r="G2738" s="6" t="s">
        <v>25</v>
      </c>
      <c r="H2738" s="6">
        <v>1.17</v>
      </c>
      <c r="I2738" s="6" t="str">
        <f>_xlfn.CONCAT("Art. złączny do produktu ",Tabela10[[#This Row],[KOD_PRODUKTU]])</f>
        <v>Art. złączny do produktu 943W57-500</v>
      </c>
      <c r="J2738" s="6" t="str">
        <f>_xlfn.CONCAT("VE-",Tabela10[[#This Row],[KOD_PRODUKTU]])</f>
        <v>VE-943W57-500</v>
      </c>
    </row>
    <row r="2739" spans="1:10" x14ac:dyDescent="0.25">
      <c r="A2739" s="1" t="s">
        <v>5500</v>
      </c>
      <c r="B2739" t="s">
        <v>5501</v>
      </c>
      <c r="C2739" s="1" t="s">
        <v>2791</v>
      </c>
      <c r="D2739" t="s">
        <v>2792</v>
      </c>
      <c r="E2739" t="s">
        <v>2793</v>
      </c>
      <c r="F2739" t="s">
        <v>121</v>
      </c>
      <c r="G2739" t="s">
        <v>5269</v>
      </c>
      <c r="H2739">
        <v>3.05</v>
      </c>
      <c r="I2739" s="6" t="str">
        <f>_xlfn.CONCAT("Art. złączny do produktu ",Tabela10[[#This Row],[KOD_PRODUKTU]])</f>
        <v>Art. złączny do produktu 943W57-500</v>
      </c>
      <c r="J2739" s="6" t="str">
        <f>_xlfn.CONCAT("VE-",Tabela10[[#This Row],[KOD_PRODUKTU]])</f>
        <v>VE-943W57-500</v>
      </c>
    </row>
    <row r="2740" spans="1:10" x14ac:dyDescent="0.25">
      <c r="A2740" s="7" t="s">
        <v>5500</v>
      </c>
      <c r="B2740" s="6" t="s">
        <v>5501</v>
      </c>
      <c r="C2740" s="7" t="s">
        <v>857</v>
      </c>
      <c r="D2740" s="6" t="s">
        <v>858</v>
      </c>
      <c r="E2740" s="6" t="s">
        <v>686</v>
      </c>
      <c r="F2740" s="6" t="s">
        <v>49</v>
      </c>
      <c r="G2740" s="6" t="s">
        <v>5508</v>
      </c>
      <c r="H2740" s="6">
        <v>5.15</v>
      </c>
      <c r="I2740" s="6" t="str">
        <f>_xlfn.CONCAT("Art. złączny do produktu ",Tabela10[[#This Row],[KOD_PRODUKTU]])</f>
        <v>Art. złączny do produktu 943W57-500</v>
      </c>
      <c r="J2740" s="6" t="str">
        <f>_xlfn.CONCAT("VE-",Tabela10[[#This Row],[KOD_PRODUKTU]])</f>
        <v>VE-943W57-500</v>
      </c>
    </row>
    <row r="2741" spans="1:10" x14ac:dyDescent="0.25">
      <c r="A2741" s="1" t="s">
        <v>5500</v>
      </c>
      <c r="B2741" t="s">
        <v>5501</v>
      </c>
      <c r="C2741" s="1" t="s">
        <v>541</v>
      </c>
      <c r="D2741" t="s">
        <v>542</v>
      </c>
      <c r="E2741" t="s">
        <v>9</v>
      </c>
      <c r="F2741" t="s">
        <v>10</v>
      </c>
      <c r="G2741" t="s">
        <v>3642</v>
      </c>
      <c r="H2741">
        <v>32.200000000000003</v>
      </c>
      <c r="I2741" s="6" t="str">
        <f>_xlfn.CONCAT("Art. złączny do produktu ",Tabela10[[#This Row],[KOD_PRODUKTU]])</f>
        <v>Art. złączny do produktu 943W57-500</v>
      </c>
      <c r="J2741" s="6" t="str">
        <f>_xlfn.CONCAT("VE-",Tabela10[[#This Row],[KOD_PRODUKTU]])</f>
        <v>VE-943W57-500</v>
      </c>
    </row>
    <row r="2742" spans="1:10" x14ac:dyDescent="0.25">
      <c r="A2742" s="7" t="s">
        <v>5500</v>
      </c>
      <c r="B2742" s="6" t="s">
        <v>5501</v>
      </c>
      <c r="C2742" s="7" t="s">
        <v>541</v>
      </c>
      <c r="D2742" s="6" t="s">
        <v>542</v>
      </c>
      <c r="E2742" s="6" t="s">
        <v>9</v>
      </c>
      <c r="F2742" s="6" t="s">
        <v>10</v>
      </c>
      <c r="G2742" s="6" t="s">
        <v>2607</v>
      </c>
      <c r="H2742" s="6">
        <v>5.0599999999999996</v>
      </c>
      <c r="I2742" s="6" t="str">
        <f>_xlfn.CONCAT("Art. złączny do produktu ",Tabela10[[#This Row],[KOD_PRODUKTU]])</f>
        <v>Art. złączny do produktu 943W57-500</v>
      </c>
      <c r="J2742" s="6" t="str">
        <f>_xlfn.CONCAT("VE-",Tabela10[[#This Row],[KOD_PRODUKTU]])</f>
        <v>VE-943W57-500</v>
      </c>
    </row>
    <row r="2743" spans="1:10" x14ac:dyDescent="0.25">
      <c r="A2743" s="1" t="s">
        <v>5566</v>
      </c>
      <c r="B2743" t="s">
        <v>5567</v>
      </c>
      <c r="C2743" s="1" t="s">
        <v>1249</v>
      </c>
      <c r="D2743" t="s">
        <v>1250</v>
      </c>
      <c r="E2743" t="s">
        <v>1251</v>
      </c>
      <c r="F2743" t="s">
        <v>1252</v>
      </c>
      <c r="G2743" t="s">
        <v>5568</v>
      </c>
      <c r="H2743">
        <v>18</v>
      </c>
      <c r="I2743" s="6" t="str">
        <f>_xlfn.CONCAT("Art. złączny do produktu ",Tabela10[[#This Row],[KOD_PRODUKTU]])</f>
        <v>Art. złączny do produktu 950W99-128</v>
      </c>
      <c r="J2743" s="6" t="str">
        <f>_xlfn.CONCAT("VE-",Tabela10[[#This Row],[KOD_PRODUKTU]])</f>
        <v>VE-950W99-128</v>
      </c>
    </row>
    <row r="2744" spans="1:10" x14ac:dyDescent="0.25">
      <c r="A2744" s="7" t="s">
        <v>5566</v>
      </c>
      <c r="B2744" s="6" t="s">
        <v>5567</v>
      </c>
      <c r="C2744" s="7" t="s">
        <v>7</v>
      </c>
      <c r="D2744" s="6" t="s">
        <v>8</v>
      </c>
      <c r="E2744" s="6" t="s">
        <v>9</v>
      </c>
      <c r="F2744" s="6" t="s">
        <v>10</v>
      </c>
      <c r="G2744" s="6" t="s">
        <v>1275</v>
      </c>
      <c r="H2744" s="6">
        <v>18.09</v>
      </c>
      <c r="I2744" s="6" t="str">
        <f>_xlfn.CONCAT("Art. złączny do produktu ",Tabela10[[#This Row],[KOD_PRODUKTU]])</f>
        <v>Art. złączny do produktu 950W99-128</v>
      </c>
      <c r="J2744" s="6" t="str">
        <f>_xlfn.CONCAT("VE-",Tabela10[[#This Row],[KOD_PRODUKTU]])</f>
        <v>VE-950W99-128</v>
      </c>
    </row>
    <row r="2745" spans="1:10" x14ac:dyDescent="0.25">
      <c r="A2745" s="1" t="s">
        <v>5566</v>
      </c>
      <c r="B2745" t="s">
        <v>5567</v>
      </c>
      <c r="C2745" s="1" t="s">
        <v>7</v>
      </c>
      <c r="D2745" t="s">
        <v>8</v>
      </c>
      <c r="E2745" t="s">
        <v>9</v>
      </c>
      <c r="F2745" t="s">
        <v>10</v>
      </c>
      <c r="G2745" t="s">
        <v>33</v>
      </c>
      <c r="H2745">
        <v>9.1999999999999993</v>
      </c>
      <c r="I2745" s="6" t="str">
        <f>_xlfn.CONCAT("Art. złączny do produktu ",Tabela10[[#This Row],[KOD_PRODUKTU]])</f>
        <v>Art. złączny do produktu 950W99-128</v>
      </c>
      <c r="J2745" s="6" t="str">
        <f>_xlfn.CONCAT("VE-",Tabela10[[#This Row],[KOD_PRODUKTU]])</f>
        <v>VE-950W99-128</v>
      </c>
    </row>
    <row r="2746" spans="1:10" x14ac:dyDescent="0.25">
      <c r="A2746" s="7" t="s">
        <v>5569</v>
      </c>
      <c r="B2746" s="6" t="s">
        <v>5570</v>
      </c>
      <c r="C2746" s="7" t="s">
        <v>684</v>
      </c>
      <c r="D2746" s="6" t="s">
        <v>685</v>
      </c>
      <c r="E2746" s="6" t="s">
        <v>686</v>
      </c>
      <c r="F2746" s="6" t="s">
        <v>49</v>
      </c>
      <c r="G2746" s="6" t="s">
        <v>5571</v>
      </c>
      <c r="H2746" s="6">
        <v>8.76</v>
      </c>
      <c r="I2746" s="6" t="str">
        <f>_xlfn.CONCAT("Art. złączny do produktu ",Tabela10[[#This Row],[KOD_PRODUKTU]])</f>
        <v>Art. złączny do produktu 957O21-100</v>
      </c>
      <c r="J2746" s="6" t="str">
        <f>_xlfn.CONCAT("VE-",Tabela10[[#This Row],[KOD_PRODUKTU]])</f>
        <v>VE-957O21-100</v>
      </c>
    </row>
    <row r="2747" spans="1:10" x14ac:dyDescent="0.25">
      <c r="A2747" s="1" t="s">
        <v>5569</v>
      </c>
      <c r="B2747" t="s">
        <v>5570</v>
      </c>
      <c r="C2747" s="1" t="s">
        <v>7</v>
      </c>
      <c r="D2747" t="s">
        <v>8</v>
      </c>
      <c r="E2747" t="s">
        <v>9</v>
      </c>
      <c r="F2747" t="s">
        <v>10</v>
      </c>
      <c r="G2747" t="s">
        <v>3047</v>
      </c>
      <c r="H2747">
        <v>4.83</v>
      </c>
      <c r="I2747" s="6" t="str">
        <f>_xlfn.CONCAT("Art. złączny do produktu ",Tabela10[[#This Row],[KOD_PRODUKTU]])</f>
        <v>Art. złączny do produktu 957O21-100</v>
      </c>
      <c r="J2747" s="6" t="str">
        <f>_xlfn.CONCAT("VE-",Tabela10[[#This Row],[KOD_PRODUKTU]])</f>
        <v>VE-957O21-100</v>
      </c>
    </row>
    <row r="2748" spans="1:10" x14ac:dyDescent="0.25">
      <c r="A2748" s="7" t="s">
        <v>5572</v>
      </c>
      <c r="B2748" s="6" t="s">
        <v>5573</v>
      </c>
      <c r="C2748" s="7" t="s">
        <v>5574</v>
      </c>
      <c r="D2748" s="6" t="s">
        <v>5575</v>
      </c>
      <c r="E2748" s="6" t="s">
        <v>5576</v>
      </c>
      <c r="F2748" s="6" t="s">
        <v>121</v>
      </c>
      <c r="G2748" s="6" t="s">
        <v>25</v>
      </c>
      <c r="H2748" s="6">
        <v>0.34</v>
      </c>
      <c r="I2748" s="6" t="str">
        <f>_xlfn.CONCAT("Art. złączny do produktu ",Tabela10[[#This Row],[KOD_PRODUKTU]])</f>
        <v>Art. złączny do produktu 957O21-200</v>
      </c>
      <c r="J2748" s="6" t="str">
        <f>_xlfn.CONCAT("VE-",Tabela10[[#This Row],[KOD_PRODUKTU]])</f>
        <v>VE-957O21-200</v>
      </c>
    </row>
    <row r="2749" spans="1:10" x14ac:dyDescent="0.25">
      <c r="A2749" s="1" t="s">
        <v>5572</v>
      </c>
      <c r="B2749" t="s">
        <v>5573</v>
      </c>
      <c r="C2749" s="1" t="s">
        <v>541</v>
      </c>
      <c r="D2749" t="s">
        <v>542</v>
      </c>
      <c r="E2749" t="s">
        <v>9</v>
      </c>
      <c r="F2749" t="s">
        <v>10</v>
      </c>
      <c r="G2749" t="s">
        <v>1119</v>
      </c>
      <c r="H2749">
        <v>2.0699999999999998</v>
      </c>
      <c r="I2749" s="6" t="str">
        <f>_xlfn.CONCAT("Art. złączny do produktu ",Tabela10[[#This Row],[KOD_PRODUKTU]])</f>
        <v>Art. złączny do produktu 957O21-200</v>
      </c>
      <c r="J2749" s="6" t="str">
        <f>_xlfn.CONCAT("VE-",Tabela10[[#This Row],[KOD_PRODUKTU]])</f>
        <v>VE-957O21-200</v>
      </c>
    </row>
    <row r="2750" spans="1:10" x14ac:dyDescent="0.25">
      <c r="A2750" s="7" t="s">
        <v>5577</v>
      </c>
      <c r="B2750" s="6" t="s">
        <v>5578</v>
      </c>
      <c r="C2750" s="7" t="s">
        <v>5574</v>
      </c>
      <c r="D2750" s="6" t="s">
        <v>5575</v>
      </c>
      <c r="E2750" s="6" t="s">
        <v>5576</v>
      </c>
      <c r="F2750" s="6" t="s">
        <v>121</v>
      </c>
      <c r="G2750" s="6" t="s">
        <v>25</v>
      </c>
      <c r="H2750" s="6">
        <v>0.34</v>
      </c>
      <c r="I2750" s="6" t="str">
        <f>_xlfn.CONCAT("Art. złączny do produktu ",Tabela10[[#This Row],[KOD_PRODUKTU]])</f>
        <v>Art. złączny do produktu 957O21-300</v>
      </c>
      <c r="J2750" s="6" t="str">
        <f>_xlfn.CONCAT("VE-",Tabela10[[#This Row],[KOD_PRODUKTU]])</f>
        <v>VE-957O21-300</v>
      </c>
    </row>
    <row r="2751" spans="1:10" x14ac:dyDescent="0.25">
      <c r="A2751" s="1" t="s">
        <v>5577</v>
      </c>
      <c r="B2751" t="s">
        <v>5578</v>
      </c>
      <c r="C2751" s="1" t="s">
        <v>541</v>
      </c>
      <c r="D2751" t="s">
        <v>542</v>
      </c>
      <c r="E2751" t="s">
        <v>9</v>
      </c>
      <c r="F2751" t="s">
        <v>10</v>
      </c>
      <c r="G2751" t="s">
        <v>1119</v>
      </c>
      <c r="H2751">
        <v>2.0699999999999998</v>
      </c>
      <c r="I2751" s="6" t="str">
        <f>_xlfn.CONCAT("Art. złączny do produktu ",Tabela10[[#This Row],[KOD_PRODUKTU]])</f>
        <v>Art. złączny do produktu 957O21-300</v>
      </c>
      <c r="J2751" s="6" t="str">
        <f>_xlfn.CONCAT("VE-",Tabela10[[#This Row],[KOD_PRODUKTU]])</f>
        <v>VE-957O21-300</v>
      </c>
    </row>
    <row r="2752" spans="1:10" x14ac:dyDescent="0.25">
      <c r="A2752" s="7" t="s">
        <v>5579</v>
      </c>
      <c r="B2752" s="6" t="s">
        <v>5580</v>
      </c>
      <c r="C2752" s="7" t="s">
        <v>1813</v>
      </c>
      <c r="D2752" s="6" t="s">
        <v>1814</v>
      </c>
      <c r="E2752" s="6" t="s">
        <v>1101</v>
      </c>
      <c r="F2752" s="6" t="s">
        <v>5</v>
      </c>
      <c r="G2752" s="6" t="s">
        <v>5581</v>
      </c>
      <c r="H2752" s="6">
        <v>0.5</v>
      </c>
      <c r="I2752" s="6" t="str">
        <f>_xlfn.CONCAT("Art. złączny do produktu ",Tabela10[[#This Row],[KOD_PRODUKTU]])</f>
        <v>Art. złączny do produktu 957O21-400</v>
      </c>
      <c r="J2752" s="6" t="str">
        <f>_xlfn.CONCAT("VE-",Tabela10[[#This Row],[KOD_PRODUKTU]])</f>
        <v>VE-957O21-400</v>
      </c>
    </row>
    <row r="2753" spans="1:10" x14ac:dyDescent="0.25">
      <c r="A2753" s="1" t="s">
        <v>5579</v>
      </c>
      <c r="B2753" t="s">
        <v>5580</v>
      </c>
      <c r="C2753" s="1" t="s">
        <v>432</v>
      </c>
      <c r="D2753" t="s">
        <v>433</v>
      </c>
      <c r="E2753" t="s">
        <v>434</v>
      </c>
      <c r="F2753" t="s">
        <v>435</v>
      </c>
      <c r="G2753" t="s">
        <v>50</v>
      </c>
      <c r="H2753">
        <v>1.1000000000000001</v>
      </c>
      <c r="I2753" s="6" t="str">
        <f>_xlfn.CONCAT("Art. złączny do produktu ",Tabela10[[#This Row],[KOD_PRODUKTU]])</f>
        <v>Art. złączny do produktu 957O21-400</v>
      </c>
      <c r="J2753" s="6" t="str">
        <f>_xlfn.CONCAT("VE-",Tabela10[[#This Row],[KOD_PRODUKTU]])</f>
        <v>VE-957O21-400</v>
      </c>
    </row>
    <row r="2754" spans="1:10" x14ac:dyDescent="0.25">
      <c r="A2754" s="7" t="s">
        <v>5579</v>
      </c>
      <c r="B2754" s="6" t="s">
        <v>5580</v>
      </c>
      <c r="C2754" s="7" t="s">
        <v>7</v>
      </c>
      <c r="D2754" s="6" t="s">
        <v>8</v>
      </c>
      <c r="E2754" s="6" t="s">
        <v>9</v>
      </c>
      <c r="F2754" s="6" t="s">
        <v>10</v>
      </c>
      <c r="G2754" s="6" t="s">
        <v>5582</v>
      </c>
      <c r="H2754" s="6">
        <v>4.04</v>
      </c>
      <c r="I2754" s="6" t="str">
        <f>_xlfn.CONCAT("Art. złączny do produktu ",Tabela10[[#This Row],[KOD_PRODUKTU]])</f>
        <v>Art. złączny do produktu 957O21-400</v>
      </c>
      <c r="J2754" s="6" t="str">
        <f>_xlfn.CONCAT("VE-",Tabela10[[#This Row],[KOD_PRODUKTU]])</f>
        <v>VE-957O21-400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E6537-CE71-47D4-8260-4F70ED19E261}">
  <dimension ref="B2:K10"/>
  <sheetViews>
    <sheetView zoomScale="130" zoomScaleNormal="130" workbookViewId="0">
      <selection activeCell="B10" sqref="B10:K10"/>
    </sheetView>
  </sheetViews>
  <sheetFormatPr defaultRowHeight="15" x14ac:dyDescent="0.25"/>
  <cols>
    <col min="2" max="2" width="15.5703125" customWidth="1"/>
    <col min="3" max="3" width="25.28515625" customWidth="1"/>
    <col min="4" max="4" width="13.85546875" customWidth="1"/>
    <col min="5" max="5" width="10.28515625" customWidth="1"/>
    <col min="6" max="6" width="23.140625" customWidth="1"/>
    <col min="7" max="7" width="11.28515625" customWidth="1"/>
  </cols>
  <sheetData>
    <row r="2" spans="2:11" x14ac:dyDescent="0.25">
      <c r="B2" s="5" t="s">
        <v>5601</v>
      </c>
      <c r="C2" s="12" t="s">
        <v>5607</v>
      </c>
      <c r="D2" s="12"/>
      <c r="E2" s="12"/>
      <c r="F2" s="12"/>
    </row>
    <row r="3" spans="2:11" x14ac:dyDescent="0.25">
      <c r="B3" t="s">
        <v>55</v>
      </c>
      <c r="C3" s="13" t="s">
        <v>5602</v>
      </c>
      <c r="D3" s="13"/>
      <c r="E3" s="13"/>
      <c r="F3" s="13"/>
    </row>
    <row r="4" spans="2:11" x14ac:dyDescent="0.25">
      <c r="B4" t="s">
        <v>55</v>
      </c>
      <c r="C4" s="13" t="s">
        <v>5603</v>
      </c>
      <c r="D4" s="13"/>
      <c r="E4" s="13"/>
      <c r="F4" s="13"/>
    </row>
    <row r="5" spans="2:11" x14ac:dyDescent="0.25">
      <c r="B5" t="s">
        <v>5600</v>
      </c>
      <c r="C5" s="13" t="s">
        <v>5604</v>
      </c>
      <c r="D5" s="13"/>
      <c r="E5" s="13"/>
      <c r="F5" s="13"/>
    </row>
    <row r="7" spans="2:11" x14ac:dyDescent="0.25">
      <c r="B7" t="s">
        <v>5593</v>
      </c>
      <c r="C7" t="s">
        <v>5594</v>
      </c>
      <c r="D7" t="s">
        <v>55</v>
      </c>
      <c r="E7" s="3" t="s">
        <v>51</v>
      </c>
      <c r="F7" t="s">
        <v>5595</v>
      </c>
      <c r="G7" t="s">
        <v>5605</v>
      </c>
      <c r="H7" t="s">
        <v>5597</v>
      </c>
      <c r="I7" t="s">
        <v>5598</v>
      </c>
      <c r="J7" t="s">
        <v>5599</v>
      </c>
      <c r="K7" s="3" t="s">
        <v>5600</v>
      </c>
    </row>
    <row r="8" spans="2:11" x14ac:dyDescent="0.25">
      <c r="B8" s="1" t="s">
        <v>79</v>
      </c>
      <c r="C8" t="s">
        <v>80</v>
      </c>
      <c r="D8" s="1" t="s">
        <v>84</v>
      </c>
      <c r="E8" s="4" t="s">
        <v>85</v>
      </c>
      <c r="F8" t="s">
        <v>86</v>
      </c>
      <c r="G8" s="2" t="s">
        <v>87</v>
      </c>
      <c r="H8" t="s">
        <v>49</v>
      </c>
      <c r="I8" s="2" t="s">
        <v>50</v>
      </c>
      <c r="J8" s="2">
        <v>8.9</v>
      </c>
      <c r="K8" s="3" t="s">
        <v>51</v>
      </c>
    </row>
    <row r="10" spans="2:11" x14ac:dyDescent="0.25">
      <c r="B10" s="14" t="s">
        <v>5606</v>
      </c>
      <c r="C10" s="14"/>
      <c r="D10" s="14"/>
      <c r="E10" s="14"/>
      <c r="F10" s="14"/>
      <c r="G10" s="14"/>
      <c r="H10" s="14"/>
      <c r="I10" s="14"/>
      <c r="J10" s="14"/>
      <c r="K10" s="14"/>
    </row>
  </sheetData>
  <mergeCells count="5">
    <mergeCell ref="C2:F2"/>
    <mergeCell ref="C3:F3"/>
    <mergeCell ref="C4:F4"/>
    <mergeCell ref="C5:F5"/>
    <mergeCell ref="B10:K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0F3603A14BB2B418E2918879AF3305E" ma:contentTypeVersion="18" ma:contentTypeDescription="Utwórz nowy dokument." ma:contentTypeScope="" ma:versionID="4f0028bc006ce5f7fdbb697e933d6aff">
  <xsd:schema xmlns:xsd="http://www.w3.org/2001/XMLSchema" xmlns:xs="http://www.w3.org/2001/XMLSchema" xmlns:p="http://schemas.microsoft.com/office/2006/metadata/properties" xmlns:ns2="926db798-0cb2-48c7-9c39-00532c2bc6a2" xmlns:ns3="a7c9b2a3-a81f-4e87-97ad-a11cd48d592f" targetNamespace="http://schemas.microsoft.com/office/2006/metadata/properties" ma:root="true" ma:fieldsID="e5190c6d068a9b32974467ba1ad195b6" ns2:_="" ns3:_="">
    <xsd:import namespace="926db798-0cb2-48c7-9c39-00532c2bc6a2"/>
    <xsd:import namespace="a7c9b2a3-a81f-4e87-97ad-a11cd48d59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6db798-0cb2-48c7-9c39-00532c2bc6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description="" ma:internalName="MediaServiceAutoTags" ma:readOnly="true">
      <xsd:simpleType>
        <xsd:restriction base="dms:Text"/>
      </xsd:simpleType>
    </xsd:element>
    <xsd:element name="MediaServiceDateTaken" ma:index="11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i obrazów" ma:readOnly="false" ma:fieldId="{5cf76f15-5ced-4ddc-b409-7134ff3c332f}" ma:taxonomyMulti="true" ma:sspId="89e2fefd-6787-4922-8f78-def450e5210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c9b2a3-a81f-4e87-97ad-a11cd48d592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Udostępnianie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Udostępnione dla — szczegóły" ma:description="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d1d56df-7527-4311-b887-a6b49845b831}" ma:internalName="TaxCatchAll" ma:showField="CatchAllData" ma:web="a7c9b2a3-a81f-4e87-97ad-a11cd48d59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6db798-0cb2-48c7-9c39-00532c2bc6a2">
      <Terms xmlns="http://schemas.microsoft.com/office/infopath/2007/PartnerControls"/>
    </lcf76f155ced4ddcb4097134ff3c332f>
    <TaxCatchAll xmlns="a7c9b2a3-a81f-4e87-97ad-a11cd48d592f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145D13F-575E-4F5F-B1D9-EA530E4E7A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DD9BAF1-2165-432D-98D5-60CAB6DD7D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6db798-0cb2-48c7-9c39-00532c2bc6a2"/>
    <ds:schemaRef ds:uri="a7c9b2a3-a81f-4e87-97ad-a11cd48d5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9C6D95-15E0-4FF5-85AB-E3424E38AABC}">
  <ds:schemaRefs>
    <ds:schemaRef ds:uri="926db798-0cb2-48c7-9c39-00532c2bc6a2"/>
    <ds:schemaRef ds:uri="http://purl.org/dc/terms/"/>
    <ds:schemaRef ds:uri="http://schemas.openxmlformats.org/package/2006/metadata/core-properties"/>
    <ds:schemaRef ds:uri="a7c9b2a3-a81f-4e87-97ad-a11cd48d592f"/>
    <ds:schemaRef ds:uri="http://schemas.microsoft.com/office/2006/metadata/properties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38A34C5C-C4CE-4001-875E-31FF36C119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12</vt:i4>
      </vt:variant>
    </vt:vector>
  </HeadingPairs>
  <TitlesOfParts>
    <vt:vector size="12" baseType="lpstr">
      <vt:lpstr>KL_ODL</vt:lpstr>
      <vt:lpstr>KL_RAF</vt:lpstr>
      <vt:lpstr>Same_elementy</vt:lpstr>
      <vt:lpstr>Same_technologie_z_ElemWKodProd</vt:lpstr>
      <vt:lpstr>Produkty_Wszystkie</vt:lpstr>
      <vt:lpstr>Elementy_Wszystkie</vt:lpstr>
      <vt:lpstr>VE</vt:lpstr>
      <vt:lpstr>Technologie_Wszystkie</vt:lpstr>
      <vt:lpstr>Produkty2Elem(Relacja)</vt:lpstr>
      <vt:lpstr>Elementy2Technologie(Relacja)</vt:lpstr>
      <vt:lpstr>Prod2Technol(Relacja)</vt:lpstr>
      <vt:lpstr>OBJAŚNIENIA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Dawid Potyra</dc:creator>
  <cp:lastModifiedBy>Michał Białek</cp:lastModifiedBy>
  <dcterms:created xsi:type="dcterms:W3CDTF">2025-09-15T13:44:20Z</dcterms:created>
  <dcterms:modified xsi:type="dcterms:W3CDTF">2025-12-29T22:19:52Z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0x010100D0F3603A14BB2B418E2918879AF3305E</vt:lpwstr>
  </property>
</Properties>
</file>